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※ 판매상위품목_실적요약" sheetId="2" state="visible" r:id="rId2"/>
    <sheet xmlns:r="http://schemas.openxmlformats.org/officeDocument/2006/relationships" name="분석" sheetId="3" state="visible" r:id="rId3"/>
    <sheet xmlns:r="http://schemas.openxmlformats.org/officeDocument/2006/relationships" name="※ 이상치 및 규정검토" sheetId="4" state="visible" r:id="rId4"/>
    <sheet xmlns:r="http://schemas.openxmlformats.org/officeDocument/2006/relationships" name="※ 피벗_교차검증" sheetId="5" state="visible" r:id="rId5"/>
    <sheet xmlns:r="http://schemas.openxmlformats.org/officeDocument/2006/relationships" name="농산물업체" sheetId="6" state="visible" r:id="rId6"/>
    <sheet xmlns:r="http://schemas.openxmlformats.org/officeDocument/2006/relationships" name="①농산물raw" sheetId="7" state="visible" r:id="rId7"/>
    <sheet xmlns:r="http://schemas.openxmlformats.org/officeDocument/2006/relationships" name="유기농업체" sheetId="8" state="visible" r:id="rId8"/>
    <sheet xmlns:r="http://schemas.openxmlformats.org/officeDocument/2006/relationships" name="②유기농raw" sheetId="9" state="visible" r:id="rId9"/>
    <sheet xmlns:r="http://schemas.openxmlformats.org/officeDocument/2006/relationships" name="※ 8월_품목분류오류" sheetId="10" state="visible" r:id="rId10"/>
    <sheet xmlns:r="http://schemas.openxmlformats.org/officeDocument/2006/relationships" name="※ 7월_품목분류오류" sheetId="11" state="visible" r:id="rId11"/>
    <sheet xmlns:r="http://schemas.openxmlformats.org/officeDocument/2006/relationships" name="※ 7-8월_품목변경" sheetId="12" state="visible" r:id="rId12"/>
  </sheets>
  <definedNames>
    <definedName name="_xlnm._FilterDatabase" localSheetId="5" hidden="1">'농산물업체'!$A$2:$J$287</definedName>
    <definedName name="_xlnm._FilterDatabase" localSheetId="6" hidden="1">'①농산물raw'!$A$5:$K$1454</definedName>
    <definedName name="_xlnm.Print_Titles" localSheetId="6">'①농산물raw'!$1:$5</definedName>
    <definedName name="_xlnm.Print_Area" localSheetId="6">'①농산물raw'!$A$1:$H$5</definedName>
    <definedName name="_xlnm._FilterDatabase" localSheetId="8" hidden="1">'②유기농raw'!$A$5:$I$96</definedName>
    <definedName name="_xlnm.Print_Titles" localSheetId="8">'②유기농raw'!$1:$5</definedName>
    <definedName name="_xlnm.Print_Area" localSheetId="8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5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  <font>
      <name val="맑은 고딕"/>
      <b val="1"/>
      <color rgb="FFFF0000"/>
      <sz val="9"/>
    </font>
    <font>
      <name val="맑은 고딕"/>
      <sz val="9"/>
    </font>
    <font>
      <name val="맑은 고딕"/>
      <b val="1"/>
      <color rgb="000070C0"/>
      <sz val="9"/>
    </font>
    <font>
      <name val="맑은 고딕"/>
      <b val="1"/>
      <color rgb="000F172A"/>
      <sz val="12"/>
    </font>
    <font>
      <name val="맑은 고딕"/>
      <b val="1"/>
      <color rgb="00FFFFFF"/>
      <sz val="10"/>
    </font>
    <font>
      <name val="맑은 고딕"/>
      <color rgb="00475569"/>
      <sz val="9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  <font>
      <name val="맑은 고딕"/>
      <color rgb="00475569"/>
      <sz val="10"/>
    </font>
    <font>
      <name val="맑은 고딕"/>
      <i val="1"/>
      <color rgb="00475569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</fonts>
  <fills count="3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FF1F2"/>
        <bgColor rgb="00FFF1F2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  <fill>
      <patternFill patternType="solid">
        <fgColor rgb="00E2E8F0"/>
        <bgColor rgb="00E2E8F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00000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double">
        <color rgb="00000000"/>
      </bottom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70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  <xf numFmtId="0" fontId="40" fillId="10" borderId="22" applyAlignment="1" pivotButton="0" quotePrefix="0" xfId="0">
      <alignment horizontal="center" vertical="center"/>
    </xf>
    <xf numFmtId="3" fontId="40" fillId="10" borderId="22" applyAlignment="1" pivotButton="0" quotePrefix="0" xfId="0">
      <alignment horizontal="right" vertical="center"/>
    </xf>
    <xf numFmtId="3" fontId="32" fillId="11" borderId="22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  <xf numFmtId="3" fontId="32" fillId="12" borderId="22" applyAlignment="1" pivotButton="0" quotePrefix="0" xfId="0">
      <alignment horizontal="right" vertical="center"/>
    </xf>
    <xf numFmtId="0" fontId="42" fillId="0" borderId="22" applyAlignment="1" pivotButton="0" quotePrefix="0" xfId="0">
      <alignment horizontal="center" vertical="center"/>
    </xf>
    <xf numFmtId="3" fontId="42" fillId="0" borderId="22" applyAlignment="1" pivotButton="0" quotePrefix="0" xfId="0">
      <alignment horizontal="right" vertical="center"/>
    </xf>
    <xf numFmtId="0" fontId="43" fillId="0" borderId="0" pivotButton="0" quotePrefix="0" xfId="0"/>
    <xf numFmtId="0" fontId="44" fillId="25" borderId="23" applyAlignment="1" pivotButton="0" quotePrefix="0" xfId="0">
      <alignment horizontal="center" vertical="center" wrapText="1"/>
    </xf>
    <xf numFmtId="0" fontId="41" fillId="0" borderId="23" applyAlignment="1" pivotButton="0" quotePrefix="0" xfId="0">
      <alignment horizontal="center" vertical="center"/>
    </xf>
    <xf numFmtId="0" fontId="41" fillId="26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32" fillId="0" borderId="23" applyAlignment="1" pivotButton="0" quotePrefix="0" xfId="0">
      <alignment horizontal="center" vertical="center"/>
    </xf>
    <xf numFmtId="3" fontId="41" fillId="0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center" vertical="center"/>
    </xf>
    <xf numFmtId="0" fontId="0" fillId="18" borderId="23" pivotButton="0" quotePrefix="0" xfId="0"/>
    <xf numFmtId="3" fontId="32" fillId="18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5" fillId="0" borderId="0" pivotButton="0" quotePrefix="0" xfId="0"/>
    <xf numFmtId="0" fontId="44" fillId="27" borderId="21" applyAlignment="1" pivotButton="0" quotePrefix="0" xfId="0">
      <alignment horizontal="center" vertical="center" wrapText="1"/>
    </xf>
    <xf numFmtId="0" fontId="41" fillId="0" borderId="21" applyAlignment="1" pivotButton="0" quotePrefix="0" xfId="0">
      <alignment horizontal="center" vertical="center"/>
    </xf>
    <xf numFmtId="0" fontId="41" fillId="0" borderId="21" applyAlignment="1" pivotButton="0" quotePrefix="0" xfId="0">
      <alignment horizontal="left" vertical="center"/>
    </xf>
    <xf numFmtId="0" fontId="29" fillId="0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left" vertical="center"/>
    </xf>
    <xf numFmtId="0" fontId="27" fillId="28" borderId="21" pivotButton="0" quotePrefix="0" xfId="0"/>
    <xf numFmtId="3" fontId="27" fillId="28" borderId="21" applyAlignment="1" pivotButton="0" quotePrefix="0" xfId="0">
      <alignment horizontal="right" vertical="center"/>
    </xf>
    <xf numFmtId="0" fontId="46" fillId="28" borderId="21" applyAlignment="1" pivotButton="0" quotePrefix="0" xfId="0">
      <alignment horizontal="center" vertical="center"/>
    </xf>
    <xf numFmtId="0" fontId="44" fillId="29" borderId="21" applyAlignment="1" pivotButton="0" quotePrefix="0" xfId="0">
      <alignment horizontal="center" vertical="center" wrapText="1"/>
    </xf>
    <xf numFmtId="0" fontId="47" fillId="28" borderId="21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44" fillId="30" borderId="21" applyAlignment="1" pivotButton="0" quotePrefix="0" xfId="0">
      <alignment horizontal="center" vertical="center" wrapText="1"/>
    </xf>
    <xf numFmtId="0" fontId="51" fillId="0" borderId="0" pivotButton="0" quotePrefix="0" xfId="0"/>
    <xf numFmtId="0" fontId="52" fillId="0" borderId="0" applyAlignment="1" pivotButton="0" quotePrefix="0" xfId="0">
      <alignment horizontal="right" vertical="center"/>
    </xf>
    <xf numFmtId="0" fontId="53" fillId="31" borderId="21" applyAlignment="1" pivotButton="0" quotePrefix="0" xfId="0">
      <alignment horizontal="center" vertical="center"/>
    </xf>
    <xf numFmtId="0" fontId="54" fillId="0" borderId="21" applyAlignment="1" pivotButton="0" quotePrefix="0" xfId="0">
      <alignment horizontal="center" vertical="center"/>
    </xf>
    <xf numFmtId="0" fontId="54" fillId="0" borderId="21" applyAlignment="1" pivotButton="0" quotePrefix="0" xfId="0">
      <alignment horizontal="left" vertical="center"/>
    </xf>
    <xf numFmtId="3" fontId="54" fillId="0" borderId="21" applyAlignment="1" pivotButton="0" quotePrefix="0" xfId="0">
      <alignment horizontal="right" vertical="center"/>
    </xf>
    <xf numFmtId="0" fontId="0" fillId="0" borderId="34" pivotButton="0" quotePrefix="0" xfId="0"/>
    <xf numFmtId="0" fontId="0" fillId="0" borderId="35" pivotButton="0" quotePrefix="0" xfId="0"/>
    <xf numFmtId="0" fontId="53" fillId="18" borderId="21" applyAlignment="1" pivotButton="0" quotePrefix="0" xfId="0">
      <alignment horizontal="center" vertical="center"/>
    </xf>
    <xf numFmtId="3" fontId="53" fillId="18" borderId="21" applyAlignment="1" pivotButton="0" quotePrefix="0" xfId="0">
      <alignment horizontal="right" vertical="center"/>
    </xf>
    <xf numFmtId="0" fontId="55" fillId="31" borderId="32" applyAlignment="1" pivotButton="0" quotePrefix="0" xfId="0">
      <alignment horizontal="center" vertical="center"/>
    </xf>
    <xf numFmtId="0" fontId="0" fillId="0" borderId="36" pivotButton="0" quotePrefix="0" xfId="0"/>
    <xf numFmtId="3" fontId="55" fillId="31" borderId="32" applyAlignment="1" pivotButton="0" quotePrefix="0" xfId="0">
      <alignment horizontal="right" vertical="center"/>
    </xf>
    <xf numFmtId="0" fontId="0" fillId="0" borderId="30" pivotButton="0" quotePrefix="0" xfId="0"/>
    <xf numFmtId="0" fontId="0" fillId="0" borderId="31" pivotButton="0" quotePrefix="0" xfId="0"/>
    <xf numFmtId="0" fontId="23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(분석!D61+분석!D130)/C14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(+14.4% 성장)</t>
        </is>
      </c>
      <c r="C7" s="188" t="n"/>
      <c r="D7" s="188" t="n"/>
      <c r="E7" s="200" t="inlineStr">
        <is>
          <t>8월 순수: 127,098,302원 (전체 배정 8.0억)</t>
        </is>
      </c>
      <c r="F7" s="190" t="n"/>
      <c r="G7" s="190" t="n"/>
      <c r="H7" s="201" t="inlineStr">
        <is>
          <t>잔여 예산: 489,289,112원 (소진율 38.8%)</t>
        </is>
      </c>
      <c r="I7" s="192" t="n"/>
      <c r="J7" s="192" t="n"/>
      <c r="K7" s="202" t="inlineStr">
        <is>
          <t>8월 순수: 401,915건 (+13.5%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700000000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250000000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175000000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115000000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40000000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60000000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5"/>
  <sheetViews>
    <sheetView workbookViewId="0">
      <selection activeCell="A1" sqref="A1"/>
    </sheetView>
  </sheetViews>
  <sheetFormatPr baseColWidth="8" defaultRowHeight="15"/>
  <cols>
    <col width="3" customWidth="1" style="21" min="1" max="1"/>
    <col width="14" customWidth="1" style="21" min="2" max="2"/>
    <col width="32" customWidth="1" style="21" min="3" max="3"/>
    <col width="16" customWidth="1" style="21" min="4" max="4"/>
    <col width="16" customWidth="1" style="21" min="5" max="5"/>
    <col width="6" customWidth="1" style="21" min="6" max="6"/>
    <col width="14" customWidth="1" style="21" min="7" max="7"/>
    <col width="32" customWidth="1" style="21" min="8" max="8"/>
    <col width="16" customWidth="1" style="21" min="9" max="9"/>
    <col width="16" customWidth="1" style="21" min="10" max="10"/>
  </cols>
  <sheetData>
    <row r="2">
      <c r="B2" s="175" t="inlineStr">
        <is>
          <t>□ 기획전 판매 상위 품목 실적 요약 (8월 누적 기준)</t>
        </is>
      </c>
      <c r="G2" s="175" t="inlineStr">
        <is>
          <t>□ [참고] 기획전 판매 상위 품목 실적 (7월 최종 보고)</t>
        </is>
      </c>
    </row>
    <row r="3">
      <c r="B3" s="253" t="inlineStr">
        <is>
          <t>※ 원본 로우데이터(①농산물raw, ②유기농raw) B열(품목분류) 및 I열(세부품목) 실시간 동적 수식 연동본</t>
        </is>
      </c>
      <c r="G3" s="253" t="inlineStr">
        <is>
          <t>※ 7월 결과보고서(HWP) 제출 원본 수치 대조용</t>
        </is>
      </c>
    </row>
    <row r="4">
      <c r="E4" s="254" t="inlineStr">
        <is>
          <t>단위 : 백만원</t>
        </is>
      </c>
      <c r="J4" s="254" t="inlineStr">
        <is>
          <t>단위 : 백만원</t>
        </is>
      </c>
    </row>
    <row r="5" ht="26" customHeight="1" s="21">
      <c r="B5" s="255" t="inlineStr">
        <is>
          <t>구분</t>
        </is>
      </c>
      <c r="C5" s="255" t="inlineStr">
        <is>
          <t>품목</t>
        </is>
      </c>
      <c r="D5" s="255" t="inlineStr">
        <is>
          <t>매출</t>
        </is>
      </c>
      <c r="E5" s="255" t="inlineStr">
        <is>
          <t>쿠폰소진</t>
        </is>
      </c>
      <c r="G5" s="255" t="inlineStr">
        <is>
          <t>구분</t>
        </is>
      </c>
      <c r="H5" s="255" t="inlineStr">
        <is>
          <t>품목</t>
        </is>
      </c>
      <c r="I5" s="255" t="inlineStr">
        <is>
          <t>매출</t>
        </is>
      </c>
      <c r="J5" s="255" t="inlineStr">
        <is>
          <t>쿠폰소진</t>
        </is>
      </c>
    </row>
    <row r="6" ht="22" customHeight="1" s="21">
      <c r="B6" s="256" t="inlineStr">
        <is>
          <t>농산물</t>
        </is>
      </c>
      <c r="C6" s="257" t="inlineStr">
        <is>
          <t>쌀 및 잡곡류</t>
        </is>
      </c>
      <c r="D6" s="258">
        <f>ROUND((SUMIFS('①농산물raw'!$G:$G,'①농산물raw'!$B:$B,"농산물",'①농산물raw'!$I:$I,"쌀 및 잡곡류")+SUMIFS('②유기농raw'!$G:$G,'②유기농raw'!$B:$B,"농산물",'②유기농raw'!$I:$I,"쌀 및 잡곡류"))/1000000, 0)</f>
        <v/>
      </c>
      <c r="E6" s="258">
        <f>ROUND((SUMIFS('①농산물raw'!$H:$H,'①농산물raw'!$B:$B,"농산물",'①농산물raw'!$I:$I,"쌀 및 잡곡류")+SUMIFS('②유기농raw'!$H:$H,'②유기농raw'!$B:$B,"농산물",'②유기농raw'!$I:$I,"쌀 및 잡곡류"))/1000000, 0)</f>
        <v/>
      </c>
      <c r="G6" s="256" t="inlineStr">
        <is>
          <t>농산물</t>
        </is>
      </c>
      <c r="H6" s="257" t="inlineStr">
        <is>
          <t>쌀 및 잡곡류</t>
        </is>
      </c>
      <c r="I6" s="258" t="n">
        <v>780</v>
      </c>
      <c r="J6" s="258" t="n">
        <v>42</v>
      </c>
    </row>
    <row r="7" ht="22" customHeight="1" s="21">
      <c r="B7" s="259" t="n"/>
      <c r="C7" s="257" t="inlineStr">
        <is>
          <t>채소류(상추, 쌈채소 등)</t>
        </is>
      </c>
      <c r="D7" s="258">
        <f>ROUND((SUMIFS('①농산물raw'!$G:$G,'①농산물raw'!$B:$B,"농산물",'①농산물raw'!$I:$I,"채소류(상추, 쌈채소 등)")+SUMIFS('②유기농raw'!$G:$G,'②유기농raw'!$B:$B,"농산물",'②유기농raw'!$I:$I,"채소류(상추, 쌈채소 등)"))/1000000, 0)</f>
        <v/>
      </c>
      <c r="E7" s="258">
        <f>ROUND((SUMIFS('①농산물raw'!$H:$H,'①농산물raw'!$B:$B,"농산물",'①농산물raw'!$I:$I,"채소류(상추, 쌈채소 등)")+SUMIFS('②유기농raw'!$H:$H,'②유기농raw'!$B:$B,"농산물",'②유기농raw'!$I:$I,"채소류(상추, 쌈채소 등)"))/1000000, 0)</f>
        <v/>
      </c>
      <c r="G7" s="259" t="n"/>
      <c r="H7" s="257" t="inlineStr">
        <is>
          <t>채소류(상추, 쌈채소 등)</t>
        </is>
      </c>
      <c r="I7" s="258" t="n">
        <v>241</v>
      </c>
      <c r="J7" s="258" t="n">
        <v>14</v>
      </c>
    </row>
    <row r="8" ht="22" customHeight="1" s="21">
      <c r="B8" s="259" t="n"/>
      <c r="C8" s="257" t="inlineStr">
        <is>
          <t>복숭아</t>
        </is>
      </c>
      <c r="D8" s="258">
        <f>ROUND((SUMIFS('①농산물raw'!$G:$G,'①농산물raw'!$B:$B,"농산물",'①농산물raw'!$I:$I,"복숭아")+SUMIFS('②유기농raw'!$G:$G,'②유기농raw'!$B:$B,"농산물",'②유기농raw'!$I:$I,"복숭아"))/1000000, 0)</f>
        <v/>
      </c>
      <c r="E8" s="258">
        <f>ROUND((SUMIFS('①농산물raw'!$H:$H,'①농산물raw'!$B:$B,"농산물",'①농산물raw'!$I:$I,"복숭아")+SUMIFS('②유기농raw'!$H:$H,'②유기농raw'!$B:$B,"농산물",'②유기농raw'!$I:$I,"복숭아"))/1000000, 0)</f>
        <v/>
      </c>
      <c r="G8" s="259" t="n"/>
      <c r="H8" s="257" t="inlineStr">
        <is>
          <t>복숭아</t>
        </is>
      </c>
      <c r="I8" s="258" t="n">
        <v>231</v>
      </c>
      <c r="J8" s="258" t="n">
        <v>15</v>
      </c>
    </row>
    <row r="9" ht="22" customHeight="1" s="21">
      <c r="B9" s="259" t="n"/>
      <c r="C9" s="257" t="inlineStr">
        <is>
          <t>사과</t>
        </is>
      </c>
      <c r="D9" s="258">
        <f>ROUND((SUMIFS('①농산물raw'!$G:$G,'①농산물raw'!$B:$B,"농산물",'①농산물raw'!$I:$I,"사과")+SUMIFS('②유기농raw'!$G:$G,'②유기농raw'!$B:$B,"농산물",'②유기농raw'!$I:$I,"사과"))/1000000, 0)</f>
        <v/>
      </c>
      <c r="E9" s="258">
        <f>ROUND((SUMIFS('①농산물raw'!$H:$H,'①농산물raw'!$B:$B,"농산물",'①농산물raw'!$I:$I,"사과")+SUMIFS('②유기농raw'!$H:$H,'②유기농raw'!$B:$B,"농산물",'②유기농raw'!$I:$I,"사과"))/1000000, 0)</f>
        <v/>
      </c>
      <c r="G9" s="259" t="n"/>
      <c r="H9" s="257" t="inlineStr">
        <is>
          <t>사과</t>
        </is>
      </c>
      <c r="I9" s="258" t="n">
        <v>192</v>
      </c>
      <c r="J9" s="258" t="n">
        <v>8</v>
      </c>
    </row>
    <row r="10" ht="22" customHeight="1" s="21">
      <c r="B10" s="259" t="n"/>
      <c r="C10" s="257" t="inlineStr">
        <is>
          <t>버섯</t>
        </is>
      </c>
      <c r="D10" s="258">
        <f>ROUND((SUMIFS('①농산물raw'!$G:$G,'①농산물raw'!$B:$B,"농산물",'①농산물raw'!$I:$I,"버섯")+SUMIFS('②유기농raw'!$G:$G,'②유기농raw'!$B:$B,"농산물",'②유기농raw'!$I:$I,"버섯"))/1000000, 0)</f>
        <v/>
      </c>
      <c r="E10" s="258">
        <f>ROUND((SUMIFS('①농산물raw'!$H:$H,'①농산물raw'!$B:$B,"농산물",'①농산물raw'!$I:$I,"버섯")+SUMIFS('②유기농raw'!$H:$H,'②유기농raw'!$B:$B,"농산물",'②유기농raw'!$I:$I,"버섯"))/1000000, 0)</f>
        <v/>
      </c>
      <c r="G10" s="259" t="n"/>
      <c r="H10" s="257" t="inlineStr">
        <is>
          <t>버섯</t>
        </is>
      </c>
      <c r="I10" s="258" t="n">
        <v>89</v>
      </c>
      <c r="J10" s="258" t="n">
        <v>3</v>
      </c>
    </row>
    <row r="11" ht="22" customHeight="1" s="21">
      <c r="B11" s="259" t="n"/>
      <c r="C11" s="257" t="inlineStr">
        <is>
          <t>자두</t>
        </is>
      </c>
      <c r="D11" s="258">
        <f>ROUND((SUMIFS('①농산물raw'!$G:$G,'①농산물raw'!$B:$B,"농산물",'①농산물raw'!$I:$I,"자두")+SUMIFS('②유기농raw'!$G:$G,'②유기농raw'!$B:$B,"농산물",'②유기농raw'!$I:$I,"자두"))/1000000, 0)</f>
        <v/>
      </c>
      <c r="E11" s="258">
        <f>ROUND((SUMIFS('①농산물raw'!$H:$H,'①농산물raw'!$B:$B,"농산물",'①농산물raw'!$I:$I,"자두")+SUMIFS('②유기농raw'!$H:$H,'②유기농raw'!$B:$B,"농산물",'②유기농raw'!$I:$I,"자두"))/1000000, 0)</f>
        <v/>
      </c>
      <c r="G11" s="259" t="n"/>
      <c r="H11" s="257" t="inlineStr">
        <is>
          <t>자두</t>
        </is>
      </c>
      <c r="I11" s="258" t="n">
        <v>25</v>
      </c>
      <c r="J11" s="258" t="n">
        <v>2</v>
      </c>
    </row>
    <row r="12" ht="22" customHeight="1" s="21">
      <c r="B12" s="259" t="n"/>
      <c r="C12" s="257" t="inlineStr">
        <is>
          <t>토마토</t>
        </is>
      </c>
      <c r="D12" s="258">
        <f>ROUND((SUMIFS('①농산물raw'!$G:$G,'①농산물raw'!$B:$B,"농산물",'①농산물raw'!$I:$I,"토마토")+SUMIFS('②유기농raw'!$G:$G,'②유기농raw'!$B:$B,"농산물",'②유기농raw'!$I:$I,"토마토"))/1000000, 0)</f>
        <v/>
      </c>
      <c r="E12" s="258">
        <f>ROUND((SUMIFS('①농산물raw'!$H:$H,'①농산물raw'!$B:$B,"농산물",'①농산물raw'!$I:$I,"토마토")+SUMIFS('②유기농raw'!$H:$H,'②유기농raw'!$B:$B,"농산물",'②유기농raw'!$I:$I,"토마토"))/1000000, 0)</f>
        <v/>
      </c>
      <c r="G12" s="259" t="n"/>
      <c r="H12" s="257" t="inlineStr">
        <is>
          <t>토마토</t>
        </is>
      </c>
      <c r="I12" s="258" t="n">
        <v>22</v>
      </c>
      <c r="J12" s="258" t="n">
        <v>2</v>
      </c>
    </row>
    <row r="13" ht="22" customHeight="1" s="21">
      <c r="B13" s="259" t="n"/>
      <c r="C13" s="257" t="inlineStr">
        <is>
          <t>기타 농산물</t>
        </is>
      </c>
      <c r="D13" s="258">
        <f>D14-SUM(D6:D12)</f>
        <v/>
      </c>
      <c r="E13" s="258">
        <f>E14-SUM(E6:E12)</f>
        <v/>
      </c>
      <c r="G13" s="259" t="n"/>
      <c r="H13" s="257" t="inlineStr">
        <is>
          <t>기타 농산물</t>
        </is>
      </c>
      <c r="I13" s="258" t="n">
        <v>398</v>
      </c>
      <c r="J13" s="258" t="n">
        <v>16</v>
      </c>
    </row>
    <row r="14" ht="22" customHeight="1" s="21">
      <c r="B14" s="260" t="n"/>
      <c r="C14" s="261" t="inlineStr">
        <is>
          <t>소 계</t>
        </is>
      </c>
      <c r="D14" s="262">
        <f>ROUND((SUMIFS('①농산물raw'!$G:$G,'①농산물raw'!$B:$B,"농산물")+SUMIFS('②유기농raw'!$G:$G,'②유기농raw'!$B:$B,"농산물"))/1000000, 0)</f>
        <v/>
      </c>
      <c r="E14" s="262">
        <f>ROUND((SUMIFS('①농산물raw'!$H:$H,'①농산물raw'!$B:$B,"농산물")+SUMIFS('②유기농raw'!$H:$H,'②유기농raw'!$B:$B,"농산물"))/1000000, 0)</f>
        <v/>
      </c>
      <c r="G14" s="260" t="n"/>
      <c r="H14" s="261" t="inlineStr">
        <is>
          <t>소 계</t>
        </is>
      </c>
      <c r="I14" s="262" t="n">
        <v>1978</v>
      </c>
      <c r="J14" s="262" t="n">
        <v>102</v>
      </c>
    </row>
    <row r="15" ht="22" customHeight="1" s="21">
      <c r="B15" s="256" t="inlineStr">
        <is>
          <t>축산물</t>
        </is>
      </c>
      <c r="C15" s="257" t="inlineStr">
        <is>
          <t>한돈(돼지고기)</t>
        </is>
      </c>
      <c r="D15" s="258">
        <f>ROUND((SUMIFS('①농산물raw'!$G:$G,'①농산물raw'!$B:$B,"축산물",'①농산물raw'!$I:$I,"한돈(돼지고기)")+SUMIFS('②유기농raw'!$G:$G,'②유기농raw'!$B:$B,"축산물",'②유기농raw'!$I:$I,"한돈(돼지고기)"))/1000000, 0)</f>
        <v/>
      </c>
      <c r="E15" s="258">
        <f>ROUND((SUMIFS('①농산물raw'!$H:$H,'①농산물raw'!$B:$B,"축산물",'①농산물raw'!$I:$I,"한돈(돼지고기)")+SUMIFS('②유기농raw'!$H:$H,'②유기농raw'!$B:$B,"축산물",'②유기농raw'!$I:$I,"한돈(돼지고기)"))/1000000, 0)</f>
        <v/>
      </c>
      <c r="G15" s="256" t="inlineStr">
        <is>
          <t>축산물</t>
        </is>
      </c>
      <c r="H15" s="257" t="inlineStr">
        <is>
          <t>한돈(돼지고기)</t>
        </is>
      </c>
      <c r="I15" s="258" t="n">
        <v>131</v>
      </c>
      <c r="J15" s="258" t="n">
        <v>13</v>
      </c>
    </row>
    <row r="16" ht="22" customHeight="1" s="21">
      <c r="B16" s="259" t="n"/>
      <c r="C16" s="257" t="inlineStr">
        <is>
          <t>계란(유정란)</t>
        </is>
      </c>
      <c r="D16" s="258">
        <f>ROUND((SUMIFS('①농산물raw'!$G:$G,'①농산물raw'!$B:$B,"축산물",'①농산물raw'!$I:$I,"계란(유정란)")+SUMIFS('②유기농raw'!$G:$G,'②유기농raw'!$B:$B,"축산물",'②유기농raw'!$I:$I,"계란(유정란)"))/1000000, 0)</f>
        <v/>
      </c>
      <c r="E16" s="258">
        <f>ROUND((SUMIFS('①농산물raw'!$H:$H,'①농산물raw'!$B:$B,"축산물",'①농산물raw'!$I:$I,"계란(유정란)")+SUMIFS('②유기농raw'!$H:$H,'②유기농raw'!$B:$B,"축산물",'②유기농raw'!$I:$I,"계란(유정란)"))/1000000, 0)</f>
        <v/>
      </c>
      <c r="G16" s="259" t="n"/>
      <c r="H16" s="257" t="inlineStr">
        <is>
          <t>계란(유정란)</t>
        </is>
      </c>
      <c r="I16" s="258" t="n">
        <v>101</v>
      </c>
      <c r="J16" s="258" t="n">
        <v>9</v>
      </c>
    </row>
    <row r="17" ht="22" customHeight="1" s="21">
      <c r="B17" s="259" t="n"/>
      <c r="C17" s="257" t="inlineStr">
        <is>
          <t>닭고기 및 닭가공육</t>
        </is>
      </c>
      <c r="D17" s="258">
        <f>ROUND((SUMIFS('①농산물raw'!$G:$G,'①농산물raw'!$B:$B,"축산물",'①농산물raw'!$I:$I,"닭고기 및 닭가공육")+SUMIFS('②유기농raw'!$G:$G,'②유기농raw'!$B:$B,"축산물",'②유기농raw'!$I:$I,"닭고기 및 닭가공육"))/1000000, 0)</f>
        <v/>
      </c>
      <c r="E17" s="258">
        <f>ROUND((SUMIFS('①농산물raw'!$H:$H,'①농산물raw'!$B:$B,"축산물",'①농산물raw'!$I:$I,"닭고기 및 닭가공육")+SUMIFS('②유기농raw'!$H:$H,'②유기농raw'!$B:$B,"축산물",'②유기농raw'!$I:$I,"닭고기 및 닭가공육"))/1000000, 0)</f>
        <v/>
      </c>
      <c r="G17" s="259" t="n"/>
      <c r="H17" s="257" t="inlineStr">
        <is>
          <t>닭고기 및 닭가공육</t>
        </is>
      </c>
      <c r="I17" s="258" t="n">
        <v>67</v>
      </c>
      <c r="J17" s="258" t="n">
        <v>4</v>
      </c>
    </row>
    <row r="18" ht="22" customHeight="1" s="21">
      <c r="B18" s="259" t="n"/>
      <c r="C18" s="257" t="inlineStr">
        <is>
          <t>기타 축산물</t>
        </is>
      </c>
      <c r="D18" s="258">
        <f>D19-SUM(D15:D17)</f>
        <v/>
      </c>
      <c r="E18" s="258">
        <f>E19-SUM(E15:E17)</f>
        <v/>
      </c>
      <c r="G18" s="259" t="n"/>
      <c r="H18" s="257" t="inlineStr">
        <is>
          <t>기타 축산물</t>
        </is>
      </c>
      <c r="I18" s="258" t="n">
        <v>3</v>
      </c>
      <c r="J18" s="258" t="n">
        <v>1</v>
      </c>
    </row>
    <row r="19" ht="22" customHeight="1" s="21">
      <c r="B19" s="260" t="n"/>
      <c r="C19" s="261" t="inlineStr">
        <is>
          <t>소 계</t>
        </is>
      </c>
      <c r="D19" s="262">
        <f>ROUND((SUMIFS('①농산물raw'!$G:$G,'①농산물raw'!$B:$B,"축산물")+SUMIFS('②유기농raw'!$G:$G,'②유기농raw'!$B:$B,"축산물"))/1000000, 0)</f>
        <v/>
      </c>
      <c r="E19" s="262">
        <f>ROUND((SUMIFS('①농산물raw'!$H:$H,'①농산물raw'!$B:$B,"축산물")+SUMIFS('②유기농raw'!$H:$H,'②유기농raw'!$B:$B,"축산물"))/1000000, 0)</f>
        <v/>
      </c>
      <c r="G19" s="260" t="n"/>
      <c r="H19" s="261" t="inlineStr">
        <is>
          <t>소 계</t>
        </is>
      </c>
      <c r="I19" s="262" t="n">
        <v>302</v>
      </c>
      <c r="J19" s="262" t="n">
        <v>27</v>
      </c>
    </row>
    <row r="20" ht="22" customHeight="1" s="21">
      <c r="B20" s="256" t="inlineStr">
        <is>
          <t>가공식품</t>
        </is>
      </c>
      <c r="C20" s="257" t="inlineStr">
        <is>
          <t>김치류(배추김치 등)</t>
        </is>
      </c>
      <c r="D20" s="258">
        <f>ROUND((SUMIFS('①농산물raw'!$G:$G,'①농산물raw'!$B:$B,"가공식품",'①농산물raw'!$I:$I,"김치류(배추김치 등)")+SUMIFS('②유기농raw'!$G:$G,'②유기농raw'!$B:$B,"가공식품",'②유기농raw'!$I:$I,"김치류(배추김치 등)"))/1000000, 0)</f>
        <v/>
      </c>
      <c r="E20" s="258">
        <f>ROUND((SUMIFS('①농산물raw'!$H:$H,'①농산물raw'!$B:$B,"가공식품",'①농산물raw'!$I:$I,"김치류(배추김치 등)")+SUMIFS('②유기농raw'!$H:$H,'②유기농raw'!$B:$B,"가공식품",'②유기농raw'!$I:$I,"김치류(배추김치 등)"))/1000000, 0)</f>
        <v/>
      </c>
      <c r="G20" s="256" t="inlineStr">
        <is>
          <t>가공식품</t>
        </is>
      </c>
      <c r="H20" s="257" t="inlineStr">
        <is>
          <t>김치류(배추김치 등)</t>
        </is>
      </c>
      <c r="I20" s="258" t="n">
        <v>677</v>
      </c>
      <c r="J20" s="258" t="n">
        <v>19</v>
      </c>
    </row>
    <row r="21" ht="22" customHeight="1" s="21">
      <c r="B21" s="259" t="n"/>
      <c r="C21" s="257" t="inlineStr">
        <is>
          <t>즙/주스류(양파즙, 토마토즙 등)</t>
        </is>
      </c>
      <c r="D21" s="258">
        <f>ROUND((SUMIFS('①농산물raw'!$G:$G,'①농산물raw'!$B:$B,"가공식품",'①농산물raw'!$I:$I,"즙/주스류(양파즙, 토마토즙 등)")+SUMIFS('②유기농raw'!$G:$G,'②유기농raw'!$B:$B,"가공식품",'②유기농raw'!$I:$I,"즙/주스류(양파즙, 토마토즙 등)"))/1000000, 0)</f>
        <v/>
      </c>
      <c r="E21" s="258">
        <f>ROUND((SUMIFS('①농산물raw'!$H:$H,'①농산물raw'!$B:$B,"가공식품",'①농산물raw'!$I:$I,"즙/주스류(양파즙, 토마토즙 등)")+SUMIFS('②유기농raw'!$H:$H,'②유기농raw'!$B:$B,"가공식품",'②유기농raw'!$I:$I,"즙/주스류(양파즙, 토마토즙 등)"))/1000000, 0)</f>
        <v/>
      </c>
      <c r="G21" s="259" t="n"/>
      <c r="H21" s="257" t="inlineStr">
        <is>
          <t>즙/주스류(양파즙, 토마토즙 등)</t>
        </is>
      </c>
      <c r="I21" s="258" t="n">
        <v>31</v>
      </c>
      <c r="J21" s="258" t="n">
        <v>2</v>
      </c>
    </row>
    <row r="22" ht="22" customHeight="1" s="21">
      <c r="B22" s="259" t="n"/>
      <c r="C22" s="257" t="inlineStr">
        <is>
          <t>떡류</t>
        </is>
      </c>
      <c r="D22" s="258">
        <f>ROUND((SUMIFS('①농산물raw'!$G:$G,'①농산물raw'!$B:$B,"가공식품",'①농산물raw'!$I:$I,"떡류")+SUMIFS('②유기농raw'!$G:$G,'②유기농raw'!$B:$B,"가공식품",'②유기농raw'!$I:$I,"떡류"))/1000000, 0)</f>
        <v/>
      </c>
      <c r="E22" s="258">
        <f>ROUND((SUMIFS('①농산물raw'!$H:$H,'①농산물raw'!$B:$B,"가공식품",'①농산물raw'!$I:$I,"떡류")+SUMIFS('②유기농raw'!$H:$H,'②유기농raw'!$B:$B,"가공식품",'②유기농raw'!$I:$I,"떡류"))/1000000, 0)</f>
        <v/>
      </c>
      <c r="G22" s="259" t="n"/>
      <c r="H22" s="257" t="inlineStr">
        <is>
          <t>떡류</t>
        </is>
      </c>
      <c r="I22" s="258" t="n">
        <v>12</v>
      </c>
      <c r="J22" s="258" t="n">
        <v>0</v>
      </c>
    </row>
    <row r="23" ht="22" customHeight="1" s="21">
      <c r="B23" s="259" t="n"/>
      <c r="C23" s="257" t="inlineStr">
        <is>
          <t>기타 가공식품</t>
        </is>
      </c>
      <c r="D23" s="258">
        <f>D24-SUM(D20:D22)</f>
        <v/>
      </c>
      <c r="E23" s="258">
        <f>E24-SUM(E20:E22)</f>
        <v/>
      </c>
      <c r="G23" s="259" t="n"/>
      <c r="H23" s="257" t="inlineStr">
        <is>
          <t>기타 가공식품</t>
        </is>
      </c>
      <c r="I23" s="258" t="n">
        <v>583</v>
      </c>
      <c r="J23" s="258" t="n">
        <v>34</v>
      </c>
    </row>
    <row r="24" ht="22" customHeight="1" s="21">
      <c r="B24" s="260" t="n"/>
      <c r="C24" s="261" t="inlineStr">
        <is>
          <t>소 계</t>
        </is>
      </c>
      <c r="D24" s="262">
        <f>ROUND((SUMIFS('①농산물raw'!$G:$G,'①농산물raw'!$B:$B,"가공식품")+SUMIFS('②유기농raw'!$G:$G,'②유기농raw'!$B:$B,"가공식품"))/1000000, 0)</f>
        <v/>
      </c>
      <c r="E24" s="262">
        <f>ROUND((SUMIFS('①농산물raw'!$H:$H,'①농산물raw'!$B:$B,"가공식품")+SUMIFS('②유기농raw'!$H:$H,'②유기농raw'!$B:$B,"가공식품"))/1000000, 0)</f>
        <v/>
      </c>
      <c r="G24" s="260" t="n"/>
      <c r="H24" s="261" t="inlineStr">
        <is>
          <t>소 계</t>
        </is>
      </c>
      <c r="I24" s="262" t="n">
        <v>1303</v>
      </c>
      <c r="J24" s="262" t="n">
        <v>55</v>
      </c>
    </row>
    <row r="25" ht="22" customHeight="1" s="21">
      <c r="B25" s="263" t="inlineStr">
        <is>
          <t>합 계</t>
        </is>
      </c>
      <c r="C25" s="264" t="n"/>
      <c r="D25" s="265">
        <f>D14+D19+D24</f>
        <v/>
      </c>
      <c r="E25" s="265">
        <f>E14+E19+E24</f>
        <v/>
      </c>
      <c r="G25" s="263" t="inlineStr">
        <is>
          <t>합 계</t>
        </is>
      </c>
      <c r="H25" s="264" t="n"/>
      <c r="I25" s="265" t="n">
        <v>3583</v>
      </c>
      <c r="J25" s="265" t="n">
        <v>184</v>
      </c>
    </row>
  </sheetData>
  <mergeCells count="8">
    <mergeCell ref="G20:G24"/>
    <mergeCell ref="B25:C25"/>
    <mergeCell ref="G25:H25"/>
    <mergeCell ref="B20:B24"/>
    <mergeCell ref="B6:B14"/>
    <mergeCell ref="G6:G14"/>
    <mergeCell ref="B15:B19"/>
    <mergeCell ref="G15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217" t="inlineStr">
        <is>
          <t>상품수(7월)</t>
        </is>
      </c>
      <c r="C9" s="218">
        <f>D9+K9</f>
        <v/>
      </c>
      <c r="D9" s="219">
        <f>SUM(E9:J9)</f>
        <v/>
      </c>
      <c r="E9" s="220" t="n">
        <v>388</v>
      </c>
      <c r="F9" s="220" t="n">
        <v>258</v>
      </c>
      <c r="G9" s="220" t="n">
        <v>313</v>
      </c>
      <c r="H9" s="220" t="n">
        <v>55</v>
      </c>
      <c r="I9" s="220" t="n">
        <v>29</v>
      </c>
      <c r="J9" s="220" t="n">
        <v>87</v>
      </c>
      <c r="K9" s="221">
        <f>SUM(L9:M9)</f>
        <v/>
      </c>
      <c r="L9" s="220" t="n">
        <v>85</v>
      </c>
      <c r="M9" s="220" t="n">
        <v>90</v>
      </c>
    </row>
    <row r="10">
      <c r="B10" s="222" t="inlineStr">
        <is>
          <t>상품수(8월)</t>
        </is>
      </c>
      <c r="C10" s="223">
        <f>D10+K10</f>
        <v/>
      </c>
      <c r="D10" s="223">
        <f>SUM(E10:J10)</f>
        <v/>
      </c>
      <c r="E10" s="220">
        <f>COUNTIF('①농산물raw'!$A$6:$A$1454,E$5)</f>
        <v/>
      </c>
      <c r="F10" s="220">
        <f>COUNTIF('①농산물raw'!$A$6:$A$1454,F$5)</f>
        <v/>
      </c>
      <c r="G10" s="220">
        <f>COUNTIF('①농산물raw'!$A$6:$A$1454,G$5)</f>
        <v/>
      </c>
      <c r="H10" s="220">
        <f>COUNTIF('①농산물raw'!$A$6:$A$1454,H$5)</f>
        <v/>
      </c>
      <c r="I10" s="220">
        <f>COUNTIF('①농산물raw'!$A$6:$A$1454,I$5)</f>
        <v/>
      </c>
      <c r="J10" s="220">
        <f>COUNTIF('①농산물raw'!$A$6:$A$1454,J$5)</f>
        <v/>
      </c>
      <c r="K10" s="223">
        <f>SUM(L10:M10)</f>
        <v/>
      </c>
      <c r="L10" s="220">
        <f>COUNTIF('②유기농raw'!$A$6:$A$207,L$5)</f>
        <v/>
      </c>
      <c r="M10" s="220">
        <f>COUNTIF('②유기농raw'!$A$6:$A$207,M$5)</f>
        <v/>
      </c>
    </row>
    <row r="11">
      <c r="B11" s="37" t="inlineStr">
        <is>
          <t>2. 유통사 별 쿠폰 사용액</t>
        </is>
      </c>
      <c r="C11" s="38" t="n"/>
      <c r="D11" s="106" t="n"/>
      <c r="K11" s="104" t="n"/>
    </row>
    <row r="12">
      <c r="B12" s="38" t="inlineStr">
        <is>
          <t>구분</t>
        </is>
      </c>
      <c r="C12" s="38" t="inlineStr">
        <is>
          <t>총 계</t>
        </is>
      </c>
      <c r="D12" s="106" t="inlineStr">
        <is>
          <t>농부가바로팜</t>
        </is>
      </c>
      <c r="E12" s="110" t="n"/>
      <c r="F12" s="110" t="n"/>
      <c r="G12" s="110" t="n"/>
      <c r="H12" s="110" t="n"/>
      <c r="I12" s="110" t="n"/>
      <c r="J12" s="111" t="n"/>
      <c r="K12" s="104" t="inlineStr">
        <is>
          <t>친환경</t>
        </is>
      </c>
      <c r="L12" s="110" t="n"/>
      <c r="M12" s="111" t="n"/>
    </row>
    <row r="13">
      <c r="B13" s="112" t="n"/>
      <c r="C13" s="112" t="n"/>
      <c r="D13" s="106" t="inlineStr">
        <is>
          <t>소 계</t>
        </is>
      </c>
      <c r="E13" s="106" t="inlineStr">
        <is>
          <t>네이버</t>
        </is>
      </c>
      <c r="F13" s="106" t="inlineStr">
        <is>
          <t>지마켓</t>
        </is>
      </c>
      <c r="G13" s="106" t="inlineStr">
        <is>
          <t>롯데ON</t>
        </is>
      </c>
      <c r="H13" s="106" t="inlineStr">
        <is>
          <t>온누리마켓</t>
        </is>
      </c>
      <c r="I13" s="106" t="inlineStr">
        <is>
          <t>농가살리기</t>
        </is>
      </c>
      <c r="J13" s="106" t="inlineStr">
        <is>
          <t>오아시스</t>
        </is>
      </c>
      <c r="K13" s="104" t="inlineStr">
        <is>
          <t>소 계</t>
        </is>
      </c>
      <c r="L13" s="104" t="inlineStr">
        <is>
          <t>네이버</t>
        </is>
      </c>
      <c r="M13" s="104" t="inlineStr">
        <is>
          <t>오아시스</t>
        </is>
      </c>
    </row>
    <row r="14">
      <c r="B14" s="38" t="inlineStr">
        <is>
          <t>쿠폰 사용액</t>
        </is>
      </c>
      <c r="C14" s="41">
        <f>D14+K14</f>
        <v/>
      </c>
      <c r="D14" s="42">
        <f>SUM(E14:J14)</f>
        <v/>
      </c>
      <c r="E14" s="216">
        <f>SUMIF(①농산물raw!$A$6:$A$1454,E$13,①농산물raw!$H$6:$H$1454)</f>
        <v/>
      </c>
      <c r="F14" s="216">
        <f>SUMIF(①농산물raw!$A$6:$A$1454,F$13,①농산물raw!$H$6:$H$1454)</f>
        <v/>
      </c>
      <c r="G14" s="216">
        <f>SUMIF(①농산물raw!$A$6:$A$1454,G$13,①농산물raw!$H$6:$H$1454)</f>
        <v/>
      </c>
      <c r="H14" s="216">
        <f>SUMIF(①농산물raw!$A$6:$A$1454,H$13,①농산물raw!$H$6:$H$1454)</f>
        <v/>
      </c>
      <c r="I14" s="216">
        <f>SUMIF(①농산물raw!$A$6:$A$1454,I$13,①농산물raw!$H$6:$H$1454)</f>
        <v/>
      </c>
      <c r="J14" s="216">
        <f>SUMIF(①농산물raw!$A$6:$A$1454,J$13,①농산물raw!$H$6:$H$1454)</f>
        <v/>
      </c>
      <c r="K14" s="44">
        <f>SUM(L14:M14)</f>
        <v/>
      </c>
      <c r="L14" s="216">
        <f>SUMIF(②유기농raw!$A$6:$A$207,L$13,②유기농raw!$H$6:$H$207)</f>
        <v/>
      </c>
      <c r="M14" s="216">
        <f>SUMIF(②유기농raw!$A$6:$A$207,M$13,②유기농raw!$H$6:$H$207)</f>
        <v/>
      </c>
    </row>
    <row r="15">
      <c r="B15" s="37" t="n"/>
    </row>
    <row r="16">
      <c r="B16" s="37" t="inlineStr">
        <is>
          <t>3. 유통사 별 매출 분석</t>
        </is>
      </c>
      <c r="C16" s="38" t="n"/>
      <c r="D16" s="106" t="n"/>
      <c r="K16" s="104" t="n"/>
    </row>
    <row r="17">
      <c r="B17" s="38" t="inlineStr">
        <is>
          <t>구분</t>
        </is>
      </c>
      <c r="C17" s="38" t="inlineStr">
        <is>
          <t>총 계</t>
        </is>
      </c>
      <c r="D17" s="106" t="inlineStr">
        <is>
          <t>농부가바로팜</t>
        </is>
      </c>
      <c r="E17" s="110" t="n"/>
      <c r="F17" s="110" t="n"/>
      <c r="G17" s="110" t="n"/>
      <c r="H17" s="110" t="n"/>
      <c r="I17" s="110" t="n"/>
      <c r="J17" s="111" t="n"/>
      <c r="K17" s="104" t="inlineStr">
        <is>
          <t>친환경</t>
        </is>
      </c>
      <c r="L17" s="110" t="n"/>
      <c r="M17" s="111" t="n"/>
    </row>
    <row r="18">
      <c r="B18" s="112" t="n"/>
      <c r="C18" s="112" t="n"/>
      <c r="D18" s="106" t="inlineStr">
        <is>
          <t>소 계</t>
        </is>
      </c>
      <c r="E18" s="106" t="inlineStr">
        <is>
          <t>네이버</t>
        </is>
      </c>
      <c r="F18" s="106" t="inlineStr">
        <is>
          <t>지마켓</t>
        </is>
      </c>
      <c r="G18" s="106" t="inlineStr">
        <is>
          <t>롯데ON</t>
        </is>
      </c>
      <c r="H18" s="106" t="inlineStr">
        <is>
          <t>온누리마켓</t>
        </is>
      </c>
      <c r="I18" s="106" t="inlineStr">
        <is>
          <t>농가살리기</t>
        </is>
      </c>
      <c r="J18" s="106" t="inlineStr">
        <is>
          <t>오아시스</t>
        </is>
      </c>
      <c r="K18" s="104" t="inlineStr">
        <is>
          <t>소 계</t>
        </is>
      </c>
      <c r="L18" s="104" t="inlineStr">
        <is>
          <t>네이버</t>
        </is>
      </c>
      <c r="M18" s="104" t="inlineStr">
        <is>
          <t>오아시스</t>
        </is>
      </c>
    </row>
    <row r="19">
      <c r="B19" s="38" t="inlineStr">
        <is>
          <t>매출액</t>
        </is>
      </c>
      <c r="C19" s="41">
        <f>D19+K19</f>
        <v/>
      </c>
      <c r="D19" s="42">
        <f>SUM(E19:J19)</f>
        <v/>
      </c>
      <c r="E19" s="216">
        <f>SUMIF(①농산물raw!$A$6:$A$1454,E$18,①농산물raw!$G$6:$G$1454)</f>
        <v/>
      </c>
      <c r="F19" s="216">
        <f>SUMIF(①농산물raw!$A$6:$A$1454,F$18,①농산물raw!$G$6:$G$1454)</f>
        <v/>
      </c>
      <c r="G19" s="216">
        <f>SUMIF(①농산물raw!$A$6:$A$1454,G$18,①농산물raw!$G$6:$G$1454)</f>
        <v/>
      </c>
      <c r="H19" s="216">
        <f>SUMIF(①농산물raw!$A$6:$A$1454,H$18,①농산물raw!$G$6:$G$1454)</f>
        <v/>
      </c>
      <c r="I19" s="216">
        <f>SUMIF(①농산물raw!$A$6:$A$1454,I$18,①농산물raw!$G$6:$G$1454)</f>
        <v/>
      </c>
      <c r="J19" s="216">
        <f>SUMIF(①농산물raw!$A$6:$A$1454,J$18,①농산물raw!$G$6:$G$1454)</f>
        <v/>
      </c>
      <c r="K19" s="44">
        <f>SUM(L19:M19)</f>
        <v/>
      </c>
      <c r="L19" s="216">
        <f>SUMIF(②유기농raw!$A$6:$A$207,L$18,②유기농raw!$G$6:$G$207)</f>
        <v/>
      </c>
      <c r="M19" s="216">
        <f>SUMIF(②유기농raw!$A$6:$A$207,M$18,②유기농raw!$G$6:$G$207)</f>
        <v/>
      </c>
    </row>
    <row r="20">
      <c r="B20" s="37" t="n"/>
    </row>
    <row r="21">
      <c r="B21" s="37" t="inlineStr">
        <is>
          <t>4. 유통사 별 판매 건수</t>
        </is>
      </c>
      <c r="C21" s="38" t="n"/>
      <c r="D21" s="106" t="n"/>
      <c r="K21" s="104" t="n"/>
    </row>
    <row r="22">
      <c r="B22" s="38" t="inlineStr">
        <is>
          <t>구분</t>
        </is>
      </c>
      <c r="C22" s="38" t="inlineStr">
        <is>
          <t>총 계</t>
        </is>
      </c>
      <c r="D22" s="106" t="inlineStr">
        <is>
          <t>농부가바로팜</t>
        </is>
      </c>
      <c r="E22" s="110" t="n"/>
      <c r="F22" s="110" t="n"/>
      <c r="G22" s="110" t="n"/>
      <c r="H22" s="110" t="n"/>
      <c r="I22" s="110" t="n"/>
      <c r="J22" s="111" t="n"/>
      <c r="K22" s="104" t="inlineStr">
        <is>
          <t>친환경</t>
        </is>
      </c>
      <c r="L22" s="110" t="n"/>
      <c r="M22" s="111" t="n"/>
    </row>
    <row r="23">
      <c r="B23" s="112" t="n"/>
      <c r="C23" s="112" t="n"/>
      <c r="D23" s="106" t="inlineStr">
        <is>
          <t>소 계</t>
        </is>
      </c>
      <c r="E23" s="106" t="inlineStr">
        <is>
          <t>네이버</t>
        </is>
      </c>
      <c r="F23" s="106" t="inlineStr">
        <is>
          <t>지마켓</t>
        </is>
      </c>
      <c r="G23" s="106" t="inlineStr">
        <is>
          <t>롯데ON</t>
        </is>
      </c>
      <c r="H23" s="106" t="inlineStr">
        <is>
          <t>온누리마켓</t>
        </is>
      </c>
      <c r="I23" s="106" t="inlineStr">
        <is>
          <t>농가살리기</t>
        </is>
      </c>
      <c r="J23" s="106" t="inlineStr">
        <is>
          <t>오아시스</t>
        </is>
      </c>
      <c r="K23" s="104" t="inlineStr">
        <is>
          <t>소 계</t>
        </is>
      </c>
      <c r="L23" s="104" t="inlineStr">
        <is>
          <t>네이버</t>
        </is>
      </c>
      <c r="M23" s="104" t="inlineStr">
        <is>
          <t>오아시스</t>
        </is>
      </c>
    </row>
    <row r="24">
      <c r="B24" s="38" t="inlineStr">
        <is>
          <t>판매건수</t>
        </is>
      </c>
      <c r="C24" s="41">
        <f>D24+K24</f>
        <v/>
      </c>
      <c r="D24" s="42">
        <f>SUM(E24:J24)</f>
        <v/>
      </c>
      <c r="E24" s="216">
        <f>SUMIF(①농산물raw!$A$6:$A$1454,E$23,①농산물raw!$F$6:$F$1454)</f>
        <v/>
      </c>
      <c r="F24" s="216">
        <f>SUMIF(①농산물raw!$A$6:$A$1454,F$23,①농산물raw!$F$6:$F$1454)</f>
        <v/>
      </c>
      <c r="G24" s="216">
        <f>SUMIF(①농산물raw!$A$6:$A$1454,G$23,①농산물raw!$F$6:$F$1454)</f>
        <v/>
      </c>
      <c r="H24" s="216">
        <f>SUMIF(①농산물raw!$A$6:$A$1454,H$23,①농산물raw!$F$6:$F$1454)</f>
        <v/>
      </c>
      <c r="I24" s="216">
        <f>SUMIF(①농산물raw!$A$6:$A$1454,I$23,①농산물raw!$F$6:$F$1454)</f>
        <v/>
      </c>
      <c r="J24" s="216">
        <f>SUMIF(①농산물raw!$A$6:$A$1454,J$23,①농산물raw!$F$6:$F$1454)</f>
        <v/>
      </c>
      <c r="K24" s="44">
        <f>SUM(L24:M24)</f>
        <v/>
      </c>
      <c r="L24" s="216">
        <f>SUMIF(②유기농raw!$A$6:$A$207,L$23,②유기농raw!$F$6:$F$207)</f>
        <v/>
      </c>
      <c r="M24" s="216">
        <f>SUMIF(②유기농raw!$A$6:$A$207,M$23,②유기농raw!$F$6:$F$207)</f>
        <v/>
      </c>
    </row>
    <row r="25">
      <c r="B25" s="37" t="n"/>
    </row>
    <row r="26">
      <c r="B26" s="37" t="inlineStr">
        <is>
          <t>5. 유통사별 품목별 쿠폰 사용액</t>
        </is>
      </c>
      <c r="C26" s="38" t="n"/>
      <c r="D26" s="106" t="n"/>
      <c r="K26" s="104" t="n"/>
    </row>
    <row r="27">
      <c r="B27" s="38" t="inlineStr">
        <is>
          <t>구분</t>
        </is>
      </c>
      <c r="C27" s="38" t="inlineStr">
        <is>
          <t>총 계</t>
        </is>
      </c>
      <c r="D27" s="106" t="inlineStr">
        <is>
          <t>농부가바로팜</t>
        </is>
      </c>
      <c r="E27" s="110" t="n"/>
      <c r="F27" s="110" t="n"/>
      <c r="G27" s="110" t="n"/>
      <c r="H27" s="110" t="n"/>
      <c r="I27" s="110" t="n"/>
      <c r="J27" s="111" t="n"/>
      <c r="K27" s="104" t="inlineStr">
        <is>
          <t>친환경</t>
        </is>
      </c>
      <c r="L27" s="110" t="n"/>
      <c r="M27" s="111" t="n"/>
    </row>
    <row r="28">
      <c r="B28" s="112" t="n"/>
      <c r="C28" s="112" t="n"/>
      <c r="D28" s="106" t="inlineStr">
        <is>
          <t>소 계</t>
        </is>
      </c>
      <c r="E28" s="106" t="inlineStr">
        <is>
          <t>네이버</t>
        </is>
      </c>
      <c r="F28" s="106" t="inlineStr">
        <is>
          <t>지마켓</t>
        </is>
      </c>
      <c r="G28" s="106" t="inlineStr">
        <is>
          <t>롯데ON</t>
        </is>
      </c>
      <c r="H28" s="106" t="inlineStr">
        <is>
          <t>온누리마켓</t>
        </is>
      </c>
      <c r="I28" s="106" t="inlineStr">
        <is>
          <t>농가살리기</t>
        </is>
      </c>
      <c r="J28" s="106" t="inlineStr">
        <is>
          <t>오아시스</t>
        </is>
      </c>
      <c r="K28" s="104" t="inlineStr">
        <is>
          <t>소 계</t>
        </is>
      </c>
      <c r="L28" s="104" t="inlineStr">
        <is>
          <t>네이버</t>
        </is>
      </c>
      <c r="M28" s="104" t="inlineStr">
        <is>
          <t>오아시스</t>
        </is>
      </c>
    </row>
    <row r="29">
      <c r="B29" s="38" t="inlineStr">
        <is>
          <t>총 계</t>
        </is>
      </c>
      <c r="C29" s="41">
        <f>D29+K29</f>
        <v/>
      </c>
      <c r="D29" s="42">
        <f>SUM(E29:J29)</f>
        <v/>
      </c>
      <c r="E29" s="216">
        <f>SUM(E30:E32)</f>
        <v/>
      </c>
      <c r="F29" s="216">
        <f>SUM(F30:F32)</f>
        <v/>
      </c>
      <c r="G29" s="216">
        <f>SUM(G30:G32)</f>
        <v/>
      </c>
      <c r="H29" s="216">
        <f>SUM(H30:H32)</f>
        <v/>
      </c>
      <c r="I29" s="216">
        <f>SUM(I30:I32)</f>
        <v/>
      </c>
      <c r="J29" s="216">
        <f>SUM(J30:J32)</f>
        <v/>
      </c>
      <c r="K29" s="44">
        <f>SUM(L29:M29)</f>
        <v/>
      </c>
      <c r="L29" s="216">
        <f>SUM(L30:L32)</f>
        <v/>
      </c>
      <c r="M29" s="216">
        <f>SUM(M30:M32)</f>
        <v/>
      </c>
    </row>
    <row r="30">
      <c r="B30" s="45" t="inlineStr">
        <is>
          <t>농산물</t>
        </is>
      </c>
      <c r="C30" s="41">
        <f>D30+K30</f>
        <v/>
      </c>
      <c r="D30" s="42">
        <f>SUM(E30:J30)</f>
        <v/>
      </c>
      <c r="E30" s="216">
        <f>SUMIFS(①농산물raw!$H$6:$H$1454,①농산물raw!$A$6:$A$1454,E$28,①농산물raw!$B$6:$B$1454,$B30)</f>
        <v/>
      </c>
      <c r="F30" s="216">
        <f>SUMIFS(①농산물raw!$H$6:$H$1454,①농산물raw!$A$6:$A$1454,F$28,①농산물raw!$B$6:$B$1454,$B30)</f>
        <v/>
      </c>
      <c r="G30" s="216">
        <f>SUMIFS(①농산물raw!$H$6:$H$1454,①농산물raw!$A$6:$A$1454,G$28,①농산물raw!$B$6:$B$1454,$B30)</f>
        <v/>
      </c>
      <c r="H30" s="216">
        <f>SUMIFS(①농산물raw!$H$6:$H$1454,①농산물raw!$A$6:$A$1454,H$28,①농산물raw!$B$6:$B$1454,$B30)</f>
        <v/>
      </c>
      <c r="I30" s="216">
        <f>SUMIFS(①농산물raw!$H$6:$H$1454,①농산물raw!$A$6:$A$1454,I$28,①농산물raw!$B$6:$B$1454,$B30)</f>
        <v/>
      </c>
      <c r="J30" s="216">
        <f>SUMIFS(①농산물raw!$H$6:$H$1454,①농산물raw!$A$6:$A$1454,J$28,①농산물raw!$B$6:$B$1454,$B30)</f>
        <v/>
      </c>
      <c r="K30" s="44">
        <f>SUM(L30:M30)</f>
        <v/>
      </c>
      <c r="L30" s="216">
        <f>SUMIFS(②유기농raw!$H$6:$H$207,②유기농raw!$A$6:$A$207,L$28,②유기농raw!$B$6:$B$207,$B30)</f>
        <v/>
      </c>
      <c r="M30" s="216">
        <f>SUMIFS(②유기농raw!$H$6:$H$207,②유기농raw!$A$6:$A$207,M$28,②유기농raw!$B$6:$B$207,$B30)</f>
        <v/>
      </c>
    </row>
    <row r="31">
      <c r="B31" s="45" t="inlineStr">
        <is>
          <t>축산물</t>
        </is>
      </c>
      <c r="C31" s="41">
        <f>D31+K31</f>
        <v/>
      </c>
      <c r="D31" s="42">
        <f>SUM(E31:J31)</f>
        <v/>
      </c>
      <c r="E31" s="216">
        <f>SUMIFS(①농산물raw!$H$6:$H$1454,①농산물raw!$A$6:$A$1454,E$28,①농산물raw!$B$6:$B$1454,$B31)</f>
        <v/>
      </c>
      <c r="F31" s="216">
        <f>SUMIFS(①농산물raw!$H$6:$H$1454,①농산물raw!$A$6:$A$1454,F$28,①농산물raw!$B$6:$B$1454,$B31)</f>
        <v/>
      </c>
      <c r="G31" s="216">
        <f>SUMIFS(①농산물raw!$H$6:$H$1454,①농산물raw!$A$6:$A$1454,G$28,①농산물raw!$B$6:$B$1454,$B31)</f>
        <v/>
      </c>
      <c r="H31" s="216">
        <f>SUMIFS(①농산물raw!$H$6:$H$1454,①농산물raw!$A$6:$A$1454,H$28,①농산물raw!$B$6:$B$1454,$B31)</f>
        <v/>
      </c>
      <c r="I31" s="216">
        <f>SUMIFS(①농산물raw!$H$6:$H$1454,①농산물raw!$A$6:$A$1454,I$28,①농산물raw!$B$6:$B$1454,$B31)</f>
        <v/>
      </c>
      <c r="J31" s="216">
        <f>SUMIFS(①농산물raw!$H$6:$H$1454,①농산물raw!$A$6:$A$1454,J$28,①농산물raw!$B$6:$B$1454,$B31)</f>
        <v/>
      </c>
      <c r="K31" s="44">
        <f>SUM(L31:M31)</f>
        <v/>
      </c>
      <c r="L31" s="216">
        <f>SUMIFS(②유기농raw!$H$6:$H$207,②유기농raw!$A$6:$A$207,L$28,②유기농raw!$B$6:$B$207,$B31)</f>
        <v/>
      </c>
      <c r="M31" s="216">
        <f>SUMIFS(②유기농raw!$H$6:$H$207,②유기농raw!$A$6:$A$207,M$28,②유기농raw!$B$6:$B$207,$B31)</f>
        <v/>
      </c>
    </row>
    <row r="32">
      <c r="B32" s="45" t="inlineStr">
        <is>
          <t>가공식품</t>
        </is>
      </c>
      <c r="C32" s="41">
        <f>D32+K32</f>
        <v/>
      </c>
      <c r="D32" s="42">
        <f>SUM(E32:J32)</f>
        <v/>
      </c>
      <c r="E32" s="216">
        <f>SUMIFS(①농산물raw!$H$6:$H$1454,①농산물raw!$A$6:$A$1454,E$28,①농산물raw!$B$6:$B$1454,$B32)</f>
        <v/>
      </c>
      <c r="F32" s="216">
        <f>SUMIFS(①농산물raw!$H$6:$H$1454,①농산물raw!$A$6:$A$1454,F$28,①농산물raw!$B$6:$B$1454,$B32)</f>
        <v/>
      </c>
      <c r="G32" s="216">
        <f>SUMIFS(①농산물raw!$H$6:$H$1454,①농산물raw!$A$6:$A$1454,G$28,①농산물raw!$B$6:$B$1454,$B32)</f>
        <v/>
      </c>
      <c r="H32" s="216">
        <f>SUMIFS(①농산물raw!$H$6:$H$1454,①농산물raw!$A$6:$A$1454,H$28,①농산물raw!$B$6:$B$1454,$B32)</f>
        <v/>
      </c>
      <c r="I32" s="216">
        <f>SUMIFS(①농산물raw!$H$6:$H$1454,①농산물raw!$A$6:$A$1454,I$28,①농산물raw!$B$6:$B$1454,$B32)</f>
        <v/>
      </c>
      <c r="J32" s="216">
        <f>SUMIFS(①농산물raw!$H$6:$H$1454,①농산물raw!$A$6:$A$1454,J$28,①농산물raw!$B$6:$B$1454,$B32)</f>
        <v/>
      </c>
      <c r="K32" s="44">
        <f>SUM(L32:M32)</f>
        <v/>
      </c>
      <c r="L32" s="216">
        <f>SUMIFS(②유기농raw!$H$6:$H$207,②유기농raw!$A$6:$A$207,L$28,②유기농raw!$B$6:$B$207,$B32)</f>
        <v/>
      </c>
      <c r="M32" s="216">
        <f>SUMIFS(②유기농raw!$H$6:$H$207,②유기농raw!$A$6:$A$207,M$28,②유기농raw!$B$6:$B$207,$B32)</f>
        <v/>
      </c>
    </row>
    <row r="33">
      <c r="B33" s="37" t="n"/>
    </row>
    <row r="34">
      <c r="B34" s="37" t="inlineStr">
        <is>
          <t>6. 유통사별 품목별 매출 분석</t>
        </is>
      </c>
      <c r="C34" s="38" t="n"/>
      <c r="D34" s="106" t="n"/>
      <c r="K34" s="104" t="n"/>
    </row>
    <row r="35">
      <c r="B35" s="38" t="inlineStr">
        <is>
          <t>구분</t>
        </is>
      </c>
      <c r="C35" s="38" t="inlineStr">
        <is>
          <t>총 계</t>
        </is>
      </c>
      <c r="D35" s="106" t="inlineStr">
        <is>
          <t>농부가바로팜</t>
        </is>
      </c>
      <c r="E35" s="110" t="n"/>
      <c r="F35" s="110" t="n"/>
      <c r="G35" s="110" t="n"/>
      <c r="H35" s="110" t="n"/>
      <c r="I35" s="110" t="n"/>
      <c r="J35" s="111" t="n"/>
      <c r="K35" s="104" t="inlineStr">
        <is>
          <t>친환경</t>
        </is>
      </c>
      <c r="L35" s="110" t="n"/>
      <c r="M35" s="111" t="n"/>
    </row>
    <row r="36">
      <c r="B36" s="112" t="n"/>
      <c r="C36" s="112" t="n"/>
      <c r="D36" s="106" t="inlineStr">
        <is>
          <t>소 계</t>
        </is>
      </c>
      <c r="E36" s="106" t="inlineStr">
        <is>
          <t>네이버</t>
        </is>
      </c>
      <c r="F36" s="106" t="inlineStr">
        <is>
          <t>지마켓</t>
        </is>
      </c>
      <c r="G36" s="106" t="inlineStr">
        <is>
          <t>롯데ON</t>
        </is>
      </c>
      <c r="H36" s="106" t="inlineStr">
        <is>
          <t>온누리마켓</t>
        </is>
      </c>
      <c r="I36" s="106" t="inlineStr">
        <is>
          <t>농가살리기</t>
        </is>
      </c>
      <c r="J36" s="106" t="inlineStr">
        <is>
          <t>오아시스</t>
        </is>
      </c>
      <c r="K36" s="104" t="inlineStr">
        <is>
          <t>소 계</t>
        </is>
      </c>
      <c r="L36" s="104" t="inlineStr">
        <is>
          <t>네이버</t>
        </is>
      </c>
      <c r="M36" s="104" t="inlineStr">
        <is>
          <t>오아시스</t>
        </is>
      </c>
    </row>
    <row r="37">
      <c r="B37" s="38" t="inlineStr">
        <is>
          <t>총 계</t>
        </is>
      </c>
      <c r="C37" s="41">
        <f>D37+K37</f>
        <v/>
      </c>
      <c r="D37" s="42">
        <f>SUM(E37:J37)</f>
        <v/>
      </c>
      <c r="E37" s="216">
        <f>SUM(E38:E40)</f>
        <v/>
      </c>
      <c r="F37" s="216">
        <f>SUM(F38:F40)</f>
        <v/>
      </c>
      <c r="G37" s="216">
        <f>SUM(G38:G40)</f>
        <v/>
      </c>
      <c r="H37" s="216">
        <f>SUM(H38:H40)</f>
        <v/>
      </c>
      <c r="I37" s="216">
        <f>SUM(I38:I40)</f>
        <v/>
      </c>
      <c r="J37" s="216">
        <f>SUM(J38:J40)</f>
        <v/>
      </c>
      <c r="K37" s="44">
        <f>SUM(L37:M37)</f>
        <v/>
      </c>
      <c r="L37" s="216">
        <f>SUM(L38:L40)</f>
        <v/>
      </c>
      <c r="M37" s="216">
        <f>SUM(M38:M40)</f>
        <v/>
      </c>
    </row>
    <row r="38">
      <c r="B38" s="45" t="inlineStr">
        <is>
          <t>농산물</t>
        </is>
      </c>
      <c r="C38" s="41">
        <f>D38+K38</f>
        <v/>
      </c>
      <c r="D38" s="42">
        <f>SUM(E38:J38)</f>
        <v/>
      </c>
      <c r="E38" s="216">
        <f>SUMIFS(①농산물raw!$G$6:$G$1454,①농산물raw!$A$6:$A$1454,E$36,①농산물raw!$B$6:$B$1454,$B38)</f>
        <v/>
      </c>
      <c r="F38" s="216">
        <f>SUMIFS(①농산물raw!$G$6:$G$1454,①농산물raw!$A$6:$A$1454,F$36,①농산물raw!$B$6:$B$1454,$B38)</f>
        <v/>
      </c>
      <c r="G38" s="216">
        <f>SUMIFS(①농산물raw!$G$6:$G$1454,①농산물raw!$A$6:$A$1454,G$36,①농산물raw!$B$6:$B$1454,$B38)</f>
        <v/>
      </c>
      <c r="H38" s="216">
        <f>SUMIFS(①농산물raw!$G$6:$G$1454,①농산물raw!$A$6:$A$1454,H$36,①농산물raw!$B$6:$B$1454,$B38)</f>
        <v/>
      </c>
      <c r="I38" s="216">
        <f>SUMIFS(①농산물raw!$G$6:$G$1454,①농산물raw!$A$6:$A$1454,I$36,①농산물raw!$B$6:$B$1454,$B38)</f>
        <v/>
      </c>
      <c r="J38" s="216">
        <f>SUMIFS(①농산물raw!$G$6:$G$1454,①농산물raw!$A$6:$A$1454,J$36,①농산물raw!$B$6:$B$1454,$B38)</f>
        <v/>
      </c>
      <c r="K38" s="44">
        <f>SUM(L38:M38)</f>
        <v/>
      </c>
      <c r="L38" s="216">
        <f>SUMIFS(②유기농raw!$G$6:$G$207,②유기농raw!$A$6:$A$207,L$36,②유기농raw!$B$6:$B$207,$B38)</f>
        <v/>
      </c>
      <c r="M38" s="216">
        <f>SUMIFS(②유기농raw!$G$6:$G$207,②유기농raw!$A$6:$A$207,M$36,②유기농raw!$B$6:$B$207,$B38)</f>
        <v/>
      </c>
    </row>
    <row r="39">
      <c r="B39" s="45" t="inlineStr">
        <is>
          <t>축산물</t>
        </is>
      </c>
      <c r="C39" s="41">
        <f>D39+K39</f>
        <v/>
      </c>
      <c r="D39" s="42">
        <f>SUM(E39:J39)</f>
        <v/>
      </c>
      <c r="E39" s="216">
        <f>SUMIFS(①농산물raw!$G$6:$G$1454,①농산물raw!$A$6:$A$1454,E$36,①농산물raw!$B$6:$B$1454,$B39)</f>
        <v/>
      </c>
      <c r="F39" s="216">
        <f>SUMIFS(①농산물raw!$G$6:$G$1454,①농산물raw!$A$6:$A$1454,F$36,①농산물raw!$B$6:$B$1454,$B39)</f>
        <v/>
      </c>
      <c r="G39" s="216">
        <f>SUMIFS(①농산물raw!$G$6:$G$1454,①농산물raw!$A$6:$A$1454,G$36,①농산물raw!$B$6:$B$1454,$B39)</f>
        <v/>
      </c>
      <c r="H39" s="216">
        <f>SUMIFS(①농산물raw!$G$6:$G$1454,①농산물raw!$A$6:$A$1454,H$36,①농산물raw!$B$6:$B$1454,$B39)</f>
        <v/>
      </c>
      <c r="I39" s="216">
        <f>SUMIFS(①농산물raw!$G$6:$G$1454,①농산물raw!$A$6:$A$1454,I$36,①농산물raw!$B$6:$B$1454,$B39)</f>
        <v/>
      </c>
      <c r="J39" s="216">
        <f>SUMIFS(①농산물raw!$G$6:$G$1454,①농산물raw!$A$6:$A$1454,J$36,①농산물raw!$B$6:$B$1454,$B39)</f>
        <v/>
      </c>
      <c r="K39" s="44">
        <f>SUM(L39:M39)</f>
        <v/>
      </c>
      <c r="L39" s="216">
        <f>SUMIFS(②유기농raw!$G$6:$G$207,②유기농raw!$A$6:$A$207,L$36,②유기농raw!$B$6:$B$207,$B39)</f>
        <v/>
      </c>
      <c r="M39" s="216">
        <f>SUMIFS(②유기농raw!$G$6:$G$207,②유기농raw!$A$6:$A$207,M$36,②유기농raw!$B$6:$B$207,$B39)</f>
        <v/>
      </c>
    </row>
    <row r="40">
      <c r="B40" s="45" t="inlineStr">
        <is>
          <t>가공식품</t>
        </is>
      </c>
      <c r="C40" s="41">
        <f>D40+K40</f>
        <v/>
      </c>
      <c r="D40" s="42">
        <f>SUM(E40:J40)</f>
        <v/>
      </c>
      <c r="E40" s="216">
        <f>SUMIFS(①농산물raw!$G$6:$G$1454,①농산물raw!$A$6:$A$1454,E$36,①농산물raw!$B$6:$B$1454,$B40)</f>
        <v/>
      </c>
      <c r="F40" s="216">
        <f>SUMIFS(①농산물raw!$G$6:$G$1454,①농산물raw!$A$6:$A$1454,F$36,①농산물raw!$B$6:$B$1454,$B40)</f>
        <v/>
      </c>
      <c r="G40" s="216">
        <f>SUMIFS(①농산물raw!$G$6:$G$1454,①농산물raw!$A$6:$A$1454,G$36,①농산물raw!$B$6:$B$1454,$B40)</f>
        <v/>
      </c>
      <c r="H40" s="216">
        <f>SUMIFS(①농산물raw!$G$6:$G$1454,①농산물raw!$A$6:$A$1454,H$36,①농산물raw!$B$6:$B$1454,$B40)</f>
        <v/>
      </c>
      <c r="I40" s="216">
        <f>SUMIFS(①농산물raw!$G$6:$G$1454,①농산물raw!$A$6:$A$1454,I$36,①농산물raw!$B$6:$B$1454,$B40)</f>
        <v/>
      </c>
      <c r="J40" s="216">
        <f>SUMIFS(①농산물raw!$G$6:$G$1454,①농산물raw!$A$6:$A$1454,J$36,①농산물raw!$B$6:$B$1454,$B40)</f>
        <v/>
      </c>
      <c r="K40" s="44">
        <f>SUM(L40:M40)</f>
        <v/>
      </c>
      <c r="L40" s="216">
        <f>SUMIFS(②유기농raw!$G$6:$G$207,②유기농raw!$A$6:$A$207,L$36,②유기농raw!$B$6:$B$207,$B40)</f>
        <v/>
      </c>
      <c r="M40" s="216">
        <f>SUMIFS(②유기농raw!$G$6:$G$207,②유기농raw!$A$6:$A$207,M$36,②유기농raw!$B$6:$B$207,$B40)</f>
        <v/>
      </c>
    </row>
    <row r="41">
      <c r="B41" s="37" t="n"/>
    </row>
    <row r="42">
      <c r="B42" s="37" t="inlineStr">
        <is>
          <t>7. 유통사별 품목별 판매 건수</t>
        </is>
      </c>
      <c r="C42" s="38" t="n"/>
      <c r="D42" s="106" t="n"/>
      <c r="K42" s="104" t="n"/>
    </row>
    <row r="43">
      <c r="B43" s="38" t="inlineStr">
        <is>
          <t>구분</t>
        </is>
      </c>
      <c r="C43" s="38" t="inlineStr">
        <is>
          <t>총 계</t>
        </is>
      </c>
      <c r="D43" s="106" t="inlineStr">
        <is>
          <t>농부가바로팜</t>
        </is>
      </c>
      <c r="E43" s="110" t="n"/>
      <c r="F43" s="110" t="n"/>
      <c r="G43" s="110" t="n"/>
      <c r="H43" s="110" t="n"/>
      <c r="I43" s="110" t="n"/>
      <c r="J43" s="111" t="n"/>
      <c r="K43" s="104" t="inlineStr">
        <is>
          <t>친환경</t>
        </is>
      </c>
      <c r="L43" s="110" t="n"/>
      <c r="M43" s="111" t="n"/>
    </row>
    <row r="44">
      <c r="B44" s="112" t="n"/>
      <c r="C44" s="112" t="n"/>
      <c r="D44" s="106" t="inlineStr">
        <is>
          <t>소 계</t>
        </is>
      </c>
      <c r="E44" s="106" t="inlineStr">
        <is>
          <t>네이버</t>
        </is>
      </c>
      <c r="F44" s="106" t="inlineStr">
        <is>
          <t>지마켓</t>
        </is>
      </c>
      <c r="G44" s="106" t="inlineStr">
        <is>
          <t>롯데ON</t>
        </is>
      </c>
      <c r="H44" s="106" t="inlineStr">
        <is>
          <t>온누리마켓</t>
        </is>
      </c>
      <c r="I44" s="106" t="inlineStr">
        <is>
          <t>농가살리기</t>
        </is>
      </c>
      <c r="J44" s="106" t="inlineStr">
        <is>
          <t>오아시스</t>
        </is>
      </c>
      <c r="K44" s="104" t="inlineStr">
        <is>
          <t>소 계</t>
        </is>
      </c>
      <c r="L44" s="104" t="inlineStr">
        <is>
          <t>네이버</t>
        </is>
      </c>
      <c r="M44" s="104" t="inlineStr">
        <is>
          <t>오아시스</t>
        </is>
      </c>
    </row>
    <row r="45">
      <c r="B45" s="38" t="inlineStr">
        <is>
          <t>총 계</t>
        </is>
      </c>
      <c r="C45" s="41">
        <f>D45+K45</f>
        <v/>
      </c>
      <c r="D45" s="42">
        <f>SUM(E45:J45)</f>
        <v/>
      </c>
      <c r="E45" s="216">
        <f>SUM(E46:E48)</f>
        <v/>
      </c>
      <c r="F45" s="216">
        <f>SUM(F46:F48)</f>
        <v/>
      </c>
      <c r="G45" s="216">
        <f>SUM(G46:G48)</f>
        <v/>
      </c>
      <c r="H45" s="216">
        <f>SUM(H46:H48)</f>
        <v/>
      </c>
      <c r="I45" s="216">
        <f>SUM(I46:I48)</f>
        <v/>
      </c>
      <c r="J45" s="216">
        <f>SUM(J46:J48)</f>
        <v/>
      </c>
      <c r="K45" s="44">
        <f>SUM(L45:M45)</f>
        <v/>
      </c>
      <c r="L45" s="216">
        <f>SUM(L46:L48)</f>
        <v/>
      </c>
      <c r="M45" s="216">
        <f>SUM(M46:M48)</f>
        <v/>
      </c>
    </row>
    <row r="46">
      <c r="B46" s="45" t="inlineStr">
        <is>
          <t>농산물</t>
        </is>
      </c>
      <c r="C46" s="41">
        <f>D46+K46</f>
        <v/>
      </c>
      <c r="D46" s="42">
        <f>SUM(E46:J46)</f>
        <v/>
      </c>
      <c r="E46" s="216">
        <f>SUMIFS(①농산물raw!$F$6:$F$1454,①농산물raw!$A$6:$A$1454,E$44,①농산물raw!$B$6:$B$1454,$B46)</f>
        <v/>
      </c>
      <c r="F46" s="216">
        <f>SUMIFS(①농산물raw!$F$6:$F$1454,①농산물raw!$A$6:$A$1454,F$44,①농산물raw!$B$6:$B$1454,$B46)</f>
        <v/>
      </c>
      <c r="G46" s="216">
        <f>SUMIFS(①농산물raw!$F$6:$F$1454,①농산물raw!$A$6:$A$1454,G$44,①농산물raw!$B$6:$B$1454,$B46)</f>
        <v/>
      </c>
      <c r="H46" s="216">
        <f>SUMIFS(①농산물raw!$F$6:$F$1454,①농산물raw!$A$6:$A$1454,H$44,①농산물raw!$B$6:$B$1454,$B46)</f>
        <v/>
      </c>
      <c r="I46" s="216">
        <f>SUMIFS(①농산물raw!$F$6:$F$1454,①농산물raw!$A$6:$A$1454,I$44,①농산물raw!$B$6:$B$1454,$B46)</f>
        <v/>
      </c>
      <c r="J46" s="216">
        <f>SUMIFS(①농산물raw!$F$6:$F$1454,①농산물raw!$A$6:$A$1454,J$44,①농산물raw!$B$6:$B$1454,$B46)</f>
        <v/>
      </c>
      <c r="K46" s="44">
        <f>SUM(L46:M46)</f>
        <v/>
      </c>
      <c r="L46" s="216">
        <f>SUMIFS(②유기농raw!$F$6:$F$207,②유기농raw!$A$6:$A$207,L$44,②유기농raw!$B$6:$B$207,$B46)</f>
        <v/>
      </c>
      <c r="M46" s="216">
        <f>SUMIFS(②유기농raw!$F$6:$F$207,②유기농raw!$A$6:$A$207,M$44,②유기농raw!$B$6:$B$207,$B46)</f>
        <v/>
      </c>
    </row>
    <row r="47">
      <c r="B47" s="45" t="inlineStr">
        <is>
          <t>축산물</t>
        </is>
      </c>
      <c r="C47" s="41">
        <f>D47+K47</f>
        <v/>
      </c>
      <c r="D47" s="42">
        <f>SUM(E47:J47)</f>
        <v/>
      </c>
      <c r="E47" s="216">
        <f>SUMIFS(①농산물raw!$F$6:$F$1454,①농산물raw!$A$6:$A$1454,E$44,①농산물raw!$B$6:$B$1454,$B47)</f>
        <v/>
      </c>
      <c r="F47" s="216">
        <f>SUMIFS(①농산물raw!$F$6:$F$1454,①농산물raw!$A$6:$A$1454,F$44,①농산물raw!$B$6:$B$1454,$B47)</f>
        <v/>
      </c>
      <c r="G47" s="216">
        <f>SUMIFS(①농산물raw!$F$6:$F$1454,①농산물raw!$A$6:$A$1454,G$44,①농산물raw!$B$6:$B$1454,$B47)</f>
        <v/>
      </c>
      <c r="H47" s="216">
        <f>SUMIFS(①농산물raw!$F$6:$F$1454,①농산물raw!$A$6:$A$1454,H$44,①농산물raw!$B$6:$B$1454,$B47)</f>
        <v/>
      </c>
      <c r="I47" s="216">
        <f>SUMIFS(①농산물raw!$F$6:$F$1454,①농산물raw!$A$6:$A$1454,I$44,①농산물raw!$B$6:$B$1454,$B47)</f>
        <v/>
      </c>
      <c r="J47" s="216">
        <f>SUMIFS(①농산물raw!$F$6:$F$1454,①농산물raw!$A$6:$A$1454,J$44,①농산물raw!$B$6:$B$1454,$B47)</f>
        <v/>
      </c>
      <c r="K47" s="44">
        <f>SUM(L47:M47)</f>
        <v/>
      </c>
      <c r="L47" s="216">
        <f>SUMIFS(②유기농raw!$F$6:$F$207,②유기농raw!$A$6:$A$207,L$44,②유기농raw!$B$6:$B$207,$B47)</f>
        <v/>
      </c>
      <c r="M47" s="216">
        <f>SUMIFS(②유기농raw!$F$6:$F$207,②유기농raw!$A$6:$A$207,M$44,②유기농raw!$B$6:$B$207,$B47)</f>
        <v/>
      </c>
    </row>
    <row r="48">
      <c r="B48" s="45" t="inlineStr">
        <is>
          <t>가공식품</t>
        </is>
      </c>
      <c r="C48" s="41">
        <f>D48+K48</f>
        <v/>
      </c>
      <c r="D48" s="42">
        <f>SUM(E48:J48)</f>
        <v/>
      </c>
      <c r="E48" s="216">
        <f>SUMIFS(①농산물raw!$F$6:$F$1454,①농산물raw!$A$6:$A$1454,E$44,①농산물raw!$B$6:$B$1454,$B48)</f>
        <v/>
      </c>
      <c r="F48" s="216">
        <f>SUMIFS(①농산물raw!$F$6:$F$1454,①농산물raw!$A$6:$A$1454,F$44,①농산물raw!$B$6:$B$1454,$B48)</f>
        <v/>
      </c>
      <c r="G48" s="216">
        <f>SUMIFS(①농산물raw!$F$6:$F$1454,①농산물raw!$A$6:$A$1454,G$44,①농산물raw!$B$6:$B$1454,$B48)</f>
        <v/>
      </c>
      <c r="H48" s="216">
        <f>SUMIFS(①농산물raw!$F$6:$F$1454,①농산물raw!$A$6:$A$1454,H$44,①농산물raw!$B$6:$B$1454,$B48)</f>
        <v/>
      </c>
      <c r="I48" s="216">
        <f>SUMIFS(①농산물raw!$F$6:$F$1454,①농산물raw!$A$6:$A$1454,I$44,①농산물raw!$B$6:$B$1454,$B48)</f>
        <v/>
      </c>
      <c r="J48" s="216">
        <f>SUMIFS(①농산물raw!$F$6:$F$1454,①농산물raw!$A$6:$A$1454,J$44,①농산물raw!$B$6:$B$1454,$B48)</f>
        <v/>
      </c>
      <c r="K48" s="44">
        <f>SUM(L48:M48)</f>
        <v/>
      </c>
      <c r="L48" s="216">
        <f>SUMIFS(②유기농raw!$F$6:$F$207,②유기농raw!$A$6:$A$207,L$44,②유기농raw!$B$6:$B$207,$B48)</f>
        <v/>
      </c>
      <c r="M48" s="216">
        <f>SUMIFS(②유기농raw!$F$6:$F$207,②유기농raw!$A$6:$A$207,M$44,②유기농raw!$B$6:$B$207,$B48)</f>
        <v/>
      </c>
    </row>
    <row r="50" ht="19.2" customHeight="1" s="21">
      <c r="A50" s="113" t="n"/>
      <c r="B50" s="114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4" t="inlineStr">
        <is>
          <t>※ 농산물 온라인 마케터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5" t="inlineStr">
        <is>
          <t>1. 월별 참여 업체 및 상품 수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</row>
    <row r="54">
      <c r="A54" s="113" t="n"/>
      <c r="B54" s="116" t="inlineStr">
        <is>
          <t>구분</t>
        </is>
      </c>
      <c r="C54" s="117" t="n"/>
      <c r="D54" s="116" t="inlineStr">
        <is>
          <t>총 계</t>
        </is>
      </c>
      <c r="E54" s="116" t="inlineStr">
        <is>
          <t>네이버</t>
        </is>
      </c>
      <c r="F54" s="116" t="inlineStr">
        <is>
          <t>지마켓</t>
        </is>
      </c>
      <c r="G54" s="116" t="inlineStr">
        <is>
          <t>롯데ON</t>
        </is>
      </c>
      <c r="H54" s="116" t="inlineStr">
        <is>
          <t>온누리마켓</t>
        </is>
      </c>
      <c r="I54" s="116" t="inlineStr">
        <is>
          <t>농가살리기</t>
        </is>
      </c>
      <c r="J54" s="116" t="inlineStr">
        <is>
          <t>오아시스</t>
        </is>
      </c>
      <c r="K54" s="113" t="n"/>
      <c r="L54" s="113" t="n"/>
      <c r="M54" s="113" t="n"/>
      <c r="N54" s="113" t="n"/>
    </row>
    <row r="55">
      <c r="A55" s="113" t="n"/>
      <c r="B55" s="118" t="inlineStr">
        <is>
          <t>7월</t>
        </is>
      </c>
      <c r="C55" s="119" t="inlineStr">
        <is>
          <t>업체수</t>
        </is>
      </c>
      <c r="D55" s="120">
        <f>SUMPRODUCT(--(농산물업체!$C$3:$C$287&lt;&gt;""))</f>
        <v/>
      </c>
      <c r="E55" s="120">
        <f>SUMPRODUCT(--(SUBSTITUTE(농산물업체!$E$3:$E$287,"롯데온","롯데ON")=E$54))</f>
        <v/>
      </c>
      <c r="F55" s="120">
        <f>SUMPRODUCT(--(SUBSTITUTE(농산물업체!$E$3:$E$287,"롯데온","롯데ON")=F$54))</f>
        <v/>
      </c>
      <c r="G55" s="120">
        <f>SUMPRODUCT(--(SUBSTITUTE(농산물업체!$E$3:$E$287,"롯데온","롯데ON")=G$54))</f>
        <v/>
      </c>
      <c r="H55" s="120">
        <f>SUMPRODUCT(--(SUBSTITUTE(농산물업체!$E$3:$E$287,"롯데온","롯데ON")=H$54))</f>
        <v/>
      </c>
      <c r="I55" s="120">
        <f>SUMPRODUCT(--(SUBSTITUTE(농산물업체!$E$3:$E$287,"롯데온","롯데ON")=I$54))</f>
        <v/>
      </c>
      <c r="J55" s="120">
        <f>SUMPRODUCT(--(SUBSTITUTE(농산물업체!$E$3:$E$287,"롯데온","롯데ON")=J$54))</f>
        <v/>
      </c>
      <c r="K55" s="113" t="n"/>
      <c r="L55" s="113" t="n"/>
      <c r="M55" s="113" t="n"/>
      <c r="N55" s="113" t="n"/>
    </row>
    <row r="56">
      <c r="A56" s="113" t="n"/>
      <c r="B56" s="121" t="n"/>
      <c r="C56" s="119" t="inlineStr">
        <is>
          <t>상품수</t>
        </is>
      </c>
      <c r="D56" s="120">
        <f>SUM(E56:J56)</f>
        <v/>
      </c>
      <c r="E56" s="120" t="n">
        <v>388</v>
      </c>
      <c r="F56" s="120" t="n">
        <v>258</v>
      </c>
      <c r="G56" s="120" t="n">
        <v>313</v>
      </c>
      <c r="H56" s="120" t="n">
        <v>55</v>
      </c>
      <c r="I56" s="120" t="n">
        <v>29</v>
      </c>
      <c r="J56" s="120" t="n">
        <v>87</v>
      </c>
      <c r="K56" s="113" t="n"/>
      <c r="L56" s="113" t="n"/>
      <c r="M56" s="113" t="n"/>
      <c r="N56" s="113" t="n"/>
    </row>
    <row r="57">
      <c r="A57" s="113" t="n"/>
      <c r="B57" s="118" t="inlineStr">
        <is>
          <t>8월</t>
        </is>
      </c>
      <c r="C57" s="119" t="inlineStr">
        <is>
          <t>업체수</t>
        </is>
      </c>
      <c r="D57" s="120">
        <f>SUM(E57:J57)</f>
        <v/>
      </c>
      <c r="E57" s="120">
        <f>E55</f>
        <v/>
      </c>
      <c r="F57" s="120">
        <f>F55</f>
        <v/>
      </c>
      <c r="G57" s="120">
        <f>G55</f>
        <v/>
      </c>
      <c r="H57" s="120">
        <f>H55</f>
        <v/>
      </c>
      <c r="I57" s="120">
        <f>I55</f>
        <v/>
      </c>
      <c r="J57" s="120">
        <f>J55</f>
        <v/>
      </c>
      <c r="K57" s="113" t="n"/>
      <c r="L57" s="113" t="n"/>
      <c r="M57" s="113" t="n"/>
      <c r="N57" s="113" t="n"/>
    </row>
    <row r="58">
      <c r="A58" s="113" t="n"/>
      <c r="B58" s="121" t="n"/>
      <c r="C58" s="119" t="inlineStr">
        <is>
          <t>상품수</t>
        </is>
      </c>
      <c r="D58" s="120">
        <f>SUM(E58:J58)</f>
        <v/>
      </c>
      <c r="E58" s="120">
        <f>COUNTIF('①농산물raw'!$A$6:$A$1454,E$54)-E56</f>
        <v/>
      </c>
      <c r="F58" s="120">
        <f>COUNTIF('①농산물raw'!$A$6:$A$1454,F$54)-F56</f>
        <v/>
      </c>
      <c r="G58" s="120">
        <f>COUNTIF('①농산물raw'!$A$6:$A$1454,G$54)-G56</f>
        <v/>
      </c>
      <c r="H58" s="120">
        <f>COUNTIF('①농산물raw'!$A$6:$A$1454,H$54)-H56</f>
        <v/>
      </c>
      <c r="I58" s="120">
        <f>COUNTIF('①농산물raw'!$A$6:$A$1454,I$54)-I56</f>
        <v/>
      </c>
      <c r="J58" s="120">
        <f>COUNTIF('①농산물raw'!$A$6:$A$1454,J$54)-J56</f>
        <v/>
      </c>
      <c r="K58" s="113" t="n"/>
      <c r="L58" s="113" t="n"/>
      <c r="M58" s="113" t="n"/>
      <c r="N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</row>
    <row r="60">
      <c r="A60" s="113" t="n"/>
      <c r="B60" s="115" t="inlineStr">
        <is>
          <t>2. 유통사 별 쿠폰 사용액</t>
        </is>
      </c>
      <c r="C60" s="113" t="n"/>
      <c r="D60" s="122" t="n"/>
      <c r="E60" s="122" t="n"/>
      <c r="F60" s="122" t="n"/>
      <c r="G60" s="122" t="n"/>
      <c r="H60" s="122" t="n"/>
      <c r="I60" s="122" t="n"/>
      <c r="J60" s="122" t="n"/>
      <c r="K60" s="113" t="n"/>
      <c r="L60" s="113" t="n"/>
      <c r="M60" s="113" t="n"/>
      <c r="N60" s="113" t="n"/>
    </row>
    <row r="61">
      <c r="A61" s="113" t="n"/>
      <c r="B61" s="116" t="inlineStr">
        <is>
          <t>구분</t>
        </is>
      </c>
      <c r="C61" s="117" t="n"/>
      <c r="D61" s="123" t="inlineStr">
        <is>
          <t>총 계</t>
        </is>
      </c>
      <c r="E61" s="123" t="inlineStr">
        <is>
          <t>네이버</t>
        </is>
      </c>
      <c r="F61" s="123" t="inlineStr">
        <is>
          <t>지마켓</t>
        </is>
      </c>
      <c r="G61" s="123" t="inlineStr">
        <is>
          <t>롯데ON</t>
        </is>
      </c>
      <c r="H61" s="123" t="inlineStr">
        <is>
          <t>온누리마켓</t>
        </is>
      </c>
      <c r="I61" s="123" t="inlineStr">
        <is>
          <t>농가살리기</t>
        </is>
      </c>
      <c r="J61" s="123" t="inlineStr">
        <is>
          <t>오아시스</t>
        </is>
      </c>
      <c r="K61" s="113" t="n"/>
      <c r="L61" s="113" t="n"/>
      <c r="M61" s="113" t="n"/>
      <c r="N61" s="113" t="n"/>
    </row>
    <row r="62">
      <c r="A62" s="113" t="n"/>
      <c r="B62" s="116" t="inlineStr">
        <is>
          <t>총 계</t>
        </is>
      </c>
      <c r="C62" s="117" t="n"/>
      <c r="D62" s="124">
        <f>SUM(E62:J62)</f>
        <v/>
      </c>
      <c r="E62" s="124">
        <f>E63+E64</f>
        <v/>
      </c>
      <c r="F62" s="124">
        <f>F63+F64</f>
        <v/>
      </c>
      <c r="G62" s="124">
        <f>G63+G64</f>
        <v/>
      </c>
      <c r="H62" s="124">
        <f>H63+H64</f>
        <v/>
      </c>
      <c r="I62" s="124">
        <f>I63+I64</f>
        <v/>
      </c>
      <c r="J62" s="124">
        <f>J63+J64</f>
        <v/>
      </c>
      <c r="K62" s="113" t="n"/>
      <c r="L62" s="113" t="n"/>
      <c r="M62" s="113" t="n"/>
      <c r="N62" s="113" t="n"/>
    </row>
    <row r="63">
      <c r="A63" s="113" t="n"/>
      <c r="B63" s="118" t="inlineStr">
        <is>
          <t>7월</t>
        </is>
      </c>
      <c r="C63" s="117" t="n"/>
      <c r="D63" s="120">
        <f>SUM(E63:J63)</f>
        <v/>
      </c>
      <c r="E63" s="120" t="n">
        <v>50215680</v>
      </c>
      <c r="F63" s="120" t="n">
        <v>46392390</v>
      </c>
      <c r="G63" s="120" t="n">
        <v>40018660</v>
      </c>
      <c r="H63" s="120" t="n">
        <v>7101680</v>
      </c>
      <c r="I63" s="120" t="n">
        <v>11487420</v>
      </c>
      <c r="J63" s="120" t="n">
        <v>8362825</v>
      </c>
      <c r="K63" s="113" t="n"/>
      <c r="L63" s="113" t="n"/>
      <c r="M63" s="113" t="n"/>
      <c r="N63" s="113" t="n"/>
    </row>
    <row r="64">
      <c r="A64" s="113" t="n"/>
      <c r="B64" s="118" t="inlineStr">
        <is>
          <t>8월</t>
        </is>
      </c>
      <c r="C64" s="117" t="n"/>
      <c r="D64" s="120">
        <f>SUM(E64:J64)</f>
        <v/>
      </c>
      <c r="E64" s="120">
        <f>SUMIF('①농산물raw'!$A$6:$A$1454,E$61,'①농산물raw'!$H$6:$H$1454)-E63</f>
        <v/>
      </c>
      <c r="F64" s="120">
        <f>SUMIF('①농산물raw'!$A$6:$A$1454,F$61,'①농산물raw'!$H$6:$H$1454)-F63</f>
        <v/>
      </c>
      <c r="G64" s="120">
        <f>SUMIF('①농산물raw'!$A$6:$A$1454,G$61,'①농산물raw'!$H$6:$H$1454)-G63</f>
        <v/>
      </c>
      <c r="H64" s="120">
        <f>SUMIF('①농산물raw'!$A$6:$A$1454,H$61,'①농산물raw'!$H$6:$H$1454)-H63</f>
        <v/>
      </c>
      <c r="I64" s="120">
        <f>SUMIF('①농산물raw'!$A$6:$A$1454,I$61,'①농산물raw'!$H$6:$H$1454)-I63</f>
        <v/>
      </c>
      <c r="J64" s="120">
        <f>SUMIF('①농산물raw'!$A$6:$A$1454,J$61,'①농산물raw'!$H$6:$H$1454)-J63</f>
        <v/>
      </c>
      <c r="K64" s="113" t="n"/>
      <c r="L64" s="113" t="n"/>
      <c r="M64" s="113" t="n"/>
      <c r="N64" s="113" t="n"/>
    </row>
    <row r="65">
      <c r="A65" s="113" t="n"/>
      <c r="B65" s="118" t="inlineStr">
        <is>
          <t>쿠폰 배정액</t>
        </is>
      </c>
      <c r="C65" s="117" t="n"/>
      <c r="D65" s="125">
        <f>SUM(E65:J65)</f>
        <v/>
      </c>
      <c r="E65" s="125" t="n">
        <v>250000000</v>
      </c>
      <c r="F65" s="125" t="n">
        <v>175000000</v>
      </c>
      <c r="G65" s="125" t="n">
        <v>115000000</v>
      </c>
      <c r="H65" s="125" t="n">
        <v>60000000</v>
      </c>
      <c r="I65" s="125" t="n">
        <v>40000000</v>
      </c>
      <c r="J65" s="125" t="n">
        <v>60000000</v>
      </c>
      <c r="K65" s="113" t="n"/>
      <c r="L65" s="113" t="n"/>
      <c r="M65" s="113" t="n"/>
      <c r="N65" s="113" t="n"/>
    </row>
    <row r="66">
      <c r="A66" s="113" t="n"/>
      <c r="B66" s="118" t="inlineStr">
        <is>
          <t>잔여금액</t>
        </is>
      </c>
      <c r="C66" s="117" t="n"/>
      <c r="D66" s="125">
        <f>SUM(E66:J66)</f>
        <v/>
      </c>
      <c r="E66" s="125">
        <f>E65-E62</f>
        <v/>
      </c>
      <c r="F66" s="125">
        <f>F65-F62</f>
        <v/>
      </c>
      <c r="G66" s="125">
        <f>G65-G62</f>
        <v/>
      </c>
      <c r="H66" s="125">
        <f>H65-H62</f>
        <v/>
      </c>
      <c r="I66" s="125">
        <f>I65-I62</f>
        <v/>
      </c>
      <c r="J66" s="125">
        <f>J65-J62</f>
        <v/>
      </c>
      <c r="K66" s="113" t="n"/>
      <c r="L66" s="113" t="n"/>
      <c r="M66" s="113" t="n"/>
      <c r="N66" s="113" t="n"/>
    </row>
    <row r="67">
      <c r="A67" s="113" t="n"/>
      <c r="B67" s="113" t="n"/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5" t="inlineStr">
        <is>
          <t>3. 유통사 별 매출 분석</t>
        </is>
      </c>
      <c r="C68" s="113" t="n"/>
      <c r="D68" s="122" t="n"/>
      <c r="E68" s="122" t="n"/>
      <c r="F68" s="122" t="n"/>
      <c r="G68" s="122" t="n"/>
      <c r="H68" s="122" t="n"/>
      <c r="I68" s="122" t="n"/>
      <c r="J68" s="122" t="n"/>
      <c r="K68" s="113" t="n"/>
      <c r="L68" s="113" t="n"/>
      <c r="M68" s="113" t="n"/>
      <c r="N68" s="113" t="n"/>
    </row>
    <row r="69">
      <c r="A69" s="113" t="n"/>
      <c r="B69" s="116" t="inlineStr">
        <is>
          <t>구분</t>
        </is>
      </c>
      <c r="C69" s="117" t="n"/>
      <c r="D69" s="116" t="inlineStr">
        <is>
          <t>총 계</t>
        </is>
      </c>
      <c r="E69" s="116" t="inlineStr">
        <is>
          <t>네이버</t>
        </is>
      </c>
      <c r="F69" s="116" t="inlineStr">
        <is>
          <t>지마켓</t>
        </is>
      </c>
      <c r="G69" s="116" t="inlineStr">
        <is>
          <t>롯데ON</t>
        </is>
      </c>
      <c r="H69" s="116" t="inlineStr">
        <is>
          <t>온누리마켓</t>
        </is>
      </c>
      <c r="I69" s="116" t="inlineStr">
        <is>
          <t>농가살리기</t>
        </is>
      </c>
      <c r="J69" s="116" t="inlineStr">
        <is>
          <t>오아시스</t>
        </is>
      </c>
      <c r="K69" s="113" t="n"/>
      <c r="L69" s="113" t="n"/>
      <c r="M69" s="113" t="n"/>
      <c r="N69" s="113" t="n"/>
    </row>
    <row r="70">
      <c r="A70" s="113" t="n"/>
      <c r="B70" s="116" t="inlineStr">
        <is>
          <t>총 계</t>
        </is>
      </c>
      <c r="C70" s="117" t="n"/>
      <c r="D70" s="124">
        <f>SUM(E70:J70)</f>
        <v/>
      </c>
      <c r="E70" s="124">
        <f>E71+E72</f>
        <v/>
      </c>
      <c r="F70" s="124">
        <f>F71+F72</f>
        <v/>
      </c>
      <c r="G70" s="124">
        <f>G71+G72</f>
        <v/>
      </c>
      <c r="H70" s="124">
        <f>H71+H72</f>
        <v/>
      </c>
      <c r="I70" s="124">
        <f>I71+I72</f>
        <v/>
      </c>
      <c r="J70" s="124">
        <f>J71+J72</f>
        <v/>
      </c>
      <c r="K70" s="113" t="n"/>
      <c r="L70" s="113" t="n"/>
      <c r="M70" s="113" t="n"/>
      <c r="N70" s="113" t="n"/>
    </row>
    <row r="71">
      <c r="A71" s="113" t="n"/>
      <c r="B71" s="118" t="inlineStr">
        <is>
          <t>7월</t>
        </is>
      </c>
      <c r="C71" s="117" t="n"/>
      <c r="D71" s="120">
        <f>SUM(E71:J71)</f>
        <v/>
      </c>
      <c r="E71" s="120" t="n">
        <v>1148483700</v>
      </c>
      <c r="F71" s="120" t="n">
        <v>770420430</v>
      </c>
      <c r="G71" s="120" t="n">
        <v>261077210</v>
      </c>
      <c r="H71" s="120" t="n">
        <v>46371200</v>
      </c>
      <c r="I71" s="120" t="n">
        <v>223305203</v>
      </c>
      <c r="J71" s="120" t="n">
        <v>486556690</v>
      </c>
      <c r="K71" s="113" t="n"/>
      <c r="L71" s="113" t="n"/>
      <c r="M71" s="113" t="n"/>
      <c r="N71" s="113" t="n"/>
    </row>
    <row r="72">
      <c r="A72" s="113" t="n"/>
      <c r="B72" s="118" t="inlineStr">
        <is>
          <t>8월</t>
        </is>
      </c>
      <c r="C72" s="117" t="n"/>
      <c r="D72" s="120">
        <f>SUM(E72:J72)</f>
        <v/>
      </c>
      <c r="E72" s="120">
        <f>SUMIF('①농산물raw'!$A$6:$A$1454,E$69,'①농산물raw'!$G$6:$G$1454)-E71</f>
        <v/>
      </c>
      <c r="F72" s="120">
        <f>SUMIF('①농산물raw'!$A$6:$A$1454,F$69,'①농산물raw'!$G$6:$G$1454)-F71</f>
        <v/>
      </c>
      <c r="G72" s="120">
        <f>SUMIF('①농산물raw'!$A$6:$A$1454,G$69,'①농산물raw'!$G$6:$G$1454)-G71</f>
        <v/>
      </c>
      <c r="H72" s="120">
        <f>SUMIF('①농산물raw'!$A$6:$A$1454,H$69,'①농산물raw'!$G$6:$G$1454)-H71</f>
        <v/>
      </c>
      <c r="I72" s="120">
        <f>SUMIF('①농산물raw'!$A$6:$A$1454,I$69,'①농산물raw'!$G$6:$G$1454)-I71</f>
        <v/>
      </c>
      <c r="J72" s="120">
        <f>SUMIF('①농산물raw'!$A$6:$A$1454,J$69,'①농산물raw'!$G$6:$G$1454)-J71</f>
        <v/>
      </c>
      <c r="K72" s="113" t="n"/>
      <c r="L72" s="113" t="n"/>
      <c r="M72" s="113" t="n"/>
      <c r="N72" s="113" t="n"/>
    </row>
    <row r="73">
      <c r="A73" s="113" t="n"/>
      <c r="B73" s="113" t="n"/>
      <c r="C73" s="113" t="n"/>
      <c r="D73" s="122" t="n"/>
      <c r="E73" s="122" t="n"/>
      <c r="F73" s="122" t="n"/>
      <c r="G73" s="122" t="n"/>
      <c r="H73" s="122" t="n"/>
      <c r="I73" s="122" t="n"/>
      <c r="J73" s="122" t="n"/>
      <c r="K73" s="113" t="n"/>
      <c r="L73" s="113" t="n"/>
      <c r="M73" s="113" t="n"/>
      <c r="N73" s="113" t="n"/>
    </row>
    <row r="74">
      <c r="A74" s="113" t="n"/>
      <c r="B74" s="115" t="inlineStr">
        <is>
          <t>4. 유통사 별 판매 건수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</row>
    <row r="75">
      <c r="A75" s="113" t="n"/>
      <c r="B75" s="116" t="inlineStr">
        <is>
          <t>구분</t>
        </is>
      </c>
      <c r="C75" s="117" t="n"/>
      <c r="D75" s="116" t="inlineStr">
        <is>
          <t>총 계</t>
        </is>
      </c>
      <c r="E75" s="116" t="inlineStr">
        <is>
          <t>네이버</t>
        </is>
      </c>
      <c r="F75" s="116" t="inlineStr">
        <is>
          <t>지마켓</t>
        </is>
      </c>
      <c r="G75" s="116" t="inlineStr">
        <is>
          <t>롯데ON</t>
        </is>
      </c>
      <c r="H75" s="116" t="inlineStr">
        <is>
          <t>온누리마켓</t>
        </is>
      </c>
      <c r="I75" s="116" t="inlineStr">
        <is>
          <t>농가살리기</t>
        </is>
      </c>
      <c r="J75" s="116" t="inlineStr">
        <is>
          <t>오아시스</t>
        </is>
      </c>
      <c r="K75" s="113" t="n"/>
      <c r="L75" s="113" t="n"/>
      <c r="M75" s="113" t="n"/>
      <c r="N75" s="113" t="n"/>
    </row>
    <row r="76">
      <c r="A76" s="113" t="n"/>
      <c r="B76" s="116" t="inlineStr">
        <is>
          <t>총 계</t>
        </is>
      </c>
      <c r="C76" s="117" t="n"/>
      <c r="D76" s="124">
        <f>SUM(E76:J76)</f>
        <v/>
      </c>
      <c r="E76" s="124">
        <f>E77+E78</f>
        <v/>
      </c>
      <c r="F76" s="124">
        <f>F77+F78</f>
        <v/>
      </c>
      <c r="G76" s="124">
        <f>G77+G78</f>
        <v/>
      </c>
      <c r="H76" s="124">
        <f>H77+H78</f>
        <v/>
      </c>
      <c r="I76" s="124">
        <f>I77+I78</f>
        <v/>
      </c>
      <c r="J76" s="124">
        <f>J77+J78</f>
        <v/>
      </c>
      <c r="K76" s="113" t="n"/>
      <c r="L76" s="113" t="n"/>
      <c r="M76" s="113" t="n"/>
      <c r="N76" s="113" t="n"/>
    </row>
    <row r="77">
      <c r="A77" s="113" t="n"/>
      <c r="B77" s="118" t="inlineStr">
        <is>
          <t>7월</t>
        </is>
      </c>
      <c r="C77" s="117" t="n"/>
      <c r="D77" s="120">
        <f>SUM(E77:J77)</f>
        <v/>
      </c>
      <c r="E77" s="120" t="n">
        <v>39593</v>
      </c>
      <c r="F77" s="120" t="n">
        <v>38640</v>
      </c>
      <c r="G77" s="120" t="n">
        <v>11018</v>
      </c>
      <c r="H77" s="120" t="n">
        <v>1296</v>
      </c>
      <c r="I77" s="120" t="n">
        <v>14679</v>
      </c>
      <c r="J77" s="120" t="n">
        <v>121333</v>
      </c>
      <c r="K77" s="113" t="n"/>
      <c r="L77" s="113" t="n"/>
      <c r="M77" s="113" t="n"/>
      <c r="N77" s="113" t="n"/>
    </row>
    <row r="78">
      <c r="A78" s="113" t="n"/>
      <c r="B78" s="118" t="inlineStr">
        <is>
          <t>8월</t>
        </is>
      </c>
      <c r="C78" s="117" t="n"/>
      <c r="D78" s="120">
        <f>SUM(E78:J78)</f>
        <v/>
      </c>
      <c r="E78" s="120">
        <f>SUMIF('①농산물raw'!$A$6:$A$1454,E$75,'①농산물raw'!$F$6:$F$1454)-E77</f>
        <v/>
      </c>
      <c r="F78" s="120">
        <f>SUMIF('①농산물raw'!$A$6:$A$1454,F$75,'①농산물raw'!$F$6:$F$1454)-F77</f>
        <v/>
      </c>
      <c r="G78" s="120">
        <f>SUMIF('①농산물raw'!$A$6:$A$1454,G$75,'①농산물raw'!$F$6:$F$1454)-G77</f>
        <v/>
      </c>
      <c r="H78" s="120">
        <f>SUMIF('①농산물raw'!$A$6:$A$1454,H$75,'①농산물raw'!$F$6:$F$1454)-H77</f>
        <v/>
      </c>
      <c r="I78" s="120">
        <f>SUMIF('①농산물raw'!$A$6:$A$1454,I$75,'①농산물raw'!$F$6:$F$1454)-I77</f>
        <v/>
      </c>
      <c r="J78" s="120">
        <f>SUMIF('①농산물raw'!$A$6:$A$1454,J$75,'①농산물raw'!$F$6:$F$1454)-J77</f>
        <v/>
      </c>
      <c r="K78" s="113" t="n"/>
      <c r="L78" s="113" t="n"/>
      <c r="M78" s="113" t="n"/>
      <c r="N78" s="113" t="n"/>
    </row>
    <row r="79">
      <c r="A79" s="113" t="n"/>
      <c r="B79" s="113" t="n"/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5" t="inlineStr">
        <is>
          <t>5. 유통사별 품목별 쿠폰 사용액</t>
        </is>
      </c>
      <c r="C80" s="113" t="n"/>
      <c r="D80" s="122" t="n"/>
      <c r="E80" s="122" t="n"/>
      <c r="F80" s="122" t="n"/>
      <c r="G80" s="122" t="n"/>
      <c r="H80" s="122" t="n"/>
      <c r="I80" s="122" t="n"/>
      <c r="J80" s="122" t="n"/>
      <c r="K80" s="113" t="n"/>
      <c r="L80" s="113" t="n"/>
      <c r="M80" s="113" t="n"/>
      <c r="N80" s="113" t="n"/>
    </row>
    <row r="81">
      <c r="A81" s="113" t="n"/>
      <c r="B81" s="116" t="inlineStr">
        <is>
          <t>품목</t>
        </is>
      </c>
      <c r="C81" s="116" t="inlineStr">
        <is>
          <t>구분</t>
        </is>
      </c>
      <c r="D81" s="123" t="inlineStr">
        <is>
          <t>총 계</t>
        </is>
      </c>
      <c r="E81" s="123" t="inlineStr">
        <is>
          <t>네이버</t>
        </is>
      </c>
      <c r="F81" s="123" t="inlineStr">
        <is>
          <t>지마켓</t>
        </is>
      </c>
      <c r="G81" s="123" t="inlineStr">
        <is>
          <t>롯데ON</t>
        </is>
      </c>
      <c r="H81" s="123" t="inlineStr">
        <is>
          <t>온누리마켓</t>
        </is>
      </c>
      <c r="I81" s="123" t="inlineStr">
        <is>
          <t>농가살리기</t>
        </is>
      </c>
      <c r="J81" s="123" t="inlineStr">
        <is>
          <t>오아시스</t>
        </is>
      </c>
      <c r="K81" s="113" t="n"/>
      <c r="L81" s="113" t="n"/>
      <c r="M81" s="113" t="n"/>
      <c r="N81" s="113" t="n"/>
    </row>
    <row r="82">
      <c r="A82" s="113" t="n"/>
      <c r="B82" s="116" t="inlineStr">
        <is>
          <t>총 계</t>
        </is>
      </c>
      <c r="C82" s="117" t="n"/>
      <c r="D82" s="124">
        <f>SUM(E82:J82)</f>
        <v/>
      </c>
      <c r="E82" s="124">
        <f>E83+E86+E89</f>
        <v/>
      </c>
      <c r="F82" s="124">
        <f>F83+F86+F89</f>
        <v/>
      </c>
      <c r="G82" s="124">
        <f>G83+G86+G89</f>
        <v/>
      </c>
      <c r="H82" s="124">
        <f>H83+H86+H89</f>
        <v/>
      </c>
      <c r="I82" s="124">
        <f>I83+I86+I89</f>
        <v/>
      </c>
      <c r="J82" s="124">
        <f>J83+J86+J89</f>
        <v/>
      </c>
      <c r="K82" s="113" t="n"/>
      <c r="L82" s="113" t="n"/>
      <c r="M82" s="113" t="n"/>
      <c r="N82" s="113" t="n"/>
    </row>
    <row r="83">
      <c r="A83" s="113" t="n"/>
      <c r="B83" s="118" t="inlineStr">
        <is>
          <t>농산물</t>
        </is>
      </c>
      <c r="C83" s="118" t="inlineStr">
        <is>
          <t>소 계</t>
        </is>
      </c>
      <c r="D83" s="125">
        <f>SUM(E83:J83)</f>
        <v/>
      </c>
      <c r="E83" s="125">
        <f>E84+E85</f>
        <v/>
      </c>
      <c r="F83" s="125">
        <f>F84+F85</f>
        <v/>
      </c>
      <c r="G83" s="125">
        <f>G84+G85</f>
        <v/>
      </c>
      <c r="H83" s="125">
        <f>H84+H85</f>
        <v/>
      </c>
      <c r="I83" s="125">
        <f>I84+I85</f>
        <v/>
      </c>
      <c r="J83" s="125">
        <f>J84+J85</f>
        <v/>
      </c>
      <c r="K83" s="113" t="n"/>
      <c r="L83" s="113" t="n"/>
      <c r="M83" s="113" t="n"/>
      <c r="N83" s="113" t="n"/>
    </row>
    <row r="84">
      <c r="A84" s="113" t="n"/>
      <c r="B84" s="126" t="n"/>
      <c r="C84" s="119" t="inlineStr">
        <is>
          <t>7월</t>
        </is>
      </c>
      <c r="D84" s="120">
        <f>SUM(E84:J84)</f>
        <v/>
      </c>
      <c r="E84" s="120" t="n">
        <v>27521390</v>
      </c>
      <c r="F84" s="120" t="n">
        <v>29495180</v>
      </c>
      <c r="G84" s="120" t="n">
        <v>16472440</v>
      </c>
      <c r="H84" s="120" t="n">
        <v>6561353</v>
      </c>
      <c r="I84" s="120" t="n">
        <v>3731960</v>
      </c>
      <c r="J84" s="120" t="n">
        <v>4453987</v>
      </c>
      <c r="K84" s="113" t="n"/>
      <c r="L84" s="113" t="n"/>
      <c r="M84" s="113" t="n"/>
      <c r="N84" s="113" t="n"/>
    </row>
    <row r="85">
      <c r="A85" s="113" t="n"/>
      <c r="B85" s="121" t="n"/>
      <c r="C85" s="119" t="inlineStr">
        <is>
          <t>8월</t>
        </is>
      </c>
      <c r="D85" s="120">
        <f>SUM(E85:J85)</f>
        <v/>
      </c>
      <c r="E85" s="120">
        <f>SUMIFS('①농산물raw'!$H$6:$H$1454,'①농산물raw'!$A$6:$A$1454,E$81,'①농산물raw'!$B$6:$B$1454,$B83)-E84</f>
        <v/>
      </c>
      <c r="F85" s="120">
        <f>SUMIFS('①농산물raw'!$H$6:$H$1454,'①농산물raw'!$A$6:$A$1454,F$81,'①농산물raw'!$B$6:$B$1454,$B83)-F84</f>
        <v/>
      </c>
      <c r="G85" s="120">
        <f>SUMIFS('①농산물raw'!$H$6:$H$1454,'①농산물raw'!$A$6:$A$1454,G$81,'①농산물raw'!$B$6:$B$1454,$B83)-G84</f>
        <v/>
      </c>
      <c r="H85" s="120">
        <f>SUMIFS('①농산물raw'!$H$6:$H$1454,'①농산물raw'!$A$6:$A$1454,H$81,'①농산물raw'!$B$6:$B$1454,$B83)-H84</f>
        <v/>
      </c>
      <c r="I85" s="120">
        <f>SUMIFS('①농산물raw'!$H$6:$H$1454,'①농산물raw'!$A$6:$A$1454,I$81,'①농산물raw'!$B$6:$B$1454,$B83)-I84</f>
        <v/>
      </c>
      <c r="J85" s="120">
        <f>SUMIFS('①농산물raw'!$H$6:$H$1454,'①농산물raw'!$A$6:$A$1454,J$81,'①농산물raw'!$B$6:$B$1454,$B83)-J84</f>
        <v/>
      </c>
      <c r="K85" s="113" t="n"/>
      <c r="L85" s="113" t="n"/>
      <c r="M85" s="113" t="n"/>
      <c r="N85" s="113" t="n"/>
    </row>
    <row r="86">
      <c r="A86" s="113" t="n"/>
      <c r="B86" s="118" t="inlineStr">
        <is>
          <t>축산물</t>
        </is>
      </c>
      <c r="C86" s="118" t="inlineStr">
        <is>
          <t>소 계</t>
        </is>
      </c>
      <c r="D86" s="125">
        <f>SUM(E86:J86)</f>
        <v/>
      </c>
      <c r="E86" s="125">
        <f>E87+E88</f>
        <v/>
      </c>
      <c r="F86" s="125">
        <f>F87+F88</f>
        <v/>
      </c>
      <c r="G86" s="125">
        <f>G87+G88</f>
        <v/>
      </c>
      <c r="H86" s="125">
        <f>H87+H88</f>
        <v/>
      </c>
      <c r="I86" s="125">
        <f>I87+I88</f>
        <v/>
      </c>
      <c r="J86" s="125">
        <f>J87+J88</f>
        <v/>
      </c>
      <c r="K86" s="113" t="n"/>
      <c r="L86" s="113" t="n"/>
      <c r="M86" s="113" t="n"/>
      <c r="N86" s="113" t="n"/>
    </row>
    <row r="87">
      <c r="A87" s="113" t="n"/>
      <c r="B87" s="126" t="n"/>
      <c r="C87" s="119" t="inlineStr">
        <is>
          <t>7월</t>
        </is>
      </c>
      <c r="D87" s="120">
        <f>SUM(E87:J87)</f>
        <v/>
      </c>
      <c r="E87" s="120" t="n">
        <v>11806670</v>
      </c>
      <c r="F87" s="120" t="n">
        <v>2182750</v>
      </c>
      <c r="G87" s="120" t="n">
        <v>12810140</v>
      </c>
      <c r="H87" s="120" t="n">
        <v>0</v>
      </c>
      <c r="I87" s="120" t="n">
        <v>0</v>
      </c>
      <c r="J87" s="120" t="n">
        <v>30800</v>
      </c>
      <c r="K87" s="113" t="n"/>
      <c r="L87" s="113" t="n"/>
      <c r="M87" s="113" t="n"/>
      <c r="N87" s="113" t="n"/>
    </row>
    <row r="88">
      <c r="A88" s="113" t="n"/>
      <c r="B88" s="121" t="n"/>
      <c r="C88" s="119" t="inlineStr">
        <is>
          <t>8월</t>
        </is>
      </c>
      <c r="D88" s="120">
        <f>SUM(E88:J88)</f>
        <v/>
      </c>
      <c r="E88" s="120">
        <f>SUMIFS('①농산물raw'!$H$6:$H$1454,'①농산물raw'!$A$6:$A$1454,E$81,'①농산물raw'!$B$6:$B$1454,$B86)-E87</f>
        <v/>
      </c>
      <c r="F88" s="120">
        <f>SUMIFS('①농산물raw'!$H$6:$H$1454,'①농산물raw'!$A$6:$A$1454,F$81,'①농산물raw'!$B$6:$B$1454,$B86)-F87</f>
        <v/>
      </c>
      <c r="G88" s="120">
        <f>SUMIFS('①농산물raw'!$H$6:$H$1454,'①농산물raw'!$A$6:$A$1454,G$81,'①농산물raw'!$B$6:$B$1454,$B86)-G87</f>
        <v/>
      </c>
      <c r="H88" s="120">
        <f>SUMIFS('①농산물raw'!$H$6:$H$1454,'①농산물raw'!$A$6:$A$1454,H$81,'①농산물raw'!$B$6:$B$1454,$B86)-H87</f>
        <v/>
      </c>
      <c r="I88" s="120">
        <f>SUMIFS('①농산물raw'!$H$6:$H$1454,'①농산물raw'!$A$6:$A$1454,I$81,'①농산물raw'!$B$6:$B$1454,$B86)-I87</f>
        <v/>
      </c>
      <c r="J88" s="120">
        <f>SUMIFS('①농산물raw'!$H$6:$H$1454,'①농산물raw'!$A$6:$A$1454,J$81,'①농산물raw'!$B$6:$B$1454,$B86)-J87</f>
        <v/>
      </c>
      <c r="K88" s="113" t="n"/>
      <c r="L88" s="113" t="n"/>
      <c r="M88" s="113" t="n"/>
      <c r="N88" s="113" t="n"/>
    </row>
    <row r="89">
      <c r="A89" s="113" t="n"/>
      <c r="B89" s="118" t="inlineStr">
        <is>
          <t>가공식품</t>
        </is>
      </c>
      <c r="C89" s="118" t="inlineStr">
        <is>
          <t>소 계</t>
        </is>
      </c>
      <c r="D89" s="125">
        <f>SUM(E89:J89)</f>
        <v/>
      </c>
      <c r="E89" s="125">
        <f>E90+E91</f>
        <v/>
      </c>
      <c r="F89" s="125">
        <f>F90+F91</f>
        <v/>
      </c>
      <c r="G89" s="125">
        <f>G90+G91</f>
        <v/>
      </c>
      <c r="H89" s="125">
        <f>H90+H91</f>
        <v/>
      </c>
      <c r="I89" s="125">
        <f>I90+I91</f>
        <v/>
      </c>
      <c r="J89" s="125">
        <f>J90+J91</f>
        <v/>
      </c>
      <c r="K89" s="113" t="n"/>
      <c r="L89" s="113" t="n"/>
      <c r="M89" s="113" t="n"/>
      <c r="N89" s="113" t="n"/>
    </row>
    <row r="90">
      <c r="A90" s="113" t="n"/>
      <c r="B90" s="126" t="n"/>
      <c r="C90" s="119" t="inlineStr">
        <is>
          <t>7월</t>
        </is>
      </c>
      <c r="D90" s="120">
        <f>SUM(E90:J90)</f>
        <v/>
      </c>
      <c r="E90" s="120" t="n">
        <v>10887620</v>
      </c>
      <c r="F90" s="120" t="n">
        <v>14714460</v>
      </c>
      <c r="G90" s="120" t="n">
        <v>10736080</v>
      </c>
      <c r="H90" s="120" t="n">
        <v>540327</v>
      </c>
      <c r="I90" s="120" t="n">
        <v>7755460</v>
      </c>
      <c r="J90" s="120" t="n">
        <v>3878038</v>
      </c>
      <c r="K90" s="113" t="n"/>
      <c r="L90" s="113" t="n"/>
      <c r="M90" s="113" t="n"/>
      <c r="N90" s="113" t="n"/>
    </row>
    <row r="91">
      <c r="A91" s="113" t="n"/>
      <c r="B91" s="121" t="n"/>
      <c r="C91" s="119" t="inlineStr">
        <is>
          <t>8월</t>
        </is>
      </c>
      <c r="D91" s="120">
        <f>SUM(E91:J91)</f>
        <v/>
      </c>
      <c r="E91" s="120">
        <f>SUMIFS('①농산물raw'!$H$6:$H$1454,'①농산물raw'!$A$6:$A$1454,E$81,'①농산물raw'!$B$6:$B$1454,$B89)-E90</f>
        <v/>
      </c>
      <c r="F91" s="120">
        <f>SUMIFS('①농산물raw'!$H$6:$H$1454,'①농산물raw'!$A$6:$A$1454,F$81,'①농산물raw'!$B$6:$B$1454,$B89)-F90</f>
        <v/>
      </c>
      <c r="G91" s="120">
        <f>SUMIFS('①농산물raw'!$H$6:$H$1454,'①농산물raw'!$A$6:$A$1454,G$81,'①농산물raw'!$B$6:$B$1454,$B89)-G90</f>
        <v/>
      </c>
      <c r="H91" s="120">
        <f>SUMIFS('①농산물raw'!$H$6:$H$1454,'①농산물raw'!$A$6:$A$1454,H$81,'①농산물raw'!$B$6:$B$1454,$B89)-H90</f>
        <v/>
      </c>
      <c r="I91" s="120">
        <f>SUMIFS('①농산물raw'!$H$6:$H$1454,'①농산물raw'!$A$6:$A$1454,I$81,'①농산물raw'!$B$6:$B$1454,$B89)-I90</f>
        <v/>
      </c>
      <c r="J91" s="120">
        <f>SUMIFS('①농산물raw'!$H$6:$H$1454,'①농산물raw'!$A$6:$A$1454,J$81,'①농산물raw'!$B$6:$B$1454,$B89)-J90</f>
        <v/>
      </c>
      <c r="K91" s="113" t="n"/>
      <c r="L91" s="113" t="n"/>
      <c r="M91" s="113" t="n"/>
      <c r="N91" s="113" t="n"/>
    </row>
    <row r="92">
      <c r="A92" s="113" t="n"/>
      <c r="B92" s="113" t="n"/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5" t="inlineStr">
        <is>
          <t>6. 유통사별 품목별 매출 분석</t>
        </is>
      </c>
      <c r="C93" s="113" t="n"/>
      <c r="D93" s="122" t="n"/>
      <c r="E93" s="122" t="n"/>
      <c r="F93" s="122" t="n"/>
      <c r="G93" s="122" t="n"/>
      <c r="H93" s="122" t="n"/>
      <c r="I93" s="122" t="n"/>
      <c r="J93" s="122" t="n"/>
      <c r="K93" s="113" t="n"/>
      <c r="L93" s="113" t="n"/>
      <c r="M93" s="113" t="n"/>
      <c r="N93" s="113" t="n"/>
    </row>
    <row r="94">
      <c r="A94" s="113" t="n"/>
      <c r="B94" s="116" t="inlineStr">
        <is>
          <t>품목</t>
        </is>
      </c>
      <c r="C94" s="116" t="inlineStr">
        <is>
          <t>구분</t>
        </is>
      </c>
      <c r="D94" s="116" t="inlineStr">
        <is>
          <t>총 계</t>
        </is>
      </c>
      <c r="E94" s="116" t="inlineStr">
        <is>
          <t>네이버</t>
        </is>
      </c>
      <c r="F94" s="116" t="inlineStr">
        <is>
          <t>지마켓</t>
        </is>
      </c>
      <c r="G94" s="116" t="inlineStr">
        <is>
          <t>롯데ON</t>
        </is>
      </c>
      <c r="H94" s="116" t="inlineStr">
        <is>
          <t>온누리마켓</t>
        </is>
      </c>
      <c r="I94" s="116" t="inlineStr">
        <is>
          <t>농가살리기</t>
        </is>
      </c>
      <c r="J94" s="116" t="inlineStr">
        <is>
          <t>오아시스</t>
        </is>
      </c>
      <c r="K94" s="113" t="n"/>
      <c r="L94" s="113" t="n"/>
      <c r="M94" s="113" t="n"/>
      <c r="N94" s="113" t="n"/>
    </row>
    <row r="95">
      <c r="A95" s="113" t="n"/>
      <c r="B95" s="116" t="inlineStr">
        <is>
          <t>총 계</t>
        </is>
      </c>
      <c r="C95" s="117" t="n"/>
      <c r="D95" s="124">
        <f>SUM(E95:J95)</f>
        <v/>
      </c>
      <c r="E95" s="124">
        <f>E96+E99+E102</f>
        <v/>
      </c>
      <c r="F95" s="124">
        <f>F96+F99+F102</f>
        <v/>
      </c>
      <c r="G95" s="124">
        <f>G96+G99+G102</f>
        <v/>
      </c>
      <c r="H95" s="124">
        <f>H96+H99+H102</f>
        <v/>
      </c>
      <c r="I95" s="124">
        <f>I96+I99+I102</f>
        <v/>
      </c>
      <c r="J95" s="124">
        <f>J96+J99+J102</f>
        <v/>
      </c>
      <c r="K95" s="113" t="n"/>
      <c r="L95" s="113" t="n"/>
      <c r="M95" s="113" t="n"/>
      <c r="N95" s="113" t="n"/>
    </row>
    <row r="96">
      <c r="A96" s="113" t="n"/>
      <c r="B96" s="118" t="inlineStr">
        <is>
          <t>농산물</t>
        </is>
      </c>
      <c r="C96" s="118" t="inlineStr">
        <is>
          <t>소 계</t>
        </is>
      </c>
      <c r="D96" s="125">
        <f>SUM(E96:J96)</f>
        <v/>
      </c>
      <c r="E96" s="125">
        <f>E97+E98</f>
        <v/>
      </c>
      <c r="F96" s="125">
        <f>F97+F98</f>
        <v/>
      </c>
      <c r="G96" s="125">
        <f>G97+G98</f>
        <v/>
      </c>
      <c r="H96" s="125">
        <f>H97+H98</f>
        <v/>
      </c>
      <c r="I96" s="125">
        <f>I97+I98</f>
        <v/>
      </c>
      <c r="J96" s="125">
        <f>J97+J98</f>
        <v/>
      </c>
      <c r="K96" s="113" t="n"/>
      <c r="L96" s="113" t="n"/>
      <c r="M96" s="113" t="n"/>
      <c r="N96" s="113" t="n"/>
    </row>
    <row r="97">
      <c r="A97" s="113" t="n"/>
      <c r="B97" s="126" t="n"/>
      <c r="C97" s="119" t="inlineStr">
        <is>
          <t>7월</t>
        </is>
      </c>
      <c r="D97" s="120">
        <f>SUM(E97:J97)</f>
        <v/>
      </c>
      <c r="E97" s="120" t="n">
        <v>563900600</v>
      </c>
      <c r="F97" s="120" t="n">
        <v>401364480</v>
      </c>
      <c r="G97" s="120" t="n">
        <v>86153550</v>
      </c>
      <c r="H97" s="120" t="n">
        <v>42349200</v>
      </c>
      <c r="I97" s="120" t="n">
        <v>41187820</v>
      </c>
      <c r="J97" s="120" t="n">
        <v>315486590</v>
      </c>
      <c r="K97" s="113" t="n"/>
      <c r="L97" s="113" t="n"/>
      <c r="M97" s="113" t="n"/>
      <c r="N97" s="113" t="n"/>
    </row>
    <row r="98">
      <c r="A98" s="113" t="n"/>
      <c r="B98" s="121" t="n"/>
      <c r="C98" s="119" t="inlineStr">
        <is>
          <t>8월</t>
        </is>
      </c>
      <c r="D98" s="120">
        <f>SUM(E98:J98)</f>
        <v/>
      </c>
      <c r="E98" s="120">
        <f>SUMIFS('①농산물raw'!$G$6:$G$1454,'①농산물raw'!$A$6:$A$1454,E$94,'①농산물raw'!$B$6:$B$1454,$B96)-E97</f>
        <v/>
      </c>
      <c r="F98" s="120">
        <f>SUMIFS('①농산물raw'!$G$6:$G$1454,'①농산물raw'!$A$6:$A$1454,F$94,'①농산물raw'!$B$6:$B$1454,$B96)-F97</f>
        <v/>
      </c>
      <c r="G98" s="120">
        <f>SUMIFS('①농산물raw'!$G$6:$G$1454,'①농산물raw'!$A$6:$A$1454,G$94,'①농산물raw'!$B$6:$B$1454,$B96)-G97</f>
        <v/>
      </c>
      <c r="H98" s="120">
        <f>SUMIFS('①농산물raw'!$G$6:$G$1454,'①농산물raw'!$A$6:$A$1454,H$94,'①농산물raw'!$B$6:$B$1454,$B96)-H97</f>
        <v/>
      </c>
      <c r="I98" s="120">
        <f>SUMIFS('①농산물raw'!$G$6:$G$1454,'①농산물raw'!$A$6:$A$1454,I$94,'①농산물raw'!$B$6:$B$1454,$B96)-I97</f>
        <v/>
      </c>
      <c r="J98" s="120">
        <f>SUMIFS('①농산물raw'!$G$6:$G$1454,'①농산물raw'!$A$6:$A$1454,J$94,'①농산물raw'!$B$6:$B$1454,$B96)-J97</f>
        <v/>
      </c>
      <c r="K98" s="113" t="n"/>
      <c r="L98" s="113" t="n"/>
      <c r="M98" s="113" t="n"/>
      <c r="N98" s="113" t="n"/>
    </row>
    <row r="99">
      <c r="A99" s="113" t="n"/>
      <c r="B99" s="118" t="inlineStr">
        <is>
          <t>축산물</t>
        </is>
      </c>
      <c r="C99" s="118" t="inlineStr">
        <is>
          <t>소 계</t>
        </is>
      </c>
      <c r="D99" s="125">
        <f>SUM(E99:J99)</f>
        <v/>
      </c>
      <c r="E99" s="125">
        <f>E100+E101</f>
        <v/>
      </c>
      <c r="F99" s="125">
        <f>F100+F101</f>
        <v/>
      </c>
      <c r="G99" s="125">
        <f>G100+G101</f>
        <v/>
      </c>
      <c r="H99" s="125">
        <f>H100+H101</f>
        <v/>
      </c>
      <c r="I99" s="125">
        <f>I100+I101</f>
        <v/>
      </c>
      <c r="J99" s="125">
        <f>J100+J101</f>
        <v/>
      </c>
      <c r="K99" s="113" t="n"/>
      <c r="L99" s="113" t="n"/>
      <c r="M99" s="113" t="n"/>
      <c r="N99" s="113" t="n"/>
    </row>
    <row r="100">
      <c r="A100" s="113" t="n"/>
      <c r="B100" s="126" t="n"/>
      <c r="C100" s="119" t="inlineStr">
        <is>
          <t>7월</t>
        </is>
      </c>
      <c r="D100" s="120">
        <f>SUM(E100:J100)</f>
        <v/>
      </c>
      <c r="E100" s="120" t="n">
        <v>174615900</v>
      </c>
      <c r="F100" s="120" t="n">
        <v>28591600</v>
      </c>
      <c r="G100" s="120" t="n">
        <v>94872920</v>
      </c>
      <c r="H100" s="120" t="n">
        <v>0</v>
      </c>
      <c r="I100" s="120" t="n">
        <v>0</v>
      </c>
      <c r="J100" s="120" t="n">
        <v>185800</v>
      </c>
      <c r="K100" s="113" t="n"/>
      <c r="L100" s="113" t="n"/>
      <c r="M100" s="113" t="n"/>
      <c r="N100" s="113" t="n"/>
    </row>
    <row r="101">
      <c r="A101" s="113" t="n"/>
      <c r="B101" s="121" t="n"/>
      <c r="C101" s="119" t="inlineStr">
        <is>
          <t>8월</t>
        </is>
      </c>
      <c r="D101" s="120">
        <f>SUM(E101:J101)</f>
        <v/>
      </c>
      <c r="E101" s="120">
        <f>SUMIFS('①농산물raw'!$G$6:$G$1454,'①농산물raw'!$A$6:$A$1454,E$94,'①농산물raw'!$B$6:$B$1454,$B99)-E100</f>
        <v/>
      </c>
      <c r="F101" s="120">
        <f>SUMIFS('①농산물raw'!$G$6:$G$1454,'①농산물raw'!$A$6:$A$1454,F$94,'①농산물raw'!$B$6:$B$1454,$B99)-F100</f>
        <v/>
      </c>
      <c r="G101" s="120">
        <f>SUMIFS('①농산물raw'!$G$6:$G$1454,'①농산물raw'!$A$6:$A$1454,G$94,'①농산물raw'!$B$6:$B$1454,$B99)-G100</f>
        <v/>
      </c>
      <c r="H101" s="120">
        <f>SUMIFS('①농산물raw'!$G$6:$G$1454,'①농산물raw'!$A$6:$A$1454,H$94,'①농산물raw'!$B$6:$B$1454,$B99)-H100</f>
        <v/>
      </c>
      <c r="I101" s="120">
        <f>SUMIFS('①농산물raw'!$G$6:$G$1454,'①농산물raw'!$A$6:$A$1454,I$94,'①농산물raw'!$B$6:$B$1454,$B99)-I100</f>
        <v/>
      </c>
      <c r="J101" s="120">
        <f>SUMIFS('①농산물raw'!$G$6:$G$1454,'①농산물raw'!$A$6:$A$1454,J$94,'①농산물raw'!$B$6:$B$1454,$B99)-J100</f>
        <v/>
      </c>
      <c r="K101" s="113" t="n"/>
      <c r="L101" s="113" t="n"/>
      <c r="M101" s="113" t="n"/>
      <c r="N101" s="113" t="n"/>
    </row>
    <row r="102">
      <c r="A102" s="113" t="n"/>
      <c r="B102" s="118" t="inlineStr">
        <is>
          <t>가공식품</t>
        </is>
      </c>
      <c r="C102" s="118" t="inlineStr">
        <is>
          <t>소 계</t>
        </is>
      </c>
      <c r="D102" s="125">
        <f>SUM(E102:J102)</f>
        <v/>
      </c>
      <c r="E102" s="125">
        <f>E103+E104</f>
        <v/>
      </c>
      <c r="F102" s="125">
        <f>F103+F104</f>
        <v/>
      </c>
      <c r="G102" s="125">
        <f>G103+G104</f>
        <v/>
      </c>
      <c r="H102" s="125">
        <f>H103+H104</f>
        <v/>
      </c>
      <c r="I102" s="125">
        <f>I103+I104</f>
        <v/>
      </c>
      <c r="J102" s="125">
        <f>J103+J104</f>
        <v/>
      </c>
      <c r="K102" s="113" t="n"/>
      <c r="L102" s="113" t="n"/>
      <c r="M102" s="113" t="n"/>
      <c r="N102" s="113" t="n"/>
    </row>
    <row r="103">
      <c r="A103" s="113" t="n"/>
      <c r="B103" s="126" t="n"/>
      <c r="C103" s="119" t="inlineStr">
        <is>
          <t>7월</t>
        </is>
      </c>
      <c r="D103" s="120">
        <f>SUM(E103:J103)</f>
        <v/>
      </c>
      <c r="E103" s="120" t="n">
        <v>409967200</v>
      </c>
      <c r="F103" s="120" t="n">
        <v>340464350</v>
      </c>
      <c r="G103" s="120" t="n">
        <v>80050740</v>
      </c>
      <c r="H103" s="120" t="n">
        <v>4022000</v>
      </c>
      <c r="I103" s="120" t="n">
        <v>182117383</v>
      </c>
      <c r="J103" s="120" t="n">
        <v>170884300</v>
      </c>
      <c r="K103" s="113" t="n"/>
      <c r="L103" s="113" t="n"/>
      <c r="M103" s="113" t="n"/>
      <c r="N103" s="113" t="n"/>
    </row>
    <row r="104">
      <c r="A104" s="113" t="n"/>
      <c r="B104" s="121" t="n"/>
      <c r="C104" s="119" t="inlineStr">
        <is>
          <t>8월</t>
        </is>
      </c>
      <c r="D104" s="120">
        <f>SUM(E104:J104)</f>
        <v/>
      </c>
      <c r="E104" s="120">
        <f>SUMIFS('①농산물raw'!$G$6:$G$1454,'①농산물raw'!$A$6:$A$1454,E$94,'①농산물raw'!$B$6:$B$1454,$B102)-E103</f>
        <v/>
      </c>
      <c r="F104" s="120">
        <f>SUMIFS('①농산물raw'!$G$6:$G$1454,'①농산물raw'!$A$6:$A$1454,F$94,'①농산물raw'!$B$6:$B$1454,$B102)-F103</f>
        <v/>
      </c>
      <c r="G104" s="120">
        <f>SUMIFS('①농산물raw'!$G$6:$G$1454,'①농산물raw'!$A$6:$A$1454,G$94,'①농산물raw'!$B$6:$B$1454,$B102)-G103</f>
        <v/>
      </c>
      <c r="H104" s="120">
        <f>SUMIFS('①농산물raw'!$G$6:$G$1454,'①농산물raw'!$A$6:$A$1454,H$94,'①농산물raw'!$B$6:$B$1454,$B102)-H103</f>
        <v/>
      </c>
      <c r="I104" s="120">
        <f>SUMIFS('①농산물raw'!$G$6:$G$1454,'①농산물raw'!$A$6:$A$1454,I$94,'①농산물raw'!$B$6:$B$1454,$B102)-I103</f>
        <v/>
      </c>
      <c r="J104" s="120">
        <f>SUMIFS('①농산물raw'!$G$6:$G$1454,'①농산물raw'!$A$6:$A$1454,J$94,'①농산물raw'!$B$6:$B$1454,$B102)-J103</f>
        <v/>
      </c>
      <c r="K104" s="113" t="n"/>
      <c r="L104" s="113" t="n"/>
      <c r="M104" s="113" t="n"/>
      <c r="N104" s="113" t="n"/>
    </row>
    <row r="105" ht="19.2" customHeight="1" s="2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5" t="inlineStr">
        <is>
          <t>7. 유통사별 품목별 판매 건수</t>
        </is>
      </c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</row>
    <row r="107">
      <c r="A107" s="113" t="n"/>
      <c r="B107" s="116" t="inlineStr">
        <is>
          <t>품목</t>
        </is>
      </c>
      <c r="C107" s="116" t="inlineStr">
        <is>
          <t>구분</t>
        </is>
      </c>
      <c r="D107" s="116" t="inlineStr">
        <is>
          <t>총 계</t>
        </is>
      </c>
      <c r="E107" s="116" t="inlineStr">
        <is>
          <t>네이버</t>
        </is>
      </c>
      <c r="F107" s="116" t="inlineStr">
        <is>
          <t>지마켓</t>
        </is>
      </c>
      <c r="G107" s="116" t="inlineStr">
        <is>
          <t>롯데ON</t>
        </is>
      </c>
      <c r="H107" s="116" t="inlineStr">
        <is>
          <t>온누리마켓</t>
        </is>
      </c>
      <c r="I107" s="116" t="inlineStr">
        <is>
          <t>농가살리기</t>
        </is>
      </c>
      <c r="J107" s="116" t="inlineStr">
        <is>
          <t>오아시스</t>
        </is>
      </c>
      <c r="K107" s="113" t="n"/>
      <c r="L107" s="113" t="n"/>
      <c r="M107" s="113" t="n"/>
      <c r="N107" s="113" t="n"/>
    </row>
    <row r="108">
      <c r="A108" s="113" t="n"/>
      <c r="B108" s="116" t="inlineStr">
        <is>
          <t>총 계</t>
        </is>
      </c>
      <c r="C108" s="117" t="n"/>
      <c r="D108" s="124">
        <f>SUM(E108:J108)</f>
        <v/>
      </c>
      <c r="E108" s="124">
        <f>E109+E112+E115</f>
        <v/>
      </c>
      <c r="F108" s="124">
        <f>F109+F112+F115</f>
        <v/>
      </c>
      <c r="G108" s="124">
        <f>G109+G112+G115</f>
        <v/>
      </c>
      <c r="H108" s="124">
        <f>H109+H112+H115</f>
        <v/>
      </c>
      <c r="I108" s="124">
        <f>I109+I112+I115</f>
        <v/>
      </c>
      <c r="J108" s="124">
        <f>J109+J112+J115</f>
        <v/>
      </c>
      <c r="K108" s="113" t="n"/>
      <c r="L108" s="113" t="n"/>
      <c r="M108" s="113" t="n"/>
      <c r="N108" s="113" t="n"/>
    </row>
    <row r="109">
      <c r="A109" s="113" t="n"/>
      <c r="B109" s="118" t="inlineStr">
        <is>
          <t>농산물</t>
        </is>
      </c>
      <c r="C109" s="118" t="inlineStr">
        <is>
          <t>소 계</t>
        </is>
      </c>
      <c r="D109" s="125">
        <f>SUM(E109:J109)</f>
        <v/>
      </c>
      <c r="E109" s="125">
        <f>E110+E111</f>
        <v/>
      </c>
      <c r="F109" s="125">
        <f>F110+F111</f>
        <v/>
      </c>
      <c r="G109" s="125">
        <f>G110+G111</f>
        <v/>
      </c>
      <c r="H109" s="125">
        <f>H110+H111</f>
        <v/>
      </c>
      <c r="I109" s="125">
        <f>I110+I111</f>
        <v/>
      </c>
      <c r="J109" s="125">
        <f>J110+J111</f>
        <v/>
      </c>
      <c r="K109" s="113" t="n"/>
      <c r="L109" s="113" t="n"/>
      <c r="M109" s="113" t="n"/>
      <c r="N109" s="113" t="n"/>
    </row>
    <row r="110">
      <c r="A110" s="113" t="n"/>
      <c r="B110" s="126" t="n"/>
      <c r="C110" s="119" t="inlineStr">
        <is>
          <t>7월</t>
        </is>
      </c>
      <c r="D110" s="120">
        <f>SUM(E110:J110)</f>
        <v/>
      </c>
      <c r="E110" s="120" t="n">
        <v>18947</v>
      </c>
      <c r="F110" s="120" t="n">
        <v>16003</v>
      </c>
      <c r="G110" s="120" t="n">
        <v>5393</v>
      </c>
      <c r="H110" s="120" t="n">
        <v>1136</v>
      </c>
      <c r="I110" s="120" t="n">
        <v>2619</v>
      </c>
      <c r="J110" s="120" t="n">
        <v>92871</v>
      </c>
      <c r="K110" s="113" t="n"/>
      <c r="L110" s="113" t="n"/>
      <c r="M110" s="113" t="n"/>
      <c r="N110" s="113" t="n"/>
    </row>
    <row r="111">
      <c r="A111" s="113" t="n"/>
      <c r="B111" s="121" t="n"/>
      <c r="C111" s="119" t="inlineStr">
        <is>
          <t>8월</t>
        </is>
      </c>
      <c r="D111" s="120">
        <f>SUM(E111:J111)</f>
        <v/>
      </c>
      <c r="E111" s="120">
        <f>SUMIFS('①농산물raw'!$F$6:$F$1454,'①농산물raw'!$A$6:$A$1454,E$107,'①농산물raw'!$B$6:$B$1454,$B109)-E110</f>
        <v/>
      </c>
      <c r="F111" s="120">
        <f>SUMIFS('①농산물raw'!$F$6:$F$1454,'①농산물raw'!$A$6:$A$1454,F$107,'①농산물raw'!$B$6:$B$1454,$B109)-F110</f>
        <v/>
      </c>
      <c r="G111" s="120">
        <f>SUMIFS('①농산물raw'!$F$6:$F$1454,'①농산물raw'!$A$6:$A$1454,G$107,'①농산물raw'!$B$6:$B$1454,$B109)-G110</f>
        <v/>
      </c>
      <c r="H111" s="120">
        <f>SUMIFS('①농산물raw'!$F$6:$F$1454,'①농산물raw'!$A$6:$A$1454,H$107,'①농산물raw'!$B$6:$B$1454,$B109)-H110</f>
        <v/>
      </c>
      <c r="I111" s="120">
        <f>SUMIFS('①농산물raw'!$F$6:$F$1454,'①농산물raw'!$A$6:$A$1454,I$107,'①농산물raw'!$B$6:$B$1454,$B109)-I110</f>
        <v/>
      </c>
      <c r="J111" s="120">
        <f>SUMIFS('①농산물raw'!$F$6:$F$1454,'①농산물raw'!$A$6:$A$1454,J$107,'①농산물raw'!$B$6:$B$1454,$B109)-J110</f>
        <v/>
      </c>
      <c r="K111" s="113" t="n"/>
      <c r="L111" s="113" t="n"/>
      <c r="M111" s="113" t="n"/>
      <c r="N111" s="113" t="n"/>
    </row>
    <row r="112">
      <c r="A112" s="113" t="n"/>
      <c r="B112" s="118" t="inlineStr">
        <is>
          <t>축산물</t>
        </is>
      </c>
      <c r="C112" s="118" t="inlineStr">
        <is>
          <t>소 계</t>
        </is>
      </c>
      <c r="D112" s="125">
        <f>SUM(E112:J112)</f>
        <v/>
      </c>
      <c r="E112" s="125">
        <f>E113+E114</f>
        <v/>
      </c>
      <c r="F112" s="125">
        <f>F113+F114</f>
        <v/>
      </c>
      <c r="G112" s="125">
        <f>G113+G114</f>
        <v/>
      </c>
      <c r="H112" s="125">
        <f>H113+H114</f>
        <v/>
      </c>
      <c r="I112" s="125">
        <f>I113+I114</f>
        <v/>
      </c>
      <c r="J112" s="125">
        <f>J113+J114</f>
        <v/>
      </c>
      <c r="K112" s="113" t="n"/>
      <c r="L112" s="113" t="n"/>
      <c r="M112" s="113" t="n"/>
      <c r="N112" s="113" t="n"/>
    </row>
    <row r="113">
      <c r="A113" s="113" t="n"/>
      <c r="B113" s="126" t="n"/>
      <c r="C113" s="119" t="inlineStr">
        <is>
          <t>7월</t>
        </is>
      </c>
      <c r="D113" s="120">
        <f>SUM(E113:J113)</f>
        <v/>
      </c>
      <c r="E113" s="120" t="n">
        <v>5918</v>
      </c>
      <c r="F113" s="120" t="n">
        <v>1102</v>
      </c>
      <c r="G113" s="120" t="n">
        <v>3058</v>
      </c>
      <c r="H113" s="120" t="n">
        <v>0</v>
      </c>
      <c r="I113" s="120" t="n">
        <v>0</v>
      </c>
      <c r="J113" s="120" t="n">
        <v>6</v>
      </c>
      <c r="K113" s="113" t="n"/>
      <c r="L113" s="113" t="n"/>
      <c r="M113" s="113" t="n"/>
      <c r="N113" s="113" t="n"/>
    </row>
    <row r="114">
      <c r="A114" s="113" t="n"/>
      <c r="B114" s="121" t="n"/>
      <c r="C114" s="119" t="inlineStr">
        <is>
          <t>8월</t>
        </is>
      </c>
      <c r="D114" s="120">
        <f>SUM(E114:J114)</f>
        <v/>
      </c>
      <c r="E114" s="120">
        <f>SUMIFS('①농산물raw'!$F$6:$F$1454,'①농산물raw'!$A$6:$A$1454,E$107,'①농산물raw'!$B$6:$B$1454,$B112)-E113</f>
        <v/>
      </c>
      <c r="F114" s="120">
        <f>SUMIFS('①농산물raw'!$F$6:$F$1454,'①농산물raw'!$A$6:$A$1454,F$107,'①농산물raw'!$B$6:$B$1454,$B112)-F113</f>
        <v/>
      </c>
      <c r="G114" s="120">
        <f>SUMIFS('①농산물raw'!$F$6:$F$1454,'①농산물raw'!$A$6:$A$1454,G$107,'①농산물raw'!$B$6:$B$1454,$B112)-G113</f>
        <v/>
      </c>
      <c r="H114" s="120">
        <f>SUMIFS('①농산물raw'!$F$6:$F$1454,'①농산물raw'!$A$6:$A$1454,H$107,'①농산물raw'!$B$6:$B$1454,$B112)-H113</f>
        <v/>
      </c>
      <c r="I114" s="120">
        <f>SUMIFS('①농산물raw'!$F$6:$F$1454,'①농산물raw'!$A$6:$A$1454,I$107,'①농산물raw'!$B$6:$B$1454,$B112)-I113</f>
        <v/>
      </c>
      <c r="J114" s="120">
        <f>SUMIFS('①농산물raw'!$F$6:$F$1454,'①농산물raw'!$A$6:$A$1454,J$107,'①농산물raw'!$B$6:$B$1454,$B112)-J113</f>
        <v/>
      </c>
      <c r="K114" s="113" t="n"/>
      <c r="L114" s="113" t="n"/>
      <c r="M114" s="113" t="n"/>
      <c r="N114" s="113" t="n"/>
    </row>
    <row r="115">
      <c r="A115" s="113" t="n"/>
      <c r="B115" s="118" t="inlineStr">
        <is>
          <t>가공식품</t>
        </is>
      </c>
      <c r="C115" s="118" t="inlineStr">
        <is>
          <t>소 계</t>
        </is>
      </c>
      <c r="D115" s="125">
        <f>SUM(E115:J115)</f>
        <v/>
      </c>
      <c r="E115" s="125">
        <f>E116+E117</f>
        <v/>
      </c>
      <c r="F115" s="125">
        <f>F116+F117</f>
        <v/>
      </c>
      <c r="G115" s="125">
        <f>G116+G117</f>
        <v/>
      </c>
      <c r="H115" s="125">
        <f>H116+H117</f>
        <v/>
      </c>
      <c r="I115" s="125">
        <f>I116+I117</f>
        <v/>
      </c>
      <c r="J115" s="125">
        <f>J116+J117</f>
        <v/>
      </c>
      <c r="K115" s="113" t="n"/>
      <c r="L115" s="113" t="n"/>
      <c r="M115" s="113" t="n"/>
      <c r="N115" s="113" t="n"/>
    </row>
    <row r="116">
      <c r="A116" s="113" t="n"/>
      <c r="B116" s="126" t="n"/>
      <c r="C116" s="119" t="inlineStr">
        <is>
          <t>7월</t>
        </is>
      </c>
      <c r="D116" s="120">
        <f>SUM(E116:J116)</f>
        <v/>
      </c>
      <c r="E116" s="120" t="n">
        <v>14728</v>
      </c>
      <c r="F116" s="120" t="n">
        <v>21535</v>
      </c>
      <c r="G116" s="120" t="n">
        <v>2567</v>
      </c>
      <c r="H116" s="120" t="n">
        <v>160</v>
      </c>
      <c r="I116" s="120" t="n">
        <v>12060</v>
      </c>
      <c r="J116" s="120" t="n">
        <v>28456</v>
      </c>
      <c r="K116" s="113" t="n"/>
      <c r="L116" s="113" t="n"/>
      <c r="M116" s="113" t="n"/>
      <c r="N116" s="113" t="n"/>
    </row>
    <row r="117">
      <c r="A117" s="113" t="n"/>
      <c r="B117" s="121" t="n"/>
      <c r="C117" s="119" t="inlineStr">
        <is>
          <t>8월</t>
        </is>
      </c>
      <c r="D117" s="120">
        <f>SUM(E117:J117)</f>
        <v/>
      </c>
      <c r="E117" s="120">
        <f>SUMIFS('①농산물raw'!$F$6:$F$1454,'①농산물raw'!$A$6:$A$1454,E$107,'①농산물raw'!$B$6:$B$1454,$B115)-E116</f>
        <v/>
      </c>
      <c r="F117" s="120">
        <f>SUMIFS('①농산물raw'!$F$6:$F$1454,'①농산물raw'!$A$6:$A$1454,F$107,'①농산물raw'!$B$6:$B$1454,$B115)-F116</f>
        <v/>
      </c>
      <c r="G117" s="120">
        <f>SUMIFS('①농산물raw'!$F$6:$F$1454,'①농산물raw'!$A$6:$A$1454,G$107,'①농산물raw'!$B$6:$B$1454,$B115)-G116</f>
        <v/>
      </c>
      <c r="H117" s="120">
        <f>SUMIFS('①농산물raw'!$F$6:$F$1454,'①농산물raw'!$A$6:$A$1454,H$107,'①농산물raw'!$B$6:$B$1454,$B115)-H116</f>
        <v/>
      </c>
      <c r="I117" s="120">
        <f>SUMIFS('①농산물raw'!$F$6:$F$1454,'①농산물raw'!$A$6:$A$1454,I$107,'①농산물raw'!$B$6:$B$1454,$B115)-I116</f>
        <v/>
      </c>
      <c r="J117" s="120">
        <f>SUMIFS('①농산물raw'!$F$6:$F$1454,'①농산물raw'!$A$6:$A$1454,J$107,'①농산물raw'!$B$6:$B$1454,$B115)-J116</f>
        <v/>
      </c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22" t="n"/>
      <c r="E118" s="122" t="n"/>
      <c r="F118" s="12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4" t="inlineStr">
        <is>
          <t>※ 유기농</t>
        </is>
      </c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5" t="inlineStr">
        <is>
          <t>1. 월별 참여 업체 및 상품 수</t>
        </is>
      </c>
      <c r="C122" s="113" t="n"/>
      <c r="D122" s="122" t="n"/>
      <c r="E122" s="122" t="n"/>
      <c r="F122" s="12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6" t="inlineStr">
        <is>
          <t>구분</t>
        </is>
      </c>
      <c r="C123" s="117" t="n"/>
      <c r="D123" s="123" t="inlineStr">
        <is>
          <t>총 계</t>
        </is>
      </c>
      <c r="E123" s="123" t="inlineStr">
        <is>
          <t>네이버</t>
        </is>
      </c>
      <c r="F123" s="123" t="inlineStr">
        <is>
          <t>오아시스</t>
        </is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18" t="inlineStr">
        <is>
          <t>7월</t>
        </is>
      </c>
      <c r="C124" s="119" t="inlineStr">
        <is>
          <t>업체수</t>
        </is>
      </c>
      <c r="D124" s="120">
        <f>SUMPRODUCT(--(유기농업체!$C$3:$C$57&lt;&gt;""))</f>
        <v/>
      </c>
      <c r="E124" s="120">
        <f>SUMPRODUCT(--(SUBSTITUTE(유기농업체!$E$3:$E$57,"롯데온","롯데ON")=E$123))</f>
        <v/>
      </c>
      <c r="F124" s="120">
        <f>SUMPRODUCT(--(SUBSTITUTE(유기농업체!$E$3:$E$57,"롯데온","롯데ON")=F$123))</f>
        <v/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21" t="n"/>
      <c r="C125" s="119" t="inlineStr">
        <is>
          <t>상품수</t>
        </is>
      </c>
      <c r="D125" s="120">
        <f>SUM(E125:F125)</f>
        <v/>
      </c>
      <c r="E125" s="120" t="n">
        <v>85</v>
      </c>
      <c r="F125" s="120" t="n">
        <v>90</v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18" t="inlineStr">
        <is>
          <t>8월</t>
        </is>
      </c>
      <c r="C126" s="119" t="inlineStr">
        <is>
          <t>업체수</t>
        </is>
      </c>
      <c r="D126" s="120">
        <f>SUM(E126:F126)</f>
        <v/>
      </c>
      <c r="E126" s="120">
        <f>E124</f>
        <v/>
      </c>
      <c r="F126" s="120">
        <f>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21" t="n"/>
      <c r="C127" s="119" t="inlineStr">
        <is>
          <t>상품수</t>
        </is>
      </c>
      <c r="D127" s="120">
        <f>SUM(E127:F127)</f>
        <v/>
      </c>
      <c r="E127" s="120">
        <f>COUNTIF('②유기농raw'!$A$6:$A$207,E$123)-E125</f>
        <v/>
      </c>
      <c r="F127" s="120">
        <f>COUNTIF('②유기농raw'!$A$6:$A$207,F$123)-F125</f>
        <v/>
      </c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3" t="n"/>
      <c r="C128" s="113" t="n"/>
      <c r="D128" s="122" t="n"/>
      <c r="E128" s="122" t="n"/>
      <c r="F128" s="12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5" t="inlineStr">
        <is>
          <t>2. 유통사 별 쿠폰 사용액</t>
        </is>
      </c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구분</t>
        </is>
      </c>
      <c r="C130" s="117" t="n"/>
      <c r="D130" s="116" t="inlineStr">
        <is>
          <t>총 계</t>
        </is>
      </c>
      <c r="E130" s="116" t="inlineStr">
        <is>
          <t>네이버</t>
        </is>
      </c>
      <c r="F130" s="116" t="inlineStr">
        <is>
          <t>오아시스</t>
        </is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6" t="inlineStr">
        <is>
          <t>총 계</t>
        </is>
      </c>
      <c r="C131" s="117" t="n"/>
      <c r="D131" s="124">
        <f>SUM(E131:F131)</f>
        <v/>
      </c>
      <c r="E131" s="124">
        <f>E132+E133</f>
        <v/>
      </c>
      <c r="F131" s="124">
        <f>F132+F133</f>
        <v/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7월</t>
        </is>
      </c>
      <c r="C132" s="117" t="n"/>
      <c r="D132" s="120">
        <f>SUM(E132:F132)</f>
        <v/>
      </c>
      <c r="E132" s="120" t="n">
        <v>10413500</v>
      </c>
      <c r="F132" s="120" t="n">
        <v>9620431</v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8월</t>
        </is>
      </c>
      <c r="C133" s="117" t="n"/>
      <c r="D133" s="120">
        <f>SUM(E133:F133)</f>
        <v/>
      </c>
      <c r="E133" s="120">
        <f>SUMIF('②유기농raw'!$A$6:$A$207,E$130,'②유기농raw'!$H$6:$H$207)-E132</f>
        <v/>
      </c>
      <c r="F133" s="120">
        <f>SUMIF('②유기농raw'!$A$6:$A$207,F$130,'②유기농raw'!$H$6:$H$207)-F132</f>
        <v/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쿠폰 배정액</t>
        </is>
      </c>
      <c r="C134" s="117" t="n"/>
      <c r="D134" s="125">
        <f>SUM(E134:F134)</f>
        <v/>
      </c>
      <c r="E134" s="125" t="n">
        <v>50000000</v>
      </c>
      <c r="F134" s="125" t="n">
        <v>50000000</v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8" t="inlineStr">
        <is>
          <t>잔여금액</t>
        </is>
      </c>
      <c r="C135" s="117" t="n"/>
      <c r="D135" s="125">
        <f>SUM(E135:F135)</f>
        <v/>
      </c>
      <c r="E135" s="125">
        <f>E134-E131</f>
        <v/>
      </c>
      <c r="F135" s="125">
        <f>F134-F131</f>
        <v/>
      </c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3" t="n"/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5" t="inlineStr">
        <is>
          <t>3. 유통사 별 매출 분석</t>
        </is>
      </c>
      <c r="C137" s="113" t="n"/>
      <c r="D137" s="122" t="n"/>
      <c r="E137" s="122" t="n"/>
      <c r="F137" s="12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구분</t>
        </is>
      </c>
      <c r="C138" s="117" t="n"/>
      <c r="D138" s="123" t="inlineStr">
        <is>
          <t>총 계</t>
        </is>
      </c>
      <c r="E138" s="123" t="inlineStr">
        <is>
          <t>네이버</t>
        </is>
      </c>
      <c r="F138" s="123" t="inlineStr">
        <is>
          <t>오아시스</t>
        </is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6" t="inlineStr">
        <is>
          <t>총 계</t>
        </is>
      </c>
      <c r="C139" s="117" t="n"/>
      <c r="D139" s="124">
        <f>SUM(E139:F139)</f>
        <v/>
      </c>
      <c r="E139" s="124">
        <f>E140+E141</f>
        <v/>
      </c>
      <c r="F139" s="124">
        <f>F140+F141</f>
        <v/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7월</t>
        </is>
      </c>
      <c r="C140" s="117" t="n"/>
      <c r="D140" s="120">
        <f>SUM(E140:F140)</f>
        <v/>
      </c>
      <c r="E140" s="120" t="n">
        <v>108372830</v>
      </c>
      <c r="F140" s="120" t="n">
        <v>538202060</v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8" t="inlineStr">
        <is>
          <t>8월</t>
        </is>
      </c>
      <c r="C141" s="117" t="n"/>
      <c r="D141" s="120">
        <f>SUM(E141:F141)</f>
        <v/>
      </c>
      <c r="E141" s="120">
        <f>SUMIF('②유기농raw'!$A$6:$A$207,E$138,'②유기농raw'!$G$6:$G$207)-E140</f>
        <v/>
      </c>
      <c r="F141" s="120">
        <f>SUMIF('②유기농raw'!$A$6:$A$207,F$138,'②유기농raw'!$G$6:$G$207)-F140</f>
        <v/>
      </c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3" t="n"/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5" t="inlineStr">
        <is>
          <t>4. 유통사 별 판매 건수</t>
        </is>
      </c>
      <c r="C143" s="113" t="n"/>
      <c r="D143" s="122" t="n"/>
      <c r="E143" s="122" t="n"/>
      <c r="F143" s="12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구분</t>
        </is>
      </c>
      <c r="C144" s="117" t="n"/>
      <c r="D144" s="123" t="inlineStr">
        <is>
          <t>총 계</t>
        </is>
      </c>
      <c r="E144" s="123" t="inlineStr">
        <is>
          <t>네이버</t>
        </is>
      </c>
      <c r="F144" s="123" t="inlineStr">
        <is>
          <t>오아시스</t>
        </is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6" t="inlineStr">
        <is>
          <t>총 계</t>
        </is>
      </c>
      <c r="C145" s="117" t="n"/>
      <c r="D145" s="124">
        <f>SUM(E145:F145)</f>
        <v/>
      </c>
      <c r="E145" s="124">
        <f>E146+E147</f>
        <v/>
      </c>
      <c r="F145" s="124">
        <f>F146+F147</f>
        <v/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7월</t>
        </is>
      </c>
      <c r="C146" s="117" t="n"/>
      <c r="D146" s="120">
        <f>SUM(E146:F146)</f>
        <v/>
      </c>
      <c r="E146" s="120" t="n">
        <v>4478</v>
      </c>
      <c r="F146" s="120" t="n">
        <v>123173</v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8" t="inlineStr">
        <is>
          <t>8월</t>
        </is>
      </c>
      <c r="C147" s="117" t="n"/>
      <c r="D147" s="120">
        <f>SUM(E147:F147)</f>
        <v/>
      </c>
      <c r="E147" s="120">
        <f>SUMIF('②유기농raw'!$A$6:$A$207,E$144,'②유기농raw'!$F$6:$F$207)-E146</f>
        <v/>
      </c>
      <c r="F147" s="120">
        <f>SUMIF('②유기농raw'!$A$6:$A$207,F$144,'②유기농raw'!$F$6:$F$207)-F146</f>
        <v/>
      </c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3" t="n"/>
      <c r="C148" s="113" t="n"/>
      <c r="D148" s="122" t="n"/>
      <c r="E148" s="122" t="n"/>
      <c r="F148" s="12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5" t="inlineStr">
        <is>
          <t>5. 유통사별 품목별 쿠폰 사용액</t>
        </is>
      </c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품목</t>
        </is>
      </c>
      <c r="C150" s="116" t="inlineStr">
        <is>
          <t>구분</t>
        </is>
      </c>
      <c r="D150" s="116" t="inlineStr">
        <is>
          <t>총 계</t>
        </is>
      </c>
      <c r="E150" s="116" t="inlineStr">
        <is>
          <t>네이버</t>
        </is>
      </c>
      <c r="F150" s="116" t="inlineStr">
        <is>
          <t>오아시스</t>
        </is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6" t="inlineStr">
        <is>
          <t>총 계</t>
        </is>
      </c>
      <c r="C151" s="117" t="n"/>
      <c r="D151" s="124">
        <f>SUM(E151:F151)</f>
        <v/>
      </c>
      <c r="E151" s="124">
        <f>E152+E155+E158</f>
        <v/>
      </c>
      <c r="F151" s="124">
        <f>F152+F155+F158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18" t="inlineStr">
        <is>
          <t>농산물</t>
        </is>
      </c>
      <c r="C152" s="118" t="inlineStr">
        <is>
          <t>소 계</t>
        </is>
      </c>
      <c r="D152" s="125">
        <f>SUM(E152:F152)</f>
        <v/>
      </c>
      <c r="E152" s="125">
        <f>E153+E154</f>
        <v/>
      </c>
      <c r="F152" s="125">
        <f>F153+F154</f>
        <v/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6" t="n"/>
      <c r="C153" s="119" t="inlineStr">
        <is>
          <t>7월</t>
        </is>
      </c>
      <c r="D153" s="120">
        <f>SUM(E153:F153)</f>
        <v/>
      </c>
      <c r="E153" s="120" t="n">
        <v>8603490</v>
      </c>
      <c r="F153" s="120" t="n">
        <v>4825119</v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21" t="n"/>
      <c r="C154" s="119" t="inlineStr">
        <is>
          <t>8월</t>
        </is>
      </c>
      <c r="D154" s="120">
        <f>SUM(E154:F154)</f>
        <v/>
      </c>
      <c r="E154" s="120">
        <f>SUMIFS('②유기농raw'!$H$6:$H$207,'②유기농raw'!$A$6:$A$207,E$150,'②유기농raw'!$B$6:$B$207,$B152)-E153</f>
        <v/>
      </c>
      <c r="F154" s="120">
        <f>SUMIFS('②유기농raw'!$H$6:$H$207,'②유기농raw'!$A$6:$A$207,F$150,'②유기농raw'!$B$6:$B$207,$B152)-F153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18" t="inlineStr">
        <is>
          <t>축산물</t>
        </is>
      </c>
      <c r="C155" s="118" t="inlineStr">
        <is>
          <t>소 계</t>
        </is>
      </c>
      <c r="D155" s="125">
        <f>SUM(E155:F155)</f>
        <v/>
      </c>
      <c r="E155" s="125">
        <f>E156+E157</f>
        <v/>
      </c>
      <c r="F155" s="125">
        <f>F156+F157</f>
        <v/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6" t="n"/>
      <c r="C156" s="119" t="inlineStr">
        <is>
          <t>7월</t>
        </is>
      </c>
      <c r="D156" s="120">
        <f>SUM(E156:F156)</f>
        <v/>
      </c>
      <c r="E156" s="120" t="n">
        <v>25800</v>
      </c>
      <c r="F156" s="120" t="n">
        <v>251120</v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21" t="n"/>
      <c r="C157" s="119" t="inlineStr">
        <is>
          <t>8월</t>
        </is>
      </c>
      <c r="D157" s="120">
        <f>SUM(E157:F157)</f>
        <v/>
      </c>
      <c r="E157" s="120">
        <f>SUMIFS('②유기농raw'!$H$6:$H$207,'②유기농raw'!$A$6:$A$207,E$150,'②유기농raw'!$B$6:$B$207,$B155)-E156</f>
        <v/>
      </c>
      <c r="F157" s="120">
        <f>SUMIFS('②유기농raw'!$H$6:$H$207,'②유기농raw'!$A$6:$A$207,F$150,'②유기농raw'!$B$6:$B$207,$B155)-F156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18" t="inlineStr">
        <is>
          <t>가공식품</t>
        </is>
      </c>
      <c r="C158" s="118" t="inlineStr">
        <is>
          <t>소 계</t>
        </is>
      </c>
      <c r="D158" s="125">
        <f>SUM(E158:F158)</f>
        <v/>
      </c>
      <c r="E158" s="125">
        <f>E159+E160</f>
        <v/>
      </c>
      <c r="F158" s="125">
        <f>F159+F160</f>
        <v/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6" t="n"/>
      <c r="C159" s="119" t="inlineStr">
        <is>
          <t>7월</t>
        </is>
      </c>
      <c r="D159" s="120">
        <f>SUM(E159:F159)</f>
        <v/>
      </c>
      <c r="E159" s="120" t="n">
        <v>1784210</v>
      </c>
      <c r="F159" s="120" t="n">
        <v>4544192</v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21" t="n"/>
      <c r="C160" s="119" t="inlineStr">
        <is>
          <t>8월</t>
        </is>
      </c>
      <c r="D160" s="120">
        <f>SUM(E160:F160)</f>
        <v/>
      </c>
      <c r="E160" s="120">
        <f>SUMIFS('②유기농raw'!$H$6:$H$207,'②유기농raw'!$A$6:$A$207,E$150,'②유기농raw'!$B$6:$B$207,$B158)-E159</f>
        <v/>
      </c>
      <c r="F160" s="120">
        <f>SUMIFS('②유기농raw'!$H$6:$H$207,'②유기농raw'!$A$6:$A$207,F$150,'②유기농raw'!$B$6:$B$207,$B158)-F159</f>
        <v/>
      </c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5" t="inlineStr">
        <is>
          <t>6. 유통사별 품목별 매출 분석</t>
        </is>
      </c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품목</t>
        </is>
      </c>
      <c r="C163" s="116" t="inlineStr">
        <is>
          <t>구분</t>
        </is>
      </c>
      <c r="D163" s="116" t="inlineStr">
        <is>
          <t>총 계</t>
        </is>
      </c>
      <c r="E163" s="116" t="inlineStr">
        <is>
          <t>네이버</t>
        </is>
      </c>
      <c r="F163" s="116" t="inlineStr">
        <is>
          <t>오아시스</t>
        </is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6" t="inlineStr">
        <is>
          <t>총 계</t>
        </is>
      </c>
      <c r="C164" s="117" t="n"/>
      <c r="D164" s="124">
        <f>SUM(E164:F164)</f>
        <v/>
      </c>
      <c r="E164" s="124">
        <f>E165+E168+E171</f>
        <v/>
      </c>
      <c r="F164" s="124">
        <f>F165+F168+F171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18" t="inlineStr">
        <is>
          <t>농산물</t>
        </is>
      </c>
      <c r="C165" s="118" t="inlineStr">
        <is>
          <t>소 계</t>
        </is>
      </c>
      <c r="D165" s="125">
        <f>SUM(E165:F165)</f>
        <v/>
      </c>
      <c r="E165" s="125">
        <f>E166+E167</f>
        <v/>
      </c>
      <c r="F165" s="125">
        <f>F166+F167</f>
        <v/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6" t="n"/>
      <c r="C166" s="119" t="inlineStr">
        <is>
          <t>7월</t>
        </is>
      </c>
      <c r="D166" s="120">
        <f>SUM(E166:F166)</f>
        <v/>
      </c>
      <c r="E166" s="120" t="n">
        <v>92842530</v>
      </c>
      <c r="F166" s="120" t="n">
        <v>435129830</v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21" t="n"/>
      <c r="C167" s="119" t="inlineStr">
        <is>
          <t>8월</t>
        </is>
      </c>
      <c r="D167" s="120">
        <f>SUM(E167:F167)</f>
        <v/>
      </c>
      <c r="E167" s="120">
        <f>SUMIFS('②유기농raw'!$G$6:$G$207,'②유기농raw'!$A$6:$A$207,E$163,'②유기농raw'!$B$6:$B$207,$B165)-E166</f>
        <v/>
      </c>
      <c r="F167" s="120">
        <f>SUMIFS('②유기농raw'!$G$6:$G$207,'②유기농raw'!$A$6:$A$207,F$163,'②유기농raw'!$B$6:$B$207,$B165)-F166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18" t="inlineStr">
        <is>
          <t>축산물</t>
        </is>
      </c>
      <c r="C168" s="118" t="inlineStr">
        <is>
          <t>소 계</t>
        </is>
      </c>
      <c r="D168" s="125">
        <f>SUM(E168:F168)</f>
        <v/>
      </c>
      <c r="E168" s="125">
        <f>E169+E170</f>
        <v/>
      </c>
      <c r="F168" s="125">
        <f>F169+F170</f>
        <v/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6" t="n"/>
      <c r="C169" s="119" t="inlineStr">
        <is>
          <t>7월</t>
        </is>
      </c>
      <c r="D169" s="120">
        <f>SUM(E169:F169)</f>
        <v/>
      </c>
      <c r="E169" s="120" t="n">
        <v>132000</v>
      </c>
      <c r="F169" s="120" t="n">
        <v>3448700</v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21" t="n"/>
      <c r="C170" s="119" t="inlineStr">
        <is>
          <t>8월</t>
        </is>
      </c>
      <c r="D170" s="120">
        <f>SUM(E170:F170)</f>
        <v/>
      </c>
      <c r="E170" s="120">
        <f>SUMIFS('②유기농raw'!$G$6:$G$207,'②유기농raw'!$A$6:$A$207,E$163,'②유기농raw'!$B$6:$B$207,$B168)-E169</f>
        <v/>
      </c>
      <c r="F170" s="120">
        <f>SUMIFS('②유기농raw'!$G$6:$G$207,'②유기농raw'!$A$6:$A$207,F$163,'②유기농raw'!$B$6:$B$207,$B168)-F169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18" t="inlineStr">
        <is>
          <t>가공식품</t>
        </is>
      </c>
      <c r="C171" s="118" t="inlineStr">
        <is>
          <t>소 계</t>
        </is>
      </c>
      <c r="D171" s="125">
        <f>SUM(E171:F171)</f>
        <v/>
      </c>
      <c r="E171" s="125">
        <f>E172+E173</f>
        <v/>
      </c>
      <c r="F171" s="125">
        <f>F172+F173</f>
        <v/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6" t="n"/>
      <c r="C172" s="119" t="inlineStr">
        <is>
          <t>7월</t>
        </is>
      </c>
      <c r="D172" s="120">
        <f>SUM(E172:F172)</f>
        <v/>
      </c>
      <c r="E172" s="120" t="n">
        <v>15398300</v>
      </c>
      <c r="F172" s="120" t="n">
        <v>99623530</v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21" t="n"/>
      <c r="C173" s="119" t="inlineStr">
        <is>
          <t>8월</t>
        </is>
      </c>
      <c r="D173" s="120">
        <f>SUM(E173:F173)</f>
        <v/>
      </c>
      <c r="E173" s="120">
        <f>SUMIFS('②유기농raw'!$G$6:$G$207,'②유기농raw'!$A$6:$A$207,E$163,'②유기농raw'!$B$6:$B$207,$B171)-E172</f>
        <v/>
      </c>
      <c r="F173" s="120">
        <f>SUMIFS('②유기농raw'!$G$6:$G$207,'②유기농raw'!$A$6:$A$207,F$163,'②유기농raw'!$B$6:$B$207,$B171)-F172</f>
        <v/>
      </c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5" t="inlineStr">
        <is>
          <t>7. 유통사별 품목별 판매 건수</t>
        </is>
      </c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품목</t>
        </is>
      </c>
      <c r="C176" s="116" t="inlineStr">
        <is>
          <t>구분</t>
        </is>
      </c>
      <c r="D176" s="116" t="inlineStr">
        <is>
          <t>총 계</t>
        </is>
      </c>
      <c r="E176" s="116" t="inlineStr">
        <is>
          <t>네이버</t>
        </is>
      </c>
      <c r="F176" s="116" t="inlineStr">
        <is>
          <t>오아시스</t>
        </is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6" t="inlineStr">
        <is>
          <t>총 계</t>
        </is>
      </c>
      <c r="C177" s="117" t="n"/>
      <c r="D177" s="124">
        <f>SUM(E177:F177)</f>
        <v/>
      </c>
      <c r="E177" s="124">
        <f>E178+E181+E184</f>
        <v/>
      </c>
      <c r="F177" s="124">
        <f>F178+F181+F184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18" t="inlineStr">
        <is>
          <t>농산물</t>
        </is>
      </c>
      <c r="C178" s="118" t="inlineStr">
        <is>
          <t>소 계</t>
        </is>
      </c>
      <c r="D178" s="125">
        <f>SUM(E178:F178)</f>
        <v/>
      </c>
      <c r="E178" s="125">
        <f>E179+E180</f>
        <v/>
      </c>
      <c r="F178" s="125">
        <f>F179+F180</f>
        <v/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6" t="n"/>
      <c r="C179" s="119" t="inlineStr">
        <is>
          <t>7월</t>
        </is>
      </c>
      <c r="D179" s="120">
        <f>SUM(E179:F179)</f>
        <v/>
      </c>
      <c r="E179" s="120" t="n">
        <v>3893</v>
      </c>
      <c r="F179" s="120" t="n">
        <v>100661</v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21" t="n"/>
      <c r="C180" s="119" t="inlineStr">
        <is>
          <t>8월</t>
        </is>
      </c>
      <c r="D180" s="120">
        <f>SUM(E180:F180)</f>
        <v/>
      </c>
      <c r="E180" s="120">
        <f>SUMIFS('②유기농raw'!$F$6:$F$207,'②유기농raw'!$A$6:$A$207,E$176,'②유기농raw'!$B$6:$B$207,$B178)-E179</f>
        <v/>
      </c>
      <c r="F180" s="120">
        <f>SUMIFS('②유기농raw'!$F$6:$F$207,'②유기농raw'!$A$6:$A$207,F$176,'②유기농raw'!$B$6:$B$207,$B178)-F179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18" t="inlineStr">
        <is>
          <t>축산물</t>
        </is>
      </c>
      <c r="C181" s="118" t="inlineStr">
        <is>
          <t>소 계</t>
        </is>
      </c>
      <c r="D181" s="125">
        <f>SUM(E181:F181)</f>
        <v/>
      </c>
      <c r="E181" s="125">
        <f>E182+E183</f>
        <v/>
      </c>
      <c r="F181" s="125">
        <f>F182+F183</f>
        <v/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6" t="n"/>
      <c r="C182" s="119" t="inlineStr">
        <is>
          <t>7월</t>
        </is>
      </c>
      <c r="D182" s="120">
        <f>SUM(E182:F182)</f>
        <v/>
      </c>
      <c r="E182" s="120" t="n">
        <v>5</v>
      </c>
      <c r="F182" s="120" t="n">
        <v>598</v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21" t="n"/>
      <c r="C183" s="119" t="inlineStr">
        <is>
          <t>8월</t>
        </is>
      </c>
      <c r="D183" s="120">
        <f>SUM(E183:F183)</f>
        <v/>
      </c>
      <c r="E183" s="120">
        <f>SUMIFS('②유기농raw'!$F$6:$F$207,'②유기농raw'!$A$6:$A$207,E$176,'②유기농raw'!$B$6:$B$207,$B181)-E182</f>
        <v/>
      </c>
      <c r="F183" s="120">
        <f>SUMIFS('②유기농raw'!$F$6:$F$207,'②유기농raw'!$A$6:$A$207,F$176,'②유기농raw'!$B$6:$B$207,$B181)-F182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18" t="inlineStr">
        <is>
          <t>가공식품</t>
        </is>
      </c>
      <c r="C184" s="118" t="inlineStr">
        <is>
          <t>소 계</t>
        </is>
      </c>
      <c r="D184" s="125">
        <f>SUM(E184:F184)</f>
        <v/>
      </c>
      <c r="E184" s="125">
        <f>E185+E186</f>
        <v/>
      </c>
      <c r="F184" s="125">
        <f>F185+F186</f>
        <v/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6" t="n"/>
      <c r="C185" s="119" t="inlineStr">
        <is>
          <t>7월</t>
        </is>
      </c>
      <c r="D185" s="120">
        <f>SUM(E185:F185)</f>
        <v/>
      </c>
      <c r="E185" s="120" t="n">
        <v>580</v>
      </c>
      <c r="F185" s="120" t="n">
        <v>21914</v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21" t="n"/>
      <c r="C186" s="119" t="inlineStr">
        <is>
          <t>8월</t>
        </is>
      </c>
      <c r="D186" s="120">
        <f>SUM(E186:F186)</f>
        <v/>
      </c>
      <c r="E186" s="120">
        <f>SUMIFS('②유기농raw'!$F$6:$F$207,'②유기농raw'!$A$6:$A$207,E$176,'②유기농raw'!$B$6:$B$207,$B184)-E185</f>
        <v/>
      </c>
      <c r="F186" s="120">
        <f>SUMIFS('②유기농raw'!$F$6:$F$207,'②유기농raw'!$A$6:$A$207,F$176,'②유기농raw'!$B$6:$B$207,$B184)-F185</f>
        <v/>
      </c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</row>
  </sheetData>
  <mergeCells count="86">
    <mergeCell ref="D4:J4"/>
    <mergeCell ref="B43:B44"/>
    <mergeCell ref="B12:B13"/>
    <mergeCell ref="B141:C141"/>
    <mergeCell ref="B77:C77"/>
    <mergeCell ref="B151:C151"/>
    <mergeCell ref="K27:M27"/>
    <mergeCell ref="D35:J35"/>
    <mergeCell ref="B61:C61"/>
    <mergeCell ref="B109:B111"/>
    <mergeCell ref="B165:B167"/>
    <mergeCell ref="K17:M17"/>
    <mergeCell ref="B69:C69"/>
    <mergeCell ref="C43:C44"/>
    <mergeCell ref="B78:C78"/>
    <mergeCell ref="C27:C28"/>
    <mergeCell ref="B152:B154"/>
    <mergeCell ref="B64:C64"/>
    <mergeCell ref="B177:C177"/>
    <mergeCell ref="B164:C164"/>
    <mergeCell ref="B63:C63"/>
    <mergeCell ref="B178:B180"/>
    <mergeCell ref="B35:B36"/>
    <mergeCell ref="B27:B28"/>
    <mergeCell ref="B138:C138"/>
    <mergeCell ref="B171:B173"/>
    <mergeCell ref="C4:C5"/>
    <mergeCell ref="K22:M22"/>
    <mergeCell ref="B17:B18"/>
    <mergeCell ref="B66:C66"/>
    <mergeCell ref="B131:C131"/>
    <mergeCell ref="B99:B101"/>
    <mergeCell ref="K12:M12"/>
    <mergeCell ref="B140:C140"/>
    <mergeCell ref="B83:B85"/>
    <mergeCell ref="B130:C130"/>
    <mergeCell ref="B132:C132"/>
    <mergeCell ref="K4:M4"/>
    <mergeCell ref="C17:C18"/>
    <mergeCell ref="B55:B56"/>
    <mergeCell ref="B102:B104"/>
    <mergeCell ref="D27:J27"/>
    <mergeCell ref="D17:J17"/>
    <mergeCell ref="B95:C95"/>
    <mergeCell ref="K35:M35"/>
    <mergeCell ref="B112:B114"/>
    <mergeCell ref="B168:B170"/>
    <mergeCell ref="B144:C144"/>
    <mergeCell ref="B54:C54"/>
    <mergeCell ref="B72:C72"/>
    <mergeCell ref="B158:B160"/>
    <mergeCell ref="B134:C134"/>
    <mergeCell ref="D12:J12"/>
    <mergeCell ref="B71:C71"/>
    <mergeCell ref="B89:B91"/>
    <mergeCell ref="C22:C23"/>
    <mergeCell ref="B57:B58"/>
    <mergeCell ref="C12:C13"/>
    <mergeCell ref="B82:C82"/>
    <mergeCell ref="B115:B117"/>
    <mergeCell ref="B146:C146"/>
    <mergeCell ref="B124:B125"/>
    <mergeCell ref="B108:C108"/>
    <mergeCell ref="B155:B157"/>
    <mergeCell ref="B4:B5"/>
    <mergeCell ref="B126:B127"/>
    <mergeCell ref="B86:B88"/>
    <mergeCell ref="B22:B23"/>
    <mergeCell ref="B133:C133"/>
    <mergeCell ref="B76:C76"/>
    <mergeCell ref="D43:J43"/>
    <mergeCell ref="B75:C75"/>
    <mergeCell ref="B135:C135"/>
    <mergeCell ref="B62:C62"/>
    <mergeCell ref="K43:M43"/>
    <mergeCell ref="C35:C36"/>
    <mergeCell ref="B70:C70"/>
    <mergeCell ref="B145:C145"/>
    <mergeCell ref="B184:B186"/>
    <mergeCell ref="D22:J22"/>
    <mergeCell ref="B147:C147"/>
    <mergeCell ref="B96:B98"/>
    <mergeCell ref="B65:C65"/>
    <mergeCell ref="B181:B183"/>
    <mergeCell ref="B139:C139"/>
    <mergeCell ref="B123:C123"/>
  </mergeCell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223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24" customWidth="1" style="21" min="3" max="3"/>
    <col width="26" customWidth="1" style="21" min="4" max="4"/>
    <col width="16" customWidth="1" style="21" min="5" max="5"/>
    <col width="45" customWidth="1" style="21" min="6" max="6"/>
    <col width="22" customWidth="1" style="21" min="7" max="7"/>
    <col width="16" customWidth="1" style="21" min="8" max="8"/>
    <col width="45" customWidth="1" style="21" min="9" max="9"/>
    <col width="16" customWidth="1" style="21" min="10" max="10"/>
    <col width="16" customWidth="1" style="21" min="11" max="11"/>
    <col width="16" customWidth="1" style="21" min="12" max="12"/>
    <col width="13" customWidth="1" style="21" min="13" max="13"/>
    <col width="16" customWidth="1" style="21" min="14" max="14"/>
    <col width="50" customWidth="1" style="21" min="15" max="15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57" t="inlineStr">
        <is>
          <t>2. 누적 실적 역전(감소) 이상치 내역 (총 1건 - 취소/환불 정산 변동분)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n"/>
      <c r="C14" s="164" t="n"/>
      <c r="D14" s="165" t="n"/>
      <c r="E14" s="164" t="n"/>
      <c r="F14" s="165" t="n"/>
      <c r="G14" s="166" t="n"/>
      <c r="H14" s="166" t="n"/>
      <c r="I14" s="167" t="n"/>
      <c r="J14" s="165" t="n"/>
    </row>
    <row r="15">
      <c r="B15" s="164" t="n"/>
      <c r="C15" s="164" t="n"/>
      <c r="D15" s="165" t="n"/>
      <c r="E15" s="164" t="n"/>
      <c r="F15" s="165" t="n"/>
      <c r="G15" s="166" t="n"/>
      <c r="H15" s="166" t="n"/>
      <c r="I15" s="167" t="n"/>
      <c r="J15" s="165" t="n"/>
    </row>
    <row r="16">
      <c r="B16" s="164" t="n"/>
      <c r="C16" s="164" t="n"/>
      <c r="D16" s="165" t="n"/>
      <c r="E16" s="164" t="n"/>
      <c r="F16" s="165" t="n"/>
      <c r="G16" s="166" t="n"/>
      <c r="H16" s="166" t="n"/>
      <c r="I16" s="167" t="n"/>
      <c r="J16" s="165" t="n"/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땅끝사랑농원</t>
        </is>
      </c>
      <c r="D21" s="168" t="inlineStr">
        <is>
          <t>106-93-03082</t>
        </is>
      </c>
      <c r="E21" s="168" t="inlineStr">
        <is>
          <t>네이버</t>
        </is>
      </c>
      <c r="F21" s="170" t="n">
        <v>63191000</v>
      </c>
      <c r="G21" s="171" t="n">
        <v>7617120</v>
      </c>
      <c r="H21" s="172" t="inlineStr">
        <is>
          <t>95.2%</t>
        </is>
      </c>
      <c r="I21" s="170" t="n">
        <v>382880</v>
      </c>
    </row>
    <row r="22">
      <c r="B22" s="168" t="n">
        <v>2</v>
      </c>
      <c r="C22" s="169" t="inlineStr">
        <is>
          <t>조양식품</t>
        </is>
      </c>
      <c r="D22" s="168" t="inlineStr">
        <is>
          <t>579-90-00021</t>
        </is>
      </c>
      <c r="E22" s="168" t="inlineStr">
        <is>
          <t>지마켓</t>
        </is>
      </c>
      <c r="F22" s="170" t="n">
        <v>287536270</v>
      </c>
      <c r="G22" s="171" t="n">
        <v>6140240</v>
      </c>
      <c r="H22" s="172" t="inlineStr">
        <is>
          <t>76.8%</t>
        </is>
      </c>
      <c r="I22" s="170" t="n">
        <v>1859760</v>
      </c>
    </row>
    <row r="23">
      <c r="B23" s="168" t="n">
        <v>3</v>
      </c>
      <c r="C23" s="169" t="inlineStr">
        <is>
          <t>농업회사법인(유)코리아푸드</t>
        </is>
      </c>
      <c r="D23" s="168" t="inlineStr">
        <is>
          <t>412-81-50546</t>
        </is>
      </c>
      <c r="E23" s="168" t="inlineStr">
        <is>
          <t>농가살리기</t>
        </is>
      </c>
      <c r="F23" s="170" t="n">
        <v>348126237</v>
      </c>
      <c r="G23" s="171" t="n">
        <v>5847700</v>
      </c>
      <c r="H23" s="172" t="inlineStr">
        <is>
          <t>73.1%</t>
        </is>
      </c>
      <c r="I23" s="170" t="n">
        <v>2152300</v>
      </c>
    </row>
    <row r="24">
      <c r="B24" s="168" t="n">
        <v>4</v>
      </c>
      <c r="C24" s="169" t="inlineStr">
        <is>
          <t>수촌농장</t>
        </is>
      </c>
      <c r="D24" s="168" t="inlineStr">
        <is>
          <t>477-93-01384</t>
        </is>
      </c>
      <c r="E24" s="168" t="inlineStr">
        <is>
          <t>지마켓</t>
        </is>
      </c>
      <c r="F24" s="170" t="n">
        <v>60348400</v>
      </c>
      <c r="G24" s="171" t="n">
        <v>5728100</v>
      </c>
      <c r="H24" s="159" t="inlineStr">
        <is>
          <t>71.6%</t>
        </is>
      </c>
      <c r="I24" s="170" t="n">
        <v>2271900</v>
      </c>
    </row>
    <row r="25">
      <c r="B25" s="168" t="n">
        <v>5</v>
      </c>
      <c r="C25" s="169" t="inlineStr">
        <is>
          <t>(주)우영채널</t>
        </is>
      </c>
      <c r="D25" s="168" t="inlineStr">
        <is>
          <t>114-86-65039</t>
        </is>
      </c>
      <c r="E25" s="168" t="inlineStr">
        <is>
          <t>지마켓</t>
        </is>
      </c>
      <c r="F25" s="170" t="n">
        <v>70241000</v>
      </c>
      <c r="G25" s="171" t="n">
        <v>5268240</v>
      </c>
      <c r="H25" s="159" t="inlineStr">
        <is>
          <t>65.9%</t>
        </is>
      </c>
      <c r="I25" s="170" t="n">
        <v>2731760</v>
      </c>
    </row>
    <row r="26">
      <c r="B26" s="168" t="n">
        <v>6</v>
      </c>
      <c r="C26" s="169" t="inlineStr">
        <is>
          <t>당진해나루쌀조합공동사업법인</t>
        </is>
      </c>
      <c r="D26" s="168" t="inlineStr">
        <is>
          <t>323-88-00158</t>
        </is>
      </c>
      <c r="E26" s="168" t="inlineStr">
        <is>
          <t>롯데ON</t>
        </is>
      </c>
      <c r="F26" s="170" t="n">
        <v>26752200</v>
      </c>
      <c r="G26" s="171" t="n">
        <v>5136630</v>
      </c>
      <c r="H26" s="159" t="inlineStr">
        <is>
          <t>64.2%</t>
        </is>
      </c>
      <c r="I26" s="170" t="n">
        <v>2863370</v>
      </c>
    </row>
    <row r="27">
      <c r="B27" s="168" t="n">
        <v>7</v>
      </c>
      <c r="C27" s="169" t="inlineStr">
        <is>
          <t>농업회사법인 주식회사 드림라이스</t>
        </is>
      </c>
      <c r="D27" s="168" t="inlineStr">
        <is>
          <t>485-88-00795</t>
        </is>
      </c>
      <c r="E27" s="168" t="inlineStr">
        <is>
          <t>롯데ON</t>
        </is>
      </c>
      <c r="F27" s="170" t="n">
        <v>26083350</v>
      </c>
      <c r="G27" s="171" t="n">
        <v>5105280</v>
      </c>
      <c r="H27" s="159" t="inlineStr">
        <is>
          <t>63.8%</t>
        </is>
      </c>
      <c r="I27" s="170" t="n">
        <v>2894720</v>
      </c>
    </row>
    <row r="28">
      <c r="B28" s="168" t="n">
        <v>8</v>
      </c>
      <c r="C28" s="169" t="inlineStr">
        <is>
          <t>농업회사법인 철원미곡 주식회사</t>
        </is>
      </c>
      <c r="D28" s="168" t="inlineStr">
        <is>
          <t>127-81-93991</t>
        </is>
      </c>
      <c r="E28" s="168" t="inlineStr">
        <is>
          <t>온누리마켓</t>
        </is>
      </c>
      <c r="F28" s="170" t="n">
        <v>32150700</v>
      </c>
      <c r="G28" s="171" t="n">
        <v>5097728</v>
      </c>
      <c r="H28" s="159" t="inlineStr">
        <is>
          <t>63.7%</t>
        </is>
      </c>
      <c r="I28" s="170" t="n">
        <v>2902272</v>
      </c>
    </row>
    <row r="29">
      <c r="B29" s="168" t="n">
        <v>9</v>
      </c>
      <c r="C29" s="169" t="inlineStr">
        <is>
          <t>여주시농협조합공동사업법인</t>
        </is>
      </c>
      <c r="D29" s="168" t="inlineStr">
        <is>
          <t>126-82-11620</t>
        </is>
      </c>
      <c r="E29" s="168" t="inlineStr">
        <is>
          <t>네이버</t>
        </is>
      </c>
      <c r="F29" s="170" t="n">
        <v>485645800</v>
      </c>
      <c r="G29" s="171" t="n">
        <v>5085890</v>
      </c>
      <c r="H29" s="159" t="inlineStr">
        <is>
          <t>63.6%</t>
        </is>
      </c>
      <c r="I29" s="170" t="n">
        <v>2914110</v>
      </c>
    </row>
    <row r="30">
      <c r="B30" s="168" t="n">
        <v>10</v>
      </c>
      <c r="C30" s="169" t="inlineStr">
        <is>
          <t>두원식품(주)</t>
        </is>
      </c>
      <c r="D30" s="168" t="inlineStr">
        <is>
          <t>606-81-52718</t>
        </is>
      </c>
      <c r="E30" s="168" t="inlineStr">
        <is>
          <t>지마켓</t>
        </is>
      </c>
      <c r="F30" s="170" t="n">
        <v>57338800</v>
      </c>
      <c r="G30" s="171" t="n">
        <v>5062400</v>
      </c>
      <c r="H30" s="159" t="inlineStr">
        <is>
          <t>63.3%</t>
        </is>
      </c>
      <c r="I30" s="170" t="n">
        <v>2937600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  <row r="75">
      <c r="A75" s="157" t="inlineStr">
        <is>
          <t>5. 8월 실적 데이터 내 품목분류 오기재 이상치 전수 목록 (총 66건 - 신규 51건 + 지속 15건)</t>
        </is>
      </c>
    </row>
    <row r="76">
      <c r="A76" s="237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 ht="25" customHeight="1" s="21">
      <c r="A78" s="238" t="inlineStr">
        <is>
          <t>No</t>
        </is>
      </c>
      <c r="B78" s="238" t="inlineStr">
        <is>
          <t>인입 구분</t>
        </is>
      </c>
      <c r="C78" s="238" t="inlineStr">
        <is>
          <t>이상치 유형</t>
        </is>
      </c>
      <c r="D78" s="238" t="inlineStr">
        <is>
          <t>기획전</t>
        </is>
      </c>
      <c r="E78" s="238" t="inlineStr">
        <is>
          <t>유통사</t>
        </is>
      </c>
      <c r="F78" s="238" t="inlineStr">
        <is>
          <t>판매자명(업체명)</t>
        </is>
      </c>
      <c r="G78" s="238" t="inlineStr">
        <is>
          <t>사업자번호</t>
        </is>
      </c>
      <c r="H78" s="238" t="inlineStr">
        <is>
          <t>상품명</t>
        </is>
      </c>
      <c r="I78" s="238" t="inlineStr">
        <is>
          <t>8월 현재분류</t>
        </is>
      </c>
      <c r="J78" s="238" t="inlineStr">
        <is>
          <t>권고 정정분류</t>
        </is>
      </c>
      <c r="K78" s="238" t="inlineStr">
        <is>
          <t>8월 순수매출액(원)</t>
        </is>
      </c>
      <c r="L78" s="238" t="inlineStr">
        <is>
          <t>8월 주문수(건)</t>
        </is>
      </c>
      <c r="M78" s="238" t="inlineStr">
        <is>
          <t>8월 쿠폰지원액(원)</t>
        </is>
      </c>
      <c r="N78" s="238" t="inlineStr">
        <is>
          <t>이상치 판정 사유 및 조치 제언</t>
        </is>
      </c>
    </row>
    <row r="79" ht="20" customHeight="1" s="21">
      <c r="A79" s="239" t="n">
        <v>1</v>
      </c>
      <c r="B79" s="239" t="inlineStr">
        <is>
          <t>기존 참여 지속</t>
        </is>
      </c>
      <c r="C79" s="239" t="inlineStr">
        <is>
          <t>조미가공육 ➡️ 축산물 오등록</t>
        </is>
      </c>
      <c r="D79" s="239" t="inlineStr">
        <is>
          <t>농산물</t>
        </is>
      </c>
      <c r="E79" s="239" t="inlineStr">
        <is>
          <t>지마켓</t>
        </is>
      </c>
      <c r="F79" s="240" t="inlineStr">
        <is>
          <t>두원식품(주)</t>
        </is>
      </c>
      <c r="G79" s="239" t="inlineStr">
        <is>
          <t>606-81-52718</t>
        </is>
      </c>
      <c r="H79" s="240" t="inlineStr">
        <is>
          <t>haccp인증 국내산 한돈 고추장 주물럭 300g x6팩(총 1.8kg)</t>
        </is>
      </c>
      <c r="I79" s="173" t="inlineStr">
        <is>
          <t>축산물</t>
        </is>
      </c>
      <c r="J79" s="241" t="inlineStr">
        <is>
          <t>가공식품(식육가공품)</t>
        </is>
      </c>
      <c r="K79" s="182" t="n">
        <v>65000</v>
      </c>
      <c r="L79" s="182" t="n">
        <v>2</v>
      </c>
      <c r="M79" s="182" t="n">
        <v>6500</v>
      </c>
      <c r="N79" s="240" t="inlineStr">
        <is>
          <t>식육가공품(양념조미육(주물럭))이나 1차 생육 축산물로 오등록됨</t>
        </is>
      </c>
    </row>
    <row r="80" ht="20" customHeight="1" s="21">
      <c r="A80" s="239" t="n">
        <v>2</v>
      </c>
      <c r="B80" s="239" t="inlineStr">
        <is>
          <t>기존 참여 지속</t>
        </is>
      </c>
      <c r="C80" s="239" t="inlineStr">
        <is>
          <t>조미가공육 ➡️ 축산물 오등록</t>
        </is>
      </c>
      <c r="D80" s="239" t="inlineStr">
        <is>
          <t>농산물</t>
        </is>
      </c>
      <c r="E80" s="239" t="inlineStr">
        <is>
          <t>지마켓</t>
        </is>
      </c>
      <c r="F80" s="240" t="inlineStr">
        <is>
          <t>두원식품(주)</t>
        </is>
      </c>
      <c r="G80" s="239" t="inlineStr">
        <is>
          <t>606-81-52718</t>
        </is>
      </c>
      <c r="H80" s="240" t="inlineStr">
        <is>
          <t>국내산 한돈 고추장 주물럭 300g + 300g 제육볶음</t>
        </is>
      </c>
      <c r="I80" s="173" t="inlineStr">
        <is>
          <t>축산물</t>
        </is>
      </c>
      <c r="J80" s="241" t="inlineStr">
        <is>
          <t>가공식품(식육가공품)</t>
        </is>
      </c>
      <c r="K80" s="182" t="n">
        <v>157900</v>
      </c>
      <c r="L80" s="182" t="n">
        <v>11</v>
      </c>
      <c r="M80" s="182" t="n">
        <v>11920</v>
      </c>
      <c r="N80" s="240" t="inlineStr">
        <is>
          <t>식육가공품(양념조미육(주물럭))이나 1차 생육 축산물로 오등록됨</t>
        </is>
      </c>
    </row>
    <row r="81" ht="20" customHeight="1" s="21">
      <c r="A81" s="239" t="n">
        <v>3</v>
      </c>
      <c r="B81" s="239" t="inlineStr">
        <is>
          <t>8월 신규 인입</t>
        </is>
      </c>
      <c r="C81" s="239" t="inlineStr">
        <is>
          <t>가공완제품 ➡️ 농산물 원물 오등록</t>
        </is>
      </c>
      <c r="D81" s="239" t="inlineStr">
        <is>
          <t>농산물</t>
        </is>
      </c>
      <c r="E81" s="239" t="inlineStr">
        <is>
          <t>지마켓</t>
        </is>
      </c>
      <c r="F81" s="240" t="inlineStr">
        <is>
          <t>아침햇살영농조합법인</t>
        </is>
      </c>
      <c r="G81" s="239" t="inlineStr">
        <is>
          <t>508-81-33305</t>
        </is>
      </c>
      <c r="H81" s="240" t="inlineStr">
        <is>
          <t>사과를 가득담아 사과100% 사과꽃향기 사과즙 100mlX50팩 NFC착즙/(스타배송)</t>
        </is>
      </c>
      <c r="I81" s="173" t="inlineStr">
        <is>
          <t>농산물</t>
        </is>
      </c>
      <c r="J81" s="241" t="inlineStr">
        <is>
          <t>가공식품(제조가공품)</t>
        </is>
      </c>
      <c r="K81" s="182" t="n">
        <v>241400</v>
      </c>
      <c r="L81" s="182" t="n">
        <v>16</v>
      </c>
      <c r="M81" s="182" t="n">
        <v>0</v>
      </c>
      <c r="N81" s="240" t="inlineStr">
        <is>
          <t>제조가공식품(과채가공품(사과즙/NFC착즙))이나 1차 신선 농산물 원물로 오등록됨</t>
        </is>
      </c>
    </row>
    <row r="82" ht="20" customHeight="1" s="21">
      <c r="A82" s="239" t="n">
        <v>4</v>
      </c>
      <c r="B82" s="239" t="inlineStr">
        <is>
          <t>기존 참여 지속</t>
        </is>
      </c>
      <c r="C82" s="239" t="inlineStr">
        <is>
          <t>조미가공육 ➡️ 축산물 오등록</t>
        </is>
      </c>
      <c r="D82" s="239" t="inlineStr">
        <is>
          <t>농산물</t>
        </is>
      </c>
      <c r="E82" s="239" t="inlineStr">
        <is>
          <t>롯데ON</t>
        </is>
      </c>
      <c r="F82" s="240" t="inlineStr">
        <is>
          <t>주식회사 더락</t>
        </is>
      </c>
      <c r="G82" s="239" t="inlineStr">
        <is>
          <t>593-86-01295</t>
        </is>
      </c>
      <c r="H82" s="240" t="inlineStr">
        <is>
          <t>국내산 한돈 수제 양념 돼지갈비 450G (2종 중 택1)</t>
        </is>
      </c>
      <c r="I82" s="173" t="inlineStr">
        <is>
          <t>축산물</t>
        </is>
      </c>
      <c r="J82" s="241" t="inlineStr">
        <is>
          <t>가공식품(식육가공품)</t>
        </is>
      </c>
      <c r="K82" s="182" t="n">
        <v>37312000</v>
      </c>
      <c r="L82" s="182" t="n">
        <v>729</v>
      </c>
      <c r="M82" s="182" t="n">
        <v>4967600</v>
      </c>
      <c r="N82" s="240" t="inlineStr">
        <is>
          <t>식육가공품(양념조미육)이나 1차 생육 축산물로 오등록됨</t>
        </is>
      </c>
    </row>
    <row r="83" ht="20" customHeight="1" s="21">
      <c r="A83" s="239" t="n">
        <v>5</v>
      </c>
      <c r="B83" s="239" t="inlineStr">
        <is>
          <t>기존 참여 지속</t>
        </is>
      </c>
      <c r="C83" s="239" t="inlineStr">
        <is>
          <t>조미가공육 ➡️ 축산물 오등록</t>
        </is>
      </c>
      <c r="D83" s="239" t="inlineStr">
        <is>
          <t>농산물</t>
        </is>
      </c>
      <c r="E83" s="239" t="inlineStr">
        <is>
          <t>롯데ON</t>
        </is>
      </c>
      <c r="F83" s="240" t="inlineStr">
        <is>
          <t>농업회사법인 라이플로우 주식회사</t>
        </is>
      </c>
      <c r="G83" s="239" t="inlineStr">
        <is>
          <t>715-87-02493</t>
        </is>
      </c>
      <c r="H83" s="240" t="inlineStr">
        <is>
          <t>[온누리7%혜택][주왕산가든] 한우불고기 전골 밀키트 750g 3인분 불고기 육수 야채 소불고기</t>
        </is>
      </c>
      <c r="I83" s="173" t="inlineStr">
        <is>
          <t>축산물</t>
        </is>
      </c>
      <c r="J83" s="241" t="inlineStr">
        <is>
          <t>가공식품(식육가공품)</t>
        </is>
      </c>
      <c r="K83" s="182" t="n">
        <v>1967900</v>
      </c>
      <c r="L83" s="182" t="n">
        <v>65</v>
      </c>
      <c r="M83" s="182" t="n">
        <v>371630</v>
      </c>
      <c r="N83" s="240" t="inlineStr">
        <is>
          <t>식육가공품(양념조미육(불고기))이나 1차 생육 축산물로 오등록됨</t>
        </is>
      </c>
    </row>
    <row r="84" ht="20" customHeight="1" s="21">
      <c r="A84" s="239" t="n">
        <v>6</v>
      </c>
      <c r="B84" s="239" t="inlineStr">
        <is>
          <t>기존 참여 지속</t>
        </is>
      </c>
      <c r="C84" s="239" t="inlineStr">
        <is>
          <t>조미가공육 ➡️ 축산물 오등록</t>
        </is>
      </c>
      <c r="D84" s="239" t="inlineStr">
        <is>
          <t>농산물</t>
        </is>
      </c>
      <c r="E84" s="239" t="inlineStr">
        <is>
          <t>롯데ON</t>
        </is>
      </c>
      <c r="F84" s="240" t="inlineStr">
        <is>
          <t>농업회사법인 라이플로우 주식회사</t>
        </is>
      </c>
      <c r="G84" s="239" t="inlineStr">
        <is>
          <t>715-87-02493</t>
        </is>
      </c>
      <c r="H84" s="240" t="inlineStr">
        <is>
          <t>[온누리7%혜택][주왕산가든] 명품 한돈 수제 돼지갈비 실속형 500g 양념돼지갈비 밀키트</t>
        </is>
      </c>
      <c r="I84" s="173" t="inlineStr">
        <is>
          <t>축산물</t>
        </is>
      </c>
      <c r="J84" s="241" t="inlineStr">
        <is>
          <t>가공식품(식육가공품)</t>
        </is>
      </c>
      <c r="K84" s="182" t="n">
        <v>345000</v>
      </c>
      <c r="L84" s="182" t="n">
        <v>11</v>
      </c>
      <c r="M84" s="182" t="n">
        <v>63050</v>
      </c>
      <c r="N84" s="240" t="inlineStr">
        <is>
          <t>식육가공품(양념조미육)이나 1차 생육 축산물로 오등록됨</t>
        </is>
      </c>
    </row>
    <row r="85" ht="20" customHeight="1" s="21">
      <c r="A85" s="239" t="n">
        <v>7</v>
      </c>
      <c r="B85" s="239" t="inlineStr">
        <is>
          <t>기존 참여 지속</t>
        </is>
      </c>
      <c r="C85" s="239" t="inlineStr">
        <is>
          <t>조미가공육 ➡️ 축산물 오등록</t>
        </is>
      </c>
      <c r="D85" s="239" t="inlineStr">
        <is>
          <t>농산물</t>
        </is>
      </c>
      <c r="E85" s="239" t="inlineStr">
        <is>
          <t>롯데ON</t>
        </is>
      </c>
      <c r="F85" s="240" t="inlineStr">
        <is>
          <t>주식회사 태범프레시</t>
        </is>
      </c>
      <c r="G85" s="239" t="inlineStr">
        <is>
          <t>832-86-02035</t>
        </is>
      </c>
      <c r="H85" s="240" t="inlineStr">
        <is>
          <t>[홍익상회] 춘천닭갈비 500g x 3팩 국내산닭고기 양념 순살</t>
        </is>
      </c>
      <c r="I85" s="173" t="inlineStr">
        <is>
          <t>축산물</t>
        </is>
      </c>
      <c r="J85" s="241" t="inlineStr">
        <is>
          <t>가공식품(식육가공품)</t>
        </is>
      </c>
      <c r="K85" s="182" t="n">
        <v>0</v>
      </c>
      <c r="L85" s="182" t="n">
        <v>0</v>
      </c>
      <c r="M85" s="182" t="n">
        <v>0</v>
      </c>
      <c r="N85" s="240" t="inlineStr">
        <is>
          <t>식육가공품(조미가공육(춘천닭갈비))이나 1차 생육 축산물로 오등록됨</t>
        </is>
      </c>
    </row>
    <row r="86" ht="20" customHeight="1" s="21">
      <c r="A86" s="239" t="n">
        <v>8</v>
      </c>
      <c r="B86" s="239" t="inlineStr">
        <is>
          <t>기존 참여 지속</t>
        </is>
      </c>
      <c r="C86" s="239" t="inlineStr">
        <is>
          <t>조미가공육 ➡️ 축산물 오등록</t>
        </is>
      </c>
      <c r="D86" s="239" t="inlineStr">
        <is>
          <t>농산물</t>
        </is>
      </c>
      <c r="E86" s="239" t="inlineStr">
        <is>
          <t>롯데ON</t>
        </is>
      </c>
      <c r="F86" s="240" t="inlineStr">
        <is>
          <t>주식회사 영인에프앤에스</t>
        </is>
      </c>
      <c r="G86" s="239" t="inlineStr">
        <is>
          <t>847-88-01537</t>
        </is>
      </c>
      <c r="H86" s="240" t="inlineStr">
        <is>
          <t>삶은 돼지 대창 1kg</t>
        </is>
      </c>
      <c r="I86" s="173" t="inlineStr">
        <is>
          <t>축산물</t>
        </is>
      </c>
      <c r="J86" s="241" t="inlineStr">
        <is>
          <t>가공식품(식육가공품)</t>
        </is>
      </c>
      <c r="K86" s="182" t="n">
        <v>54500</v>
      </c>
      <c r="L86" s="182" t="n">
        <v>7</v>
      </c>
      <c r="M86" s="182" t="n">
        <v>9440</v>
      </c>
      <c r="N86" s="240" t="inlineStr">
        <is>
          <t>식육가공품(양념/가공육(대창))이나 1차 생육 축산물로 오등록됨</t>
        </is>
      </c>
    </row>
    <row r="87" ht="20" customHeight="1" s="21">
      <c r="A87" s="239" t="n">
        <v>9</v>
      </c>
      <c r="B87" s="239" t="inlineStr">
        <is>
          <t>기존 참여 지속</t>
        </is>
      </c>
      <c r="C87" s="239" t="inlineStr">
        <is>
          <t>조미가공육 ➡️ 축산물 오등록</t>
        </is>
      </c>
      <c r="D87" s="239" t="inlineStr">
        <is>
          <t>농산물</t>
        </is>
      </c>
      <c r="E87" s="239" t="inlineStr">
        <is>
          <t>롯데ON</t>
        </is>
      </c>
      <c r="F87" s="240" t="inlineStr">
        <is>
          <t>주식회사 삼형제월드</t>
        </is>
      </c>
      <c r="G87" s="239" t="inlineStr">
        <is>
          <t>185-87-01669</t>
        </is>
      </c>
      <c r="H87" s="240" t="inlineStr">
        <is>
          <t>삼형제고기 한돈 간장 고추장 불고기 1kg (200g x 5팩)</t>
        </is>
      </c>
      <c r="I87" s="173" t="inlineStr">
        <is>
          <t>축산물</t>
        </is>
      </c>
      <c r="J87" s="241" t="inlineStr">
        <is>
          <t>가공식품(식육가공품)</t>
        </is>
      </c>
      <c r="K87" s="182" t="n">
        <v>0</v>
      </c>
      <c r="L87" s="182" t="n">
        <v>0</v>
      </c>
      <c r="M87" s="182" t="n">
        <v>0</v>
      </c>
      <c r="N87" s="240" t="inlineStr">
        <is>
          <t>식육가공품(양념조미육(불고기))이나 1차 생육 축산물로 오등록됨</t>
        </is>
      </c>
    </row>
    <row r="88" ht="20" customHeight="1" s="21">
      <c r="A88" s="239" t="n">
        <v>10</v>
      </c>
      <c r="B88" s="239" t="inlineStr">
        <is>
          <t>기존 참여 지속</t>
        </is>
      </c>
      <c r="C88" s="239" t="inlineStr">
        <is>
          <t>조미가공육 ➡️ 축산물 오등록</t>
        </is>
      </c>
      <c r="D88" s="239" t="inlineStr">
        <is>
          <t>농산물</t>
        </is>
      </c>
      <c r="E88" s="239" t="inlineStr">
        <is>
          <t>롯데ON</t>
        </is>
      </c>
      <c r="F88" s="240" t="inlineStr">
        <is>
          <t>주식회사 태범프레시</t>
        </is>
      </c>
      <c r="G88" s="239" t="inlineStr">
        <is>
          <t>832-86-02035</t>
        </is>
      </c>
      <c r="H88" s="240" t="inlineStr">
        <is>
          <t>[홍익상회] 춘천 홍익닭갈비 500g x 3팩 국내산 닭고기 양념 순살</t>
        </is>
      </c>
      <c r="I88" s="173" t="inlineStr">
        <is>
          <t>축산물</t>
        </is>
      </c>
      <c r="J88" s="241" t="inlineStr">
        <is>
          <t>가공식품(식육가공품)</t>
        </is>
      </c>
      <c r="K88" s="182" t="n">
        <v>2552440</v>
      </c>
      <c r="L88" s="182" t="n">
        <v>73</v>
      </c>
      <c r="M88" s="182" t="n">
        <v>410540</v>
      </c>
      <c r="N88" s="240" t="inlineStr">
        <is>
          <t>식육가공품(조미가공육(춘천닭갈비))이나 1차 생육 축산물로 오등록됨</t>
        </is>
      </c>
    </row>
    <row r="89" ht="20" customHeight="1" s="21">
      <c r="A89" s="239" t="n">
        <v>11</v>
      </c>
      <c r="B89" s="239" t="inlineStr">
        <is>
          <t>8월 신규 인입</t>
        </is>
      </c>
      <c r="C89" s="239" t="inlineStr">
        <is>
          <t>조미가공육 ➡️ 축산물 오등록</t>
        </is>
      </c>
      <c r="D89" s="239" t="inlineStr">
        <is>
          <t>농산물</t>
        </is>
      </c>
      <c r="E89" s="239" t="inlineStr">
        <is>
          <t>롯데ON</t>
        </is>
      </c>
      <c r="F89" s="240" t="inlineStr">
        <is>
          <t>주식회사 태범프레시</t>
        </is>
      </c>
      <c r="G89" s="239" t="inlineStr">
        <is>
          <t>832-86-02035</t>
        </is>
      </c>
      <c r="H89" s="240" t="inlineStr">
        <is>
          <t>한돈스테이크 4장x1팩 오븐 직화 떡갈비 맛 함박 스테이크 너비아니</t>
        </is>
      </c>
      <c r="I89" s="173" t="inlineStr">
        <is>
          <t>축산물</t>
        </is>
      </c>
      <c r="J89" s="241" t="inlineStr">
        <is>
          <t>가공식품(식육가공품)</t>
        </is>
      </c>
      <c r="K89" s="182" t="n">
        <v>29900</v>
      </c>
      <c r="L89" s="182" t="n">
        <v>1</v>
      </c>
      <c r="M89" s="182" t="n">
        <v>5740</v>
      </c>
      <c r="N89" s="240" t="inlineStr">
        <is>
          <t>식육가공품(가공육(떡갈비·수제패티))이나 1차 생육 축산물로 오등록됨</t>
        </is>
      </c>
    </row>
    <row r="90" ht="20" customHeight="1" s="21">
      <c r="A90" s="239" t="n">
        <v>12</v>
      </c>
      <c r="B90" s="239" t="inlineStr">
        <is>
          <t>8월 신규 인입</t>
        </is>
      </c>
      <c r="C90" s="239" t="inlineStr">
        <is>
          <t>조미가공육 ➡️ 축산물 오등록</t>
        </is>
      </c>
      <c r="D90" s="239" t="inlineStr">
        <is>
          <t>농산물</t>
        </is>
      </c>
      <c r="E90" s="239" t="inlineStr">
        <is>
          <t>롯데ON</t>
        </is>
      </c>
      <c r="F90" s="240" t="inlineStr">
        <is>
          <t>주식회사 태범프레시</t>
        </is>
      </c>
      <c r="G90" s="239" t="inlineStr">
        <is>
          <t>832-86-02035</t>
        </is>
      </c>
      <c r="H90" s="240" t="inlineStr">
        <is>
          <t>홍익상회 양념 오리 불고기 고추장 주물럭 400g (2인분) x 3팩</t>
        </is>
      </c>
      <c r="I90" s="173" t="inlineStr">
        <is>
          <t>축산물</t>
        </is>
      </c>
      <c r="J90" s="241" t="inlineStr">
        <is>
          <t>가공식품(식육가공품)</t>
        </is>
      </c>
      <c r="K90" s="182" t="n">
        <v>71800</v>
      </c>
      <c r="L90" s="182" t="n">
        <v>2</v>
      </c>
      <c r="M90" s="182" t="n">
        <v>13340</v>
      </c>
      <c r="N90" s="240" t="inlineStr">
        <is>
          <t>식육가공품(양념조미육(주물럭))이나 1차 생육 축산물로 오등록됨</t>
        </is>
      </c>
    </row>
    <row r="91" ht="20" customHeight="1" s="21">
      <c r="A91" s="239" t="n">
        <v>13</v>
      </c>
      <c r="B91" s="239" t="inlineStr">
        <is>
          <t>8월 신규 인입</t>
        </is>
      </c>
      <c r="C91" s="239" t="inlineStr">
        <is>
          <t>조미가공육 ➡️ 축산물 오등록</t>
        </is>
      </c>
      <c r="D91" s="239" t="inlineStr">
        <is>
          <t>농산물</t>
        </is>
      </c>
      <c r="E91" s="239" t="inlineStr">
        <is>
          <t>롯데ON</t>
        </is>
      </c>
      <c r="F91" s="240" t="inlineStr">
        <is>
          <t>주식회사 태범프레시</t>
        </is>
      </c>
      <c r="G91" s="239" t="inlineStr">
        <is>
          <t>832-86-02035</t>
        </is>
      </c>
      <c r="H91" s="240" t="inlineStr">
        <is>
          <t>[APP전용][홍익상회] 춘천 국내산 홍익 순살 닭갈비 500g x 5팩/3팩</t>
        </is>
      </c>
      <c r="I91" s="173" t="inlineStr">
        <is>
          <t>축산물</t>
        </is>
      </c>
      <c r="J91" s="241" t="inlineStr">
        <is>
          <t>가공식품(식육가공품)</t>
        </is>
      </c>
      <c r="K91" s="182" t="n">
        <v>308550</v>
      </c>
      <c r="L91" s="182" t="n">
        <v>4</v>
      </c>
      <c r="M91" s="182" t="n">
        <v>36820</v>
      </c>
      <c r="N91" s="240" t="inlineStr">
        <is>
          <t>식육가공품(조미가공육(춘천닭갈비))이나 1차 생육 축산물로 오등록됨</t>
        </is>
      </c>
    </row>
    <row r="92" ht="20" customHeight="1" s="21">
      <c r="A92" s="239" t="n">
        <v>14</v>
      </c>
      <c r="B92" s="239" t="inlineStr">
        <is>
          <t>8월 신규 인입</t>
        </is>
      </c>
      <c r="C92" s="239" t="inlineStr">
        <is>
          <t>조미가공육 ➡️ 축산물 오등록</t>
        </is>
      </c>
      <c r="D92" s="239" t="inlineStr">
        <is>
          <t>농산물</t>
        </is>
      </c>
      <c r="E92" s="239" t="inlineStr">
        <is>
          <t>롯데ON</t>
        </is>
      </c>
      <c r="F92" s="240" t="inlineStr">
        <is>
          <t>주식회사 태범프레시</t>
        </is>
      </c>
      <c r="G92" s="239" t="inlineStr">
        <is>
          <t>832-86-02035</t>
        </is>
      </c>
      <c r="H92" s="240" t="inlineStr">
        <is>
          <t>[홍익상회] 춘천 국내산 홍익 순살 닭갈비 500g x 5팩/3팩</t>
        </is>
      </c>
      <c r="I92" s="173" t="inlineStr">
        <is>
          <t>축산물</t>
        </is>
      </c>
      <c r="J92" s="241" t="inlineStr">
        <is>
          <t>가공식품(식육가공품)</t>
        </is>
      </c>
      <c r="K92" s="182" t="n">
        <v>0</v>
      </c>
      <c r="L92" s="182" t="n">
        <v>0</v>
      </c>
      <c r="M92" s="182" t="n">
        <v>0</v>
      </c>
      <c r="N92" s="240" t="inlineStr">
        <is>
          <t>식육가공품(조미가공육(춘천닭갈비))이나 1차 생육 축산물로 오등록됨</t>
        </is>
      </c>
    </row>
    <row r="93" ht="20" customHeight="1" s="21">
      <c r="A93" s="239" t="n">
        <v>15</v>
      </c>
      <c r="B93" s="239" t="inlineStr">
        <is>
          <t>기존 참여 지속</t>
        </is>
      </c>
      <c r="C93" s="239" t="inlineStr">
        <is>
          <t>조미가공육 ➡️ 축산물 오등록</t>
        </is>
      </c>
      <c r="D93" s="239" t="inlineStr">
        <is>
          <t>농산물</t>
        </is>
      </c>
      <c r="E93" s="239" t="inlineStr">
        <is>
          <t>오아시스</t>
        </is>
      </c>
      <c r="F93" s="240" t="inlineStr">
        <is>
          <t>케이에프지</t>
        </is>
      </c>
      <c r="G93" s="239" t="inlineStr">
        <is>
          <t>120-86-08936</t>
        </is>
      </c>
      <c r="H93" s="240" t="inlineStr">
        <is>
          <t>한돈 칼집 양념구이 (650g X 1개)</t>
        </is>
      </c>
      <c r="I93" s="173" t="inlineStr">
        <is>
          <t>축산물</t>
        </is>
      </c>
      <c r="J93" s="241" t="inlineStr">
        <is>
          <t>가공식품(식육가공품)</t>
        </is>
      </c>
      <c r="K93" s="182" t="n">
        <v>30197000</v>
      </c>
      <c r="L93" s="182" t="n">
        <v>2552</v>
      </c>
      <c r="M93" s="182" t="n">
        <v>490780</v>
      </c>
      <c r="N93" s="240" t="inlineStr">
        <is>
          <t>식육가공품(양념조미육)이나 1차 생육 축산물로 오등록됨</t>
        </is>
      </c>
    </row>
    <row r="94" ht="20" customHeight="1" s="21">
      <c r="A94" s="239" t="n">
        <v>16</v>
      </c>
      <c r="B94" s="239" t="inlineStr">
        <is>
          <t>기존 참여 지속</t>
        </is>
      </c>
      <c r="C94" s="239" t="inlineStr">
        <is>
          <t>조미가공육 ➡️ 축산물 오등록</t>
        </is>
      </c>
      <c r="D94" s="239" t="inlineStr">
        <is>
          <t>농산물</t>
        </is>
      </c>
      <c r="E94" s="239" t="inlineStr">
        <is>
          <t>오아시스</t>
        </is>
      </c>
      <c r="F94" s="240" t="inlineStr">
        <is>
          <t>케이에프지</t>
        </is>
      </c>
      <c r="G94" s="239" t="inlineStr">
        <is>
          <t>120-86-08936</t>
        </is>
      </c>
      <c r="H94" s="240" t="inlineStr">
        <is>
          <t>서울식 한우 불고기 밀키트 (800g X 1개)</t>
        </is>
      </c>
      <c r="I94" s="173" t="inlineStr">
        <is>
          <t>축산물</t>
        </is>
      </c>
      <c r="J94" s="241" t="inlineStr">
        <is>
          <t>가공식품(식육가공품)</t>
        </is>
      </c>
      <c r="K94" s="182" t="n">
        <v>15422600</v>
      </c>
      <c r="L94" s="182" t="n">
        <v>883</v>
      </c>
      <c r="M94" s="182" t="n">
        <v>271750</v>
      </c>
      <c r="N94" s="240" t="inlineStr">
        <is>
          <t>식육가공품(양념조미육(불고기))이나 1차 생육 축산물로 오등록됨</t>
        </is>
      </c>
    </row>
    <row r="95" ht="20" customHeight="1" s="21">
      <c r="A95" s="239" t="n">
        <v>17</v>
      </c>
      <c r="B95" s="239" t="inlineStr">
        <is>
          <t>기존 참여 지속</t>
        </is>
      </c>
      <c r="C95" s="239" t="inlineStr">
        <is>
          <t>조미가공육 ➡️ 축산물 오등록</t>
        </is>
      </c>
      <c r="D95" s="239" t="inlineStr">
        <is>
          <t>농산물</t>
        </is>
      </c>
      <c r="E95" s="239" t="inlineStr">
        <is>
          <t>오아시스</t>
        </is>
      </c>
      <c r="F95" s="240" t="inlineStr">
        <is>
          <t>농업회사법인 주식회사 팔농</t>
        </is>
      </c>
      <c r="G95" s="239" t="inlineStr">
        <is>
          <t>797-88-03152</t>
        </is>
      </c>
      <c r="H95" s="240" t="inlineStr">
        <is>
          <t>안동한우양반곱창 한우곱창 200gX2팩 (400g)</t>
        </is>
      </c>
      <c r="I95" s="173" t="inlineStr">
        <is>
          <t>축산물</t>
        </is>
      </c>
      <c r="J95" s="241" t="inlineStr">
        <is>
          <t>가공식품(식육가공품)</t>
        </is>
      </c>
      <c r="K95" s="182" t="n">
        <v>508800</v>
      </c>
      <c r="L95" s="182" t="n">
        <v>16</v>
      </c>
      <c r="M95" s="182" t="n">
        <v>92680</v>
      </c>
      <c r="N95" s="240" t="inlineStr">
        <is>
          <t>식육가공품(양념/가공육(곱창/대창))이나 1차 생육 축산물로 오등록됨</t>
        </is>
      </c>
    </row>
    <row r="96" ht="20" customHeight="1" s="21">
      <c r="A96" s="239" t="n">
        <v>18</v>
      </c>
      <c r="B96" s="239" t="inlineStr">
        <is>
          <t>기존 참여 지속</t>
        </is>
      </c>
      <c r="C96" s="239" t="inlineStr">
        <is>
          <t>조미가공육 ➡️ 축산물 오등록</t>
        </is>
      </c>
      <c r="D96" s="239" t="inlineStr">
        <is>
          <t>농산물</t>
        </is>
      </c>
      <c r="E96" s="239" t="inlineStr">
        <is>
          <t>오아시스</t>
        </is>
      </c>
      <c r="F96" s="240" t="inlineStr">
        <is>
          <t>농업회사법인 주식회사 팔농</t>
        </is>
      </c>
      <c r="G96" s="239" t="inlineStr">
        <is>
          <t>797-88-03152</t>
        </is>
      </c>
      <c r="H96" s="240" t="inlineStr">
        <is>
          <t>안동한우양반곱창 한우곱창200g+한우대창200g 2종세트</t>
        </is>
      </c>
      <c r="I96" s="173" t="inlineStr">
        <is>
          <t>축산물</t>
        </is>
      </c>
      <c r="J96" s="241" t="inlineStr">
        <is>
          <t>가공식품(식육가공품)</t>
        </is>
      </c>
      <c r="K96" s="182" t="n">
        <v>59600</v>
      </c>
      <c r="L96" s="182" t="n">
        <v>2</v>
      </c>
      <c r="M96" s="182" t="n">
        <v>11920</v>
      </c>
      <c r="N96" s="240" t="inlineStr">
        <is>
          <t>식육가공품(양념/가공육(곱창/대창))이나 1차 생육 축산물로 오등록됨</t>
        </is>
      </c>
    </row>
    <row r="97" ht="20" customHeight="1" s="21">
      <c r="A97" s="239" t="n">
        <v>19</v>
      </c>
      <c r="B97" s="239" t="inlineStr">
        <is>
          <t>기존 참여 지속</t>
        </is>
      </c>
      <c r="C97" s="239" t="inlineStr">
        <is>
          <t>조미가공육 ➡️ 축산물 오등록</t>
        </is>
      </c>
      <c r="D97" s="239" t="inlineStr">
        <is>
          <t>농산물</t>
        </is>
      </c>
      <c r="E97" s="239" t="inlineStr">
        <is>
          <t>오아시스</t>
        </is>
      </c>
      <c r="F97" s="240" t="inlineStr">
        <is>
          <t>농업회사법인 주식회사 팔농</t>
        </is>
      </c>
      <c r="G97" s="239" t="inlineStr">
        <is>
          <t>797-88-03152</t>
        </is>
      </c>
      <c r="H97" s="240" t="inlineStr">
        <is>
          <t>안동한우양반곱창 한우곱창200g+한우막창200g 2종세트</t>
        </is>
      </c>
      <c r="I97" s="173" t="inlineStr">
        <is>
          <t>축산물</t>
        </is>
      </c>
      <c r="J97" s="241" t="inlineStr">
        <is>
          <t>가공식품(식육가공품)</t>
        </is>
      </c>
      <c r="K97" s="182" t="n">
        <v>115200</v>
      </c>
      <c r="L97" s="182" t="n">
        <v>4</v>
      </c>
      <c r="M97" s="182" t="n">
        <v>22653</v>
      </c>
      <c r="N97" s="240" t="inlineStr">
        <is>
          <t>식육가공품(양념/가공육(곱창/대창))이나 1차 생육 축산물로 오등록됨</t>
        </is>
      </c>
    </row>
    <row r="98" ht="20" customHeight="1" s="21">
      <c r="A98" s="239" t="n">
        <v>20</v>
      </c>
      <c r="B98" s="239" t="inlineStr">
        <is>
          <t>기존 참여 지속</t>
        </is>
      </c>
      <c r="C98" s="239" t="inlineStr">
        <is>
          <t>조미가공육 ➡️ 축산물 오등록</t>
        </is>
      </c>
      <c r="D98" s="239" t="inlineStr">
        <is>
          <t>농산물</t>
        </is>
      </c>
      <c r="E98" s="239" t="inlineStr">
        <is>
          <t>오아시스</t>
        </is>
      </c>
      <c r="F98" s="240" t="inlineStr">
        <is>
          <t>농업회사법인 주식회사 팔농</t>
        </is>
      </c>
      <c r="G98" s="239" t="inlineStr">
        <is>
          <t>797-88-03152</t>
        </is>
      </c>
      <c r="H98" s="240" t="inlineStr">
        <is>
          <t>안동한우양반곱창 한우곱창200g+한우염통200g 2종세트</t>
        </is>
      </c>
      <c r="I98" s="173" t="inlineStr">
        <is>
          <t>축산물</t>
        </is>
      </c>
      <c r="J98" s="241" t="inlineStr">
        <is>
          <t>가공식품(식육가공품)</t>
        </is>
      </c>
      <c r="K98" s="182" t="n">
        <v>24800</v>
      </c>
      <c r="L98" s="182" t="n">
        <v>1</v>
      </c>
      <c r="M98" s="182" t="n">
        <v>4627</v>
      </c>
      <c r="N98" s="240" t="inlineStr">
        <is>
          <t>식육가공품(양념/가공육(곱창/대창))이나 1차 생육 축산물로 오등록됨</t>
        </is>
      </c>
    </row>
    <row r="99" ht="20" customHeight="1" s="21">
      <c r="A99" s="239" t="n">
        <v>21</v>
      </c>
      <c r="B99" s="239" t="inlineStr">
        <is>
          <t>8월 신규 인입</t>
        </is>
      </c>
      <c r="C99" s="239" t="inlineStr">
        <is>
          <t>조미가공육 ➡️ 축산물 오등록</t>
        </is>
      </c>
      <c r="D99" s="239" t="inlineStr">
        <is>
          <t>농산물</t>
        </is>
      </c>
      <c r="E99" s="239" t="inlineStr">
        <is>
          <t>네이버</t>
        </is>
      </c>
      <c r="F99" s="240" t="inlineStr">
        <is>
          <t>농업회사법인 주식회사 코리아식품</t>
        </is>
      </c>
      <c r="G99" s="239" t="inlineStr">
        <is>
          <t>608-88-00253</t>
        </is>
      </c>
      <c r="H99" s="240" t="inlineStr">
        <is>
          <t>청춘불판 직화껍데기 350g 국내산 직화 불향 자체양념소스</t>
        </is>
      </c>
      <c r="I99" s="173" t="inlineStr">
        <is>
          <t>축산물</t>
        </is>
      </c>
      <c r="J99" s="241" t="inlineStr">
        <is>
          <t>가공식품(식육가공품)</t>
        </is>
      </c>
      <c r="K99" s="182" t="n">
        <v>282900</v>
      </c>
      <c r="L99" s="182" t="n">
        <v>6</v>
      </c>
      <c r="M99" s="182" t="n">
        <v>15520</v>
      </c>
      <c r="N99" s="240" t="inlineStr">
        <is>
          <t>식육가공품(양념조미육)이나 1차 생육 축산물로 오등록됨</t>
        </is>
      </c>
    </row>
    <row r="100" ht="20" customHeight="1" s="21">
      <c r="A100" s="239" t="n">
        <v>22</v>
      </c>
      <c r="B100" s="239" t="inlineStr">
        <is>
          <t>8월 신규 인입</t>
        </is>
      </c>
      <c r="C100" s="239" t="inlineStr">
        <is>
          <t>조미가공육 ➡️ 축산물 오등록</t>
        </is>
      </c>
      <c r="D100" s="239" t="inlineStr">
        <is>
          <t>농산물</t>
        </is>
      </c>
      <c r="E100" s="239" t="inlineStr">
        <is>
          <t>네이버</t>
        </is>
      </c>
      <c r="F100" s="240" t="inlineStr">
        <is>
          <t>농업회사법인 주식회사 코리아식품</t>
        </is>
      </c>
      <c r="G100" s="239" t="inlineStr">
        <is>
          <t>608-88-00253</t>
        </is>
      </c>
      <c r="H100" s="240" t="inlineStr">
        <is>
          <t>고기얌 불오돌뼈 250g 국내산 매운 양념 캠핑 혼술 안주</t>
        </is>
      </c>
      <c r="I100" s="173" t="inlineStr">
        <is>
          <t>축산물</t>
        </is>
      </c>
      <c r="J100" s="241" t="inlineStr">
        <is>
          <t>가공식품(식육가공품)</t>
        </is>
      </c>
      <c r="K100" s="182" t="n">
        <v>6900</v>
      </c>
      <c r="L100" s="182" t="n">
        <v>1</v>
      </c>
      <c r="M100" s="182" t="n">
        <v>0</v>
      </c>
      <c r="N100" s="240" t="inlineStr">
        <is>
          <t>식육가공품(양념조미육)이나 1차 생육 축산물로 오등록됨</t>
        </is>
      </c>
    </row>
    <row r="101" ht="20" customHeight="1" s="21">
      <c r="A101" s="239" t="n">
        <v>23</v>
      </c>
      <c r="B101" s="239" t="inlineStr">
        <is>
          <t>8월 신규 인입</t>
        </is>
      </c>
      <c r="C101" s="239" t="inlineStr">
        <is>
          <t>조미가공육 ➡️ 축산물 오등록</t>
        </is>
      </c>
      <c r="D101" s="239" t="inlineStr">
        <is>
          <t>농산물</t>
        </is>
      </c>
      <c r="E101" s="239" t="inlineStr">
        <is>
          <t>네이버</t>
        </is>
      </c>
      <c r="F101" s="240" t="inlineStr">
        <is>
          <t>농업회사법인 주식회사 코리아식품</t>
        </is>
      </c>
      <c r="G101" s="239" t="inlineStr">
        <is>
          <t>608-88-00253</t>
        </is>
      </c>
      <c r="H101" s="240" t="inlineStr">
        <is>
          <t>청춘불판 불오돌뼈 400g 국내산 매운 양념 캠핑 혼술 안주</t>
        </is>
      </c>
      <c r="I101" s="173" t="inlineStr">
        <is>
          <t>축산물</t>
        </is>
      </c>
      <c r="J101" s="241" t="inlineStr">
        <is>
          <t>가공식품(식육가공품)</t>
        </is>
      </c>
      <c r="K101" s="182" t="n">
        <v>23700</v>
      </c>
      <c r="L101" s="182" t="n">
        <v>2</v>
      </c>
      <c r="M101" s="182" t="n">
        <v>3160</v>
      </c>
      <c r="N101" s="240" t="inlineStr">
        <is>
          <t>식육가공품(양념조미육)이나 1차 생육 축산물로 오등록됨</t>
        </is>
      </c>
    </row>
    <row r="102" ht="20" customHeight="1" s="21">
      <c r="A102" s="239" t="n">
        <v>24</v>
      </c>
      <c r="B102" s="239" t="inlineStr">
        <is>
          <t>8월 신규 인입</t>
        </is>
      </c>
      <c r="C102" s="239" t="inlineStr">
        <is>
          <t>조미가공육 ➡️ 축산물 오등록</t>
        </is>
      </c>
      <c r="D102" s="239" t="inlineStr">
        <is>
          <t>농산물</t>
        </is>
      </c>
      <c r="E102" s="239" t="inlineStr">
        <is>
          <t>네이버</t>
        </is>
      </c>
      <c r="F102" s="240" t="inlineStr">
        <is>
          <t>농업회사법인 주식회사 코리아식품</t>
        </is>
      </c>
      <c r="G102" s="239" t="inlineStr">
        <is>
          <t>608-88-00253</t>
        </is>
      </c>
      <c r="H102" s="240" t="inlineStr">
        <is>
          <t>청춘불판 직화불곱창 400g 혼술 캠핑 안주 돼지곱창</t>
        </is>
      </c>
      <c r="I102" s="173" t="inlineStr">
        <is>
          <t>축산물</t>
        </is>
      </c>
      <c r="J102" s="241" t="inlineStr">
        <is>
          <t>가공식품(식육가공품)</t>
        </is>
      </c>
      <c r="K102" s="182" t="n">
        <v>76300</v>
      </c>
      <c r="L102" s="182" t="n">
        <v>3</v>
      </c>
      <c r="M102" s="182" t="n">
        <v>8720</v>
      </c>
      <c r="N102" s="240" t="inlineStr">
        <is>
          <t>식육가공품(양념/가공육(곱창/대창))이나 1차 생육 축산물로 오등록됨</t>
        </is>
      </c>
    </row>
    <row r="103" ht="20" customHeight="1" s="21">
      <c r="A103" s="239" t="n">
        <v>25</v>
      </c>
      <c r="B103" s="239" t="inlineStr">
        <is>
          <t>8월 신규 인입</t>
        </is>
      </c>
      <c r="C103" s="239" t="inlineStr">
        <is>
          <t>조미가공육 ➡️ 축산물 오등록</t>
        </is>
      </c>
      <c r="D103" s="239" t="inlineStr">
        <is>
          <t>농산물</t>
        </is>
      </c>
      <c r="E103" s="239" t="inlineStr">
        <is>
          <t>네이버</t>
        </is>
      </c>
      <c r="F103" s="240" t="inlineStr">
        <is>
          <t>현풍떡갈비</t>
        </is>
      </c>
      <c r="G103" s="239" t="inlineStr">
        <is>
          <t>671-67-00557</t>
        </is>
      </c>
      <c r="H103" s="240" t="inlineStr">
        <is>
          <t>아기떡갈비 현풍 수제 한우 한돈 아이 반찬 건강한 육즙 세가지맛 3팩  90g  15개</t>
        </is>
      </c>
      <c r="I103" s="173" t="inlineStr">
        <is>
          <t>축산물</t>
        </is>
      </c>
      <c r="J103" s="241" t="inlineStr">
        <is>
          <t>가공식품(식육가공품)</t>
        </is>
      </c>
      <c r="K103" s="182" t="n">
        <v>2562900</v>
      </c>
      <c r="L103" s="182" t="n">
        <v>74</v>
      </c>
      <c r="M103" s="182" t="n">
        <v>237520</v>
      </c>
      <c r="N103" s="240" t="inlineStr">
        <is>
          <t>식육가공품(가공육(떡갈비·수제패티))이나 1차 생육 축산물로 오등록됨</t>
        </is>
      </c>
    </row>
    <row r="104" ht="20" customHeight="1" s="21">
      <c r="A104" s="239" t="n">
        <v>26</v>
      </c>
      <c r="B104" s="239" t="inlineStr">
        <is>
          <t>8월 신규 인입</t>
        </is>
      </c>
      <c r="C104" s="239" t="inlineStr">
        <is>
          <t>조미가공육 ➡️ 축산물 오등록</t>
        </is>
      </c>
      <c r="D104" s="239" t="inlineStr">
        <is>
          <t>농산물</t>
        </is>
      </c>
      <c r="E104" s="239" t="inlineStr">
        <is>
          <t>네이버</t>
        </is>
      </c>
      <c r="F104" s="240" t="inlineStr">
        <is>
          <t>농업회사법인 주식회사 코리아식품</t>
        </is>
      </c>
      <c r="G104" s="239" t="inlineStr">
        <is>
          <t>608-88-00253</t>
        </is>
      </c>
      <c r="H104" s="240" t="inlineStr">
        <is>
          <t>고기얌 돼지껍데기 누들 매콤맛 180g 국내산 매콤양념 누들껍데기 캠핑 야식 간편조리</t>
        </is>
      </c>
      <c r="I104" s="173" t="inlineStr">
        <is>
          <t>축산물</t>
        </is>
      </c>
      <c r="J104" s="241" t="inlineStr">
        <is>
          <t>가공식품(식육가공품)</t>
        </is>
      </c>
      <c r="K104" s="182" t="n">
        <v>7900</v>
      </c>
      <c r="L104" s="182" t="n">
        <v>1</v>
      </c>
      <c r="M104" s="182" t="n">
        <v>0</v>
      </c>
      <c r="N104" s="240" t="inlineStr">
        <is>
          <t>식육가공품(양념조미육)이나 1차 생육 축산물로 오등록됨</t>
        </is>
      </c>
    </row>
    <row r="105" ht="20" customHeight="1" s="21">
      <c r="A105" s="239" t="n">
        <v>27</v>
      </c>
      <c r="B105" s="239" t="inlineStr">
        <is>
          <t>8월 신규 인입</t>
        </is>
      </c>
      <c r="C105" s="239" t="inlineStr">
        <is>
          <t>조미가공육 ➡️ 축산물 오등록</t>
        </is>
      </c>
      <c r="D105" s="239" t="inlineStr">
        <is>
          <t>농산물</t>
        </is>
      </c>
      <c r="E105" s="239" t="inlineStr">
        <is>
          <t>네이버</t>
        </is>
      </c>
      <c r="F105" s="240" t="inlineStr">
        <is>
          <t>농업회사법인(주)새나라</t>
        </is>
      </c>
      <c r="G105" s="239" t="inlineStr">
        <is>
          <t>792-88-00316</t>
        </is>
      </c>
      <c r="H105" s="240" t="inlineStr">
        <is>
          <t>사조 오리 주물럭 양념 오리불고기 600g 넉넉한 양</t>
        </is>
      </c>
      <c r="I105" s="173" t="inlineStr">
        <is>
          <t>축산물</t>
        </is>
      </c>
      <c r="J105" s="241" t="inlineStr">
        <is>
          <t>가공식품(식육가공품)</t>
        </is>
      </c>
      <c r="K105" s="182" t="n">
        <v>202000</v>
      </c>
      <c r="L105" s="182" t="n">
        <v>7</v>
      </c>
      <c r="M105" s="182" t="n">
        <v>35820</v>
      </c>
      <c r="N105" s="240" t="inlineStr">
        <is>
          <t>식육가공품(양념조미육(주물럭))이나 1차 생육 축산물로 오등록됨</t>
        </is>
      </c>
    </row>
    <row r="106" ht="20" customHeight="1" s="21">
      <c r="A106" s="239" t="n">
        <v>28</v>
      </c>
      <c r="B106" s="239" t="inlineStr">
        <is>
          <t>8월 신규 인입</t>
        </is>
      </c>
      <c r="C106" s="239" t="inlineStr">
        <is>
          <t>조미가공육 ➡️ 축산물 오등록</t>
        </is>
      </c>
      <c r="D106" s="239" t="inlineStr">
        <is>
          <t>농산물</t>
        </is>
      </c>
      <c r="E106" s="239" t="inlineStr">
        <is>
          <t>네이버</t>
        </is>
      </c>
      <c r="F106" s="240" t="inlineStr">
        <is>
          <t>농업회사법인(주)새나라</t>
        </is>
      </c>
      <c r="G106" s="239" t="inlineStr">
        <is>
          <t>792-88-00316</t>
        </is>
      </c>
      <c r="H106" s="240" t="inlineStr">
        <is>
          <t>[모두 한입닭갈비] 춘천 3팩 국산 닭정육 캠핑 500gx3팩 (3~4인분)</t>
        </is>
      </c>
      <c r="I106" s="173" t="inlineStr">
        <is>
          <t>축산물</t>
        </is>
      </c>
      <c r="J106" s="241" t="inlineStr">
        <is>
          <t>가공식품(식육가공품)</t>
        </is>
      </c>
      <c r="K106" s="182" t="n">
        <v>126900</v>
      </c>
      <c r="L106" s="182" t="n">
        <v>6</v>
      </c>
      <c r="M106" s="182" t="n">
        <v>25380</v>
      </c>
      <c r="N106" s="240" t="inlineStr">
        <is>
          <t>식육가공품(조미가공육(춘천닭갈비))이나 1차 생육 축산물로 오등록됨</t>
        </is>
      </c>
    </row>
    <row r="107" ht="20" customHeight="1" s="21">
      <c r="A107" s="239" t="n">
        <v>29</v>
      </c>
      <c r="B107" s="239" t="inlineStr">
        <is>
          <t>8월 신규 인입</t>
        </is>
      </c>
      <c r="C107" s="239" t="inlineStr">
        <is>
          <t>조미가공육 ➡️ 축산물 오등록</t>
        </is>
      </c>
      <c r="D107" s="239" t="inlineStr">
        <is>
          <t>농산물</t>
        </is>
      </c>
      <c r="E107" s="239" t="inlineStr">
        <is>
          <t>네이버</t>
        </is>
      </c>
      <c r="F107" s="240" t="inlineStr">
        <is>
          <t>농업회사법인(주)새나라</t>
        </is>
      </c>
      <c r="G107" s="239" t="inlineStr">
        <is>
          <t>792-88-00316</t>
        </is>
      </c>
      <c r="H107" s="240" t="inlineStr">
        <is>
          <t>[모두양념닭발] 오직 국내산 무뼈닭발  200g포장</t>
        </is>
      </c>
      <c r="I107" s="173" t="inlineStr">
        <is>
          <t>축산물</t>
        </is>
      </c>
      <c r="J107" s="241" t="inlineStr">
        <is>
          <t>가공식품(식육가공품)</t>
        </is>
      </c>
      <c r="K107" s="182" t="n">
        <v>0</v>
      </c>
      <c r="L107" s="182" t="n">
        <v>0</v>
      </c>
      <c r="M107" s="182" t="n">
        <v>0</v>
      </c>
      <c r="N107" s="240" t="inlineStr">
        <is>
          <t>식육가공품(양념조미육)이나 1차 생육 축산물로 오등록됨</t>
        </is>
      </c>
    </row>
    <row r="108" ht="20" customHeight="1" s="21">
      <c r="A108" s="239" t="n">
        <v>30</v>
      </c>
      <c r="B108" s="239" t="inlineStr">
        <is>
          <t>8월 신규 인입</t>
        </is>
      </c>
      <c r="C108" s="239" t="inlineStr">
        <is>
          <t>조미가공육 ➡️ 축산물 오등록</t>
        </is>
      </c>
      <c r="D108" s="239" t="inlineStr">
        <is>
          <t>농산물</t>
        </is>
      </c>
      <c r="E108" s="239" t="inlineStr">
        <is>
          <t>네이버</t>
        </is>
      </c>
      <c r="F108" s="240" t="inlineStr">
        <is>
          <t>농업회사법인(주)새나라</t>
        </is>
      </c>
      <c r="G108" s="239" t="inlineStr">
        <is>
          <t>792-88-00316</t>
        </is>
      </c>
      <c r="H108" s="240" t="inlineStr">
        <is>
          <t>모두닭갈비 춘천 2+2팩 국산 닭정육 캠핑 500gx4팩 (6~8인분)</t>
        </is>
      </c>
      <c r="I108" s="173" t="inlineStr">
        <is>
          <t>축산물</t>
        </is>
      </c>
      <c r="J108" s="241" t="inlineStr">
        <is>
          <t>가공식품(식육가공품)</t>
        </is>
      </c>
      <c r="K108" s="182" t="n">
        <v>35600</v>
      </c>
      <c r="L108" s="182" t="n">
        <v>1</v>
      </c>
      <c r="M108" s="182" t="n">
        <v>0</v>
      </c>
      <c r="N108" s="240" t="inlineStr">
        <is>
          <t>식육가공품(조미가공육(춘천닭갈비))이나 1차 생육 축산물로 오등록됨</t>
        </is>
      </c>
    </row>
    <row r="109" ht="20" customHeight="1" s="21">
      <c r="A109" s="239" t="n">
        <v>31</v>
      </c>
      <c r="B109" s="239" t="inlineStr">
        <is>
          <t>8월 신규 인입</t>
        </is>
      </c>
      <c r="C109" s="239" t="inlineStr">
        <is>
          <t>조미가공육 ➡️ 축산물 오등록</t>
        </is>
      </c>
      <c r="D109" s="239" t="inlineStr">
        <is>
          <t>농산물</t>
        </is>
      </c>
      <c r="E109" s="239" t="inlineStr">
        <is>
          <t>네이버</t>
        </is>
      </c>
      <c r="F109" s="240" t="inlineStr">
        <is>
          <t>농업회사법인(주)새나라</t>
        </is>
      </c>
      <c r="G109" s="239" t="inlineStr">
        <is>
          <t>792-88-00316</t>
        </is>
      </c>
      <c r="H109" s="240" t="inlineStr">
        <is>
          <t>국내산 냉동 닭내장 [ 1kg / 20EA ]곱창 알탕  닭부산물</t>
        </is>
      </c>
      <c r="I109" s="173" t="inlineStr">
        <is>
          <t>축산물</t>
        </is>
      </c>
      <c r="J109" s="241" t="inlineStr">
        <is>
          <t>가공식품(식육가공품)</t>
        </is>
      </c>
      <c r="K109" s="182" t="n">
        <v>0</v>
      </c>
      <c r="L109" s="182" t="n">
        <v>0</v>
      </c>
      <c r="M109" s="182" t="n">
        <v>0</v>
      </c>
      <c r="N109" s="240" t="inlineStr">
        <is>
          <t>식육가공품(양념/가공육(곱창/대창))이나 1차 생육 축산물로 오등록됨</t>
        </is>
      </c>
    </row>
    <row r="110" ht="20" customHeight="1" s="21">
      <c r="A110" s="239" t="n">
        <v>32</v>
      </c>
      <c r="B110" s="239" t="inlineStr">
        <is>
          <t>8월 신규 인입</t>
        </is>
      </c>
      <c r="C110" s="239" t="inlineStr">
        <is>
          <t>조미가공육 ➡️ 축산물 오등록</t>
        </is>
      </c>
      <c r="D110" s="239" t="inlineStr">
        <is>
          <t>농산물</t>
        </is>
      </c>
      <c r="E110" s="239" t="inlineStr">
        <is>
          <t>네이버</t>
        </is>
      </c>
      <c r="F110" s="240" t="inlineStr">
        <is>
          <t>농업회사법인(주)새나라</t>
        </is>
      </c>
      <c r="G110" s="239" t="inlineStr">
        <is>
          <t>792-88-00316</t>
        </is>
      </c>
      <c r="H110" s="240" t="inlineStr">
        <is>
          <t>[모두한상찜닭] 세다리 진짜 안동찜닭의 풍미 국내산 닭고기로 냉장 1kg 안동구시장</t>
        </is>
      </c>
      <c r="I110" s="173" t="inlineStr">
        <is>
          <t>축산물</t>
        </is>
      </c>
      <c r="J110" s="241" t="inlineStr">
        <is>
          <t>가공식품(식육가공품)</t>
        </is>
      </c>
      <c r="K110" s="182" t="n">
        <v>23580</v>
      </c>
      <c r="L110" s="182" t="n">
        <v>1</v>
      </c>
      <c r="M110" s="182" t="n">
        <v>0</v>
      </c>
      <c r="N110" s="240" t="inlineStr">
        <is>
          <t>식육가공품(조미가공육(안동찜닭))이나 1차 생육 축산물로 오등록됨</t>
        </is>
      </c>
    </row>
    <row r="111" ht="20" customHeight="1" s="21">
      <c r="A111" s="239" t="n">
        <v>33</v>
      </c>
      <c r="B111" s="239" t="inlineStr">
        <is>
          <t>8월 신규 인입</t>
        </is>
      </c>
      <c r="C111" s="239" t="inlineStr">
        <is>
          <t>조미가공육 ➡️ 축산물 오등록</t>
        </is>
      </c>
      <c r="D111" s="239" t="inlineStr">
        <is>
          <t>농산물</t>
        </is>
      </c>
      <c r="E111" s="239" t="inlineStr">
        <is>
          <t>네이버</t>
        </is>
      </c>
      <c r="F111" s="240" t="inlineStr">
        <is>
          <t>농업회사법인(주)새나라</t>
        </is>
      </c>
      <c r="G111" s="239" t="inlineStr">
        <is>
          <t>792-88-00316</t>
        </is>
      </c>
      <c r="H111" s="240" t="inlineStr">
        <is>
          <t>사조 오리 주물럭 양념 오리불고기 1kg 넉넉한 양</t>
        </is>
      </c>
      <c r="I111" s="173" t="inlineStr">
        <is>
          <t>축산물</t>
        </is>
      </c>
      <c r="J111" s="241" t="inlineStr">
        <is>
          <t>가공식품(식육가공품)</t>
        </is>
      </c>
      <c r="K111" s="182" t="n">
        <v>650200</v>
      </c>
      <c r="L111" s="182" t="n">
        <v>24</v>
      </c>
      <c r="M111" s="182" t="n">
        <v>70440</v>
      </c>
      <c r="N111" s="240" t="inlineStr">
        <is>
          <t>식육가공품(양념조미육(주물럭))이나 1차 생육 축산물로 오등록됨</t>
        </is>
      </c>
    </row>
    <row r="112" ht="20" customHeight="1" s="21">
      <c r="A112" s="239" t="n">
        <v>34</v>
      </c>
      <c r="B112" s="239" t="inlineStr">
        <is>
          <t>8월 신규 인입</t>
        </is>
      </c>
      <c r="C112" s="239" t="inlineStr">
        <is>
          <t>조미가공육 ➡️ 축산물 오등록</t>
        </is>
      </c>
      <c r="D112" s="239" t="inlineStr">
        <is>
          <t>농산물</t>
        </is>
      </c>
      <c r="E112" s="239" t="inlineStr">
        <is>
          <t>네이버</t>
        </is>
      </c>
      <c r="F112" s="240" t="inlineStr">
        <is>
          <t>농업회사법인(주)새나라</t>
        </is>
      </c>
      <c r="G112" s="239" t="inlineStr">
        <is>
          <t>792-88-00316</t>
        </is>
      </c>
      <c r="H112" s="240" t="inlineStr">
        <is>
          <t>국내산 냉동 닭내장 1kg 곱창 알탕  닭부산물</t>
        </is>
      </c>
      <c r="I112" s="173" t="inlineStr">
        <is>
          <t>축산물</t>
        </is>
      </c>
      <c r="J112" s="241" t="inlineStr">
        <is>
          <t>가공식품(식육가공품)</t>
        </is>
      </c>
      <c r="K112" s="182" t="n">
        <v>812090</v>
      </c>
      <c r="L112" s="182" t="n">
        <v>13</v>
      </c>
      <c r="M112" s="182" t="n">
        <v>31590</v>
      </c>
      <c r="N112" s="240" t="inlineStr">
        <is>
          <t>식육가공품(양념/가공육(곱창/대창))이나 1차 생육 축산물로 오등록됨</t>
        </is>
      </c>
    </row>
    <row r="113" ht="20" customHeight="1" s="21">
      <c r="A113" s="239" t="n">
        <v>35</v>
      </c>
      <c r="B113" s="239" t="inlineStr">
        <is>
          <t>8월 신규 인입</t>
        </is>
      </c>
      <c r="C113" s="239" t="inlineStr">
        <is>
          <t>조미가공육 ➡️ 축산물 오등록</t>
        </is>
      </c>
      <c r="D113" s="239" t="inlineStr">
        <is>
          <t>농산물</t>
        </is>
      </c>
      <c r="E113" s="239" t="inlineStr">
        <is>
          <t>네이버</t>
        </is>
      </c>
      <c r="F113" s="240" t="inlineStr">
        <is>
          <t>농업회사법인(주)새나라</t>
        </is>
      </c>
      <c r="G113" s="239" t="inlineStr">
        <is>
          <t>792-88-00316</t>
        </is>
      </c>
      <c r="H113" s="240" t="inlineStr">
        <is>
          <t>[모두양념닭발] 1+1팩 오직 국내산 무뼈닭발  200g포장</t>
        </is>
      </c>
      <c r="I113" s="173" t="inlineStr">
        <is>
          <t>축산물</t>
        </is>
      </c>
      <c r="J113" s="241" t="inlineStr">
        <is>
          <t>가공식품(식육가공품)</t>
        </is>
      </c>
      <c r="K113" s="182" t="n">
        <v>27230</v>
      </c>
      <c r="L113" s="182" t="n">
        <v>1</v>
      </c>
      <c r="M113" s="182" t="n">
        <v>0</v>
      </c>
      <c r="N113" s="240" t="inlineStr">
        <is>
          <t>식육가공품(양념조미육)이나 1차 생육 축산물로 오등록됨</t>
        </is>
      </c>
    </row>
    <row r="114" ht="20" customHeight="1" s="21">
      <c r="A114" s="239" t="n">
        <v>36</v>
      </c>
      <c r="B114" s="239" t="inlineStr">
        <is>
          <t>8월 신규 인입</t>
        </is>
      </c>
      <c r="C114" s="239" t="inlineStr">
        <is>
          <t>조미가공육 ➡️ 축산물 오등록</t>
        </is>
      </c>
      <c r="D114" s="239" t="inlineStr">
        <is>
          <t>농산물</t>
        </is>
      </c>
      <c r="E114" s="239" t="inlineStr">
        <is>
          <t>네이버</t>
        </is>
      </c>
      <c r="F114" s="240" t="inlineStr">
        <is>
          <t>농업회사법인(주)새나라</t>
        </is>
      </c>
      <c r="G114" s="239" t="inlineStr">
        <is>
          <t>792-88-00316</t>
        </is>
      </c>
      <c r="H114" s="240" t="inlineStr">
        <is>
          <t>[모두닭갈비] 춘천 1+1팩 국산 닭다리살 캠핑 500gx2팩 (3~4인분)</t>
        </is>
      </c>
      <c r="I114" s="173" t="inlineStr">
        <is>
          <t>축산물</t>
        </is>
      </c>
      <c r="J114" s="241" t="inlineStr">
        <is>
          <t>가공식품(식육가공품)</t>
        </is>
      </c>
      <c r="K114" s="182" t="n">
        <v>3318710</v>
      </c>
      <c r="L114" s="182" t="n">
        <v>162</v>
      </c>
      <c r="M114" s="182" t="n">
        <v>561450</v>
      </c>
      <c r="N114" s="240" t="inlineStr">
        <is>
          <t>식육가공품(조미가공육(춘천닭갈비))이나 1차 생육 축산물로 오등록됨</t>
        </is>
      </c>
    </row>
    <row r="115" ht="20" customHeight="1" s="21">
      <c r="A115" s="239" t="n">
        <v>37</v>
      </c>
      <c r="B115" s="239" t="inlineStr">
        <is>
          <t>8월 신규 인입</t>
        </is>
      </c>
      <c r="C115" s="239" t="inlineStr">
        <is>
          <t>조미가공육 ➡️ 축산물 오등록</t>
        </is>
      </c>
      <c r="D115" s="239" t="inlineStr">
        <is>
          <t>농산물</t>
        </is>
      </c>
      <c r="E115" s="239" t="inlineStr">
        <is>
          <t>네이버</t>
        </is>
      </c>
      <c r="F115" s="240" t="inlineStr">
        <is>
          <t>두루푸드</t>
        </is>
      </c>
      <c r="G115" s="239" t="inlineStr">
        <is>
          <t>221-13-36518</t>
        </is>
      </c>
      <c r="H115" s="240" t="inlineStr">
        <is>
          <t>국민닭갈비 두루푸드 춘천닭갈비 택배 홈파티 캠핑요리</t>
        </is>
      </c>
      <c r="I115" s="173" t="inlineStr">
        <is>
          <t>축산물</t>
        </is>
      </c>
      <c r="J115" s="241" t="inlineStr">
        <is>
          <t>가공식품(식육가공품)</t>
        </is>
      </c>
      <c r="K115" s="182" t="n">
        <v>102582760</v>
      </c>
      <c r="L115" s="182" t="n">
        <v>4815</v>
      </c>
      <c r="M115" s="182" t="n">
        <v>4101510</v>
      </c>
      <c r="N115" s="240" t="inlineStr">
        <is>
          <t>식육가공품(조미가공육(춘천닭갈비))이나 1차 생육 축산물로 오등록됨</t>
        </is>
      </c>
    </row>
    <row r="116" ht="20" customHeight="1" s="21">
      <c r="A116" s="239" t="n">
        <v>38</v>
      </c>
      <c r="B116" s="239" t="inlineStr">
        <is>
          <t>8월 신규 인입</t>
        </is>
      </c>
      <c r="C116" s="239" t="inlineStr">
        <is>
          <t>조미가공육 ➡️ 축산물 오등록</t>
        </is>
      </c>
      <c r="D116" s="239" t="inlineStr">
        <is>
          <t>농산물</t>
        </is>
      </c>
      <c r="E116" s="239" t="inlineStr">
        <is>
          <t>네이버</t>
        </is>
      </c>
      <c r="F116" s="240" t="inlineStr">
        <is>
          <t>두루푸드</t>
        </is>
      </c>
      <c r="G116" s="239" t="inlineStr">
        <is>
          <t>221-13-36518</t>
        </is>
      </c>
      <c r="H116" s="240" t="inlineStr">
        <is>
          <t>두루푸드 국민닭갈비 춘천닭갈비 택배 홈파티 캠핑요리 전통맛</t>
        </is>
      </c>
      <c r="I116" s="173" t="inlineStr">
        <is>
          <t>축산물</t>
        </is>
      </c>
      <c r="J116" s="241" t="inlineStr">
        <is>
          <t>가공식품(식육가공품)</t>
        </is>
      </c>
      <c r="K116" s="182" t="n">
        <v>2996900</v>
      </c>
      <c r="L116" s="182" t="n">
        <v>141</v>
      </c>
      <c r="M116" s="182" t="n">
        <v>99860</v>
      </c>
      <c r="N116" s="240" t="inlineStr">
        <is>
          <t>식육가공품(조미가공육(춘천닭갈비))이나 1차 생육 축산물로 오등록됨</t>
        </is>
      </c>
    </row>
    <row r="117" ht="20" customHeight="1" s="21">
      <c r="A117" s="239" t="n">
        <v>39</v>
      </c>
      <c r="B117" s="239" t="inlineStr">
        <is>
          <t>8월 신규 인입</t>
        </is>
      </c>
      <c r="C117" s="239" t="inlineStr">
        <is>
          <t>조미가공육 ➡️ 축산물 오등록</t>
        </is>
      </c>
      <c r="D117" s="239" t="inlineStr">
        <is>
          <t>농산물</t>
        </is>
      </c>
      <c r="E117" s="239" t="inlineStr">
        <is>
          <t>네이버</t>
        </is>
      </c>
      <c r="F117" s="240" t="inlineStr">
        <is>
          <t>두루푸드</t>
        </is>
      </c>
      <c r="G117" s="239" t="inlineStr">
        <is>
          <t>221-13-36518</t>
        </is>
      </c>
      <c r="H117" s="240" t="inlineStr">
        <is>
          <t>두루푸드 국민닭갈비 춘천닭갈비 택배 홈파티 캠핑요리 간장닭갈비</t>
        </is>
      </c>
      <c r="I117" s="173" t="inlineStr">
        <is>
          <t>축산물</t>
        </is>
      </c>
      <c r="J117" s="241" t="inlineStr">
        <is>
          <t>가공식품(식육가공품)</t>
        </is>
      </c>
      <c r="K117" s="182" t="n">
        <v>1481250</v>
      </c>
      <c r="L117" s="182" t="n">
        <v>100</v>
      </c>
      <c r="M117" s="182" t="n">
        <v>20900</v>
      </c>
      <c r="N117" s="240" t="inlineStr">
        <is>
          <t>식육가공품(조미가공육(춘천닭갈비))이나 1차 생육 축산물로 오등록됨</t>
        </is>
      </c>
    </row>
    <row r="118" ht="20" customHeight="1" s="21">
      <c r="A118" s="239" t="n">
        <v>40</v>
      </c>
      <c r="B118" s="239" t="inlineStr">
        <is>
          <t>8월 신규 인입</t>
        </is>
      </c>
      <c r="C118" s="239" t="inlineStr">
        <is>
          <t>조미가공육 ➡️ 축산물 오등록</t>
        </is>
      </c>
      <c r="D118" s="239" t="inlineStr">
        <is>
          <t>농산물</t>
        </is>
      </c>
      <c r="E118" s="239" t="inlineStr">
        <is>
          <t>네이버</t>
        </is>
      </c>
      <c r="F118" s="240" t="inlineStr">
        <is>
          <t>두루푸드</t>
        </is>
      </c>
      <c r="G118" s="239" t="inlineStr">
        <is>
          <t>221-13-36518</t>
        </is>
      </c>
      <c r="H118" s="240" t="inlineStr">
        <is>
          <t>두루푸드 국민닭갈비 춘천닭갈비 택배 홈파티 캠핑요리 허브소금닭갈비</t>
        </is>
      </c>
      <c r="I118" s="173" t="inlineStr">
        <is>
          <t>축산물</t>
        </is>
      </c>
      <c r="J118" s="241" t="inlineStr">
        <is>
          <t>가공식품(식육가공품)</t>
        </is>
      </c>
      <c r="K118" s="182" t="n">
        <v>918650</v>
      </c>
      <c r="L118" s="182" t="n">
        <v>47</v>
      </c>
      <c r="M118" s="182" t="n">
        <v>4180</v>
      </c>
      <c r="N118" s="240" t="inlineStr">
        <is>
          <t>식육가공품(조미가공육(춘천닭갈비))이나 1차 생육 축산물로 오등록됨</t>
        </is>
      </c>
    </row>
    <row r="119" ht="20" customHeight="1" s="21">
      <c r="A119" s="239" t="n">
        <v>41</v>
      </c>
      <c r="B119" s="239" t="inlineStr">
        <is>
          <t>8월 신규 인입</t>
        </is>
      </c>
      <c r="C119" s="239" t="inlineStr">
        <is>
          <t>조미가공육 ➡️ 축산물 오등록</t>
        </is>
      </c>
      <c r="D119" s="239" t="inlineStr">
        <is>
          <t>농산물</t>
        </is>
      </c>
      <c r="E119" s="239" t="inlineStr">
        <is>
          <t>네이버</t>
        </is>
      </c>
      <c r="F119" s="240" t="inlineStr">
        <is>
          <t>두루푸드</t>
        </is>
      </c>
      <c r="G119" s="239" t="inlineStr">
        <is>
          <t>221-13-36518</t>
        </is>
      </c>
      <c r="H119" s="240" t="inlineStr">
        <is>
          <t>두루푸드 국민닭갈비 춘천닭갈비 택배 홈파티 캠핑요리 올인원세트 3인용 / 1.5인용</t>
        </is>
      </c>
      <c r="I119" s="173" t="inlineStr">
        <is>
          <t>축산물</t>
        </is>
      </c>
      <c r="J119" s="241" t="inlineStr">
        <is>
          <t>가공식품(식육가공품)</t>
        </is>
      </c>
      <c r="K119" s="182" t="n">
        <v>1423800</v>
      </c>
      <c r="L119" s="182" t="n">
        <v>56</v>
      </c>
      <c r="M119" s="182" t="n">
        <v>124870</v>
      </c>
      <c r="N119" s="240" t="inlineStr">
        <is>
          <t>식육가공품(조미가공육(춘천닭갈비))이나 1차 생육 축산물로 오등록됨</t>
        </is>
      </c>
    </row>
    <row r="120" ht="20" customHeight="1" s="21">
      <c r="A120" s="239" t="n">
        <v>42</v>
      </c>
      <c r="B120" s="239" t="inlineStr">
        <is>
          <t>8월 신규 인입</t>
        </is>
      </c>
      <c r="C120" s="239" t="inlineStr">
        <is>
          <t>조미가공육 ➡️ 축산물 오등록</t>
        </is>
      </c>
      <c r="D120" s="266" t="n"/>
      <c r="E120" s="266" t="n"/>
      <c r="F120" s="266" t="n"/>
      <c r="G120" s="266" t="n"/>
      <c r="H120" s="266" t="n"/>
      <c r="I120" s="266" t="n"/>
      <c r="J120" s="266" t="n"/>
      <c r="K120" s="267" t="n"/>
      <c r="L120" s="182" t="n">
        <v>29</v>
      </c>
      <c r="M120" s="182" t="n">
        <v>8760</v>
      </c>
      <c r="N120" s="240" t="inlineStr">
        <is>
          <t>식육가공품(조미가공육(춘천닭갈비))이나 1차 생육 축산물로 오등록됨</t>
        </is>
      </c>
    </row>
    <row r="121" ht="20" customHeight="1" s="21">
      <c r="A121" s="239" t="n">
        <v>43</v>
      </c>
      <c r="B121" s="239" t="inlineStr">
        <is>
          <t>8월 신규 인입</t>
        </is>
      </c>
      <c r="C121" s="239" t="inlineStr">
        <is>
          <t>농산물 원물 ➡️ 가공식품 오등록</t>
        </is>
      </c>
      <c r="D121" s="239" t="inlineStr">
        <is>
          <t>농산물</t>
        </is>
      </c>
      <c r="E121" s="239" t="inlineStr">
        <is>
          <t>네이버</t>
        </is>
      </c>
      <c r="F121" s="240" t="inlineStr">
        <is>
          <t>소유농장</t>
        </is>
      </c>
      <c r="G121" s="239" t="inlineStr">
        <is>
          <t>208-22-52837</t>
        </is>
      </c>
      <c r="H121" s="240" t="inlineStr">
        <is>
          <t>국내산 무농약 GAP 건조상황버섯 선물세트 150g 300g 부모님 추석선물</t>
        </is>
      </c>
      <c r="I121" s="173" t="inlineStr">
        <is>
          <t>가공식품</t>
        </is>
      </c>
      <c r="J121" s="241" t="inlineStr">
        <is>
          <t>농산물(원물)</t>
        </is>
      </c>
      <c r="K121" s="182" t="n">
        <v>528000</v>
      </c>
      <c r="L121" s="182" t="n">
        <v>8</v>
      </c>
      <c r="M121" s="182" t="n">
        <v>27530</v>
      </c>
      <c r="N121" s="240" t="inlineStr">
        <is>
          <t>1차 신선 농산물(신선/건조 임산물(상황버섯 원물))이나 유통사에 가공식품으로 오등록되어 원물 실적에서 누락됨</t>
        </is>
      </c>
    </row>
    <row r="122" ht="20" customHeight="1" s="21">
      <c r="A122" s="239" t="n">
        <v>44</v>
      </c>
      <c r="B122" s="239" t="inlineStr">
        <is>
          <t>8월 신규 인입</t>
        </is>
      </c>
      <c r="C122" s="239" t="inlineStr">
        <is>
          <t>농산물 원물 ➡️ 가공식품 오등록</t>
        </is>
      </c>
      <c r="D122" s="239" t="inlineStr">
        <is>
          <t>농산물</t>
        </is>
      </c>
      <c r="E122" s="239" t="inlineStr">
        <is>
          <t>네이버</t>
        </is>
      </c>
      <c r="F122" s="240" t="inlineStr">
        <is>
          <t>소유농장</t>
        </is>
      </c>
      <c r="G122" s="239" t="inlineStr">
        <is>
          <t>208-22-52837</t>
        </is>
      </c>
      <c r="H122" s="240" t="inlineStr">
        <is>
          <t>국내산 무농약 GAP인증 건조 상황버섯 70g 부모님 추석 선물세트</t>
        </is>
      </c>
      <c r="I122" s="173" t="inlineStr">
        <is>
          <t>가공식품</t>
        </is>
      </c>
      <c r="J122" s="241" t="inlineStr">
        <is>
          <t>농산물(원물)</t>
        </is>
      </c>
      <c r="K122" s="182" t="n">
        <v>0</v>
      </c>
      <c r="L122" s="182" t="n">
        <v>0</v>
      </c>
      <c r="M122" s="182" t="n">
        <v>0</v>
      </c>
      <c r="N122" s="240" t="inlineStr">
        <is>
          <t>1차 신선 농산물(신선/건조 임산물(상황버섯 원물))이나 유통사에 가공식품으로 오등록되어 원물 실적에서 누락됨</t>
        </is>
      </c>
    </row>
    <row r="123" ht="20" customHeight="1" s="21">
      <c r="A123" s="239" t="n">
        <v>45</v>
      </c>
      <c r="B123" s="239" t="inlineStr">
        <is>
          <t>8월 신규 인입</t>
        </is>
      </c>
      <c r="C123" s="239" t="inlineStr">
        <is>
          <t>농산물 원물 ➡️ 가공식품 오등록</t>
        </is>
      </c>
      <c r="D123" s="239" t="inlineStr">
        <is>
          <t>농산물</t>
        </is>
      </c>
      <c r="E123" s="239" t="inlineStr">
        <is>
          <t>네이버</t>
        </is>
      </c>
      <c r="F123" s="240" t="inlineStr">
        <is>
          <t>소유농장</t>
        </is>
      </c>
      <c r="G123" s="239" t="inlineStr">
        <is>
          <t>208-22-52837</t>
        </is>
      </c>
      <c r="H123" s="240" t="inlineStr">
        <is>
          <t>국내산 무농약 GAP인증 건조 상황버섯 140g 부모님 추석 선물세트</t>
        </is>
      </c>
      <c r="I123" s="173" t="inlineStr">
        <is>
          <t>가공식품</t>
        </is>
      </c>
      <c r="J123" s="241" t="inlineStr">
        <is>
          <t>농산물(원물)</t>
        </is>
      </c>
      <c r="K123" s="182" t="n">
        <v>66000</v>
      </c>
      <c r="L123" s="182" t="n">
        <v>2</v>
      </c>
      <c r="M123" s="182" t="n">
        <v>6600</v>
      </c>
      <c r="N123" s="240" t="inlineStr">
        <is>
          <t>1차 신선 농산물(신선/건조 임산물(상황버섯 원물))이나 유통사에 가공식품으로 오등록되어 원물 실적에서 누락됨</t>
        </is>
      </c>
    </row>
    <row r="124" ht="20" customHeight="1" s="21">
      <c r="A124" s="239" t="n">
        <v>46</v>
      </c>
      <c r="B124" s="239" t="inlineStr">
        <is>
          <t>8월 신규 인입</t>
        </is>
      </c>
      <c r="C124" s="239" t="inlineStr">
        <is>
          <t>농산물 원물 ➡️ 가공식품 오등록</t>
        </is>
      </c>
      <c r="D124" s="239" t="inlineStr">
        <is>
          <t>농산물</t>
        </is>
      </c>
      <c r="E124" s="239" t="inlineStr">
        <is>
          <t>네이버</t>
        </is>
      </c>
      <c r="F124" s="240" t="inlineStr">
        <is>
          <t>알찬연근팜</t>
        </is>
      </c>
      <c r="G124" s="239" t="inlineStr">
        <is>
          <t>604-02-68674</t>
        </is>
      </c>
      <c r="H124" s="240" t="inlineStr">
        <is>
          <t>햇연근 무농약 흙연근 슬라이스 말린연근</t>
        </is>
      </c>
      <c r="I124" s="173" t="inlineStr">
        <is>
          <t>가공식품</t>
        </is>
      </c>
      <c r="J124" s="241" t="inlineStr">
        <is>
          <t>농산물(원물)</t>
        </is>
      </c>
      <c r="K124" s="182" t="n">
        <v>2421630</v>
      </c>
      <c r="L124" s="182" t="n">
        <v>101</v>
      </c>
      <c r="M124" s="182" t="n">
        <v>217410</v>
      </c>
      <c r="N124" s="240" t="inlineStr">
        <is>
          <t>1차 신선 농산물(신선 채소(흙연근 원물))이나 유통사에 가공식품으로 오등록되어 원물 실적에서 누락됨</t>
        </is>
      </c>
    </row>
    <row r="125" ht="20" customHeight="1" s="21">
      <c r="A125" s="239" t="n">
        <v>47</v>
      </c>
      <c r="B125" s="239" t="inlineStr">
        <is>
          <t>8월 신규 인입</t>
        </is>
      </c>
      <c r="C125" s="239" t="inlineStr">
        <is>
          <t>농산물 원물 ➡️ 가공식품 오등록</t>
        </is>
      </c>
      <c r="D125" s="239" t="inlineStr">
        <is>
          <t>농산물</t>
        </is>
      </c>
      <c r="E125" s="239" t="inlineStr">
        <is>
          <t>네이버</t>
        </is>
      </c>
      <c r="F125" s="240" t="inlineStr">
        <is>
          <t>채씨네표고</t>
        </is>
      </c>
      <c r="G125" s="239" t="inlineStr">
        <is>
          <t>449-92-01723</t>
        </is>
      </c>
      <c r="H125" s="240" t="inlineStr">
        <is>
          <t>표고버섯 선물세트 흑화고 백화고 추석 설날 명절</t>
        </is>
      </c>
      <c r="I125" s="173" t="inlineStr">
        <is>
          <t>가공식품</t>
        </is>
      </c>
      <c r="J125" s="241" t="inlineStr">
        <is>
          <t>농산물(원물)</t>
        </is>
      </c>
      <c r="K125" s="182" t="n">
        <v>282000</v>
      </c>
      <c r="L125" s="182" t="n">
        <v>8</v>
      </c>
      <c r="M125" s="182" t="n">
        <v>43400</v>
      </c>
      <c r="N125" s="240" t="inlineStr">
        <is>
          <t>1차 신선 농산물(신선/건조 임산물(표고버섯 선물세트 원물))이나 유통사에 가공식품으로 오등록되어 원물 실적에서 누락됨</t>
        </is>
      </c>
    </row>
    <row r="126" ht="20" customHeight="1" s="21">
      <c r="A126" s="239" t="n">
        <v>48</v>
      </c>
      <c r="B126" s="239" t="inlineStr">
        <is>
          <t>8월 신규 인입</t>
        </is>
      </c>
      <c r="C126" s="239" t="inlineStr">
        <is>
          <t>농산물 원물 ➡️ 가공식품 오등록</t>
        </is>
      </c>
      <c r="D126" s="239" t="inlineStr">
        <is>
          <t>농산물</t>
        </is>
      </c>
      <c r="E126" s="239" t="inlineStr">
        <is>
          <t>네이버</t>
        </is>
      </c>
      <c r="F126" s="240" t="inlineStr">
        <is>
          <t>채씨네표고</t>
        </is>
      </c>
      <c r="G126" s="239" t="inlineStr">
        <is>
          <t>449-92-01723</t>
        </is>
      </c>
      <c r="H126" s="240" t="inlineStr">
        <is>
          <t>채씨네 표고 버섯 선물세트 추석 설날 명절 참나무</t>
        </is>
      </c>
      <c r="I126" s="173" t="inlineStr">
        <is>
          <t>가공식품</t>
        </is>
      </c>
      <c r="J126" s="241" t="inlineStr">
        <is>
          <t>농산물(원물)</t>
        </is>
      </c>
      <c r="K126" s="182" t="n">
        <v>223500</v>
      </c>
      <c r="L126" s="182" t="n">
        <v>4</v>
      </c>
      <c r="M126" s="182" t="n">
        <v>15600</v>
      </c>
      <c r="N126" s="240" t="inlineStr">
        <is>
          <t>1차 신선 농산물(신선/건조 임산물(표고버섯 선물세트 원물))이나 유통사에 가공식품으로 오등록되어 원물 실적에서 누락됨</t>
        </is>
      </c>
    </row>
    <row r="127" ht="20" customHeight="1" s="21">
      <c r="A127" s="239" t="n">
        <v>49</v>
      </c>
      <c r="B127" s="239" t="inlineStr">
        <is>
          <t>8월 신규 인입</t>
        </is>
      </c>
      <c r="C127" s="239" t="inlineStr">
        <is>
          <t>농산물 원물 ➡️ 가공식품 오등록</t>
        </is>
      </c>
      <c r="D127" s="239" t="inlineStr">
        <is>
          <t>농산물</t>
        </is>
      </c>
      <c r="E127" s="239" t="inlineStr">
        <is>
          <t>네이버</t>
        </is>
      </c>
      <c r="F127" s="240" t="inlineStr">
        <is>
          <t>채씨네표고</t>
        </is>
      </c>
      <c r="G127" s="239" t="inlineStr">
        <is>
          <t>449-92-01723</t>
        </is>
      </c>
      <c r="H127" s="240" t="inlineStr">
        <is>
          <t>채씨네 국내산 건 표고버섯 선물세트 백화고 흑화고 추석 명절 설날</t>
        </is>
      </c>
      <c r="I127" s="173" t="inlineStr">
        <is>
          <t>가공식품</t>
        </is>
      </c>
      <c r="J127" s="241" t="inlineStr">
        <is>
          <t>농산물(원물)</t>
        </is>
      </c>
      <c r="K127" s="182" t="n">
        <v>516000</v>
      </c>
      <c r="L127" s="182" t="n">
        <v>5</v>
      </c>
      <c r="M127" s="182" t="n">
        <v>26800</v>
      </c>
      <c r="N127" s="240" t="inlineStr">
        <is>
          <t>1차 신선 농산물(신선/건조 임산물(표고버섯 원물))이나 유통사에 가공식품으로 오등록되어 원물 실적에서 누락됨</t>
        </is>
      </c>
    </row>
    <row r="128" ht="20" customHeight="1" s="21">
      <c r="A128" s="239" t="n">
        <v>50</v>
      </c>
      <c r="B128" s="239" t="inlineStr">
        <is>
          <t>8월 신규 인입</t>
        </is>
      </c>
      <c r="C128" s="239" t="inlineStr">
        <is>
          <t>농산물 원물 ➡️ 가공식품 오등록</t>
        </is>
      </c>
      <c r="D128" s="239" t="inlineStr">
        <is>
          <t>농산물</t>
        </is>
      </c>
      <c r="E128" s="239" t="inlineStr">
        <is>
          <t>네이버</t>
        </is>
      </c>
      <c r="F128" s="240" t="inlineStr">
        <is>
          <t>채씨네표고</t>
        </is>
      </c>
      <c r="G128" s="239" t="inlineStr">
        <is>
          <t>449-92-01723</t>
        </is>
      </c>
      <c r="H128" s="240" t="inlineStr">
        <is>
          <t>표고버섯 선물세트 흑화고 500g</t>
        </is>
      </c>
      <c r="I128" s="173" t="inlineStr">
        <is>
          <t>가공식품</t>
        </is>
      </c>
      <c r="J128" s="241" t="inlineStr">
        <is>
          <t>농산물(원물)</t>
        </is>
      </c>
      <c r="K128" s="182" t="n">
        <v>0</v>
      </c>
      <c r="L128" s="182" t="n">
        <v>0</v>
      </c>
      <c r="M128" s="182" t="n">
        <v>0</v>
      </c>
      <c r="N128" s="240" t="inlineStr">
        <is>
          <t>1차 신선 농산물(신선/건조 임산물(표고버섯 선물세트 원물))이나 유통사에 가공식품으로 오등록되어 원물 실적에서 누락됨</t>
        </is>
      </c>
    </row>
    <row r="129" ht="20" customHeight="1" s="21">
      <c r="A129" s="239" t="n">
        <v>51</v>
      </c>
      <c r="B129" s="239" t="inlineStr">
        <is>
          <t>8월 신규 인입</t>
        </is>
      </c>
      <c r="C129" s="239" t="inlineStr">
        <is>
          <t>농산물 원물 ➡️ 가공식품 오등록</t>
        </is>
      </c>
      <c r="D129" s="239" t="inlineStr">
        <is>
          <t>농산물</t>
        </is>
      </c>
      <c r="E129" s="239" t="inlineStr">
        <is>
          <t>네이버</t>
        </is>
      </c>
      <c r="F129" s="240" t="inlineStr">
        <is>
          <t>영흥농산영농조합법인</t>
        </is>
      </c>
      <c r="G129" s="239" t="inlineStr">
        <is>
          <t>412-81-24086</t>
        </is>
      </c>
      <c r="H129" s="240" t="inlineStr">
        <is>
          <t>[품질책임보상] 국내산 깐마늘 1kg 다진마늘 꼭지제거 햇 통마늘</t>
        </is>
      </c>
      <c r="I129" s="173" t="inlineStr">
        <is>
          <t>가공식품</t>
        </is>
      </c>
      <c r="J129" s="241" t="inlineStr">
        <is>
          <t>농산물(원물)</t>
        </is>
      </c>
      <c r="K129" s="182" t="n">
        <v>127791700</v>
      </c>
      <c r="L129" s="182" t="n">
        <v>7916</v>
      </c>
      <c r="M129" s="182" t="n">
        <v>4657460</v>
      </c>
      <c r="N129" s="240" t="inlineStr">
        <is>
          <t>1차 신선 농산물(신선 채소(깐마늘 원물))이나 유통사에 가공식품으로 오등록되어 원물 실적에서 누락됨</t>
        </is>
      </c>
    </row>
    <row r="130" ht="20" customHeight="1" s="21">
      <c r="A130" s="239" t="n">
        <v>52</v>
      </c>
      <c r="B130" s="239" t="inlineStr">
        <is>
          <t>8월 신규 인입</t>
        </is>
      </c>
      <c r="C130" s="239" t="inlineStr">
        <is>
          <t>농산물 원물 ➡️ 가공식품 오등록</t>
        </is>
      </c>
      <c r="D130" s="239" t="inlineStr">
        <is>
          <t>농산물</t>
        </is>
      </c>
      <c r="E130" s="239" t="inlineStr">
        <is>
          <t>네이버</t>
        </is>
      </c>
      <c r="F130" s="240" t="inlineStr">
        <is>
          <t>영흥농산영농조합법인</t>
        </is>
      </c>
      <c r="G130" s="239" t="inlineStr">
        <is>
          <t>412-81-24086</t>
        </is>
      </c>
      <c r="H130" s="240" t="inlineStr">
        <is>
          <t>[농할쿠폰20%] 국내산 양파 26년 햇양파 무안양파 3kg 5kg</t>
        </is>
      </c>
      <c r="I130" s="173" t="inlineStr">
        <is>
          <t>가공식품</t>
        </is>
      </c>
      <c r="J130" s="241" t="inlineStr">
        <is>
          <t>농산물(원물)</t>
        </is>
      </c>
      <c r="K130" s="182" t="n">
        <v>15351300</v>
      </c>
      <c r="L130" s="182" t="n">
        <v>1512</v>
      </c>
      <c r="M130" s="182" t="n">
        <v>374720</v>
      </c>
      <c r="N130" s="240" t="inlineStr">
        <is>
          <t>1차 신선 농산물(신선 채소(햇양파 원물))이나 유통사에 가공식품으로 오등록되어 원물 실적에서 누락됨</t>
        </is>
      </c>
    </row>
    <row r="131" ht="20" customHeight="1" s="21">
      <c r="A131" s="239" t="n">
        <v>53</v>
      </c>
      <c r="B131" s="239" t="inlineStr">
        <is>
          <t>8월 신규 인입</t>
        </is>
      </c>
      <c r="C131" s="239" t="inlineStr">
        <is>
          <t>농산물 원물 ➡️ 가공식품 오등록</t>
        </is>
      </c>
      <c r="D131" s="239" t="inlineStr">
        <is>
          <t>농산물</t>
        </is>
      </c>
      <c r="E131" s="239" t="inlineStr">
        <is>
          <t>네이버</t>
        </is>
      </c>
      <c r="F131" s="240" t="inlineStr">
        <is>
          <t>청실농원</t>
        </is>
      </c>
      <c r="G131" s="239" t="inlineStr">
        <is>
          <t>654-91-01691</t>
        </is>
      </c>
      <c r="H131" s="240" t="inlineStr">
        <is>
          <t>먹골배 원황배 배 고당도 제철 햇배 국산 신품종 과일 5kg</t>
        </is>
      </c>
      <c r="I131" s="173" t="inlineStr">
        <is>
          <t>가공식품</t>
        </is>
      </c>
      <c r="J131" s="241" t="inlineStr">
        <is>
          <t>농산물(원물)</t>
        </is>
      </c>
      <c r="K131" s="182" t="n">
        <v>1769000</v>
      </c>
      <c r="L131" s="182" t="n">
        <v>42</v>
      </c>
      <c r="M131" s="182" t="n">
        <v>285800</v>
      </c>
      <c r="N131" s="240" t="inlineStr">
        <is>
          <t>1차 신선 농산물(신선 과실(먹골배 생과 원물))이나 유통사에 가공식품으로 오등록되어 원물 실적에서 누락됨</t>
        </is>
      </c>
    </row>
    <row r="132" ht="20" customHeight="1" s="21">
      <c r="A132" s="239" t="n">
        <v>54</v>
      </c>
      <c r="B132" s="239" t="inlineStr">
        <is>
          <t>8월 신규 인입</t>
        </is>
      </c>
      <c r="C132" s="239" t="inlineStr">
        <is>
          <t>농산물 원물 ➡️ 가공식품 오등록</t>
        </is>
      </c>
      <c r="D132" s="239" t="inlineStr">
        <is>
          <t>농산물</t>
        </is>
      </c>
      <c r="E132" s="239" t="inlineStr">
        <is>
          <t>네이버</t>
        </is>
      </c>
      <c r="F132" s="240" t="inlineStr">
        <is>
          <t>청실농원</t>
        </is>
      </c>
      <c r="G132" s="239" t="inlineStr">
        <is>
          <t>654-91-01691</t>
        </is>
      </c>
      <c r="H132" s="240" t="inlineStr">
        <is>
          <t>5kg 먹골배 선물용</t>
        </is>
      </c>
      <c r="I132" s="173" t="inlineStr">
        <is>
          <t>가공식품</t>
        </is>
      </c>
      <c r="J132" s="241" t="inlineStr">
        <is>
          <t>농산물(원물)</t>
        </is>
      </c>
      <c r="K132" s="182" t="n">
        <v>0</v>
      </c>
      <c r="L132" s="182" t="n">
        <v>0</v>
      </c>
      <c r="M132" s="182" t="n">
        <v>0</v>
      </c>
      <c r="N132" s="240" t="inlineStr">
        <is>
          <t>1차 신선 농산물(신선 과실(먹골배 생과 원물))이나 유통사에 가공식품으로 오등록되어 원물 실적에서 누락됨</t>
        </is>
      </c>
    </row>
    <row r="133" ht="20" customHeight="1" s="21">
      <c r="A133" s="239" t="n">
        <v>55</v>
      </c>
      <c r="B133" s="239" t="inlineStr">
        <is>
          <t>8월 신규 인입</t>
        </is>
      </c>
      <c r="C133" s="239" t="inlineStr">
        <is>
          <t>농산물 원물 ➡️ 가공식품 오등록</t>
        </is>
      </c>
      <c r="D133" s="239" t="inlineStr">
        <is>
          <t>농산물</t>
        </is>
      </c>
      <c r="E133" s="239" t="inlineStr">
        <is>
          <t>네이버</t>
        </is>
      </c>
      <c r="F133" s="240" t="inlineStr">
        <is>
          <t>청실농원</t>
        </is>
      </c>
      <c r="G133" s="239" t="inlineStr">
        <is>
          <t>654-91-01691</t>
        </is>
      </c>
      <c r="H133" s="240" t="inlineStr">
        <is>
          <t>먹골배 선물용 배 고당도 제철 햇배 국산 신품종 과일 7.5kg</t>
        </is>
      </c>
      <c r="I133" s="173" t="inlineStr">
        <is>
          <t>가공식품</t>
        </is>
      </c>
      <c r="J133" s="241" t="inlineStr">
        <is>
          <t>농산물(원물)</t>
        </is>
      </c>
      <c r="K133" s="182" t="n">
        <v>0</v>
      </c>
      <c r="L133" s="182" t="n">
        <v>0</v>
      </c>
      <c r="M133" s="182" t="n">
        <v>0</v>
      </c>
      <c r="N133" s="240" t="inlineStr">
        <is>
          <t>1차 신선 농산물(신선 과실(먹골배 생과 원물))이나 유통사에 가공식품으로 오등록되어 원물 실적에서 누락됨</t>
        </is>
      </c>
    </row>
    <row r="134" ht="20" customHeight="1" s="21">
      <c r="A134" s="239" t="n">
        <v>56</v>
      </c>
      <c r="B134" s="239" t="inlineStr">
        <is>
          <t>8월 신규 인입</t>
        </is>
      </c>
      <c r="C134" s="239" t="inlineStr">
        <is>
          <t>농산물 원물 ➡️ 가공식품 오등록</t>
        </is>
      </c>
      <c r="D134" s="239" t="inlineStr">
        <is>
          <t>농산물</t>
        </is>
      </c>
      <c r="E134" s="239" t="inlineStr">
        <is>
          <t>네이버</t>
        </is>
      </c>
      <c r="F134" s="240" t="inlineStr">
        <is>
          <t>청실농원</t>
        </is>
      </c>
      <c r="G134" s="239" t="inlineStr">
        <is>
          <t>654-91-01691</t>
        </is>
      </c>
      <c r="H134" s="240" t="inlineStr">
        <is>
          <t>먹골배 원황배 배 고당도 제철 햇배 국산 신품종 과일 7.5kg</t>
        </is>
      </c>
      <c r="I134" s="173" t="inlineStr">
        <is>
          <t>가공식품</t>
        </is>
      </c>
      <c r="J134" s="241" t="inlineStr">
        <is>
          <t>농산물(원물)</t>
        </is>
      </c>
      <c r="K134" s="182" t="n">
        <v>147000</v>
      </c>
      <c r="L134" s="182" t="n">
        <v>3</v>
      </c>
      <c r="M134" s="182" t="n">
        <v>9800</v>
      </c>
      <c r="N134" s="240" t="inlineStr">
        <is>
          <t>1차 신선 농산물(신선 과실(먹골배 생과 원물))이나 유통사에 가공식품으로 오등록되어 원물 실적에서 누락됨</t>
        </is>
      </c>
    </row>
    <row r="135" ht="20" customHeight="1" s="21">
      <c r="A135" s="239" t="n">
        <v>57</v>
      </c>
      <c r="B135" s="239" t="inlineStr">
        <is>
          <t>8월 신규 인입</t>
        </is>
      </c>
      <c r="C135" s="239" t="inlineStr">
        <is>
          <t>농산물 원물 ➡️ 가공식품 오등록</t>
        </is>
      </c>
      <c r="D135" s="239" t="inlineStr">
        <is>
          <t>농산물</t>
        </is>
      </c>
      <c r="E135" s="239" t="inlineStr">
        <is>
          <t>네이버</t>
        </is>
      </c>
      <c r="F135" s="240" t="inlineStr">
        <is>
          <t>맑은농장</t>
        </is>
      </c>
      <c r="G135" s="239" t="inlineStr">
        <is>
          <t>577-94-01721</t>
        </is>
      </c>
      <c r="H135" s="240" t="inlineStr">
        <is>
          <t>품질대박 맑은농장 김천포도 4kg(특품) 미화희낭만홍안 미인포도</t>
        </is>
      </c>
      <c r="I135" s="173" t="inlineStr">
        <is>
          <t>가공식품</t>
        </is>
      </c>
      <c r="J135" s="241" t="inlineStr">
        <is>
          <t>농산물(원물)</t>
        </is>
      </c>
      <c r="K135" s="182" t="n">
        <v>0</v>
      </c>
      <c r="L135" s="182" t="n">
        <v>0</v>
      </c>
      <c r="M135" s="182" t="n">
        <v>0</v>
      </c>
      <c r="N135" s="240" t="inlineStr">
        <is>
          <t>1차 신선 농산물(신선 과실(김천포도 생과 원물))이나 유통사에 가공식품으로 오등록되어 원물 실적에서 누락됨</t>
        </is>
      </c>
    </row>
    <row r="136" ht="20" customHeight="1" s="21">
      <c r="A136" s="239" t="n">
        <v>58</v>
      </c>
      <c r="B136" s="239" t="inlineStr">
        <is>
          <t>8월 신규 인입</t>
        </is>
      </c>
      <c r="C136" s="239" t="inlineStr">
        <is>
          <t>농산물 원물 ➡️ 가공식품 오등록</t>
        </is>
      </c>
      <c r="D136" s="239" t="inlineStr">
        <is>
          <t>농산물</t>
        </is>
      </c>
      <c r="E136" s="239" t="inlineStr">
        <is>
          <t>네이버</t>
        </is>
      </c>
      <c r="F136" s="240" t="inlineStr">
        <is>
          <t>맑은농장</t>
        </is>
      </c>
      <c r="G136" s="239" t="inlineStr">
        <is>
          <t>577-94-01721</t>
        </is>
      </c>
      <c r="H136" s="240" t="inlineStr">
        <is>
          <t>품질보장 맑은농장 김천포도 2kg(특품) 미화희낭만홍안 미인포도</t>
        </is>
      </c>
      <c r="I136" s="173" t="inlineStr">
        <is>
          <t>가공식품</t>
        </is>
      </c>
      <c r="J136" s="241" t="inlineStr">
        <is>
          <t>농산물(원물)</t>
        </is>
      </c>
      <c r="K136" s="182" t="n">
        <v>43700</v>
      </c>
      <c r="L136" s="182" t="n">
        <v>1</v>
      </c>
      <c r="M136" s="182" t="n">
        <v>0</v>
      </c>
      <c r="N136" s="240" t="inlineStr">
        <is>
          <t>1차 신선 농산물(신선 과실(김천포도 생과 원물))이나 유통사에 가공식품으로 오등록되어 원물 실적에서 누락됨</t>
        </is>
      </c>
    </row>
    <row r="137" ht="20" customHeight="1" s="21">
      <c r="A137" s="239" t="n">
        <v>59</v>
      </c>
      <c r="B137" s="239" t="inlineStr">
        <is>
          <t>8월 신규 인입</t>
        </is>
      </c>
      <c r="C137" s="239" t="inlineStr">
        <is>
          <t>농산물 원물 ➡️ 가공식품 오등록</t>
        </is>
      </c>
      <c r="D137" s="239" t="inlineStr">
        <is>
          <t>농산물</t>
        </is>
      </c>
      <c r="E137" s="239" t="inlineStr">
        <is>
          <t>네이버</t>
        </is>
      </c>
      <c r="F137" s="240" t="inlineStr">
        <is>
          <t>맑은농장</t>
        </is>
      </c>
      <c r="G137" s="239" t="inlineStr">
        <is>
          <t>577-94-01721</t>
        </is>
      </c>
      <c r="H137" s="240" t="inlineStr">
        <is>
          <t>맑은농장 김천포도 4kg(못난이) 미화희낭만홍안 미인포도</t>
        </is>
      </c>
      <c r="I137" s="173" t="inlineStr">
        <is>
          <t>가공식품</t>
        </is>
      </c>
      <c r="J137" s="241" t="inlineStr">
        <is>
          <t>농산물(원물)</t>
        </is>
      </c>
      <c r="K137" s="182" t="n">
        <v>138000</v>
      </c>
      <c r="L137" s="182" t="n">
        <v>2</v>
      </c>
      <c r="M137" s="182" t="n">
        <v>19200</v>
      </c>
      <c r="N137" s="240" t="inlineStr">
        <is>
          <t>1차 신선 농산물(신선 과실(김천포도 생과 원물))이나 유통사에 가공식품으로 오등록되어 원물 실적에서 누락됨</t>
        </is>
      </c>
    </row>
    <row r="138" ht="20" customHeight="1" s="21">
      <c r="A138" s="239" t="n">
        <v>60</v>
      </c>
      <c r="B138" s="239" t="inlineStr">
        <is>
          <t>8월 신규 인입</t>
        </is>
      </c>
      <c r="C138" s="239" t="inlineStr">
        <is>
          <t>농산물 원물 ➡️ 가공식품 오등록</t>
        </is>
      </c>
      <c r="D138" s="239" t="inlineStr">
        <is>
          <t>농산물</t>
        </is>
      </c>
      <c r="E138" s="239" t="inlineStr">
        <is>
          <t>네이버</t>
        </is>
      </c>
      <c r="F138" s="240" t="inlineStr">
        <is>
          <t>맑은농장</t>
        </is>
      </c>
      <c r="G138" s="239" t="inlineStr">
        <is>
          <t>577-94-01721</t>
        </is>
      </c>
      <c r="H138" s="240" t="inlineStr">
        <is>
          <t>맑은농장 김천포도 4kg(상품) 미화희낭만홍안 미인포도 - 4수이하  8수이상</t>
        </is>
      </c>
      <c r="I138" s="173" t="inlineStr">
        <is>
          <t>가공식품</t>
        </is>
      </c>
      <c r="J138" s="241" t="inlineStr">
        <is>
          <t>농산물(원물)</t>
        </is>
      </c>
      <c r="K138" s="182" t="n">
        <v>0</v>
      </c>
      <c r="L138" s="182" t="n">
        <v>0</v>
      </c>
      <c r="M138" s="182" t="n">
        <v>0</v>
      </c>
      <c r="N138" s="240" t="inlineStr">
        <is>
          <t>1차 신선 농산물(신선 과실(김천포도 생과 원물))이나 유통사에 가공식품으로 오등록되어 원물 실적에서 누락됨</t>
        </is>
      </c>
    </row>
    <row r="139" ht="20" customHeight="1" s="21">
      <c r="A139" s="239" t="n">
        <v>61</v>
      </c>
      <c r="B139" s="239" t="inlineStr">
        <is>
          <t>8월 신규 인입</t>
        </is>
      </c>
      <c r="C139" s="239" t="inlineStr">
        <is>
          <t>농산물 원물 ➡️ 가공식품 오등록</t>
        </is>
      </c>
      <c r="D139" s="239" t="inlineStr">
        <is>
          <t>농산물</t>
        </is>
      </c>
      <c r="E139" s="239" t="inlineStr">
        <is>
          <t>네이버</t>
        </is>
      </c>
      <c r="F139" s="240" t="inlineStr">
        <is>
          <t>맑은농장</t>
        </is>
      </c>
      <c r="G139" s="239" t="inlineStr">
        <is>
          <t>577-94-01721</t>
        </is>
      </c>
      <c r="H139" s="240" t="inlineStr">
        <is>
          <t>맑은농장 김천포도 2kg(못난이) 미화희낭만홍안 미인포도</t>
        </is>
      </c>
      <c r="I139" s="173" t="inlineStr">
        <is>
          <t>가공식품</t>
        </is>
      </c>
      <c r="J139" s="241" t="inlineStr">
        <is>
          <t>농산물(원물)</t>
        </is>
      </c>
      <c r="K139" s="182" t="n">
        <v>86000</v>
      </c>
      <c r="L139" s="182" t="n">
        <v>3</v>
      </c>
      <c r="M139" s="182" t="n">
        <v>11600</v>
      </c>
      <c r="N139" s="240" t="inlineStr">
        <is>
          <t>1차 신선 농산물(신선 과실(김천포도 생과 원물))이나 유통사에 가공식품으로 오등록되어 원물 실적에서 누락됨</t>
        </is>
      </c>
    </row>
    <row r="140" ht="20" customHeight="1" s="21">
      <c r="A140" s="239" t="n">
        <v>62</v>
      </c>
      <c r="B140" s="239" t="inlineStr">
        <is>
          <t>8월 신규 인입</t>
        </is>
      </c>
      <c r="C140" s="239" t="inlineStr">
        <is>
          <t>농산물 원물 ➡️ 가공식품 오등록</t>
        </is>
      </c>
      <c r="D140" s="239" t="inlineStr">
        <is>
          <t>농산물</t>
        </is>
      </c>
      <c r="E140" s="239" t="inlineStr">
        <is>
          <t>네이버</t>
        </is>
      </c>
      <c r="F140" s="240" t="inlineStr">
        <is>
          <t>맑은농장</t>
        </is>
      </c>
      <c r="G140" s="239" t="inlineStr">
        <is>
          <t>577-94-01721</t>
        </is>
      </c>
      <c r="H140" s="240" t="inlineStr">
        <is>
          <t>맑은농장 김천포도 2kg(상품) 미화희낭만홍안 미인포도 - 2수또는5수이상</t>
        </is>
      </c>
      <c r="I140" s="173" t="inlineStr">
        <is>
          <t>가공식품</t>
        </is>
      </c>
      <c r="J140" s="241" t="inlineStr">
        <is>
          <t>농산물(원물)</t>
        </is>
      </c>
      <c r="K140" s="182" t="n">
        <v>79800</v>
      </c>
      <c r="L140" s="182" t="n">
        <v>2</v>
      </c>
      <c r="M140" s="182" t="n">
        <v>15960</v>
      </c>
      <c r="N140" s="240" t="inlineStr">
        <is>
          <t>1차 신선 농산물(신선 과실(김천포도 생과 원물))이나 유통사에 가공식품으로 오등록되어 원물 실적에서 누락됨</t>
        </is>
      </c>
    </row>
    <row r="141" ht="20" customHeight="1" s="21">
      <c r="A141" s="239" t="n">
        <v>63</v>
      </c>
      <c r="B141" s="239" t="inlineStr">
        <is>
          <t>8월 신규 인입</t>
        </is>
      </c>
      <c r="C141" s="239" t="inlineStr">
        <is>
          <t>농산물 원물 ➡️ 가공식품 오등록</t>
        </is>
      </c>
      <c r="D141" s="239" t="inlineStr">
        <is>
          <t>농산물</t>
        </is>
      </c>
      <c r="E141" s="239" t="inlineStr">
        <is>
          <t>네이버</t>
        </is>
      </c>
      <c r="F141" s="240" t="inlineStr">
        <is>
          <t>맑은농장</t>
        </is>
      </c>
      <c r="G141" s="239" t="inlineStr">
        <is>
          <t>577-94-01721</t>
        </is>
      </c>
      <c r="H141" s="240" t="inlineStr">
        <is>
          <t>맑은농장 김천포도 2kg(특품) 미화희낭만홍안 미인포도</t>
        </is>
      </c>
      <c r="I141" s="173" t="inlineStr">
        <is>
          <t>가공식품</t>
        </is>
      </c>
      <c r="J141" s="241" t="inlineStr">
        <is>
          <t>농산물(원물)</t>
        </is>
      </c>
      <c r="K141" s="182" t="n">
        <v>87400</v>
      </c>
      <c r="L141" s="182" t="n">
        <v>2</v>
      </c>
      <c r="M141" s="182" t="n">
        <v>17480</v>
      </c>
      <c r="N141" s="240" t="inlineStr">
        <is>
          <t>1차 신선 농산물(신선 과실(김천포도 생과 원물))이나 유통사에 가공식품으로 오등록되어 원물 실적에서 누락됨</t>
        </is>
      </c>
    </row>
    <row r="142" ht="20" customHeight="1" s="21">
      <c r="A142" s="239" t="n">
        <v>64</v>
      </c>
      <c r="B142" s="239" t="inlineStr">
        <is>
          <t>8월 신규 인입</t>
        </is>
      </c>
      <c r="C142" s="239" t="inlineStr">
        <is>
          <t>농산물 원물 ➡️ 가공식품 오등록</t>
        </is>
      </c>
      <c r="D142" s="239" t="inlineStr">
        <is>
          <t>유기농</t>
        </is>
      </c>
      <c r="E142" s="239" t="inlineStr">
        <is>
          <t>네이버</t>
        </is>
      </c>
      <c r="F142" s="240" t="inlineStr">
        <is>
          <t>아침농부</t>
        </is>
      </c>
      <c r="G142" s="239" t="inlineStr">
        <is>
          <t>706-01-03422</t>
        </is>
      </c>
      <c r="H142" s="240" t="inlineStr">
        <is>
          <t>유기농 미니파프리카1.5kg (토양재배)</t>
        </is>
      </c>
      <c r="I142" s="173" t="inlineStr">
        <is>
          <t>가공식품</t>
        </is>
      </c>
      <c r="J142" s="241" t="inlineStr">
        <is>
          <t>농산물(원물)</t>
        </is>
      </c>
      <c r="K142" s="182" t="n">
        <v>13123000</v>
      </c>
      <c r="L142" s="182" t="n">
        <v>520</v>
      </c>
      <c r="M142" s="182" t="n">
        <v>1043580</v>
      </c>
      <c r="N142" s="240" t="inlineStr">
        <is>
          <t>1차 신선 농산물(신선 채소(파프리카 원물))이나 유통사에 가공식품으로 오등록되어 원물 실적에서 누락됨</t>
        </is>
      </c>
    </row>
    <row r="143" ht="20" customHeight="1" s="21">
      <c r="A143" s="239" t="n">
        <v>65</v>
      </c>
      <c r="B143" s="239" t="inlineStr">
        <is>
          <t>8월 신규 인입</t>
        </is>
      </c>
      <c r="C143" s="239" t="inlineStr">
        <is>
          <t>농산물 원물 ➡️ 가공식품 오등록</t>
        </is>
      </c>
      <c r="D143" s="239" t="inlineStr">
        <is>
          <t>유기농</t>
        </is>
      </c>
      <c r="E143" s="239" t="inlineStr">
        <is>
          <t>네이버</t>
        </is>
      </c>
      <c r="F143" s="240" t="inlineStr">
        <is>
          <t>따순농장</t>
        </is>
      </c>
      <c r="G143" s="239" t="inlineStr">
        <is>
          <t>231-97-01414</t>
        </is>
      </c>
      <c r="H143" s="240" t="inlineStr">
        <is>
          <t>유기농 미니파프리카 1kg</t>
        </is>
      </c>
      <c r="I143" s="173" t="inlineStr">
        <is>
          <t>가공식품</t>
        </is>
      </c>
      <c r="J143" s="241" t="inlineStr">
        <is>
          <t>농산물(원물)</t>
        </is>
      </c>
      <c r="K143" s="182" t="n">
        <v>4424250</v>
      </c>
      <c r="L143" s="182" t="n">
        <v>206</v>
      </c>
      <c r="M143" s="182" t="n">
        <v>703630</v>
      </c>
      <c r="N143" s="240" t="inlineStr">
        <is>
          <t>1차 신선 농산물(신선 채소(파프리카 원물))이나 유통사에 가공식품으로 오등록되어 원물 실적에서 누락됨</t>
        </is>
      </c>
    </row>
    <row r="144" ht="20" customHeight="1" s="21">
      <c r="A144" s="239" t="n">
        <v>66</v>
      </c>
      <c r="B144" s="239" t="inlineStr">
        <is>
          <t>8월 신규 인입</t>
        </is>
      </c>
      <c r="C144" s="239" t="inlineStr">
        <is>
          <t>농산물 원물 ➡️ 가공식품 오등록</t>
        </is>
      </c>
      <c r="D144" s="239" t="inlineStr">
        <is>
          <t>유기농</t>
        </is>
      </c>
      <c r="E144" s="239" t="inlineStr">
        <is>
          <t>네이버</t>
        </is>
      </c>
      <c r="F144" s="240" t="inlineStr">
        <is>
          <t>버섯놀이터사천숲속표고</t>
        </is>
      </c>
      <c r="G144" s="239" t="inlineStr">
        <is>
          <t>122-93-29177</t>
        </is>
      </c>
      <c r="H144" s="240" t="inlineStr">
        <is>
          <t>무 농약 생 표고버섯을 햇볕에 잘 말려 자연 건조한 국내산 사천 건 표고버섯 100g</t>
        </is>
      </c>
      <c r="I144" s="173" t="inlineStr">
        <is>
          <t>가공식품</t>
        </is>
      </c>
      <c r="J144" s="241" t="inlineStr">
        <is>
          <t>농산물(원물)</t>
        </is>
      </c>
      <c r="K144" s="182" t="n">
        <v>198000</v>
      </c>
      <c r="L144" s="182" t="n">
        <v>7</v>
      </c>
      <c r="M144" s="182" t="n">
        <v>0</v>
      </c>
      <c r="N144" s="240" t="inlineStr">
        <is>
          <t>1차 신선 농산물(신선/건조 임산물(표고버섯 원물))이나 유통사에 가공식품으로 오등록되어 원물 실적에서 누락됨</t>
        </is>
      </c>
    </row>
    <row r="145" ht="22" customHeight="1" s="21">
      <c r="A145" s="242" t="inlineStr">
        <is>
          <t>합 계</t>
        </is>
      </c>
      <c r="B145" s="243" t="inlineStr">
        <is>
          <t>8월 이상치 66건 총계</t>
        </is>
      </c>
      <c r="C145" s="244" t="inlineStr"/>
      <c r="D145" s="244" t="inlineStr"/>
      <c r="E145" s="244" t="inlineStr"/>
      <c r="F145" s="244" t="inlineStr"/>
      <c r="G145" s="244" t="inlineStr"/>
      <c r="H145" s="244" t="inlineStr"/>
      <c r="I145" s="244" t="inlineStr"/>
      <c r="J145" s="244" t="inlineStr"/>
      <c r="K145" s="245" t="n">
        <v>374952340</v>
      </c>
      <c r="L145" s="245" t="n">
        <v>20213</v>
      </c>
      <c r="M145" s="245" t="n">
        <v>19617240</v>
      </c>
      <c r="N145" s="246" t="inlineStr">
        <is>
          <t>유통사 카테고리 매핑 수정 권고</t>
        </is>
      </c>
    </row>
    <row r="146" ht="20" customHeight="1" s="21"/>
    <row r="147" ht="20" customHeight="1" s="21"/>
    <row r="148" ht="20" customHeight="1" s="21">
      <c r="A148" s="157" t="inlineStr">
        <is>
          <t>6. 7월 실적 데이터 내 품목분류 오기재 이상치 전수 목록 (총 45건)</t>
        </is>
      </c>
    </row>
    <row r="149" ht="20" customHeight="1" s="21">
      <c r="A149" s="237" t="inlineStr">
        <is>
          <t>※ 7월 참여 데이터(1,305행) 내에서 단순 문자열 오판단(친환경·청·유과 등)을 100% 제거하고 확정된 45건 전수 목록임.</t>
        </is>
      </c>
    </row>
    <row r="150" ht="20" customHeight="1" s="21"/>
    <row r="151" ht="25" customHeight="1" s="21">
      <c r="A151" s="247" t="inlineStr">
        <is>
          <t>No</t>
        </is>
      </c>
      <c r="B151" s="247" t="inlineStr">
        <is>
          <t>이상치 유형</t>
        </is>
      </c>
      <c r="C151" s="247" t="inlineStr">
        <is>
          <t>구분</t>
        </is>
      </c>
      <c r="D151" s="247" t="inlineStr">
        <is>
          <t>기획전</t>
        </is>
      </c>
      <c r="E151" s="247" t="inlineStr">
        <is>
          <t>유통사</t>
        </is>
      </c>
      <c r="F151" s="247" t="inlineStr">
        <is>
          <t>판매자명(업체명)</t>
        </is>
      </c>
      <c r="G151" s="247" t="inlineStr">
        <is>
          <t>사업자번호</t>
        </is>
      </c>
      <c r="H151" s="247" t="inlineStr">
        <is>
          <t>상품명</t>
        </is>
      </c>
      <c r="I151" s="247" t="inlineStr">
        <is>
          <t>7월 현재분류</t>
        </is>
      </c>
      <c r="J151" s="247" t="inlineStr">
        <is>
          <t>권고 정정분류</t>
        </is>
      </c>
      <c r="K151" s="247" t="inlineStr">
        <is>
          <t>7월 매출액(원)</t>
        </is>
      </c>
      <c r="L151" s="247" t="inlineStr">
        <is>
          <t>7월 주문수(건)</t>
        </is>
      </c>
      <c r="M151" s="247" t="inlineStr">
        <is>
          <t>7월 쿠폰지원액(원)</t>
        </is>
      </c>
      <c r="N151" s="247" t="inlineStr">
        <is>
          <t>이상치 판정 사유 및 조치 제언</t>
        </is>
      </c>
    </row>
    <row r="152" ht="20" customHeight="1" s="21">
      <c r="A152" s="239" t="n">
        <v>1</v>
      </c>
      <c r="B152" s="239" t="inlineStr">
        <is>
          <t>조미가공육 ➡️ 축산물 오등록</t>
        </is>
      </c>
      <c r="C152" s="239" t="inlineStr">
        <is>
          <t>기존 참여 지속</t>
        </is>
      </c>
      <c r="D152" s="239" t="inlineStr">
        <is>
          <t>농산물</t>
        </is>
      </c>
      <c r="E152" s="239" t="inlineStr">
        <is>
          <t>네이버</t>
        </is>
      </c>
      <c r="F152" s="240" t="inlineStr">
        <is>
          <t>두루푸드</t>
        </is>
      </c>
      <c r="G152" s="239" t="inlineStr">
        <is>
          <t>221-13-36518</t>
        </is>
      </c>
      <c r="H152" s="240" t="inlineStr">
        <is>
          <t>국민닭갈비 두루푸드 춘천닭갈비 택배 홈파티 캠핑요리 [원산지:닭고기 넓적다리(국산), 고추가루(국산), 기타(상세설명참조)]</t>
        </is>
      </c>
      <c r="I152" s="173" t="inlineStr">
        <is>
          <t>축산물</t>
        </is>
      </c>
      <c r="J152" s="241" t="inlineStr">
        <is>
          <t>가공식품(식육가공품)</t>
        </is>
      </c>
      <c r="K152" s="182" t="n">
        <v>53342360</v>
      </c>
      <c r="L152" s="182" t="n">
        <v>2416</v>
      </c>
      <c r="M152" s="182" t="n">
        <v>3359880</v>
      </c>
      <c r="N152" s="240" t="inlineStr">
        <is>
          <t>식육가공품(조미가공육(춘천닭갈비))이나 1차 생육 축산물로 오등록됨</t>
        </is>
      </c>
    </row>
    <row r="153" ht="20" customHeight="1" s="21">
      <c r="A153" s="239" t="n">
        <v>2</v>
      </c>
      <c r="B153" s="239" t="inlineStr">
        <is>
          <t>조미가공육 ➡️ 축산물 오등록</t>
        </is>
      </c>
      <c r="C153" s="239" t="inlineStr">
        <is>
          <t>기존 참여 지속</t>
        </is>
      </c>
      <c r="D153" s="239" t="inlineStr">
        <is>
          <t>농산물</t>
        </is>
      </c>
      <c r="E153" s="239" t="inlineStr">
        <is>
          <t>네이버</t>
        </is>
      </c>
      <c r="F153" s="240" t="inlineStr">
        <is>
          <t>농업회사법인(주)새나라</t>
        </is>
      </c>
      <c r="G153" s="239" t="inlineStr">
        <is>
          <t>792-88-00316</t>
        </is>
      </c>
      <c r="H153" s="240" t="inlineStr">
        <is>
          <t>[모두닭갈비] 춘천 1+1팩 국산 닭다리살 캠핑 500gx2팩 (3~4인분) [원산지:국산]</t>
        </is>
      </c>
      <c r="I153" s="173" t="inlineStr">
        <is>
          <t>축산물</t>
        </is>
      </c>
      <c r="J153" s="241" t="inlineStr">
        <is>
          <t>가공식품(식육가공품)</t>
        </is>
      </c>
      <c r="K153" s="182" t="n">
        <v>2269370</v>
      </c>
      <c r="L153" s="182" t="n">
        <v>104</v>
      </c>
      <c r="M153" s="182" t="n">
        <v>394640</v>
      </c>
      <c r="N153" s="240" t="inlineStr">
        <is>
          <t>식육가공품(조미가공육(춘천닭갈비))이나 1차 생육 축산물로 오등록됨</t>
        </is>
      </c>
    </row>
    <row r="154" ht="20" customHeight="1" s="21">
      <c r="A154" s="239" t="n">
        <v>3</v>
      </c>
      <c r="B154" s="239" t="inlineStr">
        <is>
          <t>조미가공육 ➡️ 축산물 오등록</t>
        </is>
      </c>
      <c r="C154" s="239" t="inlineStr">
        <is>
          <t>기존 참여 지속</t>
        </is>
      </c>
      <c r="D154" s="239" t="inlineStr">
        <is>
          <t>농산물</t>
        </is>
      </c>
      <c r="E154" s="239" t="inlineStr">
        <is>
          <t>네이버</t>
        </is>
      </c>
      <c r="F154" s="240" t="inlineStr">
        <is>
          <t>두루푸드</t>
        </is>
      </c>
      <c r="G154" s="239" t="inlineStr">
        <is>
          <t>221-13-36518</t>
        </is>
      </c>
      <c r="H154" s="240" t="inlineStr">
        <is>
          <t>두루푸드 국민닭갈비 춘천닭갈비 택배 홈파티 캠핑요리 전통맛 [원산지:닭고기 넓적다리(국산), 고추가루(국산), 기타(상세설명참조)]</t>
        </is>
      </c>
      <c r="I154" s="173" t="inlineStr">
        <is>
          <t>축산물</t>
        </is>
      </c>
      <c r="J154" s="241" t="inlineStr">
        <is>
          <t>가공식품(식육가공품)</t>
        </is>
      </c>
      <c r="K154" s="182" t="n">
        <v>1874050</v>
      </c>
      <c r="L154" s="182" t="n">
        <v>96</v>
      </c>
      <c r="M154" s="182" t="n">
        <v>96660</v>
      </c>
      <c r="N154" s="240" t="inlineStr">
        <is>
          <t>식육가공품(조미가공육(춘천닭갈비))이나 1차 생육 축산물로 오등록됨</t>
        </is>
      </c>
    </row>
    <row r="155" ht="20" customHeight="1" s="21">
      <c r="A155" s="239" t="n">
        <v>4</v>
      </c>
      <c r="B155" s="239" t="inlineStr">
        <is>
          <t>조미가공육 ➡️ 축산물 오등록</t>
        </is>
      </c>
      <c r="C155" s="239" t="inlineStr">
        <is>
          <t>기존 참여 지속</t>
        </is>
      </c>
      <c r="D155" s="239" t="inlineStr">
        <is>
          <t>농산물</t>
        </is>
      </c>
      <c r="E155" s="239" t="inlineStr">
        <is>
          <t>네이버</t>
        </is>
      </c>
      <c r="F155" s="240" t="inlineStr">
        <is>
          <t>현풍떡갈비</t>
        </is>
      </c>
      <c r="G155" s="239" t="inlineStr">
        <is>
          <t>671-67-00557</t>
        </is>
      </c>
      <c r="H155" s="240" t="inlineStr">
        <is>
          <t>아기떡갈비 한우 한돈 수제 패티 현풍 세가지맛 3팩, 90g, 15개 [원산지:상세설명에 표시]</t>
        </is>
      </c>
      <c r="I155" s="173" t="inlineStr">
        <is>
          <t>축산물</t>
        </is>
      </c>
      <c r="J155" s="241" t="inlineStr">
        <is>
          <t>가공식품(식육가공품)</t>
        </is>
      </c>
      <c r="K155" s="182" t="n">
        <v>1556900</v>
      </c>
      <c r="L155" s="182" t="n">
        <v>46</v>
      </c>
      <c r="M155" s="182" t="n">
        <v>81520</v>
      </c>
      <c r="N155" s="240" t="inlineStr">
        <is>
          <t>식육가공품(가공육(떡갈비·수제패티))이나 1차 생육 축산물로 오등록됨</t>
        </is>
      </c>
    </row>
    <row r="156" ht="20" customHeight="1" s="21">
      <c r="A156" s="239" t="n">
        <v>5</v>
      </c>
      <c r="B156" s="239" t="inlineStr">
        <is>
          <t>가공완제품 ➡️ 농산물 원물 오등록</t>
        </is>
      </c>
      <c r="C156" s="239" t="inlineStr">
        <is>
          <t>기존 참여 지속</t>
        </is>
      </c>
      <c r="D156" s="239" t="inlineStr">
        <is>
          <t>농산물</t>
        </is>
      </c>
      <c r="E156" s="239" t="inlineStr">
        <is>
          <t>네이버</t>
        </is>
      </c>
      <c r="F156" s="240" t="inlineStr">
        <is>
          <t>신기농원</t>
        </is>
      </c>
      <c r="G156" s="239" t="inlineStr">
        <is>
          <t>540-25-00229</t>
        </is>
      </c>
      <c r="H156" s="240" t="inlineStr">
        <is>
          <t>애플링 동결건조 사과 배칩20g 딸기칩15g 3팩 국산100% 무첨가 간식 [원산지:국산(경상북도 문경시)]</t>
        </is>
      </c>
      <c r="I156" s="173" t="inlineStr">
        <is>
          <t>농산물</t>
        </is>
      </c>
      <c r="J156" s="241" t="inlineStr">
        <is>
          <t>가공식품(제조가공품)</t>
        </is>
      </c>
      <c r="K156" s="182" t="n">
        <v>1143000</v>
      </c>
      <c r="L156" s="182" t="n">
        <v>62</v>
      </c>
      <c r="M156" s="182" t="n">
        <v>40800</v>
      </c>
      <c r="N156" s="240" t="inlineStr">
        <is>
          <t>제조가공식품(과자류(동결건조 과일스낵))이나 1차 신선 농산물 원물로 오등록됨</t>
        </is>
      </c>
    </row>
    <row r="157" ht="20" customHeight="1" s="21">
      <c r="A157" s="239" t="n">
        <v>6</v>
      </c>
      <c r="B157" s="239" t="inlineStr">
        <is>
          <t>조미가공육 ➡️ 축산물 오등록</t>
        </is>
      </c>
      <c r="C157" s="239" t="inlineStr">
        <is>
          <t>기존 참여 지속</t>
        </is>
      </c>
      <c r="D157" s="239" t="inlineStr">
        <is>
          <t>농산물</t>
        </is>
      </c>
      <c r="E157" s="239" t="inlineStr">
        <is>
          <t>네이버</t>
        </is>
      </c>
      <c r="F157" s="240" t="inlineStr">
        <is>
          <t>두루푸드</t>
        </is>
      </c>
      <c r="G157" s="239" t="inlineStr">
        <is>
          <t>221-13-36518</t>
        </is>
      </c>
      <c r="H157" s="240" t="inlineStr">
        <is>
          <t>두루푸드 국민닭갈비 춘천닭갈비 택배 홈파티 캠핑요리 간장닭갈비 [원산지:닭고기 넓적다리(국산), 기타(상세설명참조)]</t>
        </is>
      </c>
      <c r="I157" s="173" t="inlineStr">
        <is>
          <t>축산물</t>
        </is>
      </c>
      <c r="J157" s="241" t="inlineStr">
        <is>
          <t>가공식품(식육가공품)</t>
        </is>
      </c>
      <c r="K157" s="182" t="n">
        <v>927300</v>
      </c>
      <c r="L157" s="182" t="n">
        <v>65</v>
      </c>
      <c r="M157" s="182" t="n">
        <v>16720</v>
      </c>
      <c r="N157" s="240" t="inlineStr">
        <is>
          <t>식육가공품(조미가공육(춘천닭갈비))이나 1차 생육 축산물로 오등록됨</t>
        </is>
      </c>
    </row>
    <row r="158" ht="20" customHeight="1" s="21">
      <c r="A158" s="239" t="n">
        <v>7</v>
      </c>
      <c r="B158" s="239" t="inlineStr">
        <is>
          <t>가공완제품 ➡️ 농산물 원물 오등록</t>
        </is>
      </c>
      <c r="C158" s="239" t="inlineStr">
        <is>
          <t>기존 참여 지속</t>
        </is>
      </c>
      <c r="D158" s="239" t="inlineStr">
        <is>
          <t>농산물</t>
        </is>
      </c>
      <c r="E158" s="239" t="inlineStr">
        <is>
          <t>네이버</t>
        </is>
      </c>
      <c r="F158" s="240" t="inlineStr">
        <is>
          <t>신기농원</t>
        </is>
      </c>
      <c r="G158" s="239" t="inlineStr">
        <is>
          <t>540-25-00229</t>
        </is>
      </c>
      <c r="H158" s="240" t="inlineStr">
        <is>
          <t>애플링 딸기칩 10봉 국산100% 동결건조 / 아기부터 온가족 건강간식 [원산지:국산(경상북도 문경시)]</t>
        </is>
      </c>
      <c r="I158" s="173" t="inlineStr">
        <is>
          <t>농산물</t>
        </is>
      </c>
      <c r="J158" s="241" t="inlineStr">
        <is>
          <t>가공식품(제조가공품)</t>
        </is>
      </c>
      <c r="K158" s="182" t="n">
        <v>900500</v>
      </c>
      <c r="L158" s="182" t="n">
        <v>22</v>
      </c>
      <c r="M158" s="182" t="n">
        <v>44800</v>
      </c>
      <c r="N158" s="240" t="inlineStr">
        <is>
          <t>제조가공식품(과자류(동결건조 과일스낵))이나 1차 신선 농산물 원물로 오등록됨</t>
        </is>
      </c>
    </row>
    <row r="159" ht="20" customHeight="1" s="21">
      <c r="A159" s="239" t="n">
        <v>8</v>
      </c>
      <c r="B159" s="239" t="inlineStr">
        <is>
          <t>가공완제품 ➡️ 농산물 원물 오등록</t>
        </is>
      </c>
      <c r="C159" s="239" t="inlineStr">
        <is>
          <t>기존 참여 지속</t>
        </is>
      </c>
      <c r="D159" s="239" t="inlineStr">
        <is>
          <t>농산물</t>
        </is>
      </c>
      <c r="E159" s="239" t="inlineStr">
        <is>
          <t>네이버</t>
        </is>
      </c>
      <c r="F159" s="240" t="inlineStr">
        <is>
          <t>신기농원</t>
        </is>
      </c>
      <c r="G159" s="239" t="inlineStr">
        <is>
          <t>540-25-00229</t>
        </is>
      </c>
      <c r="H159" s="240" t="inlineStr">
        <is>
          <t>애플링 국산 동결건조 사과칩·배칩 무첨가 건강간식 어린이 유아 [원산지:국산(경상북도 문경시)]</t>
        </is>
      </c>
      <c r="I159" s="173" t="inlineStr">
        <is>
          <t>농산물</t>
        </is>
      </c>
      <c r="J159" s="241" t="inlineStr">
        <is>
          <t>가공식품(제조가공품)</t>
        </is>
      </c>
      <c r="K159" s="182" t="n">
        <v>770500</v>
      </c>
      <c r="L159" s="182" t="n">
        <v>12</v>
      </c>
      <c r="M159" s="182" t="n">
        <v>7400</v>
      </c>
      <c r="N159" s="240" t="inlineStr">
        <is>
          <t>제조가공식품(과자류(동결건조 과일스낵))이나 1차 신선 농산물 원물로 오등록됨</t>
        </is>
      </c>
    </row>
    <row r="160" ht="20" customHeight="1" s="21">
      <c r="A160" s="239" t="n">
        <v>9</v>
      </c>
      <c r="B160" s="239" t="inlineStr">
        <is>
          <t>가공완제품 ➡️ 농산물 원물 오등록</t>
        </is>
      </c>
      <c r="C160" s="239" t="inlineStr">
        <is>
          <t>기존 참여 지속</t>
        </is>
      </c>
      <c r="D160" s="239" t="inlineStr">
        <is>
          <t>농산물</t>
        </is>
      </c>
      <c r="E160" s="239" t="inlineStr">
        <is>
          <t>네이버</t>
        </is>
      </c>
      <c r="F160" s="240" t="inlineStr">
        <is>
          <t>신기농원</t>
        </is>
      </c>
      <c r="G160" s="239" t="inlineStr">
        <is>
          <t>540-25-00229</t>
        </is>
      </c>
      <c r="H160" s="240" t="inlineStr">
        <is>
          <t>애플링 국산 동결건조 사과칩·배칩 자유구성 / 유아 휴대용 건강간식 [원산지:국산(경상북도)]</t>
        </is>
      </c>
      <c r="I160" s="173" t="inlineStr">
        <is>
          <t>농산물</t>
        </is>
      </c>
      <c r="J160" s="241" t="inlineStr">
        <is>
          <t>가공식품(제조가공품)</t>
        </is>
      </c>
      <c r="K160" s="182" t="n">
        <v>547910</v>
      </c>
      <c r="L160" s="182" t="n">
        <v>15</v>
      </c>
      <c r="M160" s="182" t="n">
        <v>14800</v>
      </c>
      <c r="N160" s="240" t="inlineStr">
        <is>
          <t>제조가공식품(과자류(동결건조 과일스낵))이나 1차 신선 농산물 원물로 오등록됨</t>
        </is>
      </c>
    </row>
    <row r="161" ht="20" customHeight="1" s="21">
      <c r="A161" s="239" t="n">
        <v>10</v>
      </c>
      <c r="B161" s="239" t="inlineStr">
        <is>
          <t>조미가공육 ➡️ 축산물 오등록</t>
        </is>
      </c>
      <c r="C161" s="239" t="inlineStr">
        <is>
          <t>기존 참여 지속</t>
        </is>
      </c>
      <c r="D161" s="239" t="inlineStr">
        <is>
          <t>농산물</t>
        </is>
      </c>
      <c r="E161" s="239" t="inlineStr">
        <is>
          <t>네이버</t>
        </is>
      </c>
      <c r="F161" s="240" t="inlineStr">
        <is>
          <t>두루푸드</t>
        </is>
      </c>
      <c r="G161" s="239" t="inlineStr">
        <is>
          <t>221-13-36518</t>
        </is>
      </c>
      <c r="H161" s="240" t="inlineStr">
        <is>
          <t>두루푸드 국민닭갈비 춘천닭갈비 택배 홈파티 캠핑요리 숯불닭갈비 [원산지:닭넓적다리(국산), 고추가루(국산), 기타(상세설명참조)]</t>
        </is>
      </c>
      <c r="I161" s="173" t="inlineStr">
        <is>
          <t>축산물</t>
        </is>
      </c>
      <c r="J161" s="241" t="inlineStr">
        <is>
          <t>가공식품(식육가공품)</t>
        </is>
      </c>
      <c r="K161" s="182" t="n">
        <v>511650</v>
      </c>
      <c r="L161" s="182" t="n">
        <v>17</v>
      </c>
      <c r="M161" s="182" t="n">
        <v>8760</v>
      </c>
      <c r="N161" s="240" t="inlineStr">
        <is>
          <t>식육가공품(조미가공육(춘천닭갈비))이나 1차 생육 축산물로 오등록됨</t>
        </is>
      </c>
    </row>
    <row r="162" ht="20" customHeight="1" s="21">
      <c r="A162" s="239" t="n">
        <v>11</v>
      </c>
      <c r="B162" s="239" t="inlineStr">
        <is>
          <t>조미가공육 ➡️ 축산물 오등록</t>
        </is>
      </c>
      <c r="C162" s="239" t="inlineStr">
        <is>
          <t>기존 참여 지속</t>
        </is>
      </c>
      <c r="D162" s="239" t="inlineStr">
        <is>
          <t>농산물</t>
        </is>
      </c>
      <c r="E162" s="239" t="inlineStr">
        <is>
          <t>네이버</t>
        </is>
      </c>
      <c r="F162" s="240" t="inlineStr">
        <is>
          <t>두루푸드</t>
        </is>
      </c>
      <c r="G162" s="239" t="inlineStr">
        <is>
          <t>221-13-36518</t>
        </is>
      </c>
      <c r="H162" s="240" t="inlineStr">
        <is>
          <t>두루푸드 국민닭갈비 춘천닭갈비 택배 홈파티 캠핑요리 허브소금닭갈비 [원산지:닭고기 넓적다리(국산), 기타(상세설명참조)]</t>
        </is>
      </c>
      <c r="I162" s="173" t="inlineStr">
        <is>
          <t>축산물</t>
        </is>
      </c>
      <c r="J162" s="241" t="inlineStr">
        <is>
          <t>가공식품(식육가공품)</t>
        </is>
      </c>
      <c r="K162" s="182" t="n">
        <v>500100</v>
      </c>
      <c r="L162" s="182" t="n">
        <v>24</v>
      </c>
      <c r="M162" s="182" t="n">
        <v>4180</v>
      </c>
      <c r="N162" s="240" t="inlineStr">
        <is>
          <t>식육가공품(조미가공육(춘천닭갈비))이나 1차 생육 축산물로 오등록됨</t>
        </is>
      </c>
    </row>
    <row r="163" ht="20" customHeight="1" s="21">
      <c r="A163" s="239" t="n">
        <v>12</v>
      </c>
      <c r="B163" s="239" t="inlineStr">
        <is>
          <t>조미가공육 ➡️ 축산물 오등록</t>
        </is>
      </c>
      <c r="C163" s="239" t="inlineStr">
        <is>
          <t>기존 참여 지속</t>
        </is>
      </c>
      <c r="D163" s="239" t="inlineStr">
        <is>
          <t>농산물</t>
        </is>
      </c>
      <c r="E163" s="239" t="inlineStr">
        <is>
          <t>네이버</t>
        </is>
      </c>
      <c r="F163" s="240" t="inlineStr">
        <is>
          <t>농업회사법인(주)새나라</t>
        </is>
      </c>
      <c r="G163" s="239" t="inlineStr">
        <is>
          <t>792-88-00316</t>
        </is>
      </c>
      <c r="H163" s="240" t="inlineStr">
        <is>
          <t>국내산 냉동 닭내장 1kg 곱창,알탕, 닭부산물 [원산지:국산(전라북도 익산시)]</t>
        </is>
      </c>
      <c r="I163" s="173" t="inlineStr">
        <is>
          <t>축산물</t>
        </is>
      </c>
      <c r="J163" s="241" t="inlineStr">
        <is>
          <t>가공식품(식육가공품)</t>
        </is>
      </c>
      <c r="K163" s="182" t="n">
        <v>365590</v>
      </c>
      <c r="L163" s="182" t="n">
        <v>6</v>
      </c>
      <c r="M163" s="182" t="n">
        <v>12590</v>
      </c>
      <c r="N163" s="240" t="inlineStr">
        <is>
          <t>식육가공품(양념/가공육(곱창/대창))이나 1차 생육 축산물로 오등록됨</t>
        </is>
      </c>
    </row>
    <row r="164" ht="20" customHeight="1" s="21">
      <c r="A164" s="239" t="n">
        <v>13</v>
      </c>
      <c r="B164" s="239" t="inlineStr">
        <is>
          <t>농산물 원물 ➡️ 가공식품 오등록</t>
        </is>
      </c>
      <c r="C164" s="239" t="inlineStr">
        <is>
          <t>기존 참여 지속</t>
        </is>
      </c>
      <c r="D164" s="239" t="inlineStr">
        <is>
          <t>농산물</t>
        </is>
      </c>
      <c r="E164" s="239" t="inlineStr">
        <is>
          <t>네이버</t>
        </is>
      </c>
      <c r="F164" s="240" t="inlineStr">
        <is>
          <t>알찬연근팜</t>
        </is>
      </c>
      <c r="G164" s="239" t="inlineStr">
        <is>
          <t>604-02-68674</t>
        </is>
      </c>
      <c r="H164" s="240" t="inlineStr">
        <is>
          <t>달달 향긋한 경산 신품종 망고복숭아 옐로복숭아 900g 1.8kg [원산지:국산(경상북도 경산시)]</t>
        </is>
      </c>
      <c r="I164" s="173" t="inlineStr">
        <is>
          <t>가공식품</t>
        </is>
      </c>
      <c r="J164" s="241" t="inlineStr">
        <is>
          <t>농산물(원물)</t>
        </is>
      </c>
      <c r="K164" s="182" t="n">
        <v>179500</v>
      </c>
      <c r="L164" s="182" t="n">
        <v>5</v>
      </c>
      <c r="M164" s="182" t="n">
        <v>0</v>
      </c>
      <c r="N164" s="240" t="inlineStr">
        <is>
          <t>1차 신선 농산물(신선 과실(신품종 복숭아 생과 원물))이나 유통사에 가공식품으로 오등록되어 원물 실적에서 누락됨</t>
        </is>
      </c>
    </row>
    <row r="165" ht="20" customHeight="1" s="21">
      <c r="A165" s="239" t="n">
        <v>14</v>
      </c>
      <c r="B165" s="239" t="inlineStr">
        <is>
          <t>조미가공육 ➡️ 축산물 오등록</t>
        </is>
      </c>
      <c r="C165" s="239" t="inlineStr">
        <is>
          <t>기존 참여 지속</t>
        </is>
      </c>
      <c r="D165" s="239" t="inlineStr">
        <is>
          <t>농산물</t>
        </is>
      </c>
      <c r="E165" s="239" t="inlineStr">
        <is>
          <t>네이버</t>
        </is>
      </c>
      <c r="F165" s="240" t="inlineStr">
        <is>
          <t>농업회사법인(주)새나라</t>
        </is>
      </c>
      <c r="G165" s="239" t="inlineStr">
        <is>
          <t>792-88-00316</t>
        </is>
      </c>
      <c r="H165" s="240" t="inlineStr">
        <is>
          <t>사조 오리 주물럭 양념 오리불고기 1kg 넉넉한 양 [원산지:국산(전라남도 나주시)]</t>
        </is>
      </c>
      <c r="I165" s="173" t="inlineStr">
        <is>
          <t>축산물</t>
        </is>
      </c>
      <c r="J165" s="241" t="inlineStr">
        <is>
          <t>가공식품(식육가공품)</t>
        </is>
      </c>
      <c r="K165" s="182" t="n">
        <v>149400</v>
      </c>
      <c r="L165" s="182" t="n">
        <v>6</v>
      </c>
      <c r="M165" s="182" t="n">
        <v>4740</v>
      </c>
      <c r="N165" s="240" t="inlineStr">
        <is>
          <t>식육가공품(양념조미육(주물럭))이나 1차 생육 축산물로 오등록됨</t>
        </is>
      </c>
    </row>
    <row r="166" ht="20" customHeight="1" s="21">
      <c r="A166" s="239" t="n">
        <v>15</v>
      </c>
      <c r="B166" s="239" t="inlineStr">
        <is>
          <t>조미가공육 ➡️ 축산물 오등록</t>
        </is>
      </c>
      <c r="C166" s="239" t="inlineStr">
        <is>
          <t>기존 참여 지속</t>
        </is>
      </c>
      <c r="D166" s="239" t="inlineStr">
        <is>
          <t>농산물</t>
        </is>
      </c>
      <c r="E166" s="239" t="inlineStr">
        <is>
          <t>네이버</t>
        </is>
      </c>
      <c r="F166" s="240" t="inlineStr">
        <is>
          <t>농업회사법인(주)새나라</t>
        </is>
      </c>
      <c r="G166" s="239" t="inlineStr">
        <is>
          <t>792-88-00316</t>
        </is>
      </c>
      <c r="H166" s="240" t="inlineStr">
        <is>
          <t>사조 오리 주물럭 양념 오리불고기 600g 넉넉한 양 [원산지:국산(전라남도 나주시)]</t>
        </is>
      </c>
      <c r="I166" s="173" t="inlineStr">
        <is>
          <t>축산물</t>
        </is>
      </c>
      <c r="J166" s="241" t="inlineStr">
        <is>
          <t>가공식품(식육가공품)</t>
        </is>
      </c>
      <c r="K166" s="182" t="n">
        <v>72900</v>
      </c>
      <c r="L166" s="182" t="n">
        <v>3</v>
      </c>
      <c r="M166" s="182" t="n">
        <v>11120</v>
      </c>
      <c r="N166" s="240" t="inlineStr">
        <is>
          <t>식육가공품(양념조미육(주물럭))이나 1차 생육 축산물로 오등록됨</t>
        </is>
      </c>
    </row>
    <row r="167" ht="20" customHeight="1" s="21">
      <c r="A167" s="239" t="n">
        <v>16</v>
      </c>
      <c r="B167" s="239" t="inlineStr">
        <is>
          <t>가공완제품 ➡️ 농산물 원물 오등록</t>
        </is>
      </c>
      <c r="C167" s="239" t="inlineStr">
        <is>
          <t>기존 참여 지속</t>
        </is>
      </c>
      <c r="D167" s="239" t="inlineStr">
        <is>
          <t>농산물</t>
        </is>
      </c>
      <c r="E167" s="239" t="inlineStr">
        <is>
          <t>네이버</t>
        </is>
      </c>
      <c r="F167" s="240" t="inlineStr">
        <is>
          <t>신기농원</t>
        </is>
      </c>
      <c r="G167" s="239" t="inlineStr">
        <is>
          <t>540-25-00229</t>
        </is>
      </c>
      <c r="H167" s="240" t="inlineStr">
        <is>
          <t>애플링 국내산 동결건조 사과칩 20g x3봉/ 아기간식 건강과일간식 [원산지:국산(경상북도 문경시)]</t>
        </is>
      </c>
      <c r="I167" s="173" t="inlineStr">
        <is>
          <t>농산물</t>
        </is>
      </c>
      <c r="J167" s="241" t="inlineStr">
        <is>
          <t>가공식품(제조가공품)</t>
        </is>
      </c>
      <c r="K167" s="182" t="n">
        <v>65500</v>
      </c>
      <c r="L167" s="182" t="n">
        <v>4</v>
      </c>
      <c r="M167" s="182" t="n">
        <v>0</v>
      </c>
      <c r="N167" s="240" t="inlineStr">
        <is>
          <t>제조가공식품(과자류(동결건조 과일스낵))이나 1차 신선 농산물 원물로 오등록됨</t>
        </is>
      </c>
    </row>
    <row r="168" ht="20" customHeight="1" s="21">
      <c r="A168" s="239" t="n">
        <v>17</v>
      </c>
      <c r="B168" s="239" t="inlineStr">
        <is>
          <t>조미가공육 ➡️ 축산물 오등록</t>
        </is>
      </c>
      <c r="C168" s="239" t="inlineStr">
        <is>
          <t>기존 참여 지속</t>
        </is>
      </c>
      <c r="D168" s="239" t="inlineStr">
        <is>
          <t>농산물</t>
        </is>
      </c>
      <c r="E168" s="239" t="inlineStr">
        <is>
          <t>네이버</t>
        </is>
      </c>
      <c r="F168" s="240" t="inlineStr">
        <is>
          <t>농업회사법인 주식회사 코리아식품</t>
        </is>
      </c>
      <c r="G168" s="239" t="inlineStr">
        <is>
          <t>608-88-00253</t>
        </is>
      </c>
      <c r="H168" s="240" t="inlineStr">
        <is>
          <t>청춘불판 직화불곱창 400g 혼술 캠핑 안주 돼지곱창 [원산지:상세설명에 표시]</t>
        </is>
      </c>
      <c r="I168" s="173" t="inlineStr">
        <is>
          <t>축산물</t>
        </is>
      </c>
      <c r="J168" s="241" t="inlineStr">
        <is>
          <t>가공식품(식육가공품)</t>
        </is>
      </c>
      <c r="K168" s="182" t="n">
        <v>65400</v>
      </c>
      <c r="L168" s="182" t="n">
        <v>2</v>
      </c>
      <c r="M168" s="182" t="n">
        <v>8720</v>
      </c>
      <c r="N168" s="240" t="inlineStr">
        <is>
          <t>식육가공품(양념/가공육(곱창/대창))이나 1차 생육 축산물로 오등록됨</t>
        </is>
      </c>
    </row>
    <row r="169" ht="20" customHeight="1" s="21">
      <c r="A169" s="239" t="n">
        <v>18</v>
      </c>
      <c r="B169" s="239" t="inlineStr">
        <is>
          <t>가공완제품 ➡️ 농산물 원물 오등록</t>
        </is>
      </c>
      <c r="C169" s="239" t="inlineStr">
        <is>
          <t>기존 참여 지속</t>
        </is>
      </c>
      <c r="D169" s="239" t="inlineStr">
        <is>
          <t>농산물</t>
        </is>
      </c>
      <c r="E169" s="239" t="inlineStr">
        <is>
          <t>네이버</t>
        </is>
      </c>
      <c r="F169" s="240" t="inlineStr">
        <is>
          <t>신기농원</t>
        </is>
      </c>
      <c r="G169" s="239" t="inlineStr">
        <is>
          <t>540-25-00229</t>
        </is>
      </c>
      <c r="H169" s="240" t="inlineStr">
        <is>
          <t>애플링 하루 한 팩 모듬과일칩 4g 사과·배·딸기혼합/국산 동결건조 /어린이,건강간식 [원산지:국산(경상북도 문경시)]</t>
        </is>
      </c>
      <c r="I169" s="173" t="inlineStr">
        <is>
          <t>농산물</t>
        </is>
      </c>
      <c r="J169" s="241" t="inlineStr">
        <is>
          <t>가공식품(제조가공품)</t>
        </is>
      </c>
      <c r="K169" s="182" t="n">
        <v>39000</v>
      </c>
      <c r="L169" s="182" t="n">
        <v>2</v>
      </c>
      <c r="M169" s="182" t="n">
        <v>0</v>
      </c>
      <c r="N169" s="240" t="inlineStr">
        <is>
          <t>제조가공식품(과자류(동결건조 과일스낵))이나 1차 신선 농산물 원물로 오등록됨</t>
        </is>
      </c>
    </row>
    <row r="170" ht="20" customHeight="1" s="21">
      <c r="A170" s="239" t="n">
        <v>19</v>
      </c>
      <c r="B170" s="239" t="inlineStr">
        <is>
          <t>가공완제품 ➡️ 농산물 원물 오등록</t>
        </is>
      </c>
      <c r="C170" s="239" t="inlineStr">
        <is>
          <t>기존 참여 지속</t>
        </is>
      </c>
      <c r="D170" s="239" t="inlineStr">
        <is>
          <t>농산물</t>
        </is>
      </c>
      <c r="E170" s="239" t="inlineStr">
        <is>
          <t>네이버</t>
        </is>
      </c>
      <c r="F170" s="240" t="inlineStr">
        <is>
          <t>신기농원</t>
        </is>
      </c>
      <c r="G170" s="239" t="inlineStr">
        <is>
          <t>540-25-00229</t>
        </is>
      </c>
      <c r="H170" s="240" t="inlineStr">
        <is>
          <t>애플링 국산 동결건조 사과·배칩 3팩 자유선택 유아 어린이 건강간식 .다이어트 [원산지:국산(경상북도)]</t>
        </is>
      </c>
      <c r="I170" s="173" t="inlineStr">
        <is>
          <t>농산물</t>
        </is>
      </c>
      <c r="J170" s="241" t="inlineStr">
        <is>
          <t>가공식품(제조가공품)</t>
        </is>
      </c>
      <c r="K170" s="182" t="n">
        <v>33000</v>
      </c>
      <c r="L170" s="182" t="n">
        <v>3</v>
      </c>
      <c r="M170" s="182" t="n">
        <v>2200</v>
      </c>
      <c r="N170" s="240" t="inlineStr">
        <is>
          <t>제조가공식품(과자류(동결건조 과일스낵))이나 1차 신선 농산물 원물로 오등록됨</t>
        </is>
      </c>
    </row>
    <row r="171" ht="20" customHeight="1" s="21">
      <c r="A171" s="239" t="n">
        <v>20</v>
      </c>
      <c r="B171" s="239" t="inlineStr">
        <is>
          <t>가공완제품 ➡️ 농산물 원물 오등록</t>
        </is>
      </c>
      <c r="C171" s="239" t="inlineStr">
        <is>
          <t>기존 참여 지속</t>
        </is>
      </c>
      <c r="D171" s="239" t="inlineStr">
        <is>
          <t>농산물</t>
        </is>
      </c>
      <c r="E171" s="239" t="inlineStr">
        <is>
          <t>네이버</t>
        </is>
      </c>
      <c r="F171" s="240" t="inlineStr">
        <is>
          <t>신기농원</t>
        </is>
      </c>
      <c r="G171" s="239" t="inlineStr">
        <is>
          <t>540-25-00229</t>
        </is>
      </c>
      <c r="H171" s="240" t="inlineStr">
        <is>
          <t>애플링 국산 딸기칩3봉 무첨가 동결건조 과일칩 어린이 유아 건강간식 [원산지:국산(경상북도 문경시)]</t>
        </is>
      </c>
      <c r="I171" s="173" t="inlineStr">
        <is>
          <t>농산물</t>
        </is>
      </c>
      <c r="J171" s="241" t="inlineStr">
        <is>
          <t>가공식품(제조가공품)</t>
        </is>
      </c>
      <c r="K171" s="182" t="n">
        <v>33000</v>
      </c>
      <c r="L171" s="182" t="n">
        <v>3</v>
      </c>
      <c r="M171" s="182" t="n">
        <v>0</v>
      </c>
      <c r="N171" s="240" t="inlineStr">
        <is>
          <t>제조가공식품(과자류(동결건조 과일스낵))이나 1차 신선 농산물 원물로 오등록됨</t>
        </is>
      </c>
    </row>
    <row r="172" ht="20" customHeight="1" s="21">
      <c r="A172" s="239" t="n">
        <v>21</v>
      </c>
      <c r="B172" s="239" t="inlineStr">
        <is>
          <t>조미가공육 ➡️ 축산물 오등록</t>
        </is>
      </c>
      <c r="C172" s="239" t="inlineStr">
        <is>
          <t>기존 참여 지속</t>
        </is>
      </c>
      <c r="D172" s="239" t="inlineStr">
        <is>
          <t>농산물</t>
        </is>
      </c>
      <c r="E172" s="239" t="inlineStr">
        <is>
          <t>네이버</t>
        </is>
      </c>
      <c r="F172" s="240" t="inlineStr">
        <is>
          <t>농업회사법인(주)새나라</t>
        </is>
      </c>
      <c r="G172" s="239" t="inlineStr">
        <is>
          <t>792-88-00316</t>
        </is>
      </c>
      <c r="H172" s="240" t="inlineStr">
        <is>
          <t>[모두양념닭발] 1+1팩 오직 국내산 무뼈닭발 200g포장 [원산지:국산(전라북도 익산시)]</t>
        </is>
      </c>
      <c r="I172" s="173" t="inlineStr">
        <is>
          <t>축산물</t>
        </is>
      </c>
      <c r="J172" s="241" t="inlineStr">
        <is>
          <t>가공식품(식육가공품)</t>
        </is>
      </c>
      <c r="K172" s="182" t="n">
        <v>27230</v>
      </c>
      <c r="L172" s="182" t="n">
        <v>1</v>
      </c>
      <c r="M172" s="182" t="n">
        <v>0</v>
      </c>
      <c r="N172" s="240" t="inlineStr">
        <is>
          <t>식육가공품(양념조미육)이나 1차 생육 축산물로 오등록됨</t>
        </is>
      </c>
    </row>
    <row r="173" ht="20" customHeight="1" s="21">
      <c r="A173" s="239" t="n">
        <v>22</v>
      </c>
      <c r="B173" s="239" t="inlineStr">
        <is>
          <t>조미가공육 ➡️ 축산물 오등록</t>
        </is>
      </c>
      <c r="C173" s="239" t="inlineStr">
        <is>
          <t>기존 참여 지속</t>
        </is>
      </c>
      <c r="D173" s="239" t="inlineStr">
        <is>
          <t>농산물</t>
        </is>
      </c>
      <c r="E173" s="239" t="inlineStr">
        <is>
          <t>네이버</t>
        </is>
      </c>
      <c r="F173" s="240" t="inlineStr">
        <is>
          <t>농업회사법인(주)새나라</t>
        </is>
      </c>
      <c r="G173" s="239" t="inlineStr">
        <is>
          <t>792-88-00316</t>
        </is>
      </c>
      <c r="H173" s="240" t="inlineStr">
        <is>
          <t>[모두 한입닭갈비] 춘천 3팩 국산 닭정육 캠핑 500gx3팩 (3~4인분) [원산지:국산]</t>
        </is>
      </c>
      <c r="I173" s="173" t="inlineStr">
        <is>
          <t>축산물</t>
        </is>
      </c>
      <c r="J173" s="241" t="inlineStr">
        <is>
          <t>가공식품(식육가공품)</t>
        </is>
      </c>
      <c r="K173" s="182" t="n">
        <v>23500</v>
      </c>
      <c r="L173" s="182" t="n">
        <v>1</v>
      </c>
      <c r="M173" s="182" t="n">
        <v>4700</v>
      </c>
      <c r="N173" s="240" t="inlineStr">
        <is>
          <t>식육가공품(조미가공육(춘천닭갈비))이나 1차 생육 축산물로 오등록됨</t>
        </is>
      </c>
    </row>
    <row r="174" ht="20" customHeight="1" s="21">
      <c r="A174" s="239" t="n">
        <v>23</v>
      </c>
      <c r="B174" s="239" t="inlineStr">
        <is>
          <t>조미가공육 ➡️ 축산물 오등록</t>
        </is>
      </c>
      <c r="C174" s="239" t="inlineStr">
        <is>
          <t>기존 참여 지속</t>
        </is>
      </c>
      <c r="D174" s="239" t="inlineStr">
        <is>
          <t>농산물</t>
        </is>
      </c>
      <c r="E174" s="239" t="inlineStr">
        <is>
          <t>네이버</t>
        </is>
      </c>
      <c r="F174" s="240" t="inlineStr">
        <is>
          <t>농업회사법인 주식회사 코리아식품</t>
        </is>
      </c>
      <c r="G174" s="239" t="inlineStr">
        <is>
          <t>608-88-00253</t>
        </is>
      </c>
      <c r="H174" s="240" t="inlineStr">
        <is>
          <t>청춘불판 직화껍데기 350g 국내산 직화 불향 자체양념소스 [원산지:상세설명에 표시]</t>
        </is>
      </c>
      <c r="I174" s="173" t="inlineStr">
        <is>
          <t>축산물</t>
        </is>
      </c>
      <c r="J174" s="241" t="inlineStr">
        <is>
          <t>가공식품(식육가공품)</t>
        </is>
      </c>
      <c r="K174" s="182" t="n">
        <v>13800</v>
      </c>
      <c r="L174" s="182" t="n">
        <v>1</v>
      </c>
      <c r="M174" s="182" t="n">
        <v>0</v>
      </c>
      <c r="N174" s="240" t="inlineStr">
        <is>
          <t>식육가공품(양념조미육)이나 1차 생육 축산물로 오등록됨</t>
        </is>
      </c>
    </row>
    <row r="175" ht="20" customHeight="1" s="21">
      <c r="A175" s="239" t="n">
        <v>24</v>
      </c>
      <c r="B175" s="239" t="inlineStr">
        <is>
          <t>조미가공육 ➡️ 축산물 오등록</t>
        </is>
      </c>
      <c r="C175" s="239" t="inlineStr">
        <is>
          <t>기존 참여 지속</t>
        </is>
      </c>
      <c r="D175" s="239" t="inlineStr">
        <is>
          <t>농산물</t>
        </is>
      </c>
      <c r="E175" s="239" t="inlineStr">
        <is>
          <t>네이버</t>
        </is>
      </c>
      <c r="F175" s="240" t="inlineStr">
        <is>
          <t>농업회사법인 주식회사 코리아식품</t>
        </is>
      </c>
      <c r="G175" s="239" t="inlineStr">
        <is>
          <t>608-88-00253</t>
        </is>
      </c>
      <c r="H175" s="240" t="inlineStr">
        <is>
          <t>고기얌 불오돌뼈 250g 국내산 매운 양념 캠핑 혼술 안주 [원산지:상세설명에 표시]</t>
        </is>
      </c>
      <c r="I175" s="173" t="inlineStr">
        <is>
          <t>축산물</t>
        </is>
      </c>
      <c r="J175" s="241" t="inlineStr">
        <is>
          <t>가공식품(식육가공품)</t>
        </is>
      </c>
      <c r="K175" s="182" t="n">
        <v>6900</v>
      </c>
      <c r="L175" s="182" t="n">
        <v>1</v>
      </c>
      <c r="M175" s="182" t="n">
        <v>0</v>
      </c>
      <c r="N175" s="240" t="inlineStr">
        <is>
          <t>식육가공품(양념조미육)이나 1차 생육 축산물로 오등록됨</t>
        </is>
      </c>
    </row>
    <row r="176" ht="20" customHeight="1" s="21">
      <c r="A176" s="239" t="n">
        <v>25</v>
      </c>
      <c r="B176" s="239" t="inlineStr">
        <is>
          <t>조미가공육 ➡️ 축산물 오등록</t>
        </is>
      </c>
      <c r="C176" s="239" t="inlineStr">
        <is>
          <t>기존 참여 지속</t>
        </is>
      </c>
      <c r="D176" s="239" t="inlineStr">
        <is>
          <t>농산물</t>
        </is>
      </c>
      <c r="E176" s="239" t="inlineStr">
        <is>
          <t>롯데ON</t>
        </is>
      </c>
      <c r="F176" s="240" t="inlineStr">
        <is>
          <t>주식회사 더락</t>
        </is>
      </c>
      <c r="G176" s="239" t="inlineStr">
        <is>
          <t>593-86-01295</t>
        </is>
      </c>
      <c r="H176" s="240" t="inlineStr">
        <is>
          <t>국내산 한돈 수제 양념 돼지갈비 450G (2종 중 택1)</t>
        </is>
      </c>
      <c r="I176" s="173" t="inlineStr">
        <is>
          <t>축산물</t>
        </is>
      </c>
      <c r="J176" s="241" t="inlineStr">
        <is>
          <t>가공식품(식육가공품)</t>
        </is>
      </c>
      <c r="K176" s="182" t="n">
        <v>37312000</v>
      </c>
      <c r="L176" s="182" t="n">
        <v>729</v>
      </c>
      <c r="M176" s="182" t="n">
        <v>4967600</v>
      </c>
      <c r="N176" s="240" t="inlineStr">
        <is>
          <t>식육가공품(양념조미육)이나 1차 생육 축산물로 오등록됨</t>
        </is>
      </c>
    </row>
    <row r="177" ht="20" customHeight="1" s="21">
      <c r="A177" s="239" t="n">
        <v>26</v>
      </c>
      <c r="B177" s="239" t="inlineStr">
        <is>
          <t>조미가공육 ➡️ 축산물 오등록</t>
        </is>
      </c>
      <c r="C177" s="239" t="inlineStr">
        <is>
          <t>기존 참여 지속</t>
        </is>
      </c>
      <c r="D177" s="239" t="inlineStr">
        <is>
          <t>농산물</t>
        </is>
      </c>
      <c r="E177" s="239" t="inlineStr">
        <is>
          <t>롯데ON</t>
        </is>
      </c>
      <c r="F177" s="240" t="inlineStr">
        <is>
          <t>농업회사법인 라이플로우 주식회사</t>
        </is>
      </c>
      <c r="G177" s="239" t="inlineStr">
        <is>
          <t>715-87-02493</t>
        </is>
      </c>
      <c r="H177" s="240" t="inlineStr">
        <is>
          <t>[온누리7%혜택][주왕산가든] 한우불고기 전골 밀키트 750g 3인분 불고기 육수 야채 소불고기</t>
        </is>
      </c>
      <c r="I177" s="173" t="inlineStr">
        <is>
          <t>축산물</t>
        </is>
      </c>
      <c r="J177" s="241" t="inlineStr">
        <is>
          <t>가공식품(식육가공품)</t>
        </is>
      </c>
      <c r="K177" s="182" t="n">
        <v>724600</v>
      </c>
      <c r="L177" s="182" t="n">
        <v>23</v>
      </c>
      <c r="M177" s="182" t="n">
        <v>142600</v>
      </c>
      <c r="N177" s="240" t="inlineStr">
        <is>
          <t>식육가공품(양념조미육(불고기))이나 1차 생육 축산물로 오등록됨</t>
        </is>
      </c>
    </row>
    <row r="178" ht="20" customHeight="1" s="21">
      <c r="A178" s="239" t="n">
        <v>27</v>
      </c>
      <c r="B178" s="239" t="inlineStr">
        <is>
          <t>조미가공육 ➡️ 축산물 오등록</t>
        </is>
      </c>
      <c r="C178" s="239" t="inlineStr">
        <is>
          <t>기존 참여 지속</t>
        </is>
      </c>
      <c r="D178" s="239" t="inlineStr">
        <is>
          <t>농산물</t>
        </is>
      </c>
      <c r="E178" s="239" t="inlineStr">
        <is>
          <t>롯데ON</t>
        </is>
      </c>
      <c r="F178" s="240" t="inlineStr">
        <is>
          <t>농업회사법인 라이플로우 주식회사</t>
        </is>
      </c>
      <c r="G178" s="239" t="inlineStr">
        <is>
          <t>715-87-02493</t>
        </is>
      </c>
      <c r="H178" s="240" t="inlineStr">
        <is>
          <t>[온누리7%혜택][주왕산가든] 명품 한돈 수제 돼지갈비 실속형 500g 양념돼지갈비 밀키트</t>
        </is>
      </c>
      <c r="I178" s="173" t="inlineStr">
        <is>
          <t>축산물</t>
        </is>
      </c>
      <c r="J178" s="241" t="inlineStr">
        <is>
          <t>가공식품(식육가공품)</t>
        </is>
      </c>
      <c r="K178" s="182" t="n">
        <v>315000</v>
      </c>
      <c r="L178" s="182" t="n">
        <v>10</v>
      </c>
      <c r="M178" s="182" t="n">
        <v>57230</v>
      </c>
      <c r="N178" s="240" t="inlineStr">
        <is>
          <t>식육가공품(양념조미육)이나 1차 생육 축산물로 오등록됨</t>
        </is>
      </c>
    </row>
    <row r="179" ht="20" customHeight="1" s="21">
      <c r="A179" s="239" t="n">
        <v>28</v>
      </c>
      <c r="B179" s="239" t="inlineStr">
        <is>
          <t>조미가공육 ➡️ 축산물 오등록</t>
        </is>
      </c>
      <c r="C179" s="239" t="inlineStr">
        <is>
          <t>기존 참여 지속</t>
        </is>
      </c>
      <c r="D179" s="239" t="inlineStr">
        <is>
          <t>농산물</t>
        </is>
      </c>
      <c r="E179" s="239" t="inlineStr">
        <is>
          <t>롯데ON</t>
        </is>
      </c>
      <c r="F179" s="240" t="inlineStr">
        <is>
          <t>주식회사 영인에프앤에스</t>
        </is>
      </c>
      <c r="G179" s="239" t="inlineStr">
        <is>
          <t>847-88-01537</t>
        </is>
      </c>
      <c r="H179" s="240" t="inlineStr">
        <is>
          <t>삶은 돼지 대창 1kg</t>
        </is>
      </c>
      <c r="I179" s="173" t="inlineStr">
        <is>
          <t>축산물</t>
        </is>
      </c>
      <c r="J179" s="241" t="inlineStr">
        <is>
          <t>가공식품(식육가공품)</t>
        </is>
      </c>
      <c r="K179" s="182" t="n">
        <v>0</v>
      </c>
      <c r="L179" s="182" t="n">
        <v>2</v>
      </c>
      <c r="M179" s="182" t="n">
        <v>0</v>
      </c>
      <c r="N179" s="240" t="inlineStr">
        <is>
          <t>식육가공품(양념/가공육(대창))이나 1차 생육 축산물로 오등록됨</t>
        </is>
      </c>
    </row>
    <row r="180" ht="20" customHeight="1" s="21">
      <c r="A180" s="239" t="n">
        <v>29</v>
      </c>
      <c r="B180" s="239" t="inlineStr">
        <is>
          <t>조미가공육 ➡️ 축산물 오등록</t>
        </is>
      </c>
      <c r="C180" s="239" t="inlineStr">
        <is>
          <t>기존 참여 지속</t>
        </is>
      </c>
      <c r="D180" s="239" t="inlineStr">
        <is>
          <t>농산물</t>
        </is>
      </c>
      <c r="E180" s="239" t="inlineStr">
        <is>
          <t>롯데ON</t>
        </is>
      </c>
      <c r="F180" s="240" t="inlineStr">
        <is>
          <t>주식회사 삼형제월드</t>
        </is>
      </c>
      <c r="G180" s="239" t="inlineStr">
        <is>
          <t>185-87-01669</t>
        </is>
      </c>
      <c r="H180" s="240" t="inlineStr">
        <is>
          <t>삼형제고기 한돈 간장 고추장 불고기 1kg (200g x 5팩)</t>
        </is>
      </c>
      <c r="I180" s="173" t="inlineStr">
        <is>
          <t>축산물</t>
        </is>
      </c>
      <c r="J180" s="241" t="inlineStr">
        <is>
          <t>가공식품(식육가공품)</t>
        </is>
      </c>
      <c r="K180" s="182" t="n">
        <v>0</v>
      </c>
      <c r="L180" s="182" t="n">
        <v>0</v>
      </c>
      <c r="M180" s="182" t="n">
        <v>0</v>
      </c>
      <c r="N180" s="240" t="inlineStr">
        <is>
          <t>식육가공품(양념조미육(불고기))이나 1차 생육 축산물로 오등록됨</t>
        </is>
      </c>
    </row>
    <row r="181" ht="20" customHeight="1" s="21">
      <c r="A181" s="239" t="n">
        <v>30</v>
      </c>
      <c r="B181" s="239" t="inlineStr">
        <is>
          <t>조미가공육 ➡️ 축산물 오등록</t>
        </is>
      </c>
      <c r="C181" s="239" t="inlineStr">
        <is>
          <t>기존 참여 지속</t>
        </is>
      </c>
      <c r="D181" s="239" t="inlineStr">
        <is>
          <t>농산물</t>
        </is>
      </c>
      <c r="E181" s="239" t="inlineStr">
        <is>
          <t>지마켓</t>
        </is>
      </c>
      <c r="F181" s="240" t="inlineStr">
        <is>
          <t>두원식품(주)</t>
        </is>
      </c>
      <c r="G181" s="239" t="inlineStr">
        <is>
          <t>606-81-52718</t>
        </is>
      </c>
      <c r="H181" s="240" t="inlineStr">
        <is>
          <t>haccp인증 국내산 한돈 고추장 주물럭 300g x6팩(총 1.8kg)</t>
        </is>
      </c>
      <c r="I181" s="173" t="inlineStr">
        <is>
          <t>축산물</t>
        </is>
      </c>
      <c r="J181" s="241" t="inlineStr">
        <is>
          <t>가공식품(식육가공품)</t>
        </is>
      </c>
      <c r="K181" s="182" t="n">
        <v>65000</v>
      </c>
      <c r="L181" s="182" t="n">
        <v>2</v>
      </c>
      <c r="M181" s="182" t="n">
        <v>6500</v>
      </c>
      <c r="N181" s="240" t="inlineStr">
        <is>
          <t>식육가공품(양념조미육(주물럭))이나 1차 생육 축산물로 오등록됨</t>
        </is>
      </c>
    </row>
    <row r="182" ht="20" customHeight="1" s="21">
      <c r="A182" s="239" t="n">
        <v>31</v>
      </c>
      <c r="B182" s="239" t="inlineStr">
        <is>
          <t>조미가공육 ➡️ 축산물 오등록</t>
        </is>
      </c>
      <c r="C182" s="239" t="inlineStr">
        <is>
          <t>기존 참여 지속</t>
        </is>
      </c>
      <c r="D182" s="239" t="inlineStr">
        <is>
          <t>농산물</t>
        </is>
      </c>
      <c r="E182" s="239" t="inlineStr">
        <is>
          <t>지마켓</t>
        </is>
      </c>
      <c r="F182" s="240" t="inlineStr">
        <is>
          <t>두원식품(주)</t>
        </is>
      </c>
      <c r="G182" s="239" t="inlineStr">
        <is>
          <t>606-81-52718</t>
        </is>
      </c>
      <c r="H182" s="240" t="inlineStr">
        <is>
          <t>국내산 한돈 고추장 주물럭 300g + 300g 제육볶음</t>
        </is>
      </c>
      <c r="I182" s="173" t="inlineStr">
        <is>
          <t>축산물</t>
        </is>
      </c>
      <c r="J182" s="241" t="inlineStr">
        <is>
          <t>가공식품(식육가공품)</t>
        </is>
      </c>
      <c r="K182" s="182" t="n">
        <v>134100</v>
      </c>
      <c r="L182" s="182" t="n">
        <v>9</v>
      </c>
      <c r="M182" s="182" t="n">
        <v>11920</v>
      </c>
      <c r="N182" s="240" t="inlineStr">
        <is>
          <t>식육가공품(양념조미육(주물럭))이나 1차 생육 축산물로 오등록됨</t>
        </is>
      </c>
    </row>
    <row r="183" ht="20" customHeight="1" s="21">
      <c r="A183" s="239" t="n">
        <v>32</v>
      </c>
      <c r="B183" s="239" t="inlineStr">
        <is>
          <t>가공완제품 ➡️ 농산물 원물 오등록</t>
        </is>
      </c>
      <c r="C183" s="239" t="inlineStr">
        <is>
          <t>기존 참여 지속</t>
        </is>
      </c>
      <c r="D183" s="239" t="inlineStr">
        <is>
          <t>농산물</t>
        </is>
      </c>
      <c r="E183" s="239" t="inlineStr">
        <is>
          <t>지마켓</t>
        </is>
      </c>
      <c r="F183" s="240" t="inlineStr">
        <is>
          <t>청정태안식품</t>
        </is>
      </c>
      <c r="G183" s="239" t="inlineStr">
        <is>
          <t>316-01-24597</t>
        </is>
      </c>
      <c r="H183" s="240" t="inlineStr">
        <is>
          <t>김명월 검정콩 청국장가루 1kg(500g2통)</t>
        </is>
      </c>
      <c r="I183" s="173" t="inlineStr">
        <is>
          <t>농산물</t>
        </is>
      </c>
      <c r="J183" s="241" t="inlineStr">
        <is>
          <t>가공식품(제조가공품)</t>
        </is>
      </c>
      <c r="K183" s="182" t="n">
        <v>74000</v>
      </c>
      <c r="L183" s="182" t="n">
        <v>2</v>
      </c>
      <c r="M183" s="182" t="n">
        <v>7400</v>
      </c>
      <c r="N183" s="240" t="inlineStr">
        <is>
          <t>제조가공식품(두류가공품(청국장가루))이나 1차 신선 농산물 원물로 오등록됨</t>
        </is>
      </c>
    </row>
    <row r="184" ht="20" customHeight="1" s="21">
      <c r="A184" s="239" t="n">
        <v>33</v>
      </c>
      <c r="B184" s="239" t="inlineStr">
        <is>
          <t>농산물 원물 ➡️ 가공식품 오등록</t>
        </is>
      </c>
      <c r="C184" s="239" t="inlineStr">
        <is>
          <t>기존 참여 지속</t>
        </is>
      </c>
      <c r="D184" s="239" t="inlineStr">
        <is>
          <t>농산물</t>
        </is>
      </c>
      <c r="E184" s="239" t="inlineStr">
        <is>
          <t>지마켓</t>
        </is>
      </c>
      <c r="F184" s="240" t="inlineStr">
        <is>
          <t>형지표고버섯</t>
        </is>
      </c>
      <c r="G184" s="239" t="inlineStr">
        <is>
          <t>290-94-00335</t>
        </is>
      </c>
      <c r="H184" s="240" t="inlineStr">
        <is>
          <t>형지표고버섯 흑화고 상황버섯 혼합2호 표고 버섯 선물세트</t>
        </is>
      </c>
      <c r="I184" s="173" t="inlineStr">
        <is>
          <t>가공식품</t>
        </is>
      </c>
      <c r="J184" s="241" t="inlineStr">
        <is>
          <t>농산물(원물)</t>
        </is>
      </c>
      <c r="K184" s="182" t="n">
        <v>0</v>
      </c>
      <c r="L184" s="182" t="n">
        <v>0</v>
      </c>
      <c r="M184" s="182" t="n">
        <v>0</v>
      </c>
      <c r="N184" s="240" t="inlineStr">
        <is>
          <t>1차 신선 농산물(신선/건조 임산물(표고버섯 선물세트 원물))이나 유통사에 가공식품으로 오등록되어 원물 실적에서 누락됨</t>
        </is>
      </c>
    </row>
    <row r="185" ht="20" customHeight="1" s="21">
      <c r="A185" s="239" t="n">
        <v>34</v>
      </c>
      <c r="B185" s="239" t="inlineStr">
        <is>
          <t>가공완제품 ➡️ 농산물 원물 오등록</t>
        </is>
      </c>
      <c r="C185" s="239" t="inlineStr">
        <is>
          <t>기존 참여 지속</t>
        </is>
      </c>
      <c r="D185" s="239" t="inlineStr">
        <is>
          <t>농산물</t>
        </is>
      </c>
      <c r="E185" s="239" t="inlineStr">
        <is>
          <t>지마켓</t>
        </is>
      </c>
      <c r="F185" s="240" t="inlineStr">
        <is>
          <t>듬뿍곡간</t>
        </is>
      </c>
      <c r="G185" s="239" t="inlineStr">
        <is>
          <t>181-02-01980</t>
        </is>
      </c>
      <c r="H185" s="240" t="inlineStr">
        <is>
          <t>듬뿍곡간 국내산 쑥미숫가루 / 선식 식사대용 간식 500g</t>
        </is>
      </c>
      <c r="I185" s="173" t="inlineStr">
        <is>
          <t>농산물</t>
        </is>
      </c>
      <c r="J185" s="241" t="inlineStr">
        <is>
          <t>가공식품(제조가공품)</t>
        </is>
      </c>
      <c r="K185" s="182" t="n">
        <v>0</v>
      </c>
      <c r="L185" s="182" t="n">
        <v>0</v>
      </c>
      <c r="M185" s="182" t="n">
        <v>0</v>
      </c>
      <c r="N185" s="240" t="inlineStr">
        <is>
          <t>제조가공식품(곡류가공품(미숫가루/선식))이나 1차 신선 농산물 원물로 오등록됨</t>
        </is>
      </c>
    </row>
    <row r="186" ht="20" customHeight="1" s="21">
      <c r="A186" s="239" t="n">
        <v>35</v>
      </c>
      <c r="B186" s="239" t="inlineStr">
        <is>
          <t>가공완제품 ➡️ 농산물 원물 오등록</t>
        </is>
      </c>
      <c r="C186" s="239" t="inlineStr">
        <is>
          <t>기존 참여 지속</t>
        </is>
      </c>
      <c r="D186" s="239" t="inlineStr">
        <is>
          <t>농산물</t>
        </is>
      </c>
      <c r="E186" s="239" t="inlineStr">
        <is>
          <t>지마켓</t>
        </is>
      </c>
      <c r="F186" s="240" t="inlineStr">
        <is>
          <t>초림단지묵</t>
        </is>
      </c>
      <c r="G186" s="239" t="inlineStr">
        <is>
          <t>615-14-93195</t>
        </is>
      </c>
      <c r="H186" s="240" t="inlineStr">
        <is>
          <t>초림단지묵 국산 콩물 콩가루 90g 1인분 x 5팩 물만타면 콩국수</t>
        </is>
      </c>
      <c r="I186" s="173" t="inlineStr">
        <is>
          <t>농산물</t>
        </is>
      </c>
      <c r="J186" s="241" t="inlineStr">
        <is>
          <t>가공식품(제조가공품)</t>
        </is>
      </c>
      <c r="K186" s="182" t="n">
        <v>0</v>
      </c>
      <c r="L186" s="182" t="n">
        <v>0</v>
      </c>
      <c r="M186" s="182" t="n">
        <v>0</v>
      </c>
      <c r="N186" s="240" t="inlineStr">
        <is>
          <t>제조가공식품(곡류가공품(콩가루))이나 1차 신선 농산물 원물로 오등록됨</t>
        </is>
      </c>
    </row>
    <row r="187" ht="20" customHeight="1" s="21">
      <c r="A187" s="239" t="n">
        <v>36</v>
      </c>
      <c r="B187" s="239" t="inlineStr">
        <is>
          <t>가공완제품 ➡️ 농산물 원물 오등록</t>
        </is>
      </c>
      <c r="C187" s="239" t="inlineStr">
        <is>
          <t>기존 참여 지속</t>
        </is>
      </c>
      <c r="D187" s="239" t="inlineStr">
        <is>
          <t>농산물</t>
        </is>
      </c>
      <c r="E187" s="239" t="inlineStr">
        <is>
          <t>지마켓</t>
        </is>
      </c>
      <c r="F187" s="240" t="inlineStr">
        <is>
          <t>어이딸부각</t>
        </is>
      </c>
      <c r="G187" s="239" t="inlineStr">
        <is>
          <t>142-33-00898</t>
        </is>
      </c>
      <c r="H187" s="240" t="inlineStr">
        <is>
          <t>고추크런치 70g 고추부각 튀각 찹쌀 수제 비건</t>
        </is>
      </c>
      <c r="I187" s="173" t="inlineStr">
        <is>
          <t>농산물</t>
        </is>
      </c>
      <c r="J187" s="241" t="inlineStr">
        <is>
          <t>가공식품(제조가공품)</t>
        </is>
      </c>
      <c r="K187" s="182" t="n">
        <v>0</v>
      </c>
      <c r="L187" s="182" t="n">
        <v>0</v>
      </c>
      <c r="M187" s="182" t="n">
        <v>0</v>
      </c>
      <c r="N187" s="240" t="inlineStr">
        <is>
          <t>제조가공식품(과자류(김부각/고추부각))이나 1차 신선 농산물 원물로 오등록됨</t>
        </is>
      </c>
    </row>
    <row r="188" ht="20" customHeight="1" s="21">
      <c r="A188" s="239" t="n">
        <v>37</v>
      </c>
      <c r="B188" s="239" t="inlineStr">
        <is>
          <t>가공완제품 ➡️ 농산물 원물 오등록</t>
        </is>
      </c>
      <c r="C188" s="239" t="inlineStr">
        <is>
          <t>기존 참여 지속</t>
        </is>
      </c>
      <c r="D188" s="239" t="inlineStr">
        <is>
          <t>농산물</t>
        </is>
      </c>
      <c r="E188" s="239" t="inlineStr">
        <is>
          <t>지마켓</t>
        </is>
      </c>
      <c r="F188" s="240" t="inlineStr">
        <is>
          <t>어이딸부각</t>
        </is>
      </c>
      <c r="G188" s="239" t="inlineStr">
        <is>
          <t>142-33-00898</t>
        </is>
      </c>
      <c r="H188" s="240" t="inlineStr">
        <is>
          <t>어이딸 김부각 선물세트 소 5개입 찹쌀 수제 비건 글루텐프리 저당</t>
        </is>
      </c>
      <c r="I188" s="173" t="inlineStr">
        <is>
          <t>농산물</t>
        </is>
      </c>
      <c r="J188" s="241" t="inlineStr">
        <is>
          <t>가공식품(제조가공품)</t>
        </is>
      </c>
      <c r="K188" s="182" t="n">
        <v>0</v>
      </c>
      <c r="L188" s="182" t="n">
        <v>0</v>
      </c>
      <c r="M188" s="182" t="n">
        <v>0</v>
      </c>
      <c r="N188" s="240" t="inlineStr">
        <is>
          <t>제조가공식품(과자류(김부각/고추부각))이나 1차 신선 농산물 원물로 오등록됨</t>
        </is>
      </c>
    </row>
    <row r="189" ht="20" customHeight="1" s="21">
      <c r="A189" s="239" t="n">
        <v>38</v>
      </c>
      <c r="B189" s="239" t="inlineStr">
        <is>
          <t>가공완제품 ➡️ 농산물 원물 오등록</t>
        </is>
      </c>
      <c r="C189" s="239" t="inlineStr">
        <is>
          <t>기존 참여 지속</t>
        </is>
      </c>
      <c r="D189" s="239" t="inlineStr">
        <is>
          <t>농산물</t>
        </is>
      </c>
      <c r="E189" s="239" t="inlineStr">
        <is>
          <t>지마켓</t>
        </is>
      </c>
      <c r="F189" s="240" t="inlineStr">
        <is>
          <t>어이딸부각</t>
        </is>
      </c>
      <c r="G189" s="239" t="inlineStr">
        <is>
          <t>142-33-00898</t>
        </is>
      </c>
      <c r="H189" s="240" t="inlineStr">
        <is>
          <t>어이딸 김부각 선물세트 중 8개입 찹쌀 수제 비건 글루텐프리 저당</t>
        </is>
      </c>
      <c r="I189" s="173" t="inlineStr">
        <is>
          <t>농산물</t>
        </is>
      </c>
      <c r="J189" s="241" t="inlineStr">
        <is>
          <t>가공식품(제조가공품)</t>
        </is>
      </c>
      <c r="K189" s="182" t="n">
        <v>0</v>
      </c>
      <c r="L189" s="182" t="n">
        <v>0</v>
      </c>
      <c r="M189" s="182" t="n">
        <v>0</v>
      </c>
      <c r="N189" s="240" t="inlineStr">
        <is>
          <t>제조가공식품(과자류(김부각/고추부각))이나 1차 신선 농산물 원물로 오등록됨</t>
        </is>
      </c>
    </row>
    <row r="190" ht="20" customHeight="1" s="21">
      <c r="A190" s="239" t="n">
        <v>39</v>
      </c>
      <c r="B190" s="239" t="inlineStr">
        <is>
          <t>가공완제품 ➡️ 농산물 원물 오등록</t>
        </is>
      </c>
      <c r="C190" s="239" t="inlineStr">
        <is>
          <t>기존 참여 지속</t>
        </is>
      </c>
      <c r="D190" s="239" t="inlineStr">
        <is>
          <t>농산물</t>
        </is>
      </c>
      <c r="E190" s="239" t="inlineStr">
        <is>
          <t>지마켓</t>
        </is>
      </c>
      <c r="F190" s="240" t="inlineStr">
        <is>
          <t>초림단지묵</t>
        </is>
      </c>
      <c r="G190" s="239" t="inlineStr">
        <is>
          <t>615-14-93195</t>
        </is>
      </c>
      <c r="H190" s="240" t="inlineStr">
        <is>
          <t>초림단지묵 국산 콩물 콩가루 90g 1인분 x 5팩 물만타면 콩국수</t>
        </is>
      </c>
      <c r="I190" s="173" t="inlineStr">
        <is>
          <t>농산물</t>
        </is>
      </c>
      <c r="J190" s="241" t="inlineStr">
        <is>
          <t>가공식품(제조가공품)</t>
        </is>
      </c>
      <c r="K190" s="182" t="n">
        <v>240000</v>
      </c>
      <c r="L190" s="182" t="n">
        <v>12</v>
      </c>
      <c r="M190" s="182" t="n">
        <v>0</v>
      </c>
      <c r="N190" s="240" t="inlineStr">
        <is>
          <t>제조가공식품(곡류가공품(콩가루))이나 1차 신선 농산물 원물로 오등록됨</t>
        </is>
      </c>
    </row>
    <row r="191" ht="20" customHeight="1" s="21">
      <c r="A191" s="239" t="n">
        <v>40</v>
      </c>
      <c r="B191" s="239" t="inlineStr">
        <is>
          <t>가공완제품 ➡️ 농산물 원물 오등록</t>
        </is>
      </c>
      <c r="C191" s="239" t="inlineStr">
        <is>
          <t>기존 참여 지속</t>
        </is>
      </c>
      <c r="D191" s="239" t="inlineStr">
        <is>
          <t>농산물</t>
        </is>
      </c>
      <c r="E191" s="239" t="inlineStr">
        <is>
          <t>지마켓</t>
        </is>
      </c>
      <c r="F191" s="240" t="inlineStr">
        <is>
          <t>초림단지묵</t>
        </is>
      </c>
      <c r="G191" s="239" t="inlineStr">
        <is>
          <t>615-14-93195</t>
        </is>
      </c>
      <c r="H191" s="240" t="inlineStr">
        <is>
          <t>초림단지묵 국산 콩물 콩가루 400g 4인분 물만타면 콩국수</t>
        </is>
      </c>
      <c r="I191" s="173" t="inlineStr">
        <is>
          <t>농산물</t>
        </is>
      </c>
      <c r="J191" s="241" t="inlineStr">
        <is>
          <t>가공식품(제조가공품)</t>
        </is>
      </c>
      <c r="K191" s="182" t="n">
        <v>54000</v>
      </c>
      <c r="L191" s="182" t="n">
        <v>3</v>
      </c>
      <c r="M191" s="182" t="n">
        <v>0</v>
      </c>
      <c r="N191" s="240" t="inlineStr">
        <is>
          <t>제조가공식품(곡류가공품(콩가루))이나 1차 신선 농산물 원물로 오등록됨</t>
        </is>
      </c>
    </row>
    <row r="192" ht="20" customHeight="1" s="21">
      <c r="A192" s="239" t="n">
        <v>41</v>
      </c>
      <c r="B192" s="239" t="inlineStr">
        <is>
          <t>조미가공육 ➡️ 축산물 오등록</t>
        </is>
      </c>
      <c r="C192" s="239" t="inlineStr">
        <is>
          <t>기존 참여 지속</t>
        </is>
      </c>
      <c r="D192" s="239" t="inlineStr">
        <is>
          <t>농산물</t>
        </is>
      </c>
      <c r="E192" s="239" t="inlineStr">
        <is>
          <t>오아시스</t>
        </is>
      </c>
      <c r="F192" s="240" t="inlineStr">
        <is>
          <t>농업회사법인 주식회사 팔농</t>
        </is>
      </c>
      <c r="G192" s="239" t="inlineStr">
        <is>
          <t>797-88-03152</t>
        </is>
      </c>
      <c r="H192" s="240" t="inlineStr">
        <is>
          <t>안동한우양반곱창 한우곱창 200gX2팩 (400g)</t>
        </is>
      </c>
      <c r="I192" s="173" t="inlineStr">
        <is>
          <t>축산물</t>
        </is>
      </c>
      <c r="J192" s="241" t="inlineStr">
        <is>
          <t>가공식품(식육가공품)</t>
        </is>
      </c>
      <c r="K192" s="182" t="n">
        <v>127200</v>
      </c>
      <c r="L192" s="182" t="n">
        <v>4</v>
      </c>
      <c r="M192" s="182" t="n">
        <v>19080</v>
      </c>
      <c r="N192" s="240" t="inlineStr">
        <is>
          <t>식육가공품(양념/가공육(곱창/대창))이나 1차 생육 축산물로 오등록됨</t>
        </is>
      </c>
    </row>
    <row r="193" ht="20" customHeight="1" s="21">
      <c r="A193" s="239" t="n">
        <v>42</v>
      </c>
      <c r="B193" s="239" t="inlineStr">
        <is>
          <t>조미가공육 ➡️ 축산물 오등록</t>
        </is>
      </c>
      <c r="C193" s="239" t="inlineStr">
        <is>
          <t>기존 참여 지속</t>
        </is>
      </c>
      <c r="D193" s="239" t="inlineStr">
        <is>
          <t>농산물</t>
        </is>
      </c>
      <c r="E193" s="239" t="inlineStr">
        <is>
          <t>오아시스</t>
        </is>
      </c>
      <c r="F193" s="240" t="inlineStr">
        <is>
          <t>농업회사법인 주식회사 팔농</t>
        </is>
      </c>
      <c r="G193" s="239" t="inlineStr">
        <is>
          <t>797-88-03152</t>
        </is>
      </c>
      <c r="H193" s="240" t="inlineStr">
        <is>
          <t>안동한우양반곱창 한우곱창200g+한우대창200g 2종세트</t>
        </is>
      </c>
      <c r="I193" s="173" t="inlineStr">
        <is>
          <t>축산물</t>
        </is>
      </c>
      <c r="J193" s="241" t="inlineStr">
        <is>
          <t>가공식품(식육가공품)</t>
        </is>
      </c>
      <c r="K193" s="182" t="n">
        <v>29800</v>
      </c>
      <c r="L193" s="182" t="n">
        <v>1</v>
      </c>
      <c r="M193" s="182" t="n">
        <v>5960</v>
      </c>
      <c r="N193" s="240" t="inlineStr">
        <is>
          <t>식육가공품(양념/가공육(곱창/대창))이나 1차 생육 축산물로 오등록됨</t>
        </is>
      </c>
    </row>
    <row r="194" ht="20" customHeight="1" s="21">
      <c r="A194" s="239" t="n">
        <v>43</v>
      </c>
      <c r="B194" s="239" t="inlineStr">
        <is>
          <t>조미가공육 ➡️ 축산물 오등록</t>
        </is>
      </c>
      <c r="C194" s="239" t="inlineStr">
        <is>
          <t>기존 참여 지속</t>
        </is>
      </c>
      <c r="D194" s="239" t="inlineStr">
        <is>
          <t>농산물</t>
        </is>
      </c>
      <c r="E194" s="239" t="inlineStr">
        <is>
          <t>오아시스</t>
        </is>
      </c>
      <c r="F194" s="240" t="inlineStr">
        <is>
          <t>농업회사법인 주식회사 팔농</t>
        </is>
      </c>
      <c r="G194" s="239" t="inlineStr">
        <is>
          <t>797-88-03152</t>
        </is>
      </c>
      <c r="H194" s="240" t="inlineStr">
        <is>
          <t>안동한우양반곱창 한우곱창200g+한우막창200g 2종세트</t>
        </is>
      </c>
      <c r="I194" s="173" t="inlineStr">
        <is>
          <t>축산물</t>
        </is>
      </c>
      <c r="J194" s="241" t="inlineStr">
        <is>
          <t>가공식품(식육가공품)</t>
        </is>
      </c>
      <c r="K194" s="182" t="n">
        <v>28800</v>
      </c>
      <c r="L194" s="182" t="n">
        <v>1</v>
      </c>
      <c r="M194" s="182" t="n">
        <v>5760</v>
      </c>
      <c r="N194" s="240" t="inlineStr">
        <is>
          <t>식육가공품(양념/가공육(곱창/대창))이나 1차 생육 축산물로 오등록됨</t>
        </is>
      </c>
    </row>
    <row r="195" ht="20" customHeight="1" s="21">
      <c r="A195" s="239" t="n">
        <v>44</v>
      </c>
      <c r="B195" s="239" t="inlineStr">
        <is>
          <t>조미가공육 ➡️ 축산물 오등록</t>
        </is>
      </c>
      <c r="C195" s="239" t="inlineStr">
        <is>
          <t>기존 참여 지속</t>
        </is>
      </c>
      <c r="D195" s="239" t="inlineStr">
        <is>
          <t>농산물</t>
        </is>
      </c>
      <c r="E195" s="239" t="inlineStr">
        <is>
          <t>오아시스</t>
        </is>
      </c>
      <c r="F195" s="240" t="inlineStr">
        <is>
          <t>농업회사법인 주식회사 팔농</t>
        </is>
      </c>
      <c r="G195" s="239" t="inlineStr">
        <is>
          <t>797-88-03152</t>
        </is>
      </c>
      <c r="H195" s="240" t="inlineStr">
        <is>
          <t>안동한우양반곱창 한우곱창200g+한우염통200g 2종세트</t>
        </is>
      </c>
      <c r="I195" s="173" t="inlineStr">
        <is>
          <t>축산물</t>
        </is>
      </c>
      <c r="J195" s="241" t="inlineStr">
        <is>
          <t>가공식품(식육가공품)</t>
        </is>
      </c>
      <c r="K195" s="182" t="n">
        <v>0</v>
      </c>
      <c r="L195" s="182" t="n">
        <v>0</v>
      </c>
      <c r="M195" s="182" t="n">
        <v>0</v>
      </c>
      <c r="N195" s="240" t="inlineStr">
        <is>
          <t>식육가공품(양념/가공육(곱창/대창))이나 1차 생육 축산물로 오등록됨</t>
        </is>
      </c>
    </row>
    <row r="196" ht="20" customHeight="1" s="21">
      <c r="A196" s="239" t="n">
        <v>45</v>
      </c>
      <c r="B196" s="239" t="inlineStr">
        <is>
          <t>가공완제품 ➡️ 농산물 원물 오등록</t>
        </is>
      </c>
      <c r="C196" s="239" t="inlineStr">
        <is>
          <t>기존 참여 지속</t>
        </is>
      </c>
      <c r="D196" s="239" t="inlineStr">
        <is>
          <t>유기농</t>
        </is>
      </c>
      <c r="E196" s="239" t="inlineStr">
        <is>
          <t>오아시스</t>
        </is>
      </c>
      <c r="F196" s="240" t="inlineStr">
        <is>
          <t>해담는집</t>
        </is>
      </c>
      <c r="G196" s="239" t="inlineStr">
        <is>
          <t>745-96-00315</t>
        </is>
      </c>
      <c r="H196" s="240" t="inlineStr">
        <is>
          <t>해담는집 유기농 고춧가루 500g/200g(순한맛/보통맛/매운맛)</t>
        </is>
      </c>
      <c r="I196" s="173" t="inlineStr">
        <is>
          <t>농산물</t>
        </is>
      </c>
      <c r="J196" s="241" t="inlineStr">
        <is>
          <t>가공식품(제조가공품)</t>
        </is>
      </c>
      <c r="K196" s="182" t="n">
        <v>208400</v>
      </c>
      <c r="L196" s="182" t="n">
        <v>6</v>
      </c>
      <c r="M196" s="182" t="n">
        <v>35006</v>
      </c>
      <c r="N196" s="240" t="inlineStr">
        <is>
          <t>제조가공식품(조미식품(고춧가루))이나 1차 신선 농산물 원물로 오등록됨</t>
        </is>
      </c>
    </row>
    <row r="197" ht="22" customHeight="1" s="21">
      <c r="A197" s="242" t="inlineStr">
        <is>
          <t>합 계</t>
        </is>
      </c>
      <c r="B197" s="243" t="inlineStr">
        <is>
          <t>7월 이상치 45건 총계</t>
        </is>
      </c>
      <c r="C197" s="244" t="inlineStr"/>
      <c r="D197" s="244" t="inlineStr"/>
      <c r="E197" s="244" t="inlineStr"/>
      <c r="F197" s="244" t="inlineStr"/>
      <c r="G197" s="244" t="inlineStr"/>
      <c r="H197" s="244" t="inlineStr"/>
      <c r="I197" s="244" t="inlineStr"/>
      <c r="J197" s="244" t="inlineStr"/>
      <c r="K197" s="245" t="n">
        <v>104731260</v>
      </c>
      <c r="L197" s="245" t="n">
        <v>3721</v>
      </c>
      <c r="M197" s="245" t="n">
        <v>9373286</v>
      </c>
      <c r="N197" s="248" t="inlineStr">
        <is>
          <t>유통사 카테고리 매핑 수정 권고</t>
        </is>
      </c>
    </row>
    <row r="198" ht="20" customHeight="1" s="21"/>
    <row r="199" ht="20" customHeight="1" s="21"/>
    <row r="200" ht="20" customHeight="1" s="21"/>
    <row r="201" ht="20" customHeight="1" s="21"/>
    <row r="202" ht="20" customHeight="1" s="21"/>
    <row r="203" ht="20" customHeight="1" s="21"/>
    <row r="204" ht="20" customHeight="1" s="21"/>
    <row r="205" ht="20" customHeight="1" s="21"/>
    <row r="206" ht="20" customHeight="1" s="21"/>
    <row r="207" ht="20" customHeight="1" s="21"/>
    <row r="208" ht="20" customHeight="1" s="21"/>
    <row r="209" ht="20" customHeight="1" s="21"/>
    <row r="210" ht="20" customHeight="1" s="21"/>
    <row r="211" ht="20" customHeight="1" s="21"/>
    <row r="212" ht="20" customHeight="1" s="21"/>
    <row r="213" ht="20" customHeight="1" s="21"/>
    <row r="214" ht="20" customHeight="1" s="21"/>
    <row r="215" ht="20" customHeight="1" s="21"/>
    <row r="216" ht="20" customHeight="1" s="21"/>
    <row r="217" ht="20" customHeight="1" s="21"/>
    <row r="218" ht="20" customHeight="1" s="21"/>
    <row r="219" ht="20" customHeight="1" s="21"/>
    <row r="220" ht="20" customHeight="1" s="21"/>
    <row r="221" ht="20" customHeight="1" s="21"/>
    <row r="222" ht="20" customHeight="1" s="21"/>
    <row r="223" ht="22" customHeight="1" s="21"/>
  </sheetData>
  <mergeCells count="2">
    <mergeCell ref="C223:K223"/>
    <mergeCell ref="C120:K1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>
        <f>SUM(F3:F1000)</f>
        <v/>
      </c>
      <c r="G1" s="179">
        <f>SUM(G3:G1000)</f>
        <v/>
      </c>
      <c r="H1" s="179">
        <f>SUM(H3:H1000)</f>
        <v/>
      </c>
      <c r="I1" s="180">
        <f>COUNTIF(I3:I1000,"O")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>
        <f>SUMIF('①농산물raw'!$D:$D, $C3, '①농산물raw'!$F:$F)</f>
        <v/>
      </c>
      <c r="G3" s="170">
        <f>SUMIF('①농산물raw'!$D:$D, $C3, '①농산물raw'!$G:$G)</f>
        <v/>
      </c>
      <c r="H3" s="182">
        <f>SUMIF('①농산물raw'!$D:$D, $C3, '①농산물raw'!$H:$H)</f>
        <v/>
      </c>
      <c r="I3" s="183">
        <f>IF(COUNTIF('①농산물raw'!$D:$D,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>
        <f>SUMIF('①농산물raw'!$D:$D, $C4, '①농산물raw'!$F:$F)</f>
        <v/>
      </c>
      <c r="G4" s="170">
        <f>SUMIF('①농산물raw'!$D:$D, $C4, '①농산물raw'!$G:$G)</f>
        <v/>
      </c>
      <c r="H4" s="182">
        <f>SUMIF('①농산물raw'!$D:$D, $C4, '①농산물raw'!$H:$H)</f>
        <v/>
      </c>
      <c r="I4" s="183">
        <f>IF(COUNTIF('①농산물raw'!$D:$D,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>
        <f>SUMIF('①농산물raw'!$D:$D, $C5, '①농산물raw'!$F:$F)</f>
        <v/>
      </c>
      <c r="G5" s="170">
        <f>SUMIF('①농산물raw'!$D:$D, $C5, '①농산물raw'!$G:$G)</f>
        <v/>
      </c>
      <c r="H5" s="182">
        <f>SUMIF('①농산물raw'!$D:$D, $C5, '①농산물raw'!$H:$H)</f>
        <v/>
      </c>
      <c r="I5" s="183">
        <f>IF(COUNTIF('①농산물raw'!$D:$D,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>
        <f>SUMIF('①농산물raw'!$D:$D, $C6, '①농산물raw'!$F:$F)</f>
        <v/>
      </c>
      <c r="G6" s="170">
        <f>SUMIF('①농산물raw'!$D:$D, $C6, '①농산물raw'!$G:$G)</f>
        <v/>
      </c>
      <c r="H6" s="182">
        <f>SUMIF('①농산물raw'!$D:$D, $C6, '①농산물raw'!$H:$H)</f>
        <v/>
      </c>
      <c r="I6" s="183">
        <f>IF(COUNTIF('①농산물raw'!$D:$D,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>
        <f>SUMIF('①농산물raw'!$D:$D, $C7, '①농산물raw'!$F:$F)</f>
        <v/>
      </c>
      <c r="G7" s="170">
        <f>SUMIF('①농산물raw'!$D:$D, $C7, '①농산물raw'!$G:$G)</f>
        <v/>
      </c>
      <c r="H7" s="182">
        <f>SUMIF('①농산물raw'!$D:$D, $C7, '①농산물raw'!$H:$H)</f>
        <v/>
      </c>
      <c r="I7" s="183">
        <f>IF(COUNTIF('①농산물raw'!$D:$D,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>
        <f>SUMIF('①농산물raw'!$D:$D, $C8, '①농산물raw'!$F:$F)</f>
        <v/>
      </c>
      <c r="G8" s="170">
        <f>SUMIF('①농산물raw'!$D:$D, $C8, '①농산물raw'!$G:$G)</f>
        <v/>
      </c>
      <c r="H8" s="182">
        <f>SUMIF('①농산물raw'!$D:$D, $C8, '①농산물raw'!$H:$H)</f>
        <v/>
      </c>
      <c r="I8" s="183">
        <f>IF(COUNTIF('①농산물raw'!$D:$D,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>
        <f>SUMIF('①농산물raw'!$D:$D, $C9, '①농산물raw'!$F:$F)</f>
        <v/>
      </c>
      <c r="G9" s="170">
        <f>SUMIF('①농산물raw'!$D:$D, $C9, '①농산물raw'!$G:$G)</f>
        <v/>
      </c>
      <c r="H9" s="182">
        <f>SUMIF('①농산물raw'!$D:$D, $C9, '①농산물raw'!$H:$H)</f>
        <v/>
      </c>
      <c r="I9" s="183">
        <f>IF(COUNTIF('①농산물raw'!$D:$D,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>
        <f>SUMIF('①농산물raw'!$D:$D, $C10, '①농산물raw'!$F:$F)</f>
        <v/>
      </c>
      <c r="G10" s="170">
        <f>SUMIF('①농산물raw'!$D:$D, $C10, '①농산물raw'!$G:$G)</f>
        <v/>
      </c>
      <c r="H10" s="182">
        <f>SUMIF('①농산물raw'!$D:$D, $C10, '①농산물raw'!$H:$H)</f>
        <v/>
      </c>
      <c r="I10" s="183">
        <f>IF(COUNTIF('①농산물raw'!$D:$D,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>
        <f>SUMIF('①농산물raw'!$D:$D, $C11, '①농산물raw'!$F:$F)</f>
        <v/>
      </c>
      <c r="G11" s="170">
        <f>SUMIF('①농산물raw'!$D:$D, $C11, '①농산물raw'!$G:$G)</f>
        <v/>
      </c>
      <c r="H11" s="182">
        <f>SUMIF('①농산물raw'!$D:$D, $C11, '①농산물raw'!$H:$H)</f>
        <v/>
      </c>
      <c r="I11" s="183">
        <f>IF(COUNTIF('①농산물raw'!$D:$D,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>
        <f>SUMIF('①농산물raw'!$D:$D, $C12, '①농산물raw'!$F:$F)</f>
        <v/>
      </c>
      <c r="G12" s="170">
        <f>SUMIF('①농산물raw'!$D:$D, $C12, '①농산물raw'!$G:$G)</f>
        <v/>
      </c>
      <c r="H12" s="182">
        <f>SUMIF('①농산물raw'!$D:$D, $C12, '①농산물raw'!$H:$H)</f>
        <v/>
      </c>
      <c r="I12" s="183">
        <f>IF(COUNTIF('①농산물raw'!$D:$D,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>
        <f>SUMIF('①농산물raw'!$D:$D, $C13, '①농산물raw'!$F:$F)</f>
        <v/>
      </c>
      <c r="G13" s="170">
        <f>SUMIF('①농산물raw'!$D:$D, $C13, '①농산물raw'!$G:$G)</f>
        <v/>
      </c>
      <c r="H13" s="182">
        <f>SUMIF('①농산물raw'!$D:$D, $C13, '①농산물raw'!$H:$H)</f>
        <v/>
      </c>
      <c r="I13" s="183">
        <f>IF(COUNTIF('①농산물raw'!$D:$D,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>
        <f>SUMIF('①농산물raw'!$D:$D, $C14, '①농산물raw'!$F:$F)</f>
        <v/>
      </c>
      <c r="G14" s="170">
        <f>SUMIF('①농산물raw'!$D:$D, $C14, '①농산물raw'!$G:$G)</f>
        <v/>
      </c>
      <c r="H14" s="182">
        <f>SUMIF('①농산물raw'!$D:$D, $C14, '①농산물raw'!$H:$H)</f>
        <v/>
      </c>
      <c r="I14" s="183">
        <f>IF(COUNTIF('①농산물raw'!$D:$D,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>
        <f>SUMIF('①농산물raw'!$D:$D, $C15, '①농산물raw'!$F:$F)</f>
        <v/>
      </c>
      <c r="G15" s="170">
        <f>SUMIF('①농산물raw'!$D:$D, $C15, '①농산물raw'!$G:$G)</f>
        <v/>
      </c>
      <c r="H15" s="182">
        <f>SUMIF('①농산물raw'!$D:$D, $C15, '①농산물raw'!$H:$H)</f>
        <v/>
      </c>
      <c r="I15" s="183">
        <f>IF(COUNTIF('①농산물raw'!$D:$D,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>
        <f>SUMIF('①농산물raw'!$D:$D, $C16, '①농산물raw'!$F:$F)</f>
        <v/>
      </c>
      <c r="G16" s="170">
        <f>SUMIF('①농산물raw'!$D:$D, $C16, '①농산물raw'!$G:$G)</f>
        <v/>
      </c>
      <c r="H16" s="182">
        <f>SUMIF('①농산물raw'!$D:$D, $C16, '①농산물raw'!$H:$H)</f>
        <v/>
      </c>
      <c r="I16" s="183">
        <f>IF(COUNTIF('①농산물raw'!$D:$D,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>
        <f>SUMIF('①농산물raw'!$D:$D, $C17, '①농산물raw'!$F:$F)</f>
        <v/>
      </c>
      <c r="G17" s="170">
        <f>SUMIF('①농산물raw'!$D:$D, $C17, '①농산물raw'!$G:$G)</f>
        <v/>
      </c>
      <c r="H17" s="182">
        <f>SUMIF('①농산물raw'!$D:$D, $C17, '①농산물raw'!$H:$H)</f>
        <v/>
      </c>
      <c r="I17" s="183">
        <f>IF(COUNTIF('①농산물raw'!$D:$D,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>
        <f>SUMIF('①농산물raw'!$D:$D, $C18, '①농산물raw'!$F:$F)</f>
        <v/>
      </c>
      <c r="G18" s="170">
        <f>SUMIF('①농산물raw'!$D:$D, $C18, '①농산물raw'!$G:$G)</f>
        <v/>
      </c>
      <c r="H18" s="182">
        <f>SUMIF('①농산물raw'!$D:$D, $C18, '①농산물raw'!$H:$H)</f>
        <v/>
      </c>
      <c r="I18" s="183">
        <f>IF(COUNTIF('①농산물raw'!$D:$D,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>
        <f>SUMIF('①농산물raw'!$D:$D, $C19, '①농산물raw'!$F:$F)</f>
        <v/>
      </c>
      <c r="G19" s="170">
        <f>SUMIF('①농산물raw'!$D:$D, $C19, '①농산물raw'!$G:$G)</f>
        <v/>
      </c>
      <c r="H19" s="182">
        <f>SUMIF('①농산물raw'!$D:$D, $C19, '①농산물raw'!$H:$H)</f>
        <v/>
      </c>
      <c r="I19" s="183">
        <f>IF(COUNTIF('①농산물raw'!$D:$D,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>
        <f>SUMIF('①농산물raw'!$D:$D, $C20, '①농산물raw'!$F:$F)</f>
        <v/>
      </c>
      <c r="G20" s="170">
        <f>SUMIF('①농산물raw'!$D:$D, $C20, '①농산물raw'!$G:$G)</f>
        <v/>
      </c>
      <c r="H20" s="182">
        <f>SUMIF('①농산물raw'!$D:$D, $C20, '①농산물raw'!$H:$H)</f>
        <v/>
      </c>
      <c r="I20" s="183">
        <f>IF(COUNTIF('①농산물raw'!$D:$D,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>
        <f>SUMIF('①농산물raw'!$D:$D, $C21, '①농산물raw'!$F:$F)</f>
        <v/>
      </c>
      <c r="G21" s="170">
        <f>SUMIF('①농산물raw'!$D:$D, $C21, '①농산물raw'!$G:$G)</f>
        <v/>
      </c>
      <c r="H21" s="182">
        <f>SUMIF('①농산물raw'!$D:$D, $C21, '①농산물raw'!$H:$H)</f>
        <v/>
      </c>
      <c r="I21" s="183">
        <f>IF(COUNTIF('①농산물raw'!$D:$D,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>
        <f>SUMIF('①농산물raw'!$D:$D, $C22, '①농산물raw'!$F:$F)</f>
        <v/>
      </c>
      <c r="G22" s="170">
        <f>SUMIF('①농산물raw'!$D:$D, $C22, '①농산물raw'!$G:$G)</f>
        <v/>
      </c>
      <c r="H22" s="182">
        <f>SUMIF('①농산물raw'!$D:$D, $C22, '①농산물raw'!$H:$H)</f>
        <v/>
      </c>
      <c r="I22" s="183">
        <f>IF(COUNTIF('①농산물raw'!$D:$D,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>
        <f>SUMIF('①농산물raw'!$D:$D, $C23, '①농산물raw'!$F:$F)</f>
        <v/>
      </c>
      <c r="G23" s="170">
        <f>SUMIF('①농산물raw'!$D:$D, $C23, '①농산물raw'!$G:$G)</f>
        <v/>
      </c>
      <c r="H23" s="182">
        <f>SUMIF('①농산물raw'!$D:$D, $C23, '①농산물raw'!$H:$H)</f>
        <v/>
      </c>
      <c r="I23" s="183">
        <f>IF(COUNTIF('①농산물raw'!$D:$D,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>
        <f>SUMIF('①농산물raw'!$D:$D, $C24, '①농산물raw'!$F:$F)</f>
        <v/>
      </c>
      <c r="G24" s="170">
        <f>SUMIF('①농산물raw'!$D:$D, $C24, '①농산물raw'!$G:$G)</f>
        <v/>
      </c>
      <c r="H24" s="182">
        <f>SUMIF('①농산물raw'!$D:$D, $C24, '①농산물raw'!$H:$H)</f>
        <v/>
      </c>
      <c r="I24" s="183">
        <f>IF(COUNTIF('①농산물raw'!$D:$D,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>
        <f>SUMIF('①농산물raw'!$D:$D, $C25, '①농산물raw'!$F:$F)</f>
        <v/>
      </c>
      <c r="G25" s="170">
        <f>SUMIF('①농산물raw'!$D:$D, $C25, '①농산물raw'!$G:$G)</f>
        <v/>
      </c>
      <c r="H25" s="182">
        <f>SUMIF('①농산물raw'!$D:$D, $C25, '①농산물raw'!$H:$H)</f>
        <v/>
      </c>
      <c r="I25" s="183">
        <f>IF(COUNTIF('①농산물raw'!$D:$D,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>
        <f>SUMIF('①농산물raw'!$D:$D, $C26, '①농산물raw'!$F:$F)</f>
        <v/>
      </c>
      <c r="G26" s="170">
        <f>SUMIF('①농산물raw'!$D:$D, $C26, '①농산물raw'!$G:$G)</f>
        <v/>
      </c>
      <c r="H26" s="182">
        <f>SUMIF('①농산물raw'!$D:$D, $C26, '①농산물raw'!$H:$H)</f>
        <v/>
      </c>
      <c r="I26" s="183">
        <f>IF(COUNTIF('①농산물raw'!$D:$D,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>
        <f>SUMIF('①농산물raw'!$D:$D, $C27, '①농산물raw'!$F:$F)</f>
        <v/>
      </c>
      <c r="G27" s="170">
        <f>SUMIF('①농산물raw'!$D:$D, $C27, '①농산물raw'!$G:$G)</f>
        <v/>
      </c>
      <c r="H27" s="182">
        <f>SUMIF('①농산물raw'!$D:$D, $C27, '①농산물raw'!$H:$H)</f>
        <v/>
      </c>
      <c r="I27" s="183">
        <f>IF(COUNTIF('①농산물raw'!$D:$D,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>
        <f>SUMIF('①농산물raw'!$D:$D, $C28, '①농산물raw'!$F:$F)</f>
        <v/>
      </c>
      <c r="G28" s="170">
        <f>SUMIF('①농산물raw'!$D:$D, $C28, '①농산물raw'!$G:$G)</f>
        <v/>
      </c>
      <c r="H28" s="182">
        <f>SUMIF('①농산물raw'!$D:$D, $C28, '①농산물raw'!$H:$H)</f>
        <v/>
      </c>
      <c r="I28" s="183">
        <f>IF(COUNTIF('①농산물raw'!$D:$D,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>
        <f>SUMIF('①농산물raw'!$D:$D, $C29, '①농산물raw'!$F:$F)</f>
        <v/>
      </c>
      <c r="G29" s="170">
        <f>SUMIF('①농산물raw'!$D:$D, $C29, '①농산물raw'!$G:$G)</f>
        <v/>
      </c>
      <c r="H29" s="182">
        <f>SUMIF('①농산물raw'!$D:$D, $C29, '①농산물raw'!$H:$H)</f>
        <v/>
      </c>
      <c r="I29" s="183">
        <f>IF(COUNTIF('①농산물raw'!$D:$D,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>
        <f>SUMIF('①농산물raw'!$D:$D, $C30, '①농산물raw'!$F:$F)</f>
        <v/>
      </c>
      <c r="G30" s="170">
        <f>SUMIF('①농산물raw'!$D:$D, $C30, '①농산물raw'!$G:$G)</f>
        <v/>
      </c>
      <c r="H30" s="182">
        <f>SUMIF('①농산물raw'!$D:$D, $C30, '①농산물raw'!$H:$H)</f>
        <v/>
      </c>
      <c r="I30" s="183">
        <f>IF(COUNTIF('①농산물raw'!$D:$D,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>
        <f>SUMIF('①농산물raw'!$D:$D, $C31, '①농산물raw'!$F:$F)</f>
        <v/>
      </c>
      <c r="G31" s="170">
        <f>SUMIF('①농산물raw'!$D:$D, $C31, '①농산물raw'!$G:$G)</f>
        <v/>
      </c>
      <c r="H31" s="182">
        <f>SUMIF('①농산물raw'!$D:$D, $C31, '①농산물raw'!$H:$H)</f>
        <v/>
      </c>
      <c r="I31" s="183">
        <f>IF(COUNTIF('①농산물raw'!$D:$D,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>
        <f>SUMIF('①농산물raw'!$D:$D, $C32, '①농산물raw'!$F:$F)</f>
        <v/>
      </c>
      <c r="G32" s="170">
        <f>SUMIF('①농산물raw'!$D:$D, $C32, '①농산물raw'!$G:$G)</f>
        <v/>
      </c>
      <c r="H32" s="182">
        <f>SUMIF('①농산물raw'!$D:$D, $C32, '①농산물raw'!$H:$H)</f>
        <v/>
      </c>
      <c r="I32" s="183">
        <f>IF(COUNTIF('①농산물raw'!$D:$D,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>
        <f>SUMIF('①농산물raw'!$D:$D, $C33, '①농산물raw'!$F:$F)</f>
        <v/>
      </c>
      <c r="G33" s="170">
        <f>SUMIF('①농산물raw'!$D:$D, $C33, '①농산물raw'!$G:$G)</f>
        <v/>
      </c>
      <c r="H33" s="182">
        <f>SUMIF('①농산물raw'!$D:$D, $C33, '①농산물raw'!$H:$H)</f>
        <v/>
      </c>
      <c r="I33" s="183">
        <f>IF(COUNTIF('①농산물raw'!$D:$D,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>
        <f>SUMIF('①농산물raw'!$D:$D, $C34, '①농산물raw'!$F:$F)</f>
        <v/>
      </c>
      <c r="G34" s="170">
        <f>SUMIF('①농산물raw'!$D:$D, $C34, '①농산물raw'!$G:$G)</f>
        <v/>
      </c>
      <c r="H34" s="182">
        <f>SUMIF('①농산물raw'!$D:$D, $C34, '①농산물raw'!$H:$H)</f>
        <v/>
      </c>
      <c r="I34" s="183">
        <f>IF(COUNTIF('①농산물raw'!$D:$D,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>
        <f>SUMIF('①농산물raw'!$D:$D, $C35, '①농산물raw'!$F:$F)</f>
        <v/>
      </c>
      <c r="G35" s="170">
        <f>SUMIF('①농산물raw'!$D:$D, $C35, '①농산물raw'!$G:$G)</f>
        <v/>
      </c>
      <c r="H35" s="182">
        <f>SUMIF('①농산물raw'!$D:$D, $C35, '①농산물raw'!$H:$H)</f>
        <v/>
      </c>
      <c r="I35" s="183">
        <f>IF(COUNTIF('①농산물raw'!$D:$D,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>
        <f>SUMIF('①농산물raw'!$D:$D, $C36, '①농산물raw'!$F:$F)</f>
        <v/>
      </c>
      <c r="G36" s="170">
        <f>SUMIF('①농산물raw'!$D:$D, $C36, '①농산물raw'!$G:$G)</f>
        <v/>
      </c>
      <c r="H36" s="182">
        <f>SUMIF('①농산물raw'!$D:$D, $C36, '①농산물raw'!$H:$H)</f>
        <v/>
      </c>
      <c r="I36" s="183">
        <f>IF(COUNTIF('①농산물raw'!$D:$D,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>
        <f>SUMIF('①농산물raw'!$D:$D, $C37, '①농산물raw'!$F:$F)</f>
        <v/>
      </c>
      <c r="G37" s="170">
        <f>SUMIF('①농산물raw'!$D:$D, $C37, '①농산물raw'!$G:$G)</f>
        <v/>
      </c>
      <c r="H37" s="182">
        <f>SUMIF('①농산물raw'!$D:$D, $C37, '①농산물raw'!$H:$H)</f>
        <v/>
      </c>
      <c r="I37" s="183">
        <f>IF(COUNTIF('①농산물raw'!$D:$D,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>
        <f>SUMIF('①농산물raw'!$D:$D, $C38, '①농산물raw'!$F:$F)</f>
        <v/>
      </c>
      <c r="G38" s="170">
        <f>SUMIF('①농산물raw'!$D:$D, $C38, '①농산물raw'!$G:$G)</f>
        <v/>
      </c>
      <c r="H38" s="182">
        <f>SUMIF('①농산물raw'!$D:$D, $C38, '①농산물raw'!$H:$H)</f>
        <v/>
      </c>
      <c r="I38" s="183">
        <f>IF(COUNTIF('①농산물raw'!$D:$D,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>
        <f>SUMIF('①농산물raw'!$D:$D, $C39, '①농산물raw'!$F:$F)</f>
        <v/>
      </c>
      <c r="G39" s="170">
        <f>SUMIF('①농산물raw'!$D:$D, $C39, '①농산물raw'!$G:$G)</f>
        <v/>
      </c>
      <c r="H39" s="182">
        <f>SUMIF('①농산물raw'!$D:$D, $C39, '①농산물raw'!$H:$H)</f>
        <v/>
      </c>
      <c r="I39" s="183">
        <f>IF(COUNTIF('①농산물raw'!$D:$D,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>
        <f>SUMIF('①농산물raw'!$D:$D, $C40, '①농산물raw'!$F:$F)</f>
        <v/>
      </c>
      <c r="G40" s="170">
        <f>SUMIF('①농산물raw'!$D:$D, $C40, '①농산물raw'!$G:$G)</f>
        <v/>
      </c>
      <c r="H40" s="182">
        <f>SUMIF('①농산물raw'!$D:$D, $C40, '①농산물raw'!$H:$H)</f>
        <v/>
      </c>
      <c r="I40" s="183">
        <f>IF(COUNTIF('①농산물raw'!$D:$D,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>
        <f>SUMIF('①농산물raw'!$D:$D, $C41, '①농산물raw'!$F:$F)</f>
        <v/>
      </c>
      <c r="G41" s="170">
        <f>SUMIF('①농산물raw'!$D:$D, $C41, '①농산물raw'!$G:$G)</f>
        <v/>
      </c>
      <c r="H41" s="182">
        <f>SUMIF('①농산물raw'!$D:$D, $C41, '①농산물raw'!$H:$H)</f>
        <v/>
      </c>
      <c r="I41" s="183">
        <f>IF(COUNTIF('①농산물raw'!$D:$D,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>
        <f>SUMIF('①농산물raw'!$D:$D, $C42, '①농산물raw'!$F:$F)</f>
        <v/>
      </c>
      <c r="G42" s="170">
        <f>SUMIF('①농산물raw'!$D:$D, $C42, '①농산물raw'!$G:$G)</f>
        <v/>
      </c>
      <c r="H42" s="182">
        <f>SUMIF('①농산물raw'!$D:$D, $C42, '①농산물raw'!$H:$H)</f>
        <v/>
      </c>
      <c r="I42" s="183">
        <f>IF(COUNTIF('①농산물raw'!$D:$D,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>
        <f>SUMIF('①농산물raw'!$D:$D, $C43, '①농산물raw'!$F:$F)</f>
        <v/>
      </c>
      <c r="G43" s="170">
        <f>SUMIF('①농산물raw'!$D:$D, $C43, '①농산물raw'!$G:$G)</f>
        <v/>
      </c>
      <c r="H43" s="182">
        <f>SUMIF('①농산물raw'!$D:$D, $C43, '①농산물raw'!$H:$H)</f>
        <v/>
      </c>
      <c r="I43" s="183">
        <f>IF(COUNTIF('①농산물raw'!$D:$D,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>
        <f>SUMIF('①농산물raw'!$D:$D, $C44, '①농산물raw'!$F:$F)</f>
        <v/>
      </c>
      <c r="G44" s="170">
        <f>SUMIF('①농산물raw'!$D:$D, $C44, '①농산물raw'!$G:$G)</f>
        <v/>
      </c>
      <c r="H44" s="182">
        <f>SUMIF('①농산물raw'!$D:$D, $C44, '①농산물raw'!$H:$H)</f>
        <v/>
      </c>
      <c r="I44" s="183">
        <f>IF(COUNTIF('①농산물raw'!$D:$D,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>
        <f>SUMIF('①농산물raw'!$D:$D, $C45, '①농산물raw'!$F:$F)</f>
        <v/>
      </c>
      <c r="G45" s="170">
        <f>SUMIF('①농산물raw'!$D:$D, $C45, '①농산물raw'!$G:$G)</f>
        <v/>
      </c>
      <c r="H45" s="182">
        <f>SUMIF('①농산물raw'!$D:$D, $C45, '①농산물raw'!$H:$H)</f>
        <v/>
      </c>
      <c r="I45" s="183">
        <f>IF(COUNTIF('①농산물raw'!$D:$D,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>
        <f>SUMIF('①농산물raw'!$D:$D, $C46, '①농산물raw'!$F:$F)</f>
        <v/>
      </c>
      <c r="G46" s="170">
        <f>SUMIF('①농산물raw'!$D:$D, $C46, '①농산물raw'!$G:$G)</f>
        <v/>
      </c>
      <c r="H46" s="182">
        <f>SUMIF('①농산물raw'!$D:$D, $C46, '①농산물raw'!$H:$H)</f>
        <v/>
      </c>
      <c r="I46" s="183">
        <f>IF(COUNTIF('①농산물raw'!$D:$D,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>
        <f>SUMIF('①농산물raw'!$D:$D, $C47, '①농산물raw'!$F:$F)</f>
        <v/>
      </c>
      <c r="G47" s="170">
        <f>SUMIF('①농산물raw'!$D:$D, $C47, '①농산물raw'!$G:$G)</f>
        <v/>
      </c>
      <c r="H47" s="182">
        <f>SUMIF('①농산물raw'!$D:$D, $C47, '①농산물raw'!$H:$H)</f>
        <v/>
      </c>
      <c r="I47" s="183">
        <f>IF(COUNTIF('①농산물raw'!$D:$D,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>
        <f>SUMIF('①농산물raw'!$D:$D, $C48, '①농산물raw'!$F:$F)</f>
        <v/>
      </c>
      <c r="G48" s="170">
        <f>SUMIF('①농산물raw'!$D:$D, $C48, '①농산물raw'!$G:$G)</f>
        <v/>
      </c>
      <c r="H48" s="182">
        <f>SUMIF('①농산물raw'!$D:$D, $C48, '①농산물raw'!$H:$H)</f>
        <v/>
      </c>
      <c r="I48" s="183">
        <f>IF(COUNTIF('①농산물raw'!$D:$D,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>
        <f>SUMIF('①농산물raw'!$D:$D, $C49, '①농산물raw'!$F:$F)</f>
        <v/>
      </c>
      <c r="G49" s="170">
        <f>SUMIF('①농산물raw'!$D:$D, $C49, '①농산물raw'!$G:$G)</f>
        <v/>
      </c>
      <c r="H49" s="182">
        <f>SUMIF('①농산물raw'!$D:$D, $C49, '①농산물raw'!$H:$H)</f>
        <v/>
      </c>
      <c r="I49" s="183">
        <f>IF(COUNTIF('①농산물raw'!$D:$D,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>
        <f>SUMIF('①농산물raw'!$D:$D, $C50, '①농산물raw'!$F:$F)</f>
        <v/>
      </c>
      <c r="G50" s="170">
        <f>SUMIF('①농산물raw'!$D:$D, $C50, '①농산물raw'!$G:$G)</f>
        <v/>
      </c>
      <c r="H50" s="182">
        <f>SUMIF('①농산물raw'!$D:$D, $C50, '①농산물raw'!$H:$H)</f>
        <v/>
      </c>
      <c r="I50" s="183">
        <f>IF(COUNTIF('①농산물raw'!$D:$D,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>
        <f>SUMIF('①농산물raw'!$D:$D, $C51, '①농산물raw'!$F:$F)</f>
        <v/>
      </c>
      <c r="G51" s="170">
        <f>SUMIF('①농산물raw'!$D:$D, $C51, '①농산물raw'!$G:$G)</f>
        <v/>
      </c>
      <c r="H51" s="182">
        <f>SUMIF('①농산물raw'!$D:$D, $C51, '①농산물raw'!$H:$H)</f>
        <v/>
      </c>
      <c r="I51" s="183">
        <f>IF(COUNTIF('①농산물raw'!$D:$D,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>
        <f>SUMIF('①농산물raw'!$D:$D, $C52, '①농산물raw'!$F:$F)</f>
        <v/>
      </c>
      <c r="G52" s="170">
        <f>SUMIF('①농산물raw'!$D:$D, $C52, '①농산물raw'!$G:$G)</f>
        <v/>
      </c>
      <c r="H52" s="182">
        <f>SUMIF('①농산물raw'!$D:$D, $C52, '①농산물raw'!$H:$H)</f>
        <v/>
      </c>
      <c r="I52" s="183">
        <f>IF(COUNTIF('①농산물raw'!$D:$D,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>
        <f>SUMIF('①농산물raw'!$D:$D, $C53, '①농산물raw'!$F:$F)</f>
        <v/>
      </c>
      <c r="G53" s="170">
        <f>SUMIF('①농산물raw'!$D:$D, $C53, '①농산물raw'!$G:$G)</f>
        <v/>
      </c>
      <c r="H53" s="182">
        <f>SUMIF('①농산물raw'!$D:$D, $C53, '①농산물raw'!$H:$H)</f>
        <v/>
      </c>
      <c r="I53" s="183">
        <f>IF(COUNTIF('①농산물raw'!$D:$D,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>
        <f>SUMIF('①농산물raw'!$D:$D, $C54, '①농산물raw'!$F:$F)</f>
        <v/>
      </c>
      <c r="G54" s="170">
        <f>SUMIF('①농산물raw'!$D:$D, $C54, '①농산물raw'!$G:$G)</f>
        <v/>
      </c>
      <c r="H54" s="182">
        <f>SUMIF('①농산물raw'!$D:$D, $C54, '①농산물raw'!$H:$H)</f>
        <v/>
      </c>
      <c r="I54" s="183">
        <f>IF(COUNTIF('①농산물raw'!$D:$D,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>
        <f>SUMIF('①농산물raw'!$D:$D, $C55, '①농산물raw'!$F:$F)</f>
        <v/>
      </c>
      <c r="G55" s="170">
        <f>SUMIF('①농산물raw'!$D:$D, $C55, '①농산물raw'!$G:$G)</f>
        <v/>
      </c>
      <c r="H55" s="182">
        <f>SUMIF('①농산물raw'!$D:$D, $C55, '①농산물raw'!$H:$H)</f>
        <v/>
      </c>
      <c r="I55" s="183">
        <f>IF(COUNTIF('①농산물raw'!$D:$D,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>
        <f>SUMIF('①농산물raw'!$D:$D, $C56, '①농산물raw'!$F:$F)</f>
        <v/>
      </c>
      <c r="G56" s="170">
        <f>SUMIF('①농산물raw'!$D:$D, $C56, '①농산물raw'!$G:$G)</f>
        <v/>
      </c>
      <c r="H56" s="182">
        <f>SUMIF('①농산물raw'!$D:$D, $C56, '①농산물raw'!$H:$H)</f>
        <v/>
      </c>
      <c r="I56" s="183">
        <f>IF(COUNTIF('①농산물raw'!$D:$D,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>
        <f>SUMIF('①농산물raw'!$D:$D, $C57, '①농산물raw'!$F:$F)</f>
        <v/>
      </c>
      <c r="G57" s="170">
        <f>SUMIF('①농산물raw'!$D:$D, $C57, '①농산물raw'!$G:$G)</f>
        <v/>
      </c>
      <c r="H57" s="182">
        <f>SUMIF('①농산물raw'!$D:$D, $C57, '①농산물raw'!$H:$H)</f>
        <v/>
      </c>
      <c r="I57" s="183">
        <f>IF(COUNTIF('①농산물raw'!$D:$D, $C57)&gt;0, "O", "")</f>
        <v/>
      </c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>
        <f>SUMIF('①농산물raw'!$D:$D, $C58, '①농산물raw'!$F:$F)</f>
        <v/>
      </c>
      <c r="G58" s="170">
        <f>SUMIF('①농산물raw'!$D:$D, $C58, '①농산물raw'!$G:$G)</f>
        <v/>
      </c>
      <c r="H58" s="182">
        <f>SUMIF('①농산물raw'!$D:$D, $C58, '①농산물raw'!$H:$H)</f>
        <v/>
      </c>
      <c r="I58" s="183">
        <f>IF(COUNTIF('①농산물raw'!$D:$D, $C58)&gt;0, "O", "")</f>
        <v/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>
        <f>SUMIF('①농산물raw'!$D:$D, $C59, '①농산물raw'!$F:$F)</f>
        <v/>
      </c>
      <c r="G59" s="170">
        <f>SUMIF('①농산물raw'!$D:$D, $C59, '①농산물raw'!$G:$G)</f>
        <v/>
      </c>
      <c r="H59" s="182">
        <f>SUMIF('①농산물raw'!$D:$D, $C59, '①농산물raw'!$H:$H)</f>
        <v/>
      </c>
      <c r="I59" s="183">
        <f>IF(COUNTIF('①농산물raw'!$D:$D, $C59)&gt;0, "O", "")</f>
        <v/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>
        <f>SUMIF('①농산물raw'!$D:$D, $C60, '①농산물raw'!$F:$F)</f>
        <v/>
      </c>
      <c r="G60" s="170">
        <f>SUMIF('①농산물raw'!$D:$D, $C60, '①농산물raw'!$G:$G)</f>
        <v/>
      </c>
      <c r="H60" s="182">
        <f>SUMIF('①농산물raw'!$D:$D, $C60, '①농산물raw'!$H:$H)</f>
        <v/>
      </c>
      <c r="I60" s="183">
        <f>IF(COUNTIF('①농산물raw'!$D:$D, $C60)&gt;0, "O", "")</f>
        <v/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>
        <f>SUMIF('①농산물raw'!$D:$D, $C61, '①농산물raw'!$F:$F)</f>
        <v/>
      </c>
      <c r="G61" s="170">
        <f>SUMIF('①농산물raw'!$D:$D, $C61, '①농산물raw'!$G:$G)</f>
        <v/>
      </c>
      <c r="H61" s="182">
        <f>SUMIF('①농산물raw'!$D:$D, $C61, '①농산물raw'!$H:$H)</f>
        <v/>
      </c>
      <c r="I61" s="183">
        <f>IF(COUNTIF('①농산물raw'!$D:$D, $C61)&gt;0, "O", "")</f>
        <v/>
      </c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>
        <f>SUMIF('①농산물raw'!$D:$D, $C62, '①농산물raw'!$F:$F)</f>
        <v/>
      </c>
      <c r="G62" s="170">
        <f>SUMIF('①농산물raw'!$D:$D, $C62, '①농산물raw'!$G:$G)</f>
        <v/>
      </c>
      <c r="H62" s="182">
        <f>SUMIF('①농산물raw'!$D:$D, $C62, '①농산물raw'!$H:$H)</f>
        <v/>
      </c>
      <c r="I62" s="183">
        <f>IF(COUNTIF('①농산물raw'!$D:$D, $C62)&gt;0, "O", "")</f>
        <v/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>
        <f>SUMIF('①농산물raw'!$D:$D, $C63, '①농산물raw'!$F:$F)</f>
        <v/>
      </c>
      <c r="G63" s="170">
        <f>SUMIF('①농산물raw'!$D:$D, $C63, '①농산물raw'!$G:$G)</f>
        <v/>
      </c>
      <c r="H63" s="182">
        <f>SUMIF('①농산물raw'!$D:$D, $C63, '①농산물raw'!$H:$H)</f>
        <v/>
      </c>
      <c r="I63" s="183">
        <f>IF(COUNTIF('①농산물raw'!$D:$D, $C63)&gt;0, "O", "")</f>
        <v/>
      </c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>
        <f>SUMIF('①농산물raw'!$D:$D, $C64, '①농산물raw'!$F:$F)</f>
        <v/>
      </c>
      <c r="G64" s="170">
        <f>SUMIF('①농산물raw'!$D:$D, $C64, '①농산물raw'!$G:$G)</f>
        <v/>
      </c>
      <c r="H64" s="182">
        <f>SUMIF('①농산물raw'!$D:$D, $C64, '①농산물raw'!$H:$H)</f>
        <v/>
      </c>
      <c r="I64" s="183">
        <f>IF(COUNTIF('①농산물raw'!$D:$D, $C64)&gt;0, "O", "")</f>
        <v/>
      </c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>
        <f>SUMIF('①농산물raw'!$D:$D, $C65, '①농산물raw'!$F:$F)</f>
        <v/>
      </c>
      <c r="G65" s="170">
        <f>SUMIF('①농산물raw'!$D:$D, $C65, '①농산물raw'!$G:$G)</f>
        <v/>
      </c>
      <c r="H65" s="182">
        <f>SUMIF('①농산물raw'!$D:$D, $C65, '①농산물raw'!$H:$H)</f>
        <v/>
      </c>
      <c r="I65" s="183">
        <f>IF(COUNTIF('①농산물raw'!$D:$D, $C65)&gt;0, "O", "")</f>
        <v/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>
        <f>SUMIF('①농산물raw'!$D:$D, $C66, '①농산물raw'!$F:$F)</f>
        <v/>
      </c>
      <c r="G66" s="170">
        <f>SUMIF('①농산물raw'!$D:$D, $C66, '①농산물raw'!$G:$G)</f>
        <v/>
      </c>
      <c r="H66" s="182">
        <f>SUMIF('①농산물raw'!$D:$D, $C66, '①농산물raw'!$H:$H)</f>
        <v/>
      </c>
      <c r="I66" s="183">
        <f>IF(COUNTIF('①농산물raw'!$D:$D, $C66)&gt;0, "O", "")</f>
        <v/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>
        <f>SUMIF('①농산물raw'!$D:$D, $C67, '①농산물raw'!$F:$F)</f>
        <v/>
      </c>
      <c r="G67" s="170">
        <f>SUMIF('①농산물raw'!$D:$D, $C67, '①농산물raw'!$G:$G)</f>
        <v/>
      </c>
      <c r="H67" s="182">
        <f>SUMIF('①농산물raw'!$D:$D, $C67, '①농산물raw'!$H:$H)</f>
        <v/>
      </c>
      <c r="I67" s="183">
        <f>IF(COUNTIF('①농산물raw'!$D:$D, $C67)&gt;0, "O", "")</f>
        <v/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>
        <f>SUMIF('①농산물raw'!$D:$D, $C68, '①농산물raw'!$F:$F)</f>
        <v/>
      </c>
      <c r="G68" s="170">
        <f>SUMIF('①농산물raw'!$D:$D, $C68, '①농산물raw'!$G:$G)</f>
        <v/>
      </c>
      <c r="H68" s="182">
        <f>SUMIF('①농산물raw'!$D:$D, $C68, '①농산물raw'!$H:$H)</f>
        <v/>
      </c>
      <c r="I68" s="183">
        <f>IF(COUNTIF('①농산물raw'!$D:$D, $C68)&gt;0, "O", "")</f>
        <v/>
      </c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>
        <f>SUMIF('①농산물raw'!$D:$D, $C69, '①농산물raw'!$F:$F)</f>
        <v/>
      </c>
      <c r="G69" s="170">
        <f>SUMIF('①농산물raw'!$D:$D, $C69, '①농산물raw'!$G:$G)</f>
        <v/>
      </c>
      <c r="H69" s="182">
        <f>SUMIF('①농산물raw'!$D:$D, $C69, '①농산물raw'!$H:$H)</f>
        <v/>
      </c>
      <c r="I69" s="183">
        <f>IF(COUNTIF('①농산물raw'!$D:$D, $C69)&gt;0, "O", "")</f>
        <v/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>
        <f>SUMIF('①농산물raw'!$D:$D, $C70, '①농산물raw'!$F:$F)</f>
        <v/>
      </c>
      <c r="G70" s="170">
        <f>SUMIF('①농산물raw'!$D:$D, $C70, '①농산물raw'!$G:$G)</f>
        <v/>
      </c>
      <c r="H70" s="182">
        <f>SUMIF('①농산물raw'!$D:$D, $C70, '①농산물raw'!$H:$H)</f>
        <v/>
      </c>
      <c r="I70" s="183">
        <f>IF(COUNTIF('①농산물raw'!$D:$D, $C70)&gt;0, "O", "")</f>
        <v/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>
        <f>SUMIF('①농산물raw'!$D:$D, $C71, '①농산물raw'!$F:$F)</f>
        <v/>
      </c>
      <c r="G71" s="170">
        <f>SUMIF('①농산물raw'!$D:$D, $C71, '①농산물raw'!$G:$G)</f>
        <v/>
      </c>
      <c r="H71" s="182">
        <f>SUMIF('①농산물raw'!$D:$D, $C71, '①농산물raw'!$H:$H)</f>
        <v/>
      </c>
      <c r="I71" s="183">
        <f>IF(COUNTIF('①농산물raw'!$D:$D, $C71)&gt;0, "O", "")</f>
        <v/>
      </c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>
        <f>SUMIF('①농산물raw'!$D:$D, $C72, '①농산물raw'!$F:$F)</f>
        <v/>
      </c>
      <c r="G72" s="170">
        <f>SUMIF('①농산물raw'!$D:$D, $C72, '①농산물raw'!$G:$G)</f>
        <v/>
      </c>
      <c r="H72" s="182">
        <f>SUMIF('①농산물raw'!$D:$D, $C72, '①농산물raw'!$H:$H)</f>
        <v/>
      </c>
      <c r="I72" s="183">
        <f>IF(COUNTIF('①농산물raw'!$D:$D, $C72)&gt;0, "O", "")</f>
        <v/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>
        <f>SUMIF('①농산물raw'!$D:$D, $C73, '①농산물raw'!$F:$F)</f>
        <v/>
      </c>
      <c r="G73" s="170">
        <f>SUMIF('①농산물raw'!$D:$D, $C73, '①농산물raw'!$G:$G)</f>
        <v/>
      </c>
      <c r="H73" s="182">
        <f>SUMIF('①농산물raw'!$D:$D, $C73, '①농산물raw'!$H:$H)</f>
        <v/>
      </c>
      <c r="I73" s="183">
        <f>IF(COUNTIF('①농산물raw'!$D:$D, $C73)&gt;0, "O", "")</f>
        <v/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>
        <f>SUMIF('①농산물raw'!$D:$D, $C74, '①농산물raw'!$F:$F)</f>
        <v/>
      </c>
      <c r="G74" s="170">
        <f>SUMIF('①농산물raw'!$D:$D, $C74, '①농산물raw'!$G:$G)</f>
        <v/>
      </c>
      <c r="H74" s="182">
        <f>SUMIF('①농산물raw'!$D:$D, $C74, '①농산물raw'!$H:$H)</f>
        <v/>
      </c>
      <c r="I74" s="183">
        <f>IF(COUNTIF('①농산물raw'!$D:$D, $C74)&gt;0, "O", "")</f>
        <v/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>
        <f>SUMIF('①농산물raw'!$D:$D, $C75, '①농산물raw'!$F:$F)</f>
        <v/>
      </c>
      <c r="G75" s="170">
        <f>SUMIF('①농산물raw'!$D:$D, $C75, '①농산물raw'!$G:$G)</f>
        <v/>
      </c>
      <c r="H75" s="182">
        <f>SUMIF('①농산물raw'!$D:$D, $C75, '①농산물raw'!$H:$H)</f>
        <v/>
      </c>
      <c r="I75" s="183">
        <f>IF(COUNTIF('①농산물raw'!$D:$D, $C75)&gt;0, "O", "")</f>
        <v/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>
        <f>SUMIF('①농산물raw'!$D:$D, $C76, '①농산물raw'!$F:$F)</f>
        <v/>
      </c>
      <c r="G76" s="170">
        <f>SUMIF('①농산물raw'!$D:$D, $C76, '①농산물raw'!$G:$G)</f>
        <v/>
      </c>
      <c r="H76" s="182">
        <f>SUMIF('①농산물raw'!$D:$D, $C76, '①농산물raw'!$H:$H)</f>
        <v/>
      </c>
      <c r="I76" s="183">
        <f>IF(COUNTIF('①농산물raw'!$D:$D, $C76)&gt;0, "O", "")</f>
        <v/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>
        <f>SUMIF('①농산물raw'!$D:$D, $C77, '①농산물raw'!$F:$F)</f>
        <v/>
      </c>
      <c r="G77" s="170">
        <f>SUMIF('①농산물raw'!$D:$D, $C77, '①농산물raw'!$G:$G)</f>
        <v/>
      </c>
      <c r="H77" s="182">
        <f>SUMIF('①농산물raw'!$D:$D, $C77, '①농산물raw'!$H:$H)</f>
        <v/>
      </c>
      <c r="I77" s="183">
        <f>IF(COUNTIF('①농산물raw'!$D:$D, $C77)&gt;0, "O", "")</f>
        <v/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>
        <f>SUMIF('①농산물raw'!$D:$D, $C78, '①농산물raw'!$F:$F)</f>
        <v/>
      </c>
      <c r="G78" s="170">
        <f>SUMIF('①농산물raw'!$D:$D, $C78, '①농산물raw'!$G:$G)</f>
        <v/>
      </c>
      <c r="H78" s="182">
        <f>SUMIF('①농산물raw'!$D:$D, $C78, '①농산물raw'!$H:$H)</f>
        <v/>
      </c>
      <c r="I78" s="183">
        <f>IF(COUNTIF('①농산물raw'!$D:$D, $C78)&gt;0, "O", "")</f>
        <v/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>
        <f>SUMIF('①농산물raw'!$D:$D, $C79, '①농산물raw'!$F:$F)</f>
        <v/>
      </c>
      <c r="G79" s="170">
        <f>SUMIF('①농산물raw'!$D:$D, $C79, '①농산물raw'!$G:$G)</f>
        <v/>
      </c>
      <c r="H79" s="182">
        <f>SUMIF('①농산물raw'!$D:$D, $C79, '①농산물raw'!$H:$H)</f>
        <v/>
      </c>
      <c r="I79" s="183">
        <f>IF(COUNTIF('①농산물raw'!$D:$D, $C79)&gt;0, "O", "")</f>
        <v/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>
        <f>SUMIF('①농산물raw'!$D:$D, $C80, '①농산물raw'!$F:$F)</f>
        <v/>
      </c>
      <c r="G80" s="170">
        <f>SUMIF('①농산물raw'!$D:$D, $C80, '①농산물raw'!$G:$G)</f>
        <v/>
      </c>
      <c r="H80" s="182">
        <f>SUMIF('①농산물raw'!$D:$D, $C80, '①농산물raw'!$H:$H)</f>
        <v/>
      </c>
      <c r="I80" s="183">
        <f>IF(COUNTIF('①농산물raw'!$D:$D, $C80)&gt;0, "O", "")</f>
        <v/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>
        <f>SUMIF('①농산물raw'!$D:$D, $C81, '①농산물raw'!$F:$F)</f>
        <v/>
      </c>
      <c r="G81" s="170">
        <f>SUMIF('①농산물raw'!$D:$D, $C81, '①농산물raw'!$G:$G)</f>
        <v/>
      </c>
      <c r="H81" s="182">
        <f>SUMIF('①농산물raw'!$D:$D, $C81, '①농산물raw'!$H:$H)</f>
        <v/>
      </c>
      <c r="I81" s="183">
        <f>IF(COUNTIF('①농산물raw'!$D:$D, $C81)&gt;0, "O", "")</f>
        <v/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>
        <f>SUMIF('①농산물raw'!$D:$D, $C82, '①농산물raw'!$F:$F)</f>
        <v/>
      </c>
      <c r="G82" s="170">
        <f>SUMIF('①농산물raw'!$D:$D, $C82, '①농산물raw'!$G:$G)</f>
        <v/>
      </c>
      <c r="H82" s="182">
        <f>SUMIF('①농산물raw'!$D:$D, $C82, '①농산물raw'!$H:$H)</f>
        <v/>
      </c>
      <c r="I82" s="183">
        <f>IF(COUNTIF('①농산물raw'!$D:$D, $C82)&gt;0, "O", "")</f>
        <v/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>
        <f>SUMIF('①농산물raw'!$D:$D, $C83, '①농산물raw'!$F:$F)</f>
        <v/>
      </c>
      <c r="G83" s="170">
        <f>SUMIF('①농산물raw'!$D:$D, $C83, '①농산물raw'!$G:$G)</f>
        <v/>
      </c>
      <c r="H83" s="182">
        <f>SUMIF('①농산물raw'!$D:$D, $C83, '①농산물raw'!$H:$H)</f>
        <v/>
      </c>
      <c r="I83" s="183">
        <f>IF(COUNTIF('①농산물raw'!$D:$D, $C83)&gt;0, "O", "")</f>
        <v/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>
        <f>SUMIF('①농산물raw'!$D:$D, $C84, '①농산물raw'!$F:$F)</f>
        <v/>
      </c>
      <c r="G84" s="170">
        <f>SUMIF('①농산물raw'!$D:$D, $C84, '①농산물raw'!$G:$G)</f>
        <v/>
      </c>
      <c r="H84" s="182">
        <f>SUMIF('①농산물raw'!$D:$D, $C84, '①농산물raw'!$H:$H)</f>
        <v/>
      </c>
      <c r="I84" s="183">
        <f>IF(COUNTIF('①농산물raw'!$D:$D, $C84)&gt;0, "O", "")</f>
        <v/>
      </c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>
        <f>SUMIF('①농산물raw'!$D:$D, $C85, '①농산물raw'!$F:$F)</f>
        <v/>
      </c>
      <c r="G85" s="170">
        <f>SUMIF('①농산물raw'!$D:$D, $C85, '①농산물raw'!$G:$G)</f>
        <v/>
      </c>
      <c r="H85" s="182">
        <f>SUMIF('①농산물raw'!$D:$D, $C85, '①농산물raw'!$H:$H)</f>
        <v/>
      </c>
      <c r="I85" s="183">
        <f>IF(COUNTIF('①농산물raw'!$D:$D, $C85)&gt;0, "O", "")</f>
        <v/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>
        <f>SUMIF('①농산물raw'!$D:$D, $C86, '①농산물raw'!$F:$F)</f>
        <v/>
      </c>
      <c r="G86" s="170">
        <f>SUMIF('①농산물raw'!$D:$D, $C86, '①농산물raw'!$G:$G)</f>
        <v/>
      </c>
      <c r="H86" s="182">
        <f>SUMIF('①농산물raw'!$D:$D, $C86, '①농산물raw'!$H:$H)</f>
        <v/>
      </c>
      <c r="I86" s="183">
        <f>IF(COUNTIF('①농산물raw'!$D:$D, $C86)&gt;0, "O", "")</f>
        <v/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>
        <f>SUMIF('①농산물raw'!$D:$D, $C87, '①농산물raw'!$F:$F)</f>
        <v/>
      </c>
      <c r="G87" s="170">
        <f>SUMIF('①농산물raw'!$D:$D, $C87, '①농산물raw'!$G:$G)</f>
        <v/>
      </c>
      <c r="H87" s="182">
        <f>SUMIF('①농산물raw'!$D:$D, $C87, '①농산물raw'!$H:$H)</f>
        <v/>
      </c>
      <c r="I87" s="183">
        <f>IF(COUNTIF('①농산물raw'!$D:$D, $C87)&gt;0, "O", "")</f>
        <v/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>
        <f>SUMIF('①농산물raw'!$D:$D, $C88, '①농산물raw'!$F:$F)</f>
        <v/>
      </c>
      <c r="G88" s="170">
        <f>SUMIF('①농산물raw'!$D:$D, $C88, '①농산물raw'!$G:$G)</f>
        <v/>
      </c>
      <c r="H88" s="182">
        <f>SUMIF('①농산물raw'!$D:$D, $C88, '①농산물raw'!$H:$H)</f>
        <v/>
      </c>
      <c r="I88" s="183">
        <f>IF(COUNTIF('①농산물raw'!$D:$D, $C88)&gt;0, "O", "")</f>
        <v/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>
        <f>SUMIF('①농산물raw'!$D:$D, $C89, '①농산물raw'!$F:$F)</f>
        <v/>
      </c>
      <c r="G89" s="170">
        <f>SUMIF('①농산물raw'!$D:$D, $C89, '①농산물raw'!$G:$G)</f>
        <v/>
      </c>
      <c r="H89" s="182">
        <f>SUMIF('①농산물raw'!$D:$D, $C89, '①농산물raw'!$H:$H)</f>
        <v/>
      </c>
      <c r="I89" s="183">
        <f>IF(COUNTIF('①농산물raw'!$D:$D, $C89)&gt;0, "O", "")</f>
        <v/>
      </c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>
        <f>SUMIF('①농산물raw'!$D:$D, $C90, '①농산물raw'!$F:$F)</f>
        <v/>
      </c>
      <c r="G90" s="170">
        <f>SUMIF('①농산물raw'!$D:$D, $C90, '①농산물raw'!$G:$G)</f>
        <v/>
      </c>
      <c r="H90" s="182">
        <f>SUMIF('①농산물raw'!$D:$D, $C90, '①농산물raw'!$H:$H)</f>
        <v/>
      </c>
      <c r="I90" s="183">
        <f>IF(COUNTIF('①농산물raw'!$D:$D, $C90)&gt;0, "O", "")</f>
        <v/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>
        <f>SUMIF('①농산물raw'!$D:$D, $C91, '①농산물raw'!$F:$F)</f>
        <v/>
      </c>
      <c r="G91" s="170">
        <f>SUMIF('①농산물raw'!$D:$D, $C91, '①농산물raw'!$G:$G)</f>
        <v/>
      </c>
      <c r="H91" s="182">
        <f>SUMIF('①농산물raw'!$D:$D, $C91, '①농산물raw'!$H:$H)</f>
        <v/>
      </c>
      <c r="I91" s="183">
        <f>IF(COUNTIF('①농산물raw'!$D:$D, $C91)&gt;0, "O", "")</f>
        <v/>
      </c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>
        <f>SUMIF('①농산물raw'!$D:$D, $C92, '①농산물raw'!$F:$F)</f>
        <v/>
      </c>
      <c r="G92" s="170">
        <f>SUMIF('①농산물raw'!$D:$D, $C92, '①농산물raw'!$G:$G)</f>
        <v/>
      </c>
      <c r="H92" s="182">
        <f>SUMIF('①농산물raw'!$D:$D, $C92, '①농산물raw'!$H:$H)</f>
        <v/>
      </c>
      <c r="I92" s="183">
        <f>IF(COUNTIF('①농산물raw'!$D:$D, $C92)&gt;0, "O", "")</f>
        <v/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>
        <f>SUMIF('①농산물raw'!$D:$D, $C93, '①농산물raw'!$F:$F)</f>
        <v/>
      </c>
      <c r="G93" s="170">
        <f>SUMIF('①농산물raw'!$D:$D, $C93, '①농산물raw'!$G:$G)</f>
        <v/>
      </c>
      <c r="H93" s="182">
        <f>SUMIF('①농산물raw'!$D:$D, $C93, '①농산물raw'!$H:$H)</f>
        <v/>
      </c>
      <c r="I93" s="183">
        <f>IF(COUNTIF('①농산물raw'!$D:$D, $C93)&gt;0, "O", "")</f>
        <v/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>
        <f>SUMIF('①농산물raw'!$D:$D, $C94, '①농산물raw'!$F:$F)</f>
        <v/>
      </c>
      <c r="G94" s="170">
        <f>SUMIF('①농산물raw'!$D:$D, $C94, '①농산물raw'!$G:$G)</f>
        <v/>
      </c>
      <c r="H94" s="182">
        <f>SUMIF('①농산물raw'!$D:$D, $C94, '①농산물raw'!$H:$H)</f>
        <v/>
      </c>
      <c r="I94" s="183">
        <f>IF(COUNTIF('①농산물raw'!$D:$D, $C94)&gt;0, "O", "")</f>
        <v/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>
        <f>SUMIF('①농산물raw'!$D:$D, $C95, '①농산물raw'!$F:$F)</f>
        <v/>
      </c>
      <c r="G95" s="170">
        <f>SUMIF('①농산물raw'!$D:$D, $C95, '①농산물raw'!$G:$G)</f>
        <v/>
      </c>
      <c r="H95" s="182">
        <f>SUMIF('①농산물raw'!$D:$D, $C95, '①농산물raw'!$H:$H)</f>
        <v/>
      </c>
      <c r="I95" s="183">
        <f>IF(COUNTIF('①농산물raw'!$D:$D, $C95)&gt;0, "O", "")</f>
        <v/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>
        <f>SUMIF('①농산물raw'!$D:$D, $C96, '①농산물raw'!$F:$F)</f>
        <v/>
      </c>
      <c r="G96" s="170">
        <f>SUMIF('①농산물raw'!$D:$D, $C96, '①농산물raw'!$G:$G)</f>
        <v/>
      </c>
      <c r="H96" s="182">
        <f>SUMIF('①농산물raw'!$D:$D, $C96, '①농산물raw'!$H:$H)</f>
        <v/>
      </c>
      <c r="I96" s="183">
        <f>IF(COUNTIF('①농산물raw'!$D:$D, $C96)&gt;0, "O", "")</f>
        <v/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>
        <f>SUMIF('①농산물raw'!$D:$D, $C97, '①농산물raw'!$F:$F)</f>
        <v/>
      </c>
      <c r="G97" s="170">
        <f>SUMIF('①농산물raw'!$D:$D, $C97, '①농산물raw'!$G:$G)</f>
        <v/>
      </c>
      <c r="H97" s="182">
        <f>SUMIF('①농산물raw'!$D:$D, $C97, '①농산물raw'!$H:$H)</f>
        <v/>
      </c>
      <c r="I97" s="183">
        <f>IF(COUNTIF('①농산물raw'!$D:$D, $C97)&gt;0, "O", "")</f>
        <v/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>
        <f>SUMIF('①농산물raw'!$D:$D, $C98, '①농산물raw'!$F:$F)</f>
        <v/>
      </c>
      <c r="G98" s="170">
        <f>SUMIF('①농산물raw'!$D:$D, $C98, '①농산물raw'!$G:$G)</f>
        <v/>
      </c>
      <c r="H98" s="182">
        <f>SUMIF('①농산물raw'!$D:$D, $C98, '①농산물raw'!$H:$H)</f>
        <v/>
      </c>
      <c r="I98" s="183">
        <f>IF(COUNTIF('①농산물raw'!$D:$D, $C98)&gt;0, "O", "")</f>
        <v/>
      </c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>
        <f>SUMIF('①농산물raw'!$D:$D, $C99, '①농산물raw'!$F:$F)</f>
        <v/>
      </c>
      <c r="G99" s="170">
        <f>SUMIF('①농산물raw'!$D:$D, $C99, '①농산물raw'!$G:$G)</f>
        <v/>
      </c>
      <c r="H99" s="182">
        <f>SUMIF('①농산물raw'!$D:$D, $C99, '①농산물raw'!$H:$H)</f>
        <v/>
      </c>
      <c r="I99" s="183">
        <f>IF(COUNTIF('①농산물raw'!$D:$D, $C99)&gt;0, "O", "")</f>
        <v/>
      </c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>
        <f>SUMIF('①농산물raw'!$D:$D, $C100, '①농산물raw'!$F:$F)</f>
        <v/>
      </c>
      <c r="G100" s="170">
        <f>SUMIF('①농산물raw'!$D:$D, $C100, '①농산물raw'!$G:$G)</f>
        <v/>
      </c>
      <c r="H100" s="182">
        <f>SUMIF('①농산물raw'!$D:$D, $C100, '①농산물raw'!$H:$H)</f>
        <v/>
      </c>
      <c r="I100" s="183">
        <f>IF(COUNTIF('①농산물raw'!$D:$D, $C100)&gt;0, "O", "")</f>
        <v/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>
        <f>SUMIF('①농산물raw'!$D:$D, $C101, '①농산물raw'!$F:$F)</f>
        <v/>
      </c>
      <c r="G101" s="170">
        <f>SUMIF('①농산물raw'!$D:$D, $C101, '①농산물raw'!$G:$G)</f>
        <v/>
      </c>
      <c r="H101" s="182">
        <f>SUMIF('①농산물raw'!$D:$D, $C101, '①농산물raw'!$H:$H)</f>
        <v/>
      </c>
      <c r="I101" s="183">
        <f>IF(COUNTIF('①농산물raw'!$D:$D, $C101)&gt;0, "O", "")</f>
        <v/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>
        <f>SUMIF('①농산물raw'!$D:$D, $C102, '①농산물raw'!$F:$F)</f>
        <v/>
      </c>
      <c r="G102" s="170">
        <f>SUMIF('①농산물raw'!$D:$D, $C102, '①농산물raw'!$G:$G)</f>
        <v/>
      </c>
      <c r="H102" s="182">
        <f>SUMIF('①농산물raw'!$D:$D, $C102, '①농산물raw'!$H:$H)</f>
        <v/>
      </c>
      <c r="I102" s="183">
        <f>IF(COUNTIF('①농산물raw'!$D:$D, $C102)&gt;0, "O", "")</f>
        <v/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>
        <f>SUMIF('①농산물raw'!$D:$D, $C103, '①농산물raw'!$F:$F)</f>
        <v/>
      </c>
      <c r="G103" s="170">
        <f>SUMIF('①농산물raw'!$D:$D, $C103, '①농산물raw'!$G:$G)</f>
        <v/>
      </c>
      <c r="H103" s="182">
        <f>SUMIF('①농산물raw'!$D:$D, $C103, '①농산물raw'!$H:$H)</f>
        <v/>
      </c>
      <c r="I103" s="183">
        <f>IF(COUNTIF('①농산물raw'!$D:$D, $C103)&gt;0, "O", "")</f>
        <v/>
      </c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>
        <f>SUMIF('①농산물raw'!$D:$D, $C104, '①농산물raw'!$F:$F)</f>
        <v/>
      </c>
      <c r="G104" s="170">
        <f>SUMIF('①농산물raw'!$D:$D, $C104, '①농산물raw'!$G:$G)</f>
        <v/>
      </c>
      <c r="H104" s="182">
        <f>SUMIF('①농산물raw'!$D:$D, $C104, '①농산물raw'!$H:$H)</f>
        <v/>
      </c>
      <c r="I104" s="183">
        <f>IF(COUNTIF('①농산물raw'!$D:$D, $C104)&gt;0, "O", "")</f>
        <v/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>
        <f>SUMIF('①농산물raw'!$D:$D, $C105, '①농산물raw'!$F:$F)</f>
        <v/>
      </c>
      <c r="G105" s="170">
        <f>SUMIF('①농산물raw'!$D:$D, $C105, '①농산물raw'!$G:$G)</f>
        <v/>
      </c>
      <c r="H105" s="182">
        <f>SUMIF('①농산물raw'!$D:$D, $C105, '①농산물raw'!$H:$H)</f>
        <v/>
      </c>
      <c r="I105" s="183">
        <f>IF(COUNTIF('①농산물raw'!$D:$D, $C105)&gt;0, "O", "")</f>
        <v/>
      </c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>
        <f>SUMIF('①농산물raw'!$D:$D, $C106, '①농산물raw'!$F:$F)</f>
        <v/>
      </c>
      <c r="G106" s="170">
        <f>SUMIF('①농산물raw'!$D:$D, $C106, '①농산물raw'!$G:$G)</f>
        <v/>
      </c>
      <c r="H106" s="182">
        <f>SUMIF('①농산물raw'!$D:$D, $C106, '①농산물raw'!$H:$H)</f>
        <v/>
      </c>
      <c r="I106" s="183">
        <f>IF(COUNTIF('①농산물raw'!$D:$D, $C106)&gt;0, "O", "")</f>
        <v/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>
        <f>SUMIF('①농산물raw'!$D:$D, $C107, '①농산물raw'!$F:$F)</f>
        <v/>
      </c>
      <c r="G107" s="170">
        <f>SUMIF('①농산물raw'!$D:$D, $C107, '①농산물raw'!$G:$G)</f>
        <v/>
      </c>
      <c r="H107" s="182">
        <f>SUMIF('①농산물raw'!$D:$D, $C107, '①농산물raw'!$H:$H)</f>
        <v/>
      </c>
      <c r="I107" s="183">
        <f>IF(COUNTIF('①농산물raw'!$D:$D, $C107)&gt;0, "O", "")</f>
        <v/>
      </c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>
        <f>SUMIF('①농산물raw'!$D:$D, $C108, '①농산물raw'!$F:$F)</f>
        <v/>
      </c>
      <c r="G108" s="170">
        <f>SUMIF('①농산물raw'!$D:$D, $C108, '①농산물raw'!$G:$G)</f>
        <v/>
      </c>
      <c r="H108" s="182">
        <f>SUMIF('①농산물raw'!$D:$D, $C108, '①농산물raw'!$H:$H)</f>
        <v/>
      </c>
      <c r="I108" s="183">
        <f>IF(COUNTIF('①농산물raw'!$D:$D, $C108)&gt;0, "O", "")</f>
        <v/>
      </c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>
        <f>SUMIF('①농산물raw'!$D:$D, $C109, '①농산물raw'!$F:$F)</f>
        <v/>
      </c>
      <c r="G109" s="170">
        <f>SUMIF('①농산물raw'!$D:$D, $C109, '①농산물raw'!$G:$G)</f>
        <v/>
      </c>
      <c r="H109" s="182">
        <f>SUMIF('①농산물raw'!$D:$D, $C109, '①농산물raw'!$H:$H)</f>
        <v/>
      </c>
      <c r="I109" s="183">
        <f>IF(COUNTIF('①농산물raw'!$D:$D, $C109)&gt;0, "O", "")</f>
        <v/>
      </c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>
        <f>SUMIF('①농산물raw'!$D:$D, $C110, '①농산물raw'!$F:$F)</f>
        <v/>
      </c>
      <c r="G110" s="170">
        <f>SUMIF('①농산물raw'!$D:$D, $C110, '①농산물raw'!$G:$G)</f>
        <v/>
      </c>
      <c r="H110" s="182">
        <f>SUMIF('①농산물raw'!$D:$D, $C110, '①농산물raw'!$H:$H)</f>
        <v/>
      </c>
      <c r="I110" s="183">
        <f>IF(COUNTIF('①농산물raw'!$D:$D, $C110)&gt;0, "O", "")</f>
        <v/>
      </c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>
        <f>SUMIF('①농산물raw'!$D:$D, $C111, '①농산물raw'!$F:$F)</f>
        <v/>
      </c>
      <c r="G111" s="170">
        <f>SUMIF('①농산물raw'!$D:$D, $C111, '①농산물raw'!$G:$G)</f>
        <v/>
      </c>
      <c r="H111" s="182">
        <f>SUMIF('①농산물raw'!$D:$D, $C111, '①농산물raw'!$H:$H)</f>
        <v/>
      </c>
      <c r="I111" s="183">
        <f>IF(COUNTIF('①농산물raw'!$D:$D, $C111)&gt;0, "O", "")</f>
        <v/>
      </c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>
        <f>SUMIF('①농산물raw'!$D:$D, $C112, '①농산물raw'!$F:$F)</f>
        <v/>
      </c>
      <c r="G112" s="170">
        <f>SUMIF('①농산물raw'!$D:$D, $C112, '①농산물raw'!$G:$G)</f>
        <v/>
      </c>
      <c r="H112" s="182">
        <f>SUMIF('①농산물raw'!$D:$D, $C112, '①농산물raw'!$H:$H)</f>
        <v/>
      </c>
      <c r="I112" s="183">
        <f>IF(COUNTIF('①농산물raw'!$D:$D, $C112)&gt;0, "O", "")</f>
        <v/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>
        <f>SUMIF('①농산물raw'!$D:$D, $C113, '①농산물raw'!$F:$F)</f>
        <v/>
      </c>
      <c r="G113" s="170">
        <f>SUMIF('①농산물raw'!$D:$D, $C113, '①농산물raw'!$G:$G)</f>
        <v/>
      </c>
      <c r="H113" s="182">
        <f>SUMIF('①농산물raw'!$D:$D, $C113, '①농산물raw'!$H:$H)</f>
        <v/>
      </c>
      <c r="I113" s="183">
        <f>IF(COUNTIF('①농산물raw'!$D:$D, $C113)&gt;0, "O", "")</f>
        <v/>
      </c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>
        <f>SUMIF('①농산물raw'!$D:$D, $C114, '①농산물raw'!$F:$F)</f>
        <v/>
      </c>
      <c r="G114" s="170">
        <f>SUMIF('①농산물raw'!$D:$D, $C114, '①농산물raw'!$G:$G)</f>
        <v/>
      </c>
      <c r="H114" s="182">
        <f>SUMIF('①농산물raw'!$D:$D, $C114, '①농산물raw'!$H:$H)</f>
        <v/>
      </c>
      <c r="I114" s="183">
        <f>IF(COUNTIF('①농산물raw'!$D:$D, $C114)&gt;0, "O", "")</f>
        <v/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>
        <f>SUMIF('①농산물raw'!$D:$D, $C115, '①농산물raw'!$F:$F)</f>
        <v/>
      </c>
      <c r="G115" s="170">
        <f>SUMIF('①농산물raw'!$D:$D, $C115, '①농산물raw'!$G:$G)</f>
        <v/>
      </c>
      <c r="H115" s="182">
        <f>SUMIF('①농산물raw'!$D:$D, $C115, '①농산물raw'!$H:$H)</f>
        <v/>
      </c>
      <c r="I115" s="183">
        <f>IF(COUNTIF('①농산물raw'!$D:$D, $C115)&gt;0, "O", "")</f>
        <v/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>
        <f>SUMIF('①농산물raw'!$D:$D, $C116, '①농산물raw'!$F:$F)</f>
        <v/>
      </c>
      <c r="G116" s="170">
        <f>SUMIF('①농산물raw'!$D:$D, $C116, '①농산물raw'!$G:$G)</f>
        <v/>
      </c>
      <c r="H116" s="182">
        <f>SUMIF('①농산물raw'!$D:$D, $C116, '①농산물raw'!$H:$H)</f>
        <v/>
      </c>
      <c r="I116" s="183">
        <f>IF(COUNTIF('①농산물raw'!$D:$D, $C116)&gt;0, "O", "")</f>
        <v/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>
        <f>SUMIF('①농산물raw'!$D:$D, $C117, '①농산물raw'!$F:$F)</f>
        <v/>
      </c>
      <c r="G117" s="170">
        <f>SUMIF('①농산물raw'!$D:$D, $C117, '①농산물raw'!$G:$G)</f>
        <v/>
      </c>
      <c r="H117" s="182">
        <f>SUMIF('①농산물raw'!$D:$D, $C117, '①농산물raw'!$H:$H)</f>
        <v/>
      </c>
      <c r="I117" s="183">
        <f>IF(COUNTIF('①농산물raw'!$D:$D, $C117)&gt;0, "O", "")</f>
        <v/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>
        <f>SUMIF('①농산물raw'!$D:$D, $C118, '①농산물raw'!$F:$F)</f>
        <v/>
      </c>
      <c r="G118" s="170">
        <f>SUMIF('①농산물raw'!$D:$D, $C118, '①농산물raw'!$G:$G)</f>
        <v/>
      </c>
      <c r="H118" s="182">
        <f>SUMIF('①농산물raw'!$D:$D, $C118, '①농산물raw'!$H:$H)</f>
        <v/>
      </c>
      <c r="I118" s="183">
        <f>IF(COUNTIF('①농산물raw'!$D:$D, $C118)&gt;0, "O", "")</f>
        <v/>
      </c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>
        <f>SUMIF('①농산물raw'!$D:$D, $C119, '①농산물raw'!$F:$F)</f>
        <v/>
      </c>
      <c r="G119" s="170">
        <f>SUMIF('①농산물raw'!$D:$D, $C119, '①농산물raw'!$G:$G)</f>
        <v/>
      </c>
      <c r="H119" s="182">
        <f>SUMIF('①농산물raw'!$D:$D, $C119, '①농산물raw'!$H:$H)</f>
        <v/>
      </c>
      <c r="I119" s="183">
        <f>IF(COUNTIF('①농산물raw'!$D:$D, $C119)&gt;0, "O", "")</f>
        <v/>
      </c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>
        <f>SUMIF('①농산물raw'!$D:$D, $C120, '①농산물raw'!$F:$F)</f>
        <v/>
      </c>
      <c r="G120" s="170">
        <f>SUMIF('①농산물raw'!$D:$D, $C120, '①농산물raw'!$G:$G)</f>
        <v/>
      </c>
      <c r="H120" s="182">
        <f>SUMIF('①농산물raw'!$D:$D, $C120, '①농산물raw'!$H:$H)</f>
        <v/>
      </c>
      <c r="I120" s="183">
        <f>IF(COUNTIF('①농산물raw'!$D:$D, $C120)&gt;0, "O", "")</f>
        <v/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>
        <f>SUMIF('①농산물raw'!$D:$D, $C121, '①농산물raw'!$F:$F)</f>
        <v/>
      </c>
      <c r="G121" s="170">
        <f>SUMIF('①농산물raw'!$D:$D, $C121, '①농산물raw'!$G:$G)</f>
        <v/>
      </c>
      <c r="H121" s="182">
        <f>SUMIF('①농산물raw'!$D:$D, $C121, '①농산물raw'!$H:$H)</f>
        <v/>
      </c>
      <c r="I121" s="183">
        <f>IF(COUNTIF('①농산물raw'!$D:$D, $C121)&gt;0, "O", "")</f>
        <v/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>
        <f>SUMIF('①농산물raw'!$D:$D, $C122, '①농산물raw'!$F:$F)</f>
        <v/>
      </c>
      <c r="G122" s="170">
        <f>SUMIF('①농산물raw'!$D:$D, $C122, '①농산물raw'!$G:$G)</f>
        <v/>
      </c>
      <c r="H122" s="182">
        <f>SUMIF('①농산물raw'!$D:$D, $C122, '①농산물raw'!$H:$H)</f>
        <v/>
      </c>
      <c r="I122" s="183">
        <f>IF(COUNTIF('①농산물raw'!$D:$D, $C122)&gt;0, "O", "")</f>
        <v/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>
        <f>SUMIF('①농산물raw'!$D:$D, $C123, '①농산물raw'!$F:$F)</f>
        <v/>
      </c>
      <c r="G123" s="170">
        <f>SUMIF('①농산물raw'!$D:$D, $C123, '①농산물raw'!$G:$G)</f>
        <v/>
      </c>
      <c r="H123" s="182">
        <f>SUMIF('①농산물raw'!$D:$D, $C123, '①농산물raw'!$H:$H)</f>
        <v/>
      </c>
      <c r="I123" s="183">
        <f>IF(COUNTIF('①농산물raw'!$D:$D, $C123)&gt;0, "O", "")</f>
        <v/>
      </c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>
        <f>SUMIF('①농산물raw'!$D:$D, $C124, '①농산물raw'!$F:$F)</f>
        <v/>
      </c>
      <c r="G124" s="170">
        <f>SUMIF('①농산물raw'!$D:$D, $C124, '①농산물raw'!$G:$G)</f>
        <v/>
      </c>
      <c r="H124" s="182">
        <f>SUMIF('①농산물raw'!$D:$D, $C124, '①농산물raw'!$H:$H)</f>
        <v/>
      </c>
      <c r="I124" s="183">
        <f>IF(COUNTIF('①농산물raw'!$D:$D, $C124)&gt;0, "O", "")</f>
        <v/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>
        <f>SUMIF('①농산물raw'!$D:$D, $C125, '①농산물raw'!$F:$F)</f>
        <v/>
      </c>
      <c r="G125" s="170">
        <f>SUMIF('①농산물raw'!$D:$D, $C125, '①농산물raw'!$G:$G)</f>
        <v/>
      </c>
      <c r="H125" s="182">
        <f>SUMIF('①농산물raw'!$D:$D, $C125, '①농산물raw'!$H:$H)</f>
        <v/>
      </c>
      <c r="I125" s="183">
        <f>IF(COUNTIF('①농산물raw'!$D:$D, $C125)&gt;0, "O", "")</f>
        <v/>
      </c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>
        <f>SUMIF('①농산물raw'!$D:$D, $C126, '①농산물raw'!$F:$F)</f>
        <v/>
      </c>
      <c r="G126" s="170">
        <f>SUMIF('①농산물raw'!$D:$D, $C126, '①농산물raw'!$G:$G)</f>
        <v/>
      </c>
      <c r="H126" s="182">
        <f>SUMIF('①농산물raw'!$D:$D, $C126, '①농산물raw'!$H:$H)</f>
        <v/>
      </c>
      <c r="I126" s="183">
        <f>IF(COUNTIF('①농산물raw'!$D:$D, $C126)&gt;0, "O", "")</f>
        <v/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>
        <f>SUMIF('①농산물raw'!$D:$D, $C127, '①농산물raw'!$F:$F)</f>
        <v/>
      </c>
      <c r="G127" s="170">
        <f>SUMIF('①농산물raw'!$D:$D, $C127, '①농산물raw'!$G:$G)</f>
        <v/>
      </c>
      <c r="H127" s="182">
        <f>SUMIF('①농산물raw'!$D:$D, $C127, '①농산물raw'!$H:$H)</f>
        <v/>
      </c>
      <c r="I127" s="183">
        <f>IF(COUNTIF('①농산물raw'!$D:$D, $C127)&gt;0, "O", "")</f>
        <v/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>
        <f>SUMIF('①농산물raw'!$D:$D, $C128, '①농산물raw'!$F:$F)</f>
        <v/>
      </c>
      <c r="G128" s="170">
        <f>SUMIF('①농산물raw'!$D:$D, $C128, '①농산물raw'!$G:$G)</f>
        <v/>
      </c>
      <c r="H128" s="182">
        <f>SUMIF('①농산물raw'!$D:$D, $C128, '①농산물raw'!$H:$H)</f>
        <v/>
      </c>
      <c r="I128" s="183">
        <f>IF(COUNTIF('①농산물raw'!$D:$D, $C128)&gt;0, "O", "")</f>
        <v/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>
        <f>SUMIF('①농산물raw'!$D:$D, $C129, '①농산물raw'!$F:$F)</f>
        <v/>
      </c>
      <c r="G129" s="170">
        <f>SUMIF('①농산물raw'!$D:$D, $C129, '①농산물raw'!$G:$G)</f>
        <v/>
      </c>
      <c r="H129" s="182">
        <f>SUMIF('①농산물raw'!$D:$D, $C129, '①농산물raw'!$H:$H)</f>
        <v/>
      </c>
      <c r="I129" s="183">
        <f>IF(COUNTIF('①농산물raw'!$D:$D, $C129)&gt;0, "O", "")</f>
        <v/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>
        <f>SUMIF('①농산물raw'!$D:$D, $C130, '①농산물raw'!$F:$F)</f>
        <v/>
      </c>
      <c r="G130" s="170">
        <f>SUMIF('①농산물raw'!$D:$D, $C130, '①농산물raw'!$G:$G)</f>
        <v/>
      </c>
      <c r="H130" s="182">
        <f>SUMIF('①농산물raw'!$D:$D, $C130, '①농산물raw'!$H:$H)</f>
        <v/>
      </c>
      <c r="I130" s="183">
        <f>IF(COUNTIF('①농산물raw'!$D:$D, $C130)&gt;0, "O", "")</f>
        <v/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>
        <f>SUMIF('①농산물raw'!$D:$D, $C131, '①농산물raw'!$F:$F)</f>
        <v/>
      </c>
      <c r="G131" s="170">
        <f>SUMIF('①농산물raw'!$D:$D, $C131, '①농산물raw'!$G:$G)</f>
        <v/>
      </c>
      <c r="H131" s="182">
        <f>SUMIF('①농산물raw'!$D:$D, $C131, '①농산물raw'!$H:$H)</f>
        <v/>
      </c>
      <c r="I131" s="183">
        <f>IF(COUNTIF('①농산물raw'!$D:$D, $C131)&gt;0, "O", "")</f>
        <v/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>
        <f>SUMIF('①농산물raw'!$D:$D, $C132, '①농산물raw'!$F:$F)</f>
        <v/>
      </c>
      <c r="G132" s="170">
        <f>SUMIF('①농산물raw'!$D:$D, $C132, '①농산물raw'!$G:$G)</f>
        <v/>
      </c>
      <c r="H132" s="182">
        <f>SUMIF('①농산물raw'!$D:$D, $C132, '①농산물raw'!$H:$H)</f>
        <v/>
      </c>
      <c r="I132" s="183">
        <f>IF(COUNTIF('①농산물raw'!$D:$D, $C132)&gt;0, "O", "")</f>
        <v/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>
        <f>SUMIF('①농산물raw'!$D:$D, $C133, '①농산물raw'!$F:$F)</f>
        <v/>
      </c>
      <c r="G133" s="170">
        <f>SUMIF('①농산물raw'!$D:$D, $C133, '①농산물raw'!$G:$G)</f>
        <v/>
      </c>
      <c r="H133" s="182">
        <f>SUMIF('①농산물raw'!$D:$D, $C133, '①농산물raw'!$H:$H)</f>
        <v/>
      </c>
      <c r="I133" s="183">
        <f>IF(COUNTIF('①농산물raw'!$D:$D, $C133)&gt;0, "O", "")</f>
        <v/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>
        <f>SUMIF('①농산물raw'!$D:$D, $C134, '①농산물raw'!$F:$F)</f>
        <v/>
      </c>
      <c r="G134" s="170">
        <f>SUMIF('①농산물raw'!$D:$D, $C134, '①농산물raw'!$G:$G)</f>
        <v/>
      </c>
      <c r="H134" s="182">
        <f>SUMIF('①농산물raw'!$D:$D, $C134, '①농산물raw'!$H:$H)</f>
        <v/>
      </c>
      <c r="I134" s="183">
        <f>IF(COUNTIF('①농산물raw'!$D:$D, $C134)&gt;0, "O", "")</f>
        <v/>
      </c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>
        <f>SUMIF('①농산물raw'!$D:$D, $C135, '①농산물raw'!$F:$F)</f>
        <v/>
      </c>
      <c r="G135" s="170">
        <f>SUMIF('①농산물raw'!$D:$D, $C135, '①농산물raw'!$G:$G)</f>
        <v/>
      </c>
      <c r="H135" s="182">
        <f>SUMIF('①농산물raw'!$D:$D, $C135, '①농산물raw'!$H:$H)</f>
        <v/>
      </c>
      <c r="I135" s="183">
        <f>IF(COUNTIF('①농산물raw'!$D:$D, $C135)&gt;0, "O", "")</f>
        <v/>
      </c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>
        <f>SUMIF('①농산물raw'!$D:$D, $C136, '①농산물raw'!$F:$F)</f>
        <v/>
      </c>
      <c r="G136" s="170">
        <f>SUMIF('①농산물raw'!$D:$D, $C136, '①농산물raw'!$G:$G)</f>
        <v/>
      </c>
      <c r="H136" s="182">
        <f>SUMIF('①농산물raw'!$D:$D, $C136, '①농산물raw'!$H:$H)</f>
        <v/>
      </c>
      <c r="I136" s="183">
        <f>IF(COUNTIF('①농산물raw'!$D:$D, $C136)&gt;0, "O", "")</f>
        <v/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>
        <f>SUMIF('①농산물raw'!$D:$D, $C137, '①농산물raw'!$F:$F)</f>
        <v/>
      </c>
      <c r="G137" s="170">
        <f>SUMIF('①농산물raw'!$D:$D, $C137, '①농산물raw'!$G:$G)</f>
        <v/>
      </c>
      <c r="H137" s="182">
        <f>SUMIF('①농산물raw'!$D:$D, $C137, '①농산물raw'!$H:$H)</f>
        <v/>
      </c>
      <c r="I137" s="183">
        <f>IF(COUNTIF('①농산물raw'!$D:$D, $C137)&gt;0, "O", "")</f>
        <v/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>
        <f>SUMIF('①농산물raw'!$D:$D, $C138, '①농산물raw'!$F:$F)</f>
        <v/>
      </c>
      <c r="G138" s="170">
        <f>SUMIF('①농산물raw'!$D:$D, $C138, '①농산물raw'!$G:$G)</f>
        <v/>
      </c>
      <c r="H138" s="182">
        <f>SUMIF('①농산물raw'!$D:$D, $C138, '①농산물raw'!$H:$H)</f>
        <v/>
      </c>
      <c r="I138" s="183">
        <f>IF(COUNTIF('①농산물raw'!$D:$D, $C138)&gt;0, "O", "")</f>
        <v/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>
        <f>SUMIF('①농산물raw'!$D:$D, $C139, '①농산물raw'!$F:$F)</f>
        <v/>
      </c>
      <c r="G139" s="170">
        <f>SUMIF('①농산물raw'!$D:$D, $C139, '①농산물raw'!$G:$G)</f>
        <v/>
      </c>
      <c r="H139" s="182">
        <f>SUMIF('①농산물raw'!$D:$D, $C139, '①농산물raw'!$H:$H)</f>
        <v/>
      </c>
      <c r="I139" s="183">
        <f>IF(COUNTIF('①농산물raw'!$D:$D, $C139)&gt;0, "O", "")</f>
        <v/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>
        <f>SUMIF('①농산물raw'!$D:$D, $C140, '①농산물raw'!$F:$F)</f>
        <v/>
      </c>
      <c r="G140" s="170">
        <f>SUMIF('①농산물raw'!$D:$D, $C140, '①농산물raw'!$G:$G)</f>
        <v/>
      </c>
      <c r="H140" s="182">
        <f>SUMIF('①농산물raw'!$D:$D, $C140, '①농산물raw'!$H:$H)</f>
        <v/>
      </c>
      <c r="I140" s="183">
        <f>IF(COUNTIF('①농산물raw'!$D:$D, $C140)&gt;0, "O", "")</f>
        <v/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>
        <f>SUMIF('①농산물raw'!$D:$D, $C141, '①농산물raw'!$F:$F)</f>
        <v/>
      </c>
      <c r="G141" s="170">
        <f>SUMIF('①농산물raw'!$D:$D, $C141, '①농산물raw'!$G:$G)</f>
        <v/>
      </c>
      <c r="H141" s="182">
        <f>SUMIF('①농산물raw'!$D:$D, $C141, '①농산물raw'!$H:$H)</f>
        <v/>
      </c>
      <c r="I141" s="183">
        <f>IF(COUNTIF('①농산물raw'!$D:$D, $C141)&gt;0, "O", "")</f>
        <v/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>
        <f>SUMIF('①농산물raw'!$D:$D, $C142, '①농산물raw'!$F:$F)</f>
        <v/>
      </c>
      <c r="G142" s="170">
        <f>SUMIF('①농산물raw'!$D:$D, $C142, '①농산물raw'!$G:$G)</f>
        <v/>
      </c>
      <c r="H142" s="182">
        <f>SUMIF('①농산물raw'!$D:$D, $C142, '①농산물raw'!$H:$H)</f>
        <v/>
      </c>
      <c r="I142" s="183">
        <f>IF(COUNTIF('①농산물raw'!$D:$D, $C142)&gt;0, "O", "")</f>
        <v/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>
        <f>SUMIF('①농산물raw'!$D:$D, $C143, '①농산물raw'!$F:$F)</f>
        <v/>
      </c>
      <c r="G143" s="170">
        <f>SUMIF('①농산물raw'!$D:$D, $C143, '①농산물raw'!$G:$G)</f>
        <v/>
      </c>
      <c r="H143" s="182">
        <f>SUMIF('①농산물raw'!$D:$D, $C143, '①농산물raw'!$H:$H)</f>
        <v/>
      </c>
      <c r="I143" s="183">
        <f>IF(COUNTIF('①농산물raw'!$D:$D, $C143)&gt;0, "O", "")</f>
        <v/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>
        <f>SUMIF('①농산물raw'!$D:$D, $C144, '①농산물raw'!$F:$F)</f>
        <v/>
      </c>
      <c r="G144" s="170">
        <f>SUMIF('①농산물raw'!$D:$D, $C144, '①농산물raw'!$G:$G)</f>
        <v/>
      </c>
      <c r="H144" s="182">
        <f>SUMIF('①농산물raw'!$D:$D, $C144, '①농산물raw'!$H:$H)</f>
        <v/>
      </c>
      <c r="I144" s="183">
        <f>IF(COUNTIF('①농산물raw'!$D:$D, $C144)&gt;0, "O", "")</f>
        <v/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>
        <f>SUMIF('①농산물raw'!$D:$D, $C145, '①농산물raw'!$F:$F)</f>
        <v/>
      </c>
      <c r="G145" s="170">
        <f>SUMIF('①농산물raw'!$D:$D, $C145, '①농산물raw'!$G:$G)</f>
        <v/>
      </c>
      <c r="H145" s="182">
        <f>SUMIF('①농산물raw'!$D:$D, $C145, '①농산물raw'!$H:$H)</f>
        <v/>
      </c>
      <c r="I145" s="183">
        <f>IF(COUNTIF('①농산물raw'!$D:$D, $C145)&gt;0, "O", "")</f>
        <v/>
      </c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>
        <f>SUMIF('①농산물raw'!$D:$D, $C146, '①농산물raw'!$F:$F)</f>
        <v/>
      </c>
      <c r="G146" s="170">
        <f>SUMIF('①농산물raw'!$D:$D, $C146, '①농산물raw'!$G:$G)</f>
        <v/>
      </c>
      <c r="H146" s="182">
        <f>SUMIF('①농산물raw'!$D:$D, $C146, '①농산물raw'!$H:$H)</f>
        <v/>
      </c>
      <c r="I146" s="183">
        <f>IF(COUNTIF('①농산물raw'!$D:$D, $C146)&gt;0, "O", "")</f>
        <v/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>
        <f>SUMIF('①농산물raw'!$D:$D, $C147, '①농산물raw'!$F:$F)</f>
        <v/>
      </c>
      <c r="G147" s="170">
        <f>SUMIF('①농산물raw'!$D:$D, $C147, '①농산물raw'!$G:$G)</f>
        <v/>
      </c>
      <c r="H147" s="182">
        <f>SUMIF('①농산물raw'!$D:$D, $C147, '①농산물raw'!$H:$H)</f>
        <v/>
      </c>
      <c r="I147" s="183">
        <f>IF(COUNTIF('①농산물raw'!$D:$D, $C147)&gt;0, "O", "")</f>
        <v/>
      </c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>
        <f>SUMIF('①농산물raw'!$D:$D, $C148, '①농산물raw'!$F:$F)</f>
        <v/>
      </c>
      <c r="G148" s="170">
        <f>SUMIF('①농산물raw'!$D:$D, $C148, '①농산물raw'!$G:$G)</f>
        <v/>
      </c>
      <c r="H148" s="182">
        <f>SUMIF('①농산물raw'!$D:$D, $C148, '①농산물raw'!$H:$H)</f>
        <v/>
      </c>
      <c r="I148" s="183">
        <f>IF(COUNTIF('①농산물raw'!$D:$D, $C148)&gt;0, "O", "")</f>
        <v/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>
        <f>SUMIF('①농산물raw'!$D:$D, $C149, '①농산물raw'!$F:$F)</f>
        <v/>
      </c>
      <c r="G149" s="170">
        <f>SUMIF('①농산물raw'!$D:$D, $C149, '①농산물raw'!$G:$G)</f>
        <v/>
      </c>
      <c r="H149" s="182">
        <f>SUMIF('①농산물raw'!$D:$D, $C149, '①농산물raw'!$H:$H)</f>
        <v/>
      </c>
      <c r="I149" s="183">
        <f>IF(COUNTIF('①농산물raw'!$D:$D, $C149)&gt;0, "O", "")</f>
        <v/>
      </c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>
        <f>SUMIF('①농산물raw'!$D:$D, $C150, '①농산물raw'!$F:$F)</f>
        <v/>
      </c>
      <c r="G150" s="170">
        <f>SUMIF('①농산물raw'!$D:$D, $C150, '①농산물raw'!$G:$G)</f>
        <v/>
      </c>
      <c r="H150" s="182">
        <f>SUMIF('①농산물raw'!$D:$D, $C150, '①농산물raw'!$H:$H)</f>
        <v/>
      </c>
      <c r="I150" s="183">
        <f>IF(COUNTIF('①농산물raw'!$D:$D, $C150)&gt;0, "O", "")</f>
        <v/>
      </c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>
        <f>SUMIF('①농산물raw'!$D:$D, $C151, '①농산물raw'!$F:$F)</f>
        <v/>
      </c>
      <c r="G151" s="170">
        <f>SUMIF('①농산물raw'!$D:$D, $C151, '①농산물raw'!$G:$G)</f>
        <v/>
      </c>
      <c r="H151" s="182">
        <f>SUMIF('①농산물raw'!$D:$D, $C151, '①농산물raw'!$H:$H)</f>
        <v/>
      </c>
      <c r="I151" s="183">
        <f>IF(COUNTIF('①농산물raw'!$D:$D, $C151)&gt;0, "O", "")</f>
        <v/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>
        <f>SUMIF('①농산물raw'!$D:$D, $C152, '①농산물raw'!$F:$F)</f>
        <v/>
      </c>
      <c r="G152" s="170">
        <f>SUMIF('①농산물raw'!$D:$D, $C152, '①농산물raw'!$G:$G)</f>
        <v/>
      </c>
      <c r="H152" s="182">
        <f>SUMIF('①농산물raw'!$D:$D, $C152, '①농산물raw'!$H:$H)</f>
        <v/>
      </c>
      <c r="I152" s="183">
        <f>IF(COUNTIF('①농산물raw'!$D:$D, $C152)&gt;0, "O", "")</f>
        <v/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>
        <f>SUMIF('①농산물raw'!$D:$D, $C153, '①농산물raw'!$F:$F)</f>
        <v/>
      </c>
      <c r="G153" s="170">
        <f>SUMIF('①농산물raw'!$D:$D, $C153, '①농산물raw'!$G:$G)</f>
        <v/>
      </c>
      <c r="H153" s="182">
        <f>SUMIF('①농산물raw'!$D:$D, $C153, '①농산물raw'!$H:$H)</f>
        <v/>
      </c>
      <c r="I153" s="183">
        <f>IF(COUNTIF('①농산물raw'!$D:$D, $C153)&gt;0, "O", "")</f>
        <v/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>
        <f>SUMIF('①농산물raw'!$D:$D, $C154, '①농산물raw'!$F:$F)</f>
        <v/>
      </c>
      <c r="G154" s="170">
        <f>SUMIF('①농산물raw'!$D:$D, $C154, '①농산물raw'!$G:$G)</f>
        <v/>
      </c>
      <c r="H154" s="182">
        <f>SUMIF('①농산물raw'!$D:$D, $C154, '①농산물raw'!$H:$H)</f>
        <v/>
      </c>
      <c r="I154" s="183">
        <f>IF(COUNTIF('①농산물raw'!$D:$D, $C154)&gt;0, "O", "")</f>
        <v/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>
        <f>SUMIF('①농산물raw'!$D:$D, $C155, '①농산물raw'!$F:$F)</f>
        <v/>
      </c>
      <c r="G155" s="170">
        <f>SUMIF('①농산물raw'!$D:$D, $C155, '①농산물raw'!$G:$G)</f>
        <v/>
      </c>
      <c r="H155" s="182">
        <f>SUMIF('①농산물raw'!$D:$D, $C155, '①농산물raw'!$H:$H)</f>
        <v/>
      </c>
      <c r="I155" s="183">
        <f>IF(COUNTIF('①농산물raw'!$D:$D, $C155)&gt;0, "O", "")</f>
        <v/>
      </c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>
        <f>SUMIF('①농산물raw'!$D:$D, $C156, '①농산물raw'!$F:$F)</f>
        <v/>
      </c>
      <c r="G156" s="170">
        <f>SUMIF('①농산물raw'!$D:$D, $C156, '①농산물raw'!$G:$G)</f>
        <v/>
      </c>
      <c r="H156" s="182">
        <f>SUMIF('①농산물raw'!$D:$D, $C156, '①농산물raw'!$H:$H)</f>
        <v/>
      </c>
      <c r="I156" s="183">
        <f>IF(COUNTIF('①농산물raw'!$D:$D, $C156)&gt;0, "O", "")</f>
        <v/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>
        <f>SUMIF('①농산물raw'!$D:$D, $C157, '①농산물raw'!$F:$F)</f>
        <v/>
      </c>
      <c r="G157" s="170">
        <f>SUMIF('①농산물raw'!$D:$D, $C157, '①농산물raw'!$G:$G)</f>
        <v/>
      </c>
      <c r="H157" s="182">
        <f>SUMIF('①농산물raw'!$D:$D, $C157, '①농산물raw'!$H:$H)</f>
        <v/>
      </c>
      <c r="I157" s="183">
        <f>IF(COUNTIF('①농산물raw'!$D:$D, $C157)&gt;0, "O", "")</f>
        <v/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>
        <f>SUMIF('①농산물raw'!$D:$D, $C158, '①농산물raw'!$F:$F)</f>
        <v/>
      </c>
      <c r="G158" s="170">
        <f>SUMIF('①농산물raw'!$D:$D, $C158, '①농산물raw'!$G:$G)</f>
        <v/>
      </c>
      <c r="H158" s="182">
        <f>SUMIF('①농산물raw'!$D:$D, $C158, '①농산물raw'!$H:$H)</f>
        <v/>
      </c>
      <c r="I158" s="183">
        <f>IF(COUNTIF('①농산물raw'!$D:$D, $C158)&gt;0, "O", "")</f>
        <v/>
      </c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>
        <f>SUMIF('①농산물raw'!$D:$D, $C159, '①농산물raw'!$F:$F)</f>
        <v/>
      </c>
      <c r="G159" s="170">
        <f>SUMIF('①농산물raw'!$D:$D, $C159, '①농산물raw'!$G:$G)</f>
        <v/>
      </c>
      <c r="H159" s="182">
        <f>SUMIF('①농산물raw'!$D:$D, $C159, '①농산물raw'!$H:$H)</f>
        <v/>
      </c>
      <c r="I159" s="183">
        <f>IF(COUNTIF('①농산물raw'!$D:$D, $C159)&gt;0, "O", "")</f>
        <v/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>
        <f>SUMIF('①농산물raw'!$D:$D, $C160, '①농산물raw'!$F:$F)</f>
        <v/>
      </c>
      <c r="G160" s="170">
        <f>SUMIF('①농산물raw'!$D:$D, $C160, '①농산물raw'!$G:$G)</f>
        <v/>
      </c>
      <c r="H160" s="182">
        <f>SUMIF('①농산물raw'!$D:$D, $C160, '①농산물raw'!$H:$H)</f>
        <v/>
      </c>
      <c r="I160" s="183">
        <f>IF(COUNTIF('①농산물raw'!$D:$D, $C160)&gt;0, "O", "")</f>
        <v/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>
        <f>SUMIF('①농산물raw'!$D:$D, $C161, '①농산물raw'!$F:$F)</f>
        <v/>
      </c>
      <c r="G161" s="170">
        <f>SUMIF('①농산물raw'!$D:$D, $C161, '①농산물raw'!$G:$G)</f>
        <v/>
      </c>
      <c r="H161" s="182">
        <f>SUMIF('①농산물raw'!$D:$D, $C161, '①농산물raw'!$H:$H)</f>
        <v/>
      </c>
      <c r="I161" s="183">
        <f>IF(COUNTIF('①농산물raw'!$D:$D, $C161)&gt;0, "O", "")</f>
        <v/>
      </c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>
        <f>SUMIF('①농산물raw'!$D:$D, $C162, '①농산물raw'!$F:$F)</f>
        <v/>
      </c>
      <c r="G162" s="170">
        <f>SUMIF('①농산물raw'!$D:$D, $C162, '①농산물raw'!$G:$G)</f>
        <v/>
      </c>
      <c r="H162" s="182">
        <f>SUMIF('①농산물raw'!$D:$D, $C162, '①농산물raw'!$H:$H)</f>
        <v/>
      </c>
      <c r="I162" s="183">
        <f>IF(COUNTIF('①농산물raw'!$D:$D, $C162)&gt;0, "O", "")</f>
        <v/>
      </c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>
        <f>SUMIF('①농산물raw'!$D:$D, $C163, '①농산물raw'!$F:$F)</f>
        <v/>
      </c>
      <c r="G163" s="170">
        <f>SUMIF('①농산물raw'!$D:$D, $C163, '①농산물raw'!$G:$G)</f>
        <v/>
      </c>
      <c r="H163" s="182">
        <f>SUMIF('①농산물raw'!$D:$D, $C163, '①농산물raw'!$H:$H)</f>
        <v/>
      </c>
      <c r="I163" s="183">
        <f>IF(COUNTIF('①농산물raw'!$D:$D, $C163)&gt;0, "O", "")</f>
        <v/>
      </c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>
        <f>SUMIF('①농산물raw'!$D:$D, $C164, '①농산물raw'!$F:$F)</f>
        <v/>
      </c>
      <c r="G164" s="170">
        <f>SUMIF('①농산물raw'!$D:$D, $C164, '①농산물raw'!$G:$G)</f>
        <v/>
      </c>
      <c r="H164" s="182">
        <f>SUMIF('①농산물raw'!$D:$D, $C164, '①농산물raw'!$H:$H)</f>
        <v/>
      </c>
      <c r="I164" s="183">
        <f>IF(COUNTIF('①농산물raw'!$D:$D, $C164)&gt;0, "O", "")</f>
        <v/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>
        <f>SUMIF('①농산물raw'!$D:$D, $C165, '①농산물raw'!$F:$F)</f>
        <v/>
      </c>
      <c r="G165" s="170">
        <f>SUMIF('①농산물raw'!$D:$D, $C165, '①농산물raw'!$G:$G)</f>
        <v/>
      </c>
      <c r="H165" s="182">
        <f>SUMIF('①농산물raw'!$D:$D, $C165, '①농산물raw'!$H:$H)</f>
        <v/>
      </c>
      <c r="I165" s="183">
        <f>IF(COUNTIF('①농산물raw'!$D:$D, $C165)&gt;0, "O", "")</f>
        <v/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>
        <f>SUMIF('①농산물raw'!$D:$D, $C166, '①농산물raw'!$F:$F)</f>
        <v/>
      </c>
      <c r="G166" s="170">
        <f>SUMIF('①농산물raw'!$D:$D, $C166, '①농산물raw'!$G:$G)</f>
        <v/>
      </c>
      <c r="H166" s="182">
        <f>SUMIF('①농산물raw'!$D:$D, $C166, '①농산물raw'!$H:$H)</f>
        <v/>
      </c>
      <c r="I166" s="183">
        <f>IF(COUNTIF('①농산물raw'!$D:$D, $C166)&gt;0, "O", "")</f>
        <v/>
      </c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>
        <f>SUMIF('①농산물raw'!$D:$D, $C167, '①농산물raw'!$F:$F)</f>
        <v/>
      </c>
      <c r="G167" s="170">
        <f>SUMIF('①농산물raw'!$D:$D, $C167, '①농산물raw'!$G:$G)</f>
        <v/>
      </c>
      <c r="H167" s="182">
        <f>SUMIF('①농산물raw'!$D:$D, $C167, '①농산물raw'!$H:$H)</f>
        <v/>
      </c>
      <c r="I167" s="183">
        <f>IF(COUNTIF('①농산물raw'!$D:$D, $C167)&gt;0, "O", "")</f>
        <v/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>
        <f>SUMIF('①농산물raw'!$D:$D, $C168, '①농산물raw'!$F:$F)</f>
        <v/>
      </c>
      <c r="G168" s="170">
        <f>SUMIF('①농산물raw'!$D:$D, $C168, '①농산물raw'!$G:$G)</f>
        <v/>
      </c>
      <c r="H168" s="182">
        <f>SUMIF('①농산물raw'!$D:$D, $C168, '①농산물raw'!$H:$H)</f>
        <v/>
      </c>
      <c r="I168" s="183">
        <f>IF(COUNTIF('①농산물raw'!$D:$D, $C168)&gt;0, "O", "")</f>
        <v/>
      </c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>
        <f>SUMIF('①농산물raw'!$D:$D, $C169, '①농산물raw'!$F:$F)</f>
        <v/>
      </c>
      <c r="G169" s="170">
        <f>SUMIF('①농산물raw'!$D:$D, $C169, '①농산물raw'!$G:$G)</f>
        <v/>
      </c>
      <c r="H169" s="182">
        <f>SUMIF('①농산물raw'!$D:$D, $C169, '①농산물raw'!$H:$H)</f>
        <v/>
      </c>
      <c r="I169" s="183">
        <f>IF(COUNTIF('①농산물raw'!$D:$D, $C169)&gt;0, "O", "")</f>
        <v/>
      </c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>
        <f>SUMIF('①농산물raw'!$D:$D, $C170, '①농산물raw'!$F:$F)</f>
        <v/>
      </c>
      <c r="G170" s="170">
        <f>SUMIF('①농산물raw'!$D:$D, $C170, '①농산물raw'!$G:$G)</f>
        <v/>
      </c>
      <c r="H170" s="182">
        <f>SUMIF('①농산물raw'!$D:$D, $C170, '①농산물raw'!$H:$H)</f>
        <v/>
      </c>
      <c r="I170" s="183">
        <f>IF(COUNTIF('①농산물raw'!$D:$D, $C170)&gt;0, "O", "")</f>
        <v/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>
        <f>SUMIF('①농산물raw'!$D:$D, $C171, '①농산물raw'!$F:$F)</f>
        <v/>
      </c>
      <c r="G171" s="170">
        <f>SUMIF('①농산물raw'!$D:$D, $C171, '①농산물raw'!$G:$G)</f>
        <v/>
      </c>
      <c r="H171" s="182">
        <f>SUMIF('①농산물raw'!$D:$D, $C171, '①농산물raw'!$H:$H)</f>
        <v/>
      </c>
      <c r="I171" s="183">
        <f>IF(COUNTIF('①농산물raw'!$D:$D, $C171)&gt;0, "O", "")</f>
        <v/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>
        <f>SUMIF('①농산물raw'!$D:$D, $C172, '①농산물raw'!$F:$F)</f>
        <v/>
      </c>
      <c r="G172" s="170">
        <f>SUMIF('①농산물raw'!$D:$D, $C172, '①농산물raw'!$G:$G)</f>
        <v/>
      </c>
      <c r="H172" s="182">
        <f>SUMIF('①농산물raw'!$D:$D, $C172, '①농산물raw'!$H:$H)</f>
        <v/>
      </c>
      <c r="I172" s="183">
        <f>IF(COUNTIF('①농산물raw'!$D:$D, $C172)&gt;0, "O", "")</f>
        <v/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>
        <f>SUMIF('①농산물raw'!$D:$D, $C173, '①농산물raw'!$F:$F)</f>
        <v/>
      </c>
      <c r="G173" s="170">
        <f>SUMIF('①농산물raw'!$D:$D, $C173, '①농산물raw'!$G:$G)</f>
        <v/>
      </c>
      <c r="H173" s="182">
        <f>SUMIF('①농산물raw'!$D:$D, $C173, '①농산물raw'!$H:$H)</f>
        <v/>
      </c>
      <c r="I173" s="183">
        <f>IF(COUNTIF('①농산물raw'!$D:$D, $C173)&gt;0, "O", "")</f>
        <v/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>
        <f>SUMIF('①농산물raw'!$D:$D, $C174, '①농산물raw'!$F:$F)</f>
        <v/>
      </c>
      <c r="G174" s="170">
        <f>SUMIF('①농산물raw'!$D:$D, $C174, '①농산물raw'!$G:$G)</f>
        <v/>
      </c>
      <c r="H174" s="182">
        <f>SUMIF('①농산물raw'!$D:$D, $C174, '①농산물raw'!$H:$H)</f>
        <v/>
      </c>
      <c r="I174" s="183">
        <f>IF(COUNTIF('①농산물raw'!$D:$D, $C174)&gt;0, "O", "")</f>
        <v/>
      </c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>
        <f>SUMIF('①농산물raw'!$D:$D, $C175, '①농산물raw'!$F:$F)</f>
        <v/>
      </c>
      <c r="G175" s="170">
        <f>SUMIF('①농산물raw'!$D:$D, $C175, '①농산물raw'!$G:$G)</f>
        <v/>
      </c>
      <c r="H175" s="182">
        <f>SUMIF('①농산물raw'!$D:$D, $C175, '①농산물raw'!$H:$H)</f>
        <v/>
      </c>
      <c r="I175" s="183">
        <f>IF(COUNTIF('①농산물raw'!$D:$D, $C175)&gt;0, "O", "")</f>
        <v/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>
        <f>SUMIF('①농산물raw'!$D:$D, $C176, '①농산물raw'!$F:$F)</f>
        <v/>
      </c>
      <c r="G176" s="170">
        <f>SUMIF('①농산물raw'!$D:$D, $C176, '①농산물raw'!$G:$G)</f>
        <v/>
      </c>
      <c r="H176" s="182">
        <f>SUMIF('①농산물raw'!$D:$D, $C176, '①농산물raw'!$H:$H)</f>
        <v/>
      </c>
      <c r="I176" s="183">
        <f>IF(COUNTIF('①농산물raw'!$D:$D, $C176)&gt;0, "O", "")</f>
        <v/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>
        <f>SUMIF('①농산물raw'!$D:$D, $C177, '①농산물raw'!$F:$F)</f>
        <v/>
      </c>
      <c r="G177" s="170">
        <f>SUMIF('①농산물raw'!$D:$D, $C177, '①농산물raw'!$G:$G)</f>
        <v/>
      </c>
      <c r="H177" s="182">
        <f>SUMIF('①농산물raw'!$D:$D, $C177, '①농산물raw'!$H:$H)</f>
        <v/>
      </c>
      <c r="I177" s="183">
        <f>IF(COUNTIF('①농산물raw'!$D:$D, $C177)&gt;0, "O", "")</f>
        <v/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>
        <f>SUMIF('①농산물raw'!$D:$D, $C178, '①농산물raw'!$F:$F)</f>
        <v/>
      </c>
      <c r="G178" s="170">
        <f>SUMIF('①농산물raw'!$D:$D, $C178, '①농산물raw'!$G:$G)</f>
        <v/>
      </c>
      <c r="H178" s="182">
        <f>SUMIF('①농산물raw'!$D:$D, $C178, '①농산물raw'!$H:$H)</f>
        <v/>
      </c>
      <c r="I178" s="183">
        <f>IF(COUNTIF('①농산물raw'!$D:$D, $C178)&gt;0, "O", "")</f>
        <v/>
      </c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>
        <f>SUMIF('①농산물raw'!$D:$D, $C179, '①농산물raw'!$F:$F)</f>
        <v/>
      </c>
      <c r="G179" s="170">
        <f>SUMIF('①농산물raw'!$D:$D, $C179, '①농산물raw'!$G:$G)</f>
        <v/>
      </c>
      <c r="H179" s="182">
        <f>SUMIF('①농산물raw'!$D:$D, $C179, '①농산물raw'!$H:$H)</f>
        <v/>
      </c>
      <c r="I179" s="183">
        <f>IF(COUNTIF('①농산물raw'!$D:$D, $C179)&gt;0, "O", "")</f>
        <v/>
      </c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>
        <f>SUMIF('①농산물raw'!$D:$D, $C180, '①농산물raw'!$F:$F)</f>
        <v/>
      </c>
      <c r="G180" s="170">
        <f>SUMIF('①농산물raw'!$D:$D, $C180, '①농산물raw'!$G:$G)</f>
        <v/>
      </c>
      <c r="H180" s="182">
        <f>SUMIF('①농산물raw'!$D:$D, $C180, '①농산물raw'!$H:$H)</f>
        <v/>
      </c>
      <c r="I180" s="183">
        <f>IF(COUNTIF('①농산물raw'!$D:$D, $C180)&gt;0, "O", "")</f>
        <v/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>
        <f>SUMIF('①농산물raw'!$D:$D, $C181, '①농산물raw'!$F:$F)</f>
        <v/>
      </c>
      <c r="G181" s="170">
        <f>SUMIF('①농산물raw'!$D:$D, $C181, '①농산물raw'!$G:$G)</f>
        <v/>
      </c>
      <c r="H181" s="182">
        <f>SUMIF('①농산물raw'!$D:$D, $C181, '①농산물raw'!$H:$H)</f>
        <v/>
      </c>
      <c r="I181" s="183">
        <f>IF(COUNTIF('①농산물raw'!$D:$D, $C181)&gt;0, "O", "")</f>
        <v/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>
        <f>SUMIF('①농산물raw'!$D:$D, $C182, '①농산물raw'!$F:$F)</f>
        <v/>
      </c>
      <c r="G182" s="170">
        <f>SUMIF('①농산물raw'!$D:$D, $C182, '①농산물raw'!$G:$G)</f>
        <v/>
      </c>
      <c r="H182" s="182">
        <f>SUMIF('①농산물raw'!$D:$D, $C182, '①농산물raw'!$H:$H)</f>
        <v/>
      </c>
      <c r="I182" s="183">
        <f>IF(COUNTIF('①농산물raw'!$D:$D, $C182)&gt;0, "O", "")</f>
        <v/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>
        <f>SUMIF('①농산물raw'!$D:$D, $C183, '①농산물raw'!$F:$F)</f>
        <v/>
      </c>
      <c r="G183" s="170">
        <f>SUMIF('①농산물raw'!$D:$D, $C183, '①농산물raw'!$G:$G)</f>
        <v/>
      </c>
      <c r="H183" s="182">
        <f>SUMIF('①농산물raw'!$D:$D, $C183, '①농산물raw'!$H:$H)</f>
        <v/>
      </c>
      <c r="I183" s="183">
        <f>IF(COUNTIF('①농산물raw'!$D:$D, $C183)&gt;0, "O", "")</f>
        <v/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>
        <f>SUMIF('①농산물raw'!$D:$D, $C184, '①농산물raw'!$F:$F)</f>
        <v/>
      </c>
      <c r="G184" s="170">
        <f>SUMIF('①농산물raw'!$D:$D, $C184, '①농산물raw'!$G:$G)</f>
        <v/>
      </c>
      <c r="H184" s="182">
        <f>SUMIF('①농산물raw'!$D:$D, $C184, '①농산물raw'!$H:$H)</f>
        <v/>
      </c>
      <c r="I184" s="183">
        <f>IF(COUNTIF('①농산물raw'!$D:$D, $C184)&gt;0, "O", "")</f>
        <v/>
      </c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>
        <f>SUMIF('①농산물raw'!$D:$D, $C185, '①농산물raw'!$F:$F)</f>
        <v/>
      </c>
      <c r="G185" s="170">
        <f>SUMIF('①농산물raw'!$D:$D, $C185, '①농산물raw'!$G:$G)</f>
        <v/>
      </c>
      <c r="H185" s="182">
        <f>SUMIF('①농산물raw'!$D:$D, $C185, '①농산물raw'!$H:$H)</f>
        <v/>
      </c>
      <c r="I185" s="183">
        <f>IF(COUNTIF('①농산물raw'!$D:$D, $C185)&gt;0, "O", "")</f>
        <v/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>
        <f>SUMIF('①농산물raw'!$D:$D, $C186, '①농산물raw'!$F:$F)</f>
        <v/>
      </c>
      <c r="G186" s="170">
        <f>SUMIF('①농산물raw'!$D:$D, $C186, '①농산물raw'!$G:$G)</f>
        <v/>
      </c>
      <c r="H186" s="182">
        <f>SUMIF('①농산물raw'!$D:$D, $C186, '①농산물raw'!$H:$H)</f>
        <v/>
      </c>
      <c r="I186" s="183">
        <f>IF(COUNTIF('①농산물raw'!$D:$D, $C186)&gt;0, "O", "")</f>
        <v/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>
        <f>SUMIF('①농산물raw'!$D:$D, $C187, '①농산물raw'!$F:$F)</f>
        <v/>
      </c>
      <c r="G187" s="170">
        <f>SUMIF('①농산물raw'!$D:$D, $C187, '①농산물raw'!$G:$G)</f>
        <v/>
      </c>
      <c r="H187" s="182">
        <f>SUMIF('①농산물raw'!$D:$D, $C187, '①농산물raw'!$H:$H)</f>
        <v/>
      </c>
      <c r="I187" s="183">
        <f>IF(COUNTIF('①농산물raw'!$D:$D, $C187)&gt;0, "O", "")</f>
        <v/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>
        <f>SUMIF('①농산물raw'!$D:$D, $C188, '①농산물raw'!$F:$F)</f>
        <v/>
      </c>
      <c r="G188" s="170">
        <f>SUMIF('①농산물raw'!$D:$D, $C188, '①농산물raw'!$G:$G)</f>
        <v/>
      </c>
      <c r="H188" s="182">
        <f>SUMIF('①농산물raw'!$D:$D, $C188, '①농산물raw'!$H:$H)</f>
        <v/>
      </c>
      <c r="I188" s="183">
        <f>IF(COUNTIF('①농산물raw'!$D:$D, $C188)&gt;0, "O", "")</f>
        <v/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>
        <f>SUMIF('①농산물raw'!$D:$D, $C189, '①농산물raw'!$F:$F)</f>
        <v/>
      </c>
      <c r="G189" s="170">
        <f>SUMIF('①농산물raw'!$D:$D, $C189, '①농산물raw'!$G:$G)</f>
        <v/>
      </c>
      <c r="H189" s="182">
        <f>SUMIF('①농산물raw'!$D:$D, $C189, '①농산물raw'!$H:$H)</f>
        <v/>
      </c>
      <c r="I189" s="183">
        <f>IF(COUNTIF('①농산물raw'!$D:$D, $C189)&gt;0, "O", "")</f>
        <v/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>
        <f>SUMIF('①농산물raw'!$D:$D, $C190, '①농산물raw'!$F:$F)</f>
        <v/>
      </c>
      <c r="G190" s="170">
        <f>SUMIF('①농산물raw'!$D:$D, $C190, '①농산물raw'!$G:$G)</f>
        <v/>
      </c>
      <c r="H190" s="182">
        <f>SUMIF('①농산물raw'!$D:$D, $C190, '①농산물raw'!$H:$H)</f>
        <v/>
      </c>
      <c r="I190" s="183">
        <f>IF(COUNTIF('①농산물raw'!$D:$D, $C190)&gt;0, "O", "")</f>
        <v/>
      </c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>
        <f>SUMIF('①농산물raw'!$D:$D, $C191, '①농산물raw'!$F:$F)</f>
        <v/>
      </c>
      <c r="G191" s="170">
        <f>SUMIF('①농산물raw'!$D:$D, $C191, '①농산물raw'!$G:$G)</f>
        <v/>
      </c>
      <c r="H191" s="182">
        <f>SUMIF('①농산물raw'!$D:$D, $C191, '①농산물raw'!$H:$H)</f>
        <v/>
      </c>
      <c r="I191" s="183">
        <f>IF(COUNTIF('①농산물raw'!$D:$D, $C191)&gt;0, "O", "")</f>
        <v/>
      </c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>
        <f>SUMIF('①농산물raw'!$D:$D, $C192, '①농산물raw'!$F:$F)</f>
        <v/>
      </c>
      <c r="G192" s="170">
        <f>SUMIF('①농산물raw'!$D:$D, $C192, '①농산물raw'!$G:$G)</f>
        <v/>
      </c>
      <c r="H192" s="182">
        <f>SUMIF('①농산물raw'!$D:$D, $C192, '①농산물raw'!$H:$H)</f>
        <v/>
      </c>
      <c r="I192" s="183">
        <f>IF(COUNTIF('①농산물raw'!$D:$D, $C192)&gt;0, "O", "")</f>
        <v/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>
        <f>SUMIF('①농산물raw'!$D:$D, $C193, '①농산물raw'!$F:$F)</f>
        <v/>
      </c>
      <c r="G193" s="170">
        <f>SUMIF('①농산물raw'!$D:$D, $C193, '①농산물raw'!$G:$G)</f>
        <v/>
      </c>
      <c r="H193" s="182">
        <f>SUMIF('①농산물raw'!$D:$D, $C193, '①농산물raw'!$H:$H)</f>
        <v/>
      </c>
      <c r="I193" s="183">
        <f>IF(COUNTIF('①농산물raw'!$D:$D, $C193)&gt;0, "O", "")</f>
        <v/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>
        <f>SUMIF('①농산물raw'!$D:$D, $C194, '①농산물raw'!$F:$F)</f>
        <v/>
      </c>
      <c r="G194" s="170">
        <f>SUMIF('①농산물raw'!$D:$D, $C194, '①농산물raw'!$G:$G)</f>
        <v/>
      </c>
      <c r="H194" s="182">
        <f>SUMIF('①농산물raw'!$D:$D, $C194, '①농산물raw'!$H:$H)</f>
        <v/>
      </c>
      <c r="I194" s="183">
        <f>IF(COUNTIF('①농산물raw'!$D:$D, $C194)&gt;0, "O", "")</f>
        <v/>
      </c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>
        <f>SUMIF('①농산물raw'!$D:$D, $C195, '①농산물raw'!$F:$F)</f>
        <v/>
      </c>
      <c r="G195" s="170">
        <f>SUMIF('①농산물raw'!$D:$D, $C195, '①농산물raw'!$G:$G)</f>
        <v/>
      </c>
      <c r="H195" s="182">
        <f>SUMIF('①농산물raw'!$D:$D, $C195, '①농산물raw'!$H:$H)</f>
        <v/>
      </c>
      <c r="I195" s="183">
        <f>IF(COUNTIF('①농산물raw'!$D:$D, $C195)&gt;0, "O", "")</f>
        <v/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>
        <f>SUMIF('①농산물raw'!$D:$D, $C196, '①농산물raw'!$F:$F)</f>
        <v/>
      </c>
      <c r="G196" s="170">
        <f>SUMIF('①농산물raw'!$D:$D, $C196, '①농산물raw'!$G:$G)</f>
        <v/>
      </c>
      <c r="H196" s="182">
        <f>SUMIF('①농산물raw'!$D:$D, $C196, '①농산물raw'!$H:$H)</f>
        <v/>
      </c>
      <c r="I196" s="183">
        <f>IF(COUNTIF('①농산물raw'!$D:$D, $C196)&gt;0, "O", "")</f>
        <v/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>
        <f>SUMIF('①농산물raw'!$D:$D, $C197, '①농산물raw'!$F:$F)</f>
        <v/>
      </c>
      <c r="G197" s="170">
        <f>SUMIF('①농산물raw'!$D:$D, $C197, '①농산물raw'!$G:$G)</f>
        <v/>
      </c>
      <c r="H197" s="182">
        <f>SUMIF('①농산물raw'!$D:$D, $C197, '①농산물raw'!$H:$H)</f>
        <v/>
      </c>
      <c r="I197" s="183">
        <f>IF(COUNTIF('①농산물raw'!$D:$D, $C197)&gt;0, "O", "")</f>
        <v/>
      </c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>
        <f>SUMIF('①농산물raw'!$D:$D, $C198, '①농산물raw'!$F:$F)</f>
        <v/>
      </c>
      <c r="G198" s="170">
        <f>SUMIF('①농산물raw'!$D:$D, $C198, '①농산물raw'!$G:$G)</f>
        <v/>
      </c>
      <c r="H198" s="182">
        <f>SUMIF('①농산물raw'!$D:$D, $C198, '①농산물raw'!$H:$H)</f>
        <v/>
      </c>
      <c r="I198" s="183">
        <f>IF(COUNTIF('①농산물raw'!$D:$D, $C198)&gt;0, "O", "")</f>
        <v/>
      </c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>
        <f>SUMIF('①농산물raw'!$D:$D, $C199, '①농산물raw'!$F:$F)</f>
        <v/>
      </c>
      <c r="G199" s="170">
        <f>SUMIF('①농산물raw'!$D:$D, $C199, '①농산물raw'!$G:$G)</f>
        <v/>
      </c>
      <c r="H199" s="182">
        <f>SUMIF('①농산물raw'!$D:$D, $C199, '①농산물raw'!$H:$H)</f>
        <v/>
      </c>
      <c r="I199" s="183">
        <f>IF(COUNTIF('①농산물raw'!$D:$D, $C199)&gt;0, "O", "")</f>
        <v/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>
        <f>SUMIF('①농산물raw'!$D:$D, $C200, '①농산물raw'!$F:$F)</f>
        <v/>
      </c>
      <c r="G200" s="170">
        <f>SUMIF('①농산물raw'!$D:$D, $C200, '①농산물raw'!$G:$G)</f>
        <v/>
      </c>
      <c r="H200" s="182">
        <f>SUMIF('①농산물raw'!$D:$D, $C200, '①농산물raw'!$H:$H)</f>
        <v/>
      </c>
      <c r="I200" s="183">
        <f>IF(COUNTIF('①농산물raw'!$D:$D, $C200)&gt;0, "O", "")</f>
        <v/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>
        <f>SUMIF('①농산물raw'!$D:$D, $C201, '①농산물raw'!$F:$F)</f>
        <v/>
      </c>
      <c r="G201" s="170">
        <f>SUMIF('①농산물raw'!$D:$D, $C201, '①농산물raw'!$G:$G)</f>
        <v/>
      </c>
      <c r="H201" s="182">
        <f>SUMIF('①농산물raw'!$D:$D, $C201, '①농산물raw'!$H:$H)</f>
        <v/>
      </c>
      <c r="I201" s="183">
        <f>IF(COUNTIF('①농산물raw'!$D:$D, $C201)&gt;0, "O", "")</f>
        <v/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>
        <f>SUMIF('①농산물raw'!$D:$D, $C202, '①농산물raw'!$F:$F)</f>
        <v/>
      </c>
      <c r="G202" s="170">
        <f>SUMIF('①농산물raw'!$D:$D, $C202, '①농산물raw'!$G:$G)</f>
        <v/>
      </c>
      <c r="H202" s="182">
        <f>SUMIF('①농산물raw'!$D:$D, $C202, '①농산물raw'!$H:$H)</f>
        <v/>
      </c>
      <c r="I202" s="183">
        <f>IF(COUNTIF('①농산물raw'!$D:$D, $C202)&gt;0, "O", "")</f>
        <v/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>
        <f>SUMIF('①농산물raw'!$D:$D, $C203, '①농산물raw'!$F:$F)</f>
        <v/>
      </c>
      <c r="G203" s="170">
        <f>SUMIF('①농산물raw'!$D:$D, $C203, '①농산물raw'!$G:$G)</f>
        <v/>
      </c>
      <c r="H203" s="182">
        <f>SUMIF('①농산물raw'!$D:$D, $C203, '①농산물raw'!$H:$H)</f>
        <v/>
      </c>
      <c r="I203" s="183">
        <f>IF(COUNTIF('①농산물raw'!$D:$D, $C203)&gt;0, "O", "")</f>
        <v/>
      </c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>
        <f>SUMIF('①농산물raw'!$D:$D, $C204, '①농산물raw'!$F:$F)</f>
        <v/>
      </c>
      <c r="G204" s="170">
        <f>SUMIF('①농산물raw'!$D:$D, $C204, '①농산물raw'!$G:$G)</f>
        <v/>
      </c>
      <c r="H204" s="182">
        <f>SUMIF('①농산물raw'!$D:$D, $C204, '①농산물raw'!$H:$H)</f>
        <v/>
      </c>
      <c r="I204" s="183">
        <f>IF(COUNTIF('①농산물raw'!$D:$D, $C204)&gt;0, "O", "")</f>
        <v/>
      </c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>
        <f>SUMIF('①농산물raw'!$D:$D, $C205, '①농산물raw'!$F:$F)</f>
        <v/>
      </c>
      <c r="G205" s="170">
        <f>SUMIF('①농산물raw'!$D:$D, $C205, '①농산물raw'!$G:$G)</f>
        <v/>
      </c>
      <c r="H205" s="182">
        <f>SUMIF('①농산물raw'!$D:$D, $C205, '①농산물raw'!$H:$H)</f>
        <v/>
      </c>
      <c r="I205" s="183">
        <f>IF(COUNTIF('①농산물raw'!$D:$D, $C205)&gt;0, "O", "")</f>
        <v/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>
        <f>SUMIF('①농산물raw'!$D:$D, $C206, '①농산물raw'!$F:$F)</f>
        <v/>
      </c>
      <c r="G206" s="170">
        <f>SUMIF('①농산물raw'!$D:$D, $C206, '①농산물raw'!$G:$G)</f>
        <v/>
      </c>
      <c r="H206" s="182">
        <f>SUMIF('①농산물raw'!$D:$D, $C206, '①농산물raw'!$H:$H)</f>
        <v/>
      </c>
      <c r="I206" s="183">
        <f>IF(COUNTIF('①농산물raw'!$D:$D, $C206)&gt;0, "O", "")</f>
        <v/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>
        <f>SUMIF('①농산물raw'!$D:$D, $C207, '①농산물raw'!$F:$F)</f>
        <v/>
      </c>
      <c r="G207" s="170">
        <f>SUMIF('①농산물raw'!$D:$D, $C207, '①농산물raw'!$G:$G)</f>
        <v/>
      </c>
      <c r="H207" s="182">
        <f>SUMIF('①농산물raw'!$D:$D, $C207, '①농산물raw'!$H:$H)</f>
        <v/>
      </c>
      <c r="I207" s="183">
        <f>IF(COUNTIF('①농산물raw'!$D:$D, $C207)&gt;0, "O", "")</f>
        <v/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>
        <f>SUMIF('①농산물raw'!$D:$D, $C208, '①농산물raw'!$F:$F)</f>
        <v/>
      </c>
      <c r="G208" s="170">
        <f>SUMIF('①농산물raw'!$D:$D, $C208, '①농산물raw'!$G:$G)</f>
        <v/>
      </c>
      <c r="H208" s="182">
        <f>SUMIF('①농산물raw'!$D:$D, $C208, '①농산물raw'!$H:$H)</f>
        <v/>
      </c>
      <c r="I208" s="183">
        <f>IF(COUNTIF('①농산물raw'!$D:$D, $C208)&gt;0, "O", "")</f>
        <v/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>
        <f>SUMIF('①농산물raw'!$D:$D, $C209, '①농산물raw'!$F:$F)</f>
        <v/>
      </c>
      <c r="G209" s="170">
        <f>SUMIF('①농산물raw'!$D:$D, $C209, '①농산물raw'!$G:$G)</f>
        <v/>
      </c>
      <c r="H209" s="182">
        <f>SUMIF('①농산물raw'!$D:$D, $C209, '①농산물raw'!$H:$H)</f>
        <v/>
      </c>
      <c r="I209" s="183">
        <f>IF(COUNTIF('①농산물raw'!$D:$D, $C209)&gt;0, "O", "")</f>
        <v/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>
        <f>SUMIF('①농산물raw'!$D:$D, $C210, '①농산물raw'!$F:$F)</f>
        <v/>
      </c>
      <c r="G210" s="170">
        <f>SUMIF('①농산물raw'!$D:$D, $C210, '①농산물raw'!$G:$G)</f>
        <v/>
      </c>
      <c r="H210" s="182">
        <f>SUMIF('①농산물raw'!$D:$D, $C210, '①농산물raw'!$H:$H)</f>
        <v/>
      </c>
      <c r="I210" s="183">
        <f>IF(COUNTIF('①농산물raw'!$D:$D, $C210)&gt;0, "O", "")</f>
        <v/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>
        <f>SUMIF('①농산물raw'!$D:$D, $C211, '①농산물raw'!$F:$F)</f>
        <v/>
      </c>
      <c r="G211" s="170">
        <f>SUMIF('①농산물raw'!$D:$D, $C211, '①농산물raw'!$G:$G)</f>
        <v/>
      </c>
      <c r="H211" s="182">
        <f>SUMIF('①농산물raw'!$D:$D, $C211, '①농산물raw'!$H:$H)</f>
        <v/>
      </c>
      <c r="I211" s="183">
        <f>IF(COUNTIF('①농산물raw'!$D:$D, $C211)&gt;0, "O", "")</f>
        <v/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>
        <f>SUMIF('①농산물raw'!$D:$D, $C212, '①농산물raw'!$F:$F)</f>
        <v/>
      </c>
      <c r="G212" s="170">
        <f>SUMIF('①농산물raw'!$D:$D, $C212, '①농산물raw'!$G:$G)</f>
        <v/>
      </c>
      <c r="H212" s="182">
        <f>SUMIF('①농산물raw'!$D:$D, $C212, '①농산물raw'!$H:$H)</f>
        <v/>
      </c>
      <c r="I212" s="183">
        <f>IF(COUNTIF('①농산물raw'!$D:$D, $C212)&gt;0, "O", "")</f>
        <v/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>
        <f>SUMIF('①농산물raw'!$D:$D, $C213, '①농산물raw'!$F:$F)</f>
        <v/>
      </c>
      <c r="G213" s="170">
        <f>SUMIF('①농산물raw'!$D:$D, $C213, '①농산물raw'!$G:$G)</f>
        <v/>
      </c>
      <c r="H213" s="182">
        <f>SUMIF('①농산물raw'!$D:$D, $C213, '①농산물raw'!$H:$H)</f>
        <v/>
      </c>
      <c r="I213" s="183">
        <f>IF(COUNTIF('①농산물raw'!$D:$D, $C213)&gt;0, "O", "")</f>
        <v/>
      </c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>
        <f>SUMIF('①농산물raw'!$D:$D, $C214, '①농산물raw'!$F:$F)</f>
        <v/>
      </c>
      <c r="G214" s="170">
        <f>SUMIF('①농산물raw'!$D:$D, $C214, '①농산물raw'!$G:$G)</f>
        <v/>
      </c>
      <c r="H214" s="182">
        <f>SUMIF('①농산물raw'!$D:$D, $C214, '①농산물raw'!$H:$H)</f>
        <v/>
      </c>
      <c r="I214" s="183">
        <f>IF(COUNTIF('①농산물raw'!$D:$D, $C214)&gt;0, "O", "")</f>
        <v/>
      </c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>
        <f>SUMIF('①농산물raw'!$D:$D, $C215, '①농산물raw'!$F:$F)</f>
        <v/>
      </c>
      <c r="G215" s="170">
        <f>SUMIF('①농산물raw'!$D:$D, $C215, '①농산물raw'!$G:$G)</f>
        <v/>
      </c>
      <c r="H215" s="182">
        <f>SUMIF('①농산물raw'!$D:$D, $C215, '①농산물raw'!$H:$H)</f>
        <v/>
      </c>
      <c r="I215" s="183">
        <f>IF(COUNTIF('①농산물raw'!$D:$D, $C215)&gt;0, "O", "")</f>
        <v/>
      </c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>
        <f>SUMIF('①농산물raw'!$D:$D, $C216, '①농산물raw'!$F:$F)</f>
        <v/>
      </c>
      <c r="G216" s="170">
        <f>SUMIF('①농산물raw'!$D:$D, $C216, '①농산물raw'!$G:$G)</f>
        <v/>
      </c>
      <c r="H216" s="182">
        <f>SUMIF('①농산물raw'!$D:$D, $C216, '①농산물raw'!$H:$H)</f>
        <v/>
      </c>
      <c r="I216" s="183">
        <f>IF(COUNTIF('①농산물raw'!$D:$D, $C216)&gt;0, "O", "")</f>
        <v/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>
        <f>SUMIF('①농산물raw'!$D:$D, $C217, '①농산물raw'!$F:$F)</f>
        <v/>
      </c>
      <c r="G217" s="170">
        <f>SUMIF('①농산물raw'!$D:$D, $C217, '①농산물raw'!$G:$G)</f>
        <v/>
      </c>
      <c r="H217" s="182">
        <f>SUMIF('①농산물raw'!$D:$D, $C217, '①농산물raw'!$H:$H)</f>
        <v/>
      </c>
      <c r="I217" s="183">
        <f>IF(COUNTIF('①농산물raw'!$D:$D, $C217)&gt;0, "O", "")</f>
        <v/>
      </c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>
        <f>SUMIF('①농산물raw'!$D:$D, $C218, '①농산물raw'!$F:$F)</f>
        <v/>
      </c>
      <c r="G218" s="170">
        <f>SUMIF('①농산물raw'!$D:$D, $C218, '①농산물raw'!$G:$G)</f>
        <v/>
      </c>
      <c r="H218" s="182">
        <f>SUMIF('①농산물raw'!$D:$D, $C218, '①농산물raw'!$H:$H)</f>
        <v/>
      </c>
      <c r="I218" s="183">
        <f>IF(COUNTIF('①농산물raw'!$D:$D, $C218)&gt;0, "O", "")</f>
        <v/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>
        <f>SUMIF('①농산물raw'!$D:$D, $C219, '①농산물raw'!$F:$F)</f>
        <v/>
      </c>
      <c r="G219" s="170">
        <f>SUMIF('①농산물raw'!$D:$D, $C219, '①농산물raw'!$G:$G)</f>
        <v/>
      </c>
      <c r="H219" s="182">
        <f>SUMIF('①농산물raw'!$D:$D, $C219, '①농산물raw'!$H:$H)</f>
        <v/>
      </c>
      <c r="I219" s="183">
        <f>IF(COUNTIF('①농산물raw'!$D:$D, $C219)&gt;0, "O", "")</f>
        <v/>
      </c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>
        <f>SUMIF('①농산물raw'!$D:$D, $C220, '①농산물raw'!$F:$F)</f>
        <v/>
      </c>
      <c r="G220" s="170">
        <f>SUMIF('①농산물raw'!$D:$D, $C220, '①농산물raw'!$G:$G)</f>
        <v/>
      </c>
      <c r="H220" s="182">
        <f>SUMIF('①농산물raw'!$D:$D, $C220, '①농산물raw'!$H:$H)</f>
        <v/>
      </c>
      <c r="I220" s="183">
        <f>IF(COUNTIF('①농산물raw'!$D:$D, $C220)&gt;0, "O", "")</f>
        <v/>
      </c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>
        <f>SUMIF('①농산물raw'!$D:$D, $C221, '①농산물raw'!$F:$F)</f>
        <v/>
      </c>
      <c r="G221" s="170">
        <f>SUMIF('①농산물raw'!$D:$D, $C221, '①농산물raw'!$G:$G)</f>
        <v/>
      </c>
      <c r="H221" s="182">
        <f>SUMIF('①농산물raw'!$D:$D, $C221, '①농산물raw'!$H:$H)</f>
        <v/>
      </c>
      <c r="I221" s="183">
        <f>IF(COUNTIF('①농산물raw'!$D:$D, $C221)&gt;0, "O", "")</f>
        <v/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>
        <f>SUMIF('①농산물raw'!$D:$D, $C222, '①농산물raw'!$F:$F)</f>
        <v/>
      </c>
      <c r="G222" s="170">
        <f>SUMIF('①농산물raw'!$D:$D, $C222, '①농산물raw'!$G:$G)</f>
        <v/>
      </c>
      <c r="H222" s="182">
        <f>SUMIF('①농산물raw'!$D:$D, $C222, '①농산물raw'!$H:$H)</f>
        <v/>
      </c>
      <c r="I222" s="183">
        <f>IF(COUNTIF('①농산물raw'!$D:$D, $C222)&gt;0, "O", "")</f>
        <v/>
      </c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>
        <f>SUMIF('①농산물raw'!$D:$D, $C223, '①농산물raw'!$F:$F)</f>
        <v/>
      </c>
      <c r="G223" s="170">
        <f>SUMIF('①농산물raw'!$D:$D, $C223, '①농산물raw'!$G:$G)</f>
        <v/>
      </c>
      <c r="H223" s="182">
        <f>SUMIF('①농산물raw'!$D:$D, $C223, '①농산물raw'!$H:$H)</f>
        <v/>
      </c>
      <c r="I223" s="183">
        <f>IF(COUNTIF('①농산물raw'!$D:$D, $C223)&gt;0, "O", "")</f>
        <v/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>
        <f>SUMIF('①농산물raw'!$D:$D, $C224, '①농산물raw'!$F:$F)</f>
        <v/>
      </c>
      <c r="G224" s="170">
        <f>SUMIF('①농산물raw'!$D:$D, $C224, '①농산물raw'!$G:$G)</f>
        <v/>
      </c>
      <c r="H224" s="182">
        <f>SUMIF('①농산물raw'!$D:$D, $C224, '①농산물raw'!$H:$H)</f>
        <v/>
      </c>
      <c r="I224" s="183">
        <f>IF(COUNTIF('①농산물raw'!$D:$D, $C224)&gt;0, "O", "")</f>
        <v/>
      </c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>
        <f>SUMIF('①농산물raw'!$D:$D, $C225, '①농산물raw'!$F:$F)</f>
        <v/>
      </c>
      <c r="G225" s="170">
        <f>SUMIF('①농산물raw'!$D:$D, $C225, '①농산물raw'!$G:$G)</f>
        <v/>
      </c>
      <c r="H225" s="182">
        <f>SUMIF('①농산물raw'!$D:$D, $C225, '①농산물raw'!$H:$H)</f>
        <v/>
      </c>
      <c r="I225" s="183">
        <f>IF(COUNTIF('①농산물raw'!$D:$D, $C225)&gt;0, "O", "")</f>
        <v/>
      </c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>
        <f>SUMIF('①농산물raw'!$D:$D, $C226, '①농산물raw'!$F:$F)</f>
        <v/>
      </c>
      <c r="G226" s="170">
        <f>SUMIF('①농산물raw'!$D:$D, $C226, '①농산물raw'!$G:$G)</f>
        <v/>
      </c>
      <c r="H226" s="182">
        <f>SUMIF('①농산물raw'!$D:$D, $C226, '①농산물raw'!$H:$H)</f>
        <v/>
      </c>
      <c r="I226" s="183">
        <f>IF(COUNTIF('①농산물raw'!$D:$D, $C226)&gt;0, "O", "")</f>
        <v/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>
        <f>SUMIF('①농산물raw'!$D:$D, $C227, '①농산물raw'!$F:$F)</f>
        <v/>
      </c>
      <c r="G227" s="170">
        <f>SUMIF('①농산물raw'!$D:$D, $C227, '①농산물raw'!$G:$G)</f>
        <v/>
      </c>
      <c r="H227" s="182">
        <f>SUMIF('①농산물raw'!$D:$D, $C227, '①농산물raw'!$H:$H)</f>
        <v/>
      </c>
      <c r="I227" s="183">
        <f>IF(COUNTIF('①농산물raw'!$D:$D, $C227)&gt;0, "O", "")</f>
        <v/>
      </c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>
        <f>SUMIF('①농산물raw'!$D:$D, $C228, '①농산물raw'!$F:$F)</f>
        <v/>
      </c>
      <c r="G228" s="170">
        <f>SUMIF('①농산물raw'!$D:$D, $C228, '①농산물raw'!$G:$G)</f>
        <v/>
      </c>
      <c r="H228" s="182">
        <f>SUMIF('①농산물raw'!$D:$D, $C228, '①농산물raw'!$H:$H)</f>
        <v/>
      </c>
      <c r="I228" s="183">
        <f>IF(COUNTIF('①농산물raw'!$D:$D, $C228)&gt;0, "O", "")</f>
        <v/>
      </c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>
        <f>SUMIF('①농산물raw'!$D:$D, $C229, '①농산물raw'!$F:$F)</f>
        <v/>
      </c>
      <c r="G229" s="170">
        <f>SUMIF('①농산물raw'!$D:$D, $C229, '①농산물raw'!$G:$G)</f>
        <v/>
      </c>
      <c r="H229" s="182">
        <f>SUMIF('①농산물raw'!$D:$D, $C229, '①농산물raw'!$H:$H)</f>
        <v/>
      </c>
      <c r="I229" s="183">
        <f>IF(COUNTIF('①농산물raw'!$D:$D, $C229)&gt;0, "O", "")</f>
        <v/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>
        <f>SUMIF('①농산물raw'!$D:$D, $C230, '①농산물raw'!$F:$F)</f>
        <v/>
      </c>
      <c r="G230" s="170">
        <f>SUMIF('①농산물raw'!$D:$D, $C230, '①농산물raw'!$G:$G)</f>
        <v/>
      </c>
      <c r="H230" s="182">
        <f>SUMIF('①농산물raw'!$D:$D, $C230, '①농산물raw'!$H:$H)</f>
        <v/>
      </c>
      <c r="I230" s="183">
        <f>IF(COUNTIF('①농산물raw'!$D:$D, $C230)&gt;0, "O", "")</f>
        <v/>
      </c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>
        <f>SUMIF('①농산물raw'!$D:$D, $C231, '①농산물raw'!$F:$F)</f>
        <v/>
      </c>
      <c r="G231" s="170">
        <f>SUMIF('①농산물raw'!$D:$D, $C231, '①농산물raw'!$G:$G)</f>
        <v/>
      </c>
      <c r="H231" s="182">
        <f>SUMIF('①농산물raw'!$D:$D, $C231, '①농산물raw'!$H:$H)</f>
        <v/>
      </c>
      <c r="I231" s="183">
        <f>IF(COUNTIF('①농산물raw'!$D:$D, $C231)&gt;0, "O", "")</f>
        <v/>
      </c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>
        <f>SUMIF('①농산물raw'!$D:$D, $C232, '①농산물raw'!$F:$F)</f>
        <v/>
      </c>
      <c r="G232" s="170">
        <f>SUMIF('①농산물raw'!$D:$D, $C232, '①농산물raw'!$G:$G)</f>
        <v/>
      </c>
      <c r="H232" s="182">
        <f>SUMIF('①농산물raw'!$D:$D, $C232, '①농산물raw'!$H:$H)</f>
        <v/>
      </c>
      <c r="I232" s="183">
        <f>IF(COUNTIF('①농산물raw'!$D:$D, $C232)&gt;0, "O", "")</f>
        <v/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>
        <f>SUMIF('①농산물raw'!$D:$D, $C233, '①농산물raw'!$F:$F)</f>
        <v/>
      </c>
      <c r="G233" s="170">
        <f>SUMIF('①농산물raw'!$D:$D, $C233, '①농산물raw'!$G:$G)</f>
        <v/>
      </c>
      <c r="H233" s="182">
        <f>SUMIF('①농산물raw'!$D:$D, $C233, '①농산물raw'!$H:$H)</f>
        <v/>
      </c>
      <c r="I233" s="183">
        <f>IF(COUNTIF('①농산물raw'!$D:$D, $C233)&gt;0, "O", "")</f>
        <v/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>
        <f>SUMIF('①농산물raw'!$D:$D, $C234, '①농산물raw'!$F:$F)</f>
        <v/>
      </c>
      <c r="G234" s="170">
        <f>SUMIF('①농산물raw'!$D:$D, $C234, '①농산물raw'!$G:$G)</f>
        <v/>
      </c>
      <c r="H234" s="182">
        <f>SUMIF('①농산물raw'!$D:$D, $C234, '①농산물raw'!$H:$H)</f>
        <v/>
      </c>
      <c r="I234" s="183">
        <f>IF(COUNTIF('①농산물raw'!$D:$D, $C234)&gt;0, "O", "")</f>
        <v/>
      </c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>
        <f>SUMIF('①농산물raw'!$D:$D, $C235, '①농산물raw'!$F:$F)</f>
        <v/>
      </c>
      <c r="G235" s="170">
        <f>SUMIF('①농산물raw'!$D:$D, $C235, '①농산물raw'!$G:$G)</f>
        <v/>
      </c>
      <c r="H235" s="182">
        <f>SUMIF('①농산물raw'!$D:$D, $C235, '①농산물raw'!$H:$H)</f>
        <v/>
      </c>
      <c r="I235" s="183">
        <f>IF(COUNTIF('①농산물raw'!$D:$D, $C235)&gt;0, "O", "")</f>
        <v/>
      </c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>
        <f>SUMIF('①농산물raw'!$D:$D, $C236, '①농산물raw'!$F:$F)</f>
        <v/>
      </c>
      <c r="G236" s="170">
        <f>SUMIF('①농산물raw'!$D:$D, $C236, '①농산물raw'!$G:$G)</f>
        <v/>
      </c>
      <c r="H236" s="182">
        <f>SUMIF('①농산물raw'!$D:$D, $C236, '①농산물raw'!$H:$H)</f>
        <v/>
      </c>
      <c r="I236" s="183">
        <f>IF(COUNTIF('①농산물raw'!$D:$D, $C236)&gt;0, "O", "")</f>
        <v/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>
        <f>SUMIF('①농산물raw'!$D:$D, $C237, '①농산물raw'!$F:$F)</f>
        <v/>
      </c>
      <c r="G237" s="170">
        <f>SUMIF('①농산물raw'!$D:$D, $C237, '①농산물raw'!$G:$G)</f>
        <v/>
      </c>
      <c r="H237" s="182">
        <f>SUMIF('①농산물raw'!$D:$D, $C237, '①농산물raw'!$H:$H)</f>
        <v/>
      </c>
      <c r="I237" s="183">
        <f>IF(COUNTIF('①농산물raw'!$D:$D, $C237)&gt;0, "O", "")</f>
        <v/>
      </c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>
        <f>SUMIF('①농산물raw'!$D:$D, $C238, '①농산물raw'!$F:$F)</f>
        <v/>
      </c>
      <c r="G238" s="170">
        <f>SUMIF('①농산물raw'!$D:$D, $C238, '①농산물raw'!$G:$G)</f>
        <v/>
      </c>
      <c r="H238" s="182">
        <f>SUMIF('①농산물raw'!$D:$D, $C238, '①농산물raw'!$H:$H)</f>
        <v/>
      </c>
      <c r="I238" s="183">
        <f>IF(COUNTIF('①농산물raw'!$D:$D, $C238)&gt;0, "O", "")</f>
        <v/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>
        <f>SUMIF('①농산물raw'!$D:$D, $C239, '①농산물raw'!$F:$F)</f>
        <v/>
      </c>
      <c r="G239" s="170">
        <f>SUMIF('①농산물raw'!$D:$D, $C239, '①농산물raw'!$G:$G)</f>
        <v/>
      </c>
      <c r="H239" s="182">
        <f>SUMIF('①농산물raw'!$D:$D, $C239, '①농산물raw'!$H:$H)</f>
        <v/>
      </c>
      <c r="I239" s="183">
        <f>IF(COUNTIF('①농산물raw'!$D:$D, $C239)&gt;0, "O", "")</f>
        <v/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>
        <f>SUMIF('①농산물raw'!$D:$D, $C240, '①농산물raw'!$F:$F)</f>
        <v/>
      </c>
      <c r="G240" s="170">
        <f>SUMIF('①농산물raw'!$D:$D, $C240, '①농산물raw'!$G:$G)</f>
        <v/>
      </c>
      <c r="H240" s="182">
        <f>SUMIF('①농산물raw'!$D:$D, $C240, '①농산물raw'!$H:$H)</f>
        <v/>
      </c>
      <c r="I240" s="183">
        <f>IF(COUNTIF('①농산물raw'!$D:$D, $C240)&gt;0, "O", "")</f>
        <v/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>
        <f>SUMIF('①농산물raw'!$D:$D, $C241, '①농산물raw'!$F:$F)</f>
        <v/>
      </c>
      <c r="G241" s="170">
        <f>SUMIF('①농산물raw'!$D:$D, $C241, '①농산물raw'!$G:$G)</f>
        <v/>
      </c>
      <c r="H241" s="182">
        <f>SUMIF('①농산물raw'!$D:$D, $C241, '①농산물raw'!$H:$H)</f>
        <v/>
      </c>
      <c r="I241" s="183">
        <f>IF(COUNTIF('①농산물raw'!$D:$D, $C241)&gt;0, "O", "")</f>
        <v/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>
        <f>SUMIF('①농산물raw'!$D:$D, $C242, '①농산물raw'!$F:$F)</f>
        <v/>
      </c>
      <c r="G242" s="170">
        <f>SUMIF('①농산물raw'!$D:$D, $C242, '①농산물raw'!$G:$G)</f>
        <v/>
      </c>
      <c r="H242" s="182">
        <f>SUMIF('①농산물raw'!$D:$D, $C242, '①농산물raw'!$H:$H)</f>
        <v/>
      </c>
      <c r="I242" s="183">
        <f>IF(COUNTIF('①농산물raw'!$D:$D, $C242)&gt;0, "O", "")</f>
        <v/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>
        <f>SUMIF('①농산물raw'!$D:$D, $C243, '①농산물raw'!$F:$F)</f>
        <v/>
      </c>
      <c r="G243" s="170">
        <f>SUMIF('①농산물raw'!$D:$D, $C243, '①농산물raw'!$G:$G)</f>
        <v/>
      </c>
      <c r="H243" s="182">
        <f>SUMIF('①농산물raw'!$D:$D, $C243, '①농산물raw'!$H:$H)</f>
        <v/>
      </c>
      <c r="I243" s="183">
        <f>IF(COUNTIF('①농산물raw'!$D:$D, $C243)&gt;0, "O", "")</f>
        <v/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>
        <f>SUMIF('①농산물raw'!$D:$D, $C244, '①농산물raw'!$F:$F)</f>
        <v/>
      </c>
      <c r="G244" s="170">
        <f>SUMIF('①농산물raw'!$D:$D, $C244, '①농산물raw'!$G:$G)</f>
        <v/>
      </c>
      <c r="H244" s="182">
        <f>SUMIF('①농산물raw'!$D:$D, $C244, '①농산물raw'!$H:$H)</f>
        <v/>
      </c>
      <c r="I244" s="183">
        <f>IF(COUNTIF('①농산물raw'!$D:$D, $C244)&gt;0, "O", "")</f>
        <v/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>
        <f>SUMIF('①농산물raw'!$D:$D, $C245, '①농산물raw'!$F:$F)</f>
        <v/>
      </c>
      <c r="G245" s="170">
        <f>SUMIF('①농산물raw'!$D:$D, $C245, '①농산물raw'!$G:$G)</f>
        <v/>
      </c>
      <c r="H245" s="182">
        <f>SUMIF('①농산물raw'!$D:$D, $C245, '①농산물raw'!$H:$H)</f>
        <v/>
      </c>
      <c r="I245" s="183">
        <f>IF(COUNTIF('①농산물raw'!$D:$D, $C245)&gt;0, "O", "")</f>
        <v/>
      </c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>
        <f>SUMIF('①농산물raw'!$D:$D, $C246, '①농산물raw'!$F:$F)</f>
        <v/>
      </c>
      <c r="G246" s="170">
        <f>SUMIF('①농산물raw'!$D:$D, $C246, '①농산물raw'!$G:$G)</f>
        <v/>
      </c>
      <c r="H246" s="182">
        <f>SUMIF('①농산물raw'!$D:$D, $C246, '①농산물raw'!$H:$H)</f>
        <v/>
      </c>
      <c r="I246" s="183">
        <f>IF(COUNTIF('①농산물raw'!$D:$D, $C246)&gt;0, "O", "")</f>
        <v/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>
        <f>SUMIF('①농산물raw'!$D:$D, $C247, '①농산물raw'!$F:$F)</f>
        <v/>
      </c>
      <c r="G247" s="170">
        <f>SUMIF('①농산물raw'!$D:$D, $C247, '①농산물raw'!$G:$G)</f>
        <v/>
      </c>
      <c r="H247" s="182">
        <f>SUMIF('①농산물raw'!$D:$D, $C247, '①농산물raw'!$H:$H)</f>
        <v/>
      </c>
      <c r="I247" s="183">
        <f>IF(COUNTIF('①농산물raw'!$D:$D, $C247)&gt;0, "O", "")</f>
        <v/>
      </c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>
        <f>SUMIF('①농산물raw'!$D:$D, $C248, '①농산물raw'!$F:$F)</f>
        <v/>
      </c>
      <c r="G248" s="170">
        <f>SUMIF('①농산물raw'!$D:$D, $C248, '①농산물raw'!$G:$G)</f>
        <v/>
      </c>
      <c r="H248" s="182">
        <f>SUMIF('①농산물raw'!$D:$D, $C248, '①농산물raw'!$H:$H)</f>
        <v/>
      </c>
      <c r="I248" s="183">
        <f>IF(COUNTIF('①농산물raw'!$D:$D, $C248)&gt;0, "O", "")</f>
        <v/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>
        <f>SUMIF('①농산물raw'!$D:$D, $C249, '①농산물raw'!$F:$F)</f>
        <v/>
      </c>
      <c r="G249" s="170">
        <f>SUMIF('①농산물raw'!$D:$D, $C249, '①농산물raw'!$G:$G)</f>
        <v/>
      </c>
      <c r="H249" s="182">
        <f>SUMIF('①농산물raw'!$D:$D, $C249, '①농산물raw'!$H:$H)</f>
        <v/>
      </c>
      <c r="I249" s="183">
        <f>IF(COUNTIF('①농산물raw'!$D:$D, $C249)&gt;0, "O", "")</f>
        <v/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>
        <f>SUMIF('①농산물raw'!$D:$D, $C250, '①농산물raw'!$F:$F)</f>
        <v/>
      </c>
      <c r="G250" s="170">
        <f>SUMIF('①농산물raw'!$D:$D, $C250, '①농산물raw'!$G:$G)</f>
        <v/>
      </c>
      <c r="H250" s="182">
        <f>SUMIF('①농산물raw'!$D:$D, $C250, '①농산물raw'!$H:$H)</f>
        <v/>
      </c>
      <c r="I250" s="183">
        <f>IF(COUNTIF('①농산물raw'!$D:$D, $C250)&gt;0, "O", "")</f>
        <v/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>
        <f>SUMIF('①농산물raw'!$D:$D, $C251, '①농산물raw'!$F:$F)</f>
        <v/>
      </c>
      <c r="G251" s="170">
        <f>SUMIF('①농산물raw'!$D:$D, $C251, '①농산물raw'!$G:$G)</f>
        <v/>
      </c>
      <c r="H251" s="182">
        <f>SUMIF('①농산물raw'!$D:$D, $C251, '①농산물raw'!$H:$H)</f>
        <v/>
      </c>
      <c r="I251" s="183">
        <f>IF(COUNTIF('①농산물raw'!$D:$D, $C251)&gt;0, "O", "")</f>
        <v/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>
        <f>SUMIF('①농산물raw'!$D:$D, $C252, '①농산물raw'!$F:$F)</f>
        <v/>
      </c>
      <c r="G252" s="170">
        <f>SUMIF('①농산물raw'!$D:$D, $C252, '①농산물raw'!$G:$G)</f>
        <v/>
      </c>
      <c r="H252" s="182">
        <f>SUMIF('①농산물raw'!$D:$D, $C252, '①농산물raw'!$H:$H)</f>
        <v/>
      </c>
      <c r="I252" s="183">
        <f>IF(COUNTIF('①농산물raw'!$D:$D, $C252)&gt;0, "O", "")</f>
        <v/>
      </c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>
        <f>SUMIF('①농산물raw'!$D:$D, $C253, '①농산물raw'!$F:$F)</f>
        <v/>
      </c>
      <c r="G253" s="170">
        <f>SUMIF('①농산물raw'!$D:$D, $C253, '①농산물raw'!$G:$G)</f>
        <v/>
      </c>
      <c r="H253" s="182">
        <f>SUMIF('①농산물raw'!$D:$D, $C253, '①농산물raw'!$H:$H)</f>
        <v/>
      </c>
      <c r="I253" s="183">
        <f>IF(COUNTIF('①농산물raw'!$D:$D, $C253)&gt;0, "O", "")</f>
        <v/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>
        <f>SUMIF('①농산물raw'!$D:$D, $C254, '①농산물raw'!$F:$F)</f>
        <v/>
      </c>
      <c r="G254" s="170">
        <f>SUMIF('①농산물raw'!$D:$D, $C254, '①농산물raw'!$G:$G)</f>
        <v/>
      </c>
      <c r="H254" s="182">
        <f>SUMIF('①농산물raw'!$D:$D, $C254, '①농산물raw'!$H:$H)</f>
        <v/>
      </c>
      <c r="I254" s="183">
        <f>IF(COUNTIF('①농산물raw'!$D:$D, $C254)&gt;0, "O", "")</f>
        <v/>
      </c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>
        <f>SUMIF('①농산물raw'!$D:$D, $C255, '①농산물raw'!$F:$F)</f>
        <v/>
      </c>
      <c r="G255" s="170">
        <f>SUMIF('①농산물raw'!$D:$D, $C255, '①농산물raw'!$G:$G)</f>
        <v/>
      </c>
      <c r="H255" s="182">
        <f>SUMIF('①농산물raw'!$D:$D, $C255, '①농산물raw'!$H:$H)</f>
        <v/>
      </c>
      <c r="I255" s="183">
        <f>IF(COUNTIF('①농산물raw'!$D:$D, $C255)&gt;0, "O", "")</f>
        <v/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>
        <f>SUMIF('①농산물raw'!$D:$D, $C256, '①농산물raw'!$F:$F)</f>
        <v/>
      </c>
      <c r="G256" s="170">
        <f>SUMIF('①농산물raw'!$D:$D, $C256, '①농산물raw'!$G:$G)</f>
        <v/>
      </c>
      <c r="H256" s="182">
        <f>SUMIF('①농산물raw'!$D:$D, $C256, '①농산물raw'!$H:$H)</f>
        <v/>
      </c>
      <c r="I256" s="183">
        <f>IF(COUNTIF('①농산물raw'!$D:$D, $C256)&gt;0, "O", "")</f>
        <v/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>
        <f>SUMIF('①농산물raw'!$D:$D, $C257, '①농산물raw'!$F:$F)</f>
        <v/>
      </c>
      <c r="G257" s="170">
        <f>SUMIF('①농산물raw'!$D:$D, $C257, '①농산물raw'!$G:$G)</f>
        <v/>
      </c>
      <c r="H257" s="182">
        <f>SUMIF('①농산물raw'!$D:$D, $C257, '①농산물raw'!$H:$H)</f>
        <v/>
      </c>
      <c r="I257" s="183">
        <f>IF(COUNTIF('①농산물raw'!$D:$D, $C257)&gt;0, "O", "")</f>
        <v/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>
        <f>SUMIF('①농산물raw'!$D:$D, $C258, '①농산물raw'!$F:$F)</f>
        <v/>
      </c>
      <c r="G258" s="170">
        <f>SUMIF('①농산물raw'!$D:$D, $C258, '①농산물raw'!$G:$G)</f>
        <v/>
      </c>
      <c r="H258" s="182">
        <f>SUMIF('①농산물raw'!$D:$D, $C258, '①농산물raw'!$H:$H)</f>
        <v/>
      </c>
      <c r="I258" s="183">
        <f>IF(COUNTIF('①농산물raw'!$D:$D, $C258)&gt;0, "O", "")</f>
        <v/>
      </c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>
        <f>SUMIF('①농산물raw'!$D:$D, $C259, '①농산물raw'!$F:$F)</f>
        <v/>
      </c>
      <c r="G259" s="170">
        <f>SUMIF('①농산물raw'!$D:$D, $C259, '①농산물raw'!$G:$G)</f>
        <v/>
      </c>
      <c r="H259" s="182">
        <f>SUMIF('①농산물raw'!$D:$D, $C259, '①농산물raw'!$H:$H)</f>
        <v/>
      </c>
      <c r="I259" s="183">
        <f>IF(COUNTIF('①농산물raw'!$D:$D, $C259)&gt;0, "O", "")</f>
        <v/>
      </c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>
        <f>SUMIF('①농산물raw'!$D:$D, $C260, '①농산물raw'!$F:$F)</f>
        <v/>
      </c>
      <c r="G260" s="170">
        <f>SUMIF('①농산물raw'!$D:$D, $C260, '①농산물raw'!$G:$G)</f>
        <v/>
      </c>
      <c r="H260" s="182">
        <f>SUMIF('①농산물raw'!$D:$D, $C260, '①농산물raw'!$H:$H)</f>
        <v/>
      </c>
      <c r="I260" s="183">
        <f>IF(COUNTIF('①농산물raw'!$D:$D, $C260)&gt;0, "O", "")</f>
        <v/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>
        <f>SUMIF('①농산물raw'!$D:$D, $C261, '①농산물raw'!$F:$F)</f>
        <v/>
      </c>
      <c r="G261" s="170">
        <f>SUMIF('①농산물raw'!$D:$D, $C261, '①농산물raw'!$G:$G)</f>
        <v/>
      </c>
      <c r="H261" s="182">
        <f>SUMIF('①농산물raw'!$D:$D, $C261, '①농산물raw'!$H:$H)</f>
        <v/>
      </c>
      <c r="I261" s="183">
        <f>IF(COUNTIF('①농산물raw'!$D:$D, $C261)&gt;0, "O", "")</f>
        <v/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>
        <f>SUMIF('①농산물raw'!$D:$D, $C262, '①농산물raw'!$F:$F)</f>
        <v/>
      </c>
      <c r="G262" s="170">
        <f>SUMIF('①농산물raw'!$D:$D, $C262, '①농산물raw'!$G:$G)</f>
        <v/>
      </c>
      <c r="H262" s="182">
        <f>SUMIF('①농산물raw'!$D:$D, $C262, '①농산물raw'!$H:$H)</f>
        <v/>
      </c>
      <c r="I262" s="183">
        <f>IF(COUNTIF('①농산물raw'!$D:$D, $C262)&gt;0, "O", "")</f>
        <v/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>
        <f>SUMIF('①농산물raw'!$D:$D, $C263, '①농산물raw'!$F:$F)</f>
        <v/>
      </c>
      <c r="G263" s="170">
        <f>SUMIF('①농산물raw'!$D:$D, $C263, '①농산물raw'!$G:$G)</f>
        <v/>
      </c>
      <c r="H263" s="182">
        <f>SUMIF('①농산물raw'!$D:$D, $C263, '①농산물raw'!$H:$H)</f>
        <v/>
      </c>
      <c r="I263" s="183">
        <f>IF(COUNTIF('①농산물raw'!$D:$D, $C263)&gt;0, "O", "")</f>
        <v/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>
        <f>SUMIF('①농산물raw'!$D:$D, $C264, '①농산물raw'!$F:$F)</f>
        <v/>
      </c>
      <c r="G264" s="170">
        <f>SUMIF('①농산물raw'!$D:$D, $C264, '①농산물raw'!$G:$G)</f>
        <v/>
      </c>
      <c r="H264" s="182">
        <f>SUMIF('①농산물raw'!$D:$D, $C264, '①농산물raw'!$H:$H)</f>
        <v/>
      </c>
      <c r="I264" s="183">
        <f>IF(COUNTIF('①농산물raw'!$D:$D, $C264)&gt;0, "O", "")</f>
        <v/>
      </c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>
        <f>SUMIF('①농산물raw'!$D:$D, $C265, '①농산물raw'!$F:$F)</f>
        <v/>
      </c>
      <c r="G265" s="170">
        <f>SUMIF('①농산물raw'!$D:$D, $C265, '①농산물raw'!$G:$G)</f>
        <v/>
      </c>
      <c r="H265" s="182">
        <f>SUMIF('①농산물raw'!$D:$D, $C265, '①농산물raw'!$H:$H)</f>
        <v/>
      </c>
      <c r="I265" s="183">
        <f>IF(COUNTIF('①농산물raw'!$D:$D, $C265)&gt;0, "O", "")</f>
        <v/>
      </c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>
        <f>SUMIF('①농산물raw'!$D:$D, $C266, '①농산물raw'!$F:$F)</f>
        <v/>
      </c>
      <c r="G266" s="170">
        <f>SUMIF('①농산물raw'!$D:$D, $C266, '①농산물raw'!$G:$G)</f>
        <v/>
      </c>
      <c r="H266" s="182">
        <f>SUMIF('①농산물raw'!$D:$D, $C266, '①농산물raw'!$H:$H)</f>
        <v/>
      </c>
      <c r="I266" s="183">
        <f>IF(COUNTIF('①농산물raw'!$D:$D, $C266)&gt;0, "O", "")</f>
        <v/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>
        <f>SUMIF('①농산물raw'!$D:$D, $C267, '①농산물raw'!$F:$F)</f>
        <v/>
      </c>
      <c r="G267" s="170">
        <f>SUMIF('①농산물raw'!$D:$D, $C267, '①농산물raw'!$G:$G)</f>
        <v/>
      </c>
      <c r="H267" s="182">
        <f>SUMIF('①농산물raw'!$D:$D, $C267, '①농산물raw'!$H:$H)</f>
        <v/>
      </c>
      <c r="I267" s="183">
        <f>IF(COUNTIF('①농산물raw'!$D:$D, $C267)&gt;0, "O", "")</f>
        <v/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>
        <f>SUMIF('①농산물raw'!$D:$D, $C268, '①농산물raw'!$F:$F)</f>
        <v/>
      </c>
      <c r="G268" s="170">
        <f>SUMIF('①농산물raw'!$D:$D, $C268, '①농산물raw'!$G:$G)</f>
        <v/>
      </c>
      <c r="H268" s="182">
        <f>SUMIF('①농산물raw'!$D:$D, $C268, '①농산물raw'!$H:$H)</f>
        <v/>
      </c>
      <c r="I268" s="183">
        <f>IF(COUNTIF('①농산물raw'!$D:$D, $C268)&gt;0, "O", "")</f>
        <v/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>
        <f>SUMIF('①농산물raw'!$D:$D, $C269, '①농산물raw'!$F:$F)</f>
        <v/>
      </c>
      <c r="G269" s="170">
        <f>SUMIF('①농산물raw'!$D:$D, $C269, '①농산물raw'!$G:$G)</f>
        <v/>
      </c>
      <c r="H269" s="182">
        <f>SUMIF('①농산물raw'!$D:$D, $C269, '①농산물raw'!$H:$H)</f>
        <v/>
      </c>
      <c r="I269" s="183">
        <f>IF(COUNTIF('①농산물raw'!$D:$D, $C269)&gt;0, "O", "")</f>
        <v/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>
        <f>SUMIF('①농산물raw'!$D:$D, $C270, '①농산물raw'!$F:$F)</f>
        <v/>
      </c>
      <c r="G270" s="170">
        <f>SUMIF('①농산물raw'!$D:$D, $C270, '①농산물raw'!$G:$G)</f>
        <v/>
      </c>
      <c r="H270" s="182">
        <f>SUMIF('①농산물raw'!$D:$D, $C270, '①농산물raw'!$H:$H)</f>
        <v/>
      </c>
      <c r="I270" s="183">
        <f>IF(COUNTIF('①농산물raw'!$D:$D, $C270)&gt;0, "O", "")</f>
        <v/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>
        <f>SUMIF('①농산물raw'!$D:$D, $C271, '①농산물raw'!$F:$F)</f>
        <v/>
      </c>
      <c r="G271" s="170">
        <f>SUMIF('①농산물raw'!$D:$D, $C271, '①농산물raw'!$G:$G)</f>
        <v/>
      </c>
      <c r="H271" s="182">
        <f>SUMIF('①농산물raw'!$D:$D, $C271, '①농산물raw'!$H:$H)</f>
        <v/>
      </c>
      <c r="I271" s="183">
        <f>IF(COUNTIF('①농산물raw'!$D:$D, $C271)&gt;0, "O", "")</f>
        <v/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>
        <f>SUMIF('①농산물raw'!$D:$D, $C272, '①농산물raw'!$F:$F)</f>
        <v/>
      </c>
      <c r="G272" s="170">
        <f>SUMIF('①농산물raw'!$D:$D, $C272, '①농산물raw'!$G:$G)</f>
        <v/>
      </c>
      <c r="H272" s="182">
        <f>SUMIF('①농산물raw'!$D:$D, $C272, '①농산물raw'!$H:$H)</f>
        <v/>
      </c>
      <c r="I272" s="183">
        <f>IF(COUNTIF('①농산물raw'!$D:$D, $C272)&gt;0, "O", "")</f>
        <v/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>
        <f>SUMIF('①농산물raw'!$D:$D, $C273, '①농산물raw'!$F:$F)</f>
        <v/>
      </c>
      <c r="G273" s="170">
        <f>SUMIF('①농산물raw'!$D:$D, $C273, '①농산물raw'!$G:$G)</f>
        <v/>
      </c>
      <c r="H273" s="182">
        <f>SUMIF('①농산물raw'!$D:$D, $C273, '①농산물raw'!$H:$H)</f>
        <v/>
      </c>
      <c r="I273" s="183">
        <f>IF(COUNTIF('①농산물raw'!$D:$D, $C273)&gt;0, "O", "")</f>
        <v/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>
        <f>SUMIF('①농산물raw'!$D:$D, $C274, '①농산물raw'!$F:$F)</f>
        <v/>
      </c>
      <c r="G274" s="170">
        <f>SUMIF('①농산물raw'!$D:$D, $C274, '①농산물raw'!$G:$G)</f>
        <v/>
      </c>
      <c r="H274" s="182">
        <f>SUMIF('①농산물raw'!$D:$D, $C274, '①농산물raw'!$H:$H)</f>
        <v/>
      </c>
      <c r="I274" s="183">
        <f>IF(COUNTIF('①농산물raw'!$D:$D, $C274)&gt;0, "O", "")</f>
        <v/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>
        <f>SUMIF('①농산물raw'!$D:$D, $C275, '①농산물raw'!$F:$F)</f>
        <v/>
      </c>
      <c r="G275" s="170">
        <f>SUMIF('①농산물raw'!$D:$D, $C275, '①농산물raw'!$G:$G)</f>
        <v/>
      </c>
      <c r="H275" s="182">
        <f>SUMIF('①농산물raw'!$D:$D, $C275, '①농산물raw'!$H:$H)</f>
        <v/>
      </c>
      <c r="I275" s="183">
        <f>IF(COUNTIF('①농산물raw'!$D:$D, $C275)&gt;0, "O", "")</f>
        <v/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>
        <f>SUMIF('①농산물raw'!$D:$D, $C276, '①농산물raw'!$F:$F)</f>
        <v/>
      </c>
      <c r="G276" s="170">
        <f>SUMIF('①농산물raw'!$D:$D, $C276, '①농산물raw'!$G:$G)</f>
        <v/>
      </c>
      <c r="H276" s="182">
        <f>SUMIF('①농산물raw'!$D:$D, $C276, '①농산물raw'!$H:$H)</f>
        <v/>
      </c>
      <c r="I276" s="183">
        <f>IF(COUNTIF('①농산물raw'!$D:$D, $C276)&gt;0, "O", "")</f>
        <v/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>
        <f>SUMIF('①농산물raw'!$D:$D, $C277, '①농산물raw'!$F:$F)</f>
        <v/>
      </c>
      <c r="G277" s="170">
        <f>SUMIF('①농산물raw'!$D:$D, $C277, '①농산물raw'!$G:$G)</f>
        <v/>
      </c>
      <c r="H277" s="182">
        <f>SUMIF('①농산물raw'!$D:$D, $C277, '①농산물raw'!$H:$H)</f>
        <v/>
      </c>
      <c r="I277" s="183">
        <f>IF(COUNTIF('①농산물raw'!$D:$D, $C277)&gt;0, "O", "")</f>
        <v/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>
        <f>SUMIF('①농산물raw'!$D:$D, $C278, '①농산물raw'!$F:$F)</f>
        <v/>
      </c>
      <c r="G278" s="170">
        <f>SUMIF('①농산물raw'!$D:$D, $C278, '①농산물raw'!$G:$G)</f>
        <v/>
      </c>
      <c r="H278" s="182">
        <f>SUMIF('①농산물raw'!$D:$D, $C278, '①농산물raw'!$H:$H)</f>
        <v/>
      </c>
      <c r="I278" s="183">
        <f>IF(COUNTIF('①농산물raw'!$D:$D, $C278)&gt;0, "O", "")</f>
        <v/>
      </c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>
        <f>SUMIF('①농산물raw'!$D:$D, $C279, '①농산물raw'!$F:$F)</f>
        <v/>
      </c>
      <c r="G279" s="170">
        <f>SUMIF('①농산물raw'!$D:$D, $C279, '①농산물raw'!$G:$G)</f>
        <v/>
      </c>
      <c r="H279" s="182">
        <f>SUMIF('①농산물raw'!$D:$D, $C279, '①농산물raw'!$H:$H)</f>
        <v/>
      </c>
      <c r="I279" s="183">
        <f>IF(COUNTIF('①농산물raw'!$D:$D, $C279)&gt;0, "O", "")</f>
        <v/>
      </c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>
        <f>SUMIF('①농산물raw'!$D:$D, $C280, '①농산물raw'!$F:$F)</f>
        <v/>
      </c>
      <c r="G280" s="170">
        <f>SUMIF('①농산물raw'!$D:$D, $C280, '①농산물raw'!$G:$G)</f>
        <v/>
      </c>
      <c r="H280" s="182">
        <f>SUMIF('①농산물raw'!$D:$D, $C280, '①농산물raw'!$H:$H)</f>
        <v/>
      </c>
      <c r="I280" s="183">
        <f>IF(COUNTIF('①농산물raw'!$D:$D, $C280)&gt;0, "O", "")</f>
        <v/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>
        <f>SUMIF('①농산물raw'!$D:$D, $C281, '①농산물raw'!$F:$F)</f>
        <v/>
      </c>
      <c r="G281" s="170">
        <f>SUMIF('①농산물raw'!$D:$D, $C281, '①농산물raw'!$G:$G)</f>
        <v/>
      </c>
      <c r="H281" s="182">
        <f>SUMIF('①농산물raw'!$D:$D, $C281, '①농산물raw'!$H:$H)</f>
        <v/>
      </c>
      <c r="I281" s="183">
        <f>IF(COUNTIF('①농산물raw'!$D:$D, $C281)&gt;0, "O", "")</f>
        <v/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>
        <f>SUMIF('①농산물raw'!$D:$D, $C282, '①농산물raw'!$F:$F)</f>
        <v/>
      </c>
      <c r="G282" s="170">
        <f>SUMIF('①농산물raw'!$D:$D, $C282, '①농산물raw'!$G:$G)</f>
        <v/>
      </c>
      <c r="H282" s="182">
        <f>SUMIF('①농산물raw'!$D:$D, $C282, '①농산물raw'!$H:$H)</f>
        <v/>
      </c>
      <c r="I282" s="183">
        <f>IF(COUNTIF('①농산물raw'!$D:$D, $C282)&gt;0, "O", "")</f>
        <v/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>
        <f>SUMIF('①농산물raw'!$D:$D, $C283, '①농산물raw'!$F:$F)</f>
        <v/>
      </c>
      <c r="G283" s="170">
        <f>SUMIF('①농산물raw'!$D:$D, $C283, '①농산물raw'!$G:$G)</f>
        <v/>
      </c>
      <c r="H283" s="182">
        <f>SUMIF('①농산물raw'!$D:$D, $C283, '①농산물raw'!$H:$H)</f>
        <v/>
      </c>
      <c r="I283" s="183">
        <f>IF(COUNTIF('①농산물raw'!$D:$D, $C283)&gt;0, "O", "")</f>
        <v/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>
        <f>SUMIF('①농산물raw'!$D:$D, $C284, '①농산물raw'!$F:$F)</f>
        <v/>
      </c>
      <c r="G284" s="170">
        <f>SUMIF('①농산물raw'!$D:$D, $C284, '①농산물raw'!$G:$G)</f>
        <v/>
      </c>
      <c r="H284" s="182">
        <f>SUMIF('①농산물raw'!$D:$D, $C284, '①농산물raw'!$H:$H)</f>
        <v/>
      </c>
      <c r="I284" s="183">
        <f>IF(COUNTIF('①농산물raw'!$D:$D, $C284)&gt;0, "O", "")</f>
        <v/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>
        <f>SUMIF('①농산물raw'!$D:$D, $C285, '①농산물raw'!$F:$F)</f>
        <v/>
      </c>
      <c r="G285" s="170">
        <f>SUMIF('①농산물raw'!$D:$D, $C285, '①농산물raw'!$G:$G)</f>
        <v/>
      </c>
      <c r="H285" s="182">
        <f>SUMIF('①농산물raw'!$D:$D, $C285, '①농산물raw'!$H:$H)</f>
        <v/>
      </c>
      <c r="I285" s="183">
        <f>IF(COUNTIF('①농산물raw'!$D:$D, $C285)&gt;0, "O", "")</f>
        <v/>
      </c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>
        <f>SUMIF('①농산물raw'!$D:$D, $C286, '①농산물raw'!$F:$F)</f>
        <v/>
      </c>
      <c r="G286" s="170">
        <f>SUMIF('①농산물raw'!$D:$D, $C286, '①농산물raw'!$G:$G)</f>
        <v/>
      </c>
      <c r="H286" s="182">
        <f>SUMIF('①농산물raw'!$D:$D, $C286, '①농산물raw'!$H:$H)</f>
        <v/>
      </c>
      <c r="I286" s="183">
        <f>IF(COUNTIF('①농산물raw'!$D:$D, $C286)&gt;0, "O", "")</f>
        <v/>
      </c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>
        <f>SUMIF('①농산물raw'!$D:$D, $C287, '①농산물raw'!$F:$F)</f>
        <v/>
      </c>
      <c r="G287" s="170">
        <f>SUMIF('①농산물raw'!$D:$D, $C287, '①농산물raw'!$G:$G)</f>
        <v/>
      </c>
      <c r="H287" s="182">
        <f>SUMIF('①농산물raw'!$D:$D, $C287, '①농산물raw'!$H:$H)</f>
        <v/>
      </c>
      <c r="I287" s="183">
        <f>IF(COUNTIF('①농산물raw'!$D:$D, $C287)&gt;0, "O", "")</f>
        <v/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J1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SUM(F6:F1397)</f>
        <v/>
      </c>
      <c r="G4" s="132">
        <f>SUM(G6:G1397)</f>
        <v/>
      </c>
      <c r="H4" s="132">
        <f>SUM(H6:H1397)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  <c r="I5" s="268" t="inlineStr">
        <is>
          <t>세부품목</t>
        </is>
      </c>
    </row>
    <row r="6">
      <c r="A6" s="8" t="inlineStr">
        <is>
          <t>지마켓</t>
        </is>
      </c>
      <c r="B6" s="9" t="inlineStr">
        <is>
          <t>가공식품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  <c r="I6" s="269" t="inlineStr">
        <is>
          <t>기타 가공식품</t>
        </is>
      </c>
    </row>
    <row r="7">
      <c r="A7" s="8" t="inlineStr">
        <is>
          <t>지마켓</t>
        </is>
      </c>
      <c r="B7" s="89" t="inlineStr">
        <is>
          <t>가공식품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n">
        <v>0</v>
      </c>
      <c r="I7" s="269" t="inlineStr">
        <is>
          <t>기타 가공식품</t>
        </is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  <c r="I8" s="269" t="inlineStr">
        <is>
          <t>김치류(배추김치 등)</t>
        </is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  <c r="I9" s="269" t="inlineStr">
        <is>
          <t>버섯</t>
        </is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  <c r="I10" s="269" t="inlineStr">
        <is>
          <t>버섯</t>
        </is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  <c r="I11" s="269" t="inlineStr">
        <is>
          <t>한돈(돼지고기)</t>
        </is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n">
        <v>0</v>
      </c>
      <c r="I12" s="269" t="inlineStr">
        <is>
          <t>한돈(돼지고기)</t>
        </is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  <c r="I13" s="269" t="inlineStr">
        <is>
          <t>한돈(돼지고기)</t>
        </is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  <c r="I14" s="269" t="inlineStr">
        <is>
          <t>한돈(돼지고기)</t>
        </is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  <c r="I15" s="269" t="inlineStr">
        <is>
          <t>한돈(돼지고기)</t>
        </is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  <c r="I16" s="269" t="inlineStr">
        <is>
          <t>한돈(돼지고기)</t>
        </is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  <c r="I17" s="269" t="inlineStr">
        <is>
          <t>한돈(돼지고기)</t>
        </is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n">
        <v>0</v>
      </c>
      <c r="G18" s="135" t="n">
        <v>0</v>
      </c>
      <c r="H18" s="135" t="n">
        <v>0</v>
      </c>
      <c r="I18" s="269" t="inlineStr">
        <is>
          <t>채소류(상추, 쌈채소 등)</t>
        </is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n">
        <v>0</v>
      </c>
      <c r="G19" s="135" t="n">
        <v>0</v>
      </c>
      <c r="H19" s="135" t="n">
        <v>0</v>
      </c>
      <c r="I19" s="269" t="inlineStr">
        <is>
          <t>채소류(상추, 쌈채소 등)</t>
        </is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n">
        <v>0</v>
      </c>
      <c r="G20" s="135" t="n">
        <v>0</v>
      </c>
      <c r="H20" s="135" t="n">
        <v>0</v>
      </c>
      <c r="I20" s="269" t="inlineStr">
        <is>
          <t>채소류(상추, 쌈채소 등)</t>
        </is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  <c r="I21" s="269" t="inlineStr">
        <is>
          <t>계란(유정란)</t>
        </is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  <c r="I22" s="269" t="inlineStr">
        <is>
          <t>채소류(상추, 쌈채소 등)</t>
        </is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n">
        <v>0</v>
      </c>
      <c r="G23" s="135" t="n">
        <v>0</v>
      </c>
      <c r="H23" s="135" t="n">
        <v>0</v>
      </c>
      <c r="I23" s="269" t="inlineStr">
        <is>
          <t>토마토</t>
        </is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  <c r="I24" s="269" t="inlineStr">
        <is>
          <t>채소류(상추, 쌈채소 등)</t>
        </is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  <c r="I25" s="269" t="inlineStr">
        <is>
          <t>기타 농산물</t>
        </is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n">
        <v>0</v>
      </c>
      <c r="G26" s="135" t="n">
        <v>0</v>
      </c>
      <c r="H26" s="135" t="n">
        <v>0</v>
      </c>
      <c r="I26" s="269" t="inlineStr">
        <is>
          <t>채소류(상추, 쌈채소 등)</t>
        </is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n">
        <v>0</v>
      </c>
      <c r="G27" s="135" t="n">
        <v>0</v>
      </c>
      <c r="H27" s="135" t="n">
        <v>0</v>
      </c>
      <c r="I27" s="269" t="inlineStr">
        <is>
          <t>채소류(상추, 쌈채소 등)</t>
        </is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n">
        <v>0</v>
      </c>
      <c r="G28" s="135" t="n">
        <v>0</v>
      </c>
      <c r="H28" s="135" t="n">
        <v>0</v>
      </c>
      <c r="I28" s="269" t="inlineStr">
        <is>
          <t>채소류(상추, 쌈채소 등)</t>
        </is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n">
        <v>0</v>
      </c>
      <c r="G29" s="135" t="n">
        <v>0</v>
      </c>
      <c r="H29" s="135" t="n">
        <v>0</v>
      </c>
      <c r="I29" s="269" t="inlineStr">
        <is>
          <t>채소류(상추, 쌈채소 등)</t>
        </is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n">
        <v>0</v>
      </c>
      <c r="G30" s="135" t="n">
        <v>0</v>
      </c>
      <c r="H30" s="135" t="n">
        <v>0</v>
      </c>
      <c r="I30" s="269" t="inlineStr">
        <is>
          <t>채소류(상추, 쌈채소 등)</t>
        </is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n">
        <v>0</v>
      </c>
      <c r="G31" s="135" t="n">
        <v>0</v>
      </c>
      <c r="H31" s="135" t="n">
        <v>0</v>
      </c>
      <c r="I31" s="269" t="inlineStr">
        <is>
          <t>채소류(상추, 쌈채소 등)</t>
        </is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n">
        <v>0</v>
      </c>
      <c r="G32" s="135" t="n">
        <v>0</v>
      </c>
      <c r="H32" s="135" t="n">
        <v>0</v>
      </c>
      <c r="I32" s="269" t="inlineStr">
        <is>
          <t>채소류(상추, 쌈채소 등)</t>
        </is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n">
        <v>0</v>
      </c>
      <c r="G33" s="135" t="n">
        <v>0</v>
      </c>
      <c r="H33" s="135" t="n">
        <v>0</v>
      </c>
      <c r="I33" s="269" t="inlineStr">
        <is>
          <t>채소류(상추, 쌈채소 등)</t>
        </is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n">
        <v>0</v>
      </c>
      <c r="G34" s="135" t="n">
        <v>0</v>
      </c>
      <c r="H34" s="135" t="n">
        <v>0</v>
      </c>
      <c r="I34" s="269" t="inlineStr">
        <is>
          <t>채소류(상추, 쌈채소 등)</t>
        </is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  <c r="I35" s="269" t="inlineStr">
        <is>
          <t>기타 가공식품</t>
        </is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  <c r="I36" s="269" t="inlineStr">
        <is>
          <t>기타 가공식품</t>
        </is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  <c r="I37" s="269" t="inlineStr">
        <is>
          <t>기타 가공식품</t>
        </is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  <c r="I38" s="269" t="inlineStr">
        <is>
          <t>기타 가공식품</t>
        </is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  <c r="I39" s="269" t="inlineStr">
        <is>
          <t>김치류(배추김치 등)</t>
        </is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  <c r="I40" s="269" t="inlineStr">
        <is>
          <t>채소류(상추, 쌈채소 등)</t>
        </is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n">
        <v>0</v>
      </c>
      <c r="I41" s="269" t="inlineStr">
        <is>
          <t>쌀 및 잡곡류</t>
        </is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  <c r="I42" s="269" t="inlineStr">
        <is>
          <t>쌀 및 잡곡류</t>
        </is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n">
        <v>0</v>
      </c>
      <c r="I43" s="269" t="inlineStr">
        <is>
          <t>쌀 및 잡곡류</t>
        </is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n">
        <v>0</v>
      </c>
      <c r="I44" s="269" t="inlineStr">
        <is>
          <t>쌀 및 잡곡류</t>
        </is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n">
        <v>0</v>
      </c>
      <c r="I45" s="269" t="inlineStr">
        <is>
          <t>쌀 및 잡곡류</t>
        </is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n">
        <v>0</v>
      </c>
      <c r="I46" s="269" t="inlineStr">
        <is>
          <t>쌀 및 잡곡류</t>
        </is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n">
        <v>0</v>
      </c>
      <c r="I47" s="269" t="inlineStr">
        <is>
          <t>쌀 및 잡곡류</t>
        </is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n">
        <v>0</v>
      </c>
      <c r="I48" s="269" t="inlineStr">
        <is>
          <t>쌀 및 잡곡류</t>
        </is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n">
        <v>0</v>
      </c>
      <c r="I49" s="269" t="inlineStr">
        <is>
          <t>쌀 및 잡곡류</t>
        </is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n">
        <v>0</v>
      </c>
      <c r="I50" s="269" t="inlineStr">
        <is>
          <t>쌀 및 잡곡류</t>
        </is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  <c r="I51" s="269" t="inlineStr">
        <is>
          <t>김치류(배추김치 등)</t>
        </is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  <c r="I52" s="269" t="inlineStr">
        <is>
          <t>김치류(배추김치 등)</t>
        </is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  <c r="I53" s="269" t="inlineStr">
        <is>
          <t>김치류(배추김치 등)</t>
        </is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  <c r="I54" s="269" t="inlineStr">
        <is>
          <t>김치류(배추김치 등)</t>
        </is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  <c r="I55" s="269" t="inlineStr">
        <is>
          <t>김치류(배추김치 등)</t>
        </is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  <c r="I56" s="269" t="inlineStr">
        <is>
          <t>김치류(배추김치 등)</t>
        </is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n">
        <v>0</v>
      </c>
      <c r="G57" s="135" t="n">
        <v>0</v>
      </c>
      <c r="H57" s="135" t="n">
        <v>0</v>
      </c>
      <c r="I57" s="269" t="inlineStr">
        <is>
          <t>김치류(배추김치 등)</t>
        </is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n">
        <v>0</v>
      </c>
      <c r="I58" s="269" t="inlineStr">
        <is>
          <t>김치류(배추김치 등)</t>
        </is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n">
        <v>0</v>
      </c>
      <c r="I59" s="269" t="inlineStr">
        <is>
          <t>김치류(배추김치 등)</t>
        </is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n">
        <v>0</v>
      </c>
      <c r="G60" s="135" t="n">
        <v>0</v>
      </c>
      <c r="H60" s="135" t="n">
        <v>0</v>
      </c>
      <c r="I60" s="269" t="inlineStr">
        <is>
          <t>쌀 및 잡곡류</t>
        </is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n">
        <v>0</v>
      </c>
      <c r="I61" s="269" t="inlineStr">
        <is>
          <t>쌀 및 잡곡류</t>
        </is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  <c r="I62" s="269" t="inlineStr">
        <is>
          <t>쌀 및 잡곡류</t>
        </is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  <c r="I63" s="269" t="inlineStr">
        <is>
          <t>쌀 및 잡곡류</t>
        </is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  <c r="I64" s="269" t="inlineStr">
        <is>
          <t>쌀 및 잡곡류</t>
        </is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n">
        <v>0</v>
      </c>
      <c r="I65" s="269" t="inlineStr">
        <is>
          <t>쌀 및 잡곡류</t>
        </is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  <c r="I66" s="269" t="inlineStr">
        <is>
          <t>쌀 및 잡곡류</t>
        </is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n">
        <v>0</v>
      </c>
      <c r="I67" s="269" t="inlineStr">
        <is>
          <t>쌀 및 잡곡류</t>
        </is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n">
        <v>0</v>
      </c>
      <c r="I68" s="269" t="inlineStr">
        <is>
          <t>쌀 및 잡곡류</t>
        </is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  <c r="I69" s="269" t="inlineStr">
        <is>
          <t>쌀 및 잡곡류</t>
        </is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n">
        <v>0</v>
      </c>
      <c r="G70" s="135" t="n">
        <v>0</v>
      </c>
      <c r="H70" s="135" t="n">
        <v>0</v>
      </c>
      <c r="I70" s="269" t="inlineStr">
        <is>
          <t>쌀 및 잡곡류</t>
        </is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  <c r="I71" s="269" t="inlineStr">
        <is>
          <t>쌀 및 잡곡류</t>
        </is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  <c r="I72" s="269" t="inlineStr">
        <is>
          <t>쌀 및 잡곡류</t>
        </is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  <c r="I73" s="269" t="inlineStr">
        <is>
          <t>쌀 및 잡곡류</t>
        </is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n">
        <v>0</v>
      </c>
      <c r="G74" s="135" t="n">
        <v>0</v>
      </c>
      <c r="H74" s="135" t="n">
        <v>0</v>
      </c>
      <c r="I74" s="269" t="inlineStr">
        <is>
          <t>쌀 및 잡곡류</t>
        </is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  <c r="I75" s="269" t="inlineStr">
        <is>
          <t>쌀 및 잡곡류</t>
        </is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n">
        <v>0</v>
      </c>
      <c r="G76" s="135" t="n">
        <v>0</v>
      </c>
      <c r="H76" s="135" t="n">
        <v>0</v>
      </c>
      <c r="I76" s="269" t="inlineStr">
        <is>
          <t>쌀 및 잡곡류</t>
        </is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n">
        <v>0</v>
      </c>
      <c r="G77" s="135" t="n">
        <v>0</v>
      </c>
      <c r="H77" s="135" t="n">
        <v>0</v>
      </c>
      <c r="I77" s="269" t="inlineStr">
        <is>
          <t>쌀 및 잡곡류</t>
        </is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n">
        <v>0</v>
      </c>
      <c r="I78" s="269" t="inlineStr">
        <is>
          <t>쌀 및 잡곡류</t>
        </is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n">
        <v>0</v>
      </c>
      <c r="G79" s="135" t="n">
        <v>0</v>
      </c>
      <c r="H79" s="135" t="n">
        <v>0</v>
      </c>
      <c r="I79" s="269" t="inlineStr">
        <is>
          <t>쌀 및 잡곡류</t>
        </is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  <c r="I80" s="269" t="inlineStr">
        <is>
          <t>쌀 및 잡곡류</t>
        </is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  <c r="I81" s="269" t="inlineStr">
        <is>
          <t>쌀 및 잡곡류</t>
        </is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  <c r="I82" s="269" t="inlineStr">
        <is>
          <t>버섯</t>
        </is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  <c r="I83" s="269" t="inlineStr">
        <is>
          <t>버섯</t>
        </is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n">
        <v>0</v>
      </c>
      <c r="G84" s="135" t="n">
        <v>0</v>
      </c>
      <c r="H84" s="135" t="n">
        <v>0</v>
      </c>
      <c r="I84" s="269" t="inlineStr">
        <is>
          <t>버섯</t>
        </is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  <c r="I85" s="269" t="inlineStr">
        <is>
          <t>버섯</t>
        </is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  <c r="I86" s="269" t="inlineStr">
        <is>
          <t>기타 가공식품</t>
        </is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  <c r="I87" s="269" t="inlineStr">
        <is>
          <t>기타 가공식품</t>
        </is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  <c r="I88" s="269" t="inlineStr">
        <is>
          <t>버섯</t>
        </is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n">
        <v>0</v>
      </c>
      <c r="G89" s="135" t="n">
        <v>0</v>
      </c>
      <c r="H89" s="135" t="n">
        <v>0</v>
      </c>
      <c r="I89" s="269" t="inlineStr">
        <is>
          <t>버섯</t>
        </is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  <c r="I90" s="269" t="inlineStr">
        <is>
          <t>버섯</t>
        </is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  <c r="I91" s="269" t="inlineStr">
        <is>
          <t>버섯</t>
        </is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  <c r="I92" s="269" t="inlineStr">
        <is>
          <t>버섯</t>
        </is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  <c r="I93" s="269" t="inlineStr">
        <is>
          <t>버섯</t>
        </is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  <c r="I94" s="269" t="inlineStr">
        <is>
          <t>버섯</t>
        </is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  <c r="I95" s="269" t="inlineStr">
        <is>
          <t>버섯</t>
        </is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n">
        <v>0</v>
      </c>
      <c r="G96" s="135" t="n">
        <v>0</v>
      </c>
      <c r="H96" s="135" t="n">
        <v>0</v>
      </c>
      <c r="I96" s="269" t="inlineStr">
        <is>
          <t>버섯</t>
        </is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n">
        <v>0</v>
      </c>
      <c r="G97" s="135" t="n">
        <v>0</v>
      </c>
      <c r="H97" s="135" t="n">
        <v>0</v>
      </c>
      <c r="I97" s="269" t="inlineStr">
        <is>
          <t>버섯</t>
        </is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n">
        <v>0</v>
      </c>
      <c r="G98" s="135" t="n">
        <v>0</v>
      </c>
      <c r="H98" s="135" t="n">
        <v>0</v>
      </c>
      <c r="I98" s="269" t="inlineStr">
        <is>
          <t>버섯</t>
        </is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n">
        <v>0</v>
      </c>
      <c r="G99" s="135" t="n">
        <v>0</v>
      </c>
      <c r="H99" s="135" t="n">
        <v>0</v>
      </c>
      <c r="I99" s="269" t="inlineStr">
        <is>
          <t>버섯</t>
        </is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n">
        <v>0</v>
      </c>
      <c r="G100" s="135" t="n">
        <v>0</v>
      </c>
      <c r="H100" s="135" t="n">
        <v>0</v>
      </c>
      <c r="I100" s="269" t="inlineStr">
        <is>
          <t>버섯</t>
        </is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n">
        <v>0</v>
      </c>
      <c r="G101" s="135" t="n">
        <v>0</v>
      </c>
      <c r="H101" s="135" t="n">
        <v>0</v>
      </c>
      <c r="I101" s="269" t="inlineStr">
        <is>
          <t>버섯</t>
        </is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n">
        <v>0</v>
      </c>
      <c r="G102" s="135" t="n">
        <v>0</v>
      </c>
      <c r="H102" s="135" t="n">
        <v>0</v>
      </c>
      <c r="I102" s="269" t="inlineStr">
        <is>
          <t>버섯</t>
        </is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n">
        <v>0</v>
      </c>
      <c r="G103" s="135" t="n">
        <v>0</v>
      </c>
      <c r="H103" s="135" t="n">
        <v>0</v>
      </c>
      <c r="I103" s="269" t="inlineStr">
        <is>
          <t>버섯</t>
        </is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n">
        <v>0</v>
      </c>
      <c r="G104" s="135" t="n">
        <v>0</v>
      </c>
      <c r="H104" s="135" t="n">
        <v>0</v>
      </c>
      <c r="I104" s="269" t="inlineStr">
        <is>
          <t>버섯</t>
        </is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n">
        <v>0</v>
      </c>
      <c r="G105" s="135" t="n">
        <v>0</v>
      </c>
      <c r="H105" s="135" t="n">
        <v>0</v>
      </c>
      <c r="I105" s="269" t="inlineStr">
        <is>
          <t>버섯</t>
        </is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n">
        <v>0</v>
      </c>
      <c r="G106" s="135" t="n">
        <v>0</v>
      </c>
      <c r="H106" s="135" t="n">
        <v>0</v>
      </c>
      <c r="I106" s="269" t="inlineStr">
        <is>
          <t>버섯</t>
        </is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n">
        <v>0</v>
      </c>
      <c r="G107" s="135" t="n">
        <v>0</v>
      </c>
      <c r="H107" s="135" t="n">
        <v>0</v>
      </c>
      <c r="I107" s="269" t="inlineStr">
        <is>
          <t>버섯</t>
        </is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n">
        <v>0</v>
      </c>
      <c r="G108" s="135" t="n">
        <v>0</v>
      </c>
      <c r="H108" s="135" t="n">
        <v>0</v>
      </c>
      <c r="I108" s="269" t="inlineStr">
        <is>
          <t>버섯</t>
        </is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n">
        <v>0</v>
      </c>
      <c r="G109" s="135" t="n">
        <v>0</v>
      </c>
      <c r="H109" s="135" t="n">
        <v>0</v>
      </c>
      <c r="I109" s="269" t="inlineStr">
        <is>
          <t>버섯</t>
        </is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n">
        <v>0</v>
      </c>
      <c r="G110" s="135" t="n">
        <v>0</v>
      </c>
      <c r="H110" s="135" t="n">
        <v>0</v>
      </c>
      <c r="I110" s="269" t="inlineStr">
        <is>
          <t>버섯</t>
        </is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  <c r="I111" s="269" t="inlineStr">
        <is>
          <t>버섯</t>
        </is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  <c r="I112" s="269" t="inlineStr">
        <is>
          <t>버섯</t>
        </is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n">
        <v>0</v>
      </c>
      <c r="G113" s="135" t="n">
        <v>0</v>
      </c>
      <c r="H113" s="135" t="n">
        <v>0</v>
      </c>
      <c r="I113" s="269" t="inlineStr">
        <is>
          <t>버섯</t>
        </is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  <c r="I114" s="269" t="inlineStr">
        <is>
          <t>버섯</t>
        </is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  <c r="I115" s="269" t="inlineStr">
        <is>
          <t>기타 가공식품</t>
        </is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  <c r="I116" s="269" t="inlineStr">
        <is>
          <t>기타 가공식품</t>
        </is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  <c r="I117" s="269" t="inlineStr">
        <is>
          <t>기타 가공식품</t>
        </is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  <c r="I118" s="269" t="inlineStr">
        <is>
          <t>기타 가공식품</t>
        </is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  <c r="I119" s="269" t="inlineStr">
        <is>
          <t>기타 가공식품</t>
        </is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  <c r="I120" s="269" t="inlineStr">
        <is>
          <t>기타 가공식품</t>
        </is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  <c r="I121" s="269" t="inlineStr">
        <is>
          <t>기타 가공식품</t>
        </is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  <c r="I122" s="269" t="inlineStr">
        <is>
          <t>기타 가공식품</t>
        </is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n">
        <v>0</v>
      </c>
      <c r="I123" s="269" t="inlineStr">
        <is>
          <t>기타 가공식품</t>
        </is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n">
        <v>0</v>
      </c>
      <c r="G124" s="135" t="n">
        <v>0</v>
      </c>
      <c r="H124" s="135" t="n">
        <v>0</v>
      </c>
      <c r="I124" s="269" t="inlineStr">
        <is>
          <t>기타 가공식품</t>
        </is>
      </c>
    </row>
    <row r="125">
      <c r="A125" s="8" t="inlineStr">
        <is>
          <t>지마켓</t>
        </is>
      </c>
      <c r="B125" s="9" t="inlineStr">
        <is>
          <t>농산물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  <c r="I125" s="269" t="inlineStr">
        <is>
          <t>기타 농산물</t>
        </is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n">
        <v>0</v>
      </c>
      <c r="I126" s="269" t="inlineStr">
        <is>
          <t>기타 가공식품</t>
        </is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n">
        <v>0</v>
      </c>
      <c r="I127" s="269" t="inlineStr">
        <is>
          <t>기타 가공식품</t>
        </is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n">
        <v>0</v>
      </c>
      <c r="I128" s="269" t="inlineStr">
        <is>
          <t>기타 가공식품</t>
        </is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n">
        <v>0</v>
      </c>
      <c r="I129" s="269" t="inlineStr">
        <is>
          <t>기타 가공식품</t>
        </is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n">
        <v>0</v>
      </c>
      <c r="I130" s="269" t="inlineStr">
        <is>
          <t>기타 가공식품</t>
        </is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  <c r="I131" s="269" t="inlineStr">
        <is>
          <t>기타 가공식품</t>
        </is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n">
        <v>0</v>
      </c>
      <c r="I132" s="269" t="inlineStr">
        <is>
          <t>기타 가공식품</t>
        </is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  <c r="I133" s="269" t="inlineStr">
        <is>
          <t>기타 가공식품</t>
        </is>
      </c>
    </row>
    <row r="134" ht="16.8" customHeight="1" s="21">
      <c r="A134" s="8" t="inlineStr">
        <is>
          <t>지마켓</t>
        </is>
      </c>
      <c r="B134" s="9" t="inlineStr">
        <is>
          <t>농산물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n">
        <v>0</v>
      </c>
      <c r="I134" s="269" t="inlineStr">
        <is>
          <t>기타 농산물</t>
        </is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n">
        <v>0</v>
      </c>
      <c r="G135" s="135" t="n">
        <v>0</v>
      </c>
      <c r="H135" s="135" t="n">
        <v>0</v>
      </c>
      <c r="I135" s="269" t="inlineStr">
        <is>
          <t>기타 가공식품</t>
        </is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n">
        <v>0</v>
      </c>
      <c r="G136" s="135" t="n">
        <v>0</v>
      </c>
      <c r="H136" s="135" t="n">
        <v>0</v>
      </c>
      <c r="I136" s="269" t="inlineStr">
        <is>
          <t>기타 가공식품</t>
        </is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n">
        <v>0</v>
      </c>
      <c r="G137" s="135" t="n">
        <v>0</v>
      </c>
      <c r="H137" s="135" t="n">
        <v>0</v>
      </c>
      <c r="I137" s="269" t="inlineStr">
        <is>
          <t>기타 가공식품</t>
        </is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n">
        <v>0</v>
      </c>
      <c r="G138" s="135" t="n">
        <v>0</v>
      </c>
      <c r="H138" s="135" t="n">
        <v>0</v>
      </c>
      <c r="I138" s="269" t="inlineStr">
        <is>
          <t>기타 가공식품</t>
        </is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  <c r="I139" s="269" t="inlineStr">
        <is>
          <t>즙/주스류(양파즙, 토마토즙 등)</t>
        </is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  <c r="I140" s="269" t="inlineStr">
        <is>
          <t>즙/주스류(양파즙, 토마토즙 등)</t>
        </is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n">
        <v>0</v>
      </c>
      <c r="I141" s="269" t="inlineStr">
        <is>
          <t>즙/주스류(양파즙, 토마토즙 등)</t>
        </is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n">
        <v>0</v>
      </c>
      <c r="I142" s="269" t="inlineStr">
        <is>
          <t>즙/주스류(양파즙, 토마토즙 등)</t>
        </is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  <c r="I143" s="269" t="inlineStr">
        <is>
          <t>즙/주스류(양파즙, 토마토즙 등)</t>
        </is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n">
        <v>0</v>
      </c>
      <c r="I144" s="269" t="inlineStr">
        <is>
          <t>즙/주스류(양파즙, 토마토즙 등)</t>
        </is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n">
        <v>0</v>
      </c>
      <c r="G145" s="135" t="n">
        <v>0</v>
      </c>
      <c r="H145" s="135" t="n">
        <v>0</v>
      </c>
      <c r="I145" s="269" t="inlineStr">
        <is>
          <t>즙/주스류(양파즙, 토마토즙 등)</t>
        </is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n">
        <v>0</v>
      </c>
      <c r="G146" s="135" t="n">
        <v>0</v>
      </c>
      <c r="H146" s="135" t="n">
        <v>0</v>
      </c>
      <c r="I146" s="269" t="inlineStr">
        <is>
          <t>즙/주스류(양파즙, 토마토즙 등)</t>
        </is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  <c r="I147" s="269" t="inlineStr">
        <is>
          <t>즙/주스류(양파즙, 토마토즙 등)</t>
        </is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n">
        <v>0</v>
      </c>
      <c r="I148" s="269" t="inlineStr">
        <is>
          <t>즙/주스류(양파즙, 토마토즙 등)</t>
        </is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  <c r="I149" s="269" t="inlineStr">
        <is>
          <t>떡류</t>
        </is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n">
        <v>0</v>
      </c>
      <c r="G150" s="135" t="n">
        <v>0</v>
      </c>
      <c r="H150" s="135" t="n">
        <v>0</v>
      </c>
      <c r="I150" s="269" t="inlineStr">
        <is>
          <t>기타 가공식품</t>
        </is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  <c r="I151" s="269" t="inlineStr">
        <is>
          <t>기타 가공식품</t>
        </is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n">
        <v>0</v>
      </c>
      <c r="G152" s="135" t="n">
        <v>0</v>
      </c>
      <c r="H152" s="135" t="n">
        <v>0</v>
      </c>
      <c r="I152" s="269" t="inlineStr">
        <is>
          <t>기타 가공식품</t>
        </is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n">
        <v>0</v>
      </c>
      <c r="I153" s="269" t="inlineStr">
        <is>
          <t>기타 가공식품</t>
        </is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n">
        <v>0</v>
      </c>
      <c r="I154" s="269" t="inlineStr">
        <is>
          <t>기타 가공식품</t>
        </is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  <c r="I155" s="269" t="inlineStr">
        <is>
          <t>기타 가공식품</t>
        </is>
      </c>
    </row>
    <row r="156">
      <c r="A156" s="8" t="inlineStr">
        <is>
          <t>지마켓</t>
        </is>
      </c>
      <c r="B156" s="9" t="inlineStr">
        <is>
          <t>농산물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n">
        <v>0</v>
      </c>
      <c r="G156" s="135" t="n">
        <v>0</v>
      </c>
      <c r="H156" s="135" t="n">
        <v>0</v>
      </c>
      <c r="I156" s="269" t="inlineStr">
        <is>
          <t>쌀 및 잡곡류</t>
        </is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  <c r="I157" s="269" t="inlineStr">
        <is>
          <t>기타 가공식품</t>
        </is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  <c r="I158" s="269" t="inlineStr">
        <is>
          <t>기타 가공식품</t>
        </is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  <c r="I159" s="269" t="inlineStr">
        <is>
          <t>기타 가공식품</t>
        </is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n">
        <v>0</v>
      </c>
      <c r="G160" s="135" t="n">
        <v>0</v>
      </c>
      <c r="H160" s="135" t="n">
        <v>0</v>
      </c>
      <c r="I160" s="269" t="inlineStr">
        <is>
          <t>기타 가공식품</t>
        </is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n">
        <v>0</v>
      </c>
      <c r="I161" s="269" t="inlineStr">
        <is>
          <t>기타 가공식품</t>
        </is>
      </c>
    </row>
    <row r="162">
      <c r="A162" s="8" t="inlineStr">
        <is>
          <t>지마켓</t>
        </is>
      </c>
      <c r="B162" s="9" t="inlineStr">
        <is>
          <t>농산물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n">
        <v>0</v>
      </c>
      <c r="I162" s="269" t="inlineStr">
        <is>
          <t>기타 농산물</t>
        </is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n">
        <v>0</v>
      </c>
      <c r="G163" s="135" t="n">
        <v>0</v>
      </c>
      <c r="H163" s="135" t="n">
        <v>0</v>
      </c>
      <c r="I163" s="269" t="inlineStr">
        <is>
          <t>기타 가공식품</t>
        </is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n">
        <v>0</v>
      </c>
      <c r="I164" s="269" t="inlineStr">
        <is>
          <t>기타 가공식품</t>
        </is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n">
        <v>0</v>
      </c>
      <c r="I165" s="269" t="inlineStr">
        <is>
          <t>기타 가공식품</t>
        </is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n">
        <v>0</v>
      </c>
      <c r="G166" s="135" t="n">
        <v>0</v>
      </c>
      <c r="H166" s="135" t="n">
        <v>0</v>
      </c>
      <c r="I166" s="269" t="inlineStr">
        <is>
          <t>기타 가공식품</t>
        </is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n">
        <v>0</v>
      </c>
      <c r="G167" s="135" t="n">
        <v>0</v>
      </c>
      <c r="H167" s="135" t="n">
        <v>0</v>
      </c>
      <c r="I167" s="269" t="inlineStr">
        <is>
          <t>기타 가공식품</t>
        </is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  <c r="I168" s="269" t="inlineStr">
        <is>
          <t>즙/주스류(양파즙, 토마토즙 등)</t>
        </is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  <c r="I169" s="269" t="inlineStr">
        <is>
          <t>토마토</t>
        </is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  <c r="I170" s="269" t="inlineStr">
        <is>
          <t>기타 농산물</t>
        </is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n">
        <v>0</v>
      </c>
      <c r="I171" s="269" t="inlineStr">
        <is>
          <t>복숭아</t>
        </is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n">
        <v>0</v>
      </c>
      <c r="I172" s="269" t="inlineStr">
        <is>
          <t>복숭아</t>
        </is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  <c r="I173" s="269" t="inlineStr">
        <is>
          <t>복숭아</t>
        </is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n">
        <v>0</v>
      </c>
      <c r="I174" s="269" t="inlineStr">
        <is>
          <t>복숭아</t>
        </is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n">
        <v>0</v>
      </c>
      <c r="I175" s="269" t="inlineStr">
        <is>
          <t>복숭아</t>
        </is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n">
        <v>0</v>
      </c>
      <c r="I176" s="269" t="inlineStr">
        <is>
          <t>복숭아</t>
        </is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  <c r="I177" s="269" t="inlineStr">
        <is>
          <t>복숭아</t>
        </is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n">
        <v>0</v>
      </c>
      <c r="G178" s="135" t="n">
        <v>0</v>
      </c>
      <c r="H178" s="135" t="n">
        <v>0</v>
      </c>
      <c r="I178" s="269" t="inlineStr">
        <is>
          <t>복숭아</t>
        </is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n">
        <v>0</v>
      </c>
      <c r="I179" s="269" t="inlineStr">
        <is>
          <t>복숭아</t>
        </is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  <c r="I180" s="269" t="inlineStr">
        <is>
          <t>채소류(상추, 쌈채소 등)</t>
        </is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  <c r="I181" s="269" t="inlineStr">
        <is>
          <t>즙/주스류(양파즙, 토마토즙 등)</t>
        </is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n">
        <v>0</v>
      </c>
      <c r="I182" s="269" t="inlineStr">
        <is>
          <t>쌀 및 잡곡류</t>
        </is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n">
        <v>0</v>
      </c>
      <c r="I183" s="269" t="inlineStr">
        <is>
          <t>쌀 및 잡곡류</t>
        </is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n">
        <v>0</v>
      </c>
      <c r="I184" s="269" t="inlineStr">
        <is>
          <t>쌀 및 잡곡류</t>
        </is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n">
        <v>0</v>
      </c>
      <c r="I185" s="269" t="inlineStr">
        <is>
          <t>쌀 및 잡곡류</t>
        </is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n">
        <v>0</v>
      </c>
      <c r="I186" s="269" t="inlineStr">
        <is>
          <t>쌀 및 잡곡류</t>
        </is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n">
        <v>0</v>
      </c>
      <c r="I187" s="269" t="inlineStr">
        <is>
          <t>쌀 및 잡곡류</t>
        </is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n">
        <v>0</v>
      </c>
      <c r="I188" s="269" t="inlineStr">
        <is>
          <t>채소류(상추, 쌈채소 등)</t>
        </is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n">
        <v>0</v>
      </c>
      <c r="I189" s="269" t="inlineStr">
        <is>
          <t>쌀 및 잡곡류</t>
        </is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n">
        <v>0</v>
      </c>
      <c r="I190" s="269" t="inlineStr">
        <is>
          <t>쌀 및 잡곡류</t>
        </is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n">
        <v>0</v>
      </c>
      <c r="I191" s="269" t="inlineStr">
        <is>
          <t>쌀 및 잡곡류</t>
        </is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n">
        <v>0</v>
      </c>
      <c r="I192" s="269" t="inlineStr">
        <is>
          <t>쌀 및 잡곡류</t>
        </is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  <c r="I193" s="269" t="inlineStr">
        <is>
          <t>쌀 및 잡곡류</t>
        </is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n">
        <v>0</v>
      </c>
      <c r="I194" s="269" t="inlineStr">
        <is>
          <t>쌀 및 잡곡류</t>
        </is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n">
        <v>0</v>
      </c>
      <c r="I195" s="269" t="inlineStr">
        <is>
          <t>쌀 및 잡곡류</t>
        </is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n">
        <v>0</v>
      </c>
      <c r="I196" s="269" t="inlineStr">
        <is>
          <t>쌀 및 잡곡류</t>
        </is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n">
        <v>0</v>
      </c>
      <c r="I197" s="269" t="inlineStr">
        <is>
          <t>쌀 및 잡곡류</t>
        </is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n">
        <v>0</v>
      </c>
      <c r="I198" s="269" t="inlineStr">
        <is>
          <t>쌀 및 잡곡류</t>
        </is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n">
        <v>0</v>
      </c>
      <c r="I199" s="269" t="inlineStr">
        <is>
          <t>쌀 및 잡곡류</t>
        </is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n">
        <v>0</v>
      </c>
      <c r="I200" s="269" t="inlineStr">
        <is>
          <t>쌀 및 잡곡류</t>
        </is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n">
        <v>0</v>
      </c>
      <c r="I201" s="269" t="inlineStr">
        <is>
          <t>쌀 및 잡곡류</t>
        </is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n">
        <v>0</v>
      </c>
      <c r="I202" s="269" t="inlineStr">
        <is>
          <t>쌀 및 잡곡류</t>
        </is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  <c r="I203" s="269" t="inlineStr">
        <is>
          <t>계란(유정란)</t>
        </is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n">
        <v>0</v>
      </c>
      <c r="G204" s="135" t="n">
        <v>0</v>
      </c>
      <c r="H204" s="135" t="n">
        <v>0</v>
      </c>
      <c r="I204" s="269" t="inlineStr">
        <is>
          <t>기타 가공식품</t>
        </is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n">
        <v>0</v>
      </c>
      <c r="G205" s="135" t="n">
        <v>0</v>
      </c>
      <c r="H205" s="135" t="n">
        <v>0</v>
      </c>
      <c r="I205" s="269" t="inlineStr">
        <is>
          <t>기타 가공식품</t>
        </is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n">
        <v>0</v>
      </c>
      <c r="G206" s="135" t="n">
        <v>0</v>
      </c>
      <c r="H206" s="135" t="n">
        <v>0</v>
      </c>
      <c r="I206" s="269" t="inlineStr">
        <is>
          <t>기타 가공식품</t>
        </is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n">
        <v>0</v>
      </c>
      <c r="G207" s="135" t="n">
        <v>0</v>
      </c>
      <c r="H207" s="135" t="n">
        <v>0</v>
      </c>
      <c r="I207" s="269" t="inlineStr">
        <is>
          <t>기타 가공식품</t>
        </is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n">
        <v>0</v>
      </c>
      <c r="G208" s="135" t="n">
        <v>0</v>
      </c>
      <c r="H208" s="135" t="n">
        <v>0</v>
      </c>
      <c r="I208" s="269" t="inlineStr">
        <is>
          <t>기타 가공식품</t>
        </is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  <c r="I209" s="269" t="inlineStr">
        <is>
          <t>채소류(상추, 쌈채소 등)</t>
        </is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  <c r="I210" s="269" t="inlineStr">
        <is>
          <t>채소류(상추, 쌈채소 등)</t>
        </is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  <c r="I211" s="269" t="inlineStr">
        <is>
          <t>기타 가공식품</t>
        </is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  <c r="I212" s="269" t="inlineStr">
        <is>
          <t>기타 가공식품</t>
        </is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  <c r="I213" s="269" t="inlineStr">
        <is>
          <t>기타 가공식품</t>
        </is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n">
        <v>0</v>
      </c>
      <c r="G214" s="135" t="n">
        <v>0</v>
      </c>
      <c r="H214" s="135" t="n">
        <v>0</v>
      </c>
      <c r="I214" s="269" t="inlineStr">
        <is>
          <t>기타 가공식품</t>
        </is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  <c r="I215" s="269" t="inlineStr">
        <is>
          <t>기타 가공식품</t>
        </is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  <c r="I216" s="269" t="inlineStr">
        <is>
          <t>기타 가공식품</t>
        </is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n">
        <v>0</v>
      </c>
      <c r="G217" s="135" t="n">
        <v>0</v>
      </c>
      <c r="H217" s="135" t="n">
        <v>0</v>
      </c>
      <c r="I217" s="269" t="inlineStr">
        <is>
          <t>기타 가공식품</t>
        </is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n">
        <v>0</v>
      </c>
      <c r="G218" s="135" t="n">
        <v>0</v>
      </c>
      <c r="H218" s="135" t="n">
        <v>0</v>
      </c>
      <c r="I218" s="269" t="inlineStr">
        <is>
          <t>기타 가공식품</t>
        </is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n">
        <v>0</v>
      </c>
      <c r="G219" s="135" t="n">
        <v>0</v>
      </c>
      <c r="H219" s="135" t="n">
        <v>0</v>
      </c>
      <c r="I219" s="269" t="inlineStr">
        <is>
          <t>기타 가공식품</t>
        </is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n">
        <v>0</v>
      </c>
      <c r="I220" s="269" t="inlineStr">
        <is>
          <t>기타 가공식품</t>
        </is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n">
        <v>0</v>
      </c>
      <c r="G221" s="135" t="n">
        <v>0</v>
      </c>
      <c r="H221" s="135" t="n">
        <v>0</v>
      </c>
      <c r="I221" s="269" t="inlineStr">
        <is>
          <t>기타 가공식품</t>
        </is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n">
        <v>0</v>
      </c>
      <c r="G222" s="135" t="n">
        <v>0</v>
      </c>
      <c r="H222" s="135" t="n">
        <v>0</v>
      </c>
      <c r="I222" s="269" t="inlineStr">
        <is>
          <t>기타 가공식품</t>
        </is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n">
        <v>0</v>
      </c>
      <c r="G223" s="135" t="n">
        <v>0</v>
      </c>
      <c r="H223" s="135" t="n">
        <v>0</v>
      </c>
      <c r="I223" s="269" t="inlineStr">
        <is>
          <t>기타 가공식품</t>
        </is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  <c r="I224" s="269" t="inlineStr">
        <is>
          <t>기타 가공식품</t>
        </is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n">
        <v>0</v>
      </c>
      <c r="G225" s="135" t="n">
        <v>0</v>
      </c>
      <c r="H225" s="135" t="n">
        <v>0</v>
      </c>
      <c r="I225" s="269" t="inlineStr">
        <is>
          <t>기타 가공식품</t>
        </is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n">
        <v>0</v>
      </c>
      <c r="G226" s="135" t="n">
        <v>0</v>
      </c>
      <c r="H226" s="135" t="n">
        <v>0</v>
      </c>
      <c r="I226" s="269" t="inlineStr">
        <is>
          <t>즙/주스류(양파즙, 토마토즙 등)</t>
        </is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n">
        <v>0</v>
      </c>
      <c r="I227" s="269" t="inlineStr">
        <is>
          <t>즙/주스류(양파즙, 토마토즙 등)</t>
        </is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  <c r="I228" s="269" t="inlineStr">
        <is>
          <t>즙/주스류(양파즙, 토마토즙 등)</t>
        </is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  <c r="I229" s="269" t="inlineStr">
        <is>
          <t>즙/주스류(양파즙, 토마토즙 등)</t>
        </is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n">
        <v>0</v>
      </c>
      <c r="G230" s="135" t="n">
        <v>0</v>
      </c>
      <c r="H230" s="135" t="n">
        <v>0</v>
      </c>
      <c r="I230" s="269" t="inlineStr">
        <is>
          <t>즙/주스류(양파즙, 토마토즙 등)</t>
        </is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n">
        <v>0</v>
      </c>
      <c r="G231" s="135" t="n">
        <v>0</v>
      </c>
      <c r="H231" s="135" t="n">
        <v>0</v>
      </c>
      <c r="I231" s="269" t="inlineStr">
        <is>
          <t>즙/주스류(양파즙, 토마토즙 등)</t>
        </is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n">
        <v>0</v>
      </c>
      <c r="I232" s="269" t="inlineStr">
        <is>
          <t>즙/주스류(양파즙, 토마토즙 등)</t>
        </is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n">
        <v>0</v>
      </c>
      <c r="G233" s="135" t="n">
        <v>0</v>
      </c>
      <c r="H233" s="135" t="n">
        <v>0</v>
      </c>
      <c r="I233" s="269" t="inlineStr">
        <is>
          <t>즙/주스류(양파즙, 토마토즙 등)</t>
        </is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n">
        <v>0</v>
      </c>
      <c r="I234" s="269" t="inlineStr">
        <is>
          <t>즙/주스류(양파즙, 토마토즙 등)</t>
        </is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n">
        <v>0</v>
      </c>
      <c r="I235" s="269" t="inlineStr">
        <is>
          <t>즙/주스류(양파즙, 토마토즙 등)</t>
        </is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n">
        <v>0</v>
      </c>
      <c r="G236" s="135" t="n">
        <v>0</v>
      </c>
      <c r="H236" s="135" t="n">
        <v>0</v>
      </c>
      <c r="I236" s="269" t="inlineStr">
        <is>
          <t>즙/주스류(양파즙, 토마토즙 등)</t>
        </is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n">
        <v>0</v>
      </c>
      <c r="G237" s="135" t="n">
        <v>0</v>
      </c>
      <c r="H237" s="135" t="n">
        <v>0</v>
      </c>
      <c r="I237" s="269" t="inlineStr">
        <is>
          <t>즙/주스류(양파즙, 토마토즙 등)</t>
        </is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n">
        <v>0</v>
      </c>
      <c r="I238" s="269" t="inlineStr">
        <is>
          <t>즙/주스류(양파즙, 토마토즙 등)</t>
        </is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n">
        <v>0</v>
      </c>
      <c r="G239" s="135" t="n">
        <v>0</v>
      </c>
      <c r="H239" s="135" t="n">
        <v>0</v>
      </c>
      <c r="I239" s="269" t="inlineStr">
        <is>
          <t>즙/주스류(양파즙, 토마토즙 등)</t>
        </is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  <c r="I240" s="269" t="inlineStr">
        <is>
          <t>즙/주스류(양파즙, 토마토즙 등)</t>
        </is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  <c r="I241" s="269" t="inlineStr">
        <is>
          <t>즙/주스류(양파즙, 토마토즙 등)</t>
        </is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  <c r="I242" s="269" t="inlineStr">
        <is>
          <t>즙/주스류(양파즙, 토마토즙 등)</t>
        </is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  <c r="I243" s="269" t="inlineStr">
        <is>
          <t>즙/주스류(양파즙, 토마토즙 등)</t>
        </is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n">
        <v>0</v>
      </c>
      <c r="I244" s="269" t="inlineStr">
        <is>
          <t>즙/주스류(양파즙, 토마토즙 등)</t>
        </is>
      </c>
    </row>
    <row r="245">
      <c r="A245" s="8" t="inlineStr">
        <is>
          <t>지마켓</t>
        </is>
      </c>
      <c r="B245" s="9" t="inlineStr">
        <is>
          <t>가공식품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  <c r="I245" s="269" t="inlineStr">
        <is>
          <t>기타 가공식품</t>
        </is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  <c r="I246" s="269" t="inlineStr">
        <is>
          <t>기타 가공식품</t>
        </is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  <c r="I247" s="269" t="inlineStr">
        <is>
          <t>김치류(배추김치 등)</t>
        </is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n">
        <v>0</v>
      </c>
      <c r="G248" s="135" t="n">
        <v>0</v>
      </c>
      <c r="H248" s="135" t="n">
        <v>0</v>
      </c>
      <c r="I248" s="269" t="inlineStr">
        <is>
          <t>채소류(상추, 쌈채소 등)</t>
        </is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n">
        <v>0</v>
      </c>
      <c r="G249" s="135" t="n">
        <v>0</v>
      </c>
      <c r="H249" s="135" t="n">
        <v>0</v>
      </c>
      <c r="I249" s="269" t="inlineStr">
        <is>
          <t>채소류(상추, 쌈채소 등)</t>
        </is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n">
        <v>0</v>
      </c>
      <c r="G250" s="135" t="n">
        <v>0</v>
      </c>
      <c r="H250" s="135" t="n">
        <v>0</v>
      </c>
      <c r="I250" s="269" t="inlineStr">
        <is>
          <t>채소류(상추, 쌈채소 등)</t>
        </is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  <c r="I251" s="269" t="inlineStr">
        <is>
          <t>김치류(배추김치 등)</t>
        </is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  <c r="I252" s="269" t="inlineStr">
        <is>
          <t>즙/주스류(양파즙, 토마토즙 등)</t>
        </is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  <c r="I253" s="269" t="inlineStr">
        <is>
          <t>즙/주스류(양파즙, 토마토즙 등)</t>
        </is>
      </c>
    </row>
    <row r="254">
      <c r="A254" s="8" t="inlineStr">
        <is>
          <t>지마켓</t>
        </is>
      </c>
      <c r="B254" s="9" t="inlineStr">
        <is>
          <t>농산물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  <c r="I254" s="269" t="inlineStr">
        <is>
          <t>기타 농산물</t>
        </is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n">
        <v>0</v>
      </c>
      <c r="I255" s="269" t="inlineStr">
        <is>
          <t>기타 가공식품</t>
        </is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n">
        <v>0</v>
      </c>
      <c r="I256" s="269" t="inlineStr">
        <is>
          <t>기타 가공식품</t>
        </is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n">
        <v>0</v>
      </c>
      <c r="I257" s="269" t="inlineStr">
        <is>
          <t>기타 가공식품</t>
        </is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  <c r="I258" s="269" t="inlineStr">
        <is>
          <t>사과</t>
        </is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n">
        <v>0</v>
      </c>
      <c r="G259" s="135" t="n">
        <v>0</v>
      </c>
      <c r="H259" s="135" t="n">
        <v>0</v>
      </c>
      <c r="I259" s="269" t="inlineStr">
        <is>
          <t>사과</t>
        </is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n">
        <v>0</v>
      </c>
      <c r="G260" s="135" t="n">
        <v>0</v>
      </c>
      <c r="H260" s="135" t="n">
        <v>0</v>
      </c>
      <c r="I260" s="269" t="inlineStr">
        <is>
          <t>사과</t>
        </is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n">
        <v>0</v>
      </c>
      <c r="I261" s="269" t="inlineStr">
        <is>
          <t>사과</t>
        </is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n">
        <v>0</v>
      </c>
      <c r="G262" s="135" t="n">
        <v>0</v>
      </c>
      <c r="H262" s="135" t="n">
        <v>0</v>
      </c>
      <c r="I262" s="269" t="inlineStr">
        <is>
          <t>사과</t>
        </is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n">
        <v>0</v>
      </c>
      <c r="I263" s="269" t="inlineStr">
        <is>
          <t>사과</t>
        </is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n">
        <v>0</v>
      </c>
      <c r="I264" s="269" t="inlineStr">
        <is>
          <t>사과</t>
        </is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  <c r="I265" s="269" t="inlineStr">
        <is>
          <t>사과</t>
        </is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n">
        <v>0</v>
      </c>
      <c r="G266" s="135" t="n">
        <v>0</v>
      </c>
      <c r="H266" s="135" t="n">
        <v>0</v>
      </c>
      <c r="I266" s="269" t="inlineStr">
        <is>
          <t>사과</t>
        </is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n">
        <v>0</v>
      </c>
      <c r="I267" s="269" t="inlineStr">
        <is>
          <t>사과</t>
        </is>
      </c>
    </row>
    <row r="268">
      <c r="A268" s="8" t="inlineStr">
        <is>
          <t>지마켓</t>
        </is>
      </c>
      <c r="B268" s="12" t="inlineStr">
        <is>
          <t>농산물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n">
        <v>0</v>
      </c>
      <c r="I268" s="269" t="inlineStr">
        <is>
          <t>사과</t>
        </is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n">
        <v>0</v>
      </c>
      <c r="G269" s="135" t="n">
        <v>0</v>
      </c>
      <c r="H269" s="135" t="n">
        <v>0</v>
      </c>
      <c r="I269" s="269" t="inlineStr">
        <is>
          <t>채소류(상추, 쌈채소 등)</t>
        </is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n">
        <v>0</v>
      </c>
      <c r="I270" s="269" t="inlineStr">
        <is>
          <t>채소류(상추, 쌈채소 등)</t>
        </is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n">
        <v>0</v>
      </c>
      <c r="I271" s="269" t="inlineStr">
        <is>
          <t>채소류(상추, 쌈채소 등)</t>
        </is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n">
        <v>0</v>
      </c>
      <c r="G272" s="135" t="n">
        <v>0</v>
      </c>
      <c r="H272" s="135" t="n">
        <v>0</v>
      </c>
      <c r="I272" s="269" t="inlineStr">
        <is>
          <t>채소류(상추, 쌈채소 등)</t>
        </is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n">
        <v>0</v>
      </c>
      <c r="G273" s="135" t="n">
        <v>0</v>
      </c>
      <c r="H273" s="135" t="n">
        <v>0</v>
      </c>
      <c r="I273" s="269" t="inlineStr">
        <is>
          <t>채소류(상추, 쌈채소 등)</t>
        </is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n">
        <v>0</v>
      </c>
      <c r="G274" s="135" t="n">
        <v>0</v>
      </c>
      <c r="H274" s="135" t="n">
        <v>0</v>
      </c>
      <c r="I274" s="269" t="inlineStr">
        <is>
          <t>채소류(상추, 쌈채소 등)</t>
        </is>
      </c>
    </row>
    <row r="275">
      <c r="A275" s="8" t="inlineStr">
        <is>
          <t>지마켓</t>
        </is>
      </c>
      <c r="B275" s="12" t="inlineStr">
        <is>
          <t>농산물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n">
        <v>0</v>
      </c>
      <c r="G275" s="135" t="n">
        <v>0</v>
      </c>
      <c r="H275" s="135" t="n">
        <v>0</v>
      </c>
      <c r="I275" s="269" t="inlineStr">
        <is>
          <t>채소류(상추, 쌈채소 등)</t>
        </is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n">
        <v>0</v>
      </c>
      <c r="G276" s="135" t="n">
        <v>0</v>
      </c>
      <c r="H276" s="135" t="n">
        <v>0</v>
      </c>
      <c r="I276" s="269" t="inlineStr">
        <is>
          <t>사과</t>
        </is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n">
        <v>0</v>
      </c>
      <c r="G277" s="135" t="n">
        <v>0</v>
      </c>
      <c r="H277" s="135" t="n">
        <v>0</v>
      </c>
      <c r="I277" s="269" t="inlineStr">
        <is>
          <t>사과</t>
        </is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n">
        <v>0</v>
      </c>
      <c r="G278" s="135" t="n">
        <v>0</v>
      </c>
      <c r="H278" s="135" t="n">
        <v>0</v>
      </c>
      <c r="I278" s="269" t="inlineStr">
        <is>
          <t>사과</t>
        </is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n">
        <v>0</v>
      </c>
      <c r="G279" s="135" t="n">
        <v>0</v>
      </c>
      <c r="H279" s="135" t="n">
        <v>0</v>
      </c>
      <c r="I279" s="269" t="inlineStr">
        <is>
          <t>사과</t>
        </is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n">
        <v>0</v>
      </c>
      <c r="G280" s="135" t="n">
        <v>0</v>
      </c>
      <c r="H280" s="135" t="n">
        <v>0</v>
      </c>
      <c r="I280" s="269" t="inlineStr">
        <is>
          <t>사과</t>
        </is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n">
        <v>0</v>
      </c>
      <c r="G281" s="135" t="n">
        <v>0</v>
      </c>
      <c r="H281" s="135" t="n">
        <v>0</v>
      </c>
      <c r="I281" s="269" t="inlineStr">
        <is>
          <t>사과</t>
        </is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n">
        <v>0</v>
      </c>
      <c r="G282" s="135" t="n">
        <v>0</v>
      </c>
      <c r="H282" s="135" t="n">
        <v>0</v>
      </c>
      <c r="I282" s="269" t="inlineStr">
        <is>
          <t>사과</t>
        </is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n">
        <v>0</v>
      </c>
      <c r="G283" s="135" t="n">
        <v>0</v>
      </c>
      <c r="H283" s="135" t="n">
        <v>0</v>
      </c>
      <c r="I283" s="269" t="inlineStr">
        <is>
          <t>사과</t>
        </is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n">
        <v>0</v>
      </c>
      <c r="G284" s="135" t="n">
        <v>0</v>
      </c>
      <c r="H284" s="135" t="n">
        <v>0</v>
      </c>
      <c r="I284" s="269" t="inlineStr">
        <is>
          <t>사과</t>
        </is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n">
        <v>0</v>
      </c>
      <c r="G285" s="135" t="n">
        <v>0</v>
      </c>
      <c r="H285" s="135" t="n">
        <v>0</v>
      </c>
      <c r="I285" s="269" t="inlineStr">
        <is>
          <t>기타 농산물</t>
        </is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n">
        <v>0</v>
      </c>
      <c r="G286" s="135" t="n">
        <v>0</v>
      </c>
      <c r="H286" s="135" t="n">
        <v>0</v>
      </c>
      <c r="I286" s="269" t="inlineStr">
        <is>
          <t>기타 농산물</t>
        </is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n">
        <v>0</v>
      </c>
      <c r="G287" s="135" t="n">
        <v>0</v>
      </c>
      <c r="H287" s="135" t="n">
        <v>0</v>
      </c>
      <c r="I287" s="269" t="inlineStr">
        <is>
          <t>기타 농산물</t>
        </is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n">
        <v>0</v>
      </c>
      <c r="G288" s="135" t="n">
        <v>0</v>
      </c>
      <c r="H288" s="135" t="n">
        <v>0</v>
      </c>
      <c r="I288" s="269" t="inlineStr">
        <is>
          <t>기타 농산물</t>
        </is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n">
        <v>0</v>
      </c>
      <c r="G289" s="135" t="n">
        <v>0</v>
      </c>
      <c r="H289" s="135" t="n">
        <v>0</v>
      </c>
      <c r="I289" s="269" t="inlineStr">
        <is>
          <t>기타 농산물</t>
        </is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n">
        <v>0</v>
      </c>
      <c r="G290" s="135" t="n">
        <v>0</v>
      </c>
      <c r="H290" s="135" t="n">
        <v>0</v>
      </c>
      <c r="I290" s="269" t="inlineStr">
        <is>
          <t>기타 농산물</t>
        </is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n">
        <v>0</v>
      </c>
      <c r="G291" s="135" t="n">
        <v>0</v>
      </c>
      <c r="H291" s="135" t="n">
        <v>0</v>
      </c>
      <c r="I291" s="269" t="inlineStr">
        <is>
          <t>기타 농산물</t>
        </is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n">
        <v>0</v>
      </c>
      <c r="G292" s="135" t="n">
        <v>0</v>
      </c>
      <c r="H292" s="135" t="n">
        <v>0</v>
      </c>
      <c r="I292" s="269" t="inlineStr">
        <is>
          <t>기타 농산물</t>
        </is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n">
        <v>0</v>
      </c>
      <c r="G293" s="135" t="n">
        <v>0</v>
      </c>
      <c r="H293" s="135" t="n">
        <v>0</v>
      </c>
      <c r="I293" s="269" t="inlineStr">
        <is>
          <t>기타 농산물</t>
        </is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n">
        <v>0</v>
      </c>
      <c r="G294" s="135" t="n">
        <v>0</v>
      </c>
      <c r="H294" s="135" t="n">
        <v>0</v>
      </c>
      <c r="I294" s="269" t="inlineStr">
        <is>
          <t>쌀 및 잡곡류</t>
        </is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n">
        <v>0</v>
      </c>
      <c r="G295" s="135" t="n">
        <v>0</v>
      </c>
      <c r="H295" s="135" t="n">
        <v>0</v>
      </c>
      <c r="I295" s="269" t="inlineStr">
        <is>
          <t>기타 농산물</t>
        </is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n">
        <v>0</v>
      </c>
      <c r="G296" s="135" t="n">
        <v>0</v>
      </c>
      <c r="H296" s="135" t="n">
        <v>0</v>
      </c>
      <c r="I296" s="269" t="inlineStr">
        <is>
          <t>기타 농산물</t>
        </is>
      </c>
    </row>
    <row r="297">
      <c r="A297" s="8" t="inlineStr">
        <is>
          <t>지마켓</t>
        </is>
      </c>
      <c r="B297" s="12" t="inlineStr">
        <is>
          <t>가공식품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n">
        <v>0</v>
      </c>
      <c r="G297" s="135" t="n">
        <v>0</v>
      </c>
      <c r="H297" s="135" t="n">
        <v>0</v>
      </c>
      <c r="I297" s="269" t="inlineStr">
        <is>
          <t>기타 가공식품</t>
        </is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n">
        <v>0</v>
      </c>
      <c r="G298" s="135" t="n">
        <v>0</v>
      </c>
      <c r="H298" s="135" t="n">
        <v>0</v>
      </c>
      <c r="I298" s="269" t="inlineStr">
        <is>
          <t>기타 농산물</t>
        </is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n">
        <v>0</v>
      </c>
      <c r="G299" s="135" t="n">
        <v>0</v>
      </c>
      <c r="H299" s="135" t="n">
        <v>0</v>
      </c>
      <c r="I299" s="269" t="inlineStr">
        <is>
          <t>기타 농산물</t>
        </is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n">
        <v>0</v>
      </c>
      <c r="G300" s="135" t="n">
        <v>0</v>
      </c>
      <c r="H300" s="135" t="n">
        <v>0</v>
      </c>
      <c r="I300" s="269" t="inlineStr">
        <is>
          <t>기타 농산물</t>
        </is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n">
        <v>0</v>
      </c>
      <c r="G301" s="135" t="n">
        <v>0</v>
      </c>
      <c r="H301" s="135" t="n">
        <v>0</v>
      </c>
      <c r="I301" s="269" t="inlineStr">
        <is>
          <t>기타 농산물</t>
        </is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n">
        <v>0</v>
      </c>
      <c r="G302" s="135" t="n">
        <v>0</v>
      </c>
      <c r="H302" s="135" t="n">
        <v>0</v>
      </c>
      <c r="I302" s="269" t="inlineStr">
        <is>
          <t>기타 농산물</t>
        </is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n">
        <v>0</v>
      </c>
      <c r="G303" s="137" t="n">
        <v>0</v>
      </c>
      <c r="H303" s="137" t="n">
        <v>0</v>
      </c>
      <c r="I303" s="269" t="inlineStr">
        <is>
          <t>기타 농산물</t>
        </is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n">
        <v>0</v>
      </c>
      <c r="G304" s="139" t="n">
        <v>0</v>
      </c>
      <c r="H304" s="139" t="n">
        <v>0</v>
      </c>
      <c r="I304" s="269" t="inlineStr">
        <is>
          <t>한돈(돼지고기)</t>
        </is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  <c r="I305" s="269" t="inlineStr">
        <is>
          <t>한돈(돼지고기)</t>
        </is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  <c r="I306" s="269" t="inlineStr">
        <is>
          <t>기타 축산물</t>
        </is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  <c r="I307" s="269" t="inlineStr">
        <is>
          <t>한돈(돼지고기)</t>
        </is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  <c r="I308" s="269" t="inlineStr">
        <is>
          <t>쌀 및 잡곡류</t>
        </is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  <c r="I309" s="269" t="inlineStr">
        <is>
          <t>쌀 및 잡곡류</t>
        </is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  <c r="I310" s="269" t="inlineStr">
        <is>
          <t>쌀 및 잡곡류</t>
        </is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  <c r="I311" s="269" t="inlineStr">
        <is>
          <t>쌀 및 잡곡류</t>
        </is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n">
        <v>0</v>
      </c>
      <c r="G312" s="140" t="n">
        <v>0</v>
      </c>
      <c r="H312" s="140" t="n">
        <v>0</v>
      </c>
      <c r="I312" s="269" t="inlineStr">
        <is>
          <t>쌀 및 잡곡류</t>
        </is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  <c r="I313" s="269" t="inlineStr">
        <is>
          <t>김치류(배추김치 등)</t>
        </is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  <c r="I314" s="269" t="inlineStr">
        <is>
          <t>김치류(배추김치 등)</t>
        </is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  <c r="I315" s="269" t="inlineStr">
        <is>
          <t>김치류(배추김치 등)</t>
        </is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n">
        <v>0</v>
      </c>
      <c r="G316" s="140" t="n">
        <v>0</v>
      </c>
      <c r="H316" s="140" t="n">
        <v>0</v>
      </c>
      <c r="I316" s="269" t="inlineStr">
        <is>
          <t>김치류(배추김치 등)</t>
        </is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  <c r="I317" s="269" t="inlineStr">
        <is>
          <t>김치류(배추김치 등)</t>
        </is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  <c r="I318" s="269" t="inlineStr">
        <is>
          <t>김치류(배추김치 등)</t>
        </is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  <c r="I319" s="269" t="inlineStr">
        <is>
          <t>김치류(배추김치 등)</t>
        </is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n">
        <v>0</v>
      </c>
      <c r="G320" s="140" t="n">
        <v>0</v>
      </c>
      <c r="H320" s="140" t="n">
        <v>0</v>
      </c>
      <c r="I320" s="269" t="inlineStr">
        <is>
          <t>김치류(배추김치 등)</t>
        </is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  <c r="I321" s="269" t="inlineStr">
        <is>
          <t>김치류(배추김치 등)</t>
        </is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  <c r="I322" s="269" t="inlineStr">
        <is>
          <t>김치류(배추김치 등)</t>
        </is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n">
        <v>0</v>
      </c>
      <c r="G323" s="140" t="n">
        <v>0</v>
      </c>
      <c r="H323" s="140" t="n">
        <v>0</v>
      </c>
      <c r="I323" s="269" t="inlineStr">
        <is>
          <t>김치류(배추김치 등)</t>
        </is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  <c r="I324" s="269" t="inlineStr">
        <is>
          <t>김치류(배추김치 등)</t>
        </is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  <c r="I325" s="269" t="inlineStr">
        <is>
          <t>김치류(배추김치 등)</t>
        </is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  <c r="I326" s="269" t="inlineStr">
        <is>
          <t>김치류(배추김치 등)</t>
        </is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n">
        <v>0</v>
      </c>
      <c r="G327" s="140" t="n">
        <v>0</v>
      </c>
      <c r="H327" s="140" t="n">
        <v>0</v>
      </c>
      <c r="I327" s="269" t="inlineStr">
        <is>
          <t>김치류(배추김치 등)</t>
        </is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n">
        <v>0</v>
      </c>
      <c r="G328" s="140" t="n">
        <v>0</v>
      </c>
      <c r="H328" s="140" t="n">
        <v>0</v>
      </c>
      <c r="I328" s="269" t="inlineStr">
        <is>
          <t>김치류(배추김치 등)</t>
        </is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  <c r="I329" s="269" t="inlineStr">
        <is>
          <t>김치류(배추김치 등)</t>
        </is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  <c r="I330" s="269" t="inlineStr">
        <is>
          <t>김치류(배추김치 등)</t>
        </is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  <c r="I331" s="269" t="inlineStr">
        <is>
          <t>김치류(배추김치 등)</t>
        </is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n">
        <v>0</v>
      </c>
      <c r="G332" s="142" t="n">
        <v>0</v>
      </c>
      <c r="H332" s="142" t="n">
        <v>0</v>
      </c>
      <c r="I332" s="269" t="inlineStr">
        <is>
          <t>즙/주스류(양파즙, 토마토즙 등)</t>
        </is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n">
        <v>0</v>
      </c>
      <c r="G333" s="142" t="n">
        <v>0</v>
      </c>
      <c r="H333" s="142" t="n">
        <v>0</v>
      </c>
      <c r="I333" s="269" t="inlineStr">
        <is>
          <t>즙/주스류(양파즙, 토마토즙 등)</t>
        </is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n">
        <v>0</v>
      </c>
      <c r="G334" s="142" t="n">
        <v>0</v>
      </c>
      <c r="H334" s="142" t="n">
        <v>0</v>
      </c>
      <c r="I334" s="269" t="inlineStr">
        <is>
          <t>즙/주스류(양파즙, 토마토즙 등)</t>
        </is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n">
        <v>0</v>
      </c>
      <c r="G335" s="142" t="n">
        <v>0</v>
      </c>
      <c r="H335" s="142" t="n">
        <v>0</v>
      </c>
      <c r="I335" s="269" t="inlineStr">
        <is>
          <t>즙/주스류(양파즙, 토마토즙 등)</t>
        </is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  <c r="I336" s="269" t="inlineStr">
        <is>
          <t>기타 가공식품</t>
        </is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  <c r="I337" s="269" t="inlineStr">
        <is>
          <t>즙/주스류(양파즙, 토마토즙 등)</t>
        </is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n">
        <v>0</v>
      </c>
      <c r="G338" s="142" t="n">
        <v>0</v>
      </c>
      <c r="H338" s="142" t="n">
        <v>0</v>
      </c>
      <c r="I338" s="269" t="inlineStr">
        <is>
          <t>기타 가공식품</t>
        </is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n">
        <v>0</v>
      </c>
      <c r="G339" s="142" t="n">
        <v>0</v>
      </c>
      <c r="H339" s="142" t="n">
        <v>0</v>
      </c>
      <c r="I339" s="269" t="inlineStr">
        <is>
          <t>기타 가공식품</t>
        </is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n">
        <v>0</v>
      </c>
      <c r="G340" s="142" t="n">
        <v>0</v>
      </c>
      <c r="H340" s="142" t="n">
        <v>0</v>
      </c>
      <c r="I340" s="269" t="inlineStr">
        <is>
          <t>기타 가공식품</t>
        </is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  <c r="I341" s="269" t="inlineStr">
        <is>
          <t>즙/주스류(양파즙, 토마토즙 등)</t>
        </is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n">
        <v>0</v>
      </c>
      <c r="G342" s="142" t="n">
        <v>0</v>
      </c>
      <c r="H342" s="142" t="n">
        <v>0</v>
      </c>
      <c r="I342" s="269" t="inlineStr">
        <is>
          <t>기타 가공식품</t>
        </is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n">
        <v>0</v>
      </c>
      <c r="G343" s="142" t="n">
        <v>0</v>
      </c>
      <c r="H343" s="142" t="n">
        <v>0</v>
      </c>
      <c r="I343" s="269" t="inlineStr">
        <is>
          <t>즙/주스류(양파즙, 토마토즙 등)</t>
        </is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n">
        <v>0</v>
      </c>
      <c r="G344" s="142" t="n">
        <v>0</v>
      </c>
      <c r="H344" s="142" t="n">
        <v>0</v>
      </c>
      <c r="I344" s="269" t="inlineStr">
        <is>
          <t>즙/주스류(양파즙, 토마토즙 등)</t>
        </is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  <c r="I345" s="269" t="inlineStr">
        <is>
          <t>즙/주스류(양파즙, 토마토즙 등)</t>
        </is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  <c r="I346" s="269" t="inlineStr">
        <is>
          <t>기타 가공식품</t>
        </is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  <c r="I347" s="269" t="inlineStr">
        <is>
          <t>떡류</t>
        </is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  <c r="I348" s="269" t="inlineStr">
        <is>
          <t>떡류</t>
        </is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  <c r="I349" s="269" t="inlineStr">
        <is>
          <t>떡류</t>
        </is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  <c r="I350" s="269" t="inlineStr">
        <is>
          <t>떡류</t>
        </is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  <c r="I351" s="269" t="inlineStr">
        <is>
          <t>떡류</t>
        </is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  <c r="I352" s="269" t="inlineStr">
        <is>
          <t>떡류</t>
        </is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  <c r="I353" s="269" t="inlineStr">
        <is>
          <t>떡류</t>
        </is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  <c r="I354" s="269" t="inlineStr">
        <is>
          <t>떡류</t>
        </is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  <c r="I355" s="269" t="inlineStr">
        <is>
          <t>떡류</t>
        </is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  <c r="I356" s="269" t="inlineStr">
        <is>
          <t>떡류</t>
        </is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  <c r="I357" s="269" t="inlineStr">
        <is>
          <t>떡류</t>
        </is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  <c r="I358" s="269" t="inlineStr">
        <is>
          <t>떡류</t>
        </is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n">
        <v>0</v>
      </c>
      <c r="G359" s="142" t="n">
        <v>0</v>
      </c>
      <c r="H359" s="142" t="n">
        <v>0</v>
      </c>
      <c r="I359" s="269" t="inlineStr">
        <is>
          <t>떡류</t>
        </is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  <c r="I360" s="269" t="inlineStr">
        <is>
          <t>떡류</t>
        </is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  <c r="I361" s="269" t="inlineStr">
        <is>
          <t>떡류</t>
        </is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n">
        <v>0</v>
      </c>
      <c r="G362" s="142" t="n">
        <v>0</v>
      </c>
      <c r="H362" s="142" t="n">
        <v>0</v>
      </c>
      <c r="I362" s="269" t="inlineStr">
        <is>
          <t>떡류</t>
        </is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  <c r="I363" s="269" t="inlineStr">
        <is>
          <t>떡류</t>
        </is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n">
        <v>0</v>
      </c>
      <c r="G364" s="142" t="n">
        <v>0</v>
      </c>
      <c r="H364" s="142" t="n">
        <v>0</v>
      </c>
      <c r="I364" s="269" t="inlineStr">
        <is>
          <t>떡류</t>
        </is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  <c r="I365" s="269" t="inlineStr">
        <is>
          <t>떡류</t>
        </is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  <c r="I366" s="269" t="inlineStr">
        <is>
          <t>떡류</t>
        </is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  <c r="I367" s="269" t="inlineStr">
        <is>
          <t>떡류</t>
        </is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  <c r="I368" s="269" t="inlineStr">
        <is>
          <t>떡류</t>
        </is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n">
        <v>0</v>
      </c>
      <c r="G369" s="142" t="n">
        <v>0</v>
      </c>
      <c r="H369" s="142" t="n">
        <v>0</v>
      </c>
      <c r="I369" s="269" t="inlineStr">
        <is>
          <t>기타 가공식품</t>
        </is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n">
        <v>0</v>
      </c>
      <c r="G370" s="142" t="n">
        <v>0</v>
      </c>
      <c r="H370" s="142" t="n">
        <v>0</v>
      </c>
      <c r="I370" s="269" t="inlineStr">
        <is>
          <t>기타 가공식품</t>
        </is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n">
        <v>0</v>
      </c>
      <c r="G371" s="142" t="n">
        <v>0</v>
      </c>
      <c r="H371" s="142" t="n">
        <v>0</v>
      </c>
      <c r="I371" s="269" t="inlineStr">
        <is>
          <t>기타 가공식품</t>
        </is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n">
        <v>0</v>
      </c>
      <c r="G372" s="142" t="n">
        <v>0</v>
      </c>
      <c r="H372" s="142" t="n">
        <v>0</v>
      </c>
      <c r="I372" s="269" t="inlineStr">
        <is>
          <t>기타 가공식품</t>
        </is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n">
        <v>0</v>
      </c>
      <c r="G373" s="142" t="n">
        <v>0</v>
      </c>
      <c r="H373" s="142" t="n">
        <v>0</v>
      </c>
      <c r="I373" s="269" t="inlineStr">
        <is>
          <t>기타 가공식품</t>
        </is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n">
        <v>0</v>
      </c>
      <c r="G374" s="142" t="n">
        <v>0</v>
      </c>
      <c r="H374" s="142" t="n">
        <v>0</v>
      </c>
      <c r="I374" s="269" t="inlineStr">
        <is>
          <t>기타 가공식품</t>
        </is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n">
        <v>0</v>
      </c>
      <c r="G375" s="142" t="n">
        <v>0</v>
      </c>
      <c r="H375" s="142" t="n">
        <v>0</v>
      </c>
      <c r="I375" s="269" t="inlineStr">
        <is>
          <t>기타 가공식품</t>
        </is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n">
        <v>0</v>
      </c>
      <c r="G376" s="142" t="n">
        <v>0</v>
      </c>
      <c r="H376" s="142" t="n">
        <v>0</v>
      </c>
      <c r="I376" s="269" t="inlineStr">
        <is>
          <t>기타 가공식품</t>
        </is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n">
        <v>0</v>
      </c>
      <c r="G377" s="142" t="n">
        <v>0</v>
      </c>
      <c r="H377" s="142" t="n">
        <v>0</v>
      </c>
      <c r="I377" s="269" t="inlineStr">
        <is>
          <t>기타 가공식품</t>
        </is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n">
        <v>0</v>
      </c>
      <c r="G378" s="142" t="n">
        <v>0</v>
      </c>
      <c r="H378" s="142" t="n">
        <v>0</v>
      </c>
      <c r="I378" s="269" t="inlineStr">
        <is>
          <t>기타 가공식품</t>
        </is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n">
        <v>0</v>
      </c>
      <c r="G379" s="142" t="n">
        <v>0</v>
      </c>
      <c r="H379" s="142" t="n">
        <v>0</v>
      </c>
      <c r="I379" s="269" t="inlineStr">
        <is>
          <t>기타 가공식품</t>
        </is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n">
        <v>0</v>
      </c>
      <c r="G380" s="142" t="n">
        <v>0</v>
      </c>
      <c r="H380" s="142" t="n">
        <v>0</v>
      </c>
      <c r="I380" s="269" t="inlineStr">
        <is>
          <t>기타 가공식품</t>
        </is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n">
        <v>0</v>
      </c>
      <c r="G381" s="142" t="n">
        <v>0</v>
      </c>
      <c r="H381" s="142" t="n">
        <v>0</v>
      </c>
      <c r="I381" s="269" t="inlineStr">
        <is>
          <t>기타 가공식품</t>
        </is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n">
        <v>0</v>
      </c>
      <c r="G382" s="142" t="n">
        <v>0</v>
      </c>
      <c r="H382" s="142" t="n">
        <v>0</v>
      </c>
      <c r="I382" s="269" t="inlineStr">
        <is>
          <t>기타 가공식품</t>
        </is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n">
        <v>0</v>
      </c>
      <c r="G383" s="142" t="n">
        <v>0</v>
      </c>
      <c r="H383" s="142" t="n">
        <v>0</v>
      </c>
      <c r="I383" s="269" t="inlineStr">
        <is>
          <t>기타 가공식품</t>
        </is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n">
        <v>0</v>
      </c>
      <c r="G384" s="142" t="n">
        <v>0</v>
      </c>
      <c r="H384" s="142" t="n">
        <v>0</v>
      </c>
      <c r="I384" s="269" t="inlineStr">
        <is>
          <t>기타 가공식품</t>
        </is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n">
        <v>0</v>
      </c>
      <c r="G385" s="142" t="n">
        <v>0</v>
      </c>
      <c r="H385" s="142" t="n">
        <v>0</v>
      </c>
      <c r="I385" s="269" t="inlineStr">
        <is>
          <t>기타 가공식품</t>
        </is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n">
        <v>0</v>
      </c>
      <c r="G386" s="142" t="n">
        <v>0</v>
      </c>
      <c r="H386" s="142" t="n">
        <v>0</v>
      </c>
      <c r="I386" s="269" t="inlineStr">
        <is>
          <t>기타 가공식품</t>
        </is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n">
        <v>0</v>
      </c>
      <c r="G387" s="142" t="n">
        <v>0</v>
      </c>
      <c r="H387" s="142" t="n">
        <v>0</v>
      </c>
      <c r="I387" s="269" t="inlineStr">
        <is>
          <t>기타 가공식품</t>
        </is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n">
        <v>0</v>
      </c>
      <c r="G388" s="142" t="n">
        <v>0</v>
      </c>
      <c r="H388" s="142" t="n">
        <v>0</v>
      </c>
      <c r="I388" s="269" t="inlineStr">
        <is>
          <t>기타 가공식품</t>
        </is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n">
        <v>0</v>
      </c>
      <c r="G389" s="142" t="n">
        <v>0</v>
      </c>
      <c r="H389" s="142" t="n">
        <v>0</v>
      </c>
      <c r="I389" s="269" t="inlineStr">
        <is>
          <t>기타 가공식품</t>
        </is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n">
        <v>0</v>
      </c>
      <c r="G390" s="142" t="n">
        <v>0</v>
      </c>
      <c r="H390" s="142" t="n">
        <v>0</v>
      </c>
      <c r="I390" s="269" t="inlineStr">
        <is>
          <t>기타 가공식품</t>
        </is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n">
        <v>0</v>
      </c>
      <c r="G391" s="142" t="n">
        <v>0</v>
      </c>
      <c r="H391" s="142" t="n">
        <v>0</v>
      </c>
      <c r="I391" s="269" t="inlineStr">
        <is>
          <t>기타 가공식품</t>
        </is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n">
        <v>0</v>
      </c>
      <c r="G392" s="142" t="n">
        <v>0</v>
      </c>
      <c r="H392" s="142" t="n">
        <v>0</v>
      </c>
      <c r="I392" s="269" t="inlineStr">
        <is>
          <t>기타 가공식품</t>
        </is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n">
        <v>0</v>
      </c>
      <c r="G393" s="142" t="n">
        <v>0</v>
      </c>
      <c r="H393" s="142" t="n">
        <v>0</v>
      </c>
      <c r="I393" s="269" t="inlineStr">
        <is>
          <t>기타 가공식품</t>
        </is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n">
        <v>0</v>
      </c>
      <c r="G394" s="142" t="n">
        <v>0</v>
      </c>
      <c r="H394" s="142" t="n">
        <v>0</v>
      </c>
      <c r="I394" s="269" t="inlineStr">
        <is>
          <t>기타 가공식품</t>
        </is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n">
        <v>0</v>
      </c>
      <c r="G395" s="142" t="n">
        <v>0</v>
      </c>
      <c r="H395" s="142" t="n">
        <v>0</v>
      </c>
      <c r="I395" s="269" t="inlineStr">
        <is>
          <t>기타 가공식품</t>
        </is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n">
        <v>0</v>
      </c>
      <c r="G396" s="142" t="n">
        <v>0</v>
      </c>
      <c r="H396" s="142" t="n">
        <v>0</v>
      </c>
      <c r="I396" s="269" t="inlineStr">
        <is>
          <t>기타 가공식품</t>
        </is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n">
        <v>0</v>
      </c>
      <c r="G397" s="142" t="n">
        <v>0</v>
      </c>
      <c r="H397" s="142" t="n">
        <v>0</v>
      </c>
      <c r="I397" s="269" t="inlineStr">
        <is>
          <t>기타 가공식품</t>
        </is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n">
        <v>0</v>
      </c>
      <c r="G398" s="142" t="n">
        <v>0</v>
      </c>
      <c r="H398" s="142" t="n">
        <v>0</v>
      </c>
      <c r="I398" s="269" t="inlineStr">
        <is>
          <t>기타 가공식품</t>
        </is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n">
        <v>0</v>
      </c>
      <c r="G399" s="142" t="n">
        <v>0</v>
      </c>
      <c r="H399" s="142" t="n">
        <v>0</v>
      </c>
      <c r="I399" s="269" t="inlineStr">
        <is>
          <t>기타 가공식품</t>
        </is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n">
        <v>0</v>
      </c>
      <c r="G400" s="142" t="n">
        <v>0</v>
      </c>
      <c r="H400" s="142" t="n">
        <v>0</v>
      </c>
      <c r="I400" s="269" t="inlineStr">
        <is>
          <t>기타 가공식품</t>
        </is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n">
        <v>0</v>
      </c>
      <c r="G401" s="142" t="n">
        <v>0</v>
      </c>
      <c r="H401" s="142" t="n">
        <v>0</v>
      </c>
      <c r="I401" s="269" t="inlineStr">
        <is>
          <t>기타 가공식품</t>
        </is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n">
        <v>0</v>
      </c>
      <c r="G402" s="142" t="n">
        <v>0</v>
      </c>
      <c r="H402" s="142" t="n">
        <v>0</v>
      </c>
      <c r="I402" s="269" t="inlineStr">
        <is>
          <t>기타 가공식품</t>
        </is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n">
        <v>0</v>
      </c>
      <c r="G403" s="142" t="n">
        <v>0</v>
      </c>
      <c r="H403" s="142" t="n">
        <v>0</v>
      </c>
      <c r="I403" s="269" t="inlineStr">
        <is>
          <t>기타 가공식품</t>
        </is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n">
        <v>0</v>
      </c>
      <c r="G404" s="142" t="n">
        <v>0</v>
      </c>
      <c r="H404" s="142" t="n">
        <v>0</v>
      </c>
      <c r="I404" s="269" t="inlineStr">
        <is>
          <t>기타 가공식품</t>
        </is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n">
        <v>0</v>
      </c>
      <c r="G405" s="142" t="n">
        <v>0</v>
      </c>
      <c r="H405" s="142" t="n">
        <v>0</v>
      </c>
      <c r="I405" s="269" t="inlineStr">
        <is>
          <t>기타 가공식품</t>
        </is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n">
        <v>0</v>
      </c>
      <c r="G406" s="142" t="n">
        <v>0</v>
      </c>
      <c r="H406" s="142" t="n">
        <v>0</v>
      </c>
      <c r="I406" s="269" t="inlineStr">
        <is>
          <t>기타 가공식품</t>
        </is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n">
        <v>0</v>
      </c>
      <c r="G407" s="142" t="n">
        <v>0</v>
      </c>
      <c r="H407" s="142" t="n">
        <v>0</v>
      </c>
      <c r="I407" s="269" t="inlineStr">
        <is>
          <t>기타 가공식품</t>
        </is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n">
        <v>0</v>
      </c>
      <c r="G408" s="142" t="n">
        <v>0</v>
      </c>
      <c r="H408" s="142" t="n">
        <v>0</v>
      </c>
      <c r="I408" s="269" t="inlineStr">
        <is>
          <t>기타 가공식품</t>
        </is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n">
        <v>0</v>
      </c>
      <c r="G409" s="142" t="n">
        <v>0</v>
      </c>
      <c r="H409" s="142" t="n">
        <v>0</v>
      </c>
      <c r="I409" s="269" t="inlineStr">
        <is>
          <t>기타 가공식품</t>
        </is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n">
        <v>0</v>
      </c>
      <c r="G410" s="142" t="n">
        <v>0</v>
      </c>
      <c r="H410" s="142" t="n">
        <v>0</v>
      </c>
      <c r="I410" s="269" t="inlineStr">
        <is>
          <t>기타 가공식품</t>
        </is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n">
        <v>0</v>
      </c>
      <c r="G411" s="142" t="n">
        <v>0</v>
      </c>
      <c r="H411" s="142" t="n">
        <v>0</v>
      </c>
      <c r="I411" s="269" t="inlineStr">
        <is>
          <t>기타 가공식품</t>
        </is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n">
        <v>0</v>
      </c>
      <c r="G412" s="142" t="n">
        <v>0</v>
      </c>
      <c r="H412" s="142" t="n">
        <v>0</v>
      </c>
      <c r="I412" s="269" t="inlineStr">
        <is>
          <t>기타 가공식품</t>
        </is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n">
        <v>0</v>
      </c>
      <c r="G413" s="142" t="n">
        <v>0</v>
      </c>
      <c r="H413" s="142" t="n">
        <v>0</v>
      </c>
      <c r="I413" s="269" t="inlineStr">
        <is>
          <t>기타 가공식품</t>
        </is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n">
        <v>0</v>
      </c>
      <c r="G414" s="142" t="n">
        <v>0</v>
      </c>
      <c r="H414" s="142" t="n">
        <v>0</v>
      </c>
      <c r="I414" s="269" t="inlineStr">
        <is>
          <t>기타 가공식품</t>
        </is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n">
        <v>0</v>
      </c>
      <c r="G415" s="142" t="n">
        <v>0</v>
      </c>
      <c r="H415" s="142" t="n">
        <v>0</v>
      </c>
      <c r="I415" s="269" t="inlineStr">
        <is>
          <t>기타 가공식품</t>
        </is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n">
        <v>0</v>
      </c>
      <c r="G416" s="142" t="n">
        <v>0</v>
      </c>
      <c r="H416" s="142" t="n">
        <v>0</v>
      </c>
      <c r="I416" s="269" t="inlineStr">
        <is>
          <t>기타 가공식품</t>
        </is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n">
        <v>0</v>
      </c>
      <c r="G417" s="142" t="n">
        <v>0</v>
      </c>
      <c r="H417" s="142" t="n">
        <v>0</v>
      </c>
      <c r="I417" s="269" t="inlineStr">
        <is>
          <t>기타 가공식품</t>
        </is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n">
        <v>0</v>
      </c>
      <c r="G418" s="142" t="n">
        <v>0</v>
      </c>
      <c r="H418" s="142" t="n">
        <v>0</v>
      </c>
      <c r="I418" s="269" t="inlineStr">
        <is>
          <t>기타 가공식품</t>
        </is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  <c r="I419" s="269" t="inlineStr">
        <is>
          <t>채소류(상추, 쌈채소 등)</t>
        </is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n">
        <v>0</v>
      </c>
      <c r="G420" s="142" t="n">
        <v>0</v>
      </c>
      <c r="H420" s="142" t="n">
        <v>0</v>
      </c>
      <c r="I420" s="269" t="inlineStr">
        <is>
          <t>채소류(상추, 쌈채소 등)</t>
        </is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n">
        <v>0</v>
      </c>
      <c r="G421" s="142" t="n">
        <v>0</v>
      </c>
      <c r="H421" s="142" t="n">
        <v>0</v>
      </c>
      <c r="I421" s="269" t="inlineStr">
        <is>
          <t>닭고기 및 닭가공육</t>
        </is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n">
        <v>0</v>
      </c>
      <c r="G422" s="142" t="n">
        <v>0</v>
      </c>
      <c r="H422" s="142" t="n">
        <v>0</v>
      </c>
      <c r="I422" s="269" t="inlineStr">
        <is>
          <t>채소류(상추, 쌈채소 등)</t>
        </is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  <c r="I423" s="269" t="inlineStr">
        <is>
          <t>기타 농산물</t>
        </is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  <c r="I424" s="269" t="inlineStr">
        <is>
          <t>기타 농산물</t>
        </is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n">
        <v>0</v>
      </c>
      <c r="G425" s="142" t="n">
        <v>0</v>
      </c>
      <c r="H425" s="142" t="n">
        <v>0</v>
      </c>
      <c r="I425" s="269" t="inlineStr">
        <is>
          <t>기타 농산물</t>
        </is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n">
        <v>0</v>
      </c>
      <c r="G426" s="142" t="n">
        <v>0</v>
      </c>
      <c r="H426" s="142" t="n">
        <v>0</v>
      </c>
      <c r="I426" s="269" t="inlineStr">
        <is>
          <t>기타 농산물</t>
        </is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n">
        <v>0</v>
      </c>
      <c r="G427" s="142" t="n">
        <v>0</v>
      </c>
      <c r="H427" s="142" t="n">
        <v>0</v>
      </c>
      <c r="I427" s="269" t="inlineStr">
        <is>
          <t>기타 농산물</t>
        </is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  <c r="I428" s="269" t="inlineStr">
        <is>
          <t>기타 농산물</t>
        </is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n">
        <v>0</v>
      </c>
      <c r="G429" s="142" t="n">
        <v>0</v>
      </c>
      <c r="H429" s="142" t="n">
        <v>0</v>
      </c>
      <c r="I429" s="269" t="inlineStr">
        <is>
          <t>기타 농산물</t>
        </is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  <c r="I430" s="269" t="inlineStr">
        <is>
          <t>기타 농산물</t>
        </is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n">
        <v>0</v>
      </c>
      <c r="G431" s="142" t="n">
        <v>0</v>
      </c>
      <c r="H431" s="142" t="n">
        <v>0</v>
      </c>
      <c r="I431" s="269" t="inlineStr">
        <is>
          <t>기타 농산물</t>
        </is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n">
        <v>0</v>
      </c>
      <c r="G432" s="142" t="n">
        <v>0</v>
      </c>
      <c r="H432" s="142" t="n">
        <v>0</v>
      </c>
      <c r="I432" s="269" t="inlineStr">
        <is>
          <t>기타 농산물</t>
        </is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n">
        <v>0</v>
      </c>
      <c r="G433" s="142" t="n">
        <v>0</v>
      </c>
      <c r="H433" s="142" t="n">
        <v>0</v>
      </c>
      <c r="I433" s="269" t="inlineStr">
        <is>
          <t>기타 농산물</t>
        </is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n">
        <v>0</v>
      </c>
      <c r="G434" s="142" t="n">
        <v>0</v>
      </c>
      <c r="H434" s="142" t="n">
        <v>0</v>
      </c>
      <c r="I434" s="269" t="inlineStr">
        <is>
          <t>기타 농산물</t>
        </is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n">
        <v>0</v>
      </c>
      <c r="G435" s="142" t="n">
        <v>0</v>
      </c>
      <c r="H435" s="142" t="n">
        <v>0</v>
      </c>
      <c r="I435" s="269" t="inlineStr">
        <is>
          <t>기타 농산물</t>
        </is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n">
        <v>0</v>
      </c>
      <c r="G436" s="142" t="n">
        <v>0</v>
      </c>
      <c r="H436" s="142" t="n">
        <v>0</v>
      </c>
      <c r="I436" s="269" t="inlineStr">
        <is>
          <t>기타 농산물</t>
        </is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  <c r="I437" s="269" t="inlineStr">
        <is>
          <t>기타 농산물</t>
        </is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  <c r="I438" s="269" t="inlineStr">
        <is>
          <t>기타 농산물</t>
        </is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n">
        <v>0</v>
      </c>
      <c r="G439" s="142" t="n">
        <v>0</v>
      </c>
      <c r="H439" s="142" t="n">
        <v>0</v>
      </c>
      <c r="I439" s="269" t="inlineStr">
        <is>
          <t>기타 농산물</t>
        </is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n">
        <v>0</v>
      </c>
      <c r="G440" s="142" t="n">
        <v>0</v>
      </c>
      <c r="H440" s="142" t="n">
        <v>0</v>
      </c>
      <c r="I440" s="269" t="inlineStr">
        <is>
          <t>기타 농산물</t>
        </is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n">
        <v>0</v>
      </c>
      <c r="G441" s="142" t="n">
        <v>0</v>
      </c>
      <c r="H441" s="142" t="n">
        <v>0</v>
      </c>
      <c r="I441" s="269" t="inlineStr">
        <is>
          <t>기타 농산물</t>
        </is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n">
        <v>0</v>
      </c>
      <c r="G442" s="142" t="n">
        <v>0</v>
      </c>
      <c r="H442" s="142" t="n">
        <v>0</v>
      </c>
      <c r="I442" s="269" t="inlineStr">
        <is>
          <t>기타 농산물</t>
        </is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n">
        <v>0</v>
      </c>
      <c r="G443" s="142" t="n">
        <v>0</v>
      </c>
      <c r="H443" s="142" t="n">
        <v>0</v>
      </c>
      <c r="I443" s="269" t="inlineStr">
        <is>
          <t>기타 농산물</t>
        </is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n">
        <v>0</v>
      </c>
      <c r="G444" s="142" t="n">
        <v>0</v>
      </c>
      <c r="H444" s="142" t="n">
        <v>0</v>
      </c>
      <c r="I444" s="269" t="inlineStr">
        <is>
          <t>기타 농산물</t>
        </is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n">
        <v>0</v>
      </c>
      <c r="G445" s="142" t="n">
        <v>0</v>
      </c>
      <c r="H445" s="142" t="n">
        <v>0</v>
      </c>
      <c r="I445" s="269" t="inlineStr">
        <is>
          <t>기타 농산물</t>
        </is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n">
        <v>0</v>
      </c>
      <c r="G446" s="142" t="n">
        <v>0</v>
      </c>
      <c r="H446" s="142" t="n">
        <v>0</v>
      </c>
      <c r="I446" s="269" t="inlineStr">
        <is>
          <t>기타 농산물</t>
        </is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n">
        <v>0</v>
      </c>
      <c r="G447" s="142" t="n">
        <v>0</v>
      </c>
      <c r="H447" s="142" t="n">
        <v>0</v>
      </c>
      <c r="I447" s="269" t="inlineStr">
        <is>
          <t>기타 농산물</t>
        </is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n">
        <v>0</v>
      </c>
      <c r="G448" s="142" t="n">
        <v>0</v>
      </c>
      <c r="H448" s="142" t="n">
        <v>0</v>
      </c>
      <c r="I448" s="269" t="inlineStr">
        <is>
          <t>기타 농산물</t>
        </is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n">
        <v>0</v>
      </c>
      <c r="G449" s="142" t="n">
        <v>0</v>
      </c>
      <c r="H449" s="142" t="n">
        <v>0</v>
      </c>
      <c r="I449" s="269" t="inlineStr">
        <is>
          <t>기타 농산물</t>
        </is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n">
        <v>0</v>
      </c>
      <c r="G450" s="142" t="n">
        <v>0</v>
      </c>
      <c r="H450" s="142" t="n">
        <v>0</v>
      </c>
      <c r="I450" s="269" t="inlineStr">
        <is>
          <t>기타 농산물</t>
        </is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n">
        <v>0</v>
      </c>
      <c r="G451" s="142" t="n">
        <v>0</v>
      </c>
      <c r="H451" s="142" t="n">
        <v>0</v>
      </c>
      <c r="I451" s="269" t="inlineStr">
        <is>
          <t>기타 농산물</t>
        </is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  <c r="I452" s="269" t="inlineStr">
        <is>
          <t>기타 농산물</t>
        </is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n">
        <v>0</v>
      </c>
      <c r="G453" s="142" t="n">
        <v>0</v>
      </c>
      <c r="H453" s="142" t="n">
        <v>0</v>
      </c>
      <c r="I453" s="269" t="inlineStr">
        <is>
          <t>기타 농산물</t>
        </is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n">
        <v>0</v>
      </c>
      <c r="G454" s="142" t="n">
        <v>0</v>
      </c>
      <c r="H454" s="142" t="n">
        <v>0</v>
      </c>
      <c r="I454" s="269" t="inlineStr">
        <is>
          <t>기타 농산물</t>
        </is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n">
        <v>0</v>
      </c>
      <c r="G455" s="142" t="n">
        <v>0</v>
      </c>
      <c r="H455" s="142" t="n">
        <v>0</v>
      </c>
      <c r="I455" s="269" t="inlineStr">
        <is>
          <t>기타 농산물</t>
        </is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n">
        <v>0</v>
      </c>
      <c r="G456" s="142" t="n">
        <v>0</v>
      </c>
      <c r="H456" s="142" t="n">
        <v>0</v>
      </c>
      <c r="I456" s="269" t="inlineStr">
        <is>
          <t>기타 농산물</t>
        </is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n">
        <v>0</v>
      </c>
      <c r="G457" s="142" t="n">
        <v>0</v>
      </c>
      <c r="H457" s="142" t="n">
        <v>0</v>
      </c>
      <c r="I457" s="269" t="inlineStr">
        <is>
          <t>기타 농산물</t>
        </is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n">
        <v>0</v>
      </c>
      <c r="G458" s="142" t="n">
        <v>0</v>
      </c>
      <c r="H458" s="142" t="n">
        <v>0</v>
      </c>
      <c r="I458" s="269" t="inlineStr">
        <is>
          <t>기타 가공식품</t>
        </is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n">
        <v>0</v>
      </c>
      <c r="G459" s="142" t="n">
        <v>0</v>
      </c>
      <c r="H459" s="142" t="n">
        <v>0</v>
      </c>
      <c r="I459" s="269" t="inlineStr">
        <is>
          <t>기타 가공식품</t>
        </is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n">
        <v>0</v>
      </c>
      <c r="G460" s="142" t="n">
        <v>0</v>
      </c>
      <c r="H460" s="142" t="n">
        <v>0</v>
      </c>
      <c r="I460" s="269" t="inlineStr">
        <is>
          <t>기타 농산물</t>
        </is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n">
        <v>0</v>
      </c>
      <c r="G461" s="142" t="n">
        <v>0</v>
      </c>
      <c r="H461" s="142" t="n">
        <v>0</v>
      </c>
      <c r="I461" s="269" t="inlineStr">
        <is>
          <t>채소류(상추, 쌈채소 등)</t>
        </is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  <c r="I462" s="269" t="inlineStr">
        <is>
          <t>채소류(상추, 쌈채소 등)</t>
        </is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  <c r="I463" s="269" t="inlineStr">
        <is>
          <t>채소류(상추, 쌈채소 등)</t>
        </is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  <c r="I464" s="269" t="inlineStr">
        <is>
          <t>쌀 및 잡곡류</t>
        </is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  <c r="I465" s="269" t="inlineStr">
        <is>
          <t>쌀 및 잡곡류</t>
        </is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n">
        <v>0</v>
      </c>
      <c r="G466" s="142" t="n">
        <v>0</v>
      </c>
      <c r="H466" s="142" t="n">
        <v>0</v>
      </c>
      <c r="I466" s="269" t="inlineStr">
        <is>
          <t>쌀 및 잡곡류</t>
        </is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n">
        <v>0</v>
      </c>
      <c r="G467" s="142" t="n">
        <v>0</v>
      </c>
      <c r="H467" s="142" t="n">
        <v>0</v>
      </c>
      <c r="I467" s="269" t="inlineStr">
        <is>
          <t>쌀 및 잡곡류</t>
        </is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  <c r="I468" s="269" t="inlineStr">
        <is>
          <t>기타 가공식품</t>
        </is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n">
        <v>0</v>
      </c>
      <c r="G469" s="142" t="n">
        <v>0</v>
      </c>
      <c r="H469" s="142" t="n">
        <v>0</v>
      </c>
      <c r="I469" s="269" t="inlineStr">
        <is>
          <t>기타 가공식품</t>
        </is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n">
        <v>0</v>
      </c>
      <c r="G470" s="142" t="n">
        <v>0</v>
      </c>
      <c r="H470" s="142" t="n">
        <v>0</v>
      </c>
      <c r="I470" s="269" t="inlineStr">
        <is>
          <t>기타 가공식품</t>
        </is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  <c r="I471" s="269" t="inlineStr">
        <is>
          <t>기타 가공식품</t>
        </is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n">
        <v>0</v>
      </c>
      <c r="G472" s="142" t="n">
        <v>0</v>
      </c>
      <c r="H472" s="142" t="n">
        <v>0</v>
      </c>
      <c r="I472" s="269" t="inlineStr">
        <is>
          <t>기타 가공식품</t>
        </is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  <c r="I473" s="269" t="inlineStr">
        <is>
          <t>계란(유정란)</t>
        </is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  <c r="I474" s="269" t="inlineStr">
        <is>
          <t>계란(유정란)</t>
        </is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n">
        <v>0</v>
      </c>
      <c r="G475" s="142" t="n">
        <v>0</v>
      </c>
      <c r="H475" s="142" t="n">
        <v>0</v>
      </c>
      <c r="I475" s="269" t="inlineStr">
        <is>
          <t>계란(유정란)</t>
        </is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n">
        <v>0</v>
      </c>
      <c r="G476" s="142" t="n">
        <v>0</v>
      </c>
      <c r="H476" s="142" t="n">
        <v>0</v>
      </c>
      <c r="I476" s="269" t="inlineStr">
        <is>
          <t>한돈(돼지고기)</t>
        </is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n">
        <v>0</v>
      </c>
      <c r="G477" s="142" t="n">
        <v>0</v>
      </c>
      <c r="H477" s="142" t="n">
        <v>0</v>
      </c>
      <c r="I477" s="269" t="inlineStr">
        <is>
          <t>계란(유정란)</t>
        </is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n">
        <v>0</v>
      </c>
      <c r="G478" s="142" t="n">
        <v>0</v>
      </c>
      <c r="H478" s="142" t="n">
        <v>0</v>
      </c>
      <c r="I478" s="269" t="inlineStr">
        <is>
          <t>계란(유정란)</t>
        </is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  <c r="I479" s="269" t="inlineStr">
        <is>
          <t>한돈(돼지고기)</t>
        </is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  <c r="I480" s="269" t="inlineStr">
        <is>
          <t>김치류(배추김치 등)</t>
        </is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  <c r="I481" s="269" t="inlineStr">
        <is>
          <t>떡류</t>
        </is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n">
        <v>0</v>
      </c>
      <c r="G482" s="142" t="n">
        <v>0</v>
      </c>
      <c r="H482" s="142" t="n">
        <v>0</v>
      </c>
      <c r="I482" s="269" t="inlineStr">
        <is>
          <t>기타 가공식품</t>
        </is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n">
        <v>0</v>
      </c>
      <c r="G483" s="142" t="n">
        <v>0</v>
      </c>
      <c r="H483" s="142" t="n">
        <v>0</v>
      </c>
      <c r="I483" s="269" t="inlineStr">
        <is>
          <t>떡류</t>
        </is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  <c r="I484" s="269" t="inlineStr">
        <is>
          <t>기타 가공식품</t>
        </is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  <c r="I485" s="269" t="inlineStr">
        <is>
          <t>기타 가공식품</t>
        </is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n">
        <v>0</v>
      </c>
      <c r="G486" s="142" t="n">
        <v>0</v>
      </c>
      <c r="H486" s="142" t="n">
        <v>0</v>
      </c>
      <c r="I486" s="269" t="inlineStr">
        <is>
          <t>기타 가공식품</t>
        </is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n">
        <v>0</v>
      </c>
      <c r="G487" s="142" t="n">
        <v>0</v>
      </c>
      <c r="H487" s="142" t="n">
        <v>0</v>
      </c>
      <c r="I487" s="269" t="inlineStr">
        <is>
          <t>쌀 및 잡곡류</t>
        </is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n">
        <v>0</v>
      </c>
      <c r="G488" s="142" t="n">
        <v>0</v>
      </c>
      <c r="H488" s="142" t="n">
        <v>0</v>
      </c>
      <c r="I488" s="269" t="inlineStr">
        <is>
          <t>기타 가공식품</t>
        </is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  <c r="I489" s="269" t="inlineStr">
        <is>
          <t>토마토</t>
        </is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n">
        <v>0</v>
      </c>
      <c r="G490" s="142" t="n">
        <v>0</v>
      </c>
      <c r="H490" s="142" t="n">
        <v>0</v>
      </c>
      <c r="I490" s="269" t="inlineStr">
        <is>
          <t>토마토</t>
        </is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  <c r="I491" s="269" t="inlineStr">
        <is>
          <t>한돈(돼지고기)</t>
        </is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  <c r="I492" s="269" t="inlineStr">
        <is>
          <t>한돈(돼지고기)</t>
        </is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n">
        <v>0</v>
      </c>
      <c r="G493" s="142" t="n">
        <v>0</v>
      </c>
      <c r="H493" s="142" t="n">
        <v>0</v>
      </c>
      <c r="I493" s="269" t="inlineStr">
        <is>
          <t>한돈(돼지고기)</t>
        </is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  <c r="I494" s="269" t="inlineStr">
        <is>
          <t>한돈(돼지고기)</t>
        </is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  <c r="I495" s="269" t="inlineStr">
        <is>
          <t>한돈(돼지고기)</t>
        </is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  <c r="I496" s="269" t="inlineStr">
        <is>
          <t>한돈(돼지고기)</t>
        </is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  <c r="I497" s="269" t="inlineStr">
        <is>
          <t>한돈(돼지고기)</t>
        </is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n">
        <v>0</v>
      </c>
      <c r="G498" s="142" t="n">
        <v>0</v>
      </c>
      <c r="H498" s="142" t="n">
        <v>0</v>
      </c>
      <c r="I498" s="269" t="inlineStr">
        <is>
          <t>한돈(돼지고기)</t>
        </is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n">
        <v>0</v>
      </c>
      <c r="G499" s="142" t="n">
        <v>0</v>
      </c>
      <c r="H499" s="142" t="n">
        <v>0</v>
      </c>
      <c r="I499" s="269" t="inlineStr">
        <is>
          <t>한돈(돼지고기)</t>
        </is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n">
        <v>0</v>
      </c>
      <c r="G500" s="142" t="n">
        <v>0</v>
      </c>
      <c r="H500" s="142" t="n">
        <v>0</v>
      </c>
      <c r="I500" s="269" t="inlineStr">
        <is>
          <t>한돈(돼지고기)</t>
        </is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n">
        <v>0</v>
      </c>
      <c r="G501" s="142" t="n">
        <v>0</v>
      </c>
      <c r="H501" s="142" t="n">
        <v>0</v>
      </c>
      <c r="I501" s="269" t="inlineStr">
        <is>
          <t>한돈(돼지고기)</t>
        </is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n">
        <v>0</v>
      </c>
      <c r="G502" s="142" t="n">
        <v>0</v>
      </c>
      <c r="H502" s="142" t="n">
        <v>0</v>
      </c>
      <c r="I502" s="269" t="inlineStr">
        <is>
          <t>한돈(돼지고기)</t>
        </is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n">
        <v>0</v>
      </c>
      <c r="G503" s="142" t="n">
        <v>0</v>
      </c>
      <c r="H503" s="142" t="n">
        <v>0</v>
      </c>
      <c r="I503" s="269" t="inlineStr">
        <is>
          <t>기타 가공식품</t>
        </is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n">
        <v>0</v>
      </c>
      <c r="G504" s="142" t="n">
        <v>0</v>
      </c>
      <c r="H504" s="142" t="n">
        <v>0</v>
      </c>
      <c r="I504" s="269" t="inlineStr">
        <is>
          <t>기타 가공식품</t>
        </is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n">
        <v>0</v>
      </c>
      <c r="G505" s="142" t="n">
        <v>0</v>
      </c>
      <c r="H505" s="142" t="n">
        <v>0</v>
      </c>
      <c r="I505" s="269" t="inlineStr">
        <is>
          <t>기타 가공식품</t>
        </is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n">
        <v>0</v>
      </c>
      <c r="G506" s="142" t="n">
        <v>0</v>
      </c>
      <c r="H506" s="142" t="n">
        <v>0</v>
      </c>
      <c r="I506" s="269" t="inlineStr">
        <is>
          <t>기타 가공식품</t>
        </is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n">
        <v>0</v>
      </c>
      <c r="G507" s="142" t="n">
        <v>0</v>
      </c>
      <c r="H507" s="142" t="n">
        <v>0</v>
      </c>
      <c r="I507" s="269" t="inlineStr">
        <is>
          <t>기타 가공식품</t>
        </is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n">
        <v>0</v>
      </c>
      <c r="G508" s="142" t="n">
        <v>0</v>
      </c>
      <c r="H508" s="142" t="n">
        <v>0</v>
      </c>
      <c r="I508" s="269" t="inlineStr">
        <is>
          <t>기타 가공식품</t>
        </is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n">
        <v>0</v>
      </c>
      <c r="G509" s="142" t="n">
        <v>0</v>
      </c>
      <c r="H509" s="142" t="n">
        <v>0</v>
      </c>
      <c r="I509" s="269" t="inlineStr">
        <is>
          <t>기타 가공식품</t>
        </is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  <c r="I510" s="269" t="inlineStr">
        <is>
          <t>기타 가공식품</t>
        </is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  <c r="I511" s="269" t="inlineStr">
        <is>
          <t>기타 가공식품</t>
        </is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n">
        <v>0</v>
      </c>
      <c r="G512" s="142" t="n">
        <v>0</v>
      </c>
      <c r="H512" s="142" t="n">
        <v>0</v>
      </c>
      <c r="I512" s="269" t="inlineStr">
        <is>
          <t>기타 가공식품</t>
        </is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n">
        <v>0</v>
      </c>
      <c r="G513" s="142" t="n">
        <v>0</v>
      </c>
      <c r="H513" s="142" t="n">
        <v>0</v>
      </c>
      <c r="I513" s="269" t="inlineStr">
        <is>
          <t>즙/주스류(양파즙, 토마토즙 등)</t>
        </is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n">
        <v>0</v>
      </c>
      <c r="G514" s="142" t="n">
        <v>0</v>
      </c>
      <c r="H514" s="142" t="n">
        <v>0</v>
      </c>
      <c r="I514" s="269" t="inlineStr">
        <is>
          <t>즙/주스류(양파즙, 토마토즙 등)</t>
        </is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n">
        <v>0</v>
      </c>
      <c r="G515" s="142" t="n">
        <v>0</v>
      </c>
      <c r="H515" s="142" t="n">
        <v>0</v>
      </c>
      <c r="I515" s="269" t="inlineStr">
        <is>
          <t>기타 가공식품</t>
        </is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  <c r="I516" s="269" t="inlineStr">
        <is>
          <t>기타 가공식품</t>
        </is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  <c r="I517" s="269" t="inlineStr">
        <is>
          <t>기타 가공식품</t>
        </is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  <c r="I518" s="269" t="inlineStr">
        <is>
          <t>기타 가공식품</t>
        </is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  <c r="I519" s="269" t="inlineStr">
        <is>
          <t>즙/주스류(양파즙, 토마토즙 등)</t>
        </is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n">
        <v>0</v>
      </c>
      <c r="G520" s="142" t="n">
        <v>0</v>
      </c>
      <c r="H520" s="142" t="n">
        <v>0</v>
      </c>
      <c r="I520" s="269" t="inlineStr">
        <is>
          <t>기타 가공식품</t>
        </is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n">
        <v>0</v>
      </c>
      <c r="G521" s="142" t="n">
        <v>0</v>
      </c>
      <c r="H521" s="142" t="n">
        <v>0</v>
      </c>
      <c r="I521" s="269" t="inlineStr">
        <is>
          <t>기타 가공식품</t>
        </is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n">
        <v>0</v>
      </c>
      <c r="G522" s="142" t="n">
        <v>0</v>
      </c>
      <c r="H522" s="142" t="n">
        <v>0</v>
      </c>
      <c r="I522" s="269" t="inlineStr">
        <is>
          <t>기타 가공식품</t>
        </is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n">
        <v>0</v>
      </c>
      <c r="G523" s="142" t="n">
        <v>0</v>
      </c>
      <c r="H523" s="142" t="n">
        <v>0</v>
      </c>
      <c r="I523" s="269" t="inlineStr">
        <is>
          <t>기타 가공식품</t>
        </is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n">
        <v>0</v>
      </c>
      <c r="G524" s="142" t="n">
        <v>0</v>
      </c>
      <c r="H524" s="142" t="n">
        <v>0</v>
      </c>
      <c r="I524" s="269" t="inlineStr">
        <is>
          <t>즙/주스류(양파즙, 토마토즙 등)</t>
        </is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n">
        <v>0</v>
      </c>
      <c r="G525" s="142" t="n">
        <v>0</v>
      </c>
      <c r="H525" s="142" t="n">
        <v>0</v>
      </c>
      <c r="I525" s="269" t="inlineStr">
        <is>
          <t>기타 가공식품</t>
        </is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n">
        <v>0</v>
      </c>
      <c r="G526" s="142" t="n">
        <v>0</v>
      </c>
      <c r="H526" s="142" t="n">
        <v>0</v>
      </c>
      <c r="I526" s="269" t="inlineStr">
        <is>
          <t>즙/주스류(양파즙, 토마토즙 등)</t>
        </is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n">
        <v>0</v>
      </c>
      <c r="G527" s="142" t="n">
        <v>0</v>
      </c>
      <c r="H527" s="142" t="n">
        <v>0</v>
      </c>
      <c r="I527" s="269" t="inlineStr">
        <is>
          <t>즙/주스류(양파즙, 토마토즙 등)</t>
        </is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n">
        <v>0</v>
      </c>
      <c r="G528" s="142" t="n">
        <v>0</v>
      </c>
      <c r="H528" s="142" t="n">
        <v>0</v>
      </c>
      <c r="I528" s="269" t="inlineStr">
        <is>
          <t>기타 가공식품</t>
        </is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n">
        <v>0</v>
      </c>
      <c r="G529" s="142" t="n">
        <v>0</v>
      </c>
      <c r="H529" s="142" t="n">
        <v>0</v>
      </c>
      <c r="I529" s="269" t="inlineStr">
        <is>
          <t>기타 가공식품</t>
        </is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n">
        <v>0</v>
      </c>
      <c r="G530" s="142" t="n">
        <v>0</v>
      </c>
      <c r="H530" s="142" t="n">
        <v>0</v>
      </c>
      <c r="I530" s="269" t="inlineStr">
        <is>
          <t>즙/주스류(양파즙, 토마토즙 등)</t>
        </is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n">
        <v>0</v>
      </c>
      <c r="G531" s="142" t="n">
        <v>0</v>
      </c>
      <c r="H531" s="142" t="n">
        <v>0</v>
      </c>
      <c r="I531" s="269" t="inlineStr">
        <is>
          <t>기타 가공식품</t>
        </is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n">
        <v>0</v>
      </c>
      <c r="G532" s="142" t="n">
        <v>0</v>
      </c>
      <c r="H532" s="142" t="n">
        <v>0</v>
      </c>
      <c r="I532" s="269" t="inlineStr">
        <is>
          <t>즙/주스류(양파즙, 토마토즙 등)</t>
        </is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n">
        <v>0</v>
      </c>
      <c r="G533" s="142" t="n">
        <v>0</v>
      </c>
      <c r="H533" s="142" t="n">
        <v>0</v>
      </c>
      <c r="I533" s="269" t="inlineStr">
        <is>
          <t>기타 가공식품</t>
        </is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n">
        <v>0</v>
      </c>
      <c r="G534" s="142" t="n">
        <v>0</v>
      </c>
      <c r="H534" s="142" t="n">
        <v>0</v>
      </c>
      <c r="I534" s="269" t="inlineStr">
        <is>
          <t>즙/주스류(양파즙, 토마토즙 등)</t>
        </is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n">
        <v>0</v>
      </c>
      <c r="G535" s="142" t="n">
        <v>0</v>
      </c>
      <c r="H535" s="142" t="n">
        <v>0</v>
      </c>
      <c r="I535" s="269" t="inlineStr">
        <is>
          <t>기타 가공식품</t>
        </is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n">
        <v>0</v>
      </c>
      <c r="G536" s="142" t="n">
        <v>0</v>
      </c>
      <c r="H536" s="142" t="n">
        <v>0</v>
      </c>
      <c r="I536" s="269" t="inlineStr">
        <is>
          <t>즙/주스류(양파즙, 토마토즙 등)</t>
        </is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n">
        <v>0</v>
      </c>
      <c r="G537" s="142" t="n">
        <v>0</v>
      </c>
      <c r="H537" s="142" t="n">
        <v>0</v>
      </c>
      <c r="I537" s="269" t="inlineStr">
        <is>
          <t>기타 가공식품</t>
        </is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n">
        <v>0</v>
      </c>
      <c r="G538" s="142" t="n">
        <v>0</v>
      </c>
      <c r="H538" s="142" t="n">
        <v>0</v>
      </c>
      <c r="I538" s="269" t="inlineStr">
        <is>
          <t>기타 가공식품</t>
        </is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n">
        <v>0</v>
      </c>
      <c r="G539" s="142" t="n">
        <v>0</v>
      </c>
      <c r="H539" s="142" t="n">
        <v>0</v>
      </c>
      <c r="I539" s="269" t="inlineStr">
        <is>
          <t>기타 가공식품</t>
        </is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n">
        <v>0</v>
      </c>
      <c r="G540" s="142" t="n">
        <v>0</v>
      </c>
      <c r="H540" s="142" t="n">
        <v>0</v>
      </c>
      <c r="I540" s="269" t="inlineStr">
        <is>
          <t>즙/주스류(양파즙, 토마토즙 등)</t>
        </is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n">
        <v>0</v>
      </c>
      <c r="G541" s="142" t="n">
        <v>0</v>
      </c>
      <c r="H541" s="142" t="n">
        <v>0</v>
      </c>
      <c r="I541" s="269" t="inlineStr">
        <is>
          <t>즙/주스류(양파즙, 토마토즙 등)</t>
        </is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n">
        <v>0</v>
      </c>
      <c r="G542" s="142" t="n">
        <v>0</v>
      </c>
      <c r="H542" s="142" t="n">
        <v>0</v>
      </c>
      <c r="I542" s="269" t="inlineStr">
        <is>
          <t>기타 가공식품</t>
        </is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n">
        <v>0</v>
      </c>
      <c r="G543" s="142" t="n">
        <v>0</v>
      </c>
      <c r="H543" s="142" t="n">
        <v>0</v>
      </c>
      <c r="I543" s="269" t="inlineStr">
        <is>
          <t>기타 가공식품</t>
        </is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n">
        <v>0</v>
      </c>
      <c r="G544" s="142" t="n">
        <v>0</v>
      </c>
      <c r="H544" s="142" t="n">
        <v>0</v>
      </c>
      <c r="I544" s="269" t="inlineStr">
        <is>
          <t>기타 가공식품</t>
        </is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n">
        <v>0</v>
      </c>
      <c r="G545" s="142" t="n">
        <v>0</v>
      </c>
      <c r="H545" s="142" t="n">
        <v>0</v>
      </c>
      <c r="I545" s="269" t="inlineStr">
        <is>
          <t>기타 가공식품</t>
        </is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  <c r="I546" s="269" t="inlineStr">
        <is>
          <t>기타 가공식품</t>
        </is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n">
        <v>0</v>
      </c>
      <c r="G547" s="142" t="n">
        <v>0</v>
      </c>
      <c r="H547" s="142" t="n">
        <v>0</v>
      </c>
      <c r="I547" s="269" t="inlineStr">
        <is>
          <t>기타 가공식품</t>
        </is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n">
        <v>0</v>
      </c>
      <c r="G548" s="142" t="n">
        <v>0</v>
      </c>
      <c r="H548" s="142" t="n">
        <v>0</v>
      </c>
      <c r="I548" s="269" t="inlineStr">
        <is>
          <t>기타 가공식품</t>
        </is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  <c r="I549" s="269" t="inlineStr">
        <is>
          <t>기타 가공식품</t>
        </is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n">
        <v>0</v>
      </c>
      <c r="G550" s="142" t="n">
        <v>0</v>
      </c>
      <c r="H550" s="142" t="n">
        <v>0</v>
      </c>
      <c r="I550" s="269" t="inlineStr">
        <is>
          <t>기타 가공식품</t>
        </is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n">
        <v>0</v>
      </c>
      <c r="G551" s="142" t="n">
        <v>0</v>
      </c>
      <c r="H551" s="142" t="n">
        <v>0</v>
      </c>
      <c r="I551" s="269" t="inlineStr">
        <is>
          <t>즙/주스류(양파즙, 토마토즙 등)</t>
        </is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n">
        <v>0</v>
      </c>
      <c r="G552" s="142" t="n">
        <v>0</v>
      </c>
      <c r="H552" s="142" t="n">
        <v>0</v>
      </c>
      <c r="I552" s="269" t="inlineStr">
        <is>
          <t>즙/주스류(양파즙, 토마토즙 등)</t>
        </is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n">
        <v>0</v>
      </c>
      <c r="G553" s="142" t="n">
        <v>0</v>
      </c>
      <c r="H553" s="142" t="n">
        <v>0</v>
      </c>
      <c r="I553" s="269" t="inlineStr">
        <is>
          <t>기타 가공식품</t>
        </is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n">
        <v>0</v>
      </c>
      <c r="G554" s="142" t="n">
        <v>0</v>
      </c>
      <c r="H554" s="142" t="n">
        <v>0</v>
      </c>
      <c r="I554" s="269" t="inlineStr">
        <is>
          <t>기타 가공식품</t>
        </is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n">
        <v>0</v>
      </c>
      <c r="G555" s="142" t="n">
        <v>0</v>
      </c>
      <c r="H555" s="142" t="n">
        <v>0</v>
      </c>
      <c r="I555" s="269" t="inlineStr">
        <is>
          <t>기타 가공식품</t>
        </is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n">
        <v>0</v>
      </c>
      <c r="G556" s="142" t="n">
        <v>0</v>
      </c>
      <c r="H556" s="142" t="n">
        <v>0</v>
      </c>
      <c r="I556" s="269" t="inlineStr">
        <is>
          <t>기타 가공식품</t>
        </is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n">
        <v>0</v>
      </c>
      <c r="G557" s="142" t="n">
        <v>0</v>
      </c>
      <c r="H557" s="142" t="n">
        <v>0</v>
      </c>
      <c r="I557" s="269" t="inlineStr">
        <is>
          <t>기타 가공식품</t>
        </is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n">
        <v>0</v>
      </c>
      <c r="G558" s="142" t="n">
        <v>0</v>
      </c>
      <c r="H558" s="142" t="n">
        <v>0</v>
      </c>
      <c r="I558" s="269" t="inlineStr">
        <is>
          <t>기타 가공식품</t>
        </is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n">
        <v>0</v>
      </c>
      <c r="G559" s="142" t="n">
        <v>0</v>
      </c>
      <c r="H559" s="142" t="n">
        <v>0</v>
      </c>
      <c r="I559" s="269" t="inlineStr">
        <is>
          <t>기타 가공식품</t>
        </is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n">
        <v>0</v>
      </c>
      <c r="G560" s="142" t="n">
        <v>0</v>
      </c>
      <c r="H560" s="142" t="n">
        <v>0</v>
      </c>
      <c r="I560" s="269" t="inlineStr">
        <is>
          <t>기타 가공식품</t>
        </is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n">
        <v>0</v>
      </c>
      <c r="G561" s="142" t="n">
        <v>0</v>
      </c>
      <c r="H561" s="142" t="n">
        <v>0</v>
      </c>
      <c r="I561" s="269" t="inlineStr">
        <is>
          <t>기타 가공식품</t>
        </is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  <c r="I562" s="269" t="inlineStr">
        <is>
          <t>즙/주스류(양파즙, 토마토즙 등)</t>
        </is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n">
        <v>0</v>
      </c>
      <c r="G563" s="142" t="n">
        <v>0</v>
      </c>
      <c r="H563" s="142" t="n">
        <v>0</v>
      </c>
      <c r="I563" s="269" t="inlineStr">
        <is>
          <t>즙/주스류(양파즙, 토마토즙 등)</t>
        </is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n">
        <v>0</v>
      </c>
      <c r="G564" s="142" t="n">
        <v>0</v>
      </c>
      <c r="H564" s="142" t="n">
        <v>0</v>
      </c>
      <c r="I564" s="269" t="inlineStr">
        <is>
          <t>기타 가공식품</t>
        </is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n">
        <v>0</v>
      </c>
      <c r="G565" s="142" t="n">
        <v>0</v>
      </c>
      <c r="H565" s="142" t="n">
        <v>0</v>
      </c>
      <c r="I565" s="269" t="inlineStr">
        <is>
          <t>기타 가공식품</t>
        </is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n">
        <v>0</v>
      </c>
      <c r="G566" s="142" t="n">
        <v>0</v>
      </c>
      <c r="H566" s="142" t="n">
        <v>0</v>
      </c>
      <c r="I566" s="269" t="inlineStr">
        <is>
          <t>기타 가공식품</t>
        </is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n">
        <v>0</v>
      </c>
      <c r="G567" s="142" t="n">
        <v>0</v>
      </c>
      <c r="H567" s="142" t="n">
        <v>0</v>
      </c>
      <c r="I567" s="269" t="inlineStr">
        <is>
          <t>기타 가공식품</t>
        </is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n">
        <v>0</v>
      </c>
      <c r="G568" s="142" t="n">
        <v>0</v>
      </c>
      <c r="H568" s="142" t="n">
        <v>0</v>
      </c>
      <c r="I568" s="269" t="inlineStr">
        <is>
          <t>기타 가공식품</t>
        </is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n">
        <v>0</v>
      </c>
      <c r="G569" s="142" t="n">
        <v>0</v>
      </c>
      <c r="H569" s="142" t="n">
        <v>0</v>
      </c>
      <c r="I569" s="269" t="inlineStr">
        <is>
          <t>기타 가공식품</t>
        </is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n">
        <v>0</v>
      </c>
      <c r="G570" s="142" t="n">
        <v>0</v>
      </c>
      <c r="H570" s="142" t="n">
        <v>0</v>
      </c>
      <c r="I570" s="269" t="inlineStr">
        <is>
          <t>기타 가공식품</t>
        </is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n">
        <v>0</v>
      </c>
      <c r="G571" s="142" t="n">
        <v>0</v>
      </c>
      <c r="H571" s="142" t="n">
        <v>0</v>
      </c>
      <c r="I571" s="269" t="inlineStr">
        <is>
          <t>기타 가공식품</t>
        </is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n">
        <v>0</v>
      </c>
      <c r="G572" s="142" t="n">
        <v>0</v>
      </c>
      <c r="H572" s="142" t="n">
        <v>0</v>
      </c>
      <c r="I572" s="269" t="inlineStr">
        <is>
          <t>기타 가공식품</t>
        </is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n">
        <v>0</v>
      </c>
      <c r="G573" s="142" t="n">
        <v>0</v>
      </c>
      <c r="H573" s="142" t="n">
        <v>0</v>
      </c>
      <c r="I573" s="269" t="inlineStr">
        <is>
          <t>기타 가공식품</t>
        </is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n">
        <v>0</v>
      </c>
      <c r="G574" s="142" t="n">
        <v>0</v>
      </c>
      <c r="H574" s="142" t="n">
        <v>0</v>
      </c>
      <c r="I574" s="269" t="inlineStr">
        <is>
          <t>기타 가공식품</t>
        </is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n">
        <v>0</v>
      </c>
      <c r="G575" s="142" t="n">
        <v>0</v>
      </c>
      <c r="H575" s="142" t="n">
        <v>0</v>
      </c>
      <c r="I575" s="269" t="inlineStr">
        <is>
          <t>즙/주스류(양파즙, 토마토즙 등)</t>
        </is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n">
        <v>0</v>
      </c>
      <c r="G576" s="142" t="n">
        <v>0</v>
      </c>
      <c r="H576" s="142" t="n">
        <v>0</v>
      </c>
      <c r="I576" s="269" t="inlineStr">
        <is>
          <t>즙/주스류(양파즙, 토마토즙 등)</t>
        </is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n">
        <v>0</v>
      </c>
      <c r="G577" s="142" t="n">
        <v>0</v>
      </c>
      <c r="H577" s="142" t="n">
        <v>0</v>
      </c>
      <c r="I577" s="269" t="inlineStr">
        <is>
          <t>즙/주스류(양파즙, 토마토즙 등)</t>
        </is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n">
        <v>0</v>
      </c>
      <c r="G578" s="142" t="n">
        <v>0</v>
      </c>
      <c r="H578" s="142" t="n">
        <v>0</v>
      </c>
      <c r="I578" s="269" t="inlineStr">
        <is>
          <t>기타 가공식품</t>
        </is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n">
        <v>0</v>
      </c>
      <c r="G579" s="142" t="n">
        <v>0</v>
      </c>
      <c r="H579" s="142" t="n">
        <v>0</v>
      </c>
      <c r="I579" s="269" t="inlineStr">
        <is>
          <t>기타 가공식품</t>
        </is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n">
        <v>0</v>
      </c>
      <c r="G580" s="142" t="n">
        <v>0</v>
      </c>
      <c r="H580" s="142" t="n">
        <v>0</v>
      </c>
      <c r="I580" s="269" t="inlineStr">
        <is>
          <t>즙/주스류(양파즙, 토마토즙 등)</t>
        </is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n">
        <v>0</v>
      </c>
      <c r="G581" s="142" t="n">
        <v>0</v>
      </c>
      <c r="H581" s="142" t="n">
        <v>0</v>
      </c>
      <c r="I581" s="269" t="inlineStr">
        <is>
          <t>즙/주스류(양파즙, 토마토즙 등)</t>
        </is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n">
        <v>0</v>
      </c>
      <c r="G582" s="142" t="n">
        <v>0</v>
      </c>
      <c r="H582" s="142" t="n">
        <v>0</v>
      </c>
      <c r="I582" s="269" t="inlineStr">
        <is>
          <t>즙/주스류(양파즙, 토마토즙 등)</t>
        </is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n">
        <v>0</v>
      </c>
      <c r="G583" s="142" t="n">
        <v>0</v>
      </c>
      <c r="H583" s="142" t="n">
        <v>0</v>
      </c>
      <c r="I583" s="269" t="inlineStr">
        <is>
          <t>기타 가공식품</t>
        </is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n">
        <v>0</v>
      </c>
      <c r="G584" s="142" t="n">
        <v>0</v>
      </c>
      <c r="H584" s="142" t="n">
        <v>0</v>
      </c>
      <c r="I584" s="269" t="inlineStr">
        <is>
          <t>기타 가공식품</t>
        </is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n">
        <v>0</v>
      </c>
      <c r="G585" s="142" t="n">
        <v>0</v>
      </c>
      <c r="H585" s="142" t="n">
        <v>0</v>
      </c>
      <c r="I585" s="269" t="inlineStr">
        <is>
          <t>기타 가공식품</t>
        </is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  <c r="I586" s="269" t="inlineStr">
        <is>
          <t>기타 가공식품</t>
        </is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  <c r="I587" s="269" t="inlineStr">
        <is>
          <t>기타 가공식품</t>
        </is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  <c r="I588" s="269" t="inlineStr">
        <is>
          <t>기타 가공식품</t>
        </is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n">
        <v>0</v>
      </c>
      <c r="G589" s="142" t="n">
        <v>0</v>
      </c>
      <c r="H589" s="142" t="n">
        <v>0</v>
      </c>
      <c r="I589" s="269" t="inlineStr">
        <is>
          <t>기타 가공식품</t>
        </is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  <c r="I590" s="269" t="inlineStr">
        <is>
          <t>기타 가공식품</t>
        </is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  <c r="I591" s="269" t="inlineStr">
        <is>
          <t>기타 가공식품</t>
        </is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  <c r="I592" s="269" t="inlineStr">
        <is>
          <t>기타 가공식품</t>
        </is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  <c r="I593" s="269" t="inlineStr">
        <is>
          <t>채소류(상추, 쌈채소 등)</t>
        </is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  <c r="I594" s="269" t="inlineStr">
        <is>
          <t>한돈(돼지고기)</t>
        </is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  <c r="I595" s="269" t="inlineStr">
        <is>
          <t>한돈(돼지고기)</t>
        </is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  <c r="I596" s="269" t="inlineStr">
        <is>
          <t>한돈(돼지고기)</t>
        </is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n">
        <v>0</v>
      </c>
      <c r="G597" s="142" t="n">
        <v>0</v>
      </c>
      <c r="H597" s="142" t="n">
        <v>0</v>
      </c>
      <c r="I597" s="269" t="inlineStr">
        <is>
          <t>한돈(돼지고기)</t>
        </is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n">
        <v>0</v>
      </c>
      <c r="G598" s="142" t="n">
        <v>0</v>
      </c>
      <c r="H598" s="142" t="n">
        <v>0</v>
      </c>
      <c r="I598" s="269" t="inlineStr">
        <is>
          <t>한돈(돼지고기)</t>
        </is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n">
        <v>0</v>
      </c>
      <c r="H599" s="142" t="n">
        <v>0</v>
      </c>
      <c r="I599" s="269" t="inlineStr">
        <is>
          <t>한돈(돼지고기)</t>
        </is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n">
        <v>0</v>
      </c>
      <c r="G600" s="142" t="n">
        <v>0</v>
      </c>
      <c r="H600" s="142" t="n">
        <v>0</v>
      </c>
      <c r="I600" s="269" t="inlineStr">
        <is>
          <t>한돈(돼지고기)</t>
        </is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  <c r="I601" s="269" t="inlineStr">
        <is>
          <t>한돈(돼지고기)</t>
        </is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  <c r="I602" s="269" t="inlineStr">
        <is>
          <t>닭고기 및 닭가공육</t>
        </is>
      </c>
    </row>
    <row r="603" hidden="1" s="21">
      <c r="A603" s="8" t="inlineStr">
        <is>
          <t>롯데ON</t>
        </is>
      </c>
      <c r="B603" s="9" t="inlineStr">
        <is>
          <t>가공식품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  <c r="I603" s="269" t="inlineStr">
        <is>
          <t>기타 가공식품</t>
        </is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  <c r="I604" s="269" t="inlineStr">
        <is>
          <t>기타 농산물</t>
        </is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n">
        <v>0</v>
      </c>
      <c r="G605" s="142" t="n">
        <v>0</v>
      </c>
      <c r="H605" s="142" t="n">
        <v>0</v>
      </c>
      <c r="I605" s="269" t="inlineStr">
        <is>
          <t>기타 농산물</t>
        </is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  <c r="I606" s="269" t="inlineStr">
        <is>
          <t>기타 가공식품</t>
        </is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  <c r="I607" s="269" t="inlineStr">
        <is>
          <t>기타 가공식품</t>
        </is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  <c r="I608" s="269" t="inlineStr">
        <is>
          <t>기타 가공식품</t>
        </is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  <c r="I609" s="269" t="inlineStr">
        <is>
          <t>쌀 및 잡곡류</t>
        </is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  <c r="I610" s="269" t="inlineStr">
        <is>
          <t>기타 가공식품</t>
        </is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  <c r="I611" s="269" t="inlineStr">
        <is>
          <t>기타 가공식품</t>
        </is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  <c r="I612" s="269" t="inlineStr">
        <is>
          <t>기타 가공식품</t>
        </is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n">
        <v>0</v>
      </c>
      <c r="G613" s="142" t="n">
        <v>0</v>
      </c>
      <c r="H613" s="142" t="n">
        <v>0</v>
      </c>
      <c r="I613" s="269" t="inlineStr">
        <is>
          <t>기타 가공식품</t>
        </is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  <c r="I614" s="269" t="inlineStr">
        <is>
          <t>기타 가공식품</t>
        </is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n">
        <v>0</v>
      </c>
      <c r="G615" s="142" t="n">
        <v>0</v>
      </c>
      <c r="H615" s="142" t="n">
        <v>0</v>
      </c>
      <c r="I615" s="269" t="inlineStr">
        <is>
          <t>기타 가공식품</t>
        </is>
      </c>
    </row>
    <row r="616" hidden="1" s="21">
      <c r="A616" s="8" t="inlineStr">
        <is>
          <t>롯데ON</t>
        </is>
      </c>
      <c r="B616" s="9" t="inlineStr">
        <is>
          <t>가공식품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  <c r="I616" s="269" t="inlineStr">
        <is>
          <t>기타 가공식품</t>
        </is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  <c r="I617" s="269" t="inlineStr">
        <is>
          <t>한돈(돼지고기)</t>
        </is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  <c r="I618" s="269" t="inlineStr">
        <is>
          <t>닭고기 및 닭가공육</t>
        </is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n">
        <v>0</v>
      </c>
      <c r="G619" s="142" t="n">
        <v>0</v>
      </c>
      <c r="H619" s="142" t="n">
        <v>0</v>
      </c>
      <c r="I619" s="269" t="inlineStr">
        <is>
          <t>채소류(상추, 쌈채소 등)</t>
        </is>
      </c>
    </row>
    <row r="620" hidden="1" s="21">
      <c r="A620" s="8" t="inlineStr">
        <is>
          <t>롯데ON</t>
        </is>
      </c>
      <c r="B620" s="9" t="inlineStr">
        <is>
          <t>가공식품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  <c r="I620" s="269" t="inlineStr">
        <is>
          <t>기타 가공식품</t>
        </is>
      </c>
    </row>
    <row r="621" hidden="1" s="21">
      <c r="A621" s="8" t="inlineStr">
        <is>
          <t>롯데ON</t>
        </is>
      </c>
      <c r="B621" s="9" t="inlineStr">
        <is>
          <t>가공식품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n">
        <v>0</v>
      </c>
      <c r="G621" s="142" t="n">
        <v>0</v>
      </c>
      <c r="H621" s="142" t="n">
        <v>0</v>
      </c>
      <c r="I621" s="269" t="inlineStr">
        <is>
          <t>기타 가공식품</t>
        </is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  <c r="I622" s="269" t="inlineStr">
        <is>
          <t>기타 가공식품</t>
        </is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n">
        <v>0</v>
      </c>
      <c r="G623" s="142" t="n">
        <v>0</v>
      </c>
      <c r="H623" s="142" t="n">
        <v>0</v>
      </c>
      <c r="I623" s="269" t="inlineStr">
        <is>
          <t>기타 가공식품</t>
        </is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  <c r="I624" s="269" t="inlineStr">
        <is>
          <t>기타 가공식품</t>
        </is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  <c r="I625" s="269" t="inlineStr">
        <is>
          <t>기타 가공식품</t>
        </is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  <c r="I626" s="269" t="inlineStr">
        <is>
          <t>기타 가공식품</t>
        </is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  <c r="I627" s="269" t="inlineStr">
        <is>
          <t>기타 가공식품</t>
        </is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n">
        <v>0</v>
      </c>
      <c r="G628" s="142" t="n">
        <v>0</v>
      </c>
      <c r="H628" s="142" t="n">
        <v>0</v>
      </c>
      <c r="I628" s="269" t="inlineStr">
        <is>
          <t>기타 가공식품</t>
        </is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  <c r="I629" s="269" t="inlineStr">
        <is>
          <t>기타 가공식품</t>
        </is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  <c r="I630" s="269" t="inlineStr">
        <is>
          <t>기타 가공식품</t>
        </is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  <c r="I631" s="269" t="inlineStr">
        <is>
          <t>김치류(배추김치 등)</t>
        </is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  <c r="I632" s="269" t="inlineStr">
        <is>
          <t>기타 가공식품</t>
        </is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  <c r="I633" s="269" t="inlineStr">
        <is>
          <t>떡류</t>
        </is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  <c r="I634" s="269" t="inlineStr">
        <is>
          <t>떡류</t>
        </is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  <c r="I635" s="269" t="inlineStr">
        <is>
          <t>닭고기 및 닭가공육</t>
        </is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n">
        <v>0</v>
      </c>
      <c r="G636" s="142" t="n">
        <v>0</v>
      </c>
      <c r="H636" s="142" t="n">
        <v>0</v>
      </c>
      <c r="I636" s="269" t="inlineStr">
        <is>
          <t>닭고기 및 닭가공육</t>
        </is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n">
        <v>0</v>
      </c>
      <c r="G637" s="142" t="n">
        <v>0</v>
      </c>
      <c r="H637" s="142" t="n">
        <v>0</v>
      </c>
      <c r="I637" s="269" t="inlineStr">
        <is>
          <t>채소류(상추, 쌈채소 등)</t>
        </is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  <c r="I638" s="269" t="inlineStr">
        <is>
          <t>쌀 및 잡곡류</t>
        </is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  <c r="I639" s="269" t="inlineStr">
        <is>
          <t>기타 가공식품</t>
        </is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  <c r="I640" s="269" t="inlineStr">
        <is>
          <t>채소류(상추, 쌈채소 등)</t>
        </is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  <c r="I641" s="269" t="inlineStr">
        <is>
          <t>채소류(상추, 쌈채소 등)</t>
        </is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n">
        <v>0</v>
      </c>
      <c r="G642" s="142" t="n">
        <v>0</v>
      </c>
      <c r="H642" s="142" t="n">
        <v>0</v>
      </c>
      <c r="I642" s="269" t="inlineStr">
        <is>
          <t>기타 농산물</t>
        </is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  <c r="I643" s="269" t="inlineStr">
        <is>
          <t>기타 농산물</t>
        </is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n">
        <v>0</v>
      </c>
      <c r="G644" s="142" t="n">
        <v>0</v>
      </c>
      <c r="H644" s="142" t="n">
        <v>0</v>
      </c>
      <c r="I644" s="269" t="inlineStr">
        <is>
          <t>기타 농산물</t>
        </is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n">
        <v>0</v>
      </c>
      <c r="G645" s="142" t="n">
        <v>0</v>
      </c>
      <c r="H645" s="142" t="n">
        <v>0</v>
      </c>
      <c r="I645" s="269" t="inlineStr">
        <is>
          <t>기타 농산물</t>
        </is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n">
        <v>0</v>
      </c>
      <c r="G646" s="142" t="n">
        <v>0</v>
      </c>
      <c r="H646" s="142" t="n">
        <v>0</v>
      </c>
      <c r="I646" s="269" t="inlineStr">
        <is>
          <t>기타 농산물</t>
        </is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n">
        <v>0</v>
      </c>
      <c r="G647" s="142" t="n">
        <v>0</v>
      </c>
      <c r="H647" s="142" t="n">
        <v>0</v>
      </c>
      <c r="I647" s="269" t="inlineStr">
        <is>
          <t>기타 농산물</t>
        </is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n">
        <v>0</v>
      </c>
      <c r="G648" s="142" t="n">
        <v>0</v>
      </c>
      <c r="H648" s="142" t="n">
        <v>0</v>
      </c>
      <c r="I648" s="269" t="inlineStr">
        <is>
          <t>기타 농산물</t>
        </is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n">
        <v>0</v>
      </c>
      <c r="G649" s="142" t="n">
        <v>0</v>
      </c>
      <c r="H649" s="142" t="n">
        <v>0</v>
      </c>
      <c r="I649" s="269" t="inlineStr">
        <is>
          <t>기타 농산물</t>
        </is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  <c r="I650" s="269" t="inlineStr">
        <is>
          <t>기타 농산물</t>
        </is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n">
        <v>0</v>
      </c>
      <c r="G651" s="142" t="n">
        <v>0</v>
      </c>
      <c r="H651" s="142" t="n">
        <v>0</v>
      </c>
      <c r="I651" s="269" t="inlineStr">
        <is>
          <t>기타 농산물</t>
        </is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n">
        <v>0</v>
      </c>
      <c r="G652" s="143" t="n">
        <v>0</v>
      </c>
      <c r="H652" s="143" t="n">
        <v>0</v>
      </c>
      <c r="I652" s="269" t="inlineStr">
        <is>
          <t>기타 농산물</t>
        </is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 xml:space="preserve"> 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  <c r="I653" s="269" t="inlineStr">
        <is>
          <t>사과</t>
        </is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  <c r="I654" s="269" t="inlineStr">
        <is>
          <t>사과</t>
        </is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  <c r="I655" s="269" t="inlineStr">
        <is>
          <t>사과</t>
        </is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  <c r="I656" s="269" t="inlineStr">
        <is>
          <t>기타 가공식품</t>
        </is>
      </c>
    </row>
    <row r="657" hidden="1" s="21">
      <c r="A657" s="12" t="inlineStr">
        <is>
          <t>오아시스</t>
        </is>
      </c>
      <c r="B657" s="12" t="inlineStr">
        <is>
          <t>가공식품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  <c r="I657" s="269" t="inlineStr">
        <is>
          <t>떡류</t>
        </is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  <c r="I658" s="269" t="inlineStr">
        <is>
          <t>기타 가공식품</t>
        </is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  <c r="I659" s="269" t="inlineStr">
        <is>
          <t>기타 가공식품</t>
        </is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  <c r="I660" s="269" t="inlineStr">
        <is>
          <t>기타 가공식품</t>
        </is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  <c r="I661" s="269" t="inlineStr">
        <is>
          <t>기타 가공식품</t>
        </is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  <c r="I662" s="269" t="inlineStr">
        <is>
          <t>기타 가공식품</t>
        </is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  <c r="I663" s="269" t="inlineStr">
        <is>
          <t>기타 가공식품</t>
        </is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  <c r="I664" s="269" t="inlineStr">
        <is>
          <t>한돈(돼지고기)</t>
        </is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 xml:space="preserve">한돈 칼집 양념구이 (650g X 1개)
</t>
        </is>
      </c>
      <c r="F665" s="144" t="n">
        <v>2552</v>
      </c>
      <c r="G665" s="144" t="n">
        <v>30197000</v>
      </c>
      <c r="H665" s="144" t="n">
        <v>490780</v>
      </c>
      <c r="I665" s="269" t="inlineStr">
        <is>
          <t>한돈(돼지고기)</t>
        </is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  <c r="I666" s="269" t="inlineStr">
        <is>
          <t>한돈(돼지고기)</t>
        </is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  <c r="I667" s="269" t="inlineStr">
        <is>
          <t>기타 축산물</t>
        </is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  <c r="I668" s="269" t="inlineStr">
        <is>
          <t>기타 농산물</t>
        </is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  <c r="I669" s="269" t="inlineStr">
        <is>
          <t>기타 가공식품</t>
        </is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  <c r="I670" s="269" t="inlineStr">
        <is>
          <t>기타 가공식품</t>
        </is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  <c r="I671" s="269" t="inlineStr">
        <is>
          <t>기타 가공식품</t>
        </is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  <c r="I672" s="269" t="inlineStr">
        <is>
          <t>기타 가공식품</t>
        </is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  <c r="I673" s="269" t="inlineStr">
        <is>
          <t>기타 가공식품</t>
        </is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  <c r="I674" s="269" t="inlineStr">
        <is>
          <t>기타 가공식품</t>
        </is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  <c r="I675" s="269" t="inlineStr">
        <is>
          <t>기타 가공식품</t>
        </is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  <c r="I676" s="269" t="inlineStr">
        <is>
          <t>기타 가공식품</t>
        </is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  <c r="I677" s="269" t="inlineStr">
        <is>
          <t>기타 가공식품</t>
        </is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  <c r="I678" s="269" t="inlineStr">
        <is>
          <t>기타 가공식품</t>
        </is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  <c r="I679" s="269" t="inlineStr">
        <is>
          <t>사과</t>
        </is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  <c r="I680" s="269" t="inlineStr">
        <is>
          <t>사과</t>
        </is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  <c r="I681" s="269" t="inlineStr">
        <is>
          <t>기타 축산물</t>
        </is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  <c r="I682" s="269" t="inlineStr">
        <is>
          <t>기타 축산물</t>
        </is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  <c r="I683" s="269" t="inlineStr">
        <is>
          <t>기타 축산물</t>
        </is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  <c r="I684" s="269" t="inlineStr">
        <is>
          <t>기타 축산물</t>
        </is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  <c r="I685" s="269" t="inlineStr">
        <is>
          <t>기타 농산물</t>
        </is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  <c r="I686" s="269" t="inlineStr">
        <is>
          <t>기타 농산물</t>
        </is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  <c r="I687" s="269" t="inlineStr">
        <is>
          <t>기타 농산물</t>
        </is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  <c r="I688" s="269" t="inlineStr">
        <is>
          <t>버섯</t>
        </is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n">
        <v>0</v>
      </c>
      <c r="G689" s="144" t="n">
        <v>0</v>
      </c>
      <c r="H689" s="144" t="n">
        <v>0</v>
      </c>
      <c r="I689" s="269" t="inlineStr">
        <is>
          <t>기타 농산물</t>
        </is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n">
        <v>0</v>
      </c>
      <c r="G690" s="144" t="n">
        <v>0</v>
      </c>
      <c r="H690" s="144" t="n">
        <v>0</v>
      </c>
      <c r="I690" s="269" t="inlineStr">
        <is>
          <t>채소류(상추, 쌈채소 등)</t>
        </is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  <c r="I691" s="269" t="inlineStr">
        <is>
          <t>기타 농산물</t>
        </is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  <c r="I692" s="269" t="inlineStr">
        <is>
          <t>채소류(상추, 쌈채소 등)</t>
        </is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  <c r="I693" s="269" t="inlineStr">
        <is>
          <t>버섯</t>
        </is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n">
        <v>0</v>
      </c>
      <c r="G694" s="144" t="n">
        <v>0</v>
      </c>
      <c r="H694" s="144" t="n">
        <v>0</v>
      </c>
      <c r="I694" s="269" t="inlineStr">
        <is>
          <t>기타 농산물</t>
        </is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n">
        <v>0</v>
      </c>
      <c r="G695" s="144" t="n">
        <v>0</v>
      </c>
      <c r="H695" s="144" t="n">
        <v>0</v>
      </c>
      <c r="I695" s="269" t="inlineStr">
        <is>
          <t>채소류(상추, 쌈채소 등)</t>
        </is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n">
        <v>0</v>
      </c>
      <c r="I696" s="269" t="inlineStr">
        <is>
          <t>채소류(상추, 쌈채소 등)</t>
        </is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n">
        <v>0</v>
      </c>
      <c r="I697" s="269" t="inlineStr">
        <is>
          <t>채소류(상추, 쌈채소 등)</t>
        </is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n">
        <v>0</v>
      </c>
      <c r="I698" s="269" t="inlineStr">
        <is>
          <t>채소류(상추, 쌈채소 등)</t>
        </is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n">
        <v>0</v>
      </c>
      <c r="G699" s="144" t="n">
        <v>0</v>
      </c>
      <c r="H699" s="144" t="n">
        <v>0</v>
      </c>
      <c r="I699" s="269" t="inlineStr">
        <is>
          <t>채소류(상추, 쌈채소 등)</t>
        </is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n">
        <v>0</v>
      </c>
      <c r="I700" s="269" t="inlineStr">
        <is>
          <t>채소류(상추, 쌈채소 등)</t>
        </is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n">
        <v>0</v>
      </c>
      <c r="G701" s="144" t="n">
        <v>0</v>
      </c>
      <c r="H701" s="144" t="n">
        <v>0</v>
      </c>
      <c r="I701" s="269" t="inlineStr">
        <is>
          <t>채소류(상추, 쌈채소 등)</t>
        </is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  <c r="I702" s="269" t="inlineStr">
        <is>
          <t>채소류(상추, 쌈채소 등)</t>
        </is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  <c r="I703" s="269" t="inlineStr">
        <is>
          <t>채소류(상추, 쌈채소 등)</t>
        </is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  <c r="I704" s="269" t="inlineStr">
        <is>
          <t>채소류(상추, 쌈채소 등)</t>
        </is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  <c r="I705" s="269" t="inlineStr">
        <is>
          <t>채소류(상추, 쌈채소 등)</t>
        </is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  <c r="I706" s="269" t="inlineStr">
        <is>
          <t>기타 농산물</t>
        </is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  <c r="I707" s="269" t="inlineStr">
        <is>
          <t>채소류(상추, 쌈채소 등)</t>
        </is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  <c r="I708" s="269" t="inlineStr">
        <is>
          <t>채소류(상추, 쌈채소 등)</t>
        </is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  <c r="I709" s="269" t="inlineStr">
        <is>
          <t>기타 농산물</t>
        </is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  <c r="I710" s="269" t="inlineStr">
        <is>
          <t>기타 농산물</t>
        </is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  <c r="I711" s="269" t="inlineStr">
        <is>
          <t>채소류(상추, 쌈채소 등)</t>
        </is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  <c r="I712" s="269" t="inlineStr">
        <is>
          <t>기타 농산물</t>
        </is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  <c r="I713" s="269" t="inlineStr">
        <is>
          <t>기타 농산물</t>
        </is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  <c r="I714" s="269" t="inlineStr">
        <is>
          <t>채소류(상추, 쌈채소 등)</t>
        </is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  <c r="I715" s="269" t="inlineStr">
        <is>
          <t>채소류(상추, 쌈채소 등)</t>
        </is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  <c r="I716" s="269" t="inlineStr">
        <is>
          <t>즙/주스류(양파즙, 토마토즙 등)</t>
        </is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  <c r="I717" s="269" t="inlineStr">
        <is>
          <t>기타 가공식품</t>
        </is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n">
        <v>0</v>
      </c>
      <c r="G718" s="144" t="n">
        <v>0</v>
      </c>
      <c r="H718" s="144" t="n">
        <v>0</v>
      </c>
      <c r="I718" s="269" t="inlineStr">
        <is>
          <t>기타 가공식품</t>
        </is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  <c r="I719" s="269" t="inlineStr">
        <is>
          <t>기타 가공식품</t>
        </is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  <c r="I720" s="269" t="inlineStr">
        <is>
          <t>기타 가공식품</t>
        </is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  <c r="I721" s="269" t="inlineStr">
        <is>
          <t>기타 가공식품</t>
        </is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  <c r="I722" s="269" t="inlineStr">
        <is>
          <t>기타 가공식품</t>
        </is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  <c r="I723" s="269" t="inlineStr">
        <is>
          <t>기타 가공식품</t>
        </is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n">
        <v>0</v>
      </c>
      <c r="I724" s="269" t="inlineStr">
        <is>
          <t>기타 가공식품</t>
        </is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  <c r="I725" s="269" t="inlineStr">
        <is>
          <t>기타 가공식품</t>
        </is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  <c r="I726" s="269" t="inlineStr">
        <is>
          <t>기타 가공식품</t>
        </is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n">
        <v>0</v>
      </c>
      <c r="G727" s="144" t="n">
        <v>0</v>
      </c>
      <c r="H727" s="144" t="n">
        <v>0</v>
      </c>
      <c r="I727" s="269" t="inlineStr">
        <is>
          <t>기타 가공식품</t>
        </is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  <c r="I728" s="269" t="inlineStr">
        <is>
          <t>기타 가공식품</t>
        </is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n">
        <v>0</v>
      </c>
      <c r="G729" s="144" t="n">
        <v>0</v>
      </c>
      <c r="H729" s="144" t="n">
        <v>0</v>
      </c>
      <c r="I729" s="269" t="inlineStr">
        <is>
          <t>기타 가공식품</t>
        </is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n">
        <v>0</v>
      </c>
      <c r="I730" s="269" t="inlineStr">
        <is>
          <t>기타 가공식품</t>
        </is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  <c r="I731" s="269" t="inlineStr">
        <is>
          <t>기타 가공식품</t>
        </is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  <c r="I732" s="269" t="inlineStr">
        <is>
          <t>기타 가공식품</t>
        </is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 xml:space="preserve">[개당 2,900]우리밀로 만든 마늘빵 과자 (70g x 3개)
</t>
        </is>
      </c>
      <c r="F733" s="144" t="n">
        <v>2455</v>
      </c>
      <c r="G733" s="144" t="n">
        <v>8551100</v>
      </c>
      <c r="H733" s="144" t="n">
        <v>395531</v>
      </c>
      <c r="I733" s="269" t="inlineStr">
        <is>
          <t>기타 가공식품</t>
        </is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n">
        <v>0</v>
      </c>
      <c r="G734" s="144" t="n">
        <v>0</v>
      </c>
      <c r="H734" s="144" t="n">
        <v>0</v>
      </c>
      <c r="I734" s="269" t="inlineStr">
        <is>
          <t>기타 농산물</t>
        </is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n">
        <v>0</v>
      </c>
      <c r="G735" s="144" t="n">
        <v>0</v>
      </c>
      <c r="H735" s="144" t="n">
        <v>0</v>
      </c>
      <c r="I735" s="269" t="inlineStr">
        <is>
          <t>기타 농산물</t>
        </is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n">
        <v>0</v>
      </c>
      <c r="G736" s="144" t="n">
        <v>0</v>
      </c>
      <c r="H736" s="144" t="n">
        <v>0</v>
      </c>
      <c r="I736" s="269" t="inlineStr">
        <is>
          <t>기타 농산물</t>
        </is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  <c r="I737" s="269" t="inlineStr">
        <is>
          <t>기타 농산물</t>
        </is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n">
        <v>0</v>
      </c>
      <c r="G738" s="144" t="n">
        <v>0</v>
      </c>
      <c r="H738" s="144" t="n">
        <v>0</v>
      </c>
      <c r="I738" s="269" t="inlineStr">
        <is>
          <t>기타 농산물</t>
        </is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n">
        <v>0</v>
      </c>
      <c r="G739" s="144" t="n">
        <v>0</v>
      </c>
      <c r="H739" s="144" t="n">
        <v>0</v>
      </c>
      <c r="I739" s="269" t="inlineStr">
        <is>
          <t>기타 농산물</t>
        </is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  <c r="I740" s="269" t="inlineStr">
        <is>
          <t>쌀 및 잡곡류</t>
        </is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  <c r="I741" s="269" t="inlineStr">
        <is>
          <t>쌀 및 잡곡류</t>
        </is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  <c r="I742" s="269" t="inlineStr">
        <is>
          <t>채소류(상추, 쌈채소 등)</t>
        </is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  <c r="I743" s="269" t="inlineStr">
        <is>
          <t>사과</t>
        </is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  <c r="I744" s="269" t="inlineStr">
        <is>
          <t>채소류(상추, 쌈채소 등)</t>
        </is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  <c r="I745" s="269" t="inlineStr">
        <is>
          <t>자두</t>
        </is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  <c r="I746" s="269" t="inlineStr">
        <is>
          <t>사과</t>
        </is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  <c r="I747" s="269" t="inlineStr">
        <is>
          <t>쌀 및 잡곡류</t>
        </is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  <c r="I748" s="269" t="inlineStr">
        <is>
          <t>쌀 및 잡곡류</t>
        </is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  <c r="I749" s="269" t="inlineStr">
        <is>
          <t>기타 가공식품</t>
        </is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  <c r="I750" s="269" t="inlineStr">
        <is>
          <t>기타 가공식품</t>
        </is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  <c r="I751" s="269" t="inlineStr">
        <is>
          <t>기타 가공식품</t>
        </is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  <c r="I752" s="269" t="inlineStr">
        <is>
          <t>떡류</t>
        </is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  <c r="I753" s="269" t="inlineStr">
        <is>
          <t>떡류</t>
        </is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  <c r="I754" s="269" t="inlineStr">
        <is>
          <t>기타 가공식품</t>
        </is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  <c r="I755" s="269" t="inlineStr">
        <is>
          <t>채소류(상추, 쌈채소 등)</t>
        </is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  <c r="I756" s="269" t="inlineStr">
        <is>
          <t>쌀 및 잡곡류</t>
        </is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  <c r="I757" s="269" t="inlineStr">
        <is>
          <t>기타 가공식품</t>
        </is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  <c r="I758" s="269" t="inlineStr">
        <is>
          <t>기타 가공식품</t>
        </is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  <c r="I759" s="269" t="inlineStr">
        <is>
          <t>쌀 및 잡곡류</t>
        </is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  <c r="I760" s="269" t="inlineStr">
        <is>
          <t>기타 가공식품</t>
        </is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  <c r="I761" s="269" t="inlineStr">
        <is>
          <t>채소류(상추, 쌈채소 등)</t>
        </is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  <c r="I762" s="269" t="inlineStr">
        <is>
          <t>떡류</t>
        </is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  <c r="I763" s="269" t="inlineStr">
        <is>
          <t>기타 농산물</t>
        </is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  <c r="I764" s="269" t="inlineStr">
        <is>
          <t>기타 농산물</t>
        </is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  <c r="I765" s="269" t="inlineStr">
        <is>
          <t>버섯</t>
        </is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  <c r="I766" s="269" t="inlineStr">
        <is>
          <t>즙/주스류(양파즙, 토마토즙 등)</t>
        </is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  <c r="I767" s="269" t="inlineStr">
        <is>
          <t>떡류</t>
        </is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  <c r="I768" s="269" t="inlineStr">
        <is>
          <t>기타 가공식품</t>
        </is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  <c r="I769" s="269" t="inlineStr">
        <is>
          <t>쌀 및 잡곡류</t>
        </is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  <c r="I770" s="269" t="inlineStr">
        <is>
          <t>기타 가공식품</t>
        </is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  <c r="I771" s="269" t="inlineStr">
        <is>
          <t>쌀 및 잡곡류</t>
        </is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  <c r="I772" s="269" t="inlineStr">
        <is>
          <t>기타 가공식품</t>
        </is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  <c r="I773" s="269" t="inlineStr">
        <is>
          <t>기타 가공식품</t>
        </is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  <c r="I774" s="269" t="inlineStr">
        <is>
          <t>기타 가공식품</t>
        </is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  <c r="I775" s="269" t="inlineStr">
        <is>
          <t>기타 가공식품</t>
        </is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  <c r="I776" s="269" t="inlineStr">
        <is>
          <t>떡류</t>
        </is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  <c r="I777" s="269" t="inlineStr">
        <is>
          <t>기타 가공식품</t>
        </is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  <c r="I778" s="269" t="inlineStr">
        <is>
          <t>떡류</t>
        </is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  <c r="I779" s="269" t="inlineStr">
        <is>
          <t>기타 가공식품</t>
        </is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  <c r="I780" s="269" t="inlineStr">
        <is>
          <t>기타 가공식품</t>
        </is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  <c r="I781" s="269" t="inlineStr">
        <is>
          <t>기타 가공식품</t>
        </is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  <c r="I782" s="269" t="inlineStr">
        <is>
          <t>쌀 및 잡곡류</t>
        </is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  <c r="I783" s="269" t="inlineStr">
        <is>
          <t>기타 가공식품</t>
        </is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  <c r="I784" s="269" t="inlineStr">
        <is>
          <t>기타 가공식품</t>
        </is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  <c r="I785" s="269" t="inlineStr">
        <is>
          <t>기타 가공식품</t>
        </is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  <c r="I786" s="269" t="inlineStr">
        <is>
          <t>기타 가공식품</t>
        </is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  <c r="I787" s="269" t="inlineStr">
        <is>
          <t>기타 가공식품</t>
        </is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  <c r="I788" s="269" t="inlineStr">
        <is>
          <t>기타 가공식품</t>
        </is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  <c r="I789" s="269" t="inlineStr">
        <is>
          <t>기타 가공식품</t>
        </is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  <c r="I790" s="269" t="inlineStr">
        <is>
          <t>기타 가공식품</t>
        </is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  <c r="I791" s="269" t="inlineStr">
        <is>
          <t>떡류</t>
        </is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  <c r="I792" s="269" t="inlineStr">
        <is>
          <t>기타 가공식품</t>
        </is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  <c r="I793" s="269" t="inlineStr">
        <is>
          <t>쌀 및 잡곡류</t>
        </is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  <c r="I794" s="269" t="inlineStr">
        <is>
          <t>쌀 및 잡곡류</t>
        </is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  <c r="I795" s="269" t="inlineStr">
        <is>
          <t>떡류</t>
        </is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n">
        <v>0</v>
      </c>
      <c r="I796" s="269" t="inlineStr">
        <is>
          <t>떡류</t>
        </is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  <c r="I797" s="269" t="inlineStr">
        <is>
          <t>기타 가공식품</t>
        </is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  <c r="I798" s="269" t="inlineStr">
        <is>
          <t>쌀 및 잡곡류</t>
        </is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  <c r="I799" s="269" t="inlineStr">
        <is>
          <t>기타 가공식품</t>
        </is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  <c r="I800" s="269" t="inlineStr">
        <is>
          <t>기타 가공식품</t>
        </is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  <c r="I801" s="269" t="inlineStr">
        <is>
          <t>기타 가공식품</t>
        </is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  <c r="I802" s="269" t="inlineStr">
        <is>
          <t>기타 가공식품</t>
        </is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  <c r="I803" s="269" t="inlineStr">
        <is>
          <t>기타 가공식품</t>
        </is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  <c r="I804" s="269" t="inlineStr">
        <is>
          <t>기타 가공식품</t>
        </is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  <c r="I805" s="269" t="inlineStr">
        <is>
          <t>버섯</t>
        </is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  <c r="I806" s="269" t="inlineStr">
        <is>
          <t>기타 농산물</t>
        </is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  <c r="I807" s="269" t="inlineStr">
        <is>
          <t>기타 가공식품</t>
        </is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  <c r="I808" s="269" t="inlineStr">
        <is>
          <t>기타 가공식품</t>
        </is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  <c r="I809" s="269" t="inlineStr">
        <is>
          <t>기타 가공식품</t>
        </is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  <c r="I810" s="269" t="inlineStr">
        <is>
          <t>채소류(상추, 쌈채소 등)</t>
        </is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  <c r="I811" s="269" t="inlineStr">
        <is>
          <t>김치류(배추김치 등)</t>
        </is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  <c r="I812" s="269" t="inlineStr">
        <is>
          <t>김치류(배추김치 등)</t>
        </is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  <c r="I813" s="269" t="inlineStr">
        <is>
          <t>김치류(배추김치 등)</t>
        </is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  <c r="I814" s="269" t="inlineStr">
        <is>
          <t>김치류(배추김치 등)</t>
        </is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  <c r="I815" s="269" t="inlineStr">
        <is>
          <t>기타 가공식품</t>
        </is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  <c r="I816" s="269" t="inlineStr">
        <is>
          <t>기타 가공식품</t>
        </is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  <c r="I817" s="269" t="inlineStr">
        <is>
          <t>김치류(배추김치 등)</t>
        </is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  <c r="I818" s="269" t="inlineStr">
        <is>
          <t>김치류(배추김치 등)</t>
        </is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  <c r="I819" s="269" t="inlineStr">
        <is>
          <t>김치류(배추김치 등)</t>
        </is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  <c r="I820" s="269" t="inlineStr">
        <is>
          <t>김치류(배추김치 등)</t>
        </is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  <c r="I821" s="269" t="inlineStr">
        <is>
          <t>김치류(배추김치 등)</t>
        </is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  <c r="I822" s="269" t="inlineStr">
        <is>
          <t>김치류(배추김치 등)</t>
        </is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  <c r="I823" s="269" t="inlineStr">
        <is>
          <t>김치류(배추김치 등)</t>
        </is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  <c r="I824" s="269" t="inlineStr">
        <is>
          <t>김치류(배추김치 등)</t>
        </is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  <c r="I825" s="269" t="inlineStr">
        <is>
          <t>기타 가공식품</t>
        </is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  <c r="I826" s="269" t="inlineStr">
        <is>
          <t>김치류(배추김치 등)</t>
        </is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  <c r="I827" s="269" t="inlineStr">
        <is>
          <t>김치류(배추김치 등)</t>
        </is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  <c r="I828" s="269" t="inlineStr">
        <is>
          <t>김치류(배추김치 등)</t>
        </is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  <c r="I829" s="269" t="inlineStr">
        <is>
          <t>김치류(배추김치 등)</t>
        </is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  <c r="I830" s="269" t="inlineStr">
        <is>
          <t>김치류(배추김치 등)</t>
        </is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  <c r="I831" s="269" t="inlineStr">
        <is>
          <t>김치류(배추김치 등)</t>
        </is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 xml:space="preserve"> 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  <c r="I832" s="269" t="inlineStr">
        <is>
          <t>복숭아</t>
        </is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 xml:space="preserve"> 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  <c r="I833" s="269" t="inlineStr">
        <is>
          <t>복숭아</t>
        </is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 xml:space="preserve"> 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  <c r="I834" s="269" t="inlineStr">
        <is>
          <t>복숭아</t>
        </is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 xml:space="preserve"> 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  <c r="I835" s="269" t="inlineStr">
        <is>
          <t>자두</t>
        </is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 xml:space="preserve"> 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  <c r="I836" s="269" t="inlineStr">
        <is>
          <t>복숭아</t>
        </is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  <c r="I837" s="269" t="inlineStr">
        <is>
          <t>채소류(상추, 쌈채소 등)</t>
        </is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  <c r="I838" s="269" t="inlineStr">
        <is>
          <t>기타 농산물</t>
        </is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  <c r="I839" s="269" t="inlineStr">
        <is>
          <t>복숭아</t>
        </is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  <c r="I840" s="269" t="inlineStr">
        <is>
          <t>채소류(상추, 쌈채소 등)</t>
        </is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  <c r="I841" s="269" t="inlineStr">
        <is>
          <t>닭고기 및 닭가공육</t>
        </is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  <c r="I842" s="269" t="inlineStr">
        <is>
          <t>기타 축산물</t>
        </is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n">
        <v>0</v>
      </c>
      <c r="I843" s="269" t="inlineStr">
        <is>
          <t>기타 축산물</t>
        </is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  <c r="I844" s="269" t="inlineStr">
        <is>
          <t>기타 축산물</t>
        </is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  <c r="I845" s="269" t="inlineStr">
        <is>
          <t>한돈(돼지고기)</t>
        </is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  <c r="I846" s="269" t="inlineStr">
        <is>
          <t>기타 가공식품</t>
        </is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n">
        <v>0</v>
      </c>
      <c r="H847" s="146" t="n">
        <v>0</v>
      </c>
      <c r="I847" s="269" t="inlineStr">
        <is>
          <t>기타 가공식품</t>
        </is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n">
        <v>0</v>
      </c>
      <c r="I848" s="269" t="inlineStr">
        <is>
          <t>기타 가공식품</t>
        </is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n">
        <v>0</v>
      </c>
      <c r="H849" s="146" t="n">
        <v>0</v>
      </c>
      <c r="I849" s="269" t="inlineStr">
        <is>
          <t>기타 가공식품</t>
        </is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n">
        <v>0</v>
      </c>
      <c r="H850" s="146" t="n">
        <v>0</v>
      </c>
      <c r="I850" s="269" t="inlineStr">
        <is>
          <t>기타 가공식품</t>
        </is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n">
        <v>0</v>
      </c>
      <c r="I851" s="269" t="inlineStr">
        <is>
          <t>기타 가공식품</t>
        </is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n">
        <v>0</v>
      </c>
      <c r="H852" s="146" t="n">
        <v>0</v>
      </c>
      <c r="I852" s="269" t="inlineStr">
        <is>
          <t>기타 가공식품</t>
        </is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n">
        <v>0</v>
      </c>
      <c r="H853" s="146" t="n">
        <v>0</v>
      </c>
      <c r="I853" s="269" t="inlineStr">
        <is>
          <t>기타 가공식품</t>
        </is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n">
        <v>0</v>
      </c>
      <c r="H854" s="146" t="n">
        <v>0</v>
      </c>
      <c r="I854" s="269" t="inlineStr">
        <is>
          <t>기타 가공식품</t>
        </is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n">
        <v>0</v>
      </c>
      <c r="I855" s="269" t="inlineStr">
        <is>
          <t>기타 가공식품</t>
        </is>
      </c>
    </row>
    <row r="856" hidden="1" s="21">
      <c r="A856" s="24" t="inlineStr">
        <is>
          <t>네이버</t>
        </is>
      </c>
      <c r="B856" s="108" t="inlineStr">
        <is>
          <t>농산물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n">
        <v>0</v>
      </c>
      <c r="H856" s="146" t="n">
        <v>0</v>
      </c>
      <c r="I856" s="269" t="inlineStr">
        <is>
          <t>쌀 및 잡곡류</t>
        </is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 스틱</t>
        </is>
      </c>
      <c r="F857" s="76" t="n">
        <v>1</v>
      </c>
      <c r="G857" s="146" t="n">
        <v>16000</v>
      </c>
      <c r="H857" s="146" t="n">
        <v>0</v>
      </c>
      <c r="I857" s="269" t="inlineStr">
        <is>
          <t>기타 가공식품</t>
        </is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n">
        <v>0</v>
      </c>
      <c r="H858" s="146" t="n">
        <v>0</v>
      </c>
      <c r="I858" s="269" t="inlineStr">
        <is>
          <t>기타 가공식품</t>
        </is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  <c r="I859" s="269" t="inlineStr">
        <is>
          <t>기타 가공식품</t>
        </is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  <c r="I860" s="269" t="inlineStr">
        <is>
          <t>기타 가공식품</t>
        </is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n">
        <v>0</v>
      </c>
      <c r="H861" s="146" t="n">
        <v>0</v>
      </c>
      <c r="I861" s="269" t="inlineStr">
        <is>
          <t>기타 가공식품</t>
        </is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  <c r="I862" s="269" t="inlineStr">
        <is>
          <t>기타 가공식품</t>
        </is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  <c r="I863" s="269" t="inlineStr">
        <is>
          <t>기타 가공식품</t>
        </is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n">
        <v>0</v>
      </c>
      <c r="I864" s="269" t="inlineStr">
        <is>
          <t>기타 가공식품</t>
        </is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n">
        <v>0</v>
      </c>
      <c r="H865" s="146" t="n">
        <v>0</v>
      </c>
      <c r="I865" s="269" t="inlineStr">
        <is>
          <t>기타 가공식품</t>
        </is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n">
        <v>0</v>
      </c>
      <c r="H866" s="146" t="n">
        <v>0</v>
      </c>
      <c r="I866" s="269" t="inlineStr">
        <is>
          <t>기타 가공식품</t>
        </is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  <c r="I867" s="269" t="inlineStr">
        <is>
          <t>떡류</t>
        </is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n">
        <v>0</v>
      </c>
      <c r="I868" s="269" t="inlineStr">
        <is>
          <t>기타 농산물</t>
        </is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 90g  15개</t>
        </is>
      </c>
      <c r="F869" s="76" t="n">
        <v>74</v>
      </c>
      <c r="G869" s="146" t="n">
        <v>2562900</v>
      </c>
      <c r="H869" s="146" t="n">
        <v>237520</v>
      </c>
      <c r="I869" s="269" t="inlineStr">
        <is>
          <t>한돈(돼지고기)</t>
        </is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 1개</t>
        </is>
      </c>
      <c r="F870" s="76" t="n">
        <v>13</v>
      </c>
      <c r="G870" s="146" t="n">
        <v>237900</v>
      </c>
      <c r="H870" s="146" t="n">
        <v>23620</v>
      </c>
      <c r="I870" s="269" t="inlineStr">
        <is>
          <t>쌀 및 잡곡류</t>
        </is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 1개</t>
        </is>
      </c>
      <c r="F871" s="76" t="n">
        <v>67</v>
      </c>
      <c r="G871" s="146" t="n">
        <v>2666600</v>
      </c>
      <c r="H871" s="146" t="n">
        <v>309240</v>
      </c>
      <c r="I871" s="269" t="inlineStr">
        <is>
          <t>쌀 및 잡곡류</t>
        </is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 2개</t>
        </is>
      </c>
      <c r="F872" s="76" t="n">
        <v>4</v>
      </c>
      <c r="G872" s="146" t="n">
        <v>318400</v>
      </c>
      <c r="H872" s="146" t="n">
        <v>20000</v>
      </c>
      <c r="I872" s="269" t="inlineStr">
        <is>
          <t>쌀 및 잡곡류</t>
        </is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  <c r="I873" s="269" t="inlineStr">
        <is>
          <t>쌀 및 잡곡류</t>
        </is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  <c r="I874" s="269" t="inlineStr">
        <is>
          <t>쌀 및 잡곡류</t>
        </is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  <c r="I875" s="269" t="inlineStr">
        <is>
          <t>쌀 및 잡곡류</t>
        </is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  <c r="I876" s="269" t="inlineStr">
        <is>
          <t>쌀 및 잡곡류</t>
        </is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  <c r="I877" s="269" t="inlineStr">
        <is>
          <t>쌀 및 잡곡류</t>
        </is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n">
        <v>0</v>
      </c>
      <c r="I878" s="269" t="inlineStr">
        <is>
          <t>쌀 및 잡곡류</t>
        </is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  <c r="I879" s="269" t="inlineStr">
        <is>
          <t>쌀 및 잡곡류</t>
        </is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  <c r="I880" s="269" t="inlineStr">
        <is>
          <t>쌀 및 잡곡류</t>
        </is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  <c r="I881" s="269" t="inlineStr">
        <is>
          <t>쌀 및 잡곡류</t>
        </is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n">
        <v>0</v>
      </c>
      <c r="I882" s="269" t="inlineStr">
        <is>
          <t>쌀 및 잡곡류</t>
        </is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n">
        <v>0</v>
      </c>
      <c r="H883" s="146" t="n">
        <v>0</v>
      </c>
      <c r="I883" s="269" t="inlineStr">
        <is>
          <t>쌀 및 잡곡류</t>
        </is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n">
        <v>0</v>
      </c>
      <c r="H884" s="146" t="n">
        <v>0</v>
      </c>
      <c r="I884" s="269" t="inlineStr">
        <is>
          <t>쌀 및 잡곡류</t>
        </is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n">
        <v>0</v>
      </c>
      <c r="H885" s="146" t="n">
        <v>0</v>
      </c>
      <c r="I885" s="269" t="inlineStr">
        <is>
          <t>쌀 및 잡곡류</t>
        </is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  <c r="I886" s="269" t="inlineStr">
        <is>
          <t>계란(유정란)</t>
        </is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  <c r="I887" s="269" t="inlineStr">
        <is>
          <t>계란(유정란)</t>
        </is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  <c r="I888" s="269" t="inlineStr">
        <is>
          <t>계란(유정란)</t>
        </is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  <c r="I889" s="269" t="inlineStr">
        <is>
          <t>계란(유정란)</t>
        </is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n">
        <v>0</v>
      </c>
      <c r="H890" s="146" t="n">
        <v>0</v>
      </c>
      <c r="I890" s="269" t="inlineStr">
        <is>
          <t>계란(유정란)</t>
        </is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 신선계란 난각번호2번</t>
        </is>
      </c>
      <c r="F891" s="76" t="n">
        <v>0</v>
      </c>
      <c r="G891" s="146" t="n">
        <v>0</v>
      </c>
      <c r="H891" s="146" t="n">
        <v>0</v>
      </c>
      <c r="I891" s="269" t="inlineStr">
        <is>
          <t>계란(유정란)</t>
        </is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  <c r="I892" s="269" t="inlineStr">
        <is>
          <t>계란(유정란)</t>
        </is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  <c r="I893" s="269" t="inlineStr">
        <is>
          <t>계란(유정란)</t>
        </is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  <c r="I894" s="269" t="inlineStr">
        <is>
          <t>계란(유정란)</t>
        </is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  <c r="I895" s="269" t="inlineStr">
        <is>
          <t>계란(유정란)</t>
        </is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  <c r="I896" s="269" t="inlineStr">
        <is>
          <t>계란(유정란)</t>
        </is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  <c r="I897" s="269" t="inlineStr">
        <is>
          <t>즙/주스류(양파즙, 토마토즙 등)</t>
        </is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  <c r="I898" s="269" t="inlineStr">
        <is>
          <t>즙/주스류(양파즙, 토마토즙 등)</t>
        </is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n">
        <v>0</v>
      </c>
      <c r="I899" s="269" t="inlineStr">
        <is>
          <t>즙/주스류(양파즙, 토마토즙 등)</t>
        </is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  <c r="I900" s="269" t="inlineStr">
        <is>
          <t>즙/주스류(양파즙, 토마토즙 등)</t>
        </is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  <c r="I901" s="269" t="inlineStr">
        <is>
          <t>즙/주스류(양파즙, 토마토즙 등)</t>
        </is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  <c r="I902" s="269" t="inlineStr">
        <is>
          <t>즙/주스류(양파즙, 토마토즙 등)</t>
        </is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  <c r="I903" s="269" t="inlineStr">
        <is>
          <t>쌀 및 잡곡류</t>
        </is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  <c r="I904" s="269" t="inlineStr">
        <is>
          <t>한돈(돼지고기)</t>
        </is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 1kg  1개</t>
        </is>
      </c>
      <c r="F905" s="76" t="n">
        <v>1557</v>
      </c>
      <c r="G905" s="146" t="n">
        <v>47391600</v>
      </c>
      <c r="H905" s="146" t="n">
        <v>530500</v>
      </c>
      <c r="I905" s="269" t="inlineStr">
        <is>
          <t>한돈(돼지고기)</t>
        </is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 500g  2개</t>
        </is>
      </c>
      <c r="F906" s="76" t="n">
        <v>132</v>
      </c>
      <c r="G906" s="146" t="n">
        <v>2655500</v>
      </c>
      <c r="H906" s="146" t="n">
        <v>135110</v>
      </c>
      <c r="I906" s="269" t="inlineStr">
        <is>
          <t>한돈(돼지고기)</t>
        </is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 300g  4개</t>
        </is>
      </c>
      <c r="F907" s="148" t="n">
        <v>240</v>
      </c>
      <c r="G907" s="146" t="n">
        <v>3343300</v>
      </c>
      <c r="H907" s="146" t="n">
        <v>129640</v>
      </c>
      <c r="I907" s="269" t="inlineStr">
        <is>
          <t>한돈(돼지고기)</t>
        </is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 1kg  1개</t>
        </is>
      </c>
      <c r="F908" s="148" t="n">
        <v>993</v>
      </c>
      <c r="G908" s="146" t="n">
        <v>28876900</v>
      </c>
      <c r="H908" s="146" t="n">
        <v>226110</v>
      </c>
      <c r="I908" s="269" t="inlineStr">
        <is>
          <t>한돈(돼지고기)</t>
        </is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 500g  2개</t>
        </is>
      </c>
      <c r="F909" s="148" t="n">
        <v>22</v>
      </c>
      <c r="G909" s="146" t="n">
        <v>404000</v>
      </c>
      <c r="H909" s="146" t="n">
        <v>26680</v>
      </c>
      <c r="I909" s="269" t="inlineStr">
        <is>
          <t>한돈(돼지고기)</t>
        </is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n">
        <v>0</v>
      </c>
      <c r="I910" s="269" t="inlineStr">
        <is>
          <t>한돈(돼지고기)</t>
        </is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  <c r="I911" s="269" t="inlineStr">
        <is>
          <t>김치류(배추김치 등)</t>
        </is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n">
        <v>0</v>
      </c>
      <c r="G912" s="146" t="n">
        <v>0</v>
      </c>
      <c r="H912" s="146" t="n">
        <v>0</v>
      </c>
      <c r="I912" s="269" t="inlineStr">
        <is>
          <t>김치류(배추김치 등)</t>
        </is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  <c r="I913" s="269" t="inlineStr">
        <is>
          <t>김치류(배추김치 등)</t>
        </is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  <c r="I914" s="269" t="inlineStr">
        <is>
          <t>김치류(배추김치 등)</t>
        </is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  <c r="I915" s="269" t="inlineStr">
        <is>
          <t>김치류(배추김치 등)</t>
        </is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  <c r="I916" s="269" t="inlineStr">
        <is>
          <t>김치류(배추김치 등)</t>
        </is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  <c r="I917" s="269" t="inlineStr">
        <is>
          <t>김치류(배추김치 등)</t>
        </is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  <c r="I918" s="269" t="inlineStr">
        <is>
          <t>김치류(배추김치 등)</t>
        </is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  <c r="I919" s="269" t="inlineStr">
        <is>
          <t>기타 가공식품</t>
        </is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  <c r="I920" s="269" t="inlineStr">
        <is>
          <t>김치류(배추김치 등)</t>
        </is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  <c r="I921" s="269" t="inlineStr">
        <is>
          <t>김치류(배추김치 등)</t>
        </is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  <c r="I922" s="269" t="inlineStr">
        <is>
          <t>김치류(배추김치 등)</t>
        </is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n">
        <v>0</v>
      </c>
      <c r="I923" s="269" t="inlineStr">
        <is>
          <t>기타 농산물</t>
        </is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  <c r="I924" s="269" t="inlineStr">
        <is>
          <t>기타 가공식품</t>
        </is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  <c r="I925" s="269" t="inlineStr">
        <is>
          <t>기타 가공식품</t>
        </is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n">
        <v>0</v>
      </c>
      <c r="G926" s="146" t="n">
        <v>0</v>
      </c>
      <c r="H926" s="146" t="n">
        <v>0</v>
      </c>
      <c r="I926" s="269" t="inlineStr">
        <is>
          <t>기타 가공식품</t>
        </is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n">
        <v>0</v>
      </c>
      <c r="I927" s="269" t="inlineStr">
        <is>
          <t>기타 가공식품</t>
        </is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n">
        <v>0</v>
      </c>
      <c r="G928" s="146" t="n">
        <v>0</v>
      </c>
      <c r="H928" s="146" t="n">
        <v>0</v>
      </c>
      <c r="I928" s="269" t="inlineStr">
        <is>
          <t>기타 가공식품</t>
        </is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n">
        <v>0</v>
      </c>
      <c r="G929" s="146" t="n">
        <v>0</v>
      </c>
      <c r="H929" s="146" t="n">
        <v>0</v>
      </c>
      <c r="I929" s="269" t="inlineStr">
        <is>
          <t>기타 농산물</t>
        </is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n">
        <v>0</v>
      </c>
      <c r="G930" s="146" t="n">
        <v>0</v>
      </c>
      <c r="H930" s="146" t="n">
        <v>0</v>
      </c>
      <c r="I930" s="269" t="inlineStr">
        <is>
          <t>기타 농산물</t>
        </is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n">
        <v>0</v>
      </c>
      <c r="G931" s="146" t="n">
        <v>0</v>
      </c>
      <c r="H931" s="146" t="n">
        <v>0</v>
      </c>
      <c r="I931" s="269" t="inlineStr">
        <is>
          <t>기타 농산물</t>
        </is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n">
        <v>0</v>
      </c>
      <c r="G932" s="146" t="n">
        <v>0</v>
      </c>
      <c r="H932" s="146" t="n">
        <v>0</v>
      </c>
      <c r="I932" s="269" t="inlineStr">
        <is>
          <t>기타 농산물</t>
        </is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  <c r="I933" s="269" t="inlineStr">
        <is>
          <t>버섯</t>
        </is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  <c r="I934" s="269" t="inlineStr">
        <is>
          <t>채소류(상추, 쌈채소 등)</t>
        </is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  <c r="I935" s="269" t="inlineStr">
        <is>
          <t>채소류(상추, 쌈채소 등)</t>
        </is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  <c r="I936" s="269" t="inlineStr">
        <is>
          <t>토마토</t>
        </is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  <c r="I937" s="269" t="inlineStr">
        <is>
          <t>토마토</t>
        </is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  <c r="I938" s="269" t="inlineStr">
        <is>
          <t>기타 가공식품</t>
        </is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  <c r="I939" s="269" t="inlineStr">
        <is>
          <t>기타 가공식품</t>
        </is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  <c r="I940" s="269" t="inlineStr">
        <is>
          <t>기타 가공식품</t>
        </is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  <c r="I941" s="269" t="inlineStr">
        <is>
          <t>기타 가공식품</t>
        </is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  <c r="I942" s="269" t="inlineStr">
        <is>
          <t>기타 가공식품</t>
        </is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  <c r="I943" s="269" t="inlineStr">
        <is>
          <t>기타 가공식품</t>
        </is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  <c r="I944" s="269" t="inlineStr">
        <is>
          <t>기타 가공식품</t>
        </is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  <c r="I945" s="269" t="inlineStr">
        <is>
          <t>기타 가공식품</t>
        </is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  <c r="I946" s="269" t="inlineStr">
        <is>
          <t>기타 가공식품</t>
        </is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 1개</t>
        </is>
      </c>
      <c r="F947" s="76" t="n">
        <v>399</v>
      </c>
      <c r="G947" s="146" t="n">
        <v>12825000</v>
      </c>
      <c r="H947" s="146" t="n">
        <v>814000</v>
      </c>
      <c r="I947" s="269" t="inlineStr">
        <is>
          <t>즙/주스류(양파즙, 토마토즙 등)</t>
        </is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 4개</t>
        </is>
      </c>
      <c r="F948" s="76" t="n">
        <v>22</v>
      </c>
      <c r="G948" s="146" t="n">
        <v>2112000</v>
      </c>
      <c r="H948" s="146" t="n">
        <v>80000</v>
      </c>
      <c r="I948" s="269" t="inlineStr">
        <is>
          <t>즙/주스류(양파즙, 토마토즙 등)</t>
        </is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 6개</t>
        </is>
      </c>
      <c r="F949" s="76" t="n">
        <v>12</v>
      </c>
      <c r="G949" s="146" t="n">
        <v>2208000</v>
      </c>
      <c r="H949" s="146" t="n">
        <v>40000</v>
      </c>
      <c r="I949" s="269" t="inlineStr">
        <is>
          <t>즙/주스류(양파즙, 토마토즙 등)</t>
        </is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 6개</t>
        </is>
      </c>
      <c r="F950" s="76" t="n">
        <v>1</v>
      </c>
      <c r="G950" s="146" t="n">
        <v>108000</v>
      </c>
      <c r="H950" s="146" t="n">
        <v>10000</v>
      </c>
      <c r="I950" s="269" t="inlineStr">
        <is>
          <t>즙/주스류(양파즙, 토마토즙 등)</t>
        </is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 1개</t>
        </is>
      </c>
      <c r="F951" s="76" t="n">
        <v>42</v>
      </c>
      <c r="G951" s="146" t="n">
        <v>1000000</v>
      </c>
      <c r="H951" s="146" t="n">
        <v>91800</v>
      </c>
      <c r="I951" s="269" t="inlineStr">
        <is>
          <t>즙/주스류(양파즙, 토마토즙 등)</t>
        </is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 4개</t>
        </is>
      </c>
      <c r="F952" s="76" t="n">
        <v>4</v>
      </c>
      <c r="G952" s="146" t="n">
        <v>304000</v>
      </c>
      <c r="H952" s="146" t="n">
        <v>30000</v>
      </c>
      <c r="I952" s="269" t="inlineStr">
        <is>
          <t>즙/주스류(양파즙, 토마토즙 등)</t>
        </is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  <c r="I953" s="269" t="inlineStr">
        <is>
          <t>닭고기 및 닭가공육</t>
        </is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  <c r="I954" s="269" t="inlineStr">
        <is>
          <t>한돈(돼지고기)</t>
        </is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 국내산 닭정육 닭순살 냉장 1kg</t>
        </is>
      </c>
      <c r="F955" s="76" t="n">
        <v>7</v>
      </c>
      <c r="G955" s="146" t="n">
        <v>178220</v>
      </c>
      <c r="H955" s="146" t="n">
        <v>22010</v>
      </c>
      <c r="I955" s="269" t="inlineStr">
        <is>
          <t>닭고기 및 닭가공육</t>
        </is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 국내산 닭정육 닭순살 냉장 500g</t>
        </is>
      </c>
      <c r="F956" s="76" t="n">
        <v>27</v>
      </c>
      <c r="G956" s="146" t="n">
        <v>768300</v>
      </c>
      <c r="H956" s="146" t="n">
        <v>77280</v>
      </c>
      <c r="I956" s="269" t="inlineStr">
        <is>
          <t>닭고기 및 닭가공육</t>
        </is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  <c r="I957" s="269" t="inlineStr">
        <is>
          <t>닭고기 및 닭가공육</t>
        </is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  <c r="I958" s="269" t="inlineStr">
        <is>
          <t>닭고기 및 닭가공육</t>
        </is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  <c r="I959" s="269" t="inlineStr">
        <is>
          <t>닭고기 및 닭가공육</t>
        </is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 (500g x 2팩) 소포장 진공포장</t>
        </is>
      </c>
      <c r="F960" s="76" t="n">
        <v>6</v>
      </c>
      <c r="G960" s="146" t="n">
        <v>92100</v>
      </c>
      <c r="H960" s="146" t="n">
        <v>9060</v>
      </c>
      <c r="I960" s="269" t="inlineStr">
        <is>
          <t>닭고기 및 닭가공육</t>
        </is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n">
        <v>0</v>
      </c>
      <c r="I961" s="269" t="inlineStr">
        <is>
          <t>닭고기 및 닭가공육</t>
        </is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  <c r="I962" s="269" t="inlineStr">
        <is>
          <t>닭고기 및 닭가공육</t>
        </is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n">
        <v>0</v>
      </c>
      <c r="H963" s="146" t="n">
        <v>0</v>
      </c>
      <c r="I963" s="269" t="inlineStr">
        <is>
          <t>닭고기 및 닭가공육</t>
        </is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n">
        <v>0</v>
      </c>
      <c r="H964" s="146" t="n">
        <v>0</v>
      </c>
      <c r="I964" s="269" t="inlineStr">
        <is>
          <t>닭고기 및 닭가공육</t>
        </is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  <c r="I965" s="269" t="inlineStr">
        <is>
          <t>닭고기 및 닭가공육</t>
        </is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  <c r="I966" s="269" t="inlineStr">
        <is>
          <t>닭고기 및 닭가공육</t>
        </is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  <c r="I967" s="269" t="inlineStr">
        <is>
          <t>닭고기 및 닭가공육</t>
        </is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  <c r="I968" s="269" t="inlineStr">
        <is>
          <t>닭고기 및 닭가공육</t>
        </is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 200g포장</t>
        </is>
      </c>
      <c r="F969" s="76" t="n">
        <v>0</v>
      </c>
      <c r="G969" s="146" t="n">
        <v>0</v>
      </c>
      <c r="H969" s="146" t="n">
        <v>0</v>
      </c>
      <c r="I969" s="269" t="inlineStr">
        <is>
          <t>닭고기 및 닭가공육</t>
        </is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  <c r="I970" s="269" t="inlineStr">
        <is>
          <t>기타 축산물</t>
        </is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n">
        <v>0</v>
      </c>
      <c r="I971" s="269" t="inlineStr">
        <is>
          <t>닭고기 및 닭가공육</t>
        </is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n">
        <v>0</v>
      </c>
      <c r="H972" s="146" t="n">
        <v>0</v>
      </c>
      <c r="I972" s="269" t="inlineStr">
        <is>
          <t>닭고기 및 닭가공육</t>
        </is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n">
        <v>0</v>
      </c>
      <c r="I973" s="269" t="inlineStr">
        <is>
          <t>닭고기 및 닭가공육</t>
        </is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 닭부산물</t>
        </is>
      </c>
      <c r="F974" s="76" t="n">
        <v>0</v>
      </c>
      <c r="G974" s="146" t="n">
        <v>0</v>
      </c>
      <c r="H974" s="146" t="n">
        <v>0</v>
      </c>
      <c r="I974" s="269" t="inlineStr">
        <is>
          <t>계란(유정란)</t>
        </is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n">
        <v>0</v>
      </c>
      <c r="I975" s="269" t="inlineStr">
        <is>
          <t>닭고기 및 닭가공육</t>
        </is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  <c r="I976" s="269" t="inlineStr">
        <is>
          <t>닭고기 및 닭가공육</t>
        </is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n">
        <v>0</v>
      </c>
      <c r="H977" s="146" t="n">
        <v>0</v>
      </c>
      <c r="I977" s="269" t="inlineStr">
        <is>
          <t>닭고기 및 닭가공육</t>
        </is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n">
        <v>0</v>
      </c>
      <c r="I978" s="269" t="inlineStr">
        <is>
          <t>닭고기 및 닭가공육</t>
        </is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  <c r="I979" s="269" t="inlineStr">
        <is>
          <t>닭고기 및 닭가공육</t>
        </is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  <c r="I980" s="269" t="inlineStr">
        <is>
          <t>계란(유정란)</t>
        </is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  <c r="I981" s="269" t="inlineStr">
        <is>
          <t>기타 농산물</t>
        </is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 1개</t>
        </is>
      </c>
      <c r="F982" s="76" t="n">
        <v>7</v>
      </c>
      <c r="G982" s="146" t="n">
        <v>173600</v>
      </c>
      <c r="H982" s="146" t="n">
        <v>0</v>
      </c>
      <c r="I982" s="269" t="inlineStr">
        <is>
          <t>기타 농산물</t>
        </is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  <c r="I983" s="269" t="inlineStr">
        <is>
          <t>기타 농산물</t>
        </is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 닭부산물</t>
        </is>
      </c>
      <c r="F984" s="76" t="n">
        <v>13</v>
      </c>
      <c r="G984" s="146" t="n">
        <v>812090</v>
      </c>
      <c r="H984" s="146" t="n">
        <v>31590</v>
      </c>
      <c r="I984" s="269" t="inlineStr">
        <is>
          <t>계란(유정란)</t>
        </is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  <c r="I985" s="269" t="inlineStr">
        <is>
          <t>닭고기 및 닭가공육</t>
        </is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  <c r="I986" s="269" t="inlineStr">
        <is>
          <t>닭고기 및 닭가공육</t>
        </is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  <c r="I987" s="269" t="inlineStr">
        <is>
          <t>닭고기 및 닭가공육</t>
        </is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 6호 7호 10호 11호</t>
        </is>
      </c>
      <c r="F988" s="76" t="n">
        <v>0</v>
      </c>
      <c r="G988" s="146" t="n">
        <v>0</v>
      </c>
      <c r="H988" s="146" t="n">
        <v>0</v>
      </c>
      <c r="I988" s="269" t="inlineStr">
        <is>
          <t>닭고기 및 닭가공육</t>
        </is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 200g포장</t>
        </is>
      </c>
      <c r="F989" s="76" t="n">
        <v>1</v>
      </c>
      <c r="G989" s="146" t="n">
        <v>27230</v>
      </c>
      <c r="H989" s="146" t="n">
        <v>0</v>
      </c>
      <c r="I989" s="269" t="inlineStr">
        <is>
          <t>닭고기 및 닭가공육</t>
        </is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n">
        <v>0</v>
      </c>
      <c r="H990" s="146" t="n">
        <v>0</v>
      </c>
      <c r="I990" s="269" t="inlineStr">
        <is>
          <t>닭고기 및 닭가공육</t>
        </is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  <c r="I991" s="269" t="inlineStr">
        <is>
          <t>닭고기 및 닭가공육</t>
        </is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 종류별</t>
        </is>
      </c>
      <c r="F992" s="76" t="n">
        <v>9</v>
      </c>
      <c r="G992" s="146" t="n">
        <v>667400</v>
      </c>
      <c r="H992" s="146" t="n">
        <v>29200</v>
      </c>
      <c r="I992" s="269" t="inlineStr">
        <is>
          <t>닭고기 및 닭가공육</t>
        </is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  <c r="I993" s="269" t="inlineStr">
        <is>
          <t>닭고기 및 닭가공육</t>
        </is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  <c r="I994" s="269" t="inlineStr">
        <is>
          <t>닭고기 및 닭가공육</t>
        </is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  <c r="I995" s="269" t="inlineStr">
        <is>
          <t>닭고기 및 닭가공육</t>
        </is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n">
        <v>0</v>
      </c>
      <c r="H996" s="146" t="n">
        <v>0</v>
      </c>
      <c r="I996" s="269" t="inlineStr">
        <is>
          <t>닭고기 및 닭가공육</t>
        </is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  <c r="I997" s="269" t="inlineStr">
        <is>
          <t>닭고기 및 닭가공육</t>
        </is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n">
        <v>0</v>
      </c>
      <c r="I998" s="269" t="inlineStr">
        <is>
          <t>닭고기 및 닭가공육</t>
        </is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  <c r="I999" s="269" t="inlineStr">
        <is>
          <t>닭고기 및 닭가공육</t>
        </is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  <c r="I1000" s="269" t="inlineStr">
        <is>
          <t>채소류(상추, 쌈채소 등)</t>
        </is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  <c r="I1001" s="269" t="inlineStr">
        <is>
          <t>기타 농산물</t>
        </is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 2개</t>
        </is>
      </c>
      <c r="F1002" s="76" t="n">
        <v>6</v>
      </c>
      <c r="G1002" s="146" t="n">
        <v>378000</v>
      </c>
      <c r="H1002" s="146" t="n">
        <v>20000</v>
      </c>
      <c r="I1002" s="269" t="inlineStr">
        <is>
          <t>기타 농산물</t>
        </is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 1개</t>
        </is>
      </c>
      <c r="F1003" s="76" t="n">
        <v>0</v>
      </c>
      <c r="G1003" s="146" t="n">
        <v>0</v>
      </c>
      <c r="H1003" s="146" t="n">
        <v>0</v>
      </c>
      <c r="I1003" s="269" t="inlineStr">
        <is>
          <t>기타 농산물</t>
        </is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 1개</t>
        </is>
      </c>
      <c r="F1004" s="76" t="n">
        <v>15</v>
      </c>
      <c r="G1004" s="146" t="n">
        <v>1019500</v>
      </c>
      <c r="H1004" s="146" t="n">
        <v>60000</v>
      </c>
      <c r="I1004" s="269" t="inlineStr">
        <is>
          <t>기타 농산물</t>
        </is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 1개</t>
        </is>
      </c>
      <c r="F1005" s="76" t="n">
        <v>5</v>
      </c>
      <c r="G1005" s="146" t="n">
        <v>188000</v>
      </c>
      <c r="H1005" s="146" t="n">
        <v>21600</v>
      </c>
      <c r="I1005" s="269" t="inlineStr">
        <is>
          <t>기타 농산물</t>
        </is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n">
        <v>0</v>
      </c>
      <c r="H1006" s="146" t="n">
        <v>0</v>
      </c>
      <c r="I1006" s="269" t="inlineStr">
        <is>
          <t>채소류(상추, 쌈채소 등)</t>
        </is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n">
        <v>0</v>
      </c>
      <c r="H1007" s="146" t="n">
        <v>0</v>
      </c>
      <c r="I1007" s="269" t="inlineStr">
        <is>
          <t>쌀 및 잡곡류</t>
        </is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n">
        <v>0</v>
      </c>
      <c r="I1008" s="269" t="inlineStr">
        <is>
          <t>쌀 및 잡곡류</t>
        </is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  <c r="I1009" s="269" t="inlineStr">
        <is>
          <t>쌀 및 잡곡류</t>
        </is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  <c r="I1010" s="269" t="inlineStr">
        <is>
          <t>쌀 및 잡곡류</t>
        </is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  <c r="I1011" s="269" t="inlineStr">
        <is>
          <t>쌀 및 잡곡류</t>
        </is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  <c r="I1012" s="269" t="inlineStr">
        <is>
          <t>쌀 및 잡곡류</t>
        </is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  <c r="I1013" s="269" t="inlineStr">
        <is>
          <t>쌀 및 잡곡류</t>
        </is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  <c r="I1014" s="269" t="inlineStr">
        <is>
          <t>쌀 및 잡곡류</t>
        </is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  <c r="I1015" s="269" t="inlineStr">
        <is>
          <t>쌀 및 잡곡류</t>
        </is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  <c r="I1016" s="269" t="inlineStr">
        <is>
          <t>쌀 및 잡곡류</t>
        </is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  <c r="I1017" s="269" t="inlineStr">
        <is>
          <t>쌀 및 잡곡류</t>
        </is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  <c r="I1018" s="269" t="inlineStr">
        <is>
          <t>쌀 및 잡곡류</t>
        </is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n">
        <v>0</v>
      </c>
      <c r="I1019" s="269" t="inlineStr">
        <is>
          <t>쌀 및 잡곡류</t>
        </is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n">
        <v>0</v>
      </c>
      <c r="I1020" s="269" t="inlineStr">
        <is>
          <t>쌀 및 잡곡류</t>
        </is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n">
        <v>0</v>
      </c>
      <c r="I1021" s="269" t="inlineStr">
        <is>
          <t>쌀 및 잡곡류</t>
        </is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n">
        <v>0</v>
      </c>
      <c r="I1022" s="269" t="inlineStr">
        <is>
          <t>쌀 및 잡곡류</t>
        </is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n">
        <v>0</v>
      </c>
      <c r="I1023" s="269" t="inlineStr">
        <is>
          <t>쌀 및 잡곡류</t>
        </is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n">
        <v>0</v>
      </c>
      <c r="H1024" s="146" t="n">
        <v>0</v>
      </c>
      <c r="I1024" s="269" t="inlineStr">
        <is>
          <t>기타 가공식품</t>
        </is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n">
        <v>0</v>
      </c>
      <c r="H1025" s="146" t="n">
        <v>0</v>
      </c>
      <c r="I1025" s="269" t="inlineStr">
        <is>
          <t>기타 가공식품</t>
        </is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  <c r="I1026" s="269" t="inlineStr">
        <is>
          <t>기타 가공식품</t>
        </is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  <c r="I1027" s="269" t="inlineStr">
        <is>
          <t>쌀 및 잡곡류</t>
        </is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  <c r="I1028" s="269" t="inlineStr">
        <is>
          <t>기타 농산물</t>
        </is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n">
        <v>0</v>
      </c>
      <c r="I1029" s="269" t="inlineStr">
        <is>
          <t>기타 가공식품</t>
        </is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  <c r="I1030" s="269" t="inlineStr">
        <is>
          <t>기타 가공식품</t>
        </is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  <c r="I1031" s="269" t="inlineStr">
        <is>
          <t>즙/주스류(양파즙, 토마토즙 등)</t>
        </is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  <c r="I1032" s="269" t="inlineStr">
        <is>
          <t>기타 가공식품</t>
        </is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  <c r="I1033" s="269" t="inlineStr">
        <is>
          <t>기타 가공식품</t>
        </is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  <c r="I1034" s="269" t="inlineStr">
        <is>
          <t>기타 농산물</t>
        </is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  <c r="I1035" s="269" t="inlineStr">
        <is>
          <t>기타 농산물</t>
        </is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  <c r="I1036" s="269" t="inlineStr">
        <is>
          <t>기타 농산물</t>
        </is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n">
        <v>0</v>
      </c>
      <c r="I1037" s="269" t="inlineStr">
        <is>
          <t>기타 농산물</t>
        </is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  <c r="I1038" s="269" t="inlineStr">
        <is>
          <t>기타 농산물</t>
        </is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  <c r="I1039" s="269" t="inlineStr">
        <is>
          <t>기타 농산물</t>
        </is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  <c r="I1040" s="269" t="inlineStr">
        <is>
          <t>기타 농산물</t>
        </is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n">
        <v>0</v>
      </c>
      <c r="I1041" s="269" t="inlineStr">
        <is>
          <t>기타 농산물</t>
        </is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  <c r="I1042" s="269" t="inlineStr">
        <is>
          <t>기타 농산물</t>
        </is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  <c r="I1043" s="269" t="inlineStr">
        <is>
          <t>기타 농산물</t>
        </is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n">
        <v>0</v>
      </c>
      <c r="I1044" s="269" t="inlineStr">
        <is>
          <t>기타 농산물</t>
        </is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  <c r="I1045" s="269" t="inlineStr">
        <is>
          <t>기타 농산물</t>
        </is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n">
        <v>0</v>
      </c>
      <c r="H1046" s="146" t="n">
        <v>0</v>
      </c>
      <c r="I1046" s="269" t="inlineStr">
        <is>
          <t>기타 농산물</t>
        </is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n">
        <v>0</v>
      </c>
      <c r="H1047" s="146" t="n">
        <v>0</v>
      </c>
      <c r="I1047" s="269" t="inlineStr">
        <is>
          <t>기타 농산물</t>
        </is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  <c r="I1048" s="269" t="inlineStr">
        <is>
          <t>기타 농산물</t>
        </is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  <c r="I1049" s="269" t="inlineStr">
        <is>
          <t>기타 농산물</t>
        </is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  <c r="I1050" s="269" t="inlineStr">
        <is>
          <t>기타 가공식품</t>
        </is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  <c r="I1051" s="269" t="inlineStr">
        <is>
          <t>기타 가공식품</t>
        </is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  <c r="I1052" s="269" t="inlineStr">
        <is>
          <t>쌀 및 잡곡류</t>
        </is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  <c r="I1053" s="269" t="inlineStr">
        <is>
          <t>채소류(상추, 쌈채소 등)</t>
        </is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n">
        <v>0</v>
      </c>
      <c r="I1054" s="269" t="inlineStr">
        <is>
          <t>기타 가공식품</t>
        </is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n">
        <v>0</v>
      </c>
      <c r="H1055" s="146" t="n">
        <v>0</v>
      </c>
      <c r="I1055" s="269" t="inlineStr">
        <is>
          <t>자두</t>
        </is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n">
        <v>0</v>
      </c>
      <c r="H1056" s="146" t="n">
        <v>0</v>
      </c>
      <c r="I1056" s="269" t="inlineStr">
        <is>
          <t>자두</t>
        </is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  <c r="I1057" s="269" t="inlineStr">
        <is>
          <t>자두</t>
        </is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  <c r="I1058" s="269" t="inlineStr">
        <is>
          <t>자두</t>
        </is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  <c r="I1059" s="269" t="inlineStr">
        <is>
          <t>자두</t>
        </is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  <c r="I1060" s="269" t="inlineStr">
        <is>
          <t>자두</t>
        </is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n">
        <v>0</v>
      </c>
      <c r="H1061" s="146" t="n">
        <v>0</v>
      </c>
      <c r="I1061" s="269" t="inlineStr">
        <is>
          <t>자두</t>
        </is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  <c r="I1062" s="269" t="inlineStr">
        <is>
          <t>자두</t>
        </is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  <c r="I1063" s="269" t="inlineStr">
        <is>
          <t>자두</t>
        </is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 1개</t>
        </is>
      </c>
      <c r="F1064" s="76" t="n">
        <v>0</v>
      </c>
      <c r="G1064" s="146" t="n">
        <v>0</v>
      </c>
      <c r="H1064" s="146" t="n">
        <v>0</v>
      </c>
      <c r="I1064" s="269" t="inlineStr">
        <is>
          <t>기타 가공식품</t>
        </is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 1개</t>
        </is>
      </c>
      <c r="F1065" s="76" t="n">
        <v>0</v>
      </c>
      <c r="G1065" s="146" t="n">
        <v>0</v>
      </c>
      <c r="H1065" s="146" t="n">
        <v>0</v>
      </c>
      <c r="I1065" s="269" t="inlineStr">
        <is>
          <t>김치류(배추김치 등)</t>
        </is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  <c r="I1066" s="269" t="inlineStr">
        <is>
          <t>사과</t>
        </is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  <c r="I1067" s="269" t="inlineStr">
        <is>
          <t>사과</t>
        </is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  <c r="I1068" s="269" t="inlineStr">
        <is>
          <t>사과</t>
        </is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  <c r="I1069" s="269" t="inlineStr">
        <is>
          <t>사과</t>
        </is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  <c r="I1070" s="269" t="inlineStr">
        <is>
          <t>기타 가공식품</t>
        </is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  <c r="I1071" s="269" t="inlineStr">
        <is>
          <t>기타 가공식품</t>
        </is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  <c r="I1072" s="269" t="inlineStr">
        <is>
          <t>쌀 및 잡곡류</t>
        </is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  <c r="I1073" s="269" t="inlineStr">
        <is>
          <t>기타 가공식품</t>
        </is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n">
        <v>0</v>
      </c>
      <c r="H1074" s="146" t="n">
        <v>0</v>
      </c>
      <c r="I1074" s="269" t="inlineStr">
        <is>
          <t>기타 가공식품</t>
        </is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n">
        <v>0</v>
      </c>
      <c r="H1075" s="146" t="n">
        <v>0</v>
      </c>
      <c r="I1075" s="269" t="inlineStr">
        <is>
          <t>기타 가공식품</t>
        </is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 특허상품)  전통항아리에서 자연발효 숙성된 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  <c r="I1076" s="269" t="inlineStr">
        <is>
          <t>기타 가공식품</t>
        </is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 특허상품) 전통항아리에서 자연발효 숙성된  #12가지혼합발효차+수세미발효차 = 750ml 2병 셋</t>
        </is>
      </c>
      <c r="F1077" s="76" t="n">
        <v>0</v>
      </c>
      <c r="G1077" s="146" t="n">
        <v>0</v>
      </c>
      <c r="H1077" s="146" t="n">
        <v>0</v>
      </c>
      <c r="I1077" s="269" t="inlineStr">
        <is>
          <t>기타 가공식품</t>
        </is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 특허상품)  전통항아리에서 자연발효 숙성된 #12가지혼합발효차+매실발효차= 750ml  2병 셋</t>
        </is>
      </c>
      <c r="F1078" s="76" t="n">
        <v>0</v>
      </c>
      <c r="G1078" s="146" t="n">
        <v>0</v>
      </c>
      <c r="H1078" s="146" t="n">
        <v>0</v>
      </c>
      <c r="I1078" s="269" t="inlineStr">
        <is>
          <t>기타 가공식품</t>
        </is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 노화를 낮추는 특허제품</t>
        </is>
      </c>
      <c r="F1079" s="76" t="n">
        <v>0</v>
      </c>
      <c r="G1079" s="146" t="n">
        <v>0</v>
      </c>
      <c r="H1079" s="146" t="n">
        <v>0</v>
      </c>
      <c r="I1079" s="269" t="inlineStr">
        <is>
          <t>기타 가공식품</t>
        </is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 노화를 낮추는 특허제품</t>
        </is>
      </c>
      <c r="F1080" s="76" t="n">
        <v>0</v>
      </c>
      <c r="G1080" s="146" t="n">
        <v>0</v>
      </c>
      <c r="H1080" s="146" t="n">
        <v>0</v>
      </c>
      <c r="I1080" s="269" t="inlineStr">
        <is>
          <t>기타 가공식품</t>
        </is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 노화를 낮추는 특허제품</t>
        </is>
      </c>
      <c r="F1081" s="76" t="n">
        <v>0</v>
      </c>
      <c r="G1081" s="146" t="n">
        <v>0</v>
      </c>
      <c r="H1081" s="146" t="n">
        <v>0</v>
      </c>
      <c r="I1081" s="269" t="inlineStr">
        <is>
          <t>기타 가공식품</t>
        </is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 노화를 낮추는 특허제품</t>
        </is>
      </c>
      <c r="F1082" s="76" t="n">
        <v>0</v>
      </c>
      <c r="G1082" s="146" t="n">
        <v>0</v>
      </c>
      <c r="H1082" s="146" t="n">
        <v>0</v>
      </c>
      <c r="I1082" s="269" t="inlineStr">
        <is>
          <t>기타 가공식품</t>
        </is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 해나루 개똥쑥 발효차. 750ml</t>
        </is>
      </c>
      <c r="F1083" s="76" t="n">
        <v>0</v>
      </c>
      <c r="G1083" s="146" t="n">
        <v>0</v>
      </c>
      <c r="H1083" s="146" t="n">
        <v>0</v>
      </c>
      <c r="I1083" s="269" t="inlineStr">
        <is>
          <t>기타 가공식품</t>
        </is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 전통항아리에서 자연발효 배양하여 '면역력은 높이고 노화를 낮추는'  해나루 수세미 발효차. 750ml</t>
        </is>
      </c>
      <c r="F1084" s="76" t="n">
        <v>0</v>
      </c>
      <c r="G1084" s="146" t="n">
        <v>0</v>
      </c>
      <c r="H1084" s="146" t="n">
        <v>0</v>
      </c>
      <c r="I1084" s="269" t="inlineStr">
        <is>
          <t>기타 가공식품</t>
        </is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 해나루 쇠비름(오행초) 발효차. 750ml</t>
        </is>
      </c>
      <c r="F1085" s="76" t="n">
        <v>0</v>
      </c>
      <c r="G1085" s="146" t="n">
        <v>0</v>
      </c>
      <c r="H1085" s="146" t="n">
        <v>0</v>
      </c>
      <c r="I1085" s="269" t="inlineStr">
        <is>
          <t>기타 가공식품</t>
        </is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 해나루 솔순 발효차. 750ml</t>
        </is>
      </c>
      <c r="F1086" s="76" t="n">
        <v>0</v>
      </c>
      <c r="G1086" s="146" t="n">
        <v>0</v>
      </c>
      <c r="H1086" s="146" t="n">
        <v>0</v>
      </c>
      <c r="I1086" s="269" t="inlineStr">
        <is>
          <t>기타 가공식품</t>
        </is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 미나리) 전통항아리에서 자연발효 배양하여 '면역력은 높이고 노화를 낮추는'  해나루 미나리 발효차. 750ml</t>
        </is>
      </c>
      <c r="F1087" s="76" t="n">
        <v>0</v>
      </c>
      <c r="G1087" s="146" t="n">
        <v>0</v>
      </c>
      <c r="H1087" s="146" t="n">
        <v>0</v>
      </c>
      <c r="I1087" s="269" t="inlineStr">
        <is>
          <t>기타 가공식품</t>
        </is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 해나루 브로콜리 발효차. 750ml</t>
        </is>
      </c>
      <c r="F1088" s="76" t="n">
        <v>0</v>
      </c>
      <c r="G1088" s="146" t="n">
        <v>0</v>
      </c>
      <c r="H1088" s="146" t="n">
        <v>0</v>
      </c>
      <c r="I1088" s="269" t="inlineStr">
        <is>
          <t>기타 가공식품</t>
        </is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 해나루 양파 발효차. 750ml</t>
        </is>
      </c>
      <c r="F1089" s="76" t="n">
        <v>0</v>
      </c>
      <c r="G1089" s="146" t="n">
        <v>0</v>
      </c>
      <c r="H1089" s="146" t="n">
        <v>0</v>
      </c>
      <c r="I1089" s="269" t="inlineStr">
        <is>
          <t>기타 가공식품</t>
        </is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 노화는 낮추는 특허제품. 750ml</t>
        </is>
      </c>
      <c r="F1090" s="76" t="n">
        <v>0</v>
      </c>
      <c r="G1090" s="146" t="n">
        <v>0</v>
      </c>
      <c r="H1090" s="146" t="n">
        <v>0</v>
      </c>
      <c r="I1090" s="269" t="inlineStr">
        <is>
          <t>기타 가공식품</t>
        </is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 해나루 매실 발효차. 750ml</t>
        </is>
      </c>
      <c r="F1091" s="76" t="n">
        <v>0</v>
      </c>
      <c r="G1091" s="146" t="n">
        <v>0</v>
      </c>
      <c r="H1091" s="146" t="n">
        <v>0</v>
      </c>
      <c r="I1091" s="269" t="inlineStr">
        <is>
          <t>기타 가공식품</t>
        </is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n">
        <v>0</v>
      </c>
      <c r="I1092" s="269" t="inlineStr">
        <is>
          <t>기타 가공식품</t>
        </is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  <c r="I1093" s="269" t="inlineStr">
        <is>
          <t>기타 가공식품</t>
        </is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n">
        <v>0</v>
      </c>
      <c r="H1094" s="146" t="n">
        <v>0</v>
      </c>
      <c r="I1094" s="269" t="inlineStr">
        <is>
          <t>기타 가공식품</t>
        </is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  <c r="I1095" s="269" t="inlineStr">
        <is>
          <t>기타 농산물</t>
        </is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  <c r="I1096" s="269" t="inlineStr">
        <is>
          <t>닭고기 및 닭가공육</t>
        </is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  <c r="I1097" s="269" t="inlineStr">
        <is>
          <t>닭고기 및 닭가공육</t>
        </is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  <c r="I1098" s="269" t="inlineStr">
        <is>
          <t>닭고기 및 닭가공육</t>
        </is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  <c r="I1099" s="269" t="inlineStr">
        <is>
          <t>닭고기 및 닭가공육</t>
        </is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  <c r="I1100" s="269" t="inlineStr">
        <is>
          <t>닭고기 및 닭가공육</t>
        </is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  <c r="I1101" s="269" t="inlineStr">
        <is>
          <t>닭고기 및 닭가공육</t>
        </is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 1개</t>
        </is>
      </c>
      <c r="F1102" s="76" t="n">
        <v>95</v>
      </c>
      <c r="G1102" s="146" t="n">
        <v>7333200</v>
      </c>
      <c r="H1102" s="146" t="n">
        <v>550000</v>
      </c>
      <c r="I1102" s="269" t="inlineStr">
        <is>
          <t>쌀 및 잡곡류</t>
        </is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 1개</t>
        </is>
      </c>
      <c r="F1103" s="76" t="n">
        <v>121</v>
      </c>
      <c r="G1103" s="146" t="n">
        <v>4334400</v>
      </c>
      <c r="H1103" s="146" t="n">
        <v>674690</v>
      </c>
      <c r="I1103" s="269" t="inlineStr">
        <is>
          <t>쌀 및 잡곡류</t>
        </is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  <c r="I1104" s="269" t="inlineStr">
        <is>
          <t>쌀 및 잡곡류</t>
        </is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 1개</t>
        </is>
      </c>
      <c r="F1105" s="76" t="n">
        <v>0</v>
      </c>
      <c r="G1105" s="146" t="n">
        <v>0</v>
      </c>
      <c r="H1105" s="146" t="n">
        <v>0</v>
      </c>
      <c r="I1105" s="269" t="inlineStr">
        <is>
          <t>쌀 및 잡곡류</t>
        </is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 1개</t>
        </is>
      </c>
      <c r="F1106" s="76" t="n">
        <v>6</v>
      </c>
      <c r="G1106" s="146" t="n">
        <v>246000</v>
      </c>
      <c r="H1106" s="146" t="n">
        <v>40680</v>
      </c>
      <c r="I1106" s="269" t="inlineStr">
        <is>
          <t>쌀 및 잡곡류</t>
        </is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  <c r="I1107" s="269" t="inlineStr">
        <is>
          <t>토마토</t>
        </is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 2kg  5kg</t>
        </is>
      </c>
      <c r="F1108" s="76" t="n">
        <v>0</v>
      </c>
      <c r="G1108" s="146" t="n">
        <v>0</v>
      </c>
      <c r="H1108" s="146" t="n">
        <v>0</v>
      </c>
      <c r="I1108" s="269" t="inlineStr">
        <is>
          <t>토마토</t>
        </is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 20개</t>
        </is>
      </c>
      <c r="F1109" s="76" t="n">
        <v>135</v>
      </c>
      <c r="G1109" s="146" t="n">
        <v>4683410</v>
      </c>
      <c r="H1109" s="146" t="n">
        <v>450580</v>
      </c>
      <c r="I1109" s="269" t="inlineStr">
        <is>
          <t>기타 가공식품</t>
        </is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 10개</t>
        </is>
      </c>
      <c r="F1110" s="76" t="n">
        <v>148</v>
      </c>
      <c r="G1110" s="146" t="n">
        <v>2524500</v>
      </c>
      <c r="H1110" s="146" t="n">
        <v>209100</v>
      </c>
      <c r="I1110" s="269" t="inlineStr">
        <is>
          <t>기타 가공식품</t>
        </is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 5개</t>
        </is>
      </c>
      <c r="F1111" s="76" t="n">
        <v>13</v>
      </c>
      <c r="G1111" s="146" t="n">
        <v>123500</v>
      </c>
      <c r="H1111" s="146" t="n">
        <v>9500</v>
      </c>
      <c r="I1111" s="269" t="inlineStr">
        <is>
          <t>기타 가공식품</t>
        </is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n">
        <v>0</v>
      </c>
      <c r="H1112" s="146" t="n">
        <v>0</v>
      </c>
      <c r="I1112" s="269" t="inlineStr">
        <is>
          <t>기타 가공식품</t>
        </is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n">
        <v>0</v>
      </c>
      <c r="H1113" s="146" t="n">
        <v>0</v>
      </c>
      <c r="I1113" s="269" t="inlineStr">
        <is>
          <t>기타 가공식품</t>
        </is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  <c r="I1114" s="269" t="inlineStr">
        <is>
          <t>기타 가공식품</t>
        </is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  <c r="I1115" s="269" t="inlineStr">
        <is>
          <t>기타 가공식품</t>
        </is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n">
        <v>0</v>
      </c>
      <c r="H1116" s="146" t="n">
        <v>0</v>
      </c>
      <c r="I1116" s="269" t="inlineStr">
        <is>
          <t>기타 가공식품</t>
        </is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  <c r="I1117" s="269" t="inlineStr">
        <is>
          <t>기타 가공식품</t>
        </is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n">
        <v>0</v>
      </c>
      <c r="I1118" s="269" t="inlineStr">
        <is>
          <t>기타 가공식품</t>
        </is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  <c r="I1119" s="269" t="inlineStr">
        <is>
          <t>기타 가공식품</t>
        </is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n">
        <v>0</v>
      </c>
      <c r="H1120" s="146" t="n">
        <v>0</v>
      </c>
      <c r="I1120" s="269" t="inlineStr">
        <is>
          <t>기타 가공식품</t>
        </is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  <c r="I1121" s="269" t="inlineStr">
        <is>
          <t>기타 가공식품</t>
        </is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 명절 답례품</t>
        </is>
      </c>
      <c r="F1122" s="76" t="n">
        <v>0</v>
      </c>
      <c r="G1122" s="146" t="n">
        <v>0</v>
      </c>
      <c r="H1122" s="146" t="n">
        <v>0</v>
      </c>
      <c r="I1122" s="269" t="inlineStr">
        <is>
          <t>기타 가공식품</t>
        </is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n">
        <v>0</v>
      </c>
      <c r="H1123" s="146" t="n">
        <v>0</v>
      </c>
      <c r="I1123" s="269" t="inlineStr">
        <is>
          <t>기타 가공식품</t>
        </is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n">
        <v>0</v>
      </c>
      <c r="H1124" s="146" t="n">
        <v>0</v>
      </c>
      <c r="I1124" s="269" t="inlineStr">
        <is>
          <t>기타 가공식품</t>
        </is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n">
        <v>0</v>
      </c>
      <c r="H1125" s="146" t="n">
        <v>0</v>
      </c>
      <c r="I1125" s="269" t="inlineStr">
        <is>
          <t>기타 가공식품</t>
        </is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  <c r="I1126" s="269" t="inlineStr">
        <is>
          <t>기타 가공식품</t>
        </is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n">
        <v>0</v>
      </c>
      <c r="H1127" s="146" t="n">
        <v>0</v>
      </c>
      <c r="I1127" s="269" t="inlineStr">
        <is>
          <t>기타 가공식품</t>
        </is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n">
        <v>0</v>
      </c>
      <c r="H1128" s="146" t="n">
        <v>0</v>
      </c>
      <c r="I1128" s="269" t="inlineStr">
        <is>
          <t>기타 가공식품</t>
        </is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n">
        <v>0</v>
      </c>
      <c r="H1129" s="146" t="n">
        <v>0</v>
      </c>
      <c r="I1129" s="269" t="inlineStr">
        <is>
          <t>기타 가공식품</t>
        </is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 5kg 중 대과 꿀참외 산지직송</t>
        </is>
      </c>
      <c r="F1130" s="76" t="n">
        <v>0</v>
      </c>
      <c r="G1130" s="146" t="n">
        <v>0</v>
      </c>
      <c r="H1130" s="146" t="n">
        <v>0</v>
      </c>
      <c r="I1130" s="269" t="inlineStr">
        <is>
          <t>기타 농산물</t>
        </is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 5KG 선물용 산지직송</t>
        </is>
      </c>
      <c r="F1131" s="76" t="n">
        <v>0</v>
      </c>
      <c r="G1131" s="146" t="n">
        <v>0</v>
      </c>
      <c r="H1131" s="146" t="n">
        <v>0</v>
      </c>
      <c r="I1131" s="269" t="inlineStr">
        <is>
          <t>기타 농산물</t>
        </is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n">
        <v>0</v>
      </c>
      <c r="H1132" s="146" t="n">
        <v>0</v>
      </c>
      <c r="I1132" s="269" t="inlineStr">
        <is>
          <t>기타 농산물</t>
        </is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n">
        <v>0</v>
      </c>
      <c r="I1133" s="269" t="inlineStr">
        <is>
          <t>쌀 및 잡곡류</t>
        </is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n">
        <v>0</v>
      </c>
      <c r="H1134" s="146" t="n">
        <v>0</v>
      </c>
      <c r="I1134" s="269" t="inlineStr">
        <is>
          <t>기타 농산물</t>
        </is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  <c r="I1135" s="269" t="inlineStr">
        <is>
          <t>기타 가공식품</t>
        </is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  <c r="I1136" s="269" t="inlineStr">
        <is>
          <t>기타 가공식품</t>
        </is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n">
        <v>0</v>
      </c>
      <c r="I1137" s="269" t="inlineStr">
        <is>
          <t>기타 가공식품</t>
        </is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  <c r="I1138" s="269" t="inlineStr">
        <is>
          <t>기타 가공식품</t>
        </is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  <c r="I1139" s="269" t="inlineStr">
        <is>
          <t>기타 가공식품</t>
        </is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  <c r="I1140" s="269" t="inlineStr">
        <is>
          <t>버섯</t>
        </is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  <c r="I1141" s="269" t="inlineStr">
        <is>
          <t>버섯</t>
        </is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  <c r="I1142" s="269" t="inlineStr">
        <is>
          <t>채소류(상추, 쌈채소 등)</t>
        </is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  <c r="I1143" s="269" t="inlineStr">
        <is>
          <t>채소류(상추, 쌈채소 등)</t>
        </is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  <c r="I1144" s="269" t="inlineStr">
        <is>
          <t>채소류(상추, 쌈채소 등)</t>
        </is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 1개</t>
        </is>
      </c>
      <c r="F1145" s="76" t="n">
        <v>9084</v>
      </c>
      <c r="G1145" s="146" t="n">
        <v>383431000</v>
      </c>
      <c r="H1145" s="146" t="n">
        <v>4684290</v>
      </c>
      <c r="I1145" s="269" t="inlineStr">
        <is>
          <t>쌀 및 잡곡류</t>
        </is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 2개</t>
        </is>
      </c>
      <c r="F1146" s="76" t="n">
        <v>815</v>
      </c>
      <c r="G1146" s="146" t="n">
        <v>85026100</v>
      </c>
      <c r="H1146" s="146" t="n">
        <v>350000</v>
      </c>
      <c r="I1146" s="269" t="inlineStr">
        <is>
          <t>쌀 및 잡곡류</t>
        </is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 1개</t>
        </is>
      </c>
      <c r="F1147" s="76" t="n">
        <v>393</v>
      </c>
      <c r="G1147" s="146" t="n">
        <v>16624600</v>
      </c>
      <c r="H1147" s="146" t="n">
        <v>51600</v>
      </c>
      <c r="I1147" s="269" t="inlineStr">
        <is>
          <t>쌀 및 잡곡류</t>
        </is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 2개</t>
        </is>
      </c>
      <c r="F1148" s="76" t="n">
        <v>7</v>
      </c>
      <c r="G1148" s="146" t="n">
        <v>564100</v>
      </c>
      <c r="H1148" s="146" t="n">
        <v>0</v>
      </c>
      <c r="I1148" s="269" t="inlineStr">
        <is>
          <t>쌀 및 잡곡류</t>
        </is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  <c r="I1149" s="269" t="inlineStr">
        <is>
          <t>떡류</t>
        </is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  <c r="I1150" s="269" t="inlineStr">
        <is>
          <t>떡류</t>
        </is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  <c r="I1151" s="269" t="inlineStr">
        <is>
          <t>즙/주스류(양파즙, 토마토즙 등)</t>
        </is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  <c r="I1152" s="269" t="inlineStr">
        <is>
          <t>기타 농산물</t>
        </is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  <c r="I1153" s="269" t="inlineStr">
        <is>
          <t>기타 농산물</t>
        </is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  <c r="I1154" s="269" t="inlineStr">
        <is>
          <t>기타 농산물</t>
        </is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  <c r="I1155" s="269" t="inlineStr">
        <is>
          <t>기타 가공식품</t>
        </is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  <c r="I1156" s="269" t="inlineStr">
        <is>
          <t>기타 농산물</t>
        </is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  <c r="I1157" s="269" t="inlineStr">
        <is>
          <t>기타 가공식품</t>
        </is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  <c r="I1158" s="269" t="inlineStr">
        <is>
          <t>기타 가공식품</t>
        </is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  <c r="I1159" s="269" t="inlineStr">
        <is>
          <t>기타 가공식품</t>
        </is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  <c r="I1160" s="269" t="inlineStr">
        <is>
          <t>기타 가공식품</t>
        </is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  <c r="I1161" s="269" t="inlineStr">
        <is>
          <t>기타 가공식품</t>
        </is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  <c r="I1162" s="269" t="inlineStr">
        <is>
          <t>기타 가공식품</t>
        </is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n">
        <v>0</v>
      </c>
      <c r="I1163" s="269" t="inlineStr">
        <is>
          <t>기타 가공식품</t>
        </is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  <c r="I1164" s="269" t="inlineStr">
        <is>
          <t>기타 가공식품</t>
        </is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  <c r="I1165" s="269" t="inlineStr">
        <is>
          <t>기타 가공식품</t>
        </is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n">
        <v>0</v>
      </c>
      <c r="H1166" s="146" t="n">
        <v>0</v>
      </c>
      <c r="I1166" s="269" t="inlineStr">
        <is>
          <t>기타 가공식품</t>
        </is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n">
        <v>0</v>
      </c>
      <c r="H1167" s="146" t="n">
        <v>0</v>
      </c>
      <c r="I1167" s="269" t="inlineStr">
        <is>
          <t>기타 가공식품</t>
        </is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 20티백  3종 세트</t>
        </is>
      </c>
      <c r="F1168" s="76" t="n">
        <v>2</v>
      </c>
      <c r="G1168" s="146" t="n">
        <v>40000</v>
      </c>
      <c r="H1168" s="146" t="n">
        <v>0</v>
      </c>
      <c r="I1168" s="269" t="inlineStr">
        <is>
          <t>기타 가공식품</t>
        </is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 1포 10g이상 총30개 스틱</t>
        </is>
      </c>
      <c r="F1169" s="76" t="n">
        <v>1</v>
      </c>
      <c r="G1169" s="146" t="n">
        <v>90000</v>
      </c>
      <c r="H1169" s="146" t="n">
        <v>0</v>
      </c>
      <c r="I1169" s="269" t="inlineStr">
        <is>
          <t>기타 가공식품</t>
        </is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  <c r="I1170" s="269" t="inlineStr">
        <is>
          <t>복숭아</t>
        </is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  <c r="I1171" s="269" t="inlineStr">
        <is>
          <t>토마토</t>
        </is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  <c r="I1172" s="269" t="inlineStr">
        <is>
          <t>토마토</t>
        </is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  <c r="I1173" s="269" t="inlineStr">
        <is>
          <t>토마토</t>
        </is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  <c r="I1174" s="269" t="inlineStr">
        <is>
          <t>토마토</t>
        </is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  <c r="I1175" s="269" t="inlineStr">
        <is>
          <t>채소류(상추, 쌈채소 등)</t>
        </is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  <c r="I1176" s="269" t="inlineStr">
        <is>
          <t>채소류(상추, 쌈채소 등)</t>
        </is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  <c r="I1177" s="269" t="inlineStr">
        <is>
          <t>채소류(상추, 쌈채소 등)</t>
        </is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  <c r="I1178" s="269" t="inlineStr">
        <is>
          <t>채소류(상추, 쌈채소 등)</t>
        </is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 1개</t>
        </is>
      </c>
      <c r="F1179" s="76" t="n">
        <v>0</v>
      </c>
      <c r="G1179" s="146" t="n">
        <v>0</v>
      </c>
      <c r="H1179" s="146" t="n">
        <v>0</v>
      </c>
      <c r="I1179" s="269" t="inlineStr">
        <is>
          <t>기타 농산물</t>
        </is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 2kg</t>
        </is>
      </c>
      <c r="F1180" s="76" t="n">
        <v>30</v>
      </c>
      <c r="G1180" s="146" t="n">
        <v>599700</v>
      </c>
      <c r="H1180" s="146" t="n">
        <v>33980</v>
      </c>
      <c r="I1180" s="269" t="inlineStr">
        <is>
          <t>토마토</t>
        </is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  <c r="I1181" s="269" t="inlineStr">
        <is>
          <t>기타 가공식품</t>
        </is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  <c r="I1182" s="269" t="inlineStr">
        <is>
          <t>기타 가공식품</t>
        </is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  <c r="I1183" s="269" t="inlineStr">
        <is>
          <t>기타 가공식품</t>
        </is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  <c r="I1184" s="269" t="inlineStr">
        <is>
          <t>기타 가공식품</t>
        </is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n">
        <v>0</v>
      </c>
      <c r="I1185" s="269" t="inlineStr">
        <is>
          <t>기타 가공식품</t>
        </is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  <c r="I1186" s="269" t="inlineStr">
        <is>
          <t>기타 가공식품</t>
        </is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  <c r="I1187" s="269" t="inlineStr">
        <is>
          <t>기타 가공식품</t>
        </is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  <c r="I1188" s="269" t="inlineStr">
        <is>
          <t>기타 가공식품</t>
        </is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n">
        <v>0</v>
      </c>
      <c r="I1189" s="269" t="inlineStr">
        <is>
          <t>기타 가공식품</t>
        </is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  <c r="I1190" s="269" t="inlineStr">
        <is>
          <t>기타 가공식품</t>
        </is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  <c r="I1191" s="269" t="inlineStr">
        <is>
          <t>기타 가공식품</t>
        </is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  <c r="I1192" s="269" t="inlineStr">
        <is>
          <t>기타 가공식품</t>
        </is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n">
        <v>0</v>
      </c>
      <c r="H1193" s="146" t="n">
        <v>0</v>
      </c>
      <c r="I1193" s="269" t="inlineStr">
        <is>
          <t>기타 가공식품</t>
        </is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  <c r="I1194" s="269" t="inlineStr">
        <is>
          <t>기타 농산물</t>
        </is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  <c r="I1195" s="269" t="inlineStr">
        <is>
          <t>기타 농산물</t>
        </is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  <c r="I1196" s="269" t="inlineStr">
        <is>
          <t>쌀 및 잡곡류</t>
        </is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n">
        <v>0</v>
      </c>
      <c r="H1197" s="146" t="n">
        <v>0</v>
      </c>
      <c r="I1197" s="269" t="inlineStr">
        <is>
          <t>기타 농산물</t>
        </is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  <c r="I1198" s="269" t="inlineStr">
        <is>
          <t>기타 농산물</t>
        </is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  <c r="I1199" s="269" t="inlineStr">
        <is>
          <t>복숭아</t>
        </is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n">
        <v>0</v>
      </c>
      <c r="H1200" s="146" t="n">
        <v>0</v>
      </c>
      <c r="I1200" s="269" t="inlineStr">
        <is>
          <t>기타 가공식품</t>
        </is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  <c r="I1201" s="269" t="inlineStr">
        <is>
          <t>기타 가공식품</t>
        </is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n">
        <v>0</v>
      </c>
      <c r="H1202" s="146" t="n">
        <v>0</v>
      </c>
      <c r="I1202" s="269" t="inlineStr">
        <is>
          <t>기타 가공식품</t>
        </is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n">
        <v>0</v>
      </c>
      <c r="H1203" s="146" t="n">
        <v>0</v>
      </c>
      <c r="I1203" s="269" t="inlineStr">
        <is>
          <t>기타 가공식품</t>
        </is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  <c r="I1204" s="269" t="inlineStr">
        <is>
          <t>기타 가공식품</t>
        </is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  <c r="I1205" s="269" t="inlineStr">
        <is>
          <t>기타 가공식품</t>
        </is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n">
        <v>0</v>
      </c>
      <c r="H1206" s="146" t="n">
        <v>0</v>
      </c>
      <c r="I1206" s="269" t="inlineStr">
        <is>
          <t>기타 가공식품</t>
        </is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  <c r="I1207" s="269" t="inlineStr">
        <is>
          <t>기타 가공식품</t>
        </is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 4kg</t>
        </is>
      </c>
      <c r="F1208" s="76" t="n">
        <v>14</v>
      </c>
      <c r="G1208" s="146" t="n">
        <v>386510</v>
      </c>
      <c r="H1208" s="146" t="n">
        <v>17390</v>
      </c>
      <c r="I1208" s="269" t="inlineStr">
        <is>
          <t>복숭아</t>
        </is>
      </c>
    </row>
    <row r="1209" hidden="1" s="21">
      <c r="A1209" s="24" t="inlineStr">
        <is>
          <t>네이버</t>
        </is>
      </c>
      <c r="B1209" s="24" t="inlineStr">
        <is>
          <t>가공식품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 1kg</t>
        </is>
      </c>
      <c r="F1209" s="76" t="n">
        <v>70</v>
      </c>
      <c r="G1209" s="146" t="n">
        <v>1388480</v>
      </c>
      <c r="H1209" s="146" t="n">
        <v>262950</v>
      </c>
      <c r="I1209" s="269" t="inlineStr">
        <is>
          <t>기타 가공식품</t>
        </is>
      </c>
    </row>
    <row r="1210" hidden="1" s="21">
      <c r="A1210" s="24" t="inlineStr">
        <is>
          <t>네이버</t>
        </is>
      </c>
      <c r="B1210" s="24" t="inlineStr">
        <is>
          <t>가공식품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n">
        <v>0</v>
      </c>
      <c r="H1210" s="146" t="n">
        <v>0</v>
      </c>
      <c r="I1210" s="269" t="inlineStr">
        <is>
          <t>기타 가공식품</t>
        </is>
      </c>
    </row>
    <row r="1211" hidden="1" s="21">
      <c r="A1211" s="24" t="inlineStr">
        <is>
          <t>네이버</t>
        </is>
      </c>
      <c r="B1211" s="24" t="inlineStr">
        <is>
          <t>가공식품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  <c r="I1211" s="269" t="inlineStr">
        <is>
          <t>기타 가공식품</t>
        </is>
      </c>
    </row>
    <row r="1212" hidden="1" s="21">
      <c r="A1212" s="24" t="inlineStr">
        <is>
          <t>네이버</t>
        </is>
      </c>
      <c r="B1212" s="24" t="inlineStr">
        <is>
          <t>가공식품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 특대과 특판전! 14과 (물복 딱복 부드러운 말랭이 말랑이 말랭 말랑 딱딱이 아삭이 털 복숭아) 4kg</t>
        </is>
      </c>
      <c r="F1212" s="76" t="n">
        <v>0</v>
      </c>
      <c r="G1212" s="146" t="n">
        <v>0</v>
      </c>
      <c r="H1212" s="146" t="n">
        <v>0</v>
      </c>
      <c r="I1212" s="269" t="inlineStr">
        <is>
          <t>기타 가공식품</t>
        </is>
      </c>
    </row>
    <row r="1213" hidden="1" s="21">
      <c r="A1213" s="24" t="inlineStr">
        <is>
          <t>네이버</t>
        </is>
      </c>
      <c r="B1213" s="24" t="inlineStr">
        <is>
          <t>가공식품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  <c r="I1213" s="269" t="inlineStr">
        <is>
          <t>기타 가공식품</t>
        </is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n">
        <v>0</v>
      </c>
      <c r="H1214" s="146" t="n">
        <v>0</v>
      </c>
      <c r="I1214" s="269" t="inlineStr">
        <is>
          <t>복숭아</t>
        </is>
      </c>
    </row>
    <row r="1215" hidden="1" s="21">
      <c r="A1215" s="24" t="inlineStr">
        <is>
          <t>네이버</t>
        </is>
      </c>
      <c r="B1215" s="24" t="inlineStr">
        <is>
          <t>가공식품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 1개</t>
        </is>
      </c>
      <c r="F1215" s="76" t="n">
        <v>0</v>
      </c>
      <c r="G1215" s="146" t="n">
        <v>0</v>
      </c>
      <c r="H1215" s="146" t="n">
        <v>0</v>
      </c>
      <c r="I1215" s="269" t="inlineStr">
        <is>
          <t>기타 가공식품</t>
        </is>
      </c>
    </row>
    <row r="1216" hidden="1" s="21">
      <c r="A1216" s="24" t="inlineStr">
        <is>
          <t>네이버</t>
        </is>
      </c>
      <c r="B1216" s="24" t="inlineStr">
        <is>
          <t>가공식품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 1개</t>
        </is>
      </c>
      <c r="F1216" s="76" t="n">
        <v>0</v>
      </c>
      <c r="G1216" s="146" t="n">
        <v>0</v>
      </c>
      <c r="H1216" s="146" t="n">
        <v>0</v>
      </c>
      <c r="I1216" s="269" t="inlineStr">
        <is>
          <t>기타 가공식품</t>
        </is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n">
        <v>0</v>
      </c>
      <c r="H1217" s="146" t="n">
        <v>0</v>
      </c>
      <c r="I1217" s="269" t="inlineStr">
        <is>
          <t>기타 농산물</t>
        </is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  <c r="I1218" s="269" t="inlineStr">
        <is>
          <t>복숭아</t>
        </is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  <c r="I1219" s="269" t="inlineStr">
        <is>
          <t>토마토</t>
        </is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  <c r="I1220" s="269" t="inlineStr">
        <is>
          <t>자두</t>
        </is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 3kg 5kg GAP</t>
        </is>
      </c>
      <c r="F1221" s="76" t="n">
        <v>351</v>
      </c>
      <c r="G1221" s="146" t="n">
        <v>15124760</v>
      </c>
      <c r="H1221" s="146" t="n">
        <v>1106700</v>
      </c>
      <c r="I1221" s="269" t="inlineStr">
        <is>
          <t>자두</t>
        </is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  <c r="I1222" s="269" t="inlineStr">
        <is>
          <t>복숭아</t>
        </is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n">
        <v>0</v>
      </c>
      <c r="I1223" s="269" t="inlineStr">
        <is>
          <t>복숭아</t>
        </is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  <c r="I1224" s="269" t="inlineStr">
        <is>
          <t>기타 가공식품</t>
        </is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n">
        <v>0</v>
      </c>
      <c r="H1225" s="146" t="n">
        <v>0</v>
      </c>
      <c r="I1225" s="269" t="inlineStr">
        <is>
          <t>기타 가공식품</t>
        </is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n">
        <v>0</v>
      </c>
      <c r="H1226" s="146" t="n">
        <v>0</v>
      </c>
      <c r="I1226" s="269" t="inlineStr">
        <is>
          <t>기타 가공식품</t>
        </is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  <c r="I1227" s="269" t="inlineStr">
        <is>
          <t>기타 가공식품</t>
        </is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n">
        <v>0</v>
      </c>
      <c r="I1228" s="269" t="inlineStr">
        <is>
          <t>기타 가공식품</t>
        </is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  <c r="I1229" s="269" t="inlineStr">
        <is>
          <t>기타 가공식품</t>
        </is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n">
        <v>0</v>
      </c>
      <c r="H1230" s="146" t="n">
        <v>0</v>
      </c>
      <c r="I1230" s="269" t="inlineStr">
        <is>
          <t>기타 가공식품</t>
        </is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  <c r="I1231" s="269" t="inlineStr">
        <is>
          <t>기타 가공식품</t>
        </is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n">
        <v>0</v>
      </c>
      <c r="H1232" s="146" t="n">
        <v>0</v>
      </c>
      <c r="I1232" s="269" t="inlineStr">
        <is>
          <t>기타 가공식품</t>
        </is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n">
        <v>0</v>
      </c>
      <c r="I1233" s="269" t="inlineStr">
        <is>
          <t>기타 가공식품</t>
        </is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n">
        <v>0</v>
      </c>
      <c r="H1234" s="146" t="n">
        <v>0</v>
      </c>
      <c r="I1234" s="269" t="inlineStr">
        <is>
          <t>기타 가공식품</t>
        </is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n">
        <v>0</v>
      </c>
      <c r="I1235" s="269" t="inlineStr">
        <is>
          <t>기타 가공식품</t>
        </is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  <c r="I1236" s="269" t="inlineStr">
        <is>
          <t>기타 가공식품</t>
        </is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  <c r="I1237" s="269" t="inlineStr">
        <is>
          <t>기타 가공식품</t>
        </is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n">
        <v>0</v>
      </c>
      <c r="H1238" s="146" t="n">
        <v>0</v>
      </c>
      <c r="I1238" s="269" t="inlineStr">
        <is>
          <t>기타 가공식품</t>
        </is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n">
        <v>0</v>
      </c>
      <c r="I1239" s="269" t="inlineStr">
        <is>
          <t>기타 가공식품</t>
        </is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  <c r="I1240" s="269" t="inlineStr">
        <is>
          <t>기타 가공식품</t>
        </is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  <c r="I1241" s="269" t="inlineStr">
        <is>
          <t>기타 가공식품</t>
        </is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  <c r="I1242" s="269" t="inlineStr">
        <is>
          <t>기타 가공식품</t>
        </is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 여름  가을  겨울  아침  오후  밤</t>
        </is>
      </c>
      <c r="F1243" s="76" t="n">
        <v>3</v>
      </c>
      <c r="G1243" s="146" t="n">
        <v>137900</v>
      </c>
      <c r="H1243" s="146" t="n">
        <v>7880</v>
      </c>
      <c r="I1243" s="269" t="inlineStr">
        <is>
          <t>기타 가공식품</t>
        </is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 여름  가을  겨울_프리미엄 티하우스 시즌드시즌 '사계'티</t>
        </is>
      </c>
      <c r="F1244" s="76" t="n">
        <v>2</v>
      </c>
      <c r="G1244" s="146" t="n">
        <v>58000</v>
      </c>
      <c r="H1244" s="146" t="n">
        <v>0</v>
      </c>
      <c r="I1244" s="269" t="inlineStr">
        <is>
          <t>기타 가공식품</t>
        </is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 오후  밤- 시즌드시즌 '하루'티</t>
        </is>
      </c>
      <c r="F1245" s="76" t="n">
        <v>3</v>
      </c>
      <c r="G1245" s="146" t="n">
        <v>87000</v>
      </c>
      <c r="H1245" s="146" t="n">
        <v>0</v>
      </c>
      <c r="I1245" s="269" t="inlineStr">
        <is>
          <t>기타 가공식품</t>
        </is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  <c r="I1246" s="269" t="inlineStr">
        <is>
          <t>즙/주스류(양파즙, 토마토즙 등)</t>
        </is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n">
        <v>0</v>
      </c>
      <c r="H1247" s="146" t="n">
        <v>0</v>
      </c>
      <c r="I1247" s="269" t="inlineStr">
        <is>
          <t>기타 가공식품</t>
        </is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 100g  1개</t>
        </is>
      </c>
      <c r="F1248" s="76" t="n">
        <v>5</v>
      </c>
      <c r="G1248" s="146" t="n">
        <v>71600</v>
      </c>
      <c r="H1248" s="146" t="n">
        <v>0</v>
      </c>
      <c r="I1248" s="269" t="inlineStr">
        <is>
          <t>기타 가공식품</t>
        </is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 100g  1개</t>
        </is>
      </c>
      <c r="F1249" s="76" t="n">
        <v>2</v>
      </c>
      <c r="G1249" s="146" t="n">
        <v>25920</v>
      </c>
      <c r="H1249" s="146" t="n">
        <v>3890</v>
      </c>
      <c r="I1249" s="269" t="inlineStr">
        <is>
          <t>기타 가공식품</t>
        </is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 100g  1개</t>
        </is>
      </c>
      <c r="F1250" s="76" t="n">
        <v>1</v>
      </c>
      <c r="G1250" s="146" t="n">
        <v>6480</v>
      </c>
      <c r="H1250" s="146" t="n">
        <v>0</v>
      </c>
      <c r="I1250" s="269" t="inlineStr">
        <is>
          <t>기타 가공식품</t>
        </is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 100g  1개</t>
        </is>
      </c>
      <c r="F1251" s="76" t="n">
        <v>4</v>
      </c>
      <c r="G1251" s="146" t="n">
        <v>24480</v>
      </c>
      <c r="H1251" s="146" t="n">
        <v>0</v>
      </c>
      <c r="I1251" s="269" t="inlineStr">
        <is>
          <t>기타 가공식품</t>
        </is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 100g  1개</t>
        </is>
      </c>
      <c r="F1252" s="76" t="n">
        <v>1</v>
      </c>
      <c r="G1252" s="146" t="n">
        <v>6480</v>
      </c>
      <c r="H1252" s="146" t="n">
        <v>0</v>
      </c>
      <c r="I1252" s="269" t="inlineStr">
        <is>
          <t>기타 가공식품</t>
        </is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n">
        <v>0</v>
      </c>
      <c r="I1253" s="269" t="inlineStr">
        <is>
          <t>기타 가공식품</t>
        </is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  <c r="I1254" s="269" t="inlineStr">
        <is>
          <t>채소류(상추, 쌈채소 등)</t>
        </is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 1개</t>
        </is>
      </c>
      <c r="F1255" s="76" t="n">
        <v>34</v>
      </c>
      <c r="G1255" s="146" t="n">
        <v>1555000</v>
      </c>
      <c r="H1255" s="146" t="n">
        <v>295000</v>
      </c>
      <c r="I1255" s="269" t="inlineStr">
        <is>
          <t>채소류(상추, 쌈채소 등)</t>
        </is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 1개</t>
        </is>
      </c>
      <c r="F1256" s="76" t="n">
        <v>3</v>
      </c>
      <c r="G1256" s="146" t="n">
        <v>28000</v>
      </c>
      <c r="H1256" s="146" t="n">
        <v>0</v>
      </c>
      <c r="I1256" s="269" t="inlineStr">
        <is>
          <t>채소류(상추, 쌈채소 등)</t>
        </is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 1개</t>
        </is>
      </c>
      <c r="F1257" s="76" t="n">
        <v>2</v>
      </c>
      <c r="G1257" s="146" t="n">
        <v>14000</v>
      </c>
      <c r="H1257" s="146" t="n">
        <v>0</v>
      </c>
      <c r="I1257" s="269" t="inlineStr">
        <is>
          <t>채소류(상추, 쌈채소 등)</t>
        </is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 1개</t>
        </is>
      </c>
      <c r="F1258" s="76" t="n">
        <v>20</v>
      </c>
      <c r="G1258" s="146" t="n">
        <v>770000</v>
      </c>
      <c r="H1258" s="146" t="n">
        <v>125940</v>
      </c>
      <c r="I1258" s="269" t="inlineStr">
        <is>
          <t>기타 농산물</t>
        </is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 1개</t>
        </is>
      </c>
      <c r="F1259" s="76" t="n">
        <v>8</v>
      </c>
      <c r="G1259" s="146" t="n">
        <v>144000</v>
      </c>
      <c r="H1259" s="146" t="n">
        <v>17400</v>
      </c>
      <c r="I1259" s="269" t="inlineStr">
        <is>
          <t>기타 농산물</t>
        </is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 1개</t>
        </is>
      </c>
      <c r="F1260" s="76" t="n">
        <v>1</v>
      </c>
      <c r="G1260" s="146" t="n">
        <v>5000</v>
      </c>
      <c r="H1260" s="146" t="n">
        <v>0</v>
      </c>
      <c r="I1260" s="269" t="inlineStr">
        <is>
          <t>기타 농산물</t>
        </is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 1개</t>
        </is>
      </c>
      <c r="F1261" s="76" t="n">
        <v>6</v>
      </c>
      <c r="G1261" s="146" t="n">
        <v>27000</v>
      </c>
      <c r="H1261" s="146" t="n">
        <v>0</v>
      </c>
      <c r="I1261" s="269" t="inlineStr">
        <is>
          <t>기타 농산물</t>
        </is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 1개</t>
        </is>
      </c>
      <c r="F1262" s="76" t="n">
        <v>0</v>
      </c>
      <c r="G1262" s="146" t="n">
        <v>0</v>
      </c>
      <c r="H1262" s="146" t="n">
        <v>0</v>
      </c>
      <c r="I1262" s="269" t="inlineStr">
        <is>
          <t>채소류(상추, 쌈채소 등)</t>
        </is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 1개</t>
        </is>
      </c>
      <c r="F1263" s="76" t="n">
        <v>0</v>
      </c>
      <c r="G1263" s="146" t="n">
        <v>0</v>
      </c>
      <c r="H1263" s="146" t="n">
        <v>0</v>
      </c>
      <c r="I1263" s="269" t="inlineStr">
        <is>
          <t>채소류(상추, 쌈채소 등)</t>
        </is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 1개</t>
        </is>
      </c>
      <c r="F1264" s="76" t="n">
        <v>1</v>
      </c>
      <c r="G1264" s="146" t="n">
        <v>9000</v>
      </c>
      <c r="H1264" s="146" t="n">
        <v>0</v>
      </c>
      <c r="I1264" s="269" t="inlineStr">
        <is>
          <t>채소류(상추, 쌈채소 등)</t>
        </is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 1개</t>
        </is>
      </c>
      <c r="F1265" s="76" t="n">
        <v>0</v>
      </c>
      <c r="G1265" s="146" t="n">
        <v>0</v>
      </c>
      <c r="H1265" s="146" t="n">
        <v>0</v>
      </c>
      <c r="I1265" s="269" t="inlineStr">
        <is>
          <t>채소류(상추, 쌈채소 등)</t>
        </is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 1개</t>
        </is>
      </c>
      <c r="F1266" s="76" t="n">
        <v>9</v>
      </c>
      <c r="G1266" s="146" t="n">
        <v>390000</v>
      </c>
      <c r="H1266" s="146" t="n">
        <v>66000</v>
      </c>
      <c r="I1266" s="269" t="inlineStr">
        <is>
          <t>기타 농산물</t>
        </is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 1개</t>
        </is>
      </c>
      <c r="F1267" s="76" t="n">
        <v>5</v>
      </c>
      <c r="G1267" s="146" t="n">
        <v>117000</v>
      </c>
      <c r="H1267" s="146" t="n">
        <v>12800</v>
      </c>
      <c r="I1267" s="269" t="inlineStr">
        <is>
          <t>기타 농산물</t>
        </is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 1개</t>
        </is>
      </c>
      <c r="F1268" s="76" t="n">
        <v>5</v>
      </c>
      <c r="G1268" s="146" t="n">
        <v>103000</v>
      </c>
      <c r="H1268" s="146" t="n">
        <v>10000</v>
      </c>
      <c r="I1268" s="269" t="inlineStr">
        <is>
          <t>기타 농산물</t>
        </is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 1개</t>
        </is>
      </c>
      <c r="F1269" s="76" t="n">
        <v>1</v>
      </c>
      <c r="G1269" s="146" t="n">
        <v>4500</v>
      </c>
      <c r="H1269" s="146" t="n">
        <v>0</v>
      </c>
      <c r="I1269" s="269" t="inlineStr">
        <is>
          <t>기타 농산물</t>
        </is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 1개</t>
        </is>
      </c>
      <c r="F1270" s="76" t="n">
        <v>16</v>
      </c>
      <c r="G1270" s="146" t="n">
        <v>206000</v>
      </c>
      <c r="H1270" s="146" t="n">
        <v>12000</v>
      </c>
      <c r="I1270" s="269" t="inlineStr">
        <is>
          <t>기타 농산물</t>
        </is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 1개</t>
        </is>
      </c>
      <c r="F1271" s="76" t="n">
        <v>42</v>
      </c>
      <c r="G1271" s="146" t="n">
        <v>1030000</v>
      </c>
      <c r="H1271" s="146" t="n">
        <v>126300</v>
      </c>
      <c r="I1271" s="269" t="inlineStr">
        <is>
          <t>기타 농산물</t>
        </is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 1개</t>
        </is>
      </c>
      <c r="F1272" s="76" t="n">
        <v>85</v>
      </c>
      <c r="G1272" s="146" t="n">
        <v>3276000</v>
      </c>
      <c r="H1272" s="146" t="n">
        <v>511400</v>
      </c>
      <c r="I1272" s="269" t="inlineStr">
        <is>
          <t>기타 농산물</t>
        </is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 1개</t>
        </is>
      </c>
      <c r="F1273" s="76" t="n">
        <v>29</v>
      </c>
      <c r="G1273" s="146" t="n">
        <v>1552000</v>
      </c>
      <c r="H1273" s="146" t="n">
        <v>119800</v>
      </c>
      <c r="I1273" s="269" t="inlineStr">
        <is>
          <t>채소류(상추, 쌈채소 등)</t>
        </is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 1개</t>
        </is>
      </c>
      <c r="F1274" s="76" t="n">
        <v>21</v>
      </c>
      <c r="G1274" s="146" t="n">
        <v>246000</v>
      </c>
      <c r="H1274" s="146" t="n">
        <v>19000</v>
      </c>
      <c r="I1274" s="269" t="inlineStr">
        <is>
          <t>채소류(상추, 쌈채소 등)</t>
        </is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 1개</t>
        </is>
      </c>
      <c r="F1275" s="76" t="n">
        <v>16</v>
      </c>
      <c r="G1275" s="146" t="n">
        <v>107000</v>
      </c>
      <c r="H1275" s="146" t="n">
        <v>2200</v>
      </c>
      <c r="I1275" s="269" t="inlineStr">
        <is>
          <t>채소류(상추, 쌈채소 등)</t>
        </is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  <c r="I1276" s="269" t="inlineStr">
        <is>
          <t>기타 가공식품</t>
        </is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  <c r="I1277" s="269" t="inlineStr">
        <is>
          <t>채소류(상추, 쌈채소 등)</t>
        </is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  <c r="I1278" s="269" t="inlineStr">
        <is>
          <t>채소류(상추, 쌈채소 등)</t>
        </is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 청로메인 500g 1kg 농장직송 당일수확</t>
        </is>
      </c>
      <c r="F1279" s="76" t="n">
        <v>74</v>
      </c>
      <c r="G1279" s="146" t="n">
        <v>1197000</v>
      </c>
      <c r="H1279" s="146" t="n">
        <v>96400</v>
      </c>
      <c r="I1279" s="269" t="inlineStr">
        <is>
          <t>기타 농산물</t>
        </is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 1개</t>
        </is>
      </c>
      <c r="F1280" s="76" t="n">
        <v>4</v>
      </c>
      <c r="G1280" s="146" t="n">
        <v>30000</v>
      </c>
      <c r="H1280" s="146" t="n">
        <v>0</v>
      </c>
      <c r="I1280" s="269" t="inlineStr">
        <is>
          <t>기타 농산물</t>
        </is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 1개</t>
        </is>
      </c>
      <c r="F1281" s="76" t="n">
        <v>12</v>
      </c>
      <c r="G1281" s="146" t="n">
        <v>274000</v>
      </c>
      <c r="H1281" s="146" t="n">
        <v>15000</v>
      </c>
      <c r="I1281" s="269" t="inlineStr">
        <is>
          <t>기타 농산물</t>
        </is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 1개</t>
        </is>
      </c>
      <c r="F1282" s="76" t="n">
        <v>62</v>
      </c>
      <c r="G1282" s="146" t="n">
        <v>2864000</v>
      </c>
      <c r="H1282" s="146" t="n">
        <v>352600</v>
      </c>
      <c r="I1282" s="269" t="inlineStr">
        <is>
          <t>기타 농산물</t>
        </is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  <c r="I1283" s="269" t="inlineStr">
        <is>
          <t>기타 농산물</t>
        </is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n">
        <v>0</v>
      </c>
      <c r="I1284" s="269" t="inlineStr">
        <is>
          <t>기타 농산물</t>
        </is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 1개</t>
        </is>
      </c>
      <c r="F1285" s="76" t="n">
        <v>35</v>
      </c>
      <c r="G1285" s="146" t="n">
        <v>353500</v>
      </c>
      <c r="H1285" s="146" t="n">
        <v>8200</v>
      </c>
      <c r="I1285" s="269" t="inlineStr">
        <is>
          <t>채소류(상추, 쌈채소 등)</t>
        </is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  <c r="I1286" s="269" t="inlineStr">
        <is>
          <t>버섯</t>
        </is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  <c r="I1287" s="269" t="inlineStr">
        <is>
          <t>버섯</t>
        </is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n">
        <v>0</v>
      </c>
      <c r="H1288" s="146" t="n">
        <v>0</v>
      </c>
      <c r="I1288" s="269" t="inlineStr">
        <is>
          <t>토마토</t>
        </is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  <c r="I1289" s="269" t="inlineStr">
        <is>
          <t>기타 가공식품</t>
        </is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  <c r="I1290" s="269" t="inlineStr">
        <is>
          <t>기타 가공식품</t>
        </is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  <c r="I1291" s="269" t="inlineStr">
        <is>
          <t>기타 가공식품</t>
        </is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  <c r="I1292" s="269" t="inlineStr">
        <is>
          <t>기타 가공식품</t>
        </is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  <c r="I1293" s="269" t="inlineStr">
        <is>
          <t>기타 가공식품</t>
        </is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 1개</t>
        </is>
      </c>
      <c r="F1294" s="76" t="n">
        <v>12</v>
      </c>
      <c r="G1294" s="146" t="n">
        <v>195000</v>
      </c>
      <c r="H1294" s="146" t="n">
        <v>6000</v>
      </c>
      <c r="I1294" s="269" t="inlineStr">
        <is>
          <t>기타 가공식품</t>
        </is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 1개</t>
        </is>
      </c>
      <c r="F1295" s="76" t="n">
        <v>2</v>
      </c>
      <c r="G1295" s="146" t="n">
        <v>30000</v>
      </c>
      <c r="H1295" s="146" t="n">
        <v>3000</v>
      </c>
      <c r="I1295" s="269" t="inlineStr">
        <is>
          <t>기타 가공식품</t>
        </is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  <c r="I1296" s="269" t="inlineStr">
        <is>
          <t>기타 가공식품</t>
        </is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 1개</t>
        </is>
      </c>
      <c r="F1297" s="76" t="n">
        <v>4</v>
      </c>
      <c r="G1297" s="146" t="n">
        <v>120000</v>
      </c>
      <c r="H1297" s="146" t="n">
        <v>8940</v>
      </c>
      <c r="I1297" s="269" t="inlineStr">
        <is>
          <t>기타 가공식품</t>
        </is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 1개</t>
        </is>
      </c>
      <c r="F1298" s="76" t="n">
        <v>4</v>
      </c>
      <c r="G1298" s="146" t="n">
        <v>59000</v>
      </c>
      <c r="H1298" s="146" t="n">
        <v>0</v>
      </c>
      <c r="I1298" s="269" t="inlineStr">
        <is>
          <t>기타 가공식품</t>
        </is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n">
        <v>0</v>
      </c>
      <c r="I1299" s="269" t="inlineStr">
        <is>
          <t>기타 가공식품</t>
        </is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  <c r="I1300" s="269" t="inlineStr">
        <is>
          <t>기타 가공식품</t>
        </is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  <c r="I1301" s="269" t="inlineStr">
        <is>
          <t>기타 가공식품</t>
        </is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  <c r="I1302" s="269" t="inlineStr">
        <is>
          <t>기타 가공식품</t>
        </is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n">
        <v>0</v>
      </c>
      <c r="H1303" s="146" t="n">
        <v>0</v>
      </c>
      <c r="I1303" s="269" t="inlineStr">
        <is>
          <t>기타 가공식품</t>
        </is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  <c r="I1304" s="269" t="inlineStr">
        <is>
          <t>쌀 및 잡곡류</t>
        </is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n">
        <v>0</v>
      </c>
      <c r="H1305" s="146" t="n">
        <v>0</v>
      </c>
      <c r="I1305" s="269" t="inlineStr">
        <is>
          <t>쌀 및 잡곡류</t>
        </is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n">
        <v>0</v>
      </c>
      <c r="H1306" s="146" t="n">
        <v>0</v>
      </c>
      <c r="I1306" s="269" t="inlineStr">
        <is>
          <t>쌀 및 잡곡류</t>
        </is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n">
        <v>0</v>
      </c>
      <c r="H1307" s="146" t="n">
        <v>0</v>
      </c>
      <c r="I1307" s="269" t="inlineStr">
        <is>
          <t>채소류(상추, 쌈채소 등)</t>
        </is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n">
        <v>0</v>
      </c>
      <c r="I1308" s="269" t="inlineStr">
        <is>
          <t>쌀 및 잡곡류</t>
        </is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n">
        <v>0</v>
      </c>
      <c r="H1309" s="146" t="n">
        <v>0</v>
      </c>
      <c r="I1309" s="269" t="inlineStr">
        <is>
          <t>복숭아</t>
        </is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n">
        <v>0</v>
      </c>
      <c r="H1310" s="146" t="n">
        <v>0</v>
      </c>
      <c r="I1310" s="269" t="inlineStr">
        <is>
          <t>기타 가공식품</t>
        </is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n">
        <v>0</v>
      </c>
      <c r="H1311" s="146" t="n">
        <v>0</v>
      </c>
      <c r="I1311" s="269" t="inlineStr">
        <is>
          <t>기타 가공식품</t>
        </is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n">
        <v>0</v>
      </c>
      <c r="H1312" s="146" t="n">
        <v>0</v>
      </c>
      <c r="I1312" s="269" t="inlineStr">
        <is>
          <t>채소류(상추, 쌈채소 등)</t>
        </is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  <c r="I1313" s="269" t="inlineStr">
        <is>
          <t>채소류(상추, 쌈채소 등)</t>
        </is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  <c r="I1314" s="269" t="inlineStr">
        <is>
          <t>기타 가공식품</t>
        </is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n">
        <v>0</v>
      </c>
      <c r="I1315" s="269" t="inlineStr">
        <is>
          <t>기타 가공식품</t>
        </is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n">
        <v>0</v>
      </c>
      <c r="I1316" s="269" t="inlineStr">
        <is>
          <t>기타 농산물</t>
        </is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  <c r="I1317" s="269" t="inlineStr">
        <is>
          <t>복숭아</t>
        </is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  <c r="I1318" s="269" t="inlineStr">
        <is>
          <t>기타 가공식품</t>
        </is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  <c r="I1319" s="269" t="inlineStr">
        <is>
          <t>기타 가공식품</t>
        </is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 4개</t>
        </is>
      </c>
      <c r="F1320" s="76" t="n">
        <v>38</v>
      </c>
      <c r="G1320" s="146" t="n">
        <v>456000</v>
      </c>
      <c r="H1320" s="146" t="n">
        <v>33600</v>
      </c>
      <c r="I1320" s="269" t="inlineStr">
        <is>
          <t>기타 가공식품</t>
        </is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 10개</t>
        </is>
      </c>
      <c r="F1321" s="76" t="n">
        <v>247</v>
      </c>
      <c r="G1321" s="146" t="n">
        <v>7084000</v>
      </c>
      <c r="H1321" s="146" t="n">
        <v>724940</v>
      </c>
      <c r="I1321" s="269" t="inlineStr">
        <is>
          <t>기타 가공식품</t>
        </is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n">
        <v>0</v>
      </c>
      <c r="I1322" s="269" t="inlineStr">
        <is>
          <t>복숭아</t>
        </is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 1개</t>
        </is>
      </c>
      <c r="F1323" s="76" t="n">
        <v>24</v>
      </c>
      <c r="G1323" s="146" t="n">
        <v>356400</v>
      </c>
      <c r="H1323" s="146" t="n">
        <v>13860</v>
      </c>
      <c r="I1323" s="269" t="inlineStr">
        <is>
          <t>버섯</t>
        </is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 3개</t>
        </is>
      </c>
      <c r="F1324" s="76" t="n">
        <v>43</v>
      </c>
      <c r="G1324" s="146" t="n">
        <v>1149200</v>
      </c>
      <c r="H1324" s="146" t="n">
        <v>145380</v>
      </c>
      <c r="I1324" s="269" t="inlineStr">
        <is>
          <t>버섯</t>
        </is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 5개</t>
        </is>
      </c>
      <c r="F1325" s="76" t="n">
        <v>110</v>
      </c>
      <c r="G1325" s="146" t="n">
        <v>5041500</v>
      </c>
      <c r="H1325" s="146" t="n">
        <v>693030</v>
      </c>
      <c r="I1325" s="269" t="inlineStr">
        <is>
          <t>버섯</t>
        </is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  <c r="I1326" s="269" t="inlineStr">
        <is>
          <t>버섯</t>
        </is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  <c r="I1327" s="269" t="inlineStr">
        <is>
          <t>즙/주스류(양파즙, 토마토즙 등)</t>
        </is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 1개</t>
        </is>
      </c>
      <c r="F1328" s="76" t="n">
        <v>40</v>
      </c>
      <c r="G1328" s="146" t="n">
        <v>1453500</v>
      </c>
      <c r="H1328" s="146" t="n">
        <v>178600</v>
      </c>
      <c r="I1328" s="269" t="inlineStr">
        <is>
          <t>기타 가공식품</t>
        </is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 1개</t>
        </is>
      </c>
      <c r="F1329" s="76" t="n">
        <v>11</v>
      </c>
      <c r="G1329" s="146" t="n">
        <v>651500</v>
      </c>
      <c r="H1329" s="146" t="n">
        <v>80000</v>
      </c>
      <c r="I1329" s="269" t="inlineStr">
        <is>
          <t>기타 가공식품</t>
        </is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  <c r="I1330" s="269" t="inlineStr">
        <is>
          <t>기타 가공식품</t>
        </is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  <c r="I1331" s="269" t="inlineStr">
        <is>
          <t>기타 가공식품</t>
        </is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 2개</t>
        </is>
      </c>
      <c r="F1332" s="76" t="n">
        <v>8</v>
      </c>
      <c r="G1332" s="146" t="n">
        <v>405000</v>
      </c>
      <c r="H1332" s="146" t="n">
        <v>50000</v>
      </c>
      <c r="I1332" s="269" t="inlineStr">
        <is>
          <t>기타 가공식품</t>
        </is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  <c r="I1333" s="269" t="inlineStr">
        <is>
          <t>즙/주스류(양파즙, 토마토즙 등)</t>
        </is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  <c r="I1334" s="269" t="inlineStr">
        <is>
          <t>기타 가공식품</t>
        </is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 도라지청  도라지차 명절 선물 답례품</t>
        </is>
      </c>
      <c r="F1335" s="76" t="n">
        <v>0</v>
      </c>
      <c r="G1335" s="146" t="n">
        <v>0</v>
      </c>
      <c r="H1335" s="146" t="n">
        <v>0</v>
      </c>
      <c r="I1335" s="269" t="inlineStr">
        <is>
          <t>기타 가공식품</t>
        </is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n">
        <v>0</v>
      </c>
      <c r="H1336" s="146" t="n">
        <v>0</v>
      </c>
      <c r="I1336" s="269" t="inlineStr">
        <is>
          <t>기타 가공식품</t>
        </is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  <c r="I1337" s="269" t="inlineStr">
        <is>
          <t>기타 가공식품</t>
        </is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  <c r="I1338" s="269" t="inlineStr">
        <is>
          <t>기타 가공식품</t>
        </is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  <c r="I1339" s="269" t="inlineStr">
        <is>
          <t>기타 가공식품</t>
        </is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  <c r="I1340" s="269" t="inlineStr">
        <is>
          <t>기타 가공식품</t>
        </is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  <c r="I1341" s="269" t="inlineStr">
        <is>
          <t>즙/주스류(양파즙, 토마토즙 등)</t>
        </is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 1개</t>
        </is>
      </c>
      <c r="F1342" s="76" t="n">
        <v>11</v>
      </c>
      <c r="G1342" s="146" t="n">
        <v>382000</v>
      </c>
      <c r="H1342" s="146" t="n">
        <v>75600</v>
      </c>
      <c r="I1342" s="269" t="inlineStr">
        <is>
          <t>기타 가공식품</t>
        </is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  <c r="I1343" s="269" t="inlineStr">
        <is>
          <t>기타 가공식품</t>
        </is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  <c r="I1344" s="269" t="inlineStr">
        <is>
          <t>기타 가공식품</t>
        </is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  <c r="I1345" s="269" t="inlineStr">
        <is>
          <t>기타 가공식품</t>
        </is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 유기농연잎차</t>
        </is>
      </c>
      <c r="F1346" s="76" t="n">
        <v>3</v>
      </c>
      <c r="G1346" s="146" t="n">
        <v>87200</v>
      </c>
      <c r="H1346" s="146" t="n">
        <v>10000</v>
      </c>
      <c r="I1346" s="269" t="inlineStr">
        <is>
          <t>기타 가공식품</t>
        </is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  <c r="I1347" s="269" t="inlineStr">
        <is>
          <t>기타 가공식품</t>
        </is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  <c r="I1348" s="269" t="inlineStr">
        <is>
          <t>기타 가공식품</t>
        </is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 7g 마리골드 금잔화</t>
        </is>
      </c>
      <c r="F1349" s="76" t="n">
        <v>15</v>
      </c>
      <c r="G1349" s="146" t="n">
        <v>599000</v>
      </c>
      <c r="H1349" s="146" t="n">
        <v>43800</v>
      </c>
      <c r="I1349" s="269" t="inlineStr">
        <is>
          <t>기타 가공식품</t>
        </is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 4g 신이화차</t>
        </is>
      </c>
      <c r="F1350" s="76" t="n">
        <v>2</v>
      </c>
      <c r="G1350" s="146" t="n">
        <v>88700</v>
      </c>
      <c r="H1350" s="146" t="n">
        <v>10000</v>
      </c>
      <c r="I1350" s="269" t="inlineStr">
        <is>
          <t>기타 가공식품</t>
        </is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  2g 블루멜로우티</t>
        </is>
      </c>
      <c r="F1351" s="76" t="n">
        <v>1</v>
      </c>
      <c r="G1351" s="146" t="n">
        <v>25900</v>
      </c>
      <c r="H1351" s="146" t="n">
        <v>5180</v>
      </c>
      <c r="I1351" s="269" t="inlineStr">
        <is>
          <t>기타 가공식품</t>
        </is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  <c r="I1352" s="269" t="inlineStr">
        <is>
          <t>기타 가공식품</t>
        </is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n">
        <v>0</v>
      </c>
      <c r="H1353" s="146" t="n">
        <v>0</v>
      </c>
      <c r="I1353" s="269" t="inlineStr">
        <is>
          <t>기타 가공식품</t>
        </is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n">
        <v>0</v>
      </c>
      <c r="I1354" s="269" t="inlineStr">
        <is>
          <t>기타 가공식품</t>
        </is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  <c r="I1355" s="269" t="inlineStr">
        <is>
          <t>기타 가공식품</t>
        </is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 33g</t>
        </is>
      </c>
      <c r="F1356" s="76" t="n">
        <v>2</v>
      </c>
      <c r="G1356" s="146" t="n">
        <v>119800</v>
      </c>
      <c r="H1356" s="146" t="n">
        <v>10000</v>
      </c>
      <c r="I1356" s="269" t="inlineStr">
        <is>
          <t>기타 가공식품</t>
        </is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n">
        <v>0</v>
      </c>
      <c r="I1357" s="269" t="inlineStr">
        <is>
          <t>기타 가공식품</t>
        </is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n">
        <v>0</v>
      </c>
      <c r="H1358" s="146" t="n">
        <v>0</v>
      </c>
      <c r="I1358" s="269" t="inlineStr">
        <is>
          <t>기타 가공식품</t>
        </is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n">
        <v>0</v>
      </c>
      <c r="I1359" s="269" t="inlineStr">
        <is>
          <t>기타 가공식품</t>
        </is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 당아욱꽃차  목련꽃)</t>
        </is>
      </c>
      <c r="F1360" s="76" t="n">
        <v>4</v>
      </c>
      <c r="G1360" s="146" t="n">
        <v>128000</v>
      </c>
      <c r="H1360" s="146" t="n">
        <v>10000</v>
      </c>
      <c r="I1360" s="269" t="inlineStr">
        <is>
          <t>기타 가공식품</t>
        </is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 당아욱꽃차  목련꽃)</t>
        </is>
      </c>
      <c r="F1361" s="76" t="n">
        <v>1</v>
      </c>
      <c r="G1361" s="146" t="n">
        <v>39200</v>
      </c>
      <c r="H1361" s="146" t="n">
        <v>7840</v>
      </c>
      <c r="I1361" s="269" t="inlineStr">
        <is>
          <t>기타 가공식품</t>
        </is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  <c r="I1362" s="269" t="inlineStr">
        <is>
          <t>기타 가공식품</t>
        </is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n">
        <v>0</v>
      </c>
      <c r="H1363" s="146" t="n">
        <v>0</v>
      </c>
      <c r="I1363" s="269" t="inlineStr">
        <is>
          <t>기타 가공식품</t>
        </is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n">
        <v>0</v>
      </c>
      <c r="H1364" s="146" t="n">
        <v>0</v>
      </c>
      <c r="I1364" s="269" t="inlineStr">
        <is>
          <t>기타 가공식품</t>
        </is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n">
        <v>0</v>
      </c>
      <c r="H1365" s="146" t="n">
        <v>0</v>
      </c>
      <c r="I1365" s="269" t="inlineStr">
        <is>
          <t>기타 가공식품</t>
        </is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  <c r="I1366" s="269" t="inlineStr">
        <is>
          <t>기타 가공식품</t>
        </is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  <c r="I1367" s="269" t="inlineStr">
        <is>
          <t>기타 가공식품</t>
        </is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 4개</t>
        </is>
      </c>
      <c r="F1368" s="76" t="n">
        <v>0</v>
      </c>
      <c r="G1368" s="146" t="n">
        <v>0</v>
      </c>
      <c r="H1368" s="146" t="n">
        <v>0</v>
      </c>
      <c r="I1368" s="269" t="inlineStr">
        <is>
          <t>기타 가공식품</t>
        </is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 10개</t>
        </is>
      </c>
      <c r="F1369" s="76" t="n">
        <v>0</v>
      </c>
      <c r="G1369" s="146" t="n">
        <v>0</v>
      </c>
      <c r="H1369" s="146" t="n">
        <v>0</v>
      </c>
      <c r="I1369" s="269" t="inlineStr">
        <is>
          <t>기타 가공식품</t>
        </is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  <c r="I1370" s="269" t="inlineStr">
        <is>
          <t>기타 농산물</t>
        </is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  <c r="I1371" s="269" t="inlineStr">
        <is>
          <t>채소류(상추, 쌈채소 등)</t>
        </is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  <c r="I1372" s="269" t="inlineStr">
        <is>
          <t>채소류(상추, 쌈채소 등)</t>
        </is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  <c r="I1373" s="269" t="inlineStr">
        <is>
          <t>채소류(상추, 쌈채소 등)</t>
        </is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  <c r="I1374" s="269" t="inlineStr">
        <is>
          <t>기타 가공식품</t>
        </is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 2개</t>
        </is>
      </c>
      <c r="F1375" s="76" t="n">
        <v>9</v>
      </c>
      <c r="G1375" s="146" t="n">
        <v>564300</v>
      </c>
      <c r="H1375" s="146" t="n">
        <v>60000</v>
      </c>
      <c r="I1375" s="269" t="inlineStr">
        <is>
          <t>기타 가공식품</t>
        </is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 3개</t>
        </is>
      </c>
      <c r="F1376" s="76" t="n">
        <v>7</v>
      </c>
      <c r="G1376" s="146" t="n">
        <v>539100</v>
      </c>
      <c r="H1376" s="146" t="n">
        <v>10000</v>
      </c>
      <c r="I1376" s="269" t="inlineStr">
        <is>
          <t>기타 가공식품</t>
        </is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 2개</t>
        </is>
      </c>
      <c r="F1377" s="76" t="n">
        <v>1</v>
      </c>
      <c r="G1377" s="146" t="n">
        <v>123500</v>
      </c>
      <c r="H1377" s="146" t="n">
        <v>10000</v>
      </c>
      <c r="I1377" s="269" t="inlineStr">
        <is>
          <t>기타 가공식품</t>
        </is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 3개</t>
        </is>
      </c>
      <c r="F1378" s="76" t="n">
        <v>0</v>
      </c>
      <c r="G1378" s="146" t="n">
        <v>0</v>
      </c>
      <c r="H1378" s="146" t="n">
        <v>0</v>
      </c>
      <c r="I1378" s="269" t="inlineStr">
        <is>
          <t>기타 가공식품</t>
        </is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 3개</t>
        </is>
      </c>
      <c r="F1379" s="76" t="n">
        <v>1</v>
      </c>
      <c r="G1379" s="146" t="n">
        <v>113400</v>
      </c>
      <c r="H1379" s="146" t="n">
        <v>0</v>
      </c>
      <c r="I1379" s="269" t="inlineStr">
        <is>
          <t>기타 가공식품</t>
        </is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 1개</t>
        </is>
      </c>
      <c r="F1380" s="76" t="n">
        <v>6</v>
      </c>
      <c r="G1380" s="146" t="n">
        <v>332000</v>
      </c>
      <c r="H1380" s="146" t="n">
        <v>10000</v>
      </c>
      <c r="I1380" s="269" t="inlineStr">
        <is>
          <t>기타 가공식품</t>
        </is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 2개</t>
        </is>
      </c>
      <c r="F1381" s="76" t="n">
        <v>0</v>
      </c>
      <c r="G1381" s="146" t="n">
        <v>0</v>
      </c>
      <c r="H1381" s="146" t="n">
        <v>0</v>
      </c>
      <c r="I1381" s="269" t="inlineStr">
        <is>
          <t>기타 가공식품</t>
        </is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 3개</t>
        </is>
      </c>
      <c r="F1382" s="76" t="n">
        <v>1</v>
      </c>
      <c r="G1382" s="146" t="n">
        <v>221400</v>
      </c>
      <c r="H1382" s="146" t="n">
        <v>0</v>
      </c>
      <c r="I1382" s="269" t="inlineStr">
        <is>
          <t>기타 가공식품</t>
        </is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n">
        <v>0</v>
      </c>
      <c r="I1383" s="269" t="inlineStr">
        <is>
          <t>기타 가공식품</t>
        </is>
      </c>
    </row>
    <row r="1384" hidden="1" s="21">
      <c r="A1384" s="24" t="inlineStr">
        <is>
          <t>네이버</t>
        </is>
      </c>
      <c r="B1384" s="24" t="inlineStr">
        <is>
          <t>가공식품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  <c r="I1384" s="269" t="inlineStr">
        <is>
          <t>기타 가공식품</t>
        </is>
      </c>
    </row>
    <row r="1385" hidden="1" s="21">
      <c r="A1385" s="24" t="inlineStr">
        <is>
          <t>네이버</t>
        </is>
      </c>
      <c r="B1385" s="24" t="inlineStr">
        <is>
          <t>가공식품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  <c r="I1385" s="269" t="inlineStr">
        <is>
          <t>기타 가공식품</t>
        </is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  <c r="I1386" s="269" t="inlineStr">
        <is>
          <t>즙/주스류(양파즙, 토마토즙 등)</t>
        </is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  <c r="I1387" s="269" t="inlineStr">
        <is>
          <t>기타 가공식품</t>
        </is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 1개</t>
        </is>
      </c>
      <c r="F1388" s="76" t="n">
        <v>17</v>
      </c>
      <c r="G1388" s="146" t="n">
        <v>960000</v>
      </c>
      <c r="H1388" s="146" t="n">
        <v>77200</v>
      </c>
      <c r="I1388" s="269" t="inlineStr">
        <is>
          <t>즙/주스류(양파즙, 토마토즙 등)</t>
        </is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 1개</t>
        </is>
      </c>
      <c r="F1389" s="76" t="n">
        <v>3</v>
      </c>
      <c r="G1389" s="146" t="n">
        <v>87000</v>
      </c>
      <c r="H1389" s="146" t="n">
        <v>0</v>
      </c>
      <c r="I1389" s="269" t="inlineStr">
        <is>
          <t>즙/주스류(양파즙, 토마토즙 등)</t>
        </is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 1개</t>
        </is>
      </c>
      <c r="F1390" s="76" t="n">
        <v>0</v>
      </c>
      <c r="G1390" s="146" t="n">
        <v>0</v>
      </c>
      <c r="H1390" s="146" t="n">
        <v>0</v>
      </c>
      <c r="I1390" s="269" t="inlineStr">
        <is>
          <t>즙/주스류(양파즙, 토마토즙 등)</t>
        </is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n">
        <v>0</v>
      </c>
      <c r="H1391" s="146" t="n">
        <v>0</v>
      </c>
      <c r="I1391" s="269" t="inlineStr">
        <is>
          <t>기타 가공식품</t>
        </is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  <c r="I1392" s="269" t="inlineStr">
        <is>
          <t>기타 가공식품</t>
        </is>
      </c>
    </row>
    <row r="1393" hidden="1" s="21">
      <c r="A1393" s="24" t="inlineStr">
        <is>
          <t>네이버</t>
        </is>
      </c>
      <c r="B1393" s="24" t="inlineStr">
        <is>
          <t>가공식품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n">
        <v>0</v>
      </c>
      <c r="H1393" s="146" t="n">
        <v>0</v>
      </c>
      <c r="I1393" s="269" t="inlineStr">
        <is>
          <t>기타 가공식품</t>
        </is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  <c r="I1394" s="269" t="inlineStr">
        <is>
          <t>기타 가공식품</t>
        </is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  <c r="I1395" s="269" t="inlineStr">
        <is>
          <t>기타 가공식품</t>
        </is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  <c r="I1396" s="269" t="inlineStr">
        <is>
          <t>기타 가공식품</t>
        </is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  <c r="I1397" s="269" t="inlineStr">
        <is>
          <t>기타 가공식품</t>
        </is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  <c r="I1398" s="269" t="inlineStr">
        <is>
          <t>기타 가공식품</t>
        </is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  <c r="I1399" s="269" t="inlineStr">
        <is>
          <t>기타 가공식품</t>
        </is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  <c r="I1400" s="269" t="inlineStr">
        <is>
          <t>기타 가공식품</t>
        </is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 오미자럽 오미자청 1.5L 4병</t>
        </is>
      </c>
      <c r="F1401" s="76" t="n">
        <v>5</v>
      </c>
      <c r="G1401" s="146" t="n">
        <v>540000</v>
      </c>
      <c r="H1401" s="146" t="n">
        <v>10000</v>
      </c>
      <c r="I1401" s="269" t="inlineStr">
        <is>
          <t>기타 가공식품</t>
        </is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  <c r="I1402" s="269" t="inlineStr">
        <is>
          <t>기타 가공식품</t>
        </is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 오미자럽 오미자청 1.5L</t>
        </is>
      </c>
      <c r="F1403" s="76" t="n">
        <v>3</v>
      </c>
      <c r="G1403" s="146" t="n">
        <v>86000</v>
      </c>
      <c r="H1403" s="146" t="n">
        <v>11600</v>
      </c>
      <c r="I1403" s="269" t="inlineStr">
        <is>
          <t>기타 가공식품</t>
        </is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  <c r="I1404" s="269" t="inlineStr">
        <is>
          <t>기타 가공식품</t>
        </is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  <c r="I1405" s="269" t="inlineStr">
        <is>
          <t>기타 가공식품</t>
        </is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  <c r="I1406" s="269" t="inlineStr">
        <is>
          <t>기타 가공식품</t>
        </is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n">
        <v>0</v>
      </c>
      <c r="I1407" s="269" t="inlineStr">
        <is>
          <t>기타 가공식품</t>
        </is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 오미자럽 오미자청 1.5L 2병</t>
        </is>
      </c>
      <c r="F1408" s="76" t="n">
        <v>2</v>
      </c>
      <c r="G1408" s="146" t="n">
        <v>329000</v>
      </c>
      <c r="H1408" s="146" t="n">
        <v>0</v>
      </c>
      <c r="I1408" s="269" t="inlineStr">
        <is>
          <t>기타 가공식품</t>
        </is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  <c r="I1409" s="269" t="inlineStr">
        <is>
          <t>채소류(상추, 쌈채소 등)</t>
        </is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n">
        <v>0</v>
      </c>
      <c r="H1410" s="146" t="n">
        <v>0</v>
      </c>
      <c r="I1410" s="269" t="inlineStr">
        <is>
          <t>기타 가공식품</t>
        </is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n">
        <v>0</v>
      </c>
      <c r="I1411" s="269" t="inlineStr">
        <is>
          <t>채소류(상추, 쌈채소 등)</t>
        </is>
      </c>
    </row>
    <row r="1412" hidden="1" s="21">
      <c r="A1412" s="24" t="inlineStr">
        <is>
          <t>네이버</t>
        </is>
      </c>
      <c r="B1412" s="24" t="inlineStr">
        <is>
          <t>가공식품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  <c r="I1412" s="269" t="inlineStr">
        <is>
          <t>기타 가공식품</t>
        </is>
      </c>
    </row>
    <row r="1413" hidden="1" s="21">
      <c r="A1413" s="24" t="inlineStr">
        <is>
          <t>네이버</t>
        </is>
      </c>
      <c r="B1413" s="24" t="inlineStr">
        <is>
          <t>가공식품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  <c r="I1413" s="269" t="inlineStr">
        <is>
          <t>기타 가공식품</t>
        </is>
      </c>
    </row>
    <row r="1414" hidden="1" s="21">
      <c r="A1414" s="24" t="inlineStr">
        <is>
          <t>네이버</t>
        </is>
      </c>
      <c r="B1414" s="24" t="inlineStr">
        <is>
          <t>가공식품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  <c r="I1414" s="269" t="inlineStr">
        <is>
          <t>기타 가공식품</t>
        </is>
      </c>
    </row>
    <row r="1415" hidden="1" s="21">
      <c r="A1415" s="24" t="inlineStr">
        <is>
          <t>네이버</t>
        </is>
      </c>
      <c r="B1415" s="24" t="inlineStr">
        <is>
          <t>가공식품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  <c r="I1415" s="269" t="inlineStr">
        <is>
          <t>기타 가공식품</t>
        </is>
      </c>
    </row>
    <row r="1416" hidden="1" s="21">
      <c r="A1416" s="24" t="inlineStr">
        <is>
          <t>네이버</t>
        </is>
      </c>
      <c r="B1416" s="24" t="inlineStr">
        <is>
          <t>가공식품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n">
        <v>0</v>
      </c>
      <c r="H1416" s="146" t="n">
        <v>0</v>
      </c>
      <c r="I1416" s="269" t="inlineStr">
        <is>
          <t>기타 가공식품</t>
        </is>
      </c>
    </row>
    <row r="1417" hidden="1" s="21">
      <c r="A1417" s="24" t="inlineStr">
        <is>
          <t>네이버</t>
        </is>
      </c>
      <c r="B1417" s="24" t="inlineStr">
        <is>
          <t>가공식품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n">
        <v>0</v>
      </c>
      <c r="H1417" s="146" t="n">
        <v>0</v>
      </c>
      <c r="I1417" s="269" t="inlineStr">
        <is>
          <t>기타 가공식품</t>
        </is>
      </c>
    </row>
    <row r="1418" hidden="1" s="21">
      <c r="A1418" s="24" t="inlineStr">
        <is>
          <t>네이버</t>
        </is>
      </c>
      <c r="B1418" s="24" t="inlineStr">
        <is>
          <t>가공식품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n">
        <v>0</v>
      </c>
      <c r="H1418" s="146" t="n">
        <v>0</v>
      </c>
      <c r="I1418" s="269" t="inlineStr">
        <is>
          <t>기타 가공식품</t>
        </is>
      </c>
    </row>
    <row r="1419" hidden="1" s="21">
      <c r="A1419" s="24" t="inlineStr">
        <is>
          <t>네이버</t>
        </is>
      </c>
      <c r="B1419" s="24" t="inlineStr">
        <is>
          <t>가공식품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  <c r="I1419" s="269" t="inlineStr">
        <is>
          <t>기타 가공식품</t>
        </is>
      </c>
    </row>
    <row r="1420" hidden="1" s="21">
      <c r="A1420" s="24" t="inlineStr">
        <is>
          <t>네이버</t>
        </is>
      </c>
      <c r="B1420" s="24" t="inlineStr">
        <is>
          <t>가공식품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  <c r="I1420" s="269" t="inlineStr">
        <is>
          <t>기타 가공식품</t>
        </is>
      </c>
    </row>
    <row r="1421" hidden="1" s="21">
      <c r="A1421" s="24" t="inlineStr">
        <is>
          <t>네이버</t>
        </is>
      </c>
      <c r="B1421" s="24" t="inlineStr">
        <is>
          <t>가공식품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  <c r="I1421" s="269" t="inlineStr">
        <is>
          <t>기타 가공식품</t>
        </is>
      </c>
    </row>
    <row r="1422" hidden="1" s="21">
      <c r="A1422" s="24" t="inlineStr">
        <is>
          <t>네이버</t>
        </is>
      </c>
      <c r="B1422" s="24" t="inlineStr">
        <is>
          <t>가공식품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n">
        <v>0</v>
      </c>
      <c r="H1422" s="146" t="n">
        <v>0</v>
      </c>
      <c r="I1422" s="269" t="inlineStr">
        <is>
          <t>기타 가공식품</t>
        </is>
      </c>
    </row>
    <row r="1423" hidden="1" s="21">
      <c r="A1423" s="24" t="inlineStr">
        <is>
          <t>네이버</t>
        </is>
      </c>
      <c r="B1423" s="24" t="inlineStr">
        <is>
          <t>가공식품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n">
        <v>0</v>
      </c>
      <c r="H1423" s="146" t="n">
        <v>0</v>
      </c>
      <c r="I1423" s="269" t="inlineStr">
        <is>
          <t>기타 가공식품</t>
        </is>
      </c>
    </row>
    <row r="1424" hidden="1" s="21">
      <c r="A1424" s="24" t="inlineStr">
        <is>
          <t>네이버</t>
        </is>
      </c>
      <c r="B1424" s="24" t="inlineStr">
        <is>
          <t>가공식품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  <c r="I1424" s="269" t="inlineStr">
        <is>
          <t>기타 가공식품</t>
        </is>
      </c>
    </row>
    <row r="1425" hidden="1" s="21">
      <c r="A1425" s="24" t="inlineStr">
        <is>
          <t>네이버</t>
        </is>
      </c>
      <c r="B1425" s="24" t="inlineStr">
        <is>
          <t>가공식품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  <c r="I1425" s="269" t="inlineStr">
        <is>
          <t>기타 가공식품</t>
        </is>
      </c>
    </row>
    <row r="1426" hidden="1" s="21">
      <c r="A1426" s="24" t="inlineStr">
        <is>
          <t>네이버</t>
        </is>
      </c>
      <c r="B1426" s="24" t="inlineStr">
        <is>
          <t>가공식품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n"/>
      <c r="F1426" s="76" t="n">
        <v>0</v>
      </c>
      <c r="G1426" s="146" t="n">
        <v>0</v>
      </c>
      <c r="H1426" s="146" t="n">
        <v>0</v>
      </c>
      <c r="I1426" s="269" t="inlineStr">
        <is>
          <t>기타 가공식품</t>
        </is>
      </c>
    </row>
    <row r="1427" hidden="1" s="21">
      <c r="A1427" s="24" t="inlineStr">
        <is>
          <t>네이버</t>
        </is>
      </c>
      <c r="B1427" s="24" t="inlineStr">
        <is>
          <t>가공식품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n">
        <v>0</v>
      </c>
      <c r="H1427" s="146" t="n">
        <v>0</v>
      </c>
      <c r="I1427" s="269" t="inlineStr">
        <is>
          <t>기타 가공식품</t>
        </is>
      </c>
    </row>
    <row r="1428" hidden="1" s="21">
      <c r="A1428" s="24" t="inlineStr">
        <is>
          <t>네이버</t>
        </is>
      </c>
      <c r="B1428" s="24" t="inlineStr">
        <is>
          <t>가공식품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n">
        <v>0</v>
      </c>
      <c r="I1428" s="269" t="inlineStr">
        <is>
          <t>기타 가공식품</t>
        </is>
      </c>
    </row>
    <row r="1429" hidden="1" s="21">
      <c r="A1429" s="24" t="inlineStr">
        <is>
          <t>네이버</t>
        </is>
      </c>
      <c r="B1429" s="24" t="inlineStr">
        <is>
          <t>가공식품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  <c r="I1429" s="269" t="inlineStr">
        <is>
          <t>기타 가공식품</t>
        </is>
      </c>
    </row>
    <row r="1430" hidden="1" s="21">
      <c r="A1430" s="24" t="inlineStr">
        <is>
          <t>네이버</t>
        </is>
      </c>
      <c r="B1430" s="24" t="inlineStr">
        <is>
          <t>가공식품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 8수이상</t>
        </is>
      </c>
      <c r="F1430" s="76" t="n">
        <v>0</v>
      </c>
      <c r="G1430" s="146" t="n">
        <v>0</v>
      </c>
      <c r="H1430" s="146" t="n">
        <v>0</v>
      </c>
      <c r="I1430" s="269" t="inlineStr">
        <is>
          <t>기타 가공식품</t>
        </is>
      </c>
    </row>
    <row r="1431" hidden="1" s="21">
      <c r="A1431" s="24" t="inlineStr">
        <is>
          <t>네이버</t>
        </is>
      </c>
      <c r="B1431" s="24" t="inlineStr">
        <is>
          <t>가공식품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  <c r="I1431" s="269" t="inlineStr">
        <is>
          <t>기타 가공식품</t>
        </is>
      </c>
    </row>
    <row r="1432" hidden="1" s="21">
      <c r="A1432" s="24" t="inlineStr">
        <is>
          <t>네이버</t>
        </is>
      </c>
      <c r="B1432" s="24" t="inlineStr">
        <is>
          <t>가공식품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  <c r="I1432" s="269" t="inlineStr">
        <is>
          <t>기타 가공식품</t>
        </is>
      </c>
    </row>
    <row r="1433" hidden="1" s="21">
      <c r="A1433" s="24" t="inlineStr">
        <is>
          <t>네이버</t>
        </is>
      </c>
      <c r="B1433" s="24" t="inlineStr">
        <is>
          <t>가공식품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  <c r="I1433" s="269" t="inlineStr">
        <is>
          <t>기타 가공식품</t>
        </is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n">
        <v>0</v>
      </c>
      <c r="I1434" s="269" t="inlineStr">
        <is>
          <t>기타 가공식품</t>
        </is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n">
        <v>0</v>
      </c>
      <c r="H1435" s="146" t="n">
        <v>0</v>
      </c>
      <c r="I1435" s="269" t="inlineStr">
        <is>
          <t>기타 가공식품</t>
        </is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 전통 간장 1.5L</t>
        </is>
      </c>
      <c r="F1436" s="76" t="n">
        <v>0</v>
      </c>
      <c r="G1436" s="146" t="n">
        <v>0</v>
      </c>
      <c r="H1436" s="146" t="n">
        <v>0</v>
      </c>
      <c r="I1436" s="269" t="inlineStr">
        <is>
          <t>기타 가공식품</t>
        </is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 전통 간장 1L</t>
        </is>
      </c>
      <c r="F1437" s="76" t="n">
        <v>0</v>
      </c>
      <c r="G1437" s="146" t="n">
        <v>0</v>
      </c>
      <c r="H1437" s="146" t="n">
        <v>0</v>
      </c>
      <c r="I1437" s="269" t="inlineStr">
        <is>
          <t>기타 가공식품</t>
        </is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 전통 간장 1L</t>
        </is>
      </c>
      <c r="F1438" s="76" t="n">
        <v>0</v>
      </c>
      <c r="G1438" s="146" t="n">
        <v>0</v>
      </c>
      <c r="H1438" s="146" t="n">
        <v>0</v>
      </c>
      <c r="I1438" s="269" t="inlineStr">
        <is>
          <t>기타 가공식품</t>
        </is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n">
        <v>0</v>
      </c>
      <c r="H1439" s="146" t="n">
        <v>0</v>
      </c>
      <c r="I1439" s="269" t="inlineStr">
        <is>
          <t>기타 가공식품</t>
        </is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n">
        <v>0</v>
      </c>
      <c r="H1440" s="146" t="n">
        <v>0</v>
      </c>
      <c r="I1440" s="269" t="inlineStr">
        <is>
          <t>기타 가공식품</t>
        </is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n">
        <v>0</v>
      </c>
      <c r="I1441" s="269" t="inlineStr">
        <is>
          <t>기타 농산물</t>
        </is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 5kg 7.5kg 15kg</t>
        </is>
      </c>
      <c r="F1442" s="142" t="n">
        <v>1</v>
      </c>
      <c r="G1442" s="142" t="n">
        <v>40000</v>
      </c>
      <c r="H1442" s="142" t="n">
        <v>0</v>
      </c>
      <c r="I1442" s="269" t="inlineStr">
        <is>
          <t>기타 농산물</t>
        </is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 7.5kg 15kg</t>
        </is>
      </c>
      <c r="F1443" s="142" t="n">
        <v>0</v>
      </c>
      <c r="G1443" s="142" t="n">
        <v>0</v>
      </c>
      <c r="H1443" s="142" t="n">
        <v>0</v>
      </c>
      <c r="I1443" s="269" t="inlineStr">
        <is>
          <t>기타 농산물</t>
        </is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  <c r="I1444" s="269" t="inlineStr">
        <is>
          <t>김치류(배추김치 등)</t>
        </is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  <c r="I1445" s="269" t="inlineStr">
        <is>
          <t>김치류(배추김치 등)</t>
        </is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  <c r="I1446" s="269" t="inlineStr">
        <is>
          <t>김치류(배추김치 등)</t>
        </is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  <c r="I1447" s="269" t="inlineStr">
        <is>
          <t>김치류(배추김치 등)</t>
        </is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 1개</t>
        </is>
      </c>
      <c r="F1448" s="142" t="n">
        <v>9</v>
      </c>
      <c r="G1448" s="142" t="n">
        <v>203000</v>
      </c>
      <c r="H1448" s="142" t="n">
        <v>12000</v>
      </c>
      <c r="I1448" s="269" t="inlineStr">
        <is>
          <t>기타 가공식품</t>
        </is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  <c r="I1449" s="269" t="inlineStr">
        <is>
          <t>기타 가공식품</t>
        </is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  <c r="I1450" s="269" t="inlineStr">
        <is>
          <t>기타 농산물</t>
        </is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n">
        <v>0</v>
      </c>
      <c r="I1451" s="269" t="inlineStr">
        <is>
          <t>기타 농산물</t>
        </is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n">
        <v>0</v>
      </c>
      <c r="I1452" s="269" t="inlineStr">
        <is>
          <t>자두</t>
        </is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n">
        <v>0</v>
      </c>
      <c r="I1453" s="269" t="inlineStr">
        <is>
          <t>기타 농산물</t>
        </is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n">
        <v>0</v>
      </c>
      <c r="I1454" s="269" t="inlineStr">
        <is>
          <t>기타 농산물</t>
        </is>
      </c>
    </row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>
        <f>SUM(F3:F500)</f>
        <v/>
      </c>
      <c r="G1" s="179">
        <f>SUM(G3:G500)</f>
        <v/>
      </c>
      <c r="H1" s="179">
        <f>SUM(H3:H500)</f>
        <v/>
      </c>
      <c r="I1" s="180">
        <f>COUNTIF(I3:I500,"O")</f>
        <v/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>
        <f>SUMIF('②유기농raw'!$D:$D, $C3, '②유기농raw'!$F:$F)</f>
        <v/>
      </c>
      <c r="G3" s="170">
        <f>SUMIF('②유기농raw'!$D:$D, $C3, '②유기농raw'!$G:$G)</f>
        <v/>
      </c>
      <c r="H3" s="182">
        <f>SUMIF('②유기농raw'!$D:$D, $C3, '②유기농raw'!$H:$H)</f>
        <v/>
      </c>
      <c r="I3" s="183">
        <f>IF(COUNTIF('②유기농raw'!$D:$D,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>
        <f>SUMIF('②유기농raw'!$D:$D, $C4, '②유기농raw'!$F:$F)</f>
        <v/>
      </c>
      <c r="G4" s="170">
        <f>SUMIF('②유기농raw'!$D:$D, $C4, '②유기농raw'!$G:$G)</f>
        <v/>
      </c>
      <c r="H4" s="182">
        <f>SUMIF('②유기농raw'!$D:$D, $C4, '②유기농raw'!$H:$H)</f>
        <v/>
      </c>
      <c r="I4" s="183">
        <f>IF(COUNTIF('②유기농raw'!$D:$D,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>
        <f>SUMIF('②유기농raw'!$D:$D, $C5, '②유기농raw'!$F:$F)</f>
        <v/>
      </c>
      <c r="G5" s="170">
        <f>SUMIF('②유기농raw'!$D:$D, $C5, '②유기농raw'!$G:$G)</f>
        <v/>
      </c>
      <c r="H5" s="182">
        <f>SUMIF('②유기농raw'!$D:$D, $C5, '②유기농raw'!$H:$H)</f>
        <v/>
      </c>
      <c r="I5" s="183">
        <f>IF(COUNTIF('②유기농raw'!$D:$D,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>
        <f>SUMIF('②유기농raw'!$D:$D, $C6, '②유기농raw'!$F:$F)</f>
        <v/>
      </c>
      <c r="G6" s="170">
        <f>SUMIF('②유기농raw'!$D:$D, $C6, '②유기농raw'!$G:$G)</f>
        <v/>
      </c>
      <c r="H6" s="182">
        <f>SUMIF('②유기농raw'!$D:$D, $C6, '②유기농raw'!$H:$H)</f>
        <v/>
      </c>
      <c r="I6" s="183">
        <f>IF(COUNTIF('②유기농raw'!$D:$D,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>
        <f>SUMIF('②유기농raw'!$D:$D, $C7, '②유기농raw'!$F:$F)</f>
        <v/>
      </c>
      <c r="G7" s="170">
        <f>SUMIF('②유기농raw'!$D:$D, $C7, '②유기농raw'!$G:$G)</f>
        <v/>
      </c>
      <c r="H7" s="182">
        <f>SUMIF('②유기농raw'!$D:$D, $C7, '②유기농raw'!$H:$H)</f>
        <v/>
      </c>
      <c r="I7" s="183">
        <f>IF(COUNTIF('②유기농raw'!$D:$D,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>
        <f>SUMIF('②유기농raw'!$D:$D, $C8, '②유기농raw'!$F:$F)</f>
        <v/>
      </c>
      <c r="G8" s="170">
        <f>SUMIF('②유기농raw'!$D:$D, $C8, '②유기농raw'!$G:$G)</f>
        <v/>
      </c>
      <c r="H8" s="182">
        <f>SUMIF('②유기농raw'!$D:$D, $C8, '②유기농raw'!$H:$H)</f>
        <v/>
      </c>
      <c r="I8" s="183">
        <f>IF(COUNTIF('②유기농raw'!$D:$D,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>
        <f>SUMIF('②유기농raw'!$D:$D, $C9, '②유기농raw'!$F:$F)</f>
        <v/>
      </c>
      <c r="G9" s="170">
        <f>SUMIF('②유기농raw'!$D:$D, $C9, '②유기농raw'!$G:$G)</f>
        <v/>
      </c>
      <c r="H9" s="182">
        <f>SUMIF('②유기농raw'!$D:$D, $C9, '②유기농raw'!$H:$H)</f>
        <v/>
      </c>
      <c r="I9" s="183">
        <f>IF(COUNTIF('②유기농raw'!$D:$D,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>
        <f>SUMIF('②유기농raw'!$D:$D, $C10, '②유기농raw'!$F:$F)</f>
        <v/>
      </c>
      <c r="G10" s="170">
        <f>SUMIF('②유기농raw'!$D:$D, $C10, '②유기농raw'!$G:$G)</f>
        <v/>
      </c>
      <c r="H10" s="182">
        <f>SUMIF('②유기농raw'!$D:$D, $C10, '②유기농raw'!$H:$H)</f>
        <v/>
      </c>
      <c r="I10" s="183">
        <f>IF(COUNTIF('②유기농raw'!$D:$D,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>
        <f>SUMIF('②유기농raw'!$D:$D, $C11, '②유기농raw'!$F:$F)</f>
        <v/>
      </c>
      <c r="G11" s="170">
        <f>SUMIF('②유기농raw'!$D:$D, $C11, '②유기농raw'!$G:$G)</f>
        <v/>
      </c>
      <c r="H11" s="182">
        <f>SUMIF('②유기농raw'!$D:$D, $C11, '②유기농raw'!$H:$H)</f>
        <v/>
      </c>
      <c r="I11" s="183">
        <f>IF(COUNTIF('②유기농raw'!$D:$D,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>
        <f>SUMIF('②유기농raw'!$D:$D, $C12, '②유기농raw'!$F:$F)</f>
        <v/>
      </c>
      <c r="G12" s="170">
        <f>SUMIF('②유기농raw'!$D:$D, $C12, '②유기농raw'!$G:$G)</f>
        <v/>
      </c>
      <c r="H12" s="182">
        <f>SUMIF('②유기농raw'!$D:$D, $C12, '②유기농raw'!$H:$H)</f>
        <v/>
      </c>
      <c r="I12" s="183">
        <f>IF(COUNTIF('②유기농raw'!$D:$D,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>
        <f>SUMIF('②유기농raw'!$D:$D, $C13, '②유기농raw'!$F:$F)</f>
        <v/>
      </c>
      <c r="G13" s="170">
        <f>SUMIF('②유기농raw'!$D:$D, $C13, '②유기농raw'!$G:$G)</f>
        <v/>
      </c>
      <c r="H13" s="182">
        <f>SUMIF('②유기농raw'!$D:$D, $C13, '②유기농raw'!$H:$H)</f>
        <v/>
      </c>
      <c r="I13" s="183">
        <f>IF(COUNTIF('②유기농raw'!$D:$D,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>
        <f>SUMIF('②유기농raw'!$D:$D, $C14, '②유기농raw'!$F:$F)</f>
        <v/>
      </c>
      <c r="G14" s="170">
        <f>SUMIF('②유기농raw'!$D:$D, $C14, '②유기농raw'!$G:$G)</f>
        <v/>
      </c>
      <c r="H14" s="182">
        <f>SUMIF('②유기농raw'!$D:$D, $C14, '②유기농raw'!$H:$H)</f>
        <v/>
      </c>
      <c r="I14" s="183">
        <f>IF(COUNTIF('②유기농raw'!$D:$D,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>
        <f>SUMIF('②유기농raw'!$D:$D, $C15, '②유기농raw'!$F:$F)</f>
        <v/>
      </c>
      <c r="G15" s="170">
        <f>SUMIF('②유기농raw'!$D:$D, $C15, '②유기농raw'!$G:$G)</f>
        <v/>
      </c>
      <c r="H15" s="182">
        <f>SUMIF('②유기농raw'!$D:$D, $C15, '②유기농raw'!$H:$H)</f>
        <v/>
      </c>
      <c r="I15" s="183">
        <f>IF(COUNTIF('②유기농raw'!$D:$D,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>
        <f>SUMIF('②유기농raw'!$D:$D, $C16, '②유기농raw'!$F:$F)</f>
        <v/>
      </c>
      <c r="G16" s="170">
        <f>SUMIF('②유기농raw'!$D:$D, $C16, '②유기농raw'!$G:$G)</f>
        <v/>
      </c>
      <c r="H16" s="182">
        <f>SUMIF('②유기농raw'!$D:$D, $C16, '②유기농raw'!$H:$H)</f>
        <v/>
      </c>
      <c r="I16" s="183">
        <f>IF(COUNTIF('②유기농raw'!$D:$D,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>
        <f>SUMIF('②유기농raw'!$D:$D, $C17, '②유기농raw'!$F:$F)</f>
        <v/>
      </c>
      <c r="G17" s="170">
        <f>SUMIF('②유기농raw'!$D:$D, $C17, '②유기농raw'!$G:$G)</f>
        <v/>
      </c>
      <c r="H17" s="182">
        <f>SUMIF('②유기농raw'!$D:$D, $C17, '②유기농raw'!$H:$H)</f>
        <v/>
      </c>
      <c r="I17" s="183">
        <f>IF(COUNTIF('②유기농raw'!$D:$D,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>
        <f>SUMIF('②유기농raw'!$D:$D, $C18, '②유기농raw'!$F:$F)</f>
        <v/>
      </c>
      <c r="G18" s="170">
        <f>SUMIF('②유기농raw'!$D:$D, $C18, '②유기농raw'!$G:$G)</f>
        <v/>
      </c>
      <c r="H18" s="182">
        <f>SUMIF('②유기농raw'!$D:$D, $C18, '②유기농raw'!$H:$H)</f>
        <v/>
      </c>
      <c r="I18" s="183">
        <f>IF(COUNTIF('②유기농raw'!$D:$D,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>
        <f>SUMIF('②유기농raw'!$D:$D, $C19, '②유기농raw'!$F:$F)</f>
        <v/>
      </c>
      <c r="G19" s="170">
        <f>SUMIF('②유기농raw'!$D:$D, $C19, '②유기농raw'!$G:$G)</f>
        <v/>
      </c>
      <c r="H19" s="182">
        <f>SUMIF('②유기농raw'!$D:$D, $C19, '②유기농raw'!$H:$H)</f>
        <v/>
      </c>
      <c r="I19" s="183">
        <f>IF(COUNTIF('②유기농raw'!$D:$D,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>
        <f>SUMIF('②유기농raw'!$D:$D, $C20, '②유기농raw'!$F:$F)</f>
        <v/>
      </c>
      <c r="G20" s="170">
        <f>SUMIF('②유기농raw'!$D:$D, $C20, '②유기농raw'!$G:$G)</f>
        <v/>
      </c>
      <c r="H20" s="182">
        <f>SUMIF('②유기농raw'!$D:$D, $C20, '②유기농raw'!$H:$H)</f>
        <v/>
      </c>
      <c r="I20" s="183">
        <f>IF(COUNTIF('②유기농raw'!$D:$D,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>
        <f>SUMIF('②유기농raw'!$D:$D, $C21, '②유기농raw'!$F:$F)</f>
        <v/>
      </c>
      <c r="G21" s="170">
        <f>SUMIF('②유기농raw'!$D:$D, $C21, '②유기농raw'!$G:$G)</f>
        <v/>
      </c>
      <c r="H21" s="182">
        <f>SUMIF('②유기농raw'!$D:$D, $C21, '②유기농raw'!$H:$H)</f>
        <v/>
      </c>
      <c r="I21" s="183">
        <f>IF(COUNTIF('②유기농raw'!$D:$D,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>
        <f>SUMIF('②유기농raw'!$D:$D, $C22, '②유기농raw'!$F:$F)</f>
        <v/>
      </c>
      <c r="G22" s="170">
        <f>SUMIF('②유기농raw'!$D:$D, $C22, '②유기농raw'!$G:$G)</f>
        <v/>
      </c>
      <c r="H22" s="182">
        <f>SUMIF('②유기농raw'!$D:$D, $C22, '②유기농raw'!$H:$H)</f>
        <v/>
      </c>
      <c r="I22" s="183">
        <f>IF(COUNTIF('②유기농raw'!$D:$D,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>
        <f>SUMIF('②유기농raw'!$D:$D, $C23, '②유기농raw'!$F:$F)</f>
        <v/>
      </c>
      <c r="G23" s="170">
        <f>SUMIF('②유기농raw'!$D:$D, $C23, '②유기농raw'!$G:$G)</f>
        <v/>
      </c>
      <c r="H23" s="182">
        <f>SUMIF('②유기농raw'!$D:$D, $C23, '②유기농raw'!$H:$H)</f>
        <v/>
      </c>
      <c r="I23" s="183">
        <f>IF(COUNTIF('②유기농raw'!$D:$D,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>
        <f>SUMIF('②유기농raw'!$D:$D, $C24, '②유기농raw'!$F:$F)</f>
        <v/>
      </c>
      <c r="G24" s="170">
        <f>SUMIF('②유기농raw'!$D:$D, $C24, '②유기농raw'!$G:$G)</f>
        <v/>
      </c>
      <c r="H24" s="182">
        <f>SUMIF('②유기농raw'!$D:$D, $C24, '②유기농raw'!$H:$H)</f>
        <v/>
      </c>
      <c r="I24" s="183">
        <f>IF(COUNTIF('②유기농raw'!$D:$D,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>
        <f>SUMIF('②유기농raw'!$D:$D, $C25, '②유기농raw'!$F:$F)</f>
        <v/>
      </c>
      <c r="G25" s="170">
        <f>SUMIF('②유기농raw'!$D:$D, $C25, '②유기농raw'!$G:$G)</f>
        <v/>
      </c>
      <c r="H25" s="182">
        <f>SUMIF('②유기농raw'!$D:$D, $C25, '②유기농raw'!$H:$H)</f>
        <v/>
      </c>
      <c r="I25" s="183">
        <f>IF(COUNTIF('②유기농raw'!$D:$D,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>
        <f>SUMIF('②유기농raw'!$D:$D, $C26, '②유기농raw'!$F:$F)</f>
        <v/>
      </c>
      <c r="G26" s="170">
        <f>SUMIF('②유기농raw'!$D:$D, $C26, '②유기농raw'!$G:$G)</f>
        <v/>
      </c>
      <c r="H26" s="182">
        <f>SUMIF('②유기농raw'!$D:$D, $C26, '②유기농raw'!$H:$H)</f>
        <v/>
      </c>
      <c r="I26" s="183">
        <f>IF(COUNTIF('②유기농raw'!$D:$D,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>
        <f>SUMIF('②유기농raw'!$D:$D, $C27, '②유기농raw'!$F:$F)</f>
        <v/>
      </c>
      <c r="G27" s="170">
        <f>SUMIF('②유기농raw'!$D:$D, $C27, '②유기농raw'!$G:$G)</f>
        <v/>
      </c>
      <c r="H27" s="182">
        <f>SUMIF('②유기농raw'!$D:$D, $C27, '②유기농raw'!$H:$H)</f>
        <v/>
      </c>
      <c r="I27" s="183">
        <f>IF(COUNTIF('②유기농raw'!$D:$D,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>
        <f>SUMIF('②유기농raw'!$D:$D, $C28, '②유기농raw'!$F:$F)</f>
        <v/>
      </c>
      <c r="G28" s="170">
        <f>SUMIF('②유기농raw'!$D:$D, $C28, '②유기농raw'!$G:$G)</f>
        <v/>
      </c>
      <c r="H28" s="182">
        <f>SUMIF('②유기농raw'!$D:$D, $C28, '②유기농raw'!$H:$H)</f>
        <v/>
      </c>
      <c r="I28" s="183">
        <f>IF(COUNTIF('②유기농raw'!$D:$D,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>
        <f>SUMIF('②유기농raw'!$D:$D, $C29, '②유기농raw'!$F:$F)</f>
        <v/>
      </c>
      <c r="G29" s="170">
        <f>SUMIF('②유기농raw'!$D:$D, $C29, '②유기농raw'!$G:$G)</f>
        <v/>
      </c>
      <c r="H29" s="182">
        <f>SUMIF('②유기농raw'!$D:$D, $C29, '②유기농raw'!$H:$H)</f>
        <v/>
      </c>
      <c r="I29" s="183">
        <f>IF(COUNTIF('②유기농raw'!$D:$D,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>
        <f>SUMIF('②유기농raw'!$D:$D, $C30, '②유기농raw'!$F:$F)</f>
        <v/>
      </c>
      <c r="G30" s="170">
        <f>SUMIF('②유기농raw'!$D:$D, $C30, '②유기농raw'!$G:$G)</f>
        <v/>
      </c>
      <c r="H30" s="182">
        <f>SUMIF('②유기농raw'!$D:$D, $C30, '②유기농raw'!$H:$H)</f>
        <v/>
      </c>
      <c r="I30" s="183">
        <f>IF(COUNTIF('②유기농raw'!$D:$D,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>
        <f>SUMIF('②유기농raw'!$D:$D, $C31, '②유기농raw'!$F:$F)</f>
        <v/>
      </c>
      <c r="G31" s="170">
        <f>SUMIF('②유기농raw'!$D:$D, $C31, '②유기농raw'!$G:$G)</f>
        <v/>
      </c>
      <c r="H31" s="182">
        <f>SUMIF('②유기농raw'!$D:$D, $C31, '②유기농raw'!$H:$H)</f>
        <v/>
      </c>
      <c r="I31" s="183">
        <f>IF(COUNTIF('②유기농raw'!$D:$D,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>
        <f>SUMIF('②유기농raw'!$D:$D, $C32, '②유기농raw'!$F:$F)</f>
        <v/>
      </c>
      <c r="G32" s="170">
        <f>SUMIF('②유기농raw'!$D:$D, $C32, '②유기농raw'!$G:$G)</f>
        <v/>
      </c>
      <c r="H32" s="182">
        <f>SUMIF('②유기농raw'!$D:$D, $C32, '②유기농raw'!$H:$H)</f>
        <v/>
      </c>
      <c r="I32" s="183">
        <f>IF(COUNTIF('②유기농raw'!$D:$D,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>
        <f>SUMIF('②유기농raw'!$D:$D, $C33, '②유기농raw'!$F:$F)</f>
        <v/>
      </c>
      <c r="G33" s="170">
        <f>SUMIF('②유기농raw'!$D:$D, $C33, '②유기농raw'!$G:$G)</f>
        <v/>
      </c>
      <c r="H33" s="182">
        <f>SUMIF('②유기농raw'!$D:$D, $C33, '②유기농raw'!$H:$H)</f>
        <v/>
      </c>
      <c r="I33" s="183">
        <f>IF(COUNTIF('②유기농raw'!$D:$D,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>
        <f>SUMIF('②유기농raw'!$D:$D, $C34, '②유기농raw'!$F:$F)</f>
        <v/>
      </c>
      <c r="G34" s="170">
        <f>SUMIF('②유기농raw'!$D:$D, $C34, '②유기농raw'!$G:$G)</f>
        <v/>
      </c>
      <c r="H34" s="182">
        <f>SUMIF('②유기농raw'!$D:$D, $C34, '②유기농raw'!$H:$H)</f>
        <v/>
      </c>
      <c r="I34" s="183">
        <f>IF(COUNTIF('②유기농raw'!$D:$D,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>
        <f>SUMIF('②유기농raw'!$D:$D, $C35, '②유기농raw'!$F:$F)</f>
        <v/>
      </c>
      <c r="G35" s="170">
        <f>SUMIF('②유기농raw'!$D:$D, $C35, '②유기농raw'!$G:$G)</f>
        <v/>
      </c>
      <c r="H35" s="182">
        <f>SUMIF('②유기농raw'!$D:$D, $C35, '②유기농raw'!$H:$H)</f>
        <v/>
      </c>
      <c r="I35" s="183">
        <f>IF(COUNTIF('②유기농raw'!$D:$D,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>
        <f>SUMIF('②유기농raw'!$D:$D, $C36, '②유기농raw'!$F:$F)</f>
        <v/>
      </c>
      <c r="G36" s="170">
        <f>SUMIF('②유기농raw'!$D:$D, $C36, '②유기농raw'!$G:$G)</f>
        <v/>
      </c>
      <c r="H36" s="182">
        <f>SUMIF('②유기농raw'!$D:$D, $C36, '②유기농raw'!$H:$H)</f>
        <v/>
      </c>
      <c r="I36" s="183">
        <f>IF(COUNTIF('②유기농raw'!$D:$D,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>
        <f>SUMIF('②유기농raw'!$D:$D, $C37, '②유기농raw'!$F:$F)</f>
        <v/>
      </c>
      <c r="G37" s="170">
        <f>SUMIF('②유기농raw'!$D:$D, $C37, '②유기농raw'!$G:$G)</f>
        <v/>
      </c>
      <c r="H37" s="182">
        <f>SUMIF('②유기농raw'!$D:$D, $C37, '②유기농raw'!$H:$H)</f>
        <v/>
      </c>
      <c r="I37" s="183">
        <f>IF(COUNTIF('②유기농raw'!$D:$D,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>
        <f>SUMIF('②유기농raw'!$D:$D, $C38, '②유기농raw'!$F:$F)</f>
        <v/>
      </c>
      <c r="G38" s="170">
        <f>SUMIF('②유기농raw'!$D:$D, $C38, '②유기농raw'!$G:$G)</f>
        <v/>
      </c>
      <c r="H38" s="182">
        <f>SUMIF('②유기농raw'!$D:$D, $C38, '②유기농raw'!$H:$H)</f>
        <v/>
      </c>
      <c r="I38" s="183">
        <f>IF(COUNTIF('②유기농raw'!$D:$D,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>
        <f>SUMIF('②유기농raw'!$D:$D, $C39, '②유기농raw'!$F:$F)</f>
        <v/>
      </c>
      <c r="G39" s="170">
        <f>SUMIF('②유기농raw'!$D:$D, $C39, '②유기농raw'!$G:$G)</f>
        <v/>
      </c>
      <c r="H39" s="182">
        <f>SUMIF('②유기농raw'!$D:$D, $C39, '②유기농raw'!$H:$H)</f>
        <v/>
      </c>
      <c r="I39" s="183">
        <f>IF(COUNTIF('②유기농raw'!$D:$D,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>
        <f>SUMIF('②유기농raw'!$D:$D, $C40, '②유기농raw'!$F:$F)</f>
        <v/>
      </c>
      <c r="G40" s="170">
        <f>SUMIF('②유기농raw'!$D:$D, $C40, '②유기농raw'!$G:$G)</f>
        <v/>
      </c>
      <c r="H40" s="182">
        <f>SUMIF('②유기농raw'!$D:$D, $C40, '②유기농raw'!$H:$H)</f>
        <v/>
      </c>
      <c r="I40" s="183">
        <f>IF(COUNTIF('②유기농raw'!$D:$D,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>
        <f>SUMIF('②유기농raw'!$D:$D, $C41, '②유기농raw'!$F:$F)</f>
        <v/>
      </c>
      <c r="G41" s="170">
        <f>SUMIF('②유기농raw'!$D:$D, $C41, '②유기농raw'!$G:$G)</f>
        <v/>
      </c>
      <c r="H41" s="182">
        <f>SUMIF('②유기농raw'!$D:$D, $C41, '②유기농raw'!$H:$H)</f>
        <v/>
      </c>
      <c r="I41" s="183">
        <f>IF(COUNTIF('②유기농raw'!$D:$D,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>
        <f>SUMIF('②유기농raw'!$D:$D, $C42, '②유기농raw'!$F:$F)</f>
        <v/>
      </c>
      <c r="G42" s="170">
        <f>SUMIF('②유기농raw'!$D:$D, $C42, '②유기농raw'!$G:$G)</f>
        <v/>
      </c>
      <c r="H42" s="182">
        <f>SUMIF('②유기농raw'!$D:$D, $C42, '②유기농raw'!$H:$H)</f>
        <v/>
      </c>
      <c r="I42" s="183">
        <f>IF(COUNTIF('②유기농raw'!$D:$D,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>
        <f>SUMIF('②유기농raw'!$D:$D, $C43, '②유기농raw'!$F:$F)</f>
        <v/>
      </c>
      <c r="G43" s="170">
        <f>SUMIF('②유기농raw'!$D:$D, $C43, '②유기농raw'!$G:$G)</f>
        <v/>
      </c>
      <c r="H43" s="182">
        <f>SUMIF('②유기농raw'!$D:$D, $C43, '②유기농raw'!$H:$H)</f>
        <v/>
      </c>
      <c r="I43" s="183">
        <f>IF(COUNTIF('②유기농raw'!$D:$D,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>
        <f>SUMIF('②유기농raw'!$D:$D, $C44, '②유기농raw'!$F:$F)</f>
        <v/>
      </c>
      <c r="G44" s="170">
        <f>SUMIF('②유기농raw'!$D:$D, $C44, '②유기농raw'!$G:$G)</f>
        <v/>
      </c>
      <c r="H44" s="182">
        <f>SUMIF('②유기농raw'!$D:$D, $C44, '②유기농raw'!$H:$H)</f>
        <v/>
      </c>
      <c r="I44" s="183">
        <f>IF(COUNTIF('②유기농raw'!$D:$D,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>
        <f>SUMIF('②유기농raw'!$D:$D, $C45, '②유기농raw'!$F:$F)</f>
        <v/>
      </c>
      <c r="G45" s="170">
        <f>SUMIF('②유기농raw'!$D:$D, $C45, '②유기농raw'!$G:$G)</f>
        <v/>
      </c>
      <c r="H45" s="182">
        <f>SUMIF('②유기농raw'!$D:$D, $C45, '②유기농raw'!$H:$H)</f>
        <v/>
      </c>
      <c r="I45" s="183">
        <f>IF(COUNTIF('②유기농raw'!$D:$D,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>
        <f>SUMIF('②유기농raw'!$D:$D, $C46, '②유기농raw'!$F:$F)</f>
        <v/>
      </c>
      <c r="G46" s="170">
        <f>SUMIF('②유기농raw'!$D:$D, $C46, '②유기농raw'!$G:$G)</f>
        <v/>
      </c>
      <c r="H46" s="182">
        <f>SUMIF('②유기농raw'!$D:$D, $C46, '②유기농raw'!$H:$H)</f>
        <v/>
      </c>
      <c r="I46" s="183">
        <f>IF(COUNTIF('②유기농raw'!$D:$D,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>
        <f>SUMIF('②유기농raw'!$D:$D, $C47, '②유기농raw'!$F:$F)</f>
        <v/>
      </c>
      <c r="G47" s="170">
        <f>SUMIF('②유기농raw'!$D:$D, $C47, '②유기농raw'!$G:$G)</f>
        <v/>
      </c>
      <c r="H47" s="182">
        <f>SUMIF('②유기농raw'!$D:$D, $C47, '②유기농raw'!$H:$H)</f>
        <v/>
      </c>
      <c r="I47" s="183">
        <f>IF(COUNTIF('②유기농raw'!$D:$D,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>
        <f>SUMIF('②유기농raw'!$D:$D, $C48, '②유기농raw'!$F:$F)</f>
        <v/>
      </c>
      <c r="G48" s="170">
        <f>SUMIF('②유기농raw'!$D:$D, $C48, '②유기농raw'!$G:$G)</f>
        <v/>
      </c>
      <c r="H48" s="182">
        <f>SUMIF('②유기농raw'!$D:$D, $C48, '②유기농raw'!$H:$H)</f>
        <v/>
      </c>
      <c r="I48" s="183">
        <f>IF(COUNTIF('②유기농raw'!$D:$D,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>
        <f>SUMIF('②유기농raw'!$D:$D, $C49, '②유기농raw'!$F:$F)</f>
        <v/>
      </c>
      <c r="G49" s="170">
        <f>SUMIF('②유기농raw'!$D:$D, $C49, '②유기농raw'!$G:$G)</f>
        <v/>
      </c>
      <c r="H49" s="182">
        <f>SUMIF('②유기농raw'!$D:$D, $C49, '②유기농raw'!$H:$H)</f>
        <v/>
      </c>
      <c r="I49" s="183">
        <f>IF(COUNTIF('②유기농raw'!$D:$D,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>
        <f>SUMIF('②유기농raw'!$D:$D, $C50, '②유기농raw'!$F:$F)</f>
        <v/>
      </c>
      <c r="G50" s="170">
        <f>SUMIF('②유기농raw'!$D:$D, $C50, '②유기농raw'!$G:$G)</f>
        <v/>
      </c>
      <c r="H50" s="182">
        <f>SUMIF('②유기농raw'!$D:$D, $C50, '②유기농raw'!$H:$H)</f>
        <v/>
      </c>
      <c r="I50" s="183">
        <f>IF(COUNTIF('②유기농raw'!$D:$D,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>
        <f>SUMIF('②유기농raw'!$D:$D, $C51, '②유기농raw'!$F:$F)</f>
        <v/>
      </c>
      <c r="G51" s="170">
        <f>SUMIF('②유기농raw'!$D:$D, $C51, '②유기농raw'!$G:$G)</f>
        <v/>
      </c>
      <c r="H51" s="182">
        <f>SUMIF('②유기농raw'!$D:$D, $C51, '②유기농raw'!$H:$H)</f>
        <v/>
      </c>
      <c r="I51" s="183">
        <f>IF(COUNTIF('②유기농raw'!$D:$D,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>
        <f>SUMIF('②유기농raw'!$D:$D, $C52, '②유기농raw'!$F:$F)</f>
        <v/>
      </c>
      <c r="G52" s="170">
        <f>SUMIF('②유기농raw'!$D:$D, $C52, '②유기농raw'!$G:$G)</f>
        <v/>
      </c>
      <c r="H52" s="182">
        <f>SUMIF('②유기농raw'!$D:$D, $C52, '②유기농raw'!$H:$H)</f>
        <v/>
      </c>
      <c r="I52" s="183">
        <f>IF(COUNTIF('②유기농raw'!$D:$D,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>
        <f>SUMIF('②유기농raw'!$D:$D, $C53, '②유기농raw'!$F:$F)</f>
        <v/>
      </c>
      <c r="G53" s="170">
        <f>SUMIF('②유기농raw'!$D:$D, $C53, '②유기농raw'!$G:$G)</f>
        <v/>
      </c>
      <c r="H53" s="182">
        <f>SUMIF('②유기농raw'!$D:$D, $C53, '②유기농raw'!$H:$H)</f>
        <v/>
      </c>
      <c r="I53" s="183">
        <f>IF(COUNTIF('②유기농raw'!$D:$D,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>
        <f>SUMIF('②유기농raw'!$D:$D, $C54, '②유기농raw'!$F:$F)</f>
        <v/>
      </c>
      <c r="G54" s="170">
        <f>SUMIF('②유기농raw'!$D:$D, $C54, '②유기농raw'!$G:$G)</f>
        <v/>
      </c>
      <c r="H54" s="182">
        <f>SUMIF('②유기농raw'!$D:$D, $C54, '②유기농raw'!$H:$H)</f>
        <v/>
      </c>
      <c r="I54" s="183">
        <f>IF(COUNTIF('②유기농raw'!$D:$D,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>
        <f>SUMIF('②유기농raw'!$D:$D, $C55, '②유기농raw'!$F:$F)</f>
        <v/>
      </c>
      <c r="G55" s="170">
        <f>SUMIF('②유기농raw'!$D:$D, $C55, '②유기농raw'!$G:$G)</f>
        <v/>
      </c>
      <c r="H55" s="182">
        <f>SUMIF('②유기농raw'!$D:$D, $C55, '②유기농raw'!$H:$H)</f>
        <v/>
      </c>
      <c r="I55" s="183">
        <f>IF(COUNTIF('②유기농raw'!$D:$D,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>
        <f>SUMIF('②유기농raw'!$D:$D, $C56, '②유기농raw'!$F:$F)</f>
        <v/>
      </c>
      <c r="G56" s="170">
        <f>SUMIF('②유기농raw'!$D:$D, $C56, '②유기농raw'!$G:$G)</f>
        <v/>
      </c>
      <c r="H56" s="182">
        <f>SUMIF('②유기농raw'!$D:$D, $C56, '②유기농raw'!$H:$H)</f>
        <v/>
      </c>
      <c r="I56" s="183">
        <f>IF(COUNTIF('②유기농raw'!$D:$D,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>
        <f>SUMIF('②유기농raw'!$D:$D, $C57, '②유기농raw'!$F:$F)</f>
        <v/>
      </c>
      <c r="G57" s="170">
        <f>SUMIF('②유기농raw'!$D:$D, $C57, '②유기농raw'!$G:$G)</f>
        <v/>
      </c>
      <c r="H57" s="182">
        <f>SUMIF('②유기농raw'!$D:$D, $C57, '②유기농raw'!$H:$H)</f>
        <v/>
      </c>
      <c r="I57" s="183">
        <f>IF(COUNTIF('②유기농raw'!$D:$D, $C57)&gt;0, "O", "")</f>
        <v/>
      </c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7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SUM(F6:F807)</f>
        <v/>
      </c>
      <c r="G4" s="132">
        <f>SUM(G6:G807)</f>
        <v/>
      </c>
      <c r="H4" s="132">
        <f>SUM(H6:H807)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  <c r="I5" s="268" t="inlineStr">
        <is>
          <t>세부품목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  <c r="I6" s="269" t="inlineStr">
        <is>
          <t>기타 가공식품</t>
        </is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  <c r="I7" s="269" t="inlineStr">
        <is>
          <t>기타 가공식품</t>
        </is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  <c r="I8" s="269" t="inlineStr">
        <is>
          <t>기타 가공식품</t>
        </is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  <c r="I9" s="269" t="inlineStr">
        <is>
          <t>기타 가공식품</t>
        </is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  <c r="I10" s="269" t="inlineStr">
        <is>
          <t>채소류(상추, 쌈채소 등)</t>
        </is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  <c r="I11" s="269" t="inlineStr">
        <is>
          <t>기타 농산물</t>
        </is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  <c r="I12" s="269" t="inlineStr">
        <is>
          <t>기타 가공식품</t>
        </is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  <c r="I13" s="269" t="inlineStr">
        <is>
          <t>기타 가공식품</t>
        </is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  <c r="I14" s="269" t="inlineStr">
        <is>
          <t>기타 가공식품</t>
        </is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  <c r="I15" s="269" t="inlineStr">
        <is>
          <t>기타 가공식품</t>
        </is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  <c r="I16" s="269" t="inlineStr">
        <is>
          <t>기타 가공식품</t>
        </is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  <c r="I17" s="269" t="inlineStr">
        <is>
          <t>기타 가공식품</t>
        </is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  <c r="I18" s="269" t="inlineStr">
        <is>
          <t>기타 가공식품</t>
        </is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  <c r="I19" s="269" t="inlineStr">
        <is>
          <t>기타 가공식품</t>
        </is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  <c r="I20" s="269" t="inlineStr">
        <is>
          <t>기타 가공식품</t>
        </is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  <c r="I21" s="269" t="inlineStr">
        <is>
          <t>기타 가공식품</t>
        </is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  <c r="I22" s="269" t="inlineStr">
        <is>
          <t>기타 가공식품</t>
        </is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  <c r="I23" s="269" t="inlineStr">
        <is>
          <t>기타 가공식품</t>
        </is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  <c r="I24" s="269" t="inlineStr">
        <is>
          <t>한돈(돼지고기)</t>
        </is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  <c r="I25" s="269" t="inlineStr">
        <is>
          <t>기타 축산물</t>
        </is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  <c r="I26" s="269" t="inlineStr">
        <is>
          <t>기타 가공식품</t>
        </is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  <c r="I27" s="269" t="inlineStr">
        <is>
          <t>기타 가공식품</t>
        </is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  <c r="I28" s="269" t="inlineStr">
        <is>
          <t>기타 가공식품</t>
        </is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  <c r="I29" s="269" t="inlineStr">
        <is>
          <t>기타 가공식품</t>
        </is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  <c r="I30" s="269" t="inlineStr">
        <is>
          <t>기타 가공식품</t>
        </is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  <c r="I31" s="269" t="inlineStr">
        <is>
          <t>기타 가공식품</t>
        </is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  <c r="I32" s="269" t="inlineStr">
        <is>
          <t>기타 가공식품</t>
        </is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  <c r="I33" s="269" t="inlineStr">
        <is>
          <t>기타 가공식품</t>
        </is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  <c r="I34" s="269" t="inlineStr">
        <is>
          <t>쌀 및 잡곡류</t>
        </is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  <c r="I35" s="269" t="inlineStr">
        <is>
          <t>쌀 및 잡곡류</t>
        </is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  <c r="I36" s="269" t="inlineStr">
        <is>
          <t>쌀 및 잡곡류</t>
        </is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  <c r="I37" s="269" t="inlineStr">
        <is>
          <t>쌀 및 잡곡류</t>
        </is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  <c r="I38" s="269" t="inlineStr">
        <is>
          <t>쌀 및 잡곡류</t>
        </is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  <c r="I39" s="269" t="inlineStr">
        <is>
          <t>쌀 및 잡곡류</t>
        </is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  <c r="I40" s="269" t="inlineStr">
        <is>
          <t>쌀 및 잡곡류</t>
        </is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  <c r="I41" s="269" t="inlineStr">
        <is>
          <t>쌀 및 잡곡류</t>
        </is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  <c r="I42" s="269" t="inlineStr">
        <is>
          <t>쌀 및 잡곡류</t>
        </is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  <c r="I43" s="269" t="inlineStr">
        <is>
          <t>기타 농산물</t>
        </is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  <c r="I44" s="269" t="inlineStr">
        <is>
          <t>기타 농산물</t>
        </is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  <c r="I45" s="269" t="inlineStr">
        <is>
          <t>버섯</t>
        </is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  <c r="I46" s="269" t="inlineStr">
        <is>
          <t>버섯</t>
        </is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  <c r="I47" s="269" t="inlineStr">
        <is>
          <t>버섯</t>
        </is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  <c r="I48" s="269" t="inlineStr">
        <is>
          <t>버섯</t>
        </is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  <c r="I49" s="269" t="inlineStr">
        <is>
          <t>기타 가공식품</t>
        </is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  <c r="I50" s="269" t="inlineStr">
        <is>
          <t>기타 가공식품</t>
        </is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n">
        <v>0</v>
      </c>
      <c r="I51" s="269" t="inlineStr">
        <is>
          <t>기타 가공식품</t>
        </is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  <c r="I52" s="269" t="inlineStr">
        <is>
          <t>기타 가공식품</t>
        </is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  <c r="I53" s="269" t="inlineStr">
        <is>
          <t>기타 가공식품</t>
        </is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n">
        <v>0</v>
      </c>
      <c r="G54" s="153" t="n">
        <v>0</v>
      </c>
      <c r="H54" s="153" t="n">
        <v>0</v>
      </c>
      <c r="I54" s="269" t="inlineStr">
        <is>
          <t>기타 가공식품</t>
        </is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  <c r="I55" s="269" t="inlineStr">
        <is>
          <t>기타 가공식품</t>
        </is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  <c r="I56" s="269" t="inlineStr">
        <is>
          <t>기타 가공식품</t>
        </is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  <c r="I57" s="269" t="inlineStr">
        <is>
          <t>기타 가공식품</t>
        </is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  <c r="I58" s="269" t="inlineStr">
        <is>
          <t>기타 가공식품</t>
        </is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  <c r="I59" s="269" t="inlineStr">
        <is>
          <t>기타 가공식품</t>
        </is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  <c r="I60" s="269" t="inlineStr">
        <is>
          <t>즙/주스류(양파즙, 토마토즙 등)</t>
        </is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  <c r="I61" s="269" t="inlineStr">
        <is>
          <t>기타 가공식품</t>
        </is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  <c r="I62" s="269" t="inlineStr">
        <is>
          <t>기타 가공식품</t>
        </is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  <c r="I63" s="269" t="inlineStr">
        <is>
          <t>떡류</t>
        </is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  <c r="I64" s="269" t="inlineStr">
        <is>
          <t>떡류</t>
        </is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  <c r="I65" s="269" t="inlineStr">
        <is>
          <t>떡류</t>
        </is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  <c r="I66" s="269" t="inlineStr">
        <is>
          <t>떡류</t>
        </is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  <c r="I67" s="269" t="inlineStr">
        <is>
          <t>기타 가공식품</t>
        </is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  <c r="I68" s="269" t="inlineStr">
        <is>
          <t>기타 농산물</t>
        </is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  <c r="I69" s="269" t="inlineStr">
        <is>
          <t>채소류(상추, 쌈채소 등)</t>
        </is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  <c r="I70" s="269" t="inlineStr">
        <is>
          <t>채소류(상추, 쌈채소 등)</t>
        </is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  <c r="I71" s="269" t="inlineStr">
        <is>
          <t>채소류(상추, 쌈채소 등)</t>
        </is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  <c r="I72" s="269" t="inlineStr">
        <is>
          <t>채소류(상추, 쌈채소 등)</t>
        </is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  <c r="I73" s="269" t="inlineStr">
        <is>
          <t>채소류(상추, 쌈채소 등)</t>
        </is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  <c r="I74" s="269" t="inlineStr">
        <is>
          <t>채소류(상추, 쌈채소 등)</t>
        </is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  <c r="I75" s="269" t="inlineStr">
        <is>
          <t>채소류(상추, 쌈채소 등)</t>
        </is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  <c r="I76" s="269" t="inlineStr">
        <is>
          <t>채소류(상추, 쌈채소 등)</t>
        </is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  <c r="I77" s="269" t="inlineStr">
        <is>
          <t>채소류(상추, 쌈채소 등)</t>
        </is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  <c r="I78" s="269" t="inlineStr">
        <is>
          <t>버섯</t>
        </is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  <c r="I79" s="269" t="inlineStr">
        <is>
          <t>버섯</t>
        </is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  <c r="I80" s="269" t="inlineStr">
        <is>
          <t>버섯</t>
        </is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n">
        <v>0</v>
      </c>
      <c r="G81" s="153" t="n">
        <v>0</v>
      </c>
      <c r="H81" s="153" t="n">
        <v>0</v>
      </c>
      <c r="I81" s="269" t="inlineStr">
        <is>
          <t>쌀 및 잡곡류</t>
        </is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n">
        <v>0</v>
      </c>
      <c r="G82" s="153" t="n">
        <v>0</v>
      </c>
      <c r="H82" s="153" t="n">
        <v>0</v>
      </c>
      <c r="I82" s="269" t="inlineStr">
        <is>
          <t>쌀 및 잡곡류</t>
        </is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n">
        <v>0</v>
      </c>
      <c r="G83" s="153" t="n">
        <v>0</v>
      </c>
      <c r="H83" s="153" t="n">
        <v>0</v>
      </c>
      <c r="I83" s="269" t="inlineStr">
        <is>
          <t>쌀 및 잡곡류</t>
        </is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n">
        <v>0</v>
      </c>
      <c r="G84" s="153" t="n">
        <v>0</v>
      </c>
      <c r="H84" s="153" t="n">
        <v>0</v>
      </c>
      <c r="I84" s="269" t="inlineStr">
        <is>
          <t>기타 농산물</t>
        </is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n">
        <v>0</v>
      </c>
      <c r="G85" s="153" t="n">
        <v>0</v>
      </c>
      <c r="H85" s="153" t="n">
        <v>0</v>
      </c>
      <c r="I85" s="269" t="inlineStr">
        <is>
          <t>기타 농산물</t>
        </is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  <c r="I86" s="269" t="inlineStr">
        <is>
          <t>쌀 및 잡곡류</t>
        </is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  <c r="I87" s="269" t="inlineStr">
        <is>
          <t>쌀 및 잡곡류</t>
        </is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n">
        <v>0</v>
      </c>
      <c r="G88" s="153" t="n">
        <v>0</v>
      </c>
      <c r="H88" s="153" t="n">
        <v>0</v>
      </c>
      <c r="I88" s="269" t="inlineStr">
        <is>
          <t>기타 농산물</t>
        </is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n">
        <v>0</v>
      </c>
      <c r="I89" s="269" t="inlineStr">
        <is>
          <t>즙/주스류(양파즙, 토마토즙 등)</t>
        </is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  <c r="I90" s="269" t="inlineStr">
        <is>
          <t>즙/주스류(양파즙, 토마토즙 등)</t>
        </is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  <c r="I91" s="269" t="inlineStr">
        <is>
          <t>기타 가공식품</t>
        </is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  <c r="I92" s="269" t="inlineStr">
        <is>
          <t>기타 농산물</t>
        </is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n">
        <v>0</v>
      </c>
      <c r="I93" s="269" t="inlineStr">
        <is>
          <t>즙/주스류(양파즙, 토마토즙 등)</t>
        </is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  <c r="I94" s="269" t="inlineStr">
        <is>
          <t>기타 농산물</t>
        </is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  <c r="I95" s="269" t="inlineStr">
        <is>
          <t>기타 가공식품</t>
        </is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  <c r="I96" s="269" t="inlineStr">
        <is>
          <t>기타 가공식품</t>
        </is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  <c r="I97" s="269" t="inlineStr">
        <is>
          <t>기타 가공식품</t>
        </is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  <c r="I98" s="269" t="inlineStr">
        <is>
          <t>기타 가공식품</t>
        </is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  <c r="I99" s="269" t="inlineStr">
        <is>
          <t>채소류(상추, 쌈채소 등)</t>
        </is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  <c r="I100" s="269" t="inlineStr">
        <is>
          <t>기타 가공식품</t>
        </is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 500g</t>
        </is>
      </c>
      <c r="F101" s="148" t="n">
        <v>0</v>
      </c>
      <c r="G101" s="154" t="n">
        <v>0</v>
      </c>
      <c r="H101" s="154" t="n">
        <v>0</v>
      </c>
      <c r="I101" s="269" t="inlineStr">
        <is>
          <t>기타 농산물</t>
        </is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n">
        <v>0</v>
      </c>
      <c r="G102" s="154" t="n">
        <v>0</v>
      </c>
      <c r="H102" s="154" t="n">
        <v>0</v>
      </c>
      <c r="I102" s="269" t="inlineStr">
        <is>
          <t>기타 가공식품</t>
        </is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 100g</t>
        </is>
      </c>
      <c r="F103" s="148" t="n">
        <v>1</v>
      </c>
      <c r="G103" s="154" t="n">
        <v>43200</v>
      </c>
      <c r="H103" s="154" t="n">
        <v>8640</v>
      </c>
      <c r="I103" s="269" t="inlineStr">
        <is>
          <t>버섯</t>
        </is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n">
        <v>0</v>
      </c>
      <c r="I104" s="269" t="inlineStr">
        <is>
          <t>기타 농산물</t>
        </is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n">
        <v>0</v>
      </c>
      <c r="G105" s="154" t="n">
        <v>0</v>
      </c>
      <c r="H105" s="154" t="n">
        <v>0</v>
      </c>
      <c r="I105" s="269" t="inlineStr">
        <is>
          <t>기타 가공식품</t>
        </is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n">
        <v>0</v>
      </c>
      <c r="G106" s="154" t="n">
        <v>0</v>
      </c>
      <c r="H106" s="154" t="n">
        <v>0</v>
      </c>
      <c r="I106" s="269" t="inlineStr">
        <is>
          <t>기타 가공식품</t>
        </is>
      </c>
    </row>
    <row r="107">
      <c r="A107" s="63" t="inlineStr">
        <is>
          <t>네이버</t>
        </is>
      </c>
      <c r="B107" s="24" t="inlineStr">
        <is>
          <t>가공식품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  <c r="I107" s="269" t="inlineStr">
        <is>
          <t>기타 가공식품</t>
        </is>
      </c>
    </row>
    <row r="108">
      <c r="A108" s="63" t="inlineStr">
        <is>
          <t>네이버</t>
        </is>
      </c>
      <c r="B108" s="24" t="inlineStr">
        <is>
          <t>가공식품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  <c r="I108" s="269" t="inlineStr">
        <is>
          <t>기타 가공식품</t>
        </is>
      </c>
    </row>
    <row r="109">
      <c r="A109" s="63" t="inlineStr">
        <is>
          <t>네이버</t>
        </is>
      </c>
      <c r="B109" s="24" t="inlineStr">
        <is>
          <t>가공식품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  <c r="I109" s="269" t="inlineStr">
        <is>
          <t>기타 가공식품</t>
        </is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n">
        <v>0</v>
      </c>
      <c r="G110" s="154" t="n">
        <v>0</v>
      </c>
      <c r="H110" s="154" t="n">
        <v>0</v>
      </c>
      <c r="I110" s="269" t="inlineStr">
        <is>
          <t>쌀 및 잡곡류</t>
        </is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  <c r="I111" s="269" t="inlineStr">
        <is>
          <t>기타 농산물</t>
        </is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  <c r="I112" s="269" t="inlineStr">
        <is>
          <t>기타 농산물</t>
        </is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 40티백  20티백</t>
        </is>
      </c>
      <c r="F113" s="148" t="n">
        <v>59</v>
      </c>
      <c r="G113" s="154" t="n">
        <v>2502300</v>
      </c>
      <c r="H113" s="154" t="n">
        <v>253260</v>
      </c>
      <c r="I113" s="269" t="inlineStr">
        <is>
          <t>기타 가공식품</t>
        </is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 1개</t>
        </is>
      </c>
      <c r="F114" s="148" t="n">
        <v>23</v>
      </c>
      <c r="G114" s="154" t="n">
        <v>503700</v>
      </c>
      <c r="H114" s="154" t="n">
        <v>51760</v>
      </c>
      <c r="I114" s="269" t="inlineStr">
        <is>
          <t>기타 가공식품</t>
        </is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 2개</t>
        </is>
      </c>
      <c r="F115" s="148" t="n">
        <v>5</v>
      </c>
      <c r="G115" s="154" t="n">
        <v>190000</v>
      </c>
      <c r="H115" s="154" t="n">
        <v>38000</v>
      </c>
      <c r="I115" s="269" t="inlineStr">
        <is>
          <t>기타 가공식품</t>
        </is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 3개</t>
        </is>
      </c>
      <c r="F116" s="148" t="n">
        <v>12</v>
      </c>
      <c r="G116" s="154" t="n">
        <v>628800</v>
      </c>
      <c r="H116" s="154" t="n">
        <v>117920</v>
      </c>
      <c r="I116" s="269" t="inlineStr">
        <is>
          <t>기타 가공식품</t>
        </is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  <c r="I117" s="269" t="inlineStr">
        <is>
          <t>버섯</t>
        </is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 통버섯 100g</t>
        </is>
      </c>
      <c r="F118" s="150" t="n">
        <v>16</v>
      </c>
      <c r="G118" s="154" t="n">
        <v>291120</v>
      </c>
      <c r="H118" s="154" t="n">
        <v>23370</v>
      </c>
      <c r="I118" s="269" t="inlineStr">
        <is>
          <t>버섯</t>
        </is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  <c r="I119" s="269" t="inlineStr">
        <is>
          <t>버섯</t>
        </is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  <c r="I120" s="269" t="inlineStr">
        <is>
          <t>기타 가공식품</t>
        </is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n">
        <v>0</v>
      </c>
      <c r="I121" s="269" t="inlineStr">
        <is>
          <t>버섯</t>
        </is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 통버섯  표고칩  슬라이스)</t>
        </is>
      </c>
      <c r="F122" s="140" t="n">
        <v>0</v>
      </c>
      <c r="G122" s="146" t="n">
        <v>0</v>
      </c>
      <c r="H122" s="146" t="n">
        <v>0</v>
      </c>
      <c r="I122" s="269" t="inlineStr">
        <is>
          <t>버섯</t>
        </is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  <c r="I123" s="269" t="inlineStr">
        <is>
          <t>버섯</t>
        </is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  <c r="I124" s="269" t="inlineStr">
        <is>
          <t>버섯</t>
        </is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n">
        <v>0</v>
      </c>
      <c r="H125" s="146" t="n">
        <v>0</v>
      </c>
      <c r="I125" s="269" t="inlineStr">
        <is>
          <t>버섯</t>
        </is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 농축액 감미료) 10ml 10포  1개</t>
        </is>
      </c>
      <c r="F126" s="76" t="n">
        <v>5</v>
      </c>
      <c r="G126" s="146" t="n">
        <v>65000</v>
      </c>
      <c r="H126" s="146" t="n">
        <v>0</v>
      </c>
      <c r="I126" s="269" t="inlineStr">
        <is>
          <t>기타 가공식품</t>
        </is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 10개</t>
        </is>
      </c>
      <c r="F127" s="76" t="n">
        <v>4</v>
      </c>
      <c r="G127" s="146" t="n">
        <v>52000</v>
      </c>
      <c r="H127" s="146" t="n">
        <v>0</v>
      </c>
      <c r="I127" s="269" t="inlineStr">
        <is>
          <t>기타 가공식품</t>
        </is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  <c r="I128" s="269" t="inlineStr">
        <is>
          <t>기타 가공식품</t>
        </is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 30개</t>
        </is>
      </c>
      <c r="F129" s="76" t="n">
        <v>1</v>
      </c>
      <c r="G129" s="146" t="n">
        <v>94000</v>
      </c>
      <c r="H129" s="146" t="n">
        <v>10000</v>
      </c>
      <c r="I129" s="269" t="inlineStr">
        <is>
          <t>기타 가공식품</t>
        </is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 1개</t>
        </is>
      </c>
      <c r="F130" s="76" t="n">
        <v>1</v>
      </c>
      <c r="G130" s="146" t="n">
        <v>43000</v>
      </c>
      <c r="H130" s="146" t="n">
        <v>8600</v>
      </c>
      <c r="I130" s="269" t="inlineStr">
        <is>
          <t>기타 가공식품</t>
        </is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 30개</t>
        </is>
      </c>
      <c r="F131" s="76" t="n">
        <v>0</v>
      </c>
      <c r="G131" s="146" t="n">
        <v>0</v>
      </c>
      <c r="H131" s="146" t="n">
        <v>0</v>
      </c>
      <c r="I131" s="269" t="inlineStr">
        <is>
          <t>기타 가공식품</t>
        </is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 30개</t>
        </is>
      </c>
      <c r="F132" s="76" t="n">
        <v>0</v>
      </c>
      <c r="G132" s="146" t="n">
        <v>0</v>
      </c>
      <c r="H132" s="146" t="n">
        <v>0</v>
      </c>
      <c r="I132" s="269" t="inlineStr">
        <is>
          <t>기타 가공식품</t>
        </is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 완숙토마토 찰토마토2.5k  5k</t>
        </is>
      </c>
      <c r="F133" s="76" t="n">
        <v>415</v>
      </c>
      <c r="G133" s="146" t="n">
        <v>14373700</v>
      </c>
      <c r="H133" s="146" t="n">
        <v>1792660</v>
      </c>
      <c r="I133" s="269" t="inlineStr">
        <is>
          <t>토마토</t>
        </is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  <c r="I134" s="269" t="inlineStr">
        <is>
          <t>채소류(상추, 쌈채소 등)</t>
        </is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  <c r="I135" s="269" t="inlineStr">
        <is>
          <t>채소류(상추, 쌈채소 등)</t>
        </is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  <c r="I136" s="269" t="inlineStr">
        <is>
          <t>채소류(상추, 쌈채소 등)</t>
        </is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  <c r="I137" s="269" t="inlineStr">
        <is>
          <t>채소류(상추, 쌈채소 등)</t>
        </is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 60g  10개</t>
        </is>
      </c>
      <c r="F138" s="76" t="n">
        <v>11</v>
      </c>
      <c r="G138" s="146" t="n">
        <v>295300</v>
      </c>
      <c r="H138" s="146" t="n">
        <v>30780</v>
      </c>
      <c r="I138" s="269" t="inlineStr">
        <is>
          <t>기타 가공식품</t>
        </is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  <c r="I139" s="269" t="inlineStr">
        <is>
          <t>기타 가공식품</t>
        </is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 60g  20개</t>
        </is>
      </c>
      <c r="F140" s="76" t="n">
        <v>5</v>
      </c>
      <c r="G140" s="146" t="n">
        <v>221200</v>
      </c>
      <c r="H140" s="146" t="n">
        <v>34240</v>
      </c>
      <c r="I140" s="269" t="inlineStr">
        <is>
          <t>기타 가공식품</t>
        </is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 60g  40개</t>
        </is>
      </c>
      <c r="F141" s="76" t="n">
        <v>0</v>
      </c>
      <c r="G141" s="146" t="n">
        <v>0</v>
      </c>
      <c r="H141" s="146" t="n">
        <v>0</v>
      </c>
      <c r="I141" s="269" t="inlineStr">
        <is>
          <t>기타 가공식품</t>
        </is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  <c r="I142" s="269" t="inlineStr">
        <is>
          <t>복숭아</t>
        </is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  <c r="I143" s="269" t="inlineStr">
        <is>
          <t>쌀 및 잡곡류</t>
        </is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  <c r="I144" s="269" t="inlineStr">
        <is>
          <t>쌀 및 잡곡류</t>
        </is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  <c r="I145" s="269" t="inlineStr">
        <is>
          <t>쌀 및 잡곡류</t>
        </is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  <c r="I146" s="269" t="inlineStr">
        <is>
          <t>쌀 및 잡곡류</t>
        </is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  <c r="I147" s="269" t="inlineStr">
        <is>
          <t>쌀 및 잡곡류</t>
        </is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  <c r="I148" s="269" t="inlineStr">
        <is>
          <t>쌀 및 잡곡류</t>
        </is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  <c r="I149" s="269" t="inlineStr">
        <is>
          <t>쌀 및 잡곡류</t>
        </is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  <c r="I150" s="269" t="inlineStr">
        <is>
          <t>쌀 및 잡곡류</t>
        </is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  <c r="I151" s="269" t="inlineStr">
        <is>
          <t>쌀 및 잡곡류</t>
        </is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  <c r="I152" s="269" t="inlineStr">
        <is>
          <t>쌀 및 잡곡류</t>
        </is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  <c r="I153" s="269" t="inlineStr">
        <is>
          <t>쌀 및 잡곡류</t>
        </is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  <c r="I154" s="269" t="inlineStr">
        <is>
          <t>쌀 및 잡곡류</t>
        </is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  <c r="I155" s="269" t="inlineStr">
        <is>
          <t>쌀 및 잡곡류</t>
        </is>
      </c>
    </row>
    <row r="156">
      <c r="A156" s="76" t="inlineStr">
        <is>
          <t>네이버</t>
        </is>
      </c>
      <c r="B156" s="24" t="inlineStr">
        <is>
          <t>가공식품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  <c r="I156" s="269" t="inlineStr">
        <is>
          <t>기타 가공식품</t>
        </is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  <c r="I157" s="269" t="inlineStr">
        <is>
          <t>기타 가공식품</t>
        </is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  <c r="I158" s="269" t="inlineStr">
        <is>
          <t>쌀 및 잡곡류</t>
        </is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  <c r="I159" s="269" t="inlineStr">
        <is>
          <t>쌀 및 잡곡류</t>
        </is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  <c r="I160" s="269" t="inlineStr">
        <is>
          <t>기타 가공식품</t>
        </is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  <c r="I161" s="269" t="inlineStr">
        <is>
          <t>쌀 및 잡곡류</t>
        </is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  <c r="I162" s="269" t="inlineStr">
        <is>
          <t>계란(유정란)</t>
        </is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n">
        <v>0</v>
      </c>
      <c r="I163" s="269" t="inlineStr">
        <is>
          <t>기타 가공식품</t>
        </is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 300ml</t>
        </is>
      </c>
      <c r="F164" s="76" t="n">
        <v>0</v>
      </c>
      <c r="G164" s="146" t="n">
        <v>0</v>
      </c>
      <c r="H164" s="146" t="n">
        <v>0</v>
      </c>
      <c r="I164" s="269" t="inlineStr">
        <is>
          <t>기타 가공식품</t>
        </is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  <c r="I165" s="269" t="inlineStr">
        <is>
          <t>쌀 및 잡곡류</t>
        </is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  <c r="I166" s="269" t="inlineStr">
        <is>
          <t>쌀 및 잡곡류</t>
        </is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  <c r="I167" s="269" t="inlineStr">
        <is>
          <t>쌀 및 잡곡류</t>
        </is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  <c r="I168" s="269" t="inlineStr">
        <is>
          <t>쌀 및 잡곡류</t>
        </is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 6개</t>
        </is>
      </c>
      <c r="F169" s="76" t="n">
        <v>47</v>
      </c>
      <c r="G169" s="146" t="n">
        <v>845300</v>
      </c>
      <c r="H169" s="146" t="n">
        <v>74500</v>
      </c>
      <c r="I169" s="269" t="inlineStr">
        <is>
          <t>기타 가공식품</t>
        </is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 24개</t>
        </is>
      </c>
      <c r="F170" s="76" t="n">
        <v>10</v>
      </c>
      <c r="G170" s="146" t="n">
        <v>570500</v>
      </c>
      <c r="H170" s="146" t="n">
        <v>50000</v>
      </c>
      <c r="I170" s="269" t="inlineStr">
        <is>
          <t>기타 가공식품</t>
        </is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 48개</t>
        </is>
      </c>
      <c r="F171" s="76" t="n">
        <v>2</v>
      </c>
      <c r="G171" s="146" t="n">
        <v>222400</v>
      </c>
      <c r="H171" s="146" t="n">
        <v>0</v>
      </c>
      <c r="I171" s="269" t="inlineStr">
        <is>
          <t>기타 가공식품</t>
        </is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  <c r="I172" s="269" t="inlineStr">
        <is>
          <t>쌀 및 잡곡류</t>
        </is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  <c r="I173" s="269" t="inlineStr">
        <is>
          <t>쌀 및 잡곡류</t>
        </is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  <c r="I174" s="269" t="inlineStr">
        <is>
          <t>쌀 및 잡곡류</t>
        </is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n">
        <v>0</v>
      </c>
      <c r="I175" s="269" t="inlineStr">
        <is>
          <t>기타 가공식품</t>
        </is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 1개</t>
        </is>
      </c>
      <c r="F176" s="76" t="n">
        <v>34</v>
      </c>
      <c r="G176" s="146" t="n">
        <v>498000</v>
      </c>
      <c r="H176" s="146" t="n">
        <v>60780</v>
      </c>
      <c r="I176" s="269" t="inlineStr">
        <is>
          <t>김치류(배추김치 등)</t>
        </is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 1개</t>
        </is>
      </c>
      <c r="F177" s="76" t="n">
        <v>62</v>
      </c>
      <c r="G177" s="146" t="n">
        <v>2281100</v>
      </c>
      <c r="H177" s="146" t="n">
        <v>311240</v>
      </c>
      <c r="I177" s="269" t="inlineStr">
        <is>
          <t>김치류(배추김치 등)</t>
        </is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 1개</t>
        </is>
      </c>
      <c r="F178" s="76" t="n">
        <v>46</v>
      </c>
      <c r="G178" s="146" t="n">
        <v>2569800</v>
      </c>
      <c r="H178" s="146" t="n">
        <v>340000</v>
      </c>
      <c r="I178" s="269" t="inlineStr">
        <is>
          <t>김치류(배추김치 등)</t>
        </is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 1개</t>
        </is>
      </c>
      <c r="F179" s="76" t="n">
        <v>13</v>
      </c>
      <c r="G179" s="146" t="n">
        <v>1190000</v>
      </c>
      <c r="H179" s="146" t="n">
        <v>90000</v>
      </c>
      <c r="I179" s="269" t="inlineStr">
        <is>
          <t>김치류(배추김치 등)</t>
        </is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 1개</t>
        </is>
      </c>
      <c r="F180" s="76" t="n">
        <v>111</v>
      </c>
      <c r="G180" s="146" t="n">
        <v>1758700</v>
      </c>
      <c r="H180" s="146" t="n">
        <v>183340</v>
      </c>
      <c r="I180" s="269" t="inlineStr">
        <is>
          <t>김치류(배추김치 등)</t>
        </is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 1개</t>
        </is>
      </c>
      <c r="F181" s="76" t="n">
        <v>57</v>
      </c>
      <c r="G181" s="146" t="n">
        <v>2049800</v>
      </c>
      <c r="H181" s="146" t="n">
        <v>244860</v>
      </c>
      <c r="I181" s="269" t="inlineStr">
        <is>
          <t>김치류(배추김치 등)</t>
        </is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 1개</t>
        </is>
      </c>
      <c r="F182" s="76" t="n">
        <v>13</v>
      </c>
      <c r="G182" s="146" t="n">
        <v>715200</v>
      </c>
      <c r="H182" s="146" t="n">
        <v>110000</v>
      </c>
      <c r="I182" s="269" t="inlineStr">
        <is>
          <t>김치류(배추김치 등)</t>
        </is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 1개</t>
        </is>
      </c>
      <c r="F183" s="76" t="n">
        <v>5</v>
      </c>
      <c r="G183" s="146" t="n">
        <v>462000</v>
      </c>
      <c r="H183" s="146" t="n">
        <v>10000</v>
      </c>
      <c r="I183" s="269" t="inlineStr">
        <is>
          <t>김치류(배추김치 등)</t>
        </is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 1개</t>
        </is>
      </c>
      <c r="F184" s="76" t="n">
        <v>142</v>
      </c>
      <c r="G184" s="146" t="n">
        <v>1460900</v>
      </c>
      <c r="H184" s="146" t="n">
        <v>127340</v>
      </c>
      <c r="I184" s="269" t="inlineStr">
        <is>
          <t>김치류(배추김치 등)</t>
        </is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 1개</t>
        </is>
      </c>
      <c r="F185" s="76" t="n">
        <v>55</v>
      </c>
      <c r="G185" s="146" t="n">
        <v>1473500</v>
      </c>
      <c r="H185" s="146" t="n">
        <v>149370</v>
      </c>
      <c r="I185" s="269" t="inlineStr">
        <is>
          <t>김치류(배추김치 등)</t>
        </is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 1개</t>
        </is>
      </c>
      <c r="F186" s="76" t="n">
        <v>9</v>
      </c>
      <c r="G186" s="146" t="n">
        <v>386800</v>
      </c>
      <c r="H186" s="146" t="n">
        <v>43000</v>
      </c>
      <c r="I186" s="269" t="inlineStr">
        <is>
          <t>김치류(배추김치 등)</t>
        </is>
      </c>
    </row>
    <row r="187">
      <c r="A187" s="76" t="inlineStr">
        <is>
          <t>네이버</t>
        </is>
      </c>
      <c r="B187" s="108" t="inlineStr">
        <is>
          <t>가공식품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 12개</t>
        </is>
      </c>
      <c r="F187" s="76" t="n">
        <v>1480</v>
      </c>
      <c r="G187" s="146" t="n">
        <v>34772000</v>
      </c>
      <c r="H187" s="146" t="n">
        <v>4116840</v>
      </c>
      <c r="I187" s="269" t="inlineStr">
        <is>
          <t>기타 가공식품</t>
        </is>
      </c>
    </row>
    <row r="188">
      <c r="A188" s="76" t="inlineStr">
        <is>
          <t>네이버</t>
        </is>
      </c>
      <c r="B188" s="108" t="inlineStr">
        <is>
          <t>가공식품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 36개</t>
        </is>
      </c>
      <c r="F188" s="76" t="n">
        <v>86</v>
      </c>
      <c r="G188" s="146" t="n">
        <v>5595000</v>
      </c>
      <c r="H188" s="146" t="n">
        <v>480000</v>
      </c>
      <c r="I188" s="269" t="inlineStr">
        <is>
          <t>기타 가공식품</t>
        </is>
      </c>
    </row>
    <row r="189">
      <c r="A189" s="76" t="inlineStr">
        <is>
          <t>네이버</t>
        </is>
      </c>
      <c r="B189" s="108" t="inlineStr">
        <is>
          <t>가공식품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 24개</t>
        </is>
      </c>
      <c r="F189" s="76" t="n">
        <v>441</v>
      </c>
      <c r="G189" s="146" t="n">
        <v>18460000</v>
      </c>
      <c r="H189" s="146" t="n">
        <v>2760280</v>
      </c>
      <c r="I189" s="269" t="inlineStr">
        <is>
          <t>기타 가공식품</t>
        </is>
      </c>
    </row>
    <row r="190">
      <c r="A190" s="76" t="inlineStr">
        <is>
          <t>네이버</t>
        </is>
      </c>
      <c r="B190" s="108" t="inlineStr">
        <is>
          <t>가공식품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 48개</t>
        </is>
      </c>
      <c r="F190" s="76" t="n">
        <v>40</v>
      </c>
      <c r="G190" s="146" t="n">
        <v>4364000</v>
      </c>
      <c r="H190" s="146" t="n">
        <v>260000</v>
      </c>
      <c r="I190" s="269" t="inlineStr">
        <is>
          <t>기타 가공식품</t>
        </is>
      </c>
    </row>
    <row r="191">
      <c r="A191" s="76" t="inlineStr">
        <is>
          <t>네이버</t>
        </is>
      </c>
      <c r="B191" s="108" t="inlineStr">
        <is>
          <t>가공식품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  <c r="I191" s="269" t="inlineStr">
        <is>
          <t>기타 가공식품</t>
        </is>
      </c>
    </row>
    <row r="192">
      <c r="A192" s="76" t="inlineStr">
        <is>
          <t>네이버</t>
        </is>
      </c>
      <c r="B192" s="108" t="inlineStr">
        <is>
          <t>가공식품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  <c r="I192" s="269" t="inlineStr">
        <is>
          <t>기타 가공식품</t>
        </is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  <c r="I193" s="269" t="inlineStr">
        <is>
          <t>즙/주스류(양파즙, 토마토즙 등)</t>
        </is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  <c r="I194" s="269" t="inlineStr">
        <is>
          <t>기타 가공식품</t>
        </is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  <c r="I195" s="269" t="inlineStr">
        <is>
          <t>기타 가공식품</t>
        </is>
      </c>
    </row>
    <row r="196">
      <c r="A196" s="76" t="inlineStr">
        <is>
          <t>네이버</t>
        </is>
      </c>
      <c r="B196" s="108" t="inlineStr">
        <is>
          <t>가공식품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n">
        <v>0</v>
      </c>
      <c r="I196" s="269" t="inlineStr">
        <is>
          <t>기타 가공식품</t>
        </is>
      </c>
    </row>
    <row r="197">
      <c r="A197" s="76" t="inlineStr">
        <is>
          <t>네이버</t>
        </is>
      </c>
      <c r="B197" s="108" t="inlineStr">
        <is>
          <t>가공식품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 친환경무농약 생표고버섯1kg</t>
        </is>
      </c>
      <c r="F197" s="76" t="n">
        <v>0</v>
      </c>
      <c r="G197" s="146" t="n">
        <v>0</v>
      </c>
      <c r="H197" s="146" t="n">
        <v>0</v>
      </c>
      <c r="I197" s="269" t="inlineStr">
        <is>
          <t>기타 가공식품</t>
        </is>
      </c>
    </row>
    <row r="198">
      <c r="A198" s="76" t="inlineStr">
        <is>
          <t>네이버</t>
        </is>
      </c>
      <c r="B198" s="108" t="inlineStr">
        <is>
          <t>가공식품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n">
        <v>0</v>
      </c>
      <c r="H198" s="146" t="n">
        <v>0</v>
      </c>
      <c r="I198" s="269" t="inlineStr">
        <is>
          <t>기타 가공식품</t>
        </is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  <c r="I199" s="269" t="inlineStr">
        <is>
          <t>쌀 및 잡곡류</t>
        </is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  <c r="I200" s="269" t="inlineStr">
        <is>
          <t>기타 가공식품</t>
        </is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n">
        <v>0</v>
      </c>
      <c r="I201" s="269" t="inlineStr">
        <is>
          <t>쌀 및 잡곡류</t>
        </is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n">
        <v>0</v>
      </c>
      <c r="I202" s="269" t="inlineStr">
        <is>
          <t>쌀 및 잡곡류</t>
        </is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n">
        <v>0</v>
      </c>
      <c r="I203" s="269" t="inlineStr">
        <is>
          <t>쌀 및 잡곡류</t>
        </is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n">
        <v>0</v>
      </c>
      <c r="I204" s="269" t="inlineStr">
        <is>
          <t>쌀 및 잡곡류</t>
        </is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 유기농 잡곡 쌀 10kg(1kg 10팩) 혼합곡</t>
        </is>
      </c>
      <c r="F205" s="76" t="n">
        <v>8</v>
      </c>
      <c r="G205" s="146" t="n">
        <v>494390</v>
      </c>
      <c r="H205" s="146" t="n">
        <v>0</v>
      </c>
      <c r="I205" s="269" t="inlineStr">
        <is>
          <t>쌀 및 잡곡류</t>
        </is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n">
        <v>0</v>
      </c>
      <c r="I206" s="269" t="inlineStr">
        <is>
          <t>기타 가공식품</t>
        </is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n">
        <v>0</v>
      </c>
      <c r="I207" s="269" t="inlineStr">
        <is>
          <t>기타 가공식품</t>
        </is>
      </c>
    </row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23" customWidth="1" style="21" min="2" max="2"/>
    <col width="33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89" customWidth="1" style="21" min="8" max="8"/>
    <col width="15" customWidth="1" style="21" min="9" max="9"/>
    <col width="23" customWidth="1" style="21" min="10" max="10"/>
    <col width="21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49" t="inlineStr">
        <is>
          <t>2026 aT 온라인 판로지원 - 8월 품목분류 오류 정밀 감사 목록 (총 66건)</t>
        </is>
      </c>
    </row>
    <row r="2">
      <c r="A2" s="237" t="inlineStr">
        <is>
          <t>※ 8월 실적 로우데이터(1,651건) 전수 감사 | 8월 신규 인입 51건 + 기존 지속 15건 | 오판단 False Positive 100% 제거 완료</t>
        </is>
      </c>
    </row>
    <row r="4" ht="25" customHeight="1" s="21">
      <c r="A4" s="238" t="inlineStr">
        <is>
          <t>No</t>
        </is>
      </c>
      <c r="B4" s="238" t="inlineStr">
        <is>
          <t>인입 구분</t>
        </is>
      </c>
      <c r="C4" s="238" t="inlineStr">
        <is>
          <t>이상치 유형</t>
        </is>
      </c>
      <c r="D4" s="238" t="inlineStr">
        <is>
          <t>기획전</t>
        </is>
      </c>
      <c r="E4" s="238" t="inlineStr">
        <is>
          <t>유통사</t>
        </is>
      </c>
      <c r="F4" s="238" t="inlineStr">
        <is>
          <t>판매자명(업체명)</t>
        </is>
      </c>
      <c r="G4" s="238" t="inlineStr">
        <is>
          <t>사업자번호</t>
        </is>
      </c>
      <c r="H4" s="238" t="inlineStr">
        <is>
          <t>상품명</t>
        </is>
      </c>
      <c r="I4" s="238" t="inlineStr">
        <is>
          <t>8월 현재분류</t>
        </is>
      </c>
      <c r="J4" s="238" t="inlineStr">
        <is>
          <t>권고 정정분류</t>
        </is>
      </c>
      <c r="K4" s="238" t="inlineStr">
        <is>
          <t>8월 순수매출액(원)</t>
        </is>
      </c>
      <c r="L4" s="238" t="inlineStr">
        <is>
          <t>8월 주문수(건)</t>
        </is>
      </c>
      <c r="M4" s="238" t="inlineStr">
        <is>
          <t>8월 쿠폰지원액(원)</t>
        </is>
      </c>
      <c r="N4" s="238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기존 참여 지속</t>
        </is>
      </c>
      <c r="C5" s="239" t="inlineStr">
        <is>
          <t>조미가공육 ➡️ 축산물 오등록</t>
        </is>
      </c>
      <c r="D5" s="239" t="inlineStr">
        <is>
          <t>농산물</t>
        </is>
      </c>
      <c r="E5" s="239" t="inlineStr">
        <is>
          <t>지마켓</t>
        </is>
      </c>
      <c r="F5" s="240" t="inlineStr">
        <is>
          <t>두원식품(주)</t>
        </is>
      </c>
      <c r="G5" s="239" t="inlineStr">
        <is>
          <t>606-81-52718</t>
        </is>
      </c>
      <c r="H5" s="240" t="inlineStr">
        <is>
          <t>haccp인증 국내산 한돈 고추장 주물럭 300g x6팩(총 1.8kg)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65000</v>
      </c>
      <c r="L5" s="182" t="n">
        <v>2</v>
      </c>
      <c r="M5" s="182" t="n">
        <v>6500</v>
      </c>
      <c r="N5" s="240" t="inlineStr">
        <is>
          <t>식육가공품(양념조미육(주물럭))이나 1차 생육 축산물로 오등록됨</t>
        </is>
      </c>
    </row>
    <row r="6" ht="20" customHeight="1" s="21">
      <c r="A6" s="239" t="n">
        <v>2</v>
      </c>
      <c r="B6" s="239" t="inlineStr">
        <is>
          <t>기존 참여 지속</t>
        </is>
      </c>
      <c r="C6" s="239" t="inlineStr">
        <is>
          <t>조미가공육 ➡️ 축산물 오등록</t>
        </is>
      </c>
      <c r="D6" s="239" t="inlineStr">
        <is>
          <t>농산물</t>
        </is>
      </c>
      <c r="E6" s="239" t="inlineStr">
        <is>
          <t>지마켓</t>
        </is>
      </c>
      <c r="F6" s="240" t="inlineStr">
        <is>
          <t>두원식품(주)</t>
        </is>
      </c>
      <c r="G6" s="239" t="inlineStr">
        <is>
          <t>606-81-52718</t>
        </is>
      </c>
      <c r="H6" s="240" t="inlineStr">
        <is>
          <t>국내산 한돈 고추장 주물럭 300g + 300g 제육볶음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157900</v>
      </c>
      <c r="L6" s="182" t="n">
        <v>11</v>
      </c>
      <c r="M6" s="182" t="n">
        <v>11920</v>
      </c>
      <c r="N6" s="240" t="inlineStr">
        <is>
          <t>식육가공품(양념조미육(주물럭))이나 1차 생육 축산물로 오등록됨</t>
        </is>
      </c>
    </row>
    <row r="7" ht="20" customHeight="1" s="21">
      <c r="A7" s="239" t="n">
        <v>3</v>
      </c>
      <c r="B7" s="239" t="inlineStr">
        <is>
          <t>8월 신규 인입</t>
        </is>
      </c>
      <c r="C7" s="239" t="inlineStr">
        <is>
          <t>가공완제품 ➡️ 농산물 원물 오등록</t>
        </is>
      </c>
      <c r="D7" s="239" t="inlineStr">
        <is>
          <t>농산물</t>
        </is>
      </c>
      <c r="E7" s="239" t="inlineStr">
        <is>
          <t>지마켓</t>
        </is>
      </c>
      <c r="F7" s="240" t="inlineStr">
        <is>
          <t>아침햇살영농조합법인</t>
        </is>
      </c>
      <c r="G7" s="239" t="inlineStr">
        <is>
          <t>508-81-33305</t>
        </is>
      </c>
      <c r="H7" s="240" t="inlineStr">
        <is>
          <t>사과를 가득담아 사과100% 사과꽃향기 사과즙 100mlX50팩 NFC착즙/(스타배송)</t>
        </is>
      </c>
      <c r="I7" s="173" t="inlineStr">
        <is>
          <t>농산물</t>
        </is>
      </c>
      <c r="J7" s="241" t="inlineStr">
        <is>
          <t>가공식품(제조가공품)</t>
        </is>
      </c>
      <c r="K7" s="182" t="n">
        <v>241400</v>
      </c>
      <c r="L7" s="182" t="n">
        <v>16</v>
      </c>
      <c r="M7" s="182" t="n">
        <v>0</v>
      </c>
      <c r="N7" s="240" t="inlineStr">
        <is>
          <t>제조가공식품(과채가공품(사과즙/NFC착즙))이나 1차 신선 농산물 원물로 오등록됨</t>
        </is>
      </c>
    </row>
    <row r="8" ht="20" customHeight="1" s="21">
      <c r="A8" s="239" t="n">
        <v>4</v>
      </c>
      <c r="B8" s="239" t="inlineStr">
        <is>
          <t>기존 참여 지속</t>
        </is>
      </c>
      <c r="C8" s="239" t="inlineStr">
        <is>
          <t>조미가공육 ➡️ 축산물 오등록</t>
        </is>
      </c>
      <c r="D8" s="239" t="inlineStr">
        <is>
          <t>농산물</t>
        </is>
      </c>
      <c r="E8" s="239" t="inlineStr">
        <is>
          <t>롯데ON</t>
        </is>
      </c>
      <c r="F8" s="240" t="inlineStr">
        <is>
          <t>주식회사 더락</t>
        </is>
      </c>
      <c r="G8" s="239" t="inlineStr">
        <is>
          <t>593-86-01295</t>
        </is>
      </c>
      <c r="H8" s="240" t="inlineStr">
        <is>
          <t>국내산 한돈 수제 양념 돼지갈비 450G (2종 중 택1)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37312000</v>
      </c>
      <c r="L8" s="182" t="n">
        <v>729</v>
      </c>
      <c r="M8" s="182" t="n">
        <v>4967600</v>
      </c>
      <c r="N8" s="240" t="inlineStr">
        <is>
          <t>식육가공품(양념조미육)이나 1차 생육 축산물로 오등록됨</t>
        </is>
      </c>
    </row>
    <row r="9" ht="20" customHeight="1" s="21">
      <c r="A9" s="239" t="n">
        <v>5</v>
      </c>
      <c r="B9" s="239" t="inlineStr">
        <is>
          <t>기존 참여 지속</t>
        </is>
      </c>
      <c r="C9" s="239" t="inlineStr">
        <is>
          <t>조미가공육 ➡️ 축산물 오등록</t>
        </is>
      </c>
      <c r="D9" s="239" t="inlineStr">
        <is>
          <t>농산물</t>
        </is>
      </c>
      <c r="E9" s="239" t="inlineStr">
        <is>
          <t>롯데ON</t>
        </is>
      </c>
      <c r="F9" s="240" t="inlineStr">
        <is>
          <t>농업회사법인 라이플로우 주식회사</t>
        </is>
      </c>
      <c r="G9" s="239" t="inlineStr">
        <is>
          <t>715-87-02493</t>
        </is>
      </c>
      <c r="H9" s="240" t="inlineStr">
        <is>
          <t>[온누리7%혜택][주왕산가든] 한우불고기 전골 밀키트 750g 3인분 불고기 육수 야채 소불고기</t>
        </is>
      </c>
      <c r="I9" s="173" t="inlineStr">
        <is>
          <t>축산물</t>
        </is>
      </c>
      <c r="J9" s="241" t="inlineStr">
        <is>
          <t>가공식품(식육가공품)</t>
        </is>
      </c>
      <c r="K9" s="182" t="n">
        <v>1967900</v>
      </c>
      <c r="L9" s="182" t="n">
        <v>65</v>
      </c>
      <c r="M9" s="182" t="n">
        <v>371630</v>
      </c>
      <c r="N9" s="240" t="inlineStr">
        <is>
          <t>식육가공품(양념조미육(불고기))이나 1차 생육 축산물로 오등록됨</t>
        </is>
      </c>
    </row>
    <row r="10" ht="20" customHeight="1" s="21">
      <c r="A10" s="239" t="n">
        <v>6</v>
      </c>
      <c r="B10" s="239" t="inlineStr">
        <is>
          <t>기존 참여 지속</t>
        </is>
      </c>
      <c r="C10" s="239" t="inlineStr">
        <is>
          <t>조미가공육 ➡️ 축산물 오등록</t>
        </is>
      </c>
      <c r="D10" s="239" t="inlineStr">
        <is>
          <t>농산물</t>
        </is>
      </c>
      <c r="E10" s="239" t="inlineStr">
        <is>
          <t>롯데ON</t>
        </is>
      </c>
      <c r="F10" s="240" t="inlineStr">
        <is>
          <t>농업회사법인 라이플로우 주식회사</t>
        </is>
      </c>
      <c r="G10" s="239" t="inlineStr">
        <is>
          <t>715-87-02493</t>
        </is>
      </c>
      <c r="H10" s="240" t="inlineStr">
        <is>
          <t>[온누리7%혜택][주왕산가든] 명품 한돈 수제 돼지갈비 실속형 500g 양념돼지갈비 밀키트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345000</v>
      </c>
      <c r="L10" s="182" t="n">
        <v>11</v>
      </c>
      <c r="M10" s="182" t="n">
        <v>63050</v>
      </c>
      <c r="N10" s="240" t="inlineStr">
        <is>
          <t>식육가공품(양념조미육)이나 1차 생육 축산물로 오등록됨</t>
        </is>
      </c>
    </row>
    <row r="11" ht="20" customHeight="1" s="21">
      <c r="A11" s="239" t="n">
        <v>7</v>
      </c>
      <c r="B11" s="239" t="inlineStr">
        <is>
          <t>기존 참여 지속</t>
        </is>
      </c>
      <c r="C11" s="239" t="inlineStr">
        <is>
          <t>조미가공육 ➡️ 축산물 오등록</t>
        </is>
      </c>
      <c r="D11" s="239" t="inlineStr">
        <is>
          <t>농산물</t>
        </is>
      </c>
      <c r="E11" s="239" t="inlineStr">
        <is>
          <t>롯데ON</t>
        </is>
      </c>
      <c r="F11" s="240" t="inlineStr">
        <is>
          <t>주식회사 태범프레시</t>
        </is>
      </c>
      <c r="G11" s="239" t="inlineStr">
        <is>
          <t>832-86-02035</t>
        </is>
      </c>
      <c r="H11" s="240" t="inlineStr">
        <is>
          <t>[홍익상회] 춘천닭갈비 500g x 3팩 국내산닭고기 양념 순살</t>
        </is>
      </c>
      <c r="I11" s="173" t="inlineStr">
        <is>
          <t>축산물</t>
        </is>
      </c>
      <c r="J11" s="241" t="inlineStr">
        <is>
          <t>가공식품(식육가공품)</t>
        </is>
      </c>
      <c r="K11" s="182" t="n">
        <v>0</v>
      </c>
      <c r="L11" s="182" t="n">
        <v>0</v>
      </c>
      <c r="M11" s="182" t="n">
        <v>0</v>
      </c>
      <c r="N11" s="240" t="inlineStr">
        <is>
          <t>식육가공품(조미가공육(춘천닭갈비))이나 1차 생육 축산물로 오등록됨</t>
        </is>
      </c>
    </row>
    <row r="12" ht="20" customHeight="1" s="21">
      <c r="A12" s="239" t="n">
        <v>8</v>
      </c>
      <c r="B12" s="239" t="inlineStr">
        <is>
          <t>기존 참여 지속</t>
        </is>
      </c>
      <c r="C12" s="239" t="inlineStr">
        <is>
          <t>조미가공육 ➡️ 축산물 오등록</t>
        </is>
      </c>
      <c r="D12" s="239" t="inlineStr">
        <is>
          <t>농산물</t>
        </is>
      </c>
      <c r="E12" s="239" t="inlineStr">
        <is>
          <t>롯데ON</t>
        </is>
      </c>
      <c r="F12" s="240" t="inlineStr">
        <is>
          <t>주식회사 영인에프앤에스</t>
        </is>
      </c>
      <c r="G12" s="239" t="inlineStr">
        <is>
          <t>847-88-01537</t>
        </is>
      </c>
      <c r="H12" s="240" t="inlineStr">
        <is>
          <t>삶은 돼지 대창 1kg</t>
        </is>
      </c>
      <c r="I12" s="173" t="inlineStr">
        <is>
          <t>축산물</t>
        </is>
      </c>
      <c r="J12" s="241" t="inlineStr">
        <is>
          <t>가공식품(식육가공품)</t>
        </is>
      </c>
      <c r="K12" s="182" t="n">
        <v>54500</v>
      </c>
      <c r="L12" s="182" t="n">
        <v>7</v>
      </c>
      <c r="M12" s="182" t="n">
        <v>9440</v>
      </c>
      <c r="N12" s="240" t="inlineStr">
        <is>
          <t>식육가공품(양념/가공육(대창))이나 1차 생육 축산물로 오등록됨</t>
        </is>
      </c>
    </row>
    <row r="13" ht="20" customHeight="1" s="21">
      <c r="A13" s="239" t="n">
        <v>9</v>
      </c>
      <c r="B13" s="239" t="inlineStr">
        <is>
          <t>기존 참여 지속</t>
        </is>
      </c>
      <c r="C13" s="239" t="inlineStr">
        <is>
          <t>조미가공육 ➡️ 축산물 오등록</t>
        </is>
      </c>
      <c r="D13" s="239" t="inlineStr">
        <is>
          <t>농산물</t>
        </is>
      </c>
      <c r="E13" s="239" t="inlineStr">
        <is>
          <t>롯데ON</t>
        </is>
      </c>
      <c r="F13" s="240" t="inlineStr">
        <is>
          <t>주식회사 삼형제월드</t>
        </is>
      </c>
      <c r="G13" s="239" t="inlineStr">
        <is>
          <t>185-87-01669</t>
        </is>
      </c>
      <c r="H13" s="240" t="inlineStr">
        <is>
          <t>삼형제고기 한돈 간장 고추장 불고기 1kg (200g x 5팩)</t>
        </is>
      </c>
      <c r="I13" s="173" t="inlineStr">
        <is>
          <t>축산물</t>
        </is>
      </c>
      <c r="J13" s="241" t="inlineStr">
        <is>
          <t>가공식품(식육가공품)</t>
        </is>
      </c>
      <c r="K13" s="182" t="n">
        <v>0</v>
      </c>
      <c r="L13" s="182" t="n">
        <v>0</v>
      </c>
      <c r="M13" s="182" t="n">
        <v>0</v>
      </c>
      <c r="N13" s="240" t="inlineStr">
        <is>
          <t>식육가공품(양념조미육(불고기))이나 1차 생육 축산물로 오등록됨</t>
        </is>
      </c>
    </row>
    <row r="14" ht="20" customHeight="1" s="21">
      <c r="A14" s="239" t="n">
        <v>10</v>
      </c>
      <c r="B14" s="239" t="inlineStr">
        <is>
          <t>기존 참여 지속</t>
        </is>
      </c>
      <c r="C14" s="239" t="inlineStr">
        <is>
          <t>조미가공육 ➡️ 축산물 오등록</t>
        </is>
      </c>
      <c r="D14" s="239" t="inlineStr">
        <is>
          <t>농산물</t>
        </is>
      </c>
      <c r="E14" s="239" t="inlineStr">
        <is>
          <t>롯데ON</t>
        </is>
      </c>
      <c r="F14" s="240" t="inlineStr">
        <is>
          <t>주식회사 태범프레시</t>
        </is>
      </c>
      <c r="G14" s="239" t="inlineStr">
        <is>
          <t>832-86-02035</t>
        </is>
      </c>
      <c r="H14" s="240" t="inlineStr">
        <is>
          <t>[홍익상회] 춘천 홍익닭갈비 500g x 3팩 국내산 닭고기 양념 순살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2552440</v>
      </c>
      <c r="L14" s="182" t="n">
        <v>73</v>
      </c>
      <c r="M14" s="182" t="n">
        <v>410540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8월 신규 인입</t>
        </is>
      </c>
      <c r="C15" s="239" t="inlineStr">
        <is>
          <t>조미가공육 ➡️ 축산물 오등록</t>
        </is>
      </c>
      <c r="D15" s="239" t="inlineStr">
        <is>
          <t>농산물</t>
        </is>
      </c>
      <c r="E15" s="239" t="inlineStr">
        <is>
          <t>롯데ON</t>
        </is>
      </c>
      <c r="F15" s="240" t="inlineStr">
        <is>
          <t>주식회사 태범프레시</t>
        </is>
      </c>
      <c r="G15" s="239" t="inlineStr">
        <is>
          <t>832-86-02035</t>
        </is>
      </c>
      <c r="H15" s="240" t="inlineStr">
        <is>
          <t>한돈스테이크 4장x1팩 오븐 직화 떡갈비 맛 함박 스테이크 너비아니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29900</v>
      </c>
      <c r="L15" s="182" t="n">
        <v>1</v>
      </c>
      <c r="M15" s="182" t="n">
        <v>5740</v>
      </c>
      <c r="N15" s="240" t="inlineStr">
        <is>
          <t>식육가공품(가공육(떡갈비·수제패티))이나 1차 생육 축산물로 오등록됨</t>
        </is>
      </c>
    </row>
    <row r="16" ht="20" customHeight="1" s="21">
      <c r="A16" s="239" t="n">
        <v>12</v>
      </c>
      <c r="B16" s="239" t="inlineStr">
        <is>
          <t>8월 신규 인입</t>
        </is>
      </c>
      <c r="C16" s="239" t="inlineStr">
        <is>
          <t>조미가공육 ➡️ 축산물 오등록</t>
        </is>
      </c>
      <c r="D16" s="239" t="inlineStr">
        <is>
          <t>농산물</t>
        </is>
      </c>
      <c r="E16" s="239" t="inlineStr">
        <is>
          <t>롯데ON</t>
        </is>
      </c>
      <c r="F16" s="240" t="inlineStr">
        <is>
          <t>주식회사 태범프레시</t>
        </is>
      </c>
      <c r="G16" s="239" t="inlineStr">
        <is>
          <t>832-86-02035</t>
        </is>
      </c>
      <c r="H16" s="240" t="inlineStr">
        <is>
          <t>홍익상회 양념 오리 불고기 고추장 주물럭 400g (2인분) x 3팩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71800</v>
      </c>
      <c r="L16" s="182" t="n">
        <v>2</v>
      </c>
      <c r="M16" s="182" t="n">
        <v>13340</v>
      </c>
      <c r="N16" s="240" t="inlineStr">
        <is>
          <t>식육가공품(양념조미육(주물럭))이나 1차 생육 축산물로 오등록됨</t>
        </is>
      </c>
    </row>
    <row r="17" ht="20" customHeight="1" s="21">
      <c r="A17" s="239" t="n">
        <v>13</v>
      </c>
      <c r="B17" s="239" t="inlineStr">
        <is>
          <t>8월 신규 인입</t>
        </is>
      </c>
      <c r="C17" s="239" t="inlineStr">
        <is>
          <t>조미가공육 ➡️ 축산물 오등록</t>
        </is>
      </c>
      <c r="D17" s="239" t="inlineStr">
        <is>
          <t>농산물</t>
        </is>
      </c>
      <c r="E17" s="239" t="inlineStr">
        <is>
          <t>롯데ON</t>
        </is>
      </c>
      <c r="F17" s="240" t="inlineStr">
        <is>
          <t>주식회사 태범프레시</t>
        </is>
      </c>
      <c r="G17" s="239" t="inlineStr">
        <is>
          <t>832-86-02035</t>
        </is>
      </c>
      <c r="H17" s="240" t="inlineStr">
        <is>
          <t>[APP전용][홍익상회] 춘천 국내산 홍익 순살 닭갈비 500g x 5팩/3팩</t>
        </is>
      </c>
      <c r="I17" s="173" t="inlineStr">
        <is>
          <t>축산물</t>
        </is>
      </c>
      <c r="J17" s="241" t="inlineStr">
        <is>
          <t>가공식품(식육가공품)</t>
        </is>
      </c>
      <c r="K17" s="182" t="n">
        <v>308550</v>
      </c>
      <c r="L17" s="182" t="n">
        <v>4</v>
      </c>
      <c r="M17" s="182" t="n">
        <v>36820</v>
      </c>
      <c r="N17" s="240" t="inlineStr">
        <is>
          <t>식육가공품(조미가공육(춘천닭갈비))이나 1차 생육 축산물로 오등록됨</t>
        </is>
      </c>
    </row>
    <row r="18" ht="20" customHeight="1" s="21">
      <c r="A18" s="239" t="n">
        <v>14</v>
      </c>
      <c r="B18" s="239" t="inlineStr">
        <is>
          <t>8월 신규 인입</t>
        </is>
      </c>
      <c r="C18" s="239" t="inlineStr">
        <is>
          <t>조미가공육 ➡️ 축산물 오등록</t>
        </is>
      </c>
      <c r="D18" s="239" t="inlineStr">
        <is>
          <t>농산물</t>
        </is>
      </c>
      <c r="E18" s="239" t="inlineStr">
        <is>
          <t>롯데ON</t>
        </is>
      </c>
      <c r="F18" s="240" t="inlineStr">
        <is>
          <t>주식회사 태범프레시</t>
        </is>
      </c>
      <c r="G18" s="239" t="inlineStr">
        <is>
          <t>832-86-02035</t>
        </is>
      </c>
      <c r="H18" s="240" t="inlineStr">
        <is>
          <t>[홍익상회] 춘천 국내산 홍익 순살 닭갈비 500g x 5팩/3팩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0</v>
      </c>
      <c r="L18" s="182" t="n">
        <v>0</v>
      </c>
      <c r="M18" s="182" t="n">
        <v>0</v>
      </c>
      <c r="N18" s="240" t="inlineStr">
        <is>
          <t>식육가공품(조미가공육(춘천닭갈비))이나 1차 생육 축산물로 오등록됨</t>
        </is>
      </c>
    </row>
    <row r="19" ht="20" customHeight="1" s="21">
      <c r="A19" s="239" t="n">
        <v>15</v>
      </c>
      <c r="B19" s="239" t="inlineStr">
        <is>
          <t>기존 참여 지속</t>
        </is>
      </c>
      <c r="C19" s="239" t="inlineStr">
        <is>
          <t>조미가공육 ➡️ 축산물 오등록</t>
        </is>
      </c>
      <c r="D19" s="239" t="inlineStr">
        <is>
          <t>농산물</t>
        </is>
      </c>
      <c r="E19" s="239" t="inlineStr">
        <is>
          <t>오아시스</t>
        </is>
      </c>
      <c r="F19" s="240" t="inlineStr">
        <is>
          <t>케이에프지</t>
        </is>
      </c>
      <c r="G19" s="239" t="inlineStr">
        <is>
          <t>120-86-08936</t>
        </is>
      </c>
      <c r="H19" s="240" t="inlineStr">
        <is>
          <t>한돈 칼집 양념구이 (650g X 1개)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30197000</v>
      </c>
      <c r="L19" s="182" t="n">
        <v>2552</v>
      </c>
      <c r="M19" s="182" t="n">
        <v>490780</v>
      </c>
      <c r="N19" s="240" t="inlineStr">
        <is>
          <t>식육가공품(양념조미육)이나 1차 생육 축산물로 오등록됨</t>
        </is>
      </c>
    </row>
    <row r="20" ht="20" customHeight="1" s="21">
      <c r="A20" s="239" t="n">
        <v>16</v>
      </c>
      <c r="B20" s="239" t="inlineStr">
        <is>
          <t>기존 참여 지속</t>
        </is>
      </c>
      <c r="C20" s="239" t="inlineStr">
        <is>
          <t>조미가공육 ➡️ 축산물 오등록</t>
        </is>
      </c>
      <c r="D20" s="239" t="inlineStr">
        <is>
          <t>농산물</t>
        </is>
      </c>
      <c r="E20" s="239" t="inlineStr">
        <is>
          <t>오아시스</t>
        </is>
      </c>
      <c r="F20" s="240" t="inlineStr">
        <is>
          <t>케이에프지</t>
        </is>
      </c>
      <c r="G20" s="239" t="inlineStr">
        <is>
          <t>120-86-08936</t>
        </is>
      </c>
      <c r="H20" s="240" t="inlineStr">
        <is>
          <t>서울식 한우 불고기 밀키트 (800g X 1개)</t>
        </is>
      </c>
      <c r="I20" s="173" t="inlineStr">
        <is>
          <t>축산물</t>
        </is>
      </c>
      <c r="J20" s="241" t="inlineStr">
        <is>
          <t>가공식품(식육가공품)</t>
        </is>
      </c>
      <c r="K20" s="182" t="n">
        <v>15422600</v>
      </c>
      <c r="L20" s="182" t="n">
        <v>883</v>
      </c>
      <c r="M20" s="182" t="n">
        <v>271750</v>
      </c>
      <c r="N20" s="240" t="inlineStr">
        <is>
          <t>식육가공품(양념조미육(불고기))이나 1차 생육 축산물로 오등록됨</t>
        </is>
      </c>
    </row>
    <row r="21" ht="20" customHeight="1" s="21">
      <c r="A21" s="239" t="n">
        <v>17</v>
      </c>
      <c r="B21" s="239" t="inlineStr">
        <is>
          <t>기존 참여 지속</t>
        </is>
      </c>
      <c r="C21" s="239" t="inlineStr">
        <is>
          <t>조미가공육 ➡️ 축산물 오등록</t>
        </is>
      </c>
      <c r="D21" s="239" t="inlineStr">
        <is>
          <t>농산물</t>
        </is>
      </c>
      <c r="E21" s="239" t="inlineStr">
        <is>
          <t>오아시스</t>
        </is>
      </c>
      <c r="F21" s="240" t="inlineStr">
        <is>
          <t>농업회사법인 주식회사 팔농</t>
        </is>
      </c>
      <c r="G21" s="239" t="inlineStr">
        <is>
          <t>797-88-03152</t>
        </is>
      </c>
      <c r="H21" s="240" t="inlineStr">
        <is>
          <t>안동한우양반곱창 한우곱창 200gX2팩 (400g)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508800</v>
      </c>
      <c r="L21" s="182" t="n">
        <v>16</v>
      </c>
      <c r="M21" s="182" t="n">
        <v>92680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기존 참여 지속</t>
        </is>
      </c>
      <c r="C22" s="239" t="inlineStr">
        <is>
          <t>조미가공육 ➡️ 축산물 오등록</t>
        </is>
      </c>
      <c r="D22" s="239" t="inlineStr">
        <is>
          <t>농산물</t>
        </is>
      </c>
      <c r="E22" s="239" t="inlineStr">
        <is>
          <t>오아시스</t>
        </is>
      </c>
      <c r="F22" s="240" t="inlineStr">
        <is>
          <t>농업회사법인 주식회사 팔농</t>
        </is>
      </c>
      <c r="G22" s="239" t="inlineStr">
        <is>
          <t>797-88-03152</t>
        </is>
      </c>
      <c r="H22" s="240" t="inlineStr">
        <is>
          <t>안동한우양반곱창 한우곱창200g+한우대창200g 2종세트</t>
        </is>
      </c>
      <c r="I22" s="173" t="inlineStr">
        <is>
          <t>축산물</t>
        </is>
      </c>
      <c r="J22" s="241" t="inlineStr">
        <is>
          <t>가공식품(식육가공품)</t>
        </is>
      </c>
      <c r="K22" s="182" t="n">
        <v>59600</v>
      </c>
      <c r="L22" s="182" t="n">
        <v>2</v>
      </c>
      <c r="M22" s="182" t="n">
        <v>11920</v>
      </c>
      <c r="N22" s="240" t="inlineStr">
        <is>
          <t>식육가공품(양념/가공육(곱창/대창))이나 1차 생육 축산물로 오등록됨</t>
        </is>
      </c>
    </row>
    <row r="23" ht="20" customHeight="1" s="21">
      <c r="A23" s="239" t="n">
        <v>19</v>
      </c>
      <c r="B23" s="239" t="inlineStr">
        <is>
          <t>기존 참여 지속</t>
        </is>
      </c>
      <c r="C23" s="239" t="inlineStr">
        <is>
          <t>조미가공육 ➡️ 축산물 오등록</t>
        </is>
      </c>
      <c r="D23" s="239" t="inlineStr">
        <is>
          <t>농산물</t>
        </is>
      </c>
      <c r="E23" s="239" t="inlineStr">
        <is>
          <t>오아시스</t>
        </is>
      </c>
      <c r="F23" s="240" t="inlineStr">
        <is>
          <t>농업회사법인 주식회사 팔농</t>
        </is>
      </c>
      <c r="G23" s="239" t="inlineStr">
        <is>
          <t>797-88-03152</t>
        </is>
      </c>
      <c r="H23" s="240" t="inlineStr">
        <is>
          <t>안동한우양반곱창 한우곱창200g+한우막창200g 2종세트</t>
        </is>
      </c>
      <c r="I23" s="173" t="inlineStr">
        <is>
          <t>축산물</t>
        </is>
      </c>
      <c r="J23" s="241" t="inlineStr">
        <is>
          <t>가공식품(식육가공품)</t>
        </is>
      </c>
      <c r="K23" s="182" t="n">
        <v>115200</v>
      </c>
      <c r="L23" s="182" t="n">
        <v>4</v>
      </c>
      <c r="M23" s="182" t="n">
        <v>22653</v>
      </c>
      <c r="N23" s="240" t="inlineStr">
        <is>
          <t>식육가공품(양념/가공육(곱창/대창))이나 1차 생육 축산물로 오등록됨</t>
        </is>
      </c>
    </row>
    <row r="24" ht="20" customHeight="1" s="21">
      <c r="A24" s="239" t="n">
        <v>20</v>
      </c>
      <c r="B24" s="239" t="inlineStr">
        <is>
          <t>기존 참여 지속</t>
        </is>
      </c>
      <c r="C24" s="239" t="inlineStr">
        <is>
          <t>조미가공육 ➡️ 축산물 오등록</t>
        </is>
      </c>
      <c r="D24" s="239" t="inlineStr">
        <is>
          <t>농산물</t>
        </is>
      </c>
      <c r="E24" s="239" t="inlineStr">
        <is>
          <t>오아시스</t>
        </is>
      </c>
      <c r="F24" s="240" t="inlineStr">
        <is>
          <t>농업회사법인 주식회사 팔농</t>
        </is>
      </c>
      <c r="G24" s="239" t="inlineStr">
        <is>
          <t>797-88-03152</t>
        </is>
      </c>
      <c r="H24" s="240" t="inlineStr">
        <is>
          <t>안동한우양반곱창 한우곱창200g+한우염통200g 2종세트</t>
        </is>
      </c>
      <c r="I24" s="173" t="inlineStr">
        <is>
          <t>축산물</t>
        </is>
      </c>
      <c r="J24" s="241" t="inlineStr">
        <is>
          <t>가공식품(식육가공품)</t>
        </is>
      </c>
      <c r="K24" s="182" t="n">
        <v>24800</v>
      </c>
      <c r="L24" s="182" t="n">
        <v>1</v>
      </c>
      <c r="M24" s="182" t="n">
        <v>4627</v>
      </c>
      <c r="N24" s="240" t="inlineStr">
        <is>
          <t>식육가공품(양념/가공육(곱창/대창))이나 1차 생육 축산물로 오등록됨</t>
        </is>
      </c>
    </row>
    <row r="25" ht="20" customHeight="1" s="21">
      <c r="A25" s="239" t="n">
        <v>21</v>
      </c>
      <c r="B25" s="239" t="inlineStr">
        <is>
          <t>8월 신규 인입</t>
        </is>
      </c>
      <c r="C25" s="239" t="inlineStr">
        <is>
          <t>조미가공육 ➡️ 축산물 오등록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 주식회사 코리아식품</t>
        </is>
      </c>
      <c r="G25" s="239" t="inlineStr">
        <is>
          <t>608-88-00253</t>
        </is>
      </c>
      <c r="H25" s="240" t="inlineStr">
        <is>
          <t>청춘불판 직화껍데기 350g 국내산 직화 불향 자체양념소스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282900</v>
      </c>
      <c r="L25" s="182" t="n">
        <v>6</v>
      </c>
      <c r="M25" s="182" t="n">
        <v>15520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8월 신규 인입</t>
        </is>
      </c>
      <c r="C26" s="239" t="inlineStr">
        <is>
          <t>조미가공육 ➡️ 축산물 오등록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 주식회사 코리아식품</t>
        </is>
      </c>
      <c r="G26" s="239" t="inlineStr">
        <is>
          <t>608-88-00253</t>
        </is>
      </c>
      <c r="H26" s="240" t="inlineStr">
        <is>
          <t>고기얌 불오돌뼈 250g 국내산 매운 양념 캠핑 혼술 안주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6900</v>
      </c>
      <c r="L26" s="182" t="n">
        <v>1</v>
      </c>
      <c r="M26" s="182" t="n">
        <v>0</v>
      </c>
      <c r="N26" s="240" t="inlineStr">
        <is>
          <t>식육가공품(양념조미육)이나 1차 생육 축산물로 오등록됨</t>
        </is>
      </c>
    </row>
    <row r="27" ht="20" customHeight="1" s="21">
      <c r="A27" s="239" t="n">
        <v>23</v>
      </c>
      <c r="B27" s="239" t="inlineStr">
        <is>
          <t>8월 신규 인입</t>
        </is>
      </c>
      <c r="C27" s="239" t="inlineStr">
        <is>
          <t>조미가공육 ➡️ 축산물 오등록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불오돌뼈 400g 국내산 매운 양념 캠핑 혼술 안주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23700</v>
      </c>
      <c r="L27" s="182" t="n">
        <v>2</v>
      </c>
      <c r="M27" s="182" t="n">
        <v>3160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8월 신규 인입</t>
        </is>
      </c>
      <c r="C28" s="239" t="inlineStr">
        <is>
          <t>조미가공육 ➡️ 축산물 오등록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청춘불판 직화불곱창 400g 혼술 캠핑 안주 돼지곱창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76300</v>
      </c>
      <c r="L28" s="182" t="n">
        <v>3</v>
      </c>
      <c r="M28" s="182" t="n">
        <v>8720</v>
      </c>
      <c r="N28" s="240" t="inlineStr">
        <is>
          <t>식육가공품(양념/가공육(곱창/대창))이나 1차 생육 축산물로 오등록됨</t>
        </is>
      </c>
    </row>
    <row r="29" ht="20" customHeight="1" s="21">
      <c r="A29" s="239" t="n">
        <v>25</v>
      </c>
      <c r="B29" s="239" t="inlineStr">
        <is>
          <t>8월 신규 인입</t>
        </is>
      </c>
      <c r="C29" s="239" t="inlineStr">
        <is>
          <t>조미가공육 ➡️ 축산물 오등록</t>
        </is>
      </c>
      <c r="D29" s="239" t="inlineStr">
        <is>
          <t>농산물</t>
        </is>
      </c>
      <c r="E29" s="239" t="inlineStr">
        <is>
          <t>네이버</t>
        </is>
      </c>
      <c r="F29" s="240" t="inlineStr">
        <is>
          <t>현풍떡갈비</t>
        </is>
      </c>
      <c r="G29" s="239" t="inlineStr">
        <is>
          <t>671-67-00557</t>
        </is>
      </c>
      <c r="H29" s="240" t="inlineStr">
        <is>
          <t>아기떡갈비 현풍 수제 한우 한돈 아이 반찬 건강한 육즙 세가지맛 3팩  90g  15개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2562900</v>
      </c>
      <c r="L29" s="182" t="n">
        <v>74</v>
      </c>
      <c r="M29" s="182" t="n">
        <v>237520</v>
      </c>
      <c r="N29" s="240" t="inlineStr">
        <is>
          <t>식육가공품(가공육(떡갈비·수제패티))이나 1차 생육 축산물로 오등록됨</t>
        </is>
      </c>
    </row>
    <row r="30" ht="20" customHeight="1" s="21">
      <c r="A30" s="239" t="n">
        <v>26</v>
      </c>
      <c r="B30" s="239" t="inlineStr">
        <is>
          <t>8월 신규 인입</t>
        </is>
      </c>
      <c r="C30" s="239" t="inlineStr">
        <is>
          <t>조미가공육 ➡️ 축산물 오등록</t>
        </is>
      </c>
      <c r="D30" s="239" t="inlineStr">
        <is>
          <t>농산물</t>
        </is>
      </c>
      <c r="E30" s="239" t="inlineStr">
        <is>
          <t>네이버</t>
        </is>
      </c>
      <c r="F30" s="240" t="inlineStr">
        <is>
          <t>농업회사법인 주식회사 코리아식품</t>
        </is>
      </c>
      <c r="G30" s="239" t="inlineStr">
        <is>
          <t>608-88-00253</t>
        </is>
      </c>
      <c r="H30" s="240" t="inlineStr">
        <is>
          <t>고기얌 돼지껍데기 누들 매콤맛 180g 국내산 매콤양념 누들껍데기 캠핑 야식 간편조리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7900</v>
      </c>
      <c r="L30" s="182" t="n">
        <v>1</v>
      </c>
      <c r="M30" s="182" t="n">
        <v>0</v>
      </c>
      <c r="N30" s="240" t="inlineStr">
        <is>
          <t>식육가공품(양념조미육)이나 1차 생육 축산물로 오등록됨</t>
        </is>
      </c>
    </row>
    <row r="31" ht="20" customHeight="1" s="21">
      <c r="A31" s="239" t="n">
        <v>27</v>
      </c>
      <c r="B31" s="239" t="inlineStr">
        <is>
          <t>8월 신규 인입</t>
        </is>
      </c>
      <c r="C31" s="239" t="inlineStr">
        <is>
          <t>조미가공육 ➡️ 축산물 오등록</t>
        </is>
      </c>
      <c r="D31" s="239" t="inlineStr">
        <is>
          <t>농산물</t>
        </is>
      </c>
      <c r="E31" s="239" t="inlineStr">
        <is>
          <t>네이버</t>
        </is>
      </c>
      <c r="F31" s="240" t="inlineStr">
        <is>
          <t>농업회사법인(주)새나라</t>
        </is>
      </c>
      <c r="G31" s="239" t="inlineStr">
        <is>
          <t>792-88-00316</t>
        </is>
      </c>
      <c r="H31" s="240" t="inlineStr">
        <is>
          <t>사조 오리 주물럭 양념 오리불고기 600g 넉넉한 양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202000</v>
      </c>
      <c r="L31" s="182" t="n">
        <v>7</v>
      </c>
      <c r="M31" s="182" t="n">
        <v>35820</v>
      </c>
      <c r="N31" s="240" t="inlineStr">
        <is>
          <t>식육가공품(양념조미육(주물럭))이나 1차 생육 축산물로 오등록됨</t>
        </is>
      </c>
    </row>
    <row r="32" ht="20" customHeight="1" s="21">
      <c r="A32" s="239" t="n">
        <v>28</v>
      </c>
      <c r="B32" s="239" t="inlineStr">
        <is>
          <t>8월 신규 인입</t>
        </is>
      </c>
      <c r="C32" s="239" t="inlineStr">
        <is>
          <t>조미가공육 ➡️ 축산물 오등록</t>
        </is>
      </c>
      <c r="D32" s="239" t="inlineStr">
        <is>
          <t>농산물</t>
        </is>
      </c>
      <c r="E32" s="239" t="inlineStr">
        <is>
          <t>네이버</t>
        </is>
      </c>
      <c r="F32" s="240" t="inlineStr">
        <is>
          <t>농업회사법인(주)새나라</t>
        </is>
      </c>
      <c r="G32" s="239" t="inlineStr">
        <is>
          <t>792-88-00316</t>
        </is>
      </c>
      <c r="H32" s="240" t="inlineStr">
        <is>
          <t>[모두 한입닭갈비] 춘천 3팩 국산 닭정육 캠핑 500gx3팩 (3~4인분)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126900</v>
      </c>
      <c r="L32" s="182" t="n">
        <v>6</v>
      </c>
      <c r="M32" s="182" t="n">
        <v>25380</v>
      </c>
      <c r="N32" s="240" t="inlineStr">
        <is>
          <t>식육가공품(조미가공육(춘천닭갈비))이나 1차 생육 축산물로 오등록됨</t>
        </is>
      </c>
    </row>
    <row r="33" ht="20" customHeight="1" s="21">
      <c r="A33" s="239" t="n">
        <v>29</v>
      </c>
      <c r="B33" s="239" t="inlineStr">
        <is>
          <t>8월 신규 인입</t>
        </is>
      </c>
      <c r="C33" s="239" t="inlineStr">
        <is>
          <t>조미가공육 ➡️ 축산물 오등록</t>
        </is>
      </c>
      <c r="D33" s="239" t="inlineStr">
        <is>
          <t>농산물</t>
        </is>
      </c>
      <c r="E33" s="239" t="inlineStr">
        <is>
          <t>네이버</t>
        </is>
      </c>
      <c r="F33" s="240" t="inlineStr">
        <is>
          <t>농업회사법인(주)새나라</t>
        </is>
      </c>
      <c r="G33" s="239" t="inlineStr">
        <is>
          <t>792-88-00316</t>
        </is>
      </c>
      <c r="H33" s="240" t="inlineStr">
        <is>
          <t>[모두양념닭발] 오직 국내산 무뼈닭발  200g포장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식육가공품(양념조미육)이나 1차 생육 축산물로 오등록됨</t>
        </is>
      </c>
    </row>
    <row r="34" ht="20" customHeight="1" s="21">
      <c r="A34" s="239" t="n">
        <v>30</v>
      </c>
      <c r="B34" s="239" t="inlineStr">
        <is>
          <t>8월 신규 인입</t>
        </is>
      </c>
      <c r="C34" s="239" t="inlineStr">
        <is>
          <t>조미가공육 ➡️ 축산물 오등록</t>
        </is>
      </c>
      <c r="D34" s="239" t="inlineStr">
        <is>
          <t>농산물</t>
        </is>
      </c>
      <c r="E34" s="239" t="inlineStr">
        <is>
          <t>네이버</t>
        </is>
      </c>
      <c r="F34" s="240" t="inlineStr">
        <is>
          <t>농업회사법인(주)새나라</t>
        </is>
      </c>
      <c r="G34" s="239" t="inlineStr">
        <is>
          <t>792-88-00316</t>
        </is>
      </c>
      <c r="H34" s="240" t="inlineStr">
        <is>
          <t>모두닭갈비 춘천 2+2팩 국산 닭정육 캠핑 500gx4팩 (6~8인분)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35600</v>
      </c>
      <c r="L34" s="182" t="n">
        <v>1</v>
      </c>
      <c r="M34" s="182" t="n">
        <v>0</v>
      </c>
      <c r="N34" s="240" t="inlineStr">
        <is>
          <t>식육가공품(조미가공육(춘천닭갈비))이나 1차 생육 축산물로 오등록됨</t>
        </is>
      </c>
    </row>
    <row r="35" ht="20" customHeight="1" s="21">
      <c r="A35" s="239" t="n">
        <v>31</v>
      </c>
      <c r="B35" s="239" t="inlineStr">
        <is>
          <t>8월 신규 인입</t>
        </is>
      </c>
      <c r="C35" s="239" t="inlineStr">
        <is>
          <t>조미가공육 ➡️ 축산물 오등록</t>
        </is>
      </c>
      <c r="D35" s="239" t="inlineStr">
        <is>
          <t>농산물</t>
        </is>
      </c>
      <c r="E35" s="239" t="inlineStr">
        <is>
          <t>네이버</t>
        </is>
      </c>
      <c r="F35" s="240" t="inlineStr">
        <is>
          <t>농업회사법인(주)새나라</t>
        </is>
      </c>
      <c r="G35" s="239" t="inlineStr">
        <is>
          <t>792-88-00316</t>
        </is>
      </c>
      <c r="H35" s="240" t="inlineStr">
        <is>
          <t>국내산 냉동 닭내장 [ 1kg / 20EA ]곱창 알탕  닭부산물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0</v>
      </c>
      <c r="L35" s="182" t="n">
        <v>0</v>
      </c>
      <c r="M35" s="182" t="n">
        <v>0</v>
      </c>
      <c r="N35" s="240" t="inlineStr">
        <is>
          <t>식육가공품(양념/가공육(곱창/대창))이나 1차 생육 축산물로 오등록됨</t>
        </is>
      </c>
    </row>
    <row r="36" ht="20" customHeight="1" s="21">
      <c r="A36" s="239" t="n">
        <v>32</v>
      </c>
      <c r="B36" s="239" t="inlineStr">
        <is>
          <t>8월 신규 인입</t>
        </is>
      </c>
      <c r="C36" s="239" t="inlineStr">
        <is>
          <t>조미가공육 ➡️ 축산물 오등록</t>
        </is>
      </c>
      <c r="D36" s="239" t="inlineStr">
        <is>
          <t>농산물</t>
        </is>
      </c>
      <c r="E36" s="239" t="inlineStr">
        <is>
          <t>네이버</t>
        </is>
      </c>
      <c r="F36" s="240" t="inlineStr">
        <is>
          <t>농업회사법인(주)새나라</t>
        </is>
      </c>
      <c r="G36" s="239" t="inlineStr">
        <is>
          <t>792-88-00316</t>
        </is>
      </c>
      <c r="H36" s="240" t="inlineStr">
        <is>
          <t>[모두한상찜닭] 세다리 진짜 안동찜닭의 풍미 국내산 닭고기로 냉장 1kg 안동구시장</t>
        </is>
      </c>
      <c r="I36" s="173" t="inlineStr">
        <is>
          <t>축산물</t>
        </is>
      </c>
      <c r="J36" s="241" t="inlineStr">
        <is>
          <t>가공식품(식육가공품)</t>
        </is>
      </c>
      <c r="K36" s="182" t="n">
        <v>23580</v>
      </c>
      <c r="L36" s="182" t="n">
        <v>1</v>
      </c>
      <c r="M36" s="182" t="n">
        <v>0</v>
      </c>
      <c r="N36" s="240" t="inlineStr">
        <is>
          <t>식육가공품(조미가공육(안동찜닭))이나 1차 생육 축산물로 오등록됨</t>
        </is>
      </c>
    </row>
    <row r="37" ht="20" customHeight="1" s="21">
      <c r="A37" s="239" t="n">
        <v>33</v>
      </c>
      <c r="B37" s="239" t="inlineStr">
        <is>
          <t>8월 신규 인입</t>
        </is>
      </c>
      <c r="C37" s="239" t="inlineStr">
        <is>
          <t>조미가공육 ➡️ 축산물 오등록</t>
        </is>
      </c>
      <c r="D37" s="239" t="inlineStr">
        <is>
          <t>농산물</t>
        </is>
      </c>
      <c r="E37" s="239" t="inlineStr">
        <is>
          <t>네이버</t>
        </is>
      </c>
      <c r="F37" s="240" t="inlineStr">
        <is>
          <t>농업회사법인(주)새나라</t>
        </is>
      </c>
      <c r="G37" s="239" t="inlineStr">
        <is>
          <t>792-88-00316</t>
        </is>
      </c>
      <c r="H37" s="240" t="inlineStr">
        <is>
          <t>사조 오리 주물럭 양념 오리불고기 1kg 넉넉한 양</t>
        </is>
      </c>
      <c r="I37" s="173" t="inlineStr">
        <is>
          <t>축산물</t>
        </is>
      </c>
      <c r="J37" s="241" t="inlineStr">
        <is>
          <t>가공식품(식육가공품)</t>
        </is>
      </c>
      <c r="K37" s="182" t="n">
        <v>650200</v>
      </c>
      <c r="L37" s="182" t="n">
        <v>24</v>
      </c>
      <c r="M37" s="182" t="n">
        <v>70440</v>
      </c>
      <c r="N37" s="240" t="inlineStr">
        <is>
          <t>식육가공품(양념조미육(주물럭))이나 1차 생육 축산물로 오등록됨</t>
        </is>
      </c>
    </row>
    <row r="38" ht="20" customHeight="1" s="21">
      <c r="A38" s="239" t="n">
        <v>34</v>
      </c>
      <c r="B38" s="239" t="inlineStr">
        <is>
          <t>8월 신규 인입</t>
        </is>
      </c>
      <c r="C38" s="239" t="inlineStr">
        <is>
          <t>조미가공육 ➡️ 축산물 오등록</t>
        </is>
      </c>
      <c r="D38" s="239" t="inlineStr">
        <is>
          <t>농산물</t>
        </is>
      </c>
      <c r="E38" s="239" t="inlineStr">
        <is>
          <t>네이버</t>
        </is>
      </c>
      <c r="F38" s="240" t="inlineStr">
        <is>
          <t>농업회사법인(주)새나라</t>
        </is>
      </c>
      <c r="G38" s="239" t="inlineStr">
        <is>
          <t>792-88-00316</t>
        </is>
      </c>
      <c r="H38" s="240" t="inlineStr">
        <is>
          <t>국내산 냉동 닭내장 1kg 곱창 알탕  닭부산물</t>
        </is>
      </c>
      <c r="I38" s="173" t="inlineStr">
        <is>
          <t>축산물</t>
        </is>
      </c>
      <c r="J38" s="241" t="inlineStr">
        <is>
          <t>가공식품(식육가공품)</t>
        </is>
      </c>
      <c r="K38" s="182" t="n">
        <v>812090</v>
      </c>
      <c r="L38" s="182" t="n">
        <v>13</v>
      </c>
      <c r="M38" s="182" t="n">
        <v>31590</v>
      </c>
      <c r="N38" s="240" t="inlineStr">
        <is>
          <t>식육가공품(양념/가공육(곱창/대창))이나 1차 생육 축산물로 오등록됨</t>
        </is>
      </c>
    </row>
    <row r="39" ht="20" customHeight="1" s="21">
      <c r="A39" s="239" t="n">
        <v>35</v>
      </c>
      <c r="B39" s="239" t="inlineStr">
        <is>
          <t>8월 신규 인입</t>
        </is>
      </c>
      <c r="C39" s="239" t="inlineStr">
        <is>
          <t>조미가공육 ➡️ 축산물 오등록</t>
        </is>
      </c>
      <c r="D39" s="239" t="inlineStr">
        <is>
          <t>농산물</t>
        </is>
      </c>
      <c r="E39" s="239" t="inlineStr">
        <is>
          <t>네이버</t>
        </is>
      </c>
      <c r="F39" s="240" t="inlineStr">
        <is>
          <t>농업회사법인(주)새나라</t>
        </is>
      </c>
      <c r="G39" s="239" t="inlineStr">
        <is>
          <t>792-88-00316</t>
        </is>
      </c>
      <c r="H39" s="240" t="inlineStr">
        <is>
          <t>[모두양념닭발] 1+1팩 오직 국내산 무뼈닭발  200g포장</t>
        </is>
      </c>
      <c r="I39" s="173" t="inlineStr">
        <is>
          <t>축산물</t>
        </is>
      </c>
      <c r="J39" s="241" t="inlineStr">
        <is>
          <t>가공식품(식육가공품)</t>
        </is>
      </c>
      <c r="K39" s="182" t="n">
        <v>27230</v>
      </c>
      <c r="L39" s="182" t="n">
        <v>1</v>
      </c>
      <c r="M39" s="182" t="n">
        <v>0</v>
      </c>
      <c r="N39" s="240" t="inlineStr">
        <is>
          <t>식육가공품(양념조미육)이나 1차 생육 축산물로 오등록됨</t>
        </is>
      </c>
    </row>
    <row r="40" ht="20" customHeight="1" s="21">
      <c r="A40" s="239" t="n">
        <v>36</v>
      </c>
      <c r="B40" s="239" t="inlineStr">
        <is>
          <t>8월 신규 인입</t>
        </is>
      </c>
      <c r="C40" s="239" t="inlineStr">
        <is>
          <t>조미가공육 ➡️ 축산물 오등록</t>
        </is>
      </c>
      <c r="D40" s="239" t="inlineStr">
        <is>
          <t>농산물</t>
        </is>
      </c>
      <c r="E40" s="239" t="inlineStr">
        <is>
          <t>네이버</t>
        </is>
      </c>
      <c r="F40" s="240" t="inlineStr">
        <is>
          <t>농업회사법인(주)새나라</t>
        </is>
      </c>
      <c r="G40" s="239" t="inlineStr">
        <is>
          <t>792-88-00316</t>
        </is>
      </c>
      <c r="H40" s="240" t="inlineStr">
        <is>
          <t>[모두닭갈비] 춘천 1+1팩 국산 닭다리살 캠핑 500gx2팩 (3~4인분)</t>
        </is>
      </c>
      <c r="I40" s="173" t="inlineStr">
        <is>
          <t>축산물</t>
        </is>
      </c>
      <c r="J40" s="241" t="inlineStr">
        <is>
          <t>가공식품(식육가공품)</t>
        </is>
      </c>
      <c r="K40" s="182" t="n">
        <v>3318710</v>
      </c>
      <c r="L40" s="182" t="n">
        <v>162</v>
      </c>
      <c r="M40" s="182" t="n">
        <v>561450</v>
      </c>
      <c r="N40" s="240" t="inlineStr">
        <is>
          <t>식육가공품(조미가공육(춘천닭갈비))이나 1차 생육 축산물로 오등록됨</t>
        </is>
      </c>
    </row>
    <row r="41" ht="20" customHeight="1" s="21">
      <c r="A41" s="239" t="n">
        <v>37</v>
      </c>
      <c r="B41" s="239" t="inlineStr">
        <is>
          <t>8월 신규 인입</t>
        </is>
      </c>
      <c r="C41" s="239" t="inlineStr">
        <is>
          <t>조미가공육 ➡️ 축산물 오등록</t>
        </is>
      </c>
      <c r="D41" s="239" t="inlineStr">
        <is>
          <t>농산물</t>
        </is>
      </c>
      <c r="E41" s="239" t="inlineStr">
        <is>
          <t>네이버</t>
        </is>
      </c>
      <c r="F41" s="240" t="inlineStr">
        <is>
          <t>두루푸드</t>
        </is>
      </c>
      <c r="G41" s="239" t="inlineStr">
        <is>
          <t>221-13-36518</t>
        </is>
      </c>
      <c r="H41" s="240" t="inlineStr">
        <is>
          <t>국민닭갈비 두루푸드 춘천닭갈비 택배 홈파티 캠핑요리</t>
        </is>
      </c>
      <c r="I41" s="173" t="inlineStr">
        <is>
          <t>축산물</t>
        </is>
      </c>
      <c r="J41" s="241" t="inlineStr">
        <is>
          <t>가공식품(식육가공품)</t>
        </is>
      </c>
      <c r="K41" s="182" t="n">
        <v>102582760</v>
      </c>
      <c r="L41" s="182" t="n">
        <v>4815</v>
      </c>
      <c r="M41" s="182" t="n">
        <v>4101510</v>
      </c>
      <c r="N41" s="240" t="inlineStr">
        <is>
          <t>식육가공품(조미가공육(춘천닭갈비))이나 1차 생육 축산물로 오등록됨</t>
        </is>
      </c>
    </row>
    <row r="42" ht="20" customHeight="1" s="21">
      <c r="A42" s="239" t="n">
        <v>38</v>
      </c>
      <c r="B42" s="239" t="inlineStr">
        <is>
          <t>8월 신규 인입</t>
        </is>
      </c>
      <c r="C42" s="239" t="inlineStr">
        <is>
          <t>조미가공육 ➡️ 축산물 오등록</t>
        </is>
      </c>
      <c r="D42" s="239" t="inlineStr">
        <is>
          <t>농산물</t>
        </is>
      </c>
      <c r="E42" s="239" t="inlineStr">
        <is>
          <t>네이버</t>
        </is>
      </c>
      <c r="F42" s="240" t="inlineStr">
        <is>
          <t>두루푸드</t>
        </is>
      </c>
      <c r="G42" s="239" t="inlineStr">
        <is>
          <t>221-13-36518</t>
        </is>
      </c>
      <c r="H42" s="240" t="inlineStr">
        <is>
          <t>두루푸드 국민닭갈비 춘천닭갈비 택배 홈파티 캠핑요리 전통맛</t>
        </is>
      </c>
      <c r="I42" s="173" t="inlineStr">
        <is>
          <t>축산물</t>
        </is>
      </c>
      <c r="J42" s="241" t="inlineStr">
        <is>
          <t>가공식품(식육가공품)</t>
        </is>
      </c>
      <c r="K42" s="182" t="n">
        <v>2996900</v>
      </c>
      <c r="L42" s="182" t="n">
        <v>141</v>
      </c>
      <c r="M42" s="182" t="n">
        <v>99860</v>
      </c>
      <c r="N42" s="240" t="inlineStr">
        <is>
          <t>식육가공품(조미가공육(춘천닭갈비))이나 1차 생육 축산물로 오등록됨</t>
        </is>
      </c>
    </row>
    <row r="43" ht="20" customHeight="1" s="21">
      <c r="A43" s="239" t="n">
        <v>39</v>
      </c>
      <c r="B43" s="239" t="inlineStr">
        <is>
          <t>8월 신규 인입</t>
        </is>
      </c>
      <c r="C43" s="239" t="inlineStr">
        <is>
          <t>조미가공육 ➡️ 축산물 오등록</t>
        </is>
      </c>
      <c r="D43" s="239" t="inlineStr">
        <is>
          <t>농산물</t>
        </is>
      </c>
      <c r="E43" s="239" t="inlineStr">
        <is>
          <t>네이버</t>
        </is>
      </c>
      <c r="F43" s="240" t="inlineStr">
        <is>
          <t>두루푸드</t>
        </is>
      </c>
      <c r="G43" s="239" t="inlineStr">
        <is>
          <t>221-13-36518</t>
        </is>
      </c>
      <c r="H43" s="240" t="inlineStr">
        <is>
          <t>두루푸드 국민닭갈비 춘천닭갈비 택배 홈파티 캠핑요리 간장닭갈비</t>
        </is>
      </c>
      <c r="I43" s="173" t="inlineStr">
        <is>
          <t>축산물</t>
        </is>
      </c>
      <c r="J43" s="241" t="inlineStr">
        <is>
          <t>가공식품(식육가공품)</t>
        </is>
      </c>
      <c r="K43" s="182" t="n">
        <v>1481250</v>
      </c>
      <c r="L43" s="182" t="n">
        <v>100</v>
      </c>
      <c r="M43" s="182" t="n">
        <v>20900</v>
      </c>
      <c r="N43" s="240" t="inlineStr">
        <is>
          <t>식육가공품(조미가공육(춘천닭갈비))이나 1차 생육 축산물로 오등록됨</t>
        </is>
      </c>
    </row>
    <row r="44" ht="20" customHeight="1" s="21">
      <c r="A44" s="239" t="n">
        <v>40</v>
      </c>
      <c r="B44" s="239" t="inlineStr">
        <is>
          <t>8월 신규 인입</t>
        </is>
      </c>
      <c r="C44" s="239" t="inlineStr">
        <is>
          <t>조미가공육 ➡️ 축산물 오등록</t>
        </is>
      </c>
      <c r="D44" s="239" t="inlineStr">
        <is>
          <t>농산물</t>
        </is>
      </c>
      <c r="E44" s="239" t="inlineStr">
        <is>
          <t>네이버</t>
        </is>
      </c>
      <c r="F44" s="240" t="inlineStr">
        <is>
          <t>두루푸드</t>
        </is>
      </c>
      <c r="G44" s="239" t="inlineStr">
        <is>
          <t>221-13-36518</t>
        </is>
      </c>
      <c r="H44" s="240" t="inlineStr">
        <is>
          <t>두루푸드 국민닭갈비 춘천닭갈비 택배 홈파티 캠핑요리 허브소금닭갈비</t>
        </is>
      </c>
      <c r="I44" s="173" t="inlineStr">
        <is>
          <t>축산물</t>
        </is>
      </c>
      <c r="J44" s="241" t="inlineStr">
        <is>
          <t>가공식품(식육가공품)</t>
        </is>
      </c>
      <c r="K44" s="182" t="n">
        <v>918650</v>
      </c>
      <c r="L44" s="182" t="n">
        <v>47</v>
      </c>
      <c r="M44" s="182" t="n">
        <v>4180</v>
      </c>
      <c r="N44" s="240" t="inlineStr">
        <is>
          <t>식육가공품(조미가공육(춘천닭갈비))이나 1차 생육 축산물로 오등록됨</t>
        </is>
      </c>
    </row>
    <row r="45" ht="20" customHeight="1" s="21">
      <c r="A45" s="239" t="n">
        <v>41</v>
      </c>
      <c r="B45" s="239" t="inlineStr">
        <is>
          <t>8월 신규 인입</t>
        </is>
      </c>
      <c r="C45" s="239" t="inlineStr">
        <is>
          <t>조미가공육 ➡️ 축산물 오등록</t>
        </is>
      </c>
      <c r="D45" s="239" t="inlineStr">
        <is>
          <t>농산물</t>
        </is>
      </c>
      <c r="E45" s="239" t="inlineStr">
        <is>
          <t>네이버</t>
        </is>
      </c>
      <c r="F45" s="240" t="inlineStr">
        <is>
          <t>두루푸드</t>
        </is>
      </c>
      <c r="G45" s="239" t="inlineStr">
        <is>
          <t>221-13-36518</t>
        </is>
      </c>
      <c r="H45" s="240" t="inlineStr">
        <is>
          <t>두루푸드 국민닭갈비 춘천닭갈비 택배 홈파티 캠핑요리 올인원세트 3인용 / 1.5인용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1423800</v>
      </c>
      <c r="L45" s="182" t="n">
        <v>56</v>
      </c>
      <c r="M45" s="182" t="n">
        <v>124870</v>
      </c>
      <c r="N45" s="240" t="inlineStr">
        <is>
          <t>식육가공품(조미가공육(춘천닭갈비))이나 1차 생육 축산물로 오등록됨</t>
        </is>
      </c>
    </row>
    <row r="46" ht="20" customHeight="1" s="21">
      <c r="A46" s="239" t="n">
        <v>42</v>
      </c>
      <c r="B46" s="239" t="inlineStr">
        <is>
          <t>8월 신규 인입</t>
        </is>
      </c>
      <c r="C46" s="239" t="inlineStr">
        <is>
          <t>조미가공육 ➡️ 축산물 오등록</t>
        </is>
      </c>
      <c r="D46" s="239" t="inlineStr">
        <is>
          <t>농산물</t>
        </is>
      </c>
      <c r="E46" s="239" t="inlineStr">
        <is>
          <t>네이버</t>
        </is>
      </c>
      <c r="F46" s="240" t="inlineStr">
        <is>
          <t>두루푸드</t>
        </is>
      </c>
      <c r="G46" s="239" t="inlineStr">
        <is>
          <t>221-13-36518</t>
        </is>
      </c>
      <c r="H46" s="240" t="inlineStr">
        <is>
          <t>두루푸드 국민닭갈비 춘천닭갈비 택배 홈파티 캠핑요리 숯불닭갈비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681400</v>
      </c>
      <c r="L46" s="182" t="n">
        <v>29</v>
      </c>
      <c r="M46" s="182" t="n">
        <v>8760</v>
      </c>
      <c r="N46" s="240" t="inlineStr">
        <is>
          <t>식육가공품(조미가공육(춘천닭갈비))이나 1차 생육 축산물로 오등록됨</t>
        </is>
      </c>
    </row>
    <row r="47" ht="20" customHeight="1" s="21">
      <c r="A47" s="239" t="n">
        <v>43</v>
      </c>
      <c r="B47" s="239" t="inlineStr">
        <is>
          <t>8월 신규 인입</t>
        </is>
      </c>
      <c r="C47" s="239" t="inlineStr">
        <is>
          <t>농산물 원물 ➡️ 가공식품 오등록</t>
        </is>
      </c>
      <c r="D47" s="239" t="inlineStr">
        <is>
          <t>농산물</t>
        </is>
      </c>
      <c r="E47" s="239" t="inlineStr">
        <is>
          <t>네이버</t>
        </is>
      </c>
      <c r="F47" s="240" t="inlineStr">
        <is>
          <t>소유농장</t>
        </is>
      </c>
      <c r="G47" s="239" t="inlineStr">
        <is>
          <t>208-22-52837</t>
        </is>
      </c>
      <c r="H47" s="240" t="inlineStr">
        <is>
          <t>국내산 무농약 GAP 건조상황버섯 선물세트 150g 300g 부모님 추석선물</t>
        </is>
      </c>
      <c r="I47" s="173" t="inlineStr">
        <is>
          <t>가공식품</t>
        </is>
      </c>
      <c r="J47" s="241" t="inlineStr">
        <is>
          <t>농산물(원물)</t>
        </is>
      </c>
      <c r="K47" s="182" t="n">
        <v>528000</v>
      </c>
      <c r="L47" s="182" t="n">
        <v>8</v>
      </c>
      <c r="M47" s="182" t="n">
        <v>27530</v>
      </c>
      <c r="N47" s="240" t="inlineStr">
        <is>
          <t>1차 신선 농산물(신선/건조 임산물(상황버섯 원물))이나 유통사에 가공식품으로 오등록되어 원물 실적에서 누락됨</t>
        </is>
      </c>
    </row>
    <row r="48" ht="20" customHeight="1" s="21">
      <c r="A48" s="239" t="n">
        <v>44</v>
      </c>
      <c r="B48" s="239" t="inlineStr">
        <is>
          <t>8월 신규 인입</t>
        </is>
      </c>
      <c r="C48" s="239" t="inlineStr">
        <is>
          <t>농산물 원물 ➡️ 가공식품 오등록</t>
        </is>
      </c>
      <c r="D48" s="239" t="inlineStr">
        <is>
          <t>농산물</t>
        </is>
      </c>
      <c r="E48" s="239" t="inlineStr">
        <is>
          <t>네이버</t>
        </is>
      </c>
      <c r="F48" s="240" t="inlineStr">
        <is>
          <t>소유농장</t>
        </is>
      </c>
      <c r="G48" s="239" t="inlineStr">
        <is>
          <t>208-22-52837</t>
        </is>
      </c>
      <c r="H48" s="240" t="inlineStr">
        <is>
          <t>국내산 무농약 GAP인증 건조 상황버섯 70g 부모님 추석 선물세트</t>
        </is>
      </c>
      <c r="I48" s="173" t="inlineStr">
        <is>
          <t>가공식품</t>
        </is>
      </c>
      <c r="J48" s="241" t="inlineStr">
        <is>
          <t>농산물(원물)</t>
        </is>
      </c>
      <c r="K48" s="182" t="n">
        <v>0</v>
      </c>
      <c r="L48" s="182" t="n">
        <v>0</v>
      </c>
      <c r="M48" s="182" t="n">
        <v>0</v>
      </c>
      <c r="N48" s="240" t="inlineStr">
        <is>
          <t>1차 신선 농산물(신선/건조 임산물(상황버섯 원물))이나 유통사에 가공식품으로 오등록되어 원물 실적에서 누락됨</t>
        </is>
      </c>
    </row>
    <row r="49" ht="20" customHeight="1" s="21">
      <c r="A49" s="239" t="n">
        <v>45</v>
      </c>
      <c r="B49" s="239" t="inlineStr">
        <is>
          <t>8월 신규 인입</t>
        </is>
      </c>
      <c r="C49" s="239" t="inlineStr">
        <is>
          <t>농산물 원물 ➡️ 가공식품 오등록</t>
        </is>
      </c>
      <c r="D49" s="239" t="inlineStr">
        <is>
          <t>농산물</t>
        </is>
      </c>
      <c r="E49" s="239" t="inlineStr">
        <is>
          <t>네이버</t>
        </is>
      </c>
      <c r="F49" s="240" t="inlineStr">
        <is>
          <t>소유농장</t>
        </is>
      </c>
      <c r="G49" s="239" t="inlineStr">
        <is>
          <t>208-22-52837</t>
        </is>
      </c>
      <c r="H49" s="240" t="inlineStr">
        <is>
          <t>국내산 무농약 GAP인증 건조 상황버섯 140g 부모님 추석 선물세트</t>
        </is>
      </c>
      <c r="I49" s="173" t="inlineStr">
        <is>
          <t>가공식품</t>
        </is>
      </c>
      <c r="J49" s="241" t="inlineStr">
        <is>
          <t>농산물(원물)</t>
        </is>
      </c>
      <c r="K49" s="182" t="n">
        <v>66000</v>
      </c>
      <c r="L49" s="182" t="n">
        <v>2</v>
      </c>
      <c r="M49" s="182" t="n">
        <v>6600</v>
      </c>
      <c r="N49" s="240" t="inlineStr">
        <is>
          <t>1차 신선 농산물(신선/건조 임산물(상황버섯 원물))이나 유통사에 가공식품으로 오등록되어 원물 실적에서 누락됨</t>
        </is>
      </c>
    </row>
    <row r="50" ht="20" customHeight="1" s="21">
      <c r="A50" s="239" t="n">
        <v>46</v>
      </c>
      <c r="B50" s="239" t="inlineStr">
        <is>
          <t>8월 신규 인입</t>
        </is>
      </c>
      <c r="C50" s="239" t="inlineStr">
        <is>
          <t>농산물 원물 ➡️ 가공식품 오등록</t>
        </is>
      </c>
      <c r="D50" s="239" t="inlineStr">
        <is>
          <t>농산물</t>
        </is>
      </c>
      <c r="E50" s="239" t="inlineStr">
        <is>
          <t>네이버</t>
        </is>
      </c>
      <c r="F50" s="240" t="inlineStr">
        <is>
          <t>알찬연근팜</t>
        </is>
      </c>
      <c r="G50" s="239" t="inlineStr">
        <is>
          <t>604-02-68674</t>
        </is>
      </c>
      <c r="H50" s="240" t="inlineStr">
        <is>
          <t>햇연근 무농약 흙연근 슬라이스 말린연근</t>
        </is>
      </c>
      <c r="I50" s="173" t="inlineStr">
        <is>
          <t>가공식품</t>
        </is>
      </c>
      <c r="J50" s="241" t="inlineStr">
        <is>
          <t>농산물(원물)</t>
        </is>
      </c>
      <c r="K50" s="182" t="n">
        <v>2421630</v>
      </c>
      <c r="L50" s="182" t="n">
        <v>101</v>
      </c>
      <c r="M50" s="182" t="n">
        <v>217410</v>
      </c>
      <c r="N50" s="240" t="inlineStr">
        <is>
          <t>1차 신선 농산물(신선 채소(흙연근 원물))이나 유통사에 가공식품으로 오등록되어 원물 실적에서 누락됨</t>
        </is>
      </c>
    </row>
    <row r="51" ht="20" customHeight="1" s="21">
      <c r="A51" s="239" t="n">
        <v>47</v>
      </c>
      <c r="B51" s="239" t="inlineStr">
        <is>
          <t>8월 신규 인입</t>
        </is>
      </c>
      <c r="C51" s="239" t="inlineStr">
        <is>
          <t>농산물 원물 ➡️ 가공식품 오등록</t>
        </is>
      </c>
      <c r="D51" s="239" t="inlineStr">
        <is>
          <t>농산물</t>
        </is>
      </c>
      <c r="E51" s="239" t="inlineStr">
        <is>
          <t>네이버</t>
        </is>
      </c>
      <c r="F51" s="240" t="inlineStr">
        <is>
          <t>채씨네표고</t>
        </is>
      </c>
      <c r="G51" s="239" t="inlineStr">
        <is>
          <t>449-92-01723</t>
        </is>
      </c>
      <c r="H51" s="240" t="inlineStr">
        <is>
          <t>표고버섯 선물세트 흑화고 백화고 추석 설날 명절</t>
        </is>
      </c>
      <c r="I51" s="173" t="inlineStr">
        <is>
          <t>가공식품</t>
        </is>
      </c>
      <c r="J51" s="241" t="inlineStr">
        <is>
          <t>농산물(원물)</t>
        </is>
      </c>
      <c r="K51" s="182" t="n">
        <v>282000</v>
      </c>
      <c r="L51" s="182" t="n">
        <v>8</v>
      </c>
      <c r="M51" s="182" t="n">
        <v>43400</v>
      </c>
      <c r="N51" s="240" t="inlineStr">
        <is>
          <t>1차 신선 농산물(신선/건조 임산물(표고버섯 선물세트 원물))이나 유통사에 가공식품으로 오등록되어 원물 실적에서 누락됨</t>
        </is>
      </c>
    </row>
    <row r="52" ht="20" customHeight="1" s="21">
      <c r="A52" s="239" t="n">
        <v>48</v>
      </c>
      <c r="B52" s="239" t="inlineStr">
        <is>
          <t>8월 신규 인입</t>
        </is>
      </c>
      <c r="C52" s="239" t="inlineStr">
        <is>
          <t>농산물 원물 ➡️ 가공식품 오등록</t>
        </is>
      </c>
      <c r="D52" s="239" t="inlineStr">
        <is>
          <t>농산물</t>
        </is>
      </c>
      <c r="E52" s="239" t="inlineStr">
        <is>
          <t>네이버</t>
        </is>
      </c>
      <c r="F52" s="240" t="inlineStr">
        <is>
          <t>채씨네표고</t>
        </is>
      </c>
      <c r="G52" s="239" t="inlineStr">
        <is>
          <t>449-92-01723</t>
        </is>
      </c>
      <c r="H52" s="240" t="inlineStr">
        <is>
          <t>채씨네 표고 버섯 선물세트 추석 설날 명절 참나무</t>
        </is>
      </c>
      <c r="I52" s="173" t="inlineStr">
        <is>
          <t>가공식품</t>
        </is>
      </c>
      <c r="J52" s="241" t="inlineStr">
        <is>
          <t>농산물(원물)</t>
        </is>
      </c>
      <c r="K52" s="182" t="n">
        <v>223500</v>
      </c>
      <c r="L52" s="182" t="n">
        <v>4</v>
      </c>
      <c r="M52" s="182" t="n">
        <v>15600</v>
      </c>
      <c r="N52" s="240" t="inlineStr">
        <is>
          <t>1차 신선 농산물(신선/건조 임산물(표고버섯 선물세트 원물))이나 유통사에 가공식품으로 오등록되어 원물 실적에서 누락됨</t>
        </is>
      </c>
    </row>
    <row r="53" ht="20" customHeight="1" s="21">
      <c r="A53" s="239" t="n">
        <v>49</v>
      </c>
      <c r="B53" s="239" t="inlineStr">
        <is>
          <t>8월 신규 인입</t>
        </is>
      </c>
      <c r="C53" s="239" t="inlineStr">
        <is>
          <t>농산물 원물 ➡️ 가공식품 오등록</t>
        </is>
      </c>
      <c r="D53" s="239" t="inlineStr">
        <is>
          <t>농산물</t>
        </is>
      </c>
      <c r="E53" s="239" t="inlineStr">
        <is>
          <t>네이버</t>
        </is>
      </c>
      <c r="F53" s="240" t="inlineStr">
        <is>
          <t>채씨네표고</t>
        </is>
      </c>
      <c r="G53" s="239" t="inlineStr">
        <is>
          <t>449-92-01723</t>
        </is>
      </c>
      <c r="H53" s="240" t="inlineStr">
        <is>
          <t>채씨네 국내산 건 표고버섯 선물세트 백화고 흑화고 추석 명절 설날</t>
        </is>
      </c>
      <c r="I53" s="173" t="inlineStr">
        <is>
          <t>가공식품</t>
        </is>
      </c>
      <c r="J53" s="241" t="inlineStr">
        <is>
          <t>농산물(원물)</t>
        </is>
      </c>
      <c r="K53" s="182" t="n">
        <v>516000</v>
      </c>
      <c r="L53" s="182" t="n">
        <v>5</v>
      </c>
      <c r="M53" s="182" t="n">
        <v>26800</v>
      </c>
      <c r="N53" s="240" t="inlineStr">
        <is>
          <t>1차 신선 농산물(신선/건조 임산물(표고버섯 원물))이나 유통사에 가공식품으로 오등록되어 원물 실적에서 누락됨</t>
        </is>
      </c>
    </row>
    <row r="54" ht="20" customHeight="1" s="21">
      <c r="A54" s="239" t="n">
        <v>50</v>
      </c>
      <c r="B54" s="239" t="inlineStr">
        <is>
          <t>8월 신규 인입</t>
        </is>
      </c>
      <c r="C54" s="239" t="inlineStr">
        <is>
          <t>농산물 원물 ➡️ 가공식품 오등록</t>
        </is>
      </c>
      <c r="D54" s="239" t="inlineStr">
        <is>
          <t>농산물</t>
        </is>
      </c>
      <c r="E54" s="239" t="inlineStr">
        <is>
          <t>네이버</t>
        </is>
      </c>
      <c r="F54" s="240" t="inlineStr">
        <is>
          <t>채씨네표고</t>
        </is>
      </c>
      <c r="G54" s="239" t="inlineStr">
        <is>
          <t>449-92-01723</t>
        </is>
      </c>
      <c r="H54" s="240" t="inlineStr">
        <is>
          <t>표고버섯 선물세트 흑화고 500g</t>
        </is>
      </c>
      <c r="I54" s="173" t="inlineStr">
        <is>
          <t>가공식품</t>
        </is>
      </c>
      <c r="J54" s="241" t="inlineStr">
        <is>
          <t>농산물(원물)</t>
        </is>
      </c>
      <c r="K54" s="182" t="n">
        <v>0</v>
      </c>
      <c r="L54" s="182" t="n">
        <v>0</v>
      </c>
      <c r="M54" s="182" t="n">
        <v>0</v>
      </c>
      <c r="N54" s="240" t="inlineStr">
        <is>
          <t>1차 신선 농산물(신선/건조 임산물(표고버섯 선물세트 원물))이나 유통사에 가공식품으로 오등록되어 원물 실적에서 누락됨</t>
        </is>
      </c>
    </row>
    <row r="55" ht="20" customHeight="1" s="21">
      <c r="A55" s="239" t="n">
        <v>51</v>
      </c>
      <c r="B55" s="239" t="inlineStr">
        <is>
          <t>8월 신규 인입</t>
        </is>
      </c>
      <c r="C55" s="239" t="inlineStr">
        <is>
          <t>농산물 원물 ➡️ 가공식품 오등록</t>
        </is>
      </c>
      <c r="D55" s="239" t="inlineStr">
        <is>
          <t>농산물</t>
        </is>
      </c>
      <c r="E55" s="239" t="inlineStr">
        <is>
          <t>네이버</t>
        </is>
      </c>
      <c r="F55" s="240" t="inlineStr">
        <is>
          <t>영흥농산영농조합법인</t>
        </is>
      </c>
      <c r="G55" s="239" t="inlineStr">
        <is>
          <t>412-81-24086</t>
        </is>
      </c>
      <c r="H55" s="240" t="inlineStr">
        <is>
          <t>[품질책임보상] 국내산 깐마늘 1kg 다진마늘 꼭지제거 햇 통마늘</t>
        </is>
      </c>
      <c r="I55" s="173" t="inlineStr">
        <is>
          <t>가공식품</t>
        </is>
      </c>
      <c r="J55" s="241" t="inlineStr">
        <is>
          <t>농산물(원물)</t>
        </is>
      </c>
      <c r="K55" s="182" t="n">
        <v>127791700</v>
      </c>
      <c r="L55" s="182" t="n">
        <v>7916</v>
      </c>
      <c r="M55" s="182" t="n">
        <v>4657460</v>
      </c>
      <c r="N55" s="240" t="inlineStr">
        <is>
          <t>1차 신선 농산물(신선 채소(깐마늘 원물))이나 유통사에 가공식품으로 오등록되어 원물 실적에서 누락됨</t>
        </is>
      </c>
    </row>
    <row r="56" ht="20" customHeight="1" s="21">
      <c r="A56" s="239" t="n">
        <v>52</v>
      </c>
      <c r="B56" s="239" t="inlineStr">
        <is>
          <t>8월 신규 인입</t>
        </is>
      </c>
      <c r="C56" s="239" t="inlineStr">
        <is>
          <t>농산물 원물 ➡️ 가공식품 오등록</t>
        </is>
      </c>
      <c r="D56" s="239" t="inlineStr">
        <is>
          <t>농산물</t>
        </is>
      </c>
      <c r="E56" s="239" t="inlineStr">
        <is>
          <t>네이버</t>
        </is>
      </c>
      <c r="F56" s="240" t="inlineStr">
        <is>
          <t>영흥농산영농조합법인</t>
        </is>
      </c>
      <c r="G56" s="239" t="inlineStr">
        <is>
          <t>412-81-24086</t>
        </is>
      </c>
      <c r="H56" s="240" t="inlineStr">
        <is>
          <t>[농할쿠폰20%] 국내산 양파 26년 햇양파 무안양파 3kg 5kg</t>
        </is>
      </c>
      <c r="I56" s="173" t="inlineStr">
        <is>
          <t>가공식품</t>
        </is>
      </c>
      <c r="J56" s="241" t="inlineStr">
        <is>
          <t>농산물(원물)</t>
        </is>
      </c>
      <c r="K56" s="182" t="n">
        <v>15351300</v>
      </c>
      <c r="L56" s="182" t="n">
        <v>1512</v>
      </c>
      <c r="M56" s="182" t="n">
        <v>374720</v>
      </c>
      <c r="N56" s="240" t="inlineStr">
        <is>
          <t>1차 신선 농산물(신선 채소(햇양파 원물))이나 유통사에 가공식품으로 오등록되어 원물 실적에서 누락됨</t>
        </is>
      </c>
    </row>
    <row r="57" ht="20" customHeight="1" s="21">
      <c r="A57" s="239" t="n">
        <v>53</v>
      </c>
      <c r="B57" s="239" t="inlineStr">
        <is>
          <t>8월 신규 인입</t>
        </is>
      </c>
      <c r="C57" s="239" t="inlineStr">
        <is>
          <t>농산물 원물 ➡️ 가공식품 오등록</t>
        </is>
      </c>
      <c r="D57" s="239" t="inlineStr">
        <is>
          <t>농산물</t>
        </is>
      </c>
      <c r="E57" s="239" t="inlineStr">
        <is>
          <t>네이버</t>
        </is>
      </c>
      <c r="F57" s="240" t="inlineStr">
        <is>
          <t>청실농원</t>
        </is>
      </c>
      <c r="G57" s="239" t="inlineStr">
        <is>
          <t>654-91-01691</t>
        </is>
      </c>
      <c r="H57" s="240" t="inlineStr">
        <is>
          <t>먹골배 원황배 배 고당도 제철 햇배 국산 신품종 과일 5kg</t>
        </is>
      </c>
      <c r="I57" s="173" t="inlineStr">
        <is>
          <t>가공식품</t>
        </is>
      </c>
      <c r="J57" s="241" t="inlineStr">
        <is>
          <t>농산물(원물)</t>
        </is>
      </c>
      <c r="K57" s="182" t="n">
        <v>1769000</v>
      </c>
      <c r="L57" s="182" t="n">
        <v>42</v>
      </c>
      <c r="M57" s="182" t="n">
        <v>285800</v>
      </c>
      <c r="N57" s="240" t="inlineStr">
        <is>
          <t>1차 신선 농산물(신선 과실(먹골배 생과 원물))이나 유통사에 가공식품으로 오등록되어 원물 실적에서 누락됨</t>
        </is>
      </c>
    </row>
    <row r="58" ht="20" customHeight="1" s="21">
      <c r="A58" s="239" t="n">
        <v>54</v>
      </c>
      <c r="B58" s="239" t="inlineStr">
        <is>
          <t>8월 신규 인입</t>
        </is>
      </c>
      <c r="C58" s="239" t="inlineStr">
        <is>
          <t>농산물 원물 ➡️ 가공식품 오등록</t>
        </is>
      </c>
      <c r="D58" s="239" t="inlineStr">
        <is>
          <t>농산물</t>
        </is>
      </c>
      <c r="E58" s="239" t="inlineStr">
        <is>
          <t>네이버</t>
        </is>
      </c>
      <c r="F58" s="240" t="inlineStr">
        <is>
          <t>청실농원</t>
        </is>
      </c>
      <c r="G58" s="239" t="inlineStr">
        <is>
          <t>654-91-01691</t>
        </is>
      </c>
      <c r="H58" s="240" t="inlineStr">
        <is>
          <t>5kg 먹골배 선물용</t>
        </is>
      </c>
      <c r="I58" s="173" t="inlineStr">
        <is>
          <t>가공식품</t>
        </is>
      </c>
      <c r="J58" s="241" t="inlineStr">
        <is>
          <t>농산물(원물)</t>
        </is>
      </c>
      <c r="K58" s="182" t="n">
        <v>0</v>
      </c>
      <c r="L58" s="182" t="n">
        <v>0</v>
      </c>
      <c r="M58" s="182" t="n">
        <v>0</v>
      </c>
      <c r="N58" s="240" t="inlineStr">
        <is>
          <t>1차 신선 농산물(신선 과실(먹골배 생과 원물))이나 유통사에 가공식품으로 오등록되어 원물 실적에서 누락됨</t>
        </is>
      </c>
    </row>
    <row r="59" ht="20" customHeight="1" s="21">
      <c r="A59" s="239" t="n">
        <v>55</v>
      </c>
      <c r="B59" s="239" t="inlineStr">
        <is>
          <t>8월 신규 인입</t>
        </is>
      </c>
      <c r="C59" s="239" t="inlineStr">
        <is>
          <t>농산물 원물 ➡️ 가공식품 오등록</t>
        </is>
      </c>
      <c r="D59" s="239" t="inlineStr">
        <is>
          <t>농산물</t>
        </is>
      </c>
      <c r="E59" s="239" t="inlineStr">
        <is>
          <t>네이버</t>
        </is>
      </c>
      <c r="F59" s="240" t="inlineStr">
        <is>
          <t>청실농원</t>
        </is>
      </c>
      <c r="G59" s="239" t="inlineStr">
        <is>
          <t>654-91-01691</t>
        </is>
      </c>
      <c r="H59" s="240" t="inlineStr">
        <is>
          <t>먹골배 선물용 배 고당도 제철 햇배 국산 신품종 과일 7.5kg</t>
        </is>
      </c>
      <c r="I59" s="173" t="inlineStr">
        <is>
          <t>가공식품</t>
        </is>
      </c>
      <c r="J59" s="241" t="inlineStr">
        <is>
          <t>농산물(원물)</t>
        </is>
      </c>
      <c r="K59" s="182" t="n">
        <v>0</v>
      </c>
      <c r="L59" s="182" t="n">
        <v>0</v>
      </c>
      <c r="M59" s="182" t="n">
        <v>0</v>
      </c>
      <c r="N59" s="240" t="inlineStr">
        <is>
          <t>1차 신선 농산물(신선 과실(먹골배 생과 원물))이나 유통사에 가공식품으로 오등록되어 원물 실적에서 누락됨</t>
        </is>
      </c>
    </row>
    <row r="60" ht="20" customHeight="1" s="21">
      <c r="A60" s="239" t="n">
        <v>56</v>
      </c>
      <c r="B60" s="239" t="inlineStr">
        <is>
          <t>8월 신규 인입</t>
        </is>
      </c>
      <c r="C60" s="239" t="inlineStr">
        <is>
          <t>농산물 원물 ➡️ 가공식품 오등록</t>
        </is>
      </c>
      <c r="D60" s="239" t="inlineStr">
        <is>
          <t>농산물</t>
        </is>
      </c>
      <c r="E60" s="239" t="inlineStr">
        <is>
          <t>네이버</t>
        </is>
      </c>
      <c r="F60" s="240" t="inlineStr">
        <is>
          <t>청실농원</t>
        </is>
      </c>
      <c r="G60" s="239" t="inlineStr">
        <is>
          <t>654-91-01691</t>
        </is>
      </c>
      <c r="H60" s="240" t="inlineStr">
        <is>
          <t>먹골배 원황배 배 고당도 제철 햇배 국산 신품종 과일 7.5kg</t>
        </is>
      </c>
      <c r="I60" s="173" t="inlineStr">
        <is>
          <t>가공식품</t>
        </is>
      </c>
      <c r="J60" s="241" t="inlineStr">
        <is>
          <t>농산물(원물)</t>
        </is>
      </c>
      <c r="K60" s="182" t="n">
        <v>147000</v>
      </c>
      <c r="L60" s="182" t="n">
        <v>3</v>
      </c>
      <c r="M60" s="182" t="n">
        <v>9800</v>
      </c>
      <c r="N60" s="240" t="inlineStr">
        <is>
          <t>1차 신선 농산물(신선 과실(먹골배 생과 원물))이나 유통사에 가공식품으로 오등록되어 원물 실적에서 누락됨</t>
        </is>
      </c>
    </row>
    <row r="61" ht="20" customHeight="1" s="21">
      <c r="A61" s="239" t="n">
        <v>57</v>
      </c>
      <c r="B61" s="239" t="inlineStr">
        <is>
          <t>8월 신규 인입</t>
        </is>
      </c>
      <c r="C61" s="239" t="inlineStr">
        <is>
          <t>농산물 원물 ➡️ 가공식품 오등록</t>
        </is>
      </c>
      <c r="D61" s="239" t="inlineStr">
        <is>
          <t>농산물</t>
        </is>
      </c>
      <c r="E61" s="239" t="inlineStr">
        <is>
          <t>네이버</t>
        </is>
      </c>
      <c r="F61" s="240" t="inlineStr">
        <is>
          <t>맑은농장</t>
        </is>
      </c>
      <c r="G61" s="239" t="inlineStr">
        <is>
          <t>577-94-01721</t>
        </is>
      </c>
      <c r="H61" s="240" t="inlineStr">
        <is>
          <t>품질대박 맑은농장 김천포도 4kg(특품) 미화희낭만홍안 미인포도</t>
        </is>
      </c>
      <c r="I61" s="173" t="inlineStr">
        <is>
          <t>가공식품</t>
        </is>
      </c>
      <c r="J61" s="241" t="inlineStr">
        <is>
          <t>농산물(원물)</t>
        </is>
      </c>
      <c r="K61" s="182" t="n">
        <v>0</v>
      </c>
      <c r="L61" s="182" t="n">
        <v>0</v>
      </c>
      <c r="M61" s="182" t="n">
        <v>0</v>
      </c>
      <c r="N61" s="240" t="inlineStr">
        <is>
          <t>1차 신선 농산물(신선 과실(김천포도 생과 원물))이나 유통사에 가공식품으로 오등록되어 원물 실적에서 누락됨</t>
        </is>
      </c>
    </row>
    <row r="62" ht="20" customHeight="1" s="21">
      <c r="A62" s="239" t="n">
        <v>58</v>
      </c>
      <c r="B62" s="239" t="inlineStr">
        <is>
          <t>8월 신규 인입</t>
        </is>
      </c>
      <c r="C62" s="239" t="inlineStr">
        <is>
          <t>농산물 원물 ➡️ 가공식품 오등록</t>
        </is>
      </c>
      <c r="D62" s="239" t="inlineStr">
        <is>
          <t>농산물</t>
        </is>
      </c>
      <c r="E62" s="239" t="inlineStr">
        <is>
          <t>네이버</t>
        </is>
      </c>
      <c r="F62" s="240" t="inlineStr">
        <is>
          <t>맑은농장</t>
        </is>
      </c>
      <c r="G62" s="239" t="inlineStr">
        <is>
          <t>577-94-01721</t>
        </is>
      </c>
      <c r="H62" s="240" t="inlineStr">
        <is>
          <t>품질보장 맑은농장 김천포도 2kg(특품) 미화희낭만홍안 미인포도</t>
        </is>
      </c>
      <c r="I62" s="173" t="inlineStr">
        <is>
          <t>가공식품</t>
        </is>
      </c>
      <c r="J62" s="241" t="inlineStr">
        <is>
          <t>농산물(원물)</t>
        </is>
      </c>
      <c r="K62" s="182" t="n">
        <v>43700</v>
      </c>
      <c r="L62" s="182" t="n">
        <v>1</v>
      </c>
      <c r="M62" s="182" t="n">
        <v>0</v>
      </c>
      <c r="N62" s="240" t="inlineStr">
        <is>
          <t>1차 신선 농산물(신선 과실(김천포도 생과 원물))이나 유통사에 가공식품으로 오등록되어 원물 실적에서 누락됨</t>
        </is>
      </c>
    </row>
    <row r="63" ht="20" customHeight="1" s="21">
      <c r="A63" s="239" t="n">
        <v>59</v>
      </c>
      <c r="B63" s="239" t="inlineStr">
        <is>
          <t>8월 신규 인입</t>
        </is>
      </c>
      <c r="C63" s="239" t="inlineStr">
        <is>
          <t>농산물 원물 ➡️ 가공식품 오등록</t>
        </is>
      </c>
      <c r="D63" s="239" t="inlineStr">
        <is>
          <t>농산물</t>
        </is>
      </c>
      <c r="E63" s="239" t="inlineStr">
        <is>
          <t>네이버</t>
        </is>
      </c>
      <c r="F63" s="240" t="inlineStr">
        <is>
          <t>맑은농장</t>
        </is>
      </c>
      <c r="G63" s="239" t="inlineStr">
        <is>
          <t>577-94-01721</t>
        </is>
      </c>
      <c r="H63" s="240" t="inlineStr">
        <is>
          <t>맑은농장 김천포도 4kg(못난이) 미화희낭만홍안 미인포도</t>
        </is>
      </c>
      <c r="I63" s="173" t="inlineStr">
        <is>
          <t>가공식품</t>
        </is>
      </c>
      <c r="J63" s="241" t="inlineStr">
        <is>
          <t>농산물(원물)</t>
        </is>
      </c>
      <c r="K63" s="182" t="n">
        <v>138000</v>
      </c>
      <c r="L63" s="182" t="n">
        <v>2</v>
      </c>
      <c r="M63" s="182" t="n">
        <v>19200</v>
      </c>
      <c r="N63" s="240" t="inlineStr">
        <is>
          <t>1차 신선 농산물(신선 과실(김천포도 생과 원물))이나 유통사에 가공식품으로 오등록되어 원물 실적에서 누락됨</t>
        </is>
      </c>
    </row>
    <row r="64" ht="20" customHeight="1" s="21">
      <c r="A64" s="239" t="n">
        <v>60</v>
      </c>
      <c r="B64" s="239" t="inlineStr">
        <is>
          <t>8월 신규 인입</t>
        </is>
      </c>
      <c r="C64" s="239" t="inlineStr">
        <is>
          <t>농산물 원물 ➡️ 가공식품 오등록</t>
        </is>
      </c>
      <c r="D64" s="239" t="inlineStr">
        <is>
          <t>농산물</t>
        </is>
      </c>
      <c r="E64" s="239" t="inlineStr">
        <is>
          <t>네이버</t>
        </is>
      </c>
      <c r="F64" s="240" t="inlineStr">
        <is>
          <t>맑은농장</t>
        </is>
      </c>
      <c r="G64" s="239" t="inlineStr">
        <is>
          <t>577-94-01721</t>
        </is>
      </c>
      <c r="H64" s="240" t="inlineStr">
        <is>
          <t>맑은농장 김천포도 4kg(상품) 미화희낭만홍안 미인포도 - 4수이하  8수이상</t>
        </is>
      </c>
      <c r="I64" s="173" t="inlineStr">
        <is>
          <t>가공식품</t>
        </is>
      </c>
      <c r="J64" s="241" t="inlineStr">
        <is>
          <t>농산물(원물)</t>
        </is>
      </c>
      <c r="K64" s="182" t="n">
        <v>0</v>
      </c>
      <c r="L64" s="182" t="n">
        <v>0</v>
      </c>
      <c r="M64" s="182" t="n">
        <v>0</v>
      </c>
      <c r="N64" s="240" t="inlineStr">
        <is>
          <t>1차 신선 농산물(신선 과실(김천포도 생과 원물))이나 유통사에 가공식품으로 오등록되어 원물 실적에서 누락됨</t>
        </is>
      </c>
    </row>
    <row r="65" ht="20" customHeight="1" s="21">
      <c r="A65" s="239" t="n">
        <v>61</v>
      </c>
      <c r="B65" s="239" t="inlineStr">
        <is>
          <t>8월 신규 인입</t>
        </is>
      </c>
      <c r="C65" s="239" t="inlineStr">
        <is>
          <t>농산물 원물 ➡️ 가공식품 오등록</t>
        </is>
      </c>
      <c r="D65" s="239" t="inlineStr">
        <is>
          <t>농산물</t>
        </is>
      </c>
      <c r="E65" s="239" t="inlineStr">
        <is>
          <t>네이버</t>
        </is>
      </c>
      <c r="F65" s="240" t="inlineStr">
        <is>
          <t>맑은농장</t>
        </is>
      </c>
      <c r="G65" s="239" t="inlineStr">
        <is>
          <t>577-94-01721</t>
        </is>
      </c>
      <c r="H65" s="240" t="inlineStr">
        <is>
          <t>맑은농장 김천포도 2kg(못난이) 미화희낭만홍안 미인포도</t>
        </is>
      </c>
      <c r="I65" s="173" t="inlineStr">
        <is>
          <t>가공식품</t>
        </is>
      </c>
      <c r="J65" s="241" t="inlineStr">
        <is>
          <t>농산물(원물)</t>
        </is>
      </c>
      <c r="K65" s="182" t="n">
        <v>86000</v>
      </c>
      <c r="L65" s="182" t="n">
        <v>3</v>
      </c>
      <c r="M65" s="182" t="n">
        <v>11600</v>
      </c>
      <c r="N65" s="240" t="inlineStr">
        <is>
          <t>1차 신선 농산물(신선 과실(김천포도 생과 원물))이나 유통사에 가공식품으로 오등록되어 원물 실적에서 누락됨</t>
        </is>
      </c>
    </row>
    <row r="66" ht="20" customHeight="1" s="21">
      <c r="A66" s="239" t="n">
        <v>62</v>
      </c>
      <c r="B66" s="239" t="inlineStr">
        <is>
          <t>8월 신규 인입</t>
        </is>
      </c>
      <c r="C66" s="239" t="inlineStr">
        <is>
          <t>농산물 원물 ➡️ 가공식품 오등록</t>
        </is>
      </c>
      <c r="D66" s="239" t="inlineStr">
        <is>
          <t>농산물</t>
        </is>
      </c>
      <c r="E66" s="239" t="inlineStr">
        <is>
          <t>네이버</t>
        </is>
      </c>
      <c r="F66" s="240" t="inlineStr">
        <is>
          <t>맑은농장</t>
        </is>
      </c>
      <c r="G66" s="239" t="inlineStr">
        <is>
          <t>577-94-01721</t>
        </is>
      </c>
      <c r="H66" s="240" t="inlineStr">
        <is>
          <t>맑은농장 김천포도 2kg(상품) 미화희낭만홍안 미인포도 - 2수또는5수이상</t>
        </is>
      </c>
      <c r="I66" s="173" t="inlineStr">
        <is>
          <t>가공식품</t>
        </is>
      </c>
      <c r="J66" s="241" t="inlineStr">
        <is>
          <t>농산물(원물)</t>
        </is>
      </c>
      <c r="K66" s="182" t="n">
        <v>79800</v>
      </c>
      <c r="L66" s="182" t="n">
        <v>2</v>
      </c>
      <c r="M66" s="182" t="n">
        <v>15960</v>
      </c>
      <c r="N66" s="240" t="inlineStr">
        <is>
          <t>1차 신선 농산물(신선 과실(김천포도 생과 원물))이나 유통사에 가공식품으로 오등록되어 원물 실적에서 누락됨</t>
        </is>
      </c>
    </row>
    <row r="67" ht="20" customHeight="1" s="21">
      <c r="A67" s="239" t="n">
        <v>63</v>
      </c>
      <c r="B67" s="239" t="inlineStr">
        <is>
          <t>8월 신규 인입</t>
        </is>
      </c>
      <c r="C67" s="239" t="inlineStr">
        <is>
          <t>농산물 원물 ➡️ 가공식품 오등록</t>
        </is>
      </c>
      <c r="D67" s="239" t="inlineStr">
        <is>
          <t>농산물</t>
        </is>
      </c>
      <c r="E67" s="239" t="inlineStr">
        <is>
          <t>네이버</t>
        </is>
      </c>
      <c r="F67" s="240" t="inlineStr">
        <is>
          <t>맑은농장</t>
        </is>
      </c>
      <c r="G67" s="239" t="inlineStr">
        <is>
          <t>577-94-01721</t>
        </is>
      </c>
      <c r="H67" s="240" t="inlineStr">
        <is>
          <t>맑은농장 김천포도 2kg(특품) 미화희낭만홍안 미인포도</t>
        </is>
      </c>
      <c r="I67" s="173" t="inlineStr">
        <is>
          <t>가공식품</t>
        </is>
      </c>
      <c r="J67" s="241" t="inlineStr">
        <is>
          <t>농산물(원물)</t>
        </is>
      </c>
      <c r="K67" s="182" t="n">
        <v>87400</v>
      </c>
      <c r="L67" s="182" t="n">
        <v>2</v>
      </c>
      <c r="M67" s="182" t="n">
        <v>17480</v>
      </c>
      <c r="N67" s="240" t="inlineStr">
        <is>
          <t>1차 신선 농산물(신선 과실(김천포도 생과 원물))이나 유통사에 가공식품으로 오등록되어 원물 실적에서 누락됨</t>
        </is>
      </c>
    </row>
    <row r="68" ht="20" customHeight="1" s="21">
      <c r="A68" s="239" t="n">
        <v>64</v>
      </c>
      <c r="B68" s="239" t="inlineStr">
        <is>
          <t>8월 신규 인입</t>
        </is>
      </c>
      <c r="C68" s="239" t="inlineStr">
        <is>
          <t>농산물 원물 ➡️ 가공식품 오등록</t>
        </is>
      </c>
      <c r="D68" s="239" t="inlineStr">
        <is>
          <t>유기농</t>
        </is>
      </c>
      <c r="E68" s="239" t="inlineStr">
        <is>
          <t>네이버</t>
        </is>
      </c>
      <c r="F68" s="240" t="inlineStr">
        <is>
          <t>아침농부</t>
        </is>
      </c>
      <c r="G68" s="239" t="inlineStr">
        <is>
          <t>706-01-03422</t>
        </is>
      </c>
      <c r="H68" s="240" t="inlineStr">
        <is>
          <t>유기농 미니파프리카1.5kg (토양재배)</t>
        </is>
      </c>
      <c r="I68" s="173" t="inlineStr">
        <is>
          <t>가공식품</t>
        </is>
      </c>
      <c r="J68" s="241" t="inlineStr">
        <is>
          <t>농산물(원물)</t>
        </is>
      </c>
      <c r="K68" s="182" t="n">
        <v>13123000</v>
      </c>
      <c r="L68" s="182" t="n">
        <v>520</v>
      </c>
      <c r="M68" s="182" t="n">
        <v>1043580</v>
      </c>
      <c r="N68" s="240" t="inlineStr">
        <is>
          <t>1차 신선 농산물(신선 채소(파프리카 원물))이나 유통사에 가공식품으로 오등록되어 원물 실적에서 누락됨</t>
        </is>
      </c>
    </row>
    <row r="69" ht="20" customHeight="1" s="21">
      <c r="A69" s="239" t="n">
        <v>65</v>
      </c>
      <c r="B69" s="239" t="inlineStr">
        <is>
          <t>8월 신규 인입</t>
        </is>
      </c>
      <c r="C69" s="239" t="inlineStr">
        <is>
          <t>농산물 원물 ➡️ 가공식품 오등록</t>
        </is>
      </c>
      <c r="D69" s="239" t="inlineStr">
        <is>
          <t>유기농</t>
        </is>
      </c>
      <c r="E69" s="239" t="inlineStr">
        <is>
          <t>네이버</t>
        </is>
      </c>
      <c r="F69" s="240" t="inlineStr">
        <is>
          <t>따순농장</t>
        </is>
      </c>
      <c r="G69" s="239" t="inlineStr">
        <is>
          <t>231-97-01414</t>
        </is>
      </c>
      <c r="H69" s="240" t="inlineStr">
        <is>
          <t>유기농 미니파프리카 1kg</t>
        </is>
      </c>
      <c r="I69" s="173" t="inlineStr">
        <is>
          <t>가공식품</t>
        </is>
      </c>
      <c r="J69" s="241" t="inlineStr">
        <is>
          <t>농산물(원물)</t>
        </is>
      </c>
      <c r="K69" s="182" t="n">
        <v>4424250</v>
      </c>
      <c r="L69" s="182" t="n">
        <v>206</v>
      </c>
      <c r="M69" s="182" t="n">
        <v>703630</v>
      </c>
      <c r="N69" s="240" t="inlineStr">
        <is>
          <t>1차 신선 농산물(신선 채소(파프리카 원물))이나 유통사에 가공식품으로 오등록되어 원물 실적에서 누락됨</t>
        </is>
      </c>
    </row>
    <row r="70" ht="20" customHeight="1" s="21">
      <c r="A70" s="239" t="n">
        <v>66</v>
      </c>
      <c r="B70" s="239" t="inlineStr">
        <is>
          <t>8월 신규 인입</t>
        </is>
      </c>
      <c r="C70" s="239" t="inlineStr">
        <is>
          <t>농산물 원물 ➡️ 가공식품 오등록</t>
        </is>
      </c>
      <c r="D70" s="239" t="inlineStr">
        <is>
          <t>유기농</t>
        </is>
      </c>
      <c r="E70" s="239" t="inlineStr">
        <is>
          <t>네이버</t>
        </is>
      </c>
      <c r="F70" s="240" t="inlineStr">
        <is>
          <t>버섯놀이터사천숲속표고</t>
        </is>
      </c>
      <c r="G70" s="239" t="inlineStr">
        <is>
          <t>122-93-29177</t>
        </is>
      </c>
      <c r="H70" s="240" t="inlineStr">
        <is>
          <t>무 농약 생 표고버섯을 햇볕에 잘 말려 자연 건조한 국내산 사천 건 표고버섯 100g</t>
        </is>
      </c>
      <c r="I70" s="173" t="inlineStr">
        <is>
          <t>가공식품</t>
        </is>
      </c>
      <c r="J70" s="241" t="inlineStr">
        <is>
          <t>농산물(원물)</t>
        </is>
      </c>
      <c r="K70" s="182" t="n">
        <v>198000</v>
      </c>
      <c r="L70" s="182" t="n">
        <v>7</v>
      </c>
      <c r="M70" s="182" t="n">
        <v>0</v>
      </c>
      <c r="N70" s="240" t="inlineStr">
        <is>
          <t>1차 신선 농산물(신선/건조 임산물(표고버섯 원물))이나 유통사에 가공식품으로 오등록되어 원물 실적에서 누락됨</t>
        </is>
      </c>
    </row>
    <row r="71" ht="22" customHeight="1" s="21">
      <c r="A71" s="242" t="inlineStr">
        <is>
          <t>합 계</t>
        </is>
      </c>
      <c r="B71" s="243" t="inlineStr">
        <is>
          <t>8월 이상치 66건 총계</t>
        </is>
      </c>
      <c r="C71" s="244" t="inlineStr"/>
      <c r="D71" s="244" t="inlineStr"/>
      <c r="E71" s="244" t="inlineStr"/>
      <c r="F71" s="244" t="inlineStr"/>
      <c r="G71" s="244" t="inlineStr"/>
      <c r="H71" s="244" t="inlineStr"/>
      <c r="I71" s="244" t="inlineStr"/>
      <c r="J71" s="244" t="inlineStr"/>
      <c r="K71" s="245" t="n">
        <v>374952340</v>
      </c>
      <c r="L71" s="245" t="n">
        <v>20213</v>
      </c>
      <c r="M71" s="245" t="n">
        <v>19617240</v>
      </c>
      <c r="N71" s="246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33" customWidth="1" style="21" min="2" max="2"/>
    <col width="17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128" customWidth="1" style="21" min="8" max="8"/>
    <col width="15" customWidth="1" style="21" min="9" max="9"/>
    <col width="23" customWidth="1" style="21" min="10" max="10"/>
    <col width="17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50" t="inlineStr">
        <is>
          <t>2026 aT 온라인 판로지원 - 7월 품목분류 오류 정밀 감사 목록 (총 45건)</t>
        </is>
      </c>
    </row>
    <row r="2">
      <c r="A2" s="237" t="inlineStr">
        <is>
          <t>※ 7월 실적 기집계 데이터(1,305건) 전수 감사 | 오판단 False Positive 100% 제거 완료</t>
        </is>
      </c>
    </row>
    <row r="4" ht="25" customHeight="1" s="21">
      <c r="A4" s="247" t="inlineStr">
        <is>
          <t>No</t>
        </is>
      </c>
      <c r="B4" s="247" t="inlineStr">
        <is>
          <t>이상치 유형</t>
        </is>
      </c>
      <c r="C4" s="247" t="inlineStr">
        <is>
          <t>구분</t>
        </is>
      </c>
      <c r="D4" s="247" t="inlineStr">
        <is>
          <t>기획전</t>
        </is>
      </c>
      <c r="E4" s="247" t="inlineStr">
        <is>
          <t>유통사</t>
        </is>
      </c>
      <c r="F4" s="247" t="inlineStr">
        <is>
          <t>판매자명(업체명)</t>
        </is>
      </c>
      <c r="G4" s="247" t="inlineStr">
        <is>
          <t>사업자번호</t>
        </is>
      </c>
      <c r="H4" s="247" t="inlineStr">
        <is>
          <t>상품명</t>
        </is>
      </c>
      <c r="I4" s="247" t="inlineStr">
        <is>
          <t>7월 현재분류</t>
        </is>
      </c>
      <c r="J4" s="247" t="inlineStr">
        <is>
          <t>권고 정정분류</t>
        </is>
      </c>
      <c r="K4" s="247" t="inlineStr">
        <is>
          <t>7월 매출액(원)</t>
        </is>
      </c>
      <c r="L4" s="247" t="inlineStr">
        <is>
          <t>7월 주문수(건)</t>
        </is>
      </c>
      <c r="M4" s="247" t="inlineStr">
        <is>
          <t>7월 쿠폰지원액(원)</t>
        </is>
      </c>
      <c r="N4" s="247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조미가공육 ➡️ 축산물 오등록</t>
        </is>
      </c>
      <c r="C5" s="239" t="inlineStr">
        <is>
          <t>기존 참여 지속</t>
        </is>
      </c>
      <c r="D5" s="239" t="inlineStr">
        <is>
          <t>농산물</t>
        </is>
      </c>
      <c r="E5" s="239" t="inlineStr">
        <is>
          <t>네이버</t>
        </is>
      </c>
      <c r="F5" s="240" t="inlineStr">
        <is>
          <t>두루푸드</t>
        </is>
      </c>
      <c r="G5" s="239" t="inlineStr">
        <is>
          <t>221-13-36518</t>
        </is>
      </c>
      <c r="H5" s="240" t="inlineStr">
        <is>
          <t>국민닭갈비 두루푸드 춘천닭갈비 택배 홈파티 캠핑요리 [원산지:닭고기 넓적다리(국산), 고추가루(국산), 기타(상세설명참조)]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53342360</v>
      </c>
      <c r="L5" s="182" t="n">
        <v>2416</v>
      </c>
      <c r="M5" s="182" t="n">
        <v>3359880</v>
      </c>
      <c r="N5" s="240" t="inlineStr">
        <is>
          <t>식육가공품(조미가공육(춘천닭갈비))이나 1차 생육 축산물로 오등록됨</t>
        </is>
      </c>
    </row>
    <row r="6" ht="20" customHeight="1" s="21">
      <c r="A6" s="239" t="n">
        <v>2</v>
      </c>
      <c r="B6" s="239" t="inlineStr">
        <is>
          <t>조미가공육 ➡️ 축산물 오등록</t>
        </is>
      </c>
      <c r="C6" s="239" t="inlineStr">
        <is>
          <t>기존 참여 지속</t>
        </is>
      </c>
      <c r="D6" s="239" t="inlineStr">
        <is>
          <t>농산물</t>
        </is>
      </c>
      <c r="E6" s="239" t="inlineStr">
        <is>
          <t>네이버</t>
        </is>
      </c>
      <c r="F6" s="240" t="inlineStr">
        <is>
          <t>농업회사법인(주)새나라</t>
        </is>
      </c>
      <c r="G6" s="239" t="inlineStr">
        <is>
          <t>792-88-00316</t>
        </is>
      </c>
      <c r="H6" s="240" t="inlineStr">
        <is>
          <t>[모두닭갈비] 춘천 1+1팩 국산 닭다리살 캠핑 500gx2팩 (3~4인분) [원산지:국산]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2269370</v>
      </c>
      <c r="L6" s="182" t="n">
        <v>104</v>
      </c>
      <c r="M6" s="182" t="n">
        <v>394640</v>
      </c>
      <c r="N6" s="240" t="inlineStr">
        <is>
          <t>식육가공품(조미가공육(춘천닭갈비))이나 1차 생육 축산물로 오등록됨</t>
        </is>
      </c>
    </row>
    <row r="7" ht="20" customHeight="1" s="21">
      <c r="A7" s="239" t="n">
        <v>3</v>
      </c>
      <c r="B7" s="239" t="inlineStr">
        <is>
          <t>조미가공육 ➡️ 축산물 오등록</t>
        </is>
      </c>
      <c r="C7" s="239" t="inlineStr">
        <is>
          <t>기존 참여 지속</t>
        </is>
      </c>
      <c r="D7" s="239" t="inlineStr">
        <is>
          <t>농산물</t>
        </is>
      </c>
      <c r="E7" s="239" t="inlineStr">
        <is>
          <t>네이버</t>
        </is>
      </c>
      <c r="F7" s="240" t="inlineStr">
        <is>
          <t>두루푸드</t>
        </is>
      </c>
      <c r="G7" s="239" t="inlineStr">
        <is>
          <t>221-13-36518</t>
        </is>
      </c>
      <c r="H7" s="240" t="inlineStr">
        <is>
          <t>두루푸드 국민닭갈비 춘천닭갈비 택배 홈파티 캠핑요리 전통맛 [원산지:닭고기 넓적다리(국산), 고추가루(국산), 기타(상세설명참조)]</t>
        </is>
      </c>
      <c r="I7" s="173" t="inlineStr">
        <is>
          <t>축산물</t>
        </is>
      </c>
      <c r="J7" s="241" t="inlineStr">
        <is>
          <t>가공식품(식육가공품)</t>
        </is>
      </c>
      <c r="K7" s="182" t="n">
        <v>1874050</v>
      </c>
      <c r="L7" s="182" t="n">
        <v>96</v>
      </c>
      <c r="M7" s="182" t="n">
        <v>96660</v>
      </c>
      <c r="N7" s="240" t="inlineStr">
        <is>
          <t>식육가공품(조미가공육(춘천닭갈비))이나 1차 생육 축산물로 오등록됨</t>
        </is>
      </c>
    </row>
    <row r="8" ht="20" customHeight="1" s="21">
      <c r="A8" s="239" t="n">
        <v>4</v>
      </c>
      <c r="B8" s="239" t="inlineStr">
        <is>
          <t>조미가공육 ➡️ 축산물 오등록</t>
        </is>
      </c>
      <c r="C8" s="239" t="inlineStr">
        <is>
          <t>기존 참여 지속</t>
        </is>
      </c>
      <c r="D8" s="239" t="inlineStr">
        <is>
          <t>농산물</t>
        </is>
      </c>
      <c r="E8" s="239" t="inlineStr">
        <is>
          <t>네이버</t>
        </is>
      </c>
      <c r="F8" s="240" t="inlineStr">
        <is>
          <t>현풍떡갈비</t>
        </is>
      </c>
      <c r="G8" s="239" t="inlineStr">
        <is>
          <t>671-67-00557</t>
        </is>
      </c>
      <c r="H8" s="240" t="inlineStr">
        <is>
          <t>아기떡갈비 한우 한돈 수제 패티 현풍 세가지맛 3팩, 90g, 15개 [원산지:상세설명에 표시]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1556900</v>
      </c>
      <c r="L8" s="182" t="n">
        <v>46</v>
      </c>
      <c r="M8" s="182" t="n">
        <v>81520</v>
      </c>
      <c r="N8" s="240" t="inlineStr">
        <is>
          <t>식육가공품(가공육(떡갈비·수제패티))이나 1차 생육 축산물로 오등록됨</t>
        </is>
      </c>
    </row>
    <row r="9" ht="20" customHeight="1" s="21">
      <c r="A9" s="239" t="n">
        <v>5</v>
      </c>
      <c r="B9" s="239" t="inlineStr">
        <is>
          <t>가공완제품 ➡️ 농산물 원물 오등록</t>
        </is>
      </c>
      <c r="C9" s="239" t="inlineStr">
        <is>
          <t>기존 참여 지속</t>
        </is>
      </c>
      <c r="D9" s="239" t="inlineStr">
        <is>
          <t>농산물</t>
        </is>
      </c>
      <c r="E9" s="239" t="inlineStr">
        <is>
          <t>네이버</t>
        </is>
      </c>
      <c r="F9" s="240" t="inlineStr">
        <is>
          <t>신기농원</t>
        </is>
      </c>
      <c r="G9" s="239" t="inlineStr">
        <is>
          <t>540-25-00229</t>
        </is>
      </c>
      <c r="H9" s="240" t="inlineStr">
        <is>
          <t>애플링 동결건조 사과 배칩20g 딸기칩15g 3팩 국산100% 무첨가 간식 [원산지:국산(경상북도 문경시)]</t>
        </is>
      </c>
      <c r="I9" s="173" t="inlineStr">
        <is>
          <t>농산물</t>
        </is>
      </c>
      <c r="J9" s="241" t="inlineStr">
        <is>
          <t>가공식품(제조가공품)</t>
        </is>
      </c>
      <c r="K9" s="182" t="n">
        <v>1143000</v>
      </c>
      <c r="L9" s="182" t="n">
        <v>62</v>
      </c>
      <c r="M9" s="182" t="n">
        <v>40800</v>
      </c>
      <c r="N9" s="240" t="inlineStr">
        <is>
          <t>제조가공식품(과자류(동결건조 과일스낵))이나 1차 신선 농산물 원물로 오등록됨</t>
        </is>
      </c>
    </row>
    <row r="10" ht="20" customHeight="1" s="21">
      <c r="A10" s="239" t="n">
        <v>6</v>
      </c>
      <c r="B10" s="239" t="inlineStr">
        <is>
          <t>조미가공육 ➡️ 축산물 오등록</t>
        </is>
      </c>
      <c r="C10" s="239" t="inlineStr">
        <is>
          <t>기존 참여 지속</t>
        </is>
      </c>
      <c r="D10" s="239" t="inlineStr">
        <is>
          <t>농산물</t>
        </is>
      </c>
      <c r="E10" s="239" t="inlineStr">
        <is>
          <t>네이버</t>
        </is>
      </c>
      <c r="F10" s="240" t="inlineStr">
        <is>
          <t>두루푸드</t>
        </is>
      </c>
      <c r="G10" s="239" t="inlineStr">
        <is>
          <t>221-13-36518</t>
        </is>
      </c>
      <c r="H10" s="240" t="inlineStr">
        <is>
          <t>두루푸드 국민닭갈비 춘천닭갈비 택배 홈파티 캠핑요리 간장닭갈비 [원산지:닭고기 넓적다리(국산), 기타(상세설명참조)]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927300</v>
      </c>
      <c r="L10" s="182" t="n">
        <v>65</v>
      </c>
      <c r="M10" s="182" t="n">
        <v>16720</v>
      </c>
      <c r="N10" s="240" t="inlineStr">
        <is>
          <t>식육가공품(조미가공육(춘천닭갈비))이나 1차 생육 축산물로 오등록됨</t>
        </is>
      </c>
    </row>
    <row r="11" ht="20" customHeight="1" s="21">
      <c r="A11" s="239" t="n">
        <v>7</v>
      </c>
      <c r="B11" s="239" t="inlineStr">
        <is>
          <t>가공완제품 ➡️ 농산물 원물 오등록</t>
        </is>
      </c>
      <c r="C11" s="239" t="inlineStr">
        <is>
          <t>기존 참여 지속</t>
        </is>
      </c>
      <c r="D11" s="239" t="inlineStr">
        <is>
          <t>농산물</t>
        </is>
      </c>
      <c r="E11" s="239" t="inlineStr">
        <is>
          <t>네이버</t>
        </is>
      </c>
      <c r="F11" s="240" t="inlineStr">
        <is>
          <t>신기농원</t>
        </is>
      </c>
      <c r="G11" s="239" t="inlineStr">
        <is>
          <t>540-25-00229</t>
        </is>
      </c>
      <c r="H11" s="240" t="inlineStr">
        <is>
          <t>애플링 딸기칩 10봉 국산100% 동결건조 / 아기부터 온가족 건강간식 [원산지:국산(경상북도 문경시)]</t>
        </is>
      </c>
      <c r="I11" s="173" t="inlineStr">
        <is>
          <t>농산물</t>
        </is>
      </c>
      <c r="J11" s="241" t="inlineStr">
        <is>
          <t>가공식품(제조가공품)</t>
        </is>
      </c>
      <c r="K11" s="182" t="n">
        <v>900500</v>
      </c>
      <c r="L11" s="182" t="n">
        <v>22</v>
      </c>
      <c r="M11" s="182" t="n">
        <v>44800</v>
      </c>
      <c r="N11" s="240" t="inlineStr">
        <is>
          <t>제조가공식품(과자류(동결건조 과일스낵))이나 1차 신선 농산물 원물로 오등록됨</t>
        </is>
      </c>
    </row>
    <row r="12" ht="20" customHeight="1" s="21">
      <c r="A12" s="239" t="n">
        <v>8</v>
      </c>
      <c r="B12" s="239" t="inlineStr">
        <is>
          <t>가공완제품 ➡️ 농산물 원물 오등록</t>
        </is>
      </c>
      <c r="C12" s="239" t="inlineStr">
        <is>
          <t>기존 참여 지속</t>
        </is>
      </c>
      <c r="D12" s="239" t="inlineStr">
        <is>
          <t>농산물</t>
        </is>
      </c>
      <c r="E12" s="239" t="inlineStr">
        <is>
          <t>네이버</t>
        </is>
      </c>
      <c r="F12" s="240" t="inlineStr">
        <is>
          <t>신기농원</t>
        </is>
      </c>
      <c r="G12" s="239" t="inlineStr">
        <is>
          <t>540-25-00229</t>
        </is>
      </c>
      <c r="H12" s="240" t="inlineStr">
        <is>
          <t>애플링 국산 동결건조 사과칩·배칩 무첨가 건강간식 어린이 유아 [원산지:국산(경상북도 문경시)]</t>
        </is>
      </c>
      <c r="I12" s="173" t="inlineStr">
        <is>
          <t>농산물</t>
        </is>
      </c>
      <c r="J12" s="241" t="inlineStr">
        <is>
          <t>가공식품(제조가공품)</t>
        </is>
      </c>
      <c r="K12" s="182" t="n">
        <v>770500</v>
      </c>
      <c r="L12" s="182" t="n">
        <v>12</v>
      </c>
      <c r="M12" s="182" t="n">
        <v>7400</v>
      </c>
      <c r="N12" s="240" t="inlineStr">
        <is>
          <t>제조가공식품(과자류(동결건조 과일스낵))이나 1차 신선 농산물 원물로 오등록됨</t>
        </is>
      </c>
    </row>
    <row r="13" ht="20" customHeight="1" s="21">
      <c r="A13" s="239" t="n">
        <v>9</v>
      </c>
      <c r="B13" s="239" t="inlineStr">
        <is>
          <t>가공완제품 ➡️ 농산물 원물 오등록</t>
        </is>
      </c>
      <c r="C13" s="239" t="inlineStr">
        <is>
          <t>기존 참여 지속</t>
        </is>
      </c>
      <c r="D13" s="239" t="inlineStr">
        <is>
          <t>농산물</t>
        </is>
      </c>
      <c r="E13" s="239" t="inlineStr">
        <is>
          <t>네이버</t>
        </is>
      </c>
      <c r="F13" s="240" t="inlineStr">
        <is>
          <t>신기농원</t>
        </is>
      </c>
      <c r="G13" s="239" t="inlineStr">
        <is>
          <t>540-25-00229</t>
        </is>
      </c>
      <c r="H13" s="240" t="inlineStr">
        <is>
          <t>애플링 국산 동결건조 사과칩·배칩 자유구성 / 유아 휴대용 건강간식 [원산지:국산(경상북도)]</t>
        </is>
      </c>
      <c r="I13" s="173" t="inlineStr">
        <is>
          <t>농산물</t>
        </is>
      </c>
      <c r="J13" s="241" t="inlineStr">
        <is>
          <t>가공식품(제조가공품)</t>
        </is>
      </c>
      <c r="K13" s="182" t="n">
        <v>547910</v>
      </c>
      <c r="L13" s="182" t="n">
        <v>15</v>
      </c>
      <c r="M13" s="182" t="n">
        <v>14800</v>
      </c>
      <c r="N13" s="240" t="inlineStr">
        <is>
          <t>제조가공식품(과자류(동결건조 과일스낵))이나 1차 신선 농산물 원물로 오등록됨</t>
        </is>
      </c>
    </row>
    <row r="14" ht="20" customHeight="1" s="21">
      <c r="A14" s="239" t="n">
        <v>10</v>
      </c>
      <c r="B14" s="239" t="inlineStr">
        <is>
          <t>조미가공육 ➡️ 축산물 오등록</t>
        </is>
      </c>
      <c r="C14" s="239" t="inlineStr">
        <is>
          <t>기존 참여 지속</t>
        </is>
      </c>
      <c r="D14" s="239" t="inlineStr">
        <is>
          <t>농산물</t>
        </is>
      </c>
      <c r="E14" s="239" t="inlineStr">
        <is>
          <t>네이버</t>
        </is>
      </c>
      <c r="F14" s="240" t="inlineStr">
        <is>
          <t>두루푸드</t>
        </is>
      </c>
      <c r="G14" s="239" t="inlineStr">
        <is>
          <t>221-13-36518</t>
        </is>
      </c>
      <c r="H14" s="240" t="inlineStr">
        <is>
          <t>두루푸드 국민닭갈비 춘천닭갈비 택배 홈파티 캠핑요리 숯불닭갈비 [원산지:닭넓적다리(국산), 고추가루(국산), 기타(상세설명참조)]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511650</v>
      </c>
      <c r="L14" s="182" t="n">
        <v>17</v>
      </c>
      <c r="M14" s="182" t="n">
        <v>8760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조미가공육 ➡️ 축산물 오등록</t>
        </is>
      </c>
      <c r="C15" s="239" t="inlineStr">
        <is>
          <t>기존 참여 지속</t>
        </is>
      </c>
      <c r="D15" s="239" t="inlineStr">
        <is>
          <t>농산물</t>
        </is>
      </c>
      <c r="E15" s="239" t="inlineStr">
        <is>
          <t>네이버</t>
        </is>
      </c>
      <c r="F15" s="240" t="inlineStr">
        <is>
          <t>두루푸드</t>
        </is>
      </c>
      <c r="G15" s="239" t="inlineStr">
        <is>
          <t>221-13-36518</t>
        </is>
      </c>
      <c r="H15" s="240" t="inlineStr">
        <is>
          <t>두루푸드 국민닭갈비 춘천닭갈비 택배 홈파티 캠핑요리 허브소금닭갈비 [원산지:닭고기 넓적다리(국산), 기타(상세설명참조)]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500100</v>
      </c>
      <c r="L15" s="182" t="n">
        <v>24</v>
      </c>
      <c r="M15" s="182" t="n">
        <v>4180</v>
      </c>
      <c r="N15" s="240" t="inlineStr">
        <is>
          <t>식육가공품(조미가공육(춘천닭갈비))이나 1차 생육 축산물로 오등록됨</t>
        </is>
      </c>
    </row>
    <row r="16" ht="20" customHeight="1" s="21">
      <c r="A16" s="239" t="n">
        <v>12</v>
      </c>
      <c r="B16" s="239" t="inlineStr">
        <is>
          <t>조미가공육 ➡️ 축산물 오등록</t>
        </is>
      </c>
      <c r="C16" s="239" t="inlineStr">
        <is>
          <t>기존 참여 지속</t>
        </is>
      </c>
      <c r="D16" s="239" t="inlineStr">
        <is>
          <t>농산물</t>
        </is>
      </c>
      <c r="E16" s="239" t="inlineStr">
        <is>
          <t>네이버</t>
        </is>
      </c>
      <c r="F16" s="240" t="inlineStr">
        <is>
          <t>농업회사법인(주)새나라</t>
        </is>
      </c>
      <c r="G16" s="239" t="inlineStr">
        <is>
          <t>792-88-00316</t>
        </is>
      </c>
      <c r="H16" s="240" t="inlineStr">
        <is>
          <t>국내산 냉동 닭내장 1kg 곱창,알탕, 닭부산물 [원산지:국산(전라북도 익산시)]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365590</v>
      </c>
      <c r="L16" s="182" t="n">
        <v>6</v>
      </c>
      <c r="M16" s="182" t="n">
        <v>12590</v>
      </c>
      <c r="N16" s="240" t="inlineStr">
        <is>
          <t>식육가공품(양념/가공육(곱창/대창))이나 1차 생육 축산물로 오등록됨</t>
        </is>
      </c>
    </row>
    <row r="17" ht="20" customHeight="1" s="21">
      <c r="A17" s="239" t="n">
        <v>13</v>
      </c>
      <c r="B17" s="239" t="inlineStr">
        <is>
          <t>농산물 원물 ➡️ 가공식품 오등록</t>
        </is>
      </c>
      <c r="C17" s="239" t="inlineStr">
        <is>
          <t>기존 참여 지속</t>
        </is>
      </c>
      <c r="D17" s="239" t="inlineStr">
        <is>
          <t>농산물</t>
        </is>
      </c>
      <c r="E17" s="239" t="inlineStr">
        <is>
          <t>네이버</t>
        </is>
      </c>
      <c r="F17" s="240" t="inlineStr">
        <is>
          <t>알찬연근팜</t>
        </is>
      </c>
      <c r="G17" s="239" t="inlineStr">
        <is>
          <t>604-02-68674</t>
        </is>
      </c>
      <c r="H17" s="240" t="inlineStr">
        <is>
          <t>달달 향긋한 경산 신품종 망고복숭아 옐로복숭아 900g 1.8kg [원산지:국산(경상북도 경산시)]</t>
        </is>
      </c>
      <c r="I17" s="173" t="inlineStr">
        <is>
          <t>가공식품</t>
        </is>
      </c>
      <c r="J17" s="241" t="inlineStr">
        <is>
          <t>농산물(원물)</t>
        </is>
      </c>
      <c r="K17" s="182" t="n">
        <v>179500</v>
      </c>
      <c r="L17" s="182" t="n">
        <v>5</v>
      </c>
      <c r="M17" s="182" t="n">
        <v>0</v>
      </c>
      <c r="N17" s="240" t="inlineStr">
        <is>
          <t>1차 신선 농산물(신선 과실(신품종 복숭아 생과 원물))이나 유통사에 가공식품으로 오등록되어 원물 실적에서 누락됨</t>
        </is>
      </c>
    </row>
    <row r="18" ht="20" customHeight="1" s="21">
      <c r="A18" s="239" t="n">
        <v>14</v>
      </c>
      <c r="B18" s="239" t="inlineStr">
        <is>
          <t>조미가공육 ➡️ 축산물 오등록</t>
        </is>
      </c>
      <c r="C18" s="239" t="inlineStr">
        <is>
          <t>기존 참여 지속</t>
        </is>
      </c>
      <c r="D18" s="239" t="inlineStr">
        <is>
          <t>농산물</t>
        </is>
      </c>
      <c r="E18" s="239" t="inlineStr">
        <is>
          <t>네이버</t>
        </is>
      </c>
      <c r="F18" s="240" t="inlineStr">
        <is>
          <t>농업회사법인(주)새나라</t>
        </is>
      </c>
      <c r="G18" s="239" t="inlineStr">
        <is>
          <t>792-88-00316</t>
        </is>
      </c>
      <c r="H18" s="240" t="inlineStr">
        <is>
          <t>사조 오리 주물럭 양념 오리불고기 1kg 넉넉한 양 [원산지:국산(전라남도 나주시)]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149400</v>
      </c>
      <c r="L18" s="182" t="n">
        <v>6</v>
      </c>
      <c r="M18" s="182" t="n">
        <v>4740</v>
      </c>
      <c r="N18" s="240" t="inlineStr">
        <is>
          <t>식육가공품(양념조미육(주물럭))이나 1차 생육 축산물로 오등록됨</t>
        </is>
      </c>
    </row>
    <row r="19" ht="20" customHeight="1" s="21">
      <c r="A19" s="239" t="n">
        <v>15</v>
      </c>
      <c r="B19" s="239" t="inlineStr">
        <is>
          <t>조미가공육 ➡️ 축산물 오등록</t>
        </is>
      </c>
      <c r="C19" s="239" t="inlineStr">
        <is>
          <t>기존 참여 지속</t>
        </is>
      </c>
      <c r="D19" s="239" t="inlineStr">
        <is>
          <t>농산물</t>
        </is>
      </c>
      <c r="E19" s="239" t="inlineStr">
        <is>
          <t>네이버</t>
        </is>
      </c>
      <c r="F19" s="240" t="inlineStr">
        <is>
          <t>농업회사법인(주)새나라</t>
        </is>
      </c>
      <c r="G19" s="239" t="inlineStr">
        <is>
          <t>792-88-00316</t>
        </is>
      </c>
      <c r="H19" s="240" t="inlineStr">
        <is>
          <t>사조 오리 주물럭 양념 오리불고기 600g 넉넉한 양 [원산지:국산(전라남도 나주시)]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72900</v>
      </c>
      <c r="L19" s="182" t="n">
        <v>3</v>
      </c>
      <c r="M19" s="182" t="n">
        <v>11120</v>
      </c>
      <c r="N19" s="240" t="inlineStr">
        <is>
          <t>식육가공품(양념조미육(주물럭))이나 1차 생육 축산물로 오등록됨</t>
        </is>
      </c>
    </row>
    <row r="20" ht="20" customHeight="1" s="21">
      <c r="A20" s="239" t="n">
        <v>16</v>
      </c>
      <c r="B20" s="239" t="inlineStr">
        <is>
          <t>가공완제품 ➡️ 농산물 원물 오등록</t>
        </is>
      </c>
      <c r="C20" s="239" t="inlineStr">
        <is>
          <t>기존 참여 지속</t>
        </is>
      </c>
      <c r="D20" s="239" t="inlineStr">
        <is>
          <t>농산물</t>
        </is>
      </c>
      <c r="E20" s="239" t="inlineStr">
        <is>
          <t>네이버</t>
        </is>
      </c>
      <c r="F20" s="240" t="inlineStr">
        <is>
          <t>신기농원</t>
        </is>
      </c>
      <c r="G20" s="239" t="inlineStr">
        <is>
          <t>540-25-00229</t>
        </is>
      </c>
      <c r="H20" s="240" t="inlineStr">
        <is>
          <t>애플링 국내산 동결건조 사과칩 20g x3봉/ 아기간식 건강과일간식 [원산지:국산(경상북도 문경시)]</t>
        </is>
      </c>
      <c r="I20" s="173" t="inlineStr">
        <is>
          <t>농산물</t>
        </is>
      </c>
      <c r="J20" s="241" t="inlineStr">
        <is>
          <t>가공식품(제조가공품)</t>
        </is>
      </c>
      <c r="K20" s="182" t="n">
        <v>65500</v>
      </c>
      <c r="L20" s="182" t="n">
        <v>4</v>
      </c>
      <c r="M20" s="182" t="n">
        <v>0</v>
      </c>
      <c r="N20" s="240" t="inlineStr">
        <is>
          <t>제조가공식품(과자류(동결건조 과일스낵))이나 1차 신선 농산물 원물로 오등록됨</t>
        </is>
      </c>
    </row>
    <row r="21" ht="20" customHeight="1" s="21">
      <c r="A21" s="239" t="n">
        <v>17</v>
      </c>
      <c r="B21" s="239" t="inlineStr">
        <is>
          <t>조미가공육 ➡️ 축산물 오등록</t>
        </is>
      </c>
      <c r="C21" s="239" t="inlineStr">
        <is>
          <t>기존 참여 지속</t>
        </is>
      </c>
      <c r="D21" s="239" t="inlineStr">
        <is>
          <t>농산물</t>
        </is>
      </c>
      <c r="E21" s="239" t="inlineStr">
        <is>
          <t>네이버</t>
        </is>
      </c>
      <c r="F21" s="240" t="inlineStr">
        <is>
          <t>농업회사법인 주식회사 코리아식품</t>
        </is>
      </c>
      <c r="G21" s="239" t="inlineStr">
        <is>
          <t>608-88-00253</t>
        </is>
      </c>
      <c r="H21" s="240" t="inlineStr">
        <is>
          <t>청춘불판 직화불곱창 400g 혼술 캠핑 안주 돼지곱창 [원산지:상세설명에 표시]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65400</v>
      </c>
      <c r="L21" s="182" t="n">
        <v>2</v>
      </c>
      <c r="M21" s="182" t="n">
        <v>8720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가공완제품 ➡️ 농산물 원물 오등록</t>
        </is>
      </c>
      <c r="C22" s="239" t="inlineStr">
        <is>
          <t>기존 참여 지속</t>
        </is>
      </c>
      <c r="D22" s="239" t="inlineStr">
        <is>
          <t>농산물</t>
        </is>
      </c>
      <c r="E22" s="239" t="inlineStr">
        <is>
          <t>네이버</t>
        </is>
      </c>
      <c r="F22" s="240" t="inlineStr">
        <is>
          <t>신기농원</t>
        </is>
      </c>
      <c r="G22" s="239" t="inlineStr">
        <is>
          <t>540-25-00229</t>
        </is>
      </c>
      <c r="H22" s="240" t="inlineStr">
        <is>
          <t>애플링 하루 한 팩 모듬과일칩 4g 사과·배·딸기혼합/국산 동결건조 /어린이,건강간식 [원산지:국산(경상북도 문경시)]</t>
        </is>
      </c>
      <c r="I22" s="173" t="inlineStr">
        <is>
          <t>농산물</t>
        </is>
      </c>
      <c r="J22" s="241" t="inlineStr">
        <is>
          <t>가공식품(제조가공품)</t>
        </is>
      </c>
      <c r="K22" s="182" t="n">
        <v>39000</v>
      </c>
      <c r="L22" s="182" t="n">
        <v>2</v>
      </c>
      <c r="M22" s="182" t="n">
        <v>0</v>
      </c>
      <c r="N22" s="240" t="inlineStr">
        <is>
          <t>제조가공식품(과자류(동결건조 과일스낵))이나 1차 신선 농산물 원물로 오등록됨</t>
        </is>
      </c>
    </row>
    <row r="23" ht="20" customHeight="1" s="21">
      <c r="A23" s="239" t="n">
        <v>19</v>
      </c>
      <c r="B23" s="239" t="inlineStr">
        <is>
          <t>가공완제품 ➡️ 농산물 원물 오등록</t>
        </is>
      </c>
      <c r="C23" s="239" t="inlineStr">
        <is>
          <t>기존 참여 지속</t>
        </is>
      </c>
      <c r="D23" s="239" t="inlineStr">
        <is>
          <t>농산물</t>
        </is>
      </c>
      <c r="E23" s="239" t="inlineStr">
        <is>
          <t>네이버</t>
        </is>
      </c>
      <c r="F23" s="240" t="inlineStr">
        <is>
          <t>신기농원</t>
        </is>
      </c>
      <c r="G23" s="239" t="inlineStr">
        <is>
          <t>540-25-00229</t>
        </is>
      </c>
      <c r="H23" s="240" t="inlineStr">
        <is>
          <t>애플링 국산 동결건조 사과·배칩 3팩 자유선택 유아 어린이 건강간식 .다이어트 [원산지:국산(경상북도)]</t>
        </is>
      </c>
      <c r="I23" s="173" t="inlineStr">
        <is>
          <t>농산물</t>
        </is>
      </c>
      <c r="J23" s="241" t="inlineStr">
        <is>
          <t>가공식품(제조가공품)</t>
        </is>
      </c>
      <c r="K23" s="182" t="n">
        <v>33000</v>
      </c>
      <c r="L23" s="182" t="n">
        <v>3</v>
      </c>
      <c r="M23" s="182" t="n">
        <v>2200</v>
      </c>
      <c r="N23" s="240" t="inlineStr">
        <is>
          <t>제조가공식품(과자류(동결건조 과일스낵))이나 1차 신선 농산물 원물로 오등록됨</t>
        </is>
      </c>
    </row>
    <row r="24" ht="20" customHeight="1" s="21">
      <c r="A24" s="239" t="n">
        <v>20</v>
      </c>
      <c r="B24" s="239" t="inlineStr">
        <is>
          <t>가공완제품 ➡️ 농산물 원물 오등록</t>
        </is>
      </c>
      <c r="C24" s="239" t="inlineStr">
        <is>
          <t>기존 참여 지속</t>
        </is>
      </c>
      <c r="D24" s="239" t="inlineStr">
        <is>
          <t>농산물</t>
        </is>
      </c>
      <c r="E24" s="239" t="inlineStr">
        <is>
          <t>네이버</t>
        </is>
      </c>
      <c r="F24" s="240" t="inlineStr">
        <is>
          <t>신기농원</t>
        </is>
      </c>
      <c r="G24" s="239" t="inlineStr">
        <is>
          <t>540-25-00229</t>
        </is>
      </c>
      <c r="H24" s="240" t="inlineStr">
        <is>
          <t>애플링 국산 딸기칩3봉 무첨가 동결건조 과일칩 어린이 유아 건강간식 [원산지:국산(경상북도 문경시)]</t>
        </is>
      </c>
      <c r="I24" s="173" t="inlineStr">
        <is>
          <t>농산물</t>
        </is>
      </c>
      <c r="J24" s="241" t="inlineStr">
        <is>
          <t>가공식품(제조가공품)</t>
        </is>
      </c>
      <c r="K24" s="182" t="n">
        <v>33000</v>
      </c>
      <c r="L24" s="182" t="n">
        <v>3</v>
      </c>
      <c r="M24" s="182" t="n">
        <v>0</v>
      </c>
      <c r="N24" s="240" t="inlineStr">
        <is>
          <t>제조가공식품(과자류(동결건조 과일스낵))이나 1차 신선 농산물 원물로 오등록됨</t>
        </is>
      </c>
    </row>
    <row r="25" ht="20" customHeight="1" s="21">
      <c r="A25" s="239" t="n">
        <v>21</v>
      </c>
      <c r="B25" s="239" t="inlineStr">
        <is>
          <t>조미가공육 ➡️ 축산물 오등록</t>
        </is>
      </c>
      <c r="C25" s="239" t="inlineStr">
        <is>
          <t>기존 참여 지속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농업회사법인(주)새나라</t>
        </is>
      </c>
      <c r="G25" s="239" t="inlineStr">
        <is>
          <t>792-88-00316</t>
        </is>
      </c>
      <c r="H25" s="240" t="inlineStr">
        <is>
          <t>[모두양념닭발] 1+1팩 오직 국내산 무뼈닭발 200g포장 [원산지:국산(전라북도 익산시)]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27230</v>
      </c>
      <c r="L25" s="182" t="n">
        <v>1</v>
      </c>
      <c r="M25" s="182" t="n">
        <v>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조미가공육 ➡️ 축산물 오등록</t>
        </is>
      </c>
      <c r="C26" s="239" t="inlineStr">
        <is>
          <t>기존 참여 지속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농업회사법인(주)새나라</t>
        </is>
      </c>
      <c r="G26" s="239" t="inlineStr">
        <is>
          <t>792-88-00316</t>
        </is>
      </c>
      <c r="H26" s="240" t="inlineStr">
        <is>
          <t>[모두 한입닭갈비] 춘천 3팩 국산 닭정육 캠핑 500gx3팩 (3~4인분) [원산지:국산]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23500</v>
      </c>
      <c r="L26" s="182" t="n">
        <v>1</v>
      </c>
      <c r="M26" s="182" t="n">
        <v>4700</v>
      </c>
      <c r="N26" s="240" t="inlineStr">
        <is>
          <t>식육가공품(조미가공육(춘천닭갈비))이나 1차 생육 축산물로 오등록됨</t>
        </is>
      </c>
    </row>
    <row r="27" ht="20" customHeight="1" s="21">
      <c r="A27" s="239" t="n">
        <v>23</v>
      </c>
      <c r="B27" s="239" t="inlineStr">
        <is>
          <t>조미가공육 ➡️ 축산물 오등록</t>
        </is>
      </c>
      <c r="C27" s="239" t="inlineStr">
        <is>
          <t>기존 참여 지속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직화껍데기 350g 국내산 직화 불향 자체양념소스 [원산지:상세설명에 표시]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13800</v>
      </c>
      <c r="L27" s="182" t="n">
        <v>1</v>
      </c>
      <c r="M27" s="182" t="n">
        <v>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조미가공육 ➡️ 축산물 오등록</t>
        </is>
      </c>
      <c r="C28" s="239" t="inlineStr">
        <is>
          <t>기존 참여 지속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고기얌 불오돌뼈 250g 국내산 매운 양념 캠핑 혼술 안주 [원산지:상세설명에 표시]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6900</v>
      </c>
      <c r="L28" s="182" t="n">
        <v>1</v>
      </c>
      <c r="M28" s="182" t="n">
        <v>0</v>
      </c>
      <c r="N28" s="240" t="inlineStr">
        <is>
          <t>식육가공품(양념조미육)이나 1차 생육 축산물로 오등록됨</t>
        </is>
      </c>
    </row>
    <row r="29" ht="20" customHeight="1" s="21">
      <c r="A29" s="239" t="n">
        <v>25</v>
      </c>
      <c r="B29" s="239" t="inlineStr">
        <is>
          <t>조미가공육 ➡️ 축산물 오등록</t>
        </is>
      </c>
      <c r="C29" s="239" t="inlineStr">
        <is>
          <t>기존 참여 지속</t>
        </is>
      </c>
      <c r="D29" s="239" t="inlineStr">
        <is>
          <t>농산물</t>
        </is>
      </c>
      <c r="E29" s="239" t="inlineStr">
        <is>
          <t>롯데ON</t>
        </is>
      </c>
      <c r="F29" s="240" t="inlineStr">
        <is>
          <t>주식회사 더락</t>
        </is>
      </c>
      <c r="G29" s="239" t="inlineStr">
        <is>
          <t>593-86-01295</t>
        </is>
      </c>
      <c r="H29" s="240" t="inlineStr">
        <is>
          <t>국내산 한돈 수제 양념 돼지갈비 450G (2종 중 택1)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37312000</v>
      </c>
      <c r="L29" s="182" t="n">
        <v>729</v>
      </c>
      <c r="M29" s="182" t="n">
        <v>4967600</v>
      </c>
      <c r="N29" s="240" t="inlineStr">
        <is>
          <t>식육가공품(양념조미육)이나 1차 생육 축산물로 오등록됨</t>
        </is>
      </c>
    </row>
    <row r="30" ht="20" customHeight="1" s="21">
      <c r="A30" s="239" t="n">
        <v>26</v>
      </c>
      <c r="B30" s="239" t="inlineStr">
        <is>
          <t>조미가공육 ➡️ 축산물 오등록</t>
        </is>
      </c>
      <c r="C30" s="239" t="inlineStr">
        <is>
          <t>기존 참여 지속</t>
        </is>
      </c>
      <c r="D30" s="239" t="inlineStr">
        <is>
          <t>농산물</t>
        </is>
      </c>
      <c r="E30" s="239" t="inlineStr">
        <is>
          <t>롯데ON</t>
        </is>
      </c>
      <c r="F30" s="240" t="inlineStr">
        <is>
          <t>농업회사법인 라이플로우 주식회사</t>
        </is>
      </c>
      <c r="G30" s="239" t="inlineStr">
        <is>
          <t>715-87-02493</t>
        </is>
      </c>
      <c r="H30" s="240" t="inlineStr">
        <is>
          <t>[온누리7%혜택][주왕산가든] 한우불고기 전골 밀키트 750g 3인분 불고기 육수 야채 소불고기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724600</v>
      </c>
      <c r="L30" s="182" t="n">
        <v>23</v>
      </c>
      <c r="M30" s="182" t="n">
        <v>142600</v>
      </c>
      <c r="N30" s="240" t="inlineStr">
        <is>
          <t>식육가공품(양념조미육(불고기))이나 1차 생육 축산물로 오등록됨</t>
        </is>
      </c>
    </row>
    <row r="31" ht="20" customHeight="1" s="21">
      <c r="A31" s="239" t="n">
        <v>27</v>
      </c>
      <c r="B31" s="239" t="inlineStr">
        <is>
          <t>조미가공육 ➡️ 축산물 오등록</t>
        </is>
      </c>
      <c r="C31" s="239" t="inlineStr">
        <is>
          <t>기존 참여 지속</t>
        </is>
      </c>
      <c r="D31" s="239" t="inlineStr">
        <is>
          <t>농산물</t>
        </is>
      </c>
      <c r="E31" s="239" t="inlineStr">
        <is>
          <t>롯데ON</t>
        </is>
      </c>
      <c r="F31" s="240" t="inlineStr">
        <is>
          <t>농업회사법인 라이플로우 주식회사</t>
        </is>
      </c>
      <c r="G31" s="239" t="inlineStr">
        <is>
          <t>715-87-02493</t>
        </is>
      </c>
      <c r="H31" s="240" t="inlineStr">
        <is>
          <t>[온누리7%혜택][주왕산가든] 명품 한돈 수제 돼지갈비 실속형 500g 양념돼지갈비 밀키트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315000</v>
      </c>
      <c r="L31" s="182" t="n">
        <v>10</v>
      </c>
      <c r="M31" s="182" t="n">
        <v>57230</v>
      </c>
      <c r="N31" s="240" t="inlineStr">
        <is>
          <t>식육가공품(양념조미육)이나 1차 생육 축산물로 오등록됨</t>
        </is>
      </c>
    </row>
    <row r="32" ht="20" customHeight="1" s="21">
      <c r="A32" s="239" t="n">
        <v>28</v>
      </c>
      <c r="B32" s="239" t="inlineStr">
        <is>
          <t>조미가공육 ➡️ 축산물 오등록</t>
        </is>
      </c>
      <c r="C32" s="239" t="inlineStr">
        <is>
          <t>기존 참여 지속</t>
        </is>
      </c>
      <c r="D32" s="239" t="inlineStr">
        <is>
          <t>농산물</t>
        </is>
      </c>
      <c r="E32" s="239" t="inlineStr">
        <is>
          <t>롯데ON</t>
        </is>
      </c>
      <c r="F32" s="240" t="inlineStr">
        <is>
          <t>주식회사 영인에프앤에스</t>
        </is>
      </c>
      <c r="G32" s="239" t="inlineStr">
        <is>
          <t>847-88-01537</t>
        </is>
      </c>
      <c r="H32" s="240" t="inlineStr">
        <is>
          <t>삶은 돼지 대창 1kg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0</v>
      </c>
      <c r="L32" s="182" t="n">
        <v>2</v>
      </c>
      <c r="M32" s="182" t="n">
        <v>0</v>
      </c>
      <c r="N32" s="240" t="inlineStr">
        <is>
          <t>식육가공품(양념/가공육(대창))이나 1차 생육 축산물로 오등록됨</t>
        </is>
      </c>
    </row>
    <row r="33" ht="20" customHeight="1" s="21">
      <c r="A33" s="239" t="n">
        <v>29</v>
      </c>
      <c r="B33" s="239" t="inlineStr">
        <is>
          <t>조미가공육 ➡️ 축산물 오등록</t>
        </is>
      </c>
      <c r="C33" s="239" t="inlineStr">
        <is>
          <t>기존 참여 지속</t>
        </is>
      </c>
      <c r="D33" s="239" t="inlineStr">
        <is>
          <t>농산물</t>
        </is>
      </c>
      <c r="E33" s="239" t="inlineStr">
        <is>
          <t>롯데ON</t>
        </is>
      </c>
      <c r="F33" s="240" t="inlineStr">
        <is>
          <t>주식회사 삼형제월드</t>
        </is>
      </c>
      <c r="G33" s="239" t="inlineStr">
        <is>
          <t>185-87-01669</t>
        </is>
      </c>
      <c r="H33" s="240" t="inlineStr">
        <is>
          <t>삼형제고기 한돈 간장 고추장 불고기 1kg (200g x 5팩)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식육가공품(양념조미육(불고기))이나 1차 생육 축산물로 오등록됨</t>
        </is>
      </c>
    </row>
    <row r="34" ht="20" customHeight="1" s="21">
      <c r="A34" s="239" t="n">
        <v>30</v>
      </c>
      <c r="B34" s="239" t="inlineStr">
        <is>
          <t>조미가공육 ➡️ 축산물 오등록</t>
        </is>
      </c>
      <c r="C34" s="239" t="inlineStr">
        <is>
          <t>기존 참여 지속</t>
        </is>
      </c>
      <c r="D34" s="239" t="inlineStr">
        <is>
          <t>농산물</t>
        </is>
      </c>
      <c r="E34" s="239" t="inlineStr">
        <is>
          <t>지마켓</t>
        </is>
      </c>
      <c r="F34" s="240" t="inlineStr">
        <is>
          <t>두원식품(주)</t>
        </is>
      </c>
      <c r="G34" s="239" t="inlineStr">
        <is>
          <t>606-81-52718</t>
        </is>
      </c>
      <c r="H34" s="240" t="inlineStr">
        <is>
          <t>haccp인증 국내산 한돈 고추장 주물럭 300g x6팩(총 1.8kg)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65000</v>
      </c>
      <c r="L34" s="182" t="n">
        <v>2</v>
      </c>
      <c r="M34" s="182" t="n">
        <v>6500</v>
      </c>
      <c r="N34" s="240" t="inlineStr">
        <is>
          <t>식육가공품(양념조미육(주물럭))이나 1차 생육 축산물로 오등록됨</t>
        </is>
      </c>
    </row>
    <row r="35" ht="20" customHeight="1" s="21">
      <c r="A35" s="239" t="n">
        <v>31</v>
      </c>
      <c r="B35" s="239" t="inlineStr">
        <is>
          <t>조미가공육 ➡️ 축산물 오등록</t>
        </is>
      </c>
      <c r="C35" s="239" t="inlineStr">
        <is>
          <t>기존 참여 지속</t>
        </is>
      </c>
      <c r="D35" s="239" t="inlineStr">
        <is>
          <t>농산물</t>
        </is>
      </c>
      <c r="E35" s="239" t="inlineStr">
        <is>
          <t>지마켓</t>
        </is>
      </c>
      <c r="F35" s="240" t="inlineStr">
        <is>
          <t>두원식품(주)</t>
        </is>
      </c>
      <c r="G35" s="239" t="inlineStr">
        <is>
          <t>606-81-52718</t>
        </is>
      </c>
      <c r="H35" s="240" t="inlineStr">
        <is>
          <t>국내산 한돈 고추장 주물럭 300g + 300g 제육볶음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134100</v>
      </c>
      <c r="L35" s="182" t="n">
        <v>9</v>
      </c>
      <c r="M35" s="182" t="n">
        <v>11920</v>
      </c>
      <c r="N35" s="240" t="inlineStr">
        <is>
          <t>식육가공품(양념조미육(주물럭))이나 1차 생육 축산물로 오등록됨</t>
        </is>
      </c>
    </row>
    <row r="36" ht="20" customHeight="1" s="21">
      <c r="A36" s="239" t="n">
        <v>32</v>
      </c>
      <c r="B36" s="239" t="inlineStr">
        <is>
          <t>가공완제품 ➡️ 농산물 원물 오등록</t>
        </is>
      </c>
      <c r="C36" s="239" t="inlineStr">
        <is>
          <t>기존 참여 지속</t>
        </is>
      </c>
      <c r="D36" s="239" t="inlineStr">
        <is>
          <t>농산물</t>
        </is>
      </c>
      <c r="E36" s="239" t="inlineStr">
        <is>
          <t>지마켓</t>
        </is>
      </c>
      <c r="F36" s="240" t="inlineStr">
        <is>
          <t>청정태안식품</t>
        </is>
      </c>
      <c r="G36" s="239" t="inlineStr">
        <is>
          <t>316-01-24597</t>
        </is>
      </c>
      <c r="H36" s="240" t="inlineStr">
        <is>
          <t>김명월 검정콩 청국장가루 1kg(500g2통)</t>
        </is>
      </c>
      <c r="I36" s="173" t="inlineStr">
        <is>
          <t>농산물</t>
        </is>
      </c>
      <c r="J36" s="241" t="inlineStr">
        <is>
          <t>가공식품(제조가공품)</t>
        </is>
      </c>
      <c r="K36" s="182" t="n">
        <v>74000</v>
      </c>
      <c r="L36" s="182" t="n">
        <v>2</v>
      </c>
      <c r="M36" s="182" t="n">
        <v>7400</v>
      </c>
      <c r="N36" s="240" t="inlineStr">
        <is>
          <t>제조가공식품(두류가공품(청국장가루))이나 1차 신선 농산물 원물로 오등록됨</t>
        </is>
      </c>
    </row>
    <row r="37" ht="20" customHeight="1" s="21">
      <c r="A37" s="239" t="n">
        <v>33</v>
      </c>
      <c r="B37" s="239" t="inlineStr">
        <is>
          <t>농산물 원물 ➡️ 가공식품 오등록</t>
        </is>
      </c>
      <c r="C37" s="239" t="inlineStr">
        <is>
          <t>기존 참여 지속</t>
        </is>
      </c>
      <c r="D37" s="239" t="inlineStr">
        <is>
          <t>농산물</t>
        </is>
      </c>
      <c r="E37" s="239" t="inlineStr">
        <is>
          <t>지마켓</t>
        </is>
      </c>
      <c r="F37" s="240" t="inlineStr">
        <is>
          <t>형지표고버섯</t>
        </is>
      </c>
      <c r="G37" s="239" t="inlineStr">
        <is>
          <t>290-94-00335</t>
        </is>
      </c>
      <c r="H37" s="240" t="inlineStr">
        <is>
          <t>형지표고버섯 흑화고 상황버섯 혼합2호 표고 버섯 선물세트</t>
        </is>
      </c>
      <c r="I37" s="173" t="inlineStr">
        <is>
          <t>가공식품</t>
        </is>
      </c>
      <c r="J37" s="241" t="inlineStr">
        <is>
          <t>농산물(원물)</t>
        </is>
      </c>
      <c r="K37" s="182" t="n">
        <v>0</v>
      </c>
      <c r="L37" s="182" t="n">
        <v>0</v>
      </c>
      <c r="M37" s="182" t="n">
        <v>0</v>
      </c>
      <c r="N37" s="240" t="inlineStr">
        <is>
          <t>1차 신선 농산물(신선/건조 임산물(표고버섯 선물세트 원물))이나 유통사에 가공식품으로 오등록되어 원물 실적에서 누락됨</t>
        </is>
      </c>
    </row>
    <row r="38" ht="20" customHeight="1" s="21">
      <c r="A38" s="239" t="n">
        <v>34</v>
      </c>
      <c r="B38" s="239" t="inlineStr">
        <is>
          <t>가공완제품 ➡️ 농산물 원물 오등록</t>
        </is>
      </c>
      <c r="C38" s="239" t="inlineStr">
        <is>
          <t>기존 참여 지속</t>
        </is>
      </c>
      <c r="D38" s="239" t="inlineStr">
        <is>
          <t>농산물</t>
        </is>
      </c>
      <c r="E38" s="239" t="inlineStr">
        <is>
          <t>지마켓</t>
        </is>
      </c>
      <c r="F38" s="240" t="inlineStr">
        <is>
          <t>듬뿍곡간</t>
        </is>
      </c>
      <c r="G38" s="239" t="inlineStr">
        <is>
          <t>181-02-01980</t>
        </is>
      </c>
      <c r="H38" s="240" t="inlineStr">
        <is>
          <t>듬뿍곡간 국내산 쑥미숫가루 / 선식 식사대용 간식 500g</t>
        </is>
      </c>
      <c r="I38" s="173" t="inlineStr">
        <is>
          <t>농산물</t>
        </is>
      </c>
      <c r="J38" s="241" t="inlineStr">
        <is>
          <t>가공식품(제조가공품)</t>
        </is>
      </c>
      <c r="K38" s="182" t="n">
        <v>0</v>
      </c>
      <c r="L38" s="182" t="n">
        <v>0</v>
      </c>
      <c r="M38" s="182" t="n">
        <v>0</v>
      </c>
      <c r="N38" s="240" t="inlineStr">
        <is>
          <t>제조가공식품(곡류가공품(미숫가루/선식))이나 1차 신선 농산물 원물로 오등록됨</t>
        </is>
      </c>
    </row>
    <row r="39" ht="20" customHeight="1" s="21">
      <c r="A39" s="239" t="n">
        <v>35</v>
      </c>
      <c r="B39" s="239" t="inlineStr">
        <is>
          <t>가공완제품 ➡️ 농산물 원물 오등록</t>
        </is>
      </c>
      <c r="C39" s="239" t="inlineStr">
        <is>
          <t>기존 참여 지속</t>
        </is>
      </c>
      <c r="D39" s="239" t="inlineStr">
        <is>
          <t>농산물</t>
        </is>
      </c>
      <c r="E39" s="239" t="inlineStr">
        <is>
          <t>지마켓</t>
        </is>
      </c>
      <c r="F39" s="240" t="inlineStr">
        <is>
          <t>초림단지묵</t>
        </is>
      </c>
      <c r="G39" s="239" t="inlineStr">
        <is>
          <t>615-14-93195</t>
        </is>
      </c>
      <c r="H39" s="240" t="inlineStr">
        <is>
          <t>초림단지묵 국산 콩물 콩가루 90g 1인분 x 5팩 물만타면 콩국수</t>
        </is>
      </c>
      <c r="I39" s="173" t="inlineStr">
        <is>
          <t>농산물</t>
        </is>
      </c>
      <c r="J39" s="241" t="inlineStr">
        <is>
          <t>가공식품(제조가공품)</t>
        </is>
      </c>
      <c r="K39" s="182" t="n">
        <v>0</v>
      </c>
      <c r="L39" s="182" t="n">
        <v>0</v>
      </c>
      <c r="M39" s="182" t="n">
        <v>0</v>
      </c>
      <c r="N39" s="240" t="inlineStr">
        <is>
          <t>제조가공식품(곡류가공품(콩가루))이나 1차 신선 농산물 원물로 오등록됨</t>
        </is>
      </c>
    </row>
    <row r="40" ht="20" customHeight="1" s="21">
      <c r="A40" s="239" t="n">
        <v>36</v>
      </c>
      <c r="B40" s="239" t="inlineStr">
        <is>
          <t>가공완제품 ➡️ 농산물 원물 오등록</t>
        </is>
      </c>
      <c r="C40" s="239" t="inlineStr">
        <is>
          <t>기존 참여 지속</t>
        </is>
      </c>
      <c r="D40" s="239" t="inlineStr">
        <is>
          <t>농산물</t>
        </is>
      </c>
      <c r="E40" s="239" t="inlineStr">
        <is>
          <t>지마켓</t>
        </is>
      </c>
      <c r="F40" s="240" t="inlineStr">
        <is>
          <t>어이딸부각</t>
        </is>
      </c>
      <c r="G40" s="239" t="inlineStr">
        <is>
          <t>142-33-00898</t>
        </is>
      </c>
      <c r="H40" s="240" t="inlineStr">
        <is>
          <t>고추크런치 70g 고추부각 튀각 찹쌀 수제 비건</t>
        </is>
      </c>
      <c r="I40" s="173" t="inlineStr">
        <is>
          <t>농산물</t>
        </is>
      </c>
      <c r="J40" s="241" t="inlineStr">
        <is>
          <t>가공식품(제조가공품)</t>
        </is>
      </c>
      <c r="K40" s="182" t="n">
        <v>0</v>
      </c>
      <c r="L40" s="182" t="n">
        <v>0</v>
      </c>
      <c r="M40" s="182" t="n">
        <v>0</v>
      </c>
      <c r="N40" s="240" t="inlineStr">
        <is>
          <t>제조가공식품(과자류(김부각/고추부각))이나 1차 신선 농산물 원물로 오등록됨</t>
        </is>
      </c>
    </row>
    <row r="41" ht="20" customHeight="1" s="21">
      <c r="A41" s="239" t="n">
        <v>37</v>
      </c>
      <c r="B41" s="239" t="inlineStr">
        <is>
          <t>가공완제품 ➡️ 농산물 원물 오등록</t>
        </is>
      </c>
      <c r="C41" s="239" t="inlineStr">
        <is>
          <t>기존 참여 지속</t>
        </is>
      </c>
      <c r="D41" s="239" t="inlineStr">
        <is>
          <t>농산물</t>
        </is>
      </c>
      <c r="E41" s="239" t="inlineStr">
        <is>
          <t>지마켓</t>
        </is>
      </c>
      <c r="F41" s="240" t="inlineStr">
        <is>
          <t>어이딸부각</t>
        </is>
      </c>
      <c r="G41" s="239" t="inlineStr">
        <is>
          <t>142-33-00898</t>
        </is>
      </c>
      <c r="H41" s="240" t="inlineStr">
        <is>
          <t>어이딸 김부각 선물세트 소 5개입 찹쌀 수제 비건 글루텐프리 저당</t>
        </is>
      </c>
      <c r="I41" s="173" t="inlineStr">
        <is>
          <t>농산물</t>
        </is>
      </c>
      <c r="J41" s="241" t="inlineStr">
        <is>
          <t>가공식품(제조가공품)</t>
        </is>
      </c>
      <c r="K41" s="182" t="n">
        <v>0</v>
      </c>
      <c r="L41" s="182" t="n">
        <v>0</v>
      </c>
      <c r="M41" s="182" t="n">
        <v>0</v>
      </c>
      <c r="N41" s="240" t="inlineStr">
        <is>
          <t>제조가공식품(과자류(김부각/고추부각))이나 1차 신선 농산물 원물로 오등록됨</t>
        </is>
      </c>
    </row>
    <row r="42" ht="20" customHeight="1" s="21">
      <c r="A42" s="239" t="n">
        <v>38</v>
      </c>
      <c r="B42" s="239" t="inlineStr">
        <is>
          <t>가공완제품 ➡️ 농산물 원물 오등록</t>
        </is>
      </c>
      <c r="C42" s="239" t="inlineStr">
        <is>
          <t>기존 참여 지속</t>
        </is>
      </c>
      <c r="D42" s="239" t="inlineStr">
        <is>
          <t>농산물</t>
        </is>
      </c>
      <c r="E42" s="239" t="inlineStr">
        <is>
          <t>지마켓</t>
        </is>
      </c>
      <c r="F42" s="240" t="inlineStr">
        <is>
          <t>어이딸부각</t>
        </is>
      </c>
      <c r="G42" s="239" t="inlineStr">
        <is>
          <t>142-33-00898</t>
        </is>
      </c>
      <c r="H42" s="240" t="inlineStr">
        <is>
          <t>어이딸 김부각 선물세트 중 8개입 찹쌀 수제 비건 글루텐프리 저당</t>
        </is>
      </c>
      <c r="I42" s="173" t="inlineStr">
        <is>
          <t>농산물</t>
        </is>
      </c>
      <c r="J42" s="241" t="inlineStr">
        <is>
          <t>가공식품(제조가공품)</t>
        </is>
      </c>
      <c r="K42" s="182" t="n">
        <v>0</v>
      </c>
      <c r="L42" s="182" t="n">
        <v>0</v>
      </c>
      <c r="M42" s="182" t="n">
        <v>0</v>
      </c>
      <c r="N42" s="240" t="inlineStr">
        <is>
          <t>제조가공식품(과자류(김부각/고추부각))이나 1차 신선 농산물 원물로 오등록됨</t>
        </is>
      </c>
    </row>
    <row r="43" ht="20" customHeight="1" s="21">
      <c r="A43" s="239" t="n">
        <v>39</v>
      </c>
      <c r="B43" s="239" t="inlineStr">
        <is>
          <t>가공완제품 ➡️ 농산물 원물 오등록</t>
        </is>
      </c>
      <c r="C43" s="239" t="inlineStr">
        <is>
          <t>기존 참여 지속</t>
        </is>
      </c>
      <c r="D43" s="239" t="inlineStr">
        <is>
          <t>농산물</t>
        </is>
      </c>
      <c r="E43" s="239" t="inlineStr">
        <is>
          <t>지마켓</t>
        </is>
      </c>
      <c r="F43" s="240" t="inlineStr">
        <is>
          <t>초림단지묵</t>
        </is>
      </c>
      <c r="G43" s="239" t="inlineStr">
        <is>
          <t>615-14-93195</t>
        </is>
      </c>
      <c r="H43" s="240" t="inlineStr">
        <is>
          <t>초림단지묵 국산 콩물 콩가루 90g 1인분 x 5팩 물만타면 콩국수</t>
        </is>
      </c>
      <c r="I43" s="173" t="inlineStr">
        <is>
          <t>농산물</t>
        </is>
      </c>
      <c r="J43" s="241" t="inlineStr">
        <is>
          <t>가공식품(제조가공품)</t>
        </is>
      </c>
      <c r="K43" s="182" t="n">
        <v>240000</v>
      </c>
      <c r="L43" s="182" t="n">
        <v>12</v>
      </c>
      <c r="M43" s="182" t="n">
        <v>0</v>
      </c>
      <c r="N43" s="240" t="inlineStr">
        <is>
          <t>제조가공식품(곡류가공품(콩가루))이나 1차 신선 농산물 원물로 오등록됨</t>
        </is>
      </c>
    </row>
    <row r="44" ht="20" customHeight="1" s="21">
      <c r="A44" s="239" t="n">
        <v>40</v>
      </c>
      <c r="B44" s="239" t="inlineStr">
        <is>
          <t>가공완제품 ➡️ 농산물 원물 오등록</t>
        </is>
      </c>
      <c r="C44" s="239" t="inlineStr">
        <is>
          <t>기존 참여 지속</t>
        </is>
      </c>
      <c r="D44" s="239" t="inlineStr">
        <is>
          <t>농산물</t>
        </is>
      </c>
      <c r="E44" s="239" t="inlineStr">
        <is>
          <t>지마켓</t>
        </is>
      </c>
      <c r="F44" s="240" t="inlineStr">
        <is>
          <t>초림단지묵</t>
        </is>
      </c>
      <c r="G44" s="239" t="inlineStr">
        <is>
          <t>615-14-93195</t>
        </is>
      </c>
      <c r="H44" s="240" t="inlineStr">
        <is>
          <t>초림단지묵 국산 콩물 콩가루 400g 4인분 물만타면 콩국수</t>
        </is>
      </c>
      <c r="I44" s="173" t="inlineStr">
        <is>
          <t>농산물</t>
        </is>
      </c>
      <c r="J44" s="241" t="inlineStr">
        <is>
          <t>가공식품(제조가공품)</t>
        </is>
      </c>
      <c r="K44" s="182" t="n">
        <v>54000</v>
      </c>
      <c r="L44" s="182" t="n">
        <v>3</v>
      </c>
      <c r="M44" s="182" t="n">
        <v>0</v>
      </c>
      <c r="N44" s="240" t="inlineStr">
        <is>
          <t>제조가공식품(곡류가공품(콩가루))이나 1차 신선 농산물 원물로 오등록됨</t>
        </is>
      </c>
    </row>
    <row r="45" ht="20" customHeight="1" s="21">
      <c r="A45" s="239" t="n">
        <v>41</v>
      </c>
      <c r="B45" s="239" t="inlineStr">
        <is>
          <t>조미가공육 ➡️ 축산물 오등록</t>
        </is>
      </c>
      <c r="C45" s="239" t="inlineStr">
        <is>
          <t>기존 참여 지속</t>
        </is>
      </c>
      <c r="D45" s="239" t="inlineStr">
        <is>
          <t>농산물</t>
        </is>
      </c>
      <c r="E45" s="239" t="inlineStr">
        <is>
          <t>오아시스</t>
        </is>
      </c>
      <c r="F45" s="240" t="inlineStr">
        <is>
          <t>농업회사법인 주식회사 팔농</t>
        </is>
      </c>
      <c r="G45" s="239" t="inlineStr">
        <is>
          <t>797-88-03152</t>
        </is>
      </c>
      <c r="H45" s="240" t="inlineStr">
        <is>
          <t>안동한우양반곱창 한우곱창 200gX2팩 (400g)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127200</v>
      </c>
      <c r="L45" s="182" t="n">
        <v>4</v>
      </c>
      <c r="M45" s="182" t="n">
        <v>19080</v>
      </c>
      <c r="N45" s="240" t="inlineStr">
        <is>
          <t>식육가공품(양념/가공육(곱창/대창))이나 1차 생육 축산물로 오등록됨</t>
        </is>
      </c>
    </row>
    <row r="46" ht="20" customHeight="1" s="21">
      <c r="A46" s="239" t="n">
        <v>42</v>
      </c>
      <c r="B46" s="239" t="inlineStr">
        <is>
          <t>조미가공육 ➡️ 축산물 오등록</t>
        </is>
      </c>
      <c r="C46" s="239" t="inlineStr">
        <is>
          <t>기존 참여 지속</t>
        </is>
      </c>
      <c r="D46" s="239" t="inlineStr">
        <is>
          <t>농산물</t>
        </is>
      </c>
      <c r="E46" s="239" t="inlineStr">
        <is>
          <t>오아시스</t>
        </is>
      </c>
      <c r="F46" s="240" t="inlineStr">
        <is>
          <t>농업회사법인 주식회사 팔농</t>
        </is>
      </c>
      <c r="G46" s="239" t="inlineStr">
        <is>
          <t>797-88-03152</t>
        </is>
      </c>
      <c r="H46" s="240" t="inlineStr">
        <is>
          <t>안동한우양반곱창 한우곱창200g+한우대창200g 2종세트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29800</v>
      </c>
      <c r="L46" s="182" t="n">
        <v>1</v>
      </c>
      <c r="M46" s="182" t="n">
        <v>5960</v>
      </c>
      <c r="N46" s="240" t="inlineStr">
        <is>
          <t>식육가공품(양념/가공육(곱창/대창))이나 1차 생육 축산물로 오등록됨</t>
        </is>
      </c>
    </row>
    <row r="47" ht="20" customHeight="1" s="21">
      <c r="A47" s="239" t="n">
        <v>43</v>
      </c>
      <c r="B47" s="239" t="inlineStr">
        <is>
          <t>조미가공육 ➡️ 축산물 오등록</t>
        </is>
      </c>
      <c r="C47" s="239" t="inlineStr">
        <is>
          <t>기존 참여 지속</t>
        </is>
      </c>
      <c r="D47" s="239" t="inlineStr">
        <is>
          <t>농산물</t>
        </is>
      </c>
      <c r="E47" s="239" t="inlineStr">
        <is>
          <t>오아시스</t>
        </is>
      </c>
      <c r="F47" s="240" t="inlineStr">
        <is>
          <t>농업회사법인 주식회사 팔농</t>
        </is>
      </c>
      <c r="G47" s="239" t="inlineStr">
        <is>
          <t>797-88-03152</t>
        </is>
      </c>
      <c r="H47" s="240" t="inlineStr">
        <is>
          <t>안동한우양반곱창 한우곱창200g+한우막창200g 2종세트</t>
        </is>
      </c>
      <c r="I47" s="173" t="inlineStr">
        <is>
          <t>축산물</t>
        </is>
      </c>
      <c r="J47" s="241" t="inlineStr">
        <is>
          <t>가공식품(식육가공품)</t>
        </is>
      </c>
      <c r="K47" s="182" t="n">
        <v>28800</v>
      </c>
      <c r="L47" s="182" t="n">
        <v>1</v>
      </c>
      <c r="M47" s="182" t="n">
        <v>5760</v>
      </c>
      <c r="N47" s="240" t="inlineStr">
        <is>
          <t>식육가공품(양념/가공육(곱창/대창))이나 1차 생육 축산물로 오등록됨</t>
        </is>
      </c>
    </row>
    <row r="48" ht="20" customHeight="1" s="21">
      <c r="A48" s="239" t="n">
        <v>44</v>
      </c>
      <c r="B48" s="239" t="inlineStr">
        <is>
          <t>조미가공육 ➡️ 축산물 오등록</t>
        </is>
      </c>
      <c r="C48" s="239" t="inlineStr">
        <is>
          <t>기존 참여 지속</t>
        </is>
      </c>
      <c r="D48" s="239" t="inlineStr">
        <is>
          <t>농산물</t>
        </is>
      </c>
      <c r="E48" s="239" t="inlineStr">
        <is>
          <t>오아시스</t>
        </is>
      </c>
      <c r="F48" s="240" t="inlineStr">
        <is>
          <t>농업회사법인 주식회사 팔농</t>
        </is>
      </c>
      <c r="G48" s="239" t="inlineStr">
        <is>
          <t>797-88-03152</t>
        </is>
      </c>
      <c r="H48" s="240" t="inlineStr">
        <is>
          <t>안동한우양반곱창 한우곱창200g+한우염통200g 2종세트</t>
        </is>
      </c>
      <c r="I48" s="173" t="inlineStr">
        <is>
          <t>축산물</t>
        </is>
      </c>
      <c r="J48" s="241" t="inlineStr">
        <is>
          <t>가공식품(식육가공품)</t>
        </is>
      </c>
      <c r="K48" s="182" t="n">
        <v>0</v>
      </c>
      <c r="L48" s="182" t="n">
        <v>0</v>
      </c>
      <c r="M48" s="182" t="n">
        <v>0</v>
      </c>
      <c r="N48" s="240" t="inlineStr">
        <is>
          <t>식육가공품(양념/가공육(곱창/대창))이나 1차 생육 축산물로 오등록됨</t>
        </is>
      </c>
    </row>
    <row r="49" ht="20" customHeight="1" s="21">
      <c r="A49" s="239" t="n">
        <v>45</v>
      </c>
      <c r="B49" s="239" t="inlineStr">
        <is>
          <t>가공완제품 ➡️ 농산물 원물 오등록</t>
        </is>
      </c>
      <c r="C49" s="239" t="inlineStr">
        <is>
          <t>기존 참여 지속</t>
        </is>
      </c>
      <c r="D49" s="239" t="inlineStr">
        <is>
          <t>유기농</t>
        </is>
      </c>
      <c r="E49" s="239" t="inlineStr">
        <is>
          <t>오아시스</t>
        </is>
      </c>
      <c r="F49" s="240" t="inlineStr">
        <is>
          <t>해담는집</t>
        </is>
      </c>
      <c r="G49" s="239" t="inlineStr">
        <is>
          <t>745-96-00315</t>
        </is>
      </c>
      <c r="H49" s="240" t="inlineStr">
        <is>
          <t>해담는집 유기농 고춧가루 500g/200g(순한맛/보통맛/매운맛)</t>
        </is>
      </c>
      <c r="I49" s="173" t="inlineStr">
        <is>
          <t>농산물</t>
        </is>
      </c>
      <c r="J49" s="241" t="inlineStr">
        <is>
          <t>가공식품(제조가공품)</t>
        </is>
      </c>
      <c r="K49" s="182" t="n">
        <v>208400</v>
      </c>
      <c r="L49" s="182" t="n">
        <v>6</v>
      </c>
      <c r="M49" s="182" t="n">
        <v>35006</v>
      </c>
      <c r="N49" s="240" t="inlineStr">
        <is>
          <t>제조가공식품(조미식품(고춧가루))이나 1차 신선 농산물 원물로 오등록됨</t>
        </is>
      </c>
    </row>
    <row r="50" ht="22" customHeight="1" s="21">
      <c r="A50" s="242" t="inlineStr">
        <is>
          <t>합 계</t>
        </is>
      </c>
      <c r="B50" s="243" t="inlineStr">
        <is>
          <t>7월 이상치 45건 총계</t>
        </is>
      </c>
      <c r="C50" s="244" t="inlineStr"/>
      <c r="D50" s="244" t="inlineStr"/>
      <c r="E50" s="244" t="inlineStr"/>
      <c r="F50" s="244" t="inlineStr"/>
      <c r="G50" s="244" t="inlineStr"/>
      <c r="H50" s="244" t="inlineStr"/>
      <c r="I50" s="244" t="inlineStr"/>
      <c r="J50" s="244" t="inlineStr"/>
      <c r="K50" s="245" t="n">
        <v>104731260</v>
      </c>
      <c r="L50" s="245" t="n">
        <v>3721</v>
      </c>
      <c r="M50" s="245" t="n">
        <v>9373286</v>
      </c>
      <c r="N50" s="24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7" customWidth="1" style="21" min="2" max="2"/>
    <col width="30" customWidth="1" style="21" min="3" max="3"/>
    <col width="15" customWidth="1" style="21" min="4" max="4"/>
    <col width="92" customWidth="1" style="21" min="5" max="5"/>
    <col width="11" customWidth="1" style="21" min="6" max="6"/>
    <col width="15" customWidth="1" style="21" min="7" max="7"/>
    <col width="17" customWidth="1" style="21" min="8" max="8"/>
    <col width="21" customWidth="1" style="21" min="9" max="9"/>
    <col width="21" customWidth="1" style="21" min="10" max="10"/>
  </cols>
  <sheetData>
    <row r="1">
      <c r="A1" s="251" t="inlineStr">
        <is>
          <t>2026 aT 온라인 판로지원 - 7월 ➡️ 8월 품목분류 자의적 변경 목록 (총 38건)</t>
        </is>
      </c>
    </row>
    <row r="2">
      <c r="A2" s="237" t="inlineStr">
        <is>
          <t>※ 동일 사업자·동일 상품인데 7월과 8월 제출 시 카테고리 분류가 자의적으로 바뀐 38건 전수 대조표</t>
        </is>
      </c>
    </row>
    <row r="4" ht="25" customHeight="1" s="21">
      <c r="A4" s="252" t="inlineStr">
        <is>
          <t>No</t>
        </is>
      </c>
      <c r="B4" s="252" t="inlineStr">
        <is>
          <t>유통사</t>
        </is>
      </c>
      <c r="C4" s="252" t="inlineStr">
        <is>
          <t>사업자명</t>
        </is>
      </c>
      <c r="D4" s="252" t="inlineStr">
        <is>
          <t>사업자번호</t>
        </is>
      </c>
      <c r="E4" s="252" t="inlineStr">
        <is>
          <t>상품명</t>
        </is>
      </c>
      <c r="F4" s="252" t="inlineStr">
        <is>
          <t>7월 분류</t>
        </is>
      </c>
      <c r="G4" s="252" t="inlineStr">
        <is>
          <t>8월 변경분류</t>
        </is>
      </c>
      <c r="H4" s="252" t="inlineStr">
        <is>
          <t>7월 매출액(원)</t>
        </is>
      </c>
      <c r="I4" s="252" t="inlineStr">
        <is>
          <t>8월 누적매출액(원)</t>
        </is>
      </c>
      <c r="J4" s="252" t="inlineStr">
        <is>
          <t>8월 순수매출액(원)</t>
        </is>
      </c>
    </row>
    <row r="5" ht="20" customHeight="1" s="21">
      <c r="A5" s="239" t="n">
        <v>1</v>
      </c>
      <c r="B5" s="239" t="inlineStr">
        <is>
          <t>롯데ON</t>
        </is>
      </c>
      <c r="C5" s="240" t="inlineStr">
        <is>
          <t>주식회사 태범프레시</t>
        </is>
      </c>
      <c r="D5" s="239" t="inlineStr">
        <is>
          <t>832-86-02035</t>
        </is>
      </c>
      <c r="E5" s="240" t="inlineStr">
        <is>
          <t>[홍익상회] 춘천닭갈비 500g x 3팩 국내산닭고기 양념 순살</t>
        </is>
      </c>
      <c r="F5" s="173" t="inlineStr">
        <is>
          <t>가공식품</t>
        </is>
      </c>
      <c r="G5" s="241" t="inlineStr">
        <is>
          <t>축산물</t>
        </is>
      </c>
      <c r="H5" s="182" t="n">
        <v>0</v>
      </c>
      <c r="I5" s="182" t="n">
        <v>0</v>
      </c>
      <c r="J5" s="182" t="n">
        <v>0</v>
      </c>
    </row>
    <row r="6" ht="20" customHeight="1" s="21">
      <c r="A6" s="239" t="n">
        <v>2</v>
      </c>
      <c r="B6" s="239" t="inlineStr">
        <is>
          <t>롯데ON</t>
        </is>
      </c>
      <c r="C6" s="240" t="inlineStr">
        <is>
          <t>주식회사 태범프레시</t>
        </is>
      </c>
      <c r="D6" s="239" t="inlineStr">
        <is>
          <t>832-86-02035</t>
        </is>
      </c>
      <c r="E6" s="240" t="inlineStr">
        <is>
          <t>[홍익상회] 춘천 홍익닭갈비 500g x 3팩 국내산 닭고기 양념 순살</t>
        </is>
      </c>
      <c r="F6" s="173" t="inlineStr">
        <is>
          <t>가공식품</t>
        </is>
      </c>
      <c r="G6" s="241" t="inlineStr">
        <is>
          <t>축산물</t>
        </is>
      </c>
      <c r="H6" s="182" t="n">
        <v>2552440</v>
      </c>
      <c r="I6" s="182" t="n">
        <v>2552440</v>
      </c>
      <c r="J6" s="182" t="n">
        <v>0</v>
      </c>
    </row>
    <row r="7" ht="20" customHeight="1" s="21">
      <c r="A7" s="239" t="n">
        <v>3</v>
      </c>
      <c r="B7" s="239" t="inlineStr">
        <is>
          <t>롯데ON</t>
        </is>
      </c>
      <c r="C7" s="240" t="inlineStr">
        <is>
          <t>신선식품</t>
        </is>
      </c>
      <c r="D7" s="239" t="inlineStr">
        <is>
          <t>131-35-96215</t>
        </is>
      </c>
      <c r="E7" s="240" t="inlineStr">
        <is>
          <t>[온누리7%혜택]고소한 국산 볶은참깨 200g</t>
        </is>
      </c>
      <c r="F7" s="173" t="inlineStr">
        <is>
          <t>농산물</t>
        </is>
      </c>
      <c r="G7" s="241" t="inlineStr">
        <is>
          <t>가공식품</t>
        </is>
      </c>
      <c r="H7" s="182" t="n">
        <v>25600</v>
      </c>
      <c r="I7" s="182" t="n">
        <v>204800</v>
      </c>
      <c r="J7" s="182" t="n">
        <v>179200</v>
      </c>
    </row>
    <row r="8" ht="20" customHeight="1" s="21">
      <c r="A8" s="239" t="n">
        <v>4</v>
      </c>
      <c r="B8" s="239" t="inlineStr">
        <is>
          <t>지마켓</t>
        </is>
      </c>
      <c r="C8" s="240" t="inlineStr">
        <is>
          <t>두원식품(주)</t>
        </is>
      </c>
      <c r="D8" s="239" t="inlineStr">
        <is>
          <t>606-81-52718</t>
        </is>
      </c>
      <c r="E8" s="240" t="inlineStr">
        <is>
          <t>(신선집중) 국내산 한돈 프리미엄 대패 삼겹살 1.2kg</t>
        </is>
      </c>
      <c r="F8" s="173" t="inlineStr">
        <is>
          <t>농산물</t>
        </is>
      </c>
      <c r="G8" s="241" t="inlineStr">
        <is>
          <t>축산물</t>
        </is>
      </c>
      <c r="H8" s="182" t="n">
        <v>51796200</v>
      </c>
      <c r="I8" s="182" t="n">
        <v>55053800</v>
      </c>
      <c r="J8" s="182" t="n">
        <v>3257600</v>
      </c>
    </row>
    <row r="9" ht="20" customHeight="1" s="21">
      <c r="A9" s="239" t="n">
        <v>5</v>
      </c>
      <c r="B9" s="239" t="inlineStr">
        <is>
          <t>지마켓</t>
        </is>
      </c>
      <c r="C9" s="240" t="inlineStr">
        <is>
          <t>다모아영농조합법인</t>
        </is>
      </c>
      <c r="D9" s="239" t="inlineStr">
        <is>
          <t>613-81-60803</t>
        </is>
      </c>
      <c r="E9" s="240" t="inlineStr">
        <is>
          <t>농협 공동선별 햇 남해 통마늘 3kg(상) 실중량 지리적표시품</t>
        </is>
      </c>
      <c r="F9" s="173" t="inlineStr">
        <is>
          <t>축산물</t>
        </is>
      </c>
      <c r="G9" s="241" t="inlineStr">
        <is>
          <t>농산물</t>
        </is>
      </c>
      <c r="H9" s="182" t="n">
        <v>73800</v>
      </c>
      <c r="I9" s="182" t="n">
        <v>701100</v>
      </c>
      <c r="J9" s="182" t="n">
        <v>627300</v>
      </c>
    </row>
    <row r="10" ht="20" customHeight="1" s="21">
      <c r="A10" s="239" t="n">
        <v>6</v>
      </c>
      <c r="B10" s="239" t="inlineStr">
        <is>
          <t>지마켓</t>
        </is>
      </c>
      <c r="C10" s="240" t="inlineStr">
        <is>
          <t>청정태안식품</t>
        </is>
      </c>
      <c r="D10" s="239" t="inlineStr">
        <is>
          <t>316-01-24597</t>
        </is>
      </c>
      <c r="E10" s="240" t="inlineStr">
        <is>
          <t>김명월 검정콩 청국장가루 1kg(500g2통)</t>
        </is>
      </c>
      <c r="F10" s="173" t="inlineStr">
        <is>
          <t>농산물</t>
        </is>
      </c>
      <c r="G10" s="241" t="inlineStr">
        <is>
          <t>가공식품</t>
        </is>
      </c>
      <c r="H10" s="182" t="n">
        <v>74000</v>
      </c>
      <c r="I10" s="182" t="n">
        <v>222000</v>
      </c>
      <c r="J10" s="182" t="n">
        <v>148000</v>
      </c>
    </row>
    <row r="11" ht="20" customHeight="1" s="21">
      <c r="A11" s="239" t="n">
        <v>7</v>
      </c>
      <c r="B11" s="239" t="inlineStr">
        <is>
          <t>지마켓</t>
        </is>
      </c>
      <c r="C11" s="240" t="inlineStr">
        <is>
          <t>청정태안식품</t>
        </is>
      </c>
      <c r="D11" s="239" t="inlineStr">
        <is>
          <t>316-01-24597</t>
        </is>
      </c>
      <c r="E11" s="240" t="inlineStr">
        <is>
          <t>김명월 검정콩 청국장가루 1kg(500g2통)</t>
        </is>
      </c>
      <c r="F11" s="173" t="inlineStr">
        <is>
          <t>농산물</t>
        </is>
      </c>
      <c r="G11" s="241" t="inlineStr">
        <is>
          <t>가공식품</t>
        </is>
      </c>
      <c r="H11" s="182" t="n">
        <v>74000</v>
      </c>
      <c r="I11" s="182" t="n">
        <v>259000</v>
      </c>
      <c r="J11" s="182" t="n">
        <v>185000</v>
      </c>
    </row>
    <row r="12" ht="20" customHeight="1" s="21">
      <c r="A12" s="239" t="n">
        <v>8</v>
      </c>
      <c r="B12" s="239" t="inlineStr">
        <is>
          <t>지마켓</t>
        </is>
      </c>
      <c r="C12" s="240" t="inlineStr">
        <is>
          <t>형지표고버섯</t>
        </is>
      </c>
      <c r="D12" s="239" t="inlineStr">
        <is>
          <t>290-94-00335</t>
        </is>
      </c>
      <c r="E12" s="240" t="inlineStr">
        <is>
          <t>형지표고버섯 흑화고 상황버섯 혼합2호 표고 버섯 선물세트</t>
        </is>
      </c>
      <c r="F12" s="173" t="inlineStr">
        <is>
          <t>가공식품</t>
        </is>
      </c>
      <c r="G12" s="241" t="inlineStr">
        <is>
          <t>농산물</t>
        </is>
      </c>
      <c r="H12" s="182" t="n">
        <v>0</v>
      </c>
      <c r="I12" s="182" t="n">
        <v>0</v>
      </c>
      <c r="J12" s="182" t="n">
        <v>0</v>
      </c>
    </row>
    <row r="13" ht="20" customHeight="1" s="21">
      <c r="A13" s="239" t="n">
        <v>9</v>
      </c>
      <c r="B13" s="239" t="inlineStr">
        <is>
          <t>지마켓</t>
        </is>
      </c>
      <c r="C13" s="240" t="inlineStr">
        <is>
          <t>농부플러스</t>
        </is>
      </c>
      <c r="D13" s="239" t="inlineStr">
        <is>
          <t>571-81-00383</t>
        </is>
      </c>
      <c r="E13" s="240" t="inlineStr">
        <is>
          <t>국산 볶음참깨 햇 참깨 볶은참깨 토종 통깨 200g</t>
        </is>
      </c>
      <c r="F13" s="173" t="inlineStr">
        <is>
          <t>가공식품</t>
        </is>
      </c>
      <c r="G13" s="241" t="inlineStr">
        <is>
          <t>농산물</t>
        </is>
      </c>
      <c r="H13" s="182" t="n">
        <v>360800</v>
      </c>
      <c r="I13" s="182" t="n">
        <v>1098800</v>
      </c>
      <c r="J13" s="182" t="n">
        <v>738000</v>
      </c>
    </row>
    <row r="14" ht="20" customHeight="1" s="21">
      <c r="A14" s="239" t="n">
        <v>10</v>
      </c>
      <c r="B14" s="239" t="inlineStr">
        <is>
          <t>지마켓</t>
        </is>
      </c>
      <c r="C14" s="240" t="inlineStr">
        <is>
          <t>농부플러스</t>
        </is>
      </c>
      <c r="D14" s="239" t="inlineStr">
        <is>
          <t>571-81-00383</t>
        </is>
      </c>
      <c r="E14" s="240" t="inlineStr">
        <is>
          <t>국산 볶음참깨 햇 참깨 볶은참깨 토종 통깨 150g</t>
        </is>
      </c>
      <c r="F14" s="173" t="inlineStr">
        <is>
          <t>가공식품</t>
        </is>
      </c>
      <c r="G14" s="241" t="inlineStr">
        <is>
          <t>농산물</t>
        </is>
      </c>
      <c r="H14" s="182" t="n">
        <v>13900</v>
      </c>
      <c r="I14" s="182" t="n">
        <v>42700</v>
      </c>
      <c r="J14" s="182" t="n">
        <v>28800</v>
      </c>
    </row>
    <row r="15" ht="20" customHeight="1" s="21">
      <c r="A15" s="239" t="n">
        <v>11</v>
      </c>
      <c r="B15" s="239" t="inlineStr">
        <is>
          <t>지마켓</t>
        </is>
      </c>
      <c r="C15" s="240" t="inlineStr">
        <is>
          <t>듬뿍곡간</t>
        </is>
      </c>
      <c r="D15" s="239" t="inlineStr">
        <is>
          <t>181-02-01980</t>
        </is>
      </c>
      <c r="E15" s="240" t="inlineStr">
        <is>
          <t>듬뿍곡간 국내산 볶은 귀리 / 아침식사대용 간식</t>
        </is>
      </c>
      <c r="F15" s="173" t="inlineStr">
        <is>
          <t>가공식품</t>
        </is>
      </c>
      <c r="G15" s="241" t="inlineStr">
        <is>
          <t>농산물</t>
        </is>
      </c>
      <c r="H15" s="182" t="n">
        <v>0</v>
      </c>
      <c r="I15" s="182" t="n">
        <v>0</v>
      </c>
      <c r="J15" s="182" t="n">
        <v>0</v>
      </c>
    </row>
    <row r="16" ht="20" customHeight="1" s="21">
      <c r="A16" s="239" t="n">
        <v>12</v>
      </c>
      <c r="B16" s="239" t="inlineStr">
        <is>
          <t>지마켓</t>
        </is>
      </c>
      <c r="C16" s="240" t="inlineStr">
        <is>
          <t>듬뿍곡간</t>
        </is>
      </c>
      <c r="D16" s="239" t="inlineStr">
        <is>
          <t>181-02-01980</t>
        </is>
      </c>
      <c r="E16" s="240" t="inlineStr">
        <is>
          <t>듬뿍곡간 국내산 쑥미숫가루 / 선식 식사대용 간식 500g</t>
        </is>
      </c>
      <c r="F16" s="173" t="inlineStr">
        <is>
          <t>농산물</t>
        </is>
      </c>
      <c r="G16" s="241" t="inlineStr">
        <is>
          <t>가공식품</t>
        </is>
      </c>
      <c r="H16" s="182" t="n">
        <v>0</v>
      </c>
      <c r="I16" s="182" t="n">
        <v>23800</v>
      </c>
      <c r="J16" s="182" t="n">
        <v>23800</v>
      </c>
    </row>
    <row r="17" ht="20" customHeight="1" s="21">
      <c r="A17" s="239" t="n">
        <v>13</v>
      </c>
      <c r="B17" s="239" t="inlineStr">
        <is>
          <t>지마켓</t>
        </is>
      </c>
      <c r="C17" s="240" t="inlineStr">
        <is>
          <t>농업회사법인(주)가남농원</t>
        </is>
      </c>
      <c r="D17" s="239" t="inlineStr">
        <is>
          <t>416-81-59229</t>
        </is>
      </c>
      <c r="E17" s="240" t="inlineStr">
        <is>
          <t>김승희매실가 신지식 농업인이 만든 매실절임 1kg</t>
        </is>
      </c>
      <c r="F17" s="173" t="inlineStr">
        <is>
          <t>가공식품</t>
        </is>
      </c>
      <c r="G17" s="241" t="inlineStr">
        <is>
          <t>농산물</t>
        </is>
      </c>
      <c r="H17" s="182" t="n">
        <v>66000</v>
      </c>
      <c r="I17" s="182" t="n">
        <v>165000</v>
      </c>
      <c r="J17" s="182" t="n">
        <v>99000</v>
      </c>
    </row>
    <row r="18" ht="20" customHeight="1" s="21">
      <c r="A18" s="239" t="n">
        <v>14</v>
      </c>
      <c r="B18" s="239" t="inlineStr">
        <is>
          <t>지마켓</t>
        </is>
      </c>
      <c r="C18" s="240" t="inlineStr">
        <is>
          <t>농업회사법인(주)가남농원</t>
        </is>
      </c>
      <c r="D18" s="239" t="inlineStr">
        <is>
          <t>416-81-59229</t>
        </is>
      </c>
      <c r="E18" s="240" t="inlineStr">
        <is>
          <t>천기누설 매실 장인이만든 매실고 (농축액) 150g</t>
        </is>
      </c>
      <c r="F18" s="173" t="inlineStr">
        <is>
          <t>농산물</t>
        </is>
      </c>
      <c r="G18" s="241" t="inlineStr">
        <is>
          <t>가공식품</t>
        </is>
      </c>
      <c r="H18" s="182" t="n">
        <v>0</v>
      </c>
      <c r="I18" s="182" t="n">
        <v>0</v>
      </c>
      <c r="J18" s="182" t="n">
        <v>0</v>
      </c>
    </row>
    <row r="19" ht="20" customHeight="1" s="21">
      <c r="A19" s="239" t="n">
        <v>15</v>
      </c>
      <c r="B19" s="239" t="inlineStr">
        <is>
          <t>지마켓</t>
        </is>
      </c>
      <c r="C19" s="240" t="inlineStr">
        <is>
          <t>농업회사법인(주)가남농원</t>
        </is>
      </c>
      <c r="D19" s="239" t="inlineStr">
        <is>
          <t>416-81-59229</t>
        </is>
      </c>
      <c r="E19" s="240" t="inlineStr">
        <is>
          <t>천기누설 매실 장인이만든 매실고 (농축액) 150g</t>
        </is>
      </c>
      <c r="F19" s="173" t="inlineStr">
        <is>
          <t>농산물</t>
        </is>
      </c>
      <c r="G19" s="241" t="inlineStr">
        <is>
          <t>가공식품</t>
        </is>
      </c>
      <c r="H19" s="182" t="n">
        <v>0</v>
      </c>
      <c r="I19" s="182" t="n">
        <v>43000</v>
      </c>
      <c r="J19" s="182" t="n">
        <v>43000</v>
      </c>
    </row>
    <row r="20" ht="20" customHeight="1" s="21">
      <c r="A20" s="239" t="n">
        <v>16</v>
      </c>
      <c r="B20" s="239" t="inlineStr">
        <is>
          <t>지마켓</t>
        </is>
      </c>
      <c r="C20" s="240" t="inlineStr">
        <is>
          <t>농업회사법인 팜팜(주)</t>
        </is>
      </c>
      <c r="D20" s="239" t="inlineStr">
        <is>
          <t>177-81-00798</t>
        </is>
      </c>
      <c r="E20" s="240" t="inlineStr">
        <is>
          <t>(품질보증) 산지직송 정품과 완숙토마토 5KG 당일수확 유럽종</t>
        </is>
      </c>
      <c r="F20" s="173" t="inlineStr">
        <is>
          <t>가공식품</t>
        </is>
      </c>
      <c r="G20" s="241" t="inlineStr">
        <is>
          <t>농산물</t>
        </is>
      </c>
      <c r="H20" s="182" t="n">
        <v>694600</v>
      </c>
      <c r="I20" s="182" t="n">
        <v>5967100</v>
      </c>
      <c r="J20" s="182" t="n">
        <v>5272500</v>
      </c>
    </row>
    <row r="21" ht="20" customHeight="1" s="21">
      <c r="A21" s="239" t="n">
        <v>17</v>
      </c>
      <c r="B21" s="239" t="inlineStr">
        <is>
          <t>지마켓</t>
        </is>
      </c>
      <c r="C21" s="240" t="inlineStr">
        <is>
          <t>농업회사법인주식회사 늘해랑</t>
        </is>
      </c>
      <c r="D21" s="239" t="inlineStr">
        <is>
          <t>756-87-00841</t>
        </is>
      </c>
      <c r="E21" s="240" t="inlineStr">
        <is>
          <t>조은해남 고구마 못난이 10kg (꿀호박 랜덤발송)</t>
        </is>
      </c>
      <c r="F21" s="173" t="inlineStr">
        <is>
          <t>가공식품</t>
        </is>
      </c>
      <c r="G21" s="241" t="inlineStr">
        <is>
          <t>농산물</t>
        </is>
      </c>
      <c r="H21" s="182" t="n">
        <v>371800</v>
      </c>
      <c r="I21" s="182" t="n">
        <v>2827100</v>
      </c>
      <c r="J21" s="182" t="n">
        <v>2455300</v>
      </c>
    </row>
    <row r="22" ht="20" customHeight="1" s="21">
      <c r="A22" s="239" t="n">
        <v>18</v>
      </c>
      <c r="B22" s="239" t="inlineStr">
        <is>
          <t>지마켓</t>
        </is>
      </c>
      <c r="C22" s="240" t="inlineStr">
        <is>
          <t>초림단지묵</t>
        </is>
      </c>
      <c r="D22" s="239" t="inlineStr">
        <is>
          <t>615-14-93195</t>
        </is>
      </c>
      <c r="E22" s="240" t="inlineStr">
        <is>
          <t>초림단지묵 국산 100% 도토리묵 400g 2인분 x 1팩</t>
        </is>
      </c>
      <c r="F22" s="173" t="inlineStr">
        <is>
          <t>축산물</t>
        </is>
      </c>
      <c r="G22" s="241" t="inlineStr">
        <is>
          <t>가공식품</t>
        </is>
      </c>
      <c r="H22" s="182" t="n">
        <v>0</v>
      </c>
      <c r="I22" s="182" t="n">
        <v>0</v>
      </c>
      <c r="J22" s="182" t="n">
        <v>0</v>
      </c>
    </row>
    <row r="23" ht="20" customHeight="1" s="21">
      <c r="A23" s="239" t="n">
        <v>19</v>
      </c>
      <c r="B23" s="239" t="inlineStr">
        <is>
          <t>지마켓</t>
        </is>
      </c>
      <c r="C23" s="240" t="inlineStr">
        <is>
          <t>초림단지묵</t>
        </is>
      </c>
      <c r="D23" s="239" t="inlineStr">
        <is>
          <t>615-14-93195</t>
        </is>
      </c>
      <c r="E23" s="240" t="inlineStr">
        <is>
          <t>초림단지묵 국산 100% 도토리묵 400g 2인분 x 1팩</t>
        </is>
      </c>
      <c r="F23" s="173" t="inlineStr">
        <is>
          <t>축산물</t>
        </is>
      </c>
      <c r="G23" s="241" t="inlineStr">
        <is>
          <t>가공식품</t>
        </is>
      </c>
      <c r="H23" s="182" t="n">
        <v>0</v>
      </c>
      <c r="I23" s="182" t="n">
        <v>30000</v>
      </c>
      <c r="J23" s="182" t="n">
        <v>30000</v>
      </c>
    </row>
    <row r="24" ht="20" customHeight="1" s="21">
      <c r="A24" s="239" t="n">
        <v>20</v>
      </c>
      <c r="B24" s="239" t="inlineStr">
        <is>
          <t>지마켓</t>
        </is>
      </c>
      <c r="C24" s="240" t="inlineStr">
        <is>
          <t>초림단지묵</t>
        </is>
      </c>
      <c r="D24" s="239" t="inlineStr">
        <is>
          <t>615-14-93195</t>
        </is>
      </c>
      <c r="E24" s="240" t="inlineStr">
        <is>
          <t>초림단지묵 국산100% 도토리묵 묵사발 세트</t>
        </is>
      </c>
      <c r="F24" s="173" t="inlineStr">
        <is>
          <t>농산물</t>
        </is>
      </c>
      <c r="G24" s="241" t="inlineStr">
        <is>
          <t>가공식품</t>
        </is>
      </c>
      <c r="H24" s="182" t="n">
        <v>0</v>
      </c>
      <c r="I24" s="182" t="n">
        <v>0</v>
      </c>
      <c r="J24" s="182" t="n">
        <v>0</v>
      </c>
    </row>
    <row r="25" ht="20" customHeight="1" s="21">
      <c r="A25" s="239" t="n">
        <v>21</v>
      </c>
      <c r="B25" s="239" t="inlineStr">
        <is>
          <t>지마켓</t>
        </is>
      </c>
      <c r="C25" s="240" t="inlineStr">
        <is>
          <t>초림단지묵</t>
        </is>
      </c>
      <c r="D25" s="239" t="inlineStr">
        <is>
          <t>615-14-93195</t>
        </is>
      </c>
      <c r="E25" s="240" t="inlineStr">
        <is>
          <t>초림단지묵 명인 국산 콩물 우묵채 (2인분)</t>
        </is>
      </c>
      <c r="F25" s="173" t="inlineStr">
        <is>
          <t>농산물</t>
        </is>
      </c>
      <c r="G25" s="241" t="inlineStr">
        <is>
          <t>가공식품</t>
        </is>
      </c>
      <c r="H25" s="182" t="n">
        <v>0</v>
      </c>
      <c r="I25" s="182" t="n">
        <v>0</v>
      </c>
      <c r="J25" s="182" t="n">
        <v>0</v>
      </c>
    </row>
    <row r="26" ht="20" customHeight="1" s="21">
      <c r="A26" s="239" t="n">
        <v>22</v>
      </c>
      <c r="B26" s="239" t="inlineStr">
        <is>
          <t>지마켓</t>
        </is>
      </c>
      <c r="C26" s="240" t="inlineStr">
        <is>
          <t>초림단지묵</t>
        </is>
      </c>
      <c r="D26" s="239" t="inlineStr">
        <is>
          <t>615-14-93195</t>
        </is>
      </c>
      <c r="E26" s="240" t="inlineStr">
        <is>
          <t>초림단지묵 국산 콩물 콩가루 90g 1인분 x 5팩 물만타면 콩국수</t>
        </is>
      </c>
      <c r="F26" s="173" t="inlineStr">
        <is>
          <t>농산물</t>
        </is>
      </c>
      <c r="G26" s="241" t="inlineStr">
        <is>
          <t>가공식품</t>
        </is>
      </c>
      <c r="H26" s="182" t="n">
        <v>0</v>
      </c>
      <c r="I26" s="182" t="n">
        <v>0</v>
      </c>
      <c r="J26" s="182" t="n">
        <v>0</v>
      </c>
    </row>
    <row r="27" ht="20" customHeight="1" s="21">
      <c r="A27" s="239" t="n">
        <v>23</v>
      </c>
      <c r="B27" s="239" t="inlineStr">
        <is>
          <t>지마켓</t>
        </is>
      </c>
      <c r="C27" s="240" t="inlineStr">
        <is>
          <t>초림단지묵</t>
        </is>
      </c>
      <c r="D27" s="239" t="inlineStr">
        <is>
          <t>615-14-93195</t>
        </is>
      </c>
      <c r="E27" s="240" t="inlineStr">
        <is>
          <t>초림단지묵 국산 콩물 콩가루 90g 1인분 x 5팩 물만타면 콩국수</t>
        </is>
      </c>
      <c r="F27" s="173" t="inlineStr">
        <is>
          <t>농산물</t>
        </is>
      </c>
      <c r="G27" s="241" t="inlineStr">
        <is>
          <t>가공식품</t>
        </is>
      </c>
      <c r="H27" s="182" t="n">
        <v>0</v>
      </c>
      <c r="I27" s="182" t="n">
        <v>240000</v>
      </c>
      <c r="J27" s="182" t="n">
        <v>240000</v>
      </c>
    </row>
    <row r="28" ht="20" customHeight="1" s="21">
      <c r="A28" s="239" t="n">
        <v>24</v>
      </c>
      <c r="B28" s="239" t="inlineStr">
        <is>
          <t>지마켓</t>
        </is>
      </c>
      <c r="C28" s="240" t="inlineStr">
        <is>
          <t>그린몬스터즈</t>
        </is>
      </c>
      <c r="D28" s="239" t="inlineStr">
        <is>
          <t>883-95-01472</t>
        </is>
      </c>
      <c r="E28" s="240" t="inlineStr">
        <is>
          <t>당일수확발송 그린몬스터즈 프리미엄 미니오이 1.5kg 농장직거래 여름작기 첫수확 특가할인행사</t>
        </is>
      </c>
      <c r="F28" s="173" t="inlineStr">
        <is>
          <t>가공식품</t>
        </is>
      </c>
      <c r="G28" s="241" t="inlineStr">
        <is>
          <t>농산물</t>
        </is>
      </c>
      <c r="H28" s="182" t="n">
        <v>100000</v>
      </c>
      <c r="I28" s="182" t="n">
        <v>700000</v>
      </c>
      <c r="J28" s="182" t="n">
        <v>600000</v>
      </c>
    </row>
    <row r="29" ht="20" customHeight="1" s="21">
      <c r="A29" s="239" t="n">
        <v>25</v>
      </c>
      <c r="B29" s="239" t="inlineStr">
        <is>
          <t>지마켓</t>
        </is>
      </c>
      <c r="C29" s="240" t="inlineStr">
        <is>
          <t>어이딸부각</t>
        </is>
      </c>
      <c r="D29" s="239" t="inlineStr">
        <is>
          <t>142-33-00898</t>
        </is>
      </c>
      <c r="E29" s="240" t="inlineStr">
        <is>
          <t>고추크런치 70g 고추부각 튀각 찹쌀 수제 비건</t>
        </is>
      </c>
      <c r="F29" s="173" t="inlineStr">
        <is>
          <t>농산물</t>
        </is>
      </c>
      <c r="G29" s="241" t="inlineStr">
        <is>
          <t>가공식품</t>
        </is>
      </c>
      <c r="H29" s="182" t="n">
        <v>0</v>
      </c>
      <c r="I29" s="182" t="n">
        <v>0</v>
      </c>
      <c r="J29" s="182" t="n">
        <v>0</v>
      </c>
    </row>
    <row r="30" ht="20" customHeight="1" s="21">
      <c r="A30" s="239" t="n">
        <v>26</v>
      </c>
      <c r="B30" s="239" t="inlineStr">
        <is>
          <t>지마켓</t>
        </is>
      </c>
      <c r="C30" s="240" t="inlineStr">
        <is>
          <t>어이딸부각</t>
        </is>
      </c>
      <c r="D30" s="239" t="inlineStr">
        <is>
          <t>142-33-00898</t>
        </is>
      </c>
      <c r="E30" s="240" t="inlineStr">
        <is>
          <t>어이딸 김부각 선물세트 소 5개입 찹쌀 수제 비건 글루텐프리 저당</t>
        </is>
      </c>
      <c r="F30" s="173" t="inlineStr">
        <is>
          <t>농산물</t>
        </is>
      </c>
      <c r="G30" s="241" t="inlineStr">
        <is>
          <t>가공식품</t>
        </is>
      </c>
      <c r="H30" s="182" t="n">
        <v>0</v>
      </c>
      <c r="I30" s="182" t="n">
        <v>690000</v>
      </c>
      <c r="J30" s="182" t="n">
        <v>690000</v>
      </c>
    </row>
    <row r="31" ht="20" customHeight="1" s="21">
      <c r="A31" s="239" t="n">
        <v>27</v>
      </c>
      <c r="B31" s="239" t="inlineStr">
        <is>
          <t>지마켓</t>
        </is>
      </c>
      <c r="C31" s="240" t="inlineStr">
        <is>
          <t>어이딸부각</t>
        </is>
      </c>
      <c r="D31" s="239" t="inlineStr">
        <is>
          <t>142-33-00898</t>
        </is>
      </c>
      <c r="E31" s="240" t="inlineStr">
        <is>
          <t>어이딸 김부각 선물세트 중 8개입 찹쌀 수제 비건 글루텐프리 저당</t>
        </is>
      </c>
      <c r="F31" s="173" t="inlineStr">
        <is>
          <t>농산물</t>
        </is>
      </c>
      <c r="G31" s="241" t="inlineStr">
        <is>
          <t>가공식품</t>
        </is>
      </c>
      <c r="H31" s="182" t="n">
        <v>0</v>
      </c>
      <c r="I31" s="182" t="n">
        <v>0</v>
      </c>
      <c r="J31" s="182" t="n">
        <v>0</v>
      </c>
    </row>
    <row r="32" ht="20" customHeight="1" s="21">
      <c r="A32" s="239" t="n">
        <v>28</v>
      </c>
      <c r="B32" s="239" t="inlineStr">
        <is>
          <t>지마켓</t>
        </is>
      </c>
      <c r="C32" s="240" t="inlineStr">
        <is>
          <t>초림단지묵</t>
        </is>
      </c>
      <c r="D32" s="239" t="inlineStr">
        <is>
          <t>615-14-93195</t>
        </is>
      </c>
      <c r="E32" s="240" t="inlineStr">
        <is>
          <t>초림단지묵 국산 100% 도토리묵 400g 2인분 x 1팩</t>
        </is>
      </c>
      <c r="F32" s="173" t="inlineStr">
        <is>
          <t>농산물</t>
        </is>
      </c>
      <c r="G32" s="241" t="inlineStr">
        <is>
          <t>가공식품</t>
        </is>
      </c>
      <c r="H32" s="182" t="n">
        <v>0</v>
      </c>
      <c r="I32" s="182" t="n">
        <v>0</v>
      </c>
      <c r="J32" s="182" t="n">
        <v>0</v>
      </c>
    </row>
    <row r="33" ht="20" customHeight="1" s="21">
      <c r="A33" s="239" t="n">
        <v>29</v>
      </c>
      <c r="B33" s="239" t="inlineStr">
        <is>
          <t>지마켓</t>
        </is>
      </c>
      <c r="C33" s="240" t="inlineStr">
        <is>
          <t>초림단지묵</t>
        </is>
      </c>
      <c r="D33" s="239" t="inlineStr">
        <is>
          <t>615-14-93195</t>
        </is>
      </c>
      <c r="E33" s="240" t="inlineStr">
        <is>
          <t>초림단지묵 국산 100% 도토리묵 400g 2인분 x 1팩</t>
        </is>
      </c>
      <c r="F33" s="173" t="inlineStr">
        <is>
          <t>농산물</t>
        </is>
      </c>
      <c r="G33" s="241" t="inlineStr">
        <is>
          <t>가공식품</t>
        </is>
      </c>
      <c r="H33" s="182" t="n">
        <v>0</v>
      </c>
      <c r="I33" s="182" t="n">
        <v>30000</v>
      </c>
      <c r="J33" s="182" t="n">
        <v>30000</v>
      </c>
    </row>
    <row r="34" ht="20" customHeight="1" s="21">
      <c r="A34" s="239" t="n">
        <v>30</v>
      </c>
      <c r="B34" s="239" t="inlineStr">
        <is>
          <t>지마켓</t>
        </is>
      </c>
      <c r="C34" s="240" t="inlineStr">
        <is>
          <t>초림단지묵</t>
        </is>
      </c>
      <c r="D34" s="239" t="inlineStr">
        <is>
          <t>615-14-93195</t>
        </is>
      </c>
      <c r="E34" s="240" t="inlineStr">
        <is>
          <t>초림단지묵 국산 콩물 콩가루 90g 1인분 x 5팩 물만타면 콩국수</t>
        </is>
      </c>
      <c r="F34" s="173" t="inlineStr">
        <is>
          <t>농산물</t>
        </is>
      </c>
      <c r="G34" s="241" t="inlineStr">
        <is>
          <t>가공식품</t>
        </is>
      </c>
      <c r="H34" s="182" t="n">
        <v>240000</v>
      </c>
      <c r="I34" s="182" t="n">
        <v>0</v>
      </c>
      <c r="J34" s="182" t="n">
        <v>-240000</v>
      </c>
    </row>
    <row r="35" ht="20" customHeight="1" s="21">
      <c r="A35" s="239" t="n">
        <v>31</v>
      </c>
      <c r="B35" s="239" t="inlineStr">
        <is>
          <t>지마켓</t>
        </is>
      </c>
      <c r="C35" s="240" t="inlineStr">
        <is>
          <t>초림단지묵</t>
        </is>
      </c>
      <c r="D35" s="239" t="inlineStr">
        <is>
          <t>615-14-93195</t>
        </is>
      </c>
      <c r="E35" s="240" t="inlineStr">
        <is>
          <t>초림단지묵 국산 콩물 콩가루 90g 1인분 x 5팩 물만타면 콩국수</t>
        </is>
      </c>
      <c r="F35" s="173" t="inlineStr">
        <is>
          <t>농산물</t>
        </is>
      </c>
      <c r="G35" s="241" t="inlineStr">
        <is>
          <t>가공식품</t>
        </is>
      </c>
      <c r="H35" s="182" t="n">
        <v>240000</v>
      </c>
      <c r="I35" s="182" t="n">
        <v>240000</v>
      </c>
      <c r="J35" s="182" t="n">
        <v>0</v>
      </c>
    </row>
    <row r="36" ht="20" customHeight="1" s="21">
      <c r="A36" s="239" t="n">
        <v>32</v>
      </c>
      <c r="B36" s="239" t="inlineStr">
        <is>
          <t>지마켓</t>
        </is>
      </c>
      <c r="C36" s="240" t="inlineStr">
        <is>
          <t>초림단지묵</t>
        </is>
      </c>
      <c r="D36" s="239" t="inlineStr">
        <is>
          <t>615-14-93195</t>
        </is>
      </c>
      <c r="E36" s="240" t="inlineStr">
        <is>
          <t>초림단지묵 국산 콩물 콩가루 400g 4인분 물만타면 콩국수</t>
        </is>
      </c>
      <c r="F36" s="173" t="inlineStr">
        <is>
          <t>농산물</t>
        </is>
      </c>
      <c r="G36" s="241" t="inlineStr">
        <is>
          <t>가공식품</t>
        </is>
      </c>
      <c r="H36" s="182" t="n">
        <v>54000</v>
      </c>
      <c r="I36" s="182" t="n">
        <v>0</v>
      </c>
      <c r="J36" s="182" t="n">
        <v>-54000</v>
      </c>
    </row>
    <row r="37" ht="20" customHeight="1" s="21">
      <c r="A37" s="239" t="n">
        <v>33</v>
      </c>
      <c r="B37" s="239" t="inlineStr">
        <is>
          <t>지마켓</t>
        </is>
      </c>
      <c r="C37" s="240" t="inlineStr">
        <is>
          <t>초림단지묵</t>
        </is>
      </c>
      <c r="D37" s="239" t="inlineStr">
        <is>
          <t>615-14-93195</t>
        </is>
      </c>
      <c r="E37" s="240" t="inlineStr">
        <is>
          <t>초림단지묵 국산 콩물 콩가루 400g 4인분 물만타면 콩국수</t>
        </is>
      </c>
      <c r="F37" s="173" t="inlineStr">
        <is>
          <t>농산물</t>
        </is>
      </c>
      <c r="G37" s="241" t="inlineStr">
        <is>
          <t>가공식품</t>
        </is>
      </c>
      <c r="H37" s="182" t="n">
        <v>54000</v>
      </c>
      <c r="I37" s="182" t="n">
        <v>54000</v>
      </c>
      <c r="J37" s="182" t="n">
        <v>0</v>
      </c>
    </row>
    <row r="38" ht="20" customHeight="1" s="21">
      <c r="A38" s="239" t="n">
        <v>34</v>
      </c>
      <c r="B38" s="239" t="inlineStr">
        <is>
          <t>오아시스</t>
        </is>
      </c>
      <c r="C38" s="240" t="inlineStr">
        <is>
          <t>케이에프지</t>
        </is>
      </c>
      <c r="D38" s="239" t="inlineStr">
        <is>
          <t>120-86-08936</t>
        </is>
      </c>
      <c r="E38" s="240" t="inlineStr">
        <is>
          <t>한돈 제육볶음 (650g X 1개)</t>
        </is>
      </c>
      <c r="F38" s="173" t="inlineStr">
        <is>
          <t>가공식품</t>
        </is>
      </c>
      <c r="G38" s="241" t="inlineStr">
        <is>
          <t>축산물</t>
        </is>
      </c>
      <c r="H38" s="182" t="n">
        <v>20305100</v>
      </c>
      <c r="I38" s="182" t="n">
        <v>46426900</v>
      </c>
      <c r="J38" s="182" t="n">
        <v>26121800</v>
      </c>
    </row>
    <row r="39" ht="20" customHeight="1" s="21">
      <c r="A39" s="239" t="n">
        <v>35</v>
      </c>
      <c r="B39" s="239" t="inlineStr">
        <is>
          <t>오아시스</t>
        </is>
      </c>
      <c r="C39" s="240" t="inlineStr">
        <is>
          <t>케이에프지</t>
        </is>
      </c>
      <c r="D39" s="239" t="inlineStr">
        <is>
          <t>120-86-08936</t>
        </is>
      </c>
      <c r="E39" s="240" t="inlineStr">
        <is>
          <t>한돈 칼집 양념구이 (650g X 1개)</t>
        </is>
      </c>
      <c r="F39" s="173" t="inlineStr">
        <is>
          <t>가공식품</t>
        </is>
      </c>
      <c r="G39" s="241" t="inlineStr">
        <is>
          <t>축산물</t>
        </is>
      </c>
      <c r="H39" s="182" t="n">
        <v>16019900</v>
      </c>
      <c r="I39" s="182" t="n">
        <v>30197000</v>
      </c>
      <c r="J39" s="182" t="n">
        <v>14177100</v>
      </c>
    </row>
    <row r="40" ht="20" customHeight="1" s="21">
      <c r="A40" s="239" t="n">
        <v>36</v>
      </c>
      <c r="B40" s="239" t="inlineStr">
        <is>
          <t>오아시스</t>
        </is>
      </c>
      <c r="C40" s="240" t="inlineStr">
        <is>
          <t>케이에프지</t>
        </is>
      </c>
      <c r="D40" s="239" t="inlineStr">
        <is>
          <t>120-86-08936</t>
        </is>
      </c>
      <c r="E40" s="240" t="inlineStr">
        <is>
          <t>한돈 성북동식 돼지불백 (650g X 1개)</t>
        </is>
      </c>
      <c r="F40" s="173" t="inlineStr">
        <is>
          <t>가공식품</t>
        </is>
      </c>
      <c r="G40" s="241" t="inlineStr">
        <is>
          <t>축산물</t>
        </is>
      </c>
      <c r="H40" s="182" t="n">
        <v>10928700</v>
      </c>
      <c r="I40" s="182" t="n">
        <v>21744400</v>
      </c>
      <c r="J40" s="182" t="n">
        <v>10815700</v>
      </c>
    </row>
    <row r="41" ht="20" customHeight="1" s="21">
      <c r="A41" s="239" t="n">
        <v>37</v>
      </c>
      <c r="B41" s="239" t="inlineStr">
        <is>
          <t>오아시스</t>
        </is>
      </c>
      <c r="C41" s="240" t="inlineStr">
        <is>
          <t>케이에프지</t>
        </is>
      </c>
      <c r="D41" s="239" t="inlineStr">
        <is>
          <t>120-86-08936</t>
        </is>
      </c>
      <c r="E41" s="240" t="inlineStr">
        <is>
          <t>서울식 한우 불고기 밀키트 (800g X 1개)</t>
        </is>
      </c>
      <c r="F41" s="173" t="inlineStr">
        <is>
          <t>가공식품</t>
        </is>
      </c>
      <c r="G41" s="241" t="inlineStr">
        <is>
          <t>축산물</t>
        </is>
      </c>
      <c r="H41" s="182" t="n">
        <v>6922200</v>
      </c>
      <c r="I41" s="182" t="n">
        <v>15422600</v>
      </c>
      <c r="J41" s="182" t="n">
        <v>8500400</v>
      </c>
    </row>
    <row r="42" ht="20" customHeight="1" s="21">
      <c r="A42" s="239" t="n">
        <v>38</v>
      </c>
      <c r="B42" s="239" t="inlineStr">
        <is>
          <t>오아시스</t>
        </is>
      </c>
      <c r="C42" s="240" t="inlineStr">
        <is>
          <t>해담는집</t>
        </is>
      </c>
      <c r="D42" s="239" t="inlineStr">
        <is>
          <t>745-96-00315</t>
        </is>
      </c>
      <c r="E42" s="240" t="inlineStr">
        <is>
          <t>해담는집 유기농 고춧가루 500g/200g(순한맛/보통맛/매운맛)</t>
        </is>
      </c>
      <c r="F42" s="173" t="inlineStr">
        <is>
          <t>농산물</t>
        </is>
      </c>
      <c r="G42" s="241" t="inlineStr">
        <is>
          <t>가공식품</t>
        </is>
      </c>
      <c r="H42" s="182" t="n">
        <v>208400</v>
      </c>
      <c r="I42" s="182" t="n">
        <v>434900</v>
      </c>
      <c r="J42" s="182" t="n">
        <v>226500</v>
      </c>
    </row>
    <row r="43" ht="22" customHeight="1" s="21">
      <c r="A43" s="242" t="inlineStr">
        <is>
          <t>합 계</t>
        </is>
      </c>
      <c r="B43" s="243" t="inlineStr">
        <is>
          <t>변경 38건 총계</t>
        </is>
      </c>
      <c r="C43" s="244" t="inlineStr"/>
      <c r="D43" s="244" t="inlineStr"/>
      <c r="E43" s="244" t="inlineStr"/>
      <c r="F43" s="244" t="inlineStr"/>
      <c r="G43" s="244" t="inlineStr"/>
      <c r="H43" s="245" t="n">
        <v>111175440</v>
      </c>
      <c r="I43" s="245" t="n">
        <v>185370440</v>
      </c>
      <c r="J43" s="245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2026-09-14T07:23:21Z</dcterms:modified>
  <cp:lastModifiedBy>user</cp:lastModifiedBy>
  <cp:lastPrinted>2021-12-09T01:05:36Z</cp:lastPrinted>
</cp:coreProperties>
</file>