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SUMIF('①농산물raw'!$A$6:$A$2454,E$13,'①농산물raw'!$H$6:$H$2454)</f>
        <v/>
      </c>
      <c r="F14" s="216">
        <f>SUMIF('①농산물raw'!$A$6:$A$2454,F$13,'①농산물raw'!$H$6:$H$2454)</f>
        <v/>
      </c>
      <c r="G14" s="216">
        <f>SUMIF('①농산물raw'!$A$6:$A$2454,G$13,'①농산물raw'!$H$6:$H$2454)</f>
        <v/>
      </c>
      <c r="H14" s="216">
        <f>SUMIF('①농산물raw'!$A$6:$A$2454,H$13,'①농산물raw'!$H$6:$H$2454)</f>
        <v/>
      </c>
      <c r="I14" s="216">
        <f>SUMIF('①농산물raw'!$A$6:$A$2454,I$13,'①농산물raw'!$H$6:$H$2454)</f>
        <v/>
      </c>
      <c r="J14" s="216">
        <f>SUMIF('①농산물raw'!$A$6:$A$2454,J$13,'①농산물raw'!$H$6:$H$2454)</f>
        <v/>
      </c>
      <c r="K14" s="44">
        <f>SUM(L14:M14)</f>
        <v/>
      </c>
      <c r="L14" s="216">
        <f>SUMIF('②유기농raw'!$A$6:$A$1000,L$13,'②유기농raw'!$H$6:$H$1000)</f>
        <v/>
      </c>
      <c r="M14" s="216">
        <f>SUMIF('②유기농raw'!$A$6:$A$1000,M$13,'②유기농raw'!$H$6:$H$1000)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SUMIF('①농산물raw'!$A$6:$A$2454,E$18,'①농산물raw'!$G$6:$G$2454)</f>
        <v/>
      </c>
      <c r="F19" s="216">
        <f>SUMIF('①농산물raw'!$A$6:$A$2454,F$18,'①농산물raw'!$G$6:$G$2454)</f>
        <v/>
      </c>
      <c r="G19" s="216">
        <f>SUMIF('①농산물raw'!$A$6:$A$2454,G$18,'①농산물raw'!$G$6:$G$2454)</f>
        <v/>
      </c>
      <c r="H19" s="216">
        <f>SUMIF('①농산물raw'!$A$6:$A$2454,H$18,'①농산물raw'!$G$6:$G$2454)</f>
        <v/>
      </c>
      <c r="I19" s="216">
        <f>SUMIF('①농산물raw'!$A$6:$A$2454,I$18,'①농산물raw'!$G$6:$G$2454)</f>
        <v/>
      </c>
      <c r="J19" s="216">
        <f>SUMIF('①농산물raw'!$A$6:$A$2454,J$18,'①농산물raw'!$G$6:$G$2454)</f>
        <v/>
      </c>
      <c r="K19" s="44">
        <f>SUM(L19:M19)</f>
        <v/>
      </c>
      <c r="L19" s="216">
        <f>SUMIF('②유기농raw'!$A$6:$A$1000,L$18,'②유기농raw'!$G$6:$G$1000)</f>
        <v/>
      </c>
      <c r="M19" s="216">
        <f>SUMIF('②유기농raw'!$A$6:$A$1000,M$18,'②유기농raw'!$G$6:$G$1000)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SUMIF('①농산물raw'!$A$6:$A$2454,E$23,'①농산물raw'!$F$6:$F$2454)</f>
        <v/>
      </c>
      <c r="F24" s="216">
        <f>SUMIF('①농산물raw'!$A$6:$A$2454,F$23,'①농산물raw'!$F$6:$F$2454)</f>
        <v/>
      </c>
      <c r="G24" s="216">
        <f>SUMIF('①농산물raw'!$A$6:$A$2454,G$23,'①농산물raw'!$F$6:$F$2454)</f>
        <v/>
      </c>
      <c r="H24" s="216">
        <f>SUMIF('①농산물raw'!$A$6:$A$2454,H$23,'①농산물raw'!$F$6:$F$2454)</f>
        <v/>
      </c>
      <c r="I24" s="216">
        <f>SUMIF('①농산물raw'!$A$6:$A$2454,I$23,'①농산물raw'!$F$6:$F$2454)</f>
        <v/>
      </c>
      <c r="J24" s="216">
        <f>SUMIF('①농산물raw'!$A$6:$A$2454,J$23,'①농산물raw'!$F$6:$F$2454)</f>
        <v/>
      </c>
      <c r="K24" s="44">
        <f>SUM(L24:M24)</f>
        <v/>
      </c>
      <c r="L24" s="216">
        <f>SUMIF('②유기농raw'!$A$6:$A$1000,L$23,'②유기농raw'!$F$6:$F$1000)</f>
        <v/>
      </c>
      <c r="M24" s="216">
        <f>SUMIF('②유기농raw'!$A$6:$A$1000,M$23,'②유기농raw'!$F$6:$F$1000)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SUMIFS('①농산물raw'!$H$6:$H$2454,'①농산물raw'!$A$6:$A$2454,E$28,'①농산물raw'!$B$6:$B$2454,$B30)</f>
        <v/>
      </c>
      <c r="F30" s="216">
        <f>SUMIFS('①농산물raw'!$H$6:$H$2454,'①농산물raw'!$A$6:$A$2454,F$28,'①농산물raw'!$B$6:$B$2454,$B30)</f>
        <v/>
      </c>
      <c r="G30" s="216">
        <f>SUMIFS('①농산물raw'!$H$6:$H$2454,'①농산물raw'!$A$6:$A$2454,G$28,'①농산물raw'!$B$6:$B$2454,$B30)</f>
        <v/>
      </c>
      <c r="H30" s="216">
        <f>SUMIFS('①농산물raw'!$H$6:$H$2454,'①농산물raw'!$A$6:$A$2454,H$28,'①농산물raw'!$B$6:$B$2454,$B30)</f>
        <v/>
      </c>
      <c r="I30" s="216">
        <f>SUMIFS('①농산물raw'!$H$6:$H$2454,'①농산물raw'!$A$6:$A$2454,I$28,'①농산물raw'!$B$6:$B$2454,$B30)</f>
        <v/>
      </c>
      <c r="J30" s="216">
        <f>SUMIFS('①농산물raw'!$H$6:$H$2454,'①농산물raw'!$A$6:$A$2454,J$28,'①농산물raw'!$B$6:$B$2454,$B30)</f>
        <v/>
      </c>
      <c r="K30" s="44">
        <f>SUM(L30:M30)</f>
        <v/>
      </c>
      <c r="L30" s="216">
        <f>SUMIFS('②유기농raw'!$H$6:$H$1000,'②유기농raw'!$A$6:$A$1000,L$28,'②유기농raw'!$B$6:$B$1000,$B30)</f>
        <v/>
      </c>
      <c r="M30" s="216">
        <f>SUMIFS('②유기농raw'!$H$6:$H$1000,'②유기농raw'!$A$6:$A$1000,M$28,'②유기농raw'!$B$6:$B$1000,$B30)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SUMIFS('①농산물raw'!$H$6:$H$2454,'①농산물raw'!$A$6:$A$2454,E$28,'①농산물raw'!$B$6:$B$2454,$B31)</f>
        <v/>
      </c>
      <c r="F31" s="216">
        <f>SUMIFS('①농산물raw'!$H$6:$H$2454,'①농산물raw'!$A$6:$A$2454,F$28,'①농산물raw'!$B$6:$B$2454,$B31)</f>
        <v/>
      </c>
      <c r="G31" s="216">
        <f>SUMIFS('①농산물raw'!$H$6:$H$2454,'①농산물raw'!$A$6:$A$2454,G$28,'①농산물raw'!$B$6:$B$2454,$B31)</f>
        <v/>
      </c>
      <c r="H31" s="216">
        <f>SUMIFS('①농산물raw'!$H$6:$H$2454,'①농산물raw'!$A$6:$A$2454,H$28,'①농산물raw'!$B$6:$B$2454,$B31)</f>
        <v/>
      </c>
      <c r="I31" s="216">
        <f>SUMIFS('①농산물raw'!$H$6:$H$2454,'①농산물raw'!$A$6:$A$2454,I$28,'①농산물raw'!$B$6:$B$2454,$B31)</f>
        <v/>
      </c>
      <c r="J31" s="216">
        <f>SUMIFS('①농산물raw'!$H$6:$H$2454,'①농산물raw'!$A$6:$A$2454,J$28,'①농산물raw'!$B$6:$B$2454,$B31)</f>
        <v/>
      </c>
      <c r="K31" s="44">
        <f>SUM(L31:M31)</f>
        <v/>
      </c>
      <c r="L31" s="216">
        <f>SUMIFS('②유기농raw'!$H$6:$H$1000,'②유기농raw'!$A$6:$A$1000,L$28,'②유기농raw'!$B$6:$B$1000,$B31)</f>
        <v/>
      </c>
      <c r="M31" s="216">
        <f>SUMIFS('②유기농raw'!$H$6:$H$1000,'②유기농raw'!$A$6:$A$1000,M$28,'②유기농raw'!$B$6:$B$1000,$B31)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SUMIFS('①농산물raw'!$H$6:$H$2454,'①농산물raw'!$A$6:$A$2454,E$28,'①농산물raw'!$B$6:$B$2454,$B32)</f>
        <v/>
      </c>
      <c r="F32" s="216">
        <f>SUMIFS('①농산물raw'!$H$6:$H$2454,'①농산물raw'!$A$6:$A$2454,F$28,'①농산물raw'!$B$6:$B$2454,$B32)</f>
        <v/>
      </c>
      <c r="G32" s="216">
        <f>SUMIFS('①농산물raw'!$H$6:$H$2454,'①농산물raw'!$A$6:$A$2454,G$28,'①농산물raw'!$B$6:$B$2454,$B32)</f>
        <v/>
      </c>
      <c r="H32" s="216">
        <f>SUMIFS('①농산물raw'!$H$6:$H$2454,'①농산물raw'!$A$6:$A$2454,H$28,'①농산물raw'!$B$6:$B$2454,$B32)</f>
        <v/>
      </c>
      <c r="I32" s="216">
        <f>SUMIFS('①농산물raw'!$H$6:$H$2454,'①농산물raw'!$A$6:$A$2454,I$28,'①농산물raw'!$B$6:$B$2454,$B32)</f>
        <v/>
      </c>
      <c r="J32" s="216">
        <f>SUMIFS('①농산물raw'!$H$6:$H$2454,'①농산물raw'!$A$6:$A$2454,J$28,'①농산물raw'!$B$6:$B$2454,$B32)</f>
        <v/>
      </c>
      <c r="K32" s="44">
        <f>SUM(L32:M32)</f>
        <v/>
      </c>
      <c r="L32" s="216">
        <f>SUMIFS('②유기농raw'!$H$6:$H$1000,'②유기농raw'!$A$6:$A$1000,L$28,'②유기농raw'!$B$6:$B$1000,$B32)</f>
        <v/>
      </c>
      <c r="M32" s="216">
        <f>SUMIFS('②유기농raw'!$H$6:$H$1000,'②유기농raw'!$A$6:$A$1000,M$28,'②유기농raw'!$B$6:$B$1000,$B32)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SUMIFS('①농산물raw'!$G$6:$G$2454,'①농산물raw'!$A$6:$A$2454,E$36,'①농산물raw'!$B$6:$B$2454,$B38)</f>
        <v/>
      </c>
      <c r="F38" s="216">
        <f>SUMIFS('①농산물raw'!$G$6:$G$2454,'①농산물raw'!$A$6:$A$2454,F$36,'①농산물raw'!$B$6:$B$2454,$B38)</f>
        <v/>
      </c>
      <c r="G38" s="216">
        <f>SUMIFS('①농산물raw'!$G$6:$G$2454,'①농산물raw'!$A$6:$A$2454,G$36,'①농산물raw'!$B$6:$B$2454,$B38)</f>
        <v/>
      </c>
      <c r="H38" s="216">
        <f>SUMIFS('①농산물raw'!$G$6:$G$2454,'①농산물raw'!$A$6:$A$2454,H$36,'①농산물raw'!$B$6:$B$2454,$B38)</f>
        <v/>
      </c>
      <c r="I38" s="216">
        <f>SUMIFS('①농산물raw'!$G$6:$G$2454,'①농산물raw'!$A$6:$A$2454,I$36,'①농산물raw'!$B$6:$B$2454,$B38)</f>
        <v/>
      </c>
      <c r="J38" s="216">
        <f>SUMIFS('①농산물raw'!$G$6:$G$2454,'①농산물raw'!$A$6:$A$2454,J$36,'①농산물raw'!$B$6:$B$2454,$B38)</f>
        <v/>
      </c>
      <c r="K38" s="44">
        <f>SUM(L38:M38)</f>
        <v/>
      </c>
      <c r="L38" s="216">
        <f>SUMIFS('②유기농raw'!$G$6:$G$1000,'②유기농raw'!$A$6:$A$1000,L$36,'②유기농raw'!$B$6:$B$1000,$B38)</f>
        <v/>
      </c>
      <c r="M38" s="216">
        <f>SUMIFS('②유기농raw'!$G$6:$G$1000,'②유기농raw'!$A$6:$A$1000,M$36,'②유기농raw'!$B$6:$B$1000,$B38)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SUMIFS('①농산물raw'!$G$6:$G$2454,'①농산물raw'!$A$6:$A$2454,E$36,'①농산물raw'!$B$6:$B$2454,$B39)</f>
        <v/>
      </c>
      <c r="F39" s="216">
        <f>SUMIFS('①농산물raw'!$G$6:$G$2454,'①농산물raw'!$A$6:$A$2454,F$36,'①농산물raw'!$B$6:$B$2454,$B39)</f>
        <v/>
      </c>
      <c r="G39" s="216">
        <f>SUMIFS('①농산물raw'!$G$6:$G$2454,'①농산물raw'!$A$6:$A$2454,G$36,'①농산물raw'!$B$6:$B$2454,$B39)</f>
        <v/>
      </c>
      <c r="H39" s="216">
        <f>SUMIFS('①농산물raw'!$G$6:$G$2454,'①농산물raw'!$A$6:$A$2454,H$36,'①농산물raw'!$B$6:$B$2454,$B39)</f>
        <v/>
      </c>
      <c r="I39" s="216">
        <f>SUMIFS('①농산물raw'!$G$6:$G$2454,'①농산물raw'!$A$6:$A$2454,I$36,'①농산물raw'!$B$6:$B$2454,$B39)</f>
        <v/>
      </c>
      <c r="J39" s="216">
        <f>SUMIFS('①농산물raw'!$G$6:$G$2454,'①농산물raw'!$A$6:$A$2454,J$36,'①농산물raw'!$B$6:$B$2454,$B39)</f>
        <v/>
      </c>
      <c r="K39" s="44">
        <f>SUM(L39:M39)</f>
        <v/>
      </c>
      <c r="L39" s="216">
        <f>SUMIFS('②유기농raw'!$G$6:$G$1000,'②유기농raw'!$A$6:$A$1000,L$36,'②유기농raw'!$B$6:$B$1000,$B39)</f>
        <v/>
      </c>
      <c r="M39" s="216">
        <f>SUMIFS('②유기농raw'!$G$6:$G$1000,'②유기농raw'!$A$6:$A$1000,M$36,'②유기농raw'!$B$6:$B$1000,$B39)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SUMIFS('①농산물raw'!$G$6:$G$2454,'①농산물raw'!$A$6:$A$2454,E$36,'①농산물raw'!$B$6:$B$2454,$B40)</f>
        <v/>
      </c>
      <c r="F40" s="216">
        <f>SUMIFS('①농산물raw'!$G$6:$G$2454,'①농산물raw'!$A$6:$A$2454,F$36,'①농산물raw'!$B$6:$B$2454,$B40)</f>
        <v/>
      </c>
      <c r="G40" s="216">
        <f>SUMIFS('①농산물raw'!$G$6:$G$2454,'①농산물raw'!$A$6:$A$2454,G$36,'①농산물raw'!$B$6:$B$2454,$B40)</f>
        <v/>
      </c>
      <c r="H40" s="216">
        <f>SUMIFS('①농산물raw'!$G$6:$G$2454,'①농산물raw'!$A$6:$A$2454,H$36,'①농산물raw'!$B$6:$B$2454,$B40)</f>
        <v/>
      </c>
      <c r="I40" s="216">
        <f>SUMIFS('①농산물raw'!$G$6:$G$2454,'①농산물raw'!$A$6:$A$2454,I$36,'①농산물raw'!$B$6:$B$2454,$B40)</f>
        <v/>
      </c>
      <c r="J40" s="216">
        <f>SUMIFS('①농산물raw'!$G$6:$G$2454,'①농산물raw'!$A$6:$A$2454,J$36,'①농산물raw'!$B$6:$B$2454,$B40)</f>
        <v/>
      </c>
      <c r="K40" s="44">
        <f>SUM(L40:M40)</f>
        <v/>
      </c>
      <c r="L40" s="216">
        <f>SUMIFS('②유기농raw'!$G$6:$G$1000,'②유기농raw'!$A$6:$A$1000,L$36,'②유기농raw'!$B$6:$B$1000,$B40)</f>
        <v/>
      </c>
      <c r="M40" s="216">
        <f>SUMIFS('②유기농raw'!$G$6:$G$1000,'②유기농raw'!$A$6:$A$1000,M$36,'②유기농raw'!$B$6:$B$1000,$B40)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SUMIFS('①농산물raw'!$F$6:$F$2454,'①농산물raw'!$A$6:$A$2454,E$44,'①농산물raw'!$B$6:$B$2454,$B46)</f>
        <v/>
      </c>
      <c r="F46" s="216">
        <f>SUMIFS('①농산물raw'!$F$6:$F$2454,'①농산물raw'!$A$6:$A$2454,F$44,'①농산물raw'!$B$6:$B$2454,$B46)</f>
        <v/>
      </c>
      <c r="G46" s="216">
        <f>SUMIFS('①농산물raw'!$F$6:$F$2454,'①농산물raw'!$A$6:$A$2454,G$44,'①농산물raw'!$B$6:$B$2454,$B46)</f>
        <v/>
      </c>
      <c r="H46" s="216">
        <f>SUMIFS('①농산물raw'!$F$6:$F$2454,'①농산물raw'!$A$6:$A$2454,H$44,'①농산물raw'!$B$6:$B$2454,$B46)</f>
        <v/>
      </c>
      <c r="I46" s="216">
        <f>SUMIFS('①농산물raw'!$F$6:$F$2454,'①농산물raw'!$A$6:$A$2454,I$44,'①농산물raw'!$B$6:$B$2454,$B46)</f>
        <v/>
      </c>
      <c r="J46" s="216">
        <f>SUMIFS('①농산물raw'!$F$6:$F$2454,'①농산물raw'!$A$6:$A$2454,J$44,'①농산물raw'!$B$6:$B$2454,$B46)</f>
        <v/>
      </c>
      <c r="K46" s="44">
        <f>SUM(L46:M46)</f>
        <v/>
      </c>
      <c r="L46" s="216">
        <f>SUMIFS('②유기농raw'!$F$6:$F$1000,'②유기농raw'!$A$6:$A$1000,L$44,'②유기농raw'!$B$6:$B$1000,$B46)</f>
        <v/>
      </c>
      <c r="M46" s="216">
        <f>SUMIFS('②유기농raw'!$F$6:$F$1000,'②유기농raw'!$A$6:$A$1000,M$44,'②유기농raw'!$B$6:$B$1000,$B46)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SUMIFS('①농산물raw'!$F$6:$F$2454,'①농산물raw'!$A$6:$A$2454,E$44,'①농산물raw'!$B$6:$B$2454,$B47)</f>
        <v/>
      </c>
      <c r="F47" s="216">
        <f>SUMIFS('①농산물raw'!$F$6:$F$2454,'①농산물raw'!$A$6:$A$2454,F$44,'①농산물raw'!$B$6:$B$2454,$B47)</f>
        <v/>
      </c>
      <c r="G47" s="216">
        <f>SUMIFS('①농산물raw'!$F$6:$F$2454,'①농산물raw'!$A$6:$A$2454,G$44,'①농산물raw'!$B$6:$B$2454,$B47)</f>
        <v/>
      </c>
      <c r="H47" s="216">
        <f>SUMIFS('①농산물raw'!$F$6:$F$2454,'①농산물raw'!$A$6:$A$2454,H$44,'①농산물raw'!$B$6:$B$2454,$B47)</f>
        <v/>
      </c>
      <c r="I47" s="216">
        <f>SUMIFS('①농산물raw'!$F$6:$F$2454,'①농산물raw'!$A$6:$A$2454,I$44,'①농산물raw'!$B$6:$B$2454,$B47)</f>
        <v/>
      </c>
      <c r="J47" s="216">
        <f>SUMIFS('①농산물raw'!$F$6:$F$2454,'①농산물raw'!$A$6:$A$2454,J$44,'①농산물raw'!$B$6:$B$2454,$B47)</f>
        <v/>
      </c>
      <c r="K47" s="44">
        <f>SUM(L47:M47)</f>
        <v/>
      </c>
      <c r="L47" s="216">
        <f>SUMIFS('②유기농raw'!$F$6:$F$1000,'②유기농raw'!$A$6:$A$1000,L$44,'②유기농raw'!$B$6:$B$1000,$B47)</f>
        <v/>
      </c>
      <c r="M47" s="216">
        <f>SUMIFS('②유기농raw'!$F$6:$F$1000,'②유기농raw'!$A$6:$A$1000,M$44,'②유기농raw'!$B$6:$B$1000,$B47)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SUMIFS('①농산물raw'!$F$6:$F$2454,'①농산물raw'!$A$6:$A$2454,E$44,'①농산물raw'!$B$6:$B$2454,$B48)</f>
        <v/>
      </c>
      <c r="F48" s="216">
        <f>SUMIFS('①농산물raw'!$F$6:$F$2454,'①농산물raw'!$A$6:$A$2454,F$44,'①농산물raw'!$B$6:$B$2454,$B48)</f>
        <v/>
      </c>
      <c r="G48" s="216">
        <f>SUMIFS('①농산물raw'!$F$6:$F$2454,'①농산물raw'!$A$6:$A$2454,G$44,'①농산물raw'!$B$6:$B$2454,$B48)</f>
        <v/>
      </c>
      <c r="H48" s="216">
        <f>SUMIFS('①농산물raw'!$F$6:$F$2454,'①농산물raw'!$A$6:$A$2454,H$44,'①농산물raw'!$B$6:$B$2454,$B48)</f>
        <v/>
      </c>
      <c r="I48" s="216">
        <f>SUMIFS('①농산물raw'!$F$6:$F$2454,'①농산물raw'!$A$6:$A$2454,I$44,'①농산물raw'!$B$6:$B$2454,$B48)</f>
        <v/>
      </c>
      <c r="J48" s="216">
        <f>SUMIFS('①농산물raw'!$F$6:$F$2454,'①농산물raw'!$A$6:$A$2454,J$44,'①농산물raw'!$B$6:$B$2454,$B48)</f>
        <v/>
      </c>
      <c r="K48" s="44">
        <f>SUM(L48:M48)</f>
        <v/>
      </c>
      <c r="L48" s="216">
        <f>SUMIFS('②유기농raw'!$F$6:$F$1000,'②유기농raw'!$A$6:$A$1000,L$44,'②유기농raw'!$B$6:$B$1000,$B48)</f>
        <v/>
      </c>
      <c r="M48" s="216">
        <f>SUMIFS('②유기농raw'!$F$6:$F$1000,'②유기농raw'!$A$6:$A$1000,M$44,'②유기농raw'!$B$6:$B$1000,$B48)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SUMIF('①농산물raw'!$A$6:$A$2454,E$61,'①농산물raw'!$H$6:$H$2454)-E63</f>
        <v/>
      </c>
      <c r="F64" s="120">
        <f>SUMIF('①농산물raw'!$A$6:$A$2454,F$61,'①농산물raw'!$H$6:$H$2454)-F63</f>
        <v/>
      </c>
      <c r="G64" s="120">
        <f>SUMIF('①농산물raw'!$A$6:$A$2454,G$61,'①농산물raw'!$H$6:$H$2454)-G63</f>
        <v/>
      </c>
      <c r="H64" s="120">
        <f>SUMIF('①농산물raw'!$A$6:$A$2454,H$61,'①농산물raw'!$H$6:$H$2454)-H63</f>
        <v/>
      </c>
      <c r="I64" s="120">
        <f>SUMIF('①농산물raw'!$A$6:$A$2454,I$61,'①농산물raw'!$H$6:$H$2454)-I63</f>
        <v/>
      </c>
      <c r="J64" s="120">
        <f>SUMIF('①농산물raw'!$A$6:$A$2454,J$61,'①농산물raw'!$H$6:$H$2454)-J63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SUMIF('①농산물raw'!$A$6:$A$2454,E$69,'①농산물raw'!$G$6:$G$2454)-E71</f>
        <v/>
      </c>
      <c r="F72" s="120">
        <f>SUMIF('①농산물raw'!$A$6:$A$2454,F$69,'①농산물raw'!$G$6:$G$2454)-F71</f>
        <v/>
      </c>
      <c r="G72" s="120">
        <f>SUMIF('①농산물raw'!$A$6:$A$2454,G$69,'①농산물raw'!$G$6:$G$2454)-G71</f>
        <v/>
      </c>
      <c r="H72" s="120">
        <f>SUMIF('①농산물raw'!$A$6:$A$2454,H$69,'①농산물raw'!$G$6:$G$2454)-H71</f>
        <v/>
      </c>
      <c r="I72" s="120">
        <f>SUMIF('①농산물raw'!$A$6:$A$2454,I$69,'①농산물raw'!$G$6:$G$2454)-I71</f>
        <v/>
      </c>
      <c r="J72" s="120">
        <f>SUMIF('①농산물raw'!$A$6:$A$2454,J$69,'①농산물raw'!$G$6:$G$2454)-J71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SUMIF('①농산물raw'!$A$6:$A$2454,E$75,'①농산물raw'!$F$6:$F$2454)-E77</f>
        <v/>
      </c>
      <c r="F78" s="120">
        <f>SUMIF('①농산물raw'!$A$6:$A$2454,F$75,'①농산물raw'!$F$6:$F$2454)-F77</f>
        <v/>
      </c>
      <c r="G78" s="120">
        <f>SUMIF('①농산물raw'!$A$6:$A$2454,G$75,'①농산물raw'!$F$6:$F$2454)-G77</f>
        <v/>
      </c>
      <c r="H78" s="120">
        <f>SUMIF('①농산물raw'!$A$6:$A$2454,H$75,'①농산물raw'!$F$6:$F$2454)-H77</f>
        <v/>
      </c>
      <c r="I78" s="120">
        <f>SUMIF('①농산물raw'!$A$6:$A$2454,I$75,'①농산물raw'!$F$6:$F$2454)-I77</f>
        <v/>
      </c>
      <c r="J78" s="120">
        <f>SUMIF('①농산물raw'!$A$6:$A$2454,J$75,'①농산물raw'!$F$6:$F$2454)-J77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SUMIFS('①농산물raw'!$H$6:$H$2454,'①농산물raw'!$A$6:$A$2454,E$81,'①농산물raw'!$B$6:$B$2454,$B83)-E84</f>
        <v/>
      </c>
      <c r="F85" s="120">
        <f>SUMIFS('①농산물raw'!$H$6:$H$2454,'①농산물raw'!$A$6:$A$2454,F$81,'①농산물raw'!$B$6:$B$2454,$B83)-F84</f>
        <v/>
      </c>
      <c r="G85" s="120">
        <f>SUMIFS('①농산물raw'!$H$6:$H$2454,'①농산물raw'!$A$6:$A$2454,G$81,'①농산물raw'!$B$6:$B$2454,$B83)-G84</f>
        <v/>
      </c>
      <c r="H85" s="120">
        <f>SUMIFS('①농산물raw'!$H$6:$H$2454,'①농산물raw'!$A$6:$A$2454,H$81,'①농산물raw'!$B$6:$B$2454,$B83)-H84</f>
        <v/>
      </c>
      <c r="I85" s="120">
        <f>SUMIFS('①농산물raw'!$H$6:$H$2454,'①농산물raw'!$A$6:$A$2454,I$81,'①농산물raw'!$B$6:$B$2454,$B83)-I84</f>
        <v/>
      </c>
      <c r="J85" s="120">
        <f>SUMIFS('①농산물raw'!$H$6:$H$2454,'①농산물raw'!$A$6:$A$2454,J$81,'①농산물raw'!$B$6:$B$2454,$B83)-J84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SUMIFS('①농산물raw'!$H$6:$H$2454,'①농산물raw'!$A$6:$A$2454,E$81,'①농산물raw'!$B$6:$B$2454,$B86)-E87</f>
        <v/>
      </c>
      <c r="F88" s="120">
        <f>SUMIFS('①농산물raw'!$H$6:$H$2454,'①농산물raw'!$A$6:$A$2454,F$81,'①농산물raw'!$B$6:$B$2454,$B86)-F87</f>
        <v/>
      </c>
      <c r="G88" s="120">
        <f>SUMIFS('①농산물raw'!$H$6:$H$2454,'①농산물raw'!$A$6:$A$2454,G$81,'①농산물raw'!$B$6:$B$2454,$B86)-G87</f>
        <v/>
      </c>
      <c r="H88" s="120">
        <f>SUMIFS('①농산물raw'!$H$6:$H$2454,'①농산물raw'!$A$6:$A$2454,H$81,'①농산물raw'!$B$6:$B$2454,$B86)-H87</f>
        <v/>
      </c>
      <c r="I88" s="120">
        <f>SUMIFS('①농산물raw'!$H$6:$H$2454,'①농산물raw'!$A$6:$A$2454,I$81,'①농산물raw'!$B$6:$B$2454,$B86)-I87</f>
        <v/>
      </c>
      <c r="J88" s="120">
        <f>SUMIFS('①농산물raw'!$H$6:$H$2454,'①농산물raw'!$A$6:$A$2454,J$81,'①농산물raw'!$B$6:$B$2454,$B86)-J87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SUMIFS('①농산물raw'!$H$6:$H$2454,'①농산물raw'!$A$6:$A$2454,E$81,'①농산물raw'!$B$6:$B$2454,$B89)-E90</f>
        <v/>
      </c>
      <c r="F91" s="120">
        <f>SUMIFS('①농산물raw'!$H$6:$H$2454,'①농산물raw'!$A$6:$A$2454,F$81,'①농산물raw'!$B$6:$B$2454,$B89)-F90</f>
        <v/>
      </c>
      <c r="G91" s="120">
        <f>SUMIFS('①농산물raw'!$H$6:$H$2454,'①농산물raw'!$A$6:$A$2454,G$81,'①농산물raw'!$B$6:$B$2454,$B89)-G90</f>
        <v/>
      </c>
      <c r="H91" s="120">
        <f>SUMIFS('①농산물raw'!$H$6:$H$2454,'①농산물raw'!$A$6:$A$2454,H$81,'①농산물raw'!$B$6:$B$2454,$B89)-H90</f>
        <v/>
      </c>
      <c r="I91" s="120">
        <f>SUMIFS('①농산물raw'!$H$6:$H$2454,'①농산물raw'!$A$6:$A$2454,I$81,'①농산물raw'!$B$6:$B$2454,$B89)-I90</f>
        <v/>
      </c>
      <c r="J91" s="120">
        <f>SUMIFS('①농산물raw'!$H$6:$H$2454,'①농산물raw'!$A$6:$A$2454,J$81,'①농산물raw'!$B$6:$B$2454,$B89)-J90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SUMIFS('①농산물raw'!$G$6:$G$2454,'①농산물raw'!$A$6:$A$2454,E$94,'①농산물raw'!$B$6:$B$2454,$B96)-E97</f>
        <v/>
      </c>
      <c r="F98" s="120">
        <f>SUMIFS('①농산물raw'!$G$6:$G$2454,'①농산물raw'!$A$6:$A$2454,F$94,'①농산물raw'!$B$6:$B$2454,$B96)-F97</f>
        <v/>
      </c>
      <c r="G98" s="120">
        <f>SUMIFS('①농산물raw'!$G$6:$G$2454,'①농산물raw'!$A$6:$A$2454,G$94,'①농산물raw'!$B$6:$B$2454,$B96)-G97</f>
        <v/>
      </c>
      <c r="H98" s="120">
        <f>SUMIFS('①농산물raw'!$G$6:$G$2454,'①농산물raw'!$A$6:$A$2454,H$94,'①농산물raw'!$B$6:$B$2454,$B96)-H97</f>
        <v/>
      </c>
      <c r="I98" s="120">
        <f>SUMIFS('①농산물raw'!$G$6:$G$2454,'①농산물raw'!$A$6:$A$2454,I$94,'①농산물raw'!$B$6:$B$2454,$B96)-I97</f>
        <v/>
      </c>
      <c r="J98" s="120">
        <f>SUMIFS('①농산물raw'!$G$6:$G$2454,'①농산물raw'!$A$6:$A$2454,J$94,'①농산물raw'!$B$6:$B$2454,$B96)-J97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SUMIFS('①농산물raw'!$G$6:$G$2454,'①농산물raw'!$A$6:$A$2454,E$94,'①농산물raw'!$B$6:$B$2454,$B99)-E100</f>
        <v/>
      </c>
      <c r="F101" s="120">
        <f>SUMIFS('①농산물raw'!$G$6:$G$2454,'①농산물raw'!$A$6:$A$2454,F$94,'①농산물raw'!$B$6:$B$2454,$B99)-F100</f>
        <v/>
      </c>
      <c r="G101" s="120">
        <f>SUMIFS('①농산물raw'!$G$6:$G$2454,'①농산물raw'!$A$6:$A$2454,G$94,'①농산물raw'!$B$6:$B$2454,$B99)-G100</f>
        <v/>
      </c>
      <c r="H101" s="120">
        <f>SUMIFS('①농산물raw'!$G$6:$G$2454,'①농산물raw'!$A$6:$A$2454,H$94,'①농산물raw'!$B$6:$B$2454,$B99)-H100</f>
        <v/>
      </c>
      <c r="I101" s="120">
        <f>SUMIFS('①농산물raw'!$G$6:$G$2454,'①농산물raw'!$A$6:$A$2454,I$94,'①농산물raw'!$B$6:$B$2454,$B99)-I100</f>
        <v/>
      </c>
      <c r="J101" s="120">
        <f>SUMIFS('①농산물raw'!$G$6:$G$2454,'①농산물raw'!$A$6:$A$2454,J$94,'①농산물raw'!$B$6:$B$2454,$B99)-J100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SUMIFS('①농산물raw'!$G$6:$G$2454,'①농산물raw'!$A$6:$A$2454,E$94,'①농산물raw'!$B$6:$B$2454,$B102)-E103</f>
        <v/>
      </c>
      <c r="F104" s="120">
        <f>SUMIFS('①농산물raw'!$G$6:$G$2454,'①농산물raw'!$A$6:$A$2454,F$94,'①농산물raw'!$B$6:$B$2454,$B102)-F103</f>
        <v/>
      </c>
      <c r="G104" s="120">
        <f>SUMIFS('①농산물raw'!$G$6:$G$2454,'①농산물raw'!$A$6:$A$2454,G$94,'①농산물raw'!$B$6:$B$2454,$B102)-G103</f>
        <v/>
      </c>
      <c r="H104" s="120">
        <f>SUMIFS('①농산물raw'!$G$6:$G$2454,'①농산물raw'!$A$6:$A$2454,H$94,'①농산물raw'!$B$6:$B$2454,$B102)-H103</f>
        <v/>
      </c>
      <c r="I104" s="120">
        <f>SUMIFS('①농산물raw'!$G$6:$G$2454,'①농산물raw'!$A$6:$A$2454,I$94,'①농산물raw'!$B$6:$B$2454,$B102)-I103</f>
        <v/>
      </c>
      <c r="J104" s="120">
        <f>SUMIFS('①농산물raw'!$G$6:$G$2454,'①농산물raw'!$A$6:$A$2454,J$94,'①농산물raw'!$B$6:$B$2454,$B102)-J103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SUMIFS('①농산물raw'!$F$6:$F$2454,'①농산물raw'!$A$6:$A$2454,E$107,'①농산물raw'!$B$6:$B$2454,$B109)-E110</f>
        <v/>
      </c>
      <c r="F111" s="120">
        <f>SUMIFS('①농산물raw'!$F$6:$F$2454,'①농산물raw'!$A$6:$A$2454,F$107,'①농산물raw'!$B$6:$B$2454,$B109)-F110</f>
        <v/>
      </c>
      <c r="G111" s="120">
        <f>SUMIFS('①농산물raw'!$F$6:$F$2454,'①농산물raw'!$A$6:$A$2454,G$107,'①농산물raw'!$B$6:$B$2454,$B109)-G110</f>
        <v/>
      </c>
      <c r="H111" s="120">
        <f>SUMIFS('①농산물raw'!$F$6:$F$2454,'①농산물raw'!$A$6:$A$2454,H$107,'①농산물raw'!$B$6:$B$2454,$B109)-H110</f>
        <v/>
      </c>
      <c r="I111" s="120">
        <f>SUMIFS('①농산물raw'!$F$6:$F$2454,'①농산물raw'!$A$6:$A$2454,I$107,'①농산물raw'!$B$6:$B$2454,$B109)-I110</f>
        <v/>
      </c>
      <c r="J111" s="120">
        <f>SUMIFS('①농산물raw'!$F$6:$F$2454,'①농산물raw'!$A$6:$A$2454,J$107,'①농산물raw'!$B$6:$B$2454,$B109)-J110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SUMIFS('①농산물raw'!$F$6:$F$2454,'①농산물raw'!$A$6:$A$2454,E$107,'①농산물raw'!$B$6:$B$2454,$B112)-E113</f>
        <v/>
      </c>
      <c r="F114" s="120">
        <f>SUMIFS('①농산물raw'!$F$6:$F$2454,'①농산물raw'!$A$6:$A$2454,F$107,'①농산물raw'!$B$6:$B$2454,$B112)-F113</f>
        <v/>
      </c>
      <c r="G114" s="120">
        <f>SUMIFS('①농산물raw'!$F$6:$F$2454,'①농산물raw'!$A$6:$A$2454,G$107,'①농산물raw'!$B$6:$B$2454,$B112)-G113</f>
        <v/>
      </c>
      <c r="H114" s="120">
        <f>SUMIFS('①농산물raw'!$F$6:$F$2454,'①농산물raw'!$A$6:$A$2454,H$107,'①농산물raw'!$B$6:$B$2454,$B112)-H113</f>
        <v/>
      </c>
      <c r="I114" s="120">
        <f>SUMIFS('①농산물raw'!$F$6:$F$2454,'①농산물raw'!$A$6:$A$2454,I$107,'①농산물raw'!$B$6:$B$2454,$B112)-I113</f>
        <v/>
      </c>
      <c r="J114" s="120">
        <f>SUMIFS('①농산물raw'!$F$6:$F$2454,'①농산물raw'!$A$6:$A$2454,J$107,'①농산물raw'!$B$6:$B$2454,$B112)-J113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SUMIFS('①농산물raw'!$F$6:$F$2454,'①농산물raw'!$A$6:$A$2454,E$107,'①농산물raw'!$B$6:$B$2454,$B115)-E116</f>
        <v/>
      </c>
      <c r="F117" s="120">
        <f>SUMIFS('①농산물raw'!$F$6:$F$2454,'①농산물raw'!$A$6:$A$2454,F$107,'①농산물raw'!$B$6:$B$2454,$B115)-F116</f>
        <v/>
      </c>
      <c r="G117" s="120">
        <f>SUMIFS('①농산물raw'!$F$6:$F$2454,'①농산물raw'!$A$6:$A$2454,G$107,'①농산물raw'!$B$6:$B$2454,$B115)-G116</f>
        <v/>
      </c>
      <c r="H117" s="120">
        <f>SUMIFS('①농산물raw'!$F$6:$F$2454,'①농산물raw'!$A$6:$A$2454,H$107,'①농산물raw'!$B$6:$B$2454,$B115)-H116</f>
        <v/>
      </c>
      <c r="I117" s="120">
        <f>SUMIFS('①농산물raw'!$F$6:$F$2454,'①농산물raw'!$A$6:$A$2454,I$107,'①농산물raw'!$B$6:$B$2454,$B115)-I116</f>
        <v/>
      </c>
      <c r="J117" s="120">
        <f>SUMIFS('①농산물raw'!$F$6:$F$2454,'①농산물raw'!$A$6:$A$2454,J$107,'①농산물raw'!$B$6:$B$2454,$B115)-J116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SUMIF('②유기농raw'!$A$6:$A$1000,E$130,'②유기농raw'!$H$6:$H$1000)-E132</f>
        <v/>
      </c>
      <c r="F133" s="120">
        <f>SUMIF('②유기농raw'!$A$6:$A$1000,F$130,'②유기농raw'!$H$6:$H$1000)-F132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SUMIF('②유기농raw'!$A$6:$A$1000,E$138,'②유기농raw'!$G$6:$G$1000)-E140</f>
        <v/>
      </c>
      <c r="F141" s="120">
        <f>SUMIF('②유기농raw'!$A$6:$A$1000,F$138,'②유기농raw'!$G$6:$G$1000)-F140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SUMIF('②유기농raw'!$A$6:$A$1000,E$144,'②유기농raw'!$F$6:$F$1000)-E146</f>
        <v/>
      </c>
      <c r="F147" s="120">
        <f>SUMIF('②유기농raw'!$A$6:$A$1000,F$144,'②유기농raw'!$F$6:$F$1000)-F146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SUMIFS('②유기농raw'!$H$6:$H$1000,'②유기농raw'!$A$6:$A$1000,E$150,'②유기농raw'!$B$6:$B$1000,$B152)-E153</f>
        <v/>
      </c>
      <c r="F154" s="120">
        <f>SUMIFS('②유기농raw'!$H$6:$H$1000,'②유기농raw'!$A$6:$A$1000,F$150,'②유기농raw'!$B$6:$B$1000,$B152)-F153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SUMIFS('②유기농raw'!$H$6:$H$1000,'②유기농raw'!$A$6:$A$1000,E$150,'②유기농raw'!$B$6:$B$1000,$B155)-E156</f>
        <v/>
      </c>
      <c r="F157" s="120">
        <f>SUMIFS('②유기농raw'!$H$6:$H$1000,'②유기농raw'!$A$6:$A$1000,F$150,'②유기농raw'!$B$6:$B$1000,$B155)-F156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SUMIFS('②유기농raw'!$H$6:$H$1000,'②유기농raw'!$A$6:$A$1000,E$150,'②유기농raw'!$B$6:$B$1000,$B158)-E159</f>
        <v/>
      </c>
      <c r="F160" s="120">
        <f>SUMIFS('②유기농raw'!$H$6:$H$1000,'②유기농raw'!$A$6:$A$1000,F$150,'②유기농raw'!$B$6:$B$1000,$B158)-F159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SUMIFS('②유기농raw'!$G$6:$G$1000,'②유기농raw'!$A$6:$A$1000,E$163,'②유기농raw'!$B$6:$B$1000,$B165)-E166</f>
        <v/>
      </c>
      <c r="F167" s="120">
        <f>SUMIFS('②유기농raw'!$G$6:$G$1000,'②유기농raw'!$A$6:$A$1000,F$163,'②유기농raw'!$B$6:$B$1000,$B165)-F166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SUMIFS('②유기농raw'!$G$6:$G$1000,'②유기농raw'!$A$6:$A$1000,E$163,'②유기농raw'!$B$6:$B$1000,$B168)-E169</f>
        <v/>
      </c>
      <c r="F170" s="120">
        <f>SUMIFS('②유기농raw'!$G$6:$G$1000,'②유기농raw'!$A$6:$A$1000,F$163,'②유기농raw'!$B$6:$B$1000,$B168)-F169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SUMIFS('②유기농raw'!$G$6:$G$1000,'②유기농raw'!$A$6:$A$1000,E$163,'②유기농raw'!$B$6:$B$1000,$B171)-E172</f>
        <v/>
      </c>
      <c r="F173" s="120">
        <f>SUMIFS('②유기농raw'!$G$6:$G$1000,'②유기농raw'!$A$6:$A$1000,F$163,'②유기농raw'!$B$6:$B$1000,$B171)-F172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SUMIFS('②유기농raw'!$F$6:$F$1000,'②유기농raw'!$A$6:$A$1000,E$176,'②유기농raw'!$B$6:$B$1000,$B178)-E179</f>
        <v/>
      </c>
      <c r="F180" s="120">
        <f>SUMIFS('②유기농raw'!$F$6:$F$1000,'②유기농raw'!$A$6:$A$1000,F$176,'②유기농raw'!$B$6:$B$1000,$B178)-F179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SUMIFS('②유기농raw'!$F$6:$F$1000,'②유기농raw'!$A$6:$A$1000,E$176,'②유기농raw'!$B$6:$B$1000,$B181)-E182</f>
        <v/>
      </c>
      <c r="F183" s="120">
        <f>SUMIFS('②유기농raw'!$F$6:$F$1000,'②유기농raw'!$A$6:$A$1000,F$176,'②유기농raw'!$B$6:$B$1000,$B181)-F182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SUMIFS('②유기농raw'!$F$6:$F$1000,'②유기농raw'!$A$6:$A$1000,E$176,'②유기농raw'!$B$6:$B$1000,$B184)-E185</f>
        <v/>
      </c>
      <c r="F186" s="120">
        <f>SUMIFS('②유기농raw'!$F$6:$F$1000,'②유기농raw'!$A$6:$A$1000,F$176,'②유기농raw'!$B$6:$B$1000,$B184)-F185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 t="n">
        <v>475218</v>
      </c>
      <c r="G1" s="179" t="n">
        <v>6227333500</v>
      </c>
      <c r="H1" s="179" t="n">
        <v>266369319</v>
      </c>
      <c r="I1" s="180" t="n">
        <v>192</v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 t="n">
        <v>0</v>
      </c>
      <c r="G3" s="170" t="n">
        <v>0</v>
      </c>
      <c r="H3" s="182" t="n">
        <v>0</v>
      </c>
      <c r="I3" s="183" t="inlineStr"/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 t="n">
        <v>8</v>
      </c>
      <c r="G4" s="170" t="n">
        <v>316300</v>
      </c>
      <c r="H4" s="182" t="n">
        <v>46330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 t="n">
        <v>130</v>
      </c>
      <c r="G5" s="170" t="n">
        <v>4155000</v>
      </c>
      <c r="H5" s="182" t="n">
        <v>346200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 t="n">
        <v>124</v>
      </c>
      <c r="G7" s="170" t="n">
        <v>5319400</v>
      </c>
      <c r="H7" s="182" t="n">
        <v>477360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 t="n">
        <v>1999</v>
      </c>
      <c r="G9" s="170" t="n">
        <v>23281100</v>
      </c>
      <c r="H9" s="182" t="n">
        <v>4157060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 t="n">
        <v>0</v>
      </c>
      <c r="G10" s="170" t="n">
        <v>0</v>
      </c>
      <c r="H10" s="182" t="n">
        <v>0</v>
      </c>
      <c r="I10" s="183" t="inlineStr"/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 t="n">
        <v>0</v>
      </c>
      <c r="G11" s="170" t="n">
        <v>0</v>
      </c>
      <c r="H11" s="182" t="n">
        <v>0</v>
      </c>
      <c r="I11" s="183" t="inlineStr"/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 t="n">
        <v>0</v>
      </c>
      <c r="G12" s="170" t="n">
        <v>0</v>
      </c>
      <c r="H12" s="182" t="n">
        <v>0</v>
      </c>
      <c r="I12" s="183" t="inlineStr"/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 t="n">
        <v>253</v>
      </c>
      <c r="G13" s="170" t="n">
        <v>5220720</v>
      </c>
      <c r="H13" s="182" t="n">
        <v>278100</v>
      </c>
      <c r="I13" s="183" t="inlineStr">
        <is>
          <t>O</t>
        </is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 t="n">
        <v>702</v>
      </c>
      <c r="G14" s="170" t="n">
        <v>31950500</v>
      </c>
      <c r="H14" s="182" t="n">
        <v>2604620</v>
      </c>
      <c r="I14" s="183" t="inlineStr">
        <is>
          <t>O</t>
        </is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 t="n">
        <v>2007</v>
      </c>
      <c r="G15" s="170" t="n">
        <v>74676000</v>
      </c>
      <c r="H15" s="182" t="n">
        <v>4947920</v>
      </c>
      <c r="I15" s="183" t="inlineStr">
        <is>
          <t>O</t>
        </is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 t="n">
        <v>480</v>
      </c>
      <c r="G16" s="170" t="n">
        <v>18557000</v>
      </c>
      <c r="H16" s="182" t="n">
        <v>1065800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 t="n">
        <v>30</v>
      </c>
      <c r="G17" s="170" t="n">
        <v>599700</v>
      </c>
      <c r="H17" s="182" t="n">
        <v>33980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 t="n">
        <v>856</v>
      </c>
      <c r="G19" s="170" t="n">
        <v>10693525</v>
      </c>
      <c r="H19" s="182" t="n">
        <v>974340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 t="n">
        <v>0</v>
      </c>
      <c r="G20" s="170" t="n">
        <v>0</v>
      </c>
      <c r="H20" s="182" t="n">
        <v>0</v>
      </c>
      <c r="I20" s="183" t="inlineStr"/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 t="n">
        <v>4</v>
      </c>
      <c r="G21" s="170" t="n">
        <v>187600</v>
      </c>
      <c r="H21" s="182" t="n">
        <v>0</v>
      </c>
      <c r="I21" s="183" t="inlineStr">
        <is>
          <t>O</t>
        </is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 t="n">
        <v>5</v>
      </c>
      <c r="G22" s="170" t="n">
        <v>240000</v>
      </c>
      <c r="H22" s="182" t="n">
        <v>0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 t="n">
        <v>0</v>
      </c>
      <c r="G23" s="170" t="n">
        <v>0</v>
      </c>
      <c r="H23" s="182" t="n">
        <v>0</v>
      </c>
      <c r="I23" s="183" t="inlineStr"/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 t="n">
        <v>18065</v>
      </c>
      <c r="G24" s="170" t="n">
        <v>271250400</v>
      </c>
      <c r="H24" s="182" t="n">
        <v>4473530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 t="n">
        <v>16</v>
      </c>
      <c r="G25" s="170" t="n">
        <v>591000</v>
      </c>
      <c r="H25" s="182" t="n">
        <v>63860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 t="n">
        <v>11</v>
      </c>
      <c r="G26" s="170" t="n">
        <v>295400</v>
      </c>
      <c r="H26" s="182" t="n">
        <v>52610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 t="n">
        <v>9428</v>
      </c>
      <c r="G27" s="170" t="n">
        <v>143143000</v>
      </c>
      <c r="H27" s="182" t="n">
        <v>5032180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 t="n">
        <v>30</v>
      </c>
      <c r="G28" s="170" t="n">
        <v>690000</v>
      </c>
      <c r="H28" s="182" t="n">
        <v>10000</v>
      </c>
      <c r="I28" s="183" t="inlineStr">
        <is>
          <t>O</t>
        </is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 t="n">
        <v>0</v>
      </c>
      <c r="G29" s="170" t="n">
        <v>0</v>
      </c>
      <c r="H29" s="182" t="n">
        <v>0</v>
      </c>
      <c r="I29" s="183" t="inlineStr"/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 t="n">
        <v>14</v>
      </c>
      <c r="G30" s="170" t="n">
        <v>414000</v>
      </c>
      <c r="H30" s="182" t="n">
        <v>46000</v>
      </c>
      <c r="I30" s="183" t="inlineStr">
        <is>
          <t>O</t>
        </is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 t="n">
        <v>16</v>
      </c>
      <c r="G31" s="170" t="n">
        <v>451100</v>
      </c>
      <c r="H31" s="182" t="n">
        <v>34520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 t="n">
        <v>1319</v>
      </c>
      <c r="G32" s="170" t="n">
        <v>92623400</v>
      </c>
      <c r="H32" s="182" t="n">
        <v>4710400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 t="n">
        <v>4527</v>
      </c>
      <c r="G33" s="170" t="n">
        <v>129056500</v>
      </c>
      <c r="H33" s="182" t="n">
        <v>4577170</v>
      </c>
      <c r="I33" s="183" t="inlineStr">
        <is>
          <t>O</t>
        </is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 t="n">
        <v>167</v>
      </c>
      <c r="G34" s="170" t="n">
        <v>5636300</v>
      </c>
      <c r="H34" s="182" t="n">
        <v>531110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 t="n">
        <v>31</v>
      </c>
      <c r="G35" s="170" t="n">
        <v>1695000</v>
      </c>
      <c r="H35" s="182" t="n">
        <v>121330</v>
      </c>
      <c r="I35" s="183" t="inlineStr">
        <is>
          <t>O</t>
        </is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 t="n">
        <v>0</v>
      </c>
      <c r="G36" s="170" t="n">
        <v>0</v>
      </c>
      <c r="H36" s="182" t="n">
        <v>0</v>
      </c>
      <c r="I36" s="183" t="inlineStr"/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 t="n">
        <v>1222</v>
      </c>
      <c r="G37" s="170" t="n">
        <v>36507100</v>
      </c>
      <c r="H37" s="182" t="n">
        <v>694580</v>
      </c>
      <c r="I37" s="183" t="inlineStr">
        <is>
          <t>O</t>
        </is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 t="n">
        <v>76</v>
      </c>
      <c r="G38" s="170" t="n">
        <v>2312900</v>
      </c>
      <c r="H38" s="182" t="n">
        <v>434680</v>
      </c>
      <c r="I38" s="183" t="inlineStr">
        <is>
          <t>O</t>
        </is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 t="n">
        <v>265</v>
      </c>
      <c r="G39" s="170" t="n">
        <v>12912030</v>
      </c>
      <c r="H39" s="182" t="n">
        <v>1332970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 t="n">
        <v>594</v>
      </c>
      <c r="G40" s="170" t="n">
        <v>19348530</v>
      </c>
      <c r="H40" s="182" t="n">
        <v>2220230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 t="n">
        <v>5188</v>
      </c>
      <c r="G41" s="170" t="n">
        <v>110084760</v>
      </c>
      <c r="H41" s="182" t="n">
        <v>4360080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 t="n">
        <v>0</v>
      </c>
      <c r="G43" s="170" t="n">
        <v>0</v>
      </c>
      <c r="H43" s="182" t="n">
        <v>0</v>
      </c>
      <c r="I43" s="183" t="inlineStr"/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 t="n">
        <v>6</v>
      </c>
      <c r="G44" s="170" t="n">
        <v>325600</v>
      </c>
      <c r="H44" s="182" t="n">
        <v>43860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 t="n">
        <v>11140</v>
      </c>
      <c r="G45" s="170" t="n">
        <v>202817120</v>
      </c>
      <c r="H45" s="182" t="n">
        <v>4574960</v>
      </c>
      <c r="I45" s="183" t="inlineStr">
        <is>
          <t>O</t>
        </is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 t="n">
        <v>80</v>
      </c>
      <c r="G46" s="170" t="n">
        <v>2962690</v>
      </c>
      <c r="H46" s="182" t="n">
        <v>466440</v>
      </c>
      <c r="I46" s="183" t="inlineStr">
        <is>
          <t>O</t>
        </is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 t="n">
        <v>316</v>
      </c>
      <c r="G47" s="170" t="n">
        <v>22260300</v>
      </c>
      <c r="H47" s="182" t="n">
        <v>1490640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 t="n">
        <v>0</v>
      </c>
      <c r="G48" s="170" t="n">
        <v>0</v>
      </c>
      <c r="H48" s="182" t="n">
        <v>0</v>
      </c>
      <c r="I48" s="183" t="inlineStr"/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 t="n">
        <v>0</v>
      </c>
      <c r="G49" s="170" t="n">
        <v>0</v>
      </c>
      <c r="H49" s="182" t="n">
        <v>0</v>
      </c>
      <c r="I49" s="183" t="inlineStr"/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 t="n">
        <v>128</v>
      </c>
      <c r="G50" s="170" t="n">
        <v>4151700</v>
      </c>
      <c r="H50" s="182" t="n">
        <v>321380</v>
      </c>
      <c r="I50" s="183" t="inlineStr">
        <is>
          <t>O</t>
        </is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 t="n">
        <v>0</v>
      </c>
      <c r="G51" s="170" t="n">
        <v>0</v>
      </c>
      <c r="H51" s="182" t="n">
        <v>0</v>
      </c>
      <c r="I51" s="183" t="inlineStr"/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 t="n">
        <v>463</v>
      </c>
      <c r="G52" s="170" t="n">
        <v>6918500</v>
      </c>
      <c r="H52" s="182" t="n">
        <v>199400</v>
      </c>
      <c r="I52" s="183" t="inlineStr">
        <is>
          <t>O</t>
        </is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 t="n">
        <v>641</v>
      </c>
      <c r="G53" s="170" t="n">
        <v>32150700</v>
      </c>
      <c r="H53" s="182" t="n">
        <v>5097728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 t="n">
        <v>434</v>
      </c>
      <c r="G54" s="170" t="n">
        <v>9625100</v>
      </c>
      <c r="H54" s="182" t="n">
        <v>1129304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 t="n">
        <v>0</v>
      </c>
      <c r="G55" s="170" t="n">
        <v>0</v>
      </c>
      <c r="H55" s="182" t="n">
        <v>0</v>
      </c>
      <c r="I55" s="183" t="inlineStr"/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 t="n">
        <v>24</v>
      </c>
      <c r="G56" s="170" t="n">
        <v>735600</v>
      </c>
      <c r="H56" s="182" t="n">
        <v>42210</v>
      </c>
      <c r="I56" s="183" t="inlineStr">
        <is>
          <t>O</t>
        </is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 t="n">
        <v>10</v>
      </c>
      <c r="G58" s="170" t="n">
        <v>477000</v>
      </c>
      <c r="H58" s="182" t="n">
        <v>90820</v>
      </c>
      <c r="I58" s="183" t="inlineStr">
        <is>
          <t>O</t>
        </is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 t="n">
        <v>177</v>
      </c>
      <c r="G59" s="170" t="n">
        <v>1748834</v>
      </c>
      <c r="H59" s="182" t="n">
        <v>75100</v>
      </c>
      <c r="I59" s="183" t="inlineStr">
        <is>
          <t>O</t>
        </is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 t="n">
        <v>10</v>
      </c>
      <c r="G60" s="170" t="n">
        <v>201000</v>
      </c>
      <c r="H60" s="182" t="n">
        <v>4200</v>
      </c>
      <c r="I60" s="183" t="inlineStr">
        <is>
          <t>O</t>
        </is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 t="n">
        <v>0</v>
      </c>
      <c r="G61" s="170" t="n">
        <v>0</v>
      </c>
      <c r="H61" s="182" t="n">
        <v>0</v>
      </c>
      <c r="I61" s="183" t="inlineStr"/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 t="n">
        <v>936</v>
      </c>
      <c r="G62" s="170" t="n">
        <v>47358000</v>
      </c>
      <c r="H62" s="182" t="n">
        <v>5003480</v>
      </c>
      <c r="I62" s="183" t="inlineStr">
        <is>
          <t>O</t>
        </is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 t="n">
        <v>0</v>
      </c>
      <c r="G63" s="170" t="n">
        <v>0</v>
      </c>
      <c r="H63" s="182" t="n">
        <v>0</v>
      </c>
      <c r="I63" s="183" t="inlineStr"/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 t="n">
        <v>0</v>
      </c>
      <c r="G64" s="170" t="n">
        <v>0</v>
      </c>
      <c r="H64" s="182" t="n">
        <v>0</v>
      </c>
      <c r="I64" s="183" t="inlineStr"/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 t="n">
        <v>862</v>
      </c>
      <c r="G65" s="170" t="n">
        <v>20156300</v>
      </c>
      <c r="H65" s="182" t="n">
        <v>1826220</v>
      </c>
      <c r="I65" s="183" t="inlineStr">
        <is>
          <t>O</t>
        </is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 t="n">
        <v>629</v>
      </c>
      <c r="G66" s="170" t="n">
        <v>8654300</v>
      </c>
      <c r="H66" s="182" t="n">
        <v>838840</v>
      </c>
      <c r="I66" s="183" t="inlineStr">
        <is>
          <t>O</t>
        </is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 t="n">
        <v>19</v>
      </c>
      <c r="G67" s="170" t="n">
        <v>254600</v>
      </c>
      <c r="H67" s="182" t="n">
        <v>47820</v>
      </c>
      <c r="I67" s="183" t="inlineStr">
        <is>
          <t>O</t>
        </is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 t="n">
        <v>0</v>
      </c>
      <c r="G68" s="170" t="n">
        <v>0</v>
      </c>
      <c r="H68" s="182" t="n">
        <v>0</v>
      </c>
      <c r="I68" s="183" t="inlineStr"/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 t="n">
        <v>58</v>
      </c>
      <c r="G69" s="170" t="n">
        <v>1101900</v>
      </c>
      <c r="H69" s="182" t="n">
        <v>85100</v>
      </c>
      <c r="I69" s="183" t="inlineStr">
        <is>
          <t>O</t>
        </is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 t="n">
        <v>74</v>
      </c>
      <c r="G70" s="170" t="n">
        <v>2562900</v>
      </c>
      <c r="H70" s="182" t="n">
        <v>237520</v>
      </c>
      <c r="I70" s="183" t="inlineStr">
        <is>
          <t>O</t>
        </is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 t="n">
        <v>0</v>
      </c>
      <c r="G71" s="170" t="n">
        <v>0</v>
      </c>
      <c r="H71" s="182" t="n">
        <v>0</v>
      </c>
      <c r="I71" s="183" t="inlineStr"/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 t="n">
        <v>2254</v>
      </c>
      <c r="G72" s="170" t="n">
        <v>63211020</v>
      </c>
      <c r="H72" s="182" t="n">
        <v>4312140</v>
      </c>
      <c r="I72" s="183" t="inlineStr">
        <is>
          <t>O</t>
        </is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 t="n">
        <v>75</v>
      </c>
      <c r="G73" s="170" t="n">
        <v>1243000</v>
      </c>
      <c r="H73" s="182" t="n">
        <v>170600</v>
      </c>
      <c r="I73" s="183" t="inlineStr">
        <is>
          <t>O</t>
        </is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 t="n">
        <v>729</v>
      </c>
      <c r="G74" s="170" t="n">
        <v>37312000</v>
      </c>
      <c r="H74" s="182" t="n">
        <v>4967600</v>
      </c>
      <c r="I74" s="183" t="inlineStr">
        <is>
          <t>O</t>
        </is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 t="n">
        <v>796</v>
      </c>
      <c r="G75" s="170" t="n">
        <v>24063100</v>
      </c>
      <c r="H75" s="182" t="n">
        <v>4541120</v>
      </c>
      <c r="I75" s="183" t="inlineStr">
        <is>
          <t>O</t>
        </is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 t="n">
        <v>134</v>
      </c>
      <c r="G76" s="170" t="n">
        <v>4951000</v>
      </c>
      <c r="H76" s="182" t="n">
        <v>291780</v>
      </c>
      <c r="I76" s="183" t="inlineStr">
        <is>
          <t>O</t>
        </is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 t="n">
        <v>560</v>
      </c>
      <c r="G77" s="170" t="n">
        <v>8922400</v>
      </c>
      <c r="H77" s="182" t="n">
        <v>522940</v>
      </c>
      <c r="I77" s="183" t="inlineStr">
        <is>
          <t>O</t>
        </is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 t="n">
        <v>10299</v>
      </c>
      <c r="G78" s="170" t="n">
        <v>485645800</v>
      </c>
      <c r="H78" s="182" t="n">
        <v>5085890</v>
      </c>
      <c r="I78" s="183" t="inlineStr">
        <is>
          <t>O</t>
        </is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 t="n">
        <v>23956</v>
      </c>
      <c r="G79" s="170" t="n">
        <v>633266800</v>
      </c>
      <c r="H79" s="182" t="n">
        <v>2698820</v>
      </c>
      <c r="I79" s="183" t="inlineStr">
        <is>
          <t>O</t>
        </is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 t="n">
        <v>723</v>
      </c>
      <c r="G80" s="170" t="n">
        <v>26083350</v>
      </c>
      <c r="H80" s="182" t="n">
        <v>5105280</v>
      </c>
      <c r="I80" s="183" t="inlineStr">
        <is>
          <t>O</t>
        </is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 t="n">
        <v>929</v>
      </c>
      <c r="G81" s="170" t="n">
        <v>39533200</v>
      </c>
      <c r="H81" s="182" t="n">
        <v>1667520</v>
      </c>
      <c r="I81" s="183" t="inlineStr">
        <is>
          <t>O</t>
        </is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 t="n">
        <v>414</v>
      </c>
      <c r="G82" s="170" t="n">
        <v>14786120</v>
      </c>
      <c r="H82" s="182" t="n">
        <v>1786630</v>
      </c>
      <c r="I82" s="183" t="inlineStr">
        <is>
          <t>O</t>
        </is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 t="n">
        <v>107861</v>
      </c>
      <c r="G83" s="170" t="n">
        <v>238995790</v>
      </c>
      <c r="H83" s="182" t="n">
        <v>861555</v>
      </c>
      <c r="I83" s="183" t="inlineStr">
        <is>
          <t>O</t>
        </is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 t="n">
        <v>0</v>
      </c>
      <c r="G84" s="170" t="n">
        <v>0</v>
      </c>
      <c r="H84" s="182" t="n">
        <v>0</v>
      </c>
      <c r="I84" s="183" t="inlineStr"/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 t="n">
        <v>81</v>
      </c>
      <c r="G85" s="170" t="n">
        <v>2399700</v>
      </c>
      <c r="H85" s="182" t="n">
        <v>51980</v>
      </c>
      <c r="I85" s="183" t="inlineStr">
        <is>
          <t>O</t>
        </is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 t="n">
        <v>45</v>
      </c>
      <c r="G86" s="170" t="n">
        <v>1916000</v>
      </c>
      <c r="H86" s="182" t="n">
        <v>295600</v>
      </c>
      <c r="I86" s="183" t="inlineStr">
        <is>
          <t>O</t>
        </is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 t="n">
        <v>545</v>
      </c>
      <c r="G87" s="170" t="n">
        <v>15225000</v>
      </c>
      <c r="H87" s="182" t="n">
        <v>1887640</v>
      </c>
      <c r="I87" s="183" t="inlineStr">
        <is>
          <t>O</t>
        </is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 t="n">
        <v>3</v>
      </c>
      <c r="G88" s="170" t="n">
        <v>240000</v>
      </c>
      <c r="H88" s="182" t="n">
        <v>18000</v>
      </c>
      <c r="I88" s="183" t="inlineStr">
        <is>
          <t>O</t>
        </is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 t="n">
        <v>0</v>
      </c>
      <c r="G89" s="170" t="n">
        <v>0</v>
      </c>
      <c r="H89" s="182" t="n">
        <v>0</v>
      </c>
      <c r="I89" s="183" t="inlineStr"/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 t="n">
        <v>308</v>
      </c>
      <c r="G90" s="170" t="n">
        <v>5523590</v>
      </c>
      <c r="H90" s="182" t="n">
        <v>602900</v>
      </c>
      <c r="I90" s="183" t="inlineStr">
        <is>
          <t>O</t>
        </is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 t="n">
        <v>0</v>
      </c>
      <c r="G91" s="170" t="n">
        <v>0</v>
      </c>
      <c r="H91" s="182" t="n">
        <v>0</v>
      </c>
      <c r="I91" s="183" t="inlineStr"/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 t="n">
        <v>2151</v>
      </c>
      <c r="G92" s="170" t="n">
        <v>57973900</v>
      </c>
      <c r="H92" s="182" t="n">
        <v>4867560</v>
      </c>
      <c r="I92" s="183" t="inlineStr">
        <is>
          <t>O</t>
        </is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 t="n">
        <v>417</v>
      </c>
      <c r="G93" s="170" t="n">
        <v>42703650</v>
      </c>
      <c r="H93" s="182" t="n">
        <v>1627460</v>
      </c>
      <c r="I93" s="183" t="inlineStr">
        <is>
          <t>O</t>
        </is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 t="n">
        <v>87</v>
      </c>
      <c r="G94" s="170" t="n">
        <v>2505010</v>
      </c>
      <c r="H94" s="182" t="n">
        <v>210620</v>
      </c>
      <c r="I94" s="183" t="inlineStr">
        <is>
          <t>O</t>
        </is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 t="n">
        <v>777</v>
      </c>
      <c r="G95" s="170" t="n">
        <v>14367300</v>
      </c>
      <c r="H95" s="182" t="n">
        <v>394590</v>
      </c>
      <c r="I95" s="183" t="inlineStr">
        <is>
          <t>O</t>
        </is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 t="n">
        <v>3441</v>
      </c>
      <c r="G96" s="170" t="n">
        <v>60348400</v>
      </c>
      <c r="H96" s="182" t="n">
        <v>5728100</v>
      </c>
      <c r="I96" s="183" t="inlineStr">
        <is>
          <t>O</t>
        </is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 t="n">
        <v>91</v>
      </c>
      <c r="G97" s="170" t="n">
        <v>2694400</v>
      </c>
      <c r="H97" s="182" t="n">
        <v>371050</v>
      </c>
      <c r="I97" s="183" t="inlineStr">
        <is>
          <t>O</t>
        </is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 t="n">
        <v>0</v>
      </c>
      <c r="G98" s="170" t="n">
        <v>0</v>
      </c>
      <c r="H98" s="182" t="n">
        <v>0</v>
      </c>
      <c r="I98" s="183" t="inlineStr"/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 t="n">
        <v>0</v>
      </c>
      <c r="G99" s="170" t="n">
        <v>0</v>
      </c>
      <c r="H99" s="182" t="n">
        <v>0</v>
      </c>
      <c r="I99" s="183" t="inlineStr"/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 t="n">
        <v>298</v>
      </c>
      <c r="G100" s="170" t="n">
        <v>5666070</v>
      </c>
      <c r="H100" s="182" t="n">
        <v>282800</v>
      </c>
      <c r="I100" s="183" t="inlineStr">
        <is>
          <t>O</t>
        </is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 t="n">
        <v>22</v>
      </c>
      <c r="G101" s="170" t="n">
        <v>1087000</v>
      </c>
      <c r="H101" s="182" t="n">
        <v>129320</v>
      </c>
      <c r="I101" s="183" t="inlineStr">
        <is>
          <t>O</t>
        </is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 t="n">
        <v>269</v>
      </c>
      <c r="G102" s="170" t="n">
        <v>11888240</v>
      </c>
      <c r="H102" s="182" t="n">
        <v>631520</v>
      </c>
      <c r="I102" s="183" t="inlineStr">
        <is>
          <t>O</t>
        </is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 t="n">
        <v>0</v>
      </c>
      <c r="G103" s="170" t="n">
        <v>0</v>
      </c>
      <c r="H103" s="182" t="n">
        <v>0</v>
      </c>
      <c r="I103" s="183" t="inlineStr"/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 t="n">
        <v>325</v>
      </c>
      <c r="G104" s="170" t="n">
        <v>8356000</v>
      </c>
      <c r="H104" s="182" t="n">
        <v>844760</v>
      </c>
      <c r="I104" s="183" t="inlineStr">
        <is>
          <t>O</t>
        </is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 t="n">
        <v>0</v>
      </c>
      <c r="G105" s="170" t="n">
        <v>0</v>
      </c>
      <c r="H105" s="182" t="n">
        <v>0</v>
      </c>
      <c r="I105" s="183" t="inlineStr"/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 t="n">
        <v>324</v>
      </c>
      <c r="G106" s="170" t="n">
        <v>6087100</v>
      </c>
      <c r="H106" s="182" t="n">
        <v>476820</v>
      </c>
      <c r="I106" s="183" t="inlineStr">
        <is>
          <t>O</t>
        </is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 t="n">
        <v>0</v>
      </c>
      <c r="G107" s="170" t="n">
        <v>0</v>
      </c>
      <c r="H107" s="182" t="n">
        <v>0</v>
      </c>
      <c r="I107" s="183" t="inlineStr"/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 t="n">
        <v>0</v>
      </c>
      <c r="G108" s="170" t="n">
        <v>0</v>
      </c>
      <c r="H108" s="182" t="n">
        <v>0</v>
      </c>
      <c r="I108" s="183" t="inlineStr"/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 t="n">
        <v>0</v>
      </c>
      <c r="G109" s="170" t="n">
        <v>0</v>
      </c>
      <c r="H109" s="182" t="n">
        <v>0</v>
      </c>
      <c r="I109" s="183" t="inlineStr"/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 t="n">
        <v>0</v>
      </c>
      <c r="G110" s="170" t="n">
        <v>0</v>
      </c>
      <c r="H110" s="182" t="n">
        <v>0</v>
      </c>
      <c r="I110" s="183" t="inlineStr"/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 t="n">
        <v>0</v>
      </c>
      <c r="G111" s="170" t="n">
        <v>0</v>
      </c>
      <c r="H111" s="182" t="n">
        <v>0</v>
      </c>
      <c r="I111" s="183" t="inlineStr"/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 t="n">
        <v>2936</v>
      </c>
      <c r="G112" s="170" t="n">
        <v>34514260</v>
      </c>
      <c r="H112" s="182" t="n">
        <v>3201390</v>
      </c>
      <c r="I112" s="183" t="inlineStr">
        <is>
          <t>O</t>
        </is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 t="n">
        <v>0</v>
      </c>
      <c r="G113" s="170" t="n">
        <v>0</v>
      </c>
      <c r="H113" s="182" t="n">
        <v>0</v>
      </c>
      <c r="I113" s="183" t="inlineStr"/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 t="n">
        <v>64</v>
      </c>
      <c r="G114" s="170" t="n">
        <v>1376000</v>
      </c>
      <c r="H114" s="182" t="n">
        <v>72800</v>
      </c>
      <c r="I114" s="183" t="inlineStr">
        <is>
          <t>O</t>
        </is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 t="n">
        <v>1351</v>
      </c>
      <c r="G115" s="170" t="n">
        <v>36257920</v>
      </c>
      <c r="H115" s="182" t="n">
        <v>4804820</v>
      </c>
      <c r="I115" s="183" t="inlineStr">
        <is>
          <t>O</t>
        </is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 t="n">
        <v>22</v>
      </c>
      <c r="G116" s="170" t="n">
        <v>472200</v>
      </c>
      <c r="H116" s="182" t="n">
        <v>66017</v>
      </c>
      <c r="I116" s="183" t="inlineStr">
        <is>
          <t>O</t>
        </is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 t="n">
        <v>589</v>
      </c>
      <c r="G117" s="170" t="n">
        <v>18159600</v>
      </c>
      <c r="H117" s="182" t="n">
        <v>281240</v>
      </c>
      <c r="I117" s="183" t="inlineStr">
        <is>
          <t>O</t>
        </is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 t="n">
        <v>0</v>
      </c>
      <c r="G118" s="170" t="n">
        <v>0</v>
      </c>
      <c r="H118" s="182" t="n">
        <v>0</v>
      </c>
      <c r="I118" s="183" t="inlineStr"/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 t="n">
        <v>0</v>
      </c>
      <c r="G119" s="170" t="n">
        <v>0</v>
      </c>
      <c r="H119" s="182" t="n">
        <v>0</v>
      </c>
      <c r="I119" s="183" t="inlineStr"/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 t="n">
        <v>4</v>
      </c>
      <c r="G120" s="170" t="n">
        <v>123400</v>
      </c>
      <c r="H120" s="182" t="n">
        <v>19700</v>
      </c>
      <c r="I120" s="183" t="inlineStr">
        <is>
          <t>O</t>
        </is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 t="n">
        <v>37</v>
      </c>
      <c r="G121" s="170" t="n">
        <v>937000</v>
      </c>
      <c r="H121" s="182" t="n">
        <v>161700</v>
      </c>
      <c r="I121" s="183" t="inlineStr">
        <is>
          <t>O</t>
        </is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 t="n">
        <v>2255</v>
      </c>
      <c r="G122" s="170" t="n">
        <v>13975900</v>
      </c>
      <c r="H122" s="182" t="n">
        <v>2783730</v>
      </c>
      <c r="I122" s="183" t="inlineStr">
        <is>
          <t>O</t>
        </is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 t="n">
        <v>0</v>
      </c>
      <c r="G123" s="170" t="n">
        <v>0</v>
      </c>
      <c r="H123" s="182" t="n">
        <v>0</v>
      </c>
      <c r="I123" s="183" t="inlineStr"/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 t="n">
        <v>62603</v>
      </c>
      <c r="G124" s="170" t="n">
        <v>175764970</v>
      </c>
      <c r="H124" s="182" t="n">
        <v>2046334</v>
      </c>
      <c r="I124" s="183" t="inlineStr">
        <is>
          <t>O</t>
        </is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 t="n">
        <v>0</v>
      </c>
      <c r="G125" s="170" t="n">
        <v>0</v>
      </c>
      <c r="H125" s="182" t="n">
        <v>0</v>
      </c>
      <c r="I125" s="183" t="inlineStr"/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 t="n">
        <v>110</v>
      </c>
      <c r="G126" s="170" t="n">
        <v>2855400</v>
      </c>
      <c r="H126" s="182" t="n">
        <v>244970</v>
      </c>
      <c r="I126" s="183" t="inlineStr">
        <is>
          <t>O</t>
        </is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 t="n">
        <v>115</v>
      </c>
      <c r="G127" s="170" t="n">
        <v>6213800</v>
      </c>
      <c r="H127" s="182" t="n">
        <v>422640</v>
      </c>
      <c r="I127" s="183" t="inlineStr">
        <is>
          <t>O</t>
        </is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 t="n">
        <v>150</v>
      </c>
      <c r="G128" s="170" t="n">
        <v>2247000</v>
      </c>
      <c r="H128" s="182" t="n">
        <v>335843</v>
      </c>
      <c r="I128" s="183" t="inlineStr">
        <is>
          <t>O</t>
        </is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 t="n">
        <v>11</v>
      </c>
      <c r="G129" s="170" t="n">
        <v>268713</v>
      </c>
      <c r="H129" s="182" t="n">
        <v>28340</v>
      </c>
      <c r="I129" s="183" t="inlineStr">
        <is>
          <t>O</t>
        </is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 t="n">
        <v>238</v>
      </c>
      <c r="G130" s="170" t="n">
        <v>11446900</v>
      </c>
      <c r="H130" s="182" t="n">
        <v>956180</v>
      </c>
      <c r="I130" s="183" t="inlineStr">
        <is>
          <t>O</t>
        </is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 t="n">
        <v>371</v>
      </c>
      <c r="G131" s="170" t="n">
        <v>16447000</v>
      </c>
      <c r="H131" s="182" t="n">
        <v>1203400</v>
      </c>
      <c r="I131" s="183" t="inlineStr">
        <is>
          <t>O</t>
        </is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 t="n">
        <v>232</v>
      </c>
      <c r="G132" s="170" t="n">
        <v>12396500</v>
      </c>
      <c r="H132" s="182" t="n">
        <v>1310490</v>
      </c>
      <c r="I132" s="183" t="inlineStr">
        <is>
          <t>O</t>
        </is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 t="n">
        <v>441</v>
      </c>
      <c r="G133" s="170" t="n">
        <v>11280600</v>
      </c>
      <c r="H133" s="182" t="n">
        <v>241400</v>
      </c>
      <c r="I133" s="183" t="inlineStr">
        <is>
          <t>O</t>
        </is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 t="n">
        <v>0</v>
      </c>
      <c r="G134" s="170" t="n">
        <v>0</v>
      </c>
      <c r="H134" s="182" t="n">
        <v>0</v>
      </c>
      <c r="I134" s="183" t="inlineStr"/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 t="n">
        <v>0</v>
      </c>
      <c r="G135" s="170" t="n">
        <v>0</v>
      </c>
      <c r="H135" s="182" t="n">
        <v>0</v>
      </c>
      <c r="I135" s="183" t="inlineStr"/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 t="n">
        <v>1119</v>
      </c>
      <c r="G136" s="170" t="n">
        <v>40755700</v>
      </c>
      <c r="H136" s="182" t="n">
        <v>4161320</v>
      </c>
      <c r="I136" s="183" t="inlineStr">
        <is>
          <t>O</t>
        </is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 t="n">
        <v>613</v>
      </c>
      <c r="G137" s="170" t="n">
        <v>17858500</v>
      </c>
      <c r="H137" s="182" t="n">
        <v>2753706</v>
      </c>
      <c r="I137" s="183" t="inlineStr">
        <is>
          <t>O</t>
        </is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 t="n">
        <v>67</v>
      </c>
      <c r="G138" s="170" t="n">
        <v>1029600</v>
      </c>
      <c r="H138" s="182" t="n">
        <v>131199</v>
      </c>
      <c r="I138" s="183" t="inlineStr">
        <is>
          <t>O</t>
        </is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 t="n">
        <v>3294</v>
      </c>
      <c r="G139" s="170" t="n">
        <v>53884129</v>
      </c>
      <c r="H139" s="182" t="n">
        <v>4931560</v>
      </c>
      <c r="I139" s="183" t="inlineStr">
        <is>
          <t>O</t>
        </is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 t="n">
        <v>326</v>
      </c>
      <c r="G140" s="170" t="n">
        <v>8483000</v>
      </c>
      <c r="H140" s="182" t="n">
        <v>0</v>
      </c>
      <c r="I140" s="183" t="inlineStr">
        <is>
          <t>O</t>
        </is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 t="n">
        <v>95</v>
      </c>
      <c r="G141" s="170" t="n">
        <v>3250000</v>
      </c>
      <c r="H141" s="182" t="n">
        <v>387870</v>
      </c>
      <c r="I141" s="183" t="inlineStr">
        <is>
          <t>O</t>
        </is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 t="n">
        <v>273</v>
      </c>
      <c r="G142" s="170" t="n">
        <v>4991620</v>
      </c>
      <c r="H142" s="182" t="n">
        <v>584880</v>
      </c>
      <c r="I142" s="183" t="inlineStr">
        <is>
          <t>O</t>
        </is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 t="n">
        <v>4348</v>
      </c>
      <c r="G143" s="170" t="n">
        <v>65560580</v>
      </c>
      <c r="H143" s="182" t="n">
        <v>4994140</v>
      </c>
      <c r="I143" s="183" t="inlineStr">
        <is>
          <t>O</t>
        </is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 t="n">
        <v>260</v>
      </c>
      <c r="G144" s="170" t="n">
        <v>11899600</v>
      </c>
      <c r="H144" s="182" t="n">
        <v>937090</v>
      </c>
      <c r="I144" s="183" t="inlineStr">
        <is>
          <t>O</t>
        </is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 t="n">
        <v>0</v>
      </c>
      <c r="G145" s="170" t="n">
        <v>0</v>
      </c>
      <c r="H145" s="182" t="n">
        <v>0</v>
      </c>
      <c r="I145" s="183" t="inlineStr"/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 t="n">
        <v>17</v>
      </c>
      <c r="G146" s="170" t="n">
        <v>418000</v>
      </c>
      <c r="H146" s="182" t="n">
        <v>58680</v>
      </c>
      <c r="I146" s="183" t="inlineStr">
        <is>
          <t>O</t>
        </is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 t="n">
        <v>0</v>
      </c>
      <c r="G147" s="170" t="n">
        <v>0</v>
      </c>
      <c r="H147" s="182" t="n">
        <v>0</v>
      </c>
      <c r="I147" s="183" t="inlineStr"/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 t="n">
        <v>1</v>
      </c>
      <c r="G148" s="170" t="n">
        <v>40000</v>
      </c>
      <c r="H148" s="182" t="n">
        <v>8000</v>
      </c>
      <c r="I148" s="183" t="inlineStr">
        <is>
          <t>O</t>
        </is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 t="n">
        <v>0</v>
      </c>
      <c r="G149" s="170" t="n">
        <v>0</v>
      </c>
      <c r="H149" s="182" t="n">
        <v>0</v>
      </c>
      <c r="I149" s="183" t="inlineStr"/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 t="n">
        <v>0</v>
      </c>
      <c r="G150" s="170" t="n">
        <v>0</v>
      </c>
      <c r="H150" s="182" t="n">
        <v>0</v>
      </c>
      <c r="I150" s="183" t="inlineStr"/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 t="n">
        <v>3</v>
      </c>
      <c r="G151" s="170" t="n">
        <v>82000</v>
      </c>
      <c r="H151" s="182" t="n">
        <v>15330</v>
      </c>
      <c r="I151" s="183" t="inlineStr">
        <is>
          <t>O</t>
        </is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 t="n">
        <v>43</v>
      </c>
      <c r="G152" s="170" t="n">
        <v>754070</v>
      </c>
      <c r="H152" s="182" t="n">
        <v>108840</v>
      </c>
      <c r="I152" s="183" t="inlineStr">
        <is>
          <t>O</t>
        </is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 t="n">
        <v>2517</v>
      </c>
      <c r="G153" s="170" t="n">
        <v>57338800</v>
      </c>
      <c r="H153" s="182" t="n">
        <v>5062400</v>
      </c>
      <c r="I153" s="183" t="inlineStr">
        <is>
          <t>O</t>
        </is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 t="n">
        <v>23</v>
      </c>
      <c r="G154" s="170" t="n">
        <v>793000</v>
      </c>
      <c r="H154" s="182" t="n">
        <v>75600</v>
      </c>
      <c r="I154" s="183" t="inlineStr">
        <is>
          <t>O</t>
        </is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 t="n">
        <v>0</v>
      </c>
      <c r="G155" s="170" t="n">
        <v>0</v>
      </c>
      <c r="H155" s="182" t="n">
        <v>0</v>
      </c>
      <c r="I155" s="183" t="inlineStr"/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 t="n">
        <v>20</v>
      </c>
      <c r="G156" s="170" t="n">
        <v>387500</v>
      </c>
      <c r="H156" s="182" t="n">
        <v>25800</v>
      </c>
      <c r="I156" s="183" t="inlineStr">
        <is>
          <t>O</t>
        </is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 t="n">
        <v>737</v>
      </c>
      <c r="G157" s="170" t="n">
        <v>26752200</v>
      </c>
      <c r="H157" s="182" t="n">
        <v>5136630</v>
      </c>
      <c r="I157" s="183" t="inlineStr">
        <is>
          <t>O</t>
        </is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 t="n">
        <v>0</v>
      </c>
      <c r="G158" s="170" t="n">
        <v>0</v>
      </c>
      <c r="H158" s="182" t="n">
        <v>0</v>
      </c>
      <c r="I158" s="183" t="inlineStr"/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 t="n">
        <v>67</v>
      </c>
      <c r="G159" s="170" t="n">
        <v>1124600</v>
      </c>
      <c r="H159" s="182" t="n">
        <v>70540</v>
      </c>
      <c r="I159" s="183" t="inlineStr">
        <is>
          <t>O</t>
        </is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 t="n">
        <v>202</v>
      </c>
      <c r="G160" s="170" t="n">
        <v>2546000</v>
      </c>
      <c r="H160" s="182" t="n">
        <v>288388</v>
      </c>
      <c r="I160" s="183" t="inlineStr">
        <is>
          <t>O</t>
        </is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 t="n">
        <v>0</v>
      </c>
      <c r="G161" s="170" t="n">
        <v>0</v>
      </c>
      <c r="H161" s="182" t="n">
        <v>0</v>
      </c>
      <c r="I161" s="183" t="inlineStr"/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 t="n">
        <v>0</v>
      </c>
      <c r="G162" s="170" t="n">
        <v>0</v>
      </c>
      <c r="H162" s="182" t="n">
        <v>0</v>
      </c>
      <c r="I162" s="183" t="inlineStr"/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 t="n">
        <v>0</v>
      </c>
      <c r="G163" s="170" t="n">
        <v>0</v>
      </c>
      <c r="H163" s="182" t="n">
        <v>0</v>
      </c>
      <c r="I163" s="183" t="inlineStr"/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 t="n">
        <v>7</v>
      </c>
      <c r="G164" s="170" t="n">
        <v>276800</v>
      </c>
      <c r="H164" s="182" t="n">
        <v>31200</v>
      </c>
      <c r="I164" s="183" t="inlineStr">
        <is>
          <t>O</t>
        </is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 t="n">
        <v>10441</v>
      </c>
      <c r="G165" s="170" t="n">
        <v>113790900</v>
      </c>
      <c r="H165" s="182" t="n">
        <v>2067740</v>
      </c>
      <c r="I165" s="183" t="inlineStr">
        <is>
          <t>O</t>
        </is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 t="n">
        <v>0</v>
      </c>
      <c r="G166" s="170" t="n">
        <v>0</v>
      </c>
      <c r="H166" s="182" t="n">
        <v>0</v>
      </c>
      <c r="I166" s="183" t="inlineStr"/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 t="n">
        <v>411</v>
      </c>
      <c r="G167" s="170" t="n">
        <v>15016900</v>
      </c>
      <c r="H167" s="182" t="n">
        <v>1478990</v>
      </c>
      <c r="I167" s="183" t="inlineStr">
        <is>
          <t>O</t>
        </is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 t="n">
        <v>0</v>
      </c>
      <c r="G168" s="170" t="n">
        <v>0</v>
      </c>
      <c r="H168" s="182" t="n">
        <v>0</v>
      </c>
      <c r="I168" s="183" t="inlineStr"/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 t="n">
        <v>0</v>
      </c>
      <c r="G169" s="170" t="n">
        <v>0</v>
      </c>
      <c r="H169" s="182" t="n">
        <v>0</v>
      </c>
      <c r="I169" s="183" t="inlineStr"/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 t="n">
        <v>37</v>
      </c>
      <c r="G170" s="170" t="n">
        <v>551300</v>
      </c>
      <c r="H170" s="182" t="n">
        <v>80180</v>
      </c>
      <c r="I170" s="183" t="inlineStr">
        <is>
          <t>O</t>
        </is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 t="n">
        <v>140</v>
      </c>
      <c r="G171" s="170" t="n">
        <v>3016100</v>
      </c>
      <c r="H171" s="182" t="n">
        <v>551480</v>
      </c>
      <c r="I171" s="183" t="inlineStr">
        <is>
          <t>O</t>
        </is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 t="n">
        <v>23157</v>
      </c>
      <c r="G172" s="170" t="n">
        <v>348126237</v>
      </c>
      <c r="H172" s="182" t="n">
        <v>5847700</v>
      </c>
      <c r="I172" s="183" t="inlineStr">
        <is>
          <t>O</t>
        </is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 t="n">
        <v>3181</v>
      </c>
      <c r="G173" s="170" t="n">
        <v>55343432</v>
      </c>
      <c r="H173" s="182" t="n">
        <v>3711720</v>
      </c>
      <c r="I173" s="183" t="inlineStr">
        <is>
          <t>O</t>
        </is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 t="n">
        <v>0</v>
      </c>
      <c r="G174" s="170" t="n">
        <v>0</v>
      </c>
      <c r="H174" s="182" t="n">
        <v>0</v>
      </c>
      <c r="I174" s="183" t="inlineStr"/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 t="n">
        <v>41</v>
      </c>
      <c r="G175" s="170" t="n">
        <v>1129400</v>
      </c>
      <c r="H175" s="182" t="n">
        <v>90860</v>
      </c>
      <c r="I175" s="183" t="inlineStr">
        <is>
          <t>O</t>
        </is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 t="n">
        <v>83</v>
      </c>
      <c r="G176" s="170" t="n">
        <v>1078300</v>
      </c>
      <c r="H176" s="182" t="n">
        <v>129420</v>
      </c>
      <c r="I176" s="183" t="inlineStr">
        <is>
          <t>O</t>
        </is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 t="n">
        <v>1653</v>
      </c>
      <c r="G177" s="170" t="n">
        <v>70241000</v>
      </c>
      <c r="H177" s="182" t="n">
        <v>5268240</v>
      </c>
      <c r="I177" s="183" t="inlineStr">
        <is>
          <t>O</t>
        </is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 t="n">
        <v>0</v>
      </c>
      <c r="G178" s="170" t="n">
        <v>0</v>
      </c>
      <c r="H178" s="182" t="n">
        <v>0</v>
      </c>
      <c r="I178" s="183" t="inlineStr"/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 t="n">
        <v>0</v>
      </c>
      <c r="G179" s="170" t="n">
        <v>0</v>
      </c>
      <c r="H179" s="182" t="n">
        <v>0</v>
      </c>
      <c r="I179" s="183" t="inlineStr"/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 t="n">
        <v>4198</v>
      </c>
      <c r="G180" s="170" t="n">
        <v>91537100</v>
      </c>
      <c r="H180" s="182" t="n">
        <v>4866780</v>
      </c>
      <c r="I180" s="183" t="inlineStr">
        <is>
          <t>O</t>
        </is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 t="n">
        <v>453</v>
      </c>
      <c r="G181" s="170" t="n">
        <v>11843530</v>
      </c>
      <c r="H181" s="182" t="n">
        <v>1093520</v>
      </c>
      <c r="I181" s="183" t="inlineStr">
        <is>
          <t>O</t>
        </is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 t="n">
        <v>2197</v>
      </c>
      <c r="G182" s="170" t="n">
        <v>50970400</v>
      </c>
      <c r="H182" s="182" t="n">
        <v>4673920</v>
      </c>
      <c r="I182" s="183" t="inlineStr">
        <is>
          <t>O</t>
        </is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 t="n">
        <v>243</v>
      </c>
      <c r="G183" s="170" t="n">
        <v>4101220</v>
      </c>
      <c r="H183" s="182" t="n">
        <v>342710</v>
      </c>
      <c r="I183" s="183" t="inlineStr">
        <is>
          <t>O</t>
        </is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 t="n">
        <v>0</v>
      </c>
      <c r="G184" s="170" t="n">
        <v>0</v>
      </c>
      <c r="H184" s="182" t="n">
        <v>0</v>
      </c>
      <c r="I184" s="183" t="inlineStr"/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 t="n">
        <v>238</v>
      </c>
      <c r="G185" s="170" t="n">
        <v>1681000</v>
      </c>
      <c r="H185" s="182" t="n">
        <v>135400</v>
      </c>
      <c r="I185" s="183" t="inlineStr">
        <is>
          <t>O</t>
        </is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 t="n">
        <v>1343</v>
      </c>
      <c r="G186" s="170" t="n">
        <v>41973060</v>
      </c>
      <c r="H186" s="182" t="n">
        <v>5049440</v>
      </c>
      <c r="I186" s="183" t="inlineStr">
        <is>
          <t>O</t>
        </is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 t="n">
        <v>37</v>
      </c>
      <c r="G187" s="170" t="n">
        <v>1449750</v>
      </c>
      <c r="H187" s="182" t="n">
        <v>159250</v>
      </c>
      <c r="I187" s="183" t="inlineStr">
        <is>
          <t>O</t>
        </is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 t="n">
        <v>4478</v>
      </c>
      <c r="G188" s="170" t="n">
        <v>75036380</v>
      </c>
      <c r="H188" s="182" t="n">
        <v>4887830</v>
      </c>
      <c r="I188" s="183" t="inlineStr">
        <is>
          <t>O</t>
        </is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 t="n">
        <v>1152</v>
      </c>
      <c r="G189" s="170" t="n">
        <v>17550000</v>
      </c>
      <c r="H189" s="182" t="n">
        <v>2955090</v>
      </c>
      <c r="I189" s="183" t="inlineStr">
        <is>
          <t>O</t>
        </is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 t="n">
        <v>0</v>
      </c>
      <c r="G190" s="170" t="n">
        <v>0</v>
      </c>
      <c r="H190" s="182" t="n">
        <v>0</v>
      </c>
      <c r="I190" s="183" t="inlineStr"/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 t="n">
        <v>0</v>
      </c>
      <c r="G191" s="170" t="n">
        <v>0</v>
      </c>
      <c r="H191" s="182" t="n">
        <v>0</v>
      </c>
      <c r="I191" s="183" t="inlineStr"/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 t="n">
        <v>4</v>
      </c>
      <c r="G192" s="170" t="n">
        <v>172000</v>
      </c>
      <c r="H192" s="182" t="n">
        <v>31660</v>
      </c>
      <c r="I192" s="183" t="inlineStr">
        <is>
          <t>O</t>
        </is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 t="n">
        <v>9</v>
      </c>
      <c r="G193" s="170" t="n">
        <v>342100</v>
      </c>
      <c r="H193" s="182" t="n">
        <v>41960</v>
      </c>
      <c r="I193" s="183" t="inlineStr">
        <is>
          <t>O</t>
        </is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 t="n">
        <v>0</v>
      </c>
      <c r="G194" s="170" t="n">
        <v>0</v>
      </c>
      <c r="H194" s="182" t="n">
        <v>0</v>
      </c>
      <c r="I194" s="183" t="inlineStr"/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 t="n">
        <v>1</v>
      </c>
      <c r="G195" s="170" t="n">
        <v>27000</v>
      </c>
      <c r="H195" s="182" t="n">
        <v>5400</v>
      </c>
      <c r="I195" s="183" t="inlineStr">
        <is>
          <t>O</t>
        </is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 t="n">
        <v>299</v>
      </c>
      <c r="G196" s="170" t="n">
        <v>7295900</v>
      </c>
      <c r="H196" s="182" t="n">
        <v>528440</v>
      </c>
      <c r="I196" s="183" t="inlineStr">
        <is>
          <t>O</t>
        </is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 t="n">
        <v>0</v>
      </c>
      <c r="G197" s="170" t="n">
        <v>0</v>
      </c>
      <c r="H197" s="182" t="n">
        <v>0</v>
      </c>
      <c r="I197" s="183" t="inlineStr"/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 t="n">
        <v>0</v>
      </c>
      <c r="G198" s="170" t="n">
        <v>0</v>
      </c>
      <c r="H198" s="182" t="n">
        <v>0</v>
      </c>
      <c r="I198" s="183" t="inlineStr"/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 t="n">
        <v>36771</v>
      </c>
      <c r="G199" s="170" t="n">
        <v>171049640</v>
      </c>
      <c r="H199" s="182" t="n">
        <v>2095401</v>
      </c>
      <c r="I199" s="183" t="inlineStr">
        <is>
          <t>O</t>
        </is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 t="n">
        <v>10</v>
      </c>
      <c r="G200" s="170" t="n">
        <v>144500</v>
      </c>
      <c r="H200" s="182" t="n">
        <v>2000</v>
      </c>
      <c r="I200" s="183" t="inlineStr">
        <is>
          <t>O</t>
        </is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 t="n">
        <v>21744</v>
      </c>
      <c r="G201" s="170" t="n">
        <v>287536270</v>
      </c>
      <c r="H201" s="182" t="n">
        <v>6140240</v>
      </c>
      <c r="I201" s="183" t="inlineStr">
        <is>
          <t>O</t>
        </is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 t="n">
        <v>1689</v>
      </c>
      <c r="G202" s="170" t="n">
        <v>85838000</v>
      </c>
      <c r="H202" s="182" t="n">
        <v>4965820</v>
      </c>
      <c r="I202" s="183" t="inlineStr">
        <is>
          <t>O</t>
        </is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 t="n">
        <v>0</v>
      </c>
      <c r="G203" s="170" t="n">
        <v>0</v>
      </c>
      <c r="H203" s="182" t="n">
        <v>0</v>
      </c>
      <c r="I203" s="183" t="inlineStr"/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 t="n">
        <v>0</v>
      </c>
      <c r="G204" s="170" t="n">
        <v>0</v>
      </c>
      <c r="H204" s="182" t="n">
        <v>0</v>
      </c>
      <c r="I204" s="183" t="inlineStr"/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 t="n">
        <v>1</v>
      </c>
      <c r="G205" s="170" t="n">
        <v>36900</v>
      </c>
      <c r="H205" s="182" t="n">
        <v>0</v>
      </c>
      <c r="I205" s="183" t="inlineStr">
        <is>
          <t>O</t>
        </is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 t="n">
        <v>162</v>
      </c>
      <c r="G206" s="170" t="n">
        <v>2585100</v>
      </c>
      <c r="H206" s="182" t="n">
        <v>357549</v>
      </c>
      <c r="I206" s="183" t="inlineStr">
        <is>
          <t>O</t>
        </is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 t="n">
        <v>531</v>
      </c>
      <c r="G207" s="170" t="n">
        <v>22703100</v>
      </c>
      <c r="H207" s="182" t="n">
        <v>4073774</v>
      </c>
      <c r="I207" s="183" t="inlineStr">
        <is>
          <t>O</t>
        </is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 t="n">
        <v>18</v>
      </c>
      <c r="G208" s="170" t="n">
        <v>460000</v>
      </c>
      <c r="H208" s="182" t="n">
        <v>46000</v>
      </c>
      <c r="I208" s="183" t="inlineStr">
        <is>
          <t>O</t>
        </is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 t="n">
        <v>391</v>
      </c>
      <c r="G209" s="170" t="n">
        <v>13205600</v>
      </c>
      <c r="H209" s="182" t="n">
        <v>484560</v>
      </c>
      <c r="I209" s="183" t="inlineStr">
        <is>
          <t>O</t>
        </is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 t="n">
        <v>5988</v>
      </c>
      <c r="G210" s="170" t="n">
        <v>104624010</v>
      </c>
      <c r="H210" s="182" t="n">
        <v>5022810</v>
      </c>
      <c r="I210" s="183" t="inlineStr">
        <is>
          <t>O</t>
        </is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 t="n">
        <v>81</v>
      </c>
      <c r="G211" s="170" t="n">
        <v>1742100</v>
      </c>
      <c r="H211" s="182" t="n">
        <v>243770</v>
      </c>
      <c r="I211" s="183" t="inlineStr">
        <is>
          <t>O</t>
        </is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 t="n">
        <v>740</v>
      </c>
      <c r="G212" s="170" t="n">
        <v>20010500</v>
      </c>
      <c r="H212" s="182" t="n">
        <v>3684430</v>
      </c>
      <c r="I212" s="183" t="inlineStr">
        <is>
          <t>O</t>
        </is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 t="n">
        <v>0</v>
      </c>
      <c r="G213" s="170" t="n">
        <v>0</v>
      </c>
      <c r="H213" s="182" t="n">
        <v>0</v>
      </c>
      <c r="I213" s="183" t="inlineStr"/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 t="n">
        <v>0</v>
      </c>
      <c r="G214" s="170" t="n">
        <v>0</v>
      </c>
      <c r="H214" s="182" t="n">
        <v>0</v>
      </c>
      <c r="I214" s="183" t="inlineStr"/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 t="n">
        <v>0</v>
      </c>
      <c r="G215" s="170" t="n">
        <v>0</v>
      </c>
      <c r="H215" s="182" t="n">
        <v>0</v>
      </c>
      <c r="I215" s="183" t="inlineStr"/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 t="n">
        <v>39</v>
      </c>
      <c r="G216" s="170" t="n">
        <v>865000</v>
      </c>
      <c r="H216" s="182" t="n">
        <v>38710</v>
      </c>
      <c r="I216" s="183" t="inlineStr">
        <is>
          <t>O</t>
        </is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 t="n">
        <v>0</v>
      </c>
      <c r="G217" s="170" t="n">
        <v>0</v>
      </c>
      <c r="H217" s="182" t="n">
        <v>0</v>
      </c>
      <c r="I217" s="183" t="inlineStr"/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 t="n">
        <v>1654</v>
      </c>
      <c r="G218" s="170" t="n">
        <v>69459000</v>
      </c>
      <c r="H218" s="182" t="n">
        <v>4836400</v>
      </c>
      <c r="I218" s="183" t="inlineStr">
        <is>
          <t>O</t>
        </is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 t="n">
        <v>0</v>
      </c>
      <c r="G219" s="170" t="n">
        <v>0</v>
      </c>
      <c r="H219" s="182" t="n">
        <v>0</v>
      </c>
      <c r="I219" s="183" t="inlineStr"/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 t="n">
        <v>0</v>
      </c>
      <c r="G220" s="170" t="n">
        <v>0</v>
      </c>
      <c r="H220" s="182" t="n">
        <v>0</v>
      </c>
      <c r="I220" s="183" t="inlineStr"/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 t="n">
        <v>4847</v>
      </c>
      <c r="G221" s="170" t="n">
        <v>195587000</v>
      </c>
      <c r="H221" s="182" t="n">
        <v>4883600</v>
      </c>
      <c r="I221" s="183" t="inlineStr">
        <is>
          <t>O</t>
        </is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 t="n">
        <v>0</v>
      </c>
      <c r="G222" s="170" t="n">
        <v>0</v>
      </c>
      <c r="H222" s="182" t="n">
        <v>0</v>
      </c>
      <c r="I222" s="183" t="inlineStr"/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 t="n">
        <v>82</v>
      </c>
      <c r="G223" s="170" t="n">
        <v>2990300</v>
      </c>
      <c r="H223" s="182" t="n">
        <v>199940</v>
      </c>
      <c r="I223" s="183" t="inlineStr">
        <is>
          <t>O</t>
        </is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 t="n">
        <v>0</v>
      </c>
      <c r="G224" s="170" t="n">
        <v>0</v>
      </c>
      <c r="H224" s="182" t="n">
        <v>0</v>
      </c>
      <c r="I224" s="183" t="inlineStr"/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 t="n">
        <v>0</v>
      </c>
      <c r="G225" s="170" t="n">
        <v>0</v>
      </c>
      <c r="H225" s="182" t="n">
        <v>0</v>
      </c>
      <c r="I225" s="183" t="inlineStr"/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 t="n">
        <v>157</v>
      </c>
      <c r="G226" s="170" t="n">
        <v>4540800</v>
      </c>
      <c r="H226" s="182" t="n">
        <v>356400</v>
      </c>
      <c r="I226" s="183" t="inlineStr">
        <is>
          <t>O</t>
        </is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 t="n">
        <v>0</v>
      </c>
      <c r="G227" s="170" t="n">
        <v>0</v>
      </c>
      <c r="H227" s="182" t="n">
        <v>0</v>
      </c>
      <c r="I227" s="183" t="inlineStr"/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 t="n">
        <v>0</v>
      </c>
      <c r="G228" s="170" t="n">
        <v>0</v>
      </c>
      <c r="H228" s="182" t="n">
        <v>0</v>
      </c>
      <c r="I228" s="183" t="inlineStr"/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 t="n">
        <v>131</v>
      </c>
      <c r="G229" s="170" t="n">
        <v>4822000</v>
      </c>
      <c r="H229" s="182" t="n">
        <v>731663</v>
      </c>
      <c r="I229" s="183" t="inlineStr">
        <is>
          <t>O</t>
        </is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 t="n">
        <v>0</v>
      </c>
      <c r="G230" s="170" t="n">
        <v>0</v>
      </c>
      <c r="H230" s="182" t="n">
        <v>0</v>
      </c>
      <c r="I230" s="183" t="inlineStr"/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 t="n">
        <v>0</v>
      </c>
      <c r="G231" s="170" t="n">
        <v>0</v>
      </c>
      <c r="H231" s="182" t="n">
        <v>0</v>
      </c>
      <c r="I231" s="183" t="inlineStr"/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 t="n">
        <v>156</v>
      </c>
      <c r="G232" s="170" t="n">
        <v>4832700</v>
      </c>
      <c r="H232" s="182" t="n">
        <v>338510</v>
      </c>
      <c r="I232" s="183" t="inlineStr">
        <is>
          <t>O</t>
        </is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 t="n">
        <v>17</v>
      </c>
      <c r="G233" s="170" t="n">
        <v>324000</v>
      </c>
      <c r="H233" s="182" t="n">
        <v>0</v>
      </c>
      <c r="I233" s="183" t="inlineStr">
        <is>
          <t>O</t>
        </is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 t="n">
        <v>0</v>
      </c>
      <c r="G234" s="170" t="n">
        <v>0</v>
      </c>
      <c r="H234" s="182" t="n">
        <v>0</v>
      </c>
      <c r="I234" s="183" t="inlineStr"/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 t="n">
        <v>0</v>
      </c>
      <c r="G235" s="170" t="n">
        <v>0</v>
      </c>
      <c r="H235" s="182" t="n">
        <v>0</v>
      </c>
      <c r="I235" s="183" t="inlineStr"/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 t="n">
        <v>47</v>
      </c>
      <c r="G236" s="170" t="n">
        <v>1464920</v>
      </c>
      <c r="H236" s="182" t="n">
        <v>176640</v>
      </c>
      <c r="I236" s="183" t="inlineStr">
        <is>
          <t>O</t>
        </is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 t="n">
        <v>0</v>
      </c>
      <c r="G237" s="170" t="n">
        <v>0</v>
      </c>
      <c r="H237" s="182" t="n">
        <v>0</v>
      </c>
      <c r="I237" s="183" t="inlineStr"/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 t="n">
        <v>13</v>
      </c>
      <c r="G238" s="170" t="n">
        <v>698900</v>
      </c>
      <c r="H238" s="182" t="n">
        <v>15080</v>
      </c>
      <c r="I238" s="183" t="inlineStr">
        <is>
          <t>O</t>
        </is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 t="n">
        <v>219</v>
      </c>
      <c r="G239" s="170" t="n">
        <v>5713600</v>
      </c>
      <c r="H239" s="182" t="n">
        <v>399620</v>
      </c>
      <c r="I239" s="183" t="inlineStr">
        <is>
          <t>O</t>
        </is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 t="n">
        <v>15</v>
      </c>
      <c r="G240" s="170" t="n">
        <v>181800</v>
      </c>
      <c r="H240" s="182" t="n">
        <v>32790</v>
      </c>
      <c r="I240" s="183" t="inlineStr">
        <is>
          <t>O</t>
        </is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 t="n">
        <v>3118</v>
      </c>
      <c r="G241" s="170" t="n">
        <v>16939700</v>
      </c>
      <c r="H241" s="182" t="n">
        <v>1323514</v>
      </c>
      <c r="I241" s="183" t="inlineStr">
        <is>
          <t>O</t>
        </is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 t="n">
        <v>2053</v>
      </c>
      <c r="G242" s="170" t="n">
        <v>37041760</v>
      </c>
      <c r="H242" s="182" t="n">
        <v>3387240</v>
      </c>
      <c r="I242" s="183" t="inlineStr">
        <is>
          <t>O</t>
        </is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 t="n">
        <v>91</v>
      </c>
      <c r="G243" s="170" t="n">
        <v>2705300</v>
      </c>
      <c r="H243" s="182" t="n">
        <v>238400</v>
      </c>
      <c r="I243" s="183" t="inlineStr">
        <is>
          <t>O</t>
        </is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 t="n">
        <v>9</v>
      </c>
      <c r="G244" s="170" t="n">
        <v>295000</v>
      </c>
      <c r="H244" s="182" t="n">
        <v>47400</v>
      </c>
      <c r="I244" s="183" t="inlineStr">
        <is>
          <t>O</t>
        </is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 t="n">
        <v>0</v>
      </c>
      <c r="G245" s="170" t="n">
        <v>0</v>
      </c>
      <c r="H245" s="182" t="n">
        <v>0</v>
      </c>
      <c r="I245" s="183" t="inlineStr"/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 t="n">
        <v>92</v>
      </c>
      <c r="G246" s="170" t="n">
        <v>1481700</v>
      </c>
      <c r="H246" s="182" t="n">
        <v>205380</v>
      </c>
      <c r="I246" s="183" t="inlineStr">
        <is>
          <t>O</t>
        </is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 t="n">
        <v>0</v>
      </c>
      <c r="G247" s="170" t="n">
        <v>0</v>
      </c>
      <c r="H247" s="182" t="n">
        <v>0</v>
      </c>
      <c r="I247" s="183" t="inlineStr"/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 t="n">
        <v>95</v>
      </c>
      <c r="G248" s="170" t="n">
        <v>2107070</v>
      </c>
      <c r="H248" s="182" t="n">
        <v>327200</v>
      </c>
      <c r="I248" s="183" t="inlineStr">
        <is>
          <t>O</t>
        </is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 t="n">
        <v>20</v>
      </c>
      <c r="G249" s="170" t="n">
        <v>165300</v>
      </c>
      <c r="H249" s="182" t="n">
        <v>20408</v>
      </c>
      <c r="I249" s="183" t="inlineStr">
        <is>
          <t>O</t>
        </is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 t="n">
        <v>4</v>
      </c>
      <c r="G250" s="170" t="n">
        <v>100600</v>
      </c>
      <c r="H250" s="182" t="n">
        <v>13140</v>
      </c>
      <c r="I250" s="183" t="inlineStr">
        <is>
          <t>O</t>
        </is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 t="n">
        <v>4</v>
      </c>
      <c r="G251" s="170" t="n">
        <v>42000</v>
      </c>
      <c r="H251" s="182" t="n">
        <v>7980</v>
      </c>
      <c r="I251" s="183" t="inlineStr">
        <is>
          <t>O</t>
        </is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 t="n">
        <v>0</v>
      </c>
      <c r="G252" s="170" t="n">
        <v>0</v>
      </c>
      <c r="H252" s="182" t="n">
        <v>0</v>
      </c>
      <c r="I252" s="183" t="inlineStr"/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 t="n">
        <v>4</v>
      </c>
      <c r="G253" s="170" t="n">
        <v>264000</v>
      </c>
      <c r="H253" s="182" t="n">
        <v>40000</v>
      </c>
      <c r="I253" s="183" t="inlineStr">
        <is>
          <t>O</t>
        </is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 t="n">
        <v>0</v>
      </c>
      <c r="G254" s="170" t="n">
        <v>0</v>
      </c>
      <c r="H254" s="182" t="n">
        <v>0</v>
      </c>
      <c r="I254" s="183" t="inlineStr"/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 t="n">
        <v>3</v>
      </c>
      <c r="G255" s="170" t="n">
        <v>83700</v>
      </c>
      <c r="H255" s="182" t="n">
        <v>5580</v>
      </c>
      <c r="I255" s="183" t="inlineStr">
        <is>
          <t>O</t>
        </is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 t="n">
        <v>9</v>
      </c>
      <c r="G256" s="170" t="n">
        <v>182000</v>
      </c>
      <c r="H256" s="182" t="n">
        <v>31430</v>
      </c>
      <c r="I256" s="183" t="inlineStr">
        <is>
          <t>O</t>
        </is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 t="n">
        <v>19184</v>
      </c>
      <c r="G257" s="170" t="n">
        <v>273251750</v>
      </c>
      <c r="H257" s="182" t="n">
        <v>2025991</v>
      </c>
      <c r="I257" s="183" t="inlineStr">
        <is>
          <t>O</t>
        </is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 t="n">
        <v>0</v>
      </c>
      <c r="G258" s="170" t="n">
        <v>0</v>
      </c>
      <c r="H258" s="182" t="n">
        <v>0</v>
      </c>
      <c r="I258" s="183" t="inlineStr"/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 t="n">
        <v>0</v>
      </c>
      <c r="G259" s="170" t="n">
        <v>0</v>
      </c>
      <c r="H259" s="182" t="n">
        <v>0</v>
      </c>
      <c r="I259" s="183" t="inlineStr"/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 t="n">
        <v>247</v>
      </c>
      <c r="G260" s="170" t="n">
        <v>2356800</v>
      </c>
      <c r="H260" s="182" t="n">
        <v>221980</v>
      </c>
      <c r="I260" s="183" t="inlineStr">
        <is>
          <t>O</t>
        </is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 t="n">
        <v>15</v>
      </c>
      <c r="G261" s="170" t="n">
        <v>220220</v>
      </c>
      <c r="H261" s="182" t="n">
        <v>3890</v>
      </c>
      <c r="I261" s="183" t="inlineStr">
        <is>
          <t>O</t>
        </is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 t="n">
        <v>486</v>
      </c>
      <c r="G262" s="170" t="n">
        <v>20608700</v>
      </c>
      <c r="H262" s="182" t="n">
        <v>948440</v>
      </c>
      <c r="I262" s="183" t="inlineStr">
        <is>
          <t>O</t>
        </is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 t="n">
        <v>71</v>
      </c>
      <c r="G263" s="170" t="n">
        <v>780290</v>
      </c>
      <c r="H263" s="182" t="n">
        <v>63690</v>
      </c>
      <c r="I263" s="183" t="inlineStr">
        <is>
          <t>O</t>
        </is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 t="n">
        <v>0</v>
      </c>
      <c r="G264" s="170" t="n">
        <v>0</v>
      </c>
      <c r="H264" s="182" t="n">
        <v>0</v>
      </c>
      <c r="I264" s="183" t="inlineStr"/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 t="n">
        <v>0</v>
      </c>
      <c r="G265" s="170" t="n">
        <v>0</v>
      </c>
      <c r="H265" s="182" t="n">
        <v>0</v>
      </c>
      <c r="I265" s="183" t="inlineStr"/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 t="n">
        <v>201</v>
      </c>
      <c r="G266" s="170" t="n">
        <v>10319700</v>
      </c>
      <c r="H266" s="182" t="n">
        <v>969800</v>
      </c>
      <c r="I266" s="183" t="inlineStr">
        <is>
          <t>O</t>
        </is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 t="n">
        <v>134</v>
      </c>
      <c r="G267" s="170" t="n">
        <v>4153000</v>
      </c>
      <c r="H267" s="182" t="n">
        <v>209040</v>
      </c>
      <c r="I267" s="183" t="inlineStr">
        <is>
          <t>O</t>
        </is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 t="n">
        <v>78</v>
      </c>
      <c r="G268" s="170" t="n">
        <v>3658450</v>
      </c>
      <c r="H268" s="182" t="n">
        <v>412330</v>
      </c>
      <c r="I268" s="183" t="inlineStr">
        <is>
          <t>O</t>
        </is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 t="n">
        <v>67</v>
      </c>
      <c r="G269" s="170" t="n">
        <v>2157400</v>
      </c>
      <c r="H269" s="182" t="n">
        <v>241130</v>
      </c>
      <c r="I269" s="183" t="inlineStr">
        <is>
          <t>O</t>
        </is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 t="n">
        <v>237</v>
      </c>
      <c r="G270" s="170" t="n">
        <v>3710620</v>
      </c>
      <c r="H270" s="182" t="n">
        <v>415736</v>
      </c>
      <c r="I270" s="183" t="inlineStr">
        <is>
          <t>O</t>
        </is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 t="n">
        <v>12</v>
      </c>
      <c r="G271" s="170" t="n">
        <v>293700</v>
      </c>
      <c r="H271" s="182" t="n">
        <v>46240</v>
      </c>
      <c r="I271" s="183" t="inlineStr">
        <is>
          <t>O</t>
        </is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 t="n">
        <v>10177</v>
      </c>
      <c r="G272" s="170" t="n">
        <v>51890900</v>
      </c>
      <c r="H272" s="182" t="n">
        <v>3084209</v>
      </c>
      <c r="I272" s="183" t="inlineStr">
        <is>
          <t>O</t>
        </is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 t="n">
        <v>932</v>
      </c>
      <c r="G273" s="170" t="n">
        <v>12275200</v>
      </c>
      <c r="H273" s="182" t="n">
        <v>1273480</v>
      </c>
      <c r="I273" s="183" t="inlineStr">
        <is>
          <t>O</t>
        </is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 t="n">
        <v>110</v>
      </c>
      <c r="G274" s="170" t="n">
        <v>2747250</v>
      </c>
      <c r="H274" s="182" t="n">
        <v>221190</v>
      </c>
      <c r="I274" s="183" t="inlineStr">
        <is>
          <t>O</t>
        </is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 t="n">
        <v>88</v>
      </c>
      <c r="G275" s="170" t="n">
        <v>899900</v>
      </c>
      <c r="H275" s="182" t="n">
        <v>141620</v>
      </c>
      <c r="I275" s="183" t="inlineStr">
        <is>
          <t>O</t>
        </is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 t="n">
        <v>518</v>
      </c>
      <c r="G276" s="170" t="n">
        <v>15294900</v>
      </c>
      <c r="H276" s="182" t="n">
        <v>1705850</v>
      </c>
      <c r="I276" s="183" t="inlineStr">
        <is>
          <t>O</t>
        </is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 t="n">
        <v>441</v>
      </c>
      <c r="G277" s="170" t="n">
        <v>11600320</v>
      </c>
      <c r="H277" s="182" t="n">
        <v>1121350</v>
      </c>
      <c r="I277" s="183" t="inlineStr">
        <is>
          <t>O</t>
        </is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 t="n">
        <v>0</v>
      </c>
      <c r="G278" s="170" t="n">
        <v>0</v>
      </c>
      <c r="H278" s="182" t="n">
        <v>0</v>
      </c>
      <c r="I278" s="183" t="inlineStr"/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 t="n">
        <v>0</v>
      </c>
      <c r="G279" s="170" t="n">
        <v>0</v>
      </c>
      <c r="H279" s="182" t="n">
        <v>0</v>
      </c>
      <c r="I279" s="183" t="inlineStr"/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 t="n">
        <v>15</v>
      </c>
      <c r="G280" s="170" t="n">
        <v>481000</v>
      </c>
      <c r="H280" s="182" t="n">
        <v>49800</v>
      </c>
      <c r="I280" s="183" t="inlineStr">
        <is>
          <t>O</t>
        </is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 t="n">
        <v>40</v>
      </c>
      <c r="G281" s="170" t="n">
        <v>781000</v>
      </c>
      <c r="H281" s="182" t="n">
        <v>115720</v>
      </c>
      <c r="I281" s="183" t="inlineStr">
        <is>
          <t>O</t>
        </is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 t="n">
        <v>6</v>
      </c>
      <c r="G282" s="170" t="n">
        <v>257000</v>
      </c>
      <c r="H282" s="182" t="n">
        <v>19000</v>
      </c>
      <c r="I282" s="183" t="inlineStr">
        <is>
          <t>O</t>
        </is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 t="n">
        <v>4</v>
      </c>
      <c r="G283" s="170" t="n">
        <v>174000</v>
      </c>
      <c r="H283" s="182" t="n">
        <v>8800</v>
      </c>
      <c r="I283" s="183" t="inlineStr">
        <is>
          <t>O</t>
        </is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 t="n">
        <v>303</v>
      </c>
      <c r="G284" s="170" t="n">
        <v>7634410</v>
      </c>
      <c r="H284" s="182" t="n">
        <v>714800</v>
      </c>
      <c r="I284" s="183" t="inlineStr">
        <is>
          <t>O</t>
        </is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 t="n">
        <v>0</v>
      </c>
      <c r="G285" s="170" t="n">
        <v>0</v>
      </c>
      <c r="H285" s="182" t="n">
        <v>0</v>
      </c>
      <c r="I285" s="183" t="inlineStr"/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 t="n">
        <v>0</v>
      </c>
      <c r="G286" s="170" t="n">
        <v>0</v>
      </c>
      <c r="H286" s="182" t="n">
        <v>0</v>
      </c>
      <c r="I286" s="183" t="inlineStr"/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 t="n">
        <v>2</v>
      </c>
      <c r="G287" s="170" t="n">
        <v>61900</v>
      </c>
      <c r="H287" s="182" t="n">
        <v>5380</v>
      </c>
      <c r="I287" s="183" t="inlineStr">
        <is>
          <t>O</t>
        </is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 t="n">
        <v>280907</v>
      </c>
      <c r="G1" s="179" t="n">
        <v>1453132570</v>
      </c>
      <c r="H1" s="179" t="n">
        <v>44341569</v>
      </c>
      <c r="I1" s="180" t="n">
        <v>35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 t="n">
        <v>27317</v>
      </c>
      <c r="G3" s="170" t="n">
        <v>172019750</v>
      </c>
      <c r="H3" s="182" t="n">
        <v>2012484</v>
      </c>
      <c r="I3" s="183" t="inlineStr">
        <is>
          <t>O</t>
        </is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 t="n">
        <v>423</v>
      </c>
      <c r="G4" s="170" t="n">
        <v>15579700</v>
      </c>
      <c r="H4" s="182" t="n">
        <v>1852660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 t="n">
        <v>1</v>
      </c>
      <c r="G5" s="170" t="n">
        <v>14400</v>
      </c>
      <c r="H5" s="182" t="n">
        <v>2880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 t="n">
        <v>44</v>
      </c>
      <c r="G7" s="170" t="n">
        <v>1787000</v>
      </c>
      <c r="H7" s="182" t="n">
        <v>155200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 t="n">
        <v>40</v>
      </c>
      <c r="G9" s="170" t="n">
        <v>1322500</v>
      </c>
      <c r="H9" s="182" t="n">
        <v>207680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 t="n">
        <v>8</v>
      </c>
      <c r="G10" s="170" t="n">
        <v>168650</v>
      </c>
      <c r="H10" s="182" t="n">
        <v>24730</v>
      </c>
      <c r="I10" s="183" t="inlineStr">
        <is>
          <t>O</t>
        </is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 t="n">
        <v>68</v>
      </c>
      <c r="G11" s="170" t="n">
        <v>1101800</v>
      </c>
      <c r="H11" s="182" t="n">
        <v>115480</v>
      </c>
      <c r="I11" s="183" t="inlineStr">
        <is>
          <t>O</t>
        </is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 t="n">
        <v>287</v>
      </c>
      <c r="G12" s="170" t="n">
        <v>9430500</v>
      </c>
      <c r="H12" s="182" t="n">
        <v>1015420</v>
      </c>
      <c r="I12" s="183" t="inlineStr">
        <is>
          <t>O</t>
        </is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 t="n">
        <v>0</v>
      </c>
      <c r="G13" s="170" t="n">
        <v>0</v>
      </c>
      <c r="H13" s="182" t="n">
        <v>0</v>
      </c>
      <c r="I13" s="183" t="inlineStr"/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 t="n">
        <v>0</v>
      </c>
      <c r="G14" s="170" t="n">
        <v>0</v>
      </c>
      <c r="H14" s="182" t="n">
        <v>0</v>
      </c>
      <c r="I14" s="183" t="inlineStr"/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 t="n">
        <v>0</v>
      </c>
      <c r="G15" s="170" t="n">
        <v>0</v>
      </c>
      <c r="H15" s="182" t="n">
        <v>0</v>
      </c>
      <c r="I15" s="183" t="inlineStr"/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 t="n">
        <v>21696</v>
      </c>
      <c r="G16" s="170" t="n">
        <v>45354130</v>
      </c>
      <c r="H16" s="182" t="n">
        <v>2157497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 t="n">
        <v>547</v>
      </c>
      <c r="G17" s="170" t="n">
        <v>14845800</v>
      </c>
      <c r="H17" s="182" t="n">
        <v>1669930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 t="n">
        <v>258</v>
      </c>
      <c r="G19" s="170" t="n">
        <v>5728190</v>
      </c>
      <c r="H19" s="182" t="n">
        <v>669670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 t="n">
        <v>4513</v>
      </c>
      <c r="G20" s="170" t="n">
        <v>81437410</v>
      </c>
      <c r="H20" s="182" t="n">
        <v>4726320</v>
      </c>
      <c r="I20" s="183" t="inlineStr">
        <is>
          <t>O</t>
        </is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 t="n">
        <v>0</v>
      </c>
      <c r="G21" s="170" t="n">
        <v>0</v>
      </c>
      <c r="H21" s="182" t="n">
        <v>0</v>
      </c>
      <c r="I21" s="183" t="inlineStr"/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 t="n">
        <v>4106</v>
      </c>
      <c r="G22" s="170" t="n">
        <v>44964220</v>
      </c>
      <c r="H22" s="182" t="n">
        <v>1981384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 t="n">
        <v>1567</v>
      </c>
      <c r="G23" s="170" t="n">
        <v>7314600</v>
      </c>
      <c r="H23" s="182" t="n">
        <v>353700</v>
      </c>
      <c r="I23" s="183" t="inlineStr">
        <is>
          <t>O</t>
        </is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 t="n">
        <v>283</v>
      </c>
      <c r="G24" s="170" t="n">
        <v>5837350</v>
      </c>
      <c r="H24" s="182" t="n">
        <v>609310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 t="n">
        <v>3243</v>
      </c>
      <c r="G25" s="170" t="n">
        <v>7528400</v>
      </c>
      <c r="H25" s="182" t="n">
        <v>612556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 t="n">
        <v>14326</v>
      </c>
      <c r="G26" s="170" t="n">
        <v>41928380</v>
      </c>
      <c r="H26" s="182" t="n">
        <v>2130483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 t="n">
        <v>82</v>
      </c>
      <c r="G27" s="170" t="n">
        <v>4760000</v>
      </c>
      <c r="H27" s="182" t="n">
        <v>720000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 t="n">
        <v>0</v>
      </c>
      <c r="G28" s="170" t="n">
        <v>0</v>
      </c>
      <c r="H28" s="182" t="n">
        <v>0</v>
      </c>
      <c r="I28" s="183" t="inlineStr"/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 t="n">
        <v>520</v>
      </c>
      <c r="G29" s="170" t="n">
        <v>13123000</v>
      </c>
      <c r="H29" s="182" t="n">
        <v>1043580</v>
      </c>
      <c r="I29" s="183" t="inlineStr">
        <is>
          <t>O</t>
        </is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 t="n">
        <v>0</v>
      </c>
      <c r="G30" s="170" t="n">
        <v>0</v>
      </c>
      <c r="H30" s="182" t="n">
        <v>0</v>
      </c>
      <c r="I30" s="183" t="inlineStr"/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 t="n">
        <v>13</v>
      </c>
      <c r="G31" s="170" t="n">
        <v>249500</v>
      </c>
      <c r="H31" s="182" t="n">
        <v>36600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 t="n">
        <v>37</v>
      </c>
      <c r="G32" s="170" t="n">
        <v>555000</v>
      </c>
      <c r="H32" s="182" t="n">
        <v>103000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 t="n">
        <v>0</v>
      </c>
      <c r="G33" s="170" t="n">
        <v>0</v>
      </c>
      <c r="H33" s="182" t="n">
        <v>0</v>
      </c>
      <c r="I33" s="183" t="inlineStr"/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 t="n">
        <v>162090</v>
      </c>
      <c r="G34" s="170" t="n">
        <v>121036230</v>
      </c>
      <c r="H34" s="182" t="n">
        <v>2211447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 t="n">
        <v>0</v>
      </c>
      <c r="G35" s="170" t="n">
        <v>0</v>
      </c>
      <c r="H35" s="182" t="n">
        <v>0</v>
      </c>
      <c r="I35" s="183" t="inlineStr"/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 t="n">
        <v>8</v>
      </c>
      <c r="G36" s="170" t="n">
        <v>218000</v>
      </c>
      <c r="H36" s="182" t="n">
        <v>43600</v>
      </c>
      <c r="I36" s="183" t="inlineStr">
        <is>
          <t>O</t>
        </is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 t="n">
        <v>0</v>
      </c>
      <c r="G37" s="170" t="n">
        <v>0</v>
      </c>
      <c r="H37" s="182" t="n">
        <v>0</v>
      </c>
      <c r="I37" s="183" t="inlineStr"/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 t="n">
        <v>0</v>
      </c>
      <c r="G38" s="170" t="n">
        <v>0</v>
      </c>
      <c r="H38" s="182" t="n">
        <v>0</v>
      </c>
      <c r="I38" s="183" t="inlineStr"/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 t="n">
        <v>26055</v>
      </c>
      <c r="G39" s="170" t="n">
        <v>681718500</v>
      </c>
      <c r="H39" s="182" t="n">
        <v>2748795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 t="n">
        <v>544</v>
      </c>
      <c r="G40" s="170" t="n">
        <v>13688860</v>
      </c>
      <c r="H40" s="182" t="n">
        <v>1457959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 t="n">
        <v>174</v>
      </c>
      <c r="G41" s="170" t="n">
        <v>4674000</v>
      </c>
      <c r="H41" s="182" t="n">
        <v>575800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 t="n">
        <v>2047</v>
      </c>
      <c r="G43" s="170" t="n">
        <v>63191000</v>
      </c>
      <c r="H43" s="182" t="n">
        <v>7617120</v>
      </c>
      <c r="I43" s="183" t="inlineStr">
        <is>
          <t>O</t>
        </is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 t="n">
        <v>59</v>
      </c>
      <c r="G44" s="170" t="n">
        <v>2502300</v>
      </c>
      <c r="H44" s="182" t="n">
        <v>253260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 t="n">
        <v>0</v>
      </c>
      <c r="G45" s="170" t="n">
        <v>0</v>
      </c>
      <c r="H45" s="182" t="n">
        <v>0</v>
      </c>
      <c r="I45" s="183" t="inlineStr"/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 t="n">
        <v>0</v>
      </c>
      <c r="G46" s="170" t="n">
        <v>0</v>
      </c>
      <c r="H46" s="182" t="n">
        <v>0</v>
      </c>
      <c r="I46" s="183" t="inlineStr"/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 t="n">
        <v>2172</v>
      </c>
      <c r="G47" s="170" t="n">
        <v>16996050</v>
      </c>
      <c r="H47" s="182" t="n">
        <v>1827293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 t="n">
        <v>892</v>
      </c>
      <c r="G48" s="170" t="n">
        <v>30263600</v>
      </c>
      <c r="H48" s="182" t="n">
        <v>2593180</v>
      </c>
      <c r="I48" s="183" t="inlineStr">
        <is>
          <t>O</t>
        </is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 t="n">
        <v>8</v>
      </c>
      <c r="G49" s="170" t="n">
        <v>347000</v>
      </c>
      <c r="H49" s="182" t="n">
        <v>26000</v>
      </c>
      <c r="I49" s="183" t="inlineStr">
        <is>
          <t>O</t>
        </is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 t="n">
        <v>0</v>
      </c>
      <c r="G50" s="170" t="n">
        <v>0</v>
      </c>
      <c r="H50" s="182" t="n">
        <v>0</v>
      </c>
      <c r="I50" s="183" t="inlineStr"/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 t="n">
        <v>206</v>
      </c>
      <c r="G51" s="170" t="n">
        <v>4424250</v>
      </c>
      <c r="H51" s="182" t="n">
        <v>703630</v>
      </c>
      <c r="I51" s="183" t="inlineStr">
        <is>
          <t>O</t>
        </is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 t="n">
        <v>0</v>
      </c>
      <c r="G52" s="170" t="n">
        <v>0</v>
      </c>
      <c r="H52" s="182" t="n">
        <v>0</v>
      </c>
      <c r="I52" s="183" t="inlineStr"/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 t="n">
        <v>6722</v>
      </c>
      <c r="G53" s="170" t="n">
        <v>25131030</v>
      </c>
      <c r="H53" s="182" t="n">
        <v>2082921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 t="n">
        <v>544</v>
      </c>
      <c r="G54" s="170" t="n">
        <v>13693470</v>
      </c>
      <c r="H54" s="182" t="n">
        <v>0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 t="n">
        <v>7</v>
      </c>
      <c r="G55" s="170" t="n">
        <v>198000</v>
      </c>
      <c r="H55" s="182" t="n">
        <v>0</v>
      </c>
      <c r="I55" s="183" t="inlineStr">
        <is>
          <t>O</t>
        </is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 t="n">
        <v>0</v>
      </c>
      <c r="G56" s="170" t="n">
        <v>0</v>
      </c>
      <c r="H56" s="182" t="n">
        <v>0</v>
      </c>
      <c r="I56" s="183" t="inlineStr"/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정상 반영 완료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가공식품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기존 '농산물' 오등록 건이었으나 최신 구글 시트 원천 로우데이터 상에 '가공식품' 정상 품목분류로 수정 반영 완료됨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정상 반영 완료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농산물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기존 '가공식품' 오등록 건이었으나 최신 구글 시트 원천 로우데이터 상에 '농산물' 정상 품목분류로 수정 반영 완료됨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정상 반영 완료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농산물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기존 '가공식품' 오등록 건이었으나 최신 구글 시트 원천 로우데이터 상에 '농산물' 정상 품목분류로 수정 반영 완료됨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정상 반영 완료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농산물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기존 '가공식품' 오등록 건이었으나 최신 구글 시트 원천 로우데이터 상에 '농산물' 정상 품목분류로 수정 반영 완료됨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정상 반영 완료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농산물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기존 '가공식품' 오등록 건이었으나 최신 구글 시트 원천 로우데이터 상에 '농산물' 정상 품목분류로 수정 반영 완료됨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정상 반영 완료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농산물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기존 '가공식품' 오등록 건이었으나 최신 구글 시트 원천 로우데이터 상에 '농산물' 정상 품목분류로 수정 반영 완료됨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정상 반영 완료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농산물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기존 '가공식품' 오등록 건이었으나 최신 구글 시트 원천 로우데이터 상에 '농산물' 정상 품목분류로 수정 반영 완료됨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정상 반영 완료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농산물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기존 '가공식품' 오등록 건이었으나 최신 구글 시트 원천 로우데이터 상에 '농산물' 정상 품목분류로 수정 반영 완료됨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정상 반영 완료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농산물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기존 '가공식품' 오등록 건이었으나 최신 구글 시트 원천 로우데이터 상에 '농산물' 정상 품목분류로 수정 반영 완료됨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정상 반영 완료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농산물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기존 '가공식품' 오등록 건이었으나 최신 구글 시트 원천 로우데이터 상에 '농산물' 정상 품목분류로 수정 반영 완료됨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정상 반영 완료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농산물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기존 '가공식품' 오등록 건이었으나 최신 구글 시트 원천 로우데이터 상에 '농산물' 정상 품목분류로 수정 반영 완료됨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정상 반영 완료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농산물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기존 '가공식품' 오등록 건이었으나 최신 구글 시트 원천 로우데이터 상에 '농산물' 정상 품목분류로 수정 반영 완료됨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정상 반영 완료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농산물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기존 '가공식품' 오등록 건이었으나 최신 구글 시트 원천 로우데이터 상에 '농산물' 정상 품목분류로 수정 반영 완료됨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정상 반영 완료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농산물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기존 '가공식품' 오등록 건이었으나 최신 구글 시트 원천 로우데이터 상에 '농산물' 정상 품목분류로 수정 반영 완료됨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정상 반영 완료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농산물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기존 '가공식품' 오등록 건이었으나 최신 구글 시트 원천 로우데이터 상에 '농산물' 정상 품목분류로 수정 반영 완료됨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정상 반영 완료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농산물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기존 '가공식품' 오등록 건이었으나 최신 구글 시트 원천 로우데이터 상에 '농산물' 정상 품목분류로 수정 반영 완료됨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정상 반영 완료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농산물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기존 '가공식품' 오등록 건이었으나 최신 구글 시트 원천 로우데이터 상에 '농산물' 정상 품목분류로 수정 반영 완료됨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정상 반영 완료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농산물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기존 '가공식품' 오등록 건이었으나 최신 구글 시트 원천 로우데이터 상에 '농산물' 정상 품목분류로 수정 반영 완료됨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2026-09-16T00:42:15Z</dcterms:modified>
  <cp:lastModifiedBy>user</cp:lastModifiedBy>
  <cp:lastPrinted>2021-12-09T01:05:36Z</cp:lastPrinted>
</cp:coreProperties>
</file>