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3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11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38" t="inlineStr">
        <is>
          <t>상품수</t>
        </is>
      </c>
      <c r="C8" s="41">
        <f>D8+K8</f>
        <v/>
      </c>
      <c r="D8" s="42">
        <f>SUM(E8:J8)</f>
        <v/>
      </c>
      <c r="E8" s="43">
        <f>COUNTIF(①농산물raw!$A$6:$A$1454,E$5)</f>
        <v/>
      </c>
      <c r="F8" s="43">
        <f>COUNTIF(①농산물raw!$A$6:$A$1454,F$5)</f>
        <v/>
      </c>
      <c r="G8" s="43">
        <f>COUNTIF(①농산물raw!$A$6:$A$1454,G$5)</f>
        <v/>
      </c>
      <c r="H8" s="43">
        <f>COUNTIF(①농산물raw!$A$6:$A$1454,H$5)</f>
        <v/>
      </c>
      <c r="I8" s="43">
        <f>COUNTIF(①농산물raw!$A$6:$A$1454,I$5)</f>
        <v/>
      </c>
      <c r="J8" s="43">
        <f>COUNTIF(①농산물raw!$A$6:$A$1454,J$5)</f>
        <v/>
      </c>
      <c r="K8" s="44">
        <f>SUM(L8:M8)</f>
        <v/>
      </c>
      <c r="L8" s="43">
        <f>COUNTIF(②유기농raw!$A$6:$A$207,L$5)</f>
        <v/>
      </c>
      <c r="M8" s="43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B108:B110"/>
    <mergeCell ref="C16:C17"/>
    <mergeCell ref="B42:B43"/>
    <mergeCell ref="B77:C77"/>
    <mergeCell ref="D26:J26"/>
    <mergeCell ref="B61:C61"/>
    <mergeCell ref="B69:C69"/>
    <mergeCell ref="K34:M34"/>
    <mergeCell ref="K16:M16"/>
    <mergeCell ref="D11:J11"/>
    <mergeCell ref="B54:B55"/>
    <mergeCell ref="B167:B169"/>
    <mergeCell ref="B64:C64"/>
    <mergeCell ref="B56:B57"/>
    <mergeCell ref="B98:B100"/>
    <mergeCell ref="B63:C63"/>
    <mergeCell ref="B26:B27"/>
    <mergeCell ref="K11:M11"/>
    <mergeCell ref="B88:B90"/>
    <mergeCell ref="B129:C129"/>
    <mergeCell ref="B138:C138"/>
    <mergeCell ref="C4:C5"/>
    <mergeCell ref="B177:B179"/>
    <mergeCell ref="B11:B12"/>
    <mergeCell ref="B131:C131"/>
    <mergeCell ref="B164:B166"/>
    <mergeCell ref="B140:C140"/>
    <mergeCell ref="B154:B156"/>
    <mergeCell ref="B130:C130"/>
    <mergeCell ref="B85:B87"/>
    <mergeCell ref="B132:C132"/>
    <mergeCell ref="B53:C53"/>
    <mergeCell ref="B180:B182"/>
    <mergeCell ref="K4:M4"/>
    <mergeCell ref="B111:B113"/>
    <mergeCell ref="B151:B153"/>
    <mergeCell ref="C34:C35"/>
    <mergeCell ref="B16:B17"/>
    <mergeCell ref="B144:C144"/>
    <mergeCell ref="C42:C43"/>
    <mergeCell ref="B134:C134"/>
    <mergeCell ref="B81:C81"/>
    <mergeCell ref="B122:C122"/>
    <mergeCell ref="B71:C71"/>
    <mergeCell ref="B176:C176"/>
    <mergeCell ref="C21:C22"/>
    <mergeCell ref="B107:C107"/>
    <mergeCell ref="B60:C60"/>
    <mergeCell ref="B34:B35"/>
    <mergeCell ref="D21:J21"/>
    <mergeCell ref="B146:C146"/>
    <mergeCell ref="B101:B103"/>
    <mergeCell ref="B143:C143"/>
    <mergeCell ref="B4:B5"/>
    <mergeCell ref="B157:B159"/>
    <mergeCell ref="B133:C133"/>
    <mergeCell ref="B76:C76"/>
    <mergeCell ref="K21:M21"/>
    <mergeCell ref="D16:J16"/>
    <mergeCell ref="B94:C94"/>
    <mergeCell ref="K26:M26"/>
    <mergeCell ref="B125:B126"/>
    <mergeCell ref="B21:B22"/>
    <mergeCell ref="B75:C75"/>
    <mergeCell ref="B62:C62"/>
    <mergeCell ref="B150:C150"/>
    <mergeCell ref="B183:B185"/>
    <mergeCell ref="D42:J42"/>
    <mergeCell ref="C26:C27"/>
    <mergeCell ref="B114:B116"/>
    <mergeCell ref="B70:C70"/>
    <mergeCell ref="K42:M42"/>
    <mergeCell ref="B95:B97"/>
    <mergeCell ref="B145:C145"/>
    <mergeCell ref="D34:J34"/>
    <mergeCell ref="C11:C12"/>
    <mergeCell ref="B137:C137"/>
    <mergeCell ref="B170:B172"/>
    <mergeCell ref="B123:B124"/>
    <mergeCell ref="B65:C65"/>
    <mergeCell ref="B74:C74"/>
    <mergeCell ref="B68:C68"/>
    <mergeCell ref="B139:C139"/>
    <mergeCell ref="B82:B84"/>
    <mergeCell ref="B163:C16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SUM(F3:F287)</f>
        <v/>
      </c>
      <c r="G1" s="179">
        <f>SUM(G3:G287)</f>
        <v/>
      </c>
      <c r="H1" s="179">
        <f>SUM(H3:H287)</f>
        <v/>
      </c>
      <c r="I1" s="180">
        <f>COUNTIF(I3:I287,"O")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IF(H58&gt;0,"O","")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IF(H59&gt;0,"O","")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IF(H60&gt;0,"O","")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IF(H61&gt;0,"O","")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IF(H62&gt;0,"O","")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IF(H63&gt;0,"O","")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IF(H64&gt;0,"O","")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IF(H65&gt;0,"O","")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IF(H66&gt;0,"O","")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IF(H67&gt;0,"O","")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IF(H68&gt;0,"O","")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IF(H69&gt;0,"O","")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IF(H70&gt;0,"O","")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IF(H71&gt;0,"O","")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IF(H72&gt;0,"O","")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IF(H73&gt;0,"O","")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IF(H74&gt;0,"O","")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IF(H75&gt;0,"O","")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IF(H76&gt;0,"O","")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IF(H77&gt;0,"O","")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IF(H78&gt;0,"O","")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IF(H79&gt;0,"O","")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IF(H80&gt;0,"O","")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IF(H81&gt;0,"O","")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IF(H82&gt;0,"O","")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IF(H83&gt;0,"O","")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IF(H84&gt;0,"O","")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IF(H85&gt;0,"O","")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IF(H86&gt;0,"O","")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IF(H87&gt;0,"O","")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IF(H88&gt;0,"O","")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IF(H89&gt;0,"O","")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IF(H90&gt;0,"O","")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IF(H91&gt;0,"O","")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IF(H92&gt;0,"O","")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IF(H93&gt;0,"O","")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IF(H94&gt;0,"O","")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IF(H95&gt;0,"O","")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IF(H96&gt;0,"O","")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IF(H97&gt;0,"O","")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IF(H98&gt;0,"O","")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IF(H99&gt;0,"O","")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IF(H100&gt;0,"O","")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IF(H101&gt;0,"O","")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IF(H102&gt;0,"O","")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IF(H103&gt;0,"O","")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IF(H104&gt;0,"O","")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IF(H105&gt;0,"O","")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IF(H106&gt;0,"O","")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IF(H107&gt;0,"O","")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IF(H108&gt;0,"O","")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IF(H109&gt;0,"O","")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IF(H110&gt;0,"O","")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IF(H111&gt;0,"O","")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IF(H112&gt;0,"O","")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IF(H113&gt;0,"O","")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IF(H114&gt;0,"O","")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IF(H115&gt;0,"O","")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IF(H116&gt;0,"O","")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IF(H117&gt;0,"O","")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IF(H118&gt;0,"O","")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IF(H119&gt;0,"O","")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IF(H120&gt;0,"O","")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IF(H121&gt;0,"O","")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IF(H122&gt;0,"O","")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IF(H123&gt;0,"O","")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IF(H124&gt;0,"O","")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IF(H125&gt;0,"O","")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IF(H126&gt;0,"O","")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IF(H127&gt;0,"O","")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IF(H128&gt;0,"O","")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IF(H129&gt;0,"O","")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IF(H130&gt;0,"O","")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IF(H131&gt;0,"O","")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IF(H132&gt;0,"O","")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IF(H133&gt;0,"O","")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IF(H134&gt;0,"O","")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IF(H135&gt;0,"O","")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IF(H136&gt;0,"O","")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IF(H137&gt;0,"O","")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IF(H138&gt;0,"O","")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IF(H139&gt;0,"O","")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IF(H140&gt;0,"O","")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IF(H141&gt;0,"O","")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IF(H142&gt;0,"O","")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IF(H143&gt;0,"O","")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IF(H144&gt;0,"O","")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IF(H145&gt;0,"O","")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IF(H146&gt;0,"O","")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IF(H147&gt;0,"O","")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IF(H148&gt;0,"O","")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IF(H149&gt;0,"O","")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IF(H150&gt;0,"O","")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IF(H151&gt;0,"O","")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IF(H152&gt;0,"O","")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IF(H153&gt;0,"O","")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IF(H154&gt;0,"O","")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IF(H155&gt;0,"O","")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IF(H156&gt;0,"O","")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IF(H157&gt;0,"O","")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IF(H158&gt;0,"O","")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IF(H159&gt;0,"O","")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IF(H160&gt;0,"O","")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IF(H161&gt;0,"O","")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IF(H162&gt;0,"O","")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IF(H163&gt;0,"O","")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IF(H164&gt;0,"O","")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IF(H165&gt;0,"O","")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IF(H166&gt;0,"O","")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IF(H167&gt;0,"O","")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IF(H168&gt;0,"O","")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IF(H169&gt;0,"O","")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IF(H170&gt;0,"O","")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IF(H171&gt;0,"O","")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IF(H172&gt;0,"O","")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IF(H173&gt;0,"O","")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IF(H174&gt;0,"O","")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IF(H175&gt;0,"O","")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IF(H176&gt;0,"O","")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IF(H177&gt;0,"O","")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IF(H178&gt;0,"O","")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IF(H179&gt;0,"O","")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IF(H180&gt;0,"O","")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IF(H181&gt;0,"O","")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IF(H182&gt;0,"O","")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IF(H183&gt;0,"O","")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IF(H184&gt;0,"O","")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IF(H185&gt;0,"O","")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IF(H186&gt;0,"O","")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IF(H187&gt;0,"O","")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IF(H188&gt;0,"O","")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IF(H189&gt;0,"O","")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IF(H190&gt;0,"O","")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IF(H191&gt;0,"O","")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IF(H192&gt;0,"O","")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IF(H193&gt;0,"O","")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IF(H194&gt;0,"O","")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IF(H195&gt;0,"O","")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IF(H196&gt;0,"O","")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IF(H197&gt;0,"O","")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IF(H198&gt;0,"O","")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IF(H199&gt;0,"O","")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IF(H200&gt;0,"O","")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IF(H201&gt;0,"O","")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IF(H202&gt;0,"O","")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IF(H203&gt;0,"O","")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IF(H204&gt;0,"O","")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IF(H205&gt;0,"O","")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IF(H206&gt;0,"O","")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IF(H207&gt;0,"O","")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IF(H208&gt;0,"O","")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IF(H209&gt;0,"O","")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IF(H210&gt;0,"O","")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IF(H211&gt;0,"O","")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IF(H212&gt;0,"O","")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IF(H213&gt;0,"O","")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IF(H214&gt;0,"O","")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IF(H215&gt;0,"O","")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IF(H216&gt;0,"O","")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IF(H217&gt;0,"O","")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IF(H218&gt;0,"O","")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IF(H219&gt;0,"O","")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IF(H220&gt;0,"O","")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IF(H221&gt;0,"O","")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IF(H222&gt;0,"O","")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IF(H223&gt;0,"O","")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IF(H224&gt;0,"O","")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IF(H225&gt;0,"O","")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IF(H226&gt;0,"O","")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IF(H227&gt;0,"O","")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IF(H228&gt;0,"O","")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IF(H229&gt;0,"O","")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IF(H230&gt;0,"O","")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IF(H231&gt;0,"O","")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IF(H232&gt;0,"O","")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IF(H233&gt;0,"O","")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IF(H234&gt;0,"O","")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IF(H235&gt;0,"O","")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IF(H236&gt;0,"O","")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IF(H237&gt;0,"O","")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IF(H238&gt;0,"O","")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IF(H239&gt;0,"O","")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IF(H240&gt;0,"O","")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IF(H241&gt;0,"O","")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IF(H242&gt;0,"O","")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IF(H243&gt;0,"O","")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IF(H244&gt;0,"O","")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IF(H245&gt;0,"O","")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IF(H246&gt;0,"O","")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IF(H247&gt;0,"O","")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IF(H248&gt;0,"O","")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IF(H249&gt;0,"O","")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IF(H250&gt;0,"O","")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IF(H251&gt;0,"O","")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IF(H252&gt;0,"O","")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IF(H253&gt;0,"O","")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IF(H254&gt;0,"O","")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IF(H255&gt;0,"O","")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IF(H256&gt;0,"O","")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IF(H257&gt;0,"O","")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IF(H258&gt;0,"O","")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IF(H259&gt;0,"O","")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IF(H260&gt;0,"O","")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IF(H261&gt;0,"O","")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IF(H262&gt;0,"O","")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IF(H263&gt;0,"O","")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IF(H264&gt;0,"O","")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IF(H265&gt;0,"O","")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IF(H266&gt;0,"O","")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IF(H267&gt;0,"O","")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IF(H268&gt;0,"O","")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IF(H269&gt;0,"O","")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IF(H270&gt;0,"O","")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IF(H271&gt;0,"O","")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IF(H272&gt;0,"O","")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IF(H273&gt;0,"O","")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IF(H274&gt;0,"O","")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IF(H275&gt;0,"O","")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IF(H276&gt;0,"O","")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IF(H277&gt;0,"O","")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IF(H278&gt;0,"O","")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IF(H279&gt;0,"O","")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IF(H280&gt;0,"O","")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IF(H281&gt;0,"O","")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IF(H282&gt;0,"O","")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IF(H283&gt;0,"O","")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IF(H284&gt;0,"O","")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IF(H285&gt;0,"O","")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IF(H286&gt;0,"O","")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IF(H287&gt;0,"O","")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SUM(F3:F57)</f>
        <v/>
      </c>
      <c r="G1" s="179">
        <f>SUM(G3:G57)</f>
        <v/>
      </c>
      <c r="H1" s="179">
        <f>SUM(H3:H57)</f>
        <v/>
      </c>
      <c r="I1" s="180">
        <f>COUNTIF(I3:I57,"O")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2026-09-11T10:09:57Z</dcterms:modified>
  <cp:lastModifiedBy>user</cp:lastModifiedBy>
  <cp:lastPrinted>2021-12-09T01:05:36Z</cp:lastPrinted>
</cp:coreProperties>
</file>