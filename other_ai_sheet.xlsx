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법" sheetId="1" r:id="rId5"/>
    <sheet state="visible" name="분석" sheetId="2" r:id="rId6"/>
    <sheet state="visible" name="농산물업체" sheetId="3" r:id="rId7"/>
    <sheet state="visible" name="유기농업체" sheetId="4" r:id="rId8"/>
    <sheet state="visible" name="쿠폰소진" sheetId="5" r:id="rId9"/>
    <sheet state="visible" name="검증" sheetId="6" r:id="rId10"/>
    <sheet state="visible" name="설정" sheetId="7" r:id="rId11"/>
    <sheet state="visible" name="RAW_농산물_7월" sheetId="8" r:id="rId12"/>
    <sheet state="visible" name="RAW_농산물_8월" sheetId="9" r:id="rId13"/>
    <sheet state="visible" name="RAW_농산물_9월" sheetId="10" r:id="rId14"/>
    <sheet state="visible" name="RAW_농산물_10월" sheetId="11" r:id="rId15"/>
    <sheet state="visible" name="RAW_농산물_11-12월" sheetId="12" r:id="rId16"/>
    <sheet state="visible" name="RAW_유기농_7월" sheetId="13" r:id="rId17"/>
    <sheet state="visible" name="RAW_유기농_8월" sheetId="14" r:id="rId18"/>
    <sheet state="visible" name="RAW_유기농_9월" sheetId="15" r:id="rId19"/>
    <sheet state="visible" name="RAW_유기농_10월" sheetId="16" r:id="rId20"/>
    <sheet state="visible" name="RAW_유기농_11-12월" sheetId="17" r:id="rId21"/>
  </sheets>
  <definedNames>
    <definedName hidden="1" localSheetId="7" name="_xlnm._FilterDatabase">'RAW_농산물_7월'!$A$1:$Z$1131</definedName>
    <definedName hidden="1" localSheetId="8" name="_xlnm._FilterDatabase">'RAW_농산물_8월'!$A$1:$S$1450</definedName>
    <definedName hidden="1" localSheetId="9" name="_xlnm._FilterDatabase">'RAW_농산물_9월'!$A$1:$H$1</definedName>
    <definedName hidden="1" localSheetId="10" name="_xlnm._FilterDatabase">'RAW_농산물_10월'!$A$1:$H$1</definedName>
    <definedName hidden="1" localSheetId="11" name="_xlnm._FilterDatabase">'RAW_농산물_11-12월'!$A$1:$H$1</definedName>
    <definedName hidden="1" localSheetId="14" name="_xlnm._FilterDatabase">'RAW_유기농_9월'!$A$1:$H$1</definedName>
    <definedName hidden="1" localSheetId="15" name="_xlnm._FilterDatabase">'RAW_유기농_10월'!$A$1:$H$1</definedName>
    <definedName hidden="1" localSheetId="16" name="_xlnm._FilterDatabase">'RAW_유기농_11-12월'!$A$1:$H$1</definedName>
  </definedNames>
  <calcPr/>
</workbook>
</file>

<file path=xl/sharedStrings.xml><?xml version="1.0" encoding="utf-8"?>
<sst xmlns="http://schemas.openxmlformats.org/spreadsheetml/2006/main" count="18596" uniqueCount="3058">
  <si>
    <t>📖 사용법 — 이 순서대로만 하시면 됩니다</t>
  </si>
  <si>
    <t>※ 전체 기획전 결과</t>
  </si>
  <si>
    <t>합 계 →</t>
  </si>
  <si>
    <t>aT 농산물 온라인 마케터 월별 실적 자동집계 시트 · 2026</t>
  </si>
  <si>
    <t>NO</t>
  </si>
  <si>
    <t>구분</t>
  </si>
  <si>
    <t>사업자등록번호</t>
  </si>
  <si>
    <t>업체명</t>
  </si>
  <si>
    <t>배정유통사</t>
  </si>
  <si>
    <t>판매건수
(누적)</t>
  </si>
  <si>
    <t>매출액
(누적)</t>
  </si>
  <si>
    <t>판촉액
(누적)</t>
  </si>
  <si>
    <t>7월
인입</t>
  </si>
  <si>
    <t>8월
인입</t>
  </si>
  <si>
    <t>9월
인입</t>
  </si>
  <si>
    <t>10월
인입</t>
  </si>
  <si>
    <t>11~12월
인입</t>
  </si>
  <si>
    <t>7월
판촉액</t>
  </si>
  <si>
    <t>8월
판촉액</t>
  </si>
  <si>
    <t>9월
판촉액</t>
  </si>
  <si>
    <t>10월
판촉액</t>
  </si>
  <si>
    <t>11~12월
판촉액</t>
  </si>
  <si>
    <t>상품제출</t>
  </si>
  <si>
    <t>소진구간</t>
  </si>
  <si>
    <t>_커버줄수</t>
  </si>
  <si>
    <t>도약</t>
  </si>
  <si>
    <t>511-87-00286</t>
  </si>
  <si>
    <t>농업회사법인 영주마실(주)</t>
  </si>
  <si>
    <t>롯데ON</t>
  </si>
  <si>
    <t>218-86-00721</t>
  </si>
  <si>
    <t>주식회사 아인스</t>
  </si>
  <si>
    <t>오아시스</t>
  </si>
  <si>
    <t>보고 기준월</t>
  </si>
  <si>
    <t>STEP 0.  사전 준비 — 처음 한 번만</t>
  </si>
  <si>
    <t>0-1.  업체 명단을 먼저 다 등록하세요</t>
  </si>
  <si>
    <t>[농산물업체] · [유기농업체] 시트에 아래 5개 열만 입력합니다. 나머지 열은 전부 자동으로 채워집니다.</t>
  </si>
  <si>
    <t xml:space="preserve">   •  A 열 NO  ·  B 열 구분(시작/성장/도약)  ·  C 열 사업자등록번호  ·  D 열 업체명  ·  E 열 배정유통사</t>
  </si>
  <si>
    <t>⚠️  유통사명은 반드시 「롯데ON」으로 쓰세요 (「롯데온」 ✗). 유통사가 보내주는 RAW 표기에 맞춘 겁니다. B열·E열은 드롭다운이니 골라 쓰시면 됩니다.</t>
  </si>
  <si>
    <t>0-2.  쿠폰 배정액을 넣으세요</t>
  </si>
  <si>
    <t>[설정] 시트의 노란 칸에 유통사별 쿠폰 배정액을 입력합니다. 잔여금액과 소진율이 자동 계산됩니다.</t>
  </si>
  <si>
    <t>0-3.  7월 RAW를 넣으세요</t>
  </si>
  <si>
    <t>→ STEP 1과 동일한 방법입니다. (7월 데이터는 이미 넣어뒀습니다.)</t>
  </si>
  <si>
    <t>STEP 1.  매월 RAW 관리 — 유통사에서 파일을 받으면</t>
  </si>
  <si>
    <t>1-1.  붙여넣을 시트를 고릅니다</t>
  </si>
  <si>
    <t>노란색 탭 중에서 이번 달 시트를 엽니다.</t>
  </si>
  <si>
    <t xml:space="preserve">   •  RAW_농산물_7월  ·  RAW_농산물_8월  ·  RAW_농산물_9월  ·  RAW_농산물_10월  ·  RAW_농산물_11-12월</t>
  </si>
  <si>
    <t xml:space="preserve">   •  RAW_유기농_7월  ·  RAW_유기농_8월  ·  RAW_유기농_9월  ·  RAW_유기농_10월  ·  RAW_유기농_11-12월</t>
  </si>
  <si>
    <t>💡  유통사가 누적으로 보내주니까 8월 시트에는 7~8월 누적을, 9월 시트에는 7~9월 누적을 통째로 넣으시면 됩니다. 지난달 시트는 절대 건드리지 마세요 — 그게 남아있어야 당월 순수 실적이 계산됩니다.</t>
  </si>
  <si>
    <t>1-2.  붙여넣습니다</t>
  </si>
  <si>
    <t>유통사 파일에서 데이터 행만 선택 → 복사 → 시트의 A2 셀에 Ctrl + Shift + V (값만 붙여넣기)</t>
  </si>
  <si>
    <t xml:space="preserve">   •  A 유통사명 | B 품목분류 | C 사업자명 | D 사업자번호 | E 상품명 | F 판매건수 | G 매출액 | H 판촉액</t>
  </si>
  <si>
    <t>⚠️  ① 유통사 파일 위쪽의 제목·기간·합계 행(1~5행)은 빼고, 실제 데이터 첫 줄부터 복사하세요.
② 그냥 Ctrl+V로 붙이면 서식이 깨집니다. 반드시 「값만 붙여넣기」로 하세요.
③ 줄 수 제한은 없습니다. 몇 줄이 오든 그대로 붙여넣으시면 됩니다.</t>
  </si>
  <si>
    <t>1-3.  명단 변동이 있으면 반영합니다</t>
  </si>
  <si>
    <t xml:space="preserve">   •  신규 모집 업체 → 업체 시트 맨 아래에 행을 추가하고 A~E열만 입력</t>
  </si>
  <si>
    <t xml:space="preserve">   •  유통사를 옮긴 업체 → 기존 행 바로 아래에 행을 추가하고, A열에 「유통사 변경」, C열에 사업자번호, D열에 업체명, E열에 바뀐 유통사를 입력. B열 구분(시작/성장/도약)도 원래 업체와 똑같이 채워주세요 — 비워두면 [쿠폰소진] 표3(기업 규모별)에서 그 업체가 빠집니다.</t>
  </si>
  <si>
    <t>⚠️  「유통사 변경」 행에도 사업자번호를 반드시 넣으세요. 그게 연결고리라서 비면 실적이 0으로 나옵니다. (검증 시트가 잡아드립니다)</t>
  </si>
  <si>
    <t>💡  이렇게 하면 이전 유통사 행은 옮기기 전까지의 실적에서 자동으로 멈추고, 새 유통사 행에 그 이후 실적이 붙습니다.</t>
  </si>
  <si>
    <t>STEP 2.  보고 계산 — 검증 시트만 보면 됩니다</t>
  </si>
  <si>
    <t>계산은 아무것도 하실 게 없습니다. 붙여넣는 순간 [분석] 시트가 전부 채워집니다.</t>
  </si>
  <si>
    <t>※ 아래 「전체 기획전 결과」는 최신 입력월까지의 누적입니다.</t>
  </si>
  <si>
    <t>대신 [검증] 시트를 열어서 「자동 점검」이 전부 ✅ 인지만 확인하세요. 빨간불이 뜨면 어느 항목이 문제인지와 조치 방법이 바로 옆에 적혀 있습니다.</t>
  </si>
  <si>
    <t>💡  재계산에 몇 초 걸릴 수 있습니다. 숫자가 잠깐 이상해 보여도 계산이 끝날 때까지 기다려주세요.</t>
  </si>
  <si>
    <t>STEP 3.  최종 보고용 정리 — 기관에 낼 때</t>
  </si>
  <si>
    <t>3-1.  [분석] 시트에서 숫자를 가져갑니다</t>
  </si>
  <si>
    <t>기존에 기관에 보고하시던 양식 그대로입니다. 월별 행만 늘어나 있습니다.</t>
  </si>
  <si>
    <t>1. 해당 월 참여 상품 수 및 업체수 (누적)</t>
  </si>
  <si>
    <t xml:space="preserve">   •  ※ 전체 기획전 결과 → 최신 입력월까지의 누적 (자동으로 최신 월 기준이 됩니다)</t>
  </si>
  <si>
    <t xml:space="preserve">   •  ※ 농산물 온라인 마케터 → 총 계 / 7월 / 8월 / 9월 / 10월 / 11~12월</t>
  </si>
  <si>
    <t xml:space="preserve">   •  ※ 유기농 → 총 계 / 7월 / 8월 / 9월 / 10월 / 11~12월</t>
  </si>
  <si>
    <t>이번 달 보고면 해당 월 행만 보시면 됩니다. 아직 입력하지 않은 달은 공란으로 비어 있습니다.</t>
  </si>
  <si>
    <t>3-2.  쿠폰 소진 현황을 챙깁니다</t>
  </si>
  <si>
    <t xml:space="preserve">   •  [설정] 시트 → 유통사별 잔여금액과 소진율. 소진이 느린 유통사는 미리 대응하세요.</t>
  </si>
  <si>
    <t xml:space="preserve">   •  [쿠폰소진] 시트 → 결과보고서용 표 3종. 드래그해서 한글에 그대로 붙여넣으면 됩니다.</t>
  </si>
  <si>
    <t xml:space="preserve">   •  [농산물업체] 시트 → [소진구간] 열을 「미사용」으로 필터. [상품제출]이 O면 판매 부진(노출·가격 점검 대상), 공란이면 상품 미등록(독려 전화 대상).</t>
  </si>
  <si>
    <t>3-3.  품목 분석은 Claude에게 요청합니다</t>
  </si>
  <si>
    <t>이번 달과 전월 RAW 시트를 엑셀로 내려받아 Claude에 올리고, 아래 프롬프트를 그대로 복사해서 붙여넣으세요.</t>
  </si>
  <si>
    <t>총 계</t>
  </si>
  <si>
    <t>aT 농산물 온라인 마케터 기획전 월별 결과보고용 "판매 상위 품목" 표를 만들어줘.
[첨부]
- 이번 달 누적 RAW (예: RAW_농산물_9월)
- 전월 누적 RAW (예: RAW_농산물_8월)
[집계 방법]
1. 당월 순수 실적 = 이번 달 누적 − 전월 누적
   - 유통사명 + 사업자번호 + 상품명 조합으로 맞춰서 빼줘
   - 전월에 없던 신규 상품은 이번 달 값 전체가 당월 실적
2. 상품명에서 대표 품목을 추출해서 묶어줘
   - 예: "황도 / 백도 / 신비복숭아" → 복숭아
   - 예: "진상미 / 햅쌀 / 유기농쌀" → 쌀
   - 예: "샤인머스캣 / 거봉 / 캠벨" → 포도
   - 애매한 건 임의로 묶지 말고 따로 물어봐
3. 품목분류(농산물 / 축산물 / 가공식품)별로 나눠서 매출 높은 순 정렬
[출력 형식]
- 단위: 백만원 (반올림)
- 열 구성: 구분 | 품목 | 매출 | 쿠폰소진
- 품목분류별 소계와 전체 합계 포함
- 각 분류에서 매출 상위 품목만 (농산물 7개, 축산물 3개, 가공식품 3개 내외)
- 나머지는 "기타"로 묶어줘
[추가로 알려줄 것]
- 상위 10개 품목 매출이 전체 매출의 몇 %인지
- 한글(HWP) 보고서에 쓸 한 문장 요약
  예시: "제철 농산물인 복숭아, 참외, 단호박 등 농산물 매출이 높았으며,
        상위 10여개 품목의 매출이 전체 매출의 약 71%를 차지함"
- 전월 대비 눈에 띄게 늘거나 줄어든 품목
[주의]
- 품목 분류는 상품명 기반 추정이니, 확신이 없는 건 반드시 표시해줘
- 숫자는 추측하지 말고 RAW에 있는 값만 써줘</t>
  </si>
  <si>
    <t>농부가바로팜</t>
  </si>
  <si>
    <t>💡  누적 기준 상위 품목이 필요하면 「당월 순수 실적」 대신 「이번 달 누적 그대로」라고 바꿔서 요청하세요.</t>
  </si>
  <si>
    <t>📌 시트 색깔 구분</t>
  </si>
  <si>
    <t xml:space="preserve">   •  🟡 노란 탭 (RAW_...) → 붙여넣는 곳. 매달 여기만 작업하시면 됩니다.</t>
  </si>
  <si>
    <t xml:space="preserve">   •  🔵 파란 탭 (분석 · 농산물업체 · 유기농업체 · 쿠폰소진) → 보고용. 자동 계산되니 수식을 지우지 마세요.</t>
  </si>
  <si>
    <t xml:space="preserve">   •  🟢 초록 탭 (검증) → 붙여넣은 뒤 확인하는 곳.</t>
  </si>
  <si>
    <t xml:space="preserve">   •  ⚪ 회색 탭 (설정) → 쿠폰 배정액만 입력. 나머지는 건드리지 마세요.</t>
  </si>
  <si>
    <t>⚠️ 절대 하지 말아야 할 것</t>
  </si>
  <si>
    <t xml:space="preserve">   •  지난달 RAW 시트를 지우거나 덮어쓰지 마세요 → 그 달 순수 실적이 계산되지 않습니다.</t>
  </si>
  <si>
    <t xml:space="preserve">   •  [분석] · [쿠폰소진] · [검증] 시트에 숫자를 직접 입력하지 마세요 → 수식이 지워집니다.</t>
  </si>
  <si>
    <t xml:space="preserve">   •  RAW 시트의 열 순서를 바꾸거나 열을 삽입하지 마세요.</t>
  </si>
  <si>
    <t xml:space="preserve">   •  시트 이름을 바꾸지 마세요 → 모든 수식이 깨집니다.</t>
  </si>
  <si>
    <t>친환경</t>
  </si>
  <si>
    <t>소 계</t>
  </si>
  <si>
    <t>네이버</t>
  </si>
  <si>
    <t>지마켓</t>
  </si>
  <si>
    <t>온누리마켓</t>
  </si>
  <si>
    <t>농가살리기</t>
  </si>
  <si>
    <t>배정업체수</t>
  </si>
  <si>
    <t>참여업체수</t>
  </si>
  <si>
    <t>302-81-25814</t>
  </si>
  <si>
    <t>영동감협동조합</t>
  </si>
  <si>
    <t>225-90-26954</t>
  </si>
  <si>
    <t>풀무리농장</t>
  </si>
  <si>
    <t>상품수</t>
  </si>
  <si>
    <t>※ 참여업체수 = RAW에 실제 등재된 업체 (누적)  /  배정업체수 = 업체 명단에 등록된 업체. 기관 보고 기준에 맞는 쪽을 쓰세요.</t>
  </si>
  <si>
    <t>2. 유통사 별 쿠폰 사용액 (누적)</t>
  </si>
  <si>
    <t>쿠폰 사용액</t>
  </si>
  <si>
    <t>449-92-01723</t>
  </si>
  <si>
    <t>채씨네표고농원</t>
  </si>
  <si>
    <t>시작</t>
  </si>
  <si>
    <t>326-37-00548</t>
  </si>
  <si>
    <t>파미농원</t>
  </si>
  <si>
    <t>💰 쿠폰 소진 분석</t>
  </si>
  <si>
    <t>결과보고서용 표 3종. 드래그해서 한글에 그대로 붙여넣으세요. (누적 판촉액 기준)</t>
  </si>
  <si>
    <t>[표 1] 판촉액 소진 구간별 업체 분포</t>
  </si>
  <si>
    <t>소진 구간</t>
  </si>
  <si>
    <t>전체</t>
  </si>
  <si>
    <t>비율</t>
  </si>
  <si>
    <t>농산물</t>
  </si>
  <si>
    <t>총 대상 업체</t>
  </si>
  <si>
    <t>예산 미사용(0원)</t>
  </si>
  <si>
    <t>예산 사용 소 계</t>
  </si>
  <si>
    <t>50만원 미만</t>
  </si>
  <si>
    <t>406-82-02051</t>
  </si>
  <si>
    <t>구천동농업협동조합</t>
  </si>
  <si>
    <t>100만원 미만</t>
  </si>
  <si>
    <t>200만원 미만</t>
  </si>
  <si>
    <t>3. 유통사 별 매출 분석 (누적)</t>
  </si>
  <si>
    <t>300만원 미만</t>
  </si>
  <si>
    <t>400만원 미만</t>
  </si>
  <si>
    <t>매출액</t>
  </si>
  <si>
    <t>500만원 미만</t>
  </si>
  <si>
    <t>497-41-01341</t>
  </si>
  <si>
    <t>국가대표상황버섯</t>
  </si>
  <si>
    <t>600만원 미만</t>
  </si>
  <si>
    <t>700만원 미만</t>
  </si>
  <si>
    <t>800만원 미만</t>
  </si>
  <si>
    <t>1000만원 미만</t>
  </si>
  <si>
    <t>1000만원 이상</t>
  </si>
  <si>
    <t>※ 친환경↔농산물 중복 참여 농가는 각각 집계됩니다.</t>
  </si>
  <si>
    <t>[표 2] 예산 미사용 업체 중 상품 제출 여부</t>
  </si>
  <si>
    <t>상품 제출</t>
  </si>
  <si>
    <t>상품 미제출</t>
  </si>
  <si>
    <t>※ 상품 제출 = RAW에 상품이 1회 이상 등재된 업체</t>
  </si>
  <si>
    <t>[표 3] 기업 규모별 예산 소진 비율</t>
  </si>
  <si>
    <t>사용</t>
  </si>
  <si>
    <t>성장</t>
  </si>
  <si>
    <t>529-44-01222</t>
  </si>
  <si>
    <t>나뚜라리농원</t>
  </si>
  <si>
    <t>312-27-45552</t>
  </si>
  <si>
    <t>바우뜨락</t>
  </si>
  <si>
    <t>4. 유통사 별 판매 건수 (누적)</t>
  </si>
  <si>
    <t>판매건수</t>
  </si>
  <si>
    <t>※ 「사용」 = 누적 판촉액이 1원 이상인 업체.  ※ 업체 시트의 B열(구분)이 빈 행은 이 표에서 빠집니다 — 표1 총 대상과 숫자가 다르면 구분이 비어있는 행이 있다는 뜻입니다.</t>
  </si>
  <si>
    <t>💡 소진 독려 대상 뽑는 법</t>
  </si>
  <si>
    <t>농산물업체 시트에서 [소진구간]="미사용" 필터 → [상품제출]="O"면 판매 부진(노출·가격 점검), 공란이면 상품 미등록(독려 전화).</t>
  </si>
  <si>
    <t>416-81-92591</t>
  </si>
  <si>
    <t>좋은세상협동조합</t>
  </si>
  <si>
    <t>201-86-47960</t>
  </si>
  <si>
    <t>다온365농업회사법인(주)</t>
  </si>
  <si>
    <t>5. 유통사별 품목별 쿠폰 사용액 (누적)</t>
  </si>
  <si>
    <t>410-86-90042</t>
  </si>
  <si>
    <t>아름답게그린배영농조합법인</t>
  </si>
  <si>
    <t>516-88-01860</t>
  </si>
  <si>
    <t>주식회사 농업회사법인 에상스팜</t>
  </si>
  <si>
    <t>✅ 검증</t>
  </si>
  <si>
    <t>RAW를 붙여넣은 뒤 여기만 확인하세요. 아래 [자동 점검]이 전부 ✅면 보고해도 됩니다.</t>
  </si>
  <si>
    <t>1. 월별 입력 현황 — 농산물</t>
  </si>
  <si>
    <t>월</t>
  </si>
  <si>
    <t>행수</t>
  </si>
  <si>
    <t>누적 판매건수</t>
  </si>
  <si>
    <t>누적 매출액</t>
  </si>
  <si>
    <t>누적 판촉액</t>
  </si>
  <si>
    <t>당월 판촉액</t>
  </si>
  <si>
    <t>7월</t>
  </si>
  <si>
    <t>축산물</t>
  </si>
  <si>
    <t>8월</t>
  </si>
  <si>
    <t>709-22-01767</t>
  </si>
  <si>
    <t>푸드상상</t>
  </si>
  <si>
    <t>512-13-21395</t>
  </si>
  <si>
    <t>현재농원</t>
  </si>
  <si>
    <t>9월</t>
  </si>
  <si>
    <t>10월</t>
  </si>
  <si>
    <t>11~12월</t>
  </si>
  <si>
    <t>2. 월별 입력 현황 — 유기농</t>
  </si>
  <si>
    <t>104-12-14323</t>
  </si>
  <si>
    <t>교동앵무새힐링농장</t>
  </si>
  <si>
    <t>가공식품</t>
  </si>
  <si>
    <t>3. 자동 점검</t>
  </si>
  <si>
    <t>745-96-00315</t>
  </si>
  <si>
    <t>해담는집</t>
  </si>
  <si>
    <t>점검 항목</t>
  </si>
  <si>
    <t>결과</t>
  </si>
  <si>
    <t>상태</t>
  </si>
  <si>
    <t>빨간불이면 이렇게 하세요</t>
  </si>
  <si>
    <t>🔴 농산물 명단 미커버 줄 수</t>
  </si>
  <si>
    <t>RAW에는 있는데 업체 명단에 없는 업체가 있습니다. 신규 모집 업체를 명단에 추가하세요. 명단 행(농산물 700 / 유기농 250)을 넘겨 입력해도 여기 걸립니다.</t>
  </si>
  <si>
    <t>🔴 유기농 명단 미커버 줄 수</t>
  </si>
  <si>
    <t>위와 동일합니다.</t>
  </si>
  <si>
    <t>농산물 누적 감소 여부</t>
  </si>
  <si>
    <t>누적은 줄어들 수 없습니다. 엉뚱한 달 시트에 넣었거나 RAW를 잘못 받은 경우입니다.</t>
  </si>
  <si>
    <t>유기농 누적 감소 여부</t>
  </si>
  <si>
    <t>농산물 당월 판촉액 음수</t>
  </si>
  <si>
    <t>반품·정산 조정일 수 있습니다. 유통사에 확인하세요.</t>
  </si>
  <si>
    <t>유기농 당월 판촉액 음수</t>
  </si>
  <si>
    <t>농산물 업체시트 합계 − RAW 합계</t>
  </si>
  <si>
    <t>업체 명단에 없는 업체의 실적이 있습니다. 신규 모집 업체를 명단에 추가하세요.</t>
  </si>
  <si>
    <t>유기농 업체시트 합계 − RAW 합계</t>
  </si>
  <si>
    <t>514-03-53195</t>
  </si>
  <si>
    <t>삼진식품</t>
  </si>
  <si>
    <t>농산물 유통사 6개 합계 − RAW 합계</t>
  </si>
  <si>
    <t>RAW에 유통사명 오타가 있습니다 (예: 롯데온 → 롯데ON). RAW A열을 확인하세요.</t>
  </si>
  <si>
    <t>농산물 품목 3개 합계 − RAW 합계</t>
  </si>
  <si>
    <t>RAW B열(품목분류)에 빈칸이나 오타가 있습니다. 농산물/축산물/가공식품 중 하나여야 합니다.</t>
  </si>
  <si>
    <t>업체시트 사업자번호 빈칸</t>
  </si>
  <si>
    <t>「유통사 변경」 행에 사업자번호를 안 넣으면 실적이 0으로 나옵니다. C열을 채우세요.</t>
  </si>
  <si>
    <t>업체시트 사업자번호+유통사 중복</t>
  </si>
  <si>
    <t>6. 유통사별 품목별 매출 분석 (누적)</t>
  </si>
  <si>
    <t>386-96-00703</t>
  </si>
  <si>
    <t>여화원</t>
  </si>
  <si>
    <t>892-87-01864</t>
  </si>
  <si>
    <t>주식회사 마들</t>
  </si>
  <si>
    <t>같은 (사업자번호+유통사) 행이 두 번 있으면 실적이 중복 집계됩니다. 한 행을 지우세요.</t>
  </si>
  <si>
    <t>업체시트 배정유통사 오타</t>
  </si>
  <si>
    <t>설정 시트의 유통사 목록에 없는 이름입니다. E열 드롭다운에서 고르세요.</t>
  </si>
  <si>
    <t>409-86-48791</t>
  </si>
  <si>
    <t>주식회사 유기농샵에프앤비</t>
  </si>
  <si>
    <t>803-88-01105</t>
  </si>
  <si>
    <t>오고농원(주)</t>
  </si>
  <si>
    <t>556-72-00266</t>
  </si>
  <si>
    <t>제주오가닉스</t>
  </si>
  <si>
    <t>488-88-03205</t>
  </si>
  <si>
    <t>농업회사법인 랑이네세상 주식회사</t>
  </si>
  <si>
    <t>592-08-01799</t>
  </si>
  <si>
    <t>삼둥이농장</t>
  </si>
  <si>
    <t>⚙️ 설정</t>
  </si>
  <si>
    <t>노란색 칸만 입력하세요. 나머지는 자동입니다.</t>
  </si>
  <si>
    <t>← 최신 입력월 인덱스(자동)</t>
  </si>
  <si>
    <t>← 농산물 최신 입력월 (자동)</t>
  </si>
  <si>
    <t>← 유기농 최신 입력월 (자동)</t>
  </si>
  <si>
    <t>※ B3·B4·C3·C4는 자동 계산입니다. 절대 수정하지 마세요.</t>
  </si>
  <si>
    <t>1. 월별 입력 현황 (자동)</t>
  </si>
  <si>
    <t>#</t>
  </si>
  <si>
    <t>농산물 행수</t>
  </si>
  <si>
    <t>유기농 행수</t>
  </si>
  <si>
    <t>680-87-00224</t>
  </si>
  <si>
    <t>다원팜농업회사법인유한회사</t>
  </si>
  <si>
    <t>2. 쿠폰 배정액 — 농산물</t>
  </si>
  <si>
    <t>유통사</t>
  </si>
  <si>
    <t>배정액</t>
  </si>
  <si>
    <t>사용액(누적)</t>
  </si>
  <si>
    <t>잔여</t>
  </si>
  <si>
    <t>소진율</t>
  </si>
  <si>
    <t>784-24-00666</t>
  </si>
  <si>
    <t>거창오미자</t>
  </si>
  <si>
    <t>7. 유통사별 품목별 판매 건수 (누적)</t>
  </si>
  <si>
    <t>402-81-54069</t>
  </si>
  <si>
    <t>참식품주식회사</t>
  </si>
  <si>
    <t>합 계</t>
  </si>
  <si>
    <t>3. 쿠폰 배정액 — 유기농</t>
  </si>
  <si>
    <t>888-94-01728</t>
  </si>
  <si>
    <t>파밍데이즈</t>
  </si>
  <si>
    <t>4. 유통사 목록 (드롭다운 원본 — 수정 금지)</t>
  </si>
  <si>
    <t>유기농</t>
  </si>
  <si>
    <t>252-86-02831</t>
  </si>
  <si>
    <t>농업회사법인주식회사한내담</t>
  </si>
  <si>
    <t>128-90-57082</t>
  </si>
  <si>
    <t>산골과수원</t>
  </si>
  <si>
    <t>566-81-02884</t>
  </si>
  <si>
    <t>농업회사법인 주식회사 여주능서농원</t>
  </si>
  <si>
    <t>626-86-01993</t>
  </si>
  <si>
    <t>농업회사법인 (주)자연의시간</t>
  </si>
  <si>
    <t>유통사명</t>
  </si>
  <si>
    <t>품목분류</t>
  </si>
  <si>
    <t>사업자명</t>
  </si>
  <si>
    <t>사업자번호</t>
  </si>
  <si>
    <t xml:space="preserve">상품명 </t>
  </si>
  <si>
    <t>판매 건수</t>
  </si>
  <si>
    <t>판촉액</t>
  </si>
  <si>
    <t>변경전 품목분류</t>
  </si>
  <si>
    <t>580-88-02822</t>
  </si>
  <si>
    <t>농업회사법인 나무컴퍼니 주식회사</t>
  </si>
  <si>
    <t>농업회사법인(주)운림가</t>
  </si>
  <si>
    <t>412-81-31307</t>
  </si>
  <si>
    <t>운림가 55년전통 대용량 전라도 국산 배추 김장 포기 김치 5kg [원산지:국산]</t>
  </si>
  <si>
    <t>여주시농협조합공동사업법인</t>
  </si>
  <si>
    <t>126-82-11620</t>
  </si>
  <si>
    <t>여주시농협RPC 대왕님표 여주쌀 진상미 당일도정 25년 햅쌀 10kg, 1개 [원산지:국산(경기도 여주시)]</t>
  </si>
  <si>
    <t>별마루농원</t>
  </si>
  <si>
    <t>508-90-95905</t>
  </si>
  <si>
    <t>신비복숭아 황도 백도 황도복숭아 쫀득이 딱딱이 선물용 프리미엄 복숭아 3kg 별마루농원 [원산지:국산(경상북도 의성군)]</t>
  </si>
  <si>
    <t>초록이들</t>
  </si>
  <si>
    <t>347-93-02082</t>
  </si>
  <si>
    <t>초록이들 4kg 대용량 상추 유럽 샐러드 채소 유러피안 쌈 버터헤드 카이피라 프릴 양상추 [원산지:국산(충청남도 논산시)]</t>
  </si>
  <si>
    <t>두루푸드</t>
  </si>
  <si>
    <t>221-13-36518</t>
  </si>
  <si>
    <t>국민닭갈비 두루푸드 춘천닭갈비 택배 홈파티 캠핑요리 [원산지:닭고기 넓적다리(국산), 고추가루(국산), 기타(상세설명참조)]</t>
  </si>
  <si>
    <t>운림가 55년전통 국산 알타리 총각김치 2kg [원산지:국산]</t>
  </si>
  <si>
    <t>[초록이들]500g/1kg 유럽 샐러드 채소 유러피안 상추 쌈 버터헤드 카이피라 프릴등 [원산지:국산(충청남도 논산시)]</t>
  </si>
  <si>
    <t>운림가 55년전통 국산 전라도 묵은지 2kg 저온 숙성 익은 김치 [원산지:국산]</t>
  </si>
  <si>
    <t>아침에계란</t>
  </si>
  <si>
    <t>201-98-68634</t>
  </si>
  <si>
    <t>아침에계란 청춘이란 난각번호1번 발효곡물 먹은 자연방사 유정란 20구 40구 60구 [원산지:국산(경상북도 영덕군)]</t>
  </si>
  <si>
    <t>운림가 55년전통 국내산 쪽 파김치 1kg [원산지:국산]</t>
  </si>
  <si>
    <t>여주시농협RPC 대왕님표 여주쌀 진상미 당일도정 25년 햅쌀 10kg, 2개 [원산지:국산(경기도 여주시)]</t>
  </si>
  <si>
    <t>온드리 목장</t>
  </si>
  <si>
    <t>519-33-01006</t>
  </si>
  <si>
    <t>온드리목장 1kg 무가당 꾸덕한 그릭요거트 대용량 [원산지:국산(전라남도 화순군)]</t>
  </si>
  <si>
    <t>25년 햅쌀/삼광 고시히카리 10Kg 강화섬쌀 최근 도정 신선한 랑이네 갓 도정쌀 정미소직판 [원산지:국산(인천광역시 강화군)]</t>
  </si>
  <si>
    <t>농사짓는마을</t>
  </si>
  <si>
    <t>499-13-02310</t>
  </si>
  <si>
    <t>여주땅콩 햇땅콩 고소한 국산 볶은 볶음 땅콩 생땅콩 300g 450g [원산지:국산(경기도 여주시)]</t>
  </si>
  <si>
    <t>청운유통</t>
  </si>
  <si>
    <t>540-93-02100</t>
  </si>
  <si>
    <t>유황한돈 냉장 삼겹살 목살 1kg 오겹살 캠핑 등갈비 갈매기살 가브리살 항정살 [원산지:국산]</t>
  </si>
  <si>
    <t>[농할쿠폰] 한돈 삼겹살 구이용 냉장, 500g, 2개 [원산지:국산]</t>
  </si>
  <si>
    <t>오미자 청 엑기스 원액 1500ml [원산지:국산(경기도 연천군) 등]</t>
  </si>
  <si>
    <t>팜166</t>
  </si>
  <si>
    <t>593-91-01533</t>
  </si>
  <si>
    <t>자두 도담자두 의성옥자두 후무사 대석 5kg GAP [원산지:국산(경상북도 의성군)]</t>
  </si>
  <si>
    <t>애플향농원</t>
  </si>
  <si>
    <t>386-97-01806</t>
  </si>
  <si>
    <t>안동사과 3kg 5kg 부사 못난이사과 고당도 [원산지:국산(경상북도 안동시)]</t>
  </si>
  <si>
    <t>해피메이킹</t>
  </si>
  <si>
    <t>511-09-26842</t>
  </si>
  <si>
    <t>문경 오미자 청 원액 생오미자 당절임 (흰설탕) [원산지:국산(경상북도 문경시)]</t>
  </si>
  <si>
    <t>로토정</t>
  </si>
  <si>
    <t>701-93-02082</t>
  </si>
  <si>
    <t>로토정 유럽종 완숙토마토 5kg [원산지:국산(경상북도 봉화군)]</t>
  </si>
  <si>
    <t>거창 수제 오미자 청 오미자 원액 엑기스 과일청 1L, 1개 [원산지:국산(경상남도 거창군)]</t>
  </si>
  <si>
    <t>복숭아 황도 양홍장 건강한 정직한 고당도 프리미엄 가을복숭아 반딱딱이 의성햇살어린 4kg [원산지:국산(경상북도 의성군)]</t>
  </si>
  <si>
    <t>백미·7분도 5kg/25년 고시히카리 햅쌀/당일도정 특등급/랑이네갓도정쌀 지퍼백포장 [원산지:국산(인천광역시 강화군)]</t>
  </si>
  <si>
    <t>문경새재뻥마을</t>
  </si>
  <si>
    <t>249-56-00257</t>
  </si>
  <si>
    <t>오미자청 문경오미자청 진액 1,000ml [원산지:국산(경상북도 문경시)]</t>
  </si>
  <si>
    <t>[농할쿠폰] 한돈 목살 구이용 냉장, 500g, 2개 [원산지:국산]</t>
  </si>
  <si>
    <t>온드리목장 1kg 무지방 무가당 그릭요거트 대용량 [원산지:국산(전라남도 화순군)]</t>
  </si>
  <si>
    <t>농업회사법인 유한회사 해오름팜농장</t>
  </si>
  <si>
    <t>209-87-01228</t>
  </si>
  <si>
    <t>농부가바로팜 무항생제 Non-Gmo 동물복지 유정란 60구 신선계란 난각번호2번 [원산지:국산(전라남도 나주시)]</t>
  </si>
  <si>
    <t>온드리목장 500g 무가당 꾸덕한 그릭요거트 산미없이 고소한 [원산지:국산(전라남도 화순군)]</t>
  </si>
  <si>
    <t>25년 햅쌀 나들미 10Kg 강화섬쌀 최근 도정 신선한 랑이네 갓 도정쌀 정미소직판 [원산지:국산(인천광역시 강화군)]</t>
  </si>
  <si>
    <t>상주곶감대장</t>
  </si>
  <si>
    <t>511-90-56233</t>
  </si>
  <si>
    <t>상주곶감 명절선물세트 대봉 건시 반건시 가정용 못난이곶감 실속형 [원산지:국산(경상북도 상주시)]</t>
  </si>
  <si>
    <t>쌈바쌈바</t>
  </si>
  <si>
    <t>505-21-96189</t>
  </si>
  <si>
    <t>수경재배 당일수확 청상추 2kg,4kg [원산지 - 경남 고성] [원산지:국산(경상남도 고성군)]</t>
  </si>
  <si>
    <t>영농조합법인아농이</t>
  </si>
  <si>
    <t>308-81-31629</t>
  </si>
  <si>
    <t>고창 하우스 당도선별 아삭한 꿀수박 산지직송 5kg 6kg 7kg 8kg 9kg [원산지:국산 등]</t>
  </si>
  <si>
    <t>현대농장 수퍼방토</t>
  </si>
  <si>
    <t>586-91-01888</t>
  </si>
  <si>
    <t>대추방울토마토 GAP 신선한 산지직송 3kg 1.5kg 로얄과 현대농장 방울 토마토 [원산지:국산(경기도 평택시)]</t>
  </si>
  <si>
    <t>여주시농협RPC 대왕님표 여주쌀 현미 진상 당일도정 25년 햅쌀 10kg, 1개 [원산지:국산(경기도 여주시)]</t>
  </si>
  <si>
    <t>토댁</t>
  </si>
  <si>
    <t>510-90-49461</t>
  </si>
  <si>
    <t>토댁 성주참외 5kg 꼬마참외 프리미엄 못난이 [원산지:국산(경상북도 성주군)]</t>
  </si>
  <si>
    <t>711-30-00994</t>
  </si>
  <si>
    <t>팜샐러드</t>
  </si>
  <si>
    <t>당일수확 국산 제주산 100% 생블루베리 생과 1kg [원산지:국산(제주특별자치도 제주시)]</t>
  </si>
  <si>
    <t>농업회사법인버섯마루유한회사</t>
  </si>
  <si>
    <t>418-81-43306</t>
  </si>
  <si>
    <t>버섯 그대로 5종 국산 무농약 모둠 버섯 요리 키트 48g, 5개 [원산지:국산(전라북도 진안군)]</t>
  </si>
  <si>
    <t>상주토성곶감농원</t>
  </si>
  <si>
    <t>511-90-18321</t>
  </si>
  <si>
    <t>상주 곶감 반건시 건시 실속형 선물세트 대봉 못난이 [원산지:곶감: 상주, 호두: 미국, 크림치즈: 호주]</t>
  </si>
  <si>
    <t>농업회사법인자연애에프앤비(주)</t>
  </si>
  <si>
    <t>123-86-43136</t>
  </si>
  <si>
    <t>고급 티백 전통차 어르신 남자친구 부모님 인사 진명차 한차 4호 선물 세트 [원산지:국산(경상북도 영천시) 등]</t>
  </si>
  <si>
    <t>가득 담은 버섯 영양밥 즉석밥 국산 무농약 고식이섬유 간편식 약밥 160g, 10개 [원산지:국산]</t>
  </si>
  <si>
    <t>※ 농산물 온라인 마케터</t>
  </si>
  <si>
    <t>문경 오미자 원액 행복한 오미자청 1.5L 4병 [원산지:국산(경상북도 문경시)]</t>
  </si>
  <si>
    <t>1. 월별 참여 업체 및 상품 수</t>
  </si>
  <si>
    <t>농업회사법인(주)새나라</t>
  </si>
  <si>
    <t>792-88-00316</t>
  </si>
  <si>
    <t>[모두닭갈비] 춘천 1+1팩 국산 닭다리살 캠핑 500gx2팩 (3~4인분) [원산지:국산]</t>
  </si>
  <si>
    <t>지표</t>
  </si>
  <si>
    <t>주식회사로컬오누이</t>
  </si>
  <si>
    <t>282-81-02797</t>
  </si>
  <si>
    <t>[로컬오누이] 나주 멜론속살떡 메론떡 [원산지:국산]</t>
  </si>
  <si>
    <t>아일랜드마켓 농업회사법인 유한회사</t>
  </si>
  <si>
    <t>849-88-03360</t>
  </si>
  <si>
    <t>무첨가 국내산 우도 프리미넛 땅콩버터 420g (당일제조 무가당 땅콩잼) [원산지:국산(제주특별자치도 제주시)]</t>
  </si>
  <si>
    <t>감익는마을 천연식초</t>
  </si>
  <si>
    <t>615-19-39008</t>
  </si>
  <si>
    <t>감익는마을 7년숙성 천연 감식초 1.5L 항아리발효 자연침전 무설탕 무첨가 [원산지:국산(경상남도 밀양시)]</t>
  </si>
  <si>
    <t>국산 무항생제 생 닭가슴살 5kg (500g X 10EA) 소포장 냉장 [원산지:국산]</t>
  </si>
  <si>
    <t>농업회사법인 주식회사 싸주아리</t>
  </si>
  <si>
    <t>137-86-09516</t>
  </si>
  <si>
    <t>쑥즙 강화약쑥즙 싸주아리 유기농 3년숙성 추출액 사자발쑥 인진 액기스 엑기스 진액 무농약 [원산지:국산(인천광역시 강화군)]</t>
  </si>
  <si>
    <t>애플온</t>
  </si>
  <si>
    <t>447-92-02158</t>
  </si>
  <si>
    <t>안동 가정용 꼬마 흠과 미니 못난이사과 5kg [원산지:국산(경상북도 안동시)]</t>
  </si>
  <si>
    <t>업체수</t>
  </si>
  <si>
    <t>한돈 찌개용 돼지고기 김치찌개 카레 짜장용 냉장, 300g, 4개 [원산지:국산]</t>
  </si>
  <si>
    <t>미에덴팜</t>
  </si>
  <si>
    <t>596-98-01526</t>
  </si>
  <si>
    <t>제주 미에덴팜 미니 단호박 밤호박 보우짱 산지직송 [원산지:국산(제주특별자치도 제주시)]</t>
  </si>
  <si>
    <t>풍년주식회사농업회사법인</t>
  </si>
  <si>
    <t>125-86-20444</t>
  </si>
  <si>
    <t>경기 평택 오성쌀 20kg, 1개 [원산지:국산(경기도 평택시) 등]</t>
  </si>
  <si>
    <t>내기마을</t>
  </si>
  <si>
    <t>404-81-37601</t>
  </si>
  <si>
    <t>[당일착유] 고창 오복농산 냉압착 국산 참기름 들기름 생들기름 180ml (신선도 보장) [원산지:국산(전라북도 고창군)]</t>
  </si>
  <si>
    <t>복숭아 신비복숭아 납작복숭아 대극천 딱복 물복 말랑이 황도 백도 신선 경봉 [원산지:국산(경상북도 경산시) 등]</t>
  </si>
  <si>
    <t>두루푸드 국민닭갈비 춘천닭갈비 택배 홈파티 캠핑요리 전통맛 [원산지:닭고기 넓적다리(국산), 고추가루(국산), 기타(상세설명참조)]</t>
  </si>
  <si>
    <t>예다움곶감</t>
  </si>
  <si>
    <t>540-96-00855</t>
  </si>
  <si>
    <t>예다움 상주 곶감 반건시 크림치즈호두말이 곶감단지 실속형 가정용 디저트 선물세트 와인안주 [원산지:상세설명에 표시]</t>
  </si>
  <si>
    <t>의령부자망개떡</t>
  </si>
  <si>
    <t>608-18-95776</t>
  </si>
  <si>
    <t>선물하기 좋은 국산팥을 사용한 수제 의령 부자 망개떡 40개 [원산지:상세설명에 표시]</t>
  </si>
  <si>
    <t>온드리목장 요거트 1000ml 더 진하게 발효한 대용량 요거트 [원산지:국산(전라남도 화순군) 등]</t>
  </si>
  <si>
    <t>인천드레</t>
  </si>
  <si>
    <t>131-86-58421</t>
  </si>
  <si>
    <t>강화섬쌀로 만든 시골쌀라면 104g, 20개 [원산지:국산]</t>
  </si>
  <si>
    <t>달아유과수원</t>
  </si>
  <si>
    <t>821-15-02618</t>
  </si>
  <si>
    <t>[달과] 꿀당도 칠곡 복숭아 1.5kg 선물용 황도 백도 천중도 망고맛 빅복숭아 신선 과일 / 달아유과수원 [원산지:국산(경상북도 칠곡군)]</t>
  </si>
  <si>
    <t>한돈 통 사태 보쌈 수육 장조림 찌개용 고기 냉장, 500g, 2개 [원산지:국산]</t>
  </si>
  <si>
    <t>제주점순이네</t>
  </si>
  <si>
    <t>372-94-01830</t>
  </si>
  <si>
    <t>[당일발송]제주 미니단호박 밤호박 보우짱 1kg 2kg 3kg 5kg 10kg 가정용 산지직송 [원산지:국산(제주특별자치도 서귀포시)]</t>
  </si>
  <si>
    <t>거창 수제 오미자 청 오미자 원액 엑기스 과일청 1L, 6개 [원산지:국산(경상남도 거창군)]</t>
  </si>
  <si>
    <t>온드리목장 500g 무지방 무가당 그릭요거트 [원산지:국산(전라남도 화순군)]</t>
  </si>
  <si>
    <t>GAP 토마토 2.5kg 유럽종 완숙토마토 [원산지:국산(경상북도 봉화군)]</t>
  </si>
  <si>
    <t>현풍떡갈비</t>
  </si>
  <si>
    <t>671-67-00557</t>
  </si>
  <si>
    <t>아기떡갈비 한우 한돈 수제 패티 현풍 세가지맛 3팩, 90g, 15개 [원산지:상세설명에 표시]</t>
  </si>
  <si>
    <t>전통 진명차 수제한차 2종 국산 목에 좋은 차 교수님 건강 선물 세트 20티백 [원산지:국산(경상북도 영천시) 등]</t>
  </si>
  <si>
    <t>성주참외 보화농장</t>
  </si>
  <si>
    <t>519-93-00689</t>
  </si>
  <si>
    <t>성주참외 프리미엄 특품 꿀 참외 중과 선물용 고당도 2kg 3kg 5kg [원산지:국산(경상북도 성주군)]</t>
  </si>
  <si>
    <t>시내들</t>
  </si>
  <si>
    <t>112-28-97097</t>
  </si>
  <si>
    <t>순희엄마 수제 천연발효 사과식초 애사비 1000ml 선물세트 [원산지:국산(경상남도 거창군)]</t>
  </si>
  <si>
    <t>햇 우거지 무청시래기 데친 시래기 나물 올식 [원산지:국산(전라북도 고창군)]</t>
  </si>
  <si>
    <t>유한회사 못골농업회사</t>
  </si>
  <si>
    <t>116-81-80195</t>
  </si>
  <si>
    <t>815-15-01628</t>
  </si>
  <si>
    <t>영호진미 백미 무훈증 당일도정 맛있는쌀 10kg, 1개 [원산지:국산(경상남도 함안군)]</t>
  </si>
  <si>
    <t>뭇별농장</t>
  </si>
  <si>
    <t>장기선마농원</t>
  </si>
  <si>
    <t>172-60-00288</t>
  </si>
  <si>
    <t>참마 산마 깍은마 손질마 100g 7팩 200g 5팩[당일손질] [원산지:국산(경기도 연천군)]</t>
  </si>
  <si>
    <t>경북 김천 산지직송 당일수확 햇 자두 1kg 가정용 [원산지:국산 등]</t>
  </si>
  <si>
    <t>제이제이</t>
  </si>
  <si>
    <t>448-93-01936</t>
  </si>
  <si>
    <t>씨없는 청도 반시 감말랭이 500g, 1kg [원산지:국산(경상북도 청도군)]</t>
  </si>
  <si>
    <t>안동 흠과 주스용 쥬스용 사과 랜덤과 5kg 10kg [원산지:국산(경상북도 안동시)]</t>
  </si>
  <si>
    <t>경기 평택 오성쌀 10kg, 1개 [원산지:국산(경기도 평택시) 등]</t>
  </si>
  <si>
    <t>무첨가 국내산 우도 프리미넛 땅콩버터 230g (당일제조 무가당 땅콩잼) [원산지:국산(제주특별자치도 제주시)]</t>
  </si>
  <si>
    <t>맑은농장</t>
  </si>
  <si>
    <t>577-94-01721</t>
  </si>
  <si>
    <t>품질대박 황토밭 맑은농장 김천자두 5kg(왕왕특고당도) 도담자두 [원산지:국산(경상북도 김천시)]</t>
  </si>
  <si>
    <t>25년 햇 찹쌀 10Kg 강화섬쌀 최근 도정 신선한 랑이네 갓 도정쌀 정미소직판 [원산지:국산(인천광역시 강화군)]</t>
  </si>
  <si>
    <t>예다움 상주곶감 반건시 명절 상견례 선물세트 곶감단지 크림치즈호두말이 [원산지:상세설명에 표시]</t>
  </si>
  <si>
    <t>거창 수제 오미자 청 오미자 원액 엑기스 과일청 1L, 4개 [원산지:국산(경상남도 거창군)]</t>
  </si>
  <si>
    <t>신기농원</t>
  </si>
  <si>
    <t>540-25-00229</t>
  </si>
  <si>
    <t>애플링 동결건조 사과 배칩20g 딸기칩15g 3팩 국산100% 무첨가 간식 [원산지:국산(경상북도 문경시)]</t>
  </si>
  <si>
    <t>[오복농산]전북고창 2026년 햇 오디 냉동 생과 5kg [진공포장] 뽕나무 열매 [원산지:국산(전라북도 고창군)]</t>
  </si>
  <si>
    <t>온드리목장 무가당 드링킹 그릭요거트 120g [원산지:국산(전라남도 화순군)]</t>
  </si>
  <si>
    <t>뻥튀기 다이어트간식 임산부간식 오미자사과꽃뻥 (접시형) [원산지:상세표기 참조]</t>
  </si>
  <si>
    <t>국내산 건표고버섯 슬라이스 1kg 말린 마른 표고버섯 참나무 500g [원산지:국산(전라북도 부안군)]</t>
  </si>
  <si>
    <t>강화섬쌀로 만든 시골쌀라면 104g, 10개 [원산지:국산]</t>
  </si>
  <si>
    <t>2kg 백미/25년 고시히카리 햅쌀/당일도정 특등급 선물용 정미소직판 [원산지:국산(인천광역시 강화군)]</t>
  </si>
  <si>
    <t>그로운</t>
  </si>
  <si>
    <t>570-93-01757</t>
  </si>
  <si>
    <t>[그로운] 뿌리가 살아있는 무농약 유러피안 샐러드 상추6종 산지직송 유럽 상추 로메인 버터헤드 [원산지:국산(경상남도 사천시)]</t>
  </si>
  <si>
    <t>품질대박 황토밭 맑은농장 김천자두 5kg(왕왕특고당도) 후무사자두 [원산지:국산(경상북도 김천시)]</t>
  </si>
  <si>
    <t>뻥튀기 다이어트간식 임산부간식 오미자사과꽃뻥(동전형) [원산지:상세표기 참조]</t>
  </si>
  <si>
    <t>두루푸드 국민닭갈비 춘천닭갈비 택배 홈파티 캠핑요리 간장닭갈비 [원산지:닭고기 넓적다리(국산), 기타(상세설명참조)]</t>
  </si>
  <si>
    <t>애플링 딸기칩 10봉 국산100% 동결건조 / 아기부터 온가족 건강간식 [원산지:국산(경상북도 문경시)]</t>
  </si>
  <si>
    <t>문경 오미자 원액 행복한 오미자청 1.5L [원산지:국산(경상북도 문경시)]</t>
  </si>
  <si>
    <t>새암농장</t>
  </si>
  <si>
    <t>761-38-00336</t>
  </si>
  <si>
    <t>생목이버섯 500g 손질이필요없는 국내산 친환경 GAP 선물셋트 잡채 건 모기버섯 [원산지:국산(경기도 용인시)]</t>
  </si>
  <si>
    <t>두루푸드 국민닭갈비 춘천닭갈비 택배 홈파티 캠핑요리 올인원세트 3인용 / 1.5인용 [원산지:닭넓적다리(국산), 고추가루(국산), 기타(상세설명참조)]</t>
  </si>
  <si>
    <t>상주곶감 명절선물세트 흑인삼 먹고 자란 대봉 건시 반건시 곶감 프리미엄 보자기 포장 [원산지:국산(경상북도 상주시)]</t>
  </si>
  <si>
    <t>짱아찌네농장</t>
  </si>
  <si>
    <t>280-90-00306</t>
  </si>
  <si>
    <t>농장직송 케일 쌈 주스 그린스무디 쌈채소 샐러드야채 당일수확 2kg, 1개 [원산지:국산(경기도 양평군)]</t>
  </si>
  <si>
    <t>로메인, 청로메인 500g 1kg 농장직송 당일수확 [원산지:국산(경기도 양평군)]</t>
  </si>
  <si>
    <t>프리미엄 맑은농장 김천자두 5kg(왕왕특고당도) 후무사자두</t>
  </si>
  <si>
    <t>길경영농조합법인</t>
  </si>
  <si>
    <t>126-86-80182</t>
  </si>
  <si>
    <t>청청하루 무농약 도라지청 300g, 1개 [원산지:국산]</t>
  </si>
  <si>
    <t>예림농원</t>
  </si>
  <si>
    <t>342-03-03125</t>
  </si>
  <si>
    <t>프리바이오틱스 인더잼 딸기잼 (딸기쨈) 병 280g / 스틱 200g [원산지:국산(전라북도 정읍시)]</t>
  </si>
  <si>
    <t>애플링 국산 동결건조 사과칩·배칩 무첨가 건강간식 어린이 유아 [원산지:국산(경상북도 문경시)]</t>
  </si>
  <si>
    <t>자두 대석 5kg GAP 노지 의성 옥자두 로얄대석 고당도 임산부 당일수확 산지직송 [원산지:국산(경상북도 의성군)]</t>
  </si>
  <si>
    <t>농부가바로팜 무항생제 동물복지 유정란 60구 신선계란 난각번호2번 [원산지:국산(전라남도 나주시)]</t>
  </si>
  <si>
    <t>버섯 그대로 톡톡 국산 무농약 말린 버섯 모둠 요리용 [원산지:국산(전라북도 진안군)]</t>
  </si>
  <si>
    <t>성주참외 2kg 3kg 5kg 10kg 가정용 비품 고당도 꿀참외 보화농장 산지직송 [원산지:국산(경상북도 성주군)]</t>
  </si>
  <si>
    <t>토댁 수양대군 볏짚배양토 성주 꿀참외 2.5kg [원산지:국산(경상북도 성주군)]</t>
  </si>
  <si>
    <t>(주)한마당</t>
  </si>
  <si>
    <t>670-81-01262</t>
  </si>
  <si>
    <t>[오동리 콩국수]파주장단콩과 자가생면 걸쭉하고 크리미한 콩국물(680g 콩국물 실온보관) [원산지:국산(경기도 파주시)]</t>
  </si>
  <si>
    <t>농부가바로팜 무항생제 Non-Gmo 동물복지 유정란 40구 신선계란 난각번호2번 [원산지:국산(전라남도 나주시)]</t>
  </si>
  <si>
    <t>버섯 그대로 5종 국산 무농약 모둠 버섯 요리 키트 48g, 3개 [원산지:국산(전라북도 진안군)]</t>
  </si>
  <si>
    <t>루꼴라 로켓 로케트 1kg, 1개 [원산지:국산(경기도 양평군)]</t>
  </si>
  <si>
    <t>186-96-01664</t>
  </si>
  <si>
    <t>쌍둥이농장</t>
  </si>
  <si>
    <t>농장직송 와일드루꼴라 500g, 1개 [원산지:국산(경기도 양평군)]</t>
  </si>
  <si>
    <t>농장직송 와일드루꼴라 1kg, 1개 [원산지:국산(경기도 양평군)]</t>
  </si>
  <si>
    <t>도하팜</t>
  </si>
  <si>
    <t>677-97-01944</t>
  </si>
  <si>
    <t>[도하팜] [유러피안 모듬 믹스] 무농약 채소 샐러드 쌈채소 유럽 상추 [원산지:국산(경상남도 밀양시)]</t>
  </si>
  <si>
    <t>거창 수제 오미자 청 오미자 원액 엑기스 과일청 750ml, 1개 [원산지:국산(경상남도 거창군)]</t>
  </si>
  <si>
    <t>산지직송 달콤한 코코벨 대추방울토마토 [GAP] 하루방토 파밍데이즈 로얄과 1kg, 2kg [원산지:국산(경상북도 경주시)]</t>
  </si>
  <si>
    <t>제주 우도 땅콩 프리미넛 볶음땅콩 550g 당일제조 국내산 우도 [원산지:국산(제주특별자치도 제주시)]</t>
  </si>
  <si>
    <t>청청하루 무농약 도라지청 600g, 1개 [원산지:국산]</t>
  </si>
  <si>
    <t>현미 5Kg / 25년 고시히카리 햅쌀 랑이네 갓도정쌀 강화섬쌀 지퍼백 당일도정 [원산지:국산(인천광역시 강화군)]</t>
  </si>
  <si>
    <t>애플링 국산 동결건조 사과칩·배칩 자유구성 / 유아 휴대용 건강간식 [원산지:국산(경상북도)]</t>
  </si>
  <si>
    <t>수경재배 당일수확 꽃상추 2kg,4kg [원산지 - 경남 고성]</t>
  </si>
  <si>
    <t>길경농원 국산 식품명인 콩고물 도라지정과 250g 부모님 명절 설날 선물 [원산지:국산 등]</t>
  </si>
  <si>
    <t>품질보장 황토밭 맑은농장 김천자두 3kg(왕왕특고당도) 도담자두 [원산지:국산(경상북도 김천시)]</t>
  </si>
  <si>
    <t>[제주점순이네]제주 마늘 햇마늘 대사이즈 반접 한접 1kg 2.5kg 4.5kg 9kg [원산지:국산(제주특별자치도 서귀포시)]</t>
  </si>
  <si>
    <t>두루푸드 국민닭갈비 춘천닭갈비 택배 홈파티 캠핑요리 숯불닭갈비 [원산지:닭넓적다리(국산), 고추가루(국산), 기타(상세설명참조)]</t>
  </si>
  <si>
    <t>문경 오미자 2025년 생오미자 당절임 (원당) [원산지:국산(경상북도 문경시)]</t>
  </si>
  <si>
    <t>두루푸드 국민닭갈비 춘천닭갈비 택배 홈파티 캠핑요리 허브소금닭갈비 [원산지:닭고기 넓적다리(국산), 기타(상세설명참조)]</t>
  </si>
  <si>
    <t>주식회사 드림엘링크</t>
  </si>
  <si>
    <t>562-81-04158</t>
  </si>
  <si>
    <t>이기순 명인의 순 프리미엄 울금 포기 김치 5kg 국산 100% 국내산 배추 김장 [원산지:국산]</t>
  </si>
  <si>
    <t>소유농장</t>
  </si>
  <si>
    <t>208-22-52837</t>
  </si>
  <si>
    <t>국산 무농약 상황버섯진액 GAP인증 버섯즙 부모님선물 효도선물 45포, 1개 [원산지:국산(전라남도 고흥군)]</t>
  </si>
  <si>
    <t>문경 오미자 원액 행복한 오미자청 1.5L (비정제 원당) 2병 [원산지:국산(경상북도 문경시)]</t>
  </si>
  <si>
    <t>[오동리팥죽] 국내산팥과 찹쌀로 만든 달지 않은 동지새알팥죽(680g 팥물상온보관) [원산지:국산]</t>
  </si>
  <si>
    <t>문경 오미자 원액 행복한 오미자청 1.5L (흰설탕) 2병 [원산지:국산(경상북도 문경시)]</t>
  </si>
  <si>
    <t>[오동리 콩국물] 파주장단콩 걸쭉한 콩국수용 콩국물 300g, 500g (국산콩 100%) [원산지:국산(경기도 파주시)]</t>
  </si>
  <si>
    <t>[오복농산] 햇 생옥수수 냉동 미백 흑찰옥수수 [원산지:국산(전라북도 고창군)]</t>
  </si>
  <si>
    <t>교수님 무카페인 귤피 도라지 박하 목에 좋은 3종 차선물세트 선물용차 60티백 [원산지:국산(경상북도 영천시) 등]</t>
  </si>
  <si>
    <t>국내산 냉동 닭오돌뼈 연골 야키토리 5kg [원산지:국산(전라북도 군산시)]</t>
  </si>
  <si>
    <t>오미자청 원액 엑기스 500ml 2병 선물세트 [원산지:국산(경기도 연천군)]</t>
  </si>
  <si>
    <t>문경 오미자 2025년 생오미자 당절임 (흰설탕) [원산지:국산(경상북도 문경시)]</t>
  </si>
  <si>
    <t>2kg 7분도 현미/25년 고시히카리 햅쌀/당일도정 특등급 선물용 정미소직판 [원산지:국산(인천광역시 강화군)]</t>
  </si>
  <si>
    <t>문경 오미자 원액 행복한 오미자청1.5L(비정제 원당) 4병 [원산지:국산]</t>
  </si>
  <si>
    <t>감익는마을 7년숙성 천연 감식초 500ml x2 항아리발효 자연침전 무설탕 무첨가 [원산지:국산(경상남도 밀양시) 등]</t>
  </si>
  <si>
    <t>502-81-55602</t>
  </si>
  <si>
    <t>농업법인회사 (주)초록원</t>
  </si>
  <si>
    <t>국산 무항생제 닭가슴살 10kg (500g X 20EA)냉장 신선 [원산지:국산]</t>
  </si>
  <si>
    <t>당일수확 농장직송 생바질 스위트 식용허브 1kg, 1개 [원산지:국산(경기도 양평군)]</t>
  </si>
  <si>
    <t>주식회사 강평농업회사법인</t>
  </si>
  <si>
    <t>642-81-00628</t>
  </si>
  <si>
    <t>고당도 스테비아 방울토마토 단마토 1kg 2kg 산지직송 스테비아토마토[비오채] [원산지:국산(충청남도 부여군)]</t>
  </si>
  <si>
    <t>국내산 냉동 닭내장 1kg 곱창,알탕, 닭부산물 [원산지:국산(전라북도 익산시)]</t>
  </si>
  <si>
    <t>옛가마니 선물용 쌀 2.5kg 25년 고시히카리 햅쌀 /당일도정 특등급/ 소포장 [원산지:국산(인천광역시 강화군)]</t>
  </si>
  <si>
    <t>청도 복숭아 왕특대과 특대과 특판전! (물복 딱복 부드러운 말랭이 말랑이 말랭 말랑 딱딱이 아삭이 털 복숭아) 4kg [원산지:국산(경상북도 청도군)]</t>
  </si>
  <si>
    <t>성주 참외 10kg 프리미엄 특품 중과 고당도 꿀 참외 보화 농장 산지 직송 [원산지:국산(경상북도 성주군)]</t>
  </si>
  <si>
    <t>초원 국내산 생 무뼈닭발 뼈없는 닭발 900g x2봉 [원산지:국산]</t>
  </si>
  <si>
    <t>오복농산 국내산 저온압착 전통기름 3종 참기름 들기름 생들기름 180ml 250ml [원산지:국산(전라북도 고창군)]</t>
  </si>
  <si>
    <t>한돈 돼지 안심 탕수육 장조림 돈까스 고기 냉장, 500g, 2개 [원산지:국산]</t>
  </si>
  <si>
    <t>주식회사 시즌드시즌</t>
  </si>
  <si>
    <t>677-87-02304</t>
  </si>
  <si>
    <t>[시즌드시즌] 프리미엄 티하우스 카페인 없는 '사계'차 선물세트 [원산지:상세설명에 표시]</t>
  </si>
  <si>
    <t>[무항생제 닭다리살 슬라이스] 국내산 닭정육 닭순살 냉장 500g [원산지:국산(전라북도 김제시)]</t>
  </si>
  <si>
    <t>초원 국내산 생 무뼈닭발 뼈없는 닭발 900g [원산지:국산]</t>
  </si>
  <si>
    <t>고당도 맑은농장 김천자두 5kg(왕특고당도) 후무사자두 [원산지:국산(경상북도 김천시)]</t>
  </si>
  <si>
    <t>식품명인 콩고물 도라지정과 선물세트 20g 10개입 [원산지:국산 등]</t>
  </si>
  <si>
    <t>문경 오미자 원액 행복한 오미자청 1.5L (비정제 원당) [원산지:국산(경상북도 문경시)]</t>
  </si>
  <si>
    <t>안동사과 10kg 부사 못난이사과 가정용 [원산지:국산(경상북도 안동시)]</t>
  </si>
  <si>
    <t>하늘바라기</t>
  </si>
  <si>
    <t>608-03-39557</t>
  </si>
  <si>
    <t>유기농 꽃차 메리골드차 15g, 7g 마리골드 금잔화 [원산지:국산(경상남도 창원시 마산합포구)]</t>
  </si>
  <si>
    <t>농부가바로팜 무항생제 동물복지 유정란 40구 신선계란 난각번호2번 [원산지:국산(전라남도 나주시)]</t>
  </si>
  <si>
    <t>치커리 적치커리 쌈채소 샐러드야채 500g 1kg 농장직송 당일수확 [원산지:국산(경기도 양평군)]</t>
  </si>
  <si>
    <t>길경농원 도라지 6년근 도라지즙 도라지엑기스 길경 청청하루 [원산지:국산]</t>
  </si>
  <si>
    <t>온드리목장 100g 무가당 꾸덕한 그릭요거트 산미없이 고소한 [원산지:국산(전라남도 화순군)]</t>
  </si>
  <si>
    <t>25년 백옥찰 찹쌀 5kg 10kg 20kg 손잡이형 무훈증 당일도정 맛있는쌀</t>
  </si>
  <si>
    <t>청청하루 식품명인 궁중 도라지정과 250g, 2개 [원산지:국산]</t>
  </si>
  <si>
    <t>여주시농협RPC 대왕님표 여주쌀 현미 진상 당일도정 25년 햅쌀 10kg, 2개 [원산지:국산(경기도 여주시)]</t>
  </si>
  <si>
    <t>[오동리 팥물] 국내산 팥만으로 만든 달지않은 팥물(상온보관 500ml) [원산지:국산]</t>
  </si>
  <si>
    <t>가득 담은 버섯 영양밥 즉석밥 국산 무농약 고식이섬유 간편식 약밥 160g, 4개 [원산지:국산]</t>
  </si>
  <si>
    <t>국내산 냉동 닭고기 부산물 토종닭발 10kg 종류별 [원산지:국산]</t>
  </si>
  <si>
    <t>거창 수제 오미자 청 오미자 원액 엑기스 과일청 750ml, 4개 [원산지:국산(경상남도 거창군)]</t>
  </si>
  <si>
    <t>오미자청 원액 엑기스 500ml [원산지:국산(경기도 연천군) 등]</t>
  </si>
  <si>
    <t>양파만</t>
  </si>
  <si>
    <t>257-35-01010</t>
  </si>
  <si>
    <t>[양파만] 국내산 양파 카라멜라이징 카라멜라이즈 볶음양파 간편조미료 실속형 [원산지:국산(경상북도 고령군)]</t>
  </si>
  <si>
    <t>국내산 뼈없는닭발 200g 무뼈닭발 [원산지:국산]</t>
  </si>
  <si>
    <t>청청하루 식품명인 궁중 도라지정과 500g, 3개 [원산지:국산]</t>
  </si>
  <si>
    <t>예다움 상주 곶감 혼합1호 가정의달 부모님 선물세트 반건시 대과 크림치즈호두말이 30과 [원산지:상세설명에 표시]</t>
  </si>
  <si>
    <t>오색 대추 방울 토마토 GAP 3kg 1.5kg 현대농장 수퍼방토 [원산지:국산(경기도 평택시)]</t>
  </si>
  <si>
    <t>상주 곶감 반건시 혼합 9구 15구 곶감단지 크림치즈 호두말이 디저트 실속형 선물세트 [원산지:상세설명에 표시]</t>
  </si>
  <si>
    <t>문경 오미자 원액 오미자럽 오미자청1.5L 4병 [원산지:국산(경상북도 문경시)]</t>
  </si>
  <si>
    <t>이기순 명인의 순 고춧가루 500g 1kg 햇 25년산 국산 가정용 업소용 요리용 보통맛 [원산지:국산]</t>
  </si>
  <si>
    <t>농업회사법인주식회사파밍</t>
  </si>
  <si>
    <t>664-81-03697</t>
  </si>
  <si>
    <t>[오플룻트] 유럽종 완숙 못난이 토마토 델라토 5kg [원산지:국산(경상북도 상주시)]</t>
  </si>
  <si>
    <t>상황조은농장</t>
  </si>
  <si>
    <t>531-92-00800</t>
  </si>
  <si>
    <t>국내산 상황버섯 실속형(연천 상황조은농장 상황버섯) 500g [원산지:국산(경기도 연천군)]</t>
  </si>
  <si>
    <t>쿠시룽</t>
  </si>
  <si>
    <t>136-04-11105</t>
  </si>
  <si>
    <t>[정담은 농장]쿠시룽 현미누룽지 세트, 대(30개입) 유기농1분도현미 명절선물 답례품 간식 [원산지:상세설명에 표시]</t>
  </si>
  <si>
    <t>해피팜</t>
  </si>
  <si>
    <t>753-27-02040</t>
  </si>
  <si>
    <t>해피팜땅콩버터 [원산지:국산(강원도 삼척시)]</t>
  </si>
  <si>
    <t>463-93-01691</t>
  </si>
  <si>
    <t>피스팜</t>
  </si>
  <si>
    <t>길경농원 국산 도라지즙 3년근 6년근 도라지배즙 청청하루 [원산지:국산]</t>
  </si>
  <si>
    <t>153양봉원</t>
  </si>
  <si>
    <t>312-06-28581</t>
  </si>
  <si>
    <t>국산천연벌꿀 곰돌이꿀 250g 벚꽃 아카시아 야생화 피나무 [원산지:국산(충청남도 아산시) 등]</t>
  </si>
  <si>
    <t>알찬연근팜</t>
  </si>
  <si>
    <t>604-02-68674</t>
  </si>
  <si>
    <t>달달 향긋한 경산 신품종 망고복숭아 옐로복숭아 900g 1.8kg [원산지:국산(경상북도 경산시)]</t>
  </si>
  <si>
    <t>이기순 명인의 순 열무김치 2kg 국산 열무 국내산 김치 맛집 주문 국수 냉면 프리미엄 [원산지:국산]</t>
  </si>
  <si>
    <t>경기G마크 GAP 저탄소 농산물 평화농원 먹골배 신고배 가공용 배즙용 요리용 15kg [원산지:국산(경기도 남양주시)]</t>
  </si>
  <si>
    <t>순희엄마 수제 천연발효 쓴맛없는 여주식초 선물세트 500mlX2개 [원산지:국산(경상남도 거창군)]</t>
  </si>
  <si>
    <t>영호진미 백미 무훈증 당일도정 맛있는쌀 3kg, 1개 [원산지:국산(경상남도 함안군)]</t>
  </si>
  <si>
    <t>청청하루 식품명인 궁중 도라지정과 500g, 1개 [원산지:국산]</t>
  </si>
  <si>
    <t>1kg 3개 선물세트(백미, 7분도) 25년 고시히카리 햅쌀/ 당일도정 특등급/소포장 [원산지:국산(인천광역시 강화군)]</t>
  </si>
  <si>
    <t>국내산 통 닭발 생 무뼈닭발(200g x 5팩) 냉동 뼈없는 닭발 [원산지:국산]</t>
  </si>
  <si>
    <t>로메인 적로메인 농장직송 발송당일수확 1kg 2kg 샐러드야채 쌈채소 [원산지:국산(경기도 양평군)]</t>
  </si>
  <si>
    <t>영호진미 백미 무훈증 당일도정 맛있는쌀 10kg, 2개 [원산지:국산(경상남도 함안군)]</t>
  </si>
  <si>
    <t>농장직송 케일 쌈 그린스무디 2kg, 1개 [원산지:국산(경기도 양평군)]</t>
  </si>
  <si>
    <t>선물하기 좋은 카페인 없는 마시는 프리미엄 블렌딩 차 3종 선물세트 30티백 [원산지:국산(경상북도 영천시) 등]</t>
  </si>
  <si>
    <t>비타민채소 그린비타민 다채 샐러드야채 특수야채 이유식재료 1kg 500g [원산지:국산(경기도 양평군)]</t>
  </si>
  <si>
    <t>[도하팜][버터헤드 단품] 수경재배 무농약 GAP 유럽샐러드 유럽 상추 [원산지:국산(경상남도 밀양시)]</t>
  </si>
  <si>
    <t>사조 오리 주물럭 양념 오리불고기 1kg 넉넉한 양 [원산지:국산(전라남도 나주시)]</t>
  </si>
  <si>
    <t>토댁 성주 못난이참외 3kg, 1개 [원산지:국산(경상북도 성주군)]</t>
  </si>
  <si>
    <t>복숭아 신비복숭아 신선 천도 딱딱이 옐로드림 복숭아 [예약판매] [원산지:국산(경상북도 경산시)]</t>
  </si>
  <si>
    <t>농장직송 케일 쌈 주스 그린스무디 쌈채소 샐러드야채 당일수확 1kg, 1개 [원산지:국산(경기도 양평군)]</t>
  </si>
  <si>
    <t>버섯 페스토 우마미 깊은 수제 만능 버섯소스 파스타 리조또 주먹밥 이유식 잼대용 180g [원산지:국산(경기도 용인시 처인구) 등]</t>
  </si>
  <si>
    <t>온드리목장 100g 무지방 무가당 그릭요거트 [원산지:국산(전라남도 화순군)]</t>
  </si>
  <si>
    <t>[상주토성곶감] 건시 선물세트 2.5kg, 1개 [원산지:국산(경상북도 상주시)]</t>
  </si>
  <si>
    <t>100g 낱개 25년 고시히카리 햅쌀 /당일도정 특등급/ 소포장 선물 캠핑용 [원산지:국산(인천광역시 강화군)]</t>
  </si>
  <si>
    <t>품질보장 황토밭 맑은농장 김천자두 3kg(왕왕특고당도) 후무사자두 [원산지:국산(경상북도 김천시)]</t>
  </si>
  <si>
    <t>25년 햅쌀 백진주 10Kg 강화섬쌀 최근 도정 신선한 랑이네 갓 도정쌀 정미소직판 [원산지:국산(인천광역시 강화군)]</t>
  </si>
  <si>
    <t>국내산 무항생제 가슴살 1kg x10팩 [원산지:국산]</t>
  </si>
  <si>
    <t>농부가바로팜 무항생제 동물복지 유정란 중란 60구 신선계란 난각번호2번 [원산지:국산(전라남도 나주시)]</t>
  </si>
  <si>
    <t>654-88-01503</t>
  </si>
  <si>
    <t>(주)밀알케이</t>
  </si>
  <si>
    <t>영호진미 현미 1분도 5분도 7분도 5kg 10kg 손잡이형 무훈증 당일도정 맛있는쌀 [원산지:국산(경상남도 함안군)]</t>
  </si>
  <si>
    <t>루꼴라 로켓 로케트 500g, 1개 [원산지:국산(경기도 양평군)]</t>
  </si>
  <si>
    <t>농부가바로팜 무항생제 동물복지 유정란 혼합 60구(유30+중30) 신선계란 난각번호2번 [원산지:국산(전라남도 나주시)]</t>
  </si>
  <si>
    <t>길경농원 식품명인 국산 코코아 도라지정과 실속형 [원산지:국산 등]</t>
  </si>
  <si>
    <t>국내산 임산부 달지 않은 수제 건 대추 차 티백 50개입, 1개 [원산지:국산(경상북도 영천시)]</t>
  </si>
  <si>
    <t>농업회사법인연꽃정원유한회사</t>
  </si>
  <si>
    <t>351-81-01207</t>
  </si>
  <si>
    <t>연꽃정원 연잎밥 [원산지:국산(경기도 김포시) 등]</t>
  </si>
  <si>
    <t>2026 첫 수확 문경 햇체리 1kg [원산지:국산(경상북도 문경시)]</t>
  </si>
  <si>
    <t>식품명인 국산 도라지 선물세트 도라지청 도라지차 콩고물 도라지정과 상견례 답례품 명절 [원산지:국산 등]</t>
  </si>
  <si>
    <t>버섯 그대로 5종 국산 무농약 모둠 버섯 요리 키트 48g, 1개 [원산지:국산(전라북도 진안군)]</t>
  </si>
  <si>
    <t>당일수확 농장직송 생바질 스위트 식용허브 500g, 1개 [원산지:국산(경기도 양평군)]</t>
  </si>
  <si>
    <t>100g 14개입/25년 고시히카리 햅쌀 랑이네갓도정쌀 /소포장 선물 캠핑용 당일도정 특등급 [원산지:국산(인천광역시 강화군)]</t>
  </si>
  <si>
    <t>이기순 명인의 순 깍두기 2kg 국산 무 국내산 김치 맛집 주문 무김치 프리미엄 [원산지:국산]</t>
  </si>
  <si>
    <t>GAP 현대농장 수퍼방토 1.5kg 산지직송 신선보장 대추 방울 토마토 [원산지:국산(경기도 평택시)]</t>
  </si>
  <si>
    <t>농장직송 와일드루꼴라 300g, 1개 [원산지:국산(경기도 양평군)]</t>
  </si>
  <si>
    <t>딜 허브 생잎 차지키소스 레몬딜버터 50g 100g</t>
  </si>
  <si>
    <t>오미자청 원액 엑기스 50ml 5병 한잔용 휴대용 [원산지:국산(경기도 연천군) 등]</t>
  </si>
  <si>
    <t>문경 오미자 원액 오미자럽 오미자청1.5L 2병 [원산지:국산(경상북도 문경시)]</t>
  </si>
  <si>
    <t>[오동리 새알심]국내산 찹쌀로 만든 쫀득한 오동리 새알심 1.8kg (180gx10팩) [원산지:국산]</t>
  </si>
  <si>
    <t>25년 백옥찰 현미찹쌀 찰현미 3kg 6kg 무훈증 당일도정 맛있는쌀</t>
  </si>
  <si>
    <t>당일수확 농장직송 생바질 스위트 식용허브 300g, 1개 [원산지:국산(경기도 양평군)]</t>
  </si>
  <si>
    <t>해피메이킹 문경 행복한 오미자 생 오미자 청 [원산지:국산(경상북도 문경시)]</t>
  </si>
  <si>
    <t>[7종 티백 보자기포장] 카페인없는차 프리미엄 7종 샘플러: 봄, 여름, 가을, 겨울, 아침, 오후, 밤 [원산지:상세설명에 표시]</t>
  </si>
  <si>
    <t>[멜론집아들] 고당도 머스크 메론 세지 농협 세론이 나주 세지멜론 임신 부모님 선물세트 [원산지:국산(전라남도 나주시)]</t>
  </si>
  <si>
    <t>곶감 500g x 2통.씨없는 반건시.발효 눈꽃곶감.수제 건조.감익는마을 [원산지:국산(경상남도 밀양시)]</t>
  </si>
  <si>
    <t>영프로식품</t>
  </si>
  <si>
    <t>185-96-01074</t>
  </si>
  <si>
    <t>단양 전통 집고추장 마늘쫑장아찌 400g [원산지:국산(충청북도 단양군)]</t>
  </si>
  <si>
    <t>새콤달콤 맑은농장 김천자두 5kg(특품) 후무사자두 [원산지:국산(경상북도 김천시)]</t>
  </si>
  <si>
    <t>25년 영호진미 현미 1분도 5분도 7분도 3kg 6kg 무훈증 당일도정 맛있는쌀</t>
  </si>
  <si>
    <t>순희엄마 순정마초 흑마늘 천연발효 식초 2병 1000ml 선물세트 [원산지:국산]</t>
  </si>
  <si>
    <t>[오동리 팥칼국수]국내산 팥으로 만든 자가생면 팥칼국수(700g) [원산지:국산]</t>
  </si>
  <si>
    <t>청청하루 무농약 도라지청 300g, 3개 [원산지:국산]</t>
  </si>
  <si>
    <t>덖음차 유기농 햇 볶은 작두콩차 80g [원산지:국산(경상남도 창원시 마산합포구)]</t>
  </si>
  <si>
    <t>덖음 수제차 목련 꽃차 9g, 4g 신이화차 [원산지:국산(경상남도 창원시 마산합포구)]</t>
  </si>
  <si>
    <t>길경농원 청청하루 무농약 도라지 분말 가루 [원산지:국산(경기도)]</t>
  </si>
  <si>
    <t>경기 평택 찹쌀 10kg [원산지:국산(경기도 평택시)]</t>
  </si>
  <si>
    <t>연꽃정원 유기농연근차, 유기농연잎차 [원산지:국산(경기도 김포시)]</t>
  </si>
  <si>
    <t>[시즌드시즌 실속형 틴케이스 15TB] 카페인없는차_아침, 오후, 밤_프리미엄 티하우스 시즌드시즌 '하루'티 [원산지:상세설명에 표시]</t>
  </si>
  <si>
    <t>(주)페어베이커리</t>
  </si>
  <si>
    <t>116-81-97167</t>
  </si>
  <si>
    <t>우리밀 한입스콘 플레인 초코칩 바다김 오트밀레이즌 쑥고물 구움과자 5종 세트 [원산지:국산(경기도 부천시)]</t>
  </si>
  <si>
    <t>농장직송 농장직송 적근대 2kg, 1개 [원산지:국산(경기도 양평군)]</t>
  </si>
  <si>
    <t>25년 백옥찰 찹쌀 3kg 6kg 무훈증 당일도정 맛있는쌀</t>
  </si>
  <si>
    <t>국내산 설탕 없어 달지 않은 생강차 50티백 [원산지:국산(전라북도 무주군)]</t>
  </si>
  <si>
    <t>청청하루 무농약 도라지청 150g, 1개 [원산지:국산]</t>
  </si>
  <si>
    <t>[오동리 들기름막국수]글루텐프리 No밀가루 쫄깃한 식감의 국내산 100%메밀 막국수 [원산지:국산]</t>
  </si>
  <si>
    <t>(153양봉원) 국산 천연벌꿀 숙성꿀 숙성아카시아꿀 2.4kg [원산지:국산(충청남도 아산시) 등]</t>
  </si>
  <si>
    <t>길경농원 청청하루 무농약 도라지청 150g 4병 명절 부모님 선물 세트 [원산지:국산]</t>
  </si>
  <si>
    <t>예다움 상주곶감 VIP 2호 가정의달 부모님 선물세트 왕반건시 곶감단지 크림치즈말이 36과 [원산지:상세설명에 표시]</t>
  </si>
  <si>
    <t>예다움 상주 곶감 VIP 3호 명절 가정의달 부모님 선물세트 특대 반건시 40과 [원산지:국산(경상북도 상주시) 등]</t>
  </si>
  <si>
    <t>당 없는 호박 현미 팥 차 20티백 [원산지:국산(충청북도 괴산군) 등]</t>
  </si>
  <si>
    <t>해피팜구운땅콩 [원산지:국산(강원도 삼척시)]</t>
  </si>
  <si>
    <t>찰흑미 출시/2Kg 소포장/랑이네갓도정쌀 선물용 단체선물 [원산지:국산(인천광역시 강화군)]</t>
  </si>
  <si>
    <t>농장직송 농장직송 적근대 1kg, 1개 [원산지:국산(경기도 양평군)]</t>
  </si>
  <si>
    <t>621-96-06105</t>
  </si>
  <si>
    <t>HK팜</t>
  </si>
  <si>
    <t>식품명인 콩고물 도라지정과 도라지차 선물세트 250g 2개입 [원산지:국산 등]</t>
  </si>
  <si>
    <t>[무항생제 닭다리살 슬라이스] 국내산 닭정육 닭순살 냉장 1kg [원산지:국산(전라북도 김제시)]</t>
  </si>
  <si>
    <t>한국제다</t>
  </si>
  <si>
    <t>408-24-61681</t>
  </si>
  <si>
    <t>말차 30g [원산지:국산(전라남도 영암군)]</t>
  </si>
  <si>
    <t>길경농원 청청하루 꼬다리 도라지정과 120g [원산지:국산]</t>
  </si>
  <si>
    <t>예다움 상주 곶감 VIP 1호 가정의달 선물세트 특대 반건시 곶감단지 크림치즈말이 40과 [원산지:상세설명에 표시]</t>
  </si>
  <si>
    <t>[명성통닭] 옛날통닭 오븐구이 700g x 2마리 에어프라이어 15분완성 [원산지:국산(전라북도 익산시)]</t>
  </si>
  <si>
    <t>단양 4년 숙성 국산 콩 전통 재래식 시골 집 진간장 500ml [원산지:국산(충청북도 단양군)]</t>
  </si>
  <si>
    <t>사조 오리 주물럭 양념 오리불고기 600g 넉넉한 양 [원산지:국산(전라남도 나주시)]</t>
  </si>
  <si>
    <t>청도 복숭아 왕특대과 특대과 특판전! 12과 (물복 딱복 부드러운 말랭이 말랑이 말랭 말랑 딱딱이 아삭이 털 복숭아) 4kg [원산지:국산(경상북도 청도군)]</t>
  </si>
  <si>
    <t>이기순 명인의 순 볶음김치 1kg 국산배추 고춧가루 사용 볶은김치 두부 도시락 찌개 제육 [원산지:국산]</t>
  </si>
  <si>
    <t>쌀 그래 초코샌드 리얼 초콜릿 샌드 유기농 쌀과자 사무실간식 아이간식 건강한 과자 글루텐 [원산지:국산(경기도 용인시 처인구)]</t>
  </si>
  <si>
    <t>한국제다 홍삼말차 40g [원산지:국산(전라남도 영암군)]</t>
  </si>
  <si>
    <t>유기농 전통차 당아욱 꽃차 2g 블루멜로우티 [원산지:국산]</t>
  </si>
  <si>
    <t>농부가바로팜 무항생제 동물복지 구운유정란 60구 신선계란 난각번호2번 [원산지:국산(전라남도 나주시)]</t>
  </si>
  <si>
    <t>단양 5년 숙성 국산 콩 전통 재래식 시골 집된장 2kg [원산지:국산(충청북도 단양군)]</t>
  </si>
  <si>
    <t>애플링 국내산 동결건조 사과칩 20g x3봉/ 아기간식 건강과일간식 [원산지:국산(경상북도 문경시)]</t>
  </si>
  <si>
    <t>농업회사법인 주식회사 코리아식품</t>
  </si>
  <si>
    <t>608-88-00253</t>
  </si>
  <si>
    <t>청춘불판 직화불곱창 400g 혼술 캠핑 안주 돼지곱창 [원산지:상세설명에 표시]</t>
  </si>
  <si>
    <t>국내산 유기농 꽃차 4종 선물세트(맨드라미3g + 메리골드7g + 목련4g + 당아욱2g) [원산지:국산(경상남도 창원시 마산합포구)]</t>
  </si>
  <si>
    <t>이기순 명인의 순 석박지 2kg 국산 무 국내산 김치 맛집 주문 무김치 프리미엄 [원산지:국산]</t>
  </si>
  <si>
    <t>※ 업체수·상품수는 해당 월까지의 누적 기준입니다 (당월 신규분 아님).</t>
  </si>
  <si>
    <t>유기농 꽃차 소드림 2종 선물세트(메리골드, 당아욱꽃차, 목련꽃) [원산지:국산]</t>
  </si>
  <si>
    <t>2. 유통사 별 쿠폰 사용액</t>
  </si>
  <si>
    <t>이기순 명인의 순 프리미엄 울금 백김치 2kg 국내산 배추 어린이집 유치원 남녀노소 물김치 [원산지:국산]</t>
  </si>
  <si>
    <t>청청하루 무농약 도라지청 300g, 2개 [원산지:국산]</t>
  </si>
  <si>
    <t>수리취 의령망개떡 40개 [원산지:상세설명에 표시]</t>
  </si>
  <si>
    <t>1kg 선물용 와인상자/25년 고시히카리 햅쌀/당일도정 특등급 선물용 정미소직판 [원산지:국산(인천광역시 강화군)]</t>
  </si>
  <si>
    <t>도하팜 업소용 대용량 프릴아이스 [원산지:국산(경상남도 밀양시)]</t>
  </si>
  <si>
    <t>예다움 상주 곶감 혼합2호 가정의달 부모님 상견례 선물세트 반건시 대과 곶감단지 30과 [원산지:상세설명에 표시]</t>
  </si>
  <si>
    <t>가야산아래</t>
  </si>
  <si>
    <t>721-34-00290</t>
  </si>
  <si>
    <t>달콤한 참외 동결건조 후레이크 18g 10봉 [원산지:국산(경상북도 성주군)]</t>
  </si>
  <si>
    <t>[인천직구] 인천드레 강화 천연 벌꿀 아카시아꿀 야생화꿀 잡화꿀 1.2kg [원산지:국산(인천광역시 강화군)]</t>
  </si>
  <si>
    <t>774-11-01498</t>
  </si>
  <si>
    <t>경성표고버섯농장</t>
  </si>
  <si>
    <t>25년 백옥찰 현미찹쌀 찰현미 5kg 10kg 20kg 손잡이형 무훈증 당일도정 맛있는쌀</t>
  </si>
  <si>
    <t>[시즌드시즌 실속형 틴케이스 15TB] 카페인없는차_봄, 여름, 가을, 겨울_프리미엄 티하우스 시즌드시즌 '사계'티 [원산지:상세설명에 표시]</t>
  </si>
  <si>
    <t>국산 무농약 상황버섯진액 GAP인증 버섯즙 부모님선물 효도선물 25포, 1개 [원산지:국산(전라남도 고흥군)]</t>
  </si>
  <si>
    <t>[도하팜] [프릴아이스] 무농약 프리미엄 수경재배 유럽 샐러드채소 농장직송 유럽 상추 [원산지:국산(경상남도 밀양시)]</t>
  </si>
  <si>
    <t>국산 무항생제 닭고기 부위별 닭가슴살 모듬 볶음탕 1kg 신선 [원산지:국산]</t>
  </si>
  <si>
    <t>이기순 명인의 순 맛김치 2kg 국산 배추 국내산 맛집 주문 절단 썰은김치 프리미엄 [원산지:국산]</t>
  </si>
  <si>
    <t>예다움 상주 곶감 건시 실속형 가정용 감또개 못난이 곶감 [원산지:국산(경상북도 상주시)]</t>
  </si>
  <si>
    <t>국내산 냉동 닭고기 닭목살 1kg 생닭목살구이 닭특수부위 [원산지:국산]</t>
  </si>
  <si>
    <t>[인천직구]정들콩 전통 조청 고추장 1kg 수제고추장 [원산지:국산(인천광역시 강화군)]</t>
  </si>
  <si>
    <t>문경초록마을</t>
  </si>
  <si>
    <t>319-94-01654</t>
  </si>
  <si>
    <t>문경초록마을 2025년 GAP 백두대간의 자연담수로 재배한 우렁이쌀 4kg [원산지:국산(경상북도 문경시)]</t>
  </si>
  <si>
    <t>길경농원 청청하루 도라지청 스틱 홍도라지청 키즈 국산 명절 선물 [원산지:국산]</t>
  </si>
  <si>
    <t>청청하루 우리 아이 홍도라지청 스틱 어린이 도라지청 배도라지청 [원산지:국산]</t>
  </si>
  <si>
    <t>쌀그래 초코샌드 라이스 칩 선물세트 새암농장 리얼초콜릿 샌드 유기농 쌀과자 282g [원산지:국산(경기도 용인시 처인구)]</t>
  </si>
  <si>
    <t>농장직송 케일 쌈 주스 그린스무디 쌈채소 샐러드야채 당일수확 500g, 1개 [원산지:국산(경기도 양평군)]</t>
  </si>
  <si>
    <t>농업회사법인 곤충킹주식회사</t>
  </si>
  <si>
    <t>268-86-01730</t>
  </si>
  <si>
    <t>고소애 분말 고단백질 파우더 100g [원산지:국산(전라북도 장수군)]</t>
  </si>
  <si>
    <t>강화섬쌀로 만든 시골쌀라면 104g, 5개 [원산지:국산]</t>
  </si>
  <si>
    <t>손질이필요없는 무농약 건목이버섯 새암농장 생 잡채 미루나무 모기 버섯 50g 천연물광팩 [원산지:국산(경기도 용인시)]</t>
  </si>
  <si>
    <t>신선한 우리밀 앉은키밀 공정무역 우리밀 한입스콘 구움과자 디저트 플레인, 100g, 1개 [원산지:국산(경기도 부천시)]</t>
  </si>
  <si>
    <t>국산 무항생제 닭가슴살 1.5kg (500g x 3팩) 소포장 트레이 포장 [원산지:국산]</t>
  </si>
  <si>
    <t>청청하루 식품명인 궁중 도라지정과 250g, 1개 [원산지:국산]</t>
  </si>
  <si>
    <t>예다움 상주 곶감 정3호 가정의달 부모님 상견례 선물세트 반건시 크림치즈호두말이 30과 [원산지:상세설명에 표시]</t>
  </si>
  <si>
    <t>예다움 상주 곶감 반건시 정2호 명절 가정의달 부모님 상견례 선물세트 30과 [원산지:국산(경상북도 상주시)]</t>
  </si>
  <si>
    <t>[오동리 메밀면콩국수]파주장단콩과 글루텐프리 국산 100%메밀숙면(660g 콩물실온보관) [원산지:국산(경기도 파주시)]</t>
  </si>
  <si>
    <t>연꽃정원 유기농 연근조림/연근조림 [원산지:국산(경기도 김포시)]</t>
  </si>
  <si>
    <t>3대째 평택쌀(찰진쌀) 10kg, 1개 [원산지:국산(경기도 평택시)]</t>
  </si>
  <si>
    <t>국내산 상황버섯 실속형(연천 상황조은농장 상황버섯) 200g [원산지:국산(경기도 연천군)]</t>
  </si>
  <si>
    <t>애플링 하루 한 팩 모듬과일칩 4g 사과·배·딸기혼합/국산 동결건조 /어린이,건강간식 [원산지:국산(경상북도 문경시)]</t>
  </si>
  <si>
    <t>새힘 성주참외라이프</t>
  </si>
  <si>
    <t>418-98-34367</t>
  </si>
  <si>
    <t>성주 참외 고당도 꼬마 중과 가정용 당조 2kg [원산지:국산(경상북도 성주군)]</t>
  </si>
  <si>
    <t>[오동리 건강한팥물]국내산 팥으로 만든 항산성UP 무설탕 무소금 팥물(상온보관 500ml) [원산지:국산]</t>
  </si>
  <si>
    <t>[인천직구]정들콩 재래식 전통 집 수제된장 1kg [원산지:국산(인천광역시 강화군)]</t>
  </si>
  <si>
    <t>땡큐베리딸기잼 콩포트 530g 땡큐베리블루팜 [원산지:국산(경상북도 성주군)]</t>
  </si>
  <si>
    <t>오미자청 원액 엑기스 500ml 선물용 [원산지:국산(경기도 연천군) 등]</t>
  </si>
  <si>
    <t>복숭아 납작 거반도 의성 GAP 유럽 도넛 ufo복숭아 2kg [원산지:국산(경상북도 의성군)]</t>
  </si>
  <si>
    <t>25년 백옥찰 찹쌀 2kg 4kg 소포장 무훈증 당일도정 맛있는쌀</t>
  </si>
  <si>
    <t>25년 백옥찰 현미찹쌀 찰현미 2kg 4kg 소포장 무훈증 당일도정 맛있는쌀</t>
  </si>
  <si>
    <t>1.5kg - mix 오색+빨강 대추 방울 토마토 GAP 현대농장 수퍼방토 [원산지:국산(경기도 평택시)]</t>
  </si>
  <si>
    <t>참외쀼</t>
  </si>
  <si>
    <t>210-97-02245</t>
  </si>
  <si>
    <t>농부부부가 키운 고당도 성주 참외 당일수확 5.5kg [원산지:국산(경상북도 성주군)]</t>
  </si>
  <si>
    <t>농부가바로팜 무항생제 동물복지 유정란 유구 혼합 60구 신선계란 난각번호2번 [원산지:국산(전라남도 나주시)]</t>
  </si>
  <si>
    <t>새콤달콤 맑은농장 김천자두 3kg(특품) 후무사자두 [원산지:국산(경상북도 김천시)]</t>
  </si>
  <si>
    <t>애플링 국산 동결건조 사과·배칩 3팩 자유선택 유아 어린이 건강간식 .다이어트 [원산지:국산(경상북도)]</t>
  </si>
  <si>
    <t>애플링 국산 딸기칩3봉 무첨가 동결건조 과일칩 어린이 유아 건강간식 [원산지:국산(경상북도 문경시)]</t>
  </si>
  <si>
    <t>문경 오미자 원액 행복한 오미자청 500ml 두병 [원산지:국산(경상북도 문경시)]</t>
  </si>
  <si>
    <t>[상주토성곶감] 건시 선물세트 1.2kg, 1개 [원산지:국산(경상북도 상주시)]</t>
  </si>
  <si>
    <t>메론 제철 설향 하미과 그린 골드 머스크메론 프리미엄 산지직송 고당도 멜론 선물세트 가정용 [원산지:국산]</t>
  </si>
  <si>
    <t>균일가 유기농 꽃차 2종 선물세트(벚꽃 메리골드 당아욱 아카시아 등) [원산지:국산(경상남도 창원시 마산합포구)]</t>
  </si>
  <si>
    <t>200g 낱개 25년 고시히카리 햅쌀 /당일도정 특등급/소포장 선물 캠핑용 [원산지:국산(인천광역시 강화군)]</t>
  </si>
  <si>
    <t>한국제다 현미녹차 100g 지관 [원산지:국산(전라남도 영암군)]</t>
  </si>
  <si>
    <t>운동할때 마시는 국내산 구수한 우엉차 티백 50개입, 1개 [원산지:국산(경상북도 안동시)]</t>
  </si>
  <si>
    <t>구수한 국산 뽕나무잎 상엽차 50티백 [원산지:국산(충청북도 제천시)]</t>
  </si>
  <si>
    <t>이기순 명인의 순 총각김치 2kg 국산 총각무 국내산 맛집 주문 무청 알타리 아삭 프리미엄 [원산지:국산]</t>
  </si>
  <si>
    <t>단양 전통 집고추장 국산 마늘장아찌 800g [원산지:국산(충청북도 단양군)]</t>
  </si>
  <si>
    <t>문경 오미자 원액 오미자럽 오미자청 1.5L [원산지:국산(경상북도 문경시)]</t>
  </si>
  <si>
    <t>[걸쭉한콩국물]무설탕 무첨가 짜먹는 걸쭉한 파주장단콩 콩국물 5팩(150g/팩 상온보관) [원산지:국산(경기도 파주시)]</t>
  </si>
  <si>
    <t>농부가 키운 유기농꽃차 구절초차 17g [원산지:국산(경상남도 창원시 마산합포구)]</t>
  </si>
  <si>
    <t>[모두양념닭발] 1+1팩 오직 국내산 무뼈닭발 200g포장 [원산지:국산(전라북도 익산시)]</t>
  </si>
  <si>
    <t>농부부부가 키운 고당도 성주 참외 당일수확 3.3KG [원산지:국산(경상북도 성주군)]</t>
  </si>
  <si>
    <t>몸에 좋은 대추 생강 차 20티백 [원산지:국산(경상북도 영천시) 등]</t>
  </si>
  <si>
    <t>유기농 수제차 당아욱 꽃차 4g , 2g 블루멜로우티 [원산지:국산(경상남도 창원시 마산합포구)]</t>
  </si>
  <si>
    <t>국산 무항생제 생닭가슴살 500g x 2팩(1kg)냉장 신선 [원산지:국산]</t>
  </si>
  <si>
    <t>100g 7개입/25년 고시히카리 햅쌀 랑이네갓도정쌀 /소포장 선물 캠핑용 당일도정 특등급 [원산지:국산(인천광역시 강화군)]</t>
  </si>
  <si>
    <t>참마빵 연천 마빵 구운마빵 5개 장기선마카페 [원산지:국산(경기도)]</t>
  </si>
  <si>
    <t>[닭가슴살+닭다리살 슬라이스 친구] 국산 무항생제 (500g x 2팩) 소포장 진공포장 [원산지:국산(전라북도 김제시)]</t>
  </si>
  <si>
    <t>[모두 한입닭갈비] 춘천 3팩 국산 닭정육 캠핑 500gx3팩 (3~4인분) [원산지:국산]</t>
  </si>
  <si>
    <t>물대신 마시기 좋은 향긋한 귤피차 50티백 [원산지:국산(제주특별자치도 서귀포시)]</t>
  </si>
  <si>
    <t>청도 복숭아 왕특대과 특대과 특판전! 16과 (물복 딱복 부드러운 말랭이 말랑이 말랭 말랑 딱딱이 아삭이 털 복숭아) 4kg [원산지:국산(경상북도 청도군)]</t>
  </si>
  <si>
    <t>단양 전통 한식 집 간장 할라피뇨 국산 궁채 모듬장아찌 800g [원산지:국산(충청북도 단양군) 등]</t>
  </si>
  <si>
    <t>평해마을</t>
  </si>
  <si>
    <t>834-86-00464</t>
  </si>
  <si>
    <t>답운농장 큰며느리 차3종세트 20티백 3종 세트 [원산지:국산(경상북도 울진군)]</t>
  </si>
  <si>
    <t>건조고소애 건강영양간식 100g 식용곤충식품 고단백 단백질보충 [원산지:국산(전라북도 장수군)]</t>
  </si>
  <si>
    <t>국내산 껍질 벗긴 참마 분말 마가루 150g [원산지:국산(경기도 연천군)]</t>
  </si>
  <si>
    <t>로즈마리생잎 모히또용 데코용 허브 농장직송 당일수확 - 50g 100g [원산지:국산(경기도 양평군)]</t>
  </si>
  <si>
    <t>통밀 식이섬유 공정무역 우리밀 한입스콘 구움과자 디저트 오트밀 레이즌, 100g, 1개 [원산지:국산(경기도 부천시)]</t>
  </si>
  <si>
    <t>[인천직구]정들콩 국산콩 무염 청국장 100g 10개입 [원산지:국산(인천광역시 강화군)]</t>
  </si>
  <si>
    <t>청춘불판 무뼈불닭발 200g 뼈없는 매운 닭발 술안주 혼술 캠핑 [원산지:상세설명에 표시]</t>
  </si>
  <si>
    <t>농장직송 케일 쌈 그린스무디 1kg, 1개 [원산지:국산(경기도 양평군)]</t>
  </si>
  <si>
    <t>한국제다 그린티믹스 14 스틱 [원산지:국산(전라남도 영암군)]</t>
  </si>
  <si>
    <t>유기농차 목련 꽃차 4g 신이화차 [원산지:국산(경상남도 창원시 마산합포구)]</t>
  </si>
  <si>
    <t>한국식 페퍼민트 국내산 목에 좋은 코뻥 박하차 티백 50개입, 1개 [원산지:국산(전라남도 구례군)]</t>
  </si>
  <si>
    <t>국내산 국산 구수한 볶은 작두콩차 티백 50개입, 1개 [원산지:국산(경상북도 경산시)]</t>
  </si>
  <si>
    <t>청춘불판 직화껍데기 350g 국내산 직화 불향 자체양념소스 [원산지:상세설명에 표시]</t>
  </si>
  <si>
    <t>루꼴라 로켓 로케트 300g, 1개 [원산지:국산(경기도 양평군)]</t>
  </si>
  <si>
    <t>애플링 국산 동결건조 배칩 3팩 / 무첨가 건강간식 아기간식 [원산지:국산(경상북도 상주시)]</t>
  </si>
  <si>
    <t>이기순 명인의 순 갓김치 1kg 2kg 국산 갓 국내산 김치 맛집 주문 전라도 프리미엄 [원산지:국산]</t>
  </si>
  <si>
    <t>국내산 육수용 닭뼈 10kg (5kg x2봉) 닭몸통뼈 사골뼈 [원산지:국산]</t>
  </si>
  <si>
    <t>농장직송 적겨자 잎 쌈채소 500g, 1개 [원산지:국산(경기도 양평군)]</t>
  </si>
  <si>
    <t>농장직송 농장직송 적근대 300g, 1개 [원산지:국산(경기도 양평군)]</t>
  </si>
  <si>
    <t>국내산 밤티 밤속껍질 율피 밤차 50티백 [원산지:국산(충청남도 아산시)]</t>
  </si>
  <si>
    <t>416-81-44143</t>
  </si>
  <si>
    <t>도울 F&amp;B</t>
  </si>
  <si>
    <t>고기얌 불오돌뼈 250g 국내산 매운 양념 캠핑 혼술 안주 [원산지:상세설명에 표시]</t>
  </si>
  <si>
    <t>[오복농산] 박 계영님의 건 여주 / 여주차 [원산지:국산(전라북도 고창군)]</t>
  </si>
  <si>
    <t>신선한 우리밀 앉은키밀 공정무역 우리밀 한입스콘 구움과자 디저트 초코칩, 100g, 1개 [원산지:국산(경기도 부천시)]</t>
  </si>
  <si>
    <t>신선한 우리밀 앉은키밀 공정무역 우리밀 한입스콘 구움과자 디저트 바다김, 100g, 1개 [원산지:국산(경기도 부천시)]</t>
  </si>
  <si>
    <t>신선한 우리밀 앉은키밀 공정무역 우리밀 한입스콘 구움과자 디저트 쑥고물, 100g, 1개 [원산지:국산(경기도)]</t>
  </si>
  <si>
    <t>농장직송 농장직송 적근대 500g, 1개 [원산지:국산(경기도 양평군)]</t>
  </si>
  <si>
    <t>국내산 냉동 닭특수부위 닭똥집 닭근위 900g [원산지:국산]</t>
  </si>
  <si>
    <t>고소애 오란다 고단백 프로틴 간식 [원산지:국산(경기도 고양시)]</t>
  </si>
  <si>
    <t>당일수확 농장직송 생바질 스위트 식용허브 100g, 1개 [원산지:국산(경기도 양평군)]</t>
  </si>
  <si>
    <t>고단백 고소애 초코칩쿠키(1개) 프로틴 간식 식용 곤충 밀웜 쿠키 어린이 영양간식 [원산지:국산(경기도)]</t>
  </si>
  <si>
    <t>쌀그래 아몬드 서리태 라이스칩 아몬드 서리태 누룽지 쌀과자 무설탕 저염 아이간식 새암농장 [원산지:국산(경기도 용인시)]</t>
  </si>
  <si>
    <t>주식회사 더락</t>
  </si>
  <si>
    <t>593-86-01295</t>
  </si>
  <si>
    <t>국내산 한돈 수제 돼지갈비찜 600g (2종 중 택1)</t>
  </si>
  <si>
    <t>국내산 한돈 수제 양념 돼지갈비 450G (2종 중 택1)</t>
  </si>
  <si>
    <t>농업회사법인 라이플로우 주식회사</t>
  </si>
  <si>
    <t>715-87-02493</t>
  </si>
  <si>
    <t>[온누리7%혜택][주왕산가든] 한우불고기 전골 밀키트 750g 3인분 불고기 육수 야채 소불고기</t>
  </si>
  <si>
    <t>[온누리7%혜택][주왕산가든] 명품 한돈 수제 돼지갈비 실속형 500g 양념돼지갈비 밀키트</t>
  </si>
  <si>
    <t>당진해나루쌀조합공동사업법인</t>
  </si>
  <si>
    <t>323-88-00158</t>
  </si>
  <si>
    <t>[출고당일도정] 2025년산 햅쌀 당진해나루쌀 삼광미 특등급 쌀10kg</t>
  </si>
  <si>
    <t>[출고당일도정] 2025년산 햅쌀 당진해나루쌀 삼광미 특등급 쌀20kg</t>
  </si>
  <si>
    <t>[출고당일도정] 2025년산 햅쌀 당진해나루 당찬쌀 상등급 20kg</t>
  </si>
  <si>
    <t>[출고당일도정] 2025년산 햅쌀 당진해나루 당찬쌀 상등급 10kg</t>
  </si>
  <si>
    <t>[출고당일도정] 2025년산 햅쌀 당진해나루 신유빈쌀 삼광미 특등급 쌀10kg</t>
  </si>
  <si>
    <t>선김치</t>
  </si>
  <si>
    <t>409-23-97341</t>
  </si>
  <si>
    <t>[온누리7%혜택][말바우시장 선김치] 전라도 국산 알타리 총각김치</t>
  </si>
  <si>
    <t>[온누리7%혜택][말바우시장 선김치] 전라도 국산 얼갈이김치</t>
  </si>
  <si>
    <t>[온누리7%혜택][말바우시장 선김치] 전라도 국산 파김치</t>
  </si>
  <si>
    <t>[온누리7%혜택][말바우시장 선김치] 전라도 국산 여수갓김치</t>
  </si>
  <si>
    <t>[온누리7%혜택][말바우시장 선김치] 전라도 국산 알배기 겉절이 김치 외</t>
  </si>
  <si>
    <t>[온누리7%혜택][말바우시장 선김치] 전라도 국산 열무김치</t>
  </si>
  <si>
    <t>[온누리7%혜택][말바우시장 선김치] 전라도 국산 오이소박이 김치</t>
  </si>
  <si>
    <t>[온누리7%혜택][100% 국산 청양고추] 말바우시장 선김치 맛있게 매운 실비 배추겉절이</t>
  </si>
  <si>
    <t>[온누리7%혜택][100% 국산 청양고추] 말바우시장 선김치 맛있게 매운 실비 배추김치</t>
  </si>
  <si>
    <t>[온누리7%혜택][말바우시장 선김치] 전라도 국산 포기 배추김치</t>
  </si>
  <si>
    <t>[온누리7%혜택]말바우시장 국산 전라도 알배기 겉절이 김치</t>
  </si>
  <si>
    <t>[온누리7%혜택][100% 국산 청양고추] 말바우시장 선김치 맛있게 매운 실비 파김치</t>
  </si>
  <si>
    <t>[온누리7%혜택][말바우시장 선김치] 국산 전라도 가정식 깍두기 김치</t>
  </si>
  <si>
    <t>[온누리7%혜택][말바우시장 선김치] 국산 전라도 가정식 석박지</t>
  </si>
  <si>
    <t>[온누리7%혜택][말바우시장 선김치] 국산 전라도 부추김치</t>
  </si>
  <si>
    <t>[온누리7%혜택][말바우시장 선김치] 국산 전라도 가정식 수제 백김치</t>
  </si>
  <si>
    <t>[온누리7%혜택][말바우시장 선김치] 국산 전라도 다발무김치</t>
  </si>
  <si>
    <t>[온누리7%혜택][말바우시장 선김치] 전라도 국산 알배기 겉절이 김치 1kg 외</t>
  </si>
  <si>
    <t>[온누리7%혜택][말바우시장 선김치] 25년 국산 햇고춧가루 김치 반찬용</t>
  </si>
  <si>
    <t>정선아라리한과농원 영농조합법인</t>
  </si>
  <si>
    <t>226-81-48890</t>
  </si>
  <si>
    <t>[온누리7%혜택]국산 석류와 배를 담은 수제생강청 착즙원액 스틱 30포</t>
  </si>
  <si>
    <t>[온누리7%혜택]물한방울 섞지 않은 100%착즙 국산 수제 생강청 생강원액 420g</t>
  </si>
  <si>
    <t>[온누리7%혜택]정선 약도라지 착즙원액 국산 도라지청 추석 설 명절 선물 420g</t>
  </si>
  <si>
    <t>[온누리7%혜택][살수록할인]정선사위 정선약도라지청 착즙 원액 스틱 30포3박스</t>
  </si>
  <si>
    <t>[온누리7%혜택]강옥연 국산 수제 한입 도라지정과 한입 더덕정과 명절 선물 100g</t>
  </si>
  <si>
    <t>[온누리7%혜택]국산 도라지청 약도라지 착즙 원액 420g</t>
  </si>
  <si>
    <t>[온누리7%혜택]국산 콩고물 수제 도라지정과 350g (실크 보자기포장 포함) 상견례 추석 명절 선물세트</t>
  </si>
  <si>
    <t>[온누리7%혜택]국산 콩고물 수제 도라지정과 500g (고급 보자기포장 포함) 상견례 추석 명절 선물세트</t>
  </si>
  <si>
    <t>[온누리7%혜택]국산 콩고물 수제 도라지정과 300g (고급 보자기포장 포함) 상견례 추석 명절 선물세트</t>
  </si>
  <si>
    <t>[온누리7%혜택]국산 생강 착즙원액 650g 생강청 생강차</t>
  </si>
  <si>
    <t>[온누리7%혜택]국산 콩고물 수제 더덕정과 350g (실크 보자기포장 포함) 상견례 추석 명절 선물세트</t>
  </si>
  <si>
    <t>[온누리7%혜택]정선 약도라지 착즙원액 국산 도라지청 추석 설 명절 선물 150g</t>
  </si>
  <si>
    <t>[온누리7%혜택]물한방울 섞지 않은 100% 착즙 국산 수제 생강청 생강원액 630g</t>
  </si>
  <si>
    <t>[온누리7%혜택]국산 도라지청 약도라지 착즙 원액 630g</t>
  </si>
  <si>
    <t>[온누리7%혜택]국산 구수한 가마솥 우리쌀 누룽지 간식 1kg</t>
  </si>
  <si>
    <t>더바른컴퍼니</t>
  </si>
  <si>
    <t>771-81-03506</t>
  </si>
  <si>
    <t>[떡1위] 반반 바람떡 1box 개별포장 100%국산쌀</t>
  </si>
  <si>
    <t>[떡1위] 초코팅 피넛버터크림떡 1box 개별포장 100%국산쌀</t>
  </si>
  <si>
    <t>[떡1위] 초코팅 말차크림떡 1box 개별포장 100%국산쌀</t>
  </si>
  <si>
    <t>[떡 1위] 더바른떡 콩쑥개떡 1box 100%국산쌀</t>
  </si>
  <si>
    <t>[떡1위] 파베초코크림떡 1box 개별포장 100%국산쌀</t>
  </si>
  <si>
    <t>[떡1위] 복숭아요거트크림떡 1box 개별포장 100%국산쌀</t>
  </si>
  <si>
    <t>[APP전용] 더바른 앙꼬절편 4종 1팩/2팩 (흰팥,쑥,흑임자,고구마)</t>
  </si>
  <si>
    <t>[떡 1위] 굳지않는 삼색꿀떡 1box 개별포장 100%국산쌀</t>
  </si>
  <si>
    <t>[떡1위] 저당 밥알찹쌀떡 1box 개별포장 100%국산쌀</t>
  </si>
  <si>
    <t>[떡1위] 딸기크림떡/밤크림떡 1box/2box 개별포장 100%국산쌀</t>
  </si>
  <si>
    <t>[떡 1위] 딸기크림떡 1box 개별포장 100%국산쌀</t>
  </si>
  <si>
    <t>팥/흑임자/고구마앙꼬절편 500G+500G</t>
  </si>
  <si>
    <t>[떡 1위] 자연해동 오색송편 1pack (추가 구매시 더 큰 할인)</t>
  </si>
  <si>
    <t>[떡 1위] 삼색가래떡 1kg 100%국산쌀</t>
  </si>
  <si>
    <t>[떡 1위] 영양찰떡 1box 개별포장 100%국산쌀</t>
  </si>
  <si>
    <t>[떡 1위] 우유꿀설기 1box 개별포장 100%국산쌀</t>
  </si>
  <si>
    <t>[떡 1위] 흑임자찹쌀떡 1box 100%국산쌀</t>
  </si>
  <si>
    <t>[떡 1위] 카스테라찹쌀떡 1box 100%국산쌀</t>
  </si>
  <si>
    <t>[떡 1위] 크림찹쌀떡 1box 100%국산쌀</t>
  </si>
  <si>
    <t>쿠폰 배정액</t>
  </si>
  <si>
    <t>[떡 1위] 콩가루쑥인절미 1box 100%국산쌀</t>
  </si>
  <si>
    <t>[떡 1위 흑임자호박인절미 1box 100%국산쌀</t>
  </si>
  <si>
    <t>[떡1위] 카스테라호박인절미 1box 100%국산쌀</t>
  </si>
  <si>
    <t>지리산피아골식품영농조합법인</t>
  </si>
  <si>
    <t>416-81-79884</t>
  </si>
  <si>
    <t>국산 농산물로 만든 프리미엄 산채주먹밥(고추장버전) 100gx5팩</t>
  </si>
  <si>
    <t>국산 농산물로 만든 프리미엄 산채주먹밥(간장버전) 100gx5팩</t>
  </si>
  <si>
    <t>잔여금액</t>
  </si>
  <si>
    <t>산나물반찬 완제품 150gx5종세트 (고사리/취나물/부지깽이/곤드레/토란대)</t>
  </si>
  <si>
    <t>국산두부 짜글이 200g 비빔장 덮밥소스</t>
  </si>
  <si>
    <t>구수한 우거지 된장국 500gx5팩</t>
  </si>
  <si>
    <t>구수한 우거지 된장국 500gx3팩</t>
  </si>
  <si>
    <t>프리미엄 구수한 감칠맛 고로쇠 청국장찌개 450g x 5팩</t>
  </si>
  <si>
    <t>프리미엄 구수한 감칠맛 고로쇠 청국장찌개 450g x 3팩</t>
  </si>
  <si>
    <t>프리미엄 구수한 감칠맛 고로쇠 청국장찌개 450g</t>
  </si>
  <si>
    <t>볶아먹는 산채비빔밥 밀키트 200g x 5팩</t>
  </si>
  <si>
    <t>볶아먹는 산채비빔밥 밀키트 200g x 3팩</t>
  </si>
  <si>
    <t>볶아먹는 산채비빔밥 밀키트 200g</t>
  </si>
  <si>
    <t>초간편 3분나물 반찬 쿠킹박스 밀키트 데친곤드레 240g</t>
  </si>
  <si>
    <t>3. 유통사 별 매출 분석</t>
  </si>
  <si>
    <t>고로쇠 시래기된장국 600g x 2팩</t>
  </si>
  <si>
    <t>전통한식 프리미엄 고로쇠된장 3kg</t>
  </si>
  <si>
    <t>냄새없이 구수한 무염 생청국장 200g x 3팩</t>
  </si>
  <si>
    <t>초간편 3분나물 산나물반찬 밀키트 데친취나물 240g</t>
  </si>
  <si>
    <t>초간편 3분나물 240gx4종(고사리/취나물/부지깽이/곤드레)</t>
  </si>
  <si>
    <t>고로쇠 시래기된장국 600g x 3팩</t>
  </si>
  <si>
    <t>아삭아삭 새콤달콤 매실장아찌 340g</t>
  </si>
  <si>
    <t>튜브형 장류3종세트-고로쇠된장/찹쌀고추장/만능쌈장</t>
  </si>
  <si>
    <t>매실 만능쌈장 1kg</t>
  </si>
  <si>
    <t>매실 만능쌈장 500g</t>
  </si>
  <si>
    <t>매실 만능쌈장 340g</t>
  </si>
  <si>
    <t>754-88-00876</t>
  </si>
  <si>
    <t>베리네이처</t>
  </si>
  <si>
    <t>캠핑 여행용 매실 만능쌈장 230g</t>
  </si>
  <si>
    <t>전통한식 프리미엄 찹쌀고추장 340g</t>
  </si>
  <si>
    <t>고로쇠 시래기된장국 600g x 5팩</t>
  </si>
  <si>
    <t>전통한식 프리미엄 고로쇠된장 340g</t>
  </si>
  <si>
    <t>피아골미선씨 캠핑 여행용 전통한식 고로쇠된장 230g</t>
  </si>
  <si>
    <t>캠핑 여행용 찹쌀고추장 230g</t>
  </si>
  <si>
    <t>초간편 3분나물 산나물반찬 밀키트 데친부지깽이 240g</t>
  </si>
  <si>
    <t>초간편 3분나물 산나물반찬 밀키트 데친고사리 240g</t>
  </si>
  <si>
    <t>프리미엄 선물세트 10호/장류4종 세트</t>
  </si>
  <si>
    <t>프리미엄 선물세트 9호/장류3종(옻수저) 세트</t>
  </si>
  <si>
    <t>프리미엄 선물세트 8호/장류3종 세트</t>
  </si>
  <si>
    <t>프리미엄 선물세트 7호/장류3종(옻수저) 세트</t>
  </si>
  <si>
    <t>프리미엄 선물세트 6호/장류3종(옻수저) 세트</t>
  </si>
  <si>
    <t>프리미엄 선물세트 3호/장류4종 세트</t>
  </si>
  <si>
    <t>프리미엄 선물세트 2호/장류3종(옻수저) 세트</t>
  </si>
  <si>
    <t>프리미엄 선물세트 1호/장류3종(옻수저) 세트</t>
  </si>
  <si>
    <t>냄새없이 구수한 무염 생청국장 200g x 5팩</t>
  </si>
  <si>
    <t>아삭아삭 새콤달콤 매실장아찌 1kg</t>
  </si>
  <si>
    <t>전통한식 프리미엄 찹쌀고추장 500g</t>
  </si>
  <si>
    <t>전통한식 프리미엄 찹쌀고추장 1kg</t>
  </si>
  <si>
    <t>전통한식 프리미엄 찹쌀고추장 2kg</t>
  </si>
  <si>
    <t>아삭아삭 새콤달콤 매실장아찌 500g</t>
  </si>
  <si>
    <t>전통한식 프리미엄 고로쇠간장 300ml</t>
  </si>
  <si>
    <t>전통한식 프리미엄 고로쇠된장 500g</t>
  </si>
  <si>
    <t>전통한식 프리미엄 고로쇠된장 950g</t>
  </si>
  <si>
    <t>전통한식 프리미엄 고로쇠된장 2kg</t>
  </si>
  <si>
    <t>[APP전용]에상스팜 유러피안 샐러드야채 모듬쌈 로메인 상추 버터헤드 바타비아 크리스탈 1kg</t>
  </si>
  <si>
    <t>유러피안 샐러드야채 모듬쌈 로메인 상추 버터헤드 바타비아 크리스탈 1kg</t>
  </si>
  <si>
    <t>주식회사 태범프레시</t>
  </si>
  <si>
    <t>832-86-02035</t>
  </si>
  <si>
    <t>[홍익상회] 춘천닭갈비 500g x 3팩 국내산닭고기 양념 순살</t>
  </si>
  <si>
    <t>싱싱보따리</t>
  </si>
  <si>
    <t>585-96-01916</t>
  </si>
  <si>
    <t>싱싱보따리 의성 햇마늘 통마늘 대서마늘 당일출고</t>
  </si>
  <si>
    <t>수제채반곶감호두말이선물세트1kg</t>
  </si>
  <si>
    <t>반건시곶감1.8kg(개당 60g내외 10과*3팩)</t>
  </si>
  <si>
    <t>반건시선물세트2.6kg(75g 35과)</t>
  </si>
  <si>
    <t>대봉반건시선물세트3.3kg(90g이상 35과)</t>
  </si>
  <si>
    <t>대봉반건시선물세트4.5kg(150g이상 30과)</t>
  </si>
  <si>
    <t>대봉실속반건시(500g*1팩)</t>
  </si>
  <si>
    <t>반건시선물세트1.8kg(75g이상 24과)</t>
  </si>
  <si>
    <t>반건시곶감선물세트30개입(개당50~60g 10과3팩)</t>
  </si>
  <si>
    <t>대봉반건시선물세트3.6kg(120g이상 30과)</t>
  </si>
  <si>
    <t>곶감호두말이선물세트1.5kg(반건시곶감1kg+호두말이500g)</t>
  </si>
  <si>
    <t>영농조합법인상주곶감유통사업단</t>
  </si>
  <si>
    <t>511-81-14298</t>
  </si>
  <si>
    <t>[온누리7%혜택]상주곶감 건시 개별포장 선물세트 1호</t>
  </si>
  <si>
    <t>[온누리7%혜택]상주삼백곶감 크림치즈호두말이2호(치즈호두말이3팩) 선물세트</t>
  </si>
  <si>
    <t>[온누리7%혜택]상주삼백곶감 실속포장 대봉감말랭이 1kg</t>
  </si>
  <si>
    <t>[온누리7%혜택]상주삼백곶감 가정용 실속곶감1kg대과</t>
  </si>
  <si>
    <t>[온누리7%혜택]상주삼백곶감 가정용 실속곶감1kg중과</t>
  </si>
  <si>
    <t>[온누리7%혜택]상주삼백곶감 가정용 실속곶감1kg소과</t>
  </si>
  <si>
    <t>[온누리7%혜택]상주삼백곶감 크림치즈호두말이1호 세트</t>
  </si>
  <si>
    <t>[온누리7%혜택]상주삼백곶감 반건시선물세트2.8kg(70g*40개)</t>
  </si>
  <si>
    <t>[온누리7%혜택]상주삼백곶감 반건시선물세트2.4kg(60g*40개)</t>
  </si>
  <si>
    <t>[온누리7%혜택]상주삼백곶감 상주삼백곶감 반건시선물세트1.2kg(60g*20개)</t>
  </si>
  <si>
    <t>[온누리7%혜택]상주삼백곶감 선물세트 반건시1.2kg(40g30개입)</t>
  </si>
  <si>
    <t>[온누리7%혜택]상주삼백곶감 상주삼백곶감 반건시선물세트1kg(50g*20개)</t>
  </si>
  <si>
    <t>[온누리7%혜택]실속 크림치즈호두말이1팩 270-300g</t>
  </si>
  <si>
    <t>[온누리7%혜택]상주삼백곶감 반건시선물세트2kg(50g*40개)</t>
  </si>
  <si>
    <t>[온누리7%혜택]상주삼백곶감 상주삼백곶감 반건시선물세트(40g*20개)</t>
  </si>
  <si>
    <t>[온누리7%혜택]상주삼백곶감 크림치즈호두말이3호(반건시2팩치즈호두말이1팩) 선물세트</t>
  </si>
  <si>
    <t>[온누리7%혜택]상주삼백곶감 상주곶감선물세트 1.5kg특품</t>
  </si>
  <si>
    <t>[온누리7%혜택]상주삼백곶감 상주곶감선물세트 1kg특품</t>
  </si>
  <si>
    <t>[온누리7%혜택]상주삼백곶감 명품 개별반건시 트레이40구(트레이 60g*40개입)</t>
  </si>
  <si>
    <t>[온누리7%혜택]상주삼백곶감 프리미엄 대봉왕특반건시트레이21구</t>
  </si>
  <si>
    <t>[온누리7%혜택]상주삼백곶감 프리미엄 왕특대봉반건시 개별반건시15구</t>
  </si>
  <si>
    <t>지리산농산</t>
  </si>
  <si>
    <t>613-92-05994</t>
  </si>
  <si>
    <t>[온누리7%혜택][지리산농산 공식인증점]지리산산청 가정용햇곶감 대용량/ 달콤촉촉 반건시500g</t>
  </si>
  <si>
    <t>[온누리7%혜택][지리산농산 공식인증점]달콤쫀득 지리산산청 햇곶감 가정용 반접 50과 대용량</t>
  </si>
  <si>
    <t>[온누리7%혜택][지리산농산공식인증점]산청고종시 쫀득이 햇곶감절편 500g</t>
  </si>
  <si>
    <t>[온누리7%혜택][지리산농산 공식인증점] 지리산 산청 곶감특산품 상품전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</si>
  <si>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</si>
  <si>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</si>
  <si>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[온누리7%혜택]지리산 산청 특등급 햇고사리 600g(한근) 국내산 프리미엄 건고사리</t>
  </si>
  <si>
    <t>[온누리7%혜택] 하동 북천 황토밭 무농약 햇 고구마(진율미 / 호풍미) 5kg</t>
  </si>
  <si>
    <t>농부아저씨</t>
  </si>
  <si>
    <t>725-97-02000</t>
  </si>
  <si>
    <t>고품질 특품 정량 로메인청상추 1kg/2kg</t>
  </si>
  <si>
    <t>어반그린</t>
  </si>
  <si>
    <t>139-05-68827</t>
  </si>
  <si>
    <t>[무농약 GAP인증] 유러피안 샐러드 1kg 상추 (도시의푸른농장) 로메인 버터헤드 바타비아 바타아이스 프릴아이스</t>
  </si>
  <si>
    <t>농업법인 주식회사 드림라이스</t>
  </si>
  <si>
    <t>485-88-00795</t>
  </si>
  <si>
    <t>25년 햅쌀 드림 향진주 쌀 10kg 단일품종 당일도정</t>
  </si>
  <si>
    <t>[하루세끼쌀]25년 햅쌀 옥구농협 예담채 십리향 10kg 상등급+당일도정+단일품종</t>
  </si>
  <si>
    <t>25년 햅쌀 새청무 쌀 10kg 단일품종 당일도정</t>
  </si>
  <si>
    <t>25년 햅쌀 프리미엄 경기미 10kg 당일도정</t>
  </si>
  <si>
    <t>달구벌한과</t>
  </si>
  <si>
    <t>501-03-42256</t>
  </si>
  <si>
    <t>[온누리7%혜택]달구벌한과 찹쌀유과 (420g)</t>
  </si>
  <si>
    <t>[온누리7%혜택]달구벌한과 찹쌀유과 2호 560g</t>
  </si>
  <si>
    <t>[온누리7%혜택]달구벌 찹쌀유과 실속형 9봉 1.2kg</t>
  </si>
  <si>
    <t>[온누리7%혜택]달구벌 대구유과</t>
  </si>
  <si>
    <t>[온누리7%혜택]달구벌 대구유과 10+1</t>
  </si>
  <si>
    <t>청라</t>
  </si>
  <si>
    <t>499-51-00634</t>
  </si>
  <si>
    <t>청라상회 원적외선 구운계란 30구 60구 무항생제 맥반석계란 HACCP 햇썹 인증</t>
  </si>
  <si>
    <t>청라상회 원적외선 구운계란 60구 무항생제 맥반석계란 HACCP 햇썹 인증</t>
  </si>
  <si>
    <t>청라상회 원적외선 구운계란 대란 60구 무항생제 맥반석계란 HACCP 햇썹 인증</t>
  </si>
  <si>
    <t>청라상회 무항생제 구운계란 맥반석계란 초란 30구 60구 HACCP 인증 안심포장</t>
  </si>
  <si>
    <t>청라상회 원적외선 구운계란 30구+30구 (총60구) 무항생제 맥반석계란 HACCP 햇썹 인증</t>
  </si>
  <si>
    <t>507-81-09103</t>
  </si>
  <si>
    <t>나래친환경영농조합법인</t>
  </si>
  <si>
    <t>청라상회 무항생제 맥반석 구운계란 초란 30구 60구 HACCP 인증 안심포장</t>
  </si>
  <si>
    <t>농업회사법인(주)서대산푸드</t>
  </si>
  <si>
    <t>602-88-01725</t>
  </si>
  <si>
    <t>산지직송 추부깻잎100% 당일제조 밥도둑500g 안매운 양념생깻잎 맛있게 매운실비깻잎김치</t>
  </si>
  <si>
    <t>깻잎통째로 넣은 깻잎현미찹쌀인절미 빙수 팥죽 콩고물</t>
  </si>
  <si>
    <t>산지직송 추부깻잎 100% 된장 깻잎장아찌 양념깻잎장아찌 수제장아찌 2종</t>
  </si>
  <si>
    <t>건강식 아침대용 우리쌀 깻잎통째로 넣은 현미쌀 깻잎가래떡</t>
  </si>
  <si>
    <t>주식회사 대현상회 망미점</t>
  </si>
  <si>
    <t>817-85-01855</t>
  </si>
  <si>
    <t>[온누리7%혜택][부세페 최종가 6930원]55년전통 대현상회 국산 된장 간장 고추장 모음 / 백년가게가 만든 전통 장류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</si>
  <si>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</si>
  <si>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</si>
  <si>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나행상회</t>
  </si>
  <si>
    <t>605-38-29687</t>
  </si>
  <si>
    <t>26년 [강화섬] 강화특산품 고소하고 부드러운 찰보리쌀(2.5kg)</t>
  </si>
  <si>
    <t>우리나라 대표 발효음식 청국장 (묵은지청국장+차돌박이 묵은지청국장)</t>
  </si>
  <si>
    <t>늘푸른</t>
  </si>
  <si>
    <t>485-94-01820</t>
  </si>
  <si>
    <t>[당일수확] 유기농 무농약 친환경 대추방울토마토 (2kg/5kg)</t>
  </si>
  <si>
    <t>단단하고 예쁜 완숙토마토 (2kg/3kg)</t>
  </si>
  <si>
    <t>주식회사 영인에프앤에스</t>
  </si>
  <si>
    <t>847-88-01537</t>
  </si>
  <si>
    <t>삶은 돼지 소창 1kg</t>
  </si>
  <si>
    <t>삶은 돼지 대창 1kg</t>
  </si>
  <si>
    <t>삶은 돼지 오소리감투 1kg</t>
  </si>
  <si>
    <t>삶은 돼지 허파 1kg</t>
  </si>
  <si>
    <t>삶은 돼지머리 슬라이스 1kg</t>
  </si>
  <si>
    <t>초신선 돼지머리 수육 500g + 소스포함</t>
  </si>
  <si>
    <t>국내산 돼지 뒷고기 덜미살 꼬들목살 500g</t>
  </si>
  <si>
    <t>국내산 돼지 뒷고기 모둠 500g</t>
  </si>
  <si>
    <t>국내산 돼지 뒷고기 돈두롤 500g</t>
  </si>
  <si>
    <t>국내산 돼지 뒷고기 돈두삼겹살 500g</t>
  </si>
  <si>
    <t>행사특가/국내산 삶은 돼지 소창(쨈창)1kg+1kg</t>
  </si>
  <si>
    <t>국내산 삶은 돼지 염통 1kg</t>
  </si>
  <si>
    <t>농업회사법인 복내리는당산나무 주식회사</t>
  </si>
  <si>
    <t>431-86-01809</t>
  </si>
  <si>
    <t>다이어트 간식 한입크기 쌀과자 미니뻥튀기 오곡오곡 50g x 5봉</t>
  </si>
  <si>
    <t>다이어트 간식 한입크기 쌀과자 미니뻥튀기 오곡오곡 50g x 15봉</t>
  </si>
  <si>
    <t>HACCP 해썹인증 김과자 저염 수제 찹쌀 김부각 40g 3봉</t>
  </si>
  <si>
    <t>HACCP 해썹인증 김과자 저염 수제 찹쌀 김부각 40g 10봉</t>
  </si>
  <si>
    <t>HACCP 해썹인증 김과자 저염 수제 찹쌀 김부각 선물세트2호</t>
  </si>
  <si>
    <t>HACCP 해썹인증 김과자 저염 수제 찹쌀 김부각 선물세트3호</t>
  </si>
  <si>
    <t>농업회사법인 지리산별마루(유)</t>
  </si>
  <si>
    <t>676-81-00897</t>
  </si>
  <si>
    <t>숨톡 요구르트맛 30개입 1박스 도라지 맥문동 한방 아이 어린이 가족 캔디 비타민 사탕 건강간식</t>
  </si>
  <si>
    <t>숨톡 포도맛 30개입 1박스 도라지 맥문동 한방 아이 어린이 가족 캔디 비타민 사탕 건강간식</t>
  </si>
  <si>
    <t>지리산 별마루 차 선물세트 볶음차 도라지 우엉 무 세트 부모님 선물 답례품</t>
  </si>
  <si>
    <t>양파즙 대추양파 자색양파 양파액기스 순수양파 껍질째 양파즙 건강즙</t>
  </si>
  <si>
    <t>도라지배즙 100ml 30포 생생 진한 도라지 배 액기스 음료</t>
  </si>
  <si>
    <t>[30%중복쿠폰] 도라지배청 400g 도라지 배 아기 조청 시럽 소스 간식</t>
  </si>
  <si>
    <t>무우차100g 지리산 무우 무말랭이 볶은무 차</t>
  </si>
  <si>
    <t>우엉차 150g 단품 지리산 우엉 말린우엉차 볶아만든 우엉 차</t>
  </si>
  <si>
    <t>[20%중복쿠폰] 천왕봉 신의 약도라지정 도차리청 단품 400g 선물세트 선물 부모님선물 농축액 조청</t>
  </si>
  <si>
    <t>더 건강한 도라지 진액 농축액 15ml 스틱 선물 실속</t>
  </si>
  <si>
    <t>농진담</t>
  </si>
  <si>
    <t>847-12-02040</t>
  </si>
  <si>
    <t>프로즌 수제청 과일청 오미자청 1.5kg</t>
  </si>
  <si>
    <t>프로즌 수제청 과일청 냉동 청귤슬라이스청 1.5kg</t>
  </si>
  <si>
    <t>프로즌 수제청 과일청 냉동 자두복숭아청 1.5kg</t>
  </si>
  <si>
    <t>프로즌 수제청 냉동 배도라지대추생강청 1.5kg</t>
  </si>
  <si>
    <t>프로즌 수제청 과일청 냉동 청귤착즙청 1.5kg</t>
  </si>
  <si>
    <t>수제청 과일청 배도라지대추생강청 1kg 에이드 음료 차 대용량 카페 납품</t>
  </si>
  <si>
    <t>4. 유통사 별 판매 건수</t>
  </si>
  <si>
    <t>수제청 과일청 배생강착즙청 1kg 에이드 음료 차 대용량 카페 납품</t>
  </si>
  <si>
    <t>수제청 과일청 자두착즙청 1kg 에이드 음료 차 대용량 카페 납품</t>
  </si>
  <si>
    <t>수제청 과일청 유자청 1kg 에이드 음료 차 대용량 카페 납품</t>
  </si>
  <si>
    <t>수제청 과일청 오미자청 1kg 에이드 음료 차 대용량 카페 납품</t>
  </si>
  <si>
    <t>수제청 과일청 생강착즙청 1kg 에이드 음료 차 대용량 카페 납품</t>
  </si>
  <si>
    <t>수제청 과일청 매실청 1kg 에이드 음료 차 대용량 카페 납품</t>
  </si>
  <si>
    <t>수제청 과일청 감귤착즙청 1kg 에이드 음료 차 대용량 카페 납품</t>
  </si>
  <si>
    <t>수제청 과일청 감귤청 1kg 에이드 음료 차 대용량 카페 납품</t>
  </si>
  <si>
    <t>수제청 과일청 청귤착즙청 1kg 에이드 음료 차 대용량 카페 납품</t>
  </si>
  <si>
    <t>수제청 과일청 청귤청 1kg 에이드 음료 차 대용량 카페 납품</t>
  </si>
  <si>
    <t>수제청 과일청 샤인머스켓착즙청 1kg 에이드 음료 차 대용량 카페 납품</t>
  </si>
  <si>
    <t>수제청 과일청 샤인머스켓청 1kg 에이드 음료 차 대용량 카페 납품</t>
  </si>
  <si>
    <t>수제청 과일청 토마토바질청 1kg 에이드 음료 차 대용량 카페 납품</t>
  </si>
  <si>
    <t>수제청 과일청 자두복숭아청 1kg 에이드 음료 차 대용량 카페 납품</t>
  </si>
  <si>
    <t>수제청 과일청 자두착즙청 1200g 에이드 음료 차 답례품 선물</t>
  </si>
  <si>
    <t>수제청 과일청 생강착즙청 1200g 에이드 음료 차 답례품 선물</t>
  </si>
  <si>
    <t>수제청 과일청 토마토바질청 1000g 에이드 음료 차 답례품 선물</t>
  </si>
  <si>
    <t>수제청 과일청 유자청 1200g 에이드 음료 차 답례품 선물</t>
  </si>
  <si>
    <t>수제청 과일청 오미자청 1200g 에이드 음료 차 답례품 선물</t>
  </si>
  <si>
    <t>수제청 과일청 생강고 1000g 진저라떼 음료 생강차 답례품 선물</t>
  </si>
  <si>
    <t>412-81-24086</t>
  </si>
  <si>
    <t>영흥농산영농조합법인</t>
  </si>
  <si>
    <t>수제청 과일청 배도라지대추생강청 1200g 생강차 음료 답례품 선물</t>
  </si>
  <si>
    <t>수제청 과일청 감귤청 1000g 에이드 음료 차 답례품 선물</t>
  </si>
  <si>
    <t>수제청 과일청 청귤청 1000g 풋귤 에이드 음료 차 답례품 선물</t>
  </si>
  <si>
    <t>수제청 과일청 자두복숭아청 1200g 에이드 음료 차 답례품 선물</t>
  </si>
  <si>
    <t>수제청 과일청 샤인머스켓청 1200g 에이드 음료 차 답례품 선물</t>
  </si>
  <si>
    <t>수제청 과일청 자두착즙청 800g 에이드 음료 차 답례품 선물</t>
  </si>
  <si>
    <t>수제청 과일청 생강착즙청 800g 에이드 음료 차 답례품 선물</t>
  </si>
  <si>
    <t>수제청 과일청 토마토바질청 700g 에이드 음료 차 답례품 선물</t>
  </si>
  <si>
    <t>수제청 과일청 유자청 800g 에이드 음료 차 답례품 선물</t>
  </si>
  <si>
    <t>수제청 과일청 오미자청 800g 에이드 음료 차 답례품 선물</t>
  </si>
  <si>
    <t>수제청 과일청 생강고 800g 에이드 음료 차 답례품 선물</t>
  </si>
  <si>
    <t>수제청 과일청 배도라지대추생강청 800g 생강차 음료 답례품 선물</t>
  </si>
  <si>
    <t>수제청 과일청 감귤청 700g 에이드 음료 차 답례품 선물</t>
  </si>
  <si>
    <t>수제청 과일청 청귤청 700g 풋귤 에이드 음료 차 답례품 선물</t>
  </si>
  <si>
    <t>수제청 과일청 자두복숭아청 800g 에이드 음료 차 답례품 선물</t>
  </si>
  <si>
    <t>수제청 과일청 샤인머스켓청 800g 에이드 음료 차 답례품 선물</t>
  </si>
  <si>
    <t>수제청 과일청 자두착즙청 600g 에이드 음료 차 답례품 선물</t>
  </si>
  <si>
    <t>수제청 과일청 생강착즙청 600g 에이드 음료 차 답례품 선물</t>
  </si>
  <si>
    <t>수제청 과일청 토마토바질청 500g 에이드 음료 차 답례품 선물</t>
  </si>
  <si>
    <t>수제청 과일청 유자청 600g 에이드 음료 차 답례품 선물</t>
  </si>
  <si>
    <t>수제청 과일청 오미자청 600g 에이드 음료 차 답례품 선물</t>
  </si>
  <si>
    <t>수제청 과일청 생강고 600g 에이드 음료 차 답례품 선물</t>
  </si>
  <si>
    <t>수제청 과일청 배도라지대추생강청 600g 에이드 음료 차 답례품 선물</t>
  </si>
  <si>
    <t>수제청 과일청 감귤청 600g 에이드 음료 차 답례품 선물</t>
  </si>
  <si>
    <t>수제청 과일청 청귤청 600g 풋귤 에이드 음료 차 답례품 선물</t>
  </si>
  <si>
    <t>수제청 과일청 자두복숭아청 600g 에이드 음료 차 답례품 선물</t>
  </si>
  <si>
    <t>수제청 과일청 샤인머스켓청 600g 에이드 음료 차 답례품 선물</t>
  </si>
  <si>
    <t>프리미엄 매실청 850g 콜드프레스 수제청 과일청 에이드 음료 답례품 선물 세트</t>
  </si>
  <si>
    <t>190-97-01151</t>
  </si>
  <si>
    <t>프리미엄 오미자청 850g 콜드프레스 수제청 과일청 에이드 음료 답례품 선물 세트</t>
  </si>
  <si>
    <t>지구별농장</t>
  </si>
  <si>
    <t>프리미엄 배생강착즙청 850g 콜드프레스 수제청 과일청 에이드 음료 답례품 선물 세트</t>
  </si>
  <si>
    <t>프리미엄 감귤착즙청 850g 콜드프레스 수제청 과일청 에이드 음료 답례품 선물 세트</t>
  </si>
  <si>
    <t>프리미엄 청귤착즙청 850g 콜드프레스 수제청 과일청 에이드 음료 답례품 선물 세트</t>
  </si>
  <si>
    <t>프리미엄 매실청 650g 콜드프레스 수제청 과일청 에이드 음료 답례품 선물 세트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</si>
  <si>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</si>
  <si>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</si>
  <si>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프리미엄 감귤착즙청 650g 콜드프레스 수제청 과일청 에이드 음료 답례품 선물 세트</t>
  </si>
  <si>
    <t>프리미엄 청귤착즙청 650g 콜드프레스 수제청 과일청 에이드 음료 답례품 선물 세트</t>
  </si>
  <si>
    <t>선물박스 수제청 과일청 배도라지대추생강청 600g 에이드 음료 차 답례품 명절 선물</t>
  </si>
  <si>
    <t>선물박스 수제청 과일청 유자청+배도라지대추생강청 600g 세트 에이드 음료 차 답례품 명절 선물</t>
  </si>
  <si>
    <t>선물박스 수제청 과일청 생강고+유자청 600g 세트 에이드 음료 차 답례품 명절 선물</t>
  </si>
  <si>
    <t>[온누리7%혜택]55년전통 대현상회 무첨가 국산 볶은 콩가루 500g / 무설탕 백년가게 방앗간</t>
  </si>
  <si>
    <t>[온누리7%혜택][부세페 최종가 6930원]55년전통 대현상회 무첨가 국산 볶은 검은콩가루 / 무설탕 백년가게 방앗간</t>
  </si>
  <si>
    <t>[온누리7%혜택]55년전통 대현상회 국산 햇 고춧가루 양념용 고운입자 땡초 고추씨 모음 / 백년가게</t>
  </si>
  <si>
    <t>[온누리7%혜택]55년전통 대현상회 저온압착 국산 참기름 들기름 350ml 선물세트 / HACCP 인증 백년가게 방앗간</t>
  </si>
  <si>
    <t>[온누리7%혜택]55년전통 대현상회 저온압착 국산 참기름 들기름 180ml 선물세트/ HACCP 인증 백년가게 방앗간</t>
  </si>
  <si>
    <t>[온누리7%혜택][부세페 최종가 14630원55년전통 대현상회 저온압착 국산 참기름 들기름 생들기름 180ml / HACCP 인증 백년가게 방앗</t>
  </si>
  <si>
    <t>[온누리7%혜택][부세페 최종가 21630원]55년전통 대현상회 저온압착 국산 참기름 들기름 생들기름 350ml / HACCP 인증 백년가게 방앗</t>
  </si>
  <si>
    <t>파머레시피</t>
  </si>
  <si>
    <t>191-97-01154</t>
  </si>
  <si>
    <t>[라스트찬스][GAP청년농직송] 26년 국산 저장가능 햇양파 2kg 3kg 5kg 10kg</t>
  </si>
  <si>
    <t>주식회사 삼형제월드</t>
  </si>
  <si>
    <t>185-87-01669</t>
  </si>
  <si>
    <t>[딜크릿] 삼형제고기 1등급 한돈 찌개용 모듬 고기 냉장 2kg (1kg x 2팩)</t>
  </si>
  <si>
    <t>1등급 한돈 다짐육 대용량 냉장 1kg x 2팩</t>
  </si>
  <si>
    <t>1등급 한돈 돼지 등뼈 감자탕용 대용량 3kg x 2팩</t>
  </si>
  <si>
    <t>삼형제 1등급 한돈 돼지 사태 수육용 냉장 1kg</t>
  </si>
  <si>
    <t>삼형제고기 한돈 간장 고추장 불고기 1kg (200g x 5팩)</t>
  </si>
  <si>
    <t>1등급 한돈 돼지 뒷다리살 제육용 보쌈용 찌개용 냉장 1kg</t>
  </si>
  <si>
    <t>1등급 국내산 한돈 삼겹살 1kg 구이용 제육용 보쌈용 찌개용</t>
  </si>
  <si>
    <t>1등급 국내산 한돈 목살 1kg 구이용 제육용 보쌈용 찌개용</t>
  </si>
  <si>
    <t>[홍익상회] 춘천 홍익닭갈비 500g x 3팩 국내산 닭고기 양념 순살</t>
  </si>
  <si>
    <t>유혜광생돈까스</t>
  </si>
  <si>
    <t>117-13-93791</t>
  </si>
  <si>
    <t>유혜광 수제통등심돈까스 16장(총8팩)(소스 별도구매)</t>
  </si>
  <si>
    <t>알동네</t>
  </si>
  <si>
    <t>765-95-00739</t>
  </si>
  <si>
    <t>[온세일]제주 하우스 감귤 4.5kg 로얄과 귤</t>
  </si>
  <si>
    <t>[온세일]제주 하우스 감귤 4.5kg 프리미엄S과 귤</t>
  </si>
  <si>
    <t>신선식품</t>
  </si>
  <si>
    <t>131-35-96215</t>
  </si>
  <si>
    <t>[온누리7%혜택]HACCP 국산 비건고춧가루 1kg (고운, 보통)</t>
  </si>
  <si>
    <t>[온누리7%혜택]HACCP 국산 비건고춧가루 200g (고운, 보통)</t>
  </si>
  <si>
    <t>[온누리7%혜택]내 몸에 좋은 국산 블랙미숫가루</t>
  </si>
  <si>
    <t>[온누리7%혜택]국산 저속노화잡곡 식단관리 예쁜 병 그대로 깔끔한 수납 방앗간아이</t>
  </si>
  <si>
    <t>[온누리7%혜택]고소한 국산 볶은참깨 200g</t>
  </si>
  <si>
    <t>[온누리7%혜택]HACCP 국산 비건고춧가루 100g (고운,보통)</t>
  </si>
  <si>
    <t>[온누리7%혜택]좋은 국산 참깨로 짜는 방앗간아이 고소한 국산 참기름 180ml</t>
  </si>
  <si>
    <t>[온누리7%혜택]내 몸에 좋은 볶은 옥수수차 300g</t>
  </si>
  <si>
    <t>[온누리7%혜택]껍질 깐 고소한 국산 들깨가루 200g</t>
  </si>
  <si>
    <t>[온누리7%혜택]내 몸에 좋은 국산 보리미숫가루 250g</t>
  </si>
  <si>
    <t>지향</t>
  </si>
  <si>
    <t>188-81-01220</t>
  </si>
  <si>
    <t>[APP전용] 바르온 삼계탕 1kg x 4팩</t>
  </si>
  <si>
    <t>농업회사법인 철원미곡 주식회사</t>
  </si>
  <si>
    <t>127-81-93991</t>
  </si>
  <si>
    <t>[2025년산] 햅쌀 철원오대쌀 10kg 철원미곡</t>
  </si>
  <si>
    <t>(합자)황산벌농업회사</t>
  </si>
  <si>
    <t>308-81-11910</t>
  </si>
  <si>
    <t>삼광 육군병장쌀 10kg</t>
  </si>
  <si>
    <t>농업회사법인 주식회사 담아</t>
  </si>
  <si>
    <t>511-81-25311</t>
  </si>
  <si>
    <t>김의준고구마 2025년 무농약 세척 꿀고구마 3kg/5kg</t>
  </si>
  <si>
    <t>농업회사법인 주식회사 정인</t>
  </si>
  <si>
    <t>769-88-03123</t>
  </si>
  <si>
    <t>25년 당도선별 아삭 달콤 사과 경북 저탄소 12brix이상</t>
  </si>
  <si>
    <t>농업회사법인 우듬지팜주식회사</t>
  </si>
  <si>
    <t>308-82-08921</t>
  </si>
  <si>
    <t>GAP인증 당일수확 무농약 샐러드 쌈채소 3~5종 믹스 800g/1kg 스마트팜 재배 샐러드 쌈채소</t>
  </si>
  <si>
    <t>경북 제철 햇자두 1kg/2kg 과즙풍부 당일수확 산지직송</t>
  </si>
  <si>
    <t>껍질째 먹는 고당도 세척사과 2kg/3kg/5kg/10kg 경북 사과</t>
  </si>
  <si>
    <t>[철원미곡] 2025년 햅쌀 오대현미 10kg</t>
  </si>
  <si>
    <t>[철원미곡] 2025년산 햅쌀 철원오대쌀 4kg</t>
  </si>
  <si>
    <t>두레영농조합법인</t>
  </si>
  <si>
    <t>404-81-43909</t>
  </si>
  <si>
    <t>[콩여울] 청정고창 저온압착 참기름 165ml/260ml</t>
  </si>
  <si>
    <t>[콩여울] 직접채밀 1+등급 천연벌꿀 아카시아꿀 300g/600g/2.4kg</t>
  </si>
  <si>
    <t>[콩여울] 고창예찬6호 참기름260ml+들기름260ml+볶은참깨120g</t>
  </si>
  <si>
    <t>그린푸드</t>
  </si>
  <si>
    <t>638-68-00222</t>
  </si>
  <si>
    <t>모시떡 영광모싯잎 모시송편 통동부 20개</t>
  </si>
  <si>
    <t>(주)왕의산농원소담바리농업회사법인</t>
  </si>
  <si>
    <t>575-87-02008</t>
  </si>
  <si>
    <t>쑥 인절미 12개입 맛있는 쑥떡 찰떡 햇쑥인절미 맛집</t>
  </si>
  <si>
    <t>[콩여울] 청정고창 저온압착 들기름 165ml/260ml</t>
  </si>
  <si>
    <t>신사리마을</t>
  </si>
  <si>
    <t>183-95-00048</t>
  </si>
  <si>
    <t>영양산나믈(건곤드레, 건취나물, 건고사리)</t>
  </si>
  <si>
    <t>[철원미곡] 2025년 햅쌀 찹쌀 10kg</t>
  </si>
  <si>
    <t>[콩여울] 직접채밀 순수 천연벌꿀 야생화꿀 300g/600g</t>
  </si>
  <si>
    <t>까망 주식회사</t>
  </si>
  <si>
    <t>440-81-03112</t>
  </si>
  <si>
    <t>[까망목장] 요하트 수제 쫀득 그릭요거트 플레인 식사대용 고단백 고칼슘 무가당 500g</t>
  </si>
  <si>
    <t>농업회사법인 주식회사 고인돌</t>
  </si>
  <si>
    <t>234-81-04990</t>
  </si>
  <si>
    <t>25년 [산지직송] 국내산 검정쌀 찰흑미 (500g/1kg/3kg/5kg)</t>
  </si>
  <si>
    <t>[콩여울] 직접채밀 순수 천연벌꿀 밤꿀 300g/600g</t>
  </si>
  <si>
    <t>우가네농장</t>
  </si>
  <si>
    <t>512-05-48837</t>
  </si>
  <si>
    <t>25년 건고추 국내산 세척 건고추 1근(600g) 순한맛/보통맛/매운맛</t>
  </si>
  <si>
    <t>모시떡 영광모싯잎 모시송편 기피 20개</t>
  </si>
  <si>
    <t>할배장터</t>
  </si>
  <si>
    <t>221-92-02444</t>
  </si>
  <si>
    <t>국내산 25년 영주 봉화 3년근 약도라지</t>
  </si>
  <si>
    <t>할매장터</t>
  </si>
  <si>
    <t>652-76-00368</t>
  </si>
  <si>
    <t>국내산 영주 봉화 흙생강 세척생강 (알뜰/특품) 1kg</t>
  </si>
  <si>
    <t>착한송이버섯 800g</t>
  </si>
  <si>
    <t>142-33-00898</t>
  </si>
  <si>
    <t>지애(至愛)</t>
  </si>
  <si>
    <t>어이딸부각</t>
  </si>
  <si>
    <t>105-21-32350</t>
  </si>
  <si>
    <t>논산농부의 수제 생강청 280g / 460g 생강진액</t>
  </si>
  <si>
    <t>모시떡 영광모싯잎 모시송편 흑임자 20개</t>
  </si>
  <si>
    <t>논산농부의 수제 레몬생강청 700g</t>
  </si>
  <si>
    <t>블랙푸드 잡곡 국내산 서리태 (500g/1kg/2kg/4kg)</t>
  </si>
  <si>
    <t>[콩여울] 고창예찬1호 참기름+들기름+생들기름 165ml</t>
  </si>
  <si>
    <t>[철원미곡] 2025년 햅쌀 찰현미 10kg</t>
  </si>
  <si>
    <t>[콩여울] 고창예찬2호 참기름+들기름+재래식간장 165ml</t>
  </si>
  <si>
    <t>[콩여울] 청정고창 저온압착 생들기름 165ml/260ml</t>
  </si>
  <si>
    <t>[콩여울] 정담고을1호 참기름+들기름 165ml</t>
  </si>
  <si>
    <t>[콩여울] 정담고을2호 생들기름+생들기름 165ml</t>
  </si>
  <si>
    <t>706-01-03422</t>
  </si>
  <si>
    <t>아침농부</t>
  </si>
  <si>
    <t>농업회사법인(주)씨앤씨정</t>
  </si>
  <si>
    <t>178-87-00546</t>
  </si>
  <si>
    <t>우리쌀로만든 쫀득한 떡볶이떡 200g 5개</t>
  </si>
  <si>
    <t>논산농부의 수제 양파청양장아찌 580g(병)</t>
  </si>
  <si>
    <t>직접수확한 쑥으로 만든 쑥떡 쑥개떡 1kg</t>
  </si>
  <si>
    <t>논산농부의 수제 눈꽃딸기청 600g / 1100g</t>
  </si>
  <si>
    <t>부엉이네오솔길</t>
  </si>
  <si>
    <t>218-37-00631</t>
  </si>
  <si>
    <t>에코프리베 쓰지않은 여주차 티백 1.5g x (10ea / 20ea / 60ea) 저온 다회 덖음차 국내 특허 [ECOFRIBAE]</t>
  </si>
  <si>
    <t>5. 유통사별 품목별 쿠폰 사용액</t>
  </si>
  <si>
    <t>논산농부의 수제 오이장아찌 300g (팩포장)</t>
  </si>
  <si>
    <t>품목</t>
  </si>
  <si>
    <t>25년 [산지직송] 국내산 블랙푸드 흑보리(500g/1kg/4kg/5kg)</t>
  </si>
  <si>
    <t>논산농부의 수제 모듬 야채피클 580g(병) / 1kg(팩)</t>
  </si>
  <si>
    <t>에코프리베 어린이 홍삼 작두콩차 티백 30g (1.5gx20ea) 저온 다회 덖음차 [ECOFRIBAE]</t>
  </si>
  <si>
    <t>논산농부의 수제 유자청 700g</t>
  </si>
  <si>
    <t>에코프리베 호박 팥차 티백 1.5g x (10ea / 20ea) 저온 다회 덖음차 [ECOFRIBAE]</t>
  </si>
  <si>
    <t>논산농부의 수제 마늘종장아찌 580g(병)</t>
  </si>
  <si>
    <t>논산농부의 수제 청양고추장아찌 300g(팩) x 2ea / 580g(병)</t>
  </si>
  <si>
    <t>에코프리베 작두콩차 티백 1.5g x (10ea / 20ea / 60ea) 저온 다회 덖음차 [ECOFRIBAE]</t>
  </si>
  <si>
    <t>논산농부의 수제 오이장아찌무침 170g (팩포장) x 2ea 오이지무침 오이지</t>
  </si>
  <si>
    <t>직접 수확한 쑥으로 만든 쑥떡 쑥인절미 1kg</t>
  </si>
  <si>
    <t>논산농부의 수제 애기오이피클 580g(병) / 1kg(팩)</t>
  </si>
  <si>
    <t>영양만점 잡곡 강화섬 국내산 대두 백태콩 메주콩 (600g/1kg/5kg/10kg)</t>
  </si>
  <si>
    <t>산지출고 [25년] 국내산 늘보리쌀 (500g/1kg/4kg/5kg)</t>
  </si>
  <si>
    <t>춘천 닭갈비 오리지널 1kg 국내산 닭다리살(닭다리살 함량 85%)</t>
  </si>
  <si>
    <t>산지직송 하미과메론 양구메론 경북고령 고당도 그린하미과 골드하미과3kg 5kg</t>
  </si>
  <si>
    <t>조양식품</t>
  </si>
  <si>
    <t>579-90-00021</t>
  </si>
  <si>
    <t>(신선집중/15%+NH10%) 한상궁김치 겉절이 2kg / 출고당일생산</t>
  </si>
  <si>
    <t>농업회사법인머쉬그로(주)</t>
  </si>
  <si>
    <t>113-87-00743</t>
  </si>
  <si>
    <t>최상등급품질 양송이버섯 1kg 2kg 산지직송 오후2시당일출고 무료배송 직접재배 산지직송 최대할인가</t>
  </si>
  <si>
    <t>양송이 마이스터 재배 화이트 양송이버섯 못난이 꼬다마 구이용 피자용 매장사용 소포장 스프용 1kg 2kg</t>
  </si>
  <si>
    <t>두원식품(주)</t>
  </si>
  <si>
    <t>606-81-52718</t>
  </si>
  <si>
    <t>(신선집중) 국내산 한돈 프리미엄 대패 삼겹살 1.2kg</t>
  </si>
  <si>
    <t>국내산 한돈 칼집 고추장 삼겹살 300g + 300g</t>
  </si>
  <si>
    <t>(신선집중) 국내산 한돈 한입 옛날 삼겹살 400g + 400g</t>
  </si>
  <si>
    <t>haccp인증 국내산 한돈 간장 LA돼지갈비 300g+300g</t>
  </si>
  <si>
    <t>국내산 한돈 프리미엄 대패 삼겹살 400g + 400g</t>
  </si>
  <si>
    <t>haccp인증 국내산 한돈 고추장 주물럭 300g x6팩(총 1.8kg)</t>
  </si>
  <si>
    <t>국내산 한돈 고추장 주물럭 300g + 300g 제육볶음</t>
  </si>
  <si>
    <t>농업회사법인주식회사 말린</t>
  </si>
  <si>
    <t>324-88-02106</t>
  </si>
  <si>
    <t>해를품은 국산 꿀고구마 말랭이 60g 20봉 페이스트 고구마말랭이</t>
  </si>
  <si>
    <t>(신선집중) 해를품은 고구마스틱 고구마말랭이 20g x 30개 꿀고구마 그대로</t>
  </si>
  <si>
    <t>(신선집중) 해를품은 고구마스틱 고구마말랭이 20g x 20개 꿀고구마 그대로</t>
  </si>
  <si>
    <t>다모아영농조합법인</t>
  </si>
  <si>
    <t>613-81-60803</t>
  </si>
  <si>
    <t>무항생제 싱싱한 계란 특란 60구 (30구 x 2판) 생계란</t>
  </si>
  <si>
    <t>농협 공동선별 햇 남해 통마늘 3kg(상) 실중량 지리적표시품</t>
  </si>
  <si>
    <t>창녕 찰토마토 5kg(S-M) 창녕농협 품질보장</t>
  </si>
  <si>
    <t>산지발송 해남 꿀고구마 3kg 특상(120g~300g) 해남 산지발송</t>
  </si>
  <si>
    <t>국내산 안동 산마 3kg 가정용(혼합) 실중량</t>
  </si>
  <si>
    <t>진주 파프리카 산지직송 파프리카 3kg 실속형 (실중량)</t>
  </si>
  <si>
    <t>청정태안식품</t>
  </si>
  <si>
    <t>316-01-24597</t>
  </si>
  <si>
    <t>(마싯구마)군고구마 말랭이 75g</t>
  </si>
  <si>
    <t>(선물용)군고구마말랭이 75g8봉지</t>
  </si>
  <si>
    <t>(선물용)군고구마말랭이 75g10봉지</t>
  </si>
  <si>
    <t>마싯구마 아이스 군고구마 1kg(한입형/4~8봉지)</t>
  </si>
  <si>
    <t>마싯구마 아이스 군고구마 1kg(혼합형/4~8봉지)</t>
  </si>
  <si>
    <t>마싯구마 아이스 군고구마 1kg(정량형/6-8봉지)</t>
  </si>
  <si>
    <t>마싯구마 아이스 군고구마 낱팩골라담기</t>
  </si>
  <si>
    <t>마싯구마 누드한입군고구마 1봉지</t>
  </si>
  <si>
    <t>김명월 검정콩 청국장가루 1kg(500g2통)</t>
  </si>
  <si>
    <t>김명월 흰콩 청국장가루 1kg(500g2통)</t>
  </si>
  <si>
    <t>김명월 청국장가루 SET(흰콩 500g+검정콩 500g)</t>
  </si>
  <si>
    <t>(주)우영채널</t>
  </si>
  <si>
    <t>114-86-65039</t>
  </si>
  <si>
    <t>(신선집중) 사대부 포기김치 10kg (국내산 100% 원재료 한국소비자만족브랜드 대상)</t>
  </si>
  <si>
    <t>주식회사 율림에프앤비 농업회사법인</t>
  </si>
  <si>
    <t>613-81-38510</t>
  </si>
  <si>
    <t>국내산 밤 100% 알토리 맛밤 50g10봉 햇밤 찐밤 무첨가 간식 100% 무첨가 건강 간식</t>
  </si>
  <si>
    <t>농업회사법인 (주) 살레농수산</t>
  </si>
  <si>
    <t>477-86-03031</t>
  </si>
  <si>
    <t>백진주 쌀 4kg /25년산 햅쌀/오늘출발</t>
  </si>
  <si>
    <t>백진주 쌀 10kg /25년산 햅쌀/오늘출발</t>
  </si>
  <si>
    <t>백진주 쌀 20kg /25년산 햅쌀/오늘출발</t>
  </si>
  <si>
    <t>김포금쌀 하이아미 2kg 특등급 키 크는 기능성 쌀 /25년산 햅쌀/오늘출발</t>
  </si>
  <si>
    <t>김포금쌀 하이아미 5kg 특등급 키 크는 기능성 쌀 /25년산 햅쌀/오늘출발</t>
  </si>
  <si>
    <t>김포금쌀 하이아미 10kg 특등급 키 크는 기능성 쌀 /25년산 햅쌀/오늘출발</t>
  </si>
  <si>
    <t>김포금쌀 하이아미 20kg 특등급 키 크는 기능성 쌀 /25년산 햅쌀/오늘출발</t>
  </si>
  <si>
    <t>고시히카리 쌀 4kg /25년 햅쌀/오늘출발</t>
  </si>
  <si>
    <t>고시히카리 쌀 10kg /25년 햅쌀/오늘출발</t>
  </si>
  <si>
    <t>고시히카리 쌀 20kg /25년 햅쌀/오늘출발</t>
  </si>
  <si>
    <t>영농조합법인 팔공김치</t>
  </si>
  <si>
    <t>382-88-01160</t>
  </si>
  <si>
    <t>팔공산 명품김치 10kg</t>
  </si>
  <si>
    <t>팔공산 명품김치 5kg</t>
  </si>
  <si>
    <t>팔공산 명품김치 3kg</t>
  </si>
  <si>
    <t>팔공 명품맛김치 10kg (한입김치)</t>
  </si>
  <si>
    <t>팔공 명품맛김치 5kg (한입김치)</t>
  </si>
  <si>
    <t>명품 맛김치 3kg</t>
  </si>
  <si>
    <t>팔공산 명품 불김치 10kg</t>
  </si>
  <si>
    <t>761-46-00855</t>
  </si>
  <si>
    <t>코스모스길 옆 상황버</t>
  </si>
  <si>
    <t>팔공산 명품 불김치 5kg</t>
  </si>
  <si>
    <t>팔공산 명품 불김치 3kg</t>
  </si>
  <si>
    <t>당진시농협쌀조합공동사업법인</t>
  </si>
  <si>
    <t>733-81-01525</t>
  </si>
  <si>
    <t>출고당일도정 || 당진로얄삼광 특등급 쌀20kg 1개 2025년산 햅쌀 (서해대통 당진해나루)</t>
  </si>
  <si>
    <t>출고당일도정 || 당진로얄삼광쌀 특등급 쌀20kg (10kg 2개) 2025년산 햅쌀 (서해대통 당진해나루)</t>
  </si>
  <si>
    <t>출고당일도정 해풍맞고자란 당진해나루쌀 삼광미특등급 쌀20kg 2025년산 햅쌀 (당진시농협쌀조합)</t>
  </si>
  <si>
    <t>출고당일도정 해풍맞고자란 당진해나루쌀 삼광미특등급 쌀10kg 2025년산 햅쌀 (당진시농협쌀조합)</t>
  </si>
  <si>
    <t>출고당일도정 당진해나루 당찬진미 특등급 쌀10kg 2025년산 햅쌀 (당진시농협쌀조합)</t>
  </si>
  <si>
    <t>출고당일도정 당진해나루 당찬진미 특등급 쌀10kg 2개 2025년산 햅쌀 (당진시농협쌀조합)</t>
  </si>
  <si>
    <t>당진해나루쌀 10kg x 2개 출고당일도정 삼광미특등급 2025년산 해풍맞고자란 햅쌀</t>
  </si>
  <si>
    <t>출고당일도정 || 청풍명월 당진쌀 상등급 20kg 1개 ( 2025년산 햅쌀 서해대통 당진해나루)</t>
  </si>
  <si>
    <t>출고당일도정 || 청풍명월 당진쌀 상등급 20kg (10kg 2개) (2025년산 햅쌀 서해대통 당진해나루)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</si>
  <si>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</si>
  <si>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</si>
  <si>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서해대통 당진쌀 당진 친들미 20kg 25년산 (출고당일도정)</t>
  </si>
  <si>
    <t>144-92-00528</t>
  </si>
  <si>
    <t>햇터농장</t>
  </si>
  <si>
    <t>맛이슈 당진쌀 20kg 2025년 햅쌀 (당진해나루 / 출고당일도정)</t>
  </si>
  <si>
    <t>철원봉학미곡처리장</t>
  </si>
  <si>
    <t>127-42-46728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</si>
  <si>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</si>
  <si>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</si>
  <si>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( 출고당일도정 ) 철원오대쌀 10kg 1개 골드 2025년산 햅쌀</t>
  </si>
  <si>
    <t>( 출고당일도정 ) 철원오대쌀 10kg 2개 골드 2025년산 햅쌀</t>
  </si>
  <si>
    <t>철원향미 찹쌀 4kg (철원오대쌀이 자라는 철원평야) 출고당일도정 2025년산 햅쌀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</si>
  <si>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</si>
  <si>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</si>
  <si>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</si>
  <si>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두루미쌀 20kg(10kg 2개) 상등급 2025년산 (출고당일도정)</t>
  </si>
  <si>
    <t>옥과농원</t>
  </si>
  <si>
    <t>408-91-76416</t>
  </si>
  <si>
    <t>곡성 친환경 참송이버섯 500g (농장직송)</t>
  </si>
  <si>
    <t>곡성 친환경 참송이버섯 선물용 / 선물세트 (고급이끼포장)</t>
  </si>
  <si>
    <t>형지표고버섯</t>
  </si>
  <si>
    <t>290-94-00335</t>
  </si>
  <si>
    <t>(20%+7%) 국산 참나무 표고버섯 원목 표고 슬라이스 200g</t>
  </si>
  <si>
    <t>참나무 원목 표고버섯 가루 300g 천연조미료</t>
  </si>
  <si>
    <t>국산 참나무 천연조미료 표고버섯가루 140g</t>
  </si>
  <si>
    <t>참나무 건표고버섯 다용도 국물육수용 요리용 500g</t>
  </si>
  <si>
    <t>국산 참나무 건표고버섯 표고사각(칩) 150g</t>
  </si>
  <si>
    <t>국내산 상황버섯 150g</t>
  </si>
  <si>
    <t>국산 장수 상황버섯 슬라이스 100g</t>
  </si>
  <si>
    <t>국산 장수 상황버섯 칩 50g</t>
  </si>
  <si>
    <t>국내산 영지버섯 절편 슬라이스 500g</t>
  </si>
  <si>
    <t>국산 영지버섯 절편 슬라이스 200g</t>
  </si>
  <si>
    <t>국내산 간편한 영지버섯 사각 조각(칩) 100g</t>
  </si>
  <si>
    <t>형지표고버섯 백화고 명품 1호 표고버섯 선물세트</t>
  </si>
  <si>
    <t>형지표고버섯 표고 영지버섯 간편 표고버섯 선물세트</t>
  </si>
  <si>
    <t>형지표고버섯 동고 혼합 2호 표고버섯 선물세트</t>
  </si>
  <si>
    <t>형지표고버섯 상황버섯 백화고 명품5호 버섯 선물세트</t>
  </si>
  <si>
    <t>국산 참나무 동고 영지버섯 혼합1호 버섯 선물세트</t>
  </si>
  <si>
    <t>형지표고버섯 표고 영지 상황버섯 4종1호 버섯 선물세트</t>
  </si>
  <si>
    <t>형지표고버섯 영지버섯 상황버섯 명품3호 버섯 선물세트</t>
  </si>
  <si>
    <t>형지표고버섯 흑화고 상황버섯 혼합2호 표고 버섯 선물세트</t>
  </si>
  <si>
    <t>국산 참나무 흑화고 상황버섯 혼합 버섯 선물세트</t>
  </si>
  <si>
    <t>국산 참나무 백화고 상황버섯 혼합 버섯 선물세트</t>
  </si>
  <si>
    <t>국산 참나무 백화고 영지버섯 혼합 선물세트</t>
  </si>
  <si>
    <t>국산 참나무 흑화고 표고 영지버섯 혼합 선물세트</t>
  </si>
  <si>
    <t>형지표고버섯 백화고 특 1호 표고버섯 선물세트</t>
  </si>
  <si>
    <t>형지표고버섯 흑화고 특 2호 표고버섯 선물세트</t>
  </si>
  <si>
    <t>형지표고버섯 종합 4종 4호 표고버섯 선물세트</t>
  </si>
  <si>
    <t>형지표고버섯 동고 특 2호 표고버섯 선물세트</t>
  </si>
  <si>
    <t>형지표고버섯 흑화고 혼합3호 표고버섯 선물세트</t>
  </si>
  <si>
    <t>형지표고버섯 백화고 특 3호 표고버섯 선물세트</t>
  </si>
  <si>
    <t>형지표고버섯 백화고 혼합2호 표고버섯 선물세트</t>
  </si>
  <si>
    <t>농부플러스</t>
  </si>
  <si>
    <t>571-81-00383</t>
  </si>
  <si>
    <t>국산 냉압착 생들기름 300ml</t>
  </si>
  <si>
    <t>농부플러스 국산 토종꿀 아카시아꿀 숙성꿀 1kg</t>
  </si>
  <si>
    <t>농부플러스 국산 냉압착 생들기름 200ml</t>
  </si>
  <si>
    <t>국산 저온착유 참기름 300ml</t>
  </si>
  <si>
    <t>농부플러스 국산 냉압착 생들기름 식물성 오메가3 스틱 5g 30개입</t>
  </si>
  <si>
    <t>농부플러스 국산 토종꿀 아카시아꿀 스틱형 허니스틱 (10g 30개입)</t>
  </si>
  <si>
    <t>농부플러스 국산 저온압착 참기름 200ml</t>
  </si>
  <si>
    <t>농부플러스 국산 토종꿀 잡화꿀 야생화꿀 숙성꿀 1kg</t>
  </si>
  <si>
    <t>농부플러스 국산 토종꿀 잡화꿀 스틱형 허니스틱 (10g 30개입)</t>
  </si>
  <si>
    <t>농부플러스 국산 저온압착 들기름 200ml</t>
  </si>
  <si>
    <t>국산 볶음참깨 햇 참깨 볶은참깨 토종 통깨 200g</t>
  </si>
  <si>
    <t>국산 냉압착 생들기름 300ml x3병</t>
  </si>
  <si>
    <t>냉압착 생들기름 180ml/햇들깨/국내산 100%/ 농부드림</t>
  </si>
  <si>
    <t>국산 저온착유 들기름 300ml</t>
  </si>
  <si>
    <t>농부플러스 국산 냉압착 생들기름+참기름 200m 2병 선물세트</t>
  </si>
  <si>
    <t>농부플러스 국산 토종꿀 잡화꿀 야생화꿀 숙성꿀 500g</t>
  </si>
  <si>
    <t>저온압착 참기름 180ml/햇참깨/국내산 100%/ 농부드림</t>
  </si>
  <si>
    <t>농부플러스 국산 토종꿀 아카시아꿀 숙성꿀 300g</t>
  </si>
  <si>
    <t>농부플러스 국산 토종꿀 아카시아꿀 숙성 꿀 500g</t>
  </si>
  <si>
    <t>국산 볶음참깨 햇 참깨 볶은참깨 토종 통깨 150g</t>
  </si>
  <si>
    <t>저온압착 들기름 참기름 180ml 2병 선물 세트</t>
  </si>
  <si>
    <t>농부플러스 아카시아꿀 300g 2구 선물세트</t>
  </si>
  <si>
    <t>농부플러스 국산 냉압착 생들기름 식물성 오메가3 스틱 선물세트 (5g 30개입)</t>
  </si>
  <si>
    <t>농부플러스 국산 토종꿀 아카시아꿀 1kg 1병 선물세트</t>
  </si>
  <si>
    <t>듬뿍농원</t>
  </si>
  <si>
    <t>411-08-51893</t>
  </si>
  <si>
    <t>(20%) 찐한 겉잎까지 달인 양배추즙 100포 100ml 무안 (산지 직송) 듬뿍농원</t>
  </si>
  <si>
    <t>붉은맛이 살아있는 무안 황토 비트즙 100포 100ml 무안 (산지직송)</t>
  </si>
  <si>
    <t>듬뿍농원 겉껍질까지 달인 무안 양배추즙 100포 무안(산지직송) 진액</t>
  </si>
  <si>
    <t>듬뿍농원 겉껍질까지 달인 무안 참솔잎 양파즙 100포</t>
  </si>
  <si>
    <t>522-17-00696</t>
  </si>
  <si>
    <t>엿공장</t>
  </si>
  <si>
    <t>듬뿍농원 겉껍질까지 달인 무안 빨간 양파즙 100포 무안 (산지직송)</t>
  </si>
  <si>
    <t>듬뿍농원 겉껍질까지 달인 무안 빨간 양파즙 50포 무안 (산지직송)</t>
  </si>
  <si>
    <t>듬뿍농원 겉껍질까지 달인 무안 순수 양파즙 50포 무안 (산지직송)</t>
  </si>
  <si>
    <t>듬뿍농원 겉껍질까지 달인 무안 참솔잎 양파즙 50포</t>
  </si>
  <si>
    <t>듬뿍농원 겉껍질까지 달인 무안 순수 양파즙 100포 무안 (산지직송) 110ml 대용량</t>
  </si>
  <si>
    <t>붉은맛이 살아있는무안황토 비트즙 50포 100ml 무안(산지직송)</t>
  </si>
  <si>
    <t>듬뿍곡간</t>
  </si>
  <si>
    <t>181-02-01980</t>
  </si>
  <si>
    <t>듬뿍곡간 수제 쑥 떡 인절미/ 선물세트 간식 식사대용 1kg +콩고물 해썹인증시설</t>
  </si>
  <si>
    <t>듬뿍곡간 수제 백미찹쌀누룽지/ 식사대용 간식 누릉지</t>
  </si>
  <si>
    <t>듬뿍곡간 수제누룽지 9개입 / 명절선물세트 누릉지</t>
  </si>
  <si>
    <t>듬뿍곡간 수제누룽지 6개입 / 명절선물세트 누릉지</t>
  </si>
  <si>
    <t>듬뿍곡간 수제 귀리누룽지 / 식사대용 간식 누릉지</t>
  </si>
  <si>
    <t>듬뿍곡간 수제 보리누룽지 / 식사대용 간식 누릉지</t>
  </si>
  <si>
    <t>듬뿍곡간 수제 현미누룽지 / 식사대용 간식 누릉지</t>
  </si>
  <si>
    <t>듬뿍곡간 국내산 볶은 귀리 / 아침식사대용 간식</t>
  </si>
  <si>
    <t>듬뿍곡간 국내산 쑥미숫가루 / 선식 식사대용 간식 500g</t>
  </si>
  <si>
    <t>듬뿍곡간 국내산 귀리가루 / 식사대용 선식 미숫가루 500g</t>
  </si>
  <si>
    <t>농업회사법인(주)가남농원</t>
  </si>
  <si>
    <t>416-81-59229</t>
  </si>
  <si>
    <t>(20%) 광양매화마을 매실장인이 만든 매실원액 1000ml x 3</t>
  </si>
  <si>
    <t>광양매화마을 매실장인이 만든 매실원액 1000ml x 5</t>
  </si>
  <si>
    <t>김승희매실가 신지식 농업인이 만든 매실절임 1kg</t>
  </si>
  <si>
    <t>천기누설 매실 장인이만든 매실고 (농축액) 150g</t>
  </si>
  <si>
    <t>천기누설 매실 장인이만든 매실고150g (농축액) 2병</t>
  </si>
  <si>
    <t>100% 씨를 제거한 매실원액 프리미엄 청매원 900ml x3</t>
  </si>
  <si>
    <t>100% 씨를 제거한 매실원액 프리미엄 청매원 900mlx3</t>
  </si>
  <si>
    <t>농업회사법인 팜팜(주)</t>
  </si>
  <si>
    <t>177-81-00798</t>
  </si>
  <si>
    <t>스테비아 국산 토마토 주스 설탕 무첨가 30포 1박스 110ml 30개 논산 직영산지 직접 재배 토마토로 만든</t>
  </si>
  <si>
    <t>(품질보증) 산지직송 정품과 완숙토마토 5KG 당일수확 유럽종</t>
  </si>
  <si>
    <t>수촌농장</t>
  </si>
  <si>
    <t>477-93-01384</t>
  </si>
  <si>
    <t>(신선집중) 참외 산지직송 고당도 저탄소 꿀 참외 4.5kg(혼합과)</t>
  </si>
  <si>
    <t>농업회사법인주식회사착한푸드</t>
  </si>
  <si>
    <t>809-86-00022</t>
  </si>
  <si>
    <t>복숭아 대극천복숭아 2kg(21-24과내외)</t>
  </si>
  <si>
    <t>복숭아 대극천복숭아 2kg(17-20과내외)</t>
  </si>
  <si>
    <t>복숭아 대극천복숭아 2kg(13-16과내외)</t>
  </si>
  <si>
    <t>복숭아 경북 아삭이 복숭아 4kg(20과내외)/중과</t>
  </si>
  <si>
    <t>복숭아 경북 아삭이 복숭아 4kg(18과내외)/중대과</t>
  </si>
  <si>
    <t>복숭아 경북 아삭이 복숭아 4kg(16과내외)/대과</t>
  </si>
  <si>
    <t>복숭아 아삭이복숭아 2kg(11-15과내외)</t>
  </si>
  <si>
    <t>복숭아 아삭이복숭아 2kg(9-10과내외)</t>
  </si>
  <si>
    <t>복숭아 아삭이복숭아 2kg(5-8과내외)</t>
  </si>
  <si>
    <t>정진농장</t>
  </si>
  <si>
    <t>126-99-15769</t>
  </si>
  <si>
    <t>유럽상추 GAP인증샐러드상추 산지직송 당일수확 루꼴라</t>
  </si>
  <si>
    <t>애산농원</t>
  </si>
  <si>
    <t>245-06-03392</t>
  </si>
  <si>
    <t>제주 유기농감귤착즙주스 100% 150ml 10개</t>
  </si>
  <si>
    <t>농업회사법인주식회사 늘해랑</t>
  </si>
  <si>
    <t>756-87-00841</t>
  </si>
  <si>
    <t>조은해남 고구마 못난이 10kg (꿀호박 랜덤발송)</t>
  </si>
  <si>
    <t>조은해남 달콤한 세척 꿀고구마 특상5kg</t>
  </si>
  <si>
    <t>조은해남 달콤한 세척 꿀고구마 특상10kg</t>
  </si>
  <si>
    <t>조은해남 달콤한 꿀밤고구마 특상 5kg</t>
  </si>
  <si>
    <t>조은해남 달콤한 꿀고구마 특상 5kg</t>
  </si>
  <si>
    <t>(신선집중) 조은해남 달콤한 꿀고구마 중 5kg</t>
  </si>
  <si>
    <t>달콤한 꿀고구마 특상 5kg</t>
  </si>
  <si>
    <t>조은해남 달콤한 꿀고구마 중 3kg</t>
  </si>
  <si>
    <t>조은해남 달콤한 꿀고구마 특상 3kg</t>
  </si>
  <si>
    <t>(신선집중) 조은해남 고구마 못난이 10kg (꿀호박 랜덤발송)</t>
  </si>
  <si>
    <t>조은해남 달콤한 호박고구마 특상10kg</t>
  </si>
  <si>
    <t>조은해남 달콤한 호박고구마 특상 5kg</t>
  </si>
  <si>
    <t>조은해남 달콤한 꿀고구마 특상3kg</t>
  </si>
  <si>
    <t>(신선집중) 조은해남 달콤한 호박고구마 특상5kg</t>
  </si>
  <si>
    <t>(신선집중) 조은해남 못난이 고구마10kg</t>
  </si>
  <si>
    <t>(신선집중) 조은해남 달콤한꿀고구마 특상3kg</t>
  </si>
  <si>
    <t>조은해남 달콤한 꿀고구마 특상 10kg</t>
  </si>
  <si>
    <t>조은해남 달콤한 꿀고구마 중 10kg</t>
  </si>
  <si>
    <t>(신선집중) 조은해남 달콤한 꿀고구마 한입 10kg</t>
  </si>
  <si>
    <t>(신선집중) 조은해남 달콤한 꿀고구마 특상 5kg</t>
  </si>
  <si>
    <t>임마누엘농장</t>
  </si>
  <si>
    <t>382-91-01817</t>
  </si>
  <si>
    <t>난각번호1번 프리미엄 유정란 꾸지뽕 먹고 자란 자유 방사 유정란 자연방목 계란 대란 20구</t>
  </si>
  <si>
    <t>초림단지묵</t>
  </si>
  <si>
    <t>615-14-93195</t>
  </si>
  <si>
    <t>초림단지묵 국산 100% 도토리묵 400g 2인분 x 1팩</t>
  </si>
  <si>
    <t>초림단지묵 국산100% 도토리묵 묵사발 세트</t>
  </si>
  <si>
    <t>초림단지묵 명인 국산 콩물 우묵채 (2인분)</t>
  </si>
  <si>
    <t>초림단지묵 국산 콩물 콩가루 90g 1인분 x 5팩 물만타면 콩국수</t>
  </si>
  <si>
    <t>초림단지묵 국산 콩물 콩가루 400g 4인분 물만타면 콩국수</t>
  </si>
  <si>
    <t>그린몬스터즈</t>
  </si>
  <si>
    <t>883-95-01472</t>
  </si>
  <si>
    <t>당일수확발송 그린몬스터즈 프리미엄 미니오이 1.5kg 농장직거래 여름작기 첫수확 특가할인행사</t>
  </si>
  <si>
    <t>당일수확발송 그린몬스터즈 프리미엄 미니오이 750g 농장직거래 여름작기 첫수확 특가할인행사</t>
  </si>
  <si>
    <t>농업회사법인 주식회사 마이티팜</t>
  </si>
  <si>
    <t>460-88-01363</t>
  </si>
  <si>
    <t>국산 아카시아 꿀스틱 30포 / 100% 천연 벌꿀 아카시아꿀 허니스틱</t>
  </si>
  <si>
    <t>국산 프로폴리스 꿀스틱 15포 / 컨디션 건강 관리 에너지 스틱 꿀 2026 리뉴얼</t>
  </si>
  <si>
    <t>국산 프로폴리스 꿀스틱 30포 / 천연 벌꿀 허니스틱 꿀</t>
  </si>
  <si>
    <t>꿀프로 국내산 맛있는 프로폴리스 꿀스틱 10포 /아카시아꿀+프로폴리스</t>
  </si>
  <si>
    <t>꿀프로 국내산 맛있는 프로폴리스 꿀스틱 20포 /아카시아꿀+프로폴리스</t>
  </si>
  <si>
    <t>스위터 국내산 아카시아꿀 500g 100% 천연 벌꿀</t>
  </si>
  <si>
    <t>스위터 국산 꿀스틱 10포 벌꿀 허니스틱 답례품 선물</t>
  </si>
  <si>
    <t>스위터 국내산 아카시아 천연벌꿀 스틱 10p 꿀 아카시아꿀</t>
  </si>
  <si>
    <t>685-88-00527</t>
  </si>
  <si>
    <t>농업회사법인주식회사다고</t>
  </si>
  <si>
    <t>국산 아카시아꿀 꿀스틱 선물세트 60포+쇼핑백 / 100% 천연 벌꿀 허니스틱 꿀 선물</t>
  </si>
  <si>
    <t>국산 프로폴리스 꿀스틱 선물세트 60포+쇼핑백 / 건강 축하 응원 부모님 직장인 선물</t>
  </si>
  <si>
    <t>6가지맛 과일 꿀차 선물세트 허니카페 /부모님 선생님 선물 센스있는 답례품</t>
  </si>
  <si>
    <t>어이딸 순한 김부각 160g 찹쌀 수제 비건 글루텐프리 저당</t>
  </si>
  <si>
    <t>고추크런치 70g 고추부각 튀각 찹쌀 수제 비건</t>
  </si>
  <si>
    <t>어이딸 김부각 선물세트 소 5개입 찹쌀 수제 비건 글루텐프리 저당</t>
  </si>
  <si>
    <t>어이딸 김부각 선물세트 중 8개입 찹쌀 수제 비건 글루텐프리 저당</t>
  </si>
  <si>
    <t>농업회사법인 유한회사 자연식품</t>
  </si>
  <si>
    <t>264-81-50516</t>
  </si>
  <si>
    <t>(HACPP 인증) 자연그대로 배도라지즙 100ml x 30팩</t>
  </si>
  <si>
    <t>(HACPP 인증) 자연그대로 배도라지즙 100ml x 60팩</t>
  </si>
  <si>
    <t>(HACPP 인증) 자연그대로 배도라지즙 100ml x 90팩 / 선물용 패키지박스(30팩 x 3박스)</t>
  </si>
  <si>
    <t>(HACPP 인증) 자연그대로 배도라지즙 100ml x 100팩+10팩(총110팩)</t>
  </si>
  <si>
    <t>자연 그대로 도라지배즙 100ml 30팩</t>
  </si>
  <si>
    <t>자연 그대로 도라지배즙 100ml 60팩</t>
  </si>
  <si>
    <t>자연 그대로 도라지배즙 100ml 90팩</t>
  </si>
  <si>
    <t>자연이 만든 도라지배즙 파우치 100ml 30팩</t>
  </si>
  <si>
    <t>자연이 만든 도라지배즙 파우치 100ml 60팩</t>
  </si>
  <si>
    <t>(HACPP 인증) 자연이 만든 도라지배즙 100ml x 100팩+10팩(총110팩)</t>
  </si>
  <si>
    <t>자연이 만든 도라지배즙 스파우트 100ml 30팩</t>
  </si>
  <si>
    <t>자연이 만든 도라지배즙 스파우트 100ml 60팩</t>
  </si>
  <si>
    <t>(도라지 20%) HACCP인증 자연이 만든 더 진한 도라지배즙 스파우트 100ml x 30팩</t>
  </si>
  <si>
    <t>(도라지 20%) HACCP인증 자연이 만든 더 진한 도라지배즙 스파우트 100ml x 60팩</t>
  </si>
  <si>
    <t>(HACPP 인증) 자연그대로 무안 자색양파즙 100ml x 30팩</t>
  </si>
  <si>
    <t>(HACPP 인증) 자연그대로 무안 자색양파즙 100ml x 60팩</t>
  </si>
  <si>
    <t>(HACPP 인증) 자연그대로 무안 자색양파즙 100ml x 100팩+10팩(총110팩)</t>
  </si>
  <si>
    <t>(HACPP 인증) 자연그대로 무안 자색양파즙 100ml x 140팩 / 최대용량 기획세트(35팩 x 4박스)</t>
  </si>
  <si>
    <t>(100포) 자연식품 무안 양파즙 100ml x 100팩(실속구성 HACCP)</t>
  </si>
  <si>
    <t>농업회사법인제프런주식회사</t>
  </si>
  <si>
    <t>616-81-85948</t>
  </si>
  <si>
    <t>(신선집중) 밤호박 제주직송 밤단호박 보우짱 5kg실중량(9~25과내외)</t>
  </si>
  <si>
    <t>농업회사법인 (주)생생초</t>
  </si>
  <si>
    <t>514-81-74335</t>
  </si>
  <si>
    <t>생생초 애사비 애플사이다비니거 생초 사과식초 1000ml 생사과만 발효시켜 초모가 살아있는 자연발효식초</t>
  </si>
  <si>
    <t>(주)노스팜</t>
  </si>
  <si>
    <t>639-81-03411</t>
  </si>
  <si>
    <t>전라도할매 국내산 원재료로 만든 얼갈이김치 2.5kg+열무김치2.5kg / 총 5kg / 국산 100% 재료 및 제조</t>
  </si>
  <si>
    <t>창녕 양파 햇양파 3kg (4번 5.9cm이하)</t>
  </si>
  <si>
    <t>창녕 양파 햇양파 3kg (3번 6-6.9cm)</t>
  </si>
  <si>
    <t>창녕 양파 햇양파 3kg (2번 7-7.9cm)</t>
  </si>
  <si>
    <t>(신선집중) 사대부 포기김치 10kg (국내산 100% 농산물 한국소비자만족브랜드 대상)</t>
  </si>
  <si>
    <t>제주 유기농감귤착즙주스 100% 150ml 30개</t>
  </si>
  <si>
    <t>제주 유기농감귤착즙주스 100% 150ml 20개</t>
  </si>
  <si>
    <t>찬찬한상</t>
  </si>
  <si>
    <t>459-15-02771</t>
  </si>
  <si>
    <t>(갈비맛집1995 런칭특가) 제육갈비 1+ 한돈 간장볶음 양념 돼지고기 불고기주물럭 두루치기 350g 4팩 1.4kg</t>
  </si>
  <si>
    <t>(신선집중) 사과 초록사과 4kg(26-30과내외)/꼬마소과</t>
  </si>
  <si>
    <t>사과 초록사과 2kg(13-15과내외)/꼬마소과</t>
  </si>
  <si>
    <t>사과 초록사과 2kg(10-12과내외)/소과</t>
  </si>
  <si>
    <t>사과 초록사과 2kg(8-9과내외)/중과</t>
  </si>
  <si>
    <t>사과 초록사과 4kg(21-25과내외)/소과</t>
  </si>
  <si>
    <t>사과 초록사과 4kg(16-20과내외)/중과</t>
  </si>
  <si>
    <t>농업회사법인(유)코리아푸드</t>
  </si>
  <si>
    <t>412-81-50546</t>
  </si>
  <si>
    <t>전라도 전통방식!! 국내산 알배기 포기김치&amp;겉절이 1kg</t>
  </si>
  <si>
    <t>[타임특가](무료배송) 900개 한정!! 전라도 수제 총각김치 2kg</t>
  </si>
  <si>
    <t>[무료배송] 30년 손맛!! 전라도 얼갈이김치 (국내산 얼갈이)</t>
  </si>
  <si>
    <t>[타임특가][무료배송+1kg증정] 프리미엄 여린 열무김치 총 3kg</t>
  </si>
  <si>
    <t>[저온숙성] 30년 전통 전라도 묵은지 2kg (무료배송)</t>
  </si>
  <si>
    <t>[비법양념사용!] 국내산 전라도 석박지 2kg</t>
  </si>
  <si>
    <t>썰어 담은 전라도 맛있는 맛김치 1kg/2kg</t>
  </si>
  <si>
    <t>전라도 쪽파!! 수제 파김치 2kg (국내산 쪽파 100%)</t>
  </si>
  <si>
    <t>[몽땅 무료배송+덤증정!!] 전라도 수제 총각김치</t>
  </si>
  <si>
    <t>(무료배송) 여수 정품 돌산 갓김치 2kg</t>
  </si>
  <si>
    <t>양념에 버무린 전라도식 배추김치</t>
  </si>
  <si>
    <t>도원명가</t>
  </si>
  <si>
    <t>887-10-00764</t>
  </si>
  <si>
    <t>[여수돌산갓100%] 보리쌀 동동!! 시원한 갓물김치 &amp; 갓김치</t>
  </si>
  <si>
    <t>창란젓+고랭지무=나박고랭지무김치!! 자박자박 나박김치(국내산)</t>
  </si>
  <si>
    <t>[김치맛집] 감천골!! 서리맞은 단호박 백김치 (한정 판매)</t>
  </si>
  <si>
    <t>[100% 국내산] 특제양념! 수제 쪽파말랭이무침 400g</t>
  </si>
  <si>
    <t>지금 제철! 아삭아삭 싱싱한 고구마줄기김치</t>
  </si>
  <si>
    <t>[최대+1kg 증정] 감천골!! 가야 햇 초롱무김치</t>
  </si>
  <si>
    <t>물도 맛있는 감천골!! 찰보리열무물김치</t>
  </si>
  <si>
    <t>건강한 맛 밥도둑 양념 콩잎김치 400g</t>
  </si>
  <si>
    <t>[경상전통식] 거창 고랭지 머위!! 햇 수제 머위김치 2종 (국산 고춧가루&amp;된장)</t>
  </si>
  <si>
    <t>밥도둑 반찬(콩잎김치/깻잎김치/고추김치/무말랭이)</t>
  </si>
  <si>
    <t>더자인</t>
  </si>
  <si>
    <t>749-87-02443</t>
  </si>
  <si>
    <t>(무료배송) 우리 농가에서 자란 달콤함의 끝판왕! 대극천 반납작이 복숭아</t>
  </si>
  <si>
    <t>[무료배송+500g증정!!] 경북직송!! 과즙가득 햇 천도복숭아 총 3kg</t>
  </si>
  <si>
    <t>[타임특가][무료배송+1kg증정!!] 경북 햇 딱복이 총 3kg (딱딱이백도복숭아)</t>
  </si>
  <si>
    <t>[제철특가] 농부직송!! 새콤달콤 햇 자두 1kg/3kg</t>
  </si>
  <si>
    <t>[농가 무료배송!!] 말랭이복숭아 2kg!! 황도파 VS 백도파 (골라담기)</t>
  </si>
  <si>
    <t>양림해오름농장</t>
  </si>
  <si>
    <t>875-96-01444</t>
  </si>
  <si>
    <t>[무료배송] 농부가 바로!! 상추쌈 600g 9,900원!! (유럽상추)</t>
  </si>
  <si>
    <t>영농조합법인 우보산초</t>
  </si>
  <si>
    <t>873-88-00110</t>
  </si>
  <si>
    <t>[밀양본초] 48시간 발효숙성! 2대비법 덖음 야생 산초차</t>
  </si>
  <si>
    <t>[무료배송] 농부가 바로!! 경북 영천 단복이!! 2kg (딱딱이복숭아)</t>
  </si>
  <si>
    <t>농업회사법인 디에스푸즈 주식회사</t>
  </si>
  <si>
    <t>119-88-01766</t>
  </si>
  <si>
    <t>[소백산희여골] GAP *희여골못난이사과(부사) (1.5kg * 1개)</t>
  </si>
  <si>
    <t>[소백산희여골]GAP 사과(부사) 1.5Kg (1.5kg내외/5-7입 * 1개)</t>
  </si>
  <si>
    <t>[선별사과]GAP소백산 희여골 저탄소 부사사과 1.4kg (6입/팩 * 1개)</t>
  </si>
  <si>
    <t>명품수제프레시하우스</t>
  </si>
  <si>
    <t>141-06-23534</t>
  </si>
  <si>
    <t>보리굴림만두 (410g)</t>
  </si>
  <si>
    <t>보리떡갈비 500g (8장)</t>
  </si>
  <si>
    <t>노고단식품</t>
  </si>
  <si>
    <t>407-05-49397</t>
  </si>
  <si>
    <t>순수 서리태콩물(1L)</t>
  </si>
  <si>
    <t>고소한 흑임자 콩국물(1L) (2개)</t>
  </si>
  <si>
    <t>고소한 순수콩물(1L)</t>
  </si>
  <si>
    <t>우무묵(340g)</t>
  </si>
  <si>
    <t>비트청포묵(300g)</t>
  </si>
  <si>
    <t>치자청포묵(300g)</t>
  </si>
  <si>
    <t>케이에프지</t>
  </si>
  <si>
    <t>120-86-08936</t>
  </si>
  <si>
    <t>한돈 제육볶음 (650g X 1개)</t>
  </si>
  <si>
    <t>132-81-55005</t>
  </si>
  <si>
    <t>농업회사법인 하늘농가(주)</t>
  </si>
  <si>
    <t>한돈 칼집 양념구이 (650g X 1개)</t>
  </si>
  <si>
    <t>한돈 성북동식 돼지불백 (650g X 1개)</t>
  </si>
  <si>
    <t>서울식 한우 불고기 밀키트 (800g X 1개)</t>
  </si>
  <si>
    <t>행복예감곶감 영농조합법인</t>
  </si>
  <si>
    <t>511-81-21260</t>
  </si>
  <si>
    <t>GAP 아이스홍시(6입/총 420g이상)</t>
  </si>
  <si>
    <t>주식회사 토종마을</t>
  </si>
  <si>
    <t>204-86-28088</t>
  </si>
  <si>
    <t>[토종마을]국산 진도 구기자 300g</t>
  </si>
  <si>
    <t>[토종마을]국산 오미자 300g</t>
  </si>
  <si>
    <t>[토종마을]국산 고운쑥분말 250g</t>
  </si>
  <si>
    <t>[요리앤가루]HACCP인증 국산 마늘분말 100g(국산 천연조미료)</t>
  </si>
  <si>
    <t>[토종마을]HACCP인증 국산 유기농 양배추환 200g</t>
  </si>
  <si>
    <t>토종마을 HACCP인증 국산 유기농 양배추분말 100g</t>
  </si>
  <si>
    <t>[요리앤가루]HACCP인증 국산 표고버섯분말 70g(국산 천연조미료)</t>
  </si>
  <si>
    <t>[요리앤가루]국산 청국장가루 600g (냄새적은 청국장가루)</t>
  </si>
  <si>
    <t>[요리앤가루]도토리묵만들기 500g (국산 도토리가루)</t>
  </si>
  <si>
    <t>[토종마을]HACCP인증 국산 유기농 강황가루 120g_진도산 유기농 강황_진도강황</t>
  </si>
  <si>
    <t>농업회사법인 주식회사 팔농</t>
  </si>
  <si>
    <t>797-88-03152</t>
  </si>
  <si>
    <t>애플랩 경북 세척사과 소과 2kg</t>
  </si>
  <si>
    <t>애플랩 경북 세척사과 중소과 2kg 10과내외</t>
  </si>
  <si>
    <t>안동한우양반곱창 한우곱창 200gX2팩 (400g)</t>
  </si>
  <si>
    <t>안동한우양반곱창 한우곱창200g+한우대창200g 2종세트</t>
  </si>
  <si>
    <t>안동한우양반곱창 한우곱창200g+한우막창200g 2종세트</t>
  </si>
  <si>
    <t>안동한우양반곱창 한우곱창200g+한우염통200g 2종세트</t>
  </si>
  <si>
    <t>조은 영농조합법인</t>
  </si>
  <si>
    <t>135-81-57787</t>
  </si>
  <si>
    <t>국내산 청경채 (200g)</t>
  </si>
  <si>
    <t>국내산 깐쪽파 (150g)</t>
  </si>
  <si>
    <t>국내산 스틱샐러리 (150g)</t>
  </si>
  <si>
    <t>전골용 채소와 버섯 (470g내외/팩)</t>
  </si>
  <si>
    <t>국내산 샐러리 (600g)</t>
  </si>
  <si>
    <t>GAP 상추와 깻잎(130g/봉)</t>
  </si>
  <si>
    <t>국산 미나리 (200g)</t>
  </si>
  <si>
    <t>GAP 모둠쌈 (350g/팩)</t>
  </si>
  <si>
    <t>무농약 혼합 목이버섯 (200g)</t>
  </si>
  <si>
    <t>국내산 적겨자(80g)</t>
  </si>
  <si>
    <t>GAP 국내산 깻잎 (30g)</t>
  </si>
  <si>
    <t>GAP 아삭이 상추 (150g/봉)</t>
  </si>
  <si>
    <t>[농할 20%쿠폰] 국산 적양배추 (1/2통, 400g내외)</t>
  </si>
  <si>
    <t>국내산 절단 대파 (500g)</t>
  </si>
  <si>
    <t>국내산 흙대파 (500g)</t>
  </si>
  <si>
    <t>국내산 1/2 양배추 (500g 내외)</t>
  </si>
  <si>
    <t>국내산 양배추 (1통, 1kg 이상)</t>
  </si>
  <si>
    <t>맑은샘농업회사법인(주)</t>
  </si>
  <si>
    <t>131-86-09478</t>
  </si>
  <si>
    <t>국내산 깐마늘 (100g)</t>
  </si>
  <si>
    <t>국내산 당근 (1kg, 상~특)</t>
  </si>
  <si>
    <t>빨강 파프리카 (1개, 150g 내외)</t>
  </si>
  <si>
    <t>노랑 파프리카 (1개, 150g 내외)</t>
  </si>
  <si>
    <t>국내산 와일드 루꼴라 50g</t>
  </si>
  <si>
    <t>국내산 시금치 (200g)</t>
  </si>
  <si>
    <t>국내산 빨강+노랑 파프리카 (300g 내외)</t>
  </si>
  <si>
    <t>국내산 아삭 샐러드 (100g)</t>
  </si>
  <si>
    <t>국내산 어린잎 샐러드 (100g)</t>
  </si>
  <si>
    <t>국내산 파프리카 샐러드 (100g)</t>
  </si>
  <si>
    <t>국내산 비타민 샐러드 (100g)</t>
  </si>
  <si>
    <t>국내산 루꼴라 샐러드 (100g)</t>
  </si>
  <si>
    <t>국내산 브로콜리(1입)</t>
  </si>
  <si>
    <t>국내산 깻잎 (40g 또는 30장 내외)</t>
  </si>
  <si>
    <t>열두달</t>
  </si>
  <si>
    <t>622-81-28184</t>
  </si>
  <si>
    <t>착즙 생강청(300g)</t>
  </si>
  <si>
    <t>[열두달] 제주 유기농 청귤청</t>
  </si>
  <si>
    <t>[열두달] 제로 생강청</t>
  </si>
  <si>
    <t>[열두달]1초 레몬수</t>
  </si>
  <si>
    <t>[열두달] 제주 무농약 레몬으로 만든 레몬청</t>
  </si>
  <si>
    <t>행복우리식품영농조합법인</t>
  </si>
  <si>
    <t>307-81-28140</t>
  </si>
  <si>
    <t>농부의 딸 현미 누룽지</t>
  </si>
  <si>
    <t>유기농 쌀누룽지 250g*2</t>
  </si>
  <si>
    <t>프리미엄 현미마죽(30gx20스틱)</t>
  </si>
  <si>
    <t>조청 쌀강정 150g</t>
  </si>
  <si>
    <t>조청 현미강정 150g</t>
  </si>
  <si>
    <t>조청 쌀보리강정 150g</t>
  </si>
  <si>
    <t>발아현미 미숫가루</t>
  </si>
  <si>
    <t>현미 양배추죽(30gx20스틱)</t>
  </si>
  <si>
    <t>볶은 보리</t>
  </si>
  <si>
    <t>볶은 옥수수</t>
  </si>
  <si>
    <t>씨튼장애인직업재활센터(씨튼베이커리)</t>
  </si>
  <si>
    <t>409-82-16307</t>
  </si>
  <si>
    <t>[2봉묶음] 유기농 현미스낵 5종</t>
  </si>
  <si>
    <t>유기농 현미시리얼 3종 240G [초코/해달별/채소]</t>
  </si>
  <si>
    <t>[개당 2,900]우리밀로 만든 마늘빵 과자 (70g x 3개)</t>
  </si>
  <si>
    <t>명품남매농장</t>
  </si>
  <si>
    <t>807-95-01634</t>
  </si>
  <si>
    <t>명품남매농장 GAP 샤인머스켓 150g 1차농산물 세척 후 드세요</t>
  </si>
  <si>
    <t>명품남매농장 GAP 건샤인머스켓 300g 1차농산물 세척 후 드세요</t>
  </si>
  <si>
    <t>명품남매농장 GAP 건샤인머스켓 450g 1차농산물 세척 후 드세요</t>
  </si>
  <si>
    <t>명품남매농장 GAP 건샤인머스켓 600g 1차농산물 세척 후 드세요</t>
  </si>
  <si>
    <t>명품남매농장 GAP 건샤인머스켓 750g 1차농산물 세척 후 드세요</t>
  </si>
  <si>
    <t>명품남매농장 GAP 건샤인머스캣 900g 1차농산물 세척 후 드세요</t>
  </si>
  <si>
    <t>515-81-53707</t>
  </si>
  <si>
    <t>농업회사법인 닥터애그 주식회사</t>
  </si>
  <si>
    <t>-</t>
  </si>
  <si>
    <t>220-88-07925</t>
  </si>
  <si>
    <t>농업회사법인 주식회사 떡찌니</t>
  </si>
  <si>
    <t>311-81-44794</t>
  </si>
  <si>
    <t>농업회사법인내포(주)</t>
  </si>
  <si>
    <t>6. 유통사별 품목별 매출 분석</t>
  </si>
  <si>
    <t>848-99-01346</t>
  </si>
  <si>
    <t>옥수농원</t>
  </si>
  <si>
    <t>아침햇살영농조합법인</t>
  </si>
  <si>
    <t>508-81-33305</t>
  </si>
  <si>
    <t>(신선집중) 아삭아삭 사과 부사 4kg 가정용(27~33과) 꼬마과 기스과 /상처과</t>
  </si>
  <si>
    <t>아삭아삭 사과 실중량9kg 가정용 사과 /소과~꼬꼬크기 흡집사과/</t>
  </si>
  <si>
    <t>(신선집중) 20%+5%/ 입안과즙가득 빨간사과 청송사과 정품사과 2.5kg 11~14과 팬캡포장 부사</t>
  </si>
  <si>
    <t>(신선집중) 아삭아삭 사과 아삭아삭 부사사과 가정용 2kg 12-16과(소과)+2박스 구매시 4.5kg발송/미색/</t>
  </si>
  <si>
    <t>사과를 가득담아 사과100% 사과꽃향기 사과즙 100mlX50팩 NFC착즙/(스타배송)</t>
  </si>
  <si>
    <t>창녕 양파 햇양파 3kg (1번/왕특)</t>
  </si>
  <si>
    <t>상주에덴곶감농원</t>
  </si>
  <si>
    <t>511-98-46139</t>
  </si>
  <si>
    <t>(신선집중) 상주에덴곶감 건시선물세트 2026년 햇곶감 1.0kg내외 박스무게제외 예약배송가능</t>
  </si>
  <si>
    <t>(신선집중) 상주에덴곶감 건시선물세트 2026년 햇곶감 1.5KG 박스무게제외 예약배송가능</t>
  </si>
  <si>
    <t>햇살 가득 영암 무화과 2kg(500g x 4팩) 지리적표시 특산품</t>
  </si>
  <si>
    <t>(신선집중) 햇살 가득 영암 무화과 1kg(500g x 2팩) 지리적표시 특산품</t>
  </si>
  <si>
    <t>(신선집중) 이베따 알밤처럼 타박한 산청 밤고구마 3kg(무선별)</t>
  </si>
  <si>
    <t>농업회사법인 주식회사 다움랩스</t>
  </si>
  <si>
    <t>839-87-03615</t>
  </si>
  <si>
    <t>문스팜 국산 원재료 전라도식 열무김치 4kg</t>
  </si>
  <si>
    <t>(신선집중) 사과 경북 햇 가정용 홍로사과 2kg(13-17과)/꼬마소과</t>
  </si>
  <si>
    <t>사과 경북 햇 가정용 홍로사과 2kg(6-8과)/중과</t>
  </si>
  <si>
    <t>(신선집중) 사과 경북 햇 가정용 홍로사과 2kg(9-12과)/중소과</t>
  </si>
  <si>
    <t>사과 경북 사과 선물세트 3kg(13과내외)/중과</t>
  </si>
  <si>
    <t>사과 경북 사과 선물세트 3kg(11과내외)/중대과</t>
  </si>
  <si>
    <t>사과 경북 사과 프리미엄 선물세트 3kg(9과내외)/대과/제수용</t>
  </si>
  <si>
    <t>사과 경북 사과 선물세트 4kg(18과내외)/중과</t>
  </si>
  <si>
    <t>사과 경북 사과 선물세트 4kg(15과내외)/중대과</t>
  </si>
  <si>
    <t>사과 경북 사과 프리미엄 선물세트 4kg(12과내외)/대과/제수용</t>
  </si>
  <si>
    <t>농업회사법인 주식회사 착한푸드</t>
  </si>
  <si>
    <t>나주배 산지직송 나주 가정용 햇 배 5kg(11-13과내외)</t>
  </si>
  <si>
    <t>나주배 산지직송 나주 가정용 햇 배 5kg(8-10과내외)</t>
  </si>
  <si>
    <t>나주배 산지직송 나주 가정용 햇 배 3kg(4-6과내외)</t>
  </si>
  <si>
    <t>나주배 산지직송 나주 가정용 햇 배 3kg(7-8과내외)</t>
  </si>
  <si>
    <t>나주배 나주배 선물세트 특품 7.5kg(11-12과)/대과/제수용</t>
  </si>
  <si>
    <t>나주배 나주배 선물세트 특품 7.5kg(9-10과)/특대과/제수용</t>
  </si>
  <si>
    <t>나주배 가정용 실속세트 7.5kg(11-12과)/대과</t>
  </si>
  <si>
    <t>나주배 가정용 실속세트 7.5kg(6-10과)/특대과</t>
  </si>
  <si>
    <t>나주배 나주배 선물세트 최고특품 7.5kg(5-9과)/특대과/제수용</t>
  </si>
  <si>
    <t>(신선집중) 감귤 예약배송 극조생 감귤 2kg 로얄과</t>
  </si>
  <si>
    <t>(신선집중) 감귤 예약배송 첫 감귤 하우스 유라실생 2kg 로얄과(2S-M)</t>
  </si>
  <si>
    <t>동백향 예약배송 첫 감귤 하우스 유라실생 2kg 로얄과(2S-M)</t>
  </si>
  <si>
    <t>홍성한우돈직판장</t>
  </si>
  <si>
    <t>305-28-13651</t>
  </si>
  <si>
    <t>(20%) 100%국내산 수제 돼지양념갈비 3Kg (1.5Kg 2개/무료배송/선물세트)</t>
  </si>
  <si>
    <t>(신선집중) 감귤 황금향 2KG 중소과</t>
  </si>
  <si>
    <t>(신선집중) 제주직송 황금향 황금향 2KG 중대과</t>
  </si>
  <si>
    <t>상주곶감대가</t>
  </si>
  <si>
    <t>511-90-53861</t>
  </si>
  <si>
    <t>(신선집중) 상주곶감 선물용 건시 1kg 24-28과</t>
  </si>
  <si>
    <t>(신선집중) 프리미엄 대봉 반건시 선물세트 1.4kg 대과-특대과</t>
  </si>
  <si>
    <t>(신선집중) 상주 왕대봉곶감 1kg 특대과 지리적표시 특산품</t>
  </si>
  <si>
    <t>(신선집중) 상주곶감 선물용 반건시 1.3kg 30과</t>
  </si>
  <si>
    <t>412-90-50529</t>
  </si>
  <si>
    <t>행운가족농원</t>
  </si>
  <si>
    <t>829-88-01091</t>
  </si>
  <si>
    <t>스퀘어팜 농업회사법인주식회사</t>
  </si>
  <si>
    <t>농부플러스 농업회사법인 주식회사</t>
  </si>
  <si>
    <t>126-18-96934</t>
  </si>
  <si>
    <t>굿그레인즈</t>
  </si>
  <si>
    <t>농업회삽법인 라이플로우 주식회사</t>
  </si>
  <si>
    <t>109-36-80203</t>
  </si>
  <si>
    <t>내추럴참푸드</t>
  </si>
  <si>
    <t>348-87-01289</t>
  </si>
  <si>
    <t>농업회사법인하누리영이(주)</t>
  </si>
  <si>
    <t>한돈스테이크 4장x1팩 오븐 직화 떡갈비 맛 함박 스테이크 너비아니</t>
  </si>
  <si>
    <t>홍익상회 양념 오리 불고기 고추장 주물럭 400g (2인분) x 3팩</t>
  </si>
  <si>
    <t>25년 해남 햇 꿀 밤 고구마 2kg 3kg 5kg 베니하루카종</t>
  </si>
  <si>
    <t>바르온 삼계탕 1kg x 4팩</t>
  </si>
  <si>
    <t>곱창파는청년들 돼지국밥 500g x 5팩</t>
  </si>
  <si>
    <t>[집밥상점][20% 쿠폰] 30년 지리산맛집 레시피 구수한 감칠맛 프리미엄 고로쇠 청국장찌개 450g*3팩/5팩</t>
  </si>
  <si>
    <t>[집밥상점][20% 쿠폰] 30년 지리산맛집 레시피 볶아먹는 산채비빔밥 키트 200g*3/5팩</t>
  </si>
  <si>
    <t>[집밥상점][20% 쿠폰] 고로쇠간장, 진하고 고소한 저염간장의 품미 프리미엄 전통 한식간장 300ml</t>
  </si>
  <si>
    <t>[집밥상점][20% 쿠폰] 30년 지리산맛집 레시피 프리미엄 간편식 고로쇠시래기된장국 600g*3팩/5팩</t>
  </si>
  <si>
    <t>[집밥상점][20% 쿠폰] 냄새없이 구수한 무염 생청국장 200g*3팩/5팩</t>
  </si>
  <si>
    <t>[집밥상점][20% 쿠폰] 아삭아삭 새콤달콤 지리산 매실장아찌 340g/500g/1kg</t>
  </si>
  <si>
    <t>[집밥상점][20% 쿠폰] 매실절임과 매실액이 함유돼 더욱 감칠맛이 나는 만능쌈장 230g/340g/500g/1kg</t>
  </si>
  <si>
    <t>[집밥상점][20% 쿠폰] 매콤달콤 황금비율 프리미엄 찹쌀고추장 230g/340g/500g/1kg/2kg</t>
  </si>
  <si>
    <t>[집밥상점][20% 쿠폰] 고로쇠된장 구수한 감칠맛이 나는 프리미엄 전통된장 230g/340g/500g/950g/2kg</t>
  </si>
  <si>
    <t>[집밥상점]추부깻잎100% 당일제조 밥도둑 양념생깻잎김치 매운실비생깻잎김치 500g/1kg</t>
  </si>
  <si>
    <t>[집밥상점]추부깻잎 100% 된장깻잎장아찌 양념깻잎장아찌 500g/1kg</t>
  </si>
  <si>
    <t>[집밥상점]우리쌀과 추부깻잎으로 만든 깻잎현미 가래떡 떡국떡 500g/1kg</t>
  </si>
  <si>
    <t>집밥상점]추부깻잎 통째로 넣은 깻잎현미인절미 500g/1kg</t>
  </si>
  <si>
    <t>[APP전용][홍익상회] 춘천 국내산 홍익 순살 닭갈비 500g x 5팩/3팩</t>
  </si>
  <si>
    <t>[홍익상회] 춘천 국내산 홍익 순살 닭갈비 500g x 5팩/3팩</t>
  </si>
  <si>
    <t>25년 해남 햇 호박고구마 2kg 외 3/5kg</t>
  </si>
  <si>
    <t>[집밥상점][청년농부산지직송]찰지고 맛있는 삼광쌀 삼광미 25년산 백미 햅쌀 2kg 5kg</t>
  </si>
  <si>
    <t>[집밥상점][GAP청년농부산지직송]국산 건마늘 안 튀긴 건조 마늘칩 250g 400g</t>
  </si>
  <si>
    <t>[집밥상점][GAP청년농부산지직송] 26년 국내산 고령 대서 햇마늘 통마늘 3kg 5kg</t>
  </si>
  <si>
    <t>[집밥상점][GAP청년농부산지직송] 26년 국내산 고령 햇양파 2kg 3kg 5kg 10kg</t>
  </si>
  <si>
    <t>상주아람곶감영농조합법인</t>
  </si>
  <si>
    <t>606-88-00470</t>
  </si>
  <si>
    <t>[온누리7%혜택]상주곶감 선물세트 3호</t>
  </si>
  <si>
    <t>[온누리7%혜택]상주곶감 선물세트 반건시 실속형</t>
  </si>
  <si>
    <t>[온세일]상주곶감 세트 1호 단체 기업 명절선물세트</t>
  </si>
  <si>
    <t>[온세일]상주곶감 선물세트 3호 명절선물세트</t>
  </si>
  <si>
    <t>[온세일]상주곶감 반건시 선물세트 60g 20개 [1.2kg] 고급 단체 선물세트</t>
  </si>
  <si>
    <t>[온세일]상주곶감 반건시 선물세트(50g 30개)</t>
  </si>
  <si>
    <t>[온세일]상주곶감 반건시 선물세트(50g 20개)</t>
  </si>
  <si>
    <t>[온세일]실속형 대봉 감말랭이 1kg</t>
  </si>
  <si>
    <t>[온세일]상주 반건시 곶감 가정용 선물세트</t>
  </si>
  <si>
    <t>[온세일]상주 대봉반건시곶감 선물세트 특90~140g</t>
  </si>
  <si>
    <t>[온세일]상주아람곶감 감말랭이 인기상품 기획전</t>
  </si>
  <si>
    <t>393-86-02715</t>
  </si>
  <si>
    <t>봉이땅엔농업회사법인주식회사</t>
  </si>
  <si>
    <t>106-93-03082</t>
  </si>
  <si>
    <t>땅끝사랑농원</t>
  </si>
  <si>
    <t>550-88-01948</t>
  </si>
  <si>
    <t>농업회사법인 올담농원(주)</t>
  </si>
  <si>
    <t>모시떡 영광모싯잎 모시송편 3가지맛 60개</t>
  </si>
  <si>
    <t>직접 수확한 쑥으로 만든 쑥떡 쑥송편 20개</t>
  </si>
  <si>
    <t>[까망목장]요하트 수제쫀득 그릭요거트 플레인 고단백/칼슘 무가당 500g</t>
  </si>
  <si>
    <t>25년[산지직송] 국내산 찰보리쌀 (500g/1kg/2kg/3kg/4kg)</t>
  </si>
  <si>
    <t>[콩여울] 직접채밀 순수 천연벌꿀 아카시아꿀 밤꿀 야생화꿀 선물세트 300mlx3ea</t>
  </si>
  <si>
    <t>[콩여울] 정담고을4호 생들기름260ml+아카시아꿀350g</t>
  </si>
  <si>
    <t>[콩여울] 정담고을3호 참기름+들기름 260ml</t>
  </si>
  <si>
    <t>[콩여울] 정담고을5호 재래식간장260ml+볶은참깨120g</t>
  </si>
  <si>
    <t>에코프리베 프리미엄차 3종선물세트 30ea (작두콩/여주/호박팥/은행/비트) 저온 다회 덖음차 국내특허포함</t>
  </si>
  <si>
    <t>에코프리베 돼지감자차(뚱딴지차) 티백 30g (1.5gx20ea) 저온 다회 덖음차 [ECOFRIBAE]</t>
  </si>
  <si>
    <t>흑목이건버섯 170g</t>
  </si>
  <si>
    <t>영농조합법인 농담</t>
  </si>
  <si>
    <t>613-81-51809</t>
  </si>
  <si>
    <t>촉촉 쫄깃 하동 대봉 감말랭이 500g/1kg</t>
  </si>
  <si>
    <t>논산농부의 수제 갈아만든 유자청 430g / 700g</t>
  </si>
  <si>
    <t>논산농부의 수제 양파만장아찌 580g(병)</t>
  </si>
  <si>
    <t>논산농부의 수제 제주레몬청 700g</t>
  </si>
  <si>
    <t>진천블루베리농장(팜)</t>
  </si>
  <si>
    <t>301-92-21674</t>
  </si>
  <si>
    <t>무농약 저탄소 블루베리 농장 500g/1kg</t>
  </si>
  <si>
    <t>들판열매</t>
  </si>
  <si>
    <t>608-96-64761</t>
  </si>
  <si>
    <t>[무료배송] 농부가 바로!! 당도선별!! 설탕 샤인머스켓</t>
  </si>
  <si>
    <t>청춘불판 무뼈불닭발 200g 뼈없는 매운 닭발 술안주 혼술 캠핑</t>
  </si>
  <si>
    <t>청춘불판 직화껍데기 350g 국내산 직화 불향 자체양념소스</t>
  </si>
  <si>
    <t>고기얌 불오돌뼈 250g 국내산 매운 양념 캠핑 혼술 안주</t>
  </si>
  <si>
    <t>청춘불판 불오돌뼈 400g 국내산 매운 양념 캠핑 혼술 안주</t>
  </si>
  <si>
    <t>청춘불판 직화불곱창 400g 혼술 캠핑 안주 돼지곱창</t>
  </si>
  <si>
    <t>농업회사법인 곤충킹(주)</t>
  </si>
  <si>
    <t>건조고소애 건강영양간식 100g 식용곤충식품 고단백 단백질보충</t>
  </si>
  <si>
    <t>건조귀뚜라미 식용100g 건강고단백영양간식 단백질보충 (파충류 고슴도치 햄스터 먹이 가능)</t>
  </si>
  <si>
    <t>고소애 오란다 고단백 프로틴 간식</t>
  </si>
  <si>
    <t>고소애초코칩쿠키 25g패키지세트(50EA입)</t>
  </si>
  <si>
    <t>고소애아몬드쿠키 25g패키지세트(50EA입)</t>
  </si>
  <si>
    <t>고소애 분말 고단백질 파우더 100g</t>
  </si>
  <si>
    <t>영양간식 고소애 쌀빵 고단백질 간식 10개입 1세트</t>
  </si>
  <si>
    <t>고소애 브라우니 수제 고단백질 간식</t>
  </si>
  <si>
    <t>고소애 아몬드쿠키(1개) 고단백 프로틴 간식 식용 곤충 밀웜 쿠키 어린이 영양간식</t>
  </si>
  <si>
    <t>고소애 초코칩쿠키(1개) 고단백 프로틴 간식 식용 곤충 밀웜 쿠키 어린이 영양간식</t>
  </si>
  <si>
    <t>고단백 영양미 단백질 성형쌀</t>
  </si>
  <si>
    <t>한국제다 그린티믹스 14 스틱</t>
  </si>
  <si>
    <t>610-95-45023</t>
  </si>
  <si>
    <t>볕든날</t>
  </si>
  <si>
    <t>한국제다 호지차믹스 20 스틱</t>
  </si>
  <si>
    <t>말차 30g</t>
  </si>
  <si>
    <t>한국제다 감농 100g 지관</t>
  </si>
  <si>
    <t>한국제다 작설차 특선 지관 100g</t>
  </si>
  <si>
    <t>한국제다 정선 80g</t>
  </si>
  <si>
    <t>한국제다 홍삼말차 40g</t>
  </si>
  <si>
    <t>한국제다 현미녹차 100g 지관</t>
  </si>
  <si>
    <t>한국제다 뽕잎차 40g 지관</t>
  </si>
  <si>
    <t>현미믹스20 500g</t>
  </si>
  <si>
    <t>[로컬오누이] 나주 멜론속살떡 메론떡</t>
  </si>
  <si>
    <t>[멜론집아들] 고당도 머스크 메론 세지 농협 세론이 나주 세지멜론 임신 부모님 선물세트</t>
  </si>
  <si>
    <t>아기떡갈비 현풍 수제 한우 한돈 아이 반찬 건강한 육즙 세가지맛 3팩 90g 15개</t>
  </si>
  <si>
    <t>영호진미 백미 무훈증 당일도정 맛있는쌀 3kg 1개</t>
  </si>
  <si>
    <t>영호진미 백미 무훈증 당일도정 맛있는쌀 10kg 1개</t>
  </si>
  <si>
    <t>영호진미 백미 무훈증 당일도정 맛있는쌀 10kg 2개</t>
  </si>
  <si>
    <t>25년 영호진미 백미 5kg 10kg 20kg 손잡이형 무훈증 당일도정 맛있는쌀</t>
  </si>
  <si>
    <t>25년 영호진미 백미 소포장 2kg 4kg 무훈증 당일도정 맛있는쌀</t>
  </si>
  <si>
    <t>영호진미 현미 1분도 5분도 7분도 5kg 10kg 손잡이형 무훈증 당일도정 맛있는쌀</t>
  </si>
  <si>
    <t>7. 유통사별 품목별 판매 건수</t>
  </si>
  <si>
    <t>25년 백진주 현미1분도 5분도 7분도 5kg 10kg 손잡이 무훈증 당일도정 맛있는쌀</t>
  </si>
  <si>
    <t>25년 백진주 백미 3kg 6kg 무훈증 당일도정 맛있는쌀</t>
  </si>
  <si>
    <t>25년 백진주 백미 5kg 10kg 20kg 손잡이형 무훈증 당일도정 맛있는쌀</t>
  </si>
  <si>
    <t>농부가바로팜 무항생제 구운유정란 40구 신선계란 난각번호2번</t>
  </si>
  <si>
    <t>농부가바로팜 무항생제 Non-Gmo 유정란 40구 신선계란 난각번호2번</t>
  </si>
  <si>
    <t>농부가바로팜 무항생제 유정란 40구 신선계란 난각번호2번</t>
  </si>
  <si>
    <t>농부가바로팜 무항생제 Non-Gmo 유정란 60구 신선계란 난각번호2번</t>
  </si>
  <si>
    <t>농부가바로팜 구운유정란 혼합60구(중30+구30) 신선계란 난각번호2번</t>
  </si>
  <si>
    <t>농부가바로팜 유정란 혼합90구(유30+중30+구30) 신선계란 난각번호2번</t>
  </si>
  <si>
    <t>농부가바로팜 무항생제 유정란 유구 혼합 60구 신선계란 난각번호2번</t>
  </si>
  <si>
    <t>농부가바로팜 무항생제 구운유정란 60구 신선계란 난각번호2번</t>
  </si>
  <si>
    <t>농부가바로팜 무항생제 유정란 혼합 60구(유30+중30) 신선계란 난각번호2번</t>
  </si>
  <si>
    <t>농부가바로팜 무항생제 유정란 중란 60구 신선계란 난각번호2번</t>
  </si>
  <si>
    <t>농부가바로팜 무항생제 유정란 60구 신선계란 난각번호2번</t>
  </si>
  <si>
    <t>오미자 청 엑기스 원액 1500ml</t>
  </si>
  <si>
    <t>오미자청 원액 엑기스 500ml</t>
  </si>
  <si>
    <t>오미자청 원액 엑기스 500ml 2병 선물세트</t>
  </si>
  <si>
    <t>오미자청 원액 엑기스 500ml 선물용</t>
  </si>
  <si>
    <t>오미자청 원액 엑기스 50ml 5병 한잔용 휴대용</t>
  </si>
  <si>
    <t>여주땅콩 햇땅콩 고소한 국산 볶은 볶음 땅콩 생땅콩 300g 450g</t>
  </si>
  <si>
    <t>청운유</t>
  </si>
  <si>
    <t>유황한돈 냉장 삼겹살 목살 1kg 오겹살 캠핑 등갈비 갈매기살 가브리살 항정살</t>
  </si>
  <si>
    <t>유황한돈 한돈 삼겹살 구이용 냉장 1kg 1개</t>
  </si>
  <si>
    <t>한돈 통 사태 보쌈 수육 장조림 찌개용 고기 냉장 500g 2개</t>
  </si>
  <si>
    <t>한돈 찌개용 돼지고기 김치찌개 카레 짜장용 냉장 300g 4개</t>
  </si>
  <si>
    <t>280-87-01644</t>
  </si>
  <si>
    <t>디에스영농조합법인</t>
  </si>
  <si>
    <t>유황한돈 한돈 목살 구이용 냉장 1kg 1개</t>
  </si>
  <si>
    <t>한돈 돼지 안심 탕수육 장조림 돈까스 고기 냉장 500g 2개</t>
  </si>
  <si>
    <t>고기얌 돼지껍데기 누들 매콤맛 180g 국내산 매콤양념 누들껍데기 캠핑 야식 간편조리</t>
  </si>
  <si>
    <t>이기순 명인의 순 프리미엄 울금 포기 김치 5kg 국산 100% 국내산 배추 김장</t>
  </si>
  <si>
    <t>이기순 명인의 순 파김치 1kg 2kg 국산 파 국내산 김치 맛집 주문 쪽파 프리미엄</t>
  </si>
  <si>
    <t>이기순 명인의 순 총각김치1kg 2kg 국산 총각무 국내산 맛집 주문 무청 알타리 아삭</t>
  </si>
  <si>
    <t>이기순 명인의 순 열무김치 1kg 2kg 3kg 국산 열무 국내산 김치 주문 국수 냉면</t>
  </si>
  <si>
    <t>이기순 명인의 순 석박지 1kg 2kg 국산 무 국내산 김치 맛집 주문 무김치 프리미엄</t>
  </si>
  <si>
    <t>이기순 명인의 순 맛김치 1kg 2kg 국산 배추 국내산 맛집 주문 절단 썰은김치</t>
  </si>
  <si>
    <t>이기순 명인의 순 깍두기 1kg 2kg 3kg 국산 무 국내산 김치 맛집 주문 무김치</t>
  </si>
  <si>
    <t>이기순 명인의 순 갓김치 1kg 2kg 국산 갓 국내산 김치 맛집 주문 전라도 프리미엄</t>
  </si>
  <si>
    <t>이기순 명인의 순 고춧가루 500g 1kg 햇 25년산 국산 가정용 업소용 요리용 보통맛</t>
  </si>
  <si>
    <t>이기순 명인의 순 볶음김치 1kg 국산배추 고춧가루 사용 볶은김치 두부 도시락 찌개 제육</t>
  </si>
  <si>
    <t>이기순 명인의 순 프리미엄 울금 백김치 2kg 국내산 배추 어린이집 유치원 남녀노소 물김치</t>
  </si>
  <si>
    <t>이기순 명인의 순 프리미엄 울금 포기 김치 2kg 외 국산 100% 국내산 배추 김장</t>
  </si>
  <si>
    <t>감익는마을 씨없는 곶감 눈꽃곶감 GAP인증 밀양반시 500gx2통</t>
  </si>
  <si>
    <t>감익는마을 천연 감식초 7년숙성 항아리발효 감100% 설탕무첨가 1.5L</t>
  </si>
  <si>
    <t>감익는마을 천연 감식초 7년숙성 항아리발효 감100% 자연침전 설탕무첨가 500nlx2병</t>
  </si>
  <si>
    <t>감익는마을 감식초·발아현미식초 선물세트 500ml 2병 무설탕 항아리숙성</t>
  </si>
  <si>
    <t>감익는마을 발아현미 흑초 특허제조 8년 숙성 국산현미 500ml 식초</t>
  </si>
  <si>
    <t>감익는마을 돼지감자감식초 500ml 천연발효식초 무설탕</t>
  </si>
  <si>
    <t>씨없는 프리미엄 곶감 선물세트 25년 가을 햇곶감 감익는마을</t>
  </si>
  <si>
    <t>홍시 씨없는반시 밀양반시 5kg GAP 상동반시선물용 곶감 감말랭이용 농부직송 감익는마을</t>
  </si>
  <si>
    <t>홍시 씨없는반시 밀양반시 5kg 42과 GAP 선물용 곶감 감말랭이용 농부직송 감익는마을</t>
  </si>
  <si>
    <t>씨없는반시 밀양반시 5kg 38과 홍시용 GAP 선물용 난좌포장 감익는마을 농부직송</t>
  </si>
  <si>
    <t>채씨네표고</t>
  </si>
  <si>
    <t>국내산 건표고버섯 슬라이스 1kg 말린 마른 표고버섯 참나무 500g</t>
  </si>
  <si>
    <t>[초록이들]500g/1kg 유럽 샐러드 채소 유러피안 상추 쌈 버터헤드 카이피라 프릴등</t>
  </si>
  <si>
    <t>초록이들 4kg 대용량 상추 유럽 샐러드 채소 유러피안 쌈 버터헤드 카이피라 프릴 양상추</t>
  </si>
  <si>
    <t>[농할쿠폰]경북봉화 유럽종완숙토마토 2.5kg</t>
  </si>
  <si>
    <t>[농할쿠폰]경북봉화 유럽종완숙토마토 5kg</t>
  </si>
  <si>
    <t>[양파만] 국내산 양파 카라멜라이징 카라멜라이즈 볶음양파 간편조미료 실속형</t>
  </si>
  <si>
    <t>프리바이오틱스 인더잼 딸기잼 (딸기쨈) 병 280g / 스틱 200g</t>
  </si>
  <si>
    <t>790-86-01687</t>
  </si>
  <si>
    <t>농업회사법인불원주식회사</t>
  </si>
  <si>
    <t>온드리목장</t>
  </si>
  <si>
    <t>온드리목장 1kg 무가당 꾸덕한 그릭요거트 대용량</t>
  </si>
  <si>
    <t>온드리목장 요거트 1000ml 더 진하게 발효한 대용량 요거트 x 2개</t>
  </si>
  <si>
    <t>온드리목장 무가당 꾸덕한 그릭요거트 산미없이 고소한 500g</t>
  </si>
  <si>
    <t>온드리목장 무가당 드링킹 그릭요거트 120g x 15개</t>
  </si>
  <si>
    <t>온드리목장 무지방 무가당 그릭요거트 100g x 3개</t>
  </si>
  <si>
    <t>온드리목장 무지방 무가당 그릭요거트 500g</t>
  </si>
  <si>
    <t>온드리목장 1kg 무지방 무가당 그릭요거트 대용량</t>
  </si>
  <si>
    <t>거창 수제 오미자 청 오미자 원액 엑기스 과일청 1L 1개</t>
  </si>
  <si>
    <t>거창 수제 오미자 청 오미자 원액 엑기스 과일청 1L 4개</t>
  </si>
  <si>
    <t>거창 수제 오미자 청 오미자 원액 엑기스 과일청 1L 6개</t>
  </si>
  <si>
    <t>거창 수제 오미자 청 오미자 원액 엑기스 과일청 750ml 6개</t>
  </si>
  <si>
    <t>거창 수제 오미자 청 오미자 원액 엑기스 과일청 750ml 1개</t>
  </si>
  <si>
    <t>거창 수제 오미자 청 오미자 원액 엑기스 과일청 750ml 4개</t>
  </si>
  <si>
    <t>사조 오리 주물럭 양념 오리불고기 600g 넉넉한 양</t>
  </si>
  <si>
    <t>국내산 냉동 닭고기 닭목살 1kg 닭특수부위</t>
  </si>
  <si>
    <t>[무항생제 닭다리살 슬라이스] 국내산 닭정육 닭순살 냉장 1kg</t>
  </si>
  <si>
    <t>[무항생제 닭다리살 슬라이스] 국내산 닭정육 닭순살 냉장 500g</t>
  </si>
  <si>
    <t>[모두 한입닭갈비] 춘천 3팩 국산 닭정육 캠핑 500gx3팩 (3~4인분)</t>
  </si>
  <si>
    <t>국내산 냉동 육계닭발 1kg +1kg 급냉</t>
  </si>
  <si>
    <t>국내산 육수용 닭뼈 10kg (5kg x2봉) 닭몸통뼈 사골뼈</t>
  </si>
  <si>
    <t>[닭가슴살+닭다리살 슬라이스 친구] 국산 무항생제 (500g x 2팩) 소포장 진공포장</t>
  </si>
  <si>
    <t>국산 무항생제 닭가슴살 1.5kg (500g x 3팩) 소포장 트레이 포장</t>
  </si>
  <si>
    <t>[명성통닭] 옛날통닭 오븐구이 700g x 2마리 에어프라이어 15분완성</t>
  </si>
  <si>
    <t>국내산 뼈없는 닭발 생 무뼈닭발(200g x 1팩)</t>
  </si>
  <si>
    <t>초원 국내산 생 무뼈닭발 뼈없는 닭발 900g x20봉</t>
  </si>
  <si>
    <t>초원 국내산 생 무뼈닭발 뼈없는 닭발 900g x8봉</t>
  </si>
  <si>
    <t>초원 국내산 생 무뼈닭발 뼈없는 닭발 900g x5봉</t>
  </si>
  <si>
    <t>초원 국내산 생 무뼈닭발 뼈없는 닭발 900g x1봉</t>
  </si>
  <si>
    <t>초원 국내산 생 무뼈닭발 뼈없는 닭발 900g x2봉</t>
  </si>
  <si>
    <t>[모두양념닭발] 오직 국내산 무뼈닭발 200g포장</t>
  </si>
  <si>
    <t>국내산 무항생제 가슴살 1kg x10팩</t>
  </si>
  <si>
    <t>모두닭갈비 춘천 2+2팩 국산 닭정육 캠핑 500gx4팩 (6~8인분)</t>
  </si>
  <si>
    <t>국내산 냉동 닭특수부위 닭똥집 닭근위 900g 사업자 대량</t>
  </si>
  <si>
    <t>국내산 뼈없는닭발 200g 무뼈닭발</t>
  </si>
  <si>
    <t>국내산 냉동 닭내장 [ 1kg / 20EA ]곱창 알탕 닭부산물</t>
  </si>
  <si>
    <t>[모두한상찜닭] 세다리 진짜 안동찜닭의 풍미 국내산 닭고기로 냉장 1kg 안동구시장</t>
  </si>
  <si>
    <t>국산 무항생제 생닭가슴살 500g x 2팩(1kg)냉장 신선</t>
  </si>
  <si>
    <t>국산 무항생제 닭가슴살 15kg (500g X 30EA)냉장 신선</t>
  </si>
  <si>
    <t>국산 무항생제 닭가슴살 7.5kg (500g X 15EA)냉장 신선</t>
  </si>
  <si>
    <t>사조 오리 주물럭 양념 오리불고기 1kg 넉넉한 양</t>
  </si>
  <si>
    <t>아침에계란 청춘이란 난각번호1번 발효곡물 먹은 자연방사 유정란 20구 40구 60구</t>
  </si>
  <si>
    <t>토댁 성주참외 5kg 꼬마참외 프리미엄 못난이 수양대군볏짚배양토</t>
  </si>
  <si>
    <t>[농할]국내 성주 참외 3kg 1개</t>
  </si>
  <si>
    <t>토댁 수양대군 볏짚배양토 성주 꿀참외 2.5kg</t>
  </si>
  <si>
    <t>국내산 냉동 닭내장 1kg 곱창 알탕 닭부산물</t>
  </si>
  <si>
    <t>국내산 냉동 닭오돌뼈 연골 야키토리 5kg</t>
  </si>
  <si>
    <t>국산 무항생제 생 닭가슴살 5kg (500g X 10EA) 소포장 냉장</t>
  </si>
  <si>
    <t>국산 무항생제 닭가슴살 10kg (500g X 20EA)냉장 신선</t>
  </si>
  <si>
    <t>국내산 무항생제 닭고기 냉장 벌크 6호 7호 10호 11호</t>
  </si>
  <si>
    <t>[모두양념닭발] 1+1팩 오직 국내산 무뼈닭발 200g포장</t>
  </si>
  <si>
    <t>국내산 뼈없는닭발 200g 생 무뼈닭발</t>
  </si>
  <si>
    <t>[모두닭갈비] 춘천 1+1팩 국산 닭다리살 캠핑 500gx2팩 (3~4인분)</t>
  </si>
  <si>
    <t>국내산 냉동 닭고기 부산물 토종닭발 10kg 종류별</t>
  </si>
  <si>
    <t>국내산 절단육 치킨 볶음탕 1kg 신선</t>
  </si>
  <si>
    <t>[새나라마켓] 국내산 닭다리 닭 북채 1kg 냉동</t>
  </si>
  <si>
    <t>국산 무항생제 닭고기 부위별 닭가슴살 모듬 볶음탕 1kg 신선</t>
  </si>
  <si>
    <t>국산 무항생제 닭고기 냉장 한마리 6호 7호 10호 11호</t>
  </si>
  <si>
    <t>국내산 냉동 닭특수부위 닭똥집 닭근위 900g</t>
  </si>
  <si>
    <t>국내산 닭고기 냉동 벌크 10kg 토종 육계 삼계닭발</t>
  </si>
  <si>
    <t>국내산 통 닭발 생 무뼈닭발(200g x 5팩) 냉동 뼈없는 닭발</t>
  </si>
  <si>
    <t>제주 미에덴팜 미니 단호박 밤호박 보우짱 산지직송 3kg 5kg 10kg</t>
  </si>
  <si>
    <t>상주토성곶감</t>
  </si>
  <si>
    <t>상주 곶감 반건시 건시 실속형 선물세트 대봉 못난이</t>
  </si>
  <si>
    <t>[1+1] 건시 선물세트 1.2kg 2개</t>
  </si>
  <si>
    <t>[상주토성곶감] 건시 선물세트 1.5kg 1개</t>
  </si>
  <si>
    <t>[상주토성곶감] 건시 선물세트 2.5kg 1개</t>
  </si>
  <si>
    <t>[상주토성곶감] 건시 선물세트 1.2kg 1개</t>
  </si>
  <si>
    <t>무주 반딧불 산골 호두말이 곶감말이 반건시 곶감선물세트 과일세트</t>
  </si>
  <si>
    <t>선물용 200gX6개 진공포장 /쌀 흑미 찹쌀 선택/당일도정 특등급</t>
  </si>
  <si>
    <t>찰흑미 출시/2Kg 소포장/랑이네갓도정쌀 선물용 단체선물</t>
  </si>
  <si>
    <t>[굿디자인선정]옛가마니 선물용 쌀 2.5kg 26년 햅쌀 /당일도정 특등급/ 소포장</t>
  </si>
  <si>
    <t>현미 5Kg / 26년 햅쌀 랑이네 갓도정쌀 강화섬쌀 지퍼백 당일도정</t>
  </si>
  <si>
    <t>25년 햅쌀 나들미 10Kg 강화섬쌀 최근 도정 신선한 랑이네 갓 도정쌀 정미소직판</t>
  </si>
  <si>
    <t>25년 햅쌀 백진주 10Kg 강화섬쌀 최근 도정 신선한 랑이네 갓 도정쌀 정미소직판</t>
  </si>
  <si>
    <t>25년 햇 찹쌀 10Kg 강화섬쌀 최근 도정 신선한 랑이네 갓 도정쌀 정미소직판</t>
  </si>
  <si>
    <t>1kg 3개 선물세트(백미 7분도) 26년 햅쌀/ 당일도정 특등급/소포장</t>
  </si>
  <si>
    <t>464-96-01832</t>
  </si>
  <si>
    <t>고센153</t>
  </si>
  <si>
    <t>26년 햅쌀출시/10Kg 강화섬쌀 모음/최근 도정 신선한 랑이네 갓 도정쌀 정미소직판</t>
  </si>
  <si>
    <t>백미·7분도 5kg/26년 햅쌀/당일도정 특등급/랑이네갓도정쌀 지퍼백포장</t>
  </si>
  <si>
    <t>1kg 선물용 와인상자/26년 햅쌀/당일도정 특등급 선물용 정미소직판</t>
  </si>
  <si>
    <t>2kg 백미/26년 햅쌀/당일도정 특등급 선물용 정미소직판</t>
  </si>
  <si>
    <t>2kg 7분도 현미/26년 햅쌀/당일도정 특등급 선물용 정미소직판</t>
  </si>
  <si>
    <t>142-08-14196</t>
  </si>
  <si>
    <t>푸르메다</t>
  </si>
  <si>
    <t>100g 14개입/26년 햅쌀 랑이네갓도정쌀 /소포장 선물 캠핑용 당일도정 특등급</t>
  </si>
  <si>
    <t>100g 7개입/26년 햅쌀 랑이네갓도정쌀 /소포장 선물 캠핑용 당일도정 특등급</t>
  </si>
  <si>
    <t>200g 낱개 26년 햅쌀 /당일도정 특등급/소포장 선물 캠핑용</t>
  </si>
  <si>
    <t>100g 낱개 26년 햅쌀 /당일도정 특등급/ 소포장 선물 캠핑용</t>
  </si>
  <si>
    <t>농업회사법인 주식회사 드레스푸드</t>
  </si>
  <si>
    <t>820-81-03211</t>
  </si>
  <si>
    <t>드레스푸드 만능소스 핫소스 비빔면소스 저당소스 무설탕소스 스틱형 튜브형</t>
  </si>
  <si>
    <t>드레스푸드 고추장소스 만능소스 칠리소스 드레싱 샐러드소스</t>
  </si>
  <si>
    <t>해피팜땅콩버터</t>
  </si>
  <si>
    <t>해피팜구운땅콩</t>
  </si>
  <si>
    <t>참마 산마 깍은마 손질마 100g 7팩 200g 5팩[당일손질]</t>
  </si>
  <si>
    <t>국내산 껍질 벗긴 참마 분말 마가루 150g</t>
  </si>
  <si>
    <t>참마빵 연천 마빵 구운마빵 5개 장기선마카페</t>
  </si>
  <si>
    <t>오미자청 문경오미자청 진액 1 000ml</t>
  </si>
  <si>
    <t>뻥튀기 다이어트간식 임산부간식 오미자사과꽃뻥 (접시형)</t>
  </si>
  <si>
    <t>뻥튀기 다이어트간식 임산부간식 오미자사과꽃뻥(동전형)</t>
  </si>
  <si>
    <t>예다움 상주곶감 반건시 추석 명절 상견례 선물세트 곶감단지 크림치즈호두말이</t>
  </si>
  <si>
    <t>예다움 상주 곶감 프리미엄 반건시 30과 추석 명절 부모님 상견례 선물세트</t>
  </si>
  <si>
    <t>예다움 상주 곶감 건시 실속형 가정용 감또개 못난이 곶감</t>
  </si>
  <si>
    <t>예다움 상주 곶감 반건시 정2호 추석 명절 부모님 상견례 선물세트 30과</t>
  </si>
  <si>
    <t>예다움 상주 곶감 반건시 크림치즈호두말이 곶감단지 가정용 디저트 추석 선물세트 와인안주</t>
  </si>
  <si>
    <t>예다움 상주 곶감 VIP 1호 추석 명절 선물세트 특대 반건시 곶감단지 크림치즈말이 40과</t>
  </si>
  <si>
    <t>예다움 상주 곶감 혼합1호 추석 명절 부모님 선물세트 반건시 대과 크림치즈호두말이 30과</t>
  </si>
  <si>
    <t>예다움 상주 곶감 혼합2호 추석 명절 부모님 상견례 선물세트 반건시 대과 곶감단지 30과</t>
  </si>
  <si>
    <t>예다움 상주 곶감 혼합3호 추석 명절 선물세트 반건시 곶감단지 크림치즈호두말이 30과</t>
  </si>
  <si>
    <t>예다움 상주곶감 VIP 2호 추석 명절 선물세트 왕반건시 곶감단지 크림치즈말이 36과</t>
  </si>
  <si>
    <t>예다움 상주 곶감 VIP 3호 추석 명절 부모님 상견례 선물세트 특대 반건시 40과</t>
  </si>
  <si>
    <t>상주 곶감 반건시 혼합 9구 15구 곶감단지 크림치즈 호두말이 디저트 실속형 추석 선물세트</t>
  </si>
  <si>
    <t>예다움 상주 곶감 프리미엄 특대 반건시 (30과) 추석 명절 부모님 상견례 선물세트</t>
  </si>
  <si>
    <t>예다움 상주 곶감 프리미엄 왕 반건시 24과 추석 명절 부모님 상견례 선물세트</t>
  </si>
  <si>
    <t>예다움 상주 곶감 정3호 추석 명절 부모님 상견례 선물세트 반건시 크림치즈호두말이 30과</t>
  </si>
  <si>
    <t>예다움 상주 곶감 반건시 곶감단지 크림치즈호두말이 추석 명절 부모님 상견례 혼합 선물세트</t>
  </si>
  <si>
    <t>오복농산영농조합법인</t>
  </si>
  <si>
    <t>오복농산 국내산 저온압착 전통기름 3종 참기름 들기름 생들기름 180ml 250ml</t>
  </si>
  <si>
    <t>[당일착유] 고창 오복농산 냉압착 국산 참기름 들기름 생들기름 180ml (신선도 보장)</t>
  </si>
  <si>
    <t>[오복농산] 햇 생옥수수 냉동 미백 흑찰옥수수</t>
  </si>
  <si>
    <t>햇 우거지 무청시래기 데친 시래기 나물 올식</t>
  </si>
  <si>
    <t>[오복농산]저온압착 국내산 통참깨 착유한 참기름 들기름180ml/250ml 선물세트포장</t>
  </si>
  <si>
    <t>프리미엄 맑은농장 김천자두 3kg(왕왕특고당도) 후무사자두</t>
  </si>
  <si>
    <t>고당도 맑은농장 김천자두 3kg(왕특고당도) 후무사자두</t>
  </si>
  <si>
    <t>새콤달콤 맑은농장 김천자두 3kg(특품) 후무사자두</t>
  </si>
  <si>
    <t>프리미엄 맑은농장 김천자두 5kg(왕왕특고당도) 도담자두 후무사자두</t>
  </si>
  <si>
    <t>고당도 맑은농장 김천자두 5kg(왕특고당도) 후무사자두</t>
  </si>
  <si>
    <t>새콤달콤 맑은농장 김천자두 5kg(특품) 후무사자두</t>
  </si>
  <si>
    <t>과즙풍부 맑은농장 김천자두 5kg(상품) 후무사자두</t>
  </si>
  <si>
    <t>품질보장 황토밭 맑은농장 김천자두 3kg(왕왕특고당도) 후무사자두</t>
  </si>
  <si>
    <t>품질대박 황토밭 맑은농장 김천자두 5kg(왕왕특고당도) 후무사자두</t>
  </si>
  <si>
    <t>영산강푸드</t>
  </si>
  <si>
    <t>776-41-01486</t>
  </si>
  <si>
    <t>100% 국내산 당일생산 전라도 석박지 2kg 1개</t>
  </si>
  <si>
    <t>100% 국내산 당일생산 전라도 열무김치 2kg 1개</t>
  </si>
  <si>
    <t>안동사과 3kg 5kg 부사 못난이사과 고당도</t>
  </si>
  <si>
    <t>안동사과 10kg 부사 못난이사과 가정용</t>
  </si>
  <si>
    <t>안동 흠과 주스용 쥬스용 사과 랜덤과 5kg 10kg</t>
  </si>
  <si>
    <t>안동 가정용 꼬마 흠과 미니 못난이사과 5kg</t>
  </si>
  <si>
    <t>무첨가 국내산 우도 프리미넛 땅콩버터 420g (당일제조 무가당 땅콩잼)</t>
  </si>
  <si>
    <t>무첨가 국내산 우도 프리미넛 땅콩버터 230g (당일제조 무가당 땅콩잼)</t>
  </si>
  <si>
    <t>제주 우도 땅콩 프리미넛 볶음땅콩 550g 당일제조 국내산 우도</t>
  </si>
  <si>
    <t>[정담은 농장]쿠시룽 현미누룽지 세트 대(30개입) 유기농1분도현미 명절선물 답례품 간식</t>
  </si>
  <si>
    <t>쿠시룽 프리미엄 국내산 누룽지 현미 건강 간식 세트 고소한 유기농 추석선물세트 6가지맛</t>
  </si>
  <si>
    <t>해나루발효식품</t>
  </si>
  <si>
    <t>111-03-63698</t>
  </si>
  <si>
    <t>전통항아리 발효액 12가지 혼합원액 인삼열매 750ml 2병세트</t>
  </si>
  <si>
    <t>(# 특2호 특허상품) 전통항아리에서 자연발효 숙성된 #12가지혼합발효차+솔순발효차 = 750ml 2병 셋</t>
  </si>
  <si>
    <t>(# 특3호 특허상품) 전통항아리에서 자연발효 숙성된 #12가지혼합발효차+수세미발효차 = 750ml 2병 셋</t>
  </si>
  <si>
    <t>(# 특4호 특허상품) 전통항아리에서 자연발효 숙성된 #12가지혼합발효차+매실발효차= 750ml 2병 셋</t>
  </si>
  <si>
    <t>#인삼열매# 미국FDA등록된 인삼열매 발효차는 HACCP시설에서 전통항아리로 발효숙성시킨 명품발효차로 질병의 면역력은 높이고 노화를 낮추는 특허제품</t>
  </si>
  <si>
    <t>#산사# 미국FDA등록된 산사 발효차는 HACCP시설에서 전통항아리로 발효숙성시킨 명품발효차로 질병의 면역력은 높이고 노화를 낮추는 특허제품</t>
  </si>
  <si>
    <t>#포도# 미국FDA등록된 포도발효차는 HACCP시설에서 전통항아리로 발효숙성시킨 명품발효차로 질병의 면역력은 높이고 노화를 낮추는 특허제품</t>
  </si>
  <si>
    <t>(복숭아) 미국FDA등록된 복숭아발효액은 HACCP시설에서 전통항아리로 발효숙성시킨 명품발효액으로 질병의 면역력은 높이고 노화를 낮추는 특허제품</t>
  </si>
  <si>
    <t>(특허상품) #개똥쑥# 전통항아리에서 자연발효 배양하여 '면역력은 높이고 노화를 낮추는' 해나루 개똥쑥 발효차. 750ml</t>
  </si>
  <si>
    <t>(특허상품) #수세미# 전통항아리에서 자연발효 배양하여 '면역력은 높이고 노화를 낮추는' 해나루 수세미 발효차. 750ml</t>
  </si>
  <si>
    <t>(특허상품) #쇠비름# 전통항아리에서 자연발효 배양하여 '면역력은 높이고 노화를 낮추는' 해나루 쇠비름(오행초) 발효차. 750ml</t>
  </si>
  <si>
    <t>(특허상품) #솔순# 전통항아리에서 자연발효 숙성한 제품으로 '면역력은 높이고 노화를 낮추는' 해나루 솔순 발효차. 750ml</t>
  </si>
  <si>
    <t>(특허상품 미나리) 전통항아리에서 자연발효 배양하여 '면역력은 높이고 노화를 낮추는' 해나루 미나리 발효차. 750ml</t>
  </si>
  <si>
    <t>(특허상품) #브로콜리# 전통항아리에서 자연발효 배양하여 '면역력은 높이고 노화를 낮추는' 해나루 브로콜리 발효차. 750ml</t>
  </si>
  <si>
    <t>(특허제품) #양파# 전통항아리에서 자연발효 배양하여 '면역력은 높이고 노화를 낮추는' 해나루 양파 발효차. 750ml</t>
  </si>
  <si>
    <t>(12가지혼합발효액) 미국FDA등록한 발효차는 장내환경을 개선하여 면역력은 높이고 노화는 낮추는 특허제품. 750ml</t>
  </si>
  <si>
    <t>(특허상품) #매실# 전통항아리에서 자연발효 숙성된 제품으로 '면역력은 높이고 노화를 낮추는' 해나루 매실 발효차. 750ml</t>
  </si>
  <si>
    <t>(153양봉원) 국산 천연벌꿀 숙성꿀 숙성아카시아꿀 2.4kg</t>
  </si>
  <si>
    <t>국산천연벌꿀 곰돌이꿀 250g 벚꽃 아카시아 야생화 피나무</t>
  </si>
  <si>
    <t>153양봉원 스틱꿀 대용량15g 국산 천연벌꿀 아카시아꿀 야생화 밤 48개 선물답례품</t>
  </si>
  <si>
    <t>당일수확 국산 제주산 100% 생블루베리 생과 1kg</t>
  </si>
  <si>
    <t>국민닭갈비 두루푸드 춘천닭갈비 택배 홈파티 캠핑요리</t>
  </si>
  <si>
    <t>두루푸드 국민닭갈비 춘천닭갈비 택배 홈파티 캠핑요리 전통맛</t>
  </si>
  <si>
    <t>두루푸드 국민닭갈비 춘천닭갈비 택배 홈파티 캠핑요리 간장닭갈비</t>
  </si>
  <si>
    <t>두루푸드 국민닭갈비 춘천닭갈비 택배 홈파티 캠핑요리 허브소금닭갈비</t>
  </si>
  <si>
    <t>두루푸드 국민닭갈비 춘천닭갈비 택배 홈파티 캠핑요리 올인원세트 3인용 / 1.5인용</t>
  </si>
  <si>
    <t>두루푸드 국민닭갈비 춘천닭갈비 택배 홈파티 캠핑요리 숯불닭갈비</t>
  </si>
  <si>
    <t>847-88-01726</t>
  </si>
  <si>
    <t>농업회사법인주식회사구룡농원</t>
  </si>
  <si>
    <t>경기 평택 오성쌀 20kg 1개</t>
  </si>
  <si>
    <t>경기 평택 오성쌀 10kg 1개</t>
  </si>
  <si>
    <t>경기 평택 찹쌀 10kg</t>
  </si>
  <si>
    <t>3대째 평택쌀(찰진쌀) 20kg 1개</t>
  </si>
  <si>
    <t>3대째 평택쌀(찰진쌀) 10kg 1개</t>
  </si>
  <si>
    <t>농협선별 고당도 스테비아 방울토마토 단마토 1kg 2kg[비오채]</t>
  </si>
  <si>
    <t>무선별 대추방울토마토 로얄과 혼합과 당일수확 산지직송 1kg 2kg 5kg</t>
  </si>
  <si>
    <t>인천로컬푸드생산자협동조합</t>
  </si>
  <si>
    <t>강화섬쌀로 만든 시골쌀라면 104g 20개</t>
  </si>
  <si>
    <t>강화섬쌀로 만든 시골쌀라면 104g 10개</t>
  </si>
  <si>
    <t>강화섬쌀로 만든 시골쌀라면 104g 5개</t>
  </si>
  <si>
    <t>[인천직구]정들콩 전통 조청 고추장 3kg 수제고추장</t>
  </si>
  <si>
    <t>[인천직구]정들콩 재래식 전통 집 된장 3kg 수제된장 국내산 콩</t>
  </si>
  <si>
    <t>[인천직구]정들콩 전통 조청 고추장 1kg 수제고추장</t>
  </si>
  <si>
    <t>[인천직구]정들콩 재래식 전통 집 수제된장 1kg</t>
  </si>
  <si>
    <t>[인천직구]정들콩 전통 국 간장 1L (수제간장 한식간장)</t>
  </si>
  <si>
    <t>[인천직구]정들콩 국산콩 무염 청국장 100g 10개입</t>
  </si>
  <si>
    <t>[인천직구]왈순아지매 콩나물누룽지 + 김부각 세트</t>
  </si>
  <si>
    <t>[인천직구]왈순아지매 콩나물누룽지 세트 강화쌀 구수한 국내산 누룽지 숭늉 40g (22팩 세트)</t>
  </si>
  <si>
    <t>[인천직구]강화 벌꿀 꿀벌 먹는 화분 (비폴렌) 1kg</t>
  </si>
  <si>
    <t>[인천직구] 인천드레 강화 천연 벌꿀 아카시아꿀 야생화꿀 잡화꿀 1.2kg</t>
  </si>
  <si>
    <t>[인천직구]강화 천연 벌꿀 3종 선물세트 명절 답례품</t>
  </si>
  <si>
    <t>[인천직구]강화 벌꿀 꿀벌 먹는 화분 500g</t>
  </si>
  <si>
    <t>정들콩전통장세트3종(된장+고추장+간장)</t>
  </si>
  <si>
    <t>[인천직구]강화 천연 벌꿀 아카시아꿀 허니스틱 꿀 스틱 선물세트</t>
  </si>
  <si>
    <t>[인천직구] 인천드레 강화 천연 벌꿀 아카시아 야생화 잡화 2.4kg</t>
  </si>
  <si>
    <t>[인천직구]천연 벌꿀 2종 선물세트 아카시아꿀 잡화꿀 야생화꿀 추석 답례품</t>
  </si>
  <si>
    <t>[인천직구]빚고담고 장아찌 혼합장 1L 만능장</t>
  </si>
  <si>
    <t>[인천직구]빚고담고 저염 장아찌 4종 선물세트(셀러리/깻잎/쪽파/순무쭈글이)</t>
  </si>
  <si>
    <t>새힘성주참외라이프</t>
  </si>
  <si>
    <t>성주참외 프리미엄 선물용 고당도 3kg 5kg 중 대과 꿀참외 산지직송</t>
  </si>
  <si>
    <t>(정품A) 성주참외 고당도 꿀참외 대과 고당도 3KG 5KG 선물용 산지직송</t>
  </si>
  <si>
    <t>산지직송 고당도 성주 제철 꿀 참외 중과 2kg 3kg 5kg 선물 세트 가정용 못난이</t>
  </si>
  <si>
    <t>성주 참외 고당도 꼬마 중과 가정용 당조 2kg</t>
  </si>
  <si>
    <t>성주참외 중-대과 고당도 실속형 5kg 10kg 꿀참외 선물용 못난이 산지직송</t>
  </si>
  <si>
    <t>온드리목장 무가당 꾸덕한 그릭요거트 100g x 3개</t>
  </si>
  <si>
    <t>쌀 그래 초코샌드 리얼 초콜릿 샌드 유기농 쌀과자 사무실간식 아이간식 건강한 과자 글루텐</t>
  </si>
  <si>
    <t>쌀그래 아몬드 서리태 라이스칩 아몬드 서리태 누룽지 쌀과자 무설탕 저염 아이간식 새암농장</t>
  </si>
  <si>
    <t>쌀그래 초코샌드 라이스 칩 선물세트 새암농장 리얼초콜릿 샌드 유기농 쌀과자 282g</t>
  </si>
  <si>
    <t>버섯 페스토 우마미 깊은 수제 만능 버섯소스 파스타 리조또 주먹밥 이유식 잼대용 180g</t>
  </si>
  <si>
    <t>손질이필요없는 무농약 건목이버섯 새암농장 생 잡채 미루나무 모기 버섯 50g 천연물광팩</t>
  </si>
  <si>
    <t>생목이버섯 500g 손질이필요없는 국내산 친환경 GAP 선물셋트 잡채 건 모기버섯</t>
  </si>
  <si>
    <t>수확의 정석</t>
  </si>
  <si>
    <t>453-94-01880</t>
  </si>
  <si>
    <t>[오이 9kg] [수확의 정석] 스마트팜 GAP 인증 백다다기(약 40개 내외)</t>
  </si>
  <si>
    <t>[오이 3kg] [수확의 정석] 스마트팜 GAP 인증 백다다기(약 13~14개)</t>
  </si>
  <si>
    <t>[오이 1.5kg] [수확의 정석] 스마트팜 GAP 인증 백다다기(약 6~7개)</t>
  </si>
  <si>
    <t>[농할쿠폰] 대왕님표 여주쌀 진상미 25년산 상등급 당일도정 10kg 1개</t>
  </si>
  <si>
    <t>여주시농협RPC 대왕님표 여주쌀 진상미 25년산 상등급 당일도정 10kg 2개</t>
  </si>
  <si>
    <t>[농할쿠폰] 대왕님표 여주쌀 진상 현미 25년산 당일도정 10kg 1개</t>
  </si>
  <si>
    <t>여주시농협RPC 대왕님표 여주쌀 진상 현미 25년산 당일도정 10kg 2개</t>
  </si>
  <si>
    <t>선물하기 좋은 국산팥을 사용한 수제 의령 부자 망개떡 40개</t>
  </si>
  <si>
    <t>수리취 의령망개떡 40개</t>
  </si>
  <si>
    <t>사탕수수 원당으로 숙성하고 국산 생강으로 착즙한 부자생강청 520g</t>
  </si>
  <si>
    <t>성주참외보화농장</t>
  </si>
  <si>
    <t>성주참외 프리미엄 특품 꿀 참외 중과 선물용 고당도 2kg 3kg 5kg</t>
  </si>
  <si>
    <t>성주 참외 10kg 프리미엄 특품 중과 고당도 꿀 참외 보화 농장 산지 직송</t>
  </si>
  <si>
    <t>성주참외 2kg 3kg 5kg 10kg 가정용 비품 고당도 꿀참외 보화농장 산지직송</t>
  </si>
  <si>
    <t>애플링 국산 동결건조 사과칩·배칩 무첨가 건강간식 어린이 유아</t>
  </si>
  <si>
    <t>[신기농원]땡글땡글 문경 햇체리 1kg</t>
  </si>
  <si>
    <t>애플링 딸기칩 10봉 국산100% 동결건조 / 아기부터 온가족 건강간식</t>
  </si>
  <si>
    <t>애플링 동결건조 사과 배칩20g 딸기칩15g 3팩 국산100% 무첨가 간식</t>
  </si>
  <si>
    <t>애플링 국내산 동결건조 사과칩 20g x3봉/ 아기간식 건강과일간식</t>
  </si>
  <si>
    <t>애플링 국산 동결건조 사과칩·배칩 자유구성 / 유아 휴대용 건강간식</t>
  </si>
  <si>
    <t>애플링 국산 동결건조 배칩 3팩 / 무첨가 건강간식 아기간식</t>
  </si>
  <si>
    <t>애플링 국산 딸기칩3봉 무첨가 동결건조 과일칩 어린이 유아 건강간식</t>
  </si>
  <si>
    <t>애플링 하루 한 팩 모듬과일칩 4g 사과·배·딸기혼합/국산 동결건조 /어린이 건강간식</t>
  </si>
  <si>
    <t>애플링 국산 동결건조 사과·배칩 3팩 자유선택 유아 어린이 건강간식 .다이어트</t>
  </si>
  <si>
    <t>농업회사법인 혜성주식회사</t>
  </si>
  <si>
    <t>답운농장 큰며느리 유기농고춧가루 250g</t>
  </si>
  <si>
    <t>울진군 해풍맞은 벌집꿀 [사양벌꿀] 450g</t>
  </si>
  <si>
    <t>답운농장 큰며느리가 정성으로 만든 영양가득 [홍삼누룽지외 5종 세트상품 ]</t>
  </si>
  <si>
    <t>답운농장 큰며느리 차3종세트 20티백 3종 세트</t>
  </si>
  <si>
    <t>울진군 해풍맞은 스틱벌꿀 [토종벌꿀] 1포 10g이상 총30개 스틱</t>
  </si>
  <si>
    <t>달과 복숭아 1.5kg | 특대과 5~7입 | 프리미엄 백도 | 선물용</t>
  </si>
  <si>
    <t>216-04-19795</t>
  </si>
  <si>
    <t>아그데뜰</t>
  </si>
  <si>
    <t>대추방울토마토 GAP 신선한 산지직송 3kg 1.5kg 로얄과 현대농장 방울 토마토</t>
  </si>
  <si>
    <t>GAP 현대농장 수퍼방토 1.5kg 산지직송 신선보장 대추 방울 토마토</t>
  </si>
  <si>
    <t>오색 대추 방울 토마토 GAP 3kg 1.5kg 현대농장 수퍼방토</t>
  </si>
  <si>
    <t>1.5kg - mix 오색+빨강 대추 방울 토마토 GAP 현대농장 수퍼방토</t>
  </si>
  <si>
    <t>수경재배 당일수확 청상추 2kg 4kg [원산지 - 경남 고성]</t>
  </si>
  <si>
    <t>수경재배 당일수확 꽃상추 2kg 4kg [원산지 - 경남 고성]</t>
  </si>
  <si>
    <t>제주 미니밤단호박 못난이단호박 하우스단호박 1kg 2kg 3kg 5kg 10kg 가정용 산지직송</t>
  </si>
  <si>
    <t>[제주점순이네]제주 대정 마늘 햇마늘 알마늘 1kg 2.5kg 4.5kg 9kg</t>
  </si>
  <si>
    <t>쪽파 종구 10kg 쪽파 종구 10kg 1개</t>
  </si>
  <si>
    <t>산지직송 달콤한 코코벨 대추방울토마토 [GAP] 하루방토 파밍데이즈 로얄과 1kg 2kg</t>
  </si>
  <si>
    <t>오동리 들기름막국수 글루텐프리 쫄깃한 식감의 국내산 100% 메밀 막국수</t>
  </si>
  <si>
    <t>파주장단콩으로 만든 걸쭉하고 고소한 콩국물(1년 상온보관)</t>
  </si>
  <si>
    <t>파주장단콩 진하고 걸쭉한 생면 콩국수 680g</t>
  </si>
  <si>
    <t>글루텐프리 국산 100% 메밀면 콩국수 660g</t>
  </si>
  <si>
    <t>짜먹는 걸쭉한 파주장단콩 콩국물 5팩(150g/팩 상온보관)</t>
  </si>
  <si>
    <t>소이밀 파주장단콩과 양평유기농쌀로 만든 식물성 고단백 영양식 5팩(150g/1팩 상온보관)</t>
  </si>
  <si>
    <t>오동리팥죽 국내산 팥과 찹쌀로 만든 달지 않은 동지새알팥죽(680g 1~2인분)</t>
  </si>
  <si>
    <t>오동리 팥물 국내산 팥만으로 만든 달지않은 팥물(상온보관 500ml)</t>
  </si>
  <si>
    <t>오동리 건강한팥물 국내산 팥으로 만든 무설탕 무소금 팥물(상온보관 500ml)</t>
  </si>
  <si>
    <t>국내산 찹쌀로 만든 쫀득한 오동리 새알심 1.8kg (180gx10팩)</t>
  </si>
  <si>
    <t>국내산 팥으로 만든 자가생면 팥칼국수(700g)</t>
  </si>
  <si>
    <t>오동리 메밀팥칼국수 글루텐프리 국산 100% 메밀면 팥칼국수(660g)</t>
  </si>
  <si>
    <t>[인천직구] 인천드레 강화 천연 벌꿀 아카시아꿀 잡화꿀 500g</t>
  </si>
  <si>
    <t>상주곶감 명절선물세트 대봉 건시 반건시 가정용 못난이곶감 실속형</t>
  </si>
  <si>
    <t>상주곶감 명절선물세트 흑인삼 먹고 자란 대봉 건시 반건시 곶감 프리미엄 보자기 포장</t>
  </si>
  <si>
    <t>자연건조 대봉반건시 설 추석 명절 선물세트 곶감대장 상주곶감 반건시 프리미엄 보자기포장</t>
  </si>
  <si>
    <t>상주 곶감 건시 대봉 반건시 설날 추석 명절 혼합 선물세트 보자기포장</t>
  </si>
  <si>
    <t>상주 곶감 설날 추석 명품 개별포장 건시 반건시 용과 선물세트</t>
  </si>
  <si>
    <t>신비복숭아 복숭아 대극천 납작 천도 거반도 딱딱이 옐로드림 황도 백도 1kg</t>
  </si>
  <si>
    <t>땡큐베리블루팜</t>
  </si>
  <si>
    <t>블루베리콩포트 블루베리잼 150g 3병</t>
  </si>
  <si>
    <t>블루베리가 알알이 살아있는 콩포트잼 블루베리잼 500g</t>
  </si>
  <si>
    <t>블루베리에 퐁당 빠진 딸기잼 콩포트 150g 3병 상품</t>
  </si>
  <si>
    <t>블루베리에 퐁당 빠진 딸기잼 콩포트 500g 블딸잼</t>
  </si>
  <si>
    <t>달콤한 참외 동결건조 후레이크 18g 10봉</t>
  </si>
  <si>
    <t>딸기 동결건조 칩 후레이크 15g 10봉</t>
  </si>
  <si>
    <t>블루베리에 퐁당 빠진 잼 3종 콩포트 세트 땡큐베리블루팜</t>
  </si>
  <si>
    <t>땡큐베리딸기잼 콩포트 530g 땡큐베리블루팜</t>
  </si>
  <si>
    <t>[왕특대과] 복숭아 황도 백도 딱딱이 부드러운 4kg</t>
  </si>
  <si>
    <t>씨없는 청도 반시 감말랭이 500g 1kg</t>
  </si>
  <si>
    <t>부드러운 말랭이 복숭아 1.5kg</t>
  </si>
  <si>
    <t>청도 복숭아 왕특대과 특대과 특판전! 16과 (물복 딱복 부드러운 말랭이 말랑이 말랭 말랑 딱딱이 아삭이 털 복숭아) 4kg</t>
  </si>
  <si>
    <t>청도 복숭아 왕특대과 특대과 특판전! 14과 (물복 딱복 부드러운 말랭이 말랑이 말랭 말랑 딱딱이 아삭이 털 복숭아) 4kg</t>
  </si>
  <si>
    <t>청도 복숭아 왕특대과 특대과 특판전! 12과 (물복 딱복 부드러운 말랭이 말랑이 말랭 말랑 딱딱이 아삭이 털 복숭아) 4kg</t>
  </si>
  <si>
    <t>신비복숭아 복숭아 산지직송 털 없는 제철복숭아 2kg</t>
  </si>
  <si>
    <t>청도 씨없는 감말랭이 지퍼팩 500g 1개</t>
  </si>
  <si>
    <t>청도 씨없는 감말랭이 지퍼팩 1kg 1개</t>
  </si>
  <si>
    <t>씨없는 청도반시 감 연시 약시 홍시 5kg</t>
  </si>
  <si>
    <t>복숭아 황도복숭아 백도 쫀득이 딱딱이 3kg 별마루농원</t>
  </si>
  <si>
    <t>[오플룻트] 유럽종 완숙 못난이 토마토 델라토 5kg</t>
  </si>
  <si>
    <t>팜(Farm) 166</t>
  </si>
  <si>
    <t>자두 대석 5kg GAP 노지 의성 옥자두 로얄대석 고당도 임산부 당일수확 산지직송</t>
  </si>
  <si>
    <t>자두 후무사 도담자두 의성옥자두 3kg 5kg GAP</t>
  </si>
  <si>
    <t>복숭아 마도카 납작 황도 백도 의성 딱딱이 고당도 산지직송 4kg 제철 말랑이 딱복</t>
  </si>
  <si>
    <t>복숭아 납작 거반도 의성 GAP 유럽 도넛 ufo복숭아 2kg</t>
  </si>
  <si>
    <t>단양 전통 집고추장 마늘쫑장아찌 400g</t>
  </si>
  <si>
    <t>영프로 전통 재래식 시골 집된장 고추장 간장 선물세트</t>
  </si>
  <si>
    <t>단양 3년 숙성 국산 콩 전통 재래식 시골 집된장 500g</t>
  </si>
  <si>
    <t>단양 4년 숙성 국산 콩 전통 재래식 시골 집 진간장 350ml</t>
  </si>
  <si>
    <t>단양 4년 숙성 국산 콩 전통 재래식 시골 집 진간장 500ml</t>
  </si>
  <si>
    <t>국내산 전통 한식 간장으로 담은 수제 밑반찬 두릅장아찌 800g</t>
  </si>
  <si>
    <t>단양 전통 한식 집간장으로 담은 두릅장아찌 400g</t>
  </si>
  <si>
    <t>단양 5년 숙성 국산 콩 전통 재래식 시골 집된장 2kg</t>
  </si>
  <si>
    <t>단양 전통 집고추장 국산 마늘장아찌 400g</t>
  </si>
  <si>
    <t>단양 전통 집고추장 국산 마늘장아찌 800g</t>
  </si>
  <si>
    <t>전통 한식 집 간장으로 담은 뽕잎 장아찌 800g</t>
  </si>
  <si>
    <t>단양 전통 한식 집 간장 할라피뇨 국산 궁채 모듬장아찌 800g</t>
  </si>
  <si>
    <t>단양 국산 전통 발효 옛날 보리고추장 2kg</t>
  </si>
  <si>
    <t>전통 집간장으로 담은 뽕잎장아찌 400g</t>
  </si>
  <si>
    <t>단양 전통 시골 집고추장 마늘쫑장아찌 800g</t>
  </si>
  <si>
    <t>단양 3년 숙성 국산 콩 전통 수제 재래식 시골 집된장 2kg</t>
  </si>
  <si>
    <t>단양 영프로식품 1년 숙성 전통 집 보리고추장 1kg</t>
  </si>
  <si>
    <t>영프로 100% 국내산 콩 전통 3년 숙성 재래식 시골 집 된장 1kg</t>
  </si>
  <si>
    <t>시즌드시즌</t>
  </si>
  <si>
    <t>수면에 좋은 카페인 없는 차 - '사계'차 선물세트 [프리미엄 티하우스 시즌드시즌]</t>
  </si>
  <si>
    <t>수면에 좋은 카페인 없는 차 - 프리미엄 7종 샘플러: 봄 여름 가을 겨울 아침 오후 밤</t>
  </si>
  <si>
    <t>수면에 좋은 카페인 없는 차 - 봄 여름 가을 겨울_프리미엄 티하우스 시즌드시즌 '사계'티</t>
  </si>
  <si>
    <t>수면에 좋은 카페인 없는 차 - 아침 오후 밤- 시즌드시즌 '하루'티</t>
  </si>
  <si>
    <t>슬기로운 청년농부</t>
  </si>
  <si>
    <t>145-29-01924</t>
  </si>
  <si>
    <t>리트리 배즙 착즙주스 배주스 원액 100% 120ml 15개입</t>
  </si>
  <si>
    <t>단양 영프로 1년숙성 전통 시골 집 보리고추장 500g</t>
  </si>
  <si>
    <t>신선한 우리밀 앉은키밀 공정무역 우리밀 한입스콘 구움과자 디저트 플레인 100g 1개</t>
  </si>
  <si>
    <t>신선한 우리밀 앉은키밀 공정무역 우리밀 한입스콘 구움과자 디저트 초코칩 100g 1개</t>
  </si>
  <si>
    <t>신선한 우리밀 앉은키밀 공정무역 우리밀 한입스콘 구움과자 디저트 바다김 100g 1개</t>
  </si>
  <si>
    <t>통밀 식이섬유 공정무역 우리밀 한입스콘 구움과자 디저트 오트밀 레이즌 100g 1개</t>
  </si>
  <si>
    <t>신선한 우리밀 앉은키밀 공정무역 우리밀 한입스콘 구움과자 디저트 쑥고물 100g 1개</t>
  </si>
  <si>
    <t>햇밀 공정무역 우리밀 한입스콘 구움과자 5종 세트</t>
  </si>
  <si>
    <t>[그로운] 뿌리가 살아있는 무농약 유러피안 샐러드 상추6종 산지직송 유럽 상추 로메인 버터헤드</t>
  </si>
  <si>
    <t>농장직송 케일 쌈 그린스무디 2kg 1개</t>
  </si>
  <si>
    <t>농장직송 케일 쌈 그린스무디 1kg 1개</t>
  </si>
  <si>
    <t>농장직송 케일 쌈 그린스무디 500g 1개</t>
  </si>
  <si>
    <t>농장직송 적근대 2kg 1개</t>
  </si>
  <si>
    <t>농장직송 적근대 1kg 1개</t>
  </si>
  <si>
    <t>646-85-00365</t>
  </si>
  <si>
    <t>농업회사법인(주) 강화드림푸드</t>
  </si>
  <si>
    <t>농장직송 적근대 500g 1개</t>
  </si>
  <si>
    <t>농장직송 적근대 300g 1개</t>
  </si>
  <si>
    <t>농장직송 적겨자 잎 쌈채소 2kg 1개</t>
  </si>
  <si>
    <t>농장직송 적겨자 잎 쌈채소 1kg 1개</t>
  </si>
  <si>
    <t>농장직송 적겨자 잎 쌈채소 500g 1개</t>
  </si>
  <si>
    <t>농장직송 적겨자 잎 쌈채소 300g 1개</t>
  </si>
  <si>
    <t>당일수확 생바질 스위트 식용허브 1kg 1개</t>
  </si>
  <si>
    <t>당일수확 생바질 스위트 식용허브 500g 1개</t>
  </si>
  <si>
    <t>당일수확 생바질 스위트 식용허브 300g 1개</t>
  </si>
  <si>
    <t>당일수확 생바질 스위트 식용허브 100g 1개</t>
  </si>
  <si>
    <t>농장직송 와일드루꼴라 300g 1개</t>
  </si>
  <si>
    <t>농장직송 와일드루꼴라 500g 1개</t>
  </si>
  <si>
    <t>농장직송 와일드루꼴라 1kg 1개</t>
  </si>
  <si>
    <t>농장직송 케일 쌈 주스 그린스무디 쌈채소 샐러드야채 당일수확 2kg 1개</t>
  </si>
  <si>
    <t>농장직송 케일 쌈 주스 그린스무디 쌈채소 샐러드야채 당일수확 1kg 1개</t>
  </si>
  <si>
    <t>농장직송 케일 쌈 주스 그린스무디 쌈채소 샐러드야채 당일수확 500g 1개</t>
  </si>
  <si>
    <t>비타민채소 그린비타민 다채 샐러드야채 특수야채 이유식재료 1kg 500g</t>
  </si>
  <si>
    <t>로메인 적로메인 농장직송 발송당일수확 1kg 2kg 샐러드야채 쌈채소</t>
  </si>
  <si>
    <t>로메인 청로메인 500g 1kg 농장직송 당일수확</t>
  </si>
  <si>
    <t>루꼴라 로켓 로케트 300g 1개</t>
  </si>
  <si>
    <t>루꼴라 로켓 로케트 500g 1개</t>
  </si>
  <si>
    <t>루꼴라 로켓 로케트 1kg 1개</t>
  </si>
  <si>
    <t>로즈마리생잎 모히또용 데코용 허브 농장직송 당일수확 - 50g 100g</t>
  </si>
  <si>
    <t>로즈마리 허브 생잎 50g 100g 모히또용 데코용 농장직송 당일수확</t>
  </si>
  <si>
    <t>농장직송 치커리 쌈채소 샐러드야채 500g 1개</t>
  </si>
  <si>
    <t>국내산 상황버섯 실속형(연천 상황조은농장 상황버섯) 200g</t>
  </si>
  <si>
    <t>국내산 상황버섯 실속형(연천 상황조은농장 상황버섯) 500g</t>
  </si>
  <si>
    <t>담아토</t>
  </si>
  <si>
    <t>623-92-02179</t>
  </si>
  <si>
    <t>토마토</t>
  </si>
  <si>
    <t>농업회사법인 자연애에프앤비(주)</t>
  </si>
  <si>
    <t>전통 진명차 수제한차 2종 국산 목에 좋은 차 교수님 건강 선물 세트 20티백</t>
  </si>
  <si>
    <t>교수님 무카페인 귤피 도라지 박하 목에 좋은 3종 차선물세트 선물용차 60티백</t>
  </si>
  <si>
    <t>고급 티백 전통차 어르신 남자친구 부모님 인사 진명차 한차 4호 선물 세트</t>
  </si>
  <si>
    <t>선물하기 좋은 카페인 없는 마시는 프리미엄 블렌딩 차 3종 선물세트 30티백</t>
  </si>
  <si>
    <t>국내산 설탕 없어 달지 않은 생강차 50티백</t>
  </si>
  <si>
    <t>국내산 임산부 달지 않은 수제 건 대추 차 티백 50개입 1개</t>
  </si>
  <si>
    <t>국내산 국산 구수한 볶은 작두콩차 티백 50개입 1개</t>
  </si>
  <si>
    <t>구수한 국산 뽕나무잎 상엽차 50티백</t>
  </si>
  <si>
    <t>운동할때 마시는 국내산 구수한 우엉차 티백 50개입 1개</t>
  </si>
  <si>
    <t>한국식 페퍼민트 국내산 목에 좋은 코뻥 박하차 티백 50개입 1개</t>
  </si>
  <si>
    <t>국내산 밤티 밤속껍질 율피 밤차 50티백</t>
  </si>
  <si>
    <t>물대신 마시기 좋은 향긋한 귤피차 50티백</t>
  </si>
  <si>
    <t>당 없는 호박 현미 팥 차 20티백</t>
  </si>
  <si>
    <t>몸에 좋은 대추 생강 차 20티백</t>
  </si>
  <si>
    <t>미세먼지 목에 좋은 도라지 작두콩 차 20티백</t>
  </si>
  <si>
    <t>문경초록마을 2025년 GAP 백두대간의 자연담수로 재배한 우렁이쌀 4kg</t>
  </si>
  <si>
    <t>문경초록마을 2025년 GAP 백두대간 자연담수로 재배한 문경 청정미 우렁이쌀 3kg</t>
  </si>
  <si>
    <t>문경초록마을 2025년 GAP 우렁이농업으로 재배한 백두대간 청정미 향미쌀 4kg</t>
  </si>
  <si>
    <t>문경초록마을 흙속의 진주 금왕감자 5kg 혼합</t>
  </si>
  <si>
    <t>문경초록마을 엄마손 콩 국내산 100% 서리태 속청 1kg 2kg</t>
  </si>
  <si>
    <t>복숭아집밤비네</t>
  </si>
  <si>
    <t>543-88-02648</t>
  </si>
  <si>
    <t>(Signature) 밤비네 햇사레 복숭아</t>
  </si>
  <si>
    <t>고소애 초코칩쿠키 패키지상품(50g 5개입)</t>
  </si>
  <si>
    <t>고소애 아몬드쿠키 패키지상품(50g 5개입)</t>
  </si>
  <si>
    <t>문경초록마을 청정자연에서 자란 흙속의 진주 금왕감자 10kg 혼합</t>
  </si>
  <si>
    <t>[오복농산]전북고창 2026년 햇 오디 냉동 생과 5kg [진공포장] 뽕나무 열매</t>
  </si>
  <si>
    <t>[오복농산] 구수하게 볶은 돼지감자/ 돼지감자차 150g</t>
  </si>
  <si>
    <t>[오복농산] 박 계영님의 건 여주 / 여주차</t>
  </si>
  <si>
    <t>가정용 가공용 배즙용 요리용 경기G마크 GAP 저탄소 농산물 평화농원 먹골배 15kg</t>
  </si>
  <si>
    <t>거반도 유럽 복숭아 납작 신비복숭아 신선 천도 딱딱이 옐로드림</t>
  </si>
  <si>
    <t>순희엄마 수제 천연발효 쓴맛없는 여주식초 선물세트 500mlX2개</t>
  </si>
  <si>
    <t>순희엄마 순정마초 흑마늘 천연발효 식초 2병 1000ml 선물세트</t>
  </si>
  <si>
    <t>가득 담은 버섯 영양밥 즉석밥 국산 무농약 고식이섬유 간편식 약밥 160g 4개</t>
  </si>
  <si>
    <t>가득 담은 버섯 영양밥 즉석밥 국산 무농약 고식이섬유 간편식 약밥 160g 10개</t>
  </si>
  <si>
    <t>달달 향긋한 경산 신품종 망고복숭아 옐로복숭아 900g 1.8kg</t>
  </si>
  <si>
    <t>버섯 그대로 5종 국산 무농약 모둠 버섯 요리 키트 48g 1개</t>
  </si>
  <si>
    <t>버섯 그대로 5종 국산 무농약 모둠 버섯 요리 키트 48g 3개</t>
  </si>
  <si>
    <t>버섯 그대로 5종 국산 무농약 모둠 버섯 요리 키트 48g 5개</t>
  </si>
  <si>
    <t>버섯 그대로 톡톡 국산 무농약 말린 버섯 모둠 요리용</t>
  </si>
  <si>
    <t>쑥즙 강화약쑥즙 싸주아리 유기농 3년숙성 추출액 사자발쑥 인진 액기스 엑기스 진액 무농약</t>
  </si>
  <si>
    <t>청청하루 무농약 도라지청 300g 1개</t>
  </si>
  <si>
    <t>청청하루 무농약 도라지청 600g 1개</t>
  </si>
  <si>
    <t>길경농원 청청하루 무농약 도라지 분말 가루 100g</t>
  </si>
  <si>
    <t>길경농원 국산 식품명인 콩고물 도라지정과 250g</t>
  </si>
  <si>
    <t>청청하루 식품명인 궁중 도라지정과 250g 2개</t>
  </si>
  <si>
    <t>길경농원 국산 도라지즙 3년근 6년근 도라지배즙 청청하루</t>
  </si>
  <si>
    <t>길경농원 청청하루 무농약 도라지청 150g 4병 명절 부모님 선물 세트</t>
  </si>
  <si>
    <t>식품명인 프리미엄 도라지 4종선물세트 도라지정과 도라지청 도라지차 명절 선물 답례품</t>
  </si>
  <si>
    <t>청청하루 무농약 구수한 도라지차 20티백 PLA 생분해망사</t>
  </si>
  <si>
    <t>식품명인 콩고물 도라지정과 도라지차 선물세트 250g 2개입</t>
  </si>
  <si>
    <t>길경농원 청청하루 도라지청 스틱 홍도라지청 키즈 국산 명절 선물</t>
  </si>
  <si>
    <t>청청하루 우리 아이 홍도라지청 스틱 어린이 도라지청 배도라지청</t>
  </si>
  <si>
    <t>식품명인 국산 도라지 선물세트 도라지청 도라지차 콩고물 도라지정과 상견례 답례품 명절</t>
  </si>
  <si>
    <t>길경농원 도라지 6년근 도라지즙 도라지엑기스 길경 청청하루</t>
  </si>
  <si>
    <t>청청하루 식품명인 궁중 도라지정과 250g 1개</t>
  </si>
  <si>
    <t>길경농원 국산 식품명인 도라지정과 선물세트 1kg 상견례 명절 이바지 선물</t>
  </si>
  <si>
    <t>길경농원 식품명인 국산 코코아 도라지정과 실속형</t>
  </si>
  <si>
    <t>길경농원 청청하루 꼬다리 도라지정과 120g</t>
  </si>
  <si>
    <t>농업회사법인연꽃정원(유)</t>
  </si>
  <si>
    <t>연꽃정원 유기농연근차 유기농연잎차</t>
  </si>
  <si>
    <t>연꽃정원 연잎밥</t>
  </si>
  <si>
    <t>231-97-01414</t>
  </si>
  <si>
    <t>따순농장</t>
  </si>
  <si>
    <t>연꽃정원 유기농 연근조림/연근조림</t>
  </si>
  <si>
    <t>유기농 꽃차 메리골드차 15g 7g 마리골드 금잔화</t>
  </si>
  <si>
    <t>덖음 수제차 목련 꽃차 9g 4g 신이화차</t>
  </si>
  <si>
    <t>유기농 수제차 당아욱 꽃차 4g 2g 블루멜로우티</t>
  </si>
  <si>
    <t>국화차 중 일품 홑겹꽃 감국차 33g</t>
  </si>
  <si>
    <t>덖음으로 향이 풍부한 맨드라미꽃차 7g 맨드라미차</t>
  </si>
  <si>
    <t>농부가 키운 유기농꽃차 구절초차 17g</t>
  </si>
  <si>
    <t>유기농 전통차 당아욱 꽃차 2g 블루멜로우티</t>
  </si>
  <si>
    <t>진짜 국화차는 유기농 감국차 16g 33g</t>
  </si>
  <si>
    <t>유기농차 목련 꽃차 4g 신이화차</t>
  </si>
  <si>
    <t>농부가 키운 유기농차 구절초차 8g</t>
  </si>
  <si>
    <t>유기농 맨드라미꽃차 3g 맨드라미차</t>
  </si>
  <si>
    <t>유기농 꽃차 소드림 2종 선물세트(메리골드 당아욱꽃차 목련꽃)</t>
  </si>
  <si>
    <t>유기농 꽃차 다드림 2종 선물세트(메리골드 당아욱꽃차 목련꽃)</t>
  </si>
  <si>
    <t>균일가 유기농 꽃차 2종 선물세트(벚꽃 메리골드 당아욱 아카시아 등)</t>
  </si>
  <si>
    <t>유기농 3종 꽃차선물세트(메리골드차 국화차 목련 등)</t>
  </si>
  <si>
    <t>유기농 3종 꽃차세트(당아욱 메리골드꽃차 목련 아카시아 벚꽃)</t>
  </si>
  <si>
    <t>유기농 4종 꽃차세트(선택형) 감국 매화 메리골드 맨드라미 등</t>
  </si>
  <si>
    <t>국내산 유기농 꽃차 4종 선물세트(맨드라미3g + 메리골드7g + 목련4g + 당아욱2g)</t>
  </si>
  <si>
    <t>덖음차 유기농 햇 볶은 작두콩차 80g</t>
  </si>
  <si>
    <t>유기농꽃차 메리골드차 마리골드 금잔화 15g 4개</t>
  </si>
  <si>
    <t>덖음차 유기농 햇 볶은 작두콩차 80g 10개</t>
  </si>
  <si>
    <t>도하팜 업소용 대용량 프릴아이스</t>
  </si>
  <si>
    <t>[도하팜][버터헤드 단품] 수경재배 무농약 GAP 유럽샐러드 유럽 상추</t>
  </si>
  <si>
    <t>[도하팜] [프릴아이스] 무농약 프리미엄 수경재배 유럽 샐러드채소 농장직송 유럽 상추</t>
  </si>
  <si>
    <t>[도하팜] [유러피안 모듬 믹스] 무농약 채소 샐러드 쌈채소 유럽 상추</t>
  </si>
  <si>
    <t>순희엄마 수제 천연발효 사과식초 애사비 1000ml 선물세트</t>
  </si>
  <si>
    <t>청청하루 무농약 도라지청 300g 2개</t>
  </si>
  <si>
    <t>청청하루 무농약 도라지청 300g 3개</t>
  </si>
  <si>
    <t>청청하루 무농약 도라지청 600g 2개</t>
  </si>
  <si>
    <t>청청하루 무농약 도라지청 600g 3개</t>
  </si>
  <si>
    <t>청청하루 식품명인 궁중 도라지정과 250g 3개</t>
  </si>
  <si>
    <t>청청하루 식품명인 궁중 도라지정과 500g 1개</t>
  </si>
  <si>
    <t>청청하루 식품명인 궁중 도라지정과 500g 2개</t>
  </si>
  <si>
    <t>청청하루 식품명인 궁중 도라지정과 500g 3개</t>
  </si>
  <si>
    <t>청청하루 무농약 도라지 100% 도라지청</t>
  </si>
  <si>
    <t>품질보장 황토밭 맑은농장 김천자두 3kg(왕왕특고당도) 도담자두</t>
  </si>
  <si>
    <t>품질대박 황토밭 맑은농장 김천자두 5kg(왕왕특고당도) 도담자두</t>
  </si>
  <si>
    <t>국산 무농약 상황버섯 건조+진액혼합세트 효도선물 GAP인증 친환경 부모님선물</t>
  </si>
  <si>
    <t>국내산 무농약 GAP 건조상황버섯 선물세트 150g 300g 부모님 추석선물</t>
  </si>
  <si>
    <t>국내산 무농약 GAP 인증 원료 상황버섯진액 부모님 추석선물 45포 1개</t>
  </si>
  <si>
    <t>국내산 무농약 GAP 인증 원료 상황버섯진액 부모님 추석선물 25포 1개</t>
  </si>
  <si>
    <t>국내산 무농약 GAP 인증 원료 상황버섯진액 부모님 추석선물 15포 1개</t>
  </si>
  <si>
    <t>국내산 무농약 GAP인증 건조 상황버섯 70g 부모님 추석 선물세트</t>
  </si>
  <si>
    <t>국내산 무농약 GAP인증 건조 상황버섯 140g 부모님 추석 선물세트</t>
  </si>
  <si>
    <t>안동기찬농원</t>
  </si>
  <si>
    <t>317-39-00698</t>
  </si>
  <si>
    <t>으랏차차 푸룬 - 빅퍼플</t>
  </si>
  <si>
    <t>문경 오미자 청 원액 생오미자 당절임 (흰설탕)</t>
  </si>
  <si>
    <t>문경 오미자 원액 행복한 오미자청 1.5L</t>
  </si>
  <si>
    <t>문경 오미자 원액 행복한 오미자청 1.5L (흰설탕) 2병</t>
  </si>
  <si>
    <t>문경 오미자 원액 행복한 오미자청 1.5L 4병</t>
  </si>
  <si>
    <t>문경 오미자 2025년 생오미자 당절임 (원당)</t>
  </si>
  <si>
    <t>문경 오미자 원액 행복한 오미자청 1.5L (비정제 원당)</t>
  </si>
  <si>
    <t>해피메이킹 문경 행복한 오미자 생 오미자 청</t>
  </si>
  <si>
    <t>문경 오미자 원액 오미자럽 오미자청 1.5L 4병</t>
  </si>
  <si>
    <t>문경 오미자 원액 행복한 오미자청 1.5L (비정제 원당) 2병</t>
  </si>
  <si>
    <t>문경 오미자 원액 오미자럽 오미자청 1.5L</t>
  </si>
  <si>
    <t>문경 오미자 원액 행복한 오미자청1.5L(비정제 원당) 4병</t>
  </si>
  <si>
    <t>문경 오미자 2025년 생오미자 당절임 (흰설탕)</t>
  </si>
  <si>
    <t>문경 오미자 원액 행복한 오미자청 500ml</t>
  </si>
  <si>
    <t>문경 오미자 원액 행복한 오미자청 500ml 두병</t>
  </si>
  <si>
    <t>문경 오미자 원액 오미자럽 오미자청 1.5L 2병</t>
  </si>
  <si>
    <t>[예약] 추석선물 친환경 무농약 프리미엄 싱싱달콤 머스크 천적 멜론 메론 3수 7kg이상</t>
  </si>
  <si>
    <t>2022 문경 햇오미자 당절임 국내산 100%</t>
  </si>
  <si>
    <t>[예약] 추석선물 프리미엄 무농약 고당도 산지직송 머스크 설향 하미과 천적 메론 멜론 2수</t>
  </si>
  <si>
    <t>햇연근 무농약 흙연근 슬라이스 말린연근</t>
  </si>
  <si>
    <t>표고버섯 선물세트 흑화고 백화고 추석 설날 명절</t>
  </si>
  <si>
    <t>채씨네 표고 버섯 선물세트 추석 설날 명절 참나무</t>
  </si>
  <si>
    <t>채씨네 국내산 건 표고버섯 선물세트 백화고 흑화고 추석 명절 설날</t>
  </si>
  <si>
    <t>표고버섯 선물세트 흑화고 500g</t>
  </si>
  <si>
    <t>농부가바로팜 무항생제 동물복지 유정란 초란 60구 신선계란 난각번호2번</t>
  </si>
  <si>
    <t>농부가바로팜 무항생제 Non-Gmo 동물복지 유정란 초란 60구 신선계란 난각번호2번</t>
  </si>
  <si>
    <t>[품질책임보상] 국내산 깐마늘 1kg 다진마늘 꼭지제거 햇 통마늘</t>
  </si>
  <si>
    <t>[농할쿠폰20%] 국내산 양파 26년 햇양파 무안양파 3kg 5kg</t>
  </si>
  <si>
    <t>청실농원</t>
  </si>
  <si>
    <t>654-91-01691</t>
  </si>
  <si>
    <t>먹골배 원황배 배 고당도 제철 햇배 국산 신품종 과일 5kg</t>
  </si>
  <si>
    <t>5kg 먹골배 선물용</t>
  </si>
  <si>
    <t>먹골배 선물용 배 고당도 제철 햇배 국산 신품종 과일 7.5kg</t>
  </si>
  <si>
    <t>먹골배 원황배 배 고당도 제철 햇배 국산 신품종 과일 7.5kg</t>
  </si>
  <si>
    <t>제주산 땅콩호박 버터넛스쿼시 3kg 5kg 10kg</t>
  </si>
  <si>
    <t>멜론 3수</t>
  </si>
  <si>
    <t>품질대박 맑은농장 김천포도 4kg(특품) 미화희낭만홍안 미인포도</t>
  </si>
  <si>
    <t>품질보장 맑은농장 김천포도 2kg(특품) 미화희낭만홍안 미인포도</t>
  </si>
  <si>
    <t>맑은농장 김천포도 4kg(못난이) 미화희낭만홍안 미인포도</t>
  </si>
  <si>
    <t>맑은농장 김천포도 4kg(상품) 미화희낭만홍안 미인포도 - 4수이하 8수이상</t>
  </si>
  <si>
    <t>맑은농장 김천포도 2kg(못난이) 미화희낭만홍안 미인포도</t>
  </si>
  <si>
    <t>맑은농장 김천포도 2kg(상품) 미화희낭만홍안 미인포도 - 2수또는5수이상</t>
  </si>
  <si>
    <t>맑은농장 김천포도 2kg(특품) 미화희낭만홍안 미인포도</t>
  </si>
  <si>
    <t>영프로 100% 국내산 콩 전통 된장 1키로 시골 집 보리고추장 1키로 간장 500ml</t>
  </si>
  <si>
    <t>영프로 100% 국내산 콩 전통된장 1키로 시골 집 보리고추장1키로</t>
  </si>
  <si>
    <t>영프로 100% 국내산 콩 전통 3년 숙성 재래식시골 집 된장 1kg 전통 간장 1.5L</t>
  </si>
  <si>
    <t>영프로 100% 국내산 콩 전통 5년 숙성 재래식 시골 집 된장 2kg 전통 간장 1L</t>
  </si>
  <si>
    <t>영프로 100% 국내산 콩 전통 3년 숙성 재래식 시골 집 된장 2kg 전통 간장 1L</t>
  </si>
  <si>
    <t>영프로 전통 시골 집고추장 마늘쫑장아찌 400g 마늘장아찌 400g</t>
  </si>
  <si>
    <t>영프로 전통 시골 집고추장 마늘쫑장아찌 800g 마늘장아찌 800g</t>
  </si>
  <si>
    <t>종이포장 경기G마크 GAP 저탄소 농산물 평화농원 먹골배 신고배 명절과일 햇배 3kg</t>
  </si>
  <si>
    <t>221-81-21222</t>
  </si>
  <si>
    <t>영농조합법인강원유기농</t>
  </si>
  <si>
    <t>경기G마크 GAP 저탄소 농산물 평화농원 먹골배 신고배 선물배 명절과일 햇배 5kg 7.5kg 15kg</t>
  </si>
  <si>
    <t>ESG 종이포장 경기G마크 GAP 저탄소 농산물 평화농원 먹골배 황금배 신고배 선물배 명절과일 햇배 7.5kg 15kg</t>
  </si>
  <si>
    <t>운림가 55년전통 대용량 전라도 국산 배추 김장 포기 김치 5kg</t>
  </si>
  <si>
    <t>운림가 55년전통 국산 전라도 묵은지 2kg 저온 숙성 익은 김치</t>
  </si>
  <si>
    <t>운림가 55년전통 국산 전라도 쪽 파김치 1kg</t>
  </si>
  <si>
    <t>운림가 55년전통 국산 전라도 알타리 총각김치 2kg</t>
  </si>
  <si>
    <t>청청하루 무농약 도라지청 150g 1개</t>
  </si>
  <si>
    <t>식품명인 콩고물 도라지정과 선물세트 20g 10개입</t>
  </si>
  <si>
    <t>농부부부가 키운 고당도 성주 참외 당일수확 3.3KG</t>
  </si>
  <si>
    <t>수박 고당도 꿀 수박 프리미엄 당도선별 하우스 제철과일 고창 맹동 산지직송</t>
  </si>
  <si>
    <t>자두 후무사 도담 추희 피자두 고당도 와촌 김천 1kg</t>
  </si>
  <si>
    <t>메론 제철 설향 하미과 그린 골드 머스크메론 프리미엄 산지직송 고당도 멜론 선물세트 가정용</t>
  </si>
  <si>
    <t>농부부부가 키운 고당도 성주 참외 당일수확 5.5kg</t>
  </si>
  <si>
    <t>159-96-00590</t>
  </si>
  <si>
    <t>바른농산물</t>
  </si>
  <si>
    <t>301-81-78225</t>
  </si>
  <si>
    <t>농업회사법인 팜에이트 주식회사</t>
  </si>
  <si>
    <t>※ 유기농</t>
  </si>
  <si>
    <t>293-54-00624</t>
  </si>
  <si>
    <t>이화수본</t>
  </si>
  <si>
    <t>402-47-64035</t>
  </si>
  <si>
    <t>땅끝민지맘</t>
  </si>
  <si>
    <t>122-93-29177</t>
  </si>
  <si>
    <t>버섯놀이터사천숲속표고</t>
  </si>
  <si>
    <t>616-81-93905</t>
  </si>
  <si>
    <t>안덕친환경영농조합법인</t>
  </si>
  <si>
    <t>874-81-00021</t>
  </si>
  <si>
    <t>농업회사법인주식회사논길</t>
  </si>
  <si>
    <t>778-81-03657</t>
  </si>
  <si>
    <t>이강바이오컴퍼니 주식회사</t>
  </si>
  <si>
    <t>717-86-01590</t>
  </si>
  <si>
    <t>농업회사법인 미스터돌 주식회사</t>
  </si>
  <si>
    <t>132-82-07849</t>
  </si>
  <si>
    <t>아이비영농조합</t>
  </si>
  <si>
    <t>623-96-01519</t>
  </si>
  <si>
    <t>초원꿀벌농장</t>
  </si>
  <si>
    <t>유기농 햇 찰옥수수 흑찰옥수수 미백옥수수 / 구룡농원 냉동 삶은 찐옥수수 강원도품종 [원산지:국산]</t>
  </si>
  <si>
    <t>[100% 국산 유기농] 25년산 호라산밀 카무트 카무트쌀 파로 곡물 1kg 택일 [원산지:상세설명에 표시]</t>
  </si>
  <si>
    <t>25년산 귀리 국산 유기농 귀리쌀 1kg [원산지:국산(전라남도 진도군)]</t>
  </si>
  <si>
    <t>454-04-02917</t>
  </si>
  <si>
    <t>안녕 삼촌농부</t>
  </si>
  <si>
    <t>풀무리농장 당일수확 친환경 유기농토마토2.5kg5kg [원산지:국산(강원도 영월군)]</t>
  </si>
  <si>
    <t>유기농 미니파프리카1.5kg (토양재배) [원산지:국산(충청남도 홍성군)]</t>
  </si>
  <si>
    <t>25년 햇곡 국산 유기농 현미 쌀 2kg [원산지:국산(전라남도 진도군)]</t>
  </si>
  <si>
    <t>유기농 잡곡 2kg(1kg x 2팩) 혼합곡 [원산지:국산(전라남도 해남군)]</t>
  </si>
  <si>
    <t>25년도 햇곡 기장쌀 국산 유기농 찰기장 좁쌀 1kg [원산지:국산(전라남도 진도군)]</t>
  </si>
  <si>
    <t>유기농복숭아/백도/4.0kg/무료배송 [원산지:국산(경상북도 영덕군)]</t>
  </si>
  <si>
    <t>유기농 반건조 청무화과 말랭이 100g /국산 유기농 명인 건무화과 건과일 말린 건조과일 [원산지:국산(전라남도 고흥군)]</t>
  </si>
  <si>
    <t>참나무 표고버섯 유기농 슬라이스 건표고버섯 통 건표고버섯(200g) [원산지:국산(경상북도 성주군)]</t>
  </si>
  <si>
    <t>26년산 국산 유기농 보리 흑보리 찰보리 쌀 1kg [원산지:국산(전라남도 진도군)]</t>
  </si>
  <si>
    <t>해남 민지맘 유기농 잡곡 5kg 혼합곡(8곡) [원산지:국산(전라남도 해남군)]</t>
  </si>
  <si>
    <t>25년산 서리태 국산 유기농 검정 검은 콩 1kg [원산지:국산(전라남도 영광군)]</t>
  </si>
  <si>
    <t>우유와함께 제주녹차라떼</t>
  </si>
  <si>
    <t>하누리영이천 국내산 직접재배 유기농 아로니아 분말 가루 파우더 200g [원산지:국산(충청남도 홍성군)]</t>
  </si>
  <si>
    <t>3초 보리 순아이티 (15입)</t>
  </si>
  <si>
    <t>25년산 유기농 바나듐 쌀 햇곡 백미 2kg [원산지:국산]</t>
  </si>
  <si>
    <t>유기농 제주 말차 ((20g×2입)×1개)</t>
  </si>
  <si>
    <t>1kg무화과 33년째 해남땅끝 무농약 고당도 하우스 무화과 1kg, 12개 [원산지:국산(전라남도 해남군)]</t>
  </si>
  <si>
    <t>해담는집 유기농 고춧가루 500g/200g(순한맛/보통맛/매운맛)</t>
  </si>
  <si>
    <t>히카마 올담농원 거제산 히카마 뿌리차 고소하고 부드러운 국산 티백차 60티백, 40티백, 20티백 [원산지:국산(경상남도 거제시)]</t>
  </si>
  <si>
    <t>[해담는집] 유기농 고추씨 500g</t>
  </si>
  <si>
    <t>전주찬방 유기농 포기김치 5kg, 1개 [원산지:국산(전라북도 진안군)]</t>
  </si>
  <si>
    <t>[해담는집] 유기농 들깨 500g</t>
  </si>
  <si>
    <t>25년 유기농 햇곡 햅 쌀 백미 2kg [원산지:국산(전라남도 진도군)]</t>
  </si>
  <si>
    <t>[해담는집]유기농 크러쉬드 레드페퍼</t>
  </si>
  <si>
    <t>전주찬방 유기농 포기김치 3kg, 1개 [원산지:국산(전라북도 진안군)]</t>
  </si>
  <si>
    <t>유기농 메리골드 건조차 50g/꽃차/생화/식용꽃</t>
  </si>
  <si>
    <t>국산 햇 귀리 쌀 (850g x 3팩) [원산지:국산(전라남도 해남군)]</t>
  </si>
  <si>
    <t>주식회사 베리네이처</t>
  </si>
  <si>
    <t>유기농 토핑 야채큐브 다진 비트 45g</t>
  </si>
  <si>
    <t>껍질이 보약 26년 햇 통채루 고구마줄기 껍질째 통째로 먹는 고구마순 1kg 2kg [원산지:국산(경기도 여주시)]</t>
  </si>
  <si>
    <t>유기농 토핑 야채큐브 다진 양배추 45g</t>
  </si>
  <si>
    <t>전주찬방 유기농 백김치 3kg, 1개 [원산지:국산(전라북도 진안군)]</t>
  </si>
  <si>
    <t>유기농 토핑 야채큐브 다진 무 45g</t>
  </si>
  <si>
    <t>햇곡 국산 유기농 귀리 혼합 10곡 잡곡 쌀 800g [원산지:국산(전라남도 진도군)]</t>
  </si>
  <si>
    <t>무농약 토핑 야채큐브 다진 근대 45g</t>
  </si>
  <si>
    <t>25년산 국산 유기농 찰 흑미 검정쌀 1kg [원산지:국산(전라남도 진도군)]</t>
  </si>
  <si>
    <t>무농약 토핑 야채큐브 다진 청경채 45g</t>
  </si>
  <si>
    <t>25년산 국산 유기농 찹쌀 1kg [원산지:국산(전라남도 진도군)]</t>
  </si>
  <si>
    <t>유기농 토핑 야채큐브 다진 시금치 45g</t>
  </si>
  <si>
    <t>유기농 명인 청무화과 말랭이 200g 낱개포장 /건무화과 말린 반건조 말린 건과과일 [원산지:국산(전라남도 고흥군)]</t>
  </si>
  <si>
    <t>무농약 토핑 야채큐브 다진 새송이버섯 45g</t>
  </si>
  <si>
    <t>유기농 국산 100% 밥에 뿌려먹는 강황 가루 분말 100g [원산지:국산(전라남도 진도군)]</t>
  </si>
  <si>
    <t>유기농 토핑 야채큐브 다진 당근 45g</t>
  </si>
  <si>
    <t>25년산 국산 유기농 찰 수수 1kg [원산지:국산(전라남도 진도군)]</t>
  </si>
  <si>
    <t>무농약 토핑 야채큐브 다진 애호박 45g</t>
  </si>
  <si>
    <t>전주찬방 유기농 포기김치 10kg, 1개 [원산지:국산(전라북도 진안군)]</t>
  </si>
  <si>
    <t>유기농 토핑 야채큐브 다진 단호박 45g</t>
  </si>
  <si>
    <t>전주찬방 유기농 백김치 1kg, 1개 [원산지:국산(전라북도 진안군)]</t>
  </si>
  <si>
    <t>무항생제 닭 안심 다짐육 30g x 3구</t>
  </si>
  <si>
    <t>무항생제 한우 설도 다짐육 30g x 3구</t>
  </si>
  <si>
    <t>25년산 국산 유기농 찰 보리 쌀 1kg [원산지:국산(전라남도 진도군)]</t>
  </si>
  <si>
    <t>농업회사법인(주)다고</t>
  </si>
  <si>
    <t>유기농 순돼지감자차 1박스 2g X 20포</t>
  </si>
  <si>
    <t>2kg무화과 33년째 해남땅끝 무농약 고당도 하우스 무화과 2kg, 24개 [원산지:국산(전라남도 해남군)]</t>
  </si>
  <si>
    <t>유기농 순수블랙보리차 1박스 2g X 20포</t>
  </si>
  <si>
    <t>전주찬방 유기농 깍두기 1kg, 1개 [원산지:국산(전라북도 진안군)]</t>
  </si>
  <si>
    <t>유기농 도라지 농축액(160g)</t>
  </si>
  <si>
    <t>25년산 햇곡 차조 국산 유기농 500g [원산지:국산(전라남도 진도군)]</t>
  </si>
  <si>
    <t>유기농 도라지배 농축액(220g)</t>
  </si>
  <si>
    <t>3kg무화과 33년째 해남땅끝 무농약 고당도 하우스 무화과 3kg, 36개 [원산지:국산(전라남도 해남군)]</t>
  </si>
  <si>
    <t>[MD추천]유기농 도라지 홍삼청(10gx15)</t>
  </si>
  <si>
    <t>[여주능서농원] 고구마 5KG 꿀고구마 소담미 산지직송 호박 밤 [원산지:국산(경기도 여주시)]</t>
  </si>
  <si>
    <t>더조은 유기농 생강청 (160g)</t>
  </si>
  <si>
    <t>해남 유기농 혼합곡 잡곡쌀 3kg(8곡) [원산지:국산(전라남도 해남군)]</t>
  </si>
  <si>
    <t>유기농 양배추청(10gx30)</t>
  </si>
  <si>
    <t>유기농 국산 오트밀 압착 귀리 350g [원산지:국산(전라남도 진도군)]</t>
  </si>
  <si>
    <t>유기농 양배추환 (170g)</t>
  </si>
  <si>
    <t>유기농 백미(10kg/단일품종)</t>
  </si>
  <si>
    <t>유기농 백미(4kg/단일품종)</t>
  </si>
  <si>
    <t>유기농 백미(2kg/단일품종)</t>
  </si>
  <si>
    <t>유기농 현미(4kg/단일품종)</t>
  </si>
  <si>
    <t>[100% 국산 유기농] 현미 귀리 잡곡 즉석 밥 180g, 24개 [원산지:국산(전라남도 진도군)]</t>
  </si>
  <si>
    <t>유기농 현미 (2kg/단일품종)</t>
  </si>
  <si>
    <t>[100% 국산 유기농] 현미 귀리 잡곡 즉석 밥 180g, 6개 [원산지:국산(전라남도 진도군)]</t>
  </si>
  <si>
    <t>유기농 현미찹쌀(4kg)</t>
  </si>
  <si>
    <t>전주찬방 유기농 백김치 5kg, 1개 [원산지:국산(전라북도 진안군)]</t>
  </si>
  <si>
    <t>유기농 현미찹쌀(2kg)</t>
  </si>
  <si>
    <t>25년산 유기농 바나듐 쌀 찰흑진주 흑미 2kg [원산지:국산(전라남도 진도군)]</t>
  </si>
  <si>
    <t>유기농 찹쌀(4kg)</t>
  </si>
  <si>
    <t>전주찬방 유기농 깍두기 3kg, 1개 [원산지:국산(전라북도 진안군)]</t>
  </si>
  <si>
    <t>유기농 찹쌀(2kg)</t>
  </si>
  <si>
    <t>유기농 수제 청무화과말랭이 300g / 반건조 건조무화과 건과일 건무화과 말린과일 건조과일 [원산지:국산(전라남도 고흥군)]</t>
  </si>
  <si>
    <t>유기농 혼합9곡(4kg)</t>
  </si>
  <si>
    <t>25년산 국산 유기농 녹미 쌀 1kg [원산지:국산(전라남도 진도군)]</t>
  </si>
  <si>
    <t>유기농 혼합9곡(2kg)</t>
  </si>
  <si>
    <t>4kg무화과 33년째 해남땅끝 무농약 고당도 하우스 무화과 4kg, 48개 [원산지:국산(전라남도 해남군)]</t>
  </si>
  <si>
    <t>다원팜</t>
  </si>
  <si>
    <t>GAP 무농약 고기느타리(300g)</t>
  </si>
  <si>
    <t>25년산 국산 유기농 오색 현미 쌀 1kg [원산지:국산(전라남도 진도군)]</t>
  </si>
  <si>
    <t>GAP 무농약 삼색느타리(400g)</t>
  </si>
  <si>
    <t>여주 햇고구마 2kg 국산 꿀고구마 호박고구마 밤고구마 [원산지:국산(경기도 여주시)]</t>
  </si>
  <si>
    <t>GAP 무농약 참타리버섯(350g내외)</t>
  </si>
  <si>
    <t>전주찬방 유기농 백김치 10kg, 1개 [원산지:국산(전라북도 진안군)]</t>
  </si>
  <si>
    <t>GAP 무농약 참타리버섯(150g)</t>
  </si>
  <si>
    <t>행복한농부민지맘의 햇 무농약 작두콩차 90g [원산지:국산(전라남도 해남군)]</t>
  </si>
  <si>
    <t>농업회사법인내포(주) / 매헌생명창고</t>
  </si>
  <si>
    <t>매헌 생들기름</t>
  </si>
  <si>
    <t>농촌융복합 최우수상 [꼬샤꼬샤] 유기농 보리차 100ml 스파우트형 30개입, 3개 [원산지:국산(전라남도 영광군)]</t>
  </si>
  <si>
    <t>[달콤한인생] 유기농 수수조청 280g</t>
  </si>
  <si>
    <t>전주찬방 유기농 포기김치 1kg, 1개 [원산지:국산(전라북도 진안군)]</t>
  </si>
  <si>
    <t>[달콤한인생] 유기농 대추청 280g</t>
  </si>
  <si>
    <t>25년산 국산 유기농 찰 현미 찹쌀 2kg [원산지:국산(전라남도 진도군)]</t>
  </si>
  <si>
    <t>[달콤한인생] 유기농 생강청 280g</t>
  </si>
  <si>
    <t>[달콤한인생] 유기농 홍도라지청 280g</t>
  </si>
  <si>
    <t>25년산 깬 서리태 국산 유기농 검정 검은 콩 500g [원산지:국산(전라남도 영광군)]</t>
  </si>
  <si>
    <t>256-98-01778</t>
  </si>
  <si>
    <t>기반</t>
  </si>
  <si>
    <t>[달콤한인생] 유기농 생강청+대추청 선물세트</t>
  </si>
  <si>
    <t>해남 민지맘 유기농 잡곡 쌀 10kg(1kg 10팩) 혼합곡 [원산지:국산(전라남도 해남군)]</t>
  </si>
  <si>
    <t>[달콤한인생] 유기농 홍도라지청+생강청+대추청 선물세트</t>
  </si>
  <si>
    <t>[여주능서농원] 국산 고구마말랭이 무첨가 영양간식 꿀고구마 소담미, 60g, 20개 [원산지:국산(경기도 여주시)]</t>
  </si>
  <si>
    <t>도울에프앤비</t>
  </si>
  <si>
    <t>[아기과자1단계] 유기농 단호박 롱스틱 (25g)</t>
  </si>
  <si>
    <t>25년산 국산 유기농 홍미 쌀 1kg [원산지:국산(전라남도 진도군)]</t>
  </si>
  <si>
    <t>[아기과자3단계] 지구대장 유기농 옐로우 스틱 (45g)</t>
  </si>
  <si>
    <t>[아기과자2단계] 지구대장 유기농 베리 롱스틱 (28g)</t>
  </si>
  <si>
    <t>농촌융복합 최우수상 [꼬샤꼬샤] 유기농 보리차 100ml 스파우트형 30개입, 1개 [원산지:국산(전라남도 영광군)]</t>
  </si>
  <si>
    <t>유기농 핑크나나 뻥튀기 (25g/5입)</t>
  </si>
  <si>
    <t>유기농 건표고버섯 슬라이스, 통버섯 100g [원산지:국산(경상북도 성주군)]</t>
  </si>
  <si>
    <t>농업회사법인 (주) 초록원</t>
  </si>
  <si>
    <t>유기농 매실엑기스 (660g)</t>
  </si>
  <si>
    <t>[여주능서농원] 국산 고구마말랭이 무첨가 영양간식 꿀고구마 소담미, 60g, 10개 [원산지:국산(경기도 여주시)]</t>
  </si>
  <si>
    <t>초록원 유기농 딸기잼(580g)</t>
  </si>
  <si>
    <t>참나무 표고버섯으로 만든 표고버섯 분말 80g [원산지:국산(경상북도 성주군)]</t>
  </si>
  <si>
    <t>초록원 무농약 딸기로 만든 딸기잼(580g)</t>
  </si>
  <si>
    <t>유기농 표고칩 건표고버섯(80g) 참나무 표고버섯 [원산지:국산(경상북도 성주군)]</t>
  </si>
  <si>
    <t>유기농 쌀 떡국떡 (500g X 3개)</t>
  </si>
  <si>
    <t>방목 유기농 계란 10구 난각번호1번 무항생제 유정란 난각1번 달걀 [원산지:국산(충청남도 부여군)]</t>
  </si>
  <si>
    <t>농촌융복합 최우수상 [꼬샤꼬샤] 유기농 보리차 100ml 스파우트형 30개입, 2개 [원산지:국산]</t>
  </si>
  <si>
    <t>유기농 쌀 떡볶이떡 (500g X 1개)</t>
  </si>
  <si>
    <t>햇곡 국산 친환경 어린이 혼합곡 잡곡 쌀 800g [원산지:국산(전라남도 진도군)]</t>
  </si>
  <si>
    <t>유기농 현미로 만든 떡국떡 (500g X 3개)</t>
  </si>
  <si>
    <t>아그데뜰 전통발효 보리수 열매 발효차 / 보리수효소 [원산지:상세설명에 표시]</t>
  </si>
  <si>
    <t>유기농 현미로 만든 떡볶이떡 (500g X 1개)</t>
  </si>
  <si>
    <t>전주찬방 유기농 깍두기 5kg, 1개 [원산지:국산(전라북도 진안군)]</t>
  </si>
  <si>
    <t>유기농 영양12곡 미숫가루 (400g X 1개)</t>
  </si>
  <si>
    <t>25년산 저속노화 잡곡 밥 국산 유기농 혼합 쌀 1kg [원산지:국산(전라남도 진도군)]</t>
  </si>
  <si>
    <t>유기농 세척 영양 12곡 (2kg X 1개)</t>
  </si>
  <si>
    <t>25년산 저속노화 잡곡 밥 국산 유기농 혼합 쌀 1kg + 1kg [원산지:국산(전라남도 진도군)]</t>
  </si>
  <si>
    <t>가뿐한 무농약 로메인 샐러드믹스 210g(70g x 3입)</t>
  </si>
  <si>
    <t>26년 국내산 해남 민지맘 무농약 작두콩차 270g(90g x 3팩) 선물용 [원산지:국산(전라남도 해남군)]</t>
  </si>
  <si>
    <t>가뿐한 무농약 루꼴라 샐러드믹스 210g(70g x 3입)</t>
  </si>
  <si>
    <t>참나무 표고버섯 유기농 통 건표고버섯(200g) [원산지:국산(경상북도 성주군)]</t>
  </si>
  <si>
    <t>무농약 스마트팜 소프트믹스 샐러드</t>
  </si>
  <si>
    <t>100% 국산 경기 여주산 햇고춧가루 500g [원산지:국산(경기도 여주시)]</t>
  </si>
  <si>
    <t>무농약 스마트팜 트리플믹스 샐러드</t>
  </si>
  <si>
    <t>[현재농원] 국산 100% 유기농 표고버섯 백화고 50g, 100g [원산지:국산(경상북도 영주시)]</t>
  </si>
  <si>
    <t>[소용량] 무농약 손질 양상추 샐러드 (60g)</t>
  </si>
  <si>
    <t>하누리영이 직접 재배 영이천 유비아 스틱 (유기농 스테비아&amp; 아로니아) 3g, 10개 [원산지:국산(충청남도 홍성군)]</t>
  </si>
  <si>
    <t>무농약 스마트팜 손질 양상추</t>
  </si>
  <si>
    <t>[여주능서농원] 소담미스틱 국산꿀고구마 다이어트 간식 영양 식사대용 20g [원산지:국산(경기도 여주시)]</t>
  </si>
  <si>
    <t>친환경 스마트팜 양상추 (1통, 150g)</t>
  </si>
  <si>
    <t>더 편리한 표고버섯 3종 세트(통버섯 슬라이스 표고칩) [원산지:국산(경상북도 성주군)]</t>
  </si>
  <si>
    <t>무농약 베이비 채소 샐러드 (100g)</t>
  </si>
  <si>
    <t>카페인없는차 흑하랑 유기농 상추 차 국산 숙면 잠오는 꿀잠 음료 티백 [원산지:국산(전라남도 화순군)]</t>
  </si>
  <si>
    <t>[여화원]유기농명인이 직접 키우는 유기농 로즈마리 생잎 50g [원산지:국산(전라남도 고흥군)]</t>
  </si>
  <si>
    <t>국내산 무농약 후레쉬가든 샐러드 (250g X 1개)</t>
  </si>
  <si>
    <t>25년산 국산 유기농 찹쌀 가루 쌀 건식 이유식 500g [원산지:국산(전라남도 진도군)]</t>
  </si>
  <si>
    <t>닥터애그</t>
  </si>
  <si>
    <t>GAP 무농약 느타리버섯 (200g x 1개)</t>
  </si>
  <si>
    <t>참나무 표고버섯 유기농 슬라이스 건표고버섯(200g) [원산지:국산(경상북도 성주군)]</t>
  </si>
  <si>
    <t>GAP 무농약 팽이버섯 (360g)</t>
  </si>
  <si>
    <t>[현재농원] 경북 영주 유기농 고춧가루 90g (국산 100%) [원산지:국산(경상북도 영주시)]</t>
  </si>
  <si>
    <t>GAP 무농약 팽이버섯 (150g x 1개)</t>
  </si>
  <si>
    <t>[여화원]국산 유기농 로즈마리홀 허브 말린 건잎 40g /허브잎 향신료 허브차 허브티 [원산지:국산(전라남도 고흥군)]</t>
  </si>
  <si>
    <t>[밀리브] 유기농현미 1kg</t>
  </si>
  <si>
    <t>[현재농원] 국산 유기농 통들깨 100g / 국산 유기농 볶음 통들깨 80g (간식 추천) [원산지:국산]</t>
  </si>
  <si>
    <t>[밀리브] 유기농현미 3kg</t>
  </si>
  <si>
    <t>[밀리브] 유기농 찰현미 1kg</t>
  </si>
  <si>
    <t>[밀리브] 유기농 찰흑미 1kg</t>
  </si>
  <si>
    <t>[밀리브] 유기농 찰흑미 3kg</t>
  </si>
  <si>
    <t>[밀리브] 유기농 새싹발아 현미 1kg</t>
  </si>
  <si>
    <t>[밀리브] 유기농 새싹발아 찰현미 1kg</t>
  </si>
  <si>
    <t>[밀리브] 유기농 새싹발아 찰흑미 1kg</t>
  </si>
  <si>
    <t>[바우뜨락] 유기농 흰민들레즙 (100ml*20팩)</t>
  </si>
  <si>
    <t>[바우뜨락] 유기농 모과포도즙 (100ml*20봉)</t>
  </si>
  <si>
    <t>[바우뜨락] 유기농 와인초 오디차 (100ml*30팩)</t>
  </si>
  <si>
    <t>바우뜨락 유기농 오디</t>
  </si>
  <si>
    <t>[바우뜨락] 무알콜와인 뜨락에 꿈(프리미엄포도주스) 750ml</t>
  </si>
  <si>
    <t>[바우뜨락] 유기농 청포도</t>
  </si>
  <si>
    <t>유기농 파머스 팝콘 (70g x 1개)</t>
  </si>
  <si>
    <t>파미농원(파미가평강황)</t>
  </si>
  <si>
    <t>유기농 강황 식혜 150ml 10팩 2박스</t>
  </si>
  <si>
    <t>[현재농원] 경북 영주 직접생산 유기농 고춧가루 500g 200g 90g (국산 100%) [굵기 : 보통/고운(고추장용)]</t>
  </si>
  <si>
    <t>[현재농원] 경북 영주 유기농 고춧가루 90g (국산 100%)</t>
  </si>
  <si>
    <t>[현재농원] 경북 영주 무농약 청결 건고춧잎 건고추잎 30g</t>
  </si>
  <si>
    <t>[현재농원] 경북 영주 유기농 고춧가루 200g (국산 100%) [굵기:보통]</t>
  </si>
  <si>
    <t>[현재농원] 유기농 백태 240g 500g</t>
  </si>
  <si>
    <t>[현재농원] 유기농 청고춧가루 90g (국산 100%)</t>
  </si>
  <si>
    <t>[현재농원] 국산 100% 유기농 표고버섯 백화고 50g 100g</t>
  </si>
  <si>
    <t>[현재농원] 국산 유기농 통들깨 100g / 국산 유기농 볶음 통들깨 80g (간식 추천)</t>
  </si>
  <si>
    <t>[현재농원] 유기농 날콩 천연조미료가루 200g (국산 100%)</t>
  </si>
  <si>
    <t>[현재농원] 유기농 볶음콩 천연조미료가루 200g (국산 100%)</t>
  </si>
  <si>
    <t>유기농 반건조 청무화과 말랭이 100g /국산 유기농 명인 건무화과 건과일 말린 건조과일</t>
  </si>
  <si>
    <t>유기농 명인 청무화과 말랭이 200g 낱개포장 /건무화과 말린 반건조 말린 건과과일</t>
  </si>
  <si>
    <t>유기농 수제 청무화과말랭이 300g / 반건조 건조무화과 건과일 건무화과 말린과일 건조과일</t>
  </si>
  <si>
    <t>[여화원]프라이빗 가든 유기농 로즈마리 잎차 40g 티인퓨져 저온건조 선물세트</t>
  </si>
  <si>
    <t>[여화원]국산 유기농 로즈마리홀 허브 말린 건잎 40g /허브잎 향신료 허브차 허브티</t>
  </si>
  <si>
    <t>[여화원]유기농명인이 직접 키우는 유기농 로즈마리 생잎 50g</t>
  </si>
  <si>
    <t>히카마 올담농원 거제산 히카마 뿌리차 고소하고 부드러운 국산 티백차 60티백 40티백 20티백</t>
  </si>
  <si>
    <t>농촌융복합 최우수상 [꼬샤꼬샤] 유기농 보리차 100ml 스파우트형 30개입 1개</t>
  </si>
  <si>
    <t>농촌융복합 최우수상 [꼬샤꼬샤] 유기농 보리차 100ml 스파우트형 30개입 2개</t>
  </si>
  <si>
    <t>농촌융복합 최우수상 [꼬샤꼬샤] 유기농 보리차 100ml 스파우트형 30개입 3개</t>
  </si>
  <si>
    <t>참나무 표고버섯 유기농 슬라이스 건표고버섯 통 건표고버섯(200g)</t>
  </si>
  <si>
    <t>유기농 건표고버섯 슬라이스 통버섯 100g</t>
  </si>
  <si>
    <t>유기농 표고칩 건표고버섯(80g) 참나무 표고버섯</t>
  </si>
  <si>
    <t>참나무 표고버섯으로 만든 표고버섯 분말 80g</t>
  </si>
  <si>
    <t>더 편리한 표고버섯 3종 세트(통버섯 슬라이스 표고칩)</t>
  </si>
  <si>
    <t>유기농 동고 3종 표고버섯 선물세트(250g 통버섯 표고칩 슬라이스)</t>
  </si>
  <si>
    <t>참나무 표고버섯 유기농 슬라이스 건표고버섯(200g)</t>
  </si>
  <si>
    <t>참나무 표고버섯 유기농 통 건표고버섯(200g)</t>
  </si>
  <si>
    <t>명장이 선택한 백화고 흑화고 슬라이스 표고버섯 선물세트 4종</t>
  </si>
  <si>
    <t>하누리 영이천 직접재배 유기농 스테비아( 농축액 감미료) 10ml 10포 1개</t>
  </si>
  <si>
    <t>하누리영이 직접 재배 영이천 유비아 스틱 (유기농 스테비아&amp; 아로니아) 3g 10개</t>
  </si>
  <si>
    <t>하누리영이천 국내산 직접재배 유기농 아로니아 분말 가루 파우더 200g</t>
  </si>
  <si>
    <t>유삼비아(6년근 유기농 흑삼액&amp;스테비아+아로니아) 15ml 30개</t>
  </si>
  <si>
    <t>하누리영이 직접 재배 영이天 유기농 아로니아 청 750ml 1개</t>
  </si>
  <si>
    <t>하누리영이 직접 재배 영이천 유비아 스틱 (유기농 스테비아&amp; 아로니아) 3g 30개</t>
  </si>
  <si>
    <t>영이천 흑 삼 비 아 (6년근 유기농 흑삼액&amp;스테비아+아로니아) 70ml 30개</t>
  </si>
  <si>
    <t>유기농 완숙토마토 찰토마토2.5k 5k</t>
  </si>
  <si>
    <t>국내산2026년세척유기농건 고추600g</t>
  </si>
  <si>
    <t>껍질이 보약 26년 햇 통채루 고구마줄기 껍질째 통째로 먹는 고구마순 1kg 2kg</t>
  </si>
  <si>
    <t>여주 햇고구마 2kg 국산 꿀고구마 호박고구마 밤고구마</t>
  </si>
  <si>
    <t>[여주능서농원] 고구마 5KG 꿀고구마 소담미 산지직송 호박 밤</t>
  </si>
  <si>
    <t>[여주능서농원] 국산 고구마말랭이 무첨가 영양간식 꿀고구마 소담미 60g 10개</t>
  </si>
  <si>
    <t>[여주능서농원] 소담미스틱 국산꿀고구마 다이어트 간식 영양 식사대용 20g</t>
  </si>
  <si>
    <t>[여주능서농원] 국산 고구마말랭이 무첨가 영양간식 꿀고구마 소담미 60g 20개</t>
  </si>
  <si>
    <t>[여주능서농원] 국산 고구마말랭이 무첨가 영양간식 꿀고구마 소담미 60g 40개</t>
  </si>
  <si>
    <t>유기농복숭아/백도/4.0kg/무료배송</t>
  </si>
  <si>
    <t>[100% 국산 유기농] 26년산 고대곡물 호라산밀 파로 쌀 중 택일</t>
  </si>
  <si>
    <t>26년산 귀리 국산 유기농 귀리쌀 1kg</t>
  </si>
  <si>
    <t>26년산 국산 유기농 보리 흑보리 찰보리 쌀 1kg</t>
  </si>
  <si>
    <t>26년도 햇곡 기장쌀 국산 유기농 찰기장 좁쌀 1kg</t>
  </si>
  <si>
    <t>25년산 햇곡 차조 국산 유기농 500g</t>
  </si>
  <si>
    <t>25년 유기농 햇곡 햅 쌀 백미 2kg</t>
  </si>
  <si>
    <t>25년 햇곡 국산 유기농 현미 찰현미 쌀 2kg</t>
  </si>
  <si>
    <t>25년산 국산 유기농 찰 수수 1kg</t>
  </si>
  <si>
    <t>25년산 서리태 국산 유기농 검정 검은 콩 1kg</t>
  </si>
  <si>
    <t>25년산 국산 유기농 오색 현미 쌀 1kg</t>
  </si>
  <si>
    <t>25년산 국산 유기농 홍미 쌀 1kg</t>
  </si>
  <si>
    <t>25년산 국산 유기농 녹미 쌀 1kg</t>
  </si>
  <si>
    <t>25년산 국산 유기농 찰 흑미 검정쌀 1kg</t>
  </si>
  <si>
    <t>25년산 국산 유기농 찹쌀 1kg</t>
  </si>
  <si>
    <t>유기농 국산 오트밀 압착 귀리 350g</t>
  </si>
  <si>
    <t>25년산 저속노화 잡곡 밥 국산 유기농 혼합 쌀 1kg</t>
  </si>
  <si>
    <t>25년산 저속노화 잡곡 밥 국산 유기농 혼합 쌀 1kg + 1kg</t>
  </si>
  <si>
    <t>유기농 국산 100% 밥에 뿌려먹는 강황 가루 분말 100g</t>
  </si>
  <si>
    <t>햇곡 국산 유기농 귀리 혼합 10곡 잡곡 쌀 800g</t>
  </si>
  <si>
    <t>방목 유기농 계란 10구 난각번호1번 무항생제 유정란 난각1번 달걀</t>
  </si>
  <si>
    <t>국산 유기농 3년숙성 매실청 매실액기스 매실액 300ml</t>
  </si>
  <si>
    <t>국산 유기농 3년숙성 감 식초 자연발효 원액 300ml</t>
  </si>
  <si>
    <t>26년산 국산 유기농 찰 보리 쌀 1kg</t>
  </si>
  <si>
    <t>25년산 깬 서리태 국산 유기농 검정 검은 콩 500g</t>
  </si>
  <si>
    <t>햇곡 국산 친환경 어린이 혼합곡 잡곡 쌀 800g</t>
  </si>
  <si>
    <t>25년산 국산 유기농 찰 현미 찹쌀 2kg</t>
  </si>
  <si>
    <t>[100% 국산 유기농] 현미 귀리 잡곡 즉석 밥 180g 6개</t>
  </si>
  <si>
    <t>[100% 국산 유기농] 현미 귀리 잡곡 즉석 밥 180g 24개</t>
  </si>
  <si>
    <t>[100% 국산 유기농] 현미 귀리 잡곡 즉석 밥 180g 48개</t>
  </si>
  <si>
    <t>25년산 유기농 바나듐 쌀 햇곡 백미 2kg</t>
  </si>
  <si>
    <t>25년산 유기농 바나듐 쌀 찰흑진주 흑미 2kg</t>
  </si>
  <si>
    <t>25년산 국산 유기농 찹쌀 가루 쌀 건식 이유식 500g</t>
  </si>
  <si>
    <t>카페인없는차 흑하랑 유기농 상추 차 국산 숙면 잠오는 꿀잠 음료 티백</t>
  </si>
  <si>
    <t>전주찬방 전국김치품평회 4회수상 유기농 포기김치 1kg 1개</t>
  </si>
  <si>
    <t>전주찬방 전국김치품평회 4회수상 유기농 포기김치 3kg 1개</t>
  </si>
  <si>
    <t>전주찬방 전국김치품평회 4회수상 유기농 포기김치 5kg 1개</t>
  </si>
  <si>
    <t>전주찬방 전국김치품평회 4회수상 유기농 포기김치 10kg 1개</t>
  </si>
  <si>
    <t>전주찬방 전국김치품평회 4회수상 유기농 백김치 1kg 1개</t>
  </si>
  <si>
    <t>전주찬방 전국김치품평회 4회수상 유기농 백김치 3kg 1개</t>
  </si>
  <si>
    <t>전주찬방 전국김치품평회 4회수상 유기농 백김치 5kg 1개</t>
  </si>
  <si>
    <t>전주찬방 전국김치품평회 4회수상 유기농 백김치 10kg 1개</t>
  </si>
  <si>
    <t>전주찬방 전국김치품평회 4회수상 유기농 깍두기 1kg 1개</t>
  </si>
  <si>
    <t>전주찬방 전국김치품평회 4회수상 유기농 깍두기 3kg 1개</t>
  </si>
  <si>
    <t>전주찬방 전국김치품평회 4회수상 유기농 깍두기 5kg 1개</t>
  </si>
  <si>
    <t>땅끝사랑농원 1k 해남 무화과 고당도 하우스 무농약 당일수확 1kg 12개</t>
  </si>
  <si>
    <t>땅끝사랑농원 3k 해남 무화과 고당도 하우스 무농약 당일수확 3kg 36개</t>
  </si>
  <si>
    <t>땅끝사랑농원 2k 해남 무화과 고당도 하우스 무농약 당일수확 2kg 24개</t>
  </si>
  <si>
    <t>땅끝사랑농원 4k 해남 무화과 고당도 하우스 무농약 당일수확 4kg 48개</t>
  </si>
  <si>
    <t>유기농 미니파프리카1.5kg (토양재배)</t>
  </si>
  <si>
    <t>유기농 미니파프리카 1kg</t>
  </si>
  <si>
    <t>아그데뜰 고급선물 전통발효 보리수 열매 발효차 /효소 청 엑기스</t>
  </si>
  <si>
    <t>아그데뜰 전통발효 보리수 열매 발효차 / 보리수효소</t>
  </si>
  <si>
    <t>무 농약 생 표고버섯을 햇볕에 잘 말려 자연 건조한 국내산 사천 건 표고버섯 100g</t>
  </si>
  <si>
    <t>사천숲속표고GAP 친환경무농약 생표고버섯1kg</t>
  </si>
  <si>
    <t>버섯놀이터 사천숲속표고 친환경 건표고버섯 선물세트</t>
  </si>
  <si>
    <t>유기농 햇 찰옥수수 흑찰옥수수 미백옥수수 / 구룡농원 냉동 삶은 찐옥수수 강원도품종</t>
  </si>
  <si>
    <t>100% 국산 경기 여주산 햇고춧가루 500g</t>
  </si>
  <si>
    <t>유기농 잡곡 2kg(1kg x 2팩) 혼합곡</t>
  </si>
  <si>
    <t>해남 민지맘 유기농 잡곡 5kg 혼합곡(8곡)</t>
  </si>
  <si>
    <t>2026년 국산 햇 귀리 쌀 (850g x 3팩)</t>
  </si>
  <si>
    <t>해남 유기농 혼합곡 잡곡쌀 3kg(8곡)</t>
  </si>
  <si>
    <t>해남 민지맘 유기농 잡곡 쌀 10kg(1kg 10팩) 혼합곡</t>
  </si>
  <si>
    <t>행복한농부민지맘의 햇 무농약 작두콩차 90g</t>
  </si>
  <si>
    <t>26년 국내산 해남 민지맘 무농약 작두콩차 270g(90g x 3팩) 선물용</t>
  </si>
  <si>
    <t>557-86-02740</t>
  </si>
  <si>
    <t>농업회사법인 농촌연구소(주)</t>
  </si>
  <si>
    <t>농업회사법인 머쉬그로(주)</t>
  </si>
  <si>
    <t>132-05-76796</t>
  </si>
  <si>
    <t>광이원</t>
  </si>
  <si>
    <t>농업회사법인 주식회사 드림라이스</t>
  </si>
  <si>
    <t>맑은샘농업회사법인주식회사</t>
  </si>
  <si>
    <t>152-11-02907</t>
  </si>
  <si>
    <t>파주리치농산</t>
  </si>
  <si>
    <t>383-94-02028</t>
  </si>
  <si>
    <t>헬로우팜</t>
  </si>
  <si>
    <t>418-90-22360</t>
  </si>
  <si>
    <t>무주참벌꿀</t>
  </si>
  <si>
    <t>주식회사 지향</t>
  </si>
  <si>
    <t>616-81-78184</t>
  </si>
  <si>
    <t>(주)올찬 농업회사법인</t>
  </si>
  <si>
    <t>(주)복숭아집밤비네</t>
  </si>
  <si>
    <t>653-96-01295</t>
  </si>
  <si>
    <t>봄과하늘이네밭</t>
  </si>
  <si>
    <t>412-87-02406</t>
  </si>
  <si>
    <t>진솔건강주식회사</t>
  </si>
  <si>
    <t>608-28-92628</t>
  </si>
  <si>
    <t>마늘본가</t>
  </si>
  <si>
    <t>475-10-02064</t>
  </si>
  <si>
    <t>오직건강마늘</t>
  </si>
  <si>
    <t>532-17-01799</t>
  </si>
  <si>
    <t>G.I.F&amp;T</t>
  </si>
  <si>
    <t>386-96-01395</t>
  </si>
  <si>
    <t>방울따옴</t>
  </si>
  <si>
    <t>454-96-00874</t>
  </si>
  <si>
    <t>오나라네맛좋은딸기</t>
  </si>
  <si>
    <t>878-91-00963</t>
  </si>
  <si>
    <t>감귤소나이</t>
  </si>
  <si>
    <t>502-93-44001</t>
  </si>
  <si>
    <t>샤론포도농원</t>
  </si>
  <si>
    <t>478-50-00760</t>
  </si>
  <si>
    <t>푸드스토리</t>
  </si>
  <si>
    <t>726-87-00175</t>
  </si>
  <si>
    <t>농업회사법인 주식회사 미담</t>
  </si>
  <si>
    <t>350-86-02760</t>
  </si>
  <si>
    <t>농업회사법인 주식회사 미프레쉬</t>
  </si>
  <si>
    <t>296-81-01216</t>
  </si>
  <si>
    <t>농업회사법인하늘농원주식회사</t>
  </si>
  <si>
    <t>271-88-03422</t>
  </si>
  <si>
    <t>농업회사법인 주식회사 해리농부</t>
  </si>
  <si>
    <t>농업회사법인 주식회사 더자인</t>
  </si>
  <si>
    <t>농업회사법인 제프런 주식회사</t>
  </si>
  <si>
    <t>391-87-03582</t>
  </si>
  <si>
    <t>농업회사법인 주식회사 그린모먼트</t>
  </si>
  <si>
    <t>432-01-02406</t>
  </si>
  <si>
    <t>건강드림</t>
  </si>
  <si>
    <t>262-27-01939</t>
  </si>
  <si>
    <t>박사기름</t>
  </si>
  <si>
    <t>137-91-64304</t>
  </si>
  <si>
    <t>강화오이총각</t>
  </si>
  <si>
    <t>616-26-53957</t>
  </si>
  <si>
    <t>탐라몰</t>
  </si>
  <si>
    <t>788-81-03144</t>
  </si>
  <si>
    <t>농업회사법인 주식회사 비에이비</t>
  </si>
  <si>
    <t>영산강 푸드</t>
  </si>
  <si>
    <t>(주)케이에프지(KFG Co., Ltd.)</t>
  </si>
  <si>
    <t>지리산황금농원</t>
  </si>
  <si>
    <t>491-96-01789</t>
  </si>
  <si>
    <t>온전히팜</t>
  </si>
  <si>
    <t>775-86-01989</t>
  </si>
  <si>
    <t>농업회사법인 유한회사 늘품연</t>
  </si>
  <si>
    <t>381-44-00882</t>
  </si>
  <si>
    <t>메이</t>
  </si>
  <si>
    <t>555-28-01518</t>
  </si>
  <si>
    <t>현주농장</t>
  </si>
  <si>
    <t>(주)율림에프앤비 농업회사법인</t>
  </si>
  <si>
    <t>886-86-03308</t>
  </si>
  <si>
    <t>농업회사법인 그레프 주식회사</t>
  </si>
  <si>
    <t>농업회사법인 주식회사 노스팜</t>
  </si>
  <si>
    <t>(주)더바른컴퍼니</t>
  </si>
  <si>
    <t>880-17-02847</t>
  </si>
  <si>
    <t>너른그린</t>
  </si>
  <si>
    <t>상주아람곶감 영농조합법인</t>
  </si>
  <si>
    <t>623-90-01875</t>
  </si>
  <si>
    <t>다소니농장</t>
  </si>
  <si>
    <t>357-18-02554</t>
  </si>
  <si>
    <t>집밥스토리</t>
  </si>
  <si>
    <t>182-88-01920</t>
  </si>
  <si>
    <t>안동명가 영농조합법인</t>
  </si>
  <si>
    <t>678-09-01770</t>
  </si>
  <si>
    <t>고향떡집</t>
  </si>
  <si>
    <t>218-96-02728</t>
  </si>
  <si>
    <t>삼산1리개두릅 농산물 농원</t>
  </si>
  <si>
    <t>781-04-02857</t>
  </si>
  <si>
    <t>하람떡방</t>
  </si>
  <si>
    <t>205-67-00156</t>
  </si>
  <si>
    <t>풀빛농장</t>
  </si>
  <si>
    <t>806-87-01465</t>
  </si>
  <si>
    <t>농업회사법인뜬돌농원주식회사</t>
  </si>
  <si>
    <t>159-98-00084</t>
  </si>
  <si>
    <t>지구네밤농원</t>
  </si>
  <si>
    <t>471-91-01719</t>
  </si>
  <si>
    <t>채소집</t>
  </si>
  <si>
    <t>675-81-03509</t>
  </si>
  <si>
    <t>팜올린</t>
  </si>
  <si>
    <t>104-49-01294</t>
  </si>
  <si>
    <t>농장누가</t>
  </si>
  <si>
    <t>674-92-02158</t>
  </si>
  <si>
    <t>더자연사랑</t>
  </si>
  <si>
    <t>343-53-00316</t>
  </si>
  <si>
    <t>그랑농원</t>
  </si>
  <si>
    <t>848-97-01191</t>
  </si>
  <si>
    <t>안동호두농장</t>
  </si>
  <si>
    <t>131-86-58305</t>
  </si>
  <si>
    <t>농업회사법인 주식회사 우리김치</t>
  </si>
  <si>
    <t>303-09-74670</t>
  </si>
  <si>
    <t>시골내음건강</t>
  </si>
  <si>
    <t>농업회사법인 지리산별마루 유한회사</t>
  </si>
  <si>
    <t>292-67-00387</t>
  </si>
  <si>
    <t>꽃신호청신호</t>
  </si>
  <si>
    <t>409-86-39292</t>
  </si>
  <si>
    <t>농업회사법인 주식회사 누리보듬</t>
  </si>
  <si>
    <t>늘푸름</t>
  </si>
  <si>
    <t>768-87-03220</t>
  </si>
  <si>
    <t>농업회사법인 케이에스팜(주)</t>
  </si>
  <si>
    <t>653-87-00241</t>
  </si>
  <si>
    <t>구방한과</t>
  </si>
  <si>
    <t>슬기로운 청년 농부</t>
  </si>
  <si>
    <t>171-94-01673</t>
  </si>
  <si>
    <t>지리산진미농원</t>
  </si>
  <si>
    <t>184-20-01950</t>
  </si>
  <si>
    <t>그린하모니</t>
  </si>
  <si>
    <t>농업회사법인 주식회사 생생초</t>
  </si>
  <si>
    <t>438-81-03064</t>
  </si>
  <si>
    <t>농업회사법인(주) 피어오름</t>
  </si>
  <si>
    <t>주식회사 열두달</t>
  </si>
  <si>
    <t>씨튼장애인직업재활센터</t>
  </si>
  <si>
    <t>행복우리식품영농조합</t>
  </si>
  <si>
    <t>안동시 북후면</t>
  </si>
  <si>
    <t>679-54-00740</t>
  </si>
  <si>
    <t>함께하는 근남면 사람들</t>
  </si>
  <si>
    <t>851-18-01907</t>
  </si>
  <si>
    <t>대구/영천 마을</t>
  </si>
  <si>
    <t>279-86-00070</t>
  </si>
  <si>
    <t>두레마을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</si>
</sst>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1">
    <font>
      <sz val="11.0"/>
      <color theme="1"/>
      <name val="Calibri"/>
      <scheme val="minor"/>
    </font>
    <font>
      <b/>
      <sz val="18.0"/>
      <color rgb="FF1F3864"/>
      <name val="Malgun Gothic"/>
    </font>
    <font>
      <b/>
      <sz val="10.0"/>
      <color theme="1"/>
      <name val="Malgun Gothic"/>
    </font>
    <font>
      <b/>
      <sz val="10.0"/>
      <color rgb="FFFFFFFF"/>
      <name val="Malgun Gothic"/>
    </font>
    <font>
      <sz val="10.0"/>
      <color theme="1"/>
      <name val="Malgun Gothic"/>
    </font>
    <font>
      <b/>
      <sz val="14.0"/>
      <color rgb="FF1F3864"/>
      <name val="Malgun Gothic"/>
    </font>
    <font>
      <i/>
      <sz val="9.0"/>
      <color rgb="FF808080"/>
      <name val="Malgun Gothic"/>
    </font>
    <font>
      <b/>
      <sz val="10.0"/>
      <color rgb="FF1F3864"/>
      <name val="Malgun Gothic"/>
    </font>
    <font>
      <b/>
      <sz val="13.0"/>
      <color rgb="FFFFFFFF"/>
      <name val="Malgun Gothic"/>
    </font>
    <font>
      <b/>
      <sz val="11.0"/>
      <color rgb="FFC55A11"/>
      <name val="Malgun Gothic"/>
    </font>
    <font>
      <sz val="10.0"/>
      <color rgb="FF9C0006"/>
      <name val="Malgun Gothic"/>
    </font>
    <font>
      <sz val="10.0"/>
      <color rgb="FF1F4E79"/>
      <name val="Malgun Gothic"/>
    </font>
    <font>
      <b/>
      <sz val="11.0"/>
      <color rgb="FF1F3864"/>
      <name val="Malgun Gothic"/>
    </font>
    <font>
      <sz val="9.0"/>
      <color theme="1"/>
      <name val="Arial"/>
    </font>
    <font/>
    <font>
      <color theme="1"/>
      <name val="Calibri"/>
      <scheme val="minor"/>
    </font>
    <font>
      <color rgb="FF000000"/>
      <name val="&quot;Malgun Gothic&quot;"/>
    </font>
    <font>
      <sz val="11.0"/>
      <color theme="1"/>
      <name val="Calibri"/>
    </font>
    <font>
      <sz val="11.0"/>
      <color rgb="FF000000"/>
      <name val="&quot;맑은 고딕&quot;"/>
    </font>
    <font>
      <sz val="11.0"/>
      <color rgb="FF000000"/>
      <name val="&quot;\0022맑은 고딕\0022&quot;"/>
    </font>
    <font>
      <b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FFF2F2"/>
        <bgColor rgb="FFFFF2F2"/>
      </patternFill>
    </fill>
    <fill>
      <patternFill patternType="solid">
        <fgColor rgb="FFEAF1F8"/>
        <bgColor rgb="FFEAF1F8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11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/>
      <right/>
      <top/>
      <bottom/>
    </border>
    <border>
      <left style="thick">
        <color rgb="FFC00000"/>
      </left>
    </border>
    <border>
      <left style="thick">
        <color rgb="FF2E75B6"/>
      </left>
    </border>
    <border>
      <left style="thin">
        <color rgb="FFB4C6E7"/>
      </left>
      <right style="thin">
        <color rgb="FFB4C6E7"/>
      </right>
      <top style="thin">
        <color rgb="FFB4C6E7"/>
      </top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left style="thin">
        <color rgb="FFB4C6E7"/>
      </left>
      <right style="thin">
        <color rgb="FFB4C6E7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3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vertical="center"/>
    </xf>
    <xf borderId="1" fillId="5" fontId="4" numFmtId="3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shrinkToFit="0" vertical="top" wrapText="1"/>
    </xf>
    <xf borderId="1" fillId="6" fontId="7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1" fillId="5" fontId="2" numFmtId="3" xfId="0" applyAlignment="1" applyBorder="1" applyFill="1" applyFont="1" applyNumberFormat="1">
      <alignment horizontal="center" shrinkToFit="0" vertical="center" wrapText="1"/>
    </xf>
    <xf borderId="3" fillId="8" fontId="10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9" fontId="11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5" fillId="3" fontId="3" numFmtId="0" xfId="0" applyAlignment="1" applyBorder="1" applyFill="1" applyFont="1">
      <alignment horizontal="center" shrinkToFit="0" vertical="center" wrapText="1"/>
    </xf>
    <xf borderId="1" fillId="10" fontId="13" numFmtId="0" xfId="0" applyAlignment="1" applyBorder="1" applyFill="1" applyFont="1">
      <alignment horizontal="left" readingOrder="0" shrinkToFit="0" vertical="top" wrapText="1"/>
    </xf>
    <xf borderId="6" fillId="3" fontId="3" numFmtId="0" xfId="0" applyAlignment="1" applyBorder="1" applyFill="1" applyFont="1">
      <alignment horizontal="center" shrinkToFit="0" vertical="center" wrapText="1"/>
    </xf>
    <xf borderId="7" fillId="0" fontId="14" numFmtId="0" xfId="0" applyBorder="1" applyFont="1"/>
    <xf borderId="8" fillId="0" fontId="14" numFmtId="0" xfId="0" applyBorder="1" applyFont="1"/>
    <xf borderId="9" fillId="0" fontId="14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5" fontId="4" numFmtId="164" xfId="0" applyAlignment="1" applyBorder="1" applyFill="1" applyFont="1" applyNumberFormat="1">
      <alignment horizontal="center" shrinkToFit="0" vertical="center" wrapText="1"/>
    </xf>
    <xf borderId="1" fillId="5" fontId="2" numFmtId="16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1" fillId="6" fontId="4" numFmtId="0" xfId="0" applyAlignment="1" applyBorder="1" applyFill="1" applyFont="1">
      <alignment horizontal="left" vertical="center"/>
    </xf>
    <xf borderId="1" fillId="0" fontId="4" numFmtId="0" xfId="0" applyAlignment="1" applyBorder="1" applyFont="1">
      <alignment horizontal="left" shrinkToFit="0" vertical="top" wrapText="1"/>
    </xf>
    <xf borderId="1" fillId="4" fontId="4" numFmtId="3" xfId="0" applyAlignment="1" applyBorder="1" applyFill="1" applyFont="1" applyNumberFormat="1">
      <alignment horizontal="center" readingOrder="0" shrinkToFit="0" vertical="center" wrapText="1"/>
    </xf>
    <xf borderId="1" fillId="4" fontId="4" numFmtId="3" xfId="0" applyAlignment="1" applyBorder="1" applyFill="1" applyFont="1" applyNumberFormat="1">
      <alignment horizontal="center" shrinkToFit="0" vertical="center" wrapText="1"/>
    </xf>
    <xf borderId="0" fillId="0" fontId="15" numFmtId="0" xfId="0" applyAlignment="1" applyFont="1">
      <alignment readingOrder="0"/>
    </xf>
    <xf borderId="0" fillId="11" fontId="15" numFmtId="0" xfId="0" applyFill="1" applyFont="1"/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12" fontId="4" numFmtId="0" xfId="0" applyAlignment="1" applyFill="1" applyFont="1">
      <alignment readingOrder="0"/>
    </xf>
    <xf borderId="0" fillId="12" fontId="4" numFmtId="3" xfId="0" applyAlignment="1" applyFill="1" applyFont="1" applyNumberFormat="1">
      <alignment readingOrder="0"/>
    </xf>
    <xf borderId="0" fillId="12" fontId="15" numFmtId="0" xfId="0" applyFill="1" applyFont="1"/>
    <xf borderId="5" fillId="6" fontId="2" numFmtId="0" xfId="0" applyAlignment="1" applyBorder="1" applyFill="1" applyFont="1">
      <alignment horizontal="center" shrinkToFit="0" vertical="center" wrapText="1"/>
    </xf>
    <xf borderId="0" fillId="13" fontId="16" numFmtId="0" xfId="0" applyAlignment="1" applyFill="1" applyFont="1">
      <alignment readingOrder="0" shrinkToFit="0" vertical="bottom" wrapText="0"/>
    </xf>
    <xf borderId="0" fillId="0" fontId="15" numFmtId="0" xfId="0" applyFont="1"/>
    <xf borderId="0" fillId="11" fontId="4" numFmtId="0" xfId="0" applyFill="1" applyFont="1"/>
    <xf borderId="0" fillId="12" fontId="15" numFmtId="0" xfId="0" applyFill="1" applyFont="1"/>
    <xf borderId="10" fillId="0" fontId="14" numFmtId="0" xfId="0" applyBorder="1" applyFont="1"/>
    <xf borderId="0" fillId="0" fontId="4" numFmtId="0" xfId="0" applyFont="1"/>
    <xf borderId="0" fillId="0" fontId="17" numFmtId="3" xfId="0" applyAlignment="1" applyFont="1" applyNumberFormat="1">
      <alignment readingOrder="0"/>
    </xf>
    <xf borderId="0" fillId="0" fontId="15" numFmtId="0" xfId="0" applyAlignment="1" applyFont="1">
      <alignment horizontal="center" readingOrder="0"/>
    </xf>
    <xf borderId="0" fillId="11" fontId="15" numFmtId="0" xfId="0" applyAlignment="1" applyFill="1" applyFont="1">
      <alignment horizontal="center" readingOrder="0"/>
    </xf>
    <xf borderId="0" fillId="11" fontId="18" numFmtId="0" xfId="0" applyAlignment="1" applyFill="1" applyFont="1">
      <alignment horizontal="center" readingOrder="0" shrinkToFit="0" vertical="bottom" wrapText="0"/>
    </xf>
    <xf borderId="0" fillId="13" fontId="19" numFmtId="0" xfId="0" applyAlignment="1" applyFill="1" applyFont="1">
      <alignment horizontal="center" readingOrder="0" shrinkToFit="0" vertical="bottom" wrapText="0"/>
    </xf>
    <xf borderId="0" fillId="0" fontId="17" numFmtId="3" xfId="0" applyFont="1" applyNumberFormat="1"/>
    <xf borderId="0" fillId="0" fontId="15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5"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8.0"/>
    <col customWidth="1" min="3" max="26" width="8.71"/>
  </cols>
  <sheetData>
    <row r="2" ht="30.0" customHeight="1">
      <c r="B2" s="1" t="s">
        <v>0</v>
      </c>
    </row>
    <row r="3">
      <c r="B3" s="9" t="s">
        <v>3</v>
      </c>
    </row>
    <row r="5" ht="27.75" customHeight="1">
      <c r="B5" s="11" t="s">
        <v>33</v>
      </c>
    </row>
    <row r="6" ht="21.75" customHeight="1">
      <c r="B6" s="12" t="s">
        <v>34</v>
      </c>
    </row>
    <row r="7" ht="19.5" customHeight="1">
      <c r="B7" s="13" t="s">
        <v>35</v>
      </c>
    </row>
    <row r="8" ht="19.5" customHeight="1">
      <c r="B8" s="13" t="s">
        <v>36</v>
      </c>
    </row>
    <row r="9" ht="25.5" customHeight="1">
      <c r="B9" s="15" t="s">
        <v>37</v>
      </c>
    </row>
    <row r="10" ht="21.75" customHeight="1">
      <c r="B10" s="12" t="s">
        <v>38</v>
      </c>
    </row>
    <row r="11" ht="19.5" customHeight="1">
      <c r="B11" s="13" t="s">
        <v>39</v>
      </c>
    </row>
    <row r="12" ht="21.75" customHeight="1">
      <c r="B12" s="12" t="s">
        <v>40</v>
      </c>
    </row>
    <row r="13" ht="19.5" customHeight="1">
      <c r="B13" s="13" t="s">
        <v>41</v>
      </c>
    </row>
    <row r="15" ht="27.75" customHeight="1">
      <c r="B15" s="11" t="s">
        <v>42</v>
      </c>
    </row>
    <row r="16" ht="21.75" customHeight="1">
      <c r="B16" s="12" t="s">
        <v>43</v>
      </c>
    </row>
    <row r="17" ht="19.5" customHeight="1">
      <c r="B17" s="13" t="s">
        <v>44</v>
      </c>
    </row>
    <row r="18" ht="19.5" customHeight="1">
      <c r="B18" s="13" t="s">
        <v>45</v>
      </c>
    </row>
    <row r="19" ht="19.5" customHeight="1">
      <c r="B19" s="13" t="s">
        <v>46</v>
      </c>
    </row>
    <row r="20" ht="33.75" customHeight="1">
      <c r="B20" s="18" t="s">
        <v>47</v>
      </c>
    </row>
    <row r="21" ht="21.75" customHeight="1">
      <c r="B21" s="12" t="s">
        <v>48</v>
      </c>
    </row>
    <row r="22" ht="19.5" customHeight="1">
      <c r="B22" s="13" t="s">
        <v>49</v>
      </c>
    </row>
    <row r="23" ht="19.5" customHeight="1">
      <c r="B23" s="13" t="s">
        <v>50</v>
      </c>
    </row>
    <row r="24" ht="61.5" customHeight="1">
      <c r="B24" s="15" t="s">
        <v>51</v>
      </c>
    </row>
    <row r="25" ht="21.75" customHeight="1">
      <c r="B25" s="12" t="s">
        <v>52</v>
      </c>
    </row>
    <row r="26" ht="19.5" customHeight="1">
      <c r="B26" s="13" t="s">
        <v>53</v>
      </c>
    </row>
    <row r="27" ht="19.5" customHeight="1">
      <c r="B27" s="13" t="s">
        <v>54</v>
      </c>
    </row>
    <row r="28" ht="25.5" customHeight="1">
      <c r="B28" s="15" t="s">
        <v>55</v>
      </c>
    </row>
    <row r="29" ht="33.75" customHeight="1">
      <c r="B29" s="18" t="s">
        <v>56</v>
      </c>
    </row>
    <row r="30" ht="15.75" customHeight="1"/>
    <row r="31" ht="27.75" customHeight="1">
      <c r="B31" s="11" t="s">
        <v>57</v>
      </c>
    </row>
    <row r="32" ht="19.5" customHeight="1">
      <c r="B32" s="13" t="s">
        <v>58</v>
      </c>
    </row>
    <row r="33" ht="19.5" customHeight="1">
      <c r="B33" s="13" t="s">
        <v>60</v>
      </c>
    </row>
    <row r="34" ht="33.75" customHeight="1">
      <c r="B34" s="18" t="s">
        <v>61</v>
      </c>
    </row>
    <row r="35" ht="15.75" customHeight="1"/>
    <row r="36" ht="27.75" customHeight="1">
      <c r="B36" s="11" t="s">
        <v>62</v>
      </c>
    </row>
    <row r="37" ht="21.75" customHeight="1">
      <c r="B37" s="12" t="s">
        <v>63</v>
      </c>
    </row>
    <row r="38" ht="19.5" customHeight="1">
      <c r="B38" s="13" t="s">
        <v>64</v>
      </c>
    </row>
    <row r="39" ht="19.5" customHeight="1">
      <c r="B39" s="13" t="s">
        <v>66</v>
      </c>
    </row>
    <row r="40" ht="19.5" customHeight="1">
      <c r="B40" s="13" t="s">
        <v>67</v>
      </c>
    </row>
    <row r="41" ht="19.5" customHeight="1">
      <c r="B41" s="13" t="s">
        <v>68</v>
      </c>
    </row>
    <row r="42" ht="19.5" customHeight="1">
      <c r="B42" s="13" t="s">
        <v>69</v>
      </c>
    </row>
    <row r="43" ht="21.75" customHeight="1">
      <c r="B43" s="12" t="s">
        <v>70</v>
      </c>
    </row>
    <row r="44" ht="19.5" customHeight="1">
      <c r="B44" s="13" t="s">
        <v>71</v>
      </c>
    </row>
    <row r="45" ht="19.5" customHeight="1">
      <c r="B45" s="13" t="s">
        <v>72</v>
      </c>
    </row>
    <row r="46" ht="19.5" customHeight="1">
      <c r="B46" s="13" t="s">
        <v>73</v>
      </c>
    </row>
    <row r="47" ht="21.75" customHeight="1">
      <c r="B47" s="12" t="s">
        <v>74</v>
      </c>
    </row>
    <row r="48" ht="19.5" customHeight="1">
      <c r="B48" s="13" t="s">
        <v>75</v>
      </c>
    </row>
    <row r="49" ht="489.75" customHeight="1">
      <c r="B49" s="23" t="s">
        <v>77</v>
      </c>
    </row>
    <row r="50" ht="33.75" customHeight="1">
      <c r="B50" s="18" t="s">
        <v>79</v>
      </c>
    </row>
    <row r="51" ht="15.75" customHeight="1"/>
    <row r="52" ht="27.75" customHeight="1">
      <c r="B52" s="11" t="s">
        <v>80</v>
      </c>
    </row>
    <row r="53" ht="19.5" customHeight="1">
      <c r="B53" s="13" t="s">
        <v>81</v>
      </c>
    </row>
    <row r="54" ht="19.5" customHeight="1">
      <c r="B54" s="13" t="s">
        <v>82</v>
      </c>
    </row>
    <row r="55" ht="19.5" customHeight="1">
      <c r="B55" s="13" t="s">
        <v>83</v>
      </c>
    </row>
    <row r="56" ht="19.5" customHeight="1">
      <c r="B56" s="13" t="s">
        <v>84</v>
      </c>
    </row>
    <row r="57" ht="15.75" customHeight="1"/>
    <row r="58" ht="27.75" customHeight="1">
      <c r="B58" s="11" t="s">
        <v>85</v>
      </c>
    </row>
    <row r="59" ht="19.5" customHeight="1">
      <c r="B59" s="13" t="s">
        <v>86</v>
      </c>
    </row>
    <row r="60" ht="19.5" customHeight="1">
      <c r="B60" s="13" t="s">
        <v>87</v>
      </c>
    </row>
    <row r="61" ht="19.5" customHeight="1">
      <c r="B61" s="13" t="s">
        <v>88</v>
      </c>
    </row>
    <row r="62" ht="19.5" customHeight="1">
      <c r="B62" s="13" t="s">
        <v>89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0"/>
    <col customWidth="1" min="2" max="2" width="14.0"/>
    <col customWidth="1" min="3" max="3" width="13.71"/>
    <col customWidth="1" min="4" max="13" width="14.0"/>
    <col customWidth="1" min="14" max="26" width="8.71"/>
  </cols>
  <sheetData>
    <row r="1">
      <c r="B1" s="8" t="s">
        <v>1</v>
      </c>
    </row>
    <row r="2">
      <c r="B2" s="10" t="s">
        <v>32</v>
      </c>
      <c r="C2" s="16" t="str">
        <f>'설정'!$C$3</f>
        <v>8월</v>
      </c>
      <c r="D2" s="19" t="str">
        <f>IF('설정'!$C$3='설정'!$C$4,"","유기농: "&amp;'설정'!$C$4)</f>
        <v/>
      </c>
      <c r="E2" s="20" t="s">
        <v>59</v>
      </c>
    </row>
    <row r="4">
      <c r="B4" s="21" t="s">
        <v>65</v>
      </c>
    </row>
    <row r="5">
      <c r="B5" s="22" t="s">
        <v>5</v>
      </c>
      <c r="C5" s="22" t="s">
        <v>76</v>
      </c>
      <c r="D5" s="24" t="s">
        <v>78</v>
      </c>
      <c r="E5" s="25"/>
      <c r="F5" s="25"/>
      <c r="G5" s="25"/>
      <c r="H5" s="25"/>
      <c r="I5" s="25"/>
      <c r="J5" s="26"/>
      <c r="K5" s="24" t="s">
        <v>90</v>
      </c>
      <c r="L5" s="25"/>
      <c r="M5" s="26"/>
    </row>
    <row r="6">
      <c r="B6" s="27"/>
      <c r="C6" s="27"/>
      <c r="D6" s="10" t="s">
        <v>91</v>
      </c>
      <c r="E6" s="10" t="s">
        <v>92</v>
      </c>
      <c r="F6" s="10" t="s">
        <v>93</v>
      </c>
      <c r="G6" s="10" t="s">
        <v>28</v>
      </c>
      <c r="H6" s="10" t="s">
        <v>94</v>
      </c>
      <c r="I6" s="10" t="s">
        <v>95</v>
      </c>
      <c r="J6" s="10" t="s">
        <v>31</v>
      </c>
      <c r="K6" s="10" t="s">
        <v>91</v>
      </c>
      <c r="L6" s="10" t="s">
        <v>92</v>
      </c>
      <c r="M6" s="10" t="s">
        <v>31</v>
      </c>
    </row>
    <row r="7">
      <c r="B7" s="28" t="s">
        <v>96</v>
      </c>
      <c r="C7" s="3">
        <f t="shared" ref="C7:C9" si="1">IF(COUNT(D7,K7)=0,"",SUM(D7,K7))</f>
        <v>340</v>
      </c>
      <c r="D7" s="3">
        <f t="shared" ref="D7:D9" si="2">IF(COUNT(E7:J7)=0,"",SUM(E7:J7))</f>
        <v>285</v>
      </c>
      <c r="E7" s="7">
        <f>COUNTIFS('농산물업체'!$E$3:$E$702,E$6)</f>
        <v>136</v>
      </c>
      <c r="F7" s="7">
        <f>COUNTIFS('농산물업체'!$E$3:$E$702,F$6)</f>
        <v>53</v>
      </c>
      <c r="G7" s="7">
        <f>COUNTIFS('농산물업체'!$E$3:$E$702,G$6)</f>
        <v>47</v>
      </c>
      <c r="H7" s="7">
        <f>COUNTIFS('농산물업체'!$E$3:$E$702,H$6)</f>
        <v>24</v>
      </c>
      <c r="I7" s="7">
        <f>COUNTIFS('농산물업체'!$E$3:$E$702,I$6)</f>
        <v>9</v>
      </c>
      <c r="J7" s="7">
        <f>COUNTIFS('농산물업체'!$E$3:$E$702,J$6)</f>
        <v>16</v>
      </c>
      <c r="K7" s="3">
        <f t="shared" ref="K7:K9" si="3">IF(COUNT(L7:M7)=0,"",SUM(L7:M7))</f>
        <v>55</v>
      </c>
      <c r="L7" s="7">
        <f>COUNTIFS('유기농업체'!$E$3:$E$252,L$6)</f>
        <v>26</v>
      </c>
      <c r="M7" s="7">
        <f>COUNTIFS('유기농업체'!$E$3:$E$252,M$6)</f>
        <v>29</v>
      </c>
    </row>
    <row r="8">
      <c r="B8" s="28" t="s">
        <v>97</v>
      </c>
      <c r="C8" s="3">
        <f t="shared" si="1"/>
        <v>242</v>
      </c>
      <c r="D8" s="3">
        <f t="shared" si="2"/>
        <v>207</v>
      </c>
      <c r="E8" s="7">
        <f>COUNTIFS('농산물업체'!$E$3:$E$702,E$6,'농산물업체'!$S$3:$S$702,"O")</f>
        <v>93</v>
      </c>
      <c r="F8" s="7">
        <f>COUNTIFS('농산물업체'!$E$3:$E$702,F$6,'농산물업체'!$S$3:$S$702,"O")</f>
        <v>41</v>
      </c>
      <c r="G8" s="7">
        <f>COUNTIFS('농산물업체'!$E$3:$E$702,G$6,'농산물업체'!$S$3:$S$702,"O")</f>
        <v>34</v>
      </c>
      <c r="H8" s="7">
        <f>COUNTIFS('농산물업체'!$E$3:$E$702,H$6,'농산물업체'!$S$3:$S$702,"O")</f>
        <v>19</v>
      </c>
      <c r="I8" s="7">
        <f>COUNTIFS('농산물업체'!$E$3:$E$702,I$6,'농산물업체'!$S$3:$S$702,"O")</f>
        <v>7</v>
      </c>
      <c r="J8" s="7">
        <f>COUNTIFS('농산물업체'!$E$3:$E$702,J$6,'농산물업체'!$S$3:$S$702,"O")</f>
        <v>13</v>
      </c>
      <c r="K8" s="3">
        <f t="shared" si="3"/>
        <v>35</v>
      </c>
      <c r="L8" s="7">
        <f>COUNTIFS('유기농업체'!$E$3:$E$252,L$6,'유기농업체'!$S$3:$S$252,"O")</f>
        <v>18</v>
      </c>
      <c r="M8" s="7">
        <f>COUNTIFS('유기농업체'!$E$3:$E$252,M$6,'유기농업체'!$S$3:$S$252,"O")</f>
        <v>17</v>
      </c>
    </row>
    <row r="9">
      <c r="B9" s="28" t="s">
        <v>102</v>
      </c>
      <c r="C9" s="3">
        <f t="shared" si="1"/>
        <v>1651</v>
      </c>
      <c r="D9" s="3">
        <f t="shared" si="2"/>
        <v>1449</v>
      </c>
      <c r="E9" s="7">
        <f>IF('설정'!$B$3=0,"",CHOOSE('설정'!$B$3,COUNTIFS('RAW_농산물_7월'!$A:$A,E$6),COUNTIFS('RAW_농산물_8월'!$A:$A,E$6),COUNTIFS('RAW_농산물_9월'!$A:$A,E$6),COUNTIFS('RAW_농산물_10월'!$A:$A,E$6),COUNTIFS('RAW_농산물_11-12월'!$A:$A,E$6)))</f>
        <v>614</v>
      </c>
      <c r="F9" s="7">
        <f>IF('설정'!$B$3=0,"",CHOOSE('설정'!$B$3,COUNTIFS('RAW_농산물_7월'!$A:$A,F$6),COUNTIFS('RAW_농산물_8월'!$A:$A,F$6),COUNTIFS('RAW_농산물_9월'!$A:$A,F$6),COUNTIFS('RAW_농산물_10월'!$A:$A,F$6),COUNTIFS('RAW_농산물_11-12월'!$A:$A,F$6)))</f>
        <v>298</v>
      </c>
      <c r="G9" s="7">
        <f>IF('설정'!$B$3=0,"",CHOOSE('설정'!$B$3,COUNTIFS('RAW_농산물_7월'!$A:$A,G$6),COUNTIFS('RAW_농산물_8월'!$A:$A,G$6),COUNTIFS('RAW_농산물_9월'!$A:$A,G$6),COUNTIFS('RAW_농산물_10월'!$A:$A,G$6),COUNTIFS('RAW_농산물_11-12월'!$A:$A,G$6)))</f>
        <v>349</v>
      </c>
      <c r="H9" s="7">
        <f>IF('설정'!$B$3=0,"",CHOOSE('설정'!$B$3,COUNTIFS('RAW_농산물_7월'!$A:$A,H$6),COUNTIFS('RAW_농산물_8월'!$A:$A,H$6),COUNTIFS('RAW_농산물_9월'!$A:$A,H$6),COUNTIFS('RAW_농산물_10월'!$A:$A,H$6),COUNTIFS('RAW_농산물_11-12월'!$A:$A,H$6)))</f>
        <v>71</v>
      </c>
      <c r="I9" s="7">
        <f>IF('설정'!$B$3=0,"",CHOOSE('설정'!$B$3,COUNTIFS('RAW_농산물_7월'!$A:$A,I$6),COUNTIFS('RAW_농산물_8월'!$A:$A,I$6),COUNTIFS('RAW_농산물_9월'!$A:$A,I$6),COUNTIFS('RAW_농산물_10월'!$A:$A,I$6),COUNTIFS('RAW_농산물_11-12월'!$A:$A,I$6)))</f>
        <v>30</v>
      </c>
      <c r="J9" s="7">
        <f>IF('설정'!$B$3=0,"",CHOOSE('설정'!$B$3,COUNTIFS('RAW_농산물_7월'!$A:$A,J$6),COUNTIFS('RAW_농산물_8월'!$A:$A,J$6),COUNTIFS('RAW_농산물_9월'!$A:$A,J$6),COUNTIFS('RAW_농산물_10월'!$A:$A,J$6),COUNTIFS('RAW_농산물_11-12월'!$A:$A,J$6)))</f>
        <v>87</v>
      </c>
      <c r="K9" s="3">
        <f t="shared" si="3"/>
        <v>202</v>
      </c>
      <c r="L9" s="7">
        <f>IF('설정'!$B$4=0,"",CHOOSE('설정'!$B$4,COUNTIFS('RAW_유기농_7월'!$A:$A,L$6),COUNTIFS('RAW_유기농_8월'!$A:$A,L$6),COUNTIFS('RAW_유기농_9월'!$A:$A,L$6),COUNTIFS('RAW_유기농_10월'!$A:$A,L$6),COUNTIFS('RAW_유기농_11-12월'!$A:$A,L$6)))</f>
        <v>111</v>
      </c>
      <c r="M9" s="7">
        <f>IF('설정'!$B$4=0,"",CHOOSE('설정'!$B$4,COUNTIFS('RAW_유기농_7월'!$A:$A,M$6),COUNTIFS('RAW_유기농_8월'!$A:$A,M$6),COUNTIFS('RAW_유기농_9월'!$A:$A,M$6),COUNTIFS('RAW_유기농_10월'!$A:$A,M$6),COUNTIFS('RAW_유기농_11-12월'!$A:$A,M$6)))</f>
        <v>91</v>
      </c>
    </row>
    <row r="10">
      <c r="B10" s="20" t="s">
        <v>103</v>
      </c>
    </row>
    <row r="12">
      <c r="B12" s="21" t="s">
        <v>104</v>
      </c>
    </row>
    <row r="13">
      <c r="B13" s="22" t="s">
        <v>5</v>
      </c>
      <c r="C13" s="22" t="s">
        <v>76</v>
      </c>
      <c r="D13" s="24" t="s">
        <v>78</v>
      </c>
      <c r="E13" s="25"/>
      <c r="F13" s="25"/>
      <c r="G13" s="25"/>
      <c r="H13" s="25"/>
      <c r="I13" s="25"/>
      <c r="J13" s="26"/>
      <c r="K13" s="24" t="s">
        <v>90</v>
      </c>
      <c r="L13" s="25"/>
      <c r="M13" s="26"/>
    </row>
    <row r="14">
      <c r="B14" s="27"/>
      <c r="C14" s="27"/>
      <c r="D14" s="10" t="s">
        <v>91</v>
      </c>
      <c r="E14" s="10" t="s">
        <v>92</v>
      </c>
      <c r="F14" s="10" t="s">
        <v>93</v>
      </c>
      <c r="G14" s="10" t="s">
        <v>28</v>
      </c>
      <c r="H14" s="10" t="s">
        <v>94</v>
      </c>
      <c r="I14" s="10" t="s">
        <v>95</v>
      </c>
      <c r="J14" s="10" t="s">
        <v>31</v>
      </c>
      <c r="K14" s="10" t="s">
        <v>91</v>
      </c>
      <c r="L14" s="10" t="s">
        <v>92</v>
      </c>
      <c r="M14" s="10" t="s">
        <v>31</v>
      </c>
    </row>
    <row r="15">
      <c r="B15" s="28" t="s">
        <v>105</v>
      </c>
      <c r="C15" s="3">
        <f>IF(COUNT(D15,K15)=0,"",SUM(D15,K15))</f>
        <v>310710888</v>
      </c>
      <c r="D15" s="3">
        <f>IF(COUNT(E15:J15)=0,"",SUM(E15:J15))</f>
        <v>266369319</v>
      </c>
      <c r="E15" s="7">
        <f>IF('설정'!$B$3=0,"",CHOOSE('설정'!$B$3,SUMIFS('RAW_농산물_7월'!$H:$H,'RAW_농산물_7월'!$A:$A,E$14),SUMIFS('RAW_농산물_8월'!$H:$H,'RAW_농산물_8월'!$A:$A,E$14),SUMIFS('RAW_농산물_9월'!$H:$H,'RAW_농산물_9월'!$A:$A,E$14),SUMIFS('RAW_농산물_10월'!$H:$H,'RAW_농산물_10월'!$A:$A,E$14),SUMIFS('RAW_농산물_11-12월'!$H:$H,'RAW_농산물_11-12월'!$A:$A,E$14)))</f>
        <v>90643090</v>
      </c>
      <c r="F15" s="7">
        <f>IF('설정'!$B$3=0,"",CHOOSE('설정'!$B$3,SUMIFS('RAW_농산물_7월'!$H:$H,'RAW_농산물_7월'!$A:$A,F$14),SUMIFS('RAW_농산물_8월'!$H:$H,'RAW_농산물_8월'!$A:$A,F$14),SUMIFS('RAW_농산물_9월'!$H:$H,'RAW_농산물_9월'!$A:$A,F$14),SUMIFS('RAW_농산물_10월'!$H:$H,'RAW_농산물_10월'!$A:$A,F$14),SUMIFS('RAW_농산물_11-12월'!$H:$H,'RAW_농산물_11-12월'!$A:$A,F$14)))</f>
        <v>76647920</v>
      </c>
      <c r="G15" s="7">
        <f>IF('설정'!$B$3=0,"",CHOOSE('설정'!$B$3,SUMIFS('RAW_농산물_7월'!$H:$H,'RAW_농산물_7월'!$A:$A,G$14),SUMIFS('RAW_농산물_8월'!$H:$H,'RAW_농산물_8월'!$A:$A,G$14),SUMIFS('RAW_농산물_9월'!$H:$H,'RAW_농산물_9월'!$A:$A,G$14),SUMIFS('RAW_농산물_10월'!$H:$H,'RAW_농산물_10월'!$A:$A,G$14),SUMIFS('RAW_농산물_11-12월'!$H:$H,'RAW_농산물_11-12월'!$A:$A,G$14)))</f>
        <v>52129220</v>
      </c>
      <c r="H15" s="7">
        <f>IF('설정'!$B$3=0,"",CHOOSE('설정'!$B$3,SUMIFS('RAW_농산물_7월'!$H:$H,'RAW_농산물_7월'!$A:$A,H$14),SUMIFS('RAW_농산물_8월'!$H:$H,'RAW_농산물_8월'!$A:$A,H$14),SUMIFS('RAW_농산물_9월'!$H:$H,'RAW_농산물_9월'!$A:$A,H$14),SUMIFS('RAW_농산물_10월'!$H:$H,'RAW_농산물_10월'!$A:$A,H$14),SUMIFS('RAW_농산물_11-12월'!$H:$H,'RAW_농산물_11-12월'!$A:$A,H$14)))</f>
        <v>15501100</v>
      </c>
      <c r="I15" s="7">
        <f>IF('설정'!$B$3=0,"",CHOOSE('설정'!$B$3,SUMIFS('RAW_농산물_7월'!$H:$H,'RAW_농산물_7월'!$A:$A,I$14),SUMIFS('RAW_농산물_8월'!$H:$H,'RAW_농산물_8월'!$A:$A,I$14),SUMIFS('RAW_농산물_9월'!$H:$H,'RAW_농산물_9월'!$A:$A,I$14),SUMIFS('RAW_농산물_10월'!$H:$H,'RAW_농산물_10월'!$A:$A,I$14),SUMIFS('RAW_농산물_11-12월'!$H:$H,'RAW_농산물_11-12월'!$A:$A,I$14)))</f>
        <v>15599960</v>
      </c>
      <c r="J15" s="7">
        <f>IF('설정'!$B$3=0,"",CHOOSE('설정'!$B$3,SUMIFS('RAW_농산물_7월'!$H:$H,'RAW_농산물_7월'!$A:$A,J$14),SUMIFS('RAW_농산물_8월'!$H:$H,'RAW_농산물_8월'!$A:$A,J$14),SUMIFS('RAW_농산물_9월'!$H:$H,'RAW_농산물_9월'!$A:$A,J$14),SUMIFS('RAW_농산물_10월'!$H:$H,'RAW_농산물_10월'!$A:$A,J$14),SUMIFS('RAW_농산물_11-12월'!$H:$H,'RAW_농산물_11-12월'!$A:$A,J$14)))</f>
        <v>15848029</v>
      </c>
      <c r="K15" s="3">
        <f>IF(COUNT(L15:M15)=0,"",SUM(L15:M15))</f>
        <v>44341569</v>
      </c>
      <c r="L15" s="7">
        <f>IF('설정'!$B$4=0,"",CHOOSE('설정'!$B$4,SUMIFS('RAW_유기농_7월'!$H:$H,'RAW_유기농_7월'!$A:$A,L$14),SUMIFS('RAW_유기농_8월'!$H:$H,'RAW_유기농_8월'!$A:$A,L$14),SUMIFS('RAW_유기농_9월'!$H:$H,'RAW_유기농_9월'!$A:$A,L$14),SUMIFS('RAW_유기농_10월'!$H:$H,'RAW_유기농_10월'!$A:$A,L$14),SUMIFS('RAW_유기농_11-12월'!$H:$H,'RAW_유기농_11-12월'!$A:$A,L$14)))</f>
        <v>24308290</v>
      </c>
      <c r="M15" s="7">
        <f>IF('설정'!$B$4=0,"",CHOOSE('설정'!$B$4,SUMIFS('RAW_유기농_7월'!$H:$H,'RAW_유기농_7월'!$A:$A,M$14),SUMIFS('RAW_유기농_8월'!$H:$H,'RAW_유기농_8월'!$A:$A,M$14),SUMIFS('RAW_유기농_9월'!$H:$H,'RAW_유기농_9월'!$A:$A,M$14),SUMIFS('RAW_유기농_10월'!$H:$H,'RAW_유기농_10월'!$A:$A,M$14),SUMIFS('RAW_유기농_11-12월'!$H:$H,'RAW_유기농_11-12월'!$A:$A,M$14)))</f>
        <v>20033279</v>
      </c>
    </row>
    <row r="17">
      <c r="B17" s="21" t="s">
        <v>126</v>
      </c>
    </row>
    <row r="18">
      <c r="B18" s="22" t="s">
        <v>5</v>
      </c>
      <c r="C18" s="22" t="s">
        <v>76</v>
      </c>
      <c r="D18" s="24" t="s">
        <v>78</v>
      </c>
      <c r="E18" s="25"/>
      <c r="F18" s="25"/>
      <c r="G18" s="25"/>
      <c r="H18" s="25"/>
      <c r="I18" s="25"/>
      <c r="J18" s="26"/>
      <c r="K18" s="24" t="s">
        <v>90</v>
      </c>
      <c r="L18" s="25"/>
      <c r="M18" s="26"/>
    </row>
    <row r="19">
      <c r="B19" s="27"/>
      <c r="C19" s="27"/>
      <c r="D19" s="10" t="s">
        <v>91</v>
      </c>
      <c r="E19" s="10" t="s">
        <v>92</v>
      </c>
      <c r="F19" s="10" t="s">
        <v>93</v>
      </c>
      <c r="G19" s="10" t="s">
        <v>28</v>
      </c>
      <c r="H19" s="10" t="s">
        <v>94</v>
      </c>
      <c r="I19" s="10" t="s">
        <v>95</v>
      </c>
      <c r="J19" s="10" t="s">
        <v>31</v>
      </c>
      <c r="K19" s="10" t="s">
        <v>91</v>
      </c>
      <c r="L19" s="10" t="s">
        <v>92</v>
      </c>
      <c r="M19" s="10" t="s">
        <v>31</v>
      </c>
    </row>
    <row r="20">
      <c r="B20" s="28" t="s">
        <v>129</v>
      </c>
      <c r="C20" s="3">
        <f>IF(COUNT(D20,K20)=0,"",SUM(D20,K20))</f>
        <v>7680466070</v>
      </c>
      <c r="D20" s="3">
        <f>IF(COUNT(E20:J20)=0,"",SUM(E20:J20))</f>
        <v>6227333500</v>
      </c>
      <c r="E20" s="7">
        <f>IF('설정'!$B$3=0,"",CHOOSE('설정'!$B$3,SUMIFS('RAW_농산물_7월'!$G:$G,'RAW_농산물_7월'!$A:$A,E$19),SUMIFS('RAW_농산물_8월'!$G:$G,'RAW_농산물_8월'!$A:$A,E$19),SUMIFS('RAW_농산물_9월'!$G:$G,'RAW_농산물_9월'!$A:$A,E$19),SUMIFS('RAW_농산물_10월'!$G:$G,'RAW_농산물_10월'!$A:$A,E$19),SUMIFS('RAW_농산물_11-12월'!$G:$G,'RAW_농산물_11-12월'!$A:$A,E$19)))</f>
        <v>2902192570</v>
      </c>
      <c r="F20" s="7">
        <f>IF('설정'!$B$3=0,"",CHOOSE('설정'!$B$3,SUMIFS('RAW_농산물_7월'!$G:$G,'RAW_농산물_7월'!$A:$A,F$19),SUMIFS('RAW_농산물_8월'!$G:$G,'RAW_농산물_8월'!$A:$A,F$19),SUMIFS('RAW_농산물_9월'!$G:$G,'RAW_농산물_9월'!$A:$A,F$19),SUMIFS('RAW_농산물_10월'!$G:$G,'RAW_농산물_10월'!$A:$A,F$19),SUMIFS('RAW_농산물_11-12월'!$G:$G,'RAW_농산물_11-12월'!$A:$A,F$19)))</f>
        <v>1348440770</v>
      </c>
      <c r="G20" s="7">
        <f>IF('설정'!$B$3=0,"",CHOOSE('설정'!$B$3,SUMIFS('RAW_농산물_7월'!$G:$G,'RAW_농산물_7월'!$A:$A,G$19),SUMIFS('RAW_농산물_8월'!$G:$G,'RAW_농산물_8월'!$A:$A,G$19),SUMIFS('RAW_농산물_9월'!$G:$G,'RAW_농산물_9월'!$A:$A,G$19),SUMIFS('RAW_농산물_10월'!$G:$G,'RAW_농산물_10월'!$A:$A,G$19),SUMIFS('RAW_농산물_11-12월'!$G:$G,'RAW_농산물_11-12월'!$A:$A,G$19)))</f>
        <v>344053620</v>
      </c>
      <c r="H20" s="7">
        <f>IF('설정'!$B$3=0,"",CHOOSE('설정'!$B$3,SUMIFS('RAW_농산물_7월'!$G:$G,'RAW_농산물_7월'!$A:$A,H$19),SUMIFS('RAW_농산물_8월'!$G:$G,'RAW_농산물_8월'!$A:$A,H$19),SUMIFS('RAW_농산물_9월'!$G:$G,'RAW_농산물_9월'!$A:$A,H$19),SUMIFS('RAW_농산물_10월'!$G:$G,'RAW_농산물_10월'!$A:$A,H$19),SUMIFS('RAW_농산물_11-12월'!$G:$G,'RAW_농산물_11-12월'!$A:$A,H$19)))</f>
        <v>100008000</v>
      </c>
      <c r="I20" s="7">
        <f>IF('설정'!$B$3=0,"",CHOOSE('설정'!$B$3,SUMIFS('RAW_농산물_7월'!$G:$G,'RAW_농산물_7월'!$A:$A,I$19),SUMIFS('RAW_농산물_8월'!$G:$G,'RAW_농산물_8월'!$A:$A,I$19),SUMIFS('RAW_농산물_9월'!$G:$G,'RAW_농산물_9월'!$A:$A,I$19),SUMIFS('RAW_농산물_10월'!$G:$G,'RAW_농산물_10월'!$A:$A,I$19),SUMIFS('RAW_농산물_11-12월'!$G:$G,'RAW_농산물_11-12월'!$A:$A,I$19)))</f>
        <v>470341670</v>
      </c>
      <c r="J20" s="7">
        <f>IF('설정'!$B$3=0,"",CHOOSE('설정'!$B$3,SUMIFS('RAW_농산물_7월'!$G:$G,'RAW_농산물_7월'!$A:$A,J$19),SUMIFS('RAW_농산물_8월'!$G:$G,'RAW_농산물_8월'!$A:$A,J$19),SUMIFS('RAW_농산물_9월'!$G:$G,'RAW_농산물_9월'!$A:$A,J$19),SUMIFS('RAW_농산물_10월'!$G:$G,'RAW_농산물_10월'!$A:$A,J$19),SUMIFS('RAW_농산물_11-12월'!$G:$G,'RAW_농산물_11-12월'!$A:$A,J$19)))</f>
        <v>1062296870</v>
      </c>
      <c r="K20" s="3">
        <f>IF(COUNT(L20:M20)=0,"",SUM(L20:M20))</f>
        <v>1453132570</v>
      </c>
      <c r="L20" s="7">
        <f>IF('설정'!$B$4=0,"",CHOOSE('설정'!$B$4,SUMIFS('RAW_유기농_7월'!$G:$G,'RAW_유기농_7월'!$A:$A,L$19),SUMIFS('RAW_유기농_8월'!$G:$G,'RAW_유기농_8월'!$A:$A,L$19),SUMIFS('RAW_유기농_9월'!$G:$G,'RAW_유기농_9월'!$A:$A,L$19),SUMIFS('RAW_유기농_10월'!$G:$G,'RAW_유기농_10월'!$A:$A,L$19),SUMIFS('RAW_유기농_11-12월'!$G:$G,'RAW_유기농_11-12월'!$A:$A,L$19)))</f>
        <v>271526720</v>
      </c>
      <c r="M20" s="7">
        <f>IF('설정'!$B$4=0,"",CHOOSE('설정'!$B$4,SUMIFS('RAW_유기농_7월'!$G:$G,'RAW_유기농_7월'!$A:$A,M$19),SUMIFS('RAW_유기농_8월'!$G:$G,'RAW_유기농_8월'!$A:$A,M$19),SUMIFS('RAW_유기농_9월'!$G:$G,'RAW_유기농_9월'!$A:$A,M$19),SUMIFS('RAW_유기농_10월'!$G:$G,'RAW_유기농_10월'!$A:$A,M$19),SUMIFS('RAW_유기농_11-12월'!$G:$G,'RAW_유기농_11-12월'!$A:$A,M$19)))</f>
        <v>1181605850</v>
      </c>
    </row>
    <row r="21" ht="15.75" customHeight="1"/>
    <row r="22" ht="15.75" customHeight="1">
      <c r="B22" s="21" t="s">
        <v>150</v>
      </c>
    </row>
    <row r="23" ht="15.75" customHeight="1">
      <c r="B23" s="22" t="s">
        <v>5</v>
      </c>
      <c r="C23" s="22" t="s">
        <v>76</v>
      </c>
      <c r="D23" s="24" t="s">
        <v>78</v>
      </c>
      <c r="E23" s="25"/>
      <c r="F23" s="25"/>
      <c r="G23" s="25"/>
      <c r="H23" s="25"/>
      <c r="I23" s="25"/>
      <c r="J23" s="26"/>
      <c r="K23" s="24" t="s">
        <v>90</v>
      </c>
      <c r="L23" s="25"/>
      <c r="M23" s="26"/>
    </row>
    <row r="24" ht="15.75" customHeight="1">
      <c r="B24" s="27"/>
      <c r="C24" s="27"/>
      <c r="D24" s="10" t="s">
        <v>91</v>
      </c>
      <c r="E24" s="10" t="s">
        <v>92</v>
      </c>
      <c r="F24" s="10" t="s">
        <v>93</v>
      </c>
      <c r="G24" s="10" t="s">
        <v>28</v>
      </c>
      <c r="H24" s="10" t="s">
        <v>94</v>
      </c>
      <c r="I24" s="10" t="s">
        <v>95</v>
      </c>
      <c r="J24" s="10" t="s">
        <v>31</v>
      </c>
      <c r="K24" s="10" t="s">
        <v>91</v>
      </c>
      <c r="L24" s="10" t="s">
        <v>92</v>
      </c>
      <c r="M24" s="10" t="s">
        <v>31</v>
      </c>
    </row>
    <row r="25" ht="15.75" customHeight="1">
      <c r="B25" s="28" t="s">
        <v>151</v>
      </c>
      <c r="C25" s="3">
        <f>IF(COUNT(D25,K25)=0,"",SUM(D25,K25))</f>
        <v>756125</v>
      </c>
      <c r="D25" s="3">
        <f>IF(COUNT(E25:J25)=0,"",SUM(E25:J25))</f>
        <v>475218</v>
      </c>
      <c r="E25" s="7">
        <f>IF('설정'!$B$3=0,"",CHOOSE('설정'!$B$3,SUMIFS('RAW_농산물_7월'!$F:$F,'RAW_농산물_7월'!$A:$A,E$24),SUMIFS('RAW_농산물_8월'!$F:$F,'RAW_농산물_8월'!$A:$A,E$24),SUMIFS('RAW_농산물_9월'!$F:$F,'RAW_농산물_9월'!$A:$A,E$24),SUMIFS('RAW_농산물_10월'!$F:$F,'RAW_농산물_10월'!$A:$A,E$24),SUMIFS('RAW_농산물_11-12월'!$F:$F,'RAW_농산물_11-12월'!$A:$A,E$24)))</f>
        <v>108140</v>
      </c>
      <c r="F25" s="7">
        <f>IF('설정'!$B$3=0,"",CHOOSE('설정'!$B$3,SUMIFS('RAW_농산물_7월'!$F:$F,'RAW_농산물_7월'!$A:$A,F$24),SUMIFS('RAW_농산물_8월'!$F:$F,'RAW_농산물_8월'!$A:$A,F$24),SUMIFS('RAW_농산물_9월'!$F:$F,'RAW_농산물_9월'!$A:$A,F$24),SUMIFS('RAW_농산물_10월'!$F:$F,'RAW_농산물_10월'!$A:$A,F$24),SUMIFS('RAW_농산물_11-12월'!$F:$F,'RAW_농산물_11-12월'!$A:$A,F$24)))</f>
        <v>68093</v>
      </c>
      <c r="G25" s="7">
        <f>IF('설정'!$B$3=0,"",CHOOSE('설정'!$B$3,SUMIFS('RAW_농산물_7월'!$F:$F,'RAW_농산물_7월'!$A:$A,G$24),SUMIFS('RAW_농산물_8월'!$F:$F,'RAW_농산물_8월'!$A:$A,G$24),SUMIFS('RAW_농산물_9월'!$F:$F,'RAW_농산물_9월'!$A:$A,G$24),SUMIFS('RAW_농산물_10월'!$F:$F,'RAW_농산물_10월'!$A:$A,G$24),SUMIFS('RAW_농산물_11-12월'!$F:$F,'RAW_농산물_11-12월'!$A:$A,G$24)))</f>
        <v>13595</v>
      </c>
      <c r="H25" s="7">
        <f>IF('설정'!$B$3=0,"",CHOOSE('설정'!$B$3,SUMIFS('RAW_농산물_7월'!$F:$F,'RAW_농산물_7월'!$A:$A,H$24),SUMIFS('RAW_농산물_8월'!$F:$F,'RAW_농산물_8월'!$A:$A,H$24),SUMIFS('RAW_농산물_9월'!$F:$F,'RAW_농산물_9월'!$A:$A,H$24),SUMIFS('RAW_농산물_10월'!$F:$F,'RAW_농산물_10월'!$A:$A,H$24),SUMIFS('RAW_농산물_11-12월'!$F:$F,'RAW_농산물_11-12월'!$A:$A,H$24)))</f>
        <v>3100</v>
      </c>
      <c r="I25" s="7">
        <f>IF('설정'!$B$3=0,"",CHOOSE('설정'!$B$3,SUMIFS('RAW_농산물_7월'!$F:$F,'RAW_농산물_7월'!$A:$A,I$24),SUMIFS('RAW_농산물_8월'!$F:$F,'RAW_농산물_8월'!$A:$A,I$24),SUMIFS('RAW_농산물_9월'!$F:$F,'RAW_농산물_9월'!$A:$A,I$24),SUMIFS('RAW_농산물_10월'!$F:$F,'RAW_농산물_10월'!$A:$A,I$24),SUMIFS('RAW_농산물_11-12월'!$F:$F,'RAW_농산물_11-12월'!$A:$A,I$24)))</f>
        <v>30683</v>
      </c>
      <c r="J25" s="7">
        <f>IF('설정'!$B$3=0,"",CHOOSE('설정'!$B$3,SUMIFS('RAW_농산물_7월'!$F:$F,'RAW_농산물_7월'!$A:$A,J$24),SUMIFS('RAW_농산물_8월'!$F:$F,'RAW_농산물_8월'!$A:$A,J$24),SUMIFS('RAW_농산물_9월'!$F:$F,'RAW_농산물_9월'!$A:$A,J$24),SUMIFS('RAW_농산물_10월'!$F:$F,'RAW_농산물_10월'!$A:$A,J$24),SUMIFS('RAW_농산물_11-12월'!$F:$F,'RAW_농산물_11-12월'!$A:$A,J$24)))</f>
        <v>251607</v>
      </c>
      <c r="K25" s="3">
        <f>IF(COUNT(L25:M25)=0,"",SUM(L25:M25))</f>
        <v>280907</v>
      </c>
      <c r="L25" s="7">
        <f>IF('설정'!$B$4=0,"",CHOOSE('설정'!$B$4,SUMIFS('RAW_유기농_7월'!$F:$F,'RAW_유기농_7월'!$A:$A,L$24),SUMIFS('RAW_유기농_8월'!$F:$F,'RAW_유기농_8월'!$A:$A,L$24),SUMIFS('RAW_유기농_9월'!$F:$F,'RAW_유기농_9월'!$A:$A,L$24),SUMIFS('RAW_유기농_10월'!$F:$F,'RAW_유기농_10월'!$A:$A,L$24),SUMIFS('RAW_유기농_11-12월'!$F:$F,'RAW_유기농_11-12월'!$A:$A,L$24)))</f>
        <v>10898</v>
      </c>
      <c r="M25" s="7">
        <f>IF('설정'!$B$4=0,"",CHOOSE('설정'!$B$4,SUMIFS('RAW_유기농_7월'!$F:$F,'RAW_유기농_7월'!$A:$A,M$24),SUMIFS('RAW_유기농_8월'!$F:$F,'RAW_유기농_8월'!$A:$A,M$24),SUMIFS('RAW_유기농_9월'!$F:$F,'RAW_유기농_9월'!$A:$A,M$24),SUMIFS('RAW_유기농_10월'!$F:$F,'RAW_유기농_10월'!$A:$A,M$24),SUMIFS('RAW_유기농_11-12월'!$F:$F,'RAW_유기농_11-12월'!$A:$A,M$24)))</f>
        <v>270009</v>
      </c>
    </row>
    <row r="26" ht="15.75" customHeight="1"/>
    <row r="27" ht="15.75" customHeight="1">
      <c r="B27" s="21" t="s">
        <v>159</v>
      </c>
    </row>
    <row r="28" ht="15.75" customHeight="1">
      <c r="B28" s="22" t="s">
        <v>5</v>
      </c>
      <c r="C28" s="22" t="s">
        <v>76</v>
      </c>
      <c r="D28" s="24" t="s">
        <v>78</v>
      </c>
      <c r="E28" s="25"/>
      <c r="F28" s="25"/>
      <c r="G28" s="25"/>
      <c r="H28" s="25"/>
      <c r="I28" s="25"/>
      <c r="J28" s="26"/>
      <c r="K28" s="24" t="s">
        <v>90</v>
      </c>
      <c r="L28" s="25"/>
      <c r="M28" s="26"/>
    </row>
    <row r="29" ht="15.75" customHeight="1">
      <c r="B29" s="27"/>
      <c r="C29" s="27"/>
      <c r="D29" s="10" t="s">
        <v>91</v>
      </c>
      <c r="E29" s="10" t="s">
        <v>92</v>
      </c>
      <c r="F29" s="10" t="s">
        <v>93</v>
      </c>
      <c r="G29" s="10" t="s">
        <v>28</v>
      </c>
      <c r="H29" s="10" t="s">
        <v>94</v>
      </c>
      <c r="I29" s="10" t="s">
        <v>95</v>
      </c>
      <c r="J29" s="10" t="s">
        <v>31</v>
      </c>
      <c r="K29" s="10" t="s">
        <v>91</v>
      </c>
      <c r="L29" s="10" t="s">
        <v>92</v>
      </c>
      <c r="M29" s="10" t="s">
        <v>31</v>
      </c>
    </row>
    <row r="30" ht="15.75" customHeight="1">
      <c r="B30" s="2" t="s">
        <v>76</v>
      </c>
      <c r="C30" s="3">
        <f t="shared" ref="C30:C33" si="6">IF(COUNT(D30,K30)=0,"",SUM(D30,K30))</f>
        <v>310710888</v>
      </c>
      <c r="D30" s="3">
        <f t="shared" ref="D30:D33" si="7">IF(COUNT(E30:J30)=0,"",SUM(E30:J30))</f>
        <v>266369319</v>
      </c>
      <c r="E30" s="3">
        <f t="shared" ref="E30:J30" si="4">IF(COUNT(E31:E33)=0,"",SUM(E31:E33))</f>
        <v>90643090</v>
      </c>
      <c r="F30" s="3">
        <f t="shared" si="4"/>
        <v>76647920</v>
      </c>
      <c r="G30" s="3">
        <f t="shared" si="4"/>
        <v>52129220</v>
      </c>
      <c r="H30" s="3">
        <f t="shared" si="4"/>
        <v>15501100</v>
      </c>
      <c r="I30" s="3">
        <f t="shared" si="4"/>
        <v>15599960</v>
      </c>
      <c r="J30" s="3">
        <f t="shared" si="4"/>
        <v>15848029</v>
      </c>
      <c r="K30" s="3">
        <f t="shared" ref="K30:K33" si="8">IF(COUNT(L30:M30)=0,"",SUM(L30:M30))</f>
        <v>44341569</v>
      </c>
      <c r="L30" s="3">
        <f t="shared" ref="L30:M30" si="5">IF(COUNT(L31:L33)=0,"",SUM(L31:L33))</f>
        <v>24308290</v>
      </c>
      <c r="M30" s="3">
        <f t="shared" si="5"/>
        <v>20033279</v>
      </c>
    </row>
    <row r="31" ht="15.75" customHeight="1">
      <c r="B31" s="30" t="s">
        <v>117</v>
      </c>
      <c r="C31" s="3">
        <f t="shared" si="6"/>
        <v>170160977</v>
      </c>
      <c r="D31" s="3">
        <f t="shared" si="7"/>
        <v>138762093</v>
      </c>
      <c r="E31" s="7">
        <f>IF('설정'!$B$3=0,"",CHOOSE('설정'!$B$3,SUMIFS('RAW_농산물_7월'!$H:$H,'RAW_농산물_7월'!$A:$A,E$29,'RAW_농산물_7월'!$B:$B,$B31),SUMIFS('RAW_농산물_8월'!$H:$H,'RAW_농산물_8월'!$A:$A,E$29,'RAW_농산물_8월'!$B:$B,$B31),SUMIFS('RAW_농산물_9월'!$H:$H,'RAW_농산물_9월'!$A:$A,E$29,'RAW_농산물_9월'!$B:$B,$B31),SUMIFS('RAW_농산물_10월'!$H:$H,'RAW_농산물_10월'!$A:$A,E$29,'RAW_농산물_10월'!$B:$B,$B31),SUMIFS('RAW_농산물_11-12월'!$H:$H,'RAW_농산물_11-12월'!$A:$A,E$29,'RAW_농산물_11-12월'!$B:$B,$B31)))</f>
        <v>49239490</v>
      </c>
      <c r="F31" s="7">
        <f>IF('설정'!$B$3=0,"",CHOOSE('설정'!$B$3,SUMIFS('RAW_농산물_7월'!$H:$H,'RAW_농산물_7월'!$A:$A,F$29,'RAW_농산물_7월'!$B:$B,$B31),SUMIFS('RAW_농산물_8월'!$H:$H,'RAW_농산물_8월'!$A:$A,F$29,'RAW_농산물_8월'!$B:$B,$B31),SUMIFS('RAW_농산물_9월'!$H:$H,'RAW_농산물_9월'!$A:$A,F$29,'RAW_농산물_9월'!$B:$B,$B31),SUMIFS('RAW_농산물_10월'!$H:$H,'RAW_농산물_10월'!$A:$A,F$29,'RAW_농산물_10월'!$B:$B,$B31),SUMIFS('RAW_농산물_11-12월'!$H:$H,'RAW_농산물_11-12월'!$A:$A,F$29,'RAW_농산물_11-12월'!$B:$B,$B31)))</f>
        <v>44507910</v>
      </c>
      <c r="G31" s="7">
        <f>IF('설정'!$B$3=0,"",CHOOSE('설정'!$B$3,SUMIFS('RAW_농산물_7월'!$H:$H,'RAW_농산물_7월'!$A:$A,G$29,'RAW_농산물_7월'!$B:$B,$B31),SUMIFS('RAW_농산물_8월'!$H:$H,'RAW_농산물_8월'!$A:$A,G$29,'RAW_농산물_8월'!$B:$B,$B31),SUMIFS('RAW_농산물_9월'!$H:$H,'RAW_농산물_9월'!$A:$A,G$29,'RAW_농산물_9월'!$B:$B,$B31),SUMIFS('RAW_농산물_10월'!$H:$H,'RAW_농산물_10월'!$A:$A,G$29,'RAW_농산물_10월'!$B:$B,$B31),SUMIFS('RAW_농산물_11-12월'!$H:$H,'RAW_농산물_11-12월'!$A:$A,G$29,'RAW_농산물_11-12월'!$B:$B,$B31)))</f>
        <v>18790700</v>
      </c>
      <c r="H31" s="7">
        <f>IF('설정'!$B$3=0,"",CHOOSE('설정'!$B$3,SUMIFS('RAW_농산물_7월'!$H:$H,'RAW_농산물_7월'!$A:$A,H$29,'RAW_농산물_7월'!$B:$B,$B31),SUMIFS('RAW_농산물_8월'!$H:$H,'RAW_농산물_8월'!$A:$A,H$29,'RAW_농산물_8월'!$B:$B,$B31),SUMIFS('RAW_농산물_9월'!$H:$H,'RAW_농산물_9월'!$A:$A,H$29,'RAW_농산물_9월'!$B:$B,$B31),SUMIFS('RAW_농산물_10월'!$H:$H,'RAW_농산물_10월'!$A:$A,H$29,'RAW_농산물_10월'!$B:$B,$B31),SUMIFS('RAW_농산물_11-12월'!$H:$H,'RAW_농산물_11-12월'!$A:$A,H$29,'RAW_농산물_11-12월'!$B:$B,$B31)))</f>
        <v>13890839</v>
      </c>
      <c r="I31" s="7">
        <f>IF('설정'!$B$3=0,"",CHOOSE('설정'!$B$3,SUMIFS('RAW_농산물_7월'!$H:$H,'RAW_농산물_7월'!$A:$A,I$29,'RAW_농산물_7월'!$B:$B,$B31),SUMIFS('RAW_농산물_8월'!$H:$H,'RAW_농산물_8월'!$A:$A,I$29,'RAW_농산물_8월'!$B:$B,$B31),SUMIFS('RAW_농산물_9월'!$H:$H,'RAW_농산물_9월'!$A:$A,I$29,'RAW_농산물_9월'!$B:$B,$B31),SUMIFS('RAW_농산물_10월'!$H:$H,'RAW_농산물_10월'!$A:$A,I$29,'RAW_농산물_10월'!$B:$B,$B31),SUMIFS('RAW_농산물_11-12월'!$H:$H,'RAW_농산물_11-12월'!$A:$A,I$29,'RAW_농산물_11-12월'!$B:$B,$B31)))</f>
        <v>6040540</v>
      </c>
      <c r="J31" s="7">
        <f>IF('설정'!$B$3=0,"",CHOOSE('설정'!$B$3,SUMIFS('RAW_농산물_7월'!$H:$H,'RAW_농산물_7월'!$A:$A,J$29,'RAW_농산물_7월'!$B:$B,$B31),SUMIFS('RAW_농산물_8월'!$H:$H,'RAW_농산물_8월'!$A:$A,J$29,'RAW_농산물_8월'!$B:$B,$B31),SUMIFS('RAW_농산물_9월'!$H:$H,'RAW_농산물_9월'!$A:$A,J$29,'RAW_농산물_9월'!$B:$B,$B31),SUMIFS('RAW_농산물_10월'!$H:$H,'RAW_농산물_10월'!$A:$A,J$29,'RAW_농산물_10월'!$B:$B,$B31),SUMIFS('RAW_농산물_11-12월'!$H:$H,'RAW_농산물_11-12월'!$A:$A,J$29,'RAW_농산물_11-12월'!$B:$B,$B31)))</f>
        <v>6292614</v>
      </c>
      <c r="K31" s="3">
        <f t="shared" si="8"/>
        <v>31398884</v>
      </c>
      <c r="L31" s="7">
        <f>IF('설정'!$B$4=0,"",CHOOSE('설정'!$B$4,SUMIFS('RAW_유기농_7월'!$H:$H,'RAW_유기농_7월'!$A:$A,L$29,'RAW_유기농_7월'!$B:$B,$B31),SUMIFS('RAW_유기농_8월'!$H:$H,'RAW_유기농_8월'!$A:$A,L$29,'RAW_유기농_8월'!$B:$B,$B31),SUMIFS('RAW_유기농_9월'!$H:$H,'RAW_유기농_9월'!$A:$A,L$29,'RAW_유기농_9월'!$B:$B,$B31),SUMIFS('RAW_유기농_10월'!$H:$H,'RAW_유기농_10월'!$A:$A,L$29,'RAW_유기농_10월'!$B:$B,$B31),SUMIFS('RAW_유기농_11-12월'!$H:$H,'RAW_유기농_11-12월'!$A:$A,L$29,'RAW_유기농_11-12월'!$B:$B,$B31)))</f>
        <v>21139260</v>
      </c>
      <c r="M31" s="7">
        <f>IF('설정'!$B$4=0,"",CHOOSE('설정'!$B$4,SUMIFS('RAW_유기농_7월'!$H:$H,'RAW_유기농_7월'!$A:$A,M$29,'RAW_유기농_7월'!$B:$B,$B31),SUMIFS('RAW_유기농_8월'!$H:$H,'RAW_유기농_8월'!$A:$A,M$29,'RAW_유기농_8월'!$B:$B,$B31),SUMIFS('RAW_유기농_9월'!$H:$H,'RAW_유기농_9월'!$A:$A,M$29,'RAW_유기농_9월'!$B:$B,$B31),SUMIFS('RAW_유기농_10월'!$H:$H,'RAW_유기농_10월'!$A:$A,M$29,'RAW_유기농_10월'!$B:$B,$B31),SUMIFS('RAW_유기농_11-12월'!$H:$H,'RAW_유기농_11-12월'!$A:$A,M$29,'RAW_유기농_11-12월'!$B:$B,$B31)))</f>
        <v>10259624</v>
      </c>
    </row>
    <row r="32" ht="15.75" customHeight="1">
      <c r="B32" s="30" t="s">
        <v>174</v>
      </c>
      <c r="C32" s="3">
        <f t="shared" si="6"/>
        <v>52806005</v>
      </c>
      <c r="D32" s="3">
        <f t="shared" si="7"/>
        <v>52329884</v>
      </c>
      <c r="E32" s="7">
        <f>IF('설정'!$B$3=0,"",CHOOSE('설정'!$B$3,SUMIFS('RAW_농산물_7월'!$H:$H,'RAW_농산물_7월'!$A:$A,E$29,'RAW_농산물_7월'!$B:$B,$B32),SUMIFS('RAW_농산물_8월'!$H:$H,'RAW_농산물_8월'!$A:$A,E$29,'RAW_농산물_8월'!$B:$B,$B32),SUMIFS('RAW_농산물_9월'!$H:$H,'RAW_농산물_9월'!$A:$A,E$29,'RAW_농산물_9월'!$B:$B,$B32),SUMIFS('RAW_농산물_10월'!$H:$H,'RAW_농산물_10월'!$A:$A,E$29,'RAW_농산물_10월'!$B:$B,$B32),SUMIFS('RAW_농산물_11-12월'!$H:$H,'RAW_농산물_11-12월'!$A:$A,E$29,'RAW_농산물_11-12월'!$B:$B,$B32)))</f>
        <v>17926550</v>
      </c>
      <c r="F32" s="7">
        <f>IF('설정'!$B$3=0,"",CHOOSE('설정'!$B$3,SUMIFS('RAW_농산물_7월'!$H:$H,'RAW_농산물_7월'!$A:$A,F$29,'RAW_농산물_7월'!$B:$B,$B32),SUMIFS('RAW_농산물_8월'!$H:$H,'RAW_농산물_8월'!$A:$A,F$29,'RAW_농산물_8월'!$B:$B,$B32),SUMIFS('RAW_농산물_9월'!$H:$H,'RAW_농산물_9월'!$A:$A,F$29,'RAW_농산물_9월'!$B:$B,$B32),SUMIFS('RAW_농산물_10월'!$H:$H,'RAW_농산물_10월'!$A:$A,F$29,'RAW_농산물_10월'!$B:$B,$B32),SUMIFS('RAW_농산물_11-12월'!$H:$H,'RAW_농산물_11-12월'!$A:$A,F$29,'RAW_농산물_11-12월'!$B:$B,$B32)))</f>
        <v>11023670</v>
      </c>
      <c r="G32" s="7">
        <f>IF('설정'!$B$3=0,"",CHOOSE('설정'!$B$3,SUMIFS('RAW_농산물_7월'!$H:$H,'RAW_농산물_7월'!$A:$A,G$29,'RAW_농산물_7월'!$B:$B,$B32),SUMIFS('RAW_농산물_8월'!$H:$H,'RAW_농산물_8월'!$A:$A,G$29,'RAW_농산물_8월'!$B:$B,$B32),SUMIFS('RAW_농산물_9월'!$H:$H,'RAW_농산물_9월'!$A:$A,G$29,'RAW_농산물_9월'!$B:$B,$B32),SUMIFS('RAW_농산물_10월'!$H:$H,'RAW_농산물_10월'!$A:$A,G$29,'RAW_농산물_10월'!$B:$B,$B32),SUMIFS('RAW_농산물_11-12월'!$H:$H,'RAW_농산물_11-12월'!$A:$A,G$29,'RAW_농산물_11-12월'!$B:$B,$B32)))</f>
        <v>21130300</v>
      </c>
      <c r="H32" s="7">
        <f>IF('설정'!$B$3=0,"",CHOOSE('설정'!$B$3,SUMIFS('RAW_농산물_7월'!$H:$H,'RAW_농산물_7월'!$A:$A,H$29,'RAW_농산물_7월'!$B:$B,$B32),SUMIFS('RAW_농산물_8월'!$H:$H,'RAW_농산물_8월'!$A:$A,H$29,'RAW_농산물_8월'!$B:$B,$B32),SUMIFS('RAW_농산물_9월'!$H:$H,'RAW_농산물_9월'!$A:$A,H$29,'RAW_농산물_9월'!$B:$B,$B32),SUMIFS('RAW_농산물_10월'!$H:$H,'RAW_농산물_10월'!$A:$A,H$29,'RAW_농산물_10월'!$B:$B,$B32),SUMIFS('RAW_농산물_11-12월'!$H:$H,'RAW_농산물_11-12월'!$A:$A,H$29,'RAW_농산물_11-12월'!$B:$B,$B32)))</f>
        <v>0</v>
      </c>
      <c r="I32" s="7">
        <f>IF('설정'!$B$3=0,"",CHOOSE('설정'!$B$3,SUMIFS('RAW_농산물_7월'!$H:$H,'RAW_농산물_7월'!$A:$A,I$29,'RAW_농산물_7월'!$B:$B,$B32),SUMIFS('RAW_농산물_8월'!$H:$H,'RAW_농산물_8월'!$A:$A,I$29,'RAW_농산물_8월'!$B:$B,$B32),SUMIFS('RAW_농산물_9월'!$H:$H,'RAW_농산물_9월'!$A:$A,I$29,'RAW_농산물_9월'!$B:$B,$B32),SUMIFS('RAW_농산물_10월'!$H:$H,'RAW_농산물_10월'!$A:$A,I$29,'RAW_농산물_10월'!$B:$B,$B32),SUMIFS('RAW_농산물_11-12월'!$H:$H,'RAW_농산물_11-12월'!$A:$A,I$29,'RAW_농산물_11-12월'!$B:$B,$B32)))</f>
        <v>0</v>
      </c>
      <c r="J32" s="7">
        <f>IF('설정'!$B$3=0,"",CHOOSE('설정'!$B$3,SUMIFS('RAW_농산물_7월'!$H:$H,'RAW_농산물_7월'!$A:$A,J$29,'RAW_농산물_7월'!$B:$B,$B32),SUMIFS('RAW_농산물_8월'!$H:$H,'RAW_농산물_8월'!$A:$A,J$29,'RAW_농산물_8월'!$B:$B,$B32),SUMIFS('RAW_농산물_9월'!$H:$H,'RAW_농산물_9월'!$A:$A,J$29,'RAW_농산물_9월'!$B:$B,$B32),SUMIFS('RAW_농산물_10월'!$H:$H,'RAW_농산물_10월'!$A:$A,J$29,'RAW_농산물_10월'!$B:$B,$B32),SUMIFS('RAW_농산물_11-12월'!$H:$H,'RAW_농산물_11-12월'!$A:$A,J$29,'RAW_농산물_11-12월'!$B:$B,$B32)))</f>
        <v>2249364</v>
      </c>
      <c r="K32" s="3">
        <f t="shared" si="8"/>
        <v>476121</v>
      </c>
      <c r="L32" s="7">
        <f>IF('설정'!$B$4=0,"",CHOOSE('설정'!$B$4,SUMIFS('RAW_유기농_7월'!$H:$H,'RAW_유기농_7월'!$A:$A,L$29,'RAW_유기농_7월'!$B:$B,$B32),SUMIFS('RAW_유기농_8월'!$H:$H,'RAW_유기농_8월'!$A:$A,L$29,'RAW_유기농_8월'!$B:$B,$B32),SUMIFS('RAW_유기농_9월'!$H:$H,'RAW_유기농_9월'!$A:$A,L$29,'RAW_유기농_9월'!$B:$B,$B32),SUMIFS('RAW_유기농_10월'!$H:$H,'RAW_유기농_10월'!$A:$A,L$29,'RAW_유기농_10월'!$B:$B,$B32),SUMIFS('RAW_유기농_11-12월'!$H:$H,'RAW_유기농_11-12월'!$A:$A,L$29,'RAW_유기농_11-12월'!$B:$B,$B32)))</f>
        <v>25800</v>
      </c>
      <c r="M32" s="7">
        <f>IF('설정'!$B$4=0,"",CHOOSE('설정'!$B$4,SUMIFS('RAW_유기농_7월'!$H:$H,'RAW_유기농_7월'!$A:$A,M$29,'RAW_유기농_7월'!$B:$B,$B32),SUMIFS('RAW_유기농_8월'!$H:$H,'RAW_유기농_8월'!$A:$A,M$29,'RAW_유기농_8월'!$B:$B,$B32),SUMIFS('RAW_유기농_9월'!$H:$H,'RAW_유기농_9월'!$A:$A,M$29,'RAW_유기농_9월'!$B:$B,$B32),SUMIFS('RAW_유기농_10월'!$H:$H,'RAW_유기농_10월'!$A:$A,M$29,'RAW_유기농_10월'!$B:$B,$B32),SUMIFS('RAW_유기농_11-12월'!$H:$H,'RAW_유기농_11-12월'!$A:$A,M$29,'RAW_유기농_11-12월'!$B:$B,$B32)))</f>
        <v>450321</v>
      </c>
    </row>
    <row r="33" ht="15.75" customHeight="1">
      <c r="B33" s="30" t="s">
        <v>186</v>
      </c>
      <c r="C33" s="3">
        <f t="shared" si="6"/>
        <v>87743906</v>
      </c>
      <c r="D33" s="3">
        <f t="shared" si="7"/>
        <v>75277342</v>
      </c>
      <c r="E33" s="7">
        <f>IF('설정'!$B$3=0,"",CHOOSE('설정'!$B$3,SUMIFS('RAW_농산물_7월'!$H:$H,'RAW_농산물_7월'!$A:$A,E$29,'RAW_농산물_7월'!$B:$B,$B33),SUMIFS('RAW_농산물_8월'!$H:$H,'RAW_농산물_8월'!$A:$A,E$29,'RAW_농산물_8월'!$B:$B,$B33),SUMIFS('RAW_농산물_9월'!$H:$H,'RAW_농산물_9월'!$A:$A,E$29,'RAW_농산물_9월'!$B:$B,$B33),SUMIFS('RAW_농산물_10월'!$H:$H,'RAW_농산물_10월'!$A:$A,E$29,'RAW_농산물_10월'!$B:$B,$B33),SUMIFS('RAW_농산물_11-12월'!$H:$H,'RAW_농산물_11-12월'!$A:$A,E$29,'RAW_농산물_11-12월'!$B:$B,$B33)))</f>
        <v>23477050</v>
      </c>
      <c r="F33" s="7">
        <f>IF('설정'!$B$3=0,"",CHOOSE('설정'!$B$3,SUMIFS('RAW_농산물_7월'!$H:$H,'RAW_농산물_7월'!$A:$A,F$29,'RAW_농산물_7월'!$B:$B,$B33),SUMIFS('RAW_농산물_8월'!$H:$H,'RAW_농산물_8월'!$A:$A,F$29,'RAW_농산물_8월'!$B:$B,$B33),SUMIFS('RAW_농산물_9월'!$H:$H,'RAW_농산물_9월'!$A:$A,F$29,'RAW_농산물_9월'!$B:$B,$B33),SUMIFS('RAW_농산물_10월'!$H:$H,'RAW_농산물_10월'!$A:$A,F$29,'RAW_농산물_10월'!$B:$B,$B33),SUMIFS('RAW_농산물_11-12월'!$H:$H,'RAW_농산물_11-12월'!$A:$A,F$29,'RAW_농산물_11-12월'!$B:$B,$B33)))</f>
        <v>21116340</v>
      </c>
      <c r="G33" s="7">
        <f>IF('설정'!$B$3=0,"",CHOOSE('설정'!$B$3,SUMIFS('RAW_농산물_7월'!$H:$H,'RAW_농산물_7월'!$A:$A,G$29,'RAW_농산물_7월'!$B:$B,$B33),SUMIFS('RAW_농산물_8월'!$H:$H,'RAW_농산물_8월'!$A:$A,G$29,'RAW_농산물_8월'!$B:$B,$B33),SUMIFS('RAW_농산물_9월'!$H:$H,'RAW_농산물_9월'!$A:$A,G$29,'RAW_농산물_9월'!$B:$B,$B33),SUMIFS('RAW_농산물_10월'!$H:$H,'RAW_농산물_10월'!$A:$A,G$29,'RAW_농산물_10월'!$B:$B,$B33),SUMIFS('RAW_농산물_11-12월'!$H:$H,'RAW_농산물_11-12월'!$A:$A,G$29,'RAW_농산물_11-12월'!$B:$B,$B33)))</f>
        <v>12208220</v>
      </c>
      <c r="H33" s="7">
        <f>IF('설정'!$B$3=0,"",CHOOSE('설정'!$B$3,SUMIFS('RAW_농산물_7월'!$H:$H,'RAW_농산물_7월'!$A:$A,H$29,'RAW_농산물_7월'!$B:$B,$B33),SUMIFS('RAW_농산물_8월'!$H:$H,'RAW_농산물_8월'!$A:$A,H$29,'RAW_농산물_8월'!$B:$B,$B33),SUMIFS('RAW_농산물_9월'!$H:$H,'RAW_농산물_9월'!$A:$A,H$29,'RAW_농산물_9월'!$B:$B,$B33),SUMIFS('RAW_농산물_10월'!$H:$H,'RAW_농산물_10월'!$A:$A,H$29,'RAW_농산물_10월'!$B:$B,$B33),SUMIFS('RAW_농산물_11-12월'!$H:$H,'RAW_농산물_11-12월'!$A:$A,H$29,'RAW_농산물_11-12월'!$B:$B,$B33)))</f>
        <v>1610261</v>
      </c>
      <c r="I33" s="7">
        <f>IF('설정'!$B$3=0,"",CHOOSE('설정'!$B$3,SUMIFS('RAW_농산물_7월'!$H:$H,'RAW_농산물_7월'!$A:$A,I$29,'RAW_농산물_7월'!$B:$B,$B33),SUMIFS('RAW_농산물_8월'!$H:$H,'RAW_농산물_8월'!$A:$A,I$29,'RAW_농산물_8월'!$B:$B,$B33),SUMIFS('RAW_농산물_9월'!$H:$H,'RAW_농산물_9월'!$A:$A,I$29,'RAW_농산물_9월'!$B:$B,$B33),SUMIFS('RAW_농산물_10월'!$H:$H,'RAW_농산물_10월'!$A:$A,I$29,'RAW_농산물_10월'!$B:$B,$B33),SUMIFS('RAW_농산물_11-12월'!$H:$H,'RAW_농산물_11-12월'!$A:$A,I$29,'RAW_농산물_11-12월'!$B:$B,$B33)))</f>
        <v>9559420</v>
      </c>
      <c r="J33" s="7">
        <f>IF('설정'!$B$3=0,"",CHOOSE('설정'!$B$3,SUMIFS('RAW_농산물_7월'!$H:$H,'RAW_농산물_7월'!$A:$A,J$29,'RAW_농산물_7월'!$B:$B,$B33),SUMIFS('RAW_농산물_8월'!$H:$H,'RAW_농산물_8월'!$A:$A,J$29,'RAW_농산물_8월'!$B:$B,$B33),SUMIFS('RAW_농산물_9월'!$H:$H,'RAW_농산물_9월'!$A:$A,J$29,'RAW_농산물_9월'!$B:$B,$B33),SUMIFS('RAW_농산물_10월'!$H:$H,'RAW_농산물_10월'!$A:$A,J$29,'RAW_농산물_10월'!$B:$B,$B33),SUMIFS('RAW_농산물_11-12월'!$H:$H,'RAW_농산물_11-12월'!$A:$A,J$29,'RAW_농산물_11-12월'!$B:$B,$B33)))</f>
        <v>7306051</v>
      </c>
      <c r="K33" s="3">
        <f t="shared" si="8"/>
        <v>12466564</v>
      </c>
      <c r="L33" s="7">
        <f>IF('설정'!$B$4=0,"",CHOOSE('설정'!$B$4,SUMIFS('RAW_유기농_7월'!$H:$H,'RAW_유기농_7월'!$A:$A,L$29,'RAW_유기농_7월'!$B:$B,$B33),SUMIFS('RAW_유기농_8월'!$H:$H,'RAW_유기농_8월'!$A:$A,L$29,'RAW_유기농_8월'!$B:$B,$B33),SUMIFS('RAW_유기농_9월'!$H:$H,'RAW_유기농_9월'!$A:$A,L$29,'RAW_유기농_9월'!$B:$B,$B33),SUMIFS('RAW_유기농_10월'!$H:$H,'RAW_유기농_10월'!$A:$A,L$29,'RAW_유기농_10월'!$B:$B,$B33),SUMIFS('RAW_유기농_11-12월'!$H:$H,'RAW_유기농_11-12월'!$A:$A,L$29,'RAW_유기농_11-12월'!$B:$B,$B33)))</f>
        <v>3143230</v>
      </c>
      <c r="M33" s="7">
        <f>IF('설정'!$B$4=0,"",CHOOSE('설정'!$B$4,SUMIFS('RAW_유기농_7월'!$H:$H,'RAW_유기농_7월'!$A:$A,M$29,'RAW_유기농_7월'!$B:$B,$B33),SUMIFS('RAW_유기농_8월'!$H:$H,'RAW_유기농_8월'!$A:$A,M$29,'RAW_유기농_8월'!$B:$B,$B33),SUMIFS('RAW_유기농_9월'!$H:$H,'RAW_유기농_9월'!$A:$A,M$29,'RAW_유기농_9월'!$B:$B,$B33),SUMIFS('RAW_유기농_10월'!$H:$H,'RAW_유기농_10월'!$A:$A,M$29,'RAW_유기농_10월'!$B:$B,$B33),SUMIFS('RAW_유기농_11-12월'!$H:$H,'RAW_유기농_11-12월'!$A:$A,M$29,'RAW_유기농_11-12월'!$B:$B,$B33)))</f>
        <v>9323334</v>
      </c>
    </row>
    <row r="34" ht="15.75" customHeight="1"/>
    <row r="35" ht="15.75" customHeight="1">
      <c r="B35" s="21" t="s">
        <v>216</v>
      </c>
    </row>
    <row r="36" ht="15.75" customHeight="1">
      <c r="B36" s="22" t="s">
        <v>5</v>
      </c>
      <c r="C36" s="22" t="s">
        <v>76</v>
      </c>
      <c r="D36" s="24" t="s">
        <v>78</v>
      </c>
      <c r="E36" s="25"/>
      <c r="F36" s="25"/>
      <c r="G36" s="25"/>
      <c r="H36" s="25"/>
      <c r="I36" s="25"/>
      <c r="J36" s="26"/>
      <c r="K36" s="24" t="s">
        <v>90</v>
      </c>
      <c r="L36" s="25"/>
      <c r="M36" s="26"/>
    </row>
    <row r="37" ht="15.75" customHeight="1">
      <c r="B37" s="27"/>
      <c r="C37" s="27"/>
      <c r="D37" s="10" t="s">
        <v>91</v>
      </c>
      <c r="E37" s="10" t="s">
        <v>92</v>
      </c>
      <c r="F37" s="10" t="s">
        <v>93</v>
      </c>
      <c r="G37" s="10" t="s">
        <v>28</v>
      </c>
      <c r="H37" s="10" t="s">
        <v>94</v>
      </c>
      <c r="I37" s="10" t="s">
        <v>95</v>
      </c>
      <c r="J37" s="10" t="s">
        <v>31</v>
      </c>
      <c r="K37" s="10" t="s">
        <v>91</v>
      </c>
      <c r="L37" s="10" t="s">
        <v>92</v>
      </c>
      <c r="M37" s="10" t="s">
        <v>31</v>
      </c>
    </row>
    <row r="38" ht="15.75" customHeight="1">
      <c r="B38" s="2" t="s">
        <v>76</v>
      </c>
      <c r="C38" s="3">
        <f t="shared" ref="C38:C41" si="11">IF(COUNT(D38,K38)=0,"",SUM(D38,K38))</f>
        <v>7680466070</v>
      </c>
      <c r="D38" s="3">
        <f t="shared" ref="D38:D41" si="12">IF(COUNT(E38:J38)=0,"",SUM(E38:J38))</f>
        <v>6227333500</v>
      </c>
      <c r="E38" s="3">
        <f t="shared" ref="E38:J38" si="9">IF(COUNT(E39:E41)=0,"",SUM(E39:E41))</f>
        <v>2902192570</v>
      </c>
      <c r="F38" s="3">
        <f t="shared" si="9"/>
        <v>1348440770</v>
      </c>
      <c r="G38" s="3">
        <f t="shared" si="9"/>
        <v>344053620</v>
      </c>
      <c r="H38" s="3">
        <f t="shared" si="9"/>
        <v>100008000</v>
      </c>
      <c r="I38" s="3">
        <f t="shared" si="9"/>
        <v>470341670</v>
      </c>
      <c r="J38" s="3">
        <f t="shared" si="9"/>
        <v>1062296870</v>
      </c>
      <c r="K38" s="3">
        <f t="shared" ref="K38:K41" si="13">IF(COUNT(L38:M38)=0,"",SUM(L38:M38))</f>
        <v>1453132570</v>
      </c>
      <c r="L38" s="3">
        <f t="shared" ref="L38:M38" si="10">IF(COUNT(L39:L41)=0,"",SUM(L39:L41))</f>
        <v>271526720</v>
      </c>
      <c r="M38" s="3">
        <f t="shared" si="10"/>
        <v>1181605850</v>
      </c>
    </row>
    <row r="39" ht="15.75" customHeight="1">
      <c r="B39" s="30" t="s">
        <v>117</v>
      </c>
      <c r="C39" s="3">
        <f t="shared" si="11"/>
        <v>4286425011</v>
      </c>
      <c r="D39" s="3">
        <f t="shared" si="12"/>
        <v>3090856741</v>
      </c>
      <c r="E39" s="7">
        <f>IF('설정'!$B$3=0,"",CHOOSE('설정'!$B$3,SUMIFS('RAW_농산물_7월'!$G:$G,'RAW_농산물_7월'!$A:$A,E$37,'RAW_농산물_7월'!$B:$B,$B39),SUMIFS('RAW_농산물_8월'!$G:$G,'RAW_농산물_8월'!$A:$A,E$37,'RAW_농산물_8월'!$B:$B,$B39),SUMIFS('RAW_농산물_9월'!$G:$G,'RAW_농산물_9월'!$A:$A,E$37,'RAW_농산물_9월'!$B:$B,$B39),SUMIFS('RAW_농산물_10월'!$G:$G,'RAW_농산물_10월'!$A:$A,E$37,'RAW_농산물_10월'!$B:$B,$B39),SUMIFS('RAW_농산물_11-12월'!$G:$G,'RAW_농산물_11-12월'!$A:$A,E$37,'RAW_농산물_11-12월'!$B:$B,$B39)))</f>
        <v>1472512820</v>
      </c>
      <c r="F39" s="7">
        <f>IF('설정'!$B$3=0,"",CHOOSE('설정'!$B$3,SUMIFS('RAW_농산물_7월'!$G:$G,'RAW_농산물_7월'!$A:$A,F$37,'RAW_농산물_7월'!$B:$B,$B39),SUMIFS('RAW_농산물_8월'!$G:$G,'RAW_농산물_8월'!$A:$A,F$37,'RAW_농산물_8월'!$B:$B,$B39),SUMIFS('RAW_농산물_9월'!$G:$G,'RAW_농산물_9월'!$A:$A,F$37,'RAW_농산물_9월'!$B:$B,$B39),SUMIFS('RAW_농산물_10월'!$G:$G,'RAW_농산물_10월'!$A:$A,F$37,'RAW_농산물_10월'!$B:$B,$B39),SUMIFS('RAW_농산물_11-12월'!$G:$G,'RAW_농산물_11-12월'!$A:$A,F$37,'RAW_농산물_11-12월'!$B:$B,$B39)))</f>
        <v>653112810</v>
      </c>
      <c r="G39" s="7">
        <f>IF('설정'!$B$3=0,"",CHOOSE('설정'!$B$3,SUMIFS('RAW_농산물_7월'!$G:$G,'RAW_농산물_7월'!$A:$A,G$37,'RAW_농산물_7월'!$B:$B,$B39),SUMIFS('RAW_농산물_8월'!$G:$G,'RAW_농산물_8월'!$A:$A,G$37,'RAW_농산물_8월'!$B:$B,$B39),SUMIFS('RAW_농산물_9월'!$G:$G,'RAW_농산물_9월'!$A:$A,G$37,'RAW_농산물_9월'!$B:$B,$B39),SUMIFS('RAW_농산물_10월'!$G:$G,'RAW_농산물_10월'!$A:$A,G$37,'RAW_농산물_10월'!$B:$B,$B39),SUMIFS('RAW_농산물_11-12월'!$G:$G,'RAW_농산물_11-12월'!$A:$A,G$37,'RAW_농산물_11-12월'!$B:$B,$B39)))</f>
        <v>104177000</v>
      </c>
      <c r="H39" s="7">
        <f>IF('설정'!$B$3=0,"",CHOOSE('설정'!$B$3,SUMIFS('RAW_농산물_7월'!$G:$G,'RAW_농산물_7월'!$A:$A,H$37,'RAW_농산물_7월'!$B:$B,$B39),SUMIFS('RAW_농산물_8월'!$G:$G,'RAW_농산물_8월'!$A:$A,H$37,'RAW_농산물_8월'!$B:$B,$B39),SUMIFS('RAW_농산물_9월'!$G:$G,'RAW_농산물_9월'!$A:$A,H$37,'RAW_농산물_9월'!$B:$B,$B39),SUMIFS('RAW_농산물_10월'!$G:$G,'RAW_농산물_10월'!$A:$A,H$37,'RAW_농산물_10월'!$B:$B,$B39),SUMIFS('RAW_농산물_11-12월'!$G:$G,'RAW_농산물_11-12월'!$A:$A,H$37,'RAW_농산물_11-12월'!$B:$B,$B39)))</f>
        <v>88974300</v>
      </c>
      <c r="I39" s="7">
        <f>IF('설정'!$B$3=0,"",CHOOSE('설정'!$B$3,SUMIFS('RAW_농산물_7월'!$G:$G,'RAW_농산물_7월'!$A:$A,I$37,'RAW_농산물_7월'!$B:$B,$B39),SUMIFS('RAW_농산물_8월'!$G:$G,'RAW_농산물_8월'!$A:$A,I$37,'RAW_농산물_8월'!$B:$B,$B39),SUMIFS('RAW_농산물_9월'!$G:$G,'RAW_농산물_9월'!$A:$A,I$37,'RAW_농산물_9월'!$B:$B,$B39),SUMIFS('RAW_농산물_10월'!$G:$G,'RAW_농산물_10월'!$A:$A,I$37,'RAW_농산물_10월'!$B:$B,$B39),SUMIFS('RAW_농산물_11-12월'!$G:$G,'RAW_농산물_11-12월'!$A:$A,I$37,'RAW_농산물_11-12월'!$B:$B,$B39)))</f>
        <v>66872001</v>
      </c>
      <c r="J39" s="7">
        <f>IF('설정'!$B$3=0,"",CHOOSE('설정'!$B$3,SUMIFS('RAW_농산물_7월'!$G:$G,'RAW_농산물_7월'!$A:$A,J$37,'RAW_농산물_7월'!$B:$B,$B39),SUMIFS('RAW_농산물_8월'!$G:$G,'RAW_농산물_8월'!$A:$A,J$37,'RAW_농산물_8월'!$B:$B,$B39),SUMIFS('RAW_농산물_9월'!$G:$G,'RAW_농산물_9월'!$A:$A,J$37,'RAW_농산물_9월'!$B:$B,$B39),SUMIFS('RAW_농산물_10월'!$G:$G,'RAW_농산물_10월'!$A:$A,J$37,'RAW_농산물_10월'!$B:$B,$B39),SUMIFS('RAW_농산물_11-12월'!$G:$G,'RAW_농산물_11-12월'!$A:$A,J$37,'RAW_농산물_11-12월'!$B:$B,$B39)))</f>
        <v>705207810</v>
      </c>
      <c r="K39" s="3">
        <f t="shared" si="13"/>
        <v>1195568270</v>
      </c>
      <c r="L39" s="7">
        <f>IF('설정'!$B$4=0,"",CHOOSE('설정'!$B$4,SUMIFS('RAW_유기농_7월'!$G:$G,'RAW_유기농_7월'!$A:$A,L$37,'RAW_유기농_7월'!$B:$B,$B39),SUMIFS('RAW_유기농_8월'!$G:$G,'RAW_유기농_8월'!$A:$A,L$37,'RAW_유기농_8월'!$B:$B,$B39),SUMIFS('RAW_유기농_9월'!$G:$G,'RAW_유기농_9월'!$A:$A,L$37,'RAW_유기농_9월'!$B:$B,$B39),SUMIFS('RAW_유기농_10월'!$G:$G,'RAW_유기농_10월'!$A:$A,L$37,'RAW_유기농_10월'!$B:$B,$B39),SUMIFS('RAW_유기농_11-12월'!$G:$G,'RAW_유기농_11-12월'!$A:$A,L$37,'RAW_유기농_11-12월'!$B:$B,$B39)))</f>
        <v>242284460</v>
      </c>
      <c r="M39" s="7">
        <f>IF('설정'!$B$4=0,"",CHOOSE('설정'!$B$4,SUMIFS('RAW_유기농_7월'!$G:$G,'RAW_유기농_7월'!$A:$A,M$37,'RAW_유기농_7월'!$B:$B,$B39),SUMIFS('RAW_유기농_8월'!$G:$G,'RAW_유기농_8월'!$A:$A,M$37,'RAW_유기농_8월'!$B:$B,$B39),SUMIFS('RAW_유기농_9월'!$G:$G,'RAW_유기농_9월'!$A:$A,M$37,'RAW_유기농_9월'!$B:$B,$B39),SUMIFS('RAW_유기농_10월'!$G:$G,'RAW_유기농_10월'!$A:$A,M$37,'RAW_유기농_10월'!$B:$B,$B39),SUMIFS('RAW_유기농_11-12월'!$G:$G,'RAW_유기농_11-12월'!$A:$A,M$37,'RAW_유기농_11-12월'!$B:$B,$B39)))</f>
        <v>953283810</v>
      </c>
    </row>
    <row r="40" ht="15.75" customHeight="1">
      <c r="B40" s="30" t="s">
        <v>174</v>
      </c>
      <c r="C40" s="3">
        <f t="shared" si="11"/>
        <v>791748100</v>
      </c>
      <c r="D40" s="3">
        <f t="shared" si="12"/>
        <v>783864300</v>
      </c>
      <c r="E40" s="7">
        <f>IF('설정'!$B$3=0,"",CHOOSE('설정'!$B$3,SUMIFS('RAW_농산물_7월'!$G:$G,'RAW_농산물_7월'!$A:$A,E$37,'RAW_농산물_7월'!$B:$B,$B40),SUMIFS('RAW_농산물_8월'!$G:$G,'RAW_농산물_8월'!$A:$A,E$37,'RAW_농산물_8월'!$B:$B,$B40),SUMIFS('RAW_농산물_9월'!$G:$G,'RAW_농산물_9월'!$A:$A,E$37,'RAW_농산물_9월'!$B:$B,$B40),SUMIFS('RAW_농산물_10월'!$G:$G,'RAW_농산물_10월'!$A:$A,E$37,'RAW_농산물_10월'!$B:$B,$B40),SUMIFS('RAW_농산물_11-12월'!$G:$G,'RAW_농산물_11-12월'!$A:$A,E$37,'RAW_농산물_11-12월'!$B:$B,$B40)))</f>
        <v>368913310</v>
      </c>
      <c r="F40" s="7">
        <f>IF('설정'!$B$3=0,"",CHOOSE('설정'!$B$3,SUMIFS('RAW_농산물_7월'!$G:$G,'RAW_농산물_7월'!$A:$A,F$37,'RAW_농산물_7월'!$B:$B,$B40),SUMIFS('RAW_농산물_8월'!$G:$G,'RAW_농산물_8월'!$A:$A,F$37,'RAW_농산물_8월'!$B:$B,$B40),SUMIFS('RAW_농산물_9월'!$G:$G,'RAW_농산물_9월'!$A:$A,F$37,'RAW_농산물_9월'!$B:$B,$B40),SUMIFS('RAW_농산물_10월'!$G:$G,'RAW_농산물_10월'!$A:$A,F$37,'RAW_농산물_10월'!$B:$B,$B40),SUMIFS('RAW_농산물_11-12월'!$G:$G,'RAW_농산물_11-12월'!$A:$A,F$37,'RAW_농산물_11-12월'!$B:$B,$B40)))</f>
        <v>129058120</v>
      </c>
      <c r="G40" s="7">
        <f>IF('설정'!$B$3=0,"",CHOOSE('설정'!$B$3,SUMIFS('RAW_농산물_7월'!$G:$G,'RAW_농산물_7월'!$A:$A,G$37,'RAW_농산물_7월'!$B:$B,$B40),SUMIFS('RAW_농산물_8월'!$G:$G,'RAW_농산물_8월'!$A:$A,G$37,'RAW_농산물_8월'!$B:$B,$B40),SUMIFS('RAW_농산물_9월'!$G:$G,'RAW_농산물_9월'!$A:$A,G$37,'RAW_농산물_9월'!$B:$B,$B40),SUMIFS('RAW_농산물_10월'!$G:$G,'RAW_농산물_10월'!$A:$A,G$37,'RAW_농산물_10월'!$B:$B,$B40),SUMIFS('RAW_농산물_11-12월'!$G:$G,'RAW_농산물_11-12월'!$A:$A,G$37,'RAW_농산물_11-12월'!$B:$B,$B40)))</f>
        <v>171052770</v>
      </c>
      <c r="H40" s="7">
        <f>IF('설정'!$B$3=0,"",CHOOSE('설정'!$B$3,SUMIFS('RAW_농산물_7월'!$G:$G,'RAW_농산물_7월'!$A:$A,H$37,'RAW_농산물_7월'!$B:$B,$B40),SUMIFS('RAW_농산물_8월'!$G:$G,'RAW_농산물_8월'!$A:$A,H$37,'RAW_농산물_8월'!$B:$B,$B40),SUMIFS('RAW_농산물_9월'!$G:$G,'RAW_농산물_9월'!$A:$A,H$37,'RAW_농산물_9월'!$B:$B,$B40),SUMIFS('RAW_농산물_10월'!$G:$G,'RAW_농산물_10월'!$A:$A,H$37,'RAW_농산물_10월'!$B:$B,$B40),SUMIFS('RAW_농산물_11-12월'!$G:$G,'RAW_농산물_11-12월'!$A:$A,H$37,'RAW_농산물_11-12월'!$B:$B,$B40)))</f>
        <v>0</v>
      </c>
      <c r="I40" s="7">
        <f>IF('설정'!$B$3=0,"",CHOOSE('설정'!$B$3,SUMIFS('RAW_농산물_7월'!$G:$G,'RAW_농산물_7월'!$A:$A,I$37,'RAW_농산물_7월'!$B:$B,$B40),SUMIFS('RAW_농산물_8월'!$G:$G,'RAW_농산물_8월'!$A:$A,I$37,'RAW_농산물_8월'!$B:$B,$B40),SUMIFS('RAW_농산물_9월'!$G:$G,'RAW_농산물_9월'!$A:$A,I$37,'RAW_농산물_9월'!$B:$B,$B40),SUMIFS('RAW_농산물_10월'!$G:$G,'RAW_농산물_10월'!$A:$A,I$37,'RAW_농산물_10월'!$B:$B,$B40),SUMIFS('RAW_농산물_11-12월'!$G:$G,'RAW_농산물_11-12월'!$A:$A,I$37,'RAW_농산물_11-12월'!$B:$B,$B40)))</f>
        <v>0</v>
      </c>
      <c r="J40" s="7">
        <f>IF('설정'!$B$3=0,"",CHOOSE('설정'!$B$3,SUMIFS('RAW_농산물_7월'!$G:$G,'RAW_농산물_7월'!$A:$A,J$37,'RAW_농산물_7월'!$B:$B,$B40),SUMIFS('RAW_농산물_8월'!$G:$G,'RAW_농산물_8월'!$A:$A,J$37,'RAW_농산물_8월'!$B:$B,$B40),SUMIFS('RAW_농산물_9월'!$G:$G,'RAW_농산물_9월'!$A:$A,J$37,'RAW_농산물_9월'!$B:$B,$B40),SUMIFS('RAW_농산물_10월'!$G:$G,'RAW_농산물_10월'!$A:$A,J$37,'RAW_농산물_10월'!$B:$B,$B40),SUMIFS('RAW_농산물_11-12월'!$G:$G,'RAW_농산물_11-12월'!$A:$A,J$37,'RAW_농산물_11-12월'!$B:$B,$B40)))</f>
        <v>114840100</v>
      </c>
      <c r="K40" s="3">
        <f t="shared" si="13"/>
        <v>7883800</v>
      </c>
      <c r="L40" s="7">
        <f>IF('설정'!$B$4=0,"",CHOOSE('설정'!$B$4,SUMIFS('RAW_유기농_7월'!$G:$G,'RAW_유기농_7월'!$A:$A,L$37,'RAW_유기농_7월'!$B:$B,$B40),SUMIFS('RAW_유기농_8월'!$G:$G,'RAW_유기농_8월'!$A:$A,L$37,'RAW_유기농_8월'!$B:$B,$B40),SUMIFS('RAW_유기농_9월'!$G:$G,'RAW_유기농_9월'!$A:$A,L$37,'RAW_유기농_9월'!$B:$B,$B40),SUMIFS('RAW_유기농_10월'!$G:$G,'RAW_유기농_10월'!$A:$A,L$37,'RAW_유기농_10월'!$B:$B,$B40),SUMIFS('RAW_유기농_11-12월'!$G:$G,'RAW_유기농_11-12월'!$A:$A,L$37,'RAW_유기농_11-12월'!$B:$B,$B40)))</f>
        <v>247000</v>
      </c>
      <c r="M40" s="7">
        <f>IF('설정'!$B$4=0,"",CHOOSE('설정'!$B$4,SUMIFS('RAW_유기농_7월'!$G:$G,'RAW_유기농_7월'!$A:$A,M$37,'RAW_유기농_7월'!$B:$B,$B40),SUMIFS('RAW_유기농_8월'!$G:$G,'RAW_유기농_8월'!$A:$A,M$37,'RAW_유기농_8월'!$B:$B,$B40),SUMIFS('RAW_유기농_9월'!$G:$G,'RAW_유기농_9월'!$A:$A,M$37,'RAW_유기농_9월'!$B:$B,$B40),SUMIFS('RAW_유기농_10월'!$G:$G,'RAW_유기농_10월'!$A:$A,M$37,'RAW_유기농_10월'!$B:$B,$B40),SUMIFS('RAW_유기농_11-12월'!$G:$G,'RAW_유기농_11-12월'!$A:$A,M$37,'RAW_유기농_11-12월'!$B:$B,$B40)))</f>
        <v>7636800</v>
      </c>
    </row>
    <row r="41" ht="15.75" customHeight="1">
      <c r="B41" s="30" t="s">
        <v>186</v>
      </c>
      <c r="C41" s="3">
        <f t="shared" si="11"/>
        <v>2602292959</v>
      </c>
      <c r="D41" s="3">
        <f t="shared" si="12"/>
        <v>2352612459</v>
      </c>
      <c r="E41" s="7">
        <f>IF('설정'!$B$3=0,"",CHOOSE('설정'!$B$3,SUMIFS('RAW_농산물_7월'!$G:$G,'RAW_농산물_7월'!$A:$A,E$37,'RAW_농산물_7월'!$B:$B,$B41),SUMIFS('RAW_농산물_8월'!$G:$G,'RAW_농산물_8월'!$A:$A,E$37,'RAW_농산물_8월'!$B:$B,$B41),SUMIFS('RAW_농산물_9월'!$G:$G,'RAW_농산물_9월'!$A:$A,E$37,'RAW_농산물_9월'!$B:$B,$B41),SUMIFS('RAW_농산물_10월'!$G:$G,'RAW_농산물_10월'!$A:$A,E$37,'RAW_농산물_10월'!$B:$B,$B41),SUMIFS('RAW_농산물_11-12월'!$G:$G,'RAW_농산물_11-12월'!$A:$A,E$37,'RAW_농산물_11-12월'!$B:$B,$B41)))</f>
        <v>1060766440</v>
      </c>
      <c r="F41" s="7">
        <f>IF('설정'!$B$3=0,"",CHOOSE('설정'!$B$3,SUMIFS('RAW_농산물_7월'!$G:$G,'RAW_농산물_7월'!$A:$A,F$37,'RAW_농산물_7월'!$B:$B,$B41),SUMIFS('RAW_농산물_8월'!$G:$G,'RAW_농산물_8월'!$A:$A,F$37,'RAW_농산물_8월'!$B:$B,$B41),SUMIFS('RAW_농산물_9월'!$G:$G,'RAW_농산물_9월'!$A:$A,F$37,'RAW_농산물_9월'!$B:$B,$B41),SUMIFS('RAW_농산물_10월'!$G:$G,'RAW_농산물_10월'!$A:$A,F$37,'RAW_농산물_10월'!$B:$B,$B41),SUMIFS('RAW_농산물_11-12월'!$G:$G,'RAW_농산물_11-12월'!$A:$A,F$37,'RAW_농산물_11-12월'!$B:$B,$B41)))</f>
        <v>566269840</v>
      </c>
      <c r="G41" s="7">
        <f>IF('설정'!$B$3=0,"",CHOOSE('설정'!$B$3,SUMIFS('RAW_농산물_7월'!$G:$G,'RAW_농산물_7월'!$A:$A,G$37,'RAW_농산물_7월'!$B:$B,$B41),SUMIFS('RAW_농산물_8월'!$G:$G,'RAW_농산물_8월'!$A:$A,G$37,'RAW_농산물_8월'!$B:$B,$B41),SUMIFS('RAW_농산물_9월'!$G:$G,'RAW_농산물_9월'!$A:$A,G$37,'RAW_농산물_9월'!$B:$B,$B41),SUMIFS('RAW_농산물_10월'!$G:$G,'RAW_농산물_10월'!$A:$A,G$37,'RAW_농산물_10월'!$B:$B,$B41),SUMIFS('RAW_농산물_11-12월'!$G:$G,'RAW_농산물_11-12월'!$A:$A,G$37,'RAW_농산물_11-12월'!$B:$B,$B41)))</f>
        <v>68823850</v>
      </c>
      <c r="H41" s="7">
        <f>IF('설정'!$B$3=0,"",CHOOSE('설정'!$B$3,SUMIFS('RAW_농산물_7월'!$G:$G,'RAW_농산물_7월'!$A:$A,H$37,'RAW_농산물_7월'!$B:$B,$B41),SUMIFS('RAW_농산물_8월'!$G:$G,'RAW_농산물_8월'!$A:$A,H$37,'RAW_농산물_8월'!$B:$B,$B41),SUMIFS('RAW_농산물_9월'!$G:$G,'RAW_농산물_9월'!$A:$A,H$37,'RAW_농산물_9월'!$B:$B,$B41),SUMIFS('RAW_농산물_10월'!$G:$G,'RAW_농산물_10월'!$A:$A,H$37,'RAW_농산물_10월'!$B:$B,$B41),SUMIFS('RAW_농산물_11-12월'!$G:$G,'RAW_농산물_11-12월'!$A:$A,H$37,'RAW_농산물_11-12월'!$B:$B,$B41)))</f>
        <v>11033700</v>
      </c>
      <c r="I41" s="7">
        <f>IF('설정'!$B$3=0,"",CHOOSE('설정'!$B$3,SUMIFS('RAW_농산물_7월'!$G:$G,'RAW_농산물_7월'!$A:$A,I$37,'RAW_농산물_7월'!$B:$B,$B41),SUMIFS('RAW_농산물_8월'!$G:$G,'RAW_농산물_8월'!$A:$A,I$37,'RAW_농산물_8월'!$B:$B,$B41),SUMIFS('RAW_농산물_9월'!$G:$G,'RAW_농산물_9월'!$A:$A,I$37,'RAW_농산물_9월'!$B:$B,$B41),SUMIFS('RAW_농산물_10월'!$G:$G,'RAW_농산물_10월'!$A:$A,I$37,'RAW_농산물_10월'!$B:$B,$B41),SUMIFS('RAW_농산물_11-12월'!$G:$G,'RAW_농산물_11-12월'!$A:$A,I$37,'RAW_농산물_11-12월'!$B:$B,$B41)))</f>
        <v>403469669</v>
      </c>
      <c r="J41" s="7">
        <f>IF('설정'!$B$3=0,"",CHOOSE('설정'!$B$3,SUMIFS('RAW_농산물_7월'!$G:$G,'RAW_농산물_7월'!$A:$A,J$37,'RAW_농산물_7월'!$B:$B,$B41),SUMIFS('RAW_농산물_8월'!$G:$G,'RAW_농산물_8월'!$A:$A,J$37,'RAW_농산물_8월'!$B:$B,$B41),SUMIFS('RAW_농산물_9월'!$G:$G,'RAW_농산물_9월'!$A:$A,J$37,'RAW_농산물_9월'!$B:$B,$B41),SUMIFS('RAW_농산물_10월'!$G:$G,'RAW_농산물_10월'!$A:$A,J$37,'RAW_농산물_10월'!$B:$B,$B41),SUMIFS('RAW_농산물_11-12월'!$G:$G,'RAW_농산물_11-12월'!$A:$A,J$37,'RAW_농산물_11-12월'!$B:$B,$B41)))</f>
        <v>242248960</v>
      </c>
      <c r="K41" s="3">
        <f t="shared" si="13"/>
        <v>249680500</v>
      </c>
      <c r="L41" s="7">
        <f>IF('설정'!$B$4=0,"",CHOOSE('설정'!$B$4,SUMIFS('RAW_유기농_7월'!$G:$G,'RAW_유기농_7월'!$A:$A,L$37,'RAW_유기농_7월'!$B:$B,$B41),SUMIFS('RAW_유기농_8월'!$G:$G,'RAW_유기농_8월'!$A:$A,L$37,'RAW_유기농_8월'!$B:$B,$B41),SUMIFS('RAW_유기농_9월'!$G:$G,'RAW_유기농_9월'!$A:$A,L$37,'RAW_유기농_9월'!$B:$B,$B41),SUMIFS('RAW_유기농_10월'!$G:$G,'RAW_유기농_10월'!$A:$A,L$37,'RAW_유기농_10월'!$B:$B,$B41),SUMIFS('RAW_유기농_11-12월'!$G:$G,'RAW_유기농_11-12월'!$A:$A,L$37,'RAW_유기농_11-12월'!$B:$B,$B41)))</f>
        <v>28995260</v>
      </c>
      <c r="M41" s="7">
        <f>IF('설정'!$B$4=0,"",CHOOSE('설정'!$B$4,SUMIFS('RAW_유기농_7월'!$G:$G,'RAW_유기농_7월'!$A:$A,M$37,'RAW_유기농_7월'!$B:$B,$B41),SUMIFS('RAW_유기농_8월'!$G:$G,'RAW_유기농_8월'!$A:$A,M$37,'RAW_유기농_8월'!$B:$B,$B41),SUMIFS('RAW_유기농_9월'!$G:$G,'RAW_유기농_9월'!$A:$A,M$37,'RAW_유기농_9월'!$B:$B,$B41),SUMIFS('RAW_유기농_10월'!$G:$G,'RAW_유기농_10월'!$A:$A,M$37,'RAW_유기농_10월'!$B:$B,$B41),SUMIFS('RAW_유기농_11-12월'!$G:$G,'RAW_유기농_11-12월'!$A:$A,M$37,'RAW_유기농_11-12월'!$B:$B,$B41)))</f>
        <v>220685240</v>
      </c>
    </row>
    <row r="42" ht="15.75" customHeight="1"/>
    <row r="43" ht="15.75" customHeight="1">
      <c r="B43" s="21" t="s">
        <v>254</v>
      </c>
    </row>
    <row r="44" ht="15.75" customHeight="1">
      <c r="B44" s="22" t="s">
        <v>5</v>
      </c>
      <c r="C44" s="22" t="s">
        <v>76</v>
      </c>
      <c r="D44" s="24" t="s">
        <v>78</v>
      </c>
      <c r="E44" s="25"/>
      <c r="F44" s="25"/>
      <c r="G44" s="25"/>
      <c r="H44" s="25"/>
      <c r="I44" s="25"/>
      <c r="J44" s="26"/>
      <c r="K44" s="24" t="s">
        <v>90</v>
      </c>
      <c r="L44" s="25"/>
      <c r="M44" s="26"/>
    </row>
    <row r="45" ht="15.75" customHeight="1">
      <c r="B45" s="27"/>
      <c r="C45" s="27"/>
      <c r="D45" s="10" t="s">
        <v>91</v>
      </c>
      <c r="E45" s="10" t="s">
        <v>92</v>
      </c>
      <c r="F45" s="10" t="s">
        <v>93</v>
      </c>
      <c r="G45" s="10" t="s">
        <v>28</v>
      </c>
      <c r="H45" s="10" t="s">
        <v>94</v>
      </c>
      <c r="I45" s="10" t="s">
        <v>95</v>
      </c>
      <c r="J45" s="10" t="s">
        <v>31</v>
      </c>
      <c r="K45" s="10" t="s">
        <v>91</v>
      </c>
      <c r="L45" s="10" t="s">
        <v>92</v>
      </c>
      <c r="M45" s="10" t="s">
        <v>31</v>
      </c>
    </row>
    <row r="46" ht="15.75" customHeight="1">
      <c r="B46" s="2" t="s">
        <v>76</v>
      </c>
      <c r="C46" s="3">
        <f t="shared" ref="C46:C49" si="16">IF(COUNT(D46,K46)=0,"",SUM(D46,K46))</f>
        <v>756125</v>
      </c>
      <c r="D46" s="3">
        <f t="shared" ref="D46:D49" si="17">IF(COUNT(E46:J46)=0,"",SUM(E46:J46))</f>
        <v>475218</v>
      </c>
      <c r="E46" s="3">
        <f t="shared" ref="E46:J46" si="14">IF(COUNT(E47:E49)=0,"",SUM(E47:E49))</f>
        <v>108140</v>
      </c>
      <c r="F46" s="3">
        <f t="shared" si="14"/>
        <v>68093</v>
      </c>
      <c r="G46" s="3">
        <f t="shared" si="14"/>
        <v>13595</v>
      </c>
      <c r="H46" s="3">
        <f t="shared" si="14"/>
        <v>3100</v>
      </c>
      <c r="I46" s="3">
        <f t="shared" si="14"/>
        <v>30683</v>
      </c>
      <c r="J46" s="3">
        <f t="shared" si="14"/>
        <v>251607</v>
      </c>
      <c r="K46" s="3">
        <f t="shared" ref="K46:K49" si="18">IF(COUNT(L46:M46)=0,"",SUM(L46:M46))</f>
        <v>280907</v>
      </c>
      <c r="L46" s="3">
        <f t="shared" ref="L46:M46" si="15">IF(COUNT(L47:L49)=0,"",SUM(L47:L49))</f>
        <v>10898</v>
      </c>
      <c r="M46" s="3">
        <f t="shared" si="15"/>
        <v>270009</v>
      </c>
    </row>
    <row r="47" ht="15.75" customHeight="1">
      <c r="B47" s="30" t="s">
        <v>117</v>
      </c>
      <c r="C47" s="3">
        <f t="shared" si="16"/>
        <v>521013</v>
      </c>
      <c r="D47" s="3">
        <f t="shared" si="17"/>
        <v>290861</v>
      </c>
      <c r="E47" s="7">
        <f>IF('설정'!$B$3=0,"",CHOOSE('설정'!$B$3,SUMIFS('RAW_농산물_7월'!$F:$F,'RAW_농산물_7월'!$A:$A,E$45,'RAW_농산물_7월'!$B:$B,$B47),SUMIFS('RAW_농산물_8월'!$F:$F,'RAW_농산물_8월'!$A:$A,E$45,'RAW_농산물_8월'!$B:$B,$B47),SUMIFS('RAW_농산물_9월'!$F:$F,'RAW_농산물_9월'!$A:$A,E$45,'RAW_농산물_9월'!$B:$B,$B47),SUMIFS('RAW_농산물_10월'!$F:$F,'RAW_농산물_10월'!$A:$A,E$45,'RAW_농산물_10월'!$B:$B,$B47),SUMIFS('RAW_농산물_11-12월'!$F:$F,'RAW_농산물_11-12월'!$A:$A,E$45,'RAW_농산물_11-12월'!$B:$B,$B47)))</f>
        <v>54773</v>
      </c>
      <c r="F47" s="7">
        <f>IF('설정'!$B$3=0,"",CHOOSE('설정'!$B$3,SUMIFS('RAW_농산물_7월'!$F:$F,'RAW_농산물_7월'!$A:$A,F$45,'RAW_농산물_7월'!$B:$B,$B47),SUMIFS('RAW_농산물_8월'!$F:$F,'RAW_농산물_8월'!$A:$A,F$45,'RAW_농산물_8월'!$B:$B,$B47),SUMIFS('RAW_농산물_9월'!$F:$F,'RAW_농산물_9월'!$A:$A,F$45,'RAW_농산물_9월'!$B:$B,$B47),SUMIFS('RAW_농산물_10월'!$F:$F,'RAW_농산물_10월'!$A:$A,F$45,'RAW_농산물_10월'!$B:$B,$B47),SUMIFS('RAW_농산물_11-12월'!$F:$F,'RAW_농산물_11-12월'!$A:$A,F$45,'RAW_농산물_11-12월'!$B:$B,$B47)))</f>
        <v>30320</v>
      </c>
      <c r="G47" s="7">
        <f>IF('설정'!$B$3=0,"",CHOOSE('설정'!$B$3,SUMIFS('RAW_농산물_7월'!$F:$F,'RAW_농산물_7월'!$A:$A,G$45,'RAW_농산물_7월'!$B:$B,$B47),SUMIFS('RAW_농산물_8월'!$F:$F,'RAW_농산물_8월'!$A:$A,G$45,'RAW_농산물_8월'!$B:$B,$B47),SUMIFS('RAW_농산물_9월'!$F:$F,'RAW_농산물_9월'!$A:$A,G$45,'RAW_농산물_9월'!$B:$B,$B47),SUMIFS('RAW_농산물_10월'!$F:$F,'RAW_농산물_10월'!$A:$A,G$45,'RAW_농산물_10월'!$B:$B,$B47),SUMIFS('RAW_농산물_11-12월'!$F:$F,'RAW_농산물_11-12월'!$A:$A,G$45,'RAW_농산물_11-12월'!$B:$B,$B47)))</f>
        <v>6030</v>
      </c>
      <c r="H47" s="7">
        <f>IF('설정'!$B$3=0,"",CHOOSE('설정'!$B$3,SUMIFS('RAW_농산물_7월'!$F:$F,'RAW_농산물_7월'!$A:$A,H$45,'RAW_농산물_7월'!$B:$B,$B47),SUMIFS('RAW_농산물_8월'!$F:$F,'RAW_농산물_8월'!$A:$A,H$45,'RAW_농산물_8월'!$B:$B,$B47),SUMIFS('RAW_농산물_9월'!$F:$F,'RAW_농산물_9월'!$A:$A,H$45,'RAW_농산물_9월'!$B:$B,$B47),SUMIFS('RAW_농산물_10월'!$F:$F,'RAW_농산물_10월'!$A:$A,H$45,'RAW_농산물_10월'!$B:$B,$B47),SUMIFS('RAW_농산물_11-12월'!$F:$F,'RAW_농산물_11-12월'!$A:$A,H$45,'RAW_농산물_11-12월'!$B:$B,$B47)))</f>
        <v>2612</v>
      </c>
      <c r="I47" s="7">
        <f>IF('설정'!$B$3=0,"",CHOOSE('설정'!$B$3,SUMIFS('RAW_농산물_7월'!$F:$F,'RAW_농산물_7월'!$A:$A,I$45,'RAW_농산물_7월'!$B:$B,$B47),SUMIFS('RAW_농산물_8월'!$F:$F,'RAW_농산물_8월'!$A:$A,I$45,'RAW_농산물_8월'!$B:$B,$B47),SUMIFS('RAW_농산물_9월'!$F:$F,'RAW_농산물_9월'!$A:$A,I$45,'RAW_농산물_9월'!$B:$B,$B47),SUMIFS('RAW_농산물_10월'!$F:$F,'RAW_농산물_10월'!$A:$A,I$45,'RAW_농산물_10월'!$B:$B,$B47),SUMIFS('RAW_농산물_11-12월'!$F:$F,'RAW_농산물_11-12월'!$A:$A,I$45,'RAW_농산물_11-12월'!$B:$B,$B47)))</f>
        <v>4345</v>
      </c>
      <c r="J47" s="7">
        <f>IF('설정'!$B$3=0,"",CHOOSE('설정'!$B$3,SUMIFS('RAW_농산물_7월'!$F:$F,'RAW_농산물_7월'!$A:$A,J$45,'RAW_농산물_7월'!$B:$B,$B47),SUMIFS('RAW_농산물_8월'!$F:$F,'RAW_농산물_8월'!$A:$A,J$45,'RAW_농산물_8월'!$B:$B,$B47),SUMIFS('RAW_농산물_9월'!$F:$F,'RAW_농산물_9월'!$A:$A,J$45,'RAW_농산물_9월'!$B:$B,$B47),SUMIFS('RAW_농산물_10월'!$F:$F,'RAW_농산물_10월'!$A:$A,J$45,'RAW_농산물_10월'!$B:$B,$B47),SUMIFS('RAW_농산물_11-12월'!$F:$F,'RAW_농산물_11-12월'!$A:$A,J$45,'RAW_농산물_11-12월'!$B:$B,$B47)))</f>
        <v>192781</v>
      </c>
      <c r="K47" s="3">
        <f t="shared" si="18"/>
        <v>230152</v>
      </c>
      <c r="L47" s="7">
        <f>IF('설정'!$B$4=0,"",CHOOSE('설정'!$B$4,SUMIFS('RAW_유기농_7월'!$F:$F,'RAW_유기농_7월'!$A:$A,L$45,'RAW_유기농_7월'!$B:$B,$B47),SUMIFS('RAW_유기농_8월'!$F:$F,'RAW_유기농_8월'!$A:$A,L$45,'RAW_유기농_8월'!$B:$B,$B47),SUMIFS('RAW_유기농_9월'!$F:$F,'RAW_유기농_9월'!$A:$A,L$45,'RAW_유기농_9월'!$B:$B,$B47),SUMIFS('RAW_유기농_10월'!$F:$F,'RAW_유기농_10월'!$A:$A,L$45,'RAW_유기농_10월'!$B:$B,$B47),SUMIFS('RAW_유기농_11-12월'!$F:$F,'RAW_유기농_11-12월'!$A:$A,L$45,'RAW_유기농_11-12월'!$B:$B,$B47)))</f>
        <v>9770</v>
      </c>
      <c r="M47" s="7">
        <f>IF('설정'!$B$4=0,"",CHOOSE('설정'!$B$4,SUMIFS('RAW_유기농_7월'!$F:$F,'RAW_유기농_7월'!$A:$A,M$45,'RAW_유기농_7월'!$B:$B,$B47),SUMIFS('RAW_유기농_8월'!$F:$F,'RAW_유기농_8월'!$A:$A,M$45,'RAW_유기농_8월'!$B:$B,$B47),SUMIFS('RAW_유기농_9월'!$F:$F,'RAW_유기농_9월'!$A:$A,M$45,'RAW_유기농_9월'!$B:$B,$B47),SUMIFS('RAW_유기농_10월'!$F:$F,'RAW_유기농_10월'!$A:$A,M$45,'RAW_유기농_10월'!$B:$B,$B47),SUMIFS('RAW_유기농_11-12월'!$F:$F,'RAW_유기농_11-12월'!$A:$A,M$45,'RAW_유기농_11-12월'!$B:$B,$B47)))</f>
        <v>220382</v>
      </c>
    </row>
    <row r="48" ht="15.75" customHeight="1">
      <c r="B48" s="30" t="s">
        <v>174</v>
      </c>
      <c r="C48" s="3">
        <f t="shared" si="16"/>
        <v>34102</v>
      </c>
      <c r="D48" s="3">
        <f t="shared" si="17"/>
        <v>32787</v>
      </c>
      <c r="E48" s="7">
        <f>IF('설정'!$B$3=0,"",CHOOSE('설정'!$B$3,SUMIFS('RAW_농산물_7월'!$F:$F,'RAW_농산물_7월'!$A:$A,E$45,'RAW_농산물_7월'!$B:$B,$B48),SUMIFS('RAW_농산물_8월'!$F:$F,'RAW_농산물_8월'!$A:$A,E$45,'RAW_농산물_8월'!$B:$B,$B48),SUMIFS('RAW_농산물_9월'!$F:$F,'RAW_농산물_9월'!$A:$A,E$45,'RAW_농산물_9월'!$B:$B,$B48),SUMIFS('RAW_농산물_10월'!$F:$F,'RAW_농산물_10월'!$A:$A,E$45,'RAW_농산물_10월'!$B:$B,$B48),SUMIFS('RAW_농산물_11-12월'!$F:$F,'RAW_농산물_11-12월'!$A:$A,E$45,'RAW_농산물_11-12월'!$B:$B,$B48)))</f>
        <v>12132</v>
      </c>
      <c r="F48" s="7">
        <f>IF('설정'!$B$3=0,"",CHOOSE('설정'!$B$3,SUMIFS('RAW_농산물_7월'!$F:$F,'RAW_농산물_7월'!$A:$A,F$45,'RAW_농산물_7월'!$B:$B,$B48),SUMIFS('RAW_농산물_8월'!$F:$F,'RAW_농산물_8월'!$A:$A,F$45,'RAW_농산물_8월'!$B:$B,$B48),SUMIFS('RAW_농산물_9월'!$F:$F,'RAW_농산물_9월'!$A:$A,F$45,'RAW_농산물_9월'!$B:$B,$B48),SUMIFS('RAW_농산물_10월'!$F:$F,'RAW_농산물_10월'!$A:$A,F$45,'RAW_농산물_10월'!$B:$B,$B48),SUMIFS('RAW_농산물_11-12월'!$F:$F,'RAW_농산물_11-12월'!$A:$A,F$45,'RAW_농산물_11-12월'!$B:$B,$B48)))</f>
        <v>5546</v>
      </c>
      <c r="G48" s="7">
        <f>IF('설정'!$B$3=0,"",CHOOSE('설정'!$B$3,SUMIFS('RAW_농산물_7월'!$F:$F,'RAW_농산물_7월'!$A:$A,G$45,'RAW_농산물_7월'!$B:$B,$B48),SUMIFS('RAW_농산물_8월'!$F:$F,'RAW_농산물_8월'!$A:$A,G$45,'RAW_농산물_8월'!$B:$B,$B48),SUMIFS('RAW_농산물_9월'!$F:$F,'RAW_농산물_9월'!$A:$A,G$45,'RAW_농산물_9월'!$B:$B,$B48),SUMIFS('RAW_농산물_10월'!$F:$F,'RAW_농산물_10월'!$A:$A,G$45,'RAW_농산물_10월'!$B:$B,$B48),SUMIFS('RAW_농산물_11-12월'!$F:$F,'RAW_농산물_11-12월'!$A:$A,G$45,'RAW_농산물_11-12월'!$B:$B,$B48)))</f>
        <v>4621</v>
      </c>
      <c r="H48" s="7">
        <f>IF('설정'!$B$3=0,"",CHOOSE('설정'!$B$3,SUMIFS('RAW_농산물_7월'!$F:$F,'RAW_농산물_7월'!$A:$A,H$45,'RAW_농산물_7월'!$B:$B,$B48),SUMIFS('RAW_농산물_8월'!$F:$F,'RAW_농산물_8월'!$A:$A,H$45,'RAW_농산물_8월'!$B:$B,$B48),SUMIFS('RAW_농산물_9월'!$F:$F,'RAW_농산물_9월'!$A:$A,H$45,'RAW_농산물_9월'!$B:$B,$B48),SUMIFS('RAW_농산물_10월'!$F:$F,'RAW_농산물_10월'!$A:$A,H$45,'RAW_농산물_10월'!$B:$B,$B48),SUMIFS('RAW_농산물_11-12월'!$F:$F,'RAW_농산물_11-12월'!$A:$A,H$45,'RAW_농산물_11-12월'!$B:$B,$B48)))</f>
        <v>0</v>
      </c>
      <c r="I48" s="7">
        <f>IF('설정'!$B$3=0,"",CHOOSE('설정'!$B$3,SUMIFS('RAW_농산물_7월'!$F:$F,'RAW_농산물_7월'!$A:$A,I$45,'RAW_농산물_7월'!$B:$B,$B48),SUMIFS('RAW_농산물_8월'!$F:$F,'RAW_농산물_8월'!$A:$A,I$45,'RAW_농산물_8월'!$B:$B,$B48),SUMIFS('RAW_농산물_9월'!$F:$F,'RAW_농산물_9월'!$A:$A,I$45,'RAW_농산물_9월'!$B:$B,$B48),SUMIFS('RAW_농산물_10월'!$F:$F,'RAW_농산물_10월'!$A:$A,I$45,'RAW_농산물_10월'!$B:$B,$B48),SUMIFS('RAW_농산물_11-12월'!$F:$F,'RAW_농산물_11-12월'!$A:$A,I$45,'RAW_농산물_11-12월'!$B:$B,$B48)))</f>
        <v>0</v>
      </c>
      <c r="J48" s="7">
        <f>IF('설정'!$B$3=0,"",CHOOSE('설정'!$B$3,SUMIFS('RAW_농산물_7월'!$F:$F,'RAW_농산물_7월'!$A:$A,J$45,'RAW_농산물_7월'!$B:$B,$B48),SUMIFS('RAW_농산물_8월'!$F:$F,'RAW_농산물_8월'!$A:$A,J$45,'RAW_농산물_8월'!$B:$B,$B48),SUMIFS('RAW_농산물_9월'!$F:$F,'RAW_농산물_9월'!$A:$A,J$45,'RAW_농산물_9월'!$B:$B,$B48),SUMIFS('RAW_농산물_10월'!$F:$F,'RAW_농산물_10월'!$A:$A,J$45,'RAW_농산물_10월'!$B:$B,$B48),SUMIFS('RAW_농산물_11-12월'!$F:$F,'RAW_농산물_11-12월'!$A:$A,J$45,'RAW_농산물_11-12월'!$B:$B,$B48)))</f>
        <v>10488</v>
      </c>
      <c r="K48" s="3">
        <f t="shared" si="18"/>
        <v>1315</v>
      </c>
      <c r="L48" s="7">
        <f>IF('설정'!$B$4=0,"",CHOOSE('설정'!$B$4,SUMIFS('RAW_유기농_7월'!$F:$F,'RAW_유기농_7월'!$A:$A,L$45,'RAW_유기농_7월'!$B:$B,$B48),SUMIFS('RAW_유기농_8월'!$F:$F,'RAW_유기농_8월'!$A:$A,L$45,'RAW_유기농_8월'!$B:$B,$B48),SUMIFS('RAW_유기농_9월'!$F:$F,'RAW_유기농_9월'!$A:$A,L$45,'RAW_유기농_9월'!$B:$B,$B48),SUMIFS('RAW_유기농_10월'!$F:$F,'RAW_유기농_10월'!$A:$A,L$45,'RAW_유기농_10월'!$B:$B,$B48),SUMIFS('RAW_유기농_11-12월'!$F:$F,'RAW_유기농_11-12월'!$A:$A,L$45,'RAW_유기농_11-12월'!$B:$B,$B48)))</f>
        <v>8</v>
      </c>
      <c r="M48" s="7">
        <f>IF('설정'!$B$4=0,"",CHOOSE('설정'!$B$4,SUMIFS('RAW_유기농_7월'!$F:$F,'RAW_유기농_7월'!$A:$A,M$45,'RAW_유기농_7월'!$B:$B,$B48),SUMIFS('RAW_유기농_8월'!$F:$F,'RAW_유기농_8월'!$A:$A,M$45,'RAW_유기농_8월'!$B:$B,$B48),SUMIFS('RAW_유기농_9월'!$F:$F,'RAW_유기농_9월'!$A:$A,M$45,'RAW_유기농_9월'!$B:$B,$B48),SUMIFS('RAW_유기농_10월'!$F:$F,'RAW_유기농_10월'!$A:$A,M$45,'RAW_유기농_10월'!$B:$B,$B48),SUMIFS('RAW_유기농_11-12월'!$F:$F,'RAW_유기농_11-12월'!$A:$A,M$45,'RAW_유기농_11-12월'!$B:$B,$B48)))</f>
        <v>1307</v>
      </c>
    </row>
    <row r="49" ht="15.75" customHeight="1">
      <c r="B49" s="30" t="s">
        <v>186</v>
      </c>
      <c r="C49" s="3">
        <f t="shared" si="16"/>
        <v>201010</v>
      </c>
      <c r="D49" s="3">
        <f t="shared" si="17"/>
        <v>151570</v>
      </c>
      <c r="E49" s="7">
        <f>IF('설정'!$B$3=0,"",CHOOSE('설정'!$B$3,SUMIFS('RAW_농산물_7월'!$F:$F,'RAW_농산물_7월'!$A:$A,E$45,'RAW_농산물_7월'!$B:$B,$B49),SUMIFS('RAW_농산물_8월'!$F:$F,'RAW_농산물_8월'!$A:$A,E$45,'RAW_농산물_8월'!$B:$B,$B49),SUMIFS('RAW_농산물_9월'!$F:$F,'RAW_농산물_9월'!$A:$A,E$45,'RAW_농산물_9월'!$B:$B,$B49),SUMIFS('RAW_농산물_10월'!$F:$F,'RAW_농산물_10월'!$A:$A,E$45,'RAW_농산물_10월'!$B:$B,$B49),SUMIFS('RAW_농산물_11-12월'!$F:$F,'RAW_농산물_11-12월'!$A:$A,E$45,'RAW_농산물_11-12월'!$B:$B,$B49)))</f>
        <v>41235</v>
      </c>
      <c r="F49" s="7">
        <f>IF('설정'!$B$3=0,"",CHOOSE('설정'!$B$3,SUMIFS('RAW_농산물_7월'!$F:$F,'RAW_농산물_7월'!$A:$A,F$45,'RAW_농산물_7월'!$B:$B,$B49),SUMIFS('RAW_농산물_8월'!$F:$F,'RAW_농산물_8월'!$A:$A,F$45,'RAW_농산물_8월'!$B:$B,$B49),SUMIFS('RAW_농산물_9월'!$F:$F,'RAW_농산물_9월'!$A:$A,F$45,'RAW_농산물_9월'!$B:$B,$B49),SUMIFS('RAW_농산물_10월'!$F:$F,'RAW_농산물_10월'!$A:$A,F$45,'RAW_농산물_10월'!$B:$B,$B49),SUMIFS('RAW_농산물_11-12월'!$F:$F,'RAW_농산물_11-12월'!$A:$A,F$45,'RAW_농산물_11-12월'!$B:$B,$B49)))</f>
        <v>32227</v>
      </c>
      <c r="G49" s="7">
        <f>IF('설정'!$B$3=0,"",CHOOSE('설정'!$B$3,SUMIFS('RAW_농산물_7월'!$F:$F,'RAW_농산물_7월'!$A:$A,G$45,'RAW_농산물_7월'!$B:$B,$B49),SUMIFS('RAW_농산물_8월'!$F:$F,'RAW_농산물_8월'!$A:$A,G$45,'RAW_농산물_8월'!$B:$B,$B49),SUMIFS('RAW_농산물_9월'!$F:$F,'RAW_농산물_9월'!$A:$A,G$45,'RAW_농산물_9월'!$B:$B,$B49),SUMIFS('RAW_농산물_10월'!$F:$F,'RAW_농산물_10월'!$A:$A,G$45,'RAW_농산물_10월'!$B:$B,$B49),SUMIFS('RAW_농산물_11-12월'!$F:$F,'RAW_농산물_11-12월'!$A:$A,G$45,'RAW_농산물_11-12월'!$B:$B,$B49)))</f>
        <v>2944</v>
      </c>
      <c r="H49" s="7">
        <f>IF('설정'!$B$3=0,"",CHOOSE('설정'!$B$3,SUMIFS('RAW_농산물_7월'!$F:$F,'RAW_농산물_7월'!$A:$A,H$45,'RAW_농산물_7월'!$B:$B,$B49),SUMIFS('RAW_농산물_8월'!$F:$F,'RAW_농산물_8월'!$A:$A,H$45,'RAW_농산물_8월'!$B:$B,$B49),SUMIFS('RAW_농산물_9월'!$F:$F,'RAW_농산물_9월'!$A:$A,H$45,'RAW_농산물_9월'!$B:$B,$B49),SUMIFS('RAW_농산물_10월'!$F:$F,'RAW_농산물_10월'!$A:$A,H$45,'RAW_농산물_10월'!$B:$B,$B49),SUMIFS('RAW_농산물_11-12월'!$F:$F,'RAW_농산물_11-12월'!$A:$A,H$45,'RAW_농산물_11-12월'!$B:$B,$B49)))</f>
        <v>488</v>
      </c>
      <c r="I49" s="7">
        <f>IF('설정'!$B$3=0,"",CHOOSE('설정'!$B$3,SUMIFS('RAW_농산물_7월'!$F:$F,'RAW_농산물_7월'!$A:$A,I$45,'RAW_농산물_7월'!$B:$B,$B49),SUMIFS('RAW_농산물_8월'!$F:$F,'RAW_농산물_8월'!$A:$A,I$45,'RAW_농산물_8월'!$B:$B,$B49),SUMIFS('RAW_농산물_9월'!$F:$F,'RAW_농산물_9월'!$A:$A,I$45,'RAW_농산물_9월'!$B:$B,$B49),SUMIFS('RAW_농산물_10월'!$F:$F,'RAW_농산물_10월'!$A:$A,I$45,'RAW_농산물_10월'!$B:$B,$B49),SUMIFS('RAW_농산물_11-12월'!$F:$F,'RAW_농산물_11-12월'!$A:$A,I$45,'RAW_농산물_11-12월'!$B:$B,$B49)))</f>
        <v>26338</v>
      </c>
      <c r="J49" s="7">
        <f>IF('설정'!$B$3=0,"",CHOOSE('설정'!$B$3,SUMIFS('RAW_농산물_7월'!$F:$F,'RAW_농산물_7월'!$A:$A,J$45,'RAW_농산물_7월'!$B:$B,$B49),SUMIFS('RAW_농산물_8월'!$F:$F,'RAW_농산물_8월'!$A:$A,J$45,'RAW_농산물_8월'!$B:$B,$B49),SUMIFS('RAW_농산물_9월'!$F:$F,'RAW_농산물_9월'!$A:$A,J$45,'RAW_농산물_9월'!$B:$B,$B49),SUMIFS('RAW_농산물_10월'!$F:$F,'RAW_농산물_10월'!$A:$A,J$45,'RAW_농산물_10월'!$B:$B,$B49),SUMIFS('RAW_농산물_11-12월'!$F:$F,'RAW_농산물_11-12월'!$A:$A,J$45,'RAW_농산물_11-12월'!$B:$B,$B49)))</f>
        <v>48338</v>
      </c>
      <c r="K49" s="3">
        <f t="shared" si="18"/>
        <v>49440</v>
      </c>
      <c r="L49" s="7">
        <f>IF('설정'!$B$4=0,"",CHOOSE('설정'!$B$4,SUMIFS('RAW_유기농_7월'!$F:$F,'RAW_유기농_7월'!$A:$A,L$45,'RAW_유기농_7월'!$B:$B,$B49),SUMIFS('RAW_유기농_8월'!$F:$F,'RAW_유기농_8월'!$A:$A,L$45,'RAW_유기농_8월'!$B:$B,$B49),SUMIFS('RAW_유기농_9월'!$F:$F,'RAW_유기농_9월'!$A:$A,L$45,'RAW_유기농_9월'!$B:$B,$B49),SUMIFS('RAW_유기농_10월'!$F:$F,'RAW_유기농_10월'!$A:$A,L$45,'RAW_유기농_10월'!$B:$B,$B49),SUMIFS('RAW_유기농_11-12월'!$F:$F,'RAW_유기농_11-12월'!$A:$A,L$45,'RAW_유기농_11-12월'!$B:$B,$B49)))</f>
        <v>1120</v>
      </c>
      <c r="M49" s="7">
        <f>IF('설정'!$B$4=0,"",CHOOSE('설정'!$B$4,SUMIFS('RAW_유기농_7월'!$F:$F,'RAW_유기농_7월'!$A:$A,M$45,'RAW_유기농_7월'!$B:$B,$B49),SUMIFS('RAW_유기농_8월'!$F:$F,'RAW_유기농_8월'!$A:$A,M$45,'RAW_유기농_8월'!$B:$B,$B49),SUMIFS('RAW_유기농_9월'!$F:$F,'RAW_유기농_9월'!$A:$A,M$45,'RAW_유기농_9월'!$B:$B,$B49),SUMIFS('RAW_유기농_10월'!$F:$F,'RAW_유기농_10월'!$A:$A,M$45,'RAW_유기농_10월'!$B:$B,$B49),SUMIFS('RAW_유기농_11-12월'!$F:$F,'RAW_유기농_11-12월'!$A:$A,M$45,'RAW_유기농_11-12월'!$B:$B,$B49)))</f>
        <v>48320</v>
      </c>
    </row>
    <row r="50" ht="15.75" customHeight="1"/>
    <row r="51" ht="15.75" customHeight="1"/>
    <row r="52" ht="15.75" customHeight="1"/>
    <row r="53" ht="15.75" customHeight="1">
      <c r="B53" s="8" t="s">
        <v>370</v>
      </c>
    </row>
    <row r="54" ht="15.75" customHeight="1"/>
    <row r="55" ht="15.75" customHeight="1">
      <c r="B55" s="21" t="s">
        <v>372</v>
      </c>
    </row>
    <row r="56" ht="15.75" customHeight="1">
      <c r="B56" s="4" t="s">
        <v>5</v>
      </c>
      <c r="C56" s="4" t="s">
        <v>376</v>
      </c>
      <c r="D56" s="4" t="s">
        <v>76</v>
      </c>
      <c r="E56" s="4" t="s">
        <v>92</v>
      </c>
      <c r="F56" s="4" t="s">
        <v>93</v>
      </c>
      <c r="G56" s="4" t="s">
        <v>28</v>
      </c>
      <c r="H56" s="4" t="s">
        <v>94</v>
      </c>
      <c r="I56" s="4" t="s">
        <v>95</v>
      </c>
      <c r="J56" s="4" t="s">
        <v>31</v>
      </c>
    </row>
    <row r="57" ht="15.75" customHeight="1">
      <c r="B57" s="45" t="s">
        <v>173</v>
      </c>
      <c r="C57" s="30" t="s">
        <v>393</v>
      </c>
      <c r="D57" s="3">
        <f t="shared" ref="D57:D66" si="19">IF(COUNT(E57:J57)=0,"",SUM(E57:J57))</f>
        <v>186</v>
      </c>
      <c r="E57" s="7">
        <f>IF(COUNTA('RAW_농산물_7월'!$A:$A)&lt;=1,"",COUNTIFS('농산물업체'!$E$3:$E$702,E$56,'농산물업체'!$I$3:$I$702,"O"))</f>
        <v>82</v>
      </c>
      <c r="F57" s="7">
        <f>IF(COUNTA('RAW_농산물_7월'!$A:$A)&lt;=1,"",COUNTIFS('농산물업체'!$E$3:$E$702,F$56,'농산물업체'!$I$3:$I$702,"O"))</f>
        <v>36</v>
      </c>
      <c r="G57" s="7">
        <f>IF(COUNTA('RAW_농산물_7월'!$A:$A)&lt;=1,"",COUNTIFS('농산물업체'!$E$3:$E$702,G$56,'농산물업체'!$I$3:$I$702,"O"))</f>
        <v>32</v>
      </c>
      <c r="H57" s="7">
        <f>IF(COUNTA('RAW_농산물_7월'!$A:$A)&lt;=1,"",COUNTIFS('농산물업체'!$E$3:$E$702,H$56,'농산물업체'!$I$3:$I$702,"O"))</f>
        <v>17</v>
      </c>
      <c r="I57" s="7">
        <f>IF(COUNTA('RAW_농산물_7월'!$A:$A)&lt;=1,"",COUNTIFS('농산물업체'!$E$3:$E$702,I$56,'농산물업체'!$I$3:$I$702,"O"))</f>
        <v>6</v>
      </c>
      <c r="J57" s="7">
        <f>IF(COUNTA('RAW_농산물_7월'!$A:$A)&lt;=1,"",COUNTIFS('농산물업체'!$E$3:$E$702,J$56,'농산물업체'!$I$3:$I$702,"O"))</f>
        <v>13</v>
      </c>
    </row>
    <row r="58" ht="15.75" customHeight="1">
      <c r="B58" s="27"/>
      <c r="C58" s="30" t="s">
        <v>102</v>
      </c>
      <c r="D58" s="3">
        <f t="shared" si="19"/>
        <v>1130</v>
      </c>
      <c r="E58" s="7">
        <f>IF(COUNTA('RAW_농산물_7월'!$A:$A)&lt;=1,"",COUNTIFS('RAW_농산물_7월'!$A:$A,E$56))</f>
        <v>388</v>
      </c>
      <c r="F58" s="7">
        <f>IF(COUNTA('RAW_농산물_7월'!$A:$A)&lt;=1,"",COUNTIFS('RAW_농산물_7월'!$A:$A,F$56))</f>
        <v>258</v>
      </c>
      <c r="G58" s="7">
        <f>IF(COUNTA('RAW_농산물_7월'!$A:$A)&lt;=1,"",COUNTIFS('RAW_농산물_7월'!$A:$A,G$56))</f>
        <v>313</v>
      </c>
      <c r="H58" s="7">
        <f>IF(COUNTA('RAW_농산물_7월'!$A:$A)&lt;=1,"",COUNTIFS('RAW_농산물_7월'!$A:$A,H$56))</f>
        <v>55</v>
      </c>
      <c r="I58" s="7">
        <f>IF(COUNTA('RAW_농산물_7월'!$A:$A)&lt;=1,"",COUNTIFS('RAW_농산물_7월'!$A:$A,I$56))</f>
        <v>29</v>
      </c>
      <c r="J58" s="7">
        <f>IF(COUNTA('RAW_농산물_7월'!$A:$A)&lt;=1,"",COUNTIFS('RAW_농산물_7월'!$A:$A,J$56))</f>
        <v>87</v>
      </c>
    </row>
    <row r="59" ht="15.75" customHeight="1">
      <c r="B59" s="45" t="s">
        <v>175</v>
      </c>
      <c r="C59" s="30" t="s">
        <v>393</v>
      </c>
      <c r="D59" s="3">
        <f t="shared" si="19"/>
        <v>207</v>
      </c>
      <c r="E59" s="7">
        <f>IF(COUNTA('RAW_농산물_8월'!$A:$A)&lt;=1,"",COUNTIFS('농산물업체'!$E$3:$E$702,E$56,'농산물업체'!$J$3:$J$702,"O"))</f>
        <v>93</v>
      </c>
      <c r="F59" s="7">
        <f>IF(COUNTA('RAW_농산물_8월'!$A:$A)&lt;=1,"",COUNTIFS('농산물업체'!$E$3:$E$702,F$56,'농산물업체'!$J$3:$J$702,"O"))</f>
        <v>41</v>
      </c>
      <c r="G59" s="7">
        <f>IF(COUNTA('RAW_농산물_8월'!$A:$A)&lt;=1,"",COUNTIFS('농산물업체'!$E$3:$E$702,G$56,'농산물업체'!$J$3:$J$702,"O"))</f>
        <v>34</v>
      </c>
      <c r="H59" s="7">
        <f>IF(COUNTA('RAW_농산물_8월'!$A:$A)&lt;=1,"",COUNTIFS('농산물업체'!$E$3:$E$702,H$56,'농산물업체'!$J$3:$J$702,"O"))</f>
        <v>19</v>
      </c>
      <c r="I59" s="7">
        <f>IF(COUNTA('RAW_농산물_8월'!$A:$A)&lt;=1,"",COUNTIFS('농산물업체'!$E$3:$E$702,I$56,'농산물업체'!$J$3:$J$702,"O"))</f>
        <v>7</v>
      </c>
      <c r="J59" s="7">
        <f>IF(COUNTA('RAW_농산물_8월'!$A:$A)&lt;=1,"",COUNTIFS('농산물업체'!$E$3:$E$702,J$56,'농산물업체'!$J$3:$J$702,"O"))</f>
        <v>13</v>
      </c>
    </row>
    <row r="60" ht="15.75" customHeight="1">
      <c r="B60" s="27"/>
      <c r="C60" s="30" t="s">
        <v>102</v>
      </c>
      <c r="D60" s="3">
        <f t="shared" si="19"/>
        <v>1449</v>
      </c>
      <c r="E60" s="7">
        <f>IF(COUNTA('RAW_농산물_8월'!$A:$A)&lt;=1,"",COUNTIFS('RAW_농산물_8월'!$A:$A,E$56))</f>
        <v>614</v>
      </c>
      <c r="F60" s="7">
        <f>IF(COUNTA('RAW_농산물_8월'!$A:$A)&lt;=1,"",COUNTIFS('RAW_농산물_8월'!$A:$A,F$56))</f>
        <v>298</v>
      </c>
      <c r="G60" s="7">
        <f>IF(COUNTA('RAW_농산물_8월'!$A:$A)&lt;=1,"",COUNTIFS('RAW_농산물_8월'!$A:$A,G$56))</f>
        <v>349</v>
      </c>
      <c r="H60" s="7">
        <f>IF(COUNTA('RAW_농산물_8월'!$A:$A)&lt;=1,"",COUNTIFS('RAW_농산물_8월'!$A:$A,H$56))</f>
        <v>71</v>
      </c>
      <c r="I60" s="7">
        <f>IF(COUNTA('RAW_농산물_8월'!$A:$A)&lt;=1,"",COUNTIFS('RAW_농산물_8월'!$A:$A,I$56))</f>
        <v>30</v>
      </c>
      <c r="J60" s="7">
        <f>IF(COUNTA('RAW_농산물_8월'!$A:$A)&lt;=1,"",COUNTIFS('RAW_농산물_8월'!$A:$A,J$56))</f>
        <v>87</v>
      </c>
    </row>
    <row r="61" ht="15.75" customHeight="1">
      <c r="B61" s="45" t="s">
        <v>180</v>
      </c>
      <c r="C61" s="30" t="s">
        <v>393</v>
      </c>
      <c r="D61" s="3" t="str">
        <f t="shared" si="19"/>
        <v/>
      </c>
      <c r="E61" s="7" t="str">
        <f>IF(COUNTA('RAW_농산물_9월'!$A:$A)&lt;=1,"",COUNTIFS('농산물업체'!$E$3:$E$702,E$56,'농산물업체'!$K$3:$K$702,"O"))</f>
        <v/>
      </c>
      <c r="F61" s="7" t="str">
        <f>IF(COUNTA('RAW_농산물_9월'!$A:$A)&lt;=1,"",COUNTIFS('농산물업체'!$E$3:$E$702,F$56,'농산물업체'!$K$3:$K$702,"O"))</f>
        <v/>
      </c>
      <c r="G61" s="7" t="str">
        <f>IF(COUNTA('RAW_농산물_9월'!$A:$A)&lt;=1,"",COUNTIFS('농산물업체'!$E$3:$E$702,G$56,'농산물업체'!$K$3:$K$702,"O"))</f>
        <v/>
      </c>
      <c r="H61" s="7" t="str">
        <f>IF(COUNTA('RAW_농산물_9월'!$A:$A)&lt;=1,"",COUNTIFS('농산물업체'!$E$3:$E$702,H$56,'농산물업체'!$K$3:$K$702,"O"))</f>
        <v/>
      </c>
      <c r="I61" s="7" t="str">
        <f>IF(COUNTA('RAW_농산물_9월'!$A:$A)&lt;=1,"",COUNTIFS('농산물업체'!$E$3:$E$702,I$56,'농산물업체'!$K$3:$K$702,"O"))</f>
        <v/>
      </c>
      <c r="J61" s="7" t="str">
        <f>IF(COUNTA('RAW_농산물_9월'!$A:$A)&lt;=1,"",COUNTIFS('농산물업체'!$E$3:$E$702,J$56,'농산물업체'!$K$3:$K$702,"O"))</f>
        <v/>
      </c>
    </row>
    <row r="62" ht="15.75" customHeight="1">
      <c r="B62" s="27"/>
      <c r="C62" s="30" t="s">
        <v>102</v>
      </c>
      <c r="D62" s="3" t="str">
        <f t="shared" si="19"/>
        <v/>
      </c>
      <c r="E62" s="7" t="str">
        <f>IF(COUNTA('RAW_농산물_9월'!$A:$A)&lt;=1,"",COUNTIFS('RAW_농산물_9월'!$A:$A,E$56))</f>
        <v/>
      </c>
      <c r="F62" s="7" t="str">
        <f>IF(COUNTA('RAW_농산물_9월'!$A:$A)&lt;=1,"",COUNTIFS('RAW_농산물_9월'!$A:$A,F$56))</f>
        <v/>
      </c>
      <c r="G62" s="7" t="str">
        <f>IF(COUNTA('RAW_농산물_9월'!$A:$A)&lt;=1,"",COUNTIFS('RAW_농산물_9월'!$A:$A,G$56))</f>
        <v/>
      </c>
      <c r="H62" s="7" t="str">
        <f>IF(COUNTA('RAW_농산물_9월'!$A:$A)&lt;=1,"",COUNTIFS('RAW_농산물_9월'!$A:$A,H$56))</f>
        <v/>
      </c>
      <c r="I62" s="7" t="str">
        <f>IF(COUNTA('RAW_농산물_9월'!$A:$A)&lt;=1,"",COUNTIFS('RAW_농산물_9월'!$A:$A,I$56))</f>
        <v/>
      </c>
      <c r="J62" s="7" t="str">
        <f>IF(COUNTA('RAW_농산물_9월'!$A:$A)&lt;=1,"",COUNTIFS('RAW_농산물_9월'!$A:$A,J$56))</f>
        <v/>
      </c>
    </row>
    <row r="63" ht="15.75" customHeight="1">
      <c r="B63" s="45" t="s">
        <v>181</v>
      </c>
      <c r="C63" s="30" t="s">
        <v>393</v>
      </c>
      <c r="D63" s="3" t="str">
        <f t="shared" si="19"/>
        <v/>
      </c>
      <c r="E63" s="7" t="str">
        <f>IF(COUNTA('RAW_농산물_10월'!$A:$A)&lt;=1,"",COUNTIFS('농산물업체'!$E$3:$E$702,E$56,'농산물업체'!$L$3:$L$702,"O"))</f>
        <v/>
      </c>
      <c r="F63" s="7" t="str">
        <f>IF(COUNTA('RAW_농산물_10월'!$A:$A)&lt;=1,"",COUNTIFS('농산물업체'!$E$3:$E$702,F$56,'농산물업체'!$L$3:$L$702,"O"))</f>
        <v/>
      </c>
      <c r="G63" s="7" t="str">
        <f>IF(COUNTA('RAW_농산물_10월'!$A:$A)&lt;=1,"",COUNTIFS('농산물업체'!$E$3:$E$702,G$56,'농산물업체'!$L$3:$L$702,"O"))</f>
        <v/>
      </c>
      <c r="H63" s="7" t="str">
        <f>IF(COUNTA('RAW_농산물_10월'!$A:$A)&lt;=1,"",COUNTIFS('농산물업체'!$E$3:$E$702,H$56,'농산물업체'!$L$3:$L$702,"O"))</f>
        <v/>
      </c>
      <c r="I63" s="7" t="str">
        <f>IF(COUNTA('RAW_농산물_10월'!$A:$A)&lt;=1,"",COUNTIFS('농산물업체'!$E$3:$E$702,I$56,'농산물업체'!$L$3:$L$702,"O"))</f>
        <v/>
      </c>
      <c r="J63" s="7" t="str">
        <f>IF(COUNTA('RAW_농산물_10월'!$A:$A)&lt;=1,"",COUNTIFS('농산물업체'!$E$3:$E$702,J$56,'농산물업체'!$L$3:$L$702,"O"))</f>
        <v/>
      </c>
    </row>
    <row r="64" ht="15.75" customHeight="1">
      <c r="B64" s="27"/>
      <c r="C64" s="30" t="s">
        <v>102</v>
      </c>
      <c r="D64" s="3" t="str">
        <f t="shared" si="19"/>
        <v/>
      </c>
      <c r="E64" s="7" t="str">
        <f>IF(COUNTA('RAW_농산물_10월'!$A:$A)&lt;=1,"",COUNTIFS('RAW_농산물_10월'!$A:$A,E$56))</f>
        <v/>
      </c>
      <c r="F64" s="7" t="str">
        <f>IF(COUNTA('RAW_농산물_10월'!$A:$A)&lt;=1,"",COUNTIFS('RAW_농산물_10월'!$A:$A,F$56))</f>
        <v/>
      </c>
      <c r="G64" s="7" t="str">
        <f>IF(COUNTA('RAW_농산물_10월'!$A:$A)&lt;=1,"",COUNTIFS('RAW_농산물_10월'!$A:$A,G$56))</f>
        <v/>
      </c>
      <c r="H64" s="7" t="str">
        <f>IF(COUNTA('RAW_농산물_10월'!$A:$A)&lt;=1,"",COUNTIFS('RAW_농산물_10월'!$A:$A,H$56))</f>
        <v/>
      </c>
      <c r="I64" s="7" t="str">
        <f>IF(COUNTA('RAW_농산물_10월'!$A:$A)&lt;=1,"",COUNTIFS('RAW_농산물_10월'!$A:$A,I$56))</f>
        <v/>
      </c>
      <c r="J64" s="7" t="str">
        <f>IF(COUNTA('RAW_농산물_10월'!$A:$A)&lt;=1,"",COUNTIFS('RAW_농산물_10월'!$A:$A,J$56))</f>
        <v/>
      </c>
    </row>
    <row r="65" ht="15.75" customHeight="1">
      <c r="B65" s="45" t="s">
        <v>182</v>
      </c>
      <c r="C65" s="30" t="s">
        <v>393</v>
      </c>
      <c r="D65" s="3" t="str">
        <f t="shared" si="19"/>
        <v/>
      </c>
      <c r="E65" s="7" t="str">
        <f>IF(COUNTA('RAW_농산물_11-12월'!$A:$A)&lt;=1,"",COUNTIFS('농산물업체'!$E$3:$E$702,E$56,'농산물업체'!$M$3:$M$702,"O"))</f>
        <v/>
      </c>
      <c r="F65" s="7" t="str">
        <f>IF(COUNTA('RAW_농산물_11-12월'!$A:$A)&lt;=1,"",COUNTIFS('농산물업체'!$E$3:$E$702,F$56,'농산물업체'!$M$3:$M$702,"O"))</f>
        <v/>
      </c>
      <c r="G65" s="7" t="str">
        <f>IF(COUNTA('RAW_농산물_11-12월'!$A:$A)&lt;=1,"",COUNTIFS('농산물업체'!$E$3:$E$702,G$56,'농산물업체'!$M$3:$M$702,"O"))</f>
        <v/>
      </c>
      <c r="H65" s="7" t="str">
        <f>IF(COUNTA('RAW_농산물_11-12월'!$A:$A)&lt;=1,"",COUNTIFS('농산물업체'!$E$3:$E$702,H$56,'농산물업체'!$M$3:$M$702,"O"))</f>
        <v/>
      </c>
      <c r="I65" s="7" t="str">
        <f>IF(COUNTA('RAW_농산물_11-12월'!$A:$A)&lt;=1,"",COUNTIFS('농산물업체'!$E$3:$E$702,I$56,'농산물업체'!$M$3:$M$702,"O"))</f>
        <v/>
      </c>
      <c r="J65" s="7" t="str">
        <f>IF(COUNTA('RAW_농산물_11-12월'!$A:$A)&lt;=1,"",COUNTIFS('농산물업체'!$E$3:$E$702,J$56,'농산물업체'!$M$3:$M$702,"O"))</f>
        <v/>
      </c>
    </row>
    <row r="66" ht="15.75" customHeight="1">
      <c r="B66" s="27"/>
      <c r="C66" s="30" t="s">
        <v>102</v>
      </c>
      <c r="D66" s="3" t="str">
        <f t="shared" si="19"/>
        <v/>
      </c>
      <c r="E66" s="7" t="str">
        <f>IF(COUNTA('RAW_농산물_11-12월'!$A:$A)&lt;=1,"",COUNTIFS('RAW_농산물_11-12월'!$A:$A,E$56))</f>
        <v/>
      </c>
      <c r="F66" s="7" t="str">
        <f>IF(COUNTA('RAW_농산물_11-12월'!$A:$A)&lt;=1,"",COUNTIFS('RAW_농산물_11-12월'!$A:$A,F$56))</f>
        <v/>
      </c>
      <c r="G66" s="7" t="str">
        <f>IF(COUNTA('RAW_농산물_11-12월'!$A:$A)&lt;=1,"",COUNTIFS('RAW_농산물_11-12월'!$A:$A,G$56))</f>
        <v/>
      </c>
      <c r="H66" s="7" t="str">
        <f>IF(COUNTA('RAW_농산물_11-12월'!$A:$A)&lt;=1,"",COUNTIFS('RAW_농산물_11-12월'!$A:$A,H$56))</f>
        <v/>
      </c>
      <c r="I66" s="7" t="str">
        <f>IF(COUNTA('RAW_농산물_11-12월'!$A:$A)&lt;=1,"",COUNTIFS('RAW_농산물_11-12월'!$A:$A,I$56))</f>
        <v/>
      </c>
      <c r="J66" s="7" t="str">
        <f>IF(COUNTA('RAW_농산물_11-12월'!$A:$A)&lt;=1,"",COUNTIFS('RAW_농산물_11-12월'!$A:$A,J$56))</f>
        <v/>
      </c>
    </row>
    <row r="67" ht="15.75" customHeight="1">
      <c r="B67" s="20" t="s">
        <v>718</v>
      </c>
    </row>
    <row r="68" ht="15.75" customHeight="1"/>
    <row r="69" ht="15.75" customHeight="1">
      <c r="B69" s="21" t="s">
        <v>720</v>
      </c>
    </row>
    <row r="70" ht="15.75" customHeight="1">
      <c r="B70" s="4" t="s">
        <v>5</v>
      </c>
      <c r="C70" s="4"/>
      <c r="D70" s="4" t="s">
        <v>76</v>
      </c>
      <c r="E70" s="4" t="s">
        <v>92</v>
      </c>
      <c r="F70" s="4" t="s">
        <v>93</v>
      </c>
      <c r="G70" s="4" t="s">
        <v>28</v>
      </c>
      <c r="H70" s="4" t="s">
        <v>94</v>
      </c>
      <c r="I70" s="4" t="s">
        <v>95</v>
      </c>
      <c r="J70" s="4" t="s">
        <v>31</v>
      </c>
    </row>
    <row r="71" ht="15.75" customHeight="1">
      <c r="B71" s="2" t="s">
        <v>76</v>
      </c>
      <c r="D71" s="3">
        <f t="shared" ref="D71:D78" si="21">IF(COUNT(E71:J71)=0,"",SUM(E71:J71))</f>
        <v>266369319</v>
      </c>
      <c r="E71" s="3">
        <f t="shared" ref="E71:J71" si="20">IF(COUNT(E72:E76)=0,"",SUM(E72:E76))</f>
        <v>90643090</v>
      </c>
      <c r="F71" s="3">
        <f t="shared" si="20"/>
        <v>76647920</v>
      </c>
      <c r="G71" s="3">
        <f t="shared" si="20"/>
        <v>52129220</v>
      </c>
      <c r="H71" s="3">
        <f t="shared" si="20"/>
        <v>15501100</v>
      </c>
      <c r="I71" s="3">
        <f t="shared" si="20"/>
        <v>15599960</v>
      </c>
      <c r="J71" s="3">
        <f t="shared" si="20"/>
        <v>15848029</v>
      </c>
    </row>
    <row r="72" ht="15.75" customHeight="1">
      <c r="B72" s="30" t="s">
        <v>173</v>
      </c>
      <c r="D72" s="3">
        <f t="shared" si="21"/>
        <v>163578655</v>
      </c>
      <c r="E72" s="7">
        <f>IF(COUNTA('RAW_농산물_7월'!$A:$A)&lt;=1,"",SUMIFS('RAW_농산물_7월'!$H:$H,'RAW_농산물_7월'!$A:$A,E$70))</f>
        <v>50215680</v>
      </c>
      <c r="F72" s="7">
        <f>IF(COUNTA('RAW_농산물_7월'!$A:$A)&lt;=1,"",SUMIFS('RAW_농산물_7월'!$H:$H,'RAW_농산물_7월'!$A:$A,F$70))</f>
        <v>46392390</v>
      </c>
      <c r="G72" s="7">
        <f>IF(COUNTA('RAW_농산물_7월'!$A:$A)&lt;=1,"",SUMIFS('RAW_농산물_7월'!$H:$H,'RAW_농산물_7월'!$A:$A,G$70))</f>
        <v>40018660</v>
      </c>
      <c r="H72" s="7">
        <f>IF(COUNTA('RAW_농산물_7월'!$A:$A)&lt;=1,"",SUMIFS('RAW_농산물_7월'!$H:$H,'RAW_농산물_7월'!$A:$A,H$70))</f>
        <v>7101680</v>
      </c>
      <c r="I72" s="7">
        <f>IF(COUNTA('RAW_농산물_7월'!$A:$A)&lt;=1,"",SUMIFS('RAW_농산물_7월'!$H:$H,'RAW_농산물_7월'!$A:$A,I$70))</f>
        <v>11487420</v>
      </c>
      <c r="J72" s="7">
        <f>IF(COUNTA('RAW_농산물_7월'!$A:$A)&lt;=1,"",SUMIFS('RAW_농산물_7월'!$H:$H,'RAW_농산물_7월'!$A:$A,J$70))</f>
        <v>8362825</v>
      </c>
    </row>
    <row r="73" ht="15.75" customHeight="1">
      <c r="B73" s="30" t="s">
        <v>175</v>
      </c>
      <c r="D73" s="3">
        <f t="shared" si="21"/>
        <v>102790664</v>
      </c>
      <c r="E73" s="7">
        <f>IF(COUNTA('RAW_농산물_8월'!$A:$A)&lt;=1,"",SUMIFS('RAW_농산물_8월'!$H:$H,'RAW_농산물_8월'!$A:$A,E$70)-SUMIFS('RAW_농산물_7월'!$H:$H,'RAW_농산물_7월'!$A:$A,E$70))</f>
        <v>40427410</v>
      </c>
      <c r="F73" s="7">
        <f>IF(COUNTA('RAW_농산물_8월'!$A:$A)&lt;=1,"",SUMIFS('RAW_농산물_8월'!$H:$H,'RAW_농산물_8월'!$A:$A,F$70)-SUMIFS('RAW_농산물_7월'!$H:$H,'RAW_농산물_7월'!$A:$A,F$70))</f>
        <v>30255530</v>
      </c>
      <c r="G73" s="7">
        <f>IF(COUNTA('RAW_농산물_8월'!$A:$A)&lt;=1,"",SUMIFS('RAW_농산물_8월'!$H:$H,'RAW_농산물_8월'!$A:$A,G$70)-SUMIFS('RAW_농산물_7월'!$H:$H,'RAW_농산물_7월'!$A:$A,G$70))</f>
        <v>12110560</v>
      </c>
      <c r="H73" s="7">
        <f>IF(COUNTA('RAW_농산물_8월'!$A:$A)&lt;=1,"",SUMIFS('RAW_농산물_8월'!$H:$H,'RAW_농산물_8월'!$A:$A,H$70)-SUMIFS('RAW_농산물_7월'!$H:$H,'RAW_농산물_7월'!$A:$A,H$70))</f>
        <v>8399420</v>
      </c>
      <c r="I73" s="7">
        <f>IF(COUNTA('RAW_농산물_8월'!$A:$A)&lt;=1,"",SUMIFS('RAW_농산물_8월'!$H:$H,'RAW_농산물_8월'!$A:$A,I$70)-SUMIFS('RAW_농산물_7월'!$H:$H,'RAW_농산물_7월'!$A:$A,I$70))</f>
        <v>4112540</v>
      </c>
      <c r="J73" s="7">
        <f>IF(COUNTA('RAW_농산물_8월'!$A:$A)&lt;=1,"",SUMIFS('RAW_농산물_8월'!$H:$H,'RAW_농산물_8월'!$A:$A,J$70)-SUMIFS('RAW_농산물_7월'!$H:$H,'RAW_농산물_7월'!$A:$A,J$70))</f>
        <v>7485204</v>
      </c>
    </row>
    <row r="74" ht="15.75" customHeight="1">
      <c r="B74" s="30" t="s">
        <v>180</v>
      </c>
      <c r="D74" s="3" t="str">
        <f t="shared" si="21"/>
        <v/>
      </c>
      <c r="E74" s="7" t="str">
        <f>IF(COUNTA('RAW_농산물_9월'!$A:$A)&lt;=1,"",SUMIFS('RAW_농산물_9월'!$H:$H,'RAW_농산물_9월'!$A:$A,E$70)-SUMIFS('RAW_농산물_8월'!$H:$H,'RAW_농산물_8월'!$A:$A,E$70))</f>
        <v/>
      </c>
      <c r="F74" s="7" t="str">
        <f>IF(COUNTA('RAW_농산물_9월'!$A:$A)&lt;=1,"",SUMIFS('RAW_농산물_9월'!$H:$H,'RAW_농산물_9월'!$A:$A,F$70)-SUMIFS('RAW_농산물_8월'!$H:$H,'RAW_농산물_8월'!$A:$A,F$70))</f>
        <v/>
      </c>
      <c r="G74" s="7" t="str">
        <f>IF(COUNTA('RAW_농산물_9월'!$A:$A)&lt;=1,"",SUMIFS('RAW_농산물_9월'!$H:$H,'RAW_농산물_9월'!$A:$A,G$70)-SUMIFS('RAW_농산물_8월'!$H:$H,'RAW_농산물_8월'!$A:$A,G$70))</f>
        <v/>
      </c>
      <c r="H74" s="7" t="str">
        <f>IF(COUNTA('RAW_농산물_9월'!$A:$A)&lt;=1,"",SUMIFS('RAW_농산물_9월'!$H:$H,'RAW_농산물_9월'!$A:$A,H$70)-SUMIFS('RAW_농산물_8월'!$H:$H,'RAW_농산물_8월'!$A:$A,H$70))</f>
        <v/>
      </c>
      <c r="I74" s="7" t="str">
        <f>IF(COUNTA('RAW_농산물_9월'!$A:$A)&lt;=1,"",SUMIFS('RAW_농산물_9월'!$H:$H,'RAW_농산물_9월'!$A:$A,I$70)-SUMIFS('RAW_농산물_8월'!$H:$H,'RAW_농산물_8월'!$A:$A,I$70))</f>
        <v/>
      </c>
      <c r="J74" s="7" t="str">
        <f>IF(COUNTA('RAW_농산물_9월'!$A:$A)&lt;=1,"",SUMIFS('RAW_농산물_9월'!$H:$H,'RAW_농산물_9월'!$A:$A,J$70)-SUMIFS('RAW_농산물_8월'!$H:$H,'RAW_농산물_8월'!$A:$A,J$70))</f>
        <v/>
      </c>
    </row>
    <row r="75" ht="15.75" customHeight="1">
      <c r="B75" s="30" t="s">
        <v>181</v>
      </c>
      <c r="D75" s="3" t="str">
        <f t="shared" si="21"/>
        <v/>
      </c>
      <c r="E75" s="7" t="str">
        <f>IF(COUNTA('RAW_농산물_10월'!$A:$A)&lt;=1,"",SUMIFS('RAW_농산물_10월'!$H:$H,'RAW_농산물_10월'!$A:$A,E$70)-SUMIFS('RAW_농산물_9월'!$H:$H,'RAW_농산물_9월'!$A:$A,E$70))</f>
        <v/>
      </c>
      <c r="F75" s="7" t="str">
        <f>IF(COUNTA('RAW_농산물_10월'!$A:$A)&lt;=1,"",SUMIFS('RAW_농산물_10월'!$H:$H,'RAW_농산물_10월'!$A:$A,F$70)-SUMIFS('RAW_농산물_9월'!$H:$H,'RAW_농산물_9월'!$A:$A,F$70))</f>
        <v/>
      </c>
      <c r="G75" s="7" t="str">
        <f>IF(COUNTA('RAW_농산물_10월'!$A:$A)&lt;=1,"",SUMIFS('RAW_농산물_10월'!$H:$H,'RAW_농산물_10월'!$A:$A,G$70)-SUMIFS('RAW_농산물_9월'!$H:$H,'RAW_농산물_9월'!$A:$A,G$70))</f>
        <v/>
      </c>
      <c r="H75" s="7" t="str">
        <f>IF(COUNTA('RAW_농산물_10월'!$A:$A)&lt;=1,"",SUMIFS('RAW_농산물_10월'!$H:$H,'RAW_농산물_10월'!$A:$A,H$70)-SUMIFS('RAW_농산물_9월'!$H:$H,'RAW_농산물_9월'!$A:$A,H$70))</f>
        <v/>
      </c>
      <c r="I75" s="7" t="str">
        <f>IF(COUNTA('RAW_농산물_10월'!$A:$A)&lt;=1,"",SUMIFS('RAW_농산물_10월'!$H:$H,'RAW_농산물_10월'!$A:$A,I$70)-SUMIFS('RAW_농산물_9월'!$H:$H,'RAW_농산물_9월'!$A:$A,I$70))</f>
        <v/>
      </c>
      <c r="J75" s="7" t="str">
        <f>IF(COUNTA('RAW_농산물_10월'!$A:$A)&lt;=1,"",SUMIFS('RAW_농산물_10월'!$H:$H,'RAW_농산물_10월'!$A:$A,J$70)-SUMIFS('RAW_농산물_9월'!$H:$H,'RAW_농산물_9월'!$A:$A,J$70))</f>
        <v/>
      </c>
    </row>
    <row r="76" ht="15.75" customHeight="1">
      <c r="B76" s="30" t="s">
        <v>182</v>
      </c>
      <c r="D76" s="3" t="str">
        <f t="shared" si="21"/>
        <v/>
      </c>
      <c r="E76" s="7" t="str">
        <f>IF(COUNTA('RAW_농산물_11-12월'!$A:$A)&lt;=1,"",SUMIFS('RAW_농산물_11-12월'!$H:$H,'RAW_농산물_11-12월'!$A:$A,E$70)-SUMIFS('RAW_농산물_10월'!$H:$H,'RAW_농산물_10월'!$A:$A,E$70))</f>
        <v/>
      </c>
      <c r="F76" s="7" t="str">
        <f>IF(COUNTA('RAW_농산물_11-12월'!$A:$A)&lt;=1,"",SUMIFS('RAW_농산물_11-12월'!$H:$H,'RAW_농산물_11-12월'!$A:$A,F$70)-SUMIFS('RAW_농산물_10월'!$H:$H,'RAW_농산물_10월'!$A:$A,F$70))</f>
        <v/>
      </c>
      <c r="G76" s="7" t="str">
        <f>IF(COUNTA('RAW_농산물_11-12월'!$A:$A)&lt;=1,"",SUMIFS('RAW_농산물_11-12월'!$H:$H,'RAW_농산물_11-12월'!$A:$A,G$70)-SUMIFS('RAW_농산물_10월'!$H:$H,'RAW_농산물_10월'!$A:$A,G$70))</f>
        <v/>
      </c>
      <c r="H76" s="7" t="str">
        <f>IF(COUNTA('RAW_농산물_11-12월'!$A:$A)&lt;=1,"",SUMIFS('RAW_농산물_11-12월'!$H:$H,'RAW_농산물_11-12월'!$A:$A,H$70)-SUMIFS('RAW_농산물_10월'!$H:$H,'RAW_농산물_10월'!$A:$A,H$70))</f>
        <v/>
      </c>
      <c r="I76" s="7" t="str">
        <f>IF(COUNTA('RAW_농산물_11-12월'!$A:$A)&lt;=1,"",SUMIFS('RAW_농산물_11-12월'!$H:$H,'RAW_농산물_11-12월'!$A:$A,I$70)-SUMIFS('RAW_농산물_10월'!$H:$H,'RAW_농산물_10월'!$A:$A,I$70))</f>
        <v/>
      </c>
      <c r="J76" s="7" t="str">
        <f>IF(COUNTA('RAW_농산물_11-12월'!$A:$A)&lt;=1,"",SUMIFS('RAW_농산물_11-12월'!$H:$H,'RAW_농산물_11-12월'!$A:$A,J$70)-SUMIFS('RAW_농산물_10월'!$H:$H,'RAW_농산물_10월'!$A:$A,J$70))</f>
        <v/>
      </c>
    </row>
    <row r="77" ht="15.75" customHeight="1">
      <c r="B77" s="28" t="s">
        <v>916</v>
      </c>
      <c r="D77" s="3">
        <f t="shared" si="21"/>
        <v>700000000</v>
      </c>
      <c r="E77" s="36">
        <v>2.5E8</v>
      </c>
      <c r="F77" s="36">
        <v>1.75E8</v>
      </c>
      <c r="G77" s="36">
        <v>1.15E8</v>
      </c>
      <c r="H77" s="37">
        <v>6.0E7</v>
      </c>
      <c r="I77" s="36">
        <v>4.0E7</v>
      </c>
      <c r="J77" s="36">
        <v>6.0E7</v>
      </c>
    </row>
    <row r="78" ht="15.75" customHeight="1">
      <c r="B78" s="28" t="s">
        <v>924</v>
      </c>
      <c r="D78" s="3">
        <f t="shared" si="21"/>
        <v>433630681</v>
      </c>
      <c r="E78" s="7">
        <f t="shared" ref="E78:J78" si="22">IF(E71="",E77,E77-E71)</f>
        <v>159356910</v>
      </c>
      <c r="F78" s="7">
        <f t="shared" si="22"/>
        <v>98352080</v>
      </c>
      <c r="G78" s="7">
        <f t="shared" si="22"/>
        <v>62870780</v>
      </c>
      <c r="H78" s="7">
        <f t="shared" si="22"/>
        <v>44498900</v>
      </c>
      <c r="I78" s="7">
        <f t="shared" si="22"/>
        <v>24400040</v>
      </c>
      <c r="J78" s="7">
        <f t="shared" si="22"/>
        <v>44151971</v>
      </c>
    </row>
    <row r="79" ht="15.75" customHeight="1"/>
    <row r="80" ht="15.75" customHeight="1">
      <c r="B80" s="21" t="s">
        <v>936</v>
      </c>
    </row>
    <row r="81" ht="15.75" customHeight="1">
      <c r="B81" s="4" t="s">
        <v>5</v>
      </c>
      <c r="C81" s="4"/>
      <c r="D81" s="4" t="s">
        <v>76</v>
      </c>
      <c r="E81" s="4" t="s">
        <v>92</v>
      </c>
      <c r="F81" s="4" t="s">
        <v>93</v>
      </c>
      <c r="G81" s="4" t="s">
        <v>28</v>
      </c>
      <c r="H81" s="4" t="s">
        <v>94</v>
      </c>
      <c r="I81" s="4" t="s">
        <v>95</v>
      </c>
      <c r="J81" s="4" t="s">
        <v>31</v>
      </c>
    </row>
    <row r="82" ht="15.75" customHeight="1">
      <c r="B82" s="2" t="s">
        <v>76</v>
      </c>
      <c r="D82" s="3">
        <f t="shared" ref="D82:D87" si="24">IF(COUNT(E82:J82)=0,"",SUM(E82:J82))</f>
        <v>6227333500</v>
      </c>
      <c r="E82" s="3">
        <f t="shared" ref="E82:J82" si="23">IF(COUNT(E83:E87)=0,"",SUM(E83:E87))</f>
        <v>2902192570</v>
      </c>
      <c r="F82" s="3">
        <f t="shared" si="23"/>
        <v>1348440770</v>
      </c>
      <c r="G82" s="3">
        <f t="shared" si="23"/>
        <v>344053620</v>
      </c>
      <c r="H82" s="3">
        <f t="shared" si="23"/>
        <v>100008000</v>
      </c>
      <c r="I82" s="3">
        <f t="shared" si="23"/>
        <v>470341670</v>
      </c>
      <c r="J82" s="3">
        <f t="shared" si="23"/>
        <v>1062296870</v>
      </c>
    </row>
    <row r="83" ht="15.75" customHeight="1">
      <c r="B83" s="30" t="s">
        <v>173</v>
      </c>
      <c r="D83" s="3">
        <f t="shared" si="24"/>
        <v>2936214433</v>
      </c>
      <c r="E83" s="7">
        <f>IF(COUNTA('RAW_농산물_7월'!$A:$A)&lt;=1,"",SUMIFS('RAW_농산물_7월'!$G:$G,'RAW_농산물_7월'!$A:$A,E$81))</f>
        <v>1148483700</v>
      </c>
      <c r="F83" s="7">
        <f>IF(COUNTA('RAW_농산물_7월'!$A:$A)&lt;=1,"",SUMIFS('RAW_농산물_7월'!$G:$G,'RAW_농산물_7월'!$A:$A,F$81))</f>
        <v>770420430</v>
      </c>
      <c r="G83" s="7">
        <f>IF(COUNTA('RAW_농산물_7월'!$A:$A)&lt;=1,"",SUMIFS('RAW_농산물_7월'!$G:$G,'RAW_농산물_7월'!$A:$A,G$81))</f>
        <v>261077210</v>
      </c>
      <c r="H83" s="7">
        <f>IF(COUNTA('RAW_농산물_7월'!$A:$A)&lt;=1,"",SUMIFS('RAW_농산물_7월'!$G:$G,'RAW_농산물_7월'!$A:$A,H$81))</f>
        <v>46371200</v>
      </c>
      <c r="I83" s="7">
        <f>IF(COUNTA('RAW_농산물_7월'!$A:$A)&lt;=1,"",SUMIFS('RAW_농산물_7월'!$G:$G,'RAW_농산물_7월'!$A:$A,I$81))</f>
        <v>223305203</v>
      </c>
      <c r="J83" s="7">
        <f>IF(COUNTA('RAW_농산물_7월'!$A:$A)&lt;=1,"",SUMIFS('RAW_농산물_7월'!$G:$G,'RAW_농산물_7월'!$A:$A,J$81))</f>
        <v>486556690</v>
      </c>
    </row>
    <row r="84" ht="15.75" customHeight="1">
      <c r="B84" s="30" t="s">
        <v>175</v>
      </c>
      <c r="D84" s="3">
        <f t="shared" si="24"/>
        <v>3291119067</v>
      </c>
      <c r="E84" s="7">
        <f>IF(COUNTA('RAW_농산물_8월'!$A:$A)&lt;=1,"",SUMIFS('RAW_농산물_8월'!$G:$G,'RAW_농산물_8월'!$A:$A,E$81)-SUMIFS('RAW_농산물_7월'!$G:$G,'RAW_농산물_7월'!$A:$A,E$81))</f>
        <v>1753708870</v>
      </c>
      <c r="F84" s="7">
        <f>IF(COUNTA('RAW_농산물_8월'!$A:$A)&lt;=1,"",SUMIFS('RAW_농산물_8월'!$G:$G,'RAW_농산물_8월'!$A:$A,F$81)-SUMIFS('RAW_농산물_7월'!$G:$G,'RAW_농산물_7월'!$A:$A,F$81))</f>
        <v>578020340</v>
      </c>
      <c r="G84" s="7">
        <f>IF(COUNTA('RAW_농산물_8월'!$A:$A)&lt;=1,"",SUMIFS('RAW_농산물_8월'!$G:$G,'RAW_농산물_8월'!$A:$A,G$81)-SUMIFS('RAW_농산물_7월'!$G:$G,'RAW_농산물_7월'!$A:$A,G$81))</f>
        <v>82976410</v>
      </c>
      <c r="H84" s="7">
        <f>IF(COUNTA('RAW_농산물_8월'!$A:$A)&lt;=1,"",SUMIFS('RAW_농산물_8월'!$G:$G,'RAW_농산물_8월'!$A:$A,H$81)-SUMIFS('RAW_농산물_7월'!$G:$G,'RAW_농산물_7월'!$A:$A,H$81))</f>
        <v>53636800</v>
      </c>
      <c r="I84" s="7">
        <f>IF(COUNTA('RAW_농산물_8월'!$A:$A)&lt;=1,"",SUMIFS('RAW_농산물_8월'!$G:$G,'RAW_농산물_8월'!$A:$A,I$81)-SUMIFS('RAW_농산물_7월'!$G:$G,'RAW_농산물_7월'!$A:$A,I$81))</f>
        <v>247036467</v>
      </c>
      <c r="J84" s="7">
        <f>IF(COUNTA('RAW_농산물_8월'!$A:$A)&lt;=1,"",SUMIFS('RAW_농산물_8월'!$G:$G,'RAW_농산물_8월'!$A:$A,J$81)-SUMIFS('RAW_농산물_7월'!$G:$G,'RAW_농산물_7월'!$A:$A,J$81))</f>
        <v>575740180</v>
      </c>
    </row>
    <row r="85" ht="15.75" customHeight="1">
      <c r="B85" s="30" t="s">
        <v>180</v>
      </c>
      <c r="D85" s="3" t="str">
        <f t="shared" si="24"/>
        <v/>
      </c>
      <c r="E85" s="7" t="str">
        <f>IF(COUNTA('RAW_농산물_9월'!$A:$A)&lt;=1,"",SUMIFS('RAW_농산물_9월'!$G:$G,'RAW_농산물_9월'!$A:$A,E$81)-SUMIFS('RAW_농산물_8월'!$G:$G,'RAW_농산물_8월'!$A:$A,E$81))</f>
        <v/>
      </c>
      <c r="F85" s="7" t="str">
        <f>IF(COUNTA('RAW_농산물_9월'!$A:$A)&lt;=1,"",SUMIFS('RAW_농산물_9월'!$G:$G,'RAW_농산물_9월'!$A:$A,F$81)-SUMIFS('RAW_농산물_8월'!$G:$G,'RAW_농산물_8월'!$A:$A,F$81))</f>
        <v/>
      </c>
      <c r="G85" s="7" t="str">
        <f>IF(COUNTA('RAW_농산물_9월'!$A:$A)&lt;=1,"",SUMIFS('RAW_농산물_9월'!$G:$G,'RAW_농산물_9월'!$A:$A,G$81)-SUMIFS('RAW_농산물_8월'!$G:$G,'RAW_농산물_8월'!$A:$A,G$81))</f>
        <v/>
      </c>
      <c r="H85" s="7" t="str">
        <f>IF(COUNTA('RAW_농산물_9월'!$A:$A)&lt;=1,"",SUMIFS('RAW_농산물_9월'!$G:$G,'RAW_농산물_9월'!$A:$A,H$81)-SUMIFS('RAW_농산물_8월'!$G:$G,'RAW_농산물_8월'!$A:$A,H$81))</f>
        <v/>
      </c>
      <c r="I85" s="7" t="str">
        <f>IF(COUNTA('RAW_농산물_9월'!$A:$A)&lt;=1,"",SUMIFS('RAW_농산물_9월'!$G:$G,'RAW_농산물_9월'!$A:$A,I$81)-SUMIFS('RAW_농산물_8월'!$G:$G,'RAW_농산물_8월'!$A:$A,I$81))</f>
        <v/>
      </c>
      <c r="J85" s="7" t="str">
        <f>IF(COUNTA('RAW_농산물_9월'!$A:$A)&lt;=1,"",SUMIFS('RAW_농산물_9월'!$G:$G,'RAW_농산물_9월'!$A:$A,J$81)-SUMIFS('RAW_농산물_8월'!$G:$G,'RAW_농산물_8월'!$A:$A,J$81))</f>
        <v/>
      </c>
    </row>
    <row r="86" ht="15.75" customHeight="1">
      <c r="B86" s="30" t="s">
        <v>181</v>
      </c>
      <c r="D86" s="3" t="str">
        <f t="shared" si="24"/>
        <v/>
      </c>
      <c r="E86" s="7" t="str">
        <f>IF(COUNTA('RAW_농산물_10월'!$A:$A)&lt;=1,"",SUMIFS('RAW_농산물_10월'!$G:$G,'RAW_농산물_10월'!$A:$A,E$81)-SUMIFS('RAW_농산물_9월'!$G:$G,'RAW_농산물_9월'!$A:$A,E$81))</f>
        <v/>
      </c>
      <c r="F86" s="7" t="str">
        <f>IF(COUNTA('RAW_농산물_10월'!$A:$A)&lt;=1,"",SUMIFS('RAW_농산물_10월'!$G:$G,'RAW_농산물_10월'!$A:$A,F$81)-SUMIFS('RAW_농산물_9월'!$G:$G,'RAW_농산물_9월'!$A:$A,F$81))</f>
        <v/>
      </c>
      <c r="G86" s="7" t="str">
        <f>IF(COUNTA('RAW_농산물_10월'!$A:$A)&lt;=1,"",SUMIFS('RAW_농산물_10월'!$G:$G,'RAW_농산물_10월'!$A:$A,G$81)-SUMIFS('RAW_농산물_9월'!$G:$G,'RAW_농산물_9월'!$A:$A,G$81))</f>
        <v/>
      </c>
      <c r="H86" s="7" t="str">
        <f>IF(COUNTA('RAW_농산물_10월'!$A:$A)&lt;=1,"",SUMIFS('RAW_농산물_10월'!$G:$G,'RAW_농산물_10월'!$A:$A,H$81)-SUMIFS('RAW_농산물_9월'!$G:$G,'RAW_농산물_9월'!$A:$A,H$81))</f>
        <v/>
      </c>
      <c r="I86" s="7" t="str">
        <f>IF(COUNTA('RAW_농산물_10월'!$A:$A)&lt;=1,"",SUMIFS('RAW_농산물_10월'!$G:$G,'RAW_농산물_10월'!$A:$A,I$81)-SUMIFS('RAW_농산물_9월'!$G:$G,'RAW_농산물_9월'!$A:$A,I$81))</f>
        <v/>
      </c>
      <c r="J86" s="7" t="str">
        <f>IF(COUNTA('RAW_농산물_10월'!$A:$A)&lt;=1,"",SUMIFS('RAW_농산물_10월'!$G:$G,'RAW_농산물_10월'!$A:$A,J$81)-SUMIFS('RAW_농산물_9월'!$G:$G,'RAW_농산물_9월'!$A:$A,J$81))</f>
        <v/>
      </c>
    </row>
    <row r="87" ht="15.75" customHeight="1">
      <c r="B87" s="30" t="s">
        <v>182</v>
      </c>
      <c r="D87" s="3" t="str">
        <f t="shared" si="24"/>
        <v/>
      </c>
      <c r="E87" s="7" t="str">
        <f>IF(COUNTA('RAW_농산물_11-12월'!$A:$A)&lt;=1,"",SUMIFS('RAW_농산물_11-12월'!$G:$G,'RAW_농산물_11-12월'!$A:$A,E$81)-SUMIFS('RAW_농산물_10월'!$G:$G,'RAW_농산물_10월'!$A:$A,E$81))</f>
        <v/>
      </c>
      <c r="F87" s="7" t="str">
        <f>IF(COUNTA('RAW_농산물_11-12월'!$A:$A)&lt;=1,"",SUMIFS('RAW_농산물_11-12월'!$G:$G,'RAW_농산물_11-12월'!$A:$A,F$81)-SUMIFS('RAW_농산물_10월'!$G:$G,'RAW_농산물_10월'!$A:$A,F$81))</f>
        <v/>
      </c>
      <c r="G87" s="7" t="str">
        <f>IF(COUNTA('RAW_농산물_11-12월'!$A:$A)&lt;=1,"",SUMIFS('RAW_농산물_11-12월'!$G:$G,'RAW_농산물_11-12월'!$A:$A,G$81)-SUMIFS('RAW_농산물_10월'!$G:$G,'RAW_농산물_10월'!$A:$A,G$81))</f>
        <v/>
      </c>
      <c r="H87" s="7" t="str">
        <f>IF(COUNTA('RAW_농산물_11-12월'!$A:$A)&lt;=1,"",SUMIFS('RAW_농산물_11-12월'!$G:$G,'RAW_농산물_11-12월'!$A:$A,H$81)-SUMIFS('RAW_농산물_10월'!$G:$G,'RAW_농산물_10월'!$A:$A,H$81))</f>
        <v/>
      </c>
      <c r="I87" s="7" t="str">
        <f>IF(COUNTA('RAW_농산물_11-12월'!$A:$A)&lt;=1,"",SUMIFS('RAW_농산물_11-12월'!$G:$G,'RAW_농산물_11-12월'!$A:$A,I$81)-SUMIFS('RAW_농산물_10월'!$G:$G,'RAW_농산물_10월'!$A:$A,I$81))</f>
        <v/>
      </c>
      <c r="J87" s="7" t="str">
        <f>IF(COUNTA('RAW_농산물_11-12월'!$A:$A)&lt;=1,"",SUMIFS('RAW_농산물_11-12월'!$G:$G,'RAW_농산물_11-12월'!$A:$A,J$81)-SUMIFS('RAW_농산물_10월'!$G:$G,'RAW_농산물_10월'!$A:$A,J$81))</f>
        <v/>
      </c>
    </row>
    <row r="88" ht="15.75" customHeight="1"/>
    <row r="89" ht="15.75" customHeight="1">
      <c r="B89" s="21" t="s">
        <v>1117</v>
      </c>
    </row>
    <row r="90" ht="15.75" customHeight="1">
      <c r="B90" s="4" t="s">
        <v>5</v>
      </c>
      <c r="C90" s="4"/>
      <c r="D90" s="4" t="s">
        <v>76</v>
      </c>
      <c r="E90" s="4" t="s">
        <v>92</v>
      </c>
      <c r="F90" s="4" t="s">
        <v>93</v>
      </c>
      <c r="G90" s="4" t="s">
        <v>28</v>
      </c>
      <c r="H90" s="4" t="s">
        <v>94</v>
      </c>
      <c r="I90" s="4" t="s">
        <v>95</v>
      </c>
      <c r="J90" s="4" t="s">
        <v>31</v>
      </c>
    </row>
    <row r="91" ht="15.75" customHeight="1">
      <c r="B91" s="2" t="s">
        <v>76</v>
      </c>
      <c r="D91" s="3">
        <f t="shared" ref="D91:D96" si="26">IF(COUNT(E91:J91)=0,"",SUM(E91:J91))</f>
        <v>475218</v>
      </c>
      <c r="E91" s="3">
        <f t="shared" ref="E91:J91" si="25">IF(COUNT(E92:E96)=0,"",SUM(E92:E96))</f>
        <v>108140</v>
      </c>
      <c r="F91" s="3">
        <f t="shared" si="25"/>
        <v>68093</v>
      </c>
      <c r="G91" s="3">
        <f t="shared" si="25"/>
        <v>13595</v>
      </c>
      <c r="H91" s="3">
        <f t="shared" si="25"/>
        <v>3100</v>
      </c>
      <c r="I91" s="3">
        <f t="shared" si="25"/>
        <v>30683</v>
      </c>
      <c r="J91" s="3">
        <f t="shared" si="25"/>
        <v>251607</v>
      </c>
    </row>
    <row r="92" ht="15.75" customHeight="1">
      <c r="B92" s="30" t="s">
        <v>173</v>
      </c>
      <c r="D92" s="3">
        <f t="shared" si="26"/>
        <v>226559</v>
      </c>
      <c r="E92" s="7">
        <f>IF(COUNTA('RAW_농산물_7월'!$A:$A)&lt;=1,"",SUMIFS('RAW_농산물_7월'!$F:$F,'RAW_농산물_7월'!$A:$A,E$90))</f>
        <v>39593</v>
      </c>
      <c r="F92" s="7">
        <f>IF(COUNTA('RAW_농산물_7월'!$A:$A)&lt;=1,"",SUMIFS('RAW_농산물_7월'!$F:$F,'RAW_농산물_7월'!$A:$A,F$90))</f>
        <v>38640</v>
      </c>
      <c r="G92" s="7">
        <f>IF(COUNTA('RAW_농산물_7월'!$A:$A)&lt;=1,"",SUMIFS('RAW_농산물_7월'!$F:$F,'RAW_농산물_7월'!$A:$A,G$90))</f>
        <v>11018</v>
      </c>
      <c r="H92" s="7">
        <f>IF(COUNTA('RAW_농산물_7월'!$A:$A)&lt;=1,"",SUMIFS('RAW_농산물_7월'!$F:$F,'RAW_농산물_7월'!$A:$A,H$90))</f>
        <v>1296</v>
      </c>
      <c r="I92" s="7">
        <f>IF(COUNTA('RAW_농산물_7월'!$A:$A)&lt;=1,"",SUMIFS('RAW_농산물_7월'!$F:$F,'RAW_농산물_7월'!$A:$A,I$90))</f>
        <v>14679</v>
      </c>
      <c r="J92" s="7">
        <f>IF(COUNTA('RAW_농산물_7월'!$A:$A)&lt;=1,"",SUMIFS('RAW_농산물_7월'!$F:$F,'RAW_농산물_7월'!$A:$A,J$90))</f>
        <v>121333</v>
      </c>
    </row>
    <row r="93" ht="15.75" customHeight="1">
      <c r="B93" s="30" t="s">
        <v>175</v>
      </c>
      <c r="D93" s="3">
        <f t="shared" si="26"/>
        <v>248659</v>
      </c>
      <c r="E93" s="7">
        <f>IF(COUNTA('RAW_농산물_8월'!$A:$A)&lt;=1,"",SUMIFS('RAW_농산물_8월'!$F:$F,'RAW_농산물_8월'!$A:$A,E$90)-SUMIFS('RAW_농산물_7월'!$F:$F,'RAW_농산물_7월'!$A:$A,E$90))</f>
        <v>68547</v>
      </c>
      <c r="F93" s="7">
        <f>IF(COUNTA('RAW_농산물_8월'!$A:$A)&lt;=1,"",SUMIFS('RAW_농산물_8월'!$F:$F,'RAW_농산물_8월'!$A:$A,F$90)-SUMIFS('RAW_농산물_7월'!$F:$F,'RAW_농산물_7월'!$A:$A,F$90))</f>
        <v>29453</v>
      </c>
      <c r="G93" s="7">
        <f>IF(COUNTA('RAW_농산물_8월'!$A:$A)&lt;=1,"",SUMIFS('RAW_농산물_8월'!$F:$F,'RAW_농산물_8월'!$A:$A,G$90)-SUMIFS('RAW_농산물_7월'!$F:$F,'RAW_농산물_7월'!$A:$A,G$90))</f>
        <v>2577</v>
      </c>
      <c r="H93" s="7">
        <f>IF(COUNTA('RAW_농산물_8월'!$A:$A)&lt;=1,"",SUMIFS('RAW_농산물_8월'!$F:$F,'RAW_농산물_8월'!$A:$A,H$90)-SUMIFS('RAW_농산물_7월'!$F:$F,'RAW_농산물_7월'!$A:$A,H$90))</f>
        <v>1804</v>
      </c>
      <c r="I93" s="7">
        <f>IF(COUNTA('RAW_농산물_8월'!$A:$A)&lt;=1,"",SUMIFS('RAW_농산물_8월'!$F:$F,'RAW_농산물_8월'!$A:$A,I$90)-SUMIFS('RAW_농산물_7월'!$F:$F,'RAW_농산물_7월'!$A:$A,I$90))</f>
        <v>16004</v>
      </c>
      <c r="J93" s="7">
        <f>IF(COUNTA('RAW_농산물_8월'!$A:$A)&lt;=1,"",SUMIFS('RAW_농산물_8월'!$F:$F,'RAW_농산물_8월'!$A:$A,J$90)-SUMIFS('RAW_농산물_7월'!$F:$F,'RAW_농산물_7월'!$A:$A,J$90))</f>
        <v>130274</v>
      </c>
    </row>
    <row r="94" ht="15.75" customHeight="1">
      <c r="B94" s="30" t="s">
        <v>180</v>
      </c>
      <c r="D94" s="3" t="str">
        <f t="shared" si="26"/>
        <v/>
      </c>
      <c r="E94" s="7" t="str">
        <f>IF(COUNTA('RAW_농산물_9월'!$A:$A)&lt;=1,"",SUMIFS('RAW_농산물_9월'!$F:$F,'RAW_농산물_9월'!$A:$A,E$90)-SUMIFS('RAW_농산물_8월'!$F:$F,'RAW_농산물_8월'!$A:$A,E$90))</f>
        <v/>
      </c>
      <c r="F94" s="7" t="str">
        <f>IF(COUNTA('RAW_농산물_9월'!$A:$A)&lt;=1,"",SUMIFS('RAW_농산물_9월'!$F:$F,'RAW_농산물_9월'!$A:$A,F$90)-SUMIFS('RAW_농산물_8월'!$F:$F,'RAW_농산물_8월'!$A:$A,F$90))</f>
        <v/>
      </c>
      <c r="G94" s="7" t="str">
        <f>IF(COUNTA('RAW_농산물_9월'!$A:$A)&lt;=1,"",SUMIFS('RAW_농산물_9월'!$F:$F,'RAW_농산물_9월'!$A:$A,G$90)-SUMIFS('RAW_농산물_8월'!$F:$F,'RAW_농산물_8월'!$A:$A,G$90))</f>
        <v/>
      </c>
      <c r="H94" s="7" t="str">
        <f>IF(COUNTA('RAW_농산물_9월'!$A:$A)&lt;=1,"",SUMIFS('RAW_농산물_9월'!$F:$F,'RAW_농산물_9월'!$A:$A,H$90)-SUMIFS('RAW_농산물_8월'!$F:$F,'RAW_농산물_8월'!$A:$A,H$90))</f>
        <v/>
      </c>
      <c r="I94" s="7" t="str">
        <f>IF(COUNTA('RAW_농산물_9월'!$A:$A)&lt;=1,"",SUMIFS('RAW_농산물_9월'!$F:$F,'RAW_농산물_9월'!$A:$A,I$90)-SUMIFS('RAW_농산물_8월'!$F:$F,'RAW_농산물_8월'!$A:$A,I$90))</f>
        <v/>
      </c>
      <c r="J94" s="7" t="str">
        <f>IF(COUNTA('RAW_농산물_9월'!$A:$A)&lt;=1,"",SUMIFS('RAW_농산물_9월'!$F:$F,'RAW_농산물_9월'!$A:$A,J$90)-SUMIFS('RAW_농산물_8월'!$F:$F,'RAW_농산물_8월'!$A:$A,J$90))</f>
        <v/>
      </c>
    </row>
    <row r="95" ht="15.75" customHeight="1">
      <c r="B95" s="30" t="s">
        <v>181</v>
      </c>
      <c r="D95" s="3" t="str">
        <f t="shared" si="26"/>
        <v/>
      </c>
      <c r="E95" s="7" t="str">
        <f>IF(COUNTA('RAW_농산물_10월'!$A:$A)&lt;=1,"",SUMIFS('RAW_농산물_10월'!$F:$F,'RAW_농산물_10월'!$A:$A,E$90)-SUMIFS('RAW_농산물_9월'!$F:$F,'RAW_농산물_9월'!$A:$A,E$90))</f>
        <v/>
      </c>
      <c r="F95" s="7" t="str">
        <f>IF(COUNTA('RAW_농산물_10월'!$A:$A)&lt;=1,"",SUMIFS('RAW_농산물_10월'!$F:$F,'RAW_농산물_10월'!$A:$A,F$90)-SUMIFS('RAW_농산물_9월'!$F:$F,'RAW_농산물_9월'!$A:$A,F$90))</f>
        <v/>
      </c>
      <c r="G95" s="7" t="str">
        <f>IF(COUNTA('RAW_농산물_10월'!$A:$A)&lt;=1,"",SUMIFS('RAW_농산물_10월'!$F:$F,'RAW_농산물_10월'!$A:$A,G$90)-SUMIFS('RAW_농산물_9월'!$F:$F,'RAW_농산물_9월'!$A:$A,G$90))</f>
        <v/>
      </c>
      <c r="H95" s="7" t="str">
        <f>IF(COUNTA('RAW_농산물_10월'!$A:$A)&lt;=1,"",SUMIFS('RAW_농산물_10월'!$F:$F,'RAW_농산물_10월'!$A:$A,H$90)-SUMIFS('RAW_농산물_9월'!$F:$F,'RAW_농산물_9월'!$A:$A,H$90))</f>
        <v/>
      </c>
      <c r="I95" s="7" t="str">
        <f>IF(COUNTA('RAW_농산물_10월'!$A:$A)&lt;=1,"",SUMIFS('RAW_농산물_10월'!$F:$F,'RAW_농산물_10월'!$A:$A,I$90)-SUMIFS('RAW_농산물_9월'!$F:$F,'RAW_농산물_9월'!$A:$A,I$90))</f>
        <v/>
      </c>
      <c r="J95" s="7" t="str">
        <f>IF(COUNTA('RAW_농산물_10월'!$A:$A)&lt;=1,"",SUMIFS('RAW_농산물_10월'!$F:$F,'RAW_농산물_10월'!$A:$A,J$90)-SUMIFS('RAW_농산물_9월'!$F:$F,'RAW_농산물_9월'!$A:$A,J$90))</f>
        <v/>
      </c>
    </row>
    <row r="96" ht="15.75" customHeight="1">
      <c r="B96" s="30" t="s">
        <v>182</v>
      </c>
      <c r="D96" s="3" t="str">
        <f t="shared" si="26"/>
        <v/>
      </c>
      <c r="E96" s="7" t="str">
        <f>IF(COUNTA('RAW_농산물_11-12월'!$A:$A)&lt;=1,"",SUMIFS('RAW_농산물_11-12월'!$F:$F,'RAW_농산물_11-12월'!$A:$A,E$90)-SUMIFS('RAW_농산물_10월'!$F:$F,'RAW_농산물_10월'!$A:$A,E$90))</f>
        <v/>
      </c>
      <c r="F96" s="7" t="str">
        <f>IF(COUNTA('RAW_농산물_11-12월'!$A:$A)&lt;=1,"",SUMIFS('RAW_농산물_11-12월'!$F:$F,'RAW_농산물_11-12월'!$A:$A,F$90)-SUMIFS('RAW_농산물_10월'!$F:$F,'RAW_농산물_10월'!$A:$A,F$90))</f>
        <v/>
      </c>
      <c r="G96" s="7" t="str">
        <f>IF(COUNTA('RAW_농산물_11-12월'!$A:$A)&lt;=1,"",SUMIFS('RAW_농산물_11-12월'!$F:$F,'RAW_농산물_11-12월'!$A:$A,G$90)-SUMIFS('RAW_농산물_10월'!$F:$F,'RAW_농산물_10월'!$A:$A,G$90))</f>
        <v/>
      </c>
      <c r="H96" s="7" t="str">
        <f>IF(COUNTA('RAW_농산물_11-12월'!$A:$A)&lt;=1,"",SUMIFS('RAW_농산물_11-12월'!$F:$F,'RAW_농산물_11-12월'!$A:$A,H$90)-SUMIFS('RAW_농산물_10월'!$F:$F,'RAW_농산물_10월'!$A:$A,H$90))</f>
        <v/>
      </c>
      <c r="I96" s="7" t="str">
        <f>IF(COUNTA('RAW_농산물_11-12월'!$A:$A)&lt;=1,"",SUMIFS('RAW_농산물_11-12월'!$F:$F,'RAW_농산물_11-12월'!$A:$A,I$90)-SUMIFS('RAW_농산물_10월'!$F:$F,'RAW_농산물_10월'!$A:$A,I$90))</f>
        <v/>
      </c>
      <c r="J96" s="7" t="str">
        <f>IF(COUNTA('RAW_농산물_11-12월'!$A:$A)&lt;=1,"",SUMIFS('RAW_농산물_11-12월'!$F:$F,'RAW_농산물_11-12월'!$A:$A,J$90)-SUMIFS('RAW_농산물_10월'!$F:$F,'RAW_농산물_10월'!$A:$A,J$90))</f>
        <v/>
      </c>
    </row>
    <row r="97" ht="15.75" customHeight="1"/>
    <row r="98" ht="15.75" customHeight="1">
      <c r="B98" s="21" t="s">
        <v>1304</v>
      </c>
    </row>
    <row r="99" ht="15.75" customHeight="1">
      <c r="B99" s="4" t="s">
        <v>1306</v>
      </c>
      <c r="C99" s="4" t="s">
        <v>5</v>
      </c>
      <c r="D99" s="4" t="s">
        <v>76</v>
      </c>
      <c r="E99" s="4" t="s">
        <v>92</v>
      </c>
      <c r="F99" s="4" t="s">
        <v>93</v>
      </c>
      <c r="G99" s="4" t="s">
        <v>28</v>
      </c>
      <c r="H99" s="4" t="s">
        <v>94</v>
      </c>
      <c r="I99" s="4" t="s">
        <v>95</v>
      </c>
      <c r="J99" s="4" t="s">
        <v>31</v>
      </c>
    </row>
    <row r="100" ht="15.75" customHeight="1">
      <c r="B100" s="2" t="s">
        <v>76</v>
      </c>
      <c r="C100" s="2"/>
      <c r="D100" s="3">
        <f t="shared" ref="D100:D118" si="28">IF(COUNT(E100:J100)=0,"",SUM(E100:J100))</f>
        <v>266369319</v>
      </c>
      <c r="E100" s="3">
        <f t="shared" ref="E100:J100" si="27">IF(COUNT(E101,E107,E113)=0,"",SUM(E101,E107,E113))</f>
        <v>90643090</v>
      </c>
      <c r="F100" s="3">
        <f t="shared" si="27"/>
        <v>76647920</v>
      </c>
      <c r="G100" s="3">
        <f t="shared" si="27"/>
        <v>52129220</v>
      </c>
      <c r="H100" s="3">
        <f t="shared" si="27"/>
        <v>15501100</v>
      </c>
      <c r="I100" s="3">
        <f t="shared" si="27"/>
        <v>15599960</v>
      </c>
      <c r="J100" s="3">
        <f t="shared" si="27"/>
        <v>15848029</v>
      </c>
    </row>
    <row r="101" ht="15.75" customHeight="1">
      <c r="B101" s="45" t="s">
        <v>117</v>
      </c>
      <c r="C101" s="28" t="s">
        <v>91</v>
      </c>
      <c r="D101" s="3">
        <f t="shared" si="28"/>
        <v>138762093</v>
      </c>
      <c r="E101" s="3">
        <f t="shared" ref="E101:J101" si="29">IF(COUNT(E102:E106)=0,"",SUM(E102:E106))</f>
        <v>49239490</v>
      </c>
      <c r="F101" s="3">
        <f t="shared" si="29"/>
        <v>44507910</v>
      </c>
      <c r="G101" s="3">
        <f t="shared" si="29"/>
        <v>18790700</v>
      </c>
      <c r="H101" s="3">
        <f t="shared" si="29"/>
        <v>13890839</v>
      </c>
      <c r="I101" s="3">
        <f t="shared" si="29"/>
        <v>6040540</v>
      </c>
      <c r="J101" s="3">
        <f t="shared" si="29"/>
        <v>6292614</v>
      </c>
    </row>
    <row r="102" ht="15.75" customHeight="1">
      <c r="B102" s="50"/>
      <c r="C102" s="30" t="s">
        <v>173</v>
      </c>
      <c r="D102" s="3">
        <f t="shared" si="28"/>
        <v>88214730</v>
      </c>
      <c r="E102" s="7">
        <f>IF(COUNTA('RAW_농산물_7월'!$A:$A)&lt;=1,"",SUMIFS('RAW_농산물_7월'!$H:$H,'RAW_농산물_7월'!$A:$A,E$99,'RAW_농산물_7월'!$B:$B,$B101))</f>
        <v>27411390</v>
      </c>
      <c r="F102" s="7">
        <f>IF(COUNTA('RAW_농산물_7월'!$A:$A)&lt;=1,"",SUMIFS('RAW_농산물_7월'!$H:$H,'RAW_농산물_7월'!$A:$A,F$99,'RAW_농산물_7월'!$B:$B,$B101))</f>
        <v>29588620</v>
      </c>
      <c r="G102" s="7">
        <f>IF(COUNTA('RAW_농산물_7월'!$A:$A)&lt;=1,"",SUMIFS('RAW_농산물_7월'!$H:$H,'RAW_농산물_7월'!$A:$A,G$99,'RAW_농산물_7월'!$B:$B,$B101))</f>
        <v>16467420</v>
      </c>
      <c r="H102" s="7">
        <f>IF(COUNTA('RAW_농산물_7월'!$A:$A)&lt;=1,"",SUMIFS('RAW_농산물_7월'!$H:$H,'RAW_농산물_7월'!$A:$A,H$99,'RAW_농산물_7월'!$B:$B,$B101))</f>
        <v>6561353</v>
      </c>
      <c r="I102" s="7">
        <f>IF(COUNTA('RAW_농산물_7월'!$A:$A)&lt;=1,"",SUMIFS('RAW_농산물_7월'!$H:$H,'RAW_농산물_7월'!$A:$A,I$99,'RAW_농산물_7월'!$B:$B,$B101))</f>
        <v>3731960</v>
      </c>
      <c r="J102" s="7">
        <f>IF(COUNTA('RAW_농산물_7월'!$A:$A)&lt;=1,"",SUMIFS('RAW_농산물_7월'!$H:$H,'RAW_농산물_7월'!$A:$A,J$99,'RAW_농산물_7월'!$B:$B,$B101))</f>
        <v>4453987</v>
      </c>
    </row>
    <row r="103" ht="15.75" customHeight="1">
      <c r="B103" s="50"/>
      <c r="C103" s="30" t="s">
        <v>175</v>
      </c>
      <c r="D103" s="3">
        <f t="shared" si="28"/>
        <v>50547363</v>
      </c>
      <c r="E103" s="7">
        <f>IF(COUNTA('RAW_농산물_8월'!$A:$A)&lt;=1,"",SUMIFS('RAW_농산물_8월'!$H:$H,'RAW_농산물_8월'!$A:$A,E$99,'RAW_농산물_8월'!$B:$B,$B101)-SUMIFS('RAW_농산물_7월'!$H:$H,'RAW_농산물_7월'!$A:$A,E$99,'RAW_농산물_7월'!$B:$B,$B101))</f>
        <v>21828100</v>
      </c>
      <c r="F103" s="7">
        <f>IF(COUNTA('RAW_농산물_8월'!$A:$A)&lt;=1,"",SUMIFS('RAW_농산물_8월'!$H:$H,'RAW_농산물_8월'!$A:$A,F$99,'RAW_농산물_8월'!$B:$B,$B101)-SUMIFS('RAW_농산물_7월'!$H:$H,'RAW_농산물_7월'!$A:$A,F$99,'RAW_농산물_7월'!$B:$B,$B101))</f>
        <v>14919290</v>
      </c>
      <c r="G103" s="7">
        <f>IF(COUNTA('RAW_농산물_8월'!$A:$A)&lt;=1,"",SUMIFS('RAW_농산물_8월'!$H:$H,'RAW_농산물_8월'!$A:$A,G$99,'RAW_농산물_8월'!$B:$B,$B101)-SUMIFS('RAW_농산물_7월'!$H:$H,'RAW_농산물_7월'!$A:$A,G$99,'RAW_농산물_7월'!$B:$B,$B101))</f>
        <v>2323280</v>
      </c>
      <c r="H103" s="7">
        <f>IF(COUNTA('RAW_농산물_8월'!$A:$A)&lt;=1,"",SUMIFS('RAW_농산물_8월'!$H:$H,'RAW_농산물_8월'!$A:$A,H$99,'RAW_농산물_8월'!$B:$B,$B101)-SUMIFS('RAW_농산물_7월'!$H:$H,'RAW_농산물_7월'!$A:$A,H$99,'RAW_농산물_7월'!$B:$B,$B101))</f>
        <v>7329486</v>
      </c>
      <c r="I103" s="7">
        <f>IF(COUNTA('RAW_농산물_8월'!$A:$A)&lt;=1,"",SUMIFS('RAW_농산물_8월'!$H:$H,'RAW_농산물_8월'!$A:$A,I$99,'RAW_농산물_8월'!$B:$B,$B101)-SUMIFS('RAW_농산물_7월'!$H:$H,'RAW_농산물_7월'!$A:$A,I$99,'RAW_농산물_7월'!$B:$B,$B101))</f>
        <v>2308580</v>
      </c>
      <c r="J103" s="7">
        <f>IF(COUNTA('RAW_농산물_8월'!$A:$A)&lt;=1,"",SUMIFS('RAW_농산물_8월'!$H:$H,'RAW_농산물_8월'!$A:$A,J$99,'RAW_농산물_8월'!$B:$B,$B101)-SUMIFS('RAW_농산물_7월'!$H:$H,'RAW_농산물_7월'!$A:$A,J$99,'RAW_농산물_7월'!$B:$B,$B101))</f>
        <v>1838627</v>
      </c>
    </row>
    <row r="104" ht="15.75" customHeight="1">
      <c r="B104" s="50"/>
      <c r="C104" s="30" t="s">
        <v>180</v>
      </c>
      <c r="D104" s="3" t="str">
        <f t="shared" si="28"/>
        <v/>
      </c>
      <c r="E104" s="7" t="str">
        <f>IF(COUNTA('RAW_농산물_9월'!$A:$A)&lt;=1,"",SUMIFS('RAW_농산물_9월'!$H:$H,'RAW_농산물_9월'!$A:$A,E$99,'RAW_농산물_9월'!$B:$B,$B101)-SUMIFS('RAW_농산물_8월'!$H:$H,'RAW_농산물_8월'!$A:$A,E$99,'RAW_농산물_8월'!$B:$B,$B101))</f>
        <v/>
      </c>
      <c r="F104" s="7" t="str">
        <f>IF(COUNTA('RAW_농산물_9월'!$A:$A)&lt;=1,"",SUMIFS('RAW_농산물_9월'!$H:$H,'RAW_농산물_9월'!$A:$A,F$99,'RAW_농산물_9월'!$B:$B,$B101)-SUMIFS('RAW_농산물_8월'!$H:$H,'RAW_농산물_8월'!$A:$A,F$99,'RAW_농산물_8월'!$B:$B,$B101))</f>
        <v/>
      </c>
      <c r="G104" s="7" t="str">
        <f>IF(COUNTA('RAW_농산물_9월'!$A:$A)&lt;=1,"",SUMIFS('RAW_농산물_9월'!$H:$H,'RAW_농산물_9월'!$A:$A,G$99,'RAW_농산물_9월'!$B:$B,$B101)-SUMIFS('RAW_농산물_8월'!$H:$H,'RAW_농산물_8월'!$A:$A,G$99,'RAW_농산물_8월'!$B:$B,$B101))</f>
        <v/>
      </c>
      <c r="H104" s="7" t="str">
        <f>IF(COUNTA('RAW_농산물_9월'!$A:$A)&lt;=1,"",SUMIFS('RAW_농산물_9월'!$H:$H,'RAW_농산물_9월'!$A:$A,H$99,'RAW_농산물_9월'!$B:$B,$B101)-SUMIFS('RAW_농산물_8월'!$H:$H,'RAW_농산물_8월'!$A:$A,H$99,'RAW_농산물_8월'!$B:$B,$B101))</f>
        <v/>
      </c>
      <c r="I104" s="7" t="str">
        <f>IF(COUNTA('RAW_농산물_9월'!$A:$A)&lt;=1,"",SUMIFS('RAW_농산물_9월'!$H:$H,'RAW_농산물_9월'!$A:$A,I$99,'RAW_농산물_9월'!$B:$B,$B101)-SUMIFS('RAW_농산물_8월'!$H:$H,'RAW_농산물_8월'!$A:$A,I$99,'RAW_농산물_8월'!$B:$B,$B101))</f>
        <v/>
      </c>
      <c r="J104" s="7" t="str">
        <f>IF(COUNTA('RAW_농산물_9월'!$A:$A)&lt;=1,"",SUMIFS('RAW_농산물_9월'!$H:$H,'RAW_농산물_9월'!$A:$A,J$99,'RAW_농산물_9월'!$B:$B,$B101)-SUMIFS('RAW_농산물_8월'!$H:$H,'RAW_농산물_8월'!$A:$A,J$99,'RAW_농산물_8월'!$B:$B,$B101))</f>
        <v/>
      </c>
    </row>
    <row r="105" ht="15.75" customHeight="1">
      <c r="B105" s="50"/>
      <c r="C105" s="30" t="s">
        <v>181</v>
      </c>
      <c r="D105" s="3" t="str">
        <f t="shared" si="28"/>
        <v/>
      </c>
      <c r="E105" s="7" t="str">
        <f>IF(COUNTA('RAW_농산물_10월'!$A:$A)&lt;=1,"",SUMIFS('RAW_농산물_10월'!$H:$H,'RAW_농산물_10월'!$A:$A,E$99,'RAW_농산물_10월'!$B:$B,$B101)-SUMIFS('RAW_농산물_9월'!$H:$H,'RAW_농산물_9월'!$A:$A,E$99,'RAW_농산물_9월'!$B:$B,$B101))</f>
        <v/>
      </c>
      <c r="F105" s="7" t="str">
        <f>IF(COUNTA('RAW_농산물_10월'!$A:$A)&lt;=1,"",SUMIFS('RAW_농산물_10월'!$H:$H,'RAW_농산물_10월'!$A:$A,F$99,'RAW_농산물_10월'!$B:$B,$B101)-SUMIFS('RAW_농산물_9월'!$H:$H,'RAW_농산물_9월'!$A:$A,F$99,'RAW_농산물_9월'!$B:$B,$B101))</f>
        <v/>
      </c>
      <c r="G105" s="7" t="str">
        <f>IF(COUNTA('RAW_농산물_10월'!$A:$A)&lt;=1,"",SUMIFS('RAW_농산물_10월'!$H:$H,'RAW_농산물_10월'!$A:$A,G$99,'RAW_농산물_10월'!$B:$B,$B101)-SUMIFS('RAW_농산물_9월'!$H:$H,'RAW_농산물_9월'!$A:$A,G$99,'RAW_농산물_9월'!$B:$B,$B101))</f>
        <v/>
      </c>
      <c r="H105" s="7" t="str">
        <f>IF(COUNTA('RAW_농산물_10월'!$A:$A)&lt;=1,"",SUMIFS('RAW_농산물_10월'!$H:$H,'RAW_농산물_10월'!$A:$A,H$99,'RAW_농산물_10월'!$B:$B,$B101)-SUMIFS('RAW_농산물_9월'!$H:$H,'RAW_농산물_9월'!$A:$A,H$99,'RAW_농산물_9월'!$B:$B,$B101))</f>
        <v/>
      </c>
      <c r="I105" s="7" t="str">
        <f>IF(COUNTA('RAW_농산물_10월'!$A:$A)&lt;=1,"",SUMIFS('RAW_농산물_10월'!$H:$H,'RAW_농산물_10월'!$A:$A,I$99,'RAW_농산물_10월'!$B:$B,$B101)-SUMIFS('RAW_농산물_9월'!$H:$H,'RAW_농산물_9월'!$A:$A,I$99,'RAW_농산물_9월'!$B:$B,$B101))</f>
        <v/>
      </c>
      <c r="J105" s="7" t="str">
        <f>IF(COUNTA('RAW_농산물_10월'!$A:$A)&lt;=1,"",SUMIFS('RAW_농산물_10월'!$H:$H,'RAW_농산물_10월'!$A:$A,J$99,'RAW_농산물_10월'!$B:$B,$B101)-SUMIFS('RAW_농산물_9월'!$H:$H,'RAW_농산물_9월'!$A:$A,J$99,'RAW_농산물_9월'!$B:$B,$B101))</f>
        <v/>
      </c>
    </row>
    <row r="106" ht="15.75" customHeight="1">
      <c r="B106" s="27"/>
      <c r="C106" s="30" t="s">
        <v>182</v>
      </c>
      <c r="D106" s="3" t="str">
        <f t="shared" si="28"/>
        <v/>
      </c>
      <c r="E106" s="7" t="str">
        <f>IF(COUNTA('RAW_농산물_11-12월'!$A:$A)&lt;=1,"",SUMIFS('RAW_농산물_11-12월'!$H:$H,'RAW_농산물_11-12월'!$A:$A,E$99,'RAW_농산물_11-12월'!$B:$B,$B101)-SUMIFS('RAW_농산물_10월'!$H:$H,'RAW_농산물_10월'!$A:$A,E$99,'RAW_농산물_10월'!$B:$B,$B101))</f>
        <v/>
      </c>
      <c r="F106" s="7" t="str">
        <f>IF(COUNTA('RAW_농산물_11-12월'!$A:$A)&lt;=1,"",SUMIFS('RAW_농산물_11-12월'!$H:$H,'RAW_농산물_11-12월'!$A:$A,F$99,'RAW_농산물_11-12월'!$B:$B,$B101)-SUMIFS('RAW_농산물_10월'!$H:$H,'RAW_농산물_10월'!$A:$A,F$99,'RAW_농산물_10월'!$B:$B,$B101))</f>
        <v/>
      </c>
      <c r="G106" s="7" t="str">
        <f>IF(COUNTA('RAW_농산물_11-12월'!$A:$A)&lt;=1,"",SUMIFS('RAW_농산물_11-12월'!$H:$H,'RAW_농산물_11-12월'!$A:$A,G$99,'RAW_농산물_11-12월'!$B:$B,$B101)-SUMIFS('RAW_농산물_10월'!$H:$H,'RAW_농산물_10월'!$A:$A,G$99,'RAW_농산물_10월'!$B:$B,$B101))</f>
        <v/>
      </c>
      <c r="H106" s="7" t="str">
        <f>IF(COUNTA('RAW_농산물_11-12월'!$A:$A)&lt;=1,"",SUMIFS('RAW_농산물_11-12월'!$H:$H,'RAW_농산물_11-12월'!$A:$A,H$99,'RAW_농산물_11-12월'!$B:$B,$B101)-SUMIFS('RAW_농산물_10월'!$H:$H,'RAW_농산물_10월'!$A:$A,H$99,'RAW_농산물_10월'!$B:$B,$B101))</f>
        <v/>
      </c>
      <c r="I106" s="7" t="str">
        <f>IF(COUNTA('RAW_농산물_11-12월'!$A:$A)&lt;=1,"",SUMIFS('RAW_농산물_11-12월'!$H:$H,'RAW_농산물_11-12월'!$A:$A,I$99,'RAW_농산물_11-12월'!$B:$B,$B101)-SUMIFS('RAW_농산물_10월'!$H:$H,'RAW_농산물_10월'!$A:$A,I$99,'RAW_농산물_10월'!$B:$B,$B101))</f>
        <v/>
      </c>
      <c r="J106" s="7" t="str">
        <f>IF(COUNTA('RAW_농산물_11-12월'!$A:$A)&lt;=1,"",SUMIFS('RAW_농산물_11-12월'!$H:$H,'RAW_농산물_11-12월'!$A:$A,J$99,'RAW_농산물_11-12월'!$B:$B,$B101)-SUMIFS('RAW_농산물_10월'!$H:$H,'RAW_농산물_10월'!$A:$A,J$99,'RAW_농산물_10월'!$B:$B,$B101))</f>
        <v/>
      </c>
    </row>
    <row r="107" ht="15.75" customHeight="1">
      <c r="B107" s="45" t="s">
        <v>174</v>
      </c>
      <c r="C107" s="28" t="s">
        <v>91</v>
      </c>
      <c r="D107" s="3">
        <f t="shared" si="28"/>
        <v>52329884</v>
      </c>
      <c r="E107" s="3">
        <f t="shared" ref="E107:J107" si="30">IF(COUNT(E108:E112)=0,"",SUM(E108:E112))</f>
        <v>17926550</v>
      </c>
      <c r="F107" s="3">
        <f t="shared" si="30"/>
        <v>11023670</v>
      </c>
      <c r="G107" s="3">
        <f t="shared" si="30"/>
        <v>21130300</v>
      </c>
      <c r="H107" s="3">
        <f t="shared" si="30"/>
        <v>0</v>
      </c>
      <c r="I107" s="3">
        <f t="shared" si="30"/>
        <v>0</v>
      </c>
      <c r="J107" s="3">
        <f t="shared" si="30"/>
        <v>2249364</v>
      </c>
    </row>
    <row r="108" ht="15.75" customHeight="1">
      <c r="B108" s="50"/>
      <c r="C108" s="30" t="s">
        <v>173</v>
      </c>
      <c r="D108" s="3">
        <f t="shared" si="28"/>
        <v>38642350</v>
      </c>
      <c r="E108" s="7">
        <f>IF(COUNTA('RAW_농산물_7월'!$A:$A)&lt;=1,"",SUMIFS('RAW_농산물_7월'!$H:$H,'RAW_농산물_7월'!$A:$A,E$99,'RAW_농산물_7월'!$B:$B,$B107))</f>
        <v>11905380</v>
      </c>
      <c r="F108" s="7">
        <f>IF(COUNTA('RAW_농산물_7월'!$A:$A)&lt;=1,"",SUMIFS('RAW_농산물_7월'!$H:$H,'RAW_농산물_7월'!$A:$A,F$99,'RAW_농산물_7월'!$B:$B,$B107))</f>
        <v>7134250</v>
      </c>
      <c r="G108" s="7">
        <f>IF(COUNTA('RAW_농산물_7월'!$A:$A)&lt;=1,"",SUMIFS('RAW_농산물_7월'!$H:$H,'RAW_농산물_7월'!$A:$A,G$99,'RAW_농산물_7월'!$B:$B,$B107))</f>
        <v>18410780</v>
      </c>
      <c r="H108" s="7">
        <f>IF(COUNTA('RAW_농산물_7월'!$A:$A)&lt;=1,"",SUMIFS('RAW_농산물_7월'!$H:$H,'RAW_농산물_7월'!$A:$A,H$99,'RAW_농산물_7월'!$B:$B,$B107))</f>
        <v>0</v>
      </c>
      <c r="I108" s="7">
        <f>IF(COUNTA('RAW_농산물_7월'!$A:$A)&lt;=1,"",SUMIFS('RAW_농산물_7월'!$H:$H,'RAW_농산물_7월'!$A:$A,I$99,'RAW_농산물_7월'!$B:$B,$B107))</f>
        <v>0</v>
      </c>
      <c r="J108" s="7">
        <f>IF(COUNTA('RAW_농산물_7월'!$A:$A)&lt;=1,"",SUMIFS('RAW_농산물_7월'!$H:$H,'RAW_농산물_7월'!$A:$A,J$99,'RAW_농산물_7월'!$B:$B,$B107))</f>
        <v>1191940</v>
      </c>
    </row>
    <row r="109" ht="15.75" customHeight="1">
      <c r="B109" s="50"/>
      <c r="C109" s="30" t="s">
        <v>175</v>
      </c>
      <c r="D109" s="3">
        <f t="shared" si="28"/>
        <v>13687534</v>
      </c>
      <c r="E109" s="7">
        <f>IF(COUNTA('RAW_농산물_8월'!$A:$A)&lt;=1,"",SUMIFS('RAW_농산물_8월'!$H:$H,'RAW_농산물_8월'!$A:$A,E$99,'RAW_농산물_8월'!$B:$B,$B107)-SUMIFS('RAW_농산물_7월'!$H:$H,'RAW_농산물_7월'!$A:$A,E$99,'RAW_농산물_7월'!$B:$B,$B107))</f>
        <v>6021170</v>
      </c>
      <c r="F109" s="7">
        <f>IF(COUNTA('RAW_농산물_8월'!$A:$A)&lt;=1,"",SUMIFS('RAW_농산물_8월'!$H:$H,'RAW_농산물_8월'!$A:$A,F$99,'RAW_농산물_8월'!$B:$B,$B107)-SUMIFS('RAW_농산물_7월'!$H:$H,'RAW_농산물_7월'!$A:$A,F$99,'RAW_농산물_7월'!$B:$B,$B107))</f>
        <v>3889420</v>
      </c>
      <c r="G109" s="7">
        <f>IF(COUNTA('RAW_농산물_8월'!$A:$A)&lt;=1,"",SUMIFS('RAW_농산물_8월'!$H:$H,'RAW_농산물_8월'!$A:$A,G$99,'RAW_농산물_8월'!$B:$B,$B107)-SUMIFS('RAW_농산물_7월'!$H:$H,'RAW_농산물_7월'!$A:$A,G$99,'RAW_농산물_7월'!$B:$B,$B107))</f>
        <v>2719520</v>
      </c>
      <c r="H109" s="7">
        <f>IF(COUNTA('RAW_농산물_8월'!$A:$A)&lt;=1,"",SUMIFS('RAW_농산물_8월'!$H:$H,'RAW_농산물_8월'!$A:$A,H$99,'RAW_농산물_8월'!$B:$B,$B107)-SUMIFS('RAW_농산물_7월'!$H:$H,'RAW_농산물_7월'!$A:$A,H$99,'RAW_농산물_7월'!$B:$B,$B107))</f>
        <v>0</v>
      </c>
      <c r="I109" s="7">
        <f>IF(COUNTA('RAW_농산물_8월'!$A:$A)&lt;=1,"",SUMIFS('RAW_농산물_8월'!$H:$H,'RAW_농산물_8월'!$A:$A,I$99,'RAW_농산물_8월'!$B:$B,$B107)-SUMIFS('RAW_농산물_7월'!$H:$H,'RAW_농산물_7월'!$A:$A,I$99,'RAW_농산물_7월'!$B:$B,$B107))</f>
        <v>0</v>
      </c>
      <c r="J109" s="7">
        <f>IF(COUNTA('RAW_농산물_8월'!$A:$A)&lt;=1,"",SUMIFS('RAW_농산물_8월'!$H:$H,'RAW_농산물_8월'!$A:$A,J$99,'RAW_농산물_8월'!$B:$B,$B107)-SUMIFS('RAW_농산물_7월'!$H:$H,'RAW_농산물_7월'!$A:$A,J$99,'RAW_농산물_7월'!$B:$B,$B107))</f>
        <v>1057424</v>
      </c>
    </row>
    <row r="110" ht="15.75" customHeight="1">
      <c r="B110" s="50"/>
      <c r="C110" s="30" t="s">
        <v>180</v>
      </c>
      <c r="D110" s="3" t="str">
        <f t="shared" si="28"/>
        <v/>
      </c>
      <c r="E110" s="7" t="str">
        <f>IF(COUNTA('RAW_농산물_9월'!$A:$A)&lt;=1,"",SUMIFS('RAW_농산물_9월'!$H:$H,'RAW_농산물_9월'!$A:$A,E$99,'RAW_농산물_9월'!$B:$B,$B107)-SUMIFS('RAW_농산물_8월'!$H:$H,'RAW_농산물_8월'!$A:$A,E$99,'RAW_농산물_8월'!$B:$B,$B107))</f>
        <v/>
      </c>
      <c r="F110" s="7" t="str">
        <f>IF(COUNTA('RAW_농산물_9월'!$A:$A)&lt;=1,"",SUMIFS('RAW_농산물_9월'!$H:$H,'RAW_농산물_9월'!$A:$A,F$99,'RAW_농산물_9월'!$B:$B,$B107)-SUMIFS('RAW_농산물_8월'!$H:$H,'RAW_농산물_8월'!$A:$A,F$99,'RAW_농산물_8월'!$B:$B,$B107))</f>
        <v/>
      </c>
      <c r="G110" s="7" t="str">
        <f>IF(COUNTA('RAW_농산물_9월'!$A:$A)&lt;=1,"",SUMIFS('RAW_농산물_9월'!$H:$H,'RAW_농산물_9월'!$A:$A,G$99,'RAW_농산물_9월'!$B:$B,$B107)-SUMIFS('RAW_농산물_8월'!$H:$H,'RAW_농산물_8월'!$A:$A,G$99,'RAW_농산물_8월'!$B:$B,$B107))</f>
        <v/>
      </c>
      <c r="H110" s="7" t="str">
        <f>IF(COUNTA('RAW_농산물_9월'!$A:$A)&lt;=1,"",SUMIFS('RAW_농산물_9월'!$H:$H,'RAW_농산물_9월'!$A:$A,H$99,'RAW_농산물_9월'!$B:$B,$B107)-SUMIFS('RAW_농산물_8월'!$H:$H,'RAW_농산물_8월'!$A:$A,H$99,'RAW_농산물_8월'!$B:$B,$B107))</f>
        <v/>
      </c>
      <c r="I110" s="7" t="str">
        <f>IF(COUNTA('RAW_농산물_9월'!$A:$A)&lt;=1,"",SUMIFS('RAW_농산물_9월'!$H:$H,'RAW_농산물_9월'!$A:$A,I$99,'RAW_농산물_9월'!$B:$B,$B107)-SUMIFS('RAW_농산물_8월'!$H:$H,'RAW_농산물_8월'!$A:$A,I$99,'RAW_농산물_8월'!$B:$B,$B107))</f>
        <v/>
      </c>
      <c r="J110" s="7" t="str">
        <f>IF(COUNTA('RAW_농산물_9월'!$A:$A)&lt;=1,"",SUMIFS('RAW_농산물_9월'!$H:$H,'RAW_농산물_9월'!$A:$A,J$99,'RAW_농산물_9월'!$B:$B,$B107)-SUMIFS('RAW_농산물_8월'!$H:$H,'RAW_농산물_8월'!$A:$A,J$99,'RAW_농산물_8월'!$B:$B,$B107))</f>
        <v/>
      </c>
    </row>
    <row r="111" ht="15.75" customHeight="1">
      <c r="B111" s="50"/>
      <c r="C111" s="30" t="s">
        <v>181</v>
      </c>
      <c r="D111" s="3" t="str">
        <f t="shared" si="28"/>
        <v/>
      </c>
      <c r="E111" s="7" t="str">
        <f>IF(COUNTA('RAW_농산물_10월'!$A:$A)&lt;=1,"",SUMIFS('RAW_농산물_10월'!$H:$H,'RAW_농산물_10월'!$A:$A,E$99,'RAW_농산물_10월'!$B:$B,$B107)-SUMIFS('RAW_농산물_9월'!$H:$H,'RAW_농산물_9월'!$A:$A,E$99,'RAW_농산물_9월'!$B:$B,$B107))</f>
        <v/>
      </c>
      <c r="F111" s="7" t="str">
        <f>IF(COUNTA('RAW_농산물_10월'!$A:$A)&lt;=1,"",SUMIFS('RAW_농산물_10월'!$H:$H,'RAW_농산물_10월'!$A:$A,F$99,'RAW_농산물_10월'!$B:$B,$B107)-SUMIFS('RAW_농산물_9월'!$H:$H,'RAW_농산물_9월'!$A:$A,F$99,'RAW_농산물_9월'!$B:$B,$B107))</f>
        <v/>
      </c>
      <c r="G111" s="7" t="str">
        <f>IF(COUNTA('RAW_농산물_10월'!$A:$A)&lt;=1,"",SUMIFS('RAW_농산물_10월'!$H:$H,'RAW_농산물_10월'!$A:$A,G$99,'RAW_농산물_10월'!$B:$B,$B107)-SUMIFS('RAW_농산물_9월'!$H:$H,'RAW_농산물_9월'!$A:$A,G$99,'RAW_농산물_9월'!$B:$B,$B107))</f>
        <v/>
      </c>
      <c r="H111" s="7" t="str">
        <f>IF(COUNTA('RAW_농산물_10월'!$A:$A)&lt;=1,"",SUMIFS('RAW_농산물_10월'!$H:$H,'RAW_농산물_10월'!$A:$A,H$99,'RAW_농산물_10월'!$B:$B,$B107)-SUMIFS('RAW_농산물_9월'!$H:$H,'RAW_농산물_9월'!$A:$A,H$99,'RAW_농산물_9월'!$B:$B,$B107))</f>
        <v/>
      </c>
      <c r="I111" s="7" t="str">
        <f>IF(COUNTA('RAW_농산물_10월'!$A:$A)&lt;=1,"",SUMIFS('RAW_농산물_10월'!$H:$H,'RAW_농산물_10월'!$A:$A,I$99,'RAW_농산물_10월'!$B:$B,$B107)-SUMIFS('RAW_농산물_9월'!$H:$H,'RAW_농산물_9월'!$A:$A,I$99,'RAW_농산물_9월'!$B:$B,$B107))</f>
        <v/>
      </c>
      <c r="J111" s="7" t="str">
        <f>IF(COUNTA('RAW_농산물_10월'!$A:$A)&lt;=1,"",SUMIFS('RAW_농산물_10월'!$H:$H,'RAW_농산물_10월'!$A:$A,J$99,'RAW_농산물_10월'!$B:$B,$B107)-SUMIFS('RAW_농산물_9월'!$H:$H,'RAW_농산물_9월'!$A:$A,J$99,'RAW_농산물_9월'!$B:$B,$B107))</f>
        <v/>
      </c>
    </row>
    <row r="112" ht="15.75" customHeight="1">
      <c r="B112" s="27"/>
      <c r="C112" s="30" t="s">
        <v>182</v>
      </c>
      <c r="D112" s="3" t="str">
        <f t="shared" si="28"/>
        <v/>
      </c>
      <c r="E112" s="7" t="str">
        <f>IF(COUNTA('RAW_농산물_11-12월'!$A:$A)&lt;=1,"",SUMIFS('RAW_농산물_11-12월'!$H:$H,'RAW_농산물_11-12월'!$A:$A,E$99,'RAW_농산물_11-12월'!$B:$B,$B107)-SUMIFS('RAW_농산물_10월'!$H:$H,'RAW_농산물_10월'!$A:$A,E$99,'RAW_농산물_10월'!$B:$B,$B107))</f>
        <v/>
      </c>
      <c r="F112" s="7" t="str">
        <f>IF(COUNTA('RAW_농산물_11-12월'!$A:$A)&lt;=1,"",SUMIFS('RAW_농산물_11-12월'!$H:$H,'RAW_농산물_11-12월'!$A:$A,F$99,'RAW_농산물_11-12월'!$B:$B,$B107)-SUMIFS('RAW_농산물_10월'!$H:$H,'RAW_농산물_10월'!$A:$A,F$99,'RAW_농산물_10월'!$B:$B,$B107))</f>
        <v/>
      </c>
      <c r="G112" s="7" t="str">
        <f>IF(COUNTA('RAW_농산물_11-12월'!$A:$A)&lt;=1,"",SUMIFS('RAW_농산물_11-12월'!$H:$H,'RAW_농산물_11-12월'!$A:$A,G$99,'RAW_농산물_11-12월'!$B:$B,$B107)-SUMIFS('RAW_농산물_10월'!$H:$H,'RAW_농산물_10월'!$A:$A,G$99,'RAW_농산물_10월'!$B:$B,$B107))</f>
        <v/>
      </c>
      <c r="H112" s="7" t="str">
        <f>IF(COUNTA('RAW_농산물_11-12월'!$A:$A)&lt;=1,"",SUMIFS('RAW_농산물_11-12월'!$H:$H,'RAW_농산물_11-12월'!$A:$A,H$99,'RAW_농산물_11-12월'!$B:$B,$B107)-SUMIFS('RAW_농산물_10월'!$H:$H,'RAW_농산물_10월'!$A:$A,H$99,'RAW_농산물_10월'!$B:$B,$B107))</f>
        <v/>
      </c>
      <c r="I112" s="7" t="str">
        <f>IF(COUNTA('RAW_농산물_11-12월'!$A:$A)&lt;=1,"",SUMIFS('RAW_농산물_11-12월'!$H:$H,'RAW_농산물_11-12월'!$A:$A,I$99,'RAW_농산물_11-12월'!$B:$B,$B107)-SUMIFS('RAW_농산물_10월'!$H:$H,'RAW_농산물_10월'!$A:$A,I$99,'RAW_농산물_10월'!$B:$B,$B107))</f>
        <v/>
      </c>
      <c r="J112" s="7" t="str">
        <f>IF(COUNTA('RAW_농산물_11-12월'!$A:$A)&lt;=1,"",SUMIFS('RAW_농산물_11-12월'!$H:$H,'RAW_농산물_11-12월'!$A:$A,J$99,'RAW_농산물_11-12월'!$B:$B,$B107)-SUMIFS('RAW_농산물_10월'!$H:$H,'RAW_농산물_10월'!$A:$A,J$99,'RAW_농산물_10월'!$B:$B,$B107))</f>
        <v/>
      </c>
    </row>
    <row r="113" ht="15.75" customHeight="1">
      <c r="B113" s="45" t="s">
        <v>186</v>
      </c>
      <c r="C113" s="28" t="s">
        <v>91</v>
      </c>
      <c r="D113" s="3">
        <f t="shared" si="28"/>
        <v>75277342</v>
      </c>
      <c r="E113" s="3">
        <f t="shared" ref="E113:J113" si="31">IF(COUNT(E114:E118)=0,"",SUM(E114:E118))</f>
        <v>23477050</v>
      </c>
      <c r="F113" s="3">
        <f t="shared" si="31"/>
        <v>21116340</v>
      </c>
      <c r="G113" s="3">
        <f t="shared" si="31"/>
        <v>12208220</v>
      </c>
      <c r="H113" s="3">
        <f t="shared" si="31"/>
        <v>1610261</v>
      </c>
      <c r="I113" s="3">
        <f t="shared" si="31"/>
        <v>9559420</v>
      </c>
      <c r="J113" s="3">
        <f t="shared" si="31"/>
        <v>7306051</v>
      </c>
    </row>
    <row r="114" ht="15.75" customHeight="1">
      <c r="B114" s="50"/>
      <c r="C114" s="30" t="s">
        <v>173</v>
      </c>
      <c r="D114" s="3">
        <f t="shared" si="28"/>
        <v>36721575</v>
      </c>
      <c r="E114" s="7">
        <f>IF(COUNTA('RAW_농산물_7월'!$A:$A)&lt;=1,"",SUMIFS('RAW_농산물_7월'!$H:$H,'RAW_농산물_7월'!$A:$A,E$99,'RAW_농산물_7월'!$B:$B,$B113))</f>
        <v>10898910</v>
      </c>
      <c r="F114" s="7">
        <f>IF(COUNTA('RAW_농산물_7월'!$A:$A)&lt;=1,"",SUMIFS('RAW_농산물_7월'!$H:$H,'RAW_농산물_7월'!$A:$A,F$99,'RAW_농산물_7월'!$B:$B,$B113))</f>
        <v>9669520</v>
      </c>
      <c r="G114" s="7">
        <f>IF(COUNTA('RAW_농산물_7월'!$A:$A)&lt;=1,"",SUMIFS('RAW_농산물_7월'!$H:$H,'RAW_농산물_7월'!$A:$A,G$99,'RAW_농산물_7월'!$B:$B,$B113))</f>
        <v>5140460</v>
      </c>
      <c r="H114" s="7">
        <f>IF(COUNTA('RAW_농산물_7월'!$A:$A)&lt;=1,"",SUMIFS('RAW_농산물_7월'!$H:$H,'RAW_농산물_7월'!$A:$A,H$99,'RAW_농산물_7월'!$B:$B,$B113))</f>
        <v>540327</v>
      </c>
      <c r="I114" s="7">
        <f>IF(COUNTA('RAW_농산물_7월'!$A:$A)&lt;=1,"",SUMIFS('RAW_농산물_7월'!$H:$H,'RAW_농산물_7월'!$A:$A,I$99,'RAW_농산물_7월'!$B:$B,$B113))</f>
        <v>7755460</v>
      </c>
      <c r="J114" s="7">
        <f>IF(COUNTA('RAW_농산물_7월'!$A:$A)&lt;=1,"",SUMIFS('RAW_농산물_7월'!$H:$H,'RAW_농산물_7월'!$A:$A,J$99,'RAW_농산물_7월'!$B:$B,$B113))</f>
        <v>2716898</v>
      </c>
    </row>
    <row r="115" ht="15.75" customHeight="1">
      <c r="B115" s="50"/>
      <c r="C115" s="30" t="s">
        <v>175</v>
      </c>
      <c r="D115" s="3">
        <f t="shared" si="28"/>
        <v>38555767</v>
      </c>
      <c r="E115" s="7">
        <f>IF(COUNTA('RAW_농산물_8월'!$A:$A)&lt;=1,"",SUMIFS('RAW_농산물_8월'!$H:$H,'RAW_농산물_8월'!$A:$A,E$99,'RAW_농산물_8월'!$B:$B,$B113)-SUMIFS('RAW_농산물_7월'!$H:$H,'RAW_농산물_7월'!$A:$A,E$99,'RAW_농산물_7월'!$B:$B,$B113))</f>
        <v>12578140</v>
      </c>
      <c r="F115" s="7">
        <f>IF(COUNTA('RAW_농산물_8월'!$A:$A)&lt;=1,"",SUMIFS('RAW_농산물_8월'!$H:$H,'RAW_농산물_8월'!$A:$A,F$99,'RAW_농산물_8월'!$B:$B,$B113)-SUMIFS('RAW_농산물_7월'!$H:$H,'RAW_농산물_7월'!$A:$A,F$99,'RAW_농산물_7월'!$B:$B,$B113))</f>
        <v>11446820</v>
      </c>
      <c r="G115" s="7">
        <f>IF(COUNTA('RAW_농산물_8월'!$A:$A)&lt;=1,"",SUMIFS('RAW_농산물_8월'!$H:$H,'RAW_농산물_8월'!$A:$A,G$99,'RAW_농산물_8월'!$B:$B,$B113)-SUMIFS('RAW_농산물_7월'!$H:$H,'RAW_농산물_7월'!$A:$A,G$99,'RAW_농산물_7월'!$B:$B,$B113))</f>
        <v>7067760</v>
      </c>
      <c r="H115" s="7">
        <f>IF(COUNTA('RAW_농산물_8월'!$A:$A)&lt;=1,"",SUMIFS('RAW_농산물_8월'!$H:$H,'RAW_농산물_8월'!$A:$A,H$99,'RAW_농산물_8월'!$B:$B,$B113)-SUMIFS('RAW_농산물_7월'!$H:$H,'RAW_농산물_7월'!$A:$A,H$99,'RAW_농산물_7월'!$B:$B,$B113))</f>
        <v>1069934</v>
      </c>
      <c r="I115" s="7">
        <f>IF(COUNTA('RAW_농산물_8월'!$A:$A)&lt;=1,"",SUMIFS('RAW_농산물_8월'!$H:$H,'RAW_농산물_8월'!$A:$A,I$99,'RAW_농산물_8월'!$B:$B,$B113)-SUMIFS('RAW_농산물_7월'!$H:$H,'RAW_농산물_7월'!$A:$A,I$99,'RAW_농산물_7월'!$B:$B,$B113))</f>
        <v>1803960</v>
      </c>
      <c r="J115" s="7">
        <f>IF(COUNTA('RAW_농산물_8월'!$A:$A)&lt;=1,"",SUMIFS('RAW_농산물_8월'!$H:$H,'RAW_농산물_8월'!$A:$A,J$99,'RAW_농산물_8월'!$B:$B,$B113)-SUMIFS('RAW_농산물_7월'!$H:$H,'RAW_농산물_7월'!$A:$A,J$99,'RAW_농산물_7월'!$B:$B,$B113))</f>
        <v>4589153</v>
      </c>
    </row>
    <row r="116" ht="15.75" customHeight="1">
      <c r="B116" s="50"/>
      <c r="C116" s="30" t="s">
        <v>180</v>
      </c>
      <c r="D116" s="3" t="str">
        <f t="shared" si="28"/>
        <v/>
      </c>
      <c r="E116" s="7" t="str">
        <f>IF(COUNTA('RAW_농산물_9월'!$A:$A)&lt;=1,"",SUMIFS('RAW_농산물_9월'!$H:$H,'RAW_농산물_9월'!$A:$A,E$99,'RAW_농산물_9월'!$B:$B,$B113)-SUMIFS('RAW_농산물_8월'!$H:$H,'RAW_농산물_8월'!$A:$A,E$99,'RAW_농산물_8월'!$B:$B,$B113))</f>
        <v/>
      </c>
      <c r="F116" s="7" t="str">
        <f>IF(COUNTA('RAW_농산물_9월'!$A:$A)&lt;=1,"",SUMIFS('RAW_농산물_9월'!$H:$H,'RAW_농산물_9월'!$A:$A,F$99,'RAW_농산물_9월'!$B:$B,$B113)-SUMIFS('RAW_농산물_8월'!$H:$H,'RAW_농산물_8월'!$A:$A,F$99,'RAW_농산물_8월'!$B:$B,$B113))</f>
        <v/>
      </c>
      <c r="G116" s="7" t="str">
        <f>IF(COUNTA('RAW_농산물_9월'!$A:$A)&lt;=1,"",SUMIFS('RAW_농산물_9월'!$H:$H,'RAW_농산물_9월'!$A:$A,G$99,'RAW_농산물_9월'!$B:$B,$B113)-SUMIFS('RAW_농산물_8월'!$H:$H,'RAW_농산물_8월'!$A:$A,G$99,'RAW_농산물_8월'!$B:$B,$B113))</f>
        <v/>
      </c>
      <c r="H116" s="7" t="str">
        <f>IF(COUNTA('RAW_농산물_9월'!$A:$A)&lt;=1,"",SUMIFS('RAW_농산물_9월'!$H:$H,'RAW_농산물_9월'!$A:$A,H$99,'RAW_농산물_9월'!$B:$B,$B113)-SUMIFS('RAW_농산물_8월'!$H:$H,'RAW_농산물_8월'!$A:$A,H$99,'RAW_농산물_8월'!$B:$B,$B113))</f>
        <v/>
      </c>
      <c r="I116" s="7" t="str">
        <f>IF(COUNTA('RAW_농산물_9월'!$A:$A)&lt;=1,"",SUMIFS('RAW_농산물_9월'!$H:$H,'RAW_농산물_9월'!$A:$A,I$99,'RAW_농산물_9월'!$B:$B,$B113)-SUMIFS('RAW_농산물_8월'!$H:$H,'RAW_농산물_8월'!$A:$A,I$99,'RAW_농산물_8월'!$B:$B,$B113))</f>
        <v/>
      </c>
      <c r="J116" s="7" t="str">
        <f>IF(COUNTA('RAW_농산물_9월'!$A:$A)&lt;=1,"",SUMIFS('RAW_농산물_9월'!$H:$H,'RAW_농산물_9월'!$A:$A,J$99,'RAW_농산물_9월'!$B:$B,$B113)-SUMIFS('RAW_농산물_8월'!$H:$H,'RAW_농산물_8월'!$A:$A,J$99,'RAW_농산물_8월'!$B:$B,$B113))</f>
        <v/>
      </c>
    </row>
    <row r="117" ht="15.75" customHeight="1">
      <c r="B117" s="50"/>
      <c r="C117" s="30" t="s">
        <v>181</v>
      </c>
      <c r="D117" s="3" t="str">
        <f t="shared" si="28"/>
        <v/>
      </c>
      <c r="E117" s="7" t="str">
        <f>IF(COUNTA('RAW_농산물_10월'!$A:$A)&lt;=1,"",SUMIFS('RAW_농산물_10월'!$H:$H,'RAW_농산물_10월'!$A:$A,E$99,'RAW_농산물_10월'!$B:$B,$B113)-SUMIFS('RAW_농산물_9월'!$H:$H,'RAW_농산물_9월'!$A:$A,E$99,'RAW_농산물_9월'!$B:$B,$B113))</f>
        <v/>
      </c>
      <c r="F117" s="7" t="str">
        <f>IF(COUNTA('RAW_농산물_10월'!$A:$A)&lt;=1,"",SUMIFS('RAW_농산물_10월'!$H:$H,'RAW_농산물_10월'!$A:$A,F$99,'RAW_농산물_10월'!$B:$B,$B113)-SUMIFS('RAW_농산물_9월'!$H:$H,'RAW_농산물_9월'!$A:$A,F$99,'RAW_농산물_9월'!$B:$B,$B113))</f>
        <v/>
      </c>
      <c r="G117" s="7" t="str">
        <f>IF(COUNTA('RAW_농산물_10월'!$A:$A)&lt;=1,"",SUMIFS('RAW_농산물_10월'!$H:$H,'RAW_농산물_10월'!$A:$A,G$99,'RAW_농산물_10월'!$B:$B,$B113)-SUMIFS('RAW_농산물_9월'!$H:$H,'RAW_농산물_9월'!$A:$A,G$99,'RAW_농산물_9월'!$B:$B,$B113))</f>
        <v/>
      </c>
      <c r="H117" s="7" t="str">
        <f>IF(COUNTA('RAW_농산물_10월'!$A:$A)&lt;=1,"",SUMIFS('RAW_농산물_10월'!$H:$H,'RAW_농산물_10월'!$A:$A,H$99,'RAW_농산물_10월'!$B:$B,$B113)-SUMIFS('RAW_농산물_9월'!$H:$H,'RAW_농산물_9월'!$A:$A,H$99,'RAW_농산물_9월'!$B:$B,$B113))</f>
        <v/>
      </c>
      <c r="I117" s="7" t="str">
        <f>IF(COUNTA('RAW_농산물_10월'!$A:$A)&lt;=1,"",SUMIFS('RAW_농산물_10월'!$H:$H,'RAW_농산물_10월'!$A:$A,I$99,'RAW_농산물_10월'!$B:$B,$B113)-SUMIFS('RAW_농산물_9월'!$H:$H,'RAW_농산물_9월'!$A:$A,I$99,'RAW_농산물_9월'!$B:$B,$B113))</f>
        <v/>
      </c>
      <c r="J117" s="7" t="str">
        <f>IF(COUNTA('RAW_농산물_10월'!$A:$A)&lt;=1,"",SUMIFS('RAW_농산물_10월'!$H:$H,'RAW_농산물_10월'!$A:$A,J$99,'RAW_농산물_10월'!$B:$B,$B113)-SUMIFS('RAW_농산물_9월'!$H:$H,'RAW_농산물_9월'!$A:$A,J$99,'RAW_농산물_9월'!$B:$B,$B113))</f>
        <v/>
      </c>
    </row>
    <row r="118" ht="15.75" customHeight="1">
      <c r="B118" s="27"/>
      <c r="C118" s="30" t="s">
        <v>182</v>
      </c>
      <c r="D118" s="3" t="str">
        <f t="shared" si="28"/>
        <v/>
      </c>
      <c r="E118" s="7" t="str">
        <f>IF(COUNTA('RAW_농산물_11-12월'!$A:$A)&lt;=1,"",SUMIFS('RAW_농산물_11-12월'!$H:$H,'RAW_농산물_11-12월'!$A:$A,E$99,'RAW_농산물_11-12월'!$B:$B,$B113)-SUMIFS('RAW_농산물_10월'!$H:$H,'RAW_농산물_10월'!$A:$A,E$99,'RAW_농산물_10월'!$B:$B,$B113))</f>
        <v/>
      </c>
      <c r="F118" s="7" t="str">
        <f>IF(COUNTA('RAW_농산물_11-12월'!$A:$A)&lt;=1,"",SUMIFS('RAW_농산물_11-12월'!$H:$H,'RAW_농산물_11-12월'!$A:$A,F$99,'RAW_농산물_11-12월'!$B:$B,$B113)-SUMIFS('RAW_농산물_10월'!$H:$H,'RAW_농산물_10월'!$A:$A,F$99,'RAW_농산물_10월'!$B:$B,$B113))</f>
        <v/>
      </c>
      <c r="G118" s="7" t="str">
        <f>IF(COUNTA('RAW_농산물_11-12월'!$A:$A)&lt;=1,"",SUMIFS('RAW_농산물_11-12월'!$H:$H,'RAW_농산물_11-12월'!$A:$A,G$99,'RAW_농산물_11-12월'!$B:$B,$B113)-SUMIFS('RAW_농산물_10월'!$H:$H,'RAW_농산물_10월'!$A:$A,G$99,'RAW_농산물_10월'!$B:$B,$B113))</f>
        <v/>
      </c>
      <c r="H118" s="7" t="str">
        <f>IF(COUNTA('RAW_농산물_11-12월'!$A:$A)&lt;=1,"",SUMIFS('RAW_농산물_11-12월'!$H:$H,'RAW_농산물_11-12월'!$A:$A,H$99,'RAW_농산물_11-12월'!$B:$B,$B113)-SUMIFS('RAW_농산물_10월'!$H:$H,'RAW_농산물_10월'!$A:$A,H$99,'RAW_농산물_10월'!$B:$B,$B113))</f>
        <v/>
      </c>
      <c r="I118" s="7" t="str">
        <f>IF(COUNTA('RAW_농산물_11-12월'!$A:$A)&lt;=1,"",SUMIFS('RAW_농산물_11-12월'!$H:$H,'RAW_농산물_11-12월'!$A:$A,I$99,'RAW_농산물_11-12월'!$B:$B,$B113)-SUMIFS('RAW_농산물_10월'!$H:$H,'RAW_농산물_10월'!$A:$A,I$99,'RAW_농산물_10월'!$B:$B,$B113))</f>
        <v/>
      </c>
      <c r="J118" s="7" t="str">
        <f>IF(COUNTA('RAW_농산물_11-12월'!$A:$A)&lt;=1,"",SUMIFS('RAW_농산물_11-12월'!$H:$H,'RAW_농산물_11-12월'!$A:$A,J$99,'RAW_농산물_11-12월'!$B:$B,$B113)-SUMIFS('RAW_농산물_10월'!$H:$H,'RAW_농산물_10월'!$A:$A,J$99,'RAW_농산물_10월'!$B:$B,$B113))</f>
        <v/>
      </c>
    </row>
    <row r="119" ht="15.75" customHeight="1"/>
    <row r="120" ht="15.75" customHeight="1">
      <c r="B120" s="21" t="s">
        <v>1805</v>
      </c>
    </row>
    <row r="121" ht="15.75" customHeight="1">
      <c r="B121" s="4" t="s">
        <v>1306</v>
      </c>
      <c r="C121" s="4" t="s">
        <v>5</v>
      </c>
      <c r="D121" s="4" t="s">
        <v>76</v>
      </c>
      <c r="E121" s="4" t="s">
        <v>92</v>
      </c>
      <c r="F121" s="4" t="s">
        <v>93</v>
      </c>
      <c r="G121" s="4" t="s">
        <v>28</v>
      </c>
      <c r="H121" s="4" t="s">
        <v>94</v>
      </c>
      <c r="I121" s="4" t="s">
        <v>95</v>
      </c>
      <c r="J121" s="4" t="s">
        <v>31</v>
      </c>
    </row>
    <row r="122" ht="15.75" customHeight="1">
      <c r="B122" s="2" t="s">
        <v>76</v>
      </c>
      <c r="C122" s="2"/>
      <c r="D122" s="3">
        <f t="shared" ref="D122:D140" si="33">IF(COUNT(E122:J122)=0,"",SUM(E122:J122))</f>
        <v>6227333500</v>
      </c>
      <c r="E122" s="3">
        <f t="shared" ref="E122:J122" si="32">IF(COUNT(E123,E129,E135)=0,"",SUM(E123,E129,E135))</f>
        <v>2902192570</v>
      </c>
      <c r="F122" s="3">
        <f t="shared" si="32"/>
        <v>1348440770</v>
      </c>
      <c r="G122" s="3">
        <f t="shared" si="32"/>
        <v>344053620</v>
      </c>
      <c r="H122" s="3">
        <f t="shared" si="32"/>
        <v>100008000</v>
      </c>
      <c r="I122" s="3">
        <f t="shared" si="32"/>
        <v>470341670</v>
      </c>
      <c r="J122" s="3">
        <f t="shared" si="32"/>
        <v>1062296870</v>
      </c>
    </row>
    <row r="123" ht="15.75" customHeight="1">
      <c r="B123" s="45" t="s">
        <v>117</v>
      </c>
      <c r="C123" s="28" t="s">
        <v>91</v>
      </c>
      <c r="D123" s="3">
        <f t="shared" si="33"/>
        <v>3090856741</v>
      </c>
      <c r="E123" s="3">
        <f t="shared" ref="E123:J123" si="34">IF(COUNT(E124:E128)=0,"",SUM(E124:E128))</f>
        <v>1472512820</v>
      </c>
      <c r="F123" s="3">
        <f t="shared" si="34"/>
        <v>653112810</v>
      </c>
      <c r="G123" s="3">
        <f t="shared" si="34"/>
        <v>104177000</v>
      </c>
      <c r="H123" s="3">
        <f t="shared" si="34"/>
        <v>88974300</v>
      </c>
      <c r="I123" s="3">
        <f t="shared" si="34"/>
        <v>66872001</v>
      </c>
      <c r="J123" s="3">
        <f t="shared" si="34"/>
        <v>705207810</v>
      </c>
    </row>
    <row r="124" ht="15.75" customHeight="1">
      <c r="B124" s="50"/>
      <c r="C124" s="30" t="s">
        <v>173</v>
      </c>
      <c r="D124" s="3">
        <f t="shared" si="33"/>
        <v>1457998610</v>
      </c>
      <c r="E124" s="7">
        <f>IF(COUNTA('RAW_농산물_7월'!$A:$A)&lt;=1,"",SUMIFS('RAW_농산물_7월'!$G:$G,'RAW_농산물_7월'!$A:$A,E$121,'RAW_농산물_7월'!$B:$B,$B123))</f>
        <v>560487690</v>
      </c>
      <c r="F124" s="7">
        <f>IF(COUNTA('RAW_농산물_7월'!$A:$A)&lt;=1,"",SUMIFS('RAW_농산물_7월'!$G:$G,'RAW_농산물_7월'!$A:$A,F$121,'RAW_농산물_7월'!$B:$B,$B123))</f>
        <v>412359360</v>
      </c>
      <c r="G124" s="7">
        <f>IF(COUNTA('RAW_농산물_7월'!$A:$A)&lt;=1,"",SUMIFS('RAW_농산물_7월'!$G:$G,'RAW_농산물_7월'!$A:$A,G$121,'RAW_농산물_7월'!$B:$B,$B123))</f>
        <v>86127950</v>
      </c>
      <c r="H124" s="7">
        <f>IF(COUNTA('RAW_농산물_7월'!$A:$A)&lt;=1,"",SUMIFS('RAW_농산물_7월'!$G:$G,'RAW_농산물_7월'!$A:$A,H$121,'RAW_농산물_7월'!$B:$B,$B123))</f>
        <v>42349200</v>
      </c>
      <c r="I124" s="7">
        <f>IF(COUNTA('RAW_농산물_7월'!$A:$A)&lt;=1,"",SUMIFS('RAW_농산물_7월'!$G:$G,'RAW_농산물_7월'!$A:$A,I$121,'RAW_농산물_7월'!$B:$B,$B123))</f>
        <v>41187820</v>
      </c>
      <c r="J124" s="7">
        <f>IF(COUNTA('RAW_농산물_7월'!$A:$A)&lt;=1,"",SUMIFS('RAW_농산물_7월'!$G:$G,'RAW_농산물_7월'!$A:$A,J$121,'RAW_농산물_7월'!$B:$B,$B123))</f>
        <v>315486590</v>
      </c>
    </row>
    <row r="125" ht="15.75" customHeight="1">
      <c r="B125" s="50"/>
      <c r="C125" s="30" t="s">
        <v>175</v>
      </c>
      <c r="D125" s="3">
        <f t="shared" si="33"/>
        <v>1632858131</v>
      </c>
      <c r="E125" s="7">
        <f>IF(COUNTA('RAW_농산물_8월'!$A:$A)&lt;=1,"",SUMIFS('RAW_농산물_8월'!$G:$G,'RAW_농산물_8월'!$A:$A,E$121,'RAW_농산물_8월'!$B:$B,$B123)-SUMIFS('RAW_농산물_7월'!$G:$G,'RAW_농산물_7월'!$A:$A,E$121,'RAW_농산물_7월'!$B:$B,$B123))</f>
        <v>912025130</v>
      </c>
      <c r="F125" s="7">
        <f>IF(COUNTA('RAW_농산물_8월'!$A:$A)&lt;=1,"",SUMIFS('RAW_농산물_8월'!$G:$G,'RAW_농산물_8월'!$A:$A,F$121,'RAW_농산물_8월'!$B:$B,$B123)-SUMIFS('RAW_농산물_7월'!$G:$G,'RAW_농산물_7월'!$A:$A,F$121,'RAW_농산물_7월'!$B:$B,$B123))</f>
        <v>240753450</v>
      </c>
      <c r="G125" s="7">
        <f>IF(COUNTA('RAW_농산물_8월'!$A:$A)&lt;=1,"",SUMIFS('RAW_농산물_8월'!$G:$G,'RAW_농산물_8월'!$A:$A,G$121,'RAW_농산물_8월'!$B:$B,$B123)-SUMIFS('RAW_농산물_7월'!$G:$G,'RAW_농산물_7월'!$A:$A,G$121,'RAW_농산물_7월'!$B:$B,$B123))</f>
        <v>18049050</v>
      </c>
      <c r="H125" s="7">
        <f>IF(COUNTA('RAW_농산물_8월'!$A:$A)&lt;=1,"",SUMIFS('RAW_농산물_8월'!$G:$G,'RAW_농산물_8월'!$A:$A,H$121,'RAW_농산물_8월'!$B:$B,$B123)-SUMIFS('RAW_농산물_7월'!$G:$G,'RAW_농산물_7월'!$A:$A,H$121,'RAW_농산물_7월'!$B:$B,$B123))</f>
        <v>46625100</v>
      </c>
      <c r="I125" s="7">
        <f>IF(COUNTA('RAW_농산물_8월'!$A:$A)&lt;=1,"",SUMIFS('RAW_농산물_8월'!$G:$G,'RAW_농산물_8월'!$A:$A,I$121,'RAW_농산물_8월'!$B:$B,$B123)-SUMIFS('RAW_농산물_7월'!$G:$G,'RAW_농산물_7월'!$A:$A,I$121,'RAW_농산물_7월'!$B:$B,$B123))</f>
        <v>25684181</v>
      </c>
      <c r="J125" s="7">
        <f>IF(COUNTA('RAW_농산물_8월'!$A:$A)&lt;=1,"",SUMIFS('RAW_농산물_8월'!$G:$G,'RAW_농산물_8월'!$A:$A,J$121,'RAW_농산물_8월'!$B:$B,$B123)-SUMIFS('RAW_농산물_7월'!$G:$G,'RAW_농산물_7월'!$A:$A,J$121,'RAW_농산물_7월'!$B:$B,$B123))</f>
        <v>389721220</v>
      </c>
    </row>
    <row r="126" ht="15.75" customHeight="1">
      <c r="B126" s="50"/>
      <c r="C126" s="30" t="s">
        <v>180</v>
      </c>
      <c r="D126" s="3" t="str">
        <f t="shared" si="33"/>
        <v/>
      </c>
      <c r="E126" s="7" t="str">
        <f>IF(COUNTA('RAW_농산물_9월'!$A:$A)&lt;=1,"",SUMIFS('RAW_농산물_9월'!$G:$G,'RAW_농산물_9월'!$A:$A,E$121,'RAW_농산물_9월'!$B:$B,$B123)-SUMIFS('RAW_농산물_8월'!$G:$G,'RAW_농산물_8월'!$A:$A,E$121,'RAW_농산물_8월'!$B:$B,$B123))</f>
        <v/>
      </c>
      <c r="F126" s="7" t="str">
        <f>IF(COUNTA('RAW_농산물_9월'!$A:$A)&lt;=1,"",SUMIFS('RAW_농산물_9월'!$G:$G,'RAW_농산물_9월'!$A:$A,F$121,'RAW_농산물_9월'!$B:$B,$B123)-SUMIFS('RAW_농산물_8월'!$G:$G,'RAW_농산물_8월'!$A:$A,F$121,'RAW_농산물_8월'!$B:$B,$B123))</f>
        <v/>
      </c>
      <c r="G126" s="7" t="str">
        <f>IF(COUNTA('RAW_농산물_9월'!$A:$A)&lt;=1,"",SUMIFS('RAW_농산물_9월'!$G:$G,'RAW_농산물_9월'!$A:$A,G$121,'RAW_농산물_9월'!$B:$B,$B123)-SUMIFS('RAW_농산물_8월'!$G:$G,'RAW_농산물_8월'!$A:$A,G$121,'RAW_농산물_8월'!$B:$B,$B123))</f>
        <v/>
      </c>
      <c r="H126" s="7" t="str">
        <f>IF(COUNTA('RAW_농산물_9월'!$A:$A)&lt;=1,"",SUMIFS('RAW_농산물_9월'!$G:$G,'RAW_농산물_9월'!$A:$A,H$121,'RAW_농산물_9월'!$B:$B,$B123)-SUMIFS('RAW_농산물_8월'!$G:$G,'RAW_농산물_8월'!$A:$A,H$121,'RAW_농산물_8월'!$B:$B,$B123))</f>
        <v/>
      </c>
      <c r="I126" s="7" t="str">
        <f>IF(COUNTA('RAW_농산물_9월'!$A:$A)&lt;=1,"",SUMIFS('RAW_농산물_9월'!$G:$G,'RAW_농산물_9월'!$A:$A,I$121,'RAW_농산물_9월'!$B:$B,$B123)-SUMIFS('RAW_농산물_8월'!$G:$G,'RAW_농산물_8월'!$A:$A,I$121,'RAW_농산물_8월'!$B:$B,$B123))</f>
        <v/>
      </c>
      <c r="J126" s="7" t="str">
        <f>IF(COUNTA('RAW_농산물_9월'!$A:$A)&lt;=1,"",SUMIFS('RAW_농산물_9월'!$G:$G,'RAW_농산물_9월'!$A:$A,J$121,'RAW_농산물_9월'!$B:$B,$B123)-SUMIFS('RAW_농산물_8월'!$G:$G,'RAW_농산물_8월'!$A:$A,J$121,'RAW_농산물_8월'!$B:$B,$B123))</f>
        <v/>
      </c>
    </row>
    <row r="127" ht="15.75" customHeight="1">
      <c r="B127" s="50"/>
      <c r="C127" s="30" t="s">
        <v>181</v>
      </c>
      <c r="D127" s="3" t="str">
        <f t="shared" si="33"/>
        <v/>
      </c>
      <c r="E127" s="7" t="str">
        <f>IF(COUNTA('RAW_농산물_10월'!$A:$A)&lt;=1,"",SUMIFS('RAW_농산물_10월'!$G:$G,'RAW_농산물_10월'!$A:$A,E$121,'RAW_농산물_10월'!$B:$B,$B123)-SUMIFS('RAW_농산물_9월'!$G:$G,'RAW_농산물_9월'!$A:$A,E$121,'RAW_농산물_9월'!$B:$B,$B123))</f>
        <v/>
      </c>
      <c r="F127" s="7" t="str">
        <f>IF(COUNTA('RAW_농산물_10월'!$A:$A)&lt;=1,"",SUMIFS('RAW_농산물_10월'!$G:$G,'RAW_농산물_10월'!$A:$A,F$121,'RAW_농산물_10월'!$B:$B,$B123)-SUMIFS('RAW_농산물_9월'!$G:$G,'RAW_농산물_9월'!$A:$A,F$121,'RAW_농산물_9월'!$B:$B,$B123))</f>
        <v/>
      </c>
      <c r="G127" s="7" t="str">
        <f>IF(COUNTA('RAW_농산물_10월'!$A:$A)&lt;=1,"",SUMIFS('RAW_농산물_10월'!$G:$G,'RAW_농산물_10월'!$A:$A,G$121,'RAW_농산물_10월'!$B:$B,$B123)-SUMIFS('RAW_농산물_9월'!$G:$G,'RAW_농산물_9월'!$A:$A,G$121,'RAW_농산물_9월'!$B:$B,$B123))</f>
        <v/>
      </c>
      <c r="H127" s="7" t="str">
        <f>IF(COUNTA('RAW_농산물_10월'!$A:$A)&lt;=1,"",SUMIFS('RAW_농산물_10월'!$G:$G,'RAW_농산물_10월'!$A:$A,H$121,'RAW_농산물_10월'!$B:$B,$B123)-SUMIFS('RAW_농산물_9월'!$G:$G,'RAW_농산물_9월'!$A:$A,H$121,'RAW_농산물_9월'!$B:$B,$B123))</f>
        <v/>
      </c>
      <c r="I127" s="7" t="str">
        <f>IF(COUNTA('RAW_농산물_10월'!$A:$A)&lt;=1,"",SUMIFS('RAW_농산물_10월'!$G:$G,'RAW_농산물_10월'!$A:$A,I$121,'RAW_농산물_10월'!$B:$B,$B123)-SUMIFS('RAW_농산물_9월'!$G:$G,'RAW_농산물_9월'!$A:$A,I$121,'RAW_농산물_9월'!$B:$B,$B123))</f>
        <v/>
      </c>
      <c r="J127" s="7" t="str">
        <f>IF(COUNTA('RAW_농산물_10월'!$A:$A)&lt;=1,"",SUMIFS('RAW_농산물_10월'!$G:$G,'RAW_농산물_10월'!$A:$A,J$121,'RAW_농산물_10월'!$B:$B,$B123)-SUMIFS('RAW_농산물_9월'!$G:$G,'RAW_농산물_9월'!$A:$A,J$121,'RAW_농산물_9월'!$B:$B,$B123))</f>
        <v/>
      </c>
    </row>
    <row r="128" ht="15.75" customHeight="1">
      <c r="B128" s="27"/>
      <c r="C128" s="30" t="s">
        <v>182</v>
      </c>
      <c r="D128" s="3" t="str">
        <f t="shared" si="33"/>
        <v/>
      </c>
      <c r="E128" s="7" t="str">
        <f>IF(COUNTA('RAW_농산물_11-12월'!$A:$A)&lt;=1,"",SUMIFS('RAW_농산물_11-12월'!$G:$G,'RAW_농산물_11-12월'!$A:$A,E$121,'RAW_농산물_11-12월'!$B:$B,$B123)-SUMIFS('RAW_농산물_10월'!$G:$G,'RAW_농산물_10월'!$A:$A,E$121,'RAW_농산물_10월'!$B:$B,$B123))</f>
        <v/>
      </c>
      <c r="F128" s="7" t="str">
        <f>IF(COUNTA('RAW_농산물_11-12월'!$A:$A)&lt;=1,"",SUMIFS('RAW_농산물_11-12월'!$G:$G,'RAW_농산물_11-12월'!$A:$A,F$121,'RAW_농산물_11-12월'!$B:$B,$B123)-SUMIFS('RAW_농산물_10월'!$G:$G,'RAW_농산물_10월'!$A:$A,F$121,'RAW_농산물_10월'!$B:$B,$B123))</f>
        <v/>
      </c>
      <c r="G128" s="7" t="str">
        <f>IF(COUNTA('RAW_농산물_11-12월'!$A:$A)&lt;=1,"",SUMIFS('RAW_농산물_11-12월'!$G:$G,'RAW_농산물_11-12월'!$A:$A,G$121,'RAW_농산물_11-12월'!$B:$B,$B123)-SUMIFS('RAW_농산물_10월'!$G:$G,'RAW_농산물_10월'!$A:$A,G$121,'RAW_농산물_10월'!$B:$B,$B123))</f>
        <v/>
      </c>
      <c r="H128" s="7" t="str">
        <f>IF(COUNTA('RAW_농산물_11-12월'!$A:$A)&lt;=1,"",SUMIFS('RAW_농산물_11-12월'!$G:$G,'RAW_농산물_11-12월'!$A:$A,H$121,'RAW_농산물_11-12월'!$B:$B,$B123)-SUMIFS('RAW_농산물_10월'!$G:$G,'RAW_농산물_10월'!$A:$A,H$121,'RAW_농산물_10월'!$B:$B,$B123))</f>
        <v/>
      </c>
      <c r="I128" s="7" t="str">
        <f>IF(COUNTA('RAW_농산물_11-12월'!$A:$A)&lt;=1,"",SUMIFS('RAW_농산물_11-12월'!$G:$G,'RAW_농산물_11-12월'!$A:$A,I$121,'RAW_농산물_11-12월'!$B:$B,$B123)-SUMIFS('RAW_농산물_10월'!$G:$G,'RAW_농산물_10월'!$A:$A,I$121,'RAW_농산물_10월'!$B:$B,$B123))</f>
        <v/>
      </c>
      <c r="J128" s="7" t="str">
        <f>IF(COUNTA('RAW_농산물_11-12월'!$A:$A)&lt;=1,"",SUMIFS('RAW_농산물_11-12월'!$G:$G,'RAW_농산물_11-12월'!$A:$A,J$121,'RAW_농산물_11-12월'!$B:$B,$B123)-SUMIFS('RAW_농산물_10월'!$G:$G,'RAW_농산물_10월'!$A:$A,J$121,'RAW_농산물_10월'!$B:$B,$B123))</f>
        <v/>
      </c>
    </row>
    <row r="129" ht="15.75" customHeight="1">
      <c r="B129" s="45" t="s">
        <v>174</v>
      </c>
      <c r="C129" s="28" t="s">
        <v>91</v>
      </c>
      <c r="D129" s="3">
        <f t="shared" si="33"/>
        <v>783864300</v>
      </c>
      <c r="E129" s="3">
        <f t="shared" ref="E129:J129" si="35">IF(COUNT(E130:E134)=0,"",SUM(E130:E134))</f>
        <v>368913310</v>
      </c>
      <c r="F129" s="3">
        <f t="shared" si="35"/>
        <v>129058120</v>
      </c>
      <c r="G129" s="3">
        <f t="shared" si="35"/>
        <v>171052770</v>
      </c>
      <c r="H129" s="3">
        <f t="shared" si="35"/>
        <v>0</v>
      </c>
      <c r="I129" s="3">
        <f t="shared" si="35"/>
        <v>0</v>
      </c>
      <c r="J129" s="3">
        <f t="shared" si="35"/>
        <v>114840100</v>
      </c>
    </row>
    <row r="130" ht="15.75" customHeight="1">
      <c r="B130" s="50"/>
      <c r="C130" s="30" t="s">
        <v>173</v>
      </c>
      <c r="D130" s="3">
        <f t="shared" si="33"/>
        <v>458573060</v>
      </c>
      <c r="E130" s="7">
        <f>IF(COUNTA('RAW_농산물_7월'!$A:$A)&lt;=1,"",SUMIFS('RAW_농산물_7월'!$G:$G,'RAW_농산물_7월'!$A:$A,E$121,'RAW_농산물_7월'!$B:$B,$B129))</f>
        <v>175491200</v>
      </c>
      <c r="F130" s="7">
        <f>IF(COUNTA('RAW_농산물_7월'!$A:$A)&lt;=1,"",SUMIFS('RAW_농산물_7월'!$G:$G,'RAW_농산물_7월'!$A:$A,F$121,'RAW_농산물_7월'!$B:$B,$B129))</f>
        <v>82491500</v>
      </c>
      <c r="G130" s="7">
        <f>IF(COUNTA('RAW_농산물_7월'!$A:$A)&lt;=1,"",SUMIFS('RAW_농산물_7월'!$G:$G,'RAW_농산물_7월'!$A:$A,G$121,'RAW_농산물_7월'!$B:$B,$B129))</f>
        <v>146129260</v>
      </c>
      <c r="H130" s="7">
        <f>IF(COUNTA('RAW_농산물_7월'!$A:$A)&lt;=1,"",SUMIFS('RAW_농산물_7월'!$G:$G,'RAW_농산물_7월'!$A:$A,H$121,'RAW_농산물_7월'!$B:$B,$B129))</f>
        <v>0</v>
      </c>
      <c r="I130" s="7">
        <f>IF(COUNTA('RAW_농산물_7월'!$A:$A)&lt;=1,"",SUMIFS('RAW_농산물_7월'!$G:$G,'RAW_농산물_7월'!$A:$A,I$121,'RAW_농산물_7월'!$B:$B,$B129))</f>
        <v>0</v>
      </c>
      <c r="J130" s="7">
        <f>IF(COUNTA('RAW_농산물_7월'!$A:$A)&lt;=1,"",SUMIFS('RAW_농산물_7월'!$G:$G,'RAW_농산물_7월'!$A:$A,J$121,'RAW_농산물_7월'!$B:$B,$B129))</f>
        <v>54461100</v>
      </c>
    </row>
    <row r="131" ht="15.75" customHeight="1">
      <c r="B131" s="50"/>
      <c r="C131" s="30" t="s">
        <v>175</v>
      </c>
      <c r="D131" s="3">
        <f t="shared" si="33"/>
        <v>325291240</v>
      </c>
      <c r="E131" s="7">
        <f>IF(COUNTA('RAW_농산물_8월'!$A:$A)&lt;=1,"",SUMIFS('RAW_농산물_8월'!$G:$G,'RAW_농산물_8월'!$A:$A,E$121,'RAW_농산물_8월'!$B:$B,$B129)-SUMIFS('RAW_농산물_7월'!$G:$G,'RAW_농산물_7월'!$A:$A,E$121,'RAW_농산물_7월'!$B:$B,$B129))</f>
        <v>193422110</v>
      </c>
      <c r="F131" s="7">
        <f>IF(COUNTA('RAW_농산물_8월'!$A:$A)&lt;=1,"",SUMIFS('RAW_농산물_8월'!$G:$G,'RAW_농산물_8월'!$A:$A,F$121,'RAW_농산물_8월'!$B:$B,$B129)-SUMIFS('RAW_농산물_7월'!$G:$G,'RAW_농산물_7월'!$A:$A,F$121,'RAW_농산물_7월'!$B:$B,$B129))</f>
        <v>46566620</v>
      </c>
      <c r="G131" s="7">
        <f>IF(COUNTA('RAW_농산물_8월'!$A:$A)&lt;=1,"",SUMIFS('RAW_농산물_8월'!$G:$G,'RAW_농산물_8월'!$A:$A,G$121,'RAW_농산물_8월'!$B:$B,$B129)-SUMIFS('RAW_농산물_7월'!$G:$G,'RAW_농산물_7월'!$A:$A,G$121,'RAW_농산물_7월'!$B:$B,$B129))</f>
        <v>24923510</v>
      </c>
      <c r="H131" s="7">
        <f>IF(COUNTA('RAW_농산물_8월'!$A:$A)&lt;=1,"",SUMIFS('RAW_농산물_8월'!$G:$G,'RAW_농산물_8월'!$A:$A,H$121,'RAW_농산물_8월'!$B:$B,$B129)-SUMIFS('RAW_농산물_7월'!$G:$G,'RAW_농산물_7월'!$A:$A,H$121,'RAW_농산물_7월'!$B:$B,$B129))</f>
        <v>0</v>
      </c>
      <c r="I131" s="7">
        <f>IF(COUNTA('RAW_농산물_8월'!$A:$A)&lt;=1,"",SUMIFS('RAW_농산물_8월'!$G:$G,'RAW_농산물_8월'!$A:$A,I$121,'RAW_농산물_8월'!$B:$B,$B129)-SUMIFS('RAW_농산물_7월'!$G:$G,'RAW_농산물_7월'!$A:$A,I$121,'RAW_농산물_7월'!$B:$B,$B129))</f>
        <v>0</v>
      </c>
      <c r="J131" s="7">
        <f>IF(COUNTA('RAW_농산물_8월'!$A:$A)&lt;=1,"",SUMIFS('RAW_농산물_8월'!$G:$G,'RAW_농산물_8월'!$A:$A,J$121,'RAW_농산물_8월'!$B:$B,$B129)-SUMIFS('RAW_농산물_7월'!$G:$G,'RAW_농산물_7월'!$A:$A,J$121,'RAW_농산물_7월'!$B:$B,$B129))</f>
        <v>60379000</v>
      </c>
    </row>
    <row r="132" ht="15.75" customHeight="1">
      <c r="B132" s="50"/>
      <c r="C132" s="30" t="s">
        <v>180</v>
      </c>
      <c r="D132" s="3" t="str">
        <f t="shared" si="33"/>
        <v/>
      </c>
      <c r="E132" s="7" t="str">
        <f>IF(COUNTA('RAW_농산물_9월'!$A:$A)&lt;=1,"",SUMIFS('RAW_농산물_9월'!$G:$G,'RAW_농산물_9월'!$A:$A,E$121,'RAW_농산물_9월'!$B:$B,$B129)-SUMIFS('RAW_농산물_8월'!$G:$G,'RAW_농산물_8월'!$A:$A,E$121,'RAW_농산물_8월'!$B:$B,$B129))</f>
        <v/>
      </c>
      <c r="F132" s="7" t="str">
        <f>IF(COUNTA('RAW_농산물_9월'!$A:$A)&lt;=1,"",SUMIFS('RAW_농산물_9월'!$G:$G,'RAW_농산물_9월'!$A:$A,F$121,'RAW_농산물_9월'!$B:$B,$B129)-SUMIFS('RAW_농산물_8월'!$G:$G,'RAW_농산물_8월'!$A:$A,F$121,'RAW_농산물_8월'!$B:$B,$B129))</f>
        <v/>
      </c>
      <c r="G132" s="7" t="str">
        <f>IF(COUNTA('RAW_농산물_9월'!$A:$A)&lt;=1,"",SUMIFS('RAW_농산물_9월'!$G:$G,'RAW_농산물_9월'!$A:$A,G$121,'RAW_농산물_9월'!$B:$B,$B129)-SUMIFS('RAW_농산물_8월'!$G:$G,'RAW_농산물_8월'!$A:$A,G$121,'RAW_농산물_8월'!$B:$B,$B129))</f>
        <v/>
      </c>
      <c r="H132" s="7" t="str">
        <f>IF(COUNTA('RAW_농산물_9월'!$A:$A)&lt;=1,"",SUMIFS('RAW_농산물_9월'!$G:$G,'RAW_농산물_9월'!$A:$A,H$121,'RAW_농산물_9월'!$B:$B,$B129)-SUMIFS('RAW_농산물_8월'!$G:$G,'RAW_농산물_8월'!$A:$A,H$121,'RAW_농산물_8월'!$B:$B,$B129))</f>
        <v/>
      </c>
      <c r="I132" s="7" t="str">
        <f>IF(COUNTA('RAW_농산물_9월'!$A:$A)&lt;=1,"",SUMIFS('RAW_농산물_9월'!$G:$G,'RAW_농산물_9월'!$A:$A,I$121,'RAW_농산물_9월'!$B:$B,$B129)-SUMIFS('RAW_농산물_8월'!$G:$G,'RAW_농산물_8월'!$A:$A,I$121,'RAW_농산물_8월'!$B:$B,$B129))</f>
        <v/>
      </c>
      <c r="J132" s="7" t="str">
        <f>IF(COUNTA('RAW_농산물_9월'!$A:$A)&lt;=1,"",SUMIFS('RAW_농산물_9월'!$G:$G,'RAW_농산물_9월'!$A:$A,J$121,'RAW_농산물_9월'!$B:$B,$B129)-SUMIFS('RAW_농산물_8월'!$G:$G,'RAW_농산물_8월'!$A:$A,J$121,'RAW_농산물_8월'!$B:$B,$B129))</f>
        <v/>
      </c>
    </row>
    <row r="133" ht="15.75" customHeight="1">
      <c r="B133" s="50"/>
      <c r="C133" s="30" t="s">
        <v>181</v>
      </c>
      <c r="D133" s="3" t="str">
        <f t="shared" si="33"/>
        <v/>
      </c>
      <c r="E133" s="7" t="str">
        <f>IF(COUNTA('RAW_농산물_10월'!$A:$A)&lt;=1,"",SUMIFS('RAW_농산물_10월'!$G:$G,'RAW_농산물_10월'!$A:$A,E$121,'RAW_농산물_10월'!$B:$B,$B129)-SUMIFS('RAW_농산물_9월'!$G:$G,'RAW_농산물_9월'!$A:$A,E$121,'RAW_농산물_9월'!$B:$B,$B129))</f>
        <v/>
      </c>
      <c r="F133" s="7" t="str">
        <f>IF(COUNTA('RAW_농산물_10월'!$A:$A)&lt;=1,"",SUMIFS('RAW_농산물_10월'!$G:$G,'RAW_농산물_10월'!$A:$A,F$121,'RAW_농산물_10월'!$B:$B,$B129)-SUMIFS('RAW_농산물_9월'!$G:$G,'RAW_농산물_9월'!$A:$A,F$121,'RAW_농산물_9월'!$B:$B,$B129))</f>
        <v/>
      </c>
      <c r="G133" s="7" t="str">
        <f>IF(COUNTA('RAW_농산물_10월'!$A:$A)&lt;=1,"",SUMIFS('RAW_농산물_10월'!$G:$G,'RAW_농산물_10월'!$A:$A,G$121,'RAW_농산물_10월'!$B:$B,$B129)-SUMIFS('RAW_농산물_9월'!$G:$G,'RAW_농산물_9월'!$A:$A,G$121,'RAW_농산물_9월'!$B:$B,$B129))</f>
        <v/>
      </c>
      <c r="H133" s="7" t="str">
        <f>IF(COUNTA('RAW_농산물_10월'!$A:$A)&lt;=1,"",SUMIFS('RAW_농산물_10월'!$G:$G,'RAW_농산물_10월'!$A:$A,H$121,'RAW_농산물_10월'!$B:$B,$B129)-SUMIFS('RAW_농산물_9월'!$G:$G,'RAW_농산물_9월'!$A:$A,H$121,'RAW_농산물_9월'!$B:$B,$B129))</f>
        <v/>
      </c>
      <c r="I133" s="7" t="str">
        <f>IF(COUNTA('RAW_농산물_10월'!$A:$A)&lt;=1,"",SUMIFS('RAW_농산물_10월'!$G:$G,'RAW_농산물_10월'!$A:$A,I$121,'RAW_농산물_10월'!$B:$B,$B129)-SUMIFS('RAW_농산물_9월'!$G:$G,'RAW_농산물_9월'!$A:$A,I$121,'RAW_농산물_9월'!$B:$B,$B129))</f>
        <v/>
      </c>
      <c r="J133" s="7" t="str">
        <f>IF(COUNTA('RAW_농산물_10월'!$A:$A)&lt;=1,"",SUMIFS('RAW_농산물_10월'!$G:$G,'RAW_농산물_10월'!$A:$A,J$121,'RAW_농산물_10월'!$B:$B,$B129)-SUMIFS('RAW_농산물_9월'!$G:$G,'RAW_농산물_9월'!$A:$A,J$121,'RAW_농산물_9월'!$B:$B,$B129))</f>
        <v/>
      </c>
    </row>
    <row r="134" ht="15.75" customHeight="1">
      <c r="B134" s="27"/>
      <c r="C134" s="30" t="s">
        <v>182</v>
      </c>
      <c r="D134" s="3" t="str">
        <f t="shared" si="33"/>
        <v/>
      </c>
      <c r="E134" s="7" t="str">
        <f>IF(COUNTA('RAW_농산물_11-12월'!$A:$A)&lt;=1,"",SUMIFS('RAW_농산물_11-12월'!$G:$G,'RAW_농산물_11-12월'!$A:$A,E$121,'RAW_농산물_11-12월'!$B:$B,$B129)-SUMIFS('RAW_농산물_10월'!$G:$G,'RAW_농산물_10월'!$A:$A,E$121,'RAW_농산물_10월'!$B:$B,$B129))</f>
        <v/>
      </c>
      <c r="F134" s="7" t="str">
        <f>IF(COUNTA('RAW_농산물_11-12월'!$A:$A)&lt;=1,"",SUMIFS('RAW_농산물_11-12월'!$G:$G,'RAW_농산물_11-12월'!$A:$A,F$121,'RAW_농산물_11-12월'!$B:$B,$B129)-SUMIFS('RAW_농산물_10월'!$G:$G,'RAW_농산물_10월'!$A:$A,F$121,'RAW_농산물_10월'!$B:$B,$B129))</f>
        <v/>
      </c>
      <c r="G134" s="7" t="str">
        <f>IF(COUNTA('RAW_농산물_11-12월'!$A:$A)&lt;=1,"",SUMIFS('RAW_농산물_11-12월'!$G:$G,'RAW_농산물_11-12월'!$A:$A,G$121,'RAW_농산물_11-12월'!$B:$B,$B129)-SUMIFS('RAW_농산물_10월'!$G:$G,'RAW_농산물_10월'!$A:$A,G$121,'RAW_농산물_10월'!$B:$B,$B129))</f>
        <v/>
      </c>
      <c r="H134" s="7" t="str">
        <f>IF(COUNTA('RAW_농산물_11-12월'!$A:$A)&lt;=1,"",SUMIFS('RAW_농산물_11-12월'!$G:$G,'RAW_농산물_11-12월'!$A:$A,H$121,'RAW_농산물_11-12월'!$B:$B,$B129)-SUMIFS('RAW_농산물_10월'!$G:$G,'RAW_농산물_10월'!$A:$A,H$121,'RAW_농산물_10월'!$B:$B,$B129))</f>
        <v/>
      </c>
      <c r="I134" s="7" t="str">
        <f>IF(COUNTA('RAW_농산물_11-12월'!$A:$A)&lt;=1,"",SUMIFS('RAW_농산물_11-12월'!$G:$G,'RAW_농산물_11-12월'!$A:$A,I$121,'RAW_농산물_11-12월'!$B:$B,$B129)-SUMIFS('RAW_농산물_10월'!$G:$G,'RAW_농산물_10월'!$A:$A,I$121,'RAW_농산물_10월'!$B:$B,$B129))</f>
        <v/>
      </c>
      <c r="J134" s="7" t="str">
        <f>IF(COUNTA('RAW_농산물_11-12월'!$A:$A)&lt;=1,"",SUMIFS('RAW_농산물_11-12월'!$G:$G,'RAW_농산물_11-12월'!$A:$A,J$121,'RAW_농산물_11-12월'!$B:$B,$B129)-SUMIFS('RAW_농산물_10월'!$G:$G,'RAW_농산물_10월'!$A:$A,J$121,'RAW_농산물_10월'!$B:$B,$B129))</f>
        <v/>
      </c>
    </row>
    <row r="135" ht="15.75" customHeight="1">
      <c r="B135" s="45" t="s">
        <v>186</v>
      </c>
      <c r="C135" s="28" t="s">
        <v>91</v>
      </c>
      <c r="D135" s="3">
        <f t="shared" si="33"/>
        <v>2352612459</v>
      </c>
      <c r="E135" s="3">
        <f t="shared" ref="E135:J135" si="36">IF(COUNT(E136:E140)=0,"",SUM(E136:E140))</f>
        <v>1060766440</v>
      </c>
      <c r="F135" s="3">
        <f t="shared" si="36"/>
        <v>566269840</v>
      </c>
      <c r="G135" s="3">
        <f t="shared" si="36"/>
        <v>68823850</v>
      </c>
      <c r="H135" s="3">
        <f t="shared" si="36"/>
        <v>11033700</v>
      </c>
      <c r="I135" s="3">
        <f t="shared" si="36"/>
        <v>403469669</v>
      </c>
      <c r="J135" s="3">
        <f t="shared" si="36"/>
        <v>242248960</v>
      </c>
    </row>
    <row r="136" ht="15.75" customHeight="1">
      <c r="B136" s="50"/>
      <c r="C136" s="30" t="s">
        <v>173</v>
      </c>
      <c r="D136" s="3">
        <f t="shared" si="33"/>
        <v>1019642763</v>
      </c>
      <c r="E136" s="7">
        <f>IF(COUNTA('RAW_농산물_7월'!$A:$A)&lt;=1,"",SUMIFS('RAW_농산물_7월'!$G:$G,'RAW_농산물_7월'!$A:$A,E$121,'RAW_농산물_7월'!$B:$B,$B135))</f>
        <v>412504810</v>
      </c>
      <c r="F136" s="7">
        <f>IF(COUNTA('RAW_농산물_7월'!$A:$A)&lt;=1,"",SUMIFS('RAW_농산물_7월'!$G:$G,'RAW_농산물_7월'!$A:$A,F$121,'RAW_농산물_7월'!$B:$B,$B135))</f>
        <v>275569570</v>
      </c>
      <c r="G136" s="7">
        <f>IF(COUNTA('RAW_농산물_7월'!$A:$A)&lt;=1,"",SUMIFS('RAW_농산물_7월'!$G:$G,'RAW_농산물_7월'!$A:$A,G$121,'RAW_농산물_7월'!$B:$B,$B135))</f>
        <v>28820000</v>
      </c>
      <c r="H136" s="7">
        <f>IF(COUNTA('RAW_농산물_7월'!$A:$A)&lt;=1,"",SUMIFS('RAW_농산물_7월'!$G:$G,'RAW_농산물_7월'!$A:$A,H$121,'RAW_농산물_7월'!$B:$B,$B135))</f>
        <v>4022000</v>
      </c>
      <c r="I136" s="7">
        <f>IF(COUNTA('RAW_농산물_7월'!$A:$A)&lt;=1,"",SUMIFS('RAW_농산물_7월'!$G:$G,'RAW_농산물_7월'!$A:$A,I$121,'RAW_농산물_7월'!$B:$B,$B135))</f>
        <v>182117383</v>
      </c>
      <c r="J136" s="7">
        <f>IF(COUNTA('RAW_농산물_7월'!$A:$A)&lt;=1,"",SUMIFS('RAW_농산물_7월'!$G:$G,'RAW_농산물_7월'!$A:$A,J$121,'RAW_농산물_7월'!$B:$B,$B135))</f>
        <v>116609000</v>
      </c>
    </row>
    <row r="137" ht="15.75" customHeight="1">
      <c r="B137" s="50"/>
      <c r="C137" s="30" t="s">
        <v>175</v>
      </c>
      <c r="D137" s="3">
        <f t="shared" si="33"/>
        <v>1332969696</v>
      </c>
      <c r="E137" s="7">
        <f>IF(COUNTA('RAW_농산물_8월'!$A:$A)&lt;=1,"",SUMIFS('RAW_농산물_8월'!$G:$G,'RAW_농산물_8월'!$A:$A,E$121,'RAW_농산물_8월'!$B:$B,$B135)-SUMIFS('RAW_농산물_7월'!$G:$G,'RAW_농산물_7월'!$A:$A,E$121,'RAW_농산물_7월'!$B:$B,$B135))</f>
        <v>648261630</v>
      </c>
      <c r="F137" s="7">
        <f>IF(COUNTA('RAW_농산물_8월'!$A:$A)&lt;=1,"",SUMIFS('RAW_농산물_8월'!$G:$G,'RAW_농산물_8월'!$A:$A,F$121,'RAW_농산물_8월'!$B:$B,$B135)-SUMIFS('RAW_농산물_7월'!$G:$G,'RAW_농산물_7월'!$A:$A,F$121,'RAW_농산물_7월'!$B:$B,$B135))</f>
        <v>290700270</v>
      </c>
      <c r="G137" s="7">
        <f>IF(COUNTA('RAW_농산물_8월'!$A:$A)&lt;=1,"",SUMIFS('RAW_농산물_8월'!$G:$G,'RAW_농산물_8월'!$A:$A,G$121,'RAW_농산물_8월'!$B:$B,$B135)-SUMIFS('RAW_농산물_7월'!$G:$G,'RAW_농산물_7월'!$A:$A,G$121,'RAW_농산물_7월'!$B:$B,$B135))</f>
        <v>40003850</v>
      </c>
      <c r="H137" s="7">
        <f>IF(COUNTA('RAW_농산물_8월'!$A:$A)&lt;=1,"",SUMIFS('RAW_농산물_8월'!$G:$G,'RAW_농산물_8월'!$A:$A,H$121,'RAW_농산물_8월'!$B:$B,$B135)-SUMIFS('RAW_농산물_7월'!$G:$G,'RAW_농산물_7월'!$A:$A,H$121,'RAW_농산물_7월'!$B:$B,$B135))</f>
        <v>7011700</v>
      </c>
      <c r="I137" s="7">
        <f>IF(COUNTA('RAW_농산물_8월'!$A:$A)&lt;=1,"",SUMIFS('RAW_농산물_8월'!$G:$G,'RAW_농산물_8월'!$A:$A,I$121,'RAW_농산물_8월'!$B:$B,$B135)-SUMIFS('RAW_농산물_7월'!$G:$G,'RAW_농산물_7월'!$A:$A,I$121,'RAW_농산물_7월'!$B:$B,$B135))</f>
        <v>221352286</v>
      </c>
      <c r="J137" s="7">
        <f>IF(COUNTA('RAW_농산물_8월'!$A:$A)&lt;=1,"",SUMIFS('RAW_농산물_8월'!$G:$G,'RAW_농산물_8월'!$A:$A,J$121,'RAW_농산물_8월'!$B:$B,$B135)-SUMIFS('RAW_농산물_7월'!$G:$G,'RAW_농산물_7월'!$A:$A,J$121,'RAW_농산물_7월'!$B:$B,$B135))</f>
        <v>125639960</v>
      </c>
    </row>
    <row r="138" ht="15.75" customHeight="1">
      <c r="B138" s="50"/>
      <c r="C138" s="30" t="s">
        <v>180</v>
      </c>
      <c r="D138" s="3" t="str">
        <f t="shared" si="33"/>
        <v/>
      </c>
      <c r="E138" s="7" t="str">
        <f>IF(COUNTA('RAW_농산물_9월'!$A:$A)&lt;=1,"",SUMIFS('RAW_농산물_9월'!$G:$G,'RAW_농산물_9월'!$A:$A,E$121,'RAW_농산물_9월'!$B:$B,$B135)-SUMIFS('RAW_농산물_8월'!$G:$G,'RAW_농산물_8월'!$A:$A,E$121,'RAW_농산물_8월'!$B:$B,$B135))</f>
        <v/>
      </c>
      <c r="F138" s="7" t="str">
        <f>IF(COUNTA('RAW_농산물_9월'!$A:$A)&lt;=1,"",SUMIFS('RAW_농산물_9월'!$G:$G,'RAW_농산물_9월'!$A:$A,F$121,'RAW_농산물_9월'!$B:$B,$B135)-SUMIFS('RAW_농산물_8월'!$G:$G,'RAW_농산물_8월'!$A:$A,F$121,'RAW_농산물_8월'!$B:$B,$B135))</f>
        <v/>
      </c>
      <c r="G138" s="7" t="str">
        <f>IF(COUNTA('RAW_농산물_9월'!$A:$A)&lt;=1,"",SUMIFS('RAW_농산물_9월'!$G:$G,'RAW_농산물_9월'!$A:$A,G$121,'RAW_농산물_9월'!$B:$B,$B135)-SUMIFS('RAW_농산물_8월'!$G:$G,'RAW_농산물_8월'!$A:$A,G$121,'RAW_농산물_8월'!$B:$B,$B135))</f>
        <v/>
      </c>
      <c r="H138" s="7" t="str">
        <f>IF(COUNTA('RAW_농산물_9월'!$A:$A)&lt;=1,"",SUMIFS('RAW_농산물_9월'!$G:$G,'RAW_농산물_9월'!$A:$A,H$121,'RAW_농산물_9월'!$B:$B,$B135)-SUMIFS('RAW_농산물_8월'!$G:$G,'RAW_농산물_8월'!$A:$A,H$121,'RAW_농산물_8월'!$B:$B,$B135))</f>
        <v/>
      </c>
      <c r="I138" s="7" t="str">
        <f>IF(COUNTA('RAW_농산물_9월'!$A:$A)&lt;=1,"",SUMIFS('RAW_농산물_9월'!$G:$G,'RAW_농산물_9월'!$A:$A,I$121,'RAW_농산물_9월'!$B:$B,$B135)-SUMIFS('RAW_농산물_8월'!$G:$G,'RAW_농산물_8월'!$A:$A,I$121,'RAW_농산물_8월'!$B:$B,$B135))</f>
        <v/>
      </c>
      <c r="J138" s="7" t="str">
        <f>IF(COUNTA('RAW_농산물_9월'!$A:$A)&lt;=1,"",SUMIFS('RAW_농산물_9월'!$G:$G,'RAW_농산물_9월'!$A:$A,J$121,'RAW_농산물_9월'!$B:$B,$B135)-SUMIFS('RAW_농산물_8월'!$G:$G,'RAW_농산물_8월'!$A:$A,J$121,'RAW_농산물_8월'!$B:$B,$B135))</f>
        <v/>
      </c>
    </row>
    <row r="139" ht="15.75" customHeight="1">
      <c r="B139" s="50"/>
      <c r="C139" s="30" t="s">
        <v>181</v>
      </c>
      <c r="D139" s="3" t="str">
        <f t="shared" si="33"/>
        <v/>
      </c>
      <c r="E139" s="7" t="str">
        <f>IF(COUNTA('RAW_농산물_10월'!$A:$A)&lt;=1,"",SUMIFS('RAW_농산물_10월'!$G:$G,'RAW_농산물_10월'!$A:$A,E$121,'RAW_농산물_10월'!$B:$B,$B135)-SUMIFS('RAW_농산물_9월'!$G:$G,'RAW_농산물_9월'!$A:$A,E$121,'RAW_농산물_9월'!$B:$B,$B135))</f>
        <v/>
      </c>
      <c r="F139" s="7" t="str">
        <f>IF(COUNTA('RAW_농산물_10월'!$A:$A)&lt;=1,"",SUMIFS('RAW_농산물_10월'!$G:$G,'RAW_농산물_10월'!$A:$A,F$121,'RAW_농산물_10월'!$B:$B,$B135)-SUMIFS('RAW_농산물_9월'!$G:$G,'RAW_농산물_9월'!$A:$A,F$121,'RAW_농산물_9월'!$B:$B,$B135))</f>
        <v/>
      </c>
      <c r="G139" s="7" t="str">
        <f>IF(COUNTA('RAW_농산물_10월'!$A:$A)&lt;=1,"",SUMIFS('RAW_농산물_10월'!$G:$G,'RAW_농산물_10월'!$A:$A,G$121,'RAW_농산물_10월'!$B:$B,$B135)-SUMIFS('RAW_농산물_9월'!$G:$G,'RAW_농산물_9월'!$A:$A,G$121,'RAW_농산물_9월'!$B:$B,$B135))</f>
        <v/>
      </c>
      <c r="H139" s="7" t="str">
        <f>IF(COUNTA('RAW_농산물_10월'!$A:$A)&lt;=1,"",SUMIFS('RAW_농산물_10월'!$G:$G,'RAW_농산물_10월'!$A:$A,H$121,'RAW_농산물_10월'!$B:$B,$B135)-SUMIFS('RAW_농산물_9월'!$G:$G,'RAW_농산물_9월'!$A:$A,H$121,'RAW_농산물_9월'!$B:$B,$B135))</f>
        <v/>
      </c>
      <c r="I139" s="7" t="str">
        <f>IF(COUNTA('RAW_농산물_10월'!$A:$A)&lt;=1,"",SUMIFS('RAW_농산물_10월'!$G:$G,'RAW_농산물_10월'!$A:$A,I$121,'RAW_농산물_10월'!$B:$B,$B135)-SUMIFS('RAW_농산물_9월'!$G:$G,'RAW_농산물_9월'!$A:$A,I$121,'RAW_농산물_9월'!$B:$B,$B135))</f>
        <v/>
      </c>
      <c r="J139" s="7" t="str">
        <f>IF(COUNTA('RAW_농산물_10월'!$A:$A)&lt;=1,"",SUMIFS('RAW_농산물_10월'!$G:$G,'RAW_농산물_10월'!$A:$A,J$121,'RAW_농산물_10월'!$B:$B,$B135)-SUMIFS('RAW_농산물_9월'!$G:$G,'RAW_농산물_9월'!$A:$A,J$121,'RAW_농산물_9월'!$B:$B,$B135))</f>
        <v/>
      </c>
    </row>
    <row r="140" ht="15.75" customHeight="1">
      <c r="B140" s="27"/>
      <c r="C140" s="30" t="s">
        <v>182</v>
      </c>
      <c r="D140" s="3" t="str">
        <f t="shared" si="33"/>
        <v/>
      </c>
      <c r="E140" s="7" t="str">
        <f>IF(COUNTA('RAW_농산물_11-12월'!$A:$A)&lt;=1,"",SUMIFS('RAW_농산물_11-12월'!$G:$G,'RAW_농산물_11-12월'!$A:$A,E$121,'RAW_농산물_11-12월'!$B:$B,$B135)-SUMIFS('RAW_농산물_10월'!$G:$G,'RAW_농산물_10월'!$A:$A,E$121,'RAW_농산물_10월'!$B:$B,$B135))</f>
        <v/>
      </c>
      <c r="F140" s="7" t="str">
        <f>IF(COUNTA('RAW_농산물_11-12월'!$A:$A)&lt;=1,"",SUMIFS('RAW_농산물_11-12월'!$G:$G,'RAW_농산물_11-12월'!$A:$A,F$121,'RAW_농산물_11-12월'!$B:$B,$B135)-SUMIFS('RAW_농산물_10월'!$G:$G,'RAW_농산물_10월'!$A:$A,F$121,'RAW_농산물_10월'!$B:$B,$B135))</f>
        <v/>
      </c>
      <c r="G140" s="7" t="str">
        <f>IF(COUNTA('RAW_농산물_11-12월'!$A:$A)&lt;=1,"",SUMIFS('RAW_농산물_11-12월'!$G:$G,'RAW_농산물_11-12월'!$A:$A,G$121,'RAW_농산물_11-12월'!$B:$B,$B135)-SUMIFS('RAW_농산물_10월'!$G:$G,'RAW_농산물_10월'!$A:$A,G$121,'RAW_농산물_10월'!$B:$B,$B135))</f>
        <v/>
      </c>
      <c r="H140" s="7" t="str">
        <f>IF(COUNTA('RAW_농산물_11-12월'!$A:$A)&lt;=1,"",SUMIFS('RAW_농산물_11-12월'!$G:$G,'RAW_농산물_11-12월'!$A:$A,H$121,'RAW_농산물_11-12월'!$B:$B,$B135)-SUMIFS('RAW_농산물_10월'!$G:$G,'RAW_농산물_10월'!$A:$A,H$121,'RAW_농산물_10월'!$B:$B,$B135))</f>
        <v/>
      </c>
      <c r="I140" s="7" t="str">
        <f>IF(COUNTA('RAW_농산물_11-12월'!$A:$A)&lt;=1,"",SUMIFS('RAW_농산물_11-12월'!$G:$G,'RAW_농산물_11-12월'!$A:$A,I$121,'RAW_농산물_11-12월'!$B:$B,$B135)-SUMIFS('RAW_농산물_10월'!$G:$G,'RAW_농산물_10월'!$A:$A,I$121,'RAW_농산물_10월'!$B:$B,$B135))</f>
        <v/>
      </c>
      <c r="J140" s="7" t="str">
        <f>IF(COUNTA('RAW_농산물_11-12월'!$A:$A)&lt;=1,"",SUMIFS('RAW_농산물_11-12월'!$G:$G,'RAW_농산물_11-12월'!$A:$A,J$121,'RAW_농산물_11-12월'!$B:$B,$B135)-SUMIFS('RAW_농산물_10월'!$G:$G,'RAW_농산물_10월'!$A:$A,J$121,'RAW_농산물_10월'!$B:$B,$B135))</f>
        <v/>
      </c>
    </row>
    <row r="141" ht="15.75" customHeight="1"/>
    <row r="142" ht="15.75" customHeight="1">
      <c r="B142" s="21" t="s">
        <v>1976</v>
      </c>
    </row>
    <row r="143" ht="15.75" customHeight="1">
      <c r="B143" s="4" t="s">
        <v>1306</v>
      </c>
      <c r="C143" s="4" t="s">
        <v>5</v>
      </c>
      <c r="D143" s="4" t="s">
        <v>76</v>
      </c>
      <c r="E143" s="4" t="s">
        <v>92</v>
      </c>
      <c r="F143" s="4" t="s">
        <v>93</v>
      </c>
      <c r="G143" s="4" t="s">
        <v>28</v>
      </c>
      <c r="H143" s="4" t="s">
        <v>94</v>
      </c>
      <c r="I143" s="4" t="s">
        <v>95</v>
      </c>
      <c r="J143" s="4" t="s">
        <v>31</v>
      </c>
    </row>
    <row r="144" ht="15.75" customHeight="1">
      <c r="B144" s="2" t="s">
        <v>76</v>
      </c>
      <c r="C144" s="2"/>
      <c r="D144" s="3">
        <f t="shared" ref="D144:D162" si="38">IF(COUNT(E144:J144)=0,"",SUM(E144:J144))</f>
        <v>475218</v>
      </c>
      <c r="E144" s="3">
        <f t="shared" ref="E144:J144" si="37">IF(COUNT(E145,E151,E157)=0,"",SUM(E145,E151,E157))</f>
        <v>108140</v>
      </c>
      <c r="F144" s="3">
        <f t="shared" si="37"/>
        <v>68093</v>
      </c>
      <c r="G144" s="3">
        <f t="shared" si="37"/>
        <v>13595</v>
      </c>
      <c r="H144" s="3">
        <f t="shared" si="37"/>
        <v>3100</v>
      </c>
      <c r="I144" s="3">
        <f t="shared" si="37"/>
        <v>30683</v>
      </c>
      <c r="J144" s="3">
        <f t="shared" si="37"/>
        <v>251607</v>
      </c>
    </row>
    <row r="145" ht="15.75" customHeight="1">
      <c r="B145" s="45" t="s">
        <v>117</v>
      </c>
      <c r="C145" s="28" t="s">
        <v>91</v>
      </c>
      <c r="D145" s="3">
        <f t="shared" si="38"/>
        <v>290861</v>
      </c>
      <c r="E145" s="3">
        <f t="shared" ref="E145:J145" si="39">IF(COUNT(E146:E150)=0,"",SUM(E146:E150))</f>
        <v>54773</v>
      </c>
      <c r="F145" s="3">
        <f t="shared" si="39"/>
        <v>30320</v>
      </c>
      <c r="G145" s="3">
        <f t="shared" si="39"/>
        <v>6030</v>
      </c>
      <c r="H145" s="3">
        <f t="shared" si="39"/>
        <v>2612</v>
      </c>
      <c r="I145" s="3">
        <f t="shared" si="39"/>
        <v>4345</v>
      </c>
      <c r="J145" s="3">
        <f t="shared" si="39"/>
        <v>192781</v>
      </c>
    </row>
    <row r="146" ht="15.75" customHeight="1">
      <c r="B146" s="50"/>
      <c r="C146" s="30" t="s">
        <v>173</v>
      </c>
      <c r="D146" s="3">
        <f t="shared" si="38"/>
        <v>138774</v>
      </c>
      <c r="E146" s="7">
        <f>IF(COUNTA('RAW_농산물_7월'!$A:$A)&lt;=1,"",SUMIFS('RAW_농산물_7월'!$F:$F,'RAW_농산물_7월'!$A:$A,E$143,'RAW_농산물_7월'!$B:$B,$B145))</f>
        <v>18826</v>
      </c>
      <c r="F146" s="7">
        <f>IF(COUNTA('RAW_농산물_7월'!$A:$A)&lt;=1,"",SUMIFS('RAW_농산물_7월'!$F:$F,'RAW_농산물_7월'!$A:$A,F$143,'RAW_농산물_7월'!$B:$B,$B145))</f>
        <v>17930</v>
      </c>
      <c r="G146" s="7">
        <f>IF(COUNTA('RAW_농산물_7월'!$A:$A)&lt;=1,"",SUMIFS('RAW_농산물_7월'!$F:$F,'RAW_농산물_7월'!$A:$A,G$143,'RAW_농산물_7월'!$B:$B,$B145))</f>
        <v>5392</v>
      </c>
      <c r="H146" s="7">
        <f>IF(COUNTA('RAW_농산물_7월'!$A:$A)&lt;=1,"",SUMIFS('RAW_농산물_7월'!$F:$F,'RAW_농산물_7월'!$A:$A,H$143,'RAW_농산물_7월'!$B:$B,$B145))</f>
        <v>1136</v>
      </c>
      <c r="I146" s="7">
        <f>IF(COUNTA('RAW_농산물_7월'!$A:$A)&lt;=1,"",SUMIFS('RAW_농산물_7월'!$F:$F,'RAW_농산물_7월'!$A:$A,I$143,'RAW_농산물_7월'!$B:$B,$B145))</f>
        <v>2619</v>
      </c>
      <c r="J146" s="7">
        <f>IF(COUNTA('RAW_농산물_7월'!$A:$A)&lt;=1,"",SUMIFS('RAW_농산물_7월'!$F:$F,'RAW_농산물_7월'!$A:$A,J$143,'RAW_농산물_7월'!$B:$B,$B145))</f>
        <v>92871</v>
      </c>
    </row>
    <row r="147" ht="15.75" customHeight="1">
      <c r="B147" s="50"/>
      <c r="C147" s="30" t="s">
        <v>175</v>
      </c>
      <c r="D147" s="3">
        <f t="shared" si="38"/>
        <v>152087</v>
      </c>
      <c r="E147" s="7">
        <f>IF(COUNTA('RAW_농산물_8월'!$A:$A)&lt;=1,"",SUMIFS('RAW_농산물_8월'!$F:$F,'RAW_농산물_8월'!$A:$A,E$143,'RAW_농산물_8월'!$B:$B,$B145)-SUMIFS('RAW_농산물_7월'!$F:$F,'RAW_농산물_7월'!$A:$A,E$143,'RAW_농산물_7월'!$B:$B,$B145))</f>
        <v>35947</v>
      </c>
      <c r="F147" s="7">
        <f>IF(COUNTA('RAW_농산물_8월'!$A:$A)&lt;=1,"",SUMIFS('RAW_농산물_8월'!$F:$F,'RAW_농산물_8월'!$A:$A,F$143,'RAW_농산물_8월'!$B:$B,$B145)-SUMIFS('RAW_농산물_7월'!$F:$F,'RAW_농산물_7월'!$A:$A,F$143,'RAW_농산물_7월'!$B:$B,$B145))</f>
        <v>12390</v>
      </c>
      <c r="G147" s="7">
        <f>IF(COUNTA('RAW_농산물_8월'!$A:$A)&lt;=1,"",SUMIFS('RAW_농산물_8월'!$F:$F,'RAW_농산물_8월'!$A:$A,G$143,'RAW_농산물_8월'!$B:$B,$B145)-SUMIFS('RAW_농산물_7월'!$F:$F,'RAW_농산물_7월'!$A:$A,G$143,'RAW_농산물_7월'!$B:$B,$B145))</f>
        <v>638</v>
      </c>
      <c r="H147" s="7">
        <f>IF(COUNTA('RAW_농산물_8월'!$A:$A)&lt;=1,"",SUMIFS('RAW_농산물_8월'!$F:$F,'RAW_농산물_8월'!$A:$A,H$143,'RAW_농산물_8월'!$B:$B,$B145)-SUMIFS('RAW_농산물_7월'!$F:$F,'RAW_농산물_7월'!$A:$A,H$143,'RAW_농산물_7월'!$B:$B,$B145))</f>
        <v>1476</v>
      </c>
      <c r="I147" s="7">
        <f>IF(COUNTA('RAW_농산물_8월'!$A:$A)&lt;=1,"",SUMIFS('RAW_농산물_8월'!$F:$F,'RAW_농산물_8월'!$A:$A,I$143,'RAW_농산물_8월'!$B:$B,$B145)-SUMIFS('RAW_농산물_7월'!$F:$F,'RAW_농산물_7월'!$A:$A,I$143,'RAW_농산물_7월'!$B:$B,$B145))</f>
        <v>1726</v>
      </c>
      <c r="J147" s="7">
        <f>IF(COUNTA('RAW_농산물_8월'!$A:$A)&lt;=1,"",SUMIFS('RAW_농산물_8월'!$F:$F,'RAW_농산물_8월'!$A:$A,J$143,'RAW_농산물_8월'!$B:$B,$B145)-SUMIFS('RAW_농산물_7월'!$F:$F,'RAW_농산물_7월'!$A:$A,J$143,'RAW_농산물_7월'!$B:$B,$B145))</f>
        <v>99910</v>
      </c>
    </row>
    <row r="148" ht="15.75" customHeight="1">
      <c r="B148" s="50"/>
      <c r="C148" s="30" t="s">
        <v>180</v>
      </c>
      <c r="D148" s="3" t="str">
        <f t="shared" si="38"/>
        <v/>
      </c>
      <c r="E148" s="7" t="str">
        <f>IF(COUNTA('RAW_농산물_9월'!$A:$A)&lt;=1,"",SUMIFS('RAW_농산물_9월'!$F:$F,'RAW_농산물_9월'!$A:$A,E$143,'RAW_농산물_9월'!$B:$B,$B145)-SUMIFS('RAW_농산물_8월'!$F:$F,'RAW_농산물_8월'!$A:$A,E$143,'RAW_농산물_8월'!$B:$B,$B145))</f>
        <v/>
      </c>
      <c r="F148" s="7" t="str">
        <f>IF(COUNTA('RAW_농산물_9월'!$A:$A)&lt;=1,"",SUMIFS('RAW_농산물_9월'!$F:$F,'RAW_농산물_9월'!$A:$A,F$143,'RAW_농산물_9월'!$B:$B,$B145)-SUMIFS('RAW_농산물_8월'!$F:$F,'RAW_농산물_8월'!$A:$A,F$143,'RAW_농산물_8월'!$B:$B,$B145))</f>
        <v/>
      </c>
      <c r="G148" s="7" t="str">
        <f>IF(COUNTA('RAW_농산물_9월'!$A:$A)&lt;=1,"",SUMIFS('RAW_농산물_9월'!$F:$F,'RAW_농산물_9월'!$A:$A,G$143,'RAW_농산물_9월'!$B:$B,$B145)-SUMIFS('RAW_농산물_8월'!$F:$F,'RAW_농산물_8월'!$A:$A,G$143,'RAW_농산물_8월'!$B:$B,$B145))</f>
        <v/>
      </c>
      <c r="H148" s="7" t="str">
        <f>IF(COUNTA('RAW_농산물_9월'!$A:$A)&lt;=1,"",SUMIFS('RAW_농산물_9월'!$F:$F,'RAW_농산물_9월'!$A:$A,H$143,'RAW_농산물_9월'!$B:$B,$B145)-SUMIFS('RAW_농산물_8월'!$F:$F,'RAW_농산물_8월'!$A:$A,H$143,'RAW_농산물_8월'!$B:$B,$B145))</f>
        <v/>
      </c>
      <c r="I148" s="7" t="str">
        <f>IF(COUNTA('RAW_농산물_9월'!$A:$A)&lt;=1,"",SUMIFS('RAW_농산물_9월'!$F:$F,'RAW_농산물_9월'!$A:$A,I$143,'RAW_농산물_9월'!$B:$B,$B145)-SUMIFS('RAW_농산물_8월'!$F:$F,'RAW_농산물_8월'!$A:$A,I$143,'RAW_농산물_8월'!$B:$B,$B145))</f>
        <v/>
      </c>
      <c r="J148" s="7" t="str">
        <f>IF(COUNTA('RAW_농산물_9월'!$A:$A)&lt;=1,"",SUMIFS('RAW_농산물_9월'!$F:$F,'RAW_농산물_9월'!$A:$A,J$143,'RAW_농산물_9월'!$B:$B,$B145)-SUMIFS('RAW_농산물_8월'!$F:$F,'RAW_농산물_8월'!$A:$A,J$143,'RAW_농산물_8월'!$B:$B,$B145))</f>
        <v/>
      </c>
    </row>
    <row r="149" ht="15.75" customHeight="1">
      <c r="B149" s="50"/>
      <c r="C149" s="30" t="s">
        <v>181</v>
      </c>
      <c r="D149" s="3" t="str">
        <f t="shared" si="38"/>
        <v/>
      </c>
      <c r="E149" s="7" t="str">
        <f>IF(COUNTA('RAW_농산물_10월'!$A:$A)&lt;=1,"",SUMIFS('RAW_농산물_10월'!$F:$F,'RAW_농산물_10월'!$A:$A,E$143,'RAW_농산물_10월'!$B:$B,$B145)-SUMIFS('RAW_농산물_9월'!$F:$F,'RAW_농산물_9월'!$A:$A,E$143,'RAW_농산물_9월'!$B:$B,$B145))</f>
        <v/>
      </c>
      <c r="F149" s="7" t="str">
        <f>IF(COUNTA('RAW_농산물_10월'!$A:$A)&lt;=1,"",SUMIFS('RAW_농산물_10월'!$F:$F,'RAW_농산물_10월'!$A:$A,F$143,'RAW_농산물_10월'!$B:$B,$B145)-SUMIFS('RAW_농산물_9월'!$F:$F,'RAW_농산물_9월'!$A:$A,F$143,'RAW_농산물_9월'!$B:$B,$B145))</f>
        <v/>
      </c>
      <c r="G149" s="7" t="str">
        <f>IF(COUNTA('RAW_농산물_10월'!$A:$A)&lt;=1,"",SUMIFS('RAW_농산물_10월'!$F:$F,'RAW_농산물_10월'!$A:$A,G$143,'RAW_농산물_10월'!$B:$B,$B145)-SUMIFS('RAW_농산물_9월'!$F:$F,'RAW_농산물_9월'!$A:$A,G$143,'RAW_농산물_9월'!$B:$B,$B145))</f>
        <v/>
      </c>
      <c r="H149" s="7" t="str">
        <f>IF(COUNTA('RAW_농산물_10월'!$A:$A)&lt;=1,"",SUMIFS('RAW_농산물_10월'!$F:$F,'RAW_농산물_10월'!$A:$A,H$143,'RAW_농산물_10월'!$B:$B,$B145)-SUMIFS('RAW_농산물_9월'!$F:$F,'RAW_농산물_9월'!$A:$A,H$143,'RAW_농산물_9월'!$B:$B,$B145))</f>
        <v/>
      </c>
      <c r="I149" s="7" t="str">
        <f>IF(COUNTA('RAW_농산물_10월'!$A:$A)&lt;=1,"",SUMIFS('RAW_농산물_10월'!$F:$F,'RAW_농산물_10월'!$A:$A,I$143,'RAW_농산물_10월'!$B:$B,$B145)-SUMIFS('RAW_농산물_9월'!$F:$F,'RAW_농산물_9월'!$A:$A,I$143,'RAW_농산물_9월'!$B:$B,$B145))</f>
        <v/>
      </c>
      <c r="J149" s="7" t="str">
        <f>IF(COUNTA('RAW_농산물_10월'!$A:$A)&lt;=1,"",SUMIFS('RAW_농산물_10월'!$F:$F,'RAW_농산물_10월'!$A:$A,J$143,'RAW_농산물_10월'!$B:$B,$B145)-SUMIFS('RAW_농산물_9월'!$F:$F,'RAW_농산물_9월'!$A:$A,J$143,'RAW_농산물_9월'!$B:$B,$B145))</f>
        <v/>
      </c>
    </row>
    <row r="150" ht="15.75" customHeight="1">
      <c r="B150" s="27"/>
      <c r="C150" s="30" t="s">
        <v>182</v>
      </c>
      <c r="D150" s="3" t="str">
        <f t="shared" si="38"/>
        <v/>
      </c>
      <c r="E150" s="7" t="str">
        <f>IF(COUNTA('RAW_농산물_11-12월'!$A:$A)&lt;=1,"",SUMIFS('RAW_농산물_11-12월'!$F:$F,'RAW_농산물_11-12월'!$A:$A,E$143,'RAW_농산물_11-12월'!$B:$B,$B145)-SUMIFS('RAW_농산물_10월'!$F:$F,'RAW_농산물_10월'!$A:$A,E$143,'RAW_농산물_10월'!$B:$B,$B145))</f>
        <v/>
      </c>
      <c r="F150" s="7" t="str">
        <f>IF(COUNTA('RAW_농산물_11-12월'!$A:$A)&lt;=1,"",SUMIFS('RAW_농산물_11-12월'!$F:$F,'RAW_농산물_11-12월'!$A:$A,F$143,'RAW_농산물_11-12월'!$B:$B,$B145)-SUMIFS('RAW_농산물_10월'!$F:$F,'RAW_농산물_10월'!$A:$A,F$143,'RAW_농산물_10월'!$B:$B,$B145))</f>
        <v/>
      </c>
      <c r="G150" s="7" t="str">
        <f>IF(COUNTA('RAW_농산물_11-12월'!$A:$A)&lt;=1,"",SUMIFS('RAW_농산물_11-12월'!$F:$F,'RAW_농산물_11-12월'!$A:$A,G$143,'RAW_농산물_11-12월'!$B:$B,$B145)-SUMIFS('RAW_농산물_10월'!$F:$F,'RAW_농산물_10월'!$A:$A,G$143,'RAW_농산물_10월'!$B:$B,$B145))</f>
        <v/>
      </c>
      <c r="H150" s="7" t="str">
        <f>IF(COUNTA('RAW_농산물_11-12월'!$A:$A)&lt;=1,"",SUMIFS('RAW_농산물_11-12월'!$F:$F,'RAW_농산물_11-12월'!$A:$A,H$143,'RAW_농산물_11-12월'!$B:$B,$B145)-SUMIFS('RAW_농산물_10월'!$F:$F,'RAW_농산물_10월'!$A:$A,H$143,'RAW_농산물_10월'!$B:$B,$B145))</f>
        <v/>
      </c>
      <c r="I150" s="7" t="str">
        <f>IF(COUNTA('RAW_농산물_11-12월'!$A:$A)&lt;=1,"",SUMIFS('RAW_농산물_11-12월'!$F:$F,'RAW_농산물_11-12월'!$A:$A,I$143,'RAW_농산물_11-12월'!$B:$B,$B145)-SUMIFS('RAW_농산물_10월'!$F:$F,'RAW_농산물_10월'!$A:$A,I$143,'RAW_농산물_10월'!$B:$B,$B145))</f>
        <v/>
      </c>
      <c r="J150" s="7" t="str">
        <f>IF(COUNTA('RAW_농산물_11-12월'!$A:$A)&lt;=1,"",SUMIFS('RAW_농산물_11-12월'!$F:$F,'RAW_농산물_11-12월'!$A:$A,J$143,'RAW_농산물_11-12월'!$B:$B,$B145)-SUMIFS('RAW_농산물_10월'!$F:$F,'RAW_농산물_10월'!$A:$A,J$143,'RAW_농산물_10월'!$B:$B,$B145))</f>
        <v/>
      </c>
    </row>
    <row r="151" ht="15.75" customHeight="1">
      <c r="B151" s="45" t="s">
        <v>174</v>
      </c>
      <c r="C151" s="28" t="s">
        <v>91</v>
      </c>
      <c r="D151" s="3">
        <f t="shared" si="38"/>
        <v>32787</v>
      </c>
      <c r="E151" s="3">
        <f t="shared" ref="E151:J151" si="40">IF(COUNT(E152:E156)=0,"",SUM(E152:E156))</f>
        <v>12132</v>
      </c>
      <c r="F151" s="3">
        <f t="shared" si="40"/>
        <v>5546</v>
      </c>
      <c r="G151" s="3">
        <f t="shared" si="40"/>
        <v>4621</v>
      </c>
      <c r="H151" s="3">
        <f t="shared" si="40"/>
        <v>0</v>
      </c>
      <c r="I151" s="3">
        <f t="shared" si="40"/>
        <v>0</v>
      </c>
      <c r="J151" s="3">
        <f t="shared" si="40"/>
        <v>10488</v>
      </c>
    </row>
    <row r="152" ht="15.75" customHeight="1">
      <c r="B152" s="50"/>
      <c r="C152" s="30" t="s">
        <v>173</v>
      </c>
      <c r="D152" s="3">
        <f t="shared" si="38"/>
        <v>18516</v>
      </c>
      <c r="E152" s="7">
        <f>IF(COUNTA('RAW_농산물_7월'!$A:$A)&lt;=1,"",SUMIFS('RAW_농산물_7월'!$F:$F,'RAW_농산물_7월'!$A:$A,E$143,'RAW_농산물_7월'!$B:$B,$B151))</f>
        <v>5950</v>
      </c>
      <c r="F152" s="7">
        <f>IF(COUNTA('RAW_농산물_7월'!$A:$A)&lt;=1,"",SUMIFS('RAW_농산물_7월'!$F:$F,'RAW_농산물_7월'!$A:$A,F$143,'RAW_농산물_7월'!$B:$B,$B151))</f>
        <v>3429</v>
      </c>
      <c r="G152" s="7">
        <f>IF(COUNTA('RAW_농산물_7월'!$A:$A)&lt;=1,"",SUMIFS('RAW_농산물_7월'!$F:$F,'RAW_농산물_7월'!$A:$A,G$143,'RAW_농산물_7월'!$B:$B,$B151))</f>
        <v>4115</v>
      </c>
      <c r="H152" s="7">
        <f>IF(COUNTA('RAW_농산물_7월'!$A:$A)&lt;=1,"",SUMIFS('RAW_농산물_7월'!$F:$F,'RAW_농산물_7월'!$A:$A,H$143,'RAW_농산물_7월'!$B:$B,$B151))</f>
        <v>0</v>
      </c>
      <c r="I152" s="7">
        <f>IF(COUNTA('RAW_농산물_7월'!$A:$A)&lt;=1,"",SUMIFS('RAW_농산물_7월'!$F:$F,'RAW_농산물_7월'!$A:$A,I$143,'RAW_농산물_7월'!$B:$B,$B151))</f>
        <v>0</v>
      </c>
      <c r="J152" s="7">
        <f>IF(COUNTA('RAW_농산물_7월'!$A:$A)&lt;=1,"",SUMIFS('RAW_농산물_7월'!$F:$F,'RAW_농산물_7월'!$A:$A,J$143,'RAW_농산물_7월'!$B:$B,$B151))</f>
        <v>5022</v>
      </c>
    </row>
    <row r="153" ht="15.75" customHeight="1">
      <c r="B153" s="50"/>
      <c r="C153" s="30" t="s">
        <v>175</v>
      </c>
      <c r="D153" s="3">
        <f t="shared" si="38"/>
        <v>14271</v>
      </c>
      <c r="E153" s="7">
        <f>IF(COUNTA('RAW_농산물_8월'!$A:$A)&lt;=1,"",SUMIFS('RAW_농산물_8월'!$F:$F,'RAW_농산물_8월'!$A:$A,E$143,'RAW_농산물_8월'!$B:$B,$B151)-SUMIFS('RAW_농산물_7월'!$F:$F,'RAW_농산물_7월'!$A:$A,E$143,'RAW_농산물_7월'!$B:$B,$B151))</f>
        <v>6182</v>
      </c>
      <c r="F153" s="7">
        <f>IF(COUNTA('RAW_농산물_8월'!$A:$A)&lt;=1,"",SUMIFS('RAW_농산물_8월'!$F:$F,'RAW_농산물_8월'!$A:$A,F$143,'RAW_농산물_8월'!$B:$B,$B151)-SUMIFS('RAW_농산물_7월'!$F:$F,'RAW_농산물_7월'!$A:$A,F$143,'RAW_농산물_7월'!$B:$B,$B151))</f>
        <v>2117</v>
      </c>
      <c r="G153" s="7">
        <f>IF(COUNTA('RAW_농산물_8월'!$A:$A)&lt;=1,"",SUMIFS('RAW_농산물_8월'!$F:$F,'RAW_농산물_8월'!$A:$A,G$143,'RAW_농산물_8월'!$B:$B,$B151)-SUMIFS('RAW_농산물_7월'!$F:$F,'RAW_농산물_7월'!$A:$A,G$143,'RAW_농산물_7월'!$B:$B,$B151))</f>
        <v>506</v>
      </c>
      <c r="H153" s="7">
        <f>IF(COUNTA('RAW_농산물_8월'!$A:$A)&lt;=1,"",SUMIFS('RAW_농산물_8월'!$F:$F,'RAW_농산물_8월'!$A:$A,H$143,'RAW_농산물_8월'!$B:$B,$B151)-SUMIFS('RAW_농산물_7월'!$F:$F,'RAW_농산물_7월'!$A:$A,H$143,'RAW_농산물_7월'!$B:$B,$B151))</f>
        <v>0</v>
      </c>
      <c r="I153" s="7">
        <f>IF(COUNTA('RAW_농산물_8월'!$A:$A)&lt;=1,"",SUMIFS('RAW_농산물_8월'!$F:$F,'RAW_농산물_8월'!$A:$A,I$143,'RAW_농산물_8월'!$B:$B,$B151)-SUMIFS('RAW_농산물_7월'!$F:$F,'RAW_농산물_7월'!$A:$A,I$143,'RAW_농산물_7월'!$B:$B,$B151))</f>
        <v>0</v>
      </c>
      <c r="J153" s="7">
        <f>IF(COUNTA('RAW_농산물_8월'!$A:$A)&lt;=1,"",SUMIFS('RAW_농산물_8월'!$F:$F,'RAW_농산물_8월'!$A:$A,J$143,'RAW_농산물_8월'!$B:$B,$B151)-SUMIFS('RAW_농산물_7월'!$F:$F,'RAW_농산물_7월'!$A:$A,J$143,'RAW_농산물_7월'!$B:$B,$B151))</f>
        <v>5466</v>
      </c>
    </row>
    <row r="154" ht="15.75" customHeight="1">
      <c r="B154" s="50"/>
      <c r="C154" s="30" t="s">
        <v>180</v>
      </c>
      <c r="D154" s="3" t="str">
        <f t="shared" si="38"/>
        <v/>
      </c>
      <c r="E154" s="7" t="str">
        <f>IF(COUNTA('RAW_농산물_9월'!$A:$A)&lt;=1,"",SUMIFS('RAW_농산물_9월'!$F:$F,'RAW_농산물_9월'!$A:$A,E$143,'RAW_농산물_9월'!$B:$B,$B151)-SUMIFS('RAW_농산물_8월'!$F:$F,'RAW_농산물_8월'!$A:$A,E$143,'RAW_농산물_8월'!$B:$B,$B151))</f>
        <v/>
      </c>
      <c r="F154" s="7" t="str">
        <f>IF(COUNTA('RAW_농산물_9월'!$A:$A)&lt;=1,"",SUMIFS('RAW_농산물_9월'!$F:$F,'RAW_농산물_9월'!$A:$A,F$143,'RAW_농산물_9월'!$B:$B,$B151)-SUMIFS('RAW_농산물_8월'!$F:$F,'RAW_농산물_8월'!$A:$A,F$143,'RAW_농산물_8월'!$B:$B,$B151))</f>
        <v/>
      </c>
      <c r="G154" s="7" t="str">
        <f>IF(COUNTA('RAW_농산물_9월'!$A:$A)&lt;=1,"",SUMIFS('RAW_농산물_9월'!$F:$F,'RAW_농산물_9월'!$A:$A,G$143,'RAW_농산물_9월'!$B:$B,$B151)-SUMIFS('RAW_농산물_8월'!$F:$F,'RAW_농산물_8월'!$A:$A,G$143,'RAW_농산물_8월'!$B:$B,$B151))</f>
        <v/>
      </c>
      <c r="H154" s="7" t="str">
        <f>IF(COUNTA('RAW_농산물_9월'!$A:$A)&lt;=1,"",SUMIFS('RAW_농산물_9월'!$F:$F,'RAW_농산물_9월'!$A:$A,H$143,'RAW_농산물_9월'!$B:$B,$B151)-SUMIFS('RAW_농산물_8월'!$F:$F,'RAW_농산물_8월'!$A:$A,H$143,'RAW_농산물_8월'!$B:$B,$B151))</f>
        <v/>
      </c>
      <c r="I154" s="7" t="str">
        <f>IF(COUNTA('RAW_농산물_9월'!$A:$A)&lt;=1,"",SUMIFS('RAW_농산물_9월'!$F:$F,'RAW_농산물_9월'!$A:$A,I$143,'RAW_농산물_9월'!$B:$B,$B151)-SUMIFS('RAW_농산물_8월'!$F:$F,'RAW_농산물_8월'!$A:$A,I$143,'RAW_농산물_8월'!$B:$B,$B151))</f>
        <v/>
      </c>
      <c r="J154" s="7" t="str">
        <f>IF(COUNTA('RAW_농산물_9월'!$A:$A)&lt;=1,"",SUMIFS('RAW_농산물_9월'!$F:$F,'RAW_농산물_9월'!$A:$A,J$143,'RAW_농산물_9월'!$B:$B,$B151)-SUMIFS('RAW_농산물_8월'!$F:$F,'RAW_농산물_8월'!$A:$A,J$143,'RAW_농산물_8월'!$B:$B,$B151))</f>
        <v/>
      </c>
    </row>
    <row r="155" ht="15.75" customHeight="1">
      <c r="B155" s="50"/>
      <c r="C155" s="30" t="s">
        <v>181</v>
      </c>
      <c r="D155" s="3" t="str">
        <f t="shared" si="38"/>
        <v/>
      </c>
      <c r="E155" s="7" t="str">
        <f>IF(COUNTA('RAW_농산물_10월'!$A:$A)&lt;=1,"",SUMIFS('RAW_농산물_10월'!$F:$F,'RAW_농산물_10월'!$A:$A,E$143,'RAW_농산물_10월'!$B:$B,$B151)-SUMIFS('RAW_농산물_9월'!$F:$F,'RAW_농산물_9월'!$A:$A,E$143,'RAW_농산물_9월'!$B:$B,$B151))</f>
        <v/>
      </c>
      <c r="F155" s="7" t="str">
        <f>IF(COUNTA('RAW_농산물_10월'!$A:$A)&lt;=1,"",SUMIFS('RAW_농산물_10월'!$F:$F,'RAW_농산물_10월'!$A:$A,F$143,'RAW_농산물_10월'!$B:$B,$B151)-SUMIFS('RAW_농산물_9월'!$F:$F,'RAW_농산물_9월'!$A:$A,F$143,'RAW_농산물_9월'!$B:$B,$B151))</f>
        <v/>
      </c>
      <c r="G155" s="7" t="str">
        <f>IF(COUNTA('RAW_농산물_10월'!$A:$A)&lt;=1,"",SUMIFS('RAW_농산물_10월'!$F:$F,'RAW_농산물_10월'!$A:$A,G$143,'RAW_농산물_10월'!$B:$B,$B151)-SUMIFS('RAW_농산물_9월'!$F:$F,'RAW_농산물_9월'!$A:$A,G$143,'RAW_농산물_9월'!$B:$B,$B151))</f>
        <v/>
      </c>
      <c r="H155" s="7" t="str">
        <f>IF(COUNTA('RAW_농산물_10월'!$A:$A)&lt;=1,"",SUMIFS('RAW_농산물_10월'!$F:$F,'RAW_농산물_10월'!$A:$A,H$143,'RAW_농산물_10월'!$B:$B,$B151)-SUMIFS('RAW_농산물_9월'!$F:$F,'RAW_농산물_9월'!$A:$A,H$143,'RAW_농산물_9월'!$B:$B,$B151))</f>
        <v/>
      </c>
      <c r="I155" s="7" t="str">
        <f>IF(COUNTA('RAW_농산물_10월'!$A:$A)&lt;=1,"",SUMIFS('RAW_농산물_10월'!$F:$F,'RAW_농산물_10월'!$A:$A,I$143,'RAW_농산물_10월'!$B:$B,$B151)-SUMIFS('RAW_농산물_9월'!$F:$F,'RAW_농산물_9월'!$A:$A,I$143,'RAW_농산물_9월'!$B:$B,$B151))</f>
        <v/>
      </c>
      <c r="J155" s="7" t="str">
        <f>IF(COUNTA('RAW_농산물_10월'!$A:$A)&lt;=1,"",SUMIFS('RAW_농산물_10월'!$F:$F,'RAW_농산물_10월'!$A:$A,J$143,'RAW_농산물_10월'!$B:$B,$B151)-SUMIFS('RAW_농산물_9월'!$F:$F,'RAW_농산물_9월'!$A:$A,J$143,'RAW_농산물_9월'!$B:$B,$B151))</f>
        <v/>
      </c>
    </row>
    <row r="156" ht="15.75" customHeight="1">
      <c r="B156" s="27"/>
      <c r="C156" s="30" t="s">
        <v>182</v>
      </c>
      <c r="D156" s="3" t="str">
        <f t="shared" si="38"/>
        <v/>
      </c>
      <c r="E156" s="7" t="str">
        <f>IF(COUNTA('RAW_농산물_11-12월'!$A:$A)&lt;=1,"",SUMIFS('RAW_농산물_11-12월'!$F:$F,'RAW_농산물_11-12월'!$A:$A,E$143,'RAW_농산물_11-12월'!$B:$B,$B151)-SUMIFS('RAW_농산물_10월'!$F:$F,'RAW_농산물_10월'!$A:$A,E$143,'RAW_농산물_10월'!$B:$B,$B151))</f>
        <v/>
      </c>
      <c r="F156" s="7" t="str">
        <f>IF(COUNTA('RAW_농산물_11-12월'!$A:$A)&lt;=1,"",SUMIFS('RAW_농산물_11-12월'!$F:$F,'RAW_농산물_11-12월'!$A:$A,F$143,'RAW_농산물_11-12월'!$B:$B,$B151)-SUMIFS('RAW_농산물_10월'!$F:$F,'RAW_농산물_10월'!$A:$A,F$143,'RAW_농산물_10월'!$B:$B,$B151))</f>
        <v/>
      </c>
      <c r="G156" s="7" t="str">
        <f>IF(COUNTA('RAW_농산물_11-12월'!$A:$A)&lt;=1,"",SUMIFS('RAW_농산물_11-12월'!$F:$F,'RAW_농산물_11-12월'!$A:$A,G$143,'RAW_농산물_11-12월'!$B:$B,$B151)-SUMIFS('RAW_농산물_10월'!$F:$F,'RAW_농산물_10월'!$A:$A,G$143,'RAW_농산물_10월'!$B:$B,$B151))</f>
        <v/>
      </c>
      <c r="H156" s="7" t="str">
        <f>IF(COUNTA('RAW_농산물_11-12월'!$A:$A)&lt;=1,"",SUMIFS('RAW_농산물_11-12월'!$F:$F,'RAW_농산물_11-12월'!$A:$A,H$143,'RAW_농산물_11-12월'!$B:$B,$B151)-SUMIFS('RAW_농산물_10월'!$F:$F,'RAW_농산물_10월'!$A:$A,H$143,'RAW_농산물_10월'!$B:$B,$B151))</f>
        <v/>
      </c>
      <c r="I156" s="7" t="str">
        <f>IF(COUNTA('RAW_농산물_11-12월'!$A:$A)&lt;=1,"",SUMIFS('RAW_농산물_11-12월'!$F:$F,'RAW_농산물_11-12월'!$A:$A,I$143,'RAW_농산물_11-12월'!$B:$B,$B151)-SUMIFS('RAW_농산물_10월'!$F:$F,'RAW_농산물_10월'!$A:$A,I$143,'RAW_농산물_10월'!$B:$B,$B151))</f>
        <v/>
      </c>
      <c r="J156" s="7" t="str">
        <f>IF(COUNTA('RAW_농산물_11-12월'!$A:$A)&lt;=1,"",SUMIFS('RAW_농산물_11-12월'!$F:$F,'RAW_농산물_11-12월'!$A:$A,J$143,'RAW_농산물_11-12월'!$B:$B,$B151)-SUMIFS('RAW_농산물_10월'!$F:$F,'RAW_농산물_10월'!$A:$A,J$143,'RAW_농산물_10월'!$B:$B,$B151))</f>
        <v/>
      </c>
    </row>
    <row r="157" ht="15.75" customHeight="1">
      <c r="B157" s="45" t="s">
        <v>186</v>
      </c>
      <c r="C157" s="28" t="s">
        <v>91</v>
      </c>
      <c r="D157" s="3">
        <f t="shared" si="38"/>
        <v>151570</v>
      </c>
      <c r="E157" s="3">
        <f t="shared" ref="E157:J157" si="41">IF(COUNT(E158:E162)=0,"",SUM(E158:E162))</f>
        <v>41235</v>
      </c>
      <c r="F157" s="3">
        <f t="shared" si="41"/>
        <v>32227</v>
      </c>
      <c r="G157" s="3">
        <f t="shared" si="41"/>
        <v>2944</v>
      </c>
      <c r="H157" s="3">
        <f t="shared" si="41"/>
        <v>488</v>
      </c>
      <c r="I157" s="3">
        <f t="shared" si="41"/>
        <v>26338</v>
      </c>
      <c r="J157" s="3">
        <f t="shared" si="41"/>
        <v>48338</v>
      </c>
    </row>
    <row r="158" ht="15.75" customHeight="1">
      <c r="B158" s="50"/>
      <c r="C158" s="30" t="s">
        <v>173</v>
      </c>
      <c r="D158" s="3">
        <f t="shared" si="38"/>
        <v>69269</v>
      </c>
      <c r="E158" s="7">
        <f>IF(COUNTA('RAW_농산물_7월'!$A:$A)&lt;=1,"",SUMIFS('RAW_농산물_7월'!$F:$F,'RAW_농산물_7월'!$A:$A,E$143,'RAW_농산물_7월'!$B:$B,$B157))</f>
        <v>14817</v>
      </c>
      <c r="F158" s="7">
        <f>IF(COUNTA('RAW_농산물_7월'!$A:$A)&lt;=1,"",SUMIFS('RAW_농산물_7월'!$F:$F,'RAW_농산물_7월'!$A:$A,F$143,'RAW_농산물_7월'!$B:$B,$B157))</f>
        <v>17281</v>
      </c>
      <c r="G158" s="7">
        <f>IF(COUNTA('RAW_농산물_7월'!$A:$A)&lt;=1,"",SUMIFS('RAW_농산물_7월'!$F:$F,'RAW_농산물_7월'!$A:$A,G$143,'RAW_농산물_7월'!$B:$B,$B157))</f>
        <v>1511</v>
      </c>
      <c r="H158" s="7">
        <f>IF(COUNTA('RAW_농산물_7월'!$A:$A)&lt;=1,"",SUMIFS('RAW_농산물_7월'!$F:$F,'RAW_농산물_7월'!$A:$A,H$143,'RAW_농산물_7월'!$B:$B,$B157))</f>
        <v>160</v>
      </c>
      <c r="I158" s="7">
        <f>IF(COUNTA('RAW_농산물_7월'!$A:$A)&lt;=1,"",SUMIFS('RAW_농산물_7월'!$F:$F,'RAW_농산물_7월'!$A:$A,I$143,'RAW_농산물_7월'!$B:$B,$B157))</f>
        <v>12060</v>
      </c>
      <c r="J158" s="7">
        <f>IF(COUNTA('RAW_농산물_7월'!$A:$A)&lt;=1,"",SUMIFS('RAW_농산물_7월'!$F:$F,'RAW_농산물_7월'!$A:$A,J$143,'RAW_농산물_7월'!$B:$B,$B157))</f>
        <v>23440</v>
      </c>
    </row>
    <row r="159" ht="15.75" customHeight="1">
      <c r="B159" s="50"/>
      <c r="C159" s="30" t="s">
        <v>175</v>
      </c>
      <c r="D159" s="3">
        <f t="shared" si="38"/>
        <v>82301</v>
      </c>
      <c r="E159" s="7">
        <f>IF(COUNTA('RAW_농산물_8월'!$A:$A)&lt;=1,"",SUMIFS('RAW_농산물_8월'!$F:$F,'RAW_농산물_8월'!$A:$A,E$143,'RAW_농산물_8월'!$B:$B,$B157)-SUMIFS('RAW_농산물_7월'!$F:$F,'RAW_농산물_7월'!$A:$A,E$143,'RAW_농산물_7월'!$B:$B,$B157))</f>
        <v>26418</v>
      </c>
      <c r="F159" s="7">
        <f>IF(COUNTA('RAW_농산물_8월'!$A:$A)&lt;=1,"",SUMIFS('RAW_농산물_8월'!$F:$F,'RAW_농산물_8월'!$A:$A,F$143,'RAW_농산물_8월'!$B:$B,$B157)-SUMIFS('RAW_농산물_7월'!$F:$F,'RAW_농산물_7월'!$A:$A,F$143,'RAW_농산물_7월'!$B:$B,$B157))</f>
        <v>14946</v>
      </c>
      <c r="G159" s="7">
        <f>IF(COUNTA('RAW_농산물_8월'!$A:$A)&lt;=1,"",SUMIFS('RAW_농산물_8월'!$F:$F,'RAW_농산물_8월'!$A:$A,G$143,'RAW_농산물_8월'!$B:$B,$B157)-SUMIFS('RAW_농산물_7월'!$F:$F,'RAW_농산물_7월'!$A:$A,G$143,'RAW_농산물_7월'!$B:$B,$B157))</f>
        <v>1433</v>
      </c>
      <c r="H159" s="7">
        <f>IF(COUNTA('RAW_농산물_8월'!$A:$A)&lt;=1,"",SUMIFS('RAW_농산물_8월'!$F:$F,'RAW_농산물_8월'!$A:$A,H$143,'RAW_농산물_8월'!$B:$B,$B157)-SUMIFS('RAW_농산물_7월'!$F:$F,'RAW_농산물_7월'!$A:$A,H$143,'RAW_농산물_7월'!$B:$B,$B157))</f>
        <v>328</v>
      </c>
      <c r="I159" s="7">
        <f>IF(COUNTA('RAW_농산물_8월'!$A:$A)&lt;=1,"",SUMIFS('RAW_농산물_8월'!$F:$F,'RAW_농산물_8월'!$A:$A,I$143,'RAW_농산물_8월'!$B:$B,$B157)-SUMIFS('RAW_농산물_7월'!$F:$F,'RAW_농산물_7월'!$A:$A,I$143,'RAW_농산물_7월'!$B:$B,$B157))</f>
        <v>14278</v>
      </c>
      <c r="J159" s="7">
        <f>IF(COUNTA('RAW_농산물_8월'!$A:$A)&lt;=1,"",SUMIFS('RAW_농산물_8월'!$F:$F,'RAW_농산물_8월'!$A:$A,J$143,'RAW_농산물_8월'!$B:$B,$B157)-SUMIFS('RAW_농산물_7월'!$F:$F,'RAW_농산물_7월'!$A:$A,J$143,'RAW_농산물_7월'!$B:$B,$B157))</f>
        <v>24898</v>
      </c>
    </row>
    <row r="160" ht="15.75" customHeight="1">
      <c r="B160" s="50"/>
      <c r="C160" s="30" t="s">
        <v>180</v>
      </c>
      <c r="D160" s="3" t="str">
        <f t="shared" si="38"/>
        <v/>
      </c>
      <c r="E160" s="7" t="str">
        <f>IF(COUNTA('RAW_농산물_9월'!$A:$A)&lt;=1,"",SUMIFS('RAW_농산물_9월'!$F:$F,'RAW_농산물_9월'!$A:$A,E$143,'RAW_농산물_9월'!$B:$B,$B157)-SUMIFS('RAW_농산물_8월'!$F:$F,'RAW_농산물_8월'!$A:$A,E$143,'RAW_농산물_8월'!$B:$B,$B157))</f>
        <v/>
      </c>
      <c r="F160" s="7" t="str">
        <f>IF(COUNTA('RAW_농산물_9월'!$A:$A)&lt;=1,"",SUMIFS('RAW_농산물_9월'!$F:$F,'RAW_농산물_9월'!$A:$A,F$143,'RAW_농산물_9월'!$B:$B,$B157)-SUMIFS('RAW_농산물_8월'!$F:$F,'RAW_농산물_8월'!$A:$A,F$143,'RAW_농산물_8월'!$B:$B,$B157))</f>
        <v/>
      </c>
      <c r="G160" s="7" t="str">
        <f>IF(COUNTA('RAW_농산물_9월'!$A:$A)&lt;=1,"",SUMIFS('RAW_농산물_9월'!$F:$F,'RAW_농산물_9월'!$A:$A,G$143,'RAW_농산물_9월'!$B:$B,$B157)-SUMIFS('RAW_농산물_8월'!$F:$F,'RAW_농산물_8월'!$A:$A,G$143,'RAW_농산물_8월'!$B:$B,$B157))</f>
        <v/>
      </c>
      <c r="H160" s="7" t="str">
        <f>IF(COUNTA('RAW_농산물_9월'!$A:$A)&lt;=1,"",SUMIFS('RAW_농산물_9월'!$F:$F,'RAW_농산물_9월'!$A:$A,H$143,'RAW_농산물_9월'!$B:$B,$B157)-SUMIFS('RAW_농산물_8월'!$F:$F,'RAW_농산물_8월'!$A:$A,H$143,'RAW_농산물_8월'!$B:$B,$B157))</f>
        <v/>
      </c>
      <c r="I160" s="7" t="str">
        <f>IF(COUNTA('RAW_농산물_9월'!$A:$A)&lt;=1,"",SUMIFS('RAW_농산물_9월'!$F:$F,'RAW_농산물_9월'!$A:$A,I$143,'RAW_농산물_9월'!$B:$B,$B157)-SUMIFS('RAW_농산물_8월'!$F:$F,'RAW_농산물_8월'!$A:$A,I$143,'RAW_농산물_8월'!$B:$B,$B157))</f>
        <v/>
      </c>
      <c r="J160" s="7" t="str">
        <f>IF(COUNTA('RAW_농산물_9월'!$A:$A)&lt;=1,"",SUMIFS('RAW_농산물_9월'!$F:$F,'RAW_농산물_9월'!$A:$A,J$143,'RAW_농산물_9월'!$B:$B,$B157)-SUMIFS('RAW_농산물_8월'!$F:$F,'RAW_농산물_8월'!$A:$A,J$143,'RAW_농산물_8월'!$B:$B,$B157))</f>
        <v/>
      </c>
    </row>
    <row r="161" ht="15.75" customHeight="1">
      <c r="B161" s="50"/>
      <c r="C161" s="30" t="s">
        <v>181</v>
      </c>
      <c r="D161" s="3" t="str">
        <f t="shared" si="38"/>
        <v/>
      </c>
      <c r="E161" s="7" t="str">
        <f>IF(COUNTA('RAW_농산물_10월'!$A:$A)&lt;=1,"",SUMIFS('RAW_농산물_10월'!$F:$F,'RAW_농산물_10월'!$A:$A,E$143,'RAW_농산물_10월'!$B:$B,$B157)-SUMIFS('RAW_농산물_9월'!$F:$F,'RAW_농산물_9월'!$A:$A,E$143,'RAW_농산물_9월'!$B:$B,$B157))</f>
        <v/>
      </c>
      <c r="F161" s="7" t="str">
        <f>IF(COUNTA('RAW_농산물_10월'!$A:$A)&lt;=1,"",SUMIFS('RAW_농산물_10월'!$F:$F,'RAW_농산물_10월'!$A:$A,F$143,'RAW_농산물_10월'!$B:$B,$B157)-SUMIFS('RAW_농산물_9월'!$F:$F,'RAW_농산물_9월'!$A:$A,F$143,'RAW_농산물_9월'!$B:$B,$B157))</f>
        <v/>
      </c>
      <c r="G161" s="7" t="str">
        <f>IF(COUNTA('RAW_농산물_10월'!$A:$A)&lt;=1,"",SUMIFS('RAW_농산물_10월'!$F:$F,'RAW_농산물_10월'!$A:$A,G$143,'RAW_농산물_10월'!$B:$B,$B157)-SUMIFS('RAW_농산물_9월'!$F:$F,'RAW_농산물_9월'!$A:$A,G$143,'RAW_농산물_9월'!$B:$B,$B157))</f>
        <v/>
      </c>
      <c r="H161" s="7" t="str">
        <f>IF(COUNTA('RAW_농산물_10월'!$A:$A)&lt;=1,"",SUMIFS('RAW_농산물_10월'!$F:$F,'RAW_농산물_10월'!$A:$A,H$143,'RAW_농산물_10월'!$B:$B,$B157)-SUMIFS('RAW_농산물_9월'!$F:$F,'RAW_농산물_9월'!$A:$A,H$143,'RAW_농산물_9월'!$B:$B,$B157))</f>
        <v/>
      </c>
      <c r="I161" s="7" t="str">
        <f>IF(COUNTA('RAW_농산물_10월'!$A:$A)&lt;=1,"",SUMIFS('RAW_농산물_10월'!$F:$F,'RAW_농산물_10월'!$A:$A,I$143,'RAW_농산물_10월'!$B:$B,$B157)-SUMIFS('RAW_농산물_9월'!$F:$F,'RAW_농산물_9월'!$A:$A,I$143,'RAW_농산물_9월'!$B:$B,$B157))</f>
        <v/>
      </c>
      <c r="J161" s="7" t="str">
        <f>IF(COUNTA('RAW_농산물_10월'!$A:$A)&lt;=1,"",SUMIFS('RAW_농산물_10월'!$F:$F,'RAW_농산물_10월'!$A:$A,J$143,'RAW_농산물_10월'!$B:$B,$B157)-SUMIFS('RAW_농산물_9월'!$F:$F,'RAW_농산물_9월'!$A:$A,J$143,'RAW_농산물_9월'!$B:$B,$B157))</f>
        <v/>
      </c>
    </row>
    <row r="162" ht="15.75" customHeight="1">
      <c r="B162" s="27"/>
      <c r="C162" s="30" t="s">
        <v>182</v>
      </c>
      <c r="D162" s="3" t="str">
        <f t="shared" si="38"/>
        <v/>
      </c>
      <c r="E162" s="7" t="str">
        <f>IF(COUNTA('RAW_농산물_11-12월'!$A:$A)&lt;=1,"",SUMIFS('RAW_농산물_11-12월'!$F:$F,'RAW_농산물_11-12월'!$A:$A,E$143,'RAW_농산물_11-12월'!$B:$B,$B157)-SUMIFS('RAW_농산물_10월'!$F:$F,'RAW_농산물_10월'!$A:$A,E$143,'RAW_농산물_10월'!$B:$B,$B157))</f>
        <v/>
      </c>
      <c r="F162" s="7" t="str">
        <f>IF(COUNTA('RAW_농산물_11-12월'!$A:$A)&lt;=1,"",SUMIFS('RAW_농산물_11-12월'!$F:$F,'RAW_농산물_11-12월'!$A:$A,F$143,'RAW_농산물_11-12월'!$B:$B,$B157)-SUMIFS('RAW_농산물_10월'!$F:$F,'RAW_농산물_10월'!$A:$A,F$143,'RAW_농산물_10월'!$B:$B,$B157))</f>
        <v/>
      </c>
      <c r="G162" s="7" t="str">
        <f>IF(COUNTA('RAW_농산물_11-12월'!$A:$A)&lt;=1,"",SUMIFS('RAW_농산물_11-12월'!$F:$F,'RAW_농산물_11-12월'!$A:$A,G$143,'RAW_농산물_11-12월'!$B:$B,$B157)-SUMIFS('RAW_농산물_10월'!$F:$F,'RAW_농산물_10월'!$A:$A,G$143,'RAW_농산물_10월'!$B:$B,$B157))</f>
        <v/>
      </c>
      <c r="H162" s="7" t="str">
        <f>IF(COUNTA('RAW_농산물_11-12월'!$A:$A)&lt;=1,"",SUMIFS('RAW_농산물_11-12월'!$F:$F,'RAW_농산물_11-12월'!$A:$A,H$143,'RAW_농산물_11-12월'!$B:$B,$B157)-SUMIFS('RAW_농산물_10월'!$F:$F,'RAW_농산물_10월'!$A:$A,H$143,'RAW_농산물_10월'!$B:$B,$B157))</f>
        <v/>
      </c>
      <c r="I162" s="7" t="str">
        <f>IF(COUNTA('RAW_농산물_11-12월'!$A:$A)&lt;=1,"",SUMIFS('RAW_농산물_11-12월'!$F:$F,'RAW_농산물_11-12월'!$A:$A,I$143,'RAW_농산물_11-12월'!$B:$B,$B157)-SUMIFS('RAW_농산물_10월'!$F:$F,'RAW_농산물_10월'!$A:$A,I$143,'RAW_농산물_10월'!$B:$B,$B157))</f>
        <v/>
      </c>
      <c r="J162" s="7" t="str">
        <f>IF(COUNTA('RAW_농산물_11-12월'!$A:$A)&lt;=1,"",SUMIFS('RAW_농산물_11-12월'!$F:$F,'RAW_농산물_11-12월'!$A:$A,J$143,'RAW_농산물_11-12월'!$B:$B,$B157)-SUMIFS('RAW_농산물_10월'!$F:$F,'RAW_농산물_10월'!$A:$A,J$143,'RAW_농산물_10월'!$B:$B,$B157))</f>
        <v/>
      </c>
    </row>
    <row r="163" ht="15.75" customHeight="1"/>
    <row r="164" ht="15.75" customHeight="1"/>
    <row r="165" ht="15.75" customHeight="1"/>
    <row r="166" ht="15.75" customHeight="1">
      <c r="B166" s="8" t="s">
        <v>2601</v>
      </c>
    </row>
    <row r="167" ht="15.75" customHeight="1"/>
    <row r="168" ht="15.75" customHeight="1">
      <c r="B168" s="21" t="s">
        <v>372</v>
      </c>
    </row>
    <row r="169" ht="15.75" customHeight="1">
      <c r="B169" s="4" t="s">
        <v>5</v>
      </c>
      <c r="C169" s="4" t="s">
        <v>376</v>
      </c>
      <c r="D169" s="4" t="s">
        <v>76</v>
      </c>
      <c r="E169" s="4" t="s">
        <v>92</v>
      </c>
      <c r="F169" s="4" t="s">
        <v>31</v>
      </c>
    </row>
    <row r="170" ht="15.75" customHeight="1">
      <c r="B170" s="45" t="s">
        <v>173</v>
      </c>
      <c r="C170" s="30" t="s">
        <v>393</v>
      </c>
      <c r="D170" s="3">
        <f t="shared" ref="D170:D179" si="42">IF(COUNT(E170:F170)=0,"",SUM(E170:F170))</f>
        <v>32</v>
      </c>
      <c r="E170" s="7">
        <f>IF(COUNTA('RAW_유기농_7월'!$A:$A)&lt;=1,"",COUNTIFS('유기농업체'!$E$3:$E$252,E$169,'유기농업체'!$I$3:$I$252,"O"))</f>
        <v>16</v>
      </c>
      <c r="F170" s="7">
        <f>IF(COUNTA('RAW_유기농_7월'!$A:$A)&lt;=1,"",COUNTIFS('유기농업체'!$E$3:$E$252,F$169,'유기농업체'!$I$3:$I$252,"O"))</f>
        <v>16</v>
      </c>
    </row>
    <row r="171" ht="15.75" customHeight="1">
      <c r="B171" s="27"/>
      <c r="C171" s="30" t="s">
        <v>102</v>
      </c>
      <c r="D171" s="3">
        <f t="shared" si="42"/>
        <v>175</v>
      </c>
      <c r="E171" s="7">
        <f>IF(COUNTA('RAW_유기농_7월'!$A:$A)&lt;=1,"",COUNTIFS('RAW_유기농_7월'!$A:$A,E$169))</f>
        <v>85</v>
      </c>
      <c r="F171" s="7">
        <f>IF(COUNTA('RAW_유기농_7월'!$A:$A)&lt;=1,"",COUNTIFS('RAW_유기농_7월'!$A:$A,F$169))</f>
        <v>90</v>
      </c>
    </row>
    <row r="172" ht="15.75" customHeight="1">
      <c r="B172" s="45" t="s">
        <v>175</v>
      </c>
      <c r="C172" s="30" t="s">
        <v>393</v>
      </c>
      <c r="D172" s="3">
        <f t="shared" si="42"/>
        <v>35</v>
      </c>
      <c r="E172" s="7">
        <f>IF(COUNTA('RAW_유기농_8월'!$A:$A)&lt;=1,"",COUNTIFS('유기농업체'!$E$3:$E$252,E$169,'유기농업체'!$J$3:$J$252,"O"))</f>
        <v>18</v>
      </c>
      <c r="F172" s="7">
        <f>IF(COUNTA('RAW_유기농_8월'!$A:$A)&lt;=1,"",COUNTIFS('유기농업체'!$E$3:$E$252,F$169,'유기농업체'!$J$3:$J$252,"O"))</f>
        <v>17</v>
      </c>
    </row>
    <row r="173" ht="15.75" customHeight="1">
      <c r="B173" s="27"/>
      <c r="C173" s="30" t="s">
        <v>102</v>
      </c>
      <c r="D173" s="3">
        <f t="shared" si="42"/>
        <v>202</v>
      </c>
      <c r="E173" s="7">
        <f>IF(COUNTA('RAW_유기농_8월'!$A:$A)&lt;=1,"",COUNTIFS('RAW_유기농_8월'!$A:$A,E$169))</f>
        <v>111</v>
      </c>
      <c r="F173" s="7">
        <f>IF(COUNTA('RAW_유기농_8월'!$A:$A)&lt;=1,"",COUNTIFS('RAW_유기농_8월'!$A:$A,F$169))</f>
        <v>91</v>
      </c>
    </row>
    <row r="174" ht="15.75" customHeight="1">
      <c r="B174" s="45" t="s">
        <v>180</v>
      </c>
      <c r="C174" s="30" t="s">
        <v>393</v>
      </c>
      <c r="D174" s="3" t="str">
        <f t="shared" si="42"/>
        <v/>
      </c>
      <c r="E174" s="7" t="str">
        <f>IF(COUNTA('RAW_유기농_9월'!$A:$A)&lt;=1,"",COUNTIFS('유기농업체'!$E$3:$E$252,E$169,'유기농업체'!$K$3:$K$252,"O"))</f>
        <v/>
      </c>
      <c r="F174" s="7" t="str">
        <f>IF(COUNTA('RAW_유기농_9월'!$A:$A)&lt;=1,"",COUNTIFS('유기농업체'!$E$3:$E$252,F$169,'유기농업체'!$K$3:$K$252,"O"))</f>
        <v/>
      </c>
    </row>
    <row r="175" ht="15.75" customHeight="1">
      <c r="B175" s="27"/>
      <c r="C175" s="30" t="s">
        <v>102</v>
      </c>
      <c r="D175" s="3" t="str">
        <f t="shared" si="42"/>
        <v/>
      </c>
      <c r="E175" s="7" t="str">
        <f>IF(COUNTA('RAW_유기농_9월'!$A:$A)&lt;=1,"",COUNTIFS('RAW_유기농_9월'!$A:$A,E$169))</f>
        <v/>
      </c>
      <c r="F175" s="7" t="str">
        <f>IF(COUNTA('RAW_유기농_9월'!$A:$A)&lt;=1,"",COUNTIFS('RAW_유기농_9월'!$A:$A,F$169))</f>
        <v/>
      </c>
    </row>
    <row r="176" ht="15.75" customHeight="1">
      <c r="B176" s="45" t="s">
        <v>181</v>
      </c>
      <c r="C176" s="30" t="s">
        <v>393</v>
      </c>
      <c r="D176" s="3" t="str">
        <f t="shared" si="42"/>
        <v/>
      </c>
      <c r="E176" s="7" t="str">
        <f>IF(COUNTA('RAW_유기농_10월'!$A:$A)&lt;=1,"",COUNTIFS('유기농업체'!$E$3:$E$252,E$169,'유기농업체'!$L$3:$L$252,"O"))</f>
        <v/>
      </c>
      <c r="F176" s="7" t="str">
        <f>IF(COUNTA('RAW_유기농_10월'!$A:$A)&lt;=1,"",COUNTIFS('유기농업체'!$E$3:$E$252,F$169,'유기농업체'!$L$3:$L$252,"O"))</f>
        <v/>
      </c>
    </row>
    <row r="177" ht="15.75" customHeight="1">
      <c r="B177" s="27"/>
      <c r="C177" s="30" t="s">
        <v>102</v>
      </c>
      <c r="D177" s="3" t="str">
        <f t="shared" si="42"/>
        <v/>
      </c>
      <c r="E177" s="7" t="str">
        <f>IF(COUNTA('RAW_유기농_10월'!$A:$A)&lt;=1,"",COUNTIFS('RAW_유기농_10월'!$A:$A,E$169))</f>
        <v/>
      </c>
      <c r="F177" s="7" t="str">
        <f>IF(COUNTA('RAW_유기농_10월'!$A:$A)&lt;=1,"",COUNTIFS('RAW_유기농_10월'!$A:$A,F$169))</f>
        <v/>
      </c>
    </row>
    <row r="178" ht="15.75" customHeight="1">
      <c r="B178" s="45" t="s">
        <v>182</v>
      </c>
      <c r="C178" s="30" t="s">
        <v>393</v>
      </c>
      <c r="D178" s="3" t="str">
        <f t="shared" si="42"/>
        <v/>
      </c>
      <c r="E178" s="7" t="str">
        <f>IF(COUNTA('RAW_유기농_11-12월'!$A:$A)&lt;=1,"",COUNTIFS('유기농업체'!$E$3:$E$252,E$169,'유기농업체'!$M$3:$M$252,"O"))</f>
        <v/>
      </c>
      <c r="F178" s="7" t="str">
        <f>IF(COUNTA('RAW_유기농_11-12월'!$A:$A)&lt;=1,"",COUNTIFS('유기농업체'!$E$3:$E$252,F$169,'유기농업체'!$M$3:$M$252,"O"))</f>
        <v/>
      </c>
    </row>
    <row r="179" ht="15.75" customHeight="1">
      <c r="B179" s="27"/>
      <c r="C179" s="30" t="s">
        <v>102</v>
      </c>
      <c r="D179" s="3" t="str">
        <f t="shared" si="42"/>
        <v/>
      </c>
      <c r="E179" s="7" t="str">
        <f>IF(COUNTA('RAW_유기농_11-12월'!$A:$A)&lt;=1,"",COUNTIFS('RAW_유기농_11-12월'!$A:$A,E$169))</f>
        <v/>
      </c>
      <c r="F179" s="7" t="str">
        <f>IF(COUNTA('RAW_유기농_11-12월'!$A:$A)&lt;=1,"",COUNTIFS('RAW_유기농_11-12월'!$A:$A,F$169))</f>
        <v/>
      </c>
    </row>
    <row r="180" ht="15.75" customHeight="1">
      <c r="B180" s="20" t="s">
        <v>718</v>
      </c>
    </row>
    <row r="181" ht="15.75" customHeight="1"/>
    <row r="182" ht="15.75" customHeight="1">
      <c r="B182" s="21" t="s">
        <v>720</v>
      </c>
    </row>
    <row r="183" ht="15.75" customHeight="1">
      <c r="B183" s="4" t="s">
        <v>5</v>
      </c>
      <c r="C183" s="4"/>
      <c r="D183" s="4" t="s">
        <v>76</v>
      </c>
      <c r="E183" s="4" t="s">
        <v>92</v>
      </c>
      <c r="F183" s="4" t="s">
        <v>31</v>
      </c>
    </row>
    <row r="184" ht="15.75" customHeight="1">
      <c r="B184" s="2" t="s">
        <v>76</v>
      </c>
      <c r="D184" s="3">
        <f t="shared" ref="D184:D191" si="44">IF(COUNT(E184:F184)=0,"",SUM(E184:F184))</f>
        <v>44341569</v>
      </c>
      <c r="E184" s="3">
        <f t="shared" ref="E184:F184" si="43">IF(COUNT(E185:E189)=0,"",SUM(E185:E189))</f>
        <v>24308290</v>
      </c>
      <c r="F184" s="3">
        <f t="shared" si="43"/>
        <v>20033279</v>
      </c>
    </row>
    <row r="185" ht="15.75" customHeight="1">
      <c r="B185" s="30" t="s">
        <v>173</v>
      </c>
      <c r="D185" s="3">
        <f t="shared" si="44"/>
        <v>20033931</v>
      </c>
      <c r="E185" s="7">
        <f>IF(COUNTA('RAW_유기농_7월'!$A:$A)&lt;=1,"",SUMIFS('RAW_유기농_7월'!$H:$H,'RAW_유기농_7월'!$A:$A,E$183))</f>
        <v>10413500</v>
      </c>
      <c r="F185" s="7">
        <f>IF(COUNTA('RAW_유기농_7월'!$A:$A)&lt;=1,"",SUMIFS('RAW_유기농_7월'!$H:$H,'RAW_유기농_7월'!$A:$A,F$183))</f>
        <v>9620431</v>
      </c>
    </row>
    <row r="186" ht="15.75" customHeight="1">
      <c r="B186" s="30" t="s">
        <v>175</v>
      </c>
      <c r="D186" s="3">
        <f t="shared" si="44"/>
        <v>24307638</v>
      </c>
      <c r="E186" s="7">
        <f>IF(COUNTA('RAW_유기농_8월'!$A:$A)&lt;=1,"",SUMIFS('RAW_유기농_8월'!$H:$H,'RAW_유기농_8월'!$A:$A,E$183)-SUMIFS('RAW_유기농_7월'!$H:$H,'RAW_유기농_7월'!$A:$A,E$183))</f>
        <v>13894790</v>
      </c>
      <c r="F186" s="7">
        <f>IF(COUNTA('RAW_유기농_8월'!$A:$A)&lt;=1,"",SUMIFS('RAW_유기농_8월'!$H:$H,'RAW_유기농_8월'!$A:$A,F$183)-SUMIFS('RAW_유기농_7월'!$H:$H,'RAW_유기농_7월'!$A:$A,F$183))</f>
        <v>10412848</v>
      </c>
    </row>
    <row r="187" ht="15.75" customHeight="1">
      <c r="B187" s="30" t="s">
        <v>180</v>
      </c>
      <c r="D187" s="3" t="str">
        <f t="shared" si="44"/>
        <v/>
      </c>
      <c r="E187" s="7" t="str">
        <f>IF(COUNTA('RAW_유기농_9월'!$A:$A)&lt;=1,"",SUMIFS('RAW_유기농_9월'!$H:$H,'RAW_유기농_9월'!$A:$A,E$183)-SUMIFS('RAW_유기농_8월'!$H:$H,'RAW_유기농_8월'!$A:$A,E$183))</f>
        <v/>
      </c>
      <c r="F187" s="7" t="str">
        <f>IF(COUNTA('RAW_유기농_9월'!$A:$A)&lt;=1,"",SUMIFS('RAW_유기농_9월'!$H:$H,'RAW_유기농_9월'!$A:$A,F$183)-SUMIFS('RAW_유기농_8월'!$H:$H,'RAW_유기농_8월'!$A:$A,F$183))</f>
        <v/>
      </c>
    </row>
    <row r="188" ht="15.75" customHeight="1">
      <c r="B188" s="30" t="s">
        <v>181</v>
      </c>
      <c r="D188" s="3" t="str">
        <f t="shared" si="44"/>
        <v/>
      </c>
      <c r="E188" s="7" t="str">
        <f>IF(COUNTA('RAW_유기농_10월'!$A:$A)&lt;=1,"",SUMIFS('RAW_유기농_10월'!$H:$H,'RAW_유기농_10월'!$A:$A,E$183)-SUMIFS('RAW_유기농_9월'!$H:$H,'RAW_유기농_9월'!$A:$A,E$183))</f>
        <v/>
      </c>
      <c r="F188" s="7" t="str">
        <f>IF(COUNTA('RAW_유기농_10월'!$A:$A)&lt;=1,"",SUMIFS('RAW_유기농_10월'!$H:$H,'RAW_유기농_10월'!$A:$A,F$183)-SUMIFS('RAW_유기농_9월'!$H:$H,'RAW_유기농_9월'!$A:$A,F$183))</f>
        <v/>
      </c>
    </row>
    <row r="189" ht="15.75" customHeight="1">
      <c r="B189" s="30" t="s">
        <v>182</v>
      </c>
      <c r="D189" s="3" t="str">
        <f t="shared" si="44"/>
        <v/>
      </c>
      <c r="E189" s="7" t="str">
        <f>IF(COUNTA('RAW_유기농_11-12월'!$A:$A)&lt;=1,"",SUMIFS('RAW_유기농_11-12월'!$H:$H,'RAW_유기농_11-12월'!$A:$A,E$183)-SUMIFS('RAW_유기농_10월'!$H:$H,'RAW_유기농_10월'!$A:$A,E$183))</f>
        <v/>
      </c>
      <c r="F189" s="7" t="str">
        <f>IF(COUNTA('RAW_유기농_11-12월'!$A:$A)&lt;=1,"",SUMIFS('RAW_유기농_11-12월'!$H:$H,'RAW_유기농_11-12월'!$A:$A,F$183)-SUMIFS('RAW_유기농_10월'!$H:$H,'RAW_유기농_10월'!$A:$A,F$183))</f>
        <v/>
      </c>
    </row>
    <row r="190" ht="15.75" customHeight="1">
      <c r="B190" s="28" t="s">
        <v>916</v>
      </c>
      <c r="D190" s="3">
        <f t="shared" si="44"/>
        <v>100000000</v>
      </c>
      <c r="E190" s="37">
        <v>5.0E7</v>
      </c>
      <c r="F190" s="37">
        <v>5.0E7</v>
      </c>
    </row>
    <row r="191" ht="15.75" customHeight="1">
      <c r="B191" s="28" t="s">
        <v>924</v>
      </c>
      <c r="D191" s="3">
        <f t="shared" si="44"/>
        <v>55658431</v>
      </c>
      <c r="E191" s="7">
        <f t="shared" ref="E191:F191" si="45">IF(E184="",E190,E190-E184)</f>
        <v>25691710</v>
      </c>
      <c r="F191" s="7">
        <f t="shared" si="45"/>
        <v>29966721</v>
      </c>
    </row>
    <row r="192" ht="15.75" customHeight="1"/>
    <row r="193" ht="15.75" customHeight="1">
      <c r="B193" s="21" t="s">
        <v>936</v>
      </c>
    </row>
    <row r="194" ht="15.75" customHeight="1">
      <c r="B194" s="4" t="s">
        <v>5</v>
      </c>
      <c r="C194" s="4"/>
      <c r="D194" s="4" t="s">
        <v>76</v>
      </c>
      <c r="E194" s="4" t="s">
        <v>92</v>
      </c>
      <c r="F194" s="4" t="s">
        <v>31</v>
      </c>
    </row>
    <row r="195" ht="15.75" customHeight="1">
      <c r="B195" s="2" t="s">
        <v>76</v>
      </c>
      <c r="D195" s="3">
        <f t="shared" ref="D195:D200" si="47">IF(COUNT(E195:F195)=0,"",SUM(E195:F195))</f>
        <v>1453132570</v>
      </c>
      <c r="E195" s="3">
        <f t="shared" ref="E195:F195" si="46">IF(COUNT(E196:E200)=0,"",SUM(E196:E200))</f>
        <v>271526720</v>
      </c>
      <c r="F195" s="3">
        <f t="shared" si="46"/>
        <v>1181605850</v>
      </c>
    </row>
    <row r="196" ht="15.75" customHeight="1">
      <c r="B196" s="30" t="s">
        <v>173</v>
      </c>
      <c r="D196" s="3">
        <f t="shared" si="47"/>
        <v>646574890</v>
      </c>
      <c r="E196" s="7">
        <f>IF(COUNTA('RAW_유기농_7월'!$A:$A)&lt;=1,"",SUMIFS('RAW_유기농_7월'!$G:$G,'RAW_유기농_7월'!$A:$A,E$194))</f>
        <v>108372830</v>
      </c>
      <c r="F196" s="7">
        <f>IF(COUNTA('RAW_유기농_7월'!$A:$A)&lt;=1,"",SUMIFS('RAW_유기농_7월'!$G:$G,'RAW_유기농_7월'!$A:$A,F$194))</f>
        <v>538202060</v>
      </c>
    </row>
    <row r="197" ht="15.75" customHeight="1">
      <c r="B197" s="30" t="s">
        <v>175</v>
      </c>
      <c r="D197" s="3">
        <f t="shared" si="47"/>
        <v>806557680</v>
      </c>
      <c r="E197" s="7">
        <f>IF(COUNTA('RAW_유기농_8월'!$A:$A)&lt;=1,"",SUMIFS('RAW_유기농_8월'!$G:$G,'RAW_유기농_8월'!$A:$A,E$194)-SUMIFS('RAW_유기농_7월'!$G:$G,'RAW_유기농_7월'!$A:$A,E$194))</f>
        <v>163153890</v>
      </c>
      <c r="F197" s="7">
        <f>IF(COUNTA('RAW_유기농_8월'!$A:$A)&lt;=1,"",SUMIFS('RAW_유기농_8월'!$G:$G,'RAW_유기농_8월'!$A:$A,F$194)-SUMIFS('RAW_유기농_7월'!$G:$G,'RAW_유기농_7월'!$A:$A,F$194))</f>
        <v>643403790</v>
      </c>
    </row>
    <row r="198" ht="15.75" customHeight="1">
      <c r="B198" s="30" t="s">
        <v>180</v>
      </c>
      <c r="D198" s="3" t="str">
        <f t="shared" si="47"/>
        <v/>
      </c>
      <c r="E198" s="7" t="str">
        <f>IF(COUNTA('RAW_유기농_9월'!$A:$A)&lt;=1,"",SUMIFS('RAW_유기농_9월'!$G:$G,'RAW_유기농_9월'!$A:$A,E$194)-SUMIFS('RAW_유기농_8월'!$G:$G,'RAW_유기농_8월'!$A:$A,E$194))</f>
        <v/>
      </c>
      <c r="F198" s="7" t="str">
        <f>IF(COUNTA('RAW_유기농_9월'!$A:$A)&lt;=1,"",SUMIFS('RAW_유기농_9월'!$G:$G,'RAW_유기농_9월'!$A:$A,F$194)-SUMIFS('RAW_유기농_8월'!$G:$G,'RAW_유기농_8월'!$A:$A,F$194))</f>
        <v/>
      </c>
    </row>
    <row r="199" ht="15.75" customHeight="1">
      <c r="B199" s="30" t="s">
        <v>181</v>
      </c>
      <c r="D199" s="3" t="str">
        <f t="shared" si="47"/>
        <v/>
      </c>
      <c r="E199" s="7" t="str">
        <f>IF(COUNTA('RAW_유기농_10월'!$A:$A)&lt;=1,"",SUMIFS('RAW_유기농_10월'!$G:$G,'RAW_유기농_10월'!$A:$A,E$194)-SUMIFS('RAW_유기농_9월'!$G:$G,'RAW_유기농_9월'!$A:$A,E$194))</f>
        <v/>
      </c>
      <c r="F199" s="7" t="str">
        <f>IF(COUNTA('RAW_유기농_10월'!$A:$A)&lt;=1,"",SUMIFS('RAW_유기농_10월'!$G:$G,'RAW_유기농_10월'!$A:$A,F$194)-SUMIFS('RAW_유기농_9월'!$G:$G,'RAW_유기농_9월'!$A:$A,F$194))</f>
        <v/>
      </c>
    </row>
    <row r="200" ht="15.75" customHeight="1">
      <c r="B200" s="30" t="s">
        <v>182</v>
      </c>
      <c r="D200" s="3" t="str">
        <f t="shared" si="47"/>
        <v/>
      </c>
      <c r="E200" s="7" t="str">
        <f>IF(COUNTA('RAW_유기농_11-12월'!$A:$A)&lt;=1,"",SUMIFS('RAW_유기농_11-12월'!$G:$G,'RAW_유기농_11-12월'!$A:$A,E$194)-SUMIFS('RAW_유기농_10월'!$G:$G,'RAW_유기농_10월'!$A:$A,E$194))</f>
        <v/>
      </c>
      <c r="F200" s="7" t="str">
        <f>IF(COUNTA('RAW_유기농_11-12월'!$A:$A)&lt;=1,"",SUMIFS('RAW_유기농_11-12월'!$G:$G,'RAW_유기농_11-12월'!$A:$A,F$194)-SUMIFS('RAW_유기농_10월'!$G:$G,'RAW_유기농_10월'!$A:$A,F$194))</f>
        <v/>
      </c>
    </row>
    <row r="201" ht="15.75" customHeight="1"/>
    <row r="202" ht="15.75" customHeight="1">
      <c r="B202" s="21" t="s">
        <v>1117</v>
      </c>
    </row>
    <row r="203" ht="15.75" customHeight="1">
      <c r="B203" s="4" t="s">
        <v>5</v>
      </c>
      <c r="C203" s="4"/>
      <c r="D203" s="4" t="s">
        <v>76</v>
      </c>
      <c r="E203" s="4" t="s">
        <v>92</v>
      </c>
      <c r="F203" s="4" t="s">
        <v>31</v>
      </c>
    </row>
    <row r="204" ht="15.75" customHeight="1">
      <c r="B204" s="2" t="s">
        <v>76</v>
      </c>
      <c r="D204" s="3">
        <f t="shared" ref="D204:D209" si="49">IF(COUNT(E204:F204)=0,"",SUM(E204:F204))</f>
        <v>280907</v>
      </c>
      <c r="E204" s="3">
        <f t="shared" ref="E204:F204" si="48">IF(COUNT(E205:E209)=0,"",SUM(E205:E209))</f>
        <v>10898</v>
      </c>
      <c r="F204" s="3">
        <f t="shared" si="48"/>
        <v>270009</v>
      </c>
    </row>
    <row r="205" ht="15.75" customHeight="1">
      <c r="B205" s="30" t="s">
        <v>173</v>
      </c>
      <c r="D205" s="3">
        <f t="shared" si="49"/>
        <v>127651</v>
      </c>
      <c r="E205" s="7">
        <f>IF(COUNTA('RAW_유기농_7월'!$A:$A)&lt;=1,"",SUMIFS('RAW_유기농_7월'!$F:$F,'RAW_유기농_7월'!$A:$A,E$203))</f>
        <v>4478</v>
      </c>
      <c r="F205" s="7">
        <f>IF(COUNTA('RAW_유기농_7월'!$A:$A)&lt;=1,"",SUMIFS('RAW_유기농_7월'!$F:$F,'RAW_유기농_7월'!$A:$A,F$203))</f>
        <v>123173</v>
      </c>
    </row>
    <row r="206" ht="15.75" customHeight="1">
      <c r="B206" s="30" t="s">
        <v>175</v>
      </c>
      <c r="D206" s="3">
        <f t="shared" si="49"/>
        <v>153256</v>
      </c>
      <c r="E206" s="7">
        <f>IF(COUNTA('RAW_유기농_8월'!$A:$A)&lt;=1,"",SUMIFS('RAW_유기농_8월'!$F:$F,'RAW_유기농_8월'!$A:$A,E$203)-SUMIFS('RAW_유기농_7월'!$F:$F,'RAW_유기농_7월'!$A:$A,E$203))</f>
        <v>6420</v>
      </c>
      <c r="F206" s="7">
        <f>IF(COUNTA('RAW_유기농_8월'!$A:$A)&lt;=1,"",SUMIFS('RAW_유기농_8월'!$F:$F,'RAW_유기농_8월'!$A:$A,F$203)-SUMIFS('RAW_유기농_7월'!$F:$F,'RAW_유기농_7월'!$A:$A,F$203))</f>
        <v>146836</v>
      </c>
    </row>
    <row r="207" ht="15.75" customHeight="1">
      <c r="B207" s="30" t="s">
        <v>180</v>
      </c>
      <c r="D207" s="3" t="str">
        <f t="shared" si="49"/>
        <v/>
      </c>
      <c r="E207" s="7" t="str">
        <f>IF(COUNTA('RAW_유기농_9월'!$A:$A)&lt;=1,"",SUMIFS('RAW_유기농_9월'!$F:$F,'RAW_유기농_9월'!$A:$A,E$203)-SUMIFS('RAW_유기농_8월'!$F:$F,'RAW_유기농_8월'!$A:$A,E$203))</f>
        <v/>
      </c>
      <c r="F207" s="7" t="str">
        <f>IF(COUNTA('RAW_유기농_9월'!$A:$A)&lt;=1,"",SUMIFS('RAW_유기농_9월'!$F:$F,'RAW_유기농_9월'!$A:$A,F$203)-SUMIFS('RAW_유기농_8월'!$F:$F,'RAW_유기농_8월'!$A:$A,F$203))</f>
        <v/>
      </c>
    </row>
    <row r="208" ht="15.75" customHeight="1">
      <c r="B208" s="30" t="s">
        <v>181</v>
      </c>
      <c r="D208" s="3" t="str">
        <f t="shared" si="49"/>
        <v/>
      </c>
      <c r="E208" s="7" t="str">
        <f>IF(COUNTA('RAW_유기농_10월'!$A:$A)&lt;=1,"",SUMIFS('RAW_유기농_10월'!$F:$F,'RAW_유기농_10월'!$A:$A,E$203)-SUMIFS('RAW_유기농_9월'!$F:$F,'RAW_유기농_9월'!$A:$A,E$203))</f>
        <v/>
      </c>
      <c r="F208" s="7" t="str">
        <f>IF(COUNTA('RAW_유기농_10월'!$A:$A)&lt;=1,"",SUMIFS('RAW_유기농_10월'!$F:$F,'RAW_유기농_10월'!$A:$A,F$203)-SUMIFS('RAW_유기농_9월'!$F:$F,'RAW_유기농_9월'!$A:$A,F$203))</f>
        <v/>
      </c>
    </row>
    <row r="209" ht="15.75" customHeight="1">
      <c r="B209" s="30" t="s">
        <v>182</v>
      </c>
      <c r="D209" s="3" t="str">
        <f t="shared" si="49"/>
        <v/>
      </c>
      <c r="E209" s="7" t="str">
        <f>IF(COUNTA('RAW_유기농_11-12월'!$A:$A)&lt;=1,"",SUMIFS('RAW_유기농_11-12월'!$F:$F,'RAW_유기농_11-12월'!$A:$A,E$203)-SUMIFS('RAW_유기농_10월'!$F:$F,'RAW_유기농_10월'!$A:$A,E$203))</f>
        <v/>
      </c>
      <c r="F209" s="7" t="str">
        <f>IF(COUNTA('RAW_유기농_11-12월'!$A:$A)&lt;=1,"",SUMIFS('RAW_유기농_11-12월'!$F:$F,'RAW_유기농_11-12월'!$A:$A,F$203)-SUMIFS('RAW_유기농_10월'!$F:$F,'RAW_유기농_10월'!$A:$A,F$203))</f>
        <v/>
      </c>
    </row>
    <row r="210" ht="15.75" customHeight="1"/>
    <row r="211" ht="15.75" customHeight="1">
      <c r="B211" s="21" t="s">
        <v>1304</v>
      </c>
    </row>
    <row r="212" ht="15.75" customHeight="1">
      <c r="B212" s="4" t="s">
        <v>1306</v>
      </c>
      <c r="C212" s="4" t="s">
        <v>5</v>
      </c>
      <c r="D212" s="4" t="s">
        <v>76</v>
      </c>
      <c r="E212" s="4" t="s">
        <v>92</v>
      </c>
      <c r="F212" s="4" t="s">
        <v>31</v>
      </c>
    </row>
    <row r="213" ht="15.75" customHeight="1">
      <c r="B213" s="2" t="s">
        <v>76</v>
      </c>
      <c r="C213" s="2"/>
      <c r="D213" s="3">
        <f t="shared" ref="D213:D231" si="51">IF(COUNT(E213:F213)=0,"",SUM(E213:F213))</f>
        <v>44341569</v>
      </c>
      <c r="E213" s="3">
        <f t="shared" ref="E213:F213" si="50">IF(COUNT(E214,E220,E226)=0,"",SUM(E214,E220,E226))</f>
        <v>24308290</v>
      </c>
      <c r="F213" s="3">
        <f t="shared" si="50"/>
        <v>20033279</v>
      </c>
    </row>
    <row r="214" ht="15.75" customHeight="1">
      <c r="B214" s="45" t="s">
        <v>117</v>
      </c>
      <c r="C214" s="28" t="s">
        <v>91</v>
      </c>
      <c r="D214" s="3">
        <f t="shared" si="51"/>
        <v>31398884</v>
      </c>
      <c r="E214" s="3">
        <f t="shared" ref="E214:F214" si="52">IF(COUNT(E215:E219)=0,"",SUM(E215:E219))</f>
        <v>21139260</v>
      </c>
      <c r="F214" s="3">
        <f t="shared" si="52"/>
        <v>10259624</v>
      </c>
    </row>
    <row r="215" ht="15.75" customHeight="1">
      <c r="B215" s="50"/>
      <c r="C215" s="30" t="s">
        <v>173</v>
      </c>
      <c r="D215" s="3">
        <f t="shared" si="51"/>
        <v>13397163</v>
      </c>
      <c r="E215" s="7">
        <f>IF(COUNTA('RAW_유기농_7월'!$A:$A)&lt;=1,"",SUMIFS('RAW_유기농_7월'!$H:$H,'RAW_유기농_7월'!$A:$A,E$212,'RAW_유기농_7월'!$B:$B,$B214))</f>
        <v>8607050</v>
      </c>
      <c r="F215" s="7">
        <f>IF(COUNTA('RAW_유기농_7월'!$A:$A)&lt;=1,"",SUMIFS('RAW_유기농_7월'!$H:$H,'RAW_유기농_7월'!$A:$A,F$212,'RAW_유기농_7월'!$B:$B,$B214))</f>
        <v>4790113</v>
      </c>
    </row>
    <row r="216" ht="15.75" customHeight="1">
      <c r="B216" s="50"/>
      <c r="C216" s="30" t="s">
        <v>175</v>
      </c>
      <c r="D216" s="3">
        <f t="shared" si="51"/>
        <v>18001721</v>
      </c>
      <c r="E216" s="7">
        <f>IF(COUNTA('RAW_유기농_8월'!$A:$A)&lt;=1,"",SUMIFS('RAW_유기농_8월'!$H:$H,'RAW_유기농_8월'!$A:$A,E$212,'RAW_유기농_8월'!$B:$B,$B214)-SUMIFS('RAW_유기농_7월'!$H:$H,'RAW_유기농_7월'!$A:$A,E$212,'RAW_유기농_7월'!$B:$B,$B214))</f>
        <v>12532210</v>
      </c>
      <c r="F216" s="7">
        <f>IF(COUNTA('RAW_유기농_8월'!$A:$A)&lt;=1,"",SUMIFS('RAW_유기농_8월'!$H:$H,'RAW_유기농_8월'!$A:$A,F$212,'RAW_유기농_8월'!$B:$B,$B214)-SUMIFS('RAW_유기농_7월'!$H:$H,'RAW_유기농_7월'!$A:$A,F$212,'RAW_유기농_7월'!$B:$B,$B214))</f>
        <v>5469511</v>
      </c>
    </row>
    <row r="217" ht="15.75" customHeight="1">
      <c r="B217" s="50"/>
      <c r="C217" s="30" t="s">
        <v>180</v>
      </c>
      <c r="D217" s="3" t="str">
        <f t="shared" si="51"/>
        <v/>
      </c>
      <c r="E217" s="7" t="str">
        <f>IF(COUNTA('RAW_유기농_9월'!$A:$A)&lt;=1,"",SUMIFS('RAW_유기농_9월'!$H:$H,'RAW_유기농_9월'!$A:$A,E$212,'RAW_유기농_9월'!$B:$B,$B214)-SUMIFS('RAW_유기농_8월'!$H:$H,'RAW_유기농_8월'!$A:$A,E$212,'RAW_유기농_8월'!$B:$B,$B214))</f>
        <v/>
      </c>
      <c r="F217" s="7" t="str">
        <f>IF(COUNTA('RAW_유기농_9월'!$A:$A)&lt;=1,"",SUMIFS('RAW_유기농_9월'!$H:$H,'RAW_유기농_9월'!$A:$A,F$212,'RAW_유기농_9월'!$B:$B,$B214)-SUMIFS('RAW_유기농_8월'!$H:$H,'RAW_유기농_8월'!$A:$A,F$212,'RAW_유기농_8월'!$B:$B,$B214))</f>
        <v/>
      </c>
    </row>
    <row r="218" ht="15.75" customHeight="1">
      <c r="B218" s="50"/>
      <c r="C218" s="30" t="s">
        <v>181</v>
      </c>
      <c r="D218" s="3" t="str">
        <f t="shared" si="51"/>
        <v/>
      </c>
      <c r="E218" s="7" t="str">
        <f>IF(COUNTA('RAW_유기농_10월'!$A:$A)&lt;=1,"",SUMIFS('RAW_유기농_10월'!$H:$H,'RAW_유기농_10월'!$A:$A,E$212,'RAW_유기농_10월'!$B:$B,$B214)-SUMIFS('RAW_유기농_9월'!$H:$H,'RAW_유기농_9월'!$A:$A,E$212,'RAW_유기농_9월'!$B:$B,$B214))</f>
        <v/>
      </c>
      <c r="F218" s="7" t="str">
        <f>IF(COUNTA('RAW_유기농_10월'!$A:$A)&lt;=1,"",SUMIFS('RAW_유기농_10월'!$H:$H,'RAW_유기농_10월'!$A:$A,F$212,'RAW_유기농_10월'!$B:$B,$B214)-SUMIFS('RAW_유기농_9월'!$H:$H,'RAW_유기농_9월'!$A:$A,F$212,'RAW_유기농_9월'!$B:$B,$B214))</f>
        <v/>
      </c>
    </row>
    <row r="219" ht="15.75" customHeight="1">
      <c r="B219" s="27"/>
      <c r="C219" s="30" t="s">
        <v>182</v>
      </c>
      <c r="D219" s="3" t="str">
        <f t="shared" si="51"/>
        <v/>
      </c>
      <c r="E219" s="7" t="str">
        <f>IF(COUNTA('RAW_유기농_11-12월'!$A:$A)&lt;=1,"",SUMIFS('RAW_유기농_11-12월'!$H:$H,'RAW_유기농_11-12월'!$A:$A,E$212,'RAW_유기농_11-12월'!$B:$B,$B214)-SUMIFS('RAW_유기농_10월'!$H:$H,'RAW_유기농_10월'!$A:$A,E$212,'RAW_유기농_10월'!$B:$B,$B214))</f>
        <v/>
      </c>
      <c r="F219" s="7" t="str">
        <f>IF(COUNTA('RAW_유기농_11-12월'!$A:$A)&lt;=1,"",SUMIFS('RAW_유기농_11-12월'!$H:$H,'RAW_유기농_11-12월'!$A:$A,F$212,'RAW_유기농_11-12월'!$B:$B,$B214)-SUMIFS('RAW_유기농_10월'!$H:$H,'RAW_유기농_10월'!$A:$A,F$212,'RAW_유기농_10월'!$B:$B,$B214))</f>
        <v/>
      </c>
    </row>
    <row r="220" ht="15.75" customHeight="1">
      <c r="B220" s="45" t="s">
        <v>174</v>
      </c>
      <c r="C220" s="28" t="s">
        <v>91</v>
      </c>
      <c r="D220" s="3">
        <f t="shared" si="51"/>
        <v>476121</v>
      </c>
      <c r="E220" s="3">
        <f t="shared" ref="E220:F220" si="53">IF(COUNT(E221:E225)=0,"",SUM(E221:E225))</f>
        <v>25800</v>
      </c>
      <c r="F220" s="3">
        <f t="shared" si="53"/>
        <v>450321</v>
      </c>
    </row>
    <row r="221" ht="15.75" customHeight="1">
      <c r="B221" s="50"/>
      <c r="C221" s="30" t="s">
        <v>173</v>
      </c>
      <c r="D221" s="3">
        <f t="shared" si="51"/>
        <v>276920</v>
      </c>
      <c r="E221" s="7">
        <f>IF(COUNTA('RAW_유기농_7월'!$A:$A)&lt;=1,"",SUMIFS('RAW_유기농_7월'!$H:$H,'RAW_유기농_7월'!$A:$A,E$212,'RAW_유기농_7월'!$B:$B,$B220))</f>
        <v>25800</v>
      </c>
      <c r="F221" s="7">
        <f>IF(COUNTA('RAW_유기농_7월'!$A:$A)&lt;=1,"",SUMIFS('RAW_유기농_7월'!$H:$H,'RAW_유기농_7월'!$A:$A,F$212,'RAW_유기농_7월'!$B:$B,$B220))</f>
        <v>251120</v>
      </c>
    </row>
    <row r="222" ht="15.75" customHeight="1">
      <c r="B222" s="50"/>
      <c r="C222" s="30" t="s">
        <v>175</v>
      </c>
      <c r="D222" s="3">
        <f t="shared" si="51"/>
        <v>199201</v>
      </c>
      <c r="E222" s="7">
        <f>IF(COUNTA('RAW_유기농_8월'!$A:$A)&lt;=1,"",SUMIFS('RAW_유기농_8월'!$H:$H,'RAW_유기농_8월'!$A:$A,E$212,'RAW_유기농_8월'!$B:$B,$B220)-SUMIFS('RAW_유기농_7월'!$H:$H,'RAW_유기농_7월'!$A:$A,E$212,'RAW_유기농_7월'!$B:$B,$B220))</f>
        <v>0</v>
      </c>
      <c r="F222" s="7">
        <f>IF(COUNTA('RAW_유기농_8월'!$A:$A)&lt;=1,"",SUMIFS('RAW_유기농_8월'!$H:$H,'RAW_유기농_8월'!$A:$A,F$212,'RAW_유기농_8월'!$B:$B,$B220)-SUMIFS('RAW_유기농_7월'!$H:$H,'RAW_유기농_7월'!$A:$A,F$212,'RAW_유기농_7월'!$B:$B,$B220))</f>
        <v>199201</v>
      </c>
    </row>
    <row r="223" ht="15.75" customHeight="1">
      <c r="B223" s="50"/>
      <c r="C223" s="30" t="s">
        <v>180</v>
      </c>
      <c r="D223" s="3" t="str">
        <f t="shared" si="51"/>
        <v/>
      </c>
      <c r="E223" s="7" t="str">
        <f>IF(COUNTA('RAW_유기농_9월'!$A:$A)&lt;=1,"",SUMIFS('RAW_유기농_9월'!$H:$H,'RAW_유기농_9월'!$A:$A,E$212,'RAW_유기농_9월'!$B:$B,$B220)-SUMIFS('RAW_유기농_8월'!$H:$H,'RAW_유기농_8월'!$A:$A,E$212,'RAW_유기농_8월'!$B:$B,$B220))</f>
        <v/>
      </c>
      <c r="F223" s="7" t="str">
        <f>IF(COUNTA('RAW_유기농_9월'!$A:$A)&lt;=1,"",SUMIFS('RAW_유기농_9월'!$H:$H,'RAW_유기농_9월'!$A:$A,F$212,'RAW_유기농_9월'!$B:$B,$B220)-SUMIFS('RAW_유기농_8월'!$H:$H,'RAW_유기농_8월'!$A:$A,F$212,'RAW_유기농_8월'!$B:$B,$B220))</f>
        <v/>
      </c>
    </row>
    <row r="224" ht="15.75" customHeight="1">
      <c r="B224" s="50"/>
      <c r="C224" s="30" t="s">
        <v>181</v>
      </c>
      <c r="D224" s="3" t="str">
        <f t="shared" si="51"/>
        <v/>
      </c>
      <c r="E224" s="7" t="str">
        <f>IF(COUNTA('RAW_유기농_10월'!$A:$A)&lt;=1,"",SUMIFS('RAW_유기농_10월'!$H:$H,'RAW_유기농_10월'!$A:$A,E$212,'RAW_유기농_10월'!$B:$B,$B220)-SUMIFS('RAW_유기농_9월'!$H:$H,'RAW_유기농_9월'!$A:$A,E$212,'RAW_유기농_9월'!$B:$B,$B220))</f>
        <v/>
      </c>
      <c r="F224" s="7" t="str">
        <f>IF(COUNTA('RAW_유기농_10월'!$A:$A)&lt;=1,"",SUMIFS('RAW_유기농_10월'!$H:$H,'RAW_유기농_10월'!$A:$A,F$212,'RAW_유기농_10월'!$B:$B,$B220)-SUMIFS('RAW_유기농_9월'!$H:$H,'RAW_유기농_9월'!$A:$A,F$212,'RAW_유기농_9월'!$B:$B,$B220))</f>
        <v/>
      </c>
    </row>
    <row r="225" ht="15.75" customHeight="1">
      <c r="B225" s="27"/>
      <c r="C225" s="30" t="s">
        <v>182</v>
      </c>
      <c r="D225" s="3" t="str">
        <f t="shared" si="51"/>
        <v/>
      </c>
      <c r="E225" s="7" t="str">
        <f>IF(COUNTA('RAW_유기농_11-12월'!$A:$A)&lt;=1,"",SUMIFS('RAW_유기농_11-12월'!$H:$H,'RAW_유기농_11-12월'!$A:$A,E$212,'RAW_유기농_11-12월'!$B:$B,$B220)-SUMIFS('RAW_유기농_10월'!$H:$H,'RAW_유기농_10월'!$A:$A,E$212,'RAW_유기농_10월'!$B:$B,$B220))</f>
        <v/>
      </c>
      <c r="F225" s="7" t="str">
        <f>IF(COUNTA('RAW_유기농_11-12월'!$A:$A)&lt;=1,"",SUMIFS('RAW_유기농_11-12월'!$H:$H,'RAW_유기농_11-12월'!$A:$A,F$212,'RAW_유기농_11-12월'!$B:$B,$B220)-SUMIFS('RAW_유기농_10월'!$H:$H,'RAW_유기농_10월'!$A:$A,F$212,'RAW_유기농_10월'!$B:$B,$B220))</f>
        <v/>
      </c>
    </row>
    <row r="226" ht="15.75" customHeight="1">
      <c r="B226" s="45" t="s">
        <v>186</v>
      </c>
      <c r="C226" s="28" t="s">
        <v>91</v>
      </c>
      <c r="D226" s="3">
        <f t="shared" si="51"/>
        <v>12466564</v>
      </c>
      <c r="E226" s="3">
        <f t="shared" ref="E226:F226" si="54">IF(COUNT(E227:E231)=0,"",SUM(E227:E231))</f>
        <v>3143230</v>
      </c>
      <c r="F226" s="3">
        <f t="shared" si="54"/>
        <v>9323334</v>
      </c>
    </row>
    <row r="227" ht="15.75" customHeight="1">
      <c r="B227" s="50"/>
      <c r="C227" s="30" t="s">
        <v>173</v>
      </c>
      <c r="D227" s="3">
        <f t="shared" si="51"/>
        <v>6359848</v>
      </c>
      <c r="E227" s="7">
        <f>IF(COUNTA('RAW_유기농_7월'!$A:$A)&lt;=1,"",SUMIFS('RAW_유기농_7월'!$H:$H,'RAW_유기농_7월'!$A:$A,E$212,'RAW_유기농_7월'!$B:$B,$B226))</f>
        <v>1780650</v>
      </c>
      <c r="F227" s="7">
        <f>IF(COUNTA('RAW_유기농_7월'!$A:$A)&lt;=1,"",SUMIFS('RAW_유기농_7월'!$H:$H,'RAW_유기농_7월'!$A:$A,F$212,'RAW_유기농_7월'!$B:$B,$B226))</f>
        <v>4579198</v>
      </c>
    </row>
    <row r="228" ht="15.75" customHeight="1">
      <c r="B228" s="50"/>
      <c r="C228" s="30" t="s">
        <v>175</v>
      </c>
      <c r="D228" s="3">
        <f t="shared" si="51"/>
        <v>6106716</v>
      </c>
      <c r="E228" s="7">
        <f>IF(COUNTA('RAW_유기농_8월'!$A:$A)&lt;=1,"",SUMIFS('RAW_유기농_8월'!$H:$H,'RAW_유기농_8월'!$A:$A,E$212,'RAW_유기농_8월'!$B:$B,$B226)-SUMIFS('RAW_유기농_7월'!$H:$H,'RAW_유기농_7월'!$A:$A,E$212,'RAW_유기농_7월'!$B:$B,$B226))</f>
        <v>1362580</v>
      </c>
      <c r="F228" s="7">
        <f>IF(COUNTA('RAW_유기농_8월'!$A:$A)&lt;=1,"",SUMIFS('RAW_유기농_8월'!$H:$H,'RAW_유기농_8월'!$A:$A,F$212,'RAW_유기농_8월'!$B:$B,$B226)-SUMIFS('RAW_유기농_7월'!$H:$H,'RAW_유기농_7월'!$A:$A,F$212,'RAW_유기농_7월'!$B:$B,$B226))</f>
        <v>4744136</v>
      </c>
    </row>
    <row r="229" ht="15.75" customHeight="1">
      <c r="B229" s="50"/>
      <c r="C229" s="30" t="s">
        <v>180</v>
      </c>
      <c r="D229" s="3" t="str">
        <f t="shared" si="51"/>
        <v/>
      </c>
      <c r="E229" s="7" t="str">
        <f>IF(COUNTA('RAW_유기농_9월'!$A:$A)&lt;=1,"",SUMIFS('RAW_유기농_9월'!$H:$H,'RAW_유기농_9월'!$A:$A,E$212,'RAW_유기농_9월'!$B:$B,$B226)-SUMIFS('RAW_유기농_8월'!$H:$H,'RAW_유기농_8월'!$A:$A,E$212,'RAW_유기농_8월'!$B:$B,$B226))</f>
        <v/>
      </c>
      <c r="F229" s="7" t="str">
        <f>IF(COUNTA('RAW_유기농_9월'!$A:$A)&lt;=1,"",SUMIFS('RAW_유기농_9월'!$H:$H,'RAW_유기농_9월'!$A:$A,F$212,'RAW_유기농_9월'!$B:$B,$B226)-SUMIFS('RAW_유기농_8월'!$H:$H,'RAW_유기농_8월'!$A:$A,F$212,'RAW_유기농_8월'!$B:$B,$B226))</f>
        <v/>
      </c>
    </row>
    <row r="230" ht="15.75" customHeight="1">
      <c r="B230" s="50"/>
      <c r="C230" s="30" t="s">
        <v>181</v>
      </c>
      <c r="D230" s="3" t="str">
        <f t="shared" si="51"/>
        <v/>
      </c>
      <c r="E230" s="7" t="str">
        <f>IF(COUNTA('RAW_유기농_10월'!$A:$A)&lt;=1,"",SUMIFS('RAW_유기농_10월'!$H:$H,'RAW_유기농_10월'!$A:$A,E$212,'RAW_유기농_10월'!$B:$B,$B226)-SUMIFS('RAW_유기농_9월'!$H:$H,'RAW_유기농_9월'!$A:$A,E$212,'RAW_유기농_9월'!$B:$B,$B226))</f>
        <v/>
      </c>
      <c r="F230" s="7" t="str">
        <f>IF(COUNTA('RAW_유기농_10월'!$A:$A)&lt;=1,"",SUMIFS('RAW_유기농_10월'!$H:$H,'RAW_유기농_10월'!$A:$A,F$212,'RAW_유기농_10월'!$B:$B,$B226)-SUMIFS('RAW_유기농_9월'!$H:$H,'RAW_유기농_9월'!$A:$A,F$212,'RAW_유기농_9월'!$B:$B,$B226))</f>
        <v/>
      </c>
    </row>
    <row r="231" ht="15.75" customHeight="1">
      <c r="B231" s="27"/>
      <c r="C231" s="30" t="s">
        <v>182</v>
      </c>
      <c r="D231" s="3" t="str">
        <f t="shared" si="51"/>
        <v/>
      </c>
      <c r="E231" s="7" t="str">
        <f>IF(COUNTA('RAW_유기농_11-12월'!$A:$A)&lt;=1,"",SUMIFS('RAW_유기농_11-12월'!$H:$H,'RAW_유기농_11-12월'!$A:$A,E$212,'RAW_유기농_11-12월'!$B:$B,$B226)-SUMIFS('RAW_유기농_10월'!$H:$H,'RAW_유기농_10월'!$A:$A,E$212,'RAW_유기농_10월'!$B:$B,$B226))</f>
        <v/>
      </c>
      <c r="F231" s="7" t="str">
        <f>IF(COUNTA('RAW_유기농_11-12월'!$A:$A)&lt;=1,"",SUMIFS('RAW_유기농_11-12월'!$H:$H,'RAW_유기농_11-12월'!$A:$A,F$212,'RAW_유기농_11-12월'!$B:$B,$B226)-SUMIFS('RAW_유기농_10월'!$H:$H,'RAW_유기농_10월'!$A:$A,F$212,'RAW_유기농_10월'!$B:$B,$B226))</f>
        <v/>
      </c>
    </row>
    <row r="232" ht="15.75" customHeight="1"/>
    <row r="233" ht="15.75" customHeight="1">
      <c r="B233" s="21" t="s">
        <v>1805</v>
      </c>
    </row>
    <row r="234" ht="15.75" customHeight="1">
      <c r="B234" s="4" t="s">
        <v>1306</v>
      </c>
      <c r="C234" s="4" t="s">
        <v>5</v>
      </c>
      <c r="D234" s="4" t="s">
        <v>76</v>
      </c>
      <c r="E234" s="4" t="s">
        <v>92</v>
      </c>
      <c r="F234" s="4" t="s">
        <v>31</v>
      </c>
    </row>
    <row r="235" ht="15.75" customHeight="1">
      <c r="B235" s="2" t="s">
        <v>76</v>
      </c>
      <c r="C235" s="2"/>
      <c r="D235" s="3">
        <f t="shared" ref="D235:D253" si="56">IF(COUNT(E235:F235)=0,"",SUM(E235:F235))</f>
        <v>1453132570</v>
      </c>
      <c r="E235" s="3">
        <f t="shared" ref="E235:F235" si="55">IF(COUNT(E236,E242,E248)=0,"",SUM(E236,E242,E248))</f>
        <v>271526720</v>
      </c>
      <c r="F235" s="3">
        <f t="shared" si="55"/>
        <v>1181605850</v>
      </c>
    </row>
    <row r="236" ht="15.75" customHeight="1">
      <c r="B236" s="45" t="s">
        <v>117</v>
      </c>
      <c r="C236" s="28" t="s">
        <v>91</v>
      </c>
      <c r="D236" s="3">
        <f t="shared" si="56"/>
        <v>1195568270</v>
      </c>
      <c r="E236" s="3">
        <f t="shared" ref="E236:F236" si="57">IF(COUNT(E237:E241)=0,"",SUM(E237:E241))</f>
        <v>242284460</v>
      </c>
      <c r="F236" s="3">
        <f t="shared" si="57"/>
        <v>953283810</v>
      </c>
    </row>
    <row r="237" ht="15.75" customHeight="1">
      <c r="B237" s="50"/>
      <c r="C237" s="30" t="s">
        <v>173</v>
      </c>
      <c r="D237" s="3">
        <f t="shared" si="56"/>
        <v>527781760</v>
      </c>
      <c r="E237" s="7">
        <f>IF(COUNTA('RAW_유기농_7월'!$A:$A)&lt;=1,"",SUMIFS('RAW_유기농_7월'!$G:$G,'RAW_유기농_7월'!$A:$A,E$234,'RAW_유기농_7월'!$B:$B,$B236))</f>
        <v>92860330</v>
      </c>
      <c r="F237" s="7">
        <f>IF(COUNTA('RAW_유기농_7월'!$A:$A)&lt;=1,"",SUMIFS('RAW_유기농_7월'!$G:$G,'RAW_유기농_7월'!$A:$A,F$234,'RAW_유기농_7월'!$B:$B,$B236))</f>
        <v>434921430</v>
      </c>
    </row>
    <row r="238" ht="15.75" customHeight="1">
      <c r="B238" s="50"/>
      <c r="C238" s="30" t="s">
        <v>175</v>
      </c>
      <c r="D238" s="3">
        <f t="shared" si="56"/>
        <v>667786510</v>
      </c>
      <c r="E238" s="7">
        <f>IF(COUNTA('RAW_유기농_8월'!$A:$A)&lt;=1,"",SUMIFS('RAW_유기농_8월'!$G:$G,'RAW_유기농_8월'!$A:$A,E$234,'RAW_유기농_8월'!$B:$B,$B236)-SUMIFS('RAW_유기농_7월'!$G:$G,'RAW_유기농_7월'!$A:$A,E$234,'RAW_유기농_7월'!$B:$B,$B236))</f>
        <v>149424130</v>
      </c>
      <c r="F238" s="7">
        <f>IF(COUNTA('RAW_유기농_8월'!$A:$A)&lt;=1,"",SUMIFS('RAW_유기농_8월'!$G:$G,'RAW_유기농_8월'!$A:$A,F$234,'RAW_유기농_8월'!$B:$B,$B236)-SUMIFS('RAW_유기농_7월'!$G:$G,'RAW_유기농_7월'!$A:$A,F$234,'RAW_유기농_7월'!$B:$B,$B236))</f>
        <v>518362380</v>
      </c>
    </row>
    <row r="239" ht="15.75" customHeight="1">
      <c r="B239" s="50"/>
      <c r="C239" s="30" t="s">
        <v>180</v>
      </c>
      <c r="D239" s="3" t="str">
        <f t="shared" si="56"/>
        <v/>
      </c>
      <c r="E239" s="7" t="str">
        <f>IF(COUNTA('RAW_유기농_9월'!$A:$A)&lt;=1,"",SUMIFS('RAW_유기농_9월'!$G:$G,'RAW_유기농_9월'!$A:$A,E$234,'RAW_유기농_9월'!$B:$B,$B236)-SUMIFS('RAW_유기농_8월'!$G:$G,'RAW_유기농_8월'!$A:$A,E$234,'RAW_유기농_8월'!$B:$B,$B236))</f>
        <v/>
      </c>
      <c r="F239" s="7" t="str">
        <f>IF(COUNTA('RAW_유기농_9월'!$A:$A)&lt;=1,"",SUMIFS('RAW_유기농_9월'!$G:$G,'RAW_유기농_9월'!$A:$A,F$234,'RAW_유기농_9월'!$B:$B,$B236)-SUMIFS('RAW_유기농_8월'!$G:$G,'RAW_유기농_8월'!$A:$A,F$234,'RAW_유기농_8월'!$B:$B,$B236))</f>
        <v/>
      </c>
    </row>
    <row r="240" ht="15.75" customHeight="1">
      <c r="B240" s="50"/>
      <c r="C240" s="30" t="s">
        <v>181</v>
      </c>
      <c r="D240" s="3" t="str">
        <f t="shared" si="56"/>
        <v/>
      </c>
      <c r="E240" s="7" t="str">
        <f>IF(COUNTA('RAW_유기농_10월'!$A:$A)&lt;=1,"",SUMIFS('RAW_유기농_10월'!$G:$G,'RAW_유기농_10월'!$A:$A,E$234,'RAW_유기농_10월'!$B:$B,$B236)-SUMIFS('RAW_유기농_9월'!$G:$G,'RAW_유기농_9월'!$A:$A,E$234,'RAW_유기농_9월'!$B:$B,$B236))</f>
        <v/>
      </c>
      <c r="F240" s="7" t="str">
        <f>IF(COUNTA('RAW_유기농_10월'!$A:$A)&lt;=1,"",SUMIFS('RAW_유기농_10월'!$G:$G,'RAW_유기농_10월'!$A:$A,F$234,'RAW_유기농_10월'!$B:$B,$B236)-SUMIFS('RAW_유기농_9월'!$G:$G,'RAW_유기농_9월'!$A:$A,F$234,'RAW_유기농_9월'!$B:$B,$B236))</f>
        <v/>
      </c>
    </row>
    <row r="241" ht="15.75" customHeight="1">
      <c r="B241" s="27"/>
      <c r="C241" s="30" t="s">
        <v>182</v>
      </c>
      <c r="D241" s="3" t="str">
        <f t="shared" si="56"/>
        <v/>
      </c>
      <c r="E241" s="7" t="str">
        <f>IF(COUNTA('RAW_유기농_11-12월'!$A:$A)&lt;=1,"",SUMIFS('RAW_유기농_11-12월'!$G:$G,'RAW_유기농_11-12월'!$A:$A,E$234,'RAW_유기농_11-12월'!$B:$B,$B236)-SUMIFS('RAW_유기농_10월'!$G:$G,'RAW_유기농_10월'!$A:$A,E$234,'RAW_유기농_10월'!$B:$B,$B236))</f>
        <v/>
      </c>
      <c r="F241" s="7" t="str">
        <f>IF(COUNTA('RAW_유기농_11-12월'!$A:$A)&lt;=1,"",SUMIFS('RAW_유기농_11-12월'!$G:$G,'RAW_유기농_11-12월'!$A:$A,F$234,'RAW_유기농_11-12월'!$B:$B,$B236)-SUMIFS('RAW_유기농_10월'!$G:$G,'RAW_유기농_10월'!$A:$A,F$234,'RAW_유기농_10월'!$B:$B,$B236))</f>
        <v/>
      </c>
    </row>
    <row r="242" ht="15.75" customHeight="1">
      <c r="B242" s="45" t="s">
        <v>174</v>
      </c>
      <c r="C242" s="28" t="s">
        <v>91</v>
      </c>
      <c r="D242" s="3">
        <f t="shared" si="56"/>
        <v>7883800</v>
      </c>
      <c r="E242" s="3">
        <f t="shared" ref="E242:F242" si="58">IF(COUNT(E243:E247)=0,"",SUM(E243:E247))</f>
        <v>247000</v>
      </c>
      <c r="F242" s="3">
        <f t="shared" si="58"/>
        <v>7636800</v>
      </c>
    </row>
    <row r="243" ht="15.75" customHeight="1">
      <c r="B243" s="50"/>
      <c r="C243" s="30" t="s">
        <v>173</v>
      </c>
      <c r="D243" s="3">
        <f t="shared" si="56"/>
        <v>3580700</v>
      </c>
      <c r="E243" s="7">
        <f>IF(COUNTA('RAW_유기농_7월'!$A:$A)&lt;=1,"",SUMIFS('RAW_유기농_7월'!$G:$G,'RAW_유기농_7월'!$A:$A,E$234,'RAW_유기농_7월'!$B:$B,$B242))</f>
        <v>132000</v>
      </c>
      <c r="F243" s="7">
        <f>IF(COUNTA('RAW_유기농_7월'!$A:$A)&lt;=1,"",SUMIFS('RAW_유기농_7월'!$G:$G,'RAW_유기농_7월'!$A:$A,F$234,'RAW_유기농_7월'!$B:$B,$B242))</f>
        <v>3448700</v>
      </c>
    </row>
    <row r="244" ht="15.75" customHeight="1">
      <c r="B244" s="50"/>
      <c r="C244" s="30" t="s">
        <v>175</v>
      </c>
      <c r="D244" s="3">
        <f t="shared" si="56"/>
        <v>4303100</v>
      </c>
      <c r="E244" s="7">
        <f>IF(COUNTA('RAW_유기농_8월'!$A:$A)&lt;=1,"",SUMIFS('RAW_유기농_8월'!$G:$G,'RAW_유기농_8월'!$A:$A,E$234,'RAW_유기농_8월'!$B:$B,$B242)-SUMIFS('RAW_유기농_7월'!$G:$G,'RAW_유기농_7월'!$A:$A,E$234,'RAW_유기농_7월'!$B:$B,$B242))</f>
        <v>115000</v>
      </c>
      <c r="F244" s="7">
        <f>IF(COUNTA('RAW_유기농_8월'!$A:$A)&lt;=1,"",SUMIFS('RAW_유기농_8월'!$G:$G,'RAW_유기농_8월'!$A:$A,F$234,'RAW_유기농_8월'!$B:$B,$B242)-SUMIFS('RAW_유기농_7월'!$G:$G,'RAW_유기농_7월'!$A:$A,F$234,'RAW_유기농_7월'!$B:$B,$B242))</f>
        <v>4188100</v>
      </c>
    </row>
    <row r="245" ht="15.75" customHeight="1">
      <c r="B245" s="50"/>
      <c r="C245" s="30" t="s">
        <v>180</v>
      </c>
      <c r="D245" s="3" t="str">
        <f t="shared" si="56"/>
        <v/>
      </c>
      <c r="E245" s="7" t="str">
        <f>IF(COUNTA('RAW_유기농_9월'!$A:$A)&lt;=1,"",SUMIFS('RAW_유기농_9월'!$G:$G,'RAW_유기농_9월'!$A:$A,E$234,'RAW_유기농_9월'!$B:$B,$B242)-SUMIFS('RAW_유기농_8월'!$G:$G,'RAW_유기농_8월'!$A:$A,E$234,'RAW_유기농_8월'!$B:$B,$B242))</f>
        <v/>
      </c>
      <c r="F245" s="7" t="str">
        <f>IF(COUNTA('RAW_유기농_9월'!$A:$A)&lt;=1,"",SUMIFS('RAW_유기농_9월'!$G:$G,'RAW_유기농_9월'!$A:$A,F$234,'RAW_유기농_9월'!$B:$B,$B242)-SUMIFS('RAW_유기농_8월'!$G:$G,'RAW_유기농_8월'!$A:$A,F$234,'RAW_유기농_8월'!$B:$B,$B242))</f>
        <v/>
      </c>
    </row>
    <row r="246" ht="15.75" customHeight="1">
      <c r="B246" s="50"/>
      <c r="C246" s="30" t="s">
        <v>181</v>
      </c>
      <c r="D246" s="3" t="str">
        <f t="shared" si="56"/>
        <v/>
      </c>
      <c r="E246" s="7" t="str">
        <f>IF(COUNTA('RAW_유기농_10월'!$A:$A)&lt;=1,"",SUMIFS('RAW_유기농_10월'!$G:$G,'RAW_유기농_10월'!$A:$A,E$234,'RAW_유기농_10월'!$B:$B,$B242)-SUMIFS('RAW_유기농_9월'!$G:$G,'RAW_유기농_9월'!$A:$A,E$234,'RAW_유기농_9월'!$B:$B,$B242))</f>
        <v/>
      </c>
      <c r="F246" s="7" t="str">
        <f>IF(COUNTA('RAW_유기농_10월'!$A:$A)&lt;=1,"",SUMIFS('RAW_유기농_10월'!$G:$G,'RAW_유기농_10월'!$A:$A,F$234,'RAW_유기농_10월'!$B:$B,$B242)-SUMIFS('RAW_유기농_9월'!$G:$G,'RAW_유기농_9월'!$A:$A,F$234,'RAW_유기농_9월'!$B:$B,$B242))</f>
        <v/>
      </c>
    </row>
    <row r="247" ht="15.75" customHeight="1">
      <c r="B247" s="27"/>
      <c r="C247" s="30" t="s">
        <v>182</v>
      </c>
      <c r="D247" s="3" t="str">
        <f t="shared" si="56"/>
        <v/>
      </c>
      <c r="E247" s="7" t="str">
        <f>IF(COUNTA('RAW_유기농_11-12월'!$A:$A)&lt;=1,"",SUMIFS('RAW_유기농_11-12월'!$G:$G,'RAW_유기농_11-12월'!$A:$A,E$234,'RAW_유기농_11-12월'!$B:$B,$B242)-SUMIFS('RAW_유기농_10월'!$G:$G,'RAW_유기농_10월'!$A:$A,E$234,'RAW_유기농_10월'!$B:$B,$B242))</f>
        <v/>
      </c>
      <c r="F247" s="7" t="str">
        <f>IF(COUNTA('RAW_유기농_11-12월'!$A:$A)&lt;=1,"",SUMIFS('RAW_유기농_11-12월'!$G:$G,'RAW_유기농_11-12월'!$A:$A,F$234,'RAW_유기농_11-12월'!$B:$B,$B242)-SUMIFS('RAW_유기농_10월'!$G:$G,'RAW_유기농_10월'!$A:$A,F$234,'RAW_유기농_10월'!$B:$B,$B242))</f>
        <v/>
      </c>
    </row>
    <row r="248" ht="15.75" customHeight="1">
      <c r="B248" s="45" t="s">
        <v>186</v>
      </c>
      <c r="C248" s="28" t="s">
        <v>91</v>
      </c>
      <c r="D248" s="3">
        <f t="shared" si="56"/>
        <v>249680500</v>
      </c>
      <c r="E248" s="3">
        <f t="shared" ref="E248:F248" si="59">IF(COUNT(E249:E253)=0,"",SUM(E249:E253))</f>
        <v>28995260</v>
      </c>
      <c r="F248" s="3">
        <f t="shared" si="59"/>
        <v>220685240</v>
      </c>
    </row>
    <row r="249" ht="15.75" customHeight="1">
      <c r="B249" s="50"/>
      <c r="C249" s="30" t="s">
        <v>173</v>
      </c>
      <c r="D249" s="3">
        <f t="shared" si="56"/>
        <v>115212430</v>
      </c>
      <c r="E249" s="7">
        <f>IF(COUNTA('RAW_유기농_7월'!$A:$A)&lt;=1,"",SUMIFS('RAW_유기농_7월'!$G:$G,'RAW_유기농_7월'!$A:$A,E$234,'RAW_유기농_7월'!$B:$B,$B248))</f>
        <v>15380500</v>
      </c>
      <c r="F249" s="7">
        <f>IF(COUNTA('RAW_유기농_7월'!$A:$A)&lt;=1,"",SUMIFS('RAW_유기농_7월'!$G:$G,'RAW_유기농_7월'!$A:$A,F$234,'RAW_유기농_7월'!$B:$B,$B248))</f>
        <v>99831930</v>
      </c>
    </row>
    <row r="250" ht="15.75" customHeight="1">
      <c r="B250" s="50"/>
      <c r="C250" s="30" t="s">
        <v>175</v>
      </c>
      <c r="D250" s="3">
        <f t="shared" si="56"/>
        <v>134468070</v>
      </c>
      <c r="E250" s="7">
        <f>IF(COUNTA('RAW_유기농_8월'!$A:$A)&lt;=1,"",SUMIFS('RAW_유기농_8월'!$G:$G,'RAW_유기농_8월'!$A:$A,E$234,'RAW_유기농_8월'!$B:$B,$B248)-SUMIFS('RAW_유기농_7월'!$G:$G,'RAW_유기농_7월'!$A:$A,E$234,'RAW_유기농_7월'!$B:$B,$B248))</f>
        <v>13614760</v>
      </c>
      <c r="F250" s="7">
        <f>IF(COUNTA('RAW_유기농_8월'!$A:$A)&lt;=1,"",SUMIFS('RAW_유기농_8월'!$G:$G,'RAW_유기농_8월'!$A:$A,F$234,'RAW_유기농_8월'!$B:$B,$B248)-SUMIFS('RAW_유기농_7월'!$G:$G,'RAW_유기농_7월'!$A:$A,F$234,'RAW_유기농_7월'!$B:$B,$B248))</f>
        <v>120853310</v>
      </c>
    </row>
    <row r="251" ht="15.75" customHeight="1">
      <c r="B251" s="50"/>
      <c r="C251" s="30" t="s">
        <v>180</v>
      </c>
      <c r="D251" s="3" t="str">
        <f t="shared" si="56"/>
        <v/>
      </c>
      <c r="E251" s="7" t="str">
        <f>IF(COUNTA('RAW_유기농_9월'!$A:$A)&lt;=1,"",SUMIFS('RAW_유기농_9월'!$G:$G,'RAW_유기농_9월'!$A:$A,E$234,'RAW_유기농_9월'!$B:$B,$B248)-SUMIFS('RAW_유기농_8월'!$G:$G,'RAW_유기농_8월'!$A:$A,E$234,'RAW_유기농_8월'!$B:$B,$B248))</f>
        <v/>
      </c>
      <c r="F251" s="7" t="str">
        <f>IF(COUNTA('RAW_유기농_9월'!$A:$A)&lt;=1,"",SUMIFS('RAW_유기농_9월'!$G:$G,'RAW_유기농_9월'!$A:$A,F$234,'RAW_유기농_9월'!$B:$B,$B248)-SUMIFS('RAW_유기농_8월'!$G:$G,'RAW_유기농_8월'!$A:$A,F$234,'RAW_유기농_8월'!$B:$B,$B248))</f>
        <v/>
      </c>
    </row>
    <row r="252" ht="15.75" customHeight="1">
      <c r="B252" s="50"/>
      <c r="C252" s="30" t="s">
        <v>181</v>
      </c>
      <c r="D252" s="3" t="str">
        <f t="shared" si="56"/>
        <v/>
      </c>
      <c r="E252" s="7" t="str">
        <f>IF(COUNTA('RAW_유기농_10월'!$A:$A)&lt;=1,"",SUMIFS('RAW_유기농_10월'!$G:$G,'RAW_유기농_10월'!$A:$A,E$234,'RAW_유기농_10월'!$B:$B,$B248)-SUMIFS('RAW_유기농_9월'!$G:$G,'RAW_유기농_9월'!$A:$A,E$234,'RAW_유기농_9월'!$B:$B,$B248))</f>
        <v/>
      </c>
      <c r="F252" s="7" t="str">
        <f>IF(COUNTA('RAW_유기농_10월'!$A:$A)&lt;=1,"",SUMIFS('RAW_유기농_10월'!$G:$G,'RAW_유기농_10월'!$A:$A,F$234,'RAW_유기농_10월'!$B:$B,$B248)-SUMIFS('RAW_유기농_9월'!$G:$G,'RAW_유기농_9월'!$A:$A,F$234,'RAW_유기농_9월'!$B:$B,$B248))</f>
        <v/>
      </c>
    </row>
    <row r="253" ht="15.75" customHeight="1">
      <c r="B253" s="27"/>
      <c r="C253" s="30" t="s">
        <v>182</v>
      </c>
      <c r="D253" s="3" t="str">
        <f t="shared" si="56"/>
        <v/>
      </c>
      <c r="E253" s="7" t="str">
        <f>IF(COUNTA('RAW_유기농_11-12월'!$A:$A)&lt;=1,"",SUMIFS('RAW_유기농_11-12월'!$G:$G,'RAW_유기농_11-12월'!$A:$A,E$234,'RAW_유기농_11-12월'!$B:$B,$B248)-SUMIFS('RAW_유기농_10월'!$G:$G,'RAW_유기농_10월'!$A:$A,E$234,'RAW_유기농_10월'!$B:$B,$B248))</f>
        <v/>
      </c>
      <c r="F253" s="7" t="str">
        <f>IF(COUNTA('RAW_유기농_11-12월'!$A:$A)&lt;=1,"",SUMIFS('RAW_유기농_11-12월'!$G:$G,'RAW_유기농_11-12월'!$A:$A,F$234,'RAW_유기농_11-12월'!$B:$B,$B248)-SUMIFS('RAW_유기농_10월'!$G:$G,'RAW_유기농_10월'!$A:$A,F$234,'RAW_유기농_10월'!$B:$B,$B248))</f>
        <v/>
      </c>
    </row>
    <row r="254" ht="15.75" customHeight="1"/>
    <row r="255" ht="15.75" customHeight="1">
      <c r="B255" s="21" t="s">
        <v>1976</v>
      </c>
    </row>
    <row r="256" ht="15.75" customHeight="1">
      <c r="B256" s="4" t="s">
        <v>1306</v>
      </c>
      <c r="C256" s="4" t="s">
        <v>5</v>
      </c>
      <c r="D256" s="4" t="s">
        <v>76</v>
      </c>
      <c r="E256" s="4" t="s">
        <v>92</v>
      </c>
      <c r="F256" s="4" t="s">
        <v>31</v>
      </c>
    </row>
    <row r="257" ht="15.75" customHeight="1">
      <c r="B257" s="2" t="s">
        <v>76</v>
      </c>
      <c r="C257" s="2"/>
      <c r="D257" s="3">
        <f t="shared" ref="D257:D275" si="61">IF(COUNT(E257:F257)=0,"",SUM(E257:F257))</f>
        <v>280907</v>
      </c>
      <c r="E257" s="3">
        <f t="shared" ref="E257:F257" si="60">IF(COUNT(E258,E264,E270)=0,"",SUM(E258,E264,E270))</f>
        <v>10898</v>
      </c>
      <c r="F257" s="3">
        <f t="shared" si="60"/>
        <v>270009</v>
      </c>
    </row>
    <row r="258" ht="15.75" customHeight="1">
      <c r="B258" s="45" t="s">
        <v>117</v>
      </c>
      <c r="C258" s="28" t="s">
        <v>91</v>
      </c>
      <c r="D258" s="3">
        <f t="shared" si="61"/>
        <v>230152</v>
      </c>
      <c r="E258" s="3">
        <f t="shared" ref="E258:F258" si="62">IF(COUNT(E259:E263)=0,"",SUM(E259:E263))</f>
        <v>9770</v>
      </c>
      <c r="F258" s="3">
        <f t="shared" si="62"/>
        <v>220382</v>
      </c>
    </row>
    <row r="259" ht="15.75" customHeight="1">
      <c r="B259" s="50"/>
      <c r="C259" s="30" t="s">
        <v>173</v>
      </c>
      <c r="D259" s="3">
        <f t="shared" si="61"/>
        <v>104549</v>
      </c>
      <c r="E259" s="7">
        <f>IF(COUNTA('RAW_유기농_7월'!$A:$A)&lt;=1,"",SUMIFS('RAW_유기농_7월'!$F:$F,'RAW_유기농_7월'!$A:$A,E$256,'RAW_유기농_7월'!$B:$B,$B258))</f>
        <v>3894</v>
      </c>
      <c r="F259" s="7">
        <f>IF(COUNTA('RAW_유기농_7월'!$A:$A)&lt;=1,"",SUMIFS('RAW_유기농_7월'!$F:$F,'RAW_유기농_7월'!$A:$A,F$256,'RAW_유기농_7월'!$B:$B,$B258))</f>
        <v>100655</v>
      </c>
    </row>
    <row r="260" ht="15.75" customHeight="1">
      <c r="B260" s="50"/>
      <c r="C260" s="30" t="s">
        <v>175</v>
      </c>
      <c r="D260" s="3">
        <f t="shared" si="61"/>
        <v>125603</v>
      </c>
      <c r="E260" s="7">
        <f>IF(COUNTA('RAW_유기농_8월'!$A:$A)&lt;=1,"",SUMIFS('RAW_유기농_8월'!$F:$F,'RAW_유기농_8월'!$A:$A,E$256,'RAW_유기농_8월'!$B:$B,$B258)-SUMIFS('RAW_유기농_7월'!$F:$F,'RAW_유기농_7월'!$A:$A,E$256,'RAW_유기농_7월'!$B:$B,$B258))</f>
        <v>5876</v>
      </c>
      <c r="F260" s="7">
        <f>IF(COUNTA('RAW_유기농_8월'!$A:$A)&lt;=1,"",SUMIFS('RAW_유기농_8월'!$F:$F,'RAW_유기농_8월'!$A:$A,F$256,'RAW_유기농_8월'!$B:$B,$B258)-SUMIFS('RAW_유기농_7월'!$F:$F,'RAW_유기농_7월'!$A:$A,F$256,'RAW_유기농_7월'!$B:$B,$B258))</f>
        <v>119727</v>
      </c>
    </row>
    <row r="261" ht="15.75" customHeight="1">
      <c r="B261" s="50"/>
      <c r="C261" s="30" t="s">
        <v>180</v>
      </c>
      <c r="D261" s="3" t="str">
        <f t="shared" si="61"/>
        <v/>
      </c>
      <c r="E261" s="7" t="str">
        <f>IF(COUNTA('RAW_유기농_9월'!$A:$A)&lt;=1,"",SUMIFS('RAW_유기농_9월'!$F:$F,'RAW_유기농_9월'!$A:$A,E$256,'RAW_유기농_9월'!$B:$B,$B258)-SUMIFS('RAW_유기농_8월'!$F:$F,'RAW_유기농_8월'!$A:$A,E$256,'RAW_유기농_8월'!$B:$B,$B258))</f>
        <v/>
      </c>
      <c r="F261" s="7" t="str">
        <f>IF(COUNTA('RAW_유기농_9월'!$A:$A)&lt;=1,"",SUMIFS('RAW_유기농_9월'!$F:$F,'RAW_유기농_9월'!$A:$A,F$256,'RAW_유기농_9월'!$B:$B,$B258)-SUMIFS('RAW_유기농_8월'!$F:$F,'RAW_유기농_8월'!$A:$A,F$256,'RAW_유기농_8월'!$B:$B,$B258))</f>
        <v/>
      </c>
    </row>
    <row r="262" ht="15.75" customHeight="1">
      <c r="B262" s="50"/>
      <c r="C262" s="30" t="s">
        <v>181</v>
      </c>
      <c r="D262" s="3" t="str">
        <f t="shared" si="61"/>
        <v/>
      </c>
      <c r="E262" s="7" t="str">
        <f>IF(COUNTA('RAW_유기농_10월'!$A:$A)&lt;=1,"",SUMIFS('RAW_유기농_10월'!$F:$F,'RAW_유기농_10월'!$A:$A,E$256,'RAW_유기농_10월'!$B:$B,$B258)-SUMIFS('RAW_유기농_9월'!$F:$F,'RAW_유기농_9월'!$A:$A,E$256,'RAW_유기농_9월'!$B:$B,$B258))</f>
        <v/>
      </c>
      <c r="F262" s="7" t="str">
        <f>IF(COUNTA('RAW_유기농_10월'!$A:$A)&lt;=1,"",SUMIFS('RAW_유기농_10월'!$F:$F,'RAW_유기농_10월'!$A:$A,F$256,'RAW_유기농_10월'!$B:$B,$B258)-SUMIFS('RAW_유기농_9월'!$F:$F,'RAW_유기농_9월'!$A:$A,F$256,'RAW_유기농_9월'!$B:$B,$B258))</f>
        <v/>
      </c>
    </row>
    <row r="263" ht="15.75" customHeight="1">
      <c r="B263" s="27"/>
      <c r="C263" s="30" t="s">
        <v>182</v>
      </c>
      <c r="D263" s="3" t="str">
        <f t="shared" si="61"/>
        <v/>
      </c>
      <c r="E263" s="7" t="str">
        <f>IF(COUNTA('RAW_유기농_11-12월'!$A:$A)&lt;=1,"",SUMIFS('RAW_유기농_11-12월'!$F:$F,'RAW_유기농_11-12월'!$A:$A,E$256,'RAW_유기농_11-12월'!$B:$B,$B258)-SUMIFS('RAW_유기농_10월'!$F:$F,'RAW_유기농_10월'!$A:$A,E$256,'RAW_유기농_10월'!$B:$B,$B258))</f>
        <v/>
      </c>
      <c r="F263" s="7" t="str">
        <f>IF(COUNTA('RAW_유기농_11-12월'!$A:$A)&lt;=1,"",SUMIFS('RAW_유기농_11-12월'!$F:$F,'RAW_유기농_11-12월'!$A:$A,F$256,'RAW_유기농_11-12월'!$B:$B,$B258)-SUMIFS('RAW_유기농_10월'!$F:$F,'RAW_유기농_10월'!$A:$A,F$256,'RAW_유기농_10월'!$B:$B,$B258))</f>
        <v/>
      </c>
    </row>
    <row r="264" ht="15.75" customHeight="1">
      <c r="B264" s="45" t="s">
        <v>174</v>
      </c>
      <c r="C264" s="28" t="s">
        <v>91</v>
      </c>
      <c r="D264" s="3">
        <f t="shared" si="61"/>
        <v>1315</v>
      </c>
      <c r="E264" s="3">
        <f t="shared" ref="E264:F264" si="63">IF(COUNT(E265:E269)=0,"",SUM(E265:E269))</f>
        <v>8</v>
      </c>
      <c r="F264" s="3">
        <f t="shared" si="63"/>
        <v>1307</v>
      </c>
    </row>
    <row r="265" ht="15.75" customHeight="1">
      <c r="B265" s="50"/>
      <c r="C265" s="30" t="s">
        <v>173</v>
      </c>
      <c r="D265" s="3">
        <f t="shared" si="61"/>
        <v>603</v>
      </c>
      <c r="E265" s="7">
        <f>IF(COUNTA('RAW_유기농_7월'!$A:$A)&lt;=1,"",SUMIFS('RAW_유기농_7월'!$F:$F,'RAW_유기농_7월'!$A:$A,E$256,'RAW_유기농_7월'!$B:$B,$B264))</f>
        <v>5</v>
      </c>
      <c r="F265" s="7">
        <f>IF(COUNTA('RAW_유기농_7월'!$A:$A)&lt;=1,"",SUMIFS('RAW_유기농_7월'!$F:$F,'RAW_유기농_7월'!$A:$A,F$256,'RAW_유기농_7월'!$B:$B,$B264))</f>
        <v>598</v>
      </c>
    </row>
    <row r="266" ht="15.75" customHeight="1">
      <c r="B266" s="50"/>
      <c r="C266" s="30" t="s">
        <v>175</v>
      </c>
      <c r="D266" s="3">
        <f t="shared" si="61"/>
        <v>712</v>
      </c>
      <c r="E266" s="7">
        <f>IF(COUNTA('RAW_유기농_8월'!$A:$A)&lt;=1,"",SUMIFS('RAW_유기농_8월'!$F:$F,'RAW_유기농_8월'!$A:$A,E$256,'RAW_유기농_8월'!$B:$B,$B264)-SUMIFS('RAW_유기농_7월'!$F:$F,'RAW_유기농_7월'!$A:$A,E$256,'RAW_유기농_7월'!$B:$B,$B264))</f>
        <v>3</v>
      </c>
      <c r="F266" s="7">
        <f>IF(COUNTA('RAW_유기농_8월'!$A:$A)&lt;=1,"",SUMIFS('RAW_유기농_8월'!$F:$F,'RAW_유기농_8월'!$A:$A,F$256,'RAW_유기농_8월'!$B:$B,$B264)-SUMIFS('RAW_유기농_7월'!$F:$F,'RAW_유기농_7월'!$A:$A,F$256,'RAW_유기농_7월'!$B:$B,$B264))</f>
        <v>709</v>
      </c>
    </row>
    <row r="267" ht="15.75" customHeight="1">
      <c r="B267" s="50"/>
      <c r="C267" s="30" t="s">
        <v>180</v>
      </c>
      <c r="D267" s="3" t="str">
        <f t="shared" si="61"/>
        <v/>
      </c>
      <c r="E267" s="7" t="str">
        <f>IF(COUNTA('RAW_유기농_9월'!$A:$A)&lt;=1,"",SUMIFS('RAW_유기농_9월'!$F:$F,'RAW_유기농_9월'!$A:$A,E$256,'RAW_유기농_9월'!$B:$B,$B264)-SUMIFS('RAW_유기농_8월'!$F:$F,'RAW_유기농_8월'!$A:$A,E$256,'RAW_유기농_8월'!$B:$B,$B264))</f>
        <v/>
      </c>
      <c r="F267" s="7" t="str">
        <f>IF(COUNTA('RAW_유기농_9월'!$A:$A)&lt;=1,"",SUMIFS('RAW_유기농_9월'!$F:$F,'RAW_유기농_9월'!$A:$A,F$256,'RAW_유기농_9월'!$B:$B,$B264)-SUMIFS('RAW_유기농_8월'!$F:$F,'RAW_유기농_8월'!$A:$A,F$256,'RAW_유기농_8월'!$B:$B,$B264))</f>
        <v/>
      </c>
    </row>
    <row r="268" ht="15.75" customHeight="1">
      <c r="B268" s="50"/>
      <c r="C268" s="30" t="s">
        <v>181</v>
      </c>
      <c r="D268" s="3" t="str">
        <f t="shared" si="61"/>
        <v/>
      </c>
      <c r="E268" s="7" t="str">
        <f>IF(COUNTA('RAW_유기농_10월'!$A:$A)&lt;=1,"",SUMIFS('RAW_유기농_10월'!$F:$F,'RAW_유기농_10월'!$A:$A,E$256,'RAW_유기농_10월'!$B:$B,$B264)-SUMIFS('RAW_유기농_9월'!$F:$F,'RAW_유기농_9월'!$A:$A,E$256,'RAW_유기농_9월'!$B:$B,$B264))</f>
        <v/>
      </c>
      <c r="F268" s="7" t="str">
        <f>IF(COUNTA('RAW_유기농_10월'!$A:$A)&lt;=1,"",SUMIFS('RAW_유기농_10월'!$F:$F,'RAW_유기농_10월'!$A:$A,F$256,'RAW_유기농_10월'!$B:$B,$B264)-SUMIFS('RAW_유기농_9월'!$F:$F,'RAW_유기농_9월'!$A:$A,F$256,'RAW_유기농_9월'!$B:$B,$B264))</f>
        <v/>
      </c>
    </row>
    <row r="269" ht="15.75" customHeight="1">
      <c r="B269" s="27"/>
      <c r="C269" s="30" t="s">
        <v>182</v>
      </c>
      <c r="D269" s="3" t="str">
        <f t="shared" si="61"/>
        <v/>
      </c>
      <c r="E269" s="7" t="str">
        <f>IF(COUNTA('RAW_유기농_11-12월'!$A:$A)&lt;=1,"",SUMIFS('RAW_유기농_11-12월'!$F:$F,'RAW_유기농_11-12월'!$A:$A,E$256,'RAW_유기농_11-12월'!$B:$B,$B264)-SUMIFS('RAW_유기농_10월'!$F:$F,'RAW_유기농_10월'!$A:$A,E$256,'RAW_유기농_10월'!$B:$B,$B264))</f>
        <v/>
      </c>
      <c r="F269" s="7" t="str">
        <f>IF(COUNTA('RAW_유기농_11-12월'!$A:$A)&lt;=1,"",SUMIFS('RAW_유기농_11-12월'!$F:$F,'RAW_유기농_11-12월'!$A:$A,F$256,'RAW_유기농_11-12월'!$B:$B,$B264)-SUMIFS('RAW_유기농_10월'!$F:$F,'RAW_유기농_10월'!$A:$A,F$256,'RAW_유기농_10월'!$B:$B,$B264))</f>
        <v/>
      </c>
    </row>
    <row r="270" ht="15.75" customHeight="1">
      <c r="B270" s="45" t="s">
        <v>186</v>
      </c>
      <c r="C270" s="28" t="s">
        <v>91</v>
      </c>
      <c r="D270" s="3">
        <f t="shared" si="61"/>
        <v>49440</v>
      </c>
      <c r="E270" s="3">
        <f t="shared" ref="E270:F270" si="64">IF(COUNT(E271:E275)=0,"",SUM(E271:E275))</f>
        <v>1120</v>
      </c>
      <c r="F270" s="3">
        <f t="shared" si="64"/>
        <v>48320</v>
      </c>
    </row>
    <row r="271" ht="15.75" customHeight="1">
      <c r="B271" s="50"/>
      <c r="C271" s="30" t="s">
        <v>173</v>
      </c>
      <c r="D271" s="3">
        <f t="shared" si="61"/>
        <v>22499</v>
      </c>
      <c r="E271" s="7">
        <f>IF(COUNTA('RAW_유기농_7월'!$A:$A)&lt;=1,"",SUMIFS('RAW_유기농_7월'!$F:$F,'RAW_유기농_7월'!$A:$A,E$256,'RAW_유기농_7월'!$B:$B,$B270))</f>
        <v>579</v>
      </c>
      <c r="F271" s="7">
        <f>IF(COUNTA('RAW_유기농_7월'!$A:$A)&lt;=1,"",SUMIFS('RAW_유기농_7월'!$F:$F,'RAW_유기농_7월'!$A:$A,F$256,'RAW_유기농_7월'!$B:$B,$B270))</f>
        <v>21920</v>
      </c>
    </row>
    <row r="272" ht="15.75" customHeight="1">
      <c r="B272" s="50"/>
      <c r="C272" s="30" t="s">
        <v>175</v>
      </c>
      <c r="D272" s="3">
        <f t="shared" si="61"/>
        <v>26941</v>
      </c>
      <c r="E272" s="7">
        <f>IF(COUNTA('RAW_유기농_8월'!$A:$A)&lt;=1,"",SUMIFS('RAW_유기농_8월'!$F:$F,'RAW_유기농_8월'!$A:$A,E$256,'RAW_유기농_8월'!$B:$B,$B270)-SUMIFS('RAW_유기농_7월'!$F:$F,'RAW_유기농_7월'!$A:$A,E$256,'RAW_유기농_7월'!$B:$B,$B270))</f>
        <v>541</v>
      </c>
      <c r="F272" s="7">
        <f>IF(COUNTA('RAW_유기농_8월'!$A:$A)&lt;=1,"",SUMIFS('RAW_유기농_8월'!$F:$F,'RAW_유기농_8월'!$A:$A,F$256,'RAW_유기농_8월'!$B:$B,$B270)-SUMIFS('RAW_유기농_7월'!$F:$F,'RAW_유기농_7월'!$A:$A,F$256,'RAW_유기농_7월'!$B:$B,$B270))</f>
        <v>26400</v>
      </c>
    </row>
    <row r="273" ht="15.75" customHeight="1">
      <c r="B273" s="50"/>
      <c r="C273" s="30" t="s">
        <v>180</v>
      </c>
      <c r="D273" s="3" t="str">
        <f t="shared" si="61"/>
        <v/>
      </c>
      <c r="E273" s="7" t="str">
        <f>IF(COUNTA('RAW_유기농_9월'!$A:$A)&lt;=1,"",SUMIFS('RAW_유기농_9월'!$F:$F,'RAW_유기농_9월'!$A:$A,E$256,'RAW_유기농_9월'!$B:$B,$B270)-SUMIFS('RAW_유기농_8월'!$F:$F,'RAW_유기농_8월'!$A:$A,E$256,'RAW_유기농_8월'!$B:$B,$B270))</f>
        <v/>
      </c>
      <c r="F273" s="7" t="str">
        <f>IF(COUNTA('RAW_유기농_9월'!$A:$A)&lt;=1,"",SUMIFS('RAW_유기농_9월'!$F:$F,'RAW_유기농_9월'!$A:$A,F$256,'RAW_유기농_9월'!$B:$B,$B270)-SUMIFS('RAW_유기농_8월'!$F:$F,'RAW_유기농_8월'!$A:$A,F$256,'RAW_유기농_8월'!$B:$B,$B270))</f>
        <v/>
      </c>
    </row>
    <row r="274" ht="15.75" customHeight="1">
      <c r="B274" s="50"/>
      <c r="C274" s="30" t="s">
        <v>181</v>
      </c>
      <c r="D274" s="3" t="str">
        <f t="shared" si="61"/>
        <v/>
      </c>
      <c r="E274" s="7" t="str">
        <f>IF(COUNTA('RAW_유기농_10월'!$A:$A)&lt;=1,"",SUMIFS('RAW_유기농_10월'!$F:$F,'RAW_유기농_10월'!$A:$A,E$256,'RAW_유기농_10월'!$B:$B,$B270)-SUMIFS('RAW_유기농_9월'!$F:$F,'RAW_유기농_9월'!$A:$A,E$256,'RAW_유기농_9월'!$B:$B,$B270))</f>
        <v/>
      </c>
      <c r="F274" s="7" t="str">
        <f>IF(COUNTA('RAW_유기농_10월'!$A:$A)&lt;=1,"",SUMIFS('RAW_유기농_10월'!$F:$F,'RAW_유기농_10월'!$A:$A,F$256,'RAW_유기농_10월'!$B:$B,$B270)-SUMIFS('RAW_유기농_9월'!$F:$F,'RAW_유기농_9월'!$A:$A,F$256,'RAW_유기농_9월'!$B:$B,$B270))</f>
        <v/>
      </c>
    </row>
    <row r="275" ht="15.75" customHeight="1">
      <c r="B275" s="27"/>
      <c r="C275" s="30" t="s">
        <v>182</v>
      </c>
      <c r="D275" s="3" t="str">
        <f t="shared" si="61"/>
        <v/>
      </c>
      <c r="E275" s="7" t="str">
        <f>IF(COUNTA('RAW_유기농_11-12월'!$A:$A)&lt;=1,"",SUMIFS('RAW_유기농_11-12월'!$F:$F,'RAW_유기농_11-12월'!$A:$A,E$256,'RAW_유기농_11-12월'!$B:$B,$B270)-SUMIFS('RAW_유기농_10월'!$F:$F,'RAW_유기농_10월'!$A:$A,E$256,'RAW_유기농_10월'!$B:$B,$B270))</f>
        <v/>
      </c>
      <c r="F275" s="7" t="str">
        <f>IF(COUNTA('RAW_유기농_11-12월'!$A:$A)&lt;=1,"",SUMIFS('RAW_유기농_11-12월'!$F:$F,'RAW_유기농_11-12월'!$A:$A,F$256,'RAW_유기농_11-12월'!$B:$B,$B270)-SUMIFS('RAW_유기농_10월'!$F:$F,'RAW_유기농_10월'!$A:$A,F$256,'RAW_유기농_10월'!$B:$B,$B270))</f>
        <v/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226:B231"/>
    <mergeCell ref="B236:B241"/>
    <mergeCell ref="B242:B247"/>
    <mergeCell ref="B248:B253"/>
    <mergeCell ref="B258:B263"/>
    <mergeCell ref="B264:B269"/>
    <mergeCell ref="B270:B275"/>
    <mergeCell ref="B170:B171"/>
    <mergeCell ref="B172:B173"/>
    <mergeCell ref="B174:B175"/>
    <mergeCell ref="B176:B177"/>
    <mergeCell ref="B178:B179"/>
    <mergeCell ref="B214:B219"/>
    <mergeCell ref="B220:B225"/>
    <mergeCell ref="D13:J13"/>
    <mergeCell ref="K13:M13"/>
    <mergeCell ref="B5:B6"/>
    <mergeCell ref="C5:C6"/>
    <mergeCell ref="D5:J5"/>
    <mergeCell ref="K5:M5"/>
    <mergeCell ref="B10:M10"/>
    <mergeCell ref="B13:B14"/>
    <mergeCell ref="C13:C14"/>
    <mergeCell ref="D28:J28"/>
    <mergeCell ref="K28:M28"/>
    <mergeCell ref="D36:J36"/>
    <mergeCell ref="K36:M36"/>
    <mergeCell ref="D44:J44"/>
    <mergeCell ref="K44:M44"/>
    <mergeCell ref="B18:B19"/>
    <mergeCell ref="C18:C19"/>
    <mergeCell ref="D18:J18"/>
    <mergeCell ref="K18:M18"/>
    <mergeCell ref="C23:C24"/>
    <mergeCell ref="D23:J23"/>
    <mergeCell ref="K23:M23"/>
    <mergeCell ref="B23:B24"/>
    <mergeCell ref="B28:B29"/>
    <mergeCell ref="C28:C29"/>
    <mergeCell ref="B36:B37"/>
    <mergeCell ref="C36:C37"/>
    <mergeCell ref="B44:B45"/>
    <mergeCell ref="C44:C45"/>
    <mergeCell ref="B57:B58"/>
    <mergeCell ref="B59:B60"/>
    <mergeCell ref="B61:B62"/>
    <mergeCell ref="B63:B64"/>
    <mergeCell ref="B65:B66"/>
    <mergeCell ref="B101:B106"/>
    <mergeCell ref="B107:B112"/>
    <mergeCell ref="B113:B118"/>
    <mergeCell ref="B123:B128"/>
    <mergeCell ref="B129:B134"/>
    <mergeCell ref="B135:B140"/>
    <mergeCell ref="B145:B150"/>
    <mergeCell ref="B151:B156"/>
    <mergeCell ref="B157:B16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9.0"/>
    <col customWidth="1" min="2" max="2" width="8.0"/>
    <col customWidth="1" min="3" max="3" width="16.0"/>
    <col customWidth="1" min="4" max="4" width="30.0"/>
    <col customWidth="1" min="5" max="5" width="13.0"/>
    <col customWidth="1" min="6" max="20" width="12.0"/>
    <col customWidth="1" hidden="1" min="21" max="21" width="12.0"/>
    <col customWidth="1" min="22" max="26" width="8.71"/>
  </cols>
  <sheetData>
    <row r="1">
      <c r="E1" s="2" t="s">
        <v>2</v>
      </c>
      <c r="F1" s="3">
        <f t="shared" ref="F1:H1" si="1">SUM(F3:F702)</f>
        <v>475218</v>
      </c>
      <c r="G1" s="3">
        <f t="shared" si="1"/>
        <v>6227333500</v>
      </c>
      <c r="H1" s="3">
        <f t="shared" si="1"/>
        <v>266369319</v>
      </c>
      <c r="I1" s="3">
        <f t="shared" ref="I1:M1" si="2">COUNTIF(I3:I702,"O")</f>
        <v>186</v>
      </c>
      <c r="J1" s="3">
        <f t="shared" si="2"/>
        <v>207</v>
      </c>
      <c r="K1" s="3">
        <f t="shared" si="2"/>
        <v>0</v>
      </c>
      <c r="L1" s="3">
        <f t="shared" si="2"/>
        <v>0</v>
      </c>
      <c r="M1" s="3">
        <f t="shared" si="2"/>
        <v>0</v>
      </c>
      <c r="N1" s="3">
        <f t="shared" ref="N1:R1" si="3">SUM(N3:N702)</f>
        <v>163578655</v>
      </c>
      <c r="O1" s="3">
        <f t="shared" si="3"/>
        <v>102790664</v>
      </c>
      <c r="P1" s="3">
        <f t="shared" si="3"/>
        <v>0</v>
      </c>
      <c r="Q1" s="3">
        <f t="shared" si="3"/>
        <v>0</v>
      </c>
      <c r="R1" s="3">
        <f t="shared" si="3"/>
        <v>0</v>
      </c>
      <c r="S1" s="3">
        <f>COUNTIF(S3:S702,"O")</f>
        <v>207</v>
      </c>
      <c r="T1" s="2" t="str">
        <f>COUNTA(C3:C702)&amp;"개사"</f>
        <v>285개사</v>
      </c>
      <c r="U1" s="3">
        <f>SUM(U3:U702)</f>
        <v>1449</v>
      </c>
    </row>
    <row r="2" ht="31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</row>
    <row r="3">
      <c r="A3" s="5">
        <v>1.0</v>
      </c>
      <c r="B3" s="5" t="s">
        <v>25</v>
      </c>
      <c r="C3" s="5" t="s">
        <v>26</v>
      </c>
      <c r="D3" s="6" t="s">
        <v>27</v>
      </c>
      <c r="E3" s="5" t="s">
        <v>28</v>
      </c>
      <c r="F3" s="7">
        <f>IF($C3="","",IF('설정'!$B$3=0,"",CHOOSE('설정'!$B$3,SUMIFS('RAW_농산물_7월'!$F:$F,'RAW_농산물_7월'!$D:$D,$C3,'RAW_농산물_7월'!$A:$A,$E3),SUMIFS('RAW_농산물_8월'!$F:$F,'RAW_농산물_8월'!$D:$D,$C3,'RAW_농산물_8월'!$A:$A,$E3),SUMIFS('RAW_농산물_9월'!$F:$F,'RAW_농산물_9월'!$D:$D,$C3,'RAW_농산물_9월'!$A:$A,$E3),SUMIFS('RAW_농산물_10월'!$F:$F,'RAW_농산물_10월'!$D:$D,$C3,'RAW_농산물_10월'!$A:$A,$E3),SUMIFS('RAW_농산물_11-12월'!$F:$F,'RAW_농산물_11-12월'!$D:$D,$C3,'RAW_농산물_11-12월'!$A:$A,$E3))))</f>
        <v>0</v>
      </c>
      <c r="G3" s="7">
        <f>IF($C3="","",IF('설정'!$B$3=0,"",CHOOSE('설정'!$B$3,SUMIFS('RAW_농산물_7월'!$G:$G,'RAW_농산물_7월'!$D:$D,$C3,'RAW_농산물_7월'!$A:$A,$E3),SUMIFS('RAW_농산물_8월'!$G:$G,'RAW_농산물_8월'!$D:$D,$C3,'RAW_농산물_8월'!$A:$A,$E3),SUMIFS('RAW_농산물_9월'!$G:$G,'RAW_농산물_9월'!$D:$D,$C3,'RAW_농산물_9월'!$A:$A,$E3),SUMIFS('RAW_농산물_10월'!$G:$G,'RAW_농산물_10월'!$D:$D,$C3,'RAW_농산물_10월'!$A:$A,$E3),SUMIFS('RAW_농산물_11-12월'!$G:$G,'RAW_농산물_11-12월'!$D:$D,$C3,'RAW_농산물_11-12월'!$A:$A,$E3))))</f>
        <v>0</v>
      </c>
      <c r="H3" s="14">
        <f>IF($C3="","",IF('설정'!$B$3=0,"",CHOOSE('설정'!$B$3,SUMIFS('RAW_농산물_7월'!$H:$H,'RAW_농산물_7월'!$D:$D,$C3,'RAW_농산물_7월'!$A:$A,$E3),SUMIFS('RAW_농산물_8월'!$H:$H,'RAW_농산물_8월'!$D:$D,$C3,'RAW_농산물_8월'!$A:$A,$E3),SUMIFS('RAW_농산물_9월'!$H:$H,'RAW_농산물_9월'!$D:$D,$C3,'RAW_농산물_9월'!$A:$A,$E3),SUMIFS('RAW_농산물_10월'!$H:$H,'RAW_농산물_10월'!$D:$D,$C3,'RAW_농산물_10월'!$A:$A,$E3),SUMIFS('RAW_농산물_11-12월'!$H:$H,'RAW_농산물_11-12월'!$D:$D,$C3,'RAW_농산물_11-12월'!$A:$A,$E3))))</f>
        <v>0</v>
      </c>
      <c r="I3" s="17" t="str">
        <f>IF($C3="","",IF(COUNTIFS('RAW_농산물_7월'!$D:$D,$C3,'RAW_농산물_7월'!$A:$A,$E3)&gt;0,"O",""))</f>
        <v/>
      </c>
      <c r="J3" s="17" t="str">
        <f>IF($C3="","",IF(COUNTIFS('RAW_농산물_8월'!$D:$D,$C3,'RAW_농산물_8월'!$A:$A,$E3)&gt;0,"O",""))</f>
        <v/>
      </c>
      <c r="K3" s="17" t="str">
        <f>IF($C3="","",IF(COUNTIFS('RAW_농산물_9월'!$D:$D,$C3,'RAW_농산물_9월'!$A:$A,$E3)&gt;0,"O",""))</f>
        <v/>
      </c>
      <c r="L3" s="17" t="str">
        <f>IF($C3="","",IF(COUNTIFS('RAW_농산물_10월'!$D:$D,$C3,'RAW_농산물_10월'!$A:$A,$E3)&gt;0,"O",""))</f>
        <v/>
      </c>
      <c r="M3" s="17" t="str">
        <f>IF($C3="","",IF(COUNTIFS('RAW_농산물_11-12월'!$D:$D,$C3,'RAW_농산물_11-12월'!$A:$A,$E3)&gt;0,"O",""))</f>
        <v/>
      </c>
      <c r="N3" s="7">
        <f>IF($C3="","",IF(COUNTA('RAW_농산물_7월'!$A:$A)&lt;=1,"",SUMIFS('RAW_농산물_7월'!$H:$H,'RAW_농산물_7월'!$D:$D,$C3,'RAW_농산물_7월'!$A:$A,$E3)))</f>
        <v>0</v>
      </c>
      <c r="O3" s="7">
        <f>IF($C3="","",IF(COUNTA('RAW_농산물_8월'!$A:$A)&lt;=1,"",SUMIFS('RAW_농산물_8월'!$H:$H,'RAW_농산물_8월'!$D:$D,$C3,'RAW_농산물_8월'!$A:$A,$E3)-SUMIFS('RAW_농산물_7월'!$H:$H,'RAW_농산물_7월'!$D:$D,$C3,'RAW_농산물_7월'!$A:$A,$E3)))</f>
        <v>0</v>
      </c>
      <c r="P3" s="7" t="str">
        <f>IF($C3="","",IF(COUNTA('RAW_농산물_9월'!$A:$A)&lt;=1,"",SUMIFS('RAW_농산물_9월'!$H:$H,'RAW_농산물_9월'!$D:$D,$C3,'RAW_농산물_9월'!$A:$A,$E3)-SUMIFS('RAW_농산물_8월'!$H:$H,'RAW_농산물_8월'!$D:$D,$C3,'RAW_농산물_8월'!$A:$A,$E3)))</f>
        <v/>
      </c>
      <c r="Q3" s="7" t="str">
        <f>IF($C3="","",IF(COUNTA('RAW_농산물_10월'!$A:$A)&lt;=1,"",SUMIFS('RAW_농산물_10월'!$H:$H,'RAW_농산물_10월'!$D:$D,$C3,'RAW_농산물_10월'!$A:$A,$E3)-SUMIFS('RAW_농산물_9월'!$H:$H,'RAW_농산물_9월'!$D:$D,$C3,'RAW_농산물_9월'!$A:$A,$E3)))</f>
        <v/>
      </c>
      <c r="R3" s="7" t="str">
        <f>IF($C3="","",IF(COUNTA('RAW_농산물_11-12월'!$A:$A)&lt;=1,"",SUMIFS('RAW_농산물_11-12월'!$H:$H,'RAW_농산물_11-12월'!$D:$D,$C3,'RAW_농산물_11-12월'!$A:$A,$E3)-SUMIFS('RAW_농산물_10월'!$H:$H,'RAW_농산물_10월'!$D:$D,$C3,'RAW_농산물_10월'!$A:$A,$E3)))</f>
        <v/>
      </c>
      <c r="S3" s="17" t="str">
        <f t="shared" ref="S3:S702" si="4">IF($C3="","",IF(COUNTIF($I3:$M3,"O")&gt;0,"O",""))</f>
        <v/>
      </c>
      <c r="T3" s="17" t="str">
        <f t="shared" ref="T3:T702" si="5">IF($C3="","",IF($H3=0,"미사용",IF($H3&lt;500000,"50만원 미만",IF($H3&lt;1000000,"100만원 미만",IF($H3&lt;2000000,"200만원 미만",IF($H3&lt;3000000,"300만원 미만",IF($H3&lt;4000000,"400만원 미만",IF($H3&lt;5000000,"500만원 미만",IF($H3&lt;6000000,"600만원 미만",IF($H3&lt;7000000,"700만원 미만",IF($H3&lt;8000000,"800만원 미만",IF($H3&lt;10000000,"1000만원 미만","1000만원 이상"))))))))))))</f>
        <v>미사용</v>
      </c>
      <c r="U3" s="7">
        <f>IF($C3="",0,IF('설정'!$B$3=0,0,CHOOSE('설정'!$B$3,COUNTIFS('RAW_농산물_7월'!$D:$D,$C3,'RAW_농산물_7월'!$A:$A,$E3),COUNTIFS('RAW_농산물_8월'!$D:$D,$C3,'RAW_농산물_8월'!$A:$A,$E3),COUNTIFS('RAW_농산물_9월'!$D:$D,$C3,'RAW_농산물_9월'!$A:$A,$E3),COUNTIFS('RAW_농산물_10월'!$D:$D,$C3,'RAW_농산물_10월'!$A:$A,$E3),COUNTIFS('RAW_농산물_11-12월'!$D:$D,$C3,'RAW_농산물_11-12월'!$A:$A,$E3))))</f>
        <v>0</v>
      </c>
    </row>
    <row r="4">
      <c r="A4" s="5">
        <v>2.0</v>
      </c>
      <c r="B4" s="5" t="s">
        <v>25</v>
      </c>
      <c r="C4" s="5" t="s">
        <v>98</v>
      </c>
      <c r="D4" s="6" t="s">
        <v>99</v>
      </c>
      <c r="E4" s="5" t="s">
        <v>28</v>
      </c>
      <c r="F4" s="7">
        <f>IF($C4="","",IF('설정'!$B$3=0,"",CHOOSE('설정'!$B$3,SUMIFS('RAW_농산물_7월'!$F:$F,'RAW_농산물_7월'!$D:$D,$C4,'RAW_농산물_7월'!$A:$A,$E4),SUMIFS('RAW_농산물_8월'!$F:$F,'RAW_농산물_8월'!$D:$D,$C4,'RAW_농산물_8월'!$A:$A,$E4),SUMIFS('RAW_농산물_9월'!$F:$F,'RAW_농산물_9월'!$D:$D,$C4,'RAW_농산물_9월'!$A:$A,$E4),SUMIFS('RAW_농산물_10월'!$F:$F,'RAW_농산물_10월'!$D:$D,$C4,'RAW_농산물_10월'!$A:$A,$E4),SUMIFS('RAW_농산물_11-12월'!$F:$F,'RAW_농산물_11-12월'!$D:$D,$C4,'RAW_농산물_11-12월'!$A:$A,$E4))))</f>
        <v>8</v>
      </c>
      <c r="G4" s="7">
        <f>IF($C4="","",IF('설정'!$B$3=0,"",CHOOSE('설정'!$B$3,SUMIFS('RAW_농산물_7월'!$G:$G,'RAW_농산물_7월'!$D:$D,$C4,'RAW_농산물_7월'!$A:$A,$E4),SUMIFS('RAW_농산물_8월'!$G:$G,'RAW_농산물_8월'!$D:$D,$C4,'RAW_농산물_8월'!$A:$A,$E4),SUMIFS('RAW_농산물_9월'!$G:$G,'RAW_농산물_9월'!$D:$D,$C4,'RAW_농산물_9월'!$A:$A,$E4),SUMIFS('RAW_농산물_10월'!$G:$G,'RAW_농산물_10월'!$D:$D,$C4,'RAW_농산물_10월'!$A:$A,$E4),SUMIFS('RAW_농산물_11-12월'!$G:$G,'RAW_농산물_11-12월'!$D:$D,$C4,'RAW_농산물_11-12월'!$A:$A,$E4))))</f>
        <v>316300</v>
      </c>
      <c r="H4" s="14">
        <f>IF($C4="","",IF('설정'!$B$3=0,"",CHOOSE('설정'!$B$3,SUMIFS('RAW_농산물_7월'!$H:$H,'RAW_농산물_7월'!$D:$D,$C4,'RAW_농산물_7월'!$A:$A,$E4),SUMIFS('RAW_농산물_8월'!$H:$H,'RAW_농산물_8월'!$D:$D,$C4,'RAW_농산물_8월'!$A:$A,$E4),SUMIFS('RAW_농산물_9월'!$H:$H,'RAW_농산물_9월'!$D:$D,$C4,'RAW_농산물_9월'!$A:$A,$E4),SUMIFS('RAW_농산물_10월'!$H:$H,'RAW_농산물_10월'!$D:$D,$C4,'RAW_농산물_10월'!$A:$A,$E4),SUMIFS('RAW_농산물_11-12월'!$H:$H,'RAW_농산물_11-12월'!$D:$D,$C4,'RAW_농산물_11-12월'!$A:$A,$E4))))</f>
        <v>46330</v>
      </c>
      <c r="I4" s="17" t="str">
        <f>IF($C4="","",IF(COUNTIFS('RAW_농산물_7월'!$D:$D,$C4,'RAW_농산물_7월'!$A:$A,$E4)&gt;0,"O",""))</f>
        <v>O</v>
      </c>
      <c r="J4" s="17" t="str">
        <f>IF($C4="","",IF(COUNTIFS('RAW_농산물_8월'!$D:$D,$C4,'RAW_농산물_8월'!$A:$A,$E4)&gt;0,"O",""))</f>
        <v>O</v>
      </c>
      <c r="K4" s="17" t="str">
        <f>IF($C4="","",IF(COUNTIFS('RAW_농산물_9월'!$D:$D,$C4,'RAW_농산물_9월'!$A:$A,$E4)&gt;0,"O",""))</f>
        <v/>
      </c>
      <c r="L4" s="17" t="str">
        <f>IF($C4="","",IF(COUNTIFS('RAW_농산물_10월'!$D:$D,$C4,'RAW_농산물_10월'!$A:$A,$E4)&gt;0,"O",""))</f>
        <v/>
      </c>
      <c r="M4" s="17" t="str">
        <f>IF($C4="","",IF(COUNTIFS('RAW_농산물_11-12월'!$D:$D,$C4,'RAW_농산물_11-12월'!$A:$A,$E4)&gt;0,"O",""))</f>
        <v/>
      </c>
      <c r="N4" s="7">
        <f>IF($C4="","",IF(COUNTA('RAW_농산물_7월'!$A:$A)&lt;=1,"",SUMIFS('RAW_농산물_7월'!$H:$H,'RAW_농산물_7월'!$D:$D,$C4,'RAW_농산물_7월'!$A:$A,$E4)))</f>
        <v>0</v>
      </c>
      <c r="O4" s="7">
        <f>IF($C4="","",IF(COUNTA('RAW_농산물_8월'!$A:$A)&lt;=1,"",SUMIFS('RAW_농산물_8월'!$H:$H,'RAW_농산물_8월'!$D:$D,$C4,'RAW_농산물_8월'!$A:$A,$E4)-SUMIFS('RAW_농산물_7월'!$H:$H,'RAW_농산물_7월'!$D:$D,$C4,'RAW_농산물_7월'!$A:$A,$E4)))</f>
        <v>46330</v>
      </c>
      <c r="P4" s="7" t="str">
        <f>IF($C4="","",IF(COUNTA('RAW_농산물_9월'!$A:$A)&lt;=1,"",SUMIFS('RAW_농산물_9월'!$H:$H,'RAW_농산물_9월'!$D:$D,$C4,'RAW_농산물_9월'!$A:$A,$E4)-SUMIFS('RAW_농산물_8월'!$H:$H,'RAW_농산물_8월'!$D:$D,$C4,'RAW_농산물_8월'!$A:$A,$E4)))</f>
        <v/>
      </c>
      <c r="Q4" s="7" t="str">
        <f>IF($C4="","",IF(COUNTA('RAW_농산물_10월'!$A:$A)&lt;=1,"",SUMIFS('RAW_농산물_10월'!$H:$H,'RAW_농산물_10월'!$D:$D,$C4,'RAW_농산물_10월'!$A:$A,$E4)-SUMIFS('RAW_농산물_9월'!$H:$H,'RAW_농산물_9월'!$D:$D,$C4,'RAW_농산물_9월'!$A:$A,$E4)))</f>
        <v/>
      </c>
      <c r="R4" s="7" t="str">
        <f>IF($C4="","",IF(COUNTA('RAW_농산물_11-12월'!$A:$A)&lt;=1,"",SUMIFS('RAW_농산물_11-12월'!$H:$H,'RAW_농산물_11-12월'!$D:$D,$C4,'RAW_농산물_11-12월'!$A:$A,$E4)-SUMIFS('RAW_농산물_10월'!$H:$H,'RAW_농산물_10월'!$D:$D,$C4,'RAW_농산물_10월'!$A:$A,$E4)))</f>
        <v/>
      </c>
      <c r="S4" s="17" t="str">
        <f t="shared" si="4"/>
        <v>O</v>
      </c>
      <c r="T4" s="17" t="str">
        <f t="shared" si="5"/>
        <v>50만원 미만</v>
      </c>
      <c r="U4" s="7">
        <f>IF($C4="",0,IF('설정'!$B$3=0,0,CHOOSE('설정'!$B$3,COUNTIFS('RAW_농산물_7월'!$D:$D,$C4,'RAW_농산물_7월'!$A:$A,$E4),COUNTIFS('RAW_농산물_8월'!$D:$D,$C4,'RAW_농산물_8월'!$A:$A,$E4),COUNTIFS('RAW_농산물_9월'!$D:$D,$C4,'RAW_농산물_9월'!$A:$A,$E4),COUNTIFS('RAW_농산물_10월'!$D:$D,$C4,'RAW_농산물_10월'!$A:$A,$E4),COUNTIFS('RAW_농산물_11-12월'!$D:$D,$C4,'RAW_농산물_11-12월'!$A:$A,$E4))))</f>
        <v>10</v>
      </c>
    </row>
    <row r="5">
      <c r="A5" s="5">
        <v>3.0</v>
      </c>
      <c r="B5" s="5" t="s">
        <v>25</v>
      </c>
      <c r="C5" s="5" t="s">
        <v>106</v>
      </c>
      <c r="D5" s="6" t="s">
        <v>107</v>
      </c>
      <c r="E5" s="5" t="s">
        <v>92</v>
      </c>
      <c r="F5" s="7">
        <f>IF($C5="","",IF('설정'!$B$3=0,"",CHOOSE('설정'!$B$3,SUMIFS('RAW_농산물_7월'!$F:$F,'RAW_농산물_7월'!$D:$D,$C5,'RAW_농산물_7월'!$A:$A,$E5),SUMIFS('RAW_농산물_8월'!$F:$F,'RAW_농산물_8월'!$D:$D,$C5,'RAW_농산물_8월'!$A:$A,$E5),SUMIFS('RAW_농산물_9월'!$F:$F,'RAW_농산물_9월'!$D:$D,$C5,'RAW_농산물_9월'!$A:$A,$E5),SUMIFS('RAW_농산물_10월'!$F:$F,'RAW_농산물_10월'!$D:$D,$C5,'RAW_농산물_10월'!$A:$A,$E5),SUMIFS('RAW_농산물_11-12월'!$F:$F,'RAW_농산물_11-12월'!$D:$D,$C5,'RAW_농산물_11-12월'!$A:$A,$E5))))</f>
        <v>130</v>
      </c>
      <c r="G5" s="7">
        <f>IF($C5="","",IF('설정'!$B$3=0,"",CHOOSE('설정'!$B$3,SUMIFS('RAW_농산물_7월'!$G:$G,'RAW_농산물_7월'!$D:$D,$C5,'RAW_농산물_7월'!$A:$A,$E5),SUMIFS('RAW_농산물_8월'!$G:$G,'RAW_농산물_8월'!$D:$D,$C5,'RAW_농산물_8월'!$A:$A,$E5),SUMIFS('RAW_농산물_9월'!$G:$G,'RAW_농산물_9월'!$D:$D,$C5,'RAW_농산물_9월'!$A:$A,$E5),SUMIFS('RAW_농산물_10월'!$G:$G,'RAW_농산물_10월'!$D:$D,$C5,'RAW_농산물_10월'!$A:$A,$E5),SUMIFS('RAW_농산물_11-12월'!$G:$G,'RAW_농산물_11-12월'!$D:$D,$C5,'RAW_농산물_11-12월'!$A:$A,$E5))))</f>
        <v>4155000</v>
      </c>
      <c r="H5" s="14">
        <f>IF($C5="","",IF('설정'!$B$3=0,"",CHOOSE('설정'!$B$3,SUMIFS('RAW_농산물_7월'!$H:$H,'RAW_농산물_7월'!$D:$D,$C5,'RAW_농산물_7월'!$A:$A,$E5),SUMIFS('RAW_농산물_8월'!$H:$H,'RAW_농산물_8월'!$D:$D,$C5,'RAW_농산물_8월'!$A:$A,$E5),SUMIFS('RAW_농산물_9월'!$H:$H,'RAW_농산물_9월'!$D:$D,$C5,'RAW_농산물_9월'!$A:$A,$E5),SUMIFS('RAW_농산물_10월'!$H:$H,'RAW_농산물_10월'!$D:$D,$C5,'RAW_농산물_10월'!$A:$A,$E5),SUMIFS('RAW_농산물_11-12월'!$H:$H,'RAW_농산물_11-12월'!$D:$D,$C5,'RAW_농산물_11-12월'!$A:$A,$E5))))</f>
        <v>346200</v>
      </c>
      <c r="I5" s="17" t="str">
        <f>IF($C5="","",IF(COUNTIFS('RAW_농산물_7월'!$D:$D,$C5,'RAW_농산물_7월'!$A:$A,$E5)&gt;0,"O",""))</f>
        <v>O</v>
      </c>
      <c r="J5" s="17" t="str">
        <f>IF($C5="","",IF(COUNTIFS('RAW_농산물_8월'!$D:$D,$C5,'RAW_농산물_8월'!$A:$A,$E5)&gt;0,"O",""))</f>
        <v>O</v>
      </c>
      <c r="K5" s="17" t="str">
        <f>IF($C5="","",IF(COUNTIFS('RAW_농산물_9월'!$D:$D,$C5,'RAW_농산물_9월'!$A:$A,$E5)&gt;0,"O",""))</f>
        <v/>
      </c>
      <c r="L5" s="17" t="str">
        <f>IF($C5="","",IF(COUNTIFS('RAW_농산물_10월'!$D:$D,$C5,'RAW_농산물_10월'!$A:$A,$E5)&gt;0,"O",""))</f>
        <v/>
      </c>
      <c r="M5" s="17" t="str">
        <f>IF($C5="","",IF(COUNTIFS('RAW_농산물_11-12월'!$D:$D,$C5,'RAW_농산물_11-12월'!$A:$A,$E5)&gt;0,"O",""))</f>
        <v/>
      </c>
      <c r="N5" s="7">
        <f>IF($C5="","",IF(COUNTA('RAW_농산물_7월'!$A:$A)&lt;=1,"",SUMIFS('RAW_농산물_7월'!$H:$H,'RAW_농산물_7월'!$D:$D,$C5,'RAW_농산물_7월'!$A:$A,$E5)))</f>
        <v>43900</v>
      </c>
      <c r="O5" s="7">
        <f>IF($C5="","",IF(COUNTA('RAW_농산물_8월'!$A:$A)&lt;=1,"",SUMIFS('RAW_농산물_8월'!$H:$H,'RAW_농산물_8월'!$D:$D,$C5,'RAW_농산물_8월'!$A:$A,$E5)-SUMIFS('RAW_농산물_7월'!$H:$H,'RAW_농산물_7월'!$D:$D,$C5,'RAW_농산물_7월'!$A:$A,$E5)))</f>
        <v>302300</v>
      </c>
      <c r="P5" s="7" t="str">
        <f>IF($C5="","",IF(COUNTA('RAW_농산물_9월'!$A:$A)&lt;=1,"",SUMIFS('RAW_농산물_9월'!$H:$H,'RAW_농산물_9월'!$D:$D,$C5,'RAW_농산물_9월'!$A:$A,$E5)-SUMIFS('RAW_농산물_8월'!$H:$H,'RAW_농산물_8월'!$D:$D,$C5,'RAW_농산물_8월'!$A:$A,$E5)))</f>
        <v/>
      </c>
      <c r="Q5" s="7" t="str">
        <f>IF($C5="","",IF(COUNTA('RAW_농산물_10월'!$A:$A)&lt;=1,"",SUMIFS('RAW_농산물_10월'!$H:$H,'RAW_농산물_10월'!$D:$D,$C5,'RAW_농산물_10월'!$A:$A,$E5)-SUMIFS('RAW_농산물_9월'!$H:$H,'RAW_농산물_9월'!$D:$D,$C5,'RAW_농산물_9월'!$A:$A,$E5)))</f>
        <v/>
      </c>
      <c r="R5" s="7" t="str">
        <f>IF($C5="","",IF(COUNTA('RAW_농산물_11-12월'!$A:$A)&lt;=1,"",SUMIFS('RAW_농산물_11-12월'!$H:$H,'RAW_농산물_11-12월'!$D:$D,$C5,'RAW_농산물_11-12월'!$A:$A,$E5)-SUMIFS('RAW_농산물_10월'!$H:$H,'RAW_농산물_10월'!$D:$D,$C5,'RAW_농산물_10월'!$A:$A,$E5)))</f>
        <v/>
      </c>
      <c r="S5" s="17" t="str">
        <f t="shared" si="4"/>
        <v>O</v>
      </c>
      <c r="T5" s="17" t="str">
        <f t="shared" si="5"/>
        <v>50만원 미만</v>
      </c>
      <c r="U5" s="7">
        <f>IF($C5="",0,IF('설정'!$B$3=0,0,CHOOSE('설정'!$B$3,COUNTIFS('RAW_농산물_7월'!$D:$D,$C5,'RAW_농산물_7월'!$A:$A,$E5),COUNTIFS('RAW_농산물_8월'!$D:$D,$C5,'RAW_농산물_8월'!$A:$A,$E5),COUNTIFS('RAW_농산물_9월'!$D:$D,$C5,'RAW_농산물_9월'!$A:$A,$E5),COUNTIFS('RAW_농산물_10월'!$D:$D,$C5,'RAW_농산물_10월'!$A:$A,$E5),COUNTIFS('RAW_농산물_11-12월'!$D:$D,$C5,'RAW_농산물_11-12월'!$A:$A,$E5))))</f>
        <v>5</v>
      </c>
    </row>
    <row r="6">
      <c r="A6" s="5">
        <v>4.0</v>
      </c>
      <c r="B6" s="5" t="s">
        <v>108</v>
      </c>
      <c r="C6" s="5" t="s">
        <v>122</v>
      </c>
      <c r="D6" s="6" t="s">
        <v>123</v>
      </c>
      <c r="E6" s="5" t="s">
        <v>92</v>
      </c>
      <c r="F6" s="7">
        <f>IF($C6="","",IF('설정'!$B$3=0,"",CHOOSE('설정'!$B$3,SUMIFS('RAW_농산물_7월'!$F:$F,'RAW_농산물_7월'!$D:$D,$C6,'RAW_농산물_7월'!$A:$A,$E6),SUMIFS('RAW_농산물_8월'!$F:$F,'RAW_농산물_8월'!$D:$D,$C6,'RAW_농산물_8월'!$A:$A,$E6),SUMIFS('RAW_농산물_9월'!$F:$F,'RAW_농산물_9월'!$D:$D,$C6,'RAW_농산물_9월'!$A:$A,$E6),SUMIFS('RAW_농산물_10월'!$F:$F,'RAW_농산물_10월'!$D:$D,$C6,'RAW_농산물_10월'!$A:$A,$E6),SUMIFS('RAW_농산물_11-12월'!$F:$F,'RAW_농산물_11-12월'!$D:$D,$C6,'RAW_농산물_11-12월'!$A:$A,$E6))))</f>
        <v>0</v>
      </c>
      <c r="G6" s="7">
        <f>IF($C6="","",IF('설정'!$B$3=0,"",CHOOSE('설정'!$B$3,SUMIFS('RAW_농산물_7월'!$G:$G,'RAW_농산물_7월'!$D:$D,$C6,'RAW_농산물_7월'!$A:$A,$E6),SUMIFS('RAW_농산물_8월'!$G:$G,'RAW_농산물_8월'!$D:$D,$C6,'RAW_농산물_8월'!$A:$A,$E6),SUMIFS('RAW_농산물_9월'!$G:$G,'RAW_농산물_9월'!$D:$D,$C6,'RAW_농산물_9월'!$A:$A,$E6),SUMIFS('RAW_농산물_10월'!$G:$G,'RAW_농산물_10월'!$D:$D,$C6,'RAW_농산물_10월'!$A:$A,$E6),SUMIFS('RAW_농산물_11-12월'!$G:$G,'RAW_농산물_11-12월'!$D:$D,$C6,'RAW_농산물_11-12월'!$A:$A,$E6))))</f>
        <v>0</v>
      </c>
      <c r="H6" s="14">
        <f>IF($C6="","",IF('설정'!$B$3=0,"",CHOOSE('설정'!$B$3,SUMIFS('RAW_농산물_7월'!$H:$H,'RAW_농산물_7월'!$D:$D,$C6,'RAW_농산물_7월'!$A:$A,$E6),SUMIFS('RAW_농산물_8월'!$H:$H,'RAW_농산물_8월'!$D:$D,$C6,'RAW_농산물_8월'!$A:$A,$E6),SUMIFS('RAW_농산물_9월'!$H:$H,'RAW_농산물_9월'!$D:$D,$C6,'RAW_농산물_9월'!$A:$A,$E6),SUMIFS('RAW_농산물_10월'!$H:$H,'RAW_농산물_10월'!$D:$D,$C6,'RAW_농산물_10월'!$A:$A,$E6),SUMIFS('RAW_농산물_11-12월'!$H:$H,'RAW_농산물_11-12월'!$D:$D,$C6,'RAW_농산물_11-12월'!$A:$A,$E6))))</f>
        <v>0</v>
      </c>
      <c r="I6" s="17" t="str">
        <f>IF($C6="","",IF(COUNTIFS('RAW_농산물_7월'!$D:$D,$C6,'RAW_농산물_7월'!$A:$A,$E6)&gt;0,"O",""))</f>
        <v/>
      </c>
      <c r="J6" s="17" t="str">
        <f>IF($C6="","",IF(COUNTIFS('RAW_농산물_8월'!$D:$D,$C6,'RAW_농산물_8월'!$A:$A,$E6)&gt;0,"O",""))</f>
        <v>O</v>
      </c>
      <c r="K6" s="17" t="str">
        <f>IF($C6="","",IF(COUNTIFS('RAW_농산물_9월'!$D:$D,$C6,'RAW_농산물_9월'!$A:$A,$E6)&gt;0,"O",""))</f>
        <v/>
      </c>
      <c r="L6" s="17" t="str">
        <f>IF($C6="","",IF(COUNTIFS('RAW_농산물_10월'!$D:$D,$C6,'RAW_농산물_10월'!$A:$A,$E6)&gt;0,"O",""))</f>
        <v/>
      </c>
      <c r="M6" s="17" t="str">
        <f>IF($C6="","",IF(COUNTIFS('RAW_농산물_11-12월'!$D:$D,$C6,'RAW_농산물_11-12월'!$A:$A,$E6)&gt;0,"O",""))</f>
        <v/>
      </c>
      <c r="N6" s="7">
        <f>IF($C6="","",IF(COUNTA('RAW_농산물_7월'!$A:$A)&lt;=1,"",SUMIFS('RAW_농산물_7월'!$H:$H,'RAW_농산물_7월'!$D:$D,$C6,'RAW_농산물_7월'!$A:$A,$E6)))</f>
        <v>0</v>
      </c>
      <c r="O6" s="7">
        <f>IF($C6="","",IF(COUNTA('RAW_농산물_8월'!$A:$A)&lt;=1,"",SUMIFS('RAW_농산물_8월'!$H:$H,'RAW_농산물_8월'!$D:$D,$C6,'RAW_농산물_8월'!$A:$A,$E6)-SUMIFS('RAW_농산물_7월'!$H:$H,'RAW_농산물_7월'!$D:$D,$C6,'RAW_농산물_7월'!$A:$A,$E6)))</f>
        <v>0</v>
      </c>
      <c r="P6" s="7" t="str">
        <f>IF($C6="","",IF(COUNTA('RAW_농산물_9월'!$A:$A)&lt;=1,"",SUMIFS('RAW_농산물_9월'!$H:$H,'RAW_농산물_9월'!$D:$D,$C6,'RAW_농산물_9월'!$A:$A,$E6)-SUMIFS('RAW_농산물_8월'!$H:$H,'RAW_농산물_8월'!$D:$D,$C6,'RAW_농산물_8월'!$A:$A,$E6)))</f>
        <v/>
      </c>
      <c r="Q6" s="7" t="str">
        <f>IF($C6="","",IF(COUNTA('RAW_농산물_10월'!$A:$A)&lt;=1,"",SUMIFS('RAW_농산물_10월'!$H:$H,'RAW_농산물_10월'!$D:$D,$C6,'RAW_농산물_10월'!$A:$A,$E6)-SUMIFS('RAW_농산물_9월'!$H:$H,'RAW_농산물_9월'!$D:$D,$C6,'RAW_농산물_9월'!$A:$A,$E6)))</f>
        <v/>
      </c>
      <c r="R6" s="7" t="str">
        <f>IF($C6="","",IF(COUNTA('RAW_농산물_11-12월'!$A:$A)&lt;=1,"",SUMIFS('RAW_농산물_11-12월'!$H:$H,'RAW_농산물_11-12월'!$D:$D,$C6,'RAW_농산물_11-12월'!$A:$A,$E6)-SUMIFS('RAW_농산물_10월'!$H:$H,'RAW_농산물_10월'!$D:$D,$C6,'RAW_농산물_10월'!$A:$A,$E6)))</f>
        <v/>
      </c>
      <c r="S6" s="17" t="str">
        <f t="shared" si="4"/>
        <v>O</v>
      </c>
      <c r="T6" s="17" t="str">
        <f t="shared" si="5"/>
        <v>미사용</v>
      </c>
      <c r="U6" s="7">
        <f>IF($C6="",0,IF('설정'!$B$3=0,0,CHOOSE('설정'!$B$3,COUNTIFS('RAW_농산물_7월'!$D:$D,$C6,'RAW_농산물_7월'!$A:$A,$E6),COUNTIFS('RAW_농산물_8월'!$D:$D,$C6,'RAW_농산물_8월'!$A:$A,$E6),COUNTIFS('RAW_농산물_9월'!$D:$D,$C6,'RAW_농산물_9월'!$A:$A,$E6),COUNTIFS('RAW_농산물_10월'!$D:$D,$C6,'RAW_농산물_10월'!$A:$A,$E6),COUNTIFS('RAW_농산물_11-12월'!$D:$D,$C6,'RAW_농산물_11-12월'!$A:$A,$E6))))</f>
        <v>1</v>
      </c>
    </row>
    <row r="7">
      <c r="A7" s="5">
        <v>5.0</v>
      </c>
      <c r="B7" s="5" t="s">
        <v>145</v>
      </c>
      <c r="C7" s="5" t="s">
        <v>146</v>
      </c>
      <c r="D7" s="6" t="s">
        <v>147</v>
      </c>
      <c r="E7" s="5" t="s">
        <v>92</v>
      </c>
      <c r="F7" s="7">
        <f>IF($C7="","",IF('설정'!$B$3=0,"",CHOOSE('설정'!$B$3,SUMIFS('RAW_농산물_7월'!$F:$F,'RAW_농산물_7월'!$D:$D,$C7,'RAW_농산물_7월'!$A:$A,$E7),SUMIFS('RAW_농산물_8월'!$F:$F,'RAW_농산물_8월'!$D:$D,$C7,'RAW_농산물_8월'!$A:$A,$E7),SUMIFS('RAW_농산물_9월'!$F:$F,'RAW_농산물_9월'!$D:$D,$C7,'RAW_농산물_9월'!$A:$A,$E7),SUMIFS('RAW_농산물_10월'!$F:$F,'RAW_농산물_10월'!$D:$D,$C7,'RAW_농산물_10월'!$A:$A,$E7),SUMIFS('RAW_농산물_11-12월'!$F:$F,'RAW_농산물_11-12월'!$D:$D,$C7,'RAW_농산물_11-12월'!$A:$A,$E7))))</f>
        <v>124</v>
      </c>
      <c r="G7" s="7">
        <f>IF($C7="","",IF('설정'!$B$3=0,"",CHOOSE('설정'!$B$3,SUMIFS('RAW_농산물_7월'!$G:$G,'RAW_농산물_7월'!$D:$D,$C7,'RAW_농산물_7월'!$A:$A,$E7),SUMIFS('RAW_농산물_8월'!$G:$G,'RAW_농산물_8월'!$D:$D,$C7,'RAW_농산물_8월'!$A:$A,$E7),SUMIFS('RAW_농산물_9월'!$G:$G,'RAW_농산물_9월'!$D:$D,$C7,'RAW_농산물_9월'!$A:$A,$E7),SUMIFS('RAW_농산물_10월'!$G:$G,'RAW_농산물_10월'!$D:$D,$C7,'RAW_농산물_10월'!$A:$A,$E7),SUMIFS('RAW_농산물_11-12월'!$G:$G,'RAW_농산물_11-12월'!$D:$D,$C7,'RAW_농산물_11-12월'!$A:$A,$E7))))</f>
        <v>5319400</v>
      </c>
      <c r="H7" s="14">
        <f>IF($C7="","",IF('설정'!$B$3=0,"",CHOOSE('설정'!$B$3,SUMIFS('RAW_농산물_7월'!$H:$H,'RAW_농산물_7월'!$D:$D,$C7,'RAW_농산물_7월'!$A:$A,$E7),SUMIFS('RAW_농산물_8월'!$H:$H,'RAW_농산물_8월'!$D:$D,$C7,'RAW_농산물_8월'!$A:$A,$E7),SUMIFS('RAW_농산물_9월'!$H:$H,'RAW_농산물_9월'!$D:$D,$C7,'RAW_농산물_9월'!$A:$A,$E7),SUMIFS('RAW_농산물_10월'!$H:$H,'RAW_농산물_10월'!$D:$D,$C7,'RAW_농산물_10월'!$A:$A,$E7),SUMIFS('RAW_농산물_11-12월'!$H:$H,'RAW_농산물_11-12월'!$D:$D,$C7,'RAW_농산물_11-12월'!$A:$A,$E7))))</f>
        <v>477360</v>
      </c>
      <c r="I7" s="17" t="str">
        <f>IF($C7="","",IF(COUNTIFS('RAW_농산물_7월'!$D:$D,$C7,'RAW_농산물_7월'!$A:$A,$E7)&gt;0,"O",""))</f>
        <v>O</v>
      </c>
      <c r="J7" s="17" t="str">
        <f>IF($C7="","",IF(COUNTIFS('RAW_농산물_8월'!$D:$D,$C7,'RAW_농산물_8월'!$A:$A,$E7)&gt;0,"O",""))</f>
        <v>O</v>
      </c>
      <c r="K7" s="17" t="str">
        <f>IF($C7="","",IF(COUNTIFS('RAW_농산물_9월'!$D:$D,$C7,'RAW_농산물_9월'!$A:$A,$E7)&gt;0,"O",""))</f>
        <v/>
      </c>
      <c r="L7" s="17" t="str">
        <f>IF($C7="","",IF(COUNTIFS('RAW_농산물_10월'!$D:$D,$C7,'RAW_농산물_10월'!$A:$A,$E7)&gt;0,"O",""))</f>
        <v/>
      </c>
      <c r="M7" s="17" t="str">
        <f>IF($C7="","",IF(COUNTIFS('RAW_농산물_11-12월'!$D:$D,$C7,'RAW_농산물_11-12월'!$A:$A,$E7)&gt;0,"O",""))</f>
        <v/>
      </c>
      <c r="N7" s="7">
        <f>IF($C7="","",IF(COUNTA('RAW_농산물_7월'!$A:$A)&lt;=1,"",SUMIFS('RAW_농산물_7월'!$H:$H,'RAW_농산물_7월'!$D:$D,$C7,'RAW_농산물_7월'!$A:$A,$E7)))</f>
        <v>206920</v>
      </c>
      <c r="O7" s="7">
        <f>IF($C7="","",IF(COUNTA('RAW_농산물_8월'!$A:$A)&lt;=1,"",SUMIFS('RAW_농산물_8월'!$H:$H,'RAW_농산물_8월'!$D:$D,$C7,'RAW_농산물_8월'!$A:$A,$E7)-SUMIFS('RAW_농산물_7월'!$H:$H,'RAW_농산물_7월'!$D:$D,$C7,'RAW_농산물_7월'!$A:$A,$E7)))</f>
        <v>270440</v>
      </c>
      <c r="P7" s="7" t="str">
        <f>IF($C7="","",IF(COUNTA('RAW_농산물_9월'!$A:$A)&lt;=1,"",SUMIFS('RAW_농산물_9월'!$H:$H,'RAW_농산물_9월'!$D:$D,$C7,'RAW_농산물_9월'!$A:$A,$E7)-SUMIFS('RAW_농산물_8월'!$H:$H,'RAW_농산물_8월'!$D:$D,$C7,'RAW_농산물_8월'!$A:$A,$E7)))</f>
        <v/>
      </c>
      <c r="Q7" s="7" t="str">
        <f>IF($C7="","",IF(COUNTA('RAW_농산물_10월'!$A:$A)&lt;=1,"",SUMIFS('RAW_농산물_10월'!$H:$H,'RAW_농산물_10월'!$D:$D,$C7,'RAW_농산물_10월'!$A:$A,$E7)-SUMIFS('RAW_농산물_9월'!$H:$H,'RAW_농산물_9월'!$D:$D,$C7,'RAW_농산물_9월'!$A:$A,$E7)))</f>
        <v/>
      </c>
      <c r="R7" s="7" t="str">
        <f>IF($C7="","",IF(COUNTA('RAW_농산물_11-12월'!$A:$A)&lt;=1,"",SUMIFS('RAW_농산물_11-12월'!$H:$H,'RAW_농산물_11-12월'!$D:$D,$C7,'RAW_농산물_11-12월'!$A:$A,$E7)-SUMIFS('RAW_농산물_10월'!$H:$H,'RAW_농산물_10월'!$D:$D,$C7,'RAW_농산물_10월'!$A:$A,$E7)))</f>
        <v/>
      </c>
      <c r="S7" s="17" t="str">
        <f t="shared" si="4"/>
        <v>O</v>
      </c>
      <c r="T7" s="17" t="str">
        <f t="shared" si="5"/>
        <v>50만원 미만</v>
      </c>
      <c r="U7" s="7">
        <f>IF($C7="",0,IF('설정'!$B$3=0,0,CHOOSE('설정'!$B$3,COUNTIFS('RAW_농산물_7월'!$D:$D,$C7,'RAW_농산물_7월'!$A:$A,$E7),COUNTIFS('RAW_농산물_8월'!$D:$D,$C7,'RAW_농산물_8월'!$A:$A,$E7),COUNTIFS('RAW_농산물_9월'!$D:$D,$C7,'RAW_농산물_9월'!$A:$A,$E7),COUNTIFS('RAW_농산물_10월'!$D:$D,$C7,'RAW_농산물_10월'!$A:$A,$E7),COUNTIFS('RAW_농산물_11-12월'!$D:$D,$C7,'RAW_농산물_11-12월'!$A:$A,$E7))))</f>
        <v>1</v>
      </c>
    </row>
    <row r="8">
      <c r="A8" s="5">
        <v>6.0</v>
      </c>
      <c r="B8" s="5" t="s">
        <v>25</v>
      </c>
      <c r="C8" s="5" t="s">
        <v>155</v>
      </c>
      <c r="D8" s="6" t="s">
        <v>156</v>
      </c>
      <c r="E8" s="5" t="s">
        <v>28</v>
      </c>
      <c r="F8" s="7">
        <f>IF($C8="","",IF('설정'!$B$3=0,"",CHOOSE('설정'!$B$3,SUMIFS('RAW_농산물_7월'!$F:$F,'RAW_농산물_7월'!$D:$D,$C8,'RAW_농산물_7월'!$A:$A,$E8),SUMIFS('RAW_농산물_8월'!$F:$F,'RAW_농산물_8월'!$D:$D,$C8,'RAW_농산물_8월'!$A:$A,$E8),SUMIFS('RAW_농산물_9월'!$F:$F,'RAW_농산물_9월'!$D:$D,$C8,'RAW_농산물_9월'!$A:$A,$E8),SUMIFS('RAW_농산물_10월'!$F:$F,'RAW_농산물_10월'!$D:$D,$C8,'RAW_농산물_10월'!$A:$A,$E8),SUMIFS('RAW_농산물_11-12월'!$F:$F,'RAW_농산물_11-12월'!$D:$D,$C8,'RAW_농산물_11-12월'!$A:$A,$E8))))</f>
        <v>0</v>
      </c>
      <c r="G8" s="7">
        <f>IF($C8="","",IF('설정'!$B$3=0,"",CHOOSE('설정'!$B$3,SUMIFS('RAW_농산물_7월'!$G:$G,'RAW_농산물_7월'!$D:$D,$C8,'RAW_농산물_7월'!$A:$A,$E8),SUMIFS('RAW_농산물_8월'!$G:$G,'RAW_농산물_8월'!$D:$D,$C8,'RAW_농산물_8월'!$A:$A,$E8),SUMIFS('RAW_농산물_9월'!$G:$G,'RAW_농산물_9월'!$D:$D,$C8,'RAW_농산물_9월'!$A:$A,$E8),SUMIFS('RAW_농산물_10월'!$G:$G,'RAW_농산물_10월'!$D:$D,$C8,'RAW_농산물_10월'!$A:$A,$E8),SUMIFS('RAW_농산물_11-12월'!$G:$G,'RAW_농산물_11-12월'!$D:$D,$C8,'RAW_농산물_11-12월'!$A:$A,$E8))))</f>
        <v>0</v>
      </c>
      <c r="H8" s="14">
        <f>IF($C8="","",IF('설정'!$B$3=0,"",CHOOSE('설정'!$B$3,SUMIFS('RAW_농산물_7월'!$H:$H,'RAW_농산물_7월'!$D:$D,$C8,'RAW_농산물_7월'!$A:$A,$E8),SUMIFS('RAW_농산물_8월'!$H:$H,'RAW_농산물_8월'!$D:$D,$C8,'RAW_농산물_8월'!$A:$A,$E8),SUMIFS('RAW_농산물_9월'!$H:$H,'RAW_농산물_9월'!$D:$D,$C8,'RAW_농산물_9월'!$A:$A,$E8),SUMIFS('RAW_농산물_10월'!$H:$H,'RAW_농산물_10월'!$D:$D,$C8,'RAW_농산물_10월'!$A:$A,$E8),SUMIFS('RAW_농산물_11-12월'!$H:$H,'RAW_농산물_11-12월'!$D:$D,$C8,'RAW_농산물_11-12월'!$A:$A,$E8))))</f>
        <v>0</v>
      </c>
      <c r="I8" s="17" t="str">
        <f>IF($C8="","",IF(COUNTIFS('RAW_농산물_7월'!$D:$D,$C8,'RAW_농산물_7월'!$A:$A,$E8)&gt;0,"O",""))</f>
        <v/>
      </c>
      <c r="J8" s="17" t="str">
        <f>IF($C8="","",IF(COUNTIFS('RAW_농산물_8월'!$D:$D,$C8,'RAW_농산물_8월'!$A:$A,$E8)&gt;0,"O",""))</f>
        <v>O</v>
      </c>
      <c r="K8" s="17" t="str">
        <f>IF($C8="","",IF(COUNTIFS('RAW_농산물_9월'!$D:$D,$C8,'RAW_농산물_9월'!$A:$A,$E8)&gt;0,"O",""))</f>
        <v/>
      </c>
      <c r="L8" s="17" t="str">
        <f>IF($C8="","",IF(COUNTIFS('RAW_농산물_10월'!$D:$D,$C8,'RAW_농산물_10월'!$A:$A,$E8)&gt;0,"O",""))</f>
        <v/>
      </c>
      <c r="M8" s="17" t="str">
        <f>IF($C8="","",IF(COUNTIFS('RAW_농산물_11-12월'!$D:$D,$C8,'RAW_농산물_11-12월'!$A:$A,$E8)&gt;0,"O",""))</f>
        <v/>
      </c>
      <c r="N8" s="7">
        <f>IF($C8="","",IF(COUNTA('RAW_농산물_7월'!$A:$A)&lt;=1,"",SUMIFS('RAW_농산물_7월'!$H:$H,'RAW_농산물_7월'!$D:$D,$C8,'RAW_농산물_7월'!$A:$A,$E8)))</f>
        <v>0</v>
      </c>
      <c r="O8" s="7">
        <f>IF($C8="","",IF(COUNTA('RAW_농산물_8월'!$A:$A)&lt;=1,"",SUMIFS('RAW_농산물_8월'!$H:$H,'RAW_농산물_8월'!$D:$D,$C8,'RAW_농산물_8월'!$A:$A,$E8)-SUMIFS('RAW_농산물_7월'!$H:$H,'RAW_농산물_7월'!$D:$D,$C8,'RAW_농산물_7월'!$A:$A,$E8)))</f>
        <v>0</v>
      </c>
      <c r="P8" s="7" t="str">
        <f>IF($C8="","",IF(COUNTA('RAW_농산물_9월'!$A:$A)&lt;=1,"",SUMIFS('RAW_농산물_9월'!$H:$H,'RAW_농산물_9월'!$D:$D,$C8,'RAW_농산물_9월'!$A:$A,$E8)-SUMIFS('RAW_농산물_8월'!$H:$H,'RAW_농산물_8월'!$D:$D,$C8,'RAW_농산물_8월'!$A:$A,$E8)))</f>
        <v/>
      </c>
      <c r="Q8" s="7" t="str">
        <f>IF($C8="","",IF(COUNTA('RAW_농산물_10월'!$A:$A)&lt;=1,"",SUMIFS('RAW_농산물_10월'!$H:$H,'RAW_농산물_10월'!$D:$D,$C8,'RAW_농산물_10월'!$A:$A,$E8)-SUMIFS('RAW_농산물_9월'!$H:$H,'RAW_농산물_9월'!$D:$D,$C8,'RAW_농산물_9월'!$A:$A,$E8)))</f>
        <v/>
      </c>
      <c r="R8" s="7" t="str">
        <f>IF($C8="","",IF(COUNTA('RAW_농산물_11-12월'!$A:$A)&lt;=1,"",SUMIFS('RAW_농산물_11-12월'!$H:$H,'RAW_농산물_11-12월'!$D:$D,$C8,'RAW_농산물_11-12월'!$A:$A,$E8)-SUMIFS('RAW_농산물_10월'!$H:$H,'RAW_농산물_10월'!$D:$D,$C8,'RAW_농산물_10월'!$A:$A,$E8)))</f>
        <v/>
      </c>
      <c r="S8" s="17" t="str">
        <f t="shared" si="4"/>
        <v>O</v>
      </c>
      <c r="T8" s="17" t="str">
        <f t="shared" si="5"/>
        <v>미사용</v>
      </c>
      <c r="U8" s="7">
        <f>IF($C8="",0,IF('설정'!$B$3=0,0,CHOOSE('설정'!$B$3,COUNTIFS('RAW_농산물_7월'!$D:$D,$C8,'RAW_농산물_7월'!$A:$A,$E8),COUNTIFS('RAW_농산물_8월'!$D:$D,$C8,'RAW_농산물_8월'!$A:$A,$E8),COUNTIFS('RAW_농산물_9월'!$D:$D,$C8,'RAW_농산물_9월'!$A:$A,$E8),COUNTIFS('RAW_농산물_10월'!$D:$D,$C8,'RAW_농산물_10월'!$A:$A,$E8),COUNTIFS('RAW_농산물_11-12월'!$D:$D,$C8,'RAW_농산물_11-12월'!$A:$A,$E8))))</f>
        <v>2</v>
      </c>
    </row>
    <row r="9">
      <c r="A9" s="5">
        <v>7.0</v>
      </c>
      <c r="B9" s="5" t="s">
        <v>25</v>
      </c>
      <c r="C9" s="5" t="s">
        <v>162</v>
      </c>
      <c r="D9" s="6" t="s">
        <v>163</v>
      </c>
      <c r="E9" s="5" t="s">
        <v>28</v>
      </c>
      <c r="F9" s="7">
        <f>IF($C9="","",IF('설정'!$B$3=0,"",CHOOSE('설정'!$B$3,SUMIFS('RAW_농산물_7월'!$F:$F,'RAW_농산물_7월'!$D:$D,$C9,'RAW_농산물_7월'!$A:$A,$E9),SUMIFS('RAW_농산물_8월'!$F:$F,'RAW_농산물_8월'!$D:$D,$C9,'RAW_농산물_8월'!$A:$A,$E9),SUMIFS('RAW_농산물_9월'!$F:$F,'RAW_농산물_9월'!$D:$D,$C9,'RAW_농산물_9월'!$A:$A,$E9),SUMIFS('RAW_농산물_10월'!$F:$F,'RAW_농산물_10월'!$D:$D,$C9,'RAW_농산물_10월'!$A:$A,$E9),SUMIFS('RAW_농산물_11-12월'!$F:$F,'RAW_농산물_11-12월'!$D:$D,$C9,'RAW_농산물_11-12월'!$A:$A,$E9))))</f>
        <v>1999</v>
      </c>
      <c r="G9" s="7">
        <f>IF($C9="","",IF('설정'!$B$3=0,"",CHOOSE('설정'!$B$3,SUMIFS('RAW_농산물_7월'!$G:$G,'RAW_농산물_7월'!$D:$D,$C9,'RAW_농산물_7월'!$A:$A,$E9),SUMIFS('RAW_농산물_8월'!$G:$G,'RAW_농산물_8월'!$D:$D,$C9,'RAW_농산물_8월'!$A:$A,$E9),SUMIFS('RAW_농산물_9월'!$G:$G,'RAW_농산물_9월'!$D:$D,$C9,'RAW_농산물_9월'!$A:$A,$E9),SUMIFS('RAW_농산물_10월'!$G:$G,'RAW_농산물_10월'!$D:$D,$C9,'RAW_농산물_10월'!$A:$A,$E9),SUMIFS('RAW_농산물_11-12월'!$G:$G,'RAW_농산물_11-12월'!$D:$D,$C9,'RAW_농산물_11-12월'!$A:$A,$E9))))</f>
        <v>23281100</v>
      </c>
      <c r="H9" s="14">
        <f>IF($C9="","",IF('설정'!$B$3=0,"",CHOOSE('설정'!$B$3,SUMIFS('RAW_농산물_7월'!$H:$H,'RAW_농산물_7월'!$D:$D,$C9,'RAW_농산물_7월'!$A:$A,$E9),SUMIFS('RAW_농산물_8월'!$H:$H,'RAW_농산물_8월'!$D:$D,$C9,'RAW_농산물_8월'!$A:$A,$E9),SUMIFS('RAW_농산물_9월'!$H:$H,'RAW_농산물_9월'!$D:$D,$C9,'RAW_농산물_9월'!$A:$A,$E9),SUMIFS('RAW_농산물_10월'!$H:$H,'RAW_농산물_10월'!$D:$D,$C9,'RAW_농산물_10월'!$A:$A,$E9),SUMIFS('RAW_농산물_11-12월'!$H:$H,'RAW_농산물_11-12월'!$D:$D,$C9,'RAW_농산물_11-12월'!$A:$A,$E9))))</f>
        <v>4157060</v>
      </c>
      <c r="I9" s="17" t="str">
        <f>IF($C9="","",IF(COUNTIFS('RAW_농산물_7월'!$D:$D,$C9,'RAW_농산물_7월'!$A:$A,$E9)&gt;0,"O",""))</f>
        <v>O</v>
      </c>
      <c r="J9" s="17" t="str">
        <f>IF($C9="","",IF(COUNTIFS('RAW_농산물_8월'!$D:$D,$C9,'RAW_농산물_8월'!$A:$A,$E9)&gt;0,"O",""))</f>
        <v>O</v>
      </c>
      <c r="K9" s="17" t="str">
        <f>IF($C9="","",IF(COUNTIFS('RAW_농산물_9월'!$D:$D,$C9,'RAW_농산물_9월'!$A:$A,$E9)&gt;0,"O",""))</f>
        <v/>
      </c>
      <c r="L9" s="17" t="str">
        <f>IF($C9="","",IF(COUNTIFS('RAW_농산물_10월'!$D:$D,$C9,'RAW_농산물_10월'!$A:$A,$E9)&gt;0,"O",""))</f>
        <v/>
      </c>
      <c r="M9" s="17" t="str">
        <f>IF($C9="","",IF(COUNTIFS('RAW_농산물_11-12월'!$D:$D,$C9,'RAW_농산물_11-12월'!$A:$A,$E9)&gt;0,"O",""))</f>
        <v/>
      </c>
      <c r="N9" s="7">
        <f>IF($C9="","",IF(COUNTA('RAW_농산물_7월'!$A:$A)&lt;=1,"",SUMIFS('RAW_농산물_7월'!$H:$H,'RAW_농산물_7월'!$D:$D,$C9,'RAW_농산물_7월'!$A:$A,$E9)))</f>
        <v>3349800</v>
      </c>
      <c r="O9" s="7">
        <f>IF($C9="","",IF(COUNTA('RAW_농산물_8월'!$A:$A)&lt;=1,"",SUMIFS('RAW_농산물_8월'!$H:$H,'RAW_농산물_8월'!$D:$D,$C9,'RAW_농산물_8월'!$A:$A,$E9)-SUMIFS('RAW_농산물_7월'!$H:$H,'RAW_농산물_7월'!$D:$D,$C9,'RAW_농산물_7월'!$A:$A,$E9)))</f>
        <v>807260</v>
      </c>
      <c r="P9" s="7" t="str">
        <f>IF($C9="","",IF(COUNTA('RAW_농산물_9월'!$A:$A)&lt;=1,"",SUMIFS('RAW_농산물_9월'!$H:$H,'RAW_농산물_9월'!$D:$D,$C9,'RAW_농산물_9월'!$A:$A,$E9)-SUMIFS('RAW_농산물_8월'!$H:$H,'RAW_농산물_8월'!$D:$D,$C9,'RAW_농산물_8월'!$A:$A,$E9)))</f>
        <v/>
      </c>
      <c r="Q9" s="7" t="str">
        <f>IF($C9="","",IF(COUNTA('RAW_농산물_10월'!$A:$A)&lt;=1,"",SUMIFS('RAW_농산물_10월'!$H:$H,'RAW_농산물_10월'!$D:$D,$C9,'RAW_농산물_10월'!$A:$A,$E9)-SUMIFS('RAW_농산물_9월'!$H:$H,'RAW_농산물_9월'!$D:$D,$C9,'RAW_농산물_9월'!$A:$A,$E9)))</f>
        <v/>
      </c>
      <c r="R9" s="7" t="str">
        <f>IF($C9="","",IF(COUNTA('RAW_농산물_11-12월'!$A:$A)&lt;=1,"",SUMIFS('RAW_농산물_11-12월'!$H:$H,'RAW_농산물_11-12월'!$D:$D,$C9,'RAW_농산물_11-12월'!$A:$A,$E9)-SUMIFS('RAW_농산물_10월'!$H:$H,'RAW_농산물_10월'!$D:$D,$C9,'RAW_농산물_10월'!$A:$A,$E9)))</f>
        <v/>
      </c>
      <c r="S9" s="17" t="str">
        <f t="shared" si="4"/>
        <v>O</v>
      </c>
      <c r="T9" s="17" t="str">
        <f t="shared" si="5"/>
        <v>500만원 미만</v>
      </c>
      <c r="U9" s="7">
        <f>IF($C9="",0,IF('설정'!$B$3=0,0,CHOOSE('설정'!$B$3,COUNTIFS('RAW_농산물_7월'!$D:$D,$C9,'RAW_농산물_7월'!$A:$A,$E9),COUNTIFS('RAW_농산물_8월'!$D:$D,$C9,'RAW_농산물_8월'!$A:$A,$E9),COUNTIFS('RAW_농산물_9월'!$D:$D,$C9,'RAW_농산물_9월'!$A:$A,$E9),COUNTIFS('RAW_농산물_10월'!$D:$D,$C9,'RAW_농산물_10월'!$A:$A,$E9),COUNTIFS('RAW_농산물_11-12월'!$D:$D,$C9,'RAW_농산물_11-12월'!$A:$A,$E9))))</f>
        <v>2</v>
      </c>
    </row>
    <row r="10">
      <c r="A10" s="5">
        <v>8.0</v>
      </c>
      <c r="B10" s="5" t="s">
        <v>108</v>
      </c>
      <c r="C10" s="5" t="s">
        <v>176</v>
      </c>
      <c r="D10" s="6" t="s">
        <v>177</v>
      </c>
      <c r="E10" s="5" t="s">
        <v>28</v>
      </c>
      <c r="F10" s="7">
        <f>IF($C10="","",IF('설정'!$B$3=0,"",CHOOSE('설정'!$B$3,SUMIFS('RAW_농산물_7월'!$F:$F,'RAW_농산물_7월'!$D:$D,$C10,'RAW_농산물_7월'!$A:$A,$E10),SUMIFS('RAW_농산물_8월'!$F:$F,'RAW_농산물_8월'!$D:$D,$C10,'RAW_농산물_8월'!$A:$A,$E10),SUMIFS('RAW_농산물_9월'!$F:$F,'RAW_농산물_9월'!$D:$D,$C10,'RAW_농산물_9월'!$A:$A,$E10),SUMIFS('RAW_농산물_10월'!$F:$F,'RAW_농산물_10월'!$D:$D,$C10,'RAW_농산물_10월'!$A:$A,$E10),SUMIFS('RAW_농산물_11-12월'!$F:$F,'RAW_농산물_11-12월'!$D:$D,$C10,'RAW_농산물_11-12월'!$A:$A,$E10))))</f>
        <v>0</v>
      </c>
      <c r="G10" s="7">
        <f>IF($C10="","",IF('설정'!$B$3=0,"",CHOOSE('설정'!$B$3,SUMIFS('RAW_농산물_7월'!$G:$G,'RAW_농산물_7월'!$D:$D,$C10,'RAW_농산물_7월'!$A:$A,$E10),SUMIFS('RAW_농산물_8월'!$G:$G,'RAW_농산물_8월'!$D:$D,$C10,'RAW_농산물_8월'!$A:$A,$E10),SUMIFS('RAW_농산물_9월'!$G:$G,'RAW_농산물_9월'!$D:$D,$C10,'RAW_농산물_9월'!$A:$A,$E10),SUMIFS('RAW_농산물_10월'!$G:$G,'RAW_농산물_10월'!$D:$D,$C10,'RAW_농산물_10월'!$A:$A,$E10),SUMIFS('RAW_농산물_11-12월'!$G:$G,'RAW_농산물_11-12월'!$D:$D,$C10,'RAW_농산물_11-12월'!$A:$A,$E10))))</f>
        <v>0</v>
      </c>
      <c r="H10" s="14">
        <f>IF($C10="","",IF('설정'!$B$3=0,"",CHOOSE('설정'!$B$3,SUMIFS('RAW_농산물_7월'!$H:$H,'RAW_농산물_7월'!$D:$D,$C10,'RAW_농산물_7월'!$A:$A,$E10),SUMIFS('RAW_농산물_8월'!$H:$H,'RAW_농산물_8월'!$D:$D,$C10,'RAW_농산물_8월'!$A:$A,$E10),SUMIFS('RAW_농산물_9월'!$H:$H,'RAW_농산물_9월'!$D:$D,$C10,'RAW_농산물_9월'!$A:$A,$E10),SUMIFS('RAW_농산물_10월'!$H:$H,'RAW_농산물_10월'!$D:$D,$C10,'RAW_농산물_10월'!$A:$A,$E10),SUMIFS('RAW_농산물_11-12월'!$H:$H,'RAW_농산물_11-12월'!$D:$D,$C10,'RAW_농산물_11-12월'!$A:$A,$E10))))</f>
        <v>0</v>
      </c>
      <c r="I10" s="17" t="str">
        <f>IF($C10="","",IF(COUNTIFS('RAW_농산물_7월'!$D:$D,$C10,'RAW_농산물_7월'!$A:$A,$E10)&gt;0,"O",""))</f>
        <v/>
      </c>
      <c r="J10" s="17" t="str">
        <f>IF($C10="","",IF(COUNTIFS('RAW_농산물_8월'!$D:$D,$C10,'RAW_농산물_8월'!$A:$A,$E10)&gt;0,"O",""))</f>
        <v/>
      </c>
      <c r="K10" s="17" t="str">
        <f>IF($C10="","",IF(COUNTIFS('RAW_농산물_9월'!$D:$D,$C10,'RAW_농산물_9월'!$A:$A,$E10)&gt;0,"O",""))</f>
        <v/>
      </c>
      <c r="L10" s="17" t="str">
        <f>IF($C10="","",IF(COUNTIFS('RAW_농산물_10월'!$D:$D,$C10,'RAW_농산물_10월'!$A:$A,$E10)&gt;0,"O",""))</f>
        <v/>
      </c>
      <c r="M10" s="17" t="str">
        <f>IF($C10="","",IF(COUNTIFS('RAW_농산물_11-12월'!$D:$D,$C10,'RAW_농산물_11-12월'!$A:$A,$E10)&gt;0,"O",""))</f>
        <v/>
      </c>
      <c r="N10" s="7">
        <f>IF($C10="","",IF(COUNTA('RAW_농산물_7월'!$A:$A)&lt;=1,"",SUMIFS('RAW_농산물_7월'!$H:$H,'RAW_농산물_7월'!$D:$D,$C10,'RAW_농산물_7월'!$A:$A,$E10)))</f>
        <v>0</v>
      </c>
      <c r="O10" s="7">
        <f>IF($C10="","",IF(COUNTA('RAW_농산물_8월'!$A:$A)&lt;=1,"",SUMIFS('RAW_농산물_8월'!$H:$H,'RAW_농산물_8월'!$D:$D,$C10,'RAW_농산물_8월'!$A:$A,$E10)-SUMIFS('RAW_농산물_7월'!$H:$H,'RAW_농산물_7월'!$D:$D,$C10,'RAW_농산물_7월'!$A:$A,$E10)))</f>
        <v>0</v>
      </c>
      <c r="P10" s="7" t="str">
        <f>IF($C10="","",IF(COUNTA('RAW_농산물_9월'!$A:$A)&lt;=1,"",SUMIFS('RAW_농산물_9월'!$H:$H,'RAW_농산물_9월'!$D:$D,$C10,'RAW_농산물_9월'!$A:$A,$E10)-SUMIFS('RAW_농산물_8월'!$H:$H,'RAW_농산물_8월'!$D:$D,$C10,'RAW_농산물_8월'!$A:$A,$E10)))</f>
        <v/>
      </c>
      <c r="Q10" s="7" t="str">
        <f>IF($C10="","",IF(COUNTA('RAW_농산물_10월'!$A:$A)&lt;=1,"",SUMIFS('RAW_농산물_10월'!$H:$H,'RAW_농산물_10월'!$D:$D,$C10,'RAW_농산물_10월'!$A:$A,$E10)-SUMIFS('RAW_농산물_9월'!$H:$H,'RAW_농산물_9월'!$D:$D,$C10,'RAW_농산물_9월'!$A:$A,$E10)))</f>
        <v/>
      </c>
      <c r="R10" s="7" t="str">
        <f>IF($C10="","",IF(COUNTA('RAW_농산물_11-12월'!$A:$A)&lt;=1,"",SUMIFS('RAW_농산물_11-12월'!$H:$H,'RAW_농산물_11-12월'!$D:$D,$C10,'RAW_농산물_11-12월'!$A:$A,$E10)-SUMIFS('RAW_농산물_10월'!$H:$H,'RAW_농산물_10월'!$D:$D,$C10,'RAW_농산물_10월'!$A:$A,$E10)))</f>
        <v/>
      </c>
      <c r="S10" s="17" t="str">
        <f t="shared" si="4"/>
        <v/>
      </c>
      <c r="T10" s="17" t="str">
        <f t="shared" si="5"/>
        <v>미사용</v>
      </c>
      <c r="U10" s="7">
        <f>IF($C10="",0,IF('설정'!$B$3=0,0,CHOOSE('설정'!$B$3,COUNTIFS('RAW_농산물_7월'!$D:$D,$C10,'RAW_농산물_7월'!$A:$A,$E10),COUNTIFS('RAW_농산물_8월'!$D:$D,$C10,'RAW_농산물_8월'!$A:$A,$E10),COUNTIFS('RAW_농산물_9월'!$D:$D,$C10,'RAW_농산물_9월'!$A:$A,$E10),COUNTIFS('RAW_농산물_10월'!$D:$D,$C10,'RAW_농산물_10월'!$A:$A,$E10),COUNTIFS('RAW_농산물_11-12월'!$D:$D,$C10,'RAW_농산물_11-12월'!$A:$A,$E10))))</f>
        <v>0</v>
      </c>
    </row>
    <row r="11">
      <c r="A11" s="5">
        <v>9.0</v>
      </c>
      <c r="B11" s="5" t="s">
        <v>108</v>
      </c>
      <c r="C11" s="5" t="s">
        <v>184</v>
      </c>
      <c r="D11" s="6" t="s">
        <v>185</v>
      </c>
      <c r="E11" s="5" t="s">
        <v>92</v>
      </c>
      <c r="F11" s="7">
        <f>IF($C11="","",IF('설정'!$B$3=0,"",CHOOSE('설정'!$B$3,SUMIFS('RAW_농산물_7월'!$F:$F,'RAW_농산물_7월'!$D:$D,$C11,'RAW_농산물_7월'!$A:$A,$E11),SUMIFS('RAW_농산물_8월'!$F:$F,'RAW_농산물_8월'!$D:$D,$C11,'RAW_농산물_8월'!$A:$A,$E11),SUMIFS('RAW_농산물_9월'!$F:$F,'RAW_농산물_9월'!$D:$D,$C11,'RAW_농산물_9월'!$A:$A,$E11),SUMIFS('RAW_농산물_10월'!$F:$F,'RAW_농산물_10월'!$D:$D,$C11,'RAW_농산물_10월'!$A:$A,$E11),SUMIFS('RAW_농산물_11-12월'!$F:$F,'RAW_농산물_11-12월'!$D:$D,$C11,'RAW_농산물_11-12월'!$A:$A,$E11))))</f>
        <v>0</v>
      </c>
      <c r="G11" s="7">
        <f>IF($C11="","",IF('설정'!$B$3=0,"",CHOOSE('설정'!$B$3,SUMIFS('RAW_농산물_7월'!$G:$G,'RAW_농산물_7월'!$D:$D,$C11,'RAW_농산물_7월'!$A:$A,$E11),SUMIFS('RAW_농산물_8월'!$G:$G,'RAW_농산물_8월'!$D:$D,$C11,'RAW_농산물_8월'!$A:$A,$E11),SUMIFS('RAW_농산물_9월'!$G:$G,'RAW_농산물_9월'!$D:$D,$C11,'RAW_농산물_9월'!$A:$A,$E11),SUMIFS('RAW_농산물_10월'!$G:$G,'RAW_농산물_10월'!$D:$D,$C11,'RAW_농산물_10월'!$A:$A,$E11),SUMIFS('RAW_농산물_11-12월'!$G:$G,'RAW_농산물_11-12월'!$D:$D,$C11,'RAW_농산물_11-12월'!$A:$A,$E11))))</f>
        <v>0</v>
      </c>
      <c r="H11" s="14">
        <f>IF($C11="","",IF('설정'!$B$3=0,"",CHOOSE('설정'!$B$3,SUMIFS('RAW_농산물_7월'!$H:$H,'RAW_농산물_7월'!$D:$D,$C11,'RAW_농산물_7월'!$A:$A,$E11),SUMIFS('RAW_농산물_8월'!$H:$H,'RAW_농산물_8월'!$D:$D,$C11,'RAW_농산물_8월'!$A:$A,$E11),SUMIFS('RAW_농산물_9월'!$H:$H,'RAW_농산물_9월'!$D:$D,$C11,'RAW_농산물_9월'!$A:$A,$E11),SUMIFS('RAW_농산물_10월'!$H:$H,'RAW_농산물_10월'!$D:$D,$C11,'RAW_농산물_10월'!$A:$A,$E11),SUMIFS('RAW_농산물_11-12월'!$H:$H,'RAW_농산물_11-12월'!$D:$D,$C11,'RAW_농산물_11-12월'!$A:$A,$E11))))</f>
        <v>0</v>
      </c>
      <c r="I11" s="17" t="str">
        <f>IF($C11="","",IF(COUNTIFS('RAW_농산물_7월'!$D:$D,$C11,'RAW_농산물_7월'!$A:$A,$E11)&gt;0,"O",""))</f>
        <v/>
      </c>
      <c r="J11" s="17" t="str">
        <f>IF($C11="","",IF(COUNTIFS('RAW_농산물_8월'!$D:$D,$C11,'RAW_농산물_8월'!$A:$A,$E11)&gt;0,"O",""))</f>
        <v/>
      </c>
      <c r="K11" s="17" t="str">
        <f>IF($C11="","",IF(COUNTIFS('RAW_농산물_9월'!$D:$D,$C11,'RAW_농산물_9월'!$A:$A,$E11)&gt;0,"O",""))</f>
        <v/>
      </c>
      <c r="L11" s="17" t="str">
        <f>IF($C11="","",IF(COUNTIFS('RAW_농산물_10월'!$D:$D,$C11,'RAW_농산물_10월'!$A:$A,$E11)&gt;0,"O",""))</f>
        <v/>
      </c>
      <c r="M11" s="17" t="str">
        <f>IF($C11="","",IF(COUNTIFS('RAW_농산물_11-12월'!$D:$D,$C11,'RAW_농산물_11-12월'!$A:$A,$E11)&gt;0,"O",""))</f>
        <v/>
      </c>
      <c r="N11" s="7">
        <f>IF($C11="","",IF(COUNTA('RAW_농산물_7월'!$A:$A)&lt;=1,"",SUMIFS('RAW_농산물_7월'!$H:$H,'RAW_농산물_7월'!$D:$D,$C11,'RAW_농산물_7월'!$A:$A,$E11)))</f>
        <v>0</v>
      </c>
      <c r="O11" s="7">
        <f>IF($C11="","",IF(COUNTA('RAW_농산물_8월'!$A:$A)&lt;=1,"",SUMIFS('RAW_농산물_8월'!$H:$H,'RAW_농산물_8월'!$D:$D,$C11,'RAW_농산물_8월'!$A:$A,$E11)-SUMIFS('RAW_농산물_7월'!$H:$H,'RAW_농산물_7월'!$D:$D,$C11,'RAW_농산물_7월'!$A:$A,$E11)))</f>
        <v>0</v>
      </c>
      <c r="P11" s="7" t="str">
        <f>IF($C11="","",IF(COUNTA('RAW_농산물_9월'!$A:$A)&lt;=1,"",SUMIFS('RAW_농산물_9월'!$H:$H,'RAW_농산물_9월'!$D:$D,$C11,'RAW_농산물_9월'!$A:$A,$E11)-SUMIFS('RAW_농산물_8월'!$H:$H,'RAW_농산물_8월'!$D:$D,$C11,'RAW_농산물_8월'!$A:$A,$E11)))</f>
        <v/>
      </c>
      <c r="Q11" s="7" t="str">
        <f>IF($C11="","",IF(COUNTA('RAW_농산물_10월'!$A:$A)&lt;=1,"",SUMIFS('RAW_농산물_10월'!$H:$H,'RAW_농산물_10월'!$D:$D,$C11,'RAW_농산물_10월'!$A:$A,$E11)-SUMIFS('RAW_농산물_9월'!$H:$H,'RAW_농산물_9월'!$D:$D,$C11,'RAW_농산물_9월'!$A:$A,$E11)))</f>
        <v/>
      </c>
      <c r="R11" s="7" t="str">
        <f>IF($C11="","",IF(COUNTA('RAW_농산물_11-12월'!$A:$A)&lt;=1,"",SUMIFS('RAW_농산물_11-12월'!$H:$H,'RAW_농산물_11-12월'!$D:$D,$C11,'RAW_농산물_11-12월'!$A:$A,$E11)-SUMIFS('RAW_농산물_10월'!$H:$H,'RAW_농산물_10월'!$D:$D,$C11,'RAW_농산물_10월'!$A:$A,$E11)))</f>
        <v/>
      </c>
      <c r="S11" s="17" t="str">
        <f t="shared" si="4"/>
        <v/>
      </c>
      <c r="T11" s="17" t="str">
        <f t="shared" si="5"/>
        <v>미사용</v>
      </c>
      <c r="U11" s="7">
        <f>IF($C11="",0,IF('설정'!$B$3=0,0,CHOOSE('설정'!$B$3,COUNTIFS('RAW_농산물_7월'!$D:$D,$C11,'RAW_농산물_7월'!$A:$A,$E11),COUNTIFS('RAW_농산물_8월'!$D:$D,$C11,'RAW_농산물_8월'!$A:$A,$E11),COUNTIFS('RAW_농산물_9월'!$D:$D,$C11,'RAW_농산물_9월'!$A:$A,$E11),COUNTIFS('RAW_농산물_10월'!$D:$D,$C11,'RAW_농산물_10월'!$A:$A,$E11),COUNTIFS('RAW_농산물_11-12월'!$D:$D,$C11,'RAW_농산물_11-12월'!$A:$A,$E11))))</f>
        <v>0</v>
      </c>
    </row>
    <row r="12">
      <c r="A12" s="5">
        <v>10.0</v>
      </c>
      <c r="B12" s="5" t="s">
        <v>25</v>
      </c>
      <c r="C12" s="5" t="s">
        <v>207</v>
      </c>
      <c r="D12" s="6" t="s">
        <v>208</v>
      </c>
      <c r="E12" s="5" t="s">
        <v>28</v>
      </c>
      <c r="F12" s="7">
        <f>IF($C12="","",IF('설정'!$B$3=0,"",CHOOSE('설정'!$B$3,SUMIFS('RAW_농산물_7월'!$F:$F,'RAW_농산물_7월'!$D:$D,$C12,'RAW_농산물_7월'!$A:$A,$E12),SUMIFS('RAW_농산물_8월'!$F:$F,'RAW_농산물_8월'!$D:$D,$C12,'RAW_농산물_8월'!$A:$A,$E12),SUMIFS('RAW_농산물_9월'!$F:$F,'RAW_농산물_9월'!$D:$D,$C12,'RAW_농산물_9월'!$A:$A,$E12),SUMIFS('RAW_농산물_10월'!$F:$F,'RAW_농산물_10월'!$D:$D,$C12,'RAW_농산물_10월'!$A:$A,$E12),SUMIFS('RAW_농산물_11-12월'!$F:$F,'RAW_농산물_11-12월'!$D:$D,$C12,'RAW_농산물_11-12월'!$A:$A,$E12))))</f>
        <v>0</v>
      </c>
      <c r="G12" s="7">
        <f>IF($C12="","",IF('설정'!$B$3=0,"",CHOOSE('설정'!$B$3,SUMIFS('RAW_농산물_7월'!$G:$G,'RAW_농산물_7월'!$D:$D,$C12,'RAW_농산물_7월'!$A:$A,$E12),SUMIFS('RAW_농산물_8월'!$G:$G,'RAW_농산물_8월'!$D:$D,$C12,'RAW_농산물_8월'!$A:$A,$E12),SUMIFS('RAW_농산물_9월'!$G:$G,'RAW_농산물_9월'!$D:$D,$C12,'RAW_농산물_9월'!$A:$A,$E12),SUMIFS('RAW_농산물_10월'!$G:$G,'RAW_농산물_10월'!$D:$D,$C12,'RAW_농산물_10월'!$A:$A,$E12),SUMIFS('RAW_농산물_11-12월'!$G:$G,'RAW_농산물_11-12월'!$D:$D,$C12,'RAW_농산물_11-12월'!$A:$A,$E12))))</f>
        <v>0</v>
      </c>
      <c r="H12" s="14">
        <f>IF($C12="","",IF('설정'!$B$3=0,"",CHOOSE('설정'!$B$3,SUMIFS('RAW_농산물_7월'!$H:$H,'RAW_농산물_7월'!$D:$D,$C12,'RAW_농산물_7월'!$A:$A,$E12),SUMIFS('RAW_농산물_8월'!$H:$H,'RAW_농산물_8월'!$D:$D,$C12,'RAW_농산물_8월'!$A:$A,$E12),SUMIFS('RAW_농산물_9월'!$H:$H,'RAW_농산물_9월'!$D:$D,$C12,'RAW_농산물_9월'!$A:$A,$E12),SUMIFS('RAW_농산물_10월'!$H:$H,'RAW_농산물_10월'!$D:$D,$C12,'RAW_농산물_10월'!$A:$A,$E12),SUMIFS('RAW_농산물_11-12월'!$H:$H,'RAW_농산물_11-12월'!$D:$D,$C12,'RAW_농산물_11-12월'!$A:$A,$E12))))</f>
        <v>0</v>
      </c>
      <c r="I12" s="17" t="str">
        <f>IF($C12="","",IF(COUNTIFS('RAW_농산물_7월'!$D:$D,$C12,'RAW_농산물_7월'!$A:$A,$E12)&gt;0,"O",""))</f>
        <v/>
      </c>
      <c r="J12" s="17" t="str">
        <f>IF($C12="","",IF(COUNTIFS('RAW_농산물_8월'!$D:$D,$C12,'RAW_농산물_8월'!$A:$A,$E12)&gt;0,"O",""))</f>
        <v/>
      </c>
      <c r="K12" s="17" t="str">
        <f>IF($C12="","",IF(COUNTIFS('RAW_농산물_9월'!$D:$D,$C12,'RAW_농산물_9월'!$A:$A,$E12)&gt;0,"O",""))</f>
        <v/>
      </c>
      <c r="L12" s="17" t="str">
        <f>IF($C12="","",IF(COUNTIFS('RAW_농산물_10월'!$D:$D,$C12,'RAW_농산물_10월'!$A:$A,$E12)&gt;0,"O",""))</f>
        <v/>
      </c>
      <c r="M12" s="17" t="str">
        <f>IF($C12="","",IF(COUNTIFS('RAW_농산물_11-12월'!$D:$D,$C12,'RAW_농산물_11-12월'!$A:$A,$E12)&gt;0,"O",""))</f>
        <v/>
      </c>
      <c r="N12" s="7">
        <f>IF($C12="","",IF(COUNTA('RAW_농산물_7월'!$A:$A)&lt;=1,"",SUMIFS('RAW_농산물_7월'!$H:$H,'RAW_농산물_7월'!$D:$D,$C12,'RAW_농산물_7월'!$A:$A,$E12)))</f>
        <v>0</v>
      </c>
      <c r="O12" s="7">
        <f>IF($C12="","",IF(COUNTA('RAW_농산물_8월'!$A:$A)&lt;=1,"",SUMIFS('RAW_농산물_8월'!$H:$H,'RAW_농산물_8월'!$D:$D,$C12,'RAW_농산물_8월'!$A:$A,$E12)-SUMIFS('RAW_농산물_7월'!$H:$H,'RAW_농산물_7월'!$D:$D,$C12,'RAW_농산물_7월'!$A:$A,$E12)))</f>
        <v>0</v>
      </c>
      <c r="P12" s="7" t="str">
        <f>IF($C12="","",IF(COUNTA('RAW_농산물_9월'!$A:$A)&lt;=1,"",SUMIFS('RAW_농산물_9월'!$H:$H,'RAW_농산물_9월'!$D:$D,$C12,'RAW_농산물_9월'!$A:$A,$E12)-SUMIFS('RAW_농산물_8월'!$H:$H,'RAW_농산물_8월'!$D:$D,$C12,'RAW_농산물_8월'!$A:$A,$E12)))</f>
        <v/>
      </c>
      <c r="Q12" s="7" t="str">
        <f>IF($C12="","",IF(COUNTA('RAW_농산물_10월'!$A:$A)&lt;=1,"",SUMIFS('RAW_농산물_10월'!$H:$H,'RAW_농산물_10월'!$D:$D,$C12,'RAW_농산물_10월'!$A:$A,$E12)-SUMIFS('RAW_농산물_9월'!$H:$H,'RAW_농산물_9월'!$D:$D,$C12,'RAW_농산물_9월'!$A:$A,$E12)))</f>
        <v/>
      </c>
      <c r="R12" s="7" t="str">
        <f>IF($C12="","",IF(COUNTA('RAW_농산물_11-12월'!$A:$A)&lt;=1,"",SUMIFS('RAW_농산물_11-12월'!$H:$H,'RAW_농산물_11-12월'!$D:$D,$C12,'RAW_농산물_11-12월'!$A:$A,$E12)-SUMIFS('RAW_농산물_10월'!$H:$H,'RAW_농산물_10월'!$D:$D,$C12,'RAW_농산물_10월'!$A:$A,$E12)))</f>
        <v/>
      </c>
      <c r="S12" s="17" t="str">
        <f t="shared" si="4"/>
        <v/>
      </c>
      <c r="T12" s="17" t="str">
        <f t="shared" si="5"/>
        <v>미사용</v>
      </c>
      <c r="U12" s="7">
        <f>IF($C12="",0,IF('설정'!$B$3=0,0,CHOOSE('설정'!$B$3,COUNTIFS('RAW_농산물_7월'!$D:$D,$C12,'RAW_농산물_7월'!$A:$A,$E12),COUNTIFS('RAW_농산물_8월'!$D:$D,$C12,'RAW_농산물_8월'!$A:$A,$E12),COUNTIFS('RAW_농산물_9월'!$D:$D,$C12,'RAW_농산물_9월'!$A:$A,$E12),COUNTIFS('RAW_농산물_10월'!$D:$D,$C12,'RAW_농산물_10월'!$A:$A,$E12),COUNTIFS('RAW_농산물_11-12월'!$D:$D,$C12,'RAW_농산물_11-12월'!$A:$A,$E12))))</f>
        <v>0</v>
      </c>
    </row>
    <row r="13">
      <c r="A13" s="5">
        <v>11.0</v>
      </c>
      <c r="B13" s="5" t="s">
        <v>25</v>
      </c>
      <c r="C13" s="5" t="s">
        <v>219</v>
      </c>
      <c r="D13" s="6" t="s">
        <v>220</v>
      </c>
      <c r="E13" s="5" t="s">
        <v>93</v>
      </c>
      <c r="F13" s="7">
        <f>IF($C13="","",IF('설정'!$B$3=0,"",CHOOSE('설정'!$B$3,SUMIFS('RAW_농산물_7월'!$F:$F,'RAW_농산물_7월'!$D:$D,$C13,'RAW_농산물_7월'!$A:$A,$E13),SUMIFS('RAW_농산물_8월'!$F:$F,'RAW_농산물_8월'!$D:$D,$C13,'RAW_농산물_8월'!$A:$A,$E13),SUMIFS('RAW_농산물_9월'!$F:$F,'RAW_농산물_9월'!$D:$D,$C13,'RAW_농산물_9월'!$A:$A,$E13),SUMIFS('RAW_농산물_10월'!$F:$F,'RAW_농산물_10월'!$D:$D,$C13,'RAW_농산물_10월'!$A:$A,$E13),SUMIFS('RAW_농산물_11-12월'!$F:$F,'RAW_농산물_11-12월'!$D:$D,$C13,'RAW_농산물_11-12월'!$A:$A,$E13))))</f>
        <v>253</v>
      </c>
      <c r="G13" s="7">
        <f>IF($C13="","",IF('설정'!$B$3=0,"",CHOOSE('설정'!$B$3,SUMIFS('RAW_농산물_7월'!$G:$G,'RAW_농산물_7월'!$D:$D,$C13,'RAW_농산물_7월'!$A:$A,$E13),SUMIFS('RAW_농산물_8월'!$G:$G,'RAW_농산물_8월'!$D:$D,$C13,'RAW_농산물_8월'!$A:$A,$E13),SUMIFS('RAW_농산물_9월'!$G:$G,'RAW_농산물_9월'!$D:$D,$C13,'RAW_농산물_9월'!$A:$A,$E13),SUMIFS('RAW_농산물_10월'!$G:$G,'RAW_농산물_10월'!$D:$D,$C13,'RAW_농산물_10월'!$A:$A,$E13),SUMIFS('RAW_농산물_11-12월'!$G:$G,'RAW_농산물_11-12월'!$D:$D,$C13,'RAW_농산물_11-12월'!$A:$A,$E13))))</f>
        <v>5220720</v>
      </c>
      <c r="H13" s="14">
        <f>IF($C13="","",IF('설정'!$B$3=0,"",CHOOSE('설정'!$B$3,SUMIFS('RAW_농산물_7월'!$H:$H,'RAW_농산물_7월'!$D:$D,$C13,'RAW_농산물_7월'!$A:$A,$E13),SUMIFS('RAW_농산물_8월'!$H:$H,'RAW_농산물_8월'!$D:$D,$C13,'RAW_농산물_8월'!$A:$A,$E13),SUMIFS('RAW_농산물_9월'!$H:$H,'RAW_농산물_9월'!$D:$D,$C13,'RAW_농산물_9월'!$A:$A,$E13),SUMIFS('RAW_농산물_10월'!$H:$H,'RAW_농산물_10월'!$D:$D,$C13,'RAW_농산물_10월'!$A:$A,$E13),SUMIFS('RAW_농산물_11-12월'!$H:$H,'RAW_농산물_11-12월'!$D:$D,$C13,'RAW_농산물_11-12월'!$A:$A,$E13))))</f>
        <v>278100</v>
      </c>
      <c r="I13" s="17" t="str">
        <f>IF($C13="","",IF(COUNTIFS('RAW_농산물_7월'!$D:$D,$C13,'RAW_농산물_7월'!$A:$A,$E13)&gt;0,"O",""))</f>
        <v>O</v>
      </c>
      <c r="J13" s="17" t="str">
        <f>IF($C13="","",IF(COUNTIFS('RAW_농산물_8월'!$D:$D,$C13,'RAW_농산물_8월'!$A:$A,$E13)&gt;0,"O",""))</f>
        <v>O</v>
      </c>
      <c r="K13" s="17" t="str">
        <f>IF($C13="","",IF(COUNTIFS('RAW_농산물_9월'!$D:$D,$C13,'RAW_농산물_9월'!$A:$A,$E13)&gt;0,"O",""))</f>
        <v/>
      </c>
      <c r="L13" s="17" t="str">
        <f>IF($C13="","",IF(COUNTIFS('RAW_농산물_10월'!$D:$D,$C13,'RAW_농산물_10월'!$A:$A,$E13)&gt;0,"O",""))</f>
        <v/>
      </c>
      <c r="M13" s="17" t="str">
        <f>IF($C13="","",IF(COUNTIFS('RAW_농산물_11-12월'!$D:$D,$C13,'RAW_농산물_11-12월'!$A:$A,$E13)&gt;0,"O",""))</f>
        <v/>
      </c>
      <c r="N13" s="7">
        <f>IF($C13="","",IF(COUNTA('RAW_농산물_7월'!$A:$A)&lt;=1,"",SUMIFS('RAW_농산물_7월'!$H:$H,'RAW_농산물_7월'!$D:$D,$C13,'RAW_농산물_7월'!$A:$A,$E13)))</f>
        <v>58200</v>
      </c>
      <c r="O13" s="7">
        <f>IF($C13="","",IF(COUNTA('RAW_농산물_8월'!$A:$A)&lt;=1,"",SUMIFS('RAW_농산물_8월'!$H:$H,'RAW_농산물_8월'!$D:$D,$C13,'RAW_농산물_8월'!$A:$A,$E13)-SUMIFS('RAW_농산물_7월'!$H:$H,'RAW_농산물_7월'!$D:$D,$C13,'RAW_농산물_7월'!$A:$A,$E13)))</f>
        <v>219900</v>
      </c>
      <c r="P13" s="7" t="str">
        <f>IF($C13="","",IF(COUNTA('RAW_농산물_9월'!$A:$A)&lt;=1,"",SUMIFS('RAW_농산물_9월'!$H:$H,'RAW_농산물_9월'!$D:$D,$C13,'RAW_농산물_9월'!$A:$A,$E13)-SUMIFS('RAW_농산물_8월'!$H:$H,'RAW_농산물_8월'!$D:$D,$C13,'RAW_농산물_8월'!$A:$A,$E13)))</f>
        <v/>
      </c>
      <c r="Q13" s="7" t="str">
        <f>IF($C13="","",IF(COUNTA('RAW_농산물_10월'!$A:$A)&lt;=1,"",SUMIFS('RAW_농산물_10월'!$H:$H,'RAW_농산물_10월'!$D:$D,$C13,'RAW_농산물_10월'!$A:$A,$E13)-SUMIFS('RAW_농산물_9월'!$H:$H,'RAW_농산물_9월'!$D:$D,$C13,'RAW_농산물_9월'!$A:$A,$E13)))</f>
        <v/>
      </c>
      <c r="R13" s="7" t="str">
        <f>IF($C13="","",IF(COUNTA('RAW_농산물_11-12월'!$A:$A)&lt;=1,"",SUMIFS('RAW_농산물_11-12월'!$H:$H,'RAW_농산물_11-12월'!$D:$D,$C13,'RAW_농산물_11-12월'!$A:$A,$E13)-SUMIFS('RAW_농산물_10월'!$H:$H,'RAW_농산물_10월'!$D:$D,$C13,'RAW_농산물_10월'!$A:$A,$E13)))</f>
        <v/>
      </c>
      <c r="S13" s="17" t="str">
        <f t="shared" si="4"/>
        <v>O</v>
      </c>
      <c r="T13" s="17" t="str">
        <f t="shared" si="5"/>
        <v>50만원 미만</v>
      </c>
      <c r="U13" s="7">
        <f>IF($C13="",0,IF('설정'!$B$3=0,0,CHOOSE('설정'!$B$3,COUNTIFS('RAW_농산물_7월'!$D:$D,$C13,'RAW_농산물_7월'!$A:$A,$E13),COUNTIFS('RAW_농산물_8월'!$D:$D,$C13,'RAW_농산물_8월'!$A:$A,$E13),COUNTIFS('RAW_농산물_9월'!$D:$D,$C13,'RAW_농산물_9월'!$A:$A,$E13),COUNTIFS('RAW_농산물_10월'!$D:$D,$C13,'RAW_농산물_10월'!$A:$A,$E13),COUNTIFS('RAW_농산물_11-12월'!$D:$D,$C13,'RAW_농산물_11-12월'!$A:$A,$E13))))</f>
        <v>1</v>
      </c>
    </row>
    <row r="14">
      <c r="A14" s="5">
        <v>12.0</v>
      </c>
      <c r="B14" s="5" t="s">
        <v>25</v>
      </c>
      <c r="C14" s="5" t="s">
        <v>226</v>
      </c>
      <c r="D14" s="6" t="s">
        <v>227</v>
      </c>
      <c r="E14" s="5" t="s">
        <v>92</v>
      </c>
      <c r="F14" s="7">
        <f>IF($C14="","",IF('설정'!$B$3=0,"",CHOOSE('설정'!$B$3,SUMIFS('RAW_농산물_7월'!$F:$F,'RAW_농산물_7월'!$D:$D,$C14,'RAW_농산물_7월'!$A:$A,$E14),SUMIFS('RAW_농산물_8월'!$F:$F,'RAW_농산물_8월'!$D:$D,$C14,'RAW_농산물_8월'!$A:$A,$E14),SUMIFS('RAW_농산물_9월'!$F:$F,'RAW_농산물_9월'!$D:$D,$C14,'RAW_농산물_9월'!$A:$A,$E14),SUMIFS('RAW_농산물_10월'!$F:$F,'RAW_농산물_10월'!$D:$D,$C14,'RAW_농산물_10월'!$A:$A,$E14),SUMIFS('RAW_농산물_11-12월'!$F:$F,'RAW_농산물_11-12월'!$D:$D,$C14,'RAW_농산물_11-12월'!$A:$A,$E14))))</f>
        <v>702</v>
      </c>
      <c r="G14" s="7">
        <f>IF($C14="","",IF('설정'!$B$3=0,"",CHOOSE('설정'!$B$3,SUMIFS('RAW_농산물_7월'!$G:$G,'RAW_농산물_7월'!$D:$D,$C14,'RAW_농산물_7월'!$A:$A,$E14),SUMIFS('RAW_농산물_8월'!$G:$G,'RAW_농산물_8월'!$D:$D,$C14,'RAW_농산물_8월'!$A:$A,$E14),SUMIFS('RAW_농산물_9월'!$G:$G,'RAW_농산물_9월'!$D:$D,$C14,'RAW_농산물_9월'!$A:$A,$E14),SUMIFS('RAW_농산물_10월'!$G:$G,'RAW_농산물_10월'!$D:$D,$C14,'RAW_농산물_10월'!$A:$A,$E14),SUMIFS('RAW_농산물_11-12월'!$G:$G,'RAW_농산물_11-12월'!$D:$D,$C14,'RAW_농산물_11-12월'!$A:$A,$E14))))</f>
        <v>31950500</v>
      </c>
      <c r="H14" s="14">
        <f>IF($C14="","",IF('설정'!$B$3=0,"",CHOOSE('설정'!$B$3,SUMIFS('RAW_농산물_7월'!$H:$H,'RAW_농산물_7월'!$D:$D,$C14,'RAW_농산물_7월'!$A:$A,$E14),SUMIFS('RAW_농산물_8월'!$H:$H,'RAW_농산물_8월'!$D:$D,$C14,'RAW_농산물_8월'!$A:$A,$E14),SUMIFS('RAW_농산물_9월'!$H:$H,'RAW_농산물_9월'!$D:$D,$C14,'RAW_농산물_9월'!$A:$A,$E14),SUMIFS('RAW_농산물_10월'!$H:$H,'RAW_농산물_10월'!$D:$D,$C14,'RAW_농산물_10월'!$A:$A,$E14),SUMIFS('RAW_농산물_11-12월'!$H:$H,'RAW_농산물_11-12월'!$D:$D,$C14,'RAW_농산물_11-12월'!$A:$A,$E14))))</f>
        <v>2604620</v>
      </c>
      <c r="I14" s="17" t="str">
        <f>IF($C14="","",IF(COUNTIFS('RAW_농산물_7월'!$D:$D,$C14,'RAW_농산물_7월'!$A:$A,$E14)&gt;0,"O",""))</f>
        <v>O</v>
      </c>
      <c r="J14" s="17" t="str">
        <f>IF($C14="","",IF(COUNTIFS('RAW_농산물_8월'!$D:$D,$C14,'RAW_농산물_8월'!$A:$A,$E14)&gt;0,"O",""))</f>
        <v>O</v>
      </c>
      <c r="K14" s="17" t="str">
        <f>IF($C14="","",IF(COUNTIFS('RAW_농산물_9월'!$D:$D,$C14,'RAW_농산물_9월'!$A:$A,$E14)&gt;0,"O",""))</f>
        <v/>
      </c>
      <c r="L14" s="17" t="str">
        <f>IF($C14="","",IF(COUNTIFS('RAW_농산물_10월'!$D:$D,$C14,'RAW_농산물_10월'!$A:$A,$E14)&gt;0,"O",""))</f>
        <v/>
      </c>
      <c r="M14" s="17" t="str">
        <f>IF($C14="","",IF(COUNTIFS('RAW_농산물_11-12월'!$D:$D,$C14,'RAW_농산물_11-12월'!$A:$A,$E14)&gt;0,"O",""))</f>
        <v/>
      </c>
      <c r="N14" s="7">
        <f>IF($C14="","",IF(COUNTA('RAW_농산물_7월'!$A:$A)&lt;=1,"",SUMIFS('RAW_농산물_7월'!$H:$H,'RAW_농산물_7월'!$D:$D,$C14,'RAW_농산물_7월'!$A:$A,$E14)))</f>
        <v>1074020</v>
      </c>
      <c r="O14" s="7">
        <f>IF($C14="","",IF(COUNTA('RAW_농산물_8월'!$A:$A)&lt;=1,"",SUMIFS('RAW_농산물_8월'!$H:$H,'RAW_농산물_8월'!$D:$D,$C14,'RAW_농산물_8월'!$A:$A,$E14)-SUMIFS('RAW_농산물_7월'!$H:$H,'RAW_농산물_7월'!$D:$D,$C14,'RAW_농산물_7월'!$A:$A,$E14)))</f>
        <v>1530600</v>
      </c>
      <c r="P14" s="7" t="str">
        <f>IF($C14="","",IF(COUNTA('RAW_농산물_9월'!$A:$A)&lt;=1,"",SUMIFS('RAW_농산물_9월'!$H:$H,'RAW_농산물_9월'!$D:$D,$C14,'RAW_농산물_9월'!$A:$A,$E14)-SUMIFS('RAW_농산물_8월'!$H:$H,'RAW_농산물_8월'!$D:$D,$C14,'RAW_농산물_8월'!$A:$A,$E14)))</f>
        <v/>
      </c>
      <c r="Q14" s="7" t="str">
        <f>IF($C14="","",IF(COUNTA('RAW_농산물_10월'!$A:$A)&lt;=1,"",SUMIFS('RAW_농산물_10월'!$H:$H,'RAW_농산물_10월'!$D:$D,$C14,'RAW_농산물_10월'!$A:$A,$E14)-SUMIFS('RAW_농산물_9월'!$H:$H,'RAW_농산물_9월'!$D:$D,$C14,'RAW_농산물_9월'!$A:$A,$E14)))</f>
        <v/>
      </c>
      <c r="R14" s="7" t="str">
        <f>IF($C14="","",IF(COUNTA('RAW_농산물_11-12월'!$A:$A)&lt;=1,"",SUMIFS('RAW_농산물_11-12월'!$H:$H,'RAW_농산물_11-12월'!$D:$D,$C14,'RAW_농산물_11-12월'!$A:$A,$E14)-SUMIFS('RAW_농산물_10월'!$H:$H,'RAW_농산물_10월'!$D:$D,$C14,'RAW_농산물_10월'!$A:$A,$E14)))</f>
        <v/>
      </c>
      <c r="S14" s="17" t="str">
        <f t="shared" si="4"/>
        <v>O</v>
      </c>
      <c r="T14" s="17" t="str">
        <f t="shared" si="5"/>
        <v>300만원 미만</v>
      </c>
      <c r="U14" s="7">
        <f>IF($C14="",0,IF('설정'!$B$3=0,0,CHOOSE('설정'!$B$3,COUNTIFS('RAW_농산물_7월'!$D:$D,$C14,'RAW_농산물_7월'!$A:$A,$E14),COUNTIFS('RAW_농산물_8월'!$D:$D,$C14,'RAW_농산물_8월'!$A:$A,$E14),COUNTIFS('RAW_농산물_9월'!$D:$D,$C14,'RAW_농산물_9월'!$A:$A,$E14),COUNTIFS('RAW_농산물_10월'!$D:$D,$C14,'RAW_농산물_10월'!$A:$A,$E14),COUNTIFS('RAW_농산물_11-12월'!$D:$D,$C14,'RAW_농산물_11-12월'!$A:$A,$E14))))</f>
        <v>6</v>
      </c>
    </row>
    <row r="15">
      <c r="A15" s="5">
        <v>13.0</v>
      </c>
      <c r="B15" s="5" t="s">
        <v>25</v>
      </c>
      <c r="C15" s="5" t="s">
        <v>230</v>
      </c>
      <c r="D15" s="6" t="s">
        <v>231</v>
      </c>
      <c r="E15" s="5" t="s">
        <v>92</v>
      </c>
      <c r="F15" s="7">
        <f>IF($C15="","",IF('설정'!$B$3=0,"",CHOOSE('설정'!$B$3,SUMIFS('RAW_농산물_7월'!$F:$F,'RAW_농산물_7월'!$D:$D,$C15,'RAW_농산물_7월'!$A:$A,$E15),SUMIFS('RAW_농산물_8월'!$F:$F,'RAW_농산물_8월'!$D:$D,$C15,'RAW_농산물_8월'!$A:$A,$E15),SUMIFS('RAW_농산물_9월'!$F:$F,'RAW_농산물_9월'!$D:$D,$C15,'RAW_농산물_9월'!$A:$A,$E15),SUMIFS('RAW_농산물_10월'!$F:$F,'RAW_농산물_10월'!$D:$D,$C15,'RAW_농산물_10월'!$A:$A,$E15),SUMIFS('RAW_농산물_11-12월'!$F:$F,'RAW_농산물_11-12월'!$D:$D,$C15,'RAW_농산물_11-12월'!$A:$A,$E15))))</f>
        <v>2007</v>
      </c>
      <c r="G15" s="7">
        <f>IF($C15="","",IF('설정'!$B$3=0,"",CHOOSE('설정'!$B$3,SUMIFS('RAW_농산물_7월'!$G:$G,'RAW_농산물_7월'!$D:$D,$C15,'RAW_농산물_7월'!$A:$A,$E15),SUMIFS('RAW_농산물_8월'!$G:$G,'RAW_농산물_8월'!$D:$D,$C15,'RAW_농산물_8월'!$A:$A,$E15),SUMIFS('RAW_농산물_9월'!$G:$G,'RAW_농산물_9월'!$D:$D,$C15,'RAW_농산물_9월'!$A:$A,$E15),SUMIFS('RAW_농산물_10월'!$G:$G,'RAW_농산물_10월'!$D:$D,$C15,'RAW_농산물_10월'!$A:$A,$E15),SUMIFS('RAW_농산물_11-12월'!$G:$G,'RAW_농산물_11-12월'!$D:$D,$C15,'RAW_농산물_11-12월'!$A:$A,$E15))))</f>
        <v>74676000</v>
      </c>
      <c r="H15" s="14">
        <f>IF($C15="","",IF('설정'!$B$3=0,"",CHOOSE('설정'!$B$3,SUMIFS('RAW_농산물_7월'!$H:$H,'RAW_농산물_7월'!$D:$D,$C15,'RAW_농산물_7월'!$A:$A,$E15),SUMIFS('RAW_농산물_8월'!$H:$H,'RAW_농산물_8월'!$D:$D,$C15,'RAW_농산물_8월'!$A:$A,$E15),SUMIFS('RAW_농산물_9월'!$H:$H,'RAW_농산물_9월'!$D:$D,$C15,'RAW_농산물_9월'!$A:$A,$E15),SUMIFS('RAW_농산물_10월'!$H:$H,'RAW_농산물_10월'!$D:$D,$C15,'RAW_농산물_10월'!$A:$A,$E15),SUMIFS('RAW_농산물_11-12월'!$H:$H,'RAW_농산물_11-12월'!$D:$D,$C15,'RAW_농산물_11-12월'!$A:$A,$E15))))</f>
        <v>4947920</v>
      </c>
      <c r="I15" s="17" t="str">
        <f>IF($C15="","",IF(COUNTIFS('RAW_농산물_7월'!$D:$D,$C15,'RAW_농산물_7월'!$A:$A,$E15)&gt;0,"O",""))</f>
        <v>O</v>
      </c>
      <c r="J15" s="17" t="str">
        <f>IF($C15="","",IF(COUNTIFS('RAW_농산물_8월'!$D:$D,$C15,'RAW_농산물_8월'!$A:$A,$E15)&gt;0,"O",""))</f>
        <v>O</v>
      </c>
      <c r="K15" s="17" t="str">
        <f>IF($C15="","",IF(COUNTIFS('RAW_농산물_9월'!$D:$D,$C15,'RAW_농산물_9월'!$A:$A,$E15)&gt;0,"O",""))</f>
        <v/>
      </c>
      <c r="L15" s="17" t="str">
        <f>IF($C15="","",IF(COUNTIFS('RAW_농산물_10월'!$D:$D,$C15,'RAW_농산물_10월'!$A:$A,$E15)&gt;0,"O",""))</f>
        <v/>
      </c>
      <c r="M15" s="17" t="str">
        <f>IF($C15="","",IF(COUNTIFS('RAW_농산물_11-12월'!$D:$D,$C15,'RAW_농산물_11-12월'!$A:$A,$E15)&gt;0,"O",""))</f>
        <v/>
      </c>
      <c r="N15" s="7">
        <f>IF($C15="","",IF(COUNTA('RAW_농산물_7월'!$A:$A)&lt;=1,"",SUMIFS('RAW_농산물_7월'!$H:$H,'RAW_농산물_7월'!$D:$D,$C15,'RAW_농산물_7월'!$A:$A,$E15)))</f>
        <v>4955760</v>
      </c>
      <c r="O15" s="7">
        <f>IF($C15="","",IF(COUNTA('RAW_농산물_8월'!$A:$A)&lt;=1,"",SUMIFS('RAW_농산물_8월'!$H:$H,'RAW_농산물_8월'!$D:$D,$C15,'RAW_농산물_8월'!$A:$A,$E15)-SUMIFS('RAW_농산물_7월'!$H:$H,'RAW_농산물_7월'!$D:$D,$C15,'RAW_농산물_7월'!$A:$A,$E15)))</f>
        <v>-7840</v>
      </c>
      <c r="P15" s="7" t="str">
        <f>IF($C15="","",IF(COUNTA('RAW_농산물_9월'!$A:$A)&lt;=1,"",SUMIFS('RAW_농산물_9월'!$H:$H,'RAW_농산물_9월'!$D:$D,$C15,'RAW_농산물_9월'!$A:$A,$E15)-SUMIFS('RAW_농산물_8월'!$H:$H,'RAW_농산물_8월'!$D:$D,$C15,'RAW_농산물_8월'!$A:$A,$E15)))</f>
        <v/>
      </c>
      <c r="Q15" s="7" t="str">
        <f>IF($C15="","",IF(COUNTA('RAW_농산물_10월'!$A:$A)&lt;=1,"",SUMIFS('RAW_농산물_10월'!$H:$H,'RAW_농산물_10월'!$D:$D,$C15,'RAW_농산물_10월'!$A:$A,$E15)-SUMIFS('RAW_농산물_9월'!$H:$H,'RAW_농산물_9월'!$D:$D,$C15,'RAW_농산물_9월'!$A:$A,$E15)))</f>
        <v/>
      </c>
      <c r="R15" s="7" t="str">
        <f>IF($C15="","",IF(COUNTA('RAW_농산물_11-12월'!$A:$A)&lt;=1,"",SUMIFS('RAW_농산물_11-12월'!$H:$H,'RAW_농산물_11-12월'!$D:$D,$C15,'RAW_농산물_11-12월'!$A:$A,$E15)-SUMIFS('RAW_농산물_10월'!$H:$H,'RAW_농산물_10월'!$D:$D,$C15,'RAW_농산물_10월'!$A:$A,$E15)))</f>
        <v/>
      </c>
      <c r="S15" s="17" t="str">
        <f t="shared" si="4"/>
        <v>O</v>
      </c>
      <c r="T15" s="17" t="str">
        <f t="shared" si="5"/>
        <v>500만원 미만</v>
      </c>
      <c r="U15" s="7">
        <f>IF($C15="",0,IF('설정'!$B$3=0,0,CHOOSE('설정'!$B$3,COUNTIFS('RAW_농산물_7월'!$D:$D,$C15,'RAW_농산물_7월'!$A:$A,$E15),COUNTIFS('RAW_농산물_8월'!$D:$D,$C15,'RAW_농산물_8월'!$A:$A,$E15),COUNTIFS('RAW_농산물_9월'!$D:$D,$C15,'RAW_농산물_9월'!$A:$A,$E15),COUNTIFS('RAW_농산물_10월'!$D:$D,$C15,'RAW_농산물_10월'!$A:$A,$E15),COUNTIFS('RAW_농산물_11-12월'!$D:$D,$C15,'RAW_농산물_11-12월'!$A:$A,$E15))))</f>
        <v>17</v>
      </c>
    </row>
    <row r="16">
      <c r="A16" s="5">
        <v>14.0</v>
      </c>
      <c r="B16" s="5" t="s">
        <v>145</v>
      </c>
      <c r="C16" s="5" t="s">
        <v>252</v>
      </c>
      <c r="D16" s="6" t="s">
        <v>253</v>
      </c>
      <c r="E16" s="5" t="s">
        <v>92</v>
      </c>
      <c r="F16" s="7">
        <f>IF($C16="","",IF('설정'!$B$3=0,"",CHOOSE('설정'!$B$3,SUMIFS('RAW_농산물_7월'!$F:$F,'RAW_농산물_7월'!$D:$D,$C16,'RAW_농산물_7월'!$A:$A,$E16),SUMIFS('RAW_농산물_8월'!$F:$F,'RAW_농산물_8월'!$D:$D,$C16,'RAW_농산물_8월'!$A:$A,$E16),SUMIFS('RAW_농산물_9월'!$F:$F,'RAW_농산물_9월'!$D:$D,$C16,'RAW_농산물_9월'!$A:$A,$E16),SUMIFS('RAW_농산물_10월'!$F:$F,'RAW_농산물_10월'!$D:$D,$C16,'RAW_농산물_10월'!$A:$A,$E16),SUMIFS('RAW_농산물_11-12월'!$F:$F,'RAW_농산물_11-12월'!$D:$D,$C16,'RAW_농산물_11-12월'!$A:$A,$E16))))</f>
        <v>480</v>
      </c>
      <c r="G16" s="7">
        <f>IF($C16="","",IF('설정'!$B$3=0,"",CHOOSE('설정'!$B$3,SUMIFS('RAW_농산물_7월'!$G:$G,'RAW_농산물_7월'!$D:$D,$C16,'RAW_농산물_7월'!$A:$A,$E16),SUMIFS('RAW_농산물_8월'!$G:$G,'RAW_농산물_8월'!$D:$D,$C16,'RAW_농산물_8월'!$A:$A,$E16),SUMIFS('RAW_농산물_9월'!$G:$G,'RAW_농산물_9월'!$D:$D,$C16,'RAW_농산물_9월'!$A:$A,$E16),SUMIFS('RAW_농산물_10월'!$G:$G,'RAW_농산물_10월'!$D:$D,$C16,'RAW_농산물_10월'!$A:$A,$E16),SUMIFS('RAW_농산물_11-12월'!$G:$G,'RAW_농산물_11-12월'!$D:$D,$C16,'RAW_농산물_11-12월'!$A:$A,$E16))))</f>
        <v>18557000</v>
      </c>
      <c r="H16" s="14">
        <f>IF($C16="","",IF('설정'!$B$3=0,"",CHOOSE('설정'!$B$3,SUMIFS('RAW_농산물_7월'!$H:$H,'RAW_농산물_7월'!$D:$D,$C16,'RAW_농산물_7월'!$A:$A,$E16),SUMIFS('RAW_농산물_8월'!$H:$H,'RAW_농산물_8월'!$D:$D,$C16,'RAW_농산물_8월'!$A:$A,$E16),SUMIFS('RAW_농산물_9월'!$H:$H,'RAW_농산물_9월'!$D:$D,$C16,'RAW_농산물_9월'!$A:$A,$E16),SUMIFS('RAW_농산물_10월'!$H:$H,'RAW_농산물_10월'!$D:$D,$C16,'RAW_농산물_10월'!$A:$A,$E16),SUMIFS('RAW_농산물_11-12월'!$H:$H,'RAW_농산물_11-12월'!$D:$D,$C16,'RAW_농산물_11-12월'!$A:$A,$E16))))</f>
        <v>1065800</v>
      </c>
      <c r="I16" s="17" t="str">
        <f>IF($C16="","",IF(COUNTIFS('RAW_농산물_7월'!$D:$D,$C16,'RAW_농산물_7월'!$A:$A,$E16)&gt;0,"O",""))</f>
        <v>O</v>
      </c>
      <c r="J16" s="17" t="str">
        <f>IF($C16="","",IF(COUNTIFS('RAW_농산물_8월'!$D:$D,$C16,'RAW_농산물_8월'!$A:$A,$E16)&gt;0,"O",""))</f>
        <v>O</v>
      </c>
      <c r="K16" s="17" t="str">
        <f>IF($C16="","",IF(COUNTIFS('RAW_농산물_9월'!$D:$D,$C16,'RAW_농산물_9월'!$A:$A,$E16)&gt;0,"O",""))</f>
        <v/>
      </c>
      <c r="L16" s="17" t="str">
        <f>IF($C16="","",IF(COUNTIFS('RAW_농산물_10월'!$D:$D,$C16,'RAW_농산물_10월'!$A:$A,$E16)&gt;0,"O",""))</f>
        <v/>
      </c>
      <c r="M16" s="17" t="str">
        <f>IF($C16="","",IF(COUNTIFS('RAW_농산물_11-12월'!$D:$D,$C16,'RAW_농산물_11-12월'!$A:$A,$E16)&gt;0,"O",""))</f>
        <v/>
      </c>
      <c r="N16" s="7">
        <f>IF($C16="","",IF(COUNTA('RAW_농산물_7월'!$A:$A)&lt;=1,"",SUMIFS('RAW_농산물_7월'!$H:$H,'RAW_농산물_7월'!$D:$D,$C16,'RAW_농산물_7월'!$A:$A,$E16)))</f>
        <v>427800</v>
      </c>
      <c r="O16" s="7">
        <f>IF($C16="","",IF(COUNTA('RAW_농산물_8월'!$A:$A)&lt;=1,"",SUMIFS('RAW_농산물_8월'!$H:$H,'RAW_농산물_8월'!$D:$D,$C16,'RAW_농산물_8월'!$A:$A,$E16)-SUMIFS('RAW_농산물_7월'!$H:$H,'RAW_농산물_7월'!$D:$D,$C16,'RAW_농산물_7월'!$A:$A,$E16)))</f>
        <v>638000</v>
      </c>
      <c r="P16" s="7" t="str">
        <f>IF($C16="","",IF(COUNTA('RAW_농산물_9월'!$A:$A)&lt;=1,"",SUMIFS('RAW_농산물_9월'!$H:$H,'RAW_농산물_9월'!$D:$D,$C16,'RAW_농산물_9월'!$A:$A,$E16)-SUMIFS('RAW_농산물_8월'!$H:$H,'RAW_농산물_8월'!$D:$D,$C16,'RAW_농산물_8월'!$A:$A,$E16)))</f>
        <v/>
      </c>
      <c r="Q16" s="7" t="str">
        <f>IF($C16="","",IF(COUNTA('RAW_농산물_10월'!$A:$A)&lt;=1,"",SUMIFS('RAW_농산물_10월'!$H:$H,'RAW_농산물_10월'!$D:$D,$C16,'RAW_농산물_10월'!$A:$A,$E16)-SUMIFS('RAW_농산물_9월'!$H:$H,'RAW_농산물_9월'!$D:$D,$C16,'RAW_농산물_9월'!$A:$A,$E16)))</f>
        <v/>
      </c>
      <c r="R16" s="7" t="str">
        <f>IF($C16="","",IF(COUNTA('RAW_농산물_11-12월'!$A:$A)&lt;=1,"",SUMIFS('RAW_농산물_11-12월'!$H:$H,'RAW_농산물_11-12월'!$D:$D,$C16,'RAW_농산물_11-12월'!$A:$A,$E16)-SUMIFS('RAW_농산물_10월'!$H:$H,'RAW_농산물_10월'!$D:$D,$C16,'RAW_농산물_10월'!$A:$A,$E16)))</f>
        <v/>
      </c>
      <c r="S16" s="17" t="str">
        <f t="shared" si="4"/>
        <v>O</v>
      </c>
      <c r="T16" s="17" t="str">
        <f t="shared" si="5"/>
        <v>200만원 미만</v>
      </c>
      <c r="U16" s="7">
        <f>IF($C16="",0,IF('설정'!$B$3=0,0,CHOOSE('설정'!$B$3,COUNTIFS('RAW_농산물_7월'!$D:$D,$C16,'RAW_농산물_7월'!$A:$A,$E16),COUNTIFS('RAW_농산물_8월'!$D:$D,$C16,'RAW_농산물_8월'!$A:$A,$E16),COUNTIFS('RAW_농산물_9월'!$D:$D,$C16,'RAW_농산물_9월'!$A:$A,$E16),COUNTIFS('RAW_농산물_10월'!$D:$D,$C16,'RAW_농산물_10월'!$A:$A,$E16),COUNTIFS('RAW_농산물_11-12월'!$D:$D,$C16,'RAW_농산물_11-12월'!$A:$A,$E16))))</f>
        <v>6</v>
      </c>
    </row>
    <row r="17">
      <c r="A17" s="5">
        <v>15.0</v>
      </c>
      <c r="B17" s="5" t="s">
        <v>108</v>
      </c>
      <c r="C17" s="5" t="s">
        <v>259</v>
      </c>
      <c r="D17" s="6" t="s">
        <v>260</v>
      </c>
      <c r="E17" s="5" t="s">
        <v>92</v>
      </c>
      <c r="F17" s="7">
        <f>IF($C17="","",IF('설정'!$B$3=0,"",CHOOSE('설정'!$B$3,SUMIFS('RAW_농산물_7월'!$F:$F,'RAW_농산물_7월'!$D:$D,$C17,'RAW_농산물_7월'!$A:$A,$E17),SUMIFS('RAW_농산물_8월'!$F:$F,'RAW_농산물_8월'!$D:$D,$C17,'RAW_농산물_8월'!$A:$A,$E17),SUMIFS('RAW_농산물_9월'!$F:$F,'RAW_농산물_9월'!$D:$D,$C17,'RAW_농산물_9월'!$A:$A,$E17),SUMIFS('RAW_농산물_10월'!$F:$F,'RAW_농산물_10월'!$D:$D,$C17,'RAW_농산물_10월'!$A:$A,$E17),SUMIFS('RAW_농산물_11-12월'!$F:$F,'RAW_농산물_11-12월'!$D:$D,$C17,'RAW_농산물_11-12월'!$A:$A,$E17))))</f>
        <v>30</v>
      </c>
      <c r="G17" s="7">
        <f>IF($C17="","",IF('설정'!$B$3=0,"",CHOOSE('설정'!$B$3,SUMIFS('RAW_농산물_7월'!$G:$G,'RAW_농산물_7월'!$D:$D,$C17,'RAW_농산물_7월'!$A:$A,$E17),SUMIFS('RAW_농산물_8월'!$G:$G,'RAW_농산물_8월'!$D:$D,$C17,'RAW_농산물_8월'!$A:$A,$E17),SUMIFS('RAW_농산물_9월'!$G:$G,'RAW_농산물_9월'!$D:$D,$C17,'RAW_농산물_9월'!$A:$A,$E17),SUMIFS('RAW_농산물_10월'!$G:$G,'RAW_농산물_10월'!$D:$D,$C17,'RAW_농산물_10월'!$A:$A,$E17),SUMIFS('RAW_농산물_11-12월'!$G:$G,'RAW_농산물_11-12월'!$D:$D,$C17,'RAW_농산물_11-12월'!$A:$A,$E17))))</f>
        <v>599700</v>
      </c>
      <c r="H17" s="14">
        <f>IF($C17="","",IF('설정'!$B$3=0,"",CHOOSE('설정'!$B$3,SUMIFS('RAW_농산물_7월'!$H:$H,'RAW_농산물_7월'!$D:$D,$C17,'RAW_농산물_7월'!$A:$A,$E17),SUMIFS('RAW_농산물_8월'!$H:$H,'RAW_농산물_8월'!$D:$D,$C17,'RAW_농산물_8월'!$A:$A,$E17),SUMIFS('RAW_농산물_9월'!$H:$H,'RAW_농산물_9월'!$D:$D,$C17,'RAW_농산물_9월'!$A:$A,$E17),SUMIFS('RAW_농산물_10월'!$H:$H,'RAW_농산물_10월'!$D:$D,$C17,'RAW_농산물_10월'!$A:$A,$E17),SUMIFS('RAW_농산물_11-12월'!$H:$H,'RAW_농산물_11-12월'!$D:$D,$C17,'RAW_농산물_11-12월'!$A:$A,$E17))))</f>
        <v>33980</v>
      </c>
      <c r="I17" s="17" t="str">
        <f>IF($C17="","",IF(COUNTIFS('RAW_농산물_7월'!$D:$D,$C17,'RAW_농산물_7월'!$A:$A,$E17)&gt;0,"O",""))</f>
        <v>O</v>
      </c>
      <c r="J17" s="17" t="str">
        <f>IF($C17="","",IF(COUNTIFS('RAW_농산물_8월'!$D:$D,$C17,'RAW_농산물_8월'!$A:$A,$E17)&gt;0,"O",""))</f>
        <v>O</v>
      </c>
      <c r="K17" s="17" t="str">
        <f>IF($C17="","",IF(COUNTIFS('RAW_농산물_9월'!$D:$D,$C17,'RAW_농산물_9월'!$A:$A,$E17)&gt;0,"O",""))</f>
        <v/>
      </c>
      <c r="L17" s="17" t="str">
        <f>IF($C17="","",IF(COUNTIFS('RAW_농산물_10월'!$D:$D,$C17,'RAW_농산물_10월'!$A:$A,$E17)&gt;0,"O",""))</f>
        <v/>
      </c>
      <c r="M17" s="17" t="str">
        <f>IF($C17="","",IF(COUNTIFS('RAW_농산물_11-12월'!$D:$D,$C17,'RAW_농산물_11-12월'!$A:$A,$E17)&gt;0,"O",""))</f>
        <v/>
      </c>
      <c r="N17" s="7">
        <f>IF($C17="","",IF(COUNTA('RAW_농산물_7월'!$A:$A)&lt;=1,"",SUMIFS('RAW_농산물_7월'!$H:$H,'RAW_농산물_7월'!$D:$D,$C17,'RAW_농산물_7월'!$A:$A,$E17)))</f>
        <v>33980</v>
      </c>
      <c r="O17" s="7">
        <f>IF($C17="","",IF(COUNTA('RAW_농산물_8월'!$A:$A)&lt;=1,"",SUMIFS('RAW_농산물_8월'!$H:$H,'RAW_농산물_8월'!$D:$D,$C17,'RAW_농산물_8월'!$A:$A,$E17)-SUMIFS('RAW_농산물_7월'!$H:$H,'RAW_농산물_7월'!$D:$D,$C17,'RAW_농산물_7월'!$A:$A,$E17)))</f>
        <v>0</v>
      </c>
      <c r="P17" s="7" t="str">
        <f>IF($C17="","",IF(COUNTA('RAW_농산물_9월'!$A:$A)&lt;=1,"",SUMIFS('RAW_농산물_9월'!$H:$H,'RAW_농산물_9월'!$D:$D,$C17,'RAW_농산물_9월'!$A:$A,$E17)-SUMIFS('RAW_농산물_8월'!$H:$H,'RAW_농산물_8월'!$D:$D,$C17,'RAW_농산물_8월'!$A:$A,$E17)))</f>
        <v/>
      </c>
      <c r="Q17" s="7" t="str">
        <f>IF($C17="","",IF(COUNTA('RAW_농산물_10월'!$A:$A)&lt;=1,"",SUMIFS('RAW_농산물_10월'!$H:$H,'RAW_농산물_10월'!$D:$D,$C17,'RAW_농산물_10월'!$A:$A,$E17)-SUMIFS('RAW_농산물_9월'!$H:$H,'RAW_농산물_9월'!$D:$D,$C17,'RAW_농산물_9월'!$A:$A,$E17)))</f>
        <v/>
      </c>
      <c r="R17" s="7" t="str">
        <f>IF($C17="","",IF(COUNTA('RAW_농산물_11-12월'!$A:$A)&lt;=1,"",SUMIFS('RAW_농산물_11-12월'!$H:$H,'RAW_농산물_11-12월'!$D:$D,$C17,'RAW_농산물_11-12월'!$A:$A,$E17)-SUMIFS('RAW_농산물_10월'!$H:$H,'RAW_농산물_10월'!$D:$D,$C17,'RAW_농산물_10월'!$A:$A,$E17)))</f>
        <v/>
      </c>
      <c r="S17" s="17" t="str">
        <f t="shared" si="4"/>
        <v>O</v>
      </c>
      <c r="T17" s="17" t="str">
        <f t="shared" si="5"/>
        <v>50만원 미만</v>
      </c>
      <c r="U17" s="7">
        <f>IF($C17="",0,IF('설정'!$B$3=0,0,CHOOSE('설정'!$B$3,COUNTIFS('RAW_농산물_7월'!$D:$D,$C17,'RAW_농산물_7월'!$A:$A,$E17),COUNTIFS('RAW_농산물_8월'!$D:$D,$C17,'RAW_농산물_8월'!$A:$A,$E17),COUNTIFS('RAW_농산물_9월'!$D:$D,$C17,'RAW_농산물_9월'!$A:$A,$E17),COUNTIFS('RAW_농산물_10월'!$D:$D,$C17,'RAW_농산물_10월'!$A:$A,$E17),COUNTIFS('RAW_농산물_11-12월'!$D:$D,$C17,'RAW_농산물_11-12월'!$A:$A,$E17))))</f>
        <v>1</v>
      </c>
    </row>
    <row r="18">
      <c r="A18" s="5">
        <v>16.0</v>
      </c>
      <c r="B18" s="5" t="s">
        <v>25</v>
      </c>
      <c r="C18" s="5" t="s">
        <v>265</v>
      </c>
      <c r="D18" s="6" t="s">
        <v>266</v>
      </c>
      <c r="E18" s="5" t="s">
        <v>28</v>
      </c>
      <c r="F18" s="7">
        <f>IF($C18="","",IF('설정'!$B$3=0,"",CHOOSE('설정'!$B$3,SUMIFS('RAW_농산물_7월'!$F:$F,'RAW_농산물_7월'!$D:$D,$C18,'RAW_농산물_7월'!$A:$A,$E18),SUMIFS('RAW_농산물_8월'!$F:$F,'RAW_농산물_8월'!$D:$D,$C18,'RAW_농산물_8월'!$A:$A,$E18),SUMIFS('RAW_농산물_9월'!$F:$F,'RAW_농산물_9월'!$D:$D,$C18,'RAW_농산물_9월'!$A:$A,$E18),SUMIFS('RAW_농산물_10월'!$F:$F,'RAW_농산물_10월'!$D:$D,$C18,'RAW_농산물_10월'!$A:$A,$E18),SUMIFS('RAW_농산물_11-12월'!$F:$F,'RAW_농산물_11-12월'!$D:$D,$C18,'RAW_농산물_11-12월'!$A:$A,$E18))))</f>
        <v>0</v>
      </c>
      <c r="G18" s="7">
        <f>IF($C18="","",IF('설정'!$B$3=0,"",CHOOSE('설정'!$B$3,SUMIFS('RAW_농산물_7월'!$G:$G,'RAW_농산물_7월'!$D:$D,$C18,'RAW_농산물_7월'!$A:$A,$E18),SUMIFS('RAW_농산물_8월'!$G:$G,'RAW_농산물_8월'!$D:$D,$C18,'RAW_농산물_8월'!$A:$A,$E18),SUMIFS('RAW_농산물_9월'!$G:$G,'RAW_농산물_9월'!$D:$D,$C18,'RAW_농산물_9월'!$A:$A,$E18),SUMIFS('RAW_농산물_10월'!$G:$G,'RAW_농산물_10월'!$D:$D,$C18,'RAW_농산물_10월'!$A:$A,$E18),SUMIFS('RAW_농산물_11-12월'!$G:$G,'RAW_농산물_11-12월'!$D:$D,$C18,'RAW_농산물_11-12월'!$A:$A,$E18))))</f>
        <v>0</v>
      </c>
      <c r="H18" s="14">
        <f>IF($C18="","",IF('설정'!$B$3=0,"",CHOOSE('설정'!$B$3,SUMIFS('RAW_농산물_7월'!$H:$H,'RAW_농산물_7월'!$D:$D,$C18,'RAW_농산물_7월'!$A:$A,$E18),SUMIFS('RAW_농산물_8월'!$H:$H,'RAW_농산물_8월'!$D:$D,$C18,'RAW_농산물_8월'!$A:$A,$E18),SUMIFS('RAW_농산물_9월'!$H:$H,'RAW_농산물_9월'!$D:$D,$C18,'RAW_농산물_9월'!$A:$A,$E18),SUMIFS('RAW_농산물_10월'!$H:$H,'RAW_농산물_10월'!$D:$D,$C18,'RAW_농산물_10월'!$A:$A,$E18),SUMIFS('RAW_농산물_11-12월'!$H:$H,'RAW_농산물_11-12월'!$D:$D,$C18,'RAW_농산물_11-12월'!$A:$A,$E18))))</f>
        <v>0</v>
      </c>
      <c r="I18" s="17" t="str">
        <f>IF($C18="","",IF(COUNTIFS('RAW_농산물_7월'!$D:$D,$C18,'RAW_농산물_7월'!$A:$A,$E18)&gt;0,"O",""))</f>
        <v/>
      </c>
      <c r="J18" s="17" t="str">
        <f>IF($C18="","",IF(COUNTIFS('RAW_농산물_8월'!$D:$D,$C18,'RAW_농산물_8월'!$A:$A,$E18)&gt;0,"O",""))</f>
        <v/>
      </c>
      <c r="K18" s="17" t="str">
        <f>IF($C18="","",IF(COUNTIFS('RAW_농산물_9월'!$D:$D,$C18,'RAW_농산물_9월'!$A:$A,$E18)&gt;0,"O",""))</f>
        <v/>
      </c>
      <c r="L18" s="17" t="str">
        <f>IF($C18="","",IF(COUNTIFS('RAW_농산물_10월'!$D:$D,$C18,'RAW_농산물_10월'!$A:$A,$E18)&gt;0,"O",""))</f>
        <v/>
      </c>
      <c r="M18" s="17" t="str">
        <f>IF($C18="","",IF(COUNTIFS('RAW_농산물_11-12월'!$D:$D,$C18,'RAW_농산물_11-12월'!$A:$A,$E18)&gt;0,"O",""))</f>
        <v/>
      </c>
      <c r="N18" s="7">
        <f>IF($C18="","",IF(COUNTA('RAW_농산물_7월'!$A:$A)&lt;=1,"",SUMIFS('RAW_농산물_7월'!$H:$H,'RAW_농산물_7월'!$D:$D,$C18,'RAW_농산물_7월'!$A:$A,$E18)))</f>
        <v>0</v>
      </c>
      <c r="O18" s="7">
        <f>IF($C18="","",IF(COUNTA('RAW_농산물_8월'!$A:$A)&lt;=1,"",SUMIFS('RAW_농산물_8월'!$H:$H,'RAW_농산물_8월'!$D:$D,$C18,'RAW_농산물_8월'!$A:$A,$E18)-SUMIFS('RAW_농산물_7월'!$H:$H,'RAW_농산물_7월'!$D:$D,$C18,'RAW_농산물_7월'!$A:$A,$E18)))</f>
        <v>0</v>
      </c>
      <c r="P18" s="7" t="str">
        <f>IF($C18="","",IF(COUNTA('RAW_농산물_9월'!$A:$A)&lt;=1,"",SUMIFS('RAW_농산물_9월'!$H:$H,'RAW_농산물_9월'!$D:$D,$C18,'RAW_농산물_9월'!$A:$A,$E18)-SUMIFS('RAW_농산물_8월'!$H:$H,'RAW_농산물_8월'!$D:$D,$C18,'RAW_농산물_8월'!$A:$A,$E18)))</f>
        <v/>
      </c>
      <c r="Q18" s="7" t="str">
        <f>IF($C18="","",IF(COUNTA('RAW_농산물_10월'!$A:$A)&lt;=1,"",SUMIFS('RAW_농산물_10월'!$H:$H,'RAW_농산물_10월'!$D:$D,$C18,'RAW_농산물_10월'!$A:$A,$E18)-SUMIFS('RAW_농산물_9월'!$H:$H,'RAW_농산물_9월'!$D:$D,$C18,'RAW_농산물_9월'!$A:$A,$E18)))</f>
        <v/>
      </c>
      <c r="R18" s="7" t="str">
        <f>IF($C18="","",IF(COUNTA('RAW_농산물_11-12월'!$A:$A)&lt;=1,"",SUMIFS('RAW_농산물_11-12월'!$H:$H,'RAW_농산물_11-12월'!$D:$D,$C18,'RAW_농산물_11-12월'!$A:$A,$E18)-SUMIFS('RAW_농산물_10월'!$H:$H,'RAW_농산물_10월'!$D:$D,$C18,'RAW_농산물_10월'!$A:$A,$E18)))</f>
        <v/>
      </c>
      <c r="S18" s="17" t="str">
        <f t="shared" si="4"/>
        <v/>
      </c>
      <c r="T18" s="17" t="str">
        <f t="shared" si="5"/>
        <v>미사용</v>
      </c>
      <c r="U18" s="7">
        <f>IF($C18="",0,IF('설정'!$B$3=0,0,CHOOSE('설정'!$B$3,COUNTIFS('RAW_농산물_7월'!$D:$D,$C18,'RAW_농산물_7월'!$A:$A,$E18),COUNTIFS('RAW_농산물_8월'!$D:$D,$C18,'RAW_농산물_8월'!$A:$A,$E18),COUNTIFS('RAW_농산물_9월'!$D:$D,$C18,'RAW_농산물_9월'!$A:$A,$E18),COUNTIFS('RAW_농산물_10월'!$D:$D,$C18,'RAW_농산물_10월'!$A:$A,$E18),COUNTIFS('RAW_농산물_11-12월'!$D:$D,$C18,'RAW_농산물_11-12월'!$A:$A,$E18))))</f>
        <v>0</v>
      </c>
    </row>
    <row r="19">
      <c r="A19" s="5">
        <v>17.0</v>
      </c>
      <c r="B19" s="5" t="s">
        <v>25</v>
      </c>
      <c r="C19" s="5" t="s">
        <v>269</v>
      </c>
      <c r="D19" s="6" t="s">
        <v>270</v>
      </c>
      <c r="E19" s="5" t="s">
        <v>95</v>
      </c>
      <c r="F19" s="7">
        <f>IF($C19="","",IF('설정'!$B$3=0,"",CHOOSE('설정'!$B$3,SUMIFS('RAW_농산물_7월'!$F:$F,'RAW_농산물_7월'!$D:$D,$C19,'RAW_농산물_7월'!$A:$A,$E19),SUMIFS('RAW_농산물_8월'!$F:$F,'RAW_농산물_8월'!$D:$D,$C19,'RAW_농산물_8월'!$A:$A,$E19),SUMIFS('RAW_농산물_9월'!$F:$F,'RAW_농산물_9월'!$D:$D,$C19,'RAW_농산물_9월'!$A:$A,$E19),SUMIFS('RAW_농산물_10월'!$F:$F,'RAW_농산물_10월'!$D:$D,$C19,'RAW_농산물_10월'!$A:$A,$E19),SUMIFS('RAW_농산물_11-12월'!$F:$F,'RAW_농산물_11-12월'!$D:$D,$C19,'RAW_농산물_11-12월'!$A:$A,$E19))))</f>
        <v>856</v>
      </c>
      <c r="G19" s="7">
        <f>IF($C19="","",IF('설정'!$B$3=0,"",CHOOSE('설정'!$B$3,SUMIFS('RAW_농산물_7월'!$G:$G,'RAW_농산물_7월'!$D:$D,$C19,'RAW_농산물_7월'!$A:$A,$E19),SUMIFS('RAW_농산물_8월'!$G:$G,'RAW_농산물_8월'!$D:$D,$C19,'RAW_농산물_8월'!$A:$A,$E19),SUMIFS('RAW_농산물_9월'!$G:$G,'RAW_농산물_9월'!$D:$D,$C19,'RAW_농산물_9월'!$A:$A,$E19),SUMIFS('RAW_농산물_10월'!$G:$G,'RAW_농산물_10월'!$D:$D,$C19,'RAW_농산물_10월'!$A:$A,$E19),SUMIFS('RAW_농산물_11-12월'!$G:$G,'RAW_농산물_11-12월'!$D:$D,$C19,'RAW_농산물_11-12월'!$A:$A,$E19))))</f>
        <v>10693525</v>
      </c>
      <c r="H19" s="14">
        <f>IF($C19="","",IF('설정'!$B$3=0,"",CHOOSE('설정'!$B$3,SUMIFS('RAW_농산물_7월'!$H:$H,'RAW_농산물_7월'!$D:$D,$C19,'RAW_농산물_7월'!$A:$A,$E19),SUMIFS('RAW_농산물_8월'!$H:$H,'RAW_농산물_8월'!$D:$D,$C19,'RAW_농산물_8월'!$A:$A,$E19),SUMIFS('RAW_농산물_9월'!$H:$H,'RAW_농산물_9월'!$D:$D,$C19,'RAW_농산물_9월'!$A:$A,$E19),SUMIFS('RAW_농산물_10월'!$H:$H,'RAW_농산물_10월'!$D:$D,$C19,'RAW_농산물_10월'!$A:$A,$E19),SUMIFS('RAW_농산물_11-12월'!$H:$H,'RAW_농산물_11-12월'!$D:$D,$C19,'RAW_농산물_11-12월'!$A:$A,$E19))))</f>
        <v>974340</v>
      </c>
      <c r="I19" s="17" t="str">
        <f>IF($C19="","",IF(COUNTIFS('RAW_농산물_7월'!$D:$D,$C19,'RAW_농산물_7월'!$A:$A,$E19)&gt;0,"O",""))</f>
        <v>O</v>
      </c>
      <c r="J19" s="17" t="str">
        <f>IF($C19="","",IF(COUNTIFS('RAW_농산물_8월'!$D:$D,$C19,'RAW_농산물_8월'!$A:$A,$E19)&gt;0,"O",""))</f>
        <v>O</v>
      </c>
      <c r="K19" s="17" t="str">
        <f>IF($C19="","",IF(COUNTIFS('RAW_농산물_9월'!$D:$D,$C19,'RAW_농산물_9월'!$A:$A,$E19)&gt;0,"O",""))</f>
        <v/>
      </c>
      <c r="L19" s="17" t="str">
        <f>IF($C19="","",IF(COUNTIFS('RAW_농산물_10월'!$D:$D,$C19,'RAW_농산물_10월'!$A:$A,$E19)&gt;0,"O",""))</f>
        <v/>
      </c>
      <c r="M19" s="17" t="str">
        <f>IF($C19="","",IF(COUNTIFS('RAW_농산물_11-12월'!$D:$D,$C19,'RAW_농산물_11-12월'!$A:$A,$E19)&gt;0,"O",""))</f>
        <v/>
      </c>
      <c r="N19" s="7">
        <f>IF($C19="","",IF(COUNTA('RAW_농산물_7월'!$A:$A)&lt;=1,"",SUMIFS('RAW_농산물_7월'!$H:$H,'RAW_농산물_7월'!$D:$D,$C19,'RAW_농산물_7월'!$A:$A,$E19)))</f>
        <v>113680</v>
      </c>
      <c r="O19" s="7">
        <f>IF($C19="","",IF(COUNTA('RAW_농산물_8월'!$A:$A)&lt;=1,"",SUMIFS('RAW_농산물_8월'!$H:$H,'RAW_농산물_8월'!$D:$D,$C19,'RAW_농산물_8월'!$A:$A,$E19)-SUMIFS('RAW_농산물_7월'!$H:$H,'RAW_농산물_7월'!$D:$D,$C19,'RAW_농산물_7월'!$A:$A,$E19)))</f>
        <v>860660</v>
      </c>
      <c r="P19" s="7" t="str">
        <f>IF($C19="","",IF(COUNTA('RAW_농산물_9월'!$A:$A)&lt;=1,"",SUMIFS('RAW_농산물_9월'!$H:$H,'RAW_농산물_9월'!$D:$D,$C19,'RAW_농산물_9월'!$A:$A,$E19)-SUMIFS('RAW_농산물_8월'!$H:$H,'RAW_농산물_8월'!$D:$D,$C19,'RAW_농산물_8월'!$A:$A,$E19)))</f>
        <v/>
      </c>
      <c r="Q19" s="7" t="str">
        <f>IF($C19="","",IF(COUNTA('RAW_농산물_10월'!$A:$A)&lt;=1,"",SUMIFS('RAW_농산물_10월'!$H:$H,'RAW_농산물_10월'!$D:$D,$C19,'RAW_농산물_10월'!$A:$A,$E19)-SUMIFS('RAW_농산물_9월'!$H:$H,'RAW_농산물_9월'!$D:$D,$C19,'RAW_농산물_9월'!$A:$A,$E19)))</f>
        <v/>
      </c>
      <c r="R19" s="7" t="str">
        <f>IF($C19="","",IF(COUNTA('RAW_농산물_11-12월'!$A:$A)&lt;=1,"",SUMIFS('RAW_농산물_11-12월'!$H:$H,'RAW_농산물_11-12월'!$D:$D,$C19,'RAW_농산물_11-12월'!$A:$A,$E19)-SUMIFS('RAW_농산물_10월'!$H:$H,'RAW_농산물_10월'!$D:$D,$C19,'RAW_농산물_10월'!$A:$A,$E19)))</f>
        <v/>
      </c>
      <c r="S19" s="17" t="str">
        <f t="shared" si="4"/>
        <v>O</v>
      </c>
      <c r="T19" s="17" t="str">
        <f t="shared" si="5"/>
        <v>100만원 미만</v>
      </c>
      <c r="U19" s="7">
        <f>IF($C19="",0,IF('설정'!$B$3=0,0,CHOOSE('설정'!$B$3,COUNTIFS('RAW_농산물_7월'!$D:$D,$C19,'RAW_농산물_7월'!$A:$A,$E19),COUNTIFS('RAW_농산물_8월'!$D:$D,$C19,'RAW_농산물_8월'!$A:$A,$E19),COUNTIFS('RAW_농산물_9월'!$D:$D,$C19,'RAW_농산물_9월'!$A:$A,$E19),COUNTIFS('RAW_농산물_10월'!$D:$D,$C19,'RAW_농산물_10월'!$A:$A,$E19),COUNTIFS('RAW_농산물_11-12월'!$D:$D,$C19,'RAW_농산물_11-12월'!$A:$A,$E19))))</f>
        <v>1</v>
      </c>
    </row>
    <row r="20">
      <c r="A20" s="5">
        <v>18.0</v>
      </c>
      <c r="B20" s="5" t="s">
        <v>145</v>
      </c>
      <c r="C20" s="5" t="s">
        <v>357</v>
      </c>
      <c r="D20" s="6" t="s">
        <v>358</v>
      </c>
      <c r="E20" s="5" t="s">
        <v>92</v>
      </c>
      <c r="F20" s="7">
        <f>IF($C20="","",IF('설정'!$B$3=0,"",CHOOSE('설정'!$B$3,SUMIFS('RAW_농산물_7월'!$F:$F,'RAW_농산물_7월'!$D:$D,$C20,'RAW_농산물_7월'!$A:$A,$E20),SUMIFS('RAW_농산물_8월'!$F:$F,'RAW_농산물_8월'!$D:$D,$C20,'RAW_농산물_8월'!$A:$A,$E20),SUMIFS('RAW_농산물_9월'!$F:$F,'RAW_농산물_9월'!$D:$D,$C20,'RAW_농산물_9월'!$A:$A,$E20),SUMIFS('RAW_농산물_10월'!$F:$F,'RAW_농산물_10월'!$D:$D,$C20,'RAW_농산물_10월'!$A:$A,$E20),SUMIFS('RAW_농산물_11-12월'!$F:$F,'RAW_농산물_11-12월'!$D:$D,$C20,'RAW_농산물_11-12월'!$A:$A,$E20))))</f>
        <v>0</v>
      </c>
      <c r="G20" s="7">
        <f>IF($C20="","",IF('설정'!$B$3=0,"",CHOOSE('설정'!$B$3,SUMIFS('RAW_농산물_7월'!$G:$G,'RAW_농산물_7월'!$D:$D,$C20,'RAW_농산물_7월'!$A:$A,$E20),SUMIFS('RAW_농산물_8월'!$G:$G,'RAW_농산물_8월'!$D:$D,$C20,'RAW_농산물_8월'!$A:$A,$E20),SUMIFS('RAW_농산물_9월'!$G:$G,'RAW_농산물_9월'!$D:$D,$C20,'RAW_농산물_9월'!$A:$A,$E20),SUMIFS('RAW_농산물_10월'!$G:$G,'RAW_농산물_10월'!$D:$D,$C20,'RAW_농산물_10월'!$A:$A,$E20),SUMIFS('RAW_농산물_11-12월'!$G:$G,'RAW_농산물_11-12월'!$D:$D,$C20,'RAW_농산물_11-12월'!$A:$A,$E20))))</f>
        <v>0</v>
      </c>
      <c r="H20" s="14">
        <f>IF($C20="","",IF('설정'!$B$3=0,"",CHOOSE('설정'!$B$3,SUMIFS('RAW_농산물_7월'!$H:$H,'RAW_농산물_7월'!$D:$D,$C20,'RAW_농산물_7월'!$A:$A,$E20),SUMIFS('RAW_농산물_8월'!$H:$H,'RAW_농산물_8월'!$D:$D,$C20,'RAW_농산물_8월'!$A:$A,$E20),SUMIFS('RAW_농산물_9월'!$H:$H,'RAW_농산물_9월'!$D:$D,$C20,'RAW_농산물_9월'!$A:$A,$E20),SUMIFS('RAW_농산물_10월'!$H:$H,'RAW_농산물_10월'!$D:$D,$C20,'RAW_농산물_10월'!$A:$A,$E20),SUMIFS('RAW_농산물_11-12월'!$H:$H,'RAW_농산물_11-12월'!$D:$D,$C20,'RAW_농산물_11-12월'!$A:$A,$E20))))</f>
        <v>0</v>
      </c>
      <c r="I20" s="17" t="str">
        <f>IF($C20="","",IF(COUNTIFS('RAW_농산물_7월'!$D:$D,$C20,'RAW_농산물_7월'!$A:$A,$E20)&gt;0,"O",""))</f>
        <v/>
      </c>
      <c r="J20" s="17" t="str">
        <f>IF($C20="","",IF(COUNTIFS('RAW_농산물_8월'!$D:$D,$C20,'RAW_농산물_8월'!$A:$A,$E20)&gt;0,"O",""))</f>
        <v/>
      </c>
      <c r="K20" s="17" t="str">
        <f>IF($C20="","",IF(COUNTIFS('RAW_농산물_9월'!$D:$D,$C20,'RAW_농산물_9월'!$A:$A,$E20)&gt;0,"O",""))</f>
        <v/>
      </c>
      <c r="L20" s="17" t="str">
        <f>IF($C20="","",IF(COUNTIFS('RAW_농산물_10월'!$D:$D,$C20,'RAW_농산물_10월'!$A:$A,$E20)&gt;0,"O",""))</f>
        <v/>
      </c>
      <c r="M20" s="17" t="str">
        <f>IF($C20="","",IF(COUNTIFS('RAW_농산물_11-12월'!$D:$D,$C20,'RAW_농산물_11-12월'!$A:$A,$E20)&gt;0,"O",""))</f>
        <v/>
      </c>
      <c r="N20" s="7">
        <f>IF($C20="","",IF(COUNTA('RAW_농산물_7월'!$A:$A)&lt;=1,"",SUMIFS('RAW_농산물_7월'!$H:$H,'RAW_농산물_7월'!$D:$D,$C20,'RAW_농산물_7월'!$A:$A,$E20)))</f>
        <v>0</v>
      </c>
      <c r="O20" s="7">
        <f>IF($C20="","",IF(COUNTA('RAW_농산물_8월'!$A:$A)&lt;=1,"",SUMIFS('RAW_농산물_8월'!$H:$H,'RAW_농산물_8월'!$D:$D,$C20,'RAW_농산물_8월'!$A:$A,$E20)-SUMIFS('RAW_농산물_7월'!$H:$H,'RAW_농산물_7월'!$D:$D,$C20,'RAW_농산물_7월'!$A:$A,$E20)))</f>
        <v>0</v>
      </c>
      <c r="P20" s="7" t="str">
        <f>IF($C20="","",IF(COUNTA('RAW_농산물_9월'!$A:$A)&lt;=1,"",SUMIFS('RAW_농산물_9월'!$H:$H,'RAW_농산물_9월'!$D:$D,$C20,'RAW_농산물_9월'!$A:$A,$E20)-SUMIFS('RAW_농산물_8월'!$H:$H,'RAW_농산물_8월'!$D:$D,$C20,'RAW_농산물_8월'!$A:$A,$E20)))</f>
        <v/>
      </c>
      <c r="Q20" s="7" t="str">
        <f>IF($C20="","",IF(COUNTA('RAW_농산물_10월'!$A:$A)&lt;=1,"",SUMIFS('RAW_농산물_10월'!$H:$H,'RAW_농산물_10월'!$D:$D,$C20,'RAW_농산물_10월'!$A:$A,$E20)-SUMIFS('RAW_농산물_9월'!$H:$H,'RAW_농산물_9월'!$D:$D,$C20,'RAW_농산물_9월'!$A:$A,$E20)))</f>
        <v/>
      </c>
      <c r="R20" s="7" t="str">
        <f>IF($C20="","",IF(COUNTA('RAW_농산물_11-12월'!$A:$A)&lt;=1,"",SUMIFS('RAW_농산물_11-12월'!$H:$H,'RAW_농산물_11-12월'!$D:$D,$C20,'RAW_농산물_11-12월'!$A:$A,$E20)-SUMIFS('RAW_농산물_10월'!$H:$H,'RAW_농산물_10월'!$D:$D,$C20,'RAW_농산물_10월'!$A:$A,$E20)))</f>
        <v/>
      </c>
      <c r="S20" s="17" t="str">
        <f t="shared" si="4"/>
        <v/>
      </c>
      <c r="T20" s="17" t="str">
        <f t="shared" si="5"/>
        <v>미사용</v>
      </c>
      <c r="U20" s="7">
        <f>IF($C20="",0,IF('설정'!$B$3=0,0,CHOOSE('설정'!$B$3,COUNTIFS('RAW_농산물_7월'!$D:$D,$C20,'RAW_농산물_7월'!$A:$A,$E20),COUNTIFS('RAW_농산물_8월'!$D:$D,$C20,'RAW_농산물_8월'!$A:$A,$E20),COUNTIFS('RAW_농산물_9월'!$D:$D,$C20,'RAW_농산물_9월'!$A:$A,$E20),COUNTIFS('RAW_농산물_10월'!$D:$D,$C20,'RAW_농산물_10월'!$A:$A,$E20),COUNTIFS('RAW_농산물_11-12월'!$D:$D,$C20,'RAW_농산물_11-12월'!$A:$A,$E20))))</f>
        <v>0</v>
      </c>
    </row>
    <row r="21" ht="15.75" customHeight="1">
      <c r="A21" s="5">
        <v>19.0</v>
      </c>
      <c r="B21" s="5" t="s">
        <v>25</v>
      </c>
      <c r="C21" s="5" t="s">
        <v>503</v>
      </c>
      <c r="D21" s="6" t="s">
        <v>504</v>
      </c>
      <c r="E21" s="5" t="s">
        <v>93</v>
      </c>
      <c r="F21" s="7">
        <f>IF($C21="","",IF('설정'!$B$3=0,"",CHOOSE('설정'!$B$3,SUMIFS('RAW_농산물_7월'!$F:$F,'RAW_농산물_7월'!$D:$D,$C21,'RAW_농산물_7월'!$A:$A,$E21),SUMIFS('RAW_농산물_8월'!$F:$F,'RAW_농산물_8월'!$D:$D,$C21,'RAW_농산물_8월'!$A:$A,$E21),SUMIFS('RAW_농산물_9월'!$F:$F,'RAW_농산물_9월'!$D:$D,$C21,'RAW_농산물_9월'!$A:$A,$E21),SUMIFS('RAW_농산물_10월'!$F:$F,'RAW_농산물_10월'!$D:$D,$C21,'RAW_농산물_10월'!$A:$A,$E21),SUMIFS('RAW_농산물_11-12월'!$F:$F,'RAW_농산물_11-12월'!$D:$D,$C21,'RAW_농산물_11-12월'!$A:$A,$E21))))</f>
        <v>4</v>
      </c>
      <c r="G21" s="7">
        <f>IF($C21="","",IF('설정'!$B$3=0,"",CHOOSE('설정'!$B$3,SUMIFS('RAW_농산물_7월'!$G:$G,'RAW_농산물_7월'!$D:$D,$C21,'RAW_농산물_7월'!$A:$A,$E21),SUMIFS('RAW_농산물_8월'!$G:$G,'RAW_농산물_8월'!$D:$D,$C21,'RAW_농산물_8월'!$A:$A,$E21),SUMIFS('RAW_농산물_9월'!$G:$G,'RAW_농산물_9월'!$D:$D,$C21,'RAW_농산물_9월'!$A:$A,$E21),SUMIFS('RAW_농산물_10월'!$G:$G,'RAW_농산물_10월'!$D:$D,$C21,'RAW_농산물_10월'!$A:$A,$E21),SUMIFS('RAW_농산물_11-12월'!$G:$G,'RAW_농산물_11-12월'!$D:$D,$C21,'RAW_농산물_11-12월'!$A:$A,$E21))))</f>
        <v>187600</v>
      </c>
      <c r="H21" s="14">
        <f>IF($C21="","",IF('설정'!$B$3=0,"",CHOOSE('설정'!$B$3,SUMIFS('RAW_농산물_7월'!$H:$H,'RAW_농산물_7월'!$D:$D,$C21,'RAW_농산물_7월'!$A:$A,$E21),SUMIFS('RAW_농산물_8월'!$H:$H,'RAW_농산물_8월'!$D:$D,$C21,'RAW_농산물_8월'!$A:$A,$E21),SUMIFS('RAW_농산물_9월'!$H:$H,'RAW_농산물_9월'!$D:$D,$C21,'RAW_농산물_9월'!$A:$A,$E21),SUMIFS('RAW_농산물_10월'!$H:$H,'RAW_농산물_10월'!$D:$D,$C21,'RAW_농산물_10월'!$A:$A,$E21),SUMIFS('RAW_농산물_11-12월'!$H:$H,'RAW_농산물_11-12월'!$D:$D,$C21,'RAW_농산물_11-12월'!$A:$A,$E21))))</f>
        <v>0</v>
      </c>
      <c r="I21" s="17" t="str">
        <f>IF($C21="","",IF(COUNTIFS('RAW_농산물_7월'!$D:$D,$C21,'RAW_농산물_7월'!$A:$A,$E21)&gt;0,"O",""))</f>
        <v>O</v>
      </c>
      <c r="J21" s="17" t="str">
        <f>IF($C21="","",IF(COUNTIFS('RAW_농산물_8월'!$D:$D,$C21,'RAW_농산물_8월'!$A:$A,$E21)&gt;0,"O",""))</f>
        <v>O</v>
      </c>
      <c r="K21" s="17" t="str">
        <f>IF($C21="","",IF(COUNTIFS('RAW_농산물_9월'!$D:$D,$C21,'RAW_농산물_9월'!$A:$A,$E21)&gt;0,"O",""))</f>
        <v/>
      </c>
      <c r="L21" s="17" t="str">
        <f>IF($C21="","",IF(COUNTIFS('RAW_농산물_10월'!$D:$D,$C21,'RAW_농산물_10월'!$A:$A,$E21)&gt;0,"O",""))</f>
        <v/>
      </c>
      <c r="M21" s="17" t="str">
        <f>IF($C21="","",IF(COUNTIFS('RAW_농산물_11-12월'!$D:$D,$C21,'RAW_농산물_11-12월'!$A:$A,$E21)&gt;0,"O",""))</f>
        <v/>
      </c>
      <c r="N21" s="7">
        <f>IF($C21="","",IF(COUNTA('RAW_농산물_7월'!$A:$A)&lt;=1,"",SUMIFS('RAW_농산물_7월'!$H:$H,'RAW_농산물_7월'!$D:$D,$C21,'RAW_농산물_7월'!$A:$A,$E21)))</f>
        <v>0</v>
      </c>
      <c r="O21" s="7">
        <f>IF($C21="","",IF(COUNTA('RAW_농산물_8월'!$A:$A)&lt;=1,"",SUMIFS('RAW_농산물_8월'!$H:$H,'RAW_농산물_8월'!$D:$D,$C21,'RAW_농산물_8월'!$A:$A,$E21)-SUMIFS('RAW_농산물_7월'!$H:$H,'RAW_농산물_7월'!$D:$D,$C21,'RAW_농산물_7월'!$A:$A,$E21)))</f>
        <v>0</v>
      </c>
      <c r="P21" s="7" t="str">
        <f>IF($C21="","",IF(COUNTA('RAW_농산물_9월'!$A:$A)&lt;=1,"",SUMIFS('RAW_농산물_9월'!$H:$H,'RAW_농산물_9월'!$D:$D,$C21,'RAW_농산물_9월'!$A:$A,$E21)-SUMIFS('RAW_농산물_8월'!$H:$H,'RAW_농산물_8월'!$D:$D,$C21,'RAW_농산물_8월'!$A:$A,$E21)))</f>
        <v/>
      </c>
      <c r="Q21" s="7" t="str">
        <f>IF($C21="","",IF(COUNTA('RAW_농산물_10월'!$A:$A)&lt;=1,"",SUMIFS('RAW_농산물_10월'!$H:$H,'RAW_농산물_10월'!$D:$D,$C21,'RAW_농산물_10월'!$A:$A,$E21)-SUMIFS('RAW_농산물_9월'!$H:$H,'RAW_농산물_9월'!$D:$D,$C21,'RAW_농산물_9월'!$A:$A,$E21)))</f>
        <v/>
      </c>
      <c r="R21" s="7" t="str">
        <f>IF($C21="","",IF(COUNTA('RAW_농산물_11-12월'!$A:$A)&lt;=1,"",SUMIFS('RAW_농산물_11-12월'!$H:$H,'RAW_농산물_11-12월'!$D:$D,$C21,'RAW_농산물_11-12월'!$A:$A,$E21)-SUMIFS('RAW_농산물_10월'!$H:$H,'RAW_농산물_10월'!$D:$D,$C21,'RAW_농산물_10월'!$A:$A,$E21)))</f>
        <v/>
      </c>
      <c r="S21" s="17" t="str">
        <f t="shared" si="4"/>
        <v>O</v>
      </c>
      <c r="T21" s="17" t="str">
        <f t="shared" si="5"/>
        <v>미사용</v>
      </c>
      <c r="U21" s="7">
        <f>IF($C21="",0,IF('설정'!$B$3=0,0,CHOOSE('설정'!$B$3,COUNTIFS('RAW_농산물_7월'!$D:$D,$C21,'RAW_농산물_7월'!$A:$A,$E21),COUNTIFS('RAW_농산물_8월'!$D:$D,$C21,'RAW_농산물_8월'!$A:$A,$E21),COUNTIFS('RAW_농산물_9월'!$D:$D,$C21,'RAW_농산물_9월'!$A:$A,$E21),COUNTIFS('RAW_농산물_10월'!$D:$D,$C21,'RAW_농산물_10월'!$A:$A,$E21),COUNTIFS('RAW_농산물_11-12월'!$D:$D,$C21,'RAW_농산물_11-12월'!$A:$A,$E21))))</f>
        <v>1</v>
      </c>
    </row>
    <row r="22" ht="15.75" customHeight="1">
      <c r="A22" s="5">
        <v>20.0</v>
      </c>
      <c r="B22" s="5" t="s">
        <v>145</v>
      </c>
      <c r="C22" s="5" t="s">
        <v>601</v>
      </c>
      <c r="D22" s="6" t="s">
        <v>602</v>
      </c>
      <c r="E22" s="5" t="s">
        <v>92</v>
      </c>
      <c r="F22" s="7">
        <f>IF($C22="","",IF('설정'!$B$3=0,"",CHOOSE('설정'!$B$3,SUMIFS('RAW_농산물_7월'!$F:$F,'RAW_농산물_7월'!$D:$D,$C22,'RAW_농산물_7월'!$A:$A,$E22),SUMIFS('RAW_농산물_8월'!$F:$F,'RAW_농산물_8월'!$D:$D,$C22,'RAW_농산물_8월'!$A:$A,$E22),SUMIFS('RAW_농산물_9월'!$F:$F,'RAW_농산물_9월'!$D:$D,$C22,'RAW_농산물_9월'!$A:$A,$E22),SUMIFS('RAW_농산물_10월'!$F:$F,'RAW_농산물_10월'!$D:$D,$C22,'RAW_농산물_10월'!$A:$A,$E22),SUMIFS('RAW_농산물_11-12월'!$F:$F,'RAW_농산물_11-12월'!$D:$D,$C22,'RAW_농산물_11-12월'!$A:$A,$E22))))</f>
        <v>5</v>
      </c>
      <c r="G22" s="7">
        <f>IF($C22="","",IF('설정'!$B$3=0,"",CHOOSE('설정'!$B$3,SUMIFS('RAW_농산물_7월'!$G:$G,'RAW_농산물_7월'!$D:$D,$C22,'RAW_농산물_7월'!$A:$A,$E22),SUMIFS('RAW_농산물_8월'!$G:$G,'RAW_농산물_8월'!$D:$D,$C22,'RAW_농산물_8월'!$A:$A,$E22),SUMIFS('RAW_농산물_9월'!$G:$G,'RAW_농산물_9월'!$D:$D,$C22,'RAW_농산물_9월'!$A:$A,$E22),SUMIFS('RAW_농산물_10월'!$G:$G,'RAW_농산물_10월'!$D:$D,$C22,'RAW_농산물_10월'!$A:$A,$E22),SUMIFS('RAW_농산물_11-12월'!$G:$G,'RAW_농산물_11-12월'!$D:$D,$C22,'RAW_농산물_11-12월'!$A:$A,$E22))))</f>
        <v>240000</v>
      </c>
      <c r="H22" s="14">
        <f>IF($C22="","",IF('설정'!$B$3=0,"",CHOOSE('설정'!$B$3,SUMIFS('RAW_농산물_7월'!$H:$H,'RAW_농산물_7월'!$D:$D,$C22,'RAW_농산물_7월'!$A:$A,$E22),SUMIFS('RAW_농산물_8월'!$H:$H,'RAW_농산물_8월'!$D:$D,$C22,'RAW_농산물_8월'!$A:$A,$E22),SUMIFS('RAW_농산물_9월'!$H:$H,'RAW_농산물_9월'!$D:$D,$C22,'RAW_농산물_9월'!$A:$A,$E22),SUMIFS('RAW_농산물_10월'!$H:$H,'RAW_농산물_10월'!$D:$D,$C22,'RAW_농산물_10월'!$A:$A,$E22),SUMIFS('RAW_농산물_11-12월'!$H:$H,'RAW_농산물_11-12월'!$D:$D,$C22,'RAW_농산물_11-12월'!$A:$A,$E22))))</f>
        <v>0</v>
      </c>
      <c r="I22" s="17" t="str">
        <f>IF($C22="","",IF(COUNTIFS('RAW_농산물_7월'!$D:$D,$C22,'RAW_농산물_7월'!$A:$A,$E22)&gt;0,"O",""))</f>
        <v>O</v>
      </c>
      <c r="J22" s="17" t="str">
        <f>IF($C22="","",IF(COUNTIFS('RAW_농산물_8월'!$D:$D,$C22,'RAW_농산물_8월'!$A:$A,$E22)&gt;0,"O",""))</f>
        <v>O</v>
      </c>
      <c r="K22" s="17" t="str">
        <f>IF($C22="","",IF(COUNTIFS('RAW_농산물_9월'!$D:$D,$C22,'RAW_농산물_9월'!$A:$A,$E22)&gt;0,"O",""))</f>
        <v/>
      </c>
      <c r="L22" s="17" t="str">
        <f>IF($C22="","",IF(COUNTIFS('RAW_농산물_10월'!$D:$D,$C22,'RAW_농산물_10월'!$A:$A,$E22)&gt;0,"O",""))</f>
        <v/>
      </c>
      <c r="M22" s="17" t="str">
        <f>IF($C22="","",IF(COUNTIFS('RAW_농산물_11-12월'!$D:$D,$C22,'RAW_농산물_11-12월'!$A:$A,$E22)&gt;0,"O",""))</f>
        <v/>
      </c>
      <c r="N22" s="7">
        <f>IF($C22="","",IF(COUNTA('RAW_농산물_7월'!$A:$A)&lt;=1,"",SUMIFS('RAW_농산물_7월'!$H:$H,'RAW_농산물_7월'!$D:$D,$C22,'RAW_농산물_7월'!$A:$A,$E22)))</f>
        <v>0</v>
      </c>
      <c r="O22" s="7">
        <f>IF($C22="","",IF(COUNTA('RAW_농산물_8월'!$A:$A)&lt;=1,"",SUMIFS('RAW_농산물_8월'!$H:$H,'RAW_농산물_8월'!$D:$D,$C22,'RAW_농산물_8월'!$A:$A,$E22)-SUMIFS('RAW_농산물_7월'!$H:$H,'RAW_농산물_7월'!$D:$D,$C22,'RAW_농산물_7월'!$A:$A,$E22)))</f>
        <v>0</v>
      </c>
      <c r="P22" s="7" t="str">
        <f>IF($C22="","",IF(COUNTA('RAW_농산물_9월'!$A:$A)&lt;=1,"",SUMIFS('RAW_농산물_9월'!$H:$H,'RAW_농산물_9월'!$D:$D,$C22,'RAW_농산물_9월'!$A:$A,$E22)-SUMIFS('RAW_농산물_8월'!$H:$H,'RAW_농산물_8월'!$D:$D,$C22,'RAW_농산물_8월'!$A:$A,$E22)))</f>
        <v/>
      </c>
      <c r="Q22" s="7" t="str">
        <f>IF($C22="","",IF(COUNTA('RAW_농산물_10월'!$A:$A)&lt;=1,"",SUMIFS('RAW_농산물_10월'!$H:$H,'RAW_농산물_10월'!$D:$D,$C22,'RAW_농산물_10월'!$A:$A,$E22)-SUMIFS('RAW_농산물_9월'!$H:$H,'RAW_농산물_9월'!$D:$D,$C22,'RAW_농산물_9월'!$A:$A,$E22)))</f>
        <v/>
      </c>
      <c r="R22" s="7" t="str">
        <f>IF($C22="","",IF(COUNTA('RAW_농산물_11-12월'!$A:$A)&lt;=1,"",SUMIFS('RAW_농산물_11-12월'!$H:$H,'RAW_농산물_11-12월'!$D:$D,$C22,'RAW_농산물_11-12월'!$A:$A,$E22)-SUMIFS('RAW_농산물_10월'!$H:$H,'RAW_농산물_10월'!$D:$D,$C22,'RAW_농산물_10월'!$A:$A,$E22)))</f>
        <v/>
      </c>
      <c r="S22" s="17" t="str">
        <f t="shared" si="4"/>
        <v>O</v>
      </c>
      <c r="T22" s="17" t="str">
        <f t="shared" si="5"/>
        <v>미사용</v>
      </c>
      <c r="U22" s="7">
        <f>IF($C22="",0,IF('설정'!$B$3=0,0,CHOOSE('설정'!$B$3,COUNTIFS('RAW_농산물_7월'!$D:$D,$C22,'RAW_농산물_7월'!$A:$A,$E22),COUNTIFS('RAW_농산물_8월'!$D:$D,$C22,'RAW_농산물_8월'!$A:$A,$E22),COUNTIFS('RAW_농산물_9월'!$D:$D,$C22,'RAW_농산물_9월'!$A:$A,$E22),COUNTIFS('RAW_농산물_10월'!$D:$D,$C22,'RAW_농산물_10월'!$A:$A,$E22),COUNTIFS('RAW_농산물_11-12월'!$D:$D,$C22,'RAW_농산물_11-12월'!$A:$A,$E22))))</f>
        <v>4</v>
      </c>
    </row>
    <row r="23" ht="15.75" customHeight="1">
      <c r="A23" s="5">
        <v>21.0</v>
      </c>
      <c r="B23" s="5" t="s">
        <v>108</v>
      </c>
      <c r="C23" s="5" t="s">
        <v>693</v>
      </c>
      <c r="D23" s="6" t="s">
        <v>694</v>
      </c>
      <c r="E23" s="5" t="s">
        <v>92</v>
      </c>
      <c r="F23" s="7">
        <f>IF($C23="","",IF('설정'!$B$3=0,"",CHOOSE('설정'!$B$3,SUMIFS('RAW_농산물_7월'!$F:$F,'RAW_농산물_7월'!$D:$D,$C23,'RAW_농산물_7월'!$A:$A,$E23),SUMIFS('RAW_농산물_8월'!$F:$F,'RAW_농산물_8월'!$D:$D,$C23,'RAW_농산물_8월'!$A:$A,$E23),SUMIFS('RAW_농산물_9월'!$F:$F,'RAW_농산물_9월'!$D:$D,$C23,'RAW_농산물_9월'!$A:$A,$E23),SUMIFS('RAW_농산물_10월'!$F:$F,'RAW_농산물_10월'!$D:$D,$C23,'RAW_농산물_10월'!$A:$A,$E23),SUMIFS('RAW_농산물_11-12월'!$F:$F,'RAW_농산물_11-12월'!$D:$D,$C23,'RAW_농산물_11-12월'!$A:$A,$E23))))</f>
        <v>0</v>
      </c>
      <c r="G23" s="7">
        <f>IF($C23="","",IF('설정'!$B$3=0,"",CHOOSE('설정'!$B$3,SUMIFS('RAW_농산물_7월'!$G:$G,'RAW_농산물_7월'!$D:$D,$C23,'RAW_농산물_7월'!$A:$A,$E23),SUMIFS('RAW_농산물_8월'!$G:$G,'RAW_농산물_8월'!$D:$D,$C23,'RAW_농산물_8월'!$A:$A,$E23),SUMIFS('RAW_농산물_9월'!$G:$G,'RAW_농산물_9월'!$D:$D,$C23,'RAW_농산물_9월'!$A:$A,$E23),SUMIFS('RAW_농산물_10월'!$G:$G,'RAW_농산물_10월'!$D:$D,$C23,'RAW_농산물_10월'!$A:$A,$E23),SUMIFS('RAW_농산물_11-12월'!$G:$G,'RAW_농산물_11-12월'!$D:$D,$C23,'RAW_농산물_11-12월'!$A:$A,$E23))))</f>
        <v>0</v>
      </c>
      <c r="H23" s="14">
        <f>IF($C23="","",IF('설정'!$B$3=0,"",CHOOSE('설정'!$B$3,SUMIFS('RAW_농산물_7월'!$H:$H,'RAW_농산물_7월'!$D:$D,$C23,'RAW_농산물_7월'!$A:$A,$E23),SUMIFS('RAW_농산물_8월'!$H:$H,'RAW_농산물_8월'!$D:$D,$C23,'RAW_농산물_8월'!$A:$A,$E23),SUMIFS('RAW_농산물_9월'!$H:$H,'RAW_농산물_9월'!$D:$D,$C23,'RAW_농산물_9월'!$A:$A,$E23),SUMIFS('RAW_농산물_10월'!$H:$H,'RAW_농산물_10월'!$D:$D,$C23,'RAW_농산물_10월'!$A:$A,$E23),SUMIFS('RAW_농산물_11-12월'!$H:$H,'RAW_농산물_11-12월'!$D:$D,$C23,'RAW_농산물_11-12월'!$A:$A,$E23))))</f>
        <v>0</v>
      </c>
      <c r="I23" s="17" t="str">
        <f>IF($C23="","",IF(COUNTIFS('RAW_농산물_7월'!$D:$D,$C23,'RAW_농산물_7월'!$A:$A,$E23)&gt;0,"O",""))</f>
        <v/>
      </c>
      <c r="J23" s="17" t="str">
        <f>IF($C23="","",IF(COUNTIFS('RAW_농산물_8월'!$D:$D,$C23,'RAW_농산물_8월'!$A:$A,$E23)&gt;0,"O",""))</f>
        <v/>
      </c>
      <c r="K23" s="17" t="str">
        <f>IF($C23="","",IF(COUNTIFS('RAW_농산물_9월'!$D:$D,$C23,'RAW_농산물_9월'!$A:$A,$E23)&gt;0,"O",""))</f>
        <v/>
      </c>
      <c r="L23" s="17" t="str">
        <f>IF($C23="","",IF(COUNTIFS('RAW_농산물_10월'!$D:$D,$C23,'RAW_농산물_10월'!$A:$A,$E23)&gt;0,"O",""))</f>
        <v/>
      </c>
      <c r="M23" s="17" t="str">
        <f>IF($C23="","",IF(COUNTIFS('RAW_농산물_11-12월'!$D:$D,$C23,'RAW_농산물_11-12월'!$A:$A,$E23)&gt;0,"O",""))</f>
        <v/>
      </c>
      <c r="N23" s="7">
        <f>IF($C23="","",IF(COUNTA('RAW_농산물_7월'!$A:$A)&lt;=1,"",SUMIFS('RAW_농산물_7월'!$H:$H,'RAW_농산물_7월'!$D:$D,$C23,'RAW_농산물_7월'!$A:$A,$E23)))</f>
        <v>0</v>
      </c>
      <c r="O23" s="7">
        <f>IF($C23="","",IF(COUNTA('RAW_농산물_8월'!$A:$A)&lt;=1,"",SUMIFS('RAW_농산물_8월'!$H:$H,'RAW_농산물_8월'!$D:$D,$C23,'RAW_농산물_8월'!$A:$A,$E23)-SUMIFS('RAW_농산물_7월'!$H:$H,'RAW_농산물_7월'!$D:$D,$C23,'RAW_농산물_7월'!$A:$A,$E23)))</f>
        <v>0</v>
      </c>
      <c r="P23" s="7" t="str">
        <f>IF($C23="","",IF(COUNTA('RAW_농산물_9월'!$A:$A)&lt;=1,"",SUMIFS('RAW_농산물_9월'!$H:$H,'RAW_농산물_9월'!$D:$D,$C23,'RAW_농산물_9월'!$A:$A,$E23)-SUMIFS('RAW_농산물_8월'!$H:$H,'RAW_농산물_8월'!$D:$D,$C23,'RAW_농산물_8월'!$A:$A,$E23)))</f>
        <v/>
      </c>
      <c r="Q23" s="7" t="str">
        <f>IF($C23="","",IF(COUNTA('RAW_농산물_10월'!$A:$A)&lt;=1,"",SUMIFS('RAW_농산물_10월'!$H:$H,'RAW_농산물_10월'!$D:$D,$C23,'RAW_농산물_10월'!$A:$A,$E23)-SUMIFS('RAW_농산물_9월'!$H:$H,'RAW_농산물_9월'!$D:$D,$C23,'RAW_농산물_9월'!$A:$A,$E23)))</f>
        <v/>
      </c>
      <c r="R23" s="7" t="str">
        <f>IF($C23="","",IF(COUNTA('RAW_농산물_11-12월'!$A:$A)&lt;=1,"",SUMIFS('RAW_농산물_11-12월'!$H:$H,'RAW_농산물_11-12월'!$D:$D,$C23,'RAW_농산물_11-12월'!$A:$A,$E23)-SUMIFS('RAW_농산물_10월'!$H:$H,'RAW_농산물_10월'!$D:$D,$C23,'RAW_농산물_10월'!$A:$A,$E23)))</f>
        <v/>
      </c>
      <c r="S23" s="17" t="str">
        <f t="shared" si="4"/>
        <v/>
      </c>
      <c r="T23" s="17" t="str">
        <f t="shared" si="5"/>
        <v>미사용</v>
      </c>
      <c r="U23" s="7">
        <f>IF($C23="",0,IF('설정'!$B$3=0,0,CHOOSE('설정'!$B$3,COUNTIFS('RAW_농산물_7월'!$D:$D,$C23,'RAW_농산물_7월'!$A:$A,$E23),COUNTIFS('RAW_농산물_8월'!$D:$D,$C23,'RAW_농산물_8월'!$A:$A,$E23),COUNTIFS('RAW_농산물_9월'!$D:$D,$C23,'RAW_농산물_9월'!$A:$A,$E23),COUNTIFS('RAW_농산물_10월'!$D:$D,$C23,'RAW_농산물_10월'!$A:$A,$E23),COUNTIFS('RAW_농산물_11-12월'!$D:$D,$C23,'RAW_농산물_11-12월'!$A:$A,$E23))))</f>
        <v>0</v>
      </c>
    </row>
    <row r="24" ht="15.75" customHeight="1">
      <c r="A24" s="5">
        <v>22.0</v>
      </c>
      <c r="B24" s="5" t="s">
        <v>25</v>
      </c>
      <c r="C24" s="5" t="s">
        <v>291</v>
      </c>
      <c r="D24" s="6" t="s">
        <v>290</v>
      </c>
      <c r="E24" s="5" t="s">
        <v>92</v>
      </c>
      <c r="F24" s="7">
        <f>IF($C24="","",IF('설정'!$B$3=0,"",CHOOSE('설정'!$B$3,SUMIFS('RAW_농산물_7월'!$F:$F,'RAW_농산물_7월'!$D:$D,$C24,'RAW_농산물_7월'!$A:$A,$E24),SUMIFS('RAW_농산물_8월'!$F:$F,'RAW_농산물_8월'!$D:$D,$C24,'RAW_농산물_8월'!$A:$A,$E24),SUMIFS('RAW_농산물_9월'!$F:$F,'RAW_농산물_9월'!$D:$D,$C24,'RAW_농산물_9월'!$A:$A,$E24),SUMIFS('RAW_농산물_10월'!$F:$F,'RAW_농산물_10월'!$D:$D,$C24,'RAW_농산물_10월'!$A:$A,$E24),SUMIFS('RAW_농산물_11-12월'!$F:$F,'RAW_농산물_11-12월'!$D:$D,$C24,'RAW_농산물_11-12월'!$A:$A,$E24))))</f>
        <v>18065</v>
      </c>
      <c r="G24" s="7">
        <f>IF($C24="","",IF('설정'!$B$3=0,"",CHOOSE('설정'!$B$3,SUMIFS('RAW_농산물_7월'!$G:$G,'RAW_농산물_7월'!$D:$D,$C24,'RAW_농산물_7월'!$A:$A,$E24),SUMIFS('RAW_농산물_8월'!$G:$G,'RAW_농산물_8월'!$D:$D,$C24,'RAW_농산물_8월'!$A:$A,$E24),SUMIFS('RAW_농산물_9월'!$G:$G,'RAW_농산물_9월'!$D:$D,$C24,'RAW_농산물_9월'!$A:$A,$E24),SUMIFS('RAW_농산물_10월'!$G:$G,'RAW_농산물_10월'!$D:$D,$C24,'RAW_농산물_10월'!$A:$A,$E24),SUMIFS('RAW_농산물_11-12월'!$G:$G,'RAW_농산물_11-12월'!$D:$D,$C24,'RAW_농산물_11-12월'!$A:$A,$E24))))</f>
        <v>271250400</v>
      </c>
      <c r="H24" s="14">
        <f>IF($C24="","",IF('설정'!$B$3=0,"",CHOOSE('설정'!$B$3,SUMIFS('RAW_농산물_7월'!$H:$H,'RAW_농산물_7월'!$D:$D,$C24,'RAW_농산물_7월'!$A:$A,$E24),SUMIFS('RAW_농산물_8월'!$H:$H,'RAW_농산물_8월'!$D:$D,$C24,'RAW_농산물_8월'!$A:$A,$E24),SUMIFS('RAW_농산물_9월'!$H:$H,'RAW_농산물_9월'!$D:$D,$C24,'RAW_농산물_9월'!$A:$A,$E24),SUMIFS('RAW_농산물_10월'!$H:$H,'RAW_농산물_10월'!$D:$D,$C24,'RAW_농산물_10월'!$A:$A,$E24),SUMIFS('RAW_농산물_11-12월'!$H:$H,'RAW_농산물_11-12월'!$D:$D,$C24,'RAW_농산물_11-12월'!$A:$A,$E24))))</f>
        <v>4473530</v>
      </c>
      <c r="I24" s="17" t="str">
        <f>IF($C24="","",IF(COUNTIFS('RAW_농산물_7월'!$D:$D,$C24,'RAW_농산물_7월'!$A:$A,$E24)&gt;0,"O",""))</f>
        <v>O</v>
      </c>
      <c r="J24" s="17" t="str">
        <f>IF($C24="","",IF(COUNTIFS('RAW_농산물_8월'!$D:$D,$C24,'RAW_농산물_8월'!$A:$A,$E24)&gt;0,"O",""))</f>
        <v>O</v>
      </c>
      <c r="K24" s="17" t="str">
        <f>IF($C24="","",IF(COUNTIFS('RAW_농산물_9월'!$D:$D,$C24,'RAW_농산물_9월'!$A:$A,$E24)&gt;0,"O",""))</f>
        <v/>
      </c>
      <c r="L24" s="17" t="str">
        <f>IF($C24="","",IF(COUNTIFS('RAW_농산물_10월'!$D:$D,$C24,'RAW_농산물_10월'!$A:$A,$E24)&gt;0,"O",""))</f>
        <v/>
      </c>
      <c r="M24" s="17" t="str">
        <f>IF($C24="","",IF(COUNTIFS('RAW_농산물_11-12월'!$D:$D,$C24,'RAW_농산물_11-12월'!$A:$A,$E24)&gt;0,"O",""))</f>
        <v/>
      </c>
      <c r="N24" s="7">
        <f>IF($C24="","",IF(COUNTA('RAW_농산물_7월'!$A:$A)&lt;=1,"",SUMIFS('RAW_농산물_7월'!$H:$H,'RAW_농산물_7월'!$D:$D,$C24,'RAW_농산물_7월'!$A:$A,$E24)))</f>
        <v>3842570</v>
      </c>
      <c r="O24" s="7">
        <f>IF($C24="","",IF(COUNTA('RAW_농산물_8월'!$A:$A)&lt;=1,"",SUMIFS('RAW_농산물_8월'!$H:$H,'RAW_농산물_8월'!$D:$D,$C24,'RAW_농산물_8월'!$A:$A,$E24)-SUMIFS('RAW_농산물_7월'!$H:$H,'RAW_농산물_7월'!$D:$D,$C24,'RAW_농산물_7월'!$A:$A,$E24)))</f>
        <v>630960</v>
      </c>
      <c r="P24" s="7" t="str">
        <f>IF($C24="","",IF(COUNTA('RAW_농산물_9월'!$A:$A)&lt;=1,"",SUMIFS('RAW_농산물_9월'!$H:$H,'RAW_농산물_9월'!$D:$D,$C24,'RAW_농산물_9월'!$A:$A,$E24)-SUMIFS('RAW_농산물_8월'!$H:$H,'RAW_농산물_8월'!$D:$D,$C24,'RAW_농산물_8월'!$A:$A,$E24)))</f>
        <v/>
      </c>
      <c r="Q24" s="7" t="str">
        <f>IF($C24="","",IF(COUNTA('RAW_농산물_10월'!$A:$A)&lt;=1,"",SUMIFS('RAW_농산물_10월'!$H:$H,'RAW_농산물_10월'!$D:$D,$C24,'RAW_농산물_10월'!$A:$A,$E24)-SUMIFS('RAW_농산물_9월'!$H:$H,'RAW_농산물_9월'!$D:$D,$C24,'RAW_농산물_9월'!$A:$A,$E24)))</f>
        <v/>
      </c>
      <c r="R24" s="7" t="str">
        <f>IF($C24="","",IF(COUNTA('RAW_농산물_11-12월'!$A:$A)&lt;=1,"",SUMIFS('RAW_농산물_11-12월'!$H:$H,'RAW_농산물_11-12월'!$D:$D,$C24,'RAW_농산물_11-12월'!$A:$A,$E24)-SUMIFS('RAW_농산물_10월'!$H:$H,'RAW_농산물_10월'!$D:$D,$C24,'RAW_농산물_10월'!$A:$A,$E24)))</f>
        <v/>
      </c>
      <c r="S24" s="17" t="str">
        <f t="shared" si="4"/>
        <v>O</v>
      </c>
      <c r="T24" s="17" t="str">
        <f t="shared" si="5"/>
        <v>500만원 미만</v>
      </c>
      <c r="U24" s="7">
        <f>IF($C24="",0,IF('설정'!$B$3=0,0,CHOOSE('설정'!$B$3,COUNTIFS('RAW_농산물_7월'!$D:$D,$C24,'RAW_농산물_7월'!$A:$A,$E24),COUNTIFS('RAW_농산물_8월'!$D:$D,$C24,'RAW_농산물_8월'!$A:$A,$E24),COUNTIFS('RAW_농산물_9월'!$D:$D,$C24,'RAW_농산물_9월'!$A:$A,$E24),COUNTIFS('RAW_농산물_10월'!$D:$D,$C24,'RAW_농산물_10월'!$A:$A,$E24),COUNTIFS('RAW_농산물_11-12월'!$D:$D,$C24,'RAW_농산물_11-12월'!$A:$A,$E24))))</f>
        <v>2</v>
      </c>
    </row>
    <row r="25" ht="15.75" customHeight="1">
      <c r="A25" s="5">
        <v>23.0</v>
      </c>
      <c r="B25" s="5" t="s">
        <v>145</v>
      </c>
      <c r="C25" s="5" t="s">
        <v>698</v>
      </c>
      <c r="D25" s="6" t="s">
        <v>697</v>
      </c>
      <c r="E25" s="5" t="s">
        <v>92</v>
      </c>
      <c r="F25" s="7">
        <f>IF($C25="","",IF('설정'!$B$3=0,"",CHOOSE('설정'!$B$3,SUMIFS('RAW_농산물_7월'!$F:$F,'RAW_농산물_7월'!$D:$D,$C25,'RAW_농산물_7월'!$A:$A,$E25),SUMIFS('RAW_농산물_8월'!$F:$F,'RAW_농산물_8월'!$D:$D,$C25,'RAW_농산물_8월'!$A:$A,$E25),SUMIFS('RAW_농산물_9월'!$F:$F,'RAW_농산물_9월'!$D:$D,$C25,'RAW_농산물_9월'!$A:$A,$E25),SUMIFS('RAW_농산물_10월'!$F:$F,'RAW_농산물_10월'!$D:$D,$C25,'RAW_농산물_10월'!$A:$A,$E25),SUMIFS('RAW_농산물_11-12월'!$F:$F,'RAW_농산물_11-12월'!$D:$D,$C25,'RAW_농산물_11-12월'!$A:$A,$E25))))</f>
        <v>16</v>
      </c>
      <c r="G25" s="7">
        <f>IF($C25="","",IF('설정'!$B$3=0,"",CHOOSE('설정'!$B$3,SUMIFS('RAW_농산물_7월'!$G:$G,'RAW_농산물_7월'!$D:$D,$C25,'RAW_농산물_7월'!$A:$A,$E25),SUMIFS('RAW_농산물_8월'!$G:$G,'RAW_농산물_8월'!$D:$D,$C25,'RAW_농산물_8월'!$A:$A,$E25),SUMIFS('RAW_농산물_9월'!$G:$G,'RAW_농산물_9월'!$D:$D,$C25,'RAW_농산물_9월'!$A:$A,$E25),SUMIFS('RAW_농산물_10월'!$G:$G,'RAW_농산물_10월'!$D:$D,$C25,'RAW_농산물_10월'!$A:$A,$E25),SUMIFS('RAW_농산물_11-12월'!$G:$G,'RAW_농산물_11-12월'!$D:$D,$C25,'RAW_농산물_11-12월'!$A:$A,$E25))))</f>
        <v>591000</v>
      </c>
      <c r="H25" s="14">
        <f>IF($C25="","",IF('설정'!$B$3=0,"",CHOOSE('설정'!$B$3,SUMIFS('RAW_농산물_7월'!$H:$H,'RAW_농산물_7월'!$D:$D,$C25,'RAW_농산물_7월'!$A:$A,$E25),SUMIFS('RAW_농산물_8월'!$H:$H,'RAW_농산물_8월'!$D:$D,$C25,'RAW_농산물_8월'!$A:$A,$E25),SUMIFS('RAW_농산물_9월'!$H:$H,'RAW_농산물_9월'!$D:$D,$C25,'RAW_농산물_9월'!$A:$A,$E25),SUMIFS('RAW_농산물_10월'!$H:$H,'RAW_농산물_10월'!$D:$D,$C25,'RAW_농산물_10월'!$A:$A,$E25),SUMIFS('RAW_농산물_11-12월'!$H:$H,'RAW_농산물_11-12월'!$D:$D,$C25,'RAW_농산물_11-12월'!$A:$A,$E25))))</f>
        <v>63860</v>
      </c>
      <c r="I25" s="17" t="str">
        <f>IF($C25="","",IF(COUNTIFS('RAW_농산물_7월'!$D:$D,$C25,'RAW_농산물_7월'!$A:$A,$E25)&gt;0,"O",""))</f>
        <v>O</v>
      </c>
      <c r="J25" s="17" t="str">
        <f>IF($C25="","",IF(COUNTIFS('RAW_농산물_8월'!$D:$D,$C25,'RAW_농산물_8월'!$A:$A,$E25)&gt;0,"O",""))</f>
        <v>O</v>
      </c>
      <c r="K25" s="17" t="str">
        <f>IF($C25="","",IF(COUNTIFS('RAW_농산물_9월'!$D:$D,$C25,'RAW_농산물_9월'!$A:$A,$E25)&gt;0,"O",""))</f>
        <v/>
      </c>
      <c r="L25" s="17" t="str">
        <f>IF($C25="","",IF(COUNTIFS('RAW_농산물_10월'!$D:$D,$C25,'RAW_농산물_10월'!$A:$A,$E25)&gt;0,"O",""))</f>
        <v/>
      </c>
      <c r="M25" s="17" t="str">
        <f>IF($C25="","",IF(COUNTIFS('RAW_농산물_11-12월'!$D:$D,$C25,'RAW_농산물_11-12월'!$A:$A,$E25)&gt;0,"O",""))</f>
        <v/>
      </c>
      <c r="N25" s="7">
        <f>IF($C25="","",IF(COUNTA('RAW_농산물_7월'!$A:$A)&lt;=1,"",SUMIFS('RAW_농산물_7월'!$H:$H,'RAW_농산물_7월'!$D:$D,$C25,'RAW_농산물_7월'!$A:$A,$E25)))</f>
        <v>13860</v>
      </c>
      <c r="O25" s="7">
        <f>IF($C25="","",IF(COUNTA('RAW_농산물_8월'!$A:$A)&lt;=1,"",SUMIFS('RAW_농산물_8월'!$H:$H,'RAW_농산물_8월'!$D:$D,$C25,'RAW_농산물_8월'!$A:$A,$E25)-SUMIFS('RAW_농산물_7월'!$H:$H,'RAW_농산물_7월'!$D:$D,$C25,'RAW_농산물_7월'!$A:$A,$E25)))</f>
        <v>50000</v>
      </c>
      <c r="P25" s="7" t="str">
        <f>IF($C25="","",IF(COUNTA('RAW_농산물_9월'!$A:$A)&lt;=1,"",SUMIFS('RAW_농산물_9월'!$H:$H,'RAW_농산물_9월'!$D:$D,$C25,'RAW_농산물_9월'!$A:$A,$E25)-SUMIFS('RAW_농산물_8월'!$H:$H,'RAW_농산물_8월'!$D:$D,$C25,'RAW_농산물_8월'!$A:$A,$E25)))</f>
        <v/>
      </c>
      <c r="Q25" s="7" t="str">
        <f>IF($C25="","",IF(COUNTA('RAW_농산물_10월'!$A:$A)&lt;=1,"",SUMIFS('RAW_농산물_10월'!$H:$H,'RAW_농산물_10월'!$D:$D,$C25,'RAW_농산물_10월'!$A:$A,$E25)-SUMIFS('RAW_농산물_9월'!$H:$H,'RAW_농산물_9월'!$D:$D,$C25,'RAW_농산물_9월'!$A:$A,$E25)))</f>
        <v/>
      </c>
      <c r="R25" s="7" t="str">
        <f>IF($C25="","",IF(COUNTA('RAW_농산물_11-12월'!$A:$A)&lt;=1,"",SUMIFS('RAW_농산물_11-12월'!$H:$H,'RAW_농산물_11-12월'!$D:$D,$C25,'RAW_농산물_11-12월'!$A:$A,$E25)-SUMIFS('RAW_농산물_10월'!$H:$H,'RAW_농산물_10월'!$D:$D,$C25,'RAW_농산물_10월'!$A:$A,$E25)))</f>
        <v/>
      </c>
      <c r="S25" s="17" t="str">
        <f t="shared" si="4"/>
        <v>O</v>
      </c>
      <c r="T25" s="17" t="str">
        <f t="shared" si="5"/>
        <v>50만원 미만</v>
      </c>
      <c r="U25" s="7">
        <f>IF($C25="",0,IF('설정'!$B$3=0,0,CHOOSE('설정'!$B$3,COUNTIFS('RAW_농산물_7월'!$D:$D,$C25,'RAW_농산물_7월'!$A:$A,$E25),COUNTIFS('RAW_농산물_8월'!$D:$D,$C25,'RAW_농산물_8월'!$A:$A,$E25),COUNTIFS('RAW_농산물_9월'!$D:$D,$C25,'RAW_농산물_9월'!$A:$A,$E25),COUNTIFS('RAW_농산물_10월'!$D:$D,$C25,'RAW_농산물_10월'!$A:$A,$E25),COUNTIFS('RAW_농산물_11-12월'!$D:$D,$C25,'RAW_농산물_11-12월'!$A:$A,$E25))))</f>
        <v>10</v>
      </c>
    </row>
    <row r="26" ht="15.75" customHeight="1">
      <c r="A26" s="5">
        <v>24.0</v>
      </c>
      <c r="B26" s="5" t="s">
        <v>25</v>
      </c>
      <c r="C26" s="5" t="s">
        <v>879</v>
      </c>
      <c r="D26" s="6" t="s">
        <v>878</v>
      </c>
      <c r="E26" s="5" t="s">
        <v>28</v>
      </c>
      <c r="F26" s="7">
        <f>IF($C26="","",IF('설정'!$B$3=0,"",CHOOSE('설정'!$B$3,SUMIFS('RAW_농산물_7월'!$F:$F,'RAW_농산물_7월'!$D:$D,$C26,'RAW_농산물_7월'!$A:$A,$E26),SUMIFS('RAW_농산물_8월'!$F:$F,'RAW_농산물_8월'!$D:$D,$C26,'RAW_농산물_8월'!$A:$A,$E26),SUMIFS('RAW_농산물_9월'!$F:$F,'RAW_농산물_9월'!$D:$D,$C26,'RAW_농산물_9월'!$A:$A,$E26),SUMIFS('RAW_농산물_10월'!$F:$F,'RAW_농산물_10월'!$D:$D,$C26,'RAW_농산물_10월'!$A:$A,$E26),SUMIFS('RAW_농산물_11-12월'!$F:$F,'RAW_농산물_11-12월'!$D:$D,$C26,'RAW_농산물_11-12월'!$A:$A,$E26))))</f>
        <v>11</v>
      </c>
      <c r="G26" s="7">
        <f>IF($C26="","",IF('설정'!$B$3=0,"",CHOOSE('설정'!$B$3,SUMIFS('RAW_농산물_7월'!$G:$G,'RAW_농산물_7월'!$D:$D,$C26,'RAW_농산물_7월'!$A:$A,$E26),SUMIFS('RAW_농산물_8월'!$G:$G,'RAW_농산물_8월'!$D:$D,$C26,'RAW_농산물_8월'!$A:$A,$E26),SUMIFS('RAW_농산물_9월'!$G:$G,'RAW_농산물_9월'!$D:$D,$C26,'RAW_농산물_9월'!$A:$A,$E26),SUMIFS('RAW_농산물_10월'!$G:$G,'RAW_농산물_10월'!$D:$D,$C26,'RAW_농산물_10월'!$A:$A,$E26),SUMIFS('RAW_농산물_11-12월'!$G:$G,'RAW_농산물_11-12월'!$D:$D,$C26,'RAW_농산물_11-12월'!$A:$A,$E26))))</f>
        <v>295400</v>
      </c>
      <c r="H26" s="14">
        <f>IF($C26="","",IF('설정'!$B$3=0,"",CHOOSE('설정'!$B$3,SUMIFS('RAW_농산물_7월'!$H:$H,'RAW_농산물_7월'!$D:$D,$C26,'RAW_농산물_7월'!$A:$A,$E26),SUMIFS('RAW_농산물_8월'!$H:$H,'RAW_농산물_8월'!$D:$D,$C26,'RAW_농산물_8월'!$A:$A,$E26),SUMIFS('RAW_농산물_9월'!$H:$H,'RAW_농산물_9월'!$D:$D,$C26,'RAW_농산물_9월'!$A:$A,$E26),SUMIFS('RAW_농산물_10월'!$H:$H,'RAW_농산물_10월'!$D:$D,$C26,'RAW_농산물_10월'!$A:$A,$E26),SUMIFS('RAW_농산물_11-12월'!$H:$H,'RAW_농산물_11-12월'!$D:$D,$C26,'RAW_농산물_11-12월'!$A:$A,$E26))))</f>
        <v>52610</v>
      </c>
      <c r="I26" s="17" t="str">
        <f>IF($C26="","",IF(COUNTIFS('RAW_농산물_7월'!$D:$D,$C26,'RAW_농산물_7월'!$A:$A,$E26)&gt;0,"O",""))</f>
        <v>O</v>
      </c>
      <c r="J26" s="17" t="str">
        <f>IF($C26="","",IF(COUNTIFS('RAW_농산물_8월'!$D:$D,$C26,'RAW_농산물_8월'!$A:$A,$E26)&gt;0,"O",""))</f>
        <v>O</v>
      </c>
      <c r="K26" s="17" t="str">
        <f>IF($C26="","",IF(COUNTIFS('RAW_농산물_9월'!$D:$D,$C26,'RAW_농산물_9월'!$A:$A,$E26)&gt;0,"O",""))</f>
        <v/>
      </c>
      <c r="L26" s="17" t="str">
        <f>IF($C26="","",IF(COUNTIFS('RAW_농산물_10월'!$D:$D,$C26,'RAW_농산물_10월'!$A:$A,$E26)&gt;0,"O",""))</f>
        <v/>
      </c>
      <c r="M26" s="17" t="str">
        <f>IF($C26="","",IF(COUNTIFS('RAW_농산물_11-12월'!$D:$D,$C26,'RAW_농산물_11-12월'!$A:$A,$E26)&gt;0,"O",""))</f>
        <v/>
      </c>
      <c r="N26" s="7">
        <f>IF($C26="","",IF(COUNTA('RAW_농산물_7월'!$A:$A)&lt;=1,"",SUMIFS('RAW_농산물_7월'!$H:$H,'RAW_농산물_7월'!$D:$D,$C26,'RAW_농산물_7월'!$A:$A,$E26)))</f>
        <v>22970</v>
      </c>
      <c r="O26" s="7">
        <f>IF($C26="","",IF(COUNTA('RAW_농산물_8월'!$A:$A)&lt;=1,"",SUMIFS('RAW_농산물_8월'!$H:$H,'RAW_농산물_8월'!$D:$D,$C26,'RAW_농산물_8월'!$A:$A,$E26)-SUMIFS('RAW_농산물_7월'!$H:$H,'RAW_농산물_7월'!$D:$D,$C26,'RAW_농산물_7월'!$A:$A,$E26)))</f>
        <v>29640</v>
      </c>
      <c r="P26" s="7" t="str">
        <f>IF($C26="","",IF(COUNTA('RAW_농산물_9월'!$A:$A)&lt;=1,"",SUMIFS('RAW_농산물_9월'!$H:$H,'RAW_농산물_9월'!$D:$D,$C26,'RAW_농산물_9월'!$A:$A,$E26)-SUMIFS('RAW_농산물_8월'!$H:$H,'RAW_농산물_8월'!$D:$D,$C26,'RAW_농산물_8월'!$A:$A,$E26)))</f>
        <v/>
      </c>
      <c r="Q26" s="7" t="str">
        <f>IF($C26="","",IF(COUNTA('RAW_농산물_10월'!$A:$A)&lt;=1,"",SUMIFS('RAW_농산물_10월'!$H:$H,'RAW_농산물_10월'!$D:$D,$C26,'RAW_농산물_10월'!$A:$A,$E26)-SUMIFS('RAW_농산물_9월'!$H:$H,'RAW_농산물_9월'!$D:$D,$C26,'RAW_농산물_9월'!$A:$A,$E26)))</f>
        <v/>
      </c>
      <c r="R26" s="7" t="str">
        <f>IF($C26="","",IF(COUNTA('RAW_농산물_11-12월'!$A:$A)&lt;=1,"",SUMIFS('RAW_농산물_11-12월'!$H:$H,'RAW_농산물_11-12월'!$D:$D,$C26,'RAW_농산물_11-12월'!$A:$A,$E26)-SUMIFS('RAW_농산물_10월'!$H:$H,'RAW_농산물_10월'!$D:$D,$C26,'RAW_농산물_10월'!$A:$A,$E26)))</f>
        <v/>
      </c>
      <c r="S26" s="17" t="str">
        <f t="shared" si="4"/>
        <v>O</v>
      </c>
      <c r="T26" s="17" t="str">
        <f t="shared" si="5"/>
        <v>50만원 미만</v>
      </c>
      <c r="U26" s="7">
        <f>IF($C26="",0,IF('설정'!$B$3=0,0,CHOOSE('설정'!$B$3,COUNTIFS('RAW_농산물_7월'!$D:$D,$C26,'RAW_농산물_7월'!$A:$A,$E26),COUNTIFS('RAW_농산물_8월'!$D:$D,$C26,'RAW_농산물_8월'!$A:$A,$E26),COUNTIFS('RAW_농산물_9월'!$D:$D,$C26,'RAW_농산물_9월'!$A:$A,$E26),COUNTIFS('RAW_농산물_10월'!$D:$D,$C26,'RAW_농산물_10월'!$A:$A,$E26),COUNTIFS('RAW_농산물_11-12월'!$D:$D,$C26,'RAW_농산물_11-12월'!$A:$A,$E26))))</f>
        <v>15</v>
      </c>
    </row>
    <row r="27" ht="15.75" customHeight="1">
      <c r="A27" s="5">
        <v>25.0</v>
      </c>
      <c r="B27" s="5" t="s">
        <v>25</v>
      </c>
      <c r="C27" s="5" t="s">
        <v>1138</v>
      </c>
      <c r="D27" s="6" t="s">
        <v>1139</v>
      </c>
      <c r="E27" s="5" t="s">
        <v>92</v>
      </c>
      <c r="F27" s="7">
        <f>IF($C27="","",IF('설정'!$B$3=0,"",CHOOSE('설정'!$B$3,SUMIFS('RAW_농산물_7월'!$F:$F,'RAW_농산물_7월'!$D:$D,$C27,'RAW_농산물_7월'!$A:$A,$E27),SUMIFS('RAW_농산물_8월'!$F:$F,'RAW_농산물_8월'!$D:$D,$C27,'RAW_농산물_8월'!$A:$A,$E27),SUMIFS('RAW_농산물_9월'!$F:$F,'RAW_농산물_9월'!$D:$D,$C27,'RAW_농산물_9월'!$A:$A,$E27),SUMIFS('RAW_농산물_10월'!$F:$F,'RAW_농산물_10월'!$D:$D,$C27,'RAW_농산물_10월'!$A:$A,$E27),SUMIFS('RAW_농산물_11-12월'!$F:$F,'RAW_농산물_11-12월'!$D:$D,$C27,'RAW_농산물_11-12월'!$A:$A,$E27))))</f>
        <v>9428</v>
      </c>
      <c r="G27" s="7">
        <f>IF($C27="","",IF('설정'!$B$3=0,"",CHOOSE('설정'!$B$3,SUMIFS('RAW_농산물_7월'!$G:$G,'RAW_농산물_7월'!$D:$D,$C27,'RAW_농산물_7월'!$A:$A,$E27),SUMIFS('RAW_농산물_8월'!$G:$G,'RAW_농산물_8월'!$D:$D,$C27,'RAW_농산물_8월'!$A:$A,$E27),SUMIFS('RAW_농산물_9월'!$G:$G,'RAW_농산물_9월'!$D:$D,$C27,'RAW_농산물_9월'!$A:$A,$E27),SUMIFS('RAW_농산물_10월'!$G:$G,'RAW_농산물_10월'!$D:$D,$C27,'RAW_농산물_10월'!$A:$A,$E27),SUMIFS('RAW_농산물_11-12월'!$G:$G,'RAW_농산물_11-12월'!$D:$D,$C27,'RAW_농산물_11-12월'!$A:$A,$E27))))</f>
        <v>143143000</v>
      </c>
      <c r="H27" s="14">
        <f>IF($C27="","",IF('설정'!$B$3=0,"",CHOOSE('설정'!$B$3,SUMIFS('RAW_농산물_7월'!$H:$H,'RAW_농산물_7월'!$D:$D,$C27,'RAW_농산물_7월'!$A:$A,$E27),SUMIFS('RAW_농산물_8월'!$H:$H,'RAW_농산물_8월'!$D:$D,$C27,'RAW_농산물_8월'!$A:$A,$E27),SUMIFS('RAW_농산물_9월'!$H:$H,'RAW_농산물_9월'!$D:$D,$C27,'RAW_농산물_9월'!$A:$A,$E27),SUMIFS('RAW_농산물_10월'!$H:$H,'RAW_농산물_10월'!$D:$D,$C27,'RAW_농산물_10월'!$A:$A,$E27),SUMIFS('RAW_농산물_11-12월'!$H:$H,'RAW_농산물_11-12월'!$D:$D,$C27,'RAW_농산물_11-12월'!$A:$A,$E27))))</f>
        <v>5032180</v>
      </c>
      <c r="I27" s="17" t="str">
        <f>IF($C27="","",IF(COUNTIFS('RAW_농산물_7월'!$D:$D,$C27,'RAW_농산물_7월'!$A:$A,$E27)&gt;0,"O",""))</f>
        <v/>
      </c>
      <c r="J27" s="17" t="str">
        <f>IF($C27="","",IF(COUNTIFS('RAW_농산물_8월'!$D:$D,$C27,'RAW_농산물_8월'!$A:$A,$E27)&gt;0,"O",""))</f>
        <v>O</v>
      </c>
      <c r="K27" s="17" t="str">
        <f>IF($C27="","",IF(COUNTIFS('RAW_농산물_9월'!$D:$D,$C27,'RAW_농산물_9월'!$A:$A,$E27)&gt;0,"O",""))</f>
        <v/>
      </c>
      <c r="L27" s="17" t="str">
        <f>IF($C27="","",IF(COUNTIFS('RAW_농산물_10월'!$D:$D,$C27,'RAW_농산물_10월'!$A:$A,$E27)&gt;0,"O",""))</f>
        <v/>
      </c>
      <c r="M27" s="17" t="str">
        <f>IF($C27="","",IF(COUNTIFS('RAW_농산물_11-12월'!$D:$D,$C27,'RAW_농산물_11-12월'!$A:$A,$E27)&gt;0,"O",""))</f>
        <v/>
      </c>
      <c r="N27" s="7">
        <f>IF($C27="","",IF(COUNTA('RAW_농산물_7월'!$A:$A)&lt;=1,"",SUMIFS('RAW_농산물_7월'!$H:$H,'RAW_농산물_7월'!$D:$D,$C27,'RAW_농산물_7월'!$A:$A,$E27)))</f>
        <v>0</v>
      </c>
      <c r="O27" s="7">
        <f>IF($C27="","",IF(COUNTA('RAW_농산물_8월'!$A:$A)&lt;=1,"",SUMIFS('RAW_농산물_8월'!$H:$H,'RAW_농산물_8월'!$D:$D,$C27,'RAW_농산물_8월'!$A:$A,$E27)-SUMIFS('RAW_농산물_7월'!$H:$H,'RAW_농산물_7월'!$D:$D,$C27,'RAW_농산물_7월'!$A:$A,$E27)))</f>
        <v>5032180</v>
      </c>
      <c r="P27" s="7" t="str">
        <f>IF($C27="","",IF(COUNTA('RAW_농산물_9월'!$A:$A)&lt;=1,"",SUMIFS('RAW_농산물_9월'!$H:$H,'RAW_농산물_9월'!$D:$D,$C27,'RAW_농산물_9월'!$A:$A,$E27)-SUMIFS('RAW_농산물_8월'!$H:$H,'RAW_농산물_8월'!$D:$D,$C27,'RAW_농산물_8월'!$A:$A,$E27)))</f>
        <v/>
      </c>
      <c r="Q27" s="7" t="str">
        <f>IF($C27="","",IF(COUNTA('RAW_농산물_10월'!$A:$A)&lt;=1,"",SUMIFS('RAW_농산물_10월'!$H:$H,'RAW_농산물_10월'!$D:$D,$C27,'RAW_농산물_10월'!$A:$A,$E27)-SUMIFS('RAW_농산물_9월'!$H:$H,'RAW_농산물_9월'!$D:$D,$C27,'RAW_농산물_9월'!$A:$A,$E27)))</f>
        <v/>
      </c>
      <c r="R27" s="7" t="str">
        <f>IF($C27="","",IF(COUNTA('RAW_농산물_11-12월'!$A:$A)&lt;=1,"",SUMIFS('RAW_농산물_11-12월'!$H:$H,'RAW_농산물_11-12월'!$D:$D,$C27,'RAW_농산물_11-12월'!$A:$A,$E27)-SUMIFS('RAW_농산물_10월'!$H:$H,'RAW_농산물_10월'!$D:$D,$C27,'RAW_농산물_10월'!$A:$A,$E27)))</f>
        <v/>
      </c>
      <c r="S27" s="17" t="str">
        <f t="shared" si="4"/>
        <v>O</v>
      </c>
      <c r="T27" s="17" t="str">
        <f t="shared" si="5"/>
        <v>600만원 미만</v>
      </c>
      <c r="U27" s="7">
        <f>IF($C27="",0,IF('설정'!$B$3=0,0,CHOOSE('설정'!$B$3,COUNTIFS('RAW_농산물_7월'!$D:$D,$C27,'RAW_농산물_7월'!$A:$A,$E27),COUNTIFS('RAW_농산물_8월'!$D:$D,$C27,'RAW_농산물_8월'!$A:$A,$E27),COUNTIFS('RAW_농산물_9월'!$D:$D,$C27,'RAW_농산물_9월'!$A:$A,$E27),COUNTIFS('RAW_농산물_10월'!$D:$D,$C27,'RAW_농산물_10월'!$A:$A,$E27),COUNTIFS('RAW_농산물_11-12월'!$D:$D,$C27,'RAW_농산물_11-12월'!$A:$A,$E27))))</f>
        <v>2</v>
      </c>
    </row>
    <row r="28" ht="15.75" customHeight="1">
      <c r="A28" s="5">
        <v>26.0</v>
      </c>
      <c r="B28" s="5" t="s">
        <v>25</v>
      </c>
      <c r="C28" s="5" t="s">
        <v>1279</v>
      </c>
      <c r="D28" s="6" t="s">
        <v>1281</v>
      </c>
      <c r="E28" s="5" t="s">
        <v>93</v>
      </c>
      <c r="F28" s="7">
        <f>IF($C28="","",IF('설정'!$B$3=0,"",CHOOSE('설정'!$B$3,SUMIFS('RAW_농산물_7월'!$F:$F,'RAW_농산물_7월'!$D:$D,$C28,'RAW_농산물_7월'!$A:$A,$E28),SUMIFS('RAW_농산물_8월'!$F:$F,'RAW_농산물_8월'!$D:$D,$C28,'RAW_농산물_8월'!$A:$A,$E28),SUMIFS('RAW_농산물_9월'!$F:$F,'RAW_농산물_9월'!$D:$D,$C28,'RAW_농산물_9월'!$A:$A,$E28),SUMIFS('RAW_농산물_10월'!$F:$F,'RAW_농산물_10월'!$D:$D,$C28,'RAW_농산물_10월'!$A:$A,$E28),SUMIFS('RAW_농산물_11-12월'!$F:$F,'RAW_농산물_11-12월'!$D:$D,$C28,'RAW_농산물_11-12월'!$A:$A,$E28))))</f>
        <v>30</v>
      </c>
      <c r="G28" s="7">
        <f>IF($C28="","",IF('설정'!$B$3=0,"",CHOOSE('설정'!$B$3,SUMIFS('RAW_농산물_7월'!$G:$G,'RAW_농산물_7월'!$D:$D,$C28,'RAW_농산물_7월'!$A:$A,$E28),SUMIFS('RAW_농산물_8월'!$G:$G,'RAW_농산물_8월'!$D:$D,$C28,'RAW_농산물_8월'!$A:$A,$E28),SUMIFS('RAW_농산물_9월'!$G:$G,'RAW_농산물_9월'!$D:$D,$C28,'RAW_농산물_9월'!$A:$A,$E28),SUMIFS('RAW_농산물_10월'!$G:$G,'RAW_농산물_10월'!$D:$D,$C28,'RAW_농산물_10월'!$A:$A,$E28),SUMIFS('RAW_농산물_11-12월'!$G:$G,'RAW_농산물_11-12월'!$D:$D,$C28,'RAW_농산물_11-12월'!$A:$A,$E28))))</f>
        <v>690000</v>
      </c>
      <c r="H28" s="14">
        <f>IF($C28="","",IF('설정'!$B$3=0,"",CHOOSE('설정'!$B$3,SUMIFS('RAW_농산물_7월'!$H:$H,'RAW_농산물_7월'!$D:$D,$C28,'RAW_농산물_7월'!$A:$A,$E28),SUMIFS('RAW_농산물_8월'!$H:$H,'RAW_농산물_8월'!$D:$D,$C28,'RAW_농산물_8월'!$A:$A,$E28),SUMIFS('RAW_농산물_9월'!$H:$H,'RAW_농산물_9월'!$D:$D,$C28,'RAW_농산물_9월'!$A:$A,$E28),SUMIFS('RAW_농산물_10월'!$H:$H,'RAW_농산물_10월'!$D:$D,$C28,'RAW_농산물_10월'!$A:$A,$E28),SUMIFS('RAW_농산물_11-12월'!$H:$H,'RAW_농산물_11-12월'!$D:$D,$C28,'RAW_농산물_11-12월'!$A:$A,$E28))))</f>
        <v>10000</v>
      </c>
      <c r="I28" s="17" t="str">
        <f>IF($C28="","",IF(COUNTIFS('RAW_농산물_7월'!$D:$D,$C28,'RAW_농산물_7월'!$A:$A,$E28)&gt;0,"O",""))</f>
        <v>O</v>
      </c>
      <c r="J28" s="17" t="str">
        <f>IF($C28="","",IF(COUNTIFS('RAW_농산물_8월'!$D:$D,$C28,'RAW_농산물_8월'!$A:$A,$E28)&gt;0,"O",""))</f>
        <v>O</v>
      </c>
      <c r="K28" s="17" t="str">
        <f>IF($C28="","",IF(COUNTIFS('RAW_농산물_9월'!$D:$D,$C28,'RAW_농산물_9월'!$A:$A,$E28)&gt;0,"O",""))</f>
        <v/>
      </c>
      <c r="L28" s="17" t="str">
        <f>IF($C28="","",IF(COUNTIFS('RAW_농산물_10월'!$D:$D,$C28,'RAW_농산물_10월'!$A:$A,$E28)&gt;0,"O",""))</f>
        <v/>
      </c>
      <c r="M28" s="17" t="str">
        <f>IF($C28="","",IF(COUNTIFS('RAW_농산물_11-12월'!$D:$D,$C28,'RAW_농산물_11-12월'!$A:$A,$E28)&gt;0,"O",""))</f>
        <v/>
      </c>
      <c r="N28" s="7">
        <f>IF($C28="","",IF(COUNTA('RAW_농산물_7월'!$A:$A)&lt;=1,"",SUMIFS('RAW_농산물_7월'!$H:$H,'RAW_농산물_7월'!$D:$D,$C28,'RAW_농산물_7월'!$A:$A,$E28)))</f>
        <v>0</v>
      </c>
      <c r="O28" s="7">
        <f>IF($C28="","",IF(COUNTA('RAW_농산물_8월'!$A:$A)&lt;=1,"",SUMIFS('RAW_농산물_8월'!$H:$H,'RAW_농산물_8월'!$D:$D,$C28,'RAW_농산물_8월'!$A:$A,$E28)-SUMIFS('RAW_농산물_7월'!$H:$H,'RAW_농산물_7월'!$D:$D,$C28,'RAW_농산물_7월'!$A:$A,$E28)))</f>
        <v>10000</v>
      </c>
      <c r="P28" s="7" t="str">
        <f>IF($C28="","",IF(COUNTA('RAW_농산물_9월'!$A:$A)&lt;=1,"",SUMIFS('RAW_농산물_9월'!$H:$H,'RAW_농산물_9월'!$D:$D,$C28,'RAW_농산물_9월'!$A:$A,$E28)-SUMIFS('RAW_농산물_8월'!$H:$H,'RAW_농산물_8월'!$D:$D,$C28,'RAW_농산물_8월'!$A:$A,$E28)))</f>
        <v/>
      </c>
      <c r="Q28" s="7" t="str">
        <f>IF($C28="","",IF(COUNTA('RAW_농산물_10월'!$A:$A)&lt;=1,"",SUMIFS('RAW_농산물_10월'!$H:$H,'RAW_농산물_10월'!$D:$D,$C28,'RAW_농산물_10월'!$A:$A,$E28)-SUMIFS('RAW_농산물_9월'!$H:$H,'RAW_농산물_9월'!$D:$D,$C28,'RAW_농산물_9월'!$A:$A,$E28)))</f>
        <v/>
      </c>
      <c r="R28" s="7" t="str">
        <f>IF($C28="","",IF(COUNTA('RAW_농산물_11-12월'!$A:$A)&lt;=1,"",SUMIFS('RAW_농산물_11-12월'!$H:$H,'RAW_농산물_11-12월'!$D:$D,$C28,'RAW_농산물_11-12월'!$A:$A,$E28)-SUMIFS('RAW_농산물_10월'!$H:$H,'RAW_농산물_10월'!$D:$D,$C28,'RAW_농산물_10월'!$A:$A,$E28)))</f>
        <v/>
      </c>
      <c r="S28" s="17" t="str">
        <f t="shared" si="4"/>
        <v>O</v>
      </c>
      <c r="T28" s="17" t="str">
        <f t="shared" si="5"/>
        <v>50만원 미만</v>
      </c>
      <c r="U28" s="7">
        <f>IF($C28="",0,IF('설정'!$B$3=0,0,CHOOSE('설정'!$B$3,COUNTIFS('RAW_농산물_7월'!$D:$D,$C28,'RAW_농산물_7월'!$A:$A,$E28),COUNTIFS('RAW_농산물_8월'!$D:$D,$C28,'RAW_농산물_8월'!$A:$A,$E28),COUNTIFS('RAW_농산물_9월'!$D:$D,$C28,'RAW_농산물_9월'!$A:$A,$E28),COUNTIFS('RAW_농산물_10월'!$D:$D,$C28,'RAW_농산물_10월'!$A:$A,$E28),COUNTIFS('RAW_농산물_11-12월'!$D:$D,$C28,'RAW_농산물_11-12월'!$A:$A,$E28))))</f>
        <v>4</v>
      </c>
    </row>
    <row r="29" ht="15.75" customHeight="1">
      <c r="A29" s="5">
        <v>27.0</v>
      </c>
      <c r="B29" s="5" t="s">
        <v>25</v>
      </c>
      <c r="C29" s="5" t="s">
        <v>1409</v>
      </c>
      <c r="D29" s="6" t="s">
        <v>1410</v>
      </c>
      <c r="E29" s="5" t="s">
        <v>92</v>
      </c>
      <c r="F29" s="7">
        <f>IF($C29="","",IF('설정'!$B$3=0,"",CHOOSE('설정'!$B$3,SUMIFS('RAW_농산물_7월'!$F:$F,'RAW_농산물_7월'!$D:$D,$C29,'RAW_농산물_7월'!$A:$A,$E29),SUMIFS('RAW_농산물_8월'!$F:$F,'RAW_농산물_8월'!$D:$D,$C29,'RAW_농산물_8월'!$A:$A,$E29),SUMIFS('RAW_농산물_9월'!$F:$F,'RAW_농산물_9월'!$D:$D,$C29,'RAW_농산물_9월'!$A:$A,$E29),SUMIFS('RAW_농산물_10월'!$F:$F,'RAW_농산물_10월'!$D:$D,$C29,'RAW_농산물_10월'!$A:$A,$E29),SUMIFS('RAW_농산물_11-12월'!$F:$F,'RAW_농산물_11-12월'!$D:$D,$C29,'RAW_농산물_11-12월'!$A:$A,$E29))))</f>
        <v>0</v>
      </c>
      <c r="G29" s="7">
        <f>IF($C29="","",IF('설정'!$B$3=0,"",CHOOSE('설정'!$B$3,SUMIFS('RAW_농산물_7월'!$G:$G,'RAW_농산물_7월'!$D:$D,$C29,'RAW_농산물_7월'!$A:$A,$E29),SUMIFS('RAW_농산물_8월'!$G:$G,'RAW_농산물_8월'!$D:$D,$C29,'RAW_농산물_8월'!$A:$A,$E29),SUMIFS('RAW_농산물_9월'!$G:$G,'RAW_농산물_9월'!$D:$D,$C29,'RAW_농산물_9월'!$A:$A,$E29),SUMIFS('RAW_농산물_10월'!$G:$G,'RAW_농산물_10월'!$D:$D,$C29,'RAW_농산물_10월'!$A:$A,$E29),SUMIFS('RAW_농산물_11-12월'!$G:$G,'RAW_농산물_11-12월'!$D:$D,$C29,'RAW_농산물_11-12월'!$A:$A,$E29))))</f>
        <v>0</v>
      </c>
      <c r="H29" s="14">
        <f>IF($C29="","",IF('설정'!$B$3=0,"",CHOOSE('설정'!$B$3,SUMIFS('RAW_농산물_7월'!$H:$H,'RAW_농산물_7월'!$D:$D,$C29,'RAW_농산물_7월'!$A:$A,$E29),SUMIFS('RAW_농산물_8월'!$H:$H,'RAW_농산물_8월'!$D:$D,$C29,'RAW_농산물_8월'!$A:$A,$E29),SUMIFS('RAW_농산물_9월'!$H:$H,'RAW_농산물_9월'!$D:$D,$C29,'RAW_농산물_9월'!$A:$A,$E29),SUMIFS('RAW_농산물_10월'!$H:$H,'RAW_농산물_10월'!$D:$D,$C29,'RAW_농산물_10월'!$A:$A,$E29),SUMIFS('RAW_농산물_11-12월'!$H:$H,'RAW_농산물_11-12월'!$D:$D,$C29,'RAW_농산물_11-12월'!$A:$A,$E29))))</f>
        <v>0</v>
      </c>
      <c r="I29" s="17" t="str">
        <f>IF($C29="","",IF(COUNTIFS('RAW_농산물_7월'!$D:$D,$C29,'RAW_농산물_7월'!$A:$A,$E29)&gt;0,"O",""))</f>
        <v/>
      </c>
      <c r="J29" s="17" t="str">
        <f>IF($C29="","",IF(COUNTIFS('RAW_농산물_8월'!$D:$D,$C29,'RAW_농산물_8월'!$A:$A,$E29)&gt;0,"O",""))</f>
        <v/>
      </c>
      <c r="K29" s="17" t="str">
        <f>IF($C29="","",IF(COUNTIFS('RAW_농산물_9월'!$D:$D,$C29,'RAW_농산물_9월'!$A:$A,$E29)&gt;0,"O",""))</f>
        <v/>
      </c>
      <c r="L29" s="17" t="str">
        <f>IF($C29="","",IF(COUNTIFS('RAW_농산물_10월'!$D:$D,$C29,'RAW_농산물_10월'!$A:$A,$E29)&gt;0,"O",""))</f>
        <v/>
      </c>
      <c r="M29" s="17" t="str">
        <f>IF($C29="","",IF(COUNTIFS('RAW_농산물_11-12월'!$D:$D,$C29,'RAW_농산물_11-12월'!$A:$A,$E29)&gt;0,"O",""))</f>
        <v/>
      </c>
      <c r="N29" s="7">
        <f>IF($C29="","",IF(COUNTA('RAW_농산물_7월'!$A:$A)&lt;=1,"",SUMIFS('RAW_농산물_7월'!$H:$H,'RAW_농산물_7월'!$D:$D,$C29,'RAW_농산물_7월'!$A:$A,$E29)))</f>
        <v>0</v>
      </c>
      <c r="O29" s="7">
        <f>IF($C29="","",IF(COUNTA('RAW_농산물_8월'!$A:$A)&lt;=1,"",SUMIFS('RAW_농산물_8월'!$H:$H,'RAW_농산물_8월'!$D:$D,$C29,'RAW_농산물_8월'!$A:$A,$E29)-SUMIFS('RAW_농산물_7월'!$H:$H,'RAW_농산물_7월'!$D:$D,$C29,'RAW_농산물_7월'!$A:$A,$E29)))</f>
        <v>0</v>
      </c>
      <c r="P29" s="7" t="str">
        <f>IF($C29="","",IF(COUNTA('RAW_농산물_9월'!$A:$A)&lt;=1,"",SUMIFS('RAW_농산물_9월'!$H:$H,'RAW_농산물_9월'!$D:$D,$C29,'RAW_농산물_9월'!$A:$A,$E29)-SUMIFS('RAW_농산물_8월'!$H:$H,'RAW_농산물_8월'!$D:$D,$C29,'RAW_농산물_8월'!$A:$A,$E29)))</f>
        <v/>
      </c>
      <c r="Q29" s="7" t="str">
        <f>IF($C29="","",IF(COUNTA('RAW_농산물_10월'!$A:$A)&lt;=1,"",SUMIFS('RAW_농산물_10월'!$H:$H,'RAW_농산물_10월'!$D:$D,$C29,'RAW_농산물_10월'!$A:$A,$E29)-SUMIFS('RAW_농산물_9월'!$H:$H,'RAW_농산물_9월'!$D:$D,$C29,'RAW_농산물_9월'!$A:$A,$E29)))</f>
        <v/>
      </c>
      <c r="R29" s="7" t="str">
        <f>IF($C29="","",IF(COUNTA('RAW_농산물_11-12월'!$A:$A)&lt;=1,"",SUMIFS('RAW_농산물_11-12월'!$H:$H,'RAW_농산물_11-12월'!$D:$D,$C29,'RAW_농산물_11-12월'!$A:$A,$E29)-SUMIFS('RAW_농산물_10월'!$H:$H,'RAW_농산물_10월'!$D:$D,$C29,'RAW_농산물_10월'!$A:$A,$E29)))</f>
        <v/>
      </c>
      <c r="S29" s="17" t="str">
        <f t="shared" si="4"/>
        <v/>
      </c>
      <c r="T29" s="17" t="str">
        <f t="shared" si="5"/>
        <v>미사용</v>
      </c>
      <c r="U29" s="7">
        <f>IF($C29="",0,IF('설정'!$B$3=0,0,CHOOSE('설정'!$B$3,COUNTIFS('RAW_농산물_7월'!$D:$D,$C29,'RAW_농산물_7월'!$A:$A,$E29),COUNTIFS('RAW_농산물_8월'!$D:$D,$C29,'RAW_농산물_8월'!$A:$A,$E29),COUNTIFS('RAW_농산물_9월'!$D:$D,$C29,'RAW_농산물_9월'!$A:$A,$E29),COUNTIFS('RAW_농산물_10월'!$D:$D,$C29,'RAW_농산물_10월'!$A:$A,$E29),COUNTIFS('RAW_농산물_11-12월'!$D:$D,$C29,'RAW_농산물_11-12월'!$A:$A,$E29))))</f>
        <v>0</v>
      </c>
    </row>
    <row r="30" ht="15.75" customHeight="1">
      <c r="A30" s="5">
        <v>28.0</v>
      </c>
      <c r="B30" s="5" t="s">
        <v>108</v>
      </c>
      <c r="C30" s="5" t="s">
        <v>599</v>
      </c>
      <c r="D30" s="6" t="s">
        <v>598</v>
      </c>
      <c r="E30" s="5" t="s">
        <v>92</v>
      </c>
      <c r="F30" s="7">
        <f>IF($C30="","",IF('설정'!$B$3=0,"",CHOOSE('설정'!$B$3,SUMIFS('RAW_농산물_7월'!$F:$F,'RAW_농산물_7월'!$D:$D,$C30,'RAW_농산물_7월'!$A:$A,$E30),SUMIFS('RAW_농산물_8월'!$F:$F,'RAW_농산물_8월'!$D:$D,$C30,'RAW_농산물_8월'!$A:$A,$E30),SUMIFS('RAW_농산물_9월'!$F:$F,'RAW_농산물_9월'!$D:$D,$C30,'RAW_농산물_9월'!$A:$A,$E30),SUMIFS('RAW_농산물_10월'!$F:$F,'RAW_농산물_10월'!$D:$D,$C30,'RAW_농산물_10월'!$A:$A,$E30),SUMIFS('RAW_농산물_11-12월'!$F:$F,'RAW_농산물_11-12월'!$D:$D,$C30,'RAW_농산물_11-12월'!$A:$A,$E30))))</f>
        <v>14</v>
      </c>
      <c r="G30" s="7">
        <f>IF($C30="","",IF('설정'!$B$3=0,"",CHOOSE('설정'!$B$3,SUMIFS('RAW_농산물_7월'!$G:$G,'RAW_농산물_7월'!$D:$D,$C30,'RAW_농산물_7월'!$A:$A,$E30),SUMIFS('RAW_농산물_8월'!$G:$G,'RAW_농산물_8월'!$D:$D,$C30,'RAW_농산물_8월'!$A:$A,$E30),SUMIFS('RAW_농산물_9월'!$G:$G,'RAW_농산물_9월'!$D:$D,$C30,'RAW_농산물_9월'!$A:$A,$E30),SUMIFS('RAW_농산물_10월'!$G:$G,'RAW_농산물_10월'!$D:$D,$C30,'RAW_농산물_10월'!$A:$A,$E30),SUMIFS('RAW_농산물_11-12월'!$G:$G,'RAW_농산물_11-12월'!$D:$D,$C30,'RAW_농산물_11-12월'!$A:$A,$E30))))</f>
        <v>414000</v>
      </c>
      <c r="H30" s="14">
        <f>IF($C30="","",IF('설정'!$B$3=0,"",CHOOSE('설정'!$B$3,SUMIFS('RAW_농산물_7월'!$H:$H,'RAW_농산물_7월'!$D:$D,$C30,'RAW_농산물_7월'!$A:$A,$E30),SUMIFS('RAW_농산물_8월'!$H:$H,'RAW_농산물_8월'!$D:$D,$C30,'RAW_농산물_8월'!$A:$A,$E30),SUMIFS('RAW_농산물_9월'!$H:$H,'RAW_농산물_9월'!$D:$D,$C30,'RAW_농산물_9월'!$A:$A,$E30),SUMIFS('RAW_농산물_10월'!$H:$H,'RAW_농산물_10월'!$D:$D,$C30,'RAW_농산물_10월'!$A:$A,$E30),SUMIFS('RAW_농산물_11-12월'!$H:$H,'RAW_농산물_11-12월'!$D:$D,$C30,'RAW_농산물_11-12월'!$A:$A,$E30))))</f>
        <v>46000</v>
      </c>
      <c r="I30" s="17" t="str">
        <f>IF($C30="","",IF(COUNTIFS('RAW_농산물_7월'!$D:$D,$C30,'RAW_농산물_7월'!$A:$A,$E30)&gt;0,"O",""))</f>
        <v>O</v>
      </c>
      <c r="J30" s="17" t="str">
        <f>IF($C30="","",IF(COUNTIFS('RAW_농산물_8월'!$D:$D,$C30,'RAW_농산물_8월'!$A:$A,$E30)&gt;0,"O",""))</f>
        <v>O</v>
      </c>
      <c r="K30" s="17" t="str">
        <f>IF($C30="","",IF(COUNTIFS('RAW_농산물_9월'!$D:$D,$C30,'RAW_농산물_9월'!$A:$A,$E30)&gt;0,"O",""))</f>
        <v/>
      </c>
      <c r="L30" s="17" t="str">
        <f>IF($C30="","",IF(COUNTIFS('RAW_농산물_10월'!$D:$D,$C30,'RAW_농산물_10월'!$A:$A,$E30)&gt;0,"O",""))</f>
        <v/>
      </c>
      <c r="M30" s="17" t="str">
        <f>IF($C30="","",IF(COUNTIFS('RAW_농산물_11-12월'!$D:$D,$C30,'RAW_농산물_11-12월'!$A:$A,$E30)&gt;0,"O",""))</f>
        <v/>
      </c>
      <c r="N30" s="7">
        <f>IF($C30="","",IF(COUNTA('RAW_농산물_7월'!$A:$A)&lt;=1,"",SUMIFS('RAW_농산물_7월'!$H:$H,'RAW_농산물_7월'!$D:$D,$C30,'RAW_농산물_7월'!$A:$A,$E30)))</f>
        <v>25000</v>
      </c>
      <c r="O30" s="7">
        <f>IF($C30="","",IF(COUNTA('RAW_농산물_8월'!$A:$A)&lt;=1,"",SUMIFS('RAW_농산물_8월'!$H:$H,'RAW_농산물_8월'!$D:$D,$C30,'RAW_농산물_8월'!$A:$A,$E30)-SUMIFS('RAW_농산물_7월'!$H:$H,'RAW_농산물_7월'!$D:$D,$C30,'RAW_농산물_7월'!$A:$A,$E30)))</f>
        <v>21000</v>
      </c>
      <c r="P30" s="7" t="str">
        <f>IF($C30="","",IF(COUNTA('RAW_농산물_9월'!$A:$A)&lt;=1,"",SUMIFS('RAW_농산물_9월'!$H:$H,'RAW_농산물_9월'!$D:$D,$C30,'RAW_농산물_9월'!$A:$A,$E30)-SUMIFS('RAW_농산물_8월'!$H:$H,'RAW_농산물_8월'!$D:$D,$C30,'RAW_농산물_8월'!$A:$A,$E30)))</f>
        <v/>
      </c>
      <c r="Q30" s="7" t="str">
        <f>IF($C30="","",IF(COUNTA('RAW_농산물_10월'!$A:$A)&lt;=1,"",SUMIFS('RAW_농산물_10월'!$H:$H,'RAW_농산물_10월'!$D:$D,$C30,'RAW_농산물_10월'!$A:$A,$E30)-SUMIFS('RAW_농산물_9월'!$H:$H,'RAW_농산물_9월'!$D:$D,$C30,'RAW_농산물_9월'!$A:$A,$E30)))</f>
        <v/>
      </c>
      <c r="R30" s="7" t="str">
        <f>IF($C30="","",IF(COUNTA('RAW_농산물_11-12월'!$A:$A)&lt;=1,"",SUMIFS('RAW_농산물_11-12월'!$H:$H,'RAW_농산물_11-12월'!$D:$D,$C30,'RAW_농산물_11-12월'!$A:$A,$E30)-SUMIFS('RAW_농산물_10월'!$H:$H,'RAW_농산물_10월'!$D:$D,$C30,'RAW_농산물_10월'!$A:$A,$E30)))</f>
        <v/>
      </c>
      <c r="S30" s="17" t="str">
        <f t="shared" si="4"/>
        <v>O</v>
      </c>
      <c r="T30" s="17" t="str">
        <f t="shared" si="5"/>
        <v>50만원 미만</v>
      </c>
      <c r="U30" s="7">
        <f>IF($C30="",0,IF('설정'!$B$3=0,0,CHOOSE('설정'!$B$3,COUNTIFS('RAW_농산물_7월'!$D:$D,$C30,'RAW_농산물_7월'!$A:$A,$E30),COUNTIFS('RAW_농산물_8월'!$D:$D,$C30,'RAW_농산물_8월'!$A:$A,$E30),COUNTIFS('RAW_농산물_9월'!$D:$D,$C30,'RAW_농산물_9월'!$A:$A,$E30),COUNTIFS('RAW_농산물_10월'!$D:$D,$C30,'RAW_농산물_10월'!$A:$A,$E30),COUNTIFS('RAW_농산물_11-12월'!$D:$D,$C30,'RAW_농산물_11-12월'!$A:$A,$E30))))</f>
        <v>2</v>
      </c>
    </row>
    <row r="31" ht="15.75" customHeight="1">
      <c r="A31" s="5">
        <v>29.0</v>
      </c>
      <c r="B31" s="5" t="s">
        <v>25</v>
      </c>
      <c r="C31" s="5" t="s">
        <v>714</v>
      </c>
      <c r="D31" s="6" t="s">
        <v>713</v>
      </c>
      <c r="E31" s="5" t="s">
        <v>92</v>
      </c>
      <c r="F31" s="7">
        <f>IF($C31="","",IF('설정'!$B$3=0,"",CHOOSE('설정'!$B$3,SUMIFS('RAW_농산물_7월'!$F:$F,'RAW_농산물_7월'!$D:$D,$C31,'RAW_농산물_7월'!$A:$A,$E31),SUMIFS('RAW_농산물_8월'!$F:$F,'RAW_농산물_8월'!$D:$D,$C31,'RAW_농산물_8월'!$A:$A,$E31),SUMIFS('RAW_농산물_9월'!$F:$F,'RAW_농산물_9월'!$D:$D,$C31,'RAW_농산물_9월'!$A:$A,$E31),SUMIFS('RAW_농산물_10월'!$F:$F,'RAW_농산물_10월'!$D:$D,$C31,'RAW_농산물_10월'!$A:$A,$E31),SUMIFS('RAW_농산물_11-12월'!$F:$F,'RAW_농산물_11-12월'!$D:$D,$C31,'RAW_농산물_11-12월'!$A:$A,$E31))))</f>
        <v>16</v>
      </c>
      <c r="G31" s="7">
        <f>IF($C31="","",IF('설정'!$B$3=0,"",CHOOSE('설정'!$B$3,SUMIFS('RAW_농산물_7월'!$G:$G,'RAW_농산물_7월'!$D:$D,$C31,'RAW_농산물_7월'!$A:$A,$E31),SUMIFS('RAW_농산물_8월'!$G:$G,'RAW_농산물_8월'!$D:$D,$C31,'RAW_농산물_8월'!$A:$A,$E31),SUMIFS('RAW_농산물_9월'!$G:$G,'RAW_농산물_9월'!$D:$D,$C31,'RAW_농산물_9월'!$A:$A,$E31),SUMIFS('RAW_농산물_10월'!$G:$G,'RAW_농산물_10월'!$D:$D,$C31,'RAW_농산물_10월'!$A:$A,$E31),SUMIFS('RAW_농산물_11-12월'!$G:$G,'RAW_농산물_11-12월'!$D:$D,$C31,'RAW_농산물_11-12월'!$A:$A,$E31))))</f>
        <v>451100</v>
      </c>
      <c r="H31" s="14">
        <f>IF($C31="","",IF('설정'!$B$3=0,"",CHOOSE('설정'!$B$3,SUMIFS('RAW_농산물_7월'!$H:$H,'RAW_농산물_7월'!$D:$D,$C31,'RAW_농산물_7월'!$A:$A,$E31),SUMIFS('RAW_농산물_8월'!$H:$H,'RAW_농산물_8월'!$D:$D,$C31,'RAW_농산물_8월'!$A:$A,$E31),SUMIFS('RAW_농산물_9월'!$H:$H,'RAW_농산물_9월'!$D:$D,$C31,'RAW_농산물_9월'!$A:$A,$E31),SUMIFS('RAW_농산물_10월'!$H:$H,'RAW_농산물_10월'!$D:$D,$C31,'RAW_농산물_10월'!$A:$A,$E31),SUMIFS('RAW_농산물_11-12월'!$H:$H,'RAW_농산물_11-12월'!$D:$D,$C31,'RAW_농산물_11-12월'!$A:$A,$E31))))</f>
        <v>34520</v>
      </c>
      <c r="I31" s="17" t="str">
        <f>IF($C31="","",IF(COUNTIFS('RAW_농산물_7월'!$D:$D,$C31,'RAW_농산물_7월'!$A:$A,$E31)&gt;0,"O",""))</f>
        <v>O</v>
      </c>
      <c r="J31" s="17" t="str">
        <f>IF($C31="","",IF(COUNTIFS('RAW_농산물_8월'!$D:$D,$C31,'RAW_농산물_8월'!$A:$A,$E31)&gt;0,"O",""))</f>
        <v>O</v>
      </c>
      <c r="K31" s="17" t="str">
        <f>IF($C31="","",IF(COUNTIFS('RAW_농산물_9월'!$D:$D,$C31,'RAW_농산물_9월'!$A:$A,$E31)&gt;0,"O",""))</f>
        <v/>
      </c>
      <c r="L31" s="17" t="str">
        <f>IF($C31="","",IF(COUNTIFS('RAW_농산물_10월'!$D:$D,$C31,'RAW_농산물_10월'!$A:$A,$E31)&gt;0,"O",""))</f>
        <v/>
      </c>
      <c r="M31" s="17" t="str">
        <f>IF($C31="","",IF(COUNTIFS('RAW_농산물_11-12월'!$D:$D,$C31,'RAW_농산물_11-12월'!$A:$A,$E31)&gt;0,"O",""))</f>
        <v/>
      </c>
      <c r="N31" s="7">
        <f>IF($C31="","",IF(COUNTA('RAW_농산물_7월'!$A:$A)&lt;=1,"",SUMIFS('RAW_농산물_7월'!$H:$H,'RAW_농산물_7월'!$D:$D,$C31,'RAW_농산물_7월'!$A:$A,$E31)))</f>
        <v>12280</v>
      </c>
      <c r="O31" s="7">
        <f>IF($C31="","",IF(COUNTA('RAW_농산물_8월'!$A:$A)&lt;=1,"",SUMIFS('RAW_농산물_8월'!$H:$H,'RAW_농산물_8월'!$D:$D,$C31,'RAW_농산물_8월'!$A:$A,$E31)-SUMIFS('RAW_농산물_7월'!$H:$H,'RAW_농산물_7월'!$D:$D,$C31,'RAW_농산물_7월'!$A:$A,$E31)))</f>
        <v>22240</v>
      </c>
      <c r="P31" s="7" t="str">
        <f>IF($C31="","",IF(COUNTA('RAW_농산물_9월'!$A:$A)&lt;=1,"",SUMIFS('RAW_농산물_9월'!$H:$H,'RAW_농산물_9월'!$D:$D,$C31,'RAW_농산물_9월'!$A:$A,$E31)-SUMIFS('RAW_농산물_8월'!$H:$H,'RAW_농산물_8월'!$D:$D,$C31,'RAW_농산물_8월'!$A:$A,$E31)))</f>
        <v/>
      </c>
      <c r="Q31" s="7" t="str">
        <f>IF($C31="","",IF(COUNTA('RAW_농산물_10월'!$A:$A)&lt;=1,"",SUMIFS('RAW_농산물_10월'!$H:$H,'RAW_농산물_10월'!$D:$D,$C31,'RAW_농산물_10월'!$A:$A,$E31)-SUMIFS('RAW_농산물_9월'!$H:$H,'RAW_농산물_9월'!$D:$D,$C31,'RAW_농산물_9월'!$A:$A,$E31)))</f>
        <v/>
      </c>
      <c r="R31" s="7" t="str">
        <f>IF($C31="","",IF(COUNTA('RAW_농산물_11-12월'!$A:$A)&lt;=1,"",SUMIFS('RAW_농산물_11-12월'!$H:$H,'RAW_농산물_11-12월'!$D:$D,$C31,'RAW_농산물_11-12월'!$A:$A,$E31)-SUMIFS('RAW_농산물_10월'!$H:$H,'RAW_농산물_10월'!$D:$D,$C31,'RAW_농산물_10월'!$A:$A,$E31)))</f>
        <v/>
      </c>
      <c r="S31" s="17" t="str">
        <f t="shared" si="4"/>
        <v>O</v>
      </c>
      <c r="T31" s="17" t="str">
        <f t="shared" si="5"/>
        <v>50만원 미만</v>
      </c>
      <c r="U31" s="7">
        <f>IF($C31="",0,IF('설정'!$B$3=0,0,CHOOSE('설정'!$B$3,COUNTIFS('RAW_농산물_7월'!$D:$D,$C31,'RAW_농산물_7월'!$A:$A,$E31),COUNTIFS('RAW_농산물_8월'!$D:$D,$C31,'RAW_농산물_8월'!$A:$A,$E31),COUNTIFS('RAW_농산물_9월'!$D:$D,$C31,'RAW_농산물_9월'!$A:$A,$E31),COUNTIFS('RAW_농산물_10월'!$D:$D,$C31,'RAW_농산물_10월'!$A:$A,$E31),COUNTIFS('RAW_농산물_11-12월'!$D:$D,$C31,'RAW_농산물_11-12월'!$A:$A,$E31))))</f>
        <v>6</v>
      </c>
    </row>
    <row r="32" ht="15.75" customHeight="1">
      <c r="A32" s="5">
        <v>30.0</v>
      </c>
      <c r="B32" s="5" t="s">
        <v>25</v>
      </c>
      <c r="C32" s="5" t="s">
        <v>300</v>
      </c>
      <c r="D32" s="6" t="s">
        <v>299</v>
      </c>
      <c r="E32" s="5" t="s">
        <v>92</v>
      </c>
      <c r="F32" s="7">
        <f>IF($C32="","",IF('설정'!$B$3=0,"",CHOOSE('설정'!$B$3,SUMIFS('RAW_농산물_7월'!$F:$F,'RAW_농산물_7월'!$D:$D,$C32,'RAW_농산물_7월'!$A:$A,$E32),SUMIFS('RAW_농산물_8월'!$F:$F,'RAW_농산물_8월'!$D:$D,$C32,'RAW_농산물_8월'!$A:$A,$E32),SUMIFS('RAW_농산물_9월'!$F:$F,'RAW_농산물_9월'!$D:$D,$C32,'RAW_농산물_9월'!$A:$A,$E32),SUMIFS('RAW_농산물_10월'!$F:$F,'RAW_농산물_10월'!$D:$D,$C32,'RAW_농산물_10월'!$A:$A,$E32),SUMIFS('RAW_농산물_11-12월'!$F:$F,'RAW_농산물_11-12월'!$D:$D,$C32,'RAW_농산물_11-12월'!$A:$A,$E32))))</f>
        <v>1319</v>
      </c>
      <c r="G32" s="7">
        <f>IF($C32="","",IF('설정'!$B$3=0,"",CHOOSE('설정'!$B$3,SUMIFS('RAW_농산물_7월'!$G:$G,'RAW_농산물_7월'!$D:$D,$C32,'RAW_농산물_7월'!$A:$A,$E32),SUMIFS('RAW_농산물_8월'!$G:$G,'RAW_농산물_8월'!$D:$D,$C32,'RAW_농산물_8월'!$A:$A,$E32),SUMIFS('RAW_농산물_9월'!$G:$G,'RAW_농산물_9월'!$D:$D,$C32,'RAW_농산물_9월'!$A:$A,$E32),SUMIFS('RAW_농산물_10월'!$G:$G,'RAW_농산물_10월'!$D:$D,$C32,'RAW_농산물_10월'!$A:$A,$E32),SUMIFS('RAW_농산물_11-12월'!$G:$G,'RAW_농산물_11-12월'!$D:$D,$C32,'RAW_농산물_11-12월'!$A:$A,$E32))))</f>
        <v>92623400</v>
      </c>
      <c r="H32" s="14">
        <f>IF($C32="","",IF('설정'!$B$3=0,"",CHOOSE('설정'!$B$3,SUMIFS('RAW_농산물_7월'!$H:$H,'RAW_농산물_7월'!$D:$D,$C32,'RAW_농산물_7월'!$A:$A,$E32),SUMIFS('RAW_농산물_8월'!$H:$H,'RAW_농산물_8월'!$D:$D,$C32,'RAW_농산물_8월'!$A:$A,$E32),SUMIFS('RAW_농산물_9월'!$H:$H,'RAW_농산물_9월'!$D:$D,$C32,'RAW_농산물_9월'!$A:$A,$E32),SUMIFS('RAW_농산물_10월'!$H:$H,'RAW_농산물_10월'!$D:$D,$C32,'RAW_농산물_10월'!$A:$A,$E32),SUMIFS('RAW_농산물_11-12월'!$H:$H,'RAW_농산물_11-12월'!$D:$D,$C32,'RAW_농산물_11-12월'!$A:$A,$E32))))</f>
        <v>4710400</v>
      </c>
      <c r="I32" s="17" t="str">
        <f>IF($C32="","",IF(COUNTIFS('RAW_농산물_7월'!$D:$D,$C32,'RAW_농산물_7월'!$A:$A,$E32)&gt;0,"O",""))</f>
        <v>O</v>
      </c>
      <c r="J32" s="17" t="str">
        <f>IF($C32="","",IF(COUNTIFS('RAW_농산물_8월'!$D:$D,$C32,'RAW_농산물_8월'!$A:$A,$E32)&gt;0,"O",""))</f>
        <v>O</v>
      </c>
      <c r="K32" s="17" t="str">
        <f>IF($C32="","",IF(COUNTIFS('RAW_농산물_9월'!$D:$D,$C32,'RAW_농산물_9월'!$A:$A,$E32)&gt;0,"O",""))</f>
        <v/>
      </c>
      <c r="L32" s="17" t="str">
        <f>IF($C32="","",IF(COUNTIFS('RAW_농산물_10월'!$D:$D,$C32,'RAW_농산물_10월'!$A:$A,$E32)&gt;0,"O",""))</f>
        <v/>
      </c>
      <c r="M32" s="17" t="str">
        <f>IF($C32="","",IF(COUNTIFS('RAW_농산물_11-12월'!$D:$D,$C32,'RAW_농산물_11-12월'!$A:$A,$E32)&gt;0,"O",""))</f>
        <v/>
      </c>
      <c r="N32" s="7">
        <f>IF($C32="","",IF(COUNTA('RAW_농산물_7월'!$A:$A)&lt;=1,"",SUMIFS('RAW_농산물_7월'!$H:$H,'RAW_농산물_7월'!$D:$D,$C32,'RAW_농산물_7월'!$A:$A,$E32)))</f>
        <v>3566200</v>
      </c>
      <c r="O32" s="7">
        <f>IF($C32="","",IF(COUNTA('RAW_농산물_8월'!$A:$A)&lt;=1,"",SUMIFS('RAW_농산물_8월'!$H:$H,'RAW_농산물_8월'!$D:$D,$C32,'RAW_농산물_8월'!$A:$A,$E32)-SUMIFS('RAW_농산물_7월'!$H:$H,'RAW_농산물_7월'!$D:$D,$C32,'RAW_농산물_7월'!$A:$A,$E32)))</f>
        <v>1144200</v>
      </c>
      <c r="P32" s="7" t="str">
        <f>IF($C32="","",IF(COUNTA('RAW_농산물_9월'!$A:$A)&lt;=1,"",SUMIFS('RAW_농산물_9월'!$H:$H,'RAW_농산물_9월'!$D:$D,$C32,'RAW_농산물_9월'!$A:$A,$E32)-SUMIFS('RAW_농산물_8월'!$H:$H,'RAW_농산물_8월'!$D:$D,$C32,'RAW_농산물_8월'!$A:$A,$E32)))</f>
        <v/>
      </c>
      <c r="Q32" s="7" t="str">
        <f>IF($C32="","",IF(COUNTA('RAW_농산물_10월'!$A:$A)&lt;=1,"",SUMIFS('RAW_농산물_10월'!$H:$H,'RAW_농산물_10월'!$D:$D,$C32,'RAW_농산물_10월'!$A:$A,$E32)-SUMIFS('RAW_농산물_9월'!$H:$H,'RAW_농산물_9월'!$D:$D,$C32,'RAW_농산물_9월'!$A:$A,$E32)))</f>
        <v/>
      </c>
      <c r="R32" s="7" t="str">
        <f>IF($C32="","",IF(COUNTA('RAW_농산물_11-12월'!$A:$A)&lt;=1,"",SUMIFS('RAW_농산물_11-12월'!$H:$H,'RAW_농산물_11-12월'!$D:$D,$C32,'RAW_농산물_11-12월'!$A:$A,$E32)-SUMIFS('RAW_농산물_10월'!$H:$H,'RAW_농산물_10월'!$D:$D,$C32,'RAW_농산물_10월'!$A:$A,$E32)))</f>
        <v/>
      </c>
      <c r="S32" s="17" t="str">
        <f t="shared" si="4"/>
        <v>O</v>
      </c>
      <c r="T32" s="17" t="str">
        <f t="shared" si="5"/>
        <v>500만원 미만</v>
      </c>
      <c r="U32" s="7">
        <f>IF($C32="",0,IF('설정'!$B$3=0,0,CHOOSE('설정'!$B$3,COUNTIFS('RAW_농산물_7월'!$D:$D,$C32,'RAW_농산물_7월'!$A:$A,$E32),COUNTIFS('RAW_농산물_8월'!$D:$D,$C32,'RAW_농산물_8월'!$A:$A,$E32),COUNTIFS('RAW_농산물_9월'!$D:$D,$C32,'RAW_농산물_9월'!$A:$A,$E32),COUNTIFS('RAW_농산물_10월'!$D:$D,$C32,'RAW_농산물_10월'!$A:$A,$E32),COUNTIFS('RAW_농산물_11-12월'!$D:$D,$C32,'RAW_농산물_11-12월'!$A:$A,$E32))))</f>
        <v>1</v>
      </c>
    </row>
    <row r="33" ht="15.75" customHeight="1">
      <c r="A33" s="5">
        <v>31.0</v>
      </c>
      <c r="B33" s="5" t="s">
        <v>25</v>
      </c>
      <c r="C33" s="5" t="s">
        <v>312</v>
      </c>
      <c r="D33" s="6" t="s">
        <v>311</v>
      </c>
      <c r="E33" s="5" t="s">
        <v>92</v>
      </c>
      <c r="F33" s="7">
        <f>IF($C33="","",IF('설정'!$B$3=0,"",CHOOSE('설정'!$B$3,SUMIFS('RAW_농산물_7월'!$F:$F,'RAW_농산물_7월'!$D:$D,$C33,'RAW_농산물_7월'!$A:$A,$E33),SUMIFS('RAW_농산물_8월'!$F:$F,'RAW_농산물_8월'!$D:$D,$C33,'RAW_농산물_8월'!$A:$A,$E33),SUMIFS('RAW_농산물_9월'!$F:$F,'RAW_농산물_9월'!$D:$D,$C33,'RAW_농산물_9월'!$A:$A,$E33),SUMIFS('RAW_농산물_10월'!$F:$F,'RAW_농산물_10월'!$D:$D,$C33,'RAW_농산물_10월'!$A:$A,$E33),SUMIFS('RAW_농산물_11-12월'!$F:$F,'RAW_농산물_11-12월'!$D:$D,$C33,'RAW_농산물_11-12월'!$A:$A,$E33))))</f>
        <v>4527</v>
      </c>
      <c r="G33" s="7">
        <f>IF($C33="","",IF('설정'!$B$3=0,"",CHOOSE('설정'!$B$3,SUMIFS('RAW_농산물_7월'!$G:$G,'RAW_농산물_7월'!$D:$D,$C33,'RAW_농산물_7월'!$A:$A,$E33),SUMIFS('RAW_농산물_8월'!$G:$G,'RAW_농산물_8월'!$D:$D,$C33,'RAW_농산물_8월'!$A:$A,$E33),SUMIFS('RAW_농산물_9월'!$G:$G,'RAW_농산물_9월'!$D:$D,$C33,'RAW_농산물_9월'!$A:$A,$E33),SUMIFS('RAW_농산물_10월'!$G:$G,'RAW_농산물_10월'!$D:$D,$C33,'RAW_농산물_10월'!$A:$A,$E33),SUMIFS('RAW_농산물_11-12월'!$G:$G,'RAW_농산물_11-12월'!$D:$D,$C33,'RAW_농산물_11-12월'!$A:$A,$E33))))</f>
        <v>129056500</v>
      </c>
      <c r="H33" s="14">
        <f>IF($C33="","",IF('설정'!$B$3=0,"",CHOOSE('설정'!$B$3,SUMIFS('RAW_농산물_7월'!$H:$H,'RAW_농산물_7월'!$D:$D,$C33,'RAW_농산물_7월'!$A:$A,$E33),SUMIFS('RAW_농산물_8월'!$H:$H,'RAW_농산물_8월'!$D:$D,$C33,'RAW_농산물_8월'!$A:$A,$E33),SUMIFS('RAW_농산물_9월'!$H:$H,'RAW_농산물_9월'!$D:$D,$C33,'RAW_농산물_9월'!$A:$A,$E33),SUMIFS('RAW_농산물_10월'!$H:$H,'RAW_농산물_10월'!$D:$D,$C33,'RAW_농산물_10월'!$A:$A,$E33),SUMIFS('RAW_농산물_11-12월'!$H:$H,'RAW_농산물_11-12월'!$D:$D,$C33,'RAW_농산물_11-12월'!$A:$A,$E33))))</f>
        <v>4577170</v>
      </c>
      <c r="I33" s="17" t="str">
        <f>IF($C33="","",IF(COUNTIFS('RAW_농산물_7월'!$D:$D,$C33,'RAW_농산물_7월'!$A:$A,$E33)&gt;0,"O",""))</f>
        <v>O</v>
      </c>
      <c r="J33" s="17" t="str">
        <f>IF($C33="","",IF(COUNTIFS('RAW_농산물_8월'!$D:$D,$C33,'RAW_농산물_8월'!$A:$A,$E33)&gt;0,"O",""))</f>
        <v>O</v>
      </c>
      <c r="K33" s="17" t="str">
        <f>IF($C33="","",IF(COUNTIFS('RAW_농산물_9월'!$D:$D,$C33,'RAW_농산물_9월'!$A:$A,$E33)&gt;0,"O",""))</f>
        <v/>
      </c>
      <c r="L33" s="17" t="str">
        <f>IF($C33="","",IF(COUNTIFS('RAW_농산물_10월'!$D:$D,$C33,'RAW_농산물_10월'!$A:$A,$E33)&gt;0,"O",""))</f>
        <v/>
      </c>
      <c r="M33" s="17" t="str">
        <f>IF($C33="","",IF(COUNTIFS('RAW_농산물_11-12월'!$D:$D,$C33,'RAW_농산물_11-12월'!$A:$A,$E33)&gt;0,"O",""))</f>
        <v/>
      </c>
      <c r="N33" s="7">
        <f>IF($C33="","",IF(COUNTA('RAW_농산물_7월'!$A:$A)&lt;=1,"",SUMIFS('RAW_농산물_7월'!$H:$H,'RAW_농산물_7월'!$D:$D,$C33,'RAW_농산물_7월'!$A:$A,$E33)))</f>
        <v>3066340</v>
      </c>
      <c r="O33" s="7">
        <f>IF($C33="","",IF(COUNTA('RAW_농산물_8월'!$A:$A)&lt;=1,"",SUMIFS('RAW_농산물_8월'!$H:$H,'RAW_농산물_8월'!$D:$D,$C33,'RAW_농산물_8월'!$A:$A,$E33)-SUMIFS('RAW_농산물_7월'!$H:$H,'RAW_농산물_7월'!$D:$D,$C33,'RAW_농산물_7월'!$A:$A,$E33)))</f>
        <v>1510830</v>
      </c>
      <c r="P33" s="7" t="str">
        <f>IF($C33="","",IF(COUNTA('RAW_농산물_9월'!$A:$A)&lt;=1,"",SUMIFS('RAW_농산물_9월'!$H:$H,'RAW_농산물_9월'!$D:$D,$C33,'RAW_농산물_9월'!$A:$A,$E33)-SUMIFS('RAW_농산물_8월'!$H:$H,'RAW_농산물_8월'!$D:$D,$C33,'RAW_농산물_8월'!$A:$A,$E33)))</f>
        <v/>
      </c>
      <c r="Q33" s="7" t="str">
        <f>IF($C33="","",IF(COUNTA('RAW_농산물_10월'!$A:$A)&lt;=1,"",SUMIFS('RAW_농산물_10월'!$H:$H,'RAW_농산물_10월'!$D:$D,$C33,'RAW_농산물_10월'!$A:$A,$E33)-SUMIFS('RAW_농산물_9월'!$H:$H,'RAW_농산물_9월'!$D:$D,$C33,'RAW_농산물_9월'!$A:$A,$E33)))</f>
        <v/>
      </c>
      <c r="R33" s="7" t="str">
        <f>IF($C33="","",IF(COUNTA('RAW_농산물_11-12월'!$A:$A)&lt;=1,"",SUMIFS('RAW_농산물_11-12월'!$H:$H,'RAW_농산물_11-12월'!$D:$D,$C33,'RAW_농산물_11-12월'!$A:$A,$E33)-SUMIFS('RAW_농산물_10월'!$H:$H,'RAW_농산물_10월'!$D:$D,$C33,'RAW_농산물_10월'!$A:$A,$E33)))</f>
        <v/>
      </c>
      <c r="S33" s="17" t="str">
        <f t="shared" si="4"/>
        <v>O</v>
      </c>
      <c r="T33" s="17" t="str">
        <f t="shared" si="5"/>
        <v>500만원 미만</v>
      </c>
      <c r="U33" s="7">
        <f>IF($C33="",0,IF('설정'!$B$3=0,0,CHOOSE('설정'!$B$3,COUNTIFS('RAW_농산물_7월'!$D:$D,$C33,'RAW_농산물_7월'!$A:$A,$E33),COUNTIFS('RAW_농산물_8월'!$D:$D,$C33,'RAW_농산물_8월'!$A:$A,$E33),COUNTIFS('RAW_농산물_9월'!$D:$D,$C33,'RAW_농산물_9월'!$A:$A,$E33),COUNTIFS('RAW_농산물_10월'!$D:$D,$C33,'RAW_농산물_10월'!$A:$A,$E33),COUNTIFS('RAW_농산물_11-12월'!$D:$D,$C33,'RAW_농산물_11-12월'!$A:$A,$E33))))</f>
        <v>6</v>
      </c>
    </row>
    <row r="34" ht="15.75" customHeight="1">
      <c r="A34" s="5">
        <v>32.0</v>
      </c>
      <c r="B34" s="5" t="s">
        <v>145</v>
      </c>
      <c r="C34" s="5" t="s">
        <v>438</v>
      </c>
      <c r="D34" s="6" t="s">
        <v>437</v>
      </c>
      <c r="E34" s="5" t="s">
        <v>92</v>
      </c>
      <c r="F34" s="7">
        <f>IF($C34="","",IF('설정'!$B$3=0,"",CHOOSE('설정'!$B$3,SUMIFS('RAW_농산물_7월'!$F:$F,'RAW_농산물_7월'!$D:$D,$C34,'RAW_농산물_7월'!$A:$A,$E34),SUMIFS('RAW_농산물_8월'!$F:$F,'RAW_농산물_8월'!$D:$D,$C34,'RAW_농산물_8월'!$A:$A,$E34),SUMIFS('RAW_농산물_9월'!$F:$F,'RAW_농산물_9월'!$D:$D,$C34,'RAW_농산물_9월'!$A:$A,$E34),SUMIFS('RAW_농산물_10월'!$F:$F,'RAW_농산물_10월'!$D:$D,$C34,'RAW_농산물_10월'!$A:$A,$E34),SUMIFS('RAW_농산물_11-12월'!$F:$F,'RAW_농산물_11-12월'!$D:$D,$C34,'RAW_농산물_11-12월'!$A:$A,$E34))))</f>
        <v>167</v>
      </c>
      <c r="G34" s="7">
        <f>IF($C34="","",IF('설정'!$B$3=0,"",CHOOSE('설정'!$B$3,SUMIFS('RAW_농산물_7월'!$G:$G,'RAW_농산물_7월'!$D:$D,$C34,'RAW_농산물_7월'!$A:$A,$E34),SUMIFS('RAW_농산물_8월'!$G:$G,'RAW_농산물_8월'!$D:$D,$C34,'RAW_농산물_8월'!$A:$A,$E34),SUMIFS('RAW_농산물_9월'!$G:$G,'RAW_농산물_9월'!$D:$D,$C34,'RAW_농산물_9월'!$A:$A,$E34),SUMIFS('RAW_농산물_10월'!$G:$G,'RAW_농산물_10월'!$D:$D,$C34,'RAW_농산물_10월'!$A:$A,$E34),SUMIFS('RAW_농산물_11-12월'!$G:$G,'RAW_농산물_11-12월'!$D:$D,$C34,'RAW_농산물_11-12월'!$A:$A,$E34))))</f>
        <v>5636300</v>
      </c>
      <c r="H34" s="14">
        <f>IF($C34="","",IF('설정'!$B$3=0,"",CHOOSE('설정'!$B$3,SUMIFS('RAW_농산물_7월'!$H:$H,'RAW_농산물_7월'!$D:$D,$C34,'RAW_농산물_7월'!$A:$A,$E34),SUMIFS('RAW_농산물_8월'!$H:$H,'RAW_농산물_8월'!$D:$D,$C34,'RAW_농산물_8월'!$A:$A,$E34),SUMIFS('RAW_농산물_9월'!$H:$H,'RAW_농산물_9월'!$D:$D,$C34,'RAW_농산물_9월'!$A:$A,$E34),SUMIFS('RAW_농산물_10월'!$H:$H,'RAW_농산물_10월'!$D:$D,$C34,'RAW_농산물_10월'!$A:$A,$E34),SUMIFS('RAW_농산물_11-12월'!$H:$H,'RAW_농산물_11-12월'!$D:$D,$C34,'RAW_농산물_11-12월'!$A:$A,$E34))))</f>
        <v>531110</v>
      </c>
      <c r="I34" s="17" t="str">
        <f>IF($C34="","",IF(COUNTIFS('RAW_농산물_7월'!$D:$D,$C34,'RAW_농산물_7월'!$A:$A,$E34)&gt;0,"O",""))</f>
        <v>O</v>
      </c>
      <c r="J34" s="17" t="str">
        <f>IF($C34="","",IF(COUNTIFS('RAW_농산물_8월'!$D:$D,$C34,'RAW_농산물_8월'!$A:$A,$E34)&gt;0,"O",""))</f>
        <v>O</v>
      </c>
      <c r="K34" s="17" t="str">
        <f>IF($C34="","",IF(COUNTIFS('RAW_농산물_9월'!$D:$D,$C34,'RAW_농산물_9월'!$A:$A,$E34)&gt;0,"O",""))</f>
        <v/>
      </c>
      <c r="L34" s="17" t="str">
        <f>IF($C34="","",IF(COUNTIFS('RAW_농산물_10월'!$D:$D,$C34,'RAW_농산물_10월'!$A:$A,$E34)&gt;0,"O",""))</f>
        <v/>
      </c>
      <c r="M34" s="17" t="str">
        <f>IF($C34="","",IF(COUNTIFS('RAW_농산물_11-12월'!$D:$D,$C34,'RAW_농산물_11-12월'!$A:$A,$E34)&gt;0,"O",""))</f>
        <v/>
      </c>
      <c r="N34" s="7">
        <f>IF($C34="","",IF(COUNTA('RAW_농산물_7월'!$A:$A)&lt;=1,"",SUMIFS('RAW_농산물_7월'!$H:$H,'RAW_농산물_7월'!$D:$D,$C34,'RAW_농산물_7월'!$A:$A,$E34)))</f>
        <v>119380</v>
      </c>
      <c r="O34" s="7">
        <f>IF($C34="","",IF(COUNTA('RAW_농산물_8월'!$A:$A)&lt;=1,"",SUMIFS('RAW_농산물_8월'!$H:$H,'RAW_농산물_8월'!$D:$D,$C34,'RAW_농산물_8월'!$A:$A,$E34)-SUMIFS('RAW_농산물_7월'!$H:$H,'RAW_농산물_7월'!$D:$D,$C34,'RAW_농산물_7월'!$A:$A,$E34)))</f>
        <v>411730</v>
      </c>
      <c r="P34" s="7" t="str">
        <f>IF($C34="","",IF(COUNTA('RAW_농산물_9월'!$A:$A)&lt;=1,"",SUMIFS('RAW_농산물_9월'!$H:$H,'RAW_농산물_9월'!$D:$D,$C34,'RAW_농산물_9월'!$A:$A,$E34)-SUMIFS('RAW_농산물_8월'!$H:$H,'RAW_농산물_8월'!$D:$D,$C34,'RAW_농산물_8월'!$A:$A,$E34)))</f>
        <v/>
      </c>
      <c r="Q34" s="7" t="str">
        <f>IF($C34="","",IF(COUNTA('RAW_농산물_10월'!$A:$A)&lt;=1,"",SUMIFS('RAW_농산물_10월'!$H:$H,'RAW_농산물_10월'!$D:$D,$C34,'RAW_농산물_10월'!$A:$A,$E34)-SUMIFS('RAW_농산물_9월'!$H:$H,'RAW_농산물_9월'!$D:$D,$C34,'RAW_농산물_9월'!$A:$A,$E34)))</f>
        <v/>
      </c>
      <c r="R34" s="7" t="str">
        <f>IF($C34="","",IF(COUNTA('RAW_농산물_11-12월'!$A:$A)&lt;=1,"",SUMIFS('RAW_농산물_11-12월'!$H:$H,'RAW_농산물_11-12월'!$D:$D,$C34,'RAW_농산물_11-12월'!$A:$A,$E34)-SUMIFS('RAW_농산물_10월'!$H:$H,'RAW_농산물_10월'!$D:$D,$C34,'RAW_농산물_10월'!$A:$A,$E34)))</f>
        <v/>
      </c>
      <c r="S34" s="17" t="str">
        <f t="shared" si="4"/>
        <v>O</v>
      </c>
      <c r="T34" s="17" t="str">
        <f t="shared" si="5"/>
        <v>100만원 미만</v>
      </c>
      <c r="U34" s="7">
        <f>IF($C34="",0,IF('설정'!$B$3=0,0,CHOOSE('설정'!$B$3,COUNTIFS('RAW_농산물_7월'!$D:$D,$C34,'RAW_농산물_7월'!$A:$A,$E34),COUNTIFS('RAW_농산물_8월'!$D:$D,$C34,'RAW_농산물_8월'!$A:$A,$E34),COUNTIFS('RAW_농산물_9월'!$D:$D,$C34,'RAW_농산물_9월'!$A:$A,$E34),COUNTIFS('RAW_농산물_10월'!$D:$D,$C34,'RAW_농산물_10월'!$A:$A,$E34),COUNTIFS('RAW_농산물_11-12월'!$D:$D,$C34,'RAW_농산물_11-12월'!$A:$A,$E34))))</f>
        <v>16</v>
      </c>
    </row>
    <row r="35" ht="15.75" customHeight="1">
      <c r="A35" s="5">
        <v>33.0</v>
      </c>
      <c r="B35" s="5" t="s">
        <v>108</v>
      </c>
      <c r="C35" s="5" t="s">
        <v>527</v>
      </c>
      <c r="D35" s="6" t="s">
        <v>526</v>
      </c>
      <c r="E35" s="5" t="s">
        <v>92</v>
      </c>
      <c r="F35" s="7">
        <f>IF($C35="","",IF('설정'!$B$3=0,"",CHOOSE('설정'!$B$3,SUMIFS('RAW_농산물_7월'!$F:$F,'RAW_농산물_7월'!$D:$D,$C35,'RAW_농산물_7월'!$A:$A,$E35),SUMIFS('RAW_농산물_8월'!$F:$F,'RAW_농산물_8월'!$D:$D,$C35,'RAW_농산물_8월'!$A:$A,$E35),SUMIFS('RAW_농산물_9월'!$F:$F,'RAW_농산물_9월'!$D:$D,$C35,'RAW_농산물_9월'!$A:$A,$E35),SUMIFS('RAW_농산물_10월'!$F:$F,'RAW_농산물_10월'!$D:$D,$C35,'RAW_농산물_10월'!$A:$A,$E35),SUMIFS('RAW_농산물_11-12월'!$F:$F,'RAW_농산물_11-12월'!$D:$D,$C35,'RAW_농산물_11-12월'!$A:$A,$E35))))</f>
        <v>31</v>
      </c>
      <c r="G35" s="7">
        <f>IF($C35="","",IF('설정'!$B$3=0,"",CHOOSE('설정'!$B$3,SUMIFS('RAW_농산물_7월'!$G:$G,'RAW_농산물_7월'!$D:$D,$C35,'RAW_농산물_7월'!$A:$A,$E35),SUMIFS('RAW_농산물_8월'!$G:$G,'RAW_농산물_8월'!$D:$D,$C35,'RAW_농산물_8월'!$A:$A,$E35),SUMIFS('RAW_농산물_9월'!$G:$G,'RAW_농산물_9월'!$D:$D,$C35,'RAW_농산물_9월'!$A:$A,$E35),SUMIFS('RAW_농산물_10월'!$G:$G,'RAW_농산물_10월'!$D:$D,$C35,'RAW_농산물_10월'!$A:$A,$E35),SUMIFS('RAW_농산물_11-12월'!$G:$G,'RAW_농산물_11-12월'!$D:$D,$C35,'RAW_농산물_11-12월'!$A:$A,$E35))))</f>
        <v>1695000</v>
      </c>
      <c r="H35" s="14">
        <f>IF($C35="","",IF('설정'!$B$3=0,"",CHOOSE('설정'!$B$3,SUMIFS('RAW_농산물_7월'!$H:$H,'RAW_농산물_7월'!$D:$D,$C35,'RAW_농산물_7월'!$A:$A,$E35),SUMIFS('RAW_농산물_8월'!$H:$H,'RAW_농산물_8월'!$D:$D,$C35,'RAW_농산물_8월'!$A:$A,$E35),SUMIFS('RAW_농산물_9월'!$H:$H,'RAW_농산물_9월'!$D:$D,$C35,'RAW_농산물_9월'!$A:$A,$E35),SUMIFS('RAW_농산물_10월'!$H:$H,'RAW_농산물_10월'!$D:$D,$C35,'RAW_농산물_10월'!$A:$A,$E35),SUMIFS('RAW_농산물_11-12월'!$H:$H,'RAW_농산물_11-12월'!$D:$D,$C35,'RAW_농산물_11-12월'!$A:$A,$E35))))</f>
        <v>121330</v>
      </c>
      <c r="I35" s="17" t="str">
        <f>IF($C35="","",IF(COUNTIFS('RAW_농산물_7월'!$D:$D,$C35,'RAW_농산물_7월'!$A:$A,$E35)&gt;0,"O",""))</f>
        <v>O</v>
      </c>
      <c r="J35" s="17" t="str">
        <f>IF($C35="","",IF(COUNTIFS('RAW_농산물_8월'!$D:$D,$C35,'RAW_농산물_8월'!$A:$A,$E35)&gt;0,"O",""))</f>
        <v>O</v>
      </c>
      <c r="K35" s="17" t="str">
        <f>IF($C35="","",IF(COUNTIFS('RAW_농산물_9월'!$D:$D,$C35,'RAW_농산물_9월'!$A:$A,$E35)&gt;0,"O",""))</f>
        <v/>
      </c>
      <c r="L35" s="17" t="str">
        <f>IF($C35="","",IF(COUNTIFS('RAW_농산물_10월'!$D:$D,$C35,'RAW_농산물_10월'!$A:$A,$E35)&gt;0,"O",""))</f>
        <v/>
      </c>
      <c r="M35" s="17" t="str">
        <f>IF($C35="","",IF(COUNTIFS('RAW_농산물_11-12월'!$D:$D,$C35,'RAW_농산물_11-12월'!$A:$A,$E35)&gt;0,"O",""))</f>
        <v/>
      </c>
      <c r="N35" s="7">
        <f>IF($C35="","",IF(COUNTA('RAW_농산물_7월'!$A:$A)&lt;=1,"",SUMIFS('RAW_농산물_7월'!$H:$H,'RAW_농산물_7월'!$D:$D,$C35,'RAW_농산물_7월'!$A:$A,$E35)))</f>
        <v>0</v>
      </c>
      <c r="O35" s="7">
        <f>IF($C35="","",IF(COUNTA('RAW_농산물_8월'!$A:$A)&lt;=1,"",SUMIFS('RAW_농산물_8월'!$H:$H,'RAW_농산물_8월'!$D:$D,$C35,'RAW_농산물_8월'!$A:$A,$E35)-SUMIFS('RAW_농산물_7월'!$H:$H,'RAW_농산물_7월'!$D:$D,$C35,'RAW_농산물_7월'!$A:$A,$E35)))</f>
        <v>121330</v>
      </c>
      <c r="P35" s="7" t="str">
        <f>IF($C35="","",IF(COUNTA('RAW_농산물_9월'!$A:$A)&lt;=1,"",SUMIFS('RAW_농산물_9월'!$H:$H,'RAW_농산물_9월'!$D:$D,$C35,'RAW_농산물_9월'!$A:$A,$E35)-SUMIFS('RAW_농산물_8월'!$H:$H,'RAW_농산물_8월'!$D:$D,$C35,'RAW_농산물_8월'!$A:$A,$E35)))</f>
        <v/>
      </c>
      <c r="Q35" s="7" t="str">
        <f>IF($C35="","",IF(COUNTA('RAW_농산물_10월'!$A:$A)&lt;=1,"",SUMIFS('RAW_농산물_10월'!$H:$H,'RAW_농산물_10월'!$D:$D,$C35,'RAW_농산물_10월'!$A:$A,$E35)-SUMIFS('RAW_농산물_9월'!$H:$H,'RAW_농산물_9월'!$D:$D,$C35,'RAW_농산물_9월'!$A:$A,$E35)))</f>
        <v/>
      </c>
      <c r="R35" s="7" t="str">
        <f>IF($C35="","",IF(COUNTA('RAW_농산물_11-12월'!$A:$A)&lt;=1,"",SUMIFS('RAW_농산물_11-12월'!$H:$H,'RAW_농산물_11-12월'!$D:$D,$C35,'RAW_농산물_11-12월'!$A:$A,$E35)-SUMIFS('RAW_농산물_10월'!$H:$H,'RAW_농산물_10월'!$D:$D,$C35,'RAW_농산물_10월'!$A:$A,$E35)))</f>
        <v/>
      </c>
      <c r="S35" s="17" t="str">
        <f t="shared" si="4"/>
        <v>O</v>
      </c>
      <c r="T35" s="17" t="str">
        <f t="shared" si="5"/>
        <v>50만원 미만</v>
      </c>
      <c r="U35" s="7">
        <f>IF($C35="",0,IF('설정'!$B$3=0,0,CHOOSE('설정'!$B$3,COUNTIFS('RAW_농산물_7월'!$D:$D,$C35,'RAW_농산물_7월'!$A:$A,$E35),COUNTIFS('RAW_농산물_8월'!$D:$D,$C35,'RAW_농산물_8월'!$A:$A,$E35),COUNTIFS('RAW_농산물_9월'!$D:$D,$C35,'RAW_농산물_9월'!$A:$A,$E35),COUNTIFS('RAW_농산물_10월'!$D:$D,$C35,'RAW_농산물_10월'!$A:$A,$E35),COUNTIFS('RAW_농산물_11-12월'!$D:$D,$C35,'RAW_농산물_11-12월'!$A:$A,$E35))))</f>
        <v>7</v>
      </c>
    </row>
    <row r="36" ht="15.75" customHeight="1">
      <c r="A36" s="5">
        <v>34.0</v>
      </c>
      <c r="B36" s="5" t="s">
        <v>25</v>
      </c>
      <c r="C36" s="5" t="s">
        <v>1859</v>
      </c>
      <c r="D36" s="6" t="s">
        <v>1860</v>
      </c>
      <c r="E36" s="5" t="s">
        <v>92</v>
      </c>
      <c r="F36" s="7">
        <f>IF($C36="","",IF('설정'!$B$3=0,"",CHOOSE('설정'!$B$3,SUMIFS('RAW_농산물_7월'!$F:$F,'RAW_농산물_7월'!$D:$D,$C36,'RAW_농산물_7월'!$A:$A,$E36),SUMIFS('RAW_농산물_8월'!$F:$F,'RAW_농산물_8월'!$D:$D,$C36,'RAW_농산물_8월'!$A:$A,$E36),SUMIFS('RAW_농산물_9월'!$F:$F,'RAW_농산물_9월'!$D:$D,$C36,'RAW_농산물_9월'!$A:$A,$E36),SUMIFS('RAW_농산물_10월'!$F:$F,'RAW_농산물_10월'!$D:$D,$C36,'RAW_농산물_10월'!$A:$A,$E36),SUMIFS('RAW_농산물_11-12월'!$F:$F,'RAW_농산물_11-12월'!$D:$D,$C36,'RAW_농산물_11-12월'!$A:$A,$E36))))</f>
        <v>0</v>
      </c>
      <c r="G36" s="7">
        <f>IF($C36="","",IF('설정'!$B$3=0,"",CHOOSE('설정'!$B$3,SUMIFS('RAW_농산물_7월'!$G:$G,'RAW_농산물_7월'!$D:$D,$C36,'RAW_농산물_7월'!$A:$A,$E36),SUMIFS('RAW_농산물_8월'!$G:$G,'RAW_농산물_8월'!$D:$D,$C36,'RAW_농산물_8월'!$A:$A,$E36),SUMIFS('RAW_농산물_9월'!$G:$G,'RAW_농산물_9월'!$D:$D,$C36,'RAW_농산물_9월'!$A:$A,$E36),SUMIFS('RAW_농산물_10월'!$G:$G,'RAW_농산물_10월'!$D:$D,$C36,'RAW_농산물_10월'!$A:$A,$E36),SUMIFS('RAW_농산물_11-12월'!$G:$G,'RAW_농산물_11-12월'!$D:$D,$C36,'RAW_농산물_11-12월'!$A:$A,$E36))))</f>
        <v>0</v>
      </c>
      <c r="H36" s="14">
        <f>IF($C36="","",IF('설정'!$B$3=0,"",CHOOSE('설정'!$B$3,SUMIFS('RAW_농산물_7월'!$H:$H,'RAW_농산물_7월'!$D:$D,$C36,'RAW_농산물_7월'!$A:$A,$E36),SUMIFS('RAW_농산물_8월'!$H:$H,'RAW_농산물_8월'!$D:$D,$C36,'RAW_농산물_8월'!$A:$A,$E36),SUMIFS('RAW_농산물_9월'!$H:$H,'RAW_농산물_9월'!$D:$D,$C36,'RAW_농산물_9월'!$A:$A,$E36),SUMIFS('RAW_농산물_10월'!$H:$H,'RAW_농산물_10월'!$D:$D,$C36,'RAW_농산물_10월'!$A:$A,$E36),SUMIFS('RAW_농산물_11-12월'!$H:$H,'RAW_농산물_11-12월'!$D:$D,$C36,'RAW_농산물_11-12월'!$A:$A,$E36))))</f>
        <v>0</v>
      </c>
      <c r="I36" s="17" t="str">
        <f>IF($C36="","",IF(COUNTIFS('RAW_농산물_7월'!$D:$D,$C36,'RAW_농산물_7월'!$A:$A,$E36)&gt;0,"O",""))</f>
        <v/>
      </c>
      <c r="J36" s="17" t="str">
        <f>IF($C36="","",IF(COUNTIFS('RAW_농산물_8월'!$D:$D,$C36,'RAW_농산물_8월'!$A:$A,$E36)&gt;0,"O",""))</f>
        <v/>
      </c>
      <c r="K36" s="17" t="str">
        <f>IF($C36="","",IF(COUNTIFS('RAW_농산물_9월'!$D:$D,$C36,'RAW_농산물_9월'!$A:$A,$E36)&gt;0,"O",""))</f>
        <v/>
      </c>
      <c r="L36" s="17" t="str">
        <f>IF($C36="","",IF(COUNTIFS('RAW_농산물_10월'!$D:$D,$C36,'RAW_농산물_10월'!$A:$A,$E36)&gt;0,"O",""))</f>
        <v/>
      </c>
      <c r="M36" s="17" t="str">
        <f>IF($C36="","",IF(COUNTIFS('RAW_농산물_11-12월'!$D:$D,$C36,'RAW_농산물_11-12월'!$A:$A,$E36)&gt;0,"O",""))</f>
        <v/>
      </c>
      <c r="N36" s="7">
        <f>IF($C36="","",IF(COUNTA('RAW_농산물_7월'!$A:$A)&lt;=1,"",SUMIFS('RAW_농산물_7월'!$H:$H,'RAW_농산물_7월'!$D:$D,$C36,'RAW_농산물_7월'!$A:$A,$E36)))</f>
        <v>0</v>
      </c>
      <c r="O36" s="7">
        <f>IF($C36="","",IF(COUNTA('RAW_농산물_8월'!$A:$A)&lt;=1,"",SUMIFS('RAW_농산물_8월'!$H:$H,'RAW_농산물_8월'!$D:$D,$C36,'RAW_농산물_8월'!$A:$A,$E36)-SUMIFS('RAW_농산물_7월'!$H:$H,'RAW_농산물_7월'!$D:$D,$C36,'RAW_농산물_7월'!$A:$A,$E36)))</f>
        <v>0</v>
      </c>
      <c r="P36" s="7" t="str">
        <f>IF($C36="","",IF(COUNTA('RAW_농산물_9월'!$A:$A)&lt;=1,"",SUMIFS('RAW_농산물_9월'!$H:$H,'RAW_농산물_9월'!$D:$D,$C36,'RAW_농산물_9월'!$A:$A,$E36)-SUMIFS('RAW_농산물_8월'!$H:$H,'RAW_농산물_8월'!$D:$D,$C36,'RAW_농산물_8월'!$A:$A,$E36)))</f>
        <v/>
      </c>
      <c r="Q36" s="7" t="str">
        <f>IF($C36="","",IF(COUNTA('RAW_농산물_10월'!$A:$A)&lt;=1,"",SUMIFS('RAW_농산물_10월'!$H:$H,'RAW_농산물_10월'!$D:$D,$C36,'RAW_농산물_10월'!$A:$A,$E36)-SUMIFS('RAW_농산물_9월'!$H:$H,'RAW_농산물_9월'!$D:$D,$C36,'RAW_농산물_9월'!$A:$A,$E36)))</f>
        <v/>
      </c>
      <c r="R36" s="7" t="str">
        <f>IF($C36="","",IF(COUNTA('RAW_농산물_11-12월'!$A:$A)&lt;=1,"",SUMIFS('RAW_농산물_11-12월'!$H:$H,'RAW_농산물_11-12월'!$D:$D,$C36,'RAW_농산물_11-12월'!$A:$A,$E36)-SUMIFS('RAW_농산물_10월'!$H:$H,'RAW_농산물_10월'!$D:$D,$C36,'RAW_농산물_10월'!$A:$A,$E36)))</f>
        <v/>
      </c>
      <c r="S36" s="17" t="str">
        <f t="shared" si="4"/>
        <v/>
      </c>
      <c r="T36" s="17" t="str">
        <f t="shared" si="5"/>
        <v>미사용</v>
      </c>
      <c r="U36" s="7">
        <f>IF($C36="",0,IF('설정'!$B$3=0,0,CHOOSE('설정'!$B$3,COUNTIFS('RAW_농산물_7월'!$D:$D,$C36,'RAW_농산물_7월'!$A:$A,$E36),COUNTIFS('RAW_농산물_8월'!$D:$D,$C36,'RAW_농산물_8월'!$A:$A,$E36),COUNTIFS('RAW_농산물_9월'!$D:$D,$C36,'RAW_농산물_9월'!$A:$A,$E36),COUNTIFS('RAW_농산물_10월'!$D:$D,$C36,'RAW_농산물_10월'!$A:$A,$E36),COUNTIFS('RAW_농산물_11-12월'!$D:$D,$C36,'RAW_농산물_11-12월'!$A:$A,$E36))))</f>
        <v>0</v>
      </c>
    </row>
    <row r="37" ht="15.75" customHeight="1">
      <c r="A37" s="5">
        <v>35.0</v>
      </c>
      <c r="B37" s="5" t="s">
        <v>25</v>
      </c>
      <c r="C37" s="5" t="s">
        <v>1460</v>
      </c>
      <c r="D37" s="6" t="s">
        <v>1863</v>
      </c>
      <c r="E37" s="5" t="s">
        <v>93</v>
      </c>
      <c r="F37" s="7">
        <f>IF($C37="","",IF('설정'!$B$3=0,"",CHOOSE('설정'!$B$3,SUMIFS('RAW_농산물_7월'!$F:$F,'RAW_농산물_7월'!$D:$D,$C37,'RAW_농산물_7월'!$A:$A,$E37),SUMIFS('RAW_농산물_8월'!$F:$F,'RAW_농산물_8월'!$D:$D,$C37,'RAW_농산물_8월'!$A:$A,$E37),SUMIFS('RAW_농산물_9월'!$F:$F,'RAW_농산물_9월'!$D:$D,$C37,'RAW_농산물_9월'!$A:$A,$E37),SUMIFS('RAW_농산물_10월'!$F:$F,'RAW_농산물_10월'!$D:$D,$C37,'RAW_농산물_10월'!$A:$A,$E37),SUMIFS('RAW_농산물_11-12월'!$F:$F,'RAW_농산물_11-12월'!$D:$D,$C37,'RAW_농산물_11-12월'!$A:$A,$E37))))</f>
        <v>1222</v>
      </c>
      <c r="G37" s="7">
        <f>IF($C37="","",IF('설정'!$B$3=0,"",CHOOSE('설정'!$B$3,SUMIFS('RAW_농산물_7월'!$G:$G,'RAW_농산물_7월'!$D:$D,$C37,'RAW_농산물_7월'!$A:$A,$E37),SUMIFS('RAW_농산물_8월'!$G:$G,'RAW_농산물_8월'!$D:$D,$C37,'RAW_농산물_8월'!$A:$A,$E37),SUMIFS('RAW_농산물_9월'!$G:$G,'RAW_농산물_9월'!$D:$D,$C37,'RAW_농산물_9월'!$A:$A,$E37),SUMIFS('RAW_농산물_10월'!$G:$G,'RAW_농산물_10월'!$D:$D,$C37,'RAW_농산물_10월'!$A:$A,$E37),SUMIFS('RAW_농산물_11-12월'!$G:$G,'RAW_농산물_11-12월'!$D:$D,$C37,'RAW_농산물_11-12월'!$A:$A,$E37))))</f>
        <v>36507100</v>
      </c>
      <c r="H37" s="14">
        <f>IF($C37="","",IF('설정'!$B$3=0,"",CHOOSE('설정'!$B$3,SUMIFS('RAW_농산물_7월'!$H:$H,'RAW_농산물_7월'!$D:$D,$C37,'RAW_농산물_7월'!$A:$A,$E37),SUMIFS('RAW_농산물_8월'!$H:$H,'RAW_농산물_8월'!$D:$D,$C37,'RAW_농산물_8월'!$A:$A,$E37),SUMIFS('RAW_농산물_9월'!$H:$H,'RAW_농산물_9월'!$D:$D,$C37,'RAW_농산물_9월'!$A:$A,$E37),SUMIFS('RAW_농산물_10월'!$H:$H,'RAW_농산물_10월'!$D:$D,$C37,'RAW_농산물_10월'!$A:$A,$E37),SUMIFS('RAW_농산물_11-12월'!$H:$H,'RAW_농산물_11-12월'!$D:$D,$C37,'RAW_농산물_11-12월'!$A:$A,$E37))))</f>
        <v>694580</v>
      </c>
      <c r="I37" s="17" t="str">
        <f>IF($C37="","",IF(COUNTIFS('RAW_농산물_7월'!$D:$D,$C37,'RAW_농산물_7월'!$A:$A,$E37)&gt;0,"O",""))</f>
        <v>O</v>
      </c>
      <c r="J37" s="17" t="str">
        <f>IF($C37="","",IF(COUNTIFS('RAW_농산물_8월'!$D:$D,$C37,'RAW_농산물_8월'!$A:$A,$E37)&gt;0,"O",""))</f>
        <v>O</v>
      </c>
      <c r="K37" s="17" t="str">
        <f>IF($C37="","",IF(COUNTIFS('RAW_농산물_9월'!$D:$D,$C37,'RAW_농산물_9월'!$A:$A,$E37)&gt;0,"O",""))</f>
        <v/>
      </c>
      <c r="L37" s="17" t="str">
        <f>IF($C37="","",IF(COUNTIFS('RAW_농산물_10월'!$D:$D,$C37,'RAW_농산물_10월'!$A:$A,$E37)&gt;0,"O",""))</f>
        <v/>
      </c>
      <c r="M37" s="17" t="str">
        <f>IF($C37="","",IF(COUNTIFS('RAW_농산물_11-12월'!$D:$D,$C37,'RAW_농산물_11-12월'!$A:$A,$E37)&gt;0,"O",""))</f>
        <v/>
      </c>
      <c r="N37" s="7">
        <f>IF($C37="","",IF(COUNTA('RAW_농산물_7월'!$A:$A)&lt;=1,"",SUMIFS('RAW_농산물_7월'!$H:$H,'RAW_농산물_7월'!$D:$D,$C37,'RAW_농산물_7월'!$A:$A,$E37)))</f>
        <v>591780</v>
      </c>
      <c r="O37" s="7">
        <f>IF($C37="","",IF(COUNTA('RAW_농산물_8월'!$A:$A)&lt;=1,"",SUMIFS('RAW_농산물_8월'!$H:$H,'RAW_농산물_8월'!$D:$D,$C37,'RAW_농산물_8월'!$A:$A,$E37)-SUMIFS('RAW_농산물_7월'!$H:$H,'RAW_농산물_7월'!$D:$D,$C37,'RAW_농산물_7월'!$A:$A,$E37)))</f>
        <v>102800</v>
      </c>
      <c r="P37" s="7" t="str">
        <f>IF($C37="","",IF(COUNTA('RAW_농산물_9월'!$A:$A)&lt;=1,"",SUMIFS('RAW_농산물_9월'!$H:$H,'RAW_농산물_9월'!$D:$D,$C37,'RAW_농산물_9월'!$A:$A,$E37)-SUMIFS('RAW_농산물_8월'!$H:$H,'RAW_농산물_8월'!$D:$D,$C37,'RAW_농산물_8월'!$A:$A,$E37)))</f>
        <v/>
      </c>
      <c r="Q37" s="7" t="str">
        <f>IF($C37="","",IF(COUNTA('RAW_농산물_10월'!$A:$A)&lt;=1,"",SUMIFS('RAW_농산물_10월'!$H:$H,'RAW_농산물_10월'!$D:$D,$C37,'RAW_농산물_10월'!$A:$A,$E37)-SUMIFS('RAW_농산물_9월'!$H:$H,'RAW_농산물_9월'!$D:$D,$C37,'RAW_농산물_9월'!$A:$A,$E37)))</f>
        <v/>
      </c>
      <c r="R37" s="7" t="str">
        <f>IF($C37="","",IF(COUNTA('RAW_농산물_11-12월'!$A:$A)&lt;=1,"",SUMIFS('RAW_농산물_11-12월'!$H:$H,'RAW_농산물_11-12월'!$D:$D,$C37,'RAW_농산물_11-12월'!$A:$A,$E37)-SUMIFS('RAW_농산물_10월'!$H:$H,'RAW_농산물_10월'!$D:$D,$C37,'RAW_농산물_10월'!$A:$A,$E37)))</f>
        <v/>
      </c>
      <c r="S37" s="17" t="str">
        <f t="shared" si="4"/>
        <v>O</v>
      </c>
      <c r="T37" s="17" t="str">
        <f t="shared" si="5"/>
        <v>100만원 미만</v>
      </c>
      <c r="U37" s="7">
        <f>IF($C37="",0,IF('설정'!$B$3=0,0,CHOOSE('설정'!$B$3,COUNTIFS('RAW_농산물_7월'!$D:$D,$C37,'RAW_농산물_7월'!$A:$A,$E37),COUNTIFS('RAW_농산물_8월'!$D:$D,$C37,'RAW_농산물_8월'!$A:$A,$E37),COUNTIFS('RAW_농산물_9월'!$D:$D,$C37,'RAW_농산물_9월'!$A:$A,$E37),COUNTIFS('RAW_농산물_10월'!$D:$D,$C37,'RAW_농산물_10월'!$A:$A,$E37),COUNTIFS('RAW_농산물_11-12월'!$D:$D,$C37,'RAW_농산물_11-12월'!$A:$A,$E37))))</f>
        <v>24</v>
      </c>
    </row>
    <row r="38" ht="15.75" customHeight="1">
      <c r="A38" s="5">
        <v>36.0</v>
      </c>
      <c r="B38" s="5" t="s">
        <v>25</v>
      </c>
      <c r="C38" s="5" t="s">
        <v>847</v>
      </c>
      <c r="D38" s="6" t="s">
        <v>1866</v>
      </c>
      <c r="E38" s="5" t="s">
        <v>28</v>
      </c>
      <c r="F38" s="7">
        <f>IF($C38="","",IF('설정'!$B$3=0,"",CHOOSE('설정'!$B$3,SUMIFS('RAW_농산물_7월'!$F:$F,'RAW_농산물_7월'!$D:$D,$C38,'RAW_농산물_7월'!$A:$A,$E38),SUMIFS('RAW_농산물_8월'!$F:$F,'RAW_농산물_8월'!$D:$D,$C38,'RAW_농산물_8월'!$A:$A,$E38),SUMIFS('RAW_농산물_9월'!$F:$F,'RAW_농산물_9월'!$D:$D,$C38,'RAW_농산물_9월'!$A:$A,$E38),SUMIFS('RAW_농산물_10월'!$F:$F,'RAW_농산물_10월'!$D:$D,$C38,'RAW_농산물_10월'!$A:$A,$E38),SUMIFS('RAW_농산물_11-12월'!$F:$F,'RAW_농산물_11-12월'!$D:$D,$C38,'RAW_농산물_11-12월'!$A:$A,$E38))))</f>
        <v>76</v>
      </c>
      <c r="G38" s="7">
        <f>IF($C38="","",IF('설정'!$B$3=0,"",CHOOSE('설정'!$B$3,SUMIFS('RAW_농산물_7월'!$G:$G,'RAW_농산물_7월'!$D:$D,$C38,'RAW_농산물_7월'!$A:$A,$E38),SUMIFS('RAW_농산물_8월'!$G:$G,'RAW_농산물_8월'!$D:$D,$C38,'RAW_농산물_8월'!$A:$A,$E38),SUMIFS('RAW_농산물_9월'!$G:$G,'RAW_농산물_9월'!$D:$D,$C38,'RAW_농산물_9월'!$A:$A,$E38),SUMIFS('RAW_농산물_10월'!$G:$G,'RAW_농산물_10월'!$D:$D,$C38,'RAW_농산물_10월'!$A:$A,$E38),SUMIFS('RAW_농산물_11-12월'!$G:$G,'RAW_농산물_11-12월'!$D:$D,$C38,'RAW_농산물_11-12월'!$A:$A,$E38))))</f>
        <v>2312900</v>
      </c>
      <c r="H38" s="14">
        <f>IF($C38="","",IF('설정'!$B$3=0,"",CHOOSE('설정'!$B$3,SUMIFS('RAW_농산물_7월'!$H:$H,'RAW_농산물_7월'!$D:$D,$C38,'RAW_농산물_7월'!$A:$A,$E38),SUMIFS('RAW_농산물_8월'!$H:$H,'RAW_농산물_8월'!$D:$D,$C38,'RAW_농산물_8월'!$A:$A,$E38),SUMIFS('RAW_농산물_9월'!$H:$H,'RAW_농산물_9월'!$D:$D,$C38,'RAW_농산물_9월'!$A:$A,$E38),SUMIFS('RAW_농산물_10월'!$H:$H,'RAW_농산물_10월'!$D:$D,$C38,'RAW_농산물_10월'!$A:$A,$E38),SUMIFS('RAW_농산물_11-12월'!$H:$H,'RAW_농산물_11-12월'!$D:$D,$C38,'RAW_농산물_11-12월'!$A:$A,$E38))))</f>
        <v>434680</v>
      </c>
      <c r="I38" s="17" t="str">
        <f>IF($C38="","",IF(COUNTIFS('RAW_농산물_7월'!$D:$D,$C38,'RAW_농산물_7월'!$A:$A,$E38)&gt;0,"O",""))</f>
        <v>O</v>
      </c>
      <c r="J38" s="17" t="str">
        <f>IF($C38="","",IF(COUNTIFS('RAW_농산물_8월'!$D:$D,$C38,'RAW_농산물_8월'!$A:$A,$E38)&gt;0,"O",""))</f>
        <v>O</v>
      </c>
      <c r="K38" s="17" t="str">
        <f>IF($C38="","",IF(COUNTIFS('RAW_농산물_9월'!$D:$D,$C38,'RAW_농산물_9월'!$A:$A,$E38)&gt;0,"O",""))</f>
        <v/>
      </c>
      <c r="L38" s="17" t="str">
        <f>IF($C38="","",IF(COUNTIFS('RAW_농산물_10월'!$D:$D,$C38,'RAW_농산물_10월'!$A:$A,$E38)&gt;0,"O",""))</f>
        <v/>
      </c>
      <c r="M38" s="17" t="str">
        <f>IF($C38="","",IF(COUNTIFS('RAW_농산물_11-12월'!$D:$D,$C38,'RAW_농산물_11-12월'!$A:$A,$E38)&gt;0,"O",""))</f>
        <v/>
      </c>
      <c r="N38" s="7">
        <f>IF($C38="","",IF(COUNTA('RAW_농산물_7월'!$A:$A)&lt;=1,"",SUMIFS('RAW_농산물_7월'!$H:$H,'RAW_농산물_7월'!$D:$D,$C38,'RAW_농산물_7월'!$A:$A,$E38)))</f>
        <v>199830</v>
      </c>
      <c r="O38" s="7">
        <f>IF($C38="","",IF(COUNTA('RAW_농산물_8월'!$A:$A)&lt;=1,"",SUMIFS('RAW_농산물_8월'!$H:$H,'RAW_농산물_8월'!$D:$D,$C38,'RAW_농산물_8월'!$A:$A,$E38)-SUMIFS('RAW_농산물_7월'!$H:$H,'RAW_농산물_7월'!$D:$D,$C38,'RAW_농산물_7월'!$A:$A,$E38)))</f>
        <v>234850</v>
      </c>
      <c r="P38" s="7" t="str">
        <f>IF($C38="","",IF(COUNTA('RAW_농산물_9월'!$A:$A)&lt;=1,"",SUMIFS('RAW_농산물_9월'!$H:$H,'RAW_농산물_9월'!$D:$D,$C38,'RAW_농산물_9월'!$A:$A,$E38)-SUMIFS('RAW_농산물_8월'!$H:$H,'RAW_농산물_8월'!$D:$D,$C38,'RAW_농산물_8월'!$A:$A,$E38)))</f>
        <v/>
      </c>
      <c r="Q38" s="7" t="str">
        <f>IF($C38="","",IF(COUNTA('RAW_농산물_10월'!$A:$A)&lt;=1,"",SUMIFS('RAW_농산물_10월'!$H:$H,'RAW_농산물_10월'!$D:$D,$C38,'RAW_농산물_10월'!$A:$A,$E38)-SUMIFS('RAW_농산물_9월'!$H:$H,'RAW_농산물_9월'!$D:$D,$C38,'RAW_농산물_9월'!$A:$A,$E38)))</f>
        <v/>
      </c>
      <c r="R38" s="7" t="str">
        <f>IF($C38="","",IF(COUNTA('RAW_농산물_11-12월'!$A:$A)&lt;=1,"",SUMIFS('RAW_농산물_11-12월'!$H:$H,'RAW_농산물_11-12월'!$D:$D,$C38,'RAW_농산물_11-12월'!$A:$A,$E38)-SUMIFS('RAW_농산물_10월'!$H:$H,'RAW_농산물_10월'!$D:$D,$C38,'RAW_농산물_10월'!$A:$A,$E38)))</f>
        <v/>
      </c>
      <c r="S38" s="17" t="str">
        <f t="shared" si="4"/>
        <v>O</v>
      </c>
      <c r="T38" s="17" t="str">
        <f t="shared" si="5"/>
        <v>50만원 미만</v>
      </c>
      <c r="U38" s="7">
        <f>IF($C38="",0,IF('설정'!$B$3=0,0,CHOOSE('설정'!$B$3,COUNTIFS('RAW_농산물_7월'!$D:$D,$C38,'RAW_농산물_7월'!$A:$A,$E38),COUNTIFS('RAW_농산물_8월'!$D:$D,$C38,'RAW_농산물_8월'!$A:$A,$E38),COUNTIFS('RAW_농산물_9월'!$D:$D,$C38,'RAW_농산물_9월'!$A:$A,$E38),COUNTIFS('RAW_농산물_10월'!$D:$D,$C38,'RAW_농산물_10월'!$A:$A,$E38),COUNTIFS('RAW_농산물_11-12월'!$D:$D,$C38,'RAW_농산물_11-12월'!$A:$A,$E38))))</f>
        <v>2</v>
      </c>
    </row>
    <row r="39" ht="15.75" customHeight="1">
      <c r="A39" s="5">
        <v>37.0</v>
      </c>
      <c r="B39" s="5" t="s">
        <v>25</v>
      </c>
      <c r="C39" s="5" t="s">
        <v>1190</v>
      </c>
      <c r="D39" s="6" t="s">
        <v>1189</v>
      </c>
      <c r="E39" s="5" t="s">
        <v>28</v>
      </c>
      <c r="F39" s="7">
        <f>IF($C39="","",IF('설정'!$B$3=0,"",CHOOSE('설정'!$B$3,SUMIFS('RAW_농산물_7월'!$F:$F,'RAW_농산물_7월'!$D:$D,$C39,'RAW_농산물_7월'!$A:$A,$E39),SUMIFS('RAW_농산물_8월'!$F:$F,'RAW_농산물_8월'!$D:$D,$C39,'RAW_농산물_8월'!$A:$A,$E39),SUMIFS('RAW_농산물_9월'!$F:$F,'RAW_농산물_9월'!$D:$D,$C39,'RAW_농산물_9월'!$A:$A,$E39),SUMIFS('RAW_농산물_10월'!$F:$F,'RAW_농산물_10월'!$D:$D,$C39,'RAW_농산물_10월'!$A:$A,$E39),SUMIFS('RAW_농산물_11-12월'!$F:$F,'RAW_농산물_11-12월'!$D:$D,$C39,'RAW_농산물_11-12월'!$A:$A,$E39))))</f>
        <v>265</v>
      </c>
      <c r="G39" s="7">
        <f>IF($C39="","",IF('설정'!$B$3=0,"",CHOOSE('설정'!$B$3,SUMIFS('RAW_농산물_7월'!$G:$G,'RAW_농산물_7월'!$D:$D,$C39,'RAW_농산물_7월'!$A:$A,$E39),SUMIFS('RAW_농산물_8월'!$G:$G,'RAW_농산물_8월'!$D:$D,$C39,'RAW_농산물_8월'!$A:$A,$E39),SUMIFS('RAW_농산물_9월'!$G:$G,'RAW_농산물_9월'!$D:$D,$C39,'RAW_농산물_9월'!$A:$A,$E39),SUMIFS('RAW_농산물_10월'!$G:$G,'RAW_농산물_10월'!$D:$D,$C39,'RAW_농산물_10월'!$A:$A,$E39),SUMIFS('RAW_농산물_11-12월'!$G:$G,'RAW_농산물_11-12월'!$D:$D,$C39,'RAW_농산물_11-12월'!$A:$A,$E39))))</f>
        <v>12912030</v>
      </c>
      <c r="H39" s="14">
        <f>IF($C39="","",IF('설정'!$B$3=0,"",CHOOSE('설정'!$B$3,SUMIFS('RAW_농산물_7월'!$H:$H,'RAW_농산물_7월'!$D:$D,$C39,'RAW_농산물_7월'!$A:$A,$E39),SUMIFS('RAW_농산물_8월'!$H:$H,'RAW_농산물_8월'!$D:$D,$C39,'RAW_농산물_8월'!$A:$A,$E39),SUMIFS('RAW_농산물_9월'!$H:$H,'RAW_농산물_9월'!$D:$D,$C39,'RAW_농산물_9월'!$A:$A,$E39),SUMIFS('RAW_농산물_10월'!$H:$H,'RAW_농산물_10월'!$D:$D,$C39,'RAW_농산물_10월'!$A:$A,$E39),SUMIFS('RAW_농산물_11-12월'!$H:$H,'RAW_농산물_11-12월'!$D:$D,$C39,'RAW_농산물_11-12월'!$A:$A,$E39))))</f>
        <v>1332970</v>
      </c>
      <c r="I39" s="17" t="str">
        <f>IF($C39="","",IF(COUNTIFS('RAW_농산물_7월'!$D:$D,$C39,'RAW_농산물_7월'!$A:$A,$E39)&gt;0,"O",""))</f>
        <v>O</v>
      </c>
      <c r="J39" s="17" t="str">
        <f>IF($C39="","",IF(COUNTIFS('RAW_농산물_8월'!$D:$D,$C39,'RAW_농산물_8월'!$A:$A,$E39)&gt;0,"O",""))</f>
        <v>O</v>
      </c>
      <c r="K39" s="17" t="str">
        <f>IF($C39="","",IF(COUNTIFS('RAW_농산물_9월'!$D:$D,$C39,'RAW_농산물_9월'!$A:$A,$E39)&gt;0,"O",""))</f>
        <v/>
      </c>
      <c r="L39" s="17" t="str">
        <f>IF($C39="","",IF(COUNTIFS('RAW_농산물_10월'!$D:$D,$C39,'RAW_농산물_10월'!$A:$A,$E39)&gt;0,"O",""))</f>
        <v/>
      </c>
      <c r="M39" s="17" t="str">
        <f>IF($C39="","",IF(COUNTIFS('RAW_농산물_11-12월'!$D:$D,$C39,'RAW_농산물_11-12월'!$A:$A,$E39)&gt;0,"O",""))</f>
        <v/>
      </c>
      <c r="N39" s="7">
        <f>IF($C39="","",IF(COUNTA('RAW_농산물_7월'!$A:$A)&lt;=1,"",SUMIFS('RAW_농산물_7월'!$H:$H,'RAW_농산물_7월'!$D:$D,$C39,'RAW_농산물_7월'!$A:$A,$E39)))</f>
        <v>1540</v>
      </c>
      <c r="O39" s="7">
        <f>IF($C39="","",IF(COUNTA('RAW_농산물_8월'!$A:$A)&lt;=1,"",SUMIFS('RAW_농산물_8월'!$H:$H,'RAW_농산물_8월'!$D:$D,$C39,'RAW_농산물_8월'!$A:$A,$E39)-SUMIFS('RAW_농산물_7월'!$H:$H,'RAW_농산물_7월'!$D:$D,$C39,'RAW_농산물_7월'!$A:$A,$E39)))</f>
        <v>1331430</v>
      </c>
      <c r="P39" s="7" t="str">
        <f>IF($C39="","",IF(COUNTA('RAW_농산물_9월'!$A:$A)&lt;=1,"",SUMIFS('RAW_농산물_9월'!$H:$H,'RAW_농산물_9월'!$D:$D,$C39,'RAW_농산물_9월'!$A:$A,$E39)-SUMIFS('RAW_농산물_8월'!$H:$H,'RAW_농산물_8월'!$D:$D,$C39,'RAW_농산물_8월'!$A:$A,$E39)))</f>
        <v/>
      </c>
      <c r="Q39" s="7" t="str">
        <f>IF($C39="","",IF(COUNTA('RAW_농산물_10월'!$A:$A)&lt;=1,"",SUMIFS('RAW_농산물_10월'!$H:$H,'RAW_농산물_10월'!$D:$D,$C39,'RAW_농산물_10월'!$A:$A,$E39)-SUMIFS('RAW_농산물_9월'!$H:$H,'RAW_농산물_9월'!$D:$D,$C39,'RAW_농산물_9월'!$A:$A,$E39)))</f>
        <v/>
      </c>
      <c r="R39" s="7" t="str">
        <f>IF($C39="","",IF(COUNTA('RAW_농산물_11-12월'!$A:$A)&lt;=1,"",SUMIFS('RAW_농산물_11-12월'!$H:$H,'RAW_농산물_11-12월'!$D:$D,$C39,'RAW_농산물_11-12월'!$A:$A,$E39)-SUMIFS('RAW_농산물_10월'!$H:$H,'RAW_농산물_10월'!$D:$D,$C39,'RAW_농산물_10월'!$A:$A,$E39)))</f>
        <v/>
      </c>
      <c r="S39" s="17" t="str">
        <f t="shared" si="4"/>
        <v>O</v>
      </c>
      <c r="T39" s="17" t="str">
        <f t="shared" si="5"/>
        <v>200만원 미만</v>
      </c>
      <c r="U39" s="7">
        <f>IF($C39="",0,IF('설정'!$B$3=0,0,CHOOSE('설정'!$B$3,COUNTIFS('RAW_농산물_7월'!$D:$D,$C39,'RAW_농산물_7월'!$A:$A,$E39),COUNTIFS('RAW_농산물_8월'!$D:$D,$C39,'RAW_농산물_8월'!$A:$A,$E39),COUNTIFS('RAW_농산물_9월'!$D:$D,$C39,'RAW_농산물_9월'!$A:$A,$E39),COUNTIFS('RAW_농산물_10월'!$D:$D,$C39,'RAW_농산물_10월'!$A:$A,$E39),COUNTIFS('RAW_농산물_11-12월'!$D:$D,$C39,'RAW_농산물_11-12월'!$A:$A,$E39))))</f>
        <v>5</v>
      </c>
    </row>
    <row r="40" ht="15.75" customHeight="1">
      <c r="A40" s="5">
        <v>38.0</v>
      </c>
      <c r="B40" s="5" t="s">
        <v>145</v>
      </c>
      <c r="C40" s="5" t="s">
        <v>374</v>
      </c>
      <c r="D40" s="6" t="s">
        <v>373</v>
      </c>
      <c r="E40" s="5" t="s">
        <v>92</v>
      </c>
      <c r="F40" s="7">
        <f>IF($C40="","",IF('설정'!$B$3=0,"",CHOOSE('설정'!$B$3,SUMIFS('RAW_농산물_7월'!$F:$F,'RAW_농산물_7월'!$D:$D,$C40,'RAW_농산물_7월'!$A:$A,$E40),SUMIFS('RAW_농산물_8월'!$F:$F,'RAW_농산물_8월'!$D:$D,$C40,'RAW_농산물_8월'!$A:$A,$E40),SUMIFS('RAW_농산물_9월'!$F:$F,'RAW_농산물_9월'!$D:$D,$C40,'RAW_농산물_9월'!$A:$A,$E40),SUMIFS('RAW_농산물_10월'!$F:$F,'RAW_농산물_10월'!$D:$D,$C40,'RAW_농산물_10월'!$A:$A,$E40),SUMIFS('RAW_농산물_11-12월'!$F:$F,'RAW_농산물_11-12월'!$D:$D,$C40,'RAW_농산물_11-12월'!$A:$A,$E40))))</f>
        <v>594</v>
      </c>
      <c r="G40" s="7">
        <f>IF($C40="","",IF('설정'!$B$3=0,"",CHOOSE('설정'!$B$3,SUMIFS('RAW_농산물_7월'!$G:$G,'RAW_농산물_7월'!$D:$D,$C40,'RAW_농산물_7월'!$A:$A,$E40),SUMIFS('RAW_농산물_8월'!$G:$G,'RAW_농산물_8월'!$D:$D,$C40,'RAW_농산물_8월'!$A:$A,$E40),SUMIFS('RAW_농산물_9월'!$G:$G,'RAW_농산물_9월'!$D:$D,$C40,'RAW_농산물_9월'!$A:$A,$E40),SUMIFS('RAW_농산물_10월'!$G:$G,'RAW_농산물_10월'!$D:$D,$C40,'RAW_농산물_10월'!$A:$A,$E40),SUMIFS('RAW_농산물_11-12월'!$G:$G,'RAW_농산물_11-12월'!$D:$D,$C40,'RAW_농산물_11-12월'!$A:$A,$E40))))</f>
        <v>19348530</v>
      </c>
      <c r="H40" s="14">
        <f>IF($C40="","",IF('설정'!$B$3=0,"",CHOOSE('설정'!$B$3,SUMIFS('RAW_농산물_7월'!$H:$H,'RAW_농산물_7월'!$D:$D,$C40,'RAW_농산물_7월'!$A:$A,$E40),SUMIFS('RAW_농산물_8월'!$H:$H,'RAW_농산물_8월'!$D:$D,$C40,'RAW_농산물_8월'!$A:$A,$E40),SUMIFS('RAW_농산물_9월'!$H:$H,'RAW_농산물_9월'!$D:$D,$C40,'RAW_농산물_9월'!$A:$A,$E40),SUMIFS('RAW_농산물_10월'!$H:$H,'RAW_농산물_10월'!$D:$D,$C40,'RAW_농산물_10월'!$A:$A,$E40),SUMIFS('RAW_농산물_11-12월'!$H:$H,'RAW_농산물_11-12월'!$D:$D,$C40,'RAW_농산물_11-12월'!$A:$A,$E40))))</f>
        <v>2220230</v>
      </c>
      <c r="I40" s="17" t="str">
        <f>IF($C40="","",IF(COUNTIFS('RAW_농산물_7월'!$D:$D,$C40,'RAW_농산물_7월'!$A:$A,$E40)&gt;0,"O",""))</f>
        <v>O</v>
      </c>
      <c r="J40" s="17" t="str">
        <f>IF($C40="","",IF(COUNTIFS('RAW_농산물_8월'!$D:$D,$C40,'RAW_농산물_8월'!$A:$A,$E40)&gt;0,"O",""))</f>
        <v>O</v>
      </c>
      <c r="K40" s="17" t="str">
        <f>IF($C40="","",IF(COUNTIFS('RAW_농산물_9월'!$D:$D,$C40,'RAW_농산물_9월'!$A:$A,$E40)&gt;0,"O",""))</f>
        <v/>
      </c>
      <c r="L40" s="17" t="str">
        <f>IF($C40="","",IF(COUNTIFS('RAW_농산물_10월'!$D:$D,$C40,'RAW_농산물_10월'!$A:$A,$E40)&gt;0,"O",""))</f>
        <v/>
      </c>
      <c r="M40" s="17" t="str">
        <f>IF($C40="","",IF(COUNTIFS('RAW_농산물_11-12월'!$D:$D,$C40,'RAW_농산물_11-12월'!$A:$A,$E40)&gt;0,"O",""))</f>
        <v/>
      </c>
      <c r="N40" s="7">
        <f>IF($C40="","",IF(COUNTA('RAW_농산물_7월'!$A:$A)&lt;=1,"",SUMIFS('RAW_농산물_7월'!$H:$H,'RAW_농산물_7월'!$D:$D,$C40,'RAW_농산물_7월'!$A:$A,$E40)))</f>
        <v>716030</v>
      </c>
      <c r="O40" s="7">
        <f>IF($C40="","",IF(COUNTA('RAW_농산물_8월'!$A:$A)&lt;=1,"",SUMIFS('RAW_농산물_8월'!$H:$H,'RAW_농산물_8월'!$D:$D,$C40,'RAW_농산물_8월'!$A:$A,$E40)-SUMIFS('RAW_농산물_7월'!$H:$H,'RAW_농산물_7월'!$D:$D,$C40,'RAW_농산물_7월'!$A:$A,$E40)))</f>
        <v>1504200</v>
      </c>
      <c r="P40" s="7" t="str">
        <f>IF($C40="","",IF(COUNTA('RAW_농산물_9월'!$A:$A)&lt;=1,"",SUMIFS('RAW_농산물_9월'!$H:$H,'RAW_농산물_9월'!$D:$D,$C40,'RAW_농산물_9월'!$A:$A,$E40)-SUMIFS('RAW_농산물_8월'!$H:$H,'RAW_농산물_8월'!$D:$D,$C40,'RAW_농산물_8월'!$A:$A,$E40)))</f>
        <v/>
      </c>
      <c r="Q40" s="7" t="str">
        <f>IF($C40="","",IF(COUNTA('RAW_농산물_10월'!$A:$A)&lt;=1,"",SUMIFS('RAW_농산물_10월'!$H:$H,'RAW_농산물_10월'!$D:$D,$C40,'RAW_농산물_10월'!$A:$A,$E40)-SUMIFS('RAW_농산물_9월'!$H:$H,'RAW_농산물_9월'!$D:$D,$C40,'RAW_농산물_9월'!$A:$A,$E40)))</f>
        <v/>
      </c>
      <c r="R40" s="7" t="str">
        <f>IF($C40="","",IF(COUNTA('RAW_농산물_11-12월'!$A:$A)&lt;=1,"",SUMIFS('RAW_농산물_11-12월'!$H:$H,'RAW_농산물_11-12월'!$D:$D,$C40,'RAW_농산물_11-12월'!$A:$A,$E40)-SUMIFS('RAW_농산물_10월'!$H:$H,'RAW_농산물_10월'!$D:$D,$C40,'RAW_농산물_10월'!$A:$A,$E40)))</f>
        <v/>
      </c>
      <c r="S40" s="17" t="str">
        <f t="shared" si="4"/>
        <v>O</v>
      </c>
      <c r="T40" s="17" t="str">
        <f t="shared" si="5"/>
        <v>300만원 미만</v>
      </c>
      <c r="U40" s="7">
        <f>IF($C40="",0,IF('설정'!$B$3=0,0,CHOOSE('설정'!$B$3,COUNTIFS('RAW_농산물_7월'!$D:$D,$C40,'RAW_농산물_7월'!$A:$A,$E40),COUNTIFS('RAW_농산물_8월'!$D:$D,$C40,'RAW_농산물_8월'!$A:$A,$E40),COUNTIFS('RAW_농산물_9월'!$D:$D,$C40,'RAW_농산물_9월'!$A:$A,$E40),COUNTIFS('RAW_농산물_10월'!$D:$D,$C40,'RAW_농산물_10월'!$A:$A,$E40),COUNTIFS('RAW_농산물_11-12월'!$D:$D,$C40,'RAW_농산물_11-12월'!$A:$A,$E40))))</f>
        <v>43</v>
      </c>
    </row>
    <row r="41" ht="15.75" customHeight="1">
      <c r="A41" s="5">
        <v>39.0</v>
      </c>
      <c r="B41" s="5" t="s">
        <v>25</v>
      </c>
      <c r="C41" s="5" t="s">
        <v>294</v>
      </c>
      <c r="D41" s="6" t="s">
        <v>293</v>
      </c>
      <c r="E41" s="5" t="s">
        <v>92</v>
      </c>
      <c r="F41" s="7">
        <f>IF($C41="","",IF('설정'!$B$3=0,"",CHOOSE('설정'!$B$3,SUMIFS('RAW_농산물_7월'!$F:$F,'RAW_농산물_7월'!$D:$D,$C41,'RAW_농산물_7월'!$A:$A,$E41),SUMIFS('RAW_농산물_8월'!$F:$F,'RAW_농산물_8월'!$D:$D,$C41,'RAW_농산물_8월'!$A:$A,$E41),SUMIFS('RAW_농산물_9월'!$F:$F,'RAW_농산물_9월'!$D:$D,$C41,'RAW_농산물_9월'!$A:$A,$E41),SUMIFS('RAW_농산물_10월'!$F:$F,'RAW_농산물_10월'!$D:$D,$C41,'RAW_농산물_10월'!$A:$A,$E41),SUMIFS('RAW_농산물_11-12월'!$F:$F,'RAW_농산물_11-12월'!$D:$D,$C41,'RAW_농산물_11-12월'!$A:$A,$E41))))</f>
        <v>5188</v>
      </c>
      <c r="G41" s="7">
        <f>IF($C41="","",IF('설정'!$B$3=0,"",CHOOSE('설정'!$B$3,SUMIFS('RAW_농산물_7월'!$G:$G,'RAW_농산물_7월'!$D:$D,$C41,'RAW_농산물_7월'!$A:$A,$E41),SUMIFS('RAW_농산물_8월'!$G:$G,'RAW_농산물_8월'!$D:$D,$C41,'RAW_농산물_8월'!$A:$A,$E41),SUMIFS('RAW_농산물_9월'!$G:$G,'RAW_농산물_9월'!$D:$D,$C41,'RAW_농산물_9월'!$A:$A,$E41),SUMIFS('RAW_농산물_10월'!$G:$G,'RAW_농산물_10월'!$D:$D,$C41,'RAW_농산물_10월'!$A:$A,$E41),SUMIFS('RAW_농산물_11-12월'!$G:$G,'RAW_농산물_11-12월'!$D:$D,$C41,'RAW_농산물_11-12월'!$A:$A,$E41))))</f>
        <v>110084760</v>
      </c>
      <c r="H41" s="14">
        <f>IF($C41="","",IF('설정'!$B$3=0,"",CHOOSE('설정'!$B$3,SUMIFS('RAW_농산물_7월'!$H:$H,'RAW_농산물_7월'!$D:$D,$C41,'RAW_농산물_7월'!$A:$A,$E41),SUMIFS('RAW_농산물_8월'!$H:$H,'RAW_농산물_8월'!$D:$D,$C41,'RAW_농산물_8월'!$A:$A,$E41),SUMIFS('RAW_농산물_9월'!$H:$H,'RAW_농산물_9월'!$D:$D,$C41,'RAW_농산물_9월'!$A:$A,$E41),SUMIFS('RAW_농산물_10월'!$H:$H,'RAW_농산물_10월'!$D:$D,$C41,'RAW_농산물_10월'!$A:$A,$E41),SUMIFS('RAW_농산물_11-12월'!$H:$H,'RAW_농산물_11-12월'!$D:$D,$C41,'RAW_농산물_11-12월'!$A:$A,$E41))))</f>
        <v>4360080</v>
      </c>
      <c r="I41" s="17" t="str">
        <f>IF($C41="","",IF(COUNTIFS('RAW_농산물_7월'!$D:$D,$C41,'RAW_농산물_7월'!$A:$A,$E41)&gt;0,"O",""))</f>
        <v>O</v>
      </c>
      <c r="J41" s="17" t="str">
        <f>IF($C41="","",IF(COUNTIFS('RAW_농산물_8월'!$D:$D,$C41,'RAW_농산물_8월'!$A:$A,$E41)&gt;0,"O",""))</f>
        <v>O</v>
      </c>
      <c r="K41" s="17" t="str">
        <f>IF($C41="","",IF(COUNTIFS('RAW_농산물_9월'!$D:$D,$C41,'RAW_농산물_9월'!$A:$A,$E41)&gt;0,"O",""))</f>
        <v/>
      </c>
      <c r="L41" s="17" t="str">
        <f>IF($C41="","",IF(COUNTIFS('RAW_농산물_10월'!$D:$D,$C41,'RAW_농산물_10월'!$A:$A,$E41)&gt;0,"O",""))</f>
        <v/>
      </c>
      <c r="M41" s="17" t="str">
        <f>IF($C41="","",IF(COUNTIFS('RAW_농산물_11-12월'!$D:$D,$C41,'RAW_농산물_11-12월'!$A:$A,$E41)&gt;0,"O",""))</f>
        <v/>
      </c>
      <c r="N41" s="7">
        <f>IF($C41="","",IF(COUNTA('RAW_농산물_7월'!$A:$A)&lt;=1,"",SUMIFS('RAW_농산물_7월'!$H:$H,'RAW_농산물_7월'!$D:$D,$C41,'RAW_농산물_7월'!$A:$A,$E41)))</f>
        <v>3584910</v>
      </c>
      <c r="O41" s="7">
        <f>IF($C41="","",IF(COUNTA('RAW_농산물_8월'!$A:$A)&lt;=1,"",SUMIFS('RAW_농산물_8월'!$H:$H,'RAW_농산물_8월'!$D:$D,$C41,'RAW_농산물_8월'!$A:$A,$E41)-SUMIFS('RAW_농산물_7월'!$H:$H,'RAW_농산물_7월'!$D:$D,$C41,'RAW_농산물_7월'!$A:$A,$E41)))</f>
        <v>775170</v>
      </c>
      <c r="P41" s="7" t="str">
        <f>IF($C41="","",IF(COUNTA('RAW_농산물_9월'!$A:$A)&lt;=1,"",SUMIFS('RAW_농산물_9월'!$H:$H,'RAW_농산물_9월'!$D:$D,$C41,'RAW_농산물_9월'!$A:$A,$E41)-SUMIFS('RAW_농산물_8월'!$H:$H,'RAW_농산물_8월'!$D:$D,$C41,'RAW_농산물_8월'!$A:$A,$E41)))</f>
        <v/>
      </c>
      <c r="Q41" s="7" t="str">
        <f>IF($C41="","",IF(COUNTA('RAW_농산물_10월'!$A:$A)&lt;=1,"",SUMIFS('RAW_농산물_10월'!$H:$H,'RAW_농산물_10월'!$D:$D,$C41,'RAW_농산물_10월'!$A:$A,$E41)-SUMIFS('RAW_농산물_9월'!$H:$H,'RAW_농산물_9월'!$D:$D,$C41,'RAW_농산물_9월'!$A:$A,$E41)))</f>
        <v/>
      </c>
      <c r="R41" s="7" t="str">
        <f>IF($C41="","",IF(COUNTA('RAW_농산물_11-12월'!$A:$A)&lt;=1,"",SUMIFS('RAW_농산물_11-12월'!$H:$H,'RAW_농산물_11-12월'!$D:$D,$C41,'RAW_농산물_11-12월'!$A:$A,$E41)-SUMIFS('RAW_농산물_10월'!$H:$H,'RAW_농산물_10월'!$D:$D,$C41,'RAW_농산물_10월'!$A:$A,$E41)))</f>
        <v/>
      </c>
      <c r="S41" s="17" t="str">
        <f t="shared" si="4"/>
        <v>O</v>
      </c>
      <c r="T41" s="17" t="str">
        <f t="shared" si="5"/>
        <v>500만원 미만</v>
      </c>
      <c r="U41" s="7">
        <f>IF($C41="",0,IF('설정'!$B$3=0,0,CHOOSE('설정'!$B$3,COUNTIFS('RAW_농산물_7월'!$D:$D,$C41,'RAW_농산물_7월'!$A:$A,$E41),COUNTIFS('RAW_농산물_8월'!$D:$D,$C41,'RAW_농산물_8월'!$A:$A,$E41),COUNTIFS('RAW_농산물_9월'!$D:$D,$C41,'RAW_농산물_9월'!$A:$A,$E41),COUNTIFS('RAW_농산물_10월'!$D:$D,$C41,'RAW_농산물_10월'!$A:$A,$E41),COUNTIFS('RAW_농산물_11-12월'!$D:$D,$C41,'RAW_농산물_11-12월'!$A:$A,$E41))))</f>
        <v>6</v>
      </c>
    </row>
    <row r="42" ht="15.75" customHeight="1">
      <c r="A42" s="5">
        <v>40.0</v>
      </c>
      <c r="B42" s="5" t="s">
        <v>108</v>
      </c>
      <c r="C42" s="5" t="s">
        <v>2002</v>
      </c>
      <c r="D42" s="6" t="s">
        <v>2003</v>
      </c>
      <c r="E42" s="5" t="s">
        <v>92</v>
      </c>
      <c r="F42" s="7">
        <f>IF($C42="","",IF('설정'!$B$3=0,"",CHOOSE('설정'!$B$3,SUMIFS('RAW_농산물_7월'!$F:$F,'RAW_농산물_7월'!$D:$D,$C42,'RAW_농산물_7월'!$A:$A,$E42),SUMIFS('RAW_농산물_8월'!$F:$F,'RAW_농산물_8월'!$D:$D,$C42,'RAW_농산물_8월'!$A:$A,$E42),SUMIFS('RAW_농산물_9월'!$F:$F,'RAW_농산물_9월'!$D:$D,$C42,'RAW_농산물_9월'!$A:$A,$E42),SUMIFS('RAW_농산물_10월'!$F:$F,'RAW_농산물_10월'!$D:$D,$C42,'RAW_농산물_10월'!$A:$A,$E42),SUMIFS('RAW_농산물_11-12월'!$F:$F,'RAW_농산물_11-12월'!$D:$D,$C42,'RAW_농산물_11-12월'!$A:$A,$E42))))</f>
        <v>0</v>
      </c>
      <c r="G42" s="7">
        <f>IF($C42="","",IF('설정'!$B$3=0,"",CHOOSE('설정'!$B$3,SUMIFS('RAW_농산물_7월'!$G:$G,'RAW_농산물_7월'!$D:$D,$C42,'RAW_농산물_7월'!$A:$A,$E42),SUMIFS('RAW_농산물_8월'!$G:$G,'RAW_농산물_8월'!$D:$D,$C42,'RAW_농산물_8월'!$A:$A,$E42),SUMIFS('RAW_농산물_9월'!$G:$G,'RAW_농산물_9월'!$D:$D,$C42,'RAW_농산물_9월'!$A:$A,$E42),SUMIFS('RAW_농산물_10월'!$G:$G,'RAW_농산물_10월'!$D:$D,$C42,'RAW_농산물_10월'!$A:$A,$E42),SUMIFS('RAW_농산물_11-12월'!$G:$G,'RAW_농산물_11-12월'!$D:$D,$C42,'RAW_농산물_11-12월'!$A:$A,$E42))))</f>
        <v>0</v>
      </c>
      <c r="H42" s="14">
        <f>IF($C42="","",IF('설정'!$B$3=0,"",CHOOSE('설정'!$B$3,SUMIFS('RAW_농산물_7월'!$H:$H,'RAW_농산물_7월'!$D:$D,$C42,'RAW_농산물_7월'!$A:$A,$E42),SUMIFS('RAW_농산물_8월'!$H:$H,'RAW_농산물_8월'!$D:$D,$C42,'RAW_농산물_8월'!$A:$A,$E42),SUMIFS('RAW_농산물_9월'!$H:$H,'RAW_농산물_9월'!$D:$D,$C42,'RAW_농산물_9월'!$A:$A,$E42),SUMIFS('RAW_농산물_10월'!$H:$H,'RAW_농산물_10월'!$D:$D,$C42,'RAW_농산물_10월'!$A:$A,$E42),SUMIFS('RAW_농산물_11-12월'!$H:$H,'RAW_농산물_11-12월'!$D:$D,$C42,'RAW_농산물_11-12월'!$A:$A,$E42))))</f>
        <v>0</v>
      </c>
      <c r="I42" s="17" t="str">
        <f>IF($C42="","",IF(COUNTIFS('RAW_농산물_7월'!$D:$D,$C42,'RAW_농산물_7월'!$A:$A,$E42)&gt;0,"O",""))</f>
        <v/>
      </c>
      <c r="J42" s="17" t="str">
        <f>IF($C42="","",IF(COUNTIFS('RAW_농산물_8월'!$D:$D,$C42,'RAW_농산물_8월'!$A:$A,$E42)&gt;0,"O",""))</f>
        <v/>
      </c>
      <c r="K42" s="17" t="str">
        <f>IF($C42="","",IF(COUNTIFS('RAW_농산물_9월'!$D:$D,$C42,'RAW_농산물_9월'!$A:$A,$E42)&gt;0,"O",""))</f>
        <v/>
      </c>
      <c r="L42" s="17" t="str">
        <f>IF($C42="","",IF(COUNTIFS('RAW_농산물_10월'!$D:$D,$C42,'RAW_농산물_10월'!$A:$A,$E42)&gt;0,"O",""))</f>
        <v/>
      </c>
      <c r="M42" s="17" t="str">
        <f>IF($C42="","",IF(COUNTIFS('RAW_농산물_11-12월'!$D:$D,$C42,'RAW_농산물_11-12월'!$A:$A,$E42)&gt;0,"O",""))</f>
        <v/>
      </c>
      <c r="N42" s="7">
        <f>IF($C42="","",IF(COUNTA('RAW_농산물_7월'!$A:$A)&lt;=1,"",SUMIFS('RAW_농산물_7월'!$H:$H,'RAW_농산물_7월'!$D:$D,$C42,'RAW_농산물_7월'!$A:$A,$E42)))</f>
        <v>0</v>
      </c>
      <c r="O42" s="7">
        <f>IF($C42="","",IF(COUNTA('RAW_농산물_8월'!$A:$A)&lt;=1,"",SUMIFS('RAW_농산물_8월'!$H:$H,'RAW_농산물_8월'!$D:$D,$C42,'RAW_농산물_8월'!$A:$A,$E42)-SUMIFS('RAW_농산물_7월'!$H:$H,'RAW_농산물_7월'!$D:$D,$C42,'RAW_농산물_7월'!$A:$A,$E42)))</f>
        <v>0</v>
      </c>
      <c r="P42" s="7" t="str">
        <f>IF($C42="","",IF(COUNTA('RAW_농산물_9월'!$A:$A)&lt;=1,"",SUMIFS('RAW_농산물_9월'!$H:$H,'RAW_농산물_9월'!$D:$D,$C42,'RAW_농산물_9월'!$A:$A,$E42)-SUMIFS('RAW_농산물_8월'!$H:$H,'RAW_농산물_8월'!$D:$D,$C42,'RAW_농산물_8월'!$A:$A,$E42)))</f>
        <v/>
      </c>
      <c r="Q42" s="7" t="str">
        <f>IF($C42="","",IF(COUNTA('RAW_농산물_10월'!$A:$A)&lt;=1,"",SUMIFS('RAW_농산물_10월'!$H:$H,'RAW_농산물_10월'!$D:$D,$C42,'RAW_농산물_10월'!$A:$A,$E42)-SUMIFS('RAW_농산물_9월'!$H:$H,'RAW_농산물_9월'!$D:$D,$C42,'RAW_농산물_9월'!$A:$A,$E42)))</f>
        <v/>
      </c>
      <c r="R42" s="7" t="str">
        <f>IF($C42="","",IF(COUNTA('RAW_농산물_11-12월'!$A:$A)&lt;=1,"",SUMIFS('RAW_농산물_11-12월'!$H:$H,'RAW_농산물_11-12월'!$D:$D,$C42,'RAW_농산물_11-12월'!$A:$A,$E42)-SUMIFS('RAW_농산물_10월'!$H:$H,'RAW_농산물_10월'!$D:$D,$C42,'RAW_농산물_10월'!$A:$A,$E42)))</f>
        <v/>
      </c>
      <c r="S42" s="17" t="str">
        <f t="shared" si="4"/>
        <v/>
      </c>
      <c r="T42" s="17" t="str">
        <f t="shared" si="5"/>
        <v>미사용</v>
      </c>
      <c r="U42" s="7">
        <f>IF($C42="",0,IF('설정'!$B$3=0,0,CHOOSE('설정'!$B$3,COUNTIFS('RAW_농산물_7월'!$D:$D,$C42,'RAW_농산물_7월'!$A:$A,$E42),COUNTIFS('RAW_농산물_8월'!$D:$D,$C42,'RAW_농산물_8월'!$A:$A,$E42),COUNTIFS('RAW_농산물_9월'!$D:$D,$C42,'RAW_농산물_9월'!$A:$A,$E42),COUNTIFS('RAW_농산물_10월'!$D:$D,$C42,'RAW_농산물_10월'!$A:$A,$E42),COUNTIFS('RAW_농산물_11-12월'!$D:$D,$C42,'RAW_농산물_11-12월'!$A:$A,$E42))))</f>
        <v>0</v>
      </c>
    </row>
    <row r="43" ht="15.75" customHeight="1">
      <c r="A43" s="5">
        <v>41.0</v>
      </c>
      <c r="B43" s="5" t="s">
        <v>108</v>
      </c>
      <c r="C43" s="5" t="s">
        <v>2116</v>
      </c>
      <c r="D43" s="6" t="s">
        <v>2117</v>
      </c>
      <c r="E43" s="5" t="s">
        <v>92</v>
      </c>
      <c r="F43" s="7">
        <f>IF($C43="","",IF('설정'!$B$3=0,"",CHOOSE('설정'!$B$3,SUMIFS('RAW_농산물_7월'!$F:$F,'RAW_농산물_7월'!$D:$D,$C43,'RAW_농산물_7월'!$A:$A,$E43),SUMIFS('RAW_농산물_8월'!$F:$F,'RAW_농산물_8월'!$D:$D,$C43,'RAW_농산물_8월'!$A:$A,$E43),SUMIFS('RAW_농산물_9월'!$F:$F,'RAW_농산물_9월'!$D:$D,$C43,'RAW_농산물_9월'!$A:$A,$E43),SUMIFS('RAW_농산물_10월'!$F:$F,'RAW_농산물_10월'!$D:$D,$C43,'RAW_농산물_10월'!$A:$A,$E43),SUMIFS('RAW_농산물_11-12월'!$F:$F,'RAW_농산물_11-12월'!$D:$D,$C43,'RAW_농산물_11-12월'!$A:$A,$E43))))</f>
        <v>0</v>
      </c>
      <c r="G43" s="7">
        <f>IF($C43="","",IF('설정'!$B$3=0,"",CHOOSE('설정'!$B$3,SUMIFS('RAW_농산물_7월'!$G:$G,'RAW_농산물_7월'!$D:$D,$C43,'RAW_농산물_7월'!$A:$A,$E43),SUMIFS('RAW_농산물_8월'!$G:$G,'RAW_농산물_8월'!$D:$D,$C43,'RAW_농산물_8월'!$A:$A,$E43),SUMIFS('RAW_농산물_9월'!$G:$G,'RAW_농산물_9월'!$D:$D,$C43,'RAW_농산물_9월'!$A:$A,$E43),SUMIFS('RAW_농산물_10월'!$G:$G,'RAW_농산물_10월'!$D:$D,$C43,'RAW_농산물_10월'!$A:$A,$E43),SUMIFS('RAW_농산물_11-12월'!$G:$G,'RAW_농산물_11-12월'!$D:$D,$C43,'RAW_농산물_11-12월'!$A:$A,$E43))))</f>
        <v>0</v>
      </c>
      <c r="H43" s="14">
        <f>IF($C43="","",IF('설정'!$B$3=0,"",CHOOSE('설정'!$B$3,SUMIFS('RAW_농산물_7월'!$H:$H,'RAW_농산물_7월'!$D:$D,$C43,'RAW_농산물_7월'!$A:$A,$E43),SUMIFS('RAW_농산물_8월'!$H:$H,'RAW_농산물_8월'!$D:$D,$C43,'RAW_농산물_8월'!$A:$A,$E43),SUMIFS('RAW_농산물_9월'!$H:$H,'RAW_농산물_9월'!$D:$D,$C43,'RAW_농산물_9월'!$A:$A,$E43),SUMIFS('RAW_농산물_10월'!$H:$H,'RAW_농산물_10월'!$D:$D,$C43,'RAW_농산물_10월'!$A:$A,$E43),SUMIFS('RAW_농산물_11-12월'!$H:$H,'RAW_농산물_11-12월'!$D:$D,$C43,'RAW_농산물_11-12월'!$A:$A,$E43))))</f>
        <v>0</v>
      </c>
      <c r="I43" s="17" t="str">
        <f>IF($C43="","",IF(COUNTIFS('RAW_농산물_7월'!$D:$D,$C43,'RAW_농산물_7월'!$A:$A,$E43)&gt;0,"O",""))</f>
        <v/>
      </c>
      <c r="J43" s="17" t="str">
        <f>IF($C43="","",IF(COUNTIFS('RAW_농산물_8월'!$D:$D,$C43,'RAW_농산물_8월'!$A:$A,$E43)&gt;0,"O",""))</f>
        <v/>
      </c>
      <c r="K43" s="17" t="str">
        <f>IF($C43="","",IF(COUNTIFS('RAW_농산물_9월'!$D:$D,$C43,'RAW_농산물_9월'!$A:$A,$E43)&gt;0,"O",""))</f>
        <v/>
      </c>
      <c r="L43" s="17" t="str">
        <f>IF($C43="","",IF(COUNTIFS('RAW_농산물_10월'!$D:$D,$C43,'RAW_농산물_10월'!$A:$A,$E43)&gt;0,"O",""))</f>
        <v/>
      </c>
      <c r="M43" s="17" t="str">
        <f>IF($C43="","",IF(COUNTIFS('RAW_농산물_11-12월'!$D:$D,$C43,'RAW_농산물_11-12월'!$A:$A,$E43)&gt;0,"O",""))</f>
        <v/>
      </c>
      <c r="N43" s="7">
        <f>IF($C43="","",IF(COUNTA('RAW_농산물_7월'!$A:$A)&lt;=1,"",SUMIFS('RAW_농산물_7월'!$H:$H,'RAW_농산물_7월'!$D:$D,$C43,'RAW_농산물_7월'!$A:$A,$E43)))</f>
        <v>0</v>
      </c>
      <c r="O43" s="7">
        <f>IF($C43="","",IF(COUNTA('RAW_농산물_8월'!$A:$A)&lt;=1,"",SUMIFS('RAW_농산물_8월'!$H:$H,'RAW_농산물_8월'!$D:$D,$C43,'RAW_농산물_8월'!$A:$A,$E43)-SUMIFS('RAW_농산물_7월'!$H:$H,'RAW_농산물_7월'!$D:$D,$C43,'RAW_농산물_7월'!$A:$A,$E43)))</f>
        <v>0</v>
      </c>
      <c r="P43" s="7" t="str">
        <f>IF($C43="","",IF(COUNTA('RAW_농산물_9월'!$A:$A)&lt;=1,"",SUMIFS('RAW_농산물_9월'!$H:$H,'RAW_농산물_9월'!$D:$D,$C43,'RAW_농산물_9월'!$A:$A,$E43)-SUMIFS('RAW_농산물_8월'!$H:$H,'RAW_농산물_8월'!$D:$D,$C43,'RAW_농산물_8월'!$A:$A,$E43)))</f>
        <v/>
      </c>
      <c r="Q43" s="7" t="str">
        <f>IF($C43="","",IF(COUNTA('RAW_농산물_10월'!$A:$A)&lt;=1,"",SUMIFS('RAW_농산물_10월'!$H:$H,'RAW_농산물_10월'!$D:$D,$C43,'RAW_농산물_10월'!$A:$A,$E43)-SUMIFS('RAW_농산물_9월'!$H:$H,'RAW_농산물_9월'!$D:$D,$C43,'RAW_농산물_9월'!$A:$A,$E43)))</f>
        <v/>
      </c>
      <c r="R43" s="7" t="str">
        <f>IF($C43="","",IF(COUNTA('RAW_농산물_11-12월'!$A:$A)&lt;=1,"",SUMIFS('RAW_농산물_11-12월'!$H:$H,'RAW_농산물_11-12월'!$D:$D,$C43,'RAW_농산물_11-12월'!$A:$A,$E43)-SUMIFS('RAW_농산물_10월'!$H:$H,'RAW_농산물_10월'!$D:$D,$C43,'RAW_농산물_10월'!$A:$A,$E43)))</f>
        <v/>
      </c>
      <c r="S43" s="17" t="str">
        <f t="shared" si="4"/>
        <v/>
      </c>
      <c r="T43" s="17" t="str">
        <f t="shared" si="5"/>
        <v>미사용</v>
      </c>
      <c r="U43" s="7">
        <f>IF($C43="",0,IF('설정'!$B$3=0,0,CHOOSE('설정'!$B$3,COUNTIFS('RAW_농산물_7월'!$D:$D,$C43,'RAW_농산물_7월'!$A:$A,$E43),COUNTIFS('RAW_농산물_8월'!$D:$D,$C43,'RAW_농산물_8월'!$A:$A,$E43),COUNTIFS('RAW_농산물_9월'!$D:$D,$C43,'RAW_농산물_9월'!$A:$A,$E43),COUNTIFS('RAW_농산물_10월'!$D:$D,$C43,'RAW_농산물_10월'!$A:$A,$E43),COUNTIFS('RAW_농산물_11-12월'!$D:$D,$C43,'RAW_농산물_11-12월'!$A:$A,$E43))))</f>
        <v>0</v>
      </c>
    </row>
    <row r="44" ht="15.75" customHeight="1">
      <c r="A44" s="5">
        <v>42.0</v>
      </c>
      <c r="B44" s="5" t="s">
        <v>25</v>
      </c>
      <c r="C44" s="5" t="s">
        <v>995</v>
      </c>
      <c r="D44" s="6" t="s">
        <v>994</v>
      </c>
      <c r="E44" s="5" t="s">
        <v>28</v>
      </c>
      <c r="F44" s="7">
        <f>IF($C44="","",IF('설정'!$B$3=0,"",CHOOSE('설정'!$B$3,SUMIFS('RAW_농산물_7월'!$F:$F,'RAW_농산물_7월'!$D:$D,$C44,'RAW_농산물_7월'!$A:$A,$E44),SUMIFS('RAW_농산물_8월'!$F:$F,'RAW_농산물_8월'!$D:$D,$C44,'RAW_농산물_8월'!$A:$A,$E44),SUMIFS('RAW_농산물_9월'!$F:$F,'RAW_농산물_9월'!$D:$D,$C44,'RAW_농산물_9월'!$A:$A,$E44),SUMIFS('RAW_농산물_10월'!$F:$F,'RAW_농산물_10월'!$D:$D,$C44,'RAW_농산물_10월'!$A:$A,$E44),SUMIFS('RAW_농산물_11-12월'!$F:$F,'RAW_농산물_11-12월'!$D:$D,$C44,'RAW_농산물_11-12월'!$A:$A,$E44))))</f>
        <v>6</v>
      </c>
      <c r="G44" s="7">
        <f>IF($C44="","",IF('설정'!$B$3=0,"",CHOOSE('설정'!$B$3,SUMIFS('RAW_농산물_7월'!$G:$G,'RAW_농산물_7월'!$D:$D,$C44,'RAW_농산물_7월'!$A:$A,$E44),SUMIFS('RAW_농산물_8월'!$G:$G,'RAW_농산물_8월'!$D:$D,$C44,'RAW_농산물_8월'!$A:$A,$E44),SUMIFS('RAW_농산물_9월'!$G:$G,'RAW_농산물_9월'!$D:$D,$C44,'RAW_농산물_9월'!$A:$A,$E44),SUMIFS('RAW_농산물_10월'!$G:$G,'RAW_농산물_10월'!$D:$D,$C44,'RAW_농산물_10월'!$A:$A,$E44),SUMIFS('RAW_농산물_11-12월'!$G:$G,'RAW_농산물_11-12월'!$D:$D,$C44,'RAW_농산물_11-12월'!$A:$A,$E44))))</f>
        <v>325600</v>
      </c>
      <c r="H44" s="14">
        <f>IF($C44="","",IF('설정'!$B$3=0,"",CHOOSE('설정'!$B$3,SUMIFS('RAW_농산물_7월'!$H:$H,'RAW_농산물_7월'!$D:$D,$C44,'RAW_농산물_7월'!$A:$A,$E44),SUMIFS('RAW_농산물_8월'!$H:$H,'RAW_농산물_8월'!$D:$D,$C44,'RAW_농산물_8월'!$A:$A,$E44),SUMIFS('RAW_농산물_9월'!$H:$H,'RAW_농산물_9월'!$D:$D,$C44,'RAW_농산물_9월'!$A:$A,$E44),SUMIFS('RAW_농산물_10월'!$H:$H,'RAW_농산물_10월'!$D:$D,$C44,'RAW_농산물_10월'!$A:$A,$E44),SUMIFS('RAW_농산물_11-12월'!$H:$H,'RAW_농산물_11-12월'!$D:$D,$C44,'RAW_농산물_11-12월'!$A:$A,$E44))))</f>
        <v>43860</v>
      </c>
      <c r="I44" s="17" t="str">
        <f>IF($C44="","",IF(COUNTIFS('RAW_농산물_7월'!$D:$D,$C44,'RAW_농산물_7월'!$A:$A,$E44)&gt;0,"O",""))</f>
        <v>O</v>
      </c>
      <c r="J44" s="17" t="str">
        <f>IF($C44="","",IF(COUNTIFS('RAW_농산물_8월'!$D:$D,$C44,'RAW_농산물_8월'!$A:$A,$E44)&gt;0,"O",""))</f>
        <v>O</v>
      </c>
      <c r="K44" s="17" t="str">
        <f>IF($C44="","",IF(COUNTIFS('RAW_농산물_9월'!$D:$D,$C44,'RAW_농산물_9월'!$A:$A,$E44)&gt;0,"O",""))</f>
        <v/>
      </c>
      <c r="L44" s="17" t="str">
        <f>IF($C44="","",IF(COUNTIFS('RAW_농산물_10월'!$D:$D,$C44,'RAW_농산물_10월'!$A:$A,$E44)&gt;0,"O",""))</f>
        <v/>
      </c>
      <c r="M44" s="17" t="str">
        <f>IF($C44="","",IF(COUNTIFS('RAW_농산물_11-12월'!$D:$D,$C44,'RAW_농산물_11-12월'!$A:$A,$E44)&gt;0,"O",""))</f>
        <v/>
      </c>
      <c r="N44" s="7">
        <f>IF($C44="","",IF(COUNTA('RAW_농산물_7월'!$A:$A)&lt;=1,"",SUMIFS('RAW_농산물_7월'!$H:$H,'RAW_농산물_7월'!$D:$D,$C44,'RAW_농산물_7월'!$A:$A,$E44)))</f>
        <v>0</v>
      </c>
      <c r="O44" s="7">
        <f>IF($C44="","",IF(COUNTA('RAW_농산물_8월'!$A:$A)&lt;=1,"",SUMIFS('RAW_농산물_8월'!$H:$H,'RAW_농산물_8월'!$D:$D,$C44,'RAW_농산물_8월'!$A:$A,$E44)-SUMIFS('RAW_농산물_7월'!$H:$H,'RAW_농산물_7월'!$D:$D,$C44,'RAW_농산물_7월'!$A:$A,$E44)))</f>
        <v>43860</v>
      </c>
      <c r="P44" s="7" t="str">
        <f>IF($C44="","",IF(COUNTA('RAW_농산물_9월'!$A:$A)&lt;=1,"",SUMIFS('RAW_농산물_9월'!$H:$H,'RAW_농산물_9월'!$D:$D,$C44,'RAW_농산물_9월'!$A:$A,$E44)-SUMIFS('RAW_농산물_8월'!$H:$H,'RAW_농산물_8월'!$D:$D,$C44,'RAW_농산물_8월'!$A:$A,$E44)))</f>
        <v/>
      </c>
      <c r="Q44" s="7" t="str">
        <f>IF($C44="","",IF(COUNTA('RAW_농산물_10월'!$A:$A)&lt;=1,"",SUMIFS('RAW_농산물_10월'!$H:$H,'RAW_농산물_10월'!$D:$D,$C44,'RAW_농산물_10월'!$A:$A,$E44)-SUMIFS('RAW_농산물_9월'!$H:$H,'RAW_농산물_9월'!$D:$D,$C44,'RAW_농산물_9월'!$A:$A,$E44)))</f>
        <v/>
      </c>
      <c r="R44" s="7" t="str">
        <f>IF($C44="","",IF(COUNTA('RAW_농산물_11-12월'!$A:$A)&lt;=1,"",SUMIFS('RAW_농산물_11-12월'!$H:$H,'RAW_농산물_11-12월'!$D:$D,$C44,'RAW_농산물_11-12월'!$A:$A,$E44)-SUMIFS('RAW_농산물_10월'!$H:$H,'RAW_농산물_10월'!$D:$D,$C44,'RAW_농산물_10월'!$A:$A,$E44)))</f>
        <v/>
      </c>
      <c r="S44" s="17" t="str">
        <f t="shared" si="4"/>
        <v>O</v>
      </c>
      <c r="T44" s="17" t="str">
        <f t="shared" si="5"/>
        <v>50만원 미만</v>
      </c>
      <c r="U44" s="7">
        <f>IF($C44="",0,IF('설정'!$B$3=0,0,CHOOSE('설정'!$B$3,COUNTIFS('RAW_농산물_7월'!$D:$D,$C44,'RAW_농산물_7월'!$A:$A,$E44),COUNTIFS('RAW_농산물_8월'!$D:$D,$C44,'RAW_농산물_8월'!$A:$A,$E44),COUNTIFS('RAW_농산물_9월'!$D:$D,$C44,'RAW_농산물_9월'!$A:$A,$E44),COUNTIFS('RAW_농산물_10월'!$D:$D,$C44,'RAW_농산물_10월'!$A:$A,$E44),COUNTIFS('RAW_농산물_11-12월'!$D:$D,$C44,'RAW_농산물_11-12월'!$A:$A,$E44))))</f>
        <v>21</v>
      </c>
    </row>
    <row r="45" ht="15.75" customHeight="1">
      <c r="A45" s="5">
        <v>43.0</v>
      </c>
      <c r="B45" s="5" t="s">
        <v>25</v>
      </c>
      <c r="C45" s="5" t="s">
        <v>305</v>
      </c>
      <c r="D45" s="6" t="s">
        <v>304</v>
      </c>
      <c r="E45" s="5" t="s">
        <v>92</v>
      </c>
      <c r="F45" s="7">
        <f>IF($C45="","",IF('설정'!$B$3=0,"",CHOOSE('설정'!$B$3,SUMIFS('RAW_농산물_7월'!$F:$F,'RAW_농산물_7월'!$D:$D,$C45,'RAW_농산물_7월'!$A:$A,$E45),SUMIFS('RAW_농산물_8월'!$F:$F,'RAW_농산물_8월'!$D:$D,$C45,'RAW_농산물_8월'!$A:$A,$E45),SUMIFS('RAW_농산물_9월'!$F:$F,'RAW_농산물_9월'!$D:$D,$C45,'RAW_농산물_9월'!$A:$A,$E45),SUMIFS('RAW_농산물_10월'!$F:$F,'RAW_농산물_10월'!$D:$D,$C45,'RAW_농산물_10월'!$A:$A,$E45),SUMIFS('RAW_농산물_11-12월'!$F:$F,'RAW_농산물_11-12월'!$D:$D,$C45,'RAW_농산물_11-12월'!$A:$A,$E45))))</f>
        <v>11140</v>
      </c>
      <c r="G45" s="7">
        <f>IF($C45="","",IF('설정'!$B$3=0,"",CHOOSE('설정'!$B$3,SUMIFS('RAW_농산물_7월'!$G:$G,'RAW_농산물_7월'!$D:$D,$C45,'RAW_농산물_7월'!$A:$A,$E45),SUMIFS('RAW_농산물_8월'!$G:$G,'RAW_농산물_8월'!$D:$D,$C45,'RAW_농산물_8월'!$A:$A,$E45),SUMIFS('RAW_농산물_9월'!$G:$G,'RAW_농산물_9월'!$D:$D,$C45,'RAW_농산물_9월'!$A:$A,$E45),SUMIFS('RAW_농산물_10월'!$G:$G,'RAW_농산물_10월'!$D:$D,$C45,'RAW_농산물_10월'!$A:$A,$E45),SUMIFS('RAW_농산물_11-12월'!$G:$G,'RAW_농산물_11-12월'!$D:$D,$C45,'RAW_농산물_11-12월'!$A:$A,$E45))))</f>
        <v>202817120</v>
      </c>
      <c r="H45" s="14">
        <f>IF($C45="","",IF('설정'!$B$3=0,"",CHOOSE('설정'!$B$3,SUMIFS('RAW_농산물_7월'!$H:$H,'RAW_농산물_7월'!$D:$D,$C45,'RAW_농산물_7월'!$A:$A,$E45),SUMIFS('RAW_농산물_8월'!$H:$H,'RAW_농산물_8월'!$D:$D,$C45,'RAW_농산물_8월'!$A:$A,$E45),SUMIFS('RAW_농산물_9월'!$H:$H,'RAW_농산물_9월'!$D:$D,$C45,'RAW_농산물_9월'!$A:$A,$E45),SUMIFS('RAW_농산물_10월'!$H:$H,'RAW_농산물_10월'!$D:$D,$C45,'RAW_농산물_10월'!$A:$A,$E45),SUMIFS('RAW_농산물_11-12월'!$H:$H,'RAW_농산물_11-12월'!$D:$D,$C45,'RAW_농산물_11-12월'!$A:$A,$E45))))</f>
        <v>4574960</v>
      </c>
      <c r="I45" s="17" t="str">
        <f>IF($C45="","",IF(COUNTIFS('RAW_농산물_7월'!$D:$D,$C45,'RAW_농산물_7월'!$A:$A,$E45)&gt;0,"O",""))</f>
        <v>O</v>
      </c>
      <c r="J45" s="17" t="str">
        <f>IF($C45="","",IF(COUNTIFS('RAW_농산물_8월'!$D:$D,$C45,'RAW_농산물_8월'!$A:$A,$E45)&gt;0,"O",""))</f>
        <v>O</v>
      </c>
      <c r="K45" s="17" t="str">
        <f>IF($C45="","",IF(COUNTIFS('RAW_농산물_9월'!$D:$D,$C45,'RAW_농산물_9월'!$A:$A,$E45)&gt;0,"O",""))</f>
        <v/>
      </c>
      <c r="L45" s="17" t="str">
        <f>IF($C45="","",IF(COUNTIFS('RAW_농산물_10월'!$D:$D,$C45,'RAW_농산물_10월'!$A:$A,$E45)&gt;0,"O",""))</f>
        <v/>
      </c>
      <c r="M45" s="17" t="str">
        <f>IF($C45="","",IF(COUNTIFS('RAW_농산물_11-12월'!$D:$D,$C45,'RAW_농산물_11-12월'!$A:$A,$E45)&gt;0,"O",""))</f>
        <v/>
      </c>
      <c r="N45" s="7">
        <f>IF($C45="","",IF(COUNTA('RAW_농산물_7월'!$A:$A)&lt;=1,"",SUMIFS('RAW_농산물_7월'!$H:$H,'RAW_농산물_7월'!$D:$D,$C45,'RAW_농산물_7월'!$A:$A,$E45)))</f>
        <v>3563200</v>
      </c>
      <c r="O45" s="7">
        <f>IF($C45="","",IF(COUNTA('RAW_농산물_8월'!$A:$A)&lt;=1,"",SUMIFS('RAW_농산물_8월'!$H:$H,'RAW_농산물_8월'!$D:$D,$C45,'RAW_농산물_8월'!$A:$A,$E45)-SUMIFS('RAW_농산물_7월'!$H:$H,'RAW_농산물_7월'!$D:$D,$C45,'RAW_농산물_7월'!$A:$A,$E45)))</f>
        <v>1011760</v>
      </c>
      <c r="P45" s="7" t="str">
        <f>IF($C45="","",IF(COUNTA('RAW_농산물_9월'!$A:$A)&lt;=1,"",SUMIFS('RAW_농산물_9월'!$H:$H,'RAW_농산물_9월'!$D:$D,$C45,'RAW_농산물_9월'!$A:$A,$E45)-SUMIFS('RAW_농산물_8월'!$H:$H,'RAW_농산물_8월'!$D:$D,$C45,'RAW_농산물_8월'!$A:$A,$E45)))</f>
        <v/>
      </c>
      <c r="Q45" s="7" t="str">
        <f>IF($C45="","",IF(COUNTA('RAW_농산물_10월'!$A:$A)&lt;=1,"",SUMIFS('RAW_농산물_10월'!$H:$H,'RAW_농산물_10월'!$D:$D,$C45,'RAW_농산물_10월'!$A:$A,$E45)-SUMIFS('RAW_농산물_9월'!$H:$H,'RAW_농산물_9월'!$D:$D,$C45,'RAW_농산물_9월'!$A:$A,$E45)))</f>
        <v/>
      </c>
      <c r="R45" s="7" t="str">
        <f>IF($C45="","",IF(COUNTA('RAW_농산물_11-12월'!$A:$A)&lt;=1,"",SUMIFS('RAW_농산물_11-12월'!$H:$H,'RAW_농산물_11-12월'!$D:$D,$C45,'RAW_농산물_11-12월'!$A:$A,$E45)-SUMIFS('RAW_농산물_10월'!$H:$H,'RAW_농산물_10월'!$D:$D,$C45,'RAW_농산물_10월'!$A:$A,$E45)))</f>
        <v/>
      </c>
      <c r="S45" s="17" t="str">
        <f t="shared" si="4"/>
        <v>O</v>
      </c>
      <c r="T45" s="17" t="str">
        <f t="shared" si="5"/>
        <v>500만원 미만</v>
      </c>
      <c r="U45" s="7">
        <f>IF($C45="",0,IF('설정'!$B$3=0,0,CHOOSE('설정'!$B$3,COUNTIFS('RAW_농산물_7월'!$D:$D,$C45,'RAW_농산물_7월'!$A:$A,$E45),COUNTIFS('RAW_농산물_8월'!$D:$D,$C45,'RAW_농산물_8월'!$A:$A,$E45),COUNTIFS('RAW_농산물_9월'!$D:$D,$C45,'RAW_농산물_9월'!$A:$A,$E45),COUNTIFS('RAW_농산물_10월'!$D:$D,$C45,'RAW_농산물_10월'!$A:$A,$E45),COUNTIFS('RAW_농산물_11-12월'!$D:$D,$C45,'RAW_농산물_11-12월'!$A:$A,$E45))))</f>
        <v>8</v>
      </c>
    </row>
    <row r="46" ht="15.75" customHeight="1">
      <c r="A46" s="5">
        <v>44.0</v>
      </c>
      <c r="B46" s="5" t="s">
        <v>25</v>
      </c>
      <c r="C46" s="5" t="s">
        <v>979</v>
      </c>
      <c r="D46" s="6" t="s">
        <v>978</v>
      </c>
      <c r="E46" s="5" t="s">
        <v>28</v>
      </c>
      <c r="F46" s="7">
        <f>IF($C46="","",IF('설정'!$B$3=0,"",CHOOSE('설정'!$B$3,SUMIFS('RAW_농산물_7월'!$F:$F,'RAW_농산물_7월'!$D:$D,$C46,'RAW_농산물_7월'!$A:$A,$E46),SUMIFS('RAW_농산물_8월'!$F:$F,'RAW_농산물_8월'!$D:$D,$C46,'RAW_농산물_8월'!$A:$A,$E46),SUMIFS('RAW_농산물_9월'!$F:$F,'RAW_농산물_9월'!$D:$D,$C46,'RAW_농산물_9월'!$A:$A,$E46),SUMIFS('RAW_농산물_10월'!$F:$F,'RAW_농산물_10월'!$D:$D,$C46,'RAW_농산물_10월'!$A:$A,$E46),SUMIFS('RAW_농산물_11-12월'!$F:$F,'RAW_농산물_11-12월'!$D:$D,$C46,'RAW_농산물_11-12월'!$A:$A,$E46))))</f>
        <v>80</v>
      </c>
      <c r="G46" s="7">
        <f>IF($C46="","",IF('설정'!$B$3=0,"",CHOOSE('설정'!$B$3,SUMIFS('RAW_농산물_7월'!$G:$G,'RAW_농산물_7월'!$D:$D,$C46,'RAW_농산물_7월'!$A:$A,$E46),SUMIFS('RAW_농산물_8월'!$G:$G,'RAW_농산물_8월'!$D:$D,$C46,'RAW_농산물_8월'!$A:$A,$E46),SUMIFS('RAW_농산물_9월'!$G:$G,'RAW_농산물_9월'!$D:$D,$C46,'RAW_농산물_9월'!$A:$A,$E46),SUMIFS('RAW_농산물_10월'!$G:$G,'RAW_농산물_10월'!$D:$D,$C46,'RAW_농산물_10월'!$A:$A,$E46),SUMIFS('RAW_농산물_11-12월'!$G:$G,'RAW_농산물_11-12월'!$D:$D,$C46,'RAW_농산물_11-12월'!$A:$A,$E46))))</f>
        <v>2962690</v>
      </c>
      <c r="H46" s="14">
        <f>IF($C46="","",IF('설정'!$B$3=0,"",CHOOSE('설정'!$B$3,SUMIFS('RAW_농산물_7월'!$H:$H,'RAW_농산물_7월'!$D:$D,$C46,'RAW_농산물_7월'!$A:$A,$E46),SUMIFS('RAW_농산물_8월'!$H:$H,'RAW_농산물_8월'!$D:$D,$C46,'RAW_농산물_8월'!$A:$A,$E46),SUMIFS('RAW_농산물_9월'!$H:$H,'RAW_농산물_9월'!$D:$D,$C46,'RAW_농산물_9월'!$A:$A,$E46),SUMIFS('RAW_농산물_10월'!$H:$H,'RAW_농산물_10월'!$D:$D,$C46,'RAW_농산물_10월'!$A:$A,$E46),SUMIFS('RAW_농산물_11-12월'!$H:$H,'RAW_농산물_11-12월'!$D:$D,$C46,'RAW_농산물_11-12월'!$A:$A,$E46))))</f>
        <v>466440</v>
      </c>
      <c r="I46" s="17" t="str">
        <f>IF($C46="","",IF(COUNTIFS('RAW_농산물_7월'!$D:$D,$C46,'RAW_농산물_7월'!$A:$A,$E46)&gt;0,"O",""))</f>
        <v>O</v>
      </c>
      <c r="J46" s="17" t="str">
        <f>IF($C46="","",IF(COUNTIFS('RAW_농산물_8월'!$D:$D,$C46,'RAW_농산물_8월'!$A:$A,$E46)&gt;0,"O",""))</f>
        <v>O</v>
      </c>
      <c r="K46" s="17" t="str">
        <f>IF($C46="","",IF(COUNTIFS('RAW_농산물_9월'!$D:$D,$C46,'RAW_농산물_9월'!$A:$A,$E46)&gt;0,"O",""))</f>
        <v/>
      </c>
      <c r="L46" s="17" t="str">
        <f>IF($C46="","",IF(COUNTIFS('RAW_농산물_10월'!$D:$D,$C46,'RAW_농산물_10월'!$A:$A,$E46)&gt;0,"O",""))</f>
        <v/>
      </c>
      <c r="M46" s="17" t="str">
        <f>IF($C46="","",IF(COUNTIFS('RAW_농산물_11-12월'!$D:$D,$C46,'RAW_농산물_11-12월'!$A:$A,$E46)&gt;0,"O",""))</f>
        <v/>
      </c>
      <c r="N46" s="7">
        <f>IF($C46="","",IF(COUNTA('RAW_농산물_7월'!$A:$A)&lt;=1,"",SUMIFS('RAW_농산물_7월'!$H:$H,'RAW_농산물_7월'!$D:$D,$C46,'RAW_농산물_7월'!$A:$A,$E46)))</f>
        <v>410540</v>
      </c>
      <c r="O46" s="7">
        <f>IF($C46="","",IF(COUNTA('RAW_농산물_8월'!$A:$A)&lt;=1,"",SUMIFS('RAW_농산물_8월'!$H:$H,'RAW_농산물_8월'!$D:$D,$C46,'RAW_농산물_8월'!$A:$A,$E46)-SUMIFS('RAW_농산물_7월'!$H:$H,'RAW_농산물_7월'!$D:$D,$C46,'RAW_농산물_7월'!$A:$A,$E46)))</f>
        <v>55900</v>
      </c>
      <c r="P46" s="7" t="str">
        <f>IF($C46="","",IF(COUNTA('RAW_농산물_9월'!$A:$A)&lt;=1,"",SUMIFS('RAW_농산물_9월'!$H:$H,'RAW_농산물_9월'!$D:$D,$C46,'RAW_농산물_9월'!$A:$A,$E46)-SUMIFS('RAW_농산물_8월'!$H:$H,'RAW_농산물_8월'!$D:$D,$C46,'RAW_농산물_8월'!$A:$A,$E46)))</f>
        <v/>
      </c>
      <c r="Q46" s="7" t="str">
        <f>IF($C46="","",IF(COUNTA('RAW_농산물_10월'!$A:$A)&lt;=1,"",SUMIFS('RAW_농산물_10월'!$H:$H,'RAW_농산물_10월'!$D:$D,$C46,'RAW_농산물_10월'!$A:$A,$E46)-SUMIFS('RAW_농산물_9월'!$H:$H,'RAW_농산물_9월'!$D:$D,$C46,'RAW_농산물_9월'!$A:$A,$E46)))</f>
        <v/>
      </c>
      <c r="R46" s="7" t="str">
        <f>IF($C46="","",IF(COUNTA('RAW_농산물_11-12월'!$A:$A)&lt;=1,"",SUMIFS('RAW_농산물_11-12월'!$H:$H,'RAW_농산물_11-12월'!$D:$D,$C46,'RAW_농산물_11-12월'!$A:$A,$E46)-SUMIFS('RAW_농산물_10월'!$H:$H,'RAW_농산물_10월'!$D:$D,$C46,'RAW_농산물_10월'!$A:$A,$E46)))</f>
        <v/>
      </c>
      <c r="S46" s="17" t="str">
        <f t="shared" si="4"/>
        <v>O</v>
      </c>
      <c r="T46" s="17" t="str">
        <f t="shared" si="5"/>
        <v>50만원 미만</v>
      </c>
      <c r="U46" s="7">
        <f>IF($C46="",0,IF('설정'!$B$3=0,0,CHOOSE('설정'!$B$3,COUNTIFS('RAW_농산물_7월'!$D:$D,$C46,'RAW_농산물_7월'!$A:$A,$E46),COUNTIFS('RAW_농산물_8월'!$D:$D,$C46,'RAW_농산물_8월'!$A:$A,$E46),COUNTIFS('RAW_농산물_9월'!$D:$D,$C46,'RAW_농산물_9월'!$A:$A,$E46),COUNTIFS('RAW_농산물_10월'!$D:$D,$C46,'RAW_농산물_10월'!$A:$A,$E46),COUNTIFS('RAW_농산물_11-12월'!$D:$D,$C46,'RAW_농산물_11-12월'!$A:$A,$E46))))</f>
        <v>6</v>
      </c>
    </row>
    <row r="47" ht="15.75" customHeight="1">
      <c r="A47" s="5">
        <v>45.0</v>
      </c>
      <c r="B47" s="5" t="s">
        <v>25</v>
      </c>
      <c r="C47" s="5" t="s">
        <v>1413</v>
      </c>
      <c r="D47" s="6" t="s">
        <v>1412</v>
      </c>
      <c r="E47" s="5" t="s">
        <v>93</v>
      </c>
      <c r="F47" s="7">
        <f>IF($C47="","",IF('설정'!$B$3=0,"",CHOOSE('설정'!$B$3,SUMIFS('RAW_농산물_7월'!$F:$F,'RAW_농산물_7월'!$D:$D,$C47,'RAW_농산물_7월'!$A:$A,$E47),SUMIFS('RAW_농산물_8월'!$F:$F,'RAW_농산물_8월'!$D:$D,$C47,'RAW_농산물_8월'!$A:$A,$E47),SUMIFS('RAW_농산물_9월'!$F:$F,'RAW_농산물_9월'!$D:$D,$C47,'RAW_농산물_9월'!$A:$A,$E47),SUMIFS('RAW_농산물_10월'!$F:$F,'RAW_농산물_10월'!$D:$D,$C47,'RAW_농산물_10월'!$A:$A,$E47),SUMIFS('RAW_농산물_11-12월'!$F:$F,'RAW_농산물_11-12월'!$D:$D,$C47,'RAW_농산물_11-12월'!$A:$A,$E47))))</f>
        <v>316</v>
      </c>
      <c r="G47" s="7">
        <f>IF($C47="","",IF('설정'!$B$3=0,"",CHOOSE('설정'!$B$3,SUMIFS('RAW_농산물_7월'!$G:$G,'RAW_농산물_7월'!$D:$D,$C47,'RAW_농산물_7월'!$A:$A,$E47),SUMIFS('RAW_농산물_8월'!$G:$G,'RAW_농산물_8월'!$D:$D,$C47,'RAW_농산물_8월'!$A:$A,$E47),SUMIFS('RAW_농산물_9월'!$G:$G,'RAW_농산물_9월'!$D:$D,$C47,'RAW_농산물_9월'!$A:$A,$E47),SUMIFS('RAW_농산물_10월'!$G:$G,'RAW_농산물_10월'!$D:$D,$C47,'RAW_농산물_10월'!$A:$A,$E47),SUMIFS('RAW_농산물_11-12월'!$G:$G,'RAW_농산물_11-12월'!$D:$D,$C47,'RAW_농산물_11-12월'!$A:$A,$E47))))</f>
        <v>22260300</v>
      </c>
      <c r="H47" s="14">
        <f>IF($C47="","",IF('설정'!$B$3=0,"",CHOOSE('설정'!$B$3,SUMIFS('RAW_농산물_7월'!$H:$H,'RAW_농산물_7월'!$D:$D,$C47,'RAW_농산물_7월'!$A:$A,$E47),SUMIFS('RAW_농산물_8월'!$H:$H,'RAW_농산물_8월'!$D:$D,$C47,'RAW_농산물_8월'!$A:$A,$E47),SUMIFS('RAW_농산물_9월'!$H:$H,'RAW_농산물_9월'!$D:$D,$C47,'RAW_농산물_9월'!$A:$A,$E47),SUMIFS('RAW_농산물_10월'!$H:$H,'RAW_농산물_10월'!$D:$D,$C47,'RAW_농산물_10월'!$A:$A,$E47),SUMIFS('RAW_농산물_11-12월'!$H:$H,'RAW_농산물_11-12월'!$D:$D,$C47,'RAW_농산물_11-12월'!$A:$A,$E47))))</f>
        <v>1490640</v>
      </c>
      <c r="I47" s="17" t="str">
        <f>IF($C47="","",IF(COUNTIFS('RAW_농산물_7월'!$D:$D,$C47,'RAW_농산물_7월'!$A:$A,$E47)&gt;0,"O",""))</f>
        <v>O</v>
      </c>
      <c r="J47" s="17" t="str">
        <f>IF($C47="","",IF(COUNTIFS('RAW_농산물_8월'!$D:$D,$C47,'RAW_농산물_8월'!$A:$A,$E47)&gt;0,"O",""))</f>
        <v>O</v>
      </c>
      <c r="K47" s="17" t="str">
        <f>IF($C47="","",IF(COUNTIFS('RAW_농산물_9월'!$D:$D,$C47,'RAW_농산물_9월'!$A:$A,$E47)&gt;0,"O",""))</f>
        <v/>
      </c>
      <c r="L47" s="17" t="str">
        <f>IF($C47="","",IF(COUNTIFS('RAW_농산물_10월'!$D:$D,$C47,'RAW_농산물_10월'!$A:$A,$E47)&gt;0,"O",""))</f>
        <v/>
      </c>
      <c r="M47" s="17" t="str">
        <f>IF($C47="","",IF(COUNTIFS('RAW_농산물_11-12월'!$D:$D,$C47,'RAW_농산물_11-12월'!$A:$A,$E47)&gt;0,"O",""))</f>
        <v/>
      </c>
      <c r="N47" s="7">
        <f>IF($C47="","",IF(COUNTA('RAW_농산물_7월'!$A:$A)&lt;=1,"",SUMIFS('RAW_농산물_7월'!$H:$H,'RAW_농산물_7월'!$D:$D,$C47,'RAW_농산물_7월'!$A:$A,$E47)))</f>
        <v>1490640</v>
      </c>
      <c r="O47" s="7">
        <f>IF($C47="","",IF(COUNTA('RAW_농산물_8월'!$A:$A)&lt;=1,"",SUMIFS('RAW_농산물_8월'!$H:$H,'RAW_농산물_8월'!$D:$D,$C47,'RAW_농산물_8월'!$A:$A,$E47)-SUMIFS('RAW_농산물_7월'!$H:$H,'RAW_농산물_7월'!$D:$D,$C47,'RAW_농산물_7월'!$A:$A,$E47)))</f>
        <v>0</v>
      </c>
      <c r="P47" s="7" t="str">
        <f>IF($C47="","",IF(COUNTA('RAW_농산물_9월'!$A:$A)&lt;=1,"",SUMIFS('RAW_농산물_9월'!$H:$H,'RAW_농산물_9월'!$D:$D,$C47,'RAW_농산물_9월'!$A:$A,$E47)-SUMIFS('RAW_농산물_8월'!$H:$H,'RAW_농산물_8월'!$D:$D,$C47,'RAW_농산물_8월'!$A:$A,$E47)))</f>
        <v/>
      </c>
      <c r="Q47" s="7" t="str">
        <f>IF($C47="","",IF(COUNTA('RAW_농산물_10월'!$A:$A)&lt;=1,"",SUMIFS('RAW_농산물_10월'!$H:$H,'RAW_농산물_10월'!$D:$D,$C47,'RAW_농산물_10월'!$A:$A,$E47)-SUMIFS('RAW_농산물_9월'!$H:$H,'RAW_농산물_9월'!$D:$D,$C47,'RAW_농산물_9월'!$A:$A,$E47)))</f>
        <v/>
      </c>
      <c r="R47" s="7" t="str">
        <f>IF($C47="","",IF(COUNTA('RAW_농산물_11-12월'!$A:$A)&lt;=1,"",SUMIFS('RAW_농산물_11-12월'!$H:$H,'RAW_농산물_11-12월'!$D:$D,$C47,'RAW_농산물_11-12월'!$A:$A,$E47)-SUMIFS('RAW_농산물_10월'!$H:$H,'RAW_농산물_10월'!$D:$D,$C47,'RAW_농산물_10월'!$A:$A,$E47)))</f>
        <v/>
      </c>
      <c r="S47" s="17" t="str">
        <f t="shared" si="4"/>
        <v>O</v>
      </c>
      <c r="T47" s="17" t="str">
        <f t="shared" si="5"/>
        <v>200만원 미만</v>
      </c>
      <c r="U47" s="7">
        <f>IF($C47="",0,IF('설정'!$B$3=0,0,CHOOSE('설정'!$B$3,COUNTIFS('RAW_농산물_7월'!$D:$D,$C47,'RAW_농산물_7월'!$A:$A,$E47),COUNTIFS('RAW_농산물_8월'!$D:$D,$C47,'RAW_농산물_8월'!$A:$A,$E47),COUNTIFS('RAW_농산물_9월'!$D:$D,$C47,'RAW_농산물_9월'!$A:$A,$E47),COUNTIFS('RAW_농산물_10월'!$D:$D,$C47,'RAW_농산물_10월'!$A:$A,$E47),COUNTIFS('RAW_농산물_11-12월'!$D:$D,$C47,'RAW_농산물_11-12월'!$A:$A,$E47))))</f>
        <v>9</v>
      </c>
    </row>
    <row r="48" ht="15.75" customHeight="1">
      <c r="A48" s="5">
        <v>46.0</v>
      </c>
      <c r="B48" s="5" t="s">
        <v>25</v>
      </c>
      <c r="C48" s="5" t="s">
        <v>2597</v>
      </c>
      <c r="D48" s="6" t="s">
        <v>2598</v>
      </c>
      <c r="E48" s="5" t="s">
        <v>92</v>
      </c>
      <c r="F48" s="7">
        <f>IF($C48="","",IF('설정'!$B$3=0,"",CHOOSE('설정'!$B$3,SUMIFS('RAW_농산물_7월'!$F:$F,'RAW_농산물_7월'!$D:$D,$C48,'RAW_농산물_7월'!$A:$A,$E48),SUMIFS('RAW_농산물_8월'!$F:$F,'RAW_농산물_8월'!$D:$D,$C48,'RAW_농산물_8월'!$A:$A,$E48),SUMIFS('RAW_농산물_9월'!$F:$F,'RAW_농산물_9월'!$D:$D,$C48,'RAW_농산물_9월'!$A:$A,$E48),SUMIFS('RAW_농산물_10월'!$F:$F,'RAW_농산물_10월'!$D:$D,$C48,'RAW_농산물_10월'!$A:$A,$E48),SUMIFS('RAW_농산물_11-12월'!$F:$F,'RAW_농산물_11-12월'!$D:$D,$C48,'RAW_농산물_11-12월'!$A:$A,$E48))))</f>
        <v>0</v>
      </c>
      <c r="G48" s="7">
        <f>IF($C48="","",IF('설정'!$B$3=0,"",CHOOSE('설정'!$B$3,SUMIFS('RAW_농산물_7월'!$G:$G,'RAW_농산물_7월'!$D:$D,$C48,'RAW_농산물_7월'!$A:$A,$E48),SUMIFS('RAW_농산물_8월'!$G:$G,'RAW_농산물_8월'!$D:$D,$C48,'RAW_농산물_8월'!$A:$A,$E48),SUMIFS('RAW_농산물_9월'!$G:$G,'RAW_농산물_9월'!$D:$D,$C48,'RAW_농산물_9월'!$A:$A,$E48),SUMIFS('RAW_농산물_10월'!$G:$G,'RAW_농산물_10월'!$D:$D,$C48,'RAW_농산물_10월'!$A:$A,$E48),SUMIFS('RAW_농산물_11-12월'!$G:$G,'RAW_농산물_11-12월'!$D:$D,$C48,'RAW_농산물_11-12월'!$A:$A,$E48))))</f>
        <v>0</v>
      </c>
      <c r="H48" s="14">
        <f>IF($C48="","",IF('설정'!$B$3=0,"",CHOOSE('설정'!$B$3,SUMIFS('RAW_농산물_7월'!$H:$H,'RAW_농산물_7월'!$D:$D,$C48,'RAW_농산물_7월'!$A:$A,$E48),SUMIFS('RAW_농산물_8월'!$H:$H,'RAW_농산물_8월'!$D:$D,$C48,'RAW_농산물_8월'!$A:$A,$E48),SUMIFS('RAW_농산물_9월'!$H:$H,'RAW_농산물_9월'!$D:$D,$C48,'RAW_농산물_9월'!$A:$A,$E48),SUMIFS('RAW_농산물_10월'!$H:$H,'RAW_농산물_10월'!$D:$D,$C48,'RAW_농산물_10월'!$A:$A,$E48),SUMIFS('RAW_농산물_11-12월'!$H:$H,'RAW_농산물_11-12월'!$D:$D,$C48,'RAW_농산물_11-12월'!$A:$A,$E48))))</f>
        <v>0</v>
      </c>
      <c r="I48" s="17" t="str">
        <f>IF($C48="","",IF(COUNTIFS('RAW_농산물_7월'!$D:$D,$C48,'RAW_농산물_7월'!$A:$A,$E48)&gt;0,"O",""))</f>
        <v/>
      </c>
      <c r="J48" s="17" t="str">
        <f>IF($C48="","",IF(COUNTIFS('RAW_농산물_8월'!$D:$D,$C48,'RAW_농산물_8월'!$A:$A,$E48)&gt;0,"O",""))</f>
        <v/>
      </c>
      <c r="K48" s="17" t="str">
        <f>IF($C48="","",IF(COUNTIFS('RAW_농산물_9월'!$D:$D,$C48,'RAW_농산물_9월'!$A:$A,$E48)&gt;0,"O",""))</f>
        <v/>
      </c>
      <c r="L48" s="17" t="str">
        <f>IF($C48="","",IF(COUNTIFS('RAW_농산물_10월'!$D:$D,$C48,'RAW_농산물_10월'!$A:$A,$E48)&gt;0,"O",""))</f>
        <v/>
      </c>
      <c r="M48" s="17" t="str">
        <f>IF($C48="","",IF(COUNTIFS('RAW_농산물_11-12월'!$D:$D,$C48,'RAW_농산물_11-12월'!$A:$A,$E48)&gt;0,"O",""))</f>
        <v/>
      </c>
      <c r="N48" s="7">
        <f>IF($C48="","",IF(COUNTA('RAW_농산물_7월'!$A:$A)&lt;=1,"",SUMIFS('RAW_농산물_7월'!$H:$H,'RAW_농산물_7월'!$D:$D,$C48,'RAW_농산물_7월'!$A:$A,$E48)))</f>
        <v>0</v>
      </c>
      <c r="O48" s="7">
        <f>IF($C48="","",IF(COUNTA('RAW_농산물_8월'!$A:$A)&lt;=1,"",SUMIFS('RAW_농산물_8월'!$H:$H,'RAW_농산물_8월'!$D:$D,$C48,'RAW_농산물_8월'!$A:$A,$E48)-SUMIFS('RAW_농산물_7월'!$H:$H,'RAW_농산물_7월'!$D:$D,$C48,'RAW_농산물_7월'!$A:$A,$E48)))</f>
        <v>0</v>
      </c>
      <c r="P48" s="7" t="str">
        <f>IF($C48="","",IF(COUNTA('RAW_농산물_9월'!$A:$A)&lt;=1,"",SUMIFS('RAW_농산물_9월'!$H:$H,'RAW_농산물_9월'!$D:$D,$C48,'RAW_농산물_9월'!$A:$A,$E48)-SUMIFS('RAW_농산물_8월'!$H:$H,'RAW_농산물_8월'!$D:$D,$C48,'RAW_농산물_8월'!$A:$A,$E48)))</f>
        <v/>
      </c>
      <c r="Q48" s="7" t="str">
        <f>IF($C48="","",IF(COUNTA('RAW_농산물_10월'!$A:$A)&lt;=1,"",SUMIFS('RAW_농산물_10월'!$H:$H,'RAW_농산물_10월'!$D:$D,$C48,'RAW_농산물_10월'!$A:$A,$E48)-SUMIFS('RAW_농산물_9월'!$H:$H,'RAW_농산물_9월'!$D:$D,$C48,'RAW_농산물_9월'!$A:$A,$E48)))</f>
        <v/>
      </c>
      <c r="R48" s="7" t="str">
        <f>IF($C48="","",IF(COUNTA('RAW_농산물_11-12월'!$A:$A)&lt;=1,"",SUMIFS('RAW_농산물_11-12월'!$H:$H,'RAW_농산물_11-12월'!$D:$D,$C48,'RAW_농산물_11-12월'!$A:$A,$E48)-SUMIFS('RAW_농산물_10월'!$H:$H,'RAW_농산물_10월'!$D:$D,$C48,'RAW_농산물_10월'!$A:$A,$E48)))</f>
        <v/>
      </c>
      <c r="S48" s="17" t="str">
        <f t="shared" si="4"/>
        <v/>
      </c>
      <c r="T48" s="17" t="str">
        <f t="shared" si="5"/>
        <v>미사용</v>
      </c>
      <c r="U48" s="7">
        <f>IF($C48="",0,IF('설정'!$B$3=0,0,CHOOSE('설정'!$B$3,COUNTIFS('RAW_농산물_7월'!$D:$D,$C48,'RAW_농산물_7월'!$A:$A,$E48),COUNTIFS('RAW_농산물_8월'!$D:$D,$C48,'RAW_농산물_8월'!$A:$A,$E48),COUNTIFS('RAW_농산물_9월'!$D:$D,$C48,'RAW_농산물_9월'!$A:$A,$E48),COUNTIFS('RAW_농산물_10월'!$D:$D,$C48,'RAW_농산물_10월'!$A:$A,$E48),COUNTIFS('RAW_농산물_11-12월'!$D:$D,$C48,'RAW_농산물_11-12월'!$A:$A,$E48))))</f>
        <v>0</v>
      </c>
    </row>
    <row r="49" ht="15.75" customHeight="1">
      <c r="A49" s="5">
        <v>47.0</v>
      </c>
      <c r="B49" s="5" t="s">
        <v>25</v>
      </c>
      <c r="C49" s="5" t="s">
        <v>2602</v>
      </c>
      <c r="D49" s="6" t="s">
        <v>2603</v>
      </c>
      <c r="E49" s="5" t="s">
        <v>93</v>
      </c>
      <c r="F49" s="7">
        <f>IF($C49="","",IF('설정'!$B$3=0,"",CHOOSE('설정'!$B$3,SUMIFS('RAW_농산물_7월'!$F:$F,'RAW_농산물_7월'!$D:$D,$C49,'RAW_농산물_7월'!$A:$A,$E49),SUMIFS('RAW_농산물_8월'!$F:$F,'RAW_농산물_8월'!$D:$D,$C49,'RAW_농산물_8월'!$A:$A,$E49),SUMIFS('RAW_농산물_9월'!$F:$F,'RAW_농산물_9월'!$D:$D,$C49,'RAW_농산물_9월'!$A:$A,$E49),SUMIFS('RAW_농산물_10월'!$F:$F,'RAW_농산물_10월'!$D:$D,$C49,'RAW_농산물_10월'!$A:$A,$E49),SUMIFS('RAW_농산물_11-12월'!$F:$F,'RAW_농산물_11-12월'!$D:$D,$C49,'RAW_농산물_11-12월'!$A:$A,$E49))))</f>
        <v>0</v>
      </c>
      <c r="G49" s="7">
        <f>IF($C49="","",IF('설정'!$B$3=0,"",CHOOSE('설정'!$B$3,SUMIFS('RAW_농산물_7월'!$G:$G,'RAW_농산물_7월'!$D:$D,$C49,'RAW_농산물_7월'!$A:$A,$E49),SUMIFS('RAW_농산물_8월'!$G:$G,'RAW_농산물_8월'!$D:$D,$C49,'RAW_농산물_8월'!$A:$A,$E49),SUMIFS('RAW_농산물_9월'!$G:$G,'RAW_농산물_9월'!$D:$D,$C49,'RAW_농산물_9월'!$A:$A,$E49),SUMIFS('RAW_농산물_10월'!$G:$G,'RAW_농산물_10월'!$D:$D,$C49,'RAW_농산물_10월'!$A:$A,$E49),SUMIFS('RAW_농산물_11-12월'!$G:$G,'RAW_농산물_11-12월'!$D:$D,$C49,'RAW_농산물_11-12월'!$A:$A,$E49))))</f>
        <v>0</v>
      </c>
      <c r="H49" s="14">
        <f>IF($C49="","",IF('설정'!$B$3=0,"",CHOOSE('설정'!$B$3,SUMIFS('RAW_농산물_7월'!$H:$H,'RAW_농산물_7월'!$D:$D,$C49,'RAW_농산물_7월'!$A:$A,$E49),SUMIFS('RAW_농산물_8월'!$H:$H,'RAW_농산물_8월'!$D:$D,$C49,'RAW_농산물_8월'!$A:$A,$E49),SUMIFS('RAW_농산물_9월'!$H:$H,'RAW_농산물_9월'!$D:$D,$C49,'RAW_농산물_9월'!$A:$A,$E49),SUMIFS('RAW_농산물_10월'!$H:$H,'RAW_농산물_10월'!$D:$D,$C49,'RAW_농산물_10월'!$A:$A,$E49),SUMIFS('RAW_농산물_11-12월'!$H:$H,'RAW_농산물_11-12월'!$D:$D,$C49,'RAW_농산물_11-12월'!$A:$A,$E49))))</f>
        <v>0</v>
      </c>
      <c r="I49" s="17" t="str">
        <f>IF($C49="","",IF(COUNTIFS('RAW_농산물_7월'!$D:$D,$C49,'RAW_농산물_7월'!$A:$A,$E49)&gt;0,"O",""))</f>
        <v/>
      </c>
      <c r="J49" s="17" t="str">
        <f>IF($C49="","",IF(COUNTIFS('RAW_농산물_8월'!$D:$D,$C49,'RAW_농산물_8월'!$A:$A,$E49)&gt;0,"O",""))</f>
        <v/>
      </c>
      <c r="K49" s="17" t="str">
        <f>IF($C49="","",IF(COUNTIFS('RAW_농산물_9월'!$D:$D,$C49,'RAW_농산물_9월'!$A:$A,$E49)&gt;0,"O",""))</f>
        <v/>
      </c>
      <c r="L49" s="17" t="str">
        <f>IF($C49="","",IF(COUNTIFS('RAW_농산물_10월'!$D:$D,$C49,'RAW_농산물_10월'!$A:$A,$E49)&gt;0,"O",""))</f>
        <v/>
      </c>
      <c r="M49" s="17" t="str">
        <f>IF($C49="","",IF(COUNTIFS('RAW_농산물_11-12월'!$D:$D,$C49,'RAW_농산물_11-12월'!$A:$A,$E49)&gt;0,"O",""))</f>
        <v/>
      </c>
      <c r="N49" s="7">
        <f>IF($C49="","",IF(COUNTA('RAW_농산물_7월'!$A:$A)&lt;=1,"",SUMIFS('RAW_농산물_7월'!$H:$H,'RAW_농산물_7월'!$D:$D,$C49,'RAW_농산물_7월'!$A:$A,$E49)))</f>
        <v>0</v>
      </c>
      <c r="O49" s="7">
        <f>IF($C49="","",IF(COUNTA('RAW_농산물_8월'!$A:$A)&lt;=1,"",SUMIFS('RAW_농산물_8월'!$H:$H,'RAW_농산물_8월'!$D:$D,$C49,'RAW_농산물_8월'!$A:$A,$E49)-SUMIFS('RAW_농산물_7월'!$H:$H,'RAW_농산물_7월'!$D:$D,$C49,'RAW_농산물_7월'!$A:$A,$E49)))</f>
        <v>0</v>
      </c>
      <c r="P49" s="7" t="str">
        <f>IF($C49="","",IF(COUNTA('RAW_농산물_9월'!$A:$A)&lt;=1,"",SUMIFS('RAW_농산물_9월'!$H:$H,'RAW_농산물_9월'!$D:$D,$C49,'RAW_농산물_9월'!$A:$A,$E49)-SUMIFS('RAW_농산물_8월'!$H:$H,'RAW_농산물_8월'!$D:$D,$C49,'RAW_농산물_8월'!$A:$A,$E49)))</f>
        <v/>
      </c>
      <c r="Q49" s="7" t="str">
        <f>IF($C49="","",IF(COUNTA('RAW_농산물_10월'!$A:$A)&lt;=1,"",SUMIFS('RAW_농산물_10월'!$H:$H,'RAW_농산물_10월'!$D:$D,$C49,'RAW_농산물_10월'!$A:$A,$E49)-SUMIFS('RAW_농산물_9월'!$H:$H,'RAW_농산물_9월'!$D:$D,$C49,'RAW_농산물_9월'!$A:$A,$E49)))</f>
        <v/>
      </c>
      <c r="R49" s="7" t="str">
        <f>IF($C49="","",IF(COUNTA('RAW_농산물_11-12월'!$A:$A)&lt;=1,"",SUMIFS('RAW_농산물_11-12월'!$H:$H,'RAW_농산물_11-12월'!$D:$D,$C49,'RAW_농산물_11-12월'!$A:$A,$E49)-SUMIFS('RAW_농산물_10월'!$H:$H,'RAW_농산물_10월'!$D:$D,$C49,'RAW_농산물_10월'!$A:$A,$E49)))</f>
        <v/>
      </c>
      <c r="S49" s="17" t="str">
        <f t="shared" si="4"/>
        <v/>
      </c>
      <c r="T49" s="17" t="str">
        <f t="shared" si="5"/>
        <v>미사용</v>
      </c>
      <c r="U49" s="7">
        <f>IF($C49="",0,IF('설정'!$B$3=0,0,CHOOSE('설정'!$B$3,COUNTIFS('RAW_농산물_7월'!$D:$D,$C49,'RAW_농산물_7월'!$A:$A,$E49),COUNTIFS('RAW_농산물_8월'!$D:$D,$C49,'RAW_농산물_8월'!$A:$A,$E49),COUNTIFS('RAW_농산물_9월'!$D:$D,$C49,'RAW_농산물_9월'!$A:$A,$E49),COUNTIFS('RAW_농산물_10월'!$D:$D,$C49,'RAW_농산물_10월'!$A:$A,$E49),COUNTIFS('RAW_농산물_11-12월'!$D:$D,$C49,'RAW_농산물_11-12월'!$A:$A,$E49))))</f>
        <v>0</v>
      </c>
    </row>
    <row r="50" ht="15.75" customHeight="1">
      <c r="A50" s="5">
        <v>48.0</v>
      </c>
      <c r="B50" s="5" t="s">
        <v>25</v>
      </c>
      <c r="C50" s="5" t="s">
        <v>1512</v>
      </c>
      <c r="D50" s="6" t="s">
        <v>1511</v>
      </c>
      <c r="E50" s="5" t="s">
        <v>93</v>
      </c>
      <c r="F50" s="7">
        <f>IF($C50="","",IF('설정'!$B$3=0,"",CHOOSE('설정'!$B$3,SUMIFS('RAW_농산물_7월'!$F:$F,'RAW_농산물_7월'!$D:$D,$C50,'RAW_농산물_7월'!$A:$A,$E50),SUMIFS('RAW_농산물_8월'!$F:$F,'RAW_농산물_8월'!$D:$D,$C50,'RAW_농산물_8월'!$A:$A,$E50),SUMIFS('RAW_농산물_9월'!$F:$F,'RAW_농산물_9월'!$D:$D,$C50,'RAW_농산물_9월'!$A:$A,$E50),SUMIFS('RAW_농산물_10월'!$F:$F,'RAW_농산물_10월'!$D:$D,$C50,'RAW_농산물_10월'!$A:$A,$E50),SUMIFS('RAW_농산물_11-12월'!$F:$F,'RAW_농산물_11-12월'!$D:$D,$C50,'RAW_농산물_11-12월'!$A:$A,$E50))))</f>
        <v>128</v>
      </c>
      <c r="G50" s="7">
        <f>IF($C50="","",IF('설정'!$B$3=0,"",CHOOSE('설정'!$B$3,SUMIFS('RAW_농산물_7월'!$G:$G,'RAW_농산물_7월'!$D:$D,$C50,'RAW_농산물_7월'!$A:$A,$E50),SUMIFS('RAW_농산물_8월'!$G:$G,'RAW_농산물_8월'!$D:$D,$C50,'RAW_농산물_8월'!$A:$A,$E50),SUMIFS('RAW_농산물_9월'!$G:$G,'RAW_농산물_9월'!$D:$D,$C50,'RAW_농산물_9월'!$A:$A,$E50),SUMIFS('RAW_농산물_10월'!$G:$G,'RAW_농산물_10월'!$D:$D,$C50,'RAW_농산물_10월'!$A:$A,$E50),SUMIFS('RAW_농산물_11-12월'!$G:$G,'RAW_농산물_11-12월'!$D:$D,$C50,'RAW_농산물_11-12월'!$A:$A,$E50))))</f>
        <v>4151700</v>
      </c>
      <c r="H50" s="14">
        <f>IF($C50="","",IF('설정'!$B$3=0,"",CHOOSE('설정'!$B$3,SUMIFS('RAW_농산물_7월'!$H:$H,'RAW_농산물_7월'!$D:$D,$C50,'RAW_농산물_7월'!$A:$A,$E50),SUMIFS('RAW_농산물_8월'!$H:$H,'RAW_농산물_8월'!$D:$D,$C50,'RAW_농산물_8월'!$A:$A,$E50),SUMIFS('RAW_농산물_9월'!$H:$H,'RAW_농산물_9월'!$D:$D,$C50,'RAW_농산물_9월'!$A:$A,$E50),SUMIFS('RAW_농산물_10월'!$H:$H,'RAW_농산물_10월'!$D:$D,$C50,'RAW_농산물_10월'!$A:$A,$E50),SUMIFS('RAW_농산물_11-12월'!$H:$H,'RAW_농산물_11-12월'!$D:$D,$C50,'RAW_농산물_11-12월'!$A:$A,$E50))))</f>
        <v>321380</v>
      </c>
      <c r="I50" s="17" t="str">
        <f>IF($C50="","",IF(COUNTIFS('RAW_농산물_7월'!$D:$D,$C50,'RAW_농산물_7월'!$A:$A,$E50)&gt;0,"O",""))</f>
        <v>O</v>
      </c>
      <c r="J50" s="17" t="str">
        <f>IF($C50="","",IF(COUNTIFS('RAW_농산물_8월'!$D:$D,$C50,'RAW_농산물_8월'!$A:$A,$E50)&gt;0,"O",""))</f>
        <v>O</v>
      </c>
      <c r="K50" s="17" t="str">
        <f>IF($C50="","",IF(COUNTIFS('RAW_농산물_9월'!$D:$D,$C50,'RAW_농산물_9월'!$A:$A,$E50)&gt;0,"O",""))</f>
        <v/>
      </c>
      <c r="L50" s="17" t="str">
        <f>IF($C50="","",IF(COUNTIFS('RAW_농산물_10월'!$D:$D,$C50,'RAW_농산물_10월'!$A:$A,$E50)&gt;0,"O",""))</f>
        <v/>
      </c>
      <c r="M50" s="17" t="str">
        <f>IF($C50="","",IF(COUNTIFS('RAW_농산물_11-12월'!$D:$D,$C50,'RAW_농산물_11-12월'!$A:$A,$E50)&gt;0,"O",""))</f>
        <v/>
      </c>
      <c r="N50" s="7">
        <f>IF($C50="","",IF(COUNTA('RAW_농산물_7월'!$A:$A)&lt;=1,"",SUMIFS('RAW_농산물_7월'!$H:$H,'RAW_농산물_7월'!$D:$D,$C50,'RAW_농산물_7월'!$A:$A,$E50)))</f>
        <v>132640</v>
      </c>
      <c r="O50" s="7">
        <f>IF($C50="","",IF(COUNTA('RAW_농산물_8월'!$A:$A)&lt;=1,"",SUMIFS('RAW_농산물_8월'!$H:$H,'RAW_농산물_8월'!$D:$D,$C50,'RAW_농산물_8월'!$A:$A,$E50)-SUMIFS('RAW_농산물_7월'!$H:$H,'RAW_농산물_7월'!$D:$D,$C50,'RAW_농산물_7월'!$A:$A,$E50)))</f>
        <v>188740</v>
      </c>
      <c r="P50" s="7" t="str">
        <f>IF($C50="","",IF(COUNTA('RAW_농산물_9월'!$A:$A)&lt;=1,"",SUMIFS('RAW_농산물_9월'!$H:$H,'RAW_농산물_9월'!$D:$D,$C50,'RAW_농산물_9월'!$A:$A,$E50)-SUMIFS('RAW_농산물_8월'!$H:$H,'RAW_농산물_8월'!$D:$D,$C50,'RAW_농산물_8월'!$A:$A,$E50)))</f>
        <v/>
      </c>
      <c r="Q50" s="7" t="str">
        <f>IF($C50="","",IF(COUNTA('RAW_농산물_10월'!$A:$A)&lt;=1,"",SUMIFS('RAW_농산물_10월'!$H:$H,'RAW_농산물_10월'!$D:$D,$C50,'RAW_농산물_10월'!$A:$A,$E50)-SUMIFS('RAW_농산물_9월'!$H:$H,'RAW_농산물_9월'!$D:$D,$C50,'RAW_농산물_9월'!$A:$A,$E50)))</f>
        <v/>
      </c>
      <c r="R50" s="7" t="str">
        <f>IF($C50="","",IF(COUNTA('RAW_농산물_11-12월'!$A:$A)&lt;=1,"",SUMIFS('RAW_농산물_11-12월'!$H:$H,'RAW_농산물_11-12월'!$D:$D,$C50,'RAW_농산물_11-12월'!$A:$A,$E50)-SUMIFS('RAW_농산물_10월'!$H:$H,'RAW_농산물_10월'!$D:$D,$C50,'RAW_농산물_10월'!$A:$A,$E50)))</f>
        <v/>
      </c>
      <c r="S50" s="17" t="str">
        <f t="shared" si="4"/>
        <v>O</v>
      </c>
      <c r="T50" s="17" t="str">
        <f t="shared" si="5"/>
        <v>50만원 미만</v>
      </c>
      <c r="U50" s="7">
        <f>IF($C50="",0,IF('설정'!$B$3=0,0,CHOOSE('설정'!$B$3,COUNTIFS('RAW_농산물_7월'!$D:$D,$C50,'RAW_농산물_7월'!$A:$A,$E50),COUNTIFS('RAW_농산물_8월'!$D:$D,$C50,'RAW_농산물_8월'!$A:$A,$E50),COUNTIFS('RAW_농산물_9월'!$D:$D,$C50,'RAW_농산물_9월'!$A:$A,$E50),COUNTIFS('RAW_농산물_10월'!$D:$D,$C50,'RAW_농산물_10월'!$A:$A,$E50),COUNTIFS('RAW_농산물_11-12월'!$D:$D,$C50,'RAW_농산물_11-12월'!$A:$A,$E50))))</f>
        <v>9</v>
      </c>
    </row>
    <row r="51" ht="15.75" customHeight="1">
      <c r="A51" s="5">
        <v>49.0</v>
      </c>
      <c r="B51" s="5" t="s">
        <v>25</v>
      </c>
      <c r="C51" s="5" t="s">
        <v>2610</v>
      </c>
      <c r="D51" s="6" t="s">
        <v>2611</v>
      </c>
      <c r="E51" s="5" t="s">
        <v>93</v>
      </c>
      <c r="F51" s="7">
        <f>IF($C51="","",IF('설정'!$B$3=0,"",CHOOSE('설정'!$B$3,SUMIFS('RAW_농산물_7월'!$F:$F,'RAW_농산물_7월'!$D:$D,$C51,'RAW_농산물_7월'!$A:$A,$E51),SUMIFS('RAW_농산물_8월'!$F:$F,'RAW_농산물_8월'!$D:$D,$C51,'RAW_농산물_8월'!$A:$A,$E51),SUMIFS('RAW_농산물_9월'!$F:$F,'RAW_농산물_9월'!$D:$D,$C51,'RAW_농산물_9월'!$A:$A,$E51),SUMIFS('RAW_농산물_10월'!$F:$F,'RAW_농산물_10월'!$D:$D,$C51,'RAW_농산물_10월'!$A:$A,$E51),SUMIFS('RAW_농산물_11-12월'!$F:$F,'RAW_농산물_11-12월'!$D:$D,$C51,'RAW_농산물_11-12월'!$A:$A,$E51))))</f>
        <v>0</v>
      </c>
      <c r="G51" s="7">
        <f>IF($C51="","",IF('설정'!$B$3=0,"",CHOOSE('설정'!$B$3,SUMIFS('RAW_농산물_7월'!$G:$G,'RAW_농산물_7월'!$D:$D,$C51,'RAW_농산물_7월'!$A:$A,$E51),SUMIFS('RAW_농산물_8월'!$G:$G,'RAW_농산물_8월'!$D:$D,$C51,'RAW_농산물_8월'!$A:$A,$E51),SUMIFS('RAW_농산물_9월'!$G:$G,'RAW_농산물_9월'!$D:$D,$C51,'RAW_농산물_9월'!$A:$A,$E51),SUMIFS('RAW_농산물_10월'!$G:$G,'RAW_농산물_10월'!$D:$D,$C51,'RAW_농산물_10월'!$A:$A,$E51),SUMIFS('RAW_농산물_11-12월'!$G:$G,'RAW_농산물_11-12월'!$D:$D,$C51,'RAW_농산물_11-12월'!$A:$A,$E51))))</f>
        <v>0</v>
      </c>
      <c r="H51" s="14">
        <f>IF($C51="","",IF('설정'!$B$3=0,"",CHOOSE('설정'!$B$3,SUMIFS('RAW_농산물_7월'!$H:$H,'RAW_농산물_7월'!$D:$D,$C51,'RAW_농산물_7월'!$A:$A,$E51),SUMIFS('RAW_농산물_8월'!$H:$H,'RAW_농산물_8월'!$D:$D,$C51,'RAW_농산물_8월'!$A:$A,$E51),SUMIFS('RAW_농산물_9월'!$H:$H,'RAW_농산물_9월'!$D:$D,$C51,'RAW_농산물_9월'!$A:$A,$E51),SUMIFS('RAW_농산물_10월'!$H:$H,'RAW_농산물_10월'!$D:$D,$C51,'RAW_농산물_10월'!$A:$A,$E51),SUMIFS('RAW_농산물_11-12월'!$H:$H,'RAW_농산물_11-12월'!$D:$D,$C51,'RAW_농산물_11-12월'!$A:$A,$E51))))</f>
        <v>0</v>
      </c>
      <c r="I51" s="17" t="str">
        <f>IF($C51="","",IF(COUNTIFS('RAW_농산물_7월'!$D:$D,$C51,'RAW_농산물_7월'!$A:$A,$E51)&gt;0,"O",""))</f>
        <v/>
      </c>
      <c r="J51" s="17" t="str">
        <f>IF($C51="","",IF(COUNTIFS('RAW_농산물_8월'!$D:$D,$C51,'RAW_농산물_8월'!$A:$A,$E51)&gt;0,"O",""))</f>
        <v/>
      </c>
      <c r="K51" s="17" t="str">
        <f>IF($C51="","",IF(COUNTIFS('RAW_농산물_9월'!$D:$D,$C51,'RAW_농산물_9월'!$A:$A,$E51)&gt;0,"O",""))</f>
        <v/>
      </c>
      <c r="L51" s="17" t="str">
        <f>IF($C51="","",IF(COUNTIFS('RAW_농산물_10월'!$D:$D,$C51,'RAW_농산물_10월'!$A:$A,$E51)&gt;0,"O",""))</f>
        <v/>
      </c>
      <c r="M51" s="17" t="str">
        <f>IF($C51="","",IF(COUNTIFS('RAW_농산물_11-12월'!$D:$D,$C51,'RAW_농산물_11-12월'!$A:$A,$E51)&gt;0,"O",""))</f>
        <v/>
      </c>
      <c r="N51" s="7">
        <f>IF($C51="","",IF(COUNTA('RAW_농산물_7월'!$A:$A)&lt;=1,"",SUMIFS('RAW_농산물_7월'!$H:$H,'RAW_농산물_7월'!$D:$D,$C51,'RAW_농산물_7월'!$A:$A,$E51)))</f>
        <v>0</v>
      </c>
      <c r="O51" s="7">
        <f>IF($C51="","",IF(COUNTA('RAW_농산물_8월'!$A:$A)&lt;=1,"",SUMIFS('RAW_농산물_8월'!$H:$H,'RAW_농산물_8월'!$D:$D,$C51,'RAW_농산물_8월'!$A:$A,$E51)-SUMIFS('RAW_농산물_7월'!$H:$H,'RAW_농산물_7월'!$D:$D,$C51,'RAW_농산물_7월'!$A:$A,$E51)))</f>
        <v>0</v>
      </c>
      <c r="P51" s="7" t="str">
        <f>IF($C51="","",IF(COUNTA('RAW_농산물_9월'!$A:$A)&lt;=1,"",SUMIFS('RAW_농산물_9월'!$H:$H,'RAW_농산물_9월'!$D:$D,$C51,'RAW_농산물_9월'!$A:$A,$E51)-SUMIFS('RAW_농산물_8월'!$H:$H,'RAW_농산물_8월'!$D:$D,$C51,'RAW_농산물_8월'!$A:$A,$E51)))</f>
        <v/>
      </c>
      <c r="Q51" s="7" t="str">
        <f>IF($C51="","",IF(COUNTA('RAW_농산물_10월'!$A:$A)&lt;=1,"",SUMIFS('RAW_농산물_10월'!$H:$H,'RAW_농산물_10월'!$D:$D,$C51,'RAW_농산물_10월'!$A:$A,$E51)-SUMIFS('RAW_농산물_9월'!$H:$H,'RAW_농산물_9월'!$D:$D,$C51,'RAW_농산물_9월'!$A:$A,$E51)))</f>
        <v/>
      </c>
      <c r="R51" s="7" t="str">
        <f>IF($C51="","",IF(COUNTA('RAW_농산물_11-12월'!$A:$A)&lt;=1,"",SUMIFS('RAW_농산물_11-12월'!$H:$H,'RAW_농산물_11-12월'!$D:$D,$C51,'RAW_농산물_11-12월'!$A:$A,$E51)-SUMIFS('RAW_농산물_10월'!$H:$H,'RAW_농산물_10월'!$D:$D,$C51,'RAW_농산물_10월'!$A:$A,$E51)))</f>
        <v/>
      </c>
      <c r="S51" s="17" t="str">
        <f t="shared" si="4"/>
        <v/>
      </c>
      <c r="T51" s="17" t="str">
        <f t="shared" si="5"/>
        <v>미사용</v>
      </c>
      <c r="U51" s="7">
        <f>IF($C51="",0,IF('설정'!$B$3=0,0,CHOOSE('설정'!$B$3,COUNTIFS('RAW_농산물_7월'!$D:$D,$C51,'RAW_농산물_7월'!$A:$A,$E51),COUNTIFS('RAW_농산물_8월'!$D:$D,$C51,'RAW_농산물_8월'!$A:$A,$E51),COUNTIFS('RAW_농산물_9월'!$D:$D,$C51,'RAW_농산물_9월'!$A:$A,$E51),COUNTIFS('RAW_농산물_10월'!$D:$D,$C51,'RAW_농산물_10월'!$A:$A,$E51),COUNTIFS('RAW_농산물_11-12월'!$D:$D,$C51,'RAW_농산물_11-12월'!$A:$A,$E51))))</f>
        <v>0</v>
      </c>
    </row>
    <row r="52" ht="15.75" customHeight="1">
      <c r="A52" s="5">
        <v>50.0</v>
      </c>
      <c r="B52" s="5" t="s">
        <v>25</v>
      </c>
      <c r="C52" s="5" t="s">
        <v>1809</v>
      </c>
      <c r="D52" s="6" t="s">
        <v>1808</v>
      </c>
      <c r="E52" s="5" t="s">
        <v>93</v>
      </c>
      <c r="F52" s="7">
        <f>IF($C52="","",IF('설정'!$B$3=0,"",CHOOSE('설정'!$B$3,SUMIFS('RAW_농산물_7월'!$F:$F,'RAW_농산물_7월'!$D:$D,$C52,'RAW_농산물_7월'!$A:$A,$E52),SUMIFS('RAW_농산물_8월'!$F:$F,'RAW_농산물_8월'!$D:$D,$C52,'RAW_농산물_8월'!$A:$A,$E52),SUMIFS('RAW_농산물_9월'!$F:$F,'RAW_농산물_9월'!$D:$D,$C52,'RAW_농산물_9월'!$A:$A,$E52),SUMIFS('RAW_농산물_10월'!$F:$F,'RAW_농산물_10월'!$D:$D,$C52,'RAW_농산물_10월'!$A:$A,$E52),SUMIFS('RAW_농산물_11-12월'!$F:$F,'RAW_농산물_11-12월'!$D:$D,$C52,'RAW_농산물_11-12월'!$A:$A,$E52))))</f>
        <v>463</v>
      </c>
      <c r="G52" s="7">
        <f>IF($C52="","",IF('설정'!$B$3=0,"",CHOOSE('설정'!$B$3,SUMIFS('RAW_농산물_7월'!$G:$G,'RAW_농산물_7월'!$D:$D,$C52,'RAW_농산물_7월'!$A:$A,$E52),SUMIFS('RAW_농산물_8월'!$G:$G,'RAW_농산물_8월'!$D:$D,$C52,'RAW_농산물_8월'!$A:$A,$E52),SUMIFS('RAW_농산물_9월'!$G:$G,'RAW_농산물_9월'!$D:$D,$C52,'RAW_농산물_9월'!$A:$A,$E52),SUMIFS('RAW_농산물_10월'!$G:$G,'RAW_농산물_10월'!$D:$D,$C52,'RAW_농산물_10월'!$A:$A,$E52),SUMIFS('RAW_농산물_11-12월'!$G:$G,'RAW_농산물_11-12월'!$D:$D,$C52,'RAW_농산물_11-12월'!$A:$A,$E52))))</f>
        <v>6918500</v>
      </c>
      <c r="H52" s="14">
        <f>IF($C52="","",IF('설정'!$B$3=0,"",CHOOSE('설정'!$B$3,SUMIFS('RAW_농산물_7월'!$H:$H,'RAW_농산물_7월'!$D:$D,$C52,'RAW_농산물_7월'!$A:$A,$E52),SUMIFS('RAW_농산물_8월'!$H:$H,'RAW_농산물_8월'!$D:$D,$C52,'RAW_농산물_8월'!$A:$A,$E52),SUMIFS('RAW_농산물_9월'!$H:$H,'RAW_농산물_9월'!$D:$D,$C52,'RAW_농산물_9월'!$A:$A,$E52),SUMIFS('RAW_농산물_10월'!$H:$H,'RAW_농산물_10월'!$D:$D,$C52,'RAW_농산물_10월'!$A:$A,$E52),SUMIFS('RAW_농산물_11-12월'!$H:$H,'RAW_농산물_11-12월'!$D:$D,$C52,'RAW_농산물_11-12월'!$A:$A,$E52))))</f>
        <v>199400</v>
      </c>
      <c r="I52" s="17" t="str">
        <f>IF($C52="","",IF(COUNTIFS('RAW_농산물_7월'!$D:$D,$C52,'RAW_농산물_7월'!$A:$A,$E52)&gt;0,"O",""))</f>
        <v/>
      </c>
      <c r="J52" s="17" t="str">
        <f>IF($C52="","",IF(COUNTIFS('RAW_농산물_8월'!$D:$D,$C52,'RAW_농산물_8월'!$A:$A,$E52)&gt;0,"O",""))</f>
        <v>O</v>
      </c>
      <c r="K52" s="17" t="str">
        <f>IF($C52="","",IF(COUNTIFS('RAW_농산물_9월'!$D:$D,$C52,'RAW_농산물_9월'!$A:$A,$E52)&gt;0,"O",""))</f>
        <v/>
      </c>
      <c r="L52" s="17" t="str">
        <f>IF($C52="","",IF(COUNTIFS('RAW_농산물_10월'!$D:$D,$C52,'RAW_농산물_10월'!$A:$A,$E52)&gt;0,"O",""))</f>
        <v/>
      </c>
      <c r="M52" s="17" t="str">
        <f>IF($C52="","",IF(COUNTIFS('RAW_농산물_11-12월'!$D:$D,$C52,'RAW_농산물_11-12월'!$A:$A,$E52)&gt;0,"O",""))</f>
        <v/>
      </c>
      <c r="N52" s="7">
        <f>IF($C52="","",IF(COUNTA('RAW_농산물_7월'!$A:$A)&lt;=1,"",SUMIFS('RAW_농산물_7월'!$H:$H,'RAW_농산물_7월'!$D:$D,$C52,'RAW_농산물_7월'!$A:$A,$E52)))</f>
        <v>0</v>
      </c>
      <c r="O52" s="7">
        <f>IF($C52="","",IF(COUNTA('RAW_농산물_8월'!$A:$A)&lt;=1,"",SUMIFS('RAW_농산물_8월'!$H:$H,'RAW_농산물_8월'!$D:$D,$C52,'RAW_농산물_8월'!$A:$A,$E52)-SUMIFS('RAW_농산물_7월'!$H:$H,'RAW_농산물_7월'!$D:$D,$C52,'RAW_농산물_7월'!$A:$A,$E52)))</f>
        <v>199400</v>
      </c>
      <c r="P52" s="7" t="str">
        <f>IF($C52="","",IF(COUNTA('RAW_농산물_9월'!$A:$A)&lt;=1,"",SUMIFS('RAW_농산물_9월'!$H:$H,'RAW_농산물_9월'!$D:$D,$C52,'RAW_농산물_9월'!$A:$A,$E52)-SUMIFS('RAW_농산물_8월'!$H:$H,'RAW_농산물_8월'!$D:$D,$C52,'RAW_농산물_8월'!$A:$A,$E52)))</f>
        <v/>
      </c>
      <c r="Q52" s="7" t="str">
        <f>IF($C52="","",IF(COUNTA('RAW_농산물_10월'!$A:$A)&lt;=1,"",SUMIFS('RAW_농산물_10월'!$H:$H,'RAW_농산물_10월'!$D:$D,$C52,'RAW_농산물_10월'!$A:$A,$E52)-SUMIFS('RAW_농산물_9월'!$H:$H,'RAW_농산물_9월'!$D:$D,$C52,'RAW_농산물_9월'!$A:$A,$E52)))</f>
        <v/>
      </c>
      <c r="R52" s="7" t="str">
        <f>IF($C52="","",IF(COUNTA('RAW_농산물_11-12월'!$A:$A)&lt;=1,"",SUMIFS('RAW_농산물_11-12월'!$H:$H,'RAW_농산물_11-12월'!$D:$D,$C52,'RAW_농산물_11-12월'!$A:$A,$E52)-SUMIFS('RAW_농산물_10월'!$H:$H,'RAW_농산물_10월'!$D:$D,$C52,'RAW_농산물_10월'!$A:$A,$E52)))</f>
        <v/>
      </c>
      <c r="S52" s="17" t="str">
        <f t="shared" si="4"/>
        <v>O</v>
      </c>
      <c r="T52" s="17" t="str">
        <f t="shared" si="5"/>
        <v>50만원 미만</v>
      </c>
      <c r="U52" s="7">
        <f>IF($C52="",0,IF('설정'!$B$3=0,0,CHOOSE('설정'!$B$3,COUNTIFS('RAW_농산물_7월'!$D:$D,$C52,'RAW_농산물_7월'!$A:$A,$E52),COUNTIFS('RAW_농산물_8월'!$D:$D,$C52,'RAW_농산물_8월'!$A:$A,$E52),COUNTIFS('RAW_농산물_9월'!$D:$D,$C52,'RAW_농산물_9월'!$A:$A,$E52),COUNTIFS('RAW_농산물_10월'!$D:$D,$C52,'RAW_농산물_10월'!$A:$A,$E52),COUNTIFS('RAW_농산물_11-12월'!$D:$D,$C52,'RAW_농산물_11-12월'!$A:$A,$E52))))</f>
        <v>5</v>
      </c>
    </row>
    <row r="53" ht="15.75" customHeight="1">
      <c r="A53" s="5">
        <v>51.0</v>
      </c>
      <c r="B53" s="5" t="s">
        <v>108</v>
      </c>
      <c r="C53" s="5" t="s">
        <v>1226</v>
      </c>
      <c r="D53" s="6" t="s">
        <v>1225</v>
      </c>
      <c r="E53" s="5" t="s">
        <v>94</v>
      </c>
      <c r="F53" s="7">
        <f>IF($C53="","",IF('설정'!$B$3=0,"",CHOOSE('설정'!$B$3,SUMIFS('RAW_농산물_7월'!$F:$F,'RAW_농산물_7월'!$D:$D,$C53,'RAW_농산물_7월'!$A:$A,$E53),SUMIFS('RAW_농산물_8월'!$F:$F,'RAW_농산물_8월'!$D:$D,$C53,'RAW_농산물_8월'!$A:$A,$E53),SUMIFS('RAW_농산물_9월'!$F:$F,'RAW_농산물_9월'!$D:$D,$C53,'RAW_농산물_9월'!$A:$A,$E53),SUMIFS('RAW_농산물_10월'!$F:$F,'RAW_농산물_10월'!$D:$D,$C53,'RAW_농산물_10월'!$A:$A,$E53),SUMIFS('RAW_농산물_11-12월'!$F:$F,'RAW_농산물_11-12월'!$D:$D,$C53,'RAW_농산물_11-12월'!$A:$A,$E53))))</f>
        <v>641</v>
      </c>
      <c r="G53" s="7">
        <f>IF($C53="","",IF('설정'!$B$3=0,"",CHOOSE('설정'!$B$3,SUMIFS('RAW_농산물_7월'!$G:$G,'RAW_농산물_7월'!$D:$D,$C53,'RAW_농산물_7월'!$A:$A,$E53),SUMIFS('RAW_농산물_8월'!$G:$G,'RAW_농산물_8월'!$D:$D,$C53,'RAW_농산물_8월'!$A:$A,$E53),SUMIFS('RAW_농산물_9월'!$G:$G,'RAW_농산물_9월'!$D:$D,$C53,'RAW_농산물_9월'!$A:$A,$E53),SUMIFS('RAW_농산물_10월'!$G:$G,'RAW_농산물_10월'!$D:$D,$C53,'RAW_농산물_10월'!$A:$A,$E53),SUMIFS('RAW_농산물_11-12월'!$G:$G,'RAW_농산물_11-12월'!$D:$D,$C53,'RAW_농산물_11-12월'!$A:$A,$E53))))</f>
        <v>32150700</v>
      </c>
      <c r="H53" s="14">
        <f>IF($C53="","",IF('설정'!$B$3=0,"",CHOOSE('설정'!$B$3,SUMIFS('RAW_농산물_7월'!$H:$H,'RAW_농산물_7월'!$D:$D,$C53,'RAW_농산물_7월'!$A:$A,$E53),SUMIFS('RAW_농산물_8월'!$H:$H,'RAW_농산물_8월'!$D:$D,$C53,'RAW_농산물_8월'!$A:$A,$E53),SUMIFS('RAW_농산물_9월'!$H:$H,'RAW_농산물_9월'!$D:$D,$C53,'RAW_농산물_9월'!$A:$A,$E53),SUMIFS('RAW_농산물_10월'!$H:$H,'RAW_농산물_10월'!$D:$D,$C53,'RAW_농산물_10월'!$A:$A,$E53),SUMIFS('RAW_농산물_11-12월'!$H:$H,'RAW_농산물_11-12월'!$D:$D,$C53,'RAW_농산물_11-12월'!$A:$A,$E53))))</f>
        <v>5097728</v>
      </c>
      <c r="I53" s="17" t="str">
        <f>IF($C53="","",IF(COUNTIFS('RAW_농산물_7월'!$D:$D,$C53,'RAW_농산물_7월'!$A:$A,$E53)&gt;0,"O",""))</f>
        <v>O</v>
      </c>
      <c r="J53" s="17" t="str">
        <f>IF($C53="","",IF(COUNTIFS('RAW_농산물_8월'!$D:$D,$C53,'RAW_농산물_8월'!$A:$A,$E53)&gt;0,"O",""))</f>
        <v>O</v>
      </c>
      <c r="K53" s="17" t="str">
        <f>IF($C53="","",IF(COUNTIFS('RAW_농산물_9월'!$D:$D,$C53,'RAW_농산물_9월'!$A:$A,$E53)&gt;0,"O",""))</f>
        <v/>
      </c>
      <c r="L53" s="17" t="str">
        <f>IF($C53="","",IF(COUNTIFS('RAW_농산물_10월'!$D:$D,$C53,'RAW_농산물_10월'!$A:$A,$E53)&gt;0,"O",""))</f>
        <v/>
      </c>
      <c r="M53" s="17" t="str">
        <f>IF($C53="","",IF(COUNTIFS('RAW_농산물_11-12월'!$D:$D,$C53,'RAW_농산물_11-12월'!$A:$A,$E53)&gt;0,"O",""))</f>
        <v/>
      </c>
      <c r="N53" s="7">
        <f>IF($C53="","",IF(COUNTA('RAW_농산물_7월'!$A:$A)&lt;=1,"",SUMIFS('RAW_농산물_7월'!$H:$H,'RAW_농산물_7월'!$D:$D,$C53,'RAW_농산물_7월'!$A:$A,$E53)))</f>
        <v>4699982</v>
      </c>
      <c r="O53" s="7">
        <f>IF($C53="","",IF(COUNTA('RAW_농산물_8월'!$A:$A)&lt;=1,"",SUMIFS('RAW_농산물_8월'!$H:$H,'RAW_농산물_8월'!$D:$D,$C53,'RAW_농산물_8월'!$A:$A,$E53)-SUMIFS('RAW_농산물_7월'!$H:$H,'RAW_농산물_7월'!$D:$D,$C53,'RAW_농산물_7월'!$A:$A,$E53)))</f>
        <v>397746</v>
      </c>
      <c r="P53" s="7" t="str">
        <f>IF($C53="","",IF(COUNTA('RAW_농산물_9월'!$A:$A)&lt;=1,"",SUMIFS('RAW_농산물_9월'!$H:$H,'RAW_농산물_9월'!$D:$D,$C53,'RAW_농산물_9월'!$A:$A,$E53)-SUMIFS('RAW_농산물_8월'!$H:$H,'RAW_농산물_8월'!$D:$D,$C53,'RAW_농산물_8월'!$A:$A,$E53)))</f>
        <v/>
      </c>
      <c r="Q53" s="7" t="str">
        <f>IF($C53="","",IF(COUNTA('RAW_농산물_10월'!$A:$A)&lt;=1,"",SUMIFS('RAW_농산물_10월'!$H:$H,'RAW_농산물_10월'!$D:$D,$C53,'RAW_농산물_10월'!$A:$A,$E53)-SUMIFS('RAW_농산물_9월'!$H:$H,'RAW_농산물_9월'!$D:$D,$C53,'RAW_농산물_9월'!$A:$A,$E53)))</f>
        <v/>
      </c>
      <c r="R53" s="7" t="str">
        <f>IF($C53="","",IF(COUNTA('RAW_농산물_11-12월'!$A:$A)&lt;=1,"",SUMIFS('RAW_농산물_11-12월'!$H:$H,'RAW_농산물_11-12월'!$D:$D,$C53,'RAW_농산물_11-12월'!$A:$A,$E53)-SUMIFS('RAW_농산물_10월'!$H:$H,'RAW_농산물_10월'!$D:$D,$C53,'RAW_농산물_10월'!$A:$A,$E53)))</f>
        <v/>
      </c>
      <c r="S53" s="17" t="str">
        <f t="shared" si="4"/>
        <v>O</v>
      </c>
      <c r="T53" s="17" t="str">
        <f t="shared" si="5"/>
        <v>600만원 미만</v>
      </c>
      <c r="U53" s="7">
        <f>IF($C53="",0,IF('설정'!$B$3=0,0,CHOOSE('설정'!$B$3,COUNTIFS('RAW_농산물_7월'!$D:$D,$C53,'RAW_농산물_7월'!$A:$A,$E53),COUNTIFS('RAW_농산물_8월'!$D:$D,$C53,'RAW_농산물_8월'!$A:$A,$E53),COUNTIFS('RAW_농산물_9월'!$D:$D,$C53,'RAW_농산물_9월'!$A:$A,$E53),COUNTIFS('RAW_농산물_10월'!$D:$D,$C53,'RAW_농산물_10월'!$A:$A,$E53),COUNTIFS('RAW_농산물_11-12월'!$D:$D,$C53,'RAW_농산물_11-12월'!$A:$A,$E53))))</f>
        <v>5</v>
      </c>
    </row>
    <row r="54" ht="15.75" customHeight="1">
      <c r="A54" s="5">
        <v>52.0</v>
      </c>
      <c r="B54" s="5" t="s">
        <v>108</v>
      </c>
      <c r="C54" s="5" t="s">
        <v>1232</v>
      </c>
      <c r="D54" s="6" t="s">
        <v>1231</v>
      </c>
      <c r="E54" s="5" t="s">
        <v>94</v>
      </c>
      <c r="F54" s="7">
        <f>IF($C54="","",IF('설정'!$B$3=0,"",CHOOSE('설정'!$B$3,SUMIFS('RAW_농산물_7월'!$F:$F,'RAW_농산물_7월'!$D:$D,$C54,'RAW_농산물_7월'!$A:$A,$E54),SUMIFS('RAW_농산물_8월'!$F:$F,'RAW_농산물_8월'!$D:$D,$C54,'RAW_농산물_8월'!$A:$A,$E54),SUMIFS('RAW_농산물_9월'!$F:$F,'RAW_농산물_9월'!$D:$D,$C54,'RAW_농산물_9월'!$A:$A,$E54),SUMIFS('RAW_농산물_10월'!$F:$F,'RAW_농산물_10월'!$D:$D,$C54,'RAW_농산물_10월'!$A:$A,$E54),SUMIFS('RAW_농산물_11-12월'!$F:$F,'RAW_농산물_11-12월'!$D:$D,$C54,'RAW_농산물_11-12월'!$A:$A,$E54))))</f>
        <v>434</v>
      </c>
      <c r="G54" s="7">
        <f>IF($C54="","",IF('설정'!$B$3=0,"",CHOOSE('설정'!$B$3,SUMIFS('RAW_농산물_7월'!$G:$G,'RAW_농산물_7월'!$D:$D,$C54,'RAW_농산물_7월'!$A:$A,$E54),SUMIFS('RAW_농산물_8월'!$G:$G,'RAW_농산물_8월'!$D:$D,$C54,'RAW_농산물_8월'!$A:$A,$E54),SUMIFS('RAW_농산물_9월'!$G:$G,'RAW_농산물_9월'!$D:$D,$C54,'RAW_농산물_9월'!$A:$A,$E54),SUMIFS('RAW_농산물_10월'!$G:$G,'RAW_농산물_10월'!$D:$D,$C54,'RAW_농산물_10월'!$A:$A,$E54),SUMIFS('RAW_농산물_11-12월'!$G:$G,'RAW_농산물_11-12월'!$D:$D,$C54,'RAW_농산물_11-12월'!$A:$A,$E54))))</f>
        <v>9625100</v>
      </c>
      <c r="H54" s="14">
        <f>IF($C54="","",IF('설정'!$B$3=0,"",CHOOSE('설정'!$B$3,SUMIFS('RAW_농산물_7월'!$H:$H,'RAW_농산물_7월'!$D:$D,$C54,'RAW_농산물_7월'!$A:$A,$E54),SUMIFS('RAW_농산물_8월'!$H:$H,'RAW_농산물_8월'!$D:$D,$C54,'RAW_농산물_8월'!$A:$A,$E54),SUMIFS('RAW_농산물_9월'!$H:$H,'RAW_농산물_9월'!$D:$D,$C54,'RAW_농산물_9월'!$A:$A,$E54),SUMIFS('RAW_농산물_10월'!$H:$H,'RAW_농산물_10월'!$D:$D,$C54,'RAW_농산물_10월'!$A:$A,$E54),SUMIFS('RAW_농산물_11-12월'!$H:$H,'RAW_농산물_11-12월'!$D:$D,$C54,'RAW_농산물_11-12월'!$A:$A,$E54))))</f>
        <v>1129304</v>
      </c>
      <c r="I54" s="17" t="str">
        <f>IF($C54="","",IF(COUNTIFS('RAW_농산물_7월'!$D:$D,$C54,'RAW_농산물_7월'!$A:$A,$E54)&gt;0,"O",""))</f>
        <v>O</v>
      </c>
      <c r="J54" s="17" t="str">
        <f>IF($C54="","",IF(COUNTIFS('RAW_농산물_8월'!$D:$D,$C54,'RAW_농산물_8월'!$A:$A,$E54)&gt;0,"O",""))</f>
        <v>O</v>
      </c>
      <c r="K54" s="17" t="str">
        <f>IF($C54="","",IF(COUNTIFS('RAW_농산물_9월'!$D:$D,$C54,'RAW_농산물_9월'!$A:$A,$E54)&gt;0,"O",""))</f>
        <v/>
      </c>
      <c r="L54" s="17" t="str">
        <f>IF($C54="","",IF(COUNTIFS('RAW_농산물_10월'!$D:$D,$C54,'RAW_농산물_10월'!$A:$A,$E54)&gt;0,"O",""))</f>
        <v/>
      </c>
      <c r="M54" s="17" t="str">
        <f>IF($C54="","",IF(COUNTIFS('RAW_농산물_11-12월'!$D:$D,$C54,'RAW_농산물_11-12월'!$A:$A,$E54)&gt;0,"O",""))</f>
        <v/>
      </c>
      <c r="N54" s="7">
        <f>IF($C54="","",IF(COUNTA('RAW_농산물_7월'!$A:$A)&lt;=1,"",SUMIFS('RAW_농산물_7월'!$H:$H,'RAW_농산물_7월'!$D:$D,$C54,'RAW_농산물_7월'!$A:$A,$E54)))</f>
        <v>521871</v>
      </c>
      <c r="O54" s="7">
        <f>IF($C54="","",IF(COUNTA('RAW_농산물_8월'!$A:$A)&lt;=1,"",SUMIFS('RAW_농산물_8월'!$H:$H,'RAW_농산물_8월'!$D:$D,$C54,'RAW_농산물_8월'!$A:$A,$E54)-SUMIFS('RAW_농산물_7월'!$H:$H,'RAW_농산물_7월'!$D:$D,$C54,'RAW_농산물_7월'!$A:$A,$E54)))</f>
        <v>607433</v>
      </c>
      <c r="P54" s="7" t="str">
        <f>IF($C54="","",IF(COUNTA('RAW_농산물_9월'!$A:$A)&lt;=1,"",SUMIFS('RAW_농산물_9월'!$H:$H,'RAW_농산물_9월'!$D:$D,$C54,'RAW_농산물_9월'!$A:$A,$E54)-SUMIFS('RAW_농산물_8월'!$H:$H,'RAW_농산물_8월'!$D:$D,$C54,'RAW_농산물_8월'!$A:$A,$E54)))</f>
        <v/>
      </c>
      <c r="Q54" s="7" t="str">
        <f>IF($C54="","",IF(COUNTA('RAW_농산물_10월'!$A:$A)&lt;=1,"",SUMIFS('RAW_농산물_10월'!$H:$H,'RAW_농산물_10월'!$D:$D,$C54,'RAW_농산물_10월'!$A:$A,$E54)-SUMIFS('RAW_농산물_9월'!$H:$H,'RAW_농산물_9월'!$D:$D,$C54,'RAW_농산물_9월'!$A:$A,$E54)))</f>
        <v/>
      </c>
      <c r="R54" s="7" t="str">
        <f>IF($C54="","",IF(COUNTA('RAW_농산물_11-12월'!$A:$A)&lt;=1,"",SUMIFS('RAW_농산물_11-12월'!$H:$H,'RAW_농산물_11-12월'!$D:$D,$C54,'RAW_농산물_11-12월'!$A:$A,$E54)-SUMIFS('RAW_농산물_10월'!$H:$H,'RAW_농산물_10월'!$D:$D,$C54,'RAW_농산물_10월'!$A:$A,$E54)))</f>
        <v/>
      </c>
      <c r="S54" s="17" t="str">
        <f t="shared" si="4"/>
        <v>O</v>
      </c>
      <c r="T54" s="17" t="str">
        <f t="shared" si="5"/>
        <v>200만원 미만</v>
      </c>
      <c r="U54" s="7">
        <f>IF($C54="",0,IF('설정'!$B$3=0,0,CHOOSE('설정'!$B$3,COUNTIFS('RAW_농산물_7월'!$D:$D,$C54,'RAW_농산물_7월'!$A:$A,$E54),COUNTIFS('RAW_농산물_8월'!$D:$D,$C54,'RAW_농산물_8월'!$A:$A,$E54),COUNTIFS('RAW_농산물_9월'!$D:$D,$C54,'RAW_농산물_9월'!$A:$A,$E54),COUNTIFS('RAW_농산물_10월'!$D:$D,$C54,'RAW_농산물_10월'!$A:$A,$E54),COUNTIFS('RAW_농산물_11-12월'!$D:$D,$C54,'RAW_농산물_11-12월'!$A:$A,$E54))))</f>
        <v>1</v>
      </c>
    </row>
    <row r="55" ht="15.75" customHeight="1">
      <c r="A55" s="5">
        <v>53.0</v>
      </c>
      <c r="B55" s="5" t="s">
        <v>25</v>
      </c>
      <c r="C55" s="5" t="s">
        <v>2614</v>
      </c>
      <c r="D55" s="6" t="s">
        <v>2615</v>
      </c>
      <c r="E55" s="5" t="s">
        <v>92</v>
      </c>
      <c r="F55" s="7">
        <f>IF($C55="","",IF('설정'!$B$3=0,"",CHOOSE('설정'!$B$3,SUMIFS('RAW_농산물_7월'!$F:$F,'RAW_농산물_7월'!$D:$D,$C55,'RAW_농산물_7월'!$A:$A,$E55),SUMIFS('RAW_농산물_8월'!$F:$F,'RAW_농산물_8월'!$D:$D,$C55,'RAW_농산물_8월'!$A:$A,$E55),SUMIFS('RAW_농산물_9월'!$F:$F,'RAW_농산물_9월'!$D:$D,$C55,'RAW_농산물_9월'!$A:$A,$E55),SUMIFS('RAW_농산물_10월'!$F:$F,'RAW_농산물_10월'!$D:$D,$C55,'RAW_농산물_10월'!$A:$A,$E55),SUMIFS('RAW_농산물_11-12월'!$F:$F,'RAW_농산물_11-12월'!$D:$D,$C55,'RAW_농산물_11-12월'!$A:$A,$E55))))</f>
        <v>0</v>
      </c>
      <c r="G55" s="7">
        <f>IF($C55="","",IF('설정'!$B$3=0,"",CHOOSE('설정'!$B$3,SUMIFS('RAW_농산물_7월'!$G:$G,'RAW_농산물_7월'!$D:$D,$C55,'RAW_농산물_7월'!$A:$A,$E55),SUMIFS('RAW_농산물_8월'!$G:$G,'RAW_농산물_8월'!$D:$D,$C55,'RAW_농산물_8월'!$A:$A,$E55),SUMIFS('RAW_농산물_9월'!$G:$G,'RAW_농산물_9월'!$D:$D,$C55,'RAW_농산물_9월'!$A:$A,$E55),SUMIFS('RAW_농산물_10월'!$G:$G,'RAW_농산물_10월'!$D:$D,$C55,'RAW_농산물_10월'!$A:$A,$E55),SUMIFS('RAW_농산물_11-12월'!$G:$G,'RAW_농산물_11-12월'!$D:$D,$C55,'RAW_농산물_11-12월'!$A:$A,$E55))))</f>
        <v>0</v>
      </c>
      <c r="H55" s="14">
        <f>IF($C55="","",IF('설정'!$B$3=0,"",CHOOSE('설정'!$B$3,SUMIFS('RAW_농산물_7월'!$H:$H,'RAW_농산물_7월'!$D:$D,$C55,'RAW_농산물_7월'!$A:$A,$E55),SUMIFS('RAW_농산물_8월'!$H:$H,'RAW_농산물_8월'!$D:$D,$C55,'RAW_농산물_8월'!$A:$A,$E55),SUMIFS('RAW_농산물_9월'!$H:$H,'RAW_농산물_9월'!$D:$D,$C55,'RAW_농산물_9월'!$A:$A,$E55),SUMIFS('RAW_농산물_10월'!$H:$H,'RAW_농산물_10월'!$D:$D,$C55,'RAW_농산물_10월'!$A:$A,$E55),SUMIFS('RAW_농산물_11-12월'!$H:$H,'RAW_농산물_11-12월'!$D:$D,$C55,'RAW_농산물_11-12월'!$A:$A,$E55))))</f>
        <v>0</v>
      </c>
      <c r="I55" s="17" t="str">
        <f>IF($C55="","",IF(COUNTIFS('RAW_농산물_7월'!$D:$D,$C55,'RAW_농산물_7월'!$A:$A,$E55)&gt;0,"O",""))</f>
        <v/>
      </c>
      <c r="J55" s="17" t="str">
        <f>IF($C55="","",IF(COUNTIFS('RAW_농산물_8월'!$D:$D,$C55,'RAW_농산물_8월'!$A:$A,$E55)&gt;0,"O",""))</f>
        <v/>
      </c>
      <c r="K55" s="17" t="str">
        <f>IF($C55="","",IF(COUNTIFS('RAW_농산물_9월'!$D:$D,$C55,'RAW_농산물_9월'!$A:$A,$E55)&gt;0,"O",""))</f>
        <v/>
      </c>
      <c r="L55" s="17" t="str">
        <f>IF($C55="","",IF(COUNTIFS('RAW_농산물_10월'!$D:$D,$C55,'RAW_농산물_10월'!$A:$A,$E55)&gt;0,"O",""))</f>
        <v/>
      </c>
      <c r="M55" s="17" t="str">
        <f>IF($C55="","",IF(COUNTIFS('RAW_농산물_11-12월'!$D:$D,$C55,'RAW_농산물_11-12월'!$A:$A,$E55)&gt;0,"O",""))</f>
        <v/>
      </c>
      <c r="N55" s="7">
        <f>IF($C55="","",IF(COUNTA('RAW_농산물_7월'!$A:$A)&lt;=1,"",SUMIFS('RAW_농산물_7월'!$H:$H,'RAW_농산물_7월'!$D:$D,$C55,'RAW_농산물_7월'!$A:$A,$E55)))</f>
        <v>0</v>
      </c>
      <c r="O55" s="7">
        <f>IF($C55="","",IF(COUNTA('RAW_농산물_8월'!$A:$A)&lt;=1,"",SUMIFS('RAW_농산물_8월'!$H:$H,'RAW_농산물_8월'!$D:$D,$C55,'RAW_농산물_8월'!$A:$A,$E55)-SUMIFS('RAW_농산물_7월'!$H:$H,'RAW_농산물_7월'!$D:$D,$C55,'RAW_농산물_7월'!$A:$A,$E55)))</f>
        <v>0</v>
      </c>
      <c r="P55" s="7" t="str">
        <f>IF($C55="","",IF(COUNTA('RAW_농산물_9월'!$A:$A)&lt;=1,"",SUMIFS('RAW_농산물_9월'!$H:$H,'RAW_농산물_9월'!$D:$D,$C55,'RAW_농산물_9월'!$A:$A,$E55)-SUMIFS('RAW_농산물_8월'!$H:$H,'RAW_농산물_8월'!$D:$D,$C55,'RAW_농산물_8월'!$A:$A,$E55)))</f>
        <v/>
      </c>
      <c r="Q55" s="7" t="str">
        <f>IF($C55="","",IF(COUNTA('RAW_농산물_10월'!$A:$A)&lt;=1,"",SUMIFS('RAW_농산물_10월'!$H:$H,'RAW_농산물_10월'!$D:$D,$C55,'RAW_농산물_10월'!$A:$A,$E55)-SUMIFS('RAW_농산물_9월'!$H:$H,'RAW_농산물_9월'!$D:$D,$C55,'RAW_농산물_9월'!$A:$A,$E55)))</f>
        <v/>
      </c>
      <c r="R55" s="7" t="str">
        <f>IF($C55="","",IF(COUNTA('RAW_농산물_11-12월'!$A:$A)&lt;=1,"",SUMIFS('RAW_농산물_11-12월'!$H:$H,'RAW_농산물_11-12월'!$D:$D,$C55,'RAW_농산물_11-12월'!$A:$A,$E55)-SUMIFS('RAW_농산물_10월'!$H:$H,'RAW_농산물_10월'!$D:$D,$C55,'RAW_농산물_10월'!$A:$A,$E55)))</f>
        <v/>
      </c>
      <c r="S55" s="17" t="str">
        <f t="shared" si="4"/>
        <v/>
      </c>
      <c r="T55" s="17" t="str">
        <f t="shared" si="5"/>
        <v>미사용</v>
      </c>
      <c r="U55" s="7">
        <f>IF($C55="",0,IF('설정'!$B$3=0,0,CHOOSE('설정'!$B$3,COUNTIFS('RAW_농산물_7월'!$D:$D,$C55,'RAW_농산물_7월'!$A:$A,$E55),COUNTIFS('RAW_농산물_8월'!$D:$D,$C55,'RAW_농산물_8월'!$A:$A,$E55),COUNTIFS('RAW_농산물_9월'!$D:$D,$C55,'RAW_농산물_9월'!$A:$A,$E55),COUNTIFS('RAW_농산물_10월'!$D:$D,$C55,'RAW_농산물_10월'!$A:$A,$E55),COUNTIFS('RAW_농산물_11-12월'!$D:$D,$C55,'RAW_농산물_11-12월'!$A:$A,$E55))))</f>
        <v>0</v>
      </c>
    </row>
    <row r="56" ht="15.75" customHeight="1">
      <c r="A56" s="5">
        <v>54.0</v>
      </c>
      <c r="B56" s="5" t="s">
        <v>25</v>
      </c>
      <c r="C56" s="5" t="s">
        <v>1567</v>
      </c>
      <c r="D56" s="6" t="s">
        <v>1566</v>
      </c>
      <c r="E56" s="5" t="s">
        <v>93</v>
      </c>
      <c r="F56" s="7">
        <f>IF($C56="","",IF('설정'!$B$3=0,"",CHOOSE('설정'!$B$3,SUMIFS('RAW_농산물_7월'!$F:$F,'RAW_농산물_7월'!$D:$D,$C56,'RAW_농산물_7월'!$A:$A,$E56),SUMIFS('RAW_농산물_8월'!$F:$F,'RAW_농산물_8월'!$D:$D,$C56,'RAW_농산물_8월'!$A:$A,$E56),SUMIFS('RAW_농산물_9월'!$F:$F,'RAW_농산물_9월'!$D:$D,$C56,'RAW_농산물_9월'!$A:$A,$E56),SUMIFS('RAW_농산물_10월'!$F:$F,'RAW_농산물_10월'!$D:$D,$C56,'RAW_농산물_10월'!$A:$A,$E56),SUMIFS('RAW_농산물_11-12월'!$F:$F,'RAW_농산물_11-12월'!$D:$D,$C56,'RAW_농산물_11-12월'!$A:$A,$E56))))</f>
        <v>24</v>
      </c>
      <c r="G56" s="7">
        <f>IF($C56="","",IF('설정'!$B$3=0,"",CHOOSE('설정'!$B$3,SUMIFS('RAW_농산물_7월'!$G:$G,'RAW_농산물_7월'!$D:$D,$C56,'RAW_농산물_7월'!$A:$A,$E56),SUMIFS('RAW_농산물_8월'!$G:$G,'RAW_농산물_8월'!$D:$D,$C56,'RAW_농산물_8월'!$A:$A,$E56),SUMIFS('RAW_농산물_9월'!$G:$G,'RAW_농산물_9월'!$D:$D,$C56,'RAW_농산물_9월'!$A:$A,$E56),SUMIFS('RAW_농산물_10월'!$G:$G,'RAW_농산물_10월'!$D:$D,$C56,'RAW_농산물_10월'!$A:$A,$E56),SUMIFS('RAW_농산물_11-12월'!$G:$G,'RAW_농산물_11-12월'!$D:$D,$C56,'RAW_농산물_11-12월'!$A:$A,$E56))))</f>
        <v>735600</v>
      </c>
      <c r="H56" s="14">
        <f>IF($C56="","",IF('설정'!$B$3=0,"",CHOOSE('설정'!$B$3,SUMIFS('RAW_농산물_7월'!$H:$H,'RAW_농산물_7월'!$D:$D,$C56,'RAW_농산물_7월'!$A:$A,$E56),SUMIFS('RAW_농산물_8월'!$H:$H,'RAW_농산물_8월'!$D:$D,$C56,'RAW_농산물_8월'!$A:$A,$E56),SUMIFS('RAW_농산물_9월'!$H:$H,'RAW_농산물_9월'!$D:$D,$C56,'RAW_농산물_9월'!$A:$A,$E56),SUMIFS('RAW_농산물_10월'!$H:$H,'RAW_농산물_10월'!$D:$D,$C56,'RAW_농산물_10월'!$A:$A,$E56),SUMIFS('RAW_농산물_11-12월'!$H:$H,'RAW_농산물_11-12월'!$D:$D,$C56,'RAW_농산물_11-12월'!$A:$A,$E56))))</f>
        <v>42210</v>
      </c>
      <c r="I56" s="17" t="str">
        <f>IF($C56="","",IF(COUNTIFS('RAW_농산물_7월'!$D:$D,$C56,'RAW_농산물_7월'!$A:$A,$E56)&gt;0,"O",""))</f>
        <v>O</v>
      </c>
      <c r="J56" s="17" t="str">
        <f>IF($C56="","",IF(COUNTIFS('RAW_농산물_8월'!$D:$D,$C56,'RAW_농산물_8월'!$A:$A,$E56)&gt;0,"O",""))</f>
        <v>O</v>
      </c>
      <c r="K56" s="17" t="str">
        <f>IF($C56="","",IF(COUNTIFS('RAW_농산물_9월'!$D:$D,$C56,'RAW_농산물_9월'!$A:$A,$E56)&gt;0,"O",""))</f>
        <v/>
      </c>
      <c r="L56" s="17" t="str">
        <f>IF($C56="","",IF(COUNTIFS('RAW_농산물_10월'!$D:$D,$C56,'RAW_농산물_10월'!$A:$A,$E56)&gt;0,"O",""))</f>
        <v/>
      </c>
      <c r="M56" s="17" t="str">
        <f>IF($C56="","",IF(COUNTIFS('RAW_농산물_11-12월'!$D:$D,$C56,'RAW_농산물_11-12월'!$A:$A,$E56)&gt;0,"O",""))</f>
        <v/>
      </c>
      <c r="N56" s="7">
        <f>IF($C56="","",IF(COUNTA('RAW_농산물_7월'!$A:$A)&lt;=1,"",SUMIFS('RAW_농산물_7월'!$H:$H,'RAW_농산물_7월'!$D:$D,$C56,'RAW_농산물_7월'!$A:$A,$E56)))</f>
        <v>4570</v>
      </c>
      <c r="O56" s="7">
        <f>IF($C56="","",IF(COUNTA('RAW_농산물_8월'!$A:$A)&lt;=1,"",SUMIFS('RAW_농산물_8월'!$H:$H,'RAW_농산물_8월'!$D:$D,$C56,'RAW_농산물_8월'!$A:$A,$E56)-SUMIFS('RAW_농산물_7월'!$H:$H,'RAW_농산물_7월'!$D:$D,$C56,'RAW_농산물_7월'!$A:$A,$E56)))</f>
        <v>37640</v>
      </c>
      <c r="P56" s="7" t="str">
        <f>IF($C56="","",IF(COUNTA('RAW_농산물_9월'!$A:$A)&lt;=1,"",SUMIFS('RAW_농산물_9월'!$H:$H,'RAW_농산물_9월'!$D:$D,$C56,'RAW_농산물_9월'!$A:$A,$E56)-SUMIFS('RAW_농산물_8월'!$H:$H,'RAW_농산물_8월'!$D:$D,$C56,'RAW_농산물_8월'!$A:$A,$E56)))</f>
        <v/>
      </c>
      <c r="Q56" s="7" t="str">
        <f>IF($C56="","",IF(COUNTA('RAW_농산물_10월'!$A:$A)&lt;=1,"",SUMIFS('RAW_농산물_10월'!$H:$H,'RAW_농산물_10월'!$D:$D,$C56,'RAW_농산물_10월'!$A:$A,$E56)-SUMIFS('RAW_농산물_9월'!$H:$H,'RAW_농산물_9월'!$D:$D,$C56,'RAW_농산물_9월'!$A:$A,$E56)))</f>
        <v/>
      </c>
      <c r="R56" s="7" t="str">
        <f>IF($C56="","",IF(COUNTA('RAW_농산물_11-12월'!$A:$A)&lt;=1,"",SUMIFS('RAW_농산물_11-12월'!$H:$H,'RAW_농산물_11-12월'!$D:$D,$C56,'RAW_농산물_11-12월'!$A:$A,$E56)-SUMIFS('RAW_농산물_10월'!$H:$H,'RAW_농산물_10월'!$D:$D,$C56,'RAW_농산물_10월'!$A:$A,$E56)))</f>
        <v/>
      </c>
      <c r="S56" s="17" t="str">
        <f t="shared" si="4"/>
        <v>O</v>
      </c>
      <c r="T56" s="17" t="str">
        <f t="shared" si="5"/>
        <v>50만원 미만</v>
      </c>
      <c r="U56" s="7">
        <f>IF($C56="",0,IF('설정'!$B$3=0,0,CHOOSE('설정'!$B$3,COUNTIFS('RAW_농산물_7월'!$D:$D,$C56,'RAW_농산물_7월'!$A:$A,$E56),COUNTIFS('RAW_농산물_8월'!$D:$D,$C56,'RAW_농산물_8월'!$A:$A,$E56),COUNTIFS('RAW_농산물_9월'!$D:$D,$C56,'RAW_농산물_9월'!$A:$A,$E56),COUNTIFS('RAW_농산물_10월'!$D:$D,$C56,'RAW_농산물_10월'!$A:$A,$E56),COUNTIFS('RAW_농산물_11-12월'!$D:$D,$C56,'RAW_농산물_11-12월'!$A:$A,$E56))))</f>
        <v>1</v>
      </c>
    </row>
    <row r="57" ht="15.75" customHeight="1">
      <c r="A57" s="5">
        <v>55.0</v>
      </c>
      <c r="B57" s="5" t="s">
        <v>25</v>
      </c>
      <c r="C57" s="5" t="s">
        <v>2616</v>
      </c>
      <c r="D57" s="6" t="s">
        <v>2617</v>
      </c>
      <c r="E57" s="5" t="s">
        <v>28</v>
      </c>
      <c r="F57" s="7">
        <f>IF($C57="","",IF('설정'!$B$3=0,"",CHOOSE('설정'!$B$3,SUMIFS('RAW_농산물_7월'!$F:$F,'RAW_농산물_7월'!$D:$D,$C57,'RAW_농산물_7월'!$A:$A,$E57),SUMIFS('RAW_농산물_8월'!$F:$F,'RAW_농산물_8월'!$D:$D,$C57,'RAW_농산물_8월'!$A:$A,$E57),SUMIFS('RAW_농산물_9월'!$F:$F,'RAW_농산물_9월'!$D:$D,$C57,'RAW_농산물_9월'!$A:$A,$E57),SUMIFS('RAW_농산물_10월'!$F:$F,'RAW_농산물_10월'!$D:$D,$C57,'RAW_농산물_10월'!$A:$A,$E57),SUMIFS('RAW_농산물_11-12월'!$F:$F,'RAW_농산물_11-12월'!$D:$D,$C57,'RAW_농산물_11-12월'!$A:$A,$E57))))</f>
        <v>0</v>
      </c>
      <c r="G57" s="7">
        <f>IF($C57="","",IF('설정'!$B$3=0,"",CHOOSE('설정'!$B$3,SUMIFS('RAW_농산물_7월'!$G:$G,'RAW_농산물_7월'!$D:$D,$C57,'RAW_농산물_7월'!$A:$A,$E57),SUMIFS('RAW_농산물_8월'!$G:$G,'RAW_농산물_8월'!$D:$D,$C57,'RAW_농산물_8월'!$A:$A,$E57),SUMIFS('RAW_농산물_9월'!$G:$G,'RAW_농산물_9월'!$D:$D,$C57,'RAW_농산물_9월'!$A:$A,$E57),SUMIFS('RAW_농산물_10월'!$G:$G,'RAW_농산물_10월'!$D:$D,$C57,'RAW_농산물_10월'!$A:$A,$E57),SUMIFS('RAW_농산물_11-12월'!$G:$G,'RAW_농산물_11-12월'!$D:$D,$C57,'RAW_농산물_11-12월'!$A:$A,$E57))))</f>
        <v>0</v>
      </c>
      <c r="H57" s="14">
        <f>IF($C57="","",IF('설정'!$B$3=0,"",CHOOSE('설정'!$B$3,SUMIFS('RAW_농산물_7월'!$H:$H,'RAW_농산물_7월'!$D:$D,$C57,'RAW_농산물_7월'!$A:$A,$E57),SUMIFS('RAW_농산물_8월'!$H:$H,'RAW_농산물_8월'!$D:$D,$C57,'RAW_농산물_8월'!$A:$A,$E57),SUMIFS('RAW_농산물_9월'!$H:$H,'RAW_농산물_9월'!$D:$D,$C57,'RAW_농산물_9월'!$A:$A,$E57),SUMIFS('RAW_농산물_10월'!$H:$H,'RAW_농산물_10월'!$D:$D,$C57,'RAW_농산물_10월'!$A:$A,$E57),SUMIFS('RAW_농산물_11-12월'!$H:$H,'RAW_농산물_11-12월'!$D:$D,$C57,'RAW_농산물_11-12월'!$A:$A,$E57))))</f>
        <v>0</v>
      </c>
      <c r="I57" s="17" t="str">
        <f>IF($C57="","",IF(COUNTIFS('RAW_농산물_7월'!$D:$D,$C57,'RAW_농산물_7월'!$A:$A,$E57)&gt;0,"O",""))</f>
        <v/>
      </c>
      <c r="J57" s="17" t="str">
        <f>IF($C57="","",IF(COUNTIFS('RAW_농산물_8월'!$D:$D,$C57,'RAW_농산물_8월'!$A:$A,$E57)&gt;0,"O",""))</f>
        <v/>
      </c>
      <c r="K57" s="17" t="str">
        <f>IF($C57="","",IF(COUNTIFS('RAW_농산물_9월'!$D:$D,$C57,'RAW_농산물_9월'!$A:$A,$E57)&gt;0,"O",""))</f>
        <v/>
      </c>
      <c r="L57" s="17" t="str">
        <f>IF($C57="","",IF(COUNTIFS('RAW_농산물_10월'!$D:$D,$C57,'RAW_농산물_10월'!$A:$A,$E57)&gt;0,"O",""))</f>
        <v/>
      </c>
      <c r="M57" s="17" t="str">
        <f>IF($C57="","",IF(COUNTIFS('RAW_농산물_11-12월'!$D:$D,$C57,'RAW_농산물_11-12월'!$A:$A,$E57)&gt;0,"O",""))</f>
        <v/>
      </c>
      <c r="N57" s="7">
        <f>IF($C57="","",IF(COUNTA('RAW_농산물_7월'!$A:$A)&lt;=1,"",SUMIFS('RAW_농산물_7월'!$H:$H,'RAW_농산물_7월'!$D:$D,$C57,'RAW_농산물_7월'!$A:$A,$E57)))</f>
        <v>0</v>
      </c>
      <c r="O57" s="7">
        <f>IF($C57="","",IF(COUNTA('RAW_농산물_8월'!$A:$A)&lt;=1,"",SUMIFS('RAW_농산물_8월'!$H:$H,'RAW_농산물_8월'!$D:$D,$C57,'RAW_농산물_8월'!$A:$A,$E57)-SUMIFS('RAW_농산물_7월'!$H:$H,'RAW_농산물_7월'!$D:$D,$C57,'RAW_농산물_7월'!$A:$A,$E57)))</f>
        <v>0</v>
      </c>
      <c r="P57" s="7" t="str">
        <f>IF($C57="","",IF(COUNTA('RAW_농산물_9월'!$A:$A)&lt;=1,"",SUMIFS('RAW_농산물_9월'!$H:$H,'RAW_농산물_9월'!$D:$D,$C57,'RAW_농산물_9월'!$A:$A,$E57)-SUMIFS('RAW_농산물_8월'!$H:$H,'RAW_농산물_8월'!$D:$D,$C57,'RAW_농산물_8월'!$A:$A,$E57)))</f>
        <v/>
      </c>
      <c r="Q57" s="7" t="str">
        <f>IF($C57="","",IF(COUNTA('RAW_농산물_10월'!$A:$A)&lt;=1,"",SUMIFS('RAW_농산물_10월'!$H:$H,'RAW_농산물_10월'!$D:$D,$C57,'RAW_농산물_10월'!$A:$A,$E57)-SUMIFS('RAW_농산물_9월'!$H:$H,'RAW_농산물_9월'!$D:$D,$C57,'RAW_농산물_9월'!$A:$A,$E57)))</f>
        <v/>
      </c>
      <c r="R57" s="7" t="str">
        <f>IF($C57="","",IF(COUNTA('RAW_농산물_11-12월'!$A:$A)&lt;=1,"",SUMIFS('RAW_농산물_11-12월'!$H:$H,'RAW_농산물_11-12월'!$D:$D,$C57,'RAW_농산물_11-12월'!$A:$A,$E57)-SUMIFS('RAW_농산물_10월'!$H:$H,'RAW_농산물_10월'!$D:$D,$C57,'RAW_농산물_10월'!$A:$A,$E57)))</f>
        <v/>
      </c>
      <c r="S57" s="17" t="str">
        <f t="shared" si="4"/>
        <v/>
      </c>
      <c r="T57" s="17" t="str">
        <f t="shared" si="5"/>
        <v>미사용</v>
      </c>
      <c r="U57" s="7">
        <f>IF($C57="",0,IF('설정'!$B$3=0,0,CHOOSE('설정'!$B$3,COUNTIFS('RAW_농산물_7월'!$D:$D,$C57,'RAW_농산물_7월'!$A:$A,$E57),COUNTIFS('RAW_농산물_8월'!$D:$D,$C57,'RAW_농산물_8월'!$A:$A,$E57),COUNTIFS('RAW_농산물_9월'!$D:$D,$C57,'RAW_농산물_9월'!$A:$A,$E57),COUNTIFS('RAW_농산물_10월'!$D:$D,$C57,'RAW_농산물_10월'!$A:$A,$E57),COUNTIFS('RAW_농산물_11-12월'!$D:$D,$C57,'RAW_농산물_11-12월'!$A:$A,$E57))))</f>
        <v>0</v>
      </c>
    </row>
    <row r="58" ht="15.75" customHeight="1">
      <c r="A58" s="5">
        <v>56.0</v>
      </c>
      <c r="B58" s="5" t="s">
        <v>25</v>
      </c>
      <c r="C58" s="5" t="s">
        <v>1207</v>
      </c>
      <c r="D58" s="6" t="s">
        <v>1206</v>
      </c>
      <c r="E58" s="5" t="s">
        <v>28</v>
      </c>
      <c r="F58" s="7">
        <f>IF($C58="","",IF('설정'!$B$3=0,"",CHOOSE('설정'!$B$3,SUMIFS('RAW_농산물_7월'!$F:$F,'RAW_농산물_7월'!$D:$D,$C58,'RAW_농산물_7월'!$A:$A,$E58),SUMIFS('RAW_농산물_8월'!$F:$F,'RAW_농산물_8월'!$D:$D,$C58,'RAW_농산물_8월'!$A:$A,$E58),SUMIFS('RAW_농산물_9월'!$F:$F,'RAW_농산물_9월'!$D:$D,$C58,'RAW_농산물_9월'!$A:$A,$E58),SUMIFS('RAW_농산물_10월'!$F:$F,'RAW_농산물_10월'!$D:$D,$C58,'RAW_농산물_10월'!$A:$A,$E58),SUMIFS('RAW_농산물_11-12월'!$F:$F,'RAW_농산물_11-12월'!$D:$D,$C58,'RAW_농산물_11-12월'!$A:$A,$E58))))</f>
        <v>10</v>
      </c>
      <c r="G58" s="7">
        <f>IF($C58="","",IF('설정'!$B$3=0,"",CHOOSE('설정'!$B$3,SUMIFS('RAW_농산물_7월'!$G:$G,'RAW_농산물_7월'!$D:$D,$C58,'RAW_농산물_7월'!$A:$A,$E58),SUMIFS('RAW_농산물_8월'!$G:$G,'RAW_농산물_8월'!$D:$D,$C58,'RAW_농산물_8월'!$A:$A,$E58),SUMIFS('RAW_농산물_9월'!$G:$G,'RAW_농산물_9월'!$D:$D,$C58,'RAW_농산물_9월'!$A:$A,$E58),SUMIFS('RAW_농산물_10월'!$G:$G,'RAW_농산물_10월'!$D:$D,$C58,'RAW_농산물_10월'!$A:$A,$E58),SUMIFS('RAW_농산물_11-12월'!$G:$G,'RAW_농산물_11-12월'!$D:$D,$C58,'RAW_농산물_11-12월'!$A:$A,$E58))))</f>
        <v>477000</v>
      </c>
      <c r="H58" s="14">
        <f>IF($C58="","",IF('설정'!$B$3=0,"",CHOOSE('설정'!$B$3,SUMIFS('RAW_농산물_7월'!$H:$H,'RAW_농산물_7월'!$D:$D,$C58,'RAW_농산물_7월'!$A:$A,$E58),SUMIFS('RAW_농산물_8월'!$H:$H,'RAW_농산물_8월'!$D:$D,$C58,'RAW_농산물_8월'!$A:$A,$E58),SUMIFS('RAW_농산물_9월'!$H:$H,'RAW_농산물_9월'!$D:$D,$C58,'RAW_농산물_9월'!$A:$A,$E58),SUMIFS('RAW_농산물_10월'!$H:$H,'RAW_농산물_10월'!$D:$D,$C58,'RAW_농산물_10월'!$A:$A,$E58),SUMIFS('RAW_농산물_11-12월'!$H:$H,'RAW_농산물_11-12월'!$D:$D,$C58,'RAW_농산물_11-12월'!$A:$A,$E58))))</f>
        <v>90820</v>
      </c>
      <c r="I58" s="17" t="str">
        <f>IF($C58="","",IF(COUNTIFS('RAW_농산물_7월'!$D:$D,$C58,'RAW_농산물_7월'!$A:$A,$E58)&gt;0,"O",""))</f>
        <v>O</v>
      </c>
      <c r="J58" s="17" t="str">
        <f>IF($C58="","",IF(COUNTIFS('RAW_농산물_8월'!$D:$D,$C58,'RAW_농산물_8월'!$A:$A,$E58)&gt;0,"O",""))</f>
        <v>O</v>
      </c>
      <c r="K58" s="17" t="str">
        <f>IF($C58="","",IF(COUNTIFS('RAW_농산물_9월'!$D:$D,$C58,'RAW_농산물_9월'!$A:$A,$E58)&gt;0,"O",""))</f>
        <v/>
      </c>
      <c r="L58" s="17" t="str">
        <f>IF($C58="","",IF(COUNTIFS('RAW_농산물_10월'!$D:$D,$C58,'RAW_농산물_10월'!$A:$A,$E58)&gt;0,"O",""))</f>
        <v/>
      </c>
      <c r="M58" s="17" t="str">
        <f>IF($C58="","",IF(COUNTIFS('RAW_농산물_11-12월'!$D:$D,$C58,'RAW_농산물_11-12월'!$A:$A,$E58)&gt;0,"O",""))</f>
        <v/>
      </c>
      <c r="N58" s="7">
        <f>IF($C58="","",IF(COUNTA('RAW_농산물_7월'!$A:$A)&lt;=1,"",SUMIFS('RAW_농산물_7월'!$H:$H,'RAW_농산물_7월'!$D:$D,$C58,'RAW_농산물_7월'!$A:$A,$E58)))</f>
        <v>27460</v>
      </c>
      <c r="O58" s="7">
        <f>IF($C58="","",IF(COUNTA('RAW_농산물_8월'!$A:$A)&lt;=1,"",SUMIFS('RAW_농산물_8월'!$H:$H,'RAW_농산물_8월'!$D:$D,$C58,'RAW_농산물_8월'!$A:$A,$E58)-SUMIFS('RAW_농산물_7월'!$H:$H,'RAW_농산물_7월'!$D:$D,$C58,'RAW_농산물_7월'!$A:$A,$E58)))</f>
        <v>63360</v>
      </c>
      <c r="P58" s="7" t="str">
        <f>IF($C58="","",IF(COUNTA('RAW_농산물_9월'!$A:$A)&lt;=1,"",SUMIFS('RAW_농산물_9월'!$H:$H,'RAW_농산물_9월'!$D:$D,$C58,'RAW_농산물_9월'!$A:$A,$E58)-SUMIFS('RAW_농산물_8월'!$H:$H,'RAW_농산물_8월'!$D:$D,$C58,'RAW_농산물_8월'!$A:$A,$E58)))</f>
        <v/>
      </c>
      <c r="Q58" s="7" t="str">
        <f>IF($C58="","",IF(COUNTA('RAW_농산물_10월'!$A:$A)&lt;=1,"",SUMIFS('RAW_농산물_10월'!$H:$H,'RAW_농산물_10월'!$D:$D,$C58,'RAW_농산물_10월'!$A:$A,$E58)-SUMIFS('RAW_농산물_9월'!$H:$H,'RAW_농산물_9월'!$D:$D,$C58,'RAW_농산물_9월'!$A:$A,$E58)))</f>
        <v/>
      </c>
      <c r="R58" s="7" t="str">
        <f>IF($C58="","",IF(COUNTA('RAW_농산물_11-12월'!$A:$A)&lt;=1,"",SUMIFS('RAW_농산물_11-12월'!$H:$H,'RAW_농산물_11-12월'!$D:$D,$C58,'RAW_농산물_11-12월'!$A:$A,$E58)-SUMIFS('RAW_농산물_10월'!$H:$H,'RAW_농산물_10월'!$D:$D,$C58,'RAW_농산물_10월'!$A:$A,$E58)))</f>
        <v/>
      </c>
      <c r="S58" s="17" t="str">
        <f t="shared" si="4"/>
        <v>O</v>
      </c>
      <c r="T58" s="17" t="str">
        <f t="shared" si="5"/>
        <v>50만원 미만</v>
      </c>
      <c r="U58" s="7">
        <f>IF($C58="",0,IF('설정'!$B$3=0,0,CHOOSE('설정'!$B$3,COUNTIFS('RAW_농산물_7월'!$D:$D,$C58,'RAW_농산물_7월'!$A:$A,$E58),COUNTIFS('RAW_농산물_8월'!$D:$D,$C58,'RAW_농산물_8월'!$A:$A,$E58),COUNTIFS('RAW_농산물_9월'!$D:$D,$C58,'RAW_농산물_9월'!$A:$A,$E58),COUNTIFS('RAW_농산물_10월'!$D:$D,$C58,'RAW_농산물_10월'!$A:$A,$E58),COUNTIFS('RAW_농산물_11-12월'!$D:$D,$C58,'RAW_농산물_11-12월'!$A:$A,$E58))))</f>
        <v>2</v>
      </c>
    </row>
    <row r="59" ht="15.75" customHeight="1">
      <c r="A59" s="5">
        <v>57.0</v>
      </c>
      <c r="B59" s="5" t="s">
        <v>108</v>
      </c>
      <c r="C59" s="5" t="s">
        <v>1677</v>
      </c>
      <c r="D59" s="6" t="s">
        <v>1676</v>
      </c>
      <c r="E59" s="5" t="s">
        <v>95</v>
      </c>
      <c r="F59" s="7">
        <f>IF($C59="","",IF('설정'!$B$3=0,"",CHOOSE('설정'!$B$3,SUMIFS('RAW_농산물_7월'!$F:$F,'RAW_농산물_7월'!$D:$D,$C59,'RAW_농산물_7월'!$A:$A,$E59),SUMIFS('RAW_농산물_8월'!$F:$F,'RAW_농산물_8월'!$D:$D,$C59,'RAW_농산물_8월'!$A:$A,$E59),SUMIFS('RAW_농산물_9월'!$F:$F,'RAW_농산물_9월'!$D:$D,$C59,'RAW_농산물_9월'!$A:$A,$E59),SUMIFS('RAW_농산물_10월'!$F:$F,'RAW_농산물_10월'!$D:$D,$C59,'RAW_농산물_10월'!$A:$A,$E59),SUMIFS('RAW_농산물_11-12월'!$F:$F,'RAW_농산물_11-12월'!$D:$D,$C59,'RAW_농산물_11-12월'!$A:$A,$E59))))</f>
        <v>177</v>
      </c>
      <c r="G59" s="7">
        <f>IF($C59="","",IF('설정'!$B$3=0,"",CHOOSE('설정'!$B$3,SUMIFS('RAW_농산물_7월'!$G:$G,'RAW_농산물_7월'!$D:$D,$C59,'RAW_농산물_7월'!$A:$A,$E59),SUMIFS('RAW_농산물_8월'!$G:$G,'RAW_농산물_8월'!$D:$D,$C59,'RAW_농산물_8월'!$A:$A,$E59),SUMIFS('RAW_농산물_9월'!$G:$G,'RAW_농산물_9월'!$D:$D,$C59,'RAW_농산물_9월'!$A:$A,$E59),SUMIFS('RAW_농산물_10월'!$G:$G,'RAW_농산물_10월'!$D:$D,$C59,'RAW_농산물_10월'!$A:$A,$E59),SUMIFS('RAW_농산물_11-12월'!$G:$G,'RAW_농산물_11-12월'!$D:$D,$C59,'RAW_농산물_11-12월'!$A:$A,$E59))))</f>
        <v>1748834</v>
      </c>
      <c r="H59" s="14">
        <f>IF($C59="","",IF('설정'!$B$3=0,"",CHOOSE('설정'!$B$3,SUMIFS('RAW_농산물_7월'!$H:$H,'RAW_농산물_7월'!$D:$D,$C59,'RAW_농산물_7월'!$A:$A,$E59),SUMIFS('RAW_농산물_8월'!$H:$H,'RAW_농산물_8월'!$D:$D,$C59,'RAW_농산물_8월'!$A:$A,$E59),SUMIFS('RAW_농산물_9월'!$H:$H,'RAW_농산물_9월'!$D:$D,$C59,'RAW_농산물_9월'!$A:$A,$E59),SUMIFS('RAW_농산물_10월'!$H:$H,'RAW_농산물_10월'!$D:$D,$C59,'RAW_농산물_10월'!$A:$A,$E59),SUMIFS('RAW_농산물_11-12월'!$H:$H,'RAW_농산물_11-12월'!$D:$D,$C59,'RAW_농산물_11-12월'!$A:$A,$E59))))</f>
        <v>75100</v>
      </c>
      <c r="I59" s="17" t="str">
        <f>IF($C59="","",IF(COUNTIFS('RAW_농산물_7월'!$D:$D,$C59,'RAW_농산물_7월'!$A:$A,$E59)&gt;0,"O",""))</f>
        <v>O</v>
      </c>
      <c r="J59" s="17" t="str">
        <f>IF($C59="","",IF(COUNTIFS('RAW_농산물_8월'!$D:$D,$C59,'RAW_농산물_8월'!$A:$A,$E59)&gt;0,"O",""))</f>
        <v>O</v>
      </c>
      <c r="K59" s="17" t="str">
        <f>IF($C59="","",IF(COUNTIFS('RAW_농산물_9월'!$D:$D,$C59,'RAW_농산물_9월'!$A:$A,$E59)&gt;0,"O",""))</f>
        <v/>
      </c>
      <c r="L59" s="17" t="str">
        <f>IF($C59="","",IF(COUNTIFS('RAW_농산물_10월'!$D:$D,$C59,'RAW_농산물_10월'!$A:$A,$E59)&gt;0,"O",""))</f>
        <v/>
      </c>
      <c r="M59" s="17" t="str">
        <f>IF($C59="","",IF(COUNTIFS('RAW_농산물_11-12월'!$D:$D,$C59,'RAW_농산물_11-12월'!$A:$A,$E59)&gt;0,"O",""))</f>
        <v/>
      </c>
      <c r="N59" s="7">
        <f>IF($C59="","",IF(COUNTA('RAW_농산물_7월'!$A:$A)&lt;=1,"",SUMIFS('RAW_농산물_7월'!$H:$H,'RAW_농산물_7월'!$D:$D,$C59,'RAW_농산물_7월'!$A:$A,$E59)))</f>
        <v>42580</v>
      </c>
      <c r="O59" s="7">
        <f>IF($C59="","",IF(COUNTA('RAW_농산물_8월'!$A:$A)&lt;=1,"",SUMIFS('RAW_농산물_8월'!$H:$H,'RAW_농산물_8월'!$D:$D,$C59,'RAW_농산물_8월'!$A:$A,$E59)-SUMIFS('RAW_농산물_7월'!$H:$H,'RAW_농산물_7월'!$D:$D,$C59,'RAW_농산물_7월'!$A:$A,$E59)))</f>
        <v>32520</v>
      </c>
      <c r="P59" s="7" t="str">
        <f>IF($C59="","",IF(COUNTA('RAW_농산물_9월'!$A:$A)&lt;=1,"",SUMIFS('RAW_농산물_9월'!$H:$H,'RAW_농산물_9월'!$D:$D,$C59,'RAW_농산물_9월'!$A:$A,$E59)-SUMIFS('RAW_농산물_8월'!$H:$H,'RAW_농산물_8월'!$D:$D,$C59,'RAW_농산물_8월'!$A:$A,$E59)))</f>
        <v/>
      </c>
      <c r="Q59" s="7" t="str">
        <f>IF($C59="","",IF(COUNTA('RAW_농산물_10월'!$A:$A)&lt;=1,"",SUMIFS('RAW_농산물_10월'!$H:$H,'RAW_농산물_10월'!$D:$D,$C59,'RAW_농산물_10월'!$A:$A,$E59)-SUMIFS('RAW_농산물_9월'!$H:$H,'RAW_농산물_9월'!$D:$D,$C59,'RAW_농산물_9월'!$A:$A,$E59)))</f>
        <v/>
      </c>
      <c r="R59" s="7" t="str">
        <f>IF($C59="","",IF(COUNTA('RAW_농산물_11-12월'!$A:$A)&lt;=1,"",SUMIFS('RAW_농산물_11-12월'!$H:$H,'RAW_농산물_11-12월'!$D:$D,$C59,'RAW_농산물_11-12월'!$A:$A,$E59)-SUMIFS('RAW_농산물_10월'!$H:$H,'RAW_농산물_10월'!$D:$D,$C59,'RAW_농산물_10월'!$A:$A,$E59)))</f>
        <v/>
      </c>
      <c r="S59" s="17" t="str">
        <f t="shared" si="4"/>
        <v>O</v>
      </c>
      <c r="T59" s="17" t="str">
        <f t="shared" si="5"/>
        <v>50만원 미만</v>
      </c>
      <c r="U59" s="7">
        <f>IF($C59="",0,IF('설정'!$B$3=0,0,CHOOSE('설정'!$B$3,COUNTIFS('RAW_농산물_7월'!$D:$D,$C59,'RAW_농산물_7월'!$A:$A,$E59),COUNTIFS('RAW_농산물_8월'!$D:$D,$C59,'RAW_농산물_8월'!$A:$A,$E59),COUNTIFS('RAW_농산물_9월'!$D:$D,$C59,'RAW_농산물_9월'!$A:$A,$E59),COUNTIFS('RAW_농산물_10월'!$D:$D,$C59,'RAW_농산물_10월'!$A:$A,$E59),COUNTIFS('RAW_농산물_11-12월'!$D:$D,$C59,'RAW_농산물_11-12월'!$A:$A,$E59))))</f>
        <v>1</v>
      </c>
    </row>
    <row r="60" ht="15.75" customHeight="1">
      <c r="A60" s="5">
        <v>58.0</v>
      </c>
      <c r="B60" s="5" t="s">
        <v>108</v>
      </c>
      <c r="C60" s="5" t="s">
        <v>590</v>
      </c>
      <c r="D60" s="6" t="s">
        <v>589</v>
      </c>
      <c r="E60" s="5" t="s">
        <v>92</v>
      </c>
      <c r="F60" s="7">
        <f>IF($C60="","",IF('설정'!$B$3=0,"",CHOOSE('설정'!$B$3,SUMIFS('RAW_농산물_7월'!$F:$F,'RAW_농산물_7월'!$D:$D,$C60,'RAW_농산물_7월'!$A:$A,$E60),SUMIFS('RAW_농산물_8월'!$F:$F,'RAW_농산물_8월'!$D:$D,$C60,'RAW_농산물_8월'!$A:$A,$E60),SUMIFS('RAW_농산물_9월'!$F:$F,'RAW_농산물_9월'!$D:$D,$C60,'RAW_농산물_9월'!$A:$A,$E60),SUMIFS('RAW_농산물_10월'!$F:$F,'RAW_농산물_10월'!$D:$D,$C60,'RAW_농산물_10월'!$A:$A,$E60),SUMIFS('RAW_농산물_11-12월'!$F:$F,'RAW_농산물_11-12월'!$D:$D,$C60,'RAW_농산물_11-12월'!$A:$A,$E60))))</f>
        <v>10</v>
      </c>
      <c r="G60" s="7">
        <f>IF($C60="","",IF('설정'!$B$3=0,"",CHOOSE('설정'!$B$3,SUMIFS('RAW_농산물_7월'!$G:$G,'RAW_농산물_7월'!$D:$D,$C60,'RAW_농산물_7월'!$A:$A,$E60),SUMIFS('RAW_농산물_8월'!$G:$G,'RAW_농산물_8월'!$D:$D,$C60,'RAW_농산물_8월'!$A:$A,$E60),SUMIFS('RAW_농산물_9월'!$G:$G,'RAW_농산물_9월'!$D:$D,$C60,'RAW_농산물_9월'!$A:$A,$E60),SUMIFS('RAW_농산물_10월'!$G:$G,'RAW_농산물_10월'!$D:$D,$C60,'RAW_농산물_10월'!$A:$A,$E60),SUMIFS('RAW_농산물_11-12월'!$G:$G,'RAW_농산물_11-12월'!$D:$D,$C60,'RAW_농산물_11-12월'!$A:$A,$E60))))</f>
        <v>201000</v>
      </c>
      <c r="H60" s="14">
        <f>IF($C60="","",IF('설정'!$B$3=0,"",CHOOSE('설정'!$B$3,SUMIFS('RAW_농산물_7월'!$H:$H,'RAW_농산물_7월'!$D:$D,$C60,'RAW_농산물_7월'!$A:$A,$E60),SUMIFS('RAW_농산물_8월'!$H:$H,'RAW_농산물_8월'!$D:$D,$C60,'RAW_농산물_8월'!$A:$A,$E60),SUMIFS('RAW_농산물_9월'!$H:$H,'RAW_농산물_9월'!$D:$D,$C60,'RAW_농산물_9월'!$A:$A,$E60),SUMIFS('RAW_농산물_10월'!$H:$H,'RAW_농산물_10월'!$D:$D,$C60,'RAW_농산물_10월'!$A:$A,$E60),SUMIFS('RAW_농산물_11-12월'!$H:$H,'RAW_농산물_11-12월'!$D:$D,$C60,'RAW_농산물_11-12월'!$A:$A,$E60))))</f>
        <v>4200</v>
      </c>
      <c r="I60" s="17" t="str">
        <f>IF($C60="","",IF(COUNTIFS('RAW_농산물_7월'!$D:$D,$C60,'RAW_농산물_7월'!$A:$A,$E60)&gt;0,"O",""))</f>
        <v>O</v>
      </c>
      <c r="J60" s="17" t="str">
        <f>IF($C60="","",IF(COUNTIFS('RAW_농산물_8월'!$D:$D,$C60,'RAW_농산물_8월'!$A:$A,$E60)&gt;0,"O",""))</f>
        <v>O</v>
      </c>
      <c r="K60" s="17" t="str">
        <f>IF($C60="","",IF(COUNTIFS('RAW_농산물_9월'!$D:$D,$C60,'RAW_농산물_9월'!$A:$A,$E60)&gt;0,"O",""))</f>
        <v/>
      </c>
      <c r="L60" s="17" t="str">
        <f>IF($C60="","",IF(COUNTIFS('RAW_농산물_10월'!$D:$D,$C60,'RAW_농산물_10월'!$A:$A,$E60)&gt;0,"O",""))</f>
        <v/>
      </c>
      <c r="M60" s="17" t="str">
        <f>IF($C60="","",IF(COUNTIFS('RAW_농산물_11-12월'!$D:$D,$C60,'RAW_농산물_11-12월'!$A:$A,$E60)&gt;0,"O",""))</f>
        <v/>
      </c>
      <c r="N60" s="7">
        <f>IF($C60="","",IF(COUNTA('RAW_농산물_7월'!$A:$A)&lt;=1,"",SUMIFS('RAW_농산물_7월'!$H:$H,'RAW_농산물_7월'!$D:$D,$C60,'RAW_농산물_7월'!$A:$A,$E60)))</f>
        <v>4200</v>
      </c>
      <c r="O60" s="7">
        <f>IF($C60="","",IF(COUNTA('RAW_농산물_8월'!$A:$A)&lt;=1,"",SUMIFS('RAW_농산물_8월'!$H:$H,'RAW_농산물_8월'!$D:$D,$C60,'RAW_농산물_8월'!$A:$A,$E60)-SUMIFS('RAW_농산물_7월'!$H:$H,'RAW_농산물_7월'!$D:$D,$C60,'RAW_농산물_7월'!$A:$A,$E60)))</f>
        <v>0</v>
      </c>
      <c r="P60" s="7" t="str">
        <f>IF($C60="","",IF(COUNTA('RAW_농산물_9월'!$A:$A)&lt;=1,"",SUMIFS('RAW_농산물_9월'!$H:$H,'RAW_농산물_9월'!$D:$D,$C60,'RAW_농산물_9월'!$A:$A,$E60)-SUMIFS('RAW_농산물_8월'!$H:$H,'RAW_농산물_8월'!$D:$D,$C60,'RAW_농산물_8월'!$A:$A,$E60)))</f>
        <v/>
      </c>
      <c r="Q60" s="7" t="str">
        <f>IF($C60="","",IF(COUNTA('RAW_농산물_10월'!$A:$A)&lt;=1,"",SUMIFS('RAW_농산물_10월'!$H:$H,'RAW_농산물_10월'!$D:$D,$C60,'RAW_농산물_10월'!$A:$A,$E60)-SUMIFS('RAW_농산물_9월'!$H:$H,'RAW_농산물_9월'!$D:$D,$C60,'RAW_농산물_9월'!$A:$A,$E60)))</f>
        <v/>
      </c>
      <c r="R60" s="7" t="str">
        <f>IF($C60="","",IF(COUNTA('RAW_농산물_11-12월'!$A:$A)&lt;=1,"",SUMIFS('RAW_농산물_11-12월'!$H:$H,'RAW_농산물_11-12월'!$D:$D,$C60,'RAW_농산물_11-12월'!$A:$A,$E60)-SUMIFS('RAW_농산물_10월'!$H:$H,'RAW_농산물_10월'!$D:$D,$C60,'RAW_농산물_10월'!$A:$A,$E60)))</f>
        <v/>
      </c>
      <c r="S60" s="17" t="str">
        <f t="shared" si="4"/>
        <v>O</v>
      </c>
      <c r="T60" s="17" t="str">
        <f t="shared" si="5"/>
        <v>50만원 미만</v>
      </c>
      <c r="U60" s="7">
        <f>IF($C60="",0,IF('설정'!$B$3=0,0,CHOOSE('설정'!$B$3,COUNTIFS('RAW_농산물_7월'!$D:$D,$C60,'RAW_농산물_7월'!$A:$A,$E60),COUNTIFS('RAW_농산물_8월'!$D:$D,$C60,'RAW_농산물_8월'!$A:$A,$E60),COUNTIFS('RAW_농산물_9월'!$D:$D,$C60,'RAW_농산물_9월'!$A:$A,$E60),COUNTIFS('RAW_농산물_10월'!$D:$D,$C60,'RAW_농산물_10월'!$A:$A,$E60),COUNTIFS('RAW_농산물_11-12월'!$D:$D,$C60,'RAW_농산물_11-12월'!$A:$A,$E60))))</f>
        <v>1</v>
      </c>
    </row>
    <row r="61" ht="15.75" customHeight="1">
      <c r="A61" s="5">
        <v>59.0</v>
      </c>
      <c r="B61" s="5" t="s">
        <v>25</v>
      </c>
      <c r="C61" s="5" t="s">
        <v>2618</v>
      </c>
      <c r="D61" s="6" t="s">
        <v>2619</v>
      </c>
      <c r="E61" s="5" t="s">
        <v>92</v>
      </c>
      <c r="F61" s="7">
        <f>IF($C61="","",IF('설정'!$B$3=0,"",CHOOSE('설정'!$B$3,SUMIFS('RAW_농산물_7월'!$F:$F,'RAW_농산물_7월'!$D:$D,$C61,'RAW_농산물_7월'!$A:$A,$E61),SUMIFS('RAW_농산물_8월'!$F:$F,'RAW_농산물_8월'!$D:$D,$C61,'RAW_농산물_8월'!$A:$A,$E61),SUMIFS('RAW_농산물_9월'!$F:$F,'RAW_농산물_9월'!$D:$D,$C61,'RAW_농산물_9월'!$A:$A,$E61),SUMIFS('RAW_농산물_10월'!$F:$F,'RAW_농산물_10월'!$D:$D,$C61,'RAW_농산물_10월'!$A:$A,$E61),SUMIFS('RAW_농산물_11-12월'!$F:$F,'RAW_농산물_11-12월'!$D:$D,$C61,'RAW_농산물_11-12월'!$A:$A,$E61))))</f>
        <v>0</v>
      </c>
      <c r="G61" s="7">
        <f>IF($C61="","",IF('설정'!$B$3=0,"",CHOOSE('설정'!$B$3,SUMIFS('RAW_농산물_7월'!$G:$G,'RAW_농산물_7월'!$D:$D,$C61,'RAW_농산물_7월'!$A:$A,$E61),SUMIFS('RAW_농산물_8월'!$G:$G,'RAW_농산물_8월'!$D:$D,$C61,'RAW_농산물_8월'!$A:$A,$E61),SUMIFS('RAW_농산물_9월'!$G:$G,'RAW_농산물_9월'!$D:$D,$C61,'RAW_농산물_9월'!$A:$A,$E61),SUMIFS('RAW_농산물_10월'!$G:$G,'RAW_농산물_10월'!$D:$D,$C61,'RAW_농산물_10월'!$A:$A,$E61),SUMIFS('RAW_농산물_11-12월'!$G:$G,'RAW_농산물_11-12월'!$D:$D,$C61,'RAW_농산물_11-12월'!$A:$A,$E61))))</f>
        <v>0</v>
      </c>
      <c r="H61" s="14">
        <f>IF($C61="","",IF('설정'!$B$3=0,"",CHOOSE('설정'!$B$3,SUMIFS('RAW_농산물_7월'!$H:$H,'RAW_농산물_7월'!$D:$D,$C61,'RAW_농산물_7월'!$A:$A,$E61),SUMIFS('RAW_농산물_8월'!$H:$H,'RAW_농산물_8월'!$D:$D,$C61,'RAW_농산물_8월'!$A:$A,$E61),SUMIFS('RAW_농산물_9월'!$H:$H,'RAW_농산물_9월'!$D:$D,$C61,'RAW_농산물_9월'!$A:$A,$E61),SUMIFS('RAW_농산물_10월'!$H:$H,'RAW_농산물_10월'!$D:$D,$C61,'RAW_농산물_10월'!$A:$A,$E61),SUMIFS('RAW_농산물_11-12월'!$H:$H,'RAW_농산물_11-12월'!$D:$D,$C61,'RAW_농산물_11-12월'!$A:$A,$E61))))</f>
        <v>0</v>
      </c>
      <c r="I61" s="17" t="str">
        <f>IF($C61="","",IF(COUNTIFS('RAW_농산물_7월'!$D:$D,$C61,'RAW_농산물_7월'!$A:$A,$E61)&gt;0,"O",""))</f>
        <v/>
      </c>
      <c r="J61" s="17" t="str">
        <f>IF($C61="","",IF(COUNTIFS('RAW_농산물_8월'!$D:$D,$C61,'RAW_농산물_8월'!$A:$A,$E61)&gt;0,"O",""))</f>
        <v/>
      </c>
      <c r="K61" s="17" t="str">
        <f>IF($C61="","",IF(COUNTIFS('RAW_농산물_9월'!$D:$D,$C61,'RAW_농산물_9월'!$A:$A,$E61)&gt;0,"O",""))</f>
        <v/>
      </c>
      <c r="L61" s="17" t="str">
        <f>IF($C61="","",IF(COUNTIFS('RAW_농산물_10월'!$D:$D,$C61,'RAW_농산물_10월'!$A:$A,$E61)&gt;0,"O",""))</f>
        <v/>
      </c>
      <c r="M61" s="17" t="str">
        <f>IF($C61="","",IF(COUNTIFS('RAW_농산물_11-12월'!$D:$D,$C61,'RAW_농산물_11-12월'!$A:$A,$E61)&gt;0,"O",""))</f>
        <v/>
      </c>
      <c r="N61" s="7">
        <f>IF($C61="","",IF(COUNTA('RAW_농산물_7월'!$A:$A)&lt;=1,"",SUMIFS('RAW_농산물_7월'!$H:$H,'RAW_농산물_7월'!$D:$D,$C61,'RAW_농산물_7월'!$A:$A,$E61)))</f>
        <v>0</v>
      </c>
      <c r="O61" s="7">
        <f>IF($C61="","",IF(COUNTA('RAW_농산물_8월'!$A:$A)&lt;=1,"",SUMIFS('RAW_농산물_8월'!$H:$H,'RAW_농산물_8월'!$D:$D,$C61,'RAW_농산물_8월'!$A:$A,$E61)-SUMIFS('RAW_농산물_7월'!$H:$H,'RAW_농산물_7월'!$D:$D,$C61,'RAW_농산물_7월'!$A:$A,$E61)))</f>
        <v>0</v>
      </c>
      <c r="P61" s="7" t="str">
        <f>IF($C61="","",IF(COUNTA('RAW_농산물_9월'!$A:$A)&lt;=1,"",SUMIFS('RAW_농산물_9월'!$H:$H,'RAW_농산물_9월'!$D:$D,$C61,'RAW_농산물_9월'!$A:$A,$E61)-SUMIFS('RAW_농산물_8월'!$H:$H,'RAW_농산물_8월'!$D:$D,$C61,'RAW_농산물_8월'!$A:$A,$E61)))</f>
        <v/>
      </c>
      <c r="Q61" s="7" t="str">
        <f>IF($C61="","",IF(COUNTA('RAW_농산물_10월'!$A:$A)&lt;=1,"",SUMIFS('RAW_농산물_10월'!$H:$H,'RAW_농산물_10월'!$D:$D,$C61,'RAW_농산물_10월'!$A:$A,$E61)-SUMIFS('RAW_농산물_9월'!$H:$H,'RAW_농산물_9월'!$D:$D,$C61,'RAW_농산물_9월'!$A:$A,$E61)))</f>
        <v/>
      </c>
      <c r="R61" s="7" t="str">
        <f>IF($C61="","",IF(COUNTA('RAW_농산물_11-12월'!$A:$A)&lt;=1,"",SUMIFS('RAW_농산물_11-12월'!$H:$H,'RAW_농산물_11-12월'!$D:$D,$C61,'RAW_농산물_11-12월'!$A:$A,$E61)-SUMIFS('RAW_농산물_10월'!$H:$H,'RAW_농산물_10월'!$D:$D,$C61,'RAW_농산물_10월'!$A:$A,$E61)))</f>
        <v/>
      </c>
      <c r="S61" s="17" t="str">
        <f t="shared" si="4"/>
        <v/>
      </c>
      <c r="T61" s="17" t="str">
        <f t="shared" si="5"/>
        <v>미사용</v>
      </c>
      <c r="U61" s="7">
        <f>IF($C61="",0,IF('설정'!$B$3=0,0,CHOOSE('설정'!$B$3,COUNTIFS('RAW_농산물_7월'!$D:$D,$C61,'RAW_농산물_7월'!$A:$A,$E61),COUNTIFS('RAW_농산물_8월'!$D:$D,$C61,'RAW_농산물_8월'!$A:$A,$E61),COUNTIFS('RAW_농산물_9월'!$D:$D,$C61,'RAW_농산물_9월'!$A:$A,$E61),COUNTIFS('RAW_농산물_10월'!$D:$D,$C61,'RAW_농산물_10월'!$A:$A,$E61),COUNTIFS('RAW_농산물_11-12월'!$D:$D,$C61,'RAW_농산물_11-12월'!$A:$A,$E61))))</f>
        <v>0</v>
      </c>
    </row>
    <row r="62" ht="15.75" customHeight="1">
      <c r="A62" s="5">
        <v>60.0</v>
      </c>
      <c r="B62" s="5" t="s">
        <v>25</v>
      </c>
      <c r="C62" s="5" t="s">
        <v>1204</v>
      </c>
      <c r="D62" s="6" t="s">
        <v>1203</v>
      </c>
      <c r="E62" s="5" t="s">
        <v>28</v>
      </c>
      <c r="F62" s="7">
        <f>IF($C62="","",IF('설정'!$B$3=0,"",CHOOSE('설정'!$B$3,SUMIFS('RAW_농산물_7월'!$F:$F,'RAW_농산물_7월'!$D:$D,$C62,'RAW_농산물_7월'!$A:$A,$E62),SUMIFS('RAW_농산물_8월'!$F:$F,'RAW_농산물_8월'!$D:$D,$C62,'RAW_농산물_8월'!$A:$A,$E62),SUMIFS('RAW_농산물_9월'!$F:$F,'RAW_농산물_9월'!$D:$D,$C62,'RAW_농산물_9월'!$A:$A,$E62),SUMIFS('RAW_농산물_10월'!$F:$F,'RAW_농산물_10월'!$D:$D,$C62,'RAW_농산물_10월'!$A:$A,$E62),SUMIFS('RAW_농산물_11-12월'!$F:$F,'RAW_농산물_11-12월'!$D:$D,$C62,'RAW_농산물_11-12월'!$A:$A,$E62))))</f>
        <v>936</v>
      </c>
      <c r="G62" s="7">
        <f>IF($C62="","",IF('설정'!$B$3=0,"",CHOOSE('설정'!$B$3,SUMIFS('RAW_농산물_7월'!$G:$G,'RAW_농산물_7월'!$D:$D,$C62,'RAW_농산물_7월'!$A:$A,$E62),SUMIFS('RAW_농산물_8월'!$G:$G,'RAW_농산물_8월'!$D:$D,$C62,'RAW_농산물_8월'!$A:$A,$E62),SUMIFS('RAW_농산물_9월'!$G:$G,'RAW_농산물_9월'!$D:$D,$C62,'RAW_농산물_9월'!$A:$A,$E62),SUMIFS('RAW_농산물_10월'!$G:$G,'RAW_농산물_10월'!$D:$D,$C62,'RAW_농산물_10월'!$A:$A,$E62),SUMIFS('RAW_농산물_11-12월'!$G:$G,'RAW_농산물_11-12월'!$D:$D,$C62,'RAW_농산물_11-12월'!$A:$A,$E62))))</f>
        <v>47358000</v>
      </c>
      <c r="H62" s="14">
        <f>IF($C62="","",IF('설정'!$B$3=0,"",CHOOSE('설정'!$B$3,SUMIFS('RAW_농산물_7월'!$H:$H,'RAW_농산물_7월'!$D:$D,$C62,'RAW_농산물_7월'!$A:$A,$E62),SUMIFS('RAW_농산물_8월'!$H:$H,'RAW_농산물_8월'!$D:$D,$C62,'RAW_농산물_8월'!$A:$A,$E62),SUMIFS('RAW_농산물_9월'!$H:$H,'RAW_농산물_9월'!$D:$D,$C62,'RAW_농산물_9월'!$A:$A,$E62),SUMIFS('RAW_농산물_10월'!$H:$H,'RAW_농산물_10월'!$D:$D,$C62,'RAW_농산물_10월'!$A:$A,$E62),SUMIFS('RAW_농산물_11-12월'!$H:$H,'RAW_농산물_11-12월'!$D:$D,$C62,'RAW_농산물_11-12월'!$A:$A,$E62))))</f>
        <v>5003480</v>
      </c>
      <c r="I62" s="17" t="str">
        <f>IF($C62="","",IF(COUNTIFS('RAW_농산물_7월'!$D:$D,$C62,'RAW_농산물_7월'!$A:$A,$E62)&gt;0,"O",""))</f>
        <v>O</v>
      </c>
      <c r="J62" s="17" t="str">
        <f>IF($C62="","",IF(COUNTIFS('RAW_농산물_8월'!$D:$D,$C62,'RAW_농산물_8월'!$A:$A,$E62)&gt;0,"O",""))</f>
        <v>O</v>
      </c>
      <c r="K62" s="17" t="str">
        <f>IF($C62="","",IF(COUNTIFS('RAW_농산물_9월'!$D:$D,$C62,'RAW_농산물_9월'!$A:$A,$E62)&gt;0,"O",""))</f>
        <v/>
      </c>
      <c r="L62" s="17" t="str">
        <f>IF($C62="","",IF(COUNTIFS('RAW_농산물_10월'!$D:$D,$C62,'RAW_농산물_10월'!$A:$A,$E62)&gt;0,"O",""))</f>
        <v/>
      </c>
      <c r="M62" s="17" t="str">
        <f>IF($C62="","",IF(COUNTIFS('RAW_농산물_11-12월'!$D:$D,$C62,'RAW_농산물_11-12월'!$A:$A,$E62)&gt;0,"O",""))</f>
        <v/>
      </c>
      <c r="N62" s="7">
        <f>IF($C62="","",IF(COUNTA('RAW_농산물_7월'!$A:$A)&lt;=1,"",SUMIFS('RAW_농산물_7월'!$H:$H,'RAW_농산물_7월'!$D:$D,$C62,'RAW_농산물_7월'!$A:$A,$E62)))</f>
        <v>5003480</v>
      </c>
      <c r="O62" s="7">
        <f>IF($C62="","",IF(COUNTA('RAW_농산물_8월'!$A:$A)&lt;=1,"",SUMIFS('RAW_농산물_8월'!$H:$H,'RAW_농산물_8월'!$D:$D,$C62,'RAW_농산물_8월'!$A:$A,$E62)-SUMIFS('RAW_농산물_7월'!$H:$H,'RAW_농산물_7월'!$D:$D,$C62,'RAW_농산물_7월'!$A:$A,$E62)))</f>
        <v>0</v>
      </c>
      <c r="P62" s="7" t="str">
        <f>IF($C62="","",IF(COUNTA('RAW_농산물_9월'!$A:$A)&lt;=1,"",SUMIFS('RAW_농산물_9월'!$H:$H,'RAW_농산물_9월'!$D:$D,$C62,'RAW_농산물_9월'!$A:$A,$E62)-SUMIFS('RAW_농산물_8월'!$H:$H,'RAW_농산물_8월'!$D:$D,$C62,'RAW_농산물_8월'!$A:$A,$E62)))</f>
        <v/>
      </c>
      <c r="Q62" s="7" t="str">
        <f>IF($C62="","",IF(COUNTA('RAW_농산물_10월'!$A:$A)&lt;=1,"",SUMIFS('RAW_농산물_10월'!$H:$H,'RAW_농산물_10월'!$D:$D,$C62,'RAW_농산물_10월'!$A:$A,$E62)-SUMIFS('RAW_농산물_9월'!$H:$H,'RAW_농산물_9월'!$D:$D,$C62,'RAW_농산물_9월'!$A:$A,$E62)))</f>
        <v/>
      </c>
      <c r="R62" s="7" t="str">
        <f>IF($C62="","",IF(COUNTA('RAW_농산물_11-12월'!$A:$A)&lt;=1,"",SUMIFS('RAW_농산물_11-12월'!$H:$H,'RAW_농산물_11-12월'!$D:$D,$C62,'RAW_농산물_11-12월'!$A:$A,$E62)-SUMIFS('RAW_농산물_10월'!$H:$H,'RAW_농산물_10월'!$D:$D,$C62,'RAW_농산물_10월'!$A:$A,$E62)))</f>
        <v/>
      </c>
      <c r="S62" s="17" t="str">
        <f t="shared" si="4"/>
        <v>O</v>
      </c>
      <c r="T62" s="17" t="str">
        <f t="shared" si="5"/>
        <v>600만원 미만</v>
      </c>
      <c r="U62" s="7">
        <f>IF($C62="",0,IF('설정'!$B$3=0,0,CHOOSE('설정'!$B$3,COUNTIFS('RAW_농산물_7월'!$D:$D,$C62,'RAW_농산물_7월'!$A:$A,$E62),COUNTIFS('RAW_농산물_8월'!$D:$D,$C62,'RAW_농산물_8월'!$A:$A,$E62),COUNTIFS('RAW_농산물_9월'!$D:$D,$C62,'RAW_농산물_9월'!$A:$A,$E62),COUNTIFS('RAW_농산물_10월'!$D:$D,$C62,'RAW_농산물_10월'!$A:$A,$E62),COUNTIFS('RAW_농산물_11-12월'!$D:$D,$C62,'RAW_농산물_11-12월'!$A:$A,$E62))))</f>
        <v>1</v>
      </c>
    </row>
    <row r="63" ht="15.75" customHeight="1">
      <c r="A63" s="5">
        <v>61.0</v>
      </c>
      <c r="B63" s="5" t="s">
        <v>25</v>
      </c>
      <c r="C63" s="5" t="s">
        <v>2623</v>
      </c>
      <c r="D63" s="6" t="s">
        <v>2624</v>
      </c>
      <c r="E63" s="5" t="s">
        <v>92</v>
      </c>
      <c r="F63" s="7">
        <f>IF($C63="","",IF('설정'!$B$3=0,"",CHOOSE('설정'!$B$3,SUMIFS('RAW_농산물_7월'!$F:$F,'RAW_농산물_7월'!$D:$D,$C63,'RAW_농산물_7월'!$A:$A,$E63),SUMIFS('RAW_농산물_8월'!$F:$F,'RAW_농산물_8월'!$D:$D,$C63,'RAW_농산물_8월'!$A:$A,$E63),SUMIFS('RAW_농산물_9월'!$F:$F,'RAW_농산물_9월'!$D:$D,$C63,'RAW_농산물_9월'!$A:$A,$E63),SUMIFS('RAW_농산물_10월'!$F:$F,'RAW_농산물_10월'!$D:$D,$C63,'RAW_농산물_10월'!$A:$A,$E63),SUMIFS('RAW_농산물_11-12월'!$F:$F,'RAW_농산물_11-12월'!$D:$D,$C63,'RAW_농산물_11-12월'!$A:$A,$E63))))</f>
        <v>0</v>
      </c>
      <c r="G63" s="7">
        <f>IF($C63="","",IF('설정'!$B$3=0,"",CHOOSE('설정'!$B$3,SUMIFS('RAW_농산물_7월'!$G:$G,'RAW_농산물_7월'!$D:$D,$C63,'RAW_농산물_7월'!$A:$A,$E63),SUMIFS('RAW_농산물_8월'!$G:$G,'RAW_농산물_8월'!$D:$D,$C63,'RAW_농산물_8월'!$A:$A,$E63),SUMIFS('RAW_농산물_9월'!$G:$G,'RAW_농산물_9월'!$D:$D,$C63,'RAW_농산물_9월'!$A:$A,$E63),SUMIFS('RAW_농산물_10월'!$G:$G,'RAW_농산물_10월'!$D:$D,$C63,'RAW_농산물_10월'!$A:$A,$E63),SUMIFS('RAW_농산물_11-12월'!$G:$G,'RAW_농산물_11-12월'!$D:$D,$C63,'RAW_농산물_11-12월'!$A:$A,$E63))))</f>
        <v>0</v>
      </c>
      <c r="H63" s="14">
        <f>IF($C63="","",IF('설정'!$B$3=0,"",CHOOSE('설정'!$B$3,SUMIFS('RAW_농산물_7월'!$H:$H,'RAW_농산물_7월'!$D:$D,$C63,'RAW_농산물_7월'!$A:$A,$E63),SUMIFS('RAW_농산물_8월'!$H:$H,'RAW_농산물_8월'!$D:$D,$C63,'RAW_농산물_8월'!$A:$A,$E63),SUMIFS('RAW_농산물_9월'!$H:$H,'RAW_농산물_9월'!$D:$D,$C63,'RAW_농산물_9월'!$A:$A,$E63),SUMIFS('RAW_농산물_10월'!$H:$H,'RAW_농산물_10월'!$D:$D,$C63,'RAW_농산물_10월'!$A:$A,$E63),SUMIFS('RAW_농산물_11-12월'!$H:$H,'RAW_농산물_11-12월'!$D:$D,$C63,'RAW_농산물_11-12월'!$A:$A,$E63))))</f>
        <v>0</v>
      </c>
      <c r="I63" s="17" t="str">
        <f>IF($C63="","",IF(COUNTIFS('RAW_농산물_7월'!$D:$D,$C63,'RAW_농산물_7월'!$A:$A,$E63)&gt;0,"O",""))</f>
        <v/>
      </c>
      <c r="J63" s="17" t="str">
        <f>IF($C63="","",IF(COUNTIFS('RAW_농산물_8월'!$D:$D,$C63,'RAW_농산물_8월'!$A:$A,$E63)&gt;0,"O",""))</f>
        <v/>
      </c>
      <c r="K63" s="17" t="str">
        <f>IF($C63="","",IF(COUNTIFS('RAW_농산물_9월'!$D:$D,$C63,'RAW_농산물_9월'!$A:$A,$E63)&gt;0,"O",""))</f>
        <v/>
      </c>
      <c r="L63" s="17" t="str">
        <f>IF($C63="","",IF(COUNTIFS('RAW_농산물_10월'!$D:$D,$C63,'RAW_농산물_10월'!$A:$A,$E63)&gt;0,"O",""))</f>
        <v/>
      </c>
      <c r="M63" s="17" t="str">
        <f>IF($C63="","",IF(COUNTIFS('RAW_농산물_11-12월'!$D:$D,$C63,'RAW_농산물_11-12월'!$A:$A,$E63)&gt;0,"O",""))</f>
        <v/>
      </c>
      <c r="N63" s="7">
        <f>IF($C63="","",IF(COUNTA('RAW_농산물_7월'!$A:$A)&lt;=1,"",SUMIFS('RAW_농산물_7월'!$H:$H,'RAW_농산물_7월'!$D:$D,$C63,'RAW_농산물_7월'!$A:$A,$E63)))</f>
        <v>0</v>
      </c>
      <c r="O63" s="7">
        <f>IF($C63="","",IF(COUNTA('RAW_농산물_8월'!$A:$A)&lt;=1,"",SUMIFS('RAW_농산물_8월'!$H:$H,'RAW_농산물_8월'!$D:$D,$C63,'RAW_농산물_8월'!$A:$A,$E63)-SUMIFS('RAW_농산물_7월'!$H:$H,'RAW_농산물_7월'!$D:$D,$C63,'RAW_농산물_7월'!$A:$A,$E63)))</f>
        <v>0</v>
      </c>
      <c r="P63" s="7" t="str">
        <f>IF($C63="","",IF(COUNTA('RAW_농산물_9월'!$A:$A)&lt;=1,"",SUMIFS('RAW_농산물_9월'!$H:$H,'RAW_농산물_9월'!$D:$D,$C63,'RAW_농산물_9월'!$A:$A,$E63)-SUMIFS('RAW_농산물_8월'!$H:$H,'RAW_농산물_8월'!$D:$D,$C63,'RAW_농산물_8월'!$A:$A,$E63)))</f>
        <v/>
      </c>
      <c r="Q63" s="7" t="str">
        <f>IF($C63="","",IF(COUNTA('RAW_농산물_10월'!$A:$A)&lt;=1,"",SUMIFS('RAW_농산물_10월'!$H:$H,'RAW_농산물_10월'!$D:$D,$C63,'RAW_농산물_10월'!$A:$A,$E63)-SUMIFS('RAW_농산물_9월'!$H:$H,'RAW_농산물_9월'!$D:$D,$C63,'RAW_농산물_9월'!$A:$A,$E63)))</f>
        <v/>
      </c>
      <c r="R63" s="7" t="str">
        <f>IF($C63="","",IF(COUNTA('RAW_농산물_11-12월'!$A:$A)&lt;=1,"",SUMIFS('RAW_농산물_11-12월'!$H:$H,'RAW_농산물_11-12월'!$D:$D,$C63,'RAW_농산물_11-12월'!$A:$A,$E63)-SUMIFS('RAW_농산물_10월'!$H:$H,'RAW_농산물_10월'!$D:$D,$C63,'RAW_농산물_10월'!$A:$A,$E63)))</f>
        <v/>
      </c>
      <c r="S63" s="17" t="str">
        <f t="shared" si="4"/>
        <v/>
      </c>
      <c r="T63" s="17" t="str">
        <f t="shared" si="5"/>
        <v>미사용</v>
      </c>
      <c r="U63" s="7">
        <f>IF($C63="",0,IF('설정'!$B$3=0,0,CHOOSE('설정'!$B$3,COUNTIFS('RAW_농산물_7월'!$D:$D,$C63,'RAW_농산물_7월'!$A:$A,$E63),COUNTIFS('RAW_농산물_8월'!$D:$D,$C63,'RAW_농산물_8월'!$A:$A,$E63),COUNTIFS('RAW_농산물_9월'!$D:$D,$C63,'RAW_농산물_9월'!$A:$A,$E63),COUNTIFS('RAW_농산물_10월'!$D:$D,$C63,'RAW_농산물_10월'!$A:$A,$E63),COUNTIFS('RAW_농산물_11-12월'!$D:$D,$C63,'RAW_농산물_11-12월'!$A:$A,$E63))))</f>
        <v>0</v>
      </c>
    </row>
    <row r="64" ht="15.75" customHeight="1">
      <c r="A64" s="5">
        <v>62.0</v>
      </c>
      <c r="B64" s="5" t="s">
        <v>108</v>
      </c>
      <c r="C64" s="5" t="s">
        <v>2730</v>
      </c>
      <c r="D64" s="6" t="s">
        <v>2731</v>
      </c>
      <c r="E64" s="5" t="s">
        <v>93</v>
      </c>
      <c r="F64" s="7">
        <f>IF($C64="","",IF('설정'!$B$3=0,"",CHOOSE('설정'!$B$3,SUMIFS('RAW_농산물_7월'!$F:$F,'RAW_농산물_7월'!$D:$D,$C64,'RAW_농산물_7월'!$A:$A,$E64),SUMIFS('RAW_농산물_8월'!$F:$F,'RAW_농산물_8월'!$D:$D,$C64,'RAW_농산물_8월'!$A:$A,$E64),SUMIFS('RAW_농산물_9월'!$F:$F,'RAW_농산물_9월'!$D:$D,$C64,'RAW_농산물_9월'!$A:$A,$E64),SUMIFS('RAW_농산물_10월'!$F:$F,'RAW_농산물_10월'!$D:$D,$C64,'RAW_농산물_10월'!$A:$A,$E64),SUMIFS('RAW_농산물_11-12월'!$F:$F,'RAW_농산물_11-12월'!$D:$D,$C64,'RAW_농산물_11-12월'!$A:$A,$E64))))</f>
        <v>0</v>
      </c>
      <c r="G64" s="7">
        <f>IF($C64="","",IF('설정'!$B$3=0,"",CHOOSE('설정'!$B$3,SUMIFS('RAW_농산물_7월'!$G:$G,'RAW_농산물_7월'!$D:$D,$C64,'RAW_농산물_7월'!$A:$A,$E64),SUMIFS('RAW_농산물_8월'!$G:$G,'RAW_농산물_8월'!$D:$D,$C64,'RAW_농산물_8월'!$A:$A,$E64),SUMIFS('RAW_농산물_9월'!$G:$G,'RAW_농산물_9월'!$D:$D,$C64,'RAW_농산물_9월'!$A:$A,$E64),SUMIFS('RAW_농산물_10월'!$G:$G,'RAW_농산물_10월'!$D:$D,$C64,'RAW_농산물_10월'!$A:$A,$E64),SUMIFS('RAW_농산물_11-12월'!$G:$G,'RAW_농산물_11-12월'!$D:$D,$C64,'RAW_농산물_11-12월'!$A:$A,$E64))))</f>
        <v>0</v>
      </c>
      <c r="H64" s="14">
        <f>IF($C64="","",IF('설정'!$B$3=0,"",CHOOSE('설정'!$B$3,SUMIFS('RAW_농산물_7월'!$H:$H,'RAW_농산물_7월'!$D:$D,$C64,'RAW_농산물_7월'!$A:$A,$E64),SUMIFS('RAW_농산물_8월'!$H:$H,'RAW_농산물_8월'!$D:$D,$C64,'RAW_농산물_8월'!$A:$A,$E64),SUMIFS('RAW_농산물_9월'!$H:$H,'RAW_농산물_9월'!$D:$D,$C64,'RAW_농산물_9월'!$A:$A,$E64),SUMIFS('RAW_농산물_10월'!$H:$H,'RAW_농산물_10월'!$D:$D,$C64,'RAW_농산물_10월'!$A:$A,$E64),SUMIFS('RAW_농산물_11-12월'!$H:$H,'RAW_농산물_11-12월'!$D:$D,$C64,'RAW_농산물_11-12월'!$A:$A,$E64))))</f>
        <v>0</v>
      </c>
      <c r="I64" s="17" t="str">
        <f>IF($C64="","",IF(COUNTIFS('RAW_농산물_7월'!$D:$D,$C64,'RAW_농산물_7월'!$A:$A,$E64)&gt;0,"O",""))</f>
        <v/>
      </c>
      <c r="J64" s="17" t="str">
        <f>IF($C64="","",IF(COUNTIFS('RAW_농산물_8월'!$D:$D,$C64,'RAW_농산물_8월'!$A:$A,$E64)&gt;0,"O",""))</f>
        <v/>
      </c>
      <c r="K64" s="17" t="str">
        <f>IF($C64="","",IF(COUNTIFS('RAW_농산물_9월'!$D:$D,$C64,'RAW_농산물_9월'!$A:$A,$E64)&gt;0,"O",""))</f>
        <v/>
      </c>
      <c r="L64" s="17" t="str">
        <f>IF($C64="","",IF(COUNTIFS('RAW_농산물_10월'!$D:$D,$C64,'RAW_농산물_10월'!$A:$A,$E64)&gt;0,"O",""))</f>
        <v/>
      </c>
      <c r="M64" s="17" t="str">
        <f>IF($C64="","",IF(COUNTIFS('RAW_농산물_11-12월'!$D:$D,$C64,'RAW_농산물_11-12월'!$A:$A,$E64)&gt;0,"O",""))</f>
        <v/>
      </c>
      <c r="N64" s="7">
        <f>IF($C64="","",IF(COUNTA('RAW_농산물_7월'!$A:$A)&lt;=1,"",SUMIFS('RAW_농산물_7월'!$H:$H,'RAW_농산물_7월'!$D:$D,$C64,'RAW_농산물_7월'!$A:$A,$E64)))</f>
        <v>0</v>
      </c>
      <c r="O64" s="7">
        <f>IF($C64="","",IF(COUNTA('RAW_농산물_8월'!$A:$A)&lt;=1,"",SUMIFS('RAW_농산물_8월'!$H:$H,'RAW_농산물_8월'!$D:$D,$C64,'RAW_농산물_8월'!$A:$A,$E64)-SUMIFS('RAW_농산물_7월'!$H:$H,'RAW_농산물_7월'!$D:$D,$C64,'RAW_농산물_7월'!$A:$A,$E64)))</f>
        <v>0</v>
      </c>
      <c r="P64" s="7" t="str">
        <f>IF($C64="","",IF(COUNTA('RAW_농산물_9월'!$A:$A)&lt;=1,"",SUMIFS('RAW_농산물_9월'!$H:$H,'RAW_농산물_9월'!$D:$D,$C64,'RAW_농산물_9월'!$A:$A,$E64)-SUMIFS('RAW_농산물_8월'!$H:$H,'RAW_농산물_8월'!$D:$D,$C64,'RAW_농산물_8월'!$A:$A,$E64)))</f>
        <v/>
      </c>
      <c r="Q64" s="7" t="str">
        <f>IF($C64="","",IF(COUNTA('RAW_농산물_10월'!$A:$A)&lt;=1,"",SUMIFS('RAW_농산물_10월'!$H:$H,'RAW_농산물_10월'!$D:$D,$C64,'RAW_농산물_10월'!$A:$A,$E64)-SUMIFS('RAW_농산물_9월'!$H:$H,'RAW_농산물_9월'!$D:$D,$C64,'RAW_농산물_9월'!$A:$A,$E64)))</f>
        <v/>
      </c>
      <c r="R64" s="7" t="str">
        <f>IF($C64="","",IF(COUNTA('RAW_농산물_11-12월'!$A:$A)&lt;=1,"",SUMIFS('RAW_농산물_11-12월'!$H:$H,'RAW_농산물_11-12월'!$D:$D,$C64,'RAW_농산물_11-12월'!$A:$A,$E64)-SUMIFS('RAW_농산물_10월'!$H:$H,'RAW_농산물_10월'!$D:$D,$C64,'RAW_농산물_10월'!$A:$A,$E64)))</f>
        <v/>
      </c>
      <c r="S64" s="17" t="str">
        <f t="shared" si="4"/>
        <v/>
      </c>
      <c r="T64" s="17" t="str">
        <f t="shared" si="5"/>
        <v>미사용</v>
      </c>
      <c r="U64" s="7">
        <f>IF($C64="",0,IF('설정'!$B$3=0,0,CHOOSE('설정'!$B$3,COUNTIFS('RAW_농산물_7월'!$D:$D,$C64,'RAW_농산물_7월'!$A:$A,$E64),COUNTIFS('RAW_농산물_8월'!$D:$D,$C64,'RAW_농산물_8월'!$A:$A,$E64),COUNTIFS('RAW_농산물_9월'!$D:$D,$C64,'RAW_농산물_9월'!$A:$A,$E64),COUNTIFS('RAW_농산물_10월'!$D:$D,$C64,'RAW_농산물_10월'!$A:$A,$E64),COUNTIFS('RAW_농산물_11-12월'!$D:$D,$C64,'RAW_농산물_11-12월'!$A:$A,$E64))))</f>
        <v>0</v>
      </c>
    </row>
    <row r="65" ht="15.75" customHeight="1">
      <c r="A65" s="5">
        <v>63.0</v>
      </c>
      <c r="B65" s="5" t="s">
        <v>25</v>
      </c>
      <c r="C65" s="5" t="s">
        <v>332</v>
      </c>
      <c r="D65" s="6" t="s">
        <v>331</v>
      </c>
      <c r="E65" s="5" t="s">
        <v>92</v>
      </c>
      <c r="F65" s="7">
        <f>IF($C65="","",IF('설정'!$B$3=0,"",CHOOSE('설정'!$B$3,SUMIFS('RAW_농산물_7월'!$F:$F,'RAW_농산물_7월'!$D:$D,$C65,'RAW_농산물_7월'!$A:$A,$E65),SUMIFS('RAW_농산물_8월'!$F:$F,'RAW_농산물_8월'!$D:$D,$C65,'RAW_농산물_8월'!$A:$A,$E65),SUMIFS('RAW_농산물_9월'!$F:$F,'RAW_농산물_9월'!$D:$D,$C65,'RAW_농산물_9월'!$A:$A,$E65),SUMIFS('RAW_농산물_10월'!$F:$F,'RAW_농산물_10월'!$D:$D,$C65,'RAW_농산물_10월'!$A:$A,$E65),SUMIFS('RAW_농산물_11-12월'!$F:$F,'RAW_농산물_11-12월'!$D:$D,$C65,'RAW_농산물_11-12월'!$A:$A,$E65))))</f>
        <v>862</v>
      </c>
      <c r="G65" s="7">
        <f>IF($C65="","",IF('설정'!$B$3=0,"",CHOOSE('설정'!$B$3,SUMIFS('RAW_농산물_7월'!$G:$G,'RAW_농산물_7월'!$D:$D,$C65,'RAW_농산물_7월'!$A:$A,$E65),SUMIFS('RAW_농산물_8월'!$G:$G,'RAW_농산물_8월'!$D:$D,$C65,'RAW_농산물_8월'!$A:$A,$E65),SUMIFS('RAW_농산물_9월'!$G:$G,'RAW_농산물_9월'!$D:$D,$C65,'RAW_농산물_9월'!$A:$A,$E65),SUMIFS('RAW_농산물_10월'!$G:$G,'RAW_농산물_10월'!$D:$D,$C65,'RAW_농산물_10월'!$A:$A,$E65),SUMIFS('RAW_농산물_11-12월'!$G:$G,'RAW_농산물_11-12월'!$D:$D,$C65,'RAW_농산물_11-12월'!$A:$A,$E65))))</f>
        <v>20156300</v>
      </c>
      <c r="H65" s="14">
        <f>IF($C65="","",IF('설정'!$B$3=0,"",CHOOSE('설정'!$B$3,SUMIFS('RAW_농산물_7월'!$H:$H,'RAW_농산물_7월'!$D:$D,$C65,'RAW_농산물_7월'!$A:$A,$E65),SUMIFS('RAW_농산물_8월'!$H:$H,'RAW_농산물_8월'!$D:$D,$C65,'RAW_농산물_8월'!$A:$A,$E65),SUMIFS('RAW_농산물_9월'!$H:$H,'RAW_농산물_9월'!$D:$D,$C65,'RAW_농산물_9월'!$A:$A,$E65),SUMIFS('RAW_농산물_10월'!$H:$H,'RAW_농산물_10월'!$D:$D,$C65,'RAW_농산물_10월'!$A:$A,$E65),SUMIFS('RAW_농산물_11-12월'!$H:$H,'RAW_농산물_11-12월'!$D:$D,$C65,'RAW_농산물_11-12월'!$A:$A,$E65))))</f>
        <v>1826220</v>
      </c>
      <c r="I65" s="17" t="str">
        <f>IF($C65="","",IF(COUNTIFS('RAW_농산물_7월'!$D:$D,$C65,'RAW_농산물_7월'!$A:$A,$E65)&gt;0,"O",""))</f>
        <v>O</v>
      </c>
      <c r="J65" s="17" t="str">
        <f>IF($C65="","",IF(COUNTIFS('RAW_농산물_8월'!$D:$D,$C65,'RAW_농산물_8월'!$A:$A,$E65)&gt;0,"O",""))</f>
        <v>O</v>
      </c>
      <c r="K65" s="17" t="str">
        <f>IF($C65="","",IF(COUNTIFS('RAW_농산물_9월'!$D:$D,$C65,'RAW_농산물_9월'!$A:$A,$E65)&gt;0,"O",""))</f>
        <v/>
      </c>
      <c r="L65" s="17" t="str">
        <f>IF($C65="","",IF(COUNTIFS('RAW_농산물_10월'!$D:$D,$C65,'RAW_농산물_10월'!$A:$A,$E65)&gt;0,"O",""))</f>
        <v/>
      </c>
      <c r="M65" s="17" t="str">
        <f>IF($C65="","",IF(COUNTIFS('RAW_농산물_11-12월'!$D:$D,$C65,'RAW_농산물_11-12월'!$A:$A,$E65)&gt;0,"O",""))</f>
        <v/>
      </c>
      <c r="N65" s="7">
        <f>IF($C65="","",IF(COUNTA('RAW_농산물_7월'!$A:$A)&lt;=1,"",SUMIFS('RAW_농산물_7월'!$H:$H,'RAW_농산물_7월'!$D:$D,$C65,'RAW_농산물_7월'!$A:$A,$E65)))</f>
        <v>765990</v>
      </c>
      <c r="O65" s="7">
        <f>IF($C65="","",IF(COUNTA('RAW_농산물_8월'!$A:$A)&lt;=1,"",SUMIFS('RAW_농산물_8월'!$H:$H,'RAW_농산물_8월'!$D:$D,$C65,'RAW_농산물_8월'!$A:$A,$E65)-SUMIFS('RAW_농산물_7월'!$H:$H,'RAW_농산물_7월'!$D:$D,$C65,'RAW_농산물_7월'!$A:$A,$E65)))</f>
        <v>1060230</v>
      </c>
      <c r="P65" s="7" t="str">
        <f>IF($C65="","",IF(COUNTA('RAW_농산물_9월'!$A:$A)&lt;=1,"",SUMIFS('RAW_농산물_9월'!$H:$H,'RAW_농산물_9월'!$D:$D,$C65,'RAW_농산물_9월'!$A:$A,$E65)-SUMIFS('RAW_농산물_8월'!$H:$H,'RAW_농산물_8월'!$D:$D,$C65,'RAW_농산물_8월'!$A:$A,$E65)))</f>
        <v/>
      </c>
      <c r="Q65" s="7" t="str">
        <f>IF($C65="","",IF(COUNTA('RAW_농산물_10월'!$A:$A)&lt;=1,"",SUMIFS('RAW_농산물_10월'!$H:$H,'RAW_농산물_10월'!$D:$D,$C65,'RAW_농산물_10월'!$A:$A,$E65)-SUMIFS('RAW_농산물_9월'!$H:$H,'RAW_농산물_9월'!$D:$D,$C65,'RAW_농산물_9월'!$A:$A,$E65)))</f>
        <v/>
      </c>
      <c r="R65" s="7" t="str">
        <f>IF($C65="","",IF(COUNTA('RAW_농산물_11-12월'!$A:$A)&lt;=1,"",SUMIFS('RAW_농산물_11-12월'!$H:$H,'RAW_농산물_11-12월'!$D:$D,$C65,'RAW_농산물_11-12월'!$A:$A,$E65)-SUMIFS('RAW_농산물_10월'!$H:$H,'RAW_농산물_10월'!$D:$D,$C65,'RAW_농산물_10월'!$A:$A,$E65)))</f>
        <v/>
      </c>
      <c r="S65" s="17" t="str">
        <f t="shared" si="4"/>
        <v>O</v>
      </c>
      <c r="T65" s="17" t="str">
        <f t="shared" si="5"/>
        <v>200만원 미만</v>
      </c>
      <c r="U65" s="7">
        <f>IF($C65="",0,IF('설정'!$B$3=0,0,CHOOSE('설정'!$B$3,COUNTIFS('RAW_농산물_7월'!$D:$D,$C65,'RAW_농산물_7월'!$A:$A,$E65),COUNTIFS('RAW_농산물_8월'!$D:$D,$C65,'RAW_농산물_8월'!$A:$A,$E65),COUNTIFS('RAW_농산물_9월'!$D:$D,$C65,'RAW_농산물_9월'!$A:$A,$E65),COUNTIFS('RAW_농산물_10월'!$D:$D,$C65,'RAW_농산물_10월'!$A:$A,$E65),COUNTIFS('RAW_농산물_11-12월'!$D:$D,$C65,'RAW_농산물_11-12월'!$A:$A,$E65))))</f>
        <v>3</v>
      </c>
    </row>
    <row r="66" ht="15.75" customHeight="1">
      <c r="A66" s="5">
        <v>64.0</v>
      </c>
      <c r="B66" s="5" t="s">
        <v>25</v>
      </c>
      <c r="C66" s="5" t="s">
        <v>1636</v>
      </c>
      <c r="D66" s="6" t="s">
        <v>1635</v>
      </c>
      <c r="E66" s="5" t="s">
        <v>93</v>
      </c>
      <c r="F66" s="7">
        <f>IF($C66="","",IF('설정'!$B$3=0,"",CHOOSE('설정'!$B$3,SUMIFS('RAW_농산물_7월'!$F:$F,'RAW_농산물_7월'!$D:$D,$C66,'RAW_농산물_7월'!$A:$A,$E66),SUMIFS('RAW_농산물_8월'!$F:$F,'RAW_농산물_8월'!$D:$D,$C66,'RAW_농산물_8월'!$A:$A,$E66),SUMIFS('RAW_농산물_9월'!$F:$F,'RAW_농산물_9월'!$D:$D,$C66,'RAW_농산물_9월'!$A:$A,$E66),SUMIFS('RAW_농산물_10월'!$F:$F,'RAW_농산물_10월'!$D:$D,$C66,'RAW_농산물_10월'!$A:$A,$E66),SUMIFS('RAW_농산물_11-12월'!$F:$F,'RAW_농산물_11-12월'!$D:$D,$C66,'RAW_농산물_11-12월'!$A:$A,$E66))))</f>
        <v>629</v>
      </c>
      <c r="G66" s="7">
        <f>IF($C66="","",IF('설정'!$B$3=0,"",CHOOSE('설정'!$B$3,SUMIFS('RAW_농산물_7월'!$G:$G,'RAW_농산물_7월'!$D:$D,$C66,'RAW_농산물_7월'!$A:$A,$E66),SUMIFS('RAW_농산물_8월'!$G:$G,'RAW_농산물_8월'!$D:$D,$C66,'RAW_농산물_8월'!$A:$A,$E66),SUMIFS('RAW_농산물_9월'!$G:$G,'RAW_농산물_9월'!$D:$D,$C66,'RAW_농산물_9월'!$A:$A,$E66),SUMIFS('RAW_농산물_10월'!$G:$G,'RAW_농산물_10월'!$D:$D,$C66,'RAW_농산물_10월'!$A:$A,$E66),SUMIFS('RAW_농산물_11-12월'!$G:$G,'RAW_농산물_11-12월'!$D:$D,$C66,'RAW_농산물_11-12월'!$A:$A,$E66))))</f>
        <v>8654300</v>
      </c>
      <c r="H66" s="14">
        <f>IF($C66="","",IF('설정'!$B$3=0,"",CHOOSE('설정'!$B$3,SUMIFS('RAW_농산물_7월'!$H:$H,'RAW_농산물_7월'!$D:$D,$C66,'RAW_농산물_7월'!$A:$A,$E66),SUMIFS('RAW_농산물_8월'!$H:$H,'RAW_농산물_8월'!$D:$D,$C66,'RAW_농산물_8월'!$A:$A,$E66),SUMIFS('RAW_농산물_9월'!$H:$H,'RAW_농산물_9월'!$D:$D,$C66,'RAW_농산물_9월'!$A:$A,$E66),SUMIFS('RAW_농산물_10월'!$H:$H,'RAW_농산물_10월'!$D:$D,$C66,'RAW_농산물_10월'!$A:$A,$E66),SUMIFS('RAW_농산물_11-12월'!$H:$H,'RAW_농산물_11-12월'!$D:$D,$C66,'RAW_농산물_11-12월'!$A:$A,$E66))))</f>
        <v>838840</v>
      </c>
      <c r="I66" s="17" t="str">
        <f>IF($C66="","",IF(COUNTIFS('RAW_농산물_7월'!$D:$D,$C66,'RAW_농산물_7월'!$A:$A,$E66)&gt;0,"O",""))</f>
        <v>O</v>
      </c>
      <c r="J66" s="17" t="str">
        <f>IF($C66="","",IF(COUNTIFS('RAW_농산물_8월'!$D:$D,$C66,'RAW_농산물_8월'!$A:$A,$E66)&gt;0,"O",""))</f>
        <v>O</v>
      </c>
      <c r="K66" s="17" t="str">
        <f>IF($C66="","",IF(COUNTIFS('RAW_농산물_9월'!$D:$D,$C66,'RAW_농산물_9월'!$A:$A,$E66)&gt;0,"O",""))</f>
        <v/>
      </c>
      <c r="L66" s="17" t="str">
        <f>IF($C66="","",IF(COUNTIFS('RAW_농산물_10월'!$D:$D,$C66,'RAW_농산물_10월'!$A:$A,$E66)&gt;0,"O",""))</f>
        <v/>
      </c>
      <c r="M66" s="17" t="str">
        <f>IF($C66="","",IF(COUNTIFS('RAW_농산물_11-12월'!$D:$D,$C66,'RAW_농산물_11-12월'!$A:$A,$E66)&gt;0,"O",""))</f>
        <v/>
      </c>
      <c r="N66" s="7">
        <f>IF($C66="","",IF(COUNTA('RAW_농산물_7월'!$A:$A)&lt;=1,"",SUMIFS('RAW_농산물_7월'!$H:$H,'RAW_농산물_7월'!$D:$D,$C66,'RAW_농산물_7월'!$A:$A,$E66)))</f>
        <v>0</v>
      </c>
      <c r="O66" s="7">
        <f>IF($C66="","",IF(COUNTA('RAW_농산물_8월'!$A:$A)&lt;=1,"",SUMIFS('RAW_농산물_8월'!$H:$H,'RAW_농산물_8월'!$D:$D,$C66,'RAW_농산물_8월'!$A:$A,$E66)-SUMIFS('RAW_농산물_7월'!$H:$H,'RAW_농산물_7월'!$D:$D,$C66,'RAW_농산물_7월'!$A:$A,$E66)))</f>
        <v>838840</v>
      </c>
      <c r="P66" s="7" t="str">
        <f>IF($C66="","",IF(COUNTA('RAW_농산물_9월'!$A:$A)&lt;=1,"",SUMIFS('RAW_농산물_9월'!$H:$H,'RAW_농산물_9월'!$D:$D,$C66,'RAW_농산물_9월'!$A:$A,$E66)-SUMIFS('RAW_농산물_8월'!$H:$H,'RAW_농산물_8월'!$D:$D,$C66,'RAW_농산물_8월'!$A:$A,$E66)))</f>
        <v/>
      </c>
      <c r="Q66" s="7" t="str">
        <f>IF($C66="","",IF(COUNTA('RAW_농산물_10월'!$A:$A)&lt;=1,"",SUMIFS('RAW_농산물_10월'!$H:$H,'RAW_농산물_10월'!$D:$D,$C66,'RAW_농산물_10월'!$A:$A,$E66)-SUMIFS('RAW_농산물_9월'!$H:$H,'RAW_농산물_9월'!$D:$D,$C66,'RAW_농산물_9월'!$A:$A,$E66)))</f>
        <v/>
      </c>
      <c r="R66" s="7" t="str">
        <f>IF($C66="","",IF(COUNTA('RAW_농산물_11-12월'!$A:$A)&lt;=1,"",SUMIFS('RAW_농산물_11-12월'!$H:$H,'RAW_농산물_11-12월'!$D:$D,$C66,'RAW_농산물_11-12월'!$A:$A,$E66)-SUMIFS('RAW_농산물_10월'!$H:$H,'RAW_농산물_10월'!$D:$D,$C66,'RAW_농산물_10월'!$A:$A,$E66)))</f>
        <v/>
      </c>
      <c r="S66" s="17" t="str">
        <f t="shared" si="4"/>
        <v>O</v>
      </c>
      <c r="T66" s="17" t="str">
        <f t="shared" si="5"/>
        <v>100만원 미만</v>
      </c>
      <c r="U66" s="7">
        <f>IF($C66="",0,IF('설정'!$B$3=0,0,CHOOSE('설정'!$B$3,COUNTIFS('RAW_농산물_7월'!$D:$D,$C66,'RAW_농산물_7월'!$A:$A,$E66),COUNTIFS('RAW_농산물_8월'!$D:$D,$C66,'RAW_농산물_8월'!$A:$A,$E66),COUNTIFS('RAW_농산물_9월'!$D:$D,$C66,'RAW_농산물_9월'!$A:$A,$E66),COUNTIFS('RAW_농산물_10월'!$D:$D,$C66,'RAW_농산물_10월'!$A:$A,$E66),COUNTIFS('RAW_농산물_11-12월'!$D:$D,$C66,'RAW_농산물_11-12월'!$A:$A,$E66))))</f>
        <v>1</v>
      </c>
    </row>
    <row r="67" ht="15.75" customHeight="1">
      <c r="A67" s="5">
        <v>65.0</v>
      </c>
      <c r="B67" s="5" t="s">
        <v>25</v>
      </c>
      <c r="C67" s="5" t="s">
        <v>1031</v>
      </c>
      <c r="D67" s="6" t="s">
        <v>1030</v>
      </c>
      <c r="E67" s="5" t="s">
        <v>28</v>
      </c>
      <c r="F67" s="7">
        <f>IF($C67="","",IF('설정'!$B$3=0,"",CHOOSE('설정'!$B$3,SUMIFS('RAW_농산물_7월'!$F:$F,'RAW_농산물_7월'!$D:$D,$C67,'RAW_농산물_7월'!$A:$A,$E67),SUMIFS('RAW_농산물_8월'!$F:$F,'RAW_농산물_8월'!$D:$D,$C67,'RAW_농산물_8월'!$A:$A,$E67),SUMIFS('RAW_농산물_9월'!$F:$F,'RAW_농산물_9월'!$D:$D,$C67,'RAW_농산물_9월'!$A:$A,$E67),SUMIFS('RAW_농산물_10월'!$F:$F,'RAW_농산물_10월'!$D:$D,$C67,'RAW_농산물_10월'!$A:$A,$E67),SUMIFS('RAW_농산물_11-12월'!$F:$F,'RAW_농산물_11-12월'!$D:$D,$C67,'RAW_농산물_11-12월'!$A:$A,$E67))))</f>
        <v>19</v>
      </c>
      <c r="G67" s="7">
        <f>IF($C67="","",IF('설정'!$B$3=0,"",CHOOSE('설정'!$B$3,SUMIFS('RAW_농산물_7월'!$G:$G,'RAW_농산물_7월'!$D:$D,$C67,'RAW_농산물_7월'!$A:$A,$E67),SUMIFS('RAW_농산물_8월'!$G:$G,'RAW_농산물_8월'!$D:$D,$C67,'RAW_농산물_8월'!$A:$A,$E67),SUMIFS('RAW_농산물_9월'!$G:$G,'RAW_농산물_9월'!$D:$D,$C67,'RAW_농산물_9월'!$A:$A,$E67),SUMIFS('RAW_농산물_10월'!$G:$G,'RAW_농산물_10월'!$D:$D,$C67,'RAW_농산물_10월'!$A:$A,$E67),SUMIFS('RAW_농산물_11-12월'!$G:$G,'RAW_농산물_11-12월'!$D:$D,$C67,'RAW_농산물_11-12월'!$A:$A,$E67))))</f>
        <v>254600</v>
      </c>
      <c r="H67" s="14">
        <f>IF($C67="","",IF('설정'!$B$3=0,"",CHOOSE('설정'!$B$3,SUMIFS('RAW_농산물_7월'!$H:$H,'RAW_농산물_7월'!$D:$D,$C67,'RAW_농산물_7월'!$A:$A,$E67),SUMIFS('RAW_농산물_8월'!$H:$H,'RAW_농산물_8월'!$D:$D,$C67,'RAW_농산물_8월'!$A:$A,$E67),SUMIFS('RAW_농산물_9월'!$H:$H,'RAW_농산물_9월'!$D:$D,$C67,'RAW_농산물_9월'!$A:$A,$E67),SUMIFS('RAW_농산물_10월'!$H:$H,'RAW_농산물_10월'!$D:$D,$C67,'RAW_농산물_10월'!$A:$A,$E67),SUMIFS('RAW_농산물_11-12월'!$H:$H,'RAW_농산물_11-12월'!$D:$D,$C67,'RAW_농산물_11-12월'!$A:$A,$E67))))</f>
        <v>47820</v>
      </c>
      <c r="I67" s="17" t="str">
        <f>IF($C67="","",IF(COUNTIFS('RAW_농산물_7월'!$D:$D,$C67,'RAW_농산물_7월'!$A:$A,$E67)&gt;0,"O",""))</f>
        <v>O</v>
      </c>
      <c r="J67" s="17" t="str">
        <f>IF($C67="","",IF(COUNTIFS('RAW_농산물_8월'!$D:$D,$C67,'RAW_농산물_8월'!$A:$A,$E67)&gt;0,"O",""))</f>
        <v>O</v>
      </c>
      <c r="K67" s="17" t="str">
        <f>IF($C67="","",IF(COUNTIFS('RAW_농산물_9월'!$D:$D,$C67,'RAW_농산물_9월'!$A:$A,$E67)&gt;0,"O",""))</f>
        <v/>
      </c>
      <c r="L67" s="17" t="str">
        <f>IF($C67="","",IF(COUNTIFS('RAW_농산물_10월'!$D:$D,$C67,'RAW_농산물_10월'!$A:$A,$E67)&gt;0,"O",""))</f>
        <v/>
      </c>
      <c r="M67" s="17" t="str">
        <f>IF($C67="","",IF(COUNTIFS('RAW_농산물_11-12월'!$D:$D,$C67,'RAW_농산물_11-12월'!$A:$A,$E67)&gt;0,"O",""))</f>
        <v/>
      </c>
      <c r="N67" s="7">
        <f>IF($C67="","",IF(COUNTA('RAW_농산물_7월'!$A:$A)&lt;=1,"",SUMIFS('RAW_농산물_7월'!$H:$H,'RAW_농산물_7월'!$D:$D,$C67,'RAW_농산물_7월'!$A:$A,$E67)))</f>
        <v>20150</v>
      </c>
      <c r="O67" s="7">
        <f>IF($C67="","",IF(COUNTA('RAW_농산물_8월'!$A:$A)&lt;=1,"",SUMIFS('RAW_농산물_8월'!$H:$H,'RAW_농산물_8월'!$D:$D,$C67,'RAW_농산물_8월'!$A:$A,$E67)-SUMIFS('RAW_농산물_7월'!$H:$H,'RAW_농산물_7월'!$D:$D,$C67,'RAW_농산물_7월'!$A:$A,$E67)))</f>
        <v>27670</v>
      </c>
      <c r="P67" s="7" t="str">
        <f>IF($C67="","",IF(COUNTA('RAW_농산물_9월'!$A:$A)&lt;=1,"",SUMIFS('RAW_농산물_9월'!$H:$H,'RAW_농산물_9월'!$D:$D,$C67,'RAW_농산물_9월'!$A:$A,$E67)-SUMIFS('RAW_농산물_8월'!$H:$H,'RAW_농산물_8월'!$D:$D,$C67,'RAW_농산물_8월'!$A:$A,$E67)))</f>
        <v/>
      </c>
      <c r="Q67" s="7" t="str">
        <f>IF($C67="","",IF(COUNTA('RAW_농산물_10월'!$A:$A)&lt;=1,"",SUMIFS('RAW_농산물_10월'!$H:$H,'RAW_농산물_10월'!$D:$D,$C67,'RAW_농산물_10월'!$A:$A,$E67)-SUMIFS('RAW_농산물_9월'!$H:$H,'RAW_농산물_9월'!$D:$D,$C67,'RAW_농산물_9월'!$A:$A,$E67)))</f>
        <v/>
      </c>
      <c r="R67" s="7" t="str">
        <f>IF($C67="","",IF(COUNTA('RAW_농산물_11-12월'!$A:$A)&lt;=1,"",SUMIFS('RAW_농산물_11-12월'!$H:$H,'RAW_농산물_11-12월'!$D:$D,$C67,'RAW_농산물_11-12월'!$A:$A,$E67)-SUMIFS('RAW_농산물_10월'!$H:$H,'RAW_농산물_10월'!$D:$D,$C67,'RAW_농산물_10월'!$A:$A,$E67)))</f>
        <v/>
      </c>
      <c r="S67" s="17" t="str">
        <f t="shared" si="4"/>
        <v>O</v>
      </c>
      <c r="T67" s="17" t="str">
        <f t="shared" si="5"/>
        <v>50만원 미만</v>
      </c>
      <c r="U67" s="7">
        <f>IF($C67="",0,IF('설정'!$B$3=0,0,CHOOSE('설정'!$B$3,COUNTIFS('RAW_농산물_7월'!$D:$D,$C67,'RAW_농산물_7월'!$A:$A,$E67),COUNTIFS('RAW_농산물_8월'!$D:$D,$C67,'RAW_농산물_8월'!$A:$A,$E67),COUNTIFS('RAW_농산물_9월'!$D:$D,$C67,'RAW_농산물_9월'!$A:$A,$E67),COUNTIFS('RAW_농산물_10월'!$D:$D,$C67,'RAW_농산물_10월'!$A:$A,$E67),COUNTIFS('RAW_농산물_11-12월'!$D:$D,$C67,'RAW_농산물_11-12월'!$A:$A,$E67))))</f>
        <v>1</v>
      </c>
    </row>
    <row r="68" ht="15.75" customHeight="1">
      <c r="A68" s="5">
        <v>66.0</v>
      </c>
      <c r="B68" s="5" t="s">
        <v>145</v>
      </c>
      <c r="C68" s="5" t="s">
        <v>2918</v>
      </c>
      <c r="D68" s="6" t="s">
        <v>2919</v>
      </c>
      <c r="E68" s="5" t="s">
        <v>92</v>
      </c>
      <c r="F68" s="7">
        <f>IF($C68="","",IF('설정'!$B$3=0,"",CHOOSE('설정'!$B$3,SUMIFS('RAW_농산물_7월'!$F:$F,'RAW_농산물_7월'!$D:$D,$C68,'RAW_농산물_7월'!$A:$A,$E68),SUMIFS('RAW_농산물_8월'!$F:$F,'RAW_농산물_8월'!$D:$D,$C68,'RAW_농산물_8월'!$A:$A,$E68),SUMIFS('RAW_농산물_9월'!$F:$F,'RAW_농산물_9월'!$D:$D,$C68,'RAW_농산물_9월'!$A:$A,$E68),SUMIFS('RAW_농산물_10월'!$F:$F,'RAW_농산물_10월'!$D:$D,$C68,'RAW_농산물_10월'!$A:$A,$E68),SUMIFS('RAW_농산물_11-12월'!$F:$F,'RAW_농산물_11-12월'!$D:$D,$C68,'RAW_농산물_11-12월'!$A:$A,$E68))))</f>
        <v>0</v>
      </c>
      <c r="G68" s="7">
        <f>IF($C68="","",IF('설정'!$B$3=0,"",CHOOSE('설정'!$B$3,SUMIFS('RAW_농산물_7월'!$G:$G,'RAW_농산물_7월'!$D:$D,$C68,'RAW_농산물_7월'!$A:$A,$E68),SUMIFS('RAW_농산물_8월'!$G:$G,'RAW_농산물_8월'!$D:$D,$C68,'RAW_농산물_8월'!$A:$A,$E68),SUMIFS('RAW_농산물_9월'!$G:$G,'RAW_농산물_9월'!$D:$D,$C68,'RAW_농산물_9월'!$A:$A,$E68),SUMIFS('RAW_농산물_10월'!$G:$G,'RAW_농산물_10월'!$D:$D,$C68,'RAW_농산물_10월'!$A:$A,$E68),SUMIFS('RAW_농산물_11-12월'!$G:$G,'RAW_농산물_11-12월'!$D:$D,$C68,'RAW_농산물_11-12월'!$A:$A,$E68))))</f>
        <v>0</v>
      </c>
      <c r="H68" s="14">
        <f>IF($C68="","",IF('설정'!$B$3=0,"",CHOOSE('설정'!$B$3,SUMIFS('RAW_농산물_7월'!$H:$H,'RAW_농산물_7월'!$D:$D,$C68,'RAW_농산물_7월'!$A:$A,$E68),SUMIFS('RAW_농산물_8월'!$H:$H,'RAW_농산물_8월'!$D:$D,$C68,'RAW_농산물_8월'!$A:$A,$E68),SUMIFS('RAW_농산물_9월'!$H:$H,'RAW_농산물_9월'!$D:$D,$C68,'RAW_농산물_9월'!$A:$A,$E68),SUMIFS('RAW_농산물_10월'!$H:$H,'RAW_농산물_10월'!$D:$D,$C68,'RAW_농산물_10월'!$A:$A,$E68),SUMIFS('RAW_농산물_11-12월'!$H:$H,'RAW_농산물_11-12월'!$D:$D,$C68,'RAW_농산물_11-12월'!$A:$A,$E68))))</f>
        <v>0</v>
      </c>
      <c r="I68" s="17" t="str">
        <f>IF($C68="","",IF(COUNTIFS('RAW_농산물_7월'!$D:$D,$C68,'RAW_농산물_7월'!$A:$A,$E68)&gt;0,"O",""))</f>
        <v/>
      </c>
      <c r="J68" s="17" t="str">
        <f>IF($C68="","",IF(COUNTIFS('RAW_농산물_8월'!$D:$D,$C68,'RAW_농산물_8월'!$A:$A,$E68)&gt;0,"O",""))</f>
        <v/>
      </c>
      <c r="K68" s="17" t="str">
        <f>IF($C68="","",IF(COUNTIFS('RAW_농산물_9월'!$D:$D,$C68,'RAW_농산물_9월'!$A:$A,$E68)&gt;0,"O",""))</f>
        <v/>
      </c>
      <c r="L68" s="17" t="str">
        <f>IF($C68="","",IF(COUNTIFS('RAW_농산물_10월'!$D:$D,$C68,'RAW_농산물_10월'!$A:$A,$E68)&gt;0,"O",""))</f>
        <v/>
      </c>
      <c r="M68" s="17" t="str">
        <f>IF($C68="","",IF(COUNTIFS('RAW_농산물_11-12월'!$D:$D,$C68,'RAW_농산물_11-12월'!$A:$A,$E68)&gt;0,"O",""))</f>
        <v/>
      </c>
      <c r="N68" s="7">
        <f>IF($C68="","",IF(COUNTA('RAW_농산물_7월'!$A:$A)&lt;=1,"",SUMIFS('RAW_농산물_7월'!$H:$H,'RAW_농산물_7월'!$D:$D,$C68,'RAW_농산물_7월'!$A:$A,$E68)))</f>
        <v>0</v>
      </c>
      <c r="O68" s="7">
        <f>IF($C68="","",IF(COUNTA('RAW_농산물_8월'!$A:$A)&lt;=1,"",SUMIFS('RAW_농산물_8월'!$H:$H,'RAW_농산물_8월'!$D:$D,$C68,'RAW_농산물_8월'!$A:$A,$E68)-SUMIFS('RAW_농산물_7월'!$H:$H,'RAW_농산물_7월'!$D:$D,$C68,'RAW_농산물_7월'!$A:$A,$E68)))</f>
        <v>0</v>
      </c>
      <c r="P68" s="7" t="str">
        <f>IF($C68="","",IF(COUNTA('RAW_농산물_9월'!$A:$A)&lt;=1,"",SUMIFS('RAW_농산물_9월'!$H:$H,'RAW_농산물_9월'!$D:$D,$C68,'RAW_농산물_9월'!$A:$A,$E68)-SUMIFS('RAW_농산물_8월'!$H:$H,'RAW_농산물_8월'!$D:$D,$C68,'RAW_농산물_8월'!$A:$A,$E68)))</f>
        <v/>
      </c>
      <c r="Q68" s="7" t="str">
        <f>IF($C68="","",IF(COUNTA('RAW_농산물_10월'!$A:$A)&lt;=1,"",SUMIFS('RAW_농산물_10월'!$H:$H,'RAW_농산물_10월'!$D:$D,$C68,'RAW_농산물_10월'!$A:$A,$E68)-SUMIFS('RAW_농산물_9월'!$H:$H,'RAW_농산물_9월'!$D:$D,$C68,'RAW_농산물_9월'!$A:$A,$E68)))</f>
        <v/>
      </c>
      <c r="R68" s="7" t="str">
        <f>IF($C68="","",IF(COUNTA('RAW_농산물_11-12월'!$A:$A)&lt;=1,"",SUMIFS('RAW_농산물_11-12월'!$H:$H,'RAW_농산물_11-12월'!$D:$D,$C68,'RAW_농산물_11-12월'!$A:$A,$E68)-SUMIFS('RAW_농산물_10월'!$H:$H,'RAW_농산물_10월'!$D:$D,$C68,'RAW_농산물_10월'!$A:$A,$E68)))</f>
        <v/>
      </c>
      <c r="S68" s="17" t="str">
        <f t="shared" si="4"/>
        <v/>
      </c>
      <c r="T68" s="17" t="str">
        <f t="shared" si="5"/>
        <v>미사용</v>
      </c>
      <c r="U68" s="7">
        <f>IF($C68="",0,IF('설정'!$B$3=0,0,CHOOSE('설정'!$B$3,COUNTIFS('RAW_농산물_7월'!$D:$D,$C68,'RAW_농산물_7월'!$A:$A,$E68),COUNTIFS('RAW_농산물_8월'!$D:$D,$C68,'RAW_농산물_8월'!$A:$A,$E68),COUNTIFS('RAW_농산물_9월'!$D:$D,$C68,'RAW_농산물_9월'!$A:$A,$E68),COUNTIFS('RAW_농산물_10월'!$D:$D,$C68,'RAW_농산물_10월'!$A:$A,$E68),COUNTIFS('RAW_농산물_11-12월'!$D:$D,$C68,'RAW_농산물_11-12월'!$A:$A,$E68))))</f>
        <v>0</v>
      </c>
    </row>
    <row r="69" ht="15.75" customHeight="1">
      <c r="A69" s="5">
        <v>67.0</v>
      </c>
      <c r="B69" s="5" t="s">
        <v>25</v>
      </c>
      <c r="C69" s="5" t="s">
        <v>1326</v>
      </c>
      <c r="D69" s="6" t="s">
        <v>2920</v>
      </c>
      <c r="E69" s="5" t="s">
        <v>93</v>
      </c>
      <c r="F69" s="7">
        <f>IF($C69="","",IF('설정'!$B$3=0,"",CHOOSE('설정'!$B$3,SUMIFS('RAW_농산물_7월'!$F:$F,'RAW_농산물_7월'!$D:$D,$C69,'RAW_농산물_7월'!$A:$A,$E69),SUMIFS('RAW_농산물_8월'!$F:$F,'RAW_농산물_8월'!$D:$D,$C69,'RAW_농산물_8월'!$A:$A,$E69),SUMIFS('RAW_농산물_9월'!$F:$F,'RAW_농산물_9월'!$D:$D,$C69,'RAW_농산물_9월'!$A:$A,$E69),SUMIFS('RAW_농산물_10월'!$F:$F,'RAW_농산물_10월'!$D:$D,$C69,'RAW_농산물_10월'!$A:$A,$E69),SUMIFS('RAW_농산물_11-12월'!$F:$F,'RAW_농산물_11-12월'!$D:$D,$C69,'RAW_농산물_11-12월'!$A:$A,$E69))))</f>
        <v>58</v>
      </c>
      <c r="G69" s="7">
        <f>IF($C69="","",IF('설정'!$B$3=0,"",CHOOSE('설정'!$B$3,SUMIFS('RAW_농산물_7월'!$G:$G,'RAW_농산물_7월'!$D:$D,$C69,'RAW_농산물_7월'!$A:$A,$E69),SUMIFS('RAW_농산물_8월'!$G:$G,'RAW_농산물_8월'!$D:$D,$C69,'RAW_농산물_8월'!$A:$A,$E69),SUMIFS('RAW_농산물_9월'!$G:$G,'RAW_농산물_9월'!$D:$D,$C69,'RAW_농산물_9월'!$A:$A,$E69),SUMIFS('RAW_농산물_10월'!$G:$G,'RAW_농산물_10월'!$D:$D,$C69,'RAW_농산물_10월'!$A:$A,$E69),SUMIFS('RAW_농산물_11-12월'!$G:$G,'RAW_농산물_11-12월'!$D:$D,$C69,'RAW_농산물_11-12월'!$A:$A,$E69))))</f>
        <v>1101900</v>
      </c>
      <c r="H69" s="14">
        <f>IF($C69="","",IF('설정'!$B$3=0,"",CHOOSE('설정'!$B$3,SUMIFS('RAW_농산물_7월'!$H:$H,'RAW_농산물_7월'!$D:$D,$C69,'RAW_농산물_7월'!$A:$A,$E69),SUMIFS('RAW_농산물_8월'!$H:$H,'RAW_농산물_8월'!$D:$D,$C69,'RAW_농산물_8월'!$A:$A,$E69),SUMIFS('RAW_농산물_9월'!$H:$H,'RAW_농산물_9월'!$D:$D,$C69,'RAW_농산물_9월'!$A:$A,$E69),SUMIFS('RAW_농산물_10월'!$H:$H,'RAW_농산물_10월'!$D:$D,$C69,'RAW_농산물_10월'!$A:$A,$E69),SUMIFS('RAW_농산물_11-12월'!$H:$H,'RAW_농산물_11-12월'!$D:$D,$C69,'RAW_농산물_11-12월'!$A:$A,$E69))))</f>
        <v>85100</v>
      </c>
      <c r="I69" s="17" t="str">
        <f>IF($C69="","",IF(COUNTIFS('RAW_농산물_7월'!$D:$D,$C69,'RAW_농산물_7월'!$A:$A,$E69)&gt;0,"O",""))</f>
        <v>O</v>
      </c>
      <c r="J69" s="17" t="str">
        <f>IF($C69="","",IF(COUNTIFS('RAW_농산물_8월'!$D:$D,$C69,'RAW_농산물_8월'!$A:$A,$E69)&gt;0,"O",""))</f>
        <v>O</v>
      </c>
      <c r="K69" s="17" t="str">
        <f>IF($C69="","",IF(COUNTIFS('RAW_농산물_9월'!$D:$D,$C69,'RAW_농산물_9월'!$A:$A,$E69)&gt;0,"O",""))</f>
        <v/>
      </c>
      <c r="L69" s="17" t="str">
        <f>IF($C69="","",IF(COUNTIFS('RAW_농산물_10월'!$D:$D,$C69,'RAW_농산물_10월'!$A:$A,$E69)&gt;0,"O",""))</f>
        <v/>
      </c>
      <c r="M69" s="17" t="str">
        <f>IF($C69="","",IF(COUNTIFS('RAW_농산물_11-12월'!$D:$D,$C69,'RAW_농산물_11-12월'!$A:$A,$E69)&gt;0,"O",""))</f>
        <v/>
      </c>
      <c r="N69" s="7">
        <f>IF($C69="","",IF(COUNTA('RAW_농산물_7월'!$A:$A)&lt;=1,"",SUMIFS('RAW_농산물_7월'!$H:$H,'RAW_농산물_7월'!$D:$D,$C69,'RAW_농산물_7월'!$A:$A,$E69)))</f>
        <v>0</v>
      </c>
      <c r="O69" s="7">
        <f>IF($C69="","",IF(COUNTA('RAW_농산물_8월'!$A:$A)&lt;=1,"",SUMIFS('RAW_농산물_8월'!$H:$H,'RAW_농산물_8월'!$D:$D,$C69,'RAW_농산물_8월'!$A:$A,$E69)-SUMIFS('RAW_농산물_7월'!$H:$H,'RAW_농산물_7월'!$D:$D,$C69,'RAW_농산물_7월'!$A:$A,$E69)))</f>
        <v>85100</v>
      </c>
      <c r="P69" s="7" t="str">
        <f>IF($C69="","",IF(COUNTA('RAW_농산물_9월'!$A:$A)&lt;=1,"",SUMIFS('RAW_농산물_9월'!$H:$H,'RAW_농산물_9월'!$D:$D,$C69,'RAW_농산물_9월'!$A:$A,$E69)-SUMIFS('RAW_농산물_8월'!$H:$H,'RAW_농산물_8월'!$D:$D,$C69,'RAW_농산물_8월'!$A:$A,$E69)))</f>
        <v/>
      </c>
      <c r="Q69" s="7" t="str">
        <f>IF($C69="","",IF(COUNTA('RAW_농산물_10월'!$A:$A)&lt;=1,"",SUMIFS('RAW_농산물_10월'!$H:$H,'RAW_농산물_10월'!$D:$D,$C69,'RAW_농산물_10월'!$A:$A,$E69)-SUMIFS('RAW_농산물_9월'!$H:$H,'RAW_농산물_9월'!$D:$D,$C69,'RAW_농산물_9월'!$A:$A,$E69)))</f>
        <v/>
      </c>
      <c r="R69" s="7" t="str">
        <f>IF($C69="","",IF(COUNTA('RAW_농산물_11-12월'!$A:$A)&lt;=1,"",SUMIFS('RAW_농산물_11-12월'!$H:$H,'RAW_농산물_11-12월'!$D:$D,$C69,'RAW_농산물_11-12월'!$A:$A,$E69)-SUMIFS('RAW_농산물_10월'!$H:$H,'RAW_농산물_10월'!$D:$D,$C69,'RAW_농산물_10월'!$A:$A,$E69)))</f>
        <v/>
      </c>
      <c r="S69" s="17" t="str">
        <f t="shared" si="4"/>
        <v>O</v>
      </c>
      <c r="T69" s="17" t="str">
        <f t="shared" si="5"/>
        <v>50만원 미만</v>
      </c>
      <c r="U69" s="7">
        <f>IF($C69="",0,IF('설정'!$B$3=0,0,CHOOSE('설정'!$B$3,COUNTIFS('RAW_농산물_7월'!$D:$D,$C69,'RAW_농산물_7월'!$A:$A,$E69),COUNTIFS('RAW_농산물_8월'!$D:$D,$C69,'RAW_농산물_8월'!$A:$A,$E69),COUNTIFS('RAW_농산물_9월'!$D:$D,$C69,'RAW_농산물_9월'!$A:$A,$E69),COUNTIFS('RAW_농산물_10월'!$D:$D,$C69,'RAW_농산물_10월'!$A:$A,$E69),COUNTIFS('RAW_농산물_11-12월'!$D:$D,$C69,'RAW_농산물_11-12월'!$A:$A,$E69))))</f>
        <v>2</v>
      </c>
    </row>
    <row r="70" ht="15.75" customHeight="1">
      <c r="A70" s="5">
        <v>68.0</v>
      </c>
      <c r="B70" s="5" t="s">
        <v>145</v>
      </c>
      <c r="C70" s="5" t="s">
        <v>427</v>
      </c>
      <c r="D70" s="6" t="s">
        <v>426</v>
      </c>
      <c r="E70" s="5" t="s">
        <v>92</v>
      </c>
      <c r="F70" s="7">
        <f>IF($C70="","",IF('설정'!$B$3=0,"",CHOOSE('설정'!$B$3,SUMIFS('RAW_농산물_7월'!$F:$F,'RAW_농산물_7월'!$D:$D,$C70,'RAW_농산물_7월'!$A:$A,$E70),SUMIFS('RAW_농산물_8월'!$F:$F,'RAW_농산물_8월'!$D:$D,$C70,'RAW_농산물_8월'!$A:$A,$E70),SUMIFS('RAW_농산물_9월'!$F:$F,'RAW_농산물_9월'!$D:$D,$C70,'RAW_농산물_9월'!$A:$A,$E70),SUMIFS('RAW_농산물_10월'!$F:$F,'RAW_농산물_10월'!$D:$D,$C70,'RAW_농산물_10월'!$A:$A,$E70),SUMIFS('RAW_농산물_11-12월'!$F:$F,'RAW_농산물_11-12월'!$D:$D,$C70,'RAW_농산물_11-12월'!$A:$A,$E70))))</f>
        <v>74</v>
      </c>
      <c r="G70" s="7">
        <f>IF($C70="","",IF('설정'!$B$3=0,"",CHOOSE('설정'!$B$3,SUMIFS('RAW_농산물_7월'!$G:$G,'RAW_농산물_7월'!$D:$D,$C70,'RAW_농산물_7월'!$A:$A,$E70),SUMIFS('RAW_농산물_8월'!$G:$G,'RAW_농산물_8월'!$D:$D,$C70,'RAW_농산물_8월'!$A:$A,$E70),SUMIFS('RAW_농산물_9월'!$G:$G,'RAW_농산물_9월'!$D:$D,$C70,'RAW_농산물_9월'!$A:$A,$E70),SUMIFS('RAW_농산물_10월'!$G:$G,'RAW_농산물_10월'!$D:$D,$C70,'RAW_농산물_10월'!$A:$A,$E70),SUMIFS('RAW_농산물_11-12월'!$G:$G,'RAW_농산물_11-12월'!$D:$D,$C70,'RAW_농산물_11-12월'!$A:$A,$E70))))</f>
        <v>2562900</v>
      </c>
      <c r="H70" s="14">
        <f>IF($C70="","",IF('설정'!$B$3=0,"",CHOOSE('설정'!$B$3,SUMIFS('RAW_농산물_7월'!$H:$H,'RAW_농산물_7월'!$D:$D,$C70,'RAW_농산물_7월'!$A:$A,$E70),SUMIFS('RAW_농산물_8월'!$H:$H,'RAW_농산물_8월'!$D:$D,$C70,'RAW_농산물_8월'!$A:$A,$E70),SUMIFS('RAW_농산물_9월'!$H:$H,'RAW_농산물_9월'!$D:$D,$C70,'RAW_농산물_9월'!$A:$A,$E70),SUMIFS('RAW_농산물_10월'!$H:$H,'RAW_농산물_10월'!$D:$D,$C70,'RAW_농산물_10월'!$A:$A,$E70),SUMIFS('RAW_농산물_11-12월'!$H:$H,'RAW_농산물_11-12월'!$D:$D,$C70,'RAW_농산물_11-12월'!$A:$A,$E70))))</f>
        <v>237520</v>
      </c>
      <c r="I70" s="17" t="str">
        <f>IF($C70="","",IF(COUNTIFS('RAW_농산물_7월'!$D:$D,$C70,'RAW_농산물_7월'!$A:$A,$E70)&gt;0,"O",""))</f>
        <v>O</v>
      </c>
      <c r="J70" s="17" t="str">
        <f>IF($C70="","",IF(COUNTIFS('RAW_농산물_8월'!$D:$D,$C70,'RAW_농산물_8월'!$A:$A,$E70)&gt;0,"O",""))</f>
        <v>O</v>
      </c>
      <c r="K70" s="17" t="str">
        <f>IF($C70="","",IF(COUNTIFS('RAW_농산물_9월'!$D:$D,$C70,'RAW_농산물_9월'!$A:$A,$E70)&gt;0,"O",""))</f>
        <v/>
      </c>
      <c r="L70" s="17" t="str">
        <f>IF($C70="","",IF(COUNTIFS('RAW_농산물_10월'!$D:$D,$C70,'RAW_농산물_10월'!$A:$A,$E70)&gt;0,"O",""))</f>
        <v/>
      </c>
      <c r="M70" s="17" t="str">
        <f>IF($C70="","",IF(COUNTIFS('RAW_농산물_11-12월'!$D:$D,$C70,'RAW_농산물_11-12월'!$A:$A,$E70)&gt;0,"O",""))</f>
        <v/>
      </c>
      <c r="N70" s="7">
        <f>IF($C70="","",IF(COUNTA('RAW_농산물_7월'!$A:$A)&lt;=1,"",SUMIFS('RAW_농산물_7월'!$H:$H,'RAW_농산물_7월'!$D:$D,$C70,'RAW_농산물_7월'!$A:$A,$E70)))</f>
        <v>81520</v>
      </c>
      <c r="O70" s="7">
        <f>IF($C70="","",IF(COUNTA('RAW_농산물_8월'!$A:$A)&lt;=1,"",SUMIFS('RAW_농산물_8월'!$H:$H,'RAW_농산물_8월'!$D:$D,$C70,'RAW_농산물_8월'!$A:$A,$E70)-SUMIFS('RAW_농산물_7월'!$H:$H,'RAW_농산물_7월'!$D:$D,$C70,'RAW_농산물_7월'!$A:$A,$E70)))</f>
        <v>156000</v>
      </c>
      <c r="P70" s="7" t="str">
        <f>IF($C70="","",IF(COUNTA('RAW_농산물_9월'!$A:$A)&lt;=1,"",SUMIFS('RAW_농산물_9월'!$H:$H,'RAW_농산물_9월'!$D:$D,$C70,'RAW_농산물_9월'!$A:$A,$E70)-SUMIFS('RAW_농산물_8월'!$H:$H,'RAW_농산물_8월'!$D:$D,$C70,'RAW_농산물_8월'!$A:$A,$E70)))</f>
        <v/>
      </c>
      <c r="Q70" s="7" t="str">
        <f>IF($C70="","",IF(COUNTA('RAW_농산물_10월'!$A:$A)&lt;=1,"",SUMIFS('RAW_농산물_10월'!$H:$H,'RAW_농산물_10월'!$D:$D,$C70,'RAW_농산물_10월'!$A:$A,$E70)-SUMIFS('RAW_농산물_9월'!$H:$H,'RAW_농산물_9월'!$D:$D,$C70,'RAW_농산물_9월'!$A:$A,$E70)))</f>
        <v/>
      </c>
      <c r="R70" s="7" t="str">
        <f>IF($C70="","",IF(COUNTA('RAW_농산물_11-12월'!$A:$A)&lt;=1,"",SUMIFS('RAW_농산물_11-12월'!$H:$H,'RAW_농산물_11-12월'!$D:$D,$C70,'RAW_농산물_11-12월'!$A:$A,$E70)-SUMIFS('RAW_농산물_10월'!$H:$H,'RAW_농산물_10월'!$D:$D,$C70,'RAW_농산물_10월'!$A:$A,$E70)))</f>
        <v/>
      </c>
      <c r="S70" s="17" t="str">
        <f t="shared" si="4"/>
        <v>O</v>
      </c>
      <c r="T70" s="17" t="str">
        <f t="shared" si="5"/>
        <v>50만원 미만</v>
      </c>
      <c r="U70" s="7">
        <f>IF($C70="",0,IF('설정'!$B$3=0,0,CHOOSE('설정'!$B$3,COUNTIFS('RAW_농산물_7월'!$D:$D,$C70,'RAW_농산물_7월'!$A:$A,$E70),COUNTIFS('RAW_농산물_8월'!$D:$D,$C70,'RAW_농산물_8월'!$A:$A,$E70),COUNTIFS('RAW_농산물_9월'!$D:$D,$C70,'RAW_농산물_9월'!$A:$A,$E70),COUNTIFS('RAW_농산물_10월'!$D:$D,$C70,'RAW_농산물_10월'!$A:$A,$E70),COUNTIFS('RAW_농산물_11-12월'!$D:$D,$C70,'RAW_농산물_11-12월'!$A:$A,$E70))))</f>
        <v>1</v>
      </c>
    </row>
    <row r="71" ht="15.75" customHeight="1">
      <c r="A71" s="5">
        <v>69.0</v>
      </c>
      <c r="B71" s="5" t="s">
        <v>25</v>
      </c>
      <c r="C71" s="5" t="s">
        <v>2921</v>
      </c>
      <c r="D71" s="6" t="s">
        <v>2922</v>
      </c>
      <c r="E71" s="5" t="s">
        <v>28</v>
      </c>
      <c r="F71" s="7">
        <f>IF($C71="","",IF('설정'!$B$3=0,"",CHOOSE('설정'!$B$3,SUMIFS('RAW_농산물_7월'!$F:$F,'RAW_농산물_7월'!$D:$D,$C71,'RAW_농산물_7월'!$A:$A,$E71),SUMIFS('RAW_농산물_8월'!$F:$F,'RAW_농산물_8월'!$D:$D,$C71,'RAW_농산물_8월'!$A:$A,$E71),SUMIFS('RAW_농산물_9월'!$F:$F,'RAW_농산물_9월'!$D:$D,$C71,'RAW_농산물_9월'!$A:$A,$E71),SUMIFS('RAW_농산물_10월'!$F:$F,'RAW_농산물_10월'!$D:$D,$C71,'RAW_농산물_10월'!$A:$A,$E71),SUMIFS('RAW_농산물_11-12월'!$F:$F,'RAW_농산물_11-12월'!$D:$D,$C71,'RAW_농산물_11-12월'!$A:$A,$E71))))</f>
        <v>0</v>
      </c>
      <c r="G71" s="7">
        <f>IF($C71="","",IF('설정'!$B$3=0,"",CHOOSE('설정'!$B$3,SUMIFS('RAW_농산물_7월'!$G:$G,'RAW_농산물_7월'!$D:$D,$C71,'RAW_농산물_7월'!$A:$A,$E71),SUMIFS('RAW_농산물_8월'!$G:$G,'RAW_농산물_8월'!$D:$D,$C71,'RAW_농산물_8월'!$A:$A,$E71),SUMIFS('RAW_농산물_9월'!$G:$G,'RAW_농산물_9월'!$D:$D,$C71,'RAW_농산물_9월'!$A:$A,$E71),SUMIFS('RAW_농산물_10월'!$G:$G,'RAW_농산물_10월'!$D:$D,$C71,'RAW_농산물_10월'!$A:$A,$E71),SUMIFS('RAW_농산물_11-12월'!$G:$G,'RAW_농산물_11-12월'!$D:$D,$C71,'RAW_농산물_11-12월'!$A:$A,$E71))))</f>
        <v>0</v>
      </c>
      <c r="H71" s="14">
        <f>IF($C71="","",IF('설정'!$B$3=0,"",CHOOSE('설정'!$B$3,SUMIFS('RAW_농산물_7월'!$H:$H,'RAW_농산물_7월'!$D:$D,$C71,'RAW_농산물_7월'!$A:$A,$E71),SUMIFS('RAW_농산물_8월'!$H:$H,'RAW_농산물_8월'!$D:$D,$C71,'RAW_농산물_8월'!$A:$A,$E71),SUMIFS('RAW_농산물_9월'!$H:$H,'RAW_농산물_9월'!$D:$D,$C71,'RAW_농산물_9월'!$A:$A,$E71),SUMIFS('RAW_농산물_10월'!$H:$H,'RAW_농산물_10월'!$D:$D,$C71,'RAW_농산물_10월'!$A:$A,$E71),SUMIFS('RAW_농산물_11-12월'!$H:$H,'RAW_농산물_11-12월'!$D:$D,$C71,'RAW_농산물_11-12월'!$A:$A,$E71))))</f>
        <v>0</v>
      </c>
      <c r="I71" s="17" t="str">
        <f>IF($C71="","",IF(COUNTIFS('RAW_농산물_7월'!$D:$D,$C71,'RAW_농산물_7월'!$A:$A,$E71)&gt;0,"O",""))</f>
        <v/>
      </c>
      <c r="J71" s="17" t="str">
        <f>IF($C71="","",IF(COUNTIFS('RAW_농산물_8월'!$D:$D,$C71,'RAW_농산물_8월'!$A:$A,$E71)&gt;0,"O",""))</f>
        <v/>
      </c>
      <c r="K71" s="17" t="str">
        <f>IF($C71="","",IF(COUNTIFS('RAW_농산물_9월'!$D:$D,$C71,'RAW_농산물_9월'!$A:$A,$E71)&gt;0,"O",""))</f>
        <v/>
      </c>
      <c r="L71" s="17" t="str">
        <f>IF($C71="","",IF(COUNTIFS('RAW_농산물_10월'!$D:$D,$C71,'RAW_농산물_10월'!$A:$A,$E71)&gt;0,"O",""))</f>
        <v/>
      </c>
      <c r="M71" s="17" t="str">
        <f>IF($C71="","",IF(COUNTIFS('RAW_농산물_11-12월'!$D:$D,$C71,'RAW_농산물_11-12월'!$A:$A,$E71)&gt;0,"O",""))</f>
        <v/>
      </c>
      <c r="N71" s="7">
        <f>IF($C71="","",IF(COUNTA('RAW_농산물_7월'!$A:$A)&lt;=1,"",SUMIFS('RAW_농산물_7월'!$H:$H,'RAW_농산물_7월'!$D:$D,$C71,'RAW_농산물_7월'!$A:$A,$E71)))</f>
        <v>0</v>
      </c>
      <c r="O71" s="7">
        <f>IF($C71="","",IF(COUNTA('RAW_농산물_8월'!$A:$A)&lt;=1,"",SUMIFS('RAW_농산물_8월'!$H:$H,'RAW_농산물_8월'!$D:$D,$C71,'RAW_농산물_8월'!$A:$A,$E71)-SUMIFS('RAW_농산물_7월'!$H:$H,'RAW_농산물_7월'!$D:$D,$C71,'RAW_농산물_7월'!$A:$A,$E71)))</f>
        <v>0</v>
      </c>
      <c r="P71" s="7" t="str">
        <f>IF($C71="","",IF(COUNTA('RAW_농산물_9월'!$A:$A)&lt;=1,"",SUMIFS('RAW_농산물_9월'!$H:$H,'RAW_농산물_9월'!$D:$D,$C71,'RAW_농산물_9월'!$A:$A,$E71)-SUMIFS('RAW_농산물_8월'!$H:$H,'RAW_농산물_8월'!$D:$D,$C71,'RAW_농산물_8월'!$A:$A,$E71)))</f>
        <v/>
      </c>
      <c r="Q71" s="7" t="str">
        <f>IF($C71="","",IF(COUNTA('RAW_농산물_10월'!$A:$A)&lt;=1,"",SUMIFS('RAW_농산물_10월'!$H:$H,'RAW_농산물_10월'!$D:$D,$C71,'RAW_농산물_10월'!$A:$A,$E71)-SUMIFS('RAW_농산물_9월'!$H:$H,'RAW_농산물_9월'!$D:$D,$C71,'RAW_농산물_9월'!$A:$A,$E71)))</f>
        <v/>
      </c>
      <c r="R71" s="7" t="str">
        <f>IF($C71="","",IF(COUNTA('RAW_농산물_11-12월'!$A:$A)&lt;=1,"",SUMIFS('RAW_농산물_11-12월'!$H:$H,'RAW_농산물_11-12월'!$D:$D,$C71,'RAW_농산물_11-12월'!$A:$A,$E71)-SUMIFS('RAW_농산물_10월'!$H:$H,'RAW_농산물_10월'!$D:$D,$C71,'RAW_농산물_10월'!$A:$A,$E71)))</f>
        <v/>
      </c>
      <c r="S71" s="17" t="str">
        <f t="shared" si="4"/>
        <v/>
      </c>
      <c r="T71" s="17" t="str">
        <f t="shared" si="5"/>
        <v>미사용</v>
      </c>
      <c r="U71" s="7">
        <f>IF($C71="",0,IF('설정'!$B$3=0,0,CHOOSE('설정'!$B$3,COUNTIFS('RAW_농산물_7월'!$D:$D,$C71,'RAW_농산물_7월'!$A:$A,$E71),COUNTIFS('RAW_농산물_8월'!$D:$D,$C71,'RAW_농산물_8월'!$A:$A,$E71),COUNTIFS('RAW_농산물_9월'!$D:$D,$C71,'RAW_농산물_9월'!$A:$A,$E71),COUNTIFS('RAW_농산물_10월'!$D:$D,$C71,'RAW_농산물_10월'!$A:$A,$E71),COUNTIFS('RAW_농산물_11-12월'!$D:$D,$C71,'RAW_농산물_11-12월'!$A:$A,$E71))))</f>
        <v>0</v>
      </c>
    </row>
    <row r="72" ht="15.75" customHeight="1">
      <c r="A72" s="5">
        <v>70.0</v>
      </c>
      <c r="B72" s="5" t="s">
        <v>25</v>
      </c>
      <c r="C72" s="5" t="s">
        <v>309</v>
      </c>
      <c r="D72" s="6" t="s">
        <v>308</v>
      </c>
      <c r="E72" s="5" t="s">
        <v>92</v>
      </c>
      <c r="F72" s="7">
        <f>IF($C72="","",IF('설정'!$B$3=0,"",CHOOSE('설정'!$B$3,SUMIFS('RAW_농산물_7월'!$F:$F,'RAW_농산물_7월'!$D:$D,$C72,'RAW_농산물_7월'!$A:$A,$E72),SUMIFS('RAW_농산물_8월'!$F:$F,'RAW_농산물_8월'!$D:$D,$C72,'RAW_농산물_8월'!$A:$A,$E72),SUMIFS('RAW_농산물_9월'!$F:$F,'RAW_농산물_9월'!$D:$D,$C72,'RAW_농산물_9월'!$A:$A,$E72),SUMIFS('RAW_농산물_10월'!$F:$F,'RAW_농산물_10월'!$D:$D,$C72,'RAW_농산물_10월'!$A:$A,$E72),SUMIFS('RAW_농산물_11-12월'!$F:$F,'RAW_농산물_11-12월'!$D:$D,$C72,'RAW_농산물_11-12월'!$A:$A,$E72))))</f>
        <v>2254</v>
      </c>
      <c r="G72" s="7">
        <f>IF($C72="","",IF('설정'!$B$3=0,"",CHOOSE('설정'!$B$3,SUMIFS('RAW_농산물_7월'!$G:$G,'RAW_농산물_7월'!$D:$D,$C72,'RAW_농산물_7월'!$A:$A,$E72),SUMIFS('RAW_농산물_8월'!$G:$G,'RAW_농산물_8월'!$D:$D,$C72,'RAW_농산물_8월'!$A:$A,$E72),SUMIFS('RAW_농산물_9월'!$G:$G,'RAW_농산물_9월'!$D:$D,$C72,'RAW_농산물_9월'!$A:$A,$E72),SUMIFS('RAW_농산물_10월'!$G:$G,'RAW_농산물_10월'!$D:$D,$C72,'RAW_농산물_10월'!$A:$A,$E72),SUMIFS('RAW_농산물_11-12월'!$G:$G,'RAW_농산물_11-12월'!$D:$D,$C72,'RAW_농산물_11-12월'!$A:$A,$E72))))</f>
        <v>63211020</v>
      </c>
      <c r="H72" s="14">
        <f>IF($C72="","",IF('설정'!$B$3=0,"",CHOOSE('설정'!$B$3,SUMIFS('RAW_농산물_7월'!$H:$H,'RAW_농산물_7월'!$D:$D,$C72,'RAW_농산물_7월'!$A:$A,$E72),SUMIFS('RAW_농산물_8월'!$H:$H,'RAW_농산물_8월'!$D:$D,$C72,'RAW_농산물_8월'!$A:$A,$E72),SUMIFS('RAW_농산물_9월'!$H:$H,'RAW_농산물_9월'!$D:$D,$C72,'RAW_농산물_9월'!$A:$A,$E72),SUMIFS('RAW_농산물_10월'!$H:$H,'RAW_농산물_10월'!$D:$D,$C72,'RAW_농산물_10월'!$A:$A,$E72),SUMIFS('RAW_농산물_11-12월'!$H:$H,'RAW_농산물_11-12월'!$D:$D,$C72,'RAW_농산물_11-12월'!$A:$A,$E72))))</f>
        <v>4312140</v>
      </c>
      <c r="I72" s="17" t="str">
        <f>IF($C72="","",IF(COUNTIFS('RAW_농산물_7월'!$D:$D,$C72,'RAW_농산물_7월'!$A:$A,$E72)&gt;0,"O",""))</f>
        <v>O</v>
      </c>
      <c r="J72" s="17" t="str">
        <f>IF($C72="","",IF(COUNTIFS('RAW_농산물_8월'!$D:$D,$C72,'RAW_농산물_8월'!$A:$A,$E72)&gt;0,"O",""))</f>
        <v>O</v>
      </c>
      <c r="K72" s="17" t="str">
        <f>IF($C72="","",IF(COUNTIFS('RAW_농산물_9월'!$D:$D,$C72,'RAW_농산물_9월'!$A:$A,$E72)&gt;0,"O",""))</f>
        <v/>
      </c>
      <c r="L72" s="17" t="str">
        <f>IF($C72="","",IF(COUNTIFS('RAW_농산물_10월'!$D:$D,$C72,'RAW_농산물_10월'!$A:$A,$E72)&gt;0,"O",""))</f>
        <v/>
      </c>
      <c r="M72" s="17" t="str">
        <f>IF($C72="","",IF(COUNTIFS('RAW_농산물_11-12월'!$D:$D,$C72,'RAW_농산물_11-12월'!$A:$A,$E72)&gt;0,"O",""))</f>
        <v/>
      </c>
      <c r="N72" s="7">
        <f>IF($C72="","",IF(COUNTA('RAW_농산물_7월'!$A:$A)&lt;=1,"",SUMIFS('RAW_농산물_7월'!$H:$H,'RAW_농산물_7월'!$D:$D,$C72,'RAW_농산물_7월'!$A:$A,$E72)))</f>
        <v>716960</v>
      </c>
      <c r="O72" s="7">
        <f>IF($C72="","",IF(COUNTA('RAW_농산물_8월'!$A:$A)&lt;=1,"",SUMIFS('RAW_농산물_8월'!$H:$H,'RAW_농산물_8월'!$D:$D,$C72,'RAW_농산물_8월'!$A:$A,$E72)-SUMIFS('RAW_농산물_7월'!$H:$H,'RAW_농산물_7월'!$D:$D,$C72,'RAW_농산물_7월'!$A:$A,$E72)))</f>
        <v>3595180</v>
      </c>
      <c r="P72" s="7" t="str">
        <f>IF($C72="","",IF(COUNTA('RAW_농산물_9월'!$A:$A)&lt;=1,"",SUMIFS('RAW_농산물_9월'!$H:$H,'RAW_농산물_9월'!$D:$D,$C72,'RAW_농산물_9월'!$A:$A,$E72)-SUMIFS('RAW_농산물_8월'!$H:$H,'RAW_농산물_8월'!$D:$D,$C72,'RAW_농산물_8월'!$A:$A,$E72)))</f>
        <v/>
      </c>
      <c r="Q72" s="7" t="str">
        <f>IF($C72="","",IF(COUNTA('RAW_농산물_10월'!$A:$A)&lt;=1,"",SUMIFS('RAW_농산물_10월'!$H:$H,'RAW_농산물_10월'!$D:$D,$C72,'RAW_농산물_10월'!$A:$A,$E72)-SUMIFS('RAW_농산물_9월'!$H:$H,'RAW_농산물_9월'!$D:$D,$C72,'RAW_농산물_9월'!$A:$A,$E72)))</f>
        <v/>
      </c>
      <c r="R72" s="7" t="str">
        <f>IF($C72="","",IF(COUNTA('RAW_농산물_11-12월'!$A:$A)&lt;=1,"",SUMIFS('RAW_농산물_11-12월'!$H:$H,'RAW_농산물_11-12월'!$D:$D,$C72,'RAW_농산물_11-12월'!$A:$A,$E72)-SUMIFS('RAW_농산물_10월'!$H:$H,'RAW_농산물_10월'!$D:$D,$C72,'RAW_농산물_10월'!$A:$A,$E72)))</f>
        <v/>
      </c>
      <c r="S72" s="17" t="str">
        <f t="shared" si="4"/>
        <v>O</v>
      </c>
      <c r="T72" s="17" t="str">
        <f t="shared" si="5"/>
        <v>500만원 미만</v>
      </c>
      <c r="U72" s="7">
        <f>IF($C72="",0,IF('설정'!$B$3=0,0,CHOOSE('설정'!$B$3,COUNTIFS('RAW_농산물_7월'!$D:$D,$C72,'RAW_농산물_7월'!$A:$A,$E72),COUNTIFS('RAW_농산물_8월'!$D:$D,$C72,'RAW_농산물_8월'!$A:$A,$E72),COUNTIFS('RAW_농산물_9월'!$D:$D,$C72,'RAW_농산물_9월'!$A:$A,$E72),COUNTIFS('RAW_농산물_10월'!$D:$D,$C72,'RAW_농산물_10월'!$A:$A,$E72),COUNTIFS('RAW_농산물_11-12월'!$D:$D,$C72,'RAW_농산물_11-12월'!$A:$A,$E72))))</f>
        <v>1</v>
      </c>
    </row>
    <row r="73" ht="15.75" customHeight="1">
      <c r="A73" s="5">
        <v>71.0</v>
      </c>
      <c r="B73" s="5" t="s">
        <v>145</v>
      </c>
      <c r="C73" s="5" t="s">
        <v>1262</v>
      </c>
      <c r="D73" s="6" t="s">
        <v>1261</v>
      </c>
      <c r="E73" s="5" t="s">
        <v>94</v>
      </c>
      <c r="F73" s="7">
        <f>IF($C73="","",IF('설정'!$B$3=0,"",CHOOSE('설정'!$B$3,SUMIFS('RAW_농산물_7월'!$F:$F,'RAW_농산물_7월'!$D:$D,$C73,'RAW_농산물_7월'!$A:$A,$E73),SUMIFS('RAW_농산물_8월'!$F:$F,'RAW_농산물_8월'!$D:$D,$C73,'RAW_농산물_8월'!$A:$A,$E73),SUMIFS('RAW_농산물_9월'!$F:$F,'RAW_농산물_9월'!$D:$D,$C73,'RAW_농산물_9월'!$A:$A,$E73),SUMIFS('RAW_농산물_10월'!$F:$F,'RAW_농산물_10월'!$D:$D,$C73,'RAW_농산물_10월'!$A:$A,$E73),SUMIFS('RAW_농산물_11-12월'!$F:$F,'RAW_농산물_11-12월'!$D:$D,$C73,'RAW_농산물_11-12월'!$A:$A,$E73))))</f>
        <v>75</v>
      </c>
      <c r="G73" s="7">
        <f>IF($C73="","",IF('설정'!$B$3=0,"",CHOOSE('설정'!$B$3,SUMIFS('RAW_농산물_7월'!$G:$G,'RAW_농산물_7월'!$D:$D,$C73,'RAW_농산물_7월'!$A:$A,$E73),SUMIFS('RAW_농산물_8월'!$G:$G,'RAW_농산물_8월'!$D:$D,$C73,'RAW_농산물_8월'!$A:$A,$E73),SUMIFS('RAW_농산물_9월'!$G:$G,'RAW_농산물_9월'!$D:$D,$C73,'RAW_농산물_9월'!$A:$A,$E73),SUMIFS('RAW_농산물_10월'!$G:$G,'RAW_농산물_10월'!$D:$D,$C73,'RAW_농산물_10월'!$A:$A,$E73),SUMIFS('RAW_농산물_11-12월'!$G:$G,'RAW_농산물_11-12월'!$D:$D,$C73,'RAW_농산물_11-12월'!$A:$A,$E73))))</f>
        <v>1243000</v>
      </c>
      <c r="H73" s="14">
        <f>IF($C73="","",IF('설정'!$B$3=0,"",CHOOSE('설정'!$B$3,SUMIFS('RAW_농산물_7월'!$H:$H,'RAW_농산물_7월'!$D:$D,$C73,'RAW_농산물_7월'!$A:$A,$E73),SUMIFS('RAW_농산물_8월'!$H:$H,'RAW_농산물_8월'!$D:$D,$C73,'RAW_농산물_8월'!$A:$A,$E73),SUMIFS('RAW_농산물_9월'!$H:$H,'RAW_농산물_9월'!$D:$D,$C73,'RAW_농산물_9월'!$A:$A,$E73),SUMIFS('RAW_농산물_10월'!$H:$H,'RAW_농산물_10월'!$D:$D,$C73,'RAW_농산물_10월'!$A:$A,$E73),SUMIFS('RAW_농산물_11-12월'!$H:$H,'RAW_농산물_11-12월'!$D:$D,$C73,'RAW_농산물_11-12월'!$A:$A,$E73))))</f>
        <v>170600</v>
      </c>
      <c r="I73" s="17" t="str">
        <f>IF($C73="","",IF(COUNTIFS('RAW_농산물_7월'!$D:$D,$C73,'RAW_농산물_7월'!$A:$A,$E73)&gt;0,"O",""))</f>
        <v>O</v>
      </c>
      <c r="J73" s="17" t="str">
        <f>IF($C73="","",IF(COUNTIFS('RAW_농산물_8월'!$D:$D,$C73,'RAW_농산물_8월'!$A:$A,$E73)&gt;0,"O",""))</f>
        <v>O</v>
      </c>
      <c r="K73" s="17" t="str">
        <f>IF($C73="","",IF(COUNTIFS('RAW_농산물_9월'!$D:$D,$C73,'RAW_농산물_9월'!$A:$A,$E73)&gt;0,"O",""))</f>
        <v/>
      </c>
      <c r="L73" s="17" t="str">
        <f>IF($C73="","",IF(COUNTIFS('RAW_농산물_10월'!$D:$D,$C73,'RAW_농산물_10월'!$A:$A,$E73)&gt;0,"O",""))</f>
        <v/>
      </c>
      <c r="M73" s="17" t="str">
        <f>IF($C73="","",IF(COUNTIFS('RAW_농산물_11-12월'!$D:$D,$C73,'RAW_농산물_11-12월'!$A:$A,$E73)&gt;0,"O",""))</f>
        <v/>
      </c>
      <c r="N73" s="7">
        <f>IF($C73="","",IF(COUNTA('RAW_농산물_7월'!$A:$A)&lt;=1,"",SUMIFS('RAW_농산물_7월'!$H:$H,'RAW_농산물_7월'!$D:$D,$C73,'RAW_농산물_7월'!$A:$A,$E73)))</f>
        <v>27600</v>
      </c>
      <c r="O73" s="7">
        <f>IF($C73="","",IF(COUNTA('RAW_농산물_8월'!$A:$A)&lt;=1,"",SUMIFS('RAW_농산물_8월'!$H:$H,'RAW_농산물_8월'!$D:$D,$C73,'RAW_농산물_8월'!$A:$A,$E73)-SUMIFS('RAW_농산물_7월'!$H:$H,'RAW_농산물_7월'!$D:$D,$C73,'RAW_농산물_7월'!$A:$A,$E73)))</f>
        <v>143000</v>
      </c>
      <c r="P73" s="7" t="str">
        <f>IF($C73="","",IF(COUNTA('RAW_농산물_9월'!$A:$A)&lt;=1,"",SUMIFS('RAW_농산물_9월'!$H:$H,'RAW_농산물_9월'!$D:$D,$C73,'RAW_농산물_9월'!$A:$A,$E73)-SUMIFS('RAW_농산물_8월'!$H:$H,'RAW_농산물_8월'!$D:$D,$C73,'RAW_농산물_8월'!$A:$A,$E73)))</f>
        <v/>
      </c>
      <c r="Q73" s="7" t="str">
        <f>IF($C73="","",IF(COUNTA('RAW_농산물_10월'!$A:$A)&lt;=1,"",SUMIFS('RAW_농산물_10월'!$H:$H,'RAW_농산물_10월'!$D:$D,$C73,'RAW_농산물_10월'!$A:$A,$E73)-SUMIFS('RAW_농산물_9월'!$H:$H,'RAW_농산물_9월'!$D:$D,$C73,'RAW_농산물_9월'!$A:$A,$E73)))</f>
        <v/>
      </c>
      <c r="R73" s="7" t="str">
        <f>IF($C73="","",IF(COUNTA('RAW_농산물_11-12월'!$A:$A)&lt;=1,"",SUMIFS('RAW_농산물_11-12월'!$H:$H,'RAW_농산물_11-12월'!$D:$D,$C73,'RAW_농산물_11-12월'!$A:$A,$E73)-SUMIFS('RAW_농산물_10월'!$H:$H,'RAW_농산물_10월'!$D:$D,$C73,'RAW_농산물_10월'!$A:$A,$E73)))</f>
        <v/>
      </c>
      <c r="S73" s="17" t="str">
        <f t="shared" si="4"/>
        <v>O</v>
      </c>
      <c r="T73" s="17" t="str">
        <f t="shared" si="5"/>
        <v>50만원 미만</v>
      </c>
      <c r="U73" s="7">
        <f>IF($C73="",0,IF('설정'!$B$3=0,0,CHOOSE('설정'!$B$3,COUNTIFS('RAW_농산물_7월'!$D:$D,$C73,'RAW_농산물_7월'!$A:$A,$E73),COUNTIFS('RAW_농산물_8월'!$D:$D,$C73,'RAW_농산물_8월'!$A:$A,$E73),COUNTIFS('RAW_농산물_9월'!$D:$D,$C73,'RAW_농산물_9월'!$A:$A,$E73),COUNTIFS('RAW_농산물_10월'!$D:$D,$C73,'RAW_농산물_10월'!$A:$A,$E73),COUNTIFS('RAW_농산물_11-12월'!$D:$D,$C73,'RAW_농산물_11-12월'!$A:$A,$E73))))</f>
        <v>2</v>
      </c>
    </row>
    <row r="74" ht="15.75" customHeight="1">
      <c r="A74" s="5">
        <v>72.0</v>
      </c>
      <c r="B74" s="5" t="s">
        <v>25</v>
      </c>
      <c r="C74" s="5" t="s">
        <v>843</v>
      </c>
      <c r="D74" s="6" t="s">
        <v>842</v>
      </c>
      <c r="E74" s="5" t="s">
        <v>28</v>
      </c>
      <c r="F74" s="7">
        <f>IF($C74="","",IF('설정'!$B$3=0,"",CHOOSE('설정'!$B$3,SUMIFS('RAW_농산물_7월'!$F:$F,'RAW_농산물_7월'!$D:$D,$C74,'RAW_농산물_7월'!$A:$A,$E74),SUMIFS('RAW_농산물_8월'!$F:$F,'RAW_농산물_8월'!$D:$D,$C74,'RAW_농산물_8월'!$A:$A,$E74),SUMIFS('RAW_농산물_9월'!$F:$F,'RAW_농산물_9월'!$D:$D,$C74,'RAW_농산물_9월'!$A:$A,$E74),SUMIFS('RAW_농산물_10월'!$F:$F,'RAW_농산물_10월'!$D:$D,$C74,'RAW_농산물_10월'!$A:$A,$E74),SUMIFS('RAW_농산물_11-12월'!$F:$F,'RAW_농산물_11-12월'!$D:$D,$C74,'RAW_농산물_11-12월'!$A:$A,$E74))))</f>
        <v>729</v>
      </c>
      <c r="G74" s="7">
        <f>IF($C74="","",IF('설정'!$B$3=0,"",CHOOSE('설정'!$B$3,SUMIFS('RAW_농산물_7월'!$G:$G,'RAW_농산물_7월'!$D:$D,$C74,'RAW_농산물_7월'!$A:$A,$E74),SUMIFS('RAW_농산물_8월'!$G:$G,'RAW_농산물_8월'!$D:$D,$C74,'RAW_농산물_8월'!$A:$A,$E74),SUMIFS('RAW_농산물_9월'!$G:$G,'RAW_농산물_9월'!$D:$D,$C74,'RAW_농산물_9월'!$A:$A,$E74),SUMIFS('RAW_농산물_10월'!$G:$G,'RAW_농산물_10월'!$D:$D,$C74,'RAW_농산물_10월'!$A:$A,$E74),SUMIFS('RAW_농산물_11-12월'!$G:$G,'RAW_농산물_11-12월'!$D:$D,$C74,'RAW_농산물_11-12월'!$A:$A,$E74))))</f>
        <v>37312000</v>
      </c>
      <c r="H74" s="14">
        <f>IF($C74="","",IF('설정'!$B$3=0,"",CHOOSE('설정'!$B$3,SUMIFS('RAW_농산물_7월'!$H:$H,'RAW_농산물_7월'!$D:$D,$C74,'RAW_농산물_7월'!$A:$A,$E74),SUMIFS('RAW_농산물_8월'!$H:$H,'RAW_농산물_8월'!$D:$D,$C74,'RAW_농산물_8월'!$A:$A,$E74),SUMIFS('RAW_농산물_9월'!$H:$H,'RAW_농산물_9월'!$D:$D,$C74,'RAW_농산물_9월'!$A:$A,$E74),SUMIFS('RAW_농산물_10월'!$H:$H,'RAW_농산물_10월'!$D:$D,$C74,'RAW_농산물_10월'!$A:$A,$E74),SUMIFS('RAW_농산물_11-12월'!$H:$H,'RAW_농산물_11-12월'!$D:$D,$C74,'RAW_농산물_11-12월'!$A:$A,$E74))))</f>
        <v>4967600</v>
      </c>
      <c r="I74" s="17" t="str">
        <f>IF($C74="","",IF(COUNTIFS('RAW_농산물_7월'!$D:$D,$C74,'RAW_농산물_7월'!$A:$A,$E74)&gt;0,"O",""))</f>
        <v>O</v>
      </c>
      <c r="J74" s="17" t="str">
        <f>IF($C74="","",IF(COUNTIFS('RAW_농산물_8월'!$D:$D,$C74,'RAW_농산물_8월'!$A:$A,$E74)&gt;0,"O",""))</f>
        <v>O</v>
      </c>
      <c r="K74" s="17" t="str">
        <f>IF($C74="","",IF(COUNTIFS('RAW_농산물_9월'!$D:$D,$C74,'RAW_농산물_9월'!$A:$A,$E74)&gt;0,"O",""))</f>
        <v/>
      </c>
      <c r="L74" s="17" t="str">
        <f>IF($C74="","",IF(COUNTIFS('RAW_농산물_10월'!$D:$D,$C74,'RAW_농산물_10월'!$A:$A,$E74)&gt;0,"O",""))</f>
        <v/>
      </c>
      <c r="M74" s="17" t="str">
        <f>IF($C74="","",IF(COUNTIFS('RAW_농산물_11-12월'!$D:$D,$C74,'RAW_농산물_11-12월'!$A:$A,$E74)&gt;0,"O",""))</f>
        <v/>
      </c>
      <c r="N74" s="7">
        <f>IF($C74="","",IF(COUNTA('RAW_농산물_7월'!$A:$A)&lt;=1,"",SUMIFS('RAW_농산물_7월'!$H:$H,'RAW_농산물_7월'!$D:$D,$C74,'RAW_농산물_7월'!$A:$A,$E74)))</f>
        <v>4967600</v>
      </c>
      <c r="O74" s="7">
        <f>IF($C74="","",IF(COUNTA('RAW_농산물_8월'!$A:$A)&lt;=1,"",SUMIFS('RAW_농산물_8월'!$H:$H,'RAW_농산물_8월'!$D:$D,$C74,'RAW_농산물_8월'!$A:$A,$E74)-SUMIFS('RAW_농산물_7월'!$H:$H,'RAW_농산물_7월'!$D:$D,$C74,'RAW_농산물_7월'!$A:$A,$E74)))</f>
        <v>0</v>
      </c>
      <c r="P74" s="7" t="str">
        <f>IF($C74="","",IF(COUNTA('RAW_농산물_9월'!$A:$A)&lt;=1,"",SUMIFS('RAW_농산물_9월'!$H:$H,'RAW_농산물_9월'!$D:$D,$C74,'RAW_농산물_9월'!$A:$A,$E74)-SUMIFS('RAW_농산물_8월'!$H:$H,'RAW_농산물_8월'!$D:$D,$C74,'RAW_농산물_8월'!$A:$A,$E74)))</f>
        <v/>
      </c>
      <c r="Q74" s="7" t="str">
        <f>IF($C74="","",IF(COUNTA('RAW_농산물_10월'!$A:$A)&lt;=1,"",SUMIFS('RAW_농산물_10월'!$H:$H,'RAW_농산물_10월'!$D:$D,$C74,'RAW_농산물_10월'!$A:$A,$E74)-SUMIFS('RAW_농산물_9월'!$H:$H,'RAW_농산물_9월'!$D:$D,$C74,'RAW_농산물_9월'!$A:$A,$E74)))</f>
        <v/>
      </c>
      <c r="R74" s="7" t="str">
        <f>IF($C74="","",IF(COUNTA('RAW_농산물_11-12월'!$A:$A)&lt;=1,"",SUMIFS('RAW_농산물_11-12월'!$H:$H,'RAW_농산물_11-12월'!$D:$D,$C74,'RAW_농산물_11-12월'!$A:$A,$E74)-SUMIFS('RAW_농산물_10월'!$H:$H,'RAW_농산물_10월'!$D:$D,$C74,'RAW_농산물_10월'!$A:$A,$E74)))</f>
        <v/>
      </c>
      <c r="S74" s="17" t="str">
        <f t="shared" si="4"/>
        <v>O</v>
      </c>
      <c r="T74" s="17" t="str">
        <f t="shared" si="5"/>
        <v>500만원 미만</v>
      </c>
      <c r="U74" s="7">
        <f>IF($C74="",0,IF('설정'!$B$3=0,0,CHOOSE('설정'!$B$3,COUNTIFS('RAW_농산물_7월'!$D:$D,$C74,'RAW_농산물_7월'!$A:$A,$E74),COUNTIFS('RAW_농산물_8월'!$D:$D,$C74,'RAW_농산물_8월'!$A:$A,$E74),COUNTIFS('RAW_농산물_9월'!$D:$D,$C74,'RAW_농산물_9월'!$A:$A,$E74),COUNTIFS('RAW_농산물_10월'!$D:$D,$C74,'RAW_농산물_10월'!$A:$A,$E74),COUNTIFS('RAW_농산물_11-12월'!$D:$D,$C74,'RAW_농산물_11-12월'!$A:$A,$E74))))</f>
        <v>2</v>
      </c>
    </row>
    <row r="75" ht="15.75" customHeight="1">
      <c r="A75" s="5">
        <v>73.0</v>
      </c>
      <c r="B75" s="5" t="s">
        <v>25</v>
      </c>
      <c r="C75" s="5" t="s">
        <v>858</v>
      </c>
      <c r="D75" s="6" t="s">
        <v>857</v>
      </c>
      <c r="E75" s="5" t="s">
        <v>28</v>
      </c>
      <c r="F75" s="7">
        <f>IF($C75="","",IF('설정'!$B$3=0,"",CHOOSE('설정'!$B$3,SUMIFS('RAW_농산물_7월'!$F:$F,'RAW_농산물_7월'!$D:$D,$C75,'RAW_농산물_7월'!$A:$A,$E75),SUMIFS('RAW_농산물_8월'!$F:$F,'RAW_농산물_8월'!$D:$D,$C75,'RAW_농산물_8월'!$A:$A,$E75),SUMIFS('RAW_농산물_9월'!$F:$F,'RAW_농산물_9월'!$D:$D,$C75,'RAW_농산물_9월'!$A:$A,$E75),SUMIFS('RAW_농산물_10월'!$F:$F,'RAW_농산물_10월'!$D:$D,$C75,'RAW_농산물_10월'!$A:$A,$E75),SUMIFS('RAW_농산물_11-12월'!$F:$F,'RAW_농산물_11-12월'!$D:$D,$C75,'RAW_농산물_11-12월'!$A:$A,$E75))))</f>
        <v>796</v>
      </c>
      <c r="G75" s="7">
        <f>IF($C75="","",IF('설정'!$B$3=0,"",CHOOSE('설정'!$B$3,SUMIFS('RAW_농산물_7월'!$G:$G,'RAW_농산물_7월'!$D:$D,$C75,'RAW_농산물_7월'!$A:$A,$E75),SUMIFS('RAW_농산물_8월'!$G:$G,'RAW_농산물_8월'!$D:$D,$C75,'RAW_농산물_8월'!$A:$A,$E75),SUMIFS('RAW_농산물_9월'!$G:$G,'RAW_농산물_9월'!$D:$D,$C75,'RAW_농산물_9월'!$A:$A,$E75),SUMIFS('RAW_농산물_10월'!$G:$G,'RAW_농산물_10월'!$D:$D,$C75,'RAW_농산물_10월'!$A:$A,$E75),SUMIFS('RAW_농산물_11-12월'!$G:$G,'RAW_농산물_11-12월'!$D:$D,$C75,'RAW_농산물_11-12월'!$A:$A,$E75))))</f>
        <v>24063100</v>
      </c>
      <c r="H75" s="14">
        <f>IF($C75="","",IF('설정'!$B$3=0,"",CHOOSE('설정'!$B$3,SUMIFS('RAW_농산물_7월'!$H:$H,'RAW_농산물_7월'!$D:$D,$C75,'RAW_농산물_7월'!$A:$A,$E75),SUMIFS('RAW_농산물_8월'!$H:$H,'RAW_농산물_8월'!$D:$D,$C75,'RAW_농산물_8월'!$A:$A,$E75),SUMIFS('RAW_농산물_9월'!$H:$H,'RAW_농산물_9월'!$D:$D,$C75,'RAW_농산물_9월'!$A:$A,$E75),SUMIFS('RAW_농산물_10월'!$H:$H,'RAW_농산물_10월'!$D:$D,$C75,'RAW_농산물_10월'!$A:$A,$E75),SUMIFS('RAW_농산물_11-12월'!$H:$H,'RAW_농산물_11-12월'!$D:$D,$C75,'RAW_농산물_11-12월'!$A:$A,$E75))))</f>
        <v>4541120</v>
      </c>
      <c r="I75" s="17" t="str">
        <f>IF($C75="","",IF(COUNTIFS('RAW_농산물_7월'!$D:$D,$C75,'RAW_농산물_7월'!$A:$A,$E75)&gt;0,"O",""))</f>
        <v>O</v>
      </c>
      <c r="J75" s="17" t="str">
        <f>IF($C75="","",IF(COUNTIFS('RAW_농산물_8월'!$D:$D,$C75,'RAW_농산물_8월'!$A:$A,$E75)&gt;0,"O",""))</f>
        <v>O</v>
      </c>
      <c r="K75" s="17" t="str">
        <f>IF($C75="","",IF(COUNTIFS('RAW_농산물_9월'!$D:$D,$C75,'RAW_농산물_9월'!$A:$A,$E75)&gt;0,"O",""))</f>
        <v/>
      </c>
      <c r="L75" s="17" t="str">
        <f>IF($C75="","",IF(COUNTIFS('RAW_농산물_10월'!$D:$D,$C75,'RAW_농산물_10월'!$A:$A,$E75)&gt;0,"O",""))</f>
        <v/>
      </c>
      <c r="M75" s="17" t="str">
        <f>IF($C75="","",IF(COUNTIFS('RAW_농산물_11-12월'!$D:$D,$C75,'RAW_농산물_11-12월'!$A:$A,$E75)&gt;0,"O",""))</f>
        <v/>
      </c>
      <c r="N75" s="7">
        <f>IF($C75="","",IF(COUNTA('RAW_농산물_7월'!$A:$A)&lt;=1,"",SUMIFS('RAW_농산물_7월'!$H:$H,'RAW_농산물_7월'!$D:$D,$C75,'RAW_농산물_7월'!$A:$A,$E75)))</f>
        <v>100020</v>
      </c>
      <c r="O75" s="7">
        <f>IF($C75="","",IF(COUNTA('RAW_농산물_8월'!$A:$A)&lt;=1,"",SUMIFS('RAW_농산물_8월'!$H:$H,'RAW_농산물_8월'!$D:$D,$C75,'RAW_농산물_8월'!$A:$A,$E75)-SUMIFS('RAW_농산물_7월'!$H:$H,'RAW_농산물_7월'!$D:$D,$C75,'RAW_농산물_7월'!$A:$A,$E75)))</f>
        <v>4441100</v>
      </c>
      <c r="P75" s="7" t="str">
        <f>IF($C75="","",IF(COUNTA('RAW_농산물_9월'!$A:$A)&lt;=1,"",SUMIFS('RAW_농산물_9월'!$H:$H,'RAW_농산물_9월'!$D:$D,$C75,'RAW_농산물_9월'!$A:$A,$E75)-SUMIFS('RAW_농산물_8월'!$H:$H,'RAW_농산물_8월'!$D:$D,$C75,'RAW_농산물_8월'!$A:$A,$E75)))</f>
        <v/>
      </c>
      <c r="Q75" s="7" t="str">
        <f>IF($C75="","",IF(COUNTA('RAW_농산물_10월'!$A:$A)&lt;=1,"",SUMIFS('RAW_농산물_10월'!$H:$H,'RAW_농산물_10월'!$D:$D,$C75,'RAW_농산물_10월'!$A:$A,$E75)-SUMIFS('RAW_농산물_9월'!$H:$H,'RAW_농산물_9월'!$D:$D,$C75,'RAW_농산물_9월'!$A:$A,$E75)))</f>
        <v/>
      </c>
      <c r="R75" s="7" t="str">
        <f>IF($C75="","",IF(COUNTA('RAW_농산물_11-12월'!$A:$A)&lt;=1,"",SUMIFS('RAW_농산물_11-12월'!$H:$H,'RAW_농산물_11-12월'!$D:$D,$C75,'RAW_농산물_11-12월'!$A:$A,$E75)-SUMIFS('RAW_농산물_10월'!$H:$H,'RAW_농산물_10월'!$D:$D,$C75,'RAW_농산물_10월'!$A:$A,$E75)))</f>
        <v/>
      </c>
      <c r="S75" s="17" t="str">
        <f t="shared" si="4"/>
        <v>O</v>
      </c>
      <c r="T75" s="17" t="str">
        <f t="shared" si="5"/>
        <v>500만원 미만</v>
      </c>
      <c r="U75" s="7">
        <f>IF($C75="",0,IF('설정'!$B$3=0,0,CHOOSE('설정'!$B$3,COUNTIFS('RAW_농산물_7월'!$D:$D,$C75,'RAW_농산물_7월'!$A:$A,$E75),COUNTIFS('RAW_농산물_8월'!$D:$D,$C75,'RAW_농산물_8월'!$A:$A,$E75),COUNTIFS('RAW_농산물_9월'!$D:$D,$C75,'RAW_농산물_9월'!$A:$A,$E75),COUNTIFS('RAW_농산물_10월'!$D:$D,$C75,'RAW_농산물_10월'!$A:$A,$E75),COUNTIFS('RAW_농산물_11-12월'!$D:$D,$C75,'RAW_농산물_11-12월'!$A:$A,$E75))))</f>
        <v>19</v>
      </c>
    </row>
    <row r="76" ht="15.75" customHeight="1">
      <c r="A76" s="5">
        <v>74.0</v>
      </c>
      <c r="B76" s="5" t="s">
        <v>25</v>
      </c>
      <c r="C76" s="5" t="s">
        <v>421</v>
      </c>
      <c r="D76" s="6" t="s">
        <v>420</v>
      </c>
      <c r="E76" s="5" t="s">
        <v>92</v>
      </c>
      <c r="F76" s="7">
        <f>IF($C76="","",IF('설정'!$B$3=0,"",CHOOSE('설정'!$B$3,SUMIFS('RAW_농산물_7월'!$F:$F,'RAW_농산물_7월'!$D:$D,$C76,'RAW_농산물_7월'!$A:$A,$E76),SUMIFS('RAW_농산물_8월'!$F:$F,'RAW_농산물_8월'!$D:$D,$C76,'RAW_농산물_8월'!$A:$A,$E76),SUMIFS('RAW_농산물_9월'!$F:$F,'RAW_농산물_9월'!$D:$D,$C76,'RAW_농산물_9월'!$A:$A,$E76),SUMIFS('RAW_농산물_10월'!$F:$F,'RAW_농산물_10월'!$D:$D,$C76,'RAW_농산물_10월'!$A:$A,$E76),SUMIFS('RAW_농산물_11-12월'!$F:$F,'RAW_농산물_11-12월'!$D:$D,$C76,'RAW_농산물_11-12월'!$A:$A,$E76))))</f>
        <v>134</v>
      </c>
      <c r="G76" s="7">
        <f>IF($C76="","",IF('설정'!$B$3=0,"",CHOOSE('설정'!$B$3,SUMIFS('RAW_농산물_7월'!$G:$G,'RAW_농산물_7월'!$D:$D,$C76,'RAW_농산물_7월'!$A:$A,$E76),SUMIFS('RAW_농산물_8월'!$G:$G,'RAW_농산물_8월'!$D:$D,$C76,'RAW_농산물_8월'!$A:$A,$E76),SUMIFS('RAW_농산물_9월'!$G:$G,'RAW_농산물_9월'!$D:$D,$C76,'RAW_농산물_9월'!$A:$A,$E76),SUMIFS('RAW_농산물_10월'!$G:$G,'RAW_농산물_10월'!$D:$D,$C76,'RAW_농산물_10월'!$A:$A,$E76),SUMIFS('RAW_농산물_11-12월'!$G:$G,'RAW_농산물_11-12월'!$D:$D,$C76,'RAW_농산물_11-12월'!$A:$A,$E76))))</f>
        <v>4951000</v>
      </c>
      <c r="H76" s="14">
        <f>IF($C76="","",IF('설정'!$B$3=0,"",CHOOSE('설정'!$B$3,SUMIFS('RAW_농산물_7월'!$H:$H,'RAW_농산물_7월'!$D:$D,$C76,'RAW_농산물_7월'!$A:$A,$E76),SUMIFS('RAW_농산물_8월'!$H:$H,'RAW_농산물_8월'!$D:$D,$C76,'RAW_농산물_8월'!$A:$A,$E76),SUMIFS('RAW_농산물_9월'!$H:$H,'RAW_농산물_9월'!$D:$D,$C76,'RAW_농산물_9월'!$A:$A,$E76),SUMIFS('RAW_농산물_10월'!$H:$H,'RAW_농산물_10월'!$D:$D,$C76,'RAW_농산물_10월'!$A:$A,$E76),SUMIFS('RAW_농산물_11-12월'!$H:$H,'RAW_농산물_11-12월'!$D:$D,$C76,'RAW_농산물_11-12월'!$A:$A,$E76))))</f>
        <v>291780</v>
      </c>
      <c r="I76" s="17" t="str">
        <f>IF($C76="","",IF(COUNTIFS('RAW_농산물_7월'!$D:$D,$C76,'RAW_농산물_7월'!$A:$A,$E76)&gt;0,"O",""))</f>
        <v>O</v>
      </c>
      <c r="J76" s="17" t="str">
        <f>IF($C76="","",IF(COUNTIFS('RAW_농산물_8월'!$D:$D,$C76,'RAW_농산물_8월'!$A:$A,$E76)&gt;0,"O",""))</f>
        <v>O</v>
      </c>
      <c r="K76" s="17" t="str">
        <f>IF($C76="","",IF(COUNTIFS('RAW_농산물_9월'!$D:$D,$C76,'RAW_농산물_9월'!$A:$A,$E76)&gt;0,"O",""))</f>
        <v/>
      </c>
      <c r="L76" s="17" t="str">
        <f>IF($C76="","",IF(COUNTIFS('RAW_농산물_10월'!$D:$D,$C76,'RAW_농산물_10월'!$A:$A,$E76)&gt;0,"O",""))</f>
        <v/>
      </c>
      <c r="M76" s="17" t="str">
        <f>IF($C76="","",IF(COUNTIFS('RAW_농산물_11-12월'!$D:$D,$C76,'RAW_농산물_11-12월'!$A:$A,$E76)&gt;0,"O",""))</f>
        <v/>
      </c>
      <c r="N76" s="7">
        <f>IF($C76="","",IF(COUNTA('RAW_농산물_7월'!$A:$A)&lt;=1,"",SUMIFS('RAW_농산물_7월'!$H:$H,'RAW_농산물_7월'!$D:$D,$C76,'RAW_농산물_7월'!$A:$A,$E76)))</f>
        <v>99600</v>
      </c>
      <c r="O76" s="7">
        <f>IF($C76="","",IF(COUNTA('RAW_농산물_8월'!$A:$A)&lt;=1,"",SUMIFS('RAW_농산물_8월'!$H:$H,'RAW_농산물_8월'!$D:$D,$C76,'RAW_농산물_8월'!$A:$A,$E76)-SUMIFS('RAW_농산물_7월'!$H:$H,'RAW_농산물_7월'!$D:$D,$C76,'RAW_농산물_7월'!$A:$A,$E76)))</f>
        <v>192180</v>
      </c>
      <c r="P76" s="7" t="str">
        <f>IF($C76="","",IF(COUNTA('RAW_농산물_9월'!$A:$A)&lt;=1,"",SUMIFS('RAW_농산물_9월'!$H:$H,'RAW_농산물_9월'!$D:$D,$C76,'RAW_농산물_9월'!$A:$A,$E76)-SUMIFS('RAW_농산물_8월'!$H:$H,'RAW_농산물_8월'!$D:$D,$C76,'RAW_농산물_8월'!$A:$A,$E76)))</f>
        <v/>
      </c>
      <c r="Q76" s="7" t="str">
        <f>IF($C76="","",IF(COUNTA('RAW_농산물_10월'!$A:$A)&lt;=1,"",SUMIFS('RAW_농산물_10월'!$H:$H,'RAW_농산물_10월'!$D:$D,$C76,'RAW_농산물_10월'!$A:$A,$E76)-SUMIFS('RAW_농산물_9월'!$H:$H,'RAW_농산물_9월'!$D:$D,$C76,'RAW_농산물_9월'!$A:$A,$E76)))</f>
        <v/>
      </c>
      <c r="R76" s="7" t="str">
        <f>IF($C76="","",IF(COUNTA('RAW_농산물_11-12월'!$A:$A)&lt;=1,"",SUMIFS('RAW_농산물_11-12월'!$H:$H,'RAW_농산물_11-12월'!$D:$D,$C76,'RAW_농산물_11-12월'!$A:$A,$E76)-SUMIFS('RAW_농산물_10월'!$H:$H,'RAW_농산물_10월'!$D:$D,$C76,'RAW_농산물_10월'!$A:$A,$E76)))</f>
        <v/>
      </c>
      <c r="S76" s="17" t="str">
        <f t="shared" si="4"/>
        <v>O</v>
      </c>
      <c r="T76" s="17" t="str">
        <f t="shared" si="5"/>
        <v>50만원 미만</v>
      </c>
      <c r="U76" s="7">
        <f>IF($C76="",0,IF('설정'!$B$3=0,0,CHOOSE('설정'!$B$3,COUNTIFS('RAW_농산물_7월'!$D:$D,$C76,'RAW_농산물_7월'!$A:$A,$E76),COUNTIFS('RAW_농산물_8월'!$D:$D,$C76,'RAW_농산물_8월'!$A:$A,$E76),COUNTIFS('RAW_농산물_9월'!$D:$D,$C76,'RAW_농산물_9월'!$A:$A,$E76),COUNTIFS('RAW_농산물_10월'!$D:$D,$C76,'RAW_농산물_10월'!$A:$A,$E76),COUNTIFS('RAW_농산물_11-12월'!$D:$D,$C76,'RAW_농산물_11-12월'!$A:$A,$E76))))</f>
        <v>4</v>
      </c>
    </row>
    <row r="77" ht="15.75" customHeight="1">
      <c r="A77" s="5">
        <v>75.0</v>
      </c>
      <c r="B77" s="5" t="s">
        <v>25</v>
      </c>
      <c r="C77" s="5" t="s">
        <v>1581</v>
      </c>
      <c r="D77" s="6" t="s">
        <v>1580</v>
      </c>
      <c r="E77" s="5" t="s">
        <v>93</v>
      </c>
      <c r="F77" s="7">
        <f>IF($C77="","",IF('설정'!$B$3=0,"",CHOOSE('설정'!$B$3,SUMIFS('RAW_농산물_7월'!$F:$F,'RAW_농산물_7월'!$D:$D,$C77,'RAW_농산물_7월'!$A:$A,$E77),SUMIFS('RAW_농산물_8월'!$F:$F,'RAW_농산물_8월'!$D:$D,$C77,'RAW_농산물_8월'!$A:$A,$E77),SUMIFS('RAW_농산물_9월'!$F:$F,'RAW_농산물_9월'!$D:$D,$C77,'RAW_농산물_9월'!$A:$A,$E77),SUMIFS('RAW_농산물_10월'!$F:$F,'RAW_농산물_10월'!$D:$D,$C77,'RAW_농산물_10월'!$A:$A,$E77),SUMIFS('RAW_농산물_11-12월'!$F:$F,'RAW_농산물_11-12월'!$D:$D,$C77,'RAW_농산물_11-12월'!$A:$A,$E77))))</f>
        <v>560</v>
      </c>
      <c r="G77" s="7">
        <f>IF($C77="","",IF('설정'!$B$3=0,"",CHOOSE('설정'!$B$3,SUMIFS('RAW_농산물_7월'!$G:$G,'RAW_농산물_7월'!$D:$D,$C77,'RAW_농산물_7월'!$A:$A,$E77),SUMIFS('RAW_농산물_8월'!$G:$G,'RAW_농산물_8월'!$D:$D,$C77,'RAW_농산물_8월'!$A:$A,$E77),SUMIFS('RAW_농산물_9월'!$G:$G,'RAW_농산물_9월'!$D:$D,$C77,'RAW_농산물_9월'!$A:$A,$E77),SUMIFS('RAW_농산물_10월'!$G:$G,'RAW_농산물_10월'!$D:$D,$C77,'RAW_농산물_10월'!$A:$A,$E77),SUMIFS('RAW_농산물_11-12월'!$G:$G,'RAW_농산물_11-12월'!$D:$D,$C77,'RAW_농산물_11-12월'!$A:$A,$E77))))</f>
        <v>8922400</v>
      </c>
      <c r="H77" s="14">
        <f>IF($C77="","",IF('설정'!$B$3=0,"",CHOOSE('설정'!$B$3,SUMIFS('RAW_농산물_7월'!$H:$H,'RAW_농산물_7월'!$D:$D,$C77,'RAW_농산물_7월'!$A:$A,$E77),SUMIFS('RAW_농산물_8월'!$H:$H,'RAW_농산물_8월'!$D:$D,$C77,'RAW_농산물_8월'!$A:$A,$E77),SUMIFS('RAW_농산물_9월'!$H:$H,'RAW_농산물_9월'!$D:$D,$C77,'RAW_농산물_9월'!$A:$A,$E77),SUMIFS('RAW_농산물_10월'!$H:$H,'RAW_농산물_10월'!$D:$D,$C77,'RAW_농산물_10월'!$A:$A,$E77),SUMIFS('RAW_농산물_11-12월'!$H:$H,'RAW_농산물_11-12월'!$D:$D,$C77,'RAW_농산물_11-12월'!$A:$A,$E77))))</f>
        <v>522940</v>
      </c>
      <c r="I77" s="17" t="str">
        <f>IF($C77="","",IF(COUNTIFS('RAW_농산물_7월'!$D:$D,$C77,'RAW_농산물_7월'!$A:$A,$E77)&gt;0,"O",""))</f>
        <v>O</v>
      </c>
      <c r="J77" s="17" t="str">
        <f>IF($C77="","",IF(COUNTIFS('RAW_농산물_8월'!$D:$D,$C77,'RAW_농산물_8월'!$A:$A,$E77)&gt;0,"O",""))</f>
        <v>O</v>
      </c>
      <c r="K77" s="17" t="str">
        <f>IF($C77="","",IF(COUNTIFS('RAW_농산물_9월'!$D:$D,$C77,'RAW_농산물_9월'!$A:$A,$E77)&gt;0,"O",""))</f>
        <v/>
      </c>
      <c r="L77" s="17" t="str">
        <f>IF($C77="","",IF(COUNTIFS('RAW_농산물_10월'!$D:$D,$C77,'RAW_농산물_10월'!$A:$A,$E77)&gt;0,"O",""))</f>
        <v/>
      </c>
      <c r="M77" s="17" t="str">
        <f>IF($C77="","",IF(COUNTIFS('RAW_농산물_11-12월'!$D:$D,$C77,'RAW_농산물_11-12월'!$A:$A,$E77)&gt;0,"O",""))</f>
        <v/>
      </c>
      <c r="N77" s="7">
        <f>IF($C77="","",IF(COUNTA('RAW_농산물_7월'!$A:$A)&lt;=1,"",SUMIFS('RAW_농산물_7월'!$H:$H,'RAW_농산물_7월'!$D:$D,$C77,'RAW_농산물_7월'!$A:$A,$E77)))</f>
        <v>57260</v>
      </c>
      <c r="O77" s="7">
        <f>IF($C77="","",IF(COUNTA('RAW_농산물_8월'!$A:$A)&lt;=1,"",SUMIFS('RAW_농산물_8월'!$H:$H,'RAW_농산물_8월'!$D:$D,$C77,'RAW_농산물_8월'!$A:$A,$E77)-SUMIFS('RAW_농산물_7월'!$H:$H,'RAW_농산물_7월'!$D:$D,$C77,'RAW_농산물_7월'!$A:$A,$E77)))</f>
        <v>465680</v>
      </c>
      <c r="P77" s="7" t="str">
        <f>IF($C77="","",IF(COUNTA('RAW_농산물_9월'!$A:$A)&lt;=1,"",SUMIFS('RAW_농산물_9월'!$H:$H,'RAW_농산물_9월'!$D:$D,$C77,'RAW_농산물_9월'!$A:$A,$E77)-SUMIFS('RAW_농산물_8월'!$H:$H,'RAW_농산물_8월'!$D:$D,$C77,'RAW_농산물_8월'!$A:$A,$E77)))</f>
        <v/>
      </c>
      <c r="Q77" s="7" t="str">
        <f>IF($C77="","",IF(COUNTA('RAW_농산물_10월'!$A:$A)&lt;=1,"",SUMIFS('RAW_농산물_10월'!$H:$H,'RAW_농산물_10월'!$D:$D,$C77,'RAW_농산물_10월'!$A:$A,$E77)-SUMIFS('RAW_농산물_9월'!$H:$H,'RAW_농산물_9월'!$D:$D,$C77,'RAW_농산물_9월'!$A:$A,$E77)))</f>
        <v/>
      </c>
      <c r="R77" s="7" t="str">
        <f>IF($C77="","",IF(COUNTA('RAW_농산물_11-12월'!$A:$A)&lt;=1,"",SUMIFS('RAW_농산물_11-12월'!$H:$H,'RAW_농산물_11-12월'!$D:$D,$C77,'RAW_농산물_11-12월'!$A:$A,$E77)-SUMIFS('RAW_농산물_10월'!$H:$H,'RAW_농산물_10월'!$D:$D,$C77,'RAW_농산물_10월'!$A:$A,$E77)))</f>
        <v/>
      </c>
      <c r="S77" s="17" t="str">
        <f t="shared" si="4"/>
        <v>O</v>
      </c>
      <c r="T77" s="17" t="str">
        <f t="shared" si="5"/>
        <v>100만원 미만</v>
      </c>
      <c r="U77" s="7">
        <f>IF($C77="",0,IF('설정'!$B$3=0,0,CHOOSE('설정'!$B$3,COUNTIFS('RAW_농산물_7월'!$D:$D,$C77,'RAW_농산물_7월'!$A:$A,$E77),COUNTIFS('RAW_농산물_8월'!$D:$D,$C77,'RAW_농산물_8월'!$A:$A,$E77),COUNTIFS('RAW_농산물_9월'!$D:$D,$C77,'RAW_농산물_9월'!$A:$A,$E77),COUNTIFS('RAW_농산물_10월'!$D:$D,$C77,'RAW_농산물_10월'!$A:$A,$E77),COUNTIFS('RAW_농산물_11-12월'!$D:$D,$C77,'RAW_농산물_11-12월'!$A:$A,$E77))))</f>
        <v>11</v>
      </c>
    </row>
    <row r="78" ht="15.75" customHeight="1">
      <c r="A78" s="5">
        <v>76.0</v>
      </c>
      <c r="B78" s="5" t="s">
        <v>25</v>
      </c>
      <c r="C78" s="5" t="s">
        <v>285</v>
      </c>
      <c r="D78" s="6" t="s">
        <v>284</v>
      </c>
      <c r="E78" s="5" t="s">
        <v>92</v>
      </c>
      <c r="F78" s="7">
        <f>IF($C78="","",IF('설정'!$B$3=0,"",CHOOSE('설정'!$B$3,SUMIFS('RAW_농산물_7월'!$F:$F,'RAW_농산물_7월'!$D:$D,$C78,'RAW_농산물_7월'!$A:$A,$E78),SUMIFS('RAW_농산물_8월'!$F:$F,'RAW_농산물_8월'!$D:$D,$C78,'RAW_농산물_8월'!$A:$A,$E78),SUMIFS('RAW_농산물_9월'!$F:$F,'RAW_농산물_9월'!$D:$D,$C78,'RAW_농산물_9월'!$A:$A,$E78),SUMIFS('RAW_농산물_10월'!$F:$F,'RAW_농산물_10월'!$D:$D,$C78,'RAW_농산물_10월'!$A:$A,$E78),SUMIFS('RAW_농산물_11-12월'!$F:$F,'RAW_농산물_11-12월'!$D:$D,$C78,'RAW_농산물_11-12월'!$A:$A,$E78))))</f>
        <v>10299</v>
      </c>
      <c r="G78" s="7">
        <f>IF($C78="","",IF('설정'!$B$3=0,"",CHOOSE('설정'!$B$3,SUMIFS('RAW_농산물_7월'!$G:$G,'RAW_농산물_7월'!$D:$D,$C78,'RAW_농산물_7월'!$A:$A,$E78),SUMIFS('RAW_농산물_8월'!$G:$G,'RAW_농산물_8월'!$D:$D,$C78,'RAW_농산물_8월'!$A:$A,$E78),SUMIFS('RAW_농산물_9월'!$G:$G,'RAW_농산물_9월'!$D:$D,$C78,'RAW_농산물_9월'!$A:$A,$E78),SUMIFS('RAW_농산물_10월'!$G:$G,'RAW_농산물_10월'!$D:$D,$C78,'RAW_농산물_10월'!$A:$A,$E78),SUMIFS('RAW_농산물_11-12월'!$G:$G,'RAW_농산물_11-12월'!$D:$D,$C78,'RAW_농산물_11-12월'!$A:$A,$E78))))</f>
        <v>485645800</v>
      </c>
      <c r="H78" s="14">
        <f>IF($C78="","",IF('설정'!$B$3=0,"",CHOOSE('설정'!$B$3,SUMIFS('RAW_농산물_7월'!$H:$H,'RAW_농산물_7월'!$D:$D,$C78,'RAW_농산물_7월'!$A:$A,$E78),SUMIFS('RAW_농산물_8월'!$H:$H,'RAW_농산물_8월'!$D:$D,$C78,'RAW_농산물_8월'!$A:$A,$E78),SUMIFS('RAW_농산물_9월'!$H:$H,'RAW_농산물_9월'!$D:$D,$C78,'RAW_농산물_9월'!$A:$A,$E78),SUMIFS('RAW_농산물_10월'!$H:$H,'RAW_농산물_10월'!$D:$D,$C78,'RAW_농산물_10월'!$A:$A,$E78),SUMIFS('RAW_농산물_11-12월'!$H:$H,'RAW_농산물_11-12월'!$D:$D,$C78,'RAW_농산물_11-12월'!$A:$A,$E78))))</f>
        <v>5085890</v>
      </c>
      <c r="I78" s="17" t="str">
        <f>IF($C78="","",IF(COUNTIFS('RAW_농산물_7월'!$D:$D,$C78,'RAW_농산물_7월'!$A:$A,$E78)&gt;0,"O",""))</f>
        <v>O</v>
      </c>
      <c r="J78" s="17" t="str">
        <f>IF($C78="","",IF(COUNTIFS('RAW_농산물_8월'!$D:$D,$C78,'RAW_농산물_8월'!$A:$A,$E78)&gt;0,"O",""))</f>
        <v>O</v>
      </c>
      <c r="K78" s="17" t="str">
        <f>IF($C78="","",IF(COUNTIFS('RAW_농산물_9월'!$D:$D,$C78,'RAW_농산물_9월'!$A:$A,$E78)&gt;0,"O",""))</f>
        <v/>
      </c>
      <c r="L78" s="17" t="str">
        <f>IF($C78="","",IF(COUNTIFS('RAW_농산물_10월'!$D:$D,$C78,'RAW_농산물_10월'!$A:$A,$E78)&gt;0,"O",""))</f>
        <v/>
      </c>
      <c r="M78" s="17" t="str">
        <f>IF($C78="","",IF(COUNTIFS('RAW_농산물_11-12월'!$D:$D,$C78,'RAW_농산물_11-12월'!$A:$A,$E78)&gt;0,"O",""))</f>
        <v/>
      </c>
      <c r="N78" s="7">
        <f>IF($C78="","",IF(COUNTA('RAW_농산물_7월'!$A:$A)&lt;=1,"",SUMIFS('RAW_농산물_7월'!$H:$H,'RAW_농산물_7월'!$D:$D,$C78,'RAW_농산물_7월'!$A:$A,$E78)))</f>
        <v>5085890</v>
      </c>
      <c r="O78" s="7">
        <f>IF($C78="","",IF(COUNTA('RAW_농산물_8월'!$A:$A)&lt;=1,"",SUMIFS('RAW_농산물_8월'!$H:$H,'RAW_농산물_8월'!$D:$D,$C78,'RAW_농산물_8월'!$A:$A,$E78)-SUMIFS('RAW_농산물_7월'!$H:$H,'RAW_농산물_7월'!$D:$D,$C78,'RAW_농산물_7월'!$A:$A,$E78)))</f>
        <v>0</v>
      </c>
      <c r="P78" s="7" t="str">
        <f>IF($C78="","",IF(COUNTA('RAW_농산물_9월'!$A:$A)&lt;=1,"",SUMIFS('RAW_농산물_9월'!$H:$H,'RAW_농산물_9월'!$D:$D,$C78,'RAW_농산물_9월'!$A:$A,$E78)-SUMIFS('RAW_농산물_8월'!$H:$H,'RAW_농산물_8월'!$D:$D,$C78,'RAW_농산물_8월'!$A:$A,$E78)))</f>
        <v/>
      </c>
      <c r="Q78" s="7" t="str">
        <f>IF($C78="","",IF(COUNTA('RAW_농산물_10월'!$A:$A)&lt;=1,"",SUMIFS('RAW_농산물_10월'!$H:$H,'RAW_농산물_10월'!$D:$D,$C78,'RAW_농산물_10월'!$A:$A,$E78)-SUMIFS('RAW_농산물_9월'!$H:$H,'RAW_농산물_9월'!$D:$D,$C78,'RAW_농산물_9월'!$A:$A,$E78)))</f>
        <v/>
      </c>
      <c r="R78" s="7" t="str">
        <f>IF($C78="","",IF(COUNTA('RAW_농산물_11-12월'!$A:$A)&lt;=1,"",SUMIFS('RAW_농산물_11-12월'!$H:$H,'RAW_농산물_11-12월'!$D:$D,$C78,'RAW_농산물_11-12월'!$A:$A,$E78)-SUMIFS('RAW_농산물_10월'!$H:$H,'RAW_농산물_10월'!$D:$D,$C78,'RAW_농산물_10월'!$A:$A,$E78)))</f>
        <v/>
      </c>
      <c r="S78" s="17" t="str">
        <f t="shared" si="4"/>
        <v>O</v>
      </c>
      <c r="T78" s="17" t="str">
        <f t="shared" si="5"/>
        <v>600만원 미만</v>
      </c>
      <c r="U78" s="7">
        <f>IF($C78="",0,IF('설정'!$B$3=0,0,CHOOSE('설정'!$B$3,COUNTIFS('RAW_농산물_7월'!$D:$D,$C78,'RAW_농산물_7월'!$A:$A,$E78),COUNTIFS('RAW_농산물_8월'!$D:$D,$C78,'RAW_농산물_8월'!$A:$A,$E78),COUNTIFS('RAW_농산물_9월'!$D:$D,$C78,'RAW_농산물_9월'!$A:$A,$E78),COUNTIFS('RAW_농산물_10월'!$D:$D,$C78,'RAW_농산물_10월'!$A:$A,$E78),COUNTIFS('RAW_농산물_11-12월'!$D:$D,$C78,'RAW_농산물_11-12월'!$A:$A,$E78))))</f>
        <v>4</v>
      </c>
    </row>
    <row r="79" ht="15.75" customHeight="1">
      <c r="A79" s="5">
        <v>77.0</v>
      </c>
      <c r="B79" s="5" t="s">
        <v>25</v>
      </c>
      <c r="C79" s="5" t="s">
        <v>282</v>
      </c>
      <c r="D79" s="6" t="s">
        <v>281</v>
      </c>
      <c r="E79" s="5" t="s">
        <v>92</v>
      </c>
      <c r="F79" s="7">
        <f>IF($C79="","",IF('설정'!$B$3=0,"",CHOOSE('설정'!$B$3,SUMIFS('RAW_농산물_7월'!$F:$F,'RAW_농산물_7월'!$D:$D,$C79,'RAW_농산물_7월'!$A:$A,$E79),SUMIFS('RAW_농산물_8월'!$F:$F,'RAW_농산물_8월'!$D:$D,$C79,'RAW_농산물_8월'!$A:$A,$E79),SUMIFS('RAW_농산물_9월'!$F:$F,'RAW_농산물_9월'!$D:$D,$C79,'RAW_농산물_9월'!$A:$A,$E79),SUMIFS('RAW_농산물_10월'!$F:$F,'RAW_농산물_10월'!$D:$D,$C79,'RAW_농산물_10월'!$A:$A,$E79),SUMIFS('RAW_농산물_11-12월'!$F:$F,'RAW_농산물_11-12월'!$D:$D,$C79,'RAW_농산물_11-12월'!$A:$A,$E79))))</f>
        <v>23956</v>
      </c>
      <c r="G79" s="7">
        <f>IF($C79="","",IF('설정'!$B$3=0,"",CHOOSE('설정'!$B$3,SUMIFS('RAW_농산물_7월'!$G:$G,'RAW_농산물_7월'!$D:$D,$C79,'RAW_농산물_7월'!$A:$A,$E79),SUMIFS('RAW_농산물_8월'!$G:$G,'RAW_농산물_8월'!$D:$D,$C79,'RAW_농산물_8월'!$A:$A,$E79),SUMIFS('RAW_농산물_9월'!$G:$G,'RAW_농산물_9월'!$D:$D,$C79,'RAW_농산물_9월'!$A:$A,$E79),SUMIFS('RAW_농산물_10월'!$G:$G,'RAW_농산물_10월'!$D:$D,$C79,'RAW_농산물_10월'!$A:$A,$E79),SUMIFS('RAW_농산물_11-12월'!$G:$G,'RAW_농산물_11-12월'!$D:$D,$C79,'RAW_농산물_11-12월'!$A:$A,$E79))))</f>
        <v>633266800</v>
      </c>
      <c r="H79" s="14">
        <f>IF($C79="","",IF('설정'!$B$3=0,"",CHOOSE('설정'!$B$3,SUMIFS('RAW_농산물_7월'!$H:$H,'RAW_농산물_7월'!$D:$D,$C79,'RAW_농산물_7월'!$A:$A,$E79),SUMIFS('RAW_농산물_8월'!$H:$H,'RAW_농산물_8월'!$D:$D,$C79,'RAW_농산물_8월'!$A:$A,$E79),SUMIFS('RAW_농산물_9월'!$H:$H,'RAW_농산물_9월'!$D:$D,$C79,'RAW_농산물_9월'!$A:$A,$E79),SUMIFS('RAW_농산물_10월'!$H:$H,'RAW_농산물_10월'!$D:$D,$C79,'RAW_농산물_10월'!$A:$A,$E79),SUMIFS('RAW_농산물_11-12월'!$H:$H,'RAW_농산물_11-12월'!$D:$D,$C79,'RAW_농산물_11-12월'!$A:$A,$E79))))</f>
        <v>2698820</v>
      </c>
      <c r="I79" s="17" t="str">
        <f>IF($C79="","",IF(COUNTIFS('RAW_농산물_7월'!$D:$D,$C79,'RAW_농산물_7월'!$A:$A,$E79)&gt;0,"O",""))</f>
        <v>O</v>
      </c>
      <c r="J79" s="17" t="str">
        <f>IF($C79="","",IF(COUNTIFS('RAW_농산물_8월'!$D:$D,$C79,'RAW_농산물_8월'!$A:$A,$E79)&gt;0,"O",""))</f>
        <v>O</v>
      </c>
      <c r="K79" s="17" t="str">
        <f>IF($C79="","",IF(COUNTIFS('RAW_농산물_9월'!$D:$D,$C79,'RAW_농산물_9월'!$A:$A,$E79)&gt;0,"O",""))</f>
        <v/>
      </c>
      <c r="L79" s="17" t="str">
        <f>IF($C79="","",IF(COUNTIFS('RAW_농산물_10월'!$D:$D,$C79,'RAW_농산물_10월'!$A:$A,$E79)&gt;0,"O",""))</f>
        <v/>
      </c>
      <c r="M79" s="17" t="str">
        <f>IF($C79="","",IF(COUNTIFS('RAW_농산물_11-12월'!$D:$D,$C79,'RAW_농산물_11-12월'!$A:$A,$E79)&gt;0,"O",""))</f>
        <v/>
      </c>
      <c r="N79" s="7">
        <f>IF($C79="","",IF(COUNTA('RAW_농산물_7월'!$A:$A)&lt;=1,"",SUMIFS('RAW_농산물_7월'!$H:$H,'RAW_농산물_7월'!$D:$D,$C79,'RAW_농산물_7월'!$A:$A,$E79)))</f>
        <v>2698820</v>
      </c>
      <c r="O79" s="7">
        <f>IF($C79="","",IF(COUNTA('RAW_농산물_8월'!$A:$A)&lt;=1,"",SUMIFS('RAW_농산물_8월'!$H:$H,'RAW_농산물_8월'!$D:$D,$C79,'RAW_농산물_8월'!$A:$A,$E79)-SUMIFS('RAW_농산물_7월'!$H:$H,'RAW_농산물_7월'!$D:$D,$C79,'RAW_농산물_7월'!$A:$A,$E79)))</f>
        <v>0</v>
      </c>
      <c r="P79" s="7" t="str">
        <f>IF($C79="","",IF(COUNTA('RAW_농산물_9월'!$A:$A)&lt;=1,"",SUMIFS('RAW_농산물_9월'!$H:$H,'RAW_농산물_9월'!$D:$D,$C79,'RAW_농산물_9월'!$A:$A,$E79)-SUMIFS('RAW_농산물_8월'!$H:$H,'RAW_농산물_8월'!$D:$D,$C79,'RAW_농산물_8월'!$A:$A,$E79)))</f>
        <v/>
      </c>
      <c r="Q79" s="7" t="str">
        <f>IF($C79="","",IF(COUNTA('RAW_농산물_10월'!$A:$A)&lt;=1,"",SUMIFS('RAW_농산물_10월'!$H:$H,'RAW_농산물_10월'!$D:$D,$C79,'RAW_농산물_10월'!$A:$A,$E79)-SUMIFS('RAW_농산물_9월'!$H:$H,'RAW_농산물_9월'!$D:$D,$C79,'RAW_농산물_9월'!$A:$A,$E79)))</f>
        <v/>
      </c>
      <c r="R79" s="7" t="str">
        <f>IF($C79="","",IF(COUNTA('RAW_농산물_11-12월'!$A:$A)&lt;=1,"",SUMIFS('RAW_농산물_11-12월'!$H:$H,'RAW_농산물_11-12월'!$D:$D,$C79,'RAW_농산물_11-12월'!$A:$A,$E79)-SUMIFS('RAW_농산물_10월'!$H:$H,'RAW_농산물_10월'!$D:$D,$C79,'RAW_농산물_10월'!$A:$A,$E79)))</f>
        <v/>
      </c>
      <c r="S79" s="17" t="str">
        <f t="shared" si="4"/>
        <v>O</v>
      </c>
      <c r="T79" s="17" t="str">
        <f t="shared" si="5"/>
        <v>300만원 미만</v>
      </c>
      <c r="U79" s="7">
        <f>IF($C79="",0,IF('설정'!$B$3=0,0,CHOOSE('설정'!$B$3,COUNTIFS('RAW_농산물_7월'!$D:$D,$C79,'RAW_농산물_7월'!$A:$A,$E79),COUNTIFS('RAW_농산물_8월'!$D:$D,$C79,'RAW_농산물_8월'!$A:$A,$E79),COUNTIFS('RAW_농산물_9월'!$D:$D,$C79,'RAW_농산물_9월'!$A:$A,$E79),COUNTIFS('RAW_농산물_10월'!$D:$D,$C79,'RAW_농산물_10월'!$A:$A,$E79),COUNTIFS('RAW_농산물_11-12월'!$D:$D,$C79,'RAW_농산물_11-12월'!$A:$A,$E79))))</f>
        <v>4</v>
      </c>
    </row>
    <row r="80" ht="15.75" customHeight="1">
      <c r="A80" s="5">
        <v>78.0</v>
      </c>
      <c r="B80" s="5" t="s">
        <v>25</v>
      </c>
      <c r="C80" s="5" t="s">
        <v>1034</v>
      </c>
      <c r="D80" s="6" t="s">
        <v>2923</v>
      </c>
      <c r="E80" s="5" t="s">
        <v>28</v>
      </c>
      <c r="F80" s="7">
        <f>IF($C80="","",IF('설정'!$B$3=0,"",CHOOSE('설정'!$B$3,SUMIFS('RAW_농산물_7월'!$F:$F,'RAW_농산물_7월'!$D:$D,$C80,'RAW_농산물_7월'!$A:$A,$E80),SUMIFS('RAW_농산물_8월'!$F:$F,'RAW_농산물_8월'!$D:$D,$C80,'RAW_농산물_8월'!$A:$A,$E80),SUMIFS('RAW_농산물_9월'!$F:$F,'RAW_농산물_9월'!$D:$D,$C80,'RAW_농산물_9월'!$A:$A,$E80),SUMIFS('RAW_농산물_10월'!$F:$F,'RAW_농산물_10월'!$D:$D,$C80,'RAW_농산물_10월'!$A:$A,$E80),SUMIFS('RAW_농산물_11-12월'!$F:$F,'RAW_농산물_11-12월'!$D:$D,$C80,'RAW_농산물_11-12월'!$A:$A,$E80))))</f>
        <v>723</v>
      </c>
      <c r="G80" s="7">
        <f>IF($C80="","",IF('설정'!$B$3=0,"",CHOOSE('설정'!$B$3,SUMIFS('RAW_농산물_7월'!$G:$G,'RAW_농산물_7월'!$D:$D,$C80,'RAW_농산물_7월'!$A:$A,$E80),SUMIFS('RAW_농산물_8월'!$G:$G,'RAW_농산물_8월'!$D:$D,$C80,'RAW_농산물_8월'!$A:$A,$E80),SUMIFS('RAW_농산물_9월'!$G:$G,'RAW_농산물_9월'!$D:$D,$C80,'RAW_농산물_9월'!$A:$A,$E80),SUMIFS('RAW_농산물_10월'!$G:$G,'RAW_농산물_10월'!$D:$D,$C80,'RAW_농산물_10월'!$A:$A,$E80),SUMIFS('RAW_농산물_11-12월'!$G:$G,'RAW_농산물_11-12월'!$D:$D,$C80,'RAW_농산물_11-12월'!$A:$A,$E80))))</f>
        <v>26083350</v>
      </c>
      <c r="H80" s="14">
        <f>IF($C80="","",IF('설정'!$B$3=0,"",CHOOSE('설정'!$B$3,SUMIFS('RAW_농산물_7월'!$H:$H,'RAW_농산물_7월'!$D:$D,$C80,'RAW_농산물_7월'!$A:$A,$E80),SUMIFS('RAW_농산물_8월'!$H:$H,'RAW_농산물_8월'!$D:$D,$C80,'RAW_농산물_8월'!$A:$A,$E80),SUMIFS('RAW_농산물_9월'!$H:$H,'RAW_농산물_9월'!$D:$D,$C80,'RAW_농산물_9월'!$A:$A,$E80),SUMIFS('RAW_농산물_10월'!$H:$H,'RAW_농산물_10월'!$D:$D,$C80,'RAW_농산물_10월'!$A:$A,$E80),SUMIFS('RAW_농산물_11-12월'!$H:$H,'RAW_농산물_11-12월'!$D:$D,$C80,'RAW_농산물_11-12월'!$A:$A,$E80))))</f>
        <v>5105280</v>
      </c>
      <c r="I80" s="17" t="str">
        <f>IF($C80="","",IF(COUNTIFS('RAW_농산물_7월'!$D:$D,$C80,'RAW_농산물_7월'!$A:$A,$E80)&gt;0,"O",""))</f>
        <v>O</v>
      </c>
      <c r="J80" s="17" t="str">
        <f>IF($C80="","",IF(COUNTIFS('RAW_농산물_8월'!$D:$D,$C80,'RAW_농산물_8월'!$A:$A,$E80)&gt;0,"O",""))</f>
        <v>O</v>
      </c>
      <c r="K80" s="17" t="str">
        <f>IF($C80="","",IF(COUNTIFS('RAW_농산물_9월'!$D:$D,$C80,'RAW_농산물_9월'!$A:$A,$E80)&gt;0,"O",""))</f>
        <v/>
      </c>
      <c r="L80" s="17" t="str">
        <f>IF($C80="","",IF(COUNTIFS('RAW_농산물_10월'!$D:$D,$C80,'RAW_농산물_10월'!$A:$A,$E80)&gt;0,"O",""))</f>
        <v/>
      </c>
      <c r="M80" s="17" t="str">
        <f>IF($C80="","",IF(COUNTIFS('RAW_농산물_11-12월'!$D:$D,$C80,'RAW_농산물_11-12월'!$A:$A,$E80)&gt;0,"O",""))</f>
        <v/>
      </c>
      <c r="N80" s="7">
        <f>IF($C80="","",IF(COUNTA('RAW_농산물_7월'!$A:$A)&lt;=1,"",SUMIFS('RAW_농산물_7월'!$H:$H,'RAW_농산물_7월'!$D:$D,$C80,'RAW_농산물_7월'!$A:$A,$E80)))</f>
        <v>5105280</v>
      </c>
      <c r="O80" s="7">
        <f>IF($C80="","",IF(COUNTA('RAW_농산물_8월'!$A:$A)&lt;=1,"",SUMIFS('RAW_농산물_8월'!$H:$H,'RAW_농산물_8월'!$D:$D,$C80,'RAW_농산물_8월'!$A:$A,$E80)-SUMIFS('RAW_농산물_7월'!$H:$H,'RAW_농산물_7월'!$D:$D,$C80,'RAW_농산물_7월'!$A:$A,$E80)))</f>
        <v>0</v>
      </c>
      <c r="P80" s="7" t="str">
        <f>IF($C80="","",IF(COUNTA('RAW_농산물_9월'!$A:$A)&lt;=1,"",SUMIFS('RAW_농산물_9월'!$H:$H,'RAW_농산물_9월'!$D:$D,$C80,'RAW_농산물_9월'!$A:$A,$E80)-SUMIFS('RAW_농산물_8월'!$H:$H,'RAW_농산물_8월'!$D:$D,$C80,'RAW_농산물_8월'!$A:$A,$E80)))</f>
        <v/>
      </c>
      <c r="Q80" s="7" t="str">
        <f>IF($C80="","",IF(COUNTA('RAW_농산물_10월'!$A:$A)&lt;=1,"",SUMIFS('RAW_농산물_10월'!$H:$H,'RAW_농산물_10월'!$D:$D,$C80,'RAW_농산물_10월'!$A:$A,$E80)-SUMIFS('RAW_농산물_9월'!$H:$H,'RAW_농산물_9월'!$D:$D,$C80,'RAW_농산물_9월'!$A:$A,$E80)))</f>
        <v/>
      </c>
      <c r="R80" s="7" t="str">
        <f>IF($C80="","",IF(COUNTA('RAW_농산물_11-12월'!$A:$A)&lt;=1,"",SUMIFS('RAW_농산물_11-12월'!$H:$H,'RAW_농산물_11-12월'!$D:$D,$C80,'RAW_농산물_11-12월'!$A:$A,$E80)-SUMIFS('RAW_농산물_10월'!$H:$H,'RAW_농산물_10월'!$D:$D,$C80,'RAW_농산물_10월'!$A:$A,$E80)))</f>
        <v/>
      </c>
      <c r="S80" s="17" t="str">
        <f t="shared" si="4"/>
        <v>O</v>
      </c>
      <c r="T80" s="17" t="str">
        <f t="shared" si="5"/>
        <v>600만원 미만</v>
      </c>
      <c r="U80" s="7">
        <f>IF($C80="",0,IF('설정'!$B$3=0,0,CHOOSE('설정'!$B$3,COUNTIFS('RAW_농산물_7월'!$D:$D,$C80,'RAW_농산물_7월'!$A:$A,$E80),COUNTIFS('RAW_농산물_8월'!$D:$D,$C80,'RAW_농산물_8월'!$A:$A,$E80),COUNTIFS('RAW_농산물_9월'!$D:$D,$C80,'RAW_농산물_9월'!$A:$A,$E80),COUNTIFS('RAW_농산물_10월'!$D:$D,$C80,'RAW_농산물_10월'!$A:$A,$E80),COUNTIFS('RAW_농산물_11-12월'!$D:$D,$C80,'RAW_농산물_11-12월'!$A:$A,$E80))))</f>
        <v>4</v>
      </c>
    </row>
    <row r="81" ht="15.75" customHeight="1">
      <c r="A81" s="5">
        <v>79.0</v>
      </c>
      <c r="B81" s="5" t="s">
        <v>25</v>
      </c>
      <c r="C81" s="5" t="s">
        <v>1383</v>
      </c>
      <c r="D81" s="6" t="s">
        <v>1382</v>
      </c>
      <c r="E81" s="5" t="s">
        <v>93</v>
      </c>
      <c r="F81" s="7">
        <f>IF($C81="","",IF('설정'!$B$3=0,"",CHOOSE('설정'!$B$3,SUMIFS('RAW_농산물_7월'!$F:$F,'RAW_농산물_7월'!$D:$D,$C81,'RAW_농산물_7월'!$A:$A,$E81),SUMIFS('RAW_농산물_8월'!$F:$F,'RAW_농산물_8월'!$D:$D,$C81,'RAW_농산물_8월'!$A:$A,$E81),SUMIFS('RAW_농산물_9월'!$F:$F,'RAW_농산물_9월'!$D:$D,$C81,'RAW_농산물_9월'!$A:$A,$E81),SUMIFS('RAW_농산물_10월'!$F:$F,'RAW_농산물_10월'!$D:$D,$C81,'RAW_농산물_10월'!$A:$A,$E81),SUMIFS('RAW_농산물_11-12월'!$F:$F,'RAW_농산물_11-12월'!$D:$D,$C81,'RAW_농산물_11-12월'!$A:$A,$E81))))</f>
        <v>929</v>
      </c>
      <c r="G81" s="7">
        <f>IF($C81="","",IF('설정'!$B$3=0,"",CHOOSE('설정'!$B$3,SUMIFS('RAW_농산물_7월'!$G:$G,'RAW_농산물_7월'!$D:$D,$C81,'RAW_농산물_7월'!$A:$A,$E81),SUMIFS('RAW_농산물_8월'!$G:$G,'RAW_농산물_8월'!$D:$D,$C81,'RAW_농산물_8월'!$A:$A,$E81),SUMIFS('RAW_농산물_9월'!$G:$G,'RAW_농산물_9월'!$D:$D,$C81,'RAW_농산물_9월'!$A:$A,$E81),SUMIFS('RAW_농산물_10월'!$G:$G,'RAW_농산물_10월'!$D:$D,$C81,'RAW_농산물_10월'!$A:$A,$E81),SUMIFS('RAW_농산물_11-12월'!$G:$G,'RAW_농산물_11-12월'!$D:$D,$C81,'RAW_농산물_11-12월'!$A:$A,$E81))))</f>
        <v>39533200</v>
      </c>
      <c r="H81" s="14">
        <f>IF($C81="","",IF('설정'!$B$3=0,"",CHOOSE('설정'!$B$3,SUMIFS('RAW_농산물_7월'!$H:$H,'RAW_농산물_7월'!$D:$D,$C81,'RAW_농산물_7월'!$A:$A,$E81),SUMIFS('RAW_농산물_8월'!$H:$H,'RAW_농산물_8월'!$D:$D,$C81,'RAW_농산물_8월'!$A:$A,$E81),SUMIFS('RAW_농산물_9월'!$H:$H,'RAW_농산물_9월'!$D:$D,$C81,'RAW_농산물_9월'!$A:$A,$E81),SUMIFS('RAW_농산물_10월'!$H:$H,'RAW_농산물_10월'!$D:$D,$C81,'RAW_농산물_10월'!$A:$A,$E81),SUMIFS('RAW_농산물_11-12월'!$H:$H,'RAW_농산물_11-12월'!$D:$D,$C81,'RAW_농산물_11-12월'!$A:$A,$E81))))</f>
        <v>1667520</v>
      </c>
      <c r="I81" s="17" t="str">
        <f>IF($C81="","",IF(COUNTIFS('RAW_농산물_7월'!$D:$D,$C81,'RAW_농산물_7월'!$A:$A,$E81)&gt;0,"O",""))</f>
        <v>O</v>
      </c>
      <c r="J81" s="17" t="str">
        <f>IF($C81="","",IF(COUNTIFS('RAW_농산물_8월'!$D:$D,$C81,'RAW_농산물_8월'!$A:$A,$E81)&gt;0,"O",""))</f>
        <v>O</v>
      </c>
      <c r="K81" s="17" t="str">
        <f>IF($C81="","",IF(COUNTIFS('RAW_농산물_9월'!$D:$D,$C81,'RAW_농산물_9월'!$A:$A,$E81)&gt;0,"O",""))</f>
        <v/>
      </c>
      <c r="L81" s="17" t="str">
        <f>IF($C81="","",IF(COUNTIFS('RAW_농산물_10월'!$D:$D,$C81,'RAW_농산물_10월'!$A:$A,$E81)&gt;0,"O",""))</f>
        <v/>
      </c>
      <c r="M81" s="17" t="str">
        <f>IF($C81="","",IF(COUNTIFS('RAW_농산물_11-12월'!$D:$D,$C81,'RAW_농산물_11-12월'!$A:$A,$E81)&gt;0,"O",""))</f>
        <v/>
      </c>
      <c r="N81" s="7">
        <f>IF($C81="","",IF(COUNTA('RAW_농산물_7월'!$A:$A)&lt;=1,"",SUMIFS('RAW_농산물_7월'!$H:$H,'RAW_농산물_7월'!$D:$D,$C81,'RAW_농산물_7월'!$A:$A,$E81)))</f>
        <v>1667520</v>
      </c>
      <c r="O81" s="7">
        <f>IF($C81="","",IF(COUNTA('RAW_농산물_8월'!$A:$A)&lt;=1,"",SUMIFS('RAW_농산물_8월'!$H:$H,'RAW_농산물_8월'!$D:$D,$C81,'RAW_농산물_8월'!$A:$A,$E81)-SUMIFS('RAW_농산물_7월'!$H:$H,'RAW_농산물_7월'!$D:$D,$C81,'RAW_농산물_7월'!$A:$A,$E81)))</f>
        <v>0</v>
      </c>
      <c r="P81" s="7" t="str">
        <f>IF($C81="","",IF(COUNTA('RAW_농산물_9월'!$A:$A)&lt;=1,"",SUMIFS('RAW_농산물_9월'!$H:$H,'RAW_농산물_9월'!$D:$D,$C81,'RAW_농산물_9월'!$A:$A,$E81)-SUMIFS('RAW_농산물_8월'!$H:$H,'RAW_농산물_8월'!$D:$D,$C81,'RAW_농산물_8월'!$A:$A,$E81)))</f>
        <v/>
      </c>
      <c r="Q81" s="7" t="str">
        <f>IF($C81="","",IF(COUNTA('RAW_농산물_10월'!$A:$A)&lt;=1,"",SUMIFS('RAW_농산물_10월'!$H:$H,'RAW_농산물_10월'!$D:$D,$C81,'RAW_농산물_10월'!$A:$A,$E81)-SUMIFS('RAW_농산물_9월'!$H:$H,'RAW_농산물_9월'!$D:$D,$C81,'RAW_농산물_9월'!$A:$A,$E81)))</f>
        <v/>
      </c>
      <c r="R81" s="7" t="str">
        <f>IF($C81="","",IF(COUNTA('RAW_농산물_11-12월'!$A:$A)&lt;=1,"",SUMIFS('RAW_농산물_11-12월'!$H:$H,'RAW_농산물_11-12월'!$D:$D,$C81,'RAW_농산물_11-12월'!$A:$A,$E81)-SUMIFS('RAW_농산물_10월'!$H:$H,'RAW_농산물_10월'!$D:$D,$C81,'RAW_농산물_10월'!$A:$A,$E81)))</f>
        <v/>
      </c>
      <c r="S81" s="17" t="str">
        <f t="shared" si="4"/>
        <v>O</v>
      </c>
      <c r="T81" s="17" t="str">
        <f t="shared" si="5"/>
        <v>200만원 미만</v>
      </c>
      <c r="U81" s="7">
        <f>IF($C81="",0,IF('설정'!$B$3=0,0,CHOOSE('설정'!$B$3,COUNTIFS('RAW_농산물_7월'!$D:$D,$C81,'RAW_농산물_7월'!$A:$A,$E81),COUNTIFS('RAW_농산물_8월'!$D:$D,$C81,'RAW_농산물_8월'!$A:$A,$E81),COUNTIFS('RAW_농산물_9월'!$D:$D,$C81,'RAW_농산물_9월'!$A:$A,$E81),COUNTIFS('RAW_농산물_10월'!$D:$D,$C81,'RAW_농산물_10월'!$A:$A,$E81),COUNTIFS('RAW_농산물_11-12월'!$D:$D,$C81,'RAW_농산물_11-12월'!$A:$A,$E81))))</f>
        <v>9</v>
      </c>
    </row>
    <row r="82" ht="15.75" customHeight="1">
      <c r="A82" s="5">
        <v>80.0</v>
      </c>
      <c r="B82" s="5" t="s">
        <v>25</v>
      </c>
      <c r="C82" s="5" t="s">
        <v>337</v>
      </c>
      <c r="D82" s="6" t="s">
        <v>336</v>
      </c>
      <c r="E82" s="5" t="s">
        <v>92</v>
      </c>
      <c r="F82" s="7">
        <f>IF($C82="","",IF('설정'!$B$3=0,"",CHOOSE('설정'!$B$3,SUMIFS('RAW_농산물_7월'!$F:$F,'RAW_농산물_7월'!$D:$D,$C82,'RAW_농산물_7월'!$A:$A,$E82),SUMIFS('RAW_농산물_8월'!$F:$F,'RAW_농산물_8월'!$D:$D,$C82,'RAW_농산물_8월'!$A:$A,$E82),SUMIFS('RAW_농산물_9월'!$F:$F,'RAW_농산물_9월'!$D:$D,$C82,'RAW_농산물_9월'!$A:$A,$E82),SUMIFS('RAW_농산물_10월'!$F:$F,'RAW_농산물_10월'!$D:$D,$C82,'RAW_농산물_10월'!$A:$A,$E82),SUMIFS('RAW_농산물_11-12월'!$F:$F,'RAW_농산물_11-12월'!$D:$D,$C82,'RAW_농산물_11-12월'!$A:$A,$E82))))</f>
        <v>414</v>
      </c>
      <c r="G82" s="7">
        <f>IF($C82="","",IF('설정'!$B$3=0,"",CHOOSE('설정'!$B$3,SUMIFS('RAW_농산물_7월'!$G:$G,'RAW_농산물_7월'!$D:$D,$C82,'RAW_농산물_7월'!$A:$A,$E82),SUMIFS('RAW_농산물_8월'!$G:$G,'RAW_농산물_8월'!$D:$D,$C82,'RAW_농산물_8월'!$A:$A,$E82),SUMIFS('RAW_농산물_9월'!$G:$G,'RAW_농산물_9월'!$D:$D,$C82,'RAW_농산물_9월'!$A:$A,$E82),SUMIFS('RAW_농산물_10월'!$G:$G,'RAW_농산물_10월'!$D:$D,$C82,'RAW_농산물_10월'!$A:$A,$E82),SUMIFS('RAW_농산물_11-12월'!$G:$G,'RAW_농산물_11-12월'!$D:$D,$C82,'RAW_농산물_11-12월'!$A:$A,$E82))))</f>
        <v>14786120</v>
      </c>
      <c r="H82" s="14">
        <f>IF($C82="","",IF('설정'!$B$3=0,"",CHOOSE('설정'!$B$3,SUMIFS('RAW_농산물_7월'!$H:$H,'RAW_농산물_7월'!$D:$D,$C82,'RAW_농산물_7월'!$A:$A,$E82),SUMIFS('RAW_농산물_8월'!$H:$H,'RAW_농산물_8월'!$D:$D,$C82,'RAW_농산물_8월'!$A:$A,$E82),SUMIFS('RAW_농산물_9월'!$H:$H,'RAW_농산물_9월'!$D:$D,$C82,'RAW_농산물_9월'!$A:$A,$E82),SUMIFS('RAW_농산물_10월'!$H:$H,'RAW_농산물_10월'!$D:$D,$C82,'RAW_농산물_10월'!$A:$A,$E82),SUMIFS('RAW_농산물_11-12월'!$H:$H,'RAW_농산물_11-12월'!$D:$D,$C82,'RAW_농산물_11-12월'!$A:$A,$E82))))</f>
        <v>1786630</v>
      </c>
      <c r="I82" s="17" t="str">
        <f>IF($C82="","",IF(COUNTIFS('RAW_농산물_7월'!$D:$D,$C82,'RAW_농산물_7월'!$A:$A,$E82)&gt;0,"O",""))</f>
        <v>O</v>
      </c>
      <c r="J82" s="17" t="str">
        <f>IF($C82="","",IF(COUNTIFS('RAW_농산물_8월'!$D:$D,$C82,'RAW_농산물_8월'!$A:$A,$E82)&gt;0,"O",""))</f>
        <v>O</v>
      </c>
      <c r="K82" s="17" t="str">
        <f>IF($C82="","",IF(COUNTIFS('RAW_농산물_9월'!$D:$D,$C82,'RAW_농산물_9월'!$A:$A,$E82)&gt;0,"O",""))</f>
        <v/>
      </c>
      <c r="L82" s="17" t="str">
        <f>IF($C82="","",IF(COUNTIFS('RAW_농산물_10월'!$D:$D,$C82,'RAW_농산물_10월'!$A:$A,$E82)&gt;0,"O",""))</f>
        <v/>
      </c>
      <c r="M82" s="17" t="str">
        <f>IF($C82="","",IF(COUNTIFS('RAW_농산물_11-12월'!$D:$D,$C82,'RAW_농산물_11-12월'!$A:$A,$E82)&gt;0,"O",""))</f>
        <v/>
      </c>
      <c r="N82" s="7">
        <f>IF($C82="","",IF(COUNTA('RAW_농산물_7월'!$A:$A)&lt;=1,"",SUMIFS('RAW_농산물_7월'!$H:$H,'RAW_농산물_7월'!$D:$D,$C82,'RAW_농산물_7월'!$A:$A,$E82)))</f>
        <v>878100</v>
      </c>
      <c r="O82" s="7">
        <f>IF($C82="","",IF(COUNTA('RAW_농산물_8월'!$A:$A)&lt;=1,"",SUMIFS('RAW_농산물_8월'!$H:$H,'RAW_농산물_8월'!$D:$D,$C82,'RAW_농산물_8월'!$A:$A,$E82)-SUMIFS('RAW_농산물_7월'!$H:$H,'RAW_농산물_7월'!$D:$D,$C82,'RAW_농산물_7월'!$A:$A,$E82)))</f>
        <v>908530</v>
      </c>
      <c r="P82" s="7" t="str">
        <f>IF($C82="","",IF(COUNTA('RAW_농산물_9월'!$A:$A)&lt;=1,"",SUMIFS('RAW_농산물_9월'!$H:$H,'RAW_농산물_9월'!$D:$D,$C82,'RAW_농산물_9월'!$A:$A,$E82)-SUMIFS('RAW_농산물_8월'!$H:$H,'RAW_농산물_8월'!$D:$D,$C82,'RAW_농산물_8월'!$A:$A,$E82)))</f>
        <v/>
      </c>
      <c r="Q82" s="7" t="str">
        <f>IF($C82="","",IF(COUNTA('RAW_농산물_10월'!$A:$A)&lt;=1,"",SUMIFS('RAW_농산물_10월'!$H:$H,'RAW_농산물_10월'!$D:$D,$C82,'RAW_농산물_10월'!$A:$A,$E82)-SUMIFS('RAW_농산물_9월'!$H:$H,'RAW_농산물_9월'!$D:$D,$C82,'RAW_농산물_9월'!$A:$A,$E82)))</f>
        <v/>
      </c>
      <c r="R82" s="7" t="str">
        <f>IF($C82="","",IF(COUNTA('RAW_농산물_11-12월'!$A:$A)&lt;=1,"",SUMIFS('RAW_농산물_11-12월'!$H:$H,'RAW_농산물_11-12월'!$D:$D,$C82,'RAW_농산물_11-12월'!$A:$A,$E82)-SUMIFS('RAW_농산물_10월'!$H:$H,'RAW_농산물_10월'!$D:$D,$C82,'RAW_농산물_10월'!$A:$A,$E82)))</f>
        <v/>
      </c>
      <c r="S82" s="17" t="str">
        <f t="shared" si="4"/>
        <v>O</v>
      </c>
      <c r="T82" s="17" t="str">
        <f t="shared" si="5"/>
        <v>200만원 미만</v>
      </c>
      <c r="U82" s="7">
        <f>IF($C82="",0,IF('설정'!$B$3=0,0,CHOOSE('설정'!$B$3,COUNTIFS('RAW_농산물_7월'!$D:$D,$C82,'RAW_농산물_7월'!$A:$A,$E82),COUNTIFS('RAW_농산물_8월'!$D:$D,$C82,'RAW_농산물_8월'!$A:$A,$E82),COUNTIFS('RAW_농산물_9월'!$D:$D,$C82,'RAW_농산물_9월'!$A:$A,$E82),COUNTIFS('RAW_농산물_10월'!$D:$D,$C82,'RAW_농산물_10월'!$A:$A,$E82),COUNTIFS('RAW_농산물_11-12월'!$D:$D,$C82,'RAW_농산물_11-12월'!$A:$A,$E82))))</f>
        <v>13</v>
      </c>
    </row>
    <row r="83" ht="15.75" customHeight="1">
      <c r="A83" s="5">
        <v>81.0</v>
      </c>
      <c r="B83" s="5" t="s">
        <v>25</v>
      </c>
      <c r="C83" s="5" t="s">
        <v>1751</v>
      </c>
      <c r="D83" s="6" t="s">
        <v>2924</v>
      </c>
      <c r="E83" s="5" t="s">
        <v>31</v>
      </c>
      <c r="F83" s="7">
        <f>IF($C83="","",IF('설정'!$B$3=0,"",CHOOSE('설정'!$B$3,SUMIFS('RAW_농산물_7월'!$F:$F,'RAW_농산물_7월'!$D:$D,$C83,'RAW_농산물_7월'!$A:$A,$E83),SUMIFS('RAW_농산물_8월'!$F:$F,'RAW_농산물_8월'!$D:$D,$C83,'RAW_농산물_8월'!$A:$A,$E83),SUMIFS('RAW_농산물_9월'!$F:$F,'RAW_농산물_9월'!$D:$D,$C83,'RAW_농산물_9월'!$A:$A,$E83),SUMIFS('RAW_농산물_10월'!$F:$F,'RAW_농산물_10월'!$D:$D,$C83,'RAW_농산물_10월'!$A:$A,$E83),SUMIFS('RAW_농산물_11-12월'!$F:$F,'RAW_농산물_11-12월'!$D:$D,$C83,'RAW_농산물_11-12월'!$A:$A,$E83))))</f>
        <v>107861</v>
      </c>
      <c r="G83" s="7">
        <f>IF($C83="","",IF('설정'!$B$3=0,"",CHOOSE('설정'!$B$3,SUMIFS('RAW_농산물_7월'!$G:$G,'RAW_농산물_7월'!$D:$D,$C83,'RAW_농산물_7월'!$A:$A,$E83),SUMIFS('RAW_농산물_8월'!$G:$G,'RAW_농산물_8월'!$D:$D,$C83,'RAW_농산물_8월'!$A:$A,$E83),SUMIFS('RAW_농산물_9월'!$G:$G,'RAW_농산물_9월'!$D:$D,$C83,'RAW_농산물_9월'!$A:$A,$E83),SUMIFS('RAW_농산물_10월'!$G:$G,'RAW_농산물_10월'!$D:$D,$C83,'RAW_농산물_10월'!$A:$A,$E83),SUMIFS('RAW_농산물_11-12월'!$G:$G,'RAW_농산물_11-12월'!$D:$D,$C83,'RAW_농산물_11-12월'!$A:$A,$E83))))</f>
        <v>238995790</v>
      </c>
      <c r="H83" s="14">
        <f>IF($C83="","",IF('설정'!$B$3=0,"",CHOOSE('설정'!$B$3,SUMIFS('RAW_농산물_7월'!$H:$H,'RAW_농산물_7월'!$D:$D,$C83,'RAW_농산물_7월'!$A:$A,$E83),SUMIFS('RAW_농산물_8월'!$H:$H,'RAW_농산물_8월'!$D:$D,$C83,'RAW_농산물_8월'!$A:$A,$E83),SUMIFS('RAW_농산물_9월'!$H:$H,'RAW_농산물_9월'!$D:$D,$C83,'RAW_농산물_9월'!$A:$A,$E83),SUMIFS('RAW_농산물_10월'!$H:$H,'RAW_농산물_10월'!$D:$D,$C83,'RAW_농산물_10월'!$A:$A,$E83),SUMIFS('RAW_농산물_11-12월'!$H:$H,'RAW_농산물_11-12월'!$D:$D,$C83,'RAW_농산물_11-12월'!$A:$A,$E83))))</f>
        <v>861555</v>
      </c>
      <c r="I83" s="17" t="str">
        <f>IF($C83="","",IF(COUNTIFS('RAW_농산물_7월'!$D:$D,$C83,'RAW_농산물_7월'!$A:$A,$E83)&gt;0,"O",""))</f>
        <v>O</v>
      </c>
      <c r="J83" s="17" t="str">
        <f>IF($C83="","",IF(COUNTIFS('RAW_농산물_8월'!$D:$D,$C83,'RAW_농산물_8월'!$A:$A,$E83)&gt;0,"O",""))</f>
        <v>O</v>
      </c>
      <c r="K83" s="17" t="str">
        <f>IF($C83="","",IF(COUNTIFS('RAW_농산물_9월'!$D:$D,$C83,'RAW_농산물_9월'!$A:$A,$E83)&gt;0,"O",""))</f>
        <v/>
      </c>
      <c r="L83" s="17" t="str">
        <f>IF($C83="","",IF(COUNTIFS('RAW_농산물_10월'!$D:$D,$C83,'RAW_농산물_10월'!$A:$A,$E83)&gt;0,"O",""))</f>
        <v/>
      </c>
      <c r="M83" s="17" t="str">
        <f>IF($C83="","",IF(COUNTIFS('RAW_농산물_11-12월'!$D:$D,$C83,'RAW_농산물_11-12월'!$A:$A,$E83)&gt;0,"O",""))</f>
        <v/>
      </c>
      <c r="N83" s="7">
        <f>IF($C83="","",IF(COUNTA('RAW_농산물_7월'!$A:$A)&lt;=1,"",SUMIFS('RAW_농산물_7월'!$H:$H,'RAW_농산물_7월'!$D:$D,$C83,'RAW_농산물_7월'!$A:$A,$E83)))</f>
        <v>861555</v>
      </c>
      <c r="O83" s="7">
        <f>IF($C83="","",IF(COUNTA('RAW_농산물_8월'!$A:$A)&lt;=1,"",SUMIFS('RAW_농산물_8월'!$H:$H,'RAW_농산물_8월'!$D:$D,$C83,'RAW_농산물_8월'!$A:$A,$E83)-SUMIFS('RAW_농산물_7월'!$H:$H,'RAW_농산물_7월'!$D:$D,$C83,'RAW_농산물_7월'!$A:$A,$E83)))</f>
        <v>0</v>
      </c>
      <c r="P83" s="7" t="str">
        <f>IF($C83="","",IF(COUNTA('RAW_농산물_9월'!$A:$A)&lt;=1,"",SUMIFS('RAW_농산물_9월'!$H:$H,'RAW_농산물_9월'!$D:$D,$C83,'RAW_농산물_9월'!$A:$A,$E83)-SUMIFS('RAW_농산물_8월'!$H:$H,'RAW_농산물_8월'!$D:$D,$C83,'RAW_농산물_8월'!$A:$A,$E83)))</f>
        <v/>
      </c>
      <c r="Q83" s="7" t="str">
        <f>IF($C83="","",IF(COUNTA('RAW_농산물_10월'!$A:$A)&lt;=1,"",SUMIFS('RAW_농산물_10월'!$H:$H,'RAW_농산물_10월'!$D:$D,$C83,'RAW_농산물_10월'!$A:$A,$E83)-SUMIFS('RAW_농산물_9월'!$H:$H,'RAW_농산물_9월'!$D:$D,$C83,'RAW_농산물_9월'!$A:$A,$E83)))</f>
        <v/>
      </c>
      <c r="R83" s="7" t="str">
        <f>IF($C83="","",IF(COUNTA('RAW_농산물_11-12월'!$A:$A)&lt;=1,"",SUMIFS('RAW_농산물_11-12월'!$H:$H,'RAW_농산물_11-12월'!$D:$D,$C83,'RAW_농산물_11-12월'!$A:$A,$E83)-SUMIFS('RAW_농산물_10월'!$H:$H,'RAW_농산물_10월'!$D:$D,$C83,'RAW_농산물_10월'!$A:$A,$E83)))</f>
        <v/>
      </c>
      <c r="S83" s="17" t="str">
        <f t="shared" si="4"/>
        <v>O</v>
      </c>
      <c r="T83" s="17" t="str">
        <f t="shared" si="5"/>
        <v>100만원 미만</v>
      </c>
      <c r="U83" s="7">
        <f>IF($C83="",0,IF('설정'!$B$3=0,0,CHOOSE('설정'!$B$3,COUNTIFS('RAW_농산물_7월'!$D:$D,$C83,'RAW_농산물_7월'!$A:$A,$E83),COUNTIFS('RAW_농산물_8월'!$D:$D,$C83,'RAW_농산물_8월'!$A:$A,$E83),COUNTIFS('RAW_농산물_9월'!$D:$D,$C83,'RAW_농산물_9월'!$A:$A,$E83),COUNTIFS('RAW_농산물_10월'!$D:$D,$C83,'RAW_농산물_10월'!$A:$A,$E83),COUNTIFS('RAW_농산물_11-12월'!$D:$D,$C83,'RAW_농산물_11-12월'!$A:$A,$E83))))</f>
        <v>14</v>
      </c>
    </row>
    <row r="84" ht="15.75" customHeight="1">
      <c r="A84" s="5">
        <v>82.0</v>
      </c>
      <c r="B84" s="5" t="s">
        <v>108</v>
      </c>
      <c r="C84" s="5" t="s">
        <v>2925</v>
      </c>
      <c r="D84" s="6" t="s">
        <v>2926</v>
      </c>
      <c r="E84" s="5" t="s">
        <v>92</v>
      </c>
      <c r="F84" s="7">
        <f>IF($C84="","",IF('설정'!$B$3=0,"",CHOOSE('설정'!$B$3,SUMIFS('RAW_농산물_7월'!$F:$F,'RAW_농산물_7월'!$D:$D,$C84,'RAW_농산물_7월'!$A:$A,$E84),SUMIFS('RAW_농산물_8월'!$F:$F,'RAW_농산물_8월'!$D:$D,$C84,'RAW_농산물_8월'!$A:$A,$E84),SUMIFS('RAW_농산물_9월'!$F:$F,'RAW_농산물_9월'!$D:$D,$C84,'RAW_농산물_9월'!$A:$A,$E84),SUMIFS('RAW_농산물_10월'!$F:$F,'RAW_농산물_10월'!$D:$D,$C84,'RAW_농산물_10월'!$A:$A,$E84),SUMIFS('RAW_농산물_11-12월'!$F:$F,'RAW_농산물_11-12월'!$D:$D,$C84,'RAW_농산물_11-12월'!$A:$A,$E84))))</f>
        <v>0</v>
      </c>
      <c r="G84" s="7">
        <f>IF($C84="","",IF('설정'!$B$3=0,"",CHOOSE('설정'!$B$3,SUMIFS('RAW_농산물_7월'!$G:$G,'RAW_농산물_7월'!$D:$D,$C84,'RAW_농산물_7월'!$A:$A,$E84),SUMIFS('RAW_농산물_8월'!$G:$G,'RAW_농산물_8월'!$D:$D,$C84,'RAW_농산물_8월'!$A:$A,$E84),SUMIFS('RAW_농산물_9월'!$G:$G,'RAW_농산물_9월'!$D:$D,$C84,'RAW_농산물_9월'!$A:$A,$E84),SUMIFS('RAW_농산물_10월'!$G:$G,'RAW_농산물_10월'!$D:$D,$C84,'RAW_농산물_10월'!$A:$A,$E84),SUMIFS('RAW_농산물_11-12월'!$G:$G,'RAW_농산물_11-12월'!$D:$D,$C84,'RAW_농산물_11-12월'!$A:$A,$E84))))</f>
        <v>0</v>
      </c>
      <c r="H84" s="14">
        <f>IF($C84="","",IF('설정'!$B$3=0,"",CHOOSE('설정'!$B$3,SUMIFS('RAW_농산물_7월'!$H:$H,'RAW_농산물_7월'!$D:$D,$C84,'RAW_농산물_7월'!$A:$A,$E84),SUMIFS('RAW_농산물_8월'!$H:$H,'RAW_농산물_8월'!$D:$D,$C84,'RAW_농산물_8월'!$A:$A,$E84),SUMIFS('RAW_농산물_9월'!$H:$H,'RAW_농산물_9월'!$D:$D,$C84,'RAW_농산물_9월'!$A:$A,$E84),SUMIFS('RAW_농산물_10월'!$H:$H,'RAW_농산물_10월'!$D:$D,$C84,'RAW_농산물_10월'!$A:$A,$E84),SUMIFS('RAW_농산물_11-12월'!$H:$H,'RAW_농산물_11-12월'!$D:$D,$C84,'RAW_농산물_11-12월'!$A:$A,$E84))))</f>
        <v>0</v>
      </c>
      <c r="I84" s="17" t="str">
        <f>IF($C84="","",IF(COUNTIFS('RAW_농산물_7월'!$D:$D,$C84,'RAW_농산물_7월'!$A:$A,$E84)&gt;0,"O",""))</f>
        <v/>
      </c>
      <c r="J84" s="17" t="str">
        <f>IF($C84="","",IF(COUNTIFS('RAW_농산물_8월'!$D:$D,$C84,'RAW_농산물_8월'!$A:$A,$E84)&gt;0,"O",""))</f>
        <v/>
      </c>
      <c r="K84" s="17" t="str">
        <f>IF($C84="","",IF(COUNTIFS('RAW_농산물_9월'!$D:$D,$C84,'RAW_농산물_9월'!$A:$A,$E84)&gt;0,"O",""))</f>
        <v/>
      </c>
      <c r="L84" s="17" t="str">
        <f>IF($C84="","",IF(COUNTIFS('RAW_농산물_10월'!$D:$D,$C84,'RAW_농산물_10월'!$A:$A,$E84)&gt;0,"O",""))</f>
        <v/>
      </c>
      <c r="M84" s="17" t="str">
        <f>IF($C84="","",IF(COUNTIFS('RAW_농산물_11-12월'!$D:$D,$C84,'RAW_농산물_11-12월'!$A:$A,$E84)&gt;0,"O",""))</f>
        <v/>
      </c>
      <c r="N84" s="7">
        <f>IF($C84="","",IF(COUNTA('RAW_농산물_7월'!$A:$A)&lt;=1,"",SUMIFS('RAW_농산물_7월'!$H:$H,'RAW_농산물_7월'!$D:$D,$C84,'RAW_농산물_7월'!$A:$A,$E84)))</f>
        <v>0</v>
      </c>
      <c r="O84" s="7">
        <f>IF($C84="","",IF(COUNTA('RAW_농산물_8월'!$A:$A)&lt;=1,"",SUMIFS('RAW_농산물_8월'!$H:$H,'RAW_농산물_8월'!$D:$D,$C84,'RAW_농산물_8월'!$A:$A,$E84)-SUMIFS('RAW_농산물_7월'!$H:$H,'RAW_농산물_7월'!$D:$D,$C84,'RAW_농산물_7월'!$A:$A,$E84)))</f>
        <v>0</v>
      </c>
      <c r="P84" s="7" t="str">
        <f>IF($C84="","",IF(COUNTA('RAW_농산물_9월'!$A:$A)&lt;=1,"",SUMIFS('RAW_농산물_9월'!$H:$H,'RAW_농산물_9월'!$D:$D,$C84,'RAW_농산물_9월'!$A:$A,$E84)-SUMIFS('RAW_농산물_8월'!$H:$H,'RAW_농산물_8월'!$D:$D,$C84,'RAW_농산물_8월'!$A:$A,$E84)))</f>
        <v/>
      </c>
      <c r="Q84" s="7" t="str">
        <f>IF($C84="","",IF(COUNTA('RAW_농산물_10월'!$A:$A)&lt;=1,"",SUMIFS('RAW_농산물_10월'!$H:$H,'RAW_농산물_10월'!$D:$D,$C84,'RAW_농산물_10월'!$A:$A,$E84)-SUMIFS('RAW_농산물_9월'!$H:$H,'RAW_농산물_9월'!$D:$D,$C84,'RAW_농산물_9월'!$A:$A,$E84)))</f>
        <v/>
      </c>
      <c r="R84" s="7" t="str">
        <f>IF($C84="","",IF(COUNTA('RAW_농산물_11-12월'!$A:$A)&lt;=1,"",SUMIFS('RAW_농산물_11-12월'!$H:$H,'RAW_농산물_11-12월'!$D:$D,$C84,'RAW_농산물_11-12월'!$A:$A,$E84)-SUMIFS('RAW_농산물_10월'!$H:$H,'RAW_농산물_10월'!$D:$D,$C84,'RAW_농산물_10월'!$A:$A,$E84)))</f>
        <v/>
      </c>
      <c r="S84" s="17" t="str">
        <f t="shared" si="4"/>
        <v/>
      </c>
      <c r="T84" s="17" t="str">
        <f t="shared" si="5"/>
        <v>미사용</v>
      </c>
      <c r="U84" s="7">
        <f>IF($C84="",0,IF('설정'!$B$3=0,0,CHOOSE('설정'!$B$3,COUNTIFS('RAW_농산물_7월'!$D:$D,$C84,'RAW_농산물_7월'!$A:$A,$E84),COUNTIFS('RAW_농산물_8월'!$D:$D,$C84,'RAW_농산물_8월'!$A:$A,$E84),COUNTIFS('RAW_농산물_9월'!$D:$D,$C84,'RAW_농산물_9월'!$A:$A,$E84),COUNTIFS('RAW_농산물_10월'!$D:$D,$C84,'RAW_농산물_10월'!$A:$A,$E84),COUNTIFS('RAW_농산물_11-12월'!$D:$D,$C84,'RAW_농산물_11-12월'!$A:$A,$E84))))</f>
        <v>0</v>
      </c>
    </row>
    <row r="85" ht="15.75" customHeight="1">
      <c r="A85" s="5">
        <v>83.0</v>
      </c>
      <c r="B85" s="5" t="s">
        <v>145</v>
      </c>
      <c r="C85" s="5" t="s">
        <v>396</v>
      </c>
      <c r="D85" s="6" t="s">
        <v>395</v>
      </c>
      <c r="E85" s="5" t="s">
        <v>92</v>
      </c>
      <c r="F85" s="7">
        <f>IF($C85="","",IF('설정'!$B$3=0,"",CHOOSE('설정'!$B$3,SUMIFS('RAW_농산물_7월'!$F:$F,'RAW_농산물_7월'!$D:$D,$C85,'RAW_농산물_7월'!$A:$A,$E85),SUMIFS('RAW_농산물_8월'!$F:$F,'RAW_농산물_8월'!$D:$D,$C85,'RAW_농산물_8월'!$A:$A,$E85),SUMIFS('RAW_농산물_9월'!$F:$F,'RAW_농산물_9월'!$D:$D,$C85,'RAW_농산물_9월'!$A:$A,$E85),SUMIFS('RAW_농산물_10월'!$F:$F,'RAW_농산물_10월'!$D:$D,$C85,'RAW_농산물_10월'!$A:$A,$E85),SUMIFS('RAW_농산물_11-12월'!$F:$F,'RAW_농산물_11-12월'!$D:$D,$C85,'RAW_농산물_11-12월'!$A:$A,$E85))))</f>
        <v>81</v>
      </c>
      <c r="G85" s="7">
        <f>IF($C85="","",IF('설정'!$B$3=0,"",CHOOSE('설정'!$B$3,SUMIFS('RAW_농산물_7월'!$G:$G,'RAW_농산물_7월'!$D:$D,$C85,'RAW_농산물_7월'!$A:$A,$E85),SUMIFS('RAW_농산물_8월'!$G:$G,'RAW_농산물_8월'!$D:$D,$C85,'RAW_농산물_8월'!$A:$A,$E85),SUMIFS('RAW_농산물_9월'!$G:$G,'RAW_농산물_9월'!$D:$D,$C85,'RAW_농산물_9월'!$A:$A,$E85),SUMIFS('RAW_농산물_10월'!$G:$G,'RAW_농산물_10월'!$D:$D,$C85,'RAW_농산물_10월'!$A:$A,$E85),SUMIFS('RAW_농산물_11-12월'!$G:$G,'RAW_농산물_11-12월'!$D:$D,$C85,'RAW_농산물_11-12월'!$A:$A,$E85))))</f>
        <v>2399700</v>
      </c>
      <c r="H85" s="14">
        <f>IF($C85="","",IF('설정'!$B$3=0,"",CHOOSE('설정'!$B$3,SUMIFS('RAW_농산물_7월'!$H:$H,'RAW_농산물_7월'!$D:$D,$C85,'RAW_농산물_7월'!$A:$A,$E85),SUMIFS('RAW_농산물_8월'!$H:$H,'RAW_농산물_8월'!$D:$D,$C85,'RAW_농산물_8월'!$A:$A,$E85),SUMIFS('RAW_농산물_9월'!$H:$H,'RAW_농산물_9월'!$D:$D,$C85,'RAW_농산물_9월'!$A:$A,$E85),SUMIFS('RAW_농산물_10월'!$H:$H,'RAW_농산물_10월'!$D:$D,$C85,'RAW_농산물_10월'!$A:$A,$E85),SUMIFS('RAW_농산물_11-12월'!$H:$H,'RAW_농산물_11-12월'!$D:$D,$C85,'RAW_농산물_11-12월'!$A:$A,$E85))))</f>
        <v>51980</v>
      </c>
      <c r="I85" s="17" t="str">
        <f>IF($C85="","",IF(COUNTIFS('RAW_농산물_7월'!$D:$D,$C85,'RAW_농산물_7월'!$A:$A,$E85)&gt;0,"O",""))</f>
        <v>O</v>
      </c>
      <c r="J85" s="17" t="str">
        <f>IF($C85="","",IF(COUNTIFS('RAW_농산물_8월'!$D:$D,$C85,'RAW_농산물_8월'!$A:$A,$E85)&gt;0,"O",""))</f>
        <v>O</v>
      </c>
      <c r="K85" s="17" t="str">
        <f>IF($C85="","",IF(COUNTIFS('RAW_농산물_9월'!$D:$D,$C85,'RAW_농산물_9월'!$A:$A,$E85)&gt;0,"O",""))</f>
        <v/>
      </c>
      <c r="L85" s="17" t="str">
        <f>IF($C85="","",IF(COUNTIFS('RAW_농산물_10월'!$D:$D,$C85,'RAW_농산물_10월'!$A:$A,$E85)&gt;0,"O",""))</f>
        <v/>
      </c>
      <c r="M85" s="17" t="str">
        <f>IF($C85="","",IF(COUNTIFS('RAW_농산물_11-12월'!$D:$D,$C85,'RAW_농산물_11-12월'!$A:$A,$E85)&gt;0,"O",""))</f>
        <v/>
      </c>
      <c r="N85" s="7">
        <f>IF($C85="","",IF(COUNTA('RAW_농산물_7월'!$A:$A)&lt;=1,"",SUMIFS('RAW_농산물_7월'!$H:$H,'RAW_농산물_7월'!$D:$D,$C85,'RAW_농산물_7월'!$A:$A,$E85)))</f>
        <v>16940</v>
      </c>
      <c r="O85" s="7">
        <f>IF($C85="","",IF(COUNTA('RAW_농산물_8월'!$A:$A)&lt;=1,"",SUMIFS('RAW_농산물_8월'!$H:$H,'RAW_농산물_8월'!$D:$D,$C85,'RAW_농산물_8월'!$A:$A,$E85)-SUMIFS('RAW_농산물_7월'!$H:$H,'RAW_농산물_7월'!$D:$D,$C85,'RAW_농산물_7월'!$A:$A,$E85)))</f>
        <v>35040</v>
      </c>
      <c r="P85" s="7" t="str">
        <f>IF($C85="","",IF(COUNTA('RAW_농산물_9월'!$A:$A)&lt;=1,"",SUMIFS('RAW_농산물_9월'!$H:$H,'RAW_농산물_9월'!$D:$D,$C85,'RAW_농산물_9월'!$A:$A,$E85)-SUMIFS('RAW_농산물_8월'!$H:$H,'RAW_농산물_8월'!$D:$D,$C85,'RAW_농산물_8월'!$A:$A,$E85)))</f>
        <v/>
      </c>
      <c r="Q85" s="7" t="str">
        <f>IF($C85="","",IF(COUNTA('RAW_농산물_10월'!$A:$A)&lt;=1,"",SUMIFS('RAW_농산물_10월'!$H:$H,'RAW_농산물_10월'!$D:$D,$C85,'RAW_농산물_10월'!$A:$A,$E85)-SUMIFS('RAW_농산물_9월'!$H:$H,'RAW_농산물_9월'!$D:$D,$C85,'RAW_농산물_9월'!$A:$A,$E85)))</f>
        <v/>
      </c>
      <c r="R85" s="7" t="str">
        <f>IF($C85="","",IF(COUNTA('RAW_농산물_11-12월'!$A:$A)&lt;=1,"",SUMIFS('RAW_농산물_11-12월'!$H:$H,'RAW_농산물_11-12월'!$D:$D,$C85,'RAW_농산물_11-12월'!$A:$A,$E85)-SUMIFS('RAW_농산물_10월'!$H:$H,'RAW_농산물_10월'!$D:$D,$C85,'RAW_농산물_10월'!$A:$A,$E85)))</f>
        <v/>
      </c>
      <c r="S85" s="17" t="str">
        <f t="shared" si="4"/>
        <v>O</v>
      </c>
      <c r="T85" s="17" t="str">
        <f t="shared" si="5"/>
        <v>50만원 미만</v>
      </c>
      <c r="U85" s="7">
        <f>IF($C85="",0,IF('설정'!$B$3=0,0,CHOOSE('설정'!$B$3,COUNTIFS('RAW_농산물_7월'!$D:$D,$C85,'RAW_농산물_7월'!$A:$A,$E85),COUNTIFS('RAW_농산물_8월'!$D:$D,$C85,'RAW_농산물_8월'!$A:$A,$E85),COUNTIFS('RAW_농산물_9월'!$D:$D,$C85,'RAW_농산물_9월'!$A:$A,$E85),COUNTIFS('RAW_농산물_10월'!$D:$D,$C85,'RAW_농산물_10월'!$A:$A,$E85),COUNTIFS('RAW_농산물_11-12월'!$D:$D,$C85,'RAW_농산물_11-12월'!$A:$A,$E85))))</f>
        <v>1</v>
      </c>
    </row>
    <row r="86" ht="15.75" customHeight="1">
      <c r="A86" s="5">
        <v>84.0</v>
      </c>
      <c r="B86" s="5" t="s">
        <v>108</v>
      </c>
      <c r="C86" s="5" t="s">
        <v>2560</v>
      </c>
      <c r="D86" s="6" t="s">
        <v>2559</v>
      </c>
      <c r="E86" s="5" t="s">
        <v>92</v>
      </c>
      <c r="F86" s="7">
        <f>IF($C86="","",IF('설정'!$B$3=0,"",CHOOSE('설정'!$B$3,SUMIFS('RAW_농산물_7월'!$F:$F,'RAW_농산물_7월'!$D:$D,$C86,'RAW_농산물_7월'!$A:$A,$E86),SUMIFS('RAW_농산물_8월'!$F:$F,'RAW_농산물_8월'!$D:$D,$C86,'RAW_농산물_8월'!$A:$A,$E86),SUMIFS('RAW_농산물_9월'!$F:$F,'RAW_농산물_9월'!$D:$D,$C86,'RAW_농산물_9월'!$A:$A,$E86),SUMIFS('RAW_농산물_10월'!$F:$F,'RAW_농산물_10월'!$D:$D,$C86,'RAW_농산물_10월'!$A:$A,$E86),SUMIFS('RAW_농산물_11-12월'!$F:$F,'RAW_농산물_11-12월'!$D:$D,$C86,'RAW_농산물_11-12월'!$A:$A,$E86))))</f>
        <v>45</v>
      </c>
      <c r="G86" s="7">
        <f>IF($C86="","",IF('설정'!$B$3=0,"",CHOOSE('설정'!$B$3,SUMIFS('RAW_농산물_7월'!$G:$G,'RAW_농산물_7월'!$D:$D,$C86,'RAW_농산물_7월'!$A:$A,$E86),SUMIFS('RAW_농산물_8월'!$G:$G,'RAW_농산물_8월'!$D:$D,$C86,'RAW_농산물_8월'!$A:$A,$E86),SUMIFS('RAW_농산물_9월'!$G:$G,'RAW_농산물_9월'!$D:$D,$C86,'RAW_농산물_9월'!$A:$A,$E86),SUMIFS('RAW_농산물_10월'!$G:$G,'RAW_농산물_10월'!$D:$D,$C86,'RAW_농산물_10월'!$A:$A,$E86),SUMIFS('RAW_농산물_11-12월'!$G:$G,'RAW_농산물_11-12월'!$D:$D,$C86,'RAW_농산물_11-12월'!$A:$A,$E86))))</f>
        <v>1916000</v>
      </c>
      <c r="H86" s="14">
        <f>IF($C86="","",IF('설정'!$B$3=0,"",CHOOSE('설정'!$B$3,SUMIFS('RAW_농산물_7월'!$H:$H,'RAW_농산물_7월'!$D:$D,$C86,'RAW_농산물_7월'!$A:$A,$E86),SUMIFS('RAW_농산물_8월'!$H:$H,'RAW_농산물_8월'!$D:$D,$C86,'RAW_농산물_8월'!$A:$A,$E86),SUMIFS('RAW_농산물_9월'!$H:$H,'RAW_농산물_9월'!$D:$D,$C86,'RAW_농산물_9월'!$A:$A,$E86),SUMIFS('RAW_농산물_10월'!$H:$H,'RAW_농산물_10월'!$D:$D,$C86,'RAW_농산물_10월'!$A:$A,$E86),SUMIFS('RAW_농산물_11-12월'!$H:$H,'RAW_농산물_11-12월'!$D:$D,$C86,'RAW_농산물_11-12월'!$A:$A,$E86))))</f>
        <v>295600</v>
      </c>
      <c r="I86" s="17" t="str">
        <f>IF($C86="","",IF(COUNTIFS('RAW_농산물_7월'!$D:$D,$C86,'RAW_농산물_7월'!$A:$A,$E86)&gt;0,"O",""))</f>
        <v/>
      </c>
      <c r="J86" s="17" t="str">
        <f>IF($C86="","",IF(COUNTIFS('RAW_농산물_8월'!$D:$D,$C86,'RAW_농산물_8월'!$A:$A,$E86)&gt;0,"O",""))</f>
        <v>O</v>
      </c>
      <c r="K86" s="17" t="str">
        <f>IF($C86="","",IF(COUNTIFS('RAW_농산물_9월'!$D:$D,$C86,'RAW_농산물_9월'!$A:$A,$E86)&gt;0,"O",""))</f>
        <v/>
      </c>
      <c r="L86" s="17" t="str">
        <f>IF($C86="","",IF(COUNTIFS('RAW_농산물_10월'!$D:$D,$C86,'RAW_농산물_10월'!$A:$A,$E86)&gt;0,"O",""))</f>
        <v/>
      </c>
      <c r="M86" s="17" t="str">
        <f>IF($C86="","",IF(COUNTIFS('RAW_농산물_11-12월'!$D:$D,$C86,'RAW_농산물_11-12월'!$A:$A,$E86)&gt;0,"O",""))</f>
        <v/>
      </c>
      <c r="N86" s="7">
        <f>IF($C86="","",IF(COUNTA('RAW_농산물_7월'!$A:$A)&lt;=1,"",SUMIFS('RAW_농산물_7월'!$H:$H,'RAW_농산물_7월'!$D:$D,$C86,'RAW_농산물_7월'!$A:$A,$E86)))</f>
        <v>0</v>
      </c>
      <c r="O86" s="7">
        <f>IF($C86="","",IF(COUNTA('RAW_농산물_8월'!$A:$A)&lt;=1,"",SUMIFS('RAW_농산물_8월'!$H:$H,'RAW_농산물_8월'!$D:$D,$C86,'RAW_농산물_8월'!$A:$A,$E86)-SUMIFS('RAW_농산물_7월'!$H:$H,'RAW_농산물_7월'!$D:$D,$C86,'RAW_농산물_7월'!$A:$A,$E86)))</f>
        <v>295600</v>
      </c>
      <c r="P86" s="7" t="str">
        <f>IF($C86="","",IF(COUNTA('RAW_농산물_9월'!$A:$A)&lt;=1,"",SUMIFS('RAW_농산물_9월'!$H:$H,'RAW_농산물_9월'!$D:$D,$C86,'RAW_농산물_9월'!$A:$A,$E86)-SUMIFS('RAW_농산물_8월'!$H:$H,'RAW_농산물_8월'!$D:$D,$C86,'RAW_농산물_8월'!$A:$A,$E86)))</f>
        <v/>
      </c>
      <c r="Q86" s="7" t="str">
        <f>IF($C86="","",IF(COUNTA('RAW_농산물_10월'!$A:$A)&lt;=1,"",SUMIFS('RAW_농산물_10월'!$H:$H,'RAW_농산물_10월'!$D:$D,$C86,'RAW_농산물_10월'!$A:$A,$E86)-SUMIFS('RAW_농산물_9월'!$H:$H,'RAW_농산물_9월'!$D:$D,$C86,'RAW_농산물_9월'!$A:$A,$E86)))</f>
        <v/>
      </c>
      <c r="R86" s="7" t="str">
        <f>IF($C86="","",IF(COUNTA('RAW_농산물_11-12월'!$A:$A)&lt;=1,"",SUMIFS('RAW_농산물_11-12월'!$H:$H,'RAW_농산물_11-12월'!$D:$D,$C86,'RAW_농산물_11-12월'!$A:$A,$E86)-SUMIFS('RAW_농산물_10월'!$H:$H,'RAW_농산물_10월'!$D:$D,$C86,'RAW_농산물_10월'!$A:$A,$E86)))</f>
        <v/>
      </c>
      <c r="S86" s="17" t="str">
        <f t="shared" si="4"/>
        <v>O</v>
      </c>
      <c r="T86" s="17" t="str">
        <f t="shared" si="5"/>
        <v>50만원 미만</v>
      </c>
      <c r="U86" s="7">
        <f>IF($C86="",0,IF('설정'!$B$3=0,0,CHOOSE('설정'!$B$3,COUNTIFS('RAW_농산물_7월'!$D:$D,$C86,'RAW_농산물_7월'!$A:$A,$E86),COUNTIFS('RAW_농산물_8월'!$D:$D,$C86,'RAW_농산물_8월'!$A:$A,$E86),COUNTIFS('RAW_농산물_9월'!$D:$D,$C86,'RAW_농산물_9월'!$A:$A,$E86),COUNTIFS('RAW_농산물_10월'!$D:$D,$C86,'RAW_농산물_10월'!$A:$A,$E86),COUNTIFS('RAW_농산물_11-12월'!$D:$D,$C86,'RAW_농산물_11-12월'!$A:$A,$E86))))</f>
        <v>4</v>
      </c>
    </row>
    <row r="87" ht="15.75" customHeight="1">
      <c r="A87" s="5">
        <v>85.0</v>
      </c>
      <c r="B87" s="5" t="s">
        <v>25</v>
      </c>
      <c r="C87" s="5" t="s">
        <v>481</v>
      </c>
      <c r="D87" s="6" t="s">
        <v>480</v>
      </c>
      <c r="E87" s="5" t="s">
        <v>92</v>
      </c>
      <c r="F87" s="7">
        <f>IF($C87="","",IF('설정'!$B$3=0,"",CHOOSE('설정'!$B$3,SUMIFS('RAW_농산물_7월'!$F:$F,'RAW_농산물_7월'!$D:$D,$C87,'RAW_농산물_7월'!$A:$A,$E87),SUMIFS('RAW_농산물_8월'!$F:$F,'RAW_농산물_8월'!$D:$D,$C87,'RAW_농산물_8월'!$A:$A,$E87),SUMIFS('RAW_농산물_9월'!$F:$F,'RAW_농산물_9월'!$D:$D,$C87,'RAW_농산물_9월'!$A:$A,$E87),SUMIFS('RAW_농산물_10월'!$F:$F,'RAW_농산물_10월'!$D:$D,$C87,'RAW_농산물_10월'!$A:$A,$E87),SUMIFS('RAW_농산물_11-12월'!$F:$F,'RAW_농산물_11-12월'!$D:$D,$C87,'RAW_농산물_11-12월'!$A:$A,$E87))))</f>
        <v>545</v>
      </c>
      <c r="G87" s="7">
        <f>IF($C87="","",IF('설정'!$B$3=0,"",CHOOSE('설정'!$B$3,SUMIFS('RAW_농산물_7월'!$G:$G,'RAW_농산물_7월'!$D:$D,$C87,'RAW_농산물_7월'!$A:$A,$E87),SUMIFS('RAW_농산물_8월'!$G:$G,'RAW_농산물_8월'!$D:$D,$C87,'RAW_농산물_8월'!$A:$A,$E87),SUMIFS('RAW_농산물_9월'!$G:$G,'RAW_농산물_9월'!$D:$D,$C87,'RAW_농산물_9월'!$A:$A,$E87),SUMIFS('RAW_농산물_10월'!$G:$G,'RAW_농산물_10월'!$D:$D,$C87,'RAW_농산물_10월'!$A:$A,$E87),SUMIFS('RAW_농산물_11-12월'!$G:$G,'RAW_농산물_11-12월'!$D:$D,$C87,'RAW_농산물_11-12월'!$A:$A,$E87))))</f>
        <v>15225000</v>
      </c>
      <c r="H87" s="14">
        <f>IF($C87="","",IF('설정'!$B$3=0,"",CHOOSE('설정'!$B$3,SUMIFS('RAW_농산물_7월'!$H:$H,'RAW_농산물_7월'!$D:$D,$C87,'RAW_농산물_7월'!$A:$A,$E87),SUMIFS('RAW_농산물_8월'!$H:$H,'RAW_농산물_8월'!$D:$D,$C87,'RAW_농산물_8월'!$A:$A,$E87),SUMIFS('RAW_농산물_9월'!$H:$H,'RAW_농산물_9월'!$D:$D,$C87,'RAW_농산물_9월'!$A:$A,$E87),SUMIFS('RAW_농산물_10월'!$H:$H,'RAW_농산물_10월'!$D:$D,$C87,'RAW_농산물_10월'!$A:$A,$E87),SUMIFS('RAW_농산물_11-12월'!$H:$H,'RAW_농산물_11-12월'!$D:$D,$C87,'RAW_농산물_11-12월'!$A:$A,$E87))))</f>
        <v>1887640</v>
      </c>
      <c r="I87" s="17" t="str">
        <f>IF($C87="","",IF(COUNTIFS('RAW_농산물_7월'!$D:$D,$C87,'RAW_농산물_7월'!$A:$A,$E87)&gt;0,"O",""))</f>
        <v>O</v>
      </c>
      <c r="J87" s="17" t="str">
        <f>IF($C87="","",IF(COUNTIFS('RAW_농산물_8월'!$D:$D,$C87,'RAW_농산물_8월'!$A:$A,$E87)&gt;0,"O",""))</f>
        <v>O</v>
      </c>
      <c r="K87" s="17" t="str">
        <f>IF($C87="","",IF(COUNTIFS('RAW_농산물_9월'!$D:$D,$C87,'RAW_농산물_9월'!$A:$A,$E87)&gt;0,"O",""))</f>
        <v/>
      </c>
      <c r="L87" s="17" t="str">
        <f>IF($C87="","",IF(COUNTIFS('RAW_농산물_10월'!$D:$D,$C87,'RAW_농산물_10월'!$A:$A,$E87)&gt;0,"O",""))</f>
        <v/>
      </c>
      <c r="M87" s="17" t="str">
        <f>IF($C87="","",IF(COUNTIFS('RAW_농산물_11-12월'!$D:$D,$C87,'RAW_농산물_11-12월'!$A:$A,$E87)&gt;0,"O",""))</f>
        <v/>
      </c>
      <c r="N87" s="7">
        <f>IF($C87="","",IF(COUNTA('RAW_농산물_7월'!$A:$A)&lt;=1,"",SUMIFS('RAW_농산물_7월'!$H:$H,'RAW_농산물_7월'!$D:$D,$C87,'RAW_농산물_7월'!$A:$A,$E87)))</f>
        <v>591900</v>
      </c>
      <c r="O87" s="7">
        <f>IF($C87="","",IF(COUNTA('RAW_농산물_8월'!$A:$A)&lt;=1,"",SUMIFS('RAW_농산물_8월'!$H:$H,'RAW_농산물_8월'!$D:$D,$C87,'RAW_농산물_8월'!$A:$A,$E87)-SUMIFS('RAW_농산물_7월'!$H:$H,'RAW_농산물_7월'!$D:$D,$C87,'RAW_농산물_7월'!$A:$A,$E87)))</f>
        <v>1295740</v>
      </c>
      <c r="P87" s="7" t="str">
        <f>IF($C87="","",IF(COUNTA('RAW_농산물_9월'!$A:$A)&lt;=1,"",SUMIFS('RAW_농산물_9월'!$H:$H,'RAW_농산물_9월'!$D:$D,$C87,'RAW_농산물_9월'!$A:$A,$E87)-SUMIFS('RAW_농산물_8월'!$H:$H,'RAW_농산물_8월'!$D:$D,$C87,'RAW_농산물_8월'!$A:$A,$E87)))</f>
        <v/>
      </c>
      <c r="Q87" s="7" t="str">
        <f>IF($C87="","",IF(COUNTA('RAW_농산물_10월'!$A:$A)&lt;=1,"",SUMIFS('RAW_농산물_10월'!$H:$H,'RAW_농산물_10월'!$D:$D,$C87,'RAW_농산물_10월'!$A:$A,$E87)-SUMIFS('RAW_농산물_9월'!$H:$H,'RAW_농산물_9월'!$D:$D,$C87,'RAW_농산물_9월'!$A:$A,$E87)))</f>
        <v/>
      </c>
      <c r="R87" s="7" t="str">
        <f>IF($C87="","",IF(COUNTA('RAW_농산물_11-12월'!$A:$A)&lt;=1,"",SUMIFS('RAW_농산물_11-12월'!$H:$H,'RAW_농산물_11-12월'!$D:$D,$C87,'RAW_농산물_11-12월'!$A:$A,$E87)-SUMIFS('RAW_농산물_10월'!$H:$H,'RAW_농산물_10월'!$D:$D,$C87,'RAW_농산물_10월'!$A:$A,$E87)))</f>
        <v/>
      </c>
      <c r="S87" s="17" t="str">
        <f t="shared" si="4"/>
        <v>O</v>
      </c>
      <c r="T87" s="17" t="str">
        <f t="shared" si="5"/>
        <v>200만원 미만</v>
      </c>
      <c r="U87" s="7">
        <f>IF($C87="",0,IF('설정'!$B$3=0,0,CHOOSE('설정'!$B$3,COUNTIFS('RAW_농산물_7월'!$D:$D,$C87,'RAW_농산물_7월'!$A:$A,$E87),COUNTIFS('RAW_농산물_8월'!$D:$D,$C87,'RAW_농산물_8월'!$A:$A,$E87),COUNTIFS('RAW_농산물_9월'!$D:$D,$C87,'RAW_농산물_9월'!$A:$A,$E87),COUNTIFS('RAW_농산물_10월'!$D:$D,$C87,'RAW_농산물_10월'!$A:$A,$E87),COUNTIFS('RAW_농산물_11-12월'!$D:$D,$C87,'RAW_농산물_11-12월'!$A:$A,$E87))))</f>
        <v>31</v>
      </c>
    </row>
    <row r="88" ht="15.75" customHeight="1">
      <c r="A88" s="5">
        <v>86.0</v>
      </c>
      <c r="B88" s="5" t="s">
        <v>108</v>
      </c>
      <c r="C88" s="5" t="s">
        <v>593</v>
      </c>
      <c r="D88" s="6" t="s">
        <v>592</v>
      </c>
      <c r="E88" s="5" t="s">
        <v>92</v>
      </c>
      <c r="F88" s="7">
        <f>IF($C88="","",IF('설정'!$B$3=0,"",CHOOSE('설정'!$B$3,SUMIFS('RAW_농산물_7월'!$F:$F,'RAW_농산물_7월'!$D:$D,$C88,'RAW_농산물_7월'!$A:$A,$E88),SUMIFS('RAW_농산물_8월'!$F:$F,'RAW_농산물_8월'!$D:$D,$C88,'RAW_농산물_8월'!$A:$A,$E88),SUMIFS('RAW_농산물_9월'!$F:$F,'RAW_농산물_9월'!$D:$D,$C88,'RAW_농산물_9월'!$A:$A,$E88),SUMIFS('RAW_농산물_10월'!$F:$F,'RAW_농산물_10월'!$D:$D,$C88,'RAW_농산물_10월'!$A:$A,$E88),SUMIFS('RAW_농산물_11-12월'!$F:$F,'RAW_농산물_11-12월'!$D:$D,$C88,'RAW_농산물_11-12월'!$A:$A,$E88))))</f>
        <v>3</v>
      </c>
      <c r="G88" s="7">
        <f>IF($C88="","",IF('설정'!$B$3=0,"",CHOOSE('설정'!$B$3,SUMIFS('RAW_농산물_7월'!$G:$G,'RAW_농산물_7월'!$D:$D,$C88,'RAW_농산물_7월'!$A:$A,$E88),SUMIFS('RAW_농산물_8월'!$G:$G,'RAW_농산물_8월'!$D:$D,$C88,'RAW_농산물_8월'!$A:$A,$E88),SUMIFS('RAW_농산물_9월'!$G:$G,'RAW_농산물_9월'!$D:$D,$C88,'RAW_농산물_9월'!$A:$A,$E88),SUMIFS('RAW_농산물_10월'!$G:$G,'RAW_농산물_10월'!$D:$D,$C88,'RAW_농산물_10월'!$A:$A,$E88),SUMIFS('RAW_농산물_11-12월'!$G:$G,'RAW_농산물_11-12월'!$D:$D,$C88,'RAW_농산물_11-12월'!$A:$A,$E88))))</f>
        <v>240000</v>
      </c>
      <c r="H88" s="14">
        <f>IF($C88="","",IF('설정'!$B$3=0,"",CHOOSE('설정'!$B$3,SUMIFS('RAW_농산물_7월'!$H:$H,'RAW_농산물_7월'!$D:$D,$C88,'RAW_농산물_7월'!$A:$A,$E88),SUMIFS('RAW_농산물_8월'!$H:$H,'RAW_농산물_8월'!$D:$D,$C88,'RAW_농산물_8월'!$A:$A,$E88),SUMIFS('RAW_농산물_9월'!$H:$H,'RAW_농산물_9월'!$D:$D,$C88,'RAW_농산물_9월'!$A:$A,$E88),SUMIFS('RAW_농산물_10월'!$H:$H,'RAW_농산물_10월'!$D:$D,$C88,'RAW_농산물_10월'!$A:$A,$E88),SUMIFS('RAW_농산물_11-12월'!$H:$H,'RAW_농산물_11-12월'!$D:$D,$C88,'RAW_농산물_11-12월'!$A:$A,$E88))))</f>
        <v>18000</v>
      </c>
      <c r="I88" s="17" t="str">
        <f>IF($C88="","",IF(COUNTIFS('RAW_농산물_7월'!$D:$D,$C88,'RAW_농산물_7월'!$A:$A,$E88)&gt;0,"O",""))</f>
        <v>O</v>
      </c>
      <c r="J88" s="17" t="str">
        <f>IF($C88="","",IF(COUNTIFS('RAW_농산물_8월'!$D:$D,$C88,'RAW_농산물_8월'!$A:$A,$E88)&gt;0,"O",""))</f>
        <v>O</v>
      </c>
      <c r="K88" s="17" t="str">
        <f>IF($C88="","",IF(COUNTIFS('RAW_농산물_9월'!$D:$D,$C88,'RAW_농산물_9월'!$A:$A,$E88)&gt;0,"O",""))</f>
        <v/>
      </c>
      <c r="L88" s="17" t="str">
        <f>IF($C88="","",IF(COUNTIFS('RAW_농산물_10월'!$D:$D,$C88,'RAW_농산물_10월'!$A:$A,$E88)&gt;0,"O",""))</f>
        <v/>
      </c>
      <c r="M88" s="17" t="str">
        <f>IF($C88="","",IF(COUNTIFS('RAW_농산물_11-12월'!$D:$D,$C88,'RAW_농산물_11-12월'!$A:$A,$E88)&gt;0,"O",""))</f>
        <v/>
      </c>
      <c r="N88" s="7">
        <f>IF($C88="","",IF(COUNTA('RAW_농산물_7월'!$A:$A)&lt;=1,"",SUMIFS('RAW_농산물_7월'!$H:$H,'RAW_농산물_7월'!$D:$D,$C88,'RAW_농산물_7월'!$A:$A,$E88)))</f>
        <v>18000</v>
      </c>
      <c r="O88" s="7">
        <f>IF($C88="","",IF(COUNTA('RAW_농산물_8월'!$A:$A)&lt;=1,"",SUMIFS('RAW_농산물_8월'!$H:$H,'RAW_농산물_8월'!$D:$D,$C88,'RAW_농산물_8월'!$A:$A,$E88)-SUMIFS('RAW_농산물_7월'!$H:$H,'RAW_농산물_7월'!$D:$D,$C88,'RAW_농산물_7월'!$A:$A,$E88)))</f>
        <v>0</v>
      </c>
      <c r="P88" s="7" t="str">
        <f>IF($C88="","",IF(COUNTA('RAW_농산물_9월'!$A:$A)&lt;=1,"",SUMIFS('RAW_농산물_9월'!$H:$H,'RAW_농산물_9월'!$D:$D,$C88,'RAW_농산물_9월'!$A:$A,$E88)-SUMIFS('RAW_농산물_8월'!$H:$H,'RAW_농산물_8월'!$D:$D,$C88,'RAW_농산물_8월'!$A:$A,$E88)))</f>
        <v/>
      </c>
      <c r="Q88" s="7" t="str">
        <f>IF($C88="","",IF(COUNTA('RAW_농산물_10월'!$A:$A)&lt;=1,"",SUMIFS('RAW_농산물_10월'!$H:$H,'RAW_농산물_10월'!$D:$D,$C88,'RAW_농산물_10월'!$A:$A,$E88)-SUMIFS('RAW_농산물_9월'!$H:$H,'RAW_농산물_9월'!$D:$D,$C88,'RAW_농산물_9월'!$A:$A,$E88)))</f>
        <v/>
      </c>
      <c r="R88" s="7" t="str">
        <f>IF($C88="","",IF(COUNTA('RAW_농산물_11-12월'!$A:$A)&lt;=1,"",SUMIFS('RAW_농산물_11-12월'!$H:$H,'RAW_농산물_11-12월'!$D:$D,$C88,'RAW_농산물_11-12월'!$A:$A,$E88)-SUMIFS('RAW_농산물_10월'!$H:$H,'RAW_농산물_10월'!$D:$D,$C88,'RAW_농산물_10월'!$A:$A,$E88)))</f>
        <v/>
      </c>
      <c r="S88" s="17" t="str">
        <f t="shared" si="4"/>
        <v>O</v>
      </c>
      <c r="T88" s="17" t="str">
        <f t="shared" si="5"/>
        <v>50만원 미만</v>
      </c>
      <c r="U88" s="7">
        <f>IF($C88="",0,IF('설정'!$B$3=0,0,CHOOSE('설정'!$B$3,COUNTIFS('RAW_농산물_7월'!$D:$D,$C88,'RAW_농산물_7월'!$A:$A,$E88),COUNTIFS('RAW_농산물_8월'!$D:$D,$C88,'RAW_농산물_8월'!$A:$A,$E88),COUNTIFS('RAW_농산물_9월'!$D:$D,$C88,'RAW_농산물_9월'!$A:$A,$E88),COUNTIFS('RAW_농산물_10월'!$D:$D,$C88,'RAW_농산물_10월'!$A:$A,$E88),COUNTIFS('RAW_농산물_11-12월'!$D:$D,$C88,'RAW_농산물_11-12월'!$A:$A,$E88))))</f>
        <v>2</v>
      </c>
    </row>
    <row r="89" ht="15.75" customHeight="1">
      <c r="A89" s="5">
        <v>87.0</v>
      </c>
      <c r="B89" s="5" t="s">
        <v>108</v>
      </c>
      <c r="C89" s="5" t="s">
        <v>2927</v>
      </c>
      <c r="D89" s="6" t="s">
        <v>2928</v>
      </c>
      <c r="E89" s="5" t="s">
        <v>28</v>
      </c>
      <c r="F89" s="7">
        <f>IF($C89="","",IF('설정'!$B$3=0,"",CHOOSE('설정'!$B$3,SUMIFS('RAW_농산물_7월'!$F:$F,'RAW_농산물_7월'!$D:$D,$C89,'RAW_농산물_7월'!$A:$A,$E89),SUMIFS('RAW_농산물_8월'!$F:$F,'RAW_농산물_8월'!$D:$D,$C89,'RAW_농산물_8월'!$A:$A,$E89),SUMIFS('RAW_농산물_9월'!$F:$F,'RAW_농산물_9월'!$D:$D,$C89,'RAW_농산물_9월'!$A:$A,$E89),SUMIFS('RAW_농산물_10월'!$F:$F,'RAW_농산물_10월'!$D:$D,$C89,'RAW_농산물_10월'!$A:$A,$E89),SUMIFS('RAW_농산물_11-12월'!$F:$F,'RAW_농산물_11-12월'!$D:$D,$C89,'RAW_농산물_11-12월'!$A:$A,$E89))))</f>
        <v>0</v>
      </c>
      <c r="G89" s="7">
        <f>IF($C89="","",IF('설정'!$B$3=0,"",CHOOSE('설정'!$B$3,SUMIFS('RAW_농산물_7월'!$G:$G,'RAW_농산물_7월'!$D:$D,$C89,'RAW_농산물_7월'!$A:$A,$E89),SUMIFS('RAW_농산물_8월'!$G:$G,'RAW_농산물_8월'!$D:$D,$C89,'RAW_농산물_8월'!$A:$A,$E89),SUMIFS('RAW_농산물_9월'!$G:$G,'RAW_농산물_9월'!$D:$D,$C89,'RAW_농산물_9월'!$A:$A,$E89),SUMIFS('RAW_농산물_10월'!$G:$G,'RAW_농산물_10월'!$D:$D,$C89,'RAW_농산물_10월'!$A:$A,$E89),SUMIFS('RAW_농산물_11-12월'!$G:$G,'RAW_농산물_11-12월'!$D:$D,$C89,'RAW_농산물_11-12월'!$A:$A,$E89))))</f>
        <v>0</v>
      </c>
      <c r="H89" s="14">
        <f>IF($C89="","",IF('설정'!$B$3=0,"",CHOOSE('설정'!$B$3,SUMIFS('RAW_농산물_7월'!$H:$H,'RAW_농산물_7월'!$D:$D,$C89,'RAW_농산물_7월'!$A:$A,$E89),SUMIFS('RAW_농산물_8월'!$H:$H,'RAW_농산물_8월'!$D:$D,$C89,'RAW_농산물_8월'!$A:$A,$E89),SUMIFS('RAW_농산물_9월'!$H:$H,'RAW_농산물_9월'!$D:$D,$C89,'RAW_농산물_9월'!$A:$A,$E89),SUMIFS('RAW_농산물_10월'!$H:$H,'RAW_농산물_10월'!$D:$D,$C89,'RAW_농산물_10월'!$A:$A,$E89),SUMIFS('RAW_농산물_11-12월'!$H:$H,'RAW_농산물_11-12월'!$D:$D,$C89,'RAW_농산물_11-12월'!$A:$A,$E89))))</f>
        <v>0</v>
      </c>
      <c r="I89" s="17" t="str">
        <f>IF($C89="","",IF(COUNTIFS('RAW_농산물_7월'!$D:$D,$C89,'RAW_농산물_7월'!$A:$A,$E89)&gt;0,"O",""))</f>
        <v/>
      </c>
      <c r="J89" s="17" t="str">
        <f>IF($C89="","",IF(COUNTIFS('RAW_농산물_8월'!$D:$D,$C89,'RAW_농산물_8월'!$A:$A,$E89)&gt;0,"O",""))</f>
        <v/>
      </c>
      <c r="K89" s="17" t="str">
        <f>IF($C89="","",IF(COUNTIFS('RAW_농산물_9월'!$D:$D,$C89,'RAW_농산물_9월'!$A:$A,$E89)&gt;0,"O",""))</f>
        <v/>
      </c>
      <c r="L89" s="17" t="str">
        <f>IF($C89="","",IF(COUNTIFS('RAW_농산물_10월'!$D:$D,$C89,'RAW_농산물_10월'!$A:$A,$E89)&gt;0,"O",""))</f>
        <v/>
      </c>
      <c r="M89" s="17" t="str">
        <f>IF($C89="","",IF(COUNTIFS('RAW_농산물_11-12월'!$D:$D,$C89,'RAW_농산물_11-12월'!$A:$A,$E89)&gt;0,"O",""))</f>
        <v/>
      </c>
      <c r="N89" s="7">
        <f>IF($C89="","",IF(COUNTA('RAW_농산물_7월'!$A:$A)&lt;=1,"",SUMIFS('RAW_농산물_7월'!$H:$H,'RAW_농산물_7월'!$D:$D,$C89,'RAW_농산물_7월'!$A:$A,$E89)))</f>
        <v>0</v>
      </c>
      <c r="O89" s="7">
        <f>IF($C89="","",IF(COUNTA('RAW_농산물_8월'!$A:$A)&lt;=1,"",SUMIFS('RAW_농산물_8월'!$H:$H,'RAW_농산물_8월'!$D:$D,$C89,'RAW_농산물_8월'!$A:$A,$E89)-SUMIFS('RAW_농산물_7월'!$H:$H,'RAW_농산물_7월'!$D:$D,$C89,'RAW_농산물_7월'!$A:$A,$E89)))</f>
        <v>0</v>
      </c>
      <c r="P89" s="7" t="str">
        <f>IF($C89="","",IF(COUNTA('RAW_농산물_9월'!$A:$A)&lt;=1,"",SUMIFS('RAW_농산물_9월'!$H:$H,'RAW_농산물_9월'!$D:$D,$C89,'RAW_농산물_9월'!$A:$A,$E89)-SUMIFS('RAW_농산물_8월'!$H:$H,'RAW_농산물_8월'!$D:$D,$C89,'RAW_농산물_8월'!$A:$A,$E89)))</f>
        <v/>
      </c>
      <c r="Q89" s="7" t="str">
        <f>IF($C89="","",IF(COUNTA('RAW_농산물_10월'!$A:$A)&lt;=1,"",SUMIFS('RAW_농산물_10월'!$H:$H,'RAW_농산물_10월'!$D:$D,$C89,'RAW_농산물_10월'!$A:$A,$E89)-SUMIFS('RAW_농산물_9월'!$H:$H,'RAW_농산물_9월'!$D:$D,$C89,'RAW_농산물_9월'!$A:$A,$E89)))</f>
        <v/>
      </c>
      <c r="R89" s="7" t="str">
        <f>IF($C89="","",IF(COUNTA('RAW_농산물_11-12월'!$A:$A)&lt;=1,"",SUMIFS('RAW_농산물_11-12월'!$H:$H,'RAW_농산물_11-12월'!$D:$D,$C89,'RAW_농산물_11-12월'!$A:$A,$E89)-SUMIFS('RAW_농산물_10월'!$H:$H,'RAW_농산물_10월'!$D:$D,$C89,'RAW_농산물_10월'!$A:$A,$E89)))</f>
        <v/>
      </c>
      <c r="S89" s="17" t="str">
        <f t="shared" si="4"/>
        <v/>
      </c>
      <c r="T89" s="17" t="str">
        <f t="shared" si="5"/>
        <v>미사용</v>
      </c>
      <c r="U89" s="7">
        <f>IF($C89="",0,IF('설정'!$B$3=0,0,CHOOSE('설정'!$B$3,COUNTIFS('RAW_농산물_7월'!$D:$D,$C89,'RAW_농산물_7월'!$A:$A,$E89),COUNTIFS('RAW_농산물_8월'!$D:$D,$C89,'RAW_농산물_8월'!$A:$A,$E89),COUNTIFS('RAW_농산물_9월'!$D:$D,$C89,'RAW_농산물_9월'!$A:$A,$E89),COUNTIFS('RAW_농산물_10월'!$D:$D,$C89,'RAW_농산물_10월'!$A:$A,$E89),COUNTIFS('RAW_농산물_11-12월'!$D:$D,$C89,'RAW_농산물_11-12월'!$A:$A,$E89))))</f>
        <v>0</v>
      </c>
    </row>
    <row r="90" ht="15.75" customHeight="1">
      <c r="A90" s="5">
        <v>88.0</v>
      </c>
      <c r="B90" s="5" t="s">
        <v>145</v>
      </c>
      <c r="C90" s="5" t="s">
        <v>351</v>
      </c>
      <c r="D90" s="6" t="s">
        <v>350</v>
      </c>
      <c r="E90" s="5" t="s">
        <v>92</v>
      </c>
      <c r="F90" s="7">
        <f>IF($C90="","",IF('설정'!$B$3=0,"",CHOOSE('설정'!$B$3,SUMIFS('RAW_농산물_7월'!$F:$F,'RAW_농산물_7월'!$D:$D,$C90,'RAW_농산물_7월'!$A:$A,$E90),SUMIFS('RAW_농산물_8월'!$F:$F,'RAW_농산물_8월'!$D:$D,$C90,'RAW_농산물_8월'!$A:$A,$E90),SUMIFS('RAW_농산물_9월'!$F:$F,'RAW_농산물_9월'!$D:$D,$C90,'RAW_농산물_9월'!$A:$A,$E90),SUMIFS('RAW_농산물_10월'!$F:$F,'RAW_농산물_10월'!$D:$D,$C90,'RAW_농산물_10월'!$A:$A,$E90),SUMIFS('RAW_농산물_11-12월'!$F:$F,'RAW_농산물_11-12월'!$D:$D,$C90,'RAW_농산물_11-12월'!$A:$A,$E90))))</f>
        <v>308</v>
      </c>
      <c r="G90" s="7">
        <f>IF($C90="","",IF('설정'!$B$3=0,"",CHOOSE('설정'!$B$3,SUMIFS('RAW_농산물_7월'!$G:$G,'RAW_농산물_7월'!$D:$D,$C90,'RAW_농산물_7월'!$A:$A,$E90),SUMIFS('RAW_농산물_8월'!$G:$G,'RAW_농산물_8월'!$D:$D,$C90,'RAW_농산물_8월'!$A:$A,$E90),SUMIFS('RAW_농산물_9월'!$G:$G,'RAW_농산물_9월'!$D:$D,$C90,'RAW_농산물_9월'!$A:$A,$E90),SUMIFS('RAW_농산물_10월'!$G:$G,'RAW_농산물_10월'!$D:$D,$C90,'RAW_농산물_10월'!$A:$A,$E90),SUMIFS('RAW_농산물_11-12월'!$G:$G,'RAW_농산물_11-12월'!$D:$D,$C90,'RAW_농산물_11-12월'!$A:$A,$E90))))</f>
        <v>5523590</v>
      </c>
      <c r="H90" s="14">
        <f>IF($C90="","",IF('설정'!$B$3=0,"",CHOOSE('설정'!$B$3,SUMIFS('RAW_농산물_7월'!$H:$H,'RAW_농산물_7월'!$D:$D,$C90,'RAW_농산물_7월'!$A:$A,$E90),SUMIFS('RAW_농산물_8월'!$H:$H,'RAW_농산물_8월'!$D:$D,$C90,'RAW_농산물_8월'!$A:$A,$E90),SUMIFS('RAW_농산물_9월'!$H:$H,'RAW_농산물_9월'!$D:$D,$C90,'RAW_농산물_9월'!$A:$A,$E90),SUMIFS('RAW_농산물_10월'!$H:$H,'RAW_농산물_10월'!$D:$D,$C90,'RAW_농산물_10월'!$A:$A,$E90),SUMIFS('RAW_농산물_11-12월'!$H:$H,'RAW_농산물_11-12월'!$D:$D,$C90,'RAW_농산물_11-12월'!$A:$A,$E90))))</f>
        <v>602900</v>
      </c>
      <c r="I90" s="17" t="str">
        <f>IF($C90="","",IF(COUNTIFS('RAW_농산물_7월'!$D:$D,$C90,'RAW_농산물_7월'!$A:$A,$E90)&gt;0,"O",""))</f>
        <v>O</v>
      </c>
      <c r="J90" s="17" t="str">
        <f>IF($C90="","",IF(COUNTIFS('RAW_농산물_8월'!$D:$D,$C90,'RAW_농산물_8월'!$A:$A,$E90)&gt;0,"O",""))</f>
        <v>O</v>
      </c>
      <c r="K90" s="17" t="str">
        <f>IF($C90="","",IF(COUNTIFS('RAW_농산물_9월'!$D:$D,$C90,'RAW_농산물_9월'!$A:$A,$E90)&gt;0,"O",""))</f>
        <v/>
      </c>
      <c r="L90" s="17" t="str">
        <f>IF($C90="","",IF(COUNTIFS('RAW_농산물_10월'!$D:$D,$C90,'RAW_농산물_10월'!$A:$A,$E90)&gt;0,"O",""))</f>
        <v/>
      </c>
      <c r="M90" s="17" t="str">
        <f>IF($C90="","",IF(COUNTIFS('RAW_농산물_11-12월'!$D:$D,$C90,'RAW_농산물_11-12월'!$A:$A,$E90)&gt;0,"O",""))</f>
        <v/>
      </c>
      <c r="N90" s="7">
        <f>IF($C90="","",IF(COUNTA('RAW_농산물_7월'!$A:$A)&lt;=1,"",SUMIFS('RAW_농산물_7월'!$H:$H,'RAW_농산물_7월'!$D:$D,$C90,'RAW_농산물_7월'!$A:$A,$E90)))</f>
        <v>411260</v>
      </c>
      <c r="O90" s="7">
        <f>IF($C90="","",IF(COUNTA('RAW_농산물_8월'!$A:$A)&lt;=1,"",SUMIFS('RAW_농산물_8월'!$H:$H,'RAW_농산물_8월'!$D:$D,$C90,'RAW_농산물_8월'!$A:$A,$E90)-SUMIFS('RAW_농산물_7월'!$H:$H,'RAW_농산물_7월'!$D:$D,$C90,'RAW_농산물_7월'!$A:$A,$E90)))</f>
        <v>191640</v>
      </c>
      <c r="P90" s="7" t="str">
        <f>IF($C90="","",IF(COUNTA('RAW_농산물_9월'!$A:$A)&lt;=1,"",SUMIFS('RAW_농산물_9월'!$H:$H,'RAW_농산물_9월'!$D:$D,$C90,'RAW_농산물_9월'!$A:$A,$E90)-SUMIFS('RAW_농산물_8월'!$H:$H,'RAW_농산물_8월'!$D:$D,$C90,'RAW_농산물_8월'!$A:$A,$E90)))</f>
        <v/>
      </c>
      <c r="Q90" s="7" t="str">
        <f>IF($C90="","",IF(COUNTA('RAW_농산물_10월'!$A:$A)&lt;=1,"",SUMIFS('RAW_농산물_10월'!$H:$H,'RAW_농산물_10월'!$D:$D,$C90,'RAW_농산물_10월'!$A:$A,$E90)-SUMIFS('RAW_농산물_9월'!$H:$H,'RAW_농산물_9월'!$D:$D,$C90,'RAW_농산물_9월'!$A:$A,$E90)))</f>
        <v/>
      </c>
      <c r="R90" s="7" t="str">
        <f>IF($C90="","",IF(COUNTA('RAW_농산물_11-12월'!$A:$A)&lt;=1,"",SUMIFS('RAW_농산물_11-12월'!$H:$H,'RAW_농산물_11-12월'!$D:$D,$C90,'RAW_농산물_11-12월'!$A:$A,$E90)-SUMIFS('RAW_농산물_10월'!$H:$H,'RAW_농산물_10월'!$D:$D,$C90,'RAW_농산물_10월'!$A:$A,$E90)))</f>
        <v/>
      </c>
      <c r="S90" s="17" t="str">
        <f t="shared" si="4"/>
        <v>O</v>
      </c>
      <c r="T90" s="17" t="str">
        <f t="shared" si="5"/>
        <v>100만원 미만</v>
      </c>
      <c r="U90" s="7">
        <f>IF($C90="",0,IF('설정'!$B$3=0,0,CHOOSE('설정'!$B$3,COUNTIFS('RAW_농산물_7월'!$D:$D,$C90,'RAW_농산물_7월'!$A:$A,$E90),COUNTIFS('RAW_농산물_8월'!$D:$D,$C90,'RAW_농산물_8월'!$A:$A,$E90),COUNTIFS('RAW_농산물_9월'!$D:$D,$C90,'RAW_농산물_9월'!$A:$A,$E90),COUNTIFS('RAW_농산물_10월'!$D:$D,$C90,'RAW_농산물_10월'!$A:$A,$E90),COUNTIFS('RAW_농산물_11-12월'!$D:$D,$C90,'RAW_농산물_11-12월'!$A:$A,$E90))))</f>
        <v>4</v>
      </c>
    </row>
    <row r="91" ht="15.75" customHeight="1">
      <c r="A91" s="5">
        <v>89.0</v>
      </c>
      <c r="B91" s="5" t="s">
        <v>25</v>
      </c>
      <c r="C91" s="5" t="s">
        <v>2929</v>
      </c>
      <c r="D91" s="6" t="s">
        <v>2930</v>
      </c>
      <c r="E91" s="5" t="s">
        <v>93</v>
      </c>
      <c r="F91" s="7">
        <f>IF($C91="","",IF('설정'!$B$3=0,"",CHOOSE('설정'!$B$3,SUMIFS('RAW_농산물_7월'!$F:$F,'RAW_농산물_7월'!$D:$D,$C91,'RAW_농산물_7월'!$A:$A,$E91),SUMIFS('RAW_농산물_8월'!$F:$F,'RAW_농산물_8월'!$D:$D,$C91,'RAW_농산물_8월'!$A:$A,$E91),SUMIFS('RAW_농산물_9월'!$F:$F,'RAW_농산물_9월'!$D:$D,$C91,'RAW_농산물_9월'!$A:$A,$E91),SUMIFS('RAW_농산물_10월'!$F:$F,'RAW_농산물_10월'!$D:$D,$C91,'RAW_농산물_10월'!$A:$A,$E91),SUMIFS('RAW_농산물_11-12월'!$F:$F,'RAW_농산물_11-12월'!$D:$D,$C91,'RAW_농산물_11-12월'!$A:$A,$E91))))</f>
        <v>0</v>
      </c>
      <c r="G91" s="7">
        <f>IF($C91="","",IF('설정'!$B$3=0,"",CHOOSE('설정'!$B$3,SUMIFS('RAW_농산물_7월'!$G:$G,'RAW_농산물_7월'!$D:$D,$C91,'RAW_농산물_7월'!$A:$A,$E91),SUMIFS('RAW_농산물_8월'!$G:$G,'RAW_농산물_8월'!$D:$D,$C91,'RAW_농산물_8월'!$A:$A,$E91),SUMIFS('RAW_농산물_9월'!$G:$G,'RAW_농산물_9월'!$D:$D,$C91,'RAW_농산물_9월'!$A:$A,$E91),SUMIFS('RAW_농산물_10월'!$G:$G,'RAW_농산물_10월'!$D:$D,$C91,'RAW_농산물_10월'!$A:$A,$E91),SUMIFS('RAW_농산물_11-12월'!$G:$G,'RAW_농산물_11-12월'!$D:$D,$C91,'RAW_농산물_11-12월'!$A:$A,$E91))))</f>
        <v>0</v>
      </c>
      <c r="H91" s="14">
        <f>IF($C91="","",IF('설정'!$B$3=0,"",CHOOSE('설정'!$B$3,SUMIFS('RAW_농산물_7월'!$H:$H,'RAW_농산물_7월'!$D:$D,$C91,'RAW_농산물_7월'!$A:$A,$E91),SUMIFS('RAW_농산물_8월'!$H:$H,'RAW_농산물_8월'!$D:$D,$C91,'RAW_농산물_8월'!$A:$A,$E91),SUMIFS('RAW_농산물_9월'!$H:$H,'RAW_농산물_9월'!$D:$D,$C91,'RAW_농산물_9월'!$A:$A,$E91),SUMIFS('RAW_농산물_10월'!$H:$H,'RAW_농산물_10월'!$D:$D,$C91,'RAW_농산물_10월'!$A:$A,$E91),SUMIFS('RAW_농산물_11-12월'!$H:$H,'RAW_농산물_11-12월'!$D:$D,$C91,'RAW_농산물_11-12월'!$A:$A,$E91))))</f>
        <v>0</v>
      </c>
      <c r="I91" s="17" t="str">
        <f>IF($C91="","",IF(COUNTIFS('RAW_농산물_7월'!$D:$D,$C91,'RAW_농산물_7월'!$A:$A,$E91)&gt;0,"O",""))</f>
        <v/>
      </c>
      <c r="J91" s="17" t="str">
        <f>IF($C91="","",IF(COUNTIFS('RAW_농산물_8월'!$D:$D,$C91,'RAW_농산물_8월'!$A:$A,$E91)&gt;0,"O",""))</f>
        <v/>
      </c>
      <c r="K91" s="17" t="str">
        <f>IF($C91="","",IF(COUNTIFS('RAW_농산물_9월'!$D:$D,$C91,'RAW_농산물_9월'!$A:$A,$E91)&gt;0,"O",""))</f>
        <v/>
      </c>
      <c r="L91" s="17" t="str">
        <f>IF($C91="","",IF(COUNTIFS('RAW_농산물_10월'!$D:$D,$C91,'RAW_농산물_10월'!$A:$A,$E91)&gt;0,"O",""))</f>
        <v/>
      </c>
      <c r="M91" s="17" t="str">
        <f>IF($C91="","",IF(COUNTIFS('RAW_농산물_11-12월'!$D:$D,$C91,'RAW_농산물_11-12월'!$A:$A,$E91)&gt;0,"O",""))</f>
        <v/>
      </c>
      <c r="N91" s="7">
        <f>IF($C91="","",IF(COUNTA('RAW_농산물_7월'!$A:$A)&lt;=1,"",SUMIFS('RAW_농산물_7월'!$H:$H,'RAW_농산물_7월'!$D:$D,$C91,'RAW_농산물_7월'!$A:$A,$E91)))</f>
        <v>0</v>
      </c>
      <c r="O91" s="7">
        <f>IF($C91="","",IF(COUNTA('RAW_농산물_8월'!$A:$A)&lt;=1,"",SUMIFS('RAW_농산물_8월'!$H:$H,'RAW_농산물_8월'!$D:$D,$C91,'RAW_농산물_8월'!$A:$A,$E91)-SUMIFS('RAW_농산물_7월'!$H:$H,'RAW_농산물_7월'!$D:$D,$C91,'RAW_농산물_7월'!$A:$A,$E91)))</f>
        <v>0</v>
      </c>
      <c r="P91" s="7" t="str">
        <f>IF($C91="","",IF(COUNTA('RAW_농산물_9월'!$A:$A)&lt;=1,"",SUMIFS('RAW_농산물_9월'!$H:$H,'RAW_농산물_9월'!$D:$D,$C91,'RAW_농산물_9월'!$A:$A,$E91)-SUMIFS('RAW_농산물_8월'!$H:$H,'RAW_농산물_8월'!$D:$D,$C91,'RAW_농산물_8월'!$A:$A,$E91)))</f>
        <v/>
      </c>
      <c r="Q91" s="7" t="str">
        <f>IF($C91="","",IF(COUNTA('RAW_농산물_10월'!$A:$A)&lt;=1,"",SUMIFS('RAW_농산물_10월'!$H:$H,'RAW_농산물_10월'!$D:$D,$C91,'RAW_농산물_10월'!$A:$A,$E91)-SUMIFS('RAW_농산물_9월'!$H:$H,'RAW_농산물_9월'!$D:$D,$C91,'RAW_농산물_9월'!$A:$A,$E91)))</f>
        <v/>
      </c>
      <c r="R91" s="7" t="str">
        <f>IF($C91="","",IF(COUNTA('RAW_농산물_11-12월'!$A:$A)&lt;=1,"",SUMIFS('RAW_농산물_11-12월'!$H:$H,'RAW_농산물_11-12월'!$D:$D,$C91,'RAW_농산물_11-12월'!$A:$A,$E91)-SUMIFS('RAW_농산물_10월'!$H:$H,'RAW_농산물_10월'!$D:$D,$C91,'RAW_농산물_10월'!$A:$A,$E91)))</f>
        <v/>
      </c>
      <c r="S91" s="17" t="str">
        <f t="shared" si="4"/>
        <v/>
      </c>
      <c r="T91" s="17" t="str">
        <f t="shared" si="5"/>
        <v>미사용</v>
      </c>
      <c r="U91" s="7">
        <f>IF($C91="",0,IF('설정'!$B$3=0,0,CHOOSE('설정'!$B$3,COUNTIFS('RAW_농산물_7월'!$D:$D,$C91,'RAW_농산물_7월'!$A:$A,$E91),COUNTIFS('RAW_농산물_8월'!$D:$D,$C91,'RAW_농산물_8월'!$A:$A,$E91),COUNTIFS('RAW_농산물_9월'!$D:$D,$C91,'RAW_농산물_9월'!$A:$A,$E91),COUNTIFS('RAW_농산물_10월'!$D:$D,$C91,'RAW_농산물_10월'!$A:$A,$E91),COUNTIFS('RAW_농산물_11-12월'!$D:$D,$C91,'RAW_농산물_11-12월'!$A:$A,$E91))))</f>
        <v>0</v>
      </c>
    </row>
    <row r="92" ht="15.75" customHeight="1">
      <c r="A92" s="5">
        <v>90.0</v>
      </c>
      <c r="B92" s="5" t="s">
        <v>25</v>
      </c>
      <c r="C92" s="5" t="s">
        <v>1344</v>
      </c>
      <c r="D92" s="6" t="s">
        <v>1343</v>
      </c>
      <c r="E92" s="5" t="s">
        <v>93</v>
      </c>
      <c r="F92" s="7">
        <f>IF($C92="","",IF('설정'!$B$3=0,"",CHOOSE('설정'!$B$3,SUMIFS('RAW_농산물_7월'!$F:$F,'RAW_농산물_7월'!$D:$D,$C92,'RAW_농산물_7월'!$A:$A,$E92),SUMIFS('RAW_농산물_8월'!$F:$F,'RAW_농산물_8월'!$D:$D,$C92,'RAW_농산물_8월'!$A:$A,$E92),SUMIFS('RAW_농산물_9월'!$F:$F,'RAW_농산물_9월'!$D:$D,$C92,'RAW_농산물_9월'!$A:$A,$E92),SUMIFS('RAW_농산물_10월'!$F:$F,'RAW_농산물_10월'!$D:$D,$C92,'RAW_농산물_10월'!$A:$A,$E92),SUMIFS('RAW_농산물_11-12월'!$F:$F,'RAW_농산물_11-12월'!$D:$D,$C92,'RAW_농산물_11-12월'!$A:$A,$E92))))</f>
        <v>2151</v>
      </c>
      <c r="G92" s="7">
        <f>IF($C92="","",IF('설정'!$B$3=0,"",CHOOSE('설정'!$B$3,SUMIFS('RAW_농산물_7월'!$G:$G,'RAW_농산물_7월'!$D:$D,$C92,'RAW_농산물_7월'!$A:$A,$E92),SUMIFS('RAW_농산물_8월'!$G:$G,'RAW_농산물_8월'!$D:$D,$C92,'RAW_농산물_8월'!$A:$A,$E92),SUMIFS('RAW_농산물_9월'!$G:$G,'RAW_농산물_9월'!$D:$D,$C92,'RAW_농산물_9월'!$A:$A,$E92),SUMIFS('RAW_농산물_10월'!$G:$G,'RAW_농산물_10월'!$D:$D,$C92,'RAW_농산물_10월'!$A:$A,$E92),SUMIFS('RAW_농산물_11-12월'!$G:$G,'RAW_농산물_11-12월'!$D:$D,$C92,'RAW_농산물_11-12월'!$A:$A,$E92))))</f>
        <v>57973900</v>
      </c>
      <c r="H92" s="14">
        <f>IF($C92="","",IF('설정'!$B$3=0,"",CHOOSE('설정'!$B$3,SUMIFS('RAW_농산물_7월'!$H:$H,'RAW_농산물_7월'!$D:$D,$C92,'RAW_농산물_7월'!$A:$A,$E92),SUMIFS('RAW_농산물_8월'!$H:$H,'RAW_농산물_8월'!$D:$D,$C92,'RAW_농산물_8월'!$A:$A,$E92),SUMIFS('RAW_농산물_9월'!$H:$H,'RAW_농산물_9월'!$D:$D,$C92,'RAW_농산물_9월'!$A:$A,$E92),SUMIFS('RAW_농산물_10월'!$H:$H,'RAW_농산물_10월'!$D:$D,$C92,'RAW_농산물_10월'!$A:$A,$E92),SUMIFS('RAW_농산물_11-12월'!$H:$H,'RAW_농산물_11-12월'!$D:$D,$C92,'RAW_농산물_11-12월'!$A:$A,$E92))))</f>
        <v>4867560</v>
      </c>
      <c r="I92" s="17" t="str">
        <f>IF($C92="","",IF(COUNTIFS('RAW_농산물_7월'!$D:$D,$C92,'RAW_농산물_7월'!$A:$A,$E92)&gt;0,"O",""))</f>
        <v>O</v>
      </c>
      <c r="J92" s="17" t="str">
        <f>IF($C92="","",IF(COUNTIFS('RAW_농산물_8월'!$D:$D,$C92,'RAW_농산물_8월'!$A:$A,$E92)&gt;0,"O",""))</f>
        <v>O</v>
      </c>
      <c r="K92" s="17" t="str">
        <f>IF($C92="","",IF(COUNTIFS('RAW_농산물_9월'!$D:$D,$C92,'RAW_농산물_9월'!$A:$A,$E92)&gt;0,"O",""))</f>
        <v/>
      </c>
      <c r="L92" s="17" t="str">
        <f>IF($C92="","",IF(COUNTIFS('RAW_농산물_10월'!$D:$D,$C92,'RAW_농산물_10월'!$A:$A,$E92)&gt;0,"O",""))</f>
        <v/>
      </c>
      <c r="M92" s="17" t="str">
        <f>IF($C92="","",IF(COUNTIFS('RAW_농산물_11-12월'!$D:$D,$C92,'RAW_농산물_11-12월'!$A:$A,$E92)&gt;0,"O",""))</f>
        <v/>
      </c>
      <c r="N92" s="7">
        <f>IF($C92="","",IF(COUNTA('RAW_농산물_7월'!$A:$A)&lt;=1,"",SUMIFS('RAW_농산물_7월'!$H:$H,'RAW_농산물_7월'!$D:$D,$C92,'RAW_농산물_7월'!$A:$A,$E92)))</f>
        <v>2009080</v>
      </c>
      <c r="O92" s="7">
        <f>IF($C92="","",IF(COUNTA('RAW_농산물_8월'!$A:$A)&lt;=1,"",SUMIFS('RAW_농산물_8월'!$H:$H,'RAW_농산물_8월'!$D:$D,$C92,'RAW_농산물_8월'!$A:$A,$E92)-SUMIFS('RAW_농산물_7월'!$H:$H,'RAW_농산물_7월'!$D:$D,$C92,'RAW_농산물_7월'!$A:$A,$E92)))</f>
        <v>2858480</v>
      </c>
      <c r="P92" s="7" t="str">
        <f>IF($C92="","",IF(COUNTA('RAW_농산물_9월'!$A:$A)&lt;=1,"",SUMIFS('RAW_농산물_9월'!$H:$H,'RAW_농산물_9월'!$D:$D,$C92,'RAW_농산물_9월'!$A:$A,$E92)-SUMIFS('RAW_농산물_8월'!$H:$H,'RAW_농산물_8월'!$D:$D,$C92,'RAW_농산물_8월'!$A:$A,$E92)))</f>
        <v/>
      </c>
      <c r="Q92" s="7" t="str">
        <f>IF($C92="","",IF(COUNTA('RAW_농산물_10월'!$A:$A)&lt;=1,"",SUMIFS('RAW_농산물_10월'!$H:$H,'RAW_농산물_10월'!$D:$D,$C92,'RAW_농산물_10월'!$A:$A,$E92)-SUMIFS('RAW_농산물_9월'!$H:$H,'RAW_농산물_9월'!$D:$D,$C92,'RAW_농산물_9월'!$A:$A,$E92)))</f>
        <v/>
      </c>
      <c r="R92" s="7" t="str">
        <f>IF($C92="","",IF(COUNTA('RAW_농산물_11-12월'!$A:$A)&lt;=1,"",SUMIFS('RAW_농산물_11-12월'!$H:$H,'RAW_농산물_11-12월'!$D:$D,$C92,'RAW_농산물_11-12월'!$A:$A,$E92)-SUMIFS('RAW_농산물_10월'!$H:$H,'RAW_농산물_10월'!$D:$D,$C92,'RAW_농산물_10월'!$A:$A,$E92)))</f>
        <v/>
      </c>
      <c r="S92" s="17" t="str">
        <f t="shared" si="4"/>
        <v>O</v>
      </c>
      <c r="T92" s="17" t="str">
        <f t="shared" si="5"/>
        <v>500만원 미만</v>
      </c>
      <c r="U92" s="7">
        <f>IF($C92="",0,IF('설정'!$B$3=0,0,CHOOSE('설정'!$B$3,COUNTIFS('RAW_농산물_7월'!$D:$D,$C92,'RAW_농산물_7월'!$A:$A,$E92),COUNTIFS('RAW_농산물_8월'!$D:$D,$C92,'RAW_농산물_8월'!$A:$A,$E92),COUNTIFS('RAW_농산물_9월'!$D:$D,$C92,'RAW_농산물_9월'!$A:$A,$E92),COUNTIFS('RAW_농산물_10월'!$D:$D,$C92,'RAW_농산물_10월'!$A:$A,$E92),COUNTIFS('RAW_농산물_11-12월'!$D:$D,$C92,'RAW_농산물_11-12월'!$A:$A,$E92))))</f>
        <v>13</v>
      </c>
    </row>
    <row r="93" ht="15.75" customHeight="1">
      <c r="A93" s="5">
        <v>91.0</v>
      </c>
      <c r="B93" s="5" t="s">
        <v>25</v>
      </c>
      <c r="C93" s="5" t="s">
        <v>323</v>
      </c>
      <c r="D93" s="6" t="s">
        <v>322</v>
      </c>
      <c r="E93" s="5" t="s">
        <v>92</v>
      </c>
      <c r="F93" s="7">
        <f>IF($C93="","",IF('설정'!$B$3=0,"",CHOOSE('설정'!$B$3,SUMIFS('RAW_농산물_7월'!$F:$F,'RAW_농산물_7월'!$D:$D,$C93,'RAW_농산물_7월'!$A:$A,$E93),SUMIFS('RAW_농산물_8월'!$F:$F,'RAW_농산물_8월'!$D:$D,$C93,'RAW_농산물_8월'!$A:$A,$E93),SUMIFS('RAW_농산물_9월'!$F:$F,'RAW_농산물_9월'!$D:$D,$C93,'RAW_농산물_9월'!$A:$A,$E93),SUMIFS('RAW_농산물_10월'!$F:$F,'RAW_농산물_10월'!$D:$D,$C93,'RAW_농산물_10월'!$A:$A,$E93),SUMIFS('RAW_농산물_11-12월'!$F:$F,'RAW_농산물_11-12월'!$D:$D,$C93,'RAW_농산물_11-12월'!$A:$A,$E93))))</f>
        <v>417</v>
      </c>
      <c r="G93" s="7">
        <f>IF($C93="","",IF('설정'!$B$3=0,"",CHOOSE('설정'!$B$3,SUMIFS('RAW_농산물_7월'!$G:$G,'RAW_농산물_7월'!$D:$D,$C93,'RAW_농산물_7월'!$A:$A,$E93),SUMIFS('RAW_농산물_8월'!$G:$G,'RAW_농산물_8월'!$D:$D,$C93,'RAW_농산물_8월'!$A:$A,$E93),SUMIFS('RAW_농산물_9월'!$G:$G,'RAW_농산물_9월'!$D:$D,$C93,'RAW_농산물_9월'!$A:$A,$E93),SUMIFS('RAW_농산물_10월'!$G:$G,'RAW_농산물_10월'!$D:$D,$C93,'RAW_농산물_10월'!$A:$A,$E93),SUMIFS('RAW_농산물_11-12월'!$G:$G,'RAW_농산물_11-12월'!$D:$D,$C93,'RAW_농산물_11-12월'!$A:$A,$E93))))</f>
        <v>42703650</v>
      </c>
      <c r="H93" s="14">
        <f>IF($C93="","",IF('설정'!$B$3=0,"",CHOOSE('설정'!$B$3,SUMIFS('RAW_농산물_7월'!$H:$H,'RAW_농산물_7월'!$D:$D,$C93,'RAW_농산물_7월'!$A:$A,$E93),SUMIFS('RAW_농산물_8월'!$H:$H,'RAW_농산물_8월'!$D:$D,$C93,'RAW_농산물_8월'!$A:$A,$E93),SUMIFS('RAW_농산물_9월'!$H:$H,'RAW_농산물_9월'!$D:$D,$C93,'RAW_농산물_9월'!$A:$A,$E93),SUMIFS('RAW_농산물_10월'!$H:$H,'RAW_농산물_10월'!$D:$D,$C93,'RAW_농산물_10월'!$A:$A,$E93),SUMIFS('RAW_농산물_11-12월'!$H:$H,'RAW_농산물_11-12월'!$D:$D,$C93,'RAW_농산물_11-12월'!$A:$A,$E93))))</f>
        <v>1627460</v>
      </c>
      <c r="I93" s="17" t="str">
        <f>IF($C93="","",IF(COUNTIFS('RAW_농산물_7월'!$D:$D,$C93,'RAW_농산물_7월'!$A:$A,$E93)&gt;0,"O",""))</f>
        <v>O</v>
      </c>
      <c r="J93" s="17" t="str">
        <f>IF($C93="","",IF(COUNTIFS('RAW_농산물_8월'!$D:$D,$C93,'RAW_농산물_8월'!$A:$A,$E93)&gt;0,"O",""))</f>
        <v>O</v>
      </c>
      <c r="K93" s="17" t="str">
        <f>IF($C93="","",IF(COUNTIFS('RAW_농산물_9월'!$D:$D,$C93,'RAW_농산물_9월'!$A:$A,$E93)&gt;0,"O",""))</f>
        <v/>
      </c>
      <c r="L93" s="17" t="str">
        <f>IF($C93="","",IF(COUNTIFS('RAW_농산물_10월'!$D:$D,$C93,'RAW_농산물_10월'!$A:$A,$E93)&gt;0,"O",""))</f>
        <v/>
      </c>
      <c r="M93" s="17" t="str">
        <f>IF($C93="","",IF(COUNTIFS('RAW_농산물_11-12월'!$D:$D,$C93,'RAW_농산물_11-12월'!$A:$A,$E93)&gt;0,"O",""))</f>
        <v/>
      </c>
      <c r="N93" s="7">
        <f>IF($C93="","",IF(COUNTA('RAW_농산물_7월'!$A:$A)&lt;=1,"",SUMIFS('RAW_농산물_7월'!$H:$H,'RAW_농산물_7월'!$D:$D,$C93,'RAW_농산물_7월'!$A:$A,$E93)))</f>
        <v>0</v>
      </c>
      <c r="O93" s="7">
        <f>IF($C93="","",IF(COUNTA('RAW_농산물_8월'!$A:$A)&lt;=1,"",SUMIFS('RAW_농산물_8월'!$H:$H,'RAW_농산물_8월'!$D:$D,$C93,'RAW_농산물_8월'!$A:$A,$E93)-SUMIFS('RAW_농산물_7월'!$H:$H,'RAW_농산물_7월'!$D:$D,$C93,'RAW_농산물_7월'!$A:$A,$E93)))</f>
        <v>1627460</v>
      </c>
      <c r="P93" s="7" t="str">
        <f>IF($C93="","",IF(COUNTA('RAW_농산물_9월'!$A:$A)&lt;=1,"",SUMIFS('RAW_농산물_9월'!$H:$H,'RAW_농산물_9월'!$D:$D,$C93,'RAW_농산물_9월'!$A:$A,$E93)-SUMIFS('RAW_농산물_8월'!$H:$H,'RAW_농산물_8월'!$D:$D,$C93,'RAW_농산물_8월'!$A:$A,$E93)))</f>
        <v/>
      </c>
      <c r="Q93" s="7" t="str">
        <f>IF($C93="","",IF(COUNTA('RAW_농산물_10월'!$A:$A)&lt;=1,"",SUMIFS('RAW_농산물_10월'!$H:$H,'RAW_농산물_10월'!$D:$D,$C93,'RAW_농산물_10월'!$A:$A,$E93)-SUMIFS('RAW_농산물_9월'!$H:$H,'RAW_농산물_9월'!$D:$D,$C93,'RAW_농산물_9월'!$A:$A,$E93)))</f>
        <v/>
      </c>
      <c r="R93" s="7" t="str">
        <f>IF($C93="","",IF(COUNTA('RAW_농산물_11-12월'!$A:$A)&lt;=1,"",SUMIFS('RAW_농산물_11-12월'!$H:$H,'RAW_농산물_11-12월'!$D:$D,$C93,'RAW_농산물_11-12월'!$A:$A,$E93)-SUMIFS('RAW_농산물_10월'!$H:$H,'RAW_농산물_10월'!$D:$D,$C93,'RAW_농산물_10월'!$A:$A,$E93)))</f>
        <v/>
      </c>
      <c r="S93" s="17" t="str">
        <f t="shared" si="4"/>
        <v>O</v>
      </c>
      <c r="T93" s="17" t="str">
        <f t="shared" si="5"/>
        <v>200만원 미만</v>
      </c>
      <c r="U93" s="7">
        <f>IF($C93="",0,IF('설정'!$B$3=0,0,CHOOSE('설정'!$B$3,COUNTIFS('RAW_농산물_7월'!$D:$D,$C93,'RAW_농산물_7월'!$A:$A,$E93),COUNTIFS('RAW_농산물_8월'!$D:$D,$C93,'RAW_농산물_8월'!$A:$A,$E93),COUNTIFS('RAW_농산물_9월'!$D:$D,$C93,'RAW_농산물_9월'!$A:$A,$E93),COUNTIFS('RAW_농산물_10월'!$D:$D,$C93,'RAW_농산물_10월'!$A:$A,$E93),COUNTIFS('RAW_농산물_11-12월'!$D:$D,$C93,'RAW_농산물_11-12월'!$A:$A,$E93))))</f>
        <v>15</v>
      </c>
    </row>
    <row r="94" ht="15.75" customHeight="1">
      <c r="A94" s="5">
        <v>92.0</v>
      </c>
      <c r="B94" s="5" t="s">
        <v>25</v>
      </c>
      <c r="C94" s="5" t="s">
        <v>431</v>
      </c>
      <c r="D94" s="6" t="s">
        <v>430</v>
      </c>
      <c r="E94" s="5" t="s">
        <v>92</v>
      </c>
      <c r="F94" s="7">
        <f>IF($C94="","",IF('설정'!$B$3=0,"",CHOOSE('설정'!$B$3,SUMIFS('RAW_농산물_7월'!$F:$F,'RAW_농산물_7월'!$D:$D,$C94,'RAW_농산물_7월'!$A:$A,$E94),SUMIFS('RAW_농산물_8월'!$F:$F,'RAW_농산물_8월'!$D:$D,$C94,'RAW_농산물_8월'!$A:$A,$E94),SUMIFS('RAW_농산물_9월'!$F:$F,'RAW_농산물_9월'!$D:$D,$C94,'RAW_농산물_9월'!$A:$A,$E94),SUMIFS('RAW_농산물_10월'!$F:$F,'RAW_농산물_10월'!$D:$D,$C94,'RAW_농산물_10월'!$A:$A,$E94),SUMIFS('RAW_농산물_11-12월'!$F:$F,'RAW_농산물_11-12월'!$D:$D,$C94,'RAW_농산물_11-12월'!$A:$A,$E94))))</f>
        <v>87</v>
      </c>
      <c r="G94" s="7">
        <f>IF($C94="","",IF('설정'!$B$3=0,"",CHOOSE('설정'!$B$3,SUMIFS('RAW_농산물_7월'!$G:$G,'RAW_농산물_7월'!$D:$D,$C94,'RAW_농산물_7월'!$A:$A,$E94),SUMIFS('RAW_농산물_8월'!$G:$G,'RAW_농산물_8월'!$D:$D,$C94,'RAW_농산물_8월'!$A:$A,$E94),SUMIFS('RAW_농산물_9월'!$G:$G,'RAW_농산물_9월'!$D:$D,$C94,'RAW_농산물_9월'!$A:$A,$E94),SUMIFS('RAW_농산물_10월'!$G:$G,'RAW_농산물_10월'!$D:$D,$C94,'RAW_농산물_10월'!$A:$A,$E94),SUMIFS('RAW_농산물_11-12월'!$G:$G,'RAW_농산물_11-12월'!$D:$D,$C94,'RAW_농산물_11-12월'!$A:$A,$E94))))</f>
        <v>2505010</v>
      </c>
      <c r="H94" s="14">
        <f>IF($C94="","",IF('설정'!$B$3=0,"",CHOOSE('설정'!$B$3,SUMIFS('RAW_농산물_7월'!$H:$H,'RAW_농산물_7월'!$D:$D,$C94,'RAW_농산물_7월'!$A:$A,$E94),SUMIFS('RAW_농산물_8월'!$H:$H,'RAW_농산물_8월'!$D:$D,$C94,'RAW_농산물_8월'!$A:$A,$E94),SUMIFS('RAW_농산물_9월'!$H:$H,'RAW_농산물_9월'!$D:$D,$C94,'RAW_농산물_9월'!$A:$A,$E94),SUMIFS('RAW_농산물_10월'!$H:$H,'RAW_농산물_10월'!$D:$D,$C94,'RAW_농산물_10월'!$A:$A,$E94),SUMIFS('RAW_농산물_11-12월'!$H:$H,'RAW_농산물_11-12월'!$D:$D,$C94,'RAW_농산물_11-12월'!$A:$A,$E94))))</f>
        <v>210620</v>
      </c>
      <c r="I94" s="17" t="str">
        <f>IF($C94="","",IF(COUNTIFS('RAW_농산물_7월'!$D:$D,$C94,'RAW_농산물_7월'!$A:$A,$E94)&gt;0,"O",""))</f>
        <v>O</v>
      </c>
      <c r="J94" s="17" t="str">
        <f>IF($C94="","",IF(COUNTIFS('RAW_농산물_8월'!$D:$D,$C94,'RAW_농산물_8월'!$A:$A,$E94)&gt;0,"O",""))</f>
        <v>O</v>
      </c>
      <c r="K94" s="17" t="str">
        <f>IF($C94="","",IF(COUNTIFS('RAW_농산물_9월'!$D:$D,$C94,'RAW_농산물_9월'!$A:$A,$E94)&gt;0,"O",""))</f>
        <v/>
      </c>
      <c r="L94" s="17" t="str">
        <f>IF($C94="","",IF(COUNTIFS('RAW_농산물_10월'!$D:$D,$C94,'RAW_농산물_10월'!$A:$A,$E94)&gt;0,"O",""))</f>
        <v/>
      </c>
      <c r="M94" s="17" t="str">
        <f>IF($C94="","",IF(COUNTIFS('RAW_농산물_11-12월'!$D:$D,$C94,'RAW_농산물_11-12월'!$A:$A,$E94)&gt;0,"O",""))</f>
        <v/>
      </c>
      <c r="N94" s="7">
        <f>IF($C94="","",IF(COUNTA('RAW_농산물_7월'!$A:$A)&lt;=1,"",SUMIFS('RAW_농산물_7월'!$H:$H,'RAW_농산물_7월'!$D:$D,$C94,'RAW_농산물_7월'!$A:$A,$E94)))</f>
        <v>210620</v>
      </c>
      <c r="O94" s="7">
        <f>IF($C94="","",IF(COUNTA('RAW_농산물_8월'!$A:$A)&lt;=1,"",SUMIFS('RAW_농산물_8월'!$H:$H,'RAW_농산물_8월'!$D:$D,$C94,'RAW_농산물_8월'!$A:$A,$E94)-SUMIFS('RAW_농산물_7월'!$H:$H,'RAW_농산물_7월'!$D:$D,$C94,'RAW_농산물_7월'!$A:$A,$E94)))</f>
        <v>0</v>
      </c>
      <c r="P94" s="7" t="str">
        <f>IF($C94="","",IF(COUNTA('RAW_농산물_9월'!$A:$A)&lt;=1,"",SUMIFS('RAW_농산물_9월'!$H:$H,'RAW_농산물_9월'!$D:$D,$C94,'RAW_농산물_9월'!$A:$A,$E94)-SUMIFS('RAW_농산물_8월'!$H:$H,'RAW_농산물_8월'!$D:$D,$C94,'RAW_농산물_8월'!$A:$A,$E94)))</f>
        <v/>
      </c>
      <c r="Q94" s="7" t="str">
        <f>IF($C94="","",IF(COUNTA('RAW_농산물_10월'!$A:$A)&lt;=1,"",SUMIFS('RAW_농산물_10월'!$H:$H,'RAW_농산물_10월'!$D:$D,$C94,'RAW_농산물_10월'!$A:$A,$E94)-SUMIFS('RAW_농산물_9월'!$H:$H,'RAW_농산물_9월'!$D:$D,$C94,'RAW_농산물_9월'!$A:$A,$E94)))</f>
        <v/>
      </c>
      <c r="R94" s="7" t="str">
        <f>IF($C94="","",IF(COUNTA('RAW_농산물_11-12월'!$A:$A)&lt;=1,"",SUMIFS('RAW_농산물_11-12월'!$H:$H,'RAW_농산물_11-12월'!$D:$D,$C94,'RAW_농산물_11-12월'!$A:$A,$E94)-SUMIFS('RAW_농산물_10월'!$H:$H,'RAW_농산물_10월'!$D:$D,$C94,'RAW_농산물_10월'!$A:$A,$E94)))</f>
        <v/>
      </c>
      <c r="S94" s="17" t="str">
        <f t="shared" si="4"/>
        <v>O</v>
      </c>
      <c r="T94" s="17" t="str">
        <f t="shared" si="5"/>
        <v>50만원 미만</v>
      </c>
      <c r="U94" s="7">
        <f>IF($C94="",0,IF('설정'!$B$3=0,0,CHOOSE('설정'!$B$3,COUNTIFS('RAW_농산물_7월'!$D:$D,$C94,'RAW_농산물_7월'!$A:$A,$E94),COUNTIFS('RAW_농산물_8월'!$D:$D,$C94,'RAW_농산물_8월'!$A:$A,$E94),COUNTIFS('RAW_농산물_9월'!$D:$D,$C94,'RAW_농산물_9월'!$A:$A,$E94),COUNTIFS('RAW_농산물_10월'!$D:$D,$C94,'RAW_농산물_10월'!$A:$A,$E94),COUNTIFS('RAW_농산물_11-12월'!$D:$D,$C94,'RAW_농산물_11-12월'!$A:$A,$E94))))</f>
        <v>3</v>
      </c>
    </row>
    <row r="95" ht="15.75" customHeight="1">
      <c r="A95" s="5">
        <v>93.0</v>
      </c>
      <c r="B95" s="5" t="s">
        <v>108</v>
      </c>
      <c r="C95" s="5" t="s">
        <v>326</v>
      </c>
      <c r="D95" s="6" t="s">
        <v>325</v>
      </c>
      <c r="E95" s="5" t="s">
        <v>92</v>
      </c>
      <c r="F95" s="7">
        <f>IF($C95="","",IF('설정'!$B$3=0,"",CHOOSE('설정'!$B$3,SUMIFS('RAW_농산물_7월'!$F:$F,'RAW_농산물_7월'!$D:$D,$C95,'RAW_농산물_7월'!$A:$A,$E95),SUMIFS('RAW_농산물_8월'!$F:$F,'RAW_농산물_8월'!$D:$D,$C95,'RAW_농산물_8월'!$A:$A,$E95),SUMIFS('RAW_농산물_9월'!$F:$F,'RAW_농산물_9월'!$D:$D,$C95,'RAW_농산물_9월'!$A:$A,$E95),SUMIFS('RAW_농산물_10월'!$F:$F,'RAW_농산물_10월'!$D:$D,$C95,'RAW_농산물_10월'!$A:$A,$E95),SUMIFS('RAW_농산물_11-12월'!$F:$F,'RAW_농산물_11-12월'!$D:$D,$C95,'RAW_농산물_11-12월'!$A:$A,$E95))))</f>
        <v>777</v>
      </c>
      <c r="G95" s="7">
        <f>IF($C95="","",IF('설정'!$B$3=0,"",CHOOSE('설정'!$B$3,SUMIFS('RAW_농산물_7월'!$G:$G,'RAW_농산물_7월'!$D:$D,$C95,'RAW_농산물_7월'!$A:$A,$E95),SUMIFS('RAW_농산물_8월'!$G:$G,'RAW_농산물_8월'!$D:$D,$C95,'RAW_농산물_8월'!$A:$A,$E95),SUMIFS('RAW_농산물_9월'!$G:$G,'RAW_농산물_9월'!$D:$D,$C95,'RAW_농산물_9월'!$A:$A,$E95),SUMIFS('RAW_농산물_10월'!$G:$G,'RAW_농산물_10월'!$D:$D,$C95,'RAW_농산물_10월'!$A:$A,$E95),SUMIFS('RAW_농산물_11-12월'!$G:$G,'RAW_농산물_11-12월'!$D:$D,$C95,'RAW_농산물_11-12월'!$A:$A,$E95))))</f>
        <v>14367300</v>
      </c>
      <c r="H95" s="14">
        <f>IF($C95="","",IF('설정'!$B$3=0,"",CHOOSE('설정'!$B$3,SUMIFS('RAW_농산물_7월'!$H:$H,'RAW_농산물_7월'!$D:$D,$C95,'RAW_농산물_7월'!$A:$A,$E95),SUMIFS('RAW_농산물_8월'!$H:$H,'RAW_농산물_8월'!$D:$D,$C95,'RAW_농산물_8월'!$A:$A,$E95),SUMIFS('RAW_농산물_9월'!$H:$H,'RAW_농산물_9월'!$D:$D,$C95,'RAW_농산물_9월'!$A:$A,$E95),SUMIFS('RAW_농산물_10월'!$H:$H,'RAW_농산물_10월'!$D:$D,$C95,'RAW_농산물_10월'!$A:$A,$E95),SUMIFS('RAW_농산물_11-12월'!$H:$H,'RAW_농산물_11-12월'!$D:$D,$C95,'RAW_농산물_11-12월'!$A:$A,$E95))))</f>
        <v>394590</v>
      </c>
      <c r="I95" s="17" t="str">
        <f>IF($C95="","",IF(COUNTIFS('RAW_농산물_7월'!$D:$D,$C95,'RAW_농산물_7월'!$A:$A,$E95)&gt;0,"O",""))</f>
        <v>O</v>
      </c>
      <c r="J95" s="17" t="str">
        <f>IF($C95="","",IF(COUNTIFS('RAW_농산물_8월'!$D:$D,$C95,'RAW_농산물_8월'!$A:$A,$E95)&gt;0,"O",""))</f>
        <v>O</v>
      </c>
      <c r="K95" s="17" t="str">
        <f>IF($C95="","",IF(COUNTIFS('RAW_농산물_9월'!$D:$D,$C95,'RAW_농산물_9월'!$A:$A,$E95)&gt;0,"O",""))</f>
        <v/>
      </c>
      <c r="L95" s="17" t="str">
        <f>IF($C95="","",IF(COUNTIFS('RAW_농산물_10월'!$D:$D,$C95,'RAW_농산물_10월'!$A:$A,$E95)&gt;0,"O",""))</f>
        <v/>
      </c>
      <c r="M95" s="17" t="str">
        <f>IF($C95="","",IF(COUNTIFS('RAW_농산물_11-12월'!$D:$D,$C95,'RAW_농산물_11-12월'!$A:$A,$E95)&gt;0,"O",""))</f>
        <v/>
      </c>
      <c r="N95" s="7">
        <f>IF($C95="","",IF(COUNTA('RAW_농산물_7월'!$A:$A)&lt;=1,"",SUMIFS('RAW_농산물_7월'!$H:$H,'RAW_농산물_7월'!$D:$D,$C95,'RAW_농산물_7월'!$A:$A,$E95)))</f>
        <v>131250</v>
      </c>
      <c r="O95" s="7">
        <f>IF($C95="","",IF(COUNTA('RAW_농산물_8월'!$A:$A)&lt;=1,"",SUMIFS('RAW_농산물_8월'!$H:$H,'RAW_농산물_8월'!$D:$D,$C95,'RAW_농산물_8월'!$A:$A,$E95)-SUMIFS('RAW_농산물_7월'!$H:$H,'RAW_농산물_7월'!$D:$D,$C95,'RAW_농산물_7월'!$A:$A,$E95)))</f>
        <v>263340</v>
      </c>
      <c r="P95" s="7" t="str">
        <f>IF($C95="","",IF(COUNTA('RAW_농산물_9월'!$A:$A)&lt;=1,"",SUMIFS('RAW_농산물_9월'!$H:$H,'RAW_농산물_9월'!$D:$D,$C95,'RAW_농산물_9월'!$A:$A,$E95)-SUMIFS('RAW_농산물_8월'!$H:$H,'RAW_농산물_8월'!$D:$D,$C95,'RAW_농산물_8월'!$A:$A,$E95)))</f>
        <v/>
      </c>
      <c r="Q95" s="7" t="str">
        <f>IF($C95="","",IF(COUNTA('RAW_농산물_10월'!$A:$A)&lt;=1,"",SUMIFS('RAW_농산물_10월'!$H:$H,'RAW_농산물_10월'!$D:$D,$C95,'RAW_농산물_10월'!$A:$A,$E95)-SUMIFS('RAW_농산물_9월'!$H:$H,'RAW_농산물_9월'!$D:$D,$C95,'RAW_농산물_9월'!$A:$A,$E95)))</f>
        <v/>
      </c>
      <c r="R95" s="7" t="str">
        <f>IF($C95="","",IF(COUNTA('RAW_농산물_11-12월'!$A:$A)&lt;=1,"",SUMIFS('RAW_농산물_11-12월'!$H:$H,'RAW_농산물_11-12월'!$D:$D,$C95,'RAW_농산물_11-12월'!$A:$A,$E95)-SUMIFS('RAW_농산물_10월'!$H:$H,'RAW_농산물_10월'!$D:$D,$C95,'RAW_농산물_10월'!$A:$A,$E95)))</f>
        <v/>
      </c>
      <c r="S95" s="17" t="str">
        <f t="shared" si="4"/>
        <v>O</v>
      </c>
      <c r="T95" s="17" t="str">
        <f t="shared" si="5"/>
        <v>50만원 미만</v>
      </c>
      <c r="U95" s="7">
        <f>IF($C95="",0,IF('설정'!$B$3=0,0,CHOOSE('설정'!$B$3,COUNTIFS('RAW_농산물_7월'!$D:$D,$C95,'RAW_농산물_7월'!$A:$A,$E95),COUNTIFS('RAW_농산물_8월'!$D:$D,$C95,'RAW_농산물_8월'!$A:$A,$E95),COUNTIFS('RAW_농산물_9월'!$D:$D,$C95,'RAW_농산물_9월'!$A:$A,$E95),COUNTIFS('RAW_농산물_10월'!$D:$D,$C95,'RAW_농산물_10월'!$A:$A,$E95),COUNTIFS('RAW_농산물_11-12월'!$D:$D,$C95,'RAW_농산물_11-12월'!$A:$A,$E95))))</f>
        <v>2</v>
      </c>
    </row>
    <row r="96" ht="15.75" customHeight="1">
      <c r="A96" s="5">
        <v>94.0</v>
      </c>
      <c r="B96" s="5" t="s">
        <v>25</v>
      </c>
      <c r="C96" s="5" t="s">
        <v>1525</v>
      </c>
      <c r="D96" s="6" t="s">
        <v>1524</v>
      </c>
      <c r="E96" s="5" t="s">
        <v>93</v>
      </c>
      <c r="F96" s="7">
        <f>IF($C96="","",IF('설정'!$B$3=0,"",CHOOSE('설정'!$B$3,SUMIFS('RAW_농산물_7월'!$F:$F,'RAW_농산물_7월'!$D:$D,$C96,'RAW_농산물_7월'!$A:$A,$E96),SUMIFS('RAW_농산물_8월'!$F:$F,'RAW_농산물_8월'!$D:$D,$C96,'RAW_농산물_8월'!$A:$A,$E96),SUMIFS('RAW_농산물_9월'!$F:$F,'RAW_농산물_9월'!$D:$D,$C96,'RAW_농산물_9월'!$A:$A,$E96),SUMIFS('RAW_농산물_10월'!$F:$F,'RAW_농산물_10월'!$D:$D,$C96,'RAW_농산물_10월'!$A:$A,$E96),SUMIFS('RAW_농산물_11-12월'!$F:$F,'RAW_농산물_11-12월'!$D:$D,$C96,'RAW_농산물_11-12월'!$A:$A,$E96))))</f>
        <v>3441</v>
      </c>
      <c r="G96" s="7">
        <f>IF($C96="","",IF('설정'!$B$3=0,"",CHOOSE('설정'!$B$3,SUMIFS('RAW_농산물_7월'!$G:$G,'RAW_농산물_7월'!$D:$D,$C96,'RAW_농산물_7월'!$A:$A,$E96),SUMIFS('RAW_농산물_8월'!$G:$G,'RAW_농산물_8월'!$D:$D,$C96,'RAW_농산물_8월'!$A:$A,$E96),SUMIFS('RAW_농산물_9월'!$G:$G,'RAW_농산물_9월'!$D:$D,$C96,'RAW_농산물_9월'!$A:$A,$E96),SUMIFS('RAW_농산물_10월'!$G:$G,'RAW_농산물_10월'!$D:$D,$C96,'RAW_농산물_10월'!$A:$A,$E96),SUMIFS('RAW_농산물_11-12월'!$G:$G,'RAW_농산물_11-12월'!$D:$D,$C96,'RAW_농산물_11-12월'!$A:$A,$E96))))</f>
        <v>60348400</v>
      </c>
      <c r="H96" s="14">
        <f>IF($C96="","",IF('설정'!$B$3=0,"",CHOOSE('설정'!$B$3,SUMIFS('RAW_농산물_7월'!$H:$H,'RAW_농산물_7월'!$D:$D,$C96,'RAW_농산물_7월'!$A:$A,$E96),SUMIFS('RAW_농산물_8월'!$H:$H,'RAW_농산물_8월'!$D:$D,$C96,'RAW_농산물_8월'!$A:$A,$E96),SUMIFS('RAW_농산물_9월'!$H:$H,'RAW_농산물_9월'!$D:$D,$C96,'RAW_농산물_9월'!$A:$A,$E96),SUMIFS('RAW_농산물_10월'!$H:$H,'RAW_농산물_10월'!$D:$D,$C96,'RAW_농산물_10월'!$A:$A,$E96),SUMIFS('RAW_농산물_11-12월'!$H:$H,'RAW_농산물_11-12월'!$D:$D,$C96,'RAW_농산물_11-12월'!$A:$A,$E96))))</f>
        <v>5728100</v>
      </c>
      <c r="I96" s="17" t="str">
        <f>IF($C96="","",IF(COUNTIFS('RAW_농산물_7월'!$D:$D,$C96,'RAW_농산물_7월'!$A:$A,$E96)&gt;0,"O",""))</f>
        <v>O</v>
      </c>
      <c r="J96" s="17" t="str">
        <f>IF($C96="","",IF(COUNTIFS('RAW_농산물_8월'!$D:$D,$C96,'RAW_농산물_8월'!$A:$A,$E96)&gt;0,"O",""))</f>
        <v>O</v>
      </c>
      <c r="K96" s="17" t="str">
        <f>IF($C96="","",IF(COUNTIFS('RAW_농산물_9월'!$D:$D,$C96,'RAW_농산물_9월'!$A:$A,$E96)&gt;0,"O",""))</f>
        <v/>
      </c>
      <c r="L96" s="17" t="str">
        <f>IF($C96="","",IF(COUNTIFS('RAW_농산물_10월'!$D:$D,$C96,'RAW_농산물_10월'!$A:$A,$E96)&gt;0,"O",""))</f>
        <v/>
      </c>
      <c r="M96" s="17" t="str">
        <f>IF($C96="","",IF(COUNTIFS('RAW_농산물_11-12월'!$D:$D,$C96,'RAW_농산물_11-12월'!$A:$A,$E96)&gt;0,"O",""))</f>
        <v/>
      </c>
      <c r="N96" s="7">
        <f>IF($C96="","",IF(COUNTA('RAW_농산물_7월'!$A:$A)&lt;=1,"",SUMIFS('RAW_농산물_7월'!$H:$H,'RAW_농산물_7월'!$D:$D,$C96,'RAW_농산물_7월'!$A:$A,$E96)))</f>
        <v>5728100</v>
      </c>
      <c r="O96" s="7">
        <f>IF($C96="","",IF(COUNTA('RAW_농산물_8월'!$A:$A)&lt;=1,"",SUMIFS('RAW_농산물_8월'!$H:$H,'RAW_농산물_8월'!$D:$D,$C96,'RAW_농산물_8월'!$A:$A,$E96)-SUMIFS('RAW_농산물_7월'!$H:$H,'RAW_농산물_7월'!$D:$D,$C96,'RAW_농산물_7월'!$A:$A,$E96)))</f>
        <v>0</v>
      </c>
      <c r="P96" s="7" t="str">
        <f>IF($C96="","",IF(COUNTA('RAW_농산물_9월'!$A:$A)&lt;=1,"",SUMIFS('RAW_농산물_9월'!$H:$H,'RAW_농산물_9월'!$D:$D,$C96,'RAW_농산물_9월'!$A:$A,$E96)-SUMIFS('RAW_농산물_8월'!$H:$H,'RAW_농산물_8월'!$D:$D,$C96,'RAW_농산물_8월'!$A:$A,$E96)))</f>
        <v/>
      </c>
      <c r="Q96" s="7" t="str">
        <f>IF($C96="","",IF(COUNTA('RAW_농산물_10월'!$A:$A)&lt;=1,"",SUMIFS('RAW_농산물_10월'!$H:$H,'RAW_농산물_10월'!$D:$D,$C96,'RAW_농산물_10월'!$A:$A,$E96)-SUMIFS('RAW_농산물_9월'!$H:$H,'RAW_농산물_9월'!$D:$D,$C96,'RAW_농산물_9월'!$A:$A,$E96)))</f>
        <v/>
      </c>
      <c r="R96" s="7" t="str">
        <f>IF($C96="","",IF(COUNTA('RAW_농산물_11-12월'!$A:$A)&lt;=1,"",SUMIFS('RAW_농산물_11-12월'!$H:$H,'RAW_농산물_11-12월'!$D:$D,$C96,'RAW_농산물_11-12월'!$A:$A,$E96)-SUMIFS('RAW_농산물_10월'!$H:$H,'RAW_농산물_10월'!$D:$D,$C96,'RAW_농산물_10월'!$A:$A,$E96)))</f>
        <v/>
      </c>
      <c r="S96" s="17" t="str">
        <f t="shared" si="4"/>
        <v>O</v>
      </c>
      <c r="T96" s="17" t="str">
        <f t="shared" si="5"/>
        <v>600만원 미만</v>
      </c>
      <c r="U96" s="7">
        <f>IF($C96="",0,IF('설정'!$B$3=0,0,CHOOSE('설정'!$B$3,COUNTIFS('RAW_농산물_7월'!$D:$D,$C96,'RAW_농산물_7월'!$A:$A,$E96),COUNTIFS('RAW_농산물_8월'!$D:$D,$C96,'RAW_농산물_8월'!$A:$A,$E96),COUNTIFS('RAW_농산물_9월'!$D:$D,$C96,'RAW_농산물_9월'!$A:$A,$E96),COUNTIFS('RAW_농산물_10월'!$D:$D,$C96,'RAW_농산물_10월'!$A:$A,$E96),COUNTIFS('RAW_농산물_11-12월'!$D:$D,$C96,'RAW_농산물_11-12월'!$A:$A,$E96))))</f>
        <v>16</v>
      </c>
    </row>
    <row r="97" ht="15.75" customHeight="1">
      <c r="A97" s="5">
        <v>95.0</v>
      </c>
      <c r="B97" s="5" t="s">
        <v>25</v>
      </c>
      <c r="C97" s="5" t="s">
        <v>1223</v>
      </c>
      <c r="D97" s="6" t="s">
        <v>2931</v>
      </c>
      <c r="E97" s="5" t="s">
        <v>28</v>
      </c>
      <c r="F97" s="7">
        <f>IF($C97="","",IF('설정'!$B$3=0,"",CHOOSE('설정'!$B$3,SUMIFS('RAW_농산물_7월'!$F:$F,'RAW_농산물_7월'!$D:$D,$C97,'RAW_농산물_7월'!$A:$A,$E97),SUMIFS('RAW_농산물_8월'!$F:$F,'RAW_농산물_8월'!$D:$D,$C97,'RAW_농산물_8월'!$A:$A,$E97),SUMIFS('RAW_농산물_9월'!$F:$F,'RAW_농산물_9월'!$D:$D,$C97,'RAW_농산물_9월'!$A:$A,$E97),SUMIFS('RAW_농산물_10월'!$F:$F,'RAW_농산물_10월'!$D:$D,$C97,'RAW_농산물_10월'!$A:$A,$E97),SUMIFS('RAW_농산물_11-12월'!$F:$F,'RAW_농산물_11-12월'!$D:$D,$C97,'RAW_농산물_11-12월'!$A:$A,$E97))))</f>
        <v>91</v>
      </c>
      <c r="G97" s="7">
        <f>IF($C97="","",IF('설정'!$B$3=0,"",CHOOSE('설정'!$B$3,SUMIFS('RAW_농산물_7월'!$G:$G,'RAW_농산물_7월'!$D:$D,$C97,'RAW_농산물_7월'!$A:$A,$E97),SUMIFS('RAW_농산물_8월'!$G:$G,'RAW_농산물_8월'!$D:$D,$C97,'RAW_농산물_8월'!$A:$A,$E97),SUMIFS('RAW_농산물_9월'!$G:$G,'RAW_농산물_9월'!$D:$D,$C97,'RAW_농산물_9월'!$A:$A,$E97),SUMIFS('RAW_농산물_10월'!$G:$G,'RAW_농산물_10월'!$D:$D,$C97,'RAW_농산물_10월'!$A:$A,$E97),SUMIFS('RAW_농산물_11-12월'!$G:$G,'RAW_농산물_11-12월'!$D:$D,$C97,'RAW_농산물_11-12월'!$A:$A,$E97))))</f>
        <v>2694400</v>
      </c>
      <c r="H97" s="14">
        <f>IF($C97="","",IF('설정'!$B$3=0,"",CHOOSE('설정'!$B$3,SUMIFS('RAW_농산물_7월'!$H:$H,'RAW_농산물_7월'!$D:$D,$C97,'RAW_농산물_7월'!$A:$A,$E97),SUMIFS('RAW_농산물_8월'!$H:$H,'RAW_농산물_8월'!$D:$D,$C97,'RAW_농산물_8월'!$A:$A,$E97),SUMIFS('RAW_농산물_9월'!$H:$H,'RAW_농산물_9월'!$D:$D,$C97,'RAW_농산물_9월'!$A:$A,$E97),SUMIFS('RAW_농산물_10월'!$H:$H,'RAW_농산물_10월'!$D:$D,$C97,'RAW_농산물_10월'!$A:$A,$E97),SUMIFS('RAW_농산물_11-12월'!$H:$H,'RAW_농산물_11-12월'!$D:$D,$C97,'RAW_농산물_11-12월'!$A:$A,$E97))))</f>
        <v>371050</v>
      </c>
      <c r="I97" s="17" t="str">
        <f>IF($C97="","",IF(COUNTIFS('RAW_농산물_7월'!$D:$D,$C97,'RAW_농산물_7월'!$A:$A,$E97)&gt;0,"O",""))</f>
        <v>O</v>
      </c>
      <c r="J97" s="17" t="str">
        <f>IF($C97="","",IF(COUNTIFS('RAW_농산물_8월'!$D:$D,$C97,'RAW_농산물_8월'!$A:$A,$E97)&gt;0,"O",""))</f>
        <v>O</v>
      </c>
      <c r="K97" s="17" t="str">
        <f>IF($C97="","",IF(COUNTIFS('RAW_농산물_9월'!$D:$D,$C97,'RAW_농산물_9월'!$A:$A,$E97)&gt;0,"O",""))</f>
        <v/>
      </c>
      <c r="L97" s="17" t="str">
        <f>IF($C97="","",IF(COUNTIFS('RAW_농산물_10월'!$D:$D,$C97,'RAW_농산물_10월'!$A:$A,$E97)&gt;0,"O",""))</f>
        <v/>
      </c>
      <c r="M97" s="17" t="str">
        <f>IF($C97="","",IF(COUNTIFS('RAW_농산물_11-12월'!$D:$D,$C97,'RAW_농산물_11-12월'!$A:$A,$E97)&gt;0,"O",""))</f>
        <v/>
      </c>
      <c r="N97" s="7">
        <f>IF($C97="","",IF(COUNTA('RAW_농산물_7월'!$A:$A)&lt;=1,"",SUMIFS('RAW_농산물_7월'!$H:$H,'RAW_농산물_7월'!$D:$D,$C97,'RAW_농산물_7월'!$A:$A,$E97)))</f>
        <v>186620</v>
      </c>
      <c r="O97" s="7">
        <f>IF($C97="","",IF(COUNTA('RAW_농산물_8월'!$A:$A)&lt;=1,"",SUMIFS('RAW_농산물_8월'!$H:$H,'RAW_농산물_8월'!$D:$D,$C97,'RAW_농산물_8월'!$A:$A,$E97)-SUMIFS('RAW_농산물_7월'!$H:$H,'RAW_농산물_7월'!$D:$D,$C97,'RAW_농산물_7월'!$A:$A,$E97)))</f>
        <v>184430</v>
      </c>
      <c r="P97" s="7" t="str">
        <f>IF($C97="","",IF(COUNTA('RAW_농산물_9월'!$A:$A)&lt;=1,"",SUMIFS('RAW_농산물_9월'!$H:$H,'RAW_농산물_9월'!$D:$D,$C97,'RAW_농산물_9월'!$A:$A,$E97)-SUMIFS('RAW_농산물_8월'!$H:$H,'RAW_농산물_8월'!$D:$D,$C97,'RAW_농산물_8월'!$A:$A,$E97)))</f>
        <v/>
      </c>
      <c r="Q97" s="7" t="str">
        <f>IF($C97="","",IF(COUNTA('RAW_농산물_10월'!$A:$A)&lt;=1,"",SUMIFS('RAW_농산물_10월'!$H:$H,'RAW_농산물_10월'!$D:$D,$C97,'RAW_농산물_10월'!$A:$A,$E97)-SUMIFS('RAW_농산물_9월'!$H:$H,'RAW_농산물_9월'!$D:$D,$C97,'RAW_농산물_9월'!$A:$A,$E97)))</f>
        <v/>
      </c>
      <c r="R97" s="7" t="str">
        <f>IF($C97="","",IF(COUNTA('RAW_농산물_11-12월'!$A:$A)&lt;=1,"",SUMIFS('RAW_농산물_11-12월'!$H:$H,'RAW_농산물_11-12월'!$D:$D,$C97,'RAW_농산물_11-12월'!$A:$A,$E97)-SUMIFS('RAW_농산물_10월'!$H:$H,'RAW_농산물_10월'!$D:$D,$C97,'RAW_농산물_10월'!$A:$A,$E97)))</f>
        <v/>
      </c>
      <c r="S97" s="17" t="str">
        <f t="shared" si="4"/>
        <v>O</v>
      </c>
      <c r="T97" s="17" t="str">
        <f t="shared" si="5"/>
        <v>50만원 미만</v>
      </c>
      <c r="U97" s="7">
        <f>IF($C97="",0,IF('설정'!$B$3=0,0,CHOOSE('설정'!$B$3,COUNTIFS('RAW_농산물_7월'!$D:$D,$C97,'RAW_농산물_7월'!$A:$A,$E97),COUNTIFS('RAW_농산물_8월'!$D:$D,$C97,'RAW_농산물_8월'!$A:$A,$E97),COUNTIFS('RAW_농산물_9월'!$D:$D,$C97,'RAW_농산물_9월'!$A:$A,$E97),COUNTIFS('RAW_농산물_10월'!$D:$D,$C97,'RAW_농산물_10월'!$A:$A,$E97),COUNTIFS('RAW_농산물_11-12월'!$D:$D,$C97,'RAW_농산물_11-12월'!$A:$A,$E97))))</f>
        <v>3</v>
      </c>
    </row>
    <row r="98" ht="15.75" customHeight="1">
      <c r="A98" s="5">
        <v>96.0</v>
      </c>
      <c r="B98" s="5" t="s">
        <v>25</v>
      </c>
      <c r="C98" s="5" t="s">
        <v>2932</v>
      </c>
      <c r="D98" s="6" t="s">
        <v>2933</v>
      </c>
      <c r="E98" s="5" t="s">
        <v>92</v>
      </c>
      <c r="F98" s="7">
        <f>IF($C98="","",IF('설정'!$B$3=0,"",CHOOSE('설정'!$B$3,SUMIFS('RAW_농산물_7월'!$F:$F,'RAW_농산물_7월'!$D:$D,$C98,'RAW_농산물_7월'!$A:$A,$E98),SUMIFS('RAW_농산물_8월'!$F:$F,'RAW_농산물_8월'!$D:$D,$C98,'RAW_농산물_8월'!$A:$A,$E98),SUMIFS('RAW_농산물_9월'!$F:$F,'RAW_농산물_9월'!$D:$D,$C98,'RAW_농산물_9월'!$A:$A,$E98),SUMIFS('RAW_농산물_10월'!$F:$F,'RAW_농산물_10월'!$D:$D,$C98,'RAW_농산물_10월'!$A:$A,$E98),SUMIFS('RAW_농산물_11-12월'!$F:$F,'RAW_농산물_11-12월'!$D:$D,$C98,'RAW_농산물_11-12월'!$A:$A,$E98))))</f>
        <v>0</v>
      </c>
      <c r="G98" s="7">
        <f>IF($C98="","",IF('설정'!$B$3=0,"",CHOOSE('설정'!$B$3,SUMIFS('RAW_농산물_7월'!$G:$G,'RAW_농산물_7월'!$D:$D,$C98,'RAW_농산물_7월'!$A:$A,$E98),SUMIFS('RAW_농산물_8월'!$G:$G,'RAW_농산물_8월'!$D:$D,$C98,'RAW_농산물_8월'!$A:$A,$E98),SUMIFS('RAW_농산물_9월'!$G:$G,'RAW_농산물_9월'!$D:$D,$C98,'RAW_농산물_9월'!$A:$A,$E98),SUMIFS('RAW_농산물_10월'!$G:$G,'RAW_농산물_10월'!$D:$D,$C98,'RAW_농산물_10월'!$A:$A,$E98),SUMIFS('RAW_농산물_11-12월'!$G:$G,'RAW_농산물_11-12월'!$D:$D,$C98,'RAW_농산물_11-12월'!$A:$A,$E98))))</f>
        <v>0</v>
      </c>
      <c r="H98" s="14">
        <f>IF($C98="","",IF('설정'!$B$3=0,"",CHOOSE('설정'!$B$3,SUMIFS('RAW_농산물_7월'!$H:$H,'RAW_농산물_7월'!$D:$D,$C98,'RAW_농산물_7월'!$A:$A,$E98),SUMIFS('RAW_농산물_8월'!$H:$H,'RAW_농산물_8월'!$D:$D,$C98,'RAW_농산물_8월'!$A:$A,$E98),SUMIFS('RAW_농산물_9월'!$H:$H,'RAW_농산물_9월'!$D:$D,$C98,'RAW_농산물_9월'!$A:$A,$E98),SUMIFS('RAW_농산물_10월'!$H:$H,'RAW_농산물_10월'!$D:$D,$C98,'RAW_농산물_10월'!$A:$A,$E98),SUMIFS('RAW_농산물_11-12월'!$H:$H,'RAW_농산물_11-12월'!$D:$D,$C98,'RAW_농산물_11-12월'!$A:$A,$E98))))</f>
        <v>0</v>
      </c>
      <c r="I98" s="17" t="str">
        <f>IF($C98="","",IF(COUNTIFS('RAW_농산물_7월'!$D:$D,$C98,'RAW_농산물_7월'!$A:$A,$E98)&gt;0,"O",""))</f>
        <v/>
      </c>
      <c r="J98" s="17" t="str">
        <f>IF($C98="","",IF(COUNTIFS('RAW_농산물_8월'!$D:$D,$C98,'RAW_농산물_8월'!$A:$A,$E98)&gt;0,"O",""))</f>
        <v/>
      </c>
      <c r="K98" s="17" t="str">
        <f>IF($C98="","",IF(COUNTIFS('RAW_농산물_9월'!$D:$D,$C98,'RAW_농산물_9월'!$A:$A,$E98)&gt;0,"O",""))</f>
        <v/>
      </c>
      <c r="L98" s="17" t="str">
        <f>IF($C98="","",IF(COUNTIFS('RAW_농산물_10월'!$D:$D,$C98,'RAW_농산물_10월'!$A:$A,$E98)&gt;0,"O",""))</f>
        <v/>
      </c>
      <c r="M98" s="17" t="str">
        <f>IF($C98="","",IF(COUNTIFS('RAW_농산물_11-12월'!$D:$D,$C98,'RAW_농산물_11-12월'!$A:$A,$E98)&gt;0,"O",""))</f>
        <v/>
      </c>
      <c r="N98" s="7">
        <f>IF($C98="","",IF(COUNTA('RAW_농산물_7월'!$A:$A)&lt;=1,"",SUMIFS('RAW_농산물_7월'!$H:$H,'RAW_농산물_7월'!$D:$D,$C98,'RAW_농산물_7월'!$A:$A,$E98)))</f>
        <v>0</v>
      </c>
      <c r="O98" s="7">
        <f>IF($C98="","",IF(COUNTA('RAW_농산물_8월'!$A:$A)&lt;=1,"",SUMIFS('RAW_농산물_8월'!$H:$H,'RAW_농산물_8월'!$D:$D,$C98,'RAW_농산물_8월'!$A:$A,$E98)-SUMIFS('RAW_농산물_7월'!$H:$H,'RAW_농산물_7월'!$D:$D,$C98,'RAW_농산물_7월'!$A:$A,$E98)))</f>
        <v>0</v>
      </c>
      <c r="P98" s="7" t="str">
        <f>IF($C98="","",IF(COUNTA('RAW_농산물_9월'!$A:$A)&lt;=1,"",SUMIFS('RAW_농산물_9월'!$H:$H,'RAW_농산물_9월'!$D:$D,$C98,'RAW_농산물_9월'!$A:$A,$E98)-SUMIFS('RAW_농산물_8월'!$H:$H,'RAW_농산물_8월'!$D:$D,$C98,'RAW_농산물_8월'!$A:$A,$E98)))</f>
        <v/>
      </c>
      <c r="Q98" s="7" t="str">
        <f>IF($C98="","",IF(COUNTA('RAW_농산물_10월'!$A:$A)&lt;=1,"",SUMIFS('RAW_농산물_10월'!$H:$H,'RAW_농산물_10월'!$D:$D,$C98,'RAW_농산물_10월'!$A:$A,$E98)-SUMIFS('RAW_농산물_9월'!$H:$H,'RAW_농산물_9월'!$D:$D,$C98,'RAW_농산물_9월'!$A:$A,$E98)))</f>
        <v/>
      </c>
      <c r="R98" s="7" t="str">
        <f>IF($C98="","",IF(COUNTA('RAW_농산물_11-12월'!$A:$A)&lt;=1,"",SUMIFS('RAW_농산물_11-12월'!$H:$H,'RAW_농산물_11-12월'!$D:$D,$C98,'RAW_농산물_11-12월'!$A:$A,$E98)-SUMIFS('RAW_농산물_10월'!$H:$H,'RAW_농산물_10월'!$D:$D,$C98,'RAW_농산물_10월'!$A:$A,$E98)))</f>
        <v/>
      </c>
      <c r="S98" s="17" t="str">
        <f t="shared" si="4"/>
        <v/>
      </c>
      <c r="T98" s="17" t="str">
        <f t="shared" si="5"/>
        <v>미사용</v>
      </c>
      <c r="U98" s="7">
        <f>IF($C98="",0,IF('설정'!$B$3=0,0,CHOOSE('설정'!$B$3,COUNTIFS('RAW_농산물_7월'!$D:$D,$C98,'RAW_농산물_7월'!$A:$A,$E98),COUNTIFS('RAW_농산물_8월'!$D:$D,$C98,'RAW_농산물_8월'!$A:$A,$E98),COUNTIFS('RAW_농산물_9월'!$D:$D,$C98,'RAW_농산물_9월'!$A:$A,$E98),COUNTIFS('RAW_농산물_10월'!$D:$D,$C98,'RAW_농산물_10월'!$A:$A,$E98),COUNTIFS('RAW_농산물_11-12월'!$D:$D,$C98,'RAW_농산물_11-12월'!$A:$A,$E98))))</f>
        <v>0</v>
      </c>
    </row>
    <row r="99" ht="15.75" customHeight="1">
      <c r="A99" s="5">
        <v>97.0</v>
      </c>
      <c r="B99" s="5" t="s">
        <v>25</v>
      </c>
      <c r="C99" s="5" t="s">
        <v>2441</v>
      </c>
      <c r="D99" s="6" t="s">
        <v>2934</v>
      </c>
      <c r="E99" s="5" t="s">
        <v>92</v>
      </c>
      <c r="F99" s="7">
        <f>IF($C99="","",IF('설정'!$B$3=0,"",CHOOSE('설정'!$B$3,SUMIFS('RAW_농산물_7월'!$F:$F,'RAW_농산물_7월'!$D:$D,$C99,'RAW_농산물_7월'!$A:$A,$E99),SUMIFS('RAW_농산물_8월'!$F:$F,'RAW_농산물_8월'!$D:$D,$C99,'RAW_농산물_8월'!$A:$A,$E99),SUMIFS('RAW_농산물_9월'!$F:$F,'RAW_농산물_9월'!$D:$D,$C99,'RAW_농산물_9월'!$A:$A,$E99),SUMIFS('RAW_농산물_10월'!$F:$F,'RAW_농산물_10월'!$D:$D,$C99,'RAW_농산물_10월'!$A:$A,$E99),SUMIFS('RAW_농산물_11-12월'!$F:$F,'RAW_농산물_11-12월'!$D:$D,$C99,'RAW_농산물_11-12월'!$A:$A,$E99))))</f>
        <v>0</v>
      </c>
      <c r="G99" s="7">
        <f>IF($C99="","",IF('설정'!$B$3=0,"",CHOOSE('설정'!$B$3,SUMIFS('RAW_농산물_7월'!$G:$G,'RAW_농산물_7월'!$D:$D,$C99,'RAW_농산물_7월'!$A:$A,$E99),SUMIFS('RAW_농산물_8월'!$G:$G,'RAW_농산물_8월'!$D:$D,$C99,'RAW_농산물_8월'!$A:$A,$E99),SUMIFS('RAW_농산물_9월'!$G:$G,'RAW_농산물_9월'!$D:$D,$C99,'RAW_농산물_9월'!$A:$A,$E99),SUMIFS('RAW_농산물_10월'!$G:$G,'RAW_농산물_10월'!$D:$D,$C99,'RAW_농산물_10월'!$A:$A,$E99),SUMIFS('RAW_농산물_11-12월'!$G:$G,'RAW_농산물_11-12월'!$D:$D,$C99,'RAW_농산물_11-12월'!$A:$A,$E99))))</f>
        <v>0</v>
      </c>
      <c r="H99" s="14">
        <f>IF($C99="","",IF('설정'!$B$3=0,"",CHOOSE('설정'!$B$3,SUMIFS('RAW_농산물_7월'!$H:$H,'RAW_농산물_7월'!$D:$D,$C99,'RAW_농산물_7월'!$A:$A,$E99),SUMIFS('RAW_농산물_8월'!$H:$H,'RAW_농산물_8월'!$D:$D,$C99,'RAW_농산물_8월'!$A:$A,$E99),SUMIFS('RAW_농산물_9월'!$H:$H,'RAW_농산물_9월'!$D:$D,$C99,'RAW_농산물_9월'!$A:$A,$E99),SUMIFS('RAW_농산물_10월'!$H:$H,'RAW_농산물_10월'!$D:$D,$C99,'RAW_농산물_10월'!$A:$A,$E99),SUMIFS('RAW_농산물_11-12월'!$H:$H,'RAW_농산물_11-12월'!$D:$D,$C99,'RAW_농산물_11-12월'!$A:$A,$E99))))</f>
        <v>0</v>
      </c>
      <c r="I99" s="17" t="str">
        <f>IF($C99="","",IF(COUNTIFS('RAW_농산물_7월'!$D:$D,$C99,'RAW_농산물_7월'!$A:$A,$E99)&gt;0,"O",""))</f>
        <v/>
      </c>
      <c r="J99" s="17" t="str">
        <f>IF($C99="","",IF(COUNTIFS('RAW_농산물_8월'!$D:$D,$C99,'RAW_농산물_8월'!$A:$A,$E99)&gt;0,"O",""))</f>
        <v>O</v>
      </c>
      <c r="K99" s="17" t="str">
        <f>IF($C99="","",IF(COUNTIFS('RAW_농산물_9월'!$D:$D,$C99,'RAW_농산물_9월'!$A:$A,$E99)&gt;0,"O",""))</f>
        <v/>
      </c>
      <c r="L99" s="17" t="str">
        <f>IF($C99="","",IF(COUNTIFS('RAW_농산물_10월'!$D:$D,$C99,'RAW_농산물_10월'!$A:$A,$E99)&gt;0,"O",""))</f>
        <v/>
      </c>
      <c r="M99" s="17" t="str">
        <f>IF($C99="","",IF(COUNTIFS('RAW_농산물_11-12월'!$D:$D,$C99,'RAW_농산물_11-12월'!$A:$A,$E99)&gt;0,"O",""))</f>
        <v/>
      </c>
      <c r="N99" s="7">
        <f>IF($C99="","",IF(COUNTA('RAW_농산물_7월'!$A:$A)&lt;=1,"",SUMIFS('RAW_농산물_7월'!$H:$H,'RAW_농산물_7월'!$D:$D,$C99,'RAW_농산물_7월'!$A:$A,$E99)))</f>
        <v>0</v>
      </c>
      <c r="O99" s="7">
        <f>IF($C99="","",IF(COUNTA('RAW_농산물_8월'!$A:$A)&lt;=1,"",SUMIFS('RAW_농산물_8월'!$H:$H,'RAW_농산물_8월'!$D:$D,$C99,'RAW_농산물_8월'!$A:$A,$E99)-SUMIFS('RAW_농산물_7월'!$H:$H,'RAW_농산물_7월'!$D:$D,$C99,'RAW_농산물_7월'!$A:$A,$E99)))</f>
        <v>0</v>
      </c>
      <c r="P99" s="7" t="str">
        <f>IF($C99="","",IF(COUNTA('RAW_농산물_9월'!$A:$A)&lt;=1,"",SUMIFS('RAW_농산물_9월'!$H:$H,'RAW_농산물_9월'!$D:$D,$C99,'RAW_농산물_9월'!$A:$A,$E99)-SUMIFS('RAW_농산물_8월'!$H:$H,'RAW_농산물_8월'!$D:$D,$C99,'RAW_농산물_8월'!$A:$A,$E99)))</f>
        <v/>
      </c>
      <c r="Q99" s="7" t="str">
        <f>IF($C99="","",IF(COUNTA('RAW_농산물_10월'!$A:$A)&lt;=1,"",SUMIFS('RAW_농산물_10월'!$H:$H,'RAW_농산물_10월'!$D:$D,$C99,'RAW_농산물_10월'!$A:$A,$E99)-SUMIFS('RAW_농산물_9월'!$H:$H,'RAW_농산물_9월'!$D:$D,$C99,'RAW_농산물_9월'!$A:$A,$E99)))</f>
        <v/>
      </c>
      <c r="R99" s="7" t="str">
        <f>IF($C99="","",IF(COUNTA('RAW_농산물_11-12월'!$A:$A)&lt;=1,"",SUMIFS('RAW_농산물_11-12월'!$H:$H,'RAW_농산물_11-12월'!$D:$D,$C99,'RAW_농산물_11-12월'!$A:$A,$E99)-SUMIFS('RAW_농산물_10월'!$H:$H,'RAW_농산물_10월'!$D:$D,$C99,'RAW_농산물_10월'!$A:$A,$E99)))</f>
        <v/>
      </c>
      <c r="S99" s="17" t="str">
        <f t="shared" si="4"/>
        <v>O</v>
      </c>
      <c r="T99" s="17" t="str">
        <f t="shared" si="5"/>
        <v>미사용</v>
      </c>
      <c r="U99" s="7">
        <f>IF($C99="",0,IF('설정'!$B$3=0,0,CHOOSE('설정'!$B$3,COUNTIFS('RAW_농산물_7월'!$D:$D,$C99,'RAW_농산물_7월'!$A:$A,$E99),COUNTIFS('RAW_농산물_8월'!$D:$D,$C99,'RAW_농산물_8월'!$A:$A,$E99),COUNTIFS('RAW_농산물_9월'!$D:$D,$C99,'RAW_농산물_9월'!$A:$A,$E99),COUNTIFS('RAW_농산물_10월'!$D:$D,$C99,'RAW_농산물_10월'!$A:$A,$E99),COUNTIFS('RAW_농산물_11-12월'!$D:$D,$C99,'RAW_농산물_11-12월'!$A:$A,$E99))))</f>
        <v>1</v>
      </c>
    </row>
    <row r="100" ht="15.75" customHeight="1">
      <c r="A100" s="5">
        <v>98.0</v>
      </c>
      <c r="B100" s="5" t="s">
        <v>108</v>
      </c>
      <c r="C100" s="5" t="s">
        <v>391</v>
      </c>
      <c r="D100" s="6" t="s">
        <v>390</v>
      </c>
      <c r="E100" s="5" t="s">
        <v>92</v>
      </c>
      <c r="F100" s="7">
        <f>IF($C100="","",IF('설정'!$B$3=0,"",CHOOSE('설정'!$B$3,SUMIFS('RAW_농산물_7월'!$F:$F,'RAW_농산물_7월'!$D:$D,$C100,'RAW_농산물_7월'!$A:$A,$E100),SUMIFS('RAW_농산물_8월'!$F:$F,'RAW_농산물_8월'!$D:$D,$C100,'RAW_농산물_8월'!$A:$A,$E100),SUMIFS('RAW_농산물_9월'!$F:$F,'RAW_농산물_9월'!$D:$D,$C100,'RAW_농산물_9월'!$A:$A,$E100),SUMIFS('RAW_농산물_10월'!$F:$F,'RAW_농산물_10월'!$D:$D,$C100,'RAW_농산물_10월'!$A:$A,$E100),SUMIFS('RAW_농산물_11-12월'!$F:$F,'RAW_농산물_11-12월'!$D:$D,$C100,'RAW_농산물_11-12월'!$A:$A,$E100))))</f>
        <v>298</v>
      </c>
      <c r="G100" s="7">
        <f>IF($C100="","",IF('설정'!$B$3=0,"",CHOOSE('설정'!$B$3,SUMIFS('RAW_농산물_7월'!$G:$G,'RAW_농산물_7월'!$D:$D,$C100,'RAW_농산물_7월'!$A:$A,$E100),SUMIFS('RAW_농산물_8월'!$G:$G,'RAW_농산물_8월'!$D:$D,$C100,'RAW_농산물_8월'!$A:$A,$E100),SUMIFS('RAW_농산물_9월'!$G:$G,'RAW_농산물_9월'!$D:$D,$C100,'RAW_농산물_9월'!$A:$A,$E100),SUMIFS('RAW_농산물_10월'!$G:$G,'RAW_농산물_10월'!$D:$D,$C100,'RAW_농산물_10월'!$A:$A,$E100),SUMIFS('RAW_농산물_11-12월'!$G:$G,'RAW_농산물_11-12월'!$D:$D,$C100,'RAW_농산물_11-12월'!$A:$A,$E100))))</f>
        <v>5666070</v>
      </c>
      <c r="H100" s="14">
        <f>IF($C100="","",IF('설정'!$B$3=0,"",CHOOSE('설정'!$B$3,SUMIFS('RAW_농산물_7월'!$H:$H,'RAW_농산물_7월'!$D:$D,$C100,'RAW_농산물_7월'!$A:$A,$E100),SUMIFS('RAW_농산물_8월'!$H:$H,'RAW_농산물_8월'!$D:$D,$C100,'RAW_농산물_8월'!$A:$A,$E100),SUMIFS('RAW_농산물_9월'!$H:$H,'RAW_농산물_9월'!$D:$D,$C100,'RAW_농산물_9월'!$A:$A,$E100),SUMIFS('RAW_농산물_10월'!$H:$H,'RAW_농산물_10월'!$D:$D,$C100,'RAW_농산물_10월'!$A:$A,$E100),SUMIFS('RAW_농산물_11-12월'!$H:$H,'RAW_농산물_11-12월'!$D:$D,$C100,'RAW_농산물_11-12월'!$A:$A,$E100))))</f>
        <v>282800</v>
      </c>
      <c r="I100" s="17" t="str">
        <f>IF($C100="","",IF(COUNTIFS('RAW_농산물_7월'!$D:$D,$C100,'RAW_농산물_7월'!$A:$A,$E100)&gt;0,"O",""))</f>
        <v>O</v>
      </c>
      <c r="J100" s="17" t="str">
        <f>IF($C100="","",IF(COUNTIFS('RAW_농산물_8월'!$D:$D,$C100,'RAW_농산물_8월'!$A:$A,$E100)&gt;0,"O",""))</f>
        <v>O</v>
      </c>
      <c r="K100" s="17" t="str">
        <f>IF($C100="","",IF(COUNTIFS('RAW_농산물_9월'!$D:$D,$C100,'RAW_농산물_9월'!$A:$A,$E100)&gt;0,"O",""))</f>
        <v/>
      </c>
      <c r="L100" s="17" t="str">
        <f>IF($C100="","",IF(COUNTIFS('RAW_농산물_10월'!$D:$D,$C100,'RAW_농산물_10월'!$A:$A,$E100)&gt;0,"O",""))</f>
        <v/>
      </c>
      <c r="M100" s="17" t="str">
        <f>IF($C100="","",IF(COUNTIFS('RAW_농산물_11-12월'!$D:$D,$C100,'RAW_농산물_11-12월'!$A:$A,$E100)&gt;0,"O",""))</f>
        <v/>
      </c>
      <c r="N100" s="7">
        <f>IF($C100="","",IF(COUNTA('RAW_농산물_7월'!$A:$A)&lt;=1,"",SUMIFS('RAW_농산물_7월'!$H:$H,'RAW_농산물_7월'!$D:$D,$C100,'RAW_농산물_7월'!$A:$A,$E100)))</f>
        <v>112680</v>
      </c>
      <c r="O100" s="7">
        <f>IF($C100="","",IF(COUNTA('RAW_농산물_8월'!$A:$A)&lt;=1,"",SUMIFS('RAW_농산물_8월'!$H:$H,'RAW_농산물_8월'!$D:$D,$C100,'RAW_농산물_8월'!$A:$A,$E100)-SUMIFS('RAW_농산물_7월'!$H:$H,'RAW_농산물_7월'!$D:$D,$C100,'RAW_농산물_7월'!$A:$A,$E100)))</f>
        <v>170120</v>
      </c>
      <c r="P100" s="7" t="str">
        <f>IF($C100="","",IF(COUNTA('RAW_농산물_9월'!$A:$A)&lt;=1,"",SUMIFS('RAW_농산물_9월'!$H:$H,'RAW_농산물_9월'!$D:$D,$C100,'RAW_농산물_9월'!$A:$A,$E100)-SUMIFS('RAW_농산물_8월'!$H:$H,'RAW_농산물_8월'!$D:$D,$C100,'RAW_농산물_8월'!$A:$A,$E100)))</f>
        <v/>
      </c>
      <c r="Q100" s="7" t="str">
        <f>IF($C100="","",IF(COUNTA('RAW_농산물_10월'!$A:$A)&lt;=1,"",SUMIFS('RAW_농산물_10월'!$H:$H,'RAW_농산물_10월'!$D:$D,$C100,'RAW_농산물_10월'!$A:$A,$E100)-SUMIFS('RAW_농산물_9월'!$H:$H,'RAW_농산물_9월'!$D:$D,$C100,'RAW_농산물_9월'!$A:$A,$E100)))</f>
        <v/>
      </c>
      <c r="R100" s="7" t="str">
        <f>IF($C100="","",IF(COUNTA('RAW_농산물_11-12월'!$A:$A)&lt;=1,"",SUMIFS('RAW_농산물_11-12월'!$H:$H,'RAW_농산물_11-12월'!$D:$D,$C100,'RAW_농산물_11-12월'!$A:$A,$E100)-SUMIFS('RAW_농산물_10월'!$H:$H,'RAW_농산물_10월'!$D:$D,$C100,'RAW_농산물_10월'!$A:$A,$E100)))</f>
        <v/>
      </c>
      <c r="S100" s="17" t="str">
        <f t="shared" si="4"/>
        <v>O</v>
      </c>
      <c r="T100" s="17" t="str">
        <f t="shared" si="5"/>
        <v>50만원 미만</v>
      </c>
      <c r="U100" s="7">
        <f>IF($C100="",0,IF('설정'!$B$3=0,0,CHOOSE('설정'!$B$3,COUNTIFS('RAW_농산물_7월'!$D:$D,$C100,'RAW_농산물_7월'!$A:$A,$E100),COUNTIFS('RAW_농산물_8월'!$D:$D,$C100,'RAW_농산물_8월'!$A:$A,$E100),COUNTIFS('RAW_농산물_9월'!$D:$D,$C100,'RAW_농산물_9월'!$A:$A,$E100),COUNTIFS('RAW_농산물_10월'!$D:$D,$C100,'RAW_농산물_10월'!$A:$A,$E100),COUNTIFS('RAW_농산물_11-12월'!$D:$D,$C100,'RAW_농산물_11-12월'!$A:$A,$E100))))</f>
        <v>2</v>
      </c>
    </row>
    <row r="101" ht="15.75" customHeight="1">
      <c r="A101" s="5">
        <v>99.0</v>
      </c>
      <c r="B101" s="5" t="s">
        <v>145</v>
      </c>
      <c r="C101" s="5" t="s">
        <v>1269</v>
      </c>
      <c r="D101" s="6" t="s">
        <v>1268</v>
      </c>
      <c r="E101" s="5" t="s">
        <v>94</v>
      </c>
      <c r="F101" s="7">
        <f>IF($C101="","",IF('설정'!$B$3=0,"",CHOOSE('설정'!$B$3,SUMIFS('RAW_농산물_7월'!$F:$F,'RAW_농산물_7월'!$D:$D,$C101,'RAW_농산물_7월'!$A:$A,$E101),SUMIFS('RAW_농산물_8월'!$F:$F,'RAW_농산물_8월'!$D:$D,$C101,'RAW_농산물_8월'!$A:$A,$E101),SUMIFS('RAW_농산물_9월'!$F:$F,'RAW_농산물_9월'!$D:$D,$C101,'RAW_농산물_9월'!$A:$A,$E101),SUMIFS('RAW_농산물_10월'!$F:$F,'RAW_농산물_10월'!$D:$D,$C101,'RAW_농산물_10월'!$A:$A,$E101),SUMIFS('RAW_농산물_11-12월'!$F:$F,'RAW_농산물_11-12월'!$D:$D,$C101,'RAW_농산물_11-12월'!$A:$A,$E101))))</f>
        <v>22</v>
      </c>
      <c r="G101" s="7">
        <f>IF($C101="","",IF('설정'!$B$3=0,"",CHOOSE('설정'!$B$3,SUMIFS('RAW_농산물_7월'!$G:$G,'RAW_농산물_7월'!$D:$D,$C101,'RAW_농산물_7월'!$A:$A,$E101),SUMIFS('RAW_농산물_8월'!$G:$G,'RAW_농산물_8월'!$D:$D,$C101,'RAW_농산물_8월'!$A:$A,$E101),SUMIFS('RAW_농산물_9월'!$G:$G,'RAW_농산물_9월'!$D:$D,$C101,'RAW_농산물_9월'!$A:$A,$E101),SUMIFS('RAW_농산물_10월'!$G:$G,'RAW_농산물_10월'!$D:$D,$C101,'RAW_농산물_10월'!$A:$A,$E101),SUMIFS('RAW_농산물_11-12월'!$G:$G,'RAW_농산물_11-12월'!$D:$D,$C101,'RAW_농산물_11-12월'!$A:$A,$E101))))</f>
        <v>1087000</v>
      </c>
      <c r="H101" s="14">
        <f>IF($C101="","",IF('설정'!$B$3=0,"",CHOOSE('설정'!$B$3,SUMIFS('RAW_농산물_7월'!$H:$H,'RAW_농산물_7월'!$D:$D,$C101,'RAW_농산물_7월'!$A:$A,$E101),SUMIFS('RAW_농산물_8월'!$H:$H,'RAW_농산물_8월'!$D:$D,$C101,'RAW_농산물_8월'!$A:$A,$E101),SUMIFS('RAW_농산물_9월'!$H:$H,'RAW_농산물_9월'!$D:$D,$C101,'RAW_농산물_9월'!$A:$A,$E101),SUMIFS('RAW_농산물_10월'!$H:$H,'RAW_농산물_10월'!$D:$D,$C101,'RAW_농산물_10월'!$A:$A,$E101),SUMIFS('RAW_농산물_11-12월'!$H:$H,'RAW_농산물_11-12월'!$D:$D,$C101,'RAW_농산물_11-12월'!$A:$A,$E101))))</f>
        <v>129320</v>
      </c>
      <c r="I101" s="17" t="str">
        <f>IF($C101="","",IF(COUNTIFS('RAW_농산물_7월'!$D:$D,$C101,'RAW_농산물_7월'!$A:$A,$E101)&gt;0,"O",""))</f>
        <v>O</v>
      </c>
      <c r="J101" s="17" t="str">
        <f>IF($C101="","",IF(COUNTIFS('RAW_농산물_8월'!$D:$D,$C101,'RAW_농산물_8월'!$A:$A,$E101)&gt;0,"O",""))</f>
        <v>O</v>
      </c>
      <c r="K101" s="17" t="str">
        <f>IF($C101="","",IF(COUNTIFS('RAW_농산물_9월'!$D:$D,$C101,'RAW_농산물_9월'!$A:$A,$E101)&gt;0,"O",""))</f>
        <v/>
      </c>
      <c r="L101" s="17" t="str">
        <f>IF($C101="","",IF(COUNTIFS('RAW_농산물_10월'!$D:$D,$C101,'RAW_농산물_10월'!$A:$A,$E101)&gt;0,"O",""))</f>
        <v/>
      </c>
      <c r="M101" s="17" t="str">
        <f>IF($C101="","",IF(COUNTIFS('RAW_농산물_11-12월'!$D:$D,$C101,'RAW_농산물_11-12월'!$A:$A,$E101)&gt;0,"O",""))</f>
        <v/>
      </c>
      <c r="N101" s="7">
        <f>IF($C101="","",IF(COUNTA('RAW_농산물_7월'!$A:$A)&lt;=1,"",SUMIFS('RAW_농산물_7월'!$H:$H,'RAW_농산물_7월'!$D:$D,$C101,'RAW_농산물_7월'!$A:$A,$E101)))</f>
        <v>18640</v>
      </c>
      <c r="O101" s="7">
        <f>IF($C101="","",IF(COUNTA('RAW_농산물_8월'!$A:$A)&lt;=1,"",SUMIFS('RAW_농산물_8월'!$H:$H,'RAW_농산물_8월'!$D:$D,$C101,'RAW_농산물_8월'!$A:$A,$E101)-SUMIFS('RAW_농산물_7월'!$H:$H,'RAW_농산물_7월'!$D:$D,$C101,'RAW_농산물_7월'!$A:$A,$E101)))</f>
        <v>110680</v>
      </c>
      <c r="P101" s="7" t="str">
        <f>IF($C101="","",IF(COUNTA('RAW_농산물_9월'!$A:$A)&lt;=1,"",SUMIFS('RAW_농산물_9월'!$H:$H,'RAW_농산물_9월'!$D:$D,$C101,'RAW_농산물_9월'!$A:$A,$E101)-SUMIFS('RAW_농산물_8월'!$H:$H,'RAW_농산물_8월'!$D:$D,$C101,'RAW_농산물_8월'!$A:$A,$E101)))</f>
        <v/>
      </c>
      <c r="Q101" s="7" t="str">
        <f>IF($C101="","",IF(COUNTA('RAW_농산물_10월'!$A:$A)&lt;=1,"",SUMIFS('RAW_농산물_10월'!$H:$H,'RAW_농산물_10월'!$D:$D,$C101,'RAW_농산물_10월'!$A:$A,$E101)-SUMIFS('RAW_농산물_9월'!$H:$H,'RAW_농산물_9월'!$D:$D,$C101,'RAW_농산물_9월'!$A:$A,$E101)))</f>
        <v/>
      </c>
      <c r="R101" s="7" t="str">
        <f>IF($C101="","",IF(COUNTA('RAW_농산물_11-12월'!$A:$A)&lt;=1,"",SUMIFS('RAW_농산물_11-12월'!$H:$H,'RAW_농산물_11-12월'!$D:$D,$C101,'RAW_농산물_11-12월'!$A:$A,$E101)-SUMIFS('RAW_농산물_10월'!$H:$H,'RAW_농산물_10월'!$D:$D,$C101,'RAW_농산물_10월'!$A:$A,$E101)))</f>
        <v/>
      </c>
      <c r="S101" s="17" t="str">
        <f t="shared" si="4"/>
        <v>O</v>
      </c>
      <c r="T101" s="17" t="str">
        <f t="shared" si="5"/>
        <v>50만원 미만</v>
      </c>
      <c r="U101" s="7">
        <f>IF($C101="",0,IF('설정'!$B$3=0,0,CHOOSE('설정'!$B$3,COUNTIFS('RAW_농산물_7월'!$D:$D,$C101,'RAW_농산물_7월'!$A:$A,$E101),COUNTIFS('RAW_농산물_8월'!$D:$D,$C101,'RAW_농산물_8월'!$A:$A,$E101),COUNTIFS('RAW_농산물_9월'!$D:$D,$C101,'RAW_농산물_9월'!$A:$A,$E101),COUNTIFS('RAW_농산물_10월'!$D:$D,$C101,'RAW_농산물_10월'!$A:$A,$E101),COUNTIFS('RAW_농산물_11-12월'!$D:$D,$C101,'RAW_농산물_11-12월'!$A:$A,$E101))))</f>
        <v>1</v>
      </c>
    </row>
    <row r="102" ht="15.75" customHeight="1">
      <c r="A102" s="5">
        <v>100.0</v>
      </c>
      <c r="B102" s="5" t="s">
        <v>25</v>
      </c>
      <c r="C102" s="5" t="s">
        <v>320</v>
      </c>
      <c r="D102" s="6" t="s">
        <v>319</v>
      </c>
      <c r="E102" s="5" t="s">
        <v>92</v>
      </c>
      <c r="F102" s="7">
        <f>IF($C102="","",IF('설정'!$B$3=0,"",CHOOSE('설정'!$B$3,SUMIFS('RAW_농산물_7월'!$F:$F,'RAW_농산물_7월'!$D:$D,$C102,'RAW_농산물_7월'!$A:$A,$E102),SUMIFS('RAW_농산물_8월'!$F:$F,'RAW_농산물_8월'!$D:$D,$C102,'RAW_농산물_8월'!$A:$A,$E102),SUMIFS('RAW_농산물_9월'!$F:$F,'RAW_농산물_9월'!$D:$D,$C102,'RAW_농산물_9월'!$A:$A,$E102),SUMIFS('RAW_농산물_10월'!$F:$F,'RAW_농산물_10월'!$D:$D,$C102,'RAW_농산물_10월'!$A:$A,$E102),SUMIFS('RAW_농산물_11-12월'!$F:$F,'RAW_농산물_11-12월'!$D:$D,$C102,'RAW_농산물_11-12월'!$A:$A,$E102))))</f>
        <v>269</v>
      </c>
      <c r="G102" s="7">
        <f>IF($C102="","",IF('설정'!$B$3=0,"",CHOOSE('설정'!$B$3,SUMIFS('RAW_농산물_7월'!$G:$G,'RAW_농산물_7월'!$D:$D,$C102,'RAW_농산물_7월'!$A:$A,$E102),SUMIFS('RAW_농산물_8월'!$G:$G,'RAW_농산물_8월'!$D:$D,$C102,'RAW_농산물_8월'!$A:$A,$E102),SUMIFS('RAW_농산물_9월'!$G:$G,'RAW_농산물_9월'!$D:$D,$C102,'RAW_농산물_9월'!$A:$A,$E102),SUMIFS('RAW_농산물_10월'!$G:$G,'RAW_농산물_10월'!$D:$D,$C102,'RAW_농산물_10월'!$A:$A,$E102),SUMIFS('RAW_농산물_11-12월'!$G:$G,'RAW_농산물_11-12월'!$D:$D,$C102,'RAW_농산물_11-12월'!$A:$A,$E102))))</f>
        <v>11888240</v>
      </c>
      <c r="H102" s="14">
        <f>IF($C102="","",IF('설정'!$B$3=0,"",CHOOSE('설정'!$B$3,SUMIFS('RAW_농산물_7월'!$H:$H,'RAW_농산물_7월'!$D:$D,$C102,'RAW_농산물_7월'!$A:$A,$E102),SUMIFS('RAW_농산물_8월'!$H:$H,'RAW_농산물_8월'!$D:$D,$C102,'RAW_농산물_8월'!$A:$A,$E102),SUMIFS('RAW_농산물_9월'!$H:$H,'RAW_농산물_9월'!$D:$D,$C102,'RAW_농산물_9월'!$A:$A,$E102),SUMIFS('RAW_농산물_10월'!$H:$H,'RAW_농산물_10월'!$D:$D,$C102,'RAW_농산물_10월'!$A:$A,$E102),SUMIFS('RAW_농산물_11-12월'!$H:$H,'RAW_농산물_11-12월'!$D:$D,$C102,'RAW_농산물_11-12월'!$A:$A,$E102))))</f>
        <v>631520</v>
      </c>
      <c r="I102" s="17" t="str">
        <f>IF($C102="","",IF(COUNTIFS('RAW_농산물_7월'!$D:$D,$C102,'RAW_농산물_7월'!$A:$A,$E102)&gt;0,"O",""))</f>
        <v>O</v>
      </c>
      <c r="J102" s="17" t="str">
        <f>IF($C102="","",IF(COUNTIFS('RAW_농산물_8월'!$D:$D,$C102,'RAW_농산물_8월'!$A:$A,$E102)&gt;0,"O",""))</f>
        <v>O</v>
      </c>
      <c r="K102" s="17" t="str">
        <f>IF($C102="","",IF(COUNTIFS('RAW_농산물_9월'!$D:$D,$C102,'RAW_농산물_9월'!$A:$A,$E102)&gt;0,"O",""))</f>
        <v/>
      </c>
      <c r="L102" s="17" t="str">
        <f>IF($C102="","",IF(COUNTIFS('RAW_농산물_10월'!$D:$D,$C102,'RAW_농산물_10월'!$A:$A,$E102)&gt;0,"O",""))</f>
        <v/>
      </c>
      <c r="M102" s="17" t="str">
        <f>IF($C102="","",IF(COUNTIFS('RAW_농산물_11-12월'!$D:$D,$C102,'RAW_농산물_11-12월'!$A:$A,$E102)&gt;0,"O",""))</f>
        <v/>
      </c>
      <c r="N102" s="7">
        <f>IF($C102="","",IF(COUNTA('RAW_농산물_7월'!$A:$A)&lt;=1,"",SUMIFS('RAW_농산물_7월'!$H:$H,'RAW_농산물_7월'!$D:$D,$C102,'RAW_농산물_7월'!$A:$A,$E102)))</f>
        <v>631520</v>
      </c>
      <c r="O102" s="7">
        <f>IF($C102="","",IF(COUNTA('RAW_농산물_8월'!$A:$A)&lt;=1,"",SUMIFS('RAW_농산물_8월'!$H:$H,'RAW_농산물_8월'!$D:$D,$C102,'RAW_농산물_8월'!$A:$A,$E102)-SUMIFS('RAW_농산물_7월'!$H:$H,'RAW_농산물_7월'!$D:$D,$C102,'RAW_농산물_7월'!$A:$A,$E102)))</f>
        <v>0</v>
      </c>
      <c r="P102" s="7" t="str">
        <f>IF($C102="","",IF(COUNTA('RAW_농산물_9월'!$A:$A)&lt;=1,"",SUMIFS('RAW_농산물_9월'!$H:$H,'RAW_농산물_9월'!$D:$D,$C102,'RAW_농산물_9월'!$A:$A,$E102)-SUMIFS('RAW_농산물_8월'!$H:$H,'RAW_농산물_8월'!$D:$D,$C102,'RAW_농산물_8월'!$A:$A,$E102)))</f>
        <v/>
      </c>
      <c r="Q102" s="7" t="str">
        <f>IF($C102="","",IF(COUNTA('RAW_농산물_10월'!$A:$A)&lt;=1,"",SUMIFS('RAW_농산물_10월'!$H:$H,'RAW_농산물_10월'!$D:$D,$C102,'RAW_농산물_10월'!$A:$A,$E102)-SUMIFS('RAW_농산물_9월'!$H:$H,'RAW_농산물_9월'!$D:$D,$C102,'RAW_농산물_9월'!$A:$A,$E102)))</f>
        <v/>
      </c>
      <c r="R102" s="7" t="str">
        <f>IF($C102="","",IF(COUNTA('RAW_농산물_11-12월'!$A:$A)&lt;=1,"",SUMIFS('RAW_농산물_11-12월'!$H:$H,'RAW_농산물_11-12월'!$D:$D,$C102,'RAW_농산물_11-12월'!$A:$A,$E102)-SUMIFS('RAW_농산물_10월'!$H:$H,'RAW_농산물_10월'!$D:$D,$C102,'RAW_농산물_10월'!$A:$A,$E102)))</f>
        <v/>
      </c>
      <c r="S102" s="17" t="str">
        <f t="shared" si="4"/>
        <v>O</v>
      </c>
      <c r="T102" s="17" t="str">
        <f t="shared" si="5"/>
        <v>100만원 미만</v>
      </c>
      <c r="U102" s="7">
        <f>IF($C102="",0,IF('설정'!$B$3=0,0,CHOOSE('설정'!$B$3,COUNTIFS('RAW_농산물_7월'!$D:$D,$C102,'RAW_농산물_7월'!$A:$A,$E102),COUNTIFS('RAW_농산물_8월'!$D:$D,$C102,'RAW_농산물_8월'!$A:$A,$E102),COUNTIFS('RAW_농산물_9월'!$D:$D,$C102,'RAW_농산물_9월'!$A:$A,$E102),COUNTIFS('RAW_농산물_10월'!$D:$D,$C102,'RAW_농산물_10월'!$A:$A,$E102),COUNTIFS('RAW_농산물_11-12월'!$D:$D,$C102,'RAW_농산물_11-12월'!$A:$A,$E102))))</f>
        <v>2</v>
      </c>
    </row>
    <row r="103" ht="15.75" customHeight="1">
      <c r="A103" s="5">
        <v>101.0</v>
      </c>
      <c r="B103" s="5" t="s">
        <v>108</v>
      </c>
      <c r="C103" s="5" t="s">
        <v>2935</v>
      </c>
      <c r="D103" s="6" t="s">
        <v>2936</v>
      </c>
      <c r="E103" s="5" t="s">
        <v>92</v>
      </c>
      <c r="F103" s="7">
        <f>IF($C103="","",IF('설정'!$B$3=0,"",CHOOSE('설정'!$B$3,SUMIFS('RAW_농산물_7월'!$F:$F,'RAW_농산물_7월'!$D:$D,$C103,'RAW_농산물_7월'!$A:$A,$E103),SUMIFS('RAW_농산물_8월'!$F:$F,'RAW_농산물_8월'!$D:$D,$C103,'RAW_농산물_8월'!$A:$A,$E103),SUMIFS('RAW_농산물_9월'!$F:$F,'RAW_농산물_9월'!$D:$D,$C103,'RAW_농산물_9월'!$A:$A,$E103),SUMIFS('RAW_농산물_10월'!$F:$F,'RAW_농산물_10월'!$D:$D,$C103,'RAW_농산물_10월'!$A:$A,$E103),SUMIFS('RAW_농산물_11-12월'!$F:$F,'RAW_농산물_11-12월'!$D:$D,$C103,'RAW_농산물_11-12월'!$A:$A,$E103))))</f>
        <v>0</v>
      </c>
      <c r="G103" s="7">
        <f>IF($C103="","",IF('설정'!$B$3=0,"",CHOOSE('설정'!$B$3,SUMIFS('RAW_농산물_7월'!$G:$G,'RAW_농산물_7월'!$D:$D,$C103,'RAW_농산물_7월'!$A:$A,$E103),SUMIFS('RAW_농산물_8월'!$G:$G,'RAW_농산물_8월'!$D:$D,$C103,'RAW_농산물_8월'!$A:$A,$E103),SUMIFS('RAW_농산물_9월'!$G:$G,'RAW_농산물_9월'!$D:$D,$C103,'RAW_농산물_9월'!$A:$A,$E103),SUMIFS('RAW_농산물_10월'!$G:$G,'RAW_농산물_10월'!$D:$D,$C103,'RAW_농산물_10월'!$A:$A,$E103),SUMIFS('RAW_농산물_11-12월'!$G:$G,'RAW_농산물_11-12월'!$D:$D,$C103,'RAW_농산물_11-12월'!$A:$A,$E103))))</f>
        <v>0</v>
      </c>
      <c r="H103" s="14">
        <f>IF($C103="","",IF('설정'!$B$3=0,"",CHOOSE('설정'!$B$3,SUMIFS('RAW_농산물_7월'!$H:$H,'RAW_농산물_7월'!$D:$D,$C103,'RAW_농산물_7월'!$A:$A,$E103),SUMIFS('RAW_농산물_8월'!$H:$H,'RAW_농산물_8월'!$D:$D,$C103,'RAW_농산물_8월'!$A:$A,$E103),SUMIFS('RAW_농산물_9월'!$H:$H,'RAW_농산물_9월'!$D:$D,$C103,'RAW_농산물_9월'!$A:$A,$E103),SUMIFS('RAW_농산물_10월'!$H:$H,'RAW_농산물_10월'!$D:$D,$C103,'RAW_농산물_10월'!$A:$A,$E103),SUMIFS('RAW_농산물_11-12월'!$H:$H,'RAW_농산물_11-12월'!$D:$D,$C103,'RAW_농산물_11-12월'!$A:$A,$E103))))</f>
        <v>0</v>
      </c>
      <c r="I103" s="17" t="str">
        <f>IF($C103="","",IF(COUNTIFS('RAW_농산물_7월'!$D:$D,$C103,'RAW_농산물_7월'!$A:$A,$E103)&gt;0,"O",""))</f>
        <v/>
      </c>
      <c r="J103" s="17" t="str">
        <f>IF($C103="","",IF(COUNTIFS('RAW_농산물_8월'!$D:$D,$C103,'RAW_농산물_8월'!$A:$A,$E103)&gt;0,"O",""))</f>
        <v/>
      </c>
      <c r="K103" s="17" t="str">
        <f>IF($C103="","",IF(COUNTIFS('RAW_농산물_9월'!$D:$D,$C103,'RAW_농산물_9월'!$A:$A,$E103)&gt;0,"O",""))</f>
        <v/>
      </c>
      <c r="L103" s="17" t="str">
        <f>IF($C103="","",IF(COUNTIFS('RAW_농산물_10월'!$D:$D,$C103,'RAW_농산물_10월'!$A:$A,$E103)&gt;0,"O",""))</f>
        <v/>
      </c>
      <c r="M103" s="17" t="str">
        <f>IF($C103="","",IF(COUNTIFS('RAW_농산물_11-12월'!$D:$D,$C103,'RAW_농산물_11-12월'!$A:$A,$E103)&gt;0,"O",""))</f>
        <v/>
      </c>
      <c r="N103" s="7">
        <f>IF($C103="","",IF(COUNTA('RAW_농산물_7월'!$A:$A)&lt;=1,"",SUMIFS('RAW_농산물_7월'!$H:$H,'RAW_농산물_7월'!$D:$D,$C103,'RAW_농산물_7월'!$A:$A,$E103)))</f>
        <v>0</v>
      </c>
      <c r="O103" s="7">
        <f>IF($C103="","",IF(COUNTA('RAW_농산물_8월'!$A:$A)&lt;=1,"",SUMIFS('RAW_농산물_8월'!$H:$H,'RAW_농산물_8월'!$D:$D,$C103,'RAW_농산물_8월'!$A:$A,$E103)-SUMIFS('RAW_농산물_7월'!$H:$H,'RAW_농산물_7월'!$D:$D,$C103,'RAW_농산물_7월'!$A:$A,$E103)))</f>
        <v>0</v>
      </c>
      <c r="P103" s="7" t="str">
        <f>IF($C103="","",IF(COUNTA('RAW_농산물_9월'!$A:$A)&lt;=1,"",SUMIFS('RAW_농산물_9월'!$H:$H,'RAW_농산물_9월'!$D:$D,$C103,'RAW_농산물_9월'!$A:$A,$E103)-SUMIFS('RAW_농산물_8월'!$H:$H,'RAW_농산물_8월'!$D:$D,$C103,'RAW_농산물_8월'!$A:$A,$E103)))</f>
        <v/>
      </c>
      <c r="Q103" s="7" t="str">
        <f>IF($C103="","",IF(COUNTA('RAW_농산물_10월'!$A:$A)&lt;=1,"",SUMIFS('RAW_농산물_10월'!$H:$H,'RAW_농산물_10월'!$D:$D,$C103,'RAW_농산물_10월'!$A:$A,$E103)-SUMIFS('RAW_농산물_9월'!$H:$H,'RAW_농산물_9월'!$D:$D,$C103,'RAW_농산물_9월'!$A:$A,$E103)))</f>
        <v/>
      </c>
      <c r="R103" s="7" t="str">
        <f>IF($C103="","",IF(COUNTA('RAW_농산물_11-12월'!$A:$A)&lt;=1,"",SUMIFS('RAW_농산물_11-12월'!$H:$H,'RAW_농산물_11-12월'!$D:$D,$C103,'RAW_농산물_11-12월'!$A:$A,$E103)-SUMIFS('RAW_농산물_10월'!$H:$H,'RAW_농산물_10월'!$D:$D,$C103,'RAW_농산물_10월'!$A:$A,$E103)))</f>
        <v/>
      </c>
      <c r="S103" s="17" t="str">
        <f t="shared" si="4"/>
        <v/>
      </c>
      <c r="T103" s="17" t="str">
        <f t="shared" si="5"/>
        <v>미사용</v>
      </c>
      <c r="U103" s="7">
        <f>IF($C103="",0,IF('설정'!$B$3=0,0,CHOOSE('설정'!$B$3,COUNTIFS('RAW_농산물_7월'!$D:$D,$C103,'RAW_농산물_7월'!$A:$A,$E103),COUNTIFS('RAW_농산물_8월'!$D:$D,$C103,'RAW_농산물_8월'!$A:$A,$E103),COUNTIFS('RAW_농산물_9월'!$D:$D,$C103,'RAW_농산물_9월'!$A:$A,$E103),COUNTIFS('RAW_농산물_10월'!$D:$D,$C103,'RAW_농산물_10월'!$A:$A,$E103),COUNTIFS('RAW_농산물_11-12월'!$D:$D,$C103,'RAW_농산물_11-12월'!$A:$A,$E103))))</f>
        <v>0</v>
      </c>
    </row>
    <row r="104" ht="15.75" customHeight="1">
      <c r="A104" s="5">
        <v>102.0</v>
      </c>
      <c r="B104" s="5" t="s">
        <v>25</v>
      </c>
      <c r="C104" s="5" t="s">
        <v>345</v>
      </c>
      <c r="D104" s="6" t="s">
        <v>344</v>
      </c>
      <c r="E104" s="5" t="s">
        <v>92</v>
      </c>
      <c r="F104" s="7">
        <f>IF($C104="","",IF('설정'!$B$3=0,"",CHOOSE('설정'!$B$3,SUMIFS('RAW_농산물_7월'!$F:$F,'RAW_농산물_7월'!$D:$D,$C104,'RAW_농산물_7월'!$A:$A,$E104),SUMIFS('RAW_농산물_8월'!$F:$F,'RAW_농산물_8월'!$D:$D,$C104,'RAW_농산물_8월'!$A:$A,$E104),SUMIFS('RAW_농산물_9월'!$F:$F,'RAW_농산물_9월'!$D:$D,$C104,'RAW_농산물_9월'!$A:$A,$E104),SUMIFS('RAW_농산물_10월'!$F:$F,'RAW_농산물_10월'!$D:$D,$C104,'RAW_농산물_10월'!$A:$A,$E104),SUMIFS('RAW_농산물_11-12월'!$F:$F,'RAW_농산물_11-12월'!$D:$D,$C104,'RAW_농산물_11-12월'!$A:$A,$E104))))</f>
        <v>325</v>
      </c>
      <c r="G104" s="7">
        <f>IF($C104="","",IF('설정'!$B$3=0,"",CHOOSE('설정'!$B$3,SUMIFS('RAW_농산물_7월'!$G:$G,'RAW_농산물_7월'!$D:$D,$C104,'RAW_농산물_7월'!$A:$A,$E104),SUMIFS('RAW_농산물_8월'!$G:$G,'RAW_농산물_8월'!$D:$D,$C104,'RAW_농산물_8월'!$A:$A,$E104),SUMIFS('RAW_농산물_9월'!$G:$G,'RAW_농산물_9월'!$D:$D,$C104,'RAW_농산물_9월'!$A:$A,$E104),SUMIFS('RAW_농산물_10월'!$G:$G,'RAW_농산물_10월'!$D:$D,$C104,'RAW_농산물_10월'!$A:$A,$E104),SUMIFS('RAW_농산물_11-12월'!$G:$G,'RAW_농산물_11-12월'!$D:$D,$C104,'RAW_농산물_11-12월'!$A:$A,$E104))))</f>
        <v>8356000</v>
      </c>
      <c r="H104" s="14">
        <f>IF($C104="","",IF('설정'!$B$3=0,"",CHOOSE('설정'!$B$3,SUMIFS('RAW_농산물_7월'!$H:$H,'RAW_농산물_7월'!$D:$D,$C104,'RAW_농산물_7월'!$A:$A,$E104),SUMIFS('RAW_농산물_8월'!$H:$H,'RAW_농산물_8월'!$D:$D,$C104,'RAW_농산물_8월'!$A:$A,$E104),SUMIFS('RAW_농산물_9월'!$H:$H,'RAW_농산물_9월'!$D:$D,$C104,'RAW_농산물_9월'!$A:$A,$E104),SUMIFS('RAW_농산물_10월'!$H:$H,'RAW_농산물_10월'!$D:$D,$C104,'RAW_농산물_10월'!$A:$A,$E104),SUMIFS('RAW_농산물_11-12월'!$H:$H,'RAW_농산물_11-12월'!$D:$D,$C104,'RAW_농산물_11-12월'!$A:$A,$E104))))</f>
        <v>844760</v>
      </c>
      <c r="I104" s="17" t="str">
        <f>IF($C104="","",IF(COUNTIFS('RAW_농산물_7월'!$D:$D,$C104,'RAW_농산물_7월'!$A:$A,$E104)&gt;0,"O",""))</f>
        <v>O</v>
      </c>
      <c r="J104" s="17" t="str">
        <f>IF($C104="","",IF(COUNTIFS('RAW_농산물_8월'!$D:$D,$C104,'RAW_농산물_8월'!$A:$A,$E104)&gt;0,"O",""))</f>
        <v>O</v>
      </c>
      <c r="K104" s="17" t="str">
        <f>IF($C104="","",IF(COUNTIFS('RAW_농산물_9월'!$D:$D,$C104,'RAW_농산물_9월'!$A:$A,$E104)&gt;0,"O",""))</f>
        <v/>
      </c>
      <c r="L104" s="17" t="str">
        <f>IF($C104="","",IF(COUNTIFS('RAW_농산물_10월'!$D:$D,$C104,'RAW_농산물_10월'!$A:$A,$E104)&gt;0,"O",""))</f>
        <v/>
      </c>
      <c r="M104" s="17" t="str">
        <f>IF($C104="","",IF(COUNTIFS('RAW_농산물_11-12월'!$D:$D,$C104,'RAW_농산물_11-12월'!$A:$A,$E104)&gt;0,"O",""))</f>
        <v/>
      </c>
      <c r="N104" s="7">
        <f>IF($C104="","",IF(COUNTA('RAW_농산물_7월'!$A:$A)&lt;=1,"",SUMIFS('RAW_농산물_7월'!$H:$H,'RAW_농산물_7월'!$D:$D,$C104,'RAW_농산물_7월'!$A:$A,$E104)))</f>
        <v>278700</v>
      </c>
      <c r="O104" s="7">
        <f>IF($C104="","",IF(COUNTA('RAW_농산물_8월'!$A:$A)&lt;=1,"",SUMIFS('RAW_농산물_8월'!$H:$H,'RAW_농산물_8월'!$D:$D,$C104,'RAW_농산물_8월'!$A:$A,$E104)-SUMIFS('RAW_농산물_7월'!$H:$H,'RAW_농산물_7월'!$D:$D,$C104,'RAW_농산물_7월'!$A:$A,$E104)))</f>
        <v>566060</v>
      </c>
      <c r="P104" s="7" t="str">
        <f>IF($C104="","",IF(COUNTA('RAW_농산물_9월'!$A:$A)&lt;=1,"",SUMIFS('RAW_농산물_9월'!$H:$H,'RAW_농산물_9월'!$D:$D,$C104,'RAW_농산물_9월'!$A:$A,$E104)-SUMIFS('RAW_농산물_8월'!$H:$H,'RAW_농산물_8월'!$D:$D,$C104,'RAW_농산물_8월'!$A:$A,$E104)))</f>
        <v/>
      </c>
      <c r="Q104" s="7" t="str">
        <f>IF($C104="","",IF(COUNTA('RAW_농산물_10월'!$A:$A)&lt;=1,"",SUMIFS('RAW_농산물_10월'!$H:$H,'RAW_농산물_10월'!$D:$D,$C104,'RAW_농산물_10월'!$A:$A,$E104)-SUMIFS('RAW_농산물_9월'!$H:$H,'RAW_농산물_9월'!$D:$D,$C104,'RAW_농산물_9월'!$A:$A,$E104)))</f>
        <v/>
      </c>
      <c r="R104" s="7" t="str">
        <f>IF($C104="","",IF(COUNTA('RAW_농산물_11-12월'!$A:$A)&lt;=1,"",SUMIFS('RAW_농산물_11-12월'!$H:$H,'RAW_농산물_11-12월'!$D:$D,$C104,'RAW_농산물_11-12월'!$A:$A,$E104)-SUMIFS('RAW_농산물_10월'!$H:$H,'RAW_농산물_10월'!$D:$D,$C104,'RAW_농산물_10월'!$A:$A,$E104)))</f>
        <v/>
      </c>
      <c r="S104" s="17" t="str">
        <f t="shared" si="4"/>
        <v>O</v>
      </c>
      <c r="T104" s="17" t="str">
        <f t="shared" si="5"/>
        <v>100만원 미만</v>
      </c>
      <c r="U104" s="7">
        <f>IF($C104="",0,IF('설정'!$B$3=0,0,CHOOSE('설정'!$B$3,COUNTIFS('RAW_농산물_7월'!$D:$D,$C104,'RAW_농산물_7월'!$A:$A,$E104),COUNTIFS('RAW_농산물_8월'!$D:$D,$C104,'RAW_농산물_8월'!$A:$A,$E104),COUNTIFS('RAW_농산물_9월'!$D:$D,$C104,'RAW_농산물_9월'!$A:$A,$E104),COUNTIFS('RAW_농산물_10월'!$D:$D,$C104,'RAW_농산물_10월'!$A:$A,$E104),COUNTIFS('RAW_농산물_11-12월'!$D:$D,$C104,'RAW_농산물_11-12월'!$A:$A,$E104))))</f>
        <v>2</v>
      </c>
    </row>
    <row r="105" ht="15.75" customHeight="1">
      <c r="A105" s="5">
        <v>103.0</v>
      </c>
      <c r="B105" s="5" t="s">
        <v>145</v>
      </c>
      <c r="C105" s="5" t="s">
        <v>2937</v>
      </c>
      <c r="D105" s="6" t="s">
        <v>2938</v>
      </c>
      <c r="E105" s="5" t="s">
        <v>92</v>
      </c>
      <c r="F105" s="7">
        <f>IF($C105="","",IF('설정'!$B$3=0,"",CHOOSE('설정'!$B$3,SUMIFS('RAW_농산물_7월'!$F:$F,'RAW_농산물_7월'!$D:$D,$C105,'RAW_농산물_7월'!$A:$A,$E105),SUMIFS('RAW_농산물_8월'!$F:$F,'RAW_농산물_8월'!$D:$D,$C105,'RAW_농산물_8월'!$A:$A,$E105),SUMIFS('RAW_농산물_9월'!$F:$F,'RAW_농산물_9월'!$D:$D,$C105,'RAW_농산물_9월'!$A:$A,$E105),SUMIFS('RAW_농산물_10월'!$F:$F,'RAW_농산물_10월'!$D:$D,$C105,'RAW_농산물_10월'!$A:$A,$E105),SUMIFS('RAW_농산물_11-12월'!$F:$F,'RAW_농산물_11-12월'!$D:$D,$C105,'RAW_농산물_11-12월'!$A:$A,$E105))))</f>
        <v>0</v>
      </c>
      <c r="G105" s="7">
        <f>IF($C105="","",IF('설정'!$B$3=0,"",CHOOSE('설정'!$B$3,SUMIFS('RAW_농산물_7월'!$G:$G,'RAW_농산물_7월'!$D:$D,$C105,'RAW_농산물_7월'!$A:$A,$E105),SUMIFS('RAW_농산물_8월'!$G:$G,'RAW_농산물_8월'!$D:$D,$C105,'RAW_농산물_8월'!$A:$A,$E105),SUMIFS('RAW_농산물_9월'!$G:$G,'RAW_농산물_9월'!$D:$D,$C105,'RAW_농산물_9월'!$A:$A,$E105),SUMIFS('RAW_농산물_10월'!$G:$G,'RAW_농산물_10월'!$D:$D,$C105,'RAW_농산물_10월'!$A:$A,$E105),SUMIFS('RAW_농산물_11-12월'!$G:$G,'RAW_농산물_11-12월'!$D:$D,$C105,'RAW_농산물_11-12월'!$A:$A,$E105))))</f>
        <v>0</v>
      </c>
      <c r="H105" s="14">
        <f>IF($C105="","",IF('설정'!$B$3=0,"",CHOOSE('설정'!$B$3,SUMIFS('RAW_농산물_7월'!$H:$H,'RAW_농산물_7월'!$D:$D,$C105,'RAW_농산물_7월'!$A:$A,$E105),SUMIFS('RAW_농산물_8월'!$H:$H,'RAW_농산물_8월'!$D:$D,$C105,'RAW_농산물_8월'!$A:$A,$E105),SUMIFS('RAW_농산물_9월'!$H:$H,'RAW_농산물_9월'!$D:$D,$C105,'RAW_농산물_9월'!$A:$A,$E105),SUMIFS('RAW_농산물_10월'!$H:$H,'RAW_농산물_10월'!$D:$D,$C105,'RAW_농산물_10월'!$A:$A,$E105),SUMIFS('RAW_농산물_11-12월'!$H:$H,'RAW_농산물_11-12월'!$D:$D,$C105,'RAW_농산물_11-12월'!$A:$A,$E105))))</f>
        <v>0</v>
      </c>
      <c r="I105" s="17" t="str">
        <f>IF($C105="","",IF(COUNTIFS('RAW_농산물_7월'!$D:$D,$C105,'RAW_농산물_7월'!$A:$A,$E105)&gt;0,"O",""))</f>
        <v/>
      </c>
      <c r="J105" s="17" t="str">
        <f>IF($C105="","",IF(COUNTIFS('RAW_농산물_8월'!$D:$D,$C105,'RAW_농산물_8월'!$A:$A,$E105)&gt;0,"O",""))</f>
        <v/>
      </c>
      <c r="K105" s="17" t="str">
        <f>IF($C105="","",IF(COUNTIFS('RAW_농산물_9월'!$D:$D,$C105,'RAW_농산물_9월'!$A:$A,$E105)&gt;0,"O",""))</f>
        <v/>
      </c>
      <c r="L105" s="17" t="str">
        <f>IF($C105="","",IF(COUNTIFS('RAW_농산물_10월'!$D:$D,$C105,'RAW_농산물_10월'!$A:$A,$E105)&gt;0,"O",""))</f>
        <v/>
      </c>
      <c r="M105" s="17" t="str">
        <f>IF($C105="","",IF(COUNTIFS('RAW_농산물_11-12월'!$D:$D,$C105,'RAW_농산물_11-12월'!$A:$A,$E105)&gt;0,"O",""))</f>
        <v/>
      </c>
      <c r="N105" s="7">
        <f>IF($C105="","",IF(COUNTA('RAW_농산물_7월'!$A:$A)&lt;=1,"",SUMIFS('RAW_농산물_7월'!$H:$H,'RAW_농산물_7월'!$D:$D,$C105,'RAW_농산물_7월'!$A:$A,$E105)))</f>
        <v>0</v>
      </c>
      <c r="O105" s="7">
        <f>IF($C105="","",IF(COUNTA('RAW_농산물_8월'!$A:$A)&lt;=1,"",SUMIFS('RAW_농산물_8월'!$H:$H,'RAW_농산물_8월'!$D:$D,$C105,'RAW_농산물_8월'!$A:$A,$E105)-SUMIFS('RAW_농산물_7월'!$H:$H,'RAW_농산물_7월'!$D:$D,$C105,'RAW_농산물_7월'!$A:$A,$E105)))</f>
        <v>0</v>
      </c>
      <c r="P105" s="7" t="str">
        <f>IF($C105="","",IF(COUNTA('RAW_농산물_9월'!$A:$A)&lt;=1,"",SUMIFS('RAW_농산물_9월'!$H:$H,'RAW_농산물_9월'!$D:$D,$C105,'RAW_농산물_9월'!$A:$A,$E105)-SUMIFS('RAW_농산물_8월'!$H:$H,'RAW_농산물_8월'!$D:$D,$C105,'RAW_농산물_8월'!$A:$A,$E105)))</f>
        <v/>
      </c>
      <c r="Q105" s="7" t="str">
        <f>IF($C105="","",IF(COUNTA('RAW_농산물_10월'!$A:$A)&lt;=1,"",SUMIFS('RAW_농산물_10월'!$H:$H,'RAW_농산물_10월'!$D:$D,$C105,'RAW_농산물_10월'!$A:$A,$E105)-SUMIFS('RAW_농산물_9월'!$H:$H,'RAW_농산물_9월'!$D:$D,$C105,'RAW_농산물_9월'!$A:$A,$E105)))</f>
        <v/>
      </c>
      <c r="R105" s="7" t="str">
        <f>IF($C105="","",IF(COUNTA('RAW_농산물_11-12월'!$A:$A)&lt;=1,"",SUMIFS('RAW_농산물_11-12월'!$H:$H,'RAW_농산물_11-12월'!$D:$D,$C105,'RAW_농산물_11-12월'!$A:$A,$E105)-SUMIFS('RAW_농산물_10월'!$H:$H,'RAW_농산물_10월'!$D:$D,$C105,'RAW_농산물_10월'!$A:$A,$E105)))</f>
        <v/>
      </c>
      <c r="S105" s="17" t="str">
        <f t="shared" si="4"/>
        <v/>
      </c>
      <c r="T105" s="17" t="str">
        <f t="shared" si="5"/>
        <v>미사용</v>
      </c>
      <c r="U105" s="7">
        <f>IF($C105="",0,IF('설정'!$B$3=0,0,CHOOSE('설정'!$B$3,COUNTIFS('RAW_농산물_7월'!$D:$D,$C105,'RAW_농산물_7월'!$A:$A,$E105),COUNTIFS('RAW_농산물_8월'!$D:$D,$C105,'RAW_농산물_8월'!$A:$A,$E105),COUNTIFS('RAW_농산물_9월'!$D:$D,$C105,'RAW_농산물_9월'!$A:$A,$E105),COUNTIFS('RAW_농산물_10월'!$D:$D,$C105,'RAW_농산물_10월'!$A:$A,$E105),COUNTIFS('RAW_농산물_11-12월'!$D:$D,$C105,'RAW_농산물_11-12월'!$A:$A,$E105))))</f>
        <v>0</v>
      </c>
    </row>
    <row r="106" ht="15.75" customHeight="1">
      <c r="A106" s="5">
        <v>104.0</v>
      </c>
      <c r="B106" s="5" t="s">
        <v>25</v>
      </c>
      <c r="C106" s="5" t="s">
        <v>1521</v>
      </c>
      <c r="D106" s="6" t="s">
        <v>1520</v>
      </c>
      <c r="E106" s="5" t="s">
        <v>93</v>
      </c>
      <c r="F106" s="7">
        <f>IF($C106="","",IF('설정'!$B$3=0,"",CHOOSE('설정'!$B$3,SUMIFS('RAW_농산물_7월'!$F:$F,'RAW_농산물_7월'!$D:$D,$C106,'RAW_농산물_7월'!$A:$A,$E106),SUMIFS('RAW_농산물_8월'!$F:$F,'RAW_농산물_8월'!$D:$D,$C106,'RAW_농산물_8월'!$A:$A,$E106),SUMIFS('RAW_농산물_9월'!$F:$F,'RAW_농산물_9월'!$D:$D,$C106,'RAW_농산물_9월'!$A:$A,$E106),SUMIFS('RAW_농산물_10월'!$F:$F,'RAW_농산물_10월'!$D:$D,$C106,'RAW_농산물_10월'!$A:$A,$E106),SUMIFS('RAW_농산물_11-12월'!$F:$F,'RAW_농산물_11-12월'!$D:$D,$C106,'RAW_농산물_11-12월'!$A:$A,$E106))))</f>
        <v>324</v>
      </c>
      <c r="G106" s="7">
        <f>IF($C106="","",IF('설정'!$B$3=0,"",CHOOSE('설정'!$B$3,SUMIFS('RAW_농산물_7월'!$G:$G,'RAW_농산물_7월'!$D:$D,$C106,'RAW_농산물_7월'!$A:$A,$E106),SUMIFS('RAW_농산물_8월'!$G:$G,'RAW_농산물_8월'!$D:$D,$C106,'RAW_농산물_8월'!$A:$A,$E106),SUMIFS('RAW_농산물_9월'!$G:$G,'RAW_농산물_9월'!$D:$D,$C106,'RAW_농산물_9월'!$A:$A,$E106),SUMIFS('RAW_농산물_10월'!$G:$G,'RAW_농산물_10월'!$D:$D,$C106,'RAW_농산물_10월'!$A:$A,$E106),SUMIFS('RAW_농산물_11-12월'!$G:$G,'RAW_농산물_11-12월'!$D:$D,$C106,'RAW_농산물_11-12월'!$A:$A,$E106))))</f>
        <v>6087100</v>
      </c>
      <c r="H106" s="14">
        <f>IF($C106="","",IF('설정'!$B$3=0,"",CHOOSE('설정'!$B$3,SUMIFS('RAW_농산물_7월'!$H:$H,'RAW_농산물_7월'!$D:$D,$C106,'RAW_농산물_7월'!$A:$A,$E106),SUMIFS('RAW_농산물_8월'!$H:$H,'RAW_농산물_8월'!$D:$D,$C106,'RAW_농산물_8월'!$A:$A,$E106),SUMIFS('RAW_농산물_9월'!$H:$H,'RAW_농산물_9월'!$D:$D,$C106,'RAW_농산물_9월'!$A:$A,$E106),SUMIFS('RAW_농산물_10월'!$H:$H,'RAW_농산물_10월'!$D:$D,$C106,'RAW_농산물_10월'!$A:$A,$E106),SUMIFS('RAW_농산물_11-12월'!$H:$H,'RAW_농산물_11-12월'!$D:$D,$C106,'RAW_농산물_11-12월'!$A:$A,$E106))))</f>
        <v>476820</v>
      </c>
      <c r="I106" s="17" t="str">
        <f>IF($C106="","",IF(COUNTIFS('RAW_농산물_7월'!$D:$D,$C106,'RAW_농산물_7월'!$A:$A,$E106)&gt;0,"O",""))</f>
        <v>O</v>
      </c>
      <c r="J106" s="17" t="str">
        <f>IF($C106="","",IF(COUNTIFS('RAW_농산물_8월'!$D:$D,$C106,'RAW_농산물_8월'!$A:$A,$E106)&gt;0,"O",""))</f>
        <v>O</v>
      </c>
      <c r="K106" s="17" t="str">
        <f>IF($C106="","",IF(COUNTIFS('RAW_농산물_9월'!$D:$D,$C106,'RAW_농산물_9월'!$A:$A,$E106)&gt;0,"O",""))</f>
        <v/>
      </c>
      <c r="L106" s="17" t="str">
        <f>IF($C106="","",IF(COUNTIFS('RAW_농산물_10월'!$D:$D,$C106,'RAW_농산물_10월'!$A:$A,$E106)&gt;0,"O",""))</f>
        <v/>
      </c>
      <c r="M106" s="17" t="str">
        <f>IF($C106="","",IF(COUNTIFS('RAW_농산물_11-12월'!$D:$D,$C106,'RAW_농산물_11-12월'!$A:$A,$E106)&gt;0,"O",""))</f>
        <v/>
      </c>
      <c r="N106" s="7">
        <f>IF($C106="","",IF(COUNTA('RAW_농산물_7월'!$A:$A)&lt;=1,"",SUMIFS('RAW_농산물_7월'!$H:$H,'RAW_농산물_7월'!$D:$D,$C106,'RAW_농산물_7월'!$A:$A,$E106)))</f>
        <v>0</v>
      </c>
      <c r="O106" s="7">
        <f>IF($C106="","",IF(COUNTA('RAW_농산물_8월'!$A:$A)&lt;=1,"",SUMIFS('RAW_농산물_8월'!$H:$H,'RAW_농산물_8월'!$D:$D,$C106,'RAW_농산물_8월'!$A:$A,$E106)-SUMIFS('RAW_농산물_7월'!$H:$H,'RAW_농산물_7월'!$D:$D,$C106,'RAW_농산물_7월'!$A:$A,$E106)))</f>
        <v>476820</v>
      </c>
      <c r="P106" s="7" t="str">
        <f>IF($C106="","",IF(COUNTA('RAW_농산물_9월'!$A:$A)&lt;=1,"",SUMIFS('RAW_농산물_9월'!$H:$H,'RAW_농산물_9월'!$D:$D,$C106,'RAW_농산물_9월'!$A:$A,$E106)-SUMIFS('RAW_농산물_8월'!$H:$H,'RAW_농산물_8월'!$D:$D,$C106,'RAW_농산물_8월'!$A:$A,$E106)))</f>
        <v/>
      </c>
      <c r="Q106" s="7" t="str">
        <f>IF($C106="","",IF(COUNTA('RAW_농산물_10월'!$A:$A)&lt;=1,"",SUMIFS('RAW_농산물_10월'!$H:$H,'RAW_농산물_10월'!$D:$D,$C106,'RAW_농산물_10월'!$A:$A,$E106)-SUMIFS('RAW_농산물_9월'!$H:$H,'RAW_농산물_9월'!$D:$D,$C106,'RAW_농산물_9월'!$A:$A,$E106)))</f>
        <v/>
      </c>
      <c r="R106" s="7" t="str">
        <f>IF($C106="","",IF(COUNTA('RAW_농산물_11-12월'!$A:$A)&lt;=1,"",SUMIFS('RAW_농산물_11-12월'!$H:$H,'RAW_농산물_11-12월'!$D:$D,$C106,'RAW_농산물_11-12월'!$A:$A,$E106)-SUMIFS('RAW_농산물_10월'!$H:$H,'RAW_농산물_10월'!$D:$D,$C106,'RAW_농산물_10월'!$A:$A,$E106)))</f>
        <v/>
      </c>
      <c r="S106" s="17" t="str">
        <f t="shared" si="4"/>
        <v>O</v>
      </c>
      <c r="T106" s="17" t="str">
        <f t="shared" si="5"/>
        <v>50만원 미만</v>
      </c>
      <c r="U106" s="7">
        <f>IF($C106="",0,IF('설정'!$B$3=0,0,CHOOSE('설정'!$B$3,COUNTIFS('RAW_농산물_7월'!$D:$D,$C106,'RAW_농산물_7월'!$A:$A,$E106),COUNTIFS('RAW_농산물_8월'!$D:$D,$C106,'RAW_농산물_8월'!$A:$A,$E106),COUNTIFS('RAW_농산물_9월'!$D:$D,$C106,'RAW_농산물_9월'!$A:$A,$E106),COUNTIFS('RAW_농산물_10월'!$D:$D,$C106,'RAW_농산물_10월'!$A:$A,$E106),COUNTIFS('RAW_농산물_11-12월'!$D:$D,$C106,'RAW_농산물_11-12월'!$A:$A,$E106))))</f>
        <v>2</v>
      </c>
    </row>
    <row r="107" ht="15.75" customHeight="1">
      <c r="A107" s="5">
        <v>105.0</v>
      </c>
      <c r="B107" s="5" t="s">
        <v>145</v>
      </c>
      <c r="C107" s="5" t="s">
        <v>2939</v>
      </c>
      <c r="D107" s="6" t="s">
        <v>2940</v>
      </c>
      <c r="E107" s="5" t="s">
        <v>93</v>
      </c>
      <c r="F107" s="7">
        <f>IF($C107="","",IF('설정'!$B$3=0,"",CHOOSE('설정'!$B$3,SUMIFS('RAW_농산물_7월'!$F:$F,'RAW_농산물_7월'!$D:$D,$C107,'RAW_농산물_7월'!$A:$A,$E107),SUMIFS('RAW_농산물_8월'!$F:$F,'RAW_농산물_8월'!$D:$D,$C107,'RAW_농산물_8월'!$A:$A,$E107),SUMIFS('RAW_농산물_9월'!$F:$F,'RAW_농산물_9월'!$D:$D,$C107,'RAW_농산물_9월'!$A:$A,$E107),SUMIFS('RAW_농산물_10월'!$F:$F,'RAW_농산물_10월'!$D:$D,$C107,'RAW_농산물_10월'!$A:$A,$E107),SUMIFS('RAW_농산물_11-12월'!$F:$F,'RAW_농산물_11-12월'!$D:$D,$C107,'RAW_농산물_11-12월'!$A:$A,$E107))))</f>
        <v>0</v>
      </c>
      <c r="G107" s="7">
        <f>IF($C107="","",IF('설정'!$B$3=0,"",CHOOSE('설정'!$B$3,SUMIFS('RAW_농산물_7월'!$G:$G,'RAW_농산물_7월'!$D:$D,$C107,'RAW_농산물_7월'!$A:$A,$E107),SUMIFS('RAW_농산물_8월'!$G:$G,'RAW_농산물_8월'!$D:$D,$C107,'RAW_농산물_8월'!$A:$A,$E107),SUMIFS('RAW_농산물_9월'!$G:$G,'RAW_농산물_9월'!$D:$D,$C107,'RAW_농산물_9월'!$A:$A,$E107),SUMIFS('RAW_농산물_10월'!$G:$G,'RAW_농산물_10월'!$D:$D,$C107,'RAW_농산물_10월'!$A:$A,$E107),SUMIFS('RAW_농산물_11-12월'!$G:$G,'RAW_농산물_11-12월'!$D:$D,$C107,'RAW_농산물_11-12월'!$A:$A,$E107))))</f>
        <v>0</v>
      </c>
      <c r="H107" s="14">
        <f>IF($C107="","",IF('설정'!$B$3=0,"",CHOOSE('설정'!$B$3,SUMIFS('RAW_농산물_7월'!$H:$H,'RAW_농산물_7월'!$D:$D,$C107,'RAW_농산물_7월'!$A:$A,$E107),SUMIFS('RAW_농산물_8월'!$H:$H,'RAW_농산물_8월'!$D:$D,$C107,'RAW_농산물_8월'!$A:$A,$E107),SUMIFS('RAW_농산물_9월'!$H:$H,'RAW_농산물_9월'!$D:$D,$C107,'RAW_농산물_9월'!$A:$A,$E107),SUMIFS('RAW_농산물_10월'!$H:$H,'RAW_농산물_10월'!$D:$D,$C107,'RAW_농산물_10월'!$A:$A,$E107),SUMIFS('RAW_농산물_11-12월'!$H:$H,'RAW_농산물_11-12월'!$D:$D,$C107,'RAW_농산물_11-12월'!$A:$A,$E107))))</f>
        <v>0</v>
      </c>
      <c r="I107" s="17" t="str">
        <f>IF($C107="","",IF(COUNTIFS('RAW_농산물_7월'!$D:$D,$C107,'RAW_농산물_7월'!$A:$A,$E107)&gt;0,"O",""))</f>
        <v/>
      </c>
      <c r="J107" s="17" t="str">
        <f>IF($C107="","",IF(COUNTIFS('RAW_농산물_8월'!$D:$D,$C107,'RAW_농산물_8월'!$A:$A,$E107)&gt;0,"O",""))</f>
        <v/>
      </c>
      <c r="K107" s="17" t="str">
        <f>IF($C107="","",IF(COUNTIFS('RAW_농산물_9월'!$D:$D,$C107,'RAW_농산물_9월'!$A:$A,$E107)&gt;0,"O",""))</f>
        <v/>
      </c>
      <c r="L107" s="17" t="str">
        <f>IF($C107="","",IF(COUNTIFS('RAW_농산물_10월'!$D:$D,$C107,'RAW_농산물_10월'!$A:$A,$E107)&gt;0,"O",""))</f>
        <v/>
      </c>
      <c r="M107" s="17" t="str">
        <f>IF($C107="","",IF(COUNTIFS('RAW_농산물_11-12월'!$D:$D,$C107,'RAW_농산물_11-12월'!$A:$A,$E107)&gt;0,"O",""))</f>
        <v/>
      </c>
      <c r="N107" s="7">
        <f>IF($C107="","",IF(COUNTA('RAW_농산물_7월'!$A:$A)&lt;=1,"",SUMIFS('RAW_농산물_7월'!$H:$H,'RAW_농산물_7월'!$D:$D,$C107,'RAW_농산물_7월'!$A:$A,$E107)))</f>
        <v>0</v>
      </c>
      <c r="O107" s="7">
        <f>IF($C107="","",IF(COUNTA('RAW_농산물_8월'!$A:$A)&lt;=1,"",SUMIFS('RAW_농산물_8월'!$H:$H,'RAW_농산물_8월'!$D:$D,$C107,'RAW_농산물_8월'!$A:$A,$E107)-SUMIFS('RAW_농산물_7월'!$H:$H,'RAW_농산물_7월'!$D:$D,$C107,'RAW_농산물_7월'!$A:$A,$E107)))</f>
        <v>0</v>
      </c>
      <c r="P107" s="7" t="str">
        <f>IF($C107="","",IF(COUNTA('RAW_농산물_9월'!$A:$A)&lt;=1,"",SUMIFS('RAW_농산물_9월'!$H:$H,'RAW_농산물_9월'!$D:$D,$C107,'RAW_농산물_9월'!$A:$A,$E107)-SUMIFS('RAW_농산물_8월'!$H:$H,'RAW_농산물_8월'!$D:$D,$C107,'RAW_농산물_8월'!$A:$A,$E107)))</f>
        <v/>
      </c>
      <c r="Q107" s="7" t="str">
        <f>IF($C107="","",IF(COUNTA('RAW_농산물_10월'!$A:$A)&lt;=1,"",SUMIFS('RAW_농산물_10월'!$H:$H,'RAW_농산물_10월'!$D:$D,$C107,'RAW_농산물_10월'!$A:$A,$E107)-SUMIFS('RAW_농산물_9월'!$H:$H,'RAW_농산물_9월'!$D:$D,$C107,'RAW_농산물_9월'!$A:$A,$E107)))</f>
        <v/>
      </c>
      <c r="R107" s="7" t="str">
        <f>IF($C107="","",IF(COUNTA('RAW_농산물_11-12월'!$A:$A)&lt;=1,"",SUMIFS('RAW_농산물_11-12월'!$H:$H,'RAW_농산물_11-12월'!$D:$D,$C107,'RAW_농산물_11-12월'!$A:$A,$E107)-SUMIFS('RAW_농산물_10월'!$H:$H,'RAW_농산물_10월'!$D:$D,$C107,'RAW_농산물_10월'!$A:$A,$E107)))</f>
        <v/>
      </c>
      <c r="S107" s="17" t="str">
        <f t="shared" si="4"/>
        <v/>
      </c>
      <c r="T107" s="17" t="str">
        <f t="shared" si="5"/>
        <v>미사용</v>
      </c>
      <c r="U107" s="7">
        <f>IF($C107="",0,IF('설정'!$B$3=0,0,CHOOSE('설정'!$B$3,COUNTIFS('RAW_농산물_7월'!$D:$D,$C107,'RAW_농산물_7월'!$A:$A,$E107),COUNTIFS('RAW_농산물_8월'!$D:$D,$C107,'RAW_농산물_8월'!$A:$A,$E107),COUNTIFS('RAW_농산물_9월'!$D:$D,$C107,'RAW_농산물_9월'!$A:$A,$E107),COUNTIFS('RAW_농산물_10월'!$D:$D,$C107,'RAW_농산물_10월'!$A:$A,$E107),COUNTIFS('RAW_농산물_11-12월'!$D:$D,$C107,'RAW_농산물_11-12월'!$A:$A,$E107))))</f>
        <v>0</v>
      </c>
    </row>
    <row r="108" ht="15.75" customHeight="1">
      <c r="A108" s="5">
        <v>106.0</v>
      </c>
      <c r="B108" s="5" t="s">
        <v>25</v>
      </c>
      <c r="C108" s="5" t="s">
        <v>2941</v>
      </c>
      <c r="D108" s="6" t="s">
        <v>2942</v>
      </c>
      <c r="E108" s="5" t="s">
        <v>93</v>
      </c>
      <c r="F108" s="7">
        <f>IF($C108="","",IF('설정'!$B$3=0,"",CHOOSE('설정'!$B$3,SUMIFS('RAW_농산물_7월'!$F:$F,'RAW_농산물_7월'!$D:$D,$C108,'RAW_농산물_7월'!$A:$A,$E108),SUMIFS('RAW_농산물_8월'!$F:$F,'RAW_농산물_8월'!$D:$D,$C108,'RAW_농산물_8월'!$A:$A,$E108),SUMIFS('RAW_농산물_9월'!$F:$F,'RAW_농산물_9월'!$D:$D,$C108,'RAW_농산물_9월'!$A:$A,$E108),SUMIFS('RAW_농산물_10월'!$F:$F,'RAW_농산물_10월'!$D:$D,$C108,'RAW_농산물_10월'!$A:$A,$E108),SUMIFS('RAW_농산물_11-12월'!$F:$F,'RAW_농산물_11-12월'!$D:$D,$C108,'RAW_농산물_11-12월'!$A:$A,$E108))))</f>
        <v>0</v>
      </c>
      <c r="G108" s="7">
        <f>IF($C108="","",IF('설정'!$B$3=0,"",CHOOSE('설정'!$B$3,SUMIFS('RAW_농산물_7월'!$G:$G,'RAW_농산물_7월'!$D:$D,$C108,'RAW_농산물_7월'!$A:$A,$E108),SUMIFS('RAW_농산물_8월'!$G:$G,'RAW_농산물_8월'!$D:$D,$C108,'RAW_농산물_8월'!$A:$A,$E108),SUMIFS('RAW_농산물_9월'!$G:$G,'RAW_농산물_9월'!$D:$D,$C108,'RAW_농산물_9월'!$A:$A,$E108),SUMIFS('RAW_농산물_10월'!$G:$G,'RAW_농산물_10월'!$D:$D,$C108,'RAW_농산물_10월'!$A:$A,$E108),SUMIFS('RAW_농산물_11-12월'!$G:$G,'RAW_농산물_11-12월'!$D:$D,$C108,'RAW_농산물_11-12월'!$A:$A,$E108))))</f>
        <v>0</v>
      </c>
      <c r="H108" s="14">
        <f>IF($C108="","",IF('설정'!$B$3=0,"",CHOOSE('설정'!$B$3,SUMIFS('RAW_농산물_7월'!$H:$H,'RAW_농산물_7월'!$D:$D,$C108,'RAW_농산물_7월'!$A:$A,$E108),SUMIFS('RAW_농산물_8월'!$H:$H,'RAW_농산물_8월'!$D:$D,$C108,'RAW_농산물_8월'!$A:$A,$E108),SUMIFS('RAW_농산물_9월'!$H:$H,'RAW_농산물_9월'!$D:$D,$C108,'RAW_농산물_9월'!$A:$A,$E108),SUMIFS('RAW_농산물_10월'!$H:$H,'RAW_농산물_10월'!$D:$D,$C108,'RAW_농산물_10월'!$A:$A,$E108),SUMIFS('RAW_농산물_11-12월'!$H:$H,'RAW_농산물_11-12월'!$D:$D,$C108,'RAW_농산물_11-12월'!$A:$A,$E108))))</f>
        <v>0</v>
      </c>
      <c r="I108" s="17" t="str">
        <f>IF($C108="","",IF(COUNTIFS('RAW_농산물_7월'!$D:$D,$C108,'RAW_농산물_7월'!$A:$A,$E108)&gt;0,"O",""))</f>
        <v/>
      </c>
      <c r="J108" s="17" t="str">
        <f>IF($C108="","",IF(COUNTIFS('RAW_농산물_8월'!$D:$D,$C108,'RAW_농산물_8월'!$A:$A,$E108)&gt;0,"O",""))</f>
        <v/>
      </c>
      <c r="K108" s="17" t="str">
        <f>IF($C108="","",IF(COUNTIFS('RAW_농산물_9월'!$D:$D,$C108,'RAW_농산물_9월'!$A:$A,$E108)&gt;0,"O",""))</f>
        <v/>
      </c>
      <c r="L108" s="17" t="str">
        <f>IF($C108="","",IF(COUNTIFS('RAW_농산물_10월'!$D:$D,$C108,'RAW_농산물_10월'!$A:$A,$E108)&gt;0,"O",""))</f>
        <v/>
      </c>
      <c r="M108" s="17" t="str">
        <f>IF($C108="","",IF(COUNTIFS('RAW_농산물_11-12월'!$D:$D,$C108,'RAW_농산물_11-12월'!$A:$A,$E108)&gt;0,"O",""))</f>
        <v/>
      </c>
      <c r="N108" s="7">
        <f>IF($C108="","",IF(COUNTA('RAW_농산물_7월'!$A:$A)&lt;=1,"",SUMIFS('RAW_농산물_7월'!$H:$H,'RAW_농산물_7월'!$D:$D,$C108,'RAW_농산물_7월'!$A:$A,$E108)))</f>
        <v>0</v>
      </c>
      <c r="O108" s="7">
        <f>IF($C108="","",IF(COUNTA('RAW_농산물_8월'!$A:$A)&lt;=1,"",SUMIFS('RAW_농산물_8월'!$H:$H,'RAW_농산물_8월'!$D:$D,$C108,'RAW_농산물_8월'!$A:$A,$E108)-SUMIFS('RAW_농산물_7월'!$H:$H,'RAW_농산물_7월'!$D:$D,$C108,'RAW_농산물_7월'!$A:$A,$E108)))</f>
        <v>0</v>
      </c>
      <c r="P108" s="7" t="str">
        <f>IF($C108="","",IF(COUNTA('RAW_농산물_9월'!$A:$A)&lt;=1,"",SUMIFS('RAW_농산물_9월'!$H:$H,'RAW_농산물_9월'!$D:$D,$C108,'RAW_농산물_9월'!$A:$A,$E108)-SUMIFS('RAW_농산물_8월'!$H:$H,'RAW_농산물_8월'!$D:$D,$C108,'RAW_농산물_8월'!$A:$A,$E108)))</f>
        <v/>
      </c>
      <c r="Q108" s="7" t="str">
        <f>IF($C108="","",IF(COUNTA('RAW_농산물_10월'!$A:$A)&lt;=1,"",SUMIFS('RAW_농산물_10월'!$H:$H,'RAW_농산물_10월'!$D:$D,$C108,'RAW_농산물_10월'!$A:$A,$E108)-SUMIFS('RAW_농산물_9월'!$H:$H,'RAW_농산물_9월'!$D:$D,$C108,'RAW_농산물_9월'!$A:$A,$E108)))</f>
        <v/>
      </c>
      <c r="R108" s="7" t="str">
        <f>IF($C108="","",IF(COUNTA('RAW_농산물_11-12월'!$A:$A)&lt;=1,"",SUMIFS('RAW_농산물_11-12월'!$H:$H,'RAW_농산물_11-12월'!$D:$D,$C108,'RAW_농산물_11-12월'!$A:$A,$E108)-SUMIFS('RAW_농산물_10월'!$H:$H,'RAW_농산물_10월'!$D:$D,$C108,'RAW_농산물_10월'!$A:$A,$E108)))</f>
        <v/>
      </c>
      <c r="S108" s="17" t="str">
        <f t="shared" si="4"/>
        <v/>
      </c>
      <c r="T108" s="17" t="str">
        <f t="shared" si="5"/>
        <v>미사용</v>
      </c>
      <c r="U108" s="7">
        <f>IF($C108="",0,IF('설정'!$B$3=0,0,CHOOSE('설정'!$B$3,COUNTIFS('RAW_농산물_7월'!$D:$D,$C108,'RAW_농산물_7월'!$A:$A,$E108),COUNTIFS('RAW_농산물_8월'!$D:$D,$C108,'RAW_농산물_8월'!$A:$A,$E108),COUNTIFS('RAW_농산물_9월'!$D:$D,$C108,'RAW_농산물_9월'!$A:$A,$E108),COUNTIFS('RAW_농산물_10월'!$D:$D,$C108,'RAW_농산물_10월'!$A:$A,$E108),COUNTIFS('RAW_농산물_11-12월'!$D:$D,$C108,'RAW_농산물_11-12월'!$A:$A,$E108))))</f>
        <v>0</v>
      </c>
    </row>
    <row r="109" ht="15.75" customHeight="1">
      <c r="A109" s="5">
        <v>107.0</v>
      </c>
      <c r="B109" s="5" t="s">
        <v>108</v>
      </c>
      <c r="C109" s="5" t="s">
        <v>2943</v>
      </c>
      <c r="D109" s="6" t="s">
        <v>2944</v>
      </c>
      <c r="E109" s="5" t="s">
        <v>92</v>
      </c>
      <c r="F109" s="7">
        <f>IF($C109="","",IF('설정'!$B$3=0,"",CHOOSE('설정'!$B$3,SUMIFS('RAW_농산물_7월'!$F:$F,'RAW_농산물_7월'!$D:$D,$C109,'RAW_농산물_7월'!$A:$A,$E109),SUMIFS('RAW_농산물_8월'!$F:$F,'RAW_농산물_8월'!$D:$D,$C109,'RAW_농산물_8월'!$A:$A,$E109),SUMIFS('RAW_농산물_9월'!$F:$F,'RAW_농산물_9월'!$D:$D,$C109,'RAW_농산물_9월'!$A:$A,$E109),SUMIFS('RAW_농산물_10월'!$F:$F,'RAW_농산물_10월'!$D:$D,$C109,'RAW_농산물_10월'!$A:$A,$E109),SUMIFS('RAW_농산물_11-12월'!$F:$F,'RAW_농산물_11-12월'!$D:$D,$C109,'RAW_농산물_11-12월'!$A:$A,$E109))))</f>
        <v>0</v>
      </c>
      <c r="G109" s="7">
        <f>IF($C109="","",IF('설정'!$B$3=0,"",CHOOSE('설정'!$B$3,SUMIFS('RAW_농산물_7월'!$G:$G,'RAW_농산물_7월'!$D:$D,$C109,'RAW_농산물_7월'!$A:$A,$E109),SUMIFS('RAW_농산물_8월'!$G:$G,'RAW_농산물_8월'!$D:$D,$C109,'RAW_농산물_8월'!$A:$A,$E109),SUMIFS('RAW_농산물_9월'!$G:$G,'RAW_농산물_9월'!$D:$D,$C109,'RAW_농산물_9월'!$A:$A,$E109),SUMIFS('RAW_농산물_10월'!$G:$G,'RAW_농산물_10월'!$D:$D,$C109,'RAW_농산물_10월'!$A:$A,$E109),SUMIFS('RAW_농산물_11-12월'!$G:$G,'RAW_농산물_11-12월'!$D:$D,$C109,'RAW_농산물_11-12월'!$A:$A,$E109))))</f>
        <v>0</v>
      </c>
      <c r="H109" s="14">
        <f>IF($C109="","",IF('설정'!$B$3=0,"",CHOOSE('설정'!$B$3,SUMIFS('RAW_농산물_7월'!$H:$H,'RAW_농산물_7월'!$D:$D,$C109,'RAW_농산물_7월'!$A:$A,$E109),SUMIFS('RAW_농산물_8월'!$H:$H,'RAW_농산물_8월'!$D:$D,$C109,'RAW_농산물_8월'!$A:$A,$E109),SUMIFS('RAW_농산물_9월'!$H:$H,'RAW_농산물_9월'!$D:$D,$C109,'RAW_농산물_9월'!$A:$A,$E109),SUMIFS('RAW_농산물_10월'!$H:$H,'RAW_농산물_10월'!$D:$D,$C109,'RAW_농산물_10월'!$A:$A,$E109),SUMIFS('RAW_농산물_11-12월'!$H:$H,'RAW_농산물_11-12월'!$D:$D,$C109,'RAW_농산물_11-12월'!$A:$A,$E109))))</f>
        <v>0</v>
      </c>
      <c r="I109" s="17" t="str">
        <f>IF($C109="","",IF(COUNTIFS('RAW_농산물_7월'!$D:$D,$C109,'RAW_농산물_7월'!$A:$A,$E109)&gt;0,"O",""))</f>
        <v/>
      </c>
      <c r="J109" s="17" t="str">
        <f>IF($C109="","",IF(COUNTIFS('RAW_농산물_8월'!$D:$D,$C109,'RAW_농산물_8월'!$A:$A,$E109)&gt;0,"O",""))</f>
        <v/>
      </c>
      <c r="K109" s="17" t="str">
        <f>IF($C109="","",IF(COUNTIFS('RAW_농산물_9월'!$D:$D,$C109,'RAW_농산물_9월'!$A:$A,$E109)&gt;0,"O",""))</f>
        <v/>
      </c>
      <c r="L109" s="17" t="str">
        <f>IF($C109="","",IF(COUNTIFS('RAW_농산물_10월'!$D:$D,$C109,'RAW_농산물_10월'!$A:$A,$E109)&gt;0,"O",""))</f>
        <v/>
      </c>
      <c r="M109" s="17" t="str">
        <f>IF($C109="","",IF(COUNTIFS('RAW_농산물_11-12월'!$D:$D,$C109,'RAW_농산물_11-12월'!$A:$A,$E109)&gt;0,"O",""))</f>
        <v/>
      </c>
      <c r="N109" s="7">
        <f>IF($C109="","",IF(COUNTA('RAW_농산물_7월'!$A:$A)&lt;=1,"",SUMIFS('RAW_농산물_7월'!$H:$H,'RAW_농산물_7월'!$D:$D,$C109,'RAW_농산물_7월'!$A:$A,$E109)))</f>
        <v>0</v>
      </c>
      <c r="O109" s="7">
        <f>IF($C109="","",IF(COUNTA('RAW_농산물_8월'!$A:$A)&lt;=1,"",SUMIFS('RAW_농산물_8월'!$H:$H,'RAW_농산물_8월'!$D:$D,$C109,'RAW_농산물_8월'!$A:$A,$E109)-SUMIFS('RAW_농산물_7월'!$H:$H,'RAW_농산물_7월'!$D:$D,$C109,'RAW_농산물_7월'!$A:$A,$E109)))</f>
        <v>0</v>
      </c>
      <c r="P109" s="7" t="str">
        <f>IF($C109="","",IF(COUNTA('RAW_농산물_9월'!$A:$A)&lt;=1,"",SUMIFS('RAW_농산물_9월'!$H:$H,'RAW_농산물_9월'!$D:$D,$C109,'RAW_농산물_9월'!$A:$A,$E109)-SUMIFS('RAW_농산물_8월'!$H:$H,'RAW_농산물_8월'!$D:$D,$C109,'RAW_농산물_8월'!$A:$A,$E109)))</f>
        <v/>
      </c>
      <c r="Q109" s="7" t="str">
        <f>IF($C109="","",IF(COUNTA('RAW_농산물_10월'!$A:$A)&lt;=1,"",SUMIFS('RAW_농산물_10월'!$H:$H,'RAW_농산물_10월'!$D:$D,$C109,'RAW_농산물_10월'!$A:$A,$E109)-SUMIFS('RAW_농산물_9월'!$H:$H,'RAW_농산물_9월'!$D:$D,$C109,'RAW_농산물_9월'!$A:$A,$E109)))</f>
        <v/>
      </c>
      <c r="R109" s="7" t="str">
        <f>IF($C109="","",IF(COUNTA('RAW_농산물_11-12월'!$A:$A)&lt;=1,"",SUMIFS('RAW_농산물_11-12월'!$H:$H,'RAW_농산물_11-12월'!$D:$D,$C109,'RAW_농산물_11-12월'!$A:$A,$E109)-SUMIFS('RAW_농산물_10월'!$H:$H,'RAW_농산물_10월'!$D:$D,$C109,'RAW_농산물_10월'!$A:$A,$E109)))</f>
        <v/>
      </c>
      <c r="S109" s="17" t="str">
        <f t="shared" si="4"/>
        <v/>
      </c>
      <c r="T109" s="17" t="str">
        <f t="shared" si="5"/>
        <v>미사용</v>
      </c>
      <c r="U109" s="7">
        <f>IF($C109="",0,IF('설정'!$B$3=0,0,CHOOSE('설정'!$B$3,COUNTIFS('RAW_농산물_7월'!$D:$D,$C109,'RAW_농산물_7월'!$A:$A,$E109),COUNTIFS('RAW_농산물_8월'!$D:$D,$C109,'RAW_농산물_8월'!$A:$A,$E109),COUNTIFS('RAW_농산물_9월'!$D:$D,$C109,'RAW_농산물_9월'!$A:$A,$E109),COUNTIFS('RAW_농산물_10월'!$D:$D,$C109,'RAW_농산물_10월'!$A:$A,$E109),COUNTIFS('RAW_농산물_11-12월'!$D:$D,$C109,'RAW_농산물_11-12월'!$A:$A,$E109))))</f>
        <v>0</v>
      </c>
    </row>
    <row r="110" ht="15.75" customHeight="1">
      <c r="A110" s="5">
        <v>108.0</v>
      </c>
      <c r="B110" s="5" t="s">
        <v>25</v>
      </c>
      <c r="C110" s="5" t="s">
        <v>2945</v>
      </c>
      <c r="D110" s="6" t="s">
        <v>2946</v>
      </c>
      <c r="E110" s="5" t="s">
        <v>92</v>
      </c>
      <c r="F110" s="7">
        <f>IF($C110="","",IF('설정'!$B$3=0,"",CHOOSE('설정'!$B$3,SUMIFS('RAW_농산물_7월'!$F:$F,'RAW_농산물_7월'!$D:$D,$C110,'RAW_농산물_7월'!$A:$A,$E110),SUMIFS('RAW_농산물_8월'!$F:$F,'RAW_농산물_8월'!$D:$D,$C110,'RAW_농산물_8월'!$A:$A,$E110),SUMIFS('RAW_농산물_9월'!$F:$F,'RAW_농산물_9월'!$D:$D,$C110,'RAW_농산물_9월'!$A:$A,$E110),SUMIFS('RAW_농산물_10월'!$F:$F,'RAW_농산물_10월'!$D:$D,$C110,'RAW_농산물_10월'!$A:$A,$E110),SUMIFS('RAW_농산물_11-12월'!$F:$F,'RAW_농산물_11-12월'!$D:$D,$C110,'RAW_농산물_11-12월'!$A:$A,$E110))))</f>
        <v>0</v>
      </c>
      <c r="G110" s="7">
        <f>IF($C110="","",IF('설정'!$B$3=0,"",CHOOSE('설정'!$B$3,SUMIFS('RAW_농산물_7월'!$G:$G,'RAW_농산물_7월'!$D:$D,$C110,'RAW_농산물_7월'!$A:$A,$E110),SUMIFS('RAW_농산물_8월'!$G:$G,'RAW_농산물_8월'!$D:$D,$C110,'RAW_농산물_8월'!$A:$A,$E110),SUMIFS('RAW_농산물_9월'!$G:$G,'RAW_농산물_9월'!$D:$D,$C110,'RAW_농산물_9월'!$A:$A,$E110),SUMIFS('RAW_농산물_10월'!$G:$G,'RAW_농산물_10월'!$D:$D,$C110,'RAW_농산물_10월'!$A:$A,$E110),SUMIFS('RAW_농산물_11-12월'!$G:$G,'RAW_농산물_11-12월'!$D:$D,$C110,'RAW_농산물_11-12월'!$A:$A,$E110))))</f>
        <v>0</v>
      </c>
      <c r="H110" s="14">
        <f>IF($C110="","",IF('설정'!$B$3=0,"",CHOOSE('설정'!$B$3,SUMIFS('RAW_농산물_7월'!$H:$H,'RAW_농산물_7월'!$D:$D,$C110,'RAW_농산물_7월'!$A:$A,$E110),SUMIFS('RAW_농산물_8월'!$H:$H,'RAW_농산물_8월'!$D:$D,$C110,'RAW_농산물_8월'!$A:$A,$E110),SUMIFS('RAW_농산물_9월'!$H:$H,'RAW_농산물_9월'!$D:$D,$C110,'RAW_농산물_9월'!$A:$A,$E110),SUMIFS('RAW_농산물_10월'!$H:$H,'RAW_농산물_10월'!$D:$D,$C110,'RAW_농산물_10월'!$A:$A,$E110),SUMIFS('RAW_농산물_11-12월'!$H:$H,'RAW_농산물_11-12월'!$D:$D,$C110,'RAW_농산물_11-12월'!$A:$A,$E110))))</f>
        <v>0</v>
      </c>
      <c r="I110" s="17" t="str">
        <f>IF($C110="","",IF(COUNTIFS('RAW_농산물_7월'!$D:$D,$C110,'RAW_농산물_7월'!$A:$A,$E110)&gt;0,"O",""))</f>
        <v/>
      </c>
      <c r="J110" s="17" t="str">
        <f>IF($C110="","",IF(COUNTIFS('RAW_농산물_8월'!$D:$D,$C110,'RAW_농산물_8월'!$A:$A,$E110)&gt;0,"O",""))</f>
        <v/>
      </c>
      <c r="K110" s="17" t="str">
        <f>IF($C110="","",IF(COUNTIFS('RAW_농산물_9월'!$D:$D,$C110,'RAW_농산물_9월'!$A:$A,$E110)&gt;0,"O",""))</f>
        <v/>
      </c>
      <c r="L110" s="17" t="str">
        <f>IF($C110="","",IF(COUNTIFS('RAW_농산물_10월'!$D:$D,$C110,'RAW_농산물_10월'!$A:$A,$E110)&gt;0,"O",""))</f>
        <v/>
      </c>
      <c r="M110" s="17" t="str">
        <f>IF($C110="","",IF(COUNTIFS('RAW_농산물_11-12월'!$D:$D,$C110,'RAW_농산물_11-12월'!$A:$A,$E110)&gt;0,"O",""))</f>
        <v/>
      </c>
      <c r="N110" s="7">
        <f>IF($C110="","",IF(COUNTA('RAW_농산물_7월'!$A:$A)&lt;=1,"",SUMIFS('RAW_농산물_7월'!$H:$H,'RAW_농산물_7월'!$D:$D,$C110,'RAW_농산물_7월'!$A:$A,$E110)))</f>
        <v>0</v>
      </c>
      <c r="O110" s="7">
        <f>IF($C110="","",IF(COUNTA('RAW_농산물_8월'!$A:$A)&lt;=1,"",SUMIFS('RAW_농산물_8월'!$H:$H,'RAW_농산물_8월'!$D:$D,$C110,'RAW_농산물_8월'!$A:$A,$E110)-SUMIFS('RAW_농산물_7월'!$H:$H,'RAW_농산물_7월'!$D:$D,$C110,'RAW_농산물_7월'!$A:$A,$E110)))</f>
        <v>0</v>
      </c>
      <c r="P110" s="7" t="str">
        <f>IF($C110="","",IF(COUNTA('RAW_농산물_9월'!$A:$A)&lt;=1,"",SUMIFS('RAW_농산물_9월'!$H:$H,'RAW_농산물_9월'!$D:$D,$C110,'RAW_농산물_9월'!$A:$A,$E110)-SUMIFS('RAW_농산물_8월'!$H:$H,'RAW_농산물_8월'!$D:$D,$C110,'RAW_농산물_8월'!$A:$A,$E110)))</f>
        <v/>
      </c>
      <c r="Q110" s="7" t="str">
        <f>IF($C110="","",IF(COUNTA('RAW_농산물_10월'!$A:$A)&lt;=1,"",SUMIFS('RAW_농산물_10월'!$H:$H,'RAW_농산물_10월'!$D:$D,$C110,'RAW_농산물_10월'!$A:$A,$E110)-SUMIFS('RAW_농산물_9월'!$H:$H,'RAW_농산물_9월'!$D:$D,$C110,'RAW_농산물_9월'!$A:$A,$E110)))</f>
        <v/>
      </c>
      <c r="R110" s="7" t="str">
        <f>IF($C110="","",IF(COUNTA('RAW_농산물_11-12월'!$A:$A)&lt;=1,"",SUMIFS('RAW_농산물_11-12월'!$H:$H,'RAW_농산물_11-12월'!$D:$D,$C110,'RAW_농산물_11-12월'!$A:$A,$E110)-SUMIFS('RAW_농산물_10월'!$H:$H,'RAW_농산물_10월'!$D:$D,$C110,'RAW_농산물_10월'!$A:$A,$E110)))</f>
        <v/>
      </c>
      <c r="S110" s="17" t="str">
        <f t="shared" si="4"/>
        <v/>
      </c>
      <c r="T110" s="17" t="str">
        <f t="shared" si="5"/>
        <v>미사용</v>
      </c>
      <c r="U110" s="7">
        <f>IF($C110="",0,IF('설정'!$B$3=0,0,CHOOSE('설정'!$B$3,COUNTIFS('RAW_농산물_7월'!$D:$D,$C110,'RAW_농산물_7월'!$A:$A,$E110),COUNTIFS('RAW_농산물_8월'!$D:$D,$C110,'RAW_농산물_8월'!$A:$A,$E110),COUNTIFS('RAW_농산물_9월'!$D:$D,$C110,'RAW_농산물_9월'!$A:$A,$E110),COUNTIFS('RAW_농산물_10월'!$D:$D,$C110,'RAW_농산물_10월'!$A:$A,$E110),COUNTIFS('RAW_농산물_11-12월'!$D:$D,$C110,'RAW_농산물_11-12월'!$A:$A,$E110))))</f>
        <v>0</v>
      </c>
    </row>
    <row r="111" ht="15.75" customHeight="1">
      <c r="A111" s="5">
        <v>109.0</v>
      </c>
      <c r="B111" s="5" t="s">
        <v>145</v>
      </c>
      <c r="C111" s="5" t="s">
        <v>2947</v>
      </c>
      <c r="D111" s="6" t="s">
        <v>2948</v>
      </c>
      <c r="E111" s="5" t="s">
        <v>94</v>
      </c>
      <c r="F111" s="7">
        <f>IF($C111="","",IF('설정'!$B$3=0,"",CHOOSE('설정'!$B$3,SUMIFS('RAW_농산물_7월'!$F:$F,'RAW_농산물_7월'!$D:$D,$C111,'RAW_농산물_7월'!$A:$A,$E111),SUMIFS('RAW_농산물_8월'!$F:$F,'RAW_농산물_8월'!$D:$D,$C111,'RAW_농산물_8월'!$A:$A,$E111),SUMIFS('RAW_농산물_9월'!$F:$F,'RAW_농산물_9월'!$D:$D,$C111,'RAW_농산물_9월'!$A:$A,$E111),SUMIFS('RAW_농산물_10월'!$F:$F,'RAW_농산물_10월'!$D:$D,$C111,'RAW_농산물_10월'!$A:$A,$E111),SUMIFS('RAW_농산물_11-12월'!$F:$F,'RAW_농산물_11-12월'!$D:$D,$C111,'RAW_농산물_11-12월'!$A:$A,$E111))))</f>
        <v>0</v>
      </c>
      <c r="G111" s="7">
        <f>IF($C111="","",IF('설정'!$B$3=0,"",CHOOSE('설정'!$B$3,SUMIFS('RAW_농산물_7월'!$G:$G,'RAW_농산물_7월'!$D:$D,$C111,'RAW_농산물_7월'!$A:$A,$E111),SUMIFS('RAW_농산물_8월'!$G:$G,'RAW_농산물_8월'!$D:$D,$C111,'RAW_농산물_8월'!$A:$A,$E111),SUMIFS('RAW_농산물_9월'!$G:$G,'RAW_농산물_9월'!$D:$D,$C111,'RAW_농산물_9월'!$A:$A,$E111),SUMIFS('RAW_농산물_10월'!$G:$G,'RAW_농산물_10월'!$D:$D,$C111,'RAW_농산물_10월'!$A:$A,$E111),SUMIFS('RAW_농산물_11-12월'!$G:$G,'RAW_농산물_11-12월'!$D:$D,$C111,'RAW_농산물_11-12월'!$A:$A,$E111))))</f>
        <v>0</v>
      </c>
      <c r="H111" s="14">
        <f>IF($C111="","",IF('설정'!$B$3=0,"",CHOOSE('설정'!$B$3,SUMIFS('RAW_농산물_7월'!$H:$H,'RAW_농산물_7월'!$D:$D,$C111,'RAW_농산물_7월'!$A:$A,$E111),SUMIFS('RAW_농산물_8월'!$H:$H,'RAW_농산물_8월'!$D:$D,$C111,'RAW_농산물_8월'!$A:$A,$E111),SUMIFS('RAW_농산물_9월'!$H:$H,'RAW_농산물_9월'!$D:$D,$C111,'RAW_농산물_9월'!$A:$A,$E111),SUMIFS('RAW_농산물_10월'!$H:$H,'RAW_농산물_10월'!$D:$D,$C111,'RAW_농산물_10월'!$A:$A,$E111),SUMIFS('RAW_농산물_11-12월'!$H:$H,'RAW_농산물_11-12월'!$D:$D,$C111,'RAW_농산물_11-12월'!$A:$A,$E111))))</f>
        <v>0</v>
      </c>
      <c r="I111" s="17" t="str">
        <f>IF($C111="","",IF(COUNTIFS('RAW_농산물_7월'!$D:$D,$C111,'RAW_농산물_7월'!$A:$A,$E111)&gt;0,"O",""))</f>
        <v/>
      </c>
      <c r="J111" s="17" t="str">
        <f>IF($C111="","",IF(COUNTIFS('RAW_농산물_8월'!$D:$D,$C111,'RAW_농산물_8월'!$A:$A,$E111)&gt;0,"O",""))</f>
        <v/>
      </c>
      <c r="K111" s="17" t="str">
        <f>IF($C111="","",IF(COUNTIFS('RAW_농산물_9월'!$D:$D,$C111,'RAW_농산물_9월'!$A:$A,$E111)&gt;0,"O",""))</f>
        <v/>
      </c>
      <c r="L111" s="17" t="str">
        <f>IF($C111="","",IF(COUNTIFS('RAW_농산물_10월'!$D:$D,$C111,'RAW_농산물_10월'!$A:$A,$E111)&gt;0,"O",""))</f>
        <v/>
      </c>
      <c r="M111" s="17" t="str">
        <f>IF($C111="","",IF(COUNTIFS('RAW_농산물_11-12월'!$D:$D,$C111,'RAW_농산물_11-12월'!$A:$A,$E111)&gt;0,"O",""))</f>
        <v/>
      </c>
      <c r="N111" s="7">
        <f>IF($C111="","",IF(COUNTA('RAW_농산물_7월'!$A:$A)&lt;=1,"",SUMIFS('RAW_농산물_7월'!$H:$H,'RAW_농산물_7월'!$D:$D,$C111,'RAW_농산물_7월'!$A:$A,$E111)))</f>
        <v>0</v>
      </c>
      <c r="O111" s="7">
        <f>IF($C111="","",IF(COUNTA('RAW_농산물_8월'!$A:$A)&lt;=1,"",SUMIFS('RAW_농산물_8월'!$H:$H,'RAW_농산물_8월'!$D:$D,$C111,'RAW_농산물_8월'!$A:$A,$E111)-SUMIFS('RAW_농산물_7월'!$H:$H,'RAW_농산물_7월'!$D:$D,$C111,'RAW_농산물_7월'!$A:$A,$E111)))</f>
        <v>0</v>
      </c>
      <c r="P111" s="7" t="str">
        <f>IF($C111="","",IF(COUNTA('RAW_농산물_9월'!$A:$A)&lt;=1,"",SUMIFS('RAW_농산물_9월'!$H:$H,'RAW_농산물_9월'!$D:$D,$C111,'RAW_농산물_9월'!$A:$A,$E111)-SUMIFS('RAW_농산물_8월'!$H:$H,'RAW_농산물_8월'!$D:$D,$C111,'RAW_농산물_8월'!$A:$A,$E111)))</f>
        <v/>
      </c>
      <c r="Q111" s="7" t="str">
        <f>IF($C111="","",IF(COUNTA('RAW_농산물_10월'!$A:$A)&lt;=1,"",SUMIFS('RAW_농산물_10월'!$H:$H,'RAW_농산물_10월'!$D:$D,$C111,'RAW_농산물_10월'!$A:$A,$E111)-SUMIFS('RAW_농산물_9월'!$H:$H,'RAW_농산물_9월'!$D:$D,$C111,'RAW_농산물_9월'!$A:$A,$E111)))</f>
        <v/>
      </c>
      <c r="R111" s="7" t="str">
        <f>IF($C111="","",IF(COUNTA('RAW_농산물_11-12월'!$A:$A)&lt;=1,"",SUMIFS('RAW_농산물_11-12월'!$H:$H,'RAW_농산물_11-12월'!$D:$D,$C111,'RAW_농산물_11-12월'!$A:$A,$E111)-SUMIFS('RAW_농산물_10월'!$H:$H,'RAW_농산물_10월'!$D:$D,$C111,'RAW_농산물_10월'!$A:$A,$E111)))</f>
        <v/>
      </c>
      <c r="S111" s="17" t="str">
        <f t="shared" si="4"/>
        <v/>
      </c>
      <c r="T111" s="17" t="str">
        <f t="shared" si="5"/>
        <v>미사용</v>
      </c>
      <c r="U111" s="7">
        <f>IF($C111="",0,IF('설정'!$B$3=0,0,CHOOSE('설정'!$B$3,COUNTIFS('RAW_농산물_7월'!$D:$D,$C111,'RAW_농산물_7월'!$A:$A,$E111),COUNTIFS('RAW_농산물_8월'!$D:$D,$C111,'RAW_농산물_8월'!$A:$A,$E111),COUNTIFS('RAW_농산물_9월'!$D:$D,$C111,'RAW_농산물_9월'!$A:$A,$E111),COUNTIFS('RAW_농산물_10월'!$D:$D,$C111,'RAW_농산물_10월'!$A:$A,$E111),COUNTIFS('RAW_농산물_11-12월'!$D:$D,$C111,'RAW_농산물_11-12월'!$A:$A,$E111))))</f>
        <v>0</v>
      </c>
    </row>
    <row r="112" ht="15.75" customHeight="1">
      <c r="A112" s="5">
        <v>110.0</v>
      </c>
      <c r="B112" s="5" t="s">
        <v>25</v>
      </c>
      <c r="C112" s="5" t="s">
        <v>1539</v>
      </c>
      <c r="D112" s="6" t="s">
        <v>1538</v>
      </c>
      <c r="E112" s="5" t="s">
        <v>93</v>
      </c>
      <c r="F112" s="7">
        <f>IF($C112="","",IF('설정'!$B$3=0,"",CHOOSE('설정'!$B$3,SUMIFS('RAW_농산물_7월'!$F:$F,'RAW_농산물_7월'!$D:$D,$C112,'RAW_농산물_7월'!$A:$A,$E112),SUMIFS('RAW_농산물_8월'!$F:$F,'RAW_농산물_8월'!$D:$D,$C112,'RAW_농산물_8월'!$A:$A,$E112),SUMIFS('RAW_농산물_9월'!$F:$F,'RAW_농산물_9월'!$D:$D,$C112,'RAW_농산물_9월'!$A:$A,$E112),SUMIFS('RAW_농산물_10월'!$F:$F,'RAW_농산물_10월'!$D:$D,$C112,'RAW_농산물_10월'!$A:$A,$E112),SUMIFS('RAW_농산물_11-12월'!$F:$F,'RAW_농산물_11-12월'!$D:$D,$C112,'RAW_농산물_11-12월'!$A:$A,$E112))))</f>
        <v>2936</v>
      </c>
      <c r="G112" s="7">
        <f>IF($C112="","",IF('설정'!$B$3=0,"",CHOOSE('설정'!$B$3,SUMIFS('RAW_농산물_7월'!$G:$G,'RAW_농산물_7월'!$D:$D,$C112,'RAW_농산물_7월'!$A:$A,$E112),SUMIFS('RAW_농산물_8월'!$G:$G,'RAW_농산물_8월'!$D:$D,$C112,'RAW_농산물_8월'!$A:$A,$E112),SUMIFS('RAW_농산물_9월'!$G:$G,'RAW_농산물_9월'!$D:$D,$C112,'RAW_농산물_9월'!$A:$A,$E112),SUMIFS('RAW_농산물_10월'!$G:$G,'RAW_농산물_10월'!$D:$D,$C112,'RAW_농산물_10월'!$A:$A,$E112),SUMIFS('RAW_농산물_11-12월'!$G:$G,'RAW_농산물_11-12월'!$D:$D,$C112,'RAW_농산물_11-12월'!$A:$A,$E112))))</f>
        <v>34514260</v>
      </c>
      <c r="H112" s="14">
        <f>IF($C112="","",IF('설정'!$B$3=0,"",CHOOSE('설정'!$B$3,SUMIFS('RAW_농산물_7월'!$H:$H,'RAW_농산물_7월'!$D:$D,$C112,'RAW_농산물_7월'!$A:$A,$E112),SUMIFS('RAW_농산물_8월'!$H:$H,'RAW_농산물_8월'!$D:$D,$C112,'RAW_농산물_8월'!$A:$A,$E112),SUMIFS('RAW_농산물_9월'!$H:$H,'RAW_농산물_9월'!$D:$D,$C112,'RAW_농산물_9월'!$A:$A,$E112),SUMIFS('RAW_농산물_10월'!$H:$H,'RAW_농산물_10월'!$D:$D,$C112,'RAW_농산물_10월'!$A:$A,$E112),SUMIFS('RAW_농산물_11-12월'!$H:$H,'RAW_농산물_11-12월'!$D:$D,$C112,'RAW_농산물_11-12월'!$A:$A,$E112))))</f>
        <v>3201390</v>
      </c>
      <c r="I112" s="17" t="str">
        <f>IF($C112="","",IF(COUNTIFS('RAW_농산물_7월'!$D:$D,$C112,'RAW_농산물_7월'!$A:$A,$E112)&gt;0,"O",""))</f>
        <v>O</v>
      </c>
      <c r="J112" s="17" t="str">
        <f>IF($C112="","",IF(COUNTIFS('RAW_농산물_8월'!$D:$D,$C112,'RAW_농산물_8월'!$A:$A,$E112)&gt;0,"O",""))</f>
        <v>O</v>
      </c>
      <c r="K112" s="17" t="str">
        <f>IF($C112="","",IF(COUNTIFS('RAW_농산물_9월'!$D:$D,$C112,'RAW_농산물_9월'!$A:$A,$E112)&gt;0,"O",""))</f>
        <v/>
      </c>
      <c r="L112" s="17" t="str">
        <f>IF($C112="","",IF(COUNTIFS('RAW_농산물_10월'!$D:$D,$C112,'RAW_농산물_10월'!$A:$A,$E112)&gt;0,"O",""))</f>
        <v/>
      </c>
      <c r="M112" s="17" t="str">
        <f>IF($C112="","",IF(COUNTIFS('RAW_농산물_11-12월'!$D:$D,$C112,'RAW_농산물_11-12월'!$A:$A,$E112)&gt;0,"O",""))</f>
        <v/>
      </c>
      <c r="N112" s="7">
        <f>IF($C112="","",IF(COUNTA('RAW_농산물_7월'!$A:$A)&lt;=1,"",SUMIFS('RAW_농산물_7월'!$H:$H,'RAW_농산물_7월'!$D:$D,$C112,'RAW_농산물_7월'!$A:$A,$E112)))</f>
        <v>1064450</v>
      </c>
      <c r="O112" s="7">
        <f>IF($C112="","",IF(COUNTA('RAW_농산물_8월'!$A:$A)&lt;=1,"",SUMIFS('RAW_농산물_8월'!$H:$H,'RAW_농산물_8월'!$D:$D,$C112,'RAW_농산물_8월'!$A:$A,$E112)-SUMIFS('RAW_농산물_7월'!$H:$H,'RAW_농산물_7월'!$D:$D,$C112,'RAW_농산물_7월'!$A:$A,$E112)))</f>
        <v>2136940</v>
      </c>
      <c r="P112" s="7" t="str">
        <f>IF($C112="","",IF(COUNTA('RAW_농산물_9월'!$A:$A)&lt;=1,"",SUMIFS('RAW_농산물_9월'!$H:$H,'RAW_농산물_9월'!$D:$D,$C112,'RAW_농산물_9월'!$A:$A,$E112)-SUMIFS('RAW_농산물_8월'!$H:$H,'RAW_농산물_8월'!$D:$D,$C112,'RAW_농산물_8월'!$A:$A,$E112)))</f>
        <v/>
      </c>
      <c r="Q112" s="7" t="str">
        <f>IF($C112="","",IF(COUNTA('RAW_농산물_10월'!$A:$A)&lt;=1,"",SUMIFS('RAW_농산물_10월'!$H:$H,'RAW_농산물_10월'!$D:$D,$C112,'RAW_농산물_10월'!$A:$A,$E112)-SUMIFS('RAW_농산물_9월'!$H:$H,'RAW_농산물_9월'!$D:$D,$C112,'RAW_농산물_9월'!$A:$A,$E112)))</f>
        <v/>
      </c>
      <c r="R112" s="7" t="str">
        <f>IF($C112="","",IF(COUNTA('RAW_농산물_11-12월'!$A:$A)&lt;=1,"",SUMIFS('RAW_농산물_11-12월'!$H:$H,'RAW_농산물_11-12월'!$D:$D,$C112,'RAW_농산물_11-12월'!$A:$A,$E112)-SUMIFS('RAW_농산물_10월'!$H:$H,'RAW_농산물_10월'!$D:$D,$C112,'RAW_농산물_10월'!$A:$A,$E112)))</f>
        <v/>
      </c>
      <c r="S112" s="17" t="str">
        <f t="shared" si="4"/>
        <v>O</v>
      </c>
      <c r="T112" s="17" t="str">
        <f t="shared" si="5"/>
        <v>400만원 미만</v>
      </c>
      <c r="U112" s="7">
        <f>IF($C112="",0,IF('설정'!$B$3=0,0,CHOOSE('설정'!$B$3,COUNTIFS('RAW_농산물_7월'!$D:$D,$C112,'RAW_농산물_7월'!$A:$A,$E112),COUNTIFS('RAW_농산물_8월'!$D:$D,$C112,'RAW_농산물_8월'!$A:$A,$E112),COUNTIFS('RAW_농산물_9월'!$D:$D,$C112,'RAW_농산물_9월'!$A:$A,$E112),COUNTIFS('RAW_농산물_10월'!$D:$D,$C112,'RAW_농산물_10월'!$A:$A,$E112),COUNTIFS('RAW_농산물_11-12월'!$D:$D,$C112,'RAW_농산물_11-12월'!$A:$A,$E112))))</f>
        <v>1</v>
      </c>
    </row>
    <row r="113" ht="15.75" customHeight="1">
      <c r="A113" s="5">
        <v>111.0</v>
      </c>
      <c r="B113" s="5" t="s">
        <v>25</v>
      </c>
      <c r="C113" s="5" t="s">
        <v>2949</v>
      </c>
      <c r="D113" s="6" t="s">
        <v>2950</v>
      </c>
      <c r="E113" s="5" t="s">
        <v>94</v>
      </c>
      <c r="F113" s="7">
        <f>IF($C113="","",IF('설정'!$B$3=0,"",CHOOSE('설정'!$B$3,SUMIFS('RAW_농산물_7월'!$F:$F,'RAW_농산물_7월'!$D:$D,$C113,'RAW_농산물_7월'!$A:$A,$E113),SUMIFS('RAW_농산물_8월'!$F:$F,'RAW_농산물_8월'!$D:$D,$C113,'RAW_농산물_8월'!$A:$A,$E113),SUMIFS('RAW_농산물_9월'!$F:$F,'RAW_농산물_9월'!$D:$D,$C113,'RAW_농산물_9월'!$A:$A,$E113),SUMIFS('RAW_농산물_10월'!$F:$F,'RAW_농산물_10월'!$D:$D,$C113,'RAW_농산물_10월'!$A:$A,$E113),SUMIFS('RAW_농산물_11-12월'!$F:$F,'RAW_농산물_11-12월'!$D:$D,$C113,'RAW_농산물_11-12월'!$A:$A,$E113))))</f>
        <v>0</v>
      </c>
      <c r="G113" s="7">
        <f>IF($C113="","",IF('설정'!$B$3=0,"",CHOOSE('설정'!$B$3,SUMIFS('RAW_농산물_7월'!$G:$G,'RAW_농산물_7월'!$D:$D,$C113,'RAW_농산물_7월'!$A:$A,$E113),SUMIFS('RAW_농산물_8월'!$G:$G,'RAW_농산물_8월'!$D:$D,$C113,'RAW_농산물_8월'!$A:$A,$E113),SUMIFS('RAW_농산물_9월'!$G:$G,'RAW_농산물_9월'!$D:$D,$C113,'RAW_농산물_9월'!$A:$A,$E113),SUMIFS('RAW_농산물_10월'!$G:$G,'RAW_농산물_10월'!$D:$D,$C113,'RAW_농산물_10월'!$A:$A,$E113),SUMIFS('RAW_농산물_11-12월'!$G:$G,'RAW_농산물_11-12월'!$D:$D,$C113,'RAW_농산물_11-12월'!$A:$A,$E113))))</f>
        <v>0</v>
      </c>
      <c r="H113" s="14">
        <f>IF($C113="","",IF('설정'!$B$3=0,"",CHOOSE('설정'!$B$3,SUMIFS('RAW_농산물_7월'!$H:$H,'RAW_농산물_7월'!$D:$D,$C113,'RAW_농산물_7월'!$A:$A,$E113),SUMIFS('RAW_농산물_8월'!$H:$H,'RAW_농산물_8월'!$D:$D,$C113,'RAW_농산물_8월'!$A:$A,$E113),SUMIFS('RAW_농산물_9월'!$H:$H,'RAW_농산물_9월'!$D:$D,$C113,'RAW_농산물_9월'!$A:$A,$E113),SUMIFS('RAW_농산물_10월'!$H:$H,'RAW_농산물_10월'!$D:$D,$C113,'RAW_농산물_10월'!$A:$A,$E113),SUMIFS('RAW_농산물_11-12월'!$H:$H,'RAW_농산물_11-12월'!$D:$D,$C113,'RAW_농산물_11-12월'!$A:$A,$E113))))</f>
        <v>0</v>
      </c>
      <c r="I113" s="17" t="str">
        <f>IF($C113="","",IF(COUNTIFS('RAW_농산물_7월'!$D:$D,$C113,'RAW_농산물_7월'!$A:$A,$E113)&gt;0,"O",""))</f>
        <v/>
      </c>
      <c r="J113" s="17" t="str">
        <f>IF($C113="","",IF(COUNTIFS('RAW_농산물_8월'!$D:$D,$C113,'RAW_농산물_8월'!$A:$A,$E113)&gt;0,"O",""))</f>
        <v/>
      </c>
      <c r="K113" s="17" t="str">
        <f>IF($C113="","",IF(COUNTIFS('RAW_농산물_9월'!$D:$D,$C113,'RAW_농산물_9월'!$A:$A,$E113)&gt;0,"O",""))</f>
        <v/>
      </c>
      <c r="L113" s="17" t="str">
        <f>IF($C113="","",IF(COUNTIFS('RAW_농산물_10월'!$D:$D,$C113,'RAW_농산물_10월'!$A:$A,$E113)&gt;0,"O",""))</f>
        <v/>
      </c>
      <c r="M113" s="17" t="str">
        <f>IF($C113="","",IF(COUNTIFS('RAW_농산물_11-12월'!$D:$D,$C113,'RAW_농산물_11-12월'!$A:$A,$E113)&gt;0,"O",""))</f>
        <v/>
      </c>
      <c r="N113" s="7">
        <f>IF($C113="","",IF(COUNTA('RAW_농산물_7월'!$A:$A)&lt;=1,"",SUMIFS('RAW_농산물_7월'!$H:$H,'RAW_농산물_7월'!$D:$D,$C113,'RAW_농산물_7월'!$A:$A,$E113)))</f>
        <v>0</v>
      </c>
      <c r="O113" s="7">
        <f>IF($C113="","",IF(COUNTA('RAW_농산물_8월'!$A:$A)&lt;=1,"",SUMIFS('RAW_농산물_8월'!$H:$H,'RAW_농산물_8월'!$D:$D,$C113,'RAW_농산물_8월'!$A:$A,$E113)-SUMIFS('RAW_농산물_7월'!$H:$H,'RAW_농산물_7월'!$D:$D,$C113,'RAW_농산물_7월'!$A:$A,$E113)))</f>
        <v>0</v>
      </c>
      <c r="P113" s="7" t="str">
        <f>IF($C113="","",IF(COUNTA('RAW_농산물_9월'!$A:$A)&lt;=1,"",SUMIFS('RAW_농산물_9월'!$H:$H,'RAW_농산물_9월'!$D:$D,$C113,'RAW_농산물_9월'!$A:$A,$E113)-SUMIFS('RAW_농산물_8월'!$H:$H,'RAW_농산물_8월'!$D:$D,$C113,'RAW_농산물_8월'!$A:$A,$E113)))</f>
        <v/>
      </c>
      <c r="Q113" s="7" t="str">
        <f>IF($C113="","",IF(COUNTA('RAW_농산물_10월'!$A:$A)&lt;=1,"",SUMIFS('RAW_농산물_10월'!$H:$H,'RAW_농산물_10월'!$D:$D,$C113,'RAW_농산물_10월'!$A:$A,$E113)-SUMIFS('RAW_농산물_9월'!$H:$H,'RAW_농산물_9월'!$D:$D,$C113,'RAW_농산물_9월'!$A:$A,$E113)))</f>
        <v/>
      </c>
      <c r="R113" s="7" t="str">
        <f>IF($C113="","",IF(COUNTA('RAW_농산물_11-12월'!$A:$A)&lt;=1,"",SUMIFS('RAW_농산물_11-12월'!$H:$H,'RAW_농산물_11-12월'!$D:$D,$C113,'RAW_농산물_11-12월'!$A:$A,$E113)-SUMIFS('RAW_농산물_10월'!$H:$H,'RAW_농산물_10월'!$D:$D,$C113,'RAW_농산물_10월'!$A:$A,$E113)))</f>
        <v/>
      </c>
      <c r="S113" s="17" t="str">
        <f t="shared" si="4"/>
        <v/>
      </c>
      <c r="T113" s="17" t="str">
        <f t="shared" si="5"/>
        <v>미사용</v>
      </c>
      <c r="U113" s="7">
        <f>IF($C113="",0,IF('설정'!$B$3=0,0,CHOOSE('설정'!$B$3,COUNTIFS('RAW_농산물_7월'!$D:$D,$C113,'RAW_농산물_7월'!$A:$A,$E113),COUNTIFS('RAW_농산물_8월'!$D:$D,$C113,'RAW_농산물_8월'!$A:$A,$E113),COUNTIFS('RAW_농산물_9월'!$D:$D,$C113,'RAW_농산물_9월'!$A:$A,$E113),COUNTIFS('RAW_농산물_10월'!$D:$D,$C113,'RAW_농산물_10월'!$A:$A,$E113),COUNTIFS('RAW_농산물_11-12월'!$D:$D,$C113,'RAW_농산물_11-12월'!$A:$A,$E113))))</f>
        <v>0</v>
      </c>
    </row>
    <row r="114" ht="15.75" customHeight="1">
      <c r="A114" s="5">
        <v>112.0</v>
      </c>
      <c r="B114" s="5" t="s">
        <v>145</v>
      </c>
      <c r="C114" s="5" t="s">
        <v>489</v>
      </c>
      <c r="D114" s="6" t="s">
        <v>488</v>
      </c>
      <c r="E114" s="5" t="s">
        <v>92</v>
      </c>
      <c r="F114" s="7">
        <f>IF($C114="","",IF('설정'!$B$3=0,"",CHOOSE('설정'!$B$3,SUMIFS('RAW_농산물_7월'!$F:$F,'RAW_농산물_7월'!$D:$D,$C114,'RAW_농산물_7월'!$A:$A,$E114),SUMIFS('RAW_농산물_8월'!$F:$F,'RAW_농산물_8월'!$D:$D,$C114,'RAW_농산물_8월'!$A:$A,$E114),SUMIFS('RAW_농산물_9월'!$F:$F,'RAW_농산물_9월'!$D:$D,$C114,'RAW_농산물_9월'!$A:$A,$E114),SUMIFS('RAW_농산물_10월'!$F:$F,'RAW_농산물_10월'!$D:$D,$C114,'RAW_농산물_10월'!$A:$A,$E114),SUMIFS('RAW_농산물_11-12월'!$F:$F,'RAW_농산물_11-12월'!$D:$D,$C114,'RAW_농산물_11-12월'!$A:$A,$E114))))</f>
        <v>64</v>
      </c>
      <c r="G114" s="7">
        <f>IF($C114="","",IF('설정'!$B$3=0,"",CHOOSE('설정'!$B$3,SUMIFS('RAW_농산물_7월'!$G:$G,'RAW_농산물_7월'!$D:$D,$C114,'RAW_농산물_7월'!$A:$A,$E114),SUMIFS('RAW_농산물_8월'!$G:$G,'RAW_농산물_8월'!$D:$D,$C114,'RAW_농산물_8월'!$A:$A,$E114),SUMIFS('RAW_농산물_9월'!$G:$G,'RAW_농산물_9월'!$D:$D,$C114,'RAW_농산물_9월'!$A:$A,$E114),SUMIFS('RAW_농산물_10월'!$G:$G,'RAW_농산물_10월'!$D:$D,$C114,'RAW_농산물_10월'!$A:$A,$E114),SUMIFS('RAW_농산물_11-12월'!$G:$G,'RAW_농산물_11-12월'!$D:$D,$C114,'RAW_농산물_11-12월'!$A:$A,$E114))))</f>
        <v>1376000</v>
      </c>
      <c r="H114" s="14">
        <f>IF($C114="","",IF('설정'!$B$3=0,"",CHOOSE('설정'!$B$3,SUMIFS('RAW_농산물_7월'!$H:$H,'RAW_농산물_7월'!$D:$D,$C114,'RAW_농산물_7월'!$A:$A,$E114),SUMIFS('RAW_농산물_8월'!$H:$H,'RAW_농산물_8월'!$D:$D,$C114,'RAW_농산물_8월'!$A:$A,$E114),SUMIFS('RAW_농산물_9월'!$H:$H,'RAW_농산물_9월'!$D:$D,$C114,'RAW_농산물_9월'!$A:$A,$E114),SUMIFS('RAW_농산물_10월'!$H:$H,'RAW_농산물_10월'!$D:$D,$C114,'RAW_농산물_10월'!$A:$A,$E114),SUMIFS('RAW_농산물_11-12월'!$H:$H,'RAW_농산물_11-12월'!$D:$D,$C114,'RAW_농산물_11-12월'!$A:$A,$E114))))</f>
        <v>72800</v>
      </c>
      <c r="I114" s="17" t="str">
        <f>IF($C114="","",IF(COUNTIFS('RAW_농산물_7월'!$D:$D,$C114,'RAW_농산물_7월'!$A:$A,$E114)&gt;0,"O",""))</f>
        <v>O</v>
      </c>
      <c r="J114" s="17" t="str">
        <f>IF($C114="","",IF(COUNTIFS('RAW_농산물_8월'!$D:$D,$C114,'RAW_농산물_8월'!$A:$A,$E114)&gt;0,"O",""))</f>
        <v>O</v>
      </c>
      <c r="K114" s="17" t="str">
        <f>IF($C114="","",IF(COUNTIFS('RAW_농산물_9월'!$D:$D,$C114,'RAW_농산물_9월'!$A:$A,$E114)&gt;0,"O",""))</f>
        <v/>
      </c>
      <c r="L114" s="17" t="str">
        <f>IF($C114="","",IF(COUNTIFS('RAW_농산물_10월'!$D:$D,$C114,'RAW_농산물_10월'!$A:$A,$E114)&gt;0,"O",""))</f>
        <v/>
      </c>
      <c r="M114" s="17" t="str">
        <f>IF($C114="","",IF(COUNTIFS('RAW_농산물_11-12월'!$D:$D,$C114,'RAW_농산물_11-12월'!$A:$A,$E114)&gt;0,"O",""))</f>
        <v/>
      </c>
      <c r="N114" s="7">
        <f>IF($C114="","",IF(COUNTA('RAW_농산물_7월'!$A:$A)&lt;=1,"",SUMIFS('RAW_농산물_7월'!$H:$H,'RAW_농산물_7월'!$D:$D,$C114,'RAW_농산물_7월'!$A:$A,$E114)))</f>
        <v>14600</v>
      </c>
      <c r="O114" s="7">
        <f>IF($C114="","",IF(COUNTA('RAW_농산물_8월'!$A:$A)&lt;=1,"",SUMIFS('RAW_농산물_8월'!$H:$H,'RAW_농산물_8월'!$D:$D,$C114,'RAW_농산물_8월'!$A:$A,$E114)-SUMIFS('RAW_농산물_7월'!$H:$H,'RAW_농산물_7월'!$D:$D,$C114,'RAW_농산물_7월'!$A:$A,$E114)))</f>
        <v>58200</v>
      </c>
      <c r="P114" s="7" t="str">
        <f>IF($C114="","",IF(COUNTA('RAW_농산물_9월'!$A:$A)&lt;=1,"",SUMIFS('RAW_농산물_9월'!$H:$H,'RAW_농산물_9월'!$D:$D,$C114,'RAW_농산물_9월'!$A:$A,$E114)-SUMIFS('RAW_농산물_8월'!$H:$H,'RAW_농산물_8월'!$D:$D,$C114,'RAW_농산물_8월'!$A:$A,$E114)))</f>
        <v/>
      </c>
      <c r="Q114" s="7" t="str">
        <f>IF($C114="","",IF(COUNTA('RAW_농산물_10월'!$A:$A)&lt;=1,"",SUMIFS('RAW_농산물_10월'!$H:$H,'RAW_농산물_10월'!$D:$D,$C114,'RAW_농산물_10월'!$A:$A,$E114)-SUMIFS('RAW_농산물_9월'!$H:$H,'RAW_농산물_9월'!$D:$D,$C114,'RAW_농산물_9월'!$A:$A,$E114)))</f>
        <v/>
      </c>
      <c r="R114" s="7" t="str">
        <f>IF($C114="","",IF(COUNTA('RAW_농산물_11-12월'!$A:$A)&lt;=1,"",SUMIFS('RAW_농산물_11-12월'!$H:$H,'RAW_농산물_11-12월'!$D:$D,$C114,'RAW_농산물_11-12월'!$A:$A,$E114)-SUMIFS('RAW_농산물_10월'!$H:$H,'RAW_농산물_10월'!$D:$D,$C114,'RAW_농산물_10월'!$A:$A,$E114)))</f>
        <v/>
      </c>
      <c r="S114" s="17" t="str">
        <f t="shared" si="4"/>
        <v>O</v>
      </c>
      <c r="T114" s="17" t="str">
        <f t="shared" si="5"/>
        <v>50만원 미만</v>
      </c>
      <c r="U114" s="7">
        <f>IF($C114="",0,IF('설정'!$B$3=0,0,CHOOSE('설정'!$B$3,COUNTIFS('RAW_농산물_7월'!$D:$D,$C114,'RAW_농산물_7월'!$A:$A,$E114),COUNTIFS('RAW_농산물_8월'!$D:$D,$C114,'RAW_농산물_8월'!$A:$A,$E114),COUNTIFS('RAW_농산물_9월'!$D:$D,$C114,'RAW_농산물_9월'!$A:$A,$E114),COUNTIFS('RAW_농산물_10월'!$D:$D,$C114,'RAW_농산물_10월'!$A:$A,$E114),COUNTIFS('RAW_농산물_11-12월'!$D:$D,$C114,'RAW_농산물_11-12월'!$A:$A,$E114))))</f>
        <v>1</v>
      </c>
    </row>
    <row r="115" ht="15.75" customHeight="1">
      <c r="A115" s="5">
        <v>113.0</v>
      </c>
      <c r="B115" s="5" t="s">
        <v>25</v>
      </c>
      <c r="C115" s="5" t="s">
        <v>1193</v>
      </c>
      <c r="D115" s="6" t="s">
        <v>1192</v>
      </c>
      <c r="E115" s="5" t="s">
        <v>28</v>
      </c>
      <c r="F115" s="7">
        <f>IF($C115="","",IF('설정'!$B$3=0,"",CHOOSE('설정'!$B$3,SUMIFS('RAW_농산물_7월'!$F:$F,'RAW_농산물_7월'!$D:$D,$C115,'RAW_농산물_7월'!$A:$A,$E115),SUMIFS('RAW_농산물_8월'!$F:$F,'RAW_농산물_8월'!$D:$D,$C115,'RAW_농산물_8월'!$A:$A,$E115),SUMIFS('RAW_농산물_9월'!$F:$F,'RAW_농산물_9월'!$D:$D,$C115,'RAW_농산물_9월'!$A:$A,$E115),SUMIFS('RAW_농산물_10월'!$F:$F,'RAW_농산물_10월'!$D:$D,$C115,'RAW_농산물_10월'!$A:$A,$E115),SUMIFS('RAW_농산물_11-12월'!$F:$F,'RAW_농산물_11-12월'!$D:$D,$C115,'RAW_농산물_11-12월'!$A:$A,$E115))))</f>
        <v>1351</v>
      </c>
      <c r="G115" s="7">
        <f>IF($C115="","",IF('설정'!$B$3=0,"",CHOOSE('설정'!$B$3,SUMIFS('RAW_농산물_7월'!$G:$G,'RAW_농산물_7월'!$D:$D,$C115,'RAW_농산물_7월'!$A:$A,$E115),SUMIFS('RAW_농산물_8월'!$G:$G,'RAW_농산물_8월'!$D:$D,$C115,'RAW_농산물_8월'!$A:$A,$E115),SUMIFS('RAW_농산물_9월'!$G:$G,'RAW_농산물_9월'!$D:$D,$C115,'RAW_농산물_9월'!$A:$A,$E115),SUMIFS('RAW_농산물_10월'!$G:$G,'RAW_농산물_10월'!$D:$D,$C115,'RAW_농산물_10월'!$A:$A,$E115),SUMIFS('RAW_농산물_11-12월'!$G:$G,'RAW_농산물_11-12월'!$D:$D,$C115,'RAW_농산물_11-12월'!$A:$A,$E115))))</f>
        <v>36257920</v>
      </c>
      <c r="H115" s="14">
        <f>IF($C115="","",IF('설정'!$B$3=0,"",CHOOSE('설정'!$B$3,SUMIFS('RAW_농산물_7월'!$H:$H,'RAW_농산물_7월'!$D:$D,$C115,'RAW_농산물_7월'!$A:$A,$E115),SUMIFS('RAW_농산물_8월'!$H:$H,'RAW_농산물_8월'!$D:$D,$C115,'RAW_농산물_8월'!$A:$A,$E115),SUMIFS('RAW_농산물_9월'!$H:$H,'RAW_농산물_9월'!$D:$D,$C115,'RAW_농산물_9월'!$A:$A,$E115),SUMIFS('RAW_농산물_10월'!$H:$H,'RAW_농산물_10월'!$D:$D,$C115,'RAW_농산물_10월'!$A:$A,$E115),SUMIFS('RAW_농산물_11-12월'!$H:$H,'RAW_농산물_11-12월'!$D:$D,$C115,'RAW_농산물_11-12월'!$A:$A,$E115))))</f>
        <v>4804820</v>
      </c>
      <c r="I115" s="17" t="str">
        <f>IF($C115="","",IF(COUNTIFS('RAW_농산물_7월'!$D:$D,$C115,'RAW_농산물_7월'!$A:$A,$E115)&gt;0,"O",""))</f>
        <v>O</v>
      </c>
      <c r="J115" s="17" t="str">
        <f>IF($C115="","",IF(COUNTIFS('RAW_농산물_8월'!$D:$D,$C115,'RAW_농산물_8월'!$A:$A,$E115)&gt;0,"O",""))</f>
        <v>O</v>
      </c>
      <c r="K115" s="17" t="str">
        <f>IF($C115="","",IF(COUNTIFS('RAW_농산물_9월'!$D:$D,$C115,'RAW_농산물_9월'!$A:$A,$E115)&gt;0,"O",""))</f>
        <v/>
      </c>
      <c r="L115" s="17" t="str">
        <f>IF($C115="","",IF(COUNTIFS('RAW_농산물_10월'!$D:$D,$C115,'RAW_농산물_10월'!$A:$A,$E115)&gt;0,"O",""))</f>
        <v/>
      </c>
      <c r="M115" s="17" t="str">
        <f>IF($C115="","",IF(COUNTIFS('RAW_농산물_11-12월'!$D:$D,$C115,'RAW_농산물_11-12월'!$A:$A,$E115)&gt;0,"O",""))</f>
        <v/>
      </c>
      <c r="N115" s="7">
        <f>IF($C115="","",IF(COUNTA('RAW_농산물_7월'!$A:$A)&lt;=1,"",SUMIFS('RAW_농산물_7월'!$H:$H,'RAW_농산물_7월'!$D:$D,$C115,'RAW_농산물_7월'!$A:$A,$E115)))</f>
        <v>4804820</v>
      </c>
      <c r="O115" s="7">
        <f>IF($C115="","",IF(COUNTA('RAW_농산물_8월'!$A:$A)&lt;=1,"",SUMIFS('RAW_농산물_8월'!$H:$H,'RAW_농산물_8월'!$D:$D,$C115,'RAW_농산물_8월'!$A:$A,$E115)-SUMIFS('RAW_농산물_7월'!$H:$H,'RAW_농산물_7월'!$D:$D,$C115,'RAW_농산물_7월'!$A:$A,$E115)))</f>
        <v>0</v>
      </c>
      <c r="P115" s="7" t="str">
        <f>IF($C115="","",IF(COUNTA('RAW_농산물_9월'!$A:$A)&lt;=1,"",SUMIFS('RAW_농산물_9월'!$H:$H,'RAW_농산물_9월'!$D:$D,$C115,'RAW_농산물_9월'!$A:$A,$E115)-SUMIFS('RAW_농산물_8월'!$H:$H,'RAW_농산물_8월'!$D:$D,$C115,'RAW_농산물_8월'!$A:$A,$E115)))</f>
        <v/>
      </c>
      <c r="Q115" s="7" t="str">
        <f>IF($C115="","",IF(COUNTA('RAW_농산물_10월'!$A:$A)&lt;=1,"",SUMIFS('RAW_농산물_10월'!$H:$H,'RAW_농산물_10월'!$D:$D,$C115,'RAW_농산물_10월'!$A:$A,$E115)-SUMIFS('RAW_농산물_9월'!$H:$H,'RAW_농산물_9월'!$D:$D,$C115,'RAW_농산물_9월'!$A:$A,$E115)))</f>
        <v/>
      </c>
      <c r="R115" s="7" t="str">
        <f>IF($C115="","",IF(COUNTA('RAW_농산물_11-12월'!$A:$A)&lt;=1,"",SUMIFS('RAW_농산물_11-12월'!$H:$H,'RAW_농산물_11-12월'!$D:$D,$C115,'RAW_농산물_11-12월'!$A:$A,$E115)-SUMIFS('RAW_농산물_10월'!$H:$H,'RAW_농산물_10월'!$D:$D,$C115,'RAW_농산물_10월'!$A:$A,$E115)))</f>
        <v/>
      </c>
      <c r="S115" s="17" t="str">
        <f t="shared" si="4"/>
        <v>O</v>
      </c>
      <c r="T115" s="17" t="str">
        <f t="shared" si="5"/>
        <v>500만원 미만</v>
      </c>
      <c r="U115" s="7">
        <f>IF($C115="",0,IF('설정'!$B$3=0,0,CHOOSE('설정'!$B$3,COUNTIFS('RAW_농산물_7월'!$D:$D,$C115,'RAW_농산물_7월'!$A:$A,$E115),COUNTIFS('RAW_농산물_8월'!$D:$D,$C115,'RAW_농산물_8월'!$A:$A,$E115),COUNTIFS('RAW_농산물_9월'!$D:$D,$C115,'RAW_농산물_9월'!$A:$A,$E115),COUNTIFS('RAW_농산물_10월'!$D:$D,$C115,'RAW_농산물_10월'!$A:$A,$E115),COUNTIFS('RAW_농산물_11-12월'!$D:$D,$C115,'RAW_농산물_11-12월'!$A:$A,$E115))))</f>
        <v>8</v>
      </c>
    </row>
    <row r="116" ht="15.75" customHeight="1">
      <c r="A116" s="5">
        <v>114.0</v>
      </c>
      <c r="B116" s="5" t="s">
        <v>145</v>
      </c>
      <c r="C116" s="5" t="s">
        <v>1302</v>
      </c>
      <c r="D116" s="6" t="s">
        <v>1301</v>
      </c>
      <c r="E116" s="5" t="s">
        <v>94</v>
      </c>
      <c r="F116" s="7">
        <f>IF($C116="","",IF('설정'!$B$3=0,"",CHOOSE('설정'!$B$3,SUMIFS('RAW_농산물_7월'!$F:$F,'RAW_농산물_7월'!$D:$D,$C116,'RAW_농산물_7월'!$A:$A,$E116),SUMIFS('RAW_농산물_8월'!$F:$F,'RAW_농산물_8월'!$D:$D,$C116,'RAW_농산물_8월'!$A:$A,$E116),SUMIFS('RAW_농산물_9월'!$F:$F,'RAW_농산물_9월'!$D:$D,$C116,'RAW_농산물_9월'!$A:$A,$E116),SUMIFS('RAW_농산물_10월'!$F:$F,'RAW_농산물_10월'!$D:$D,$C116,'RAW_농산물_10월'!$A:$A,$E116),SUMIFS('RAW_농산물_11-12월'!$F:$F,'RAW_농산물_11-12월'!$D:$D,$C116,'RAW_농산물_11-12월'!$A:$A,$E116))))</f>
        <v>22</v>
      </c>
      <c r="G116" s="7">
        <f>IF($C116="","",IF('설정'!$B$3=0,"",CHOOSE('설정'!$B$3,SUMIFS('RAW_농산물_7월'!$G:$G,'RAW_농산물_7월'!$D:$D,$C116,'RAW_농산물_7월'!$A:$A,$E116),SUMIFS('RAW_농산물_8월'!$G:$G,'RAW_농산물_8월'!$D:$D,$C116,'RAW_농산물_8월'!$A:$A,$E116),SUMIFS('RAW_농산물_9월'!$G:$G,'RAW_농산물_9월'!$D:$D,$C116,'RAW_농산물_9월'!$A:$A,$E116),SUMIFS('RAW_농산물_10월'!$G:$G,'RAW_농산물_10월'!$D:$D,$C116,'RAW_농산물_10월'!$A:$A,$E116),SUMIFS('RAW_농산물_11-12월'!$G:$G,'RAW_농산물_11-12월'!$D:$D,$C116,'RAW_농산물_11-12월'!$A:$A,$E116))))</f>
        <v>472200</v>
      </c>
      <c r="H116" s="14">
        <f>IF($C116="","",IF('설정'!$B$3=0,"",CHOOSE('설정'!$B$3,SUMIFS('RAW_농산물_7월'!$H:$H,'RAW_농산물_7월'!$D:$D,$C116,'RAW_농산물_7월'!$A:$A,$E116),SUMIFS('RAW_농산물_8월'!$H:$H,'RAW_농산물_8월'!$D:$D,$C116,'RAW_농산물_8월'!$A:$A,$E116),SUMIFS('RAW_농산물_9월'!$H:$H,'RAW_농산물_9월'!$D:$D,$C116,'RAW_농산물_9월'!$A:$A,$E116),SUMIFS('RAW_농산물_10월'!$H:$H,'RAW_농산물_10월'!$D:$D,$C116,'RAW_농산물_10월'!$A:$A,$E116),SUMIFS('RAW_농산물_11-12월'!$H:$H,'RAW_농산물_11-12월'!$D:$D,$C116,'RAW_농산물_11-12월'!$A:$A,$E116))))</f>
        <v>66017</v>
      </c>
      <c r="I116" s="17" t="str">
        <f>IF($C116="","",IF(COUNTIFS('RAW_농산물_7월'!$D:$D,$C116,'RAW_농산물_7월'!$A:$A,$E116)&gt;0,"O",""))</f>
        <v>O</v>
      </c>
      <c r="J116" s="17" t="str">
        <f>IF($C116="","",IF(COUNTIFS('RAW_농산물_8월'!$D:$D,$C116,'RAW_농산물_8월'!$A:$A,$E116)&gt;0,"O",""))</f>
        <v>O</v>
      </c>
      <c r="K116" s="17" t="str">
        <f>IF($C116="","",IF(COUNTIFS('RAW_농산물_9월'!$D:$D,$C116,'RAW_농산물_9월'!$A:$A,$E116)&gt;0,"O",""))</f>
        <v/>
      </c>
      <c r="L116" s="17" t="str">
        <f>IF($C116="","",IF(COUNTIFS('RAW_농산물_10월'!$D:$D,$C116,'RAW_농산물_10월'!$A:$A,$E116)&gt;0,"O",""))</f>
        <v/>
      </c>
      <c r="M116" s="17" t="str">
        <f>IF($C116="","",IF(COUNTIFS('RAW_농산물_11-12월'!$D:$D,$C116,'RAW_농산물_11-12월'!$A:$A,$E116)&gt;0,"O",""))</f>
        <v/>
      </c>
      <c r="N116" s="7">
        <f>IF($C116="","",IF(COUNTA('RAW_농산물_7월'!$A:$A)&lt;=1,"",SUMIFS('RAW_농산물_7월'!$H:$H,'RAW_농산물_7월'!$D:$D,$C116,'RAW_농산물_7월'!$A:$A,$E116)))</f>
        <v>15780</v>
      </c>
      <c r="O116" s="7">
        <f>IF($C116="","",IF(COUNTA('RAW_농산물_8월'!$A:$A)&lt;=1,"",SUMIFS('RAW_농산물_8월'!$H:$H,'RAW_농산물_8월'!$D:$D,$C116,'RAW_농산물_8월'!$A:$A,$E116)-SUMIFS('RAW_농산물_7월'!$H:$H,'RAW_농산물_7월'!$D:$D,$C116,'RAW_농산물_7월'!$A:$A,$E116)))</f>
        <v>50237</v>
      </c>
      <c r="P116" s="7" t="str">
        <f>IF($C116="","",IF(COUNTA('RAW_농산물_9월'!$A:$A)&lt;=1,"",SUMIFS('RAW_농산물_9월'!$H:$H,'RAW_농산물_9월'!$D:$D,$C116,'RAW_농산물_9월'!$A:$A,$E116)-SUMIFS('RAW_농산물_8월'!$H:$H,'RAW_농산물_8월'!$D:$D,$C116,'RAW_농산물_8월'!$A:$A,$E116)))</f>
        <v/>
      </c>
      <c r="Q116" s="7" t="str">
        <f>IF($C116="","",IF(COUNTA('RAW_농산물_10월'!$A:$A)&lt;=1,"",SUMIFS('RAW_농산물_10월'!$H:$H,'RAW_농산물_10월'!$D:$D,$C116,'RAW_농산물_10월'!$A:$A,$E116)-SUMIFS('RAW_농산물_9월'!$H:$H,'RAW_농산물_9월'!$D:$D,$C116,'RAW_농산물_9월'!$A:$A,$E116)))</f>
        <v/>
      </c>
      <c r="R116" s="7" t="str">
        <f>IF($C116="","",IF(COUNTA('RAW_농산물_11-12월'!$A:$A)&lt;=1,"",SUMIFS('RAW_농산물_11-12월'!$H:$H,'RAW_농산물_11-12월'!$D:$D,$C116,'RAW_농산물_11-12월'!$A:$A,$E116)-SUMIFS('RAW_농산물_10월'!$H:$H,'RAW_농산물_10월'!$D:$D,$C116,'RAW_농산물_10월'!$A:$A,$E116)))</f>
        <v/>
      </c>
      <c r="S116" s="17" t="str">
        <f t="shared" si="4"/>
        <v>O</v>
      </c>
      <c r="T116" s="17" t="str">
        <f t="shared" si="5"/>
        <v>50만원 미만</v>
      </c>
      <c r="U116" s="7">
        <f>IF($C116="",0,IF('설정'!$B$3=0,0,CHOOSE('설정'!$B$3,COUNTIFS('RAW_농산물_7월'!$D:$D,$C116,'RAW_농산물_7월'!$A:$A,$E116),COUNTIFS('RAW_농산물_8월'!$D:$D,$C116,'RAW_농산물_8월'!$A:$A,$E116),COUNTIFS('RAW_농산물_9월'!$D:$D,$C116,'RAW_농산물_9월'!$A:$A,$E116),COUNTIFS('RAW_농산물_10월'!$D:$D,$C116,'RAW_농산물_10월'!$A:$A,$E116),COUNTIFS('RAW_농산물_11-12월'!$D:$D,$C116,'RAW_농산물_11-12월'!$A:$A,$E116))))</f>
        <v>6</v>
      </c>
    </row>
    <row r="117" ht="15.75" customHeight="1">
      <c r="A117" s="5">
        <v>115.0</v>
      </c>
      <c r="B117" s="5" t="s">
        <v>25</v>
      </c>
      <c r="C117" s="5" t="s">
        <v>1486</v>
      </c>
      <c r="D117" s="6" t="s">
        <v>1485</v>
      </c>
      <c r="E117" s="5" t="s">
        <v>93</v>
      </c>
      <c r="F117" s="7">
        <f>IF($C117="","",IF('설정'!$B$3=0,"",CHOOSE('설정'!$B$3,SUMIFS('RAW_농산물_7월'!$F:$F,'RAW_농산물_7월'!$D:$D,$C117,'RAW_농산물_7월'!$A:$A,$E117),SUMIFS('RAW_농산물_8월'!$F:$F,'RAW_농산물_8월'!$D:$D,$C117,'RAW_농산물_8월'!$A:$A,$E117),SUMIFS('RAW_농산물_9월'!$F:$F,'RAW_농산물_9월'!$D:$D,$C117,'RAW_농산물_9월'!$A:$A,$E117),SUMIFS('RAW_농산물_10월'!$F:$F,'RAW_농산물_10월'!$D:$D,$C117,'RAW_농산물_10월'!$A:$A,$E117),SUMIFS('RAW_농산물_11-12월'!$F:$F,'RAW_농산물_11-12월'!$D:$D,$C117,'RAW_농산물_11-12월'!$A:$A,$E117))))</f>
        <v>589</v>
      </c>
      <c r="G117" s="7">
        <f>IF($C117="","",IF('설정'!$B$3=0,"",CHOOSE('설정'!$B$3,SUMIFS('RAW_농산물_7월'!$G:$G,'RAW_농산물_7월'!$D:$D,$C117,'RAW_농산물_7월'!$A:$A,$E117),SUMIFS('RAW_농산물_8월'!$G:$G,'RAW_농산물_8월'!$D:$D,$C117,'RAW_농산물_8월'!$A:$A,$E117),SUMIFS('RAW_농산물_9월'!$G:$G,'RAW_농산물_9월'!$D:$D,$C117,'RAW_농산물_9월'!$A:$A,$E117),SUMIFS('RAW_농산물_10월'!$G:$G,'RAW_농산물_10월'!$D:$D,$C117,'RAW_농산물_10월'!$A:$A,$E117),SUMIFS('RAW_농산물_11-12월'!$G:$G,'RAW_농산물_11-12월'!$D:$D,$C117,'RAW_농산물_11-12월'!$A:$A,$E117))))</f>
        <v>18159600</v>
      </c>
      <c r="H117" s="14">
        <f>IF($C117="","",IF('설정'!$B$3=0,"",CHOOSE('설정'!$B$3,SUMIFS('RAW_농산물_7월'!$H:$H,'RAW_농산물_7월'!$D:$D,$C117,'RAW_농산물_7월'!$A:$A,$E117),SUMIFS('RAW_농산물_8월'!$H:$H,'RAW_농산물_8월'!$D:$D,$C117,'RAW_농산물_8월'!$A:$A,$E117),SUMIFS('RAW_농산물_9월'!$H:$H,'RAW_농산물_9월'!$D:$D,$C117,'RAW_농산물_9월'!$A:$A,$E117),SUMIFS('RAW_농산물_10월'!$H:$H,'RAW_농산물_10월'!$D:$D,$C117,'RAW_농산물_10월'!$A:$A,$E117),SUMIFS('RAW_농산물_11-12월'!$H:$H,'RAW_농산물_11-12월'!$D:$D,$C117,'RAW_농산물_11-12월'!$A:$A,$E117))))</f>
        <v>281240</v>
      </c>
      <c r="I117" s="17" t="str">
        <f>IF($C117="","",IF(COUNTIFS('RAW_농산물_7월'!$D:$D,$C117,'RAW_농산물_7월'!$A:$A,$E117)&gt;0,"O",""))</f>
        <v>O</v>
      </c>
      <c r="J117" s="17" t="str">
        <f>IF($C117="","",IF(COUNTIFS('RAW_농산물_8월'!$D:$D,$C117,'RAW_농산물_8월'!$A:$A,$E117)&gt;0,"O",""))</f>
        <v>O</v>
      </c>
      <c r="K117" s="17" t="str">
        <f>IF($C117="","",IF(COUNTIFS('RAW_농산물_9월'!$D:$D,$C117,'RAW_농산물_9월'!$A:$A,$E117)&gt;0,"O",""))</f>
        <v/>
      </c>
      <c r="L117" s="17" t="str">
        <f>IF($C117="","",IF(COUNTIFS('RAW_농산물_10월'!$D:$D,$C117,'RAW_농산물_10월'!$A:$A,$E117)&gt;0,"O",""))</f>
        <v/>
      </c>
      <c r="M117" s="17" t="str">
        <f>IF($C117="","",IF(COUNTIFS('RAW_농산물_11-12월'!$D:$D,$C117,'RAW_농산물_11-12월'!$A:$A,$E117)&gt;0,"O",""))</f>
        <v/>
      </c>
      <c r="N117" s="7">
        <f>IF($C117="","",IF(COUNTA('RAW_농산물_7월'!$A:$A)&lt;=1,"",SUMIFS('RAW_농산물_7월'!$H:$H,'RAW_농산물_7월'!$D:$D,$C117,'RAW_농산물_7월'!$A:$A,$E117)))</f>
        <v>281240</v>
      </c>
      <c r="O117" s="7">
        <f>IF($C117="","",IF(COUNTA('RAW_농산물_8월'!$A:$A)&lt;=1,"",SUMIFS('RAW_농산물_8월'!$H:$H,'RAW_농산물_8월'!$D:$D,$C117,'RAW_농산물_8월'!$A:$A,$E117)-SUMIFS('RAW_농산물_7월'!$H:$H,'RAW_농산물_7월'!$D:$D,$C117,'RAW_농산물_7월'!$A:$A,$E117)))</f>
        <v>0</v>
      </c>
      <c r="P117" s="7" t="str">
        <f>IF($C117="","",IF(COUNTA('RAW_농산물_9월'!$A:$A)&lt;=1,"",SUMIFS('RAW_농산물_9월'!$H:$H,'RAW_농산물_9월'!$D:$D,$C117,'RAW_농산물_9월'!$A:$A,$E117)-SUMIFS('RAW_농산물_8월'!$H:$H,'RAW_농산물_8월'!$D:$D,$C117,'RAW_농산물_8월'!$A:$A,$E117)))</f>
        <v/>
      </c>
      <c r="Q117" s="7" t="str">
        <f>IF($C117="","",IF(COUNTA('RAW_농산물_10월'!$A:$A)&lt;=1,"",SUMIFS('RAW_농산물_10월'!$H:$H,'RAW_농산물_10월'!$D:$D,$C117,'RAW_농산물_10월'!$A:$A,$E117)-SUMIFS('RAW_농산물_9월'!$H:$H,'RAW_농산물_9월'!$D:$D,$C117,'RAW_농산물_9월'!$A:$A,$E117)))</f>
        <v/>
      </c>
      <c r="R117" s="7" t="str">
        <f>IF($C117="","",IF(COUNTA('RAW_농산물_11-12월'!$A:$A)&lt;=1,"",SUMIFS('RAW_농산물_11-12월'!$H:$H,'RAW_농산물_11-12월'!$D:$D,$C117,'RAW_농산물_11-12월'!$A:$A,$E117)-SUMIFS('RAW_농산물_10월'!$H:$H,'RAW_농산물_10월'!$D:$D,$C117,'RAW_농산물_10월'!$A:$A,$E117)))</f>
        <v/>
      </c>
      <c r="S117" s="17" t="str">
        <f t="shared" si="4"/>
        <v>O</v>
      </c>
      <c r="T117" s="17" t="str">
        <f t="shared" si="5"/>
        <v>50만원 미만</v>
      </c>
      <c r="U117" s="7">
        <f>IF($C117="",0,IF('설정'!$B$3=0,0,CHOOSE('설정'!$B$3,COUNTIFS('RAW_농산물_7월'!$D:$D,$C117,'RAW_농산물_7월'!$A:$A,$E117),COUNTIFS('RAW_농산물_8월'!$D:$D,$C117,'RAW_농산물_8월'!$A:$A,$E117),COUNTIFS('RAW_농산물_9월'!$D:$D,$C117,'RAW_농산물_9월'!$A:$A,$E117),COUNTIFS('RAW_농산물_10월'!$D:$D,$C117,'RAW_농산물_10월'!$A:$A,$E117),COUNTIFS('RAW_농산물_11-12월'!$D:$D,$C117,'RAW_농산물_11-12월'!$A:$A,$E117))))</f>
        <v>10</v>
      </c>
    </row>
    <row r="118" ht="15.75" customHeight="1">
      <c r="A118" s="5">
        <v>116.0</v>
      </c>
      <c r="B118" s="5" t="s">
        <v>145</v>
      </c>
      <c r="C118" s="5" t="s">
        <v>2951</v>
      </c>
      <c r="D118" s="6" t="s">
        <v>2952</v>
      </c>
      <c r="E118" s="5" t="s">
        <v>92</v>
      </c>
      <c r="F118" s="7">
        <f>IF($C118="","",IF('설정'!$B$3=0,"",CHOOSE('설정'!$B$3,SUMIFS('RAW_농산물_7월'!$F:$F,'RAW_농산물_7월'!$D:$D,$C118,'RAW_농산물_7월'!$A:$A,$E118),SUMIFS('RAW_농산물_8월'!$F:$F,'RAW_농산물_8월'!$D:$D,$C118,'RAW_농산물_8월'!$A:$A,$E118),SUMIFS('RAW_농산물_9월'!$F:$F,'RAW_농산물_9월'!$D:$D,$C118,'RAW_농산물_9월'!$A:$A,$E118),SUMIFS('RAW_농산물_10월'!$F:$F,'RAW_농산물_10월'!$D:$D,$C118,'RAW_농산물_10월'!$A:$A,$E118),SUMIFS('RAW_농산물_11-12월'!$F:$F,'RAW_농산물_11-12월'!$D:$D,$C118,'RAW_농산물_11-12월'!$A:$A,$E118))))</f>
        <v>0</v>
      </c>
      <c r="G118" s="7">
        <f>IF($C118="","",IF('설정'!$B$3=0,"",CHOOSE('설정'!$B$3,SUMIFS('RAW_농산물_7월'!$G:$G,'RAW_농산물_7월'!$D:$D,$C118,'RAW_농산물_7월'!$A:$A,$E118),SUMIFS('RAW_농산물_8월'!$G:$G,'RAW_농산물_8월'!$D:$D,$C118,'RAW_농산물_8월'!$A:$A,$E118),SUMIFS('RAW_농산물_9월'!$G:$G,'RAW_농산물_9월'!$D:$D,$C118,'RAW_농산물_9월'!$A:$A,$E118),SUMIFS('RAW_농산물_10월'!$G:$G,'RAW_농산물_10월'!$D:$D,$C118,'RAW_농산물_10월'!$A:$A,$E118),SUMIFS('RAW_농산물_11-12월'!$G:$G,'RAW_농산물_11-12월'!$D:$D,$C118,'RAW_농산물_11-12월'!$A:$A,$E118))))</f>
        <v>0</v>
      </c>
      <c r="H118" s="14">
        <f>IF($C118="","",IF('설정'!$B$3=0,"",CHOOSE('설정'!$B$3,SUMIFS('RAW_농산물_7월'!$H:$H,'RAW_농산물_7월'!$D:$D,$C118,'RAW_농산물_7월'!$A:$A,$E118),SUMIFS('RAW_농산물_8월'!$H:$H,'RAW_농산물_8월'!$D:$D,$C118,'RAW_농산물_8월'!$A:$A,$E118),SUMIFS('RAW_농산물_9월'!$H:$H,'RAW_농산물_9월'!$D:$D,$C118,'RAW_농산물_9월'!$A:$A,$E118),SUMIFS('RAW_농산물_10월'!$H:$H,'RAW_농산물_10월'!$D:$D,$C118,'RAW_농산물_10월'!$A:$A,$E118),SUMIFS('RAW_농산물_11-12월'!$H:$H,'RAW_농산물_11-12월'!$D:$D,$C118,'RAW_농산물_11-12월'!$A:$A,$E118))))</f>
        <v>0</v>
      </c>
      <c r="I118" s="17" t="str">
        <f>IF($C118="","",IF(COUNTIFS('RAW_농산물_7월'!$D:$D,$C118,'RAW_농산물_7월'!$A:$A,$E118)&gt;0,"O",""))</f>
        <v/>
      </c>
      <c r="J118" s="17" t="str">
        <f>IF($C118="","",IF(COUNTIFS('RAW_농산물_8월'!$D:$D,$C118,'RAW_농산물_8월'!$A:$A,$E118)&gt;0,"O",""))</f>
        <v/>
      </c>
      <c r="K118" s="17" t="str">
        <f>IF($C118="","",IF(COUNTIFS('RAW_농산물_9월'!$D:$D,$C118,'RAW_농산물_9월'!$A:$A,$E118)&gt;0,"O",""))</f>
        <v/>
      </c>
      <c r="L118" s="17" t="str">
        <f>IF($C118="","",IF(COUNTIFS('RAW_농산물_10월'!$D:$D,$C118,'RAW_농산물_10월'!$A:$A,$E118)&gt;0,"O",""))</f>
        <v/>
      </c>
      <c r="M118" s="17" t="str">
        <f>IF($C118="","",IF(COUNTIFS('RAW_농산물_11-12월'!$D:$D,$C118,'RAW_농산물_11-12월'!$A:$A,$E118)&gt;0,"O",""))</f>
        <v/>
      </c>
      <c r="N118" s="7">
        <f>IF($C118="","",IF(COUNTA('RAW_농산물_7월'!$A:$A)&lt;=1,"",SUMIFS('RAW_농산물_7월'!$H:$H,'RAW_농산물_7월'!$D:$D,$C118,'RAW_농산물_7월'!$A:$A,$E118)))</f>
        <v>0</v>
      </c>
      <c r="O118" s="7">
        <f>IF($C118="","",IF(COUNTA('RAW_농산물_8월'!$A:$A)&lt;=1,"",SUMIFS('RAW_농산물_8월'!$H:$H,'RAW_농산물_8월'!$D:$D,$C118,'RAW_농산물_8월'!$A:$A,$E118)-SUMIFS('RAW_농산물_7월'!$H:$H,'RAW_농산물_7월'!$D:$D,$C118,'RAW_농산물_7월'!$A:$A,$E118)))</f>
        <v>0</v>
      </c>
      <c r="P118" s="7" t="str">
        <f>IF($C118="","",IF(COUNTA('RAW_농산물_9월'!$A:$A)&lt;=1,"",SUMIFS('RAW_농산물_9월'!$H:$H,'RAW_농산물_9월'!$D:$D,$C118,'RAW_농산물_9월'!$A:$A,$E118)-SUMIFS('RAW_농산물_8월'!$H:$H,'RAW_농산물_8월'!$D:$D,$C118,'RAW_농산물_8월'!$A:$A,$E118)))</f>
        <v/>
      </c>
      <c r="Q118" s="7" t="str">
        <f>IF($C118="","",IF(COUNTA('RAW_농산물_10월'!$A:$A)&lt;=1,"",SUMIFS('RAW_농산물_10월'!$H:$H,'RAW_농산물_10월'!$D:$D,$C118,'RAW_농산물_10월'!$A:$A,$E118)-SUMIFS('RAW_농산물_9월'!$H:$H,'RAW_농산물_9월'!$D:$D,$C118,'RAW_농산물_9월'!$A:$A,$E118)))</f>
        <v/>
      </c>
      <c r="R118" s="7" t="str">
        <f>IF($C118="","",IF(COUNTA('RAW_농산물_11-12월'!$A:$A)&lt;=1,"",SUMIFS('RAW_농산물_11-12월'!$H:$H,'RAW_농산물_11-12월'!$D:$D,$C118,'RAW_농산물_11-12월'!$A:$A,$E118)-SUMIFS('RAW_농산물_10월'!$H:$H,'RAW_농산물_10월'!$D:$D,$C118,'RAW_농산물_10월'!$A:$A,$E118)))</f>
        <v/>
      </c>
      <c r="S118" s="17" t="str">
        <f t="shared" si="4"/>
        <v/>
      </c>
      <c r="T118" s="17" t="str">
        <f t="shared" si="5"/>
        <v>미사용</v>
      </c>
      <c r="U118" s="7">
        <f>IF($C118="",0,IF('설정'!$B$3=0,0,CHOOSE('설정'!$B$3,COUNTIFS('RAW_농산물_7월'!$D:$D,$C118,'RAW_농산물_7월'!$A:$A,$E118),COUNTIFS('RAW_농산물_8월'!$D:$D,$C118,'RAW_농산물_8월'!$A:$A,$E118),COUNTIFS('RAW_농산물_9월'!$D:$D,$C118,'RAW_농산물_9월'!$A:$A,$E118),COUNTIFS('RAW_농산물_10월'!$D:$D,$C118,'RAW_농산물_10월'!$A:$A,$E118),COUNTIFS('RAW_농산물_11-12월'!$D:$D,$C118,'RAW_농산물_11-12월'!$A:$A,$E118))))</f>
        <v>0</v>
      </c>
    </row>
    <row r="119" ht="15.75" customHeight="1">
      <c r="A119" s="5">
        <v>117.0</v>
      </c>
      <c r="B119" s="5" t="s">
        <v>25</v>
      </c>
      <c r="C119" s="5" t="s">
        <v>2953</v>
      </c>
      <c r="D119" s="6" t="s">
        <v>2954</v>
      </c>
      <c r="E119" s="5" t="s">
        <v>28</v>
      </c>
      <c r="F119" s="7">
        <f>IF($C119="","",IF('설정'!$B$3=0,"",CHOOSE('설정'!$B$3,SUMIFS('RAW_농산물_7월'!$F:$F,'RAW_농산물_7월'!$D:$D,$C119,'RAW_농산물_7월'!$A:$A,$E119),SUMIFS('RAW_농산물_8월'!$F:$F,'RAW_농산물_8월'!$D:$D,$C119,'RAW_농산물_8월'!$A:$A,$E119),SUMIFS('RAW_농산물_9월'!$F:$F,'RAW_농산물_9월'!$D:$D,$C119,'RAW_농산물_9월'!$A:$A,$E119),SUMIFS('RAW_농산물_10월'!$F:$F,'RAW_농산물_10월'!$D:$D,$C119,'RAW_농산물_10월'!$A:$A,$E119),SUMIFS('RAW_농산물_11-12월'!$F:$F,'RAW_농산물_11-12월'!$D:$D,$C119,'RAW_농산물_11-12월'!$A:$A,$E119))))</f>
        <v>0</v>
      </c>
      <c r="G119" s="7">
        <f>IF($C119="","",IF('설정'!$B$3=0,"",CHOOSE('설정'!$B$3,SUMIFS('RAW_농산물_7월'!$G:$G,'RAW_농산물_7월'!$D:$D,$C119,'RAW_농산물_7월'!$A:$A,$E119),SUMIFS('RAW_농산물_8월'!$G:$G,'RAW_농산물_8월'!$D:$D,$C119,'RAW_농산물_8월'!$A:$A,$E119),SUMIFS('RAW_농산물_9월'!$G:$G,'RAW_농산물_9월'!$D:$D,$C119,'RAW_농산물_9월'!$A:$A,$E119),SUMIFS('RAW_농산물_10월'!$G:$G,'RAW_농산물_10월'!$D:$D,$C119,'RAW_농산물_10월'!$A:$A,$E119),SUMIFS('RAW_농산물_11-12월'!$G:$G,'RAW_농산물_11-12월'!$D:$D,$C119,'RAW_농산물_11-12월'!$A:$A,$E119))))</f>
        <v>0</v>
      </c>
      <c r="H119" s="14">
        <f>IF($C119="","",IF('설정'!$B$3=0,"",CHOOSE('설정'!$B$3,SUMIFS('RAW_농산물_7월'!$H:$H,'RAW_농산물_7월'!$D:$D,$C119,'RAW_농산물_7월'!$A:$A,$E119),SUMIFS('RAW_농산물_8월'!$H:$H,'RAW_농산물_8월'!$D:$D,$C119,'RAW_농산물_8월'!$A:$A,$E119),SUMIFS('RAW_농산물_9월'!$H:$H,'RAW_농산물_9월'!$D:$D,$C119,'RAW_농산물_9월'!$A:$A,$E119),SUMIFS('RAW_농산물_10월'!$H:$H,'RAW_농산물_10월'!$D:$D,$C119,'RAW_농산물_10월'!$A:$A,$E119),SUMIFS('RAW_농산물_11-12월'!$H:$H,'RAW_농산물_11-12월'!$D:$D,$C119,'RAW_농산물_11-12월'!$A:$A,$E119))))</f>
        <v>0</v>
      </c>
      <c r="I119" s="17" t="str">
        <f>IF($C119="","",IF(COUNTIFS('RAW_농산물_7월'!$D:$D,$C119,'RAW_농산물_7월'!$A:$A,$E119)&gt;0,"O",""))</f>
        <v/>
      </c>
      <c r="J119" s="17" t="str">
        <f>IF($C119="","",IF(COUNTIFS('RAW_농산물_8월'!$D:$D,$C119,'RAW_농산물_8월'!$A:$A,$E119)&gt;0,"O",""))</f>
        <v/>
      </c>
      <c r="K119" s="17" t="str">
        <f>IF($C119="","",IF(COUNTIFS('RAW_농산물_9월'!$D:$D,$C119,'RAW_농산물_9월'!$A:$A,$E119)&gt;0,"O",""))</f>
        <v/>
      </c>
      <c r="L119" s="17" t="str">
        <f>IF($C119="","",IF(COUNTIFS('RAW_농산물_10월'!$D:$D,$C119,'RAW_농산물_10월'!$A:$A,$E119)&gt;0,"O",""))</f>
        <v/>
      </c>
      <c r="M119" s="17" t="str">
        <f>IF($C119="","",IF(COUNTIFS('RAW_농산물_11-12월'!$D:$D,$C119,'RAW_농산물_11-12월'!$A:$A,$E119)&gt;0,"O",""))</f>
        <v/>
      </c>
      <c r="N119" s="7">
        <f>IF($C119="","",IF(COUNTA('RAW_농산물_7월'!$A:$A)&lt;=1,"",SUMIFS('RAW_농산물_7월'!$H:$H,'RAW_농산물_7월'!$D:$D,$C119,'RAW_농산물_7월'!$A:$A,$E119)))</f>
        <v>0</v>
      </c>
      <c r="O119" s="7">
        <f>IF($C119="","",IF(COUNTA('RAW_농산물_8월'!$A:$A)&lt;=1,"",SUMIFS('RAW_농산물_8월'!$H:$H,'RAW_농산물_8월'!$D:$D,$C119,'RAW_농산물_8월'!$A:$A,$E119)-SUMIFS('RAW_농산물_7월'!$H:$H,'RAW_농산물_7월'!$D:$D,$C119,'RAW_농산물_7월'!$A:$A,$E119)))</f>
        <v>0</v>
      </c>
      <c r="P119" s="7" t="str">
        <f>IF($C119="","",IF(COUNTA('RAW_농산물_9월'!$A:$A)&lt;=1,"",SUMIFS('RAW_농산물_9월'!$H:$H,'RAW_농산물_9월'!$D:$D,$C119,'RAW_농산물_9월'!$A:$A,$E119)-SUMIFS('RAW_농산물_8월'!$H:$H,'RAW_농산물_8월'!$D:$D,$C119,'RAW_농산물_8월'!$A:$A,$E119)))</f>
        <v/>
      </c>
      <c r="Q119" s="7" t="str">
        <f>IF($C119="","",IF(COUNTA('RAW_농산물_10월'!$A:$A)&lt;=1,"",SUMIFS('RAW_농산물_10월'!$H:$H,'RAW_농산물_10월'!$D:$D,$C119,'RAW_농산물_10월'!$A:$A,$E119)-SUMIFS('RAW_농산물_9월'!$H:$H,'RAW_농산물_9월'!$D:$D,$C119,'RAW_농산물_9월'!$A:$A,$E119)))</f>
        <v/>
      </c>
      <c r="R119" s="7" t="str">
        <f>IF($C119="","",IF(COUNTA('RAW_농산물_11-12월'!$A:$A)&lt;=1,"",SUMIFS('RAW_농산물_11-12월'!$H:$H,'RAW_농산물_11-12월'!$D:$D,$C119,'RAW_농산물_11-12월'!$A:$A,$E119)-SUMIFS('RAW_농산물_10월'!$H:$H,'RAW_농산물_10월'!$D:$D,$C119,'RAW_농산물_10월'!$A:$A,$E119)))</f>
        <v/>
      </c>
      <c r="S119" s="17" t="str">
        <f t="shared" si="4"/>
        <v/>
      </c>
      <c r="T119" s="17" t="str">
        <f t="shared" si="5"/>
        <v>미사용</v>
      </c>
      <c r="U119" s="7">
        <f>IF($C119="",0,IF('설정'!$B$3=0,0,CHOOSE('설정'!$B$3,COUNTIFS('RAW_농산물_7월'!$D:$D,$C119,'RAW_농산물_7월'!$A:$A,$E119),COUNTIFS('RAW_농산물_8월'!$D:$D,$C119,'RAW_농산물_8월'!$A:$A,$E119),COUNTIFS('RAW_농산물_9월'!$D:$D,$C119,'RAW_농산물_9월'!$A:$A,$E119),COUNTIFS('RAW_농산물_10월'!$D:$D,$C119,'RAW_농산물_10월'!$A:$A,$E119),COUNTIFS('RAW_농산물_11-12월'!$D:$D,$C119,'RAW_농산물_11-12월'!$A:$A,$E119))))</f>
        <v>0</v>
      </c>
    </row>
    <row r="120" ht="15.75" customHeight="1">
      <c r="A120" s="5">
        <v>118.0</v>
      </c>
      <c r="B120" s="5" t="s">
        <v>108</v>
      </c>
      <c r="C120" s="5" t="s">
        <v>1933</v>
      </c>
      <c r="D120" s="6" t="s">
        <v>1932</v>
      </c>
      <c r="E120" s="5" t="s">
        <v>94</v>
      </c>
      <c r="F120" s="7">
        <f>IF($C120="","",IF('설정'!$B$3=0,"",CHOOSE('설정'!$B$3,SUMIFS('RAW_농산물_7월'!$F:$F,'RAW_농산물_7월'!$D:$D,$C120,'RAW_농산물_7월'!$A:$A,$E120),SUMIFS('RAW_농산물_8월'!$F:$F,'RAW_농산물_8월'!$D:$D,$C120,'RAW_농산물_8월'!$A:$A,$E120),SUMIFS('RAW_농산물_9월'!$F:$F,'RAW_농산물_9월'!$D:$D,$C120,'RAW_농산물_9월'!$A:$A,$E120),SUMIFS('RAW_농산물_10월'!$F:$F,'RAW_농산물_10월'!$D:$D,$C120,'RAW_농산물_10월'!$A:$A,$E120),SUMIFS('RAW_농산물_11-12월'!$F:$F,'RAW_농산물_11-12월'!$D:$D,$C120,'RAW_농산물_11-12월'!$A:$A,$E120))))</f>
        <v>4</v>
      </c>
      <c r="G120" s="7">
        <f>IF($C120="","",IF('설정'!$B$3=0,"",CHOOSE('설정'!$B$3,SUMIFS('RAW_농산물_7월'!$G:$G,'RAW_농산물_7월'!$D:$D,$C120,'RAW_농산물_7월'!$A:$A,$E120),SUMIFS('RAW_농산물_8월'!$G:$G,'RAW_농산물_8월'!$D:$D,$C120,'RAW_농산물_8월'!$A:$A,$E120),SUMIFS('RAW_농산물_9월'!$G:$G,'RAW_농산물_9월'!$D:$D,$C120,'RAW_농산물_9월'!$A:$A,$E120),SUMIFS('RAW_농산물_10월'!$G:$G,'RAW_농산물_10월'!$D:$D,$C120,'RAW_농산물_10월'!$A:$A,$E120),SUMIFS('RAW_농산물_11-12월'!$G:$G,'RAW_농산물_11-12월'!$D:$D,$C120,'RAW_농산물_11-12월'!$A:$A,$E120))))</f>
        <v>123400</v>
      </c>
      <c r="H120" s="14">
        <f>IF($C120="","",IF('설정'!$B$3=0,"",CHOOSE('설정'!$B$3,SUMIFS('RAW_농산물_7월'!$H:$H,'RAW_농산물_7월'!$D:$D,$C120,'RAW_농산물_7월'!$A:$A,$E120),SUMIFS('RAW_농산물_8월'!$H:$H,'RAW_농산물_8월'!$D:$D,$C120,'RAW_농산물_8월'!$A:$A,$E120),SUMIFS('RAW_농산물_9월'!$H:$H,'RAW_농산물_9월'!$D:$D,$C120,'RAW_농산물_9월'!$A:$A,$E120),SUMIFS('RAW_농산물_10월'!$H:$H,'RAW_농산물_10월'!$D:$D,$C120,'RAW_농산물_10월'!$A:$A,$E120),SUMIFS('RAW_농산물_11-12월'!$H:$H,'RAW_농산물_11-12월'!$D:$D,$C120,'RAW_농산물_11-12월'!$A:$A,$E120))))</f>
        <v>19700</v>
      </c>
      <c r="I120" s="17" t="str">
        <f>IF($C120="","",IF(COUNTIFS('RAW_농산물_7월'!$D:$D,$C120,'RAW_농산물_7월'!$A:$A,$E120)&gt;0,"O",""))</f>
        <v/>
      </c>
      <c r="J120" s="17" t="str">
        <f>IF($C120="","",IF(COUNTIFS('RAW_농산물_8월'!$D:$D,$C120,'RAW_농산물_8월'!$A:$A,$E120)&gt;0,"O",""))</f>
        <v>O</v>
      </c>
      <c r="K120" s="17" t="str">
        <f>IF($C120="","",IF(COUNTIFS('RAW_농산물_9월'!$D:$D,$C120,'RAW_농산물_9월'!$A:$A,$E120)&gt;0,"O",""))</f>
        <v/>
      </c>
      <c r="L120" s="17" t="str">
        <f>IF($C120="","",IF(COUNTIFS('RAW_농산물_10월'!$D:$D,$C120,'RAW_농산물_10월'!$A:$A,$E120)&gt;0,"O",""))</f>
        <v/>
      </c>
      <c r="M120" s="17" t="str">
        <f>IF($C120="","",IF(COUNTIFS('RAW_농산물_11-12월'!$D:$D,$C120,'RAW_농산물_11-12월'!$A:$A,$E120)&gt;0,"O",""))</f>
        <v/>
      </c>
      <c r="N120" s="7">
        <f>IF($C120="","",IF(COUNTA('RAW_농산물_7월'!$A:$A)&lt;=1,"",SUMIFS('RAW_농산물_7월'!$H:$H,'RAW_농산물_7월'!$D:$D,$C120,'RAW_농산물_7월'!$A:$A,$E120)))</f>
        <v>0</v>
      </c>
      <c r="O120" s="7">
        <f>IF($C120="","",IF(COUNTA('RAW_농산물_8월'!$A:$A)&lt;=1,"",SUMIFS('RAW_농산물_8월'!$H:$H,'RAW_농산물_8월'!$D:$D,$C120,'RAW_농산물_8월'!$A:$A,$E120)-SUMIFS('RAW_농산물_7월'!$H:$H,'RAW_농산물_7월'!$D:$D,$C120,'RAW_농산물_7월'!$A:$A,$E120)))</f>
        <v>19700</v>
      </c>
      <c r="P120" s="7" t="str">
        <f>IF($C120="","",IF(COUNTA('RAW_농산물_9월'!$A:$A)&lt;=1,"",SUMIFS('RAW_농산물_9월'!$H:$H,'RAW_농산물_9월'!$D:$D,$C120,'RAW_농산물_9월'!$A:$A,$E120)-SUMIFS('RAW_농산물_8월'!$H:$H,'RAW_농산물_8월'!$D:$D,$C120,'RAW_농산물_8월'!$A:$A,$E120)))</f>
        <v/>
      </c>
      <c r="Q120" s="7" t="str">
        <f>IF($C120="","",IF(COUNTA('RAW_농산물_10월'!$A:$A)&lt;=1,"",SUMIFS('RAW_농산물_10월'!$H:$H,'RAW_농산물_10월'!$D:$D,$C120,'RAW_농산물_10월'!$A:$A,$E120)-SUMIFS('RAW_농산물_9월'!$H:$H,'RAW_농산물_9월'!$D:$D,$C120,'RAW_농산물_9월'!$A:$A,$E120)))</f>
        <v/>
      </c>
      <c r="R120" s="7" t="str">
        <f>IF($C120="","",IF(COUNTA('RAW_농산물_11-12월'!$A:$A)&lt;=1,"",SUMIFS('RAW_농산물_11-12월'!$H:$H,'RAW_농산물_11-12월'!$D:$D,$C120,'RAW_농산물_11-12월'!$A:$A,$E120)-SUMIFS('RAW_농산물_10월'!$H:$H,'RAW_농산물_10월'!$D:$D,$C120,'RAW_농산물_10월'!$A:$A,$E120)))</f>
        <v/>
      </c>
      <c r="S120" s="17" t="str">
        <f t="shared" si="4"/>
        <v>O</v>
      </c>
      <c r="T120" s="17" t="str">
        <f t="shared" si="5"/>
        <v>50만원 미만</v>
      </c>
      <c r="U120" s="7">
        <f>IF($C120="",0,IF('설정'!$B$3=0,0,CHOOSE('설정'!$B$3,COUNTIFS('RAW_농산물_7월'!$D:$D,$C120,'RAW_농산물_7월'!$A:$A,$E120),COUNTIFS('RAW_농산물_8월'!$D:$D,$C120,'RAW_농산물_8월'!$A:$A,$E120),COUNTIFS('RAW_농산물_9월'!$D:$D,$C120,'RAW_농산물_9월'!$A:$A,$E120),COUNTIFS('RAW_농산물_10월'!$D:$D,$C120,'RAW_농산물_10월'!$A:$A,$E120),COUNTIFS('RAW_농산물_11-12월'!$D:$D,$C120,'RAW_농산물_11-12월'!$A:$A,$E120))))</f>
        <v>1</v>
      </c>
    </row>
    <row r="121" ht="15.75" customHeight="1">
      <c r="A121" s="5">
        <v>119.0</v>
      </c>
      <c r="B121" s="5" t="s">
        <v>145</v>
      </c>
      <c r="C121" s="5" t="s">
        <v>1724</v>
      </c>
      <c r="D121" s="6" t="s">
        <v>1723</v>
      </c>
      <c r="E121" s="5" t="s">
        <v>31</v>
      </c>
      <c r="F121" s="7">
        <f>IF($C121="","",IF('설정'!$B$3=0,"",CHOOSE('설정'!$B$3,SUMIFS('RAW_농산물_7월'!$F:$F,'RAW_농산물_7월'!$D:$D,$C121,'RAW_농산물_7월'!$A:$A,$E121),SUMIFS('RAW_농산물_8월'!$F:$F,'RAW_농산물_8월'!$D:$D,$C121,'RAW_농산물_8월'!$A:$A,$E121),SUMIFS('RAW_농산물_9월'!$F:$F,'RAW_농산물_9월'!$D:$D,$C121,'RAW_농산물_9월'!$A:$A,$E121),SUMIFS('RAW_농산물_10월'!$F:$F,'RAW_농산물_10월'!$D:$D,$C121,'RAW_농산물_10월'!$A:$A,$E121),SUMIFS('RAW_농산물_11-12월'!$F:$F,'RAW_농산물_11-12월'!$D:$D,$C121,'RAW_농산물_11-12월'!$A:$A,$E121))))</f>
        <v>37</v>
      </c>
      <c r="G121" s="7">
        <f>IF($C121="","",IF('설정'!$B$3=0,"",CHOOSE('설정'!$B$3,SUMIFS('RAW_농산물_7월'!$G:$G,'RAW_농산물_7월'!$D:$D,$C121,'RAW_농산물_7월'!$A:$A,$E121),SUMIFS('RAW_농산물_8월'!$G:$G,'RAW_농산물_8월'!$D:$D,$C121,'RAW_농산물_8월'!$A:$A,$E121),SUMIFS('RAW_농산물_9월'!$G:$G,'RAW_농산물_9월'!$D:$D,$C121,'RAW_농산물_9월'!$A:$A,$E121),SUMIFS('RAW_농산물_10월'!$G:$G,'RAW_농산물_10월'!$D:$D,$C121,'RAW_농산물_10월'!$A:$A,$E121),SUMIFS('RAW_농산물_11-12월'!$G:$G,'RAW_농산물_11-12월'!$D:$D,$C121,'RAW_농산물_11-12월'!$A:$A,$E121))))</f>
        <v>937000</v>
      </c>
      <c r="H121" s="14">
        <f>IF($C121="","",IF('설정'!$B$3=0,"",CHOOSE('설정'!$B$3,SUMIFS('RAW_농산물_7월'!$H:$H,'RAW_농산물_7월'!$D:$D,$C121,'RAW_농산물_7월'!$A:$A,$E121),SUMIFS('RAW_농산물_8월'!$H:$H,'RAW_농산물_8월'!$D:$D,$C121,'RAW_농산물_8월'!$A:$A,$E121),SUMIFS('RAW_농산물_9월'!$H:$H,'RAW_농산물_9월'!$D:$D,$C121,'RAW_농산물_9월'!$A:$A,$E121),SUMIFS('RAW_농산물_10월'!$H:$H,'RAW_농산물_10월'!$D:$D,$C121,'RAW_농산물_10월'!$A:$A,$E121),SUMIFS('RAW_농산물_11-12월'!$H:$H,'RAW_농산물_11-12월'!$D:$D,$C121,'RAW_농산물_11-12월'!$A:$A,$E121))))</f>
        <v>161700</v>
      </c>
      <c r="I121" s="17" t="str">
        <f>IF($C121="","",IF(COUNTIFS('RAW_농산물_7월'!$D:$D,$C121,'RAW_농산물_7월'!$A:$A,$E121)&gt;0,"O",""))</f>
        <v>O</v>
      </c>
      <c r="J121" s="17" t="str">
        <f>IF($C121="","",IF(COUNTIFS('RAW_농산물_8월'!$D:$D,$C121,'RAW_농산물_8월'!$A:$A,$E121)&gt;0,"O",""))</f>
        <v>O</v>
      </c>
      <c r="K121" s="17" t="str">
        <f>IF($C121="","",IF(COUNTIFS('RAW_농산물_9월'!$D:$D,$C121,'RAW_농산물_9월'!$A:$A,$E121)&gt;0,"O",""))</f>
        <v/>
      </c>
      <c r="L121" s="17" t="str">
        <f>IF($C121="","",IF(COUNTIFS('RAW_농산물_10월'!$D:$D,$C121,'RAW_농산물_10월'!$A:$A,$E121)&gt;0,"O",""))</f>
        <v/>
      </c>
      <c r="M121" s="17" t="str">
        <f>IF($C121="","",IF(COUNTIFS('RAW_농산물_11-12월'!$D:$D,$C121,'RAW_농산물_11-12월'!$A:$A,$E121)&gt;0,"O",""))</f>
        <v/>
      </c>
      <c r="N121" s="7">
        <f>IF($C121="","",IF(COUNTA('RAW_농산물_7월'!$A:$A)&lt;=1,"",SUMIFS('RAW_농산물_7월'!$H:$H,'RAW_농산물_7월'!$D:$D,$C121,'RAW_농산물_7월'!$A:$A,$E121)))</f>
        <v>54260</v>
      </c>
      <c r="O121" s="7">
        <f>IF($C121="","",IF(COUNTA('RAW_농산물_8월'!$A:$A)&lt;=1,"",SUMIFS('RAW_농산물_8월'!$H:$H,'RAW_농산물_8월'!$D:$D,$C121,'RAW_농산물_8월'!$A:$A,$E121)-SUMIFS('RAW_농산물_7월'!$H:$H,'RAW_농산물_7월'!$D:$D,$C121,'RAW_농산물_7월'!$A:$A,$E121)))</f>
        <v>107440</v>
      </c>
      <c r="P121" s="7" t="str">
        <f>IF($C121="","",IF(COUNTA('RAW_농산물_9월'!$A:$A)&lt;=1,"",SUMIFS('RAW_농산물_9월'!$H:$H,'RAW_농산물_9월'!$D:$D,$C121,'RAW_농산물_9월'!$A:$A,$E121)-SUMIFS('RAW_농산물_8월'!$H:$H,'RAW_농산물_8월'!$D:$D,$C121,'RAW_농산물_8월'!$A:$A,$E121)))</f>
        <v/>
      </c>
      <c r="Q121" s="7" t="str">
        <f>IF($C121="","",IF(COUNTA('RAW_농산물_10월'!$A:$A)&lt;=1,"",SUMIFS('RAW_농산물_10월'!$H:$H,'RAW_농산물_10월'!$D:$D,$C121,'RAW_농산물_10월'!$A:$A,$E121)-SUMIFS('RAW_농산물_9월'!$H:$H,'RAW_농산물_9월'!$D:$D,$C121,'RAW_농산물_9월'!$A:$A,$E121)))</f>
        <v/>
      </c>
      <c r="R121" s="7" t="str">
        <f>IF($C121="","",IF(COUNTA('RAW_농산물_11-12월'!$A:$A)&lt;=1,"",SUMIFS('RAW_농산물_11-12월'!$H:$H,'RAW_농산물_11-12월'!$D:$D,$C121,'RAW_농산물_11-12월'!$A:$A,$E121)-SUMIFS('RAW_농산물_10월'!$H:$H,'RAW_농산물_10월'!$D:$D,$C121,'RAW_농산물_10월'!$A:$A,$E121)))</f>
        <v/>
      </c>
      <c r="S121" s="17" t="str">
        <f t="shared" si="4"/>
        <v>O</v>
      </c>
      <c r="T121" s="17" t="str">
        <f t="shared" si="5"/>
        <v>50만원 미만</v>
      </c>
      <c r="U121" s="7">
        <f>IF($C121="",0,IF('설정'!$B$3=0,0,CHOOSE('설정'!$B$3,COUNTIFS('RAW_농산물_7월'!$D:$D,$C121,'RAW_농산물_7월'!$A:$A,$E121),COUNTIFS('RAW_농산물_8월'!$D:$D,$C121,'RAW_농산물_8월'!$A:$A,$E121),COUNTIFS('RAW_농산물_9월'!$D:$D,$C121,'RAW_농산물_9월'!$A:$A,$E121),COUNTIFS('RAW_농산물_10월'!$D:$D,$C121,'RAW_농산물_10월'!$A:$A,$E121),COUNTIFS('RAW_농산물_11-12월'!$D:$D,$C121,'RAW_농산물_11-12월'!$A:$A,$E121))))</f>
        <v>6</v>
      </c>
    </row>
    <row r="122" ht="15.75" customHeight="1">
      <c r="A122" s="5">
        <v>120.0</v>
      </c>
      <c r="B122" s="5" t="s">
        <v>145</v>
      </c>
      <c r="C122" s="5" t="s">
        <v>1028</v>
      </c>
      <c r="D122" s="6" t="s">
        <v>1027</v>
      </c>
      <c r="E122" s="5" t="s">
        <v>28</v>
      </c>
      <c r="F122" s="7">
        <f>IF($C122="","",IF('설정'!$B$3=0,"",CHOOSE('설정'!$B$3,SUMIFS('RAW_농산물_7월'!$F:$F,'RAW_농산물_7월'!$D:$D,$C122,'RAW_농산물_7월'!$A:$A,$E122),SUMIFS('RAW_농산물_8월'!$F:$F,'RAW_농산물_8월'!$D:$D,$C122,'RAW_농산물_8월'!$A:$A,$E122),SUMIFS('RAW_농산물_9월'!$F:$F,'RAW_농산물_9월'!$D:$D,$C122,'RAW_농산물_9월'!$A:$A,$E122),SUMIFS('RAW_농산물_10월'!$F:$F,'RAW_농산물_10월'!$D:$D,$C122,'RAW_농산물_10월'!$A:$A,$E122),SUMIFS('RAW_농산물_11-12월'!$F:$F,'RAW_농산물_11-12월'!$D:$D,$C122,'RAW_농산물_11-12월'!$A:$A,$E122))))</f>
        <v>2255</v>
      </c>
      <c r="G122" s="7">
        <f>IF($C122="","",IF('설정'!$B$3=0,"",CHOOSE('설정'!$B$3,SUMIFS('RAW_농산물_7월'!$G:$G,'RAW_농산물_7월'!$D:$D,$C122,'RAW_농산물_7월'!$A:$A,$E122),SUMIFS('RAW_농산물_8월'!$G:$G,'RAW_농산물_8월'!$D:$D,$C122,'RAW_농산물_8월'!$A:$A,$E122),SUMIFS('RAW_농산물_9월'!$G:$G,'RAW_농산물_9월'!$D:$D,$C122,'RAW_농산물_9월'!$A:$A,$E122),SUMIFS('RAW_농산물_10월'!$G:$G,'RAW_농산물_10월'!$D:$D,$C122,'RAW_농산물_10월'!$A:$A,$E122),SUMIFS('RAW_농산물_11-12월'!$G:$G,'RAW_농산물_11-12월'!$D:$D,$C122,'RAW_농산물_11-12월'!$A:$A,$E122))))</f>
        <v>13975900</v>
      </c>
      <c r="H122" s="14">
        <f>IF($C122="","",IF('설정'!$B$3=0,"",CHOOSE('설정'!$B$3,SUMIFS('RAW_농산물_7월'!$H:$H,'RAW_농산물_7월'!$D:$D,$C122,'RAW_농산물_7월'!$A:$A,$E122),SUMIFS('RAW_농산물_8월'!$H:$H,'RAW_농산물_8월'!$D:$D,$C122,'RAW_농산물_8월'!$A:$A,$E122),SUMIFS('RAW_농산물_9월'!$H:$H,'RAW_농산물_9월'!$D:$D,$C122,'RAW_농산물_9월'!$A:$A,$E122),SUMIFS('RAW_농산물_10월'!$H:$H,'RAW_농산물_10월'!$D:$D,$C122,'RAW_농산물_10월'!$A:$A,$E122),SUMIFS('RAW_농산물_11-12월'!$H:$H,'RAW_농산물_11-12월'!$D:$D,$C122,'RAW_농산물_11-12월'!$A:$A,$E122))))</f>
        <v>2783730</v>
      </c>
      <c r="I122" s="17" t="str">
        <f>IF($C122="","",IF(COUNTIFS('RAW_농산물_7월'!$D:$D,$C122,'RAW_농산물_7월'!$A:$A,$E122)&gt;0,"O",""))</f>
        <v>O</v>
      </c>
      <c r="J122" s="17" t="str">
        <f>IF($C122="","",IF(COUNTIFS('RAW_농산물_8월'!$D:$D,$C122,'RAW_농산물_8월'!$A:$A,$E122)&gt;0,"O",""))</f>
        <v>O</v>
      </c>
      <c r="K122" s="17" t="str">
        <f>IF($C122="","",IF(COUNTIFS('RAW_농산물_9월'!$D:$D,$C122,'RAW_농산물_9월'!$A:$A,$E122)&gt;0,"O",""))</f>
        <v/>
      </c>
      <c r="L122" s="17" t="str">
        <f>IF($C122="","",IF(COUNTIFS('RAW_농산물_10월'!$D:$D,$C122,'RAW_농산물_10월'!$A:$A,$E122)&gt;0,"O",""))</f>
        <v/>
      </c>
      <c r="M122" s="17" t="str">
        <f>IF($C122="","",IF(COUNTIFS('RAW_농산물_11-12월'!$D:$D,$C122,'RAW_농산물_11-12월'!$A:$A,$E122)&gt;0,"O",""))</f>
        <v/>
      </c>
      <c r="N122" s="7">
        <f>IF($C122="","",IF(COUNTA('RAW_농산물_7월'!$A:$A)&lt;=1,"",SUMIFS('RAW_농산물_7월'!$H:$H,'RAW_농산물_7월'!$D:$D,$C122,'RAW_농산물_7월'!$A:$A,$E122)))</f>
        <v>2757960</v>
      </c>
      <c r="O122" s="7">
        <f>IF($C122="","",IF(COUNTA('RAW_농산물_8월'!$A:$A)&lt;=1,"",SUMIFS('RAW_농산물_8월'!$H:$H,'RAW_농산물_8월'!$D:$D,$C122,'RAW_농산물_8월'!$A:$A,$E122)-SUMIFS('RAW_농산물_7월'!$H:$H,'RAW_농산물_7월'!$D:$D,$C122,'RAW_농산물_7월'!$A:$A,$E122)))</f>
        <v>25770</v>
      </c>
      <c r="P122" s="7" t="str">
        <f>IF($C122="","",IF(COUNTA('RAW_농산물_9월'!$A:$A)&lt;=1,"",SUMIFS('RAW_농산물_9월'!$H:$H,'RAW_농산물_9월'!$D:$D,$C122,'RAW_농산물_9월'!$A:$A,$E122)-SUMIFS('RAW_농산물_8월'!$H:$H,'RAW_농산물_8월'!$D:$D,$C122,'RAW_농산물_8월'!$A:$A,$E122)))</f>
        <v/>
      </c>
      <c r="Q122" s="7" t="str">
        <f>IF($C122="","",IF(COUNTA('RAW_농산물_10월'!$A:$A)&lt;=1,"",SUMIFS('RAW_농산물_10월'!$H:$H,'RAW_농산물_10월'!$D:$D,$C122,'RAW_농산물_10월'!$A:$A,$E122)-SUMIFS('RAW_농산물_9월'!$H:$H,'RAW_농산물_9월'!$D:$D,$C122,'RAW_농산물_9월'!$A:$A,$E122)))</f>
        <v/>
      </c>
      <c r="R122" s="7" t="str">
        <f>IF($C122="","",IF(COUNTA('RAW_농산물_11-12월'!$A:$A)&lt;=1,"",SUMIFS('RAW_농산물_11-12월'!$H:$H,'RAW_농산물_11-12월'!$D:$D,$C122,'RAW_농산물_11-12월'!$A:$A,$E122)-SUMIFS('RAW_농산물_10월'!$H:$H,'RAW_농산물_10월'!$D:$D,$C122,'RAW_농산물_10월'!$A:$A,$E122)))</f>
        <v/>
      </c>
      <c r="S122" s="17" t="str">
        <f t="shared" si="4"/>
        <v>O</v>
      </c>
      <c r="T122" s="17" t="str">
        <f t="shared" si="5"/>
        <v>300만원 미만</v>
      </c>
      <c r="U122" s="7">
        <f>IF($C122="",0,IF('설정'!$B$3=0,0,CHOOSE('설정'!$B$3,COUNTIFS('RAW_농산물_7월'!$D:$D,$C122,'RAW_농산물_7월'!$A:$A,$E122),COUNTIFS('RAW_농산물_8월'!$D:$D,$C122,'RAW_농산물_8월'!$A:$A,$E122),COUNTIFS('RAW_농산물_9월'!$D:$D,$C122,'RAW_농산물_9월'!$A:$A,$E122),COUNTIFS('RAW_농산물_10월'!$D:$D,$C122,'RAW_농산물_10월'!$A:$A,$E122),COUNTIFS('RAW_농산물_11-12월'!$D:$D,$C122,'RAW_농산물_11-12월'!$A:$A,$E122))))</f>
        <v>1</v>
      </c>
    </row>
    <row r="123" ht="15.75" customHeight="1">
      <c r="A123" s="5">
        <v>121.0</v>
      </c>
      <c r="B123" s="5" t="s">
        <v>25</v>
      </c>
      <c r="C123" s="5" t="s">
        <v>2955</v>
      </c>
      <c r="D123" s="6" t="s">
        <v>2956</v>
      </c>
      <c r="E123" s="5" t="s">
        <v>93</v>
      </c>
      <c r="F123" s="7">
        <f>IF($C123="","",IF('설정'!$B$3=0,"",CHOOSE('설정'!$B$3,SUMIFS('RAW_농산물_7월'!$F:$F,'RAW_농산물_7월'!$D:$D,$C123,'RAW_농산물_7월'!$A:$A,$E123),SUMIFS('RAW_농산물_8월'!$F:$F,'RAW_농산물_8월'!$D:$D,$C123,'RAW_농산물_8월'!$A:$A,$E123),SUMIFS('RAW_농산물_9월'!$F:$F,'RAW_농산물_9월'!$D:$D,$C123,'RAW_농산물_9월'!$A:$A,$E123),SUMIFS('RAW_농산물_10월'!$F:$F,'RAW_농산물_10월'!$D:$D,$C123,'RAW_농산물_10월'!$A:$A,$E123),SUMIFS('RAW_농산물_11-12월'!$F:$F,'RAW_농산물_11-12월'!$D:$D,$C123,'RAW_농산물_11-12월'!$A:$A,$E123))))</f>
        <v>0</v>
      </c>
      <c r="G123" s="7">
        <f>IF($C123="","",IF('설정'!$B$3=0,"",CHOOSE('설정'!$B$3,SUMIFS('RAW_농산물_7월'!$G:$G,'RAW_농산물_7월'!$D:$D,$C123,'RAW_농산물_7월'!$A:$A,$E123),SUMIFS('RAW_농산물_8월'!$G:$G,'RAW_농산물_8월'!$D:$D,$C123,'RAW_농산물_8월'!$A:$A,$E123),SUMIFS('RAW_농산물_9월'!$G:$G,'RAW_농산물_9월'!$D:$D,$C123,'RAW_농산물_9월'!$A:$A,$E123),SUMIFS('RAW_농산물_10월'!$G:$G,'RAW_농산물_10월'!$D:$D,$C123,'RAW_농산물_10월'!$A:$A,$E123),SUMIFS('RAW_농산물_11-12월'!$G:$G,'RAW_농산물_11-12월'!$D:$D,$C123,'RAW_농산물_11-12월'!$A:$A,$E123))))</f>
        <v>0</v>
      </c>
      <c r="H123" s="14">
        <f>IF($C123="","",IF('설정'!$B$3=0,"",CHOOSE('설정'!$B$3,SUMIFS('RAW_농산물_7월'!$H:$H,'RAW_농산물_7월'!$D:$D,$C123,'RAW_농산물_7월'!$A:$A,$E123),SUMIFS('RAW_농산물_8월'!$H:$H,'RAW_농산물_8월'!$D:$D,$C123,'RAW_농산물_8월'!$A:$A,$E123),SUMIFS('RAW_농산물_9월'!$H:$H,'RAW_농산물_9월'!$D:$D,$C123,'RAW_농산물_9월'!$A:$A,$E123),SUMIFS('RAW_농산물_10월'!$H:$H,'RAW_농산물_10월'!$D:$D,$C123,'RAW_농산물_10월'!$A:$A,$E123),SUMIFS('RAW_농산물_11-12월'!$H:$H,'RAW_농산물_11-12월'!$D:$D,$C123,'RAW_농산물_11-12월'!$A:$A,$E123))))</f>
        <v>0</v>
      </c>
      <c r="I123" s="17" t="str">
        <f>IF($C123="","",IF(COUNTIFS('RAW_농산물_7월'!$D:$D,$C123,'RAW_농산물_7월'!$A:$A,$E123)&gt;0,"O",""))</f>
        <v/>
      </c>
      <c r="J123" s="17" t="str">
        <f>IF($C123="","",IF(COUNTIFS('RAW_농산물_8월'!$D:$D,$C123,'RAW_농산물_8월'!$A:$A,$E123)&gt;0,"O",""))</f>
        <v/>
      </c>
      <c r="K123" s="17" t="str">
        <f>IF($C123="","",IF(COUNTIFS('RAW_농산물_9월'!$D:$D,$C123,'RAW_농산물_9월'!$A:$A,$E123)&gt;0,"O",""))</f>
        <v/>
      </c>
      <c r="L123" s="17" t="str">
        <f>IF($C123="","",IF(COUNTIFS('RAW_농산물_10월'!$D:$D,$C123,'RAW_농산물_10월'!$A:$A,$E123)&gt;0,"O",""))</f>
        <v/>
      </c>
      <c r="M123" s="17" t="str">
        <f>IF($C123="","",IF(COUNTIFS('RAW_농산물_11-12월'!$D:$D,$C123,'RAW_농산물_11-12월'!$A:$A,$E123)&gt;0,"O",""))</f>
        <v/>
      </c>
      <c r="N123" s="7">
        <f>IF($C123="","",IF(COUNTA('RAW_농산물_7월'!$A:$A)&lt;=1,"",SUMIFS('RAW_농산물_7월'!$H:$H,'RAW_농산물_7월'!$D:$D,$C123,'RAW_농산물_7월'!$A:$A,$E123)))</f>
        <v>0</v>
      </c>
      <c r="O123" s="7">
        <f>IF($C123="","",IF(COUNTA('RAW_농산물_8월'!$A:$A)&lt;=1,"",SUMIFS('RAW_농산물_8월'!$H:$H,'RAW_농산물_8월'!$D:$D,$C123,'RAW_농산물_8월'!$A:$A,$E123)-SUMIFS('RAW_농산물_7월'!$H:$H,'RAW_농산물_7월'!$D:$D,$C123,'RAW_농산물_7월'!$A:$A,$E123)))</f>
        <v>0</v>
      </c>
      <c r="P123" s="7" t="str">
        <f>IF($C123="","",IF(COUNTA('RAW_농산물_9월'!$A:$A)&lt;=1,"",SUMIFS('RAW_농산물_9월'!$H:$H,'RAW_농산물_9월'!$D:$D,$C123,'RAW_농산물_9월'!$A:$A,$E123)-SUMIFS('RAW_농산물_8월'!$H:$H,'RAW_농산물_8월'!$D:$D,$C123,'RAW_농산물_8월'!$A:$A,$E123)))</f>
        <v/>
      </c>
      <c r="Q123" s="7" t="str">
        <f>IF($C123="","",IF(COUNTA('RAW_농산물_10월'!$A:$A)&lt;=1,"",SUMIFS('RAW_농산물_10월'!$H:$H,'RAW_농산물_10월'!$D:$D,$C123,'RAW_농산물_10월'!$A:$A,$E123)-SUMIFS('RAW_농산물_9월'!$H:$H,'RAW_농산물_9월'!$D:$D,$C123,'RAW_농산물_9월'!$A:$A,$E123)))</f>
        <v/>
      </c>
      <c r="R123" s="7" t="str">
        <f>IF($C123="","",IF(COUNTA('RAW_농산물_11-12월'!$A:$A)&lt;=1,"",SUMIFS('RAW_농산물_11-12월'!$H:$H,'RAW_농산물_11-12월'!$D:$D,$C123,'RAW_농산물_11-12월'!$A:$A,$E123)-SUMIFS('RAW_농산물_10월'!$H:$H,'RAW_농산물_10월'!$D:$D,$C123,'RAW_농산물_10월'!$A:$A,$E123)))</f>
        <v/>
      </c>
      <c r="S123" s="17" t="str">
        <f t="shared" si="4"/>
        <v/>
      </c>
      <c r="T123" s="17" t="str">
        <f t="shared" si="5"/>
        <v>미사용</v>
      </c>
      <c r="U123" s="7">
        <f>IF($C123="",0,IF('설정'!$B$3=0,0,CHOOSE('설정'!$B$3,COUNTIFS('RAW_농산물_7월'!$D:$D,$C123,'RAW_농산물_7월'!$A:$A,$E123),COUNTIFS('RAW_농산물_8월'!$D:$D,$C123,'RAW_농산물_8월'!$A:$A,$E123),COUNTIFS('RAW_농산물_9월'!$D:$D,$C123,'RAW_농산물_9월'!$A:$A,$E123),COUNTIFS('RAW_농산물_10월'!$D:$D,$C123,'RAW_농산물_10월'!$A:$A,$E123),COUNTIFS('RAW_농산물_11-12월'!$D:$D,$C123,'RAW_농산물_11-12월'!$A:$A,$E123))))</f>
        <v>0</v>
      </c>
    </row>
    <row r="124" ht="15.75" customHeight="1">
      <c r="A124" s="5">
        <v>122.0</v>
      </c>
      <c r="B124" s="5" t="s">
        <v>25</v>
      </c>
      <c r="C124" s="5" t="s">
        <v>1732</v>
      </c>
      <c r="D124" s="6" t="s">
        <v>1731</v>
      </c>
      <c r="E124" s="5" t="s">
        <v>31</v>
      </c>
      <c r="F124" s="7">
        <f>IF($C124="","",IF('설정'!$B$3=0,"",CHOOSE('설정'!$B$3,SUMIFS('RAW_농산물_7월'!$F:$F,'RAW_농산물_7월'!$D:$D,$C124,'RAW_농산물_7월'!$A:$A,$E124),SUMIFS('RAW_농산물_8월'!$F:$F,'RAW_농산물_8월'!$D:$D,$C124,'RAW_농산물_8월'!$A:$A,$E124),SUMIFS('RAW_농산물_9월'!$F:$F,'RAW_농산물_9월'!$D:$D,$C124,'RAW_농산물_9월'!$A:$A,$E124),SUMIFS('RAW_농산물_10월'!$F:$F,'RAW_농산물_10월'!$D:$D,$C124,'RAW_농산물_10월'!$A:$A,$E124),SUMIFS('RAW_농산물_11-12월'!$F:$F,'RAW_농산물_11-12월'!$D:$D,$C124,'RAW_농산물_11-12월'!$A:$A,$E124))))</f>
        <v>62603</v>
      </c>
      <c r="G124" s="7">
        <f>IF($C124="","",IF('설정'!$B$3=0,"",CHOOSE('설정'!$B$3,SUMIFS('RAW_농산물_7월'!$G:$G,'RAW_농산물_7월'!$D:$D,$C124,'RAW_농산물_7월'!$A:$A,$E124),SUMIFS('RAW_농산물_8월'!$G:$G,'RAW_농산물_8월'!$D:$D,$C124,'RAW_농산물_8월'!$A:$A,$E124),SUMIFS('RAW_농산물_9월'!$G:$G,'RAW_농산물_9월'!$D:$D,$C124,'RAW_농산물_9월'!$A:$A,$E124),SUMIFS('RAW_농산물_10월'!$G:$G,'RAW_농산물_10월'!$D:$D,$C124,'RAW_농산물_10월'!$A:$A,$E124),SUMIFS('RAW_농산물_11-12월'!$G:$G,'RAW_농산물_11-12월'!$D:$D,$C124,'RAW_농산물_11-12월'!$A:$A,$E124))))</f>
        <v>175764970</v>
      </c>
      <c r="H124" s="14">
        <f>IF($C124="","",IF('설정'!$B$3=0,"",CHOOSE('설정'!$B$3,SUMIFS('RAW_농산물_7월'!$H:$H,'RAW_농산물_7월'!$D:$D,$C124,'RAW_농산물_7월'!$A:$A,$E124),SUMIFS('RAW_농산물_8월'!$H:$H,'RAW_농산물_8월'!$D:$D,$C124,'RAW_농산물_8월'!$A:$A,$E124),SUMIFS('RAW_농산물_9월'!$H:$H,'RAW_농산물_9월'!$D:$D,$C124,'RAW_농산물_9월'!$A:$A,$E124),SUMIFS('RAW_농산물_10월'!$H:$H,'RAW_농산물_10월'!$D:$D,$C124,'RAW_농산물_10월'!$A:$A,$E124),SUMIFS('RAW_농산물_11-12월'!$H:$H,'RAW_농산물_11-12월'!$D:$D,$C124,'RAW_농산물_11-12월'!$A:$A,$E124))))</f>
        <v>2046334</v>
      </c>
      <c r="I124" s="17" t="str">
        <f>IF($C124="","",IF(COUNTIFS('RAW_농산물_7월'!$D:$D,$C124,'RAW_농산물_7월'!$A:$A,$E124)&gt;0,"O",""))</f>
        <v>O</v>
      </c>
      <c r="J124" s="17" t="str">
        <f>IF($C124="","",IF(COUNTIFS('RAW_농산물_8월'!$D:$D,$C124,'RAW_농산물_8월'!$A:$A,$E124)&gt;0,"O",""))</f>
        <v>O</v>
      </c>
      <c r="K124" s="17" t="str">
        <f>IF($C124="","",IF(COUNTIFS('RAW_농산물_9월'!$D:$D,$C124,'RAW_농산물_9월'!$A:$A,$E124)&gt;0,"O",""))</f>
        <v/>
      </c>
      <c r="L124" s="17" t="str">
        <f>IF($C124="","",IF(COUNTIFS('RAW_농산물_10월'!$D:$D,$C124,'RAW_농산물_10월'!$A:$A,$E124)&gt;0,"O",""))</f>
        <v/>
      </c>
      <c r="M124" s="17" t="str">
        <f>IF($C124="","",IF(COUNTIFS('RAW_농산물_11-12월'!$D:$D,$C124,'RAW_농산물_11-12월'!$A:$A,$E124)&gt;0,"O",""))</f>
        <v/>
      </c>
      <c r="N124" s="7">
        <f>IF($C124="","",IF(COUNTA('RAW_농산물_7월'!$A:$A)&lt;=1,"",SUMIFS('RAW_농산물_7월'!$H:$H,'RAW_농산물_7월'!$D:$D,$C124,'RAW_농산물_7월'!$A:$A,$E124)))</f>
        <v>1823846</v>
      </c>
      <c r="O124" s="7">
        <f>IF($C124="","",IF(COUNTA('RAW_농산물_8월'!$A:$A)&lt;=1,"",SUMIFS('RAW_농산물_8월'!$H:$H,'RAW_농산물_8월'!$D:$D,$C124,'RAW_농산물_8월'!$A:$A,$E124)-SUMIFS('RAW_농산물_7월'!$H:$H,'RAW_농산물_7월'!$D:$D,$C124,'RAW_농산물_7월'!$A:$A,$E124)))</f>
        <v>222488</v>
      </c>
      <c r="P124" s="7" t="str">
        <f>IF($C124="","",IF(COUNTA('RAW_농산물_9월'!$A:$A)&lt;=1,"",SUMIFS('RAW_농산물_9월'!$H:$H,'RAW_농산물_9월'!$D:$D,$C124,'RAW_농산물_9월'!$A:$A,$E124)-SUMIFS('RAW_농산물_8월'!$H:$H,'RAW_농산물_8월'!$D:$D,$C124,'RAW_농산물_8월'!$A:$A,$E124)))</f>
        <v/>
      </c>
      <c r="Q124" s="7" t="str">
        <f>IF($C124="","",IF(COUNTA('RAW_농산물_10월'!$A:$A)&lt;=1,"",SUMIFS('RAW_농산물_10월'!$H:$H,'RAW_농산물_10월'!$D:$D,$C124,'RAW_농산물_10월'!$A:$A,$E124)-SUMIFS('RAW_농산물_9월'!$H:$H,'RAW_농산물_9월'!$D:$D,$C124,'RAW_농산물_9월'!$A:$A,$E124)))</f>
        <v/>
      </c>
      <c r="R124" s="7" t="str">
        <f>IF($C124="","",IF(COUNTA('RAW_농산물_11-12월'!$A:$A)&lt;=1,"",SUMIFS('RAW_농산물_11-12월'!$H:$H,'RAW_농산물_11-12월'!$D:$D,$C124,'RAW_농산물_11-12월'!$A:$A,$E124)-SUMIFS('RAW_농산물_10월'!$H:$H,'RAW_농산물_10월'!$D:$D,$C124,'RAW_농산물_10월'!$A:$A,$E124)))</f>
        <v/>
      </c>
      <c r="S124" s="17" t="str">
        <f t="shared" si="4"/>
        <v>O</v>
      </c>
      <c r="T124" s="17" t="str">
        <f t="shared" si="5"/>
        <v>300만원 미만</v>
      </c>
      <c r="U124" s="7">
        <f>IF($C124="",0,IF('설정'!$B$3=0,0,CHOOSE('설정'!$B$3,COUNTIFS('RAW_농산물_7월'!$D:$D,$C124,'RAW_농산물_7월'!$A:$A,$E124),COUNTIFS('RAW_농산물_8월'!$D:$D,$C124,'RAW_농산물_8월'!$A:$A,$E124),COUNTIFS('RAW_농산물_9월'!$D:$D,$C124,'RAW_농산물_9월'!$A:$A,$E124),COUNTIFS('RAW_농산물_10월'!$D:$D,$C124,'RAW_농산물_10월'!$A:$A,$E124),COUNTIFS('RAW_농산물_11-12월'!$D:$D,$C124,'RAW_농산물_11-12월'!$A:$A,$E124))))</f>
        <v>17</v>
      </c>
    </row>
    <row r="125" ht="15.75" customHeight="1">
      <c r="A125" s="5">
        <v>123.0</v>
      </c>
      <c r="B125" s="5" t="s">
        <v>108</v>
      </c>
      <c r="C125" s="5" t="s">
        <v>2957</v>
      </c>
      <c r="D125" s="6" t="s">
        <v>2958</v>
      </c>
      <c r="E125" s="5" t="s">
        <v>92</v>
      </c>
      <c r="F125" s="7">
        <f>IF($C125="","",IF('설정'!$B$3=0,"",CHOOSE('설정'!$B$3,SUMIFS('RAW_농산물_7월'!$F:$F,'RAW_농산물_7월'!$D:$D,$C125,'RAW_농산물_7월'!$A:$A,$E125),SUMIFS('RAW_농산물_8월'!$F:$F,'RAW_농산물_8월'!$D:$D,$C125,'RAW_농산물_8월'!$A:$A,$E125),SUMIFS('RAW_농산물_9월'!$F:$F,'RAW_농산물_9월'!$D:$D,$C125,'RAW_농산물_9월'!$A:$A,$E125),SUMIFS('RAW_농산물_10월'!$F:$F,'RAW_농산물_10월'!$D:$D,$C125,'RAW_농산물_10월'!$A:$A,$E125),SUMIFS('RAW_농산물_11-12월'!$F:$F,'RAW_농산물_11-12월'!$D:$D,$C125,'RAW_농산물_11-12월'!$A:$A,$E125))))</f>
        <v>0</v>
      </c>
      <c r="G125" s="7">
        <f>IF($C125="","",IF('설정'!$B$3=0,"",CHOOSE('설정'!$B$3,SUMIFS('RAW_농산물_7월'!$G:$G,'RAW_농산물_7월'!$D:$D,$C125,'RAW_농산물_7월'!$A:$A,$E125),SUMIFS('RAW_농산물_8월'!$G:$G,'RAW_농산물_8월'!$D:$D,$C125,'RAW_농산물_8월'!$A:$A,$E125),SUMIFS('RAW_농산물_9월'!$G:$G,'RAW_농산물_9월'!$D:$D,$C125,'RAW_농산물_9월'!$A:$A,$E125),SUMIFS('RAW_농산물_10월'!$G:$G,'RAW_농산물_10월'!$D:$D,$C125,'RAW_농산물_10월'!$A:$A,$E125),SUMIFS('RAW_농산물_11-12월'!$G:$G,'RAW_농산물_11-12월'!$D:$D,$C125,'RAW_농산물_11-12월'!$A:$A,$E125))))</f>
        <v>0</v>
      </c>
      <c r="H125" s="14">
        <f>IF($C125="","",IF('설정'!$B$3=0,"",CHOOSE('설정'!$B$3,SUMIFS('RAW_농산물_7월'!$H:$H,'RAW_농산물_7월'!$D:$D,$C125,'RAW_농산물_7월'!$A:$A,$E125),SUMIFS('RAW_농산물_8월'!$H:$H,'RAW_농산물_8월'!$D:$D,$C125,'RAW_농산물_8월'!$A:$A,$E125),SUMIFS('RAW_농산물_9월'!$H:$H,'RAW_농산물_9월'!$D:$D,$C125,'RAW_농산물_9월'!$A:$A,$E125),SUMIFS('RAW_농산물_10월'!$H:$H,'RAW_농산물_10월'!$D:$D,$C125,'RAW_농산물_10월'!$A:$A,$E125),SUMIFS('RAW_농산물_11-12월'!$H:$H,'RAW_농산물_11-12월'!$D:$D,$C125,'RAW_농산물_11-12월'!$A:$A,$E125))))</f>
        <v>0</v>
      </c>
      <c r="I125" s="17" t="str">
        <f>IF($C125="","",IF(COUNTIFS('RAW_농산물_7월'!$D:$D,$C125,'RAW_농산물_7월'!$A:$A,$E125)&gt;0,"O",""))</f>
        <v/>
      </c>
      <c r="J125" s="17" t="str">
        <f>IF($C125="","",IF(COUNTIFS('RAW_농산물_8월'!$D:$D,$C125,'RAW_농산물_8월'!$A:$A,$E125)&gt;0,"O",""))</f>
        <v/>
      </c>
      <c r="K125" s="17" t="str">
        <f>IF($C125="","",IF(COUNTIFS('RAW_농산물_9월'!$D:$D,$C125,'RAW_농산물_9월'!$A:$A,$E125)&gt;0,"O",""))</f>
        <v/>
      </c>
      <c r="L125" s="17" t="str">
        <f>IF($C125="","",IF(COUNTIFS('RAW_농산물_10월'!$D:$D,$C125,'RAW_농산물_10월'!$A:$A,$E125)&gt;0,"O",""))</f>
        <v/>
      </c>
      <c r="M125" s="17" t="str">
        <f>IF($C125="","",IF(COUNTIFS('RAW_농산물_11-12월'!$D:$D,$C125,'RAW_농산물_11-12월'!$A:$A,$E125)&gt;0,"O",""))</f>
        <v/>
      </c>
      <c r="N125" s="7">
        <f>IF($C125="","",IF(COUNTA('RAW_농산물_7월'!$A:$A)&lt;=1,"",SUMIFS('RAW_농산물_7월'!$H:$H,'RAW_농산물_7월'!$D:$D,$C125,'RAW_농산물_7월'!$A:$A,$E125)))</f>
        <v>0</v>
      </c>
      <c r="O125" s="7">
        <f>IF($C125="","",IF(COUNTA('RAW_농산물_8월'!$A:$A)&lt;=1,"",SUMIFS('RAW_농산물_8월'!$H:$H,'RAW_농산물_8월'!$D:$D,$C125,'RAW_농산물_8월'!$A:$A,$E125)-SUMIFS('RAW_농산물_7월'!$H:$H,'RAW_농산물_7월'!$D:$D,$C125,'RAW_농산물_7월'!$A:$A,$E125)))</f>
        <v>0</v>
      </c>
      <c r="P125" s="7" t="str">
        <f>IF($C125="","",IF(COUNTA('RAW_농산물_9월'!$A:$A)&lt;=1,"",SUMIFS('RAW_농산물_9월'!$H:$H,'RAW_농산물_9월'!$D:$D,$C125,'RAW_농산물_9월'!$A:$A,$E125)-SUMIFS('RAW_농산물_8월'!$H:$H,'RAW_농산물_8월'!$D:$D,$C125,'RAW_농산물_8월'!$A:$A,$E125)))</f>
        <v/>
      </c>
      <c r="Q125" s="7" t="str">
        <f>IF($C125="","",IF(COUNTA('RAW_농산물_10월'!$A:$A)&lt;=1,"",SUMIFS('RAW_농산물_10월'!$H:$H,'RAW_농산물_10월'!$D:$D,$C125,'RAW_농산물_10월'!$A:$A,$E125)-SUMIFS('RAW_농산물_9월'!$H:$H,'RAW_농산물_9월'!$D:$D,$C125,'RAW_농산물_9월'!$A:$A,$E125)))</f>
        <v/>
      </c>
      <c r="R125" s="7" t="str">
        <f>IF($C125="","",IF(COUNTA('RAW_농산물_11-12월'!$A:$A)&lt;=1,"",SUMIFS('RAW_농산물_11-12월'!$H:$H,'RAW_농산물_11-12월'!$D:$D,$C125,'RAW_농산물_11-12월'!$A:$A,$E125)-SUMIFS('RAW_농산물_10월'!$H:$H,'RAW_농산물_10월'!$D:$D,$C125,'RAW_농산물_10월'!$A:$A,$E125)))</f>
        <v/>
      </c>
      <c r="S125" s="17" t="str">
        <f t="shared" si="4"/>
        <v/>
      </c>
      <c r="T125" s="17" t="str">
        <f t="shared" si="5"/>
        <v>미사용</v>
      </c>
      <c r="U125" s="7">
        <f>IF($C125="",0,IF('설정'!$B$3=0,0,CHOOSE('설정'!$B$3,COUNTIFS('RAW_농산물_7월'!$D:$D,$C125,'RAW_농산물_7월'!$A:$A,$E125),COUNTIFS('RAW_농산물_8월'!$D:$D,$C125,'RAW_농산물_8월'!$A:$A,$E125),COUNTIFS('RAW_농산물_9월'!$D:$D,$C125,'RAW_농산물_9월'!$A:$A,$E125),COUNTIFS('RAW_농산물_10월'!$D:$D,$C125,'RAW_농산물_10월'!$A:$A,$E125),COUNTIFS('RAW_농산물_11-12월'!$D:$D,$C125,'RAW_농산물_11-12월'!$A:$A,$E125))))</f>
        <v>0</v>
      </c>
    </row>
    <row r="126" ht="15.75" customHeight="1">
      <c r="A126" s="5">
        <v>124.0</v>
      </c>
      <c r="B126" s="5" t="s">
        <v>25</v>
      </c>
      <c r="C126" s="5" t="s">
        <v>443</v>
      </c>
      <c r="D126" s="6" t="s">
        <v>442</v>
      </c>
      <c r="E126" s="5" t="s">
        <v>92</v>
      </c>
      <c r="F126" s="7">
        <f>IF($C126="","",IF('설정'!$B$3=0,"",CHOOSE('설정'!$B$3,SUMIFS('RAW_농산물_7월'!$F:$F,'RAW_농산물_7월'!$D:$D,$C126,'RAW_농산물_7월'!$A:$A,$E126),SUMIFS('RAW_농산물_8월'!$F:$F,'RAW_농산물_8월'!$D:$D,$C126,'RAW_농산물_8월'!$A:$A,$E126),SUMIFS('RAW_농산물_9월'!$F:$F,'RAW_농산물_9월'!$D:$D,$C126,'RAW_농산물_9월'!$A:$A,$E126),SUMIFS('RAW_농산물_10월'!$F:$F,'RAW_농산물_10월'!$D:$D,$C126,'RAW_농산물_10월'!$A:$A,$E126),SUMIFS('RAW_농산물_11-12월'!$F:$F,'RAW_농산물_11-12월'!$D:$D,$C126,'RAW_농산물_11-12월'!$A:$A,$E126))))</f>
        <v>110</v>
      </c>
      <c r="G126" s="7">
        <f>IF($C126="","",IF('설정'!$B$3=0,"",CHOOSE('설정'!$B$3,SUMIFS('RAW_농산물_7월'!$G:$G,'RAW_농산물_7월'!$D:$D,$C126,'RAW_농산물_7월'!$A:$A,$E126),SUMIFS('RAW_농산물_8월'!$G:$G,'RAW_농산물_8월'!$D:$D,$C126,'RAW_농산물_8월'!$A:$A,$E126),SUMIFS('RAW_농산물_9월'!$G:$G,'RAW_농산물_9월'!$D:$D,$C126,'RAW_농산물_9월'!$A:$A,$E126),SUMIFS('RAW_농산물_10월'!$G:$G,'RAW_농산물_10월'!$D:$D,$C126,'RAW_농산물_10월'!$A:$A,$E126),SUMIFS('RAW_농산물_11-12월'!$G:$G,'RAW_농산물_11-12월'!$D:$D,$C126,'RAW_농산물_11-12월'!$A:$A,$E126))))</f>
        <v>2855400</v>
      </c>
      <c r="H126" s="14">
        <f>IF($C126="","",IF('설정'!$B$3=0,"",CHOOSE('설정'!$B$3,SUMIFS('RAW_농산물_7월'!$H:$H,'RAW_농산물_7월'!$D:$D,$C126,'RAW_농산물_7월'!$A:$A,$E126),SUMIFS('RAW_농산물_8월'!$H:$H,'RAW_농산물_8월'!$D:$D,$C126,'RAW_농산물_8월'!$A:$A,$E126),SUMIFS('RAW_농산물_9월'!$H:$H,'RAW_농산물_9월'!$D:$D,$C126,'RAW_농산물_9월'!$A:$A,$E126),SUMIFS('RAW_농산물_10월'!$H:$H,'RAW_농산물_10월'!$D:$D,$C126,'RAW_농산물_10월'!$A:$A,$E126),SUMIFS('RAW_농산물_11-12월'!$H:$H,'RAW_농산물_11-12월'!$D:$D,$C126,'RAW_농산물_11-12월'!$A:$A,$E126))))</f>
        <v>244970</v>
      </c>
      <c r="I126" s="17" t="str">
        <f>IF($C126="","",IF(COUNTIFS('RAW_농산물_7월'!$D:$D,$C126,'RAW_농산물_7월'!$A:$A,$E126)&gt;0,"O",""))</f>
        <v>O</v>
      </c>
      <c r="J126" s="17" t="str">
        <f>IF($C126="","",IF(COUNTIFS('RAW_농산물_8월'!$D:$D,$C126,'RAW_농산물_8월'!$A:$A,$E126)&gt;0,"O",""))</f>
        <v>O</v>
      </c>
      <c r="K126" s="17" t="str">
        <f>IF($C126="","",IF(COUNTIFS('RAW_농산물_9월'!$D:$D,$C126,'RAW_농산물_9월'!$A:$A,$E126)&gt;0,"O",""))</f>
        <v/>
      </c>
      <c r="L126" s="17" t="str">
        <f>IF($C126="","",IF(COUNTIFS('RAW_농산물_10월'!$D:$D,$C126,'RAW_농산물_10월'!$A:$A,$E126)&gt;0,"O",""))</f>
        <v/>
      </c>
      <c r="M126" s="17" t="str">
        <f>IF($C126="","",IF(COUNTIFS('RAW_농산물_11-12월'!$D:$D,$C126,'RAW_농산물_11-12월'!$A:$A,$E126)&gt;0,"O",""))</f>
        <v/>
      </c>
      <c r="N126" s="7">
        <f>IF($C126="","",IF(COUNTA('RAW_농산물_7월'!$A:$A)&lt;=1,"",SUMIFS('RAW_농산물_7월'!$H:$H,'RAW_농산물_7월'!$D:$D,$C126,'RAW_농산물_7월'!$A:$A,$E126)))</f>
        <v>46770</v>
      </c>
      <c r="O126" s="7">
        <f>IF($C126="","",IF(COUNTA('RAW_농산물_8월'!$A:$A)&lt;=1,"",SUMIFS('RAW_농산물_8월'!$H:$H,'RAW_농산물_8월'!$D:$D,$C126,'RAW_농산물_8월'!$A:$A,$E126)-SUMIFS('RAW_농산물_7월'!$H:$H,'RAW_농산물_7월'!$D:$D,$C126,'RAW_농산물_7월'!$A:$A,$E126)))</f>
        <v>198200</v>
      </c>
      <c r="P126" s="7" t="str">
        <f>IF($C126="","",IF(COUNTA('RAW_농산물_9월'!$A:$A)&lt;=1,"",SUMIFS('RAW_농산물_9월'!$H:$H,'RAW_농산물_9월'!$D:$D,$C126,'RAW_농산물_9월'!$A:$A,$E126)-SUMIFS('RAW_농산물_8월'!$H:$H,'RAW_농산물_8월'!$D:$D,$C126,'RAW_농산물_8월'!$A:$A,$E126)))</f>
        <v/>
      </c>
      <c r="Q126" s="7" t="str">
        <f>IF($C126="","",IF(COUNTA('RAW_농산물_10월'!$A:$A)&lt;=1,"",SUMIFS('RAW_농산물_10월'!$H:$H,'RAW_농산물_10월'!$D:$D,$C126,'RAW_농산물_10월'!$A:$A,$E126)-SUMIFS('RAW_농산물_9월'!$H:$H,'RAW_농산물_9월'!$D:$D,$C126,'RAW_농산물_9월'!$A:$A,$E126)))</f>
        <v/>
      </c>
      <c r="R126" s="7" t="str">
        <f>IF($C126="","",IF(COUNTA('RAW_농산물_11-12월'!$A:$A)&lt;=1,"",SUMIFS('RAW_농산물_11-12월'!$H:$H,'RAW_농산물_11-12월'!$D:$D,$C126,'RAW_농산물_11-12월'!$A:$A,$E126)-SUMIFS('RAW_농산물_10월'!$H:$H,'RAW_농산물_10월'!$D:$D,$C126,'RAW_농산물_10월'!$A:$A,$E126)))</f>
        <v/>
      </c>
      <c r="S126" s="17" t="str">
        <f t="shared" si="4"/>
        <v>O</v>
      </c>
      <c r="T126" s="17" t="str">
        <f t="shared" si="5"/>
        <v>50만원 미만</v>
      </c>
      <c r="U126" s="7">
        <f>IF($C126="",0,IF('설정'!$B$3=0,0,CHOOSE('설정'!$B$3,COUNTIFS('RAW_농산물_7월'!$D:$D,$C126,'RAW_농산물_7월'!$A:$A,$E126),COUNTIFS('RAW_농산물_8월'!$D:$D,$C126,'RAW_농산물_8월'!$A:$A,$E126),COUNTIFS('RAW_농산물_9월'!$D:$D,$C126,'RAW_농산물_9월'!$A:$A,$E126),COUNTIFS('RAW_농산물_10월'!$D:$D,$C126,'RAW_농산물_10월'!$A:$A,$E126),COUNTIFS('RAW_농산물_11-12월'!$D:$D,$C126,'RAW_농산물_11-12월'!$A:$A,$E126))))</f>
        <v>3</v>
      </c>
    </row>
    <row r="127" ht="15.75" customHeight="1">
      <c r="A127" s="5">
        <v>125.0</v>
      </c>
      <c r="B127" s="5" t="s">
        <v>108</v>
      </c>
      <c r="C127" s="5" t="s">
        <v>453</v>
      </c>
      <c r="D127" s="6" t="s">
        <v>452</v>
      </c>
      <c r="E127" s="5" t="s">
        <v>92</v>
      </c>
      <c r="F127" s="7">
        <f>IF($C127="","",IF('설정'!$B$3=0,"",CHOOSE('설정'!$B$3,SUMIFS('RAW_농산물_7월'!$F:$F,'RAW_농산물_7월'!$D:$D,$C127,'RAW_농산물_7월'!$A:$A,$E127),SUMIFS('RAW_농산물_8월'!$F:$F,'RAW_농산물_8월'!$D:$D,$C127,'RAW_농산물_8월'!$A:$A,$E127),SUMIFS('RAW_농산물_9월'!$F:$F,'RAW_농산물_9월'!$D:$D,$C127,'RAW_농산물_9월'!$A:$A,$E127),SUMIFS('RAW_농산물_10월'!$F:$F,'RAW_농산물_10월'!$D:$D,$C127,'RAW_농산물_10월'!$A:$A,$E127),SUMIFS('RAW_농산물_11-12월'!$F:$F,'RAW_농산물_11-12월'!$D:$D,$C127,'RAW_농산물_11-12월'!$A:$A,$E127))))</f>
        <v>115</v>
      </c>
      <c r="G127" s="7">
        <f>IF($C127="","",IF('설정'!$B$3=0,"",CHOOSE('설정'!$B$3,SUMIFS('RAW_농산물_7월'!$G:$G,'RAW_농산물_7월'!$D:$D,$C127,'RAW_농산물_7월'!$A:$A,$E127),SUMIFS('RAW_농산물_8월'!$G:$G,'RAW_농산물_8월'!$D:$D,$C127,'RAW_농산물_8월'!$A:$A,$E127),SUMIFS('RAW_농산물_9월'!$G:$G,'RAW_농산물_9월'!$D:$D,$C127,'RAW_농산물_9월'!$A:$A,$E127),SUMIFS('RAW_농산물_10월'!$G:$G,'RAW_농산물_10월'!$D:$D,$C127,'RAW_농산물_10월'!$A:$A,$E127),SUMIFS('RAW_농산물_11-12월'!$G:$G,'RAW_농산물_11-12월'!$D:$D,$C127,'RAW_농산물_11-12월'!$A:$A,$E127))))</f>
        <v>6213800</v>
      </c>
      <c r="H127" s="14">
        <f>IF($C127="","",IF('설정'!$B$3=0,"",CHOOSE('설정'!$B$3,SUMIFS('RAW_농산물_7월'!$H:$H,'RAW_농산물_7월'!$D:$D,$C127,'RAW_농산물_7월'!$A:$A,$E127),SUMIFS('RAW_농산물_8월'!$H:$H,'RAW_농산물_8월'!$D:$D,$C127,'RAW_농산물_8월'!$A:$A,$E127),SUMIFS('RAW_농산물_9월'!$H:$H,'RAW_농산물_9월'!$D:$D,$C127,'RAW_농산물_9월'!$A:$A,$E127),SUMIFS('RAW_농산물_10월'!$H:$H,'RAW_농산물_10월'!$D:$D,$C127,'RAW_농산물_10월'!$A:$A,$E127),SUMIFS('RAW_농산물_11-12월'!$H:$H,'RAW_농산물_11-12월'!$D:$D,$C127,'RAW_농산물_11-12월'!$A:$A,$E127))))</f>
        <v>422640</v>
      </c>
      <c r="I127" s="17" t="str">
        <f>IF($C127="","",IF(COUNTIFS('RAW_농산물_7월'!$D:$D,$C127,'RAW_농산물_7월'!$A:$A,$E127)&gt;0,"O",""))</f>
        <v>O</v>
      </c>
      <c r="J127" s="17" t="str">
        <f>IF($C127="","",IF(COUNTIFS('RAW_농산물_8월'!$D:$D,$C127,'RAW_농산물_8월'!$A:$A,$E127)&gt;0,"O",""))</f>
        <v>O</v>
      </c>
      <c r="K127" s="17" t="str">
        <f>IF($C127="","",IF(COUNTIFS('RAW_농산물_9월'!$D:$D,$C127,'RAW_농산물_9월'!$A:$A,$E127)&gt;0,"O",""))</f>
        <v/>
      </c>
      <c r="L127" s="17" t="str">
        <f>IF($C127="","",IF(COUNTIFS('RAW_농산물_10월'!$D:$D,$C127,'RAW_농산물_10월'!$A:$A,$E127)&gt;0,"O",""))</f>
        <v/>
      </c>
      <c r="M127" s="17" t="str">
        <f>IF($C127="","",IF(COUNTIFS('RAW_농산물_11-12월'!$D:$D,$C127,'RAW_농산물_11-12월'!$A:$A,$E127)&gt;0,"O",""))</f>
        <v/>
      </c>
      <c r="N127" s="7">
        <f>IF($C127="","",IF(COUNTA('RAW_농산물_7월'!$A:$A)&lt;=1,"",SUMIFS('RAW_농산물_7월'!$H:$H,'RAW_농산물_7월'!$D:$D,$C127,'RAW_농산물_7월'!$A:$A,$E127)))</f>
        <v>254320</v>
      </c>
      <c r="O127" s="7">
        <f>IF($C127="","",IF(COUNTA('RAW_농산물_8월'!$A:$A)&lt;=1,"",SUMIFS('RAW_농산물_8월'!$H:$H,'RAW_농산물_8월'!$D:$D,$C127,'RAW_농산물_8월'!$A:$A,$E127)-SUMIFS('RAW_농산물_7월'!$H:$H,'RAW_농산물_7월'!$D:$D,$C127,'RAW_농산물_7월'!$A:$A,$E127)))</f>
        <v>168320</v>
      </c>
      <c r="P127" s="7" t="str">
        <f>IF($C127="","",IF(COUNTA('RAW_농산물_9월'!$A:$A)&lt;=1,"",SUMIFS('RAW_농산물_9월'!$H:$H,'RAW_농산물_9월'!$D:$D,$C127,'RAW_농산물_9월'!$A:$A,$E127)-SUMIFS('RAW_농산물_8월'!$H:$H,'RAW_농산물_8월'!$D:$D,$C127,'RAW_농산물_8월'!$A:$A,$E127)))</f>
        <v/>
      </c>
      <c r="Q127" s="7" t="str">
        <f>IF($C127="","",IF(COUNTA('RAW_농산물_10월'!$A:$A)&lt;=1,"",SUMIFS('RAW_농산물_10월'!$H:$H,'RAW_농산물_10월'!$D:$D,$C127,'RAW_농산물_10월'!$A:$A,$E127)-SUMIFS('RAW_농산물_9월'!$H:$H,'RAW_농산물_9월'!$D:$D,$C127,'RAW_농산물_9월'!$A:$A,$E127)))</f>
        <v/>
      </c>
      <c r="R127" s="7" t="str">
        <f>IF($C127="","",IF(COUNTA('RAW_농산물_11-12월'!$A:$A)&lt;=1,"",SUMIFS('RAW_농산물_11-12월'!$H:$H,'RAW_농산물_11-12월'!$D:$D,$C127,'RAW_농산물_11-12월'!$A:$A,$E127)-SUMIFS('RAW_농산물_10월'!$H:$H,'RAW_농산물_10월'!$D:$D,$C127,'RAW_농산물_10월'!$A:$A,$E127)))</f>
        <v/>
      </c>
      <c r="S127" s="17" t="str">
        <f t="shared" si="4"/>
        <v>O</v>
      </c>
      <c r="T127" s="17" t="str">
        <f t="shared" si="5"/>
        <v>50만원 미만</v>
      </c>
      <c r="U127" s="7">
        <f>IF($C127="",0,IF('설정'!$B$3=0,0,CHOOSE('설정'!$B$3,COUNTIFS('RAW_농산물_7월'!$D:$D,$C127,'RAW_농산물_7월'!$A:$A,$E127),COUNTIFS('RAW_농산물_8월'!$D:$D,$C127,'RAW_농산물_8월'!$A:$A,$E127),COUNTIFS('RAW_농산물_9월'!$D:$D,$C127,'RAW_농산물_9월'!$A:$A,$E127),COUNTIFS('RAW_농산물_10월'!$D:$D,$C127,'RAW_농산물_10월'!$A:$A,$E127),COUNTIFS('RAW_농산물_11-12월'!$D:$D,$C127,'RAW_농산물_11-12월'!$A:$A,$E127))))</f>
        <v>18</v>
      </c>
    </row>
    <row r="128" ht="15.75" customHeight="1">
      <c r="A128" s="5">
        <v>126.0</v>
      </c>
      <c r="B128" s="5" t="s">
        <v>108</v>
      </c>
      <c r="C128" s="5" t="s">
        <v>1250</v>
      </c>
      <c r="D128" s="6" t="s">
        <v>1249</v>
      </c>
      <c r="E128" s="5" t="s">
        <v>94</v>
      </c>
      <c r="F128" s="7">
        <f>IF($C128="","",IF('설정'!$B$3=0,"",CHOOSE('설정'!$B$3,SUMIFS('RAW_농산물_7월'!$F:$F,'RAW_농산물_7월'!$D:$D,$C128,'RAW_농산물_7월'!$A:$A,$E128),SUMIFS('RAW_농산물_8월'!$F:$F,'RAW_농산물_8월'!$D:$D,$C128,'RAW_농산물_8월'!$A:$A,$E128),SUMIFS('RAW_농산물_9월'!$F:$F,'RAW_농산물_9월'!$D:$D,$C128,'RAW_농산물_9월'!$A:$A,$E128),SUMIFS('RAW_농산물_10월'!$F:$F,'RAW_농산물_10월'!$D:$D,$C128,'RAW_농산물_10월'!$A:$A,$E128),SUMIFS('RAW_농산물_11-12월'!$F:$F,'RAW_농산물_11-12월'!$D:$D,$C128,'RAW_농산물_11-12월'!$A:$A,$E128))))</f>
        <v>150</v>
      </c>
      <c r="G128" s="7">
        <f>IF($C128="","",IF('설정'!$B$3=0,"",CHOOSE('설정'!$B$3,SUMIFS('RAW_농산물_7월'!$G:$G,'RAW_농산물_7월'!$D:$D,$C128,'RAW_농산물_7월'!$A:$A,$E128),SUMIFS('RAW_농산물_8월'!$G:$G,'RAW_농산물_8월'!$D:$D,$C128,'RAW_농산물_8월'!$A:$A,$E128),SUMIFS('RAW_농산물_9월'!$G:$G,'RAW_농산물_9월'!$D:$D,$C128,'RAW_농산물_9월'!$A:$A,$E128),SUMIFS('RAW_농산물_10월'!$G:$G,'RAW_농산물_10월'!$D:$D,$C128,'RAW_농산물_10월'!$A:$A,$E128),SUMIFS('RAW_농산물_11-12월'!$G:$G,'RAW_농산물_11-12월'!$D:$D,$C128,'RAW_농산물_11-12월'!$A:$A,$E128))))</f>
        <v>2247000</v>
      </c>
      <c r="H128" s="14">
        <f>IF($C128="","",IF('설정'!$B$3=0,"",CHOOSE('설정'!$B$3,SUMIFS('RAW_농산물_7월'!$H:$H,'RAW_농산물_7월'!$D:$D,$C128,'RAW_농산물_7월'!$A:$A,$E128),SUMIFS('RAW_농산물_8월'!$H:$H,'RAW_농산물_8월'!$D:$D,$C128,'RAW_농산물_8월'!$A:$A,$E128),SUMIFS('RAW_농산물_9월'!$H:$H,'RAW_농산물_9월'!$D:$D,$C128,'RAW_농산물_9월'!$A:$A,$E128),SUMIFS('RAW_농산물_10월'!$H:$H,'RAW_농산물_10월'!$D:$D,$C128,'RAW_농산물_10월'!$A:$A,$E128),SUMIFS('RAW_농산물_11-12월'!$H:$H,'RAW_농산물_11-12월'!$D:$D,$C128,'RAW_농산물_11-12월'!$A:$A,$E128))))</f>
        <v>335843</v>
      </c>
      <c r="I128" s="17" t="str">
        <f>IF($C128="","",IF(COUNTIFS('RAW_농산물_7월'!$D:$D,$C128,'RAW_농산물_7월'!$A:$A,$E128)&gt;0,"O",""))</f>
        <v>O</v>
      </c>
      <c r="J128" s="17" t="str">
        <f>IF($C128="","",IF(COUNTIFS('RAW_농산물_8월'!$D:$D,$C128,'RAW_농산물_8월'!$A:$A,$E128)&gt;0,"O",""))</f>
        <v>O</v>
      </c>
      <c r="K128" s="17" t="str">
        <f>IF($C128="","",IF(COUNTIFS('RAW_농산물_9월'!$D:$D,$C128,'RAW_농산물_9월'!$A:$A,$E128)&gt;0,"O",""))</f>
        <v/>
      </c>
      <c r="L128" s="17" t="str">
        <f>IF($C128="","",IF(COUNTIFS('RAW_농산물_10월'!$D:$D,$C128,'RAW_농산물_10월'!$A:$A,$E128)&gt;0,"O",""))</f>
        <v/>
      </c>
      <c r="M128" s="17" t="str">
        <f>IF($C128="","",IF(COUNTIFS('RAW_농산물_11-12월'!$D:$D,$C128,'RAW_농산물_11-12월'!$A:$A,$E128)&gt;0,"O",""))</f>
        <v/>
      </c>
      <c r="N128" s="7">
        <f>IF($C128="","",IF(COUNTA('RAW_농산물_7월'!$A:$A)&lt;=1,"",SUMIFS('RAW_농산물_7월'!$H:$H,'RAW_농산물_7월'!$D:$D,$C128,'RAW_농산물_7월'!$A:$A,$E128)))</f>
        <v>82900</v>
      </c>
      <c r="O128" s="7">
        <f>IF($C128="","",IF(COUNTA('RAW_농산물_8월'!$A:$A)&lt;=1,"",SUMIFS('RAW_농산물_8월'!$H:$H,'RAW_농산물_8월'!$D:$D,$C128,'RAW_농산물_8월'!$A:$A,$E128)-SUMIFS('RAW_농산물_7월'!$H:$H,'RAW_농산물_7월'!$D:$D,$C128,'RAW_농산물_7월'!$A:$A,$E128)))</f>
        <v>252943</v>
      </c>
      <c r="P128" s="7" t="str">
        <f>IF($C128="","",IF(COUNTA('RAW_농산물_9월'!$A:$A)&lt;=1,"",SUMIFS('RAW_농산물_9월'!$H:$H,'RAW_농산물_9월'!$D:$D,$C128,'RAW_농산물_9월'!$A:$A,$E128)-SUMIFS('RAW_농산물_8월'!$H:$H,'RAW_농산물_8월'!$D:$D,$C128,'RAW_농산물_8월'!$A:$A,$E128)))</f>
        <v/>
      </c>
      <c r="Q128" s="7" t="str">
        <f>IF($C128="","",IF(COUNTA('RAW_농산물_10월'!$A:$A)&lt;=1,"",SUMIFS('RAW_농산물_10월'!$H:$H,'RAW_농산물_10월'!$D:$D,$C128,'RAW_농산물_10월'!$A:$A,$E128)-SUMIFS('RAW_농산물_9월'!$H:$H,'RAW_농산물_9월'!$D:$D,$C128,'RAW_농산물_9월'!$A:$A,$E128)))</f>
        <v/>
      </c>
      <c r="R128" s="7" t="str">
        <f>IF($C128="","",IF(COUNTA('RAW_농산물_11-12월'!$A:$A)&lt;=1,"",SUMIFS('RAW_농산물_11-12월'!$H:$H,'RAW_농산물_11-12월'!$D:$D,$C128,'RAW_농산물_11-12월'!$A:$A,$E128)-SUMIFS('RAW_농산물_10월'!$H:$H,'RAW_농산물_10월'!$D:$D,$C128,'RAW_농산물_10월'!$A:$A,$E128)))</f>
        <v/>
      </c>
      <c r="S128" s="17" t="str">
        <f t="shared" si="4"/>
        <v>O</v>
      </c>
      <c r="T128" s="17" t="str">
        <f t="shared" si="5"/>
        <v>50만원 미만</v>
      </c>
      <c r="U128" s="7">
        <f>IF($C128="",0,IF('설정'!$B$3=0,0,CHOOSE('설정'!$B$3,COUNTIFS('RAW_농산물_7월'!$D:$D,$C128,'RAW_농산물_7월'!$A:$A,$E128),COUNTIFS('RAW_농산물_8월'!$D:$D,$C128,'RAW_농산물_8월'!$A:$A,$E128),COUNTIFS('RAW_농산물_9월'!$D:$D,$C128,'RAW_농산물_9월'!$A:$A,$E128),COUNTIFS('RAW_농산물_10월'!$D:$D,$C128,'RAW_농산물_10월'!$A:$A,$E128),COUNTIFS('RAW_농산물_11-12월'!$D:$D,$C128,'RAW_농산물_11-12월'!$A:$A,$E128))))</f>
        <v>7</v>
      </c>
    </row>
    <row r="129" ht="15.75" customHeight="1">
      <c r="A129" s="5">
        <v>127.0</v>
      </c>
      <c r="B129" s="5" t="s">
        <v>145</v>
      </c>
      <c r="C129" s="5" t="s">
        <v>1936</v>
      </c>
      <c r="D129" s="6" t="s">
        <v>1935</v>
      </c>
      <c r="E129" s="5" t="s">
        <v>95</v>
      </c>
      <c r="F129" s="7">
        <f>IF($C129="","",IF('설정'!$B$3=0,"",CHOOSE('설정'!$B$3,SUMIFS('RAW_농산물_7월'!$F:$F,'RAW_농산물_7월'!$D:$D,$C129,'RAW_농산물_7월'!$A:$A,$E129),SUMIFS('RAW_농산물_8월'!$F:$F,'RAW_농산물_8월'!$D:$D,$C129,'RAW_농산물_8월'!$A:$A,$E129),SUMIFS('RAW_농산물_9월'!$F:$F,'RAW_농산물_9월'!$D:$D,$C129,'RAW_농산물_9월'!$A:$A,$E129),SUMIFS('RAW_농산물_10월'!$F:$F,'RAW_농산물_10월'!$D:$D,$C129,'RAW_농산물_10월'!$A:$A,$E129),SUMIFS('RAW_농산물_11-12월'!$F:$F,'RAW_농산물_11-12월'!$D:$D,$C129,'RAW_농산물_11-12월'!$A:$A,$E129))))</f>
        <v>11</v>
      </c>
      <c r="G129" s="7">
        <f>IF($C129="","",IF('설정'!$B$3=0,"",CHOOSE('설정'!$B$3,SUMIFS('RAW_농산물_7월'!$G:$G,'RAW_농산물_7월'!$D:$D,$C129,'RAW_농산물_7월'!$A:$A,$E129),SUMIFS('RAW_농산물_8월'!$G:$G,'RAW_농산물_8월'!$D:$D,$C129,'RAW_농산물_8월'!$A:$A,$E129),SUMIFS('RAW_농산물_9월'!$G:$G,'RAW_농산물_9월'!$D:$D,$C129,'RAW_농산물_9월'!$A:$A,$E129),SUMIFS('RAW_농산물_10월'!$G:$G,'RAW_농산물_10월'!$D:$D,$C129,'RAW_농산물_10월'!$A:$A,$E129),SUMIFS('RAW_농산물_11-12월'!$G:$G,'RAW_농산물_11-12월'!$D:$D,$C129,'RAW_농산물_11-12월'!$A:$A,$E129))))</f>
        <v>268713</v>
      </c>
      <c r="H129" s="14">
        <f>IF($C129="","",IF('설정'!$B$3=0,"",CHOOSE('설정'!$B$3,SUMIFS('RAW_농산물_7월'!$H:$H,'RAW_농산물_7월'!$D:$D,$C129,'RAW_농산물_7월'!$A:$A,$E129),SUMIFS('RAW_농산물_8월'!$H:$H,'RAW_농산물_8월'!$D:$D,$C129,'RAW_농산물_8월'!$A:$A,$E129),SUMIFS('RAW_농산물_9월'!$H:$H,'RAW_농산물_9월'!$D:$D,$C129,'RAW_농산물_9월'!$A:$A,$E129),SUMIFS('RAW_농산물_10월'!$H:$H,'RAW_농산물_10월'!$D:$D,$C129,'RAW_농산물_10월'!$A:$A,$E129),SUMIFS('RAW_농산물_11-12월'!$H:$H,'RAW_농산물_11-12월'!$D:$D,$C129,'RAW_농산물_11-12월'!$A:$A,$E129))))</f>
        <v>28340</v>
      </c>
      <c r="I129" s="17" t="str">
        <f>IF($C129="","",IF(COUNTIFS('RAW_농산물_7월'!$D:$D,$C129,'RAW_농산물_7월'!$A:$A,$E129)&gt;0,"O",""))</f>
        <v/>
      </c>
      <c r="J129" s="17" t="str">
        <f>IF($C129="","",IF(COUNTIFS('RAW_농산물_8월'!$D:$D,$C129,'RAW_농산물_8월'!$A:$A,$E129)&gt;0,"O",""))</f>
        <v>O</v>
      </c>
      <c r="K129" s="17" t="str">
        <f>IF($C129="","",IF(COUNTIFS('RAW_농산물_9월'!$D:$D,$C129,'RAW_농산물_9월'!$A:$A,$E129)&gt;0,"O",""))</f>
        <v/>
      </c>
      <c r="L129" s="17" t="str">
        <f>IF($C129="","",IF(COUNTIFS('RAW_농산물_10월'!$D:$D,$C129,'RAW_농산물_10월'!$A:$A,$E129)&gt;0,"O",""))</f>
        <v/>
      </c>
      <c r="M129" s="17" t="str">
        <f>IF($C129="","",IF(COUNTIFS('RAW_농산물_11-12월'!$D:$D,$C129,'RAW_농산물_11-12월'!$A:$A,$E129)&gt;0,"O",""))</f>
        <v/>
      </c>
      <c r="N129" s="7">
        <f>IF($C129="","",IF(COUNTA('RAW_농산물_7월'!$A:$A)&lt;=1,"",SUMIFS('RAW_농산물_7월'!$H:$H,'RAW_농산물_7월'!$D:$D,$C129,'RAW_농산물_7월'!$A:$A,$E129)))</f>
        <v>0</v>
      </c>
      <c r="O129" s="7">
        <f>IF($C129="","",IF(COUNTA('RAW_농산물_8월'!$A:$A)&lt;=1,"",SUMIFS('RAW_농산물_8월'!$H:$H,'RAW_농산물_8월'!$D:$D,$C129,'RAW_농산물_8월'!$A:$A,$E129)-SUMIFS('RAW_농산물_7월'!$H:$H,'RAW_농산물_7월'!$D:$D,$C129,'RAW_농산물_7월'!$A:$A,$E129)))</f>
        <v>28340</v>
      </c>
      <c r="P129" s="7" t="str">
        <f>IF($C129="","",IF(COUNTA('RAW_농산물_9월'!$A:$A)&lt;=1,"",SUMIFS('RAW_농산물_9월'!$H:$H,'RAW_농산물_9월'!$D:$D,$C129,'RAW_농산물_9월'!$A:$A,$E129)-SUMIFS('RAW_농산물_8월'!$H:$H,'RAW_농산물_8월'!$D:$D,$C129,'RAW_농산물_8월'!$A:$A,$E129)))</f>
        <v/>
      </c>
      <c r="Q129" s="7" t="str">
        <f>IF($C129="","",IF(COUNTA('RAW_농산물_10월'!$A:$A)&lt;=1,"",SUMIFS('RAW_농산물_10월'!$H:$H,'RAW_농산물_10월'!$D:$D,$C129,'RAW_농산물_10월'!$A:$A,$E129)-SUMIFS('RAW_농산물_9월'!$H:$H,'RAW_농산물_9월'!$D:$D,$C129,'RAW_농산물_9월'!$A:$A,$E129)))</f>
        <v/>
      </c>
      <c r="R129" s="7" t="str">
        <f>IF($C129="","",IF(COUNTA('RAW_농산물_11-12월'!$A:$A)&lt;=1,"",SUMIFS('RAW_농산물_11-12월'!$H:$H,'RAW_농산물_11-12월'!$D:$D,$C129,'RAW_농산물_11-12월'!$A:$A,$E129)-SUMIFS('RAW_농산물_10월'!$H:$H,'RAW_농산물_10월'!$D:$D,$C129,'RAW_농산물_10월'!$A:$A,$E129)))</f>
        <v/>
      </c>
      <c r="S129" s="17" t="str">
        <f t="shared" si="4"/>
        <v>O</v>
      </c>
      <c r="T129" s="17" t="str">
        <f t="shared" si="5"/>
        <v>50만원 미만</v>
      </c>
      <c r="U129" s="7">
        <f>IF($C129="",0,IF('설정'!$B$3=0,0,CHOOSE('설정'!$B$3,COUNTIFS('RAW_농산물_7월'!$D:$D,$C129,'RAW_농산물_7월'!$A:$A,$E129),COUNTIFS('RAW_농산물_8월'!$D:$D,$C129,'RAW_농산물_8월'!$A:$A,$E129),COUNTIFS('RAW_농산물_9월'!$D:$D,$C129,'RAW_농산물_9월'!$A:$A,$E129),COUNTIFS('RAW_농산물_10월'!$D:$D,$C129,'RAW_농산물_10월'!$A:$A,$E129),COUNTIFS('RAW_농산물_11-12월'!$D:$D,$C129,'RAW_농산물_11-12월'!$A:$A,$E129))))</f>
        <v>1</v>
      </c>
    </row>
    <row r="130" ht="15.75" customHeight="1">
      <c r="A130" s="5">
        <v>128.0</v>
      </c>
      <c r="B130" s="5" t="s">
        <v>25</v>
      </c>
      <c r="C130" s="5" t="s">
        <v>364</v>
      </c>
      <c r="D130" s="6" t="s">
        <v>363</v>
      </c>
      <c r="E130" s="5" t="s">
        <v>92</v>
      </c>
      <c r="F130" s="7">
        <f>IF($C130="","",IF('설정'!$B$3=0,"",CHOOSE('설정'!$B$3,SUMIFS('RAW_농산물_7월'!$F:$F,'RAW_농산물_7월'!$D:$D,$C130,'RAW_농산물_7월'!$A:$A,$E130),SUMIFS('RAW_농산물_8월'!$F:$F,'RAW_농산물_8월'!$D:$D,$C130,'RAW_농산물_8월'!$A:$A,$E130),SUMIFS('RAW_농산물_9월'!$F:$F,'RAW_농산물_9월'!$D:$D,$C130,'RAW_농산물_9월'!$A:$A,$E130),SUMIFS('RAW_농산물_10월'!$F:$F,'RAW_농산물_10월'!$D:$D,$C130,'RAW_농산물_10월'!$A:$A,$E130),SUMIFS('RAW_농산물_11-12월'!$F:$F,'RAW_농산물_11-12월'!$D:$D,$C130,'RAW_농산물_11-12월'!$A:$A,$E130))))</f>
        <v>238</v>
      </c>
      <c r="G130" s="7">
        <f>IF($C130="","",IF('설정'!$B$3=0,"",CHOOSE('설정'!$B$3,SUMIFS('RAW_농산물_7월'!$G:$G,'RAW_농산물_7월'!$D:$D,$C130,'RAW_농산물_7월'!$A:$A,$E130),SUMIFS('RAW_농산물_8월'!$G:$G,'RAW_농산물_8월'!$D:$D,$C130,'RAW_농산물_8월'!$A:$A,$E130),SUMIFS('RAW_농산물_9월'!$G:$G,'RAW_농산물_9월'!$D:$D,$C130,'RAW_농산물_9월'!$A:$A,$E130),SUMIFS('RAW_농산물_10월'!$G:$G,'RAW_농산물_10월'!$D:$D,$C130,'RAW_농산물_10월'!$A:$A,$E130),SUMIFS('RAW_농산물_11-12월'!$G:$G,'RAW_농산물_11-12월'!$D:$D,$C130,'RAW_농산물_11-12월'!$A:$A,$E130))))</f>
        <v>11446900</v>
      </c>
      <c r="H130" s="14">
        <f>IF($C130="","",IF('설정'!$B$3=0,"",CHOOSE('설정'!$B$3,SUMIFS('RAW_농산물_7월'!$H:$H,'RAW_농산물_7월'!$D:$D,$C130,'RAW_농산물_7월'!$A:$A,$E130),SUMIFS('RAW_농산물_8월'!$H:$H,'RAW_농산물_8월'!$D:$D,$C130,'RAW_농산물_8월'!$A:$A,$E130),SUMIFS('RAW_농산물_9월'!$H:$H,'RAW_농산물_9월'!$D:$D,$C130,'RAW_농산물_9월'!$A:$A,$E130),SUMIFS('RAW_농산물_10월'!$H:$H,'RAW_농산물_10월'!$D:$D,$C130,'RAW_농산물_10월'!$A:$A,$E130),SUMIFS('RAW_농산물_11-12월'!$H:$H,'RAW_농산물_11-12월'!$D:$D,$C130,'RAW_농산물_11-12월'!$A:$A,$E130))))</f>
        <v>956180</v>
      </c>
      <c r="I130" s="17" t="str">
        <f>IF($C130="","",IF(COUNTIFS('RAW_농산물_7월'!$D:$D,$C130,'RAW_농산물_7월'!$A:$A,$E130)&gt;0,"O",""))</f>
        <v>O</v>
      </c>
      <c r="J130" s="17" t="str">
        <f>IF($C130="","",IF(COUNTIFS('RAW_농산물_8월'!$D:$D,$C130,'RAW_농산물_8월'!$A:$A,$E130)&gt;0,"O",""))</f>
        <v>O</v>
      </c>
      <c r="K130" s="17" t="str">
        <f>IF($C130="","",IF(COUNTIFS('RAW_농산물_9월'!$D:$D,$C130,'RAW_농산물_9월'!$A:$A,$E130)&gt;0,"O",""))</f>
        <v/>
      </c>
      <c r="L130" s="17" t="str">
        <f>IF($C130="","",IF(COUNTIFS('RAW_농산물_10월'!$D:$D,$C130,'RAW_농산물_10월'!$A:$A,$E130)&gt;0,"O",""))</f>
        <v/>
      </c>
      <c r="M130" s="17" t="str">
        <f>IF($C130="","",IF(COUNTIFS('RAW_농산물_11-12월'!$D:$D,$C130,'RAW_농산물_11-12월'!$A:$A,$E130)&gt;0,"O",""))</f>
        <v/>
      </c>
      <c r="N130" s="7">
        <f>IF($C130="","",IF(COUNTA('RAW_농산물_7월'!$A:$A)&lt;=1,"",SUMIFS('RAW_농산물_7월'!$H:$H,'RAW_농산물_7월'!$D:$D,$C130,'RAW_농산물_7월'!$A:$A,$E130)))</f>
        <v>171740</v>
      </c>
      <c r="O130" s="7">
        <f>IF($C130="","",IF(COUNTA('RAW_농산물_8월'!$A:$A)&lt;=1,"",SUMIFS('RAW_농산물_8월'!$H:$H,'RAW_농산물_8월'!$D:$D,$C130,'RAW_농산물_8월'!$A:$A,$E130)-SUMIFS('RAW_농산물_7월'!$H:$H,'RAW_농산물_7월'!$D:$D,$C130,'RAW_농산물_7월'!$A:$A,$E130)))</f>
        <v>784440</v>
      </c>
      <c r="P130" s="7" t="str">
        <f>IF($C130="","",IF(COUNTA('RAW_농산물_9월'!$A:$A)&lt;=1,"",SUMIFS('RAW_농산물_9월'!$H:$H,'RAW_농산물_9월'!$D:$D,$C130,'RAW_농산물_9월'!$A:$A,$E130)-SUMIFS('RAW_농산물_8월'!$H:$H,'RAW_농산물_8월'!$D:$D,$C130,'RAW_농산물_8월'!$A:$A,$E130)))</f>
        <v/>
      </c>
      <c r="Q130" s="7" t="str">
        <f>IF($C130="","",IF(COUNTA('RAW_농산물_10월'!$A:$A)&lt;=1,"",SUMIFS('RAW_농산물_10월'!$H:$H,'RAW_농산물_10월'!$D:$D,$C130,'RAW_농산물_10월'!$A:$A,$E130)-SUMIFS('RAW_농산물_9월'!$H:$H,'RAW_농산물_9월'!$D:$D,$C130,'RAW_농산물_9월'!$A:$A,$E130)))</f>
        <v/>
      </c>
      <c r="R130" s="7" t="str">
        <f>IF($C130="","",IF(COUNTA('RAW_농산물_11-12월'!$A:$A)&lt;=1,"",SUMIFS('RAW_농산물_11-12월'!$H:$H,'RAW_농산물_11-12월'!$D:$D,$C130,'RAW_농산물_11-12월'!$A:$A,$E130)-SUMIFS('RAW_농산물_10월'!$H:$H,'RAW_농산물_10월'!$D:$D,$C130,'RAW_농산물_10월'!$A:$A,$E130)))</f>
        <v/>
      </c>
      <c r="S130" s="17" t="str">
        <f t="shared" si="4"/>
        <v>O</v>
      </c>
      <c r="T130" s="17" t="str">
        <f t="shared" si="5"/>
        <v>100만원 미만</v>
      </c>
      <c r="U130" s="7">
        <f>IF($C130="",0,IF('설정'!$B$3=0,0,CHOOSE('설정'!$B$3,COUNTIFS('RAW_농산물_7월'!$D:$D,$C130,'RAW_농산물_7월'!$A:$A,$E130),COUNTIFS('RAW_농산물_8월'!$D:$D,$C130,'RAW_농산물_8월'!$A:$A,$E130),COUNTIFS('RAW_농산물_9월'!$D:$D,$C130,'RAW_농산물_9월'!$A:$A,$E130),COUNTIFS('RAW_농산물_10월'!$D:$D,$C130,'RAW_농산물_10월'!$A:$A,$E130),COUNTIFS('RAW_농산물_11-12월'!$D:$D,$C130,'RAW_농산물_11-12월'!$A:$A,$E130))))</f>
        <v>5</v>
      </c>
    </row>
    <row r="131" ht="15.75" customHeight="1">
      <c r="A131" s="5">
        <v>129.0</v>
      </c>
      <c r="B131" s="5" t="s">
        <v>108</v>
      </c>
      <c r="C131" s="5" t="s">
        <v>381</v>
      </c>
      <c r="D131" s="6" t="s">
        <v>380</v>
      </c>
      <c r="E131" s="5" t="s">
        <v>92</v>
      </c>
      <c r="F131" s="7">
        <f>IF($C131="","",IF('설정'!$B$3=0,"",CHOOSE('설정'!$B$3,SUMIFS('RAW_농산물_7월'!$F:$F,'RAW_농산물_7월'!$D:$D,$C131,'RAW_농산물_7월'!$A:$A,$E131),SUMIFS('RAW_농산물_8월'!$F:$F,'RAW_농산물_8월'!$D:$D,$C131,'RAW_농산물_8월'!$A:$A,$E131),SUMIFS('RAW_농산물_9월'!$F:$F,'RAW_농산물_9월'!$D:$D,$C131,'RAW_농산물_9월'!$A:$A,$E131),SUMIFS('RAW_농산물_10월'!$F:$F,'RAW_농산물_10월'!$D:$D,$C131,'RAW_농산물_10월'!$A:$A,$E131),SUMIFS('RAW_농산물_11-12월'!$F:$F,'RAW_농산물_11-12월'!$D:$D,$C131,'RAW_농산물_11-12월'!$A:$A,$E131))))</f>
        <v>371</v>
      </c>
      <c r="G131" s="7">
        <f>IF($C131="","",IF('설정'!$B$3=0,"",CHOOSE('설정'!$B$3,SUMIFS('RAW_농산물_7월'!$G:$G,'RAW_농산물_7월'!$D:$D,$C131,'RAW_농산물_7월'!$A:$A,$E131),SUMIFS('RAW_농산물_8월'!$G:$G,'RAW_농산물_8월'!$D:$D,$C131,'RAW_농산물_8월'!$A:$A,$E131),SUMIFS('RAW_농산물_9월'!$G:$G,'RAW_농산물_9월'!$D:$D,$C131,'RAW_농산물_9월'!$A:$A,$E131),SUMIFS('RAW_농산물_10월'!$G:$G,'RAW_농산물_10월'!$D:$D,$C131,'RAW_농산물_10월'!$A:$A,$E131),SUMIFS('RAW_농산물_11-12월'!$G:$G,'RAW_농산물_11-12월'!$D:$D,$C131,'RAW_농산물_11-12월'!$A:$A,$E131))))</f>
        <v>16447000</v>
      </c>
      <c r="H131" s="14">
        <f>IF($C131="","",IF('설정'!$B$3=0,"",CHOOSE('설정'!$B$3,SUMIFS('RAW_농산물_7월'!$H:$H,'RAW_농산물_7월'!$D:$D,$C131,'RAW_농산물_7월'!$A:$A,$E131),SUMIFS('RAW_농산물_8월'!$H:$H,'RAW_농산물_8월'!$D:$D,$C131,'RAW_농산물_8월'!$A:$A,$E131),SUMIFS('RAW_농산물_9월'!$H:$H,'RAW_농산물_9월'!$D:$D,$C131,'RAW_농산물_9월'!$A:$A,$E131),SUMIFS('RAW_농산물_10월'!$H:$H,'RAW_농산물_10월'!$D:$D,$C131,'RAW_농산물_10월'!$A:$A,$E131),SUMIFS('RAW_농산물_11-12월'!$H:$H,'RAW_농산물_11-12월'!$D:$D,$C131,'RAW_농산물_11-12월'!$A:$A,$E131))))</f>
        <v>1203400</v>
      </c>
      <c r="I131" s="17" t="str">
        <f>IF($C131="","",IF(COUNTIFS('RAW_농산물_7월'!$D:$D,$C131,'RAW_농산물_7월'!$A:$A,$E131)&gt;0,"O",""))</f>
        <v>O</v>
      </c>
      <c r="J131" s="17" t="str">
        <f>IF($C131="","",IF(COUNTIFS('RAW_농산물_8월'!$D:$D,$C131,'RAW_농산물_8월'!$A:$A,$E131)&gt;0,"O",""))</f>
        <v>O</v>
      </c>
      <c r="K131" s="17" t="str">
        <f>IF($C131="","",IF(COUNTIFS('RAW_농산물_9월'!$D:$D,$C131,'RAW_농산물_9월'!$A:$A,$E131)&gt;0,"O",""))</f>
        <v/>
      </c>
      <c r="L131" s="17" t="str">
        <f>IF($C131="","",IF(COUNTIFS('RAW_농산물_10월'!$D:$D,$C131,'RAW_농산물_10월'!$A:$A,$E131)&gt;0,"O",""))</f>
        <v/>
      </c>
      <c r="M131" s="17" t="str">
        <f>IF($C131="","",IF(COUNTIFS('RAW_농산물_11-12월'!$D:$D,$C131,'RAW_농산물_11-12월'!$A:$A,$E131)&gt;0,"O",""))</f>
        <v/>
      </c>
      <c r="N131" s="7">
        <f>IF($C131="","",IF(COUNTA('RAW_농산물_7월'!$A:$A)&lt;=1,"",SUMIFS('RAW_농산물_7월'!$H:$H,'RAW_농산물_7월'!$D:$D,$C131,'RAW_농산물_7월'!$A:$A,$E131)))</f>
        <v>140000</v>
      </c>
      <c r="O131" s="7">
        <f>IF($C131="","",IF(COUNTA('RAW_농산물_8월'!$A:$A)&lt;=1,"",SUMIFS('RAW_농산물_8월'!$H:$H,'RAW_농산물_8월'!$D:$D,$C131,'RAW_농산물_8월'!$A:$A,$E131)-SUMIFS('RAW_농산물_7월'!$H:$H,'RAW_농산물_7월'!$D:$D,$C131,'RAW_농산물_7월'!$A:$A,$E131)))</f>
        <v>1063400</v>
      </c>
      <c r="P131" s="7" t="str">
        <f>IF($C131="","",IF(COUNTA('RAW_농산물_9월'!$A:$A)&lt;=1,"",SUMIFS('RAW_농산물_9월'!$H:$H,'RAW_농산물_9월'!$D:$D,$C131,'RAW_농산물_9월'!$A:$A,$E131)-SUMIFS('RAW_농산물_8월'!$H:$H,'RAW_농산물_8월'!$D:$D,$C131,'RAW_농산물_8월'!$A:$A,$E131)))</f>
        <v/>
      </c>
      <c r="Q131" s="7" t="str">
        <f>IF($C131="","",IF(COUNTA('RAW_농산물_10월'!$A:$A)&lt;=1,"",SUMIFS('RAW_농산물_10월'!$H:$H,'RAW_농산물_10월'!$D:$D,$C131,'RAW_농산물_10월'!$A:$A,$E131)-SUMIFS('RAW_농산물_9월'!$H:$H,'RAW_농산물_9월'!$D:$D,$C131,'RAW_농산물_9월'!$A:$A,$E131)))</f>
        <v/>
      </c>
      <c r="R131" s="7" t="str">
        <f>IF($C131="","",IF(COUNTA('RAW_농산물_11-12월'!$A:$A)&lt;=1,"",SUMIFS('RAW_농산물_11-12월'!$H:$H,'RAW_농산물_11-12월'!$D:$D,$C131,'RAW_농산물_11-12월'!$A:$A,$E131)-SUMIFS('RAW_농산물_10월'!$H:$H,'RAW_농산물_10월'!$D:$D,$C131,'RAW_농산물_10월'!$A:$A,$E131)))</f>
        <v/>
      </c>
      <c r="S131" s="17" t="str">
        <f t="shared" si="4"/>
        <v>O</v>
      </c>
      <c r="T131" s="17" t="str">
        <f t="shared" si="5"/>
        <v>200만원 미만</v>
      </c>
      <c r="U131" s="7">
        <f>IF($C131="",0,IF('설정'!$B$3=0,0,CHOOSE('설정'!$B$3,COUNTIFS('RAW_농산물_7월'!$D:$D,$C131,'RAW_농산물_7월'!$A:$A,$E131),COUNTIFS('RAW_농산물_8월'!$D:$D,$C131,'RAW_농산물_8월'!$A:$A,$E131),COUNTIFS('RAW_농산물_9월'!$D:$D,$C131,'RAW_농산물_9월'!$A:$A,$E131),COUNTIFS('RAW_농산물_10월'!$D:$D,$C131,'RAW_농산물_10월'!$A:$A,$E131),COUNTIFS('RAW_농산물_11-12월'!$D:$D,$C131,'RAW_농산물_11-12월'!$A:$A,$E131))))</f>
        <v>3</v>
      </c>
    </row>
    <row r="132" ht="15.75" customHeight="1">
      <c r="A132" s="5">
        <v>130.0</v>
      </c>
      <c r="B132" s="5" t="s">
        <v>25</v>
      </c>
      <c r="C132" s="5" t="s">
        <v>399</v>
      </c>
      <c r="D132" s="6" t="s">
        <v>398</v>
      </c>
      <c r="E132" s="5" t="s">
        <v>92</v>
      </c>
      <c r="F132" s="7">
        <f>IF($C132="","",IF('설정'!$B$3=0,"",CHOOSE('설정'!$B$3,SUMIFS('RAW_농산물_7월'!$F:$F,'RAW_농산물_7월'!$D:$D,$C132,'RAW_농산물_7월'!$A:$A,$E132),SUMIFS('RAW_농산물_8월'!$F:$F,'RAW_농산물_8월'!$D:$D,$C132,'RAW_농산물_8월'!$A:$A,$E132),SUMIFS('RAW_농산물_9월'!$F:$F,'RAW_농산물_9월'!$D:$D,$C132,'RAW_농산물_9월'!$A:$A,$E132),SUMIFS('RAW_농산물_10월'!$F:$F,'RAW_농산물_10월'!$D:$D,$C132,'RAW_농산물_10월'!$A:$A,$E132),SUMIFS('RAW_농산물_11-12월'!$F:$F,'RAW_농산물_11-12월'!$D:$D,$C132,'RAW_농산물_11-12월'!$A:$A,$E132))))</f>
        <v>232</v>
      </c>
      <c r="G132" s="7">
        <f>IF($C132="","",IF('설정'!$B$3=0,"",CHOOSE('설정'!$B$3,SUMIFS('RAW_농산물_7월'!$G:$G,'RAW_농산물_7월'!$D:$D,$C132,'RAW_농산물_7월'!$A:$A,$E132),SUMIFS('RAW_농산물_8월'!$G:$G,'RAW_농산물_8월'!$D:$D,$C132,'RAW_농산물_8월'!$A:$A,$E132),SUMIFS('RAW_농산물_9월'!$G:$G,'RAW_농산물_9월'!$D:$D,$C132,'RAW_농산물_9월'!$A:$A,$E132),SUMIFS('RAW_농산물_10월'!$G:$G,'RAW_농산물_10월'!$D:$D,$C132,'RAW_농산물_10월'!$A:$A,$E132),SUMIFS('RAW_농산물_11-12월'!$G:$G,'RAW_농산물_11-12월'!$D:$D,$C132,'RAW_농산물_11-12월'!$A:$A,$E132))))</f>
        <v>12396500</v>
      </c>
      <c r="H132" s="14">
        <f>IF($C132="","",IF('설정'!$B$3=0,"",CHOOSE('설정'!$B$3,SUMIFS('RAW_농산물_7월'!$H:$H,'RAW_농산물_7월'!$D:$D,$C132,'RAW_농산물_7월'!$A:$A,$E132),SUMIFS('RAW_농산물_8월'!$H:$H,'RAW_농산물_8월'!$D:$D,$C132,'RAW_농산물_8월'!$A:$A,$E132),SUMIFS('RAW_농산물_9월'!$H:$H,'RAW_농산물_9월'!$D:$D,$C132,'RAW_농산물_9월'!$A:$A,$E132),SUMIFS('RAW_농산물_10월'!$H:$H,'RAW_농산물_10월'!$D:$D,$C132,'RAW_농산물_10월'!$A:$A,$E132),SUMIFS('RAW_농산물_11-12월'!$H:$H,'RAW_농산물_11-12월'!$D:$D,$C132,'RAW_농산물_11-12월'!$A:$A,$E132))))</f>
        <v>1310490</v>
      </c>
      <c r="I132" s="17" t="str">
        <f>IF($C132="","",IF(COUNTIFS('RAW_농산물_7월'!$D:$D,$C132,'RAW_농산물_7월'!$A:$A,$E132)&gt;0,"O",""))</f>
        <v>O</v>
      </c>
      <c r="J132" s="17" t="str">
        <f>IF($C132="","",IF(COUNTIFS('RAW_농산물_8월'!$D:$D,$C132,'RAW_농산물_8월'!$A:$A,$E132)&gt;0,"O",""))</f>
        <v>O</v>
      </c>
      <c r="K132" s="17" t="str">
        <f>IF($C132="","",IF(COUNTIFS('RAW_농산물_9월'!$D:$D,$C132,'RAW_농산물_9월'!$A:$A,$E132)&gt;0,"O",""))</f>
        <v/>
      </c>
      <c r="L132" s="17" t="str">
        <f>IF($C132="","",IF(COUNTIFS('RAW_농산물_10월'!$D:$D,$C132,'RAW_농산물_10월'!$A:$A,$E132)&gt;0,"O",""))</f>
        <v/>
      </c>
      <c r="M132" s="17" t="str">
        <f>IF($C132="","",IF(COUNTIFS('RAW_농산물_11-12월'!$D:$D,$C132,'RAW_농산물_11-12월'!$A:$A,$E132)&gt;0,"O",""))</f>
        <v/>
      </c>
      <c r="N132" s="7">
        <f>IF($C132="","",IF(COUNTA('RAW_농산물_7월'!$A:$A)&lt;=1,"",SUMIFS('RAW_농산물_7월'!$H:$H,'RAW_농산물_7월'!$D:$D,$C132,'RAW_농산물_7월'!$A:$A,$E132)))</f>
        <v>224810</v>
      </c>
      <c r="O132" s="7">
        <f>IF($C132="","",IF(COUNTA('RAW_농산물_8월'!$A:$A)&lt;=1,"",SUMIFS('RAW_농산물_8월'!$H:$H,'RAW_농산물_8월'!$D:$D,$C132,'RAW_농산물_8월'!$A:$A,$E132)-SUMIFS('RAW_농산물_7월'!$H:$H,'RAW_농산물_7월'!$D:$D,$C132,'RAW_농산물_7월'!$A:$A,$E132)))</f>
        <v>1085680</v>
      </c>
      <c r="P132" s="7" t="str">
        <f>IF($C132="","",IF(COUNTA('RAW_농산물_9월'!$A:$A)&lt;=1,"",SUMIFS('RAW_농산물_9월'!$H:$H,'RAW_농산물_9월'!$D:$D,$C132,'RAW_농산물_9월'!$A:$A,$E132)-SUMIFS('RAW_농산물_8월'!$H:$H,'RAW_농산물_8월'!$D:$D,$C132,'RAW_농산물_8월'!$A:$A,$E132)))</f>
        <v/>
      </c>
      <c r="Q132" s="7" t="str">
        <f>IF($C132="","",IF(COUNTA('RAW_농산물_10월'!$A:$A)&lt;=1,"",SUMIFS('RAW_농산물_10월'!$H:$H,'RAW_농산물_10월'!$D:$D,$C132,'RAW_농산물_10월'!$A:$A,$E132)-SUMIFS('RAW_농산물_9월'!$H:$H,'RAW_농산물_9월'!$D:$D,$C132,'RAW_농산물_9월'!$A:$A,$E132)))</f>
        <v/>
      </c>
      <c r="R132" s="7" t="str">
        <f>IF($C132="","",IF(COUNTA('RAW_농산물_11-12월'!$A:$A)&lt;=1,"",SUMIFS('RAW_농산물_11-12월'!$H:$H,'RAW_농산물_11-12월'!$D:$D,$C132,'RAW_농산물_11-12월'!$A:$A,$E132)-SUMIFS('RAW_농산물_10월'!$H:$H,'RAW_농산물_10월'!$D:$D,$C132,'RAW_농산물_10월'!$A:$A,$E132)))</f>
        <v/>
      </c>
      <c r="S132" s="17" t="str">
        <f t="shared" si="4"/>
        <v>O</v>
      </c>
      <c r="T132" s="17" t="str">
        <f t="shared" si="5"/>
        <v>200만원 미만</v>
      </c>
      <c r="U132" s="7">
        <f>IF($C132="",0,IF('설정'!$B$3=0,0,CHOOSE('설정'!$B$3,COUNTIFS('RAW_농산물_7월'!$D:$D,$C132,'RAW_농산물_7월'!$A:$A,$E132),COUNTIFS('RAW_농산물_8월'!$D:$D,$C132,'RAW_농산물_8월'!$A:$A,$E132),COUNTIFS('RAW_농산물_9월'!$D:$D,$C132,'RAW_농산물_9월'!$A:$A,$E132),COUNTIFS('RAW_농산물_10월'!$D:$D,$C132,'RAW_농산물_10월'!$A:$A,$E132),COUNTIFS('RAW_농산물_11-12월'!$D:$D,$C132,'RAW_농산물_11-12월'!$A:$A,$E132))))</f>
        <v>5</v>
      </c>
    </row>
    <row r="133" ht="15.75" customHeight="1">
      <c r="A133" s="5">
        <v>131.0</v>
      </c>
      <c r="B133" s="5" t="s">
        <v>25</v>
      </c>
      <c r="C133" s="5" t="s">
        <v>348</v>
      </c>
      <c r="D133" s="6" t="s">
        <v>347</v>
      </c>
      <c r="E133" s="5" t="s">
        <v>92</v>
      </c>
      <c r="F133" s="7">
        <f>IF($C133="","",IF('설정'!$B$3=0,"",CHOOSE('설정'!$B$3,SUMIFS('RAW_농산물_7월'!$F:$F,'RAW_농산물_7월'!$D:$D,$C133,'RAW_농산물_7월'!$A:$A,$E133),SUMIFS('RAW_농산물_8월'!$F:$F,'RAW_농산물_8월'!$D:$D,$C133,'RAW_농산물_8월'!$A:$A,$E133),SUMIFS('RAW_농산물_9월'!$F:$F,'RAW_농산물_9월'!$D:$D,$C133,'RAW_농산물_9월'!$A:$A,$E133),SUMIFS('RAW_농산물_10월'!$F:$F,'RAW_농산물_10월'!$D:$D,$C133,'RAW_농산물_10월'!$A:$A,$E133),SUMIFS('RAW_농산물_11-12월'!$F:$F,'RAW_농산물_11-12월'!$D:$D,$C133,'RAW_농산물_11-12월'!$A:$A,$E133))))</f>
        <v>441</v>
      </c>
      <c r="G133" s="7">
        <f>IF($C133="","",IF('설정'!$B$3=0,"",CHOOSE('설정'!$B$3,SUMIFS('RAW_농산물_7월'!$G:$G,'RAW_농산물_7월'!$D:$D,$C133,'RAW_농산물_7월'!$A:$A,$E133),SUMIFS('RAW_농산물_8월'!$G:$G,'RAW_농산물_8월'!$D:$D,$C133,'RAW_농산물_8월'!$A:$A,$E133),SUMIFS('RAW_농산물_9월'!$G:$G,'RAW_농산물_9월'!$D:$D,$C133,'RAW_농산물_9월'!$A:$A,$E133),SUMIFS('RAW_농산물_10월'!$G:$G,'RAW_농산물_10월'!$D:$D,$C133,'RAW_농산물_10월'!$A:$A,$E133),SUMIFS('RAW_농산물_11-12월'!$G:$G,'RAW_농산물_11-12월'!$D:$D,$C133,'RAW_농산물_11-12월'!$A:$A,$E133))))</f>
        <v>11280600</v>
      </c>
      <c r="H133" s="14">
        <f>IF($C133="","",IF('설정'!$B$3=0,"",CHOOSE('설정'!$B$3,SUMIFS('RAW_농산물_7월'!$H:$H,'RAW_농산물_7월'!$D:$D,$C133,'RAW_농산물_7월'!$A:$A,$E133),SUMIFS('RAW_농산물_8월'!$H:$H,'RAW_농산물_8월'!$D:$D,$C133,'RAW_농산물_8월'!$A:$A,$E133),SUMIFS('RAW_농산물_9월'!$H:$H,'RAW_농산물_9월'!$D:$D,$C133,'RAW_농산물_9월'!$A:$A,$E133),SUMIFS('RAW_농산물_10월'!$H:$H,'RAW_농산물_10월'!$D:$D,$C133,'RAW_농산물_10월'!$A:$A,$E133),SUMIFS('RAW_농산물_11-12월'!$H:$H,'RAW_농산물_11-12월'!$D:$D,$C133,'RAW_농산물_11-12월'!$A:$A,$E133))))</f>
        <v>241400</v>
      </c>
      <c r="I133" s="17" t="str">
        <f>IF($C133="","",IF(COUNTIFS('RAW_농산물_7월'!$D:$D,$C133,'RAW_농산물_7월'!$A:$A,$E133)&gt;0,"O",""))</f>
        <v>O</v>
      </c>
      <c r="J133" s="17" t="str">
        <f>IF($C133="","",IF(COUNTIFS('RAW_농산물_8월'!$D:$D,$C133,'RAW_농산물_8월'!$A:$A,$E133)&gt;0,"O",""))</f>
        <v>O</v>
      </c>
      <c r="K133" s="17" t="str">
        <f>IF($C133="","",IF(COUNTIFS('RAW_농산물_9월'!$D:$D,$C133,'RAW_농산물_9월'!$A:$A,$E133)&gt;0,"O",""))</f>
        <v/>
      </c>
      <c r="L133" s="17" t="str">
        <f>IF($C133="","",IF(COUNTIFS('RAW_농산물_10월'!$D:$D,$C133,'RAW_농산물_10월'!$A:$A,$E133)&gt;0,"O",""))</f>
        <v/>
      </c>
      <c r="M133" s="17" t="str">
        <f>IF($C133="","",IF(COUNTIFS('RAW_농산물_11-12월'!$D:$D,$C133,'RAW_농산물_11-12월'!$A:$A,$E133)&gt;0,"O",""))</f>
        <v/>
      </c>
      <c r="N133" s="7">
        <f>IF($C133="","",IF(COUNTA('RAW_농산물_7월'!$A:$A)&lt;=1,"",SUMIFS('RAW_농산물_7월'!$H:$H,'RAW_농산물_7월'!$D:$D,$C133,'RAW_농산물_7월'!$A:$A,$E133)))</f>
        <v>116480</v>
      </c>
      <c r="O133" s="7">
        <f>IF($C133="","",IF(COUNTA('RAW_농산물_8월'!$A:$A)&lt;=1,"",SUMIFS('RAW_농산물_8월'!$H:$H,'RAW_농산물_8월'!$D:$D,$C133,'RAW_농산물_8월'!$A:$A,$E133)-SUMIFS('RAW_농산물_7월'!$H:$H,'RAW_농산물_7월'!$D:$D,$C133,'RAW_농산물_7월'!$A:$A,$E133)))</f>
        <v>124920</v>
      </c>
      <c r="P133" s="7" t="str">
        <f>IF($C133="","",IF(COUNTA('RAW_농산물_9월'!$A:$A)&lt;=1,"",SUMIFS('RAW_농산물_9월'!$H:$H,'RAW_농산물_9월'!$D:$D,$C133,'RAW_농산물_9월'!$A:$A,$E133)-SUMIFS('RAW_농산물_8월'!$H:$H,'RAW_농산물_8월'!$D:$D,$C133,'RAW_농산물_8월'!$A:$A,$E133)))</f>
        <v/>
      </c>
      <c r="Q133" s="7" t="str">
        <f>IF($C133="","",IF(COUNTA('RAW_농산물_10월'!$A:$A)&lt;=1,"",SUMIFS('RAW_농산물_10월'!$H:$H,'RAW_농산물_10월'!$D:$D,$C133,'RAW_농산물_10월'!$A:$A,$E133)-SUMIFS('RAW_농산물_9월'!$H:$H,'RAW_농산물_9월'!$D:$D,$C133,'RAW_농산물_9월'!$A:$A,$E133)))</f>
        <v/>
      </c>
      <c r="R133" s="7" t="str">
        <f>IF($C133="","",IF(COUNTA('RAW_농산물_11-12월'!$A:$A)&lt;=1,"",SUMIFS('RAW_농산물_11-12월'!$H:$H,'RAW_농산물_11-12월'!$D:$D,$C133,'RAW_농산물_11-12월'!$A:$A,$E133)-SUMIFS('RAW_농산물_10월'!$H:$H,'RAW_농산물_10월'!$D:$D,$C133,'RAW_농산물_10월'!$A:$A,$E133)))</f>
        <v/>
      </c>
      <c r="S133" s="17" t="str">
        <f t="shared" si="4"/>
        <v>O</v>
      </c>
      <c r="T133" s="17" t="str">
        <f t="shared" si="5"/>
        <v>50만원 미만</v>
      </c>
      <c r="U133" s="7">
        <f>IF($C133="",0,IF('설정'!$B$3=0,0,CHOOSE('설정'!$B$3,COUNTIFS('RAW_농산물_7월'!$D:$D,$C133,'RAW_농산물_7월'!$A:$A,$E133),COUNTIFS('RAW_농산물_8월'!$D:$D,$C133,'RAW_농산물_8월'!$A:$A,$E133),COUNTIFS('RAW_농산물_9월'!$D:$D,$C133,'RAW_농산물_9월'!$A:$A,$E133),COUNTIFS('RAW_농산물_10월'!$D:$D,$C133,'RAW_농산물_10월'!$A:$A,$E133),COUNTIFS('RAW_농산물_11-12월'!$D:$D,$C133,'RAW_농산물_11-12월'!$A:$A,$E133))))</f>
        <v>4</v>
      </c>
    </row>
    <row r="134" ht="15.75" customHeight="1">
      <c r="A134" s="5">
        <v>132.0</v>
      </c>
      <c r="B134" s="5" t="s">
        <v>25</v>
      </c>
      <c r="C134" s="5" t="s">
        <v>2959</v>
      </c>
      <c r="D134" s="6" t="s">
        <v>2960</v>
      </c>
      <c r="E134" s="5" t="s">
        <v>31</v>
      </c>
      <c r="F134" s="7">
        <f>IF($C134="","",IF('설정'!$B$3=0,"",CHOOSE('설정'!$B$3,SUMIFS('RAW_농산물_7월'!$F:$F,'RAW_농산물_7월'!$D:$D,$C134,'RAW_농산물_7월'!$A:$A,$E134),SUMIFS('RAW_농산물_8월'!$F:$F,'RAW_농산물_8월'!$D:$D,$C134,'RAW_농산물_8월'!$A:$A,$E134),SUMIFS('RAW_농산물_9월'!$F:$F,'RAW_농산물_9월'!$D:$D,$C134,'RAW_농산물_9월'!$A:$A,$E134),SUMIFS('RAW_농산물_10월'!$F:$F,'RAW_농산물_10월'!$D:$D,$C134,'RAW_농산물_10월'!$A:$A,$E134),SUMIFS('RAW_농산물_11-12월'!$F:$F,'RAW_농산물_11-12월'!$D:$D,$C134,'RAW_농산물_11-12월'!$A:$A,$E134))))</f>
        <v>0</v>
      </c>
      <c r="G134" s="7">
        <f>IF($C134="","",IF('설정'!$B$3=0,"",CHOOSE('설정'!$B$3,SUMIFS('RAW_농산물_7월'!$G:$G,'RAW_농산물_7월'!$D:$D,$C134,'RAW_농산물_7월'!$A:$A,$E134),SUMIFS('RAW_농산물_8월'!$G:$G,'RAW_농산물_8월'!$D:$D,$C134,'RAW_농산물_8월'!$A:$A,$E134),SUMIFS('RAW_농산물_9월'!$G:$G,'RAW_농산물_9월'!$D:$D,$C134,'RAW_농산물_9월'!$A:$A,$E134),SUMIFS('RAW_농산물_10월'!$G:$G,'RAW_농산물_10월'!$D:$D,$C134,'RAW_농산물_10월'!$A:$A,$E134),SUMIFS('RAW_농산물_11-12월'!$G:$G,'RAW_농산물_11-12월'!$D:$D,$C134,'RAW_농산물_11-12월'!$A:$A,$E134))))</f>
        <v>0</v>
      </c>
      <c r="H134" s="14">
        <f>IF($C134="","",IF('설정'!$B$3=0,"",CHOOSE('설정'!$B$3,SUMIFS('RAW_농산물_7월'!$H:$H,'RAW_농산물_7월'!$D:$D,$C134,'RAW_농산물_7월'!$A:$A,$E134),SUMIFS('RAW_농산물_8월'!$H:$H,'RAW_농산물_8월'!$D:$D,$C134,'RAW_농산물_8월'!$A:$A,$E134),SUMIFS('RAW_농산물_9월'!$H:$H,'RAW_농산물_9월'!$D:$D,$C134,'RAW_농산물_9월'!$A:$A,$E134),SUMIFS('RAW_농산물_10월'!$H:$H,'RAW_농산물_10월'!$D:$D,$C134,'RAW_농산물_10월'!$A:$A,$E134),SUMIFS('RAW_농산물_11-12월'!$H:$H,'RAW_농산물_11-12월'!$D:$D,$C134,'RAW_농산물_11-12월'!$A:$A,$E134))))</f>
        <v>0</v>
      </c>
      <c r="I134" s="17" t="str">
        <f>IF($C134="","",IF(COUNTIFS('RAW_농산물_7월'!$D:$D,$C134,'RAW_농산물_7월'!$A:$A,$E134)&gt;0,"O",""))</f>
        <v/>
      </c>
      <c r="J134" s="17" t="str">
        <f>IF($C134="","",IF(COUNTIFS('RAW_농산물_8월'!$D:$D,$C134,'RAW_농산물_8월'!$A:$A,$E134)&gt;0,"O",""))</f>
        <v/>
      </c>
      <c r="K134" s="17" t="str">
        <f>IF($C134="","",IF(COUNTIFS('RAW_농산물_9월'!$D:$D,$C134,'RAW_농산물_9월'!$A:$A,$E134)&gt;0,"O",""))</f>
        <v/>
      </c>
      <c r="L134" s="17" t="str">
        <f>IF($C134="","",IF(COUNTIFS('RAW_농산물_10월'!$D:$D,$C134,'RAW_농산물_10월'!$A:$A,$E134)&gt;0,"O",""))</f>
        <v/>
      </c>
      <c r="M134" s="17" t="str">
        <f>IF($C134="","",IF(COUNTIFS('RAW_농산물_11-12월'!$D:$D,$C134,'RAW_농산물_11-12월'!$A:$A,$E134)&gt;0,"O",""))</f>
        <v/>
      </c>
      <c r="N134" s="7">
        <f>IF($C134="","",IF(COUNTA('RAW_농산물_7월'!$A:$A)&lt;=1,"",SUMIFS('RAW_농산물_7월'!$H:$H,'RAW_농산물_7월'!$D:$D,$C134,'RAW_농산물_7월'!$A:$A,$E134)))</f>
        <v>0</v>
      </c>
      <c r="O134" s="7">
        <f>IF($C134="","",IF(COUNTA('RAW_농산물_8월'!$A:$A)&lt;=1,"",SUMIFS('RAW_농산물_8월'!$H:$H,'RAW_농산물_8월'!$D:$D,$C134,'RAW_농산물_8월'!$A:$A,$E134)-SUMIFS('RAW_농산물_7월'!$H:$H,'RAW_농산물_7월'!$D:$D,$C134,'RAW_농산물_7월'!$A:$A,$E134)))</f>
        <v>0</v>
      </c>
      <c r="P134" s="7" t="str">
        <f>IF($C134="","",IF(COUNTA('RAW_농산물_9월'!$A:$A)&lt;=1,"",SUMIFS('RAW_농산물_9월'!$H:$H,'RAW_농산물_9월'!$D:$D,$C134,'RAW_농산물_9월'!$A:$A,$E134)-SUMIFS('RAW_농산물_8월'!$H:$H,'RAW_농산물_8월'!$D:$D,$C134,'RAW_농산물_8월'!$A:$A,$E134)))</f>
        <v/>
      </c>
      <c r="Q134" s="7" t="str">
        <f>IF($C134="","",IF(COUNTA('RAW_농산물_10월'!$A:$A)&lt;=1,"",SUMIFS('RAW_농산물_10월'!$H:$H,'RAW_농산물_10월'!$D:$D,$C134,'RAW_농산물_10월'!$A:$A,$E134)-SUMIFS('RAW_농산물_9월'!$H:$H,'RAW_농산물_9월'!$D:$D,$C134,'RAW_농산물_9월'!$A:$A,$E134)))</f>
        <v/>
      </c>
      <c r="R134" s="7" t="str">
        <f>IF($C134="","",IF(COUNTA('RAW_농산물_11-12월'!$A:$A)&lt;=1,"",SUMIFS('RAW_농산물_11-12월'!$H:$H,'RAW_농산물_11-12월'!$D:$D,$C134,'RAW_농산물_11-12월'!$A:$A,$E134)-SUMIFS('RAW_농산물_10월'!$H:$H,'RAW_농산물_10월'!$D:$D,$C134,'RAW_농산물_10월'!$A:$A,$E134)))</f>
        <v/>
      </c>
      <c r="S134" s="17" t="str">
        <f t="shared" si="4"/>
        <v/>
      </c>
      <c r="T134" s="17" t="str">
        <f t="shared" si="5"/>
        <v>미사용</v>
      </c>
      <c r="U134" s="7">
        <f>IF($C134="",0,IF('설정'!$B$3=0,0,CHOOSE('설정'!$B$3,COUNTIFS('RAW_농산물_7월'!$D:$D,$C134,'RAW_농산물_7월'!$A:$A,$E134),COUNTIFS('RAW_농산물_8월'!$D:$D,$C134,'RAW_농산물_8월'!$A:$A,$E134),COUNTIFS('RAW_농산물_9월'!$D:$D,$C134,'RAW_농산물_9월'!$A:$A,$E134),COUNTIFS('RAW_농산물_10월'!$D:$D,$C134,'RAW_농산물_10월'!$A:$A,$E134),COUNTIFS('RAW_농산물_11-12월'!$D:$D,$C134,'RAW_농산물_11-12월'!$A:$A,$E134))))</f>
        <v>0</v>
      </c>
    </row>
    <row r="135" ht="15.75" customHeight="1">
      <c r="A135" s="5">
        <v>133.0</v>
      </c>
      <c r="B135" s="5" t="s">
        <v>108</v>
      </c>
      <c r="C135" s="5" t="s">
        <v>2961</v>
      </c>
      <c r="D135" s="6" t="s">
        <v>2962</v>
      </c>
      <c r="E135" s="5" t="s">
        <v>92</v>
      </c>
      <c r="F135" s="7">
        <f>IF($C135="","",IF('설정'!$B$3=0,"",CHOOSE('설정'!$B$3,SUMIFS('RAW_농산물_7월'!$F:$F,'RAW_농산물_7월'!$D:$D,$C135,'RAW_농산물_7월'!$A:$A,$E135),SUMIFS('RAW_농산물_8월'!$F:$F,'RAW_농산물_8월'!$D:$D,$C135,'RAW_농산물_8월'!$A:$A,$E135),SUMIFS('RAW_농산물_9월'!$F:$F,'RAW_농산물_9월'!$D:$D,$C135,'RAW_농산물_9월'!$A:$A,$E135),SUMIFS('RAW_농산물_10월'!$F:$F,'RAW_농산물_10월'!$D:$D,$C135,'RAW_농산물_10월'!$A:$A,$E135),SUMIFS('RAW_농산물_11-12월'!$F:$F,'RAW_농산물_11-12월'!$D:$D,$C135,'RAW_농산물_11-12월'!$A:$A,$E135))))</f>
        <v>0</v>
      </c>
      <c r="G135" s="7">
        <f>IF($C135="","",IF('설정'!$B$3=0,"",CHOOSE('설정'!$B$3,SUMIFS('RAW_농산물_7월'!$G:$G,'RAW_농산물_7월'!$D:$D,$C135,'RAW_농산물_7월'!$A:$A,$E135),SUMIFS('RAW_농산물_8월'!$G:$G,'RAW_농산물_8월'!$D:$D,$C135,'RAW_농산물_8월'!$A:$A,$E135),SUMIFS('RAW_농산물_9월'!$G:$G,'RAW_농산물_9월'!$D:$D,$C135,'RAW_농산물_9월'!$A:$A,$E135),SUMIFS('RAW_농산물_10월'!$G:$G,'RAW_농산물_10월'!$D:$D,$C135,'RAW_농산물_10월'!$A:$A,$E135),SUMIFS('RAW_농산물_11-12월'!$G:$G,'RAW_농산물_11-12월'!$D:$D,$C135,'RAW_농산물_11-12월'!$A:$A,$E135))))</f>
        <v>0</v>
      </c>
      <c r="H135" s="14">
        <f>IF($C135="","",IF('설정'!$B$3=0,"",CHOOSE('설정'!$B$3,SUMIFS('RAW_농산물_7월'!$H:$H,'RAW_농산물_7월'!$D:$D,$C135,'RAW_농산물_7월'!$A:$A,$E135),SUMIFS('RAW_농산물_8월'!$H:$H,'RAW_농산물_8월'!$D:$D,$C135,'RAW_농산물_8월'!$A:$A,$E135),SUMIFS('RAW_농산물_9월'!$H:$H,'RAW_농산물_9월'!$D:$D,$C135,'RAW_농산물_9월'!$A:$A,$E135),SUMIFS('RAW_농산물_10월'!$H:$H,'RAW_농산물_10월'!$D:$D,$C135,'RAW_농산물_10월'!$A:$A,$E135),SUMIFS('RAW_농산물_11-12월'!$H:$H,'RAW_농산물_11-12월'!$D:$D,$C135,'RAW_농산물_11-12월'!$A:$A,$E135))))</f>
        <v>0</v>
      </c>
      <c r="I135" s="17" t="str">
        <f>IF($C135="","",IF(COUNTIFS('RAW_농산물_7월'!$D:$D,$C135,'RAW_농산물_7월'!$A:$A,$E135)&gt;0,"O",""))</f>
        <v/>
      </c>
      <c r="J135" s="17" t="str">
        <f>IF($C135="","",IF(COUNTIFS('RAW_농산물_8월'!$D:$D,$C135,'RAW_농산물_8월'!$A:$A,$E135)&gt;0,"O",""))</f>
        <v/>
      </c>
      <c r="K135" s="17" t="str">
        <f>IF($C135="","",IF(COUNTIFS('RAW_농산물_9월'!$D:$D,$C135,'RAW_농산물_9월'!$A:$A,$E135)&gt;0,"O",""))</f>
        <v/>
      </c>
      <c r="L135" s="17" t="str">
        <f>IF($C135="","",IF(COUNTIFS('RAW_농산물_10월'!$D:$D,$C135,'RAW_농산물_10월'!$A:$A,$E135)&gt;0,"O",""))</f>
        <v/>
      </c>
      <c r="M135" s="17" t="str">
        <f>IF($C135="","",IF(COUNTIFS('RAW_농산물_11-12월'!$D:$D,$C135,'RAW_농산물_11-12월'!$A:$A,$E135)&gt;0,"O",""))</f>
        <v/>
      </c>
      <c r="N135" s="7">
        <f>IF($C135="","",IF(COUNTA('RAW_농산물_7월'!$A:$A)&lt;=1,"",SUMIFS('RAW_농산물_7월'!$H:$H,'RAW_농산물_7월'!$D:$D,$C135,'RAW_농산물_7월'!$A:$A,$E135)))</f>
        <v>0</v>
      </c>
      <c r="O135" s="7">
        <f>IF($C135="","",IF(COUNTA('RAW_농산물_8월'!$A:$A)&lt;=1,"",SUMIFS('RAW_농산물_8월'!$H:$H,'RAW_농산물_8월'!$D:$D,$C135,'RAW_농산물_8월'!$A:$A,$E135)-SUMIFS('RAW_농산물_7월'!$H:$H,'RAW_농산물_7월'!$D:$D,$C135,'RAW_농산물_7월'!$A:$A,$E135)))</f>
        <v>0</v>
      </c>
      <c r="P135" s="7" t="str">
        <f>IF($C135="","",IF(COUNTA('RAW_농산물_9월'!$A:$A)&lt;=1,"",SUMIFS('RAW_농산물_9월'!$H:$H,'RAW_농산물_9월'!$D:$D,$C135,'RAW_농산물_9월'!$A:$A,$E135)-SUMIFS('RAW_농산물_8월'!$H:$H,'RAW_농산물_8월'!$D:$D,$C135,'RAW_농산물_8월'!$A:$A,$E135)))</f>
        <v/>
      </c>
      <c r="Q135" s="7" t="str">
        <f>IF($C135="","",IF(COUNTA('RAW_농산물_10월'!$A:$A)&lt;=1,"",SUMIFS('RAW_농산물_10월'!$H:$H,'RAW_농산물_10월'!$D:$D,$C135,'RAW_농산물_10월'!$A:$A,$E135)-SUMIFS('RAW_농산물_9월'!$H:$H,'RAW_농산물_9월'!$D:$D,$C135,'RAW_농산물_9월'!$A:$A,$E135)))</f>
        <v/>
      </c>
      <c r="R135" s="7" t="str">
        <f>IF($C135="","",IF(COUNTA('RAW_농산물_11-12월'!$A:$A)&lt;=1,"",SUMIFS('RAW_농산물_11-12월'!$H:$H,'RAW_농산물_11-12월'!$D:$D,$C135,'RAW_농산물_11-12월'!$A:$A,$E135)-SUMIFS('RAW_농산물_10월'!$H:$H,'RAW_농산물_10월'!$D:$D,$C135,'RAW_농산물_10월'!$A:$A,$E135)))</f>
        <v/>
      </c>
      <c r="S135" s="17" t="str">
        <f t="shared" si="4"/>
        <v/>
      </c>
      <c r="T135" s="17" t="str">
        <f t="shared" si="5"/>
        <v>미사용</v>
      </c>
      <c r="U135" s="7">
        <f>IF($C135="",0,IF('설정'!$B$3=0,0,CHOOSE('설정'!$B$3,COUNTIFS('RAW_농산물_7월'!$D:$D,$C135,'RAW_농산물_7월'!$A:$A,$E135),COUNTIFS('RAW_농산물_8월'!$D:$D,$C135,'RAW_농산물_8월'!$A:$A,$E135),COUNTIFS('RAW_농산물_9월'!$D:$D,$C135,'RAW_농산물_9월'!$A:$A,$E135),COUNTIFS('RAW_농산물_10월'!$D:$D,$C135,'RAW_농산물_10월'!$A:$A,$E135),COUNTIFS('RAW_농산물_11-12월'!$D:$D,$C135,'RAW_농산물_11-12월'!$A:$A,$E135))))</f>
        <v>0</v>
      </c>
    </row>
    <row r="136" ht="15.75" customHeight="1">
      <c r="A136" s="5">
        <v>134.0</v>
      </c>
      <c r="B136" s="5" t="s">
        <v>145</v>
      </c>
      <c r="C136" s="5" t="s">
        <v>317</v>
      </c>
      <c r="D136" s="6" t="s">
        <v>316</v>
      </c>
      <c r="E136" s="5" t="s">
        <v>92</v>
      </c>
      <c r="F136" s="7">
        <f>IF($C136="","",IF('설정'!$B$3=0,"",CHOOSE('설정'!$B$3,SUMIFS('RAW_농산물_7월'!$F:$F,'RAW_농산물_7월'!$D:$D,$C136,'RAW_농산물_7월'!$A:$A,$E136),SUMIFS('RAW_농산물_8월'!$F:$F,'RAW_농산물_8월'!$D:$D,$C136,'RAW_농산물_8월'!$A:$A,$E136),SUMIFS('RAW_농산물_9월'!$F:$F,'RAW_농산물_9월'!$D:$D,$C136,'RAW_농산물_9월'!$A:$A,$E136),SUMIFS('RAW_농산물_10월'!$F:$F,'RAW_농산물_10월'!$D:$D,$C136,'RAW_농산물_10월'!$A:$A,$E136),SUMIFS('RAW_농산물_11-12월'!$F:$F,'RAW_농산물_11-12월'!$D:$D,$C136,'RAW_농산물_11-12월'!$A:$A,$E136))))</f>
        <v>1119</v>
      </c>
      <c r="G136" s="7">
        <f>IF($C136="","",IF('설정'!$B$3=0,"",CHOOSE('설정'!$B$3,SUMIFS('RAW_농산물_7월'!$G:$G,'RAW_농산물_7월'!$D:$D,$C136,'RAW_농산물_7월'!$A:$A,$E136),SUMIFS('RAW_농산물_8월'!$G:$G,'RAW_농산물_8월'!$D:$D,$C136,'RAW_농산물_8월'!$A:$A,$E136),SUMIFS('RAW_농산물_9월'!$G:$G,'RAW_농산물_9월'!$D:$D,$C136,'RAW_농산물_9월'!$A:$A,$E136),SUMIFS('RAW_농산물_10월'!$G:$G,'RAW_농산물_10월'!$D:$D,$C136,'RAW_농산물_10월'!$A:$A,$E136),SUMIFS('RAW_농산물_11-12월'!$G:$G,'RAW_농산물_11-12월'!$D:$D,$C136,'RAW_농산물_11-12월'!$A:$A,$E136))))</f>
        <v>40755700</v>
      </c>
      <c r="H136" s="14">
        <f>IF($C136="","",IF('설정'!$B$3=0,"",CHOOSE('설정'!$B$3,SUMIFS('RAW_농산물_7월'!$H:$H,'RAW_농산물_7월'!$D:$D,$C136,'RAW_농산물_7월'!$A:$A,$E136),SUMIFS('RAW_농산물_8월'!$H:$H,'RAW_농산물_8월'!$D:$D,$C136,'RAW_농산물_8월'!$A:$A,$E136),SUMIFS('RAW_농산물_9월'!$H:$H,'RAW_농산물_9월'!$D:$D,$C136,'RAW_농산물_9월'!$A:$A,$E136),SUMIFS('RAW_농산물_10월'!$H:$H,'RAW_농산물_10월'!$D:$D,$C136,'RAW_농산물_10월'!$A:$A,$E136),SUMIFS('RAW_농산물_11-12월'!$H:$H,'RAW_농산물_11-12월'!$D:$D,$C136,'RAW_농산물_11-12월'!$A:$A,$E136))))</f>
        <v>4161320</v>
      </c>
      <c r="I136" s="17" t="str">
        <f>IF($C136="","",IF(COUNTIFS('RAW_농산물_7월'!$D:$D,$C136,'RAW_농산물_7월'!$A:$A,$E136)&gt;0,"O",""))</f>
        <v>O</v>
      </c>
      <c r="J136" s="17" t="str">
        <f>IF($C136="","",IF(COUNTIFS('RAW_농산물_8월'!$D:$D,$C136,'RAW_농산물_8월'!$A:$A,$E136)&gt;0,"O",""))</f>
        <v>O</v>
      </c>
      <c r="K136" s="17" t="str">
        <f>IF($C136="","",IF(COUNTIFS('RAW_농산물_9월'!$D:$D,$C136,'RAW_농산물_9월'!$A:$A,$E136)&gt;0,"O",""))</f>
        <v/>
      </c>
      <c r="L136" s="17" t="str">
        <f>IF($C136="","",IF(COUNTIFS('RAW_농산물_10월'!$D:$D,$C136,'RAW_농산물_10월'!$A:$A,$E136)&gt;0,"O",""))</f>
        <v/>
      </c>
      <c r="M136" s="17" t="str">
        <f>IF($C136="","",IF(COUNTIFS('RAW_농산물_11-12월'!$D:$D,$C136,'RAW_농산물_11-12월'!$A:$A,$E136)&gt;0,"O",""))</f>
        <v/>
      </c>
      <c r="N136" s="7">
        <f>IF($C136="","",IF(COUNTA('RAW_농산물_7월'!$A:$A)&lt;=1,"",SUMIFS('RAW_농산물_7월'!$H:$H,'RAW_농산물_7월'!$D:$D,$C136,'RAW_농산물_7월'!$A:$A,$E136)))</f>
        <v>1921100</v>
      </c>
      <c r="O136" s="7">
        <f>IF($C136="","",IF(COUNTA('RAW_농산물_8월'!$A:$A)&lt;=1,"",SUMIFS('RAW_농산물_8월'!$H:$H,'RAW_농산물_8월'!$D:$D,$C136,'RAW_농산물_8월'!$A:$A,$E136)-SUMIFS('RAW_농산물_7월'!$H:$H,'RAW_농산물_7월'!$D:$D,$C136,'RAW_농산물_7월'!$A:$A,$E136)))</f>
        <v>2240220</v>
      </c>
      <c r="P136" s="7" t="str">
        <f>IF($C136="","",IF(COUNTA('RAW_농산물_9월'!$A:$A)&lt;=1,"",SUMIFS('RAW_농산물_9월'!$H:$H,'RAW_농산물_9월'!$D:$D,$C136,'RAW_농산물_9월'!$A:$A,$E136)-SUMIFS('RAW_농산물_8월'!$H:$H,'RAW_농산물_8월'!$D:$D,$C136,'RAW_농산물_8월'!$A:$A,$E136)))</f>
        <v/>
      </c>
      <c r="Q136" s="7" t="str">
        <f>IF($C136="","",IF(COUNTA('RAW_농산물_10월'!$A:$A)&lt;=1,"",SUMIFS('RAW_농산물_10월'!$H:$H,'RAW_농산물_10월'!$D:$D,$C136,'RAW_농산물_10월'!$A:$A,$E136)-SUMIFS('RAW_농산물_9월'!$H:$H,'RAW_농산물_9월'!$D:$D,$C136,'RAW_농산물_9월'!$A:$A,$E136)))</f>
        <v/>
      </c>
      <c r="R136" s="7" t="str">
        <f>IF($C136="","",IF(COUNTA('RAW_농산물_11-12월'!$A:$A)&lt;=1,"",SUMIFS('RAW_농산물_11-12월'!$H:$H,'RAW_농산물_11-12월'!$D:$D,$C136,'RAW_농산물_11-12월'!$A:$A,$E136)-SUMIFS('RAW_농산물_10월'!$H:$H,'RAW_농산물_10월'!$D:$D,$C136,'RAW_농산물_10월'!$A:$A,$E136)))</f>
        <v/>
      </c>
      <c r="S136" s="17" t="str">
        <f t="shared" si="4"/>
        <v>O</v>
      </c>
      <c r="T136" s="17" t="str">
        <f t="shared" si="5"/>
        <v>500만원 미만</v>
      </c>
      <c r="U136" s="7">
        <f>IF($C136="",0,IF('설정'!$B$3=0,0,CHOOSE('설정'!$B$3,COUNTIFS('RAW_농산물_7월'!$D:$D,$C136,'RAW_농산물_7월'!$A:$A,$E136),COUNTIFS('RAW_농산물_8월'!$D:$D,$C136,'RAW_농산물_8월'!$A:$A,$E136),COUNTIFS('RAW_농산물_9월'!$D:$D,$C136,'RAW_농산물_9월'!$A:$A,$E136),COUNTIFS('RAW_농산물_10월'!$D:$D,$C136,'RAW_농산물_10월'!$A:$A,$E136),COUNTIFS('RAW_농산물_11-12월'!$D:$D,$C136,'RAW_농산물_11-12월'!$A:$A,$E136))))</f>
        <v>4</v>
      </c>
    </row>
    <row r="137" ht="15.75" customHeight="1">
      <c r="A137" s="5">
        <v>135.0</v>
      </c>
      <c r="B137" s="5" t="s">
        <v>108</v>
      </c>
      <c r="C137" s="5" t="s">
        <v>1235</v>
      </c>
      <c r="D137" s="6" t="s">
        <v>1234</v>
      </c>
      <c r="E137" s="5" t="s">
        <v>94</v>
      </c>
      <c r="F137" s="7">
        <f>IF($C137="","",IF('설정'!$B$3=0,"",CHOOSE('설정'!$B$3,SUMIFS('RAW_농산물_7월'!$F:$F,'RAW_농산물_7월'!$D:$D,$C137,'RAW_농산물_7월'!$A:$A,$E137),SUMIFS('RAW_농산물_8월'!$F:$F,'RAW_농산물_8월'!$D:$D,$C137,'RAW_농산물_8월'!$A:$A,$E137),SUMIFS('RAW_농산물_9월'!$F:$F,'RAW_농산물_9월'!$D:$D,$C137,'RAW_농산물_9월'!$A:$A,$E137),SUMIFS('RAW_농산물_10월'!$F:$F,'RAW_농산물_10월'!$D:$D,$C137,'RAW_농산물_10월'!$A:$A,$E137),SUMIFS('RAW_농산물_11-12월'!$F:$F,'RAW_농산물_11-12월'!$D:$D,$C137,'RAW_농산물_11-12월'!$A:$A,$E137))))</f>
        <v>613</v>
      </c>
      <c r="G137" s="7">
        <f>IF($C137="","",IF('설정'!$B$3=0,"",CHOOSE('설정'!$B$3,SUMIFS('RAW_농산물_7월'!$G:$G,'RAW_농산물_7월'!$D:$D,$C137,'RAW_농산물_7월'!$A:$A,$E137),SUMIFS('RAW_농산물_8월'!$G:$G,'RAW_농산물_8월'!$D:$D,$C137,'RAW_농산물_8월'!$A:$A,$E137),SUMIFS('RAW_농산물_9월'!$G:$G,'RAW_농산물_9월'!$D:$D,$C137,'RAW_농산물_9월'!$A:$A,$E137),SUMIFS('RAW_농산물_10월'!$G:$G,'RAW_농산물_10월'!$D:$D,$C137,'RAW_농산물_10월'!$A:$A,$E137),SUMIFS('RAW_농산물_11-12월'!$G:$G,'RAW_농산물_11-12월'!$D:$D,$C137,'RAW_농산물_11-12월'!$A:$A,$E137))))</f>
        <v>17858500</v>
      </c>
      <c r="H137" s="14">
        <f>IF($C137="","",IF('설정'!$B$3=0,"",CHOOSE('설정'!$B$3,SUMIFS('RAW_농산물_7월'!$H:$H,'RAW_농산물_7월'!$D:$D,$C137,'RAW_농산물_7월'!$A:$A,$E137),SUMIFS('RAW_농산물_8월'!$H:$H,'RAW_농산물_8월'!$D:$D,$C137,'RAW_농산물_8월'!$A:$A,$E137),SUMIFS('RAW_농산물_9월'!$H:$H,'RAW_농산물_9월'!$D:$D,$C137,'RAW_농산물_9월'!$A:$A,$E137),SUMIFS('RAW_농산물_10월'!$H:$H,'RAW_농산물_10월'!$D:$D,$C137,'RAW_농산물_10월'!$A:$A,$E137),SUMIFS('RAW_농산물_11-12월'!$H:$H,'RAW_농산물_11-12월'!$D:$D,$C137,'RAW_농산물_11-12월'!$A:$A,$E137))))</f>
        <v>2753706</v>
      </c>
      <c r="I137" s="17" t="str">
        <f>IF($C137="","",IF(COUNTIFS('RAW_농산물_7월'!$D:$D,$C137,'RAW_농산물_7월'!$A:$A,$E137)&gt;0,"O",""))</f>
        <v>O</v>
      </c>
      <c r="J137" s="17" t="str">
        <f>IF($C137="","",IF(COUNTIFS('RAW_농산물_8월'!$D:$D,$C137,'RAW_농산물_8월'!$A:$A,$E137)&gt;0,"O",""))</f>
        <v>O</v>
      </c>
      <c r="K137" s="17" t="str">
        <f>IF($C137="","",IF(COUNTIFS('RAW_농산물_9월'!$D:$D,$C137,'RAW_농산물_9월'!$A:$A,$E137)&gt;0,"O",""))</f>
        <v/>
      </c>
      <c r="L137" s="17" t="str">
        <f>IF($C137="","",IF(COUNTIFS('RAW_농산물_10월'!$D:$D,$C137,'RAW_농산물_10월'!$A:$A,$E137)&gt;0,"O",""))</f>
        <v/>
      </c>
      <c r="M137" s="17" t="str">
        <f>IF($C137="","",IF(COUNTIFS('RAW_농산물_11-12월'!$D:$D,$C137,'RAW_농산물_11-12월'!$A:$A,$E137)&gt;0,"O",""))</f>
        <v/>
      </c>
      <c r="N137" s="7">
        <f>IF($C137="","",IF(COUNTA('RAW_농산물_7월'!$A:$A)&lt;=1,"",SUMIFS('RAW_농산물_7월'!$H:$H,'RAW_농산물_7월'!$D:$D,$C137,'RAW_농산물_7월'!$A:$A,$E137)))</f>
        <v>398425</v>
      </c>
      <c r="O137" s="7">
        <f>IF($C137="","",IF(COUNTA('RAW_농산물_8월'!$A:$A)&lt;=1,"",SUMIFS('RAW_농산물_8월'!$H:$H,'RAW_농산물_8월'!$D:$D,$C137,'RAW_농산물_8월'!$A:$A,$E137)-SUMIFS('RAW_농산물_7월'!$H:$H,'RAW_농산물_7월'!$D:$D,$C137,'RAW_농산물_7월'!$A:$A,$E137)))</f>
        <v>2355281</v>
      </c>
      <c r="P137" s="7" t="str">
        <f>IF($C137="","",IF(COUNTA('RAW_농산물_9월'!$A:$A)&lt;=1,"",SUMIFS('RAW_농산물_9월'!$H:$H,'RAW_농산물_9월'!$D:$D,$C137,'RAW_농산물_9월'!$A:$A,$E137)-SUMIFS('RAW_농산물_8월'!$H:$H,'RAW_농산물_8월'!$D:$D,$C137,'RAW_농산물_8월'!$A:$A,$E137)))</f>
        <v/>
      </c>
      <c r="Q137" s="7" t="str">
        <f>IF($C137="","",IF(COUNTA('RAW_농산물_10월'!$A:$A)&lt;=1,"",SUMIFS('RAW_농산물_10월'!$H:$H,'RAW_농산물_10월'!$D:$D,$C137,'RAW_농산물_10월'!$A:$A,$E137)-SUMIFS('RAW_농산물_9월'!$H:$H,'RAW_농산물_9월'!$D:$D,$C137,'RAW_농산물_9월'!$A:$A,$E137)))</f>
        <v/>
      </c>
      <c r="R137" s="7" t="str">
        <f>IF($C137="","",IF(COUNTA('RAW_농산물_11-12월'!$A:$A)&lt;=1,"",SUMIFS('RAW_농산물_11-12월'!$H:$H,'RAW_농산물_11-12월'!$D:$D,$C137,'RAW_농산물_11-12월'!$A:$A,$E137)-SUMIFS('RAW_농산물_10월'!$H:$H,'RAW_농산물_10월'!$D:$D,$C137,'RAW_농산물_10월'!$A:$A,$E137)))</f>
        <v/>
      </c>
      <c r="S137" s="17" t="str">
        <f t="shared" si="4"/>
        <v>O</v>
      </c>
      <c r="T137" s="17" t="str">
        <f t="shared" si="5"/>
        <v>300만원 미만</v>
      </c>
      <c r="U137" s="7">
        <f>IF($C137="",0,IF('설정'!$B$3=0,0,CHOOSE('설정'!$B$3,COUNTIFS('RAW_농산물_7월'!$D:$D,$C137,'RAW_농산물_7월'!$A:$A,$E137),COUNTIFS('RAW_농산물_8월'!$D:$D,$C137,'RAW_농산물_8월'!$A:$A,$E137),COUNTIFS('RAW_농산물_9월'!$D:$D,$C137,'RAW_농산물_9월'!$A:$A,$E137),COUNTIFS('RAW_농산물_10월'!$D:$D,$C137,'RAW_농산물_10월'!$A:$A,$E137),COUNTIFS('RAW_농산물_11-12월'!$D:$D,$C137,'RAW_농산물_11-12월'!$A:$A,$E137))))</f>
        <v>3</v>
      </c>
    </row>
    <row r="138" ht="15.75" customHeight="1">
      <c r="A138" s="5">
        <v>136.0</v>
      </c>
      <c r="B138" s="5" t="s">
        <v>145</v>
      </c>
      <c r="C138" s="5" t="s">
        <v>1265</v>
      </c>
      <c r="D138" s="6" t="s">
        <v>1264</v>
      </c>
      <c r="E138" s="5" t="s">
        <v>94</v>
      </c>
      <c r="F138" s="7">
        <f>IF($C138="","",IF('설정'!$B$3=0,"",CHOOSE('설정'!$B$3,SUMIFS('RAW_농산물_7월'!$F:$F,'RAW_농산물_7월'!$D:$D,$C138,'RAW_농산물_7월'!$A:$A,$E138),SUMIFS('RAW_농산물_8월'!$F:$F,'RAW_농산물_8월'!$D:$D,$C138,'RAW_농산물_8월'!$A:$A,$E138),SUMIFS('RAW_농산물_9월'!$F:$F,'RAW_농산물_9월'!$D:$D,$C138,'RAW_농산물_9월'!$A:$A,$E138),SUMIFS('RAW_농산물_10월'!$F:$F,'RAW_농산물_10월'!$D:$D,$C138,'RAW_농산물_10월'!$A:$A,$E138),SUMIFS('RAW_농산물_11-12월'!$F:$F,'RAW_농산물_11-12월'!$D:$D,$C138,'RAW_농산물_11-12월'!$A:$A,$E138))))</f>
        <v>67</v>
      </c>
      <c r="G138" s="7">
        <f>IF($C138="","",IF('설정'!$B$3=0,"",CHOOSE('설정'!$B$3,SUMIFS('RAW_농산물_7월'!$G:$G,'RAW_농산물_7월'!$D:$D,$C138,'RAW_농산물_7월'!$A:$A,$E138),SUMIFS('RAW_농산물_8월'!$G:$G,'RAW_농산물_8월'!$D:$D,$C138,'RAW_농산물_8월'!$A:$A,$E138),SUMIFS('RAW_농산물_9월'!$G:$G,'RAW_농산물_9월'!$D:$D,$C138,'RAW_농산물_9월'!$A:$A,$E138),SUMIFS('RAW_농산물_10월'!$G:$G,'RAW_농산물_10월'!$D:$D,$C138,'RAW_농산물_10월'!$A:$A,$E138),SUMIFS('RAW_농산물_11-12월'!$G:$G,'RAW_농산물_11-12월'!$D:$D,$C138,'RAW_농산물_11-12월'!$A:$A,$E138))))</f>
        <v>1029600</v>
      </c>
      <c r="H138" s="14">
        <f>IF($C138="","",IF('설정'!$B$3=0,"",CHOOSE('설정'!$B$3,SUMIFS('RAW_농산물_7월'!$H:$H,'RAW_농산물_7월'!$D:$D,$C138,'RAW_농산물_7월'!$A:$A,$E138),SUMIFS('RAW_농산물_8월'!$H:$H,'RAW_농산물_8월'!$D:$D,$C138,'RAW_농산물_8월'!$A:$A,$E138),SUMIFS('RAW_농산물_9월'!$H:$H,'RAW_농산물_9월'!$D:$D,$C138,'RAW_농산물_9월'!$A:$A,$E138),SUMIFS('RAW_농산물_10월'!$H:$H,'RAW_농산물_10월'!$D:$D,$C138,'RAW_농산물_10월'!$A:$A,$E138),SUMIFS('RAW_농산물_11-12월'!$H:$H,'RAW_농산물_11-12월'!$D:$D,$C138,'RAW_농산물_11-12월'!$A:$A,$E138))))</f>
        <v>131199</v>
      </c>
      <c r="I138" s="17" t="str">
        <f>IF($C138="","",IF(COUNTIFS('RAW_농산물_7월'!$D:$D,$C138,'RAW_농산물_7월'!$A:$A,$E138)&gt;0,"O",""))</f>
        <v>O</v>
      </c>
      <c r="J138" s="17" t="str">
        <f>IF($C138="","",IF(COUNTIFS('RAW_농산물_8월'!$D:$D,$C138,'RAW_농산물_8월'!$A:$A,$E138)&gt;0,"O",""))</f>
        <v>O</v>
      </c>
      <c r="K138" s="17" t="str">
        <f>IF($C138="","",IF(COUNTIFS('RAW_농산물_9월'!$D:$D,$C138,'RAW_농산물_9월'!$A:$A,$E138)&gt;0,"O",""))</f>
        <v/>
      </c>
      <c r="L138" s="17" t="str">
        <f>IF($C138="","",IF(COUNTIFS('RAW_농산물_10월'!$D:$D,$C138,'RAW_농산물_10월'!$A:$A,$E138)&gt;0,"O",""))</f>
        <v/>
      </c>
      <c r="M138" s="17" t="str">
        <f>IF($C138="","",IF(COUNTIFS('RAW_농산물_11-12월'!$D:$D,$C138,'RAW_농산물_11-12월'!$A:$A,$E138)&gt;0,"O",""))</f>
        <v/>
      </c>
      <c r="N138" s="7">
        <f>IF($C138="","",IF(COUNTA('RAW_농산물_7월'!$A:$A)&lt;=1,"",SUMIFS('RAW_농산물_7월'!$H:$H,'RAW_농산물_7월'!$D:$D,$C138,'RAW_농산물_7월'!$A:$A,$E138)))</f>
        <v>46739</v>
      </c>
      <c r="O138" s="7">
        <f>IF($C138="","",IF(COUNTA('RAW_농산물_8월'!$A:$A)&lt;=1,"",SUMIFS('RAW_농산물_8월'!$H:$H,'RAW_농산물_8월'!$D:$D,$C138,'RAW_농산물_8월'!$A:$A,$E138)-SUMIFS('RAW_농산물_7월'!$H:$H,'RAW_농산물_7월'!$D:$D,$C138,'RAW_농산물_7월'!$A:$A,$E138)))</f>
        <v>84460</v>
      </c>
      <c r="P138" s="7" t="str">
        <f>IF($C138="","",IF(COUNTA('RAW_농산물_9월'!$A:$A)&lt;=1,"",SUMIFS('RAW_농산물_9월'!$H:$H,'RAW_농산물_9월'!$D:$D,$C138,'RAW_농산물_9월'!$A:$A,$E138)-SUMIFS('RAW_농산물_8월'!$H:$H,'RAW_농산물_8월'!$D:$D,$C138,'RAW_농산물_8월'!$A:$A,$E138)))</f>
        <v/>
      </c>
      <c r="Q138" s="7" t="str">
        <f>IF($C138="","",IF(COUNTA('RAW_농산물_10월'!$A:$A)&lt;=1,"",SUMIFS('RAW_농산물_10월'!$H:$H,'RAW_농산물_10월'!$D:$D,$C138,'RAW_농산물_10월'!$A:$A,$E138)-SUMIFS('RAW_농산물_9월'!$H:$H,'RAW_농산물_9월'!$D:$D,$C138,'RAW_농산물_9월'!$A:$A,$E138)))</f>
        <v/>
      </c>
      <c r="R138" s="7" t="str">
        <f>IF($C138="","",IF(COUNTA('RAW_농산물_11-12월'!$A:$A)&lt;=1,"",SUMIFS('RAW_농산물_11-12월'!$H:$H,'RAW_농산물_11-12월'!$D:$D,$C138,'RAW_농산물_11-12월'!$A:$A,$E138)-SUMIFS('RAW_농산물_10월'!$H:$H,'RAW_농산물_10월'!$D:$D,$C138,'RAW_농산물_10월'!$A:$A,$E138)))</f>
        <v/>
      </c>
      <c r="S138" s="17" t="str">
        <f t="shared" si="4"/>
        <v>O</v>
      </c>
      <c r="T138" s="17" t="str">
        <f t="shared" si="5"/>
        <v>50만원 미만</v>
      </c>
      <c r="U138" s="7">
        <f>IF($C138="",0,IF('설정'!$B$3=0,0,CHOOSE('설정'!$B$3,COUNTIFS('RAW_농산물_7월'!$D:$D,$C138,'RAW_농산물_7월'!$A:$A,$E138),COUNTIFS('RAW_농산물_8월'!$D:$D,$C138,'RAW_농산물_8월'!$A:$A,$E138),COUNTIFS('RAW_농산물_9월'!$D:$D,$C138,'RAW_농산물_9월'!$A:$A,$E138),COUNTIFS('RAW_농산물_10월'!$D:$D,$C138,'RAW_농산물_10월'!$A:$A,$E138),COUNTIFS('RAW_농산물_11-12월'!$D:$D,$C138,'RAW_농산물_11-12월'!$A:$A,$E138))))</f>
        <v>6</v>
      </c>
    </row>
    <row r="139" ht="15.75" customHeight="1">
      <c r="A139" s="5">
        <v>137.0</v>
      </c>
      <c r="B139" s="5" t="s">
        <v>25</v>
      </c>
      <c r="C139" s="5" t="s">
        <v>1670</v>
      </c>
      <c r="D139" s="6" t="s">
        <v>2963</v>
      </c>
      <c r="E139" s="5" t="s">
        <v>95</v>
      </c>
      <c r="F139" s="7">
        <f>IF($C139="","",IF('설정'!$B$3=0,"",CHOOSE('설정'!$B$3,SUMIFS('RAW_농산물_7월'!$F:$F,'RAW_농산물_7월'!$D:$D,$C139,'RAW_농산물_7월'!$A:$A,$E139),SUMIFS('RAW_농산물_8월'!$F:$F,'RAW_농산물_8월'!$D:$D,$C139,'RAW_농산물_8월'!$A:$A,$E139),SUMIFS('RAW_농산물_9월'!$F:$F,'RAW_농산물_9월'!$D:$D,$C139,'RAW_농산물_9월'!$A:$A,$E139),SUMIFS('RAW_농산물_10월'!$F:$F,'RAW_농산물_10월'!$D:$D,$C139,'RAW_농산물_10월'!$A:$A,$E139),SUMIFS('RAW_농산물_11-12월'!$F:$F,'RAW_농산물_11-12월'!$D:$D,$C139,'RAW_농산물_11-12월'!$A:$A,$E139))))</f>
        <v>3294</v>
      </c>
      <c r="G139" s="7">
        <f>IF($C139="","",IF('설정'!$B$3=0,"",CHOOSE('설정'!$B$3,SUMIFS('RAW_농산물_7월'!$G:$G,'RAW_농산물_7월'!$D:$D,$C139,'RAW_농산물_7월'!$A:$A,$E139),SUMIFS('RAW_농산물_8월'!$G:$G,'RAW_농산물_8월'!$D:$D,$C139,'RAW_농산물_8월'!$A:$A,$E139),SUMIFS('RAW_농산물_9월'!$G:$G,'RAW_농산물_9월'!$D:$D,$C139,'RAW_농산물_9월'!$A:$A,$E139),SUMIFS('RAW_농산물_10월'!$G:$G,'RAW_농산물_10월'!$D:$D,$C139,'RAW_농산물_10월'!$A:$A,$E139),SUMIFS('RAW_농산물_11-12월'!$G:$G,'RAW_농산물_11-12월'!$D:$D,$C139,'RAW_농산물_11-12월'!$A:$A,$E139))))</f>
        <v>53884129</v>
      </c>
      <c r="H139" s="14">
        <f>IF($C139="","",IF('설정'!$B$3=0,"",CHOOSE('설정'!$B$3,SUMIFS('RAW_농산물_7월'!$H:$H,'RAW_농산물_7월'!$D:$D,$C139,'RAW_농산물_7월'!$A:$A,$E139),SUMIFS('RAW_농산물_8월'!$H:$H,'RAW_농산물_8월'!$D:$D,$C139,'RAW_농산물_8월'!$A:$A,$E139),SUMIFS('RAW_농산물_9월'!$H:$H,'RAW_농산물_9월'!$D:$D,$C139,'RAW_농산물_9월'!$A:$A,$E139),SUMIFS('RAW_농산물_10월'!$H:$H,'RAW_농산물_10월'!$D:$D,$C139,'RAW_농산물_10월'!$A:$A,$E139),SUMIFS('RAW_농산물_11-12월'!$H:$H,'RAW_농산물_11-12월'!$D:$D,$C139,'RAW_농산물_11-12월'!$A:$A,$E139))))</f>
        <v>4931560</v>
      </c>
      <c r="I139" s="17" t="str">
        <f>IF($C139="","",IF(COUNTIFS('RAW_농산물_7월'!$D:$D,$C139,'RAW_농산물_7월'!$A:$A,$E139)&gt;0,"O",""))</f>
        <v>O</v>
      </c>
      <c r="J139" s="17" t="str">
        <f>IF($C139="","",IF(COUNTIFS('RAW_농산물_8월'!$D:$D,$C139,'RAW_농산물_8월'!$A:$A,$E139)&gt;0,"O",""))</f>
        <v>O</v>
      </c>
      <c r="K139" s="17" t="str">
        <f>IF($C139="","",IF(COUNTIFS('RAW_농산물_9월'!$D:$D,$C139,'RAW_농산물_9월'!$A:$A,$E139)&gt;0,"O",""))</f>
        <v/>
      </c>
      <c r="L139" s="17" t="str">
        <f>IF($C139="","",IF(COUNTIFS('RAW_농산물_10월'!$D:$D,$C139,'RAW_농산물_10월'!$A:$A,$E139)&gt;0,"O",""))</f>
        <v/>
      </c>
      <c r="M139" s="17" t="str">
        <f>IF($C139="","",IF(COUNTIFS('RAW_농산물_11-12월'!$D:$D,$C139,'RAW_농산물_11-12월'!$A:$A,$E139)&gt;0,"O",""))</f>
        <v/>
      </c>
      <c r="N139" s="7">
        <f>IF($C139="","",IF(COUNTA('RAW_농산물_7월'!$A:$A)&lt;=1,"",SUMIFS('RAW_농산물_7월'!$H:$H,'RAW_농산물_7월'!$D:$D,$C139,'RAW_농산물_7월'!$A:$A,$E139)))</f>
        <v>3570100</v>
      </c>
      <c r="O139" s="7">
        <f>IF($C139="","",IF(COUNTA('RAW_농산물_8월'!$A:$A)&lt;=1,"",SUMIFS('RAW_농산물_8월'!$H:$H,'RAW_농산물_8월'!$D:$D,$C139,'RAW_농산물_8월'!$A:$A,$E139)-SUMIFS('RAW_농산물_7월'!$H:$H,'RAW_농산물_7월'!$D:$D,$C139,'RAW_농산물_7월'!$A:$A,$E139)))</f>
        <v>1361460</v>
      </c>
      <c r="P139" s="7" t="str">
        <f>IF($C139="","",IF(COUNTA('RAW_농산물_9월'!$A:$A)&lt;=1,"",SUMIFS('RAW_농산물_9월'!$H:$H,'RAW_농산물_9월'!$D:$D,$C139,'RAW_농산물_9월'!$A:$A,$E139)-SUMIFS('RAW_농산물_8월'!$H:$H,'RAW_농산물_8월'!$D:$D,$C139,'RAW_농산물_8월'!$A:$A,$E139)))</f>
        <v/>
      </c>
      <c r="Q139" s="7" t="str">
        <f>IF($C139="","",IF(COUNTA('RAW_농산물_10월'!$A:$A)&lt;=1,"",SUMIFS('RAW_농산물_10월'!$H:$H,'RAW_농산물_10월'!$D:$D,$C139,'RAW_농산물_10월'!$A:$A,$E139)-SUMIFS('RAW_농산물_9월'!$H:$H,'RAW_농산물_9월'!$D:$D,$C139,'RAW_농산물_9월'!$A:$A,$E139)))</f>
        <v/>
      </c>
      <c r="R139" s="7" t="str">
        <f>IF($C139="","",IF(COUNTA('RAW_농산물_11-12월'!$A:$A)&lt;=1,"",SUMIFS('RAW_농산물_11-12월'!$H:$H,'RAW_농산물_11-12월'!$D:$D,$C139,'RAW_농산물_11-12월'!$A:$A,$E139)-SUMIFS('RAW_농산물_10월'!$H:$H,'RAW_농산물_10월'!$D:$D,$C139,'RAW_농산물_10월'!$A:$A,$E139)))</f>
        <v/>
      </c>
      <c r="S139" s="17" t="str">
        <f t="shared" si="4"/>
        <v>O</v>
      </c>
      <c r="T139" s="17" t="str">
        <f t="shared" si="5"/>
        <v>500만원 미만</v>
      </c>
      <c r="U139" s="7">
        <f>IF($C139="",0,IF('설정'!$B$3=0,0,CHOOSE('설정'!$B$3,COUNTIFS('RAW_농산물_7월'!$D:$D,$C139,'RAW_농산물_7월'!$A:$A,$E139),COUNTIFS('RAW_농산물_8월'!$D:$D,$C139,'RAW_농산물_8월'!$A:$A,$E139),COUNTIFS('RAW_농산물_9월'!$D:$D,$C139,'RAW_농산물_9월'!$A:$A,$E139),COUNTIFS('RAW_농산물_10월'!$D:$D,$C139,'RAW_농산물_10월'!$A:$A,$E139),COUNTIFS('RAW_농산물_11-12월'!$D:$D,$C139,'RAW_농산물_11-12월'!$A:$A,$E139))))</f>
        <v>5</v>
      </c>
    </row>
    <row r="140" ht="15.75" customHeight="1">
      <c r="A140" s="5">
        <v>138.0</v>
      </c>
      <c r="B140" s="5" t="s">
        <v>25</v>
      </c>
      <c r="C140" s="5" t="s">
        <v>1817</v>
      </c>
      <c r="D140" s="6" t="s">
        <v>1816</v>
      </c>
      <c r="E140" s="5" t="s">
        <v>93</v>
      </c>
      <c r="F140" s="7">
        <f>IF($C140="","",IF('설정'!$B$3=0,"",CHOOSE('설정'!$B$3,SUMIFS('RAW_농산물_7월'!$F:$F,'RAW_농산물_7월'!$D:$D,$C140,'RAW_농산물_7월'!$A:$A,$E140),SUMIFS('RAW_농산물_8월'!$F:$F,'RAW_농산물_8월'!$D:$D,$C140,'RAW_농산물_8월'!$A:$A,$E140),SUMIFS('RAW_농산물_9월'!$F:$F,'RAW_농산물_9월'!$D:$D,$C140,'RAW_농산물_9월'!$A:$A,$E140),SUMIFS('RAW_농산물_10월'!$F:$F,'RAW_농산물_10월'!$D:$D,$C140,'RAW_농산물_10월'!$A:$A,$E140),SUMIFS('RAW_농산물_11-12월'!$F:$F,'RAW_농산물_11-12월'!$D:$D,$C140,'RAW_농산물_11-12월'!$A:$A,$E140))))</f>
        <v>326</v>
      </c>
      <c r="G140" s="7">
        <f>IF($C140="","",IF('설정'!$B$3=0,"",CHOOSE('설정'!$B$3,SUMIFS('RAW_농산물_7월'!$G:$G,'RAW_농산물_7월'!$D:$D,$C140,'RAW_농산물_7월'!$A:$A,$E140),SUMIFS('RAW_농산물_8월'!$G:$G,'RAW_농산물_8월'!$D:$D,$C140,'RAW_농산물_8월'!$A:$A,$E140),SUMIFS('RAW_농산물_9월'!$G:$G,'RAW_농산물_9월'!$D:$D,$C140,'RAW_농산물_9월'!$A:$A,$E140),SUMIFS('RAW_농산물_10월'!$G:$G,'RAW_농산물_10월'!$D:$D,$C140,'RAW_농산물_10월'!$A:$A,$E140),SUMIFS('RAW_농산물_11-12월'!$G:$G,'RAW_농산물_11-12월'!$D:$D,$C140,'RAW_농산물_11-12월'!$A:$A,$E140))))</f>
        <v>8483000</v>
      </c>
      <c r="H140" s="14">
        <f>IF($C140="","",IF('설정'!$B$3=0,"",CHOOSE('설정'!$B$3,SUMIFS('RAW_농산물_7월'!$H:$H,'RAW_농산물_7월'!$D:$D,$C140,'RAW_농산물_7월'!$A:$A,$E140),SUMIFS('RAW_농산물_8월'!$H:$H,'RAW_농산물_8월'!$D:$D,$C140,'RAW_농산물_8월'!$A:$A,$E140),SUMIFS('RAW_농산물_9월'!$H:$H,'RAW_농산물_9월'!$D:$D,$C140,'RAW_농산물_9월'!$A:$A,$E140),SUMIFS('RAW_농산물_10월'!$H:$H,'RAW_농산물_10월'!$D:$D,$C140,'RAW_농산물_10월'!$A:$A,$E140),SUMIFS('RAW_농산물_11-12월'!$H:$H,'RAW_농산물_11-12월'!$D:$D,$C140,'RAW_농산물_11-12월'!$A:$A,$E140))))</f>
        <v>0</v>
      </c>
      <c r="I140" s="17" t="str">
        <f>IF($C140="","",IF(COUNTIFS('RAW_농산물_7월'!$D:$D,$C140,'RAW_농산물_7월'!$A:$A,$E140)&gt;0,"O",""))</f>
        <v/>
      </c>
      <c r="J140" s="17" t="str">
        <f>IF($C140="","",IF(COUNTIFS('RAW_농산물_8월'!$D:$D,$C140,'RAW_농산물_8월'!$A:$A,$E140)&gt;0,"O",""))</f>
        <v>O</v>
      </c>
      <c r="K140" s="17" t="str">
        <f>IF($C140="","",IF(COUNTIFS('RAW_농산물_9월'!$D:$D,$C140,'RAW_농산물_9월'!$A:$A,$E140)&gt;0,"O",""))</f>
        <v/>
      </c>
      <c r="L140" s="17" t="str">
        <f>IF($C140="","",IF(COUNTIFS('RAW_농산물_10월'!$D:$D,$C140,'RAW_농산물_10월'!$A:$A,$E140)&gt;0,"O",""))</f>
        <v/>
      </c>
      <c r="M140" s="17" t="str">
        <f>IF($C140="","",IF(COUNTIFS('RAW_농산물_11-12월'!$D:$D,$C140,'RAW_농산물_11-12월'!$A:$A,$E140)&gt;0,"O",""))</f>
        <v/>
      </c>
      <c r="N140" s="7">
        <f>IF($C140="","",IF(COUNTA('RAW_농산물_7월'!$A:$A)&lt;=1,"",SUMIFS('RAW_농산물_7월'!$H:$H,'RAW_농산물_7월'!$D:$D,$C140,'RAW_농산물_7월'!$A:$A,$E140)))</f>
        <v>0</v>
      </c>
      <c r="O140" s="7">
        <f>IF($C140="","",IF(COUNTA('RAW_농산물_8월'!$A:$A)&lt;=1,"",SUMIFS('RAW_농산물_8월'!$H:$H,'RAW_농산물_8월'!$D:$D,$C140,'RAW_농산물_8월'!$A:$A,$E140)-SUMIFS('RAW_농산물_7월'!$H:$H,'RAW_농산물_7월'!$D:$D,$C140,'RAW_농산물_7월'!$A:$A,$E140)))</f>
        <v>0</v>
      </c>
      <c r="P140" s="7" t="str">
        <f>IF($C140="","",IF(COUNTA('RAW_농산물_9월'!$A:$A)&lt;=1,"",SUMIFS('RAW_농산물_9월'!$H:$H,'RAW_농산물_9월'!$D:$D,$C140,'RAW_농산물_9월'!$A:$A,$E140)-SUMIFS('RAW_농산물_8월'!$H:$H,'RAW_농산물_8월'!$D:$D,$C140,'RAW_농산물_8월'!$A:$A,$E140)))</f>
        <v/>
      </c>
      <c r="Q140" s="7" t="str">
        <f>IF($C140="","",IF(COUNTA('RAW_농산물_10월'!$A:$A)&lt;=1,"",SUMIFS('RAW_농산물_10월'!$H:$H,'RAW_농산물_10월'!$D:$D,$C140,'RAW_농산물_10월'!$A:$A,$E140)-SUMIFS('RAW_농산물_9월'!$H:$H,'RAW_농산물_9월'!$D:$D,$C140,'RAW_농산물_9월'!$A:$A,$E140)))</f>
        <v/>
      </c>
      <c r="R140" s="7" t="str">
        <f>IF($C140="","",IF(COUNTA('RAW_농산물_11-12월'!$A:$A)&lt;=1,"",SUMIFS('RAW_농산물_11-12월'!$H:$H,'RAW_농산물_11-12월'!$D:$D,$C140,'RAW_농산물_11-12월'!$A:$A,$E140)-SUMIFS('RAW_농산물_10월'!$H:$H,'RAW_농산물_10월'!$D:$D,$C140,'RAW_농산물_10월'!$A:$A,$E140)))</f>
        <v/>
      </c>
      <c r="S140" s="17" t="str">
        <f t="shared" si="4"/>
        <v>O</v>
      </c>
      <c r="T140" s="17" t="str">
        <f t="shared" si="5"/>
        <v>미사용</v>
      </c>
      <c r="U140" s="7">
        <f>IF($C140="",0,IF('설정'!$B$3=0,0,CHOOSE('설정'!$B$3,COUNTIFS('RAW_농산물_7월'!$D:$D,$C140,'RAW_농산물_7월'!$A:$A,$E140),COUNTIFS('RAW_농산물_8월'!$D:$D,$C140,'RAW_농산물_8월'!$A:$A,$E140),COUNTIFS('RAW_농산물_9월'!$D:$D,$C140,'RAW_농산물_9월'!$A:$A,$E140),COUNTIFS('RAW_농산물_10월'!$D:$D,$C140,'RAW_농산물_10월'!$A:$A,$E140),COUNTIFS('RAW_농산물_11-12월'!$D:$D,$C140,'RAW_농산물_11-12월'!$A:$A,$E140))))</f>
        <v>2</v>
      </c>
    </row>
    <row r="141" ht="15.75" customHeight="1">
      <c r="A141" s="5">
        <v>139.0</v>
      </c>
      <c r="B141" s="5" t="s">
        <v>25</v>
      </c>
      <c r="C141" s="5" t="s">
        <v>410</v>
      </c>
      <c r="D141" s="6" t="s">
        <v>409</v>
      </c>
      <c r="E141" s="5" t="s">
        <v>92</v>
      </c>
      <c r="F141" s="7">
        <f>IF($C141="","",IF('설정'!$B$3=0,"",CHOOSE('설정'!$B$3,SUMIFS('RAW_농산물_7월'!$F:$F,'RAW_농산물_7월'!$D:$D,$C141,'RAW_농산물_7월'!$A:$A,$E141),SUMIFS('RAW_농산물_8월'!$F:$F,'RAW_농산물_8월'!$D:$D,$C141,'RAW_농산물_8월'!$A:$A,$E141),SUMIFS('RAW_농산물_9월'!$F:$F,'RAW_농산물_9월'!$D:$D,$C141,'RAW_농산물_9월'!$A:$A,$E141),SUMIFS('RAW_농산물_10월'!$F:$F,'RAW_농산물_10월'!$D:$D,$C141,'RAW_농산물_10월'!$A:$A,$E141),SUMIFS('RAW_농산물_11-12월'!$F:$F,'RAW_농산물_11-12월'!$D:$D,$C141,'RAW_농산물_11-12월'!$A:$A,$E141))))</f>
        <v>95</v>
      </c>
      <c r="G141" s="7">
        <f>IF($C141="","",IF('설정'!$B$3=0,"",CHOOSE('설정'!$B$3,SUMIFS('RAW_농산물_7월'!$G:$G,'RAW_농산물_7월'!$D:$D,$C141,'RAW_농산물_7월'!$A:$A,$E141),SUMIFS('RAW_농산물_8월'!$G:$G,'RAW_농산물_8월'!$D:$D,$C141,'RAW_농산물_8월'!$A:$A,$E141),SUMIFS('RAW_농산물_9월'!$G:$G,'RAW_농산물_9월'!$D:$D,$C141,'RAW_농산물_9월'!$A:$A,$E141),SUMIFS('RAW_농산물_10월'!$G:$G,'RAW_농산물_10월'!$D:$D,$C141,'RAW_농산물_10월'!$A:$A,$E141),SUMIFS('RAW_농산물_11-12월'!$G:$G,'RAW_농산물_11-12월'!$D:$D,$C141,'RAW_농산물_11-12월'!$A:$A,$E141))))</f>
        <v>3250000</v>
      </c>
      <c r="H141" s="14">
        <f>IF($C141="","",IF('설정'!$B$3=0,"",CHOOSE('설정'!$B$3,SUMIFS('RAW_농산물_7월'!$H:$H,'RAW_농산물_7월'!$D:$D,$C141,'RAW_농산물_7월'!$A:$A,$E141),SUMIFS('RAW_농산물_8월'!$H:$H,'RAW_농산물_8월'!$D:$D,$C141,'RAW_농산물_8월'!$A:$A,$E141),SUMIFS('RAW_농산물_9월'!$H:$H,'RAW_농산물_9월'!$D:$D,$C141,'RAW_농산물_9월'!$A:$A,$E141),SUMIFS('RAW_농산물_10월'!$H:$H,'RAW_농산물_10월'!$D:$D,$C141,'RAW_농산물_10월'!$A:$A,$E141),SUMIFS('RAW_농산물_11-12월'!$H:$H,'RAW_농산물_11-12월'!$D:$D,$C141,'RAW_농산물_11-12월'!$A:$A,$E141))))</f>
        <v>387870</v>
      </c>
      <c r="I141" s="17" t="str">
        <f>IF($C141="","",IF(COUNTIFS('RAW_농산물_7월'!$D:$D,$C141,'RAW_농산물_7월'!$A:$A,$E141)&gt;0,"O",""))</f>
        <v>O</v>
      </c>
      <c r="J141" s="17" t="str">
        <f>IF($C141="","",IF(COUNTIFS('RAW_농산물_8월'!$D:$D,$C141,'RAW_농산물_8월'!$A:$A,$E141)&gt;0,"O",""))</f>
        <v>O</v>
      </c>
      <c r="K141" s="17" t="str">
        <f>IF($C141="","",IF(COUNTIFS('RAW_농산물_9월'!$D:$D,$C141,'RAW_농산물_9월'!$A:$A,$E141)&gt;0,"O",""))</f>
        <v/>
      </c>
      <c r="L141" s="17" t="str">
        <f>IF($C141="","",IF(COUNTIFS('RAW_농산물_10월'!$D:$D,$C141,'RAW_농산물_10월'!$A:$A,$E141)&gt;0,"O",""))</f>
        <v/>
      </c>
      <c r="M141" s="17" t="str">
        <f>IF($C141="","",IF(COUNTIFS('RAW_농산물_11-12월'!$D:$D,$C141,'RAW_농산물_11-12월'!$A:$A,$E141)&gt;0,"O",""))</f>
        <v/>
      </c>
      <c r="N141" s="7">
        <f>IF($C141="","",IF(COUNTA('RAW_농산물_7월'!$A:$A)&lt;=1,"",SUMIFS('RAW_농산물_7월'!$H:$H,'RAW_농산물_7월'!$D:$D,$C141,'RAW_농산물_7월'!$A:$A,$E141)))</f>
        <v>212800</v>
      </c>
      <c r="O141" s="7">
        <f>IF($C141="","",IF(COUNTA('RAW_농산물_8월'!$A:$A)&lt;=1,"",SUMIFS('RAW_농산물_8월'!$H:$H,'RAW_농산물_8월'!$D:$D,$C141,'RAW_농산물_8월'!$A:$A,$E141)-SUMIFS('RAW_농산물_7월'!$H:$H,'RAW_농산물_7월'!$D:$D,$C141,'RAW_농산물_7월'!$A:$A,$E141)))</f>
        <v>175070</v>
      </c>
      <c r="P141" s="7" t="str">
        <f>IF($C141="","",IF(COUNTA('RAW_농산물_9월'!$A:$A)&lt;=1,"",SUMIFS('RAW_농산물_9월'!$H:$H,'RAW_농산물_9월'!$D:$D,$C141,'RAW_농산물_9월'!$A:$A,$E141)-SUMIFS('RAW_농산물_8월'!$H:$H,'RAW_농산물_8월'!$D:$D,$C141,'RAW_농산물_8월'!$A:$A,$E141)))</f>
        <v/>
      </c>
      <c r="Q141" s="7" t="str">
        <f>IF($C141="","",IF(COUNTA('RAW_농산물_10월'!$A:$A)&lt;=1,"",SUMIFS('RAW_농산물_10월'!$H:$H,'RAW_농산물_10월'!$D:$D,$C141,'RAW_농산물_10월'!$A:$A,$E141)-SUMIFS('RAW_농산물_9월'!$H:$H,'RAW_농산물_9월'!$D:$D,$C141,'RAW_농산물_9월'!$A:$A,$E141)))</f>
        <v/>
      </c>
      <c r="R141" s="7" t="str">
        <f>IF($C141="","",IF(COUNTA('RAW_농산물_11-12월'!$A:$A)&lt;=1,"",SUMIFS('RAW_농산물_11-12월'!$H:$H,'RAW_농산물_11-12월'!$D:$D,$C141,'RAW_농산물_11-12월'!$A:$A,$E141)-SUMIFS('RAW_농산물_10월'!$H:$H,'RAW_농산물_10월'!$D:$D,$C141,'RAW_농산물_10월'!$A:$A,$E141)))</f>
        <v/>
      </c>
      <c r="S141" s="17" t="str">
        <f t="shared" si="4"/>
        <v>O</v>
      </c>
      <c r="T141" s="17" t="str">
        <f t="shared" si="5"/>
        <v>50만원 미만</v>
      </c>
      <c r="U141" s="7">
        <f>IF($C141="",0,IF('설정'!$B$3=0,0,CHOOSE('설정'!$B$3,COUNTIFS('RAW_농산물_7월'!$D:$D,$C141,'RAW_농산물_7월'!$A:$A,$E141),COUNTIFS('RAW_농산물_8월'!$D:$D,$C141,'RAW_농산물_8월'!$A:$A,$E141),COUNTIFS('RAW_농산물_9월'!$D:$D,$C141,'RAW_농산물_9월'!$A:$A,$E141),COUNTIFS('RAW_농산물_10월'!$D:$D,$C141,'RAW_농산물_10월'!$A:$A,$E141),COUNTIFS('RAW_농산물_11-12월'!$D:$D,$C141,'RAW_농산물_11-12월'!$A:$A,$E141))))</f>
        <v>3</v>
      </c>
    </row>
    <row r="142" ht="15.75" customHeight="1">
      <c r="A142" s="5">
        <v>140.0</v>
      </c>
      <c r="B142" s="5" t="s">
        <v>108</v>
      </c>
      <c r="C142" s="5" t="s">
        <v>524</v>
      </c>
      <c r="D142" s="6" t="s">
        <v>523</v>
      </c>
      <c r="E142" s="5" t="s">
        <v>92</v>
      </c>
      <c r="F142" s="7">
        <f>IF($C142="","",IF('설정'!$B$3=0,"",CHOOSE('설정'!$B$3,SUMIFS('RAW_농산물_7월'!$F:$F,'RAW_농산물_7월'!$D:$D,$C142,'RAW_농산물_7월'!$A:$A,$E142),SUMIFS('RAW_농산물_8월'!$F:$F,'RAW_농산물_8월'!$D:$D,$C142,'RAW_농산물_8월'!$A:$A,$E142),SUMIFS('RAW_농산물_9월'!$F:$F,'RAW_농산물_9월'!$D:$D,$C142,'RAW_농산물_9월'!$A:$A,$E142),SUMIFS('RAW_농산물_10월'!$F:$F,'RAW_농산물_10월'!$D:$D,$C142,'RAW_농산물_10월'!$A:$A,$E142),SUMIFS('RAW_농산물_11-12월'!$F:$F,'RAW_농산물_11-12월'!$D:$D,$C142,'RAW_농산물_11-12월'!$A:$A,$E142))))</f>
        <v>273</v>
      </c>
      <c r="G142" s="7">
        <f>IF($C142="","",IF('설정'!$B$3=0,"",CHOOSE('설정'!$B$3,SUMIFS('RAW_농산물_7월'!$G:$G,'RAW_농산물_7월'!$D:$D,$C142,'RAW_농산물_7월'!$A:$A,$E142),SUMIFS('RAW_농산물_8월'!$G:$G,'RAW_농산물_8월'!$D:$D,$C142,'RAW_농산물_8월'!$A:$A,$E142),SUMIFS('RAW_농산물_9월'!$G:$G,'RAW_농산물_9월'!$D:$D,$C142,'RAW_농산물_9월'!$A:$A,$E142),SUMIFS('RAW_농산물_10월'!$G:$G,'RAW_농산물_10월'!$D:$D,$C142,'RAW_농산물_10월'!$A:$A,$E142),SUMIFS('RAW_농산물_11-12월'!$G:$G,'RAW_농산물_11-12월'!$D:$D,$C142,'RAW_농산물_11-12월'!$A:$A,$E142))))</f>
        <v>4991620</v>
      </c>
      <c r="H142" s="14">
        <f>IF($C142="","",IF('설정'!$B$3=0,"",CHOOSE('설정'!$B$3,SUMIFS('RAW_농산물_7월'!$H:$H,'RAW_농산물_7월'!$D:$D,$C142,'RAW_농산물_7월'!$A:$A,$E142),SUMIFS('RAW_농산물_8월'!$H:$H,'RAW_농산물_8월'!$D:$D,$C142,'RAW_농산물_8월'!$A:$A,$E142),SUMIFS('RAW_농산물_9월'!$H:$H,'RAW_농산물_9월'!$D:$D,$C142,'RAW_농산물_9월'!$A:$A,$E142),SUMIFS('RAW_농산물_10월'!$H:$H,'RAW_농산물_10월'!$D:$D,$C142,'RAW_농산물_10월'!$A:$A,$E142),SUMIFS('RAW_농산물_11-12월'!$H:$H,'RAW_농산물_11-12월'!$D:$D,$C142,'RAW_농산물_11-12월'!$A:$A,$E142))))</f>
        <v>584880</v>
      </c>
      <c r="I142" s="17" t="str">
        <f>IF($C142="","",IF(COUNTIFS('RAW_농산물_7월'!$D:$D,$C142,'RAW_농산물_7월'!$A:$A,$E142)&gt;0,"O",""))</f>
        <v>O</v>
      </c>
      <c r="J142" s="17" t="str">
        <f>IF($C142="","",IF(COUNTIFS('RAW_농산물_8월'!$D:$D,$C142,'RAW_농산물_8월'!$A:$A,$E142)&gt;0,"O",""))</f>
        <v>O</v>
      </c>
      <c r="K142" s="17" t="str">
        <f>IF($C142="","",IF(COUNTIFS('RAW_농산물_9월'!$D:$D,$C142,'RAW_농산물_9월'!$A:$A,$E142)&gt;0,"O",""))</f>
        <v/>
      </c>
      <c r="L142" s="17" t="str">
        <f>IF($C142="","",IF(COUNTIFS('RAW_농산물_10월'!$D:$D,$C142,'RAW_농산물_10월'!$A:$A,$E142)&gt;0,"O",""))</f>
        <v/>
      </c>
      <c r="M142" s="17" t="str">
        <f>IF($C142="","",IF(COUNTIFS('RAW_농산물_11-12월'!$D:$D,$C142,'RAW_농산물_11-12월'!$A:$A,$E142)&gt;0,"O",""))</f>
        <v/>
      </c>
      <c r="N142" s="7">
        <f>IF($C142="","",IF(COUNTA('RAW_농산물_7월'!$A:$A)&lt;=1,"",SUMIFS('RAW_농산물_7월'!$H:$H,'RAW_농산물_7월'!$D:$D,$C142,'RAW_농산물_7월'!$A:$A,$E142)))</f>
        <v>88750</v>
      </c>
      <c r="O142" s="7">
        <f>IF($C142="","",IF(COUNTA('RAW_농산물_8월'!$A:$A)&lt;=1,"",SUMIFS('RAW_농산물_8월'!$H:$H,'RAW_농산물_8월'!$D:$D,$C142,'RAW_농산물_8월'!$A:$A,$E142)-SUMIFS('RAW_농산물_7월'!$H:$H,'RAW_농산물_7월'!$D:$D,$C142,'RAW_농산물_7월'!$A:$A,$E142)))</f>
        <v>496130</v>
      </c>
      <c r="P142" s="7" t="str">
        <f>IF($C142="","",IF(COUNTA('RAW_농산물_9월'!$A:$A)&lt;=1,"",SUMIFS('RAW_농산물_9월'!$H:$H,'RAW_농산물_9월'!$D:$D,$C142,'RAW_농산물_9월'!$A:$A,$E142)-SUMIFS('RAW_농산물_8월'!$H:$H,'RAW_농산물_8월'!$D:$D,$C142,'RAW_농산물_8월'!$A:$A,$E142)))</f>
        <v/>
      </c>
      <c r="Q142" s="7" t="str">
        <f>IF($C142="","",IF(COUNTA('RAW_농산물_10월'!$A:$A)&lt;=1,"",SUMIFS('RAW_농산물_10월'!$H:$H,'RAW_농산물_10월'!$D:$D,$C142,'RAW_농산물_10월'!$A:$A,$E142)-SUMIFS('RAW_농산물_9월'!$H:$H,'RAW_농산물_9월'!$D:$D,$C142,'RAW_농산물_9월'!$A:$A,$E142)))</f>
        <v/>
      </c>
      <c r="R142" s="7" t="str">
        <f>IF($C142="","",IF(COUNTA('RAW_농산물_11-12월'!$A:$A)&lt;=1,"",SUMIFS('RAW_농산물_11-12월'!$H:$H,'RAW_농산물_11-12월'!$D:$D,$C142,'RAW_농산물_11-12월'!$A:$A,$E142)-SUMIFS('RAW_농산물_10월'!$H:$H,'RAW_농산물_10월'!$D:$D,$C142,'RAW_농산물_10월'!$A:$A,$E142)))</f>
        <v/>
      </c>
      <c r="S142" s="17" t="str">
        <f t="shared" si="4"/>
        <v>O</v>
      </c>
      <c r="T142" s="17" t="str">
        <f t="shared" si="5"/>
        <v>100만원 미만</v>
      </c>
      <c r="U142" s="7">
        <f>IF($C142="",0,IF('설정'!$B$3=0,0,CHOOSE('설정'!$B$3,COUNTIFS('RAW_농산물_7월'!$D:$D,$C142,'RAW_농산물_7월'!$A:$A,$E142),COUNTIFS('RAW_농산물_8월'!$D:$D,$C142,'RAW_농산물_8월'!$A:$A,$E142),COUNTIFS('RAW_농산물_9월'!$D:$D,$C142,'RAW_농산물_9월'!$A:$A,$E142),COUNTIFS('RAW_농산물_10월'!$D:$D,$C142,'RAW_농산물_10월'!$A:$A,$E142),COUNTIFS('RAW_농산물_11-12월'!$D:$D,$C142,'RAW_농산물_11-12월'!$A:$A,$E142))))</f>
        <v>12</v>
      </c>
    </row>
    <row r="143" ht="15.75" customHeight="1">
      <c r="A143" s="5">
        <v>141.0</v>
      </c>
      <c r="B143" s="5" t="s">
        <v>25</v>
      </c>
      <c r="C143" s="5" t="s">
        <v>1621</v>
      </c>
      <c r="D143" s="6" t="s">
        <v>2964</v>
      </c>
      <c r="E143" s="5" t="s">
        <v>93</v>
      </c>
      <c r="F143" s="7">
        <f>IF($C143="","",IF('설정'!$B$3=0,"",CHOOSE('설정'!$B$3,SUMIFS('RAW_농산물_7월'!$F:$F,'RAW_농산물_7월'!$D:$D,$C143,'RAW_농산물_7월'!$A:$A,$E143),SUMIFS('RAW_농산물_8월'!$F:$F,'RAW_농산물_8월'!$D:$D,$C143,'RAW_농산물_8월'!$A:$A,$E143),SUMIFS('RAW_농산물_9월'!$F:$F,'RAW_농산물_9월'!$D:$D,$C143,'RAW_농산물_9월'!$A:$A,$E143),SUMIFS('RAW_농산물_10월'!$F:$F,'RAW_농산물_10월'!$D:$D,$C143,'RAW_농산물_10월'!$A:$A,$E143),SUMIFS('RAW_농산물_11-12월'!$F:$F,'RAW_농산물_11-12월'!$D:$D,$C143,'RAW_농산물_11-12월'!$A:$A,$E143))))</f>
        <v>4348</v>
      </c>
      <c r="G143" s="7">
        <f>IF($C143="","",IF('설정'!$B$3=0,"",CHOOSE('설정'!$B$3,SUMIFS('RAW_농산물_7월'!$G:$G,'RAW_농산물_7월'!$D:$D,$C143,'RAW_농산물_7월'!$A:$A,$E143),SUMIFS('RAW_농산물_8월'!$G:$G,'RAW_농산물_8월'!$D:$D,$C143,'RAW_농산물_8월'!$A:$A,$E143),SUMIFS('RAW_농산물_9월'!$G:$G,'RAW_농산물_9월'!$D:$D,$C143,'RAW_농산물_9월'!$A:$A,$E143),SUMIFS('RAW_농산물_10월'!$G:$G,'RAW_농산물_10월'!$D:$D,$C143,'RAW_농산물_10월'!$A:$A,$E143),SUMIFS('RAW_농산물_11-12월'!$G:$G,'RAW_농산물_11-12월'!$D:$D,$C143,'RAW_농산물_11-12월'!$A:$A,$E143))))</f>
        <v>65560580</v>
      </c>
      <c r="H143" s="14">
        <f>IF($C143="","",IF('설정'!$B$3=0,"",CHOOSE('설정'!$B$3,SUMIFS('RAW_농산물_7월'!$H:$H,'RAW_농산물_7월'!$D:$D,$C143,'RAW_농산물_7월'!$A:$A,$E143),SUMIFS('RAW_농산물_8월'!$H:$H,'RAW_농산물_8월'!$D:$D,$C143,'RAW_농산물_8월'!$A:$A,$E143),SUMIFS('RAW_농산물_9월'!$H:$H,'RAW_농산물_9월'!$D:$D,$C143,'RAW_농산물_9월'!$A:$A,$E143),SUMIFS('RAW_농산물_10월'!$H:$H,'RAW_농산물_10월'!$D:$D,$C143,'RAW_농산물_10월'!$A:$A,$E143),SUMIFS('RAW_농산물_11-12월'!$H:$H,'RAW_농산물_11-12월'!$D:$D,$C143,'RAW_농산물_11-12월'!$A:$A,$E143))))</f>
        <v>4994140</v>
      </c>
      <c r="I143" s="17" t="str">
        <f>IF($C143="","",IF(COUNTIFS('RAW_농산물_7월'!$D:$D,$C143,'RAW_농산물_7월'!$A:$A,$E143)&gt;0,"O",""))</f>
        <v>O</v>
      </c>
      <c r="J143" s="17" t="str">
        <f>IF($C143="","",IF(COUNTIFS('RAW_농산물_8월'!$D:$D,$C143,'RAW_농산물_8월'!$A:$A,$E143)&gt;0,"O",""))</f>
        <v>O</v>
      </c>
      <c r="K143" s="17" t="str">
        <f>IF($C143="","",IF(COUNTIFS('RAW_농산물_9월'!$D:$D,$C143,'RAW_농산물_9월'!$A:$A,$E143)&gt;0,"O",""))</f>
        <v/>
      </c>
      <c r="L143" s="17" t="str">
        <f>IF($C143="","",IF(COUNTIFS('RAW_농산물_10월'!$D:$D,$C143,'RAW_농산물_10월'!$A:$A,$E143)&gt;0,"O",""))</f>
        <v/>
      </c>
      <c r="M143" s="17" t="str">
        <f>IF($C143="","",IF(COUNTIFS('RAW_농산물_11-12월'!$D:$D,$C143,'RAW_농산물_11-12월'!$A:$A,$E143)&gt;0,"O",""))</f>
        <v/>
      </c>
      <c r="N143" s="7">
        <f>IF($C143="","",IF(COUNTA('RAW_농산물_7월'!$A:$A)&lt;=1,"",SUMIFS('RAW_농산물_7월'!$H:$H,'RAW_농산물_7월'!$D:$D,$C143,'RAW_농산물_7월'!$A:$A,$E143)))</f>
        <v>4994140</v>
      </c>
      <c r="O143" s="7">
        <f>IF($C143="","",IF(COUNTA('RAW_농산물_8월'!$A:$A)&lt;=1,"",SUMIFS('RAW_농산물_8월'!$H:$H,'RAW_농산물_8월'!$D:$D,$C143,'RAW_농산물_8월'!$A:$A,$E143)-SUMIFS('RAW_농산물_7월'!$H:$H,'RAW_농산물_7월'!$D:$D,$C143,'RAW_농산물_7월'!$A:$A,$E143)))</f>
        <v>0</v>
      </c>
      <c r="P143" s="7" t="str">
        <f>IF($C143="","",IF(COUNTA('RAW_농산물_9월'!$A:$A)&lt;=1,"",SUMIFS('RAW_농산물_9월'!$H:$H,'RAW_농산물_9월'!$D:$D,$C143,'RAW_농산물_9월'!$A:$A,$E143)-SUMIFS('RAW_농산물_8월'!$H:$H,'RAW_농산물_8월'!$D:$D,$C143,'RAW_농산물_8월'!$A:$A,$E143)))</f>
        <v/>
      </c>
      <c r="Q143" s="7" t="str">
        <f>IF($C143="","",IF(COUNTA('RAW_농산물_10월'!$A:$A)&lt;=1,"",SUMIFS('RAW_농산물_10월'!$H:$H,'RAW_농산물_10월'!$D:$D,$C143,'RAW_농산물_10월'!$A:$A,$E143)-SUMIFS('RAW_농산물_9월'!$H:$H,'RAW_농산물_9월'!$D:$D,$C143,'RAW_농산물_9월'!$A:$A,$E143)))</f>
        <v/>
      </c>
      <c r="R143" s="7" t="str">
        <f>IF($C143="","",IF(COUNTA('RAW_농산물_11-12월'!$A:$A)&lt;=1,"",SUMIFS('RAW_농산물_11-12월'!$H:$H,'RAW_농산물_11-12월'!$D:$D,$C143,'RAW_농산물_11-12월'!$A:$A,$E143)-SUMIFS('RAW_농산물_10월'!$H:$H,'RAW_농산물_10월'!$D:$D,$C143,'RAW_농산물_10월'!$A:$A,$E143)))</f>
        <v/>
      </c>
      <c r="S143" s="17" t="str">
        <f t="shared" si="4"/>
        <v>O</v>
      </c>
      <c r="T143" s="17" t="str">
        <f t="shared" si="5"/>
        <v>500만원 미만</v>
      </c>
      <c r="U143" s="7">
        <f>IF($C143="",0,IF('설정'!$B$3=0,0,CHOOSE('설정'!$B$3,COUNTIFS('RAW_농산물_7월'!$D:$D,$C143,'RAW_농산물_7월'!$A:$A,$E143),COUNTIFS('RAW_농산물_8월'!$D:$D,$C143,'RAW_농산물_8월'!$A:$A,$E143),COUNTIFS('RAW_농산물_9월'!$D:$D,$C143,'RAW_농산물_9월'!$A:$A,$E143),COUNTIFS('RAW_농산물_10월'!$D:$D,$C143,'RAW_농산물_10월'!$A:$A,$E143),COUNTIFS('RAW_농산물_11-12월'!$D:$D,$C143,'RAW_농산물_11-12월'!$A:$A,$E143))))</f>
        <v>6</v>
      </c>
    </row>
    <row r="144" ht="15.75" customHeight="1">
      <c r="A144" s="5">
        <v>142.0</v>
      </c>
      <c r="B144" s="5" t="s">
        <v>25</v>
      </c>
      <c r="C144" s="5" t="s">
        <v>407</v>
      </c>
      <c r="D144" s="6" t="s">
        <v>406</v>
      </c>
      <c r="E144" s="5" t="s">
        <v>92</v>
      </c>
      <c r="F144" s="7">
        <f>IF($C144="","",IF('설정'!$B$3=0,"",CHOOSE('설정'!$B$3,SUMIFS('RAW_농산물_7월'!$F:$F,'RAW_농산물_7월'!$D:$D,$C144,'RAW_농산물_7월'!$A:$A,$E144),SUMIFS('RAW_농산물_8월'!$F:$F,'RAW_농산물_8월'!$D:$D,$C144,'RAW_농산물_8월'!$A:$A,$E144),SUMIFS('RAW_농산물_9월'!$F:$F,'RAW_농산물_9월'!$D:$D,$C144,'RAW_농산물_9월'!$A:$A,$E144),SUMIFS('RAW_농산물_10월'!$F:$F,'RAW_농산물_10월'!$D:$D,$C144,'RAW_농산물_10월'!$A:$A,$E144),SUMIFS('RAW_농산물_11-12월'!$F:$F,'RAW_농산물_11-12월'!$D:$D,$C144,'RAW_농산물_11-12월'!$A:$A,$E144))))</f>
        <v>260</v>
      </c>
      <c r="G144" s="7">
        <f>IF($C144="","",IF('설정'!$B$3=0,"",CHOOSE('설정'!$B$3,SUMIFS('RAW_농산물_7월'!$G:$G,'RAW_농산물_7월'!$D:$D,$C144,'RAW_농산물_7월'!$A:$A,$E144),SUMIFS('RAW_농산물_8월'!$G:$G,'RAW_농산물_8월'!$D:$D,$C144,'RAW_농산물_8월'!$A:$A,$E144),SUMIFS('RAW_농산물_9월'!$G:$G,'RAW_농산물_9월'!$D:$D,$C144,'RAW_농산물_9월'!$A:$A,$E144),SUMIFS('RAW_농산물_10월'!$G:$G,'RAW_농산물_10월'!$D:$D,$C144,'RAW_농산물_10월'!$A:$A,$E144),SUMIFS('RAW_농산물_11-12월'!$G:$G,'RAW_농산물_11-12월'!$D:$D,$C144,'RAW_농산물_11-12월'!$A:$A,$E144))))</f>
        <v>11899600</v>
      </c>
      <c r="H144" s="14">
        <f>IF($C144="","",IF('설정'!$B$3=0,"",CHOOSE('설정'!$B$3,SUMIFS('RAW_농산물_7월'!$H:$H,'RAW_농산물_7월'!$D:$D,$C144,'RAW_농산물_7월'!$A:$A,$E144),SUMIFS('RAW_농산물_8월'!$H:$H,'RAW_농산물_8월'!$D:$D,$C144,'RAW_농산물_8월'!$A:$A,$E144),SUMIFS('RAW_농산물_9월'!$H:$H,'RAW_농산물_9월'!$D:$D,$C144,'RAW_농산물_9월'!$A:$A,$E144),SUMIFS('RAW_농산물_10월'!$H:$H,'RAW_농산물_10월'!$D:$D,$C144,'RAW_농산물_10월'!$A:$A,$E144),SUMIFS('RAW_농산물_11-12월'!$H:$H,'RAW_농산물_11-12월'!$D:$D,$C144,'RAW_농산물_11-12월'!$A:$A,$E144))))</f>
        <v>937090</v>
      </c>
      <c r="I144" s="17" t="str">
        <f>IF($C144="","",IF(COUNTIFS('RAW_농산물_7월'!$D:$D,$C144,'RAW_농산물_7월'!$A:$A,$E144)&gt;0,"O",""))</f>
        <v>O</v>
      </c>
      <c r="J144" s="17" t="str">
        <f>IF($C144="","",IF(COUNTIFS('RAW_농산물_8월'!$D:$D,$C144,'RAW_농산물_8월'!$A:$A,$E144)&gt;0,"O",""))</f>
        <v>O</v>
      </c>
      <c r="K144" s="17" t="str">
        <f>IF($C144="","",IF(COUNTIFS('RAW_농산물_9월'!$D:$D,$C144,'RAW_농산물_9월'!$A:$A,$E144)&gt;0,"O",""))</f>
        <v/>
      </c>
      <c r="L144" s="17" t="str">
        <f>IF($C144="","",IF(COUNTIFS('RAW_농산물_10월'!$D:$D,$C144,'RAW_농산물_10월'!$A:$A,$E144)&gt;0,"O",""))</f>
        <v/>
      </c>
      <c r="M144" s="17" t="str">
        <f>IF($C144="","",IF(COUNTIFS('RAW_농산물_11-12월'!$D:$D,$C144,'RAW_농산물_11-12월'!$A:$A,$E144)&gt;0,"O",""))</f>
        <v/>
      </c>
      <c r="N144" s="7">
        <f>IF($C144="","",IF(COUNTA('RAW_농산물_7월'!$A:$A)&lt;=1,"",SUMIFS('RAW_농산물_7월'!$H:$H,'RAW_농산물_7월'!$D:$D,$C144,'RAW_농산물_7월'!$A:$A,$E144)))</f>
        <v>126660</v>
      </c>
      <c r="O144" s="7">
        <f>IF($C144="","",IF(COUNTA('RAW_농산물_8월'!$A:$A)&lt;=1,"",SUMIFS('RAW_농산물_8월'!$H:$H,'RAW_농산물_8월'!$D:$D,$C144,'RAW_농산물_8월'!$A:$A,$E144)-SUMIFS('RAW_농산물_7월'!$H:$H,'RAW_농산물_7월'!$D:$D,$C144,'RAW_농산물_7월'!$A:$A,$E144)))</f>
        <v>810430</v>
      </c>
      <c r="P144" s="7" t="str">
        <f>IF($C144="","",IF(COUNTA('RAW_농산물_9월'!$A:$A)&lt;=1,"",SUMIFS('RAW_농산물_9월'!$H:$H,'RAW_농산물_9월'!$D:$D,$C144,'RAW_농산물_9월'!$A:$A,$E144)-SUMIFS('RAW_농산물_8월'!$H:$H,'RAW_농산물_8월'!$D:$D,$C144,'RAW_농산물_8월'!$A:$A,$E144)))</f>
        <v/>
      </c>
      <c r="Q144" s="7" t="str">
        <f>IF($C144="","",IF(COUNTA('RAW_농산물_10월'!$A:$A)&lt;=1,"",SUMIFS('RAW_농산물_10월'!$H:$H,'RAW_농산물_10월'!$D:$D,$C144,'RAW_농산물_10월'!$A:$A,$E144)-SUMIFS('RAW_농산물_9월'!$H:$H,'RAW_농산물_9월'!$D:$D,$C144,'RAW_농산물_9월'!$A:$A,$E144)))</f>
        <v/>
      </c>
      <c r="R144" s="7" t="str">
        <f>IF($C144="","",IF(COUNTA('RAW_농산물_11-12월'!$A:$A)&lt;=1,"",SUMIFS('RAW_농산물_11-12월'!$H:$H,'RAW_농산물_11-12월'!$D:$D,$C144,'RAW_농산물_11-12월'!$A:$A,$E144)-SUMIFS('RAW_농산물_10월'!$H:$H,'RAW_농산물_10월'!$D:$D,$C144,'RAW_농산물_10월'!$A:$A,$E144)))</f>
        <v/>
      </c>
      <c r="S144" s="17" t="str">
        <f t="shared" si="4"/>
        <v>O</v>
      </c>
      <c r="T144" s="17" t="str">
        <f t="shared" si="5"/>
        <v>100만원 미만</v>
      </c>
      <c r="U144" s="7">
        <f>IF($C144="",0,IF('설정'!$B$3=0,0,CHOOSE('설정'!$B$3,COUNTIFS('RAW_농산물_7월'!$D:$D,$C144,'RAW_농산물_7월'!$A:$A,$E144),COUNTIFS('RAW_농산물_8월'!$D:$D,$C144,'RAW_농산물_8월'!$A:$A,$E144),COUNTIFS('RAW_농산물_9월'!$D:$D,$C144,'RAW_농산물_9월'!$A:$A,$E144),COUNTIFS('RAW_농산물_10월'!$D:$D,$C144,'RAW_농산물_10월'!$A:$A,$E144),COUNTIFS('RAW_농산물_11-12월'!$D:$D,$C144,'RAW_농산물_11-12월'!$A:$A,$E144))))</f>
        <v>16</v>
      </c>
    </row>
    <row r="145" ht="15.75" customHeight="1">
      <c r="A145" s="5">
        <v>143.0</v>
      </c>
      <c r="B145" s="5" t="s">
        <v>25</v>
      </c>
      <c r="C145" s="5" t="s">
        <v>2965</v>
      </c>
      <c r="D145" s="6" t="s">
        <v>2966</v>
      </c>
      <c r="E145" s="5" t="s">
        <v>94</v>
      </c>
      <c r="F145" s="7">
        <f>IF($C145="","",IF('설정'!$B$3=0,"",CHOOSE('설정'!$B$3,SUMIFS('RAW_농산물_7월'!$F:$F,'RAW_농산물_7월'!$D:$D,$C145,'RAW_농산물_7월'!$A:$A,$E145),SUMIFS('RAW_농산물_8월'!$F:$F,'RAW_농산물_8월'!$D:$D,$C145,'RAW_농산물_8월'!$A:$A,$E145),SUMIFS('RAW_농산물_9월'!$F:$F,'RAW_농산물_9월'!$D:$D,$C145,'RAW_농산물_9월'!$A:$A,$E145),SUMIFS('RAW_농산물_10월'!$F:$F,'RAW_농산물_10월'!$D:$D,$C145,'RAW_농산물_10월'!$A:$A,$E145),SUMIFS('RAW_농산물_11-12월'!$F:$F,'RAW_농산물_11-12월'!$D:$D,$C145,'RAW_농산물_11-12월'!$A:$A,$E145))))</f>
        <v>0</v>
      </c>
      <c r="G145" s="7">
        <f>IF($C145="","",IF('설정'!$B$3=0,"",CHOOSE('설정'!$B$3,SUMIFS('RAW_농산물_7월'!$G:$G,'RAW_농산물_7월'!$D:$D,$C145,'RAW_농산물_7월'!$A:$A,$E145),SUMIFS('RAW_농산물_8월'!$G:$G,'RAW_농산물_8월'!$D:$D,$C145,'RAW_농산물_8월'!$A:$A,$E145),SUMIFS('RAW_농산물_9월'!$G:$G,'RAW_농산물_9월'!$D:$D,$C145,'RAW_농산물_9월'!$A:$A,$E145),SUMIFS('RAW_농산물_10월'!$G:$G,'RAW_농산물_10월'!$D:$D,$C145,'RAW_농산물_10월'!$A:$A,$E145),SUMIFS('RAW_농산물_11-12월'!$G:$G,'RAW_농산물_11-12월'!$D:$D,$C145,'RAW_농산물_11-12월'!$A:$A,$E145))))</f>
        <v>0</v>
      </c>
      <c r="H145" s="14">
        <f>IF($C145="","",IF('설정'!$B$3=0,"",CHOOSE('설정'!$B$3,SUMIFS('RAW_농산물_7월'!$H:$H,'RAW_농산물_7월'!$D:$D,$C145,'RAW_농산물_7월'!$A:$A,$E145),SUMIFS('RAW_농산물_8월'!$H:$H,'RAW_농산물_8월'!$D:$D,$C145,'RAW_농산물_8월'!$A:$A,$E145),SUMIFS('RAW_농산물_9월'!$H:$H,'RAW_농산물_9월'!$D:$D,$C145,'RAW_농산물_9월'!$A:$A,$E145),SUMIFS('RAW_농산물_10월'!$H:$H,'RAW_농산물_10월'!$D:$D,$C145,'RAW_농산물_10월'!$A:$A,$E145),SUMIFS('RAW_농산물_11-12월'!$H:$H,'RAW_농산물_11-12월'!$D:$D,$C145,'RAW_농산물_11-12월'!$A:$A,$E145))))</f>
        <v>0</v>
      </c>
      <c r="I145" s="17" t="str">
        <f>IF($C145="","",IF(COUNTIFS('RAW_농산물_7월'!$D:$D,$C145,'RAW_농산물_7월'!$A:$A,$E145)&gt;0,"O",""))</f>
        <v/>
      </c>
      <c r="J145" s="17" t="str">
        <f>IF($C145="","",IF(COUNTIFS('RAW_농산물_8월'!$D:$D,$C145,'RAW_농산물_8월'!$A:$A,$E145)&gt;0,"O",""))</f>
        <v/>
      </c>
      <c r="K145" s="17" t="str">
        <f>IF($C145="","",IF(COUNTIFS('RAW_농산물_9월'!$D:$D,$C145,'RAW_농산물_9월'!$A:$A,$E145)&gt;0,"O",""))</f>
        <v/>
      </c>
      <c r="L145" s="17" t="str">
        <f>IF($C145="","",IF(COUNTIFS('RAW_농산물_10월'!$D:$D,$C145,'RAW_농산물_10월'!$A:$A,$E145)&gt;0,"O",""))</f>
        <v/>
      </c>
      <c r="M145" s="17" t="str">
        <f>IF($C145="","",IF(COUNTIFS('RAW_농산물_11-12월'!$D:$D,$C145,'RAW_농산물_11-12월'!$A:$A,$E145)&gt;0,"O",""))</f>
        <v/>
      </c>
      <c r="N145" s="7">
        <f>IF($C145="","",IF(COUNTA('RAW_농산물_7월'!$A:$A)&lt;=1,"",SUMIFS('RAW_농산물_7월'!$H:$H,'RAW_농산물_7월'!$D:$D,$C145,'RAW_농산물_7월'!$A:$A,$E145)))</f>
        <v>0</v>
      </c>
      <c r="O145" s="7">
        <f>IF($C145="","",IF(COUNTA('RAW_농산물_8월'!$A:$A)&lt;=1,"",SUMIFS('RAW_농산물_8월'!$H:$H,'RAW_농산물_8월'!$D:$D,$C145,'RAW_농산물_8월'!$A:$A,$E145)-SUMIFS('RAW_농산물_7월'!$H:$H,'RAW_농산물_7월'!$D:$D,$C145,'RAW_농산물_7월'!$A:$A,$E145)))</f>
        <v>0</v>
      </c>
      <c r="P145" s="7" t="str">
        <f>IF($C145="","",IF(COUNTA('RAW_농산물_9월'!$A:$A)&lt;=1,"",SUMIFS('RAW_농산물_9월'!$H:$H,'RAW_농산물_9월'!$D:$D,$C145,'RAW_농산물_9월'!$A:$A,$E145)-SUMIFS('RAW_농산물_8월'!$H:$H,'RAW_농산물_8월'!$D:$D,$C145,'RAW_농산물_8월'!$A:$A,$E145)))</f>
        <v/>
      </c>
      <c r="Q145" s="7" t="str">
        <f>IF($C145="","",IF(COUNTA('RAW_농산물_10월'!$A:$A)&lt;=1,"",SUMIFS('RAW_농산물_10월'!$H:$H,'RAW_농산물_10월'!$D:$D,$C145,'RAW_농산물_10월'!$A:$A,$E145)-SUMIFS('RAW_농산물_9월'!$H:$H,'RAW_농산물_9월'!$D:$D,$C145,'RAW_농산물_9월'!$A:$A,$E145)))</f>
        <v/>
      </c>
      <c r="R145" s="7" t="str">
        <f>IF($C145="","",IF(COUNTA('RAW_농산물_11-12월'!$A:$A)&lt;=1,"",SUMIFS('RAW_농산물_11-12월'!$H:$H,'RAW_농산물_11-12월'!$D:$D,$C145,'RAW_농산물_11-12월'!$A:$A,$E145)-SUMIFS('RAW_농산물_10월'!$H:$H,'RAW_농산물_10월'!$D:$D,$C145,'RAW_농산물_10월'!$A:$A,$E145)))</f>
        <v/>
      </c>
      <c r="S145" s="17" t="str">
        <f t="shared" si="4"/>
        <v/>
      </c>
      <c r="T145" s="17" t="str">
        <f t="shared" si="5"/>
        <v>미사용</v>
      </c>
      <c r="U145" s="7">
        <f>IF($C145="",0,IF('설정'!$B$3=0,0,CHOOSE('설정'!$B$3,COUNTIFS('RAW_농산물_7월'!$D:$D,$C145,'RAW_농산물_7월'!$A:$A,$E145),COUNTIFS('RAW_농산물_8월'!$D:$D,$C145,'RAW_농산물_8월'!$A:$A,$E145),COUNTIFS('RAW_농산물_9월'!$D:$D,$C145,'RAW_농산물_9월'!$A:$A,$E145),COUNTIFS('RAW_농산물_10월'!$D:$D,$C145,'RAW_농산물_10월'!$A:$A,$E145),COUNTIFS('RAW_농산물_11-12월'!$D:$D,$C145,'RAW_농산물_11-12월'!$A:$A,$E145))))</f>
        <v>0</v>
      </c>
    </row>
    <row r="146" ht="15.75" customHeight="1">
      <c r="A146" s="5">
        <v>144.0</v>
      </c>
      <c r="B146" s="5" t="s">
        <v>108</v>
      </c>
      <c r="C146" s="5" t="s">
        <v>1273</v>
      </c>
      <c r="D146" s="6" t="s">
        <v>1272</v>
      </c>
      <c r="E146" s="5" t="s">
        <v>94</v>
      </c>
      <c r="F146" s="7">
        <f>IF($C146="","",IF('설정'!$B$3=0,"",CHOOSE('설정'!$B$3,SUMIFS('RAW_농산물_7월'!$F:$F,'RAW_농산물_7월'!$D:$D,$C146,'RAW_농산물_7월'!$A:$A,$E146),SUMIFS('RAW_농산물_8월'!$F:$F,'RAW_농산물_8월'!$D:$D,$C146,'RAW_농산물_8월'!$A:$A,$E146),SUMIFS('RAW_농산물_9월'!$F:$F,'RAW_농산물_9월'!$D:$D,$C146,'RAW_농산물_9월'!$A:$A,$E146),SUMIFS('RAW_농산물_10월'!$F:$F,'RAW_농산물_10월'!$D:$D,$C146,'RAW_농산물_10월'!$A:$A,$E146),SUMIFS('RAW_농산물_11-12월'!$F:$F,'RAW_농산물_11-12월'!$D:$D,$C146,'RAW_농산물_11-12월'!$A:$A,$E146))))</f>
        <v>17</v>
      </c>
      <c r="G146" s="7">
        <f>IF($C146="","",IF('설정'!$B$3=0,"",CHOOSE('설정'!$B$3,SUMIFS('RAW_농산물_7월'!$G:$G,'RAW_농산물_7월'!$D:$D,$C146,'RAW_농산물_7월'!$A:$A,$E146),SUMIFS('RAW_농산물_8월'!$G:$G,'RAW_농산물_8월'!$D:$D,$C146,'RAW_농산물_8월'!$A:$A,$E146),SUMIFS('RAW_농산물_9월'!$G:$G,'RAW_농산물_9월'!$D:$D,$C146,'RAW_농산물_9월'!$A:$A,$E146),SUMIFS('RAW_농산물_10월'!$G:$G,'RAW_농산물_10월'!$D:$D,$C146,'RAW_농산물_10월'!$A:$A,$E146),SUMIFS('RAW_농산물_11-12월'!$G:$G,'RAW_농산물_11-12월'!$D:$D,$C146,'RAW_농산물_11-12월'!$A:$A,$E146))))</f>
        <v>418000</v>
      </c>
      <c r="H146" s="14">
        <f>IF($C146="","",IF('설정'!$B$3=0,"",CHOOSE('설정'!$B$3,SUMIFS('RAW_농산물_7월'!$H:$H,'RAW_농산물_7월'!$D:$D,$C146,'RAW_농산물_7월'!$A:$A,$E146),SUMIFS('RAW_농산물_8월'!$H:$H,'RAW_농산물_8월'!$D:$D,$C146,'RAW_농산물_8월'!$A:$A,$E146),SUMIFS('RAW_농산물_9월'!$H:$H,'RAW_농산물_9월'!$D:$D,$C146,'RAW_농산물_9월'!$A:$A,$E146),SUMIFS('RAW_농산물_10월'!$H:$H,'RAW_농산물_10월'!$D:$D,$C146,'RAW_농산물_10월'!$A:$A,$E146),SUMIFS('RAW_농산물_11-12월'!$H:$H,'RAW_농산물_11-12월'!$D:$D,$C146,'RAW_농산물_11-12월'!$A:$A,$E146))))</f>
        <v>58680</v>
      </c>
      <c r="I146" s="17" t="str">
        <f>IF($C146="","",IF(COUNTIFS('RAW_농산물_7월'!$D:$D,$C146,'RAW_농산물_7월'!$A:$A,$E146)&gt;0,"O",""))</f>
        <v>O</v>
      </c>
      <c r="J146" s="17" t="str">
        <f>IF($C146="","",IF(COUNTIFS('RAW_농산물_8월'!$D:$D,$C146,'RAW_농산물_8월'!$A:$A,$E146)&gt;0,"O",""))</f>
        <v>O</v>
      </c>
      <c r="K146" s="17" t="str">
        <f>IF($C146="","",IF(COUNTIFS('RAW_농산물_9월'!$D:$D,$C146,'RAW_농산물_9월'!$A:$A,$E146)&gt;0,"O",""))</f>
        <v/>
      </c>
      <c r="L146" s="17" t="str">
        <f>IF($C146="","",IF(COUNTIFS('RAW_농산물_10월'!$D:$D,$C146,'RAW_농산물_10월'!$A:$A,$E146)&gt;0,"O",""))</f>
        <v/>
      </c>
      <c r="M146" s="17" t="str">
        <f>IF($C146="","",IF(COUNTIFS('RAW_농산물_11-12월'!$D:$D,$C146,'RAW_농산물_11-12월'!$A:$A,$E146)&gt;0,"O",""))</f>
        <v/>
      </c>
      <c r="N146" s="7">
        <f>IF($C146="","",IF(COUNTA('RAW_농산물_7월'!$A:$A)&lt;=1,"",SUMIFS('RAW_농산물_7월'!$H:$H,'RAW_농산물_7월'!$D:$D,$C146,'RAW_농산물_7월'!$A:$A,$E146)))</f>
        <v>17800</v>
      </c>
      <c r="O146" s="7">
        <f>IF($C146="","",IF(COUNTA('RAW_농산물_8월'!$A:$A)&lt;=1,"",SUMIFS('RAW_농산물_8월'!$H:$H,'RAW_농산물_8월'!$D:$D,$C146,'RAW_농산물_8월'!$A:$A,$E146)-SUMIFS('RAW_농산물_7월'!$H:$H,'RAW_농산물_7월'!$D:$D,$C146,'RAW_농산물_7월'!$A:$A,$E146)))</f>
        <v>40880</v>
      </c>
      <c r="P146" s="7" t="str">
        <f>IF($C146="","",IF(COUNTA('RAW_농산물_9월'!$A:$A)&lt;=1,"",SUMIFS('RAW_농산물_9월'!$H:$H,'RAW_농산물_9월'!$D:$D,$C146,'RAW_농산물_9월'!$A:$A,$E146)-SUMIFS('RAW_농산물_8월'!$H:$H,'RAW_농산물_8월'!$D:$D,$C146,'RAW_농산물_8월'!$A:$A,$E146)))</f>
        <v/>
      </c>
      <c r="Q146" s="7" t="str">
        <f>IF($C146="","",IF(COUNTA('RAW_농산물_10월'!$A:$A)&lt;=1,"",SUMIFS('RAW_농산물_10월'!$H:$H,'RAW_농산물_10월'!$D:$D,$C146,'RAW_농산물_10월'!$A:$A,$E146)-SUMIFS('RAW_농산물_9월'!$H:$H,'RAW_농산물_9월'!$D:$D,$C146,'RAW_농산물_9월'!$A:$A,$E146)))</f>
        <v/>
      </c>
      <c r="R146" s="7" t="str">
        <f>IF($C146="","",IF(COUNTA('RAW_농산물_11-12월'!$A:$A)&lt;=1,"",SUMIFS('RAW_농산물_11-12월'!$H:$H,'RAW_농산물_11-12월'!$D:$D,$C146,'RAW_농산물_11-12월'!$A:$A,$E146)-SUMIFS('RAW_농산물_10월'!$H:$H,'RAW_농산물_10월'!$D:$D,$C146,'RAW_농산물_10월'!$A:$A,$E146)))</f>
        <v/>
      </c>
      <c r="S146" s="17" t="str">
        <f t="shared" si="4"/>
        <v>O</v>
      </c>
      <c r="T146" s="17" t="str">
        <f t="shared" si="5"/>
        <v>50만원 미만</v>
      </c>
      <c r="U146" s="7">
        <f>IF($C146="",0,IF('설정'!$B$3=0,0,CHOOSE('설정'!$B$3,COUNTIFS('RAW_농산물_7월'!$D:$D,$C146,'RAW_농산물_7월'!$A:$A,$E146),COUNTIFS('RAW_농산물_8월'!$D:$D,$C146,'RAW_농산물_8월'!$A:$A,$E146),COUNTIFS('RAW_농산물_9월'!$D:$D,$C146,'RAW_농산물_9월'!$A:$A,$E146),COUNTIFS('RAW_농산물_10월'!$D:$D,$C146,'RAW_농산물_10월'!$A:$A,$E146),COUNTIFS('RAW_농산물_11-12월'!$D:$D,$C146,'RAW_농산물_11-12월'!$A:$A,$E146))))</f>
        <v>1</v>
      </c>
    </row>
    <row r="147" ht="15.75" customHeight="1">
      <c r="A147" s="5">
        <v>145.0</v>
      </c>
      <c r="B147" s="5" t="s">
        <v>25</v>
      </c>
      <c r="C147" s="5" t="s">
        <v>2967</v>
      </c>
      <c r="D147" s="6" t="s">
        <v>2968</v>
      </c>
      <c r="E147" s="5" t="s">
        <v>94</v>
      </c>
      <c r="F147" s="7">
        <f>IF($C147="","",IF('설정'!$B$3=0,"",CHOOSE('설정'!$B$3,SUMIFS('RAW_농산물_7월'!$F:$F,'RAW_농산물_7월'!$D:$D,$C147,'RAW_농산물_7월'!$A:$A,$E147),SUMIFS('RAW_농산물_8월'!$F:$F,'RAW_농산물_8월'!$D:$D,$C147,'RAW_농산물_8월'!$A:$A,$E147),SUMIFS('RAW_농산물_9월'!$F:$F,'RAW_농산물_9월'!$D:$D,$C147,'RAW_농산물_9월'!$A:$A,$E147),SUMIFS('RAW_농산물_10월'!$F:$F,'RAW_농산물_10월'!$D:$D,$C147,'RAW_농산물_10월'!$A:$A,$E147),SUMIFS('RAW_농산물_11-12월'!$F:$F,'RAW_농산물_11-12월'!$D:$D,$C147,'RAW_농산물_11-12월'!$A:$A,$E147))))</f>
        <v>0</v>
      </c>
      <c r="G147" s="7">
        <f>IF($C147="","",IF('설정'!$B$3=0,"",CHOOSE('설정'!$B$3,SUMIFS('RAW_농산물_7월'!$G:$G,'RAW_농산물_7월'!$D:$D,$C147,'RAW_농산물_7월'!$A:$A,$E147),SUMIFS('RAW_농산물_8월'!$G:$G,'RAW_농산물_8월'!$D:$D,$C147,'RAW_농산물_8월'!$A:$A,$E147),SUMIFS('RAW_농산물_9월'!$G:$G,'RAW_농산물_9월'!$D:$D,$C147,'RAW_농산물_9월'!$A:$A,$E147),SUMIFS('RAW_농산물_10월'!$G:$G,'RAW_농산물_10월'!$D:$D,$C147,'RAW_농산물_10월'!$A:$A,$E147),SUMIFS('RAW_농산물_11-12월'!$G:$G,'RAW_농산물_11-12월'!$D:$D,$C147,'RAW_농산물_11-12월'!$A:$A,$E147))))</f>
        <v>0</v>
      </c>
      <c r="H147" s="14">
        <f>IF($C147="","",IF('설정'!$B$3=0,"",CHOOSE('설정'!$B$3,SUMIFS('RAW_농산물_7월'!$H:$H,'RAW_농산물_7월'!$D:$D,$C147,'RAW_농산물_7월'!$A:$A,$E147),SUMIFS('RAW_농산물_8월'!$H:$H,'RAW_농산물_8월'!$D:$D,$C147,'RAW_농산물_8월'!$A:$A,$E147),SUMIFS('RAW_농산물_9월'!$H:$H,'RAW_농산물_9월'!$D:$D,$C147,'RAW_농산물_9월'!$A:$A,$E147),SUMIFS('RAW_농산물_10월'!$H:$H,'RAW_농산물_10월'!$D:$D,$C147,'RAW_농산물_10월'!$A:$A,$E147),SUMIFS('RAW_농산물_11-12월'!$H:$H,'RAW_농산물_11-12월'!$D:$D,$C147,'RAW_농산물_11-12월'!$A:$A,$E147))))</f>
        <v>0</v>
      </c>
      <c r="I147" s="17" t="str">
        <f>IF($C147="","",IF(COUNTIFS('RAW_농산물_7월'!$D:$D,$C147,'RAW_농산물_7월'!$A:$A,$E147)&gt;0,"O",""))</f>
        <v/>
      </c>
      <c r="J147" s="17" t="str">
        <f>IF($C147="","",IF(COUNTIFS('RAW_농산물_8월'!$D:$D,$C147,'RAW_농산물_8월'!$A:$A,$E147)&gt;0,"O",""))</f>
        <v/>
      </c>
      <c r="K147" s="17" t="str">
        <f>IF($C147="","",IF(COUNTIFS('RAW_농산물_9월'!$D:$D,$C147,'RAW_농산물_9월'!$A:$A,$E147)&gt;0,"O",""))</f>
        <v/>
      </c>
      <c r="L147" s="17" t="str">
        <f>IF($C147="","",IF(COUNTIFS('RAW_농산물_10월'!$D:$D,$C147,'RAW_농산물_10월'!$A:$A,$E147)&gt;0,"O",""))</f>
        <v/>
      </c>
      <c r="M147" s="17" t="str">
        <f>IF($C147="","",IF(COUNTIFS('RAW_농산물_11-12월'!$D:$D,$C147,'RAW_농산물_11-12월'!$A:$A,$E147)&gt;0,"O",""))</f>
        <v/>
      </c>
      <c r="N147" s="7">
        <f>IF($C147="","",IF(COUNTA('RAW_농산물_7월'!$A:$A)&lt;=1,"",SUMIFS('RAW_농산물_7월'!$H:$H,'RAW_농산물_7월'!$D:$D,$C147,'RAW_농산물_7월'!$A:$A,$E147)))</f>
        <v>0</v>
      </c>
      <c r="O147" s="7">
        <f>IF($C147="","",IF(COUNTA('RAW_농산물_8월'!$A:$A)&lt;=1,"",SUMIFS('RAW_농산물_8월'!$H:$H,'RAW_농산물_8월'!$D:$D,$C147,'RAW_농산물_8월'!$A:$A,$E147)-SUMIFS('RAW_농산물_7월'!$H:$H,'RAW_농산물_7월'!$D:$D,$C147,'RAW_농산물_7월'!$A:$A,$E147)))</f>
        <v>0</v>
      </c>
      <c r="P147" s="7" t="str">
        <f>IF($C147="","",IF(COUNTA('RAW_농산물_9월'!$A:$A)&lt;=1,"",SUMIFS('RAW_농산물_9월'!$H:$H,'RAW_농산물_9월'!$D:$D,$C147,'RAW_농산물_9월'!$A:$A,$E147)-SUMIFS('RAW_농산물_8월'!$H:$H,'RAW_농산물_8월'!$D:$D,$C147,'RAW_농산물_8월'!$A:$A,$E147)))</f>
        <v/>
      </c>
      <c r="Q147" s="7" t="str">
        <f>IF($C147="","",IF(COUNTA('RAW_농산물_10월'!$A:$A)&lt;=1,"",SUMIFS('RAW_농산물_10월'!$H:$H,'RAW_농산물_10월'!$D:$D,$C147,'RAW_농산물_10월'!$A:$A,$E147)-SUMIFS('RAW_농산물_9월'!$H:$H,'RAW_농산물_9월'!$D:$D,$C147,'RAW_농산물_9월'!$A:$A,$E147)))</f>
        <v/>
      </c>
      <c r="R147" s="7" t="str">
        <f>IF($C147="","",IF(COUNTA('RAW_농산물_11-12월'!$A:$A)&lt;=1,"",SUMIFS('RAW_농산물_11-12월'!$H:$H,'RAW_농산물_11-12월'!$D:$D,$C147,'RAW_농산물_11-12월'!$A:$A,$E147)-SUMIFS('RAW_농산물_10월'!$H:$H,'RAW_농산물_10월'!$D:$D,$C147,'RAW_농산물_10월'!$A:$A,$E147)))</f>
        <v/>
      </c>
      <c r="S147" s="17" t="str">
        <f t="shared" si="4"/>
        <v/>
      </c>
      <c r="T147" s="17" t="str">
        <f t="shared" si="5"/>
        <v>미사용</v>
      </c>
      <c r="U147" s="7">
        <f>IF($C147="",0,IF('설정'!$B$3=0,0,CHOOSE('설정'!$B$3,COUNTIFS('RAW_농산물_7월'!$D:$D,$C147,'RAW_농산물_7월'!$A:$A,$E147),COUNTIFS('RAW_농산물_8월'!$D:$D,$C147,'RAW_농산물_8월'!$A:$A,$E147),COUNTIFS('RAW_농산물_9월'!$D:$D,$C147,'RAW_농산물_9월'!$A:$A,$E147),COUNTIFS('RAW_농산물_10월'!$D:$D,$C147,'RAW_농산물_10월'!$A:$A,$E147),COUNTIFS('RAW_농산물_11-12월'!$D:$D,$C147,'RAW_농산물_11-12월'!$A:$A,$E147))))</f>
        <v>0</v>
      </c>
    </row>
    <row r="148" ht="15.75" customHeight="1">
      <c r="A148" s="5">
        <v>146.0</v>
      </c>
      <c r="B148" s="5" t="s">
        <v>108</v>
      </c>
      <c r="C148" s="5" t="s">
        <v>2186</v>
      </c>
      <c r="D148" s="6" t="s">
        <v>2185</v>
      </c>
      <c r="E148" s="5" t="s">
        <v>92</v>
      </c>
      <c r="F148" s="7">
        <f>IF($C148="","",IF('설정'!$B$3=0,"",CHOOSE('설정'!$B$3,SUMIFS('RAW_농산물_7월'!$F:$F,'RAW_농산물_7월'!$D:$D,$C148,'RAW_농산물_7월'!$A:$A,$E148),SUMIFS('RAW_농산물_8월'!$F:$F,'RAW_농산물_8월'!$D:$D,$C148,'RAW_농산물_8월'!$A:$A,$E148),SUMIFS('RAW_농산물_9월'!$F:$F,'RAW_농산물_9월'!$D:$D,$C148,'RAW_농산물_9월'!$A:$A,$E148),SUMIFS('RAW_농산물_10월'!$F:$F,'RAW_농산물_10월'!$D:$D,$C148,'RAW_농산물_10월'!$A:$A,$E148),SUMIFS('RAW_농산물_11-12월'!$F:$F,'RAW_농산물_11-12월'!$D:$D,$C148,'RAW_농산물_11-12월'!$A:$A,$E148))))</f>
        <v>1</v>
      </c>
      <c r="G148" s="7">
        <f>IF($C148="","",IF('설정'!$B$3=0,"",CHOOSE('설정'!$B$3,SUMIFS('RAW_농산물_7월'!$G:$G,'RAW_농산물_7월'!$D:$D,$C148,'RAW_농산물_7월'!$A:$A,$E148),SUMIFS('RAW_농산물_8월'!$G:$G,'RAW_농산물_8월'!$D:$D,$C148,'RAW_농산물_8월'!$A:$A,$E148),SUMIFS('RAW_농산물_9월'!$G:$G,'RAW_농산물_9월'!$D:$D,$C148,'RAW_농산물_9월'!$A:$A,$E148),SUMIFS('RAW_농산물_10월'!$G:$G,'RAW_농산물_10월'!$D:$D,$C148,'RAW_농산물_10월'!$A:$A,$E148),SUMIFS('RAW_농산물_11-12월'!$G:$G,'RAW_농산물_11-12월'!$D:$D,$C148,'RAW_농산물_11-12월'!$A:$A,$E148))))</f>
        <v>40000</v>
      </c>
      <c r="H148" s="14">
        <f>IF($C148="","",IF('설정'!$B$3=0,"",CHOOSE('설정'!$B$3,SUMIFS('RAW_농산물_7월'!$H:$H,'RAW_농산물_7월'!$D:$D,$C148,'RAW_농산물_7월'!$A:$A,$E148),SUMIFS('RAW_농산물_8월'!$H:$H,'RAW_농산물_8월'!$D:$D,$C148,'RAW_농산물_8월'!$A:$A,$E148),SUMIFS('RAW_농산물_9월'!$H:$H,'RAW_농산물_9월'!$D:$D,$C148,'RAW_농산물_9월'!$A:$A,$E148),SUMIFS('RAW_농산물_10월'!$H:$H,'RAW_농산물_10월'!$D:$D,$C148,'RAW_농산물_10월'!$A:$A,$E148),SUMIFS('RAW_농산물_11-12월'!$H:$H,'RAW_농산물_11-12월'!$D:$D,$C148,'RAW_농산물_11-12월'!$A:$A,$E148))))</f>
        <v>8000</v>
      </c>
      <c r="I148" s="17" t="str">
        <f>IF($C148="","",IF(COUNTIFS('RAW_농산물_7월'!$D:$D,$C148,'RAW_농산물_7월'!$A:$A,$E148)&gt;0,"O",""))</f>
        <v/>
      </c>
      <c r="J148" s="17" t="str">
        <f>IF($C148="","",IF(COUNTIFS('RAW_농산물_8월'!$D:$D,$C148,'RAW_농산물_8월'!$A:$A,$E148)&gt;0,"O",""))</f>
        <v>O</v>
      </c>
      <c r="K148" s="17" t="str">
        <f>IF($C148="","",IF(COUNTIFS('RAW_농산물_9월'!$D:$D,$C148,'RAW_농산물_9월'!$A:$A,$E148)&gt;0,"O",""))</f>
        <v/>
      </c>
      <c r="L148" s="17" t="str">
        <f>IF($C148="","",IF(COUNTIFS('RAW_농산물_10월'!$D:$D,$C148,'RAW_농산물_10월'!$A:$A,$E148)&gt;0,"O",""))</f>
        <v/>
      </c>
      <c r="M148" s="17" t="str">
        <f>IF($C148="","",IF(COUNTIFS('RAW_농산물_11-12월'!$D:$D,$C148,'RAW_농산물_11-12월'!$A:$A,$E148)&gt;0,"O",""))</f>
        <v/>
      </c>
      <c r="N148" s="7">
        <f>IF($C148="","",IF(COUNTA('RAW_농산물_7월'!$A:$A)&lt;=1,"",SUMIFS('RAW_농산물_7월'!$H:$H,'RAW_농산물_7월'!$D:$D,$C148,'RAW_농산물_7월'!$A:$A,$E148)))</f>
        <v>0</v>
      </c>
      <c r="O148" s="7">
        <f>IF($C148="","",IF(COUNTA('RAW_농산물_8월'!$A:$A)&lt;=1,"",SUMIFS('RAW_농산물_8월'!$H:$H,'RAW_농산물_8월'!$D:$D,$C148,'RAW_농산물_8월'!$A:$A,$E148)-SUMIFS('RAW_농산물_7월'!$H:$H,'RAW_농산물_7월'!$D:$D,$C148,'RAW_농산물_7월'!$A:$A,$E148)))</f>
        <v>8000</v>
      </c>
      <c r="P148" s="7" t="str">
        <f>IF($C148="","",IF(COUNTA('RAW_농산물_9월'!$A:$A)&lt;=1,"",SUMIFS('RAW_농산물_9월'!$H:$H,'RAW_농산물_9월'!$D:$D,$C148,'RAW_농산물_9월'!$A:$A,$E148)-SUMIFS('RAW_농산물_8월'!$H:$H,'RAW_농산물_8월'!$D:$D,$C148,'RAW_농산물_8월'!$A:$A,$E148)))</f>
        <v/>
      </c>
      <c r="Q148" s="7" t="str">
        <f>IF($C148="","",IF(COUNTA('RAW_농산물_10월'!$A:$A)&lt;=1,"",SUMIFS('RAW_농산물_10월'!$H:$H,'RAW_농산물_10월'!$D:$D,$C148,'RAW_농산물_10월'!$A:$A,$E148)-SUMIFS('RAW_농산물_9월'!$H:$H,'RAW_농산물_9월'!$D:$D,$C148,'RAW_농산물_9월'!$A:$A,$E148)))</f>
        <v/>
      </c>
      <c r="R148" s="7" t="str">
        <f>IF($C148="","",IF(COUNTA('RAW_농산물_11-12월'!$A:$A)&lt;=1,"",SUMIFS('RAW_농산물_11-12월'!$H:$H,'RAW_농산물_11-12월'!$D:$D,$C148,'RAW_농산물_11-12월'!$A:$A,$E148)-SUMIFS('RAW_농산물_10월'!$H:$H,'RAW_농산물_10월'!$D:$D,$C148,'RAW_농산물_10월'!$A:$A,$E148)))</f>
        <v/>
      </c>
      <c r="S148" s="17" t="str">
        <f t="shared" si="4"/>
        <v>O</v>
      </c>
      <c r="T148" s="17" t="str">
        <f t="shared" si="5"/>
        <v>50만원 미만</v>
      </c>
      <c r="U148" s="7">
        <f>IF($C148="",0,IF('설정'!$B$3=0,0,CHOOSE('설정'!$B$3,COUNTIFS('RAW_농산물_7월'!$D:$D,$C148,'RAW_농산물_7월'!$A:$A,$E148),COUNTIFS('RAW_농산물_8월'!$D:$D,$C148,'RAW_농산물_8월'!$A:$A,$E148),COUNTIFS('RAW_농산물_9월'!$D:$D,$C148,'RAW_농산물_9월'!$A:$A,$E148),COUNTIFS('RAW_농산물_10월'!$D:$D,$C148,'RAW_농산물_10월'!$A:$A,$E148),COUNTIFS('RAW_농산물_11-12월'!$D:$D,$C148,'RAW_농산물_11-12월'!$A:$A,$E148))))</f>
        <v>17</v>
      </c>
    </row>
    <row r="149" ht="15.75" customHeight="1">
      <c r="A149" s="5">
        <v>147.0</v>
      </c>
      <c r="B149" s="5" t="s">
        <v>145</v>
      </c>
      <c r="C149" s="5" t="s">
        <v>2130</v>
      </c>
      <c r="D149" s="6" t="s">
        <v>2129</v>
      </c>
      <c r="E149" s="5" t="s">
        <v>92</v>
      </c>
      <c r="F149" s="7">
        <f>IF($C149="","",IF('설정'!$B$3=0,"",CHOOSE('설정'!$B$3,SUMIFS('RAW_농산물_7월'!$F:$F,'RAW_농산물_7월'!$D:$D,$C149,'RAW_농산물_7월'!$A:$A,$E149),SUMIFS('RAW_농산물_8월'!$F:$F,'RAW_농산물_8월'!$D:$D,$C149,'RAW_농산물_8월'!$A:$A,$E149),SUMIFS('RAW_농산물_9월'!$F:$F,'RAW_농산물_9월'!$D:$D,$C149,'RAW_농산물_9월'!$A:$A,$E149),SUMIFS('RAW_농산물_10월'!$F:$F,'RAW_농산물_10월'!$D:$D,$C149,'RAW_농산물_10월'!$A:$A,$E149),SUMIFS('RAW_농산물_11-12월'!$F:$F,'RAW_농산물_11-12월'!$D:$D,$C149,'RAW_농산물_11-12월'!$A:$A,$E149))))</f>
        <v>0</v>
      </c>
      <c r="G149" s="7">
        <f>IF($C149="","",IF('설정'!$B$3=0,"",CHOOSE('설정'!$B$3,SUMIFS('RAW_농산물_7월'!$G:$G,'RAW_농산물_7월'!$D:$D,$C149,'RAW_농산물_7월'!$A:$A,$E149),SUMIFS('RAW_농산물_8월'!$G:$G,'RAW_농산물_8월'!$D:$D,$C149,'RAW_농산물_8월'!$A:$A,$E149),SUMIFS('RAW_농산물_9월'!$G:$G,'RAW_농산물_9월'!$D:$D,$C149,'RAW_농산물_9월'!$A:$A,$E149),SUMIFS('RAW_농산물_10월'!$G:$G,'RAW_농산물_10월'!$D:$D,$C149,'RAW_농산물_10월'!$A:$A,$E149),SUMIFS('RAW_농산물_11-12월'!$G:$G,'RAW_농산물_11-12월'!$D:$D,$C149,'RAW_농산물_11-12월'!$A:$A,$E149))))</f>
        <v>0</v>
      </c>
      <c r="H149" s="14">
        <f>IF($C149="","",IF('설정'!$B$3=0,"",CHOOSE('설정'!$B$3,SUMIFS('RAW_농산물_7월'!$H:$H,'RAW_농산물_7월'!$D:$D,$C149,'RAW_농산물_7월'!$A:$A,$E149),SUMIFS('RAW_농산물_8월'!$H:$H,'RAW_농산물_8월'!$D:$D,$C149,'RAW_농산물_8월'!$A:$A,$E149),SUMIFS('RAW_농산물_9월'!$H:$H,'RAW_농산물_9월'!$D:$D,$C149,'RAW_농산물_9월'!$A:$A,$E149),SUMIFS('RAW_농산물_10월'!$H:$H,'RAW_농산물_10월'!$D:$D,$C149,'RAW_농산물_10월'!$A:$A,$E149),SUMIFS('RAW_농산물_11-12월'!$H:$H,'RAW_농산물_11-12월'!$D:$D,$C149,'RAW_농산물_11-12월'!$A:$A,$E149))))</f>
        <v>0</v>
      </c>
      <c r="I149" s="17" t="str">
        <f>IF($C149="","",IF(COUNTIFS('RAW_농산물_7월'!$D:$D,$C149,'RAW_농산물_7월'!$A:$A,$E149)&gt;0,"O",""))</f>
        <v/>
      </c>
      <c r="J149" s="17" t="str">
        <f>IF($C149="","",IF(COUNTIFS('RAW_농산물_8월'!$D:$D,$C149,'RAW_농산물_8월'!$A:$A,$E149)&gt;0,"O",""))</f>
        <v>O</v>
      </c>
      <c r="K149" s="17" t="str">
        <f>IF($C149="","",IF(COUNTIFS('RAW_농산물_9월'!$D:$D,$C149,'RAW_농산물_9월'!$A:$A,$E149)&gt;0,"O",""))</f>
        <v/>
      </c>
      <c r="L149" s="17" t="str">
        <f>IF($C149="","",IF(COUNTIFS('RAW_농산물_10월'!$D:$D,$C149,'RAW_농산물_10월'!$A:$A,$E149)&gt;0,"O",""))</f>
        <v/>
      </c>
      <c r="M149" s="17" t="str">
        <f>IF($C149="","",IF(COUNTIFS('RAW_농산물_11-12월'!$D:$D,$C149,'RAW_농산물_11-12월'!$A:$A,$E149)&gt;0,"O",""))</f>
        <v/>
      </c>
      <c r="N149" s="7">
        <f>IF($C149="","",IF(COUNTA('RAW_농산물_7월'!$A:$A)&lt;=1,"",SUMIFS('RAW_농산물_7월'!$H:$H,'RAW_농산물_7월'!$D:$D,$C149,'RAW_농산물_7월'!$A:$A,$E149)))</f>
        <v>0</v>
      </c>
      <c r="O149" s="7">
        <f>IF($C149="","",IF(COUNTA('RAW_농산물_8월'!$A:$A)&lt;=1,"",SUMIFS('RAW_농산물_8월'!$H:$H,'RAW_농산물_8월'!$D:$D,$C149,'RAW_농산물_8월'!$A:$A,$E149)-SUMIFS('RAW_농산물_7월'!$H:$H,'RAW_농산물_7월'!$D:$D,$C149,'RAW_농산물_7월'!$A:$A,$E149)))</f>
        <v>0</v>
      </c>
      <c r="P149" s="7" t="str">
        <f>IF($C149="","",IF(COUNTA('RAW_농산물_9월'!$A:$A)&lt;=1,"",SUMIFS('RAW_농산물_9월'!$H:$H,'RAW_농산물_9월'!$D:$D,$C149,'RAW_농산물_9월'!$A:$A,$E149)-SUMIFS('RAW_농산물_8월'!$H:$H,'RAW_농산물_8월'!$D:$D,$C149,'RAW_농산물_8월'!$A:$A,$E149)))</f>
        <v/>
      </c>
      <c r="Q149" s="7" t="str">
        <f>IF($C149="","",IF(COUNTA('RAW_농산물_10월'!$A:$A)&lt;=1,"",SUMIFS('RAW_농산물_10월'!$H:$H,'RAW_농산물_10월'!$D:$D,$C149,'RAW_농산물_10월'!$A:$A,$E149)-SUMIFS('RAW_농산물_9월'!$H:$H,'RAW_농산물_9월'!$D:$D,$C149,'RAW_농산물_9월'!$A:$A,$E149)))</f>
        <v/>
      </c>
      <c r="R149" s="7" t="str">
        <f>IF($C149="","",IF(COUNTA('RAW_농산물_11-12월'!$A:$A)&lt;=1,"",SUMIFS('RAW_농산물_11-12월'!$H:$H,'RAW_농산물_11-12월'!$D:$D,$C149,'RAW_농산물_11-12월'!$A:$A,$E149)-SUMIFS('RAW_농산물_10월'!$H:$H,'RAW_농산물_10월'!$D:$D,$C149,'RAW_농산물_10월'!$A:$A,$E149)))</f>
        <v/>
      </c>
      <c r="S149" s="17" t="str">
        <f t="shared" si="4"/>
        <v>O</v>
      </c>
      <c r="T149" s="17" t="str">
        <f t="shared" si="5"/>
        <v>미사용</v>
      </c>
      <c r="U149" s="7">
        <f>IF($C149="",0,IF('설정'!$B$3=0,0,CHOOSE('설정'!$B$3,COUNTIFS('RAW_농산물_7월'!$D:$D,$C149,'RAW_농산물_7월'!$A:$A,$E149),COUNTIFS('RAW_농산물_8월'!$D:$D,$C149,'RAW_농산물_8월'!$A:$A,$E149),COUNTIFS('RAW_농산물_9월'!$D:$D,$C149,'RAW_농산물_9월'!$A:$A,$E149),COUNTIFS('RAW_농산물_10월'!$D:$D,$C149,'RAW_농산물_10월'!$A:$A,$E149),COUNTIFS('RAW_농산물_11-12월'!$D:$D,$C149,'RAW_농산물_11-12월'!$A:$A,$E149))))</f>
        <v>2</v>
      </c>
    </row>
    <row r="150" ht="15.75" customHeight="1">
      <c r="A150" s="5">
        <v>148.0</v>
      </c>
      <c r="B150" s="5" t="s">
        <v>108</v>
      </c>
      <c r="C150" s="5" t="s">
        <v>2969</v>
      </c>
      <c r="D150" s="6" t="s">
        <v>2970</v>
      </c>
      <c r="E150" s="5" t="s">
        <v>31</v>
      </c>
      <c r="F150" s="7">
        <f>IF($C150="","",IF('설정'!$B$3=0,"",CHOOSE('설정'!$B$3,SUMIFS('RAW_농산물_7월'!$F:$F,'RAW_농산물_7월'!$D:$D,$C150,'RAW_농산물_7월'!$A:$A,$E150),SUMIFS('RAW_농산물_8월'!$F:$F,'RAW_농산물_8월'!$D:$D,$C150,'RAW_농산물_8월'!$A:$A,$E150),SUMIFS('RAW_농산물_9월'!$F:$F,'RAW_농산물_9월'!$D:$D,$C150,'RAW_농산물_9월'!$A:$A,$E150),SUMIFS('RAW_농산물_10월'!$F:$F,'RAW_농산물_10월'!$D:$D,$C150,'RAW_농산물_10월'!$A:$A,$E150),SUMIFS('RAW_농산물_11-12월'!$F:$F,'RAW_농산물_11-12월'!$D:$D,$C150,'RAW_농산물_11-12월'!$A:$A,$E150))))</f>
        <v>0</v>
      </c>
      <c r="G150" s="7">
        <f>IF($C150="","",IF('설정'!$B$3=0,"",CHOOSE('설정'!$B$3,SUMIFS('RAW_농산물_7월'!$G:$G,'RAW_농산물_7월'!$D:$D,$C150,'RAW_농산물_7월'!$A:$A,$E150),SUMIFS('RAW_농산물_8월'!$G:$G,'RAW_농산물_8월'!$D:$D,$C150,'RAW_농산물_8월'!$A:$A,$E150),SUMIFS('RAW_농산물_9월'!$G:$G,'RAW_농산물_9월'!$D:$D,$C150,'RAW_농산물_9월'!$A:$A,$E150),SUMIFS('RAW_농산물_10월'!$G:$G,'RAW_농산물_10월'!$D:$D,$C150,'RAW_농산물_10월'!$A:$A,$E150),SUMIFS('RAW_농산물_11-12월'!$G:$G,'RAW_농산물_11-12월'!$D:$D,$C150,'RAW_농산물_11-12월'!$A:$A,$E150))))</f>
        <v>0</v>
      </c>
      <c r="H150" s="14">
        <f>IF($C150="","",IF('설정'!$B$3=0,"",CHOOSE('설정'!$B$3,SUMIFS('RAW_농산물_7월'!$H:$H,'RAW_농산물_7월'!$D:$D,$C150,'RAW_농산물_7월'!$A:$A,$E150),SUMIFS('RAW_농산물_8월'!$H:$H,'RAW_농산물_8월'!$D:$D,$C150,'RAW_농산물_8월'!$A:$A,$E150),SUMIFS('RAW_농산물_9월'!$H:$H,'RAW_농산물_9월'!$D:$D,$C150,'RAW_농산물_9월'!$A:$A,$E150),SUMIFS('RAW_농산물_10월'!$H:$H,'RAW_농산물_10월'!$D:$D,$C150,'RAW_농산물_10월'!$A:$A,$E150),SUMIFS('RAW_농산물_11-12월'!$H:$H,'RAW_농산물_11-12월'!$D:$D,$C150,'RAW_농산물_11-12월'!$A:$A,$E150))))</f>
        <v>0</v>
      </c>
      <c r="I150" s="17" t="str">
        <f>IF($C150="","",IF(COUNTIFS('RAW_농산물_7월'!$D:$D,$C150,'RAW_농산물_7월'!$A:$A,$E150)&gt;0,"O",""))</f>
        <v/>
      </c>
      <c r="J150" s="17" t="str">
        <f>IF($C150="","",IF(COUNTIFS('RAW_농산물_8월'!$D:$D,$C150,'RAW_농산물_8월'!$A:$A,$E150)&gt;0,"O",""))</f>
        <v/>
      </c>
      <c r="K150" s="17" t="str">
        <f>IF($C150="","",IF(COUNTIFS('RAW_농산물_9월'!$D:$D,$C150,'RAW_농산물_9월'!$A:$A,$E150)&gt;0,"O",""))</f>
        <v/>
      </c>
      <c r="L150" s="17" t="str">
        <f>IF($C150="","",IF(COUNTIFS('RAW_농산물_10월'!$D:$D,$C150,'RAW_농산물_10월'!$A:$A,$E150)&gt;0,"O",""))</f>
        <v/>
      </c>
      <c r="M150" s="17" t="str">
        <f>IF($C150="","",IF(COUNTIFS('RAW_농산물_11-12월'!$D:$D,$C150,'RAW_농산물_11-12월'!$A:$A,$E150)&gt;0,"O",""))</f>
        <v/>
      </c>
      <c r="N150" s="7">
        <f>IF($C150="","",IF(COUNTA('RAW_농산물_7월'!$A:$A)&lt;=1,"",SUMIFS('RAW_농산물_7월'!$H:$H,'RAW_농산물_7월'!$D:$D,$C150,'RAW_농산물_7월'!$A:$A,$E150)))</f>
        <v>0</v>
      </c>
      <c r="O150" s="7">
        <f>IF($C150="","",IF(COUNTA('RAW_농산물_8월'!$A:$A)&lt;=1,"",SUMIFS('RAW_농산물_8월'!$H:$H,'RAW_농산물_8월'!$D:$D,$C150,'RAW_농산물_8월'!$A:$A,$E150)-SUMIFS('RAW_농산물_7월'!$H:$H,'RAW_농산물_7월'!$D:$D,$C150,'RAW_농산물_7월'!$A:$A,$E150)))</f>
        <v>0</v>
      </c>
      <c r="P150" s="7" t="str">
        <f>IF($C150="","",IF(COUNTA('RAW_농산물_9월'!$A:$A)&lt;=1,"",SUMIFS('RAW_농산물_9월'!$H:$H,'RAW_농산물_9월'!$D:$D,$C150,'RAW_농산물_9월'!$A:$A,$E150)-SUMIFS('RAW_농산물_8월'!$H:$H,'RAW_농산물_8월'!$D:$D,$C150,'RAW_농산물_8월'!$A:$A,$E150)))</f>
        <v/>
      </c>
      <c r="Q150" s="7" t="str">
        <f>IF($C150="","",IF(COUNTA('RAW_농산물_10월'!$A:$A)&lt;=1,"",SUMIFS('RAW_농산물_10월'!$H:$H,'RAW_농산물_10월'!$D:$D,$C150,'RAW_농산물_10월'!$A:$A,$E150)-SUMIFS('RAW_농산물_9월'!$H:$H,'RAW_농산물_9월'!$D:$D,$C150,'RAW_농산물_9월'!$A:$A,$E150)))</f>
        <v/>
      </c>
      <c r="R150" s="7" t="str">
        <f>IF($C150="","",IF(COUNTA('RAW_농산물_11-12월'!$A:$A)&lt;=1,"",SUMIFS('RAW_농산물_11-12월'!$H:$H,'RAW_농산물_11-12월'!$D:$D,$C150,'RAW_농산물_11-12월'!$A:$A,$E150)-SUMIFS('RAW_농산물_10월'!$H:$H,'RAW_농산물_10월'!$D:$D,$C150,'RAW_농산물_10월'!$A:$A,$E150)))</f>
        <v/>
      </c>
      <c r="S150" s="17" t="str">
        <f t="shared" si="4"/>
        <v/>
      </c>
      <c r="T150" s="17" t="str">
        <f t="shared" si="5"/>
        <v>미사용</v>
      </c>
      <c r="U150" s="7">
        <f>IF($C150="",0,IF('설정'!$B$3=0,0,CHOOSE('설정'!$B$3,COUNTIFS('RAW_농산물_7월'!$D:$D,$C150,'RAW_농산물_7월'!$A:$A,$E150),COUNTIFS('RAW_농산물_8월'!$D:$D,$C150,'RAW_농산물_8월'!$A:$A,$E150),COUNTIFS('RAW_농산물_9월'!$D:$D,$C150,'RAW_농산물_9월'!$A:$A,$E150),COUNTIFS('RAW_농산물_10월'!$D:$D,$C150,'RAW_농산물_10월'!$A:$A,$E150),COUNTIFS('RAW_농산물_11-12월'!$D:$D,$C150,'RAW_농산물_11-12월'!$A:$A,$E150))))</f>
        <v>0</v>
      </c>
    </row>
    <row r="151" ht="15.75" customHeight="1">
      <c r="A151" s="5">
        <v>149.0</v>
      </c>
      <c r="B151" s="5" t="s">
        <v>25</v>
      </c>
      <c r="C151" s="5" t="s">
        <v>1110</v>
      </c>
      <c r="D151" s="6" t="s">
        <v>1109</v>
      </c>
      <c r="E151" s="5" t="s">
        <v>28</v>
      </c>
      <c r="F151" s="7">
        <f>IF($C151="","",IF('설정'!$B$3=0,"",CHOOSE('설정'!$B$3,SUMIFS('RAW_농산물_7월'!$F:$F,'RAW_농산물_7월'!$D:$D,$C151,'RAW_농산물_7월'!$A:$A,$E151),SUMIFS('RAW_농산물_8월'!$F:$F,'RAW_농산물_8월'!$D:$D,$C151,'RAW_농산물_8월'!$A:$A,$E151),SUMIFS('RAW_농산물_9월'!$F:$F,'RAW_농산물_9월'!$D:$D,$C151,'RAW_농산물_9월'!$A:$A,$E151),SUMIFS('RAW_농산물_10월'!$F:$F,'RAW_농산물_10월'!$D:$D,$C151,'RAW_농산물_10월'!$A:$A,$E151),SUMIFS('RAW_농산물_11-12월'!$F:$F,'RAW_농산물_11-12월'!$D:$D,$C151,'RAW_농산물_11-12월'!$A:$A,$E151))))</f>
        <v>3</v>
      </c>
      <c r="G151" s="7">
        <f>IF($C151="","",IF('설정'!$B$3=0,"",CHOOSE('설정'!$B$3,SUMIFS('RAW_농산물_7월'!$G:$G,'RAW_농산물_7월'!$D:$D,$C151,'RAW_농산물_7월'!$A:$A,$E151),SUMIFS('RAW_농산물_8월'!$G:$G,'RAW_농산물_8월'!$D:$D,$C151,'RAW_농산물_8월'!$A:$A,$E151),SUMIFS('RAW_농산물_9월'!$G:$G,'RAW_농산물_9월'!$D:$D,$C151,'RAW_농산물_9월'!$A:$A,$E151),SUMIFS('RAW_농산물_10월'!$G:$G,'RAW_농산물_10월'!$D:$D,$C151,'RAW_농산물_10월'!$A:$A,$E151),SUMIFS('RAW_농산물_11-12월'!$G:$G,'RAW_농산물_11-12월'!$D:$D,$C151,'RAW_농산물_11-12월'!$A:$A,$E151))))</f>
        <v>82000</v>
      </c>
      <c r="H151" s="14">
        <f>IF($C151="","",IF('설정'!$B$3=0,"",CHOOSE('설정'!$B$3,SUMIFS('RAW_농산물_7월'!$H:$H,'RAW_농산물_7월'!$D:$D,$C151,'RAW_농산물_7월'!$A:$A,$E151),SUMIFS('RAW_농산물_8월'!$H:$H,'RAW_농산물_8월'!$D:$D,$C151,'RAW_농산물_8월'!$A:$A,$E151),SUMIFS('RAW_농산물_9월'!$H:$H,'RAW_농산물_9월'!$D:$D,$C151,'RAW_농산물_9월'!$A:$A,$E151),SUMIFS('RAW_농산물_10월'!$H:$H,'RAW_농산물_10월'!$D:$D,$C151,'RAW_농산물_10월'!$A:$A,$E151),SUMIFS('RAW_농산물_11-12월'!$H:$H,'RAW_농산물_11-12월'!$D:$D,$C151,'RAW_농산물_11-12월'!$A:$A,$E151))))</f>
        <v>15330</v>
      </c>
      <c r="I151" s="17" t="str">
        <f>IF($C151="","",IF(COUNTIFS('RAW_농산물_7월'!$D:$D,$C151,'RAW_농산물_7월'!$A:$A,$E151)&gt;0,"O",""))</f>
        <v>O</v>
      </c>
      <c r="J151" s="17" t="str">
        <f>IF($C151="","",IF(COUNTIFS('RAW_농산물_8월'!$D:$D,$C151,'RAW_농산물_8월'!$A:$A,$E151)&gt;0,"O",""))</f>
        <v>O</v>
      </c>
      <c r="K151" s="17" t="str">
        <f>IF($C151="","",IF(COUNTIFS('RAW_농산물_9월'!$D:$D,$C151,'RAW_농산물_9월'!$A:$A,$E151)&gt;0,"O",""))</f>
        <v/>
      </c>
      <c r="L151" s="17" t="str">
        <f>IF($C151="","",IF(COUNTIFS('RAW_농산물_10월'!$D:$D,$C151,'RAW_농산물_10월'!$A:$A,$E151)&gt;0,"O",""))</f>
        <v/>
      </c>
      <c r="M151" s="17" t="str">
        <f>IF($C151="","",IF(COUNTIFS('RAW_농산물_11-12월'!$D:$D,$C151,'RAW_농산물_11-12월'!$A:$A,$E151)&gt;0,"O",""))</f>
        <v/>
      </c>
      <c r="N151" s="7">
        <f>IF($C151="","",IF(COUNTA('RAW_농산물_7월'!$A:$A)&lt;=1,"",SUMIFS('RAW_농산물_7월'!$H:$H,'RAW_농산물_7월'!$D:$D,$C151,'RAW_농산물_7월'!$A:$A,$E151)))</f>
        <v>15330</v>
      </c>
      <c r="O151" s="7">
        <f>IF($C151="","",IF(COUNTA('RAW_농산물_8월'!$A:$A)&lt;=1,"",SUMIFS('RAW_농산물_8월'!$H:$H,'RAW_농산물_8월'!$D:$D,$C151,'RAW_농산물_8월'!$A:$A,$E151)-SUMIFS('RAW_농산물_7월'!$H:$H,'RAW_농산물_7월'!$D:$D,$C151,'RAW_농산물_7월'!$A:$A,$E151)))</f>
        <v>0</v>
      </c>
      <c r="P151" s="7" t="str">
        <f>IF($C151="","",IF(COUNTA('RAW_농산물_9월'!$A:$A)&lt;=1,"",SUMIFS('RAW_농산물_9월'!$H:$H,'RAW_농산물_9월'!$D:$D,$C151,'RAW_농산물_9월'!$A:$A,$E151)-SUMIFS('RAW_농산물_8월'!$H:$H,'RAW_농산물_8월'!$D:$D,$C151,'RAW_농산물_8월'!$A:$A,$E151)))</f>
        <v/>
      </c>
      <c r="Q151" s="7" t="str">
        <f>IF($C151="","",IF(COUNTA('RAW_농산물_10월'!$A:$A)&lt;=1,"",SUMIFS('RAW_농산물_10월'!$H:$H,'RAW_농산물_10월'!$D:$D,$C151,'RAW_농산물_10월'!$A:$A,$E151)-SUMIFS('RAW_농산물_9월'!$H:$H,'RAW_농산물_9월'!$D:$D,$C151,'RAW_농산물_9월'!$A:$A,$E151)))</f>
        <v/>
      </c>
      <c r="R151" s="7" t="str">
        <f>IF($C151="","",IF(COUNTA('RAW_농산물_11-12월'!$A:$A)&lt;=1,"",SUMIFS('RAW_농산물_11-12월'!$H:$H,'RAW_농산물_11-12월'!$D:$D,$C151,'RAW_농산물_11-12월'!$A:$A,$E151)-SUMIFS('RAW_농산물_10월'!$H:$H,'RAW_농산물_10월'!$D:$D,$C151,'RAW_농산물_10월'!$A:$A,$E151)))</f>
        <v/>
      </c>
      <c r="S151" s="17" t="str">
        <f t="shared" si="4"/>
        <v>O</v>
      </c>
      <c r="T151" s="17" t="str">
        <f t="shared" si="5"/>
        <v>50만원 미만</v>
      </c>
      <c r="U151" s="7">
        <f>IF($C151="",0,IF('설정'!$B$3=0,0,CHOOSE('설정'!$B$3,COUNTIFS('RAW_농산물_7월'!$D:$D,$C151,'RAW_농산물_7월'!$A:$A,$E151),COUNTIFS('RAW_농산물_8월'!$D:$D,$C151,'RAW_농산물_8월'!$A:$A,$E151),COUNTIFS('RAW_농산물_9월'!$D:$D,$C151,'RAW_농산물_9월'!$A:$A,$E151),COUNTIFS('RAW_농산물_10월'!$D:$D,$C151,'RAW_농산물_10월'!$A:$A,$E151),COUNTIFS('RAW_농산물_11-12월'!$D:$D,$C151,'RAW_농산물_11-12월'!$A:$A,$E151))))</f>
        <v>66</v>
      </c>
    </row>
    <row r="152" ht="15.75" customHeight="1">
      <c r="A152" s="5">
        <v>150.0</v>
      </c>
      <c r="B152" s="5" t="s">
        <v>108</v>
      </c>
      <c r="C152" s="5" t="s">
        <v>2259</v>
      </c>
      <c r="D152" s="6" t="s">
        <v>2258</v>
      </c>
      <c r="E152" s="5" t="s">
        <v>92</v>
      </c>
      <c r="F152" s="7">
        <f>IF($C152="","",IF('설정'!$B$3=0,"",CHOOSE('설정'!$B$3,SUMIFS('RAW_농산물_7월'!$F:$F,'RAW_농산물_7월'!$D:$D,$C152,'RAW_농산물_7월'!$A:$A,$E152),SUMIFS('RAW_농산물_8월'!$F:$F,'RAW_농산물_8월'!$D:$D,$C152,'RAW_농산물_8월'!$A:$A,$E152),SUMIFS('RAW_농산물_9월'!$F:$F,'RAW_농산물_9월'!$D:$D,$C152,'RAW_농산물_9월'!$A:$A,$E152),SUMIFS('RAW_농산물_10월'!$F:$F,'RAW_농산물_10월'!$D:$D,$C152,'RAW_농산물_10월'!$A:$A,$E152),SUMIFS('RAW_농산물_11-12월'!$F:$F,'RAW_농산물_11-12월'!$D:$D,$C152,'RAW_농산물_11-12월'!$A:$A,$E152))))</f>
        <v>43</v>
      </c>
      <c r="G152" s="7">
        <f>IF($C152="","",IF('설정'!$B$3=0,"",CHOOSE('설정'!$B$3,SUMIFS('RAW_농산물_7월'!$G:$G,'RAW_농산물_7월'!$D:$D,$C152,'RAW_농산물_7월'!$A:$A,$E152),SUMIFS('RAW_농산물_8월'!$G:$G,'RAW_농산물_8월'!$D:$D,$C152,'RAW_농산물_8월'!$A:$A,$E152),SUMIFS('RAW_농산물_9월'!$G:$G,'RAW_농산물_9월'!$D:$D,$C152,'RAW_농산물_9월'!$A:$A,$E152),SUMIFS('RAW_농산물_10월'!$G:$G,'RAW_농산물_10월'!$D:$D,$C152,'RAW_농산물_10월'!$A:$A,$E152),SUMIFS('RAW_농산물_11-12월'!$G:$G,'RAW_농산물_11-12월'!$D:$D,$C152,'RAW_농산물_11-12월'!$A:$A,$E152))))</f>
        <v>754070</v>
      </c>
      <c r="H152" s="14">
        <f>IF($C152="","",IF('설정'!$B$3=0,"",CHOOSE('설정'!$B$3,SUMIFS('RAW_농산물_7월'!$H:$H,'RAW_농산물_7월'!$D:$D,$C152,'RAW_농산물_7월'!$A:$A,$E152),SUMIFS('RAW_농산물_8월'!$H:$H,'RAW_농산물_8월'!$D:$D,$C152,'RAW_농산물_8월'!$A:$A,$E152),SUMIFS('RAW_농산물_9월'!$H:$H,'RAW_농산물_9월'!$D:$D,$C152,'RAW_농산물_9월'!$A:$A,$E152),SUMIFS('RAW_농산물_10월'!$H:$H,'RAW_농산물_10월'!$D:$D,$C152,'RAW_농산물_10월'!$A:$A,$E152),SUMIFS('RAW_농산물_11-12월'!$H:$H,'RAW_농산물_11-12월'!$D:$D,$C152,'RAW_농산물_11-12월'!$A:$A,$E152))))</f>
        <v>108840</v>
      </c>
      <c r="I152" s="17" t="str">
        <f>IF($C152="","",IF(COUNTIFS('RAW_농산물_7월'!$D:$D,$C152,'RAW_농산물_7월'!$A:$A,$E152)&gt;0,"O",""))</f>
        <v/>
      </c>
      <c r="J152" s="17" t="str">
        <f>IF($C152="","",IF(COUNTIFS('RAW_농산물_8월'!$D:$D,$C152,'RAW_농산물_8월'!$A:$A,$E152)&gt;0,"O",""))</f>
        <v>O</v>
      </c>
      <c r="K152" s="17" t="str">
        <f>IF($C152="","",IF(COUNTIFS('RAW_농산물_9월'!$D:$D,$C152,'RAW_농산물_9월'!$A:$A,$E152)&gt;0,"O",""))</f>
        <v/>
      </c>
      <c r="L152" s="17" t="str">
        <f>IF($C152="","",IF(COUNTIFS('RAW_농산물_10월'!$D:$D,$C152,'RAW_농산물_10월'!$A:$A,$E152)&gt;0,"O",""))</f>
        <v/>
      </c>
      <c r="M152" s="17" t="str">
        <f>IF($C152="","",IF(COUNTIFS('RAW_농산물_11-12월'!$D:$D,$C152,'RAW_농산물_11-12월'!$A:$A,$E152)&gt;0,"O",""))</f>
        <v/>
      </c>
      <c r="N152" s="7">
        <f>IF($C152="","",IF(COUNTA('RAW_농산물_7월'!$A:$A)&lt;=1,"",SUMIFS('RAW_농산물_7월'!$H:$H,'RAW_농산물_7월'!$D:$D,$C152,'RAW_농산물_7월'!$A:$A,$E152)))</f>
        <v>0</v>
      </c>
      <c r="O152" s="7">
        <f>IF($C152="","",IF(COUNTA('RAW_농산물_8월'!$A:$A)&lt;=1,"",SUMIFS('RAW_농산물_8월'!$H:$H,'RAW_농산물_8월'!$D:$D,$C152,'RAW_농산물_8월'!$A:$A,$E152)-SUMIFS('RAW_농산물_7월'!$H:$H,'RAW_농산물_7월'!$D:$D,$C152,'RAW_농산물_7월'!$A:$A,$E152)))</f>
        <v>108840</v>
      </c>
      <c r="P152" s="7" t="str">
        <f>IF($C152="","",IF(COUNTA('RAW_농산물_9월'!$A:$A)&lt;=1,"",SUMIFS('RAW_농산물_9월'!$H:$H,'RAW_농산물_9월'!$D:$D,$C152,'RAW_농산물_9월'!$A:$A,$E152)-SUMIFS('RAW_농산물_8월'!$H:$H,'RAW_농산물_8월'!$D:$D,$C152,'RAW_농산물_8월'!$A:$A,$E152)))</f>
        <v/>
      </c>
      <c r="Q152" s="7" t="str">
        <f>IF($C152="","",IF(COUNTA('RAW_농산물_10월'!$A:$A)&lt;=1,"",SUMIFS('RAW_농산물_10월'!$H:$H,'RAW_농산물_10월'!$D:$D,$C152,'RAW_농산물_10월'!$A:$A,$E152)-SUMIFS('RAW_농산물_9월'!$H:$H,'RAW_농산물_9월'!$D:$D,$C152,'RAW_농산물_9월'!$A:$A,$E152)))</f>
        <v/>
      </c>
      <c r="R152" s="7" t="str">
        <f>IF($C152="","",IF(COUNTA('RAW_농산물_11-12월'!$A:$A)&lt;=1,"",SUMIFS('RAW_농산물_11-12월'!$H:$H,'RAW_농산물_11-12월'!$D:$D,$C152,'RAW_농산물_11-12월'!$A:$A,$E152)-SUMIFS('RAW_농산물_10월'!$H:$H,'RAW_농산물_10월'!$D:$D,$C152,'RAW_농산물_10월'!$A:$A,$E152)))</f>
        <v/>
      </c>
      <c r="S152" s="17" t="str">
        <f t="shared" si="4"/>
        <v>O</v>
      </c>
      <c r="T152" s="17" t="str">
        <f t="shared" si="5"/>
        <v>50만원 미만</v>
      </c>
      <c r="U152" s="7">
        <f>IF($C152="",0,IF('설정'!$B$3=0,0,CHOOSE('설정'!$B$3,COUNTIFS('RAW_농산물_7월'!$D:$D,$C152,'RAW_농산물_7월'!$A:$A,$E152),COUNTIFS('RAW_농산물_8월'!$D:$D,$C152,'RAW_농산물_8월'!$A:$A,$E152),COUNTIFS('RAW_농산물_9월'!$D:$D,$C152,'RAW_농산물_9월'!$A:$A,$E152),COUNTIFS('RAW_농산물_10월'!$D:$D,$C152,'RAW_농산물_10월'!$A:$A,$E152),COUNTIFS('RAW_농산물_11-12월'!$D:$D,$C152,'RAW_농산물_11-12월'!$A:$A,$E152))))</f>
        <v>3</v>
      </c>
    </row>
    <row r="153" ht="15.75" customHeight="1">
      <c r="A153" s="5">
        <v>151.0</v>
      </c>
      <c r="B153" s="5" t="s">
        <v>25</v>
      </c>
      <c r="C153" s="5" t="s">
        <v>1330</v>
      </c>
      <c r="D153" s="6" t="s">
        <v>1329</v>
      </c>
      <c r="E153" s="5" t="s">
        <v>93</v>
      </c>
      <c r="F153" s="7">
        <f>IF($C153="","",IF('설정'!$B$3=0,"",CHOOSE('설정'!$B$3,SUMIFS('RAW_농산물_7월'!$F:$F,'RAW_농산물_7월'!$D:$D,$C153,'RAW_농산물_7월'!$A:$A,$E153),SUMIFS('RAW_농산물_8월'!$F:$F,'RAW_농산물_8월'!$D:$D,$C153,'RAW_농산물_8월'!$A:$A,$E153),SUMIFS('RAW_농산물_9월'!$F:$F,'RAW_농산물_9월'!$D:$D,$C153,'RAW_농산물_9월'!$A:$A,$E153),SUMIFS('RAW_농산물_10월'!$F:$F,'RAW_농산물_10월'!$D:$D,$C153,'RAW_농산물_10월'!$A:$A,$E153),SUMIFS('RAW_농산물_11-12월'!$F:$F,'RAW_농산물_11-12월'!$D:$D,$C153,'RAW_농산물_11-12월'!$A:$A,$E153))))</f>
        <v>2517</v>
      </c>
      <c r="G153" s="7">
        <f>IF($C153="","",IF('설정'!$B$3=0,"",CHOOSE('설정'!$B$3,SUMIFS('RAW_농산물_7월'!$G:$G,'RAW_농산물_7월'!$D:$D,$C153,'RAW_농산물_7월'!$A:$A,$E153),SUMIFS('RAW_농산물_8월'!$G:$G,'RAW_농산물_8월'!$D:$D,$C153,'RAW_농산물_8월'!$A:$A,$E153),SUMIFS('RAW_농산물_9월'!$G:$G,'RAW_농산물_9월'!$D:$D,$C153,'RAW_농산물_9월'!$A:$A,$E153),SUMIFS('RAW_농산물_10월'!$G:$G,'RAW_농산물_10월'!$D:$D,$C153,'RAW_농산물_10월'!$A:$A,$E153),SUMIFS('RAW_농산물_11-12월'!$G:$G,'RAW_농산물_11-12월'!$D:$D,$C153,'RAW_농산물_11-12월'!$A:$A,$E153))))</f>
        <v>57338800</v>
      </c>
      <c r="H153" s="14">
        <f>IF($C153="","",IF('설정'!$B$3=0,"",CHOOSE('설정'!$B$3,SUMIFS('RAW_농산물_7월'!$H:$H,'RAW_농산물_7월'!$D:$D,$C153,'RAW_농산물_7월'!$A:$A,$E153),SUMIFS('RAW_농산물_8월'!$H:$H,'RAW_농산물_8월'!$D:$D,$C153,'RAW_농산물_8월'!$A:$A,$E153),SUMIFS('RAW_농산물_9월'!$H:$H,'RAW_농산물_9월'!$D:$D,$C153,'RAW_농산물_9월'!$A:$A,$E153),SUMIFS('RAW_농산물_10월'!$H:$H,'RAW_농산물_10월'!$D:$D,$C153,'RAW_농산물_10월'!$A:$A,$E153),SUMIFS('RAW_농산물_11-12월'!$H:$H,'RAW_농산물_11-12월'!$D:$D,$C153,'RAW_농산물_11-12월'!$A:$A,$E153))))</f>
        <v>5062400</v>
      </c>
      <c r="I153" s="17" t="str">
        <f>IF($C153="","",IF(COUNTIFS('RAW_농산물_7월'!$D:$D,$C153,'RAW_농산물_7월'!$A:$A,$E153)&gt;0,"O",""))</f>
        <v>O</v>
      </c>
      <c r="J153" s="17" t="str">
        <f>IF($C153="","",IF(COUNTIFS('RAW_농산물_8월'!$D:$D,$C153,'RAW_농산물_8월'!$A:$A,$E153)&gt;0,"O",""))</f>
        <v>O</v>
      </c>
      <c r="K153" s="17" t="str">
        <f>IF($C153="","",IF(COUNTIFS('RAW_농산물_9월'!$D:$D,$C153,'RAW_농산물_9월'!$A:$A,$E153)&gt;0,"O",""))</f>
        <v/>
      </c>
      <c r="L153" s="17" t="str">
        <f>IF($C153="","",IF(COUNTIFS('RAW_농산물_10월'!$D:$D,$C153,'RAW_농산물_10월'!$A:$A,$E153)&gt;0,"O",""))</f>
        <v/>
      </c>
      <c r="M153" s="17" t="str">
        <f>IF($C153="","",IF(COUNTIFS('RAW_농산물_11-12월'!$D:$D,$C153,'RAW_농산물_11-12월'!$A:$A,$E153)&gt;0,"O",""))</f>
        <v/>
      </c>
      <c r="N153" s="7">
        <f>IF($C153="","",IF(COUNTA('RAW_농산물_7월'!$A:$A)&lt;=1,"",SUMIFS('RAW_농산물_7월'!$H:$H,'RAW_농산물_7월'!$D:$D,$C153,'RAW_농산물_7월'!$A:$A,$E153)))</f>
        <v>5062400</v>
      </c>
      <c r="O153" s="7">
        <f>IF($C153="","",IF(COUNTA('RAW_농산물_8월'!$A:$A)&lt;=1,"",SUMIFS('RAW_농산물_8월'!$H:$H,'RAW_농산물_8월'!$D:$D,$C153,'RAW_농산물_8월'!$A:$A,$E153)-SUMIFS('RAW_농산물_7월'!$H:$H,'RAW_농산물_7월'!$D:$D,$C153,'RAW_농산물_7월'!$A:$A,$E153)))</f>
        <v>0</v>
      </c>
      <c r="P153" s="7" t="str">
        <f>IF($C153="","",IF(COUNTA('RAW_농산물_9월'!$A:$A)&lt;=1,"",SUMIFS('RAW_농산물_9월'!$H:$H,'RAW_농산물_9월'!$D:$D,$C153,'RAW_농산물_9월'!$A:$A,$E153)-SUMIFS('RAW_농산물_8월'!$H:$H,'RAW_농산물_8월'!$D:$D,$C153,'RAW_농산물_8월'!$A:$A,$E153)))</f>
        <v/>
      </c>
      <c r="Q153" s="7" t="str">
        <f>IF($C153="","",IF(COUNTA('RAW_농산물_10월'!$A:$A)&lt;=1,"",SUMIFS('RAW_농산물_10월'!$H:$H,'RAW_농산물_10월'!$D:$D,$C153,'RAW_농산물_10월'!$A:$A,$E153)-SUMIFS('RAW_농산물_9월'!$H:$H,'RAW_농산물_9월'!$D:$D,$C153,'RAW_농산물_9월'!$A:$A,$E153)))</f>
        <v/>
      </c>
      <c r="R153" s="7" t="str">
        <f>IF($C153="","",IF(COUNTA('RAW_농산물_11-12월'!$A:$A)&lt;=1,"",SUMIFS('RAW_농산물_11-12월'!$H:$H,'RAW_농산물_11-12월'!$D:$D,$C153,'RAW_농산물_11-12월'!$A:$A,$E153)-SUMIFS('RAW_농산물_10월'!$H:$H,'RAW_농산물_10월'!$D:$D,$C153,'RAW_농산물_10월'!$A:$A,$E153)))</f>
        <v/>
      </c>
      <c r="S153" s="17" t="str">
        <f t="shared" si="4"/>
        <v>O</v>
      </c>
      <c r="T153" s="17" t="str">
        <f t="shared" si="5"/>
        <v>600만원 미만</v>
      </c>
      <c r="U153" s="7">
        <f>IF($C153="",0,IF('설정'!$B$3=0,0,CHOOSE('설정'!$B$3,COUNTIFS('RAW_농산물_7월'!$D:$D,$C153,'RAW_농산물_7월'!$A:$A,$E153),COUNTIFS('RAW_농산물_8월'!$D:$D,$C153,'RAW_농산물_8월'!$A:$A,$E153),COUNTIFS('RAW_농산물_9월'!$D:$D,$C153,'RAW_농산물_9월'!$A:$A,$E153),COUNTIFS('RAW_농산물_10월'!$D:$D,$C153,'RAW_농산물_10월'!$A:$A,$E153),COUNTIFS('RAW_농산물_11-12월'!$D:$D,$C153,'RAW_농산물_11-12월'!$A:$A,$E153))))</f>
        <v>7</v>
      </c>
    </row>
    <row r="154" ht="15.75" customHeight="1">
      <c r="A154" s="5">
        <v>152.0</v>
      </c>
      <c r="B154" s="5" t="s">
        <v>25</v>
      </c>
      <c r="C154" s="5" t="s">
        <v>1352</v>
      </c>
      <c r="D154" s="6" t="s">
        <v>1351</v>
      </c>
      <c r="E154" s="5" t="s">
        <v>93</v>
      </c>
      <c r="F154" s="7">
        <f>IF($C154="","",IF('설정'!$B$3=0,"",CHOOSE('설정'!$B$3,SUMIFS('RAW_농산물_7월'!$F:$F,'RAW_농산물_7월'!$D:$D,$C154,'RAW_농산물_7월'!$A:$A,$E154),SUMIFS('RAW_농산물_8월'!$F:$F,'RAW_농산물_8월'!$D:$D,$C154,'RAW_농산물_8월'!$A:$A,$E154),SUMIFS('RAW_농산물_9월'!$F:$F,'RAW_농산물_9월'!$D:$D,$C154,'RAW_농산물_9월'!$A:$A,$E154),SUMIFS('RAW_농산물_10월'!$F:$F,'RAW_농산물_10월'!$D:$D,$C154,'RAW_농산물_10월'!$A:$A,$E154),SUMIFS('RAW_농산물_11-12월'!$F:$F,'RAW_농산물_11-12월'!$D:$D,$C154,'RAW_농산물_11-12월'!$A:$A,$E154))))</f>
        <v>23</v>
      </c>
      <c r="G154" s="7">
        <f>IF($C154="","",IF('설정'!$B$3=0,"",CHOOSE('설정'!$B$3,SUMIFS('RAW_농산물_7월'!$G:$G,'RAW_농산물_7월'!$D:$D,$C154,'RAW_농산물_7월'!$A:$A,$E154),SUMIFS('RAW_농산물_8월'!$G:$G,'RAW_농산물_8월'!$D:$D,$C154,'RAW_농산물_8월'!$A:$A,$E154),SUMIFS('RAW_농산물_9월'!$G:$G,'RAW_농산물_9월'!$D:$D,$C154,'RAW_농산물_9월'!$A:$A,$E154),SUMIFS('RAW_농산물_10월'!$G:$G,'RAW_농산물_10월'!$D:$D,$C154,'RAW_농산물_10월'!$A:$A,$E154),SUMIFS('RAW_농산물_11-12월'!$G:$G,'RAW_농산물_11-12월'!$D:$D,$C154,'RAW_농산물_11-12월'!$A:$A,$E154))))</f>
        <v>793000</v>
      </c>
      <c r="H154" s="14">
        <f>IF($C154="","",IF('설정'!$B$3=0,"",CHOOSE('설정'!$B$3,SUMIFS('RAW_농산물_7월'!$H:$H,'RAW_농산물_7월'!$D:$D,$C154,'RAW_농산물_7월'!$A:$A,$E154),SUMIFS('RAW_농산물_8월'!$H:$H,'RAW_농산물_8월'!$D:$D,$C154,'RAW_농산물_8월'!$A:$A,$E154),SUMIFS('RAW_농산물_9월'!$H:$H,'RAW_농산물_9월'!$D:$D,$C154,'RAW_농산물_9월'!$A:$A,$E154),SUMIFS('RAW_농산물_10월'!$H:$H,'RAW_농산물_10월'!$D:$D,$C154,'RAW_농산물_10월'!$A:$A,$E154),SUMIFS('RAW_농산물_11-12월'!$H:$H,'RAW_농산물_11-12월'!$D:$D,$C154,'RAW_농산물_11-12월'!$A:$A,$E154))))</f>
        <v>75600</v>
      </c>
      <c r="I154" s="17" t="str">
        <f>IF($C154="","",IF(COUNTIFS('RAW_농산물_7월'!$D:$D,$C154,'RAW_농산물_7월'!$A:$A,$E154)&gt;0,"O",""))</f>
        <v>O</v>
      </c>
      <c r="J154" s="17" t="str">
        <f>IF($C154="","",IF(COUNTIFS('RAW_농산물_8월'!$D:$D,$C154,'RAW_농산물_8월'!$A:$A,$E154)&gt;0,"O",""))</f>
        <v>O</v>
      </c>
      <c r="K154" s="17" t="str">
        <f>IF($C154="","",IF(COUNTIFS('RAW_농산물_9월'!$D:$D,$C154,'RAW_농산물_9월'!$A:$A,$E154)&gt;0,"O",""))</f>
        <v/>
      </c>
      <c r="L154" s="17" t="str">
        <f>IF($C154="","",IF(COUNTIFS('RAW_농산물_10월'!$D:$D,$C154,'RAW_농산물_10월'!$A:$A,$E154)&gt;0,"O",""))</f>
        <v/>
      </c>
      <c r="M154" s="17" t="str">
        <f>IF($C154="","",IF(COUNTIFS('RAW_농산물_11-12월'!$D:$D,$C154,'RAW_농산물_11-12월'!$A:$A,$E154)&gt;0,"O",""))</f>
        <v/>
      </c>
      <c r="N154" s="7">
        <f>IF($C154="","",IF(COUNTA('RAW_농산물_7월'!$A:$A)&lt;=1,"",SUMIFS('RAW_농산물_7월'!$H:$H,'RAW_농산물_7월'!$D:$D,$C154,'RAW_농산물_7월'!$A:$A,$E154)))</f>
        <v>13800</v>
      </c>
      <c r="O154" s="7">
        <f>IF($C154="","",IF(COUNTA('RAW_농산물_8월'!$A:$A)&lt;=1,"",SUMIFS('RAW_농산물_8월'!$H:$H,'RAW_농산물_8월'!$D:$D,$C154,'RAW_농산물_8월'!$A:$A,$E154)-SUMIFS('RAW_농산물_7월'!$H:$H,'RAW_농산물_7월'!$D:$D,$C154,'RAW_농산물_7월'!$A:$A,$E154)))</f>
        <v>61800</v>
      </c>
      <c r="P154" s="7" t="str">
        <f>IF($C154="","",IF(COUNTA('RAW_농산물_9월'!$A:$A)&lt;=1,"",SUMIFS('RAW_농산물_9월'!$H:$H,'RAW_농산물_9월'!$D:$D,$C154,'RAW_농산물_9월'!$A:$A,$E154)-SUMIFS('RAW_농산물_8월'!$H:$H,'RAW_농산물_8월'!$D:$D,$C154,'RAW_농산물_8월'!$A:$A,$E154)))</f>
        <v/>
      </c>
      <c r="Q154" s="7" t="str">
        <f>IF($C154="","",IF(COUNTA('RAW_농산물_10월'!$A:$A)&lt;=1,"",SUMIFS('RAW_농산물_10월'!$H:$H,'RAW_농산물_10월'!$D:$D,$C154,'RAW_농산물_10월'!$A:$A,$E154)-SUMIFS('RAW_농산물_9월'!$H:$H,'RAW_농산물_9월'!$D:$D,$C154,'RAW_농산물_9월'!$A:$A,$E154)))</f>
        <v/>
      </c>
      <c r="R154" s="7" t="str">
        <f>IF($C154="","",IF(COUNTA('RAW_농산물_11-12월'!$A:$A)&lt;=1,"",SUMIFS('RAW_농산물_11-12월'!$H:$H,'RAW_농산물_11-12월'!$D:$D,$C154,'RAW_농산물_11-12월'!$A:$A,$E154)-SUMIFS('RAW_농산물_10월'!$H:$H,'RAW_농산물_10월'!$D:$D,$C154,'RAW_농산물_10월'!$A:$A,$E154)))</f>
        <v/>
      </c>
      <c r="S154" s="17" t="str">
        <f t="shared" si="4"/>
        <v>O</v>
      </c>
      <c r="T154" s="17" t="str">
        <f t="shared" si="5"/>
        <v>50만원 미만</v>
      </c>
      <c r="U154" s="7">
        <f>IF($C154="",0,IF('설정'!$B$3=0,0,CHOOSE('설정'!$B$3,COUNTIFS('RAW_농산물_7월'!$D:$D,$C154,'RAW_농산물_7월'!$A:$A,$E154),COUNTIFS('RAW_농산물_8월'!$D:$D,$C154,'RAW_농산물_8월'!$A:$A,$E154),COUNTIFS('RAW_농산물_9월'!$D:$D,$C154,'RAW_농산물_9월'!$A:$A,$E154),COUNTIFS('RAW_농산물_10월'!$D:$D,$C154,'RAW_농산물_10월'!$A:$A,$E154),COUNTIFS('RAW_농산물_11-12월'!$D:$D,$C154,'RAW_농산물_11-12월'!$A:$A,$E154))))</f>
        <v>12</v>
      </c>
    </row>
    <row r="155" ht="15.75" customHeight="1">
      <c r="A155" s="5">
        <v>153.0</v>
      </c>
      <c r="B155" s="5" t="s">
        <v>25</v>
      </c>
      <c r="C155" s="5" t="s">
        <v>1339</v>
      </c>
      <c r="D155" s="6" t="s">
        <v>1338</v>
      </c>
      <c r="E155" s="5" t="s">
        <v>93</v>
      </c>
      <c r="F155" s="7">
        <f>IF($C155="","",IF('설정'!$B$3=0,"",CHOOSE('설정'!$B$3,SUMIFS('RAW_농산물_7월'!$F:$F,'RAW_농산물_7월'!$D:$D,$C155,'RAW_농산물_7월'!$A:$A,$E155),SUMIFS('RAW_농산물_8월'!$F:$F,'RAW_농산물_8월'!$D:$D,$C155,'RAW_농산물_8월'!$A:$A,$E155),SUMIFS('RAW_농산물_9월'!$F:$F,'RAW_농산물_9월'!$D:$D,$C155,'RAW_농산물_9월'!$A:$A,$E155),SUMIFS('RAW_농산물_10월'!$F:$F,'RAW_농산물_10월'!$D:$D,$C155,'RAW_농산물_10월'!$A:$A,$E155),SUMIFS('RAW_농산물_11-12월'!$F:$F,'RAW_농산물_11-12월'!$D:$D,$C155,'RAW_농산물_11-12월'!$A:$A,$E155))))</f>
        <v>0</v>
      </c>
      <c r="G155" s="7">
        <f>IF($C155="","",IF('설정'!$B$3=0,"",CHOOSE('설정'!$B$3,SUMIFS('RAW_농산물_7월'!$G:$G,'RAW_농산물_7월'!$D:$D,$C155,'RAW_농산물_7월'!$A:$A,$E155),SUMIFS('RAW_농산물_8월'!$G:$G,'RAW_농산물_8월'!$D:$D,$C155,'RAW_농산물_8월'!$A:$A,$E155),SUMIFS('RAW_농산물_9월'!$G:$G,'RAW_농산물_9월'!$D:$D,$C155,'RAW_농산물_9월'!$A:$A,$E155),SUMIFS('RAW_농산물_10월'!$G:$G,'RAW_농산물_10월'!$D:$D,$C155,'RAW_농산물_10월'!$A:$A,$E155),SUMIFS('RAW_농산물_11-12월'!$G:$G,'RAW_농산물_11-12월'!$D:$D,$C155,'RAW_농산물_11-12월'!$A:$A,$E155))))</f>
        <v>0</v>
      </c>
      <c r="H155" s="14">
        <f>IF($C155="","",IF('설정'!$B$3=0,"",CHOOSE('설정'!$B$3,SUMIFS('RAW_농산물_7월'!$H:$H,'RAW_농산물_7월'!$D:$D,$C155,'RAW_농산물_7월'!$A:$A,$E155),SUMIFS('RAW_농산물_8월'!$H:$H,'RAW_농산물_8월'!$D:$D,$C155,'RAW_농산물_8월'!$A:$A,$E155),SUMIFS('RAW_농산물_9월'!$H:$H,'RAW_농산물_9월'!$D:$D,$C155,'RAW_농산물_9월'!$A:$A,$E155),SUMIFS('RAW_농산물_10월'!$H:$H,'RAW_농산물_10월'!$D:$D,$C155,'RAW_농산물_10월'!$A:$A,$E155),SUMIFS('RAW_농산물_11-12월'!$H:$H,'RAW_농산물_11-12월'!$D:$D,$C155,'RAW_농산물_11-12월'!$A:$A,$E155))))</f>
        <v>0</v>
      </c>
      <c r="I155" s="17" t="str">
        <f>IF($C155="","",IF(COUNTIFS('RAW_농산물_7월'!$D:$D,$C155,'RAW_농산물_7월'!$A:$A,$E155)&gt;0,"O",""))</f>
        <v>O</v>
      </c>
      <c r="J155" s="17" t="str">
        <f>IF($C155="","",IF(COUNTIFS('RAW_농산물_8월'!$D:$D,$C155,'RAW_농산물_8월'!$A:$A,$E155)&gt;0,"O",""))</f>
        <v>O</v>
      </c>
      <c r="K155" s="17" t="str">
        <f>IF($C155="","",IF(COUNTIFS('RAW_농산물_9월'!$D:$D,$C155,'RAW_농산물_9월'!$A:$A,$E155)&gt;0,"O",""))</f>
        <v/>
      </c>
      <c r="L155" s="17" t="str">
        <f>IF($C155="","",IF(COUNTIFS('RAW_농산물_10월'!$D:$D,$C155,'RAW_농산물_10월'!$A:$A,$E155)&gt;0,"O",""))</f>
        <v/>
      </c>
      <c r="M155" s="17" t="str">
        <f>IF($C155="","",IF(COUNTIFS('RAW_농산물_11-12월'!$D:$D,$C155,'RAW_농산물_11-12월'!$A:$A,$E155)&gt;0,"O",""))</f>
        <v/>
      </c>
      <c r="N155" s="7">
        <f>IF($C155="","",IF(COUNTA('RAW_농산물_7월'!$A:$A)&lt;=1,"",SUMIFS('RAW_농산물_7월'!$H:$H,'RAW_농산물_7월'!$D:$D,$C155,'RAW_농산물_7월'!$A:$A,$E155)))</f>
        <v>0</v>
      </c>
      <c r="O155" s="7">
        <f>IF($C155="","",IF(COUNTA('RAW_농산물_8월'!$A:$A)&lt;=1,"",SUMIFS('RAW_농산물_8월'!$H:$H,'RAW_농산물_8월'!$D:$D,$C155,'RAW_농산물_8월'!$A:$A,$E155)-SUMIFS('RAW_농산물_7월'!$H:$H,'RAW_농산물_7월'!$D:$D,$C155,'RAW_농산물_7월'!$A:$A,$E155)))</f>
        <v>0</v>
      </c>
      <c r="P155" s="7" t="str">
        <f>IF($C155="","",IF(COUNTA('RAW_농산물_9월'!$A:$A)&lt;=1,"",SUMIFS('RAW_농산물_9월'!$H:$H,'RAW_농산물_9월'!$D:$D,$C155,'RAW_농산물_9월'!$A:$A,$E155)-SUMIFS('RAW_농산물_8월'!$H:$H,'RAW_농산물_8월'!$D:$D,$C155,'RAW_농산물_8월'!$A:$A,$E155)))</f>
        <v/>
      </c>
      <c r="Q155" s="7" t="str">
        <f>IF($C155="","",IF(COUNTA('RAW_농산물_10월'!$A:$A)&lt;=1,"",SUMIFS('RAW_농산물_10월'!$H:$H,'RAW_농산물_10월'!$D:$D,$C155,'RAW_농산물_10월'!$A:$A,$E155)-SUMIFS('RAW_농산물_9월'!$H:$H,'RAW_농산물_9월'!$D:$D,$C155,'RAW_농산물_9월'!$A:$A,$E155)))</f>
        <v/>
      </c>
      <c r="R155" s="7" t="str">
        <f>IF($C155="","",IF(COUNTA('RAW_농산물_11-12월'!$A:$A)&lt;=1,"",SUMIFS('RAW_농산물_11-12월'!$H:$H,'RAW_농산물_11-12월'!$D:$D,$C155,'RAW_농산물_11-12월'!$A:$A,$E155)-SUMIFS('RAW_농산물_10월'!$H:$H,'RAW_농산물_10월'!$D:$D,$C155,'RAW_농산물_10월'!$A:$A,$E155)))</f>
        <v/>
      </c>
      <c r="S155" s="17" t="str">
        <f t="shared" si="4"/>
        <v>O</v>
      </c>
      <c r="T155" s="17" t="str">
        <f t="shared" si="5"/>
        <v>미사용</v>
      </c>
      <c r="U155" s="7">
        <f>IF($C155="",0,IF('설정'!$B$3=0,0,CHOOSE('설정'!$B$3,COUNTIFS('RAW_농산물_7월'!$D:$D,$C155,'RAW_농산물_7월'!$A:$A,$E155),COUNTIFS('RAW_농산물_8월'!$D:$D,$C155,'RAW_농산물_8월'!$A:$A,$E155),COUNTIFS('RAW_농산물_9월'!$D:$D,$C155,'RAW_농산물_9월'!$A:$A,$E155),COUNTIFS('RAW_농산물_10월'!$D:$D,$C155,'RAW_농산물_10월'!$A:$A,$E155),COUNTIFS('RAW_농산물_11-12월'!$D:$D,$C155,'RAW_농산물_11-12월'!$A:$A,$E155))))</f>
        <v>3</v>
      </c>
    </row>
    <row r="156" ht="15.75" customHeight="1">
      <c r="A156" s="5">
        <v>154.0</v>
      </c>
      <c r="B156" s="5" t="s">
        <v>145</v>
      </c>
      <c r="C156" s="5" t="s">
        <v>605</v>
      </c>
      <c r="D156" s="6" t="s">
        <v>604</v>
      </c>
      <c r="E156" s="5" t="s">
        <v>92</v>
      </c>
      <c r="F156" s="7">
        <f>IF($C156="","",IF('설정'!$B$3=0,"",CHOOSE('설정'!$B$3,SUMIFS('RAW_농산물_7월'!$F:$F,'RAW_농산물_7월'!$D:$D,$C156,'RAW_농산물_7월'!$A:$A,$E156),SUMIFS('RAW_농산물_8월'!$F:$F,'RAW_농산물_8월'!$D:$D,$C156,'RAW_농산물_8월'!$A:$A,$E156),SUMIFS('RAW_농산물_9월'!$F:$F,'RAW_농산물_9월'!$D:$D,$C156,'RAW_농산물_9월'!$A:$A,$E156),SUMIFS('RAW_농산물_10월'!$F:$F,'RAW_농산물_10월'!$D:$D,$C156,'RAW_농산물_10월'!$A:$A,$E156),SUMIFS('RAW_농산물_11-12월'!$F:$F,'RAW_농산물_11-12월'!$D:$D,$C156,'RAW_농산물_11-12월'!$A:$A,$E156))))</f>
        <v>20</v>
      </c>
      <c r="G156" s="7">
        <f>IF($C156="","",IF('설정'!$B$3=0,"",CHOOSE('설정'!$B$3,SUMIFS('RAW_농산물_7월'!$G:$G,'RAW_농산물_7월'!$D:$D,$C156,'RAW_농산물_7월'!$A:$A,$E156),SUMIFS('RAW_농산물_8월'!$G:$G,'RAW_농산물_8월'!$D:$D,$C156,'RAW_농산물_8월'!$A:$A,$E156),SUMIFS('RAW_농산물_9월'!$G:$G,'RAW_농산물_9월'!$D:$D,$C156,'RAW_농산물_9월'!$A:$A,$E156),SUMIFS('RAW_농산물_10월'!$G:$G,'RAW_농산물_10월'!$D:$D,$C156,'RAW_농산물_10월'!$A:$A,$E156),SUMIFS('RAW_농산물_11-12월'!$G:$G,'RAW_농산물_11-12월'!$D:$D,$C156,'RAW_농산물_11-12월'!$A:$A,$E156))))</f>
        <v>387500</v>
      </c>
      <c r="H156" s="14">
        <f>IF($C156="","",IF('설정'!$B$3=0,"",CHOOSE('설정'!$B$3,SUMIFS('RAW_농산물_7월'!$H:$H,'RAW_농산물_7월'!$D:$D,$C156,'RAW_농산물_7월'!$A:$A,$E156),SUMIFS('RAW_농산물_8월'!$H:$H,'RAW_농산물_8월'!$D:$D,$C156,'RAW_농산물_8월'!$A:$A,$E156),SUMIFS('RAW_농산물_9월'!$H:$H,'RAW_농산물_9월'!$D:$D,$C156,'RAW_농산물_9월'!$A:$A,$E156),SUMIFS('RAW_농산물_10월'!$H:$H,'RAW_농산물_10월'!$D:$D,$C156,'RAW_농산물_10월'!$A:$A,$E156),SUMIFS('RAW_농산물_11-12월'!$H:$H,'RAW_농산물_11-12월'!$D:$D,$C156,'RAW_농산물_11-12월'!$A:$A,$E156))))</f>
        <v>25800</v>
      </c>
      <c r="I156" s="17" t="str">
        <f>IF($C156="","",IF(COUNTIFS('RAW_농산물_7월'!$D:$D,$C156,'RAW_농산물_7월'!$A:$A,$E156)&gt;0,"O",""))</f>
        <v>O</v>
      </c>
      <c r="J156" s="17" t="str">
        <f>IF($C156="","",IF(COUNTIFS('RAW_농산물_8월'!$D:$D,$C156,'RAW_농산물_8월'!$A:$A,$E156)&gt;0,"O",""))</f>
        <v>O</v>
      </c>
      <c r="K156" s="17" t="str">
        <f>IF($C156="","",IF(COUNTIFS('RAW_농산물_9월'!$D:$D,$C156,'RAW_농산물_9월'!$A:$A,$E156)&gt;0,"O",""))</f>
        <v/>
      </c>
      <c r="L156" s="17" t="str">
        <f>IF($C156="","",IF(COUNTIFS('RAW_농산물_10월'!$D:$D,$C156,'RAW_농산물_10월'!$A:$A,$E156)&gt;0,"O",""))</f>
        <v/>
      </c>
      <c r="M156" s="17" t="str">
        <f>IF($C156="","",IF(COUNTIFS('RAW_농산물_11-12월'!$D:$D,$C156,'RAW_농산물_11-12월'!$A:$A,$E156)&gt;0,"O",""))</f>
        <v/>
      </c>
      <c r="N156" s="7">
        <f>IF($C156="","",IF(COUNTA('RAW_농산물_7월'!$A:$A)&lt;=1,"",SUMIFS('RAW_농산물_7월'!$H:$H,'RAW_농산물_7월'!$D:$D,$C156,'RAW_농산물_7월'!$A:$A,$E156)))</f>
        <v>6600</v>
      </c>
      <c r="O156" s="7">
        <f>IF($C156="","",IF(COUNTA('RAW_농산물_8월'!$A:$A)&lt;=1,"",SUMIFS('RAW_농산물_8월'!$H:$H,'RAW_농산물_8월'!$D:$D,$C156,'RAW_농산물_8월'!$A:$A,$E156)-SUMIFS('RAW_농산물_7월'!$H:$H,'RAW_농산물_7월'!$D:$D,$C156,'RAW_농산물_7월'!$A:$A,$E156)))</f>
        <v>19200</v>
      </c>
      <c r="P156" s="7" t="str">
        <f>IF($C156="","",IF(COUNTA('RAW_농산물_9월'!$A:$A)&lt;=1,"",SUMIFS('RAW_농산물_9월'!$H:$H,'RAW_농산물_9월'!$D:$D,$C156,'RAW_농산물_9월'!$A:$A,$E156)-SUMIFS('RAW_농산물_8월'!$H:$H,'RAW_농산물_8월'!$D:$D,$C156,'RAW_농산물_8월'!$A:$A,$E156)))</f>
        <v/>
      </c>
      <c r="Q156" s="7" t="str">
        <f>IF($C156="","",IF(COUNTA('RAW_농산물_10월'!$A:$A)&lt;=1,"",SUMIFS('RAW_농산물_10월'!$H:$H,'RAW_농산물_10월'!$D:$D,$C156,'RAW_농산물_10월'!$A:$A,$E156)-SUMIFS('RAW_농산물_9월'!$H:$H,'RAW_농산물_9월'!$D:$D,$C156,'RAW_농산물_9월'!$A:$A,$E156)))</f>
        <v/>
      </c>
      <c r="R156" s="7" t="str">
        <f>IF($C156="","",IF(COUNTA('RAW_농산물_11-12월'!$A:$A)&lt;=1,"",SUMIFS('RAW_농산물_11-12월'!$H:$H,'RAW_농산물_11-12월'!$D:$D,$C156,'RAW_농산물_11-12월'!$A:$A,$E156)-SUMIFS('RAW_농산물_10월'!$H:$H,'RAW_농산물_10월'!$D:$D,$C156,'RAW_농산물_10월'!$A:$A,$E156)))</f>
        <v/>
      </c>
      <c r="S156" s="17" t="str">
        <f t="shared" si="4"/>
        <v>O</v>
      </c>
      <c r="T156" s="17" t="str">
        <f t="shared" si="5"/>
        <v>50만원 미만</v>
      </c>
      <c r="U156" s="7">
        <f>IF($C156="",0,IF('설정'!$B$3=0,0,CHOOSE('설정'!$B$3,COUNTIFS('RAW_농산물_7월'!$D:$D,$C156,'RAW_농산물_7월'!$A:$A,$E156),COUNTIFS('RAW_농산물_8월'!$D:$D,$C156,'RAW_농산물_8월'!$A:$A,$E156),COUNTIFS('RAW_농산물_9월'!$D:$D,$C156,'RAW_농산물_9월'!$A:$A,$E156),COUNTIFS('RAW_농산물_10월'!$D:$D,$C156,'RAW_농산물_10월'!$A:$A,$E156),COUNTIFS('RAW_농산물_11-12월'!$D:$D,$C156,'RAW_농산물_11-12월'!$A:$A,$E156))))</f>
        <v>3</v>
      </c>
    </row>
    <row r="157" ht="15.75" customHeight="1">
      <c r="A157" s="5">
        <v>155.0</v>
      </c>
      <c r="B157" s="5" t="s">
        <v>25</v>
      </c>
      <c r="C157" s="5" t="s">
        <v>851</v>
      </c>
      <c r="D157" s="6" t="s">
        <v>850</v>
      </c>
      <c r="E157" s="5" t="s">
        <v>28</v>
      </c>
      <c r="F157" s="7">
        <f>IF($C157="","",IF('설정'!$B$3=0,"",CHOOSE('설정'!$B$3,SUMIFS('RAW_농산물_7월'!$F:$F,'RAW_농산물_7월'!$D:$D,$C157,'RAW_농산물_7월'!$A:$A,$E157),SUMIFS('RAW_농산물_8월'!$F:$F,'RAW_농산물_8월'!$D:$D,$C157,'RAW_농산물_8월'!$A:$A,$E157),SUMIFS('RAW_농산물_9월'!$F:$F,'RAW_농산물_9월'!$D:$D,$C157,'RAW_농산물_9월'!$A:$A,$E157),SUMIFS('RAW_농산물_10월'!$F:$F,'RAW_농산물_10월'!$D:$D,$C157,'RAW_농산물_10월'!$A:$A,$E157),SUMIFS('RAW_농산물_11-12월'!$F:$F,'RAW_농산물_11-12월'!$D:$D,$C157,'RAW_농산물_11-12월'!$A:$A,$E157))))</f>
        <v>737</v>
      </c>
      <c r="G157" s="7">
        <f>IF($C157="","",IF('설정'!$B$3=0,"",CHOOSE('설정'!$B$3,SUMIFS('RAW_농산물_7월'!$G:$G,'RAW_농산물_7월'!$D:$D,$C157,'RAW_농산물_7월'!$A:$A,$E157),SUMIFS('RAW_농산물_8월'!$G:$G,'RAW_농산물_8월'!$D:$D,$C157,'RAW_농산물_8월'!$A:$A,$E157),SUMIFS('RAW_농산물_9월'!$G:$G,'RAW_농산물_9월'!$D:$D,$C157,'RAW_농산물_9월'!$A:$A,$E157),SUMIFS('RAW_농산물_10월'!$G:$G,'RAW_농산물_10월'!$D:$D,$C157,'RAW_농산물_10월'!$A:$A,$E157),SUMIFS('RAW_농산물_11-12월'!$G:$G,'RAW_농산물_11-12월'!$D:$D,$C157,'RAW_농산물_11-12월'!$A:$A,$E157))))</f>
        <v>26752200</v>
      </c>
      <c r="H157" s="14">
        <f>IF($C157="","",IF('설정'!$B$3=0,"",CHOOSE('설정'!$B$3,SUMIFS('RAW_농산물_7월'!$H:$H,'RAW_농산물_7월'!$D:$D,$C157,'RAW_농산물_7월'!$A:$A,$E157),SUMIFS('RAW_농산물_8월'!$H:$H,'RAW_농산물_8월'!$D:$D,$C157,'RAW_농산물_8월'!$A:$A,$E157),SUMIFS('RAW_농산물_9월'!$H:$H,'RAW_농산물_9월'!$D:$D,$C157,'RAW_농산물_9월'!$A:$A,$E157),SUMIFS('RAW_농산물_10월'!$H:$H,'RAW_농산물_10월'!$D:$D,$C157,'RAW_농산물_10월'!$A:$A,$E157),SUMIFS('RAW_농산물_11-12월'!$H:$H,'RAW_농산물_11-12월'!$D:$D,$C157,'RAW_농산물_11-12월'!$A:$A,$E157))))</f>
        <v>5136630</v>
      </c>
      <c r="I157" s="17" t="str">
        <f>IF($C157="","",IF(COUNTIFS('RAW_농산물_7월'!$D:$D,$C157,'RAW_농산물_7월'!$A:$A,$E157)&gt;0,"O",""))</f>
        <v>O</v>
      </c>
      <c r="J157" s="17" t="str">
        <f>IF($C157="","",IF(COUNTIFS('RAW_농산물_8월'!$D:$D,$C157,'RAW_농산물_8월'!$A:$A,$E157)&gt;0,"O",""))</f>
        <v>O</v>
      </c>
      <c r="K157" s="17" t="str">
        <f>IF($C157="","",IF(COUNTIFS('RAW_농산물_9월'!$D:$D,$C157,'RAW_농산물_9월'!$A:$A,$E157)&gt;0,"O",""))</f>
        <v/>
      </c>
      <c r="L157" s="17" t="str">
        <f>IF($C157="","",IF(COUNTIFS('RAW_농산물_10월'!$D:$D,$C157,'RAW_농산물_10월'!$A:$A,$E157)&gt;0,"O",""))</f>
        <v/>
      </c>
      <c r="M157" s="17" t="str">
        <f>IF($C157="","",IF(COUNTIFS('RAW_농산물_11-12월'!$D:$D,$C157,'RAW_농산물_11-12월'!$A:$A,$E157)&gt;0,"O",""))</f>
        <v/>
      </c>
      <c r="N157" s="7">
        <f>IF($C157="","",IF(COUNTA('RAW_농산물_7월'!$A:$A)&lt;=1,"",SUMIFS('RAW_농산물_7월'!$H:$H,'RAW_농산물_7월'!$D:$D,$C157,'RAW_농산물_7월'!$A:$A,$E157)))</f>
        <v>5136630</v>
      </c>
      <c r="O157" s="7">
        <f>IF($C157="","",IF(COUNTA('RAW_농산물_8월'!$A:$A)&lt;=1,"",SUMIFS('RAW_농산물_8월'!$H:$H,'RAW_농산물_8월'!$D:$D,$C157,'RAW_농산물_8월'!$A:$A,$E157)-SUMIFS('RAW_농산물_7월'!$H:$H,'RAW_농산물_7월'!$D:$D,$C157,'RAW_농산물_7월'!$A:$A,$E157)))</f>
        <v>0</v>
      </c>
      <c r="P157" s="7" t="str">
        <f>IF($C157="","",IF(COUNTA('RAW_농산물_9월'!$A:$A)&lt;=1,"",SUMIFS('RAW_농산물_9월'!$H:$H,'RAW_농산물_9월'!$D:$D,$C157,'RAW_농산물_9월'!$A:$A,$E157)-SUMIFS('RAW_농산물_8월'!$H:$H,'RAW_농산물_8월'!$D:$D,$C157,'RAW_농산물_8월'!$A:$A,$E157)))</f>
        <v/>
      </c>
      <c r="Q157" s="7" t="str">
        <f>IF($C157="","",IF(COUNTA('RAW_농산물_10월'!$A:$A)&lt;=1,"",SUMIFS('RAW_농산물_10월'!$H:$H,'RAW_농산물_10월'!$D:$D,$C157,'RAW_농산물_10월'!$A:$A,$E157)-SUMIFS('RAW_농산물_9월'!$H:$H,'RAW_농산물_9월'!$D:$D,$C157,'RAW_농산물_9월'!$A:$A,$E157)))</f>
        <v/>
      </c>
      <c r="R157" s="7" t="str">
        <f>IF($C157="","",IF(COUNTA('RAW_농산물_11-12월'!$A:$A)&lt;=1,"",SUMIFS('RAW_농산물_11-12월'!$H:$H,'RAW_농산물_11-12월'!$D:$D,$C157,'RAW_농산물_11-12월'!$A:$A,$E157)-SUMIFS('RAW_농산물_10월'!$H:$H,'RAW_농산물_10월'!$D:$D,$C157,'RAW_농산물_10월'!$A:$A,$E157)))</f>
        <v/>
      </c>
      <c r="S157" s="17" t="str">
        <f t="shared" si="4"/>
        <v>O</v>
      </c>
      <c r="T157" s="17" t="str">
        <f t="shared" si="5"/>
        <v>600만원 미만</v>
      </c>
      <c r="U157" s="7">
        <f>IF($C157="",0,IF('설정'!$B$3=0,0,CHOOSE('설정'!$B$3,COUNTIFS('RAW_농산물_7월'!$D:$D,$C157,'RAW_농산물_7월'!$A:$A,$E157),COUNTIFS('RAW_농산물_8월'!$D:$D,$C157,'RAW_농산물_8월'!$A:$A,$E157),COUNTIFS('RAW_농산물_9월'!$D:$D,$C157,'RAW_농산물_9월'!$A:$A,$E157),COUNTIFS('RAW_농산물_10월'!$D:$D,$C157,'RAW_농산물_10월'!$A:$A,$E157),COUNTIFS('RAW_농산물_11-12월'!$D:$D,$C157,'RAW_농산물_11-12월'!$A:$A,$E157))))</f>
        <v>5</v>
      </c>
    </row>
    <row r="158" ht="15.75" customHeight="1">
      <c r="A158" s="5">
        <v>156.0</v>
      </c>
      <c r="B158" s="5" t="s">
        <v>108</v>
      </c>
      <c r="C158" s="5" t="s">
        <v>2971</v>
      </c>
      <c r="D158" s="6" t="s">
        <v>2972</v>
      </c>
      <c r="E158" s="5" t="s">
        <v>94</v>
      </c>
      <c r="F158" s="7">
        <f>IF($C158="","",IF('설정'!$B$3=0,"",CHOOSE('설정'!$B$3,SUMIFS('RAW_농산물_7월'!$F:$F,'RAW_농산물_7월'!$D:$D,$C158,'RAW_농산물_7월'!$A:$A,$E158),SUMIFS('RAW_농산물_8월'!$F:$F,'RAW_농산물_8월'!$D:$D,$C158,'RAW_농산물_8월'!$A:$A,$E158),SUMIFS('RAW_농산물_9월'!$F:$F,'RAW_농산물_9월'!$D:$D,$C158,'RAW_농산물_9월'!$A:$A,$E158),SUMIFS('RAW_농산물_10월'!$F:$F,'RAW_농산물_10월'!$D:$D,$C158,'RAW_농산물_10월'!$A:$A,$E158),SUMIFS('RAW_농산물_11-12월'!$F:$F,'RAW_농산물_11-12월'!$D:$D,$C158,'RAW_농산물_11-12월'!$A:$A,$E158))))</f>
        <v>0</v>
      </c>
      <c r="G158" s="7">
        <f>IF($C158="","",IF('설정'!$B$3=0,"",CHOOSE('설정'!$B$3,SUMIFS('RAW_농산물_7월'!$G:$G,'RAW_농산물_7월'!$D:$D,$C158,'RAW_농산물_7월'!$A:$A,$E158),SUMIFS('RAW_농산물_8월'!$G:$G,'RAW_농산물_8월'!$D:$D,$C158,'RAW_농산물_8월'!$A:$A,$E158),SUMIFS('RAW_농산물_9월'!$G:$G,'RAW_농산물_9월'!$D:$D,$C158,'RAW_농산물_9월'!$A:$A,$E158),SUMIFS('RAW_농산물_10월'!$G:$G,'RAW_농산물_10월'!$D:$D,$C158,'RAW_농산물_10월'!$A:$A,$E158),SUMIFS('RAW_농산물_11-12월'!$G:$G,'RAW_농산물_11-12월'!$D:$D,$C158,'RAW_농산물_11-12월'!$A:$A,$E158))))</f>
        <v>0</v>
      </c>
      <c r="H158" s="14">
        <f>IF($C158="","",IF('설정'!$B$3=0,"",CHOOSE('설정'!$B$3,SUMIFS('RAW_농산물_7월'!$H:$H,'RAW_농산물_7월'!$D:$D,$C158,'RAW_농산물_7월'!$A:$A,$E158),SUMIFS('RAW_농산물_8월'!$H:$H,'RAW_농산물_8월'!$D:$D,$C158,'RAW_농산물_8월'!$A:$A,$E158),SUMIFS('RAW_농산물_9월'!$H:$H,'RAW_농산물_9월'!$D:$D,$C158,'RAW_농산물_9월'!$A:$A,$E158),SUMIFS('RAW_농산물_10월'!$H:$H,'RAW_농산물_10월'!$D:$D,$C158,'RAW_농산물_10월'!$A:$A,$E158),SUMIFS('RAW_농산물_11-12월'!$H:$H,'RAW_농산물_11-12월'!$D:$D,$C158,'RAW_농산물_11-12월'!$A:$A,$E158))))</f>
        <v>0</v>
      </c>
      <c r="I158" s="17" t="str">
        <f>IF($C158="","",IF(COUNTIFS('RAW_농산물_7월'!$D:$D,$C158,'RAW_농산물_7월'!$A:$A,$E158)&gt;0,"O",""))</f>
        <v/>
      </c>
      <c r="J158" s="17" t="str">
        <f>IF($C158="","",IF(COUNTIFS('RAW_농산물_8월'!$D:$D,$C158,'RAW_농산물_8월'!$A:$A,$E158)&gt;0,"O",""))</f>
        <v/>
      </c>
      <c r="K158" s="17" t="str">
        <f>IF($C158="","",IF(COUNTIFS('RAW_농산물_9월'!$D:$D,$C158,'RAW_농산물_9월'!$A:$A,$E158)&gt;0,"O",""))</f>
        <v/>
      </c>
      <c r="L158" s="17" t="str">
        <f>IF($C158="","",IF(COUNTIFS('RAW_농산물_10월'!$D:$D,$C158,'RAW_농산물_10월'!$A:$A,$E158)&gt;0,"O",""))</f>
        <v/>
      </c>
      <c r="M158" s="17" t="str">
        <f>IF($C158="","",IF(COUNTIFS('RAW_농산물_11-12월'!$D:$D,$C158,'RAW_농산물_11-12월'!$A:$A,$E158)&gt;0,"O",""))</f>
        <v/>
      </c>
      <c r="N158" s="7">
        <f>IF($C158="","",IF(COUNTA('RAW_농산물_7월'!$A:$A)&lt;=1,"",SUMIFS('RAW_농산물_7월'!$H:$H,'RAW_농산물_7월'!$D:$D,$C158,'RAW_농산물_7월'!$A:$A,$E158)))</f>
        <v>0</v>
      </c>
      <c r="O158" s="7">
        <f>IF($C158="","",IF(COUNTA('RAW_농산물_8월'!$A:$A)&lt;=1,"",SUMIFS('RAW_농산물_8월'!$H:$H,'RAW_농산물_8월'!$D:$D,$C158,'RAW_농산물_8월'!$A:$A,$E158)-SUMIFS('RAW_농산물_7월'!$H:$H,'RAW_농산물_7월'!$D:$D,$C158,'RAW_농산물_7월'!$A:$A,$E158)))</f>
        <v>0</v>
      </c>
      <c r="P158" s="7" t="str">
        <f>IF($C158="","",IF(COUNTA('RAW_농산물_9월'!$A:$A)&lt;=1,"",SUMIFS('RAW_농산물_9월'!$H:$H,'RAW_농산물_9월'!$D:$D,$C158,'RAW_농산물_9월'!$A:$A,$E158)-SUMIFS('RAW_농산물_8월'!$H:$H,'RAW_농산물_8월'!$D:$D,$C158,'RAW_농산물_8월'!$A:$A,$E158)))</f>
        <v/>
      </c>
      <c r="Q158" s="7" t="str">
        <f>IF($C158="","",IF(COUNTA('RAW_농산물_10월'!$A:$A)&lt;=1,"",SUMIFS('RAW_농산물_10월'!$H:$H,'RAW_농산물_10월'!$D:$D,$C158,'RAW_농산물_10월'!$A:$A,$E158)-SUMIFS('RAW_농산물_9월'!$H:$H,'RAW_농산물_9월'!$D:$D,$C158,'RAW_농산물_9월'!$A:$A,$E158)))</f>
        <v/>
      </c>
      <c r="R158" s="7" t="str">
        <f>IF($C158="","",IF(COUNTA('RAW_농산물_11-12월'!$A:$A)&lt;=1,"",SUMIFS('RAW_농산물_11-12월'!$H:$H,'RAW_농산물_11-12월'!$D:$D,$C158,'RAW_농산물_11-12월'!$A:$A,$E158)-SUMIFS('RAW_농산물_10월'!$H:$H,'RAW_농산물_10월'!$D:$D,$C158,'RAW_농산물_10월'!$A:$A,$E158)))</f>
        <v/>
      </c>
      <c r="S158" s="17" t="str">
        <f t="shared" si="4"/>
        <v/>
      </c>
      <c r="T158" s="17" t="str">
        <f t="shared" si="5"/>
        <v>미사용</v>
      </c>
      <c r="U158" s="7">
        <f>IF($C158="",0,IF('설정'!$B$3=0,0,CHOOSE('설정'!$B$3,COUNTIFS('RAW_농산물_7월'!$D:$D,$C158,'RAW_농산물_7월'!$A:$A,$E158),COUNTIFS('RAW_농산물_8월'!$D:$D,$C158,'RAW_농산물_8월'!$A:$A,$E158),COUNTIFS('RAW_농산물_9월'!$D:$D,$C158,'RAW_농산물_9월'!$A:$A,$E158),COUNTIFS('RAW_농산물_10월'!$D:$D,$C158,'RAW_농산물_10월'!$A:$A,$E158),COUNTIFS('RAW_농산물_11-12월'!$D:$D,$C158,'RAW_농산물_11-12월'!$A:$A,$E158))))</f>
        <v>0</v>
      </c>
    </row>
    <row r="159" ht="15.75" customHeight="1">
      <c r="A159" s="5">
        <v>157.0</v>
      </c>
      <c r="B159" s="5" t="s">
        <v>25</v>
      </c>
      <c r="C159" s="5" t="s">
        <v>580</v>
      </c>
      <c r="D159" s="6" t="s">
        <v>579</v>
      </c>
      <c r="E159" s="5" t="s">
        <v>92</v>
      </c>
      <c r="F159" s="7">
        <f>IF($C159="","",IF('설정'!$B$3=0,"",CHOOSE('설정'!$B$3,SUMIFS('RAW_농산물_7월'!$F:$F,'RAW_농산물_7월'!$D:$D,$C159,'RAW_농산물_7월'!$A:$A,$E159),SUMIFS('RAW_농산물_8월'!$F:$F,'RAW_농산물_8월'!$D:$D,$C159,'RAW_농산물_8월'!$A:$A,$E159),SUMIFS('RAW_농산물_9월'!$F:$F,'RAW_농산물_9월'!$D:$D,$C159,'RAW_농산물_9월'!$A:$A,$E159),SUMIFS('RAW_농산물_10월'!$F:$F,'RAW_농산물_10월'!$D:$D,$C159,'RAW_농산물_10월'!$A:$A,$E159),SUMIFS('RAW_농산물_11-12월'!$F:$F,'RAW_농산물_11-12월'!$D:$D,$C159,'RAW_농산물_11-12월'!$A:$A,$E159))))</f>
        <v>67</v>
      </c>
      <c r="G159" s="7">
        <f>IF($C159="","",IF('설정'!$B$3=0,"",CHOOSE('설정'!$B$3,SUMIFS('RAW_농산물_7월'!$G:$G,'RAW_농산물_7월'!$D:$D,$C159,'RAW_농산물_7월'!$A:$A,$E159),SUMIFS('RAW_농산물_8월'!$G:$G,'RAW_농산물_8월'!$D:$D,$C159,'RAW_농산물_8월'!$A:$A,$E159),SUMIFS('RAW_농산물_9월'!$G:$G,'RAW_농산물_9월'!$D:$D,$C159,'RAW_농산물_9월'!$A:$A,$E159),SUMIFS('RAW_농산물_10월'!$G:$G,'RAW_농산물_10월'!$D:$D,$C159,'RAW_농산물_10월'!$A:$A,$E159),SUMIFS('RAW_농산물_11-12월'!$G:$G,'RAW_농산물_11-12월'!$D:$D,$C159,'RAW_농산물_11-12월'!$A:$A,$E159))))</f>
        <v>1124600</v>
      </c>
      <c r="H159" s="14">
        <f>IF($C159="","",IF('설정'!$B$3=0,"",CHOOSE('설정'!$B$3,SUMIFS('RAW_농산물_7월'!$H:$H,'RAW_농산물_7월'!$D:$D,$C159,'RAW_농산물_7월'!$A:$A,$E159),SUMIFS('RAW_농산물_8월'!$H:$H,'RAW_농산물_8월'!$D:$D,$C159,'RAW_농산물_8월'!$A:$A,$E159),SUMIFS('RAW_농산물_9월'!$H:$H,'RAW_농산물_9월'!$D:$D,$C159,'RAW_농산물_9월'!$A:$A,$E159),SUMIFS('RAW_농산물_10월'!$H:$H,'RAW_농산물_10월'!$D:$D,$C159,'RAW_농산물_10월'!$A:$A,$E159),SUMIFS('RAW_농산물_11-12월'!$H:$H,'RAW_농산물_11-12월'!$D:$D,$C159,'RAW_농산물_11-12월'!$A:$A,$E159))))</f>
        <v>70540</v>
      </c>
      <c r="I159" s="17" t="str">
        <f>IF($C159="","",IF(COUNTIFS('RAW_농산물_7월'!$D:$D,$C159,'RAW_농산물_7월'!$A:$A,$E159)&gt;0,"O",""))</f>
        <v>O</v>
      </c>
      <c r="J159" s="17" t="str">
        <f>IF($C159="","",IF(COUNTIFS('RAW_농산물_8월'!$D:$D,$C159,'RAW_농산물_8월'!$A:$A,$E159)&gt;0,"O",""))</f>
        <v>O</v>
      </c>
      <c r="K159" s="17" t="str">
        <f>IF($C159="","",IF(COUNTIFS('RAW_농산물_9월'!$D:$D,$C159,'RAW_농산물_9월'!$A:$A,$E159)&gt;0,"O",""))</f>
        <v/>
      </c>
      <c r="L159" s="17" t="str">
        <f>IF($C159="","",IF(COUNTIFS('RAW_농산물_10월'!$D:$D,$C159,'RAW_농산물_10월'!$A:$A,$E159)&gt;0,"O",""))</f>
        <v/>
      </c>
      <c r="M159" s="17" t="str">
        <f>IF($C159="","",IF(COUNTIFS('RAW_농산물_11-12월'!$D:$D,$C159,'RAW_농산물_11-12월'!$A:$A,$E159)&gt;0,"O",""))</f>
        <v/>
      </c>
      <c r="N159" s="7">
        <f>IF($C159="","",IF(COUNTA('RAW_농산물_7월'!$A:$A)&lt;=1,"",SUMIFS('RAW_농산물_7월'!$H:$H,'RAW_농산물_7월'!$D:$D,$C159,'RAW_농산물_7월'!$A:$A,$E159)))</f>
        <v>2340</v>
      </c>
      <c r="O159" s="7">
        <f>IF($C159="","",IF(COUNTA('RAW_농산물_8월'!$A:$A)&lt;=1,"",SUMIFS('RAW_농산물_8월'!$H:$H,'RAW_농산물_8월'!$D:$D,$C159,'RAW_농산물_8월'!$A:$A,$E159)-SUMIFS('RAW_농산물_7월'!$H:$H,'RAW_농산물_7월'!$D:$D,$C159,'RAW_농산물_7월'!$A:$A,$E159)))</f>
        <v>68200</v>
      </c>
      <c r="P159" s="7" t="str">
        <f>IF($C159="","",IF(COUNTA('RAW_농산물_9월'!$A:$A)&lt;=1,"",SUMIFS('RAW_농산물_9월'!$H:$H,'RAW_농산물_9월'!$D:$D,$C159,'RAW_농산물_9월'!$A:$A,$E159)-SUMIFS('RAW_농산물_8월'!$H:$H,'RAW_농산물_8월'!$D:$D,$C159,'RAW_농산물_8월'!$A:$A,$E159)))</f>
        <v/>
      </c>
      <c r="Q159" s="7" t="str">
        <f>IF($C159="","",IF(COUNTA('RAW_농산물_10월'!$A:$A)&lt;=1,"",SUMIFS('RAW_농산물_10월'!$H:$H,'RAW_농산물_10월'!$D:$D,$C159,'RAW_농산물_10월'!$A:$A,$E159)-SUMIFS('RAW_농산물_9월'!$H:$H,'RAW_농산물_9월'!$D:$D,$C159,'RAW_농산물_9월'!$A:$A,$E159)))</f>
        <v/>
      </c>
      <c r="R159" s="7" t="str">
        <f>IF($C159="","",IF(COUNTA('RAW_농산물_11-12월'!$A:$A)&lt;=1,"",SUMIFS('RAW_농산물_11-12월'!$H:$H,'RAW_농산물_11-12월'!$D:$D,$C159,'RAW_농산물_11-12월'!$A:$A,$E159)-SUMIFS('RAW_농산물_10월'!$H:$H,'RAW_농산물_10월'!$D:$D,$C159,'RAW_농산물_10월'!$A:$A,$E159)))</f>
        <v/>
      </c>
      <c r="S159" s="17" t="str">
        <f t="shared" si="4"/>
        <v>O</v>
      </c>
      <c r="T159" s="17" t="str">
        <f t="shared" si="5"/>
        <v>50만원 미만</v>
      </c>
      <c r="U159" s="7">
        <f>IF($C159="",0,IF('설정'!$B$3=0,0,CHOOSE('설정'!$B$3,COUNTIFS('RAW_농산물_7월'!$D:$D,$C159,'RAW_농산물_7월'!$A:$A,$E159),COUNTIFS('RAW_농산물_8월'!$D:$D,$C159,'RAW_농산물_8월'!$A:$A,$E159),COUNTIFS('RAW_농산물_9월'!$D:$D,$C159,'RAW_농산물_9월'!$A:$A,$E159),COUNTIFS('RAW_농산물_10월'!$D:$D,$C159,'RAW_농산물_10월'!$A:$A,$E159),COUNTIFS('RAW_농산물_11-12월'!$D:$D,$C159,'RAW_농산물_11-12월'!$A:$A,$E159))))</f>
        <v>1</v>
      </c>
    </row>
    <row r="160" ht="15.75" customHeight="1">
      <c r="A160" s="5">
        <v>158.0</v>
      </c>
      <c r="B160" s="5" t="s">
        <v>108</v>
      </c>
      <c r="C160" s="5" t="s">
        <v>1238</v>
      </c>
      <c r="D160" s="6" t="s">
        <v>1237</v>
      </c>
      <c r="E160" s="5" t="s">
        <v>94</v>
      </c>
      <c r="F160" s="7">
        <f>IF($C160="","",IF('설정'!$B$3=0,"",CHOOSE('설정'!$B$3,SUMIFS('RAW_농산물_7월'!$F:$F,'RAW_농산물_7월'!$D:$D,$C160,'RAW_농산물_7월'!$A:$A,$E160),SUMIFS('RAW_농산물_8월'!$F:$F,'RAW_농산물_8월'!$D:$D,$C160,'RAW_농산물_8월'!$A:$A,$E160),SUMIFS('RAW_농산물_9월'!$F:$F,'RAW_농산물_9월'!$D:$D,$C160,'RAW_농산물_9월'!$A:$A,$E160),SUMIFS('RAW_농산물_10월'!$F:$F,'RAW_농산물_10월'!$D:$D,$C160,'RAW_농산물_10월'!$A:$A,$E160),SUMIFS('RAW_농산물_11-12월'!$F:$F,'RAW_농산물_11-12월'!$D:$D,$C160,'RAW_농산물_11-12월'!$A:$A,$E160))))</f>
        <v>202</v>
      </c>
      <c r="G160" s="7">
        <f>IF($C160="","",IF('설정'!$B$3=0,"",CHOOSE('설정'!$B$3,SUMIFS('RAW_농산물_7월'!$G:$G,'RAW_농산물_7월'!$D:$D,$C160,'RAW_농산물_7월'!$A:$A,$E160),SUMIFS('RAW_농산물_8월'!$G:$G,'RAW_농산물_8월'!$D:$D,$C160,'RAW_농산물_8월'!$A:$A,$E160),SUMIFS('RAW_농산물_9월'!$G:$G,'RAW_농산물_9월'!$D:$D,$C160,'RAW_농산물_9월'!$A:$A,$E160),SUMIFS('RAW_농산물_10월'!$G:$G,'RAW_농산물_10월'!$D:$D,$C160,'RAW_농산물_10월'!$A:$A,$E160),SUMIFS('RAW_농산물_11-12월'!$G:$G,'RAW_농산물_11-12월'!$D:$D,$C160,'RAW_농산물_11-12월'!$A:$A,$E160))))</f>
        <v>2546000</v>
      </c>
      <c r="H160" s="14">
        <f>IF($C160="","",IF('설정'!$B$3=0,"",CHOOSE('설정'!$B$3,SUMIFS('RAW_농산물_7월'!$H:$H,'RAW_농산물_7월'!$D:$D,$C160,'RAW_농산물_7월'!$A:$A,$E160),SUMIFS('RAW_농산물_8월'!$H:$H,'RAW_농산물_8월'!$D:$D,$C160,'RAW_농산물_8월'!$A:$A,$E160),SUMIFS('RAW_농산물_9월'!$H:$H,'RAW_농산물_9월'!$D:$D,$C160,'RAW_농산물_9월'!$A:$A,$E160),SUMIFS('RAW_농산물_10월'!$H:$H,'RAW_농산물_10월'!$D:$D,$C160,'RAW_농산물_10월'!$A:$A,$E160),SUMIFS('RAW_농산물_11-12월'!$H:$H,'RAW_농산물_11-12월'!$D:$D,$C160,'RAW_농산물_11-12월'!$A:$A,$E160))))</f>
        <v>288388</v>
      </c>
      <c r="I160" s="17" t="str">
        <f>IF($C160="","",IF(COUNTIFS('RAW_농산물_7월'!$D:$D,$C160,'RAW_농산물_7월'!$A:$A,$E160)&gt;0,"O",""))</f>
        <v>O</v>
      </c>
      <c r="J160" s="17" t="str">
        <f>IF($C160="","",IF(COUNTIFS('RAW_농산물_8월'!$D:$D,$C160,'RAW_농산물_8월'!$A:$A,$E160)&gt;0,"O",""))</f>
        <v>O</v>
      </c>
      <c r="K160" s="17" t="str">
        <f>IF($C160="","",IF(COUNTIFS('RAW_농산물_9월'!$D:$D,$C160,'RAW_농산물_9월'!$A:$A,$E160)&gt;0,"O",""))</f>
        <v/>
      </c>
      <c r="L160" s="17" t="str">
        <f>IF($C160="","",IF(COUNTIFS('RAW_농산물_10월'!$D:$D,$C160,'RAW_농산물_10월'!$A:$A,$E160)&gt;0,"O",""))</f>
        <v/>
      </c>
      <c r="M160" s="17" t="str">
        <f>IF($C160="","",IF(COUNTIFS('RAW_농산물_11-12월'!$D:$D,$C160,'RAW_농산물_11-12월'!$A:$A,$E160)&gt;0,"O",""))</f>
        <v/>
      </c>
      <c r="N160" s="7">
        <f>IF($C160="","",IF(COUNTA('RAW_농산물_7월'!$A:$A)&lt;=1,"",SUMIFS('RAW_농산물_7월'!$H:$H,'RAW_농산물_7월'!$D:$D,$C160,'RAW_농산물_7월'!$A:$A,$E160)))</f>
        <v>92982</v>
      </c>
      <c r="O160" s="7">
        <f>IF($C160="","",IF(COUNTA('RAW_농산물_8월'!$A:$A)&lt;=1,"",SUMIFS('RAW_농산물_8월'!$H:$H,'RAW_농산물_8월'!$D:$D,$C160,'RAW_농산물_8월'!$A:$A,$E160)-SUMIFS('RAW_농산물_7월'!$H:$H,'RAW_농산물_7월'!$D:$D,$C160,'RAW_농산물_7월'!$A:$A,$E160)))</f>
        <v>195406</v>
      </c>
      <c r="P160" s="7" t="str">
        <f>IF($C160="","",IF(COUNTA('RAW_농산물_9월'!$A:$A)&lt;=1,"",SUMIFS('RAW_농산물_9월'!$H:$H,'RAW_농산물_9월'!$D:$D,$C160,'RAW_농산물_9월'!$A:$A,$E160)-SUMIFS('RAW_농산물_8월'!$H:$H,'RAW_농산물_8월'!$D:$D,$C160,'RAW_농산물_8월'!$A:$A,$E160)))</f>
        <v/>
      </c>
      <c r="Q160" s="7" t="str">
        <f>IF($C160="","",IF(COUNTA('RAW_농산물_10월'!$A:$A)&lt;=1,"",SUMIFS('RAW_농산물_10월'!$H:$H,'RAW_농산물_10월'!$D:$D,$C160,'RAW_농산물_10월'!$A:$A,$E160)-SUMIFS('RAW_농산물_9월'!$H:$H,'RAW_농산물_9월'!$D:$D,$C160,'RAW_농산물_9월'!$A:$A,$E160)))</f>
        <v/>
      </c>
      <c r="R160" s="7" t="str">
        <f>IF($C160="","",IF(COUNTA('RAW_농산물_11-12월'!$A:$A)&lt;=1,"",SUMIFS('RAW_농산물_11-12월'!$H:$H,'RAW_농산물_11-12월'!$D:$D,$C160,'RAW_농산물_11-12월'!$A:$A,$E160)-SUMIFS('RAW_농산물_10월'!$H:$H,'RAW_농산물_10월'!$D:$D,$C160,'RAW_농산물_10월'!$A:$A,$E160)))</f>
        <v/>
      </c>
      <c r="S160" s="17" t="str">
        <f t="shared" si="4"/>
        <v>O</v>
      </c>
      <c r="T160" s="17" t="str">
        <f t="shared" si="5"/>
        <v>50만원 미만</v>
      </c>
      <c r="U160" s="7">
        <f>IF($C160="",0,IF('설정'!$B$3=0,0,CHOOSE('설정'!$B$3,COUNTIFS('RAW_농산물_7월'!$D:$D,$C160,'RAW_농산물_7월'!$A:$A,$E160),COUNTIFS('RAW_농산물_8월'!$D:$D,$C160,'RAW_농산물_8월'!$A:$A,$E160),COUNTIFS('RAW_농산물_9월'!$D:$D,$C160,'RAW_농산물_9월'!$A:$A,$E160),COUNTIFS('RAW_농산물_10월'!$D:$D,$C160,'RAW_농산물_10월'!$A:$A,$E160),COUNTIFS('RAW_농산물_11-12월'!$D:$D,$C160,'RAW_농산물_11-12월'!$A:$A,$E160))))</f>
        <v>1</v>
      </c>
    </row>
    <row r="161" ht="15.75" customHeight="1">
      <c r="A161" s="5">
        <v>159.0</v>
      </c>
      <c r="B161" s="5" t="s">
        <v>25</v>
      </c>
      <c r="C161" s="5" t="s">
        <v>2973</v>
      </c>
      <c r="D161" s="6" t="s">
        <v>2974</v>
      </c>
      <c r="E161" s="5" t="s">
        <v>93</v>
      </c>
      <c r="F161" s="7">
        <f>IF($C161="","",IF('설정'!$B$3=0,"",CHOOSE('설정'!$B$3,SUMIFS('RAW_농산물_7월'!$F:$F,'RAW_농산물_7월'!$D:$D,$C161,'RAW_농산물_7월'!$A:$A,$E161),SUMIFS('RAW_농산물_8월'!$F:$F,'RAW_농산물_8월'!$D:$D,$C161,'RAW_농산물_8월'!$A:$A,$E161),SUMIFS('RAW_농산물_9월'!$F:$F,'RAW_농산물_9월'!$D:$D,$C161,'RAW_농산물_9월'!$A:$A,$E161),SUMIFS('RAW_농산물_10월'!$F:$F,'RAW_농산물_10월'!$D:$D,$C161,'RAW_농산물_10월'!$A:$A,$E161),SUMIFS('RAW_농산물_11-12월'!$F:$F,'RAW_농산물_11-12월'!$D:$D,$C161,'RAW_농산물_11-12월'!$A:$A,$E161))))</f>
        <v>0</v>
      </c>
      <c r="G161" s="7">
        <f>IF($C161="","",IF('설정'!$B$3=0,"",CHOOSE('설정'!$B$3,SUMIFS('RAW_농산물_7월'!$G:$G,'RAW_농산물_7월'!$D:$D,$C161,'RAW_농산물_7월'!$A:$A,$E161),SUMIFS('RAW_농산물_8월'!$G:$G,'RAW_농산물_8월'!$D:$D,$C161,'RAW_농산물_8월'!$A:$A,$E161),SUMIFS('RAW_농산물_9월'!$G:$G,'RAW_농산물_9월'!$D:$D,$C161,'RAW_농산물_9월'!$A:$A,$E161),SUMIFS('RAW_농산물_10월'!$G:$G,'RAW_농산물_10월'!$D:$D,$C161,'RAW_농산물_10월'!$A:$A,$E161),SUMIFS('RAW_농산물_11-12월'!$G:$G,'RAW_농산물_11-12월'!$D:$D,$C161,'RAW_농산물_11-12월'!$A:$A,$E161))))</f>
        <v>0</v>
      </c>
      <c r="H161" s="14">
        <f>IF($C161="","",IF('설정'!$B$3=0,"",CHOOSE('설정'!$B$3,SUMIFS('RAW_농산물_7월'!$H:$H,'RAW_농산물_7월'!$D:$D,$C161,'RAW_농산물_7월'!$A:$A,$E161),SUMIFS('RAW_농산물_8월'!$H:$H,'RAW_농산물_8월'!$D:$D,$C161,'RAW_농산물_8월'!$A:$A,$E161),SUMIFS('RAW_농산물_9월'!$H:$H,'RAW_농산물_9월'!$D:$D,$C161,'RAW_농산물_9월'!$A:$A,$E161),SUMIFS('RAW_농산물_10월'!$H:$H,'RAW_농산물_10월'!$D:$D,$C161,'RAW_농산물_10월'!$A:$A,$E161),SUMIFS('RAW_농산물_11-12월'!$H:$H,'RAW_농산물_11-12월'!$D:$D,$C161,'RAW_농산물_11-12월'!$A:$A,$E161))))</f>
        <v>0</v>
      </c>
      <c r="I161" s="17" t="str">
        <f>IF($C161="","",IF(COUNTIFS('RAW_농산물_7월'!$D:$D,$C161,'RAW_농산물_7월'!$A:$A,$E161)&gt;0,"O",""))</f>
        <v/>
      </c>
      <c r="J161" s="17" t="str">
        <f>IF($C161="","",IF(COUNTIFS('RAW_농산물_8월'!$D:$D,$C161,'RAW_농산물_8월'!$A:$A,$E161)&gt;0,"O",""))</f>
        <v/>
      </c>
      <c r="K161" s="17" t="str">
        <f>IF($C161="","",IF(COUNTIFS('RAW_농산물_9월'!$D:$D,$C161,'RAW_농산물_9월'!$A:$A,$E161)&gt;0,"O",""))</f>
        <v/>
      </c>
      <c r="L161" s="17" t="str">
        <f>IF($C161="","",IF(COUNTIFS('RAW_농산물_10월'!$D:$D,$C161,'RAW_농산물_10월'!$A:$A,$E161)&gt;0,"O",""))</f>
        <v/>
      </c>
      <c r="M161" s="17" t="str">
        <f>IF($C161="","",IF(COUNTIFS('RAW_농산물_11-12월'!$D:$D,$C161,'RAW_농산물_11-12월'!$A:$A,$E161)&gt;0,"O",""))</f>
        <v/>
      </c>
      <c r="N161" s="7">
        <f>IF($C161="","",IF(COUNTA('RAW_농산물_7월'!$A:$A)&lt;=1,"",SUMIFS('RAW_농산물_7월'!$H:$H,'RAW_농산물_7월'!$D:$D,$C161,'RAW_농산물_7월'!$A:$A,$E161)))</f>
        <v>0</v>
      </c>
      <c r="O161" s="7">
        <f>IF($C161="","",IF(COUNTA('RAW_농산물_8월'!$A:$A)&lt;=1,"",SUMIFS('RAW_농산물_8월'!$H:$H,'RAW_농산물_8월'!$D:$D,$C161,'RAW_농산물_8월'!$A:$A,$E161)-SUMIFS('RAW_농산물_7월'!$H:$H,'RAW_농산물_7월'!$D:$D,$C161,'RAW_농산물_7월'!$A:$A,$E161)))</f>
        <v>0</v>
      </c>
      <c r="P161" s="7" t="str">
        <f>IF($C161="","",IF(COUNTA('RAW_농산물_9월'!$A:$A)&lt;=1,"",SUMIFS('RAW_농산물_9월'!$H:$H,'RAW_농산물_9월'!$D:$D,$C161,'RAW_농산물_9월'!$A:$A,$E161)-SUMIFS('RAW_농산물_8월'!$H:$H,'RAW_농산물_8월'!$D:$D,$C161,'RAW_농산물_8월'!$A:$A,$E161)))</f>
        <v/>
      </c>
      <c r="Q161" s="7" t="str">
        <f>IF($C161="","",IF(COUNTA('RAW_농산물_10월'!$A:$A)&lt;=1,"",SUMIFS('RAW_농산물_10월'!$H:$H,'RAW_농산물_10월'!$D:$D,$C161,'RAW_농산물_10월'!$A:$A,$E161)-SUMIFS('RAW_농산물_9월'!$H:$H,'RAW_농산물_9월'!$D:$D,$C161,'RAW_농산물_9월'!$A:$A,$E161)))</f>
        <v/>
      </c>
      <c r="R161" s="7" t="str">
        <f>IF($C161="","",IF(COUNTA('RAW_농산물_11-12월'!$A:$A)&lt;=1,"",SUMIFS('RAW_농산물_11-12월'!$H:$H,'RAW_농산물_11-12월'!$D:$D,$C161,'RAW_농산물_11-12월'!$A:$A,$E161)-SUMIFS('RAW_농산물_10월'!$H:$H,'RAW_농산물_10월'!$D:$D,$C161,'RAW_농산물_10월'!$A:$A,$E161)))</f>
        <v/>
      </c>
      <c r="S161" s="17" t="str">
        <f t="shared" si="4"/>
        <v/>
      </c>
      <c r="T161" s="17" t="str">
        <f t="shared" si="5"/>
        <v>미사용</v>
      </c>
      <c r="U161" s="7">
        <f>IF($C161="",0,IF('설정'!$B$3=0,0,CHOOSE('설정'!$B$3,COUNTIFS('RAW_농산물_7월'!$D:$D,$C161,'RAW_농산물_7월'!$A:$A,$E161),COUNTIFS('RAW_농산물_8월'!$D:$D,$C161,'RAW_농산물_8월'!$A:$A,$E161),COUNTIFS('RAW_농산물_9월'!$D:$D,$C161,'RAW_농산물_9월'!$A:$A,$E161),COUNTIFS('RAW_농산물_10월'!$D:$D,$C161,'RAW_농산물_10월'!$A:$A,$E161),COUNTIFS('RAW_농산물_11-12월'!$D:$D,$C161,'RAW_농산물_11-12월'!$A:$A,$E161))))</f>
        <v>0</v>
      </c>
    </row>
    <row r="162" ht="15.75" customHeight="1">
      <c r="A162" s="5">
        <v>160.0</v>
      </c>
      <c r="B162" s="5" t="s">
        <v>25</v>
      </c>
      <c r="C162" s="5" t="s">
        <v>2975</v>
      </c>
      <c r="D162" s="6" t="s">
        <v>2976</v>
      </c>
      <c r="E162" s="5" t="s">
        <v>93</v>
      </c>
      <c r="F162" s="7">
        <f>IF($C162="","",IF('설정'!$B$3=0,"",CHOOSE('설정'!$B$3,SUMIFS('RAW_농산물_7월'!$F:$F,'RAW_농산물_7월'!$D:$D,$C162,'RAW_농산물_7월'!$A:$A,$E162),SUMIFS('RAW_농산물_8월'!$F:$F,'RAW_농산물_8월'!$D:$D,$C162,'RAW_농산물_8월'!$A:$A,$E162),SUMIFS('RAW_농산물_9월'!$F:$F,'RAW_농산물_9월'!$D:$D,$C162,'RAW_농산물_9월'!$A:$A,$E162),SUMIFS('RAW_농산물_10월'!$F:$F,'RAW_농산물_10월'!$D:$D,$C162,'RAW_농산물_10월'!$A:$A,$E162),SUMIFS('RAW_농산물_11-12월'!$F:$F,'RAW_농산물_11-12월'!$D:$D,$C162,'RAW_농산물_11-12월'!$A:$A,$E162))))</f>
        <v>0</v>
      </c>
      <c r="G162" s="7">
        <f>IF($C162="","",IF('설정'!$B$3=0,"",CHOOSE('설정'!$B$3,SUMIFS('RAW_농산물_7월'!$G:$G,'RAW_농산물_7월'!$D:$D,$C162,'RAW_농산물_7월'!$A:$A,$E162),SUMIFS('RAW_농산물_8월'!$G:$G,'RAW_농산물_8월'!$D:$D,$C162,'RAW_농산물_8월'!$A:$A,$E162),SUMIFS('RAW_농산물_9월'!$G:$G,'RAW_농산물_9월'!$D:$D,$C162,'RAW_농산물_9월'!$A:$A,$E162),SUMIFS('RAW_농산물_10월'!$G:$G,'RAW_농산물_10월'!$D:$D,$C162,'RAW_농산물_10월'!$A:$A,$E162),SUMIFS('RAW_농산물_11-12월'!$G:$G,'RAW_농산물_11-12월'!$D:$D,$C162,'RAW_농산물_11-12월'!$A:$A,$E162))))</f>
        <v>0</v>
      </c>
      <c r="H162" s="14">
        <f>IF($C162="","",IF('설정'!$B$3=0,"",CHOOSE('설정'!$B$3,SUMIFS('RAW_농산물_7월'!$H:$H,'RAW_농산물_7월'!$D:$D,$C162,'RAW_농산물_7월'!$A:$A,$E162),SUMIFS('RAW_농산물_8월'!$H:$H,'RAW_농산물_8월'!$D:$D,$C162,'RAW_농산물_8월'!$A:$A,$E162),SUMIFS('RAW_농산물_9월'!$H:$H,'RAW_농산물_9월'!$D:$D,$C162,'RAW_농산물_9월'!$A:$A,$E162),SUMIFS('RAW_농산물_10월'!$H:$H,'RAW_농산물_10월'!$D:$D,$C162,'RAW_농산물_10월'!$A:$A,$E162),SUMIFS('RAW_농산물_11-12월'!$H:$H,'RAW_농산물_11-12월'!$D:$D,$C162,'RAW_농산물_11-12월'!$A:$A,$E162))))</f>
        <v>0</v>
      </c>
      <c r="I162" s="17" t="str">
        <f>IF($C162="","",IF(COUNTIFS('RAW_농산물_7월'!$D:$D,$C162,'RAW_농산물_7월'!$A:$A,$E162)&gt;0,"O",""))</f>
        <v/>
      </c>
      <c r="J162" s="17" t="str">
        <f>IF($C162="","",IF(COUNTIFS('RAW_농산물_8월'!$D:$D,$C162,'RAW_농산물_8월'!$A:$A,$E162)&gt;0,"O",""))</f>
        <v/>
      </c>
      <c r="K162" s="17" t="str">
        <f>IF($C162="","",IF(COUNTIFS('RAW_농산물_9월'!$D:$D,$C162,'RAW_농산물_9월'!$A:$A,$E162)&gt;0,"O",""))</f>
        <v/>
      </c>
      <c r="L162" s="17" t="str">
        <f>IF($C162="","",IF(COUNTIFS('RAW_농산물_10월'!$D:$D,$C162,'RAW_농산물_10월'!$A:$A,$E162)&gt;0,"O",""))</f>
        <v/>
      </c>
      <c r="M162" s="17" t="str">
        <f>IF($C162="","",IF(COUNTIFS('RAW_농산물_11-12월'!$D:$D,$C162,'RAW_농산물_11-12월'!$A:$A,$E162)&gt;0,"O",""))</f>
        <v/>
      </c>
      <c r="N162" s="7">
        <f>IF($C162="","",IF(COUNTA('RAW_농산물_7월'!$A:$A)&lt;=1,"",SUMIFS('RAW_농산물_7월'!$H:$H,'RAW_농산물_7월'!$D:$D,$C162,'RAW_농산물_7월'!$A:$A,$E162)))</f>
        <v>0</v>
      </c>
      <c r="O162" s="7">
        <f>IF($C162="","",IF(COUNTA('RAW_농산물_8월'!$A:$A)&lt;=1,"",SUMIFS('RAW_농산물_8월'!$H:$H,'RAW_농산물_8월'!$D:$D,$C162,'RAW_농산물_8월'!$A:$A,$E162)-SUMIFS('RAW_농산물_7월'!$H:$H,'RAW_농산물_7월'!$D:$D,$C162,'RAW_농산물_7월'!$A:$A,$E162)))</f>
        <v>0</v>
      </c>
      <c r="P162" s="7" t="str">
        <f>IF($C162="","",IF(COUNTA('RAW_농산물_9월'!$A:$A)&lt;=1,"",SUMIFS('RAW_농산물_9월'!$H:$H,'RAW_농산물_9월'!$D:$D,$C162,'RAW_농산물_9월'!$A:$A,$E162)-SUMIFS('RAW_농산물_8월'!$H:$H,'RAW_농산물_8월'!$D:$D,$C162,'RAW_농산물_8월'!$A:$A,$E162)))</f>
        <v/>
      </c>
      <c r="Q162" s="7" t="str">
        <f>IF($C162="","",IF(COUNTA('RAW_농산물_10월'!$A:$A)&lt;=1,"",SUMIFS('RAW_농산물_10월'!$H:$H,'RAW_농산물_10월'!$D:$D,$C162,'RAW_농산물_10월'!$A:$A,$E162)-SUMIFS('RAW_농산물_9월'!$H:$H,'RAW_농산물_9월'!$D:$D,$C162,'RAW_농산물_9월'!$A:$A,$E162)))</f>
        <v/>
      </c>
      <c r="R162" s="7" t="str">
        <f>IF($C162="","",IF(COUNTA('RAW_농산물_11-12월'!$A:$A)&lt;=1,"",SUMIFS('RAW_농산물_11-12월'!$H:$H,'RAW_농산물_11-12월'!$D:$D,$C162,'RAW_농산물_11-12월'!$A:$A,$E162)-SUMIFS('RAW_농산물_10월'!$H:$H,'RAW_농산물_10월'!$D:$D,$C162,'RAW_농산물_10월'!$A:$A,$E162)))</f>
        <v/>
      </c>
      <c r="S162" s="17" t="str">
        <f t="shared" si="4"/>
        <v/>
      </c>
      <c r="T162" s="17" t="str">
        <f t="shared" si="5"/>
        <v>미사용</v>
      </c>
      <c r="U162" s="7">
        <f>IF($C162="",0,IF('설정'!$B$3=0,0,CHOOSE('설정'!$B$3,COUNTIFS('RAW_농산물_7월'!$D:$D,$C162,'RAW_농산물_7월'!$A:$A,$E162),COUNTIFS('RAW_농산물_8월'!$D:$D,$C162,'RAW_농산물_8월'!$A:$A,$E162),COUNTIFS('RAW_농산물_9월'!$D:$D,$C162,'RAW_농산물_9월'!$A:$A,$E162),COUNTIFS('RAW_농산물_10월'!$D:$D,$C162,'RAW_농산물_10월'!$A:$A,$E162),COUNTIFS('RAW_농산물_11-12월'!$D:$D,$C162,'RAW_농산물_11-12월'!$A:$A,$E162))))</f>
        <v>0</v>
      </c>
    </row>
    <row r="163" ht="15.75" customHeight="1">
      <c r="A163" s="5">
        <v>161.0</v>
      </c>
      <c r="B163" s="5" t="s">
        <v>108</v>
      </c>
      <c r="C163" s="5" t="s">
        <v>2173</v>
      </c>
      <c r="D163" s="6" t="s">
        <v>2977</v>
      </c>
      <c r="E163" s="5" t="s">
        <v>92</v>
      </c>
      <c r="F163" s="7">
        <f>IF($C163="","",IF('설정'!$B$3=0,"",CHOOSE('설정'!$B$3,SUMIFS('RAW_농산물_7월'!$F:$F,'RAW_농산물_7월'!$D:$D,$C163,'RAW_농산물_7월'!$A:$A,$E163),SUMIFS('RAW_농산물_8월'!$F:$F,'RAW_농산물_8월'!$D:$D,$C163,'RAW_농산물_8월'!$A:$A,$E163),SUMIFS('RAW_농산물_9월'!$F:$F,'RAW_농산물_9월'!$D:$D,$C163,'RAW_농산물_9월'!$A:$A,$E163),SUMIFS('RAW_농산물_10월'!$F:$F,'RAW_농산물_10월'!$D:$D,$C163,'RAW_농산물_10월'!$A:$A,$E163),SUMIFS('RAW_농산물_11-12월'!$F:$F,'RAW_농산물_11-12월'!$D:$D,$C163,'RAW_농산물_11-12월'!$A:$A,$E163))))</f>
        <v>0</v>
      </c>
      <c r="G163" s="7">
        <f>IF($C163="","",IF('설정'!$B$3=0,"",CHOOSE('설정'!$B$3,SUMIFS('RAW_농산물_7월'!$G:$G,'RAW_농산물_7월'!$D:$D,$C163,'RAW_농산물_7월'!$A:$A,$E163),SUMIFS('RAW_농산물_8월'!$G:$G,'RAW_농산물_8월'!$D:$D,$C163,'RAW_농산물_8월'!$A:$A,$E163),SUMIFS('RAW_농산물_9월'!$G:$G,'RAW_농산물_9월'!$D:$D,$C163,'RAW_농산물_9월'!$A:$A,$E163),SUMIFS('RAW_농산물_10월'!$G:$G,'RAW_농산물_10월'!$D:$D,$C163,'RAW_농산물_10월'!$A:$A,$E163),SUMIFS('RAW_농산물_11-12월'!$G:$G,'RAW_농산물_11-12월'!$D:$D,$C163,'RAW_농산물_11-12월'!$A:$A,$E163))))</f>
        <v>0</v>
      </c>
      <c r="H163" s="14">
        <f>IF($C163="","",IF('설정'!$B$3=0,"",CHOOSE('설정'!$B$3,SUMIFS('RAW_농산물_7월'!$H:$H,'RAW_농산물_7월'!$D:$D,$C163,'RAW_농산물_7월'!$A:$A,$E163),SUMIFS('RAW_농산물_8월'!$H:$H,'RAW_농산물_8월'!$D:$D,$C163,'RAW_농산물_8월'!$A:$A,$E163),SUMIFS('RAW_농산물_9월'!$H:$H,'RAW_농산물_9월'!$D:$D,$C163,'RAW_농산물_9월'!$A:$A,$E163),SUMIFS('RAW_농산물_10월'!$H:$H,'RAW_농산물_10월'!$D:$D,$C163,'RAW_농산물_10월'!$A:$A,$E163),SUMIFS('RAW_농산물_11-12월'!$H:$H,'RAW_농산물_11-12월'!$D:$D,$C163,'RAW_농산물_11-12월'!$A:$A,$E163))))</f>
        <v>0</v>
      </c>
      <c r="I163" s="17" t="str">
        <f>IF($C163="","",IF(COUNTIFS('RAW_농산물_7월'!$D:$D,$C163,'RAW_농산물_7월'!$A:$A,$E163)&gt;0,"O",""))</f>
        <v/>
      </c>
      <c r="J163" s="17" t="str">
        <f>IF($C163="","",IF(COUNTIFS('RAW_농산물_8월'!$D:$D,$C163,'RAW_농산물_8월'!$A:$A,$E163)&gt;0,"O",""))</f>
        <v>O</v>
      </c>
      <c r="K163" s="17" t="str">
        <f>IF($C163="","",IF(COUNTIFS('RAW_농산물_9월'!$D:$D,$C163,'RAW_농산물_9월'!$A:$A,$E163)&gt;0,"O",""))</f>
        <v/>
      </c>
      <c r="L163" s="17" t="str">
        <f>IF($C163="","",IF(COUNTIFS('RAW_농산물_10월'!$D:$D,$C163,'RAW_농산물_10월'!$A:$A,$E163)&gt;0,"O",""))</f>
        <v/>
      </c>
      <c r="M163" s="17" t="str">
        <f>IF($C163="","",IF(COUNTIFS('RAW_농산물_11-12월'!$D:$D,$C163,'RAW_농산물_11-12월'!$A:$A,$E163)&gt;0,"O",""))</f>
        <v/>
      </c>
      <c r="N163" s="7">
        <f>IF($C163="","",IF(COUNTA('RAW_농산물_7월'!$A:$A)&lt;=1,"",SUMIFS('RAW_농산물_7월'!$H:$H,'RAW_농산물_7월'!$D:$D,$C163,'RAW_농산물_7월'!$A:$A,$E163)))</f>
        <v>0</v>
      </c>
      <c r="O163" s="7">
        <f>IF($C163="","",IF(COUNTA('RAW_농산물_8월'!$A:$A)&lt;=1,"",SUMIFS('RAW_농산물_8월'!$H:$H,'RAW_농산물_8월'!$D:$D,$C163,'RAW_농산물_8월'!$A:$A,$E163)-SUMIFS('RAW_농산물_7월'!$H:$H,'RAW_농산물_7월'!$D:$D,$C163,'RAW_농산물_7월'!$A:$A,$E163)))</f>
        <v>0</v>
      </c>
      <c r="P163" s="7" t="str">
        <f>IF($C163="","",IF(COUNTA('RAW_농산물_9월'!$A:$A)&lt;=1,"",SUMIFS('RAW_농산물_9월'!$H:$H,'RAW_농산물_9월'!$D:$D,$C163,'RAW_농산물_9월'!$A:$A,$E163)-SUMIFS('RAW_농산물_8월'!$H:$H,'RAW_농산물_8월'!$D:$D,$C163,'RAW_농산물_8월'!$A:$A,$E163)))</f>
        <v/>
      </c>
      <c r="Q163" s="7" t="str">
        <f>IF($C163="","",IF(COUNTA('RAW_농산물_10월'!$A:$A)&lt;=1,"",SUMIFS('RAW_농산물_10월'!$H:$H,'RAW_농산물_10월'!$D:$D,$C163,'RAW_농산물_10월'!$A:$A,$E163)-SUMIFS('RAW_농산물_9월'!$H:$H,'RAW_농산물_9월'!$D:$D,$C163,'RAW_농산물_9월'!$A:$A,$E163)))</f>
        <v/>
      </c>
      <c r="R163" s="7" t="str">
        <f>IF($C163="","",IF(COUNTA('RAW_농산물_11-12월'!$A:$A)&lt;=1,"",SUMIFS('RAW_농산물_11-12월'!$H:$H,'RAW_농산물_11-12월'!$D:$D,$C163,'RAW_농산물_11-12월'!$A:$A,$E163)-SUMIFS('RAW_농산물_10월'!$H:$H,'RAW_농산물_10월'!$D:$D,$C163,'RAW_농산물_10월'!$A:$A,$E163)))</f>
        <v/>
      </c>
      <c r="S163" s="17" t="str">
        <f t="shared" si="4"/>
        <v>O</v>
      </c>
      <c r="T163" s="17" t="str">
        <f t="shared" si="5"/>
        <v>미사용</v>
      </c>
      <c r="U163" s="7">
        <f>IF($C163="",0,IF('설정'!$B$3=0,0,CHOOSE('설정'!$B$3,COUNTIFS('RAW_농산물_7월'!$D:$D,$C163,'RAW_농산물_7월'!$A:$A,$E163),COUNTIFS('RAW_농산물_8월'!$D:$D,$C163,'RAW_농산물_8월'!$A:$A,$E163),COUNTIFS('RAW_농산물_9월'!$D:$D,$C163,'RAW_농산물_9월'!$A:$A,$E163),COUNTIFS('RAW_농산물_10월'!$D:$D,$C163,'RAW_농산물_10월'!$A:$A,$E163),COUNTIFS('RAW_농산물_11-12월'!$D:$D,$C163,'RAW_농산물_11-12월'!$A:$A,$E163))))</f>
        <v>2</v>
      </c>
    </row>
    <row r="164" ht="15.75" customHeight="1">
      <c r="A164" s="5">
        <v>162.0</v>
      </c>
      <c r="B164" s="5" t="s">
        <v>25</v>
      </c>
      <c r="C164" s="5" t="s">
        <v>1680</v>
      </c>
      <c r="D164" s="6" t="s">
        <v>1679</v>
      </c>
      <c r="E164" s="5" t="s">
        <v>95</v>
      </c>
      <c r="F164" s="7">
        <f>IF($C164="","",IF('설정'!$B$3=0,"",CHOOSE('설정'!$B$3,SUMIFS('RAW_농산물_7월'!$F:$F,'RAW_농산물_7월'!$D:$D,$C164,'RAW_농산물_7월'!$A:$A,$E164),SUMIFS('RAW_농산물_8월'!$F:$F,'RAW_농산물_8월'!$D:$D,$C164,'RAW_농산물_8월'!$A:$A,$E164),SUMIFS('RAW_농산물_9월'!$F:$F,'RAW_농산물_9월'!$D:$D,$C164,'RAW_농산물_9월'!$A:$A,$E164),SUMIFS('RAW_농산물_10월'!$F:$F,'RAW_농산물_10월'!$D:$D,$C164,'RAW_농산물_10월'!$A:$A,$E164),SUMIFS('RAW_농산물_11-12월'!$F:$F,'RAW_농산물_11-12월'!$D:$D,$C164,'RAW_농산물_11-12월'!$A:$A,$E164))))</f>
        <v>7</v>
      </c>
      <c r="G164" s="7">
        <f>IF($C164="","",IF('설정'!$B$3=0,"",CHOOSE('설정'!$B$3,SUMIFS('RAW_농산물_7월'!$G:$G,'RAW_농산물_7월'!$D:$D,$C164,'RAW_농산물_7월'!$A:$A,$E164),SUMIFS('RAW_농산물_8월'!$G:$G,'RAW_농산물_8월'!$D:$D,$C164,'RAW_농산물_8월'!$A:$A,$E164),SUMIFS('RAW_농산물_9월'!$G:$G,'RAW_농산물_9월'!$D:$D,$C164,'RAW_농산물_9월'!$A:$A,$E164),SUMIFS('RAW_농산물_10월'!$G:$G,'RAW_농산물_10월'!$D:$D,$C164,'RAW_농산물_10월'!$A:$A,$E164),SUMIFS('RAW_농산물_11-12월'!$G:$G,'RAW_농산물_11-12월'!$D:$D,$C164,'RAW_농산물_11-12월'!$A:$A,$E164))))</f>
        <v>276800</v>
      </c>
      <c r="H164" s="14">
        <f>IF($C164="","",IF('설정'!$B$3=0,"",CHOOSE('설정'!$B$3,SUMIFS('RAW_농산물_7월'!$H:$H,'RAW_농산물_7월'!$D:$D,$C164,'RAW_농산물_7월'!$A:$A,$E164),SUMIFS('RAW_농산물_8월'!$H:$H,'RAW_농산물_8월'!$D:$D,$C164,'RAW_농산물_8월'!$A:$A,$E164),SUMIFS('RAW_농산물_9월'!$H:$H,'RAW_농산물_9월'!$D:$D,$C164,'RAW_농산물_9월'!$A:$A,$E164),SUMIFS('RAW_농산물_10월'!$H:$H,'RAW_농산물_10월'!$D:$D,$C164,'RAW_농산물_10월'!$A:$A,$E164),SUMIFS('RAW_농산물_11-12월'!$H:$H,'RAW_농산물_11-12월'!$D:$D,$C164,'RAW_농산물_11-12월'!$A:$A,$E164))))</f>
        <v>31200</v>
      </c>
      <c r="I164" s="17" t="str">
        <f>IF($C164="","",IF(COUNTIFS('RAW_농산물_7월'!$D:$D,$C164,'RAW_농산물_7월'!$A:$A,$E164)&gt;0,"O",""))</f>
        <v>O</v>
      </c>
      <c r="J164" s="17" t="str">
        <f>IF($C164="","",IF(COUNTIFS('RAW_농산물_8월'!$D:$D,$C164,'RAW_농산물_8월'!$A:$A,$E164)&gt;0,"O",""))</f>
        <v>O</v>
      </c>
      <c r="K164" s="17" t="str">
        <f>IF($C164="","",IF(COUNTIFS('RAW_농산물_9월'!$D:$D,$C164,'RAW_농산물_9월'!$A:$A,$E164)&gt;0,"O",""))</f>
        <v/>
      </c>
      <c r="L164" s="17" t="str">
        <f>IF($C164="","",IF(COUNTIFS('RAW_농산물_10월'!$D:$D,$C164,'RAW_농산물_10월'!$A:$A,$E164)&gt;0,"O",""))</f>
        <v/>
      </c>
      <c r="M164" s="17" t="str">
        <f>IF($C164="","",IF(COUNTIFS('RAW_농산물_11-12월'!$D:$D,$C164,'RAW_농산물_11-12월'!$A:$A,$E164)&gt;0,"O",""))</f>
        <v/>
      </c>
      <c r="N164" s="7">
        <f>IF($C164="","",IF(COUNTA('RAW_농산물_7월'!$A:$A)&lt;=1,"",SUMIFS('RAW_농산물_7월'!$H:$H,'RAW_농산물_7월'!$D:$D,$C164,'RAW_농산물_7월'!$A:$A,$E164)))</f>
        <v>5600</v>
      </c>
      <c r="O164" s="7">
        <f>IF($C164="","",IF(COUNTA('RAW_농산물_8월'!$A:$A)&lt;=1,"",SUMIFS('RAW_농산물_8월'!$H:$H,'RAW_농산물_8월'!$D:$D,$C164,'RAW_농산물_8월'!$A:$A,$E164)-SUMIFS('RAW_농산물_7월'!$H:$H,'RAW_농산물_7월'!$D:$D,$C164,'RAW_농산물_7월'!$A:$A,$E164)))</f>
        <v>25600</v>
      </c>
      <c r="P164" s="7" t="str">
        <f>IF($C164="","",IF(COUNTA('RAW_농산물_9월'!$A:$A)&lt;=1,"",SUMIFS('RAW_농산물_9월'!$H:$H,'RAW_농산물_9월'!$D:$D,$C164,'RAW_농산물_9월'!$A:$A,$E164)-SUMIFS('RAW_농산물_8월'!$H:$H,'RAW_농산물_8월'!$D:$D,$C164,'RAW_농산물_8월'!$A:$A,$E164)))</f>
        <v/>
      </c>
      <c r="Q164" s="7" t="str">
        <f>IF($C164="","",IF(COUNTA('RAW_농산물_10월'!$A:$A)&lt;=1,"",SUMIFS('RAW_농산물_10월'!$H:$H,'RAW_농산물_10월'!$D:$D,$C164,'RAW_농산물_10월'!$A:$A,$E164)-SUMIFS('RAW_농산물_9월'!$H:$H,'RAW_농산물_9월'!$D:$D,$C164,'RAW_농산물_9월'!$A:$A,$E164)))</f>
        <v/>
      </c>
      <c r="R164" s="7" t="str">
        <f>IF($C164="","",IF(COUNTA('RAW_농산물_11-12월'!$A:$A)&lt;=1,"",SUMIFS('RAW_농산물_11-12월'!$H:$H,'RAW_농산물_11-12월'!$D:$D,$C164,'RAW_농산물_11-12월'!$A:$A,$E164)-SUMIFS('RAW_농산물_10월'!$H:$H,'RAW_농산물_10월'!$D:$D,$C164,'RAW_농산물_10월'!$A:$A,$E164)))</f>
        <v/>
      </c>
      <c r="S164" s="17" t="str">
        <f t="shared" si="4"/>
        <v>O</v>
      </c>
      <c r="T164" s="17" t="str">
        <f t="shared" si="5"/>
        <v>50만원 미만</v>
      </c>
      <c r="U164" s="7">
        <f>IF($C164="",0,IF('설정'!$B$3=0,0,CHOOSE('설정'!$B$3,COUNTIFS('RAW_농산물_7월'!$D:$D,$C164,'RAW_농산물_7월'!$A:$A,$E164),COUNTIFS('RAW_농산물_8월'!$D:$D,$C164,'RAW_농산물_8월'!$A:$A,$E164),COUNTIFS('RAW_농산물_9월'!$D:$D,$C164,'RAW_농산물_9월'!$A:$A,$E164),COUNTIFS('RAW_농산물_10월'!$D:$D,$C164,'RAW_농산물_10월'!$A:$A,$E164),COUNTIFS('RAW_농산물_11-12월'!$D:$D,$C164,'RAW_농산물_11-12월'!$A:$A,$E164))))</f>
        <v>1</v>
      </c>
    </row>
    <row r="165" ht="15.75" customHeight="1">
      <c r="A165" s="5">
        <v>163.0</v>
      </c>
      <c r="B165" s="5" t="s">
        <v>25</v>
      </c>
      <c r="C165" s="5" t="s">
        <v>1701</v>
      </c>
      <c r="D165" s="6" t="s">
        <v>2978</v>
      </c>
      <c r="E165" s="5" t="s">
        <v>31</v>
      </c>
      <c r="F165" s="7">
        <f>IF($C165="","",IF('설정'!$B$3=0,"",CHOOSE('설정'!$B$3,SUMIFS('RAW_농산물_7월'!$F:$F,'RAW_농산물_7월'!$D:$D,$C165,'RAW_농산물_7월'!$A:$A,$E165),SUMIFS('RAW_농산물_8월'!$F:$F,'RAW_농산물_8월'!$D:$D,$C165,'RAW_농산물_8월'!$A:$A,$E165),SUMIFS('RAW_농산물_9월'!$F:$F,'RAW_농산물_9월'!$D:$D,$C165,'RAW_농산물_9월'!$A:$A,$E165),SUMIFS('RAW_농산물_10월'!$F:$F,'RAW_농산물_10월'!$D:$D,$C165,'RAW_농산물_10월'!$A:$A,$E165),SUMIFS('RAW_농산물_11-12월'!$F:$F,'RAW_농산물_11-12월'!$D:$D,$C165,'RAW_농산물_11-12월'!$A:$A,$E165))))</f>
        <v>10441</v>
      </c>
      <c r="G165" s="7">
        <f>IF($C165="","",IF('설정'!$B$3=0,"",CHOOSE('설정'!$B$3,SUMIFS('RAW_농산물_7월'!$G:$G,'RAW_농산물_7월'!$D:$D,$C165,'RAW_농산물_7월'!$A:$A,$E165),SUMIFS('RAW_농산물_8월'!$G:$G,'RAW_농산물_8월'!$D:$D,$C165,'RAW_농산물_8월'!$A:$A,$E165),SUMIFS('RAW_농산물_9월'!$G:$G,'RAW_농산물_9월'!$D:$D,$C165,'RAW_농산물_9월'!$A:$A,$E165),SUMIFS('RAW_농산물_10월'!$G:$G,'RAW_농산물_10월'!$D:$D,$C165,'RAW_농산물_10월'!$A:$A,$E165),SUMIFS('RAW_농산물_11-12월'!$G:$G,'RAW_농산물_11-12월'!$D:$D,$C165,'RAW_농산물_11-12월'!$A:$A,$E165))))</f>
        <v>113790900</v>
      </c>
      <c r="H165" s="14">
        <f>IF($C165="","",IF('설정'!$B$3=0,"",CHOOSE('설정'!$B$3,SUMIFS('RAW_농산물_7월'!$H:$H,'RAW_농산물_7월'!$D:$D,$C165,'RAW_농산물_7월'!$A:$A,$E165),SUMIFS('RAW_농산물_8월'!$H:$H,'RAW_농산물_8월'!$D:$D,$C165,'RAW_농산물_8월'!$A:$A,$E165),SUMIFS('RAW_농산물_9월'!$H:$H,'RAW_농산물_9월'!$D:$D,$C165,'RAW_농산물_9월'!$A:$A,$E165),SUMIFS('RAW_농산물_10월'!$H:$H,'RAW_농산물_10월'!$D:$D,$C165,'RAW_농산물_10월'!$A:$A,$E165),SUMIFS('RAW_농산물_11-12월'!$H:$H,'RAW_농산물_11-12월'!$D:$D,$C165,'RAW_농산물_11-12월'!$A:$A,$E165))))</f>
        <v>2067740</v>
      </c>
      <c r="I165" s="17" t="str">
        <f>IF($C165="","",IF(COUNTIFS('RAW_농산물_7월'!$D:$D,$C165,'RAW_농산물_7월'!$A:$A,$E165)&gt;0,"O",""))</f>
        <v>O</v>
      </c>
      <c r="J165" s="17" t="str">
        <f>IF($C165="","",IF(COUNTIFS('RAW_농산물_8월'!$D:$D,$C165,'RAW_농산물_8월'!$A:$A,$E165)&gt;0,"O",""))</f>
        <v>O</v>
      </c>
      <c r="K165" s="17" t="str">
        <f>IF($C165="","",IF(COUNTIFS('RAW_농산물_9월'!$D:$D,$C165,'RAW_농산물_9월'!$A:$A,$E165)&gt;0,"O",""))</f>
        <v/>
      </c>
      <c r="L165" s="17" t="str">
        <f>IF($C165="","",IF(COUNTIFS('RAW_농산물_10월'!$D:$D,$C165,'RAW_농산물_10월'!$A:$A,$E165)&gt;0,"O",""))</f>
        <v/>
      </c>
      <c r="M165" s="17" t="str">
        <f>IF($C165="","",IF(COUNTIFS('RAW_농산물_11-12월'!$D:$D,$C165,'RAW_농산물_11-12월'!$A:$A,$E165)&gt;0,"O",""))</f>
        <v/>
      </c>
      <c r="N165" s="7">
        <f>IF($C165="","",IF(COUNTA('RAW_농산물_7월'!$A:$A)&lt;=1,"",SUMIFS('RAW_농산물_7월'!$H:$H,'RAW_농산물_7월'!$D:$D,$C165,'RAW_농산물_7월'!$A:$A,$E165)))</f>
        <v>1152620</v>
      </c>
      <c r="O165" s="7">
        <f>IF($C165="","",IF(COUNTA('RAW_농산물_8월'!$A:$A)&lt;=1,"",SUMIFS('RAW_농산물_8월'!$H:$H,'RAW_농산물_8월'!$D:$D,$C165,'RAW_농산물_8월'!$A:$A,$E165)-SUMIFS('RAW_농산물_7월'!$H:$H,'RAW_농산물_7월'!$D:$D,$C165,'RAW_농산물_7월'!$A:$A,$E165)))</f>
        <v>915120</v>
      </c>
      <c r="P165" s="7" t="str">
        <f>IF($C165="","",IF(COUNTA('RAW_농산물_9월'!$A:$A)&lt;=1,"",SUMIFS('RAW_농산물_9월'!$H:$H,'RAW_농산물_9월'!$D:$D,$C165,'RAW_농산물_9월'!$A:$A,$E165)-SUMIFS('RAW_농산물_8월'!$H:$H,'RAW_농산물_8월'!$D:$D,$C165,'RAW_농산물_8월'!$A:$A,$E165)))</f>
        <v/>
      </c>
      <c r="Q165" s="7" t="str">
        <f>IF($C165="","",IF(COUNTA('RAW_농산물_10월'!$A:$A)&lt;=1,"",SUMIFS('RAW_농산물_10월'!$H:$H,'RAW_농산물_10월'!$D:$D,$C165,'RAW_농산물_10월'!$A:$A,$E165)-SUMIFS('RAW_농산물_9월'!$H:$H,'RAW_농산물_9월'!$D:$D,$C165,'RAW_농산물_9월'!$A:$A,$E165)))</f>
        <v/>
      </c>
      <c r="R165" s="7" t="str">
        <f>IF($C165="","",IF(COUNTA('RAW_농산물_11-12월'!$A:$A)&lt;=1,"",SUMIFS('RAW_농산물_11-12월'!$H:$H,'RAW_농산물_11-12월'!$D:$D,$C165,'RAW_농산물_11-12월'!$A:$A,$E165)-SUMIFS('RAW_농산물_10월'!$H:$H,'RAW_농산물_10월'!$D:$D,$C165,'RAW_농산물_10월'!$A:$A,$E165)))</f>
        <v/>
      </c>
      <c r="S165" s="17" t="str">
        <f t="shared" si="4"/>
        <v>O</v>
      </c>
      <c r="T165" s="17" t="str">
        <f t="shared" si="5"/>
        <v>300만원 미만</v>
      </c>
      <c r="U165" s="7">
        <f>IF($C165="",0,IF('설정'!$B$3=0,0,CHOOSE('설정'!$B$3,COUNTIFS('RAW_농산물_7월'!$D:$D,$C165,'RAW_농산물_7월'!$A:$A,$E165),COUNTIFS('RAW_농산물_8월'!$D:$D,$C165,'RAW_농산물_8월'!$A:$A,$E165),COUNTIFS('RAW_농산물_9월'!$D:$D,$C165,'RAW_농산물_9월'!$A:$A,$E165),COUNTIFS('RAW_농산물_10월'!$D:$D,$C165,'RAW_농산물_10월'!$A:$A,$E165),COUNTIFS('RAW_농산물_11-12월'!$D:$D,$C165,'RAW_농산물_11-12월'!$A:$A,$E165))))</f>
        <v>4</v>
      </c>
    </row>
    <row r="166" ht="15.75" customHeight="1">
      <c r="A166" s="5">
        <v>164.0</v>
      </c>
      <c r="B166" s="5" t="s">
        <v>25</v>
      </c>
      <c r="C166" s="5" t="s">
        <v>1018</v>
      </c>
      <c r="D166" s="6" t="s">
        <v>2979</v>
      </c>
      <c r="E166" s="5" t="s">
        <v>28</v>
      </c>
      <c r="F166" s="7">
        <f>IF($C166="","",IF('설정'!$B$3=0,"",CHOOSE('설정'!$B$3,SUMIFS('RAW_농산물_7월'!$F:$F,'RAW_농산물_7월'!$D:$D,$C166,'RAW_농산물_7월'!$A:$A,$E166),SUMIFS('RAW_농산물_8월'!$F:$F,'RAW_농산물_8월'!$D:$D,$C166,'RAW_농산물_8월'!$A:$A,$E166),SUMIFS('RAW_농산물_9월'!$F:$F,'RAW_농산물_9월'!$D:$D,$C166,'RAW_농산물_9월'!$A:$A,$E166),SUMIFS('RAW_농산물_10월'!$F:$F,'RAW_농산물_10월'!$D:$D,$C166,'RAW_농산물_10월'!$A:$A,$E166),SUMIFS('RAW_농산물_11-12월'!$F:$F,'RAW_농산물_11-12월'!$D:$D,$C166,'RAW_농산물_11-12월'!$A:$A,$E166))))</f>
        <v>0</v>
      </c>
      <c r="G166" s="7">
        <f>IF($C166="","",IF('설정'!$B$3=0,"",CHOOSE('설정'!$B$3,SUMIFS('RAW_농산물_7월'!$G:$G,'RAW_농산물_7월'!$D:$D,$C166,'RAW_농산물_7월'!$A:$A,$E166),SUMIFS('RAW_농산물_8월'!$G:$G,'RAW_농산물_8월'!$D:$D,$C166,'RAW_농산물_8월'!$A:$A,$E166),SUMIFS('RAW_농산물_9월'!$G:$G,'RAW_농산물_9월'!$D:$D,$C166,'RAW_농산물_9월'!$A:$A,$E166),SUMIFS('RAW_농산물_10월'!$G:$G,'RAW_농산물_10월'!$D:$D,$C166,'RAW_농산물_10월'!$A:$A,$E166),SUMIFS('RAW_농산물_11-12월'!$G:$G,'RAW_농산물_11-12월'!$D:$D,$C166,'RAW_농산물_11-12월'!$A:$A,$E166))))</f>
        <v>0</v>
      </c>
      <c r="H166" s="14">
        <f>IF($C166="","",IF('설정'!$B$3=0,"",CHOOSE('설정'!$B$3,SUMIFS('RAW_농산물_7월'!$H:$H,'RAW_농산물_7월'!$D:$D,$C166,'RAW_농산물_7월'!$A:$A,$E166),SUMIFS('RAW_농산물_8월'!$H:$H,'RAW_농산물_8월'!$D:$D,$C166,'RAW_농산물_8월'!$A:$A,$E166),SUMIFS('RAW_농산물_9월'!$H:$H,'RAW_농산물_9월'!$D:$D,$C166,'RAW_농산물_9월'!$A:$A,$E166),SUMIFS('RAW_농산물_10월'!$H:$H,'RAW_농산물_10월'!$D:$D,$C166,'RAW_농산물_10월'!$A:$A,$E166),SUMIFS('RAW_농산물_11-12월'!$H:$H,'RAW_농산물_11-12월'!$D:$D,$C166,'RAW_농산물_11-12월'!$A:$A,$E166))))</f>
        <v>0</v>
      </c>
      <c r="I166" s="17" t="str">
        <f>IF($C166="","",IF(COUNTIFS('RAW_농산물_7월'!$D:$D,$C166,'RAW_농산물_7월'!$A:$A,$E166)&gt;0,"O",""))</f>
        <v>O</v>
      </c>
      <c r="J166" s="17" t="str">
        <f>IF($C166="","",IF(COUNTIFS('RAW_농산물_8월'!$D:$D,$C166,'RAW_농산물_8월'!$A:$A,$E166)&gt;0,"O",""))</f>
        <v>O</v>
      </c>
      <c r="K166" s="17" t="str">
        <f>IF($C166="","",IF(COUNTIFS('RAW_농산물_9월'!$D:$D,$C166,'RAW_농산물_9월'!$A:$A,$E166)&gt;0,"O",""))</f>
        <v/>
      </c>
      <c r="L166" s="17" t="str">
        <f>IF($C166="","",IF(COUNTIFS('RAW_농산물_10월'!$D:$D,$C166,'RAW_농산물_10월'!$A:$A,$E166)&gt;0,"O",""))</f>
        <v/>
      </c>
      <c r="M166" s="17" t="str">
        <f>IF($C166="","",IF(COUNTIFS('RAW_농산물_11-12월'!$D:$D,$C166,'RAW_농산물_11-12월'!$A:$A,$E166)&gt;0,"O",""))</f>
        <v/>
      </c>
      <c r="N166" s="7">
        <f>IF($C166="","",IF(COUNTA('RAW_농산물_7월'!$A:$A)&lt;=1,"",SUMIFS('RAW_농산물_7월'!$H:$H,'RAW_농산물_7월'!$D:$D,$C166,'RAW_농산물_7월'!$A:$A,$E166)))</f>
        <v>0</v>
      </c>
      <c r="O166" s="7">
        <f>IF($C166="","",IF(COUNTA('RAW_농산물_8월'!$A:$A)&lt;=1,"",SUMIFS('RAW_농산물_8월'!$H:$H,'RAW_농산물_8월'!$D:$D,$C166,'RAW_농산물_8월'!$A:$A,$E166)-SUMIFS('RAW_농산물_7월'!$H:$H,'RAW_농산물_7월'!$D:$D,$C166,'RAW_농산물_7월'!$A:$A,$E166)))</f>
        <v>0</v>
      </c>
      <c r="P166" s="7" t="str">
        <f>IF($C166="","",IF(COUNTA('RAW_농산물_9월'!$A:$A)&lt;=1,"",SUMIFS('RAW_농산물_9월'!$H:$H,'RAW_농산물_9월'!$D:$D,$C166,'RAW_농산물_9월'!$A:$A,$E166)-SUMIFS('RAW_농산물_8월'!$H:$H,'RAW_농산물_8월'!$D:$D,$C166,'RAW_농산물_8월'!$A:$A,$E166)))</f>
        <v/>
      </c>
      <c r="Q166" s="7" t="str">
        <f>IF($C166="","",IF(COUNTA('RAW_농산물_10월'!$A:$A)&lt;=1,"",SUMIFS('RAW_농산물_10월'!$H:$H,'RAW_농산물_10월'!$D:$D,$C166,'RAW_농산물_10월'!$A:$A,$E166)-SUMIFS('RAW_농산물_9월'!$H:$H,'RAW_농산물_9월'!$D:$D,$C166,'RAW_농산물_9월'!$A:$A,$E166)))</f>
        <v/>
      </c>
      <c r="R166" s="7" t="str">
        <f>IF($C166="","",IF(COUNTA('RAW_농산물_11-12월'!$A:$A)&lt;=1,"",SUMIFS('RAW_농산물_11-12월'!$H:$H,'RAW_농산물_11-12월'!$D:$D,$C166,'RAW_농산물_11-12월'!$A:$A,$E166)-SUMIFS('RAW_농산물_10월'!$H:$H,'RAW_농산물_10월'!$D:$D,$C166,'RAW_농산물_10월'!$A:$A,$E166)))</f>
        <v/>
      </c>
      <c r="S166" s="17" t="str">
        <f t="shared" si="4"/>
        <v>O</v>
      </c>
      <c r="T166" s="17" t="str">
        <f t="shared" si="5"/>
        <v>미사용</v>
      </c>
      <c r="U166" s="7">
        <f>IF($C166="",0,IF('설정'!$B$3=0,0,CHOOSE('설정'!$B$3,COUNTIFS('RAW_농산물_7월'!$D:$D,$C166,'RAW_농산물_7월'!$A:$A,$E166),COUNTIFS('RAW_농산물_8월'!$D:$D,$C166,'RAW_농산물_8월'!$A:$A,$E166),COUNTIFS('RAW_농산물_9월'!$D:$D,$C166,'RAW_농산물_9월'!$A:$A,$E166),COUNTIFS('RAW_농산물_10월'!$D:$D,$C166,'RAW_농산물_10월'!$A:$A,$E166),COUNTIFS('RAW_농산물_11-12월'!$D:$D,$C166,'RAW_농산물_11-12월'!$A:$A,$E166))))</f>
        <v>8</v>
      </c>
    </row>
    <row r="167" ht="15.75" customHeight="1">
      <c r="A167" s="5">
        <v>165.0</v>
      </c>
      <c r="B167" s="5" t="s">
        <v>25</v>
      </c>
      <c r="C167" s="5" t="s">
        <v>342</v>
      </c>
      <c r="D167" s="6" t="s">
        <v>341</v>
      </c>
      <c r="E167" s="5" t="s">
        <v>92</v>
      </c>
      <c r="F167" s="7">
        <f>IF($C167="","",IF('설정'!$B$3=0,"",CHOOSE('설정'!$B$3,SUMIFS('RAW_농산물_7월'!$F:$F,'RAW_농산물_7월'!$D:$D,$C167,'RAW_농산물_7월'!$A:$A,$E167),SUMIFS('RAW_농산물_8월'!$F:$F,'RAW_농산물_8월'!$D:$D,$C167,'RAW_농산물_8월'!$A:$A,$E167),SUMIFS('RAW_농산물_9월'!$F:$F,'RAW_농산물_9월'!$D:$D,$C167,'RAW_농산물_9월'!$A:$A,$E167),SUMIFS('RAW_농산물_10월'!$F:$F,'RAW_농산물_10월'!$D:$D,$C167,'RAW_농산물_10월'!$A:$A,$E167),SUMIFS('RAW_농산물_11-12월'!$F:$F,'RAW_농산물_11-12월'!$D:$D,$C167,'RAW_농산물_11-12월'!$A:$A,$E167))))</f>
        <v>411</v>
      </c>
      <c r="G167" s="7">
        <f>IF($C167="","",IF('설정'!$B$3=0,"",CHOOSE('설정'!$B$3,SUMIFS('RAW_농산물_7월'!$G:$G,'RAW_농산물_7월'!$D:$D,$C167,'RAW_농산물_7월'!$A:$A,$E167),SUMIFS('RAW_농산물_8월'!$G:$G,'RAW_농산물_8월'!$D:$D,$C167,'RAW_농산물_8월'!$A:$A,$E167),SUMIFS('RAW_농산물_9월'!$G:$G,'RAW_농산물_9월'!$D:$D,$C167,'RAW_농산물_9월'!$A:$A,$E167),SUMIFS('RAW_농산물_10월'!$G:$G,'RAW_농산물_10월'!$D:$D,$C167,'RAW_농산물_10월'!$A:$A,$E167),SUMIFS('RAW_농산물_11-12월'!$G:$G,'RAW_농산물_11-12월'!$D:$D,$C167,'RAW_농산물_11-12월'!$A:$A,$E167))))</f>
        <v>15016900</v>
      </c>
      <c r="H167" s="14">
        <f>IF($C167="","",IF('설정'!$B$3=0,"",CHOOSE('설정'!$B$3,SUMIFS('RAW_농산물_7월'!$H:$H,'RAW_농산물_7월'!$D:$D,$C167,'RAW_농산물_7월'!$A:$A,$E167),SUMIFS('RAW_농산물_8월'!$H:$H,'RAW_농산물_8월'!$D:$D,$C167,'RAW_농산물_8월'!$A:$A,$E167),SUMIFS('RAW_농산물_9월'!$H:$H,'RAW_농산물_9월'!$D:$D,$C167,'RAW_농산물_9월'!$A:$A,$E167),SUMIFS('RAW_농산물_10월'!$H:$H,'RAW_농산물_10월'!$D:$D,$C167,'RAW_농산물_10월'!$A:$A,$E167),SUMIFS('RAW_농산물_11-12월'!$H:$H,'RAW_농산물_11-12월'!$D:$D,$C167,'RAW_농산물_11-12월'!$A:$A,$E167))))</f>
        <v>1478990</v>
      </c>
      <c r="I167" s="17" t="str">
        <f>IF($C167="","",IF(COUNTIFS('RAW_농산물_7월'!$D:$D,$C167,'RAW_농산물_7월'!$A:$A,$E167)&gt;0,"O",""))</f>
        <v>O</v>
      </c>
      <c r="J167" s="17" t="str">
        <f>IF($C167="","",IF(COUNTIFS('RAW_농산물_8월'!$D:$D,$C167,'RAW_농산물_8월'!$A:$A,$E167)&gt;0,"O",""))</f>
        <v>O</v>
      </c>
      <c r="K167" s="17" t="str">
        <f>IF($C167="","",IF(COUNTIFS('RAW_농산물_9월'!$D:$D,$C167,'RAW_농산물_9월'!$A:$A,$E167)&gt;0,"O",""))</f>
        <v/>
      </c>
      <c r="L167" s="17" t="str">
        <f>IF($C167="","",IF(COUNTIFS('RAW_농산물_10월'!$D:$D,$C167,'RAW_농산물_10월'!$A:$A,$E167)&gt;0,"O",""))</f>
        <v/>
      </c>
      <c r="M167" s="17" t="str">
        <f>IF($C167="","",IF(COUNTIFS('RAW_농산물_11-12월'!$D:$D,$C167,'RAW_농산물_11-12월'!$A:$A,$E167)&gt;0,"O",""))</f>
        <v/>
      </c>
      <c r="N167" s="7">
        <f>IF($C167="","",IF(COUNTA('RAW_농산물_7월'!$A:$A)&lt;=1,"",SUMIFS('RAW_농산물_7월'!$H:$H,'RAW_농산물_7월'!$D:$D,$C167,'RAW_농산물_7월'!$A:$A,$E167)))</f>
        <v>434200</v>
      </c>
      <c r="O167" s="7">
        <f>IF($C167="","",IF(COUNTA('RAW_농산물_8월'!$A:$A)&lt;=1,"",SUMIFS('RAW_농산물_8월'!$H:$H,'RAW_농산물_8월'!$D:$D,$C167,'RAW_농산물_8월'!$A:$A,$E167)-SUMIFS('RAW_농산물_7월'!$H:$H,'RAW_농산물_7월'!$D:$D,$C167,'RAW_농산물_7월'!$A:$A,$E167)))</f>
        <v>1044790</v>
      </c>
      <c r="P167" s="7" t="str">
        <f>IF($C167="","",IF(COUNTA('RAW_농산물_9월'!$A:$A)&lt;=1,"",SUMIFS('RAW_농산물_9월'!$H:$H,'RAW_농산물_9월'!$D:$D,$C167,'RAW_농산물_9월'!$A:$A,$E167)-SUMIFS('RAW_농산물_8월'!$H:$H,'RAW_농산물_8월'!$D:$D,$C167,'RAW_농산물_8월'!$A:$A,$E167)))</f>
        <v/>
      </c>
      <c r="Q167" s="7" t="str">
        <f>IF($C167="","",IF(COUNTA('RAW_농산물_10월'!$A:$A)&lt;=1,"",SUMIFS('RAW_농산물_10월'!$H:$H,'RAW_농산물_10월'!$D:$D,$C167,'RAW_농산물_10월'!$A:$A,$E167)-SUMIFS('RAW_농산물_9월'!$H:$H,'RAW_농산물_9월'!$D:$D,$C167,'RAW_농산물_9월'!$A:$A,$E167)))</f>
        <v/>
      </c>
      <c r="R167" s="7" t="str">
        <f>IF($C167="","",IF(COUNTA('RAW_농산물_11-12월'!$A:$A)&lt;=1,"",SUMIFS('RAW_농산물_11-12월'!$H:$H,'RAW_농산물_11-12월'!$D:$D,$C167,'RAW_농산물_11-12월'!$A:$A,$E167)-SUMIFS('RAW_농산물_10월'!$H:$H,'RAW_농산물_10월'!$D:$D,$C167,'RAW_농산물_10월'!$A:$A,$E167)))</f>
        <v/>
      </c>
      <c r="S167" s="17" t="str">
        <f t="shared" si="4"/>
        <v>O</v>
      </c>
      <c r="T167" s="17" t="str">
        <f t="shared" si="5"/>
        <v>200만원 미만</v>
      </c>
      <c r="U167" s="7">
        <f>IF($C167="",0,IF('설정'!$B$3=0,0,CHOOSE('설정'!$B$3,COUNTIFS('RAW_농산물_7월'!$D:$D,$C167,'RAW_농산물_7월'!$A:$A,$E167),COUNTIFS('RAW_농산물_8월'!$D:$D,$C167,'RAW_농산물_8월'!$A:$A,$E167),COUNTIFS('RAW_농산물_9월'!$D:$D,$C167,'RAW_농산물_9월'!$A:$A,$E167),COUNTIFS('RAW_농산물_10월'!$D:$D,$C167,'RAW_농산물_10월'!$A:$A,$E167),COUNTIFS('RAW_농산물_11-12월'!$D:$D,$C167,'RAW_농산물_11-12월'!$A:$A,$E167))))</f>
        <v>5</v>
      </c>
    </row>
    <row r="168" ht="15.75" customHeight="1">
      <c r="A168" s="5">
        <v>166.0</v>
      </c>
      <c r="B168" s="5" t="s">
        <v>108</v>
      </c>
      <c r="C168" s="5" t="s">
        <v>2980</v>
      </c>
      <c r="D168" s="6" t="s">
        <v>2981</v>
      </c>
      <c r="E168" s="5" t="s">
        <v>92</v>
      </c>
      <c r="F168" s="7">
        <f>IF($C168="","",IF('설정'!$B$3=0,"",CHOOSE('설정'!$B$3,SUMIFS('RAW_농산물_7월'!$F:$F,'RAW_농산물_7월'!$D:$D,$C168,'RAW_농산물_7월'!$A:$A,$E168),SUMIFS('RAW_농산물_8월'!$F:$F,'RAW_농산물_8월'!$D:$D,$C168,'RAW_농산물_8월'!$A:$A,$E168),SUMIFS('RAW_농산물_9월'!$F:$F,'RAW_농산물_9월'!$D:$D,$C168,'RAW_농산물_9월'!$A:$A,$E168),SUMIFS('RAW_농산물_10월'!$F:$F,'RAW_농산물_10월'!$D:$D,$C168,'RAW_농산물_10월'!$A:$A,$E168),SUMIFS('RAW_농산물_11-12월'!$F:$F,'RAW_농산물_11-12월'!$D:$D,$C168,'RAW_농산물_11-12월'!$A:$A,$E168))))</f>
        <v>0</v>
      </c>
      <c r="G168" s="7">
        <f>IF($C168="","",IF('설정'!$B$3=0,"",CHOOSE('설정'!$B$3,SUMIFS('RAW_농산물_7월'!$G:$G,'RAW_농산물_7월'!$D:$D,$C168,'RAW_농산물_7월'!$A:$A,$E168),SUMIFS('RAW_농산물_8월'!$G:$G,'RAW_농산물_8월'!$D:$D,$C168,'RAW_농산물_8월'!$A:$A,$E168),SUMIFS('RAW_농산물_9월'!$G:$G,'RAW_농산물_9월'!$D:$D,$C168,'RAW_농산물_9월'!$A:$A,$E168),SUMIFS('RAW_농산물_10월'!$G:$G,'RAW_농산물_10월'!$D:$D,$C168,'RAW_농산물_10월'!$A:$A,$E168),SUMIFS('RAW_농산물_11-12월'!$G:$G,'RAW_농산물_11-12월'!$D:$D,$C168,'RAW_농산물_11-12월'!$A:$A,$E168))))</f>
        <v>0</v>
      </c>
      <c r="H168" s="14">
        <f>IF($C168="","",IF('설정'!$B$3=0,"",CHOOSE('설정'!$B$3,SUMIFS('RAW_농산물_7월'!$H:$H,'RAW_농산물_7월'!$D:$D,$C168,'RAW_농산물_7월'!$A:$A,$E168),SUMIFS('RAW_농산물_8월'!$H:$H,'RAW_농산물_8월'!$D:$D,$C168,'RAW_농산물_8월'!$A:$A,$E168),SUMIFS('RAW_농산물_9월'!$H:$H,'RAW_농산물_9월'!$D:$D,$C168,'RAW_농산물_9월'!$A:$A,$E168),SUMIFS('RAW_농산물_10월'!$H:$H,'RAW_농산물_10월'!$D:$D,$C168,'RAW_농산물_10월'!$A:$A,$E168),SUMIFS('RAW_농산물_11-12월'!$H:$H,'RAW_농산물_11-12월'!$D:$D,$C168,'RAW_농산물_11-12월'!$A:$A,$E168))))</f>
        <v>0</v>
      </c>
      <c r="I168" s="17" t="str">
        <f>IF($C168="","",IF(COUNTIFS('RAW_농산물_7월'!$D:$D,$C168,'RAW_농산물_7월'!$A:$A,$E168)&gt;0,"O",""))</f>
        <v/>
      </c>
      <c r="J168" s="17" t="str">
        <f>IF($C168="","",IF(COUNTIFS('RAW_농산물_8월'!$D:$D,$C168,'RAW_농산물_8월'!$A:$A,$E168)&gt;0,"O",""))</f>
        <v/>
      </c>
      <c r="K168" s="17" t="str">
        <f>IF($C168="","",IF(COUNTIFS('RAW_농산물_9월'!$D:$D,$C168,'RAW_농산물_9월'!$A:$A,$E168)&gt;0,"O",""))</f>
        <v/>
      </c>
      <c r="L168" s="17" t="str">
        <f>IF($C168="","",IF(COUNTIFS('RAW_농산물_10월'!$D:$D,$C168,'RAW_농산물_10월'!$A:$A,$E168)&gt;0,"O",""))</f>
        <v/>
      </c>
      <c r="M168" s="17" t="str">
        <f>IF($C168="","",IF(COUNTIFS('RAW_농산물_11-12월'!$D:$D,$C168,'RAW_농산물_11-12월'!$A:$A,$E168)&gt;0,"O",""))</f>
        <v/>
      </c>
      <c r="N168" s="7">
        <f>IF($C168="","",IF(COUNTA('RAW_농산물_7월'!$A:$A)&lt;=1,"",SUMIFS('RAW_농산물_7월'!$H:$H,'RAW_농산물_7월'!$D:$D,$C168,'RAW_농산물_7월'!$A:$A,$E168)))</f>
        <v>0</v>
      </c>
      <c r="O168" s="7">
        <f>IF($C168="","",IF(COUNTA('RAW_농산물_8월'!$A:$A)&lt;=1,"",SUMIFS('RAW_농산물_8월'!$H:$H,'RAW_농산물_8월'!$D:$D,$C168,'RAW_농산물_8월'!$A:$A,$E168)-SUMIFS('RAW_농산물_7월'!$H:$H,'RAW_농산물_7월'!$D:$D,$C168,'RAW_농산물_7월'!$A:$A,$E168)))</f>
        <v>0</v>
      </c>
      <c r="P168" s="7" t="str">
        <f>IF($C168="","",IF(COUNTA('RAW_농산물_9월'!$A:$A)&lt;=1,"",SUMIFS('RAW_농산물_9월'!$H:$H,'RAW_농산물_9월'!$D:$D,$C168,'RAW_농산물_9월'!$A:$A,$E168)-SUMIFS('RAW_농산물_8월'!$H:$H,'RAW_농산물_8월'!$D:$D,$C168,'RAW_농산물_8월'!$A:$A,$E168)))</f>
        <v/>
      </c>
      <c r="Q168" s="7" t="str">
        <f>IF($C168="","",IF(COUNTA('RAW_농산물_10월'!$A:$A)&lt;=1,"",SUMIFS('RAW_농산물_10월'!$H:$H,'RAW_농산물_10월'!$D:$D,$C168,'RAW_농산물_10월'!$A:$A,$E168)-SUMIFS('RAW_농산물_9월'!$H:$H,'RAW_농산물_9월'!$D:$D,$C168,'RAW_농산물_9월'!$A:$A,$E168)))</f>
        <v/>
      </c>
      <c r="R168" s="7" t="str">
        <f>IF($C168="","",IF(COUNTA('RAW_농산물_11-12월'!$A:$A)&lt;=1,"",SUMIFS('RAW_농산물_11-12월'!$H:$H,'RAW_농산물_11-12월'!$D:$D,$C168,'RAW_농산물_11-12월'!$A:$A,$E168)-SUMIFS('RAW_농산물_10월'!$H:$H,'RAW_농산물_10월'!$D:$D,$C168,'RAW_농산물_10월'!$A:$A,$E168)))</f>
        <v/>
      </c>
      <c r="S168" s="17" t="str">
        <f t="shared" si="4"/>
        <v/>
      </c>
      <c r="T168" s="17" t="str">
        <f t="shared" si="5"/>
        <v>미사용</v>
      </c>
      <c r="U168" s="7">
        <f>IF($C168="",0,IF('설정'!$B$3=0,0,CHOOSE('설정'!$B$3,COUNTIFS('RAW_농산물_7월'!$D:$D,$C168,'RAW_농산물_7월'!$A:$A,$E168),COUNTIFS('RAW_농산물_8월'!$D:$D,$C168,'RAW_농산물_8월'!$A:$A,$E168),COUNTIFS('RAW_농산물_9월'!$D:$D,$C168,'RAW_농산물_9월'!$A:$A,$E168),COUNTIFS('RAW_농산물_10월'!$D:$D,$C168,'RAW_농산물_10월'!$A:$A,$E168),COUNTIFS('RAW_농산물_11-12월'!$D:$D,$C168,'RAW_농산물_11-12월'!$A:$A,$E168))))</f>
        <v>0</v>
      </c>
    </row>
    <row r="169" ht="15.75" customHeight="1">
      <c r="A169" s="5">
        <v>167.0</v>
      </c>
      <c r="B169" s="5" t="s">
        <v>108</v>
      </c>
      <c r="C169" s="5" t="s">
        <v>2982</v>
      </c>
      <c r="D169" s="6" t="s">
        <v>2983</v>
      </c>
      <c r="E169" s="5" t="s">
        <v>92</v>
      </c>
      <c r="F169" s="7">
        <f>IF($C169="","",IF('설정'!$B$3=0,"",CHOOSE('설정'!$B$3,SUMIFS('RAW_농산물_7월'!$F:$F,'RAW_농산물_7월'!$D:$D,$C169,'RAW_농산물_7월'!$A:$A,$E169),SUMIFS('RAW_농산물_8월'!$F:$F,'RAW_농산물_8월'!$D:$D,$C169,'RAW_농산물_8월'!$A:$A,$E169),SUMIFS('RAW_농산물_9월'!$F:$F,'RAW_농산물_9월'!$D:$D,$C169,'RAW_농산물_9월'!$A:$A,$E169),SUMIFS('RAW_농산물_10월'!$F:$F,'RAW_농산물_10월'!$D:$D,$C169,'RAW_농산물_10월'!$A:$A,$E169),SUMIFS('RAW_농산물_11-12월'!$F:$F,'RAW_농산물_11-12월'!$D:$D,$C169,'RAW_농산물_11-12월'!$A:$A,$E169))))</f>
        <v>0</v>
      </c>
      <c r="G169" s="7">
        <f>IF($C169="","",IF('설정'!$B$3=0,"",CHOOSE('설정'!$B$3,SUMIFS('RAW_농산물_7월'!$G:$G,'RAW_농산물_7월'!$D:$D,$C169,'RAW_농산물_7월'!$A:$A,$E169),SUMIFS('RAW_농산물_8월'!$G:$G,'RAW_농산물_8월'!$D:$D,$C169,'RAW_농산물_8월'!$A:$A,$E169),SUMIFS('RAW_농산물_9월'!$G:$G,'RAW_농산물_9월'!$D:$D,$C169,'RAW_농산물_9월'!$A:$A,$E169),SUMIFS('RAW_농산물_10월'!$G:$G,'RAW_농산물_10월'!$D:$D,$C169,'RAW_농산물_10월'!$A:$A,$E169),SUMIFS('RAW_농산물_11-12월'!$G:$G,'RAW_농산물_11-12월'!$D:$D,$C169,'RAW_농산물_11-12월'!$A:$A,$E169))))</f>
        <v>0</v>
      </c>
      <c r="H169" s="14">
        <f>IF($C169="","",IF('설정'!$B$3=0,"",CHOOSE('설정'!$B$3,SUMIFS('RAW_농산물_7월'!$H:$H,'RAW_농산물_7월'!$D:$D,$C169,'RAW_농산물_7월'!$A:$A,$E169),SUMIFS('RAW_농산물_8월'!$H:$H,'RAW_농산물_8월'!$D:$D,$C169,'RAW_농산물_8월'!$A:$A,$E169),SUMIFS('RAW_농산물_9월'!$H:$H,'RAW_농산물_9월'!$D:$D,$C169,'RAW_농산물_9월'!$A:$A,$E169),SUMIFS('RAW_농산물_10월'!$H:$H,'RAW_농산물_10월'!$D:$D,$C169,'RAW_농산물_10월'!$A:$A,$E169),SUMIFS('RAW_농산물_11-12월'!$H:$H,'RAW_농산물_11-12월'!$D:$D,$C169,'RAW_농산물_11-12월'!$A:$A,$E169))))</f>
        <v>0</v>
      </c>
      <c r="I169" s="17" t="str">
        <f>IF($C169="","",IF(COUNTIFS('RAW_농산물_7월'!$D:$D,$C169,'RAW_농산물_7월'!$A:$A,$E169)&gt;0,"O",""))</f>
        <v/>
      </c>
      <c r="J169" s="17" t="str">
        <f>IF($C169="","",IF(COUNTIFS('RAW_농산물_8월'!$D:$D,$C169,'RAW_농산물_8월'!$A:$A,$E169)&gt;0,"O",""))</f>
        <v/>
      </c>
      <c r="K169" s="17" t="str">
        <f>IF($C169="","",IF(COUNTIFS('RAW_농산물_9월'!$D:$D,$C169,'RAW_농산물_9월'!$A:$A,$E169)&gt;0,"O",""))</f>
        <v/>
      </c>
      <c r="L169" s="17" t="str">
        <f>IF($C169="","",IF(COUNTIFS('RAW_농산물_10월'!$D:$D,$C169,'RAW_농산물_10월'!$A:$A,$E169)&gt;0,"O",""))</f>
        <v/>
      </c>
      <c r="M169" s="17" t="str">
        <f>IF($C169="","",IF(COUNTIFS('RAW_농산물_11-12월'!$D:$D,$C169,'RAW_농산물_11-12월'!$A:$A,$E169)&gt;0,"O",""))</f>
        <v/>
      </c>
      <c r="N169" s="7">
        <f>IF($C169="","",IF(COUNTA('RAW_농산물_7월'!$A:$A)&lt;=1,"",SUMIFS('RAW_농산물_7월'!$H:$H,'RAW_농산물_7월'!$D:$D,$C169,'RAW_농산물_7월'!$A:$A,$E169)))</f>
        <v>0</v>
      </c>
      <c r="O169" s="7">
        <f>IF($C169="","",IF(COUNTA('RAW_농산물_8월'!$A:$A)&lt;=1,"",SUMIFS('RAW_농산물_8월'!$H:$H,'RAW_농산물_8월'!$D:$D,$C169,'RAW_농산물_8월'!$A:$A,$E169)-SUMIFS('RAW_농산물_7월'!$H:$H,'RAW_농산물_7월'!$D:$D,$C169,'RAW_농산물_7월'!$A:$A,$E169)))</f>
        <v>0</v>
      </c>
      <c r="P169" s="7" t="str">
        <f>IF($C169="","",IF(COUNTA('RAW_농산물_9월'!$A:$A)&lt;=1,"",SUMIFS('RAW_농산물_9월'!$H:$H,'RAW_농산물_9월'!$D:$D,$C169,'RAW_농산물_9월'!$A:$A,$E169)-SUMIFS('RAW_농산물_8월'!$H:$H,'RAW_농산물_8월'!$D:$D,$C169,'RAW_농산물_8월'!$A:$A,$E169)))</f>
        <v/>
      </c>
      <c r="Q169" s="7" t="str">
        <f>IF($C169="","",IF(COUNTA('RAW_농산물_10월'!$A:$A)&lt;=1,"",SUMIFS('RAW_농산물_10월'!$H:$H,'RAW_농산물_10월'!$D:$D,$C169,'RAW_농산물_10월'!$A:$A,$E169)-SUMIFS('RAW_농산물_9월'!$H:$H,'RAW_농산물_9월'!$D:$D,$C169,'RAW_농산물_9월'!$A:$A,$E169)))</f>
        <v/>
      </c>
      <c r="R169" s="7" t="str">
        <f>IF($C169="","",IF(COUNTA('RAW_농산물_11-12월'!$A:$A)&lt;=1,"",SUMIFS('RAW_농산물_11-12월'!$H:$H,'RAW_농산물_11-12월'!$D:$D,$C169,'RAW_농산물_11-12월'!$A:$A,$E169)-SUMIFS('RAW_농산물_10월'!$H:$H,'RAW_농산물_10월'!$D:$D,$C169,'RAW_농산물_10월'!$A:$A,$E169)))</f>
        <v/>
      </c>
      <c r="S169" s="17" t="str">
        <f t="shared" si="4"/>
        <v/>
      </c>
      <c r="T169" s="17" t="str">
        <f t="shared" si="5"/>
        <v>미사용</v>
      </c>
      <c r="U169" s="7">
        <f>IF($C169="",0,IF('설정'!$B$3=0,0,CHOOSE('설정'!$B$3,COUNTIFS('RAW_농산물_7월'!$D:$D,$C169,'RAW_농산물_7월'!$A:$A,$E169),COUNTIFS('RAW_농산물_8월'!$D:$D,$C169,'RAW_농산물_8월'!$A:$A,$E169),COUNTIFS('RAW_농산물_9월'!$D:$D,$C169,'RAW_농산물_9월'!$A:$A,$E169),COUNTIFS('RAW_농산물_10월'!$D:$D,$C169,'RAW_농산물_10월'!$A:$A,$E169),COUNTIFS('RAW_농산물_11-12월'!$D:$D,$C169,'RAW_농산물_11-12월'!$A:$A,$E169))))</f>
        <v>0</v>
      </c>
    </row>
    <row r="170" ht="15.75" customHeight="1">
      <c r="A170" s="5">
        <v>168.0</v>
      </c>
      <c r="B170" s="5" t="s">
        <v>108</v>
      </c>
      <c r="C170" s="5" t="s">
        <v>1276</v>
      </c>
      <c r="D170" s="6" t="s">
        <v>1275</v>
      </c>
      <c r="E170" s="5" t="s">
        <v>94</v>
      </c>
      <c r="F170" s="7">
        <f>IF($C170="","",IF('설정'!$B$3=0,"",CHOOSE('설정'!$B$3,SUMIFS('RAW_농산물_7월'!$F:$F,'RAW_농산물_7월'!$D:$D,$C170,'RAW_농산물_7월'!$A:$A,$E170),SUMIFS('RAW_농산물_8월'!$F:$F,'RAW_농산물_8월'!$D:$D,$C170,'RAW_농산물_8월'!$A:$A,$E170),SUMIFS('RAW_농산물_9월'!$F:$F,'RAW_농산물_9월'!$D:$D,$C170,'RAW_농산물_9월'!$A:$A,$E170),SUMIFS('RAW_농산물_10월'!$F:$F,'RAW_농산물_10월'!$D:$D,$C170,'RAW_농산물_10월'!$A:$A,$E170),SUMIFS('RAW_농산물_11-12월'!$F:$F,'RAW_농산물_11-12월'!$D:$D,$C170,'RAW_농산물_11-12월'!$A:$A,$E170))))</f>
        <v>37</v>
      </c>
      <c r="G170" s="7">
        <f>IF($C170="","",IF('설정'!$B$3=0,"",CHOOSE('설정'!$B$3,SUMIFS('RAW_농산물_7월'!$G:$G,'RAW_농산물_7월'!$D:$D,$C170,'RAW_농산물_7월'!$A:$A,$E170),SUMIFS('RAW_농산물_8월'!$G:$G,'RAW_농산물_8월'!$D:$D,$C170,'RAW_농산물_8월'!$A:$A,$E170),SUMIFS('RAW_농산물_9월'!$G:$G,'RAW_농산물_9월'!$D:$D,$C170,'RAW_농산물_9월'!$A:$A,$E170),SUMIFS('RAW_농산물_10월'!$G:$G,'RAW_농산물_10월'!$D:$D,$C170,'RAW_농산물_10월'!$A:$A,$E170),SUMIFS('RAW_농산물_11-12월'!$G:$G,'RAW_농산물_11-12월'!$D:$D,$C170,'RAW_농산물_11-12월'!$A:$A,$E170))))</f>
        <v>551300</v>
      </c>
      <c r="H170" s="14">
        <f>IF($C170="","",IF('설정'!$B$3=0,"",CHOOSE('설정'!$B$3,SUMIFS('RAW_농산물_7월'!$H:$H,'RAW_농산물_7월'!$D:$D,$C170,'RAW_농산물_7월'!$A:$A,$E170),SUMIFS('RAW_농산물_8월'!$H:$H,'RAW_농산물_8월'!$D:$D,$C170,'RAW_농산물_8월'!$A:$A,$E170),SUMIFS('RAW_농산물_9월'!$H:$H,'RAW_농산물_9월'!$D:$D,$C170,'RAW_농산물_9월'!$A:$A,$E170),SUMIFS('RAW_농산물_10월'!$H:$H,'RAW_농산물_10월'!$D:$D,$C170,'RAW_농산물_10월'!$A:$A,$E170),SUMIFS('RAW_농산물_11-12월'!$H:$H,'RAW_농산물_11-12월'!$D:$D,$C170,'RAW_농산물_11-12월'!$A:$A,$E170))))</f>
        <v>80180</v>
      </c>
      <c r="I170" s="17" t="str">
        <f>IF($C170="","",IF(COUNTIFS('RAW_농산물_7월'!$D:$D,$C170,'RAW_농산물_7월'!$A:$A,$E170)&gt;0,"O",""))</f>
        <v>O</v>
      </c>
      <c r="J170" s="17" t="str">
        <f>IF($C170="","",IF(COUNTIFS('RAW_농산물_8월'!$D:$D,$C170,'RAW_농산물_8월'!$A:$A,$E170)&gt;0,"O",""))</f>
        <v>O</v>
      </c>
      <c r="K170" s="17" t="str">
        <f>IF($C170="","",IF(COUNTIFS('RAW_농산물_9월'!$D:$D,$C170,'RAW_농산물_9월'!$A:$A,$E170)&gt;0,"O",""))</f>
        <v/>
      </c>
      <c r="L170" s="17" t="str">
        <f>IF($C170="","",IF(COUNTIFS('RAW_농산물_10월'!$D:$D,$C170,'RAW_농산물_10월'!$A:$A,$E170)&gt;0,"O",""))</f>
        <v/>
      </c>
      <c r="M170" s="17" t="str">
        <f>IF($C170="","",IF(COUNTIFS('RAW_농산물_11-12월'!$D:$D,$C170,'RAW_농산물_11-12월'!$A:$A,$E170)&gt;0,"O",""))</f>
        <v/>
      </c>
      <c r="N170" s="7">
        <f>IF($C170="","",IF(COUNTA('RAW_농산물_7월'!$A:$A)&lt;=1,"",SUMIFS('RAW_농산물_7월'!$H:$H,'RAW_농산물_7월'!$D:$D,$C170,'RAW_농산물_7월'!$A:$A,$E170)))</f>
        <v>15400</v>
      </c>
      <c r="O170" s="7">
        <f>IF($C170="","",IF(COUNTA('RAW_농산물_8월'!$A:$A)&lt;=1,"",SUMIFS('RAW_농산물_8월'!$H:$H,'RAW_농산물_8월'!$D:$D,$C170,'RAW_농산물_8월'!$A:$A,$E170)-SUMIFS('RAW_농산물_7월'!$H:$H,'RAW_농산물_7월'!$D:$D,$C170,'RAW_농산물_7월'!$A:$A,$E170)))</f>
        <v>64780</v>
      </c>
      <c r="P170" s="7" t="str">
        <f>IF($C170="","",IF(COUNTA('RAW_농산물_9월'!$A:$A)&lt;=1,"",SUMIFS('RAW_농산물_9월'!$H:$H,'RAW_농산물_9월'!$D:$D,$C170,'RAW_농산물_9월'!$A:$A,$E170)-SUMIFS('RAW_농산물_8월'!$H:$H,'RAW_농산물_8월'!$D:$D,$C170,'RAW_농산물_8월'!$A:$A,$E170)))</f>
        <v/>
      </c>
      <c r="Q170" s="7" t="str">
        <f>IF($C170="","",IF(COUNTA('RAW_농산물_10월'!$A:$A)&lt;=1,"",SUMIFS('RAW_농산물_10월'!$H:$H,'RAW_농산물_10월'!$D:$D,$C170,'RAW_농산물_10월'!$A:$A,$E170)-SUMIFS('RAW_농산물_9월'!$H:$H,'RAW_농산물_9월'!$D:$D,$C170,'RAW_농산물_9월'!$A:$A,$E170)))</f>
        <v/>
      </c>
      <c r="R170" s="7" t="str">
        <f>IF($C170="","",IF(COUNTA('RAW_농산물_11-12월'!$A:$A)&lt;=1,"",SUMIFS('RAW_농산물_11-12월'!$H:$H,'RAW_농산물_11-12월'!$D:$D,$C170,'RAW_농산물_11-12월'!$A:$A,$E170)-SUMIFS('RAW_농산물_10월'!$H:$H,'RAW_농산물_10월'!$D:$D,$C170,'RAW_농산물_10월'!$A:$A,$E170)))</f>
        <v/>
      </c>
      <c r="S170" s="17" t="str">
        <f t="shared" si="4"/>
        <v>O</v>
      </c>
      <c r="T170" s="17" t="str">
        <f t="shared" si="5"/>
        <v>50만원 미만</v>
      </c>
      <c r="U170" s="7">
        <f>IF($C170="",0,IF('설정'!$B$3=0,0,CHOOSE('설정'!$B$3,COUNTIFS('RAW_농산물_7월'!$D:$D,$C170,'RAW_농산물_7월'!$A:$A,$E170),COUNTIFS('RAW_농산물_8월'!$D:$D,$C170,'RAW_농산물_8월'!$A:$A,$E170),COUNTIFS('RAW_농산물_9월'!$D:$D,$C170,'RAW_농산물_9월'!$A:$A,$E170),COUNTIFS('RAW_농산물_10월'!$D:$D,$C170,'RAW_농산물_10월'!$A:$A,$E170),COUNTIFS('RAW_농산물_11-12월'!$D:$D,$C170,'RAW_농산물_11-12월'!$A:$A,$E170))))</f>
        <v>1</v>
      </c>
    </row>
    <row r="171" ht="15.75" customHeight="1">
      <c r="A171" s="5">
        <v>169.0</v>
      </c>
      <c r="B171" s="5" t="s">
        <v>25</v>
      </c>
      <c r="C171" s="5" t="s">
        <v>1063</v>
      </c>
      <c r="D171" s="6" t="s">
        <v>1062</v>
      </c>
      <c r="E171" s="5" t="s">
        <v>28</v>
      </c>
      <c r="F171" s="7">
        <f>IF($C171="","",IF('설정'!$B$3=0,"",CHOOSE('설정'!$B$3,SUMIFS('RAW_농산물_7월'!$F:$F,'RAW_농산물_7월'!$D:$D,$C171,'RAW_농산물_7월'!$A:$A,$E171),SUMIFS('RAW_농산물_8월'!$F:$F,'RAW_농산물_8월'!$D:$D,$C171,'RAW_농산물_8월'!$A:$A,$E171),SUMIFS('RAW_농산물_9월'!$F:$F,'RAW_농산물_9월'!$D:$D,$C171,'RAW_농산물_9월'!$A:$A,$E171),SUMIFS('RAW_농산물_10월'!$F:$F,'RAW_농산물_10월'!$D:$D,$C171,'RAW_농산물_10월'!$A:$A,$E171),SUMIFS('RAW_농산물_11-12월'!$F:$F,'RAW_농산물_11-12월'!$D:$D,$C171,'RAW_농산물_11-12월'!$A:$A,$E171))))</f>
        <v>140</v>
      </c>
      <c r="G171" s="7">
        <f>IF($C171="","",IF('설정'!$B$3=0,"",CHOOSE('설정'!$B$3,SUMIFS('RAW_농산물_7월'!$G:$G,'RAW_농산물_7월'!$D:$D,$C171,'RAW_농산물_7월'!$A:$A,$E171),SUMIFS('RAW_농산물_8월'!$G:$G,'RAW_농산물_8월'!$D:$D,$C171,'RAW_농산물_8월'!$A:$A,$E171),SUMIFS('RAW_농산물_9월'!$G:$G,'RAW_농산물_9월'!$D:$D,$C171,'RAW_농산물_9월'!$A:$A,$E171),SUMIFS('RAW_농산물_10월'!$G:$G,'RAW_농산물_10월'!$D:$D,$C171,'RAW_농산물_10월'!$A:$A,$E171),SUMIFS('RAW_농산물_11-12월'!$G:$G,'RAW_농산물_11-12월'!$D:$D,$C171,'RAW_농산물_11-12월'!$A:$A,$E171))))</f>
        <v>3016100</v>
      </c>
      <c r="H171" s="14">
        <f>IF($C171="","",IF('설정'!$B$3=0,"",CHOOSE('설정'!$B$3,SUMIFS('RAW_농산물_7월'!$H:$H,'RAW_농산물_7월'!$D:$D,$C171,'RAW_농산물_7월'!$A:$A,$E171),SUMIFS('RAW_농산물_8월'!$H:$H,'RAW_농산물_8월'!$D:$D,$C171,'RAW_농산물_8월'!$A:$A,$E171),SUMIFS('RAW_농산물_9월'!$H:$H,'RAW_농산물_9월'!$D:$D,$C171,'RAW_농산물_9월'!$A:$A,$E171),SUMIFS('RAW_농산물_10월'!$H:$H,'RAW_농산물_10월'!$D:$D,$C171,'RAW_농산물_10월'!$A:$A,$E171),SUMIFS('RAW_농산물_11-12월'!$H:$H,'RAW_농산물_11-12월'!$D:$D,$C171,'RAW_농산물_11-12월'!$A:$A,$E171))))</f>
        <v>551480</v>
      </c>
      <c r="I171" s="17" t="str">
        <f>IF($C171="","",IF(COUNTIFS('RAW_농산물_7월'!$D:$D,$C171,'RAW_농산물_7월'!$A:$A,$E171)&gt;0,"O",""))</f>
        <v>O</v>
      </c>
      <c r="J171" s="17" t="str">
        <f>IF($C171="","",IF(COUNTIFS('RAW_농산물_8월'!$D:$D,$C171,'RAW_농산물_8월'!$A:$A,$E171)&gt;0,"O",""))</f>
        <v>O</v>
      </c>
      <c r="K171" s="17" t="str">
        <f>IF($C171="","",IF(COUNTIFS('RAW_농산물_9월'!$D:$D,$C171,'RAW_농산물_9월'!$A:$A,$E171)&gt;0,"O",""))</f>
        <v/>
      </c>
      <c r="L171" s="17" t="str">
        <f>IF($C171="","",IF(COUNTIFS('RAW_농산물_10월'!$D:$D,$C171,'RAW_농산물_10월'!$A:$A,$E171)&gt;0,"O",""))</f>
        <v/>
      </c>
      <c r="M171" s="17" t="str">
        <f>IF($C171="","",IF(COUNTIFS('RAW_농산물_11-12월'!$D:$D,$C171,'RAW_농산물_11-12월'!$A:$A,$E171)&gt;0,"O",""))</f>
        <v/>
      </c>
      <c r="N171" s="7">
        <f>IF($C171="","",IF(COUNTA('RAW_농산물_7월'!$A:$A)&lt;=1,"",SUMIFS('RAW_농산물_7월'!$H:$H,'RAW_농산물_7월'!$D:$D,$C171,'RAW_농산물_7월'!$A:$A,$E171)))</f>
        <v>215830</v>
      </c>
      <c r="O171" s="7">
        <f>IF($C171="","",IF(COUNTA('RAW_농산물_8월'!$A:$A)&lt;=1,"",SUMIFS('RAW_농산물_8월'!$H:$H,'RAW_농산물_8월'!$D:$D,$C171,'RAW_농산물_8월'!$A:$A,$E171)-SUMIFS('RAW_농산물_7월'!$H:$H,'RAW_농산물_7월'!$D:$D,$C171,'RAW_농산물_7월'!$A:$A,$E171)))</f>
        <v>335650</v>
      </c>
      <c r="P171" s="7" t="str">
        <f>IF($C171="","",IF(COUNTA('RAW_농산물_9월'!$A:$A)&lt;=1,"",SUMIFS('RAW_농산물_9월'!$H:$H,'RAW_농산물_9월'!$D:$D,$C171,'RAW_농산물_9월'!$A:$A,$E171)-SUMIFS('RAW_농산물_8월'!$H:$H,'RAW_농산물_8월'!$D:$D,$C171,'RAW_농산물_8월'!$A:$A,$E171)))</f>
        <v/>
      </c>
      <c r="Q171" s="7" t="str">
        <f>IF($C171="","",IF(COUNTA('RAW_농산물_10월'!$A:$A)&lt;=1,"",SUMIFS('RAW_농산물_10월'!$H:$H,'RAW_농산물_10월'!$D:$D,$C171,'RAW_농산물_10월'!$A:$A,$E171)-SUMIFS('RAW_농산물_9월'!$H:$H,'RAW_농산물_9월'!$D:$D,$C171,'RAW_농산물_9월'!$A:$A,$E171)))</f>
        <v/>
      </c>
      <c r="R171" s="7" t="str">
        <f>IF($C171="","",IF(COUNTA('RAW_농산물_11-12월'!$A:$A)&lt;=1,"",SUMIFS('RAW_농산물_11-12월'!$H:$H,'RAW_농산물_11-12월'!$D:$D,$C171,'RAW_농산물_11-12월'!$A:$A,$E171)-SUMIFS('RAW_농산물_10월'!$H:$H,'RAW_농산물_10월'!$D:$D,$C171,'RAW_농산물_10월'!$A:$A,$E171)))</f>
        <v/>
      </c>
      <c r="S171" s="17" t="str">
        <f t="shared" si="4"/>
        <v>O</v>
      </c>
      <c r="T171" s="17" t="str">
        <f t="shared" si="5"/>
        <v>100만원 미만</v>
      </c>
      <c r="U171" s="7">
        <f>IF($C171="",0,IF('설정'!$B$3=0,0,CHOOSE('설정'!$B$3,COUNTIFS('RAW_농산물_7월'!$D:$D,$C171,'RAW_농산물_7월'!$A:$A,$E171),COUNTIFS('RAW_농산물_8월'!$D:$D,$C171,'RAW_농산물_8월'!$A:$A,$E171),COUNTIFS('RAW_농산물_9월'!$D:$D,$C171,'RAW_농산물_9월'!$A:$A,$E171),COUNTIFS('RAW_농산물_10월'!$D:$D,$C171,'RAW_농산물_10월'!$A:$A,$E171),COUNTIFS('RAW_농산물_11-12월'!$D:$D,$C171,'RAW_농산물_11-12월'!$A:$A,$E171))))</f>
        <v>10</v>
      </c>
    </row>
    <row r="172" ht="15.75" customHeight="1">
      <c r="A172" s="5">
        <v>170.0</v>
      </c>
      <c r="B172" s="5" t="s">
        <v>25</v>
      </c>
      <c r="C172" s="5" t="s">
        <v>1645</v>
      </c>
      <c r="D172" s="6" t="s">
        <v>1644</v>
      </c>
      <c r="E172" s="5" t="s">
        <v>95</v>
      </c>
      <c r="F172" s="7">
        <f>IF($C172="","",IF('설정'!$B$3=0,"",CHOOSE('설정'!$B$3,SUMIFS('RAW_농산물_7월'!$F:$F,'RAW_농산물_7월'!$D:$D,$C172,'RAW_농산물_7월'!$A:$A,$E172),SUMIFS('RAW_농산물_8월'!$F:$F,'RAW_농산물_8월'!$D:$D,$C172,'RAW_농산물_8월'!$A:$A,$E172),SUMIFS('RAW_농산물_9월'!$F:$F,'RAW_농산물_9월'!$D:$D,$C172,'RAW_농산물_9월'!$A:$A,$E172),SUMIFS('RAW_농산물_10월'!$F:$F,'RAW_농산물_10월'!$D:$D,$C172,'RAW_농산물_10월'!$A:$A,$E172),SUMIFS('RAW_농산물_11-12월'!$F:$F,'RAW_농산물_11-12월'!$D:$D,$C172,'RAW_농산물_11-12월'!$A:$A,$E172))))</f>
        <v>23157</v>
      </c>
      <c r="G172" s="7">
        <f>IF($C172="","",IF('설정'!$B$3=0,"",CHOOSE('설정'!$B$3,SUMIFS('RAW_농산물_7월'!$G:$G,'RAW_농산물_7월'!$D:$D,$C172,'RAW_농산물_7월'!$A:$A,$E172),SUMIFS('RAW_농산물_8월'!$G:$G,'RAW_농산물_8월'!$D:$D,$C172,'RAW_농산물_8월'!$A:$A,$E172),SUMIFS('RAW_농산물_9월'!$G:$G,'RAW_농산물_9월'!$D:$D,$C172,'RAW_농산물_9월'!$A:$A,$E172),SUMIFS('RAW_농산물_10월'!$G:$G,'RAW_농산물_10월'!$D:$D,$C172,'RAW_농산물_10월'!$A:$A,$E172),SUMIFS('RAW_농산물_11-12월'!$G:$G,'RAW_농산물_11-12월'!$D:$D,$C172,'RAW_농산물_11-12월'!$A:$A,$E172))))</f>
        <v>348126237</v>
      </c>
      <c r="H172" s="14">
        <f>IF($C172="","",IF('설정'!$B$3=0,"",CHOOSE('설정'!$B$3,SUMIFS('RAW_농산물_7월'!$H:$H,'RAW_농산물_7월'!$D:$D,$C172,'RAW_농산물_7월'!$A:$A,$E172),SUMIFS('RAW_농산물_8월'!$H:$H,'RAW_농산물_8월'!$D:$D,$C172,'RAW_농산물_8월'!$A:$A,$E172),SUMIFS('RAW_농산물_9월'!$H:$H,'RAW_농산물_9월'!$D:$D,$C172,'RAW_농산물_9월'!$A:$A,$E172),SUMIFS('RAW_농산물_10월'!$H:$H,'RAW_농산물_10월'!$D:$D,$C172,'RAW_농산물_10월'!$A:$A,$E172),SUMIFS('RAW_농산물_11-12월'!$H:$H,'RAW_농산물_11-12월'!$D:$D,$C172,'RAW_농산물_11-12월'!$A:$A,$E172))))</f>
        <v>5847700</v>
      </c>
      <c r="I172" s="17" t="str">
        <f>IF($C172="","",IF(COUNTIFS('RAW_농산물_7월'!$D:$D,$C172,'RAW_농산물_7월'!$A:$A,$E172)&gt;0,"O",""))</f>
        <v>O</v>
      </c>
      <c r="J172" s="17" t="str">
        <f>IF($C172="","",IF(COUNTIFS('RAW_농산물_8월'!$D:$D,$C172,'RAW_농산물_8월'!$A:$A,$E172)&gt;0,"O",""))</f>
        <v>O</v>
      </c>
      <c r="K172" s="17" t="str">
        <f>IF($C172="","",IF(COUNTIFS('RAW_농산물_9월'!$D:$D,$C172,'RAW_농산물_9월'!$A:$A,$E172)&gt;0,"O",""))</f>
        <v/>
      </c>
      <c r="L172" s="17" t="str">
        <f>IF($C172="","",IF(COUNTIFS('RAW_농산물_10월'!$D:$D,$C172,'RAW_농산물_10월'!$A:$A,$E172)&gt;0,"O",""))</f>
        <v/>
      </c>
      <c r="M172" s="17" t="str">
        <f>IF($C172="","",IF(COUNTIFS('RAW_농산물_11-12월'!$D:$D,$C172,'RAW_농산물_11-12월'!$A:$A,$E172)&gt;0,"O",""))</f>
        <v/>
      </c>
      <c r="N172" s="7">
        <f>IF($C172="","",IF(COUNTA('RAW_농산물_7월'!$A:$A)&lt;=1,"",SUMIFS('RAW_농산물_7월'!$H:$H,'RAW_농산물_7월'!$D:$D,$C172,'RAW_농산물_7월'!$A:$A,$E172)))</f>
        <v>5847700</v>
      </c>
      <c r="O172" s="7">
        <f>IF($C172="","",IF(COUNTA('RAW_농산물_8월'!$A:$A)&lt;=1,"",SUMIFS('RAW_농산물_8월'!$H:$H,'RAW_농산물_8월'!$D:$D,$C172,'RAW_농산물_8월'!$A:$A,$E172)-SUMIFS('RAW_농산물_7월'!$H:$H,'RAW_농산물_7월'!$D:$D,$C172,'RAW_농산물_7월'!$A:$A,$E172)))</f>
        <v>0</v>
      </c>
      <c r="P172" s="7" t="str">
        <f>IF($C172="","",IF(COUNTA('RAW_농산물_9월'!$A:$A)&lt;=1,"",SUMIFS('RAW_농산물_9월'!$H:$H,'RAW_농산물_9월'!$D:$D,$C172,'RAW_농산물_9월'!$A:$A,$E172)-SUMIFS('RAW_농산물_8월'!$H:$H,'RAW_농산물_8월'!$D:$D,$C172,'RAW_농산물_8월'!$A:$A,$E172)))</f>
        <v/>
      </c>
      <c r="Q172" s="7" t="str">
        <f>IF($C172="","",IF(COUNTA('RAW_농산물_10월'!$A:$A)&lt;=1,"",SUMIFS('RAW_농산물_10월'!$H:$H,'RAW_농산물_10월'!$D:$D,$C172,'RAW_농산물_10월'!$A:$A,$E172)-SUMIFS('RAW_농산물_9월'!$H:$H,'RAW_농산물_9월'!$D:$D,$C172,'RAW_농산물_9월'!$A:$A,$E172)))</f>
        <v/>
      </c>
      <c r="R172" s="7" t="str">
        <f>IF($C172="","",IF(COUNTA('RAW_농산물_11-12월'!$A:$A)&lt;=1,"",SUMIFS('RAW_농산물_11-12월'!$H:$H,'RAW_농산물_11-12월'!$D:$D,$C172,'RAW_농산물_11-12월'!$A:$A,$E172)-SUMIFS('RAW_농산물_10월'!$H:$H,'RAW_농산물_10월'!$D:$D,$C172,'RAW_농산물_10월'!$A:$A,$E172)))</f>
        <v/>
      </c>
      <c r="S172" s="17" t="str">
        <f t="shared" si="4"/>
        <v>O</v>
      </c>
      <c r="T172" s="17" t="str">
        <f t="shared" si="5"/>
        <v>600만원 미만</v>
      </c>
      <c r="U172" s="7">
        <f>IF($C172="",0,IF('설정'!$B$3=0,0,CHOOSE('설정'!$B$3,COUNTIFS('RAW_농산물_7월'!$D:$D,$C172,'RAW_농산물_7월'!$A:$A,$E172),COUNTIFS('RAW_농산물_8월'!$D:$D,$C172,'RAW_농산물_8월'!$A:$A,$E172),COUNTIFS('RAW_농산물_9월'!$D:$D,$C172,'RAW_농산물_9월'!$A:$A,$E172),COUNTIFS('RAW_농산물_10월'!$D:$D,$C172,'RAW_농산물_10월'!$A:$A,$E172),COUNTIFS('RAW_농산물_11-12월'!$D:$D,$C172,'RAW_농산물_11-12월'!$A:$A,$E172))))</f>
        <v>11</v>
      </c>
    </row>
    <row r="173" ht="15.75" customHeight="1">
      <c r="A173" s="5">
        <v>171.0</v>
      </c>
      <c r="B173" s="5" t="s">
        <v>25</v>
      </c>
      <c r="C173" s="5" t="s">
        <v>1658</v>
      </c>
      <c r="D173" s="6" t="s">
        <v>1657</v>
      </c>
      <c r="E173" s="5" t="s">
        <v>95</v>
      </c>
      <c r="F173" s="7">
        <f>IF($C173="","",IF('설정'!$B$3=0,"",CHOOSE('설정'!$B$3,SUMIFS('RAW_농산물_7월'!$F:$F,'RAW_농산물_7월'!$D:$D,$C173,'RAW_농산물_7월'!$A:$A,$E173),SUMIFS('RAW_농산물_8월'!$F:$F,'RAW_농산물_8월'!$D:$D,$C173,'RAW_농산물_8월'!$A:$A,$E173),SUMIFS('RAW_농산물_9월'!$F:$F,'RAW_농산물_9월'!$D:$D,$C173,'RAW_농산물_9월'!$A:$A,$E173),SUMIFS('RAW_농산물_10월'!$F:$F,'RAW_농산물_10월'!$D:$D,$C173,'RAW_농산물_10월'!$A:$A,$E173),SUMIFS('RAW_농산물_11-12월'!$F:$F,'RAW_농산물_11-12월'!$D:$D,$C173,'RAW_농산물_11-12월'!$A:$A,$E173))))</f>
        <v>3181</v>
      </c>
      <c r="G173" s="7">
        <f>IF($C173="","",IF('설정'!$B$3=0,"",CHOOSE('설정'!$B$3,SUMIFS('RAW_농산물_7월'!$G:$G,'RAW_농산물_7월'!$D:$D,$C173,'RAW_농산물_7월'!$A:$A,$E173),SUMIFS('RAW_농산물_8월'!$G:$G,'RAW_농산물_8월'!$D:$D,$C173,'RAW_농산물_8월'!$A:$A,$E173),SUMIFS('RAW_농산물_9월'!$G:$G,'RAW_농산물_9월'!$D:$D,$C173,'RAW_농산물_9월'!$A:$A,$E173),SUMIFS('RAW_농산물_10월'!$G:$G,'RAW_농산물_10월'!$D:$D,$C173,'RAW_농산물_10월'!$A:$A,$E173),SUMIFS('RAW_농산물_11-12월'!$G:$G,'RAW_농산물_11-12월'!$D:$D,$C173,'RAW_농산물_11-12월'!$A:$A,$E173))))</f>
        <v>55343432</v>
      </c>
      <c r="H173" s="14">
        <f>IF($C173="","",IF('설정'!$B$3=0,"",CHOOSE('설정'!$B$3,SUMIFS('RAW_농산물_7월'!$H:$H,'RAW_농산물_7월'!$D:$D,$C173,'RAW_농산물_7월'!$A:$A,$E173),SUMIFS('RAW_농산물_8월'!$H:$H,'RAW_농산물_8월'!$D:$D,$C173,'RAW_농산물_8월'!$A:$A,$E173),SUMIFS('RAW_농산물_9월'!$H:$H,'RAW_농산물_9월'!$D:$D,$C173,'RAW_농산물_9월'!$A:$A,$E173),SUMIFS('RAW_농산물_10월'!$H:$H,'RAW_농산물_10월'!$D:$D,$C173,'RAW_농산물_10월'!$A:$A,$E173),SUMIFS('RAW_농산물_11-12월'!$H:$H,'RAW_농산물_11-12월'!$D:$D,$C173,'RAW_농산물_11-12월'!$A:$A,$E173))))</f>
        <v>3711720</v>
      </c>
      <c r="I173" s="17" t="str">
        <f>IF($C173="","",IF(COUNTIFS('RAW_농산물_7월'!$D:$D,$C173,'RAW_농산물_7월'!$A:$A,$E173)&gt;0,"O",""))</f>
        <v>O</v>
      </c>
      <c r="J173" s="17" t="str">
        <f>IF($C173="","",IF(COUNTIFS('RAW_농산물_8월'!$D:$D,$C173,'RAW_농산물_8월'!$A:$A,$E173)&gt;0,"O",""))</f>
        <v>O</v>
      </c>
      <c r="K173" s="17" t="str">
        <f>IF($C173="","",IF(COUNTIFS('RAW_농산물_9월'!$D:$D,$C173,'RAW_농산물_9월'!$A:$A,$E173)&gt;0,"O",""))</f>
        <v/>
      </c>
      <c r="L173" s="17" t="str">
        <f>IF($C173="","",IF(COUNTIFS('RAW_농산물_10월'!$D:$D,$C173,'RAW_농산물_10월'!$A:$A,$E173)&gt;0,"O",""))</f>
        <v/>
      </c>
      <c r="M173" s="17" t="str">
        <f>IF($C173="","",IF(COUNTIFS('RAW_농산물_11-12월'!$D:$D,$C173,'RAW_농산물_11-12월'!$A:$A,$E173)&gt;0,"O",""))</f>
        <v/>
      </c>
      <c r="N173" s="7">
        <f>IF($C173="","",IF(COUNTA('RAW_농산물_7월'!$A:$A)&lt;=1,"",SUMIFS('RAW_농산물_7월'!$H:$H,'RAW_농산물_7월'!$D:$D,$C173,'RAW_농산물_7월'!$A:$A,$E173)))</f>
        <v>1907760</v>
      </c>
      <c r="O173" s="7">
        <f>IF($C173="","",IF(COUNTA('RAW_농산물_8월'!$A:$A)&lt;=1,"",SUMIFS('RAW_농산물_8월'!$H:$H,'RAW_농산물_8월'!$D:$D,$C173,'RAW_농산물_8월'!$A:$A,$E173)-SUMIFS('RAW_농산물_7월'!$H:$H,'RAW_농산물_7월'!$D:$D,$C173,'RAW_농산물_7월'!$A:$A,$E173)))</f>
        <v>1803960</v>
      </c>
      <c r="P173" s="7" t="str">
        <f>IF($C173="","",IF(COUNTA('RAW_농산물_9월'!$A:$A)&lt;=1,"",SUMIFS('RAW_농산물_9월'!$H:$H,'RAW_농산물_9월'!$D:$D,$C173,'RAW_농산물_9월'!$A:$A,$E173)-SUMIFS('RAW_농산물_8월'!$H:$H,'RAW_농산물_8월'!$D:$D,$C173,'RAW_농산물_8월'!$A:$A,$E173)))</f>
        <v/>
      </c>
      <c r="Q173" s="7" t="str">
        <f>IF($C173="","",IF(COUNTA('RAW_농산물_10월'!$A:$A)&lt;=1,"",SUMIFS('RAW_농산물_10월'!$H:$H,'RAW_농산물_10월'!$D:$D,$C173,'RAW_농산물_10월'!$A:$A,$E173)-SUMIFS('RAW_농산물_9월'!$H:$H,'RAW_농산물_9월'!$D:$D,$C173,'RAW_농산물_9월'!$A:$A,$E173)))</f>
        <v/>
      </c>
      <c r="R173" s="7" t="str">
        <f>IF($C173="","",IF(COUNTA('RAW_농산물_11-12월'!$A:$A)&lt;=1,"",SUMIFS('RAW_농산물_11-12월'!$H:$H,'RAW_농산물_11-12월'!$D:$D,$C173,'RAW_농산물_11-12월'!$A:$A,$E173)-SUMIFS('RAW_농산물_10월'!$H:$H,'RAW_농산물_10월'!$D:$D,$C173,'RAW_농산물_10월'!$A:$A,$E173)))</f>
        <v/>
      </c>
      <c r="S173" s="17" t="str">
        <f t="shared" si="4"/>
        <v>O</v>
      </c>
      <c r="T173" s="17" t="str">
        <f t="shared" si="5"/>
        <v>400만원 미만</v>
      </c>
      <c r="U173" s="7">
        <f>IF($C173="",0,IF('설정'!$B$3=0,0,CHOOSE('설정'!$B$3,COUNTIFS('RAW_농산물_7월'!$D:$D,$C173,'RAW_농산물_7월'!$A:$A,$E173),COUNTIFS('RAW_농산물_8월'!$D:$D,$C173,'RAW_농산물_8월'!$A:$A,$E173),COUNTIFS('RAW_농산물_9월'!$D:$D,$C173,'RAW_농산물_9월'!$A:$A,$E173),COUNTIFS('RAW_농산물_10월'!$D:$D,$C173,'RAW_농산물_10월'!$A:$A,$E173),COUNTIFS('RAW_농산물_11-12월'!$D:$D,$C173,'RAW_농산물_11-12월'!$A:$A,$E173))))</f>
        <v>10</v>
      </c>
    </row>
    <row r="174" ht="15.75" customHeight="1">
      <c r="A174" s="5">
        <v>172.0</v>
      </c>
      <c r="B174" s="5" t="s">
        <v>108</v>
      </c>
      <c r="C174" s="5" t="s">
        <v>2984</v>
      </c>
      <c r="D174" s="6" t="s">
        <v>2985</v>
      </c>
      <c r="E174" s="5" t="s">
        <v>92</v>
      </c>
      <c r="F174" s="7">
        <f>IF($C174="","",IF('설정'!$B$3=0,"",CHOOSE('설정'!$B$3,SUMIFS('RAW_농산물_7월'!$F:$F,'RAW_농산물_7월'!$D:$D,$C174,'RAW_농산물_7월'!$A:$A,$E174),SUMIFS('RAW_농산물_8월'!$F:$F,'RAW_농산물_8월'!$D:$D,$C174,'RAW_농산물_8월'!$A:$A,$E174),SUMIFS('RAW_농산물_9월'!$F:$F,'RAW_농산물_9월'!$D:$D,$C174,'RAW_농산물_9월'!$A:$A,$E174),SUMIFS('RAW_농산물_10월'!$F:$F,'RAW_농산물_10월'!$D:$D,$C174,'RAW_농산물_10월'!$A:$A,$E174),SUMIFS('RAW_농산물_11-12월'!$F:$F,'RAW_농산물_11-12월'!$D:$D,$C174,'RAW_농산물_11-12월'!$A:$A,$E174))))</f>
        <v>0</v>
      </c>
      <c r="G174" s="7">
        <f>IF($C174="","",IF('설정'!$B$3=0,"",CHOOSE('설정'!$B$3,SUMIFS('RAW_농산물_7월'!$G:$G,'RAW_농산물_7월'!$D:$D,$C174,'RAW_농산물_7월'!$A:$A,$E174),SUMIFS('RAW_농산물_8월'!$G:$G,'RAW_농산물_8월'!$D:$D,$C174,'RAW_농산물_8월'!$A:$A,$E174),SUMIFS('RAW_농산물_9월'!$G:$G,'RAW_농산물_9월'!$D:$D,$C174,'RAW_농산물_9월'!$A:$A,$E174),SUMIFS('RAW_농산물_10월'!$G:$G,'RAW_농산물_10월'!$D:$D,$C174,'RAW_농산물_10월'!$A:$A,$E174),SUMIFS('RAW_농산물_11-12월'!$G:$G,'RAW_농산물_11-12월'!$D:$D,$C174,'RAW_농산물_11-12월'!$A:$A,$E174))))</f>
        <v>0</v>
      </c>
      <c r="H174" s="14">
        <f>IF($C174="","",IF('설정'!$B$3=0,"",CHOOSE('설정'!$B$3,SUMIFS('RAW_농산물_7월'!$H:$H,'RAW_농산물_7월'!$D:$D,$C174,'RAW_농산물_7월'!$A:$A,$E174),SUMIFS('RAW_농산물_8월'!$H:$H,'RAW_농산물_8월'!$D:$D,$C174,'RAW_농산물_8월'!$A:$A,$E174),SUMIFS('RAW_농산물_9월'!$H:$H,'RAW_농산물_9월'!$D:$D,$C174,'RAW_농산물_9월'!$A:$A,$E174),SUMIFS('RAW_농산물_10월'!$H:$H,'RAW_농산물_10월'!$D:$D,$C174,'RAW_농산물_10월'!$A:$A,$E174),SUMIFS('RAW_농산물_11-12월'!$H:$H,'RAW_농산물_11-12월'!$D:$D,$C174,'RAW_농산물_11-12월'!$A:$A,$E174))))</f>
        <v>0</v>
      </c>
      <c r="I174" s="17" t="str">
        <f>IF($C174="","",IF(COUNTIFS('RAW_농산물_7월'!$D:$D,$C174,'RAW_농산물_7월'!$A:$A,$E174)&gt;0,"O",""))</f>
        <v/>
      </c>
      <c r="J174" s="17" t="str">
        <f>IF($C174="","",IF(COUNTIFS('RAW_농산물_8월'!$D:$D,$C174,'RAW_농산물_8월'!$A:$A,$E174)&gt;0,"O",""))</f>
        <v/>
      </c>
      <c r="K174" s="17" t="str">
        <f>IF($C174="","",IF(COUNTIFS('RAW_농산물_9월'!$D:$D,$C174,'RAW_농산물_9월'!$A:$A,$E174)&gt;0,"O",""))</f>
        <v/>
      </c>
      <c r="L174" s="17" t="str">
        <f>IF($C174="","",IF(COUNTIFS('RAW_농산물_10월'!$D:$D,$C174,'RAW_농산물_10월'!$A:$A,$E174)&gt;0,"O",""))</f>
        <v/>
      </c>
      <c r="M174" s="17" t="str">
        <f>IF($C174="","",IF(COUNTIFS('RAW_농산물_11-12월'!$D:$D,$C174,'RAW_농산물_11-12월'!$A:$A,$E174)&gt;0,"O",""))</f>
        <v/>
      </c>
      <c r="N174" s="7">
        <f>IF($C174="","",IF(COUNTA('RAW_농산물_7월'!$A:$A)&lt;=1,"",SUMIFS('RAW_농산물_7월'!$H:$H,'RAW_농산물_7월'!$D:$D,$C174,'RAW_농산물_7월'!$A:$A,$E174)))</f>
        <v>0</v>
      </c>
      <c r="O174" s="7">
        <f>IF($C174="","",IF(COUNTA('RAW_농산물_8월'!$A:$A)&lt;=1,"",SUMIFS('RAW_농산물_8월'!$H:$H,'RAW_농산물_8월'!$D:$D,$C174,'RAW_농산물_8월'!$A:$A,$E174)-SUMIFS('RAW_농산물_7월'!$H:$H,'RAW_농산물_7월'!$D:$D,$C174,'RAW_농산물_7월'!$A:$A,$E174)))</f>
        <v>0</v>
      </c>
      <c r="P174" s="7" t="str">
        <f>IF($C174="","",IF(COUNTA('RAW_농산물_9월'!$A:$A)&lt;=1,"",SUMIFS('RAW_농산물_9월'!$H:$H,'RAW_농산물_9월'!$D:$D,$C174,'RAW_농산물_9월'!$A:$A,$E174)-SUMIFS('RAW_농산물_8월'!$H:$H,'RAW_농산물_8월'!$D:$D,$C174,'RAW_농산물_8월'!$A:$A,$E174)))</f>
        <v/>
      </c>
      <c r="Q174" s="7" t="str">
        <f>IF($C174="","",IF(COUNTA('RAW_농산물_10월'!$A:$A)&lt;=1,"",SUMIFS('RAW_농산물_10월'!$H:$H,'RAW_농산물_10월'!$D:$D,$C174,'RAW_농산물_10월'!$A:$A,$E174)-SUMIFS('RAW_농산물_9월'!$H:$H,'RAW_농산물_9월'!$D:$D,$C174,'RAW_농산물_9월'!$A:$A,$E174)))</f>
        <v/>
      </c>
      <c r="R174" s="7" t="str">
        <f>IF($C174="","",IF(COUNTA('RAW_농산물_11-12월'!$A:$A)&lt;=1,"",SUMIFS('RAW_농산물_11-12월'!$H:$H,'RAW_농산물_11-12월'!$D:$D,$C174,'RAW_농산물_11-12월'!$A:$A,$E174)-SUMIFS('RAW_농산물_10월'!$H:$H,'RAW_농산물_10월'!$D:$D,$C174,'RAW_농산물_10월'!$A:$A,$E174)))</f>
        <v/>
      </c>
      <c r="S174" s="17" t="str">
        <f t="shared" si="4"/>
        <v/>
      </c>
      <c r="T174" s="17" t="str">
        <f t="shared" si="5"/>
        <v>미사용</v>
      </c>
      <c r="U174" s="7">
        <f>IF($C174="",0,IF('설정'!$B$3=0,0,CHOOSE('설정'!$B$3,COUNTIFS('RAW_농산물_7월'!$D:$D,$C174,'RAW_농산물_7월'!$A:$A,$E174),COUNTIFS('RAW_농산물_8월'!$D:$D,$C174,'RAW_농산물_8월'!$A:$A,$E174),COUNTIFS('RAW_농산물_9월'!$D:$D,$C174,'RAW_농산물_9월'!$A:$A,$E174),COUNTIFS('RAW_농산물_10월'!$D:$D,$C174,'RAW_농산물_10월'!$A:$A,$E174),COUNTIFS('RAW_농산물_11-12월'!$D:$D,$C174,'RAW_농산물_11-12월'!$A:$A,$E174))))</f>
        <v>0</v>
      </c>
    </row>
    <row r="175" ht="15.75" customHeight="1">
      <c r="A175" s="5">
        <v>173.0</v>
      </c>
      <c r="B175" s="5" t="s">
        <v>108</v>
      </c>
      <c r="C175" s="5" t="s">
        <v>664</v>
      </c>
      <c r="D175" s="6" t="s">
        <v>663</v>
      </c>
      <c r="E175" s="5" t="s">
        <v>92</v>
      </c>
      <c r="F175" s="7">
        <f>IF($C175="","",IF('설정'!$B$3=0,"",CHOOSE('설정'!$B$3,SUMIFS('RAW_농산물_7월'!$F:$F,'RAW_농산물_7월'!$D:$D,$C175,'RAW_농산물_7월'!$A:$A,$E175),SUMIFS('RAW_농산물_8월'!$F:$F,'RAW_농산물_8월'!$D:$D,$C175,'RAW_농산물_8월'!$A:$A,$E175),SUMIFS('RAW_농산물_9월'!$F:$F,'RAW_농산물_9월'!$D:$D,$C175,'RAW_농산물_9월'!$A:$A,$E175),SUMIFS('RAW_농산물_10월'!$F:$F,'RAW_농산물_10월'!$D:$D,$C175,'RAW_농산물_10월'!$A:$A,$E175),SUMIFS('RAW_농산물_11-12월'!$F:$F,'RAW_농산물_11-12월'!$D:$D,$C175,'RAW_농산물_11-12월'!$A:$A,$E175))))</f>
        <v>41</v>
      </c>
      <c r="G175" s="7">
        <f>IF($C175="","",IF('설정'!$B$3=0,"",CHOOSE('설정'!$B$3,SUMIFS('RAW_농산물_7월'!$G:$G,'RAW_농산물_7월'!$D:$D,$C175,'RAW_농산물_7월'!$A:$A,$E175),SUMIFS('RAW_농산물_8월'!$G:$G,'RAW_농산물_8월'!$D:$D,$C175,'RAW_농산물_8월'!$A:$A,$E175),SUMIFS('RAW_농산물_9월'!$G:$G,'RAW_농산물_9월'!$D:$D,$C175,'RAW_농산물_9월'!$A:$A,$E175),SUMIFS('RAW_농산물_10월'!$G:$G,'RAW_농산물_10월'!$D:$D,$C175,'RAW_농산물_10월'!$A:$A,$E175),SUMIFS('RAW_농산물_11-12월'!$G:$G,'RAW_농산물_11-12월'!$D:$D,$C175,'RAW_농산물_11-12월'!$A:$A,$E175))))</f>
        <v>1129400</v>
      </c>
      <c r="H175" s="14">
        <f>IF($C175="","",IF('설정'!$B$3=0,"",CHOOSE('설정'!$B$3,SUMIFS('RAW_농산물_7월'!$H:$H,'RAW_농산물_7월'!$D:$D,$C175,'RAW_농산물_7월'!$A:$A,$E175),SUMIFS('RAW_농산물_8월'!$H:$H,'RAW_농산물_8월'!$D:$D,$C175,'RAW_농산물_8월'!$A:$A,$E175),SUMIFS('RAW_농산물_9월'!$H:$H,'RAW_농산물_9월'!$D:$D,$C175,'RAW_농산물_9월'!$A:$A,$E175),SUMIFS('RAW_농산물_10월'!$H:$H,'RAW_농산물_10월'!$D:$D,$C175,'RAW_농산물_10월'!$A:$A,$E175),SUMIFS('RAW_농산물_11-12월'!$H:$H,'RAW_농산물_11-12월'!$D:$D,$C175,'RAW_농산물_11-12월'!$A:$A,$E175))))</f>
        <v>90860</v>
      </c>
      <c r="I175" s="17" t="str">
        <f>IF($C175="","",IF(COUNTIFS('RAW_농산물_7월'!$D:$D,$C175,'RAW_농산물_7월'!$A:$A,$E175)&gt;0,"O",""))</f>
        <v>O</v>
      </c>
      <c r="J175" s="17" t="str">
        <f>IF($C175="","",IF(COUNTIFS('RAW_농산물_8월'!$D:$D,$C175,'RAW_농산물_8월'!$A:$A,$E175)&gt;0,"O",""))</f>
        <v>O</v>
      </c>
      <c r="K175" s="17" t="str">
        <f>IF($C175="","",IF(COUNTIFS('RAW_농산물_9월'!$D:$D,$C175,'RAW_농산물_9월'!$A:$A,$E175)&gt;0,"O",""))</f>
        <v/>
      </c>
      <c r="L175" s="17" t="str">
        <f>IF($C175="","",IF(COUNTIFS('RAW_농산물_10월'!$D:$D,$C175,'RAW_농산물_10월'!$A:$A,$E175)&gt;0,"O",""))</f>
        <v/>
      </c>
      <c r="M175" s="17" t="str">
        <f>IF($C175="","",IF(COUNTIFS('RAW_농산물_11-12월'!$D:$D,$C175,'RAW_농산물_11-12월'!$A:$A,$E175)&gt;0,"O",""))</f>
        <v/>
      </c>
      <c r="N175" s="7">
        <f>IF($C175="","",IF(COUNTA('RAW_농산물_7월'!$A:$A)&lt;=1,"",SUMIFS('RAW_농산물_7월'!$H:$H,'RAW_농산물_7월'!$D:$D,$C175,'RAW_농산물_7월'!$A:$A,$E175)))</f>
        <v>0</v>
      </c>
      <c r="O175" s="7">
        <f>IF($C175="","",IF(COUNTA('RAW_농산물_8월'!$A:$A)&lt;=1,"",SUMIFS('RAW_농산물_8월'!$H:$H,'RAW_농산물_8월'!$D:$D,$C175,'RAW_농산물_8월'!$A:$A,$E175)-SUMIFS('RAW_농산물_7월'!$H:$H,'RAW_농산물_7월'!$D:$D,$C175,'RAW_농산물_7월'!$A:$A,$E175)))</f>
        <v>90860</v>
      </c>
      <c r="P175" s="7" t="str">
        <f>IF($C175="","",IF(COUNTA('RAW_농산물_9월'!$A:$A)&lt;=1,"",SUMIFS('RAW_농산물_9월'!$H:$H,'RAW_농산물_9월'!$D:$D,$C175,'RAW_농산물_9월'!$A:$A,$E175)-SUMIFS('RAW_농산물_8월'!$H:$H,'RAW_농산물_8월'!$D:$D,$C175,'RAW_농산물_8월'!$A:$A,$E175)))</f>
        <v/>
      </c>
      <c r="Q175" s="7" t="str">
        <f>IF($C175="","",IF(COUNTA('RAW_농산물_10월'!$A:$A)&lt;=1,"",SUMIFS('RAW_농산물_10월'!$H:$H,'RAW_농산물_10월'!$D:$D,$C175,'RAW_농산물_10월'!$A:$A,$E175)-SUMIFS('RAW_농산물_9월'!$H:$H,'RAW_농산물_9월'!$D:$D,$C175,'RAW_농산물_9월'!$A:$A,$E175)))</f>
        <v/>
      </c>
      <c r="R175" s="7" t="str">
        <f>IF($C175="","",IF(COUNTA('RAW_농산물_11-12월'!$A:$A)&lt;=1,"",SUMIFS('RAW_농산물_11-12월'!$H:$H,'RAW_농산물_11-12월'!$D:$D,$C175,'RAW_농산물_11-12월'!$A:$A,$E175)-SUMIFS('RAW_농산물_10월'!$H:$H,'RAW_농산물_10월'!$D:$D,$C175,'RAW_농산물_10월'!$A:$A,$E175)))</f>
        <v/>
      </c>
      <c r="S175" s="17" t="str">
        <f t="shared" si="4"/>
        <v>O</v>
      </c>
      <c r="T175" s="17" t="str">
        <f t="shared" si="5"/>
        <v>50만원 미만</v>
      </c>
      <c r="U175" s="7">
        <f>IF($C175="",0,IF('설정'!$B$3=0,0,CHOOSE('설정'!$B$3,COUNTIFS('RAW_농산물_7월'!$D:$D,$C175,'RAW_농산물_7월'!$A:$A,$E175),COUNTIFS('RAW_농산물_8월'!$D:$D,$C175,'RAW_농산물_8월'!$A:$A,$E175),COUNTIFS('RAW_농산물_9월'!$D:$D,$C175,'RAW_농산물_9월'!$A:$A,$E175),COUNTIFS('RAW_농산물_10월'!$D:$D,$C175,'RAW_농산물_10월'!$A:$A,$E175),COUNTIFS('RAW_농산물_11-12월'!$D:$D,$C175,'RAW_농산물_11-12월'!$A:$A,$E175))))</f>
        <v>26</v>
      </c>
    </row>
    <row r="176" ht="15.75" customHeight="1">
      <c r="A176" s="5">
        <v>174.0</v>
      </c>
      <c r="B176" s="5" t="s">
        <v>145</v>
      </c>
      <c r="C176" s="5" t="s">
        <v>1689</v>
      </c>
      <c r="D176" s="6" t="s">
        <v>1688</v>
      </c>
      <c r="E176" s="5" t="s">
        <v>31</v>
      </c>
      <c r="F176" s="7">
        <f>IF($C176="","",IF('설정'!$B$3=0,"",CHOOSE('설정'!$B$3,SUMIFS('RAW_농산물_7월'!$F:$F,'RAW_농산물_7월'!$D:$D,$C176,'RAW_농산물_7월'!$A:$A,$E176),SUMIFS('RAW_농산물_8월'!$F:$F,'RAW_농산물_8월'!$D:$D,$C176,'RAW_농산물_8월'!$A:$A,$E176),SUMIFS('RAW_농산물_9월'!$F:$F,'RAW_농산물_9월'!$D:$D,$C176,'RAW_농산물_9월'!$A:$A,$E176),SUMIFS('RAW_농산물_10월'!$F:$F,'RAW_농산물_10월'!$D:$D,$C176,'RAW_농산물_10월'!$A:$A,$E176),SUMIFS('RAW_농산물_11-12월'!$F:$F,'RAW_농산물_11-12월'!$D:$D,$C176,'RAW_농산물_11-12월'!$A:$A,$E176))))</f>
        <v>83</v>
      </c>
      <c r="G176" s="7">
        <f>IF($C176="","",IF('설정'!$B$3=0,"",CHOOSE('설정'!$B$3,SUMIFS('RAW_농산물_7월'!$G:$G,'RAW_농산물_7월'!$D:$D,$C176,'RAW_농산물_7월'!$A:$A,$E176),SUMIFS('RAW_농산물_8월'!$G:$G,'RAW_농산물_8월'!$D:$D,$C176,'RAW_농산물_8월'!$A:$A,$E176),SUMIFS('RAW_농산물_9월'!$G:$G,'RAW_농산물_9월'!$D:$D,$C176,'RAW_농산물_9월'!$A:$A,$E176),SUMIFS('RAW_농산물_10월'!$G:$G,'RAW_농산물_10월'!$D:$D,$C176,'RAW_농산물_10월'!$A:$A,$E176),SUMIFS('RAW_농산물_11-12월'!$G:$G,'RAW_농산물_11-12월'!$D:$D,$C176,'RAW_농산물_11-12월'!$A:$A,$E176))))</f>
        <v>1078300</v>
      </c>
      <c r="H176" s="14">
        <f>IF($C176="","",IF('설정'!$B$3=0,"",CHOOSE('설정'!$B$3,SUMIFS('RAW_농산물_7월'!$H:$H,'RAW_농산물_7월'!$D:$D,$C176,'RAW_농산물_7월'!$A:$A,$E176),SUMIFS('RAW_농산물_8월'!$H:$H,'RAW_농산물_8월'!$D:$D,$C176,'RAW_농산물_8월'!$A:$A,$E176),SUMIFS('RAW_농산물_9월'!$H:$H,'RAW_농산물_9월'!$D:$D,$C176,'RAW_농산물_9월'!$A:$A,$E176),SUMIFS('RAW_농산물_10월'!$H:$H,'RAW_농산물_10월'!$D:$D,$C176,'RAW_농산물_10월'!$A:$A,$E176),SUMIFS('RAW_농산물_11-12월'!$H:$H,'RAW_농산물_11-12월'!$D:$D,$C176,'RAW_농산물_11-12월'!$A:$A,$E176))))</f>
        <v>129420</v>
      </c>
      <c r="I176" s="17" t="str">
        <f>IF($C176="","",IF(COUNTIFS('RAW_농산물_7월'!$D:$D,$C176,'RAW_농산물_7월'!$A:$A,$E176)&gt;0,"O",""))</f>
        <v>O</v>
      </c>
      <c r="J176" s="17" t="str">
        <f>IF($C176="","",IF(COUNTIFS('RAW_농산물_8월'!$D:$D,$C176,'RAW_농산물_8월'!$A:$A,$E176)&gt;0,"O",""))</f>
        <v>O</v>
      </c>
      <c r="K176" s="17" t="str">
        <f>IF($C176="","",IF(COUNTIFS('RAW_농산물_9월'!$D:$D,$C176,'RAW_농산물_9월'!$A:$A,$E176)&gt;0,"O",""))</f>
        <v/>
      </c>
      <c r="L176" s="17" t="str">
        <f>IF($C176="","",IF(COUNTIFS('RAW_농산물_10월'!$D:$D,$C176,'RAW_농산물_10월'!$A:$A,$E176)&gt;0,"O",""))</f>
        <v/>
      </c>
      <c r="M176" s="17" t="str">
        <f>IF($C176="","",IF(COUNTIFS('RAW_농산물_11-12월'!$D:$D,$C176,'RAW_농산물_11-12월'!$A:$A,$E176)&gt;0,"O",""))</f>
        <v/>
      </c>
      <c r="N176" s="7">
        <f>IF($C176="","",IF(COUNTA('RAW_농산물_7월'!$A:$A)&lt;=1,"",SUMIFS('RAW_농산물_7월'!$H:$H,'RAW_농산물_7월'!$D:$D,$C176,'RAW_농산물_7월'!$A:$A,$E176)))</f>
        <v>26020</v>
      </c>
      <c r="O176" s="7">
        <f>IF($C176="","",IF(COUNTA('RAW_농산물_8월'!$A:$A)&lt;=1,"",SUMIFS('RAW_농산물_8월'!$H:$H,'RAW_농산물_8월'!$D:$D,$C176,'RAW_농산물_8월'!$A:$A,$E176)-SUMIFS('RAW_농산물_7월'!$H:$H,'RAW_농산물_7월'!$D:$D,$C176,'RAW_농산물_7월'!$A:$A,$E176)))</f>
        <v>103400</v>
      </c>
      <c r="P176" s="7" t="str">
        <f>IF($C176="","",IF(COUNTA('RAW_농산물_9월'!$A:$A)&lt;=1,"",SUMIFS('RAW_농산물_9월'!$H:$H,'RAW_농산물_9월'!$D:$D,$C176,'RAW_농산물_9월'!$A:$A,$E176)-SUMIFS('RAW_농산물_8월'!$H:$H,'RAW_농산물_8월'!$D:$D,$C176,'RAW_농산물_8월'!$A:$A,$E176)))</f>
        <v/>
      </c>
      <c r="Q176" s="7" t="str">
        <f>IF($C176="","",IF(COUNTA('RAW_농산물_10월'!$A:$A)&lt;=1,"",SUMIFS('RAW_농산물_10월'!$H:$H,'RAW_농산물_10월'!$D:$D,$C176,'RAW_농산물_10월'!$A:$A,$E176)-SUMIFS('RAW_농산물_9월'!$H:$H,'RAW_농산물_9월'!$D:$D,$C176,'RAW_농산물_9월'!$A:$A,$E176)))</f>
        <v/>
      </c>
      <c r="R176" s="7" t="str">
        <f>IF($C176="","",IF(COUNTA('RAW_농산물_11-12월'!$A:$A)&lt;=1,"",SUMIFS('RAW_농산물_11-12월'!$H:$H,'RAW_농산물_11-12월'!$D:$D,$C176,'RAW_농산물_11-12월'!$A:$A,$E176)-SUMIFS('RAW_농산물_10월'!$H:$H,'RAW_농산물_10월'!$D:$D,$C176,'RAW_농산물_10월'!$A:$A,$E176)))</f>
        <v/>
      </c>
      <c r="S176" s="17" t="str">
        <f t="shared" si="4"/>
        <v>O</v>
      </c>
      <c r="T176" s="17" t="str">
        <f t="shared" si="5"/>
        <v>50만원 미만</v>
      </c>
      <c r="U176" s="7">
        <f>IF($C176="",0,IF('설정'!$B$3=0,0,CHOOSE('설정'!$B$3,COUNTIFS('RAW_농산물_7월'!$D:$D,$C176,'RAW_농산물_7월'!$A:$A,$E176),COUNTIFS('RAW_농산물_8월'!$D:$D,$C176,'RAW_농산물_8월'!$A:$A,$E176),COUNTIFS('RAW_농산물_9월'!$D:$D,$C176,'RAW_농산물_9월'!$A:$A,$E176),COUNTIFS('RAW_농산물_10월'!$D:$D,$C176,'RAW_농산물_10월'!$A:$A,$E176),COUNTIFS('RAW_농산물_11-12월'!$D:$D,$C176,'RAW_농산물_11-12월'!$A:$A,$E176))))</f>
        <v>2</v>
      </c>
    </row>
    <row r="177" ht="15.75" customHeight="1">
      <c r="A177" s="5">
        <v>175.0</v>
      </c>
      <c r="B177" s="5" t="s">
        <v>145</v>
      </c>
      <c r="C177" s="5" t="s">
        <v>1365</v>
      </c>
      <c r="D177" s="6" t="s">
        <v>1364</v>
      </c>
      <c r="E177" s="5" t="s">
        <v>93</v>
      </c>
      <c r="F177" s="7">
        <f>IF($C177="","",IF('설정'!$B$3=0,"",CHOOSE('설정'!$B$3,SUMIFS('RAW_농산물_7월'!$F:$F,'RAW_농산물_7월'!$D:$D,$C177,'RAW_농산물_7월'!$A:$A,$E177),SUMIFS('RAW_농산물_8월'!$F:$F,'RAW_농산물_8월'!$D:$D,$C177,'RAW_농산물_8월'!$A:$A,$E177),SUMIFS('RAW_농산물_9월'!$F:$F,'RAW_농산물_9월'!$D:$D,$C177,'RAW_농산물_9월'!$A:$A,$E177),SUMIFS('RAW_농산물_10월'!$F:$F,'RAW_농산물_10월'!$D:$D,$C177,'RAW_농산물_10월'!$A:$A,$E177),SUMIFS('RAW_농산물_11-12월'!$F:$F,'RAW_농산물_11-12월'!$D:$D,$C177,'RAW_농산물_11-12월'!$A:$A,$E177))))</f>
        <v>1653</v>
      </c>
      <c r="G177" s="7">
        <f>IF($C177="","",IF('설정'!$B$3=0,"",CHOOSE('설정'!$B$3,SUMIFS('RAW_농산물_7월'!$G:$G,'RAW_농산물_7월'!$D:$D,$C177,'RAW_농산물_7월'!$A:$A,$E177),SUMIFS('RAW_농산물_8월'!$G:$G,'RAW_농산물_8월'!$D:$D,$C177,'RAW_농산물_8월'!$A:$A,$E177),SUMIFS('RAW_농산물_9월'!$G:$G,'RAW_농산물_9월'!$D:$D,$C177,'RAW_농산물_9월'!$A:$A,$E177),SUMIFS('RAW_농산물_10월'!$G:$G,'RAW_농산물_10월'!$D:$D,$C177,'RAW_농산물_10월'!$A:$A,$E177),SUMIFS('RAW_농산물_11-12월'!$G:$G,'RAW_농산물_11-12월'!$D:$D,$C177,'RAW_농산물_11-12월'!$A:$A,$E177))))</f>
        <v>70241000</v>
      </c>
      <c r="H177" s="14">
        <f>IF($C177="","",IF('설정'!$B$3=0,"",CHOOSE('설정'!$B$3,SUMIFS('RAW_농산물_7월'!$H:$H,'RAW_농산물_7월'!$D:$D,$C177,'RAW_농산물_7월'!$A:$A,$E177),SUMIFS('RAW_농산물_8월'!$H:$H,'RAW_농산물_8월'!$D:$D,$C177,'RAW_농산물_8월'!$A:$A,$E177),SUMIFS('RAW_농산물_9월'!$H:$H,'RAW_농산물_9월'!$D:$D,$C177,'RAW_농산물_9월'!$A:$A,$E177),SUMIFS('RAW_농산물_10월'!$H:$H,'RAW_농산물_10월'!$D:$D,$C177,'RAW_농산물_10월'!$A:$A,$E177),SUMIFS('RAW_농산물_11-12월'!$H:$H,'RAW_농산물_11-12월'!$D:$D,$C177,'RAW_농산물_11-12월'!$A:$A,$E177))))</f>
        <v>5268240</v>
      </c>
      <c r="I177" s="17" t="str">
        <f>IF($C177="","",IF(COUNTIFS('RAW_농산물_7월'!$D:$D,$C177,'RAW_농산물_7월'!$A:$A,$E177)&gt;0,"O",""))</f>
        <v>O</v>
      </c>
      <c r="J177" s="17" t="str">
        <f>IF($C177="","",IF(COUNTIFS('RAW_농산물_8월'!$D:$D,$C177,'RAW_농산물_8월'!$A:$A,$E177)&gt;0,"O",""))</f>
        <v>O</v>
      </c>
      <c r="K177" s="17" t="str">
        <f>IF($C177="","",IF(COUNTIFS('RAW_농산물_9월'!$D:$D,$C177,'RAW_농산물_9월'!$A:$A,$E177)&gt;0,"O",""))</f>
        <v/>
      </c>
      <c r="L177" s="17" t="str">
        <f>IF($C177="","",IF(COUNTIFS('RAW_농산물_10월'!$D:$D,$C177,'RAW_농산물_10월'!$A:$A,$E177)&gt;0,"O",""))</f>
        <v/>
      </c>
      <c r="M177" s="17" t="str">
        <f>IF($C177="","",IF(COUNTIFS('RAW_농산물_11-12월'!$D:$D,$C177,'RAW_농산물_11-12월'!$A:$A,$E177)&gt;0,"O",""))</f>
        <v/>
      </c>
      <c r="N177" s="7">
        <f>IF($C177="","",IF(COUNTA('RAW_농산물_7월'!$A:$A)&lt;=1,"",SUMIFS('RAW_농산물_7월'!$H:$H,'RAW_농산물_7월'!$D:$D,$C177,'RAW_농산물_7월'!$A:$A,$E177)))</f>
        <v>16680</v>
      </c>
      <c r="O177" s="7">
        <f>IF($C177="","",IF(COUNTA('RAW_농산물_8월'!$A:$A)&lt;=1,"",SUMIFS('RAW_농산물_8월'!$H:$H,'RAW_농산물_8월'!$D:$D,$C177,'RAW_농산물_8월'!$A:$A,$E177)-SUMIFS('RAW_농산물_7월'!$H:$H,'RAW_농산물_7월'!$D:$D,$C177,'RAW_농산물_7월'!$A:$A,$E177)))</f>
        <v>5251560</v>
      </c>
      <c r="P177" s="7" t="str">
        <f>IF($C177="","",IF(COUNTA('RAW_농산물_9월'!$A:$A)&lt;=1,"",SUMIFS('RAW_농산물_9월'!$H:$H,'RAW_농산물_9월'!$D:$D,$C177,'RAW_농산물_9월'!$A:$A,$E177)-SUMIFS('RAW_농산물_8월'!$H:$H,'RAW_농산물_8월'!$D:$D,$C177,'RAW_농산물_8월'!$A:$A,$E177)))</f>
        <v/>
      </c>
      <c r="Q177" s="7" t="str">
        <f>IF($C177="","",IF(COUNTA('RAW_농산물_10월'!$A:$A)&lt;=1,"",SUMIFS('RAW_농산물_10월'!$H:$H,'RAW_농산물_10월'!$D:$D,$C177,'RAW_농산물_10월'!$A:$A,$E177)-SUMIFS('RAW_농산물_9월'!$H:$H,'RAW_농산물_9월'!$D:$D,$C177,'RAW_농산물_9월'!$A:$A,$E177)))</f>
        <v/>
      </c>
      <c r="R177" s="7" t="str">
        <f>IF($C177="","",IF(COUNTA('RAW_농산물_11-12월'!$A:$A)&lt;=1,"",SUMIFS('RAW_농산물_11-12월'!$H:$H,'RAW_농산물_11-12월'!$D:$D,$C177,'RAW_농산물_11-12월'!$A:$A,$E177)-SUMIFS('RAW_농산물_10월'!$H:$H,'RAW_농산물_10월'!$D:$D,$C177,'RAW_농산물_10월'!$A:$A,$E177)))</f>
        <v/>
      </c>
      <c r="S177" s="17" t="str">
        <f t="shared" si="4"/>
        <v>O</v>
      </c>
      <c r="T177" s="17" t="str">
        <f t="shared" si="5"/>
        <v>600만원 미만</v>
      </c>
      <c r="U177" s="7">
        <f>IF($C177="",0,IF('설정'!$B$3=0,0,CHOOSE('설정'!$B$3,COUNTIFS('RAW_농산물_7월'!$D:$D,$C177,'RAW_농산물_7월'!$A:$A,$E177),COUNTIFS('RAW_농산물_8월'!$D:$D,$C177,'RAW_농산물_8월'!$A:$A,$E177),COUNTIFS('RAW_농산물_9월'!$D:$D,$C177,'RAW_농산물_9월'!$A:$A,$E177),COUNTIFS('RAW_농산물_10월'!$D:$D,$C177,'RAW_농산물_10월'!$A:$A,$E177),COUNTIFS('RAW_농산물_11-12월'!$D:$D,$C177,'RAW_농산물_11-12월'!$A:$A,$E177))))</f>
        <v>2</v>
      </c>
    </row>
    <row r="178" ht="15.75" customHeight="1">
      <c r="A178" s="5">
        <v>176.0</v>
      </c>
      <c r="B178" s="5" t="s">
        <v>108</v>
      </c>
      <c r="C178" s="5" t="s">
        <v>2986</v>
      </c>
      <c r="D178" s="6" t="s">
        <v>2987</v>
      </c>
      <c r="E178" s="5" t="s">
        <v>92</v>
      </c>
      <c r="F178" s="7">
        <f>IF($C178="","",IF('설정'!$B$3=0,"",CHOOSE('설정'!$B$3,SUMIFS('RAW_농산물_7월'!$F:$F,'RAW_농산물_7월'!$D:$D,$C178,'RAW_농산물_7월'!$A:$A,$E178),SUMIFS('RAW_농산물_8월'!$F:$F,'RAW_농산물_8월'!$D:$D,$C178,'RAW_농산물_8월'!$A:$A,$E178),SUMIFS('RAW_농산물_9월'!$F:$F,'RAW_농산물_9월'!$D:$D,$C178,'RAW_농산물_9월'!$A:$A,$E178),SUMIFS('RAW_농산물_10월'!$F:$F,'RAW_농산물_10월'!$D:$D,$C178,'RAW_농산물_10월'!$A:$A,$E178),SUMIFS('RAW_농산물_11-12월'!$F:$F,'RAW_농산물_11-12월'!$D:$D,$C178,'RAW_농산물_11-12월'!$A:$A,$E178))))</f>
        <v>0</v>
      </c>
      <c r="G178" s="7">
        <f>IF($C178="","",IF('설정'!$B$3=0,"",CHOOSE('설정'!$B$3,SUMIFS('RAW_농산물_7월'!$G:$G,'RAW_농산물_7월'!$D:$D,$C178,'RAW_농산물_7월'!$A:$A,$E178),SUMIFS('RAW_농산물_8월'!$G:$G,'RAW_농산물_8월'!$D:$D,$C178,'RAW_농산물_8월'!$A:$A,$E178),SUMIFS('RAW_농산물_9월'!$G:$G,'RAW_농산물_9월'!$D:$D,$C178,'RAW_농산물_9월'!$A:$A,$E178),SUMIFS('RAW_농산물_10월'!$G:$G,'RAW_농산물_10월'!$D:$D,$C178,'RAW_농산물_10월'!$A:$A,$E178),SUMIFS('RAW_농산물_11-12월'!$G:$G,'RAW_농산물_11-12월'!$D:$D,$C178,'RAW_농산물_11-12월'!$A:$A,$E178))))</f>
        <v>0</v>
      </c>
      <c r="H178" s="14">
        <f>IF($C178="","",IF('설정'!$B$3=0,"",CHOOSE('설정'!$B$3,SUMIFS('RAW_농산물_7월'!$H:$H,'RAW_농산물_7월'!$D:$D,$C178,'RAW_농산물_7월'!$A:$A,$E178),SUMIFS('RAW_농산물_8월'!$H:$H,'RAW_농산물_8월'!$D:$D,$C178,'RAW_농산물_8월'!$A:$A,$E178),SUMIFS('RAW_농산물_9월'!$H:$H,'RAW_농산물_9월'!$D:$D,$C178,'RAW_농산물_9월'!$A:$A,$E178),SUMIFS('RAW_농산물_10월'!$H:$H,'RAW_농산물_10월'!$D:$D,$C178,'RAW_농산물_10월'!$A:$A,$E178),SUMIFS('RAW_농산물_11-12월'!$H:$H,'RAW_농산물_11-12월'!$D:$D,$C178,'RAW_농산물_11-12월'!$A:$A,$E178))))</f>
        <v>0</v>
      </c>
      <c r="I178" s="17" t="str">
        <f>IF($C178="","",IF(COUNTIFS('RAW_농산물_7월'!$D:$D,$C178,'RAW_농산물_7월'!$A:$A,$E178)&gt;0,"O",""))</f>
        <v/>
      </c>
      <c r="J178" s="17" t="str">
        <f>IF($C178="","",IF(COUNTIFS('RAW_농산물_8월'!$D:$D,$C178,'RAW_농산물_8월'!$A:$A,$E178)&gt;0,"O",""))</f>
        <v/>
      </c>
      <c r="K178" s="17" t="str">
        <f>IF($C178="","",IF(COUNTIFS('RAW_농산물_9월'!$D:$D,$C178,'RAW_농산물_9월'!$A:$A,$E178)&gt;0,"O",""))</f>
        <v/>
      </c>
      <c r="L178" s="17" t="str">
        <f>IF($C178="","",IF(COUNTIFS('RAW_농산물_10월'!$D:$D,$C178,'RAW_농산물_10월'!$A:$A,$E178)&gt;0,"O",""))</f>
        <v/>
      </c>
      <c r="M178" s="17" t="str">
        <f>IF($C178="","",IF(COUNTIFS('RAW_농산물_11-12월'!$D:$D,$C178,'RAW_농산물_11-12월'!$A:$A,$E178)&gt;0,"O",""))</f>
        <v/>
      </c>
      <c r="N178" s="7">
        <f>IF($C178="","",IF(COUNTA('RAW_농산물_7월'!$A:$A)&lt;=1,"",SUMIFS('RAW_농산물_7월'!$H:$H,'RAW_농산물_7월'!$D:$D,$C178,'RAW_농산물_7월'!$A:$A,$E178)))</f>
        <v>0</v>
      </c>
      <c r="O178" s="7">
        <f>IF($C178="","",IF(COUNTA('RAW_농산물_8월'!$A:$A)&lt;=1,"",SUMIFS('RAW_농산물_8월'!$H:$H,'RAW_농산물_8월'!$D:$D,$C178,'RAW_농산물_8월'!$A:$A,$E178)-SUMIFS('RAW_농산물_7월'!$H:$H,'RAW_농산물_7월'!$D:$D,$C178,'RAW_농산물_7월'!$A:$A,$E178)))</f>
        <v>0</v>
      </c>
      <c r="P178" s="7" t="str">
        <f>IF($C178="","",IF(COUNTA('RAW_농산물_9월'!$A:$A)&lt;=1,"",SUMIFS('RAW_농산물_9월'!$H:$H,'RAW_농산물_9월'!$D:$D,$C178,'RAW_농산물_9월'!$A:$A,$E178)-SUMIFS('RAW_농산물_8월'!$H:$H,'RAW_농산물_8월'!$D:$D,$C178,'RAW_농산물_8월'!$A:$A,$E178)))</f>
        <v/>
      </c>
      <c r="Q178" s="7" t="str">
        <f>IF($C178="","",IF(COUNTA('RAW_농산물_10월'!$A:$A)&lt;=1,"",SUMIFS('RAW_농산물_10월'!$H:$H,'RAW_농산물_10월'!$D:$D,$C178,'RAW_농산물_10월'!$A:$A,$E178)-SUMIFS('RAW_농산물_9월'!$H:$H,'RAW_농산물_9월'!$D:$D,$C178,'RAW_농산물_9월'!$A:$A,$E178)))</f>
        <v/>
      </c>
      <c r="R178" s="7" t="str">
        <f>IF($C178="","",IF(COUNTA('RAW_농산물_11-12월'!$A:$A)&lt;=1,"",SUMIFS('RAW_농산물_11-12월'!$H:$H,'RAW_농산물_11-12월'!$D:$D,$C178,'RAW_농산물_11-12월'!$A:$A,$E178)-SUMIFS('RAW_농산물_10월'!$H:$H,'RAW_농산물_10월'!$D:$D,$C178,'RAW_농산물_10월'!$A:$A,$E178)))</f>
        <v/>
      </c>
      <c r="S178" s="17" t="str">
        <f t="shared" si="4"/>
        <v/>
      </c>
      <c r="T178" s="17" t="str">
        <f t="shared" si="5"/>
        <v>미사용</v>
      </c>
      <c r="U178" s="7">
        <f>IF($C178="",0,IF('설정'!$B$3=0,0,CHOOSE('설정'!$B$3,COUNTIFS('RAW_농산물_7월'!$D:$D,$C178,'RAW_농산물_7월'!$A:$A,$E178),COUNTIFS('RAW_농산물_8월'!$D:$D,$C178,'RAW_농산물_8월'!$A:$A,$E178),COUNTIFS('RAW_농산물_9월'!$D:$D,$C178,'RAW_농산물_9월'!$A:$A,$E178),COUNTIFS('RAW_농산물_10월'!$D:$D,$C178,'RAW_농산물_10월'!$A:$A,$E178),COUNTIFS('RAW_농산물_11-12월'!$D:$D,$C178,'RAW_농산물_11-12월'!$A:$A,$E178))))</f>
        <v>0</v>
      </c>
    </row>
    <row r="179" ht="15.75" customHeight="1">
      <c r="A179" s="5">
        <v>177.0</v>
      </c>
      <c r="B179" s="5" t="s">
        <v>145</v>
      </c>
      <c r="C179" s="5" t="s">
        <v>1068</v>
      </c>
      <c r="D179" s="6" t="s">
        <v>1067</v>
      </c>
      <c r="E179" s="5" t="s">
        <v>28</v>
      </c>
      <c r="F179" s="7">
        <f>IF($C179="","",IF('설정'!$B$3=0,"",CHOOSE('설정'!$B$3,SUMIFS('RAW_농산물_7월'!$F:$F,'RAW_농산물_7월'!$D:$D,$C179,'RAW_농산물_7월'!$A:$A,$E179),SUMIFS('RAW_농산물_8월'!$F:$F,'RAW_농산물_8월'!$D:$D,$C179,'RAW_농산물_8월'!$A:$A,$E179),SUMIFS('RAW_농산물_9월'!$F:$F,'RAW_농산물_9월'!$D:$D,$C179,'RAW_농산물_9월'!$A:$A,$E179),SUMIFS('RAW_농산물_10월'!$F:$F,'RAW_농산물_10월'!$D:$D,$C179,'RAW_농산물_10월'!$A:$A,$E179),SUMIFS('RAW_농산물_11-12월'!$F:$F,'RAW_농산물_11-12월'!$D:$D,$C179,'RAW_농산물_11-12월'!$A:$A,$E179))))</f>
        <v>0</v>
      </c>
      <c r="G179" s="7">
        <f>IF($C179="","",IF('설정'!$B$3=0,"",CHOOSE('설정'!$B$3,SUMIFS('RAW_농산물_7월'!$G:$G,'RAW_농산물_7월'!$D:$D,$C179,'RAW_농산물_7월'!$A:$A,$E179),SUMIFS('RAW_농산물_8월'!$G:$G,'RAW_농산물_8월'!$D:$D,$C179,'RAW_농산물_8월'!$A:$A,$E179),SUMIFS('RAW_농산물_9월'!$G:$G,'RAW_농산물_9월'!$D:$D,$C179,'RAW_농산물_9월'!$A:$A,$E179),SUMIFS('RAW_농산물_10월'!$G:$G,'RAW_농산물_10월'!$D:$D,$C179,'RAW_농산물_10월'!$A:$A,$E179),SUMIFS('RAW_농산물_11-12월'!$G:$G,'RAW_농산물_11-12월'!$D:$D,$C179,'RAW_농산물_11-12월'!$A:$A,$E179))))</f>
        <v>0</v>
      </c>
      <c r="H179" s="14">
        <f>IF($C179="","",IF('설정'!$B$3=0,"",CHOOSE('설정'!$B$3,SUMIFS('RAW_농산물_7월'!$H:$H,'RAW_농산물_7월'!$D:$D,$C179,'RAW_농산물_7월'!$A:$A,$E179),SUMIFS('RAW_농산물_8월'!$H:$H,'RAW_농산물_8월'!$D:$D,$C179,'RAW_농산물_8월'!$A:$A,$E179),SUMIFS('RAW_농산물_9월'!$H:$H,'RAW_농산물_9월'!$D:$D,$C179,'RAW_농산물_9월'!$A:$A,$E179),SUMIFS('RAW_농산물_10월'!$H:$H,'RAW_농산물_10월'!$D:$D,$C179,'RAW_농산물_10월'!$A:$A,$E179),SUMIFS('RAW_농산물_11-12월'!$H:$H,'RAW_농산물_11-12월'!$D:$D,$C179,'RAW_농산물_11-12월'!$A:$A,$E179))))</f>
        <v>0</v>
      </c>
      <c r="I179" s="17" t="str">
        <f>IF($C179="","",IF(COUNTIFS('RAW_농산물_7월'!$D:$D,$C179,'RAW_농산물_7월'!$A:$A,$E179)&gt;0,"O",""))</f>
        <v>O</v>
      </c>
      <c r="J179" s="17" t="str">
        <f>IF($C179="","",IF(COUNTIFS('RAW_농산물_8월'!$D:$D,$C179,'RAW_농산물_8월'!$A:$A,$E179)&gt;0,"O",""))</f>
        <v>O</v>
      </c>
      <c r="K179" s="17" t="str">
        <f>IF($C179="","",IF(COUNTIFS('RAW_농산물_9월'!$D:$D,$C179,'RAW_농산물_9월'!$A:$A,$E179)&gt;0,"O",""))</f>
        <v/>
      </c>
      <c r="L179" s="17" t="str">
        <f>IF($C179="","",IF(COUNTIFS('RAW_농산물_10월'!$D:$D,$C179,'RAW_농산물_10월'!$A:$A,$E179)&gt;0,"O",""))</f>
        <v/>
      </c>
      <c r="M179" s="17" t="str">
        <f>IF($C179="","",IF(COUNTIFS('RAW_농산물_11-12월'!$D:$D,$C179,'RAW_농산물_11-12월'!$A:$A,$E179)&gt;0,"O",""))</f>
        <v/>
      </c>
      <c r="N179" s="7">
        <f>IF($C179="","",IF(COUNTA('RAW_농산물_7월'!$A:$A)&lt;=1,"",SUMIFS('RAW_농산물_7월'!$H:$H,'RAW_농산물_7월'!$D:$D,$C179,'RAW_농산물_7월'!$A:$A,$E179)))</f>
        <v>0</v>
      </c>
      <c r="O179" s="7">
        <f>IF($C179="","",IF(COUNTA('RAW_농산물_8월'!$A:$A)&lt;=1,"",SUMIFS('RAW_농산물_8월'!$H:$H,'RAW_농산물_8월'!$D:$D,$C179,'RAW_농산물_8월'!$A:$A,$E179)-SUMIFS('RAW_농산물_7월'!$H:$H,'RAW_농산물_7월'!$D:$D,$C179,'RAW_농산물_7월'!$A:$A,$E179)))</f>
        <v>0</v>
      </c>
      <c r="P179" s="7" t="str">
        <f>IF($C179="","",IF(COUNTA('RAW_농산물_9월'!$A:$A)&lt;=1,"",SUMIFS('RAW_농산물_9월'!$H:$H,'RAW_농산물_9월'!$D:$D,$C179,'RAW_농산물_9월'!$A:$A,$E179)-SUMIFS('RAW_농산물_8월'!$H:$H,'RAW_농산물_8월'!$D:$D,$C179,'RAW_농산물_8월'!$A:$A,$E179)))</f>
        <v/>
      </c>
      <c r="Q179" s="7" t="str">
        <f>IF($C179="","",IF(COUNTA('RAW_농산물_10월'!$A:$A)&lt;=1,"",SUMIFS('RAW_농산물_10월'!$H:$H,'RAW_농산물_10월'!$D:$D,$C179,'RAW_농산물_10월'!$A:$A,$E179)-SUMIFS('RAW_농산물_9월'!$H:$H,'RAW_농산물_9월'!$D:$D,$C179,'RAW_농산물_9월'!$A:$A,$E179)))</f>
        <v/>
      </c>
      <c r="R179" s="7" t="str">
        <f>IF($C179="","",IF(COUNTA('RAW_농산물_11-12월'!$A:$A)&lt;=1,"",SUMIFS('RAW_농산물_11-12월'!$H:$H,'RAW_농산물_11-12월'!$D:$D,$C179,'RAW_농산물_11-12월'!$A:$A,$E179)-SUMIFS('RAW_농산물_10월'!$H:$H,'RAW_농산물_10월'!$D:$D,$C179,'RAW_농산물_10월'!$A:$A,$E179)))</f>
        <v/>
      </c>
      <c r="S179" s="17" t="str">
        <f t="shared" si="4"/>
        <v>O</v>
      </c>
      <c r="T179" s="17" t="str">
        <f t="shared" si="5"/>
        <v>미사용</v>
      </c>
      <c r="U179" s="7">
        <f>IF($C179="",0,IF('설정'!$B$3=0,0,CHOOSE('설정'!$B$3,COUNTIFS('RAW_농산물_7월'!$D:$D,$C179,'RAW_농산물_7월'!$A:$A,$E179),COUNTIFS('RAW_농산물_8월'!$D:$D,$C179,'RAW_농산물_8월'!$A:$A,$E179),COUNTIFS('RAW_농산물_9월'!$D:$D,$C179,'RAW_농산물_9월'!$A:$A,$E179),COUNTIFS('RAW_농산물_10월'!$D:$D,$C179,'RAW_농산물_10월'!$A:$A,$E179),COUNTIFS('RAW_농산물_11-12월'!$D:$D,$C179,'RAW_농산물_11-12월'!$A:$A,$E179))))</f>
        <v>2</v>
      </c>
    </row>
    <row r="180" ht="15.75" customHeight="1">
      <c r="A180" s="5">
        <v>178.0</v>
      </c>
      <c r="B180" s="5" t="s">
        <v>145</v>
      </c>
      <c r="C180" s="5" t="s">
        <v>1528</v>
      </c>
      <c r="D180" s="6" t="s">
        <v>1835</v>
      </c>
      <c r="E180" s="5" t="s">
        <v>93</v>
      </c>
      <c r="F180" s="7">
        <f>IF($C180="","",IF('설정'!$B$3=0,"",CHOOSE('설정'!$B$3,SUMIFS('RAW_농산물_7월'!$F:$F,'RAW_농산물_7월'!$D:$D,$C180,'RAW_농산물_7월'!$A:$A,$E180),SUMIFS('RAW_농산물_8월'!$F:$F,'RAW_농산물_8월'!$D:$D,$C180,'RAW_농산물_8월'!$A:$A,$E180),SUMIFS('RAW_농산물_9월'!$F:$F,'RAW_농산물_9월'!$D:$D,$C180,'RAW_농산물_9월'!$A:$A,$E180),SUMIFS('RAW_농산물_10월'!$F:$F,'RAW_농산물_10월'!$D:$D,$C180,'RAW_농산물_10월'!$A:$A,$E180),SUMIFS('RAW_농산물_11-12월'!$F:$F,'RAW_농산물_11-12월'!$D:$D,$C180,'RAW_농산물_11-12월'!$A:$A,$E180))))</f>
        <v>4198</v>
      </c>
      <c r="G180" s="7">
        <f>IF($C180="","",IF('설정'!$B$3=0,"",CHOOSE('설정'!$B$3,SUMIFS('RAW_농산물_7월'!$G:$G,'RAW_농산물_7월'!$D:$D,$C180,'RAW_농산물_7월'!$A:$A,$E180),SUMIFS('RAW_농산물_8월'!$G:$G,'RAW_농산물_8월'!$D:$D,$C180,'RAW_농산물_8월'!$A:$A,$E180),SUMIFS('RAW_농산물_9월'!$G:$G,'RAW_농산물_9월'!$D:$D,$C180,'RAW_농산물_9월'!$A:$A,$E180),SUMIFS('RAW_농산물_10월'!$G:$G,'RAW_농산물_10월'!$D:$D,$C180,'RAW_농산물_10월'!$A:$A,$E180),SUMIFS('RAW_농산물_11-12월'!$G:$G,'RAW_농산물_11-12월'!$D:$D,$C180,'RAW_농산물_11-12월'!$A:$A,$E180))))</f>
        <v>91537100</v>
      </c>
      <c r="H180" s="14">
        <f>IF($C180="","",IF('설정'!$B$3=0,"",CHOOSE('설정'!$B$3,SUMIFS('RAW_농산물_7월'!$H:$H,'RAW_농산물_7월'!$D:$D,$C180,'RAW_농산물_7월'!$A:$A,$E180),SUMIFS('RAW_농산물_8월'!$H:$H,'RAW_농산물_8월'!$D:$D,$C180,'RAW_농산물_8월'!$A:$A,$E180),SUMIFS('RAW_농산물_9월'!$H:$H,'RAW_농산물_9월'!$D:$D,$C180,'RAW_농산물_9월'!$A:$A,$E180),SUMIFS('RAW_농산물_10월'!$H:$H,'RAW_농산물_10월'!$D:$D,$C180,'RAW_농산물_10월'!$A:$A,$E180),SUMIFS('RAW_농산물_11-12월'!$H:$H,'RAW_농산물_11-12월'!$D:$D,$C180,'RAW_농산물_11-12월'!$A:$A,$E180))))</f>
        <v>4866780</v>
      </c>
      <c r="I180" s="17" t="str">
        <f>IF($C180="","",IF(COUNTIFS('RAW_농산물_7월'!$D:$D,$C180,'RAW_농산물_7월'!$A:$A,$E180)&gt;0,"O",""))</f>
        <v>O</v>
      </c>
      <c r="J180" s="17" t="str">
        <f>IF($C180="","",IF(COUNTIFS('RAW_농산물_8월'!$D:$D,$C180,'RAW_농산물_8월'!$A:$A,$E180)&gt;0,"O",""))</f>
        <v>O</v>
      </c>
      <c r="K180" s="17" t="str">
        <f>IF($C180="","",IF(COUNTIFS('RAW_농산물_9월'!$D:$D,$C180,'RAW_농산물_9월'!$A:$A,$E180)&gt;0,"O",""))</f>
        <v/>
      </c>
      <c r="L180" s="17" t="str">
        <f>IF($C180="","",IF(COUNTIFS('RAW_농산물_10월'!$D:$D,$C180,'RAW_농산물_10월'!$A:$A,$E180)&gt;0,"O",""))</f>
        <v/>
      </c>
      <c r="M180" s="17" t="str">
        <f>IF($C180="","",IF(COUNTIFS('RAW_농산물_11-12월'!$D:$D,$C180,'RAW_농산물_11-12월'!$A:$A,$E180)&gt;0,"O",""))</f>
        <v/>
      </c>
      <c r="N180" s="7">
        <f>IF($C180="","",IF(COUNTA('RAW_농산물_7월'!$A:$A)&lt;=1,"",SUMIFS('RAW_농산물_7월'!$H:$H,'RAW_농산물_7월'!$D:$D,$C180,'RAW_농산물_7월'!$A:$A,$E180)))</f>
        <v>4866780</v>
      </c>
      <c r="O180" s="7">
        <f>IF($C180="","",IF(COUNTA('RAW_농산물_8월'!$A:$A)&lt;=1,"",SUMIFS('RAW_농산물_8월'!$H:$H,'RAW_농산물_8월'!$D:$D,$C180,'RAW_농산물_8월'!$A:$A,$E180)-SUMIFS('RAW_농산물_7월'!$H:$H,'RAW_농산물_7월'!$D:$D,$C180,'RAW_농산물_7월'!$A:$A,$E180)))</f>
        <v>0</v>
      </c>
      <c r="P180" s="7" t="str">
        <f>IF($C180="","",IF(COUNTA('RAW_농산물_9월'!$A:$A)&lt;=1,"",SUMIFS('RAW_농산물_9월'!$H:$H,'RAW_농산물_9월'!$D:$D,$C180,'RAW_농산물_9월'!$A:$A,$E180)-SUMIFS('RAW_농산물_8월'!$H:$H,'RAW_농산물_8월'!$D:$D,$C180,'RAW_농산물_8월'!$A:$A,$E180)))</f>
        <v/>
      </c>
      <c r="Q180" s="7" t="str">
        <f>IF($C180="","",IF(COUNTA('RAW_농산물_10월'!$A:$A)&lt;=1,"",SUMIFS('RAW_농산물_10월'!$H:$H,'RAW_농산물_10월'!$D:$D,$C180,'RAW_농산물_10월'!$A:$A,$E180)-SUMIFS('RAW_농산물_9월'!$H:$H,'RAW_농산물_9월'!$D:$D,$C180,'RAW_농산물_9월'!$A:$A,$E180)))</f>
        <v/>
      </c>
      <c r="R180" s="7" t="str">
        <f>IF($C180="","",IF(COUNTA('RAW_농산물_11-12월'!$A:$A)&lt;=1,"",SUMIFS('RAW_농산물_11-12월'!$H:$H,'RAW_농산물_11-12월'!$D:$D,$C180,'RAW_농산물_11-12월'!$A:$A,$E180)-SUMIFS('RAW_농산물_10월'!$H:$H,'RAW_농산물_10월'!$D:$D,$C180,'RAW_농산물_10월'!$A:$A,$E180)))</f>
        <v/>
      </c>
      <c r="S180" s="17" t="str">
        <f t="shared" si="4"/>
        <v>O</v>
      </c>
      <c r="T180" s="17" t="str">
        <f t="shared" si="5"/>
        <v>500만원 미만</v>
      </c>
      <c r="U180" s="7">
        <f>IF($C180="",0,IF('설정'!$B$3=0,0,CHOOSE('설정'!$B$3,COUNTIFS('RAW_농산물_7월'!$D:$D,$C180,'RAW_농산물_7월'!$A:$A,$E180),COUNTIFS('RAW_농산물_8월'!$D:$D,$C180,'RAW_농산물_8월'!$A:$A,$E180),COUNTIFS('RAW_농산물_9월'!$D:$D,$C180,'RAW_농산물_9월'!$A:$A,$E180),COUNTIFS('RAW_농산물_10월'!$D:$D,$C180,'RAW_농산물_10월'!$A:$A,$E180),COUNTIFS('RAW_농산물_11-12월'!$D:$D,$C180,'RAW_농산물_11-12월'!$A:$A,$E180))))</f>
        <v>18</v>
      </c>
    </row>
    <row r="181" ht="15.75" customHeight="1">
      <c r="A181" s="5">
        <v>179.0</v>
      </c>
      <c r="B181" s="5" t="s">
        <v>145</v>
      </c>
      <c r="C181" s="5" t="s">
        <v>459</v>
      </c>
      <c r="D181" s="6" t="s">
        <v>458</v>
      </c>
      <c r="E181" s="5" t="s">
        <v>92</v>
      </c>
      <c r="F181" s="7">
        <f>IF($C181="","",IF('설정'!$B$3=0,"",CHOOSE('설정'!$B$3,SUMIFS('RAW_농산물_7월'!$F:$F,'RAW_농산물_7월'!$D:$D,$C181,'RAW_농산물_7월'!$A:$A,$E181),SUMIFS('RAW_농산물_8월'!$F:$F,'RAW_농산물_8월'!$D:$D,$C181,'RAW_농산물_8월'!$A:$A,$E181),SUMIFS('RAW_농산물_9월'!$F:$F,'RAW_농산물_9월'!$D:$D,$C181,'RAW_농산물_9월'!$A:$A,$E181),SUMIFS('RAW_농산물_10월'!$F:$F,'RAW_농산물_10월'!$D:$D,$C181,'RAW_농산물_10월'!$A:$A,$E181),SUMIFS('RAW_농산물_11-12월'!$F:$F,'RAW_농산물_11-12월'!$D:$D,$C181,'RAW_농산물_11-12월'!$A:$A,$E181))))</f>
        <v>453</v>
      </c>
      <c r="G181" s="7">
        <f>IF($C181="","",IF('설정'!$B$3=0,"",CHOOSE('설정'!$B$3,SUMIFS('RAW_농산물_7월'!$G:$G,'RAW_농산물_7월'!$D:$D,$C181,'RAW_농산물_7월'!$A:$A,$E181),SUMIFS('RAW_농산물_8월'!$G:$G,'RAW_농산물_8월'!$D:$D,$C181,'RAW_농산물_8월'!$A:$A,$E181),SUMIFS('RAW_농산물_9월'!$G:$G,'RAW_농산물_9월'!$D:$D,$C181,'RAW_농산물_9월'!$A:$A,$E181),SUMIFS('RAW_농산물_10월'!$G:$G,'RAW_농산물_10월'!$D:$D,$C181,'RAW_농산물_10월'!$A:$A,$E181),SUMIFS('RAW_농산물_11-12월'!$G:$G,'RAW_농산물_11-12월'!$D:$D,$C181,'RAW_농산물_11-12월'!$A:$A,$E181))))</f>
        <v>11843530</v>
      </c>
      <c r="H181" s="14">
        <f>IF($C181="","",IF('설정'!$B$3=0,"",CHOOSE('설정'!$B$3,SUMIFS('RAW_농산물_7월'!$H:$H,'RAW_농산물_7월'!$D:$D,$C181,'RAW_농산물_7월'!$A:$A,$E181),SUMIFS('RAW_농산물_8월'!$H:$H,'RAW_농산물_8월'!$D:$D,$C181,'RAW_농산물_8월'!$A:$A,$E181),SUMIFS('RAW_농산물_9월'!$H:$H,'RAW_농산물_9월'!$D:$D,$C181,'RAW_농산물_9월'!$A:$A,$E181),SUMIFS('RAW_농산물_10월'!$H:$H,'RAW_농산물_10월'!$D:$D,$C181,'RAW_농산물_10월'!$A:$A,$E181),SUMIFS('RAW_농산물_11-12월'!$H:$H,'RAW_농산물_11-12월'!$D:$D,$C181,'RAW_농산물_11-12월'!$A:$A,$E181))))</f>
        <v>1093520</v>
      </c>
      <c r="I181" s="17" t="str">
        <f>IF($C181="","",IF(COUNTIFS('RAW_농산물_7월'!$D:$D,$C181,'RAW_농산물_7월'!$A:$A,$E181)&gt;0,"O",""))</f>
        <v>O</v>
      </c>
      <c r="J181" s="17" t="str">
        <f>IF($C181="","",IF(COUNTIFS('RAW_농산물_8월'!$D:$D,$C181,'RAW_농산물_8월'!$A:$A,$E181)&gt;0,"O",""))</f>
        <v>O</v>
      </c>
      <c r="K181" s="17" t="str">
        <f>IF($C181="","",IF(COUNTIFS('RAW_농산물_9월'!$D:$D,$C181,'RAW_농산물_9월'!$A:$A,$E181)&gt;0,"O",""))</f>
        <v/>
      </c>
      <c r="L181" s="17" t="str">
        <f>IF($C181="","",IF(COUNTIFS('RAW_농산물_10월'!$D:$D,$C181,'RAW_농산물_10월'!$A:$A,$E181)&gt;0,"O",""))</f>
        <v/>
      </c>
      <c r="M181" s="17" t="str">
        <f>IF($C181="","",IF(COUNTIFS('RAW_농산물_11-12월'!$D:$D,$C181,'RAW_농산물_11-12월'!$A:$A,$E181)&gt;0,"O",""))</f>
        <v/>
      </c>
      <c r="N181" s="7">
        <f>IF($C181="","",IF(COUNTA('RAW_농산물_7월'!$A:$A)&lt;=1,"",SUMIFS('RAW_농산물_7월'!$H:$H,'RAW_농산물_7월'!$D:$D,$C181,'RAW_농산물_7월'!$A:$A,$E181)))</f>
        <v>125980</v>
      </c>
      <c r="O181" s="7">
        <f>IF($C181="","",IF(COUNTA('RAW_농산물_8월'!$A:$A)&lt;=1,"",SUMIFS('RAW_농산물_8월'!$H:$H,'RAW_농산물_8월'!$D:$D,$C181,'RAW_농산물_8월'!$A:$A,$E181)-SUMIFS('RAW_농산물_7월'!$H:$H,'RAW_농산물_7월'!$D:$D,$C181,'RAW_농산물_7월'!$A:$A,$E181)))</f>
        <v>967540</v>
      </c>
      <c r="P181" s="7" t="str">
        <f>IF($C181="","",IF(COUNTA('RAW_농산물_9월'!$A:$A)&lt;=1,"",SUMIFS('RAW_농산물_9월'!$H:$H,'RAW_농산물_9월'!$D:$D,$C181,'RAW_농산물_9월'!$A:$A,$E181)-SUMIFS('RAW_농산물_8월'!$H:$H,'RAW_농산물_8월'!$D:$D,$C181,'RAW_농산물_8월'!$A:$A,$E181)))</f>
        <v/>
      </c>
      <c r="Q181" s="7" t="str">
        <f>IF($C181="","",IF(COUNTA('RAW_농산물_10월'!$A:$A)&lt;=1,"",SUMIFS('RAW_농산물_10월'!$H:$H,'RAW_농산물_10월'!$D:$D,$C181,'RAW_농산물_10월'!$A:$A,$E181)-SUMIFS('RAW_농산물_9월'!$H:$H,'RAW_농산물_9월'!$D:$D,$C181,'RAW_농산물_9월'!$A:$A,$E181)))</f>
        <v/>
      </c>
      <c r="R181" s="7" t="str">
        <f>IF($C181="","",IF(COUNTA('RAW_농산물_11-12월'!$A:$A)&lt;=1,"",SUMIFS('RAW_농산물_11-12월'!$H:$H,'RAW_농산물_11-12월'!$D:$D,$C181,'RAW_농산물_11-12월'!$A:$A,$E181)-SUMIFS('RAW_농산물_10월'!$H:$H,'RAW_농산물_10월'!$D:$D,$C181,'RAW_농산물_10월'!$A:$A,$E181)))</f>
        <v/>
      </c>
      <c r="S181" s="17" t="str">
        <f t="shared" si="4"/>
        <v>O</v>
      </c>
      <c r="T181" s="17" t="str">
        <f t="shared" si="5"/>
        <v>200만원 미만</v>
      </c>
      <c r="U181" s="7">
        <f>IF($C181="",0,IF('설정'!$B$3=0,0,CHOOSE('설정'!$B$3,COUNTIFS('RAW_농산물_7월'!$D:$D,$C181,'RAW_농산물_7월'!$A:$A,$E181),COUNTIFS('RAW_농산물_8월'!$D:$D,$C181,'RAW_농산물_8월'!$A:$A,$E181),COUNTIFS('RAW_농산물_9월'!$D:$D,$C181,'RAW_농산물_9월'!$A:$A,$E181),COUNTIFS('RAW_농산물_10월'!$D:$D,$C181,'RAW_농산물_10월'!$A:$A,$E181),COUNTIFS('RAW_농산물_11-12월'!$D:$D,$C181,'RAW_농산물_11-12월'!$A:$A,$E181))))</f>
        <v>10</v>
      </c>
    </row>
    <row r="182" ht="15.75" customHeight="1">
      <c r="A182" s="5">
        <v>180.0</v>
      </c>
      <c r="B182" s="5" t="s">
        <v>25</v>
      </c>
      <c r="C182" s="5" t="s">
        <v>1368</v>
      </c>
      <c r="D182" s="6" t="s">
        <v>2988</v>
      </c>
      <c r="E182" s="5" t="s">
        <v>93</v>
      </c>
      <c r="F182" s="7">
        <f>IF($C182="","",IF('설정'!$B$3=0,"",CHOOSE('설정'!$B$3,SUMIFS('RAW_농산물_7월'!$F:$F,'RAW_농산물_7월'!$D:$D,$C182,'RAW_농산물_7월'!$A:$A,$E182),SUMIFS('RAW_농산물_8월'!$F:$F,'RAW_농산물_8월'!$D:$D,$C182,'RAW_농산물_8월'!$A:$A,$E182),SUMIFS('RAW_농산물_9월'!$F:$F,'RAW_농산물_9월'!$D:$D,$C182,'RAW_농산물_9월'!$A:$A,$E182),SUMIFS('RAW_농산물_10월'!$F:$F,'RAW_농산물_10월'!$D:$D,$C182,'RAW_농산물_10월'!$A:$A,$E182),SUMIFS('RAW_농산물_11-12월'!$F:$F,'RAW_농산물_11-12월'!$D:$D,$C182,'RAW_농산물_11-12월'!$A:$A,$E182))))</f>
        <v>2197</v>
      </c>
      <c r="G182" s="7">
        <f>IF($C182="","",IF('설정'!$B$3=0,"",CHOOSE('설정'!$B$3,SUMIFS('RAW_농산물_7월'!$G:$G,'RAW_농산물_7월'!$D:$D,$C182,'RAW_농산물_7월'!$A:$A,$E182),SUMIFS('RAW_농산물_8월'!$G:$G,'RAW_농산물_8월'!$D:$D,$C182,'RAW_농산물_8월'!$A:$A,$E182),SUMIFS('RAW_농산물_9월'!$G:$G,'RAW_농산물_9월'!$D:$D,$C182,'RAW_농산물_9월'!$A:$A,$E182),SUMIFS('RAW_농산물_10월'!$G:$G,'RAW_농산물_10월'!$D:$D,$C182,'RAW_농산물_10월'!$A:$A,$E182),SUMIFS('RAW_농산물_11-12월'!$G:$G,'RAW_농산물_11-12월'!$D:$D,$C182,'RAW_농산물_11-12월'!$A:$A,$E182))))</f>
        <v>50970400</v>
      </c>
      <c r="H182" s="14">
        <f>IF($C182="","",IF('설정'!$B$3=0,"",CHOOSE('설정'!$B$3,SUMIFS('RAW_농산물_7월'!$H:$H,'RAW_농산물_7월'!$D:$D,$C182,'RAW_농산물_7월'!$A:$A,$E182),SUMIFS('RAW_농산물_8월'!$H:$H,'RAW_농산물_8월'!$D:$D,$C182,'RAW_농산물_8월'!$A:$A,$E182),SUMIFS('RAW_농산물_9월'!$H:$H,'RAW_농산물_9월'!$D:$D,$C182,'RAW_농산물_9월'!$A:$A,$E182),SUMIFS('RAW_농산물_10월'!$H:$H,'RAW_농산물_10월'!$D:$D,$C182,'RAW_농산물_10월'!$A:$A,$E182),SUMIFS('RAW_농산물_11-12월'!$H:$H,'RAW_농산물_11-12월'!$D:$D,$C182,'RAW_농산물_11-12월'!$A:$A,$E182))))</f>
        <v>4673920</v>
      </c>
      <c r="I182" s="17" t="str">
        <f>IF($C182="","",IF(COUNTIFS('RAW_농산물_7월'!$D:$D,$C182,'RAW_농산물_7월'!$A:$A,$E182)&gt;0,"O",""))</f>
        <v>O</v>
      </c>
      <c r="J182" s="17" t="str">
        <f>IF($C182="","",IF(COUNTIFS('RAW_농산물_8월'!$D:$D,$C182,'RAW_농산물_8월'!$A:$A,$E182)&gt;0,"O",""))</f>
        <v>O</v>
      </c>
      <c r="K182" s="17" t="str">
        <f>IF($C182="","",IF(COUNTIFS('RAW_농산물_9월'!$D:$D,$C182,'RAW_농산물_9월'!$A:$A,$E182)&gt;0,"O",""))</f>
        <v/>
      </c>
      <c r="L182" s="17" t="str">
        <f>IF($C182="","",IF(COUNTIFS('RAW_농산물_10월'!$D:$D,$C182,'RAW_농산물_10월'!$A:$A,$E182)&gt;0,"O",""))</f>
        <v/>
      </c>
      <c r="M182" s="17" t="str">
        <f>IF($C182="","",IF(COUNTIFS('RAW_농산물_11-12월'!$D:$D,$C182,'RAW_농산물_11-12월'!$A:$A,$E182)&gt;0,"O",""))</f>
        <v/>
      </c>
      <c r="N182" s="7">
        <f>IF($C182="","",IF(COUNTA('RAW_농산물_7월'!$A:$A)&lt;=1,"",SUMIFS('RAW_농산물_7월'!$H:$H,'RAW_농산물_7월'!$D:$D,$C182,'RAW_농산물_7월'!$A:$A,$E182)))</f>
        <v>983680</v>
      </c>
      <c r="O182" s="7">
        <f>IF($C182="","",IF(COUNTA('RAW_농산물_8월'!$A:$A)&lt;=1,"",SUMIFS('RAW_농산물_8월'!$H:$H,'RAW_농산물_8월'!$D:$D,$C182,'RAW_농산물_8월'!$A:$A,$E182)-SUMIFS('RAW_농산물_7월'!$H:$H,'RAW_농산물_7월'!$D:$D,$C182,'RAW_농산물_7월'!$A:$A,$E182)))</f>
        <v>3690240</v>
      </c>
      <c r="P182" s="7" t="str">
        <f>IF($C182="","",IF(COUNTA('RAW_농산물_9월'!$A:$A)&lt;=1,"",SUMIFS('RAW_농산물_9월'!$H:$H,'RAW_농산물_9월'!$D:$D,$C182,'RAW_농산물_9월'!$A:$A,$E182)-SUMIFS('RAW_농산물_8월'!$H:$H,'RAW_농산물_8월'!$D:$D,$C182,'RAW_농산물_8월'!$A:$A,$E182)))</f>
        <v/>
      </c>
      <c r="Q182" s="7" t="str">
        <f>IF($C182="","",IF(COUNTA('RAW_농산물_10월'!$A:$A)&lt;=1,"",SUMIFS('RAW_농산물_10월'!$H:$H,'RAW_농산물_10월'!$D:$D,$C182,'RAW_농산물_10월'!$A:$A,$E182)-SUMIFS('RAW_농산물_9월'!$H:$H,'RAW_농산물_9월'!$D:$D,$C182,'RAW_농산물_9월'!$A:$A,$E182)))</f>
        <v/>
      </c>
      <c r="R182" s="7" t="str">
        <f>IF($C182="","",IF(COUNTA('RAW_농산물_11-12월'!$A:$A)&lt;=1,"",SUMIFS('RAW_농산물_11-12월'!$H:$H,'RAW_농산물_11-12월'!$D:$D,$C182,'RAW_농산물_11-12월'!$A:$A,$E182)-SUMIFS('RAW_농산물_10월'!$H:$H,'RAW_농산물_10월'!$D:$D,$C182,'RAW_농산물_10월'!$A:$A,$E182)))</f>
        <v/>
      </c>
      <c r="S182" s="17" t="str">
        <f t="shared" si="4"/>
        <v>O</v>
      </c>
      <c r="T182" s="17" t="str">
        <f t="shared" si="5"/>
        <v>500만원 미만</v>
      </c>
      <c r="U182" s="7">
        <f>IF($C182="",0,IF('설정'!$B$3=0,0,CHOOSE('설정'!$B$3,COUNTIFS('RAW_농산물_7월'!$D:$D,$C182,'RAW_농산물_7월'!$A:$A,$E182),COUNTIFS('RAW_농산물_8월'!$D:$D,$C182,'RAW_농산물_8월'!$A:$A,$E182),COUNTIFS('RAW_농산물_9월'!$D:$D,$C182,'RAW_농산물_9월'!$A:$A,$E182),COUNTIFS('RAW_농산물_10월'!$D:$D,$C182,'RAW_농산물_10월'!$A:$A,$E182),COUNTIFS('RAW_농산물_11-12월'!$D:$D,$C182,'RAW_농산물_11-12월'!$A:$A,$E182))))</f>
        <v>1</v>
      </c>
    </row>
    <row r="183" ht="15.75" customHeight="1">
      <c r="A183" s="5">
        <v>181.0</v>
      </c>
      <c r="B183" s="5" t="s">
        <v>145</v>
      </c>
      <c r="C183" s="5" t="s">
        <v>476</v>
      </c>
      <c r="D183" s="6" t="s">
        <v>475</v>
      </c>
      <c r="E183" s="5" t="s">
        <v>92</v>
      </c>
      <c r="F183" s="7">
        <f>IF($C183="","",IF('설정'!$B$3=0,"",CHOOSE('설정'!$B$3,SUMIFS('RAW_농산물_7월'!$F:$F,'RAW_농산물_7월'!$D:$D,$C183,'RAW_농산물_7월'!$A:$A,$E183),SUMIFS('RAW_농산물_8월'!$F:$F,'RAW_농산물_8월'!$D:$D,$C183,'RAW_농산물_8월'!$A:$A,$E183),SUMIFS('RAW_농산물_9월'!$F:$F,'RAW_농산물_9월'!$D:$D,$C183,'RAW_농산물_9월'!$A:$A,$E183),SUMIFS('RAW_농산물_10월'!$F:$F,'RAW_농산물_10월'!$D:$D,$C183,'RAW_농산물_10월'!$A:$A,$E183),SUMIFS('RAW_농산물_11-12월'!$F:$F,'RAW_농산물_11-12월'!$D:$D,$C183,'RAW_농산물_11-12월'!$A:$A,$E183))))</f>
        <v>243</v>
      </c>
      <c r="G183" s="7">
        <f>IF($C183="","",IF('설정'!$B$3=0,"",CHOOSE('설정'!$B$3,SUMIFS('RAW_농산물_7월'!$G:$G,'RAW_농산물_7월'!$D:$D,$C183,'RAW_농산물_7월'!$A:$A,$E183),SUMIFS('RAW_농산물_8월'!$G:$G,'RAW_농산물_8월'!$D:$D,$C183,'RAW_농산물_8월'!$A:$A,$E183),SUMIFS('RAW_농산물_9월'!$G:$G,'RAW_농산물_9월'!$D:$D,$C183,'RAW_농산물_9월'!$A:$A,$E183),SUMIFS('RAW_농산물_10월'!$G:$G,'RAW_농산물_10월'!$D:$D,$C183,'RAW_농산물_10월'!$A:$A,$E183),SUMIFS('RAW_농산물_11-12월'!$G:$G,'RAW_농산물_11-12월'!$D:$D,$C183,'RAW_농산물_11-12월'!$A:$A,$E183))))</f>
        <v>4101220</v>
      </c>
      <c r="H183" s="14">
        <f>IF($C183="","",IF('설정'!$B$3=0,"",CHOOSE('설정'!$B$3,SUMIFS('RAW_농산물_7월'!$H:$H,'RAW_농산물_7월'!$D:$D,$C183,'RAW_농산물_7월'!$A:$A,$E183),SUMIFS('RAW_농산물_8월'!$H:$H,'RAW_농산물_8월'!$D:$D,$C183,'RAW_농산물_8월'!$A:$A,$E183),SUMIFS('RAW_농산물_9월'!$H:$H,'RAW_농산물_9월'!$D:$D,$C183,'RAW_농산물_9월'!$A:$A,$E183),SUMIFS('RAW_농산물_10월'!$H:$H,'RAW_농산물_10월'!$D:$D,$C183,'RAW_농산물_10월'!$A:$A,$E183),SUMIFS('RAW_농산물_11-12월'!$H:$H,'RAW_농산물_11-12월'!$D:$D,$C183,'RAW_농산물_11-12월'!$A:$A,$E183))))</f>
        <v>342710</v>
      </c>
      <c r="I183" s="17" t="str">
        <f>IF($C183="","",IF(COUNTIFS('RAW_농산물_7월'!$D:$D,$C183,'RAW_농산물_7월'!$A:$A,$E183)&gt;0,"O",""))</f>
        <v>O</v>
      </c>
      <c r="J183" s="17" t="str">
        <f>IF($C183="","",IF(COUNTIFS('RAW_농산물_8월'!$D:$D,$C183,'RAW_농산물_8월'!$A:$A,$E183)&gt;0,"O",""))</f>
        <v>O</v>
      </c>
      <c r="K183" s="17" t="str">
        <f>IF($C183="","",IF(COUNTIFS('RAW_농산물_9월'!$D:$D,$C183,'RAW_농산물_9월'!$A:$A,$E183)&gt;0,"O",""))</f>
        <v/>
      </c>
      <c r="L183" s="17" t="str">
        <f>IF($C183="","",IF(COUNTIFS('RAW_농산물_10월'!$D:$D,$C183,'RAW_농산물_10월'!$A:$A,$E183)&gt;0,"O",""))</f>
        <v/>
      </c>
      <c r="M183" s="17" t="str">
        <f>IF($C183="","",IF(COUNTIFS('RAW_농산물_11-12월'!$D:$D,$C183,'RAW_농산물_11-12월'!$A:$A,$E183)&gt;0,"O",""))</f>
        <v/>
      </c>
      <c r="N183" s="7">
        <f>IF($C183="","",IF(COUNTA('RAW_농산물_7월'!$A:$A)&lt;=1,"",SUMIFS('RAW_농산물_7월'!$H:$H,'RAW_농산물_7월'!$D:$D,$C183,'RAW_농산물_7월'!$A:$A,$E183)))</f>
        <v>44330</v>
      </c>
      <c r="O183" s="7">
        <f>IF($C183="","",IF(COUNTA('RAW_농산물_8월'!$A:$A)&lt;=1,"",SUMIFS('RAW_농산물_8월'!$H:$H,'RAW_농산물_8월'!$D:$D,$C183,'RAW_농산물_8월'!$A:$A,$E183)-SUMIFS('RAW_농산물_7월'!$H:$H,'RAW_농산물_7월'!$D:$D,$C183,'RAW_농산물_7월'!$A:$A,$E183)))</f>
        <v>298380</v>
      </c>
      <c r="P183" s="7" t="str">
        <f>IF($C183="","",IF(COUNTA('RAW_농산물_9월'!$A:$A)&lt;=1,"",SUMIFS('RAW_농산물_9월'!$H:$H,'RAW_농산물_9월'!$D:$D,$C183,'RAW_농산물_9월'!$A:$A,$E183)-SUMIFS('RAW_농산물_8월'!$H:$H,'RAW_농산물_8월'!$D:$D,$C183,'RAW_농산물_8월'!$A:$A,$E183)))</f>
        <v/>
      </c>
      <c r="Q183" s="7" t="str">
        <f>IF($C183="","",IF(COUNTA('RAW_농산물_10월'!$A:$A)&lt;=1,"",SUMIFS('RAW_농산물_10월'!$H:$H,'RAW_농산물_10월'!$D:$D,$C183,'RAW_농산물_10월'!$A:$A,$E183)-SUMIFS('RAW_농산물_9월'!$H:$H,'RAW_농산물_9월'!$D:$D,$C183,'RAW_농산물_9월'!$A:$A,$E183)))</f>
        <v/>
      </c>
      <c r="R183" s="7" t="str">
        <f>IF($C183="","",IF(COUNTA('RAW_농산물_11-12월'!$A:$A)&lt;=1,"",SUMIFS('RAW_농산물_11-12월'!$H:$H,'RAW_농산물_11-12월'!$D:$D,$C183,'RAW_농산물_11-12월'!$A:$A,$E183)-SUMIFS('RAW_농산물_10월'!$H:$H,'RAW_농산물_10월'!$D:$D,$C183,'RAW_농산물_10월'!$A:$A,$E183)))</f>
        <v/>
      </c>
      <c r="S183" s="17" t="str">
        <f t="shared" si="4"/>
        <v>O</v>
      </c>
      <c r="T183" s="17" t="str">
        <f t="shared" si="5"/>
        <v>50만원 미만</v>
      </c>
      <c r="U183" s="7">
        <f>IF($C183="",0,IF('설정'!$B$3=0,0,CHOOSE('설정'!$B$3,COUNTIFS('RAW_농산물_7월'!$D:$D,$C183,'RAW_농산물_7월'!$A:$A,$E183),COUNTIFS('RAW_농산물_8월'!$D:$D,$C183,'RAW_농산물_8월'!$A:$A,$E183),COUNTIFS('RAW_농산물_9월'!$D:$D,$C183,'RAW_농산물_9월'!$A:$A,$E183),COUNTIFS('RAW_농산물_10월'!$D:$D,$C183,'RAW_농산물_10월'!$A:$A,$E183),COUNTIFS('RAW_농산물_11-12월'!$D:$D,$C183,'RAW_농산물_11-12월'!$A:$A,$E183))))</f>
        <v>6</v>
      </c>
    </row>
    <row r="184" ht="15.75" customHeight="1">
      <c r="A184" s="5">
        <v>182.0</v>
      </c>
      <c r="B184" s="5" t="s">
        <v>108</v>
      </c>
      <c r="C184" s="5" t="s">
        <v>2989</v>
      </c>
      <c r="D184" s="6" t="s">
        <v>2990</v>
      </c>
      <c r="E184" s="5" t="s">
        <v>92</v>
      </c>
      <c r="F184" s="7">
        <f>IF($C184="","",IF('설정'!$B$3=0,"",CHOOSE('설정'!$B$3,SUMIFS('RAW_농산물_7월'!$F:$F,'RAW_농산물_7월'!$D:$D,$C184,'RAW_농산물_7월'!$A:$A,$E184),SUMIFS('RAW_농산물_8월'!$F:$F,'RAW_농산물_8월'!$D:$D,$C184,'RAW_농산물_8월'!$A:$A,$E184),SUMIFS('RAW_농산물_9월'!$F:$F,'RAW_농산물_9월'!$D:$D,$C184,'RAW_농산물_9월'!$A:$A,$E184),SUMIFS('RAW_농산물_10월'!$F:$F,'RAW_농산물_10월'!$D:$D,$C184,'RAW_농산물_10월'!$A:$A,$E184),SUMIFS('RAW_농산물_11-12월'!$F:$F,'RAW_농산물_11-12월'!$D:$D,$C184,'RAW_농산물_11-12월'!$A:$A,$E184))))</f>
        <v>0</v>
      </c>
      <c r="G184" s="7">
        <f>IF($C184="","",IF('설정'!$B$3=0,"",CHOOSE('설정'!$B$3,SUMIFS('RAW_농산물_7월'!$G:$G,'RAW_농산물_7월'!$D:$D,$C184,'RAW_농산물_7월'!$A:$A,$E184),SUMIFS('RAW_농산물_8월'!$G:$G,'RAW_농산물_8월'!$D:$D,$C184,'RAW_농산물_8월'!$A:$A,$E184),SUMIFS('RAW_농산물_9월'!$G:$G,'RAW_농산물_9월'!$D:$D,$C184,'RAW_농산물_9월'!$A:$A,$E184),SUMIFS('RAW_농산물_10월'!$G:$G,'RAW_농산물_10월'!$D:$D,$C184,'RAW_농산물_10월'!$A:$A,$E184),SUMIFS('RAW_농산물_11-12월'!$G:$G,'RAW_농산물_11-12월'!$D:$D,$C184,'RAW_농산물_11-12월'!$A:$A,$E184))))</f>
        <v>0</v>
      </c>
      <c r="H184" s="14">
        <f>IF($C184="","",IF('설정'!$B$3=0,"",CHOOSE('설정'!$B$3,SUMIFS('RAW_농산물_7월'!$H:$H,'RAW_농산물_7월'!$D:$D,$C184,'RAW_농산물_7월'!$A:$A,$E184),SUMIFS('RAW_농산물_8월'!$H:$H,'RAW_농산물_8월'!$D:$D,$C184,'RAW_농산물_8월'!$A:$A,$E184),SUMIFS('RAW_농산물_9월'!$H:$H,'RAW_농산물_9월'!$D:$D,$C184,'RAW_농산물_9월'!$A:$A,$E184),SUMIFS('RAW_농산물_10월'!$H:$H,'RAW_농산물_10월'!$D:$D,$C184,'RAW_농산물_10월'!$A:$A,$E184),SUMIFS('RAW_농산물_11-12월'!$H:$H,'RAW_농산물_11-12월'!$D:$D,$C184,'RAW_농산물_11-12월'!$A:$A,$E184))))</f>
        <v>0</v>
      </c>
      <c r="I184" s="17" t="str">
        <f>IF($C184="","",IF(COUNTIFS('RAW_농산물_7월'!$D:$D,$C184,'RAW_농산물_7월'!$A:$A,$E184)&gt;0,"O",""))</f>
        <v/>
      </c>
      <c r="J184" s="17" t="str">
        <f>IF($C184="","",IF(COUNTIFS('RAW_농산물_8월'!$D:$D,$C184,'RAW_농산물_8월'!$A:$A,$E184)&gt;0,"O",""))</f>
        <v/>
      </c>
      <c r="K184" s="17" t="str">
        <f>IF($C184="","",IF(COUNTIFS('RAW_농산물_9월'!$D:$D,$C184,'RAW_농산물_9월'!$A:$A,$E184)&gt;0,"O",""))</f>
        <v/>
      </c>
      <c r="L184" s="17" t="str">
        <f>IF($C184="","",IF(COUNTIFS('RAW_농산물_10월'!$D:$D,$C184,'RAW_농산물_10월'!$A:$A,$E184)&gt;0,"O",""))</f>
        <v/>
      </c>
      <c r="M184" s="17" t="str">
        <f>IF($C184="","",IF(COUNTIFS('RAW_농산물_11-12월'!$D:$D,$C184,'RAW_농산물_11-12월'!$A:$A,$E184)&gt;0,"O",""))</f>
        <v/>
      </c>
      <c r="N184" s="7">
        <f>IF($C184="","",IF(COUNTA('RAW_농산물_7월'!$A:$A)&lt;=1,"",SUMIFS('RAW_농산물_7월'!$H:$H,'RAW_농산물_7월'!$D:$D,$C184,'RAW_농산물_7월'!$A:$A,$E184)))</f>
        <v>0</v>
      </c>
      <c r="O184" s="7">
        <f>IF($C184="","",IF(COUNTA('RAW_농산물_8월'!$A:$A)&lt;=1,"",SUMIFS('RAW_농산물_8월'!$H:$H,'RAW_농산물_8월'!$D:$D,$C184,'RAW_농산물_8월'!$A:$A,$E184)-SUMIFS('RAW_농산물_7월'!$H:$H,'RAW_농산물_7월'!$D:$D,$C184,'RAW_농산물_7월'!$A:$A,$E184)))</f>
        <v>0</v>
      </c>
      <c r="P184" s="7" t="str">
        <f>IF($C184="","",IF(COUNTA('RAW_농산물_9월'!$A:$A)&lt;=1,"",SUMIFS('RAW_농산물_9월'!$H:$H,'RAW_농산물_9월'!$D:$D,$C184,'RAW_농산물_9월'!$A:$A,$E184)-SUMIFS('RAW_농산물_8월'!$H:$H,'RAW_농산물_8월'!$D:$D,$C184,'RAW_농산물_8월'!$A:$A,$E184)))</f>
        <v/>
      </c>
      <c r="Q184" s="7" t="str">
        <f>IF($C184="","",IF(COUNTA('RAW_농산물_10월'!$A:$A)&lt;=1,"",SUMIFS('RAW_농산물_10월'!$H:$H,'RAW_농산물_10월'!$D:$D,$C184,'RAW_농산물_10월'!$A:$A,$E184)-SUMIFS('RAW_농산물_9월'!$H:$H,'RAW_농산물_9월'!$D:$D,$C184,'RAW_농산물_9월'!$A:$A,$E184)))</f>
        <v/>
      </c>
      <c r="R184" s="7" t="str">
        <f>IF($C184="","",IF(COUNTA('RAW_농산물_11-12월'!$A:$A)&lt;=1,"",SUMIFS('RAW_농산물_11-12월'!$H:$H,'RAW_농산물_11-12월'!$D:$D,$C184,'RAW_농산물_11-12월'!$A:$A,$E184)-SUMIFS('RAW_농산물_10월'!$H:$H,'RAW_농산물_10월'!$D:$D,$C184,'RAW_농산물_10월'!$A:$A,$E184)))</f>
        <v/>
      </c>
      <c r="S184" s="17" t="str">
        <f t="shared" si="4"/>
        <v/>
      </c>
      <c r="T184" s="17" t="str">
        <f t="shared" si="5"/>
        <v>미사용</v>
      </c>
      <c r="U184" s="7">
        <f>IF($C184="",0,IF('설정'!$B$3=0,0,CHOOSE('설정'!$B$3,COUNTIFS('RAW_농산물_7월'!$D:$D,$C184,'RAW_농산물_7월'!$A:$A,$E184),COUNTIFS('RAW_농산물_8월'!$D:$D,$C184,'RAW_농산물_8월'!$A:$A,$E184),COUNTIFS('RAW_농산물_9월'!$D:$D,$C184,'RAW_농산물_9월'!$A:$A,$E184),COUNTIFS('RAW_농산물_10월'!$D:$D,$C184,'RAW_농산물_10월'!$A:$A,$E184),COUNTIFS('RAW_농산물_11-12월'!$D:$D,$C184,'RAW_농산물_11-12월'!$A:$A,$E184))))</f>
        <v>0</v>
      </c>
    </row>
    <row r="185" ht="15.75" customHeight="1">
      <c r="A185" s="5">
        <v>183.0</v>
      </c>
      <c r="B185" s="5" t="s">
        <v>145</v>
      </c>
      <c r="C185" s="5" t="s">
        <v>1500</v>
      </c>
      <c r="D185" s="6" t="s">
        <v>1499</v>
      </c>
      <c r="E185" s="5" t="s">
        <v>93</v>
      </c>
      <c r="F185" s="7">
        <f>IF($C185="","",IF('설정'!$B$3=0,"",CHOOSE('설정'!$B$3,SUMIFS('RAW_농산물_7월'!$F:$F,'RAW_농산물_7월'!$D:$D,$C185,'RAW_농산물_7월'!$A:$A,$E185),SUMIFS('RAW_농산물_8월'!$F:$F,'RAW_농산물_8월'!$D:$D,$C185,'RAW_농산물_8월'!$A:$A,$E185),SUMIFS('RAW_농산물_9월'!$F:$F,'RAW_농산물_9월'!$D:$D,$C185,'RAW_농산물_9월'!$A:$A,$E185),SUMIFS('RAW_농산물_10월'!$F:$F,'RAW_농산물_10월'!$D:$D,$C185,'RAW_농산물_10월'!$A:$A,$E185),SUMIFS('RAW_농산물_11-12월'!$F:$F,'RAW_농산물_11-12월'!$D:$D,$C185,'RAW_농산물_11-12월'!$A:$A,$E185))))</f>
        <v>238</v>
      </c>
      <c r="G185" s="7">
        <f>IF($C185="","",IF('설정'!$B$3=0,"",CHOOSE('설정'!$B$3,SUMIFS('RAW_농산물_7월'!$G:$G,'RAW_농산물_7월'!$D:$D,$C185,'RAW_농산물_7월'!$A:$A,$E185),SUMIFS('RAW_농산물_8월'!$G:$G,'RAW_농산물_8월'!$D:$D,$C185,'RAW_농산물_8월'!$A:$A,$E185),SUMIFS('RAW_농산물_9월'!$G:$G,'RAW_농산물_9월'!$D:$D,$C185,'RAW_농산물_9월'!$A:$A,$E185),SUMIFS('RAW_농산물_10월'!$G:$G,'RAW_농산물_10월'!$D:$D,$C185,'RAW_농산물_10월'!$A:$A,$E185),SUMIFS('RAW_농산물_11-12월'!$G:$G,'RAW_농산물_11-12월'!$D:$D,$C185,'RAW_농산물_11-12월'!$A:$A,$E185))))</f>
        <v>1681000</v>
      </c>
      <c r="H185" s="14">
        <f>IF($C185="","",IF('설정'!$B$3=0,"",CHOOSE('설정'!$B$3,SUMIFS('RAW_농산물_7월'!$H:$H,'RAW_농산물_7월'!$D:$D,$C185,'RAW_농산물_7월'!$A:$A,$E185),SUMIFS('RAW_농산물_8월'!$H:$H,'RAW_농산물_8월'!$D:$D,$C185,'RAW_농산물_8월'!$A:$A,$E185),SUMIFS('RAW_농산물_9월'!$H:$H,'RAW_농산물_9월'!$D:$D,$C185,'RAW_농산물_9월'!$A:$A,$E185),SUMIFS('RAW_농산물_10월'!$H:$H,'RAW_농산물_10월'!$D:$D,$C185,'RAW_농산물_10월'!$A:$A,$E185),SUMIFS('RAW_농산물_11-12월'!$H:$H,'RAW_농산물_11-12월'!$D:$D,$C185,'RAW_농산물_11-12월'!$A:$A,$E185))))</f>
        <v>135400</v>
      </c>
      <c r="I185" s="17" t="str">
        <f>IF($C185="","",IF(COUNTIFS('RAW_농산물_7월'!$D:$D,$C185,'RAW_농산물_7월'!$A:$A,$E185)&gt;0,"O",""))</f>
        <v>O</v>
      </c>
      <c r="J185" s="17" t="str">
        <f>IF($C185="","",IF(COUNTIFS('RAW_농산물_8월'!$D:$D,$C185,'RAW_농산물_8월'!$A:$A,$E185)&gt;0,"O",""))</f>
        <v>O</v>
      </c>
      <c r="K185" s="17" t="str">
        <f>IF($C185="","",IF(COUNTIFS('RAW_농산물_9월'!$D:$D,$C185,'RAW_농산물_9월'!$A:$A,$E185)&gt;0,"O",""))</f>
        <v/>
      </c>
      <c r="L185" s="17" t="str">
        <f>IF($C185="","",IF(COUNTIFS('RAW_농산물_10월'!$D:$D,$C185,'RAW_농산물_10월'!$A:$A,$E185)&gt;0,"O",""))</f>
        <v/>
      </c>
      <c r="M185" s="17" t="str">
        <f>IF($C185="","",IF(COUNTIFS('RAW_농산물_11-12월'!$D:$D,$C185,'RAW_농산물_11-12월'!$A:$A,$E185)&gt;0,"O",""))</f>
        <v/>
      </c>
      <c r="N185" s="7">
        <f>IF($C185="","",IF(COUNTA('RAW_농산물_7월'!$A:$A)&lt;=1,"",SUMIFS('RAW_농산물_7월'!$H:$H,'RAW_농산물_7월'!$D:$D,$C185,'RAW_농산물_7월'!$A:$A,$E185)))</f>
        <v>20000</v>
      </c>
      <c r="O185" s="7">
        <f>IF($C185="","",IF(COUNTA('RAW_농산물_8월'!$A:$A)&lt;=1,"",SUMIFS('RAW_농산물_8월'!$H:$H,'RAW_농산물_8월'!$D:$D,$C185,'RAW_농산물_8월'!$A:$A,$E185)-SUMIFS('RAW_농산물_7월'!$H:$H,'RAW_농산물_7월'!$D:$D,$C185,'RAW_농산물_7월'!$A:$A,$E185)))</f>
        <v>115400</v>
      </c>
      <c r="P185" s="7" t="str">
        <f>IF($C185="","",IF(COUNTA('RAW_농산물_9월'!$A:$A)&lt;=1,"",SUMIFS('RAW_농산물_9월'!$H:$H,'RAW_농산물_9월'!$D:$D,$C185,'RAW_농산물_9월'!$A:$A,$E185)-SUMIFS('RAW_농산물_8월'!$H:$H,'RAW_농산물_8월'!$D:$D,$C185,'RAW_농산물_8월'!$A:$A,$E185)))</f>
        <v/>
      </c>
      <c r="Q185" s="7" t="str">
        <f>IF($C185="","",IF(COUNTA('RAW_농산물_10월'!$A:$A)&lt;=1,"",SUMIFS('RAW_농산물_10월'!$H:$H,'RAW_농산물_10월'!$D:$D,$C185,'RAW_농산물_10월'!$A:$A,$E185)-SUMIFS('RAW_농산물_9월'!$H:$H,'RAW_농산물_9월'!$D:$D,$C185,'RAW_농산물_9월'!$A:$A,$E185)))</f>
        <v/>
      </c>
      <c r="R185" s="7" t="str">
        <f>IF($C185="","",IF(COUNTA('RAW_농산물_11-12월'!$A:$A)&lt;=1,"",SUMIFS('RAW_농산물_11-12월'!$H:$H,'RAW_농산물_11-12월'!$D:$D,$C185,'RAW_농산물_11-12월'!$A:$A,$E185)-SUMIFS('RAW_농산물_10월'!$H:$H,'RAW_농산물_10월'!$D:$D,$C185,'RAW_농산물_10월'!$A:$A,$E185)))</f>
        <v/>
      </c>
      <c r="S185" s="17" t="str">
        <f t="shared" si="4"/>
        <v>O</v>
      </c>
      <c r="T185" s="17" t="str">
        <f t="shared" si="5"/>
        <v>50만원 미만</v>
      </c>
      <c r="U185" s="7">
        <f>IF($C185="",0,IF('설정'!$B$3=0,0,CHOOSE('설정'!$B$3,COUNTIFS('RAW_농산물_7월'!$D:$D,$C185,'RAW_농산물_7월'!$A:$A,$E185),COUNTIFS('RAW_농산물_8월'!$D:$D,$C185,'RAW_농산물_8월'!$A:$A,$E185),COUNTIFS('RAW_농산물_9월'!$D:$D,$C185,'RAW_농산물_9월'!$A:$A,$E185),COUNTIFS('RAW_농산물_10월'!$D:$D,$C185,'RAW_농산물_10월'!$A:$A,$E185),COUNTIFS('RAW_농산물_11-12월'!$D:$D,$C185,'RAW_농산물_11-12월'!$A:$A,$E185))))</f>
        <v>10</v>
      </c>
    </row>
    <row r="186" ht="15.75" customHeight="1">
      <c r="A186" s="5">
        <v>184.0</v>
      </c>
      <c r="B186" s="5" t="s">
        <v>25</v>
      </c>
      <c r="C186" s="5" t="s">
        <v>1047</v>
      </c>
      <c r="D186" s="6" t="s">
        <v>1046</v>
      </c>
      <c r="E186" s="5" t="s">
        <v>28</v>
      </c>
      <c r="F186" s="7">
        <f>IF($C186="","",IF('설정'!$B$3=0,"",CHOOSE('설정'!$B$3,SUMIFS('RAW_농산물_7월'!$F:$F,'RAW_농산물_7월'!$D:$D,$C186,'RAW_농산물_7월'!$A:$A,$E186),SUMIFS('RAW_농산물_8월'!$F:$F,'RAW_농산물_8월'!$D:$D,$C186,'RAW_농산물_8월'!$A:$A,$E186),SUMIFS('RAW_농산물_9월'!$F:$F,'RAW_농산물_9월'!$D:$D,$C186,'RAW_농산물_9월'!$A:$A,$E186),SUMIFS('RAW_농산물_10월'!$F:$F,'RAW_농산물_10월'!$D:$D,$C186,'RAW_농산물_10월'!$A:$A,$E186),SUMIFS('RAW_농산물_11-12월'!$F:$F,'RAW_농산물_11-12월'!$D:$D,$C186,'RAW_농산물_11-12월'!$A:$A,$E186))))</f>
        <v>1343</v>
      </c>
      <c r="G186" s="7">
        <f>IF($C186="","",IF('설정'!$B$3=0,"",CHOOSE('설정'!$B$3,SUMIFS('RAW_농산물_7월'!$G:$G,'RAW_농산물_7월'!$D:$D,$C186,'RAW_농산물_7월'!$A:$A,$E186),SUMIFS('RAW_농산물_8월'!$G:$G,'RAW_농산물_8월'!$D:$D,$C186,'RAW_농산물_8월'!$A:$A,$E186),SUMIFS('RAW_농산물_9월'!$G:$G,'RAW_농산물_9월'!$D:$D,$C186,'RAW_농산물_9월'!$A:$A,$E186),SUMIFS('RAW_농산물_10월'!$G:$G,'RAW_농산물_10월'!$D:$D,$C186,'RAW_농산물_10월'!$A:$A,$E186),SUMIFS('RAW_농산물_11-12월'!$G:$G,'RAW_농산물_11-12월'!$D:$D,$C186,'RAW_농산물_11-12월'!$A:$A,$E186))))</f>
        <v>41973060</v>
      </c>
      <c r="H186" s="14">
        <f>IF($C186="","",IF('설정'!$B$3=0,"",CHOOSE('설정'!$B$3,SUMIFS('RAW_농산물_7월'!$H:$H,'RAW_농산물_7월'!$D:$D,$C186,'RAW_농산물_7월'!$A:$A,$E186),SUMIFS('RAW_농산물_8월'!$H:$H,'RAW_농산물_8월'!$D:$D,$C186,'RAW_농산물_8월'!$A:$A,$E186),SUMIFS('RAW_농산물_9월'!$H:$H,'RAW_농산물_9월'!$D:$D,$C186,'RAW_농산물_9월'!$A:$A,$E186),SUMIFS('RAW_농산물_10월'!$H:$H,'RAW_농산물_10월'!$D:$D,$C186,'RAW_농산물_10월'!$A:$A,$E186),SUMIFS('RAW_농산물_11-12월'!$H:$H,'RAW_농산물_11-12월'!$D:$D,$C186,'RAW_농산물_11-12월'!$A:$A,$E186))))</f>
        <v>5049440</v>
      </c>
      <c r="I186" s="17" t="str">
        <f>IF($C186="","",IF(COUNTIFS('RAW_농산물_7월'!$D:$D,$C186,'RAW_농산물_7월'!$A:$A,$E186)&gt;0,"O",""))</f>
        <v>O</v>
      </c>
      <c r="J186" s="17" t="str">
        <f>IF($C186="","",IF(COUNTIFS('RAW_농산물_8월'!$D:$D,$C186,'RAW_농산물_8월'!$A:$A,$E186)&gt;0,"O",""))</f>
        <v>O</v>
      </c>
      <c r="K186" s="17" t="str">
        <f>IF($C186="","",IF(COUNTIFS('RAW_농산물_9월'!$D:$D,$C186,'RAW_농산물_9월'!$A:$A,$E186)&gt;0,"O",""))</f>
        <v/>
      </c>
      <c r="L186" s="17" t="str">
        <f>IF($C186="","",IF(COUNTIFS('RAW_농산물_10월'!$D:$D,$C186,'RAW_농산물_10월'!$A:$A,$E186)&gt;0,"O",""))</f>
        <v/>
      </c>
      <c r="M186" s="17" t="str">
        <f>IF($C186="","",IF(COUNTIFS('RAW_농산물_11-12월'!$D:$D,$C186,'RAW_농산물_11-12월'!$A:$A,$E186)&gt;0,"O",""))</f>
        <v/>
      </c>
      <c r="N186" s="7">
        <f>IF($C186="","",IF(COUNTA('RAW_농산물_7월'!$A:$A)&lt;=1,"",SUMIFS('RAW_농산물_7월'!$H:$H,'RAW_농산물_7월'!$D:$D,$C186,'RAW_농산물_7월'!$A:$A,$E186)))</f>
        <v>2824400</v>
      </c>
      <c r="O186" s="7">
        <f>IF($C186="","",IF(COUNTA('RAW_농산물_8월'!$A:$A)&lt;=1,"",SUMIFS('RAW_농산물_8월'!$H:$H,'RAW_농산물_8월'!$D:$D,$C186,'RAW_농산물_8월'!$A:$A,$E186)-SUMIFS('RAW_농산물_7월'!$H:$H,'RAW_농산물_7월'!$D:$D,$C186,'RAW_농산물_7월'!$A:$A,$E186)))</f>
        <v>2225040</v>
      </c>
      <c r="P186" s="7" t="str">
        <f>IF($C186="","",IF(COUNTA('RAW_농산물_9월'!$A:$A)&lt;=1,"",SUMIFS('RAW_농산물_9월'!$H:$H,'RAW_농산물_9월'!$D:$D,$C186,'RAW_농산물_9월'!$A:$A,$E186)-SUMIFS('RAW_농산물_8월'!$H:$H,'RAW_농산물_8월'!$D:$D,$C186,'RAW_농산물_8월'!$A:$A,$E186)))</f>
        <v/>
      </c>
      <c r="Q186" s="7" t="str">
        <f>IF($C186="","",IF(COUNTA('RAW_농산물_10월'!$A:$A)&lt;=1,"",SUMIFS('RAW_농산물_10월'!$H:$H,'RAW_농산물_10월'!$D:$D,$C186,'RAW_농산물_10월'!$A:$A,$E186)-SUMIFS('RAW_농산물_9월'!$H:$H,'RAW_농산물_9월'!$D:$D,$C186,'RAW_농산물_9월'!$A:$A,$E186)))</f>
        <v/>
      </c>
      <c r="R186" s="7" t="str">
        <f>IF($C186="","",IF(COUNTA('RAW_농산물_11-12월'!$A:$A)&lt;=1,"",SUMIFS('RAW_농산물_11-12월'!$H:$H,'RAW_농산물_11-12월'!$D:$D,$C186,'RAW_농산물_11-12월'!$A:$A,$E186)-SUMIFS('RAW_농산물_10월'!$H:$H,'RAW_농산물_10월'!$D:$D,$C186,'RAW_농산물_10월'!$A:$A,$E186)))</f>
        <v/>
      </c>
      <c r="S186" s="17" t="str">
        <f t="shared" si="4"/>
        <v>O</v>
      </c>
      <c r="T186" s="17" t="str">
        <f t="shared" si="5"/>
        <v>600만원 미만</v>
      </c>
      <c r="U186" s="7">
        <f>IF($C186="",0,IF('설정'!$B$3=0,0,CHOOSE('설정'!$B$3,COUNTIFS('RAW_농산물_7월'!$D:$D,$C186,'RAW_농산물_7월'!$A:$A,$E186),COUNTIFS('RAW_농산물_8월'!$D:$D,$C186,'RAW_농산물_8월'!$A:$A,$E186),COUNTIFS('RAW_농산물_9월'!$D:$D,$C186,'RAW_농산물_9월'!$A:$A,$E186),COUNTIFS('RAW_농산물_10월'!$D:$D,$C186,'RAW_농산물_10월'!$A:$A,$E186),COUNTIFS('RAW_농산물_11-12월'!$D:$D,$C186,'RAW_농산물_11-12월'!$A:$A,$E186))))</f>
        <v>7</v>
      </c>
    </row>
    <row r="187" ht="15.75" customHeight="1">
      <c r="A187" s="5">
        <v>185.0</v>
      </c>
      <c r="B187" s="5" t="s">
        <v>25</v>
      </c>
      <c r="C187" s="5" t="s">
        <v>921</v>
      </c>
      <c r="D187" s="6" t="s">
        <v>920</v>
      </c>
      <c r="E187" s="5" t="s">
        <v>28</v>
      </c>
      <c r="F187" s="7">
        <f>IF($C187="","",IF('설정'!$B$3=0,"",CHOOSE('설정'!$B$3,SUMIFS('RAW_농산물_7월'!$F:$F,'RAW_농산물_7월'!$D:$D,$C187,'RAW_농산물_7월'!$A:$A,$E187),SUMIFS('RAW_농산물_8월'!$F:$F,'RAW_농산물_8월'!$D:$D,$C187,'RAW_농산물_8월'!$A:$A,$E187),SUMIFS('RAW_농산물_9월'!$F:$F,'RAW_농산물_9월'!$D:$D,$C187,'RAW_농산물_9월'!$A:$A,$E187),SUMIFS('RAW_농산물_10월'!$F:$F,'RAW_농산물_10월'!$D:$D,$C187,'RAW_농산물_10월'!$A:$A,$E187),SUMIFS('RAW_농산물_11-12월'!$F:$F,'RAW_농산물_11-12월'!$D:$D,$C187,'RAW_농산물_11-12월'!$A:$A,$E187))))</f>
        <v>37</v>
      </c>
      <c r="G187" s="7">
        <f>IF($C187="","",IF('설정'!$B$3=0,"",CHOOSE('설정'!$B$3,SUMIFS('RAW_농산물_7월'!$G:$G,'RAW_농산물_7월'!$D:$D,$C187,'RAW_농산물_7월'!$A:$A,$E187),SUMIFS('RAW_농산물_8월'!$G:$G,'RAW_농산물_8월'!$D:$D,$C187,'RAW_농산물_8월'!$A:$A,$E187),SUMIFS('RAW_농산물_9월'!$G:$G,'RAW_농산물_9월'!$D:$D,$C187,'RAW_농산물_9월'!$A:$A,$E187),SUMIFS('RAW_농산물_10월'!$G:$G,'RAW_농산물_10월'!$D:$D,$C187,'RAW_농산물_10월'!$A:$A,$E187),SUMIFS('RAW_농산물_11-12월'!$G:$G,'RAW_농산물_11-12월'!$D:$D,$C187,'RAW_농산물_11-12월'!$A:$A,$E187))))</f>
        <v>1449750</v>
      </c>
      <c r="H187" s="14">
        <f>IF($C187="","",IF('설정'!$B$3=0,"",CHOOSE('설정'!$B$3,SUMIFS('RAW_농산물_7월'!$H:$H,'RAW_농산물_7월'!$D:$D,$C187,'RAW_농산물_7월'!$A:$A,$E187),SUMIFS('RAW_농산물_8월'!$H:$H,'RAW_농산물_8월'!$D:$D,$C187,'RAW_농산물_8월'!$A:$A,$E187),SUMIFS('RAW_농산물_9월'!$H:$H,'RAW_농산물_9월'!$D:$D,$C187,'RAW_농산물_9월'!$A:$A,$E187),SUMIFS('RAW_농산물_10월'!$H:$H,'RAW_농산물_10월'!$D:$D,$C187,'RAW_농산물_10월'!$A:$A,$E187),SUMIFS('RAW_농산물_11-12월'!$H:$H,'RAW_농산물_11-12월'!$D:$D,$C187,'RAW_농산물_11-12월'!$A:$A,$E187))))</f>
        <v>159250</v>
      </c>
      <c r="I187" s="17" t="str">
        <f>IF($C187="","",IF(COUNTIFS('RAW_농산물_7월'!$D:$D,$C187,'RAW_농산물_7월'!$A:$A,$E187)&gt;0,"O",""))</f>
        <v>O</v>
      </c>
      <c r="J187" s="17" t="str">
        <f>IF($C187="","",IF(COUNTIFS('RAW_농산물_8월'!$D:$D,$C187,'RAW_농산물_8월'!$A:$A,$E187)&gt;0,"O",""))</f>
        <v>O</v>
      </c>
      <c r="K187" s="17" t="str">
        <f>IF($C187="","",IF(COUNTIFS('RAW_농산물_9월'!$D:$D,$C187,'RAW_농산물_9월'!$A:$A,$E187)&gt;0,"O",""))</f>
        <v/>
      </c>
      <c r="L187" s="17" t="str">
        <f>IF($C187="","",IF(COUNTIFS('RAW_농산물_10월'!$D:$D,$C187,'RAW_농산물_10월'!$A:$A,$E187)&gt;0,"O",""))</f>
        <v/>
      </c>
      <c r="M187" s="17" t="str">
        <f>IF($C187="","",IF(COUNTIFS('RAW_농산물_11-12월'!$D:$D,$C187,'RAW_농산물_11-12월'!$A:$A,$E187)&gt;0,"O",""))</f>
        <v/>
      </c>
      <c r="N187" s="7">
        <f>IF($C187="","",IF(COUNTA('RAW_농산물_7월'!$A:$A)&lt;=1,"",SUMIFS('RAW_농산물_7월'!$H:$H,'RAW_농산물_7월'!$D:$D,$C187,'RAW_농산물_7월'!$A:$A,$E187)))</f>
        <v>0</v>
      </c>
      <c r="O187" s="7">
        <f>IF($C187="","",IF(COUNTA('RAW_농산물_8월'!$A:$A)&lt;=1,"",SUMIFS('RAW_농산물_8월'!$H:$H,'RAW_농산물_8월'!$D:$D,$C187,'RAW_농산물_8월'!$A:$A,$E187)-SUMIFS('RAW_농산물_7월'!$H:$H,'RAW_농산물_7월'!$D:$D,$C187,'RAW_농산물_7월'!$A:$A,$E187)))</f>
        <v>159250</v>
      </c>
      <c r="P187" s="7" t="str">
        <f>IF($C187="","",IF(COUNTA('RAW_농산물_9월'!$A:$A)&lt;=1,"",SUMIFS('RAW_농산물_9월'!$H:$H,'RAW_농산물_9월'!$D:$D,$C187,'RAW_농산물_9월'!$A:$A,$E187)-SUMIFS('RAW_농산물_8월'!$H:$H,'RAW_농산물_8월'!$D:$D,$C187,'RAW_농산물_8월'!$A:$A,$E187)))</f>
        <v/>
      </c>
      <c r="Q187" s="7" t="str">
        <f>IF($C187="","",IF(COUNTA('RAW_농산물_10월'!$A:$A)&lt;=1,"",SUMIFS('RAW_농산물_10월'!$H:$H,'RAW_농산물_10월'!$D:$D,$C187,'RAW_농산물_10월'!$A:$A,$E187)-SUMIFS('RAW_농산물_9월'!$H:$H,'RAW_농산물_9월'!$D:$D,$C187,'RAW_농산물_9월'!$A:$A,$E187)))</f>
        <v/>
      </c>
      <c r="R187" s="7" t="str">
        <f>IF($C187="","",IF(COUNTA('RAW_농산물_11-12월'!$A:$A)&lt;=1,"",SUMIFS('RAW_농산물_11-12월'!$H:$H,'RAW_농산물_11-12월'!$D:$D,$C187,'RAW_농산물_11-12월'!$A:$A,$E187)-SUMIFS('RAW_농산물_10월'!$H:$H,'RAW_농산물_10월'!$D:$D,$C187,'RAW_농산물_10월'!$A:$A,$E187)))</f>
        <v/>
      </c>
      <c r="S187" s="17" t="str">
        <f t="shared" si="4"/>
        <v>O</v>
      </c>
      <c r="T187" s="17" t="str">
        <f t="shared" si="5"/>
        <v>50만원 미만</v>
      </c>
      <c r="U187" s="7">
        <f>IF($C187="",0,IF('설정'!$B$3=0,0,CHOOSE('설정'!$B$3,COUNTIFS('RAW_농산물_7월'!$D:$D,$C187,'RAW_농산물_7월'!$A:$A,$E187),COUNTIFS('RAW_농산물_8월'!$D:$D,$C187,'RAW_농산물_8월'!$A:$A,$E187),COUNTIFS('RAW_농산물_9월'!$D:$D,$C187,'RAW_농산물_9월'!$A:$A,$E187),COUNTIFS('RAW_농산물_10월'!$D:$D,$C187,'RAW_농산물_10월'!$A:$A,$E187),COUNTIFS('RAW_농산물_11-12월'!$D:$D,$C187,'RAW_농산물_11-12월'!$A:$A,$E187))))</f>
        <v>59</v>
      </c>
    </row>
    <row r="188" ht="15.75" customHeight="1">
      <c r="A188" s="5">
        <v>186.0</v>
      </c>
      <c r="B188" s="5" t="s">
        <v>25</v>
      </c>
      <c r="C188" s="5" t="s">
        <v>1627</v>
      </c>
      <c r="D188" s="6" t="s">
        <v>2991</v>
      </c>
      <c r="E188" s="5" t="s">
        <v>93</v>
      </c>
      <c r="F188" s="7">
        <f>IF($C188="","",IF('설정'!$B$3=0,"",CHOOSE('설정'!$B$3,SUMIFS('RAW_농산물_7월'!$F:$F,'RAW_농산물_7월'!$D:$D,$C188,'RAW_농산물_7월'!$A:$A,$E188),SUMIFS('RAW_농산물_8월'!$F:$F,'RAW_농산물_8월'!$D:$D,$C188,'RAW_농산물_8월'!$A:$A,$E188),SUMIFS('RAW_농산물_9월'!$F:$F,'RAW_농산물_9월'!$D:$D,$C188,'RAW_농산물_9월'!$A:$A,$E188),SUMIFS('RAW_농산물_10월'!$F:$F,'RAW_농산물_10월'!$D:$D,$C188,'RAW_농산물_10월'!$A:$A,$E188),SUMIFS('RAW_농산물_11-12월'!$F:$F,'RAW_농산물_11-12월'!$D:$D,$C188,'RAW_농산물_11-12월'!$A:$A,$E188))))</f>
        <v>4478</v>
      </c>
      <c r="G188" s="7">
        <f>IF($C188="","",IF('설정'!$B$3=0,"",CHOOSE('설정'!$B$3,SUMIFS('RAW_농산물_7월'!$G:$G,'RAW_농산물_7월'!$D:$D,$C188,'RAW_농산물_7월'!$A:$A,$E188),SUMIFS('RAW_농산물_8월'!$G:$G,'RAW_농산물_8월'!$D:$D,$C188,'RAW_농산물_8월'!$A:$A,$E188),SUMIFS('RAW_농산물_9월'!$G:$G,'RAW_농산물_9월'!$D:$D,$C188,'RAW_농산물_9월'!$A:$A,$E188),SUMIFS('RAW_농산물_10월'!$G:$G,'RAW_농산물_10월'!$D:$D,$C188,'RAW_농산물_10월'!$A:$A,$E188),SUMIFS('RAW_농산물_11-12월'!$G:$G,'RAW_농산물_11-12월'!$D:$D,$C188,'RAW_농산물_11-12월'!$A:$A,$E188))))</f>
        <v>75036380</v>
      </c>
      <c r="H188" s="14">
        <f>IF($C188="","",IF('설정'!$B$3=0,"",CHOOSE('설정'!$B$3,SUMIFS('RAW_농산물_7월'!$H:$H,'RAW_농산물_7월'!$D:$D,$C188,'RAW_농산물_7월'!$A:$A,$E188),SUMIFS('RAW_농산물_8월'!$H:$H,'RAW_농산물_8월'!$D:$D,$C188,'RAW_농산물_8월'!$A:$A,$E188),SUMIFS('RAW_농산물_9월'!$H:$H,'RAW_농산물_9월'!$D:$D,$C188,'RAW_농산물_9월'!$A:$A,$E188),SUMIFS('RAW_농산물_10월'!$H:$H,'RAW_농산물_10월'!$D:$D,$C188,'RAW_농산물_10월'!$A:$A,$E188),SUMIFS('RAW_농산물_11-12월'!$H:$H,'RAW_농산물_11-12월'!$D:$D,$C188,'RAW_농산물_11-12월'!$A:$A,$E188))))</f>
        <v>4887830</v>
      </c>
      <c r="I188" s="17" t="str">
        <f>IF($C188="","",IF(COUNTIFS('RAW_농산물_7월'!$D:$D,$C188,'RAW_농산물_7월'!$A:$A,$E188)&gt;0,"O",""))</f>
        <v>O</v>
      </c>
      <c r="J188" s="17" t="str">
        <f>IF($C188="","",IF(COUNTIFS('RAW_농산물_8월'!$D:$D,$C188,'RAW_농산물_8월'!$A:$A,$E188)&gt;0,"O",""))</f>
        <v>O</v>
      </c>
      <c r="K188" s="17" t="str">
        <f>IF($C188="","",IF(COUNTIFS('RAW_농산물_9월'!$D:$D,$C188,'RAW_농산물_9월'!$A:$A,$E188)&gt;0,"O",""))</f>
        <v/>
      </c>
      <c r="L188" s="17" t="str">
        <f>IF($C188="","",IF(COUNTIFS('RAW_농산물_10월'!$D:$D,$C188,'RAW_농산물_10월'!$A:$A,$E188)&gt;0,"O",""))</f>
        <v/>
      </c>
      <c r="M188" s="17" t="str">
        <f>IF($C188="","",IF(COUNTIFS('RAW_농산물_11-12월'!$D:$D,$C188,'RAW_농산물_11-12월'!$A:$A,$E188)&gt;0,"O",""))</f>
        <v/>
      </c>
      <c r="N188" s="7">
        <f>IF($C188="","",IF(COUNTA('RAW_농산물_7월'!$A:$A)&lt;=1,"",SUMIFS('RAW_농산물_7월'!$H:$H,'RAW_농산물_7월'!$D:$D,$C188,'RAW_농산물_7월'!$A:$A,$E188)))</f>
        <v>0</v>
      </c>
      <c r="O188" s="7">
        <f>IF($C188="","",IF(COUNTA('RAW_농산물_8월'!$A:$A)&lt;=1,"",SUMIFS('RAW_농산물_8월'!$H:$H,'RAW_농산물_8월'!$D:$D,$C188,'RAW_농산물_8월'!$A:$A,$E188)-SUMIFS('RAW_농산물_7월'!$H:$H,'RAW_농산물_7월'!$D:$D,$C188,'RAW_농산물_7월'!$A:$A,$E188)))</f>
        <v>4887830</v>
      </c>
      <c r="P188" s="7" t="str">
        <f>IF($C188="","",IF(COUNTA('RAW_농산물_9월'!$A:$A)&lt;=1,"",SUMIFS('RAW_농산물_9월'!$H:$H,'RAW_농산물_9월'!$D:$D,$C188,'RAW_농산물_9월'!$A:$A,$E188)-SUMIFS('RAW_농산물_8월'!$H:$H,'RAW_농산물_8월'!$D:$D,$C188,'RAW_농산물_8월'!$A:$A,$E188)))</f>
        <v/>
      </c>
      <c r="Q188" s="7" t="str">
        <f>IF($C188="","",IF(COUNTA('RAW_농산물_10월'!$A:$A)&lt;=1,"",SUMIFS('RAW_농산물_10월'!$H:$H,'RAW_농산물_10월'!$D:$D,$C188,'RAW_농산물_10월'!$A:$A,$E188)-SUMIFS('RAW_농산물_9월'!$H:$H,'RAW_농산물_9월'!$D:$D,$C188,'RAW_농산물_9월'!$A:$A,$E188)))</f>
        <v/>
      </c>
      <c r="R188" s="7" t="str">
        <f>IF($C188="","",IF(COUNTA('RAW_농산물_11-12월'!$A:$A)&lt;=1,"",SUMIFS('RAW_농산물_11-12월'!$H:$H,'RAW_농산물_11-12월'!$D:$D,$C188,'RAW_농산물_11-12월'!$A:$A,$E188)-SUMIFS('RAW_농산물_10월'!$H:$H,'RAW_농산물_10월'!$D:$D,$C188,'RAW_농산물_10월'!$A:$A,$E188)))</f>
        <v/>
      </c>
      <c r="S188" s="17" t="str">
        <f t="shared" si="4"/>
        <v>O</v>
      </c>
      <c r="T188" s="17" t="str">
        <f t="shared" si="5"/>
        <v>500만원 미만</v>
      </c>
      <c r="U188" s="7">
        <f>IF($C188="",0,IF('설정'!$B$3=0,0,CHOOSE('설정'!$B$3,COUNTIFS('RAW_농산물_7월'!$D:$D,$C188,'RAW_농산물_7월'!$A:$A,$E188),COUNTIFS('RAW_농산물_8월'!$D:$D,$C188,'RAW_농산물_8월'!$A:$A,$E188),COUNTIFS('RAW_농산물_9월'!$D:$D,$C188,'RAW_농산물_9월'!$A:$A,$E188),COUNTIFS('RAW_농산물_10월'!$D:$D,$C188,'RAW_농산물_10월'!$A:$A,$E188),COUNTIFS('RAW_농산물_11-12월'!$D:$D,$C188,'RAW_농산물_11-12월'!$A:$A,$E188))))</f>
        <v>1</v>
      </c>
    </row>
    <row r="189" ht="15.75" customHeight="1">
      <c r="A189" s="5">
        <v>187.0</v>
      </c>
      <c r="B189" s="5" t="s">
        <v>25</v>
      </c>
      <c r="C189" s="5" t="s">
        <v>896</v>
      </c>
      <c r="D189" s="6" t="s">
        <v>2992</v>
      </c>
      <c r="E189" s="5" t="s">
        <v>28</v>
      </c>
      <c r="F189" s="7">
        <f>IF($C189="","",IF('설정'!$B$3=0,"",CHOOSE('설정'!$B$3,SUMIFS('RAW_농산물_7월'!$F:$F,'RAW_농산물_7월'!$D:$D,$C189,'RAW_농산물_7월'!$A:$A,$E189),SUMIFS('RAW_농산물_8월'!$F:$F,'RAW_농산물_8월'!$D:$D,$C189,'RAW_농산물_8월'!$A:$A,$E189),SUMIFS('RAW_농산물_9월'!$F:$F,'RAW_농산물_9월'!$D:$D,$C189,'RAW_농산물_9월'!$A:$A,$E189),SUMIFS('RAW_농산물_10월'!$F:$F,'RAW_농산물_10월'!$D:$D,$C189,'RAW_농산물_10월'!$A:$A,$E189),SUMIFS('RAW_농산물_11-12월'!$F:$F,'RAW_농산물_11-12월'!$D:$D,$C189,'RAW_농산물_11-12월'!$A:$A,$E189))))</f>
        <v>1152</v>
      </c>
      <c r="G189" s="7">
        <f>IF($C189="","",IF('설정'!$B$3=0,"",CHOOSE('설정'!$B$3,SUMIFS('RAW_농산물_7월'!$G:$G,'RAW_농산물_7월'!$D:$D,$C189,'RAW_농산물_7월'!$A:$A,$E189),SUMIFS('RAW_농산물_8월'!$G:$G,'RAW_농산물_8월'!$D:$D,$C189,'RAW_농산물_8월'!$A:$A,$E189),SUMIFS('RAW_농산물_9월'!$G:$G,'RAW_농산물_9월'!$D:$D,$C189,'RAW_농산물_9월'!$A:$A,$E189),SUMIFS('RAW_농산물_10월'!$G:$G,'RAW_농산물_10월'!$D:$D,$C189,'RAW_농산물_10월'!$A:$A,$E189),SUMIFS('RAW_농산물_11-12월'!$G:$G,'RAW_농산물_11-12월'!$D:$D,$C189,'RAW_농산물_11-12월'!$A:$A,$E189))))</f>
        <v>17550000</v>
      </c>
      <c r="H189" s="14">
        <f>IF($C189="","",IF('설정'!$B$3=0,"",CHOOSE('설정'!$B$3,SUMIFS('RAW_농산물_7월'!$H:$H,'RAW_농산물_7월'!$D:$D,$C189,'RAW_농산물_7월'!$A:$A,$E189),SUMIFS('RAW_농산물_8월'!$H:$H,'RAW_농산물_8월'!$D:$D,$C189,'RAW_농산물_8월'!$A:$A,$E189),SUMIFS('RAW_농산물_9월'!$H:$H,'RAW_농산물_9월'!$D:$D,$C189,'RAW_농산물_9월'!$A:$A,$E189),SUMIFS('RAW_농산물_10월'!$H:$H,'RAW_농산물_10월'!$D:$D,$C189,'RAW_농산물_10월'!$A:$A,$E189),SUMIFS('RAW_농산물_11-12월'!$H:$H,'RAW_농산물_11-12월'!$D:$D,$C189,'RAW_농산물_11-12월'!$A:$A,$E189))))</f>
        <v>2955090</v>
      </c>
      <c r="I189" s="17" t="str">
        <f>IF($C189="","",IF(COUNTIFS('RAW_농산물_7월'!$D:$D,$C189,'RAW_농산물_7월'!$A:$A,$E189)&gt;0,"O",""))</f>
        <v>O</v>
      </c>
      <c r="J189" s="17" t="str">
        <f>IF($C189="","",IF(COUNTIFS('RAW_농산물_8월'!$D:$D,$C189,'RAW_농산물_8월'!$A:$A,$E189)&gt;0,"O",""))</f>
        <v>O</v>
      </c>
      <c r="K189" s="17" t="str">
        <f>IF($C189="","",IF(COUNTIFS('RAW_농산물_9월'!$D:$D,$C189,'RAW_농산물_9월'!$A:$A,$E189)&gt;0,"O",""))</f>
        <v/>
      </c>
      <c r="L189" s="17" t="str">
        <f>IF($C189="","",IF(COUNTIFS('RAW_농산물_10월'!$D:$D,$C189,'RAW_농산물_10월'!$A:$A,$E189)&gt;0,"O",""))</f>
        <v/>
      </c>
      <c r="M189" s="17" t="str">
        <f>IF($C189="","",IF(COUNTIFS('RAW_농산물_11-12월'!$D:$D,$C189,'RAW_농산물_11-12월'!$A:$A,$E189)&gt;0,"O",""))</f>
        <v/>
      </c>
      <c r="N189" s="7">
        <f>IF($C189="","",IF(COUNTA('RAW_농산물_7월'!$A:$A)&lt;=1,"",SUMIFS('RAW_농산물_7월'!$H:$H,'RAW_농산물_7월'!$D:$D,$C189,'RAW_농산물_7월'!$A:$A,$E189)))</f>
        <v>2385200</v>
      </c>
      <c r="O189" s="7">
        <f>IF($C189="","",IF(COUNTA('RAW_농산물_8월'!$A:$A)&lt;=1,"",SUMIFS('RAW_농산물_8월'!$H:$H,'RAW_농산물_8월'!$D:$D,$C189,'RAW_농산물_8월'!$A:$A,$E189)-SUMIFS('RAW_농산물_7월'!$H:$H,'RAW_농산물_7월'!$D:$D,$C189,'RAW_농산물_7월'!$A:$A,$E189)))</f>
        <v>569890</v>
      </c>
      <c r="P189" s="7" t="str">
        <f>IF($C189="","",IF(COUNTA('RAW_농산물_9월'!$A:$A)&lt;=1,"",SUMIFS('RAW_농산물_9월'!$H:$H,'RAW_농산물_9월'!$D:$D,$C189,'RAW_농산물_9월'!$A:$A,$E189)-SUMIFS('RAW_농산물_8월'!$H:$H,'RAW_농산물_8월'!$D:$D,$C189,'RAW_농산물_8월'!$A:$A,$E189)))</f>
        <v/>
      </c>
      <c r="Q189" s="7" t="str">
        <f>IF($C189="","",IF(COUNTA('RAW_농산물_10월'!$A:$A)&lt;=1,"",SUMIFS('RAW_농산물_10월'!$H:$H,'RAW_농산물_10월'!$D:$D,$C189,'RAW_농산물_10월'!$A:$A,$E189)-SUMIFS('RAW_농산물_9월'!$H:$H,'RAW_농산물_9월'!$D:$D,$C189,'RAW_농산물_9월'!$A:$A,$E189)))</f>
        <v/>
      </c>
      <c r="R189" s="7" t="str">
        <f>IF($C189="","",IF(COUNTA('RAW_농산물_11-12월'!$A:$A)&lt;=1,"",SUMIFS('RAW_농산물_11-12월'!$H:$H,'RAW_농산물_11-12월'!$D:$D,$C189,'RAW_농산물_11-12월'!$A:$A,$E189)-SUMIFS('RAW_농산물_10월'!$H:$H,'RAW_농산물_10월'!$D:$D,$C189,'RAW_농산물_10월'!$A:$A,$E189)))</f>
        <v/>
      </c>
      <c r="S189" s="17" t="str">
        <f t="shared" si="4"/>
        <v>O</v>
      </c>
      <c r="T189" s="17" t="str">
        <f t="shared" si="5"/>
        <v>300만원 미만</v>
      </c>
      <c r="U189" s="7">
        <f>IF($C189="",0,IF('설정'!$B$3=0,0,CHOOSE('설정'!$B$3,COUNTIFS('RAW_농산물_7월'!$D:$D,$C189,'RAW_농산물_7월'!$A:$A,$E189),COUNTIFS('RAW_농산물_8월'!$D:$D,$C189,'RAW_농산물_8월'!$A:$A,$E189),COUNTIFS('RAW_농산물_9월'!$D:$D,$C189,'RAW_농산물_9월'!$A:$A,$E189),COUNTIFS('RAW_농산물_10월'!$D:$D,$C189,'RAW_농산물_10월'!$A:$A,$E189),COUNTIFS('RAW_농산물_11-12월'!$D:$D,$C189,'RAW_농산물_11-12월'!$A:$A,$E189))))</f>
        <v>22</v>
      </c>
    </row>
    <row r="190" ht="15.75" customHeight="1">
      <c r="A190" s="5">
        <v>188.0</v>
      </c>
      <c r="B190" s="5" t="s">
        <v>25</v>
      </c>
      <c r="C190" s="5" t="s">
        <v>982</v>
      </c>
      <c r="D190" s="6" t="s">
        <v>981</v>
      </c>
      <c r="E190" s="5" t="s">
        <v>28</v>
      </c>
      <c r="F190" s="7">
        <f>IF($C190="","",IF('설정'!$B$3=0,"",CHOOSE('설정'!$B$3,SUMIFS('RAW_농산물_7월'!$F:$F,'RAW_농산물_7월'!$D:$D,$C190,'RAW_농산물_7월'!$A:$A,$E190),SUMIFS('RAW_농산물_8월'!$F:$F,'RAW_농산물_8월'!$D:$D,$C190,'RAW_농산물_8월'!$A:$A,$E190),SUMIFS('RAW_농산물_9월'!$F:$F,'RAW_농산물_9월'!$D:$D,$C190,'RAW_농산물_9월'!$A:$A,$E190),SUMIFS('RAW_농산물_10월'!$F:$F,'RAW_농산물_10월'!$D:$D,$C190,'RAW_농산물_10월'!$A:$A,$E190),SUMIFS('RAW_농산물_11-12월'!$F:$F,'RAW_농산물_11-12월'!$D:$D,$C190,'RAW_농산물_11-12월'!$A:$A,$E190))))</f>
        <v>0</v>
      </c>
      <c r="G190" s="7">
        <f>IF($C190="","",IF('설정'!$B$3=0,"",CHOOSE('설정'!$B$3,SUMIFS('RAW_농산물_7월'!$G:$G,'RAW_농산물_7월'!$D:$D,$C190,'RAW_농산물_7월'!$A:$A,$E190),SUMIFS('RAW_농산물_8월'!$G:$G,'RAW_농산물_8월'!$D:$D,$C190,'RAW_농산물_8월'!$A:$A,$E190),SUMIFS('RAW_농산물_9월'!$G:$G,'RAW_농산물_9월'!$D:$D,$C190,'RAW_농산물_9월'!$A:$A,$E190),SUMIFS('RAW_농산물_10월'!$G:$G,'RAW_농산물_10월'!$D:$D,$C190,'RAW_농산물_10월'!$A:$A,$E190),SUMIFS('RAW_농산물_11-12월'!$G:$G,'RAW_농산물_11-12월'!$D:$D,$C190,'RAW_농산물_11-12월'!$A:$A,$E190))))</f>
        <v>0</v>
      </c>
      <c r="H190" s="14">
        <f>IF($C190="","",IF('설정'!$B$3=0,"",CHOOSE('설정'!$B$3,SUMIFS('RAW_농산물_7월'!$H:$H,'RAW_농산물_7월'!$D:$D,$C190,'RAW_농산물_7월'!$A:$A,$E190),SUMIFS('RAW_농산물_8월'!$H:$H,'RAW_농산물_8월'!$D:$D,$C190,'RAW_농산물_8월'!$A:$A,$E190),SUMIFS('RAW_농산물_9월'!$H:$H,'RAW_농산물_9월'!$D:$D,$C190,'RAW_농산물_9월'!$A:$A,$E190),SUMIFS('RAW_농산물_10월'!$H:$H,'RAW_농산물_10월'!$D:$D,$C190,'RAW_농산물_10월'!$A:$A,$E190),SUMIFS('RAW_농산물_11-12월'!$H:$H,'RAW_농산물_11-12월'!$D:$D,$C190,'RAW_농산물_11-12월'!$A:$A,$E190))))</f>
        <v>0</v>
      </c>
      <c r="I190" s="17" t="str">
        <f>IF($C190="","",IF(COUNTIFS('RAW_농산물_7월'!$D:$D,$C190,'RAW_농산물_7월'!$A:$A,$E190)&gt;0,"O",""))</f>
        <v>O</v>
      </c>
      <c r="J190" s="17" t="str">
        <f>IF($C190="","",IF(COUNTIFS('RAW_농산물_8월'!$D:$D,$C190,'RAW_농산물_8월'!$A:$A,$E190)&gt;0,"O",""))</f>
        <v>O</v>
      </c>
      <c r="K190" s="17" t="str">
        <f>IF($C190="","",IF(COUNTIFS('RAW_농산물_9월'!$D:$D,$C190,'RAW_농산물_9월'!$A:$A,$E190)&gt;0,"O",""))</f>
        <v/>
      </c>
      <c r="L190" s="17" t="str">
        <f>IF($C190="","",IF(COUNTIFS('RAW_농산물_10월'!$D:$D,$C190,'RAW_농산물_10월'!$A:$A,$E190)&gt;0,"O",""))</f>
        <v/>
      </c>
      <c r="M190" s="17" t="str">
        <f>IF($C190="","",IF(COUNTIFS('RAW_농산물_11-12월'!$D:$D,$C190,'RAW_농산물_11-12월'!$A:$A,$E190)&gt;0,"O",""))</f>
        <v/>
      </c>
      <c r="N190" s="7">
        <f>IF($C190="","",IF(COUNTA('RAW_농산물_7월'!$A:$A)&lt;=1,"",SUMIFS('RAW_농산물_7월'!$H:$H,'RAW_농산물_7월'!$D:$D,$C190,'RAW_농산물_7월'!$A:$A,$E190)))</f>
        <v>0</v>
      </c>
      <c r="O190" s="7">
        <f>IF($C190="","",IF(COUNTA('RAW_농산물_8월'!$A:$A)&lt;=1,"",SUMIFS('RAW_농산물_8월'!$H:$H,'RAW_농산물_8월'!$D:$D,$C190,'RAW_농산물_8월'!$A:$A,$E190)-SUMIFS('RAW_농산물_7월'!$H:$H,'RAW_농산물_7월'!$D:$D,$C190,'RAW_농산물_7월'!$A:$A,$E190)))</f>
        <v>0</v>
      </c>
      <c r="P190" s="7" t="str">
        <f>IF($C190="","",IF(COUNTA('RAW_농산물_9월'!$A:$A)&lt;=1,"",SUMIFS('RAW_농산물_9월'!$H:$H,'RAW_농산물_9월'!$D:$D,$C190,'RAW_농산물_9월'!$A:$A,$E190)-SUMIFS('RAW_농산물_8월'!$H:$H,'RAW_농산물_8월'!$D:$D,$C190,'RAW_농산물_8월'!$A:$A,$E190)))</f>
        <v/>
      </c>
      <c r="Q190" s="7" t="str">
        <f>IF($C190="","",IF(COUNTA('RAW_농산물_10월'!$A:$A)&lt;=1,"",SUMIFS('RAW_농산물_10월'!$H:$H,'RAW_농산물_10월'!$D:$D,$C190,'RAW_농산물_10월'!$A:$A,$E190)-SUMIFS('RAW_농산물_9월'!$H:$H,'RAW_농산물_9월'!$D:$D,$C190,'RAW_농산물_9월'!$A:$A,$E190)))</f>
        <v/>
      </c>
      <c r="R190" s="7" t="str">
        <f>IF($C190="","",IF(COUNTA('RAW_농산물_11-12월'!$A:$A)&lt;=1,"",SUMIFS('RAW_농산물_11-12월'!$H:$H,'RAW_농산물_11-12월'!$D:$D,$C190,'RAW_농산물_11-12월'!$A:$A,$E190)-SUMIFS('RAW_농산물_10월'!$H:$H,'RAW_농산물_10월'!$D:$D,$C190,'RAW_농산물_10월'!$A:$A,$E190)))</f>
        <v/>
      </c>
      <c r="S190" s="17" t="str">
        <f t="shared" si="4"/>
        <v>O</v>
      </c>
      <c r="T190" s="17" t="str">
        <f t="shared" si="5"/>
        <v>미사용</v>
      </c>
      <c r="U190" s="7">
        <f>IF($C190="",0,IF('설정'!$B$3=0,0,CHOOSE('설정'!$B$3,COUNTIFS('RAW_농산물_7월'!$D:$D,$C190,'RAW_농산물_7월'!$A:$A,$E190),COUNTIFS('RAW_농산물_8월'!$D:$D,$C190,'RAW_농산물_8월'!$A:$A,$E190),COUNTIFS('RAW_농산물_9월'!$D:$D,$C190,'RAW_농산물_9월'!$A:$A,$E190),COUNTIFS('RAW_농산물_10월'!$D:$D,$C190,'RAW_농산물_10월'!$A:$A,$E190),COUNTIFS('RAW_농산물_11-12월'!$D:$D,$C190,'RAW_농산물_11-12월'!$A:$A,$E190))))</f>
        <v>1</v>
      </c>
    </row>
    <row r="191" ht="15.75" customHeight="1">
      <c r="A191" s="5">
        <v>189.0</v>
      </c>
      <c r="B191" s="5" t="s">
        <v>108</v>
      </c>
      <c r="C191" s="5" t="s">
        <v>2993</v>
      </c>
      <c r="D191" s="6" t="s">
        <v>2994</v>
      </c>
      <c r="E191" s="5" t="s">
        <v>92</v>
      </c>
      <c r="F191" s="7">
        <f>IF($C191="","",IF('설정'!$B$3=0,"",CHOOSE('설정'!$B$3,SUMIFS('RAW_농산물_7월'!$F:$F,'RAW_농산물_7월'!$D:$D,$C191,'RAW_농산물_7월'!$A:$A,$E191),SUMIFS('RAW_농산물_8월'!$F:$F,'RAW_농산물_8월'!$D:$D,$C191,'RAW_농산물_8월'!$A:$A,$E191),SUMIFS('RAW_농산물_9월'!$F:$F,'RAW_농산물_9월'!$D:$D,$C191,'RAW_농산물_9월'!$A:$A,$E191),SUMIFS('RAW_농산물_10월'!$F:$F,'RAW_농산물_10월'!$D:$D,$C191,'RAW_농산물_10월'!$A:$A,$E191),SUMIFS('RAW_농산물_11-12월'!$F:$F,'RAW_농산물_11-12월'!$D:$D,$C191,'RAW_농산물_11-12월'!$A:$A,$E191))))</f>
        <v>0</v>
      </c>
      <c r="G191" s="7">
        <f>IF($C191="","",IF('설정'!$B$3=0,"",CHOOSE('설정'!$B$3,SUMIFS('RAW_농산물_7월'!$G:$G,'RAW_농산물_7월'!$D:$D,$C191,'RAW_농산물_7월'!$A:$A,$E191),SUMIFS('RAW_농산물_8월'!$G:$G,'RAW_농산물_8월'!$D:$D,$C191,'RAW_농산물_8월'!$A:$A,$E191),SUMIFS('RAW_농산물_9월'!$G:$G,'RAW_농산물_9월'!$D:$D,$C191,'RAW_농산물_9월'!$A:$A,$E191),SUMIFS('RAW_농산물_10월'!$G:$G,'RAW_농산물_10월'!$D:$D,$C191,'RAW_농산물_10월'!$A:$A,$E191),SUMIFS('RAW_농산물_11-12월'!$G:$G,'RAW_농산물_11-12월'!$D:$D,$C191,'RAW_농산물_11-12월'!$A:$A,$E191))))</f>
        <v>0</v>
      </c>
      <c r="H191" s="14">
        <f>IF($C191="","",IF('설정'!$B$3=0,"",CHOOSE('설정'!$B$3,SUMIFS('RAW_농산물_7월'!$H:$H,'RAW_농산물_7월'!$D:$D,$C191,'RAW_농산물_7월'!$A:$A,$E191),SUMIFS('RAW_농산물_8월'!$H:$H,'RAW_농산물_8월'!$D:$D,$C191,'RAW_농산물_8월'!$A:$A,$E191),SUMIFS('RAW_농산물_9월'!$H:$H,'RAW_농산물_9월'!$D:$D,$C191,'RAW_농산물_9월'!$A:$A,$E191),SUMIFS('RAW_농산물_10월'!$H:$H,'RAW_농산물_10월'!$D:$D,$C191,'RAW_농산물_10월'!$A:$A,$E191),SUMIFS('RAW_농산물_11-12월'!$H:$H,'RAW_농산물_11-12월'!$D:$D,$C191,'RAW_농산물_11-12월'!$A:$A,$E191))))</f>
        <v>0</v>
      </c>
      <c r="I191" s="17" t="str">
        <f>IF($C191="","",IF(COUNTIFS('RAW_농산물_7월'!$D:$D,$C191,'RAW_농산물_7월'!$A:$A,$E191)&gt;0,"O",""))</f>
        <v/>
      </c>
      <c r="J191" s="17" t="str">
        <f>IF($C191="","",IF(COUNTIFS('RAW_농산물_8월'!$D:$D,$C191,'RAW_농산물_8월'!$A:$A,$E191)&gt;0,"O",""))</f>
        <v/>
      </c>
      <c r="K191" s="17" t="str">
        <f>IF($C191="","",IF(COUNTIFS('RAW_농산물_9월'!$D:$D,$C191,'RAW_농산물_9월'!$A:$A,$E191)&gt;0,"O",""))</f>
        <v/>
      </c>
      <c r="L191" s="17" t="str">
        <f>IF($C191="","",IF(COUNTIFS('RAW_농산물_10월'!$D:$D,$C191,'RAW_농산물_10월'!$A:$A,$E191)&gt;0,"O",""))</f>
        <v/>
      </c>
      <c r="M191" s="17" t="str">
        <f>IF($C191="","",IF(COUNTIFS('RAW_농산물_11-12월'!$D:$D,$C191,'RAW_농산물_11-12월'!$A:$A,$E191)&gt;0,"O",""))</f>
        <v/>
      </c>
      <c r="N191" s="7">
        <f>IF($C191="","",IF(COUNTA('RAW_농산물_7월'!$A:$A)&lt;=1,"",SUMIFS('RAW_농산물_7월'!$H:$H,'RAW_농산물_7월'!$D:$D,$C191,'RAW_농산물_7월'!$A:$A,$E191)))</f>
        <v>0</v>
      </c>
      <c r="O191" s="7">
        <f>IF($C191="","",IF(COUNTA('RAW_농산물_8월'!$A:$A)&lt;=1,"",SUMIFS('RAW_농산물_8월'!$H:$H,'RAW_농산물_8월'!$D:$D,$C191,'RAW_농산물_8월'!$A:$A,$E191)-SUMIFS('RAW_농산물_7월'!$H:$H,'RAW_농산물_7월'!$D:$D,$C191,'RAW_농산물_7월'!$A:$A,$E191)))</f>
        <v>0</v>
      </c>
      <c r="P191" s="7" t="str">
        <f>IF($C191="","",IF(COUNTA('RAW_농산물_9월'!$A:$A)&lt;=1,"",SUMIFS('RAW_농산물_9월'!$H:$H,'RAW_농산물_9월'!$D:$D,$C191,'RAW_농산물_9월'!$A:$A,$E191)-SUMIFS('RAW_농산물_8월'!$H:$H,'RAW_농산물_8월'!$D:$D,$C191,'RAW_농산물_8월'!$A:$A,$E191)))</f>
        <v/>
      </c>
      <c r="Q191" s="7" t="str">
        <f>IF($C191="","",IF(COUNTA('RAW_농산물_10월'!$A:$A)&lt;=1,"",SUMIFS('RAW_농산물_10월'!$H:$H,'RAW_농산물_10월'!$D:$D,$C191,'RAW_농산물_10월'!$A:$A,$E191)-SUMIFS('RAW_농산물_9월'!$H:$H,'RAW_농산물_9월'!$D:$D,$C191,'RAW_농산물_9월'!$A:$A,$E191)))</f>
        <v/>
      </c>
      <c r="R191" s="7" t="str">
        <f>IF($C191="","",IF(COUNTA('RAW_농산물_11-12월'!$A:$A)&lt;=1,"",SUMIFS('RAW_농산물_11-12월'!$H:$H,'RAW_농산물_11-12월'!$D:$D,$C191,'RAW_농산물_11-12월'!$A:$A,$E191)-SUMIFS('RAW_농산물_10월'!$H:$H,'RAW_농산물_10월'!$D:$D,$C191,'RAW_농산물_10월'!$A:$A,$E191)))</f>
        <v/>
      </c>
      <c r="S191" s="17" t="str">
        <f t="shared" si="4"/>
        <v/>
      </c>
      <c r="T191" s="17" t="str">
        <f t="shared" si="5"/>
        <v>미사용</v>
      </c>
      <c r="U191" s="7">
        <f>IF($C191="",0,IF('설정'!$B$3=0,0,CHOOSE('설정'!$B$3,COUNTIFS('RAW_농산물_7월'!$D:$D,$C191,'RAW_농산물_7월'!$A:$A,$E191),COUNTIFS('RAW_농산물_8월'!$D:$D,$C191,'RAW_농산물_8월'!$A:$A,$E191),COUNTIFS('RAW_농산물_9월'!$D:$D,$C191,'RAW_농산물_9월'!$A:$A,$E191),COUNTIFS('RAW_농산물_10월'!$D:$D,$C191,'RAW_농산물_10월'!$A:$A,$E191),COUNTIFS('RAW_농산물_11-12월'!$D:$D,$C191,'RAW_농산물_11-12월'!$A:$A,$E191))))</f>
        <v>0</v>
      </c>
    </row>
    <row r="192" ht="15.75" customHeight="1">
      <c r="A192" s="5">
        <v>190.0</v>
      </c>
      <c r="B192" s="5" t="s">
        <v>25</v>
      </c>
      <c r="C192" s="5" t="s">
        <v>1897</v>
      </c>
      <c r="D192" s="6" t="s">
        <v>2995</v>
      </c>
      <c r="E192" s="5" t="s">
        <v>28</v>
      </c>
      <c r="F192" s="7">
        <f>IF($C192="","",IF('설정'!$B$3=0,"",CHOOSE('설정'!$B$3,SUMIFS('RAW_농산물_7월'!$F:$F,'RAW_농산물_7월'!$D:$D,$C192,'RAW_농산물_7월'!$A:$A,$E192),SUMIFS('RAW_농산물_8월'!$F:$F,'RAW_농산물_8월'!$D:$D,$C192,'RAW_농산물_8월'!$A:$A,$E192),SUMIFS('RAW_농산물_9월'!$F:$F,'RAW_농산물_9월'!$D:$D,$C192,'RAW_농산물_9월'!$A:$A,$E192),SUMIFS('RAW_농산물_10월'!$F:$F,'RAW_농산물_10월'!$D:$D,$C192,'RAW_농산물_10월'!$A:$A,$E192),SUMIFS('RAW_농산물_11-12월'!$F:$F,'RAW_농산물_11-12월'!$D:$D,$C192,'RAW_농산물_11-12월'!$A:$A,$E192))))</f>
        <v>4</v>
      </c>
      <c r="G192" s="7">
        <f>IF($C192="","",IF('설정'!$B$3=0,"",CHOOSE('설정'!$B$3,SUMIFS('RAW_농산물_7월'!$G:$G,'RAW_농산물_7월'!$D:$D,$C192,'RAW_농산물_7월'!$A:$A,$E192),SUMIFS('RAW_농산물_8월'!$G:$G,'RAW_농산물_8월'!$D:$D,$C192,'RAW_농산물_8월'!$A:$A,$E192),SUMIFS('RAW_농산물_9월'!$G:$G,'RAW_농산물_9월'!$D:$D,$C192,'RAW_농산물_9월'!$A:$A,$E192),SUMIFS('RAW_농산물_10월'!$G:$G,'RAW_농산물_10월'!$D:$D,$C192,'RAW_농산물_10월'!$A:$A,$E192),SUMIFS('RAW_농산물_11-12월'!$G:$G,'RAW_농산물_11-12월'!$D:$D,$C192,'RAW_농산물_11-12월'!$A:$A,$E192))))</f>
        <v>172000</v>
      </c>
      <c r="H192" s="14">
        <f>IF($C192="","",IF('설정'!$B$3=0,"",CHOOSE('설정'!$B$3,SUMIFS('RAW_농산물_7월'!$H:$H,'RAW_농산물_7월'!$D:$D,$C192,'RAW_농산물_7월'!$A:$A,$E192),SUMIFS('RAW_농산물_8월'!$H:$H,'RAW_농산물_8월'!$D:$D,$C192,'RAW_농산물_8월'!$A:$A,$E192),SUMIFS('RAW_농산물_9월'!$H:$H,'RAW_농산물_9월'!$D:$D,$C192,'RAW_농산물_9월'!$A:$A,$E192),SUMIFS('RAW_농산물_10월'!$H:$H,'RAW_농산물_10월'!$D:$D,$C192,'RAW_농산물_10월'!$A:$A,$E192),SUMIFS('RAW_농산물_11-12월'!$H:$H,'RAW_농산물_11-12월'!$D:$D,$C192,'RAW_농산물_11-12월'!$A:$A,$E192))))</f>
        <v>31660</v>
      </c>
      <c r="I192" s="17" t="str">
        <f>IF($C192="","",IF(COUNTIFS('RAW_농산물_7월'!$D:$D,$C192,'RAW_농산물_7월'!$A:$A,$E192)&gt;0,"O",""))</f>
        <v/>
      </c>
      <c r="J192" s="17" t="str">
        <f>IF($C192="","",IF(COUNTIFS('RAW_농산물_8월'!$D:$D,$C192,'RAW_농산물_8월'!$A:$A,$E192)&gt;0,"O",""))</f>
        <v>O</v>
      </c>
      <c r="K192" s="17" t="str">
        <f>IF($C192="","",IF(COUNTIFS('RAW_농산물_9월'!$D:$D,$C192,'RAW_농산물_9월'!$A:$A,$E192)&gt;0,"O",""))</f>
        <v/>
      </c>
      <c r="L192" s="17" t="str">
        <f>IF($C192="","",IF(COUNTIFS('RAW_농산물_10월'!$D:$D,$C192,'RAW_농산물_10월'!$A:$A,$E192)&gt;0,"O",""))</f>
        <v/>
      </c>
      <c r="M192" s="17" t="str">
        <f>IF($C192="","",IF(COUNTIFS('RAW_농산물_11-12월'!$D:$D,$C192,'RAW_농산물_11-12월'!$A:$A,$E192)&gt;0,"O",""))</f>
        <v/>
      </c>
      <c r="N192" s="7">
        <f>IF($C192="","",IF(COUNTA('RAW_농산물_7월'!$A:$A)&lt;=1,"",SUMIFS('RAW_농산물_7월'!$H:$H,'RAW_농산물_7월'!$D:$D,$C192,'RAW_농산물_7월'!$A:$A,$E192)))</f>
        <v>0</v>
      </c>
      <c r="O192" s="7">
        <f>IF($C192="","",IF(COUNTA('RAW_농산물_8월'!$A:$A)&lt;=1,"",SUMIFS('RAW_농산물_8월'!$H:$H,'RAW_농산물_8월'!$D:$D,$C192,'RAW_농산물_8월'!$A:$A,$E192)-SUMIFS('RAW_농산물_7월'!$H:$H,'RAW_농산물_7월'!$D:$D,$C192,'RAW_농산물_7월'!$A:$A,$E192)))</f>
        <v>31660</v>
      </c>
      <c r="P192" s="7" t="str">
        <f>IF($C192="","",IF(COUNTA('RAW_농산물_9월'!$A:$A)&lt;=1,"",SUMIFS('RAW_농산물_9월'!$H:$H,'RAW_농산물_9월'!$D:$D,$C192,'RAW_농산물_9월'!$A:$A,$E192)-SUMIFS('RAW_농산물_8월'!$H:$H,'RAW_농산물_8월'!$D:$D,$C192,'RAW_농산물_8월'!$A:$A,$E192)))</f>
        <v/>
      </c>
      <c r="Q192" s="7" t="str">
        <f>IF($C192="","",IF(COUNTA('RAW_농산물_10월'!$A:$A)&lt;=1,"",SUMIFS('RAW_농산물_10월'!$H:$H,'RAW_농산물_10월'!$D:$D,$C192,'RAW_농산물_10월'!$A:$A,$E192)-SUMIFS('RAW_농산물_9월'!$H:$H,'RAW_농산물_9월'!$D:$D,$C192,'RAW_농산물_9월'!$A:$A,$E192)))</f>
        <v/>
      </c>
      <c r="R192" s="7" t="str">
        <f>IF($C192="","",IF(COUNTA('RAW_농산물_11-12월'!$A:$A)&lt;=1,"",SUMIFS('RAW_농산물_11-12월'!$H:$H,'RAW_농산물_11-12월'!$D:$D,$C192,'RAW_농산물_11-12월'!$A:$A,$E192)-SUMIFS('RAW_농산물_10월'!$H:$H,'RAW_농산물_10월'!$D:$D,$C192,'RAW_농산물_10월'!$A:$A,$E192)))</f>
        <v/>
      </c>
      <c r="S192" s="17" t="str">
        <f t="shared" si="4"/>
        <v>O</v>
      </c>
      <c r="T192" s="17" t="str">
        <f t="shared" si="5"/>
        <v>50만원 미만</v>
      </c>
      <c r="U192" s="7">
        <f>IF($C192="",0,IF('설정'!$B$3=0,0,CHOOSE('설정'!$B$3,COUNTIFS('RAW_농산물_7월'!$D:$D,$C192,'RAW_농산물_7월'!$A:$A,$E192),COUNTIFS('RAW_농산물_8월'!$D:$D,$C192,'RAW_농산물_8월'!$A:$A,$E192),COUNTIFS('RAW_농산물_9월'!$D:$D,$C192,'RAW_농산물_9월'!$A:$A,$E192),COUNTIFS('RAW_농산물_10월'!$D:$D,$C192,'RAW_농산물_10월'!$A:$A,$E192),COUNTIFS('RAW_농산물_11-12월'!$D:$D,$C192,'RAW_농산물_11-12월'!$A:$A,$E192))))</f>
        <v>11</v>
      </c>
    </row>
    <row r="193" ht="15.75" customHeight="1">
      <c r="A193" s="5">
        <v>191.0</v>
      </c>
      <c r="B193" s="5" t="s">
        <v>25</v>
      </c>
      <c r="C193" s="5" t="s">
        <v>1253</v>
      </c>
      <c r="D193" s="6" t="s">
        <v>1252</v>
      </c>
      <c r="E193" s="5" t="s">
        <v>94</v>
      </c>
      <c r="F193" s="7">
        <f>IF($C193="","",IF('설정'!$B$3=0,"",CHOOSE('설정'!$B$3,SUMIFS('RAW_농산물_7월'!$F:$F,'RAW_농산물_7월'!$D:$D,$C193,'RAW_농산물_7월'!$A:$A,$E193),SUMIFS('RAW_농산물_8월'!$F:$F,'RAW_농산물_8월'!$D:$D,$C193,'RAW_농산물_8월'!$A:$A,$E193),SUMIFS('RAW_농산물_9월'!$F:$F,'RAW_농산물_9월'!$D:$D,$C193,'RAW_농산물_9월'!$A:$A,$E193),SUMIFS('RAW_농산물_10월'!$F:$F,'RAW_농산물_10월'!$D:$D,$C193,'RAW_농산물_10월'!$A:$A,$E193),SUMIFS('RAW_농산물_11-12월'!$F:$F,'RAW_농산물_11-12월'!$D:$D,$C193,'RAW_농산물_11-12월'!$A:$A,$E193))))</f>
        <v>9</v>
      </c>
      <c r="G193" s="7">
        <f>IF($C193="","",IF('설정'!$B$3=0,"",CHOOSE('설정'!$B$3,SUMIFS('RAW_농산물_7월'!$G:$G,'RAW_농산물_7월'!$D:$D,$C193,'RAW_농산물_7월'!$A:$A,$E193),SUMIFS('RAW_농산물_8월'!$G:$G,'RAW_농산물_8월'!$D:$D,$C193,'RAW_농산물_8월'!$A:$A,$E193),SUMIFS('RAW_농산물_9월'!$G:$G,'RAW_농산물_9월'!$D:$D,$C193,'RAW_농산물_9월'!$A:$A,$E193),SUMIFS('RAW_농산물_10월'!$G:$G,'RAW_농산물_10월'!$D:$D,$C193,'RAW_농산물_10월'!$A:$A,$E193),SUMIFS('RAW_농산물_11-12월'!$G:$G,'RAW_농산물_11-12월'!$D:$D,$C193,'RAW_농산물_11-12월'!$A:$A,$E193))))</f>
        <v>342100</v>
      </c>
      <c r="H193" s="14">
        <f>IF($C193="","",IF('설정'!$B$3=0,"",CHOOSE('설정'!$B$3,SUMIFS('RAW_농산물_7월'!$H:$H,'RAW_농산물_7월'!$D:$D,$C193,'RAW_농산물_7월'!$A:$A,$E193),SUMIFS('RAW_농산물_8월'!$H:$H,'RAW_농산물_8월'!$D:$D,$C193,'RAW_농산물_8월'!$A:$A,$E193),SUMIFS('RAW_농산물_9월'!$H:$H,'RAW_농산물_9월'!$D:$D,$C193,'RAW_농산물_9월'!$A:$A,$E193),SUMIFS('RAW_농산물_10월'!$H:$H,'RAW_농산물_10월'!$D:$D,$C193,'RAW_농산물_10월'!$A:$A,$E193),SUMIFS('RAW_농산물_11-12월'!$H:$H,'RAW_농산물_11-12월'!$D:$D,$C193,'RAW_농산물_11-12월'!$A:$A,$E193))))</f>
        <v>41960</v>
      </c>
      <c r="I193" s="17" t="str">
        <f>IF($C193="","",IF(COUNTIFS('RAW_농산물_7월'!$D:$D,$C193,'RAW_농산물_7월'!$A:$A,$E193)&gt;0,"O",""))</f>
        <v>O</v>
      </c>
      <c r="J193" s="17" t="str">
        <f>IF($C193="","",IF(COUNTIFS('RAW_농산물_8월'!$D:$D,$C193,'RAW_농산물_8월'!$A:$A,$E193)&gt;0,"O",""))</f>
        <v>O</v>
      </c>
      <c r="K193" s="17" t="str">
        <f>IF($C193="","",IF(COUNTIFS('RAW_농산물_9월'!$D:$D,$C193,'RAW_농산물_9월'!$A:$A,$E193)&gt;0,"O",""))</f>
        <v/>
      </c>
      <c r="L193" s="17" t="str">
        <f>IF($C193="","",IF(COUNTIFS('RAW_농산물_10월'!$D:$D,$C193,'RAW_농산물_10월'!$A:$A,$E193)&gt;0,"O",""))</f>
        <v/>
      </c>
      <c r="M193" s="17" t="str">
        <f>IF($C193="","",IF(COUNTIFS('RAW_농산물_11-12월'!$D:$D,$C193,'RAW_농산물_11-12월'!$A:$A,$E193)&gt;0,"O",""))</f>
        <v/>
      </c>
      <c r="N193" s="7">
        <f>IF($C193="","",IF(COUNTA('RAW_농산물_7월'!$A:$A)&lt;=1,"",SUMIFS('RAW_농산물_7월'!$H:$H,'RAW_농산물_7월'!$D:$D,$C193,'RAW_농산물_7월'!$A:$A,$E193)))</f>
        <v>37740</v>
      </c>
      <c r="O193" s="7">
        <f>IF($C193="","",IF(COUNTA('RAW_농산물_8월'!$A:$A)&lt;=1,"",SUMIFS('RAW_농산물_8월'!$H:$H,'RAW_농산물_8월'!$D:$D,$C193,'RAW_농산물_8월'!$A:$A,$E193)-SUMIFS('RAW_농산물_7월'!$H:$H,'RAW_농산물_7월'!$D:$D,$C193,'RAW_농산물_7월'!$A:$A,$E193)))</f>
        <v>4220</v>
      </c>
      <c r="P193" s="7" t="str">
        <f>IF($C193="","",IF(COUNTA('RAW_농산물_9월'!$A:$A)&lt;=1,"",SUMIFS('RAW_농산물_9월'!$H:$H,'RAW_농산물_9월'!$D:$D,$C193,'RAW_농산물_9월'!$A:$A,$E193)-SUMIFS('RAW_농산물_8월'!$H:$H,'RAW_농산물_8월'!$D:$D,$C193,'RAW_농산물_8월'!$A:$A,$E193)))</f>
        <v/>
      </c>
      <c r="Q193" s="7" t="str">
        <f>IF($C193="","",IF(COUNTA('RAW_농산물_10월'!$A:$A)&lt;=1,"",SUMIFS('RAW_농산물_10월'!$H:$H,'RAW_농산물_10월'!$D:$D,$C193,'RAW_농산물_10월'!$A:$A,$E193)-SUMIFS('RAW_농산물_9월'!$H:$H,'RAW_농산물_9월'!$D:$D,$C193,'RAW_농산물_9월'!$A:$A,$E193)))</f>
        <v/>
      </c>
      <c r="R193" s="7" t="str">
        <f>IF($C193="","",IF(COUNTA('RAW_농산물_11-12월'!$A:$A)&lt;=1,"",SUMIFS('RAW_농산물_11-12월'!$H:$H,'RAW_농산물_11-12월'!$D:$D,$C193,'RAW_농산물_11-12월'!$A:$A,$E193)-SUMIFS('RAW_농산물_10월'!$H:$H,'RAW_농산물_10월'!$D:$D,$C193,'RAW_농산물_10월'!$A:$A,$E193)))</f>
        <v/>
      </c>
      <c r="S193" s="17" t="str">
        <f t="shared" si="4"/>
        <v>O</v>
      </c>
      <c r="T193" s="17" t="str">
        <f t="shared" si="5"/>
        <v>50만원 미만</v>
      </c>
      <c r="U193" s="7">
        <f>IF($C193="",0,IF('설정'!$B$3=0,0,CHOOSE('설정'!$B$3,COUNTIFS('RAW_농산물_7월'!$D:$D,$C193,'RAW_농산물_7월'!$A:$A,$E193),COUNTIFS('RAW_농산물_8월'!$D:$D,$C193,'RAW_농산물_8월'!$A:$A,$E193),COUNTIFS('RAW_농산물_9월'!$D:$D,$C193,'RAW_농산물_9월'!$A:$A,$E193),COUNTIFS('RAW_농산물_10월'!$D:$D,$C193,'RAW_농산물_10월'!$A:$A,$E193),COUNTIFS('RAW_농산물_11-12월'!$D:$D,$C193,'RAW_농산물_11-12월'!$A:$A,$E193))))</f>
        <v>1</v>
      </c>
    </row>
    <row r="194" ht="15.75" customHeight="1">
      <c r="A194" s="5">
        <v>192.0</v>
      </c>
      <c r="B194" s="5" t="s">
        <v>108</v>
      </c>
      <c r="C194" s="5" t="s">
        <v>2996</v>
      </c>
      <c r="D194" s="6" t="s">
        <v>2997</v>
      </c>
      <c r="E194" s="5" t="s">
        <v>92</v>
      </c>
      <c r="F194" s="7">
        <f>IF($C194="","",IF('설정'!$B$3=0,"",CHOOSE('설정'!$B$3,SUMIFS('RAW_농산물_7월'!$F:$F,'RAW_농산물_7월'!$D:$D,$C194,'RAW_농산물_7월'!$A:$A,$E194),SUMIFS('RAW_농산물_8월'!$F:$F,'RAW_농산물_8월'!$D:$D,$C194,'RAW_농산물_8월'!$A:$A,$E194),SUMIFS('RAW_농산물_9월'!$F:$F,'RAW_농산물_9월'!$D:$D,$C194,'RAW_농산물_9월'!$A:$A,$E194),SUMIFS('RAW_농산물_10월'!$F:$F,'RAW_농산물_10월'!$D:$D,$C194,'RAW_농산물_10월'!$A:$A,$E194),SUMIFS('RAW_농산물_11-12월'!$F:$F,'RAW_농산물_11-12월'!$D:$D,$C194,'RAW_농산물_11-12월'!$A:$A,$E194))))</f>
        <v>0</v>
      </c>
      <c r="G194" s="7">
        <f>IF($C194="","",IF('설정'!$B$3=0,"",CHOOSE('설정'!$B$3,SUMIFS('RAW_농산물_7월'!$G:$G,'RAW_농산물_7월'!$D:$D,$C194,'RAW_농산물_7월'!$A:$A,$E194),SUMIFS('RAW_농산물_8월'!$G:$G,'RAW_농산물_8월'!$D:$D,$C194,'RAW_농산물_8월'!$A:$A,$E194),SUMIFS('RAW_농산물_9월'!$G:$G,'RAW_농산물_9월'!$D:$D,$C194,'RAW_농산물_9월'!$A:$A,$E194),SUMIFS('RAW_농산물_10월'!$G:$G,'RAW_농산물_10월'!$D:$D,$C194,'RAW_농산물_10월'!$A:$A,$E194),SUMIFS('RAW_농산물_11-12월'!$G:$G,'RAW_농산물_11-12월'!$D:$D,$C194,'RAW_농산물_11-12월'!$A:$A,$E194))))</f>
        <v>0</v>
      </c>
      <c r="H194" s="14">
        <f>IF($C194="","",IF('설정'!$B$3=0,"",CHOOSE('설정'!$B$3,SUMIFS('RAW_농산물_7월'!$H:$H,'RAW_농산물_7월'!$D:$D,$C194,'RAW_농산물_7월'!$A:$A,$E194),SUMIFS('RAW_농산물_8월'!$H:$H,'RAW_농산물_8월'!$D:$D,$C194,'RAW_농산물_8월'!$A:$A,$E194),SUMIFS('RAW_농산물_9월'!$H:$H,'RAW_농산물_9월'!$D:$D,$C194,'RAW_농산물_9월'!$A:$A,$E194),SUMIFS('RAW_농산물_10월'!$H:$H,'RAW_농산물_10월'!$D:$D,$C194,'RAW_농산물_10월'!$A:$A,$E194),SUMIFS('RAW_농산물_11-12월'!$H:$H,'RAW_농산물_11-12월'!$D:$D,$C194,'RAW_농산물_11-12월'!$A:$A,$E194))))</f>
        <v>0</v>
      </c>
      <c r="I194" s="17" t="str">
        <f>IF($C194="","",IF(COUNTIFS('RAW_농산물_7월'!$D:$D,$C194,'RAW_농산물_7월'!$A:$A,$E194)&gt;0,"O",""))</f>
        <v/>
      </c>
      <c r="J194" s="17" t="str">
        <f>IF($C194="","",IF(COUNTIFS('RAW_농산물_8월'!$D:$D,$C194,'RAW_농산물_8월'!$A:$A,$E194)&gt;0,"O",""))</f>
        <v/>
      </c>
      <c r="K194" s="17" t="str">
        <f>IF($C194="","",IF(COUNTIFS('RAW_농산물_9월'!$D:$D,$C194,'RAW_농산물_9월'!$A:$A,$E194)&gt;0,"O",""))</f>
        <v/>
      </c>
      <c r="L194" s="17" t="str">
        <f>IF($C194="","",IF(COUNTIFS('RAW_농산물_10월'!$D:$D,$C194,'RAW_농산물_10월'!$A:$A,$E194)&gt;0,"O",""))</f>
        <v/>
      </c>
      <c r="M194" s="17" t="str">
        <f>IF($C194="","",IF(COUNTIFS('RAW_농산물_11-12월'!$D:$D,$C194,'RAW_농산물_11-12월'!$A:$A,$E194)&gt;0,"O",""))</f>
        <v/>
      </c>
      <c r="N194" s="7">
        <f>IF($C194="","",IF(COUNTA('RAW_농산물_7월'!$A:$A)&lt;=1,"",SUMIFS('RAW_농산물_7월'!$H:$H,'RAW_농산물_7월'!$D:$D,$C194,'RAW_농산물_7월'!$A:$A,$E194)))</f>
        <v>0</v>
      </c>
      <c r="O194" s="7">
        <f>IF($C194="","",IF(COUNTA('RAW_농산물_8월'!$A:$A)&lt;=1,"",SUMIFS('RAW_농산물_8월'!$H:$H,'RAW_농산물_8월'!$D:$D,$C194,'RAW_농산물_8월'!$A:$A,$E194)-SUMIFS('RAW_농산물_7월'!$H:$H,'RAW_농산물_7월'!$D:$D,$C194,'RAW_농산물_7월'!$A:$A,$E194)))</f>
        <v>0</v>
      </c>
      <c r="P194" s="7" t="str">
        <f>IF($C194="","",IF(COUNTA('RAW_농산물_9월'!$A:$A)&lt;=1,"",SUMIFS('RAW_농산물_9월'!$H:$H,'RAW_농산물_9월'!$D:$D,$C194,'RAW_농산물_9월'!$A:$A,$E194)-SUMIFS('RAW_농산물_8월'!$H:$H,'RAW_농산물_8월'!$D:$D,$C194,'RAW_농산물_8월'!$A:$A,$E194)))</f>
        <v/>
      </c>
      <c r="Q194" s="7" t="str">
        <f>IF($C194="","",IF(COUNTA('RAW_농산물_10월'!$A:$A)&lt;=1,"",SUMIFS('RAW_농산물_10월'!$H:$H,'RAW_농산물_10월'!$D:$D,$C194,'RAW_농산물_10월'!$A:$A,$E194)-SUMIFS('RAW_농산물_9월'!$H:$H,'RAW_농산물_9월'!$D:$D,$C194,'RAW_농산물_9월'!$A:$A,$E194)))</f>
        <v/>
      </c>
      <c r="R194" s="7" t="str">
        <f>IF($C194="","",IF(COUNTA('RAW_농산물_11-12월'!$A:$A)&lt;=1,"",SUMIFS('RAW_농산물_11-12월'!$H:$H,'RAW_농산물_11-12월'!$D:$D,$C194,'RAW_농산물_11-12월'!$A:$A,$E194)-SUMIFS('RAW_농산물_10월'!$H:$H,'RAW_농산물_10월'!$D:$D,$C194,'RAW_농산물_10월'!$A:$A,$E194)))</f>
        <v/>
      </c>
      <c r="S194" s="17" t="str">
        <f t="shared" si="4"/>
        <v/>
      </c>
      <c r="T194" s="17" t="str">
        <f t="shared" si="5"/>
        <v>미사용</v>
      </c>
      <c r="U194" s="7">
        <f>IF($C194="",0,IF('설정'!$B$3=0,0,CHOOSE('설정'!$B$3,COUNTIFS('RAW_농산물_7월'!$D:$D,$C194,'RAW_농산물_7월'!$A:$A,$E194),COUNTIFS('RAW_농산물_8월'!$D:$D,$C194,'RAW_농산물_8월'!$A:$A,$E194),COUNTIFS('RAW_농산물_9월'!$D:$D,$C194,'RAW_농산물_9월'!$A:$A,$E194),COUNTIFS('RAW_농산물_10월'!$D:$D,$C194,'RAW_농산물_10월'!$A:$A,$E194),COUNTIFS('RAW_농산물_11-12월'!$D:$D,$C194,'RAW_농산물_11-12월'!$A:$A,$E194))))</f>
        <v>0</v>
      </c>
    </row>
    <row r="195" ht="15.75" customHeight="1">
      <c r="A195" s="5">
        <v>193.0</v>
      </c>
      <c r="B195" s="5" t="s">
        <v>108</v>
      </c>
      <c r="C195" s="5" t="s">
        <v>1791</v>
      </c>
      <c r="D195" s="6" t="s">
        <v>1790</v>
      </c>
      <c r="E195" s="5" t="s">
        <v>31</v>
      </c>
      <c r="F195" s="7">
        <f>IF($C195="","",IF('설정'!$B$3=0,"",CHOOSE('설정'!$B$3,SUMIFS('RAW_농산물_7월'!$F:$F,'RAW_농산물_7월'!$D:$D,$C195,'RAW_농산물_7월'!$A:$A,$E195),SUMIFS('RAW_농산물_8월'!$F:$F,'RAW_농산물_8월'!$D:$D,$C195,'RAW_농산물_8월'!$A:$A,$E195),SUMIFS('RAW_농산물_9월'!$F:$F,'RAW_농산물_9월'!$D:$D,$C195,'RAW_농산물_9월'!$A:$A,$E195),SUMIFS('RAW_농산물_10월'!$F:$F,'RAW_농산물_10월'!$D:$D,$C195,'RAW_농산물_10월'!$A:$A,$E195),SUMIFS('RAW_농산물_11-12월'!$F:$F,'RAW_농산물_11-12월'!$D:$D,$C195,'RAW_농산물_11-12월'!$A:$A,$E195))))</f>
        <v>1</v>
      </c>
      <c r="G195" s="7">
        <f>IF($C195="","",IF('설정'!$B$3=0,"",CHOOSE('설정'!$B$3,SUMIFS('RAW_농산물_7월'!$G:$G,'RAW_농산물_7월'!$D:$D,$C195,'RAW_농산물_7월'!$A:$A,$E195),SUMIFS('RAW_농산물_8월'!$G:$G,'RAW_농산물_8월'!$D:$D,$C195,'RAW_농산물_8월'!$A:$A,$E195),SUMIFS('RAW_농산물_9월'!$G:$G,'RAW_농산물_9월'!$D:$D,$C195,'RAW_농산물_9월'!$A:$A,$E195),SUMIFS('RAW_농산물_10월'!$G:$G,'RAW_농산물_10월'!$D:$D,$C195,'RAW_농산물_10월'!$A:$A,$E195),SUMIFS('RAW_농산물_11-12월'!$G:$G,'RAW_농산물_11-12월'!$D:$D,$C195,'RAW_농산물_11-12월'!$A:$A,$E195))))</f>
        <v>27000</v>
      </c>
      <c r="H195" s="14">
        <f>IF($C195="","",IF('설정'!$B$3=0,"",CHOOSE('설정'!$B$3,SUMIFS('RAW_농산물_7월'!$H:$H,'RAW_농산물_7월'!$D:$D,$C195,'RAW_농산물_7월'!$A:$A,$E195),SUMIFS('RAW_농산물_8월'!$H:$H,'RAW_농산물_8월'!$D:$D,$C195,'RAW_농산물_8월'!$A:$A,$E195),SUMIFS('RAW_농산물_9월'!$H:$H,'RAW_농산물_9월'!$D:$D,$C195,'RAW_농산물_9월'!$A:$A,$E195),SUMIFS('RAW_농산물_10월'!$H:$H,'RAW_농산물_10월'!$D:$D,$C195,'RAW_농산물_10월'!$A:$A,$E195),SUMIFS('RAW_농산물_11-12월'!$H:$H,'RAW_농산물_11-12월'!$D:$D,$C195,'RAW_농산물_11-12월'!$A:$A,$E195))))</f>
        <v>5400</v>
      </c>
      <c r="I195" s="17" t="str">
        <f>IF($C195="","",IF(COUNTIFS('RAW_농산물_7월'!$D:$D,$C195,'RAW_농산물_7월'!$A:$A,$E195)&gt;0,"O",""))</f>
        <v>O</v>
      </c>
      <c r="J195" s="17" t="str">
        <f>IF($C195="","",IF(COUNTIFS('RAW_농산물_8월'!$D:$D,$C195,'RAW_농산물_8월'!$A:$A,$E195)&gt;0,"O",""))</f>
        <v>O</v>
      </c>
      <c r="K195" s="17" t="str">
        <f>IF($C195="","",IF(COUNTIFS('RAW_농산물_9월'!$D:$D,$C195,'RAW_농산물_9월'!$A:$A,$E195)&gt;0,"O",""))</f>
        <v/>
      </c>
      <c r="L195" s="17" t="str">
        <f>IF($C195="","",IF(COUNTIFS('RAW_농산물_10월'!$D:$D,$C195,'RAW_농산물_10월'!$A:$A,$E195)&gt;0,"O",""))</f>
        <v/>
      </c>
      <c r="M195" s="17" t="str">
        <f>IF($C195="","",IF(COUNTIFS('RAW_농산물_11-12월'!$D:$D,$C195,'RAW_농산물_11-12월'!$A:$A,$E195)&gt;0,"O",""))</f>
        <v/>
      </c>
      <c r="N195" s="7">
        <f>IF($C195="","",IF(COUNTA('RAW_농산물_7월'!$A:$A)&lt;=1,"",SUMIFS('RAW_농산물_7월'!$H:$H,'RAW_농산물_7월'!$D:$D,$C195,'RAW_농산물_7월'!$A:$A,$E195)))</f>
        <v>0</v>
      </c>
      <c r="O195" s="7">
        <f>IF($C195="","",IF(COUNTA('RAW_농산물_8월'!$A:$A)&lt;=1,"",SUMIFS('RAW_농산물_8월'!$H:$H,'RAW_농산물_8월'!$D:$D,$C195,'RAW_농산물_8월'!$A:$A,$E195)-SUMIFS('RAW_농산물_7월'!$H:$H,'RAW_농산물_7월'!$D:$D,$C195,'RAW_농산물_7월'!$A:$A,$E195)))</f>
        <v>5400</v>
      </c>
      <c r="P195" s="7" t="str">
        <f>IF($C195="","",IF(COUNTA('RAW_농산물_9월'!$A:$A)&lt;=1,"",SUMIFS('RAW_농산물_9월'!$H:$H,'RAW_농산물_9월'!$D:$D,$C195,'RAW_농산물_9월'!$A:$A,$E195)-SUMIFS('RAW_농산물_8월'!$H:$H,'RAW_농산물_8월'!$D:$D,$C195,'RAW_농산물_8월'!$A:$A,$E195)))</f>
        <v/>
      </c>
      <c r="Q195" s="7" t="str">
        <f>IF($C195="","",IF(COUNTA('RAW_농산물_10월'!$A:$A)&lt;=1,"",SUMIFS('RAW_농산물_10월'!$H:$H,'RAW_농산물_10월'!$D:$D,$C195,'RAW_농산물_10월'!$A:$A,$E195)-SUMIFS('RAW_농산물_9월'!$H:$H,'RAW_농산물_9월'!$D:$D,$C195,'RAW_농산물_9월'!$A:$A,$E195)))</f>
        <v/>
      </c>
      <c r="R195" s="7" t="str">
        <f>IF($C195="","",IF(COUNTA('RAW_농산물_11-12월'!$A:$A)&lt;=1,"",SUMIFS('RAW_농산물_11-12월'!$H:$H,'RAW_농산물_11-12월'!$D:$D,$C195,'RAW_농산물_11-12월'!$A:$A,$E195)-SUMIFS('RAW_농산물_10월'!$H:$H,'RAW_농산물_10월'!$D:$D,$C195,'RAW_농산물_10월'!$A:$A,$E195)))</f>
        <v/>
      </c>
      <c r="S195" s="17" t="str">
        <f t="shared" si="4"/>
        <v>O</v>
      </c>
      <c r="T195" s="17" t="str">
        <f t="shared" si="5"/>
        <v>50만원 미만</v>
      </c>
      <c r="U195" s="7">
        <f>IF($C195="",0,IF('설정'!$B$3=0,0,CHOOSE('설정'!$B$3,COUNTIFS('RAW_농산물_7월'!$D:$D,$C195,'RAW_농산물_7월'!$A:$A,$E195),COUNTIFS('RAW_농산물_8월'!$D:$D,$C195,'RAW_농산물_8월'!$A:$A,$E195),COUNTIFS('RAW_농산물_9월'!$D:$D,$C195,'RAW_농산물_9월'!$A:$A,$E195),COUNTIFS('RAW_농산물_10월'!$D:$D,$C195,'RAW_농산물_10월'!$A:$A,$E195),COUNTIFS('RAW_농산물_11-12월'!$D:$D,$C195,'RAW_농산물_11-12월'!$A:$A,$E195))))</f>
        <v>6</v>
      </c>
    </row>
    <row r="196" ht="15.75" customHeight="1">
      <c r="A196" s="5">
        <v>194.0</v>
      </c>
      <c r="B196" s="5" t="s">
        <v>25</v>
      </c>
      <c r="C196" s="5" t="s">
        <v>1428</v>
      </c>
      <c r="D196" s="6" t="s">
        <v>1427</v>
      </c>
      <c r="E196" s="5" t="s">
        <v>93</v>
      </c>
      <c r="F196" s="7">
        <f>IF($C196="","",IF('설정'!$B$3=0,"",CHOOSE('설정'!$B$3,SUMIFS('RAW_농산물_7월'!$F:$F,'RAW_농산물_7월'!$D:$D,$C196,'RAW_농산물_7월'!$A:$A,$E196),SUMIFS('RAW_농산물_8월'!$F:$F,'RAW_농산물_8월'!$D:$D,$C196,'RAW_농산물_8월'!$A:$A,$E196),SUMIFS('RAW_농산물_9월'!$F:$F,'RAW_농산물_9월'!$D:$D,$C196,'RAW_농산물_9월'!$A:$A,$E196),SUMIFS('RAW_농산물_10월'!$F:$F,'RAW_농산물_10월'!$D:$D,$C196,'RAW_농산물_10월'!$A:$A,$E196),SUMIFS('RAW_농산물_11-12월'!$F:$F,'RAW_농산물_11-12월'!$D:$D,$C196,'RAW_농산물_11-12월'!$A:$A,$E196))))</f>
        <v>299</v>
      </c>
      <c r="G196" s="7">
        <f>IF($C196="","",IF('설정'!$B$3=0,"",CHOOSE('설정'!$B$3,SUMIFS('RAW_농산물_7월'!$G:$G,'RAW_농산물_7월'!$D:$D,$C196,'RAW_농산물_7월'!$A:$A,$E196),SUMIFS('RAW_농산물_8월'!$G:$G,'RAW_농산물_8월'!$D:$D,$C196,'RAW_농산물_8월'!$A:$A,$E196),SUMIFS('RAW_농산물_9월'!$G:$G,'RAW_농산물_9월'!$D:$D,$C196,'RAW_농산물_9월'!$A:$A,$E196),SUMIFS('RAW_농산물_10월'!$G:$G,'RAW_농산물_10월'!$D:$D,$C196,'RAW_농산물_10월'!$A:$A,$E196),SUMIFS('RAW_농산물_11-12월'!$G:$G,'RAW_농산물_11-12월'!$D:$D,$C196,'RAW_농산물_11-12월'!$A:$A,$E196))))</f>
        <v>7295900</v>
      </c>
      <c r="H196" s="14">
        <f>IF($C196="","",IF('설정'!$B$3=0,"",CHOOSE('설정'!$B$3,SUMIFS('RAW_농산물_7월'!$H:$H,'RAW_농산물_7월'!$D:$D,$C196,'RAW_농산물_7월'!$A:$A,$E196),SUMIFS('RAW_농산물_8월'!$H:$H,'RAW_농산물_8월'!$D:$D,$C196,'RAW_농산물_8월'!$A:$A,$E196),SUMIFS('RAW_농산물_9월'!$H:$H,'RAW_농산물_9월'!$D:$D,$C196,'RAW_농산물_9월'!$A:$A,$E196),SUMIFS('RAW_농산물_10월'!$H:$H,'RAW_농산물_10월'!$D:$D,$C196,'RAW_농산물_10월'!$A:$A,$E196),SUMIFS('RAW_농산물_11-12월'!$H:$H,'RAW_농산물_11-12월'!$D:$D,$C196,'RAW_농산물_11-12월'!$A:$A,$E196))))</f>
        <v>528440</v>
      </c>
      <c r="I196" s="17" t="str">
        <f>IF($C196="","",IF(COUNTIFS('RAW_농산물_7월'!$D:$D,$C196,'RAW_농산물_7월'!$A:$A,$E196)&gt;0,"O",""))</f>
        <v>O</v>
      </c>
      <c r="J196" s="17" t="str">
        <f>IF($C196="","",IF(COUNTIFS('RAW_농산물_8월'!$D:$D,$C196,'RAW_농산물_8월'!$A:$A,$E196)&gt;0,"O",""))</f>
        <v>O</v>
      </c>
      <c r="K196" s="17" t="str">
        <f>IF($C196="","",IF(COUNTIFS('RAW_농산물_9월'!$D:$D,$C196,'RAW_농산물_9월'!$A:$A,$E196)&gt;0,"O",""))</f>
        <v/>
      </c>
      <c r="L196" s="17" t="str">
        <f>IF($C196="","",IF(COUNTIFS('RAW_농산물_10월'!$D:$D,$C196,'RAW_농산물_10월'!$A:$A,$E196)&gt;0,"O",""))</f>
        <v/>
      </c>
      <c r="M196" s="17" t="str">
        <f>IF($C196="","",IF(COUNTIFS('RAW_농산물_11-12월'!$D:$D,$C196,'RAW_농산물_11-12월'!$A:$A,$E196)&gt;0,"O",""))</f>
        <v/>
      </c>
      <c r="N196" s="7">
        <f>IF($C196="","",IF(COUNTA('RAW_농산물_7월'!$A:$A)&lt;=1,"",SUMIFS('RAW_농산물_7월'!$H:$H,'RAW_농산물_7월'!$D:$D,$C196,'RAW_농산물_7월'!$A:$A,$E196)))</f>
        <v>67770</v>
      </c>
      <c r="O196" s="7">
        <f>IF($C196="","",IF(COUNTA('RAW_농산물_8월'!$A:$A)&lt;=1,"",SUMIFS('RAW_농산물_8월'!$H:$H,'RAW_농산물_8월'!$D:$D,$C196,'RAW_농산물_8월'!$A:$A,$E196)-SUMIFS('RAW_농산물_7월'!$H:$H,'RAW_농산물_7월'!$D:$D,$C196,'RAW_농산물_7월'!$A:$A,$E196)))</f>
        <v>460670</v>
      </c>
      <c r="P196" s="7" t="str">
        <f>IF($C196="","",IF(COUNTA('RAW_농산물_9월'!$A:$A)&lt;=1,"",SUMIFS('RAW_농산물_9월'!$H:$H,'RAW_농산물_9월'!$D:$D,$C196,'RAW_농산물_9월'!$A:$A,$E196)-SUMIFS('RAW_농산물_8월'!$H:$H,'RAW_농산물_8월'!$D:$D,$C196,'RAW_농산물_8월'!$A:$A,$E196)))</f>
        <v/>
      </c>
      <c r="Q196" s="7" t="str">
        <f>IF($C196="","",IF(COUNTA('RAW_농산물_10월'!$A:$A)&lt;=1,"",SUMIFS('RAW_농산물_10월'!$H:$H,'RAW_농산물_10월'!$D:$D,$C196,'RAW_농산물_10월'!$A:$A,$E196)-SUMIFS('RAW_농산물_9월'!$H:$H,'RAW_농산물_9월'!$D:$D,$C196,'RAW_농산물_9월'!$A:$A,$E196)))</f>
        <v/>
      </c>
      <c r="R196" s="7" t="str">
        <f>IF($C196="","",IF(COUNTA('RAW_농산물_11-12월'!$A:$A)&lt;=1,"",SUMIFS('RAW_농산물_11-12월'!$H:$H,'RAW_농산물_11-12월'!$D:$D,$C196,'RAW_농산물_11-12월'!$A:$A,$E196)-SUMIFS('RAW_농산물_10월'!$H:$H,'RAW_농산물_10월'!$D:$D,$C196,'RAW_농산물_10월'!$A:$A,$E196)))</f>
        <v/>
      </c>
      <c r="S196" s="17" t="str">
        <f t="shared" si="4"/>
        <v>O</v>
      </c>
      <c r="T196" s="17" t="str">
        <f t="shared" si="5"/>
        <v>100만원 미만</v>
      </c>
      <c r="U196" s="7">
        <f>IF($C196="",0,IF('설정'!$B$3=0,0,CHOOSE('설정'!$B$3,COUNTIFS('RAW_농산물_7월'!$D:$D,$C196,'RAW_농산물_7월'!$A:$A,$E196),COUNTIFS('RAW_농산물_8월'!$D:$D,$C196,'RAW_농산물_8월'!$A:$A,$E196),COUNTIFS('RAW_농산물_9월'!$D:$D,$C196,'RAW_농산물_9월'!$A:$A,$E196),COUNTIFS('RAW_농산물_10월'!$D:$D,$C196,'RAW_농산물_10월'!$A:$A,$E196),COUNTIFS('RAW_농산물_11-12월'!$D:$D,$C196,'RAW_농산물_11-12월'!$A:$A,$E196))))</f>
        <v>30</v>
      </c>
    </row>
    <row r="197" ht="15.75" customHeight="1">
      <c r="A197" s="5">
        <v>195.0</v>
      </c>
      <c r="B197" s="5" t="s">
        <v>145</v>
      </c>
      <c r="C197" s="5" t="s">
        <v>1824</v>
      </c>
      <c r="D197" s="6" t="s">
        <v>1823</v>
      </c>
      <c r="E197" s="5" t="s">
        <v>93</v>
      </c>
      <c r="F197" s="7">
        <f>IF($C197="","",IF('설정'!$B$3=0,"",CHOOSE('설정'!$B$3,SUMIFS('RAW_농산물_7월'!$F:$F,'RAW_농산물_7월'!$D:$D,$C197,'RAW_농산물_7월'!$A:$A,$E197),SUMIFS('RAW_농산물_8월'!$F:$F,'RAW_농산물_8월'!$D:$D,$C197,'RAW_농산물_8월'!$A:$A,$E197),SUMIFS('RAW_농산물_9월'!$F:$F,'RAW_농산물_9월'!$D:$D,$C197,'RAW_농산물_9월'!$A:$A,$E197),SUMIFS('RAW_농산물_10월'!$F:$F,'RAW_농산물_10월'!$D:$D,$C197,'RAW_농산물_10월'!$A:$A,$E197),SUMIFS('RAW_농산물_11-12월'!$F:$F,'RAW_농산물_11-12월'!$D:$D,$C197,'RAW_농산물_11-12월'!$A:$A,$E197))))</f>
        <v>0</v>
      </c>
      <c r="G197" s="7">
        <f>IF($C197="","",IF('설정'!$B$3=0,"",CHOOSE('설정'!$B$3,SUMIFS('RAW_농산물_7월'!$G:$G,'RAW_농산물_7월'!$D:$D,$C197,'RAW_농산물_7월'!$A:$A,$E197),SUMIFS('RAW_농산물_8월'!$G:$G,'RAW_농산물_8월'!$D:$D,$C197,'RAW_농산물_8월'!$A:$A,$E197),SUMIFS('RAW_농산물_9월'!$G:$G,'RAW_농산물_9월'!$D:$D,$C197,'RAW_농산물_9월'!$A:$A,$E197),SUMIFS('RAW_농산물_10월'!$G:$G,'RAW_농산물_10월'!$D:$D,$C197,'RAW_농산물_10월'!$A:$A,$E197),SUMIFS('RAW_농산물_11-12월'!$G:$G,'RAW_농산물_11-12월'!$D:$D,$C197,'RAW_농산물_11-12월'!$A:$A,$E197))))</f>
        <v>0</v>
      </c>
      <c r="H197" s="14">
        <f>IF($C197="","",IF('설정'!$B$3=0,"",CHOOSE('설정'!$B$3,SUMIFS('RAW_농산물_7월'!$H:$H,'RAW_농산물_7월'!$D:$D,$C197,'RAW_농산물_7월'!$A:$A,$E197),SUMIFS('RAW_농산물_8월'!$H:$H,'RAW_농산물_8월'!$D:$D,$C197,'RAW_농산물_8월'!$A:$A,$E197),SUMIFS('RAW_농산물_9월'!$H:$H,'RAW_농산물_9월'!$D:$D,$C197,'RAW_농산물_9월'!$A:$A,$E197),SUMIFS('RAW_농산물_10월'!$H:$H,'RAW_농산물_10월'!$D:$D,$C197,'RAW_농산물_10월'!$A:$A,$E197),SUMIFS('RAW_농산물_11-12월'!$H:$H,'RAW_농산물_11-12월'!$D:$D,$C197,'RAW_농산물_11-12월'!$A:$A,$E197))))</f>
        <v>0</v>
      </c>
      <c r="I197" s="17" t="str">
        <f>IF($C197="","",IF(COUNTIFS('RAW_농산물_7월'!$D:$D,$C197,'RAW_농산물_7월'!$A:$A,$E197)&gt;0,"O",""))</f>
        <v/>
      </c>
      <c r="J197" s="17" t="str">
        <f>IF($C197="","",IF(COUNTIFS('RAW_농산물_8월'!$D:$D,$C197,'RAW_농산물_8월'!$A:$A,$E197)&gt;0,"O",""))</f>
        <v>O</v>
      </c>
      <c r="K197" s="17" t="str">
        <f>IF($C197="","",IF(COUNTIFS('RAW_농산물_9월'!$D:$D,$C197,'RAW_농산물_9월'!$A:$A,$E197)&gt;0,"O",""))</f>
        <v/>
      </c>
      <c r="L197" s="17" t="str">
        <f>IF($C197="","",IF(COUNTIFS('RAW_농산물_10월'!$D:$D,$C197,'RAW_농산물_10월'!$A:$A,$E197)&gt;0,"O",""))</f>
        <v/>
      </c>
      <c r="M197" s="17" t="str">
        <f>IF($C197="","",IF(COUNTIFS('RAW_농산물_11-12월'!$D:$D,$C197,'RAW_농산물_11-12월'!$A:$A,$E197)&gt;0,"O",""))</f>
        <v/>
      </c>
      <c r="N197" s="7">
        <f>IF($C197="","",IF(COUNTA('RAW_농산물_7월'!$A:$A)&lt;=1,"",SUMIFS('RAW_농산물_7월'!$H:$H,'RAW_농산물_7월'!$D:$D,$C197,'RAW_농산물_7월'!$A:$A,$E197)))</f>
        <v>0</v>
      </c>
      <c r="O197" s="7">
        <f>IF($C197="","",IF(COUNTA('RAW_농산물_8월'!$A:$A)&lt;=1,"",SUMIFS('RAW_농산물_8월'!$H:$H,'RAW_농산물_8월'!$D:$D,$C197,'RAW_농산물_8월'!$A:$A,$E197)-SUMIFS('RAW_농산물_7월'!$H:$H,'RAW_농산물_7월'!$D:$D,$C197,'RAW_농산물_7월'!$A:$A,$E197)))</f>
        <v>0</v>
      </c>
      <c r="P197" s="7" t="str">
        <f>IF($C197="","",IF(COUNTA('RAW_농산물_9월'!$A:$A)&lt;=1,"",SUMIFS('RAW_농산물_9월'!$H:$H,'RAW_농산물_9월'!$D:$D,$C197,'RAW_농산물_9월'!$A:$A,$E197)-SUMIFS('RAW_농산물_8월'!$H:$H,'RAW_농산물_8월'!$D:$D,$C197,'RAW_농산물_8월'!$A:$A,$E197)))</f>
        <v/>
      </c>
      <c r="Q197" s="7" t="str">
        <f>IF($C197="","",IF(COUNTA('RAW_농산물_10월'!$A:$A)&lt;=1,"",SUMIFS('RAW_농산물_10월'!$H:$H,'RAW_농산물_10월'!$D:$D,$C197,'RAW_농산물_10월'!$A:$A,$E197)-SUMIFS('RAW_농산물_9월'!$H:$H,'RAW_농산물_9월'!$D:$D,$C197,'RAW_농산물_9월'!$A:$A,$E197)))</f>
        <v/>
      </c>
      <c r="R197" s="7" t="str">
        <f>IF($C197="","",IF(COUNTA('RAW_농산물_11-12월'!$A:$A)&lt;=1,"",SUMIFS('RAW_농산물_11-12월'!$H:$H,'RAW_농산물_11-12월'!$D:$D,$C197,'RAW_농산물_11-12월'!$A:$A,$E197)-SUMIFS('RAW_농산물_10월'!$H:$H,'RAW_농산물_10월'!$D:$D,$C197,'RAW_농산물_10월'!$A:$A,$E197)))</f>
        <v/>
      </c>
      <c r="S197" s="17" t="str">
        <f t="shared" si="4"/>
        <v>O</v>
      </c>
      <c r="T197" s="17" t="str">
        <f t="shared" si="5"/>
        <v>미사용</v>
      </c>
      <c r="U197" s="7">
        <f>IF($C197="",0,IF('설정'!$B$3=0,0,CHOOSE('설정'!$B$3,COUNTIFS('RAW_농산물_7월'!$D:$D,$C197,'RAW_농산물_7월'!$A:$A,$E197),COUNTIFS('RAW_농산물_8월'!$D:$D,$C197,'RAW_농산물_8월'!$A:$A,$E197),COUNTIFS('RAW_농산물_9월'!$D:$D,$C197,'RAW_농산물_9월'!$A:$A,$E197),COUNTIFS('RAW_농산물_10월'!$D:$D,$C197,'RAW_농산물_10월'!$A:$A,$E197),COUNTIFS('RAW_농산물_11-12월'!$D:$D,$C197,'RAW_농산물_11-12월'!$A:$A,$E197))))</f>
        <v>1</v>
      </c>
    </row>
    <row r="198" ht="15.75" customHeight="1">
      <c r="A198" s="5">
        <v>196.0</v>
      </c>
      <c r="B198" s="5" t="s">
        <v>108</v>
      </c>
      <c r="C198" s="5" t="s">
        <v>2998</v>
      </c>
      <c r="D198" s="6" t="s">
        <v>2999</v>
      </c>
      <c r="E198" s="5" t="s">
        <v>93</v>
      </c>
      <c r="F198" s="7">
        <f>IF($C198="","",IF('설정'!$B$3=0,"",CHOOSE('설정'!$B$3,SUMIFS('RAW_농산물_7월'!$F:$F,'RAW_농산물_7월'!$D:$D,$C198,'RAW_농산물_7월'!$A:$A,$E198),SUMIFS('RAW_농산물_8월'!$F:$F,'RAW_농산물_8월'!$D:$D,$C198,'RAW_농산물_8월'!$A:$A,$E198),SUMIFS('RAW_농산물_9월'!$F:$F,'RAW_농산물_9월'!$D:$D,$C198,'RAW_농산물_9월'!$A:$A,$E198),SUMIFS('RAW_농산물_10월'!$F:$F,'RAW_농산물_10월'!$D:$D,$C198,'RAW_농산물_10월'!$A:$A,$E198),SUMIFS('RAW_농산물_11-12월'!$F:$F,'RAW_농산물_11-12월'!$D:$D,$C198,'RAW_농산물_11-12월'!$A:$A,$E198))))</f>
        <v>0</v>
      </c>
      <c r="G198" s="7">
        <f>IF($C198="","",IF('설정'!$B$3=0,"",CHOOSE('설정'!$B$3,SUMIFS('RAW_농산물_7월'!$G:$G,'RAW_농산물_7월'!$D:$D,$C198,'RAW_농산물_7월'!$A:$A,$E198),SUMIFS('RAW_농산물_8월'!$G:$G,'RAW_농산물_8월'!$D:$D,$C198,'RAW_농산물_8월'!$A:$A,$E198),SUMIFS('RAW_농산물_9월'!$G:$G,'RAW_농산물_9월'!$D:$D,$C198,'RAW_농산물_9월'!$A:$A,$E198),SUMIFS('RAW_농산물_10월'!$G:$G,'RAW_농산물_10월'!$D:$D,$C198,'RAW_농산물_10월'!$A:$A,$E198),SUMIFS('RAW_농산물_11-12월'!$G:$G,'RAW_농산물_11-12월'!$D:$D,$C198,'RAW_농산물_11-12월'!$A:$A,$E198))))</f>
        <v>0</v>
      </c>
      <c r="H198" s="14">
        <f>IF($C198="","",IF('설정'!$B$3=0,"",CHOOSE('설정'!$B$3,SUMIFS('RAW_농산물_7월'!$H:$H,'RAW_농산물_7월'!$D:$D,$C198,'RAW_농산물_7월'!$A:$A,$E198),SUMIFS('RAW_농산물_8월'!$H:$H,'RAW_농산물_8월'!$D:$D,$C198,'RAW_농산물_8월'!$A:$A,$E198),SUMIFS('RAW_농산물_9월'!$H:$H,'RAW_농산물_9월'!$D:$D,$C198,'RAW_농산물_9월'!$A:$A,$E198),SUMIFS('RAW_농산물_10월'!$H:$H,'RAW_농산물_10월'!$D:$D,$C198,'RAW_농산물_10월'!$A:$A,$E198),SUMIFS('RAW_농산물_11-12월'!$H:$H,'RAW_농산물_11-12월'!$D:$D,$C198,'RAW_농산물_11-12월'!$A:$A,$E198))))</f>
        <v>0</v>
      </c>
      <c r="I198" s="17" t="str">
        <f>IF($C198="","",IF(COUNTIFS('RAW_농산물_7월'!$D:$D,$C198,'RAW_농산물_7월'!$A:$A,$E198)&gt;0,"O",""))</f>
        <v/>
      </c>
      <c r="J198" s="17" t="str">
        <f>IF($C198="","",IF(COUNTIFS('RAW_농산물_8월'!$D:$D,$C198,'RAW_농산물_8월'!$A:$A,$E198)&gt;0,"O",""))</f>
        <v/>
      </c>
      <c r="K198" s="17" t="str">
        <f>IF($C198="","",IF(COUNTIFS('RAW_농산물_9월'!$D:$D,$C198,'RAW_농산물_9월'!$A:$A,$E198)&gt;0,"O",""))</f>
        <v/>
      </c>
      <c r="L198" s="17" t="str">
        <f>IF($C198="","",IF(COUNTIFS('RAW_농산물_10월'!$D:$D,$C198,'RAW_농산물_10월'!$A:$A,$E198)&gt;0,"O",""))</f>
        <v/>
      </c>
      <c r="M198" s="17" t="str">
        <f>IF($C198="","",IF(COUNTIFS('RAW_농산물_11-12월'!$D:$D,$C198,'RAW_농산물_11-12월'!$A:$A,$E198)&gt;0,"O",""))</f>
        <v/>
      </c>
      <c r="N198" s="7">
        <f>IF($C198="","",IF(COUNTA('RAW_농산물_7월'!$A:$A)&lt;=1,"",SUMIFS('RAW_농산물_7월'!$H:$H,'RAW_농산물_7월'!$D:$D,$C198,'RAW_농산물_7월'!$A:$A,$E198)))</f>
        <v>0</v>
      </c>
      <c r="O198" s="7">
        <f>IF($C198="","",IF(COUNTA('RAW_농산물_8월'!$A:$A)&lt;=1,"",SUMIFS('RAW_농산물_8월'!$H:$H,'RAW_농산물_8월'!$D:$D,$C198,'RAW_농산물_8월'!$A:$A,$E198)-SUMIFS('RAW_농산물_7월'!$H:$H,'RAW_농산물_7월'!$D:$D,$C198,'RAW_농산물_7월'!$A:$A,$E198)))</f>
        <v>0</v>
      </c>
      <c r="P198" s="7" t="str">
        <f>IF($C198="","",IF(COUNTA('RAW_농산물_9월'!$A:$A)&lt;=1,"",SUMIFS('RAW_농산물_9월'!$H:$H,'RAW_농산물_9월'!$D:$D,$C198,'RAW_농산물_9월'!$A:$A,$E198)-SUMIFS('RAW_농산물_8월'!$H:$H,'RAW_농산물_8월'!$D:$D,$C198,'RAW_농산물_8월'!$A:$A,$E198)))</f>
        <v/>
      </c>
      <c r="Q198" s="7" t="str">
        <f>IF($C198="","",IF(COUNTA('RAW_농산물_10월'!$A:$A)&lt;=1,"",SUMIFS('RAW_농산물_10월'!$H:$H,'RAW_농산물_10월'!$D:$D,$C198,'RAW_농산물_10월'!$A:$A,$E198)-SUMIFS('RAW_농산물_9월'!$H:$H,'RAW_농산물_9월'!$D:$D,$C198,'RAW_농산물_9월'!$A:$A,$E198)))</f>
        <v/>
      </c>
      <c r="R198" s="7" t="str">
        <f>IF($C198="","",IF(COUNTA('RAW_농산물_11-12월'!$A:$A)&lt;=1,"",SUMIFS('RAW_농산물_11-12월'!$H:$H,'RAW_농산물_11-12월'!$D:$D,$C198,'RAW_농산물_11-12월'!$A:$A,$E198)-SUMIFS('RAW_농산물_10월'!$H:$H,'RAW_농산물_10월'!$D:$D,$C198,'RAW_농산물_10월'!$A:$A,$E198)))</f>
        <v/>
      </c>
      <c r="S198" s="17" t="str">
        <f t="shared" si="4"/>
        <v/>
      </c>
      <c r="T198" s="17" t="str">
        <f t="shared" si="5"/>
        <v>미사용</v>
      </c>
      <c r="U198" s="7">
        <f>IF($C198="",0,IF('설정'!$B$3=0,0,CHOOSE('설정'!$B$3,COUNTIFS('RAW_농산물_7월'!$D:$D,$C198,'RAW_농산물_7월'!$A:$A,$E198),COUNTIFS('RAW_농산물_8월'!$D:$D,$C198,'RAW_농산물_8월'!$A:$A,$E198),COUNTIFS('RAW_농산물_9월'!$D:$D,$C198,'RAW_농산물_9월'!$A:$A,$E198),COUNTIFS('RAW_농산물_10월'!$D:$D,$C198,'RAW_농산물_10월'!$A:$A,$E198),COUNTIFS('RAW_농산물_11-12월'!$D:$D,$C198,'RAW_농산물_11-12월'!$A:$A,$E198))))</f>
        <v>0</v>
      </c>
    </row>
    <row r="199" ht="15.75" customHeight="1">
      <c r="A199" s="5">
        <v>197.0</v>
      </c>
      <c r="B199" s="5" t="s">
        <v>25</v>
      </c>
      <c r="C199" s="5" t="s">
        <v>1693</v>
      </c>
      <c r="D199" s="6" t="s">
        <v>1692</v>
      </c>
      <c r="E199" s="5" t="s">
        <v>31</v>
      </c>
      <c r="F199" s="7">
        <f>IF($C199="","",IF('설정'!$B$3=0,"",CHOOSE('설정'!$B$3,SUMIFS('RAW_농산물_7월'!$F:$F,'RAW_농산물_7월'!$D:$D,$C199,'RAW_농산물_7월'!$A:$A,$E199),SUMIFS('RAW_농산물_8월'!$F:$F,'RAW_농산물_8월'!$D:$D,$C199,'RAW_농산물_8월'!$A:$A,$E199),SUMIFS('RAW_농산물_9월'!$F:$F,'RAW_농산물_9월'!$D:$D,$C199,'RAW_농산물_9월'!$A:$A,$E199),SUMIFS('RAW_농산물_10월'!$F:$F,'RAW_농산물_10월'!$D:$D,$C199,'RAW_농산물_10월'!$A:$A,$E199),SUMIFS('RAW_농산물_11-12월'!$F:$F,'RAW_농산물_11-12월'!$D:$D,$C199,'RAW_농산물_11-12월'!$A:$A,$E199))))</f>
        <v>36771</v>
      </c>
      <c r="G199" s="7">
        <f>IF($C199="","",IF('설정'!$B$3=0,"",CHOOSE('설정'!$B$3,SUMIFS('RAW_농산물_7월'!$G:$G,'RAW_농산물_7월'!$D:$D,$C199,'RAW_농산물_7월'!$A:$A,$E199),SUMIFS('RAW_농산물_8월'!$G:$G,'RAW_농산물_8월'!$D:$D,$C199,'RAW_농산물_8월'!$A:$A,$E199),SUMIFS('RAW_농산물_9월'!$G:$G,'RAW_농산물_9월'!$D:$D,$C199,'RAW_농산물_9월'!$A:$A,$E199),SUMIFS('RAW_농산물_10월'!$G:$G,'RAW_농산물_10월'!$D:$D,$C199,'RAW_농산물_10월'!$A:$A,$E199),SUMIFS('RAW_농산물_11-12월'!$G:$G,'RAW_농산물_11-12월'!$D:$D,$C199,'RAW_농산물_11-12월'!$A:$A,$E199))))</f>
        <v>171049640</v>
      </c>
      <c r="H199" s="14">
        <f>IF($C199="","",IF('설정'!$B$3=0,"",CHOOSE('설정'!$B$3,SUMIFS('RAW_농산물_7월'!$H:$H,'RAW_농산물_7월'!$D:$D,$C199,'RAW_농산물_7월'!$A:$A,$E199),SUMIFS('RAW_농산물_8월'!$H:$H,'RAW_농산물_8월'!$D:$D,$C199,'RAW_농산물_8월'!$A:$A,$E199),SUMIFS('RAW_농산물_9월'!$H:$H,'RAW_농산물_9월'!$D:$D,$C199,'RAW_농산물_9월'!$A:$A,$E199),SUMIFS('RAW_농산물_10월'!$H:$H,'RAW_농산물_10월'!$D:$D,$C199,'RAW_농산물_10월'!$A:$A,$E199),SUMIFS('RAW_농산물_11-12월'!$H:$H,'RAW_농산물_11-12월'!$D:$D,$C199,'RAW_농산물_11-12월'!$A:$A,$E199))))</f>
        <v>2095401</v>
      </c>
      <c r="I199" s="17" t="str">
        <f>IF($C199="","",IF(COUNTIFS('RAW_농산물_7월'!$D:$D,$C199,'RAW_농산물_7월'!$A:$A,$E199)&gt;0,"O",""))</f>
        <v>O</v>
      </c>
      <c r="J199" s="17" t="str">
        <f>IF($C199="","",IF(COUNTIFS('RAW_농산물_8월'!$D:$D,$C199,'RAW_농산물_8월'!$A:$A,$E199)&gt;0,"O",""))</f>
        <v>O</v>
      </c>
      <c r="K199" s="17" t="str">
        <f>IF($C199="","",IF(COUNTIFS('RAW_농산물_9월'!$D:$D,$C199,'RAW_농산물_9월'!$A:$A,$E199)&gt;0,"O",""))</f>
        <v/>
      </c>
      <c r="L199" s="17" t="str">
        <f>IF($C199="","",IF(COUNTIFS('RAW_농산물_10월'!$D:$D,$C199,'RAW_농산물_10월'!$A:$A,$E199)&gt;0,"O",""))</f>
        <v/>
      </c>
      <c r="M199" s="17" t="str">
        <f>IF($C199="","",IF(COUNTIFS('RAW_농산물_11-12월'!$D:$D,$C199,'RAW_농산물_11-12월'!$A:$A,$E199)&gt;0,"O",""))</f>
        <v/>
      </c>
      <c r="N199" s="7">
        <f>IF($C199="","",IF(COUNTA('RAW_농산물_7월'!$A:$A)&lt;=1,"",SUMIFS('RAW_농산물_7월'!$H:$H,'RAW_농산물_7월'!$D:$D,$C199,'RAW_농산물_7월'!$A:$A,$E199)))</f>
        <v>1096780</v>
      </c>
      <c r="O199" s="7">
        <f>IF($C199="","",IF(COUNTA('RAW_농산물_8월'!$A:$A)&lt;=1,"",SUMIFS('RAW_농산물_8월'!$H:$H,'RAW_농산물_8월'!$D:$D,$C199,'RAW_농산물_8월'!$A:$A,$E199)-SUMIFS('RAW_농산물_7월'!$H:$H,'RAW_농산물_7월'!$D:$D,$C199,'RAW_농산물_7월'!$A:$A,$E199)))</f>
        <v>998621</v>
      </c>
      <c r="P199" s="7" t="str">
        <f>IF($C199="","",IF(COUNTA('RAW_농산물_9월'!$A:$A)&lt;=1,"",SUMIFS('RAW_농산물_9월'!$H:$H,'RAW_농산물_9월'!$D:$D,$C199,'RAW_농산물_9월'!$A:$A,$E199)-SUMIFS('RAW_농산물_8월'!$H:$H,'RAW_농산물_8월'!$D:$D,$C199,'RAW_농산물_8월'!$A:$A,$E199)))</f>
        <v/>
      </c>
      <c r="Q199" s="7" t="str">
        <f>IF($C199="","",IF(COUNTA('RAW_농산물_10월'!$A:$A)&lt;=1,"",SUMIFS('RAW_농산물_10월'!$H:$H,'RAW_농산물_10월'!$D:$D,$C199,'RAW_농산물_10월'!$A:$A,$E199)-SUMIFS('RAW_농산물_9월'!$H:$H,'RAW_농산물_9월'!$D:$D,$C199,'RAW_농산물_9월'!$A:$A,$E199)))</f>
        <v/>
      </c>
      <c r="R199" s="7" t="str">
        <f>IF($C199="","",IF(COUNTA('RAW_농산물_11-12월'!$A:$A)&lt;=1,"",SUMIFS('RAW_농산물_11-12월'!$H:$H,'RAW_농산물_11-12월'!$D:$D,$C199,'RAW_농산물_11-12월'!$A:$A,$E199)-SUMIFS('RAW_농산물_10월'!$H:$H,'RAW_농산물_10월'!$D:$D,$C199,'RAW_농산물_10월'!$A:$A,$E199)))</f>
        <v/>
      </c>
      <c r="S199" s="17" t="str">
        <f t="shared" si="4"/>
        <v>O</v>
      </c>
      <c r="T199" s="17" t="str">
        <f t="shared" si="5"/>
        <v>300만원 미만</v>
      </c>
      <c r="U199" s="7">
        <f>IF($C199="",0,IF('설정'!$B$3=0,0,CHOOSE('설정'!$B$3,COUNTIFS('RAW_농산물_7월'!$D:$D,$C199,'RAW_농산물_7월'!$A:$A,$E199),COUNTIFS('RAW_농산물_8월'!$D:$D,$C199,'RAW_농산물_8월'!$A:$A,$E199),COUNTIFS('RAW_농산물_9월'!$D:$D,$C199,'RAW_농산물_9월'!$A:$A,$E199),COUNTIFS('RAW_농산물_10월'!$D:$D,$C199,'RAW_농산물_10월'!$A:$A,$E199),COUNTIFS('RAW_농산물_11-12월'!$D:$D,$C199,'RAW_농산물_11-12월'!$A:$A,$E199))))</f>
        <v>6</v>
      </c>
    </row>
    <row r="200" ht="15.75" customHeight="1">
      <c r="A200" s="5">
        <v>198.0</v>
      </c>
      <c r="B200" s="5" t="s">
        <v>108</v>
      </c>
      <c r="C200" s="5" t="s">
        <v>750</v>
      </c>
      <c r="D200" s="6" t="s">
        <v>749</v>
      </c>
      <c r="E200" s="5" t="s">
        <v>92</v>
      </c>
      <c r="F200" s="7">
        <f>IF($C200="","",IF('설정'!$B$3=0,"",CHOOSE('설정'!$B$3,SUMIFS('RAW_농산물_7월'!$F:$F,'RAW_농산물_7월'!$D:$D,$C200,'RAW_농산물_7월'!$A:$A,$E200),SUMIFS('RAW_농산물_8월'!$F:$F,'RAW_농산물_8월'!$D:$D,$C200,'RAW_농산물_8월'!$A:$A,$E200),SUMIFS('RAW_농산물_9월'!$F:$F,'RAW_농산물_9월'!$D:$D,$C200,'RAW_농산물_9월'!$A:$A,$E200),SUMIFS('RAW_농산물_10월'!$F:$F,'RAW_농산물_10월'!$D:$D,$C200,'RAW_농산물_10월'!$A:$A,$E200),SUMIFS('RAW_농산물_11-12월'!$F:$F,'RAW_농산물_11-12월'!$D:$D,$C200,'RAW_농산물_11-12월'!$A:$A,$E200))))</f>
        <v>10</v>
      </c>
      <c r="G200" s="7">
        <f>IF($C200="","",IF('설정'!$B$3=0,"",CHOOSE('설정'!$B$3,SUMIFS('RAW_농산물_7월'!$G:$G,'RAW_농산물_7월'!$D:$D,$C200,'RAW_농산물_7월'!$A:$A,$E200),SUMIFS('RAW_농산물_8월'!$G:$G,'RAW_농산물_8월'!$D:$D,$C200,'RAW_농산물_8월'!$A:$A,$E200),SUMIFS('RAW_농산물_9월'!$G:$G,'RAW_농산물_9월'!$D:$D,$C200,'RAW_농산물_9월'!$A:$A,$E200),SUMIFS('RAW_농산물_10월'!$G:$G,'RAW_농산물_10월'!$D:$D,$C200,'RAW_농산물_10월'!$A:$A,$E200),SUMIFS('RAW_농산물_11-12월'!$G:$G,'RAW_농산물_11-12월'!$D:$D,$C200,'RAW_농산물_11-12월'!$A:$A,$E200))))</f>
        <v>144500</v>
      </c>
      <c r="H200" s="14">
        <f>IF($C200="","",IF('설정'!$B$3=0,"",CHOOSE('설정'!$B$3,SUMIFS('RAW_농산물_7월'!$H:$H,'RAW_농산물_7월'!$D:$D,$C200,'RAW_농산물_7월'!$A:$A,$E200),SUMIFS('RAW_농산물_8월'!$H:$H,'RAW_농산물_8월'!$D:$D,$C200,'RAW_농산물_8월'!$A:$A,$E200),SUMIFS('RAW_농산물_9월'!$H:$H,'RAW_농산물_9월'!$D:$D,$C200,'RAW_농산물_9월'!$A:$A,$E200),SUMIFS('RAW_농산물_10월'!$H:$H,'RAW_농산물_10월'!$D:$D,$C200,'RAW_농산물_10월'!$A:$A,$E200),SUMIFS('RAW_농산물_11-12월'!$H:$H,'RAW_농산물_11-12월'!$D:$D,$C200,'RAW_농산물_11-12월'!$A:$A,$E200))))</f>
        <v>2000</v>
      </c>
      <c r="I200" s="17" t="str">
        <f>IF($C200="","",IF(COUNTIFS('RAW_농산물_7월'!$D:$D,$C200,'RAW_농산물_7월'!$A:$A,$E200)&gt;0,"O",""))</f>
        <v>O</v>
      </c>
      <c r="J200" s="17" t="str">
        <f>IF($C200="","",IF(COUNTIFS('RAW_농산물_8월'!$D:$D,$C200,'RAW_농산물_8월'!$A:$A,$E200)&gt;0,"O",""))</f>
        <v>O</v>
      </c>
      <c r="K200" s="17" t="str">
        <f>IF($C200="","",IF(COUNTIFS('RAW_농산물_9월'!$D:$D,$C200,'RAW_농산물_9월'!$A:$A,$E200)&gt;0,"O",""))</f>
        <v/>
      </c>
      <c r="L200" s="17" t="str">
        <f>IF($C200="","",IF(COUNTIFS('RAW_농산물_10월'!$D:$D,$C200,'RAW_농산물_10월'!$A:$A,$E200)&gt;0,"O",""))</f>
        <v/>
      </c>
      <c r="M200" s="17" t="str">
        <f>IF($C200="","",IF(COUNTIFS('RAW_농산물_11-12월'!$D:$D,$C200,'RAW_농산물_11-12월'!$A:$A,$E200)&gt;0,"O",""))</f>
        <v/>
      </c>
      <c r="N200" s="7">
        <f>IF($C200="","",IF(COUNTA('RAW_농산물_7월'!$A:$A)&lt;=1,"",SUMIFS('RAW_농산물_7월'!$H:$H,'RAW_농산물_7월'!$D:$D,$C200,'RAW_농산물_7월'!$A:$A,$E200)))</f>
        <v>0</v>
      </c>
      <c r="O200" s="7">
        <f>IF($C200="","",IF(COUNTA('RAW_농산물_8월'!$A:$A)&lt;=1,"",SUMIFS('RAW_농산물_8월'!$H:$H,'RAW_농산물_8월'!$D:$D,$C200,'RAW_농산물_8월'!$A:$A,$E200)-SUMIFS('RAW_농산물_7월'!$H:$H,'RAW_농산물_7월'!$D:$D,$C200,'RAW_농산물_7월'!$A:$A,$E200)))</f>
        <v>2000</v>
      </c>
      <c r="P200" s="7" t="str">
        <f>IF($C200="","",IF(COUNTA('RAW_농산물_9월'!$A:$A)&lt;=1,"",SUMIFS('RAW_농산물_9월'!$H:$H,'RAW_농산물_9월'!$D:$D,$C200,'RAW_농산물_9월'!$A:$A,$E200)-SUMIFS('RAW_농산물_8월'!$H:$H,'RAW_농산물_8월'!$D:$D,$C200,'RAW_농산물_8월'!$A:$A,$E200)))</f>
        <v/>
      </c>
      <c r="Q200" s="7" t="str">
        <f>IF($C200="","",IF(COUNTA('RAW_농산물_10월'!$A:$A)&lt;=1,"",SUMIFS('RAW_농산물_10월'!$H:$H,'RAW_농산물_10월'!$D:$D,$C200,'RAW_농산물_10월'!$A:$A,$E200)-SUMIFS('RAW_농산물_9월'!$H:$H,'RAW_농산물_9월'!$D:$D,$C200,'RAW_농산물_9월'!$A:$A,$E200)))</f>
        <v/>
      </c>
      <c r="R200" s="7" t="str">
        <f>IF($C200="","",IF(COUNTA('RAW_농산물_11-12월'!$A:$A)&lt;=1,"",SUMIFS('RAW_농산물_11-12월'!$H:$H,'RAW_농산물_11-12월'!$D:$D,$C200,'RAW_농산물_11-12월'!$A:$A,$E200)-SUMIFS('RAW_농산물_10월'!$H:$H,'RAW_농산물_10월'!$D:$D,$C200,'RAW_농산물_10월'!$A:$A,$E200)))</f>
        <v/>
      </c>
      <c r="S200" s="17" t="str">
        <f t="shared" si="4"/>
        <v>O</v>
      </c>
      <c r="T200" s="17" t="str">
        <f t="shared" si="5"/>
        <v>50만원 미만</v>
      </c>
      <c r="U200" s="7">
        <f>IF($C200="",0,IF('설정'!$B$3=0,0,CHOOSE('설정'!$B$3,COUNTIFS('RAW_농산물_7월'!$D:$D,$C200,'RAW_농산물_7월'!$A:$A,$E200),COUNTIFS('RAW_농산물_8월'!$D:$D,$C200,'RAW_농산물_8월'!$A:$A,$E200),COUNTIFS('RAW_농산물_9월'!$D:$D,$C200,'RAW_농산물_9월'!$A:$A,$E200),COUNTIFS('RAW_농산물_10월'!$D:$D,$C200,'RAW_농산물_10월'!$A:$A,$E200),COUNTIFS('RAW_농산물_11-12월'!$D:$D,$C200,'RAW_농산물_11-12월'!$A:$A,$E200))))</f>
        <v>13</v>
      </c>
    </row>
    <row r="201" ht="15.75" customHeight="1">
      <c r="A201" s="5">
        <v>199.0</v>
      </c>
      <c r="B201" s="5" t="s">
        <v>25</v>
      </c>
      <c r="C201" s="5" t="s">
        <v>1323</v>
      </c>
      <c r="D201" s="6" t="s">
        <v>1322</v>
      </c>
      <c r="E201" s="5" t="s">
        <v>93</v>
      </c>
      <c r="F201" s="7">
        <f>IF($C201="","",IF('설정'!$B$3=0,"",CHOOSE('설정'!$B$3,SUMIFS('RAW_농산물_7월'!$F:$F,'RAW_농산물_7월'!$D:$D,$C201,'RAW_농산물_7월'!$A:$A,$E201),SUMIFS('RAW_농산물_8월'!$F:$F,'RAW_농산물_8월'!$D:$D,$C201,'RAW_농산물_8월'!$A:$A,$E201),SUMIFS('RAW_농산물_9월'!$F:$F,'RAW_농산물_9월'!$D:$D,$C201,'RAW_농산물_9월'!$A:$A,$E201),SUMIFS('RAW_농산물_10월'!$F:$F,'RAW_농산물_10월'!$D:$D,$C201,'RAW_농산물_10월'!$A:$A,$E201),SUMIFS('RAW_농산물_11-12월'!$F:$F,'RAW_농산물_11-12월'!$D:$D,$C201,'RAW_농산물_11-12월'!$A:$A,$E201))))</f>
        <v>21744</v>
      </c>
      <c r="G201" s="7">
        <f>IF($C201="","",IF('설정'!$B$3=0,"",CHOOSE('설정'!$B$3,SUMIFS('RAW_농산물_7월'!$G:$G,'RAW_농산물_7월'!$D:$D,$C201,'RAW_농산물_7월'!$A:$A,$E201),SUMIFS('RAW_농산물_8월'!$G:$G,'RAW_농산물_8월'!$D:$D,$C201,'RAW_농산물_8월'!$A:$A,$E201),SUMIFS('RAW_농산물_9월'!$G:$G,'RAW_농산물_9월'!$D:$D,$C201,'RAW_농산물_9월'!$A:$A,$E201),SUMIFS('RAW_농산물_10월'!$G:$G,'RAW_농산물_10월'!$D:$D,$C201,'RAW_농산물_10월'!$A:$A,$E201),SUMIFS('RAW_농산물_11-12월'!$G:$G,'RAW_농산물_11-12월'!$D:$D,$C201,'RAW_농산물_11-12월'!$A:$A,$E201))))</f>
        <v>287536270</v>
      </c>
      <c r="H201" s="14">
        <f>IF($C201="","",IF('설정'!$B$3=0,"",CHOOSE('설정'!$B$3,SUMIFS('RAW_농산물_7월'!$H:$H,'RAW_농산물_7월'!$D:$D,$C201,'RAW_농산물_7월'!$A:$A,$E201),SUMIFS('RAW_농산물_8월'!$H:$H,'RAW_농산물_8월'!$D:$D,$C201,'RAW_농산물_8월'!$A:$A,$E201),SUMIFS('RAW_농산물_9월'!$H:$H,'RAW_농산물_9월'!$D:$D,$C201,'RAW_농산물_9월'!$A:$A,$E201),SUMIFS('RAW_농산물_10월'!$H:$H,'RAW_농산물_10월'!$D:$D,$C201,'RAW_농산물_10월'!$A:$A,$E201),SUMIFS('RAW_농산물_11-12월'!$H:$H,'RAW_농산물_11-12월'!$D:$D,$C201,'RAW_농산물_11-12월'!$A:$A,$E201))))</f>
        <v>6140240</v>
      </c>
      <c r="I201" s="17" t="str">
        <f>IF($C201="","",IF(COUNTIFS('RAW_농산물_7월'!$D:$D,$C201,'RAW_농산물_7월'!$A:$A,$E201)&gt;0,"O",""))</f>
        <v>O</v>
      </c>
      <c r="J201" s="17" t="str">
        <f>IF($C201="","",IF(COUNTIFS('RAW_농산물_8월'!$D:$D,$C201,'RAW_농산물_8월'!$A:$A,$E201)&gt;0,"O",""))</f>
        <v>O</v>
      </c>
      <c r="K201" s="17" t="str">
        <f>IF($C201="","",IF(COUNTIFS('RAW_농산물_9월'!$D:$D,$C201,'RAW_농산물_9월'!$A:$A,$E201)&gt;0,"O",""))</f>
        <v/>
      </c>
      <c r="L201" s="17" t="str">
        <f>IF($C201="","",IF(COUNTIFS('RAW_농산물_10월'!$D:$D,$C201,'RAW_농산물_10월'!$A:$A,$E201)&gt;0,"O",""))</f>
        <v/>
      </c>
      <c r="M201" s="17" t="str">
        <f>IF($C201="","",IF(COUNTIFS('RAW_농산물_11-12월'!$D:$D,$C201,'RAW_농산물_11-12월'!$A:$A,$E201)&gt;0,"O",""))</f>
        <v/>
      </c>
      <c r="N201" s="7">
        <f>IF($C201="","",IF(COUNTA('RAW_농산물_7월'!$A:$A)&lt;=1,"",SUMIFS('RAW_농산물_7월'!$H:$H,'RAW_농산물_7월'!$D:$D,$C201,'RAW_농산물_7월'!$A:$A,$E201)))</f>
        <v>6140240</v>
      </c>
      <c r="O201" s="7">
        <f>IF($C201="","",IF(COUNTA('RAW_농산물_8월'!$A:$A)&lt;=1,"",SUMIFS('RAW_농산물_8월'!$H:$H,'RAW_농산물_8월'!$D:$D,$C201,'RAW_농산물_8월'!$A:$A,$E201)-SUMIFS('RAW_농산물_7월'!$H:$H,'RAW_농산물_7월'!$D:$D,$C201,'RAW_농산물_7월'!$A:$A,$E201)))</f>
        <v>0</v>
      </c>
      <c r="P201" s="7" t="str">
        <f>IF($C201="","",IF(COUNTA('RAW_농산물_9월'!$A:$A)&lt;=1,"",SUMIFS('RAW_농산물_9월'!$H:$H,'RAW_농산물_9월'!$D:$D,$C201,'RAW_농산물_9월'!$A:$A,$E201)-SUMIFS('RAW_농산물_8월'!$H:$H,'RAW_농산물_8월'!$D:$D,$C201,'RAW_농산물_8월'!$A:$A,$E201)))</f>
        <v/>
      </c>
      <c r="Q201" s="7" t="str">
        <f>IF($C201="","",IF(COUNTA('RAW_농산물_10월'!$A:$A)&lt;=1,"",SUMIFS('RAW_농산물_10월'!$H:$H,'RAW_농산물_10월'!$D:$D,$C201,'RAW_농산물_10월'!$A:$A,$E201)-SUMIFS('RAW_농산물_9월'!$H:$H,'RAW_농산물_9월'!$D:$D,$C201,'RAW_농산물_9월'!$A:$A,$E201)))</f>
        <v/>
      </c>
      <c r="R201" s="7" t="str">
        <f>IF($C201="","",IF(COUNTA('RAW_농산물_11-12월'!$A:$A)&lt;=1,"",SUMIFS('RAW_농산물_11-12월'!$H:$H,'RAW_농산물_11-12월'!$D:$D,$C201,'RAW_농산물_11-12월'!$A:$A,$E201)-SUMIFS('RAW_농산물_10월'!$H:$H,'RAW_농산물_10월'!$D:$D,$C201,'RAW_농산물_10월'!$A:$A,$E201)))</f>
        <v/>
      </c>
      <c r="S201" s="17" t="str">
        <f t="shared" si="4"/>
        <v>O</v>
      </c>
      <c r="T201" s="17" t="str">
        <f t="shared" si="5"/>
        <v>700만원 미만</v>
      </c>
      <c r="U201" s="7">
        <f>IF($C201="",0,IF('설정'!$B$3=0,0,CHOOSE('설정'!$B$3,COUNTIFS('RAW_농산물_7월'!$D:$D,$C201,'RAW_농산물_7월'!$A:$A,$E201),COUNTIFS('RAW_농산물_8월'!$D:$D,$C201,'RAW_농산물_8월'!$A:$A,$E201),COUNTIFS('RAW_농산물_9월'!$D:$D,$C201,'RAW_농산물_9월'!$A:$A,$E201),COUNTIFS('RAW_농산물_10월'!$D:$D,$C201,'RAW_농산물_10월'!$A:$A,$E201),COUNTIFS('RAW_농산물_11-12월'!$D:$D,$C201,'RAW_농산물_11-12월'!$A:$A,$E201))))</f>
        <v>1</v>
      </c>
    </row>
    <row r="202" ht="15.75" customHeight="1">
      <c r="A202" s="5">
        <v>200.0</v>
      </c>
      <c r="B202" s="5" t="s">
        <v>25</v>
      </c>
      <c r="C202" s="5" t="s">
        <v>1396</v>
      </c>
      <c r="D202" s="6" t="s">
        <v>1395</v>
      </c>
      <c r="E202" s="5" t="s">
        <v>93</v>
      </c>
      <c r="F202" s="7">
        <f>IF($C202="","",IF('설정'!$B$3=0,"",CHOOSE('설정'!$B$3,SUMIFS('RAW_농산물_7월'!$F:$F,'RAW_농산물_7월'!$D:$D,$C202,'RAW_농산물_7월'!$A:$A,$E202),SUMIFS('RAW_농산물_8월'!$F:$F,'RAW_농산물_8월'!$D:$D,$C202,'RAW_농산물_8월'!$A:$A,$E202),SUMIFS('RAW_농산물_9월'!$F:$F,'RAW_농산물_9월'!$D:$D,$C202,'RAW_농산물_9월'!$A:$A,$E202),SUMIFS('RAW_농산물_10월'!$F:$F,'RAW_농산물_10월'!$D:$D,$C202,'RAW_농산물_10월'!$A:$A,$E202),SUMIFS('RAW_농산물_11-12월'!$F:$F,'RAW_농산물_11-12월'!$D:$D,$C202,'RAW_농산물_11-12월'!$A:$A,$E202))))</f>
        <v>1689</v>
      </c>
      <c r="G202" s="7">
        <f>IF($C202="","",IF('설정'!$B$3=0,"",CHOOSE('설정'!$B$3,SUMIFS('RAW_농산물_7월'!$G:$G,'RAW_농산물_7월'!$D:$D,$C202,'RAW_농산물_7월'!$A:$A,$E202),SUMIFS('RAW_농산물_8월'!$G:$G,'RAW_농산물_8월'!$D:$D,$C202,'RAW_농산물_8월'!$A:$A,$E202),SUMIFS('RAW_농산물_9월'!$G:$G,'RAW_농산물_9월'!$D:$D,$C202,'RAW_농산물_9월'!$A:$A,$E202),SUMIFS('RAW_농산물_10월'!$G:$G,'RAW_농산물_10월'!$D:$D,$C202,'RAW_농산물_10월'!$A:$A,$E202),SUMIFS('RAW_농산물_11-12월'!$G:$G,'RAW_농산물_11-12월'!$D:$D,$C202,'RAW_농산물_11-12월'!$A:$A,$E202))))</f>
        <v>85838000</v>
      </c>
      <c r="H202" s="14">
        <f>IF($C202="","",IF('설정'!$B$3=0,"",CHOOSE('설정'!$B$3,SUMIFS('RAW_농산물_7월'!$H:$H,'RAW_농산물_7월'!$D:$D,$C202,'RAW_농산물_7월'!$A:$A,$E202),SUMIFS('RAW_농산물_8월'!$H:$H,'RAW_농산물_8월'!$D:$D,$C202,'RAW_농산물_8월'!$A:$A,$E202),SUMIFS('RAW_농산물_9월'!$H:$H,'RAW_농산물_9월'!$D:$D,$C202,'RAW_농산물_9월'!$A:$A,$E202),SUMIFS('RAW_농산물_10월'!$H:$H,'RAW_농산물_10월'!$D:$D,$C202,'RAW_농산물_10월'!$A:$A,$E202),SUMIFS('RAW_농산물_11-12월'!$H:$H,'RAW_농산물_11-12월'!$D:$D,$C202,'RAW_농산물_11-12월'!$A:$A,$E202))))</f>
        <v>4965820</v>
      </c>
      <c r="I202" s="17" t="str">
        <f>IF($C202="","",IF(COUNTIFS('RAW_농산물_7월'!$D:$D,$C202,'RAW_농산물_7월'!$A:$A,$E202)&gt;0,"O",""))</f>
        <v>O</v>
      </c>
      <c r="J202" s="17" t="str">
        <f>IF($C202="","",IF(COUNTIFS('RAW_농산물_8월'!$D:$D,$C202,'RAW_농산물_8월'!$A:$A,$E202)&gt;0,"O",""))</f>
        <v>O</v>
      </c>
      <c r="K202" s="17" t="str">
        <f>IF($C202="","",IF(COUNTIFS('RAW_농산물_9월'!$D:$D,$C202,'RAW_농산물_9월'!$A:$A,$E202)&gt;0,"O",""))</f>
        <v/>
      </c>
      <c r="L202" s="17" t="str">
        <f>IF($C202="","",IF(COUNTIFS('RAW_농산물_10월'!$D:$D,$C202,'RAW_농산물_10월'!$A:$A,$E202)&gt;0,"O",""))</f>
        <v/>
      </c>
      <c r="M202" s="17" t="str">
        <f>IF($C202="","",IF(COUNTIFS('RAW_농산물_11-12월'!$D:$D,$C202,'RAW_농산물_11-12월'!$A:$A,$E202)&gt;0,"O",""))</f>
        <v/>
      </c>
      <c r="N202" s="7">
        <f>IF($C202="","",IF(COUNTA('RAW_농산물_7월'!$A:$A)&lt;=1,"",SUMIFS('RAW_농산물_7월'!$H:$H,'RAW_농산물_7월'!$D:$D,$C202,'RAW_농산물_7월'!$A:$A,$E202)))</f>
        <v>4965820</v>
      </c>
      <c r="O202" s="7">
        <f>IF($C202="","",IF(COUNTA('RAW_농산물_8월'!$A:$A)&lt;=1,"",SUMIFS('RAW_농산물_8월'!$H:$H,'RAW_농산물_8월'!$D:$D,$C202,'RAW_농산물_8월'!$A:$A,$E202)-SUMIFS('RAW_농산물_7월'!$H:$H,'RAW_농산물_7월'!$D:$D,$C202,'RAW_농산물_7월'!$A:$A,$E202)))</f>
        <v>0</v>
      </c>
      <c r="P202" s="7" t="str">
        <f>IF($C202="","",IF(COUNTA('RAW_농산물_9월'!$A:$A)&lt;=1,"",SUMIFS('RAW_농산물_9월'!$H:$H,'RAW_농산물_9월'!$D:$D,$C202,'RAW_농산물_9월'!$A:$A,$E202)-SUMIFS('RAW_농산물_8월'!$H:$H,'RAW_농산물_8월'!$D:$D,$C202,'RAW_농산물_8월'!$A:$A,$E202)))</f>
        <v/>
      </c>
      <c r="Q202" s="7" t="str">
        <f>IF($C202="","",IF(COUNTA('RAW_농산물_10월'!$A:$A)&lt;=1,"",SUMIFS('RAW_농산물_10월'!$H:$H,'RAW_농산물_10월'!$D:$D,$C202,'RAW_농산물_10월'!$A:$A,$E202)-SUMIFS('RAW_농산물_9월'!$H:$H,'RAW_농산물_9월'!$D:$D,$C202,'RAW_농산물_9월'!$A:$A,$E202)))</f>
        <v/>
      </c>
      <c r="R202" s="7" t="str">
        <f>IF($C202="","",IF(COUNTA('RAW_농산물_11-12월'!$A:$A)&lt;=1,"",SUMIFS('RAW_농산물_11-12월'!$H:$H,'RAW_농산물_11-12월'!$D:$D,$C202,'RAW_농산물_11-12월'!$A:$A,$E202)-SUMIFS('RAW_농산물_10월'!$H:$H,'RAW_농산물_10월'!$D:$D,$C202,'RAW_농산물_10월'!$A:$A,$E202)))</f>
        <v/>
      </c>
      <c r="S202" s="17" t="str">
        <f t="shared" si="4"/>
        <v>O</v>
      </c>
      <c r="T202" s="17" t="str">
        <f t="shared" si="5"/>
        <v>500만원 미만</v>
      </c>
      <c r="U202" s="7">
        <f>IF($C202="",0,IF('설정'!$B$3=0,0,CHOOSE('설정'!$B$3,COUNTIFS('RAW_농산물_7월'!$D:$D,$C202,'RAW_농산물_7월'!$A:$A,$E202),COUNTIFS('RAW_농산물_8월'!$D:$D,$C202,'RAW_농산물_8월'!$A:$A,$E202),COUNTIFS('RAW_농산물_9월'!$D:$D,$C202,'RAW_농산물_9월'!$A:$A,$E202),COUNTIFS('RAW_농산물_10월'!$D:$D,$C202,'RAW_농산물_10월'!$A:$A,$E202),COUNTIFS('RAW_농산물_11-12월'!$D:$D,$C202,'RAW_농산물_11-12월'!$A:$A,$E202))))</f>
        <v>13</v>
      </c>
    </row>
    <row r="203" ht="15.75" customHeight="1">
      <c r="A203" s="5">
        <v>201.0</v>
      </c>
      <c r="B203" s="5" t="s">
        <v>25</v>
      </c>
      <c r="C203" s="5" t="s">
        <v>1090</v>
      </c>
      <c r="D203" s="6" t="s">
        <v>1089</v>
      </c>
      <c r="E203" s="5" t="s">
        <v>28</v>
      </c>
      <c r="F203" s="7">
        <f>IF($C203="","",IF('설정'!$B$3=0,"",CHOOSE('설정'!$B$3,SUMIFS('RAW_농산물_7월'!$F:$F,'RAW_농산물_7월'!$D:$D,$C203,'RAW_농산물_7월'!$A:$A,$E203),SUMIFS('RAW_농산물_8월'!$F:$F,'RAW_농산물_8월'!$D:$D,$C203,'RAW_농산물_8월'!$A:$A,$E203),SUMIFS('RAW_농산물_9월'!$F:$F,'RAW_농산물_9월'!$D:$D,$C203,'RAW_농산물_9월'!$A:$A,$E203),SUMIFS('RAW_농산물_10월'!$F:$F,'RAW_농산물_10월'!$D:$D,$C203,'RAW_농산물_10월'!$A:$A,$E203),SUMIFS('RAW_농산물_11-12월'!$F:$F,'RAW_농산물_11-12월'!$D:$D,$C203,'RAW_농산물_11-12월'!$A:$A,$E203))))</f>
        <v>0</v>
      </c>
      <c r="G203" s="7">
        <f>IF($C203="","",IF('설정'!$B$3=0,"",CHOOSE('설정'!$B$3,SUMIFS('RAW_농산물_7월'!$G:$G,'RAW_농산물_7월'!$D:$D,$C203,'RAW_농산물_7월'!$A:$A,$E203),SUMIFS('RAW_농산물_8월'!$G:$G,'RAW_농산물_8월'!$D:$D,$C203,'RAW_농산물_8월'!$A:$A,$E203),SUMIFS('RAW_농산물_9월'!$G:$G,'RAW_농산물_9월'!$D:$D,$C203,'RAW_농산물_9월'!$A:$A,$E203),SUMIFS('RAW_농산물_10월'!$G:$G,'RAW_농산물_10월'!$D:$D,$C203,'RAW_농산물_10월'!$A:$A,$E203),SUMIFS('RAW_농산물_11-12월'!$G:$G,'RAW_농산물_11-12월'!$D:$D,$C203,'RAW_농산물_11-12월'!$A:$A,$E203))))</f>
        <v>0</v>
      </c>
      <c r="H203" s="14">
        <f>IF($C203="","",IF('설정'!$B$3=0,"",CHOOSE('설정'!$B$3,SUMIFS('RAW_농산물_7월'!$H:$H,'RAW_농산물_7월'!$D:$D,$C203,'RAW_농산물_7월'!$A:$A,$E203),SUMIFS('RAW_농산물_8월'!$H:$H,'RAW_농산물_8월'!$D:$D,$C203,'RAW_농산물_8월'!$A:$A,$E203),SUMIFS('RAW_농산물_9월'!$H:$H,'RAW_농산물_9월'!$D:$D,$C203,'RAW_농산물_9월'!$A:$A,$E203),SUMIFS('RAW_농산물_10월'!$H:$H,'RAW_농산물_10월'!$D:$D,$C203,'RAW_농산물_10월'!$A:$A,$E203),SUMIFS('RAW_농산물_11-12월'!$H:$H,'RAW_농산물_11-12월'!$D:$D,$C203,'RAW_농산물_11-12월'!$A:$A,$E203))))</f>
        <v>0</v>
      </c>
      <c r="I203" s="17" t="str">
        <f>IF($C203="","",IF(COUNTIFS('RAW_농산물_7월'!$D:$D,$C203,'RAW_농산물_7월'!$A:$A,$E203)&gt;0,"O",""))</f>
        <v>O</v>
      </c>
      <c r="J203" s="17" t="str">
        <f>IF($C203="","",IF(COUNTIFS('RAW_농산물_8월'!$D:$D,$C203,'RAW_농산물_8월'!$A:$A,$E203)&gt;0,"O",""))</f>
        <v>O</v>
      </c>
      <c r="K203" s="17" t="str">
        <f>IF($C203="","",IF(COUNTIFS('RAW_농산물_9월'!$D:$D,$C203,'RAW_농산물_9월'!$A:$A,$E203)&gt;0,"O",""))</f>
        <v/>
      </c>
      <c r="L203" s="17" t="str">
        <f>IF($C203="","",IF(COUNTIFS('RAW_농산물_10월'!$D:$D,$C203,'RAW_농산물_10월'!$A:$A,$E203)&gt;0,"O",""))</f>
        <v/>
      </c>
      <c r="M203" s="17" t="str">
        <f>IF($C203="","",IF(COUNTIFS('RAW_농산물_11-12월'!$D:$D,$C203,'RAW_농산물_11-12월'!$A:$A,$E203)&gt;0,"O",""))</f>
        <v/>
      </c>
      <c r="N203" s="7">
        <f>IF($C203="","",IF(COUNTA('RAW_농산물_7월'!$A:$A)&lt;=1,"",SUMIFS('RAW_농산물_7월'!$H:$H,'RAW_농산물_7월'!$D:$D,$C203,'RAW_농산물_7월'!$A:$A,$E203)))</f>
        <v>0</v>
      </c>
      <c r="O203" s="7">
        <f>IF($C203="","",IF(COUNTA('RAW_농산물_8월'!$A:$A)&lt;=1,"",SUMIFS('RAW_농산물_8월'!$H:$H,'RAW_농산물_8월'!$D:$D,$C203,'RAW_농산물_8월'!$A:$A,$E203)-SUMIFS('RAW_농산물_7월'!$H:$H,'RAW_농산물_7월'!$D:$D,$C203,'RAW_농산물_7월'!$A:$A,$E203)))</f>
        <v>0</v>
      </c>
      <c r="P203" s="7" t="str">
        <f>IF($C203="","",IF(COUNTA('RAW_농산물_9월'!$A:$A)&lt;=1,"",SUMIFS('RAW_농산물_9월'!$H:$H,'RAW_농산물_9월'!$D:$D,$C203,'RAW_농산물_9월'!$A:$A,$E203)-SUMIFS('RAW_농산물_8월'!$H:$H,'RAW_농산물_8월'!$D:$D,$C203,'RAW_농산물_8월'!$A:$A,$E203)))</f>
        <v/>
      </c>
      <c r="Q203" s="7" t="str">
        <f>IF($C203="","",IF(COUNTA('RAW_농산물_10월'!$A:$A)&lt;=1,"",SUMIFS('RAW_농산물_10월'!$H:$H,'RAW_농산물_10월'!$D:$D,$C203,'RAW_농산물_10월'!$A:$A,$E203)-SUMIFS('RAW_농산물_9월'!$H:$H,'RAW_농산물_9월'!$D:$D,$C203,'RAW_농산물_9월'!$A:$A,$E203)))</f>
        <v/>
      </c>
      <c r="R203" s="7" t="str">
        <f>IF($C203="","",IF(COUNTA('RAW_농산물_11-12월'!$A:$A)&lt;=1,"",SUMIFS('RAW_농산물_11-12월'!$H:$H,'RAW_농산물_11-12월'!$D:$D,$C203,'RAW_농산물_11-12월'!$A:$A,$E203)-SUMIFS('RAW_농산물_10월'!$H:$H,'RAW_농산물_10월'!$D:$D,$C203,'RAW_농산물_10월'!$A:$A,$E203)))</f>
        <v/>
      </c>
      <c r="S203" s="17" t="str">
        <f t="shared" si="4"/>
        <v>O</v>
      </c>
      <c r="T203" s="17" t="str">
        <f t="shared" si="5"/>
        <v>미사용</v>
      </c>
      <c r="U203" s="7">
        <f>IF($C203="",0,IF('설정'!$B$3=0,0,CHOOSE('설정'!$B$3,COUNTIFS('RAW_농산물_7월'!$D:$D,$C203,'RAW_농산물_7월'!$A:$A,$E203),COUNTIFS('RAW_농산물_8월'!$D:$D,$C203,'RAW_농산물_8월'!$A:$A,$E203),COUNTIFS('RAW_농산물_9월'!$D:$D,$C203,'RAW_농산물_9월'!$A:$A,$E203),COUNTIFS('RAW_농산물_10월'!$D:$D,$C203,'RAW_농산물_10월'!$A:$A,$E203),COUNTIFS('RAW_농산물_11-12월'!$D:$D,$C203,'RAW_농산물_11-12월'!$A:$A,$E203))))</f>
        <v>7</v>
      </c>
    </row>
    <row r="204" ht="15.75" customHeight="1">
      <c r="A204" s="5">
        <v>202.0</v>
      </c>
      <c r="B204" s="5" t="s">
        <v>25</v>
      </c>
      <c r="C204" s="5" t="s">
        <v>1854</v>
      </c>
      <c r="D204" s="6" t="s">
        <v>1853</v>
      </c>
      <c r="E204" s="5" t="s">
        <v>93</v>
      </c>
      <c r="F204" s="7">
        <f>IF($C204="","",IF('설정'!$B$3=0,"",CHOOSE('설정'!$B$3,SUMIFS('RAW_농산물_7월'!$F:$F,'RAW_농산물_7월'!$D:$D,$C204,'RAW_농산물_7월'!$A:$A,$E204),SUMIFS('RAW_농산물_8월'!$F:$F,'RAW_농산물_8월'!$D:$D,$C204,'RAW_농산물_8월'!$A:$A,$E204),SUMIFS('RAW_농산물_9월'!$F:$F,'RAW_농산물_9월'!$D:$D,$C204,'RAW_농산물_9월'!$A:$A,$E204),SUMIFS('RAW_농산물_10월'!$F:$F,'RAW_농산물_10월'!$D:$D,$C204,'RAW_농산물_10월'!$A:$A,$E204),SUMIFS('RAW_농산물_11-12월'!$F:$F,'RAW_농산물_11-12월'!$D:$D,$C204,'RAW_농산물_11-12월'!$A:$A,$E204))))</f>
        <v>0</v>
      </c>
      <c r="G204" s="7">
        <f>IF($C204="","",IF('설정'!$B$3=0,"",CHOOSE('설정'!$B$3,SUMIFS('RAW_농산물_7월'!$G:$G,'RAW_농산물_7월'!$D:$D,$C204,'RAW_농산물_7월'!$A:$A,$E204),SUMIFS('RAW_농산물_8월'!$G:$G,'RAW_농산물_8월'!$D:$D,$C204,'RAW_농산물_8월'!$A:$A,$E204),SUMIFS('RAW_농산물_9월'!$G:$G,'RAW_농산물_9월'!$D:$D,$C204,'RAW_농산물_9월'!$A:$A,$E204),SUMIFS('RAW_농산물_10월'!$G:$G,'RAW_농산물_10월'!$D:$D,$C204,'RAW_농산물_10월'!$A:$A,$E204),SUMIFS('RAW_농산물_11-12월'!$G:$G,'RAW_농산물_11-12월'!$D:$D,$C204,'RAW_농산물_11-12월'!$A:$A,$E204))))</f>
        <v>0</v>
      </c>
      <c r="H204" s="14">
        <f>IF($C204="","",IF('설정'!$B$3=0,"",CHOOSE('설정'!$B$3,SUMIFS('RAW_농산물_7월'!$H:$H,'RAW_농산물_7월'!$D:$D,$C204,'RAW_농산물_7월'!$A:$A,$E204),SUMIFS('RAW_농산물_8월'!$H:$H,'RAW_농산물_8월'!$D:$D,$C204,'RAW_농산물_8월'!$A:$A,$E204),SUMIFS('RAW_농산물_9월'!$H:$H,'RAW_농산물_9월'!$D:$D,$C204,'RAW_농산물_9월'!$A:$A,$E204),SUMIFS('RAW_농산물_10월'!$H:$H,'RAW_농산물_10월'!$D:$D,$C204,'RAW_농산물_10월'!$A:$A,$E204),SUMIFS('RAW_농산물_11-12월'!$H:$H,'RAW_농산물_11-12월'!$D:$D,$C204,'RAW_농산물_11-12월'!$A:$A,$E204))))</f>
        <v>0</v>
      </c>
      <c r="I204" s="17" t="str">
        <f>IF($C204="","",IF(COUNTIFS('RAW_농산물_7월'!$D:$D,$C204,'RAW_농산물_7월'!$A:$A,$E204)&gt;0,"O",""))</f>
        <v/>
      </c>
      <c r="J204" s="17" t="str">
        <f>IF($C204="","",IF(COUNTIFS('RAW_농산물_8월'!$D:$D,$C204,'RAW_농산물_8월'!$A:$A,$E204)&gt;0,"O",""))</f>
        <v>O</v>
      </c>
      <c r="K204" s="17" t="str">
        <f>IF($C204="","",IF(COUNTIFS('RAW_농산물_9월'!$D:$D,$C204,'RAW_농산물_9월'!$A:$A,$E204)&gt;0,"O",""))</f>
        <v/>
      </c>
      <c r="L204" s="17" t="str">
        <f>IF($C204="","",IF(COUNTIFS('RAW_농산물_10월'!$D:$D,$C204,'RAW_농산물_10월'!$A:$A,$E204)&gt;0,"O",""))</f>
        <v/>
      </c>
      <c r="M204" s="17" t="str">
        <f>IF($C204="","",IF(COUNTIFS('RAW_농산물_11-12월'!$D:$D,$C204,'RAW_농산물_11-12월'!$A:$A,$E204)&gt;0,"O",""))</f>
        <v/>
      </c>
      <c r="N204" s="7">
        <f>IF($C204="","",IF(COUNTA('RAW_농산물_7월'!$A:$A)&lt;=1,"",SUMIFS('RAW_농산물_7월'!$H:$H,'RAW_농산물_7월'!$D:$D,$C204,'RAW_농산물_7월'!$A:$A,$E204)))</f>
        <v>0</v>
      </c>
      <c r="O204" s="7">
        <f>IF($C204="","",IF(COUNTA('RAW_농산물_8월'!$A:$A)&lt;=1,"",SUMIFS('RAW_농산물_8월'!$H:$H,'RAW_농산물_8월'!$D:$D,$C204,'RAW_농산물_8월'!$A:$A,$E204)-SUMIFS('RAW_농산물_7월'!$H:$H,'RAW_농산물_7월'!$D:$D,$C204,'RAW_농산물_7월'!$A:$A,$E204)))</f>
        <v>0</v>
      </c>
      <c r="P204" s="7" t="str">
        <f>IF($C204="","",IF(COUNTA('RAW_농산물_9월'!$A:$A)&lt;=1,"",SUMIFS('RAW_농산물_9월'!$H:$H,'RAW_농산물_9월'!$D:$D,$C204,'RAW_농산물_9월'!$A:$A,$E204)-SUMIFS('RAW_농산물_8월'!$H:$H,'RAW_농산물_8월'!$D:$D,$C204,'RAW_농산물_8월'!$A:$A,$E204)))</f>
        <v/>
      </c>
      <c r="Q204" s="7" t="str">
        <f>IF($C204="","",IF(COUNTA('RAW_농산물_10월'!$A:$A)&lt;=1,"",SUMIFS('RAW_농산물_10월'!$H:$H,'RAW_농산물_10월'!$D:$D,$C204,'RAW_농산물_10월'!$A:$A,$E204)-SUMIFS('RAW_농산물_9월'!$H:$H,'RAW_농산물_9월'!$D:$D,$C204,'RAW_농산물_9월'!$A:$A,$E204)))</f>
        <v/>
      </c>
      <c r="R204" s="7" t="str">
        <f>IF($C204="","",IF(COUNTA('RAW_농산물_11-12월'!$A:$A)&lt;=1,"",SUMIFS('RAW_농산물_11-12월'!$H:$H,'RAW_농산물_11-12월'!$D:$D,$C204,'RAW_농산물_11-12월'!$A:$A,$E204)-SUMIFS('RAW_농산물_10월'!$H:$H,'RAW_농산물_10월'!$D:$D,$C204,'RAW_농산물_10월'!$A:$A,$E204)))</f>
        <v/>
      </c>
      <c r="S204" s="17" t="str">
        <f t="shared" si="4"/>
        <v>O</v>
      </c>
      <c r="T204" s="17" t="str">
        <f t="shared" si="5"/>
        <v>미사용</v>
      </c>
      <c r="U204" s="7">
        <f>IF($C204="",0,IF('설정'!$B$3=0,0,CHOOSE('설정'!$B$3,COUNTIFS('RAW_농산물_7월'!$D:$D,$C204,'RAW_농산물_7월'!$A:$A,$E204),COUNTIFS('RAW_농산물_8월'!$D:$D,$C204,'RAW_농산물_8월'!$A:$A,$E204),COUNTIFS('RAW_농산물_9월'!$D:$D,$C204,'RAW_농산물_9월'!$A:$A,$E204),COUNTIFS('RAW_농산물_10월'!$D:$D,$C204,'RAW_농산물_10월'!$A:$A,$E204),COUNTIFS('RAW_농산물_11-12월'!$D:$D,$C204,'RAW_농산물_11-12월'!$A:$A,$E204))))</f>
        <v>4</v>
      </c>
    </row>
    <row r="205" ht="15.75" customHeight="1">
      <c r="A205" s="5">
        <v>203.0</v>
      </c>
      <c r="B205" s="5" t="s">
        <v>108</v>
      </c>
      <c r="C205" s="5" t="s">
        <v>765</v>
      </c>
      <c r="D205" s="6" t="s">
        <v>764</v>
      </c>
      <c r="E205" s="5" t="s">
        <v>92</v>
      </c>
      <c r="F205" s="7">
        <f>IF($C205="","",IF('설정'!$B$3=0,"",CHOOSE('설정'!$B$3,SUMIFS('RAW_농산물_7월'!$F:$F,'RAW_농산물_7월'!$D:$D,$C205,'RAW_농산물_7월'!$A:$A,$E205),SUMIFS('RAW_농산물_8월'!$F:$F,'RAW_농산물_8월'!$D:$D,$C205,'RAW_농산물_8월'!$A:$A,$E205),SUMIFS('RAW_농산물_9월'!$F:$F,'RAW_농산물_9월'!$D:$D,$C205,'RAW_농산물_9월'!$A:$A,$E205),SUMIFS('RAW_농산물_10월'!$F:$F,'RAW_농산물_10월'!$D:$D,$C205,'RAW_농산물_10월'!$A:$A,$E205),SUMIFS('RAW_농산물_11-12월'!$F:$F,'RAW_농산물_11-12월'!$D:$D,$C205,'RAW_농산물_11-12월'!$A:$A,$E205))))</f>
        <v>1</v>
      </c>
      <c r="G205" s="7">
        <f>IF($C205="","",IF('설정'!$B$3=0,"",CHOOSE('설정'!$B$3,SUMIFS('RAW_농산물_7월'!$G:$G,'RAW_농산물_7월'!$D:$D,$C205,'RAW_농산물_7월'!$A:$A,$E205),SUMIFS('RAW_농산물_8월'!$G:$G,'RAW_농산물_8월'!$D:$D,$C205,'RAW_농산물_8월'!$A:$A,$E205),SUMIFS('RAW_농산물_9월'!$G:$G,'RAW_농산물_9월'!$D:$D,$C205,'RAW_농산물_9월'!$A:$A,$E205),SUMIFS('RAW_농산물_10월'!$G:$G,'RAW_농산물_10월'!$D:$D,$C205,'RAW_농산물_10월'!$A:$A,$E205),SUMIFS('RAW_농산물_11-12월'!$G:$G,'RAW_농산물_11-12월'!$D:$D,$C205,'RAW_농산물_11-12월'!$A:$A,$E205))))</f>
        <v>36900</v>
      </c>
      <c r="H205" s="14">
        <f>IF($C205="","",IF('설정'!$B$3=0,"",CHOOSE('설정'!$B$3,SUMIFS('RAW_농산물_7월'!$H:$H,'RAW_농산물_7월'!$D:$D,$C205,'RAW_농산물_7월'!$A:$A,$E205),SUMIFS('RAW_농산물_8월'!$H:$H,'RAW_농산물_8월'!$D:$D,$C205,'RAW_농산물_8월'!$A:$A,$E205),SUMIFS('RAW_농산물_9월'!$H:$H,'RAW_농산물_9월'!$D:$D,$C205,'RAW_농산물_9월'!$A:$A,$E205),SUMIFS('RAW_농산물_10월'!$H:$H,'RAW_농산물_10월'!$D:$D,$C205,'RAW_농산물_10월'!$A:$A,$E205),SUMIFS('RAW_농산물_11-12월'!$H:$H,'RAW_농산물_11-12월'!$D:$D,$C205,'RAW_농산물_11-12월'!$A:$A,$E205))))</f>
        <v>0</v>
      </c>
      <c r="I205" s="17" t="str">
        <f>IF($C205="","",IF(COUNTIFS('RAW_농산물_7월'!$D:$D,$C205,'RAW_농산물_7월'!$A:$A,$E205)&gt;0,"O",""))</f>
        <v>O</v>
      </c>
      <c r="J205" s="17" t="str">
        <f>IF($C205="","",IF(COUNTIFS('RAW_농산물_8월'!$D:$D,$C205,'RAW_농산물_8월'!$A:$A,$E205)&gt;0,"O",""))</f>
        <v>O</v>
      </c>
      <c r="K205" s="17" t="str">
        <f>IF($C205="","",IF(COUNTIFS('RAW_농산물_9월'!$D:$D,$C205,'RAW_농산물_9월'!$A:$A,$E205)&gt;0,"O",""))</f>
        <v/>
      </c>
      <c r="L205" s="17" t="str">
        <f>IF($C205="","",IF(COUNTIFS('RAW_농산물_10월'!$D:$D,$C205,'RAW_농산물_10월'!$A:$A,$E205)&gt;0,"O",""))</f>
        <v/>
      </c>
      <c r="M205" s="17" t="str">
        <f>IF($C205="","",IF(COUNTIFS('RAW_농산물_11-12월'!$D:$D,$C205,'RAW_농산물_11-12월'!$A:$A,$E205)&gt;0,"O",""))</f>
        <v/>
      </c>
      <c r="N205" s="7">
        <f>IF($C205="","",IF(COUNTA('RAW_농산물_7월'!$A:$A)&lt;=1,"",SUMIFS('RAW_농산물_7월'!$H:$H,'RAW_농산물_7월'!$D:$D,$C205,'RAW_농산물_7월'!$A:$A,$E205)))</f>
        <v>0</v>
      </c>
      <c r="O205" s="7">
        <f>IF($C205="","",IF(COUNTA('RAW_농산물_8월'!$A:$A)&lt;=1,"",SUMIFS('RAW_농산물_8월'!$H:$H,'RAW_농산물_8월'!$D:$D,$C205,'RAW_농산물_8월'!$A:$A,$E205)-SUMIFS('RAW_농산물_7월'!$H:$H,'RAW_농산물_7월'!$D:$D,$C205,'RAW_농산물_7월'!$A:$A,$E205)))</f>
        <v>0</v>
      </c>
      <c r="P205" s="7" t="str">
        <f>IF($C205="","",IF(COUNTA('RAW_농산물_9월'!$A:$A)&lt;=1,"",SUMIFS('RAW_농산물_9월'!$H:$H,'RAW_농산물_9월'!$D:$D,$C205,'RAW_농산물_9월'!$A:$A,$E205)-SUMIFS('RAW_농산물_8월'!$H:$H,'RAW_농산물_8월'!$D:$D,$C205,'RAW_농산물_8월'!$A:$A,$E205)))</f>
        <v/>
      </c>
      <c r="Q205" s="7" t="str">
        <f>IF($C205="","",IF(COUNTA('RAW_농산물_10월'!$A:$A)&lt;=1,"",SUMIFS('RAW_농산물_10월'!$H:$H,'RAW_농산물_10월'!$D:$D,$C205,'RAW_농산물_10월'!$A:$A,$E205)-SUMIFS('RAW_농산물_9월'!$H:$H,'RAW_농산물_9월'!$D:$D,$C205,'RAW_농산물_9월'!$A:$A,$E205)))</f>
        <v/>
      </c>
      <c r="R205" s="7" t="str">
        <f>IF($C205="","",IF(COUNTA('RAW_농산물_11-12월'!$A:$A)&lt;=1,"",SUMIFS('RAW_농산물_11-12월'!$H:$H,'RAW_농산물_11-12월'!$D:$D,$C205,'RAW_농산물_11-12월'!$A:$A,$E205)-SUMIFS('RAW_농산물_10월'!$H:$H,'RAW_농산물_10월'!$D:$D,$C205,'RAW_농산물_10월'!$A:$A,$E205)))</f>
        <v/>
      </c>
      <c r="S205" s="17" t="str">
        <f t="shared" si="4"/>
        <v>O</v>
      </c>
      <c r="T205" s="17" t="str">
        <f t="shared" si="5"/>
        <v>미사용</v>
      </c>
      <c r="U205" s="7">
        <f>IF($C205="",0,IF('설정'!$B$3=0,0,CHOOSE('설정'!$B$3,COUNTIFS('RAW_농산물_7월'!$D:$D,$C205,'RAW_농산물_7월'!$A:$A,$E205),COUNTIFS('RAW_농산물_8월'!$D:$D,$C205,'RAW_농산물_8월'!$A:$A,$E205),COUNTIFS('RAW_농산물_9월'!$D:$D,$C205,'RAW_농산물_9월'!$A:$A,$E205),COUNTIFS('RAW_농산물_10월'!$D:$D,$C205,'RAW_농산물_10월'!$A:$A,$E205),COUNTIFS('RAW_농산물_11-12월'!$D:$D,$C205,'RAW_농산물_11-12월'!$A:$A,$E205))))</f>
        <v>5</v>
      </c>
    </row>
    <row r="206" ht="15.75" customHeight="1">
      <c r="A206" s="5">
        <v>204.0</v>
      </c>
      <c r="B206" s="5" t="s">
        <v>25</v>
      </c>
      <c r="C206" s="5" t="s">
        <v>1712</v>
      </c>
      <c r="D206" s="6" t="s">
        <v>1711</v>
      </c>
      <c r="E206" s="5" t="s">
        <v>31</v>
      </c>
      <c r="F206" s="7">
        <f>IF($C206="","",IF('설정'!$B$3=0,"",CHOOSE('설정'!$B$3,SUMIFS('RAW_농산물_7월'!$F:$F,'RAW_농산물_7월'!$D:$D,$C206,'RAW_농산물_7월'!$A:$A,$E206),SUMIFS('RAW_농산물_8월'!$F:$F,'RAW_농산물_8월'!$D:$D,$C206,'RAW_농산물_8월'!$A:$A,$E206),SUMIFS('RAW_농산물_9월'!$F:$F,'RAW_농산물_9월'!$D:$D,$C206,'RAW_농산물_9월'!$A:$A,$E206),SUMIFS('RAW_농산물_10월'!$F:$F,'RAW_농산물_10월'!$D:$D,$C206,'RAW_농산물_10월'!$A:$A,$E206),SUMIFS('RAW_농산물_11-12월'!$F:$F,'RAW_농산물_11-12월'!$D:$D,$C206,'RAW_농산물_11-12월'!$A:$A,$E206))))</f>
        <v>162</v>
      </c>
      <c r="G206" s="7">
        <f>IF($C206="","",IF('설정'!$B$3=0,"",CHOOSE('설정'!$B$3,SUMIFS('RAW_농산물_7월'!$G:$G,'RAW_농산물_7월'!$D:$D,$C206,'RAW_농산물_7월'!$A:$A,$E206),SUMIFS('RAW_농산물_8월'!$G:$G,'RAW_농산물_8월'!$D:$D,$C206,'RAW_농산물_8월'!$A:$A,$E206),SUMIFS('RAW_농산물_9월'!$G:$G,'RAW_농산물_9월'!$D:$D,$C206,'RAW_농산물_9월'!$A:$A,$E206),SUMIFS('RAW_농산물_10월'!$G:$G,'RAW_농산물_10월'!$D:$D,$C206,'RAW_농산물_10월'!$A:$A,$E206),SUMIFS('RAW_농산물_11-12월'!$G:$G,'RAW_농산물_11-12월'!$D:$D,$C206,'RAW_농산물_11-12월'!$A:$A,$E206))))</f>
        <v>2585100</v>
      </c>
      <c r="H206" s="14">
        <f>IF($C206="","",IF('설정'!$B$3=0,"",CHOOSE('설정'!$B$3,SUMIFS('RAW_농산물_7월'!$H:$H,'RAW_농산물_7월'!$D:$D,$C206,'RAW_농산물_7월'!$A:$A,$E206),SUMIFS('RAW_농산물_8월'!$H:$H,'RAW_농산물_8월'!$D:$D,$C206,'RAW_농산물_8월'!$A:$A,$E206),SUMIFS('RAW_농산물_9월'!$H:$H,'RAW_농산물_9월'!$D:$D,$C206,'RAW_농산물_9월'!$A:$A,$E206),SUMIFS('RAW_농산물_10월'!$H:$H,'RAW_농산물_10월'!$D:$D,$C206,'RAW_농산물_10월'!$A:$A,$E206),SUMIFS('RAW_농산물_11-12월'!$H:$H,'RAW_농산물_11-12월'!$D:$D,$C206,'RAW_농산물_11-12월'!$A:$A,$E206))))</f>
        <v>357549</v>
      </c>
      <c r="I206" s="17" t="str">
        <f>IF($C206="","",IF(COUNTIFS('RAW_농산물_7월'!$D:$D,$C206,'RAW_농산물_7월'!$A:$A,$E206)&gt;0,"O",""))</f>
        <v>O</v>
      </c>
      <c r="J206" s="17" t="str">
        <f>IF($C206="","",IF(COUNTIFS('RAW_농산물_8월'!$D:$D,$C206,'RAW_농산물_8월'!$A:$A,$E206)&gt;0,"O",""))</f>
        <v>O</v>
      </c>
      <c r="K206" s="17" t="str">
        <f>IF($C206="","",IF(COUNTIFS('RAW_농산물_9월'!$D:$D,$C206,'RAW_농산물_9월'!$A:$A,$E206)&gt;0,"O",""))</f>
        <v/>
      </c>
      <c r="L206" s="17" t="str">
        <f>IF($C206="","",IF(COUNTIFS('RAW_농산물_10월'!$D:$D,$C206,'RAW_농산물_10월'!$A:$A,$E206)&gt;0,"O",""))</f>
        <v/>
      </c>
      <c r="M206" s="17" t="str">
        <f>IF($C206="","",IF(COUNTIFS('RAW_농산물_11-12월'!$D:$D,$C206,'RAW_농산물_11-12월'!$A:$A,$E206)&gt;0,"O",""))</f>
        <v/>
      </c>
      <c r="N206" s="7">
        <f>IF($C206="","",IF(COUNTA('RAW_농산물_7월'!$A:$A)&lt;=1,"",SUMIFS('RAW_농산물_7월'!$H:$H,'RAW_농산물_7월'!$D:$D,$C206,'RAW_농산물_7월'!$A:$A,$E206)))</f>
        <v>70489</v>
      </c>
      <c r="O206" s="7">
        <f>IF($C206="","",IF(COUNTA('RAW_농산물_8월'!$A:$A)&lt;=1,"",SUMIFS('RAW_농산물_8월'!$H:$H,'RAW_농산물_8월'!$D:$D,$C206,'RAW_농산물_8월'!$A:$A,$E206)-SUMIFS('RAW_농산물_7월'!$H:$H,'RAW_농산물_7월'!$D:$D,$C206,'RAW_농산물_7월'!$A:$A,$E206)))</f>
        <v>287060</v>
      </c>
      <c r="P206" s="7" t="str">
        <f>IF($C206="","",IF(COUNTA('RAW_농산물_9월'!$A:$A)&lt;=1,"",SUMIFS('RAW_농산물_9월'!$H:$H,'RAW_농산물_9월'!$D:$D,$C206,'RAW_농산물_9월'!$A:$A,$E206)-SUMIFS('RAW_농산물_8월'!$H:$H,'RAW_농산물_8월'!$D:$D,$C206,'RAW_농산물_8월'!$A:$A,$E206)))</f>
        <v/>
      </c>
      <c r="Q206" s="7" t="str">
        <f>IF($C206="","",IF(COUNTA('RAW_농산물_10월'!$A:$A)&lt;=1,"",SUMIFS('RAW_농산물_10월'!$H:$H,'RAW_농산물_10월'!$D:$D,$C206,'RAW_농산물_10월'!$A:$A,$E206)-SUMIFS('RAW_농산물_9월'!$H:$H,'RAW_농산물_9월'!$D:$D,$C206,'RAW_농산물_9월'!$A:$A,$E206)))</f>
        <v/>
      </c>
      <c r="R206" s="7" t="str">
        <f>IF($C206="","",IF(COUNTA('RAW_농산물_11-12월'!$A:$A)&lt;=1,"",SUMIFS('RAW_농산물_11-12월'!$H:$H,'RAW_농산물_11-12월'!$D:$D,$C206,'RAW_농산물_11-12월'!$A:$A,$E206)-SUMIFS('RAW_농산물_10월'!$H:$H,'RAW_농산물_10월'!$D:$D,$C206,'RAW_농산물_10월'!$A:$A,$E206)))</f>
        <v/>
      </c>
      <c r="S206" s="17" t="str">
        <f t="shared" si="4"/>
        <v>O</v>
      </c>
      <c r="T206" s="17" t="str">
        <f t="shared" si="5"/>
        <v>50만원 미만</v>
      </c>
      <c r="U206" s="7">
        <f>IF($C206="",0,IF('설정'!$B$3=0,0,CHOOSE('설정'!$B$3,COUNTIFS('RAW_농산물_7월'!$D:$D,$C206,'RAW_농산물_7월'!$A:$A,$E206),COUNTIFS('RAW_농산물_8월'!$D:$D,$C206,'RAW_농산물_8월'!$A:$A,$E206),COUNTIFS('RAW_농산물_9월'!$D:$D,$C206,'RAW_농산물_9월'!$A:$A,$E206),COUNTIFS('RAW_농산물_10월'!$D:$D,$C206,'RAW_농산물_10월'!$A:$A,$E206),COUNTIFS('RAW_농산물_11-12월'!$D:$D,$C206,'RAW_농산물_11-12월'!$A:$A,$E206))))</f>
        <v>10</v>
      </c>
    </row>
    <row r="207" ht="15.75" customHeight="1">
      <c r="A207" s="5">
        <v>205.0</v>
      </c>
      <c r="B207" s="5" t="s">
        <v>25</v>
      </c>
      <c r="C207" s="5" t="s">
        <v>1229</v>
      </c>
      <c r="D207" s="6" t="s">
        <v>1228</v>
      </c>
      <c r="E207" s="5" t="s">
        <v>94</v>
      </c>
      <c r="F207" s="7">
        <f>IF($C207="","",IF('설정'!$B$3=0,"",CHOOSE('설정'!$B$3,SUMIFS('RAW_농산물_7월'!$F:$F,'RAW_농산물_7월'!$D:$D,$C207,'RAW_농산물_7월'!$A:$A,$E207),SUMIFS('RAW_농산물_8월'!$F:$F,'RAW_농산물_8월'!$D:$D,$C207,'RAW_농산물_8월'!$A:$A,$E207),SUMIFS('RAW_농산물_9월'!$F:$F,'RAW_농산물_9월'!$D:$D,$C207,'RAW_농산물_9월'!$A:$A,$E207),SUMIFS('RAW_농산물_10월'!$F:$F,'RAW_농산물_10월'!$D:$D,$C207,'RAW_농산물_10월'!$A:$A,$E207),SUMIFS('RAW_농산물_11-12월'!$F:$F,'RAW_농산물_11-12월'!$D:$D,$C207,'RAW_농산물_11-12월'!$A:$A,$E207))))</f>
        <v>531</v>
      </c>
      <c r="G207" s="7">
        <f>IF($C207="","",IF('설정'!$B$3=0,"",CHOOSE('설정'!$B$3,SUMIFS('RAW_농산물_7월'!$G:$G,'RAW_농산물_7월'!$D:$D,$C207,'RAW_농산물_7월'!$A:$A,$E207),SUMIFS('RAW_농산물_8월'!$G:$G,'RAW_농산물_8월'!$D:$D,$C207,'RAW_농산물_8월'!$A:$A,$E207),SUMIFS('RAW_농산물_9월'!$G:$G,'RAW_농산물_9월'!$D:$D,$C207,'RAW_농산물_9월'!$A:$A,$E207),SUMIFS('RAW_농산물_10월'!$G:$G,'RAW_농산물_10월'!$D:$D,$C207,'RAW_농산물_10월'!$A:$A,$E207),SUMIFS('RAW_농산물_11-12월'!$G:$G,'RAW_농산물_11-12월'!$D:$D,$C207,'RAW_농산물_11-12월'!$A:$A,$E207))))</f>
        <v>22703100</v>
      </c>
      <c r="H207" s="14">
        <f>IF($C207="","",IF('설정'!$B$3=0,"",CHOOSE('설정'!$B$3,SUMIFS('RAW_농산물_7월'!$H:$H,'RAW_농산물_7월'!$D:$D,$C207,'RAW_농산물_7월'!$A:$A,$E207),SUMIFS('RAW_농산물_8월'!$H:$H,'RAW_농산물_8월'!$D:$D,$C207,'RAW_농산물_8월'!$A:$A,$E207),SUMIFS('RAW_농산물_9월'!$H:$H,'RAW_농산물_9월'!$D:$D,$C207,'RAW_농산물_9월'!$A:$A,$E207),SUMIFS('RAW_농산물_10월'!$H:$H,'RAW_농산물_10월'!$D:$D,$C207,'RAW_농산물_10월'!$A:$A,$E207),SUMIFS('RAW_농산물_11-12월'!$H:$H,'RAW_농산물_11-12월'!$D:$D,$C207,'RAW_농산물_11-12월'!$A:$A,$E207))))</f>
        <v>4073774</v>
      </c>
      <c r="I207" s="17" t="str">
        <f>IF($C207="","",IF(COUNTIFS('RAW_농산물_7월'!$D:$D,$C207,'RAW_농산물_7월'!$A:$A,$E207)&gt;0,"O",""))</f>
        <v>O</v>
      </c>
      <c r="J207" s="17" t="str">
        <f>IF($C207="","",IF(COUNTIFS('RAW_농산물_8월'!$D:$D,$C207,'RAW_농산물_8월'!$A:$A,$E207)&gt;0,"O",""))</f>
        <v>O</v>
      </c>
      <c r="K207" s="17" t="str">
        <f>IF($C207="","",IF(COUNTIFS('RAW_농산물_9월'!$D:$D,$C207,'RAW_농산물_9월'!$A:$A,$E207)&gt;0,"O",""))</f>
        <v/>
      </c>
      <c r="L207" s="17" t="str">
        <f>IF($C207="","",IF(COUNTIFS('RAW_농산물_10월'!$D:$D,$C207,'RAW_농산물_10월'!$A:$A,$E207)&gt;0,"O",""))</f>
        <v/>
      </c>
      <c r="M207" s="17" t="str">
        <f>IF($C207="","",IF(COUNTIFS('RAW_농산물_11-12월'!$D:$D,$C207,'RAW_농산물_11-12월'!$A:$A,$E207)&gt;0,"O",""))</f>
        <v/>
      </c>
      <c r="N207" s="7">
        <f>IF($C207="","",IF(COUNTA('RAW_농산물_7월'!$A:$A)&lt;=1,"",SUMIFS('RAW_농산물_7월'!$H:$H,'RAW_농산물_7월'!$D:$D,$C207,'RAW_농산물_7월'!$A:$A,$E207)))</f>
        <v>698614</v>
      </c>
      <c r="O207" s="7">
        <f>IF($C207="","",IF(COUNTA('RAW_농산물_8월'!$A:$A)&lt;=1,"",SUMIFS('RAW_농산물_8월'!$H:$H,'RAW_농산물_8월'!$D:$D,$C207,'RAW_농산물_8월'!$A:$A,$E207)-SUMIFS('RAW_농산물_7월'!$H:$H,'RAW_농산물_7월'!$D:$D,$C207,'RAW_농산물_7월'!$A:$A,$E207)))</f>
        <v>3375160</v>
      </c>
      <c r="P207" s="7" t="str">
        <f>IF($C207="","",IF(COUNTA('RAW_농산물_9월'!$A:$A)&lt;=1,"",SUMIFS('RAW_농산물_9월'!$H:$H,'RAW_농산물_9월'!$D:$D,$C207,'RAW_농산물_9월'!$A:$A,$E207)-SUMIFS('RAW_농산물_8월'!$H:$H,'RAW_농산물_8월'!$D:$D,$C207,'RAW_농산물_8월'!$A:$A,$E207)))</f>
        <v/>
      </c>
      <c r="Q207" s="7" t="str">
        <f>IF($C207="","",IF(COUNTA('RAW_농산물_10월'!$A:$A)&lt;=1,"",SUMIFS('RAW_농산물_10월'!$H:$H,'RAW_농산물_10월'!$D:$D,$C207,'RAW_농산물_10월'!$A:$A,$E207)-SUMIFS('RAW_농산물_9월'!$H:$H,'RAW_농산물_9월'!$D:$D,$C207,'RAW_농산물_9월'!$A:$A,$E207)))</f>
        <v/>
      </c>
      <c r="R207" s="7" t="str">
        <f>IF($C207="","",IF(COUNTA('RAW_농산물_11-12월'!$A:$A)&lt;=1,"",SUMIFS('RAW_농산물_11-12월'!$H:$H,'RAW_농산물_11-12월'!$D:$D,$C207,'RAW_농산물_11-12월'!$A:$A,$E207)-SUMIFS('RAW_농산물_10월'!$H:$H,'RAW_농산물_10월'!$D:$D,$C207,'RAW_농산물_10월'!$A:$A,$E207)))</f>
        <v/>
      </c>
      <c r="S207" s="17" t="str">
        <f t="shared" si="4"/>
        <v>O</v>
      </c>
      <c r="T207" s="17" t="str">
        <f t="shared" si="5"/>
        <v>500만원 미만</v>
      </c>
      <c r="U207" s="7">
        <f>IF($C207="",0,IF('설정'!$B$3=0,0,CHOOSE('설정'!$B$3,COUNTIFS('RAW_농산물_7월'!$D:$D,$C207,'RAW_농산물_7월'!$A:$A,$E207),COUNTIFS('RAW_농산물_8월'!$D:$D,$C207,'RAW_농산물_8월'!$A:$A,$E207),COUNTIFS('RAW_농산물_9월'!$D:$D,$C207,'RAW_농산물_9월'!$A:$A,$E207),COUNTIFS('RAW_농산물_10월'!$D:$D,$C207,'RAW_농산물_10월'!$A:$A,$E207),COUNTIFS('RAW_농산물_11-12월'!$D:$D,$C207,'RAW_농산물_11-12월'!$A:$A,$E207))))</f>
        <v>1</v>
      </c>
    </row>
    <row r="208" ht="15.75" customHeight="1">
      <c r="A208" s="5">
        <v>206.0</v>
      </c>
      <c r="B208" s="5" t="s">
        <v>145</v>
      </c>
      <c r="C208" s="5" t="s">
        <v>1542</v>
      </c>
      <c r="D208" s="6" t="s">
        <v>1541</v>
      </c>
      <c r="E208" s="5" t="s">
        <v>93</v>
      </c>
      <c r="F208" s="7">
        <f>IF($C208="","",IF('설정'!$B$3=0,"",CHOOSE('설정'!$B$3,SUMIFS('RAW_농산물_7월'!$F:$F,'RAW_농산물_7월'!$D:$D,$C208,'RAW_농산물_7월'!$A:$A,$E208),SUMIFS('RAW_농산물_8월'!$F:$F,'RAW_농산물_8월'!$D:$D,$C208,'RAW_농산물_8월'!$A:$A,$E208),SUMIFS('RAW_농산물_9월'!$F:$F,'RAW_농산물_9월'!$D:$D,$C208,'RAW_농산물_9월'!$A:$A,$E208),SUMIFS('RAW_농산물_10월'!$F:$F,'RAW_농산물_10월'!$D:$D,$C208,'RAW_농산물_10월'!$A:$A,$E208),SUMIFS('RAW_농산물_11-12월'!$F:$F,'RAW_농산물_11-12월'!$D:$D,$C208,'RAW_농산물_11-12월'!$A:$A,$E208))))</f>
        <v>18</v>
      </c>
      <c r="G208" s="7">
        <f>IF($C208="","",IF('설정'!$B$3=0,"",CHOOSE('설정'!$B$3,SUMIFS('RAW_농산물_7월'!$G:$G,'RAW_농산물_7월'!$D:$D,$C208,'RAW_농산물_7월'!$A:$A,$E208),SUMIFS('RAW_농산물_8월'!$G:$G,'RAW_농산물_8월'!$D:$D,$C208,'RAW_농산물_8월'!$A:$A,$E208),SUMIFS('RAW_농산물_9월'!$G:$G,'RAW_농산물_9월'!$D:$D,$C208,'RAW_농산물_9월'!$A:$A,$E208),SUMIFS('RAW_농산물_10월'!$G:$G,'RAW_농산물_10월'!$D:$D,$C208,'RAW_농산물_10월'!$A:$A,$E208),SUMIFS('RAW_농산물_11-12월'!$G:$G,'RAW_농산물_11-12월'!$D:$D,$C208,'RAW_농산물_11-12월'!$A:$A,$E208))))</f>
        <v>460000</v>
      </c>
      <c r="H208" s="14">
        <f>IF($C208="","",IF('설정'!$B$3=0,"",CHOOSE('설정'!$B$3,SUMIFS('RAW_농산물_7월'!$H:$H,'RAW_농산물_7월'!$D:$D,$C208,'RAW_농산물_7월'!$A:$A,$E208),SUMIFS('RAW_농산물_8월'!$H:$H,'RAW_농산물_8월'!$D:$D,$C208,'RAW_농산물_8월'!$A:$A,$E208),SUMIFS('RAW_농산물_9월'!$H:$H,'RAW_농산물_9월'!$D:$D,$C208,'RAW_농산물_9월'!$A:$A,$E208),SUMIFS('RAW_농산물_10월'!$H:$H,'RAW_농산물_10월'!$D:$D,$C208,'RAW_농산물_10월'!$A:$A,$E208),SUMIFS('RAW_농산물_11-12월'!$H:$H,'RAW_농산물_11-12월'!$D:$D,$C208,'RAW_농산물_11-12월'!$A:$A,$E208))))</f>
        <v>46000</v>
      </c>
      <c r="I208" s="17" t="str">
        <f>IF($C208="","",IF(COUNTIFS('RAW_농산물_7월'!$D:$D,$C208,'RAW_농산물_7월'!$A:$A,$E208)&gt;0,"O",""))</f>
        <v>O</v>
      </c>
      <c r="J208" s="17" t="str">
        <f>IF($C208="","",IF(COUNTIFS('RAW_농산물_8월'!$D:$D,$C208,'RAW_농산물_8월'!$A:$A,$E208)&gt;0,"O",""))</f>
        <v>O</v>
      </c>
      <c r="K208" s="17" t="str">
        <f>IF($C208="","",IF(COUNTIFS('RAW_농산물_9월'!$D:$D,$C208,'RAW_농산물_9월'!$A:$A,$E208)&gt;0,"O",""))</f>
        <v/>
      </c>
      <c r="L208" s="17" t="str">
        <f>IF($C208="","",IF(COUNTIFS('RAW_농산물_10월'!$D:$D,$C208,'RAW_농산물_10월'!$A:$A,$E208)&gt;0,"O",""))</f>
        <v/>
      </c>
      <c r="M208" s="17" t="str">
        <f>IF($C208="","",IF(COUNTIFS('RAW_농산물_11-12월'!$D:$D,$C208,'RAW_농산물_11-12월'!$A:$A,$E208)&gt;0,"O",""))</f>
        <v/>
      </c>
      <c r="N208" s="7">
        <f>IF($C208="","",IF(COUNTA('RAW_농산물_7월'!$A:$A)&lt;=1,"",SUMIFS('RAW_농산물_7월'!$H:$H,'RAW_농산물_7월'!$D:$D,$C208,'RAW_농산물_7월'!$A:$A,$E208)))</f>
        <v>5200</v>
      </c>
      <c r="O208" s="7">
        <f>IF($C208="","",IF(COUNTA('RAW_농산물_8월'!$A:$A)&lt;=1,"",SUMIFS('RAW_농산물_8월'!$H:$H,'RAW_농산물_8월'!$D:$D,$C208,'RAW_농산물_8월'!$A:$A,$E208)-SUMIFS('RAW_농산물_7월'!$H:$H,'RAW_농산물_7월'!$D:$D,$C208,'RAW_농산물_7월'!$A:$A,$E208)))</f>
        <v>40800</v>
      </c>
      <c r="P208" s="7" t="str">
        <f>IF($C208="","",IF(COUNTA('RAW_농산물_9월'!$A:$A)&lt;=1,"",SUMIFS('RAW_농산물_9월'!$H:$H,'RAW_농산물_9월'!$D:$D,$C208,'RAW_농산물_9월'!$A:$A,$E208)-SUMIFS('RAW_농산물_8월'!$H:$H,'RAW_농산물_8월'!$D:$D,$C208,'RAW_농산물_8월'!$A:$A,$E208)))</f>
        <v/>
      </c>
      <c r="Q208" s="7" t="str">
        <f>IF($C208="","",IF(COUNTA('RAW_농산물_10월'!$A:$A)&lt;=1,"",SUMIFS('RAW_농산물_10월'!$H:$H,'RAW_농산물_10월'!$D:$D,$C208,'RAW_농산물_10월'!$A:$A,$E208)-SUMIFS('RAW_농산물_9월'!$H:$H,'RAW_농산물_9월'!$D:$D,$C208,'RAW_농산물_9월'!$A:$A,$E208)))</f>
        <v/>
      </c>
      <c r="R208" s="7" t="str">
        <f>IF($C208="","",IF(COUNTA('RAW_농산물_11-12월'!$A:$A)&lt;=1,"",SUMIFS('RAW_농산물_11-12월'!$H:$H,'RAW_농산물_11-12월'!$D:$D,$C208,'RAW_농산물_11-12월'!$A:$A,$E208)-SUMIFS('RAW_농산물_10월'!$H:$H,'RAW_농산물_10월'!$D:$D,$C208,'RAW_농산물_10월'!$A:$A,$E208)))</f>
        <v/>
      </c>
      <c r="S208" s="17" t="str">
        <f t="shared" si="4"/>
        <v>O</v>
      </c>
      <c r="T208" s="17" t="str">
        <f t="shared" si="5"/>
        <v>50만원 미만</v>
      </c>
      <c r="U208" s="7">
        <f>IF($C208="",0,IF('설정'!$B$3=0,0,CHOOSE('설정'!$B$3,COUNTIFS('RAW_농산물_7월'!$D:$D,$C208,'RAW_농산물_7월'!$A:$A,$E208),COUNTIFS('RAW_농산물_8월'!$D:$D,$C208,'RAW_농산물_8월'!$A:$A,$E208),COUNTIFS('RAW_농산물_9월'!$D:$D,$C208,'RAW_농산물_9월'!$A:$A,$E208),COUNTIFS('RAW_농산물_10월'!$D:$D,$C208,'RAW_농산물_10월'!$A:$A,$E208),COUNTIFS('RAW_농산물_11-12월'!$D:$D,$C208,'RAW_농산물_11-12월'!$A:$A,$E208))))</f>
        <v>3</v>
      </c>
    </row>
    <row r="209" ht="15.75" customHeight="1">
      <c r="A209" s="5">
        <v>207.0</v>
      </c>
      <c r="B209" s="5" t="s">
        <v>25</v>
      </c>
      <c r="C209" s="5" t="s">
        <v>367</v>
      </c>
      <c r="D209" s="6" t="s">
        <v>366</v>
      </c>
      <c r="E209" s="5" t="s">
        <v>92</v>
      </c>
      <c r="F209" s="7">
        <f>IF($C209="","",IF('설정'!$B$3=0,"",CHOOSE('설정'!$B$3,SUMIFS('RAW_농산물_7월'!$F:$F,'RAW_농산물_7월'!$D:$D,$C209,'RAW_농산물_7월'!$A:$A,$E209),SUMIFS('RAW_농산물_8월'!$F:$F,'RAW_농산물_8월'!$D:$D,$C209,'RAW_농산물_8월'!$A:$A,$E209),SUMIFS('RAW_농산물_9월'!$F:$F,'RAW_농산물_9월'!$D:$D,$C209,'RAW_농산물_9월'!$A:$A,$E209),SUMIFS('RAW_농산물_10월'!$F:$F,'RAW_농산물_10월'!$D:$D,$C209,'RAW_농산물_10월'!$A:$A,$E209),SUMIFS('RAW_농산물_11-12월'!$F:$F,'RAW_농산물_11-12월'!$D:$D,$C209,'RAW_농산물_11-12월'!$A:$A,$E209))))</f>
        <v>391</v>
      </c>
      <c r="G209" s="7">
        <f>IF($C209="","",IF('설정'!$B$3=0,"",CHOOSE('설정'!$B$3,SUMIFS('RAW_농산물_7월'!$G:$G,'RAW_농산물_7월'!$D:$D,$C209,'RAW_농산물_7월'!$A:$A,$E209),SUMIFS('RAW_농산물_8월'!$G:$G,'RAW_농산물_8월'!$D:$D,$C209,'RAW_농산물_8월'!$A:$A,$E209),SUMIFS('RAW_농산물_9월'!$G:$G,'RAW_농산물_9월'!$D:$D,$C209,'RAW_농산물_9월'!$A:$A,$E209),SUMIFS('RAW_농산물_10월'!$G:$G,'RAW_농산물_10월'!$D:$D,$C209,'RAW_농산물_10월'!$A:$A,$E209),SUMIFS('RAW_농산물_11-12월'!$G:$G,'RAW_농산물_11-12월'!$D:$D,$C209,'RAW_농산물_11-12월'!$A:$A,$E209))))</f>
        <v>13205600</v>
      </c>
      <c r="H209" s="14">
        <f>IF($C209="","",IF('설정'!$B$3=0,"",CHOOSE('설정'!$B$3,SUMIFS('RAW_농산물_7월'!$H:$H,'RAW_농산물_7월'!$D:$D,$C209,'RAW_농산물_7월'!$A:$A,$E209),SUMIFS('RAW_농산물_8월'!$H:$H,'RAW_농산물_8월'!$D:$D,$C209,'RAW_농산물_8월'!$A:$A,$E209),SUMIFS('RAW_농산물_9월'!$H:$H,'RAW_농산물_9월'!$D:$D,$C209,'RAW_농산물_9월'!$A:$A,$E209),SUMIFS('RAW_농산물_10월'!$H:$H,'RAW_농산물_10월'!$D:$D,$C209,'RAW_농산물_10월'!$A:$A,$E209),SUMIFS('RAW_농산물_11-12월'!$H:$H,'RAW_농산물_11-12월'!$D:$D,$C209,'RAW_농산물_11-12월'!$A:$A,$E209))))</f>
        <v>484560</v>
      </c>
      <c r="I209" s="17" t="str">
        <f>IF($C209="","",IF(COUNTIFS('RAW_농산물_7월'!$D:$D,$C209,'RAW_농산물_7월'!$A:$A,$E209)&gt;0,"O",""))</f>
        <v>O</v>
      </c>
      <c r="J209" s="17" t="str">
        <f>IF($C209="","",IF(COUNTIFS('RAW_농산물_8월'!$D:$D,$C209,'RAW_농산물_8월'!$A:$A,$E209)&gt;0,"O",""))</f>
        <v>O</v>
      </c>
      <c r="K209" s="17" t="str">
        <f>IF($C209="","",IF(COUNTIFS('RAW_농산물_9월'!$D:$D,$C209,'RAW_농산물_9월'!$A:$A,$E209)&gt;0,"O",""))</f>
        <v/>
      </c>
      <c r="L209" s="17" t="str">
        <f>IF($C209="","",IF(COUNTIFS('RAW_농산물_10월'!$D:$D,$C209,'RAW_농산물_10월'!$A:$A,$E209)&gt;0,"O",""))</f>
        <v/>
      </c>
      <c r="M209" s="17" t="str">
        <f>IF($C209="","",IF(COUNTIFS('RAW_농산물_11-12월'!$D:$D,$C209,'RAW_농산물_11-12월'!$A:$A,$E209)&gt;0,"O",""))</f>
        <v/>
      </c>
      <c r="N209" s="7">
        <f>IF($C209="","",IF(COUNTA('RAW_농산물_7월'!$A:$A)&lt;=1,"",SUMIFS('RAW_농산물_7월'!$H:$H,'RAW_농산물_7월'!$D:$D,$C209,'RAW_농산물_7월'!$A:$A,$E209)))</f>
        <v>94940</v>
      </c>
      <c r="O209" s="7">
        <f>IF($C209="","",IF(COUNTA('RAW_농산물_8월'!$A:$A)&lt;=1,"",SUMIFS('RAW_농산물_8월'!$H:$H,'RAW_농산물_8월'!$D:$D,$C209,'RAW_농산물_8월'!$A:$A,$E209)-SUMIFS('RAW_농산물_7월'!$H:$H,'RAW_농산물_7월'!$D:$D,$C209,'RAW_농산물_7월'!$A:$A,$E209)))</f>
        <v>389620</v>
      </c>
      <c r="P209" s="7" t="str">
        <f>IF($C209="","",IF(COUNTA('RAW_농산물_9월'!$A:$A)&lt;=1,"",SUMIFS('RAW_농산물_9월'!$H:$H,'RAW_농산물_9월'!$D:$D,$C209,'RAW_농산물_9월'!$A:$A,$E209)-SUMIFS('RAW_농산물_8월'!$H:$H,'RAW_농산물_8월'!$D:$D,$C209,'RAW_농산물_8월'!$A:$A,$E209)))</f>
        <v/>
      </c>
      <c r="Q209" s="7" t="str">
        <f>IF($C209="","",IF(COUNTA('RAW_농산물_10월'!$A:$A)&lt;=1,"",SUMIFS('RAW_농산물_10월'!$H:$H,'RAW_농산물_10월'!$D:$D,$C209,'RAW_농산물_10월'!$A:$A,$E209)-SUMIFS('RAW_농산물_9월'!$H:$H,'RAW_농산물_9월'!$D:$D,$C209,'RAW_농산물_9월'!$A:$A,$E209)))</f>
        <v/>
      </c>
      <c r="R209" s="7" t="str">
        <f>IF($C209="","",IF(COUNTA('RAW_농산물_11-12월'!$A:$A)&lt;=1,"",SUMIFS('RAW_농산물_11-12월'!$H:$H,'RAW_농산물_11-12월'!$D:$D,$C209,'RAW_농산물_11-12월'!$A:$A,$E209)-SUMIFS('RAW_농산물_10월'!$H:$H,'RAW_농산물_10월'!$D:$D,$C209,'RAW_농산물_10월'!$A:$A,$E209)))</f>
        <v/>
      </c>
      <c r="S209" s="17" t="str">
        <f t="shared" si="4"/>
        <v>O</v>
      </c>
      <c r="T209" s="17" t="str">
        <f t="shared" si="5"/>
        <v>50만원 미만</v>
      </c>
      <c r="U209" s="7">
        <f>IF($C209="",0,IF('설정'!$B$3=0,0,CHOOSE('설정'!$B$3,COUNTIFS('RAW_농산물_7월'!$D:$D,$C209,'RAW_농산물_7월'!$A:$A,$E209),COUNTIFS('RAW_농산물_8월'!$D:$D,$C209,'RAW_농산물_8월'!$A:$A,$E209),COUNTIFS('RAW_농산물_9월'!$D:$D,$C209,'RAW_농산물_9월'!$A:$A,$E209),COUNTIFS('RAW_농산물_10월'!$D:$D,$C209,'RAW_농산물_10월'!$A:$A,$E209),COUNTIFS('RAW_농산물_11-12월'!$D:$D,$C209,'RAW_농산물_11-12월'!$A:$A,$E209))))</f>
        <v>15</v>
      </c>
    </row>
    <row r="210" ht="15.75" customHeight="1">
      <c r="A210" s="5">
        <v>208.0</v>
      </c>
      <c r="B210" s="5" t="s">
        <v>25</v>
      </c>
      <c r="C210" s="5" t="s">
        <v>1545</v>
      </c>
      <c r="D210" s="6" t="s">
        <v>1544</v>
      </c>
      <c r="E210" s="5" t="s">
        <v>93</v>
      </c>
      <c r="F210" s="7">
        <f>IF($C210="","",IF('설정'!$B$3=0,"",CHOOSE('설정'!$B$3,SUMIFS('RAW_농산물_7월'!$F:$F,'RAW_농산물_7월'!$D:$D,$C210,'RAW_농산물_7월'!$A:$A,$E210),SUMIFS('RAW_농산물_8월'!$F:$F,'RAW_농산물_8월'!$D:$D,$C210,'RAW_농산물_8월'!$A:$A,$E210),SUMIFS('RAW_농산물_9월'!$F:$F,'RAW_농산물_9월'!$D:$D,$C210,'RAW_농산물_9월'!$A:$A,$E210),SUMIFS('RAW_농산물_10월'!$F:$F,'RAW_농산물_10월'!$D:$D,$C210,'RAW_농산물_10월'!$A:$A,$E210),SUMIFS('RAW_농산물_11-12월'!$F:$F,'RAW_농산물_11-12월'!$D:$D,$C210,'RAW_농산물_11-12월'!$A:$A,$E210))))</f>
        <v>5988</v>
      </c>
      <c r="G210" s="7">
        <f>IF($C210="","",IF('설정'!$B$3=0,"",CHOOSE('설정'!$B$3,SUMIFS('RAW_농산물_7월'!$G:$G,'RAW_농산물_7월'!$D:$D,$C210,'RAW_농산물_7월'!$A:$A,$E210),SUMIFS('RAW_농산물_8월'!$G:$G,'RAW_농산물_8월'!$D:$D,$C210,'RAW_농산물_8월'!$A:$A,$E210),SUMIFS('RAW_농산물_9월'!$G:$G,'RAW_농산물_9월'!$D:$D,$C210,'RAW_농산물_9월'!$A:$A,$E210),SUMIFS('RAW_농산물_10월'!$G:$G,'RAW_농산물_10월'!$D:$D,$C210,'RAW_농산물_10월'!$A:$A,$E210),SUMIFS('RAW_농산물_11-12월'!$G:$G,'RAW_농산물_11-12월'!$D:$D,$C210,'RAW_농산물_11-12월'!$A:$A,$E210))))</f>
        <v>104624010</v>
      </c>
      <c r="H210" s="14">
        <f>IF($C210="","",IF('설정'!$B$3=0,"",CHOOSE('설정'!$B$3,SUMIFS('RAW_농산물_7월'!$H:$H,'RAW_농산물_7월'!$D:$D,$C210,'RAW_농산물_7월'!$A:$A,$E210),SUMIFS('RAW_농산물_8월'!$H:$H,'RAW_농산물_8월'!$D:$D,$C210,'RAW_농산물_8월'!$A:$A,$E210),SUMIFS('RAW_농산물_9월'!$H:$H,'RAW_농산물_9월'!$D:$D,$C210,'RAW_농산물_9월'!$A:$A,$E210),SUMIFS('RAW_농산물_10월'!$H:$H,'RAW_농산물_10월'!$D:$D,$C210,'RAW_농산물_10월'!$A:$A,$E210),SUMIFS('RAW_농산물_11-12월'!$H:$H,'RAW_농산물_11-12월'!$D:$D,$C210,'RAW_농산물_11-12월'!$A:$A,$E210))))</f>
        <v>5022810</v>
      </c>
      <c r="I210" s="17" t="str">
        <f>IF($C210="","",IF(COUNTIFS('RAW_농산물_7월'!$D:$D,$C210,'RAW_농산물_7월'!$A:$A,$E210)&gt;0,"O",""))</f>
        <v>O</v>
      </c>
      <c r="J210" s="17" t="str">
        <f>IF($C210="","",IF(COUNTIFS('RAW_농산물_8월'!$D:$D,$C210,'RAW_농산물_8월'!$A:$A,$E210)&gt;0,"O",""))</f>
        <v>O</v>
      </c>
      <c r="K210" s="17" t="str">
        <f>IF($C210="","",IF(COUNTIFS('RAW_농산물_9월'!$D:$D,$C210,'RAW_농산물_9월'!$A:$A,$E210)&gt;0,"O",""))</f>
        <v/>
      </c>
      <c r="L210" s="17" t="str">
        <f>IF($C210="","",IF(COUNTIFS('RAW_농산물_10월'!$D:$D,$C210,'RAW_농산물_10월'!$A:$A,$E210)&gt;0,"O",""))</f>
        <v/>
      </c>
      <c r="M210" s="17" t="str">
        <f>IF($C210="","",IF(COUNTIFS('RAW_농산물_11-12월'!$D:$D,$C210,'RAW_농산물_11-12월'!$A:$A,$E210)&gt;0,"O",""))</f>
        <v/>
      </c>
      <c r="N210" s="7">
        <f>IF($C210="","",IF(COUNTA('RAW_농산물_7월'!$A:$A)&lt;=1,"",SUMIFS('RAW_농산물_7월'!$H:$H,'RAW_농산물_7월'!$D:$D,$C210,'RAW_농산물_7월'!$A:$A,$E210)))</f>
        <v>0</v>
      </c>
      <c r="O210" s="7">
        <f>IF($C210="","",IF(COUNTA('RAW_농산물_8월'!$A:$A)&lt;=1,"",SUMIFS('RAW_농산물_8월'!$H:$H,'RAW_농산물_8월'!$D:$D,$C210,'RAW_농산물_8월'!$A:$A,$E210)-SUMIFS('RAW_농산물_7월'!$H:$H,'RAW_농산물_7월'!$D:$D,$C210,'RAW_농산물_7월'!$A:$A,$E210)))</f>
        <v>5022810</v>
      </c>
      <c r="P210" s="7" t="str">
        <f>IF($C210="","",IF(COUNTA('RAW_농산물_9월'!$A:$A)&lt;=1,"",SUMIFS('RAW_농산물_9월'!$H:$H,'RAW_농산물_9월'!$D:$D,$C210,'RAW_농산물_9월'!$A:$A,$E210)-SUMIFS('RAW_농산물_8월'!$H:$H,'RAW_농산물_8월'!$D:$D,$C210,'RAW_농산물_8월'!$A:$A,$E210)))</f>
        <v/>
      </c>
      <c r="Q210" s="7" t="str">
        <f>IF($C210="","",IF(COUNTA('RAW_농산물_10월'!$A:$A)&lt;=1,"",SUMIFS('RAW_농산물_10월'!$H:$H,'RAW_농산물_10월'!$D:$D,$C210,'RAW_농산물_10월'!$A:$A,$E210)-SUMIFS('RAW_농산물_9월'!$H:$H,'RAW_농산물_9월'!$D:$D,$C210,'RAW_농산물_9월'!$A:$A,$E210)))</f>
        <v/>
      </c>
      <c r="R210" s="7" t="str">
        <f>IF($C210="","",IF(COUNTA('RAW_농산물_11-12월'!$A:$A)&lt;=1,"",SUMIFS('RAW_농산물_11-12월'!$H:$H,'RAW_농산물_11-12월'!$D:$D,$C210,'RAW_농산물_11-12월'!$A:$A,$E210)-SUMIFS('RAW_농산물_10월'!$H:$H,'RAW_농산물_10월'!$D:$D,$C210,'RAW_농산물_10월'!$A:$A,$E210)))</f>
        <v/>
      </c>
      <c r="S210" s="17" t="str">
        <f t="shared" si="4"/>
        <v>O</v>
      </c>
      <c r="T210" s="17" t="str">
        <f t="shared" si="5"/>
        <v>600만원 미만</v>
      </c>
      <c r="U210" s="7">
        <f>IF($C210="",0,IF('설정'!$B$3=0,0,CHOOSE('설정'!$B$3,COUNTIFS('RAW_농산물_7월'!$D:$D,$C210,'RAW_농산물_7월'!$A:$A,$E210),COUNTIFS('RAW_농산물_8월'!$D:$D,$C210,'RAW_농산물_8월'!$A:$A,$E210),COUNTIFS('RAW_농산물_9월'!$D:$D,$C210,'RAW_농산물_9월'!$A:$A,$E210),COUNTIFS('RAW_농산물_10월'!$D:$D,$C210,'RAW_농산물_10월'!$A:$A,$E210),COUNTIFS('RAW_농산물_11-12월'!$D:$D,$C210,'RAW_농산물_11-12월'!$A:$A,$E210))))</f>
        <v>21</v>
      </c>
    </row>
    <row r="211" ht="15.75" customHeight="1">
      <c r="A211" s="5">
        <v>209.0</v>
      </c>
      <c r="B211" s="5" t="s">
        <v>25</v>
      </c>
      <c r="C211" s="5" t="s">
        <v>1282</v>
      </c>
      <c r="D211" s="6" t="s">
        <v>1280</v>
      </c>
      <c r="E211" s="5" t="s">
        <v>94</v>
      </c>
      <c r="F211" s="7">
        <f>IF($C211="","",IF('설정'!$B$3=0,"",CHOOSE('설정'!$B$3,SUMIFS('RAW_농산물_7월'!$F:$F,'RAW_농산물_7월'!$D:$D,$C211,'RAW_농산물_7월'!$A:$A,$E211),SUMIFS('RAW_농산물_8월'!$F:$F,'RAW_농산물_8월'!$D:$D,$C211,'RAW_농산물_8월'!$A:$A,$E211),SUMIFS('RAW_농산물_9월'!$F:$F,'RAW_농산물_9월'!$D:$D,$C211,'RAW_농산물_9월'!$A:$A,$E211),SUMIFS('RAW_농산물_10월'!$F:$F,'RAW_농산물_10월'!$D:$D,$C211,'RAW_농산물_10월'!$A:$A,$E211),SUMIFS('RAW_농산물_11-12월'!$F:$F,'RAW_농산물_11-12월'!$D:$D,$C211,'RAW_농산물_11-12월'!$A:$A,$E211))))</f>
        <v>81</v>
      </c>
      <c r="G211" s="7">
        <f>IF($C211="","",IF('설정'!$B$3=0,"",CHOOSE('설정'!$B$3,SUMIFS('RAW_농산물_7월'!$G:$G,'RAW_농산물_7월'!$D:$D,$C211,'RAW_농산물_7월'!$A:$A,$E211),SUMIFS('RAW_농산물_8월'!$G:$G,'RAW_농산물_8월'!$D:$D,$C211,'RAW_농산물_8월'!$A:$A,$E211),SUMIFS('RAW_농산물_9월'!$G:$G,'RAW_농산물_9월'!$D:$D,$C211,'RAW_농산물_9월'!$A:$A,$E211),SUMIFS('RAW_농산물_10월'!$G:$G,'RAW_농산물_10월'!$D:$D,$C211,'RAW_농산물_10월'!$A:$A,$E211),SUMIFS('RAW_농산물_11-12월'!$G:$G,'RAW_농산물_11-12월'!$D:$D,$C211,'RAW_농산물_11-12월'!$A:$A,$E211))))</f>
        <v>1742100</v>
      </c>
      <c r="H211" s="14">
        <f>IF($C211="","",IF('설정'!$B$3=0,"",CHOOSE('설정'!$B$3,SUMIFS('RAW_농산물_7월'!$H:$H,'RAW_농산물_7월'!$D:$D,$C211,'RAW_농산물_7월'!$A:$A,$E211),SUMIFS('RAW_농산물_8월'!$H:$H,'RAW_농산물_8월'!$D:$D,$C211,'RAW_농산물_8월'!$A:$A,$E211),SUMIFS('RAW_농산물_9월'!$H:$H,'RAW_농산물_9월'!$D:$D,$C211,'RAW_농산물_9월'!$A:$A,$E211),SUMIFS('RAW_농산물_10월'!$H:$H,'RAW_농산물_10월'!$D:$D,$C211,'RAW_농산물_10월'!$A:$A,$E211),SUMIFS('RAW_농산물_11-12월'!$H:$H,'RAW_농산물_11-12월'!$D:$D,$C211,'RAW_농산물_11-12월'!$A:$A,$E211))))</f>
        <v>243770</v>
      </c>
      <c r="I211" s="17" t="str">
        <f>IF($C211="","",IF(COUNTIFS('RAW_농산물_7월'!$D:$D,$C211,'RAW_농산물_7월'!$A:$A,$E211)&gt;0,"O",""))</f>
        <v>O</v>
      </c>
      <c r="J211" s="17" t="str">
        <f>IF($C211="","",IF(COUNTIFS('RAW_농산물_8월'!$D:$D,$C211,'RAW_농산물_8월'!$A:$A,$E211)&gt;0,"O",""))</f>
        <v>O</v>
      </c>
      <c r="K211" s="17" t="str">
        <f>IF($C211="","",IF(COUNTIFS('RAW_농산물_9월'!$D:$D,$C211,'RAW_농산물_9월'!$A:$A,$E211)&gt;0,"O",""))</f>
        <v/>
      </c>
      <c r="L211" s="17" t="str">
        <f>IF($C211="","",IF(COUNTIFS('RAW_농산물_10월'!$D:$D,$C211,'RAW_농산물_10월'!$A:$A,$E211)&gt;0,"O",""))</f>
        <v/>
      </c>
      <c r="M211" s="17" t="str">
        <f>IF($C211="","",IF(COUNTIFS('RAW_농산물_11-12월'!$D:$D,$C211,'RAW_농산물_11-12월'!$A:$A,$E211)&gt;0,"O",""))</f>
        <v/>
      </c>
      <c r="N211" s="7">
        <f>IF($C211="","",IF(COUNTA('RAW_농산물_7월'!$A:$A)&lt;=1,"",SUMIFS('RAW_농산물_7월'!$H:$H,'RAW_농산물_7월'!$D:$D,$C211,'RAW_농산물_7월'!$A:$A,$E211)))</f>
        <v>66205</v>
      </c>
      <c r="O211" s="7">
        <f>IF($C211="","",IF(COUNTA('RAW_농산물_8월'!$A:$A)&lt;=1,"",SUMIFS('RAW_농산물_8월'!$H:$H,'RAW_농산물_8월'!$D:$D,$C211,'RAW_농산물_8월'!$A:$A,$E211)-SUMIFS('RAW_농산물_7월'!$H:$H,'RAW_농산물_7월'!$D:$D,$C211,'RAW_농산물_7월'!$A:$A,$E211)))</f>
        <v>177565</v>
      </c>
      <c r="P211" s="7" t="str">
        <f>IF($C211="","",IF(COUNTA('RAW_농산물_9월'!$A:$A)&lt;=1,"",SUMIFS('RAW_농산물_9월'!$H:$H,'RAW_농산물_9월'!$D:$D,$C211,'RAW_농산물_9월'!$A:$A,$E211)-SUMIFS('RAW_농산물_8월'!$H:$H,'RAW_농산물_8월'!$D:$D,$C211,'RAW_농산물_8월'!$A:$A,$E211)))</f>
        <v/>
      </c>
      <c r="Q211" s="7" t="str">
        <f>IF($C211="","",IF(COUNTA('RAW_농산물_10월'!$A:$A)&lt;=1,"",SUMIFS('RAW_농산물_10월'!$H:$H,'RAW_농산물_10월'!$D:$D,$C211,'RAW_농산물_10월'!$A:$A,$E211)-SUMIFS('RAW_농산물_9월'!$H:$H,'RAW_농산물_9월'!$D:$D,$C211,'RAW_농산물_9월'!$A:$A,$E211)))</f>
        <v/>
      </c>
      <c r="R211" s="7" t="str">
        <f>IF($C211="","",IF(COUNTA('RAW_농산물_11-12월'!$A:$A)&lt;=1,"",SUMIFS('RAW_농산물_11-12월'!$H:$H,'RAW_농산물_11-12월'!$D:$D,$C211,'RAW_농산물_11-12월'!$A:$A,$E211)-SUMIFS('RAW_농산물_10월'!$H:$H,'RAW_농산물_10월'!$D:$D,$C211,'RAW_농산물_10월'!$A:$A,$E211)))</f>
        <v/>
      </c>
      <c r="S211" s="17" t="str">
        <f t="shared" si="4"/>
        <v>O</v>
      </c>
      <c r="T211" s="17" t="str">
        <f t="shared" si="5"/>
        <v>50만원 미만</v>
      </c>
      <c r="U211" s="7">
        <f>IF($C211="",0,IF('설정'!$B$3=0,0,CHOOSE('설정'!$B$3,COUNTIFS('RAW_농산물_7월'!$D:$D,$C211,'RAW_농산물_7월'!$A:$A,$E211),COUNTIFS('RAW_농산물_8월'!$D:$D,$C211,'RAW_농산물_8월'!$A:$A,$E211),COUNTIFS('RAW_농산물_9월'!$D:$D,$C211,'RAW_농산물_9월'!$A:$A,$E211),COUNTIFS('RAW_농산물_10월'!$D:$D,$C211,'RAW_농산물_10월'!$A:$A,$E211),COUNTIFS('RAW_농산물_11-12월'!$D:$D,$C211,'RAW_농산물_11-12월'!$A:$A,$E211))))</f>
        <v>14</v>
      </c>
    </row>
    <row r="212" ht="15.75" customHeight="1">
      <c r="A212" s="5">
        <v>210.0</v>
      </c>
      <c r="B212" s="5" t="s">
        <v>145</v>
      </c>
      <c r="C212" s="5" t="s">
        <v>1211</v>
      </c>
      <c r="D212" s="6" t="s">
        <v>1210</v>
      </c>
      <c r="E212" s="5" t="s">
        <v>28</v>
      </c>
      <c r="F212" s="7">
        <f>IF($C212="","",IF('설정'!$B$3=0,"",CHOOSE('설정'!$B$3,SUMIFS('RAW_농산물_7월'!$F:$F,'RAW_농산물_7월'!$D:$D,$C212,'RAW_농산물_7월'!$A:$A,$E212),SUMIFS('RAW_농산물_8월'!$F:$F,'RAW_농산물_8월'!$D:$D,$C212,'RAW_농산물_8월'!$A:$A,$E212),SUMIFS('RAW_농산물_9월'!$F:$F,'RAW_농산물_9월'!$D:$D,$C212,'RAW_농산물_9월'!$A:$A,$E212),SUMIFS('RAW_농산물_10월'!$F:$F,'RAW_농산물_10월'!$D:$D,$C212,'RAW_농산물_10월'!$A:$A,$E212),SUMIFS('RAW_농산물_11-12월'!$F:$F,'RAW_농산물_11-12월'!$D:$D,$C212,'RAW_농산물_11-12월'!$A:$A,$E212))))</f>
        <v>740</v>
      </c>
      <c r="G212" s="7">
        <f>IF($C212="","",IF('설정'!$B$3=0,"",CHOOSE('설정'!$B$3,SUMIFS('RAW_농산물_7월'!$G:$G,'RAW_농산물_7월'!$D:$D,$C212,'RAW_농산물_7월'!$A:$A,$E212),SUMIFS('RAW_농산물_8월'!$G:$G,'RAW_농산물_8월'!$D:$D,$C212,'RAW_농산물_8월'!$A:$A,$E212),SUMIFS('RAW_농산물_9월'!$G:$G,'RAW_농산물_9월'!$D:$D,$C212,'RAW_농산물_9월'!$A:$A,$E212),SUMIFS('RAW_농산물_10월'!$G:$G,'RAW_농산물_10월'!$D:$D,$C212,'RAW_농산물_10월'!$A:$A,$E212),SUMIFS('RAW_농산물_11-12월'!$G:$G,'RAW_농산물_11-12월'!$D:$D,$C212,'RAW_농산물_11-12월'!$A:$A,$E212))))</f>
        <v>20010500</v>
      </c>
      <c r="H212" s="14">
        <f>IF($C212="","",IF('설정'!$B$3=0,"",CHOOSE('설정'!$B$3,SUMIFS('RAW_농산물_7월'!$H:$H,'RAW_농산물_7월'!$D:$D,$C212,'RAW_농산물_7월'!$A:$A,$E212),SUMIFS('RAW_농산물_8월'!$H:$H,'RAW_농산물_8월'!$D:$D,$C212,'RAW_농산물_8월'!$A:$A,$E212),SUMIFS('RAW_농산물_9월'!$H:$H,'RAW_농산물_9월'!$D:$D,$C212,'RAW_농산물_9월'!$A:$A,$E212),SUMIFS('RAW_농산물_10월'!$H:$H,'RAW_농산물_10월'!$D:$D,$C212,'RAW_농산물_10월'!$A:$A,$E212),SUMIFS('RAW_농산물_11-12월'!$H:$H,'RAW_농산물_11-12월'!$D:$D,$C212,'RAW_농산물_11-12월'!$A:$A,$E212))))</f>
        <v>3684430</v>
      </c>
      <c r="I212" s="17" t="str">
        <f>IF($C212="","",IF(COUNTIFS('RAW_농산물_7월'!$D:$D,$C212,'RAW_농산물_7월'!$A:$A,$E212)&gt;0,"O",""))</f>
        <v>O</v>
      </c>
      <c r="J212" s="17" t="str">
        <f>IF($C212="","",IF(COUNTIFS('RAW_농산물_8월'!$D:$D,$C212,'RAW_농산물_8월'!$A:$A,$E212)&gt;0,"O",""))</f>
        <v>O</v>
      </c>
      <c r="K212" s="17" t="str">
        <f>IF($C212="","",IF(COUNTIFS('RAW_농산물_9월'!$D:$D,$C212,'RAW_농산물_9월'!$A:$A,$E212)&gt;0,"O",""))</f>
        <v/>
      </c>
      <c r="L212" s="17" t="str">
        <f>IF($C212="","",IF(COUNTIFS('RAW_농산물_10월'!$D:$D,$C212,'RAW_농산물_10월'!$A:$A,$E212)&gt;0,"O",""))</f>
        <v/>
      </c>
      <c r="M212" s="17" t="str">
        <f>IF($C212="","",IF(COUNTIFS('RAW_농산물_11-12월'!$D:$D,$C212,'RAW_농산물_11-12월'!$A:$A,$E212)&gt;0,"O",""))</f>
        <v/>
      </c>
      <c r="N212" s="7">
        <f>IF($C212="","",IF(COUNTA('RAW_농산물_7월'!$A:$A)&lt;=1,"",SUMIFS('RAW_농산물_7월'!$H:$H,'RAW_농산물_7월'!$D:$D,$C212,'RAW_농산물_7월'!$A:$A,$E212)))</f>
        <v>2412080</v>
      </c>
      <c r="O212" s="7">
        <f>IF($C212="","",IF(COUNTA('RAW_농산물_8월'!$A:$A)&lt;=1,"",SUMIFS('RAW_농산물_8월'!$H:$H,'RAW_농산물_8월'!$D:$D,$C212,'RAW_농산물_8월'!$A:$A,$E212)-SUMIFS('RAW_농산물_7월'!$H:$H,'RAW_농산물_7월'!$D:$D,$C212,'RAW_농산물_7월'!$A:$A,$E212)))</f>
        <v>1272350</v>
      </c>
      <c r="P212" s="7" t="str">
        <f>IF($C212="","",IF(COUNTA('RAW_농산물_9월'!$A:$A)&lt;=1,"",SUMIFS('RAW_농산물_9월'!$H:$H,'RAW_농산물_9월'!$D:$D,$C212,'RAW_농산물_9월'!$A:$A,$E212)-SUMIFS('RAW_농산물_8월'!$H:$H,'RAW_농산물_8월'!$D:$D,$C212,'RAW_농산물_8월'!$A:$A,$E212)))</f>
        <v/>
      </c>
      <c r="Q212" s="7" t="str">
        <f>IF($C212="","",IF(COUNTA('RAW_농산물_10월'!$A:$A)&lt;=1,"",SUMIFS('RAW_농산물_10월'!$H:$H,'RAW_농산물_10월'!$D:$D,$C212,'RAW_농산물_10월'!$A:$A,$E212)-SUMIFS('RAW_농산물_9월'!$H:$H,'RAW_농산물_9월'!$D:$D,$C212,'RAW_농산물_9월'!$A:$A,$E212)))</f>
        <v/>
      </c>
      <c r="R212" s="7" t="str">
        <f>IF($C212="","",IF(COUNTA('RAW_농산물_11-12월'!$A:$A)&lt;=1,"",SUMIFS('RAW_농산물_11-12월'!$H:$H,'RAW_농산물_11-12월'!$D:$D,$C212,'RAW_농산물_11-12월'!$A:$A,$E212)-SUMIFS('RAW_농산물_10월'!$H:$H,'RAW_농산물_10월'!$D:$D,$C212,'RAW_농산물_10월'!$A:$A,$E212)))</f>
        <v/>
      </c>
      <c r="S212" s="17" t="str">
        <f t="shared" si="4"/>
        <v>O</v>
      </c>
      <c r="T212" s="17" t="str">
        <f t="shared" si="5"/>
        <v>400만원 미만</v>
      </c>
      <c r="U212" s="7">
        <f>IF($C212="",0,IF('설정'!$B$3=0,0,CHOOSE('설정'!$B$3,COUNTIFS('RAW_농산물_7월'!$D:$D,$C212,'RAW_농산물_7월'!$A:$A,$E212),COUNTIFS('RAW_농산물_8월'!$D:$D,$C212,'RAW_농산물_8월'!$A:$A,$E212),COUNTIFS('RAW_농산물_9월'!$D:$D,$C212,'RAW_농산물_9월'!$A:$A,$E212),COUNTIFS('RAW_농산물_10월'!$D:$D,$C212,'RAW_농산물_10월'!$A:$A,$E212),COUNTIFS('RAW_농산물_11-12월'!$D:$D,$C212,'RAW_농산물_11-12월'!$A:$A,$E212))))</f>
        <v>10</v>
      </c>
    </row>
    <row r="213" ht="15.75" customHeight="1">
      <c r="A213" s="5">
        <v>211.0</v>
      </c>
      <c r="B213" s="5" t="s">
        <v>25</v>
      </c>
      <c r="C213" s="5" t="s">
        <v>3000</v>
      </c>
      <c r="D213" s="6" t="s">
        <v>3001</v>
      </c>
      <c r="E213" s="5" t="s">
        <v>92</v>
      </c>
      <c r="F213" s="7">
        <f>IF($C213="","",IF('설정'!$B$3=0,"",CHOOSE('설정'!$B$3,SUMIFS('RAW_농산물_7월'!$F:$F,'RAW_농산물_7월'!$D:$D,$C213,'RAW_농산물_7월'!$A:$A,$E213),SUMIFS('RAW_농산물_8월'!$F:$F,'RAW_농산물_8월'!$D:$D,$C213,'RAW_농산물_8월'!$A:$A,$E213),SUMIFS('RAW_농산물_9월'!$F:$F,'RAW_농산물_9월'!$D:$D,$C213,'RAW_농산물_9월'!$A:$A,$E213),SUMIFS('RAW_농산물_10월'!$F:$F,'RAW_농산물_10월'!$D:$D,$C213,'RAW_농산물_10월'!$A:$A,$E213),SUMIFS('RAW_농산물_11-12월'!$F:$F,'RAW_농산물_11-12월'!$D:$D,$C213,'RAW_농산물_11-12월'!$A:$A,$E213))))</f>
        <v>0</v>
      </c>
      <c r="G213" s="7">
        <f>IF($C213="","",IF('설정'!$B$3=0,"",CHOOSE('설정'!$B$3,SUMIFS('RAW_농산물_7월'!$G:$G,'RAW_농산물_7월'!$D:$D,$C213,'RAW_농산물_7월'!$A:$A,$E213),SUMIFS('RAW_농산물_8월'!$G:$G,'RAW_농산물_8월'!$D:$D,$C213,'RAW_농산물_8월'!$A:$A,$E213),SUMIFS('RAW_농산물_9월'!$G:$G,'RAW_농산물_9월'!$D:$D,$C213,'RAW_농산물_9월'!$A:$A,$E213),SUMIFS('RAW_농산물_10월'!$G:$G,'RAW_농산물_10월'!$D:$D,$C213,'RAW_농산물_10월'!$A:$A,$E213),SUMIFS('RAW_농산물_11-12월'!$G:$G,'RAW_농산물_11-12월'!$D:$D,$C213,'RAW_농산물_11-12월'!$A:$A,$E213))))</f>
        <v>0</v>
      </c>
      <c r="H213" s="14">
        <f>IF($C213="","",IF('설정'!$B$3=0,"",CHOOSE('설정'!$B$3,SUMIFS('RAW_농산물_7월'!$H:$H,'RAW_농산물_7월'!$D:$D,$C213,'RAW_농산물_7월'!$A:$A,$E213),SUMIFS('RAW_농산물_8월'!$H:$H,'RAW_농산물_8월'!$D:$D,$C213,'RAW_농산물_8월'!$A:$A,$E213),SUMIFS('RAW_농산물_9월'!$H:$H,'RAW_농산물_9월'!$D:$D,$C213,'RAW_농산물_9월'!$A:$A,$E213),SUMIFS('RAW_농산물_10월'!$H:$H,'RAW_농산물_10월'!$D:$D,$C213,'RAW_농산물_10월'!$A:$A,$E213),SUMIFS('RAW_농산물_11-12월'!$H:$H,'RAW_농산물_11-12월'!$D:$D,$C213,'RAW_농산물_11-12월'!$A:$A,$E213))))</f>
        <v>0</v>
      </c>
      <c r="I213" s="17" t="str">
        <f>IF($C213="","",IF(COUNTIFS('RAW_농산물_7월'!$D:$D,$C213,'RAW_농산물_7월'!$A:$A,$E213)&gt;0,"O",""))</f>
        <v/>
      </c>
      <c r="J213" s="17" t="str">
        <f>IF($C213="","",IF(COUNTIFS('RAW_농산물_8월'!$D:$D,$C213,'RAW_농산물_8월'!$A:$A,$E213)&gt;0,"O",""))</f>
        <v/>
      </c>
      <c r="K213" s="17" t="str">
        <f>IF($C213="","",IF(COUNTIFS('RAW_농산물_9월'!$D:$D,$C213,'RAW_농산물_9월'!$A:$A,$E213)&gt;0,"O",""))</f>
        <v/>
      </c>
      <c r="L213" s="17" t="str">
        <f>IF($C213="","",IF(COUNTIFS('RAW_농산물_10월'!$D:$D,$C213,'RAW_농산물_10월'!$A:$A,$E213)&gt;0,"O",""))</f>
        <v/>
      </c>
      <c r="M213" s="17" t="str">
        <f>IF($C213="","",IF(COUNTIFS('RAW_농산물_11-12월'!$D:$D,$C213,'RAW_농산물_11-12월'!$A:$A,$E213)&gt;0,"O",""))</f>
        <v/>
      </c>
      <c r="N213" s="7">
        <f>IF($C213="","",IF(COUNTA('RAW_농산물_7월'!$A:$A)&lt;=1,"",SUMIFS('RAW_농산물_7월'!$H:$H,'RAW_농산물_7월'!$D:$D,$C213,'RAW_농산물_7월'!$A:$A,$E213)))</f>
        <v>0</v>
      </c>
      <c r="O213" s="7">
        <f>IF($C213="","",IF(COUNTA('RAW_농산물_8월'!$A:$A)&lt;=1,"",SUMIFS('RAW_농산물_8월'!$H:$H,'RAW_농산물_8월'!$D:$D,$C213,'RAW_농산물_8월'!$A:$A,$E213)-SUMIFS('RAW_농산물_7월'!$H:$H,'RAW_농산물_7월'!$D:$D,$C213,'RAW_농산물_7월'!$A:$A,$E213)))</f>
        <v>0</v>
      </c>
      <c r="P213" s="7" t="str">
        <f>IF($C213="","",IF(COUNTA('RAW_농산물_9월'!$A:$A)&lt;=1,"",SUMIFS('RAW_농산물_9월'!$H:$H,'RAW_농산물_9월'!$D:$D,$C213,'RAW_농산물_9월'!$A:$A,$E213)-SUMIFS('RAW_농산물_8월'!$H:$H,'RAW_농산물_8월'!$D:$D,$C213,'RAW_농산물_8월'!$A:$A,$E213)))</f>
        <v/>
      </c>
      <c r="Q213" s="7" t="str">
        <f>IF($C213="","",IF(COUNTA('RAW_농산물_10월'!$A:$A)&lt;=1,"",SUMIFS('RAW_농산물_10월'!$H:$H,'RAW_농산물_10월'!$D:$D,$C213,'RAW_농산물_10월'!$A:$A,$E213)-SUMIFS('RAW_농산물_9월'!$H:$H,'RAW_농산물_9월'!$D:$D,$C213,'RAW_농산물_9월'!$A:$A,$E213)))</f>
        <v/>
      </c>
      <c r="R213" s="7" t="str">
        <f>IF($C213="","",IF(COUNTA('RAW_농산물_11-12월'!$A:$A)&lt;=1,"",SUMIFS('RAW_농산물_11-12월'!$H:$H,'RAW_농산물_11-12월'!$D:$D,$C213,'RAW_농산물_11-12월'!$A:$A,$E213)-SUMIFS('RAW_농산물_10월'!$H:$H,'RAW_농산물_10월'!$D:$D,$C213,'RAW_농산물_10월'!$A:$A,$E213)))</f>
        <v/>
      </c>
      <c r="S213" s="17" t="str">
        <f t="shared" si="4"/>
        <v/>
      </c>
      <c r="T213" s="17" t="str">
        <f t="shared" si="5"/>
        <v>미사용</v>
      </c>
      <c r="U213" s="7">
        <f>IF($C213="",0,IF('설정'!$B$3=0,0,CHOOSE('설정'!$B$3,COUNTIFS('RAW_농산물_7월'!$D:$D,$C213,'RAW_농산물_7월'!$A:$A,$E213),COUNTIFS('RAW_농산물_8월'!$D:$D,$C213,'RAW_농산물_8월'!$A:$A,$E213),COUNTIFS('RAW_농산물_9월'!$D:$D,$C213,'RAW_농산물_9월'!$A:$A,$E213),COUNTIFS('RAW_농산물_10월'!$D:$D,$C213,'RAW_농산물_10월'!$A:$A,$E213),COUNTIFS('RAW_농산물_11-12월'!$D:$D,$C213,'RAW_농산물_11-12월'!$A:$A,$E213))))</f>
        <v>0</v>
      </c>
    </row>
    <row r="214" ht="15.75" customHeight="1">
      <c r="A214" s="5">
        <v>212.0</v>
      </c>
      <c r="B214" s="5" t="s">
        <v>108</v>
      </c>
      <c r="C214" s="5" t="s">
        <v>3002</v>
      </c>
      <c r="D214" s="6" t="s">
        <v>3003</v>
      </c>
      <c r="E214" s="5" t="s">
        <v>92</v>
      </c>
      <c r="F214" s="7">
        <f>IF($C214="","",IF('설정'!$B$3=0,"",CHOOSE('설정'!$B$3,SUMIFS('RAW_농산물_7월'!$F:$F,'RAW_농산물_7월'!$D:$D,$C214,'RAW_농산물_7월'!$A:$A,$E214),SUMIFS('RAW_농산물_8월'!$F:$F,'RAW_농산물_8월'!$D:$D,$C214,'RAW_농산물_8월'!$A:$A,$E214),SUMIFS('RAW_농산물_9월'!$F:$F,'RAW_농산물_9월'!$D:$D,$C214,'RAW_농산물_9월'!$A:$A,$E214),SUMIFS('RAW_농산물_10월'!$F:$F,'RAW_농산물_10월'!$D:$D,$C214,'RAW_농산물_10월'!$A:$A,$E214),SUMIFS('RAW_농산물_11-12월'!$F:$F,'RAW_농산물_11-12월'!$D:$D,$C214,'RAW_농산물_11-12월'!$A:$A,$E214))))</f>
        <v>0</v>
      </c>
      <c r="G214" s="7">
        <f>IF($C214="","",IF('설정'!$B$3=0,"",CHOOSE('설정'!$B$3,SUMIFS('RAW_농산물_7월'!$G:$G,'RAW_농산물_7월'!$D:$D,$C214,'RAW_농산물_7월'!$A:$A,$E214),SUMIFS('RAW_농산물_8월'!$G:$G,'RAW_농산물_8월'!$D:$D,$C214,'RAW_농산물_8월'!$A:$A,$E214),SUMIFS('RAW_농산물_9월'!$G:$G,'RAW_농산물_9월'!$D:$D,$C214,'RAW_농산물_9월'!$A:$A,$E214),SUMIFS('RAW_농산물_10월'!$G:$G,'RAW_농산물_10월'!$D:$D,$C214,'RAW_농산물_10월'!$A:$A,$E214),SUMIFS('RAW_농산물_11-12월'!$G:$G,'RAW_농산물_11-12월'!$D:$D,$C214,'RAW_농산물_11-12월'!$A:$A,$E214))))</f>
        <v>0</v>
      </c>
      <c r="H214" s="14">
        <f>IF($C214="","",IF('설정'!$B$3=0,"",CHOOSE('설정'!$B$3,SUMIFS('RAW_농산물_7월'!$H:$H,'RAW_농산물_7월'!$D:$D,$C214,'RAW_농산물_7월'!$A:$A,$E214),SUMIFS('RAW_농산물_8월'!$H:$H,'RAW_농산물_8월'!$D:$D,$C214,'RAW_농산물_8월'!$A:$A,$E214),SUMIFS('RAW_농산물_9월'!$H:$H,'RAW_농산물_9월'!$D:$D,$C214,'RAW_농산물_9월'!$A:$A,$E214),SUMIFS('RAW_농산물_10월'!$H:$H,'RAW_농산물_10월'!$D:$D,$C214,'RAW_농산물_10월'!$A:$A,$E214),SUMIFS('RAW_농산물_11-12월'!$H:$H,'RAW_농산물_11-12월'!$D:$D,$C214,'RAW_농산물_11-12월'!$A:$A,$E214))))</f>
        <v>0</v>
      </c>
      <c r="I214" s="17" t="str">
        <f>IF($C214="","",IF(COUNTIFS('RAW_농산물_7월'!$D:$D,$C214,'RAW_농산물_7월'!$A:$A,$E214)&gt;0,"O",""))</f>
        <v/>
      </c>
      <c r="J214" s="17" t="str">
        <f>IF($C214="","",IF(COUNTIFS('RAW_농산물_8월'!$D:$D,$C214,'RAW_농산물_8월'!$A:$A,$E214)&gt;0,"O",""))</f>
        <v/>
      </c>
      <c r="K214" s="17" t="str">
        <f>IF($C214="","",IF(COUNTIFS('RAW_농산물_9월'!$D:$D,$C214,'RAW_농산물_9월'!$A:$A,$E214)&gt;0,"O",""))</f>
        <v/>
      </c>
      <c r="L214" s="17" t="str">
        <f>IF($C214="","",IF(COUNTIFS('RAW_농산물_10월'!$D:$D,$C214,'RAW_농산물_10월'!$A:$A,$E214)&gt;0,"O",""))</f>
        <v/>
      </c>
      <c r="M214" s="17" t="str">
        <f>IF($C214="","",IF(COUNTIFS('RAW_농산물_11-12월'!$D:$D,$C214,'RAW_농산물_11-12월'!$A:$A,$E214)&gt;0,"O",""))</f>
        <v/>
      </c>
      <c r="N214" s="7">
        <f>IF($C214="","",IF(COUNTA('RAW_농산물_7월'!$A:$A)&lt;=1,"",SUMIFS('RAW_농산물_7월'!$H:$H,'RAW_농산물_7월'!$D:$D,$C214,'RAW_농산물_7월'!$A:$A,$E214)))</f>
        <v>0</v>
      </c>
      <c r="O214" s="7">
        <f>IF($C214="","",IF(COUNTA('RAW_농산물_8월'!$A:$A)&lt;=1,"",SUMIFS('RAW_농산물_8월'!$H:$H,'RAW_농산물_8월'!$D:$D,$C214,'RAW_농산물_8월'!$A:$A,$E214)-SUMIFS('RAW_농산물_7월'!$H:$H,'RAW_농산물_7월'!$D:$D,$C214,'RAW_농산물_7월'!$A:$A,$E214)))</f>
        <v>0</v>
      </c>
      <c r="P214" s="7" t="str">
        <f>IF($C214="","",IF(COUNTA('RAW_농산물_9월'!$A:$A)&lt;=1,"",SUMIFS('RAW_농산물_9월'!$H:$H,'RAW_농산물_9월'!$D:$D,$C214,'RAW_농산물_9월'!$A:$A,$E214)-SUMIFS('RAW_농산물_8월'!$H:$H,'RAW_농산물_8월'!$D:$D,$C214,'RAW_농산물_8월'!$A:$A,$E214)))</f>
        <v/>
      </c>
      <c r="Q214" s="7" t="str">
        <f>IF($C214="","",IF(COUNTA('RAW_농산물_10월'!$A:$A)&lt;=1,"",SUMIFS('RAW_농산물_10월'!$H:$H,'RAW_농산물_10월'!$D:$D,$C214,'RAW_농산물_10월'!$A:$A,$E214)-SUMIFS('RAW_농산물_9월'!$H:$H,'RAW_농산물_9월'!$D:$D,$C214,'RAW_농산물_9월'!$A:$A,$E214)))</f>
        <v/>
      </c>
      <c r="R214" s="7" t="str">
        <f>IF($C214="","",IF(COUNTA('RAW_농산물_11-12월'!$A:$A)&lt;=1,"",SUMIFS('RAW_농산물_11-12월'!$H:$H,'RAW_농산물_11-12월'!$D:$D,$C214,'RAW_농산물_11-12월'!$A:$A,$E214)-SUMIFS('RAW_농산물_10월'!$H:$H,'RAW_농산물_10월'!$D:$D,$C214,'RAW_농산물_10월'!$A:$A,$E214)))</f>
        <v/>
      </c>
      <c r="S214" s="17" t="str">
        <f t="shared" si="4"/>
        <v/>
      </c>
      <c r="T214" s="17" t="str">
        <f t="shared" si="5"/>
        <v>미사용</v>
      </c>
      <c r="U214" s="7">
        <f>IF($C214="",0,IF('설정'!$B$3=0,0,CHOOSE('설정'!$B$3,COUNTIFS('RAW_농산물_7월'!$D:$D,$C214,'RAW_농산물_7월'!$A:$A,$E214),COUNTIFS('RAW_농산물_8월'!$D:$D,$C214,'RAW_농산물_8월'!$A:$A,$E214),COUNTIFS('RAW_농산물_9월'!$D:$D,$C214,'RAW_농산물_9월'!$A:$A,$E214),COUNTIFS('RAW_농산물_10월'!$D:$D,$C214,'RAW_농산물_10월'!$A:$A,$E214),COUNTIFS('RAW_농산물_11-12월'!$D:$D,$C214,'RAW_농산물_11-12월'!$A:$A,$E214))))</f>
        <v>0</v>
      </c>
    </row>
    <row r="215" ht="15.75" customHeight="1">
      <c r="A215" s="5">
        <v>213.0</v>
      </c>
      <c r="B215" s="5" t="s">
        <v>145</v>
      </c>
      <c r="C215" s="5" t="s">
        <v>3004</v>
      </c>
      <c r="D215" s="6" t="s">
        <v>3005</v>
      </c>
      <c r="E215" s="5" t="s">
        <v>92</v>
      </c>
      <c r="F215" s="7">
        <f>IF($C215="","",IF('설정'!$B$3=0,"",CHOOSE('설정'!$B$3,SUMIFS('RAW_농산물_7월'!$F:$F,'RAW_농산물_7월'!$D:$D,$C215,'RAW_농산물_7월'!$A:$A,$E215),SUMIFS('RAW_농산물_8월'!$F:$F,'RAW_농산물_8월'!$D:$D,$C215,'RAW_농산물_8월'!$A:$A,$E215),SUMIFS('RAW_농산물_9월'!$F:$F,'RAW_농산물_9월'!$D:$D,$C215,'RAW_농산물_9월'!$A:$A,$E215),SUMIFS('RAW_농산물_10월'!$F:$F,'RAW_농산물_10월'!$D:$D,$C215,'RAW_농산물_10월'!$A:$A,$E215),SUMIFS('RAW_농산물_11-12월'!$F:$F,'RAW_농산물_11-12월'!$D:$D,$C215,'RAW_농산물_11-12월'!$A:$A,$E215))))</f>
        <v>0</v>
      </c>
      <c r="G215" s="7">
        <f>IF($C215="","",IF('설정'!$B$3=0,"",CHOOSE('설정'!$B$3,SUMIFS('RAW_농산물_7월'!$G:$G,'RAW_농산물_7월'!$D:$D,$C215,'RAW_농산물_7월'!$A:$A,$E215),SUMIFS('RAW_농산물_8월'!$G:$G,'RAW_농산물_8월'!$D:$D,$C215,'RAW_농산물_8월'!$A:$A,$E215),SUMIFS('RAW_농산물_9월'!$G:$G,'RAW_농산물_9월'!$D:$D,$C215,'RAW_농산물_9월'!$A:$A,$E215),SUMIFS('RAW_농산물_10월'!$G:$G,'RAW_농산물_10월'!$D:$D,$C215,'RAW_농산물_10월'!$A:$A,$E215),SUMIFS('RAW_농산물_11-12월'!$G:$G,'RAW_농산물_11-12월'!$D:$D,$C215,'RAW_농산물_11-12월'!$A:$A,$E215))))</f>
        <v>0</v>
      </c>
      <c r="H215" s="14">
        <f>IF($C215="","",IF('설정'!$B$3=0,"",CHOOSE('설정'!$B$3,SUMIFS('RAW_농산물_7월'!$H:$H,'RAW_농산물_7월'!$D:$D,$C215,'RAW_농산물_7월'!$A:$A,$E215),SUMIFS('RAW_농산물_8월'!$H:$H,'RAW_농산물_8월'!$D:$D,$C215,'RAW_농산물_8월'!$A:$A,$E215),SUMIFS('RAW_농산물_9월'!$H:$H,'RAW_농산물_9월'!$D:$D,$C215,'RAW_농산물_9월'!$A:$A,$E215),SUMIFS('RAW_농산물_10월'!$H:$H,'RAW_농산물_10월'!$D:$D,$C215,'RAW_농산물_10월'!$A:$A,$E215),SUMIFS('RAW_농산물_11-12월'!$H:$H,'RAW_농산물_11-12월'!$D:$D,$C215,'RAW_농산물_11-12월'!$A:$A,$E215))))</f>
        <v>0</v>
      </c>
      <c r="I215" s="17" t="str">
        <f>IF($C215="","",IF(COUNTIFS('RAW_농산물_7월'!$D:$D,$C215,'RAW_농산물_7월'!$A:$A,$E215)&gt;0,"O",""))</f>
        <v/>
      </c>
      <c r="J215" s="17" t="str">
        <f>IF($C215="","",IF(COUNTIFS('RAW_농산물_8월'!$D:$D,$C215,'RAW_농산물_8월'!$A:$A,$E215)&gt;0,"O",""))</f>
        <v/>
      </c>
      <c r="K215" s="17" t="str">
        <f>IF($C215="","",IF(COUNTIFS('RAW_농산물_9월'!$D:$D,$C215,'RAW_농산물_9월'!$A:$A,$E215)&gt;0,"O",""))</f>
        <v/>
      </c>
      <c r="L215" s="17" t="str">
        <f>IF($C215="","",IF(COUNTIFS('RAW_농산물_10월'!$D:$D,$C215,'RAW_농산물_10월'!$A:$A,$E215)&gt;0,"O",""))</f>
        <v/>
      </c>
      <c r="M215" s="17" t="str">
        <f>IF($C215="","",IF(COUNTIFS('RAW_농산물_11-12월'!$D:$D,$C215,'RAW_농산물_11-12월'!$A:$A,$E215)&gt;0,"O",""))</f>
        <v/>
      </c>
      <c r="N215" s="7">
        <f>IF($C215="","",IF(COUNTA('RAW_농산물_7월'!$A:$A)&lt;=1,"",SUMIFS('RAW_농산물_7월'!$H:$H,'RAW_농산물_7월'!$D:$D,$C215,'RAW_농산물_7월'!$A:$A,$E215)))</f>
        <v>0</v>
      </c>
      <c r="O215" s="7">
        <f>IF($C215="","",IF(COUNTA('RAW_농산물_8월'!$A:$A)&lt;=1,"",SUMIFS('RAW_농산물_8월'!$H:$H,'RAW_농산물_8월'!$D:$D,$C215,'RAW_농산물_8월'!$A:$A,$E215)-SUMIFS('RAW_농산물_7월'!$H:$H,'RAW_농산물_7월'!$D:$D,$C215,'RAW_농산물_7월'!$A:$A,$E215)))</f>
        <v>0</v>
      </c>
      <c r="P215" s="7" t="str">
        <f>IF($C215="","",IF(COUNTA('RAW_농산물_9월'!$A:$A)&lt;=1,"",SUMIFS('RAW_농산물_9월'!$H:$H,'RAW_농산물_9월'!$D:$D,$C215,'RAW_농산물_9월'!$A:$A,$E215)-SUMIFS('RAW_농산물_8월'!$H:$H,'RAW_농산물_8월'!$D:$D,$C215,'RAW_농산물_8월'!$A:$A,$E215)))</f>
        <v/>
      </c>
      <c r="Q215" s="7" t="str">
        <f>IF($C215="","",IF(COUNTA('RAW_농산물_10월'!$A:$A)&lt;=1,"",SUMIFS('RAW_농산물_10월'!$H:$H,'RAW_농산물_10월'!$D:$D,$C215,'RAW_농산물_10월'!$A:$A,$E215)-SUMIFS('RAW_농산물_9월'!$H:$H,'RAW_농산물_9월'!$D:$D,$C215,'RAW_농산물_9월'!$A:$A,$E215)))</f>
        <v/>
      </c>
      <c r="R215" s="7" t="str">
        <f>IF($C215="","",IF(COUNTA('RAW_농산물_11-12월'!$A:$A)&lt;=1,"",SUMIFS('RAW_농산물_11-12월'!$H:$H,'RAW_농산물_11-12월'!$D:$D,$C215,'RAW_농산물_11-12월'!$A:$A,$E215)-SUMIFS('RAW_농산물_10월'!$H:$H,'RAW_농산물_10월'!$D:$D,$C215,'RAW_농산물_10월'!$A:$A,$E215)))</f>
        <v/>
      </c>
      <c r="S215" s="17" t="str">
        <f t="shared" si="4"/>
        <v/>
      </c>
      <c r="T215" s="17" t="str">
        <f t="shared" si="5"/>
        <v>미사용</v>
      </c>
      <c r="U215" s="7">
        <f>IF($C215="",0,IF('설정'!$B$3=0,0,CHOOSE('설정'!$B$3,COUNTIFS('RAW_농산물_7월'!$D:$D,$C215,'RAW_농산물_7월'!$A:$A,$E215),COUNTIFS('RAW_농산물_8월'!$D:$D,$C215,'RAW_농산물_8월'!$A:$A,$E215),COUNTIFS('RAW_농산물_9월'!$D:$D,$C215,'RAW_농산물_9월'!$A:$A,$E215),COUNTIFS('RAW_농산물_10월'!$D:$D,$C215,'RAW_농산물_10월'!$A:$A,$E215),COUNTIFS('RAW_농산물_11-12월'!$D:$D,$C215,'RAW_농산물_11-12월'!$A:$A,$E215))))</f>
        <v>0</v>
      </c>
    </row>
    <row r="216" ht="15.75" customHeight="1">
      <c r="A216" s="5">
        <v>214.0</v>
      </c>
      <c r="B216" s="5" t="s">
        <v>145</v>
      </c>
      <c r="C216" s="5" t="s">
        <v>1577</v>
      </c>
      <c r="D216" s="6" t="s">
        <v>1576</v>
      </c>
      <c r="E216" s="5" t="s">
        <v>93</v>
      </c>
      <c r="F216" s="7">
        <f>IF($C216="","",IF('설정'!$B$3=0,"",CHOOSE('설정'!$B$3,SUMIFS('RAW_농산물_7월'!$F:$F,'RAW_농산물_7월'!$D:$D,$C216,'RAW_농산물_7월'!$A:$A,$E216),SUMIFS('RAW_농산물_8월'!$F:$F,'RAW_농산물_8월'!$D:$D,$C216,'RAW_농산물_8월'!$A:$A,$E216),SUMIFS('RAW_농산물_9월'!$F:$F,'RAW_농산물_9월'!$D:$D,$C216,'RAW_농산물_9월'!$A:$A,$E216),SUMIFS('RAW_농산물_10월'!$F:$F,'RAW_농산물_10월'!$D:$D,$C216,'RAW_농산물_10월'!$A:$A,$E216),SUMIFS('RAW_농산물_11-12월'!$F:$F,'RAW_농산물_11-12월'!$D:$D,$C216,'RAW_농산물_11-12월'!$A:$A,$E216))))</f>
        <v>39</v>
      </c>
      <c r="G216" s="7">
        <f>IF($C216="","",IF('설정'!$B$3=0,"",CHOOSE('설정'!$B$3,SUMIFS('RAW_농산물_7월'!$G:$G,'RAW_농산물_7월'!$D:$D,$C216,'RAW_농산물_7월'!$A:$A,$E216),SUMIFS('RAW_농산물_8월'!$G:$G,'RAW_농산물_8월'!$D:$D,$C216,'RAW_농산물_8월'!$A:$A,$E216),SUMIFS('RAW_농산물_9월'!$G:$G,'RAW_농산물_9월'!$D:$D,$C216,'RAW_농산물_9월'!$A:$A,$E216),SUMIFS('RAW_농산물_10월'!$G:$G,'RAW_농산물_10월'!$D:$D,$C216,'RAW_농산물_10월'!$A:$A,$E216),SUMIFS('RAW_농산물_11-12월'!$G:$G,'RAW_농산물_11-12월'!$D:$D,$C216,'RAW_농산물_11-12월'!$A:$A,$E216))))</f>
        <v>865000</v>
      </c>
      <c r="H216" s="14">
        <f>IF($C216="","",IF('설정'!$B$3=0,"",CHOOSE('설정'!$B$3,SUMIFS('RAW_농산물_7월'!$H:$H,'RAW_농산물_7월'!$D:$D,$C216,'RAW_농산물_7월'!$A:$A,$E216),SUMIFS('RAW_농산물_8월'!$H:$H,'RAW_농산물_8월'!$D:$D,$C216,'RAW_농산물_8월'!$A:$A,$E216),SUMIFS('RAW_농산물_9월'!$H:$H,'RAW_농산물_9월'!$D:$D,$C216,'RAW_농산물_9월'!$A:$A,$E216),SUMIFS('RAW_농산물_10월'!$H:$H,'RAW_농산물_10월'!$D:$D,$C216,'RAW_농산물_10월'!$A:$A,$E216),SUMIFS('RAW_농산물_11-12월'!$H:$H,'RAW_농산물_11-12월'!$D:$D,$C216,'RAW_농산물_11-12월'!$A:$A,$E216))))</f>
        <v>38710</v>
      </c>
      <c r="I216" s="17" t="str">
        <f>IF($C216="","",IF(COUNTIFS('RAW_농산물_7월'!$D:$D,$C216,'RAW_농산물_7월'!$A:$A,$E216)&gt;0,"O",""))</f>
        <v>O</v>
      </c>
      <c r="J216" s="17" t="str">
        <f>IF($C216="","",IF(COUNTIFS('RAW_농산물_8월'!$D:$D,$C216,'RAW_농산물_8월'!$A:$A,$E216)&gt;0,"O",""))</f>
        <v>O</v>
      </c>
      <c r="K216" s="17" t="str">
        <f>IF($C216="","",IF(COUNTIFS('RAW_농산물_9월'!$D:$D,$C216,'RAW_농산물_9월'!$A:$A,$E216)&gt;0,"O",""))</f>
        <v/>
      </c>
      <c r="L216" s="17" t="str">
        <f>IF($C216="","",IF(COUNTIFS('RAW_농산물_10월'!$D:$D,$C216,'RAW_농산물_10월'!$A:$A,$E216)&gt;0,"O",""))</f>
        <v/>
      </c>
      <c r="M216" s="17" t="str">
        <f>IF($C216="","",IF(COUNTIFS('RAW_농산물_11-12월'!$D:$D,$C216,'RAW_농산물_11-12월'!$A:$A,$E216)&gt;0,"O",""))</f>
        <v/>
      </c>
      <c r="N216" s="7">
        <f>IF($C216="","",IF(COUNTA('RAW_농산물_7월'!$A:$A)&lt;=1,"",SUMIFS('RAW_농산물_7월'!$H:$H,'RAW_농산물_7월'!$D:$D,$C216,'RAW_농산물_7월'!$A:$A,$E216)))</f>
        <v>4740</v>
      </c>
      <c r="O216" s="7">
        <f>IF($C216="","",IF(COUNTA('RAW_농산물_8월'!$A:$A)&lt;=1,"",SUMIFS('RAW_농산물_8월'!$H:$H,'RAW_농산물_8월'!$D:$D,$C216,'RAW_농산물_8월'!$A:$A,$E216)-SUMIFS('RAW_농산물_7월'!$H:$H,'RAW_농산물_7월'!$D:$D,$C216,'RAW_농산물_7월'!$A:$A,$E216)))</f>
        <v>33970</v>
      </c>
      <c r="P216" s="7" t="str">
        <f>IF($C216="","",IF(COUNTA('RAW_농산물_9월'!$A:$A)&lt;=1,"",SUMIFS('RAW_농산물_9월'!$H:$H,'RAW_농산물_9월'!$D:$D,$C216,'RAW_농산물_9월'!$A:$A,$E216)-SUMIFS('RAW_농산물_8월'!$H:$H,'RAW_농산물_8월'!$D:$D,$C216,'RAW_농산물_8월'!$A:$A,$E216)))</f>
        <v/>
      </c>
      <c r="Q216" s="7" t="str">
        <f>IF($C216="","",IF(COUNTA('RAW_농산물_10월'!$A:$A)&lt;=1,"",SUMIFS('RAW_농산물_10월'!$H:$H,'RAW_농산물_10월'!$D:$D,$C216,'RAW_농산물_10월'!$A:$A,$E216)-SUMIFS('RAW_농산물_9월'!$H:$H,'RAW_농산물_9월'!$D:$D,$C216,'RAW_농산물_9월'!$A:$A,$E216)))</f>
        <v/>
      </c>
      <c r="R216" s="7" t="str">
        <f>IF($C216="","",IF(COUNTA('RAW_농산물_11-12월'!$A:$A)&lt;=1,"",SUMIFS('RAW_농산물_11-12월'!$H:$H,'RAW_농산물_11-12월'!$D:$D,$C216,'RAW_농산물_11-12월'!$A:$A,$E216)-SUMIFS('RAW_농산물_10월'!$H:$H,'RAW_농산물_10월'!$D:$D,$C216,'RAW_농산물_10월'!$A:$A,$E216)))</f>
        <v/>
      </c>
      <c r="S216" s="17" t="str">
        <f t="shared" si="4"/>
        <v>O</v>
      </c>
      <c r="T216" s="17" t="str">
        <f t="shared" si="5"/>
        <v>50만원 미만</v>
      </c>
      <c r="U216" s="7">
        <f>IF($C216="",0,IF('설정'!$B$3=0,0,CHOOSE('설정'!$B$3,COUNTIFS('RAW_농산물_7월'!$D:$D,$C216,'RAW_농산물_7월'!$A:$A,$E216),COUNTIFS('RAW_농산물_8월'!$D:$D,$C216,'RAW_농산물_8월'!$A:$A,$E216),COUNTIFS('RAW_농산물_9월'!$D:$D,$C216,'RAW_농산물_9월'!$A:$A,$E216),COUNTIFS('RAW_농산물_10월'!$D:$D,$C216,'RAW_농산물_10월'!$A:$A,$E216),COUNTIFS('RAW_농산물_11-12월'!$D:$D,$C216,'RAW_농산물_11-12월'!$A:$A,$E216))))</f>
        <v>2</v>
      </c>
    </row>
    <row r="217" ht="15.75" customHeight="1">
      <c r="A217" s="5">
        <v>215.0</v>
      </c>
      <c r="B217" s="5" t="s">
        <v>25</v>
      </c>
      <c r="C217" s="5" t="s">
        <v>3006</v>
      </c>
      <c r="D217" s="6" t="s">
        <v>3007</v>
      </c>
      <c r="E217" s="5" t="s">
        <v>28</v>
      </c>
      <c r="F217" s="7">
        <f>IF($C217="","",IF('설정'!$B$3=0,"",CHOOSE('설정'!$B$3,SUMIFS('RAW_농산물_7월'!$F:$F,'RAW_농산물_7월'!$D:$D,$C217,'RAW_농산물_7월'!$A:$A,$E217),SUMIFS('RAW_농산물_8월'!$F:$F,'RAW_농산물_8월'!$D:$D,$C217,'RAW_농산물_8월'!$A:$A,$E217),SUMIFS('RAW_농산물_9월'!$F:$F,'RAW_농산물_9월'!$D:$D,$C217,'RAW_농산물_9월'!$A:$A,$E217),SUMIFS('RAW_농산물_10월'!$F:$F,'RAW_농산물_10월'!$D:$D,$C217,'RAW_농산물_10월'!$A:$A,$E217),SUMIFS('RAW_농산물_11-12월'!$F:$F,'RAW_농산물_11-12월'!$D:$D,$C217,'RAW_농산물_11-12월'!$A:$A,$E217))))</f>
        <v>0</v>
      </c>
      <c r="G217" s="7">
        <f>IF($C217="","",IF('설정'!$B$3=0,"",CHOOSE('설정'!$B$3,SUMIFS('RAW_농산물_7월'!$G:$G,'RAW_농산물_7월'!$D:$D,$C217,'RAW_농산물_7월'!$A:$A,$E217),SUMIFS('RAW_농산물_8월'!$G:$G,'RAW_농산물_8월'!$D:$D,$C217,'RAW_농산물_8월'!$A:$A,$E217),SUMIFS('RAW_농산물_9월'!$G:$G,'RAW_농산물_9월'!$D:$D,$C217,'RAW_농산물_9월'!$A:$A,$E217),SUMIFS('RAW_농산물_10월'!$G:$G,'RAW_농산물_10월'!$D:$D,$C217,'RAW_농산물_10월'!$A:$A,$E217),SUMIFS('RAW_농산물_11-12월'!$G:$G,'RAW_농산물_11-12월'!$D:$D,$C217,'RAW_농산물_11-12월'!$A:$A,$E217))))</f>
        <v>0</v>
      </c>
      <c r="H217" s="14">
        <f>IF($C217="","",IF('설정'!$B$3=0,"",CHOOSE('설정'!$B$3,SUMIFS('RAW_농산물_7월'!$H:$H,'RAW_농산물_7월'!$D:$D,$C217,'RAW_농산물_7월'!$A:$A,$E217),SUMIFS('RAW_농산물_8월'!$H:$H,'RAW_농산물_8월'!$D:$D,$C217,'RAW_농산물_8월'!$A:$A,$E217),SUMIFS('RAW_농산물_9월'!$H:$H,'RAW_농산물_9월'!$D:$D,$C217,'RAW_농산물_9월'!$A:$A,$E217),SUMIFS('RAW_농산물_10월'!$H:$H,'RAW_농산물_10월'!$D:$D,$C217,'RAW_농산물_10월'!$A:$A,$E217),SUMIFS('RAW_농산물_11-12월'!$H:$H,'RAW_농산물_11-12월'!$D:$D,$C217,'RAW_농산물_11-12월'!$A:$A,$E217))))</f>
        <v>0</v>
      </c>
      <c r="I217" s="17" t="str">
        <f>IF($C217="","",IF(COUNTIFS('RAW_농산물_7월'!$D:$D,$C217,'RAW_농산물_7월'!$A:$A,$E217)&gt;0,"O",""))</f>
        <v/>
      </c>
      <c r="J217" s="17" t="str">
        <f>IF($C217="","",IF(COUNTIFS('RAW_농산물_8월'!$D:$D,$C217,'RAW_농산물_8월'!$A:$A,$E217)&gt;0,"O",""))</f>
        <v/>
      </c>
      <c r="K217" s="17" t="str">
        <f>IF($C217="","",IF(COUNTIFS('RAW_농산물_9월'!$D:$D,$C217,'RAW_농산물_9월'!$A:$A,$E217)&gt;0,"O",""))</f>
        <v/>
      </c>
      <c r="L217" s="17" t="str">
        <f>IF($C217="","",IF(COUNTIFS('RAW_농산물_10월'!$D:$D,$C217,'RAW_농산물_10월'!$A:$A,$E217)&gt;0,"O",""))</f>
        <v/>
      </c>
      <c r="M217" s="17" t="str">
        <f>IF($C217="","",IF(COUNTIFS('RAW_농산물_11-12월'!$D:$D,$C217,'RAW_농산물_11-12월'!$A:$A,$E217)&gt;0,"O",""))</f>
        <v/>
      </c>
      <c r="N217" s="7">
        <f>IF($C217="","",IF(COUNTA('RAW_농산물_7월'!$A:$A)&lt;=1,"",SUMIFS('RAW_농산물_7월'!$H:$H,'RAW_농산물_7월'!$D:$D,$C217,'RAW_농산물_7월'!$A:$A,$E217)))</f>
        <v>0</v>
      </c>
      <c r="O217" s="7">
        <f>IF($C217="","",IF(COUNTA('RAW_농산물_8월'!$A:$A)&lt;=1,"",SUMIFS('RAW_농산물_8월'!$H:$H,'RAW_농산물_8월'!$D:$D,$C217,'RAW_농산물_8월'!$A:$A,$E217)-SUMIFS('RAW_농산물_7월'!$H:$H,'RAW_농산물_7월'!$D:$D,$C217,'RAW_농산물_7월'!$A:$A,$E217)))</f>
        <v>0</v>
      </c>
      <c r="P217" s="7" t="str">
        <f>IF($C217="","",IF(COUNTA('RAW_농산물_9월'!$A:$A)&lt;=1,"",SUMIFS('RAW_농산물_9월'!$H:$H,'RAW_농산물_9월'!$D:$D,$C217,'RAW_농산물_9월'!$A:$A,$E217)-SUMIFS('RAW_농산물_8월'!$H:$H,'RAW_농산물_8월'!$D:$D,$C217,'RAW_농산물_8월'!$A:$A,$E217)))</f>
        <v/>
      </c>
      <c r="Q217" s="7" t="str">
        <f>IF($C217="","",IF(COUNTA('RAW_농산물_10월'!$A:$A)&lt;=1,"",SUMIFS('RAW_농산물_10월'!$H:$H,'RAW_농산물_10월'!$D:$D,$C217,'RAW_농산물_10월'!$A:$A,$E217)-SUMIFS('RAW_농산물_9월'!$H:$H,'RAW_농산물_9월'!$D:$D,$C217,'RAW_농산물_9월'!$A:$A,$E217)))</f>
        <v/>
      </c>
      <c r="R217" s="7" t="str">
        <f>IF($C217="","",IF(COUNTA('RAW_농산물_11-12월'!$A:$A)&lt;=1,"",SUMIFS('RAW_농산물_11-12월'!$H:$H,'RAW_농산물_11-12월'!$D:$D,$C217,'RAW_농산물_11-12월'!$A:$A,$E217)-SUMIFS('RAW_농산물_10월'!$H:$H,'RAW_농산물_10월'!$D:$D,$C217,'RAW_농산물_10월'!$A:$A,$E217)))</f>
        <v/>
      </c>
      <c r="S217" s="17" t="str">
        <f t="shared" si="4"/>
        <v/>
      </c>
      <c r="T217" s="17" t="str">
        <f t="shared" si="5"/>
        <v>미사용</v>
      </c>
      <c r="U217" s="7">
        <f>IF($C217="",0,IF('설정'!$B$3=0,0,CHOOSE('설정'!$B$3,COUNTIFS('RAW_농산물_7월'!$D:$D,$C217,'RAW_농산물_7월'!$A:$A,$E217),COUNTIFS('RAW_농산물_8월'!$D:$D,$C217,'RAW_농산물_8월'!$A:$A,$E217),COUNTIFS('RAW_농산물_9월'!$D:$D,$C217,'RAW_농산물_9월'!$A:$A,$E217),COUNTIFS('RAW_농산물_10월'!$D:$D,$C217,'RAW_농산물_10월'!$A:$A,$E217),COUNTIFS('RAW_농산물_11-12월'!$D:$D,$C217,'RAW_농산물_11-12월'!$A:$A,$E217))))</f>
        <v>0</v>
      </c>
    </row>
    <row r="218" ht="15.75" customHeight="1">
      <c r="A218" s="5">
        <v>216.0</v>
      </c>
      <c r="B218" s="5" t="s">
        <v>25</v>
      </c>
      <c r="C218" s="5" t="s">
        <v>1371</v>
      </c>
      <c r="D218" s="6" t="s">
        <v>1370</v>
      </c>
      <c r="E218" s="5" t="s">
        <v>93</v>
      </c>
      <c r="F218" s="7">
        <f>IF($C218="","",IF('설정'!$B$3=0,"",CHOOSE('설정'!$B$3,SUMIFS('RAW_농산물_7월'!$F:$F,'RAW_농산물_7월'!$D:$D,$C218,'RAW_농산물_7월'!$A:$A,$E218),SUMIFS('RAW_농산물_8월'!$F:$F,'RAW_농산물_8월'!$D:$D,$C218,'RAW_농산물_8월'!$A:$A,$E218),SUMIFS('RAW_농산물_9월'!$F:$F,'RAW_농산물_9월'!$D:$D,$C218,'RAW_농산물_9월'!$A:$A,$E218),SUMIFS('RAW_농산물_10월'!$F:$F,'RAW_농산물_10월'!$D:$D,$C218,'RAW_농산물_10월'!$A:$A,$E218),SUMIFS('RAW_농산물_11-12월'!$F:$F,'RAW_농산물_11-12월'!$D:$D,$C218,'RAW_농산물_11-12월'!$A:$A,$E218))))</f>
        <v>1654</v>
      </c>
      <c r="G218" s="7">
        <f>IF($C218="","",IF('설정'!$B$3=0,"",CHOOSE('설정'!$B$3,SUMIFS('RAW_농산물_7월'!$G:$G,'RAW_농산물_7월'!$D:$D,$C218,'RAW_농산물_7월'!$A:$A,$E218),SUMIFS('RAW_농산물_8월'!$G:$G,'RAW_농산물_8월'!$D:$D,$C218,'RAW_농산물_8월'!$A:$A,$E218),SUMIFS('RAW_농산물_9월'!$G:$G,'RAW_농산물_9월'!$D:$D,$C218,'RAW_농산물_9월'!$A:$A,$E218),SUMIFS('RAW_농산물_10월'!$G:$G,'RAW_농산물_10월'!$D:$D,$C218,'RAW_농산물_10월'!$A:$A,$E218),SUMIFS('RAW_농산물_11-12월'!$G:$G,'RAW_농산물_11-12월'!$D:$D,$C218,'RAW_농산물_11-12월'!$A:$A,$E218))))</f>
        <v>69459000</v>
      </c>
      <c r="H218" s="14">
        <f>IF($C218="","",IF('설정'!$B$3=0,"",CHOOSE('설정'!$B$3,SUMIFS('RAW_농산물_7월'!$H:$H,'RAW_농산물_7월'!$D:$D,$C218,'RAW_농산물_7월'!$A:$A,$E218),SUMIFS('RAW_농산물_8월'!$H:$H,'RAW_농산물_8월'!$D:$D,$C218,'RAW_농산물_8월'!$A:$A,$E218),SUMIFS('RAW_농산물_9월'!$H:$H,'RAW_농산물_9월'!$D:$D,$C218,'RAW_농산물_9월'!$A:$A,$E218),SUMIFS('RAW_농산물_10월'!$H:$H,'RAW_농산물_10월'!$D:$D,$C218,'RAW_농산물_10월'!$A:$A,$E218),SUMIFS('RAW_농산물_11-12월'!$H:$H,'RAW_농산물_11-12월'!$D:$D,$C218,'RAW_농산물_11-12월'!$A:$A,$E218))))</f>
        <v>4836400</v>
      </c>
      <c r="I218" s="17" t="str">
        <f>IF($C218="","",IF(COUNTIFS('RAW_농산물_7월'!$D:$D,$C218,'RAW_농산물_7월'!$A:$A,$E218)&gt;0,"O",""))</f>
        <v>O</v>
      </c>
      <c r="J218" s="17" t="str">
        <f>IF($C218="","",IF(COUNTIFS('RAW_농산물_8월'!$D:$D,$C218,'RAW_농산물_8월'!$A:$A,$E218)&gt;0,"O",""))</f>
        <v>O</v>
      </c>
      <c r="K218" s="17" t="str">
        <f>IF($C218="","",IF(COUNTIFS('RAW_농산물_9월'!$D:$D,$C218,'RAW_농산물_9월'!$A:$A,$E218)&gt;0,"O",""))</f>
        <v/>
      </c>
      <c r="L218" s="17" t="str">
        <f>IF($C218="","",IF(COUNTIFS('RAW_농산물_10월'!$D:$D,$C218,'RAW_농산물_10월'!$A:$A,$E218)&gt;0,"O",""))</f>
        <v/>
      </c>
      <c r="M218" s="17" t="str">
        <f>IF($C218="","",IF(COUNTIFS('RAW_농산물_11-12월'!$D:$D,$C218,'RAW_농산물_11-12월'!$A:$A,$E218)&gt;0,"O",""))</f>
        <v/>
      </c>
      <c r="N218" s="7">
        <f>IF($C218="","",IF(COUNTA('RAW_농산물_7월'!$A:$A)&lt;=1,"",SUMIFS('RAW_농산물_7월'!$H:$H,'RAW_농산물_7월'!$D:$D,$C218,'RAW_농산물_7월'!$A:$A,$E218)))</f>
        <v>4836400</v>
      </c>
      <c r="O218" s="7">
        <f>IF($C218="","",IF(COUNTA('RAW_농산물_8월'!$A:$A)&lt;=1,"",SUMIFS('RAW_농산물_8월'!$H:$H,'RAW_농산물_8월'!$D:$D,$C218,'RAW_농산물_8월'!$A:$A,$E218)-SUMIFS('RAW_농산물_7월'!$H:$H,'RAW_농산물_7월'!$D:$D,$C218,'RAW_농산물_7월'!$A:$A,$E218)))</f>
        <v>0</v>
      </c>
      <c r="P218" s="7" t="str">
        <f>IF($C218="","",IF(COUNTA('RAW_농산물_9월'!$A:$A)&lt;=1,"",SUMIFS('RAW_농산물_9월'!$H:$H,'RAW_농산물_9월'!$D:$D,$C218,'RAW_농산물_9월'!$A:$A,$E218)-SUMIFS('RAW_농산물_8월'!$H:$H,'RAW_농산물_8월'!$D:$D,$C218,'RAW_농산물_8월'!$A:$A,$E218)))</f>
        <v/>
      </c>
      <c r="Q218" s="7" t="str">
        <f>IF($C218="","",IF(COUNTA('RAW_농산물_10월'!$A:$A)&lt;=1,"",SUMIFS('RAW_농산물_10월'!$H:$H,'RAW_농산물_10월'!$D:$D,$C218,'RAW_농산물_10월'!$A:$A,$E218)-SUMIFS('RAW_농산물_9월'!$H:$H,'RAW_농산물_9월'!$D:$D,$C218,'RAW_농산물_9월'!$A:$A,$E218)))</f>
        <v/>
      </c>
      <c r="R218" s="7" t="str">
        <f>IF($C218="","",IF(COUNTA('RAW_농산물_11-12월'!$A:$A)&lt;=1,"",SUMIFS('RAW_농산물_11-12월'!$H:$H,'RAW_농산물_11-12월'!$D:$D,$C218,'RAW_농산물_11-12월'!$A:$A,$E218)-SUMIFS('RAW_농산물_10월'!$H:$H,'RAW_농산물_10월'!$D:$D,$C218,'RAW_농산물_10월'!$A:$A,$E218)))</f>
        <v/>
      </c>
      <c r="S218" s="17" t="str">
        <f t="shared" si="4"/>
        <v>O</v>
      </c>
      <c r="T218" s="17" t="str">
        <f t="shared" si="5"/>
        <v>500만원 미만</v>
      </c>
      <c r="U218" s="7">
        <f>IF($C218="",0,IF('설정'!$B$3=0,0,CHOOSE('설정'!$B$3,COUNTIFS('RAW_농산물_7월'!$D:$D,$C218,'RAW_농산물_7월'!$A:$A,$E218),COUNTIFS('RAW_농산물_8월'!$D:$D,$C218,'RAW_농산물_8월'!$A:$A,$E218),COUNTIFS('RAW_농산물_9월'!$D:$D,$C218,'RAW_농산물_9월'!$A:$A,$E218),COUNTIFS('RAW_농산물_10월'!$D:$D,$C218,'RAW_농산물_10월'!$A:$A,$E218),COUNTIFS('RAW_농산물_11-12월'!$D:$D,$C218,'RAW_농산물_11-12월'!$A:$A,$E218))))</f>
        <v>10</v>
      </c>
    </row>
    <row r="219" ht="15.75" customHeight="1">
      <c r="A219" s="5">
        <v>217.0</v>
      </c>
      <c r="B219" s="5" t="s">
        <v>25</v>
      </c>
      <c r="C219" s="5" t="s">
        <v>3008</v>
      </c>
      <c r="D219" s="6" t="s">
        <v>3009</v>
      </c>
      <c r="E219" s="5" t="s">
        <v>31</v>
      </c>
      <c r="F219" s="7">
        <f>IF($C219="","",IF('설정'!$B$3=0,"",CHOOSE('설정'!$B$3,SUMIFS('RAW_농산물_7월'!$F:$F,'RAW_농산물_7월'!$D:$D,$C219,'RAW_농산물_7월'!$A:$A,$E219),SUMIFS('RAW_농산물_8월'!$F:$F,'RAW_농산물_8월'!$D:$D,$C219,'RAW_농산물_8월'!$A:$A,$E219),SUMIFS('RAW_농산물_9월'!$F:$F,'RAW_농산물_9월'!$D:$D,$C219,'RAW_농산물_9월'!$A:$A,$E219),SUMIFS('RAW_농산물_10월'!$F:$F,'RAW_농산물_10월'!$D:$D,$C219,'RAW_농산물_10월'!$A:$A,$E219),SUMIFS('RAW_농산물_11-12월'!$F:$F,'RAW_농산물_11-12월'!$D:$D,$C219,'RAW_농산물_11-12월'!$A:$A,$E219))))</f>
        <v>0</v>
      </c>
      <c r="G219" s="7">
        <f>IF($C219="","",IF('설정'!$B$3=0,"",CHOOSE('설정'!$B$3,SUMIFS('RAW_농산물_7월'!$G:$G,'RAW_농산물_7월'!$D:$D,$C219,'RAW_농산물_7월'!$A:$A,$E219),SUMIFS('RAW_농산물_8월'!$G:$G,'RAW_농산물_8월'!$D:$D,$C219,'RAW_농산물_8월'!$A:$A,$E219),SUMIFS('RAW_농산물_9월'!$G:$G,'RAW_농산물_9월'!$D:$D,$C219,'RAW_농산물_9월'!$A:$A,$E219),SUMIFS('RAW_농산물_10월'!$G:$G,'RAW_농산물_10월'!$D:$D,$C219,'RAW_농산물_10월'!$A:$A,$E219),SUMIFS('RAW_농산물_11-12월'!$G:$G,'RAW_농산물_11-12월'!$D:$D,$C219,'RAW_농산물_11-12월'!$A:$A,$E219))))</f>
        <v>0</v>
      </c>
      <c r="H219" s="14">
        <f>IF($C219="","",IF('설정'!$B$3=0,"",CHOOSE('설정'!$B$3,SUMIFS('RAW_농산물_7월'!$H:$H,'RAW_농산물_7월'!$D:$D,$C219,'RAW_농산물_7월'!$A:$A,$E219),SUMIFS('RAW_농산물_8월'!$H:$H,'RAW_농산물_8월'!$D:$D,$C219,'RAW_농산물_8월'!$A:$A,$E219),SUMIFS('RAW_농산물_9월'!$H:$H,'RAW_농산물_9월'!$D:$D,$C219,'RAW_농산물_9월'!$A:$A,$E219),SUMIFS('RAW_농산물_10월'!$H:$H,'RAW_농산물_10월'!$D:$D,$C219,'RAW_농산물_10월'!$A:$A,$E219),SUMIFS('RAW_농산물_11-12월'!$H:$H,'RAW_농산물_11-12월'!$D:$D,$C219,'RAW_농산물_11-12월'!$A:$A,$E219))))</f>
        <v>0</v>
      </c>
      <c r="I219" s="17" t="str">
        <f>IF($C219="","",IF(COUNTIFS('RAW_농산물_7월'!$D:$D,$C219,'RAW_농산물_7월'!$A:$A,$E219)&gt;0,"O",""))</f>
        <v/>
      </c>
      <c r="J219" s="17" t="str">
        <f>IF($C219="","",IF(COUNTIFS('RAW_농산물_8월'!$D:$D,$C219,'RAW_농산물_8월'!$A:$A,$E219)&gt;0,"O",""))</f>
        <v/>
      </c>
      <c r="K219" s="17" t="str">
        <f>IF($C219="","",IF(COUNTIFS('RAW_농산물_9월'!$D:$D,$C219,'RAW_농산물_9월'!$A:$A,$E219)&gt;0,"O",""))</f>
        <v/>
      </c>
      <c r="L219" s="17" t="str">
        <f>IF($C219="","",IF(COUNTIFS('RAW_농산물_10월'!$D:$D,$C219,'RAW_농산물_10월'!$A:$A,$E219)&gt;0,"O",""))</f>
        <v/>
      </c>
      <c r="M219" s="17" t="str">
        <f>IF($C219="","",IF(COUNTIFS('RAW_농산물_11-12월'!$D:$D,$C219,'RAW_농산물_11-12월'!$A:$A,$E219)&gt;0,"O",""))</f>
        <v/>
      </c>
      <c r="N219" s="7">
        <f>IF($C219="","",IF(COUNTA('RAW_농산물_7월'!$A:$A)&lt;=1,"",SUMIFS('RAW_농산물_7월'!$H:$H,'RAW_농산물_7월'!$D:$D,$C219,'RAW_농산물_7월'!$A:$A,$E219)))</f>
        <v>0</v>
      </c>
      <c r="O219" s="7">
        <f>IF($C219="","",IF(COUNTA('RAW_농산물_8월'!$A:$A)&lt;=1,"",SUMIFS('RAW_농산물_8월'!$H:$H,'RAW_농산물_8월'!$D:$D,$C219,'RAW_농산물_8월'!$A:$A,$E219)-SUMIFS('RAW_농산물_7월'!$H:$H,'RAW_농산물_7월'!$D:$D,$C219,'RAW_농산물_7월'!$A:$A,$E219)))</f>
        <v>0</v>
      </c>
      <c r="P219" s="7" t="str">
        <f>IF($C219="","",IF(COUNTA('RAW_농산물_9월'!$A:$A)&lt;=1,"",SUMIFS('RAW_농산물_9월'!$H:$H,'RAW_농산물_9월'!$D:$D,$C219,'RAW_농산물_9월'!$A:$A,$E219)-SUMIFS('RAW_농산물_8월'!$H:$H,'RAW_농산물_8월'!$D:$D,$C219,'RAW_농산물_8월'!$A:$A,$E219)))</f>
        <v/>
      </c>
      <c r="Q219" s="7" t="str">
        <f>IF($C219="","",IF(COUNTA('RAW_농산물_10월'!$A:$A)&lt;=1,"",SUMIFS('RAW_농산물_10월'!$H:$H,'RAW_농산물_10월'!$D:$D,$C219,'RAW_농산물_10월'!$A:$A,$E219)-SUMIFS('RAW_농산물_9월'!$H:$H,'RAW_농산물_9월'!$D:$D,$C219,'RAW_농산물_9월'!$A:$A,$E219)))</f>
        <v/>
      </c>
      <c r="R219" s="7" t="str">
        <f>IF($C219="","",IF(COUNTA('RAW_농산물_11-12월'!$A:$A)&lt;=1,"",SUMIFS('RAW_농산물_11-12월'!$H:$H,'RAW_농산물_11-12월'!$D:$D,$C219,'RAW_농산물_11-12월'!$A:$A,$E219)-SUMIFS('RAW_농산물_10월'!$H:$H,'RAW_농산물_10월'!$D:$D,$C219,'RAW_농산물_10월'!$A:$A,$E219)))</f>
        <v/>
      </c>
      <c r="S219" s="17" t="str">
        <f t="shared" si="4"/>
        <v/>
      </c>
      <c r="T219" s="17" t="str">
        <f t="shared" si="5"/>
        <v>미사용</v>
      </c>
      <c r="U219" s="7">
        <f>IF($C219="",0,IF('설정'!$B$3=0,0,CHOOSE('설정'!$B$3,COUNTIFS('RAW_농산물_7월'!$D:$D,$C219,'RAW_농산물_7월'!$A:$A,$E219),COUNTIFS('RAW_농산물_8월'!$D:$D,$C219,'RAW_농산물_8월'!$A:$A,$E219),COUNTIFS('RAW_농산물_9월'!$D:$D,$C219,'RAW_농산물_9월'!$A:$A,$E219),COUNTIFS('RAW_농산물_10월'!$D:$D,$C219,'RAW_농산물_10월'!$A:$A,$E219),COUNTIFS('RAW_농산물_11-12월'!$D:$D,$C219,'RAW_농산물_11-12월'!$A:$A,$E219))))</f>
        <v>0</v>
      </c>
    </row>
    <row r="220" ht="15.75" customHeight="1">
      <c r="A220" s="5">
        <v>218.0</v>
      </c>
      <c r="B220" s="5" t="s">
        <v>145</v>
      </c>
      <c r="C220" s="5" t="s">
        <v>3010</v>
      </c>
      <c r="D220" s="6" t="s">
        <v>3011</v>
      </c>
      <c r="E220" s="5" t="s">
        <v>95</v>
      </c>
      <c r="F220" s="7">
        <f>IF($C220="","",IF('설정'!$B$3=0,"",CHOOSE('설정'!$B$3,SUMIFS('RAW_농산물_7월'!$F:$F,'RAW_농산물_7월'!$D:$D,$C220,'RAW_농산물_7월'!$A:$A,$E220),SUMIFS('RAW_농산물_8월'!$F:$F,'RAW_농산물_8월'!$D:$D,$C220,'RAW_농산물_8월'!$A:$A,$E220),SUMIFS('RAW_농산물_9월'!$F:$F,'RAW_농산물_9월'!$D:$D,$C220,'RAW_농산물_9월'!$A:$A,$E220),SUMIFS('RAW_농산물_10월'!$F:$F,'RAW_농산물_10월'!$D:$D,$C220,'RAW_농산물_10월'!$A:$A,$E220),SUMIFS('RAW_농산물_11-12월'!$F:$F,'RAW_농산물_11-12월'!$D:$D,$C220,'RAW_농산물_11-12월'!$A:$A,$E220))))</f>
        <v>0</v>
      </c>
      <c r="G220" s="7">
        <f>IF($C220="","",IF('설정'!$B$3=0,"",CHOOSE('설정'!$B$3,SUMIFS('RAW_농산물_7월'!$G:$G,'RAW_농산물_7월'!$D:$D,$C220,'RAW_농산물_7월'!$A:$A,$E220),SUMIFS('RAW_농산물_8월'!$G:$G,'RAW_농산물_8월'!$D:$D,$C220,'RAW_농산물_8월'!$A:$A,$E220),SUMIFS('RAW_농산물_9월'!$G:$G,'RAW_농산물_9월'!$D:$D,$C220,'RAW_농산물_9월'!$A:$A,$E220),SUMIFS('RAW_농산물_10월'!$G:$G,'RAW_농산물_10월'!$D:$D,$C220,'RAW_농산물_10월'!$A:$A,$E220),SUMIFS('RAW_농산물_11-12월'!$G:$G,'RAW_농산물_11-12월'!$D:$D,$C220,'RAW_농산물_11-12월'!$A:$A,$E220))))</f>
        <v>0</v>
      </c>
      <c r="H220" s="14">
        <f>IF($C220="","",IF('설정'!$B$3=0,"",CHOOSE('설정'!$B$3,SUMIFS('RAW_농산물_7월'!$H:$H,'RAW_농산물_7월'!$D:$D,$C220,'RAW_농산물_7월'!$A:$A,$E220),SUMIFS('RAW_농산물_8월'!$H:$H,'RAW_농산물_8월'!$D:$D,$C220,'RAW_농산물_8월'!$A:$A,$E220),SUMIFS('RAW_농산물_9월'!$H:$H,'RAW_농산물_9월'!$D:$D,$C220,'RAW_농산물_9월'!$A:$A,$E220),SUMIFS('RAW_농산물_10월'!$H:$H,'RAW_농산물_10월'!$D:$D,$C220,'RAW_농산물_10월'!$A:$A,$E220),SUMIFS('RAW_농산물_11-12월'!$H:$H,'RAW_농산물_11-12월'!$D:$D,$C220,'RAW_농산물_11-12월'!$A:$A,$E220))))</f>
        <v>0</v>
      </c>
      <c r="I220" s="17" t="str">
        <f>IF($C220="","",IF(COUNTIFS('RAW_농산물_7월'!$D:$D,$C220,'RAW_농산물_7월'!$A:$A,$E220)&gt;0,"O",""))</f>
        <v/>
      </c>
      <c r="J220" s="17" t="str">
        <f>IF($C220="","",IF(COUNTIFS('RAW_농산물_8월'!$D:$D,$C220,'RAW_농산물_8월'!$A:$A,$E220)&gt;0,"O",""))</f>
        <v/>
      </c>
      <c r="K220" s="17" t="str">
        <f>IF($C220="","",IF(COUNTIFS('RAW_농산물_9월'!$D:$D,$C220,'RAW_농산물_9월'!$A:$A,$E220)&gt;0,"O",""))</f>
        <v/>
      </c>
      <c r="L220" s="17" t="str">
        <f>IF($C220="","",IF(COUNTIFS('RAW_농산물_10월'!$D:$D,$C220,'RAW_농산물_10월'!$A:$A,$E220)&gt;0,"O",""))</f>
        <v/>
      </c>
      <c r="M220" s="17" t="str">
        <f>IF($C220="","",IF(COUNTIFS('RAW_농산물_11-12월'!$D:$D,$C220,'RAW_농산물_11-12월'!$A:$A,$E220)&gt;0,"O",""))</f>
        <v/>
      </c>
      <c r="N220" s="7">
        <f>IF($C220="","",IF(COUNTA('RAW_농산물_7월'!$A:$A)&lt;=1,"",SUMIFS('RAW_농산물_7월'!$H:$H,'RAW_농산물_7월'!$D:$D,$C220,'RAW_농산물_7월'!$A:$A,$E220)))</f>
        <v>0</v>
      </c>
      <c r="O220" s="7">
        <f>IF($C220="","",IF(COUNTA('RAW_농산물_8월'!$A:$A)&lt;=1,"",SUMIFS('RAW_농산물_8월'!$H:$H,'RAW_농산물_8월'!$D:$D,$C220,'RAW_농산물_8월'!$A:$A,$E220)-SUMIFS('RAW_농산물_7월'!$H:$H,'RAW_농산물_7월'!$D:$D,$C220,'RAW_농산물_7월'!$A:$A,$E220)))</f>
        <v>0</v>
      </c>
      <c r="P220" s="7" t="str">
        <f>IF($C220="","",IF(COUNTA('RAW_농산물_9월'!$A:$A)&lt;=1,"",SUMIFS('RAW_농산물_9월'!$H:$H,'RAW_농산물_9월'!$D:$D,$C220,'RAW_농산물_9월'!$A:$A,$E220)-SUMIFS('RAW_농산물_8월'!$H:$H,'RAW_농산물_8월'!$D:$D,$C220,'RAW_농산물_8월'!$A:$A,$E220)))</f>
        <v/>
      </c>
      <c r="Q220" s="7" t="str">
        <f>IF($C220="","",IF(COUNTA('RAW_농산물_10월'!$A:$A)&lt;=1,"",SUMIFS('RAW_농산물_10월'!$H:$H,'RAW_농산물_10월'!$D:$D,$C220,'RAW_농산물_10월'!$A:$A,$E220)-SUMIFS('RAW_농산물_9월'!$H:$H,'RAW_농산물_9월'!$D:$D,$C220,'RAW_농산물_9월'!$A:$A,$E220)))</f>
        <v/>
      </c>
      <c r="R220" s="7" t="str">
        <f>IF($C220="","",IF(COUNTA('RAW_농산물_11-12월'!$A:$A)&lt;=1,"",SUMIFS('RAW_농산물_11-12월'!$H:$H,'RAW_농산물_11-12월'!$D:$D,$C220,'RAW_농산물_11-12월'!$A:$A,$E220)-SUMIFS('RAW_농산물_10월'!$H:$H,'RAW_농산물_10월'!$D:$D,$C220,'RAW_농산물_10월'!$A:$A,$E220)))</f>
        <v/>
      </c>
      <c r="S220" s="17" t="str">
        <f t="shared" si="4"/>
        <v/>
      </c>
      <c r="T220" s="17" t="str">
        <f t="shared" si="5"/>
        <v>미사용</v>
      </c>
      <c r="U220" s="7">
        <f>IF($C220="",0,IF('설정'!$B$3=0,0,CHOOSE('설정'!$B$3,COUNTIFS('RAW_농산물_7월'!$D:$D,$C220,'RAW_농산물_7월'!$A:$A,$E220),COUNTIFS('RAW_농산물_8월'!$D:$D,$C220,'RAW_농산물_8월'!$A:$A,$E220),COUNTIFS('RAW_농산물_9월'!$D:$D,$C220,'RAW_농산물_9월'!$A:$A,$E220),COUNTIFS('RAW_농산물_10월'!$D:$D,$C220,'RAW_농산물_10월'!$A:$A,$E220),COUNTIFS('RAW_농산물_11-12월'!$D:$D,$C220,'RAW_농산물_11-12월'!$A:$A,$E220))))</f>
        <v>0</v>
      </c>
    </row>
    <row r="221" ht="15.75" customHeight="1">
      <c r="A221" s="5">
        <v>219.0</v>
      </c>
      <c r="B221" s="5" t="s">
        <v>25</v>
      </c>
      <c r="C221" s="5" t="s">
        <v>288</v>
      </c>
      <c r="D221" s="6" t="s">
        <v>287</v>
      </c>
      <c r="E221" s="5" t="s">
        <v>92</v>
      </c>
      <c r="F221" s="7">
        <f>IF($C221="","",IF('설정'!$B$3=0,"",CHOOSE('설정'!$B$3,SUMIFS('RAW_농산물_7월'!$F:$F,'RAW_농산물_7월'!$D:$D,$C221,'RAW_농산물_7월'!$A:$A,$E221),SUMIFS('RAW_농산물_8월'!$F:$F,'RAW_농산물_8월'!$D:$D,$C221,'RAW_농산물_8월'!$A:$A,$E221),SUMIFS('RAW_농산물_9월'!$F:$F,'RAW_농산물_9월'!$D:$D,$C221,'RAW_농산물_9월'!$A:$A,$E221),SUMIFS('RAW_농산물_10월'!$F:$F,'RAW_농산물_10월'!$D:$D,$C221,'RAW_농산물_10월'!$A:$A,$E221),SUMIFS('RAW_농산물_11-12월'!$F:$F,'RAW_농산물_11-12월'!$D:$D,$C221,'RAW_농산물_11-12월'!$A:$A,$E221))))</f>
        <v>4847</v>
      </c>
      <c r="G221" s="7">
        <f>IF($C221="","",IF('설정'!$B$3=0,"",CHOOSE('설정'!$B$3,SUMIFS('RAW_농산물_7월'!$G:$G,'RAW_농산물_7월'!$D:$D,$C221,'RAW_농산물_7월'!$A:$A,$E221),SUMIFS('RAW_농산물_8월'!$G:$G,'RAW_농산물_8월'!$D:$D,$C221,'RAW_농산물_8월'!$A:$A,$E221),SUMIFS('RAW_농산물_9월'!$G:$G,'RAW_농산물_9월'!$D:$D,$C221,'RAW_농산물_9월'!$A:$A,$E221),SUMIFS('RAW_농산물_10월'!$G:$G,'RAW_농산물_10월'!$D:$D,$C221,'RAW_농산물_10월'!$A:$A,$E221),SUMIFS('RAW_농산물_11-12월'!$G:$G,'RAW_농산물_11-12월'!$D:$D,$C221,'RAW_농산물_11-12월'!$A:$A,$E221))))</f>
        <v>195587000</v>
      </c>
      <c r="H221" s="14">
        <f>IF($C221="","",IF('설정'!$B$3=0,"",CHOOSE('설정'!$B$3,SUMIFS('RAW_농산물_7월'!$H:$H,'RAW_농산물_7월'!$D:$D,$C221,'RAW_농산물_7월'!$A:$A,$E221),SUMIFS('RAW_농산물_8월'!$H:$H,'RAW_농산물_8월'!$D:$D,$C221,'RAW_농산물_8월'!$A:$A,$E221),SUMIFS('RAW_농산물_9월'!$H:$H,'RAW_농산물_9월'!$D:$D,$C221,'RAW_농산물_9월'!$A:$A,$E221),SUMIFS('RAW_농산물_10월'!$H:$H,'RAW_농산물_10월'!$D:$D,$C221,'RAW_농산물_10월'!$A:$A,$E221),SUMIFS('RAW_농산물_11-12월'!$H:$H,'RAW_농산물_11-12월'!$D:$D,$C221,'RAW_농산물_11-12월'!$A:$A,$E221))))</f>
        <v>4883600</v>
      </c>
      <c r="I221" s="17" t="str">
        <f>IF($C221="","",IF(COUNTIFS('RAW_농산물_7월'!$D:$D,$C221,'RAW_농산물_7월'!$A:$A,$E221)&gt;0,"O",""))</f>
        <v>O</v>
      </c>
      <c r="J221" s="17" t="str">
        <f>IF($C221="","",IF(COUNTIFS('RAW_농산물_8월'!$D:$D,$C221,'RAW_농산물_8월'!$A:$A,$E221)&gt;0,"O",""))</f>
        <v>O</v>
      </c>
      <c r="K221" s="17" t="str">
        <f>IF($C221="","",IF(COUNTIFS('RAW_농산물_9월'!$D:$D,$C221,'RAW_농산물_9월'!$A:$A,$E221)&gt;0,"O",""))</f>
        <v/>
      </c>
      <c r="L221" s="17" t="str">
        <f>IF($C221="","",IF(COUNTIFS('RAW_농산물_10월'!$D:$D,$C221,'RAW_농산물_10월'!$A:$A,$E221)&gt;0,"O",""))</f>
        <v/>
      </c>
      <c r="M221" s="17" t="str">
        <f>IF($C221="","",IF(COUNTIFS('RAW_농산물_11-12월'!$D:$D,$C221,'RAW_농산물_11-12월'!$A:$A,$E221)&gt;0,"O",""))</f>
        <v/>
      </c>
      <c r="N221" s="7">
        <f>IF($C221="","",IF(COUNTA('RAW_농산물_7월'!$A:$A)&lt;=1,"",SUMIFS('RAW_농산물_7월'!$H:$H,'RAW_농산물_7월'!$D:$D,$C221,'RAW_농산물_7월'!$A:$A,$E221)))</f>
        <v>4883600</v>
      </c>
      <c r="O221" s="7">
        <f>IF($C221="","",IF(COUNTA('RAW_농산물_8월'!$A:$A)&lt;=1,"",SUMIFS('RAW_농산물_8월'!$H:$H,'RAW_농산물_8월'!$D:$D,$C221,'RAW_농산물_8월'!$A:$A,$E221)-SUMIFS('RAW_농산물_7월'!$H:$H,'RAW_농산물_7월'!$D:$D,$C221,'RAW_농산물_7월'!$A:$A,$E221)))</f>
        <v>0</v>
      </c>
      <c r="P221" s="7" t="str">
        <f>IF($C221="","",IF(COUNTA('RAW_농산물_9월'!$A:$A)&lt;=1,"",SUMIFS('RAW_농산물_9월'!$H:$H,'RAW_농산물_9월'!$D:$D,$C221,'RAW_농산물_9월'!$A:$A,$E221)-SUMIFS('RAW_농산물_8월'!$H:$H,'RAW_농산물_8월'!$D:$D,$C221,'RAW_농산물_8월'!$A:$A,$E221)))</f>
        <v/>
      </c>
      <c r="Q221" s="7" t="str">
        <f>IF($C221="","",IF(COUNTA('RAW_농산물_10월'!$A:$A)&lt;=1,"",SUMIFS('RAW_농산물_10월'!$H:$H,'RAW_농산물_10월'!$D:$D,$C221,'RAW_농산물_10월'!$A:$A,$E221)-SUMIFS('RAW_농산물_9월'!$H:$H,'RAW_농산물_9월'!$D:$D,$C221,'RAW_농산물_9월'!$A:$A,$E221)))</f>
        <v/>
      </c>
      <c r="R221" s="7" t="str">
        <f>IF($C221="","",IF(COUNTA('RAW_농산물_11-12월'!$A:$A)&lt;=1,"",SUMIFS('RAW_농산물_11-12월'!$H:$H,'RAW_농산물_11-12월'!$D:$D,$C221,'RAW_농산물_11-12월'!$A:$A,$E221)-SUMIFS('RAW_농산물_10월'!$H:$H,'RAW_농산물_10월'!$D:$D,$C221,'RAW_농산물_10월'!$A:$A,$E221)))</f>
        <v/>
      </c>
      <c r="S221" s="17" t="str">
        <f t="shared" si="4"/>
        <v>O</v>
      </c>
      <c r="T221" s="17" t="str">
        <f t="shared" si="5"/>
        <v>500만원 미만</v>
      </c>
      <c r="U221" s="7">
        <f>IF($C221="",0,IF('설정'!$B$3=0,0,CHOOSE('설정'!$B$3,COUNTIFS('RAW_농산물_7월'!$D:$D,$C221,'RAW_농산물_7월'!$A:$A,$E221),COUNTIFS('RAW_농산물_8월'!$D:$D,$C221,'RAW_농산물_8월'!$A:$A,$E221),COUNTIFS('RAW_농산물_9월'!$D:$D,$C221,'RAW_농산물_9월'!$A:$A,$E221),COUNTIFS('RAW_농산물_10월'!$D:$D,$C221,'RAW_농산물_10월'!$A:$A,$E221),COUNTIFS('RAW_농산물_11-12월'!$D:$D,$C221,'RAW_농산물_11-12월'!$A:$A,$E221))))</f>
        <v>1</v>
      </c>
    </row>
    <row r="222" ht="15.75" customHeight="1">
      <c r="A222" s="5">
        <v>220.0</v>
      </c>
      <c r="B222" s="5" t="s">
        <v>145</v>
      </c>
      <c r="C222" s="5" t="s">
        <v>3012</v>
      </c>
      <c r="D222" s="6" t="s">
        <v>3013</v>
      </c>
      <c r="E222" s="5" t="s">
        <v>92</v>
      </c>
      <c r="F222" s="7">
        <f>IF($C222="","",IF('설정'!$B$3=0,"",CHOOSE('설정'!$B$3,SUMIFS('RAW_농산물_7월'!$F:$F,'RAW_농산물_7월'!$D:$D,$C222,'RAW_농산물_7월'!$A:$A,$E222),SUMIFS('RAW_농산물_8월'!$F:$F,'RAW_농산물_8월'!$D:$D,$C222,'RAW_농산물_8월'!$A:$A,$E222),SUMIFS('RAW_농산물_9월'!$F:$F,'RAW_농산물_9월'!$D:$D,$C222,'RAW_농산물_9월'!$A:$A,$E222),SUMIFS('RAW_농산물_10월'!$F:$F,'RAW_농산물_10월'!$D:$D,$C222,'RAW_농산물_10월'!$A:$A,$E222),SUMIFS('RAW_농산물_11-12월'!$F:$F,'RAW_농산물_11-12월'!$D:$D,$C222,'RAW_농산물_11-12월'!$A:$A,$E222))))</f>
        <v>0</v>
      </c>
      <c r="G222" s="7">
        <f>IF($C222="","",IF('설정'!$B$3=0,"",CHOOSE('설정'!$B$3,SUMIFS('RAW_농산물_7월'!$G:$G,'RAW_농산물_7월'!$D:$D,$C222,'RAW_농산물_7월'!$A:$A,$E222),SUMIFS('RAW_농산물_8월'!$G:$G,'RAW_농산물_8월'!$D:$D,$C222,'RAW_농산물_8월'!$A:$A,$E222),SUMIFS('RAW_농산물_9월'!$G:$G,'RAW_농산물_9월'!$D:$D,$C222,'RAW_농산물_9월'!$A:$A,$E222),SUMIFS('RAW_농산물_10월'!$G:$G,'RAW_농산물_10월'!$D:$D,$C222,'RAW_농산물_10월'!$A:$A,$E222),SUMIFS('RAW_농산물_11-12월'!$G:$G,'RAW_농산물_11-12월'!$D:$D,$C222,'RAW_농산물_11-12월'!$A:$A,$E222))))</f>
        <v>0</v>
      </c>
      <c r="H222" s="14">
        <f>IF($C222="","",IF('설정'!$B$3=0,"",CHOOSE('설정'!$B$3,SUMIFS('RAW_농산물_7월'!$H:$H,'RAW_농산물_7월'!$D:$D,$C222,'RAW_농산물_7월'!$A:$A,$E222),SUMIFS('RAW_농산물_8월'!$H:$H,'RAW_농산물_8월'!$D:$D,$C222,'RAW_농산물_8월'!$A:$A,$E222),SUMIFS('RAW_농산물_9월'!$H:$H,'RAW_농산물_9월'!$D:$D,$C222,'RAW_농산물_9월'!$A:$A,$E222),SUMIFS('RAW_농산물_10월'!$H:$H,'RAW_농산물_10월'!$D:$D,$C222,'RAW_농산물_10월'!$A:$A,$E222),SUMIFS('RAW_농산물_11-12월'!$H:$H,'RAW_농산물_11-12월'!$D:$D,$C222,'RAW_농산물_11-12월'!$A:$A,$E222))))</f>
        <v>0</v>
      </c>
      <c r="I222" s="17" t="str">
        <f>IF($C222="","",IF(COUNTIFS('RAW_농산물_7월'!$D:$D,$C222,'RAW_농산물_7월'!$A:$A,$E222)&gt;0,"O",""))</f>
        <v/>
      </c>
      <c r="J222" s="17" t="str">
        <f>IF($C222="","",IF(COUNTIFS('RAW_농산물_8월'!$D:$D,$C222,'RAW_농산물_8월'!$A:$A,$E222)&gt;0,"O",""))</f>
        <v/>
      </c>
      <c r="K222" s="17" t="str">
        <f>IF($C222="","",IF(COUNTIFS('RAW_농산물_9월'!$D:$D,$C222,'RAW_농산물_9월'!$A:$A,$E222)&gt;0,"O",""))</f>
        <v/>
      </c>
      <c r="L222" s="17" t="str">
        <f>IF($C222="","",IF(COUNTIFS('RAW_농산물_10월'!$D:$D,$C222,'RAW_농산물_10월'!$A:$A,$E222)&gt;0,"O",""))</f>
        <v/>
      </c>
      <c r="M222" s="17" t="str">
        <f>IF($C222="","",IF(COUNTIFS('RAW_농산물_11-12월'!$D:$D,$C222,'RAW_농산물_11-12월'!$A:$A,$E222)&gt;0,"O",""))</f>
        <v/>
      </c>
      <c r="N222" s="7">
        <f>IF($C222="","",IF(COUNTA('RAW_농산물_7월'!$A:$A)&lt;=1,"",SUMIFS('RAW_농산물_7월'!$H:$H,'RAW_농산물_7월'!$D:$D,$C222,'RAW_농산물_7월'!$A:$A,$E222)))</f>
        <v>0</v>
      </c>
      <c r="O222" s="7">
        <f>IF($C222="","",IF(COUNTA('RAW_농산물_8월'!$A:$A)&lt;=1,"",SUMIFS('RAW_농산물_8월'!$H:$H,'RAW_농산물_8월'!$D:$D,$C222,'RAW_농산물_8월'!$A:$A,$E222)-SUMIFS('RAW_농산물_7월'!$H:$H,'RAW_농산물_7월'!$D:$D,$C222,'RAW_농산물_7월'!$A:$A,$E222)))</f>
        <v>0</v>
      </c>
      <c r="P222" s="7" t="str">
        <f>IF($C222="","",IF(COUNTA('RAW_농산물_9월'!$A:$A)&lt;=1,"",SUMIFS('RAW_농산물_9월'!$H:$H,'RAW_농산물_9월'!$D:$D,$C222,'RAW_농산물_9월'!$A:$A,$E222)-SUMIFS('RAW_농산물_8월'!$H:$H,'RAW_농산물_8월'!$D:$D,$C222,'RAW_농산물_8월'!$A:$A,$E222)))</f>
        <v/>
      </c>
      <c r="Q222" s="7" t="str">
        <f>IF($C222="","",IF(COUNTA('RAW_농산물_10월'!$A:$A)&lt;=1,"",SUMIFS('RAW_농산물_10월'!$H:$H,'RAW_농산물_10월'!$D:$D,$C222,'RAW_농산물_10월'!$A:$A,$E222)-SUMIFS('RAW_농산물_9월'!$H:$H,'RAW_농산물_9월'!$D:$D,$C222,'RAW_농산물_9월'!$A:$A,$E222)))</f>
        <v/>
      </c>
      <c r="R222" s="7" t="str">
        <f>IF($C222="","",IF(COUNTA('RAW_농산물_11-12월'!$A:$A)&lt;=1,"",SUMIFS('RAW_농산물_11-12월'!$H:$H,'RAW_농산물_11-12월'!$D:$D,$C222,'RAW_농산물_11-12월'!$A:$A,$E222)-SUMIFS('RAW_농산물_10월'!$H:$H,'RAW_농산물_10월'!$D:$D,$C222,'RAW_농산물_10월'!$A:$A,$E222)))</f>
        <v/>
      </c>
      <c r="S222" s="17" t="str">
        <f t="shared" si="4"/>
        <v/>
      </c>
      <c r="T222" s="17" t="str">
        <f t="shared" si="5"/>
        <v>미사용</v>
      </c>
      <c r="U222" s="7">
        <f>IF($C222="",0,IF('설정'!$B$3=0,0,CHOOSE('설정'!$B$3,COUNTIFS('RAW_농산물_7월'!$D:$D,$C222,'RAW_농산물_7월'!$A:$A,$E222),COUNTIFS('RAW_농산물_8월'!$D:$D,$C222,'RAW_농산물_8월'!$A:$A,$E222),COUNTIFS('RAW_농산물_9월'!$D:$D,$C222,'RAW_농산물_9월'!$A:$A,$E222),COUNTIFS('RAW_농산물_10월'!$D:$D,$C222,'RAW_농산물_10월'!$A:$A,$E222),COUNTIFS('RAW_농산물_11-12월'!$D:$D,$C222,'RAW_농산물_11-12월'!$A:$A,$E222))))</f>
        <v>0</v>
      </c>
    </row>
    <row r="223" ht="15.75" customHeight="1">
      <c r="A223" s="5">
        <v>221.0</v>
      </c>
      <c r="B223" s="5" t="s">
        <v>145</v>
      </c>
      <c r="C223" s="5" t="s">
        <v>417</v>
      </c>
      <c r="D223" s="6" t="s">
        <v>416</v>
      </c>
      <c r="E223" s="5" t="s">
        <v>92</v>
      </c>
      <c r="F223" s="7">
        <f>IF($C223="","",IF('설정'!$B$3=0,"",CHOOSE('설정'!$B$3,SUMIFS('RAW_농산물_7월'!$F:$F,'RAW_농산물_7월'!$D:$D,$C223,'RAW_농산물_7월'!$A:$A,$E223),SUMIFS('RAW_농산물_8월'!$F:$F,'RAW_농산물_8월'!$D:$D,$C223,'RAW_농산물_8월'!$A:$A,$E223),SUMIFS('RAW_농산물_9월'!$F:$F,'RAW_농산물_9월'!$D:$D,$C223,'RAW_농산물_9월'!$A:$A,$E223),SUMIFS('RAW_농산물_10월'!$F:$F,'RAW_농산물_10월'!$D:$D,$C223,'RAW_농산물_10월'!$A:$A,$E223),SUMIFS('RAW_농산물_11-12월'!$F:$F,'RAW_농산물_11-12월'!$D:$D,$C223,'RAW_농산물_11-12월'!$A:$A,$E223))))</f>
        <v>82</v>
      </c>
      <c r="G223" s="7">
        <f>IF($C223="","",IF('설정'!$B$3=0,"",CHOOSE('설정'!$B$3,SUMIFS('RAW_농산물_7월'!$G:$G,'RAW_농산물_7월'!$D:$D,$C223,'RAW_농산물_7월'!$A:$A,$E223),SUMIFS('RAW_농산물_8월'!$G:$G,'RAW_농산물_8월'!$D:$D,$C223,'RAW_농산물_8월'!$A:$A,$E223),SUMIFS('RAW_농산물_9월'!$G:$G,'RAW_농산물_9월'!$D:$D,$C223,'RAW_농산물_9월'!$A:$A,$E223),SUMIFS('RAW_농산물_10월'!$G:$G,'RAW_농산물_10월'!$D:$D,$C223,'RAW_농산물_10월'!$A:$A,$E223),SUMIFS('RAW_농산물_11-12월'!$G:$G,'RAW_농산물_11-12월'!$D:$D,$C223,'RAW_농산물_11-12월'!$A:$A,$E223))))</f>
        <v>2990300</v>
      </c>
      <c r="H223" s="14">
        <f>IF($C223="","",IF('설정'!$B$3=0,"",CHOOSE('설정'!$B$3,SUMIFS('RAW_농산물_7월'!$H:$H,'RAW_농산물_7월'!$D:$D,$C223,'RAW_농산물_7월'!$A:$A,$E223),SUMIFS('RAW_농산물_8월'!$H:$H,'RAW_농산물_8월'!$D:$D,$C223,'RAW_농산물_8월'!$A:$A,$E223),SUMIFS('RAW_농산물_9월'!$H:$H,'RAW_농산물_9월'!$D:$D,$C223,'RAW_농산물_9월'!$A:$A,$E223),SUMIFS('RAW_농산물_10월'!$H:$H,'RAW_농산물_10월'!$D:$D,$C223,'RAW_농산물_10월'!$A:$A,$E223),SUMIFS('RAW_농산물_11-12월'!$H:$H,'RAW_농산물_11-12월'!$D:$D,$C223,'RAW_농산물_11-12월'!$A:$A,$E223))))</f>
        <v>199940</v>
      </c>
      <c r="I223" s="17" t="str">
        <f>IF($C223="","",IF(COUNTIFS('RAW_농산물_7월'!$D:$D,$C223,'RAW_농산물_7월'!$A:$A,$E223)&gt;0,"O",""))</f>
        <v>O</v>
      </c>
      <c r="J223" s="17" t="str">
        <f>IF($C223="","",IF(COUNTIFS('RAW_농산물_8월'!$D:$D,$C223,'RAW_농산물_8월'!$A:$A,$E223)&gt;0,"O",""))</f>
        <v>O</v>
      </c>
      <c r="K223" s="17" t="str">
        <f>IF($C223="","",IF(COUNTIFS('RAW_농산물_9월'!$D:$D,$C223,'RAW_농산물_9월'!$A:$A,$E223)&gt;0,"O",""))</f>
        <v/>
      </c>
      <c r="L223" s="17" t="str">
        <f>IF($C223="","",IF(COUNTIFS('RAW_농산물_10월'!$D:$D,$C223,'RAW_농산물_10월'!$A:$A,$E223)&gt;0,"O",""))</f>
        <v/>
      </c>
      <c r="M223" s="17" t="str">
        <f>IF($C223="","",IF(COUNTIFS('RAW_농산물_11-12월'!$D:$D,$C223,'RAW_농산물_11-12월'!$A:$A,$E223)&gt;0,"O",""))</f>
        <v/>
      </c>
      <c r="N223" s="7">
        <f>IF($C223="","",IF(COUNTA('RAW_농산물_7월'!$A:$A)&lt;=1,"",SUMIFS('RAW_농산물_7월'!$H:$H,'RAW_농산물_7월'!$D:$D,$C223,'RAW_농산물_7월'!$A:$A,$E223)))</f>
        <v>80240</v>
      </c>
      <c r="O223" s="7">
        <f>IF($C223="","",IF(COUNTA('RAW_농산물_8월'!$A:$A)&lt;=1,"",SUMIFS('RAW_농산물_8월'!$H:$H,'RAW_농산물_8월'!$D:$D,$C223,'RAW_농산물_8월'!$A:$A,$E223)-SUMIFS('RAW_농산물_7월'!$H:$H,'RAW_농산물_7월'!$D:$D,$C223,'RAW_농산물_7월'!$A:$A,$E223)))</f>
        <v>119700</v>
      </c>
      <c r="P223" s="7" t="str">
        <f>IF($C223="","",IF(COUNTA('RAW_농산물_9월'!$A:$A)&lt;=1,"",SUMIFS('RAW_농산물_9월'!$H:$H,'RAW_농산물_9월'!$D:$D,$C223,'RAW_농산물_9월'!$A:$A,$E223)-SUMIFS('RAW_농산물_8월'!$H:$H,'RAW_농산물_8월'!$D:$D,$C223,'RAW_농산물_8월'!$A:$A,$E223)))</f>
        <v/>
      </c>
      <c r="Q223" s="7" t="str">
        <f>IF($C223="","",IF(COUNTA('RAW_농산물_10월'!$A:$A)&lt;=1,"",SUMIFS('RAW_농산물_10월'!$H:$H,'RAW_농산물_10월'!$D:$D,$C223,'RAW_농산물_10월'!$A:$A,$E223)-SUMIFS('RAW_농산물_9월'!$H:$H,'RAW_농산물_9월'!$D:$D,$C223,'RAW_농산물_9월'!$A:$A,$E223)))</f>
        <v/>
      </c>
      <c r="R223" s="7" t="str">
        <f>IF($C223="","",IF(COUNTA('RAW_농산물_11-12월'!$A:$A)&lt;=1,"",SUMIFS('RAW_농산물_11-12월'!$H:$H,'RAW_농산물_11-12월'!$D:$D,$C223,'RAW_농산물_11-12월'!$A:$A,$E223)-SUMIFS('RAW_농산물_10월'!$H:$H,'RAW_농산물_10월'!$D:$D,$C223,'RAW_농산물_10월'!$A:$A,$E223)))</f>
        <v/>
      </c>
      <c r="S223" s="17" t="str">
        <f t="shared" si="4"/>
        <v>O</v>
      </c>
      <c r="T223" s="17" t="str">
        <f t="shared" si="5"/>
        <v>50만원 미만</v>
      </c>
      <c r="U223" s="7">
        <f>IF($C223="",0,IF('설정'!$B$3=0,0,CHOOSE('설정'!$B$3,COUNTIFS('RAW_농산물_7월'!$D:$D,$C223,'RAW_농산물_7월'!$A:$A,$E223),COUNTIFS('RAW_농산물_8월'!$D:$D,$C223,'RAW_농산물_8월'!$A:$A,$E223),COUNTIFS('RAW_농산물_9월'!$D:$D,$C223,'RAW_농산물_9월'!$A:$A,$E223),COUNTIFS('RAW_농산물_10월'!$D:$D,$C223,'RAW_농산물_10월'!$A:$A,$E223),COUNTIFS('RAW_농산물_11-12월'!$D:$D,$C223,'RAW_농산물_11-12월'!$A:$A,$E223))))</f>
        <v>1</v>
      </c>
    </row>
    <row r="224" ht="15.75" customHeight="1">
      <c r="A224" s="5">
        <v>222.0</v>
      </c>
      <c r="B224" s="5" t="s">
        <v>25</v>
      </c>
      <c r="C224" s="5" t="s">
        <v>3014</v>
      </c>
      <c r="D224" s="6" t="s">
        <v>3015</v>
      </c>
      <c r="E224" s="5" t="s">
        <v>93</v>
      </c>
      <c r="F224" s="7">
        <f>IF($C224="","",IF('설정'!$B$3=0,"",CHOOSE('설정'!$B$3,SUMIFS('RAW_농산물_7월'!$F:$F,'RAW_농산물_7월'!$D:$D,$C224,'RAW_농산물_7월'!$A:$A,$E224),SUMIFS('RAW_농산물_8월'!$F:$F,'RAW_농산물_8월'!$D:$D,$C224,'RAW_농산물_8월'!$A:$A,$E224),SUMIFS('RAW_농산물_9월'!$F:$F,'RAW_농산물_9월'!$D:$D,$C224,'RAW_농산물_9월'!$A:$A,$E224),SUMIFS('RAW_농산물_10월'!$F:$F,'RAW_농산물_10월'!$D:$D,$C224,'RAW_농산물_10월'!$A:$A,$E224),SUMIFS('RAW_농산물_11-12월'!$F:$F,'RAW_농산물_11-12월'!$D:$D,$C224,'RAW_농산물_11-12월'!$A:$A,$E224))))</f>
        <v>0</v>
      </c>
      <c r="G224" s="7">
        <f>IF($C224="","",IF('설정'!$B$3=0,"",CHOOSE('설정'!$B$3,SUMIFS('RAW_농산물_7월'!$G:$G,'RAW_농산물_7월'!$D:$D,$C224,'RAW_농산물_7월'!$A:$A,$E224),SUMIFS('RAW_농산물_8월'!$G:$G,'RAW_농산물_8월'!$D:$D,$C224,'RAW_농산물_8월'!$A:$A,$E224),SUMIFS('RAW_농산물_9월'!$G:$G,'RAW_농산물_9월'!$D:$D,$C224,'RAW_농산물_9월'!$A:$A,$E224),SUMIFS('RAW_농산물_10월'!$G:$G,'RAW_농산물_10월'!$D:$D,$C224,'RAW_농산물_10월'!$A:$A,$E224),SUMIFS('RAW_농산물_11-12월'!$G:$G,'RAW_농산물_11-12월'!$D:$D,$C224,'RAW_농산물_11-12월'!$A:$A,$E224))))</f>
        <v>0</v>
      </c>
      <c r="H224" s="14">
        <f>IF($C224="","",IF('설정'!$B$3=0,"",CHOOSE('설정'!$B$3,SUMIFS('RAW_농산물_7월'!$H:$H,'RAW_농산물_7월'!$D:$D,$C224,'RAW_농산물_7월'!$A:$A,$E224),SUMIFS('RAW_농산물_8월'!$H:$H,'RAW_농산물_8월'!$D:$D,$C224,'RAW_농산물_8월'!$A:$A,$E224),SUMIFS('RAW_농산물_9월'!$H:$H,'RAW_농산물_9월'!$D:$D,$C224,'RAW_농산물_9월'!$A:$A,$E224),SUMIFS('RAW_농산물_10월'!$H:$H,'RAW_농산물_10월'!$D:$D,$C224,'RAW_농산물_10월'!$A:$A,$E224),SUMIFS('RAW_농산물_11-12월'!$H:$H,'RAW_농산물_11-12월'!$D:$D,$C224,'RAW_농산물_11-12월'!$A:$A,$E224))))</f>
        <v>0</v>
      </c>
      <c r="I224" s="17" t="str">
        <f>IF($C224="","",IF(COUNTIFS('RAW_농산물_7월'!$D:$D,$C224,'RAW_농산물_7월'!$A:$A,$E224)&gt;0,"O",""))</f>
        <v/>
      </c>
      <c r="J224" s="17" t="str">
        <f>IF($C224="","",IF(COUNTIFS('RAW_농산물_8월'!$D:$D,$C224,'RAW_농산물_8월'!$A:$A,$E224)&gt;0,"O",""))</f>
        <v/>
      </c>
      <c r="K224" s="17" t="str">
        <f>IF($C224="","",IF(COUNTIFS('RAW_농산물_9월'!$D:$D,$C224,'RAW_농산물_9월'!$A:$A,$E224)&gt;0,"O",""))</f>
        <v/>
      </c>
      <c r="L224" s="17" t="str">
        <f>IF($C224="","",IF(COUNTIFS('RAW_농산물_10월'!$D:$D,$C224,'RAW_농산물_10월'!$A:$A,$E224)&gt;0,"O",""))</f>
        <v/>
      </c>
      <c r="M224" s="17" t="str">
        <f>IF($C224="","",IF(COUNTIFS('RAW_농산물_11-12월'!$D:$D,$C224,'RAW_농산물_11-12월'!$A:$A,$E224)&gt;0,"O",""))</f>
        <v/>
      </c>
      <c r="N224" s="7">
        <f>IF($C224="","",IF(COUNTA('RAW_농산물_7월'!$A:$A)&lt;=1,"",SUMIFS('RAW_농산물_7월'!$H:$H,'RAW_농산물_7월'!$D:$D,$C224,'RAW_농산물_7월'!$A:$A,$E224)))</f>
        <v>0</v>
      </c>
      <c r="O224" s="7">
        <f>IF($C224="","",IF(COUNTA('RAW_농산물_8월'!$A:$A)&lt;=1,"",SUMIFS('RAW_농산물_8월'!$H:$H,'RAW_농산물_8월'!$D:$D,$C224,'RAW_농산물_8월'!$A:$A,$E224)-SUMIFS('RAW_농산물_7월'!$H:$H,'RAW_농산물_7월'!$D:$D,$C224,'RAW_농산물_7월'!$A:$A,$E224)))</f>
        <v>0</v>
      </c>
      <c r="P224" s="7" t="str">
        <f>IF($C224="","",IF(COUNTA('RAW_농산물_9월'!$A:$A)&lt;=1,"",SUMIFS('RAW_농산물_9월'!$H:$H,'RAW_농산물_9월'!$D:$D,$C224,'RAW_농산물_9월'!$A:$A,$E224)-SUMIFS('RAW_농산물_8월'!$H:$H,'RAW_농산물_8월'!$D:$D,$C224,'RAW_농산물_8월'!$A:$A,$E224)))</f>
        <v/>
      </c>
      <c r="Q224" s="7" t="str">
        <f>IF($C224="","",IF(COUNTA('RAW_농산물_10월'!$A:$A)&lt;=1,"",SUMIFS('RAW_농산물_10월'!$H:$H,'RAW_농산물_10월'!$D:$D,$C224,'RAW_농산물_10월'!$A:$A,$E224)-SUMIFS('RAW_농산물_9월'!$H:$H,'RAW_농산물_9월'!$D:$D,$C224,'RAW_농산물_9월'!$A:$A,$E224)))</f>
        <v/>
      </c>
      <c r="R224" s="7" t="str">
        <f>IF($C224="","",IF(COUNTA('RAW_농산물_11-12월'!$A:$A)&lt;=1,"",SUMIFS('RAW_농산물_11-12월'!$H:$H,'RAW_농산물_11-12월'!$D:$D,$C224,'RAW_농산물_11-12월'!$A:$A,$E224)-SUMIFS('RAW_농산물_10월'!$H:$H,'RAW_농산물_10월'!$D:$D,$C224,'RAW_농산물_10월'!$A:$A,$E224)))</f>
        <v/>
      </c>
      <c r="S224" s="17" t="str">
        <f t="shared" si="4"/>
        <v/>
      </c>
      <c r="T224" s="17" t="str">
        <f t="shared" si="5"/>
        <v>미사용</v>
      </c>
      <c r="U224" s="7">
        <f>IF($C224="",0,IF('설정'!$B$3=0,0,CHOOSE('설정'!$B$3,COUNTIFS('RAW_농산물_7월'!$D:$D,$C224,'RAW_농산물_7월'!$A:$A,$E224),COUNTIFS('RAW_농산물_8월'!$D:$D,$C224,'RAW_농산물_8월'!$A:$A,$E224),COUNTIFS('RAW_농산물_9월'!$D:$D,$C224,'RAW_농산물_9월'!$A:$A,$E224),COUNTIFS('RAW_농산물_10월'!$D:$D,$C224,'RAW_농산물_10월'!$A:$A,$E224),COUNTIFS('RAW_농산물_11-12월'!$D:$D,$C224,'RAW_농산물_11-12월'!$A:$A,$E224))))</f>
        <v>0</v>
      </c>
    </row>
    <row r="225" ht="15.75" customHeight="1">
      <c r="A225" s="5">
        <v>223.0</v>
      </c>
      <c r="B225" s="5" t="s">
        <v>25</v>
      </c>
      <c r="C225" s="5" t="s">
        <v>1849</v>
      </c>
      <c r="D225" s="6" t="s">
        <v>1848</v>
      </c>
      <c r="E225" s="5" t="s">
        <v>93</v>
      </c>
      <c r="F225" s="7">
        <f>IF($C225="","",IF('설정'!$B$3=0,"",CHOOSE('설정'!$B$3,SUMIFS('RAW_농산물_7월'!$F:$F,'RAW_농산물_7월'!$D:$D,$C225,'RAW_농산물_7월'!$A:$A,$E225),SUMIFS('RAW_농산물_8월'!$F:$F,'RAW_농산물_8월'!$D:$D,$C225,'RAW_농산물_8월'!$A:$A,$E225),SUMIFS('RAW_농산물_9월'!$F:$F,'RAW_농산물_9월'!$D:$D,$C225,'RAW_농산물_9월'!$A:$A,$E225),SUMIFS('RAW_농산물_10월'!$F:$F,'RAW_농산물_10월'!$D:$D,$C225,'RAW_농산물_10월'!$A:$A,$E225),SUMIFS('RAW_농산물_11-12월'!$F:$F,'RAW_농산물_11-12월'!$D:$D,$C225,'RAW_농산물_11-12월'!$A:$A,$E225))))</f>
        <v>0</v>
      </c>
      <c r="G225" s="7">
        <f>IF($C225="","",IF('설정'!$B$3=0,"",CHOOSE('설정'!$B$3,SUMIFS('RAW_농산물_7월'!$G:$G,'RAW_농산물_7월'!$D:$D,$C225,'RAW_농산물_7월'!$A:$A,$E225),SUMIFS('RAW_농산물_8월'!$G:$G,'RAW_농산물_8월'!$D:$D,$C225,'RAW_농산물_8월'!$A:$A,$E225),SUMIFS('RAW_농산물_9월'!$G:$G,'RAW_농산물_9월'!$D:$D,$C225,'RAW_농산물_9월'!$A:$A,$E225),SUMIFS('RAW_농산물_10월'!$G:$G,'RAW_농산물_10월'!$D:$D,$C225,'RAW_농산물_10월'!$A:$A,$E225),SUMIFS('RAW_농산물_11-12월'!$G:$G,'RAW_농산물_11-12월'!$D:$D,$C225,'RAW_농산물_11-12월'!$A:$A,$E225))))</f>
        <v>0</v>
      </c>
      <c r="H225" s="14">
        <f>IF($C225="","",IF('설정'!$B$3=0,"",CHOOSE('설정'!$B$3,SUMIFS('RAW_농산물_7월'!$H:$H,'RAW_농산물_7월'!$D:$D,$C225,'RAW_농산물_7월'!$A:$A,$E225),SUMIFS('RAW_농산물_8월'!$H:$H,'RAW_농산물_8월'!$D:$D,$C225,'RAW_농산물_8월'!$A:$A,$E225),SUMIFS('RAW_농산물_9월'!$H:$H,'RAW_농산물_9월'!$D:$D,$C225,'RAW_농산물_9월'!$A:$A,$E225),SUMIFS('RAW_농산물_10월'!$H:$H,'RAW_농산물_10월'!$D:$D,$C225,'RAW_농산물_10월'!$A:$A,$E225),SUMIFS('RAW_농산물_11-12월'!$H:$H,'RAW_농산물_11-12월'!$D:$D,$C225,'RAW_농산물_11-12월'!$A:$A,$E225))))</f>
        <v>0</v>
      </c>
      <c r="I225" s="17" t="str">
        <f>IF($C225="","",IF(COUNTIFS('RAW_농산물_7월'!$D:$D,$C225,'RAW_농산물_7월'!$A:$A,$E225)&gt;0,"O",""))</f>
        <v/>
      </c>
      <c r="J225" s="17" t="str">
        <f>IF($C225="","",IF(COUNTIFS('RAW_농산물_8월'!$D:$D,$C225,'RAW_농산물_8월'!$A:$A,$E225)&gt;0,"O",""))</f>
        <v>O</v>
      </c>
      <c r="K225" s="17" t="str">
        <f>IF($C225="","",IF(COUNTIFS('RAW_농산물_9월'!$D:$D,$C225,'RAW_농산물_9월'!$A:$A,$E225)&gt;0,"O",""))</f>
        <v/>
      </c>
      <c r="L225" s="17" t="str">
        <f>IF($C225="","",IF(COUNTIFS('RAW_농산물_10월'!$D:$D,$C225,'RAW_농산물_10월'!$A:$A,$E225)&gt;0,"O",""))</f>
        <v/>
      </c>
      <c r="M225" s="17" t="str">
        <f>IF($C225="","",IF(COUNTIFS('RAW_농산물_11-12월'!$D:$D,$C225,'RAW_농산물_11-12월'!$A:$A,$E225)&gt;0,"O",""))</f>
        <v/>
      </c>
      <c r="N225" s="7">
        <f>IF($C225="","",IF(COUNTA('RAW_농산물_7월'!$A:$A)&lt;=1,"",SUMIFS('RAW_농산물_7월'!$H:$H,'RAW_농산물_7월'!$D:$D,$C225,'RAW_농산물_7월'!$A:$A,$E225)))</f>
        <v>0</v>
      </c>
      <c r="O225" s="7">
        <f>IF($C225="","",IF(COUNTA('RAW_농산물_8월'!$A:$A)&lt;=1,"",SUMIFS('RAW_농산물_8월'!$H:$H,'RAW_농산물_8월'!$D:$D,$C225,'RAW_농산물_8월'!$A:$A,$E225)-SUMIFS('RAW_농산물_7월'!$H:$H,'RAW_농산물_7월'!$D:$D,$C225,'RAW_농산물_7월'!$A:$A,$E225)))</f>
        <v>0</v>
      </c>
      <c r="P225" s="7" t="str">
        <f>IF($C225="","",IF(COUNTA('RAW_농산물_9월'!$A:$A)&lt;=1,"",SUMIFS('RAW_농산물_9월'!$H:$H,'RAW_농산물_9월'!$D:$D,$C225,'RAW_농산물_9월'!$A:$A,$E225)-SUMIFS('RAW_농산물_8월'!$H:$H,'RAW_농산물_8월'!$D:$D,$C225,'RAW_농산물_8월'!$A:$A,$E225)))</f>
        <v/>
      </c>
      <c r="Q225" s="7" t="str">
        <f>IF($C225="","",IF(COUNTA('RAW_농산물_10월'!$A:$A)&lt;=1,"",SUMIFS('RAW_농산물_10월'!$H:$H,'RAW_농산물_10월'!$D:$D,$C225,'RAW_농산물_10월'!$A:$A,$E225)-SUMIFS('RAW_농산물_9월'!$H:$H,'RAW_농산물_9월'!$D:$D,$C225,'RAW_농산물_9월'!$A:$A,$E225)))</f>
        <v/>
      </c>
      <c r="R225" s="7" t="str">
        <f>IF($C225="","",IF(COUNTA('RAW_농산물_11-12월'!$A:$A)&lt;=1,"",SUMIFS('RAW_농산물_11-12월'!$H:$H,'RAW_농산물_11-12월'!$D:$D,$C225,'RAW_농산물_11-12월'!$A:$A,$E225)-SUMIFS('RAW_농산물_10월'!$H:$H,'RAW_농산물_10월'!$D:$D,$C225,'RAW_농산물_10월'!$A:$A,$E225)))</f>
        <v/>
      </c>
      <c r="S225" s="17" t="str">
        <f t="shared" si="4"/>
        <v>O</v>
      </c>
      <c r="T225" s="17" t="str">
        <f t="shared" si="5"/>
        <v>미사용</v>
      </c>
      <c r="U225" s="7">
        <f>IF($C225="",0,IF('설정'!$B$3=0,0,CHOOSE('설정'!$B$3,COUNTIFS('RAW_농산물_7월'!$D:$D,$C225,'RAW_농산물_7월'!$A:$A,$E225),COUNTIFS('RAW_농산물_8월'!$D:$D,$C225,'RAW_농산물_8월'!$A:$A,$E225),COUNTIFS('RAW_농산물_9월'!$D:$D,$C225,'RAW_농산물_9월'!$A:$A,$E225),COUNTIFS('RAW_농산물_10월'!$D:$D,$C225,'RAW_농산물_10월'!$A:$A,$E225),COUNTIFS('RAW_농산물_11-12월'!$D:$D,$C225,'RAW_농산물_11-12월'!$A:$A,$E225))))</f>
        <v>1</v>
      </c>
    </row>
    <row r="226" ht="15.75" customHeight="1">
      <c r="A226" s="5">
        <v>224.0</v>
      </c>
      <c r="B226" s="5" t="s">
        <v>25</v>
      </c>
      <c r="C226" s="5" t="s">
        <v>384</v>
      </c>
      <c r="D226" s="6" t="s">
        <v>383</v>
      </c>
      <c r="E226" s="5" t="s">
        <v>92</v>
      </c>
      <c r="F226" s="7">
        <f>IF($C226="","",IF('설정'!$B$3=0,"",CHOOSE('설정'!$B$3,SUMIFS('RAW_농산물_7월'!$F:$F,'RAW_농산물_7월'!$D:$D,$C226,'RAW_농산물_7월'!$A:$A,$E226),SUMIFS('RAW_농산물_8월'!$F:$F,'RAW_농산물_8월'!$D:$D,$C226,'RAW_농산물_8월'!$A:$A,$E226),SUMIFS('RAW_농산물_9월'!$F:$F,'RAW_농산물_9월'!$D:$D,$C226,'RAW_농산물_9월'!$A:$A,$E226),SUMIFS('RAW_농산물_10월'!$F:$F,'RAW_농산물_10월'!$D:$D,$C226,'RAW_농산물_10월'!$A:$A,$E226),SUMIFS('RAW_농산물_11-12월'!$F:$F,'RAW_농산물_11-12월'!$D:$D,$C226,'RAW_농산물_11-12월'!$A:$A,$E226))))</f>
        <v>157</v>
      </c>
      <c r="G226" s="7">
        <f>IF($C226="","",IF('설정'!$B$3=0,"",CHOOSE('설정'!$B$3,SUMIFS('RAW_농산물_7월'!$G:$G,'RAW_농산물_7월'!$D:$D,$C226,'RAW_농산물_7월'!$A:$A,$E226),SUMIFS('RAW_농산물_8월'!$G:$G,'RAW_농산물_8월'!$D:$D,$C226,'RAW_농산물_8월'!$A:$A,$E226),SUMIFS('RAW_농산물_9월'!$G:$G,'RAW_농산물_9월'!$D:$D,$C226,'RAW_농산물_9월'!$A:$A,$E226),SUMIFS('RAW_농산물_10월'!$G:$G,'RAW_농산물_10월'!$D:$D,$C226,'RAW_농산물_10월'!$A:$A,$E226),SUMIFS('RAW_농산물_11-12월'!$G:$G,'RAW_농산물_11-12월'!$D:$D,$C226,'RAW_농산물_11-12월'!$A:$A,$E226))))</f>
        <v>4540800</v>
      </c>
      <c r="H226" s="14">
        <f>IF($C226="","",IF('설정'!$B$3=0,"",CHOOSE('설정'!$B$3,SUMIFS('RAW_농산물_7월'!$H:$H,'RAW_농산물_7월'!$D:$D,$C226,'RAW_농산물_7월'!$A:$A,$E226),SUMIFS('RAW_농산물_8월'!$H:$H,'RAW_농산물_8월'!$D:$D,$C226,'RAW_농산물_8월'!$A:$A,$E226),SUMIFS('RAW_농산물_9월'!$H:$H,'RAW_농산물_9월'!$D:$D,$C226,'RAW_농산물_9월'!$A:$A,$E226),SUMIFS('RAW_농산물_10월'!$H:$H,'RAW_농산물_10월'!$D:$D,$C226,'RAW_농산물_10월'!$A:$A,$E226),SUMIFS('RAW_농산물_11-12월'!$H:$H,'RAW_농산물_11-12월'!$D:$D,$C226,'RAW_농산물_11-12월'!$A:$A,$E226))))</f>
        <v>356400</v>
      </c>
      <c r="I226" s="17" t="str">
        <f>IF($C226="","",IF(COUNTIFS('RAW_농산물_7월'!$D:$D,$C226,'RAW_농산물_7월'!$A:$A,$E226)&gt;0,"O",""))</f>
        <v>O</v>
      </c>
      <c r="J226" s="17" t="str">
        <f>IF($C226="","",IF(COUNTIFS('RAW_농산물_8월'!$D:$D,$C226,'RAW_농산물_8월'!$A:$A,$E226)&gt;0,"O",""))</f>
        <v>O</v>
      </c>
      <c r="K226" s="17" t="str">
        <f>IF($C226="","",IF(COUNTIFS('RAW_농산물_9월'!$D:$D,$C226,'RAW_농산물_9월'!$A:$A,$E226)&gt;0,"O",""))</f>
        <v/>
      </c>
      <c r="L226" s="17" t="str">
        <f>IF($C226="","",IF(COUNTIFS('RAW_농산물_10월'!$D:$D,$C226,'RAW_농산물_10월'!$A:$A,$E226)&gt;0,"O",""))</f>
        <v/>
      </c>
      <c r="M226" s="17" t="str">
        <f>IF($C226="","",IF(COUNTIFS('RAW_농산물_11-12월'!$D:$D,$C226,'RAW_농산물_11-12월'!$A:$A,$E226)&gt;0,"O",""))</f>
        <v/>
      </c>
      <c r="N226" s="7">
        <f>IF($C226="","",IF(COUNTA('RAW_농산물_7월'!$A:$A)&lt;=1,"",SUMIFS('RAW_농산물_7월'!$H:$H,'RAW_농산물_7월'!$D:$D,$C226,'RAW_농산물_7월'!$A:$A,$E226)))</f>
        <v>188800</v>
      </c>
      <c r="O226" s="7">
        <f>IF($C226="","",IF(COUNTA('RAW_농산물_8월'!$A:$A)&lt;=1,"",SUMIFS('RAW_농산물_8월'!$H:$H,'RAW_농산물_8월'!$D:$D,$C226,'RAW_농산물_8월'!$A:$A,$E226)-SUMIFS('RAW_농산물_7월'!$H:$H,'RAW_농산물_7월'!$D:$D,$C226,'RAW_농산물_7월'!$A:$A,$E226)))</f>
        <v>167600</v>
      </c>
      <c r="P226" s="7" t="str">
        <f>IF($C226="","",IF(COUNTA('RAW_농산물_9월'!$A:$A)&lt;=1,"",SUMIFS('RAW_농산물_9월'!$H:$H,'RAW_농산물_9월'!$D:$D,$C226,'RAW_농산물_9월'!$A:$A,$E226)-SUMIFS('RAW_농산물_8월'!$H:$H,'RAW_농산물_8월'!$D:$D,$C226,'RAW_농산물_8월'!$A:$A,$E226)))</f>
        <v/>
      </c>
      <c r="Q226" s="7" t="str">
        <f>IF($C226="","",IF(COUNTA('RAW_농산물_10월'!$A:$A)&lt;=1,"",SUMIFS('RAW_농산물_10월'!$H:$H,'RAW_농산물_10월'!$D:$D,$C226,'RAW_농산물_10월'!$A:$A,$E226)-SUMIFS('RAW_농산물_9월'!$H:$H,'RAW_농산물_9월'!$D:$D,$C226,'RAW_농산물_9월'!$A:$A,$E226)))</f>
        <v/>
      </c>
      <c r="R226" s="7" t="str">
        <f>IF($C226="","",IF(COUNTA('RAW_농산물_11-12월'!$A:$A)&lt;=1,"",SUMIFS('RAW_농산물_11-12월'!$H:$H,'RAW_농산물_11-12월'!$D:$D,$C226,'RAW_농산물_11-12월'!$A:$A,$E226)-SUMIFS('RAW_농산물_10월'!$H:$H,'RAW_농산물_10월'!$D:$D,$C226,'RAW_농산물_10월'!$A:$A,$E226)))</f>
        <v/>
      </c>
      <c r="S226" s="17" t="str">
        <f t="shared" si="4"/>
        <v>O</v>
      </c>
      <c r="T226" s="17" t="str">
        <f t="shared" si="5"/>
        <v>50만원 미만</v>
      </c>
      <c r="U226" s="7">
        <f>IF($C226="",0,IF('설정'!$B$3=0,0,CHOOSE('설정'!$B$3,COUNTIFS('RAW_농산물_7월'!$D:$D,$C226,'RAW_농산물_7월'!$A:$A,$E226),COUNTIFS('RAW_농산물_8월'!$D:$D,$C226,'RAW_농산물_8월'!$A:$A,$E226),COUNTIFS('RAW_농산물_9월'!$D:$D,$C226,'RAW_농산물_9월'!$A:$A,$E226),COUNTIFS('RAW_농산물_10월'!$D:$D,$C226,'RAW_농산물_10월'!$A:$A,$E226),COUNTIFS('RAW_농산물_11-12월'!$D:$D,$C226,'RAW_농산물_11-12월'!$A:$A,$E226))))</f>
        <v>10</v>
      </c>
    </row>
    <row r="227" ht="15.75" customHeight="1">
      <c r="A227" s="5">
        <v>225.0</v>
      </c>
      <c r="B227" s="5" t="s">
        <v>108</v>
      </c>
      <c r="C227" s="5" t="s">
        <v>3016</v>
      </c>
      <c r="D227" s="6" t="s">
        <v>3017</v>
      </c>
      <c r="E227" s="5" t="s">
        <v>92</v>
      </c>
      <c r="F227" s="7">
        <f>IF($C227="","",IF('설정'!$B$3=0,"",CHOOSE('설정'!$B$3,SUMIFS('RAW_농산물_7월'!$F:$F,'RAW_농산물_7월'!$D:$D,$C227,'RAW_농산물_7월'!$A:$A,$E227),SUMIFS('RAW_농산물_8월'!$F:$F,'RAW_농산물_8월'!$D:$D,$C227,'RAW_농산물_8월'!$A:$A,$E227),SUMIFS('RAW_농산물_9월'!$F:$F,'RAW_농산물_9월'!$D:$D,$C227,'RAW_농산물_9월'!$A:$A,$E227),SUMIFS('RAW_농산물_10월'!$F:$F,'RAW_농산물_10월'!$D:$D,$C227,'RAW_농산물_10월'!$A:$A,$E227),SUMIFS('RAW_농산물_11-12월'!$F:$F,'RAW_농산물_11-12월'!$D:$D,$C227,'RAW_농산물_11-12월'!$A:$A,$E227))))</f>
        <v>0</v>
      </c>
      <c r="G227" s="7">
        <f>IF($C227="","",IF('설정'!$B$3=0,"",CHOOSE('설정'!$B$3,SUMIFS('RAW_농산물_7월'!$G:$G,'RAW_농산물_7월'!$D:$D,$C227,'RAW_농산물_7월'!$A:$A,$E227),SUMIFS('RAW_농산물_8월'!$G:$G,'RAW_농산물_8월'!$D:$D,$C227,'RAW_농산물_8월'!$A:$A,$E227),SUMIFS('RAW_농산물_9월'!$G:$G,'RAW_농산물_9월'!$D:$D,$C227,'RAW_농산물_9월'!$A:$A,$E227),SUMIFS('RAW_농산물_10월'!$G:$G,'RAW_농산물_10월'!$D:$D,$C227,'RAW_농산물_10월'!$A:$A,$E227),SUMIFS('RAW_농산물_11-12월'!$G:$G,'RAW_농산물_11-12월'!$D:$D,$C227,'RAW_농산물_11-12월'!$A:$A,$E227))))</f>
        <v>0</v>
      </c>
      <c r="H227" s="14">
        <f>IF($C227="","",IF('설정'!$B$3=0,"",CHOOSE('설정'!$B$3,SUMIFS('RAW_농산물_7월'!$H:$H,'RAW_농산물_7월'!$D:$D,$C227,'RAW_농산물_7월'!$A:$A,$E227),SUMIFS('RAW_농산물_8월'!$H:$H,'RAW_농산물_8월'!$D:$D,$C227,'RAW_농산물_8월'!$A:$A,$E227),SUMIFS('RAW_농산물_9월'!$H:$H,'RAW_농산물_9월'!$D:$D,$C227,'RAW_농산물_9월'!$A:$A,$E227),SUMIFS('RAW_농산물_10월'!$H:$H,'RAW_농산물_10월'!$D:$D,$C227,'RAW_농산물_10월'!$A:$A,$E227),SUMIFS('RAW_농산물_11-12월'!$H:$H,'RAW_농산물_11-12월'!$D:$D,$C227,'RAW_농산물_11-12월'!$A:$A,$E227))))</f>
        <v>0</v>
      </c>
      <c r="I227" s="17" t="str">
        <f>IF($C227="","",IF(COUNTIFS('RAW_농산물_7월'!$D:$D,$C227,'RAW_농산물_7월'!$A:$A,$E227)&gt;0,"O",""))</f>
        <v/>
      </c>
      <c r="J227" s="17" t="str">
        <f>IF($C227="","",IF(COUNTIFS('RAW_농산물_8월'!$D:$D,$C227,'RAW_농산물_8월'!$A:$A,$E227)&gt;0,"O",""))</f>
        <v/>
      </c>
      <c r="K227" s="17" t="str">
        <f>IF($C227="","",IF(COUNTIFS('RAW_농산물_9월'!$D:$D,$C227,'RAW_농산물_9월'!$A:$A,$E227)&gt;0,"O",""))</f>
        <v/>
      </c>
      <c r="L227" s="17" t="str">
        <f>IF($C227="","",IF(COUNTIFS('RAW_농산물_10월'!$D:$D,$C227,'RAW_농산물_10월'!$A:$A,$E227)&gt;0,"O",""))</f>
        <v/>
      </c>
      <c r="M227" s="17" t="str">
        <f>IF($C227="","",IF(COUNTIFS('RAW_농산물_11-12월'!$D:$D,$C227,'RAW_농산물_11-12월'!$A:$A,$E227)&gt;0,"O",""))</f>
        <v/>
      </c>
      <c r="N227" s="7">
        <f>IF($C227="","",IF(COUNTA('RAW_농산물_7월'!$A:$A)&lt;=1,"",SUMIFS('RAW_농산물_7월'!$H:$H,'RAW_농산물_7월'!$D:$D,$C227,'RAW_농산물_7월'!$A:$A,$E227)))</f>
        <v>0</v>
      </c>
      <c r="O227" s="7">
        <f>IF($C227="","",IF(COUNTA('RAW_농산물_8월'!$A:$A)&lt;=1,"",SUMIFS('RAW_농산물_8월'!$H:$H,'RAW_농산물_8월'!$D:$D,$C227,'RAW_농산물_8월'!$A:$A,$E227)-SUMIFS('RAW_농산물_7월'!$H:$H,'RAW_농산물_7월'!$D:$D,$C227,'RAW_농산물_7월'!$A:$A,$E227)))</f>
        <v>0</v>
      </c>
      <c r="P227" s="7" t="str">
        <f>IF($C227="","",IF(COUNTA('RAW_농산물_9월'!$A:$A)&lt;=1,"",SUMIFS('RAW_농산물_9월'!$H:$H,'RAW_농산물_9월'!$D:$D,$C227,'RAW_농산물_9월'!$A:$A,$E227)-SUMIFS('RAW_농산물_8월'!$H:$H,'RAW_농산물_8월'!$D:$D,$C227,'RAW_농산물_8월'!$A:$A,$E227)))</f>
        <v/>
      </c>
      <c r="Q227" s="7" t="str">
        <f>IF($C227="","",IF(COUNTA('RAW_농산물_10월'!$A:$A)&lt;=1,"",SUMIFS('RAW_농산물_10월'!$H:$H,'RAW_농산물_10월'!$D:$D,$C227,'RAW_농산물_10월'!$A:$A,$E227)-SUMIFS('RAW_농산물_9월'!$H:$H,'RAW_농산물_9월'!$D:$D,$C227,'RAW_농산물_9월'!$A:$A,$E227)))</f>
        <v/>
      </c>
      <c r="R227" s="7" t="str">
        <f>IF($C227="","",IF(COUNTA('RAW_농산물_11-12월'!$A:$A)&lt;=1,"",SUMIFS('RAW_농산물_11-12월'!$H:$H,'RAW_농산물_11-12월'!$D:$D,$C227,'RAW_농산물_11-12월'!$A:$A,$E227)-SUMIFS('RAW_농산물_10월'!$H:$H,'RAW_농산물_10월'!$D:$D,$C227,'RAW_농산물_10월'!$A:$A,$E227)))</f>
        <v/>
      </c>
      <c r="S227" s="17" t="str">
        <f t="shared" si="4"/>
        <v/>
      </c>
      <c r="T227" s="17" t="str">
        <f t="shared" si="5"/>
        <v>미사용</v>
      </c>
      <c r="U227" s="7">
        <f>IF($C227="",0,IF('설정'!$B$3=0,0,CHOOSE('설정'!$B$3,COUNTIFS('RAW_농산물_7월'!$D:$D,$C227,'RAW_농산물_7월'!$A:$A,$E227),COUNTIFS('RAW_농산물_8월'!$D:$D,$C227,'RAW_농산물_8월'!$A:$A,$E227),COUNTIFS('RAW_농산물_9월'!$D:$D,$C227,'RAW_농산물_9월'!$A:$A,$E227),COUNTIFS('RAW_농산물_10월'!$D:$D,$C227,'RAW_농산물_10월'!$A:$A,$E227),COUNTIFS('RAW_농산물_11-12월'!$D:$D,$C227,'RAW_농산물_11-12월'!$A:$A,$E227))))</f>
        <v>0</v>
      </c>
    </row>
    <row r="228" ht="15.75" customHeight="1">
      <c r="A228" s="5">
        <v>226.0</v>
      </c>
      <c r="B228" s="5" t="s">
        <v>108</v>
      </c>
      <c r="C228" s="5" t="s">
        <v>3018</v>
      </c>
      <c r="D228" s="6" t="s">
        <v>3019</v>
      </c>
      <c r="E228" s="5" t="s">
        <v>92</v>
      </c>
      <c r="F228" s="7">
        <f>IF($C228="","",IF('설정'!$B$3=0,"",CHOOSE('설정'!$B$3,SUMIFS('RAW_농산물_7월'!$F:$F,'RAW_농산물_7월'!$D:$D,$C228,'RAW_농산물_7월'!$A:$A,$E228),SUMIFS('RAW_농산물_8월'!$F:$F,'RAW_농산물_8월'!$D:$D,$C228,'RAW_농산물_8월'!$A:$A,$E228),SUMIFS('RAW_농산물_9월'!$F:$F,'RAW_농산물_9월'!$D:$D,$C228,'RAW_농산물_9월'!$A:$A,$E228),SUMIFS('RAW_농산물_10월'!$F:$F,'RAW_농산물_10월'!$D:$D,$C228,'RAW_농산물_10월'!$A:$A,$E228),SUMIFS('RAW_농산물_11-12월'!$F:$F,'RAW_농산물_11-12월'!$D:$D,$C228,'RAW_농산물_11-12월'!$A:$A,$E228))))</f>
        <v>0</v>
      </c>
      <c r="G228" s="7">
        <f>IF($C228="","",IF('설정'!$B$3=0,"",CHOOSE('설정'!$B$3,SUMIFS('RAW_농산물_7월'!$G:$G,'RAW_농산물_7월'!$D:$D,$C228,'RAW_농산물_7월'!$A:$A,$E228),SUMIFS('RAW_농산물_8월'!$G:$G,'RAW_농산물_8월'!$D:$D,$C228,'RAW_농산물_8월'!$A:$A,$E228),SUMIFS('RAW_농산물_9월'!$G:$G,'RAW_농산물_9월'!$D:$D,$C228,'RAW_농산물_9월'!$A:$A,$E228),SUMIFS('RAW_농산물_10월'!$G:$G,'RAW_농산물_10월'!$D:$D,$C228,'RAW_농산물_10월'!$A:$A,$E228),SUMIFS('RAW_농산물_11-12월'!$G:$G,'RAW_농산물_11-12월'!$D:$D,$C228,'RAW_농산물_11-12월'!$A:$A,$E228))))</f>
        <v>0</v>
      </c>
      <c r="H228" s="14">
        <f>IF($C228="","",IF('설정'!$B$3=0,"",CHOOSE('설정'!$B$3,SUMIFS('RAW_농산물_7월'!$H:$H,'RAW_농산물_7월'!$D:$D,$C228,'RAW_농산물_7월'!$A:$A,$E228),SUMIFS('RAW_농산물_8월'!$H:$H,'RAW_농산물_8월'!$D:$D,$C228,'RAW_농산물_8월'!$A:$A,$E228),SUMIFS('RAW_농산물_9월'!$H:$H,'RAW_농산물_9월'!$D:$D,$C228,'RAW_농산물_9월'!$A:$A,$E228),SUMIFS('RAW_농산물_10월'!$H:$H,'RAW_농산물_10월'!$D:$D,$C228,'RAW_농산물_10월'!$A:$A,$E228),SUMIFS('RAW_농산물_11-12월'!$H:$H,'RAW_농산물_11-12월'!$D:$D,$C228,'RAW_농산물_11-12월'!$A:$A,$E228))))</f>
        <v>0</v>
      </c>
      <c r="I228" s="17" t="str">
        <f>IF($C228="","",IF(COUNTIFS('RAW_농산물_7월'!$D:$D,$C228,'RAW_농산물_7월'!$A:$A,$E228)&gt;0,"O",""))</f>
        <v/>
      </c>
      <c r="J228" s="17" t="str">
        <f>IF($C228="","",IF(COUNTIFS('RAW_농산물_8월'!$D:$D,$C228,'RAW_농산물_8월'!$A:$A,$E228)&gt;0,"O",""))</f>
        <v/>
      </c>
      <c r="K228" s="17" t="str">
        <f>IF($C228="","",IF(COUNTIFS('RAW_농산물_9월'!$D:$D,$C228,'RAW_농산물_9월'!$A:$A,$E228)&gt;0,"O",""))</f>
        <v/>
      </c>
      <c r="L228" s="17" t="str">
        <f>IF($C228="","",IF(COUNTIFS('RAW_농산물_10월'!$D:$D,$C228,'RAW_농산물_10월'!$A:$A,$E228)&gt;0,"O",""))</f>
        <v/>
      </c>
      <c r="M228" s="17" t="str">
        <f>IF($C228="","",IF(COUNTIFS('RAW_농산물_11-12월'!$D:$D,$C228,'RAW_농산물_11-12월'!$A:$A,$E228)&gt;0,"O",""))</f>
        <v/>
      </c>
      <c r="N228" s="7">
        <f>IF($C228="","",IF(COUNTA('RAW_농산물_7월'!$A:$A)&lt;=1,"",SUMIFS('RAW_농산물_7월'!$H:$H,'RAW_농산물_7월'!$D:$D,$C228,'RAW_농산물_7월'!$A:$A,$E228)))</f>
        <v>0</v>
      </c>
      <c r="O228" s="7">
        <f>IF($C228="","",IF(COUNTA('RAW_농산물_8월'!$A:$A)&lt;=1,"",SUMIFS('RAW_농산물_8월'!$H:$H,'RAW_농산물_8월'!$D:$D,$C228,'RAW_농산물_8월'!$A:$A,$E228)-SUMIFS('RAW_농산물_7월'!$H:$H,'RAW_농산물_7월'!$D:$D,$C228,'RAW_농산물_7월'!$A:$A,$E228)))</f>
        <v>0</v>
      </c>
      <c r="P228" s="7" t="str">
        <f>IF($C228="","",IF(COUNTA('RAW_농산물_9월'!$A:$A)&lt;=1,"",SUMIFS('RAW_농산물_9월'!$H:$H,'RAW_농산물_9월'!$D:$D,$C228,'RAW_농산물_9월'!$A:$A,$E228)-SUMIFS('RAW_농산물_8월'!$H:$H,'RAW_농산물_8월'!$D:$D,$C228,'RAW_농산물_8월'!$A:$A,$E228)))</f>
        <v/>
      </c>
      <c r="Q228" s="7" t="str">
        <f>IF($C228="","",IF(COUNTA('RAW_농산물_10월'!$A:$A)&lt;=1,"",SUMIFS('RAW_농산물_10월'!$H:$H,'RAW_농산물_10월'!$D:$D,$C228,'RAW_농산물_10월'!$A:$A,$E228)-SUMIFS('RAW_농산물_9월'!$H:$H,'RAW_농산물_9월'!$D:$D,$C228,'RAW_농산물_9월'!$A:$A,$E228)))</f>
        <v/>
      </c>
      <c r="R228" s="7" t="str">
        <f>IF($C228="","",IF(COUNTA('RAW_농산물_11-12월'!$A:$A)&lt;=1,"",SUMIFS('RAW_농산물_11-12월'!$H:$H,'RAW_농산물_11-12월'!$D:$D,$C228,'RAW_농산물_11-12월'!$A:$A,$E228)-SUMIFS('RAW_농산물_10월'!$H:$H,'RAW_농산물_10월'!$D:$D,$C228,'RAW_농산물_10월'!$A:$A,$E228)))</f>
        <v/>
      </c>
      <c r="S228" s="17" t="str">
        <f t="shared" si="4"/>
        <v/>
      </c>
      <c r="T228" s="17" t="str">
        <f t="shared" si="5"/>
        <v>미사용</v>
      </c>
      <c r="U228" s="7">
        <f>IF($C228="",0,IF('설정'!$B$3=0,0,CHOOSE('설정'!$B$3,COUNTIFS('RAW_농산물_7월'!$D:$D,$C228,'RAW_농산물_7월'!$A:$A,$E228),COUNTIFS('RAW_농산물_8월'!$D:$D,$C228,'RAW_농산물_8월'!$A:$A,$E228),COUNTIFS('RAW_농산물_9월'!$D:$D,$C228,'RAW_농산물_9월'!$A:$A,$E228),COUNTIFS('RAW_농산물_10월'!$D:$D,$C228,'RAW_농산물_10월'!$A:$A,$E228),COUNTIFS('RAW_농산물_11-12월'!$D:$D,$C228,'RAW_농산물_11-12월'!$A:$A,$E228))))</f>
        <v>0</v>
      </c>
    </row>
    <row r="229" ht="15.75" customHeight="1">
      <c r="A229" s="5">
        <v>227.0</v>
      </c>
      <c r="B229" s="5" t="s">
        <v>145</v>
      </c>
      <c r="C229" s="5" t="s">
        <v>1245</v>
      </c>
      <c r="D229" s="6" t="s">
        <v>1244</v>
      </c>
      <c r="E229" s="5" t="s">
        <v>94</v>
      </c>
      <c r="F229" s="7">
        <f>IF($C229="","",IF('설정'!$B$3=0,"",CHOOSE('설정'!$B$3,SUMIFS('RAW_농산물_7월'!$F:$F,'RAW_농산물_7월'!$D:$D,$C229,'RAW_농산물_7월'!$A:$A,$E229),SUMIFS('RAW_농산물_8월'!$F:$F,'RAW_농산물_8월'!$D:$D,$C229,'RAW_농산물_8월'!$A:$A,$E229),SUMIFS('RAW_농산물_9월'!$F:$F,'RAW_농산물_9월'!$D:$D,$C229,'RAW_농산물_9월'!$A:$A,$E229),SUMIFS('RAW_농산물_10월'!$F:$F,'RAW_농산물_10월'!$D:$D,$C229,'RAW_농산물_10월'!$A:$A,$E229),SUMIFS('RAW_농산물_11-12월'!$F:$F,'RAW_농산물_11-12월'!$D:$D,$C229,'RAW_농산물_11-12월'!$A:$A,$E229))))</f>
        <v>131</v>
      </c>
      <c r="G229" s="7">
        <f>IF($C229="","",IF('설정'!$B$3=0,"",CHOOSE('설정'!$B$3,SUMIFS('RAW_농산물_7월'!$G:$G,'RAW_농산물_7월'!$D:$D,$C229,'RAW_농산물_7월'!$A:$A,$E229),SUMIFS('RAW_농산물_8월'!$G:$G,'RAW_농산물_8월'!$D:$D,$C229,'RAW_농산물_8월'!$A:$A,$E229),SUMIFS('RAW_농산물_9월'!$G:$G,'RAW_농산물_9월'!$D:$D,$C229,'RAW_농산물_9월'!$A:$A,$E229),SUMIFS('RAW_농산물_10월'!$G:$G,'RAW_농산물_10월'!$D:$D,$C229,'RAW_농산물_10월'!$A:$A,$E229),SUMIFS('RAW_농산물_11-12월'!$G:$G,'RAW_농산물_11-12월'!$D:$D,$C229,'RAW_농산물_11-12월'!$A:$A,$E229))))</f>
        <v>4822000</v>
      </c>
      <c r="H229" s="14">
        <f>IF($C229="","",IF('설정'!$B$3=0,"",CHOOSE('설정'!$B$3,SUMIFS('RAW_농산물_7월'!$H:$H,'RAW_농산물_7월'!$D:$D,$C229,'RAW_농산물_7월'!$A:$A,$E229),SUMIFS('RAW_농산물_8월'!$H:$H,'RAW_농산물_8월'!$D:$D,$C229,'RAW_농산물_8월'!$A:$A,$E229),SUMIFS('RAW_농산물_9월'!$H:$H,'RAW_농산물_9월'!$D:$D,$C229,'RAW_농산물_9월'!$A:$A,$E229),SUMIFS('RAW_농산물_10월'!$H:$H,'RAW_농산물_10월'!$D:$D,$C229,'RAW_농산물_10월'!$A:$A,$E229),SUMIFS('RAW_농산물_11-12월'!$H:$H,'RAW_농산물_11-12월'!$D:$D,$C229,'RAW_농산물_11-12월'!$A:$A,$E229))))</f>
        <v>731663</v>
      </c>
      <c r="I229" s="17" t="str">
        <f>IF($C229="","",IF(COUNTIFS('RAW_농산물_7월'!$D:$D,$C229,'RAW_농산물_7월'!$A:$A,$E229)&gt;0,"O",""))</f>
        <v>O</v>
      </c>
      <c r="J229" s="17" t="str">
        <f>IF($C229="","",IF(COUNTIFS('RAW_농산물_8월'!$D:$D,$C229,'RAW_농산물_8월'!$A:$A,$E229)&gt;0,"O",""))</f>
        <v>O</v>
      </c>
      <c r="K229" s="17" t="str">
        <f>IF($C229="","",IF(COUNTIFS('RAW_농산물_9월'!$D:$D,$C229,'RAW_농산물_9월'!$A:$A,$E229)&gt;0,"O",""))</f>
        <v/>
      </c>
      <c r="L229" s="17" t="str">
        <f>IF($C229="","",IF(COUNTIFS('RAW_농산물_10월'!$D:$D,$C229,'RAW_농산물_10월'!$A:$A,$E229)&gt;0,"O",""))</f>
        <v/>
      </c>
      <c r="M229" s="17" t="str">
        <f>IF($C229="","",IF(COUNTIFS('RAW_농산물_11-12월'!$D:$D,$C229,'RAW_농산물_11-12월'!$A:$A,$E229)&gt;0,"O",""))</f>
        <v/>
      </c>
      <c r="N229" s="7">
        <f>IF($C229="","",IF(COUNTA('RAW_농산물_7월'!$A:$A)&lt;=1,"",SUMIFS('RAW_농산물_7월'!$H:$H,'RAW_농산물_7월'!$D:$D,$C229,'RAW_농산물_7월'!$A:$A,$E229)))</f>
        <v>302174</v>
      </c>
      <c r="O229" s="7">
        <f>IF($C229="","",IF(COUNTA('RAW_농산물_8월'!$A:$A)&lt;=1,"",SUMIFS('RAW_농산물_8월'!$H:$H,'RAW_농산물_8월'!$D:$D,$C229,'RAW_농산물_8월'!$A:$A,$E229)-SUMIFS('RAW_농산물_7월'!$H:$H,'RAW_농산물_7월'!$D:$D,$C229,'RAW_농산물_7월'!$A:$A,$E229)))</f>
        <v>429489</v>
      </c>
      <c r="P229" s="7" t="str">
        <f>IF($C229="","",IF(COUNTA('RAW_농산물_9월'!$A:$A)&lt;=1,"",SUMIFS('RAW_농산물_9월'!$H:$H,'RAW_농산물_9월'!$D:$D,$C229,'RAW_농산물_9월'!$A:$A,$E229)-SUMIFS('RAW_농산물_8월'!$H:$H,'RAW_농산물_8월'!$D:$D,$C229,'RAW_농산물_8월'!$A:$A,$E229)))</f>
        <v/>
      </c>
      <c r="Q229" s="7" t="str">
        <f>IF($C229="","",IF(COUNTA('RAW_농산물_10월'!$A:$A)&lt;=1,"",SUMIFS('RAW_농산물_10월'!$H:$H,'RAW_농산물_10월'!$D:$D,$C229,'RAW_농산물_10월'!$A:$A,$E229)-SUMIFS('RAW_농산물_9월'!$H:$H,'RAW_농산물_9월'!$D:$D,$C229,'RAW_농산물_9월'!$A:$A,$E229)))</f>
        <v/>
      </c>
      <c r="R229" s="7" t="str">
        <f>IF($C229="","",IF(COUNTA('RAW_농산물_11-12월'!$A:$A)&lt;=1,"",SUMIFS('RAW_농산물_11-12월'!$H:$H,'RAW_농산물_11-12월'!$D:$D,$C229,'RAW_농산물_11-12월'!$A:$A,$E229)-SUMIFS('RAW_농산물_10월'!$H:$H,'RAW_농산물_10월'!$D:$D,$C229,'RAW_농산물_10월'!$A:$A,$E229)))</f>
        <v/>
      </c>
      <c r="S229" s="17" t="str">
        <f t="shared" si="4"/>
        <v>O</v>
      </c>
      <c r="T229" s="17" t="str">
        <f t="shared" si="5"/>
        <v>100만원 미만</v>
      </c>
      <c r="U229" s="7">
        <f>IF($C229="",0,IF('설정'!$B$3=0,0,CHOOSE('설정'!$B$3,COUNTIFS('RAW_농산물_7월'!$D:$D,$C229,'RAW_농산물_7월'!$A:$A,$E229),COUNTIFS('RAW_농산물_8월'!$D:$D,$C229,'RAW_농산물_8월'!$A:$A,$E229),COUNTIFS('RAW_농산물_9월'!$D:$D,$C229,'RAW_농산물_9월'!$A:$A,$E229),COUNTIFS('RAW_농산물_10월'!$D:$D,$C229,'RAW_농산물_10월'!$A:$A,$E229),COUNTIFS('RAW_농산물_11-12월'!$D:$D,$C229,'RAW_농산물_11-12월'!$A:$A,$E229))))</f>
        <v>15</v>
      </c>
    </row>
    <row r="230" ht="15.75" customHeight="1">
      <c r="A230" s="5">
        <v>228.0</v>
      </c>
      <c r="B230" s="5" t="s">
        <v>145</v>
      </c>
      <c r="C230" s="5" t="s">
        <v>3020</v>
      </c>
      <c r="D230" s="6" t="s">
        <v>3021</v>
      </c>
      <c r="E230" s="5" t="s">
        <v>92</v>
      </c>
      <c r="F230" s="7">
        <f>IF($C230="","",IF('설정'!$B$3=0,"",CHOOSE('설정'!$B$3,SUMIFS('RAW_농산물_7월'!$F:$F,'RAW_농산물_7월'!$D:$D,$C230,'RAW_농산물_7월'!$A:$A,$E230),SUMIFS('RAW_농산물_8월'!$F:$F,'RAW_농산물_8월'!$D:$D,$C230,'RAW_농산물_8월'!$A:$A,$E230),SUMIFS('RAW_농산물_9월'!$F:$F,'RAW_농산물_9월'!$D:$D,$C230,'RAW_농산물_9월'!$A:$A,$E230),SUMIFS('RAW_농산물_10월'!$F:$F,'RAW_농산물_10월'!$D:$D,$C230,'RAW_농산물_10월'!$A:$A,$E230),SUMIFS('RAW_농산물_11-12월'!$F:$F,'RAW_농산물_11-12월'!$D:$D,$C230,'RAW_농산물_11-12월'!$A:$A,$E230))))</f>
        <v>0</v>
      </c>
      <c r="G230" s="7">
        <f>IF($C230="","",IF('설정'!$B$3=0,"",CHOOSE('설정'!$B$3,SUMIFS('RAW_농산물_7월'!$G:$G,'RAW_농산물_7월'!$D:$D,$C230,'RAW_농산물_7월'!$A:$A,$E230),SUMIFS('RAW_농산물_8월'!$G:$G,'RAW_농산물_8월'!$D:$D,$C230,'RAW_농산물_8월'!$A:$A,$E230),SUMIFS('RAW_농산물_9월'!$G:$G,'RAW_농산물_9월'!$D:$D,$C230,'RAW_농산물_9월'!$A:$A,$E230),SUMIFS('RAW_농산물_10월'!$G:$G,'RAW_농산물_10월'!$D:$D,$C230,'RAW_농산물_10월'!$A:$A,$E230),SUMIFS('RAW_농산물_11-12월'!$G:$G,'RAW_농산물_11-12월'!$D:$D,$C230,'RAW_농산물_11-12월'!$A:$A,$E230))))</f>
        <v>0</v>
      </c>
      <c r="H230" s="14">
        <f>IF($C230="","",IF('설정'!$B$3=0,"",CHOOSE('설정'!$B$3,SUMIFS('RAW_농산물_7월'!$H:$H,'RAW_농산물_7월'!$D:$D,$C230,'RAW_농산물_7월'!$A:$A,$E230),SUMIFS('RAW_농산물_8월'!$H:$H,'RAW_농산물_8월'!$D:$D,$C230,'RAW_농산물_8월'!$A:$A,$E230),SUMIFS('RAW_농산물_9월'!$H:$H,'RAW_농산물_9월'!$D:$D,$C230,'RAW_농산물_9월'!$A:$A,$E230),SUMIFS('RAW_농산물_10월'!$H:$H,'RAW_농산물_10월'!$D:$D,$C230,'RAW_농산물_10월'!$A:$A,$E230),SUMIFS('RAW_농산물_11-12월'!$H:$H,'RAW_농산물_11-12월'!$D:$D,$C230,'RAW_농산물_11-12월'!$A:$A,$E230))))</f>
        <v>0</v>
      </c>
      <c r="I230" s="17" t="str">
        <f>IF($C230="","",IF(COUNTIFS('RAW_농산물_7월'!$D:$D,$C230,'RAW_농산물_7월'!$A:$A,$E230)&gt;0,"O",""))</f>
        <v/>
      </c>
      <c r="J230" s="17" t="str">
        <f>IF($C230="","",IF(COUNTIFS('RAW_농산물_8월'!$D:$D,$C230,'RAW_농산물_8월'!$A:$A,$E230)&gt;0,"O",""))</f>
        <v/>
      </c>
      <c r="K230" s="17" t="str">
        <f>IF($C230="","",IF(COUNTIFS('RAW_농산물_9월'!$D:$D,$C230,'RAW_농산물_9월'!$A:$A,$E230)&gt;0,"O",""))</f>
        <v/>
      </c>
      <c r="L230" s="17" t="str">
        <f>IF($C230="","",IF(COUNTIFS('RAW_농산물_10월'!$D:$D,$C230,'RAW_농산물_10월'!$A:$A,$E230)&gt;0,"O",""))</f>
        <v/>
      </c>
      <c r="M230" s="17" t="str">
        <f>IF($C230="","",IF(COUNTIFS('RAW_농산물_11-12월'!$D:$D,$C230,'RAW_농산물_11-12월'!$A:$A,$E230)&gt;0,"O",""))</f>
        <v/>
      </c>
      <c r="N230" s="7">
        <f>IF($C230="","",IF(COUNTA('RAW_농산물_7월'!$A:$A)&lt;=1,"",SUMIFS('RAW_농산물_7월'!$H:$H,'RAW_농산물_7월'!$D:$D,$C230,'RAW_농산물_7월'!$A:$A,$E230)))</f>
        <v>0</v>
      </c>
      <c r="O230" s="7">
        <f>IF($C230="","",IF(COUNTA('RAW_농산물_8월'!$A:$A)&lt;=1,"",SUMIFS('RAW_농산물_8월'!$H:$H,'RAW_농산물_8월'!$D:$D,$C230,'RAW_농산물_8월'!$A:$A,$E230)-SUMIFS('RAW_농산물_7월'!$H:$H,'RAW_농산물_7월'!$D:$D,$C230,'RAW_농산물_7월'!$A:$A,$E230)))</f>
        <v>0</v>
      </c>
      <c r="P230" s="7" t="str">
        <f>IF($C230="","",IF(COUNTA('RAW_농산물_9월'!$A:$A)&lt;=1,"",SUMIFS('RAW_농산물_9월'!$H:$H,'RAW_농산물_9월'!$D:$D,$C230,'RAW_농산물_9월'!$A:$A,$E230)-SUMIFS('RAW_농산물_8월'!$H:$H,'RAW_농산물_8월'!$D:$D,$C230,'RAW_농산물_8월'!$A:$A,$E230)))</f>
        <v/>
      </c>
      <c r="Q230" s="7" t="str">
        <f>IF($C230="","",IF(COUNTA('RAW_농산물_10월'!$A:$A)&lt;=1,"",SUMIFS('RAW_농산물_10월'!$H:$H,'RAW_농산물_10월'!$D:$D,$C230,'RAW_농산물_10월'!$A:$A,$E230)-SUMIFS('RAW_농산물_9월'!$H:$H,'RAW_농산물_9월'!$D:$D,$C230,'RAW_농산물_9월'!$A:$A,$E230)))</f>
        <v/>
      </c>
      <c r="R230" s="7" t="str">
        <f>IF($C230="","",IF(COUNTA('RAW_농산물_11-12월'!$A:$A)&lt;=1,"",SUMIFS('RAW_농산물_11-12월'!$H:$H,'RAW_농산물_11-12월'!$D:$D,$C230,'RAW_농산물_11-12월'!$A:$A,$E230)-SUMIFS('RAW_농산물_10월'!$H:$H,'RAW_농산물_10월'!$D:$D,$C230,'RAW_농산물_10월'!$A:$A,$E230)))</f>
        <v/>
      </c>
      <c r="S230" s="17" t="str">
        <f t="shared" si="4"/>
        <v/>
      </c>
      <c r="T230" s="17" t="str">
        <f t="shared" si="5"/>
        <v>미사용</v>
      </c>
      <c r="U230" s="7">
        <f>IF($C230="",0,IF('설정'!$B$3=0,0,CHOOSE('설정'!$B$3,COUNTIFS('RAW_농산물_7월'!$D:$D,$C230,'RAW_농산물_7월'!$A:$A,$E230),COUNTIFS('RAW_농산물_8월'!$D:$D,$C230,'RAW_농산물_8월'!$A:$A,$E230),COUNTIFS('RAW_농산물_9월'!$D:$D,$C230,'RAW_농산물_9월'!$A:$A,$E230),COUNTIFS('RAW_농산물_10월'!$D:$D,$C230,'RAW_농산물_10월'!$A:$A,$E230),COUNTIFS('RAW_농산물_11-12월'!$D:$D,$C230,'RAW_농산물_11-12월'!$A:$A,$E230))))</f>
        <v>0</v>
      </c>
    </row>
    <row r="231" ht="15.75" customHeight="1">
      <c r="A231" s="5">
        <v>229.0</v>
      </c>
      <c r="B231" s="5" t="s">
        <v>25</v>
      </c>
      <c r="C231" s="5" t="s">
        <v>3022</v>
      </c>
      <c r="D231" s="6" t="s">
        <v>3023</v>
      </c>
      <c r="E231" s="5" t="s">
        <v>93</v>
      </c>
      <c r="F231" s="7">
        <f>IF($C231="","",IF('설정'!$B$3=0,"",CHOOSE('설정'!$B$3,SUMIFS('RAW_농산물_7월'!$F:$F,'RAW_농산물_7월'!$D:$D,$C231,'RAW_농산물_7월'!$A:$A,$E231),SUMIFS('RAW_농산물_8월'!$F:$F,'RAW_농산물_8월'!$D:$D,$C231,'RAW_농산물_8월'!$A:$A,$E231),SUMIFS('RAW_농산물_9월'!$F:$F,'RAW_농산물_9월'!$D:$D,$C231,'RAW_농산물_9월'!$A:$A,$E231),SUMIFS('RAW_농산물_10월'!$F:$F,'RAW_농산물_10월'!$D:$D,$C231,'RAW_농산물_10월'!$A:$A,$E231),SUMIFS('RAW_농산물_11-12월'!$F:$F,'RAW_농산물_11-12월'!$D:$D,$C231,'RAW_농산물_11-12월'!$A:$A,$E231))))</f>
        <v>0</v>
      </c>
      <c r="G231" s="7">
        <f>IF($C231="","",IF('설정'!$B$3=0,"",CHOOSE('설정'!$B$3,SUMIFS('RAW_농산물_7월'!$G:$G,'RAW_농산물_7월'!$D:$D,$C231,'RAW_농산물_7월'!$A:$A,$E231),SUMIFS('RAW_농산물_8월'!$G:$G,'RAW_농산물_8월'!$D:$D,$C231,'RAW_농산물_8월'!$A:$A,$E231),SUMIFS('RAW_농산물_9월'!$G:$G,'RAW_농산물_9월'!$D:$D,$C231,'RAW_농산물_9월'!$A:$A,$E231),SUMIFS('RAW_농산물_10월'!$G:$G,'RAW_농산물_10월'!$D:$D,$C231,'RAW_농산물_10월'!$A:$A,$E231),SUMIFS('RAW_농산물_11-12월'!$G:$G,'RAW_농산물_11-12월'!$D:$D,$C231,'RAW_농산물_11-12월'!$A:$A,$E231))))</f>
        <v>0</v>
      </c>
      <c r="H231" s="14">
        <f>IF($C231="","",IF('설정'!$B$3=0,"",CHOOSE('설정'!$B$3,SUMIFS('RAW_농산물_7월'!$H:$H,'RAW_농산물_7월'!$D:$D,$C231,'RAW_농산물_7월'!$A:$A,$E231),SUMIFS('RAW_농산물_8월'!$H:$H,'RAW_농산물_8월'!$D:$D,$C231,'RAW_농산물_8월'!$A:$A,$E231),SUMIFS('RAW_농산물_9월'!$H:$H,'RAW_농산물_9월'!$D:$D,$C231,'RAW_농산물_9월'!$A:$A,$E231),SUMIFS('RAW_농산물_10월'!$H:$H,'RAW_농산물_10월'!$D:$D,$C231,'RAW_농산물_10월'!$A:$A,$E231),SUMIFS('RAW_농산물_11-12월'!$H:$H,'RAW_농산물_11-12월'!$D:$D,$C231,'RAW_농산물_11-12월'!$A:$A,$E231))))</f>
        <v>0</v>
      </c>
      <c r="I231" s="17" t="str">
        <f>IF($C231="","",IF(COUNTIFS('RAW_농산물_7월'!$D:$D,$C231,'RAW_농산물_7월'!$A:$A,$E231)&gt;0,"O",""))</f>
        <v/>
      </c>
      <c r="J231" s="17" t="str">
        <f>IF($C231="","",IF(COUNTIFS('RAW_농산물_8월'!$D:$D,$C231,'RAW_농산물_8월'!$A:$A,$E231)&gt;0,"O",""))</f>
        <v/>
      </c>
      <c r="K231" s="17" t="str">
        <f>IF($C231="","",IF(COUNTIFS('RAW_농산물_9월'!$D:$D,$C231,'RAW_농산물_9월'!$A:$A,$E231)&gt;0,"O",""))</f>
        <v/>
      </c>
      <c r="L231" s="17" t="str">
        <f>IF($C231="","",IF(COUNTIFS('RAW_농산물_10월'!$D:$D,$C231,'RAW_농산물_10월'!$A:$A,$E231)&gt;0,"O",""))</f>
        <v/>
      </c>
      <c r="M231" s="17" t="str">
        <f>IF($C231="","",IF(COUNTIFS('RAW_농산물_11-12월'!$D:$D,$C231,'RAW_농산물_11-12월'!$A:$A,$E231)&gt;0,"O",""))</f>
        <v/>
      </c>
      <c r="N231" s="7">
        <f>IF($C231="","",IF(COUNTA('RAW_농산물_7월'!$A:$A)&lt;=1,"",SUMIFS('RAW_농산물_7월'!$H:$H,'RAW_농산물_7월'!$D:$D,$C231,'RAW_농산물_7월'!$A:$A,$E231)))</f>
        <v>0</v>
      </c>
      <c r="O231" s="7">
        <f>IF($C231="","",IF(COUNTA('RAW_농산물_8월'!$A:$A)&lt;=1,"",SUMIFS('RAW_농산물_8월'!$H:$H,'RAW_농산물_8월'!$D:$D,$C231,'RAW_농산물_8월'!$A:$A,$E231)-SUMIFS('RAW_농산물_7월'!$H:$H,'RAW_농산물_7월'!$D:$D,$C231,'RAW_농산물_7월'!$A:$A,$E231)))</f>
        <v>0</v>
      </c>
      <c r="P231" s="7" t="str">
        <f>IF($C231="","",IF(COUNTA('RAW_농산물_9월'!$A:$A)&lt;=1,"",SUMIFS('RAW_농산물_9월'!$H:$H,'RAW_농산물_9월'!$D:$D,$C231,'RAW_농산물_9월'!$A:$A,$E231)-SUMIFS('RAW_농산물_8월'!$H:$H,'RAW_농산물_8월'!$D:$D,$C231,'RAW_농산물_8월'!$A:$A,$E231)))</f>
        <v/>
      </c>
      <c r="Q231" s="7" t="str">
        <f>IF($C231="","",IF(COUNTA('RAW_농산물_10월'!$A:$A)&lt;=1,"",SUMIFS('RAW_농산물_10월'!$H:$H,'RAW_농산물_10월'!$D:$D,$C231,'RAW_농산물_10월'!$A:$A,$E231)-SUMIFS('RAW_농산물_9월'!$H:$H,'RAW_농산물_9월'!$D:$D,$C231,'RAW_농산물_9월'!$A:$A,$E231)))</f>
        <v/>
      </c>
      <c r="R231" s="7" t="str">
        <f>IF($C231="","",IF(COUNTA('RAW_농산물_11-12월'!$A:$A)&lt;=1,"",SUMIFS('RAW_농산물_11-12월'!$H:$H,'RAW_농산물_11-12월'!$D:$D,$C231,'RAW_농산물_11-12월'!$A:$A,$E231)-SUMIFS('RAW_농산물_10월'!$H:$H,'RAW_농산물_10월'!$D:$D,$C231,'RAW_농산물_10월'!$A:$A,$E231)))</f>
        <v/>
      </c>
      <c r="S231" s="17" t="str">
        <f t="shared" si="4"/>
        <v/>
      </c>
      <c r="T231" s="17" t="str">
        <f t="shared" si="5"/>
        <v>미사용</v>
      </c>
      <c r="U231" s="7">
        <f>IF($C231="",0,IF('설정'!$B$3=0,0,CHOOSE('설정'!$B$3,COUNTIFS('RAW_농산물_7월'!$D:$D,$C231,'RAW_농산물_7월'!$A:$A,$E231),COUNTIFS('RAW_농산물_8월'!$D:$D,$C231,'RAW_농산물_8월'!$A:$A,$E231),COUNTIFS('RAW_농산물_9월'!$D:$D,$C231,'RAW_농산물_9월'!$A:$A,$E231),COUNTIFS('RAW_농산물_10월'!$D:$D,$C231,'RAW_농산물_10월'!$A:$A,$E231),COUNTIFS('RAW_농산물_11-12월'!$D:$D,$C231,'RAW_농산물_11-12월'!$A:$A,$E231))))</f>
        <v>0</v>
      </c>
    </row>
    <row r="232" ht="15.75" customHeight="1">
      <c r="A232" s="5">
        <v>230.0</v>
      </c>
      <c r="B232" s="5" t="s">
        <v>25</v>
      </c>
      <c r="C232" s="5" t="s">
        <v>355</v>
      </c>
      <c r="D232" s="6" t="s">
        <v>354</v>
      </c>
      <c r="E232" s="5" t="s">
        <v>92</v>
      </c>
      <c r="F232" s="7">
        <f>IF($C232="","",IF('설정'!$B$3=0,"",CHOOSE('설정'!$B$3,SUMIFS('RAW_농산물_7월'!$F:$F,'RAW_농산물_7월'!$D:$D,$C232,'RAW_농산물_7월'!$A:$A,$E232),SUMIFS('RAW_농산물_8월'!$F:$F,'RAW_농산물_8월'!$D:$D,$C232,'RAW_농산물_8월'!$A:$A,$E232),SUMIFS('RAW_농산물_9월'!$F:$F,'RAW_농산물_9월'!$D:$D,$C232,'RAW_농산물_9월'!$A:$A,$E232),SUMIFS('RAW_농산물_10월'!$F:$F,'RAW_농산물_10월'!$D:$D,$C232,'RAW_농산물_10월'!$A:$A,$E232),SUMIFS('RAW_농산물_11-12월'!$F:$F,'RAW_농산물_11-12월'!$D:$D,$C232,'RAW_농산물_11-12월'!$A:$A,$E232))))</f>
        <v>156</v>
      </c>
      <c r="G232" s="7">
        <f>IF($C232="","",IF('설정'!$B$3=0,"",CHOOSE('설정'!$B$3,SUMIFS('RAW_농산물_7월'!$G:$G,'RAW_농산물_7월'!$D:$D,$C232,'RAW_농산물_7월'!$A:$A,$E232),SUMIFS('RAW_농산물_8월'!$G:$G,'RAW_농산물_8월'!$D:$D,$C232,'RAW_농산물_8월'!$A:$A,$E232),SUMIFS('RAW_농산물_9월'!$G:$G,'RAW_농산물_9월'!$D:$D,$C232,'RAW_농산물_9월'!$A:$A,$E232),SUMIFS('RAW_농산물_10월'!$G:$G,'RAW_농산물_10월'!$D:$D,$C232,'RAW_농산물_10월'!$A:$A,$E232),SUMIFS('RAW_농산물_11-12월'!$G:$G,'RAW_농산물_11-12월'!$D:$D,$C232,'RAW_농산물_11-12월'!$A:$A,$E232))))</f>
        <v>4832700</v>
      </c>
      <c r="H232" s="14">
        <f>IF($C232="","",IF('설정'!$B$3=0,"",CHOOSE('설정'!$B$3,SUMIFS('RAW_농산물_7월'!$H:$H,'RAW_농산물_7월'!$D:$D,$C232,'RAW_농산물_7월'!$A:$A,$E232),SUMIFS('RAW_농산물_8월'!$H:$H,'RAW_농산물_8월'!$D:$D,$C232,'RAW_농산물_8월'!$A:$A,$E232),SUMIFS('RAW_농산물_9월'!$H:$H,'RAW_농산물_9월'!$D:$D,$C232,'RAW_농산물_9월'!$A:$A,$E232),SUMIFS('RAW_농산물_10월'!$H:$H,'RAW_농산물_10월'!$D:$D,$C232,'RAW_농산물_10월'!$A:$A,$E232),SUMIFS('RAW_농산물_11-12월'!$H:$H,'RAW_농산물_11-12월'!$D:$D,$C232,'RAW_농산물_11-12월'!$A:$A,$E232))))</f>
        <v>338510</v>
      </c>
      <c r="I232" s="17" t="str">
        <f>IF($C232="","",IF(COUNTIFS('RAW_농산물_7월'!$D:$D,$C232,'RAW_농산물_7월'!$A:$A,$E232)&gt;0,"O",""))</f>
        <v>O</v>
      </c>
      <c r="J232" s="17" t="str">
        <f>IF($C232="","",IF(COUNTIFS('RAW_농산물_8월'!$D:$D,$C232,'RAW_농산물_8월'!$A:$A,$E232)&gt;0,"O",""))</f>
        <v>O</v>
      </c>
      <c r="K232" s="17" t="str">
        <f>IF($C232="","",IF(COUNTIFS('RAW_농산물_9월'!$D:$D,$C232,'RAW_농산물_9월'!$A:$A,$E232)&gt;0,"O",""))</f>
        <v/>
      </c>
      <c r="L232" s="17" t="str">
        <f>IF($C232="","",IF(COUNTIFS('RAW_농산물_10월'!$D:$D,$C232,'RAW_농산물_10월'!$A:$A,$E232)&gt;0,"O",""))</f>
        <v/>
      </c>
      <c r="M232" s="17" t="str">
        <f>IF($C232="","",IF(COUNTIFS('RAW_농산물_11-12월'!$D:$D,$C232,'RAW_농산물_11-12월'!$A:$A,$E232)&gt;0,"O",""))</f>
        <v/>
      </c>
      <c r="N232" s="7">
        <f>IF($C232="","",IF(COUNTA('RAW_농산물_7월'!$A:$A)&lt;=1,"",SUMIFS('RAW_농산물_7월'!$H:$H,'RAW_농산물_7월'!$D:$D,$C232,'RAW_농산물_7월'!$A:$A,$E232)))</f>
        <v>270550</v>
      </c>
      <c r="O232" s="7">
        <f>IF($C232="","",IF(COUNTA('RAW_농산물_8월'!$A:$A)&lt;=1,"",SUMIFS('RAW_농산물_8월'!$H:$H,'RAW_농산물_8월'!$D:$D,$C232,'RAW_농산물_8월'!$A:$A,$E232)-SUMIFS('RAW_농산물_7월'!$H:$H,'RAW_농산물_7월'!$D:$D,$C232,'RAW_농산물_7월'!$A:$A,$E232)))</f>
        <v>67960</v>
      </c>
      <c r="P232" s="7" t="str">
        <f>IF($C232="","",IF(COUNTA('RAW_농산물_9월'!$A:$A)&lt;=1,"",SUMIFS('RAW_농산물_9월'!$H:$H,'RAW_농산물_9월'!$D:$D,$C232,'RAW_농산물_9월'!$A:$A,$E232)-SUMIFS('RAW_농산물_8월'!$H:$H,'RAW_농산물_8월'!$D:$D,$C232,'RAW_농산물_8월'!$A:$A,$E232)))</f>
        <v/>
      </c>
      <c r="Q232" s="7" t="str">
        <f>IF($C232="","",IF(COUNTA('RAW_농산물_10월'!$A:$A)&lt;=1,"",SUMIFS('RAW_농산물_10월'!$H:$H,'RAW_농산물_10월'!$D:$D,$C232,'RAW_농산물_10월'!$A:$A,$E232)-SUMIFS('RAW_농산물_9월'!$H:$H,'RAW_농산물_9월'!$D:$D,$C232,'RAW_농산물_9월'!$A:$A,$E232)))</f>
        <v/>
      </c>
      <c r="R232" s="7" t="str">
        <f>IF($C232="","",IF(COUNTA('RAW_농산물_11-12월'!$A:$A)&lt;=1,"",SUMIFS('RAW_농산물_11-12월'!$H:$H,'RAW_농산물_11-12월'!$D:$D,$C232,'RAW_농산물_11-12월'!$A:$A,$E232)-SUMIFS('RAW_농산물_10월'!$H:$H,'RAW_농산물_10월'!$D:$D,$C232,'RAW_농산물_10월'!$A:$A,$E232)))</f>
        <v/>
      </c>
      <c r="S232" s="17" t="str">
        <f t="shared" si="4"/>
        <v>O</v>
      </c>
      <c r="T232" s="17" t="str">
        <f t="shared" si="5"/>
        <v>50만원 미만</v>
      </c>
      <c r="U232" s="7">
        <f>IF($C232="",0,IF('설정'!$B$3=0,0,CHOOSE('설정'!$B$3,COUNTIFS('RAW_농산물_7월'!$D:$D,$C232,'RAW_농산물_7월'!$A:$A,$E232),COUNTIFS('RAW_농산물_8월'!$D:$D,$C232,'RAW_농산물_8월'!$A:$A,$E232),COUNTIFS('RAW_농산물_9월'!$D:$D,$C232,'RAW_농산물_9월'!$A:$A,$E232),COUNTIFS('RAW_농산물_10월'!$D:$D,$C232,'RAW_농산물_10월'!$A:$A,$E232),COUNTIFS('RAW_농산물_11-12월'!$D:$D,$C232,'RAW_농산물_11-12월'!$A:$A,$E232))))</f>
        <v>3</v>
      </c>
    </row>
    <row r="233" ht="15.75" customHeight="1">
      <c r="A233" s="5">
        <v>231.0</v>
      </c>
      <c r="B233" s="5" t="s">
        <v>145</v>
      </c>
      <c r="C233" s="5" t="s">
        <v>1570</v>
      </c>
      <c r="D233" s="6" t="s">
        <v>1569</v>
      </c>
      <c r="E233" s="5" t="s">
        <v>93</v>
      </c>
      <c r="F233" s="7">
        <f>IF($C233="","",IF('설정'!$B$3=0,"",CHOOSE('설정'!$B$3,SUMIFS('RAW_농산물_7월'!$F:$F,'RAW_농산물_7월'!$D:$D,$C233,'RAW_농산물_7월'!$A:$A,$E233),SUMIFS('RAW_농산물_8월'!$F:$F,'RAW_농산물_8월'!$D:$D,$C233,'RAW_농산물_8월'!$A:$A,$E233),SUMIFS('RAW_농산물_9월'!$F:$F,'RAW_농산물_9월'!$D:$D,$C233,'RAW_농산물_9월'!$A:$A,$E233),SUMIFS('RAW_농산물_10월'!$F:$F,'RAW_농산물_10월'!$D:$D,$C233,'RAW_농산물_10월'!$A:$A,$E233),SUMIFS('RAW_농산물_11-12월'!$F:$F,'RAW_농산물_11-12월'!$D:$D,$C233,'RAW_농산물_11-12월'!$A:$A,$E233))))</f>
        <v>17</v>
      </c>
      <c r="G233" s="7">
        <f>IF($C233="","",IF('설정'!$B$3=0,"",CHOOSE('설정'!$B$3,SUMIFS('RAW_농산물_7월'!$G:$G,'RAW_농산물_7월'!$D:$D,$C233,'RAW_농산물_7월'!$A:$A,$E233),SUMIFS('RAW_농산물_8월'!$G:$G,'RAW_농산물_8월'!$D:$D,$C233,'RAW_농산물_8월'!$A:$A,$E233),SUMIFS('RAW_농산물_9월'!$G:$G,'RAW_농산물_9월'!$D:$D,$C233,'RAW_농산물_9월'!$A:$A,$E233),SUMIFS('RAW_농산물_10월'!$G:$G,'RAW_농산물_10월'!$D:$D,$C233,'RAW_농산물_10월'!$A:$A,$E233),SUMIFS('RAW_농산물_11-12월'!$G:$G,'RAW_농산물_11-12월'!$D:$D,$C233,'RAW_농산물_11-12월'!$A:$A,$E233))))</f>
        <v>324000</v>
      </c>
      <c r="H233" s="14">
        <f>IF($C233="","",IF('설정'!$B$3=0,"",CHOOSE('설정'!$B$3,SUMIFS('RAW_농산물_7월'!$H:$H,'RAW_농산물_7월'!$D:$D,$C233,'RAW_농산물_7월'!$A:$A,$E233),SUMIFS('RAW_농산물_8월'!$H:$H,'RAW_농산물_8월'!$D:$D,$C233,'RAW_농산물_8월'!$A:$A,$E233),SUMIFS('RAW_농산물_9월'!$H:$H,'RAW_농산물_9월'!$D:$D,$C233,'RAW_농산물_9월'!$A:$A,$E233),SUMIFS('RAW_농산물_10월'!$H:$H,'RAW_농산물_10월'!$D:$D,$C233,'RAW_농산물_10월'!$A:$A,$E233),SUMIFS('RAW_농산물_11-12월'!$H:$H,'RAW_농산물_11-12월'!$D:$D,$C233,'RAW_농산물_11-12월'!$A:$A,$E233))))</f>
        <v>0</v>
      </c>
      <c r="I233" s="17" t="str">
        <f>IF($C233="","",IF(COUNTIFS('RAW_농산물_7월'!$D:$D,$C233,'RAW_농산물_7월'!$A:$A,$E233)&gt;0,"O",""))</f>
        <v>O</v>
      </c>
      <c r="J233" s="17" t="str">
        <f>IF($C233="","",IF(COUNTIFS('RAW_농산물_8월'!$D:$D,$C233,'RAW_농산물_8월'!$A:$A,$E233)&gt;0,"O",""))</f>
        <v>O</v>
      </c>
      <c r="K233" s="17" t="str">
        <f>IF($C233="","",IF(COUNTIFS('RAW_농산물_9월'!$D:$D,$C233,'RAW_농산물_9월'!$A:$A,$E233)&gt;0,"O",""))</f>
        <v/>
      </c>
      <c r="L233" s="17" t="str">
        <f>IF($C233="","",IF(COUNTIFS('RAW_농산물_10월'!$D:$D,$C233,'RAW_농산물_10월'!$A:$A,$E233)&gt;0,"O",""))</f>
        <v/>
      </c>
      <c r="M233" s="17" t="str">
        <f>IF($C233="","",IF(COUNTIFS('RAW_농산물_11-12월'!$D:$D,$C233,'RAW_농산물_11-12월'!$A:$A,$E233)&gt;0,"O",""))</f>
        <v/>
      </c>
      <c r="N233" s="7">
        <f>IF($C233="","",IF(COUNTA('RAW_농산물_7월'!$A:$A)&lt;=1,"",SUMIFS('RAW_농산물_7월'!$H:$H,'RAW_농산물_7월'!$D:$D,$C233,'RAW_농산물_7월'!$A:$A,$E233)))</f>
        <v>0</v>
      </c>
      <c r="O233" s="7">
        <f>IF($C233="","",IF(COUNTA('RAW_농산물_8월'!$A:$A)&lt;=1,"",SUMIFS('RAW_농산물_8월'!$H:$H,'RAW_농산물_8월'!$D:$D,$C233,'RAW_농산물_8월'!$A:$A,$E233)-SUMIFS('RAW_농산물_7월'!$H:$H,'RAW_농산물_7월'!$D:$D,$C233,'RAW_농산물_7월'!$A:$A,$E233)))</f>
        <v>0</v>
      </c>
      <c r="P233" s="7" t="str">
        <f>IF($C233="","",IF(COUNTA('RAW_농산물_9월'!$A:$A)&lt;=1,"",SUMIFS('RAW_농산물_9월'!$H:$H,'RAW_농산물_9월'!$D:$D,$C233,'RAW_농산물_9월'!$A:$A,$E233)-SUMIFS('RAW_농산물_8월'!$H:$H,'RAW_농산물_8월'!$D:$D,$C233,'RAW_농산물_8월'!$A:$A,$E233)))</f>
        <v/>
      </c>
      <c r="Q233" s="7" t="str">
        <f>IF($C233="","",IF(COUNTA('RAW_농산물_10월'!$A:$A)&lt;=1,"",SUMIFS('RAW_농산물_10월'!$H:$H,'RAW_농산물_10월'!$D:$D,$C233,'RAW_농산물_10월'!$A:$A,$E233)-SUMIFS('RAW_농산물_9월'!$H:$H,'RAW_농산물_9월'!$D:$D,$C233,'RAW_농산물_9월'!$A:$A,$E233)))</f>
        <v/>
      </c>
      <c r="R233" s="7" t="str">
        <f>IF($C233="","",IF(COUNTA('RAW_농산물_11-12월'!$A:$A)&lt;=1,"",SUMIFS('RAW_농산물_11-12월'!$H:$H,'RAW_농산물_11-12월'!$D:$D,$C233,'RAW_농산물_11-12월'!$A:$A,$E233)-SUMIFS('RAW_농산물_10월'!$H:$H,'RAW_농산물_10월'!$D:$D,$C233,'RAW_농산물_10월'!$A:$A,$E233)))</f>
        <v/>
      </c>
      <c r="S233" s="17" t="str">
        <f t="shared" si="4"/>
        <v>O</v>
      </c>
      <c r="T233" s="17" t="str">
        <f t="shared" si="5"/>
        <v>미사용</v>
      </c>
      <c r="U233" s="7">
        <f>IF($C233="",0,IF('설정'!$B$3=0,0,CHOOSE('설정'!$B$3,COUNTIFS('RAW_농산물_7월'!$D:$D,$C233,'RAW_농산물_7월'!$A:$A,$E233),COUNTIFS('RAW_농산물_8월'!$D:$D,$C233,'RAW_농산물_8월'!$A:$A,$E233),COUNTIFS('RAW_농산물_9월'!$D:$D,$C233,'RAW_농산물_9월'!$A:$A,$E233),COUNTIFS('RAW_농산물_10월'!$D:$D,$C233,'RAW_농산물_10월'!$A:$A,$E233),COUNTIFS('RAW_농산물_11-12월'!$D:$D,$C233,'RAW_농산물_11-12월'!$A:$A,$E233))))</f>
        <v>8</v>
      </c>
    </row>
    <row r="234" ht="15.75" customHeight="1">
      <c r="A234" s="5">
        <v>232.0</v>
      </c>
      <c r="B234" s="5" t="s">
        <v>25</v>
      </c>
      <c r="C234" s="5" t="s">
        <v>3024</v>
      </c>
      <c r="D234" s="6" t="s">
        <v>3025</v>
      </c>
      <c r="E234" s="5" t="s">
        <v>28</v>
      </c>
      <c r="F234" s="7">
        <f>IF($C234="","",IF('설정'!$B$3=0,"",CHOOSE('설정'!$B$3,SUMIFS('RAW_농산물_7월'!$F:$F,'RAW_농산물_7월'!$D:$D,$C234,'RAW_농산물_7월'!$A:$A,$E234),SUMIFS('RAW_농산물_8월'!$F:$F,'RAW_농산물_8월'!$D:$D,$C234,'RAW_농산물_8월'!$A:$A,$E234),SUMIFS('RAW_농산물_9월'!$F:$F,'RAW_농산물_9월'!$D:$D,$C234,'RAW_농산물_9월'!$A:$A,$E234),SUMIFS('RAW_농산물_10월'!$F:$F,'RAW_농산물_10월'!$D:$D,$C234,'RAW_농산물_10월'!$A:$A,$E234),SUMIFS('RAW_농산물_11-12월'!$F:$F,'RAW_농산물_11-12월'!$D:$D,$C234,'RAW_농산물_11-12월'!$A:$A,$E234))))</f>
        <v>0</v>
      </c>
      <c r="G234" s="7">
        <f>IF($C234="","",IF('설정'!$B$3=0,"",CHOOSE('설정'!$B$3,SUMIFS('RAW_농산물_7월'!$G:$G,'RAW_농산물_7월'!$D:$D,$C234,'RAW_농산물_7월'!$A:$A,$E234),SUMIFS('RAW_농산물_8월'!$G:$G,'RAW_농산물_8월'!$D:$D,$C234,'RAW_농산물_8월'!$A:$A,$E234),SUMIFS('RAW_농산물_9월'!$G:$G,'RAW_농산물_9월'!$D:$D,$C234,'RAW_농산물_9월'!$A:$A,$E234),SUMIFS('RAW_농산물_10월'!$G:$G,'RAW_농산물_10월'!$D:$D,$C234,'RAW_농산물_10월'!$A:$A,$E234),SUMIFS('RAW_농산물_11-12월'!$G:$G,'RAW_농산물_11-12월'!$D:$D,$C234,'RAW_농산물_11-12월'!$A:$A,$E234))))</f>
        <v>0</v>
      </c>
      <c r="H234" s="14">
        <f>IF($C234="","",IF('설정'!$B$3=0,"",CHOOSE('설정'!$B$3,SUMIFS('RAW_농산물_7월'!$H:$H,'RAW_농산물_7월'!$D:$D,$C234,'RAW_농산물_7월'!$A:$A,$E234),SUMIFS('RAW_농산물_8월'!$H:$H,'RAW_농산물_8월'!$D:$D,$C234,'RAW_농산물_8월'!$A:$A,$E234),SUMIFS('RAW_농산물_9월'!$H:$H,'RAW_농산물_9월'!$D:$D,$C234,'RAW_농산물_9월'!$A:$A,$E234),SUMIFS('RAW_농산물_10월'!$H:$H,'RAW_농산물_10월'!$D:$D,$C234,'RAW_농산물_10월'!$A:$A,$E234),SUMIFS('RAW_농산물_11-12월'!$H:$H,'RAW_농산물_11-12월'!$D:$D,$C234,'RAW_농산물_11-12월'!$A:$A,$E234))))</f>
        <v>0</v>
      </c>
      <c r="I234" s="17" t="str">
        <f>IF($C234="","",IF(COUNTIFS('RAW_농산물_7월'!$D:$D,$C234,'RAW_농산물_7월'!$A:$A,$E234)&gt;0,"O",""))</f>
        <v/>
      </c>
      <c r="J234" s="17" t="str">
        <f>IF($C234="","",IF(COUNTIFS('RAW_농산물_8월'!$D:$D,$C234,'RAW_농산물_8월'!$A:$A,$E234)&gt;0,"O",""))</f>
        <v/>
      </c>
      <c r="K234" s="17" t="str">
        <f>IF($C234="","",IF(COUNTIFS('RAW_농산물_9월'!$D:$D,$C234,'RAW_농산물_9월'!$A:$A,$E234)&gt;0,"O",""))</f>
        <v/>
      </c>
      <c r="L234" s="17" t="str">
        <f>IF($C234="","",IF(COUNTIFS('RAW_농산물_10월'!$D:$D,$C234,'RAW_농산물_10월'!$A:$A,$E234)&gt;0,"O",""))</f>
        <v/>
      </c>
      <c r="M234" s="17" t="str">
        <f>IF($C234="","",IF(COUNTIFS('RAW_농산물_11-12월'!$D:$D,$C234,'RAW_농산물_11-12월'!$A:$A,$E234)&gt;0,"O",""))</f>
        <v/>
      </c>
      <c r="N234" s="7">
        <f>IF($C234="","",IF(COUNTA('RAW_농산물_7월'!$A:$A)&lt;=1,"",SUMIFS('RAW_농산물_7월'!$H:$H,'RAW_농산물_7월'!$D:$D,$C234,'RAW_농산물_7월'!$A:$A,$E234)))</f>
        <v>0</v>
      </c>
      <c r="O234" s="7">
        <f>IF($C234="","",IF(COUNTA('RAW_농산물_8월'!$A:$A)&lt;=1,"",SUMIFS('RAW_농산물_8월'!$H:$H,'RAW_농산물_8월'!$D:$D,$C234,'RAW_농산물_8월'!$A:$A,$E234)-SUMIFS('RAW_농산물_7월'!$H:$H,'RAW_농산물_7월'!$D:$D,$C234,'RAW_농산물_7월'!$A:$A,$E234)))</f>
        <v>0</v>
      </c>
      <c r="P234" s="7" t="str">
        <f>IF($C234="","",IF(COUNTA('RAW_농산물_9월'!$A:$A)&lt;=1,"",SUMIFS('RAW_농산물_9월'!$H:$H,'RAW_농산물_9월'!$D:$D,$C234,'RAW_농산물_9월'!$A:$A,$E234)-SUMIFS('RAW_농산물_8월'!$H:$H,'RAW_농산물_8월'!$D:$D,$C234,'RAW_농산물_8월'!$A:$A,$E234)))</f>
        <v/>
      </c>
      <c r="Q234" s="7" t="str">
        <f>IF($C234="","",IF(COUNTA('RAW_농산물_10월'!$A:$A)&lt;=1,"",SUMIFS('RAW_농산물_10월'!$H:$H,'RAW_농산물_10월'!$D:$D,$C234,'RAW_농산물_10월'!$A:$A,$E234)-SUMIFS('RAW_농산물_9월'!$H:$H,'RAW_농산물_9월'!$D:$D,$C234,'RAW_농산물_9월'!$A:$A,$E234)))</f>
        <v/>
      </c>
      <c r="R234" s="7" t="str">
        <f>IF($C234="","",IF(COUNTA('RAW_농산물_11-12월'!$A:$A)&lt;=1,"",SUMIFS('RAW_농산물_11-12월'!$H:$H,'RAW_농산물_11-12월'!$D:$D,$C234,'RAW_농산물_11-12월'!$A:$A,$E234)-SUMIFS('RAW_농산물_10월'!$H:$H,'RAW_농산물_10월'!$D:$D,$C234,'RAW_농산물_10월'!$A:$A,$E234)))</f>
        <v/>
      </c>
      <c r="S234" s="17" t="str">
        <f t="shared" si="4"/>
        <v/>
      </c>
      <c r="T234" s="17" t="str">
        <f t="shared" si="5"/>
        <v>미사용</v>
      </c>
      <c r="U234" s="7">
        <f>IF($C234="",0,IF('설정'!$B$3=0,0,CHOOSE('설정'!$B$3,COUNTIFS('RAW_농산물_7월'!$D:$D,$C234,'RAW_농산물_7월'!$A:$A,$E234),COUNTIFS('RAW_농산물_8월'!$D:$D,$C234,'RAW_농산물_8월'!$A:$A,$E234),COUNTIFS('RAW_농산물_9월'!$D:$D,$C234,'RAW_농산물_9월'!$A:$A,$E234),COUNTIFS('RAW_농산물_10월'!$D:$D,$C234,'RAW_농산물_10월'!$A:$A,$E234),COUNTIFS('RAW_농산물_11-12월'!$D:$D,$C234,'RAW_농산물_11-12월'!$A:$A,$E234))))</f>
        <v>0</v>
      </c>
    </row>
    <row r="235" ht="15.75" customHeight="1">
      <c r="A235" s="5">
        <v>233.0</v>
      </c>
      <c r="B235" s="5" t="s">
        <v>25</v>
      </c>
      <c r="C235" s="5" t="s">
        <v>3026</v>
      </c>
      <c r="D235" s="6" t="s">
        <v>3027</v>
      </c>
      <c r="E235" s="5" t="s">
        <v>92</v>
      </c>
      <c r="F235" s="7">
        <f>IF($C235="","",IF('설정'!$B$3=0,"",CHOOSE('설정'!$B$3,SUMIFS('RAW_농산물_7월'!$F:$F,'RAW_농산물_7월'!$D:$D,$C235,'RAW_농산물_7월'!$A:$A,$E235),SUMIFS('RAW_농산물_8월'!$F:$F,'RAW_농산물_8월'!$D:$D,$C235,'RAW_농산물_8월'!$A:$A,$E235),SUMIFS('RAW_농산물_9월'!$F:$F,'RAW_농산물_9월'!$D:$D,$C235,'RAW_농산물_9월'!$A:$A,$E235),SUMIFS('RAW_농산물_10월'!$F:$F,'RAW_농산물_10월'!$D:$D,$C235,'RAW_농산물_10월'!$A:$A,$E235),SUMIFS('RAW_농산물_11-12월'!$F:$F,'RAW_농산물_11-12월'!$D:$D,$C235,'RAW_농산물_11-12월'!$A:$A,$E235))))</f>
        <v>0</v>
      </c>
      <c r="G235" s="7">
        <f>IF($C235="","",IF('설정'!$B$3=0,"",CHOOSE('설정'!$B$3,SUMIFS('RAW_농산물_7월'!$G:$G,'RAW_농산물_7월'!$D:$D,$C235,'RAW_농산물_7월'!$A:$A,$E235),SUMIFS('RAW_농산물_8월'!$G:$G,'RAW_농산물_8월'!$D:$D,$C235,'RAW_농산물_8월'!$A:$A,$E235),SUMIFS('RAW_농산물_9월'!$G:$G,'RAW_농산물_9월'!$D:$D,$C235,'RAW_농산물_9월'!$A:$A,$E235),SUMIFS('RAW_농산물_10월'!$G:$G,'RAW_농산물_10월'!$D:$D,$C235,'RAW_농산물_10월'!$A:$A,$E235),SUMIFS('RAW_농산물_11-12월'!$G:$G,'RAW_농산물_11-12월'!$D:$D,$C235,'RAW_농산물_11-12월'!$A:$A,$E235))))</f>
        <v>0</v>
      </c>
      <c r="H235" s="14">
        <f>IF($C235="","",IF('설정'!$B$3=0,"",CHOOSE('설정'!$B$3,SUMIFS('RAW_농산물_7월'!$H:$H,'RAW_농산물_7월'!$D:$D,$C235,'RAW_농산물_7월'!$A:$A,$E235),SUMIFS('RAW_농산물_8월'!$H:$H,'RAW_농산물_8월'!$D:$D,$C235,'RAW_농산물_8월'!$A:$A,$E235),SUMIFS('RAW_농산물_9월'!$H:$H,'RAW_농산물_9월'!$D:$D,$C235,'RAW_농산물_9월'!$A:$A,$E235),SUMIFS('RAW_농산물_10월'!$H:$H,'RAW_농산물_10월'!$D:$D,$C235,'RAW_농산물_10월'!$A:$A,$E235),SUMIFS('RAW_농산물_11-12월'!$H:$H,'RAW_농산물_11-12월'!$D:$D,$C235,'RAW_농산물_11-12월'!$A:$A,$E235))))</f>
        <v>0</v>
      </c>
      <c r="I235" s="17" t="str">
        <f>IF($C235="","",IF(COUNTIFS('RAW_농산물_7월'!$D:$D,$C235,'RAW_농산물_7월'!$A:$A,$E235)&gt;0,"O",""))</f>
        <v/>
      </c>
      <c r="J235" s="17" t="str">
        <f>IF($C235="","",IF(COUNTIFS('RAW_농산물_8월'!$D:$D,$C235,'RAW_농산물_8월'!$A:$A,$E235)&gt;0,"O",""))</f>
        <v/>
      </c>
      <c r="K235" s="17" t="str">
        <f>IF($C235="","",IF(COUNTIFS('RAW_농산물_9월'!$D:$D,$C235,'RAW_농산물_9월'!$A:$A,$E235)&gt;0,"O",""))</f>
        <v/>
      </c>
      <c r="L235" s="17" t="str">
        <f>IF($C235="","",IF(COUNTIFS('RAW_농산물_10월'!$D:$D,$C235,'RAW_농산물_10월'!$A:$A,$E235)&gt;0,"O",""))</f>
        <v/>
      </c>
      <c r="M235" s="17" t="str">
        <f>IF($C235="","",IF(COUNTIFS('RAW_농산물_11-12월'!$D:$D,$C235,'RAW_농산물_11-12월'!$A:$A,$E235)&gt;0,"O",""))</f>
        <v/>
      </c>
      <c r="N235" s="7">
        <f>IF($C235="","",IF(COUNTA('RAW_농산물_7월'!$A:$A)&lt;=1,"",SUMIFS('RAW_농산물_7월'!$H:$H,'RAW_농산물_7월'!$D:$D,$C235,'RAW_농산물_7월'!$A:$A,$E235)))</f>
        <v>0</v>
      </c>
      <c r="O235" s="7">
        <f>IF($C235="","",IF(COUNTA('RAW_농산물_8월'!$A:$A)&lt;=1,"",SUMIFS('RAW_농산물_8월'!$H:$H,'RAW_농산물_8월'!$D:$D,$C235,'RAW_농산물_8월'!$A:$A,$E235)-SUMIFS('RAW_농산물_7월'!$H:$H,'RAW_농산물_7월'!$D:$D,$C235,'RAW_농산물_7월'!$A:$A,$E235)))</f>
        <v>0</v>
      </c>
      <c r="P235" s="7" t="str">
        <f>IF($C235="","",IF(COUNTA('RAW_농산물_9월'!$A:$A)&lt;=1,"",SUMIFS('RAW_농산물_9월'!$H:$H,'RAW_농산물_9월'!$D:$D,$C235,'RAW_농산물_9월'!$A:$A,$E235)-SUMIFS('RAW_농산물_8월'!$H:$H,'RAW_농산물_8월'!$D:$D,$C235,'RAW_농산물_8월'!$A:$A,$E235)))</f>
        <v/>
      </c>
      <c r="Q235" s="7" t="str">
        <f>IF($C235="","",IF(COUNTA('RAW_농산물_10월'!$A:$A)&lt;=1,"",SUMIFS('RAW_농산물_10월'!$H:$H,'RAW_농산물_10월'!$D:$D,$C235,'RAW_농산물_10월'!$A:$A,$E235)-SUMIFS('RAW_농산물_9월'!$H:$H,'RAW_농산물_9월'!$D:$D,$C235,'RAW_농산물_9월'!$A:$A,$E235)))</f>
        <v/>
      </c>
      <c r="R235" s="7" t="str">
        <f>IF($C235="","",IF(COUNTA('RAW_농산물_11-12월'!$A:$A)&lt;=1,"",SUMIFS('RAW_농산물_11-12월'!$H:$H,'RAW_농산물_11-12월'!$D:$D,$C235,'RAW_농산물_11-12월'!$A:$A,$E235)-SUMIFS('RAW_농산물_10월'!$H:$H,'RAW_농산물_10월'!$D:$D,$C235,'RAW_농산물_10월'!$A:$A,$E235)))</f>
        <v/>
      </c>
      <c r="S235" s="17" t="str">
        <f t="shared" si="4"/>
        <v/>
      </c>
      <c r="T235" s="17" t="str">
        <f t="shared" si="5"/>
        <v>미사용</v>
      </c>
      <c r="U235" s="7">
        <f>IF($C235="",0,IF('설정'!$B$3=0,0,CHOOSE('설정'!$B$3,COUNTIFS('RAW_농산물_7월'!$D:$D,$C235,'RAW_농산물_7월'!$A:$A,$E235),COUNTIFS('RAW_농산물_8월'!$D:$D,$C235,'RAW_농산물_8월'!$A:$A,$E235),COUNTIFS('RAW_농산물_9월'!$D:$D,$C235,'RAW_농산물_9월'!$A:$A,$E235),COUNTIFS('RAW_농산물_10월'!$D:$D,$C235,'RAW_농산물_10월'!$A:$A,$E235),COUNTIFS('RAW_농산물_11-12월'!$D:$D,$C235,'RAW_농산물_11-12월'!$A:$A,$E235))))</f>
        <v>0</v>
      </c>
    </row>
    <row r="236" ht="15.75" customHeight="1">
      <c r="A236" s="5">
        <v>234.0</v>
      </c>
      <c r="B236" s="5" t="s">
        <v>25</v>
      </c>
      <c r="C236" s="5" t="s">
        <v>1057</v>
      </c>
      <c r="D236" s="6" t="s">
        <v>1056</v>
      </c>
      <c r="E236" s="5" t="s">
        <v>28</v>
      </c>
      <c r="F236" s="7">
        <f>IF($C236="","",IF('설정'!$B$3=0,"",CHOOSE('설정'!$B$3,SUMIFS('RAW_농산물_7월'!$F:$F,'RAW_농산물_7월'!$D:$D,$C236,'RAW_농산물_7월'!$A:$A,$E236),SUMIFS('RAW_농산물_8월'!$F:$F,'RAW_농산물_8월'!$D:$D,$C236,'RAW_농산물_8월'!$A:$A,$E236),SUMIFS('RAW_농산물_9월'!$F:$F,'RAW_농산물_9월'!$D:$D,$C236,'RAW_농산물_9월'!$A:$A,$E236),SUMIFS('RAW_농산물_10월'!$F:$F,'RAW_농산물_10월'!$D:$D,$C236,'RAW_농산물_10월'!$A:$A,$E236),SUMIFS('RAW_농산물_11-12월'!$F:$F,'RAW_농산물_11-12월'!$D:$D,$C236,'RAW_농산물_11-12월'!$A:$A,$E236))))</f>
        <v>47</v>
      </c>
      <c r="G236" s="7">
        <f>IF($C236="","",IF('설정'!$B$3=0,"",CHOOSE('설정'!$B$3,SUMIFS('RAW_농산물_7월'!$G:$G,'RAW_농산물_7월'!$D:$D,$C236,'RAW_농산물_7월'!$A:$A,$E236),SUMIFS('RAW_농산물_8월'!$G:$G,'RAW_농산물_8월'!$D:$D,$C236,'RAW_농산물_8월'!$A:$A,$E236),SUMIFS('RAW_농산물_9월'!$G:$G,'RAW_농산물_9월'!$D:$D,$C236,'RAW_농산물_9월'!$A:$A,$E236),SUMIFS('RAW_농산물_10월'!$G:$G,'RAW_농산물_10월'!$D:$D,$C236,'RAW_농산물_10월'!$A:$A,$E236),SUMIFS('RAW_농산물_11-12월'!$G:$G,'RAW_농산물_11-12월'!$D:$D,$C236,'RAW_농산물_11-12월'!$A:$A,$E236))))</f>
        <v>1464920</v>
      </c>
      <c r="H236" s="14">
        <f>IF($C236="","",IF('설정'!$B$3=0,"",CHOOSE('설정'!$B$3,SUMIFS('RAW_농산물_7월'!$H:$H,'RAW_농산물_7월'!$D:$D,$C236,'RAW_농산물_7월'!$A:$A,$E236),SUMIFS('RAW_농산물_8월'!$H:$H,'RAW_농산물_8월'!$D:$D,$C236,'RAW_농산물_8월'!$A:$A,$E236),SUMIFS('RAW_농산물_9월'!$H:$H,'RAW_농산물_9월'!$D:$D,$C236,'RAW_농산물_9월'!$A:$A,$E236),SUMIFS('RAW_농산물_10월'!$H:$H,'RAW_농산물_10월'!$D:$D,$C236,'RAW_농산물_10월'!$A:$A,$E236),SUMIFS('RAW_농산물_11-12월'!$H:$H,'RAW_농산물_11-12월'!$D:$D,$C236,'RAW_농산물_11-12월'!$A:$A,$E236))))</f>
        <v>176640</v>
      </c>
      <c r="I236" s="17" t="str">
        <f>IF($C236="","",IF(COUNTIFS('RAW_농산물_7월'!$D:$D,$C236,'RAW_농산물_7월'!$A:$A,$E236)&gt;0,"O",""))</f>
        <v>O</v>
      </c>
      <c r="J236" s="17" t="str">
        <f>IF($C236="","",IF(COUNTIFS('RAW_농산물_8월'!$D:$D,$C236,'RAW_농산물_8월'!$A:$A,$E236)&gt;0,"O",""))</f>
        <v>O</v>
      </c>
      <c r="K236" s="17" t="str">
        <f>IF($C236="","",IF(COUNTIFS('RAW_농산물_9월'!$D:$D,$C236,'RAW_농산물_9월'!$A:$A,$E236)&gt;0,"O",""))</f>
        <v/>
      </c>
      <c r="L236" s="17" t="str">
        <f>IF($C236="","",IF(COUNTIFS('RAW_농산물_10월'!$D:$D,$C236,'RAW_농산물_10월'!$A:$A,$E236)&gt;0,"O",""))</f>
        <v/>
      </c>
      <c r="M236" s="17" t="str">
        <f>IF($C236="","",IF(COUNTIFS('RAW_농산물_11-12월'!$D:$D,$C236,'RAW_농산물_11-12월'!$A:$A,$E236)&gt;0,"O",""))</f>
        <v/>
      </c>
      <c r="N236" s="7">
        <f>IF($C236="","",IF(COUNTA('RAW_농산물_7월'!$A:$A)&lt;=1,"",SUMIFS('RAW_농산물_7월'!$H:$H,'RAW_농산물_7월'!$D:$D,$C236,'RAW_농산물_7월'!$A:$A,$E236)))</f>
        <v>12050</v>
      </c>
      <c r="O236" s="7">
        <f>IF($C236="","",IF(COUNTA('RAW_농산물_8월'!$A:$A)&lt;=1,"",SUMIFS('RAW_농산물_8월'!$H:$H,'RAW_농산물_8월'!$D:$D,$C236,'RAW_농산물_8월'!$A:$A,$E236)-SUMIFS('RAW_농산물_7월'!$H:$H,'RAW_농산물_7월'!$D:$D,$C236,'RAW_농산물_7월'!$A:$A,$E236)))</f>
        <v>164590</v>
      </c>
      <c r="P236" s="7" t="str">
        <f>IF($C236="","",IF(COUNTA('RAW_농산물_9월'!$A:$A)&lt;=1,"",SUMIFS('RAW_농산물_9월'!$H:$H,'RAW_농산물_9월'!$D:$D,$C236,'RAW_농산물_9월'!$A:$A,$E236)-SUMIFS('RAW_농산물_8월'!$H:$H,'RAW_농산물_8월'!$D:$D,$C236,'RAW_농산물_8월'!$A:$A,$E236)))</f>
        <v/>
      </c>
      <c r="Q236" s="7" t="str">
        <f>IF($C236="","",IF(COUNTA('RAW_농산물_10월'!$A:$A)&lt;=1,"",SUMIFS('RAW_농산물_10월'!$H:$H,'RAW_농산물_10월'!$D:$D,$C236,'RAW_농산물_10월'!$A:$A,$E236)-SUMIFS('RAW_농산물_9월'!$H:$H,'RAW_농산물_9월'!$D:$D,$C236,'RAW_농산물_9월'!$A:$A,$E236)))</f>
        <v/>
      </c>
      <c r="R236" s="7" t="str">
        <f>IF($C236="","",IF(COUNTA('RAW_농산물_11-12월'!$A:$A)&lt;=1,"",SUMIFS('RAW_농산물_11-12월'!$H:$H,'RAW_농산물_11-12월'!$D:$D,$C236,'RAW_농산물_11-12월'!$A:$A,$E236)-SUMIFS('RAW_농산물_10월'!$H:$H,'RAW_농산물_10월'!$D:$D,$C236,'RAW_농산물_10월'!$A:$A,$E236)))</f>
        <v/>
      </c>
      <c r="S236" s="17" t="str">
        <f t="shared" si="4"/>
        <v>O</v>
      </c>
      <c r="T236" s="17" t="str">
        <f t="shared" si="5"/>
        <v>50만원 미만</v>
      </c>
      <c r="U236" s="7">
        <f>IF($C236="",0,IF('설정'!$B$3=0,0,CHOOSE('설정'!$B$3,COUNTIFS('RAW_농산물_7월'!$D:$D,$C236,'RAW_농산물_7월'!$A:$A,$E236),COUNTIFS('RAW_농산물_8월'!$D:$D,$C236,'RAW_농산물_8월'!$A:$A,$E236),COUNTIFS('RAW_농산물_9월'!$D:$D,$C236,'RAW_농산물_9월'!$A:$A,$E236),COUNTIFS('RAW_농산물_10월'!$D:$D,$C236,'RAW_농산물_10월'!$A:$A,$E236),COUNTIFS('RAW_농산물_11-12월'!$D:$D,$C236,'RAW_농산물_11-12월'!$A:$A,$E236))))</f>
        <v>8</v>
      </c>
    </row>
    <row r="237" ht="15.75" customHeight="1">
      <c r="A237" s="5">
        <v>235.0</v>
      </c>
      <c r="B237" s="5" t="s">
        <v>25</v>
      </c>
      <c r="C237" s="5" t="s">
        <v>3028</v>
      </c>
      <c r="D237" s="6" t="s">
        <v>3029</v>
      </c>
      <c r="E237" s="5" t="s">
        <v>92</v>
      </c>
      <c r="F237" s="7">
        <f>IF($C237="","",IF('설정'!$B$3=0,"",CHOOSE('설정'!$B$3,SUMIFS('RAW_농산물_7월'!$F:$F,'RAW_농산물_7월'!$D:$D,$C237,'RAW_농산물_7월'!$A:$A,$E237),SUMIFS('RAW_농산물_8월'!$F:$F,'RAW_농산물_8월'!$D:$D,$C237,'RAW_농산물_8월'!$A:$A,$E237),SUMIFS('RAW_농산물_9월'!$F:$F,'RAW_농산물_9월'!$D:$D,$C237,'RAW_농산물_9월'!$A:$A,$E237),SUMIFS('RAW_농산물_10월'!$F:$F,'RAW_농산물_10월'!$D:$D,$C237,'RAW_농산물_10월'!$A:$A,$E237),SUMIFS('RAW_농산물_11-12월'!$F:$F,'RAW_농산물_11-12월'!$D:$D,$C237,'RAW_농산물_11-12월'!$A:$A,$E237))))</f>
        <v>0</v>
      </c>
      <c r="G237" s="7">
        <f>IF($C237="","",IF('설정'!$B$3=0,"",CHOOSE('설정'!$B$3,SUMIFS('RAW_농산물_7월'!$G:$G,'RAW_농산물_7월'!$D:$D,$C237,'RAW_농산물_7월'!$A:$A,$E237),SUMIFS('RAW_농산물_8월'!$G:$G,'RAW_농산물_8월'!$D:$D,$C237,'RAW_농산물_8월'!$A:$A,$E237),SUMIFS('RAW_농산물_9월'!$G:$G,'RAW_농산물_9월'!$D:$D,$C237,'RAW_농산물_9월'!$A:$A,$E237),SUMIFS('RAW_농산물_10월'!$G:$G,'RAW_농산물_10월'!$D:$D,$C237,'RAW_농산물_10월'!$A:$A,$E237),SUMIFS('RAW_농산물_11-12월'!$G:$G,'RAW_농산물_11-12월'!$D:$D,$C237,'RAW_농산물_11-12월'!$A:$A,$E237))))</f>
        <v>0</v>
      </c>
      <c r="H237" s="14">
        <f>IF($C237="","",IF('설정'!$B$3=0,"",CHOOSE('설정'!$B$3,SUMIFS('RAW_농산물_7월'!$H:$H,'RAW_농산물_7월'!$D:$D,$C237,'RAW_농산물_7월'!$A:$A,$E237),SUMIFS('RAW_농산물_8월'!$H:$H,'RAW_농산물_8월'!$D:$D,$C237,'RAW_농산물_8월'!$A:$A,$E237),SUMIFS('RAW_농산물_9월'!$H:$H,'RAW_농산물_9월'!$D:$D,$C237,'RAW_농산물_9월'!$A:$A,$E237),SUMIFS('RAW_농산물_10월'!$H:$H,'RAW_농산물_10월'!$D:$D,$C237,'RAW_농산물_10월'!$A:$A,$E237),SUMIFS('RAW_농산물_11-12월'!$H:$H,'RAW_농산물_11-12월'!$D:$D,$C237,'RAW_농산물_11-12월'!$A:$A,$E237))))</f>
        <v>0</v>
      </c>
      <c r="I237" s="17" t="str">
        <f>IF($C237="","",IF(COUNTIFS('RAW_농산물_7월'!$D:$D,$C237,'RAW_농산물_7월'!$A:$A,$E237)&gt;0,"O",""))</f>
        <v/>
      </c>
      <c r="J237" s="17" t="str">
        <f>IF($C237="","",IF(COUNTIFS('RAW_농산물_8월'!$D:$D,$C237,'RAW_농산물_8월'!$A:$A,$E237)&gt;0,"O",""))</f>
        <v/>
      </c>
      <c r="K237" s="17" t="str">
        <f>IF($C237="","",IF(COUNTIFS('RAW_농산물_9월'!$D:$D,$C237,'RAW_농산물_9월'!$A:$A,$E237)&gt;0,"O",""))</f>
        <v/>
      </c>
      <c r="L237" s="17" t="str">
        <f>IF($C237="","",IF(COUNTIFS('RAW_농산물_10월'!$D:$D,$C237,'RAW_농산물_10월'!$A:$A,$E237)&gt;0,"O",""))</f>
        <v/>
      </c>
      <c r="M237" s="17" t="str">
        <f>IF($C237="","",IF(COUNTIFS('RAW_농산물_11-12월'!$D:$D,$C237,'RAW_농산물_11-12월'!$A:$A,$E237)&gt;0,"O",""))</f>
        <v/>
      </c>
      <c r="N237" s="7">
        <f>IF($C237="","",IF(COUNTA('RAW_농산물_7월'!$A:$A)&lt;=1,"",SUMIFS('RAW_농산물_7월'!$H:$H,'RAW_농산물_7월'!$D:$D,$C237,'RAW_농산물_7월'!$A:$A,$E237)))</f>
        <v>0</v>
      </c>
      <c r="O237" s="7">
        <f>IF($C237="","",IF(COUNTA('RAW_농산물_8월'!$A:$A)&lt;=1,"",SUMIFS('RAW_농산물_8월'!$H:$H,'RAW_농산물_8월'!$D:$D,$C237,'RAW_농산물_8월'!$A:$A,$E237)-SUMIFS('RAW_농산물_7월'!$H:$H,'RAW_농산물_7월'!$D:$D,$C237,'RAW_농산물_7월'!$A:$A,$E237)))</f>
        <v>0</v>
      </c>
      <c r="P237" s="7" t="str">
        <f>IF($C237="","",IF(COUNTA('RAW_농산물_9월'!$A:$A)&lt;=1,"",SUMIFS('RAW_농산물_9월'!$H:$H,'RAW_농산물_9월'!$D:$D,$C237,'RAW_농산물_9월'!$A:$A,$E237)-SUMIFS('RAW_농산물_8월'!$H:$H,'RAW_농산물_8월'!$D:$D,$C237,'RAW_농산물_8월'!$A:$A,$E237)))</f>
        <v/>
      </c>
      <c r="Q237" s="7" t="str">
        <f>IF($C237="","",IF(COUNTA('RAW_농산물_10월'!$A:$A)&lt;=1,"",SUMIFS('RAW_농산물_10월'!$H:$H,'RAW_농산물_10월'!$D:$D,$C237,'RAW_농산물_10월'!$A:$A,$E237)-SUMIFS('RAW_농산물_9월'!$H:$H,'RAW_농산물_9월'!$D:$D,$C237,'RAW_농산물_9월'!$A:$A,$E237)))</f>
        <v/>
      </c>
      <c r="R237" s="7" t="str">
        <f>IF($C237="","",IF(COUNTA('RAW_농산물_11-12월'!$A:$A)&lt;=1,"",SUMIFS('RAW_농산물_11-12월'!$H:$H,'RAW_농산물_11-12월'!$D:$D,$C237,'RAW_농산물_11-12월'!$A:$A,$E237)-SUMIFS('RAW_농산물_10월'!$H:$H,'RAW_농산물_10월'!$D:$D,$C237,'RAW_농산물_10월'!$A:$A,$E237)))</f>
        <v/>
      </c>
      <c r="S237" s="17" t="str">
        <f t="shared" si="4"/>
        <v/>
      </c>
      <c r="T237" s="17" t="str">
        <f t="shared" si="5"/>
        <v>미사용</v>
      </c>
      <c r="U237" s="7">
        <f>IF($C237="",0,IF('설정'!$B$3=0,0,CHOOSE('설정'!$B$3,COUNTIFS('RAW_농산물_7월'!$D:$D,$C237,'RAW_농산물_7월'!$A:$A,$E237),COUNTIFS('RAW_농산물_8월'!$D:$D,$C237,'RAW_농산물_8월'!$A:$A,$E237),COUNTIFS('RAW_농산물_9월'!$D:$D,$C237,'RAW_농산물_9월'!$A:$A,$E237),COUNTIFS('RAW_농산물_10월'!$D:$D,$C237,'RAW_농산물_10월'!$A:$A,$E237),COUNTIFS('RAW_농산물_11-12월'!$D:$D,$C237,'RAW_농산물_11-12월'!$A:$A,$E237))))</f>
        <v>0</v>
      </c>
    </row>
    <row r="238" ht="15.75" customHeight="1">
      <c r="A238" s="5">
        <v>236.0</v>
      </c>
      <c r="B238" s="5" t="s">
        <v>108</v>
      </c>
      <c r="C238" s="5" t="s">
        <v>556</v>
      </c>
      <c r="D238" s="6" t="s">
        <v>555</v>
      </c>
      <c r="E238" s="5" t="s">
        <v>92</v>
      </c>
      <c r="F238" s="7">
        <f>IF($C238="","",IF('설정'!$B$3=0,"",CHOOSE('설정'!$B$3,SUMIFS('RAW_농산물_7월'!$F:$F,'RAW_농산물_7월'!$D:$D,$C238,'RAW_농산물_7월'!$A:$A,$E238),SUMIFS('RAW_농산물_8월'!$F:$F,'RAW_농산물_8월'!$D:$D,$C238,'RAW_농산물_8월'!$A:$A,$E238),SUMIFS('RAW_농산물_9월'!$F:$F,'RAW_농산물_9월'!$D:$D,$C238,'RAW_농산물_9월'!$A:$A,$E238),SUMIFS('RAW_농산물_10월'!$F:$F,'RAW_농산물_10월'!$D:$D,$C238,'RAW_농산물_10월'!$A:$A,$E238),SUMIFS('RAW_농산물_11-12월'!$F:$F,'RAW_농산물_11-12월'!$D:$D,$C238,'RAW_농산물_11-12월'!$A:$A,$E238))))</f>
        <v>13</v>
      </c>
      <c r="G238" s="7">
        <f>IF($C238="","",IF('설정'!$B$3=0,"",CHOOSE('설정'!$B$3,SUMIFS('RAW_농산물_7월'!$G:$G,'RAW_농산물_7월'!$D:$D,$C238,'RAW_농산물_7월'!$A:$A,$E238),SUMIFS('RAW_농산물_8월'!$G:$G,'RAW_농산물_8월'!$D:$D,$C238,'RAW_농산물_8월'!$A:$A,$E238),SUMIFS('RAW_농산물_9월'!$G:$G,'RAW_농산물_9월'!$D:$D,$C238,'RAW_농산물_9월'!$A:$A,$E238),SUMIFS('RAW_농산물_10월'!$G:$G,'RAW_농산물_10월'!$D:$D,$C238,'RAW_농산물_10월'!$A:$A,$E238),SUMIFS('RAW_농산물_11-12월'!$G:$G,'RAW_농산물_11-12월'!$D:$D,$C238,'RAW_농산물_11-12월'!$A:$A,$E238))))</f>
        <v>698900</v>
      </c>
      <c r="H238" s="14">
        <f>IF($C238="","",IF('설정'!$B$3=0,"",CHOOSE('설정'!$B$3,SUMIFS('RAW_농산물_7월'!$H:$H,'RAW_농산물_7월'!$D:$D,$C238,'RAW_농산물_7월'!$A:$A,$E238),SUMIFS('RAW_농산물_8월'!$H:$H,'RAW_농산물_8월'!$D:$D,$C238,'RAW_농산물_8월'!$A:$A,$E238),SUMIFS('RAW_농산물_9월'!$H:$H,'RAW_농산물_9월'!$D:$D,$C238,'RAW_농산물_9월'!$A:$A,$E238),SUMIFS('RAW_농산물_10월'!$H:$H,'RAW_농산물_10월'!$D:$D,$C238,'RAW_농산물_10월'!$A:$A,$E238),SUMIFS('RAW_농산물_11-12월'!$H:$H,'RAW_농산물_11-12월'!$D:$D,$C238,'RAW_농산물_11-12월'!$A:$A,$E238))))</f>
        <v>15080</v>
      </c>
      <c r="I238" s="17" t="str">
        <f>IF($C238="","",IF(COUNTIFS('RAW_농산물_7월'!$D:$D,$C238,'RAW_농산물_7월'!$A:$A,$E238)&gt;0,"O",""))</f>
        <v>O</v>
      </c>
      <c r="J238" s="17" t="str">
        <f>IF($C238="","",IF(COUNTIFS('RAW_농산물_8월'!$D:$D,$C238,'RAW_농산물_8월'!$A:$A,$E238)&gt;0,"O",""))</f>
        <v>O</v>
      </c>
      <c r="K238" s="17" t="str">
        <f>IF($C238="","",IF(COUNTIFS('RAW_농산물_9월'!$D:$D,$C238,'RAW_농산물_9월'!$A:$A,$E238)&gt;0,"O",""))</f>
        <v/>
      </c>
      <c r="L238" s="17" t="str">
        <f>IF($C238="","",IF(COUNTIFS('RAW_농산물_10월'!$D:$D,$C238,'RAW_농산물_10월'!$A:$A,$E238)&gt;0,"O",""))</f>
        <v/>
      </c>
      <c r="M238" s="17" t="str">
        <f>IF($C238="","",IF(COUNTIFS('RAW_농산물_11-12월'!$D:$D,$C238,'RAW_농산물_11-12월'!$A:$A,$E238)&gt;0,"O",""))</f>
        <v/>
      </c>
      <c r="N238" s="7">
        <f>IF($C238="","",IF(COUNTA('RAW_농산물_7월'!$A:$A)&lt;=1,"",SUMIFS('RAW_농산물_7월'!$H:$H,'RAW_농산물_7월'!$D:$D,$C238,'RAW_농산물_7월'!$A:$A,$E238)))</f>
        <v>0</v>
      </c>
      <c r="O238" s="7">
        <f>IF($C238="","",IF(COUNTA('RAW_농산물_8월'!$A:$A)&lt;=1,"",SUMIFS('RAW_농산물_8월'!$H:$H,'RAW_농산물_8월'!$D:$D,$C238,'RAW_농산물_8월'!$A:$A,$E238)-SUMIFS('RAW_농산물_7월'!$H:$H,'RAW_농산물_7월'!$D:$D,$C238,'RAW_농산물_7월'!$A:$A,$E238)))</f>
        <v>15080</v>
      </c>
      <c r="P238" s="7" t="str">
        <f>IF($C238="","",IF(COUNTA('RAW_농산물_9월'!$A:$A)&lt;=1,"",SUMIFS('RAW_농산물_9월'!$H:$H,'RAW_농산물_9월'!$D:$D,$C238,'RAW_농산물_9월'!$A:$A,$E238)-SUMIFS('RAW_농산물_8월'!$H:$H,'RAW_농산물_8월'!$D:$D,$C238,'RAW_농산물_8월'!$A:$A,$E238)))</f>
        <v/>
      </c>
      <c r="Q238" s="7" t="str">
        <f>IF($C238="","",IF(COUNTA('RAW_농산물_10월'!$A:$A)&lt;=1,"",SUMIFS('RAW_농산물_10월'!$H:$H,'RAW_농산물_10월'!$D:$D,$C238,'RAW_농산물_10월'!$A:$A,$E238)-SUMIFS('RAW_농산물_9월'!$H:$H,'RAW_농산물_9월'!$D:$D,$C238,'RAW_농산물_9월'!$A:$A,$E238)))</f>
        <v/>
      </c>
      <c r="R238" s="7" t="str">
        <f>IF($C238="","",IF(COUNTA('RAW_농산물_11-12월'!$A:$A)&lt;=1,"",SUMIFS('RAW_농산물_11-12월'!$H:$H,'RAW_농산물_11-12월'!$D:$D,$C238,'RAW_농산물_11-12월'!$A:$A,$E238)-SUMIFS('RAW_농산물_10월'!$H:$H,'RAW_농산물_10월'!$D:$D,$C238,'RAW_농산물_10월'!$A:$A,$E238)))</f>
        <v/>
      </c>
      <c r="S238" s="17" t="str">
        <f t="shared" si="4"/>
        <v>O</v>
      </c>
      <c r="T238" s="17" t="str">
        <f t="shared" si="5"/>
        <v>50만원 미만</v>
      </c>
      <c r="U238" s="7">
        <f>IF($C238="",0,IF('설정'!$B$3=0,0,CHOOSE('설정'!$B$3,COUNTIFS('RAW_농산물_7월'!$D:$D,$C238,'RAW_농산물_7월'!$A:$A,$E238),COUNTIFS('RAW_농산물_8월'!$D:$D,$C238,'RAW_농산물_8월'!$A:$A,$E238),COUNTIFS('RAW_농산물_9월'!$D:$D,$C238,'RAW_농산물_9월'!$A:$A,$E238),COUNTIFS('RAW_농산물_10월'!$D:$D,$C238,'RAW_농산물_10월'!$A:$A,$E238),COUNTIFS('RAW_농산물_11-12월'!$D:$D,$C238,'RAW_농산물_11-12월'!$A:$A,$E238))))</f>
        <v>4</v>
      </c>
    </row>
    <row r="239" ht="15.75" customHeight="1">
      <c r="A239" s="5">
        <v>237.0</v>
      </c>
      <c r="B239" s="5" t="s">
        <v>25</v>
      </c>
      <c r="C239" s="5" t="s">
        <v>498</v>
      </c>
      <c r="D239" s="6" t="s">
        <v>497</v>
      </c>
      <c r="E239" s="5" t="s">
        <v>92</v>
      </c>
      <c r="F239" s="7">
        <f>IF($C239="","",IF('설정'!$B$3=0,"",CHOOSE('설정'!$B$3,SUMIFS('RAW_농산물_7월'!$F:$F,'RAW_농산물_7월'!$D:$D,$C239,'RAW_농산물_7월'!$A:$A,$E239),SUMIFS('RAW_농산물_8월'!$F:$F,'RAW_농산물_8월'!$D:$D,$C239,'RAW_농산물_8월'!$A:$A,$E239),SUMIFS('RAW_농산물_9월'!$F:$F,'RAW_농산물_9월'!$D:$D,$C239,'RAW_농산물_9월'!$A:$A,$E239),SUMIFS('RAW_농산물_10월'!$F:$F,'RAW_농산물_10월'!$D:$D,$C239,'RAW_농산물_10월'!$A:$A,$E239),SUMIFS('RAW_농산물_11-12월'!$F:$F,'RAW_농산물_11-12월'!$D:$D,$C239,'RAW_농산물_11-12월'!$A:$A,$E239))))</f>
        <v>219</v>
      </c>
      <c r="G239" s="7">
        <f>IF($C239="","",IF('설정'!$B$3=0,"",CHOOSE('설정'!$B$3,SUMIFS('RAW_농산물_7월'!$G:$G,'RAW_농산물_7월'!$D:$D,$C239,'RAW_농산물_7월'!$A:$A,$E239),SUMIFS('RAW_농산물_8월'!$G:$G,'RAW_농산물_8월'!$D:$D,$C239,'RAW_농산물_8월'!$A:$A,$E239),SUMIFS('RAW_농산물_9월'!$G:$G,'RAW_농산물_9월'!$D:$D,$C239,'RAW_농산물_9월'!$A:$A,$E239),SUMIFS('RAW_농산물_10월'!$G:$G,'RAW_농산물_10월'!$D:$D,$C239,'RAW_농산물_10월'!$A:$A,$E239),SUMIFS('RAW_농산물_11-12월'!$G:$G,'RAW_농산물_11-12월'!$D:$D,$C239,'RAW_농산물_11-12월'!$A:$A,$E239))))</f>
        <v>5713600</v>
      </c>
      <c r="H239" s="14">
        <f>IF($C239="","",IF('설정'!$B$3=0,"",CHOOSE('설정'!$B$3,SUMIFS('RAW_농산물_7월'!$H:$H,'RAW_농산물_7월'!$D:$D,$C239,'RAW_농산물_7월'!$A:$A,$E239),SUMIFS('RAW_농산물_8월'!$H:$H,'RAW_농산물_8월'!$D:$D,$C239,'RAW_농산물_8월'!$A:$A,$E239),SUMIFS('RAW_농산물_9월'!$H:$H,'RAW_농산물_9월'!$D:$D,$C239,'RAW_농산물_9월'!$A:$A,$E239),SUMIFS('RAW_농산물_10월'!$H:$H,'RAW_농산물_10월'!$D:$D,$C239,'RAW_농산물_10월'!$A:$A,$E239),SUMIFS('RAW_농산물_11-12월'!$H:$H,'RAW_농산물_11-12월'!$D:$D,$C239,'RAW_농산물_11-12월'!$A:$A,$E239))))</f>
        <v>399620</v>
      </c>
      <c r="I239" s="17" t="str">
        <f>IF($C239="","",IF(COUNTIFS('RAW_농산물_7월'!$D:$D,$C239,'RAW_농산물_7월'!$A:$A,$E239)&gt;0,"O",""))</f>
        <v>O</v>
      </c>
      <c r="J239" s="17" t="str">
        <f>IF($C239="","",IF(COUNTIFS('RAW_농산물_8월'!$D:$D,$C239,'RAW_농산물_8월'!$A:$A,$E239)&gt;0,"O",""))</f>
        <v>O</v>
      </c>
      <c r="K239" s="17" t="str">
        <f>IF($C239="","",IF(COUNTIFS('RAW_농산물_9월'!$D:$D,$C239,'RAW_농산물_9월'!$A:$A,$E239)&gt;0,"O",""))</f>
        <v/>
      </c>
      <c r="L239" s="17" t="str">
        <f>IF($C239="","",IF(COUNTIFS('RAW_농산물_10월'!$D:$D,$C239,'RAW_농산물_10월'!$A:$A,$E239)&gt;0,"O",""))</f>
        <v/>
      </c>
      <c r="M239" s="17" t="str">
        <f>IF($C239="","",IF(COUNTIFS('RAW_농산물_11-12월'!$D:$D,$C239,'RAW_농산물_11-12월'!$A:$A,$E239)&gt;0,"O",""))</f>
        <v/>
      </c>
      <c r="N239" s="7">
        <f>IF($C239="","",IF(COUNTA('RAW_농산물_7월'!$A:$A)&lt;=1,"",SUMIFS('RAW_농산물_7월'!$H:$H,'RAW_농산물_7월'!$D:$D,$C239,'RAW_농산물_7월'!$A:$A,$E239)))</f>
        <v>63400</v>
      </c>
      <c r="O239" s="7">
        <f>IF($C239="","",IF(COUNTA('RAW_농산물_8월'!$A:$A)&lt;=1,"",SUMIFS('RAW_농산물_8월'!$H:$H,'RAW_농산물_8월'!$D:$D,$C239,'RAW_농산물_8월'!$A:$A,$E239)-SUMIFS('RAW_농산물_7월'!$H:$H,'RAW_농산물_7월'!$D:$D,$C239,'RAW_농산물_7월'!$A:$A,$E239)))</f>
        <v>336220</v>
      </c>
      <c r="P239" s="7" t="str">
        <f>IF($C239="","",IF(COUNTA('RAW_농산물_9월'!$A:$A)&lt;=1,"",SUMIFS('RAW_농산물_9월'!$H:$H,'RAW_농산물_9월'!$D:$D,$C239,'RAW_농산물_9월'!$A:$A,$E239)-SUMIFS('RAW_농산물_8월'!$H:$H,'RAW_농산물_8월'!$D:$D,$C239,'RAW_농산물_8월'!$A:$A,$E239)))</f>
        <v/>
      </c>
      <c r="Q239" s="7" t="str">
        <f>IF($C239="","",IF(COUNTA('RAW_농산물_10월'!$A:$A)&lt;=1,"",SUMIFS('RAW_농산물_10월'!$H:$H,'RAW_농산물_10월'!$D:$D,$C239,'RAW_농산물_10월'!$A:$A,$E239)-SUMIFS('RAW_농산물_9월'!$H:$H,'RAW_농산물_9월'!$D:$D,$C239,'RAW_농산물_9월'!$A:$A,$E239)))</f>
        <v/>
      </c>
      <c r="R239" s="7" t="str">
        <f>IF($C239="","",IF(COUNTA('RAW_농산물_11-12월'!$A:$A)&lt;=1,"",SUMIFS('RAW_농산물_11-12월'!$H:$H,'RAW_농산물_11-12월'!$D:$D,$C239,'RAW_농산물_11-12월'!$A:$A,$E239)-SUMIFS('RAW_농산물_10월'!$H:$H,'RAW_농산물_10월'!$D:$D,$C239,'RAW_농산물_10월'!$A:$A,$E239)))</f>
        <v/>
      </c>
      <c r="S239" s="17" t="str">
        <f t="shared" si="4"/>
        <v>O</v>
      </c>
      <c r="T239" s="17" t="str">
        <f t="shared" si="5"/>
        <v>50만원 미만</v>
      </c>
      <c r="U239" s="7">
        <f>IF($C239="",0,IF('설정'!$B$3=0,0,CHOOSE('설정'!$B$3,COUNTIFS('RAW_농산물_7월'!$D:$D,$C239,'RAW_농산물_7월'!$A:$A,$E239),COUNTIFS('RAW_농산물_8월'!$D:$D,$C239,'RAW_농산물_8월'!$A:$A,$E239),COUNTIFS('RAW_농산물_9월'!$D:$D,$C239,'RAW_농산물_9월'!$A:$A,$E239),COUNTIFS('RAW_농산물_10월'!$D:$D,$C239,'RAW_농산물_10월'!$A:$A,$E239),COUNTIFS('RAW_농산물_11-12월'!$D:$D,$C239,'RAW_농산물_11-12월'!$A:$A,$E239))))</f>
        <v>12</v>
      </c>
    </row>
    <row r="240" ht="15.75" customHeight="1">
      <c r="A240" s="5">
        <v>238.0</v>
      </c>
      <c r="B240" s="5" t="s">
        <v>25</v>
      </c>
      <c r="C240" s="5" t="s">
        <v>1076</v>
      </c>
      <c r="D240" s="6" t="s">
        <v>1075</v>
      </c>
      <c r="E240" s="5" t="s">
        <v>28</v>
      </c>
      <c r="F240" s="7">
        <f>IF($C240="","",IF('설정'!$B$3=0,"",CHOOSE('설정'!$B$3,SUMIFS('RAW_농산물_7월'!$F:$F,'RAW_농산물_7월'!$D:$D,$C240,'RAW_농산물_7월'!$A:$A,$E240),SUMIFS('RAW_농산물_8월'!$F:$F,'RAW_농산물_8월'!$D:$D,$C240,'RAW_농산물_8월'!$A:$A,$E240),SUMIFS('RAW_농산물_9월'!$F:$F,'RAW_농산물_9월'!$D:$D,$C240,'RAW_농산물_9월'!$A:$A,$E240),SUMIFS('RAW_농산물_10월'!$F:$F,'RAW_농산물_10월'!$D:$D,$C240,'RAW_농산물_10월'!$A:$A,$E240),SUMIFS('RAW_농산물_11-12월'!$F:$F,'RAW_농산물_11-12월'!$D:$D,$C240,'RAW_농산물_11-12월'!$A:$A,$E240))))</f>
        <v>15</v>
      </c>
      <c r="G240" s="7">
        <f>IF($C240="","",IF('설정'!$B$3=0,"",CHOOSE('설정'!$B$3,SUMIFS('RAW_농산물_7월'!$G:$G,'RAW_농산물_7월'!$D:$D,$C240,'RAW_농산물_7월'!$A:$A,$E240),SUMIFS('RAW_농산물_8월'!$G:$G,'RAW_농산물_8월'!$D:$D,$C240,'RAW_농산물_8월'!$A:$A,$E240),SUMIFS('RAW_농산물_9월'!$G:$G,'RAW_농산물_9월'!$D:$D,$C240,'RAW_농산물_9월'!$A:$A,$E240),SUMIFS('RAW_농산물_10월'!$G:$G,'RAW_농산물_10월'!$D:$D,$C240,'RAW_농산물_10월'!$A:$A,$E240),SUMIFS('RAW_농산물_11-12월'!$G:$G,'RAW_농산물_11-12월'!$D:$D,$C240,'RAW_농산물_11-12월'!$A:$A,$E240))))</f>
        <v>181800</v>
      </c>
      <c r="H240" s="14">
        <f>IF($C240="","",IF('설정'!$B$3=0,"",CHOOSE('설정'!$B$3,SUMIFS('RAW_농산물_7월'!$H:$H,'RAW_농산물_7월'!$D:$D,$C240,'RAW_농산물_7월'!$A:$A,$E240),SUMIFS('RAW_농산물_8월'!$H:$H,'RAW_농산물_8월'!$D:$D,$C240,'RAW_농산물_8월'!$A:$A,$E240),SUMIFS('RAW_농산물_9월'!$H:$H,'RAW_농산물_9월'!$D:$D,$C240,'RAW_농산물_9월'!$A:$A,$E240),SUMIFS('RAW_농산물_10월'!$H:$H,'RAW_농산물_10월'!$D:$D,$C240,'RAW_농산물_10월'!$A:$A,$E240),SUMIFS('RAW_농산물_11-12월'!$H:$H,'RAW_농산물_11-12월'!$D:$D,$C240,'RAW_농산물_11-12월'!$A:$A,$E240))))</f>
        <v>32790</v>
      </c>
      <c r="I240" s="17" t="str">
        <f>IF($C240="","",IF(COUNTIFS('RAW_농산물_7월'!$D:$D,$C240,'RAW_농산물_7월'!$A:$A,$E240)&gt;0,"O",""))</f>
        <v>O</v>
      </c>
      <c r="J240" s="17" t="str">
        <f>IF($C240="","",IF(COUNTIFS('RAW_농산물_8월'!$D:$D,$C240,'RAW_농산물_8월'!$A:$A,$E240)&gt;0,"O",""))</f>
        <v>O</v>
      </c>
      <c r="K240" s="17" t="str">
        <f>IF($C240="","",IF(COUNTIFS('RAW_농산물_9월'!$D:$D,$C240,'RAW_농산물_9월'!$A:$A,$E240)&gt;0,"O",""))</f>
        <v/>
      </c>
      <c r="L240" s="17" t="str">
        <f>IF($C240="","",IF(COUNTIFS('RAW_농산물_10월'!$D:$D,$C240,'RAW_농산물_10월'!$A:$A,$E240)&gt;0,"O",""))</f>
        <v/>
      </c>
      <c r="M240" s="17" t="str">
        <f>IF($C240="","",IF(COUNTIFS('RAW_농산물_11-12월'!$D:$D,$C240,'RAW_농산물_11-12월'!$A:$A,$E240)&gt;0,"O",""))</f>
        <v/>
      </c>
      <c r="N240" s="7">
        <f>IF($C240="","",IF(COUNTA('RAW_농산물_7월'!$A:$A)&lt;=1,"",SUMIFS('RAW_농산물_7월'!$H:$H,'RAW_농산물_7월'!$D:$D,$C240,'RAW_농산물_7월'!$A:$A,$E240)))</f>
        <v>13490</v>
      </c>
      <c r="O240" s="7">
        <f>IF($C240="","",IF(COUNTA('RAW_농산물_8월'!$A:$A)&lt;=1,"",SUMIFS('RAW_농산물_8월'!$H:$H,'RAW_농산물_8월'!$D:$D,$C240,'RAW_농산물_8월'!$A:$A,$E240)-SUMIFS('RAW_농산물_7월'!$H:$H,'RAW_농산물_7월'!$D:$D,$C240,'RAW_농산물_7월'!$A:$A,$E240)))</f>
        <v>19300</v>
      </c>
      <c r="P240" s="7" t="str">
        <f>IF($C240="","",IF(COUNTA('RAW_농산물_9월'!$A:$A)&lt;=1,"",SUMIFS('RAW_농산물_9월'!$H:$H,'RAW_농산물_9월'!$D:$D,$C240,'RAW_농산물_9월'!$A:$A,$E240)-SUMIFS('RAW_농산물_8월'!$H:$H,'RAW_농산물_8월'!$D:$D,$C240,'RAW_농산물_8월'!$A:$A,$E240)))</f>
        <v/>
      </c>
      <c r="Q240" s="7" t="str">
        <f>IF($C240="","",IF(COUNTA('RAW_농산물_10월'!$A:$A)&lt;=1,"",SUMIFS('RAW_농산물_10월'!$H:$H,'RAW_농산물_10월'!$D:$D,$C240,'RAW_농산물_10월'!$A:$A,$E240)-SUMIFS('RAW_농산물_9월'!$H:$H,'RAW_농산물_9월'!$D:$D,$C240,'RAW_농산물_9월'!$A:$A,$E240)))</f>
        <v/>
      </c>
      <c r="R240" s="7" t="str">
        <f>IF($C240="","",IF(COUNTA('RAW_농산물_11-12월'!$A:$A)&lt;=1,"",SUMIFS('RAW_농산물_11-12월'!$H:$H,'RAW_농산물_11-12월'!$D:$D,$C240,'RAW_농산물_11-12월'!$A:$A,$E240)-SUMIFS('RAW_농산물_10월'!$H:$H,'RAW_농산물_10월'!$D:$D,$C240,'RAW_농산물_10월'!$A:$A,$E240)))</f>
        <v/>
      </c>
      <c r="S240" s="17" t="str">
        <f t="shared" si="4"/>
        <v>O</v>
      </c>
      <c r="T240" s="17" t="str">
        <f t="shared" si="5"/>
        <v>50만원 미만</v>
      </c>
      <c r="U240" s="7">
        <f>IF($C240="",0,IF('설정'!$B$3=0,0,CHOOSE('설정'!$B$3,COUNTIFS('RAW_농산물_7월'!$D:$D,$C240,'RAW_농산물_7월'!$A:$A,$E240),COUNTIFS('RAW_농산물_8월'!$D:$D,$C240,'RAW_농산물_8월'!$A:$A,$E240),COUNTIFS('RAW_농산물_9월'!$D:$D,$C240,'RAW_농산물_9월'!$A:$A,$E240),COUNTIFS('RAW_농산물_10월'!$D:$D,$C240,'RAW_농산물_10월'!$A:$A,$E240),COUNTIFS('RAW_농산물_11-12월'!$D:$D,$C240,'RAW_농산물_11-12월'!$A:$A,$E240))))</f>
        <v>12</v>
      </c>
    </row>
    <row r="241" ht="15.75" customHeight="1">
      <c r="A241" s="5">
        <v>239.0</v>
      </c>
      <c r="B241" s="5" t="s">
        <v>25</v>
      </c>
      <c r="C241" s="5" t="s">
        <v>1709</v>
      </c>
      <c r="D241" s="6" t="s">
        <v>1708</v>
      </c>
      <c r="E241" s="5" t="s">
        <v>31</v>
      </c>
      <c r="F241" s="7">
        <f>IF($C241="","",IF('설정'!$B$3=0,"",CHOOSE('설정'!$B$3,SUMIFS('RAW_농산물_7월'!$F:$F,'RAW_농산물_7월'!$D:$D,$C241,'RAW_농산물_7월'!$A:$A,$E241),SUMIFS('RAW_농산물_8월'!$F:$F,'RAW_농산물_8월'!$D:$D,$C241,'RAW_농산물_8월'!$A:$A,$E241),SUMIFS('RAW_농산물_9월'!$F:$F,'RAW_농산물_9월'!$D:$D,$C241,'RAW_농산물_9월'!$A:$A,$E241),SUMIFS('RAW_농산물_10월'!$F:$F,'RAW_농산물_10월'!$D:$D,$C241,'RAW_농산물_10월'!$A:$A,$E241),SUMIFS('RAW_농산물_11-12월'!$F:$F,'RAW_농산물_11-12월'!$D:$D,$C241,'RAW_농산물_11-12월'!$A:$A,$E241))))</f>
        <v>3118</v>
      </c>
      <c r="G241" s="7">
        <f>IF($C241="","",IF('설정'!$B$3=0,"",CHOOSE('설정'!$B$3,SUMIFS('RAW_농산물_7월'!$G:$G,'RAW_농산물_7월'!$D:$D,$C241,'RAW_농산물_7월'!$A:$A,$E241),SUMIFS('RAW_농산물_8월'!$G:$G,'RAW_농산물_8월'!$D:$D,$C241,'RAW_농산물_8월'!$A:$A,$E241),SUMIFS('RAW_농산물_9월'!$G:$G,'RAW_농산물_9월'!$D:$D,$C241,'RAW_농산물_9월'!$A:$A,$E241),SUMIFS('RAW_농산물_10월'!$G:$G,'RAW_농산물_10월'!$D:$D,$C241,'RAW_농산물_10월'!$A:$A,$E241),SUMIFS('RAW_농산물_11-12월'!$G:$G,'RAW_농산물_11-12월'!$D:$D,$C241,'RAW_농산물_11-12월'!$A:$A,$E241))))</f>
        <v>16939700</v>
      </c>
      <c r="H241" s="14">
        <f>IF($C241="","",IF('설정'!$B$3=0,"",CHOOSE('설정'!$B$3,SUMIFS('RAW_농산물_7월'!$H:$H,'RAW_농산물_7월'!$D:$D,$C241,'RAW_농산물_7월'!$A:$A,$E241),SUMIFS('RAW_농산물_8월'!$H:$H,'RAW_농산물_8월'!$D:$D,$C241,'RAW_농산물_8월'!$A:$A,$E241),SUMIFS('RAW_농산물_9월'!$H:$H,'RAW_농산물_9월'!$D:$D,$C241,'RAW_농산물_9월'!$A:$A,$E241),SUMIFS('RAW_농산물_10월'!$H:$H,'RAW_농산물_10월'!$D:$D,$C241,'RAW_농산물_10월'!$A:$A,$E241),SUMIFS('RAW_농산물_11-12월'!$H:$H,'RAW_농산물_11-12월'!$D:$D,$C241,'RAW_농산물_11-12월'!$A:$A,$E241))))</f>
        <v>1323514</v>
      </c>
      <c r="I241" s="17" t="str">
        <f>IF($C241="","",IF(COUNTIFS('RAW_농산물_7월'!$D:$D,$C241,'RAW_농산물_7월'!$A:$A,$E241)&gt;0,"O",""))</f>
        <v>O</v>
      </c>
      <c r="J241" s="17" t="str">
        <f>IF($C241="","",IF(COUNTIFS('RAW_농산물_8월'!$D:$D,$C241,'RAW_농산물_8월'!$A:$A,$E241)&gt;0,"O",""))</f>
        <v>O</v>
      </c>
      <c r="K241" s="17" t="str">
        <f>IF($C241="","",IF(COUNTIFS('RAW_농산물_9월'!$D:$D,$C241,'RAW_농산물_9월'!$A:$A,$E241)&gt;0,"O",""))</f>
        <v/>
      </c>
      <c r="L241" s="17" t="str">
        <f>IF($C241="","",IF(COUNTIFS('RAW_농산물_10월'!$D:$D,$C241,'RAW_농산물_10월'!$A:$A,$E241)&gt;0,"O",""))</f>
        <v/>
      </c>
      <c r="M241" s="17" t="str">
        <f>IF($C241="","",IF(COUNTIFS('RAW_농산물_11-12월'!$D:$D,$C241,'RAW_농산물_11-12월'!$A:$A,$E241)&gt;0,"O",""))</f>
        <v/>
      </c>
      <c r="N241" s="7">
        <f>IF($C241="","",IF(COUNTA('RAW_농산물_7월'!$A:$A)&lt;=1,"",SUMIFS('RAW_농산물_7월'!$H:$H,'RAW_농산물_7월'!$D:$D,$C241,'RAW_농산물_7월'!$A:$A,$E241)))</f>
        <v>440251</v>
      </c>
      <c r="O241" s="7">
        <f>IF($C241="","",IF(COUNTA('RAW_농산물_8월'!$A:$A)&lt;=1,"",SUMIFS('RAW_농산물_8월'!$H:$H,'RAW_농산물_8월'!$D:$D,$C241,'RAW_농산물_8월'!$A:$A,$E241)-SUMIFS('RAW_농산물_7월'!$H:$H,'RAW_농산물_7월'!$D:$D,$C241,'RAW_농산물_7월'!$A:$A,$E241)))</f>
        <v>883263</v>
      </c>
      <c r="P241" s="7" t="str">
        <f>IF($C241="","",IF(COUNTA('RAW_농산물_9월'!$A:$A)&lt;=1,"",SUMIFS('RAW_농산물_9월'!$H:$H,'RAW_농산물_9월'!$D:$D,$C241,'RAW_농산물_9월'!$A:$A,$E241)-SUMIFS('RAW_농산물_8월'!$H:$H,'RAW_농산물_8월'!$D:$D,$C241,'RAW_농산물_8월'!$A:$A,$E241)))</f>
        <v/>
      </c>
      <c r="Q241" s="7" t="str">
        <f>IF($C241="","",IF(COUNTA('RAW_농산물_10월'!$A:$A)&lt;=1,"",SUMIFS('RAW_농산물_10월'!$H:$H,'RAW_농산물_10월'!$D:$D,$C241,'RAW_농산물_10월'!$A:$A,$E241)-SUMIFS('RAW_농산물_9월'!$H:$H,'RAW_농산물_9월'!$D:$D,$C241,'RAW_농산물_9월'!$A:$A,$E241)))</f>
        <v/>
      </c>
      <c r="R241" s="7" t="str">
        <f>IF($C241="","",IF(COUNTA('RAW_농산물_11-12월'!$A:$A)&lt;=1,"",SUMIFS('RAW_농산물_11-12월'!$H:$H,'RAW_농산물_11-12월'!$D:$D,$C241,'RAW_농산물_11-12월'!$A:$A,$E241)-SUMIFS('RAW_농산물_10월'!$H:$H,'RAW_농산물_10월'!$D:$D,$C241,'RAW_농산물_10월'!$A:$A,$E241)))</f>
        <v/>
      </c>
      <c r="S241" s="17" t="str">
        <f t="shared" si="4"/>
        <v>O</v>
      </c>
      <c r="T241" s="17" t="str">
        <f t="shared" si="5"/>
        <v>200만원 미만</v>
      </c>
      <c r="U241" s="7">
        <f>IF($C241="",0,IF('설정'!$B$3=0,0,CHOOSE('설정'!$B$3,COUNTIFS('RAW_농산물_7월'!$D:$D,$C241,'RAW_농산물_7월'!$A:$A,$E241),COUNTIFS('RAW_농산물_8월'!$D:$D,$C241,'RAW_농산물_8월'!$A:$A,$E241),COUNTIFS('RAW_농산물_9월'!$D:$D,$C241,'RAW_농산물_9월'!$A:$A,$E241),COUNTIFS('RAW_농산물_10월'!$D:$D,$C241,'RAW_농산물_10월'!$A:$A,$E241),COUNTIFS('RAW_농산물_11-12월'!$D:$D,$C241,'RAW_농산물_11-12월'!$A:$A,$E241))))</f>
        <v>1</v>
      </c>
    </row>
    <row r="242" ht="15.75" customHeight="1">
      <c r="A242" s="5">
        <v>240.0</v>
      </c>
      <c r="B242" s="5" t="s">
        <v>25</v>
      </c>
      <c r="C242" s="5" t="s">
        <v>1424</v>
      </c>
      <c r="D242" s="6" t="s">
        <v>1423</v>
      </c>
      <c r="E242" s="5" t="s">
        <v>93</v>
      </c>
      <c r="F242" s="7">
        <f>IF($C242="","",IF('설정'!$B$3=0,"",CHOOSE('설정'!$B$3,SUMIFS('RAW_농산물_7월'!$F:$F,'RAW_농산물_7월'!$D:$D,$C242,'RAW_농산물_7월'!$A:$A,$E242),SUMIFS('RAW_농산물_8월'!$F:$F,'RAW_농산물_8월'!$D:$D,$C242,'RAW_농산물_8월'!$A:$A,$E242),SUMIFS('RAW_농산물_9월'!$F:$F,'RAW_농산물_9월'!$D:$D,$C242,'RAW_농산물_9월'!$A:$A,$E242),SUMIFS('RAW_농산물_10월'!$F:$F,'RAW_농산물_10월'!$D:$D,$C242,'RAW_농산물_10월'!$A:$A,$E242),SUMIFS('RAW_농산물_11-12월'!$F:$F,'RAW_농산물_11-12월'!$D:$D,$C242,'RAW_농산물_11-12월'!$A:$A,$E242))))</f>
        <v>2053</v>
      </c>
      <c r="G242" s="7">
        <f>IF($C242="","",IF('설정'!$B$3=0,"",CHOOSE('설정'!$B$3,SUMIFS('RAW_농산물_7월'!$G:$G,'RAW_농산물_7월'!$D:$D,$C242,'RAW_농산물_7월'!$A:$A,$E242),SUMIFS('RAW_농산물_8월'!$G:$G,'RAW_농산물_8월'!$D:$D,$C242,'RAW_농산물_8월'!$A:$A,$E242),SUMIFS('RAW_농산물_9월'!$G:$G,'RAW_농산물_9월'!$D:$D,$C242,'RAW_농산물_9월'!$A:$A,$E242),SUMIFS('RAW_농산물_10월'!$G:$G,'RAW_농산물_10월'!$D:$D,$C242,'RAW_농산물_10월'!$A:$A,$E242),SUMIFS('RAW_농산물_11-12월'!$G:$G,'RAW_농산물_11-12월'!$D:$D,$C242,'RAW_농산물_11-12월'!$A:$A,$E242))))</f>
        <v>37041760</v>
      </c>
      <c r="H242" s="14">
        <f>IF($C242="","",IF('설정'!$B$3=0,"",CHOOSE('설정'!$B$3,SUMIFS('RAW_농산물_7월'!$H:$H,'RAW_농산물_7월'!$D:$D,$C242,'RAW_농산물_7월'!$A:$A,$E242),SUMIFS('RAW_농산물_8월'!$H:$H,'RAW_농산물_8월'!$D:$D,$C242,'RAW_농산물_8월'!$A:$A,$E242),SUMIFS('RAW_농산물_9월'!$H:$H,'RAW_농산물_9월'!$D:$D,$C242,'RAW_농산물_9월'!$A:$A,$E242),SUMIFS('RAW_농산물_10월'!$H:$H,'RAW_농산물_10월'!$D:$D,$C242,'RAW_농산물_10월'!$A:$A,$E242),SUMIFS('RAW_농산물_11-12월'!$H:$H,'RAW_농산물_11-12월'!$D:$D,$C242,'RAW_농산물_11-12월'!$A:$A,$E242))))</f>
        <v>3387240</v>
      </c>
      <c r="I242" s="17" t="str">
        <f>IF($C242="","",IF(COUNTIFS('RAW_농산물_7월'!$D:$D,$C242,'RAW_농산물_7월'!$A:$A,$E242)&gt;0,"O",""))</f>
        <v>O</v>
      </c>
      <c r="J242" s="17" t="str">
        <f>IF($C242="","",IF(COUNTIFS('RAW_농산물_8월'!$D:$D,$C242,'RAW_농산물_8월'!$A:$A,$E242)&gt;0,"O",""))</f>
        <v>O</v>
      </c>
      <c r="K242" s="17" t="str">
        <f>IF($C242="","",IF(COUNTIFS('RAW_농산물_9월'!$D:$D,$C242,'RAW_농산물_9월'!$A:$A,$E242)&gt;0,"O",""))</f>
        <v/>
      </c>
      <c r="L242" s="17" t="str">
        <f>IF($C242="","",IF(COUNTIFS('RAW_농산물_10월'!$D:$D,$C242,'RAW_농산물_10월'!$A:$A,$E242)&gt;0,"O",""))</f>
        <v/>
      </c>
      <c r="M242" s="17" t="str">
        <f>IF($C242="","",IF(COUNTIFS('RAW_농산물_11-12월'!$D:$D,$C242,'RAW_농산물_11-12월'!$A:$A,$E242)&gt;0,"O",""))</f>
        <v/>
      </c>
      <c r="N242" s="7">
        <f>IF($C242="","",IF(COUNTA('RAW_농산물_7월'!$A:$A)&lt;=1,"",SUMIFS('RAW_농산물_7월'!$H:$H,'RAW_농산물_7월'!$D:$D,$C242,'RAW_농산물_7월'!$A:$A,$E242)))</f>
        <v>590860</v>
      </c>
      <c r="O242" s="7">
        <f>IF($C242="","",IF(COUNTA('RAW_농산물_8월'!$A:$A)&lt;=1,"",SUMIFS('RAW_농산물_8월'!$H:$H,'RAW_농산물_8월'!$D:$D,$C242,'RAW_농산물_8월'!$A:$A,$E242)-SUMIFS('RAW_농산물_7월'!$H:$H,'RAW_농산물_7월'!$D:$D,$C242,'RAW_농산물_7월'!$A:$A,$E242)))</f>
        <v>2796380</v>
      </c>
      <c r="P242" s="7" t="str">
        <f>IF($C242="","",IF(COUNTA('RAW_농산물_9월'!$A:$A)&lt;=1,"",SUMIFS('RAW_농산물_9월'!$H:$H,'RAW_농산물_9월'!$D:$D,$C242,'RAW_농산물_9월'!$A:$A,$E242)-SUMIFS('RAW_농산물_8월'!$H:$H,'RAW_농산물_8월'!$D:$D,$C242,'RAW_농산물_8월'!$A:$A,$E242)))</f>
        <v/>
      </c>
      <c r="Q242" s="7" t="str">
        <f>IF($C242="","",IF(COUNTA('RAW_농산물_10월'!$A:$A)&lt;=1,"",SUMIFS('RAW_농산물_10월'!$H:$H,'RAW_농산물_10월'!$D:$D,$C242,'RAW_농산물_10월'!$A:$A,$E242)-SUMIFS('RAW_농산물_9월'!$H:$H,'RAW_농산물_9월'!$D:$D,$C242,'RAW_농산물_9월'!$A:$A,$E242)))</f>
        <v/>
      </c>
      <c r="R242" s="7" t="str">
        <f>IF($C242="","",IF(COUNTA('RAW_농산물_11-12월'!$A:$A)&lt;=1,"",SUMIFS('RAW_농산물_11-12월'!$H:$H,'RAW_농산물_11-12월'!$D:$D,$C242,'RAW_농산물_11-12월'!$A:$A,$E242)-SUMIFS('RAW_농산물_10월'!$H:$H,'RAW_농산물_10월'!$D:$D,$C242,'RAW_농산물_10월'!$A:$A,$E242)))</f>
        <v/>
      </c>
      <c r="S242" s="17" t="str">
        <f t="shared" si="4"/>
        <v>O</v>
      </c>
      <c r="T242" s="17" t="str">
        <f t="shared" si="5"/>
        <v>400만원 미만</v>
      </c>
      <c r="U242" s="7">
        <f>IF($C242="",0,IF('설정'!$B$3=0,0,CHOOSE('설정'!$B$3,COUNTIFS('RAW_농산물_7월'!$D:$D,$C242,'RAW_농산물_7월'!$A:$A,$E242),COUNTIFS('RAW_농산물_8월'!$D:$D,$C242,'RAW_농산물_8월'!$A:$A,$E242),COUNTIFS('RAW_농산물_9월'!$D:$D,$C242,'RAW_농산물_9월'!$A:$A,$E242),COUNTIFS('RAW_농산물_10월'!$D:$D,$C242,'RAW_농산물_10월'!$A:$A,$E242),COUNTIFS('RAW_농산물_11-12월'!$D:$D,$C242,'RAW_농산물_11-12월'!$A:$A,$E242))))</f>
        <v>3</v>
      </c>
    </row>
    <row r="243" ht="15.75" customHeight="1">
      <c r="A243" s="5">
        <v>241.0</v>
      </c>
      <c r="B243" s="5" t="s">
        <v>108</v>
      </c>
      <c r="C243" s="5" t="s">
        <v>378</v>
      </c>
      <c r="D243" s="6" t="s">
        <v>377</v>
      </c>
      <c r="E243" s="5" t="s">
        <v>92</v>
      </c>
      <c r="F243" s="7">
        <f>IF($C243="","",IF('설정'!$B$3=0,"",CHOOSE('설정'!$B$3,SUMIFS('RAW_농산물_7월'!$F:$F,'RAW_농산물_7월'!$D:$D,$C243,'RAW_농산물_7월'!$A:$A,$E243),SUMIFS('RAW_농산물_8월'!$F:$F,'RAW_농산물_8월'!$D:$D,$C243,'RAW_농산물_8월'!$A:$A,$E243),SUMIFS('RAW_농산물_9월'!$F:$F,'RAW_농산물_9월'!$D:$D,$C243,'RAW_농산물_9월'!$A:$A,$E243),SUMIFS('RAW_농산물_10월'!$F:$F,'RAW_농산물_10월'!$D:$D,$C243,'RAW_농산물_10월'!$A:$A,$E243),SUMIFS('RAW_농산물_11-12월'!$F:$F,'RAW_농산물_11-12월'!$D:$D,$C243,'RAW_농산물_11-12월'!$A:$A,$E243))))</f>
        <v>91</v>
      </c>
      <c r="G243" s="7">
        <f>IF($C243="","",IF('설정'!$B$3=0,"",CHOOSE('설정'!$B$3,SUMIFS('RAW_농산물_7월'!$G:$G,'RAW_농산물_7월'!$D:$D,$C243,'RAW_농산물_7월'!$A:$A,$E243),SUMIFS('RAW_농산물_8월'!$G:$G,'RAW_농산물_8월'!$D:$D,$C243,'RAW_농산물_8월'!$A:$A,$E243),SUMIFS('RAW_농산물_9월'!$G:$G,'RAW_농산물_9월'!$D:$D,$C243,'RAW_농산물_9월'!$A:$A,$E243),SUMIFS('RAW_농산물_10월'!$G:$G,'RAW_농산물_10월'!$D:$D,$C243,'RAW_농산물_10월'!$A:$A,$E243),SUMIFS('RAW_농산물_11-12월'!$G:$G,'RAW_농산물_11-12월'!$D:$D,$C243,'RAW_농산물_11-12월'!$A:$A,$E243))))</f>
        <v>2705300</v>
      </c>
      <c r="H243" s="14">
        <f>IF($C243="","",IF('설정'!$B$3=0,"",CHOOSE('설정'!$B$3,SUMIFS('RAW_농산물_7월'!$H:$H,'RAW_농산물_7월'!$D:$D,$C243,'RAW_농산물_7월'!$A:$A,$E243),SUMIFS('RAW_농산물_8월'!$H:$H,'RAW_농산물_8월'!$D:$D,$C243,'RAW_농산물_8월'!$A:$A,$E243),SUMIFS('RAW_농산물_9월'!$H:$H,'RAW_농산물_9월'!$D:$D,$C243,'RAW_농산물_9월'!$A:$A,$E243),SUMIFS('RAW_농산물_10월'!$H:$H,'RAW_농산물_10월'!$D:$D,$C243,'RAW_농산물_10월'!$A:$A,$E243),SUMIFS('RAW_농산물_11-12월'!$H:$H,'RAW_농산물_11-12월'!$D:$D,$C243,'RAW_농산물_11-12월'!$A:$A,$E243))))</f>
        <v>238400</v>
      </c>
      <c r="I243" s="17" t="str">
        <f>IF($C243="","",IF(COUNTIFS('RAW_농산물_7월'!$D:$D,$C243,'RAW_농산물_7월'!$A:$A,$E243)&gt;0,"O",""))</f>
        <v>O</v>
      </c>
      <c r="J243" s="17" t="str">
        <f>IF($C243="","",IF(COUNTIFS('RAW_농산물_8월'!$D:$D,$C243,'RAW_농산물_8월'!$A:$A,$E243)&gt;0,"O",""))</f>
        <v>O</v>
      </c>
      <c r="K243" s="17" t="str">
        <f>IF($C243="","",IF(COUNTIFS('RAW_농산물_9월'!$D:$D,$C243,'RAW_농산물_9월'!$A:$A,$E243)&gt;0,"O",""))</f>
        <v/>
      </c>
      <c r="L243" s="17" t="str">
        <f>IF($C243="","",IF(COUNTIFS('RAW_농산물_10월'!$D:$D,$C243,'RAW_농산물_10월'!$A:$A,$E243)&gt;0,"O",""))</f>
        <v/>
      </c>
      <c r="M243" s="17" t="str">
        <f>IF($C243="","",IF(COUNTIFS('RAW_농산물_11-12월'!$D:$D,$C243,'RAW_농산물_11-12월'!$A:$A,$E243)&gt;0,"O",""))</f>
        <v/>
      </c>
      <c r="N243" s="7">
        <f>IF($C243="","",IF(COUNTA('RAW_농산물_7월'!$A:$A)&lt;=1,"",SUMIFS('RAW_농산물_7월'!$H:$H,'RAW_농산물_7월'!$D:$D,$C243,'RAW_농산물_7월'!$A:$A,$E243)))</f>
        <v>193800</v>
      </c>
      <c r="O243" s="7">
        <f>IF($C243="","",IF(COUNTA('RAW_농산물_8월'!$A:$A)&lt;=1,"",SUMIFS('RAW_농산물_8월'!$H:$H,'RAW_농산물_8월'!$D:$D,$C243,'RAW_농산물_8월'!$A:$A,$E243)-SUMIFS('RAW_농산물_7월'!$H:$H,'RAW_농산물_7월'!$D:$D,$C243,'RAW_농산물_7월'!$A:$A,$E243)))</f>
        <v>44600</v>
      </c>
      <c r="P243" s="7" t="str">
        <f>IF($C243="","",IF(COUNTA('RAW_농산물_9월'!$A:$A)&lt;=1,"",SUMIFS('RAW_농산물_9월'!$H:$H,'RAW_농산물_9월'!$D:$D,$C243,'RAW_농산물_9월'!$A:$A,$E243)-SUMIFS('RAW_농산물_8월'!$H:$H,'RAW_농산물_8월'!$D:$D,$C243,'RAW_농산물_8월'!$A:$A,$E243)))</f>
        <v/>
      </c>
      <c r="Q243" s="7" t="str">
        <f>IF($C243="","",IF(COUNTA('RAW_농산물_10월'!$A:$A)&lt;=1,"",SUMIFS('RAW_농산물_10월'!$H:$H,'RAW_농산물_10월'!$D:$D,$C243,'RAW_농산물_10월'!$A:$A,$E243)-SUMIFS('RAW_농산물_9월'!$H:$H,'RAW_농산물_9월'!$D:$D,$C243,'RAW_농산물_9월'!$A:$A,$E243)))</f>
        <v/>
      </c>
      <c r="R243" s="7" t="str">
        <f>IF($C243="","",IF(COUNTA('RAW_농산물_11-12월'!$A:$A)&lt;=1,"",SUMIFS('RAW_농산물_11-12월'!$H:$H,'RAW_농산물_11-12월'!$D:$D,$C243,'RAW_농산물_11-12월'!$A:$A,$E243)-SUMIFS('RAW_농산물_10월'!$H:$H,'RAW_농산물_10월'!$D:$D,$C243,'RAW_농산물_10월'!$A:$A,$E243)))</f>
        <v/>
      </c>
      <c r="S243" s="17" t="str">
        <f t="shared" si="4"/>
        <v>O</v>
      </c>
      <c r="T243" s="17" t="str">
        <f t="shared" si="5"/>
        <v>50만원 미만</v>
      </c>
      <c r="U243" s="7">
        <f>IF($C243="",0,IF('설정'!$B$3=0,0,CHOOSE('설정'!$B$3,COUNTIFS('RAW_농산물_7월'!$D:$D,$C243,'RAW_농산물_7월'!$A:$A,$E243),COUNTIFS('RAW_농산물_8월'!$D:$D,$C243,'RAW_농산물_8월'!$A:$A,$E243),COUNTIFS('RAW_농산물_9월'!$D:$D,$C243,'RAW_농산물_9월'!$A:$A,$E243),COUNTIFS('RAW_농산물_10월'!$D:$D,$C243,'RAW_농산물_10월'!$A:$A,$E243),COUNTIFS('RAW_농산물_11-12월'!$D:$D,$C243,'RAW_농산물_11-12월'!$A:$A,$E243))))</f>
        <v>2</v>
      </c>
    </row>
    <row r="244" ht="15.75" customHeight="1">
      <c r="A244" s="5">
        <v>242.0</v>
      </c>
      <c r="B244" s="5" t="s">
        <v>25</v>
      </c>
      <c r="C244" s="5" t="s">
        <v>1098</v>
      </c>
      <c r="D244" s="6" t="s">
        <v>3030</v>
      </c>
      <c r="E244" s="5" t="s">
        <v>28</v>
      </c>
      <c r="F244" s="7">
        <f>IF($C244="","",IF('설정'!$B$3=0,"",CHOOSE('설정'!$B$3,SUMIFS('RAW_농산물_7월'!$F:$F,'RAW_농산물_7월'!$D:$D,$C244,'RAW_농산물_7월'!$A:$A,$E244),SUMIFS('RAW_농산물_8월'!$F:$F,'RAW_농산물_8월'!$D:$D,$C244,'RAW_농산물_8월'!$A:$A,$E244),SUMIFS('RAW_농산물_9월'!$F:$F,'RAW_농산물_9월'!$D:$D,$C244,'RAW_농산물_9월'!$A:$A,$E244),SUMIFS('RAW_농산물_10월'!$F:$F,'RAW_농산물_10월'!$D:$D,$C244,'RAW_농산물_10월'!$A:$A,$E244),SUMIFS('RAW_농산물_11-12월'!$F:$F,'RAW_농산물_11-12월'!$D:$D,$C244,'RAW_농산물_11-12월'!$A:$A,$E244))))</f>
        <v>9</v>
      </c>
      <c r="G244" s="7">
        <f>IF($C244="","",IF('설정'!$B$3=0,"",CHOOSE('설정'!$B$3,SUMIFS('RAW_농산물_7월'!$G:$G,'RAW_농산물_7월'!$D:$D,$C244,'RAW_농산물_7월'!$A:$A,$E244),SUMIFS('RAW_농산물_8월'!$G:$G,'RAW_농산물_8월'!$D:$D,$C244,'RAW_농산물_8월'!$A:$A,$E244),SUMIFS('RAW_농산물_9월'!$G:$G,'RAW_농산물_9월'!$D:$D,$C244,'RAW_농산물_9월'!$A:$A,$E244),SUMIFS('RAW_농산물_10월'!$G:$G,'RAW_농산물_10월'!$D:$D,$C244,'RAW_농산물_10월'!$A:$A,$E244),SUMIFS('RAW_농산물_11-12월'!$G:$G,'RAW_농산물_11-12월'!$D:$D,$C244,'RAW_농산물_11-12월'!$A:$A,$E244))))</f>
        <v>295000</v>
      </c>
      <c r="H244" s="14">
        <f>IF($C244="","",IF('설정'!$B$3=0,"",CHOOSE('설정'!$B$3,SUMIFS('RAW_농산물_7월'!$H:$H,'RAW_농산물_7월'!$D:$D,$C244,'RAW_농산물_7월'!$A:$A,$E244),SUMIFS('RAW_농산물_8월'!$H:$H,'RAW_농산물_8월'!$D:$D,$C244,'RAW_농산물_8월'!$A:$A,$E244),SUMIFS('RAW_농산물_9월'!$H:$H,'RAW_농산물_9월'!$D:$D,$C244,'RAW_농산물_9월'!$A:$A,$E244),SUMIFS('RAW_농산물_10월'!$H:$H,'RAW_농산물_10월'!$D:$D,$C244,'RAW_농산물_10월'!$A:$A,$E244),SUMIFS('RAW_농산물_11-12월'!$H:$H,'RAW_농산물_11-12월'!$D:$D,$C244,'RAW_농산물_11-12월'!$A:$A,$E244))))</f>
        <v>47400</v>
      </c>
      <c r="I244" s="17" t="str">
        <f>IF($C244="","",IF(COUNTIFS('RAW_농산물_7월'!$D:$D,$C244,'RAW_농산물_7월'!$A:$A,$E244)&gt;0,"O",""))</f>
        <v>O</v>
      </c>
      <c r="J244" s="17" t="str">
        <f>IF($C244="","",IF(COUNTIFS('RAW_농산물_8월'!$D:$D,$C244,'RAW_농산물_8월'!$A:$A,$E244)&gt;0,"O",""))</f>
        <v>O</v>
      </c>
      <c r="K244" s="17" t="str">
        <f>IF($C244="","",IF(COUNTIFS('RAW_농산물_9월'!$D:$D,$C244,'RAW_농산물_9월'!$A:$A,$E244)&gt;0,"O",""))</f>
        <v/>
      </c>
      <c r="L244" s="17" t="str">
        <f>IF($C244="","",IF(COUNTIFS('RAW_농산물_10월'!$D:$D,$C244,'RAW_농산물_10월'!$A:$A,$E244)&gt;0,"O",""))</f>
        <v/>
      </c>
      <c r="M244" s="17" t="str">
        <f>IF($C244="","",IF(COUNTIFS('RAW_농산물_11-12월'!$D:$D,$C244,'RAW_농산물_11-12월'!$A:$A,$E244)&gt;0,"O",""))</f>
        <v/>
      </c>
      <c r="N244" s="7">
        <f>IF($C244="","",IF(COUNTA('RAW_농산물_7월'!$A:$A)&lt;=1,"",SUMIFS('RAW_농산물_7월'!$H:$H,'RAW_농산물_7월'!$D:$D,$C244,'RAW_농산물_7월'!$A:$A,$E244)))</f>
        <v>33800</v>
      </c>
      <c r="O244" s="7">
        <f>IF($C244="","",IF(COUNTA('RAW_농산물_8월'!$A:$A)&lt;=1,"",SUMIFS('RAW_농산물_8월'!$H:$H,'RAW_농산물_8월'!$D:$D,$C244,'RAW_농산물_8월'!$A:$A,$E244)-SUMIFS('RAW_농산물_7월'!$H:$H,'RAW_농산물_7월'!$D:$D,$C244,'RAW_농산물_7월'!$A:$A,$E244)))</f>
        <v>13600</v>
      </c>
      <c r="P244" s="7" t="str">
        <f>IF($C244="","",IF(COUNTA('RAW_농산물_9월'!$A:$A)&lt;=1,"",SUMIFS('RAW_농산물_9월'!$H:$H,'RAW_농산물_9월'!$D:$D,$C244,'RAW_농산물_9월'!$A:$A,$E244)-SUMIFS('RAW_농산물_8월'!$H:$H,'RAW_농산물_8월'!$D:$D,$C244,'RAW_농산물_8월'!$A:$A,$E244)))</f>
        <v/>
      </c>
      <c r="Q244" s="7" t="str">
        <f>IF($C244="","",IF(COUNTA('RAW_농산물_10월'!$A:$A)&lt;=1,"",SUMIFS('RAW_농산물_10월'!$H:$H,'RAW_농산물_10월'!$D:$D,$C244,'RAW_농산물_10월'!$A:$A,$E244)-SUMIFS('RAW_농산물_9월'!$H:$H,'RAW_농산물_9월'!$D:$D,$C244,'RAW_농산물_9월'!$A:$A,$E244)))</f>
        <v/>
      </c>
      <c r="R244" s="7" t="str">
        <f>IF($C244="","",IF(COUNTA('RAW_농산물_11-12월'!$A:$A)&lt;=1,"",SUMIFS('RAW_농산물_11-12월'!$H:$H,'RAW_농산물_11-12월'!$D:$D,$C244,'RAW_농산물_11-12월'!$A:$A,$E244)-SUMIFS('RAW_농산물_10월'!$H:$H,'RAW_농산물_10월'!$D:$D,$C244,'RAW_농산물_10월'!$A:$A,$E244)))</f>
        <v/>
      </c>
      <c r="S244" s="17" t="str">
        <f t="shared" si="4"/>
        <v>O</v>
      </c>
      <c r="T244" s="17" t="str">
        <f t="shared" si="5"/>
        <v>50만원 미만</v>
      </c>
      <c r="U244" s="7">
        <f>IF($C244="",0,IF('설정'!$B$3=0,0,CHOOSE('설정'!$B$3,COUNTIFS('RAW_농산물_7월'!$D:$D,$C244,'RAW_농산물_7월'!$A:$A,$E244),COUNTIFS('RAW_농산물_8월'!$D:$D,$C244,'RAW_농산물_8월'!$A:$A,$E244),COUNTIFS('RAW_농산물_9월'!$D:$D,$C244,'RAW_농산물_9월'!$A:$A,$E244),COUNTIFS('RAW_농산물_10월'!$D:$D,$C244,'RAW_농산물_10월'!$A:$A,$E244),COUNTIFS('RAW_농산물_11-12월'!$D:$D,$C244,'RAW_농산물_11-12월'!$A:$A,$E244))))</f>
        <v>10</v>
      </c>
    </row>
    <row r="245" ht="15.75" customHeight="1">
      <c r="A245" s="5">
        <v>243.0</v>
      </c>
      <c r="B245" s="5" t="s">
        <v>108</v>
      </c>
      <c r="C245" s="5" t="s">
        <v>3031</v>
      </c>
      <c r="D245" s="6" t="s">
        <v>3032</v>
      </c>
      <c r="E245" s="5" t="s">
        <v>95</v>
      </c>
      <c r="F245" s="7">
        <f>IF($C245="","",IF('설정'!$B$3=0,"",CHOOSE('설정'!$B$3,SUMIFS('RAW_농산물_7월'!$F:$F,'RAW_농산물_7월'!$D:$D,$C245,'RAW_농산물_7월'!$A:$A,$E245),SUMIFS('RAW_농산물_8월'!$F:$F,'RAW_농산물_8월'!$D:$D,$C245,'RAW_농산물_8월'!$A:$A,$E245),SUMIFS('RAW_농산물_9월'!$F:$F,'RAW_농산물_9월'!$D:$D,$C245,'RAW_농산물_9월'!$A:$A,$E245),SUMIFS('RAW_농산물_10월'!$F:$F,'RAW_농산물_10월'!$D:$D,$C245,'RAW_농산물_10월'!$A:$A,$E245),SUMIFS('RAW_농산물_11-12월'!$F:$F,'RAW_농산물_11-12월'!$D:$D,$C245,'RAW_농산물_11-12월'!$A:$A,$E245))))</f>
        <v>0</v>
      </c>
      <c r="G245" s="7">
        <f>IF($C245="","",IF('설정'!$B$3=0,"",CHOOSE('설정'!$B$3,SUMIFS('RAW_농산물_7월'!$G:$G,'RAW_농산물_7월'!$D:$D,$C245,'RAW_농산물_7월'!$A:$A,$E245),SUMIFS('RAW_농산물_8월'!$G:$G,'RAW_농산물_8월'!$D:$D,$C245,'RAW_농산물_8월'!$A:$A,$E245),SUMIFS('RAW_농산물_9월'!$G:$G,'RAW_농산물_9월'!$D:$D,$C245,'RAW_농산물_9월'!$A:$A,$E245),SUMIFS('RAW_농산물_10월'!$G:$G,'RAW_농산물_10월'!$D:$D,$C245,'RAW_농산물_10월'!$A:$A,$E245),SUMIFS('RAW_농산물_11-12월'!$G:$G,'RAW_농산물_11-12월'!$D:$D,$C245,'RAW_농산물_11-12월'!$A:$A,$E245))))</f>
        <v>0</v>
      </c>
      <c r="H245" s="14">
        <f>IF($C245="","",IF('설정'!$B$3=0,"",CHOOSE('설정'!$B$3,SUMIFS('RAW_농산물_7월'!$H:$H,'RAW_농산물_7월'!$D:$D,$C245,'RAW_농산물_7월'!$A:$A,$E245),SUMIFS('RAW_농산물_8월'!$H:$H,'RAW_농산물_8월'!$D:$D,$C245,'RAW_농산물_8월'!$A:$A,$E245),SUMIFS('RAW_농산물_9월'!$H:$H,'RAW_농산물_9월'!$D:$D,$C245,'RAW_농산물_9월'!$A:$A,$E245),SUMIFS('RAW_농산물_10월'!$H:$H,'RAW_농산물_10월'!$D:$D,$C245,'RAW_농산물_10월'!$A:$A,$E245),SUMIFS('RAW_농산물_11-12월'!$H:$H,'RAW_농산물_11-12월'!$D:$D,$C245,'RAW_농산물_11-12월'!$A:$A,$E245))))</f>
        <v>0</v>
      </c>
      <c r="I245" s="17" t="str">
        <f>IF($C245="","",IF(COUNTIFS('RAW_농산물_7월'!$D:$D,$C245,'RAW_농산물_7월'!$A:$A,$E245)&gt;0,"O",""))</f>
        <v/>
      </c>
      <c r="J245" s="17" t="str">
        <f>IF($C245="","",IF(COUNTIFS('RAW_농산물_8월'!$D:$D,$C245,'RAW_농산물_8월'!$A:$A,$E245)&gt;0,"O",""))</f>
        <v/>
      </c>
      <c r="K245" s="17" t="str">
        <f>IF($C245="","",IF(COUNTIFS('RAW_농산물_9월'!$D:$D,$C245,'RAW_농산물_9월'!$A:$A,$E245)&gt;0,"O",""))</f>
        <v/>
      </c>
      <c r="L245" s="17" t="str">
        <f>IF($C245="","",IF(COUNTIFS('RAW_농산물_10월'!$D:$D,$C245,'RAW_농산물_10월'!$A:$A,$E245)&gt;0,"O",""))</f>
        <v/>
      </c>
      <c r="M245" s="17" t="str">
        <f>IF($C245="","",IF(COUNTIFS('RAW_농산물_11-12월'!$D:$D,$C245,'RAW_농산물_11-12월'!$A:$A,$E245)&gt;0,"O",""))</f>
        <v/>
      </c>
      <c r="N245" s="7">
        <f>IF($C245="","",IF(COUNTA('RAW_농산물_7월'!$A:$A)&lt;=1,"",SUMIFS('RAW_농산물_7월'!$H:$H,'RAW_농산물_7월'!$D:$D,$C245,'RAW_농산물_7월'!$A:$A,$E245)))</f>
        <v>0</v>
      </c>
      <c r="O245" s="7">
        <f>IF($C245="","",IF(COUNTA('RAW_농산물_8월'!$A:$A)&lt;=1,"",SUMIFS('RAW_농산물_8월'!$H:$H,'RAW_농산물_8월'!$D:$D,$C245,'RAW_농산물_8월'!$A:$A,$E245)-SUMIFS('RAW_농산물_7월'!$H:$H,'RAW_농산물_7월'!$D:$D,$C245,'RAW_농산물_7월'!$A:$A,$E245)))</f>
        <v>0</v>
      </c>
      <c r="P245" s="7" t="str">
        <f>IF($C245="","",IF(COUNTA('RAW_농산물_9월'!$A:$A)&lt;=1,"",SUMIFS('RAW_농산물_9월'!$H:$H,'RAW_농산물_9월'!$D:$D,$C245,'RAW_농산물_9월'!$A:$A,$E245)-SUMIFS('RAW_농산물_8월'!$H:$H,'RAW_농산물_8월'!$D:$D,$C245,'RAW_농산물_8월'!$A:$A,$E245)))</f>
        <v/>
      </c>
      <c r="Q245" s="7" t="str">
        <f>IF($C245="","",IF(COUNTA('RAW_농산물_10월'!$A:$A)&lt;=1,"",SUMIFS('RAW_농산물_10월'!$H:$H,'RAW_농산물_10월'!$D:$D,$C245,'RAW_농산물_10월'!$A:$A,$E245)-SUMIFS('RAW_농산물_9월'!$H:$H,'RAW_농산물_9월'!$D:$D,$C245,'RAW_농산물_9월'!$A:$A,$E245)))</f>
        <v/>
      </c>
      <c r="R245" s="7" t="str">
        <f>IF($C245="","",IF(COUNTA('RAW_농산물_11-12월'!$A:$A)&lt;=1,"",SUMIFS('RAW_농산물_11-12월'!$H:$H,'RAW_농산물_11-12월'!$D:$D,$C245,'RAW_농산물_11-12월'!$A:$A,$E245)-SUMIFS('RAW_농산물_10월'!$H:$H,'RAW_농산물_10월'!$D:$D,$C245,'RAW_농산물_10월'!$A:$A,$E245)))</f>
        <v/>
      </c>
      <c r="S245" s="17" t="str">
        <f t="shared" si="4"/>
        <v/>
      </c>
      <c r="T245" s="17" t="str">
        <f t="shared" si="5"/>
        <v>미사용</v>
      </c>
      <c r="U245" s="7">
        <f>IF($C245="",0,IF('설정'!$B$3=0,0,CHOOSE('설정'!$B$3,COUNTIFS('RAW_농산물_7월'!$D:$D,$C245,'RAW_농산물_7월'!$A:$A,$E245),COUNTIFS('RAW_농산물_8월'!$D:$D,$C245,'RAW_농산물_8월'!$A:$A,$E245),COUNTIFS('RAW_농산물_9월'!$D:$D,$C245,'RAW_농산물_9월'!$A:$A,$E245),COUNTIFS('RAW_농산물_10월'!$D:$D,$C245,'RAW_농산물_10월'!$A:$A,$E245),COUNTIFS('RAW_농산물_11-12월'!$D:$D,$C245,'RAW_농산물_11-12월'!$A:$A,$E245))))</f>
        <v>0</v>
      </c>
    </row>
    <row r="246" ht="15.75" customHeight="1">
      <c r="A246" s="5">
        <v>244.0</v>
      </c>
      <c r="B246" s="5" t="s">
        <v>145</v>
      </c>
      <c r="C246" s="5" t="s">
        <v>546</v>
      </c>
      <c r="D246" s="6" t="s">
        <v>545</v>
      </c>
      <c r="E246" s="5" t="s">
        <v>92</v>
      </c>
      <c r="F246" s="7">
        <f>IF($C246="","",IF('설정'!$B$3=0,"",CHOOSE('설정'!$B$3,SUMIFS('RAW_농산물_7월'!$F:$F,'RAW_농산물_7월'!$D:$D,$C246,'RAW_농산물_7월'!$A:$A,$E246),SUMIFS('RAW_농산물_8월'!$F:$F,'RAW_농산물_8월'!$D:$D,$C246,'RAW_농산물_8월'!$A:$A,$E246),SUMIFS('RAW_농산물_9월'!$F:$F,'RAW_농산물_9월'!$D:$D,$C246,'RAW_농산물_9월'!$A:$A,$E246),SUMIFS('RAW_농산물_10월'!$F:$F,'RAW_농산물_10월'!$D:$D,$C246,'RAW_농산물_10월'!$A:$A,$E246),SUMIFS('RAW_농산물_11-12월'!$F:$F,'RAW_농산물_11-12월'!$D:$D,$C246,'RAW_농산물_11-12월'!$A:$A,$E246))))</f>
        <v>92</v>
      </c>
      <c r="G246" s="7">
        <f>IF($C246="","",IF('설정'!$B$3=0,"",CHOOSE('설정'!$B$3,SUMIFS('RAW_농산물_7월'!$G:$G,'RAW_농산물_7월'!$D:$D,$C246,'RAW_농산물_7월'!$A:$A,$E246),SUMIFS('RAW_농산물_8월'!$G:$G,'RAW_농산물_8월'!$D:$D,$C246,'RAW_농산물_8월'!$A:$A,$E246),SUMIFS('RAW_농산물_9월'!$G:$G,'RAW_농산물_9월'!$D:$D,$C246,'RAW_농산물_9월'!$A:$A,$E246),SUMIFS('RAW_농산물_10월'!$G:$G,'RAW_농산물_10월'!$D:$D,$C246,'RAW_농산물_10월'!$A:$A,$E246),SUMIFS('RAW_농산물_11-12월'!$G:$G,'RAW_농산물_11-12월'!$D:$D,$C246,'RAW_농산물_11-12월'!$A:$A,$E246))))</f>
        <v>1481700</v>
      </c>
      <c r="H246" s="14">
        <f>IF($C246="","",IF('설정'!$B$3=0,"",CHOOSE('설정'!$B$3,SUMIFS('RAW_농산물_7월'!$H:$H,'RAW_농산물_7월'!$D:$D,$C246,'RAW_농산물_7월'!$A:$A,$E246),SUMIFS('RAW_농산물_8월'!$H:$H,'RAW_농산물_8월'!$D:$D,$C246,'RAW_농산물_8월'!$A:$A,$E246),SUMIFS('RAW_농산물_9월'!$H:$H,'RAW_농산물_9월'!$D:$D,$C246,'RAW_농산물_9월'!$A:$A,$E246),SUMIFS('RAW_농산물_10월'!$H:$H,'RAW_농산물_10월'!$D:$D,$C246,'RAW_농산물_10월'!$A:$A,$E246),SUMIFS('RAW_농산물_11-12월'!$H:$H,'RAW_농산물_11-12월'!$D:$D,$C246,'RAW_농산물_11-12월'!$A:$A,$E246))))</f>
        <v>205380</v>
      </c>
      <c r="I246" s="17" t="str">
        <f>IF($C246="","",IF(COUNTIFS('RAW_농산물_7월'!$D:$D,$C246,'RAW_농산물_7월'!$A:$A,$E246)&gt;0,"O",""))</f>
        <v>O</v>
      </c>
      <c r="J246" s="17" t="str">
        <f>IF($C246="","",IF(COUNTIFS('RAW_농산물_8월'!$D:$D,$C246,'RAW_농산물_8월'!$A:$A,$E246)&gt;0,"O",""))</f>
        <v>O</v>
      </c>
      <c r="K246" s="17" t="str">
        <f>IF($C246="","",IF(COUNTIFS('RAW_농산물_9월'!$D:$D,$C246,'RAW_농산물_9월'!$A:$A,$E246)&gt;0,"O",""))</f>
        <v/>
      </c>
      <c r="L246" s="17" t="str">
        <f>IF($C246="","",IF(COUNTIFS('RAW_농산물_10월'!$D:$D,$C246,'RAW_농산물_10월'!$A:$A,$E246)&gt;0,"O",""))</f>
        <v/>
      </c>
      <c r="M246" s="17" t="str">
        <f>IF($C246="","",IF(COUNTIFS('RAW_농산물_11-12월'!$D:$D,$C246,'RAW_농산물_11-12월'!$A:$A,$E246)&gt;0,"O",""))</f>
        <v/>
      </c>
      <c r="N246" s="7">
        <f>IF($C246="","",IF(COUNTA('RAW_농산물_7월'!$A:$A)&lt;=1,"",SUMIFS('RAW_농산물_7월'!$H:$H,'RAW_농산물_7월'!$D:$D,$C246,'RAW_농산물_7월'!$A:$A,$E246)))</f>
        <v>26080</v>
      </c>
      <c r="O246" s="7">
        <f>IF($C246="","",IF(COUNTA('RAW_농산물_8월'!$A:$A)&lt;=1,"",SUMIFS('RAW_농산물_8월'!$H:$H,'RAW_농산물_8월'!$D:$D,$C246,'RAW_농산물_8월'!$A:$A,$E246)-SUMIFS('RAW_농산물_7월'!$H:$H,'RAW_농산물_7월'!$D:$D,$C246,'RAW_농산물_7월'!$A:$A,$E246)))</f>
        <v>179300</v>
      </c>
      <c r="P246" s="7" t="str">
        <f>IF($C246="","",IF(COUNTA('RAW_농산물_9월'!$A:$A)&lt;=1,"",SUMIFS('RAW_농산물_9월'!$H:$H,'RAW_농산물_9월'!$D:$D,$C246,'RAW_농산물_9월'!$A:$A,$E246)-SUMIFS('RAW_농산물_8월'!$H:$H,'RAW_농산물_8월'!$D:$D,$C246,'RAW_농산물_8월'!$A:$A,$E246)))</f>
        <v/>
      </c>
      <c r="Q246" s="7" t="str">
        <f>IF($C246="","",IF(COUNTA('RAW_농산물_10월'!$A:$A)&lt;=1,"",SUMIFS('RAW_농산물_10월'!$H:$H,'RAW_농산물_10월'!$D:$D,$C246,'RAW_농산물_10월'!$A:$A,$E246)-SUMIFS('RAW_농산물_9월'!$H:$H,'RAW_농산물_9월'!$D:$D,$C246,'RAW_농산물_9월'!$A:$A,$E246)))</f>
        <v/>
      </c>
      <c r="R246" s="7" t="str">
        <f>IF($C246="","",IF(COUNTA('RAW_농산물_11-12월'!$A:$A)&lt;=1,"",SUMIFS('RAW_농산물_11-12월'!$H:$H,'RAW_농산물_11-12월'!$D:$D,$C246,'RAW_농산물_11-12월'!$A:$A,$E246)-SUMIFS('RAW_농산물_10월'!$H:$H,'RAW_농산물_10월'!$D:$D,$C246,'RAW_농산물_10월'!$A:$A,$E246)))</f>
        <v/>
      </c>
      <c r="S246" s="17" t="str">
        <f t="shared" si="4"/>
        <v>O</v>
      </c>
      <c r="T246" s="17" t="str">
        <f t="shared" si="5"/>
        <v>50만원 미만</v>
      </c>
      <c r="U246" s="7">
        <f>IF($C246="",0,IF('설정'!$B$3=0,0,CHOOSE('설정'!$B$3,COUNTIFS('RAW_농산물_7월'!$D:$D,$C246,'RAW_농산물_7월'!$A:$A,$E246),COUNTIFS('RAW_농산물_8월'!$D:$D,$C246,'RAW_농산물_8월'!$A:$A,$E246),COUNTIFS('RAW_농산물_9월'!$D:$D,$C246,'RAW_농산물_9월'!$A:$A,$E246),COUNTIFS('RAW_농산물_10월'!$D:$D,$C246,'RAW_농산물_10월'!$A:$A,$E246),COUNTIFS('RAW_농산물_11-12월'!$D:$D,$C246,'RAW_농산물_11-12월'!$A:$A,$E246))))</f>
        <v>2</v>
      </c>
    </row>
    <row r="247" ht="15.75" customHeight="1">
      <c r="A247" s="5">
        <v>245.0</v>
      </c>
      <c r="B247" s="5" t="s">
        <v>25</v>
      </c>
      <c r="C247" s="5" t="s">
        <v>3033</v>
      </c>
      <c r="D247" s="6" t="s">
        <v>3034</v>
      </c>
      <c r="E247" s="5" t="s">
        <v>28</v>
      </c>
      <c r="F247" s="7">
        <f>IF($C247="","",IF('설정'!$B$3=0,"",CHOOSE('설정'!$B$3,SUMIFS('RAW_농산물_7월'!$F:$F,'RAW_농산물_7월'!$D:$D,$C247,'RAW_농산물_7월'!$A:$A,$E247),SUMIFS('RAW_농산물_8월'!$F:$F,'RAW_농산물_8월'!$D:$D,$C247,'RAW_농산물_8월'!$A:$A,$E247),SUMIFS('RAW_농산물_9월'!$F:$F,'RAW_농산물_9월'!$D:$D,$C247,'RAW_농산물_9월'!$A:$A,$E247),SUMIFS('RAW_농산물_10월'!$F:$F,'RAW_농산물_10월'!$D:$D,$C247,'RAW_농산물_10월'!$A:$A,$E247),SUMIFS('RAW_농산물_11-12월'!$F:$F,'RAW_농산물_11-12월'!$D:$D,$C247,'RAW_농산물_11-12월'!$A:$A,$E247))))</f>
        <v>0</v>
      </c>
      <c r="G247" s="7">
        <f>IF($C247="","",IF('설정'!$B$3=0,"",CHOOSE('설정'!$B$3,SUMIFS('RAW_농산물_7월'!$G:$G,'RAW_농산물_7월'!$D:$D,$C247,'RAW_농산물_7월'!$A:$A,$E247),SUMIFS('RAW_농산물_8월'!$G:$G,'RAW_농산물_8월'!$D:$D,$C247,'RAW_농산물_8월'!$A:$A,$E247),SUMIFS('RAW_농산물_9월'!$G:$G,'RAW_농산물_9월'!$D:$D,$C247,'RAW_농산물_9월'!$A:$A,$E247),SUMIFS('RAW_농산물_10월'!$G:$G,'RAW_농산물_10월'!$D:$D,$C247,'RAW_농산물_10월'!$A:$A,$E247),SUMIFS('RAW_농산물_11-12월'!$G:$G,'RAW_농산물_11-12월'!$D:$D,$C247,'RAW_농산물_11-12월'!$A:$A,$E247))))</f>
        <v>0</v>
      </c>
      <c r="H247" s="14">
        <f>IF($C247="","",IF('설정'!$B$3=0,"",CHOOSE('설정'!$B$3,SUMIFS('RAW_농산물_7월'!$H:$H,'RAW_농산물_7월'!$D:$D,$C247,'RAW_농산물_7월'!$A:$A,$E247),SUMIFS('RAW_농산물_8월'!$H:$H,'RAW_농산물_8월'!$D:$D,$C247,'RAW_농산물_8월'!$A:$A,$E247),SUMIFS('RAW_농산물_9월'!$H:$H,'RAW_농산물_9월'!$D:$D,$C247,'RAW_농산물_9월'!$A:$A,$E247),SUMIFS('RAW_농산물_10월'!$H:$H,'RAW_농산물_10월'!$D:$D,$C247,'RAW_농산물_10월'!$A:$A,$E247),SUMIFS('RAW_농산물_11-12월'!$H:$H,'RAW_농산물_11-12월'!$D:$D,$C247,'RAW_농산물_11-12월'!$A:$A,$E247))))</f>
        <v>0</v>
      </c>
      <c r="I247" s="17" t="str">
        <f>IF($C247="","",IF(COUNTIFS('RAW_농산물_7월'!$D:$D,$C247,'RAW_농산물_7월'!$A:$A,$E247)&gt;0,"O",""))</f>
        <v/>
      </c>
      <c r="J247" s="17" t="str">
        <f>IF($C247="","",IF(COUNTIFS('RAW_농산물_8월'!$D:$D,$C247,'RAW_농산물_8월'!$A:$A,$E247)&gt;0,"O",""))</f>
        <v/>
      </c>
      <c r="K247" s="17" t="str">
        <f>IF($C247="","",IF(COUNTIFS('RAW_농산물_9월'!$D:$D,$C247,'RAW_농산물_9월'!$A:$A,$E247)&gt;0,"O",""))</f>
        <v/>
      </c>
      <c r="L247" s="17" t="str">
        <f>IF($C247="","",IF(COUNTIFS('RAW_농산물_10월'!$D:$D,$C247,'RAW_농산물_10월'!$A:$A,$E247)&gt;0,"O",""))</f>
        <v/>
      </c>
      <c r="M247" s="17" t="str">
        <f>IF($C247="","",IF(COUNTIFS('RAW_농산물_11-12월'!$D:$D,$C247,'RAW_농산물_11-12월'!$A:$A,$E247)&gt;0,"O",""))</f>
        <v/>
      </c>
      <c r="N247" s="7">
        <f>IF($C247="","",IF(COUNTA('RAW_농산물_7월'!$A:$A)&lt;=1,"",SUMIFS('RAW_농산물_7월'!$H:$H,'RAW_농산물_7월'!$D:$D,$C247,'RAW_농산물_7월'!$A:$A,$E247)))</f>
        <v>0</v>
      </c>
      <c r="O247" s="7">
        <f>IF($C247="","",IF(COUNTA('RAW_농산물_8월'!$A:$A)&lt;=1,"",SUMIFS('RAW_농산물_8월'!$H:$H,'RAW_농산물_8월'!$D:$D,$C247,'RAW_농산물_8월'!$A:$A,$E247)-SUMIFS('RAW_농산물_7월'!$H:$H,'RAW_농산물_7월'!$D:$D,$C247,'RAW_농산물_7월'!$A:$A,$E247)))</f>
        <v>0</v>
      </c>
      <c r="P247" s="7" t="str">
        <f>IF($C247="","",IF(COUNTA('RAW_농산물_9월'!$A:$A)&lt;=1,"",SUMIFS('RAW_농산물_9월'!$H:$H,'RAW_농산물_9월'!$D:$D,$C247,'RAW_농산물_9월'!$A:$A,$E247)-SUMIFS('RAW_농산물_8월'!$H:$H,'RAW_농산물_8월'!$D:$D,$C247,'RAW_농산물_8월'!$A:$A,$E247)))</f>
        <v/>
      </c>
      <c r="Q247" s="7" t="str">
        <f>IF($C247="","",IF(COUNTA('RAW_농산물_10월'!$A:$A)&lt;=1,"",SUMIFS('RAW_농산물_10월'!$H:$H,'RAW_농산물_10월'!$D:$D,$C247,'RAW_농산물_10월'!$A:$A,$E247)-SUMIFS('RAW_농산물_9월'!$H:$H,'RAW_농산물_9월'!$D:$D,$C247,'RAW_농산물_9월'!$A:$A,$E247)))</f>
        <v/>
      </c>
      <c r="R247" s="7" t="str">
        <f>IF($C247="","",IF(COUNTA('RAW_농산물_11-12월'!$A:$A)&lt;=1,"",SUMIFS('RAW_농산물_11-12월'!$H:$H,'RAW_농산물_11-12월'!$D:$D,$C247,'RAW_농산물_11-12월'!$A:$A,$E247)-SUMIFS('RAW_농산물_10월'!$H:$H,'RAW_농산물_10월'!$D:$D,$C247,'RAW_농산물_10월'!$A:$A,$E247)))</f>
        <v/>
      </c>
      <c r="S247" s="17" t="str">
        <f t="shared" si="4"/>
        <v/>
      </c>
      <c r="T247" s="17" t="str">
        <f t="shared" si="5"/>
        <v>미사용</v>
      </c>
      <c r="U247" s="7">
        <f>IF($C247="",0,IF('설정'!$B$3=0,0,CHOOSE('설정'!$B$3,COUNTIFS('RAW_농산물_7월'!$D:$D,$C247,'RAW_농산물_7월'!$A:$A,$E247),COUNTIFS('RAW_농산물_8월'!$D:$D,$C247,'RAW_농산물_8월'!$A:$A,$E247),COUNTIFS('RAW_농산물_9월'!$D:$D,$C247,'RAW_농산물_9월'!$A:$A,$E247),COUNTIFS('RAW_농산물_10월'!$D:$D,$C247,'RAW_농산물_10월'!$A:$A,$E247),COUNTIFS('RAW_농산물_11-12월'!$D:$D,$C247,'RAW_농산물_11-12월'!$A:$A,$E247))))</f>
        <v>0</v>
      </c>
    </row>
    <row r="248" ht="15.75" customHeight="1">
      <c r="A248" s="5">
        <v>246.0</v>
      </c>
      <c r="B248" s="5" t="s">
        <v>145</v>
      </c>
      <c r="C248" s="5" t="s">
        <v>447</v>
      </c>
      <c r="D248" s="6" t="s">
        <v>446</v>
      </c>
      <c r="E248" s="5" t="s">
        <v>92</v>
      </c>
      <c r="F248" s="7">
        <f>IF($C248="","",IF('설정'!$B$3=0,"",CHOOSE('설정'!$B$3,SUMIFS('RAW_농산물_7월'!$F:$F,'RAW_농산물_7월'!$D:$D,$C248,'RAW_농산물_7월'!$A:$A,$E248),SUMIFS('RAW_농산물_8월'!$F:$F,'RAW_농산물_8월'!$D:$D,$C248,'RAW_농산물_8월'!$A:$A,$E248),SUMIFS('RAW_농산물_9월'!$F:$F,'RAW_농산물_9월'!$D:$D,$C248,'RAW_농산물_9월'!$A:$A,$E248),SUMIFS('RAW_농산물_10월'!$F:$F,'RAW_농산물_10월'!$D:$D,$C248,'RAW_농산물_10월'!$A:$A,$E248),SUMIFS('RAW_농산물_11-12월'!$F:$F,'RAW_농산물_11-12월'!$D:$D,$C248,'RAW_농산물_11-12월'!$A:$A,$E248))))</f>
        <v>95</v>
      </c>
      <c r="G248" s="7">
        <f>IF($C248="","",IF('설정'!$B$3=0,"",CHOOSE('설정'!$B$3,SUMIFS('RAW_농산물_7월'!$G:$G,'RAW_농산물_7월'!$D:$D,$C248,'RAW_농산물_7월'!$A:$A,$E248),SUMIFS('RAW_농산물_8월'!$G:$G,'RAW_농산물_8월'!$D:$D,$C248,'RAW_농산물_8월'!$A:$A,$E248),SUMIFS('RAW_농산물_9월'!$G:$G,'RAW_농산물_9월'!$D:$D,$C248,'RAW_농산물_9월'!$A:$A,$E248),SUMIFS('RAW_농산물_10월'!$G:$G,'RAW_농산물_10월'!$D:$D,$C248,'RAW_농산물_10월'!$A:$A,$E248),SUMIFS('RAW_농산물_11-12월'!$G:$G,'RAW_농산물_11-12월'!$D:$D,$C248,'RAW_농산물_11-12월'!$A:$A,$E248))))</f>
        <v>2107070</v>
      </c>
      <c r="H248" s="14">
        <f>IF($C248="","",IF('설정'!$B$3=0,"",CHOOSE('설정'!$B$3,SUMIFS('RAW_농산물_7월'!$H:$H,'RAW_농산물_7월'!$D:$D,$C248,'RAW_농산물_7월'!$A:$A,$E248),SUMIFS('RAW_농산물_8월'!$H:$H,'RAW_농산물_8월'!$D:$D,$C248,'RAW_농산물_8월'!$A:$A,$E248),SUMIFS('RAW_농산물_9월'!$H:$H,'RAW_농산물_9월'!$D:$D,$C248,'RAW_농산물_9월'!$A:$A,$E248),SUMIFS('RAW_농산물_10월'!$H:$H,'RAW_농산물_10월'!$D:$D,$C248,'RAW_농산물_10월'!$A:$A,$E248),SUMIFS('RAW_농산물_11-12월'!$H:$H,'RAW_농산물_11-12월'!$D:$D,$C248,'RAW_농산물_11-12월'!$A:$A,$E248))))</f>
        <v>327200</v>
      </c>
      <c r="I248" s="17" t="str">
        <f>IF($C248="","",IF(COUNTIFS('RAW_농산물_7월'!$D:$D,$C248,'RAW_농산물_7월'!$A:$A,$E248)&gt;0,"O",""))</f>
        <v>O</v>
      </c>
      <c r="J248" s="17" t="str">
        <f>IF($C248="","",IF(COUNTIFS('RAW_농산물_8월'!$D:$D,$C248,'RAW_농산물_8월'!$A:$A,$E248)&gt;0,"O",""))</f>
        <v>O</v>
      </c>
      <c r="K248" s="17" t="str">
        <f>IF($C248="","",IF(COUNTIFS('RAW_농산물_9월'!$D:$D,$C248,'RAW_농산물_9월'!$A:$A,$E248)&gt;0,"O",""))</f>
        <v/>
      </c>
      <c r="L248" s="17" t="str">
        <f>IF($C248="","",IF(COUNTIFS('RAW_농산물_10월'!$D:$D,$C248,'RAW_농산물_10월'!$A:$A,$E248)&gt;0,"O",""))</f>
        <v/>
      </c>
      <c r="M248" s="17" t="str">
        <f>IF($C248="","",IF(COUNTIFS('RAW_농산물_11-12월'!$D:$D,$C248,'RAW_농산물_11-12월'!$A:$A,$E248)&gt;0,"O",""))</f>
        <v/>
      </c>
      <c r="N248" s="7">
        <f>IF($C248="","",IF(COUNTA('RAW_농산물_7월'!$A:$A)&lt;=1,"",SUMIFS('RAW_농산물_7월'!$H:$H,'RAW_농산물_7월'!$D:$D,$C248,'RAW_농산물_7월'!$A:$A,$E248)))</f>
        <v>277240</v>
      </c>
      <c r="O248" s="7">
        <f>IF($C248="","",IF(COUNTA('RAW_농산물_8월'!$A:$A)&lt;=1,"",SUMIFS('RAW_농산물_8월'!$H:$H,'RAW_농산물_8월'!$D:$D,$C248,'RAW_농산물_8월'!$A:$A,$E248)-SUMIFS('RAW_농산물_7월'!$H:$H,'RAW_농산물_7월'!$D:$D,$C248,'RAW_농산물_7월'!$A:$A,$E248)))</f>
        <v>49960</v>
      </c>
      <c r="P248" s="7" t="str">
        <f>IF($C248="","",IF(COUNTA('RAW_농산물_9월'!$A:$A)&lt;=1,"",SUMIFS('RAW_농산물_9월'!$H:$H,'RAW_농산물_9월'!$D:$D,$C248,'RAW_농산물_9월'!$A:$A,$E248)-SUMIFS('RAW_농산물_8월'!$H:$H,'RAW_농산물_8월'!$D:$D,$C248,'RAW_농산물_8월'!$A:$A,$E248)))</f>
        <v/>
      </c>
      <c r="Q248" s="7" t="str">
        <f>IF($C248="","",IF(COUNTA('RAW_농산물_10월'!$A:$A)&lt;=1,"",SUMIFS('RAW_농산물_10월'!$H:$H,'RAW_농산물_10월'!$D:$D,$C248,'RAW_농산물_10월'!$A:$A,$E248)-SUMIFS('RAW_농산물_9월'!$H:$H,'RAW_농산물_9월'!$D:$D,$C248,'RAW_농산물_9월'!$A:$A,$E248)))</f>
        <v/>
      </c>
      <c r="R248" s="7" t="str">
        <f>IF($C248="","",IF(COUNTA('RAW_농산물_11-12월'!$A:$A)&lt;=1,"",SUMIFS('RAW_농산물_11-12월'!$H:$H,'RAW_농산물_11-12월'!$D:$D,$C248,'RAW_농산물_11-12월'!$A:$A,$E248)-SUMIFS('RAW_농산물_10월'!$H:$H,'RAW_농산물_10월'!$D:$D,$C248,'RAW_농산물_10월'!$A:$A,$E248)))</f>
        <v/>
      </c>
      <c r="S248" s="17" t="str">
        <f t="shared" si="4"/>
        <v>O</v>
      </c>
      <c r="T248" s="17" t="str">
        <f t="shared" si="5"/>
        <v>50만원 미만</v>
      </c>
      <c r="U248" s="7">
        <f>IF($C248="",0,IF('설정'!$B$3=0,0,CHOOSE('설정'!$B$3,COUNTIFS('RAW_농산물_7월'!$D:$D,$C248,'RAW_농산물_7월'!$A:$A,$E248),COUNTIFS('RAW_농산물_8월'!$D:$D,$C248,'RAW_농산물_8월'!$A:$A,$E248),COUNTIFS('RAW_농산물_9월'!$D:$D,$C248,'RAW_농산물_9월'!$A:$A,$E248),COUNTIFS('RAW_농산물_10월'!$D:$D,$C248,'RAW_농산물_10월'!$A:$A,$E248),COUNTIFS('RAW_농산물_11-12월'!$D:$D,$C248,'RAW_농산물_11-12월'!$A:$A,$E248))))</f>
        <v>10</v>
      </c>
    </row>
    <row r="249" ht="15.75" customHeight="1">
      <c r="A249" s="5">
        <v>247.0</v>
      </c>
      <c r="B249" s="5" t="s">
        <v>145</v>
      </c>
      <c r="C249" s="5" t="s">
        <v>1296</v>
      </c>
      <c r="D249" s="6" t="s">
        <v>1295</v>
      </c>
      <c r="E249" s="5" t="s">
        <v>94</v>
      </c>
      <c r="F249" s="7">
        <f>IF($C249="","",IF('설정'!$B$3=0,"",CHOOSE('설정'!$B$3,SUMIFS('RAW_농산물_7월'!$F:$F,'RAW_농산물_7월'!$D:$D,$C249,'RAW_농산물_7월'!$A:$A,$E249),SUMIFS('RAW_농산물_8월'!$F:$F,'RAW_농산물_8월'!$D:$D,$C249,'RAW_농산물_8월'!$A:$A,$E249),SUMIFS('RAW_농산물_9월'!$F:$F,'RAW_농산물_9월'!$D:$D,$C249,'RAW_농산물_9월'!$A:$A,$E249),SUMIFS('RAW_농산물_10월'!$F:$F,'RAW_농산물_10월'!$D:$D,$C249,'RAW_농산물_10월'!$A:$A,$E249),SUMIFS('RAW_농산물_11-12월'!$F:$F,'RAW_농산물_11-12월'!$D:$D,$C249,'RAW_농산물_11-12월'!$A:$A,$E249))))</f>
        <v>20</v>
      </c>
      <c r="G249" s="7">
        <f>IF($C249="","",IF('설정'!$B$3=0,"",CHOOSE('설정'!$B$3,SUMIFS('RAW_농산물_7월'!$G:$G,'RAW_농산물_7월'!$D:$D,$C249,'RAW_농산물_7월'!$A:$A,$E249),SUMIFS('RAW_농산물_8월'!$G:$G,'RAW_농산물_8월'!$D:$D,$C249,'RAW_농산물_8월'!$A:$A,$E249),SUMIFS('RAW_농산물_9월'!$G:$G,'RAW_농산물_9월'!$D:$D,$C249,'RAW_농산물_9월'!$A:$A,$E249),SUMIFS('RAW_농산물_10월'!$G:$G,'RAW_농산물_10월'!$D:$D,$C249,'RAW_농산물_10월'!$A:$A,$E249),SUMIFS('RAW_농산물_11-12월'!$G:$G,'RAW_농산물_11-12월'!$D:$D,$C249,'RAW_농산물_11-12월'!$A:$A,$E249))))</f>
        <v>165300</v>
      </c>
      <c r="H249" s="14">
        <f>IF($C249="","",IF('설정'!$B$3=0,"",CHOOSE('설정'!$B$3,SUMIFS('RAW_농산물_7월'!$H:$H,'RAW_농산물_7월'!$D:$D,$C249,'RAW_농산물_7월'!$A:$A,$E249),SUMIFS('RAW_농산물_8월'!$H:$H,'RAW_농산물_8월'!$D:$D,$C249,'RAW_농산물_8월'!$A:$A,$E249),SUMIFS('RAW_농산물_9월'!$H:$H,'RAW_농산물_9월'!$D:$D,$C249,'RAW_농산물_9월'!$A:$A,$E249),SUMIFS('RAW_농산물_10월'!$H:$H,'RAW_농산물_10월'!$D:$D,$C249,'RAW_농산물_10월'!$A:$A,$E249),SUMIFS('RAW_농산물_11-12월'!$H:$H,'RAW_농산물_11-12월'!$D:$D,$C249,'RAW_농산물_11-12월'!$A:$A,$E249))))</f>
        <v>20408</v>
      </c>
      <c r="I249" s="17" t="str">
        <f>IF($C249="","",IF(COUNTIFS('RAW_농산물_7월'!$D:$D,$C249,'RAW_농산물_7월'!$A:$A,$E249)&gt;0,"O",""))</f>
        <v>O</v>
      </c>
      <c r="J249" s="17" t="str">
        <f>IF($C249="","",IF(COUNTIFS('RAW_농산물_8월'!$D:$D,$C249,'RAW_농산물_8월'!$A:$A,$E249)&gt;0,"O",""))</f>
        <v>O</v>
      </c>
      <c r="K249" s="17" t="str">
        <f>IF($C249="","",IF(COUNTIFS('RAW_농산물_9월'!$D:$D,$C249,'RAW_농산물_9월'!$A:$A,$E249)&gt;0,"O",""))</f>
        <v/>
      </c>
      <c r="L249" s="17" t="str">
        <f>IF($C249="","",IF(COUNTIFS('RAW_농산물_10월'!$D:$D,$C249,'RAW_농산물_10월'!$A:$A,$E249)&gt;0,"O",""))</f>
        <v/>
      </c>
      <c r="M249" s="17" t="str">
        <f>IF($C249="","",IF(COUNTIFS('RAW_농산물_11-12월'!$D:$D,$C249,'RAW_농산물_11-12월'!$A:$A,$E249)&gt;0,"O",""))</f>
        <v/>
      </c>
      <c r="N249" s="7">
        <f>IF($C249="","",IF(COUNTA('RAW_농산물_7월'!$A:$A)&lt;=1,"",SUMIFS('RAW_농산물_7월'!$H:$H,'RAW_농산물_7월'!$D:$D,$C249,'RAW_농산물_7월'!$A:$A,$E249)))</f>
        <v>7928</v>
      </c>
      <c r="O249" s="7">
        <f>IF($C249="","",IF(COUNTA('RAW_농산물_8월'!$A:$A)&lt;=1,"",SUMIFS('RAW_농산물_8월'!$H:$H,'RAW_농산물_8월'!$D:$D,$C249,'RAW_농산물_8월'!$A:$A,$E249)-SUMIFS('RAW_농산물_7월'!$H:$H,'RAW_농산물_7월'!$D:$D,$C249,'RAW_농산물_7월'!$A:$A,$E249)))</f>
        <v>12480</v>
      </c>
      <c r="P249" s="7" t="str">
        <f>IF($C249="","",IF(COUNTA('RAW_농산물_9월'!$A:$A)&lt;=1,"",SUMIFS('RAW_농산물_9월'!$H:$H,'RAW_농산물_9월'!$D:$D,$C249,'RAW_농산물_9월'!$A:$A,$E249)-SUMIFS('RAW_농산물_8월'!$H:$H,'RAW_농산물_8월'!$D:$D,$C249,'RAW_농산물_8월'!$A:$A,$E249)))</f>
        <v/>
      </c>
      <c r="Q249" s="7" t="str">
        <f>IF($C249="","",IF(COUNTA('RAW_농산물_10월'!$A:$A)&lt;=1,"",SUMIFS('RAW_농산물_10월'!$H:$H,'RAW_농산물_10월'!$D:$D,$C249,'RAW_농산물_10월'!$A:$A,$E249)-SUMIFS('RAW_농산물_9월'!$H:$H,'RAW_농산물_9월'!$D:$D,$C249,'RAW_농산물_9월'!$A:$A,$E249)))</f>
        <v/>
      </c>
      <c r="R249" s="7" t="str">
        <f>IF($C249="","",IF(COUNTA('RAW_농산물_11-12월'!$A:$A)&lt;=1,"",SUMIFS('RAW_농산물_11-12월'!$H:$H,'RAW_농산물_11-12월'!$D:$D,$C249,'RAW_농산물_11-12월'!$A:$A,$E249)-SUMIFS('RAW_농산물_10월'!$H:$H,'RAW_농산물_10월'!$D:$D,$C249,'RAW_농산물_10월'!$A:$A,$E249)))</f>
        <v/>
      </c>
      <c r="S249" s="17" t="str">
        <f t="shared" si="4"/>
        <v>O</v>
      </c>
      <c r="T249" s="17" t="str">
        <f t="shared" si="5"/>
        <v>50만원 미만</v>
      </c>
      <c r="U249" s="7">
        <f>IF($C249="",0,IF('설정'!$B$3=0,0,CHOOSE('설정'!$B$3,COUNTIFS('RAW_농산물_7월'!$D:$D,$C249,'RAW_농산물_7월'!$A:$A,$E249),COUNTIFS('RAW_농산물_8월'!$D:$D,$C249,'RAW_농산물_8월'!$A:$A,$E249),COUNTIFS('RAW_농산물_9월'!$D:$D,$C249,'RAW_농산물_9월'!$A:$A,$E249),COUNTIFS('RAW_농산물_10월'!$D:$D,$C249,'RAW_농산물_10월'!$A:$A,$E249),COUNTIFS('RAW_농산물_11-12월'!$D:$D,$C249,'RAW_농산물_11-12월'!$A:$A,$E249))))</f>
        <v>1</v>
      </c>
    </row>
    <row r="250" ht="15.75" customHeight="1">
      <c r="A250" s="5">
        <v>248.0</v>
      </c>
      <c r="B250" s="5" t="s">
        <v>145</v>
      </c>
      <c r="C250" s="5" t="s">
        <v>1927</v>
      </c>
      <c r="D250" s="6" t="s">
        <v>1926</v>
      </c>
      <c r="E250" s="5" t="s">
        <v>94</v>
      </c>
      <c r="F250" s="7">
        <f>IF($C250="","",IF('설정'!$B$3=0,"",CHOOSE('설정'!$B$3,SUMIFS('RAW_농산물_7월'!$F:$F,'RAW_농산물_7월'!$D:$D,$C250,'RAW_농산물_7월'!$A:$A,$E250),SUMIFS('RAW_농산물_8월'!$F:$F,'RAW_농산물_8월'!$D:$D,$C250,'RAW_농산물_8월'!$A:$A,$E250),SUMIFS('RAW_농산물_9월'!$F:$F,'RAW_농산물_9월'!$D:$D,$C250,'RAW_농산물_9월'!$A:$A,$E250),SUMIFS('RAW_농산물_10월'!$F:$F,'RAW_농산물_10월'!$D:$D,$C250,'RAW_농산물_10월'!$A:$A,$E250),SUMIFS('RAW_농산물_11-12월'!$F:$F,'RAW_농산물_11-12월'!$D:$D,$C250,'RAW_농산물_11-12월'!$A:$A,$E250))))</f>
        <v>4</v>
      </c>
      <c r="G250" s="7">
        <f>IF($C250="","",IF('설정'!$B$3=0,"",CHOOSE('설정'!$B$3,SUMIFS('RAW_농산물_7월'!$G:$G,'RAW_농산물_7월'!$D:$D,$C250,'RAW_농산물_7월'!$A:$A,$E250),SUMIFS('RAW_농산물_8월'!$G:$G,'RAW_농산물_8월'!$D:$D,$C250,'RAW_농산물_8월'!$A:$A,$E250),SUMIFS('RAW_농산물_9월'!$G:$G,'RAW_농산물_9월'!$D:$D,$C250,'RAW_농산물_9월'!$A:$A,$E250),SUMIFS('RAW_농산물_10월'!$G:$G,'RAW_농산물_10월'!$D:$D,$C250,'RAW_농산물_10월'!$A:$A,$E250),SUMIFS('RAW_농산물_11-12월'!$G:$G,'RAW_농산물_11-12월'!$D:$D,$C250,'RAW_농산물_11-12월'!$A:$A,$E250))))</f>
        <v>100600</v>
      </c>
      <c r="H250" s="14">
        <f>IF($C250="","",IF('설정'!$B$3=0,"",CHOOSE('설정'!$B$3,SUMIFS('RAW_농산물_7월'!$H:$H,'RAW_농산물_7월'!$D:$D,$C250,'RAW_농산물_7월'!$A:$A,$E250),SUMIFS('RAW_농산물_8월'!$H:$H,'RAW_농산물_8월'!$D:$D,$C250,'RAW_농산물_8월'!$A:$A,$E250),SUMIFS('RAW_농산물_9월'!$H:$H,'RAW_농산물_9월'!$D:$D,$C250,'RAW_농산물_9월'!$A:$A,$E250),SUMIFS('RAW_농산물_10월'!$H:$H,'RAW_농산물_10월'!$D:$D,$C250,'RAW_농산물_10월'!$A:$A,$E250),SUMIFS('RAW_농산물_11-12월'!$H:$H,'RAW_농산물_11-12월'!$D:$D,$C250,'RAW_농산물_11-12월'!$A:$A,$E250))))</f>
        <v>13140</v>
      </c>
      <c r="I250" s="17" t="str">
        <f>IF($C250="","",IF(COUNTIFS('RAW_농산물_7월'!$D:$D,$C250,'RAW_농산물_7월'!$A:$A,$E250)&gt;0,"O",""))</f>
        <v/>
      </c>
      <c r="J250" s="17" t="str">
        <f>IF($C250="","",IF(COUNTIFS('RAW_농산물_8월'!$D:$D,$C250,'RAW_농산물_8월'!$A:$A,$E250)&gt;0,"O",""))</f>
        <v>O</v>
      </c>
      <c r="K250" s="17" t="str">
        <f>IF($C250="","",IF(COUNTIFS('RAW_농산물_9월'!$D:$D,$C250,'RAW_농산물_9월'!$A:$A,$E250)&gt;0,"O",""))</f>
        <v/>
      </c>
      <c r="L250" s="17" t="str">
        <f>IF($C250="","",IF(COUNTIFS('RAW_농산물_10월'!$D:$D,$C250,'RAW_농산물_10월'!$A:$A,$E250)&gt;0,"O",""))</f>
        <v/>
      </c>
      <c r="M250" s="17" t="str">
        <f>IF($C250="","",IF(COUNTIFS('RAW_농산물_11-12월'!$D:$D,$C250,'RAW_농산물_11-12월'!$A:$A,$E250)&gt;0,"O",""))</f>
        <v/>
      </c>
      <c r="N250" s="7">
        <f>IF($C250="","",IF(COUNTA('RAW_농산물_7월'!$A:$A)&lt;=1,"",SUMIFS('RAW_농산물_7월'!$H:$H,'RAW_농산물_7월'!$D:$D,$C250,'RAW_농산물_7월'!$A:$A,$E250)))</f>
        <v>0</v>
      </c>
      <c r="O250" s="7">
        <f>IF($C250="","",IF(COUNTA('RAW_농산물_8월'!$A:$A)&lt;=1,"",SUMIFS('RAW_농산물_8월'!$H:$H,'RAW_농산물_8월'!$D:$D,$C250,'RAW_농산물_8월'!$A:$A,$E250)-SUMIFS('RAW_농산물_7월'!$H:$H,'RAW_농산물_7월'!$D:$D,$C250,'RAW_농산물_7월'!$A:$A,$E250)))</f>
        <v>13140</v>
      </c>
      <c r="P250" s="7" t="str">
        <f>IF($C250="","",IF(COUNTA('RAW_농산물_9월'!$A:$A)&lt;=1,"",SUMIFS('RAW_농산물_9월'!$H:$H,'RAW_농산물_9월'!$D:$D,$C250,'RAW_농산물_9월'!$A:$A,$E250)-SUMIFS('RAW_농산물_8월'!$H:$H,'RAW_농산물_8월'!$D:$D,$C250,'RAW_농산물_8월'!$A:$A,$E250)))</f>
        <v/>
      </c>
      <c r="Q250" s="7" t="str">
        <f>IF($C250="","",IF(COUNTA('RAW_농산물_10월'!$A:$A)&lt;=1,"",SUMIFS('RAW_농산물_10월'!$H:$H,'RAW_농산물_10월'!$D:$D,$C250,'RAW_농산물_10월'!$A:$A,$E250)-SUMIFS('RAW_농산물_9월'!$H:$H,'RAW_농산물_9월'!$D:$D,$C250,'RAW_농산물_9월'!$A:$A,$E250)))</f>
        <v/>
      </c>
      <c r="R250" s="7" t="str">
        <f>IF($C250="","",IF(COUNTA('RAW_농산물_11-12월'!$A:$A)&lt;=1,"",SUMIFS('RAW_농산물_11-12월'!$H:$H,'RAW_농산물_11-12월'!$D:$D,$C250,'RAW_농산물_11-12월'!$A:$A,$E250)-SUMIFS('RAW_농산물_10월'!$H:$H,'RAW_농산물_10월'!$D:$D,$C250,'RAW_농산물_10월'!$A:$A,$E250)))</f>
        <v/>
      </c>
      <c r="S250" s="17" t="str">
        <f t="shared" si="4"/>
        <v>O</v>
      </c>
      <c r="T250" s="17" t="str">
        <f t="shared" si="5"/>
        <v>50만원 미만</v>
      </c>
      <c r="U250" s="7">
        <f>IF($C250="",0,IF('설정'!$B$3=0,0,CHOOSE('설정'!$B$3,COUNTIFS('RAW_농산물_7월'!$D:$D,$C250,'RAW_농산물_7월'!$A:$A,$E250),COUNTIFS('RAW_농산물_8월'!$D:$D,$C250,'RAW_농산물_8월'!$A:$A,$E250),COUNTIFS('RAW_농산물_9월'!$D:$D,$C250,'RAW_농산물_9월'!$A:$A,$E250),COUNTIFS('RAW_농산물_10월'!$D:$D,$C250,'RAW_농산물_10월'!$A:$A,$E250),COUNTIFS('RAW_농산물_11-12월'!$D:$D,$C250,'RAW_농산물_11-12월'!$A:$A,$E250))))</f>
        <v>1</v>
      </c>
    </row>
    <row r="251" ht="15.75" customHeight="1">
      <c r="A251" s="5">
        <v>249.0</v>
      </c>
      <c r="B251" s="5" t="s">
        <v>145</v>
      </c>
      <c r="C251" s="5" t="s">
        <v>1072</v>
      </c>
      <c r="D251" s="6" t="s">
        <v>3035</v>
      </c>
      <c r="E251" s="5" t="s">
        <v>28</v>
      </c>
      <c r="F251" s="7">
        <f>IF($C251="","",IF('설정'!$B$3=0,"",CHOOSE('설정'!$B$3,SUMIFS('RAW_농산물_7월'!$F:$F,'RAW_농산물_7월'!$D:$D,$C251,'RAW_농산물_7월'!$A:$A,$E251),SUMIFS('RAW_농산물_8월'!$F:$F,'RAW_농산물_8월'!$D:$D,$C251,'RAW_농산물_8월'!$A:$A,$E251),SUMIFS('RAW_농산물_9월'!$F:$F,'RAW_농산물_9월'!$D:$D,$C251,'RAW_농산물_9월'!$A:$A,$E251),SUMIFS('RAW_농산물_10월'!$F:$F,'RAW_농산물_10월'!$D:$D,$C251,'RAW_농산물_10월'!$A:$A,$E251),SUMIFS('RAW_농산물_11-12월'!$F:$F,'RAW_농산물_11-12월'!$D:$D,$C251,'RAW_농산물_11-12월'!$A:$A,$E251))))</f>
        <v>4</v>
      </c>
      <c r="G251" s="7">
        <f>IF($C251="","",IF('설정'!$B$3=0,"",CHOOSE('설정'!$B$3,SUMIFS('RAW_농산물_7월'!$G:$G,'RAW_농산물_7월'!$D:$D,$C251,'RAW_농산물_7월'!$A:$A,$E251),SUMIFS('RAW_농산물_8월'!$G:$G,'RAW_농산물_8월'!$D:$D,$C251,'RAW_농산물_8월'!$A:$A,$E251),SUMIFS('RAW_농산물_9월'!$G:$G,'RAW_농산물_9월'!$D:$D,$C251,'RAW_농산물_9월'!$A:$A,$E251),SUMIFS('RAW_농산물_10월'!$G:$G,'RAW_농산물_10월'!$D:$D,$C251,'RAW_농산물_10월'!$A:$A,$E251),SUMIFS('RAW_농산물_11-12월'!$G:$G,'RAW_농산물_11-12월'!$D:$D,$C251,'RAW_농산물_11-12월'!$A:$A,$E251))))</f>
        <v>42000</v>
      </c>
      <c r="H251" s="14">
        <f>IF($C251="","",IF('설정'!$B$3=0,"",CHOOSE('설정'!$B$3,SUMIFS('RAW_농산물_7월'!$H:$H,'RAW_농산물_7월'!$D:$D,$C251,'RAW_농산물_7월'!$A:$A,$E251),SUMIFS('RAW_농산물_8월'!$H:$H,'RAW_농산물_8월'!$D:$D,$C251,'RAW_농산물_8월'!$A:$A,$E251),SUMIFS('RAW_농산물_9월'!$H:$H,'RAW_농산물_9월'!$D:$D,$C251,'RAW_농산물_9월'!$A:$A,$E251),SUMIFS('RAW_농산물_10월'!$H:$H,'RAW_농산물_10월'!$D:$D,$C251,'RAW_농산물_10월'!$A:$A,$E251),SUMIFS('RAW_농산물_11-12월'!$H:$H,'RAW_농산물_11-12월'!$D:$D,$C251,'RAW_농산물_11-12월'!$A:$A,$E251))))</f>
        <v>7980</v>
      </c>
      <c r="I251" s="17" t="str">
        <f>IF($C251="","",IF(COUNTIFS('RAW_농산물_7월'!$D:$D,$C251,'RAW_농산물_7월'!$A:$A,$E251)&gt;0,"O",""))</f>
        <v>O</v>
      </c>
      <c r="J251" s="17" t="str">
        <f>IF($C251="","",IF(COUNTIFS('RAW_농산물_8월'!$D:$D,$C251,'RAW_농산물_8월'!$A:$A,$E251)&gt;0,"O",""))</f>
        <v>O</v>
      </c>
      <c r="K251" s="17" t="str">
        <f>IF($C251="","",IF(COUNTIFS('RAW_농산물_9월'!$D:$D,$C251,'RAW_농산물_9월'!$A:$A,$E251)&gt;0,"O",""))</f>
        <v/>
      </c>
      <c r="L251" s="17" t="str">
        <f>IF($C251="","",IF(COUNTIFS('RAW_농산물_10월'!$D:$D,$C251,'RAW_농산물_10월'!$A:$A,$E251)&gt;0,"O",""))</f>
        <v/>
      </c>
      <c r="M251" s="17" t="str">
        <f>IF($C251="","",IF(COUNTIFS('RAW_농산물_11-12월'!$D:$D,$C251,'RAW_농산물_11-12월'!$A:$A,$E251)&gt;0,"O",""))</f>
        <v/>
      </c>
      <c r="N251" s="7">
        <f>IF($C251="","",IF(COUNTA('RAW_농산물_7월'!$A:$A)&lt;=1,"",SUMIFS('RAW_농산물_7월'!$H:$H,'RAW_농산물_7월'!$D:$D,$C251,'RAW_농산물_7월'!$A:$A,$E251)))</f>
        <v>7980</v>
      </c>
      <c r="O251" s="7">
        <f>IF($C251="","",IF(COUNTA('RAW_농산물_8월'!$A:$A)&lt;=1,"",SUMIFS('RAW_농산물_8월'!$H:$H,'RAW_농산물_8월'!$D:$D,$C251,'RAW_농산물_8월'!$A:$A,$E251)-SUMIFS('RAW_농산물_7월'!$H:$H,'RAW_농산물_7월'!$D:$D,$C251,'RAW_농산물_7월'!$A:$A,$E251)))</f>
        <v>0</v>
      </c>
      <c r="P251" s="7" t="str">
        <f>IF($C251="","",IF(COUNTA('RAW_농산물_9월'!$A:$A)&lt;=1,"",SUMIFS('RAW_농산물_9월'!$H:$H,'RAW_농산물_9월'!$D:$D,$C251,'RAW_농산물_9월'!$A:$A,$E251)-SUMIFS('RAW_농산물_8월'!$H:$H,'RAW_농산물_8월'!$D:$D,$C251,'RAW_농산물_8월'!$A:$A,$E251)))</f>
        <v/>
      </c>
      <c r="Q251" s="7" t="str">
        <f>IF($C251="","",IF(COUNTA('RAW_농산물_10월'!$A:$A)&lt;=1,"",SUMIFS('RAW_농산물_10월'!$H:$H,'RAW_농산물_10월'!$D:$D,$C251,'RAW_농산물_10월'!$A:$A,$E251)-SUMIFS('RAW_농산물_9월'!$H:$H,'RAW_농산물_9월'!$D:$D,$C251,'RAW_농산물_9월'!$A:$A,$E251)))</f>
        <v/>
      </c>
      <c r="R251" s="7" t="str">
        <f>IF($C251="","",IF(COUNTA('RAW_농산물_11-12월'!$A:$A)&lt;=1,"",SUMIFS('RAW_농산물_11-12월'!$H:$H,'RAW_농산물_11-12월'!$D:$D,$C251,'RAW_농산물_11-12월'!$A:$A,$E251)-SUMIFS('RAW_농산물_10월'!$H:$H,'RAW_농산물_10월'!$D:$D,$C251,'RAW_농산물_10월'!$A:$A,$E251)))</f>
        <v/>
      </c>
      <c r="S251" s="17" t="str">
        <f t="shared" si="4"/>
        <v>O</v>
      </c>
      <c r="T251" s="17" t="str">
        <f t="shared" si="5"/>
        <v>50만원 미만</v>
      </c>
      <c r="U251" s="7">
        <f>IF($C251="",0,IF('설정'!$B$3=0,0,CHOOSE('설정'!$B$3,COUNTIFS('RAW_농산물_7월'!$D:$D,$C251,'RAW_농산물_7월'!$A:$A,$E251),COUNTIFS('RAW_농산물_8월'!$D:$D,$C251,'RAW_농산물_8월'!$A:$A,$E251),COUNTIFS('RAW_농산물_9월'!$D:$D,$C251,'RAW_농산물_9월'!$A:$A,$E251),COUNTIFS('RAW_농산물_10월'!$D:$D,$C251,'RAW_농산물_10월'!$A:$A,$E251),COUNTIFS('RAW_농산물_11-12월'!$D:$D,$C251,'RAW_농산물_11-12월'!$A:$A,$E251))))</f>
        <v>2</v>
      </c>
    </row>
    <row r="252" ht="15.75" customHeight="1">
      <c r="A252" s="5">
        <v>250.0</v>
      </c>
      <c r="B252" s="5" t="s">
        <v>108</v>
      </c>
      <c r="C252" s="5" t="s">
        <v>3036</v>
      </c>
      <c r="D252" s="6" t="s">
        <v>3037</v>
      </c>
      <c r="E252" s="5" t="s">
        <v>92</v>
      </c>
      <c r="F252" s="7">
        <f>IF($C252="","",IF('설정'!$B$3=0,"",CHOOSE('설정'!$B$3,SUMIFS('RAW_농산물_7월'!$F:$F,'RAW_농산물_7월'!$D:$D,$C252,'RAW_농산물_7월'!$A:$A,$E252),SUMIFS('RAW_농산물_8월'!$F:$F,'RAW_농산물_8월'!$D:$D,$C252,'RAW_농산물_8월'!$A:$A,$E252),SUMIFS('RAW_농산물_9월'!$F:$F,'RAW_농산물_9월'!$D:$D,$C252,'RAW_농산물_9월'!$A:$A,$E252),SUMIFS('RAW_농산물_10월'!$F:$F,'RAW_농산물_10월'!$D:$D,$C252,'RAW_농산물_10월'!$A:$A,$E252),SUMIFS('RAW_농산물_11-12월'!$F:$F,'RAW_농산물_11-12월'!$D:$D,$C252,'RAW_농산물_11-12월'!$A:$A,$E252))))</f>
        <v>0</v>
      </c>
      <c r="G252" s="7">
        <f>IF($C252="","",IF('설정'!$B$3=0,"",CHOOSE('설정'!$B$3,SUMIFS('RAW_농산물_7월'!$G:$G,'RAW_농산물_7월'!$D:$D,$C252,'RAW_농산물_7월'!$A:$A,$E252),SUMIFS('RAW_농산물_8월'!$G:$G,'RAW_농산물_8월'!$D:$D,$C252,'RAW_농산물_8월'!$A:$A,$E252),SUMIFS('RAW_농산물_9월'!$G:$G,'RAW_농산물_9월'!$D:$D,$C252,'RAW_농산물_9월'!$A:$A,$E252),SUMIFS('RAW_농산물_10월'!$G:$G,'RAW_농산물_10월'!$D:$D,$C252,'RAW_농산물_10월'!$A:$A,$E252),SUMIFS('RAW_농산물_11-12월'!$G:$G,'RAW_농산물_11-12월'!$D:$D,$C252,'RAW_농산물_11-12월'!$A:$A,$E252))))</f>
        <v>0</v>
      </c>
      <c r="H252" s="14">
        <f>IF($C252="","",IF('설정'!$B$3=0,"",CHOOSE('설정'!$B$3,SUMIFS('RAW_농산물_7월'!$H:$H,'RAW_농산물_7월'!$D:$D,$C252,'RAW_농산물_7월'!$A:$A,$E252),SUMIFS('RAW_농산물_8월'!$H:$H,'RAW_농산물_8월'!$D:$D,$C252,'RAW_농산물_8월'!$A:$A,$E252),SUMIFS('RAW_농산물_9월'!$H:$H,'RAW_농산물_9월'!$D:$D,$C252,'RAW_농산물_9월'!$A:$A,$E252),SUMIFS('RAW_농산물_10월'!$H:$H,'RAW_농산물_10월'!$D:$D,$C252,'RAW_농산물_10월'!$A:$A,$E252),SUMIFS('RAW_농산물_11-12월'!$H:$H,'RAW_농산물_11-12월'!$D:$D,$C252,'RAW_농산물_11-12월'!$A:$A,$E252))))</f>
        <v>0</v>
      </c>
      <c r="I252" s="17" t="str">
        <f>IF($C252="","",IF(COUNTIFS('RAW_농산물_7월'!$D:$D,$C252,'RAW_농산물_7월'!$A:$A,$E252)&gt;0,"O",""))</f>
        <v/>
      </c>
      <c r="J252" s="17" t="str">
        <f>IF($C252="","",IF(COUNTIFS('RAW_농산물_8월'!$D:$D,$C252,'RAW_농산물_8월'!$A:$A,$E252)&gt;0,"O",""))</f>
        <v/>
      </c>
      <c r="K252" s="17" t="str">
        <f>IF($C252="","",IF(COUNTIFS('RAW_농산물_9월'!$D:$D,$C252,'RAW_농산물_9월'!$A:$A,$E252)&gt;0,"O",""))</f>
        <v/>
      </c>
      <c r="L252" s="17" t="str">
        <f>IF($C252="","",IF(COUNTIFS('RAW_농산물_10월'!$D:$D,$C252,'RAW_농산물_10월'!$A:$A,$E252)&gt;0,"O",""))</f>
        <v/>
      </c>
      <c r="M252" s="17" t="str">
        <f>IF($C252="","",IF(COUNTIFS('RAW_농산물_11-12월'!$D:$D,$C252,'RAW_농산물_11-12월'!$A:$A,$E252)&gt;0,"O",""))</f>
        <v/>
      </c>
      <c r="N252" s="7">
        <f>IF($C252="","",IF(COUNTA('RAW_농산물_7월'!$A:$A)&lt;=1,"",SUMIFS('RAW_농산물_7월'!$H:$H,'RAW_농산물_7월'!$D:$D,$C252,'RAW_농산물_7월'!$A:$A,$E252)))</f>
        <v>0</v>
      </c>
      <c r="O252" s="7">
        <f>IF($C252="","",IF(COUNTA('RAW_농산물_8월'!$A:$A)&lt;=1,"",SUMIFS('RAW_농산물_8월'!$H:$H,'RAW_농산물_8월'!$D:$D,$C252,'RAW_농산물_8월'!$A:$A,$E252)-SUMIFS('RAW_농산물_7월'!$H:$H,'RAW_농산물_7월'!$D:$D,$C252,'RAW_농산물_7월'!$A:$A,$E252)))</f>
        <v>0</v>
      </c>
      <c r="P252" s="7" t="str">
        <f>IF($C252="","",IF(COUNTA('RAW_농산물_9월'!$A:$A)&lt;=1,"",SUMIFS('RAW_농산물_9월'!$H:$H,'RAW_농산물_9월'!$D:$D,$C252,'RAW_농산물_9월'!$A:$A,$E252)-SUMIFS('RAW_농산물_8월'!$H:$H,'RAW_농산물_8월'!$D:$D,$C252,'RAW_농산물_8월'!$A:$A,$E252)))</f>
        <v/>
      </c>
      <c r="Q252" s="7" t="str">
        <f>IF($C252="","",IF(COUNTA('RAW_농산물_10월'!$A:$A)&lt;=1,"",SUMIFS('RAW_농산물_10월'!$H:$H,'RAW_농산물_10월'!$D:$D,$C252,'RAW_농산물_10월'!$A:$A,$E252)-SUMIFS('RAW_농산물_9월'!$H:$H,'RAW_농산물_9월'!$D:$D,$C252,'RAW_농산물_9월'!$A:$A,$E252)))</f>
        <v/>
      </c>
      <c r="R252" s="7" t="str">
        <f>IF($C252="","",IF(COUNTA('RAW_농산물_11-12월'!$A:$A)&lt;=1,"",SUMIFS('RAW_농산물_11-12월'!$H:$H,'RAW_농산물_11-12월'!$D:$D,$C252,'RAW_농산물_11-12월'!$A:$A,$E252)-SUMIFS('RAW_농산물_10월'!$H:$H,'RAW_농산물_10월'!$D:$D,$C252,'RAW_농산물_10월'!$A:$A,$E252)))</f>
        <v/>
      </c>
      <c r="S252" s="17" t="str">
        <f t="shared" si="4"/>
        <v/>
      </c>
      <c r="T252" s="17" t="str">
        <f t="shared" si="5"/>
        <v>미사용</v>
      </c>
      <c r="U252" s="7">
        <f>IF($C252="",0,IF('설정'!$B$3=0,0,CHOOSE('설정'!$B$3,COUNTIFS('RAW_농산물_7월'!$D:$D,$C252,'RAW_농산물_7월'!$A:$A,$E252),COUNTIFS('RAW_농산물_8월'!$D:$D,$C252,'RAW_농산물_8월'!$A:$A,$E252),COUNTIFS('RAW_농산물_9월'!$D:$D,$C252,'RAW_농산물_9월'!$A:$A,$E252),COUNTIFS('RAW_농산물_10월'!$D:$D,$C252,'RAW_농산물_10월'!$A:$A,$E252),COUNTIFS('RAW_농산물_11-12월'!$D:$D,$C252,'RAW_농산물_11-12월'!$A:$A,$E252))))</f>
        <v>0</v>
      </c>
    </row>
    <row r="253" ht="15.75" customHeight="1">
      <c r="A253" s="5">
        <v>251.0</v>
      </c>
      <c r="B253" s="5" t="s">
        <v>108</v>
      </c>
      <c r="C253" s="5" t="s">
        <v>596</v>
      </c>
      <c r="D253" s="6" t="s">
        <v>595</v>
      </c>
      <c r="E253" s="5" t="s">
        <v>92</v>
      </c>
      <c r="F253" s="7">
        <f>IF($C253="","",IF('설정'!$B$3=0,"",CHOOSE('설정'!$B$3,SUMIFS('RAW_농산물_7월'!$F:$F,'RAW_농산물_7월'!$D:$D,$C253,'RAW_농산물_7월'!$A:$A,$E253),SUMIFS('RAW_농산물_8월'!$F:$F,'RAW_농산물_8월'!$D:$D,$C253,'RAW_농산물_8월'!$A:$A,$E253),SUMIFS('RAW_농산물_9월'!$F:$F,'RAW_농산물_9월'!$D:$D,$C253,'RAW_농산물_9월'!$A:$A,$E253),SUMIFS('RAW_농산물_10월'!$F:$F,'RAW_농산물_10월'!$D:$D,$C253,'RAW_농산물_10월'!$A:$A,$E253),SUMIFS('RAW_농산물_11-12월'!$F:$F,'RAW_농산물_11-12월'!$D:$D,$C253,'RAW_농산물_11-12월'!$A:$A,$E253))))</f>
        <v>4</v>
      </c>
      <c r="G253" s="7">
        <f>IF($C253="","",IF('설정'!$B$3=0,"",CHOOSE('설정'!$B$3,SUMIFS('RAW_농산물_7월'!$G:$G,'RAW_농산물_7월'!$D:$D,$C253,'RAW_농산물_7월'!$A:$A,$E253),SUMIFS('RAW_농산물_8월'!$G:$G,'RAW_농산물_8월'!$D:$D,$C253,'RAW_농산물_8월'!$A:$A,$E253),SUMIFS('RAW_농산물_9월'!$G:$G,'RAW_농산물_9월'!$D:$D,$C253,'RAW_농산물_9월'!$A:$A,$E253),SUMIFS('RAW_농산물_10월'!$G:$G,'RAW_농산물_10월'!$D:$D,$C253,'RAW_농산물_10월'!$A:$A,$E253),SUMIFS('RAW_농산물_11-12월'!$G:$G,'RAW_농산물_11-12월'!$D:$D,$C253,'RAW_농산물_11-12월'!$A:$A,$E253))))</f>
        <v>264000</v>
      </c>
      <c r="H253" s="14">
        <f>IF($C253="","",IF('설정'!$B$3=0,"",CHOOSE('설정'!$B$3,SUMIFS('RAW_농산물_7월'!$H:$H,'RAW_농산물_7월'!$D:$D,$C253,'RAW_농산물_7월'!$A:$A,$E253),SUMIFS('RAW_농산물_8월'!$H:$H,'RAW_농산물_8월'!$D:$D,$C253,'RAW_농산물_8월'!$A:$A,$E253),SUMIFS('RAW_농산물_9월'!$H:$H,'RAW_농산물_9월'!$D:$D,$C253,'RAW_농산물_9월'!$A:$A,$E253),SUMIFS('RAW_농산물_10월'!$H:$H,'RAW_농산물_10월'!$D:$D,$C253,'RAW_농산물_10월'!$A:$A,$E253),SUMIFS('RAW_농산물_11-12월'!$H:$H,'RAW_농산물_11-12월'!$D:$D,$C253,'RAW_농산물_11-12월'!$A:$A,$E253))))</f>
        <v>40000</v>
      </c>
      <c r="I253" s="17" t="str">
        <f>IF($C253="","",IF(COUNTIFS('RAW_농산물_7월'!$D:$D,$C253,'RAW_농산물_7월'!$A:$A,$E253)&gt;0,"O",""))</f>
        <v>O</v>
      </c>
      <c r="J253" s="17" t="str">
        <f>IF($C253="","",IF(COUNTIFS('RAW_농산물_8월'!$D:$D,$C253,'RAW_농산물_8월'!$A:$A,$E253)&gt;0,"O",""))</f>
        <v>O</v>
      </c>
      <c r="K253" s="17" t="str">
        <f>IF($C253="","",IF(COUNTIFS('RAW_농산물_9월'!$D:$D,$C253,'RAW_농산물_9월'!$A:$A,$E253)&gt;0,"O",""))</f>
        <v/>
      </c>
      <c r="L253" s="17" t="str">
        <f>IF($C253="","",IF(COUNTIFS('RAW_농산물_10월'!$D:$D,$C253,'RAW_농산물_10월'!$A:$A,$E253)&gt;0,"O",""))</f>
        <v/>
      </c>
      <c r="M253" s="17" t="str">
        <f>IF($C253="","",IF(COUNTIFS('RAW_농산물_11-12월'!$D:$D,$C253,'RAW_농산물_11-12월'!$A:$A,$E253)&gt;0,"O",""))</f>
        <v/>
      </c>
      <c r="N253" s="7">
        <f>IF($C253="","",IF(COUNTA('RAW_농산물_7월'!$A:$A)&lt;=1,"",SUMIFS('RAW_농산물_7월'!$H:$H,'RAW_농산물_7월'!$D:$D,$C253,'RAW_농산물_7월'!$A:$A,$E253)))</f>
        <v>30000</v>
      </c>
      <c r="O253" s="7">
        <f>IF($C253="","",IF(COUNTA('RAW_농산물_8월'!$A:$A)&lt;=1,"",SUMIFS('RAW_농산물_8월'!$H:$H,'RAW_농산물_8월'!$D:$D,$C253,'RAW_농산물_8월'!$A:$A,$E253)-SUMIFS('RAW_농산물_7월'!$H:$H,'RAW_농산물_7월'!$D:$D,$C253,'RAW_농산물_7월'!$A:$A,$E253)))</f>
        <v>10000</v>
      </c>
      <c r="P253" s="7" t="str">
        <f>IF($C253="","",IF(COUNTA('RAW_농산물_9월'!$A:$A)&lt;=1,"",SUMIFS('RAW_농산물_9월'!$H:$H,'RAW_농산물_9월'!$D:$D,$C253,'RAW_농산물_9월'!$A:$A,$E253)-SUMIFS('RAW_농산물_8월'!$H:$H,'RAW_농산물_8월'!$D:$D,$C253,'RAW_농산물_8월'!$A:$A,$E253)))</f>
        <v/>
      </c>
      <c r="Q253" s="7" t="str">
        <f>IF($C253="","",IF(COUNTA('RAW_농산물_10월'!$A:$A)&lt;=1,"",SUMIFS('RAW_농산물_10월'!$H:$H,'RAW_농산물_10월'!$D:$D,$C253,'RAW_농산물_10월'!$A:$A,$E253)-SUMIFS('RAW_농산물_9월'!$H:$H,'RAW_농산물_9월'!$D:$D,$C253,'RAW_농산물_9월'!$A:$A,$E253)))</f>
        <v/>
      </c>
      <c r="R253" s="7" t="str">
        <f>IF($C253="","",IF(COUNTA('RAW_농산물_11-12월'!$A:$A)&lt;=1,"",SUMIFS('RAW_농산물_11-12월'!$H:$H,'RAW_농산물_11-12월'!$D:$D,$C253,'RAW_농산물_11-12월'!$A:$A,$E253)-SUMIFS('RAW_농산물_10월'!$H:$H,'RAW_농산물_10월'!$D:$D,$C253,'RAW_농산물_10월'!$A:$A,$E253)))</f>
        <v/>
      </c>
      <c r="S253" s="17" t="str">
        <f t="shared" si="4"/>
        <v>O</v>
      </c>
      <c r="T253" s="17" t="str">
        <f t="shared" si="5"/>
        <v>50만원 미만</v>
      </c>
      <c r="U253" s="7">
        <f>IF($C253="",0,IF('설정'!$B$3=0,0,CHOOSE('설정'!$B$3,COUNTIFS('RAW_농산물_7월'!$D:$D,$C253,'RAW_농산물_7월'!$A:$A,$E253),COUNTIFS('RAW_농산물_8월'!$D:$D,$C253,'RAW_농산물_8월'!$A:$A,$E253),COUNTIFS('RAW_농산물_9월'!$D:$D,$C253,'RAW_농산물_9월'!$A:$A,$E253),COUNTIFS('RAW_농산물_10월'!$D:$D,$C253,'RAW_농산물_10월'!$A:$A,$E253),COUNTIFS('RAW_농산물_11-12월'!$D:$D,$C253,'RAW_농산물_11-12월'!$A:$A,$E253))))</f>
        <v>2</v>
      </c>
    </row>
    <row r="254" ht="15.75" customHeight="1">
      <c r="A254" s="5">
        <v>252.0</v>
      </c>
      <c r="B254" s="5" t="s">
        <v>145</v>
      </c>
      <c r="C254" s="5" t="s">
        <v>3038</v>
      </c>
      <c r="D254" s="6" t="s">
        <v>3039</v>
      </c>
      <c r="E254" s="5" t="s">
        <v>92</v>
      </c>
      <c r="F254" s="7">
        <f>IF($C254="","",IF('설정'!$B$3=0,"",CHOOSE('설정'!$B$3,SUMIFS('RAW_농산물_7월'!$F:$F,'RAW_농산물_7월'!$D:$D,$C254,'RAW_농산물_7월'!$A:$A,$E254),SUMIFS('RAW_농산물_8월'!$F:$F,'RAW_농산물_8월'!$D:$D,$C254,'RAW_농산물_8월'!$A:$A,$E254),SUMIFS('RAW_농산물_9월'!$F:$F,'RAW_농산물_9월'!$D:$D,$C254,'RAW_농산물_9월'!$A:$A,$E254),SUMIFS('RAW_농산물_10월'!$F:$F,'RAW_농산물_10월'!$D:$D,$C254,'RAW_농산물_10월'!$A:$A,$E254),SUMIFS('RAW_농산물_11-12월'!$F:$F,'RAW_농산물_11-12월'!$D:$D,$C254,'RAW_농산물_11-12월'!$A:$A,$E254))))</f>
        <v>0</v>
      </c>
      <c r="G254" s="7">
        <f>IF($C254="","",IF('설정'!$B$3=0,"",CHOOSE('설정'!$B$3,SUMIFS('RAW_농산물_7월'!$G:$G,'RAW_농산물_7월'!$D:$D,$C254,'RAW_농산물_7월'!$A:$A,$E254),SUMIFS('RAW_농산물_8월'!$G:$G,'RAW_농산물_8월'!$D:$D,$C254,'RAW_농산물_8월'!$A:$A,$E254),SUMIFS('RAW_농산물_9월'!$G:$G,'RAW_농산물_9월'!$D:$D,$C254,'RAW_농산물_9월'!$A:$A,$E254),SUMIFS('RAW_농산물_10월'!$G:$G,'RAW_농산물_10월'!$D:$D,$C254,'RAW_농산물_10월'!$A:$A,$E254),SUMIFS('RAW_농산물_11-12월'!$G:$G,'RAW_농산물_11-12월'!$D:$D,$C254,'RAW_농산물_11-12월'!$A:$A,$E254))))</f>
        <v>0</v>
      </c>
      <c r="H254" s="14">
        <f>IF($C254="","",IF('설정'!$B$3=0,"",CHOOSE('설정'!$B$3,SUMIFS('RAW_농산물_7월'!$H:$H,'RAW_농산물_7월'!$D:$D,$C254,'RAW_농산물_7월'!$A:$A,$E254),SUMIFS('RAW_농산물_8월'!$H:$H,'RAW_농산물_8월'!$D:$D,$C254,'RAW_농산물_8월'!$A:$A,$E254),SUMIFS('RAW_농산물_9월'!$H:$H,'RAW_농산물_9월'!$D:$D,$C254,'RAW_농산물_9월'!$A:$A,$E254),SUMIFS('RAW_농산물_10월'!$H:$H,'RAW_농산물_10월'!$D:$D,$C254,'RAW_농산물_10월'!$A:$A,$E254),SUMIFS('RAW_농산물_11-12월'!$H:$H,'RAW_농산물_11-12월'!$D:$D,$C254,'RAW_농산물_11-12월'!$A:$A,$E254))))</f>
        <v>0</v>
      </c>
      <c r="I254" s="17" t="str">
        <f>IF($C254="","",IF(COUNTIFS('RAW_농산물_7월'!$D:$D,$C254,'RAW_농산물_7월'!$A:$A,$E254)&gt;0,"O",""))</f>
        <v/>
      </c>
      <c r="J254" s="17" t="str">
        <f>IF($C254="","",IF(COUNTIFS('RAW_농산물_8월'!$D:$D,$C254,'RAW_농산물_8월'!$A:$A,$E254)&gt;0,"O",""))</f>
        <v/>
      </c>
      <c r="K254" s="17" t="str">
        <f>IF($C254="","",IF(COUNTIFS('RAW_농산물_9월'!$D:$D,$C254,'RAW_농산물_9월'!$A:$A,$E254)&gt;0,"O",""))</f>
        <v/>
      </c>
      <c r="L254" s="17" t="str">
        <f>IF($C254="","",IF(COUNTIFS('RAW_농산물_10월'!$D:$D,$C254,'RAW_농산물_10월'!$A:$A,$E254)&gt;0,"O",""))</f>
        <v/>
      </c>
      <c r="M254" s="17" t="str">
        <f>IF($C254="","",IF(COUNTIFS('RAW_농산물_11-12월'!$D:$D,$C254,'RAW_농산물_11-12월'!$A:$A,$E254)&gt;0,"O",""))</f>
        <v/>
      </c>
      <c r="N254" s="7">
        <f>IF($C254="","",IF(COUNTA('RAW_농산물_7월'!$A:$A)&lt;=1,"",SUMIFS('RAW_농산물_7월'!$H:$H,'RAW_농산물_7월'!$D:$D,$C254,'RAW_농산물_7월'!$A:$A,$E254)))</f>
        <v>0</v>
      </c>
      <c r="O254" s="7">
        <f>IF($C254="","",IF(COUNTA('RAW_농산물_8월'!$A:$A)&lt;=1,"",SUMIFS('RAW_농산물_8월'!$H:$H,'RAW_농산물_8월'!$D:$D,$C254,'RAW_농산물_8월'!$A:$A,$E254)-SUMIFS('RAW_농산물_7월'!$H:$H,'RAW_농산물_7월'!$D:$D,$C254,'RAW_농산물_7월'!$A:$A,$E254)))</f>
        <v>0</v>
      </c>
      <c r="P254" s="7" t="str">
        <f>IF($C254="","",IF(COUNTA('RAW_농산물_9월'!$A:$A)&lt;=1,"",SUMIFS('RAW_농산물_9월'!$H:$H,'RAW_농산물_9월'!$D:$D,$C254,'RAW_농산물_9월'!$A:$A,$E254)-SUMIFS('RAW_농산물_8월'!$H:$H,'RAW_농산물_8월'!$D:$D,$C254,'RAW_농산물_8월'!$A:$A,$E254)))</f>
        <v/>
      </c>
      <c r="Q254" s="7" t="str">
        <f>IF($C254="","",IF(COUNTA('RAW_농산물_10월'!$A:$A)&lt;=1,"",SUMIFS('RAW_농산물_10월'!$H:$H,'RAW_농산물_10월'!$D:$D,$C254,'RAW_농산물_10월'!$A:$A,$E254)-SUMIFS('RAW_농산물_9월'!$H:$H,'RAW_농산물_9월'!$D:$D,$C254,'RAW_농산물_9월'!$A:$A,$E254)))</f>
        <v/>
      </c>
      <c r="R254" s="7" t="str">
        <f>IF($C254="","",IF(COUNTA('RAW_농산물_11-12월'!$A:$A)&lt;=1,"",SUMIFS('RAW_농산물_11-12월'!$H:$H,'RAW_농산물_11-12월'!$D:$D,$C254,'RAW_농산물_11-12월'!$A:$A,$E254)-SUMIFS('RAW_농산물_10월'!$H:$H,'RAW_농산물_10월'!$D:$D,$C254,'RAW_농산물_10월'!$A:$A,$E254)))</f>
        <v/>
      </c>
      <c r="S254" s="17" t="str">
        <f t="shared" si="4"/>
        <v/>
      </c>
      <c r="T254" s="17" t="str">
        <f t="shared" si="5"/>
        <v>미사용</v>
      </c>
      <c r="U254" s="7">
        <f>IF($C254="",0,IF('설정'!$B$3=0,0,CHOOSE('설정'!$B$3,COUNTIFS('RAW_농산물_7월'!$D:$D,$C254,'RAW_농산물_7월'!$A:$A,$E254),COUNTIFS('RAW_농산물_8월'!$D:$D,$C254,'RAW_농산물_8월'!$A:$A,$E254),COUNTIFS('RAW_농산물_9월'!$D:$D,$C254,'RAW_농산물_9월'!$A:$A,$E254),COUNTIFS('RAW_농산물_10월'!$D:$D,$C254,'RAW_농산물_10월'!$A:$A,$E254),COUNTIFS('RAW_농산물_11-12월'!$D:$D,$C254,'RAW_농산물_11-12월'!$A:$A,$E254))))</f>
        <v>0</v>
      </c>
    </row>
    <row r="255" ht="15.75" customHeight="1">
      <c r="A255" s="5">
        <v>253.0</v>
      </c>
      <c r="B255" s="5" t="s">
        <v>145</v>
      </c>
      <c r="C255" s="5" t="s">
        <v>2372</v>
      </c>
      <c r="D255" s="6" t="s">
        <v>3040</v>
      </c>
      <c r="E255" s="5" t="s">
        <v>92</v>
      </c>
      <c r="F255" s="7">
        <f>IF($C255="","",IF('설정'!$B$3=0,"",CHOOSE('설정'!$B$3,SUMIFS('RAW_농산물_7월'!$F:$F,'RAW_농산물_7월'!$D:$D,$C255,'RAW_농산물_7월'!$A:$A,$E255),SUMIFS('RAW_농산물_8월'!$F:$F,'RAW_농산물_8월'!$D:$D,$C255,'RAW_농산물_8월'!$A:$A,$E255),SUMIFS('RAW_농산물_9월'!$F:$F,'RAW_농산물_9월'!$D:$D,$C255,'RAW_농산물_9월'!$A:$A,$E255),SUMIFS('RAW_농산물_10월'!$F:$F,'RAW_농산물_10월'!$D:$D,$C255,'RAW_농산물_10월'!$A:$A,$E255),SUMIFS('RAW_농산물_11-12월'!$F:$F,'RAW_농산물_11-12월'!$D:$D,$C255,'RAW_농산물_11-12월'!$A:$A,$E255))))</f>
        <v>3</v>
      </c>
      <c r="G255" s="7">
        <f>IF($C255="","",IF('설정'!$B$3=0,"",CHOOSE('설정'!$B$3,SUMIFS('RAW_농산물_7월'!$G:$G,'RAW_농산물_7월'!$D:$D,$C255,'RAW_농산물_7월'!$A:$A,$E255),SUMIFS('RAW_농산물_8월'!$G:$G,'RAW_농산물_8월'!$D:$D,$C255,'RAW_농산물_8월'!$A:$A,$E255),SUMIFS('RAW_농산물_9월'!$G:$G,'RAW_농산물_9월'!$D:$D,$C255,'RAW_농산물_9월'!$A:$A,$E255),SUMIFS('RAW_농산물_10월'!$G:$G,'RAW_농산물_10월'!$D:$D,$C255,'RAW_농산물_10월'!$A:$A,$E255),SUMIFS('RAW_농산물_11-12월'!$G:$G,'RAW_농산물_11-12월'!$D:$D,$C255,'RAW_농산물_11-12월'!$A:$A,$E255))))</f>
        <v>83700</v>
      </c>
      <c r="H255" s="14">
        <f>IF($C255="","",IF('설정'!$B$3=0,"",CHOOSE('설정'!$B$3,SUMIFS('RAW_농산물_7월'!$H:$H,'RAW_농산물_7월'!$D:$D,$C255,'RAW_농산물_7월'!$A:$A,$E255),SUMIFS('RAW_농산물_8월'!$H:$H,'RAW_농산물_8월'!$D:$D,$C255,'RAW_농산물_8월'!$A:$A,$E255),SUMIFS('RAW_농산물_9월'!$H:$H,'RAW_농산물_9월'!$D:$D,$C255,'RAW_농산물_9월'!$A:$A,$E255),SUMIFS('RAW_농산물_10월'!$H:$H,'RAW_농산물_10월'!$D:$D,$C255,'RAW_농산물_10월'!$A:$A,$E255),SUMIFS('RAW_농산물_11-12월'!$H:$H,'RAW_농산물_11-12월'!$D:$D,$C255,'RAW_농산물_11-12월'!$A:$A,$E255))))</f>
        <v>5580</v>
      </c>
      <c r="I255" s="17" t="str">
        <f>IF($C255="","",IF(COUNTIFS('RAW_농산물_7월'!$D:$D,$C255,'RAW_농산물_7월'!$A:$A,$E255)&gt;0,"O",""))</f>
        <v/>
      </c>
      <c r="J255" s="17" t="str">
        <f>IF($C255="","",IF(COUNTIFS('RAW_농산물_8월'!$D:$D,$C255,'RAW_농산물_8월'!$A:$A,$E255)&gt;0,"O",""))</f>
        <v>O</v>
      </c>
      <c r="K255" s="17" t="str">
        <f>IF($C255="","",IF(COUNTIFS('RAW_농산물_9월'!$D:$D,$C255,'RAW_농산물_9월'!$A:$A,$E255)&gt;0,"O",""))</f>
        <v/>
      </c>
      <c r="L255" s="17" t="str">
        <f>IF($C255="","",IF(COUNTIFS('RAW_농산물_10월'!$D:$D,$C255,'RAW_농산물_10월'!$A:$A,$E255)&gt;0,"O",""))</f>
        <v/>
      </c>
      <c r="M255" s="17" t="str">
        <f>IF($C255="","",IF(COUNTIFS('RAW_농산물_11-12월'!$D:$D,$C255,'RAW_농산물_11-12월'!$A:$A,$E255)&gt;0,"O",""))</f>
        <v/>
      </c>
      <c r="N255" s="7">
        <f>IF($C255="","",IF(COUNTA('RAW_농산물_7월'!$A:$A)&lt;=1,"",SUMIFS('RAW_농산물_7월'!$H:$H,'RAW_농산물_7월'!$D:$D,$C255,'RAW_농산물_7월'!$A:$A,$E255)))</f>
        <v>0</v>
      </c>
      <c r="O255" s="7">
        <f>IF($C255="","",IF(COUNTA('RAW_농산물_8월'!$A:$A)&lt;=1,"",SUMIFS('RAW_농산물_8월'!$H:$H,'RAW_농산물_8월'!$D:$D,$C255,'RAW_농산물_8월'!$A:$A,$E255)-SUMIFS('RAW_농산물_7월'!$H:$H,'RAW_농산물_7월'!$D:$D,$C255,'RAW_농산물_7월'!$A:$A,$E255)))</f>
        <v>5580</v>
      </c>
      <c r="P255" s="7" t="str">
        <f>IF($C255="","",IF(COUNTA('RAW_농산물_9월'!$A:$A)&lt;=1,"",SUMIFS('RAW_농산물_9월'!$H:$H,'RAW_농산물_9월'!$D:$D,$C255,'RAW_농산물_9월'!$A:$A,$E255)-SUMIFS('RAW_농산물_8월'!$H:$H,'RAW_농산물_8월'!$D:$D,$C255,'RAW_농산물_8월'!$A:$A,$E255)))</f>
        <v/>
      </c>
      <c r="Q255" s="7" t="str">
        <f>IF($C255="","",IF(COUNTA('RAW_농산물_10월'!$A:$A)&lt;=1,"",SUMIFS('RAW_농산물_10월'!$H:$H,'RAW_농산물_10월'!$D:$D,$C255,'RAW_농산물_10월'!$A:$A,$E255)-SUMIFS('RAW_농산물_9월'!$H:$H,'RAW_농산물_9월'!$D:$D,$C255,'RAW_농산물_9월'!$A:$A,$E255)))</f>
        <v/>
      </c>
      <c r="R255" s="7" t="str">
        <f>IF($C255="","",IF(COUNTA('RAW_농산물_11-12월'!$A:$A)&lt;=1,"",SUMIFS('RAW_농산물_11-12월'!$H:$H,'RAW_농산물_11-12월'!$D:$D,$C255,'RAW_농산물_11-12월'!$A:$A,$E255)-SUMIFS('RAW_농산물_10월'!$H:$H,'RAW_농산물_10월'!$D:$D,$C255,'RAW_농산물_10월'!$A:$A,$E255)))</f>
        <v/>
      </c>
      <c r="S255" s="17" t="str">
        <f t="shared" si="4"/>
        <v>O</v>
      </c>
      <c r="T255" s="17" t="str">
        <f t="shared" si="5"/>
        <v>50만원 미만</v>
      </c>
      <c r="U255" s="7">
        <f>IF($C255="",0,IF('설정'!$B$3=0,0,CHOOSE('설정'!$B$3,COUNTIFS('RAW_농산물_7월'!$D:$D,$C255,'RAW_농산물_7월'!$A:$A,$E255),COUNTIFS('RAW_농산물_8월'!$D:$D,$C255,'RAW_농산물_8월'!$A:$A,$E255),COUNTIFS('RAW_농산물_9월'!$D:$D,$C255,'RAW_농산물_9월'!$A:$A,$E255),COUNTIFS('RAW_농산물_10월'!$D:$D,$C255,'RAW_농산물_10월'!$A:$A,$E255),COUNTIFS('RAW_농산물_11-12월'!$D:$D,$C255,'RAW_농산물_11-12월'!$A:$A,$E255))))</f>
        <v>1</v>
      </c>
    </row>
    <row r="256" ht="15.75" customHeight="1">
      <c r="A256" s="5">
        <v>254.0</v>
      </c>
      <c r="B256" s="5" t="s">
        <v>25</v>
      </c>
      <c r="C256" s="5" t="s">
        <v>1040</v>
      </c>
      <c r="D256" s="6" t="s">
        <v>1039</v>
      </c>
      <c r="E256" s="5" t="s">
        <v>28</v>
      </c>
      <c r="F256" s="7">
        <f>IF($C256="","",IF('설정'!$B$3=0,"",CHOOSE('설정'!$B$3,SUMIFS('RAW_농산물_7월'!$F:$F,'RAW_농산물_7월'!$D:$D,$C256,'RAW_농산물_7월'!$A:$A,$E256),SUMIFS('RAW_농산물_8월'!$F:$F,'RAW_농산물_8월'!$D:$D,$C256,'RAW_농산물_8월'!$A:$A,$E256),SUMIFS('RAW_농산물_9월'!$F:$F,'RAW_농산물_9월'!$D:$D,$C256,'RAW_농산물_9월'!$A:$A,$E256),SUMIFS('RAW_농산물_10월'!$F:$F,'RAW_농산물_10월'!$D:$D,$C256,'RAW_농산물_10월'!$A:$A,$E256),SUMIFS('RAW_농산물_11-12월'!$F:$F,'RAW_농산물_11-12월'!$D:$D,$C256,'RAW_농산물_11-12월'!$A:$A,$E256))))</f>
        <v>9</v>
      </c>
      <c r="G256" s="7">
        <f>IF($C256="","",IF('설정'!$B$3=0,"",CHOOSE('설정'!$B$3,SUMIFS('RAW_농산물_7월'!$G:$G,'RAW_농산물_7월'!$D:$D,$C256,'RAW_농산물_7월'!$A:$A,$E256),SUMIFS('RAW_농산물_8월'!$G:$G,'RAW_농산물_8월'!$D:$D,$C256,'RAW_농산물_8월'!$A:$A,$E256),SUMIFS('RAW_농산물_9월'!$G:$G,'RAW_농산물_9월'!$D:$D,$C256,'RAW_농산물_9월'!$A:$A,$E256),SUMIFS('RAW_농산물_10월'!$G:$G,'RAW_농산물_10월'!$D:$D,$C256,'RAW_농산물_10월'!$A:$A,$E256),SUMIFS('RAW_농산물_11-12월'!$G:$G,'RAW_농산물_11-12월'!$D:$D,$C256,'RAW_농산물_11-12월'!$A:$A,$E256))))</f>
        <v>182000</v>
      </c>
      <c r="H256" s="14">
        <f>IF($C256="","",IF('설정'!$B$3=0,"",CHOOSE('설정'!$B$3,SUMIFS('RAW_농산물_7월'!$H:$H,'RAW_농산물_7월'!$D:$D,$C256,'RAW_농산물_7월'!$A:$A,$E256),SUMIFS('RAW_농산물_8월'!$H:$H,'RAW_농산물_8월'!$D:$D,$C256,'RAW_농산물_8월'!$A:$A,$E256),SUMIFS('RAW_농산물_9월'!$H:$H,'RAW_농산물_9월'!$D:$D,$C256,'RAW_농산물_9월'!$A:$A,$E256),SUMIFS('RAW_농산물_10월'!$H:$H,'RAW_농산물_10월'!$D:$D,$C256,'RAW_농산물_10월'!$A:$A,$E256),SUMIFS('RAW_농산물_11-12월'!$H:$H,'RAW_농산물_11-12월'!$D:$D,$C256,'RAW_농산물_11-12월'!$A:$A,$E256))))</f>
        <v>31430</v>
      </c>
      <c r="I256" s="17" t="str">
        <f>IF($C256="","",IF(COUNTIFS('RAW_농산물_7월'!$D:$D,$C256,'RAW_농산물_7월'!$A:$A,$E256)&gt;0,"O",""))</f>
        <v>O</v>
      </c>
      <c r="J256" s="17" t="str">
        <f>IF($C256="","",IF(COUNTIFS('RAW_농산물_8월'!$D:$D,$C256,'RAW_농산물_8월'!$A:$A,$E256)&gt;0,"O",""))</f>
        <v>O</v>
      </c>
      <c r="K256" s="17" t="str">
        <f>IF($C256="","",IF(COUNTIFS('RAW_농산물_9월'!$D:$D,$C256,'RAW_농산물_9월'!$A:$A,$E256)&gt;0,"O",""))</f>
        <v/>
      </c>
      <c r="L256" s="17" t="str">
        <f>IF($C256="","",IF(COUNTIFS('RAW_농산물_10월'!$D:$D,$C256,'RAW_농산물_10월'!$A:$A,$E256)&gt;0,"O",""))</f>
        <v/>
      </c>
      <c r="M256" s="17" t="str">
        <f>IF($C256="","",IF(COUNTIFS('RAW_농산물_11-12월'!$D:$D,$C256,'RAW_농산물_11-12월'!$A:$A,$E256)&gt;0,"O",""))</f>
        <v/>
      </c>
      <c r="N256" s="7">
        <f>IF($C256="","",IF(COUNTA('RAW_농산물_7월'!$A:$A)&lt;=1,"",SUMIFS('RAW_농산물_7월'!$H:$H,'RAW_농산물_7월'!$D:$D,$C256,'RAW_농산물_7월'!$A:$A,$E256)))</f>
        <v>3800</v>
      </c>
      <c r="O256" s="7">
        <f>IF($C256="","",IF(COUNTA('RAW_농산물_8월'!$A:$A)&lt;=1,"",SUMIFS('RAW_농산물_8월'!$H:$H,'RAW_농산물_8월'!$D:$D,$C256,'RAW_농산물_8월'!$A:$A,$E256)-SUMIFS('RAW_농산물_7월'!$H:$H,'RAW_농산물_7월'!$D:$D,$C256,'RAW_농산물_7월'!$A:$A,$E256)))</f>
        <v>27630</v>
      </c>
      <c r="P256" s="7" t="str">
        <f>IF($C256="","",IF(COUNTA('RAW_농산물_9월'!$A:$A)&lt;=1,"",SUMIFS('RAW_농산물_9월'!$H:$H,'RAW_농산물_9월'!$D:$D,$C256,'RAW_농산물_9월'!$A:$A,$E256)-SUMIFS('RAW_농산물_8월'!$H:$H,'RAW_농산물_8월'!$D:$D,$C256,'RAW_농산물_8월'!$A:$A,$E256)))</f>
        <v/>
      </c>
      <c r="Q256" s="7" t="str">
        <f>IF($C256="","",IF(COUNTA('RAW_농산물_10월'!$A:$A)&lt;=1,"",SUMIFS('RAW_농산물_10월'!$H:$H,'RAW_농산물_10월'!$D:$D,$C256,'RAW_농산물_10월'!$A:$A,$E256)-SUMIFS('RAW_농산물_9월'!$H:$H,'RAW_농산물_9월'!$D:$D,$C256,'RAW_농산물_9월'!$A:$A,$E256)))</f>
        <v/>
      </c>
      <c r="R256" s="7" t="str">
        <f>IF($C256="","",IF(COUNTA('RAW_농산물_11-12월'!$A:$A)&lt;=1,"",SUMIFS('RAW_농산물_11-12월'!$H:$H,'RAW_농산물_11-12월'!$D:$D,$C256,'RAW_농산물_11-12월'!$A:$A,$E256)-SUMIFS('RAW_농산물_10월'!$H:$H,'RAW_농산물_10월'!$D:$D,$C256,'RAW_농산물_10월'!$A:$A,$E256)))</f>
        <v/>
      </c>
      <c r="S256" s="17" t="str">
        <f t="shared" si="4"/>
        <v>O</v>
      </c>
      <c r="T256" s="17" t="str">
        <f t="shared" si="5"/>
        <v>50만원 미만</v>
      </c>
      <c r="U256" s="7">
        <f>IF($C256="",0,IF('설정'!$B$3=0,0,CHOOSE('설정'!$B$3,COUNTIFS('RAW_농산물_7월'!$D:$D,$C256,'RAW_농산물_7월'!$A:$A,$E256),COUNTIFS('RAW_농산물_8월'!$D:$D,$C256,'RAW_농산물_8월'!$A:$A,$E256),COUNTIFS('RAW_농산물_9월'!$D:$D,$C256,'RAW_농산물_9월'!$A:$A,$E256),COUNTIFS('RAW_농산물_10월'!$D:$D,$C256,'RAW_농산물_10월'!$A:$A,$E256),COUNTIFS('RAW_농산물_11-12월'!$D:$D,$C256,'RAW_농산물_11-12월'!$A:$A,$E256))))</f>
        <v>5</v>
      </c>
    </row>
    <row r="257" ht="15.75" customHeight="1">
      <c r="A257" s="5">
        <v>255.0</v>
      </c>
      <c r="B257" s="5" t="s">
        <v>25</v>
      </c>
      <c r="C257" s="5" t="s">
        <v>1684</v>
      </c>
      <c r="D257" s="6" t="s">
        <v>1683</v>
      </c>
      <c r="E257" s="5" t="s">
        <v>31</v>
      </c>
      <c r="F257" s="7">
        <f>IF($C257="","",IF('설정'!$B$3=0,"",CHOOSE('설정'!$B$3,SUMIFS('RAW_농산물_7월'!$F:$F,'RAW_농산물_7월'!$D:$D,$C257,'RAW_농산물_7월'!$A:$A,$E257),SUMIFS('RAW_농산물_8월'!$F:$F,'RAW_농산물_8월'!$D:$D,$C257,'RAW_농산물_8월'!$A:$A,$E257),SUMIFS('RAW_농산물_9월'!$F:$F,'RAW_농산물_9월'!$D:$D,$C257,'RAW_농산물_9월'!$A:$A,$E257),SUMIFS('RAW_농산물_10월'!$F:$F,'RAW_농산물_10월'!$D:$D,$C257,'RAW_농산물_10월'!$A:$A,$E257),SUMIFS('RAW_농산물_11-12월'!$F:$F,'RAW_농산물_11-12월'!$D:$D,$C257,'RAW_농산물_11-12월'!$A:$A,$E257))))</f>
        <v>19184</v>
      </c>
      <c r="G257" s="7">
        <f>IF($C257="","",IF('설정'!$B$3=0,"",CHOOSE('설정'!$B$3,SUMIFS('RAW_농산물_7월'!$G:$G,'RAW_농산물_7월'!$D:$D,$C257,'RAW_농산물_7월'!$A:$A,$E257),SUMIFS('RAW_농산물_8월'!$G:$G,'RAW_농산물_8월'!$D:$D,$C257,'RAW_농산물_8월'!$A:$A,$E257),SUMIFS('RAW_농산물_9월'!$G:$G,'RAW_농산물_9월'!$D:$D,$C257,'RAW_농산물_9월'!$A:$A,$E257),SUMIFS('RAW_농산물_10월'!$G:$G,'RAW_농산물_10월'!$D:$D,$C257,'RAW_농산물_10월'!$A:$A,$E257),SUMIFS('RAW_농산물_11-12월'!$G:$G,'RAW_농산물_11-12월'!$D:$D,$C257,'RAW_농산물_11-12월'!$A:$A,$E257))))</f>
        <v>273251750</v>
      </c>
      <c r="H257" s="14">
        <f>IF($C257="","",IF('설정'!$B$3=0,"",CHOOSE('설정'!$B$3,SUMIFS('RAW_농산물_7월'!$H:$H,'RAW_농산물_7월'!$D:$D,$C257,'RAW_농산물_7월'!$A:$A,$E257),SUMIFS('RAW_농산물_8월'!$H:$H,'RAW_농산물_8월'!$D:$D,$C257,'RAW_농산물_8월'!$A:$A,$E257),SUMIFS('RAW_농산물_9월'!$H:$H,'RAW_농산물_9월'!$D:$D,$C257,'RAW_농산물_9월'!$A:$A,$E257),SUMIFS('RAW_농산물_10월'!$H:$H,'RAW_농산물_10월'!$D:$D,$C257,'RAW_농산물_10월'!$A:$A,$E257),SUMIFS('RAW_농산물_11-12월'!$H:$H,'RAW_농산물_11-12월'!$D:$D,$C257,'RAW_농산물_11-12월'!$A:$A,$E257))))</f>
        <v>2025991</v>
      </c>
      <c r="I257" s="17" t="str">
        <f>IF($C257="","",IF(COUNTIFS('RAW_농산물_7월'!$D:$D,$C257,'RAW_농산물_7월'!$A:$A,$E257)&gt;0,"O",""))</f>
        <v>O</v>
      </c>
      <c r="J257" s="17" t="str">
        <f>IF($C257="","",IF(COUNTIFS('RAW_농산물_8월'!$D:$D,$C257,'RAW_농산물_8월'!$A:$A,$E257)&gt;0,"O",""))</f>
        <v>O</v>
      </c>
      <c r="K257" s="17" t="str">
        <f>IF($C257="","",IF(COUNTIFS('RAW_농산물_9월'!$D:$D,$C257,'RAW_농산물_9월'!$A:$A,$E257)&gt;0,"O",""))</f>
        <v/>
      </c>
      <c r="L257" s="17" t="str">
        <f>IF($C257="","",IF(COUNTIFS('RAW_농산물_10월'!$D:$D,$C257,'RAW_농산물_10월'!$A:$A,$E257)&gt;0,"O",""))</f>
        <v/>
      </c>
      <c r="M257" s="17" t="str">
        <f>IF($C257="","",IF(COUNTIFS('RAW_농산물_11-12월'!$D:$D,$C257,'RAW_농산물_11-12월'!$A:$A,$E257)&gt;0,"O",""))</f>
        <v/>
      </c>
      <c r="N257" s="7">
        <f>IF($C257="","",IF(COUNTA('RAW_농산물_7월'!$A:$A)&lt;=1,"",SUMIFS('RAW_농산물_7월'!$H:$H,'RAW_농산물_7월'!$D:$D,$C257,'RAW_농산물_7월'!$A:$A,$E257)))</f>
        <v>1304875</v>
      </c>
      <c r="O257" s="7">
        <f>IF($C257="","",IF(COUNTA('RAW_농산물_8월'!$A:$A)&lt;=1,"",SUMIFS('RAW_농산물_8월'!$H:$H,'RAW_농산물_8월'!$D:$D,$C257,'RAW_농산물_8월'!$A:$A,$E257)-SUMIFS('RAW_농산물_7월'!$H:$H,'RAW_농산물_7월'!$D:$D,$C257,'RAW_농산물_7월'!$A:$A,$E257)))</f>
        <v>721116</v>
      </c>
      <c r="P257" s="7" t="str">
        <f>IF($C257="","",IF(COUNTA('RAW_농산물_9월'!$A:$A)&lt;=1,"",SUMIFS('RAW_농산물_9월'!$H:$H,'RAW_농산물_9월'!$D:$D,$C257,'RAW_농산물_9월'!$A:$A,$E257)-SUMIFS('RAW_농산물_8월'!$H:$H,'RAW_농산물_8월'!$D:$D,$C257,'RAW_농산물_8월'!$A:$A,$E257)))</f>
        <v/>
      </c>
      <c r="Q257" s="7" t="str">
        <f>IF($C257="","",IF(COUNTA('RAW_농산물_10월'!$A:$A)&lt;=1,"",SUMIFS('RAW_농산물_10월'!$H:$H,'RAW_농산물_10월'!$D:$D,$C257,'RAW_농산물_10월'!$A:$A,$E257)-SUMIFS('RAW_농산물_9월'!$H:$H,'RAW_농산물_9월'!$D:$D,$C257,'RAW_농산물_9월'!$A:$A,$E257)))</f>
        <v/>
      </c>
      <c r="R257" s="7" t="str">
        <f>IF($C257="","",IF(COUNTA('RAW_농산물_11-12월'!$A:$A)&lt;=1,"",SUMIFS('RAW_농산물_11-12월'!$H:$H,'RAW_농산물_11-12월'!$D:$D,$C257,'RAW_농산물_11-12월'!$A:$A,$E257)-SUMIFS('RAW_농산물_10월'!$H:$H,'RAW_농산물_10월'!$D:$D,$C257,'RAW_농산물_10월'!$A:$A,$E257)))</f>
        <v/>
      </c>
      <c r="S257" s="17" t="str">
        <f t="shared" si="4"/>
        <v>O</v>
      </c>
      <c r="T257" s="17" t="str">
        <f t="shared" si="5"/>
        <v>300만원 미만</v>
      </c>
      <c r="U257" s="7">
        <f>IF($C257="",0,IF('설정'!$B$3=0,0,CHOOSE('설정'!$B$3,COUNTIFS('RAW_농산물_7월'!$D:$D,$C257,'RAW_농산물_7월'!$A:$A,$E257),COUNTIFS('RAW_농산물_8월'!$D:$D,$C257,'RAW_농산물_8월'!$A:$A,$E257),COUNTIFS('RAW_농산물_9월'!$D:$D,$C257,'RAW_농산물_9월'!$A:$A,$E257),COUNTIFS('RAW_농산물_10월'!$D:$D,$C257,'RAW_농산물_10월'!$A:$A,$E257),COUNTIFS('RAW_농산물_11-12월'!$D:$D,$C257,'RAW_농산물_11-12월'!$A:$A,$E257))))</f>
        <v>3</v>
      </c>
    </row>
    <row r="258" ht="15.75" customHeight="1">
      <c r="A258" s="5">
        <v>256.0</v>
      </c>
      <c r="B258" s="5" t="s">
        <v>145</v>
      </c>
      <c r="C258" s="5" t="s">
        <v>3041</v>
      </c>
      <c r="D258" s="6" t="s">
        <v>3042</v>
      </c>
      <c r="E258" s="5" t="s">
        <v>28</v>
      </c>
      <c r="F258" s="7">
        <f>IF($C258="","",IF('설정'!$B$3=0,"",CHOOSE('설정'!$B$3,SUMIFS('RAW_농산물_7월'!$F:$F,'RAW_농산물_7월'!$D:$D,$C258,'RAW_농산물_7월'!$A:$A,$E258),SUMIFS('RAW_농산물_8월'!$F:$F,'RAW_농산물_8월'!$D:$D,$C258,'RAW_농산물_8월'!$A:$A,$E258),SUMIFS('RAW_농산물_9월'!$F:$F,'RAW_농산물_9월'!$D:$D,$C258,'RAW_농산물_9월'!$A:$A,$E258),SUMIFS('RAW_농산물_10월'!$F:$F,'RAW_농산물_10월'!$D:$D,$C258,'RAW_농산물_10월'!$A:$A,$E258),SUMIFS('RAW_농산물_11-12월'!$F:$F,'RAW_농산물_11-12월'!$D:$D,$C258,'RAW_농산물_11-12월'!$A:$A,$E258))))</f>
        <v>0</v>
      </c>
      <c r="G258" s="7">
        <f>IF($C258="","",IF('설정'!$B$3=0,"",CHOOSE('설정'!$B$3,SUMIFS('RAW_농산물_7월'!$G:$G,'RAW_농산물_7월'!$D:$D,$C258,'RAW_농산물_7월'!$A:$A,$E258),SUMIFS('RAW_농산물_8월'!$G:$G,'RAW_농산물_8월'!$D:$D,$C258,'RAW_농산물_8월'!$A:$A,$E258),SUMIFS('RAW_농산물_9월'!$G:$G,'RAW_농산물_9월'!$D:$D,$C258,'RAW_농산물_9월'!$A:$A,$E258),SUMIFS('RAW_농산물_10월'!$G:$G,'RAW_농산물_10월'!$D:$D,$C258,'RAW_농산물_10월'!$A:$A,$E258),SUMIFS('RAW_농산물_11-12월'!$G:$G,'RAW_농산물_11-12월'!$D:$D,$C258,'RAW_농산물_11-12월'!$A:$A,$E258))))</f>
        <v>0</v>
      </c>
      <c r="H258" s="14">
        <f>IF($C258="","",IF('설정'!$B$3=0,"",CHOOSE('설정'!$B$3,SUMIFS('RAW_농산물_7월'!$H:$H,'RAW_농산물_7월'!$D:$D,$C258,'RAW_농산물_7월'!$A:$A,$E258),SUMIFS('RAW_농산물_8월'!$H:$H,'RAW_농산물_8월'!$D:$D,$C258,'RAW_농산물_8월'!$A:$A,$E258),SUMIFS('RAW_농산물_9월'!$H:$H,'RAW_농산물_9월'!$D:$D,$C258,'RAW_농산물_9월'!$A:$A,$E258),SUMIFS('RAW_농산물_10월'!$H:$H,'RAW_농산물_10월'!$D:$D,$C258,'RAW_농산물_10월'!$A:$A,$E258),SUMIFS('RAW_농산물_11-12월'!$H:$H,'RAW_농산물_11-12월'!$D:$D,$C258,'RAW_농산물_11-12월'!$A:$A,$E258))))</f>
        <v>0</v>
      </c>
      <c r="I258" s="17" t="str">
        <f>IF($C258="","",IF(COUNTIFS('RAW_농산물_7월'!$D:$D,$C258,'RAW_농산물_7월'!$A:$A,$E258)&gt;0,"O",""))</f>
        <v/>
      </c>
      <c r="J258" s="17" t="str">
        <f>IF($C258="","",IF(COUNTIFS('RAW_농산물_8월'!$D:$D,$C258,'RAW_농산물_8월'!$A:$A,$E258)&gt;0,"O",""))</f>
        <v/>
      </c>
      <c r="K258" s="17" t="str">
        <f>IF($C258="","",IF(COUNTIFS('RAW_농산물_9월'!$D:$D,$C258,'RAW_농산물_9월'!$A:$A,$E258)&gt;0,"O",""))</f>
        <v/>
      </c>
      <c r="L258" s="17" t="str">
        <f>IF($C258="","",IF(COUNTIFS('RAW_농산물_10월'!$D:$D,$C258,'RAW_농산물_10월'!$A:$A,$E258)&gt;0,"O",""))</f>
        <v/>
      </c>
      <c r="M258" s="17" t="str">
        <f>IF($C258="","",IF(COUNTIFS('RAW_농산물_11-12월'!$D:$D,$C258,'RAW_농산물_11-12월'!$A:$A,$E258)&gt;0,"O",""))</f>
        <v/>
      </c>
      <c r="N258" s="7">
        <f>IF($C258="","",IF(COUNTA('RAW_농산물_7월'!$A:$A)&lt;=1,"",SUMIFS('RAW_농산물_7월'!$H:$H,'RAW_농산물_7월'!$D:$D,$C258,'RAW_농산물_7월'!$A:$A,$E258)))</f>
        <v>0</v>
      </c>
      <c r="O258" s="7">
        <f>IF($C258="","",IF(COUNTA('RAW_농산물_8월'!$A:$A)&lt;=1,"",SUMIFS('RAW_농산물_8월'!$H:$H,'RAW_농산물_8월'!$D:$D,$C258,'RAW_농산물_8월'!$A:$A,$E258)-SUMIFS('RAW_농산물_7월'!$H:$H,'RAW_농산물_7월'!$D:$D,$C258,'RAW_농산물_7월'!$A:$A,$E258)))</f>
        <v>0</v>
      </c>
      <c r="P258" s="7" t="str">
        <f>IF($C258="","",IF(COUNTA('RAW_농산물_9월'!$A:$A)&lt;=1,"",SUMIFS('RAW_농산물_9월'!$H:$H,'RAW_농산물_9월'!$D:$D,$C258,'RAW_농산물_9월'!$A:$A,$E258)-SUMIFS('RAW_농산물_8월'!$H:$H,'RAW_농산물_8월'!$D:$D,$C258,'RAW_농산물_8월'!$A:$A,$E258)))</f>
        <v/>
      </c>
      <c r="Q258" s="7" t="str">
        <f>IF($C258="","",IF(COUNTA('RAW_농산물_10월'!$A:$A)&lt;=1,"",SUMIFS('RAW_농산물_10월'!$H:$H,'RAW_농산물_10월'!$D:$D,$C258,'RAW_농산물_10월'!$A:$A,$E258)-SUMIFS('RAW_농산물_9월'!$H:$H,'RAW_농산물_9월'!$D:$D,$C258,'RAW_농산물_9월'!$A:$A,$E258)))</f>
        <v/>
      </c>
      <c r="R258" s="7" t="str">
        <f>IF($C258="","",IF(COUNTA('RAW_농산물_11-12월'!$A:$A)&lt;=1,"",SUMIFS('RAW_농산물_11-12월'!$H:$H,'RAW_농산물_11-12월'!$D:$D,$C258,'RAW_농산물_11-12월'!$A:$A,$E258)-SUMIFS('RAW_농산물_10월'!$H:$H,'RAW_농산물_10월'!$D:$D,$C258,'RAW_농산물_10월'!$A:$A,$E258)))</f>
        <v/>
      </c>
      <c r="S258" s="17" t="str">
        <f t="shared" si="4"/>
        <v/>
      </c>
      <c r="T258" s="17" t="str">
        <f t="shared" si="5"/>
        <v>미사용</v>
      </c>
      <c r="U258" s="7">
        <f>IF($C258="",0,IF('설정'!$B$3=0,0,CHOOSE('설정'!$B$3,COUNTIFS('RAW_농산물_7월'!$D:$D,$C258,'RAW_농산물_7월'!$A:$A,$E258),COUNTIFS('RAW_농산물_8월'!$D:$D,$C258,'RAW_농산물_8월'!$A:$A,$E258),COUNTIFS('RAW_농산물_9월'!$D:$D,$C258,'RAW_농산물_9월'!$A:$A,$E258),COUNTIFS('RAW_농산물_10월'!$D:$D,$C258,'RAW_농산물_10월'!$A:$A,$E258),COUNTIFS('RAW_농산물_11-12월'!$D:$D,$C258,'RAW_농산물_11-12월'!$A:$A,$E258))))</f>
        <v>0</v>
      </c>
    </row>
    <row r="259" ht="15.75" customHeight="1">
      <c r="A259" s="5">
        <v>257.0</v>
      </c>
      <c r="B259" s="5" t="s">
        <v>108</v>
      </c>
      <c r="C259" s="5" t="s">
        <v>3043</v>
      </c>
      <c r="D259" s="6" t="s">
        <v>3044</v>
      </c>
      <c r="E259" s="5" t="s">
        <v>28</v>
      </c>
      <c r="F259" s="7">
        <f>IF($C259="","",IF('설정'!$B$3=0,"",CHOOSE('설정'!$B$3,SUMIFS('RAW_농산물_7월'!$F:$F,'RAW_농산물_7월'!$D:$D,$C259,'RAW_농산물_7월'!$A:$A,$E259),SUMIFS('RAW_농산물_8월'!$F:$F,'RAW_농산물_8월'!$D:$D,$C259,'RAW_농산물_8월'!$A:$A,$E259),SUMIFS('RAW_농산물_9월'!$F:$F,'RAW_농산물_9월'!$D:$D,$C259,'RAW_농산물_9월'!$A:$A,$E259),SUMIFS('RAW_농산물_10월'!$F:$F,'RAW_농산물_10월'!$D:$D,$C259,'RAW_농산물_10월'!$A:$A,$E259),SUMIFS('RAW_농산물_11-12월'!$F:$F,'RAW_농산물_11-12월'!$D:$D,$C259,'RAW_농산물_11-12월'!$A:$A,$E259))))</f>
        <v>0</v>
      </c>
      <c r="G259" s="7">
        <f>IF($C259="","",IF('설정'!$B$3=0,"",CHOOSE('설정'!$B$3,SUMIFS('RAW_농산물_7월'!$G:$G,'RAW_농산물_7월'!$D:$D,$C259,'RAW_농산물_7월'!$A:$A,$E259),SUMIFS('RAW_농산물_8월'!$G:$G,'RAW_농산물_8월'!$D:$D,$C259,'RAW_농산물_8월'!$A:$A,$E259),SUMIFS('RAW_농산물_9월'!$G:$G,'RAW_농산물_9월'!$D:$D,$C259,'RAW_농산물_9월'!$A:$A,$E259),SUMIFS('RAW_농산물_10월'!$G:$G,'RAW_농산물_10월'!$D:$D,$C259,'RAW_농산물_10월'!$A:$A,$E259),SUMIFS('RAW_농산물_11-12월'!$G:$G,'RAW_농산물_11-12월'!$D:$D,$C259,'RAW_농산물_11-12월'!$A:$A,$E259))))</f>
        <v>0</v>
      </c>
      <c r="H259" s="14">
        <f>IF($C259="","",IF('설정'!$B$3=0,"",CHOOSE('설정'!$B$3,SUMIFS('RAW_농산물_7월'!$H:$H,'RAW_농산물_7월'!$D:$D,$C259,'RAW_농산물_7월'!$A:$A,$E259),SUMIFS('RAW_농산물_8월'!$H:$H,'RAW_농산물_8월'!$D:$D,$C259,'RAW_농산물_8월'!$A:$A,$E259),SUMIFS('RAW_농산물_9월'!$H:$H,'RAW_농산물_9월'!$D:$D,$C259,'RAW_농산물_9월'!$A:$A,$E259),SUMIFS('RAW_농산물_10월'!$H:$H,'RAW_농산물_10월'!$D:$D,$C259,'RAW_농산물_10월'!$A:$A,$E259),SUMIFS('RAW_농산물_11-12월'!$H:$H,'RAW_농산물_11-12월'!$D:$D,$C259,'RAW_농산물_11-12월'!$A:$A,$E259))))</f>
        <v>0</v>
      </c>
      <c r="I259" s="17" t="str">
        <f>IF($C259="","",IF(COUNTIFS('RAW_농산물_7월'!$D:$D,$C259,'RAW_농산물_7월'!$A:$A,$E259)&gt;0,"O",""))</f>
        <v/>
      </c>
      <c r="J259" s="17" t="str">
        <f>IF($C259="","",IF(COUNTIFS('RAW_농산물_8월'!$D:$D,$C259,'RAW_농산물_8월'!$A:$A,$E259)&gt;0,"O",""))</f>
        <v/>
      </c>
      <c r="K259" s="17" t="str">
        <f>IF($C259="","",IF(COUNTIFS('RAW_농산물_9월'!$D:$D,$C259,'RAW_농산물_9월'!$A:$A,$E259)&gt;0,"O",""))</f>
        <v/>
      </c>
      <c r="L259" s="17" t="str">
        <f>IF($C259="","",IF(COUNTIFS('RAW_농산물_10월'!$D:$D,$C259,'RAW_농산물_10월'!$A:$A,$E259)&gt;0,"O",""))</f>
        <v/>
      </c>
      <c r="M259" s="17" t="str">
        <f>IF($C259="","",IF(COUNTIFS('RAW_농산물_11-12월'!$D:$D,$C259,'RAW_농산물_11-12월'!$A:$A,$E259)&gt;0,"O",""))</f>
        <v/>
      </c>
      <c r="N259" s="7">
        <f>IF($C259="","",IF(COUNTA('RAW_농산물_7월'!$A:$A)&lt;=1,"",SUMIFS('RAW_농산물_7월'!$H:$H,'RAW_농산물_7월'!$D:$D,$C259,'RAW_농산물_7월'!$A:$A,$E259)))</f>
        <v>0</v>
      </c>
      <c r="O259" s="7">
        <f>IF($C259="","",IF(COUNTA('RAW_농산물_8월'!$A:$A)&lt;=1,"",SUMIFS('RAW_농산물_8월'!$H:$H,'RAW_농산물_8월'!$D:$D,$C259,'RAW_농산물_8월'!$A:$A,$E259)-SUMIFS('RAW_농산물_7월'!$H:$H,'RAW_농산물_7월'!$D:$D,$C259,'RAW_농산물_7월'!$A:$A,$E259)))</f>
        <v>0</v>
      </c>
      <c r="P259" s="7" t="str">
        <f>IF($C259="","",IF(COUNTA('RAW_농산물_9월'!$A:$A)&lt;=1,"",SUMIFS('RAW_농산물_9월'!$H:$H,'RAW_농산물_9월'!$D:$D,$C259,'RAW_농산물_9월'!$A:$A,$E259)-SUMIFS('RAW_농산물_8월'!$H:$H,'RAW_농산물_8월'!$D:$D,$C259,'RAW_농산물_8월'!$A:$A,$E259)))</f>
        <v/>
      </c>
      <c r="Q259" s="7" t="str">
        <f>IF($C259="","",IF(COUNTA('RAW_농산물_10월'!$A:$A)&lt;=1,"",SUMIFS('RAW_농산물_10월'!$H:$H,'RAW_농산물_10월'!$D:$D,$C259,'RAW_농산물_10월'!$A:$A,$E259)-SUMIFS('RAW_농산물_9월'!$H:$H,'RAW_농산물_9월'!$D:$D,$C259,'RAW_농산물_9월'!$A:$A,$E259)))</f>
        <v/>
      </c>
      <c r="R259" s="7" t="str">
        <f>IF($C259="","",IF(COUNTA('RAW_농산물_11-12월'!$A:$A)&lt;=1,"",SUMIFS('RAW_농산물_11-12월'!$H:$H,'RAW_농산물_11-12월'!$D:$D,$C259,'RAW_농산물_11-12월'!$A:$A,$E259)-SUMIFS('RAW_농산물_10월'!$H:$H,'RAW_농산물_10월'!$D:$D,$C259,'RAW_농산물_10월'!$A:$A,$E259)))</f>
        <v/>
      </c>
      <c r="S259" s="17" t="str">
        <f t="shared" si="4"/>
        <v/>
      </c>
      <c r="T259" s="17" t="str">
        <f t="shared" si="5"/>
        <v>미사용</v>
      </c>
      <c r="U259" s="7">
        <f>IF($C259="",0,IF('설정'!$B$3=0,0,CHOOSE('설정'!$B$3,COUNTIFS('RAW_농산물_7월'!$D:$D,$C259,'RAW_농산물_7월'!$A:$A,$E259),COUNTIFS('RAW_농산물_8월'!$D:$D,$C259,'RAW_농산물_8월'!$A:$A,$E259),COUNTIFS('RAW_농산물_9월'!$D:$D,$C259,'RAW_농산물_9월'!$A:$A,$E259),COUNTIFS('RAW_농산물_10월'!$D:$D,$C259,'RAW_농산물_10월'!$A:$A,$E259),COUNTIFS('RAW_농산물_11-12월'!$D:$D,$C259,'RAW_농산물_11-12월'!$A:$A,$E259))))</f>
        <v>0</v>
      </c>
    </row>
    <row r="260" ht="15.75" customHeight="1">
      <c r="A260" s="5">
        <v>258.0</v>
      </c>
      <c r="B260" s="5" t="s">
        <v>25</v>
      </c>
      <c r="C260" s="5" t="s">
        <v>468</v>
      </c>
      <c r="D260" s="6" t="s">
        <v>467</v>
      </c>
      <c r="E260" s="5" t="s">
        <v>92</v>
      </c>
      <c r="F260" s="7">
        <f>IF($C260="","",IF('설정'!$B$3=0,"",CHOOSE('설정'!$B$3,SUMIFS('RAW_농산물_7월'!$F:$F,'RAW_농산물_7월'!$D:$D,$C260,'RAW_농산물_7월'!$A:$A,$E260),SUMIFS('RAW_농산물_8월'!$F:$F,'RAW_농산물_8월'!$D:$D,$C260,'RAW_농산물_8월'!$A:$A,$E260),SUMIFS('RAW_농산물_9월'!$F:$F,'RAW_농산물_9월'!$D:$D,$C260,'RAW_농산물_9월'!$A:$A,$E260),SUMIFS('RAW_농산물_10월'!$F:$F,'RAW_농산물_10월'!$D:$D,$C260,'RAW_농산물_10월'!$A:$A,$E260),SUMIFS('RAW_농산물_11-12월'!$F:$F,'RAW_농산물_11-12월'!$D:$D,$C260,'RAW_농산물_11-12월'!$A:$A,$E260))))</f>
        <v>247</v>
      </c>
      <c r="G260" s="7">
        <f>IF($C260="","",IF('설정'!$B$3=0,"",CHOOSE('설정'!$B$3,SUMIFS('RAW_농산물_7월'!$G:$G,'RAW_농산물_7월'!$D:$D,$C260,'RAW_농산물_7월'!$A:$A,$E260),SUMIFS('RAW_농산물_8월'!$G:$G,'RAW_농산물_8월'!$D:$D,$C260,'RAW_농산물_8월'!$A:$A,$E260),SUMIFS('RAW_농산물_9월'!$G:$G,'RAW_농산물_9월'!$D:$D,$C260,'RAW_농산물_9월'!$A:$A,$E260),SUMIFS('RAW_농산물_10월'!$G:$G,'RAW_농산물_10월'!$D:$D,$C260,'RAW_농산물_10월'!$A:$A,$E260),SUMIFS('RAW_농산물_11-12월'!$G:$G,'RAW_농산물_11-12월'!$D:$D,$C260,'RAW_농산물_11-12월'!$A:$A,$E260))))</f>
        <v>2356800</v>
      </c>
      <c r="H260" s="14">
        <f>IF($C260="","",IF('설정'!$B$3=0,"",CHOOSE('설정'!$B$3,SUMIFS('RAW_농산물_7월'!$H:$H,'RAW_농산물_7월'!$D:$D,$C260,'RAW_농산물_7월'!$A:$A,$E260),SUMIFS('RAW_농산물_8월'!$H:$H,'RAW_농산물_8월'!$D:$D,$C260,'RAW_농산물_8월'!$A:$A,$E260),SUMIFS('RAW_농산물_9월'!$H:$H,'RAW_농산물_9월'!$D:$D,$C260,'RAW_농산물_9월'!$A:$A,$E260),SUMIFS('RAW_농산물_10월'!$H:$H,'RAW_농산물_10월'!$D:$D,$C260,'RAW_농산물_10월'!$A:$A,$E260),SUMIFS('RAW_농산물_11-12월'!$H:$H,'RAW_농산물_11-12월'!$D:$D,$C260,'RAW_농산물_11-12월'!$A:$A,$E260))))</f>
        <v>221980</v>
      </c>
      <c r="I260" s="17" t="str">
        <f>IF($C260="","",IF(COUNTIFS('RAW_농산물_7월'!$D:$D,$C260,'RAW_농산물_7월'!$A:$A,$E260)&gt;0,"O",""))</f>
        <v>O</v>
      </c>
      <c r="J260" s="17" t="str">
        <f>IF($C260="","",IF(COUNTIFS('RAW_농산물_8월'!$D:$D,$C260,'RAW_농산물_8월'!$A:$A,$E260)&gt;0,"O",""))</f>
        <v>O</v>
      </c>
      <c r="K260" s="17" t="str">
        <f>IF($C260="","",IF(COUNTIFS('RAW_농산물_9월'!$D:$D,$C260,'RAW_농산물_9월'!$A:$A,$E260)&gt;0,"O",""))</f>
        <v/>
      </c>
      <c r="L260" s="17" t="str">
        <f>IF($C260="","",IF(COUNTIFS('RAW_농산물_10월'!$D:$D,$C260,'RAW_농산물_10월'!$A:$A,$E260)&gt;0,"O",""))</f>
        <v/>
      </c>
      <c r="M260" s="17" t="str">
        <f>IF($C260="","",IF(COUNTIFS('RAW_농산물_11-12월'!$D:$D,$C260,'RAW_농산물_11-12월'!$A:$A,$E260)&gt;0,"O",""))</f>
        <v/>
      </c>
      <c r="N260" s="7">
        <f>IF($C260="","",IF(COUNTA('RAW_농산물_7월'!$A:$A)&lt;=1,"",SUMIFS('RAW_농산물_7월'!$H:$H,'RAW_농산물_7월'!$D:$D,$C260,'RAW_농산물_7월'!$A:$A,$E260)))</f>
        <v>26000</v>
      </c>
      <c r="O260" s="7">
        <f>IF($C260="","",IF(COUNTA('RAW_농산물_8월'!$A:$A)&lt;=1,"",SUMIFS('RAW_농산물_8월'!$H:$H,'RAW_농산물_8월'!$D:$D,$C260,'RAW_농산물_8월'!$A:$A,$E260)-SUMIFS('RAW_농산물_7월'!$H:$H,'RAW_농산물_7월'!$D:$D,$C260,'RAW_농산물_7월'!$A:$A,$E260)))</f>
        <v>195980</v>
      </c>
      <c r="P260" s="7" t="str">
        <f>IF($C260="","",IF(COUNTA('RAW_농산물_9월'!$A:$A)&lt;=1,"",SUMIFS('RAW_농산물_9월'!$H:$H,'RAW_농산물_9월'!$D:$D,$C260,'RAW_농산물_9월'!$A:$A,$E260)-SUMIFS('RAW_농산물_8월'!$H:$H,'RAW_농산물_8월'!$D:$D,$C260,'RAW_농산물_8월'!$A:$A,$E260)))</f>
        <v/>
      </c>
      <c r="Q260" s="7" t="str">
        <f>IF($C260="","",IF(COUNTA('RAW_농산물_10월'!$A:$A)&lt;=1,"",SUMIFS('RAW_농산물_10월'!$H:$H,'RAW_농산물_10월'!$D:$D,$C260,'RAW_농산물_10월'!$A:$A,$E260)-SUMIFS('RAW_농산물_9월'!$H:$H,'RAW_농산물_9월'!$D:$D,$C260,'RAW_농산물_9월'!$A:$A,$E260)))</f>
        <v/>
      </c>
      <c r="R260" s="7" t="str">
        <f>IF($C260="","",IF(COUNTA('RAW_농산물_11-12월'!$A:$A)&lt;=1,"",SUMIFS('RAW_농산물_11-12월'!$H:$H,'RAW_농산물_11-12월'!$D:$D,$C260,'RAW_농산물_11-12월'!$A:$A,$E260)-SUMIFS('RAW_농산물_10월'!$H:$H,'RAW_농산물_10월'!$D:$D,$C260,'RAW_농산물_10월'!$A:$A,$E260)))</f>
        <v/>
      </c>
      <c r="S260" s="17" t="str">
        <f t="shared" si="4"/>
        <v>O</v>
      </c>
      <c r="T260" s="17" t="str">
        <f t="shared" si="5"/>
        <v>50만원 미만</v>
      </c>
      <c r="U260" s="7">
        <f>IF($C260="",0,IF('설정'!$B$3=0,0,CHOOSE('설정'!$B$3,COUNTIFS('RAW_농산물_7월'!$D:$D,$C260,'RAW_농산물_7월'!$A:$A,$E260),COUNTIFS('RAW_농산물_8월'!$D:$D,$C260,'RAW_농산물_8월'!$A:$A,$E260),COUNTIFS('RAW_농산물_9월'!$D:$D,$C260,'RAW_농산물_9월'!$A:$A,$E260),COUNTIFS('RAW_농산물_10월'!$D:$D,$C260,'RAW_농산물_10월'!$A:$A,$E260),COUNTIFS('RAW_농산물_11-12월'!$D:$D,$C260,'RAW_농산물_11-12월'!$A:$A,$E260))))</f>
        <v>1</v>
      </c>
    </row>
    <row r="261" ht="15.75" customHeight="1">
      <c r="A261" s="5">
        <v>259.0</v>
      </c>
      <c r="B261" s="5" t="s">
        <v>25</v>
      </c>
      <c r="C261" s="5" t="s">
        <v>678</v>
      </c>
      <c r="D261" s="6" t="s">
        <v>677</v>
      </c>
      <c r="E261" s="5" t="s">
        <v>92</v>
      </c>
      <c r="F261" s="7">
        <f>IF($C261="","",IF('설정'!$B$3=0,"",CHOOSE('설정'!$B$3,SUMIFS('RAW_농산물_7월'!$F:$F,'RAW_농산물_7월'!$D:$D,$C261,'RAW_농산물_7월'!$A:$A,$E261),SUMIFS('RAW_농산물_8월'!$F:$F,'RAW_농산물_8월'!$D:$D,$C261,'RAW_농산물_8월'!$A:$A,$E261),SUMIFS('RAW_농산물_9월'!$F:$F,'RAW_농산물_9월'!$D:$D,$C261,'RAW_농산물_9월'!$A:$A,$E261),SUMIFS('RAW_농산물_10월'!$F:$F,'RAW_농산물_10월'!$D:$D,$C261,'RAW_농산물_10월'!$A:$A,$E261),SUMIFS('RAW_농산물_11-12월'!$F:$F,'RAW_농산물_11-12월'!$D:$D,$C261,'RAW_농산물_11-12월'!$A:$A,$E261))))</f>
        <v>15</v>
      </c>
      <c r="G261" s="7">
        <f>IF($C261="","",IF('설정'!$B$3=0,"",CHOOSE('설정'!$B$3,SUMIFS('RAW_농산물_7월'!$G:$G,'RAW_농산물_7월'!$D:$D,$C261,'RAW_농산물_7월'!$A:$A,$E261),SUMIFS('RAW_농산물_8월'!$G:$G,'RAW_농산물_8월'!$D:$D,$C261,'RAW_농산물_8월'!$A:$A,$E261),SUMIFS('RAW_농산물_9월'!$G:$G,'RAW_농산물_9월'!$D:$D,$C261,'RAW_농산물_9월'!$A:$A,$E261),SUMIFS('RAW_농산물_10월'!$G:$G,'RAW_농산물_10월'!$D:$D,$C261,'RAW_농산물_10월'!$A:$A,$E261),SUMIFS('RAW_농산물_11-12월'!$G:$G,'RAW_농산물_11-12월'!$D:$D,$C261,'RAW_농산물_11-12월'!$A:$A,$E261))))</f>
        <v>220220</v>
      </c>
      <c r="H261" s="14">
        <f>IF($C261="","",IF('설정'!$B$3=0,"",CHOOSE('설정'!$B$3,SUMIFS('RAW_농산물_7월'!$H:$H,'RAW_농산물_7월'!$D:$D,$C261,'RAW_농산물_7월'!$A:$A,$E261),SUMIFS('RAW_농산물_8월'!$H:$H,'RAW_농산물_8월'!$D:$D,$C261,'RAW_농산물_8월'!$A:$A,$E261),SUMIFS('RAW_농산물_9월'!$H:$H,'RAW_농산물_9월'!$D:$D,$C261,'RAW_농산물_9월'!$A:$A,$E261),SUMIFS('RAW_농산물_10월'!$H:$H,'RAW_농산물_10월'!$D:$D,$C261,'RAW_농산물_10월'!$A:$A,$E261),SUMIFS('RAW_농산물_11-12월'!$H:$H,'RAW_농산물_11-12월'!$D:$D,$C261,'RAW_농산물_11-12월'!$A:$A,$E261))))</f>
        <v>3890</v>
      </c>
      <c r="I261" s="17" t="str">
        <f>IF($C261="","",IF(COUNTIFS('RAW_농산물_7월'!$D:$D,$C261,'RAW_농산물_7월'!$A:$A,$E261)&gt;0,"O",""))</f>
        <v>O</v>
      </c>
      <c r="J261" s="17" t="str">
        <f>IF($C261="","",IF(COUNTIFS('RAW_농산물_8월'!$D:$D,$C261,'RAW_농산물_8월'!$A:$A,$E261)&gt;0,"O",""))</f>
        <v>O</v>
      </c>
      <c r="K261" s="17" t="str">
        <f>IF($C261="","",IF(COUNTIFS('RAW_농산물_9월'!$D:$D,$C261,'RAW_농산물_9월'!$A:$A,$E261)&gt;0,"O",""))</f>
        <v/>
      </c>
      <c r="L261" s="17" t="str">
        <f>IF($C261="","",IF(COUNTIFS('RAW_농산물_10월'!$D:$D,$C261,'RAW_농산물_10월'!$A:$A,$E261)&gt;0,"O",""))</f>
        <v/>
      </c>
      <c r="M261" s="17" t="str">
        <f>IF($C261="","",IF(COUNTIFS('RAW_농산물_11-12월'!$D:$D,$C261,'RAW_농산물_11-12월'!$A:$A,$E261)&gt;0,"O",""))</f>
        <v/>
      </c>
      <c r="N261" s="7">
        <f>IF($C261="","",IF(COUNTA('RAW_농산물_7월'!$A:$A)&lt;=1,"",SUMIFS('RAW_농산물_7월'!$H:$H,'RAW_농산물_7월'!$D:$D,$C261,'RAW_농산물_7월'!$A:$A,$E261)))</f>
        <v>0</v>
      </c>
      <c r="O261" s="7">
        <f>IF($C261="","",IF(COUNTA('RAW_농산물_8월'!$A:$A)&lt;=1,"",SUMIFS('RAW_농산물_8월'!$H:$H,'RAW_농산물_8월'!$D:$D,$C261,'RAW_농산물_8월'!$A:$A,$E261)-SUMIFS('RAW_농산물_7월'!$H:$H,'RAW_농산물_7월'!$D:$D,$C261,'RAW_농산물_7월'!$A:$A,$E261)))</f>
        <v>3890</v>
      </c>
      <c r="P261" s="7" t="str">
        <f>IF($C261="","",IF(COUNTA('RAW_농산물_9월'!$A:$A)&lt;=1,"",SUMIFS('RAW_농산물_9월'!$H:$H,'RAW_농산물_9월'!$D:$D,$C261,'RAW_농산물_9월'!$A:$A,$E261)-SUMIFS('RAW_농산물_8월'!$H:$H,'RAW_농산물_8월'!$D:$D,$C261,'RAW_농산물_8월'!$A:$A,$E261)))</f>
        <v/>
      </c>
      <c r="Q261" s="7" t="str">
        <f>IF($C261="","",IF(COUNTA('RAW_농산물_10월'!$A:$A)&lt;=1,"",SUMIFS('RAW_농산물_10월'!$H:$H,'RAW_농산물_10월'!$D:$D,$C261,'RAW_농산물_10월'!$A:$A,$E261)-SUMIFS('RAW_농산물_9월'!$H:$H,'RAW_농산물_9월'!$D:$D,$C261,'RAW_농산물_9월'!$A:$A,$E261)))</f>
        <v/>
      </c>
      <c r="R261" s="7" t="str">
        <f>IF($C261="","",IF(COUNTA('RAW_농산물_11-12월'!$A:$A)&lt;=1,"",SUMIFS('RAW_농산물_11-12월'!$H:$H,'RAW_농산물_11-12월'!$D:$D,$C261,'RAW_농산물_11-12월'!$A:$A,$E261)-SUMIFS('RAW_농산물_10월'!$H:$H,'RAW_농산물_10월'!$D:$D,$C261,'RAW_농산물_10월'!$A:$A,$E261)))</f>
        <v/>
      </c>
      <c r="S261" s="17" t="str">
        <f t="shared" si="4"/>
        <v>O</v>
      </c>
      <c r="T261" s="17" t="str">
        <f t="shared" si="5"/>
        <v>50만원 미만</v>
      </c>
      <c r="U261" s="7">
        <f>IF($C261="",0,IF('설정'!$B$3=0,0,CHOOSE('설정'!$B$3,COUNTIFS('RAW_농산물_7월'!$D:$D,$C261,'RAW_농산물_7월'!$A:$A,$E261),COUNTIFS('RAW_농산물_8월'!$D:$D,$C261,'RAW_농산물_8월'!$A:$A,$E261),COUNTIFS('RAW_농산물_9월'!$D:$D,$C261,'RAW_농산물_9월'!$A:$A,$E261),COUNTIFS('RAW_농산물_10월'!$D:$D,$C261,'RAW_농산물_10월'!$A:$A,$E261),COUNTIFS('RAW_농산물_11-12월'!$D:$D,$C261,'RAW_농산물_11-12월'!$A:$A,$E261))))</f>
        <v>6</v>
      </c>
    </row>
    <row r="262" ht="15.75" customHeight="1">
      <c r="A262" s="5">
        <v>260.0</v>
      </c>
      <c r="B262" s="5" t="s">
        <v>25</v>
      </c>
      <c r="C262" s="5" t="s">
        <v>1600</v>
      </c>
      <c r="D262" s="6" t="s">
        <v>1599</v>
      </c>
      <c r="E262" s="5" t="s">
        <v>93</v>
      </c>
      <c r="F262" s="7">
        <f>IF($C262="","",IF('설정'!$B$3=0,"",CHOOSE('설정'!$B$3,SUMIFS('RAW_농산물_7월'!$F:$F,'RAW_농산물_7월'!$D:$D,$C262,'RAW_농산물_7월'!$A:$A,$E262),SUMIFS('RAW_농산물_8월'!$F:$F,'RAW_농산물_8월'!$D:$D,$C262,'RAW_농산물_8월'!$A:$A,$E262),SUMIFS('RAW_농산물_9월'!$F:$F,'RAW_농산물_9월'!$D:$D,$C262,'RAW_농산물_9월'!$A:$A,$E262),SUMIFS('RAW_농산물_10월'!$F:$F,'RAW_농산물_10월'!$D:$D,$C262,'RAW_농산물_10월'!$A:$A,$E262),SUMIFS('RAW_농산물_11-12월'!$F:$F,'RAW_농산물_11-12월'!$D:$D,$C262,'RAW_농산물_11-12월'!$A:$A,$E262))))</f>
        <v>486</v>
      </c>
      <c r="G262" s="7">
        <f>IF($C262="","",IF('설정'!$B$3=0,"",CHOOSE('설정'!$B$3,SUMIFS('RAW_농산물_7월'!$G:$G,'RAW_농산물_7월'!$D:$D,$C262,'RAW_농산물_7월'!$A:$A,$E262),SUMIFS('RAW_농산물_8월'!$G:$G,'RAW_농산물_8월'!$D:$D,$C262,'RAW_농산물_8월'!$A:$A,$E262),SUMIFS('RAW_농산물_9월'!$G:$G,'RAW_농산물_9월'!$D:$D,$C262,'RAW_농산물_9월'!$A:$A,$E262),SUMIFS('RAW_농산물_10월'!$G:$G,'RAW_농산물_10월'!$D:$D,$C262,'RAW_농산물_10월'!$A:$A,$E262),SUMIFS('RAW_농산물_11-12월'!$G:$G,'RAW_농산물_11-12월'!$D:$D,$C262,'RAW_농산물_11-12월'!$A:$A,$E262))))</f>
        <v>20608700</v>
      </c>
      <c r="H262" s="14">
        <f>IF($C262="","",IF('설정'!$B$3=0,"",CHOOSE('설정'!$B$3,SUMIFS('RAW_농산물_7월'!$H:$H,'RAW_농산물_7월'!$D:$D,$C262,'RAW_농산물_7월'!$A:$A,$E262),SUMIFS('RAW_농산물_8월'!$H:$H,'RAW_농산물_8월'!$D:$D,$C262,'RAW_농산물_8월'!$A:$A,$E262),SUMIFS('RAW_농산물_9월'!$H:$H,'RAW_농산물_9월'!$D:$D,$C262,'RAW_농산물_9월'!$A:$A,$E262),SUMIFS('RAW_농산물_10월'!$H:$H,'RAW_농산물_10월'!$D:$D,$C262,'RAW_농산물_10월'!$A:$A,$E262),SUMIFS('RAW_농산물_11-12월'!$H:$H,'RAW_농산물_11-12월'!$D:$D,$C262,'RAW_농산물_11-12월'!$A:$A,$E262))))</f>
        <v>948440</v>
      </c>
      <c r="I262" s="17" t="str">
        <f>IF($C262="","",IF(COUNTIFS('RAW_농산물_7월'!$D:$D,$C262,'RAW_농산물_7월'!$A:$A,$E262)&gt;0,"O",""))</f>
        <v>O</v>
      </c>
      <c r="J262" s="17" t="str">
        <f>IF($C262="","",IF(COUNTIFS('RAW_농산물_8월'!$D:$D,$C262,'RAW_농산물_8월'!$A:$A,$E262)&gt;0,"O",""))</f>
        <v>O</v>
      </c>
      <c r="K262" s="17" t="str">
        <f>IF($C262="","",IF(COUNTIFS('RAW_농산물_9월'!$D:$D,$C262,'RAW_농산물_9월'!$A:$A,$E262)&gt;0,"O",""))</f>
        <v/>
      </c>
      <c r="L262" s="17" t="str">
        <f>IF($C262="","",IF(COUNTIFS('RAW_농산물_10월'!$D:$D,$C262,'RAW_농산물_10월'!$A:$A,$E262)&gt;0,"O",""))</f>
        <v/>
      </c>
      <c r="M262" s="17" t="str">
        <f>IF($C262="","",IF(COUNTIFS('RAW_농산물_11-12월'!$D:$D,$C262,'RAW_농산물_11-12월'!$A:$A,$E262)&gt;0,"O",""))</f>
        <v/>
      </c>
      <c r="N262" s="7">
        <f>IF($C262="","",IF(COUNTA('RAW_농산물_7월'!$A:$A)&lt;=1,"",SUMIFS('RAW_농산물_7월'!$H:$H,'RAW_농산물_7월'!$D:$D,$C262,'RAW_농산물_7월'!$A:$A,$E262)))</f>
        <v>738400</v>
      </c>
      <c r="O262" s="7">
        <f>IF($C262="","",IF(COUNTA('RAW_농산물_8월'!$A:$A)&lt;=1,"",SUMIFS('RAW_농산물_8월'!$H:$H,'RAW_농산물_8월'!$D:$D,$C262,'RAW_농산물_8월'!$A:$A,$E262)-SUMIFS('RAW_농산물_7월'!$H:$H,'RAW_농산물_7월'!$D:$D,$C262,'RAW_농산물_7월'!$A:$A,$E262)))</f>
        <v>210040</v>
      </c>
      <c r="P262" s="7" t="str">
        <f>IF($C262="","",IF(COUNTA('RAW_농산물_9월'!$A:$A)&lt;=1,"",SUMIFS('RAW_농산물_9월'!$H:$H,'RAW_농산물_9월'!$D:$D,$C262,'RAW_농산물_9월'!$A:$A,$E262)-SUMIFS('RAW_농산물_8월'!$H:$H,'RAW_농산물_8월'!$D:$D,$C262,'RAW_농산물_8월'!$A:$A,$E262)))</f>
        <v/>
      </c>
      <c r="Q262" s="7" t="str">
        <f>IF($C262="","",IF(COUNTA('RAW_농산물_10월'!$A:$A)&lt;=1,"",SUMIFS('RAW_농산물_10월'!$H:$H,'RAW_농산물_10월'!$D:$D,$C262,'RAW_농산물_10월'!$A:$A,$E262)-SUMIFS('RAW_농산물_9월'!$H:$H,'RAW_농산물_9월'!$D:$D,$C262,'RAW_농산물_9월'!$A:$A,$E262)))</f>
        <v/>
      </c>
      <c r="R262" s="7" t="str">
        <f>IF($C262="","",IF(COUNTA('RAW_농산물_11-12월'!$A:$A)&lt;=1,"",SUMIFS('RAW_농산물_11-12월'!$H:$H,'RAW_농산물_11-12월'!$D:$D,$C262,'RAW_농산물_11-12월'!$A:$A,$E262)-SUMIFS('RAW_농산물_10월'!$H:$H,'RAW_농산물_10월'!$D:$D,$C262,'RAW_농산물_10월'!$A:$A,$E262)))</f>
        <v/>
      </c>
      <c r="S262" s="17" t="str">
        <f t="shared" si="4"/>
        <v>O</v>
      </c>
      <c r="T262" s="17" t="str">
        <f t="shared" si="5"/>
        <v>100만원 미만</v>
      </c>
      <c r="U262" s="7">
        <f>IF($C262="",0,IF('설정'!$B$3=0,0,CHOOSE('설정'!$B$3,COUNTIFS('RAW_농산물_7월'!$D:$D,$C262,'RAW_농산물_7월'!$A:$A,$E262),COUNTIFS('RAW_농산물_8월'!$D:$D,$C262,'RAW_농산물_8월'!$A:$A,$E262),COUNTIFS('RAW_농산물_9월'!$D:$D,$C262,'RAW_농산물_9월'!$A:$A,$E262),COUNTIFS('RAW_농산물_10월'!$D:$D,$C262,'RAW_농산물_10월'!$A:$A,$E262),COUNTIFS('RAW_농산물_11-12월'!$D:$D,$C262,'RAW_농산물_11-12월'!$A:$A,$E262))))</f>
        <v>19</v>
      </c>
    </row>
    <row r="263" ht="15.75" customHeight="1">
      <c r="A263" s="5">
        <v>261.0</v>
      </c>
      <c r="B263" s="5" t="s">
        <v>25</v>
      </c>
      <c r="C263" s="5" t="s">
        <v>1624</v>
      </c>
      <c r="D263" s="6" t="s">
        <v>3045</v>
      </c>
      <c r="E263" s="5" t="s">
        <v>93</v>
      </c>
      <c r="F263" s="7">
        <f>IF($C263="","",IF('설정'!$B$3=0,"",CHOOSE('설정'!$B$3,SUMIFS('RAW_농산물_7월'!$F:$F,'RAW_농산물_7월'!$D:$D,$C263,'RAW_농산물_7월'!$A:$A,$E263),SUMIFS('RAW_농산물_8월'!$F:$F,'RAW_농산물_8월'!$D:$D,$C263,'RAW_농산물_8월'!$A:$A,$E263),SUMIFS('RAW_농산물_9월'!$F:$F,'RAW_농산물_9월'!$D:$D,$C263,'RAW_농산물_9월'!$A:$A,$E263),SUMIFS('RAW_농산물_10월'!$F:$F,'RAW_농산물_10월'!$D:$D,$C263,'RAW_농산물_10월'!$A:$A,$E263),SUMIFS('RAW_농산물_11-12월'!$F:$F,'RAW_농산물_11-12월'!$D:$D,$C263,'RAW_농산물_11-12월'!$A:$A,$E263))))</f>
        <v>71</v>
      </c>
      <c r="G263" s="7">
        <f>IF($C263="","",IF('설정'!$B$3=0,"",CHOOSE('설정'!$B$3,SUMIFS('RAW_농산물_7월'!$G:$G,'RAW_농산물_7월'!$D:$D,$C263,'RAW_농산물_7월'!$A:$A,$E263),SUMIFS('RAW_농산물_8월'!$G:$G,'RAW_농산물_8월'!$D:$D,$C263,'RAW_농산물_8월'!$A:$A,$E263),SUMIFS('RAW_농산물_9월'!$G:$G,'RAW_농산물_9월'!$D:$D,$C263,'RAW_농산물_9월'!$A:$A,$E263),SUMIFS('RAW_농산물_10월'!$G:$G,'RAW_농산물_10월'!$D:$D,$C263,'RAW_농산물_10월'!$A:$A,$E263),SUMIFS('RAW_농산물_11-12월'!$G:$G,'RAW_농산물_11-12월'!$D:$D,$C263,'RAW_농산물_11-12월'!$A:$A,$E263))))</f>
        <v>780290</v>
      </c>
      <c r="H263" s="14">
        <f>IF($C263="","",IF('설정'!$B$3=0,"",CHOOSE('설정'!$B$3,SUMIFS('RAW_농산물_7월'!$H:$H,'RAW_농산물_7월'!$D:$D,$C263,'RAW_농산물_7월'!$A:$A,$E263),SUMIFS('RAW_농산물_8월'!$H:$H,'RAW_농산물_8월'!$D:$D,$C263,'RAW_농산물_8월'!$A:$A,$E263),SUMIFS('RAW_농산물_9월'!$H:$H,'RAW_농산물_9월'!$D:$D,$C263,'RAW_농산물_9월'!$A:$A,$E263),SUMIFS('RAW_농산물_10월'!$H:$H,'RAW_농산물_10월'!$D:$D,$C263,'RAW_농산물_10월'!$A:$A,$E263),SUMIFS('RAW_농산물_11-12월'!$H:$H,'RAW_농산물_11-12월'!$D:$D,$C263,'RAW_농산물_11-12월'!$A:$A,$E263))))</f>
        <v>63690</v>
      </c>
      <c r="I263" s="17" t="str">
        <f>IF($C263="","",IF(COUNTIFS('RAW_농산물_7월'!$D:$D,$C263,'RAW_농산물_7월'!$A:$A,$E263)&gt;0,"O",""))</f>
        <v>O</v>
      </c>
      <c r="J263" s="17" t="str">
        <f>IF($C263="","",IF(COUNTIFS('RAW_농산물_8월'!$D:$D,$C263,'RAW_농산물_8월'!$A:$A,$E263)&gt;0,"O",""))</f>
        <v>O</v>
      </c>
      <c r="K263" s="17" t="str">
        <f>IF($C263="","",IF(COUNTIFS('RAW_농산물_9월'!$D:$D,$C263,'RAW_농산물_9월'!$A:$A,$E263)&gt;0,"O",""))</f>
        <v/>
      </c>
      <c r="L263" s="17" t="str">
        <f>IF($C263="","",IF(COUNTIFS('RAW_농산물_10월'!$D:$D,$C263,'RAW_농산물_10월'!$A:$A,$E263)&gt;0,"O",""))</f>
        <v/>
      </c>
      <c r="M263" s="17" t="str">
        <f>IF($C263="","",IF(COUNTIFS('RAW_농산물_11-12월'!$D:$D,$C263,'RAW_농산물_11-12월'!$A:$A,$E263)&gt;0,"O",""))</f>
        <v/>
      </c>
      <c r="N263" s="7">
        <f>IF($C263="","",IF(COUNTA('RAW_농산물_7월'!$A:$A)&lt;=1,"",SUMIFS('RAW_농산물_7월'!$H:$H,'RAW_농산물_7월'!$D:$D,$C263,'RAW_농산물_7월'!$A:$A,$E263)))</f>
        <v>0</v>
      </c>
      <c r="O263" s="7">
        <f>IF($C263="","",IF(COUNTA('RAW_농산물_8월'!$A:$A)&lt;=1,"",SUMIFS('RAW_농산물_8월'!$H:$H,'RAW_농산물_8월'!$D:$D,$C263,'RAW_농산물_8월'!$A:$A,$E263)-SUMIFS('RAW_농산물_7월'!$H:$H,'RAW_농산물_7월'!$D:$D,$C263,'RAW_농산물_7월'!$A:$A,$E263)))</f>
        <v>63690</v>
      </c>
      <c r="P263" s="7" t="str">
        <f>IF($C263="","",IF(COUNTA('RAW_농산물_9월'!$A:$A)&lt;=1,"",SUMIFS('RAW_농산물_9월'!$H:$H,'RAW_농산물_9월'!$D:$D,$C263,'RAW_농산물_9월'!$A:$A,$E263)-SUMIFS('RAW_농산물_8월'!$H:$H,'RAW_농산물_8월'!$D:$D,$C263,'RAW_농산물_8월'!$A:$A,$E263)))</f>
        <v/>
      </c>
      <c r="Q263" s="7" t="str">
        <f>IF($C263="","",IF(COUNTA('RAW_농산물_10월'!$A:$A)&lt;=1,"",SUMIFS('RAW_농산물_10월'!$H:$H,'RAW_농산물_10월'!$D:$D,$C263,'RAW_농산물_10월'!$A:$A,$E263)-SUMIFS('RAW_농산물_9월'!$H:$H,'RAW_농산물_9월'!$D:$D,$C263,'RAW_농산물_9월'!$A:$A,$E263)))</f>
        <v/>
      </c>
      <c r="R263" s="7" t="str">
        <f>IF($C263="","",IF(COUNTA('RAW_농산물_11-12월'!$A:$A)&lt;=1,"",SUMIFS('RAW_농산물_11-12월'!$H:$H,'RAW_농산물_11-12월'!$D:$D,$C263,'RAW_농산물_11-12월'!$A:$A,$E263)-SUMIFS('RAW_농산물_10월'!$H:$H,'RAW_농산물_10월'!$D:$D,$C263,'RAW_농산물_10월'!$A:$A,$E263)))</f>
        <v/>
      </c>
      <c r="S263" s="17" t="str">
        <f t="shared" si="4"/>
        <v>O</v>
      </c>
      <c r="T263" s="17" t="str">
        <f t="shared" si="5"/>
        <v>50만원 미만</v>
      </c>
      <c r="U263" s="7">
        <f>IF($C263="",0,IF('설정'!$B$3=0,0,CHOOSE('설정'!$B$3,COUNTIFS('RAW_농산물_7월'!$D:$D,$C263,'RAW_농산물_7월'!$A:$A,$E263),COUNTIFS('RAW_농산물_8월'!$D:$D,$C263,'RAW_농산물_8월'!$A:$A,$E263),COUNTIFS('RAW_농산물_9월'!$D:$D,$C263,'RAW_농산물_9월'!$A:$A,$E263),COUNTIFS('RAW_농산물_10월'!$D:$D,$C263,'RAW_농산물_10월'!$A:$A,$E263),COUNTIFS('RAW_농산물_11-12월'!$D:$D,$C263,'RAW_농산물_11-12월'!$A:$A,$E263))))</f>
        <v>1</v>
      </c>
    </row>
    <row r="264" ht="15.75" customHeight="1">
      <c r="A264" s="5">
        <v>262.0</v>
      </c>
      <c r="B264" s="5" t="s">
        <v>108</v>
      </c>
      <c r="C264" s="5" t="s">
        <v>2417</v>
      </c>
      <c r="D264" s="6" t="s">
        <v>2416</v>
      </c>
      <c r="E264" s="5" t="s">
        <v>92</v>
      </c>
      <c r="F264" s="7">
        <f>IF($C264="","",IF('설정'!$B$3=0,"",CHOOSE('설정'!$B$3,SUMIFS('RAW_농산물_7월'!$F:$F,'RAW_농산물_7월'!$D:$D,$C264,'RAW_농산물_7월'!$A:$A,$E264),SUMIFS('RAW_농산물_8월'!$F:$F,'RAW_농산물_8월'!$D:$D,$C264,'RAW_농산물_8월'!$A:$A,$E264),SUMIFS('RAW_농산물_9월'!$F:$F,'RAW_농산물_9월'!$D:$D,$C264,'RAW_농산물_9월'!$A:$A,$E264),SUMIFS('RAW_농산물_10월'!$F:$F,'RAW_농산물_10월'!$D:$D,$C264,'RAW_농산물_10월'!$A:$A,$E264),SUMIFS('RAW_농산물_11-12월'!$F:$F,'RAW_농산물_11-12월'!$D:$D,$C264,'RAW_농산물_11-12월'!$A:$A,$E264))))</f>
        <v>0</v>
      </c>
      <c r="G264" s="7">
        <f>IF($C264="","",IF('설정'!$B$3=0,"",CHOOSE('설정'!$B$3,SUMIFS('RAW_농산물_7월'!$G:$G,'RAW_농산물_7월'!$D:$D,$C264,'RAW_농산물_7월'!$A:$A,$E264),SUMIFS('RAW_농산물_8월'!$G:$G,'RAW_농산물_8월'!$D:$D,$C264,'RAW_농산물_8월'!$A:$A,$E264),SUMIFS('RAW_농산물_9월'!$G:$G,'RAW_농산물_9월'!$D:$D,$C264,'RAW_농산물_9월'!$A:$A,$E264),SUMIFS('RAW_농산물_10월'!$G:$G,'RAW_농산물_10월'!$D:$D,$C264,'RAW_농산물_10월'!$A:$A,$E264),SUMIFS('RAW_농산물_11-12월'!$G:$G,'RAW_농산물_11-12월'!$D:$D,$C264,'RAW_농산물_11-12월'!$A:$A,$E264))))</f>
        <v>0</v>
      </c>
      <c r="H264" s="14">
        <f>IF($C264="","",IF('설정'!$B$3=0,"",CHOOSE('설정'!$B$3,SUMIFS('RAW_농산물_7월'!$H:$H,'RAW_농산물_7월'!$D:$D,$C264,'RAW_농산물_7월'!$A:$A,$E264),SUMIFS('RAW_농산물_8월'!$H:$H,'RAW_농산물_8월'!$D:$D,$C264,'RAW_농산물_8월'!$A:$A,$E264),SUMIFS('RAW_농산물_9월'!$H:$H,'RAW_농산물_9월'!$D:$D,$C264,'RAW_농산물_9월'!$A:$A,$E264),SUMIFS('RAW_농산물_10월'!$H:$H,'RAW_농산물_10월'!$D:$D,$C264,'RAW_농산물_10월'!$A:$A,$E264),SUMIFS('RAW_농산물_11-12월'!$H:$H,'RAW_농산물_11-12월'!$D:$D,$C264,'RAW_농산물_11-12월'!$A:$A,$E264))))</f>
        <v>0</v>
      </c>
      <c r="I264" s="17" t="str">
        <f>IF($C264="","",IF(COUNTIFS('RAW_농산물_7월'!$D:$D,$C264,'RAW_농산물_7월'!$A:$A,$E264)&gt;0,"O",""))</f>
        <v/>
      </c>
      <c r="J264" s="17" t="str">
        <f>IF($C264="","",IF(COUNTIFS('RAW_농산물_8월'!$D:$D,$C264,'RAW_농산물_8월'!$A:$A,$E264)&gt;0,"O",""))</f>
        <v>O</v>
      </c>
      <c r="K264" s="17" t="str">
        <f>IF($C264="","",IF(COUNTIFS('RAW_농산물_9월'!$D:$D,$C264,'RAW_농산물_9월'!$A:$A,$E264)&gt;0,"O",""))</f>
        <v/>
      </c>
      <c r="L264" s="17" t="str">
        <f>IF($C264="","",IF(COUNTIFS('RAW_농산물_10월'!$D:$D,$C264,'RAW_농산물_10월'!$A:$A,$E264)&gt;0,"O",""))</f>
        <v/>
      </c>
      <c r="M264" s="17" t="str">
        <f>IF($C264="","",IF(COUNTIFS('RAW_농산물_11-12월'!$D:$D,$C264,'RAW_농산물_11-12월'!$A:$A,$E264)&gt;0,"O",""))</f>
        <v/>
      </c>
      <c r="N264" s="7">
        <f>IF($C264="","",IF(COUNTA('RAW_농산물_7월'!$A:$A)&lt;=1,"",SUMIFS('RAW_농산물_7월'!$H:$H,'RAW_농산물_7월'!$D:$D,$C264,'RAW_농산물_7월'!$A:$A,$E264)))</f>
        <v>0</v>
      </c>
      <c r="O264" s="7">
        <f>IF($C264="","",IF(COUNTA('RAW_농산물_8월'!$A:$A)&lt;=1,"",SUMIFS('RAW_농산물_8월'!$H:$H,'RAW_농산물_8월'!$D:$D,$C264,'RAW_농산물_8월'!$A:$A,$E264)-SUMIFS('RAW_농산물_7월'!$H:$H,'RAW_농산물_7월'!$D:$D,$C264,'RAW_농산물_7월'!$A:$A,$E264)))</f>
        <v>0</v>
      </c>
      <c r="P264" s="7" t="str">
        <f>IF($C264="","",IF(COUNTA('RAW_농산물_9월'!$A:$A)&lt;=1,"",SUMIFS('RAW_농산물_9월'!$H:$H,'RAW_농산물_9월'!$D:$D,$C264,'RAW_농산물_9월'!$A:$A,$E264)-SUMIFS('RAW_농산물_8월'!$H:$H,'RAW_농산물_8월'!$D:$D,$C264,'RAW_농산물_8월'!$A:$A,$E264)))</f>
        <v/>
      </c>
      <c r="Q264" s="7" t="str">
        <f>IF($C264="","",IF(COUNTA('RAW_농산물_10월'!$A:$A)&lt;=1,"",SUMIFS('RAW_농산물_10월'!$H:$H,'RAW_농산물_10월'!$D:$D,$C264,'RAW_농산물_10월'!$A:$A,$E264)-SUMIFS('RAW_농산물_9월'!$H:$H,'RAW_농산물_9월'!$D:$D,$C264,'RAW_농산물_9월'!$A:$A,$E264)))</f>
        <v/>
      </c>
      <c r="R264" s="7" t="str">
        <f>IF($C264="","",IF(COUNTA('RAW_농산물_11-12월'!$A:$A)&lt;=1,"",SUMIFS('RAW_농산물_11-12월'!$H:$H,'RAW_농산물_11-12월'!$D:$D,$C264,'RAW_농산물_11-12월'!$A:$A,$E264)-SUMIFS('RAW_농산물_10월'!$H:$H,'RAW_농산물_10월'!$D:$D,$C264,'RAW_농산물_10월'!$A:$A,$E264)))</f>
        <v/>
      </c>
      <c r="S264" s="17" t="str">
        <f t="shared" si="4"/>
        <v>O</v>
      </c>
      <c r="T264" s="17" t="str">
        <f t="shared" si="5"/>
        <v>미사용</v>
      </c>
      <c r="U264" s="7">
        <f>IF($C264="",0,IF('설정'!$B$3=0,0,CHOOSE('설정'!$B$3,COUNTIFS('RAW_농산물_7월'!$D:$D,$C264,'RAW_농산물_7월'!$A:$A,$E264),COUNTIFS('RAW_농산물_8월'!$D:$D,$C264,'RAW_농산물_8월'!$A:$A,$E264),COUNTIFS('RAW_농산물_9월'!$D:$D,$C264,'RAW_농산물_9월'!$A:$A,$E264),COUNTIFS('RAW_농산물_10월'!$D:$D,$C264,'RAW_농산물_10월'!$A:$A,$E264),COUNTIFS('RAW_농산물_11-12월'!$D:$D,$C264,'RAW_농산물_11-12월'!$A:$A,$E264))))</f>
        <v>1</v>
      </c>
    </row>
    <row r="265" ht="15.75" customHeight="1">
      <c r="A265" s="5">
        <v>263.0</v>
      </c>
      <c r="B265" s="5" t="s">
        <v>25</v>
      </c>
      <c r="C265" s="5" t="s">
        <v>3046</v>
      </c>
      <c r="D265" s="6" t="s">
        <v>3047</v>
      </c>
      <c r="E265" s="5" t="s">
        <v>92</v>
      </c>
      <c r="F265" s="7">
        <f>IF($C265="","",IF('설정'!$B$3=0,"",CHOOSE('설정'!$B$3,SUMIFS('RAW_농산물_7월'!$F:$F,'RAW_농산물_7월'!$D:$D,$C265,'RAW_농산물_7월'!$A:$A,$E265),SUMIFS('RAW_농산물_8월'!$F:$F,'RAW_농산물_8월'!$D:$D,$C265,'RAW_농산물_8월'!$A:$A,$E265),SUMIFS('RAW_농산물_9월'!$F:$F,'RAW_농산물_9월'!$D:$D,$C265,'RAW_농산물_9월'!$A:$A,$E265),SUMIFS('RAW_농산물_10월'!$F:$F,'RAW_농산물_10월'!$D:$D,$C265,'RAW_농산물_10월'!$A:$A,$E265),SUMIFS('RAW_농산물_11-12월'!$F:$F,'RAW_농산물_11-12월'!$D:$D,$C265,'RAW_농산물_11-12월'!$A:$A,$E265))))</f>
        <v>0</v>
      </c>
      <c r="G265" s="7">
        <f>IF($C265="","",IF('설정'!$B$3=0,"",CHOOSE('설정'!$B$3,SUMIFS('RAW_농산물_7월'!$G:$G,'RAW_농산물_7월'!$D:$D,$C265,'RAW_농산물_7월'!$A:$A,$E265),SUMIFS('RAW_농산물_8월'!$G:$G,'RAW_농산물_8월'!$D:$D,$C265,'RAW_농산물_8월'!$A:$A,$E265),SUMIFS('RAW_농산물_9월'!$G:$G,'RAW_농산물_9월'!$D:$D,$C265,'RAW_농산물_9월'!$A:$A,$E265),SUMIFS('RAW_농산물_10월'!$G:$G,'RAW_농산물_10월'!$D:$D,$C265,'RAW_농산물_10월'!$A:$A,$E265),SUMIFS('RAW_농산물_11-12월'!$G:$G,'RAW_농산물_11-12월'!$D:$D,$C265,'RAW_농산물_11-12월'!$A:$A,$E265))))</f>
        <v>0</v>
      </c>
      <c r="H265" s="14">
        <f>IF($C265="","",IF('설정'!$B$3=0,"",CHOOSE('설정'!$B$3,SUMIFS('RAW_농산물_7월'!$H:$H,'RAW_농산물_7월'!$D:$D,$C265,'RAW_농산물_7월'!$A:$A,$E265),SUMIFS('RAW_농산물_8월'!$H:$H,'RAW_농산물_8월'!$D:$D,$C265,'RAW_농산물_8월'!$A:$A,$E265),SUMIFS('RAW_농산물_9월'!$H:$H,'RAW_농산물_9월'!$D:$D,$C265,'RAW_농산물_9월'!$A:$A,$E265),SUMIFS('RAW_농산물_10월'!$H:$H,'RAW_농산물_10월'!$D:$D,$C265,'RAW_농산물_10월'!$A:$A,$E265),SUMIFS('RAW_농산물_11-12월'!$H:$H,'RAW_농산물_11-12월'!$D:$D,$C265,'RAW_농산물_11-12월'!$A:$A,$E265))))</f>
        <v>0</v>
      </c>
      <c r="I265" s="17" t="str">
        <f>IF($C265="","",IF(COUNTIFS('RAW_농산물_7월'!$D:$D,$C265,'RAW_농산물_7월'!$A:$A,$E265)&gt;0,"O",""))</f>
        <v/>
      </c>
      <c r="J265" s="17" t="str">
        <f>IF($C265="","",IF(COUNTIFS('RAW_농산물_8월'!$D:$D,$C265,'RAW_농산물_8월'!$A:$A,$E265)&gt;0,"O",""))</f>
        <v/>
      </c>
      <c r="K265" s="17" t="str">
        <f>IF($C265="","",IF(COUNTIFS('RAW_농산물_9월'!$D:$D,$C265,'RAW_농산물_9월'!$A:$A,$E265)&gt;0,"O",""))</f>
        <v/>
      </c>
      <c r="L265" s="17" t="str">
        <f>IF($C265="","",IF(COUNTIFS('RAW_농산물_10월'!$D:$D,$C265,'RAW_농산물_10월'!$A:$A,$E265)&gt;0,"O",""))</f>
        <v/>
      </c>
      <c r="M265" s="17" t="str">
        <f>IF($C265="","",IF(COUNTIFS('RAW_농산물_11-12월'!$D:$D,$C265,'RAW_농산물_11-12월'!$A:$A,$E265)&gt;0,"O",""))</f>
        <v/>
      </c>
      <c r="N265" s="7">
        <f>IF($C265="","",IF(COUNTA('RAW_농산물_7월'!$A:$A)&lt;=1,"",SUMIFS('RAW_농산물_7월'!$H:$H,'RAW_농산물_7월'!$D:$D,$C265,'RAW_농산물_7월'!$A:$A,$E265)))</f>
        <v>0</v>
      </c>
      <c r="O265" s="7">
        <f>IF($C265="","",IF(COUNTA('RAW_농산물_8월'!$A:$A)&lt;=1,"",SUMIFS('RAW_농산물_8월'!$H:$H,'RAW_농산물_8월'!$D:$D,$C265,'RAW_농산물_8월'!$A:$A,$E265)-SUMIFS('RAW_농산물_7월'!$H:$H,'RAW_농산물_7월'!$D:$D,$C265,'RAW_농산물_7월'!$A:$A,$E265)))</f>
        <v>0</v>
      </c>
      <c r="P265" s="7" t="str">
        <f>IF($C265="","",IF(COUNTA('RAW_농산물_9월'!$A:$A)&lt;=1,"",SUMIFS('RAW_농산물_9월'!$H:$H,'RAW_농산물_9월'!$D:$D,$C265,'RAW_농산물_9월'!$A:$A,$E265)-SUMIFS('RAW_농산물_8월'!$H:$H,'RAW_농산물_8월'!$D:$D,$C265,'RAW_농산물_8월'!$A:$A,$E265)))</f>
        <v/>
      </c>
      <c r="Q265" s="7" t="str">
        <f>IF($C265="","",IF(COUNTA('RAW_농산물_10월'!$A:$A)&lt;=1,"",SUMIFS('RAW_농산물_10월'!$H:$H,'RAW_농산물_10월'!$D:$D,$C265,'RAW_농산물_10월'!$A:$A,$E265)-SUMIFS('RAW_농산물_9월'!$H:$H,'RAW_농산물_9월'!$D:$D,$C265,'RAW_농산물_9월'!$A:$A,$E265)))</f>
        <v/>
      </c>
      <c r="R265" s="7" t="str">
        <f>IF($C265="","",IF(COUNTA('RAW_농산물_11-12월'!$A:$A)&lt;=1,"",SUMIFS('RAW_농산물_11-12월'!$H:$H,'RAW_농산물_11-12월'!$D:$D,$C265,'RAW_농산물_11-12월'!$A:$A,$E265)-SUMIFS('RAW_농산물_10월'!$H:$H,'RAW_농산물_10월'!$D:$D,$C265,'RAW_농산물_10월'!$A:$A,$E265)))</f>
        <v/>
      </c>
      <c r="S265" s="17" t="str">
        <f t="shared" si="4"/>
        <v/>
      </c>
      <c r="T265" s="17" t="str">
        <f t="shared" si="5"/>
        <v>미사용</v>
      </c>
      <c r="U265" s="7">
        <f>IF($C265="",0,IF('설정'!$B$3=0,0,CHOOSE('설정'!$B$3,COUNTIFS('RAW_농산물_7월'!$D:$D,$C265,'RAW_농산물_7월'!$A:$A,$E265),COUNTIFS('RAW_농산물_8월'!$D:$D,$C265,'RAW_농산물_8월'!$A:$A,$E265),COUNTIFS('RAW_농산물_9월'!$D:$D,$C265,'RAW_농산물_9월'!$A:$A,$E265),COUNTIFS('RAW_농산물_10월'!$D:$D,$C265,'RAW_농산물_10월'!$A:$A,$E265),COUNTIFS('RAW_농산물_11-12월'!$D:$D,$C265,'RAW_농산물_11-12월'!$A:$A,$E265))))</f>
        <v>0</v>
      </c>
    </row>
    <row r="266" ht="15.75" customHeight="1">
      <c r="A266" s="5">
        <v>264.0</v>
      </c>
      <c r="B266" s="5" t="s">
        <v>25</v>
      </c>
      <c r="C266" s="5" t="s">
        <v>486</v>
      </c>
      <c r="D266" s="6" t="s">
        <v>485</v>
      </c>
      <c r="E266" s="5" t="s">
        <v>92</v>
      </c>
      <c r="F266" s="7">
        <f>IF($C266="","",IF('설정'!$B$3=0,"",CHOOSE('설정'!$B$3,SUMIFS('RAW_농산물_7월'!$F:$F,'RAW_농산물_7월'!$D:$D,$C266,'RAW_농산물_7월'!$A:$A,$E266),SUMIFS('RAW_농산물_8월'!$F:$F,'RAW_농산물_8월'!$D:$D,$C266,'RAW_농산물_8월'!$A:$A,$E266),SUMIFS('RAW_농산물_9월'!$F:$F,'RAW_농산물_9월'!$D:$D,$C266,'RAW_농산물_9월'!$A:$A,$E266),SUMIFS('RAW_농산물_10월'!$F:$F,'RAW_농산물_10월'!$D:$D,$C266,'RAW_농산물_10월'!$A:$A,$E266),SUMIFS('RAW_농산물_11-12월'!$F:$F,'RAW_농산물_11-12월'!$D:$D,$C266,'RAW_농산물_11-12월'!$A:$A,$E266))))</f>
        <v>201</v>
      </c>
      <c r="G266" s="7">
        <f>IF($C266="","",IF('설정'!$B$3=0,"",CHOOSE('설정'!$B$3,SUMIFS('RAW_농산물_7월'!$G:$G,'RAW_농산물_7월'!$D:$D,$C266,'RAW_농산물_7월'!$A:$A,$E266),SUMIFS('RAW_농산물_8월'!$G:$G,'RAW_농산물_8월'!$D:$D,$C266,'RAW_농산물_8월'!$A:$A,$E266),SUMIFS('RAW_농산물_9월'!$G:$G,'RAW_농산물_9월'!$D:$D,$C266,'RAW_농산물_9월'!$A:$A,$E266),SUMIFS('RAW_농산물_10월'!$G:$G,'RAW_농산물_10월'!$D:$D,$C266,'RAW_농산물_10월'!$A:$A,$E266),SUMIFS('RAW_농산물_11-12월'!$G:$G,'RAW_농산물_11-12월'!$D:$D,$C266,'RAW_농산물_11-12월'!$A:$A,$E266))))</f>
        <v>10319700</v>
      </c>
      <c r="H266" s="14">
        <f>IF($C266="","",IF('설정'!$B$3=0,"",CHOOSE('설정'!$B$3,SUMIFS('RAW_농산물_7월'!$H:$H,'RAW_농산물_7월'!$D:$D,$C266,'RAW_농산물_7월'!$A:$A,$E266),SUMIFS('RAW_농산물_8월'!$H:$H,'RAW_농산물_8월'!$D:$D,$C266,'RAW_농산물_8월'!$A:$A,$E266),SUMIFS('RAW_농산물_9월'!$H:$H,'RAW_농산물_9월'!$D:$D,$C266,'RAW_농산물_9월'!$A:$A,$E266),SUMIFS('RAW_농산물_10월'!$H:$H,'RAW_농산물_10월'!$D:$D,$C266,'RAW_농산물_10월'!$A:$A,$E266),SUMIFS('RAW_농산물_11-12월'!$H:$H,'RAW_농산물_11-12월'!$D:$D,$C266,'RAW_농산물_11-12월'!$A:$A,$E266))))</f>
        <v>969800</v>
      </c>
      <c r="I266" s="17" t="str">
        <f>IF($C266="","",IF(COUNTIFS('RAW_농산물_7월'!$D:$D,$C266,'RAW_농산물_7월'!$A:$A,$E266)&gt;0,"O",""))</f>
        <v>O</v>
      </c>
      <c r="J266" s="17" t="str">
        <f>IF($C266="","",IF(COUNTIFS('RAW_농산물_8월'!$D:$D,$C266,'RAW_농산물_8월'!$A:$A,$E266)&gt;0,"O",""))</f>
        <v>O</v>
      </c>
      <c r="K266" s="17" t="str">
        <f>IF($C266="","",IF(COUNTIFS('RAW_농산물_9월'!$D:$D,$C266,'RAW_농산물_9월'!$A:$A,$E266)&gt;0,"O",""))</f>
        <v/>
      </c>
      <c r="L266" s="17" t="str">
        <f>IF($C266="","",IF(COUNTIFS('RAW_농산물_10월'!$D:$D,$C266,'RAW_농산물_10월'!$A:$A,$E266)&gt;0,"O",""))</f>
        <v/>
      </c>
      <c r="M266" s="17" t="str">
        <f>IF($C266="","",IF(COUNTIFS('RAW_농산물_11-12월'!$D:$D,$C266,'RAW_농산물_11-12월'!$A:$A,$E266)&gt;0,"O",""))</f>
        <v/>
      </c>
      <c r="N266" s="7">
        <f>IF($C266="","",IF(COUNTA('RAW_농산물_7월'!$A:$A)&lt;=1,"",SUMIFS('RAW_농산물_7월'!$H:$H,'RAW_농산물_7월'!$D:$D,$C266,'RAW_농산물_7월'!$A:$A,$E266)))</f>
        <v>420200</v>
      </c>
      <c r="O266" s="7">
        <f>IF($C266="","",IF(COUNTA('RAW_농산물_8월'!$A:$A)&lt;=1,"",SUMIFS('RAW_농산물_8월'!$H:$H,'RAW_농산물_8월'!$D:$D,$C266,'RAW_농산물_8월'!$A:$A,$E266)-SUMIFS('RAW_농산물_7월'!$H:$H,'RAW_농산물_7월'!$D:$D,$C266,'RAW_농산물_7월'!$A:$A,$E266)))</f>
        <v>549600</v>
      </c>
      <c r="P266" s="7" t="str">
        <f>IF($C266="","",IF(COUNTA('RAW_농산물_9월'!$A:$A)&lt;=1,"",SUMIFS('RAW_농산물_9월'!$H:$H,'RAW_농산물_9월'!$D:$D,$C266,'RAW_농산물_9월'!$A:$A,$E266)-SUMIFS('RAW_농산물_8월'!$H:$H,'RAW_농산물_8월'!$D:$D,$C266,'RAW_농산물_8월'!$A:$A,$E266)))</f>
        <v/>
      </c>
      <c r="Q266" s="7" t="str">
        <f>IF($C266="","",IF(COUNTA('RAW_농산물_10월'!$A:$A)&lt;=1,"",SUMIFS('RAW_농산물_10월'!$H:$H,'RAW_농산물_10월'!$D:$D,$C266,'RAW_농산물_10월'!$A:$A,$E266)-SUMIFS('RAW_농산물_9월'!$H:$H,'RAW_농산물_9월'!$D:$D,$C266,'RAW_농산물_9월'!$A:$A,$E266)))</f>
        <v/>
      </c>
      <c r="R266" s="7" t="str">
        <f>IF($C266="","",IF(COUNTA('RAW_농산물_11-12월'!$A:$A)&lt;=1,"",SUMIFS('RAW_농산물_11-12월'!$H:$H,'RAW_농산물_11-12월'!$D:$D,$C266,'RAW_농산물_11-12월'!$A:$A,$E266)-SUMIFS('RAW_농산물_10월'!$H:$H,'RAW_농산물_10월'!$D:$D,$C266,'RAW_농산물_10월'!$A:$A,$E266)))</f>
        <v/>
      </c>
      <c r="S266" s="17" t="str">
        <f t="shared" si="4"/>
        <v>O</v>
      </c>
      <c r="T266" s="17" t="str">
        <f t="shared" si="5"/>
        <v>100만원 미만</v>
      </c>
      <c r="U266" s="7">
        <f>IF($C266="",0,IF('설정'!$B$3=0,0,CHOOSE('설정'!$B$3,COUNTIFS('RAW_농산물_7월'!$D:$D,$C266,'RAW_농산물_7월'!$A:$A,$E266),COUNTIFS('RAW_농산물_8월'!$D:$D,$C266,'RAW_농산물_8월'!$A:$A,$E266),COUNTIFS('RAW_농산물_9월'!$D:$D,$C266,'RAW_농산물_9월'!$A:$A,$E266),COUNTIFS('RAW_농산물_10월'!$D:$D,$C266,'RAW_농산물_10월'!$A:$A,$E266),COUNTIFS('RAW_농산물_11-12월'!$D:$D,$C266,'RAW_농산물_11-12월'!$A:$A,$E266))))</f>
        <v>29</v>
      </c>
    </row>
    <row r="267" ht="15.75" customHeight="1">
      <c r="A267" s="5">
        <v>265.0</v>
      </c>
      <c r="B267" s="5" t="s">
        <v>25</v>
      </c>
      <c r="C267" s="5" t="s">
        <v>434</v>
      </c>
      <c r="D267" s="6" t="s">
        <v>433</v>
      </c>
      <c r="E267" s="5" t="s">
        <v>92</v>
      </c>
      <c r="F267" s="7">
        <f>IF($C267="","",IF('설정'!$B$3=0,"",CHOOSE('설정'!$B$3,SUMIFS('RAW_농산물_7월'!$F:$F,'RAW_농산물_7월'!$D:$D,$C267,'RAW_농산물_7월'!$A:$A,$E267),SUMIFS('RAW_농산물_8월'!$F:$F,'RAW_농산물_8월'!$D:$D,$C267,'RAW_농산물_8월'!$A:$A,$E267),SUMIFS('RAW_농산물_9월'!$F:$F,'RAW_농산물_9월'!$D:$D,$C267,'RAW_농산물_9월'!$A:$A,$E267),SUMIFS('RAW_농산물_10월'!$F:$F,'RAW_농산물_10월'!$D:$D,$C267,'RAW_농산물_10월'!$A:$A,$E267),SUMIFS('RAW_농산물_11-12월'!$F:$F,'RAW_농산물_11-12월'!$D:$D,$C267,'RAW_농산물_11-12월'!$A:$A,$E267))))</f>
        <v>134</v>
      </c>
      <c r="G267" s="7">
        <f>IF($C267="","",IF('설정'!$B$3=0,"",CHOOSE('설정'!$B$3,SUMIFS('RAW_농산물_7월'!$G:$G,'RAW_농산물_7월'!$D:$D,$C267,'RAW_농산물_7월'!$A:$A,$E267),SUMIFS('RAW_농산물_8월'!$G:$G,'RAW_농산물_8월'!$D:$D,$C267,'RAW_농산물_8월'!$A:$A,$E267),SUMIFS('RAW_농산물_9월'!$G:$G,'RAW_농산물_9월'!$D:$D,$C267,'RAW_농산물_9월'!$A:$A,$E267),SUMIFS('RAW_농산물_10월'!$G:$G,'RAW_농산물_10월'!$D:$D,$C267,'RAW_농산물_10월'!$A:$A,$E267),SUMIFS('RAW_농산물_11-12월'!$G:$G,'RAW_농산물_11-12월'!$D:$D,$C267,'RAW_농산물_11-12월'!$A:$A,$E267))))</f>
        <v>4153000</v>
      </c>
      <c r="H267" s="14">
        <f>IF($C267="","",IF('설정'!$B$3=0,"",CHOOSE('설정'!$B$3,SUMIFS('RAW_농산물_7월'!$H:$H,'RAW_농산물_7월'!$D:$D,$C267,'RAW_농산물_7월'!$A:$A,$E267),SUMIFS('RAW_농산물_8월'!$H:$H,'RAW_농산물_8월'!$D:$D,$C267,'RAW_농산물_8월'!$A:$A,$E267),SUMIFS('RAW_농산물_9월'!$H:$H,'RAW_농산물_9월'!$D:$D,$C267,'RAW_농산물_9월'!$A:$A,$E267),SUMIFS('RAW_농산물_10월'!$H:$H,'RAW_농산물_10월'!$D:$D,$C267,'RAW_농산물_10월'!$A:$A,$E267),SUMIFS('RAW_농산물_11-12월'!$H:$H,'RAW_농산물_11-12월'!$D:$D,$C267,'RAW_농산물_11-12월'!$A:$A,$E267))))</f>
        <v>209040</v>
      </c>
      <c r="I267" s="17" t="str">
        <f>IF($C267="","",IF(COUNTIFS('RAW_농산물_7월'!$D:$D,$C267,'RAW_농산물_7월'!$A:$A,$E267)&gt;0,"O",""))</f>
        <v>O</v>
      </c>
      <c r="J267" s="17" t="str">
        <f>IF($C267="","",IF(COUNTIFS('RAW_농산물_8월'!$D:$D,$C267,'RAW_농산물_8월'!$A:$A,$E267)&gt;0,"O",""))</f>
        <v>O</v>
      </c>
      <c r="K267" s="17" t="str">
        <f>IF($C267="","",IF(COUNTIFS('RAW_농산물_9월'!$D:$D,$C267,'RAW_농산물_9월'!$A:$A,$E267)&gt;0,"O",""))</f>
        <v/>
      </c>
      <c r="L267" s="17" t="str">
        <f>IF($C267="","",IF(COUNTIFS('RAW_농산물_10월'!$D:$D,$C267,'RAW_농산물_10월'!$A:$A,$E267)&gt;0,"O",""))</f>
        <v/>
      </c>
      <c r="M267" s="17" t="str">
        <f>IF($C267="","",IF(COUNTIFS('RAW_농산물_11-12월'!$D:$D,$C267,'RAW_농산물_11-12월'!$A:$A,$E267)&gt;0,"O",""))</f>
        <v/>
      </c>
      <c r="N267" s="7">
        <f>IF($C267="","",IF(COUNTA('RAW_농산물_7월'!$A:$A)&lt;=1,"",SUMIFS('RAW_농산물_7월'!$H:$H,'RAW_농산물_7월'!$D:$D,$C267,'RAW_농산물_7월'!$A:$A,$E267)))</f>
        <v>29000</v>
      </c>
      <c r="O267" s="7">
        <f>IF($C267="","",IF(COUNTA('RAW_농산물_8월'!$A:$A)&lt;=1,"",SUMIFS('RAW_농산물_8월'!$H:$H,'RAW_농산물_8월'!$D:$D,$C267,'RAW_농산물_8월'!$A:$A,$E267)-SUMIFS('RAW_농산물_7월'!$H:$H,'RAW_농산물_7월'!$D:$D,$C267,'RAW_농산물_7월'!$A:$A,$E267)))</f>
        <v>180040</v>
      </c>
      <c r="P267" s="7" t="str">
        <f>IF($C267="","",IF(COUNTA('RAW_농산물_9월'!$A:$A)&lt;=1,"",SUMIFS('RAW_농산물_9월'!$H:$H,'RAW_농산물_9월'!$D:$D,$C267,'RAW_농산물_9월'!$A:$A,$E267)-SUMIFS('RAW_농산물_8월'!$H:$H,'RAW_농산물_8월'!$D:$D,$C267,'RAW_농산물_8월'!$A:$A,$E267)))</f>
        <v/>
      </c>
      <c r="Q267" s="7" t="str">
        <f>IF($C267="","",IF(COUNTA('RAW_농산물_10월'!$A:$A)&lt;=1,"",SUMIFS('RAW_농산물_10월'!$H:$H,'RAW_농산물_10월'!$D:$D,$C267,'RAW_농산물_10월'!$A:$A,$E267)-SUMIFS('RAW_농산물_9월'!$H:$H,'RAW_농산물_9월'!$D:$D,$C267,'RAW_농산물_9월'!$A:$A,$E267)))</f>
        <v/>
      </c>
      <c r="R267" s="7" t="str">
        <f>IF($C267="","",IF(COUNTA('RAW_농산물_11-12월'!$A:$A)&lt;=1,"",SUMIFS('RAW_농산물_11-12월'!$H:$H,'RAW_농산물_11-12월'!$D:$D,$C267,'RAW_농산물_11-12월'!$A:$A,$E267)-SUMIFS('RAW_농산물_10월'!$H:$H,'RAW_농산물_10월'!$D:$D,$C267,'RAW_농산물_10월'!$A:$A,$E267)))</f>
        <v/>
      </c>
      <c r="S267" s="17" t="str">
        <f t="shared" si="4"/>
        <v>O</v>
      </c>
      <c r="T267" s="17" t="str">
        <f t="shared" si="5"/>
        <v>50만원 미만</v>
      </c>
      <c r="U267" s="7">
        <f>IF($C267="",0,IF('설정'!$B$3=0,0,CHOOSE('설정'!$B$3,COUNTIFS('RAW_농산물_7월'!$D:$D,$C267,'RAW_농산물_7월'!$A:$A,$E267),COUNTIFS('RAW_농산물_8월'!$D:$D,$C267,'RAW_농산물_8월'!$A:$A,$E267),COUNTIFS('RAW_농산물_9월'!$D:$D,$C267,'RAW_농산물_9월'!$A:$A,$E267),COUNTIFS('RAW_농산물_10월'!$D:$D,$C267,'RAW_농산물_10월'!$A:$A,$E267),COUNTIFS('RAW_농산물_11-12월'!$D:$D,$C267,'RAW_농산물_11-12월'!$A:$A,$E267))))</f>
        <v>3</v>
      </c>
    </row>
    <row r="268" ht="15.75" customHeight="1">
      <c r="A268" s="5">
        <v>266.0</v>
      </c>
      <c r="B268" s="5" t="s">
        <v>108</v>
      </c>
      <c r="C268" s="5" t="s">
        <v>388</v>
      </c>
      <c r="D268" s="6" t="s">
        <v>387</v>
      </c>
      <c r="E268" s="5" t="s">
        <v>92</v>
      </c>
      <c r="F268" s="7">
        <f>IF($C268="","",IF('설정'!$B$3=0,"",CHOOSE('설정'!$B$3,SUMIFS('RAW_농산물_7월'!$F:$F,'RAW_농산물_7월'!$D:$D,$C268,'RAW_농산물_7월'!$A:$A,$E268),SUMIFS('RAW_농산물_8월'!$F:$F,'RAW_농산물_8월'!$D:$D,$C268,'RAW_농산물_8월'!$A:$A,$E268),SUMIFS('RAW_농산물_9월'!$F:$F,'RAW_농산물_9월'!$D:$D,$C268,'RAW_농산물_9월'!$A:$A,$E268),SUMIFS('RAW_농산물_10월'!$F:$F,'RAW_농산물_10월'!$D:$D,$C268,'RAW_농산물_10월'!$A:$A,$E268),SUMIFS('RAW_농산물_11-12월'!$F:$F,'RAW_농산물_11-12월'!$D:$D,$C268,'RAW_농산물_11-12월'!$A:$A,$E268))))</f>
        <v>78</v>
      </c>
      <c r="G268" s="7">
        <f>IF($C268="","",IF('설정'!$B$3=0,"",CHOOSE('설정'!$B$3,SUMIFS('RAW_농산물_7월'!$G:$G,'RAW_농산물_7월'!$D:$D,$C268,'RAW_농산물_7월'!$A:$A,$E268),SUMIFS('RAW_농산물_8월'!$G:$G,'RAW_농산물_8월'!$D:$D,$C268,'RAW_농산물_8월'!$A:$A,$E268),SUMIFS('RAW_농산물_9월'!$G:$G,'RAW_농산물_9월'!$D:$D,$C268,'RAW_농산물_9월'!$A:$A,$E268),SUMIFS('RAW_농산물_10월'!$G:$G,'RAW_농산물_10월'!$D:$D,$C268,'RAW_농산물_10월'!$A:$A,$E268),SUMIFS('RAW_농산물_11-12월'!$G:$G,'RAW_농산물_11-12월'!$D:$D,$C268,'RAW_농산물_11-12월'!$A:$A,$E268))))</f>
        <v>3658450</v>
      </c>
      <c r="H268" s="14">
        <f>IF($C268="","",IF('설정'!$B$3=0,"",CHOOSE('설정'!$B$3,SUMIFS('RAW_농산물_7월'!$H:$H,'RAW_농산물_7월'!$D:$D,$C268,'RAW_농산물_7월'!$A:$A,$E268),SUMIFS('RAW_농산물_8월'!$H:$H,'RAW_농산물_8월'!$D:$D,$C268,'RAW_농산물_8월'!$A:$A,$E268),SUMIFS('RAW_농산물_9월'!$H:$H,'RAW_농산물_9월'!$D:$D,$C268,'RAW_농산물_9월'!$A:$A,$E268),SUMIFS('RAW_농산물_10월'!$H:$H,'RAW_농산물_10월'!$D:$D,$C268,'RAW_농산물_10월'!$A:$A,$E268),SUMIFS('RAW_농산물_11-12월'!$H:$H,'RAW_농산물_11-12월'!$D:$D,$C268,'RAW_농산물_11-12월'!$A:$A,$E268))))</f>
        <v>412330</v>
      </c>
      <c r="I268" s="17" t="str">
        <f>IF($C268="","",IF(COUNTIFS('RAW_농산물_7월'!$D:$D,$C268,'RAW_농산물_7월'!$A:$A,$E268)&gt;0,"O",""))</f>
        <v>O</v>
      </c>
      <c r="J268" s="17" t="str">
        <f>IF($C268="","",IF(COUNTIFS('RAW_농산물_8월'!$D:$D,$C268,'RAW_농산물_8월'!$A:$A,$E268)&gt;0,"O",""))</f>
        <v>O</v>
      </c>
      <c r="K268" s="17" t="str">
        <f>IF($C268="","",IF(COUNTIFS('RAW_농산물_9월'!$D:$D,$C268,'RAW_농산물_9월'!$A:$A,$E268)&gt;0,"O",""))</f>
        <v/>
      </c>
      <c r="L268" s="17" t="str">
        <f>IF($C268="","",IF(COUNTIFS('RAW_농산물_10월'!$D:$D,$C268,'RAW_농산물_10월'!$A:$A,$E268)&gt;0,"O",""))</f>
        <v/>
      </c>
      <c r="M268" s="17" t="str">
        <f>IF($C268="","",IF(COUNTIFS('RAW_농산물_11-12월'!$D:$D,$C268,'RAW_농산물_11-12월'!$A:$A,$E268)&gt;0,"O",""))</f>
        <v/>
      </c>
      <c r="N268" s="7">
        <f>IF($C268="","",IF(COUNTA('RAW_농산물_7월'!$A:$A)&lt;=1,"",SUMIFS('RAW_농산물_7월'!$H:$H,'RAW_농산물_7월'!$D:$D,$C268,'RAW_농산물_7월'!$A:$A,$E268)))</f>
        <v>224400</v>
      </c>
      <c r="O268" s="7">
        <f>IF($C268="","",IF(COUNTA('RAW_농산물_8월'!$A:$A)&lt;=1,"",SUMIFS('RAW_농산물_8월'!$H:$H,'RAW_농산물_8월'!$D:$D,$C268,'RAW_농산물_8월'!$A:$A,$E268)-SUMIFS('RAW_농산물_7월'!$H:$H,'RAW_농산물_7월'!$D:$D,$C268,'RAW_농산물_7월'!$A:$A,$E268)))</f>
        <v>187930</v>
      </c>
      <c r="P268" s="7" t="str">
        <f>IF($C268="","",IF(COUNTA('RAW_농산물_9월'!$A:$A)&lt;=1,"",SUMIFS('RAW_농산물_9월'!$H:$H,'RAW_농산물_9월'!$D:$D,$C268,'RAW_농산물_9월'!$A:$A,$E268)-SUMIFS('RAW_농산물_8월'!$H:$H,'RAW_농산물_8월'!$D:$D,$C268,'RAW_농산물_8월'!$A:$A,$E268)))</f>
        <v/>
      </c>
      <c r="Q268" s="7" t="str">
        <f>IF($C268="","",IF(COUNTA('RAW_농산물_10월'!$A:$A)&lt;=1,"",SUMIFS('RAW_농산물_10월'!$H:$H,'RAW_농산물_10월'!$D:$D,$C268,'RAW_농산물_10월'!$A:$A,$E268)-SUMIFS('RAW_농산물_9월'!$H:$H,'RAW_농산물_9월'!$D:$D,$C268,'RAW_농산물_9월'!$A:$A,$E268)))</f>
        <v/>
      </c>
      <c r="R268" s="7" t="str">
        <f>IF($C268="","",IF(COUNTA('RAW_농산물_11-12월'!$A:$A)&lt;=1,"",SUMIFS('RAW_농산물_11-12월'!$H:$H,'RAW_농산물_11-12월'!$D:$D,$C268,'RAW_농산물_11-12월'!$A:$A,$E268)-SUMIFS('RAW_농산물_10월'!$H:$H,'RAW_농산물_10월'!$D:$D,$C268,'RAW_농산물_10월'!$A:$A,$E268)))</f>
        <v/>
      </c>
      <c r="S268" s="17" t="str">
        <f t="shared" si="4"/>
        <v>O</v>
      </c>
      <c r="T268" s="17" t="str">
        <f t="shared" si="5"/>
        <v>50만원 미만</v>
      </c>
      <c r="U268" s="7">
        <f>IF($C268="",0,IF('설정'!$B$3=0,0,CHOOSE('설정'!$B$3,COUNTIFS('RAW_농산물_7월'!$D:$D,$C268,'RAW_농산물_7월'!$A:$A,$E268),COUNTIFS('RAW_농산물_8월'!$D:$D,$C268,'RAW_농산물_8월'!$A:$A,$E268),COUNTIFS('RAW_농산물_9월'!$D:$D,$C268,'RAW_농산물_9월'!$A:$A,$E268),COUNTIFS('RAW_농산물_10월'!$D:$D,$C268,'RAW_농산물_10월'!$A:$A,$E268),COUNTIFS('RAW_농산물_11-12월'!$D:$D,$C268,'RAW_농산물_11-12월'!$A:$A,$E268))))</f>
        <v>1</v>
      </c>
    </row>
    <row r="269" ht="15.75" customHeight="1">
      <c r="A269" s="5">
        <v>267.0</v>
      </c>
      <c r="B269" s="5" t="s">
        <v>145</v>
      </c>
      <c r="C269" s="5" t="s">
        <v>565</v>
      </c>
      <c r="D269" s="6" t="s">
        <v>564</v>
      </c>
      <c r="E269" s="5" t="s">
        <v>92</v>
      </c>
      <c r="F269" s="7">
        <f>IF($C269="","",IF('설정'!$B$3=0,"",CHOOSE('설정'!$B$3,SUMIFS('RAW_농산물_7월'!$F:$F,'RAW_농산물_7월'!$D:$D,$C269,'RAW_농산물_7월'!$A:$A,$E269),SUMIFS('RAW_농산물_8월'!$F:$F,'RAW_농산물_8월'!$D:$D,$C269,'RAW_농산물_8월'!$A:$A,$E269),SUMIFS('RAW_농산물_9월'!$F:$F,'RAW_농산물_9월'!$D:$D,$C269,'RAW_농산물_9월'!$A:$A,$E269),SUMIFS('RAW_농산물_10월'!$F:$F,'RAW_농산물_10월'!$D:$D,$C269,'RAW_농산물_10월'!$A:$A,$E269),SUMIFS('RAW_농산물_11-12월'!$F:$F,'RAW_농산물_11-12월'!$D:$D,$C269,'RAW_농산물_11-12월'!$A:$A,$E269))))</f>
        <v>67</v>
      </c>
      <c r="G269" s="7">
        <f>IF($C269="","",IF('설정'!$B$3=0,"",CHOOSE('설정'!$B$3,SUMIFS('RAW_농산물_7월'!$G:$G,'RAW_농산물_7월'!$D:$D,$C269,'RAW_농산물_7월'!$A:$A,$E269),SUMIFS('RAW_농산물_8월'!$G:$G,'RAW_농산물_8월'!$D:$D,$C269,'RAW_농산물_8월'!$A:$A,$E269),SUMIFS('RAW_농산물_9월'!$G:$G,'RAW_농산물_9월'!$D:$D,$C269,'RAW_농산물_9월'!$A:$A,$E269),SUMIFS('RAW_농산물_10월'!$G:$G,'RAW_농산물_10월'!$D:$D,$C269,'RAW_농산물_10월'!$A:$A,$E269),SUMIFS('RAW_농산물_11-12월'!$G:$G,'RAW_농산물_11-12월'!$D:$D,$C269,'RAW_농산물_11-12월'!$A:$A,$E269))))</f>
        <v>2157400</v>
      </c>
      <c r="H269" s="14">
        <f>IF($C269="","",IF('설정'!$B$3=0,"",CHOOSE('설정'!$B$3,SUMIFS('RAW_농산물_7월'!$H:$H,'RAW_농산물_7월'!$D:$D,$C269,'RAW_농산물_7월'!$A:$A,$E269),SUMIFS('RAW_농산물_8월'!$H:$H,'RAW_농산물_8월'!$D:$D,$C269,'RAW_농산물_8월'!$A:$A,$E269),SUMIFS('RAW_농산물_9월'!$H:$H,'RAW_농산물_9월'!$D:$D,$C269,'RAW_농산물_9월'!$A:$A,$E269),SUMIFS('RAW_농산물_10월'!$H:$H,'RAW_농산물_10월'!$D:$D,$C269,'RAW_농산물_10월'!$A:$A,$E269),SUMIFS('RAW_농산물_11-12월'!$H:$H,'RAW_농산물_11-12월'!$D:$D,$C269,'RAW_농산물_11-12월'!$A:$A,$E269))))</f>
        <v>241130</v>
      </c>
      <c r="I269" s="17" t="str">
        <f>IF($C269="","",IF(COUNTIFS('RAW_농산물_7월'!$D:$D,$C269,'RAW_농산물_7월'!$A:$A,$E269)&gt;0,"O",""))</f>
        <v>O</v>
      </c>
      <c r="J269" s="17" t="str">
        <f>IF($C269="","",IF(COUNTIFS('RAW_농산물_8월'!$D:$D,$C269,'RAW_농산물_8월'!$A:$A,$E269)&gt;0,"O",""))</f>
        <v>O</v>
      </c>
      <c r="K269" s="17" t="str">
        <f>IF($C269="","",IF(COUNTIFS('RAW_농산물_9월'!$D:$D,$C269,'RAW_농산물_9월'!$A:$A,$E269)&gt;0,"O",""))</f>
        <v/>
      </c>
      <c r="L269" s="17" t="str">
        <f>IF($C269="","",IF(COUNTIFS('RAW_농산물_10월'!$D:$D,$C269,'RAW_농산물_10월'!$A:$A,$E269)&gt;0,"O",""))</f>
        <v/>
      </c>
      <c r="M269" s="17" t="str">
        <f>IF($C269="","",IF(COUNTIFS('RAW_농산물_11-12월'!$D:$D,$C269,'RAW_농산물_11-12월'!$A:$A,$E269)&gt;0,"O",""))</f>
        <v/>
      </c>
      <c r="N269" s="7">
        <f>IF($C269="","",IF(COUNTA('RAW_농산물_7월'!$A:$A)&lt;=1,"",SUMIFS('RAW_농산물_7월'!$H:$H,'RAW_농산물_7월'!$D:$D,$C269,'RAW_농산물_7월'!$A:$A,$E269)))</f>
        <v>88180</v>
      </c>
      <c r="O269" s="7">
        <f>IF($C269="","",IF(COUNTA('RAW_농산물_8월'!$A:$A)&lt;=1,"",SUMIFS('RAW_농산물_8월'!$H:$H,'RAW_농산물_8월'!$D:$D,$C269,'RAW_농산물_8월'!$A:$A,$E269)-SUMIFS('RAW_농산물_7월'!$H:$H,'RAW_농산물_7월'!$D:$D,$C269,'RAW_농산물_7월'!$A:$A,$E269)))</f>
        <v>152950</v>
      </c>
      <c r="P269" s="7" t="str">
        <f>IF($C269="","",IF(COUNTA('RAW_농산물_9월'!$A:$A)&lt;=1,"",SUMIFS('RAW_농산물_9월'!$H:$H,'RAW_농산물_9월'!$D:$D,$C269,'RAW_농산물_9월'!$A:$A,$E269)-SUMIFS('RAW_농산물_8월'!$H:$H,'RAW_농산물_8월'!$D:$D,$C269,'RAW_농산물_8월'!$A:$A,$E269)))</f>
        <v/>
      </c>
      <c r="Q269" s="7" t="str">
        <f>IF($C269="","",IF(COUNTA('RAW_농산물_10월'!$A:$A)&lt;=1,"",SUMIFS('RAW_농산물_10월'!$H:$H,'RAW_농산물_10월'!$D:$D,$C269,'RAW_농산물_10월'!$A:$A,$E269)-SUMIFS('RAW_농산물_9월'!$H:$H,'RAW_농산물_9월'!$D:$D,$C269,'RAW_농산물_9월'!$A:$A,$E269)))</f>
        <v/>
      </c>
      <c r="R269" s="7" t="str">
        <f>IF($C269="","",IF(COUNTA('RAW_농산물_11-12월'!$A:$A)&lt;=1,"",SUMIFS('RAW_농산물_11-12월'!$H:$H,'RAW_농산물_11-12월'!$D:$D,$C269,'RAW_농산물_11-12월'!$A:$A,$E269)-SUMIFS('RAW_농산물_10월'!$H:$H,'RAW_농산물_10월'!$D:$D,$C269,'RAW_농산물_10월'!$A:$A,$E269)))</f>
        <v/>
      </c>
      <c r="S269" s="17" t="str">
        <f t="shared" si="4"/>
        <v>O</v>
      </c>
      <c r="T269" s="17" t="str">
        <f t="shared" si="5"/>
        <v>50만원 미만</v>
      </c>
      <c r="U269" s="7">
        <f>IF($C269="",0,IF('설정'!$B$3=0,0,CHOOSE('설정'!$B$3,COUNTIFS('RAW_농산물_7월'!$D:$D,$C269,'RAW_농산물_7월'!$A:$A,$E269),COUNTIFS('RAW_농산물_8월'!$D:$D,$C269,'RAW_농산물_8월'!$A:$A,$E269),COUNTIFS('RAW_농산물_9월'!$D:$D,$C269,'RAW_농산물_9월'!$A:$A,$E269),COUNTIFS('RAW_농산물_10월'!$D:$D,$C269,'RAW_농산물_10월'!$A:$A,$E269),COUNTIFS('RAW_농산물_11-12월'!$D:$D,$C269,'RAW_농산물_11-12월'!$A:$A,$E269))))</f>
        <v>21</v>
      </c>
    </row>
    <row r="270" ht="15.75" customHeight="1">
      <c r="A270" s="5">
        <v>268.0</v>
      </c>
      <c r="B270" s="5" t="s">
        <v>145</v>
      </c>
      <c r="C270" s="5" t="s">
        <v>1767</v>
      </c>
      <c r="D270" s="6" t="s">
        <v>3048</v>
      </c>
      <c r="E270" s="5" t="s">
        <v>31</v>
      </c>
      <c r="F270" s="7">
        <f>IF($C270="","",IF('설정'!$B$3=0,"",CHOOSE('설정'!$B$3,SUMIFS('RAW_농산물_7월'!$F:$F,'RAW_농산물_7월'!$D:$D,$C270,'RAW_농산물_7월'!$A:$A,$E270),SUMIFS('RAW_농산물_8월'!$F:$F,'RAW_농산물_8월'!$D:$D,$C270,'RAW_농산물_8월'!$A:$A,$E270),SUMIFS('RAW_농산물_9월'!$F:$F,'RAW_농산물_9월'!$D:$D,$C270,'RAW_농산물_9월'!$A:$A,$E270),SUMIFS('RAW_농산물_10월'!$F:$F,'RAW_농산물_10월'!$D:$D,$C270,'RAW_농산물_10월'!$A:$A,$E270),SUMIFS('RAW_농산물_11-12월'!$F:$F,'RAW_농산물_11-12월'!$D:$D,$C270,'RAW_농산물_11-12월'!$A:$A,$E270))))</f>
        <v>237</v>
      </c>
      <c r="G270" s="7">
        <f>IF($C270="","",IF('설정'!$B$3=0,"",CHOOSE('설정'!$B$3,SUMIFS('RAW_농산물_7월'!$G:$G,'RAW_농산물_7월'!$D:$D,$C270,'RAW_농산물_7월'!$A:$A,$E270),SUMIFS('RAW_농산물_8월'!$G:$G,'RAW_농산물_8월'!$D:$D,$C270,'RAW_농산물_8월'!$A:$A,$E270),SUMIFS('RAW_농산물_9월'!$G:$G,'RAW_농산물_9월'!$D:$D,$C270,'RAW_농산물_9월'!$A:$A,$E270),SUMIFS('RAW_농산물_10월'!$G:$G,'RAW_농산물_10월'!$D:$D,$C270,'RAW_농산물_10월'!$A:$A,$E270),SUMIFS('RAW_농산물_11-12월'!$G:$G,'RAW_농산물_11-12월'!$D:$D,$C270,'RAW_농산물_11-12월'!$A:$A,$E270))))</f>
        <v>3710620</v>
      </c>
      <c r="H270" s="14">
        <f>IF($C270="","",IF('설정'!$B$3=0,"",CHOOSE('설정'!$B$3,SUMIFS('RAW_농산물_7월'!$H:$H,'RAW_농산물_7월'!$D:$D,$C270,'RAW_농산물_7월'!$A:$A,$E270),SUMIFS('RAW_농산물_8월'!$H:$H,'RAW_농산물_8월'!$D:$D,$C270,'RAW_농산물_8월'!$A:$A,$E270),SUMIFS('RAW_농산물_9월'!$H:$H,'RAW_농산물_9월'!$D:$D,$C270,'RAW_농산물_9월'!$A:$A,$E270),SUMIFS('RAW_농산물_10월'!$H:$H,'RAW_농산물_10월'!$D:$D,$C270,'RAW_농산물_10월'!$A:$A,$E270),SUMIFS('RAW_농산물_11-12월'!$H:$H,'RAW_농산물_11-12월'!$D:$D,$C270,'RAW_농산물_11-12월'!$A:$A,$E270))))</f>
        <v>415736</v>
      </c>
      <c r="I270" s="17" t="str">
        <f>IF($C270="","",IF(COUNTIFS('RAW_농산물_7월'!$D:$D,$C270,'RAW_농산물_7월'!$A:$A,$E270)&gt;0,"O",""))</f>
        <v>O</v>
      </c>
      <c r="J270" s="17" t="str">
        <f>IF($C270="","",IF(COUNTIFS('RAW_농산물_8월'!$D:$D,$C270,'RAW_농산물_8월'!$A:$A,$E270)&gt;0,"O",""))</f>
        <v>O</v>
      </c>
      <c r="K270" s="17" t="str">
        <f>IF($C270="","",IF(COUNTIFS('RAW_농산물_9월'!$D:$D,$C270,'RAW_농산물_9월'!$A:$A,$E270)&gt;0,"O",""))</f>
        <v/>
      </c>
      <c r="L270" s="17" t="str">
        <f>IF($C270="","",IF(COUNTIFS('RAW_농산물_10월'!$D:$D,$C270,'RAW_농산물_10월'!$A:$A,$E270)&gt;0,"O",""))</f>
        <v/>
      </c>
      <c r="M270" s="17" t="str">
        <f>IF($C270="","",IF(COUNTIFS('RAW_농산물_11-12월'!$D:$D,$C270,'RAW_농산물_11-12월'!$A:$A,$E270)&gt;0,"O",""))</f>
        <v/>
      </c>
      <c r="N270" s="7">
        <f>IF($C270="","",IF(COUNTA('RAW_농산물_7월'!$A:$A)&lt;=1,"",SUMIFS('RAW_농산물_7월'!$H:$H,'RAW_농산물_7월'!$D:$D,$C270,'RAW_농산물_7월'!$A:$A,$E270)))</f>
        <v>80080</v>
      </c>
      <c r="O270" s="7">
        <f>IF($C270="","",IF(COUNTA('RAW_농산물_8월'!$A:$A)&lt;=1,"",SUMIFS('RAW_농산물_8월'!$H:$H,'RAW_농산물_8월'!$D:$D,$C270,'RAW_농산물_8월'!$A:$A,$E270)-SUMIFS('RAW_농산물_7월'!$H:$H,'RAW_농산물_7월'!$D:$D,$C270,'RAW_농산물_7월'!$A:$A,$E270)))</f>
        <v>335656</v>
      </c>
      <c r="P270" s="7" t="str">
        <f>IF($C270="","",IF(COUNTA('RAW_농산물_9월'!$A:$A)&lt;=1,"",SUMIFS('RAW_농산물_9월'!$H:$H,'RAW_농산물_9월'!$D:$D,$C270,'RAW_농산물_9월'!$A:$A,$E270)-SUMIFS('RAW_농산물_8월'!$H:$H,'RAW_농산물_8월'!$D:$D,$C270,'RAW_농산물_8월'!$A:$A,$E270)))</f>
        <v/>
      </c>
      <c r="Q270" s="7" t="str">
        <f>IF($C270="","",IF(COUNTA('RAW_농산물_10월'!$A:$A)&lt;=1,"",SUMIFS('RAW_농산물_10월'!$H:$H,'RAW_농산물_10월'!$D:$D,$C270,'RAW_농산물_10월'!$A:$A,$E270)-SUMIFS('RAW_농산물_9월'!$H:$H,'RAW_농산물_9월'!$D:$D,$C270,'RAW_농산물_9월'!$A:$A,$E270)))</f>
        <v/>
      </c>
      <c r="R270" s="7" t="str">
        <f>IF($C270="","",IF(COUNTA('RAW_농산물_11-12월'!$A:$A)&lt;=1,"",SUMIFS('RAW_농산물_11-12월'!$H:$H,'RAW_농산물_11-12월'!$D:$D,$C270,'RAW_농산물_11-12월'!$A:$A,$E270)-SUMIFS('RAW_농산물_10월'!$H:$H,'RAW_농산물_10월'!$D:$D,$C270,'RAW_농산물_10월'!$A:$A,$E270)))</f>
        <v/>
      </c>
      <c r="S270" s="17" t="str">
        <f t="shared" si="4"/>
        <v>O</v>
      </c>
      <c r="T270" s="17" t="str">
        <f t="shared" si="5"/>
        <v>50만원 미만</v>
      </c>
      <c r="U270" s="7">
        <f>IF($C270="",0,IF('설정'!$B$3=0,0,CHOOSE('설정'!$B$3,COUNTIFS('RAW_농산물_7월'!$D:$D,$C270,'RAW_농산물_7월'!$A:$A,$E270),COUNTIFS('RAW_농산물_8월'!$D:$D,$C270,'RAW_농산물_8월'!$A:$A,$E270),COUNTIFS('RAW_농산물_9월'!$D:$D,$C270,'RAW_농산물_9월'!$A:$A,$E270),COUNTIFS('RAW_농산물_10월'!$D:$D,$C270,'RAW_농산물_10월'!$A:$A,$E270),COUNTIFS('RAW_농산물_11-12월'!$D:$D,$C270,'RAW_농산물_11-12월'!$A:$A,$E270))))</f>
        <v>5</v>
      </c>
    </row>
    <row r="271" ht="15.75" customHeight="1">
      <c r="A271" s="5">
        <v>269.0</v>
      </c>
      <c r="B271" s="5" t="s">
        <v>108</v>
      </c>
      <c r="C271" s="5" t="s">
        <v>643</v>
      </c>
      <c r="D271" s="6" t="s">
        <v>642</v>
      </c>
      <c r="E271" s="5" t="s">
        <v>92</v>
      </c>
      <c r="F271" s="7">
        <f>IF($C271="","",IF('설정'!$B$3=0,"",CHOOSE('설정'!$B$3,SUMIFS('RAW_농산물_7월'!$F:$F,'RAW_농산물_7월'!$D:$D,$C271,'RAW_농산물_7월'!$A:$A,$E271),SUMIFS('RAW_농산물_8월'!$F:$F,'RAW_농산물_8월'!$D:$D,$C271,'RAW_농산물_8월'!$A:$A,$E271),SUMIFS('RAW_농산물_9월'!$F:$F,'RAW_농산물_9월'!$D:$D,$C271,'RAW_농산물_9월'!$A:$A,$E271),SUMIFS('RAW_농산물_10월'!$F:$F,'RAW_농산물_10월'!$D:$D,$C271,'RAW_농산물_10월'!$A:$A,$E271),SUMIFS('RAW_농산물_11-12월'!$F:$F,'RAW_농산물_11-12월'!$D:$D,$C271,'RAW_농산물_11-12월'!$A:$A,$E271))))</f>
        <v>12</v>
      </c>
      <c r="G271" s="7">
        <f>IF($C271="","",IF('설정'!$B$3=0,"",CHOOSE('설정'!$B$3,SUMIFS('RAW_농산물_7월'!$G:$G,'RAW_농산물_7월'!$D:$D,$C271,'RAW_농산물_7월'!$A:$A,$E271),SUMIFS('RAW_농산물_8월'!$G:$G,'RAW_농산물_8월'!$D:$D,$C271,'RAW_농산물_8월'!$A:$A,$E271),SUMIFS('RAW_농산물_9월'!$G:$G,'RAW_농산물_9월'!$D:$D,$C271,'RAW_농산물_9월'!$A:$A,$E271),SUMIFS('RAW_농산물_10월'!$G:$G,'RAW_농산물_10월'!$D:$D,$C271,'RAW_농산물_10월'!$A:$A,$E271),SUMIFS('RAW_농산물_11-12월'!$G:$G,'RAW_농산물_11-12월'!$D:$D,$C271,'RAW_농산물_11-12월'!$A:$A,$E271))))</f>
        <v>293700</v>
      </c>
      <c r="H271" s="14">
        <f>IF($C271="","",IF('설정'!$B$3=0,"",CHOOSE('설정'!$B$3,SUMIFS('RAW_농산물_7월'!$H:$H,'RAW_농산물_7월'!$D:$D,$C271,'RAW_농산물_7월'!$A:$A,$E271),SUMIFS('RAW_농산물_8월'!$H:$H,'RAW_농산물_8월'!$D:$D,$C271,'RAW_농산물_8월'!$A:$A,$E271),SUMIFS('RAW_농산물_9월'!$H:$H,'RAW_농산물_9월'!$D:$D,$C271,'RAW_농산물_9월'!$A:$A,$E271),SUMIFS('RAW_농산물_10월'!$H:$H,'RAW_농산물_10월'!$D:$D,$C271,'RAW_농산물_10월'!$A:$A,$E271),SUMIFS('RAW_농산물_11-12월'!$H:$H,'RAW_농산물_11-12월'!$D:$D,$C271,'RAW_농산물_11-12월'!$A:$A,$E271))))</f>
        <v>46240</v>
      </c>
      <c r="I271" s="17" t="str">
        <f>IF($C271="","",IF(COUNTIFS('RAW_농산물_7월'!$D:$D,$C271,'RAW_농산물_7월'!$A:$A,$E271)&gt;0,"O",""))</f>
        <v>O</v>
      </c>
      <c r="J271" s="17" t="str">
        <f>IF($C271="","",IF(COUNTIFS('RAW_농산물_8월'!$D:$D,$C271,'RAW_농산물_8월'!$A:$A,$E271)&gt;0,"O",""))</f>
        <v>O</v>
      </c>
      <c r="K271" s="17" t="str">
        <f>IF($C271="","",IF(COUNTIFS('RAW_농산물_9월'!$D:$D,$C271,'RAW_농산물_9월'!$A:$A,$E271)&gt;0,"O",""))</f>
        <v/>
      </c>
      <c r="L271" s="17" t="str">
        <f>IF($C271="","",IF(COUNTIFS('RAW_농산물_10월'!$D:$D,$C271,'RAW_농산물_10월'!$A:$A,$E271)&gt;0,"O",""))</f>
        <v/>
      </c>
      <c r="M271" s="17" t="str">
        <f>IF($C271="","",IF(COUNTIFS('RAW_농산물_11-12월'!$D:$D,$C271,'RAW_농산물_11-12월'!$A:$A,$E271)&gt;0,"O",""))</f>
        <v/>
      </c>
      <c r="N271" s="7">
        <f>IF($C271="","",IF(COUNTA('RAW_농산물_7월'!$A:$A)&lt;=1,"",SUMIFS('RAW_농산물_7월'!$H:$H,'RAW_농산물_7월'!$D:$D,$C271,'RAW_농산물_7월'!$A:$A,$E271)))</f>
        <v>37600</v>
      </c>
      <c r="O271" s="7">
        <f>IF($C271="","",IF(COUNTA('RAW_농산물_8월'!$A:$A)&lt;=1,"",SUMIFS('RAW_농산물_8월'!$H:$H,'RAW_농산물_8월'!$D:$D,$C271,'RAW_농산물_8월'!$A:$A,$E271)-SUMIFS('RAW_농산물_7월'!$H:$H,'RAW_농산물_7월'!$D:$D,$C271,'RAW_농산물_7월'!$A:$A,$E271)))</f>
        <v>8640</v>
      </c>
      <c r="P271" s="7" t="str">
        <f>IF($C271="","",IF(COUNTA('RAW_농산물_9월'!$A:$A)&lt;=1,"",SUMIFS('RAW_농산물_9월'!$H:$H,'RAW_농산물_9월'!$D:$D,$C271,'RAW_농산물_9월'!$A:$A,$E271)-SUMIFS('RAW_농산물_8월'!$H:$H,'RAW_농산물_8월'!$D:$D,$C271,'RAW_농산물_8월'!$A:$A,$E271)))</f>
        <v/>
      </c>
      <c r="Q271" s="7" t="str">
        <f>IF($C271="","",IF(COUNTA('RAW_농산물_10월'!$A:$A)&lt;=1,"",SUMIFS('RAW_농산물_10월'!$H:$H,'RAW_농산물_10월'!$D:$D,$C271,'RAW_농산물_10월'!$A:$A,$E271)-SUMIFS('RAW_농산물_9월'!$H:$H,'RAW_농산물_9월'!$D:$D,$C271,'RAW_농산물_9월'!$A:$A,$E271)))</f>
        <v/>
      </c>
      <c r="R271" s="7" t="str">
        <f>IF($C271="","",IF(COUNTA('RAW_농산물_11-12월'!$A:$A)&lt;=1,"",SUMIFS('RAW_농산물_11-12월'!$H:$H,'RAW_농산물_11-12월'!$D:$D,$C271,'RAW_농산물_11-12월'!$A:$A,$E271)-SUMIFS('RAW_농산물_10월'!$H:$H,'RAW_농산물_10월'!$D:$D,$C271,'RAW_농산물_10월'!$A:$A,$E271)))</f>
        <v/>
      </c>
      <c r="S271" s="17" t="str">
        <f t="shared" si="4"/>
        <v>O</v>
      </c>
      <c r="T271" s="17" t="str">
        <f t="shared" si="5"/>
        <v>50만원 미만</v>
      </c>
      <c r="U271" s="7">
        <f>IF($C271="",0,IF('설정'!$B$3=0,0,CHOOSE('설정'!$B$3,COUNTIFS('RAW_농산물_7월'!$D:$D,$C271,'RAW_농산물_7월'!$A:$A,$E271),COUNTIFS('RAW_농산물_8월'!$D:$D,$C271,'RAW_농산물_8월'!$A:$A,$E271),COUNTIFS('RAW_농산물_9월'!$D:$D,$C271,'RAW_농산물_9월'!$A:$A,$E271),COUNTIFS('RAW_농산물_10월'!$D:$D,$C271,'RAW_농산물_10월'!$A:$A,$E271),COUNTIFS('RAW_농산물_11-12월'!$D:$D,$C271,'RAW_농산물_11-12월'!$A:$A,$E271))))</f>
        <v>3</v>
      </c>
    </row>
    <row r="272" ht="15.75" customHeight="1">
      <c r="A272" s="5">
        <v>270.0</v>
      </c>
      <c r="B272" s="5" t="s">
        <v>25</v>
      </c>
      <c r="C272" s="5" t="s">
        <v>1786</v>
      </c>
      <c r="D272" s="6" t="s">
        <v>3049</v>
      </c>
      <c r="E272" s="5" t="s">
        <v>31</v>
      </c>
      <c r="F272" s="7">
        <f>IF($C272="","",IF('설정'!$B$3=0,"",CHOOSE('설정'!$B$3,SUMIFS('RAW_농산물_7월'!$F:$F,'RAW_농산물_7월'!$D:$D,$C272,'RAW_농산물_7월'!$A:$A,$E272),SUMIFS('RAW_농산물_8월'!$F:$F,'RAW_농산물_8월'!$D:$D,$C272,'RAW_농산물_8월'!$A:$A,$E272),SUMIFS('RAW_농산물_9월'!$F:$F,'RAW_농산물_9월'!$D:$D,$C272,'RAW_농산물_9월'!$A:$A,$E272),SUMIFS('RAW_농산물_10월'!$F:$F,'RAW_농산물_10월'!$D:$D,$C272,'RAW_농산물_10월'!$A:$A,$E272),SUMIFS('RAW_농산물_11-12월'!$F:$F,'RAW_농산물_11-12월'!$D:$D,$C272,'RAW_농산물_11-12월'!$A:$A,$E272))))</f>
        <v>10177</v>
      </c>
      <c r="G272" s="7">
        <f>IF($C272="","",IF('설정'!$B$3=0,"",CHOOSE('설정'!$B$3,SUMIFS('RAW_농산물_7월'!$G:$G,'RAW_농산물_7월'!$D:$D,$C272,'RAW_농산물_7월'!$A:$A,$E272),SUMIFS('RAW_농산물_8월'!$G:$G,'RAW_농산물_8월'!$D:$D,$C272,'RAW_농산물_8월'!$A:$A,$E272),SUMIFS('RAW_농산물_9월'!$G:$G,'RAW_농산물_9월'!$D:$D,$C272,'RAW_농산물_9월'!$A:$A,$E272),SUMIFS('RAW_농산물_10월'!$G:$G,'RAW_농산물_10월'!$D:$D,$C272,'RAW_농산물_10월'!$A:$A,$E272),SUMIFS('RAW_농산물_11-12월'!$G:$G,'RAW_농산물_11-12월'!$D:$D,$C272,'RAW_농산물_11-12월'!$A:$A,$E272))))</f>
        <v>51890900</v>
      </c>
      <c r="H272" s="14">
        <f>IF($C272="","",IF('설정'!$B$3=0,"",CHOOSE('설정'!$B$3,SUMIFS('RAW_농산물_7월'!$H:$H,'RAW_농산물_7월'!$D:$D,$C272,'RAW_농산물_7월'!$A:$A,$E272),SUMIFS('RAW_농산물_8월'!$H:$H,'RAW_농산물_8월'!$D:$D,$C272,'RAW_농산물_8월'!$A:$A,$E272),SUMIFS('RAW_농산물_9월'!$H:$H,'RAW_농산물_9월'!$D:$D,$C272,'RAW_농산물_9월'!$A:$A,$E272),SUMIFS('RAW_농산물_10월'!$H:$H,'RAW_농산물_10월'!$D:$D,$C272,'RAW_농산물_10월'!$A:$A,$E272),SUMIFS('RAW_농산물_11-12월'!$H:$H,'RAW_농산물_11-12월'!$D:$D,$C272,'RAW_농산물_11-12월'!$A:$A,$E272))))</f>
        <v>3084209</v>
      </c>
      <c r="I272" s="17" t="str">
        <f>IF($C272="","",IF(COUNTIFS('RAW_농산물_7월'!$D:$D,$C272,'RAW_농산물_7월'!$A:$A,$E272)&gt;0,"O",""))</f>
        <v>O</v>
      </c>
      <c r="J272" s="17" t="str">
        <f>IF($C272="","",IF(COUNTIFS('RAW_농산물_8월'!$D:$D,$C272,'RAW_농산물_8월'!$A:$A,$E272)&gt;0,"O",""))</f>
        <v>O</v>
      </c>
      <c r="K272" s="17" t="str">
        <f>IF($C272="","",IF(COUNTIFS('RAW_농산물_9월'!$D:$D,$C272,'RAW_농산물_9월'!$A:$A,$E272)&gt;0,"O",""))</f>
        <v/>
      </c>
      <c r="L272" s="17" t="str">
        <f>IF($C272="","",IF(COUNTIFS('RAW_농산물_10월'!$D:$D,$C272,'RAW_농산물_10월'!$A:$A,$E272)&gt;0,"O",""))</f>
        <v/>
      </c>
      <c r="M272" s="17" t="str">
        <f>IF($C272="","",IF(COUNTIFS('RAW_농산물_11-12월'!$D:$D,$C272,'RAW_농산물_11-12월'!$A:$A,$E272)&gt;0,"O",""))</f>
        <v/>
      </c>
      <c r="N272" s="7">
        <f>IF($C272="","",IF(COUNTA('RAW_농산물_7월'!$A:$A)&lt;=1,"",SUMIFS('RAW_농산물_7월'!$H:$H,'RAW_농산물_7월'!$D:$D,$C272,'RAW_농산물_7월'!$A:$A,$E272)))</f>
        <v>1044409</v>
      </c>
      <c r="O272" s="7">
        <f>IF($C272="","",IF(COUNTA('RAW_농산물_8월'!$A:$A)&lt;=1,"",SUMIFS('RAW_농산물_8월'!$H:$H,'RAW_농산물_8월'!$D:$D,$C272,'RAW_농산물_8월'!$A:$A,$E272)-SUMIFS('RAW_농산물_7월'!$H:$H,'RAW_농산물_7월'!$D:$D,$C272,'RAW_농산물_7월'!$A:$A,$E272)))</f>
        <v>2039800</v>
      </c>
      <c r="P272" s="7" t="str">
        <f>IF($C272="","",IF(COUNTA('RAW_농산물_9월'!$A:$A)&lt;=1,"",SUMIFS('RAW_농산물_9월'!$H:$H,'RAW_농산물_9월'!$D:$D,$C272,'RAW_농산물_9월'!$A:$A,$E272)-SUMIFS('RAW_농산물_8월'!$H:$H,'RAW_농산물_8월'!$D:$D,$C272,'RAW_농산물_8월'!$A:$A,$E272)))</f>
        <v/>
      </c>
      <c r="Q272" s="7" t="str">
        <f>IF($C272="","",IF(COUNTA('RAW_농산물_10월'!$A:$A)&lt;=1,"",SUMIFS('RAW_농산물_10월'!$H:$H,'RAW_농산물_10월'!$D:$D,$C272,'RAW_농산물_10월'!$A:$A,$E272)-SUMIFS('RAW_농산물_9월'!$H:$H,'RAW_농산물_9월'!$D:$D,$C272,'RAW_농산물_9월'!$A:$A,$E272)))</f>
        <v/>
      </c>
      <c r="R272" s="7" t="str">
        <f>IF($C272="","",IF(COUNTA('RAW_농산물_11-12월'!$A:$A)&lt;=1,"",SUMIFS('RAW_농산물_11-12월'!$H:$H,'RAW_농산물_11-12월'!$D:$D,$C272,'RAW_농산물_11-12월'!$A:$A,$E272)-SUMIFS('RAW_농산물_10월'!$H:$H,'RAW_농산물_10월'!$D:$D,$C272,'RAW_농산물_10월'!$A:$A,$E272)))</f>
        <v/>
      </c>
      <c r="S272" s="17" t="str">
        <f t="shared" si="4"/>
        <v>O</v>
      </c>
      <c r="T272" s="17" t="str">
        <f t="shared" si="5"/>
        <v>400만원 미만</v>
      </c>
      <c r="U272" s="7">
        <f>IF($C272="",0,IF('설정'!$B$3=0,0,CHOOSE('설정'!$B$3,COUNTIFS('RAW_농산물_7월'!$D:$D,$C272,'RAW_농산물_7월'!$A:$A,$E272),COUNTIFS('RAW_농산물_8월'!$D:$D,$C272,'RAW_농산물_8월'!$A:$A,$E272),COUNTIFS('RAW_농산물_9월'!$D:$D,$C272,'RAW_농산물_9월'!$A:$A,$E272),COUNTIFS('RAW_농산물_10월'!$D:$D,$C272,'RAW_농산물_10월'!$A:$A,$E272),COUNTIFS('RAW_농산물_11-12월'!$D:$D,$C272,'RAW_농산물_11-12월'!$A:$A,$E272))))</f>
        <v>3</v>
      </c>
    </row>
    <row r="273" ht="15.75" customHeight="1">
      <c r="A273" s="5">
        <v>271.0</v>
      </c>
      <c r="B273" s="5" t="s">
        <v>25</v>
      </c>
      <c r="C273" s="5" t="s">
        <v>1774</v>
      </c>
      <c r="D273" s="6" t="s">
        <v>3050</v>
      </c>
      <c r="E273" s="5" t="s">
        <v>31</v>
      </c>
      <c r="F273" s="7">
        <f>IF($C273="","",IF('설정'!$B$3=0,"",CHOOSE('설정'!$B$3,SUMIFS('RAW_농산물_7월'!$F:$F,'RAW_농산물_7월'!$D:$D,$C273,'RAW_농산물_7월'!$A:$A,$E273),SUMIFS('RAW_농산물_8월'!$F:$F,'RAW_농산물_8월'!$D:$D,$C273,'RAW_농산물_8월'!$A:$A,$E273),SUMIFS('RAW_농산물_9월'!$F:$F,'RAW_농산물_9월'!$D:$D,$C273,'RAW_농산물_9월'!$A:$A,$E273),SUMIFS('RAW_농산물_10월'!$F:$F,'RAW_농산물_10월'!$D:$D,$C273,'RAW_농산물_10월'!$A:$A,$E273),SUMIFS('RAW_농산물_11-12월'!$F:$F,'RAW_농산물_11-12월'!$D:$D,$C273,'RAW_농산물_11-12월'!$A:$A,$E273))))</f>
        <v>932</v>
      </c>
      <c r="G273" s="7">
        <f>IF($C273="","",IF('설정'!$B$3=0,"",CHOOSE('설정'!$B$3,SUMIFS('RAW_농산물_7월'!$G:$G,'RAW_농산물_7월'!$D:$D,$C273,'RAW_농산물_7월'!$A:$A,$E273),SUMIFS('RAW_농산물_8월'!$G:$G,'RAW_농산물_8월'!$D:$D,$C273,'RAW_농산물_8월'!$A:$A,$E273),SUMIFS('RAW_농산물_9월'!$G:$G,'RAW_농산물_9월'!$D:$D,$C273,'RAW_농산물_9월'!$A:$A,$E273),SUMIFS('RAW_농산물_10월'!$G:$G,'RAW_농산물_10월'!$D:$D,$C273,'RAW_농산물_10월'!$A:$A,$E273),SUMIFS('RAW_농산물_11-12월'!$G:$G,'RAW_농산물_11-12월'!$D:$D,$C273,'RAW_농산물_11-12월'!$A:$A,$E273))))</f>
        <v>12275200</v>
      </c>
      <c r="H273" s="14">
        <f>IF($C273="","",IF('설정'!$B$3=0,"",CHOOSE('설정'!$B$3,SUMIFS('RAW_농산물_7월'!$H:$H,'RAW_농산물_7월'!$D:$D,$C273,'RAW_농산물_7월'!$A:$A,$E273),SUMIFS('RAW_농산물_8월'!$H:$H,'RAW_농산물_8월'!$D:$D,$C273,'RAW_농산물_8월'!$A:$A,$E273),SUMIFS('RAW_농산물_9월'!$H:$H,'RAW_농산물_9월'!$D:$D,$C273,'RAW_농산물_9월'!$A:$A,$E273),SUMIFS('RAW_농산물_10월'!$H:$H,'RAW_농산물_10월'!$D:$D,$C273,'RAW_농산물_10월'!$A:$A,$E273),SUMIFS('RAW_농산물_11-12월'!$H:$H,'RAW_농산물_11-12월'!$D:$D,$C273,'RAW_농산물_11-12월'!$A:$A,$E273))))</f>
        <v>1273480</v>
      </c>
      <c r="I273" s="17" t="str">
        <f>IF($C273="","",IF(COUNTIFS('RAW_농산물_7월'!$D:$D,$C273,'RAW_농산물_7월'!$A:$A,$E273)&gt;0,"O",""))</f>
        <v>O</v>
      </c>
      <c r="J273" s="17" t="str">
        <f>IF($C273="","",IF(COUNTIFS('RAW_농산물_8월'!$D:$D,$C273,'RAW_농산물_8월'!$A:$A,$E273)&gt;0,"O",""))</f>
        <v>O</v>
      </c>
      <c r="K273" s="17" t="str">
        <f>IF($C273="","",IF(COUNTIFS('RAW_농산물_9월'!$D:$D,$C273,'RAW_농산물_9월'!$A:$A,$E273)&gt;0,"O",""))</f>
        <v/>
      </c>
      <c r="L273" s="17" t="str">
        <f>IF($C273="","",IF(COUNTIFS('RAW_농산물_10월'!$D:$D,$C273,'RAW_농산물_10월'!$A:$A,$E273)&gt;0,"O",""))</f>
        <v/>
      </c>
      <c r="M273" s="17" t="str">
        <f>IF($C273="","",IF(COUNTIFS('RAW_농산물_11-12월'!$D:$D,$C273,'RAW_농산물_11-12월'!$A:$A,$E273)&gt;0,"O",""))</f>
        <v/>
      </c>
      <c r="N273" s="7">
        <f>IF($C273="","",IF(COUNTA('RAW_농산물_7월'!$A:$A)&lt;=1,"",SUMIFS('RAW_농산물_7월'!$H:$H,'RAW_농산물_7월'!$D:$D,$C273,'RAW_농산물_7월'!$A:$A,$E273)))</f>
        <v>407640</v>
      </c>
      <c r="O273" s="7">
        <f>IF($C273="","",IF(COUNTA('RAW_농산물_8월'!$A:$A)&lt;=1,"",SUMIFS('RAW_농산물_8월'!$H:$H,'RAW_농산물_8월'!$D:$D,$C273,'RAW_농산물_8월'!$A:$A,$E273)-SUMIFS('RAW_농산물_7월'!$H:$H,'RAW_농산물_7월'!$D:$D,$C273,'RAW_농산물_7월'!$A:$A,$E273)))</f>
        <v>865840</v>
      </c>
      <c r="P273" s="7" t="str">
        <f>IF($C273="","",IF(COUNTA('RAW_농산물_9월'!$A:$A)&lt;=1,"",SUMIFS('RAW_농산물_9월'!$H:$H,'RAW_농산물_9월'!$D:$D,$C273,'RAW_농산물_9월'!$A:$A,$E273)-SUMIFS('RAW_농산물_8월'!$H:$H,'RAW_농산물_8월'!$D:$D,$C273,'RAW_농산물_8월'!$A:$A,$E273)))</f>
        <v/>
      </c>
      <c r="Q273" s="7" t="str">
        <f>IF($C273="","",IF(COUNTA('RAW_농산물_10월'!$A:$A)&lt;=1,"",SUMIFS('RAW_농산물_10월'!$H:$H,'RAW_농산물_10월'!$D:$D,$C273,'RAW_농산물_10월'!$A:$A,$E273)-SUMIFS('RAW_농산물_9월'!$H:$H,'RAW_농산물_9월'!$D:$D,$C273,'RAW_농산물_9월'!$A:$A,$E273)))</f>
        <v/>
      </c>
      <c r="R273" s="7" t="str">
        <f>IF($C273="","",IF(COUNTA('RAW_농산물_11-12월'!$A:$A)&lt;=1,"",SUMIFS('RAW_농산물_11-12월'!$H:$H,'RAW_농산물_11-12월'!$D:$D,$C273,'RAW_농산물_11-12월'!$A:$A,$E273)-SUMIFS('RAW_농산물_10월'!$H:$H,'RAW_농산물_10월'!$D:$D,$C273,'RAW_농산물_10월'!$A:$A,$E273)))</f>
        <v/>
      </c>
      <c r="S273" s="17" t="str">
        <f t="shared" si="4"/>
        <v>O</v>
      </c>
      <c r="T273" s="17" t="str">
        <f t="shared" si="5"/>
        <v>200만원 미만</v>
      </c>
      <c r="U273" s="7">
        <f>IF($C273="",0,IF('설정'!$B$3=0,0,CHOOSE('설정'!$B$3,COUNTIFS('RAW_농산물_7월'!$D:$D,$C273,'RAW_농산물_7월'!$A:$A,$E273),COUNTIFS('RAW_농산물_8월'!$D:$D,$C273,'RAW_농산물_8월'!$A:$A,$E273),COUNTIFS('RAW_농산물_9월'!$D:$D,$C273,'RAW_농산물_9월'!$A:$A,$E273),COUNTIFS('RAW_농산물_10월'!$D:$D,$C273,'RAW_농산물_10월'!$A:$A,$E273),COUNTIFS('RAW_농산물_11-12월'!$D:$D,$C273,'RAW_농산물_11-12월'!$A:$A,$E273))))</f>
        <v>10</v>
      </c>
    </row>
    <row r="274" ht="15.75" customHeight="1">
      <c r="A274" s="5">
        <v>272.0</v>
      </c>
      <c r="B274" s="5" t="s">
        <v>25</v>
      </c>
      <c r="C274" s="5" t="s">
        <v>608</v>
      </c>
      <c r="D274" s="6" t="s">
        <v>607</v>
      </c>
      <c r="E274" s="5" t="s">
        <v>92</v>
      </c>
      <c r="F274" s="7">
        <f>IF($C274="","",IF('설정'!$B$3=0,"",CHOOSE('설정'!$B$3,SUMIFS('RAW_농산물_7월'!$F:$F,'RAW_농산물_7월'!$D:$D,$C274,'RAW_농산물_7월'!$A:$A,$E274),SUMIFS('RAW_농산물_8월'!$F:$F,'RAW_농산물_8월'!$D:$D,$C274,'RAW_농산물_8월'!$A:$A,$E274),SUMIFS('RAW_농산물_9월'!$F:$F,'RAW_농산물_9월'!$D:$D,$C274,'RAW_농산물_9월'!$A:$A,$E274),SUMIFS('RAW_농산물_10월'!$F:$F,'RAW_농산물_10월'!$D:$D,$C274,'RAW_농산물_10월'!$A:$A,$E274),SUMIFS('RAW_농산물_11-12월'!$F:$F,'RAW_농산물_11-12월'!$D:$D,$C274,'RAW_농산물_11-12월'!$A:$A,$E274))))</f>
        <v>110</v>
      </c>
      <c r="G274" s="7">
        <f>IF($C274="","",IF('설정'!$B$3=0,"",CHOOSE('설정'!$B$3,SUMIFS('RAW_농산물_7월'!$G:$G,'RAW_농산물_7월'!$D:$D,$C274,'RAW_농산물_7월'!$A:$A,$E274),SUMIFS('RAW_농산물_8월'!$G:$G,'RAW_농산물_8월'!$D:$D,$C274,'RAW_농산물_8월'!$A:$A,$E274),SUMIFS('RAW_농산물_9월'!$G:$G,'RAW_농산물_9월'!$D:$D,$C274,'RAW_농산물_9월'!$A:$A,$E274),SUMIFS('RAW_농산물_10월'!$G:$G,'RAW_농산물_10월'!$D:$D,$C274,'RAW_농산물_10월'!$A:$A,$E274),SUMIFS('RAW_농산물_11-12월'!$G:$G,'RAW_농산물_11-12월'!$D:$D,$C274,'RAW_농산물_11-12월'!$A:$A,$E274))))</f>
        <v>2747250</v>
      </c>
      <c r="H274" s="14">
        <f>IF($C274="","",IF('설정'!$B$3=0,"",CHOOSE('설정'!$B$3,SUMIFS('RAW_농산물_7월'!$H:$H,'RAW_농산물_7월'!$D:$D,$C274,'RAW_농산물_7월'!$A:$A,$E274),SUMIFS('RAW_농산물_8월'!$H:$H,'RAW_농산물_8월'!$D:$D,$C274,'RAW_농산물_8월'!$A:$A,$E274),SUMIFS('RAW_농산물_9월'!$H:$H,'RAW_농산물_9월'!$D:$D,$C274,'RAW_농산물_9월'!$A:$A,$E274),SUMIFS('RAW_농산물_10월'!$H:$H,'RAW_농산물_10월'!$D:$D,$C274,'RAW_농산물_10월'!$A:$A,$E274),SUMIFS('RAW_농산물_11-12월'!$H:$H,'RAW_농산물_11-12월'!$D:$D,$C274,'RAW_농산물_11-12월'!$A:$A,$E274))))</f>
        <v>221190</v>
      </c>
      <c r="I274" s="17" t="str">
        <f>IF($C274="","",IF(COUNTIFS('RAW_농산물_7월'!$D:$D,$C274,'RAW_농산물_7월'!$A:$A,$E274)&gt;0,"O",""))</f>
        <v>O</v>
      </c>
      <c r="J274" s="17" t="str">
        <f>IF($C274="","",IF(COUNTIFS('RAW_농산물_8월'!$D:$D,$C274,'RAW_농산물_8월'!$A:$A,$E274)&gt;0,"O",""))</f>
        <v>O</v>
      </c>
      <c r="K274" s="17" t="str">
        <f>IF($C274="","",IF(COUNTIFS('RAW_농산물_9월'!$D:$D,$C274,'RAW_농산물_9월'!$A:$A,$E274)&gt;0,"O",""))</f>
        <v/>
      </c>
      <c r="L274" s="17" t="str">
        <f>IF($C274="","",IF(COUNTIFS('RAW_농산물_10월'!$D:$D,$C274,'RAW_농산물_10월'!$A:$A,$E274)&gt;0,"O",""))</f>
        <v/>
      </c>
      <c r="M274" s="17" t="str">
        <f>IF($C274="","",IF(COUNTIFS('RAW_농산물_11-12월'!$D:$D,$C274,'RAW_농산물_11-12월'!$A:$A,$E274)&gt;0,"O",""))</f>
        <v/>
      </c>
      <c r="N274" s="7">
        <f>IF($C274="","",IF(COUNTA('RAW_농산물_7월'!$A:$A)&lt;=1,"",SUMIFS('RAW_농산물_7월'!$H:$H,'RAW_농산물_7월'!$D:$D,$C274,'RAW_농산물_7월'!$A:$A,$E274)))</f>
        <v>3780</v>
      </c>
      <c r="O274" s="7">
        <f>IF($C274="","",IF(COUNTA('RAW_농산물_8월'!$A:$A)&lt;=1,"",SUMIFS('RAW_농산물_8월'!$H:$H,'RAW_농산물_8월'!$D:$D,$C274,'RAW_농산물_8월'!$A:$A,$E274)-SUMIFS('RAW_농산물_7월'!$H:$H,'RAW_농산물_7월'!$D:$D,$C274,'RAW_농산물_7월'!$A:$A,$E274)))</f>
        <v>217410</v>
      </c>
      <c r="P274" s="7" t="str">
        <f>IF($C274="","",IF(COUNTA('RAW_농산물_9월'!$A:$A)&lt;=1,"",SUMIFS('RAW_농산물_9월'!$H:$H,'RAW_농산물_9월'!$D:$D,$C274,'RAW_농산물_9월'!$A:$A,$E274)-SUMIFS('RAW_농산물_8월'!$H:$H,'RAW_농산물_8월'!$D:$D,$C274,'RAW_농산물_8월'!$A:$A,$E274)))</f>
        <v/>
      </c>
      <c r="Q274" s="7" t="str">
        <f>IF($C274="","",IF(COUNTA('RAW_농산물_10월'!$A:$A)&lt;=1,"",SUMIFS('RAW_농산물_10월'!$H:$H,'RAW_농산물_10월'!$D:$D,$C274,'RAW_농산물_10월'!$A:$A,$E274)-SUMIFS('RAW_농산물_9월'!$H:$H,'RAW_농산물_9월'!$D:$D,$C274,'RAW_농산물_9월'!$A:$A,$E274)))</f>
        <v/>
      </c>
      <c r="R274" s="7" t="str">
        <f>IF($C274="","",IF(COUNTA('RAW_농산물_11-12월'!$A:$A)&lt;=1,"",SUMIFS('RAW_농산물_11-12월'!$H:$H,'RAW_농산물_11-12월'!$D:$D,$C274,'RAW_농산물_11-12월'!$A:$A,$E274)-SUMIFS('RAW_농산물_10월'!$H:$H,'RAW_농산물_10월'!$D:$D,$C274,'RAW_농산물_10월'!$A:$A,$E274)))</f>
        <v/>
      </c>
      <c r="S274" s="17" t="str">
        <f t="shared" si="4"/>
        <v>O</v>
      </c>
      <c r="T274" s="17" t="str">
        <f t="shared" si="5"/>
        <v>50만원 미만</v>
      </c>
      <c r="U274" s="7">
        <f>IF($C274="",0,IF('설정'!$B$3=0,0,CHOOSE('설정'!$B$3,COUNTIFS('RAW_농산물_7월'!$D:$D,$C274,'RAW_농산물_7월'!$A:$A,$E274),COUNTIFS('RAW_농산물_8월'!$D:$D,$C274,'RAW_농산물_8월'!$A:$A,$E274),COUNTIFS('RAW_농산물_9월'!$D:$D,$C274,'RAW_농산물_9월'!$A:$A,$E274),COUNTIFS('RAW_농산물_10월'!$D:$D,$C274,'RAW_농산물_10월'!$A:$A,$E274),COUNTIFS('RAW_농산물_11-12월'!$D:$D,$C274,'RAW_농산물_11-12월'!$A:$A,$E274))))</f>
        <v>3</v>
      </c>
    </row>
    <row r="275" ht="15.75" customHeight="1">
      <c r="A275" s="5">
        <v>273.0</v>
      </c>
      <c r="B275" s="5" t="s">
        <v>25</v>
      </c>
      <c r="C275" s="5" t="s">
        <v>508</v>
      </c>
      <c r="D275" s="6" t="s">
        <v>507</v>
      </c>
      <c r="E275" s="5" t="s">
        <v>92</v>
      </c>
      <c r="F275" s="7">
        <f>IF($C275="","",IF('설정'!$B$3=0,"",CHOOSE('설정'!$B$3,SUMIFS('RAW_농산물_7월'!$F:$F,'RAW_농산물_7월'!$D:$D,$C275,'RAW_농산물_7월'!$A:$A,$E275),SUMIFS('RAW_농산물_8월'!$F:$F,'RAW_농산물_8월'!$D:$D,$C275,'RAW_농산물_8월'!$A:$A,$E275),SUMIFS('RAW_농산물_9월'!$F:$F,'RAW_농산물_9월'!$D:$D,$C275,'RAW_농산물_9월'!$A:$A,$E275),SUMIFS('RAW_농산물_10월'!$F:$F,'RAW_농산물_10월'!$D:$D,$C275,'RAW_농산물_10월'!$A:$A,$E275),SUMIFS('RAW_농산물_11-12월'!$F:$F,'RAW_농산물_11-12월'!$D:$D,$C275,'RAW_농산물_11-12월'!$A:$A,$E275))))</f>
        <v>88</v>
      </c>
      <c r="G275" s="7">
        <f>IF($C275="","",IF('설정'!$B$3=0,"",CHOOSE('설정'!$B$3,SUMIFS('RAW_농산물_7월'!$G:$G,'RAW_농산물_7월'!$D:$D,$C275,'RAW_농산물_7월'!$A:$A,$E275),SUMIFS('RAW_농산물_8월'!$G:$G,'RAW_농산물_8월'!$D:$D,$C275,'RAW_농산물_8월'!$A:$A,$E275),SUMIFS('RAW_농산물_9월'!$G:$G,'RAW_농산물_9월'!$D:$D,$C275,'RAW_농산물_9월'!$A:$A,$E275),SUMIFS('RAW_농산물_10월'!$G:$G,'RAW_농산물_10월'!$D:$D,$C275,'RAW_농산물_10월'!$A:$A,$E275),SUMIFS('RAW_농산물_11-12월'!$G:$G,'RAW_농산물_11-12월'!$D:$D,$C275,'RAW_농산물_11-12월'!$A:$A,$E275))))</f>
        <v>899900</v>
      </c>
      <c r="H275" s="14">
        <f>IF($C275="","",IF('설정'!$B$3=0,"",CHOOSE('설정'!$B$3,SUMIFS('RAW_농산물_7월'!$H:$H,'RAW_농산물_7월'!$D:$D,$C275,'RAW_농산물_7월'!$A:$A,$E275),SUMIFS('RAW_농산물_8월'!$H:$H,'RAW_농산물_8월'!$D:$D,$C275,'RAW_농산물_8월'!$A:$A,$E275),SUMIFS('RAW_농산물_9월'!$H:$H,'RAW_농산물_9월'!$D:$D,$C275,'RAW_농산물_9월'!$A:$A,$E275),SUMIFS('RAW_농산물_10월'!$H:$H,'RAW_농산물_10월'!$D:$D,$C275,'RAW_농산물_10월'!$A:$A,$E275),SUMIFS('RAW_농산물_11-12월'!$H:$H,'RAW_농산물_11-12월'!$D:$D,$C275,'RAW_농산물_11-12월'!$A:$A,$E275))))</f>
        <v>141620</v>
      </c>
      <c r="I275" s="17" t="str">
        <f>IF($C275="","",IF(COUNTIFS('RAW_농산물_7월'!$D:$D,$C275,'RAW_농산물_7월'!$A:$A,$E275)&gt;0,"O",""))</f>
        <v>O</v>
      </c>
      <c r="J275" s="17" t="str">
        <f>IF($C275="","",IF(COUNTIFS('RAW_농산물_8월'!$D:$D,$C275,'RAW_농산물_8월'!$A:$A,$E275)&gt;0,"O",""))</f>
        <v>O</v>
      </c>
      <c r="K275" s="17" t="str">
        <f>IF($C275="","",IF(COUNTIFS('RAW_농산물_9월'!$D:$D,$C275,'RAW_농산물_9월'!$A:$A,$E275)&gt;0,"O",""))</f>
        <v/>
      </c>
      <c r="L275" s="17" t="str">
        <f>IF($C275="","",IF(COUNTIFS('RAW_농산물_10월'!$D:$D,$C275,'RAW_농산물_10월'!$A:$A,$E275)&gt;0,"O",""))</f>
        <v/>
      </c>
      <c r="M275" s="17" t="str">
        <f>IF($C275="","",IF(COUNTIFS('RAW_농산물_11-12월'!$D:$D,$C275,'RAW_농산물_11-12월'!$A:$A,$E275)&gt;0,"O",""))</f>
        <v/>
      </c>
      <c r="N275" s="7">
        <f>IF($C275="","",IF(COUNTA('RAW_농산물_7월'!$A:$A)&lt;=1,"",SUMIFS('RAW_농산물_7월'!$H:$H,'RAW_농산물_7월'!$D:$D,$C275,'RAW_농산물_7월'!$A:$A,$E275)))</f>
        <v>139070</v>
      </c>
      <c r="O275" s="7">
        <f>IF($C275="","",IF(COUNTA('RAW_농산물_8월'!$A:$A)&lt;=1,"",SUMIFS('RAW_농산물_8월'!$H:$H,'RAW_농산물_8월'!$D:$D,$C275,'RAW_농산물_8월'!$A:$A,$E275)-SUMIFS('RAW_농산물_7월'!$H:$H,'RAW_농산물_7월'!$D:$D,$C275,'RAW_농산물_7월'!$A:$A,$E275)))</f>
        <v>2550</v>
      </c>
      <c r="P275" s="7" t="str">
        <f>IF($C275="","",IF(COUNTA('RAW_농산물_9월'!$A:$A)&lt;=1,"",SUMIFS('RAW_농산물_9월'!$H:$H,'RAW_농산물_9월'!$D:$D,$C275,'RAW_농산물_9월'!$A:$A,$E275)-SUMIFS('RAW_농산물_8월'!$H:$H,'RAW_농산물_8월'!$D:$D,$C275,'RAW_농산물_8월'!$A:$A,$E275)))</f>
        <v/>
      </c>
      <c r="Q275" s="7" t="str">
        <f>IF($C275="","",IF(COUNTA('RAW_농산물_10월'!$A:$A)&lt;=1,"",SUMIFS('RAW_농산물_10월'!$H:$H,'RAW_농산물_10월'!$D:$D,$C275,'RAW_농산물_10월'!$A:$A,$E275)-SUMIFS('RAW_농산물_9월'!$H:$H,'RAW_농산물_9월'!$D:$D,$C275,'RAW_농산물_9월'!$A:$A,$E275)))</f>
        <v/>
      </c>
      <c r="R275" s="7" t="str">
        <f>IF($C275="","",IF(COUNTA('RAW_농산물_11-12월'!$A:$A)&lt;=1,"",SUMIFS('RAW_농산물_11-12월'!$H:$H,'RAW_농산물_11-12월'!$D:$D,$C275,'RAW_농산물_11-12월'!$A:$A,$E275)-SUMIFS('RAW_농산물_10월'!$H:$H,'RAW_농산물_10월'!$D:$D,$C275,'RAW_농산물_10월'!$A:$A,$E275)))</f>
        <v/>
      </c>
      <c r="S275" s="17" t="str">
        <f t="shared" si="4"/>
        <v>O</v>
      </c>
      <c r="T275" s="17" t="str">
        <f t="shared" si="5"/>
        <v>50만원 미만</v>
      </c>
      <c r="U275" s="7">
        <f>IF($C275="",0,IF('설정'!$B$3=0,0,CHOOSE('설정'!$B$3,COUNTIFS('RAW_농산물_7월'!$D:$D,$C275,'RAW_농산물_7월'!$A:$A,$E275),COUNTIFS('RAW_농산물_8월'!$D:$D,$C275,'RAW_농산물_8월'!$A:$A,$E275),COUNTIFS('RAW_농산물_9월'!$D:$D,$C275,'RAW_농산물_9월'!$A:$A,$E275),COUNTIFS('RAW_농산물_10월'!$D:$D,$C275,'RAW_농산물_10월'!$A:$A,$E275),COUNTIFS('RAW_농산물_11-12월'!$D:$D,$C275,'RAW_농산물_11-12월'!$A:$A,$E275))))</f>
        <v>4</v>
      </c>
    </row>
    <row r="276" ht="15.75" customHeight="1">
      <c r="A276" s="5">
        <v>274.0</v>
      </c>
      <c r="B276" s="5" t="s">
        <v>25</v>
      </c>
      <c r="C276" s="5" t="s">
        <v>361</v>
      </c>
      <c r="D276" s="6" t="s">
        <v>360</v>
      </c>
      <c r="E276" s="5" t="s">
        <v>92</v>
      </c>
      <c r="F276" s="7">
        <f>IF($C276="","",IF('설정'!$B$3=0,"",CHOOSE('설정'!$B$3,SUMIFS('RAW_농산물_7월'!$F:$F,'RAW_농산물_7월'!$D:$D,$C276,'RAW_농산물_7월'!$A:$A,$E276),SUMIFS('RAW_농산물_8월'!$F:$F,'RAW_농산물_8월'!$D:$D,$C276,'RAW_농산물_8월'!$A:$A,$E276),SUMIFS('RAW_농산물_9월'!$F:$F,'RAW_농산물_9월'!$D:$D,$C276,'RAW_농산물_9월'!$A:$A,$E276),SUMIFS('RAW_농산물_10월'!$F:$F,'RAW_농산물_10월'!$D:$D,$C276,'RAW_농산물_10월'!$A:$A,$E276),SUMIFS('RAW_농산물_11-12월'!$F:$F,'RAW_농산물_11-12월'!$D:$D,$C276,'RAW_농산물_11-12월'!$A:$A,$E276))))</f>
        <v>518</v>
      </c>
      <c r="G276" s="7">
        <f>IF($C276="","",IF('설정'!$B$3=0,"",CHOOSE('설정'!$B$3,SUMIFS('RAW_농산물_7월'!$G:$G,'RAW_농산물_7월'!$D:$D,$C276,'RAW_농산물_7월'!$A:$A,$E276),SUMIFS('RAW_농산물_8월'!$G:$G,'RAW_농산물_8월'!$D:$D,$C276,'RAW_농산물_8월'!$A:$A,$E276),SUMIFS('RAW_농산물_9월'!$G:$G,'RAW_농산물_9월'!$D:$D,$C276,'RAW_농산물_9월'!$A:$A,$E276),SUMIFS('RAW_농산물_10월'!$G:$G,'RAW_농산물_10월'!$D:$D,$C276,'RAW_농산물_10월'!$A:$A,$E276),SUMIFS('RAW_농산물_11-12월'!$G:$G,'RAW_농산물_11-12월'!$D:$D,$C276,'RAW_농산물_11-12월'!$A:$A,$E276))))</f>
        <v>15294900</v>
      </c>
      <c r="H276" s="14">
        <f>IF($C276="","",IF('설정'!$B$3=0,"",CHOOSE('설정'!$B$3,SUMIFS('RAW_농산물_7월'!$H:$H,'RAW_농산물_7월'!$D:$D,$C276,'RAW_농산물_7월'!$A:$A,$E276),SUMIFS('RAW_농산물_8월'!$H:$H,'RAW_농산물_8월'!$D:$D,$C276,'RAW_농산물_8월'!$A:$A,$E276),SUMIFS('RAW_농산물_9월'!$H:$H,'RAW_농산물_9월'!$D:$D,$C276,'RAW_농산물_9월'!$A:$A,$E276),SUMIFS('RAW_농산물_10월'!$H:$H,'RAW_농산물_10월'!$D:$D,$C276,'RAW_농산물_10월'!$A:$A,$E276),SUMIFS('RAW_농산물_11-12월'!$H:$H,'RAW_농산물_11-12월'!$D:$D,$C276,'RAW_농산물_11-12월'!$A:$A,$E276))))</f>
        <v>1705850</v>
      </c>
      <c r="I276" s="17" t="str">
        <f>IF($C276="","",IF(COUNTIFS('RAW_농산물_7월'!$D:$D,$C276,'RAW_농산물_7월'!$A:$A,$E276)&gt;0,"O",""))</f>
        <v>O</v>
      </c>
      <c r="J276" s="17" t="str">
        <f>IF($C276="","",IF(COUNTIFS('RAW_농산물_8월'!$D:$D,$C276,'RAW_농산물_8월'!$A:$A,$E276)&gt;0,"O",""))</f>
        <v>O</v>
      </c>
      <c r="K276" s="17" t="str">
        <f>IF($C276="","",IF(COUNTIFS('RAW_농산물_9월'!$D:$D,$C276,'RAW_농산물_9월'!$A:$A,$E276)&gt;0,"O",""))</f>
        <v/>
      </c>
      <c r="L276" s="17" t="str">
        <f>IF($C276="","",IF(COUNTIFS('RAW_농산물_10월'!$D:$D,$C276,'RAW_농산물_10월'!$A:$A,$E276)&gt;0,"O",""))</f>
        <v/>
      </c>
      <c r="M276" s="17" t="str">
        <f>IF($C276="","",IF(COUNTIFS('RAW_농산물_11-12월'!$D:$D,$C276,'RAW_농산물_11-12월'!$A:$A,$E276)&gt;0,"O",""))</f>
        <v/>
      </c>
      <c r="N276" s="7">
        <f>IF($C276="","",IF(COUNTA('RAW_농산물_7월'!$A:$A)&lt;=1,"",SUMIFS('RAW_농산물_7월'!$H:$H,'RAW_농산물_7월'!$D:$D,$C276,'RAW_농산물_7월'!$A:$A,$E276)))</f>
        <v>696800</v>
      </c>
      <c r="O276" s="7">
        <f>IF($C276="","",IF(COUNTA('RAW_농산물_8월'!$A:$A)&lt;=1,"",SUMIFS('RAW_농산물_8월'!$H:$H,'RAW_농산물_8월'!$D:$D,$C276,'RAW_농산물_8월'!$A:$A,$E276)-SUMIFS('RAW_농산물_7월'!$H:$H,'RAW_농산물_7월'!$D:$D,$C276,'RAW_농산물_7월'!$A:$A,$E276)))</f>
        <v>1009050</v>
      </c>
      <c r="P276" s="7" t="str">
        <f>IF($C276="","",IF(COUNTA('RAW_농산물_9월'!$A:$A)&lt;=1,"",SUMIFS('RAW_농산물_9월'!$H:$H,'RAW_농산물_9월'!$D:$D,$C276,'RAW_농산물_9월'!$A:$A,$E276)-SUMIFS('RAW_농산물_8월'!$H:$H,'RAW_농산물_8월'!$D:$D,$C276,'RAW_농산물_8월'!$A:$A,$E276)))</f>
        <v/>
      </c>
      <c r="Q276" s="7" t="str">
        <f>IF($C276="","",IF(COUNTA('RAW_농산물_10월'!$A:$A)&lt;=1,"",SUMIFS('RAW_농산물_10월'!$H:$H,'RAW_농산물_10월'!$D:$D,$C276,'RAW_농산물_10월'!$A:$A,$E276)-SUMIFS('RAW_농산물_9월'!$H:$H,'RAW_농산물_9월'!$D:$D,$C276,'RAW_농산물_9월'!$A:$A,$E276)))</f>
        <v/>
      </c>
      <c r="R276" s="7" t="str">
        <f>IF($C276="","",IF(COUNTA('RAW_농산물_11-12월'!$A:$A)&lt;=1,"",SUMIFS('RAW_농산물_11-12월'!$H:$H,'RAW_농산물_11-12월'!$D:$D,$C276,'RAW_농산물_11-12월'!$A:$A,$E276)-SUMIFS('RAW_농산물_10월'!$H:$H,'RAW_농산물_10월'!$D:$D,$C276,'RAW_농산물_10월'!$A:$A,$E276)))</f>
        <v/>
      </c>
      <c r="S276" s="17" t="str">
        <f t="shared" si="4"/>
        <v>O</v>
      </c>
      <c r="T276" s="17" t="str">
        <f t="shared" si="5"/>
        <v>200만원 미만</v>
      </c>
      <c r="U276" s="7">
        <f>IF($C276="",0,IF('설정'!$B$3=0,0,CHOOSE('설정'!$B$3,COUNTIFS('RAW_농산물_7월'!$D:$D,$C276,'RAW_농산물_7월'!$A:$A,$E276),COUNTIFS('RAW_농산물_8월'!$D:$D,$C276,'RAW_농산물_8월'!$A:$A,$E276),COUNTIFS('RAW_농산물_9월'!$D:$D,$C276,'RAW_농산물_9월'!$A:$A,$E276),COUNTIFS('RAW_농산물_10월'!$D:$D,$C276,'RAW_농산물_10월'!$A:$A,$E276),COUNTIFS('RAW_농산물_11-12월'!$D:$D,$C276,'RAW_농산물_11-12월'!$A:$A,$E276))))</f>
        <v>6</v>
      </c>
    </row>
    <row r="277" ht="15.75" customHeight="1">
      <c r="A277" s="5">
        <v>275.0</v>
      </c>
      <c r="B277" s="5" t="s">
        <v>108</v>
      </c>
      <c r="C277" s="5" t="s">
        <v>402</v>
      </c>
      <c r="D277" s="6" t="s">
        <v>401</v>
      </c>
      <c r="E277" s="5" t="s">
        <v>92</v>
      </c>
      <c r="F277" s="7">
        <f>IF($C277="","",IF('설정'!$B$3=0,"",CHOOSE('설정'!$B$3,SUMIFS('RAW_농산물_7월'!$F:$F,'RAW_농산물_7월'!$D:$D,$C277,'RAW_농산물_7월'!$A:$A,$E277),SUMIFS('RAW_농산물_8월'!$F:$F,'RAW_농산물_8월'!$D:$D,$C277,'RAW_농산물_8월'!$A:$A,$E277),SUMIFS('RAW_농산물_9월'!$F:$F,'RAW_농산물_9월'!$D:$D,$C277,'RAW_농산물_9월'!$A:$A,$E277),SUMIFS('RAW_농산물_10월'!$F:$F,'RAW_농산물_10월'!$D:$D,$C277,'RAW_농산물_10월'!$A:$A,$E277),SUMIFS('RAW_농산물_11-12월'!$F:$F,'RAW_농산물_11-12월'!$D:$D,$C277,'RAW_농산물_11-12월'!$A:$A,$E277))))</f>
        <v>441</v>
      </c>
      <c r="G277" s="7">
        <f>IF($C277="","",IF('설정'!$B$3=0,"",CHOOSE('설정'!$B$3,SUMIFS('RAW_농산물_7월'!$G:$G,'RAW_농산물_7월'!$D:$D,$C277,'RAW_농산물_7월'!$A:$A,$E277),SUMIFS('RAW_농산물_8월'!$G:$G,'RAW_농산물_8월'!$D:$D,$C277,'RAW_농산물_8월'!$A:$A,$E277),SUMIFS('RAW_농산물_9월'!$G:$G,'RAW_농산물_9월'!$D:$D,$C277,'RAW_농산물_9월'!$A:$A,$E277),SUMIFS('RAW_농산물_10월'!$G:$G,'RAW_농산물_10월'!$D:$D,$C277,'RAW_농산물_10월'!$A:$A,$E277),SUMIFS('RAW_농산물_11-12월'!$G:$G,'RAW_농산물_11-12월'!$D:$D,$C277,'RAW_농산물_11-12월'!$A:$A,$E277))))</f>
        <v>11600320</v>
      </c>
      <c r="H277" s="14">
        <f>IF($C277="","",IF('설정'!$B$3=0,"",CHOOSE('설정'!$B$3,SUMIFS('RAW_농산물_7월'!$H:$H,'RAW_농산물_7월'!$D:$D,$C277,'RAW_농산물_7월'!$A:$A,$E277),SUMIFS('RAW_농산물_8월'!$H:$H,'RAW_농산물_8월'!$D:$D,$C277,'RAW_농산물_8월'!$A:$A,$E277),SUMIFS('RAW_농산물_9월'!$H:$H,'RAW_농산물_9월'!$D:$D,$C277,'RAW_농산물_9월'!$A:$A,$E277),SUMIFS('RAW_농산물_10월'!$H:$H,'RAW_농산물_10월'!$D:$D,$C277,'RAW_농산물_10월'!$A:$A,$E277),SUMIFS('RAW_농산물_11-12월'!$H:$H,'RAW_농산물_11-12월'!$D:$D,$C277,'RAW_농산물_11-12월'!$A:$A,$E277))))</f>
        <v>1121350</v>
      </c>
      <c r="I277" s="17" t="str">
        <f>IF($C277="","",IF(COUNTIFS('RAW_농산물_7월'!$D:$D,$C277,'RAW_농산물_7월'!$A:$A,$E277)&gt;0,"O",""))</f>
        <v>O</v>
      </c>
      <c r="J277" s="17" t="str">
        <f>IF($C277="","",IF(COUNTIFS('RAW_농산물_8월'!$D:$D,$C277,'RAW_농산물_8월'!$A:$A,$E277)&gt;0,"O",""))</f>
        <v>O</v>
      </c>
      <c r="K277" s="17" t="str">
        <f>IF($C277="","",IF(COUNTIFS('RAW_농산물_9월'!$D:$D,$C277,'RAW_농산물_9월'!$A:$A,$E277)&gt;0,"O",""))</f>
        <v/>
      </c>
      <c r="L277" s="17" t="str">
        <f>IF($C277="","",IF(COUNTIFS('RAW_농산물_10월'!$D:$D,$C277,'RAW_농산물_10월'!$A:$A,$E277)&gt;0,"O",""))</f>
        <v/>
      </c>
      <c r="M277" s="17" t="str">
        <f>IF($C277="","",IF(COUNTIFS('RAW_농산물_11-12월'!$D:$D,$C277,'RAW_농산물_11-12월'!$A:$A,$E277)&gt;0,"O",""))</f>
        <v/>
      </c>
      <c r="N277" s="7">
        <f>IF($C277="","",IF(COUNTA('RAW_농산물_7월'!$A:$A)&lt;=1,"",SUMIFS('RAW_농산물_7월'!$H:$H,'RAW_농산물_7월'!$D:$D,$C277,'RAW_농산물_7월'!$A:$A,$E277)))</f>
        <v>377420</v>
      </c>
      <c r="O277" s="7">
        <f>IF($C277="","",IF(COUNTA('RAW_농산물_8월'!$A:$A)&lt;=1,"",SUMIFS('RAW_농산물_8월'!$H:$H,'RAW_농산물_8월'!$D:$D,$C277,'RAW_농산물_8월'!$A:$A,$E277)-SUMIFS('RAW_농산물_7월'!$H:$H,'RAW_농산물_7월'!$D:$D,$C277,'RAW_농산물_7월'!$A:$A,$E277)))</f>
        <v>743930</v>
      </c>
      <c r="P277" s="7" t="str">
        <f>IF($C277="","",IF(COUNTA('RAW_농산물_9월'!$A:$A)&lt;=1,"",SUMIFS('RAW_농산물_9월'!$H:$H,'RAW_농산물_9월'!$D:$D,$C277,'RAW_농산물_9월'!$A:$A,$E277)-SUMIFS('RAW_농산물_8월'!$H:$H,'RAW_농산물_8월'!$D:$D,$C277,'RAW_농산물_8월'!$A:$A,$E277)))</f>
        <v/>
      </c>
      <c r="Q277" s="7" t="str">
        <f>IF($C277="","",IF(COUNTA('RAW_농산물_10월'!$A:$A)&lt;=1,"",SUMIFS('RAW_농산물_10월'!$H:$H,'RAW_농산물_10월'!$D:$D,$C277,'RAW_농산물_10월'!$A:$A,$E277)-SUMIFS('RAW_농산물_9월'!$H:$H,'RAW_농산물_9월'!$D:$D,$C277,'RAW_농산물_9월'!$A:$A,$E277)))</f>
        <v/>
      </c>
      <c r="R277" s="7" t="str">
        <f>IF($C277="","",IF(COUNTA('RAW_농산물_11-12월'!$A:$A)&lt;=1,"",SUMIFS('RAW_농산물_11-12월'!$H:$H,'RAW_농산물_11-12월'!$D:$D,$C277,'RAW_농산물_11-12월'!$A:$A,$E277)-SUMIFS('RAW_농산물_10월'!$H:$H,'RAW_농산물_10월'!$D:$D,$C277,'RAW_농산물_10월'!$A:$A,$E277)))</f>
        <v/>
      </c>
      <c r="S277" s="17" t="str">
        <f t="shared" si="4"/>
        <v>O</v>
      </c>
      <c r="T277" s="17" t="str">
        <f t="shared" si="5"/>
        <v>200만원 미만</v>
      </c>
      <c r="U277" s="7">
        <f>IF($C277="",0,IF('설정'!$B$3=0,0,CHOOSE('설정'!$B$3,COUNTIFS('RAW_농산물_7월'!$D:$D,$C277,'RAW_농산물_7월'!$A:$A,$E277),COUNTIFS('RAW_농산물_8월'!$D:$D,$C277,'RAW_농산물_8월'!$A:$A,$E277),COUNTIFS('RAW_농산물_9월'!$D:$D,$C277,'RAW_농산물_9월'!$A:$A,$E277),COUNTIFS('RAW_농산물_10월'!$D:$D,$C277,'RAW_농산물_10월'!$A:$A,$E277),COUNTIFS('RAW_농산물_11-12월'!$D:$D,$C277,'RAW_농산물_11-12월'!$A:$A,$E277))))</f>
        <v>8</v>
      </c>
    </row>
    <row r="278" ht="15.75" customHeight="1">
      <c r="A278" s="5">
        <v>276.0</v>
      </c>
      <c r="B278" s="5" t="s">
        <v>108</v>
      </c>
      <c r="C278" s="5" t="s">
        <v>2530</v>
      </c>
      <c r="D278" s="6" t="s">
        <v>3051</v>
      </c>
      <c r="E278" s="5" t="s">
        <v>92</v>
      </c>
      <c r="F278" s="7">
        <f>IF($C278="","",IF('설정'!$B$3=0,"",CHOOSE('설정'!$B$3,SUMIFS('RAW_농산물_7월'!$F:$F,'RAW_농산물_7월'!$D:$D,$C278,'RAW_농산물_7월'!$A:$A,$E278),SUMIFS('RAW_농산물_8월'!$F:$F,'RAW_농산물_8월'!$D:$D,$C278,'RAW_농산물_8월'!$A:$A,$E278),SUMIFS('RAW_농산물_9월'!$F:$F,'RAW_농산물_9월'!$D:$D,$C278,'RAW_농산물_9월'!$A:$A,$E278),SUMIFS('RAW_농산물_10월'!$F:$F,'RAW_농산물_10월'!$D:$D,$C278,'RAW_농산물_10월'!$A:$A,$E278),SUMIFS('RAW_농산물_11-12월'!$F:$F,'RAW_농산물_11-12월'!$D:$D,$C278,'RAW_농산물_11-12월'!$A:$A,$E278))))</f>
        <v>0</v>
      </c>
      <c r="G278" s="7">
        <f>IF($C278="","",IF('설정'!$B$3=0,"",CHOOSE('설정'!$B$3,SUMIFS('RAW_농산물_7월'!$G:$G,'RAW_농산물_7월'!$D:$D,$C278,'RAW_농산물_7월'!$A:$A,$E278),SUMIFS('RAW_농산물_8월'!$G:$G,'RAW_농산물_8월'!$D:$D,$C278,'RAW_농산물_8월'!$A:$A,$E278),SUMIFS('RAW_농산물_9월'!$G:$G,'RAW_농산물_9월'!$D:$D,$C278,'RAW_농산물_9월'!$A:$A,$E278),SUMIFS('RAW_농산물_10월'!$G:$G,'RAW_농산물_10월'!$D:$D,$C278,'RAW_농산물_10월'!$A:$A,$E278),SUMIFS('RAW_농산물_11-12월'!$G:$G,'RAW_농산물_11-12월'!$D:$D,$C278,'RAW_농산물_11-12월'!$A:$A,$E278))))</f>
        <v>0</v>
      </c>
      <c r="H278" s="14">
        <f>IF($C278="","",IF('설정'!$B$3=0,"",CHOOSE('설정'!$B$3,SUMIFS('RAW_농산물_7월'!$H:$H,'RAW_농산물_7월'!$D:$D,$C278,'RAW_농산물_7월'!$A:$A,$E278),SUMIFS('RAW_농산물_8월'!$H:$H,'RAW_농산물_8월'!$D:$D,$C278,'RAW_농산물_8월'!$A:$A,$E278),SUMIFS('RAW_농산물_9월'!$H:$H,'RAW_농산물_9월'!$D:$D,$C278,'RAW_농산물_9월'!$A:$A,$E278),SUMIFS('RAW_농산물_10월'!$H:$H,'RAW_농산물_10월'!$D:$D,$C278,'RAW_농산물_10월'!$A:$A,$E278),SUMIFS('RAW_농산물_11-12월'!$H:$H,'RAW_농산물_11-12월'!$D:$D,$C278,'RAW_농산물_11-12월'!$A:$A,$E278))))</f>
        <v>0</v>
      </c>
      <c r="I278" s="17" t="str">
        <f>IF($C278="","",IF(COUNTIFS('RAW_농산물_7월'!$D:$D,$C278,'RAW_농산물_7월'!$A:$A,$E278)&gt;0,"O",""))</f>
        <v/>
      </c>
      <c r="J278" s="17" t="str">
        <f>IF($C278="","",IF(COUNTIFS('RAW_농산물_8월'!$D:$D,$C278,'RAW_농산물_8월'!$A:$A,$E278)&gt;0,"O",""))</f>
        <v>O</v>
      </c>
      <c r="K278" s="17" t="str">
        <f>IF($C278="","",IF(COUNTIFS('RAW_농산물_9월'!$D:$D,$C278,'RAW_농산물_9월'!$A:$A,$E278)&gt;0,"O",""))</f>
        <v/>
      </c>
      <c r="L278" s="17" t="str">
        <f>IF($C278="","",IF(COUNTIFS('RAW_농산물_10월'!$D:$D,$C278,'RAW_농산물_10월'!$A:$A,$E278)&gt;0,"O",""))</f>
        <v/>
      </c>
      <c r="M278" s="17" t="str">
        <f>IF($C278="","",IF(COUNTIFS('RAW_농산물_11-12월'!$D:$D,$C278,'RAW_농산물_11-12월'!$A:$A,$E278)&gt;0,"O",""))</f>
        <v/>
      </c>
      <c r="N278" s="7">
        <f>IF($C278="","",IF(COUNTA('RAW_농산물_7월'!$A:$A)&lt;=1,"",SUMIFS('RAW_농산물_7월'!$H:$H,'RAW_농산물_7월'!$D:$D,$C278,'RAW_농산물_7월'!$A:$A,$E278)))</f>
        <v>0</v>
      </c>
      <c r="O278" s="7">
        <f>IF($C278="","",IF(COUNTA('RAW_농산물_8월'!$A:$A)&lt;=1,"",SUMIFS('RAW_농산물_8월'!$H:$H,'RAW_농산물_8월'!$D:$D,$C278,'RAW_농산물_8월'!$A:$A,$E278)-SUMIFS('RAW_농산물_7월'!$H:$H,'RAW_농산물_7월'!$D:$D,$C278,'RAW_농산물_7월'!$A:$A,$E278)))</f>
        <v>0</v>
      </c>
      <c r="P278" s="7" t="str">
        <f>IF($C278="","",IF(COUNTA('RAW_농산물_9월'!$A:$A)&lt;=1,"",SUMIFS('RAW_농산물_9월'!$H:$H,'RAW_농산물_9월'!$D:$D,$C278,'RAW_농산물_9월'!$A:$A,$E278)-SUMIFS('RAW_농산물_8월'!$H:$H,'RAW_농산물_8월'!$D:$D,$C278,'RAW_농산물_8월'!$A:$A,$E278)))</f>
        <v/>
      </c>
      <c r="Q278" s="7" t="str">
        <f>IF($C278="","",IF(COUNTA('RAW_농산물_10월'!$A:$A)&lt;=1,"",SUMIFS('RAW_농산물_10월'!$H:$H,'RAW_농산물_10월'!$D:$D,$C278,'RAW_농산물_10월'!$A:$A,$E278)-SUMIFS('RAW_농산물_9월'!$H:$H,'RAW_농산물_9월'!$D:$D,$C278,'RAW_농산물_9월'!$A:$A,$E278)))</f>
        <v/>
      </c>
      <c r="R278" s="7" t="str">
        <f>IF($C278="","",IF(COUNTA('RAW_농산물_11-12월'!$A:$A)&lt;=1,"",SUMIFS('RAW_농산물_11-12월'!$H:$H,'RAW_농산물_11-12월'!$D:$D,$C278,'RAW_농산물_11-12월'!$A:$A,$E278)-SUMIFS('RAW_농산물_10월'!$H:$H,'RAW_농산물_10월'!$D:$D,$C278,'RAW_농산물_10월'!$A:$A,$E278)))</f>
        <v/>
      </c>
      <c r="S278" s="17" t="str">
        <f t="shared" si="4"/>
        <v>O</v>
      </c>
      <c r="T278" s="17" t="str">
        <f t="shared" si="5"/>
        <v>미사용</v>
      </c>
      <c r="U278" s="7">
        <f>IF($C278="",0,IF('설정'!$B$3=0,0,CHOOSE('설정'!$B$3,COUNTIFS('RAW_농산물_7월'!$D:$D,$C278,'RAW_농산물_7월'!$A:$A,$E278),COUNTIFS('RAW_농산물_8월'!$D:$D,$C278,'RAW_농산물_8월'!$A:$A,$E278),COUNTIFS('RAW_농산물_9월'!$D:$D,$C278,'RAW_농산물_9월'!$A:$A,$E278),COUNTIFS('RAW_농산물_10월'!$D:$D,$C278,'RAW_농산물_10월'!$A:$A,$E278),COUNTIFS('RAW_농산물_11-12월'!$D:$D,$C278,'RAW_농산물_11-12월'!$A:$A,$E278))))</f>
        <v>1</v>
      </c>
    </row>
    <row r="279" ht="15.75" customHeight="1">
      <c r="A279" s="5">
        <v>277.0</v>
      </c>
      <c r="B279" s="5" t="s">
        <v>108</v>
      </c>
      <c r="C279" s="5" t="s">
        <v>3052</v>
      </c>
      <c r="D279" s="6" t="s">
        <v>3053</v>
      </c>
      <c r="E279" s="5" t="s">
        <v>92</v>
      </c>
      <c r="F279" s="7">
        <f>IF($C279="","",IF('설정'!$B$3=0,"",CHOOSE('설정'!$B$3,SUMIFS('RAW_농산물_7월'!$F:$F,'RAW_농산물_7월'!$D:$D,$C279,'RAW_농산물_7월'!$A:$A,$E279),SUMIFS('RAW_농산물_8월'!$F:$F,'RAW_농산물_8월'!$D:$D,$C279,'RAW_농산물_8월'!$A:$A,$E279),SUMIFS('RAW_농산물_9월'!$F:$F,'RAW_농산물_9월'!$D:$D,$C279,'RAW_농산물_9월'!$A:$A,$E279),SUMIFS('RAW_농산물_10월'!$F:$F,'RAW_농산물_10월'!$D:$D,$C279,'RAW_농산물_10월'!$A:$A,$E279),SUMIFS('RAW_농산물_11-12월'!$F:$F,'RAW_농산물_11-12월'!$D:$D,$C279,'RAW_농산물_11-12월'!$A:$A,$E279))))</f>
        <v>0</v>
      </c>
      <c r="G279" s="7">
        <f>IF($C279="","",IF('설정'!$B$3=0,"",CHOOSE('설정'!$B$3,SUMIFS('RAW_농산물_7월'!$G:$G,'RAW_농산물_7월'!$D:$D,$C279,'RAW_농산물_7월'!$A:$A,$E279),SUMIFS('RAW_농산물_8월'!$G:$G,'RAW_농산물_8월'!$D:$D,$C279,'RAW_농산물_8월'!$A:$A,$E279),SUMIFS('RAW_농산물_9월'!$G:$G,'RAW_농산물_9월'!$D:$D,$C279,'RAW_농산물_9월'!$A:$A,$E279),SUMIFS('RAW_농산물_10월'!$G:$G,'RAW_농산물_10월'!$D:$D,$C279,'RAW_농산물_10월'!$A:$A,$E279),SUMIFS('RAW_농산물_11-12월'!$G:$G,'RAW_농산물_11-12월'!$D:$D,$C279,'RAW_농산물_11-12월'!$A:$A,$E279))))</f>
        <v>0</v>
      </c>
      <c r="H279" s="14">
        <f>IF($C279="","",IF('설정'!$B$3=0,"",CHOOSE('설정'!$B$3,SUMIFS('RAW_농산물_7월'!$H:$H,'RAW_농산물_7월'!$D:$D,$C279,'RAW_농산물_7월'!$A:$A,$E279),SUMIFS('RAW_농산물_8월'!$H:$H,'RAW_농산물_8월'!$D:$D,$C279,'RAW_농산물_8월'!$A:$A,$E279),SUMIFS('RAW_농산물_9월'!$H:$H,'RAW_농산물_9월'!$D:$D,$C279,'RAW_농산물_9월'!$A:$A,$E279),SUMIFS('RAW_농산물_10월'!$H:$H,'RAW_농산물_10월'!$D:$D,$C279,'RAW_농산물_10월'!$A:$A,$E279),SUMIFS('RAW_농산물_11-12월'!$H:$H,'RAW_농산물_11-12월'!$D:$D,$C279,'RAW_농산물_11-12월'!$A:$A,$E279))))</f>
        <v>0</v>
      </c>
      <c r="I279" s="17" t="str">
        <f>IF($C279="","",IF(COUNTIFS('RAW_농산물_7월'!$D:$D,$C279,'RAW_농산물_7월'!$A:$A,$E279)&gt;0,"O",""))</f>
        <v/>
      </c>
      <c r="J279" s="17" t="str">
        <f>IF($C279="","",IF(COUNTIFS('RAW_농산물_8월'!$D:$D,$C279,'RAW_농산물_8월'!$A:$A,$E279)&gt;0,"O",""))</f>
        <v/>
      </c>
      <c r="K279" s="17" t="str">
        <f>IF($C279="","",IF(COUNTIFS('RAW_농산물_9월'!$D:$D,$C279,'RAW_농산물_9월'!$A:$A,$E279)&gt;0,"O",""))</f>
        <v/>
      </c>
      <c r="L279" s="17" t="str">
        <f>IF($C279="","",IF(COUNTIFS('RAW_농산물_10월'!$D:$D,$C279,'RAW_농산물_10월'!$A:$A,$E279)&gt;0,"O",""))</f>
        <v/>
      </c>
      <c r="M279" s="17" t="str">
        <f>IF($C279="","",IF(COUNTIFS('RAW_농산물_11-12월'!$D:$D,$C279,'RAW_농산물_11-12월'!$A:$A,$E279)&gt;0,"O",""))</f>
        <v/>
      </c>
      <c r="N279" s="7">
        <f>IF($C279="","",IF(COUNTA('RAW_농산물_7월'!$A:$A)&lt;=1,"",SUMIFS('RAW_농산물_7월'!$H:$H,'RAW_농산물_7월'!$D:$D,$C279,'RAW_농산물_7월'!$A:$A,$E279)))</f>
        <v>0</v>
      </c>
      <c r="O279" s="7">
        <f>IF($C279="","",IF(COUNTA('RAW_농산물_8월'!$A:$A)&lt;=1,"",SUMIFS('RAW_농산물_8월'!$H:$H,'RAW_농산물_8월'!$D:$D,$C279,'RAW_농산물_8월'!$A:$A,$E279)-SUMIFS('RAW_농산물_7월'!$H:$H,'RAW_농산물_7월'!$D:$D,$C279,'RAW_농산물_7월'!$A:$A,$E279)))</f>
        <v>0</v>
      </c>
      <c r="P279" s="7" t="str">
        <f>IF($C279="","",IF(COUNTA('RAW_농산물_9월'!$A:$A)&lt;=1,"",SUMIFS('RAW_농산물_9월'!$H:$H,'RAW_농산물_9월'!$D:$D,$C279,'RAW_농산물_9월'!$A:$A,$E279)-SUMIFS('RAW_농산물_8월'!$H:$H,'RAW_농산물_8월'!$D:$D,$C279,'RAW_농산물_8월'!$A:$A,$E279)))</f>
        <v/>
      </c>
      <c r="Q279" s="7" t="str">
        <f>IF($C279="","",IF(COUNTA('RAW_농산물_10월'!$A:$A)&lt;=1,"",SUMIFS('RAW_농산물_10월'!$H:$H,'RAW_농산물_10월'!$D:$D,$C279,'RAW_농산물_10월'!$A:$A,$E279)-SUMIFS('RAW_농산물_9월'!$H:$H,'RAW_농산물_9월'!$D:$D,$C279,'RAW_농산물_9월'!$A:$A,$E279)))</f>
        <v/>
      </c>
      <c r="R279" s="7" t="str">
        <f>IF($C279="","",IF(COUNTA('RAW_농산물_11-12월'!$A:$A)&lt;=1,"",SUMIFS('RAW_농산물_11-12월'!$H:$H,'RAW_농산물_11-12월'!$D:$D,$C279,'RAW_농산물_11-12월'!$A:$A,$E279)-SUMIFS('RAW_농산물_10월'!$H:$H,'RAW_농산물_10월'!$D:$D,$C279,'RAW_농산물_10월'!$A:$A,$E279)))</f>
        <v/>
      </c>
      <c r="S279" s="17" t="str">
        <f t="shared" si="4"/>
        <v/>
      </c>
      <c r="T279" s="17" t="str">
        <f t="shared" si="5"/>
        <v>미사용</v>
      </c>
      <c r="U279" s="7">
        <f>IF($C279="",0,IF('설정'!$B$3=0,0,CHOOSE('설정'!$B$3,COUNTIFS('RAW_농산물_7월'!$D:$D,$C279,'RAW_농산물_7월'!$A:$A,$E279),COUNTIFS('RAW_농산물_8월'!$D:$D,$C279,'RAW_농산물_8월'!$A:$A,$E279),COUNTIFS('RAW_농산물_9월'!$D:$D,$C279,'RAW_농산물_9월'!$A:$A,$E279),COUNTIFS('RAW_농산물_10월'!$D:$D,$C279,'RAW_농산물_10월'!$A:$A,$E279),COUNTIFS('RAW_농산물_11-12월'!$D:$D,$C279,'RAW_농산물_11-12월'!$A:$A,$E279))))</f>
        <v>0</v>
      </c>
    </row>
    <row r="280" ht="15.75" customHeight="1">
      <c r="A280" s="5">
        <v>278.0</v>
      </c>
      <c r="B280" s="5" t="s">
        <v>108</v>
      </c>
      <c r="C280" s="5" t="s">
        <v>728</v>
      </c>
      <c r="D280" s="6" t="s">
        <v>727</v>
      </c>
      <c r="E280" s="5" t="s">
        <v>92</v>
      </c>
      <c r="F280" s="7">
        <f>IF($C280="","",IF('설정'!$B$3=0,"",CHOOSE('설정'!$B$3,SUMIFS('RAW_농산물_7월'!$F:$F,'RAW_농산물_7월'!$D:$D,$C280,'RAW_농산물_7월'!$A:$A,$E280),SUMIFS('RAW_농산물_8월'!$F:$F,'RAW_농산물_8월'!$D:$D,$C280,'RAW_농산물_8월'!$A:$A,$E280),SUMIFS('RAW_농산물_9월'!$F:$F,'RAW_농산물_9월'!$D:$D,$C280,'RAW_농산물_9월'!$A:$A,$E280),SUMIFS('RAW_농산물_10월'!$F:$F,'RAW_농산물_10월'!$D:$D,$C280,'RAW_농산물_10월'!$A:$A,$E280),SUMIFS('RAW_농산물_11-12월'!$F:$F,'RAW_농산물_11-12월'!$D:$D,$C280,'RAW_농산물_11-12월'!$A:$A,$E280))))</f>
        <v>15</v>
      </c>
      <c r="G280" s="7">
        <f>IF($C280="","",IF('설정'!$B$3=0,"",CHOOSE('설정'!$B$3,SUMIFS('RAW_농산물_7월'!$G:$G,'RAW_농산물_7월'!$D:$D,$C280,'RAW_농산물_7월'!$A:$A,$E280),SUMIFS('RAW_농산물_8월'!$G:$G,'RAW_농산물_8월'!$D:$D,$C280,'RAW_농산물_8월'!$A:$A,$E280),SUMIFS('RAW_농산물_9월'!$G:$G,'RAW_농산물_9월'!$D:$D,$C280,'RAW_농산물_9월'!$A:$A,$E280),SUMIFS('RAW_농산물_10월'!$G:$G,'RAW_농산물_10월'!$D:$D,$C280,'RAW_농산물_10월'!$A:$A,$E280),SUMIFS('RAW_농산물_11-12월'!$G:$G,'RAW_농산물_11-12월'!$D:$D,$C280,'RAW_농산물_11-12월'!$A:$A,$E280))))</f>
        <v>481000</v>
      </c>
      <c r="H280" s="14">
        <f>IF($C280="","",IF('설정'!$B$3=0,"",CHOOSE('설정'!$B$3,SUMIFS('RAW_농산물_7월'!$H:$H,'RAW_농산물_7월'!$D:$D,$C280,'RAW_농산물_7월'!$A:$A,$E280),SUMIFS('RAW_농산물_8월'!$H:$H,'RAW_농산물_8월'!$D:$D,$C280,'RAW_농산물_8월'!$A:$A,$E280),SUMIFS('RAW_농산물_9월'!$H:$H,'RAW_농산물_9월'!$D:$D,$C280,'RAW_농산물_9월'!$A:$A,$E280),SUMIFS('RAW_농산물_10월'!$H:$H,'RAW_농산물_10월'!$D:$D,$C280,'RAW_농산물_10월'!$A:$A,$E280),SUMIFS('RAW_농산물_11-12월'!$H:$H,'RAW_농산물_11-12월'!$D:$D,$C280,'RAW_농산물_11-12월'!$A:$A,$E280))))</f>
        <v>49800</v>
      </c>
      <c r="I280" s="17" t="str">
        <f>IF($C280="","",IF(COUNTIFS('RAW_농산물_7월'!$D:$D,$C280,'RAW_농산물_7월'!$A:$A,$E280)&gt;0,"O",""))</f>
        <v>O</v>
      </c>
      <c r="J280" s="17" t="str">
        <f>IF($C280="","",IF(COUNTIFS('RAW_농산물_8월'!$D:$D,$C280,'RAW_농산물_8월'!$A:$A,$E280)&gt;0,"O",""))</f>
        <v>O</v>
      </c>
      <c r="K280" s="17" t="str">
        <f>IF($C280="","",IF(COUNTIFS('RAW_농산물_9월'!$D:$D,$C280,'RAW_농산물_9월'!$A:$A,$E280)&gt;0,"O",""))</f>
        <v/>
      </c>
      <c r="L280" s="17" t="str">
        <f>IF($C280="","",IF(COUNTIFS('RAW_농산물_10월'!$D:$D,$C280,'RAW_농산물_10월'!$A:$A,$E280)&gt;0,"O",""))</f>
        <v/>
      </c>
      <c r="M280" s="17" t="str">
        <f>IF($C280="","",IF(COUNTIFS('RAW_농산물_11-12월'!$D:$D,$C280,'RAW_농산물_11-12월'!$A:$A,$E280)&gt;0,"O",""))</f>
        <v/>
      </c>
      <c r="N280" s="7">
        <f>IF($C280="","",IF(COUNTA('RAW_농산물_7월'!$A:$A)&lt;=1,"",SUMIFS('RAW_농산물_7월'!$H:$H,'RAW_농산물_7월'!$D:$D,$C280,'RAW_농산물_7월'!$A:$A,$E280)))</f>
        <v>4800</v>
      </c>
      <c r="O280" s="7">
        <f>IF($C280="","",IF(COUNTA('RAW_농산물_8월'!$A:$A)&lt;=1,"",SUMIFS('RAW_농산물_8월'!$H:$H,'RAW_농산물_8월'!$D:$D,$C280,'RAW_농산물_8월'!$A:$A,$E280)-SUMIFS('RAW_농산물_7월'!$H:$H,'RAW_농산물_7월'!$D:$D,$C280,'RAW_농산물_7월'!$A:$A,$E280)))</f>
        <v>45000</v>
      </c>
      <c r="P280" s="7" t="str">
        <f>IF($C280="","",IF(COUNTA('RAW_농산물_9월'!$A:$A)&lt;=1,"",SUMIFS('RAW_농산물_9월'!$H:$H,'RAW_농산물_9월'!$D:$D,$C280,'RAW_농산물_9월'!$A:$A,$E280)-SUMIFS('RAW_농산물_8월'!$H:$H,'RAW_농산물_8월'!$D:$D,$C280,'RAW_농산물_8월'!$A:$A,$E280)))</f>
        <v/>
      </c>
      <c r="Q280" s="7" t="str">
        <f>IF($C280="","",IF(COUNTA('RAW_농산물_10월'!$A:$A)&lt;=1,"",SUMIFS('RAW_농산물_10월'!$H:$H,'RAW_농산물_10월'!$D:$D,$C280,'RAW_농산물_10월'!$A:$A,$E280)-SUMIFS('RAW_농산물_9월'!$H:$H,'RAW_농산물_9월'!$D:$D,$C280,'RAW_농산물_9월'!$A:$A,$E280)))</f>
        <v/>
      </c>
      <c r="R280" s="7" t="str">
        <f>IF($C280="","",IF(COUNTA('RAW_농산물_11-12월'!$A:$A)&lt;=1,"",SUMIFS('RAW_농산물_11-12월'!$H:$H,'RAW_농산물_11-12월'!$D:$D,$C280,'RAW_농산물_11-12월'!$A:$A,$E280)-SUMIFS('RAW_농산물_10월'!$H:$H,'RAW_농산물_10월'!$D:$D,$C280,'RAW_농산물_10월'!$A:$A,$E280)))</f>
        <v/>
      </c>
      <c r="S280" s="17" t="str">
        <f t="shared" si="4"/>
        <v>O</v>
      </c>
      <c r="T280" s="17" t="str">
        <f t="shared" si="5"/>
        <v>50만원 미만</v>
      </c>
      <c r="U280" s="7">
        <f>IF($C280="",0,IF('설정'!$B$3=0,0,CHOOSE('설정'!$B$3,COUNTIFS('RAW_농산물_7월'!$D:$D,$C280,'RAW_농산물_7월'!$A:$A,$E280),COUNTIFS('RAW_농산물_8월'!$D:$D,$C280,'RAW_농산물_8월'!$A:$A,$E280),COUNTIFS('RAW_농산물_9월'!$D:$D,$C280,'RAW_농산물_9월'!$A:$A,$E280),COUNTIFS('RAW_농산물_10월'!$D:$D,$C280,'RAW_농산물_10월'!$A:$A,$E280),COUNTIFS('RAW_농산물_11-12월'!$D:$D,$C280,'RAW_농산물_11-12월'!$A:$A,$E280))))</f>
        <v>8</v>
      </c>
    </row>
    <row r="281" ht="15.75" customHeight="1">
      <c r="A281" s="5">
        <v>279.0</v>
      </c>
      <c r="B281" s="5" t="s">
        <v>108</v>
      </c>
      <c r="C281" s="5" t="s">
        <v>1257</v>
      </c>
      <c r="D281" s="6" t="s">
        <v>1256</v>
      </c>
      <c r="E281" s="5" t="s">
        <v>94</v>
      </c>
      <c r="F281" s="7">
        <f>IF($C281="","",IF('설정'!$B$3=0,"",CHOOSE('설정'!$B$3,SUMIFS('RAW_농산물_7월'!$F:$F,'RAW_농산물_7월'!$D:$D,$C281,'RAW_농산물_7월'!$A:$A,$E281),SUMIFS('RAW_농산물_8월'!$F:$F,'RAW_농산물_8월'!$D:$D,$C281,'RAW_농산물_8월'!$A:$A,$E281),SUMIFS('RAW_농산물_9월'!$F:$F,'RAW_농산물_9월'!$D:$D,$C281,'RAW_농산물_9월'!$A:$A,$E281),SUMIFS('RAW_농산물_10월'!$F:$F,'RAW_농산물_10월'!$D:$D,$C281,'RAW_농산물_10월'!$A:$A,$E281),SUMIFS('RAW_농산물_11-12월'!$F:$F,'RAW_농산물_11-12월'!$D:$D,$C281,'RAW_농산물_11-12월'!$A:$A,$E281))))</f>
        <v>40</v>
      </c>
      <c r="G281" s="7">
        <f>IF($C281="","",IF('설정'!$B$3=0,"",CHOOSE('설정'!$B$3,SUMIFS('RAW_농산물_7월'!$G:$G,'RAW_농산물_7월'!$D:$D,$C281,'RAW_농산물_7월'!$A:$A,$E281),SUMIFS('RAW_농산물_8월'!$G:$G,'RAW_농산물_8월'!$D:$D,$C281,'RAW_농산물_8월'!$A:$A,$E281),SUMIFS('RAW_농산물_9월'!$G:$G,'RAW_농산물_9월'!$D:$D,$C281,'RAW_농산물_9월'!$A:$A,$E281),SUMIFS('RAW_농산물_10월'!$G:$G,'RAW_농산물_10월'!$D:$D,$C281,'RAW_농산물_10월'!$A:$A,$E281),SUMIFS('RAW_농산물_11-12월'!$G:$G,'RAW_농산물_11-12월'!$D:$D,$C281,'RAW_농산물_11-12월'!$A:$A,$E281))))</f>
        <v>781000</v>
      </c>
      <c r="H281" s="14">
        <f>IF($C281="","",IF('설정'!$B$3=0,"",CHOOSE('설정'!$B$3,SUMIFS('RAW_농산물_7월'!$H:$H,'RAW_농산물_7월'!$D:$D,$C281,'RAW_농산물_7월'!$A:$A,$E281),SUMIFS('RAW_농산물_8월'!$H:$H,'RAW_농산물_8월'!$D:$D,$C281,'RAW_농산물_8월'!$A:$A,$E281),SUMIFS('RAW_농산물_9월'!$H:$H,'RAW_농산물_9월'!$D:$D,$C281,'RAW_농산물_9월'!$A:$A,$E281),SUMIFS('RAW_농산물_10월'!$H:$H,'RAW_농산물_10월'!$D:$D,$C281,'RAW_농산물_10월'!$A:$A,$E281),SUMIFS('RAW_농산물_11-12월'!$H:$H,'RAW_농산물_11-12월'!$D:$D,$C281,'RAW_농산물_11-12월'!$A:$A,$E281))))</f>
        <v>115720</v>
      </c>
      <c r="I281" s="17" t="str">
        <f>IF($C281="","",IF(COUNTIFS('RAW_농산물_7월'!$D:$D,$C281,'RAW_농산물_7월'!$A:$A,$E281)&gt;0,"O",""))</f>
        <v>O</v>
      </c>
      <c r="J281" s="17" t="str">
        <f>IF($C281="","",IF(COUNTIFS('RAW_농산물_8월'!$D:$D,$C281,'RAW_농산물_8월'!$A:$A,$E281)&gt;0,"O",""))</f>
        <v>O</v>
      </c>
      <c r="K281" s="17" t="str">
        <f>IF($C281="","",IF(COUNTIFS('RAW_농산물_9월'!$D:$D,$C281,'RAW_농산물_9월'!$A:$A,$E281)&gt;0,"O",""))</f>
        <v/>
      </c>
      <c r="L281" s="17" t="str">
        <f>IF($C281="","",IF(COUNTIFS('RAW_농산물_10월'!$D:$D,$C281,'RAW_농산물_10월'!$A:$A,$E281)&gt;0,"O",""))</f>
        <v/>
      </c>
      <c r="M281" s="17" t="str">
        <f>IF($C281="","",IF(COUNTIFS('RAW_농산물_11-12월'!$D:$D,$C281,'RAW_농산물_11-12월'!$A:$A,$E281)&gt;0,"O",""))</f>
        <v/>
      </c>
      <c r="N281" s="7">
        <f>IF($C281="","",IF(COUNTA('RAW_농산물_7월'!$A:$A)&lt;=1,"",SUMIFS('RAW_농산물_7월'!$H:$H,'RAW_농산물_7월'!$D:$D,$C281,'RAW_농산물_7월'!$A:$A,$E281)))</f>
        <v>50900</v>
      </c>
      <c r="O281" s="7">
        <f>IF($C281="","",IF(COUNTA('RAW_농산물_8월'!$A:$A)&lt;=1,"",SUMIFS('RAW_농산물_8월'!$H:$H,'RAW_농산물_8월'!$D:$D,$C281,'RAW_농산물_8월'!$A:$A,$E281)-SUMIFS('RAW_농산물_7월'!$H:$H,'RAW_농산물_7월'!$D:$D,$C281,'RAW_농산물_7월'!$A:$A,$E281)))</f>
        <v>64820</v>
      </c>
      <c r="P281" s="7" t="str">
        <f>IF($C281="","",IF(COUNTA('RAW_농산물_9월'!$A:$A)&lt;=1,"",SUMIFS('RAW_농산물_9월'!$H:$H,'RAW_농산물_9월'!$D:$D,$C281,'RAW_농산물_9월'!$A:$A,$E281)-SUMIFS('RAW_농산물_8월'!$H:$H,'RAW_농산물_8월'!$D:$D,$C281,'RAW_농산물_8월'!$A:$A,$E281)))</f>
        <v/>
      </c>
      <c r="Q281" s="7" t="str">
        <f>IF($C281="","",IF(COUNTA('RAW_농산물_10월'!$A:$A)&lt;=1,"",SUMIFS('RAW_농산물_10월'!$H:$H,'RAW_농산물_10월'!$D:$D,$C281,'RAW_농산물_10월'!$A:$A,$E281)-SUMIFS('RAW_농산물_9월'!$H:$H,'RAW_농산물_9월'!$D:$D,$C281,'RAW_농산물_9월'!$A:$A,$E281)))</f>
        <v/>
      </c>
      <c r="R281" s="7" t="str">
        <f>IF($C281="","",IF(COUNTA('RAW_농산물_11-12월'!$A:$A)&lt;=1,"",SUMIFS('RAW_농산물_11-12월'!$H:$H,'RAW_농산물_11-12월'!$D:$D,$C281,'RAW_농산물_11-12월'!$A:$A,$E281)-SUMIFS('RAW_농산물_10월'!$H:$H,'RAW_농산물_10월'!$D:$D,$C281,'RAW_농산물_10월'!$A:$A,$E281)))</f>
        <v/>
      </c>
      <c r="S281" s="17" t="str">
        <f t="shared" si="4"/>
        <v>O</v>
      </c>
      <c r="T281" s="17" t="str">
        <f t="shared" si="5"/>
        <v>50만원 미만</v>
      </c>
      <c r="U281" s="7">
        <f>IF($C281="",0,IF('설정'!$B$3=0,0,CHOOSE('설정'!$B$3,COUNTIFS('RAW_농산물_7월'!$D:$D,$C281,'RAW_농산물_7월'!$A:$A,$E281),COUNTIFS('RAW_농산물_8월'!$D:$D,$C281,'RAW_농산물_8월'!$A:$A,$E281),COUNTIFS('RAW_농산물_9월'!$D:$D,$C281,'RAW_농산물_9월'!$A:$A,$E281),COUNTIFS('RAW_농산물_10월'!$D:$D,$C281,'RAW_농산물_10월'!$A:$A,$E281),COUNTIFS('RAW_농산물_11-12월'!$D:$D,$C281,'RAW_농산물_11-12월'!$A:$A,$E281))))</f>
        <v>3</v>
      </c>
    </row>
    <row r="282" ht="15.75" customHeight="1">
      <c r="A282" s="5">
        <v>280.0</v>
      </c>
      <c r="B282" s="5" t="s">
        <v>108</v>
      </c>
      <c r="C282" s="5" t="s">
        <v>743</v>
      </c>
      <c r="D282" s="6" t="s">
        <v>742</v>
      </c>
      <c r="E282" s="5" t="s">
        <v>92</v>
      </c>
      <c r="F282" s="7">
        <f>IF($C282="","",IF('설정'!$B$3=0,"",CHOOSE('설정'!$B$3,SUMIFS('RAW_농산물_7월'!$F:$F,'RAW_농산물_7월'!$D:$D,$C282,'RAW_농산물_7월'!$A:$A,$E282),SUMIFS('RAW_농산물_8월'!$F:$F,'RAW_농산물_8월'!$D:$D,$C282,'RAW_농산물_8월'!$A:$A,$E282),SUMIFS('RAW_농산물_9월'!$F:$F,'RAW_농산물_9월'!$D:$D,$C282,'RAW_농산물_9월'!$A:$A,$E282),SUMIFS('RAW_농산물_10월'!$F:$F,'RAW_농산물_10월'!$D:$D,$C282,'RAW_농산물_10월'!$A:$A,$E282),SUMIFS('RAW_농산물_11-12월'!$F:$F,'RAW_농산물_11-12월'!$D:$D,$C282,'RAW_농산물_11-12월'!$A:$A,$E282))))</f>
        <v>6</v>
      </c>
      <c r="G282" s="7">
        <f>IF($C282="","",IF('설정'!$B$3=0,"",CHOOSE('설정'!$B$3,SUMIFS('RAW_농산물_7월'!$G:$G,'RAW_농산물_7월'!$D:$D,$C282,'RAW_농산물_7월'!$A:$A,$E282),SUMIFS('RAW_농산물_8월'!$G:$G,'RAW_농산물_8월'!$D:$D,$C282,'RAW_농산물_8월'!$A:$A,$E282),SUMIFS('RAW_농산물_9월'!$G:$G,'RAW_농산물_9월'!$D:$D,$C282,'RAW_농산물_9월'!$A:$A,$E282),SUMIFS('RAW_농산물_10월'!$G:$G,'RAW_농산물_10월'!$D:$D,$C282,'RAW_농산물_10월'!$A:$A,$E282),SUMIFS('RAW_농산물_11-12월'!$G:$G,'RAW_농산물_11-12월'!$D:$D,$C282,'RAW_농산물_11-12월'!$A:$A,$E282))))</f>
        <v>257000</v>
      </c>
      <c r="H282" s="14">
        <f>IF($C282="","",IF('설정'!$B$3=0,"",CHOOSE('설정'!$B$3,SUMIFS('RAW_농산물_7월'!$H:$H,'RAW_농산물_7월'!$D:$D,$C282,'RAW_농산물_7월'!$A:$A,$E282),SUMIFS('RAW_농산물_8월'!$H:$H,'RAW_농산물_8월'!$D:$D,$C282,'RAW_농산물_8월'!$A:$A,$E282),SUMIFS('RAW_농산물_9월'!$H:$H,'RAW_농산물_9월'!$D:$D,$C282,'RAW_농산물_9월'!$A:$A,$E282),SUMIFS('RAW_농산물_10월'!$H:$H,'RAW_농산물_10월'!$D:$D,$C282,'RAW_농산물_10월'!$A:$A,$E282),SUMIFS('RAW_농산물_11-12월'!$H:$H,'RAW_농산물_11-12월'!$D:$D,$C282,'RAW_농산물_11-12월'!$A:$A,$E282))))</f>
        <v>19000</v>
      </c>
      <c r="I282" s="17" t="str">
        <f>IF($C282="","",IF(COUNTIFS('RAW_농산물_7월'!$D:$D,$C282,'RAW_농산물_7월'!$A:$A,$E282)&gt;0,"O",""))</f>
        <v>O</v>
      </c>
      <c r="J282" s="17" t="str">
        <f>IF($C282="","",IF(COUNTIFS('RAW_농산물_8월'!$D:$D,$C282,'RAW_농산물_8월'!$A:$A,$E282)&gt;0,"O",""))</f>
        <v>O</v>
      </c>
      <c r="K282" s="17" t="str">
        <f>IF($C282="","",IF(COUNTIFS('RAW_농산물_9월'!$D:$D,$C282,'RAW_농산물_9월'!$A:$A,$E282)&gt;0,"O",""))</f>
        <v/>
      </c>
      <c r="L282" s="17" t="str">
        <f>IF($C282="","",IF(COUNTIFS('RAW_농산물_10월'!$D:$D,$C282,'RAW_농산물_10월'!$A:$A,$E282)&gt;0,"O",""))</f>
        <v/>
      </c>
      <c r="M282" s="17" t="str">
        <f>IF($C282="","",IF(COUNTIFS('RAW_농산물_11-12월'!$D:$D,$C282,'RAW_농산물_11-12월'!$A:$A,$E282)&gt;0,"O",""))</f>
        <v/>
      </c>
      <c r="N282" s="7">
        <f>IF($C282="","",IF(COUNTA('RAW_농산물_7월'!$A:$A)&lt;=1,"",SUMIFS('RAW_농산물_7월'!$H:$H,'RAW_농산물_7월'!$D:$D,$C282,'RAW_농산물_7월'!$A:$A,$E282)))</f>
        <v>5000</v>
      </c>
      <c r="O282" s="7">
        <f>IF($C282="","",IF(COUNTA('RAW_농산물_8월'!$A:$A)&lt;=1,"",SUMIFS('RAW_농산물_8월'!$H:$H,'RAW_농산물_8월'!$D:$D,$C282,'RAW_농산물_8월'!$A:$A,$E282)-SUMIFS('RAW_농산물_7월'!$H:$H,'RAW_농산물_7월'!$D:$D,$C282,'RAW_농산물_7월'!$A:$A,$E282)))</f>
        <v>14000</v>
      </c>
      <c r="P282" s="7" t="str">
        <f>IF($C282="","",IF(COUNTA('RAW_농산물_9월'!$A:$A)&lt;=1,"",SUMIFS('RAW_농산물_9월'!$H:$H,'RAW_농산물_9월'!$D:$D,$C282,'RAW_농산물_9월'!$A:$A,$E282)-SUMIFS('RAW_농산물_8월'!$H:$H,'RAW_농산물_8월'!$D:$D,$C282,'RAW_농산물_8월'!$A:$A,$E282)))</f>
        <v/>
      </c>
      <c r="Q282" s="7" t="str">
        <f>IF($C282="","",IF(COUNTA('RAW_농산물_10월'!$A:$A)&lt;=1,"",SUMIFS('RAW_농산물_10월'!$H:$H,'RAW_농산물_10월'!$D:$D,$C282,'RAW_농산물_10월'!$A:$A,$E282)-SUMIFS('RAW_농산물_9월'!$H:$H,'RAW_농산물_9월'!$D:$D,$C282,'RAW_농산물_9월'!$A:$A,$E282)))</f>
        <v/>
      </c>
      <c r="R282" s="7" t="str">
        <f>IF($C282="","",IF(COUNTA('RAW_농산물_11-12월'!$A:$A)&lt;=1,"",SUMIFS('RAW_농산물_11-12월'!$H:$H,'RAW_농산물_11-12월'!$D:$D,$C282,'RAW_농산물_11-12월'!$A:$A,$E282)-SUMIFS('RAW_농산물_10월'!$H:$H,'RAW_농산물_10월'!$D:$D,$C282,'RAW_농산물_10월'!$A:$A,$E282)))</f>
        <v/>
      </c>
      <c r="S282" s="17" t="str">
        <f t="shared" si="4"/>
        <v>O</v>
      </c>
      <c r="T282" s="17" t="str">
        <f t="shared" si="5"/>
        <v>50만원 미만</v>
      </c>
      <c r="U282" s="7">
        <f>IF($C282="",0,IF('설정'!$B$3=0,0,CHOOSE('설정'!$B$3,COUNTIFS('RAW_농산물_7월'!$D:$D,$C282,'RAW_농산물_7월'!$A:$A,$E282),COUNTIFS('RAW_농산물_8월'!$D:$D,$C282,'RAW_농산물_8월'!$A:$A,$E282),COUNTIFS('RAW_농산물_9월'!$D:$D,$C282,'RAW_농산물_9월'!$A:$A,$E282),COUNTIFS('RAW_농산물_10월'!$D:$D,$C282,'RAW_농산물_10월'!$A:$A,$E282),COUNTIFS('RAW_농산물_11-12월'!$D:$D,$C282,'RAW_농산물_11-12월'!$A:$A,$E282))))</f>
        <v>10</v>
      </c>
    </row>
    <row r="283" ht="15.75" customHeight="1">
      <c r="A283" s="5">
        <v>281.0</v>
      </c>
      <c r="B283" s="5" t="s">
        <v>108</v>
      </c>
      <c r="C283" s="5" t="s">
        <v>808</v>
      </c>
      <c r="D283" s="6" t="s">
        <v>807</v>
      </c>
      <c r="E283" s="5" t="s">
        <v>92</v>
      </c>
      <c r="F283" s="7">
        <f>IF($C283="","",IF('설정'!$B$3=0,"",CHOOSE('설정'!$B$3,SUMIFS('RAW_농산물_7월'!$F:$F,'RAW_농산물_7월'!$D:$D,$C283,'RAW_농산물_7월'!$A:$A,$E283),SUMIFS('RAW_농산물_8월'!$F:$F,'RAW_농산물_8월'!$D:$D,$C283,'RAW_농산물_8월'!$A:$A,$E283),SUMIFS('RAW_농산물_9월'!$F:$F,'RAW_농산물_9월'!$D:$D,$C283,'RAW_농산물_9월'!$A:$A,$E283),SUMIFS('RAW_농산물_10월'!$F:$F,'RAW_농산물_10월'!$D:$D,$C283,'RAW_농산물_10월'!$A:$A,$E283),SUMIFS('RAW_농산물_11-12월'!$F:$F,'RAW_농산물_11-12월'!$D:$D,$C283,'RAW_농산물_11-12월'!$A:$A,$E283))))</f>
        <v>4</v>
      </c>
      <c r="G283" s="7">
        <f>IF($C283="","",IF('설정'!$B$3=0,"",CHOOSE('설정'!$B$3,SUMIFS('RAW_농산물_7월'!$G:$G,'RAW_농산물_7월'!$D:$D,$C283,'RAW_농산물_7월'!$A:$A,$E283),SUMIFS('RAW_농산물_8월'!$G:$G,'RAW_농산물_8월'!$D:$D,$C283,'RAW_농산물_8월'!$A:$A,$E283),SUMIFS('RAW_농산물_9월'!$G:$G,'RAW_농산물_9월'!$D:$D,$C283,'RAW_농산물_9월'!$A:$A,$E283),SUMIFS('RAW_농산물_10월'!$G:$G,'RAW_농산물_10월'!$D:$D,$C283,'RAW_농산물_10월'!$A:$A,$E283),SUMIFS('RAW_농산물_11-12월'!$G:$G,'RAW_농산물_11-12월'!$D:$D,$C283,'RAW_농산물_11-12월'!$A:$A,$E283))))</f>
        <v>174000</v>
      </c>
      <c r="H283" s="14">
        <f>IF($C283="","",IF('설정'!$B$3=0,"",CHOOSE('설정'!$B$3,SUMIFS('RAW_농산물_7월'!$H:$H,'RAW_농산물_7월'!$D:$D,$C283,'RAW_농산물_7월'!$A:$A,$E283),SUMIFS('RAW_농산물_8월'!$H:$H,'RAW_농산물_8월'!$D:$D,$C283,'RAW_농산물_8월'!$A:$A,$E283),SUMIFS('RAW_농산물_9월'!$H:$H,'RAW_농산물_9월'!$D:$D,$C283,'RAW_농산물_9월'!$A:$A,$E283),SUMIFS('RAW_농산물_10월'!$H:$H,'RAW_농산물_10월'!$D:$D,$C283,'RAW_농산물_10월'!$A:$A,$E283),SUMIFS('RAW_농산물_11-12월'!$H:$H,'RAW_농산물_11-12월'!$D:$D,$C283,'RAW_농산물_11-12월'!$A:$A,$E283))))</f>
        <v>8800</v>
      </c>
      <c r="I283" s="17" t="str">
        <f>IF($C283="","",IF(COUNTIFS('RAW_농산물_7월'!$D:$D,$C283,'RAW_농산물_7월'!$A:$A,$E283)&gt;0,"O",""))</f>
        <v>O</v>
      </c>
      <c r="J283" s="17" t="str">
        <f>IF($C283="","",IF(COUNTIFS('RAW_농산물_8월'!$D:$D,$C283,'RAW_농산물_8월'!$A:$A,$E283)&gt;0,"O",""))</f>
        <v>O</v>
      </c>
      <c r="K283" s="17" t="str">
        <f>IF($C283="","",IF(COUNTIFS('RAW_농산물_9월'!$D:$D,$C283,'RAW_농산물_9월'!$A:$A,$E283)&gt;0,"O",""))</f>
        <v/>
      </c>
      <c r="L283" s="17" t="str">
        <f>IF($C283="","",IF(COUNTIFS('RAW_농산물_10월'!$D:$D,$C283,'RAW_농산물_10월'!$A:$A,$E283)&gt;0,"O",""))</f>
        <v/>
      </c>
      <c r="M283" s="17" t="str">
        <f>IF($C283="","",IF(COUNTIFS('RAW_농산물_11-12월'!$D:$D,$C283,'RAW_농산물_11-12월'!$A:$A,$E283)&gt;0,"O",""))</f>
        <v/>
      </c>
      <c r="N283" s="7">
        <f>IF($C283="","",IF(COUNTA('RAW_농산물_7월'!$A:$A)&lt;=1,"",SUMIFS('RAW_농산물_7월'!$H:$H,'RAW_농산물_7월'!$D:$D,$C283,'RAW_농산물_7월'!$A:$A,$E283)))</f>
        <v>0</v>
      </c>
      <c r="O283" s="7">
        <f>IF($C283="","",IF(COUNTA('RAW_농산물_8월'!$A:$A)&lt;=1,"",SUMIFS('RAW_농산물_8월'!$H:$H,'RAW_농산물_8월'!$D:$D,$C283,'RAW_농산물_8월'!$A:$A,$E283)-SUMIFS('RAW_농산물_7월'!$H:$H,'RAW_농산물_7월'!$D:$D,$C283,'RAW_농산물_7월'!$A:$A,$E283)))</f>
        <v>8800</v>
      </c>
      <c r="P283" s="7" t="str">
        <f>IF($C283="","",IF(COUNTA('RAW_농산물_9월'!$A:$A)&lt;=1,"",SUMIFS('RAW_농산물_9월'!$H:$H,'RAW_농산물_9월'!$D:$D,$C283,'RAW_농산물_9월'!$A:$A,$E283)-SUMIFS('RAW_농산물_8월'!$H:$H,'RAW_농산물_8월'!$D:$D,$C283,'RAW_농산물_8월'!$A:$A,$E283)))</f>
        <v/>
      </c>
      <c r="Q283" s="7" t="str">
        <f>IF($C283="","",IF(COUNTA('RAW_농산물_10월'!$A:$A)&lt;=1,"",SUMIFS('RAW_농산물_10월'!$H:$H,'RAW_농산물_10월'!$D:$D,$C283,'RAW_농산물_10월'!$A:$A,$E283)-SUMIFS('RAW_농산물_9월'!$H:$H,'RAW_농산물_9월'!$D:$D,$C283,'RAW_농산물_9월'!$A:$A,$E283)))</f>
        <v/>
      </c>
      <c r="R283" s="7" t="str">
        <f>IF($C283="","",IF(COUNTA('RAW_농산물_11-12월'!$A:$A)&lt;=1,"",SUMIFS('RAW_농산물_11-12월'!$H:$H,'RAW_농산물_11-12월'!$D:$D,$C283,'RAW_농산물_11-12월'!$A:$A,$E283)-SUMIFS('RAW_농산물_10월'!$H:$H,'RAW_농산물_10월'!$D:$D,$C283,'RAW_농산물_10월'!$A:$A,$E283)))</f>
        <v/>
      </c>
      <c r="S283" s="17" t="str">
        <f t="shared" si="4"/>
        <v>O</v>
      </c>
      <c r="T283" s="17" t="str">
        <f t="shared" si="5"/>
        <v>50만원 미만</v>
      </c>
      <c r="U283" s="7">
        <f>IF($C283="",0,IF('설정'!$B$3=0,0,CHOOSE('설정'!$B$3,COUNTIFS('RAW_농산물_7월'!$D:$D,$C283,'RAW_농산물_7월'!$A:$A,$E283),COUNTIFS('RAW_농산물_8월'!$D:$D,$C283,'RAW_농산물_8월'!$A:$A,$E283),COUNTIFS('RAW_농산물_9월'!$D:$D,$C283,'RAW_농산물_9월'!$A:$A,$E283),COUNTIFS('RAW_농산물_10월'!$D:$D,$C283,'RAW_농산물_10월'!$A:$A,$E283),COUNTIFS('RAW_농산물_11-12월'!$D:$D,$C283,'RAW_농산물_11-12월'!$A:$A,$E283))))</f>
        <v>5</v>
      </c>
    </row>
    <row r="284" ht="15.75" customHeight="1">
      <c r="A284" s="5">
        <v>282.0</v>
      </c>
      <c r="B284" s="5" t="s">
        <v>108</v>
      </c>
      <c r="C284" s="5" t="s">
        <v>414</v>
      </c>
      <c r="D284" s="6" t="s">
        <v>413</v>
      </c>
      <c r="E284" s="5" t="s">
        <v>92</v>
      </c>
      <c r="F284" s="7">
        <f>IF($C284="","",IF('설정'!$B$3=0,"",CHOOSE('설정'!$B$3,SUMIFS('RAW_농산물_7월'!$F:$F,'RAW_농산물_7월'!$D:$D,$C284,'RAW_농산물_7월'!$A:$A,$E284),SUMIFS('RAW_농산물_8월'!$F:$F,'RAW_농산물_8월'!$D:$D,$C284,'RAW_농산물_8월'!$A:$A,$E284),SUMIFS('RAW_농산물_9월'!$F:$F,'RAW_농산물_9월'!$D:$D,$C284,'RAW_농산물_9월'!$A:$A,$E284),SUMIFS('RAW_농산물_10월'!$F:$F,'RAW_농산물_10월'!$D:$D,$C284,'RAW_농산물_10월'!$A:$A,$E284),SUMIFS('RAW_농산물_11-12월'!$F:$F,'RAW_농산물_11-12월'!$D:$D,$C284,'RAW_농산물_11-12월'!$A:$A,$E284))))</f>
        <v>303</v>
      </c>
      <c r="G284" s="7">
        <f>IF($C284="","",IF('설정'!$B$3=0,"",CHOOSE('설정'!$B$3,SUMIFS('RAW_농산물_7월'!$G:$G,'RAW_농산물_7월'!$D:$D,$C284,'RAW_농산물_7월'!$A:$A,$E284),SUMIFS('RAW_농산물_8월'!$G:$G,'RAW_농산물_8월'!$D:$D,$C284,'RAW_농산물_8월'!$A:$A,$E284),SUMIFS('RAW_농산물_9월'!$G:$G,'RAW_농산물_9월'!$D:$D,$C284,'RAW_농산물_9월'!$A:$A,$E284),SUMIFS('RAW_농산물_10월'!$G:$G,'RAW_농산물_10월'!$D:$D,$C284,'RAW_농산물_10월'!$A:$A,$E284),SUMIFS('RAW_농산물_11-12월'!$G:$G,'RAW_농산물_11-12월'!$D:$D,$C284,'RAW_농산물_11-12월'!$A:$A,$E284))))</f>
        <v>7634410</v>
      </c>
      <c r="H284" s="14">
        <f>IF($C284="","",IF('설정'!$B$3=0,"",CHOOSE('설정'!$B$3,SUMIFS('RAW_농산물_7월'!$H:$H,'RAW_농산물_7월'!$D:$D,$C284,'RAW_농산물_7월'!$A:$A,$E284),SUMIFS('RAW_농산물_8월'!$H:$H,'RAW_농산물_8월'!$D:$D,$C284,'RAW_농산물_8월'!$A:$A,$E284),SUMIFS('RAW_농산물_9월'!$H:$H,'RAW_농산물_9월'!$D:$D,$C284,'RAW_농산물_9월'!$A:$A,$E284),SUMIFS('RAW_농산물_10월'!$H:$H,'RAW_농산물_10월'!$D:$D,$C284,'RAW_농산물_10월'!$A:$A,$E284),SUMIFS('RAW_농산물_11-12월'!$H:$H,'RAW_농산물_11-12월'!$D:$D,$C284,'RAW_농산물_11-12월'!$A:$A,$E284))))</f>
        <v>714800</v>
      </c>
      <c r="I284" s="17" t="str">
        <f>IF($C284="","",IF(COUNTIFS('RAW_농산물_7월'!$D:$D,$C284,'RAW_농산물_7월'!$A:$A,$E284)&gt;0,"O",""))</f>
        <v>O</v>
      </c>
      <c r="J284" s="17" t="str">
        <f>IF($C284="","",IF(COUNTIFS('RAW_농산물_8월'!$D:$D,$C284,'RAW_농산물_8월'!$A:$A,$E284)&gt;0,"O",""))</f>
        <v>O</v>
      </c>
      <c r="K284" s="17" t="str">
        <f>IF($C284="","",IF(COUNTIFS('RAW_농산물_9월'!$D:$D,$C284,'RAW_농산물_9월'!$A:$A,$E284)&gt;0,"O",""))</f>
        <v/>
      </c>
      <c r="L284" s="17" t="str">
        <f>IF($C284="","",IF(COUNTIFS('RAW_농산물_10월'!$D:$D,$C284,'RAW_농산물_10월'!$A:$A,$E284)&gt;0,"O",""))</f>
        <v/>
      </c>
      <c r="M284" s="17" t="str">
        <f>IF($C284="","",IF(COUNTIFS('RAW_농산물_11-12월'!$D:$D,$C284,'RAW_농산물_11-12월'!$A:$A,$E284)&gt;0,"O",""))</f>
        <v/>
      </c>
      <c r="N284" s="7">
        <f>IF($C284="","",IF(COUNTA('RAW_농산물_7월'!$A:$A)&lt;=1,"",SUMIFS('RAW_농산물_7월'!$H:$H,'RAW_농산물_7월'!$D:$D,$C284,'RAW_농산물_7월'!$A:$A,$E284)))</f>
        <v>131820</v>
      </c>
      <c r="O284" s="7">
        <f>IF($C284="","",IF(COUNTA('RAW_농산물_8월'!$A:$A)&lt;=1,"",SUMIFS('RAW_농산물_8월'!$H:$H,'RAW_농산물_8월'!$D:$D,$C284,'RAW_농산물_8월'!$A:$A,$E284)-SUMIFS('RAW_농산물_7월'!$H:$H,'RAW_농산물_7월'!$D:$D,$C284,'RAW_농산물_7월'!$A:$A,$E284)))</f>
        <v>582980</v>
      </c>
      <c r="P284" s="7" t="str">
        <f>IF($C284="","",IF(COUNTA('RAW_농산물_9월'!$A:$A)&lt;=1,"",SUMIFS('RAW_농산물_9월'!$H:$H,'RAW_농산물_9월'!$D:$D,$C284,'RAW_농산물_9월'!$A:$A,$E284)-SUMIFS('RAW_농산물_8월'!$H:$H,'RAW_농산물_8월'!$D:$D,$C284,'RAW_농산물_8월'!$A:$A,$E284)))</f>
        <v/>
      </c>
      <c r="Q284" s="7" t="str">
        <f>IF($C284="","",IF(COUNTA('RAW_농산물_10월'!$A:$A)&lt;=1,"",SUMIFS('RAW_농산물_10월'!$H:$H,'RAW_농산물_10월'!$D:$D,$C284,'RAW_농산물_10월'!$A:$A,$E284)-SUMIFS('RAW_농산물_9월'!$H:$H,'RAW_농산물_9월'!$D:$D,$C284,'RAW_농산물_9월'!$A:$A,$E284)))</f>
        <v/>
      </c>
      <c r="R284" s="7" t="str">
        <f>IF($C284="","",IF(COUNTA('RAW_농산물_11-12월'!$A:$A)&lt;=1,"",SUMIFS('RAW_농산물_11-12월'!$H:$H,'RAW_농산물_11-12월'!$D:$D,$C284,'RAW_농산물_11-12월'!$A:$A,$E284)-SUMIFS('RAW_농산물_10월'!$H:$H,'RAW_농산물_10월'!$D:$D,$C284,'RAW_농산물_10월'!$A:$A,$E284)))</f>
        <v/>
      </c>
      <c r="S284" s="17" t="str">
        <f t="shared" si="4"/>
        <v>O</v>
      </c>
      <c r="T284" s="17" t="str">
        <f t="shared" si="5"/>
        <v>100만원 미만</v>
      </c>
      <c r="U284" s="7">
        <f>IF($C284="",0,IF('설정'!$B$3=0,0,CHOOSE('설정'!$B$3,COUNTIFS('RAW_농산물_7월'!$D:$D,$C284,'RAW_농산물_7월'!$A:$A,$E284),COUNTIFS('RAW_농산물_8월'!$D:$D,$C284,'RAW_농산물_8월'!$A:$A,$E284),COUNTIFS('RAW_농산물_9월'!$D:$D,$C284,'RAW_농산물_9월'!$A:$A,$E284),COUNTIFS('RAW_농산물_10월'!$D:$D,$C284,'RAW_농산물_10월'!$A:$A,$E284),COUNTIFS('RAW_농산물_11-12월'!$D:$D,$C284,'RAW_농산물_11-12월'!$A:$A,$E284))))</f>
        <v>22</v>
      </c>
    </row>
    <row r="285" ht="15.75" customHeight="1">
      <c r="A285" s="5">
        <v>283.0</v>
      </c>
      <c r="B285" s="5" t="s">
        <v>108</v>
      </c>
      <c r="C285" s="5" t="s">
        <v>3054</v>
      </c>
      <c r="D285" s="6" t="s">
        <v>3055</v>
      </c>
      <c r="E285" s="5" t="s">
        <v>92</v>
      </c>
      <c r="F285" s="7">
        <f>IF($C285="","",IF('설정'!$B$3=0,"",CHOOSE('설정'!$B$3,SUMIFS('RAW_농산물_7월'!$F:$F,'RAW_농산물_7월'!$D:$D,$C285,'RAW_농산물_7월'!$A:$A,$E285),SUMIFS('RAW_농산물_8월'!$F:$F,'RAW_농산물_8월'!$D:$D,$C285,'RAW_농산물_8월'!$A:$A,$E285),SUMIFS('RAW_농산물_9월'!$F:$F,'RAW_농산물_9월'!$D:$D,$C285,'RAW_농산물_9월'!$A:$A,$E285),SUMIFS('RAW_농산물_10월'!$F:$F,'RAW_농산물_10월'!$D:$D,$C285,'RAW_농산물_10월'!$A:$A,$E285),SUMIFS('RAW_농산물_11-12월'!$F:$F,'RAW_농산물_11-12월'!$D:$D,$C285,'RAW_농산물_11-12월'!$A:$A,$E285))))</f>
        <v>0</v>
      </c>
      <c r="G285" s="7">
        <f>IF($C285="","",IF('설정'!$B$3=0,"",CHOOSE('설정'!$B$3,SUMIFS('RAW_농산물_7월'!$G:$G,'RAW_농산물_7월'!$D:$D,$C285,'RAW_농산물_7월'!$A:$A,$E285),SUMIFS('RAW_농산물_8월'!$G:$G,'RAW_농산물_8월'!$D:$D,$C285,'RAW_농산물_8월'!$A:$A,$E285),SUMIFS('RAW_농산물_9월'!$G:$G,'RAW_농산물_9월'!$D:$D,$C285,'RAW_농산물_9월'!$A:$A,$E285),SUMIFS('RAW_농산물_10월'!$G:$G,'RAW_농산물_10월'!$D:$D,$C285,'RAW_농산물_10월'!$A:$A,$E285),SUMIFS('RAW_농산물_11-12월'!$G:$G,'RAW_농산물_11-12월'!$D:$D,$C285,'RAW_농산물_11-12월'!$A:$A,$E285))))</f>
        <v>0</v>
      </c>
      <c r="H285" s="14">
        <f>IF($C285="","",IF('설정'!$B$3=0,"",CHOOSE('설정'!$B$3,SUMIFS('RAW_농산물_7월'!$H:$H,'RAW_농산물_7월'!$D:$D,$C285,'RAW_농산물_7월'!$A:$A,$E285),SUMIFS('RAW_농산물_8월'!$H:$H,'RAW_농산물_8월'!$D:$D,$C285,'RAW_농산물_8월'!$A:$A,$E285),SUMIFS('RAW_농산물_9월'!$H:$H,'RAW_농산물_9월'!$D:$D,$C285,'RAW_농산물_9월'!$A:$A,$E285),SUMIFS('RAW_농산물_10월'!$H:$H,'RAW_농산물_10월'!$D:$D,$C285,'RAW_농산물_10월'!$A:$A,$E285),SUMIFS('RAW_농산물_11-12월'!$H:$H,'RAW_농산물_11-12월'!$D:$D,$C285,'RAW_농산물_11-12월'!$A:$A,$E285))))</f>
        <v>0</v>
      </c>
      <c r="I285" s="17" t="str">
        <f>IF($C285="","",IF(COUNTIFS('RAW_농산물_7월'!$D:$D,$C285,'RAW_농산물_7월'!$A:$A,$E285)&gt;0,"O",""))</f>
        <v/>
      </c>
      <c r="J285" s="17" t="str">
        <f>IF($C285="","",IF(COUNTIFS('RAW_농산물_8월'!$D:$D,$C285,'RAW_농산물_8월'!$A:$A,$E285)&gt;0,"O",""))</f>
        <v/>
      </c>
      <c r="K285" s="17" t="str">
        <f>IF($C285="","",IF(COUNTIFS('RAW_농산물_9월'!$D:$D,$C285,'RAW_농산물_9월'!$A:$A,$E285)&gt;0,"O",""))</f>
        <v/>
      </c>
      <c r="L285" s="17" t="str">
        <f>IF($C285="","",IF(COUNTIFS('RAW_농산물_10월'!$D:$D,$C285,'RAW_농산물_10월'!$A:$A,$E285)&gt;0,"O",""))</f>
        <v/>
      </c>
      <c r="M285" s="17" t="str">
        <f>IF($C285="","",IF(COUNTIFS('RAW_농산물_11-12월'!$D:$D,$C285,'RAW_농산물_11-12월'!$A:$A,$E285)&gt;0,"O",""))</f>
        <v/>
      </c>
      <c r="N285" s="7">
        <f>IF($C285="","",IF(COUNTA('RAW_농산물_7월'!$A:$A)&lt;=1,"",SUMIFS('RAW_농산물_7월'!$H:$H,'RAW_농산물_7월'!$D:$D,$C285,'RAW_농산물_7월'!$A:$A,$E285)))</f>
        <v>0</v>
      </c>
      <c r="O285" s="7">
        <f>IF($C285="","",IF(COUNTA('RAW_농산물_8월'!$A:$A)&lt;=1,"",SUMIFS('RAW_농산물_8월'!$H:$H,'RAW_농산물_8월'!$D:$D,$C285,'RAW_농산물_8월'!$A:$A,$E285)-SUMIFS('RAW_농산물_7월'!$H:$H,'RAW_농산물_7월'!$D:$D,$C285,'RAW_농산물_7월'!$A:$A,$E285)))</f>
        <v>0</v>
      </c>
      <c r="P285" s="7" t="str">
        <f>IF($C285="","",IF(COUNTA('RAW_농산물_9월'!$A:$A)&lt;=1,"",SUMIFS('RAW_농산물_9월'!$H:$H,'RAW_농산물_9월'!$D:$D,$C285,'RAW_농산물_9월'!$A:$A,$E285)-SUMIFS('RAW_농산물_8월'!$H:$H,'RAW_농산물_8월'!$D:$D,$C285,'RAW_농산물_8월'!$A:$A,$E285)))</f>
        <v/>
      </c>
      <c r="Q285" s="7" t="str">
        <f>IF($C285="","",IF(COUNTA('RAW_농산물_10월'!$A:$A)&lt;=1,"",SUMIFS('RAW_농산물_10월'!$H:$H,'RAW_농산물_10월'!$D:$D,$C285,'RAW_농산물_10월'!$A:$A,$E285)-SUMIFS('RAW_농산물_9월'!$H:$H,'RAW_농산물_9월'!$D:$D,$C285,'RAW_농산물_9월'!$A:$A,$E285)))</f>
        <v/>
      </c>
      <c r="R285" s="7" t="str">
        <f>IF($C285="","",IF(COUNTA('RAW_농산물_11-12월'!$A:$A)&lt;=1,"",SUMIFS('RAW_농산물_11-12월'!$H:$H,'RAW_농산물_11-12월'!$D:$D,$C285,'RAW_농산물_11-12월'!$A:$A,$E285)-SUMIFS('RAW_농산물_10월'!$H:$H,'RAW_농산물_10월'!$D:$D,$C285,'RAW_농산물_10월'!$A:$A,$E285)))</f>
        <v/>
      </c>
      <c r="S285" s="17" t="str">
        <f t="shared" si="4"/>
        <v/>
      </c>
      <c r="T285" s="17" t="str">
        <f t="shared" si="5"/>
        <v>미사용</v>
      </c>
      <c r="U285" s="7">
        <f>IF($C285="",0,IF('설정'!$B$3=0,0,CHOOSE('설정'!$B$3,COUNTIFS('RAW_농산물_7월'!$D:$D,$C285,'RAW_농산물_7월'!$A:$A,$E285),COUNTIFS('RAW_농산물_8월'!$D:$D,$C285,'RAW_농산물_8월'!$A:$A,$E285),COUNTIFS('RAW_농산물_9월'!$D:$D,$C285,'RAW_농산물_9월'!$A:$A,$E285),COUNTIFS('RAW_농산물_10월'!$D:$D,$C285,'RAW_농산물_10월'!$A:$A,$E285),COUNTIFS('RAW_농산물_11-12월'!$D:$D,$C285,'RAW_농산물_11-12월'!$A:$A,$E285))))</f>
        <v>0</v>
      </c>
    </row>
    <row r="286" ht="15.75" customHeight="1">
      <c r="A286" s="5">
        <v>284.0</v>
      </c>
      <c r="B286" s="5" t="s">
        <v>108</v>
      </c>
      <c r="C286" s="5" t="s">
        <v>3056</v>
      </c>
      <c r="D286" s="6" t="s">
        <v>3057</v>
      </c>
      <c r="E286" s="5" t="s">
        <v>92</v>
      </c>
      <c r="F286" s="7">
        <f>IF($C286="","",IF('설정'!$B$3=0,"",CHOOSE('설정'!$B$3,SUMIFS('RAW_농산물_7월'!$F:$F,'RAW_농산물_7월'!$D:$D,$C286,'RAW_농산물_7월'!$A:$A,$E286),SUMIFS('RAW_농산물_8월'!$F:$F,'RAW_농산물_8월'!$D:$D,$C286,'RAW_농산물_8월'!$A:$A,$E286),SUMIFS('RAW_농산물_9월'!$F:$F,'RAW_농산물_9월'!$D:$D,$C286,'RAW_농산물_9월'!$A:$A,$E286),SUMIFS('RAW_농산물_10월'!$F:$F,'RAW_농산물_10월'!$D:$D,$C286,'RAW_농산물_10월'!$A:$A,$E286),SUMIFS('RAW_농산물_11-12월'!$F:$F,'RAW_농산물_11-12월'!$D:$D,$C286,'RAW_농산물_11-12월'!$A:$A,$E286))))</f>
        <v>0</v>
      </c>
      <c r="G286" s="7">
        <f>IF($C286="","",IF('설정'!$B$3=0,"",CHOOSE('설정'!$B$3,SUMIFS('RAW_농산물_7월'!$G:$G,'RAW_농산물_7월'!$D:$D,$C286,'RAW_농산물_7월'!$A:$A,$E286),SUMIFS('RAW_농산물_8월'!$G:$G,'RAW_농산물_8월'!$D:$D,$C286,'RAW_농산물_8월'!$A:$A,$E286),SUMIFS('RAW_농산물_9월'!$G:$G,'RAW_농산물_9월'!$D:$D,$C286,'RAW_농산물_9월'!$A:$A,$E286),SUMIFS('RAW_농산물_10월'!$G:$G,'RAW_농산물_10월'!$D:$D,$C286,'RAW_농산물_10월'!$A:$A,$E286),SUMIFS('RAW_농산물_11-12월'!$G:$G,'RAW_농산물_11-12월'!$D:$D,$C286,'RAW_농산물_11-12월'!$A:$A,$E286))))</f>
        <v>0</v>
      </c>
      <c r="H286" s="14">
        <f>IF($C286="","",IF('설정'!$B$3=0,"",CHOOSE('설정'!$B$3,SUMIFS('RAW_농산물_7월'!$H:$H,'RAW_농산물_7월'!$D:$D,$C286,'RAW_농산물_7월'!$A:$A,$E286),SUMIFS('RAW_농산물_8월'!$H:$H,'RAW_농산물_8월'!$D:$D,$C286,'RAW_농산물_8월'!$A:$A,$E286),SUMIFS('RAW_농산물_9월'!$H:$H,'RAW_농산물_9월'!$D:$D,$C286,'RAW_농산물_9월'!$A:$A,$E286),SUMIFS('RAW_농산물_10월'!$H:$H,'RAW_농산물_10월'!$D:$D,$C286,'RAW_농산물_10월'!$A:$A,$E286),SUMIFS('RAW_농산물_11-12월'!$H:$H,'RAW_농산물_11-12월'!$D:$D,$C286,'RAW_농산물_11-12월'!$A:$A,$E286))))</f>
        <v>0</v>
      </c>
      <c r="I286" s="17" t="str">
        <f>IF($C286="","",IF(COUNTIFS('RAW_농산물_7월'!$D:$D,$C286,'RAW_농산물_7월'!$A:$A,$E286)&gt;0,"O",""))</f>
        <v/>
      </c>
      <c r="J286" s="17" t="str">
        <f>IF($C286="","",IF(COUNTIFS('RAW_농산물_8월'!$D:$D,$C286,'RAW_농산물_8월'!$A:$A,$E286)&gt;0,"O",""))</f>
        <v/>
      </c>
      <c r="K286" s="17" t="str">
        <f>IF($C286="","",IF(COUNTIFS('RAW_농산물_9월'!$D:$D,$C286,'RAW_농산물_9월'!$A:$A,$E286)&gt;0,"O",""))</f>
        <v/>
      </c>
      <c r="L286" s="17" t="str">
        <f>IF($C286="","",IF(COUNTIFS('RAW_농산물_10월'!$D:$D,$C286,'RAW_농산물_10월'!$A:$A,$E286)&gt;0,"O",""))</f>
        <v/>
      </c>
      <c r="M286" s="17" t="str">
        <f>IF($C286="","",IF(COUNTIFS('RAW_농산물_11-12월'!$D:$D,$C286,'RAW_농산물_11-12월'!$A:$A,$E286)&gt;0,"O",""))</f>
        <v/>
      </c>
      <c r="N286" s="7">
        <f>IF($C286="","",IF(COUNTA('RAW_농산물_7월'!$A:$A)&lt;=1,"",SUMIFS('RAW_농산물_7월'!$H:$H,'RAW_농산물_7월'!$D:$D,$C286,'RAW_농산물_7월'!$A:$A,$E286)))</f>
        <v>0</v>
      </c>
      <c r="O286" s="7">
        <f>IF($C286="","",IF(COUNTA('RAW_농산물_8월'!$A:$A)&lt;=1,"",SUMIFS('RAW_농산물_8월'!$H:$H,'RAW_농산물_8월'!$D:$D,$C286,'RAW_농산물_8월'!$A:$A,$E286)-SUMIFS('RAW_농산물_7월'!$H:$H,'RAW_농산물_7월'!$D:$D,$C286,'RAW_농산물_7월'!$A:$A,$E286)))</f>
        <v>0</v>
      </c>
      <c r="P286" s="7" t="str">
        <f>IF($C286="","",IF(COUNTA('RAW_농산물_9월'!$A:$A)&lt;=1,"",SUMIFS('RAW_농산물_9월'!$H:$H,'RAW_농산물_9월'!$D:$D,$C286,'RAW_농산물_9월'!$A:$A,$E286)-SUMIFS('RAW_농산물_8월'!$H:$H,'RAW_농산물_8월'!$D:$D,$C286,'RAW_농산물_8월'!$A:$A,$E286)))</f>
        <v/>
      </c>
      <c r="Q286" s="7" t="str">
        <f>IF($C286="","",IF(COUNTA('RAW_농산물_10월'!$A:$A)&lt;=1,"",SUMIFS('RAW_농산물_10월'!$H:$H,'RAW_농산물_10월'!$D:$D,$C286,'RAW_농산물_10월'!$A:$A,$E286)-SUMIFS('RAW_농산물_9월'!$H:$H,'RAW_농산물_9월'!$D:$D,$C286,'RAW_농산물_9월'!$A:$A,$E286)))</f>
        <v/>
      </c>
      <c r="R286" s="7" t="str">
        <f>IF($C286="","",IF(COUNTA('RAW_농산물_11-12월'!$A:$A)&lt;=1,"",SUMIFS('RAW_농산물_11-12월'!$H:$H,'RAW_농산물_11-12월'!$D:$D,$C286,'RAW_농산물_11-12월'!$A:$A,$E286)-SUMIFS('RAW_농산물_10월'!$H:$H,'RAW_농산물_10월'!$D:$D,$C286,'RAW_농산물_10월'!$A:$A,$E286)))</f>
        <v/>
      </c>
      <c r="S286" s="17" t="str">
        <f t="shared" si="4"/>
        <v/>
      </c>
      <c r="T286" s="17" t="str">
        <f t="shared" si="5"/>
        <v>미사용</v>
      </c>
      <c r="U286" s="7">
        <f>IF($C286="",0,IF('설정'!$B$3=0,0,CHOOSE('설정'!$B$3,COUNTIFS('RAW_농산물_7월'!$D:$D,$C286,'RAW_농산물_7월'!$A:$A,$E286),COUNTIFS('RAW_농산물_8월'!$D:$D,$C286,'RAW_농산물_8월'!$A:$A,$E286),COUNTIFS('RAW_농산물_9월'!$D:$D,$C286,'RAW_농산물_9월'!$A:$A,$E286),COUNTIFS('RAW_농산물_10월'!$D:$D,$C286,'RAW_농산물_10월'!$A:$A,$E286),COUNTIFS('RAW_농산물_11-12월'!$D:$D,$C286,'RAW_농산물_11-12월'!$A:$A,$E286))))</f>
        <v>0</v>
      </c>
    </row>
    <row r="287" ht="15.75" customHeight="1">
      <c r="A287" s="5">
        <v>285.0</v>
      </c>
      <c r="B287" s="5" t="s">
        <v>108</v>
      </c>
      <c r="C287" s="5" t="s">
        <v>776</v>
      </c>
      <c r="D287" s="6" t="s">
        <v>775</v>
      </c>
      <c r="E287" s="5" t="s">
        <v>92</v>
      </c>
      <c r="F287" s="7">
        <f>IF($C287="","",IF('설정'!$B$3=0,"",CHOOSE('설정'!$B$3,SUMIFS('RAW_농산물_7월'!$F:$F,'RAW_농산물_7월'!$D:$D,$C287,'RAW_농산물_7월'!$A:$A,$E287),SUMIFS('RAW_농산물_8월'!$F:$F,'RAW_농산물_8월'!$D:$D,$C287,'RAW_농산물_8월'!$A:$A,$E287),SUMIFS('RAW_농산물_9월'!$F:$F,'RAW_농산물_9월'!$D:$D,$C287,'RAW_농산물_9월'!$A:$A,$E287),SUMIFS('RAW_농산물_10월'!$F:$F,'RAW_농산물_10월'!$D:$D,$C287,'RAW_농산물_10월'!$A:$A,$E287),SUMIFS('RAW_농산물_11-12월'!$F:$F,'RAW_농산물_11-12월'!$D:$D,$C287,'RAW_농산물_11-12월'!$A:$A,$E287))))</f>
        <v>2</v>
      </c>
      <c r="G287" s="7">
        <f>IF($C287="","",IF('설정'!$B$3=0,"",CHOOSE('설정'!$B$3,SUMIFS('RAW_농산물_7월'!$G:$G,'RAW_농산물_7월'!$D:$D,$C287,'RAW_농산물_7월'!$A:$A,$E287),SUMIFS('RAW_농산물_8월'!$G:$G,'RAW_농산물_8월'!$D:$D,$C287,'RAW_농산물_8월'!$A:$A,$E287),SUMIFS('RAW_농산물_9월'!$G:$G,'RAW_농산물_9월'!$D:$D,$C287,'RAW_농산물_9월'!$A:$A,$E287),SUMIFS('RAW_농산물_10월'!$G:$G,'RAW_농산물_10월'!$D:$D,$C287,'RAW_농산물_10월'!$A:$A,$E287),SUMIFS('RAW_농산물_11-12월'!$G:$G,'RAW_농산물_11-12월'!$D:$D,$C287,'RAW_농산물_11-12월'!$A:$A,$E287))))</f>
        <v>61900</v>
      </c>
      <c r="H287" s="14">
        <f>IF($C287="","",IF('설정'!$B$3=0,"",CHOOSE('설정'!$B$3,SUMIFS('RAW_농산물_7월'!$H:$H,'RAW_농산물_7월'!$D:$D,$C287,'RAW_농산물_7월'!$A:$A,$E287),SUMIFS('RAW_농산물_8월'!$H:$H,'RAW_농산물_8월'!$D:$D,$C287,'RAW_농산물_8월'!$A:$A,$E287),SUMIFS('RAW_농산물_9월'!$H:$H,'RAW_농산물_9월'!$D:$D,$C287,'RAW_농산물_9월'!$A:$A,$E287),SUMIFS('RAW_농산물_10월'!$H:$H,'RAW_농산물_10월'!$D:$D,$C287,'RAW_농산물_10월'!$A:$A,$E287),SUMIFS('RAW_농산물_11-12월'!$H:$H,'RAW_농산물_11-12월'!$D:$D,$C287,'RAW_농산물_11-12월'!$A:$A,$E287))))</f>
        <v>5380</v>
      </c>
      <c r="I287" s="17" t="str">
        <f>IF($C287="","",IF(COUNTIFS('RAW_농산물_7월'!$D:$D,$C287,'RAW_농산물_7월'!$A:$A,$E287)&gt;0,"O",""))</f>
        <v>O</v>
      </c>
      <c r="J287" s="17" t="str">
        <f>IF($C287="","",IF(COUNTIFS('RAW_농산물_8월'!$D:$D,$C287,'RAW_농산물_8월'!$A:$A,$E287)&gt;0,"O",""))</f>
        <v>O</v>
      </c>
      <c r="K287" s="17" t="str">
        <f>IF($C287="","",IF(COUNTIFS('RAW_농산물_9월'!$D:$D,$C287,'RAW_농산물_9월'!$A:$A,$E287)&gt;0,"O",""))</f>
        <v/>
      </c>
      <c r="L287" s="17" t="str">
        <f>IF($C287="","",IF(COUNTIFS('RAW_농산물_10월'!$D:$D,$C287,'RAW_농산물_10월'!$A:$A,$E287)&gt;0,"O",""))</f>
        <v/>
      </c>
      <c r="M287" s="17" t="str">
        <f>IF($C287="","",IF(COUNTIFS('RAW_농산물_11-12월'!$D:$D,$C287,'RAW_농산물_11-12월'!$A:$A,$E287)&gt;0,"O",""))</f>
        <v/>
      </c>
      <c r="N287" s="7">
        <f>IF($C287="","",IF(COUNTA('RAW_농산물_7월'!$A:$A)&lt;=1,"",SUMIFS('RAW_농산물_7월'!$H:$H,'RAW_농산물_7월'!$D:$D,$C287,'RAW_농산물_7월'!$A:$A,$E287)))</f>
        <v>5380</v>
      </c>
      <c r="O287" s="7">
        <f>IF($C287="","",IF(COUNTA('RAW_농산물_8월'!$A:$A)&lt;=1,"",SUMIFS('RAW_농산물_8월'!$H:$H,'RAW_농산물_8월'!$D:$D,$C287,'RAW_농산물_8월'!$A:$A,$E287)-SUMIFS('RAW_농산물_7월'!$H:$H,'RAW_농산물_7월'!$D:$D,$C287,'RAW_농산물_7월'!$A:$A,$E287)))</f>
        <v>0</v>
      </c>
      <c r="P287" s="7" t="str">
        <f>IF($C287="","",IF(COUNTA('RAW_농산물_9월'!$A:$A)&lt;=1,"",SUMIFS('RAW_농산물_9월'!$H:$H,'RAW_농산물_9월'!$D:$D,$C287,'RAW_농산물_9월'!$A:$A,$E287)-SUMIFS('RAW_농산물_8월'!$H:$H,'RAW_농산물_8월'!$D:$D,$C287,'RAW_농산물_8월'!$A:$A,$E287)))</f>
        <v/>
      </c>
      <c r="Q287" s="7" t="str">
        <f>IF($C287="","",IF(COUNTA('RAW_농산물_10월'!$A:$A)&lt;=1,"",SUMIFS('RAW_농산물_10월'!$H:$H,'RAW_농산물_10월'!$D:$D,$C287,'RAW_농산물_10월'!$A:$A,$E287)-SUMIFS('RAW_농산물_9월'!$H:$H,'RAW_농산물_9월'!$D:$D,$C287,'RAW_농산물_9월'!$A:$A,$E287)))</f>
        <v/>
      </c>
      <c r="R287" s="7" t="str">
        <f>IF($C287="","",IF(COUNTA('RAW_농산물_11-12월'!$A:$A)&lt;=1,"",SUMIFS('RAW_농산물_11-12월'!$H:$H,'RAW_농산물_11-12월'!$D:$D,$C287,'RAW_농산물_11-12월'!$A:$A,$E287)-SUMIFS('RAW_농산물_10월'!$H:$H,'RAW_농산물_10월'!$D:$D,$C287,'RAW_농산물_10월'!$A:$A,$E287)))</f>
        <v/>
      </c>
      <c r="S287" s="17" t="str">
        <f t="shared" si="4"/>
        <v>O</v>
      </c>
      <c r="T287" s="17" t="str">
        <f t="shared" si="5"/>
        <v>50만원 미만</v>
      </c>
      <c r="U287" s="7">
        <f>IF($C287="",0,IF('설정'!$B$3=0,0,CHOOSE('설정'!$B$3,COUNTIFS('RAW_농산물_7월'!$D:$D,$C287,'RAW_농산물_7월'!$A:$A,$E287),COUNTIFS('RAW_농산물_8월'!$D:$D,$C287,'RAW_농산물_8월'!$A:$A,$E287),COUNTIFS('RAW_농산물_9월'!$D:$D,$C287,'RAW_농산물_9월'!$A:$A,$E287),COUNTIFS('RAW_농산물_10월'!$D:$D,$C287,'RAW_농산물_10월'!$A:$A,$E287),COUNTIFS('RAW_농산물_11-12월'!$D:$D,$C287,'RAW_농산물_11-12월'!$A:$A,$E287))))</f>
        <v>2</v>
      </c>
    </row>
    <row r="288" ht="15.75" customHeight="1">
      <c r="A288" s="5"/>
      <c r="B288" s="5"/>
      <c r="C288" s="5"/>
      <c r="D288" s="6"/>
      <c r="E288" s="5"/>
      <c r="F288" s="7" t="str">
        <f>IF($C288="","",IF('설정'!$B$3=0,"",CHOOSE('설정'!$B$3,SUMIFS('RAW_농산물_7월'!$F:$F,'RAW_농산물_7월'!$D:$D,$C288,'RAW_농산물_7월'!$A:$A,$E288),SUMIFS('RAW_농산물_8월'!$F:$F,'RAW_농산물_8월'!$D:$D,$C288,'RAW_농산물_8월'!$A:$A,$E288),SUMIFS('RAW_농산물_9월'!$F:$F,'RAW_농산물_9월'!$D:$D,$C288,'RAW_농산물_9월'!$A:$A,$E288),SUMIFS('RAW_농산물_10월'!$F:$F,'RAW_농산물_10월'!$D:$D,$C288,'RAW_농산물_10월'!$A:$A,$E288),SUMIFS('RAW_농산물_11-12월'!$F:$F,'RAW_농산물_11-12월'!$D:$D,$C288,'RAW_농산물_11-12월'!$A:$A,$E288))))</f>
        <v/>
      </c>
      <c r="G288" s="7" t="str">
        <f>IF($C288="","",IF('설정'!$B$3=0,"",CHOOSE('설정'!$B$3,SUMIFS('RAW_농산물_7월'!$G:$G,'RAW_농산물_7월'!$D:$D,$C288,'RAW_농산물_7월'!$A:$A,$E288),SUMIFS('RAW_농산물_8월'!$G:$G,'RAW_농산물_8월'!$D:$D,$C288,'RAW_농산물_8월'!$A:$A,$E288),SUMIFS('RAW_농산물_9월'!$G:$G,'RAW_농산물_9월'!$D:$D,$C288,'RAW_농산물_9월'!$A:$A,$E288),SUMIFS('RAW_농산물_10월'!$G:$G,'RAW_농산물_10월'!$D:$D,$C288,'RAW_농산물_10월'!$A:$A,$E288),SUMIFS('RAW_농산물_11-12월'!$G:$G,'RAW_농산물_11-12월'!$D:$D,$C288,'RAW_농산물_11-12월'!$A:$A,$E288))))</f>
        <v/>
      </c>
      <c r="H288" s="14" t="str">
        <f>IF($C288="","",IF('설정'!$B$3=0,"",CHOOSE('설정'!$B$3,SUMIFS('RAW_농산물_7월'!$H:$H,'RAW_농산물_7월'!$D:$D,$C288,'RAW_농산물_7월'!$A:$A,$E288),SUMIFS('RAW_농산물_8월'!$H:$H,'RAW_농산물_8월'!$D:$D,$C288,'RAW_농산물_8월'!$A:$A,$E288),SUMIFS('RAW_농산물_9월'!$H:$H,'RAW_농산물_9월'!$D:$D,$C288,'RAW_농산물_9월'!$A:$A,$E288),SUMIFS('RAW_농산물_10월'!$H:$H,'RAW_농산물_10월'!$D:$D,$C288,'RAW_농산물_10월'!$A:$A,$E288),SUMIFS('RAW_농산물_11-12월'!$H:$H,'RAW_농산물_11-12월'!$D:$D,$C288,'RAW_농산물_11-12월'!$A:$A,$E288))))</f>
        <v/>
      </c>
      <c r="I288" s="17" t="str">
        <f>IF($C288="","",IF(COUNTIFS('RAW_농산물_7월'!$D:$D,$C288,'RAW_농산물_7월'!$A:$A,$E288)&gt;0,"O",""))</f>
        <v/>
      </c>
      <c r="J288" s="17" t="str">
        <f>IF($C288="","",IF(COUNTIFS('RAW_농산물_8월'!$D:$D,$C288,'RAW_농산물_8월'!$A:$A,$E288)&gt;0,"O",""))</f>
        <v/>
      </c>
      <c r="K288" s="17" t="str">
        <f>IF($C288="","",IF(COUNTIFS('RAW_농산물_9월'!$D:$D,$C288,'RAW_농산물_9월'!$A:$A,$E288)&gt;0,"O",""))</f>
        <v/>
      </c>
      <c r="L288" s="17" t="str">
        <f>IF($C288="","",IF(COUNTIFS('RAW_농산물_10월'!$D:$D,$C288,'RAW_농산물_10월'!$A:$A,$E288)&gt;0,"O",""))</f>
        <v/>
      </c>
      <c r="M288" s="17" t="str">
        <f>IF($C288="","",IF(COUNTIFS('RAW_농산물_11-12월'!$D:$D,$C288,'RAW_농산물_11-12월'!$A:$A,$E288)&gt;0,"O",""))</f>
        <v/>
      </c>
      <c r="N288" s="7" t="str">
        <f>IF($C288="","",IF(COUNTA('RAW_농산물_7월'!$A:$A)&lt;=1,"",SUMIFS('RAW_농산물_7월'!$H:$H,'RAW_농산물_7월'!$D:$D,$C288,'RAW_농산물_7월'!$A:$A,$E288)))</f>
        <v/>
      </c>
      <c r="O288" s="7" t="str">
        <f>IF($C288="","",IF(COUNTA('RAW_농산물_8월'!$A:$A)&lt;=1,"",SUMIFS('RAW_농산물_8월'!$H:$H,'RAW_농산물_8월'!$D:$D,$C288,'RAW_농산물_8월'!$A:$A,$E288)-SUMIFS('RAW_농산물_7월'!$H:$H,'RAW_농산물_7월'!$D:$D,$C288,'RAW_농산물_7월'!$A:$A,$E288)))</f>
        <v/>
      </c>
      <c r="P288" s="7" t="str">
        <f>IF($C288="","",IF(COUNTA('RAW_농산물_9월'!$A:$A)&lt;=1,"",SUMIFS('RAW_농산물_9월'!$H:$H,'RAW_농산물_9월'!$D:$D,$C288,'RAW_농산물_9월'!$A:$A,$E288)-SUMIFS('RAW_농산물_8월'!$H:$H,'RAW_농산물_8월'!$D:$D,$C288,'RAW_농산물_8월'!$A:$A,$E288)))</f>
        <v/>
      </c>
      <c r="Q288" s="7" t="str">
        <f>IF($C288="","",IF(COUNTA('RAW_농산물_10월'!$A:$A)&lt;=1,"",SUMIFS('RAW_농산물_10월'!$H:$H,'RAW_농산물_10월'!$D:$D,$C288,'RAW_농산물_10월'!$A:$A,$E288)-SUMIFS('RAW_농산물_9월'!$H:$H,'RAW_농산물_9월'!$D:$D,$C288,'RAW_농산물_9월'!$A:$A,$E288)))</f>
        <v/>
      </c>
      <c r="R288" s="7" t="str">
        <f>IF($C288="","",IF(COUNTA('RAW_농산물_11-12월'!$A:$A)&lt;=1,"",SUMIFS('RAW_농산물_11-12월'!$H:$H,'RAW_농산물_11-12월'!$D:$D,$C288,'RAW_농산물_11-12월'!$A:$A,$E288)-SUMIFS('RAW_농산물_10월'!$H:$H,'RAW_농산물_10월'!$D:$D,$C288,'RAW_농산물_10월'!$A:$A,$E288)))</f>
        <v/>
      </c>
      <c r="S288" s="17" t="str">
        <f t="shared" si="4"/>
        <v/>
      </c>
      <c r="T288" s="17" t="str">
        <f t="shared" si="5"/>
        <v/>
      </c>
      <c r="U288" s="7">
        <f>IF($C288="",0,IF('설정'!$B$3=0,0,CHOOSE('설정'!$B$3,COUNTIFS('RAW_농산물_7월'!$D:$D,$C288,'RAW_농산물_7월'!$A:$A,$E288),COUNTIFS('RAW_농산물_8월'!$D:$D,$C288,'RAW_농산물_8월'!$A:$A,$E288),COUNTIFS('RAW_농산물_9월'!$D:$D,$C288,'RAW_농산물_9월'!$A:$A,$E288),COUNTIFS('RAW_농산물_10월'!$D:$D,$C288,'RAW_농산물_10월'!$A:$A,$E288),COUNTIFS('RAW_농산물_11-12월'!$D:$D,$C288,'RAW_농산물_11-12월'!$A:$A,$E288))))</f>
        <v>0</v>
      </c>
    </row>
    <row r="289" ht="15.75" customHeight="1">
      <c r="A289" s="5"/>
      <c r="B289" s="5"/>
      <c r="C289" s="5"/>
      <c r="D289" s="6"/>
      <c r="E289" s="5"/>
      <c r="F289" s="7" t="str">
        <f>IF($C289="","",IF('설정'!$B$3=0,"",CHOOSE('설정'!$B$3,SUMIFS('RAW_농산물_7월'!$F:$F,'RAW_농산물_7월'!$D:$D,$C289,'RAW_농산물_7월'!$A:$A,$E289),SUMIFS('RAW_농산물_8월'!$F:$F,'RAW_농산물_8월'!$D:$D,$C289,'RAW_농산물_8월'!$A:$A,$E289),SUMIFS('RAW_농산물_9월'!$F:$F,'RAW_농산물_9월'!$D:$D,$C289,'RAW_농산물_9월'!$A:$A,$E289),SUMIFS('RAW_농산물_10월'!$F:$F,'RAW_농산물_10월'!$D:$D,$C289,'RAW_농산물_10월'!$A:$A,$E289),SUMIFS('RAW_농산물_11-12월'!$F:$F,'RAW_농산물_11-12월'!$D:$D,$C289,'RAW_농산물_11-12월'!$A:$A,$E289))))</f>
        <v/>
      </c>
      <c r="G289" s="7" t="str">
        <f>IF($C289="","",IF('설정'!$B$3=0,"",CHOOSE('설정'!$B$3,SUMIFS('RAW_농산물_7월'!$G:$G,'RAW_농산물_7월'!$D:$D,$C289,'RAW_농산물_7월'!$A:$A,$E289),SUMIFS('RAW_농산물_8월'!$G:$G,'RAW_농산물_8월'!$D:$D,$C289,'RAW_농산물_8월'!$A:$A,$E289),SUMIFS('RAW_농산물_9월'!$G:$G,'RAW_농산물_9월'!$D:$D,$C289,'RAW_농산물_9월'!$A:$A,$E289),SUMIFS('RAW_농산물_10월'!$G:$G,'RAW_농산물_10월'!$D:$D,$C289,'RAW_농산물_10월'!$A:$A,$E289),SUMIFS('RAW_농산물_11-12월'!$G:$G,'RAW_농산물_11-12월'!$D:$D,$C289,'RAW_농산물_11-12월'!$A:$A,$E289))))</f>
        <v/>
      </c>
      <c r="H289" s="14" t="str">
        <f>IF($C289="","",IF('설정'!$B$3=0,"",CHOOSE('설정'!$B$3,SUMIFS('RAW_농산물_7월'!$H:$H,'RAW_농산물_7월'!$D:$D,$C289,'RAW_농산물_7월'!$A:$A,$E289),SUMIFS('RAW_농산물_8월'!$H:$H,'RAW_농산물_8월'!$D:$D,$C289,'RAW_농산물_8월'!$A:$A,$E289),SUMIFS('RAW_농산물_9월'!$H:$H,'RAW_농산물_9월'!$D:$D,$C289,'RAW_농산물_9월'!$A:$A,$E289),SUMIFS('RAW_농산물_10월'!$H:$H,'RAW_농산물_10월'!$D:$D,$C289,'RAW_농산물_10월'!$A:$A,$E289),SUMIFS('RAW_농산물_11-12월'!$H:$H,'RAW_농산물_11-12월'!$D:$D,$C289,'RAW_농산물_11-12월'!$A:$A,$E289))))</f>
        <v/>
      </c>
      <c r="I289" s="17" t="str">
        <f>IF($C289="","",IF(COUNTIFS('RAW_농산물_7월'!$D:$D,$C289,'RAW_농산물_7월'!$A:$A,$E289)&gt;0,"O",""))</f>
        <v/>
      </c>
      <c r="J289" s="17" t="str">
        <f>IF($C289="","",IF(COUNTIFS('RAW_농산물_8월'!$D:$D,$C289,'RAW_농산물_8월'!$A:$A,$E289)&gt;0,"O",""))</f>
        <v/>
      </c>
      <c r="K289" s="17" t="str">
        <f>IF($C289="","",IF(COUNTIFS('RAW_농산물_9월'!$D:$D,$C289,'RAW_농산물_9월'!$A:$A,$E289)&gt;0,"O",""))</f>
        <v/>
      </c>
      <c r="L289" s="17" t="str">
        <f>IF($C289="","",IF(COUNTIFS('RAW_농산물_10월'!$D:$D,$C289,'RAW_농산물_10월'!$A:$A,$E289)&gt;0,"O",""))</f>
        <v/>
      </c>
      <c r="M289" s="17" t="str">
        <f>IF($C289="","",IF(COUNTIFS('RAW_농산물_11-12월'!$D:$D,$C289,'RAW_농산물_11-12월'!$A:$A,$E289)&gt;0,"O",""))</f>
        <v/>
      </c>
      <c r="N289" s="7" t="str">
        <f>IF($C289="","",IF(COUNTA('RAW_농산물_7월'!$A:$A)&lt;=1,"",SUMIFS('RAW_농산물_7월'!$H:$H,'RAW_농산물_7월'!$D:$D,$C289,'RAW_농산물_7월'!$A:$A,$E289)))</f>
        <v/>
      </c>
      <c r="O289" s="7" t="str">
        <f>IF($C289="","",IF(COUNTA('RAW_농산물_8월'!$A:$A)&lt;=1,"",SUMIFS('RAW_농산물_8월'!$H:$H,'RAW_농산물_8월'!$D:$D,$C289,'RAW_농산물_8월'!$A:$A,$E289)-SUMIFS('RAW_농산물_7월'!$H:$H,'RAW_농산물_7월'!$D:$D,$C289,'RAW_농산물_7월'!$A:$A,$E289)))</f>
        <v/>
      </c>
      <c r="P289" s="7" t="str">
        <f>IF($C289="","",IF(COUNTA('RAW_농산물_9월'!$A:$A)&lt;=1,"",SUMIFS('RAW_농산물_9월'!$H:$H,'RAW_농산물_9월'!$D:$D,$C289,'RAW_농산물_9월'!$A:$A,$E289)-SUMIFS('RAW_농산물_8월'!$H:$H,'RAW_농산물_8월'!$D:$D,$C289,'RAW_농산물_8월'!$A:$A,$E289)))</f>
        <v/>
      </c>
      <c r="Q289" s="7" t="str">
        <f>IF($C289="","",IF(COUNTA('RAW_농산물_10월'!$A:$A)&lt;=1,"",SUMIFS('RAW_농산물_10월'!$H:$H,'RAW_농산물_10월'!$D:$D,$C289,'RAW_농산물_10월'!$A:$A,$E289)-SUMIFS('RAW_농산물_9월'!$H:$H,'RAW_농산물_9월'!$D:$D,$C289,'RAW_농산물_9월'!$A:$A,$E289)))</f>
        <v/>
      </c>
      <c r="R289" s="7" t="str">
        <f>IF($C289="","",IF(COUNTA('RAW_농산물_11-12월'!$A:$A)&lt;=1,"",SUMIFS('RAW_농산물_11-12월'!$H:$H,'RAW_농산물_11-12월'!$D:$D,$C289,'RAW_농산물_11-12월'!$A:$A,$E289)-SUMIFS('RAW_농산물_10월'!$H:$H,'RAW_농산물_10월'!$D:$D,$C289,'RAW_농산물_10월'!$A:$A,$E289)))</f>
        <v/>
      </c>
      <c r="S289" s="17" t="str">
        <f t="shared" si="4"/>
        <v/>
      </c>
      <c r="T289" s="17" t="str">
        <f t="shared" si="5"/>
        <v/>
      </c>
      <c r="U289" s="7">
        <f>IF($C289="",0,IF('설정'!$B$3=0,0,CHOOSE('설정'!$B$3,COUNTIFS('RAW_농산물_7월'!$D:$D,$C289,'RAW_농산물_7월'!$A:$A,$E289),COUNTIFS('RAW_농산물_8월'!$D:$D,$C289,'RAW_농산물_8월'!$A:$A,$E289),COUNTIFS('RAW_농산물_9월'!$D:$D,$C289,'RAW_농산물_9월'!$A:$A,$E289),COUNTIFS('RAW_농산물_10월'!$D:$D,$C289,'RAW_농산물_10월'!$A:$A,$E289),COUNTIFS('RAW_농산물_11-12월'!$D:$D,$C289,'RAW_농산물_11-12월'!$A:$A,$E289))))</f>
        <v>0</v>
      </c>
    </row>
    <row r="290" ht="15.75" customHeight="1">
      <c r="A290" s="5"/>
      <c r="B290" s="5"/>
      <c r="C290" s="5"/>
      <c r="D290" s="6"/>
      <c r="E290" s="5"/>
      <c r="F290" s="7" t="str">
        <f>IF($C290="","",IF('설정'!$B$3=0,"",CHOOSE('설정'!$B$3,SUMIFS('RAW_농산물_7월'!$F:$F,'RAW_농산물_7월'!$D:$D,$C290,'RAW_농산물_7월'!$A:$A,$E290),SUMIFS('RAW_농산물_8월'!$F:$F,'RAW_농산물_8월'!$D:$D,$C290,'RAW_농산물_8월'!$A:$A,$E290),SUMIFS('RAW_농산물_9월'!$F:$F,'RAW_농산물_9월'!$D:$D,$C290,'RAW_농산물_9월'!$A:$A,$E290),SUMIFS('RAW_농산물_10월'!$F:$F,'RAW_농산물_10월'!$D:$D,$C290,'RAW_농산물_10월'!$A:$A,$E290),SUMIFS('RAW_농산물_11-12월'!$F:$F,'RAW_농산물_11-12월'!$D:$D,$C290,'RAW_농산물_11-12월'!$A:$A,$E290))))</f>
        <v/>
      </c>
      <c r="G290" s="7" t="str">
        <f>IF($C290="","",IF('설정'!$B$3=0,"",CHOOSE('설정'!$B$3,SUMIFS('RAW_농산물_7월'!$G:$G,'RAW_농산물_7월'!$D:$D,$C290,'RAW_농산물_7월'!$A:$A,$E290),SUMIFS('RAW_농산물_8월'!$G:$G,'RAW_농산물_8월'!$D:$D,$C290,'RAW_농산물_8월'!$A:$A,$E290),SUMIFS('RAW_농산물_9월'!$G:$G,'RAW_농산물_9월'!$D:$D,$C290,'RAW_농산물_9월'!$A:$A,$E290),SUMIFS('RAW_농산물_10월'!$G:$G,'RAW_농산물_10월'!$D:$D,$C290,'RAW_농산물_10월'!$A:$A,$E290),SUMIFS('RAW_농산물_11-12월'!$G:$G,'RAW_농산물_11-12월'!$D:$D,$C290,'RAW_농산물_11-12월'!$A:$A,$E290))))</f>
        <v/>
      </c>
      <c r="H290" s="14" t="str">
        <f>IF($C290="","",IF('설정'!$B$3=0,"",CHOOSE('설정'!$B$3,SUMIFS('RAW_농산물_7월'!$H:$H,'RAW_농산물_7월'!$D:$D,$C290,'RAW_농산물_7월'!$A:$A,$E290),SUMIFS('RAW_농산물_8월'!$H:$H,'RAW_농산물_8월'!$D:$D,$C290,'RAW_농산물_8월'!$A:$A,$E290),SUMIFS('RAW_농산물_9월'!$H:$H,'RAW_농산물_9월'!$D:$D,$C290,'RAW_농산물_9월'!$A:$A,$E290),SUMIFS('RAW_농산물_10월'!$H:$H,'RAW_농산물_10월'!$D:$D,$C290,'RAW_농산물_10월'!$A:$A,$E290),SUMIFS('RAW_농산물_11-12월'!$H:$H,'RAW_농산물_11-12월'!$D:$D,$C290,'RAW_농산물_11-12월'!$A:$A,$E290))))</f>
        <v/>
      </c>
      <c r="I290" s="17" t="str">
        <f>IF($C290="","",IF(COUNTIFS('RAW_농산물_7월'!$D:$D,$C290,'RAW_농산물_7월'!$A:$A,$E290)&gt;0,"O",""))</f>
        <v/>
      </c>
      <c r="J290" s="17" t="str">
        <f>IF($C290="","",IF(COUNTIFS('RAW_농산물_8월'!$D:$D,$C290,'RAW_농산물_8월'!$A:$A,$E290)&gt;0,"O",""))</f>
        <v/>
      </c>
      <c r="K290" s="17" t="str">
        <f>IF($C290="","",IF(COUNTIFS('RAW_농산물_9월'!$D:$D,$C290,'RAW_농산물_9월'!$A:$A,$E290)&gt;0,"O",""))</f>
        <v/>
      </c>
      <c r="L290" s="17" t="str">
        <f>IF($C290="","",IF(COUNTIFS('RAW_농산물_10월'!$D:$D,$C290,'RAW_농산물_10월'!$A:$A,$E290)&gt;0,"O",""))</f>
        <v/>
      </c>
      <c r="M290" s="17" t="str">
        <f>IF($C290="","",IF(COUNTIFS('RAW_농산물_11-12월'!$D:$D,$C290,'RAW_농산물_11-12월'!$A:$A,$E290)&gt;0,"O",""))</f>
        <v/>
      </c>
      <c r="N290" s="7" t="str">
        <f>IF($C290="","",IF(COUNTA('RAW_농산물_7월'!$A:$A)&lt;=1,"",SUMIFS('RAW_농산물_7월'!$H:$H,'RAW_농산물_7월'!$D:$D,$C290,'RAW_농산물_7월'!$A:$A,$E290)))</f>
        <v/>
      </c>
      <c r="O290" s="7" t="str">
        <f>IF($C290="","",IF(COUNTA('RAW_농산물_8월'!$A:$A)&lt;=1,"",SUMIFS('RAW_농산물_8월'!$H:$H,'RAW_농산물_8월'!$D:$D,$C290,'RAW_농산물_8월'!$A:$A,$E290)-SUMIFS('RAW_농산물_7월'!$H:$H,'RAW_농산물_7월'!$D:$D,$C290,'RAW_농산물_7월'!$A:$A,$E290)))</f>
        <v/>
      </c>
      <c r="P290" s="7" t="str">
        <f>IF($C290="","",IF(COUNTA('RAW_농산물_9월'!$A:$A)&lt;=1,"",SUMIFS('RAW_농산물_9월'!$H:$H,'RAW_농산물_9월'!$D:$D,$C290,'RAW_농산물_9월'!$A:$A,$E290)-SUMIFS('RAW_농산물_8월'!$H:$H,'RAW_농산물_8월'!$D:$D,$C290,'RAW_농산물_8월'!$A:$A,$E290)))</f>
        <v/>
      </c>
      <c r="Q290" s="7" t="str">
        <f>IF($C290="","",IF(COUNTA('RAW_농산물_10월'!$A:$A)&lt;=1,"",SUMIFS('RAW_농산물_10월'!$H:$H,'RAW_농산물_10월'!$D:$D,$C290,'RAW_농산물_10월'!$A:$A,$E290)-SUMIFS('RAW_농산물_9월'!$H:$H,'RAW_농산물_9월'!$D:$D,$C290,'RAW_농산물_9월'!$A:$A,$E290)))</f>
        <v/>
      </c>
      <c r="R290" s="7" t="str">
        <f>IF($C290="","",IF(COUNTA('RAW_농산물_11-12월'!$A:$A)&lt;=1,"",SUMIFS('RAW_농산물_11-12월'!$H:$H,'RAW_농산물_11-12월'!$D:$D,$C290,'RAW_농산물_11-12월'!$A:$A,$E290)-SUMIFS('RAW_농산물_10월'!$H:$H,'RAW_농산물_10월'!$D:$D,$C290,'RAW_농산물_10월'!$A:$A,$E290)))</f>
        <v/>
      </c>
      <c r="S290" s="17" t="str">
        <f t="shared" si="4"/>
        <v/>
      </c>
      <c r="T290" s="17" t="str">
        <f t="shared" si="5"/>
        <v/>
      </c>
      <c r="U290" s="7">
        <f>IF($C290="",0,IF('설정'!$B$3=0,0,CHOOSE('설정'!$B$3,COUNTIFS('RAW_농산물_7월'!$D:$D,$C290,'RAW_농산물_7월'!$A:$A,$E290),COUNTIFS('RAW_농산물_8월'!$D:$D,$C290,'RAW_농산물_8월'!$A:$A,$E290),COUNTIFS('RAW_농산물_9월'!$D:$D,$C290,'RAW_농산물_9월'!$A:$A,$E290),COUNTIFS('RAW_농산물_10월'!$D:$D,$C290,'RAW_농산물_10월'!$A:$A,$E290),COUNTIFS('RAW_농산물_11-12월'!$D:$D,$C290,'RAW_농산물_11-12월'!$A:$A,$E290))))</f>
        <v>0</v>
      </c>
    </row>
    <row r="291" ht="15.75" customHeight="1">
      <c r="A291" s="5"/>
      <c r="B291" s="5"/>
      <c r="C291" s="5"/>
      <c r="D291" s="6"/>
      <c r="E291" s="5"/>
      <c r="F291" s="7" t="str">
        <f>IF($C291="","",IF('설정'!$B$3=0,"",CHOOSE('설정'!$B$3,SUMIFS('RAW_농산물_7월'!$F:$F,'RAW_농산물_7월'!$D:$D,$C291,'RAW_농산물_7월'!$A:$A,$E291),SUMIFS('RAW_농산물_8월'!$F:$F,'RAW_농산물_8월'!$D:$D,$C291,'RAW_농산물_8월'!$A:$A,$E291),SUMIFS('RAW_농산물_9월'!$F:$F,'RAW_농산물_9월'!$D:$D,$C291,'RAW_농산물_9월'!$A:$A,$E291),SUMIFS('RAW_농산물_10월'!$F:$F,'RAW_농산물_10월'!$D:$D,$C291,'RAW_농산물_10월'!$A:$A,$E291),SUMIFS('RAW_농산물_11-12월'!$F:$F,'RAW_농산물_11-12월'!$D:$D,$C291,'RAW_농산물_11-12월'!$A:$A,$E291))))</f>
        <v/>
      </c>
      <c r="G291" s="7" t="str">
        <f>IF($C291="","",IF('설정'!$B$3=0,"",CHOOSE('설정'!$B$3,SUMIFS('RAW_농산물_7월'!$G:$G,'RAW_농산물_7월'!$D:$D,$C291,'RAW_농산물_7월'!$A:$A,$E291),SUMIFS('RAW_농산물_8월'!$G:$G,'RAW_농산물_8월'!$D:$D,$C291,'RAW_농산물_8월'!$A:$A,$E291),SUMIFS('RAW_농산물_9월'!$G:$G,'RAW_농산물_9월'!$D:$D,$C291,'RAW_농산물_9월'!$A:$A,$E291),SUMIFS('RAW_농산물_10월'!$G:$G,'RAW_농산물_10월'!$D:$D,$C291,'RAW_농산물_10월'!$A:$A,$E291),SUMIFS('RAW_농산물_11-12월'!$G:$G,'RAW_농산물_11-12월'!$D:$D,$C291,'RAW_농산물_11-12월'!$A:$A,$E291))))</f>
        <v/>
      </c>
      <c r="H291" s="14" t="str">
        <f>IF($C291="","",IF('설정'!$B$3=0,"",CHOOSE('설정'!$B$3,SUMIFS('RAW_농산물_7월'!$H:$H,'RAW_농산물_7월'!$D:$D,$C291,'RAW_농산물_7월'!$A:$A,$E291),SUMIFS('RAW_농산물_8월'!$H:$H,'RAW_농산물_8월'!$D:$D,$C291,'RAW_농산물_8월'!$A:$A,$E291),SUMIFS('RAW_농산물_9월'!$H:$H,'RAW_농산물_9월'!$D:$D,$C291,'RAW_농산물_9월'!$A:$A,$E291),SUMIFS('RAW_농산물_10월'!$H:$H,'RAW_농산물_10월'!$D:$D,$C291,'RAW_농산물_10월'!$A:$A,$E291),SUMIFS('RAW_농산물_11-12월'!$H:$H,'RAW_농산물_11-12월'!$D:$D,$C291,'RAW_농산물_11-12월'!$A:$A,$E291))))</f>
        <v/>
      </c>
      <c r="I291" s="17" t="str">
        <f>IF($C291="","",IF(COUNTIFS('RAW_농산물_7월'!$D:$D,$C291,'RAW_농산물_7월'!$A:$A,$E291)&gt;0,"O",""))</f>
        <v/>
      </c>
      <c r="J291" s="17" t="str">
        <f>IF($C291="","",IF(COUNTIFS('RAW_농산물_8월'!$D:$D,$C291,'RAW_농산물_8월'!$A:$A,$E291)&gt;0,"O",""))</f>
        <v/>
      </c>
      <c r="K291" s="17" t="str">
        <f>IF($C291="","",IF(COUNTIFS('RAW_농산물_9월'!$D:$D,$C291,'RAW_농산물_9월'!$A:$A,$E291)&gt;0,"O",""))</f>
        <v/>
      </c>
      <c r="L291" s="17" t="str">
        <f>IF($C291="","",IF(COUNTIFS('RAW_농산물_10월'!$D:$D,$C291,'RAW_농산물_10월'!$A:$A,$E291)&gt;0,"O",""))</f>
        <v/>
      </c>
      <c r="M291" s="17" t="str">
        <f>IF($C291="","",IF(COUNTIFS('RAW_농산물_11-12월'!$D:$D,$C291,'RAW_농산물_11-12월'!$A:$A,$E291)&gt;0,"O",""))</f>
        <v/>
      </c>
      <c r="N291" s="7" t="str">
        <f>IF($C291="","",IF(COUNTA('RAW_농산물_7월'!$A:$A)&lt;=1,"",SUMIFS('RAW_농산물_7월'!$H:$H,'RAW_농산물_7월'!$D:$D,$C291,'RAW_농산물_7월'!$A:$A,$E291)))</f>
        <v/>
      </c>
      <c r="O291" s="7" t="str">
        <f>IF($C291="","",IF(COUNTA('RAW_농산물_8월'!$A:$A)&lt;=1,"",SUMIFS('RAW_농산물_8월'!$H:$H,'RAW_농산물_8월'!$D:$D,$C291,'RAW_농산물_8월'!$A:$A,$E291)-SUMIFS('RAW_농산물_7월'!$H:$H,'RAW_농산물_7월'!$D:$D,$C291,'RAW_농산물_7월'!$A:$A,$E291)))</f>
        <v/>
      </c>
      <c r="P291" s="7" t="str">
        <f>IF($C291="","",IF(COUNTA('RAW_농산물_9월'!$A:$A)&lt;=1,"",SUMIFS('RAW_농산물_9월'!$H:$H,'RAW_농산물_9월'!$D:$D,$C291,'RAW_농산물_9월'!$A:$A,$E291)-SUMIFS('RAW_농산물_8월'!$H:$H,'RAW_농산물_8월'!$D:$D,$C291,'RAW_농산물_8월'!$A:$A,$E291)))</f>
        <v/>
      </c>
      <c r="Q291" s="7" t="str">
        <f>IF($C291="","",IF(COUNTA('RAW_농산물_10월'!$A:$A)&lt;=1,"",SUMIFS('RAW_농산물_10월'!$H:$H,'RAW_농산물_10월'!$D:$D,$C291,'RAW_농산물_10월'!$A:$A,$E291)-SUMIFS('RAW_농산물_9월'!$H:$H,'RAW_농산물_9월'!$D:$D,$C291,'RAW_농산물_9월'!$A:$A,$E291)))</f>
        <v/>
      </c>
      <c r="R291" s="7" t="str">
        <f>IF($C291="","",IF(COUNTA('RAW_농산물_11-12월'!$A:$A)&lt;=1,"",SUMIFS('RAW_농산물_11-12월'!$H:$H,'RAW_농산물_11-12월'!$D:$D,$C291,'RAW_농산물_11-12월'!$A:$A,$E291)-SUMIFS('RAW_농산물_10월'!$H:$H,'RAW_농산물_10월'!$D:$D,$C291,'RAW_농산물_10월'!$A:$A,$E291)))</f>
        <v/>
      </c>
      <c r="S291" s="17" t="str">
        <f t="shared" si="4"/>
        <v/>
      </c>
      <c r="T291" s="17" t="str">
        <f t="shared" si="5"/>
        <v/>
      </c>
      <c r="U291" s="7">
        <f>IF($C291="",0,IF('설정'!$B$3=0,0,CHOOSE('설정'!$B$3,COUNTIFS('RAW_농산물_7월'!$D:$D,$C291,'RAW_농산물_7월'!$A:$A,$E291),COUNTIFS('RAW_농산물_8월'!$D:$D,$C291,'RAW_농산물_8월'!$A:$A,$E291),COUNTIFS('RAW_농산물_9월'!$D:$D,$C291,'RAW_농산물_9월'!$A:$A,$E291),COUNTIFS('RAW_농산물_10월'!$D:$D,$C291,'RAW_농산물_10월'!$A:$A,$E291),COUNTIFS('RAW_농산물_11-12월'!$D:$D,$C291,'RAW_농산물_11-12월'!$A:$A,$E291))))</f>
        <v>0</v>
      </c>
    </row>
    <row r="292" ht="15.75" customHeight="1">
      <c r="A292" s="5"/>
      <c r="B292" s="5"/>
      <c r="C292" s="5"/>
      <c r="D292" s="6"/>
      <c r="E292" s="5"/>
      <c r="F292" s="7" t="str">
        <f>IF($C292="","",IF('설정'!$B$3=0,"",CHOOSE('설정'!$B$3,SUMIFS('RAW_농산물_7월'!$F:$F,'RAW_농산물_7월'!$D:$D,$C292,'RAW_농산물_7월'!$A:$A,$E292),SUMIFS('RAW_농산물_8월'!$F:$F,'RAW_농산물_8월'!$D:$D,$C292,'RAW_농산물_8월'!$A:$A,$E292),SUMIFS('RAW_농산물_9월'!$F:$F,'RAW_농산물_9월'!$D:$D,$C292,'RAW_농산물_9월'!$A:$A,$E292),SUMIFS('RAW_농산물_10월'!$F:$F,'RAW_농산물_10월'!$D:$D,$C292,'RAW_농산물_10월'!$A:$A,$E292),SUMIFS('RAW_농산물_11-12월'!$F:$F,'RAW_농산물_11-12월'!$D:$D,$C292,'RAW_농산물_11-12월'!$A:$A,$E292))))</f>
        <v/>
      </c>
      <c r="G292" s="7" t="str">
        <f>IF($C292="","",IF('설정'!$B$3=0,"",CHOOSE('설정'!$B$3,SUMIFS('RAW_농산물_7월'!$G:$G,'RAW_농산물_7월'!$D:$D,$C292,'RAW_농산물_7월'!$A:$A,$E292),SUMIFS('RAW_농산물_8월'!$G:$G,'RAW_농산물_8월'!$D:$D,$C292,'RAW_농산물_8월'!$A:$A,$E292),SUMIFS('RAW_농산물_9월'!$G:$G,'RAW_농산물_9월'!$D:$D,$C292,'RAW_농산물_9월'!$A:$A,$E292),SUMIFS('RAW_농산물_10월'!$G:$G,'RAW_농산물_10월'!$D:$D,$C292,'RAW_농산물_10월'!$A:$A,$E292),SUMIFS('RAW_농산물_11-12월'!$G:$G,'RAW_농산물_11-12월'!$D:$D,$C292,'RAW_농산물_11-12월'!$A:$A,$E292))))</f>
        <v/>
      </c>
      <c r="H292" s="14" t="str">
        <f>IF($C292="","",IF('설정'!$B$3=0,"",CHOOSE('설정'!$B$3,SUMIFS('RAW_농산물_7월'!$H:$H,'RAW_농산물_7월'!$D:$D,$C292,'RAW_농산물_7월'!$A:$A,$E292),SUMIFS('RAW_농산물_8월'!$H:$H,'RAW_농산물_8월'!$D:$D,$C292,'RAW_농산물_8월'!$A:$A,$E292),SUMIFS('RAW_농산물_9월'!$H:$H,'RAW_농산물_9월'!$D:$D,$C292,'RAW_농산물_9월'!$A:$A,$E292),SUMIFS('RAW_농산물_10월'!$H:$H,'RAW_농산물_10월'!$D:$D,$C292,'RAW_농산물_10월'!$A:$A,$E292),SUMIFS('RAW_농산물_11-12월'!$H:$H,'RAW_농산물_11-12월'!$D:$D,$C292,'RAW_농산물_11-12월'!$A:$A,$E292))))</f>
        <v/>
      </c>
      <c r="I292" s="17" t="str">
        <f>IF($C292="","",IF(COUNTIFS('RAW_농산물_7월'!$D:$D,$C292,'RAW_농산물_7월'!$A:$A,$E292)&gt;0,"O",""))</f>
        <v/>
      </c>
      <c r="J292" s="17" t="str">
        <f>IF($C292="","",IF(COUNTIFS('RAW_농산물_8월'!$D:$D,$C292,'RAW_농산물_8월'!$A:$A,$E292)&gt;0,"O",""))</f>
        <v/>
      </c>
      <c r="K292" s="17" t="str">
        <f>IF($C292="","",IF(COUNTIFS('RAW_농산물_9월'!$D:$D,$C292,'RAW_농산물_9월'!$A:$A,$E292)&gt;0,"O",""))</f>
        <v/>
      </c>
      <c r="L292" s="17" t="str">
        <f>IF($C292="","",IF(COUNTIFS('RAW_농산물_10월'!$D:$D,$C292,'RAW_농산물_10월'!$A:$A,$E292)&gt;0,"O",""))</f>
        <v/>
      </c>
      <c r="M292" s="17" t="str">
        <f>IF($C292="","",IF(COUNTIFS('RAW_농산물_11-12월'!$D:$D,$C292,'RAW_농산물_11-12월'!$A:$A,$E292)&gt;0,"O",""))</f>
        <v/>
      </c>
      <c r="N292" s="7" t="str">
        <f>IF($C292="","",IF(COUNTA('RAW_농산물_7월'!$A:$A)&lt;=1,"",SUMIFS('RAW_농산물_7월'!$H:$H,'RAW_농산물_7월'!$D:$D,$C292,'RAW_농산물_7월'!$A:$A,$E292)))</f>
        <v/>
      </c>
      <c r="O292" s="7" t="str">
        <f>IF($C292="","",IF(COUNTA('RAW_농산물_8월'!$A:$A)&lt;=1,"",SUMIFS('RAW_농산물_8월'!$H:$H,'RAW_농산물_8월'!$D:$D,$C292,'RAW_농산물_8월'!$A:$A,$E292)-SUMIFS('RAW_농산물_7월'!$H:$H,'RAW_농산물_7월'!$D:$D,$C292,'RAW_농산물_7월'!$A:$A,$E292)))</f>
        <v/>
      </c>
      <c r="P292" s="7" t="str">
        <f>IF($C292="","",IF(COUNTA('RAW_농산물_9월'!$A:$A)&lt;=1,"",SUMIFS('RAW_농산물_9월'!$H:$H,'RAW_농산물_9월'!$D:$D,$C292,'RAW_농산물_9월'!$A:$A,$E292)-SUMIFS('RAW_농산물_8월'!$H:$H,'RAW_농산물_8월'!$D:$D,$C292,'RAW_농산물_8월'!$A:$A,$E292)))</f>
        <v/>
      </c>
      <c r="Q292" s="7" t="str">
        <f>IF($C292="","",IF(COUNTA('RAW_농산물_10월'!$A:$A)&lt;=1,"",SUMIFS('RAW_농산물_10월'!$H:$H,'RAW_농산물_10월'!$D:$D,$C292,'RAW_농산물_10월'!$A:$A,$E292)-SUMIFS('RAW_농산물_9월'!$H:$H,'RAW_농산물_9월'!$D:$D,$C292,'RAW_농산물_9월'!$A:$A,$E292)))</f>
        <v/>
      </c>
      <c r="R292" s="7" t="str">
        <f>IF($C292="","",IF(COUNTA('RAW_농산물_11-12월'!$A:$A)&lt;=1,"",SUMIFS('RAW_농산물_11-12월'!$H:$H,'RAW_농산물_11-12월'!$D:$D,$C292,'RAW_농산물_11-12월'!$A:$A,$E292)-SUMIFS('RAW_농산물_10월'!$H:$H,'RAW_농산물_10월'!$D:$D,$C292,'RAW_농산물_10월'!$A:$A,$E292)))</f>
        <v/>
      </c>
      <c r="S292" s="17" t="str">
        <f t="shared" si="4"/>
        <v/>
      </c>
      <c r="T292" s="17" t="str">
        <f t="shared" si="5"/>
        <v/>
      </c>
      <c r="U292" s="7">
        <f>IF($C292="",0,IF('설정'!$B$3=0,0,CHOOSE('설정'!$B$3,COUNTIFS('RAW_농산물_7월'!$D:$D,$C292,'RAW_농산물_7월'!$A:$A,$E292),COUNTIFS('RAW_농산물_8월'!$D:$D,$C292,'RAW_농산물_8월'!$A:$A,$E292),COUNTIFS('RAW_농산물_9월'!$D:$D,$C292,'RAW_농산물_9월'!$A:$A,$E292),COUNTIFS('RAW_농산물_10월'!$D:$D,$C292,'RAW_농산물_10월'!$A:$A,$E292),COUNTIFS('RAW_농산물_11-12월'!$D:$D,$C292,'RAW_농산물_11-12월'!$A:$A,$E292))))</f>
        <v>0</v>
      </c>
    </row>
    <row r="293" ht="15.75" customHeight="1">
      <c r="A293" s="5"/>
      <c r="B293" s="5"/>
      <c r="C293" s="5"/>
      <c r="D293" s="6"/>
      <c r="E293" s="5"/>
      <c r="F293" s="7" t="str">
        <f>IF($C293="","",IF('설정'!$B$3=0,"",CHOOSE('설정'!$B$3,SUMIFS('RAW_농산물_7월'!$F:$F,'RAW_농산물_7월'!$D:$D,$C293,'RAW_농산물_7월'!$A:$A,$E293),SUMIFS('RAW_농산물_8월'!$F:$F,'RAW_농산물_8월'!$D:$D,$C293,'RAW_농산물_8월'!$A:$A,$E293),SUMIFS('RAW_농산물_9월'!$F:$F,'RAW_농산물_9월'!$D:$D,$C293,'RAW_농산물_9월'!$A:$A,$E293),SUMIFS('RAW_농산물_10월'!$F:$F,'RAW_농산물_10월'!$D:$D,$C293,'RAW_농산물_10월'!$A:$A,$E293),SUMIFS('RAW_농산물_11-12월'!$F:$F,'RAW_농산물_11-12월'!$D:$D,$C293,'RAW_농산물_11-12월'!$A:$A,$E293))))</f>
        <v/>
      </c>
      <c r="G293" s="7" t="str">
        <f>IF($C293="","",IF('설정'!$B$3=0,"",CHOOSE('설정'!$B$3,SUMIFS('RAW_농산물_7월'!$G:$G,'RAW_농산물_7월'!$D:$D,$C293,'RAW_농산물_7월'!$A:$A,$E293),SUMIFS('RAW_농산물_8월'!$G:$G,'RAW_농산물_8월'!$D:$D,$C293,'RAW_농산물_8월'!$A:$A,$E293),SUMIFS('RAW_농산물_9월'!$G:$G,'RAW_농산물_9월'!$D:$D,$C293,'RAW_농산물_9월'!$A:$A,$E293),SUMIFS('RAW_농산물_10월'!$G:$G,'RAW_농산물_10월'!$D:$D,$C293,'RAW_농산물_10월'!$A:$A,$E293),SUMIFS('RAW_농산물_11-12월'!$G:$G,'RAW_농산물_11-12월'!$D:$D,$C293,'RAW_농산물_11-12월'!$A:$A,$E293))))</f>
        <v/>
      </c>
      <c r="H293" s="14" t="str">
        <f>IF($C293="","",IF('설정'!$B$3=0,"",CHOOSE('설정'!$B$3,SUMIFS('RAW_농산물_7월'!$H:$H,'RAW_농산물_7월'!$D:$D,$C293,'RAW_농산물_7월'!$A:$A,$E293),SUMIFS('RAW_농산물_8월'!$H:$H,'RAW_농산물_8월'!$D:$D,$C293,'RAW_농산물_8월'!$A:$A,$E293),SUMIFS('RAW_농산물_9월'!$H:$H,'RAW_농산물_9월'!$D:$D,$C293,'RAW_농산물_9월'!$A:$A,$E293),SUMIFS('RAW_농산물_10월'!$H:$H,'RAW_농산물_10월'!$D:$D,$C293,'RAW_농산물_10월'!$A:$A,$E293),SUMIFS('RAW_농산물_11-12월'!$H:$H,'RAW_농산물_11-12월'!$D:$D,$C293,'RAW_농산물_11-12월'!$A:$A,$E293))))</f>
        <v/>
      </c>
      <c r="I293" s="17" t="str">
        <f>IF($C293="","",IF(COUNTIFS('RAW_농산물_7월'!$D:$D,$C293,'RAW_농산물_7월'!$A:$A,$E293)&gt;0,"O",""))</f>
        <v/>
      </c>
      <c r="J293" s="17" t="str">
        <f>IF($C293="","",IF(COUNTIFS('RAW_농산물_8월'!$D:$D,$C293,'RAW_농산물_8월'!$A:$A,$E293)&gt;0,"O",""))</f>
        <v/>
      </c>
      <c r="K293" s="17" t="str">
        <f>IF($C293="","",IF(COUNTIFS('RAW_농산물_9월'!$D:$D,$C293,'RAW_농산물_9월'!$A:$A,$E293)&gt;0,"O",""))</f>
        <v/>
      </c>
      <c r="L293" s="17" t="str">
        <f>IF($C293="","",IF(COUNTIFS('RAW_농산물_10월'!$D:$D,$C293,'RAW_농산물_10월'!$A:$A,$E293)&gt;0,"O",""))</f>
        <v/>
      </c>
      <c r="M293" s="17" t="str">
        <f>IF($C293="","",IF(COUNTIFS('RAW_농산물_11-12월'!$D:$D,$C293,'RAW_농산물_11-12월'!$A:$A,$E293)&gt;0,"O",""))</f>
        <v/>
      </c>
      <c r="N293" s="7" t="str">
        <f>IF($C293="","",IF(COUNTA('RAW_농산물_7월'!$A:$A)&lt;=1,"",SUMIFS('RAW_농산물_7월'!$H:$H,'RAW_농산물_7월'!$D:$D,$C293,'RAW_농산물_7월'!$A:$A,$E293)))</f>
        <v/>
      </c>
      <c r="O293" s="7" t="str">
        <f>IF($C293="","",IF(COUNTA('RAW_농산물_8월'!$A:$A)&lt;=1,"",SUMIFS('RAW_농산물_8월'!$H:$H,'RAW_농산물_8월'!$D:$D,$C293,'RAW_농산물_8월'!$A:$A,$E293)-SUMIFS('RAW_농산물_7월'!$H:$H,'RAW_농산물_7월'!$D:$D,$C293,'RAW_농산물_7월'!$A:$A,$E293)))</f>
        <v/>
      </c>
      <c r="P293" s="7" t="str">
        <f>IF($C293="","",IF(COUNTA('RAW_농산물_9월'!$A:$A)&lt;=1,"",SUMIFS('RAW_농산물_9월'!$H:$H,'RAW_농산물_9월'!$D:$D,$C293,'RAW_농산물_9월'!$A:$A,$E293)-SUMIFS('RAW_농산물_8월'!$H:$H,'RAW_농산물_8월'!$D:$D,$C293,'RAW_농산물_8월'!$A:$A,$E293)))</f>
        <v/>
      </c>
      <c r="Q293" s="7" t="str">
        <f>IF($C293="","",IF(COUNTA('RAW_농산물_10월'!$A:$A)&lt;=1,"",SUMIFS('RAW_농산물_10월'!$H:$H,'RAW_농산물_10월'!$D:$D,$C293,'RAW_농산물_10월'!$A:$A,$E293)-SUMIFS('RAW_농산물_9월'!$H:$H,'RAW_농산물_9월'!$D:$D,$C293,'RAW_농산물_9월'!$A:$A,$E293)))</f>
        <v/>
      </c>
      <c r="R293" s="7" t="str">
        <f>IF($C293="","",IF(COUNTA('RAW_농산물_11-12월'!$A:$A)&lt;=1,"",SUMIFS('RAW_농산물_11-12월'!$H:$H,'RAW_농산물_11-12월'!$D:$D,$C293,'RAW_농산물_11-12월'!$A:$A,$E293)-SUMIFS('RAW_농산물_10월'!$H:$H,'RAW_농산물_10월'!$D:$D,$C293,'RAW_농산물_10월'!$A:$A,$E293)))</f>
        <v/>
      </c>
      <c r="S293" s="17" t="str">
        <f t="shared" si="4"/>
        <v/>
      </c>
      <c r="T293" s="17" t="str">
        <f t="shared" si="5"/>
        <v/>
      </c>
      <c r="U293" s="7">
        <f>IF($C293="",0,IF('설정'!$B$3=0,0,CHOOSE('설정'!$B$3,COUNTIFS('RAW_농산물_7월'!$D:$D,$C293,'RAW_농산물_7월'!$A:$A,$E293),COUNTIFS('RAW_농산물_8월'!$D:$D,$C293,'RAW_농산물_8월'!$A:$A,$E293),COUNTIFS('RAW_농산물_9월'!$D:$D,$C293,'RAW_농산물_9월'!$A:$A,$E293),COUNTIFS('RAW_농산물_10월'!$D:$D,$C293,'RAW_농산물_10월'!$A:$A,$E293),COUNTIFS('RAW_농산물_11-12월'!$D:$D,$C293,'RAW_농산물_11-12월'!$A:$A,$E293))))</f>
        <v>0</v>
      </c>
    </row>
    <row r="294" ht="15.75" customHeight="1">
      <c r="A294" s="5"/>
      <c r="B294" s="5"/>
      <c r="C294" s="5"/>
      <c r="D294" s="6"/>
      <c r="E294" s="5"/>
      <c r="F294" s="7" t="str">
        <f>IF($C294="","",IF('설정'!$B$3=0,"",CHOOSE('설정'!$B$3,SUMIFS('RAW_농산물_7월'!$F:$F,'RAW_농산물_7월'!$D:$D,$C294,'RAW_농산물_7월'!$A:$A,$E294),SUMIFS('RAW_농산물_8월'!$F:$F,'RAW_농산물_8월'!$D:$D,$C294,'RAW_농산물_8월'!$A:$A,$E294),SUMIFS('RAW_농산물_9월'!$F:$F,'RAW_농산물_9월'!$D:$D,$C294,'RAW_농산물_9월'!$A:$A,$E294),SUMIFS('RAW_농산물_10월'!$F:$F,'RAW_농산물_10월'!$D:$D,$C294,'RAW_농산물_10월'!$A:$A,$E294),SUMIFS('RAW_농산물_11-12월'!$F:$F,'RAW_농산물_11-12월'!$D:$D,$C294,'RAW_농산물_11-12월'!$A:$A,$E294))))</f>
        <v/>
      </c>
      <c r="G294" s="7" t="str">
        <f>IF($C294="","",IF('설정'!$B$3=0,"",CHOOSE('설정'!$B$3,SUMIFS('RAW_농산물_7월'!$G:$G,'RAW_농산물_7월'!$D:$D,$C294,'RAW_농산물_7월'!$A:$A,$E294),SUMIFS('RAW_농산물_8월'!$G:$G,'RAW_농산물_8월'!$D:$D,$C294,'RAW_농산물_8월'!$A:$A,$E294),SUMIFS('RAW_농산물_9월'!$G:$G,'RAW_농산물_9월'!$D:$D,$C294,'RAW_농산물_9월'!$A:$A,$E294),SUMIFS('RAW_농산물_10월'!$G:$G,'RAW_농산물_10월'!$D:$D,$C294,'RAW_농산물_10월'!$A:$A,$E294),SUMIFS('RAW_농산물_11-12월'!$G:$G,'RAW_농산물_11-12월'!$D:$D,$C294,'RAW_농산물_11-12월'!$A:$A,$E294))))</f>
        <v/>
      </c>
      <c r="H294" s="14" t="str">
        <f>IF($C294="","",IF('설정'!$B$3=0,"",CHOOSE('설정'!$B$3,SUMIFS('RAW_농산물_7월'!$H:$H,'RAW_농산물_7월'!$D:$D,$C294,'RAW_농산물_7월'!$A:$A,$E294),SUMIFS('RAW_농산물_8월'!$H:$H,'RAW_농산물_8월'!$D:$D,$C294,'RAW_농산물_8월'!$A:$A,$E294),SUMIFS('RAW_농산물_9월'!$H:$H,'RAW_농산물_9월'!$D:$D,$C294,'RAW_농산물_9월'!$A:$A,$E294),SUMIFS('RAW_농산물_10월'!$H:$H,'RAW_농산물_10월'!$D:$D,$C294,'RAW_농산물_10월'!$A:$A,$E294),SUMIFS('RAW_농산물_11-12월'!$H:$H,'RAW_농산물_11-12월'!$D:$D,$C294,'RAW_농산물_11-12월'!$A:$A,$E294))))</f>
        <v/>
      </c>
      <c r="I294" s="17" t="str">
        <f>IF($C294="","",IF(COUNTIFS('RAW_농산물_7월'!$D:$D,$C294,'RAW_농산물_7월'!$A:$A,$E294)&gt;0,"O",""))</f>
        <v/>
      </c>
      <c r="J294" s="17" t="str">
        <f>IF($C294="","",IF(COUNTIFS('RAW_농산물_8월'!$D:$D,$C294,'RAW_농산물_8월'!$A:$A,$E294)&gt;0,"O",""))</f>
        <v/>
      </c>
      <c r="K294" s="17" t="str">
        <f>IF($C294="","",IF(COUNTIFS('RAW_농산물_9월'!$D:$D,$C294,'RAW_농산물_9월'!$A:$A,$E294)&gt;0,"O",""))</f>
        <v/>
      </c>
      <c r="L294" s="17" t="str">
        <f>IF($C294="","",IF(COUNTIFS('RAW_농산물_10월'!$D:$D,$C294,'RAW_농산물_10월'!$A:$A,$E294)&gt;0,"O",""))</f>
        <v/>
      </c>
      <c r="M294" s="17" t="str">
        <f>IF($C294="","",IF(COUNTIFS('RAW_농산물_11-12월'!$D:$D,$C294,'RAW_농산물_11-12월'!$A:$A,$E294)&gt;0,"O",""))</f>
        <v/>
      </c>
      <c r="N294" s="7" t="str">
        <f>IF($C294="","",IF(COUNTA('RAW_농산물_7월'!$A:$A)&lt;=1,"",SUMIFS('RAW_농산물_7월'!$H:$H,'RAW_농산물_7월'!$D:$D,$C294,'RAW_농산물_7월'!$A:$A,$E294)))</f>
        <v/>
      </c>
      <c r="O294" s="7" t="str">
        <f>IF($C294="","",IF(COUNTA('RAW_농산물_8월'!$A:$A)&lt;=1,"",SUMIFS('RAW_농산물_8월'!$H:$H,'RAW_농산물_8월'!$D:$D,$C294,'RAW_농산물_8월'!$A:$A,$E294)-SUMIFS('RAW_농산물_7월'!$H:$H,'RAW_농산물_7월'!$D:$D,$C294,'RAW_농산물_7월'!$A:$A,$E294)))</f>
        <v/>
      </c>
      <c r="P294" s="7" t="str">
        <f>IF($C294="","",IF(COUNTA('RAW_농산물_9월'!$A:$A)&lt;=1,"",SUMIFS('RAW_농산물_9월'!$H:$H,'RAW_농산물_9월'!$D:$D,$C294,'RAW_농산물_9월'!$A:$A,$E294)-SUMIFS('RAW_농산물_8월'!$H:$H,'RAW_농산물_8월'!$D:$D,$C294,'RAW_농산물_8월'!$A:$A,$E294)))</f>
        <v/>
      </c>
      <c r="Q294" s="7" t="str">
        <f>IF($C294="","",IF(COUNTA('RAW_농산물_10월'!$A:$A)&lt;=1,"",SUMIFS('RAW_농산물_10월'!$H:$H,'RAW_농산물_10월'!$D:$D,$C294,'RAW_농산물_10월'!$A:$A,$E294)-SUMIFS('RAW_농산물_9월'!$H:$H,'RAW_농산물_9월'!$D:$D,$C294,'RAW_농산물_9월'!$A:$A,$E294)))</f>
        <v/>
      </c>
      <c r="R294" s="7" t="str">
        <f>IF($C294="","",IF(COUNTA('RAW_농산물_11-12월'!$A:$A)&lt;=1,"",SUMIFS('RAW_농산물_11-12월'!$H:$H,'RAW_농산물_11-12월'!$D:$D,$C294,'RAW_농산물_11-12월'!$A:$A,$E294)-SUMIFS('RAW_농산물_10월'!$H:$H,'RAW_농산물_10월'!$D:$D,$C294,'RAW_농산물_10월'!$A:$A,$E294)))</f>
        <v/>
      </c>
      <c r="S294" s="17" t="str">
        <f t="shared" si="4"/>
        <v/>
      </c>
      <c r="T294" s="17" t="str">
        <f t="shared" si="5"/>
        <v/>
      </c>
      <c r="U294" s="7">
        <f>IF($C294="",0,IF('설정'!$B$3=0,0,CHOOSE('설정'!$B$3,COUNTIFS('RAW_농산물_7월'!$D:$D,$C294,'RAW_농산물_7월'!$A:$A,$E294),COUNTIFS('RAW_농산물_8월'!$D:$D,$C294,'RAW_농산물_8월'!$A:$A,$E294),COUNTIFS('RAW_농산물_9월'!$D:$D,$C294,'RAW_농산물_9월'!$A:$A,$E294),COUNTIFS('RAW_농산물_10월'!$D:$D,$C294,'RAW_농산물_10월'!$A:$A,$E294),COUNTIFS('RAW_농산물_11-12월'!$D:$D,$C294,'RAW_농산물_11-12월'!$A:$A,$E294))))</f>
        <v>0</v>
      </c>
    </row>
    <row r="295" ht="15.75" customHeight="1">
      <c r="A295" s="5"/>
      <c r="B295" s="5"/>
      <c r="C295" s="5"/>
      <c r="D295" s="6"/>
      <c r="E295" s="5"/>
      <c r="F295" s="7" t="str">
        <f>IF($C295="","",IF('설정'!$B$3=0,"",CHOOSE('설정'!$B$3,SUMIFS('RAW_농산물_7월'!$F:$F,'RAW_농산물_7월'!$D:$D,$C295,'RAW_농산물_7월'!$A:$A,$E295),SUMIFS('RAW_농산물_8월'!$F:$F,'RAW_농산물_8월'!$D:$D,$C295,'RAW_농산물_8월'!$A:$A,$E295),SUMIFS('RAW_농산물_9월'!$F:$F,'RAW_농산물_9월'!$D:$D,$C295,'RAW_농산물_9월'!$A:$A,$E295),SUMIFS('RAW_농산물_10월'!$F:$F,'RAW_농산물_10월'!$D:$D,$C295,'RAW_농산물_10월'!$A:$A,$E295),SUMIFS('RAW_농산물_11-12월'!$F:$F,'RAW_농산물_11-12월'!$D:$D,$C295,'RAW_농산물_11-12월'!$A:$A,$E295))))</f>
        <v/>
      </c>
      <c r="G295" s="7" t="str">
        <f>IF($C295="","",IF('설정'!$B$3=0,"",CHOOSE('설정'!$B$3,SUMIFS('RAW_농산물_7월'!$G:$G,'RAW_농산물_7월'!$D:$D,$C295,'RAW_농산물_7월'!$A:$A,$E295),SUMIFS('RAW_농산물_8월'!$G:$G,'RAW_농산물_8월'!$D:$D,$C295,'RAW_농산물_8월'!$A:$A,$E295),SUMIFS('RAW_농산물_9월'!$G:$G,'RAW_농산물_9월'!$D:$D,$C295,'RAW_농산물_9월'!$A:$A,$E295),SUMIFS('RAW_농산물_10월'!$G:$G,'RAW_농산물_10월'!$D:$D,$C295,'RAW_농산물_10월'!$A:$A,$E295),SUMIFS('RAW_농산물_11-12월'!$G:$G,'RAW_농산물_11-12월'!$D:$D,$C295,'RAW_농산물_11-12월'!$A:$A,$E295))))</f>
        <v/>
      </c>
      <c r="H295" s="14" t="str">
        <f>IF($C295="","",IF('설정'!$B$3=0,"",CHOOSE('설정'!$B$3,SUMIFS('RAW_농산물_7월'!$H:$H,'RAW_농산물_7월'!$D:$D,$C295,'RAW_농산물_7월'!$A:$A,$E295),SUMIFS('RAW_농산물_8월'!$H:$H,'RAW_농산물_8월'!$D:$D,$C295,'RAW_농산물_8월'!$A:$A,$E295),SUMIFS('RAW_농산물_9월'!$H:$H,'RAW_농산물_9월'!$D:$D,$C295,'RAW_농산물_9월'!$A:$A,$E295),SUMIFS('RAW_농산물_10월'!$H:$H,'RAW_농산물_10월'!$D:$D,$C295,'RAW_농산물_10월'!$A:$A,$E295),SUMIFS('RAW_농산물_11-12월'!$H:$H,'RAW_농산물_11-12월'!$D:$D,$C295,'RAW_농산물_11-12월'!$A:$A,$E295))))</f>
        <v/>
      </c>
      <c r="I295" s="17" t="str">
        <f>IF($C295="","",IF(COUNTIFS('RAW_농산물_7월'!$D:$D,$C295,'RAW_농산물_7월'!$A:$A,$E295)&gt;0,"O",""))</f>
        <v/>
      </c>
      <c r="J295" s="17" t="str">
        <f>IF($C295="","",IF(COUNTIFS('RAW_농산물_8월'!$D:$D,$C295,'RAW_농산물_8월'!$A:$A,$E295)&gt;0,"O",""))</f>
        <v/>
      </c>
      <c r="K295" s="17" t="str">
        <f>IF($C295="","",IF(COUNTIFS('RAW_농산물_9월'!$D:$D,$C295,'RAW_농산물_9월'!$A:$A,$E295)&gt;0,"O",""))</f>
        <v/>
      </c>
      <c r="L295" s="17" t="str">
        <f>IF($C295="","",IF(COUNTIFS('RAW_농산물_10월'!$D:$D,$C295,'RAW_농산물_10월'!$A:$A,$E295)&gt;0,"O",""))</f>
        <v/>
      </c>
      <c r="M295" s="17" t="str">
        <f>IF($C295="","",IF(COUNTIFS('RAW_농산물_11-12월'!$D:$D,$C295,'RAW_농산물_11-12월'!$A:$A,$E295)&gt;0,"O",""))</f>
        <v/>
      </c>
      <c r="N295" s="7" t="str">
        <f>IF($C295="","",IF(COUNTA('RAW_농산물_7월'!$A:$A)&lt;=1,"",SUMIFS('RAW_농산물_7월'!$H:$H,'RAW_농산물_7월'!$D:$D,$C295,'RAW_농산물_7월'!$A:$A,$E295)))</f>
        <v/>
      </c>
      <c r="O295" s="7" t="str">
        <f>IF($C295="","",IF(COUNTA('RAW_농산물_8월'!$A:$A)&lt;=1,"",SUMIFS('RAW_농산물_8월'!$H:$H,'RAW_농산물_8월'!$D:$D,$C295,'RAW_농산물_8월'!$A:$A,$E295)-SUMIFS('RAW_농산물_7월'!$H:$H,'RAW_농산물_7월'!$D:$D,$C295,'RAW_농산물_7월'!$A:$A,$E295)))</f>
        <v/>
      </c>
      <c r="P295" s="7" t="str">
        <f>IF($C295="","",IF(COUNTA('RAW_농산물_9월'!$A:$A)&lt;=1,"",SUMIFS('RAW_농산물_9월'!$H:$H,'RAW_농산물_9월'!$D:$D,$C295,'RAW_농산물_9월'!$A:$A,$E295)-SUMIFS('RAW_농산물_8월'!$H:$H,'RAW_농산물_8월'!$D:$D,$C295,'RAW_농산물_8월'!$A:$A,$E295)))</f>
        <v/>
      </c>
      <c r="Q295" s="7" t="str">
        <f>IF($C295="","",IF(COUNTA('RAW_농산물_10월'!$A:$A)&lt;=1,"",SUMIFS('RAW_농산물_10월'!$H:$H,'RAW_농산물_10월'!$D:$D,$C295,'RAW_농산물_10월'!$A:$A,$E295)-SUMIFS('RAW_농산물_9월'!$H:$H,'RAW_농산물_9월'!$D:$D,$C295,'RAW_농산물_9월'!$A:$A,$E295)))</f>
        <v/>
      </c>
      <c r="R295" s="7" t="str">
        <f>IF($C295="","",IF(COUNTA('RAW_농산물_11-12월'!$A:$A)&lt;=1,"",SUMIFS('RAW_농산물_11-12월'!$H:$H,'RAW_농산물_11-12월'!$D:$D,$C295,'RAW_농산물_11-12월'!$A:$A,$E295)-SUMIFS('RAW_농산물_10월'!$H:$H,'RAW_농산물_10월'!$D:$D,$C295,'RAW_농산물_10월'!$A:$A,$E295)))</f>
        <v/>
      </c>
      <c r="S295" s="17" t="str">
        <f t="shared" si="4"/>
        <v/>
      </c>
      <c r="T295" s="17" t="str">
        <f t="shared" si="5"/>
        <v/>
      </c>
      <c r="U295" s="7">
        <f>IF($C295="",0,IF('설정'!$B$3=0,0,CHOOSE('설정'!$B$3,COUNTIFS('RAW_농산물_7월'!$D:$D,$C295,'RAW_농산물_7월'!$A:$A,$E295),COUNTIFS('RAW_농산물_8월'!$D:$D,$C295,'RAW_농산물_8월'!$A:$A,$E295),COUNTIFS('RAW_농산물_9월'!$D:$D,$C295,'RAW_농산물_9월'!$A:$A,$E295),COUNTIFS('RAW_농산물_10월'!$D:$D,$C295,'RAW_농산물_10월'!$A:$A,$E295),COUNTIFS('RAW_농산물_11-12월'!$D:$D,$C295,'RAW_농산물_11-12월'!$A:$A,$E295))))</f>
        <v>0</v>
      </c>
    </row>
    <row r="296" ht="15.75" customHeight="1">
      <c r="A296" s="5"/>
      <c r="B296" s="5"/>
      <c r="C296" s="5"/>
      <c r="D296" s="6"/>
      <c r="E296" s="5"/>
      <c r="F296" s="7" t="str">
        <f>IF($C296="","",IF('설정'!$B$3=0,"",CHOOSE('설정'!$B$3,SUMIFS('RAW_농산물_7월'!$F:$F,'RAW_농산물_7월'!$D:$D,$C296,'RAW_농산물_7월'!$A:$A,$E296),SUMIFS('RAW_농산물_8월'!$F:$F,'RAW_농산물_8월'!$D:$D,$C296,'RAW_농산물_8월'!$A:$A,$E296),SUMIFS('RAW_농산물_9월'!$F:$F,'RAW_농산물_9월'!$D:$D,$C296,'RAW_농산물_9월'!$A:$A,$E296),SUMIFS('RAW_농산물_10월'!$F:$F,'RAW_농산물_10월'!$D:$D,$C296,'RAW_농산물_10월'!$A:$A,$E296),SUMIFS('RAW_농산물_11-12월'!$F:$F,'RAW_농산물_11-12월'!$D:$D,$C296,'RAW_농산물_11-12월'!$A:$A,$E296))))</f>
        <v/>
      </c>
      <c r="G296" s="7" t="str">
        <f>IF($C296="","",IF('설정'!$B$3=0,"",CHOOSE('설정'!$B$3,SUMIFS('RAW_농산물_7월'!$G:$G,'RAW_농산물_7월'!$D:$D,$C296,'RAW_농산물_7월'!$A:$A,$E296),SUMIFS('RAW_농산물_8월'!$G:$G,'RAW_농산물_8월'!$D:$D,$C296,'RAW_농산물_8월'!$A:$A,$E296),SUMIFS('RAW_농산물_9월'!$G:$G,'RAW_농산물_9월'!$D:$D,$C296,'RAW_농산물_9월'!$A:$A,$E296),SUMIFS('RAW_농산물_10월'!$G:$G,'RAW_농산물_10월'!$D:$D,$C296,'RAW_농산물_10월'!$A:$A,$E296),SUMIFS('RAW_농산물_11-12월'!$G:$G,'RAW_농산물_11-12월'!$D:$D,$C296,'RAW_농산물_11-12월'!$A:$A,$E296))))</f>
        <v/>
      </c>
      <c r="H296" s="14" t="str">
        <f>IF($C296="","",IF('설정'!$B$3=0,"",CHOOSE('설정'!$B$3,SUMIFS('RAW_농산물_7월'!$H:$H,'RAW_농산물_7월'!$D:$D,$C296,'RAW_농산물_7월'!$A:$A,$E296),SUMIFS('RAW_농산물_8월'!$H:$H,'RAW_농산물_8월'!$D:$D,$C296,'RAW_농산물_8월'!$A:$A,$E296),SUMIFS('RAW_농산물_9월'!$H:$H,'RAW_농산물_9월'!$D:$D,$C296,'RAW_농산물_9월'!$A:$A,$E296),SUMIFS('RAW_농산물_10월'!$H:$H,'RAW_농산물_10월'!$D:$D,$C296,'RAW_농산물_10월'!$A:$A,$E296),SUMIFS('RAW_농산물_11-12월'!$H:$H,'RAW_농산물_11-12월'!$D:$D,$C296,'RAW_농산물_11-12월'!$A:$A,$E296))))</f>
        <v/>
      </c>
      <c r="I296" s="17" t="str">
        <f>IF($C296="","",IF(COUNTIFS('RAW_농산물_7월'!$D:$D,$C296,'RAW_농산물_7월'!$A:$A,$E296)&gt;0,"O",""))</f>
        <v/>
      </c>
      <c r="J296" s="17" t="str">
        <f>IF($C296="","",IF(COUNTIFS('RAW_농산물_8월'!$D:$D,$C296,'RAW_농산물_8월'!$A:$A,$E296)&gt;0,"O",""))</f>
        <v/>
      </c>
      <c r="K296" s="17" t="str">
        <f>IF($C296="","",IF(COUNTIFS('RAW_농산물_9월'!$D:$D,$C296,'RAW_농산물_9월'!$A:$A,$E296)&gt;0,"O",""))</f>
        <v/>
      </c>
      <c r="L296" s="17" t="str">
        <f>IF($C296="","",IF(COUNTIFS('RAW_농산물_10월'!$D:$D,$C296,'RAW_농산물_10월'!$A:$A,$E296)&gt;0,"O",""))</f>
        <v/>
      </c>
      <c r="M296" s="17" t="str">
        <f>IF($C296="","",IF(COUNTIFS('RAW_농산물_11-12월'!$D:$D,$C296,'RAW_농산물_11-12월'!$A:$A,$E296)&gt;0,"O",""))</f>
        <v/>
      </c>
      <c r="N296" s="7" t="str">
        <f>IF($C296="","",IF(COUNTA('RAW_농산물_7월'!$A:$A)&lt;=1,"",SUMIFS('RAW_농산물_7월'!$H:$H,'RAW_농산물_7월'!$D:$D,$C296,'RAW_농산물_7월'!$A:$A,$E296)))</f>
        <v/>
      </c>
      <c r="O296" s="7" t="str">
        <f>IF($C296="","",IF(COUNTA('RAW_농산물_8월'!$A:$A)&lt;=1,"",SUMIFS('RAW_농산물_8월'!$H:$H,'RAW_농산물_8월'!$D:$D,$C296,'RAW_농산물_8월'!$A:$A,$E296)-SUMIFS('RAW_농산물_7월'!$H:$H,'RAW_농산물_7월'!$D:$D,$C296,'RAW_농산물_7월'!$A:$A,$E296)))</f>
        <v/>
      </c>
      <c r="P296" s="7" t="str">
        <f>IF($C296="","",IF(COUNTA('RAW_농산물_9월'!$A:$A)&lt;=1,"",SUMIFS('RAW_농산물_9월'!$H:$H,'RAW_농산물_9월'!$D:$D,$C296,'RAW_농산물_9월'!$A:$A,$E296)-SUMIFS('RAW_농산물_8월'!$H:$H,'RAW_농산물_8월'!$D:$D,$C296,'RAW_농산물_8월'!$A:$A,$E296)))</f>
        <v/>
      </c>
      <c r="Q296" s="7" t="str">
        <f>IF($C296="","",IF(COUNTA('RAW_농산물_10월'!$A:$A)&lt;=1,"",SUMIFS('RAW_농산물_10월'!$H:$H,'RAW_농산물_10월'!$D:$D,$C296,'RAW_농산물_10월'!$A:$A,$E296)-SUMIFS('RAW_농산물_9월'!$H:$H,'RAW_농산물_9월'!$D:$D,$C296,'RAW_농산물_9월'!$A:$A,$E296)))</f>
        <v/>
      </c>
      <c r="R296" s="7" t="str">
        <f>IF($C296="","",IF(COUNTA('RAW_농산물_11-12월'!$A:$A)&lt;=1,"",SUMIFS('RAW_농산물_11-12월'!$H:$H,'RAW_농산물_11-12월'!$D:$D,$C296,'RAW_농산물_11-12월'!$A:$A,$E296)-SUMIFS('RAW_농산물_10월'!$H:$H,'RAW_농산물_10월'!$D:$D,$C296,'RAW_농산물_10월'!$A:$A,$E296)))</f>
        <v/>
      </c>
      <c r="S296" s="17" t="str">
        <f t="shared" si="4"/>
        <v/>
      </c>
      <c r="T296" s="17" t="str">
        <f t="shared" si="5"/>
        <v/>
      </c>
      <c r="U296" s="7">
        <f>IF($C296="",0,IF('설정'!$B$3=0,0,CHOOSE('설정'!$B$3,COUNTIFS('RAW_농산물_7월'!$D:$D,$C296,'RAW_농산물_7월'!$A:$A,$E296),COUNTIFS('RAW_농산물_8월'!$D:$D,$C296,'RAW_농산물_8월'!$A:$A,$E296),COUNTIFS('RAW_농산물_9월'!$D:$D,$C296,'RAW_농산물_9월'!$A:$A,$E296),COUNTIFS('RAW_농산물_10월'!$D:$D,$C296,'RAW_농산물_10월'!$A:$A,$E296),COUNTIFS('RAW_농산물_11-12월'!$D:$D,$C296,'RAW_농산물_11-12월'!$A:$A,$E296))))</f>
        <v>0</v>
      </c>
    </row>
    <row r="297" ht="15.75" customHeight="1">
      <c r="A297" s="5"/>
      <c r="B297" s="5"/>
      <c r="C297" s="5"/>
      <c r="D297" s="6"/>
      <c r="E297" s="5"/>
      <c r="F297" s="7" t="str">
        <f>IF($C297="","",IF('설정'!$B$3=0,"",CHOOSE('설정'!$B$3,SUMIFS('RAW_농산물_7월'!$F:$F,'RAW_농산물_7월'!$D:$D,$C297,'RAW_농산물_7월'!$A:$A,$E297),SUMIFS('RAW_농산물_8월'!$F:$F,'RAW_농산물_8월'!$D:$D,$C297,'RAW_농산물_8월'!$A:$A,$E297),SUMIFS('RAW_농산물_9월'!$F:$F,'RAW_농산물_9월'!$D:$D,$C297,'RAW_농산물_9월'!$A:$A,$E297),SUMIFS('RAW_농산물_10월'!$F:$F,'RAW_농산물_10월'!$D:$D,$C297,'RAW_농산물_10월'!$A:$A,$E297),SUMIFS('RAW_농산물_11-12월'!$F:$F,'RAW_농산물_11-12월'!$D:$D,$C297,'RAW_농산물_11-12월'!$A:$A,$E297))))</f>
        <v/>
      </c>
      <c r="G297" s="7" t="str">
        <f>IF($C297="","",IF('설정'!$B$3=0,"",CHOOSE('설정'!$B$3,SUMIFS('RAW_농산물_7월'!$G:$G,'RAW_농산물_7월'!$D:$D,$C297,'RAW_농산물_7월'!$A:$A,$E297),SUMIFS('RAW_농산물_8월'!$G:$G,'RAW_농산물_8월'!$D:$D,$C297,'RAW_농산물_8월'!$A:$A,$E297),SUMIFS('RAW_농산물_9월'!$G:$G,'RAW_농산물_9월'!$D:$D,$C297,'RAW_농산물_9월'!$A:$A,$E297),SUMIFS('RAW_농산물_10월'!$G:$G,'RAW_농산물_10월'!$D:$D,$C297,'RAW_농산물_10월'!$A:$A,$E297),SUMIFS('RAW_농산물_11-12월'!$G:$G,'RAW_농산물_11-12월'!$D:$D,$C297,'RAW_농산물_11-12월'!$A:$A,$E297))))</f>
        <v/>
      </c>
      <c r="H297" s="14" t="str">
        <f>IF($C297="","",IF('설정'!$B$3=0,"",CHOOSE('설정'!$B$3,SUMIFS('RAW_농산물_7월'!$H:$H,'RAW_농산물_7월'!$D:$D,$C297,'RAW_농산물_7월'!$A:$A,$E297),SUMIFS('RAW_농산물_8월'!$H:$H,'RAW_농산물_8월'!$D:$D,$C297,'RAW_농산물_8월'!$A:$A,$E297),SUMIFS('RAW_농산물_9월'!$H:$H,'RAW_농산물_9월'!$D:$D,$C297,'RAW_농산물_9월'!$A:$A,$E297),SUMIFS('RAW_농산물_10월'!$H:$H,'RAW_농산물_10월'!$D:$D,$C297,'RAW_농산물_10월'!$A:$A,$E297),SUMIFS('RAW_농산물_11-12월'!$H:$H,'RAW_농산물_11-12월'!$D:$D,$C297,'RAW_농산물_11-12월'!$A:$A,$E297))))</f>
        <v/>
      </c>
      <c r="I297" s="17" t="str">
        <f>IF($C297="","",IF(COUNTIFS('RAW_농산물_7월'!$D:$D,$C297,'RAW_농산물_7월'!$A:$A,$E297)&gt;0,"O",""))</f>
        <v/>
      </c>
      <c r="J297" s="17" t="str">
        <f>IF($C297="","",IF(COUNTIFS('RAW_농산물_8월'!$D:$D,$C297,'RAW_농산물_8월'!$A:$A,$E297)&gt;0,"O",""))</f>
        <v/>
      </c>
      <c r="K297" s="17" t="str">
        <f>IF($C297="","",IF(COUNTIFS('RAW_농산물_9월'!$D:$D,$C297,'RAW_농산물_9월'!$A:$A,$E297)&gt;0,"O",""))</f>
        <v/>
      </c>
      <c r="L297" s="17" t="str">
        <f>IF($C297="","",IF(COUNTIFS('RAW_농산물_10월'!$D:$D,$C297,'RAW_농산물_10월'!$A:$A,$E297)&gt;0,"O",""))</f>
        <v/>
      </c>
      <c r="M297" s="17" t="str">
        <f>IF($C297="","",IF(COUNTIFS('RAW_농산물_11-12월'!$D:$D,$C297,'RAW_농산물_11-12월'!$A:$A,$E297)&gt;0,"O",""))</f>
        <v/>
      </c>
      <c r="N297" s="7" t="str">
        <f>IF($C297="","",IF(COUNTA('RAW_농산물_7월'!$A:$A)&lt;=1,"",SUMIFS('RAW_농산물_7월'!$H:$H,'RAW_농산물_7월'!$D:$D,$C297,'RAW_농산물_7월'!$A:$A,$E297)))</f>
        <v/>
      </c>
      <c r="O297" s="7" t="str">
        <f>IF($C297="","",IF(COUNTA('RAW_농산물_8월'!$A:$A)&lt;=1,"",SUMIFS('RAW_농산물_8월'!$H:$H,'RAW_농산물_8월'!$D:$D,$C297,'RAW_농산물_8월'!$A:$A,$E297)-SUMIFS('RAW_농산물_7월'!$H:$H,'RAW_농산물_7월'!$D:$D,$C297,'RAW_농산물_7월'!$A:$A,$E297)))</f>
        <v/>
      </c>
      <c r="P297" s="7" t="str">
        <f>IF($C297="","",IF(COUNTA('RAW_농산물_9월'!$A:$A)&lt;=1,"",SUMIFS('RAW_농산물_9월'!$H:$H,'RAW_농산물_9월'!$D:$D,$C297,'RAW_농산물_9월'!$A:$A,$E297)-SUMIFS('RAW_농산물_8월'!$H:$H,'RAW_농산물_8월'!$D:$D,$C297,'RAW_농산물_8월'!$A:$A,$E297)))</f>
        <v/>
      </c>
      <c r="Q297" s="7" t="str">
        <f>IF($C297="","",IF(COUNTA('RAW_농산물_10월'!$A:$A)&lt;=1,"",SUMIFS('RAW_농산물_10월'!$H:$H,'RAW_농산물_10월'!$D:$D,$C297,'RAW_농산물_10월'!$A:$A,$E297)-SUMIFS('RAW_농산물_9월'!$H:$H,'RAW_농산물_9월'!$D:$D,$C297,'RAW_농산물_9월'!$A:$A,$E297)))</f>
        <v/>
      </c>
      <c r="R297" s="7" t="str">
        <f>IF($C297="","",IF(COUNTA('RAW_농산물_11-12월'!$A:$A)&lt;=1,"",SUMIFS('RAW_농산물_11-12월'!$H:$H,'RAW_농산물_11-12월'!$D:$D,$C297,'RAW_농산물_11-12월'!$A:$A,$E297)-SUMIFS('RAW_농산물_10월'!$H:$H,'RAW_농산물_10월'!$D:$D,$C297,'RAW_농산물_10월'!$A:$A,$E297)))</f>
        <v/>
      </c>
      <c r="S297" s="17" t="str">
        <f t="shared" si="4"/>
        <v/>
      </c>
      <c r="T297" s="17" t="str">
        <f t="shared" si="5"/>
        <v/>
      </c>
      <c r="U297" s="7">
        <f>IF($C297="",0,IF('설정'!$B$3=0,0,CHOOSE('설정'!$B$3,COUNTIFS('RAW_농산물_7월'!$D:$D,$C297,'RAW_농산물_7월'!$A:$A,$E297),COUNTIFS('RAW_농산물_8월'!$D:$D,$C297,'RAW_농산물_8월'!$A:$A,$E297),COUNTIFS('RAW_농산물_9월'!$D:$D,$C297,'RAW_농산물_9월'!$A:$A,$E297),COUNTIFS('RAW_농산물_10월'!$D:$D,$C297,'RAW_농산물_10월'!$A:$A,$E297),COUNTIFS('RAW_농산물_11-12월'!$D:$D,$C297,'RAW_농산물_11-12월'!$A:$A,$E297))))</f>
        <v>0</v>
      </c>
    </row>
    <row r="298" ht="15.75" customHeight="1">
      <c r="A298" s="5"/>
      <c r="B298" s="5"/>
      <c r="C298" s="5"/>
      <c r="D298" s="6"/>
      <c r="E298" s="5"/>
      <c r="F298" s="7" t="str">
        <f>IF($C298="","",IF('설정'!$B$3=0,"",CHOOSE('설정'!$B$3,SUMIFS('RAW_농산물_7월'!$F:$F,'RAW_농산물_7월'!$D:$D,$C298,'RAW_농산물_7월'!$A:$A,$E298),SUMIFS('RAW_농산물_8월'!$F:$F,'RAW_농산물_8월'!$D:$D,$C298,'RAW_농산물_8월'!$A:$A,$E298),SUMIFS('RAW_농산물_9월'!$F:$F,'RAW_농산물_9월'!$D:$D,$C298,'RAW_농산물_9월'!$A:$A,$E298),SUMIFS('RAW_농산물_10월'!$F:$F,'RAW_농산물_10월'!$D:$D,$C298,'RAW_농산물_10월'!$A:$A,$E298),SUMIFS('RAW_농산물_11-12월'!$F:$F,'RAW_농산물_11-12월'!$D:$D,$C298,'RAW_농산물_11-12월'!$A:$A,$E298))))</f>
        <v/>
      </c>
      <c r="G298" s="7" t="str">
        <f>IF($C298="","",IF('설정'!$B$3=0,"",CHOOSE('설정'!$B$3,SUMIFS('RAW_농산물_7월'!$G:$G,'RAW_농산물_7월'!$D:$D,$C298,'RAW_농산물_7월'!$A:$A,$E298),SUMIFS('RAW_농산물_8월'!$G:$G,'RAW_농산물_8월'!$D:$D,$C298,'RAW_농산물_8월'!$A:$A,$E298),SUMIFS('RAW_농산물_9월'!$G:$G,'RAW_농산물_9월'!$D:$D,$C298,'RAW_농산물_9월'!$A:$A,$E298),SUMIFS('RAW_농산물_10월'!$G:$G,'RAW_농산물_10월'!$D:$D,$C298,'RAW_농산물_10월'!$A:$A,$E298),SUMIFS('RAW_농산물_11-12월'!$G:$G,'RAW_농산물_11-12월'!$D:$D,$C298,'RAW_농산물_11-12월'!$A:$A,$E298))))</f>
        <v/>
      </c>
      <c r="H298" s="14" t="str">
        <f>IF($C298="","",IF('설정'!$B$3=0,"",CHOOSE('설정'!$B$3,SUMIFS('RAW_농산물_7월'!$H:$H,'RAW_농산물_7월'!$D:$D,$C298,'RAW_농산물_7월'!$A:$A,$E298),SUMIFS('RAW_농산물_8월'!$H:$H,'RAW_농산물_8월'!$D:$D,$C298,'RAW_농산물_8월'!$A:$A,$E298),SUMIFS('RAW_농산물_9월'!$H:$H,'RAW_농산물_9월'!$D:$D,$C298,'RAW_농산물_9월'!$A:$A,$E298),SUMIFS('RAW_농산물_10월'!$H:$H,'RAW_농산물_10월'!$D:$D,$C298,'RAW_농산물_10월'!$A:$A,$E298),SUMIFS('RAW_농산물_11-12월'!$H:$H,'RAW_농산물_11-12월'!$D:$D,$C298,'RAW_농산물_11-12월'!$A:$A,$E298))))</f>
        <v/>
      </c>
      <c r="I298" s="17" t="str">
        <f>IF($C298="","",IF(COUNTIFS('RAW_농산물_7월'!$D:$D,$C298,'RAW_농산물_7월'!$A:$A,$E298)&gt;0,"O",""))</f>
        <v/>
      </c>
      <c r="J298" s="17" t="str">
        <f>IF($C298="","",IF(COUNTIFS('RAW_농산물_8월'!$D:$D,$C298,'RAW_농산물_8월'!$A:$A,$E298)&gt;0,"O",""))</f>
        <v/>
      </c>
      <c r="K298" s="17" t="str">
        <f>IF($C298="","",IF(COUNTIFS('RAW_농산물_9월'!$D:$D,$C298,'RAW_농산물_9월'!$A:$A,$E298)&gt;0,"O",""))</f>
        <v/>
      </c>
      <c r="L298" s="17" t="str">
        <f>IF($C298="","",IF(COUNTIFS('RAW_농산물_10월'!$D:$D,$C298,'RAW_농산물_10월'!$A:$A,$E298)&gt;0,"O",""))</f>
        <v/>
      </c>
      <c r="M298" s="17" t="str">
        <f>IF($C298="","",IF(COUNTIFS('RAW_농산물_11-12월'!$D:$D,$C298,'RAW_농산물_11-12월'!$A:$A,$E298)&gt;0,"O",""))</f>
        <v/>
      </c>
      <c r="N298" s="7" t="str">
        <f>IF($C298="","",IF(COUNTA('RAW_농산물_7월'!$A:$A)&lt;=1,"",SUMIFS('RAW_농산물_7월'!$H:$H,'RAW_농산물_7월'!$D:$D,$C298,'RAW_농산물_7월'!$A:$A,$E298)))</f>
        <v/>
      </c>
      <c r="O298" s="7" t="str">
        <f>IF($C298="","",IF(COUNTA('RAW_농산물_8월'!$A:$A)&lt;=1,"",SUMIFS('RAW_농산물_8월'!$H:$H,'RAW_농산물_8월'!$D:$D,$C298,'RAW_농산물_8월'!$A:$A,$E298)-SUMIFS('RAW_농산물_7월'!$H:$H,'RAW_농산물_7월'!$D:$D,$C298,'RAW_농산물_7월'!$A:$A,$E298)))</f>
        <v/>
      </c>
      <c r="P298" s="7" t="str">
        <f>IF($C298="","",IF(COUNTA('RAW_농산물_9월'!$A:$A)&lt;=1,"",SUMIFS('RAW_농산물_9월'!$H:$H,'RAW_농산물_9월'!$D:$D,$C298,'RAW_농산물_9월'!$A:$A,$E298)-SUMIFS('RAW_농산물_8월'!$H:$H,'RAW_농산물_8월'!$D:$D,$C298,'RAW_농산물_8월'!$A:$A,$E298)))</f>
        <v/>
      </c>
      <c r="Q298" s="7" t="str">
        <f>IF($C298="","",IF(COUNTA('RAW_농산물_10월'!$A:$A)&lt;=1,"",SUMIFS('RAW_농산물_10월'!$H:$H,'RAW_농산물_10월'!$D:$D,$C298,'RAW_농산물_10월'!$A:$A,$E298)-SUMIFS('RAW_농산물_9월'!$H:$H,'RAW_농산물_9월'!$D:$D,$C298,'RAW_농산물_9월'!$A:$A,$E298)))</f>
        <v/>
      </c>
      <c r="R298" s="7" t="str">
        <f>IF($C298="","",IF(COUNTA('RAW_농산물_11-12월'!$A:$A)&lt;=1,"",SUMIFS('RAW_농산물_11-12월'!$H:$H,'RAW_농산물_11-12월'!$D:$D,$C298,'RAW_농산물_11-12월'!$A:$A,$E298)-SUMIFS('RAW_농산물_10월'!$H:$H,'RAW_농산물_10월'!$D:$D,$C298,'RAW_농산물_10월'!$A:$A,$E298)))</f>
        <v/>
      </c>
      <c r="S298" s="17" t="str">
        <f t="shared" si="4"/>
        <v/>
      </c>
      <c r="T298" s="17" t="str">
        <f t="shared" si="5"/>
        <v/>
      </c>
      <c r="U298" s="7">
        <f>IF($C298="",0,IF('설정'!$B$3=0,0,CHOOSE('설정'!$B$3,COUNTIFS('RAW_농산물_7월'!$D:$D,$C298,'RAW_농산물_7월'!$A:$A,$E298),COUNTIFS('RAW_농산물_8월'!$D:$D,$C298,'RAW_농산물_8월'!$A:$A,$E298),COUNTIFS('RAW_농산물_9월'!$D:$D,$C298,'RAW_농산물_9월'!$A:$A,$E298),COUNTIFS('RAW_농산물_10월'!$D:$D,$C298,'RAW_농산물_10월'!$A:$A,$E298),COUNTIFS('RAW_농산물_11-12월'!$D:$D,$C298,'RAW_농산물_11-12월'!$A:$A,$E298))))</f>
        <v>0</v>
      </c>
    </row>
    <row r="299" ht="15.75" customHeight="1">
      <c r="A299" s="5"/>
      <c r="B299" s="5"/>
      <c r="C299" s="5"/>
      <c r="D299" s="6"/>
      <c r="E299" s="5"/>
      <c r="F299" s="7" t="str">
        <f>IF($C299="","",IF('설정'!$B$3=0,"",CHOOSE('설정'!$B$3,SUMIFS('RAW_농산물_7월'!$F:$F,'RAW_농산물_7월'!$D:$D,$C299,'RAW_농산물_7월'!$A:$A,$E299),SUMIFS('RAW_농산물_8월'!$F:$F,'RAW_농산물_8월'!$D:$D,$C299,'RAW_농산물_8월'!$A:$A,$E299),SUMIFS('RAW_농산물_9월'!$F:$F,'RAW_농산물_9월'!$D:$D,$C299,'RAW_농산물_9월'!$A:$A,$E299),SUMIFS('RAW_농산물_10월'!$F:$F,'RAW_농산물_10월'!$D:$D,$C299,'RAW_농산물_10월'!$A:$A,$E299),SUMIFS('RAW_농산물_11-12월'!$F:$F,'RAW_농산물_11-12월'!$D:$D,$C299,'RAW_농산물_11-12월'!$A:$A,$E299))))</f>
        <v/>
      </c>
      <c r="G299" s="7" t="str">
        <f>IF($C299="","",IF('설정'!$B$3=0,"",CHOOSE('설정'!$B$3,SUMIFS('RAW_농산물_7월'!$G:$G,'RAW_농산물_7월'!$D:$D,$C299,'RAW_농산물_7월'!$A:$A,$E299),SUMIFS('RAW_농산물_8월'!$G:$G,'RAW_농산물_8월'!$D:$D,$C299,'RAW_농산물_8월'!$A:$A,$E299),SUMIFS('RAW_농산물_9월'!$G:$G,'RAW_농산물_9월'!$D:$D,$C299,'RAW_농산물_9월'!$A:$A,$E299),SUMIFS('RAW_농산물_10월'!$G:$G,'RAW_농산물_10월'!$D:$D,$C299,'RAW_농산물_10월'!$A:$A,$E299),SUMIFS('RAW_농산물_11-12월'!$G:$G,'RAW_농산물_11-12월'!$D:$D,$C299,'RAW_농산물_11-12월'!$A:$A,$E299))))</f>
        <v/>
      </c>
      <c r="H299" s="14" t="str">
        <f>IF($C299="","",IF('설정'!$B$3=0,"",CHOOSE('설정'!$B$3,SUMIFS('RAW_농산물_7월'!$H:$H,'RAW_농산물_7월'!$D:$D,$C299,'RAW_농산물_7월'!$A:$A,$E299),SUMIFS('RAW_농산물_8월'!$H:$H,'RAW_농산물_8월'!$D:$D,$C299,'RAW_농산물_8월'!$A:$A,$E299),SUMIFS('RAW_농산물_9월'!$H:$H,'RAW_농산물_9월'!$D:$D,$C299,'RAW_농산물_9월'!$A:$A,$E299),SUMIFS('RAW_농산물_10월'!$H:$H,'RAW_농산물_10월'!$D:$D,$C299,'RAW_농산물_10월'!$A:$A,$E299),SUMIFS('RAW_농산물_11-12월'!$H:$H,'RAW_농산물_11-12월'!$D:$D,$C299,'RAW_농산물_11-12월'!$A:$A,$E299))))</f>
        <v/>
      </c>
      <c r="I299" s="17" t="str">
        <f>IF($C299="","",IF(COUNTIFS('RAW_농산물_7월'!$D:$D,$C299,'RAW_농산물_7월'!$A:$A,$E299)&gt;0,"O",""))</f>
        <v/>
      </c>
      <c r="J299" s="17" t="str">
        <f>IF($C299="","",IF(COUNTIFS('RAW_농산물_8월'!$D:$D,$C299,'RAW_농산물_8월'!$A:$A,$E299)&gt;0,"O",""))</f>
        <v/>
      </c>
      <c r="K299" s="17" t="str">
        <f>IF($C299="","",IF(COUNTIFS('RAW_농산물_9월'!$D:$D,$C299,'RAW_농산물_9월'!$A:$A,$E299)&gt;0,"O",""))</f>
        <v/>
      </c>
      <c r="L299" s="17" t="str">
        <f>IF($C299="","",IF(COUNTIFS('RAW_농산물_10월'!$D:$D,$C299,'RAW_농산물_10월'!$A:$A,$E299)&gt;0,"O",""))</f>
        <v/>
      </c>
      <c r="M299" s="17" t="str">
        <f>IF($C299="","",IF(COUNTIFS('RAW_농산물_11-12월'!$D:$D,$C299,'RAW_농산물_11-12월'!$A:$A,$E299)&gt;0,"O",""))</f>
        <v/>
      </c>
      <c r="N299" s="7" t="str">
        <f>IF($C299="","",IF(COUNTA('RAW_농산물_7월'!$A:$A)&lt;=1,"",SUMIFS('RAW_농산물_7월'!$H:$H,'RAW_농산물_7월'!$D:$D,$C299,'RAW_농산물_7월'!$A:$A,$E299)))</f>
        <v/>
      </c>
      <c r="O299" s="7" t="str">
        <f>IF($C299="","",IF(COUNTA('RAW_농산물_8월'!$A:$A)&lt;=1,"",SUMIFS('RAW_농산물_8월'!$H:$H,'RAW_농산물_8월'!$D:$D,$C299,'RAW_농산물_8월'!$A:$A,$E299)-SUMIFS('RAW_농산물_7월'!$H:$H,'RAW_농산물_7월'!$D:$D,$C299,'RAW_농산물_7월'!$A:$A,$E299)))</f>
        <v/>
      </c>
      <c r="P299" s="7" t="str">
        <f>IF($C299="","",IF(COUNTA('RAW_농산물_9월'!$A:$A)&lt;=1,"",SUMIFS('RAW_농산물_9월'!$H:$H,'RAW_농산물_9월'!$D:$D,$C299,'RAW_농산물_9월'!$A:$A,$E299)-SUMIFS('RAW_농산물_8월'!$H:$H,'RAW_농산물_8월'!$D:$D,$C299,'RAW_농산물_8월'!$A:$A,$E299)))</f>
        <v/>
      </c>
      <c r="Q299" s="7" t="str">
        <f>IF($C299="","",IF(COUNTA('RAW_농산물_10월'!$A:$A)&lt;=1,"",SUMIFS('RAW_농산물_10월'!$H:$H,'RAW_농산물_10월'!$D:$D,$C299,'RAW_농산물_10월'!$A:$A,$E299)-SUMIFS('RAW_농산물_9월'!$H:$H,'RAW_농산물_9월'!$D:$D,$C299,'RAW_농산물_9월'!$A:$A,$E299)))</f>
        <v/>
      </c>
      <c r="R299" s="7" t="str">
        <f>IF($C299="","",IF(COUNTA('RAW_농산물_11-12월'!$A:$A)&lt;=1,"",SUMIFS('RAW_농산물_11-12월'!$H:$H,'RAW_농산물_11-12월'!$D:$D,$C299,'RAW_농산물_11-12월'!$A:$A,$E299)-SUMIFS('RAW_농산물_10월'!$H:$H,'RAW_농산물_10월'!$D:$D,$C299,'RAW_농산물_10월'!$A:$A,$E299)))</f>
        <v/>
      </c>
      <c r="S299" s="17" t="str">
        <f t="shared" si="4"/>
        <v/>
      </c>
      <c r="T299" s="17" t="str">
        <f t="shared" si="5"/>
        <v/>
      </c>
      <c r="U299" s="7">
        <f>IF($C299="",0,IF('설정'!$B$3=0,0,CHOOSE('설정'!$B$3,COUNTIFS('RAW_농산물_7월'!$D:$D,$C299,'RAW_농산물_7월'!$A:$A,$E299),COUNTIFS('RAW_농산물_8월'!$D:$D,$C299,'RAW_농산물_8월'!$A:$A,$E299),COUNTIFS('RAW_농산물_9월'!$D:$D,$C299,'RAW_농산물_9월'!$A:$A,$E299),COUNTIFS('RAW_농산물_10월'!$D:$D,$C299,'RAW_농산물_10월'!$A:$A,$E299),COUNTIFS('RAW_농산물_11-12월'!$D:$D,$C299,'RAW_농산물_11-12월'!$A:$A,$E299))))</f>
        <v>0</v>
      </c>
    </row>
    <row r="300" ht="15.75" customHeight="1">
      <c r="A300" s="5"/>
      <c r="B300" s="5"/>
      <c r="C300" s="5"/>
      <c r="D300" s="6"/>
      <c r="E300" s="5"/>
      <c r="F300" s="7" t="str">
        <f>IF($C300="","",IF('설정'!$B$3=0,"",CHOOSE('설정'!$B$3,SUMIFS('RAW_농산물_7월'!$F:$F,'RAW_농산물_7월'!$D:$D,$C300,'RAW_농산물_7월'!$A:$A,$E300),SUMIFS('RAW_농산물_8월'!$F:$F,'RAW_농산물_8월'!$D:$D,$C300,'RAW_농산물_8월'!$A:$A,$E300),SUMIFS('RAW_농산물_9월'!$F:$F,'RAW_농산물_9월'!$D:$D,$C300,'RAW_농산물_9월'!$A:$A,$E300),SUMIFS('RAW_농산물_10월'!$F:$F,'RAW_농산물_10월'!$D:$D,$C300,'RAW_농산물_10월'!$A:$A,$E300),SUMIFS('RAW_농산물_11-12월'!$F:$F,'RAW_농산물_11-12월'!$D:$D,$C300,'RAW_농산물_11-12월'!$A:$A,$E300))))</f>
        <v/>
      </c>
      <c r="G300" s="7" t="str">
        <f>IF($C300="","",IF('설정'!$B$3=0,"",CHOOSE('설정'!$B$3,SUMIFS('RAW_농산물_7월'!$G:$G,'RAW_농산물_7월'!$D:$D,$C300,'RAW_농산물_7월'!$A:$A,$E300),SUMIFS('RAW_농산물_8월'!$G:$G,'RAW_농산물_8월'!$D:$D,$C300,'RAW_농산물_8월'!$A:$A,$E300),SUMIFS('RAW_농산물_9월'!$G:$G,'RAW_농산물_9월'!$D:$D,$C300,'RAW_농산물_9월'!$A:$A,$E300),SUMIFS('RAW_농산물_10월'!$G:$G,'RAW_농산물_10월'!$D:$D,$C300,'RAW_농산물_10월'!$A:$A,$E300),SUMIFS('RAW_농산물_11-12월'!$G:$G,'RAW_농산물_11-12월'!$D:$D,$C300,'RAW_농산물_11-12월'!$A:$A,$E300))))</f>
        <v/>
      </c>
      <c r="H300" s="14" t="str">
        <f>IF($C300="","",IF('설정'!$B$3=0,"",CHOOSE('설정'!$B$3,SUMIFS('RAW_농산물_7월'!$H:$H,'RAW_농산물_7월'!$D:$D,$C300,'RAW_농산물_7월'!$A:$A,$E300),SUMIFS('RAW_농산물_8월'!$H:$H,'RAW_농산물_8월'!$D:$D,$C300,'RAW_농산물_8월'!$A:$A,$E300),SUMIFS('RAW_농산물_9월'!$H:$H,'RAW_농산물_9월'!$D:$D,$C300,'RAW_농산물_9월'!$A:$A,$E300),SUMIFS('RAW_농산물_10월'!$H:$H,'RAW_농산물_10월'!$D:$D,$C300,'RAW_농산물_10월'!$A:$A,$E300),SUMIFS('RAW_농산물_11-12월'!$H:$H,'RAW_농산물_11-12월'!$D:$D,$C300,'RAW_농산물_11-12월'!$A:$A,$E300))))</f>
        <v/>
      </c>
      <c r="I300" s="17" t="str">
        <f>IF($C300="","",IF(COUNTIFS('RAW_농산물_7월'!$D:$D,$C300,'RAW_농산물_7월'!$A:$A,$E300)&gt;0,"O",""))</f>
        <v/>
      </c>
      <c r="J300" s="17" t="str">
        <f>IF($C300="","",IF(COUNTIFS('RAW_농산물_8월'!$D:$D,$C300,'RAW_농산물_8월'!$A:$A,$E300)&gt;0,"O",""))</f>
        <v/>
      </c>
      <c r="K300" s="17" t="str">
        <f>IF($C300="","",IF(COUNTIFS('RAW_농산물_9월'!$D:$D,$C300,'RAW_농산물_9월'!$A:$A,$E300)&gt;0,"O",""))</f>
        <v/>
      </c>
      <c r="L300" s="17" t="str">
        <f>IF($C300="","",IF(COUNTIFS('RAW_농산물_10월'!$D:$D,$C300,'RAW_농산물_10월'!$A:$A,$E300)&gt;0,"O",""))</f>
        <v/>
      </c>
      <c r="M300" s="17" t="str">
        <f>IF($C300="","",IF(COUNTIFS('RAW_농산물_11-12월'!$D:$D,$C300,'RAW_농산물_11-12월'!$A:$A,$E300)&gt;0,"O",""))</f>
        <v/>
      </c>
      <c r="N300" s="7" t="str">
        <f>IF($C300="","",IF(COUNTA('RAW_농산물_7월'!$A:$A)&lt;=1,"",SUMIFS('RAW_농산물_7월'!$H:$H,'RAW_농산물_7월'!$D:$D,$C300,'RAW_농산물_7월'!$A:$A,$E300)))</f>
        <v/>
      </c>
      <c r="O300" s="7" t="str">
        <f>IF($C300="","",IF(COUNTA('RAW_농산물_8월'!$A:$A)&lt;=1,"",SUMIFS('RAW_농산물_8월'!$H:$H,'RAW_농산물_8월'!$D:$D,$C300,'RAW_농산물_8월'!$A:$A,$E300)-SUMIFS('RAW_농산물_7월'!$H:$H,'RAW_농산물_7월'!$D:$D,$C300,'RAW_농산물_7월'!$A:$A,$E300)))</f>
        <v/>
      </c>
      <c r="P300" s="7" t="str">
        <f>IF($C300="","",IF(COUNTA('RAW_농산물_9월'!$A:$A)&lt;=1,"",SUMIFS('RAW_농산물_9월'!$H:$H,'RAW_농산물_9월'!$D:$D,$C300,'RAW_농산물_9월'!$A:$A,$E300)-SUMIFS('RAW_농산물_8월'!$H:$H,'RAW_농산물_8월'!$D:$D,$C300,'RAW_농산물_8월'!$A:$A,$E300)))</f>
        <v/>
      </c>
      <c r="Q300" s="7" t="str">
        <f>IF($C300="","",IF(COUNTA('RAW_농산물_10월'!$A:$A)&lt;=1,"",SUMIFS('RAW_농산물_10월'!$H:$H,'RAW_농산물_10월'!$D:$D,$C300,'RAW_농산물_10월'!$A:$A,$E300)-SUMIFS('RAW_농산물_9월'!$H:$H,'RAW_농산물_9월'!$D:$D,$C300,'RAW_농산물_9월'!$A:$A,$E300)))</f>
        <v/>
      </c>
      <c r="R300" s="7" t="str">
        <f>IF($C300="","",IF(COUNTA('RAW_농산물_11-12월'!$A:$A)&lt;=1,"",SUMIFS('RAW_농산물_11-12월'!$H:$H,'RAW_농산물_11-12월'!$D:$D,$C300,'RAW_농산물_11-12월'!$A:$A,$E300)-SUMIFS('RAW_농산물_10월'!$H:$H,'RAW_농산물_10월'!$D:$D,$C300,'RAW_농산물_10월'!$A:$A,$E300)))</f>
        <v/>
      </c>
      <c r="S300" s="17" t="str">
        <f t="shared" si="4"/>
        <v/>
      </c>
      <c r="T300" s="17" t="str">
        <f t="shared" si="5"/>
        <v/>
      </c>
      <c r="U300" s="7">
        <f>IF($C300="",0,IF('설정'!$B$3=0,0,CHOOSE('설정'!$B$3,COUNTIFS('RAW_농산물_7월'!$D:$D,$C300,'RAW_농산물_7월'!$A:$A,$E300),COUNTIFS('RAW_농산물_8월'!$D:$D,$C300,'RAW_농산물_8월'!$A:$A,$E300),COUNTIFS('RAW_농산물_9월'!$D:$D,$C300,'RAW_농산물_9월'!$A:$A,$E300),COUNTIFS('RAW_농산물_10월'!$D:$D,$C300,'RAW_농산물_10월'!$A:$A,$E300),COUNTIFS('RAW_농산물_11-12월'!$D:$D,$C300,'RAW_농산물_11-12월'!$A:$A,$E300))))</f>
        <v>0</v>
      </c>
    </row>
    <row r="301" ht="15.75" customHeight="1">
      <c r="A301" s="5"/>
      <c r="B301" s="5"/>
      <c r="C301" s="5"/>
      <c r="D301" s="6"/>
      <c r="E301" s="5"/>
      <c r="F301" s="7" t="str">
        <f>IF($C301="","",IF('설정'!$B$3=0,"",CHOOSE('설정'!$B$3,SUMIFS('RAW_농산물_7월'!$F:$F,'RAW_농산물_7월'!$D:$D,$C301,'RAW_농산물_7월'!$A:$A,$E301),SUMIFS('RAW_농산물_8월'!$F:$F,'RAW_농산물_8월'!$D:$D,$C301,'RAW_농산물_8월'!$A:$A,$E301),SUMIFS('RAW_농산물_9월'!$F:$F,'RAW_농산물_9월'!$D:$D,$C301,'RAW_농산물_9월'!$A:$A,$E301),SUMIFS('RAW_농산물_10월'!$F:$F,'RAW_농산물_10월'!$D:$D,$C301,'RAW_농산물_10월'!$A:$A,$E301),SUMIFS('RAW_농산물_11-12월'!$F:$F,'RAW_농산물_11-12월'!$D:$D,$C301,'RAW_농산물_11-12월'!$A:$A,$E301))))</f>
        <v/>
      </c>
      <c r="G301" s="7" t="str">
        <f>IF($C301="","",IF('설정'!$B$3=0,"",CHOOSE('설정'!$B$3,SUMIFS('RAW_농산물_7월'!$G:$G,'RAW_농산물_7월'!$D:$D,$C301,'RAW_농산물_7월'!$A:$A,$E301),SUMIFS('RAW_농산물_8월'!$G:$G,'RAW_농산물_8월'!$D:$D,$C301,'RAW_농산물_8월'!$A:$A,$E301),SUMIFS('RAW_농산물_9월'!$G:$G,'RAW_농산물_9월'!$D:$D,$C301,'RAW_농산물_9월'!$A:$A,$E301),SUMIFS('RAW_농산물_10월'!$G:$G,'RAW_농산물_10월'!$D:$D,$C301,'RAW_농산물_10월'!$A:$A,$E301),SUMIFS('RAW_농산물_11-12월'!$G:$G,'RAW_농산물_11-12월'!$D:$D,$C301,'RAW_농산물_11-12월'!$A:$A,$E301))))</f>
        <v/>
      </c>
      <c r="H301" s="14" t="str">
        <f>IF($C301="","",IF('설정'!$B$3=0,"",CHOOSE('설정'!$B$3,SUMIFS('RAW_농산물_7월'!$H:$H,'RAW_농산물_7월'!$D:$D,$C301,'RAW_농산물_7월'!$A:$A,$E301),SUMIFS('RAW_농산물_8월'!$H:$H,'RAW_농산물_8월'!$D:$D,$C301,'RAW_농산물_8월'!$A:$A,$E301),SUMIFS('RAW_농산물_9월'!$H:$H,'RAW_농산물_9월'!$D:$D,$C301,'RAW_농산물_9월'!$A:$A,$E301),SUMIFS('RAW_농산물_10월'!$H:$H,'RAW_농산물_10월'!$D:$D,$C301,'RAW_농산물_10월'!$A:$A,$E301),SUMIFS('RAW_농산물_11-12월'!$H:$H,'RAW_농산물_11-12월'!$D:$D,$C301,'RAW_농산물_11-12월'!$A:$A,$E301))))</f>
        <v/>
      </c>
      <c r="I301" s="17" t="str">
        <f>IF($C301="","",IF(COUNTIFS('RAW_농산물_7월'!$D:$D,$C301,'RAW_농산물_7월'!$A:$A,$E301)&gt;0,"O",""))</f>
        <v/>
      </c>
      <c r="J301" s="17" t="str">
        <f>IF($C301="","",IF(COUNTIFS('RAW_농산물_8월'!$D:$D,$C301,'RAW_농산물_8월'!$A:$A,$E301)&gt;0,"O",""))</f>
        <v/>
      </c>
      <c r="K301" s="17" t="str">
        <f>IF($C301="","",IF(COUNTIFS('RAW_농산물_9월'!$D:$D,$C301,'RAW_농산물_9월'!$A:$A,$E301)&gt;0,"O",""))</f>
        <v/>
      </c>
      <c r="L301" s="17" t="str">
        <f>IF($C301="","",IF(COUNTIFS('RAW_농산물_10월'!$D:$D,$C301,'RAW_농산물_10월'!$A:$A,$E301)&gt;0,"O",""))</f>
        <v/>
      </c>
      <c r="M301" s="17" t="str">
        <f>IF($C301="","",IF(COUNTIFS('RAW_농산물_11-12월'!$D:$D,$C301,'RAW_농산물_11-12월'!$A:$A,$E301)&gt;0,"O",""))</f>
        <v/>
      </c>
      <c r="N301" s="7" t="str">
        <f>IF($C301="","",IF(COUNTA('RAW_농산물_7월'!$A:$A)&lt;=1,"",SUMIFS('RAW_농산물_7월'!$H:$H,'RAW_농산물_7월'!$D:$D,$C301,'RAW_농산물_7월'!$A:$A,$E301)))</f>
        <v/>
      </c>
      <c r="O301" s="7" t="str">
        <f>IF($C301="","",IF(COUNTA('RAW_농산물_8월'!$A:$A)&lt;=1,"",SUMIFS('RAW_농산물_8월'!$H:$H,'RAW_농산물_8월'!$D:$D,$C301,'RAW_농산물_8월'!$A:$A,$E301)-SUMIFS('RAW_농산물_7월'!$H:$H,'RAW_농산물_7월'!$D:$D,$C301,'RAW_농산물_7월'!$A:$A,$E301)))</f>
        <v/>
      </c>
      <c r="P301" s="7" t="str">
        <f>IF($C301="","",IF(COUNTA('RAW_농산물_9월'!$A:$A)&lt;=1,"",SUMIFS('RAW_농산물_9월'!$H:$H,'RAW_농산물_9월'!$D:$D,$C301,'RAW_농산물_9월'!$A:$A,$E301)-SUMIFS('RAW_농산물_8월'!$H:$H,'RAW_농산물_8월'!$D:$D,$C301,'RAW_농산물_8월'!$A:$A,$E301)))</f>
        <v/>
      </c>
      <c r="Q301" s="7" t="str">
        <f>IF($C301="","",IF(COUNTA('RAW_농산물_10월'!$A:$A)&lt;=1,"",SUMIFS('RAW_농산물_10월'!$H:$H,'RAW_농산물_10월'!$D:$D,$C301,'RAW_농산물_10월'!$A:$A,$E301)-SUMIFS('RAW_농산물_9월'!$H:$H,'RAW_농산물_9월'!$D:$D,$C301,'RAW_농산물_9월'!$A:$A,$E301)))</f>
        <v/>
      </c>
      <c r="R301" s="7" t="str">
        <f>IF($C301="","",IF(COUNTA('RAW_농산물_11-12월'!$A:$A)&lt;=1,"",SUMIFS('RAW_농산물_11-12월'!$H:$H,'RAW_농산물_11-12월'!$D:$D,$C301,'RAW_농산물_11-12월'!$A:$A,$E301)-SUMIFS('RAW_농산물_10월'!$H:$H,'RAW_농산물_10월'!$D:$D,$C301,'RAW_농산물_10월'!$A:$A,$E301)))</f>
        <v/>
      </c>
      <c r="S301" s="17" t="str">
        <f t="shared" si="4"/>
        <v/>
      </c>
      <c r="T301" s="17" t="str">
        <f t="shared" si="5"/>
        <v/>
      </c>
      <c r="U301" s="7">
        <f>IF($C301="",0,IF('설정'!$B$3=0,0,CHOOSE('설정'!$B$3,COUNTIFS('RAW_농산물_7월'!$D:$D,$C301,'RAW_농산물_7월'!$A:$A,$E301),COUNTIFS('RAW_농산물_8월'!$D:$D,$C301,'RAW_농산물_8월'!$A:$A,$E301),COUNTIFS('RAW_농산물_9월'!$D:$D,$C301,'RAW_농산물_9월'!$A:$A,$E301),COUNTIFS('RAW_농산물_10월'!$D:$D,$C301,'RAW_농산물_10월'!$A:$A,$E301),COUNTIFS('RAW_농산물_11-12월'!$D:$D,$C301,'RAW_농산물_11-12월'!$A:$A,$E301))))</f>
        <v>0</v>
      </c>
    </row>
    <row r="302" ht="15.75" customHeight="1">
      <c r="A302" s="5"/>
      <c r="B302" s="5"/>
      <c r="C302" s="5"/>
      <c r="D302" s="6"/>
      <c r="E302" s="5"/>
      <c r="F302" s="7" t="str">
        <f>IF($C302="","",IF('설정'!$B$3=0,"",CHOOSE('설정'!$B$3,SUMIFS('RAW_농산물_7월'!$F:$F,'RAW_농산물_7월'!$D:$D,$C302,'RAW_농산물_7월'!$A:$A,$E302),SUMIFS('RAW_농산물_8월'!$F:$F,'RAW_농산물_8월'!$D:$D,$C302,'RAW_농산물_8월'!$A:$A,$E302),SUMIFS('RAW_농산물_9월'!$F:$F,'RAW_농산물_9월'!$D:$D,$C302,'RAW_농산물_9월'!$A:$A,$E302),SUMIFS('RAW_농산물_10월'!$F:$F,'RAW_농산물_10월'!$D:$D,$C302,'RAW_농산물_10월'!$A:$A,$E302),SUMIFS('RAW_농산물_11-12월'!$F:$F,'RAW_농산물_11-12월'!$D:$D,$C302,'RAW_농산물_11-12월'!$A:$A,$E302))))</f>
        <v/>
      </c>
      <c r="G302" s="7" t="str">
        <f>IF($C302="","",IF('설정'!$B$3=0,"",CHOOSE('설정'!$B$3,SUMIFS('RAW_농산물_7월'!$G:$G,'RAW_농산물_7월'!$D:$D,$C302,'RAW_농산물_7월'!$A:$A,$E302),SUMIFS('RAW_농산물_8월'!$G:$G,'RAW_농산물_8월'!$D:$D,$C302,'RAW_농산물_8월'!$A:$A,$E302),SUMIFS('RAW_농산물_9월'!$G:$G,'RAW_농산물_9월'!$D:$D,$C302,'RAW_농산물_9월'!$A:$A,$E302),SUMIFS('RAW_농산물_10월'!$G:$G,'RAW_농산물_10월'!$D:$D,$C302,'RAW_농산물_10월'!$A:$A,$E302),SUMIFS('RAW_농산물_11-12월'!$G:$G,'RAW_농산물_11-12월'!$D:$D,$C302,'RAW_농산물_11-12월'!$A:$A,$E302))))</f>
        <v/>
      </c>
      <c r="H302" s="14" t="str">
        <f>IF($C302="","",IF('설정'!$B$3=0,"",CHOOSE('설정'!$B$3,SUMIFS('RAW_농산물_7월'!$H:$H,'RAW_농산물_7월'!$D:$D,$C302,'RAW_농산물_7월'!$A:$A,$E302),SUMIFS('RAW_농산물_8월'!$H:$H,'RAW_농산물_8월'!$D:$D,$C302,'RAW_농산물_8월'!$A:$A,$E302),SUMIFS('RAW_농산물_9월'!$H:$H,'RAW_농산물_9월'!$D:$D,$C302,'RAW_농산물_9월'!$A:$A,$E302),SUMIFS('RAW_농산물_10월'!$H:$H,'RAW_농산물_10월'!$D:$D,$C302,'RAW_농산물_10월'!$A:$A,$E302),SUMIFS('RAW_농산물_11-12월'!$H:$H,'RAW_농산물_11-12월'!$D:$D,$C302,'RAW_농산물_11-12월'!$A:$A,$E302))))</f>
        <v/>
      </c>
      <c r="I302" s="17" t="str">
        <f>IF($C302="","",IF(COUNTIFS('RAW_농산물_7월'!$D:$D,$C302,'RAW_농산물_7월'!$A:$A,$E302)&gt;0,"O",""))</f>
        <v/>
      </c>
      <c r="J302" s="17" t="str">
        <f>IF($C302="","",IF(COUNTIFS('RAW_농산물_8월'!$D:$D,$C302,'RAW_농산물_8월'!$A:$A,$E302)&gt;0,"O",""))</f>
        <v/>
      </c>
      <c r="K302" s="17" t="str">
        <f>IF($C302="","",IF(COUNTIFS('RAW_농산물_9월'!$D:$D,$C302,'RAW_농산물_9월'!$A:$A,$E302)&gt;0,"O",""))</f>
        <v/>
      </c>
      <c r="L302" s="17" t="str">
        <f>IF($C302="","",IF(COUNTIFS('RAW_농산물_10월'!$D:$D,$C302,'RAW_농산물_10월'!$A:$A,$E302)&gt;0,"O",""))</f>
        <v/>
      </c>
      <c r="M302" s="17" t="str">
        <f>IF($C302="","",IF(COUNTIFS('RAW_농산물_11-12월'!$D:$D,$C302,'RAW_농산물_11-12월'!$A:$A,$E302)&gt;0,"O",""))</f>
        <v/>
      </c>
      <c r="N302" s="7" t="str">
        <f>IF($C302="","",IF(COUNTA('RAW_농산물_7월'!$A:$A)&lt;=1,"",SUMIFS('RAW_농산물_7월'!$H:$H,'RAW_농산물_7월'!$D:$D,$C302,'RAW_농산물_7월'!$A:$A,$E302)))</f>
        <v/>
      </c>
      <c r="O302" s="7" t="str">
        <f>IF($C302="","",IF(COUNTA('RAW_농산물_8월'!$A:$A)&lt;=1,"",SUMIFS('RAW_농산물_8월'!$H:$H,'RAW_농산물_8월'!$D:$D,$C302,'RAW_농산물_8월'!$A:$A,$E302)-SUMIFS('RAW_농산물_7월'!$H:$H,'RAW_농산물_7월'!$D:$D,$C302,'RAW_농산물_7월'!$A:$A,$E302)))</f>
        <v/>
      </c>
      <c r="P302" s="7" t="str">
        <f>IF($C302="","",IF(COUNTA('RAW_농산물_9월'!$A:$A)&lt;=1,"",SUMIFS('RAW_농산물_9월'!$H:$H,'RAW_농산물_9월'!$D:$D,$C302,'RAW_농산물_9월'!$A:$A,$E302)-SUMIFS('RAW_농산물_8월'!$H:$H,'RAW_농산물_8월'!$D:$D,$C302,'RAW_농산물_8월'!$A:$A,$E302)))</f>
        <v/>
      </c>
      <c r="Q302" s="7" t="str">
        <f>IF($C302="","",IF(COUNTA('RAW_농산물_10월'!$A:$A)&lt;=1,"",SUMIFS('RAW_농산물_10월'!$H:$H,'RAW_농산물_10월'!$D:$D,$C302,'RAW_농산물_10월'!$A:$A,$E302)-SUMIFS('RAW_농산물_9월'!$H:$H,'RAW_농산물_9월'!$D:$D,$C302,'RAW_농산물_9월'!$A:$A,$E302)))</f>
        <v/>
      </c>
      <c r="R302" s="7" t="str">
        <f>IF($C302="","",IF(COUNTA('RAW_농산물_11-12월'!$A:$A)&lt;=1,"",SUMIFS('RAW_농산물_11-12월'!$H:$H,'RAW_농산물_11-12월'!$D:$D,$C302,'RAW_농산물_11-12월'!$A:$A,$E302)-SUMIFS('RAW_농산물_10월'!$H:$H,'RAW_농산물_10월'!$D:$D,$C302,'RAW_농산물_10월'!$A:$A,$E302)))</f>
        <v/>
      </c>
      <c r="S302" s="17" t="str">
        <f t="shared" si="4"/>
        <v/>
      </c>
      <c r="T302" s="17" t="str">
        <f t="shared" si="5"/>
        <v/>
      </c>
      <c r="U302" s="7">
        <f>IF($C302="",0,IF('설정'!$B$3=0,0,CHOOSE('설정'!$B$3,COUNTIFS('RAW_농산물_7월'!$D:$D,$C302,'RAW_농산물_7월'!$A:$A,$E302),COUNTIFS('RAW_농산물_8월'!$D:$D,$C302,'RAW_농산물_8월'!$A:$A,$E302),COUNTIFS('RAW_농산물_9월'!$D:$D,$C302,'RAW_농산물_9월'!$A:$A,$E302),COUNTIFS('RAW_농산물_10월'!$D:$D,$C302,'RAW_농산물_10월'!$A:$A,$E302),COUNTIFS('RAW_농산물_11-12월'!$D:$D,$C302,'RAW_농산물_11-12월'!$A:$A,$E302))))</f>
        <v>0</v>
      </c>
    </row>
    <row r="303" ht="15.75" customHeight="1">
      <c r="A303" s="5"/>
      <c r="B303" s="5"/>
      <c r="C303" s="5"/>
      <c r="D303" s="6"/>
      <c r="E303" s="5"/>
      <c r="F303" s="7" t="str">
        <f>IF($C303="","",IF('설정'!$B$3=0,"",CHOOSE('설정'!$B$3,SUMIFS('RAW_농산물_7월'!$F:$F,'RAW_농산물_7월'!$D:$D,$C303,'RAW_농산물_7월'!$A:$A,$E303),SUMIFS('RAW_농산물_8월'!$F:$F,'RAW_농산물_8월'!$D:$D,$C303,'RAW_농산물_8월'!$A:$A,$E303),SUMIFS('RAW_농산물_9월'!$F:$F,'RAW_농산물_9월'!$D:$D,$C303,'RAW_농산물_9월'!$A:$A,$E303),SUMIFS('RAW_농산물_10월'!$F:$F,'RAW_농산물_10월'!$D:$D,$C303,'RAW_농산물_10월'!$A:$A,$E303),SUMIFS('RAW_농산물_11-12월'!$F:$F,'RAW_농산물_11-12월'!$D:$D,$C303,'RAW_농산물_11-12월'!$A:$A,$E303))))</f>
        <v/>
      </c>
      <c r="G303" s="7" t="str">
        <f>IF($C303="","",IF('설정'!$B$3=0,"",CHOOSE('설정'!$B$3,SUMIFS('RAW_농산물_7월'!$G:$G,'RAW_농산물_7월'!$D:$D,$C303,'RAW_농산물_7월'!$A:$A,$E303),SUMIFS('RAW_농산물_8월'!$G:$G,'RAW_농산물_8월'!$D:$D,$C303,'RAW_농산물_8월'!$A:$A,$E303),SUMIFS('RAW_농산물_9월'!$G:$G,'RAW_농산물_9월'!$D:$D,$C303,'RAW_농산물_9월'!$A:$A,$E303),SUMIFS('RAW_농산물_10월'!$G:$G,'RAW_농산물_10월'!$D:$D,$C303,'RAW_농산물_10월'!$A:$A,$E303),SUMIFS('RAW_농산물_11-12월'!$G:$G,'RAW_농산물_11-12월'!$D:$D,$C303,'RAW_농산물_11-12월'!$A:$A,$E303))))</f>
        <v/>
      </c>
      <c r="H303" s="14" t="str">
        <f>IF($C303="","",IF('설정'!$B$3=0,"",CHOOSE('설정'!$B$3,SUMIFS('RAW_농산물_7월'!$H:$H,'RAW_농산물_7월'!$D:$D,$C303,'RAW_농산물_7월'!$A:$A,$E303),SUMIFS('RAW_농산물_8월'!$H:$H,'RAW_농산물_8월'!$D:$D,$C303,'RAW_농산물_8월'!$A:$A,$E303),SUMIFS('RAW_농산물_9월'!$H:$H,'RAW_농산물_9월'!$D:$D,$C303,'RAW_농산물_9월'!$A:$A,$E303),SUMIFS('RAW_농산물_10월'!$H:$H,'RAW_농산물_10월'!$D:$D,$C303,'RAW_농산물_10월'!$A:$A,$E303),SUMIFS('RAW_농산물_11-12월'!$H:$H,'RAW_농산물_11-12월'!$D:$D,$C303,'RAW_농산물_11-12월'!$A:$A,$E303))))</f>
        <v/>
      </c>
      <c r="I303" s="17" t="str">
        <f>IF($C303="","",IF(COUNTIFS('RAW_농산물_7월'!$D:$D,$C303,'RAW_농산물_7월'!$A:$A,$E303)&gt;0,"O",""))</f>
        <v/>
      </c>
      <c r="J303" s="17" t="str">
        <f>IF($C303="","",IF(COUNTIFS('RAW_농산물_8월'!$D:$D,$C303,'RAW_농산물_8월'!$A:$A,$E303)&gt;0,"O",""))</f>
        <v/>
      </c>
      <c r="K303" s="17" t="str">
        <f>IF($C303="","",IF(COUNTIFS('RAW_농산물_9월'!$D:$D,$C303,'RAW_농산물_9월'!$A:$A,$E303)&gt;0,"O",""))</f>
        <v/>
      </c>
      <c r="L303" s="17" t="str">
        <f>IF($C303="","",IF(COUNTIFS('RAW_농산물_10월'!$D:$D,$C303,'RAW_농산물_10월'!$A:$A,$E303)&gt;0,"O",""))</f>
        <v/>
      </c>
      <c r="M303" s="17" t="str">
        <f>IF($C303="","",IF(COUNTIFS('RAW_농산물_11-12월'!$D:$D,$C303,'RAW_농산물_11-12월'!$A:$A,$E303)&gt;0,"O",""))</f>
        <v/>
      </c>
      <c r="N303" s="7" t="str">
        <f>IF($C303="","",IF(COUNTA('RAW_농산물_7월'!$A:$A)&lt;=1,"",SUMIFS('RAW_농산물_7월'!$H:$H,'RAW_농산물_7월'!$D:$D,$C303,'RAW_농산물_7월'!$A:$A,$E303)))</f>
        <v/>
      </c>
      <c r="O303" s="7" t="str">
        <f>IF($C303="","",IF(COUNTA('RAW_농산물_8월'!$A:$A)&lt;=1,"",SUMIFS('RAW_농산물_8월'!$H:$H,'RAW_농산물_8월'!$D:$D,$C303,'RAW_농산물_8월'!$A:$A,$E303)-SUMIFS('RAW_농산물_7월'!$H:$H,'RAW_농산물_7월'!$D:$D,$C303,'RAW_농산물_7월'!$A:$A,$E303)))</f>
        <v/>
      </c>
      <c r="P303" s="7" t="str">
        <f>IF($C303="","",IF(COUNTA('RAW_농산물_9월'!$A:$A)&lt;=1,"",SUMIFS('RAW_농산물_9월'!$H:$H,'RAW_농산물_9월'!$D:$D,$C303,'RAW_농산물_9월'!$A:$A,$E303)-SUMIFS('RAW_농산물_8월'!$H:$H,'RAW_농산물_8월'!$D:$D,$C303,'RAW_농산물_8월'!$A:$A,$E303)))</f>
        <v/>
      </c>
      <c r="Q303" s="7" t="str">
        <f>IF($C303="","",IF(COUNTA('RAW_농산물_10월'!$A:$A)&lt;=1,"",SUMIFS('RAW_농산물_10월'!$H:$H,'RAW_농산물_10월'!$D:$D,$C303,'RAW_농산물_10월'!$A:$A,$E303)-SUMIFS('RAW_농산물_9월'!$H:$H,'RAW_농산물_9월'!$D:$D,$C303,'RAW_농산물_9월'!$A:$A,$E303)))</f>
        <v/>
      </c>
      <c r="R303" s="7" t="str">
        <f>IF($C303="","",IF(COUNTA('RAW_농산물_11-12월'!$A:$A)&lt;=1,"",SUMIFS('RAW_농산물_11-12월'!$H:$H,'RAW_농산물_11-12월'!$D:$D,$C303,'RAW_농산물_11-12월'!$A:$A,$E303)-SUMIFS('RAW_농산물_10월'!$H:$H,'RAW_농산물_10월'!$D:$D,$C303,'RAW_농산물_10월'!$A:$A,$E303)))</f>
        <v/>
      </c>
      <c r="S303" s="17" t="str">
        <f t="shared" si="4"/>
        <v/>
      </c>
      <c r="T303" s="17" t="str">
        <f t="shared" si="5"/>
        <v/>
      </c>
      <c r="U303" s="7">
        <f>IF($C303="",0,IF('설정'!$B$3=0,0,CHOOSE('설정'!$B$3,COUNTIFS('RAW_농산물_7월'!$D:$D,$C303,'RAW_농산물_7월'!$A:$A,$E303),COUNTIFS('RAW_농산물_8월'!$D:$D,$C303,'RAW_농산물_8월'!$A:$A,$E303),COUNTIFS('RAW_농산물_9월'!$D:$D,$C303,'RAW_농산물_9월'!$A:$A,$E303),COUNTIFS('RAW_농산물_10월'!$D:$D,$C303,'RAW_농산물_10월'!$A:$A,$E303),COUNTIFS('RAW_농산물_11-12월'!$D:$D,$C303,'RAW_농산물_11-12월'!$A:$A,$E303))))</f>
        <v>0</v>
      </c>
    </row>
    <row r="304" ht="15.75" customHeight="1">
      <c r="A304" s="5"/>
      <c r="B304" s="5"/>
      <c r="C304" s="5"/>
      <c r="D304" s="6"/>
      <c r="E304" s="5"/>
      <c r="F304" s="7" t="str">
        <f>IF($C304="","",IF('설정'!$B$3=0,"",CHOOSE('설정'!$B$3,SUMIFS('RAW_농산물_7월'!$F:$F,'RAW_농산물_7월'!$D:$D,$C304,'RAW_농산물_7월'!$A:$A,$E304),SUMIFS('RAW_농산물_8월'!$F:$F,'RAW_농산물_8월'!$D:$D,$C304,'RAW_농산물_8월'!$A:$A,$E304),SUMIFS('RAW_농산물_9월'!$F:$F,'RAW_농산물_9월'!$D:$D,$C304,'RAW_농산물_9월'!$A:$A,$E304),SUMIFS('RAW_농산물_10월'!$F:$F,'RAW_농산물_10월'!$D:$D,$C304,'RAW_농산물_10월'!$A:$A,$E304),SUMIFS('RAW_농산물_11-12월'!$F:$F,'RAW_농산물_11-12월'!$D:$D,$C304,'RAW_농산물_11-12월'!$A:$A,$E304))))</f>
        <v/>
      </c>
      <c r="G304" s="7" t="str">
        <f>IF($C304="","",IF('설정'!$B$3=0,"",CHOOSE('설정'!$B$3,SUMIFS('RAW_농산물_7월'!$G:$G,'RAW_농산물_7월'!$D:$D,$C304,'RAW_농산물_7월'!$A:$A,$E304),SUMIFS('RAW_농산물_8월'!$G:$G,'RAW_농산물_8월'!$D:$D,$C304,'RAW_농산물_8월'!$A:$A,$E304),SUMIFS('RAW_농산물_9월'!$G:$G,'RAW_농산물_9월'!$D:$D,$C304,'RAW_농산물_9월'!$A:$A,$E304),SUMIFS('RAW_농산물_10월'!$G:$G,'RAW_농산물_10월'!$D:$D,$C304,'RAW_농산물_10월'!$A:$A,$E304),SUMIFS('RAW_농산물_11-12월'!$G:$G,'RAW_농산물_11-12월'!$D:$D,$C304,'RAW_농산물_11-12월'!$A:$A,$E304))))</f>
        <v/>
      </c>
      <c r="H304" s="14" t="str">
        <f>IF($C304="","",IF('설정'!$B$3=0,"",CHOOSE('설정'!$B$3,SUMIFS('RAW_농산물_7월'!$H:$H,'RAW_농산물_7월'!$D:$D,$C304,'RAW_농산물_7월'!$A:$A,$E304),SUMIFS('RAW_농산물_8월'!$H:$H,'RAW_농산물_8월'!$D:$D,$C304,'RAW_농산물_8월'!$A:$A,$E304),SUMIFS('RAW_농산물_9월'!$H:$H,'RAW_농산물_9월'!$D:$D,$C304,'RAW_농산물_9월'!$A:$A,$E304),SUMIFS('RAW_농산물_10월'!$H:$H,'RAW_농산물_10월'!$D:$D,$C304,'RAW_농산물_10월'!$A:$A,$E304),SUMIFS('RAW_농산물_11-12월'!$H:$H,'RAW_농산물_11-12월'!$D:$D,$C304,'RAW_농산물_11-12월'!$A:$A,$E304))))</f>
        <v/>
      </c>
      <c r="I304" s="17" t="str">
        <f>IF($C304="","",IF(COUNTIFS('RAW_농산물_7월'!$D:$D,$C304,'RAW_농산물_7월'!$A:$A,$E304)&gt;0,"O",""))</f>
        <v/>
      </c>
      <c r="J304" s="17" t="str">
        <f>IF($C304="","",IF(COUNTIFS('RAW_농산물_8월'!$D:$D,$C304,'RAW_농산물_8월'!$A:$A,$E304)&gt;0,"O",""))</f>
        <v/>
      </c>
      <c r="K304" s="17" t="str">
        <f>IF($C304="","",IF(COUNTIFS('RAW_농산물_9월'!$D:$D,$C304,'RAW_농산물_9월'!$A:$A,$E304)&gt;0,"O",""))</f>
        <v/>
      </c>
      <c r="L304" s="17" t="str">
        <f>IF($C304="","",IF(COUNTIFS('RAW_농산물_10월'!$D:$D,$C304,'RAW_농산물_10월'!$A:$A,$E304)&gt;0,"O",""))</f>
        <v/>
      </c>
      <c r="M304" s="17" t="str">
        <f>IF($C304="","",IF(COUNTIFS('RAW_농산물_11-12월'!$D:$D,$C304,'RAW_농산물_11-12월'!$A:$A,$E304)&gt;0,"O",""))</f>
        <v/>
      </c>
      <c r="N304" s="7" t="str">
        <f>IF($C304="","",IF(COUNTA('RAW_농산물_7월'!$A:$A)&lt;=1,"",SUMIFS('RAW_농산물_7월'!$H:$H,'RAW_농산물_7월'!$D:$D,$C304,'RAW_농산물_7월'!$A:$A,$E304)))</f>
        <v/>
      </c>
      <c r="O304" s="7" t="str">
        <f>IF($C304="","",IF(COUNTA('RAW_농산물_8월'!$A:$A)&lt;=1,"",SUMIFS('RAW_농산물_8월'!$H:$H,'RAW_농산물_8월'!$D:$D,$C304,'RAW_농산물_8월'!$A:$A,$E304)-SUMIFS('RAW_농산물_7월'!$H:$H,'RAW_농산물_7월'!$D:$D,$C304,'RAW_농산물_7월'!$A:$A,$E304)))</f>
        <v/>
      </c>
      <c r="P304" s="7" t="str">
        <f>IF($C304="","",IF(COUNTA('RAW_농산물_9월'!$A:$A)&lt;=1,"",SUMIFS('RAW_농산물_9월'!$H:$H,'RAW_농산물_9월'!$D:$D,$C304,'RAW_농산물_9월'!$A:$A,$E304)-SUMIFS('RAW_농산물_8월'!$H:$H,'RAW_농산물_8월'!$D:$D,$C304,'RAW_농산물_8월'!$A:$A,$E304)))</f>
        <v/>
      </c>
      <c r="Q304" s="7" t="str">
        <f>IF($C304="","",IF(COUNTA('RAW_농산물_10월'!$A:$A)&lt;=1,"",SUMIFS('RAW_농산물_10월'!$H:$H,'RAW_농산물_10월'!$D:$D,$C304,'RAW_농산물_10월'!$A:$A,$E304)-SUMIFS('RAW_농산물_9월'!$H:$H,'RAW_농산물_9월'!$D:$D,$C304,'RAW_농산물_9월'!$A:$A,$E304)))</f>
        <v/>
      </c>
      <c r="R304" s="7" t="str">
        <f>IF($C304="","",IF(COUNTA('RAW_농산물_11-12월'!$A:$A)&lt;=1,"",SUMIFS('RAW_농산물_11-12월'!$H:$H,'RAW_농산물_11-12월'!$D:$D,$C304,'RAW_농산물_11-12월'!$A:$A,$E304)-SUMIFS('RAW_농산물_10월'!$H:$H,'RAW_농산물_10월'!$D:$D,$C304,'RAW_농산물_10월'!$A:$A,$E304)))</f>
        <v/>
      </c>
      <c r="S304" s="17" t="str">
        <f t="shared" si="4"/>
        <v/>
      </c>
      <c r="T304" s="17" t="str">
        <f t="shared" si="5"/>
        <v/>
      </c>
      <c r="U304" s="7">
        <f>IF($C304="",0,IF('설정'!$B$3=0,0,CHOOSE('설정'!$B$3,COUNTIFS('RAW_농산물_7월'!$D:$D,$C304,'RAW_농산물_7월'!$A:$A,$E304),COUNTIFS('RAW_농산물_8월'!$D:$D,$C304,'RAW_농산물_8월'!$A:$A,$E304),COUNTIFS('RAW_농산물_9월'!$D:$D,$C304,'RAW_농산물_9월'!$A:$A,$E304),COUNTIFS('RAW_농산물_10월'!$D:$D,$C304,'RAW_농산물_10월'!$A:$A,$E304),COUNTIFS('RAW_농산물_11-12월'!$D:$D,$C304,'RAW_농산물_11-12월'!$A:$A,$E304))))</f>
        <v>0</v>
      </c>
    </row>
    <row r="305" ht="15.75" customHeight="1">
      <c r="A305" s="5"/>
      <c r="B305" s="5"/>
      <c r="C305" s="5"/>
      <c r="D305" s="6"/>
      <c r="E305" s="5"/>
      <c r="F305" s="7" t="str">
        <f>IF($C305="","",IF('설정'!$B$3=0,"",CHOOSE('설정'!$B$3,SUMIFS('RAW_농산물_7월'!$F:$F,'RAW_농산물_7월'!$D:$D,$C305,'RAW_농산물_7월'!$A:$A,$E305),SUMIFS('RAW_농산물_8월'!$F:$F,'RAW_농산물_8월'!$D:$D,$C305,'RAW_농산물_8월'!$A:$A,$E305),SUMIFS('RAW_농산물_9월'!$F:$F,'RAW_농산물_9월'!$D:$D,$C305,'RAW_농산물_9월'!$A:$A,$E305),SUMIFS('RAW_농산물_10월'!$F:$F,'RAW_농산물_10월'!$D:$D,$C305,'RAW_농산물_10월'!$A:$A,$E305),SUMIFS('RAW_농산물_11-12월'!$F:$F,'RAW_농산물_11-12월'!$D:$D,$C305,'RAW_농산물_11-12월'!$A:$A,$E305))))</f>
        <v/>
      </c>
      <c r="G305" s="7" t="str">
        <f>IF($C305="","",IF('설정'!$B$3=0,"",CHOOSE('설정'!$B$3,SUMIFS('RAW_농산물_7월'!$G:$G,'RAW_농산물_7월'!$D:$D,$C305,'RAW_농산물_7월'!$A:$A,$E305),SUMIFS('RAW_농산물_8월'!$G:$G,'RAW_농산물_8월'!$D:$D,$C305,'RAW_농산물_8월'!$A:$A,$E305),SUMIFS('RAW_농산물_9월'!$G:$G,'RAW_농산물_9월'!$D:$D,$C305,'RAW_농산물_9월'!$A:$A,$E305),SUMIFS('RAW_농산물_10월'!$G:$G,'RAW_농산물_10월'!$D:$D,$C305,'RAW_농산물_10월'!$A:$A,$E305),SUMIFS('RAW_농산물_11-12월'!$G:$G,'RAW_농산물_11-12월'!$D:$D,$C305,'RAW_농산물_11-12월'!$A:$A,$E305))))</f>
        <v/>
      </c>
      <c r="H305" s="14" t="str">
        <f>IF($C305="","",IF('설정'!$B$3=0,"",CHOOSE('설정'!$B$3,SUMIFS('RAW_농산물_7월'!$H:$H,'RAW_농산물_7월'!$D:$D,$C305,'RAW_농산물_7월'!$A:$A,$E305),SUMIFS('RAW_농산물_8월'!$H:$H,'RAW_농산물_8월'!$D:$D,$C305,'RAW_농산물_8월'!$A:$A,$E305),SUMIFS('RAW_농산물_9월'!$H:$H,'RAW_농산물_9월'!$D:$D,$C305,'RAW_농산물_9월'!$A:$A,$E305),SUMIFS('RAW_농산물_10월'!$H:$H,'RAW_농산물_10월'!$D:$D,$C305,'RAW_농산물_10월'!$A:$A,$E305),SUMIFS('RAW_농산물_11-12월'!$H:$H,'RAW_농산물_11-12월'!$D:$D,$C305,'RAW_농산물_11-12월'!$A:$A,$E305))))</f>
        <v/>
      </c>
      <c r="I305" s="17" t="str">
        <f>IF($C305="","",IF(COUNTIFS('RAW_농산물_7월'!$D:$D,$C305,'RAW_농산물_7월'!$A:$A,$E305)&gt;0,"O",""))</f>
        <v/>
      </c>
      <c r="J305" s="17" t="str">
        <f>IF($C305="","",IF(COUNTIFS('RAW_농산물_8월'!$D:$D,$C305,'RAW_농산물_8월'!$A:$A,$E305)&gt;0,"O",""))</f>
        <v/>
      </c>
      <c r="K305" s="17" t="str">
        <f>IF($C305="","",IF(COUNTIFS('RAW_농산물_9월'!$D:$D,$C305,'RAW_농산물_9월'!$A:$A,$E305)&gt;0,"O",""))</f>
        <v/>
      </c>
      <c r="L305" s="17" t="str">
        <f>IF($C305="","",IF(COUNTIFS('RAW_농산물_10월'!$D:$D,$C305,'RAW_농산물_10월'!$A:$A,$E305)&gt;0,"O",""))</f>
        <v/>
      </c>
      <c r="M305" s="17" t="str">
        <f>IF($C305="","",IF(COUNTIFS('RAW_농산물_11-12월'!$D:$D,$C305,'RAW_농산물_11-12월'!$A:$A,$E305)&gt;0,"O",""))</f>
        <v/>
      </c>
      <c r="N305" s="7" t="str">
        <f>IF($C305="","",IF(COUNTA('RAW_농산물_7월'!$A:$A)&lt;=1,"",SUMIFS('RAW_농산물_7월'!$H:$H,'RAW_농산물_7월'!$D:$D,$C305,'RAW_농산물_7월'!$A:$A,$E305)))</f>
        <v/>
      </c>
      <c r="O305" s="7" t="str">
        <f>IF($C305="","",IF(COUNTA('RAW_농산물_8월'!$A:$A)&lt;=1,"",SUMIFS('RAW_농산물_8월'!$H:$H,'RAW_농산물_8월'!$D:$D,$C305,'RAW_농산물_8월'!$A:$A,$E305)-SUMIFS('RAW_농산물_7월'!$H:$H,'RAW_농산물_7월'!$D:$D,$C305,'RAW_농산물_7월'!$A:$A,$E305)))</f>
        <v/>
      </c>
      <c r="P305" s="7" t="str">
        <f>IF($C305="","",IF(COUNTA('RAW_농산물_9월'!$A:$A)&lt;=1,"",SUMIFS('RAW_농산물_9월'!$H:$H,'RAW_농산물_9월'!$D:$D,$C305,'RAW_농산물_9월'!$A:$A,$E305)-SUMIFS('RAW_농산물_8월'!$H:$H,'RAW_농산물_8월'!$D:$D,$C305,'RAW_농산물_8월'!$A:$A,$E305)))</f>
        <v/>
      </c>
      <c r="Q305" s="7" t="str">
        <f>IF($C305="","",IF(COUNTA('RAW_농산물_10월'!$A:$A)&lt;=1,"",SUMIFS('RAW_농산물_10월'!$H:$H,'RAW_농산물_10월'!$D:$D,$C305,'RAW_농산물_10월'!$A:$A,$E305)-SUMIFS('RAW_농산물_9월'!$H:$H,'RAW_농산물_9월'!$D:$D,$C305,'RAW_농산물_9월'!$A:$A,$E305)))</f>
        <v/>
      </c>
      <c r="R305" s="7" t="str">
        <f>IF($C305="","",IF(COUNTA('RAW_농산물_11-12월'!$A:$A)&lt;=1,"",SUMIFS('RAW_농산물_11-12월'!$H:$H,'RAW_농산물_11-12월'!$D:$D,$C305,'RAW_농산물_11-12월'!$A:$A,$E305)-SUMIFS('RAW_농산물_10월'!$H:$H,'RAW_농산물_10월'!$D:$D,$C305,'RAW_농산물_10월'!$A:$A,$E305)))</f>
        <v/>
      </c>
      <c r="S305" s="17" t="str">
        <f t="shared" si="4"/>
        <v/>
      </c>
      <c r="T305" s="17" t="str">
        <f t="shared" si="5"/>
        <v/>
      </c>
      <c r="U305" s="7">
        <f>IF($C305="",0,IF('설정'!$B$3=0,0,CHOOSE('설정'!$B$3,COUNTIFS('RAW_농산물_7월'!$D:$D,$C305,'RAW_농산물_7월'!$A:$A,$E305),COUNTIFS('RAW_농산물_8월'!$D:$D,$C305,'RAW_농산물_8월'!$A:$A,$E305),COUNTIFS('RAW_농산물_9월'!$D:$D,$C305,'RAW_농산물_9월'!$A:$A,$E305),COUNTIFS('RAW_농산물_10월'!$D:$D,$C305,'RAW_농산물_10월'!$A:$A,$E305),COUNTIFS('RAW_농산물_11-12월'!$D:$D,$C305,'RAW_농산물_11-12월'!$A:$A,$E305))))</f>
        <v>0</v>
      </c>
    </row>
    <row r="306" ht="15.75" customHeight="1">
      <c r="A306" s="5"/>
      <c r="B306" s="5"/>
      <c r="C306" s="5"/>
      <c r="D306" s="6"/>
      <c r="E306" s="5"/>
      <c r="F306" s="7" t="str">
        <f>IF($C306="","",IF('설정'!$B$3=0,"",CHOOSE('설정'!$B$3,SUMIFS('RAW_농산물_7월'!$F:$F,'RAW_농산물_7월'!$D:$D,$C306,'RAW_농산물_7월'!$A:$A,$E306),SUMIFS('RAW_농산물_8월'!$F:$F,'RAW_농산물_8월'!$D:$D,$C306,'RAW_농산물_8월'!$A:$A,$E306),SUMIFS('RAW_농산물_9월'!$F:$F,'RAW_농산물_9월'!$D:$D,$C306,'RAW_농산물_9월'!$A:$A,$E306),SUMIFS('RAW_농산물_10월'!$F:$F,'RAW_농산물_10월'!$D:$D,$C306,'RAW_농산물_10월'!$A:$A,$E306),SUMIFS('RAW_농산물_11-12월'!$F:$F,'RAW_농산물_11-12월'!$D:$D,$C306,'RAW_농산물_11-12월'!$A:$A,$E306))))</f>
        <v/>
      </c>
      <c r="G306" s="7" t="str">
        <f>IF($C306="","",IF('설정'!$B$3=0,"",CHOOSE('설정'!$B$3,SUMIFS('RAW_농산물_7월'!$G:$G,'RAW_농산물_7월'!$D:$D,$C306,'RAW_농산물_7월'!$A:$A,$E306),SUMIFS('RAW_농산물_8월'!$G:$G,'RAW_농산물_8월'!$D:$D,$C306,'RAW_농산물_8월'!$A:$A,$E306),SUMIFS('RAW_농산물_9월'!$G:$G,'RAW_농산물_9월'!$D:$D,$C306,'RAW_농산물_9월'!$A:$A,$E306),SUMIFS('RAW_농산물_10월'!$G:$G,'RAW_농산물_10월'!$D:$D,$C306,'RAW_농산물_10월'!$A:$A,$E306),SUMIFS('RAW_농산물_11-12월'!$G:$G,'RAW_농산물_11-12월'!$D:$D,$C306,'RAW_농산물_11-12월'!$A:$A,$E306))))</f>
        <v/>
      </c>
      <c r="H306" s="14" t="str">
        <f>IF($C306="","",IF('설정'!$B$3=0,"",CHOOSE('설정'!$B$3,SUMIFS('RAW_농산물_7월'!$H:$H,'RAW_농산물_7월'!$D:$D,$C306,'RAW_농산물_7월'!$A:$A,$E306),SUMIFS('RAW_농산물_8월'!$H:$H,'RAW_농산물_8월'!$D:$D,$C306,'RAW_농산물_8월'!$A:$A,$E306),SUMIFS('RAW_농산물_9월'!$H:$H,'RAW_농산물_9월'!$D:$D,$C306,'RAW_농산물_9월'!$A:$A,$E306),SUMIFS('RAW_농산물_10월'!$H:$H,'RAW_농산물_10월'!$D:$D,$C306,'RAW_농산물_10월'!$A:$A,$E306),SUMIFS('RAW_농산물_11-12월'!$H:$H,'RAW_농산물_11-12월'!$D:$D,$C306,'RAW_농산물_11-12월'!$A:$A,$E306))))</f>
        <v/>
      </c>
      <c r="I306" s="17" t="str">
        <f>IF($C306="","",IF(COUNTIFS('RAW_농산물_7월'!$D:$D,$C306,'RAW_농산물_7월'!$A:$A,$E306)&gt;0,"O",""))</f>
        <v/>
      </c>
      <c r="J306" s="17" t="str">
        <f>IF($C306="","",IF(COUNTIFS('RAW_농산물_8월'!$D:$D,$C306,'RAW_농산물_8월'!$A:$A,$E306)&gt;0,"O",""))</f>
        <v/>
      </c>
      <c r="K306" s="17" t="str">
        <f>IF($C306="","",IF(COUNTIFS('RAW_농산물_9월'!$D:$D,$C306,'RAW_농산물_9월'!$A:$A,$E306)&gt;0,"O",""))</f>
        <v/>
      </c>
      <c r="L306" s="17" t="str">
        <f>IF($C306="","",IF(COUNTIFS('RAW_농산물_10월'!$D:$D,$C306,'RAW_농산물_10월'!$A:$A,$E306)&gt;0,"O",""))</f>
        <v/>
      </c>
      <c r="M306" s="17" t="str">
        <f>IF($C306="","",IF(COUNTIFS('RAW_농산물_11-12월'!$D:$D,$C306,'RAW_농산물_11-12월'!$A:$A,$E306)&gt;0,"O",""))</f>
        <v/>
      </c>
      <c r="N306" s="7" t="str">
        <f>IF($C306="","",IF(COUNTA('RAW_농산물_7월'!$A:$A)&lt;=1,"",SUMIFS('RAW_농산물_7월'!$H:$H,'RAW_농산물_7월'!$D:$D,$C306,'RAW_농산물_7월'!$A:$A,$E306)))</f>
        <v/>
      </c>
      <c r="O306" s="7" t="str">
        <f>IF($C306="","",IF(COUNTA('RAW_농산물_8월'!$A:$A)&lt;=1,"",SUMIFS('RAW_농산물_8월'!$H:$H,'RAW_농산물_8월'!$D:$D,$C306,'RAW_농산물_8월'!$A:$A,$E306)-SUMIFS('RAW_농산물_7월'!$H:$H,'RAW_농산물_7월'!$D:$D,$C306,'RAW_농산물_7월'!$A:$A,$E306)))</f>
        <v/>
      </c>
      <c r="P306" s="7" t="str">
        <f>IF($C306="","",IF(COUNTA('RAW_농산물_9월'!$A:$A)&lt;=1,"",SUMIFS('RAW_농산물_9월'!$H:$H,'RAW_농산물_9월'!$D:$D,$C306,'RAW_농산물_9월'!$A:$A,$E306)-SUMIFS('RAW_농산물_8월'!$H:$H,'RAW_농산물_8월'!$D:$D,$C306,'RAW_농산물_8월'!$A:$A,$E306)))</f>
        <v/>
      </c>
      <c r="Q306" s="7" t="str">
        <f>IF($C306="","",IF(COUNTA('RAW_농산물_10월'!$A:$A)&lt;=1,"",SUMIFS('RAW_농산물_10월'!$H:$H,'RAW_농산물_10월'!$D:$D,$C306,'RAW_농산물_10월'!$A:$A,$E306)-SUMIFS('RAW_농산물_9월'!$H:$H,'RAW_농산물_9월'!$D:$D,$C306,'RAW_농산물_9월'!$A:$A,$E306)))</f>
        <v/>
      </c>
      <c r="R306" s="7" t="str">
        <f>IF($C306="","",IF(COUNTA('RAW_농산물_11-12월'!$A:$A)&lt;=1,"",SUMIFS('RAW_농산물_11-12월'!$H:$H,'RAW_농산물_11-12월'!$D:$D,$C306,'RAW_농산물_11-12월'!$A:$A,$E306)-SUMIFS('RAW_농산물_10월'!$H:$H,'RAW_농산물_10월'!$D:$D,$C306,'RAW_농산물_10월'!$A:$A,$E306)))</f>
        <v/>
      </c>
      <c r="S306" s="17" t="str">
        <f t="shared" si="4"/>
        <v/>
      </c>
      <c r="T306" s="17" t="str">
        <f t="shared" si="5"/>
        <v/>
      </c>
      <c r="U306" s="7">
        <f>IF($C306="",0,IF('설정'!$B$3=0,0,CHOOSE('설정'!$B$3,COUNTIFS('RAW_농산물_7월'!$D:$D,$C306,'RAW_농산물_7월'!$A:$A,$E306),COUNTIFS('RAW_농산물_8월'!$D:$D,$C306,'RAW_농산물_8월'!$A:$A,$E306),COUNTIFS('RAW_농산물_9월'!$D:$D,$C306,'RAW_농산물_9월'!$A:$A,$E306),COUNTIFS('RAW_농산물_10월'!$D:$D,$C306,'RAW_농산물_10월'!$A:$A,$E306),COUNTIFS('RAW_농산물_11-12월'!$D:$D,$C306,'RAW_농산물_11-12월'!$A:$A,$E306))))</f>
        <v>0</v>
      </c>
    </row>
    <row r="307" ht="15.75" customHeight="1">
      <c r="A307" s="5"/>
      <c r="B307" s="5"/>
      <c r="C307" s="5"/>
      <c r="D307" s="6"/>
      <c r="E307" s="5"/>
      <c r="F307" s="7" t="str">
        <f>IF($C307="","",IF('설정'!$B$3=0,"",CHOOSE('설정'!$B$3,SUMIFS('RAW_농산물_7월'!$F:$F,'RAW_농산물_7월'!$D:$D,$C307,'RAW_농산물_7월'!$A:$A,$E307),SUMIFS('RAW_농산물_8월'!$F:$F,'RAW_농산물_8월'!$D:$D,$C307,'RAW_농산물_8월'!$A:$A,$E307),SUMIFS('RAW_농산물_9월'!$F:$F,'RAW_농산물_9월'!$D:$D,$C307,'RAW_농산물_9월'!$A:$A,$E307),SUMIFS('RAW_농산물_10월'!$F:$F,'RAW_농산물_10월'!$D:$D,$C307,'RAW_농산물_10월'!$A:$A,$E307),SUMIFS('RAW_농산물_11-12월'!$F:$F,'RAW_농산물_11-12월'!$D:$D,$C307,'RAW_농산물_11-12월'!$A:$A,$E307))))</f>
        <v/>
      </c>
      <c r="G307" s="7" t="str">
        <f>IF($C307="","",IF('설정'!$B$3=0,"",CHOOSE('설정'!$B$3,SUMIFS('RAW_농산물_7월'!$G:$G,'RAW_농산물_7월'!$D:$D,$C307,'RAW_농산물_7월'!$A:$A,$E307),SUMIFS('RAW_농산물_8월'!$G:$G,'RAW_농산물_8월'!$D:$D,$C307,'RAW_농산물_8월'!$A:$A,$E307),SUMIFS('RAW_농산물_9월'!$G:$G,'RAW_농산물_9월'!$D:$D,$C307,'RAW_농산물_9월'!$A:$A,$E307),SUMIFS('RAW_농산물_10월'!$G:$G,'RAW_농산물_10월'!$D:$D,$C307,'RAW_농산물_10월'!$A:$A,$E307),SUMIFS('RAW_농산물_11-12월'!$G:$G,'RAW_농산물_11-12월'!$D:$D,$C307,'RAW_농산물_11-12월'!$A:$A,$E307))))</f>
        <v/>
      </c>
      <c r="H307" s="14" t="str">
        <f>IF($C307="","",IF('설정'!$B$3=0,"",CHOOSE('설정'!$B$3,SUMIFS('RAW_농산물_7월'!$H:$H,'RAW_농산물_7월'!$D:$D,$C307,'RAW_농산물_7월'!$A:$A,$E307),SUMIFS('RAW_농산물_8월'!$H:$H,'RAW_농산물_8월'!$D:$D,$C307,'RAW_농산물_8월'!$A:$A,$E307),SUMIFS('RAW_농산물_9월'!$H:$H,'RAW_농산물_9월'!$D:$D,$C307,'RAW_농산물_9월'!$A:$A,$E307),SUMIFS('RAW_농산물_10월'!$H:$H,'RAW_농산물_10월'!$D:$D,$C307,'RAW_농산물_10월'!$A:$A,$E307),SUMIFS('RAW_농산물_11-12월'!$H:$H,'RAW_농산물_11-12월'!$D:$D,$C307,'RAW_농산물_11-12월'!$A:$A,$E307))))</f>
        <v/>
      </c>
      <c r="I307" s="17" t="str">
        <f>IF($C307="","",IF(COUNTIFS('RAW_농산물_7월'!$D:$D,$C307,'RAW_농산물_7월'!$A:$A,$E307)&gt;0,"O",""))</f>
        <v/>
      </c>
      <c r="J307" s="17" t="str">
        <f>IF($C307="","",IF(COUNTIFS('RAW_농산물_8월'!$D:$D,$C307,'RAW_농산물_8월'!$A:$A,$E307)&gt;0,"O",""))</f>
        <v/>
      </c>
      <c r="K307" s="17" t="str">
        <f>IF($C307="","",IF(COUNTIFS('RAW_농산물_9월'!$D:$D,$C307,'RAW_농산물_9월'!$A:$A,$E307)&gt;0,"O",""))</f>
        <v/>
      </c>
      <c r="L307" s="17" t="str">
        <f>IF($C307="","",IF(COUNTIFS('RAW_농산물_10월'!$D:$D,$C307,'RAW_농산물_10월'!$A:$A,$E307)&gt;0,"O",""))</f>
        <v/>
      </c>
      <c r="M307" s="17" t="str">
        <f>IF($C307="","",IF(COUNTIFS('RAW_농산물_11-12월'!$D:$D,$C307,'RAW_농산물_11-12월'!$A:$A,$E307)&gt;0,"O",""))</f>
        <v/>
      </c>
      <c r="N307" s="7" t="str">
        <f>IF($C307="","",IF(COUNTA('RAW_농산물_7월'!$A:$A)&lt;=1,"",SUMIFS('RAW_농산물_7월'!$H:$H,'RAW_농산물_7월'!$D:$D,$C307,'RAW_농산물_7월'!$A:$A,$E307)))</f>
        <v/>
      </c>
      <c r="O307" s="7" t="str">
        <f>IF($C307="","",IF(COUNTA('RAW_농산물_8월'!$A:$A)&lt;=1,"",SUMIFS('RAW_농산물_8월'!$H:$H,'RAW_농산물_8월'!$D:$D,$C307,'RAW_농산물_8월'!$A:$A,$E307)-SUMIFS('RAW_농산물_7월'!$H:$H,'RAW_농산물_7월'!$D:$D,$C307,'RAW_농산물_7월'!$A:$A,$E307)))</f>
        <v/>
      </c>
      <c r="P307" s="7" t="str">
        <f>IF($C307="","",IF(COUNTA('RAW_농산물_9월'!$A:$A)&lt;=1,"",SUMIFS('RAW_농산물_9월'!$H:$H,'RAW_농산물_9월'!$D:$D,$C307,'RAW_농산물_9월'!$A:$A,$E307)-SUMIFS('RAW_농산물_8월'!$H:$H,'RAW_농산물_8월'!$D:$D,$C307,'RAW_농산물_8월'!$A:$A,$E307)))</f>
        <v/>
      </c>
      <c r="Q307" s="7" t="str">
        <f>IF($C307="","",IF(COUNTA('RAW_농산물_10월'!$A:$A)&lt;=1,"",SUMIFS('RAW_농산물_10월'!$H:$H,'RAW_농산물_10월'!$D:$D,$C307,'RAW_농산물_10월'!$A:$A,$E307)-SUMIFS('RAW_농산물_9월'!$H:$H,'RAW_농산물_9월'!$D:$D,$C307,'RAW_농산물_9월'!$A:$A,$E307)))</f>
        <v/>
      </c>
      <c r="R307" s="7" t="str">
        <f>IF($C307="","",IF(COUNTA('RAW_농산물_11-12월'!$A:$A)&lt;=1,"",SUMIFS('RAW_농산물_11-12월'!$H:$H,'RAW_농산물_11-12월'!$D:$D,$C307,'RAW_농산물_11-12월'!$A:$A,$E307)-SUMIFS('RAW_농산물_10월'!$H:$H,'RAW_농산물_10월'!$D:$D,$C307,'RAW_농산물_10월'!$A:$A,$E307)))</f>
        <v/>
      </c>
      <c r="S307" s="17" t="str">
        <f t="shared" si="4"/>
        <v/>
      </c>
      <c r="T307" s="17" t="str">
        <f t="shared" si="5"/>
        <v/>
      </c>
      <c r="U307" s="7">
        <f>IF($C307="",0,IF('설정'!$B$3=0,0,CHOOSE('설정'!$B$3,COUNTIFS('RAW_농산물_7월'!$D:$D,$C307,'RAW_농산물_7월'!$A:$A,$E307),COUNTIFS('RAW_농산물_8월'!$D:$D,$C307,'RAW_농산물_8월'!$A:$A,$E307),COUNTIFS('RAW_농산물_9월'!$D:$D,$C307,'RAW_농산물_9월'!$A:$A,$E307),COUNTIFS('RAW_농산물_10월'!$D:$D,$C307,'RAW_농산물_10월'!$A:$A,$E307),COUNTIFS('RAW_농산물_11-12월'!$D:$D,$C307,'RAW_농산물_11-12월'!$A:$A,$E307))))</f>
        <v>0</v>
      </c>
    </row>
    <row r="308" ht="15.75" customHeight="1">
      <c r="A308" s="5"/>
      <c r="B308" s="5"/>
      <c r="C308" s="5"/>
      <c r="D308" s="6"/>
      <c r="E308" s="5"/>
      <c r="F308" s="7" t="str">
        <f>IF($C308="","",IF('설정'!$B$3=0,"",CHOOSE('설정'!$B$3,SUMIFS('RAW_농산물_7월'!$F:$F,'RAW_농산물_7월'!$D:$D,$C308,'RAW_농산물_7월'!$A:$A,$E308),SUMIFS('RAW_농산물_8월'!$F:$F,'RAW_농산물_8월'!$D:$D,$C308,'RAW_농산물_8월'!$A:$A,$E308),SUMIFS('RAW_농산물_9월'!$F:$F,'RAW_농산물_9월'!$D:$D,$C308,'RAW_농산물_9월'!$A:$A,$E308),SUMIFS('RAW_농산물_10월'!$F:$F,'RAW_농산물_10월'!$D:$D,$C308,'RAW_농산물_10월'!$A:$A,$E308),SUMIFS('RAW_농산물_11-12월'!$F:$F,'RAW_농산물_11-12월'!$D:$D,$C308,'RAW_농산물_11-12월'!$A:$A,$E308))))</f>
        <v/>
      </c>
      <c r="G308" s="7" t="str">
        <f>IF($C308="","",IF('설정'!$B$3=0,"",CHOOSE('설정'!$B$3,SUMIFS('RAW_농산물_7월'!$G:$G,'RAW_농산물_7월'!$D:$D,$C308,'RAW_농산물_7월'!$A:$A,$E308),SUMIFS('RAW_농산물_8월'!$G:$G,'RAW_농산물_8월'!$D:$D,$C308,'RAW_농산물_8월'!$A:$A,$E308),SUMIFS('RAW_농산물_9월'!$G:$G,'RAW_농산물_9월'!$D:$D,$C308,'RAW_농산물_9월'!$A:$A,$E308),SUMIFS('RAW_농산물_10월'!$G:$G,'RAW_농산물_10월'!$D:$D,$C308,'RAW_농산물_10월'!$A:$A,$E308),SUMIFS('RAW_농산물_11-12월'!$G:$G,'RAW_농산물_11-12월'!$D:$D,$C308,'RAW_농산물_11-12월'!$A:$A,$E308))))</f>
        <v/>
      </c>
      <c r="H308" s="14" t="str">
        <f>IF($C308="","",IF('설정'!$B$3=0,"",CHOOSE('설정'!$B$3,SUMIFS('RAW_농산물_7월'!$H:$H,'RAW_농산물_7월'!$D:$D,$C308,'RAW_농산물_7월'!$A:$A,$E308),SUMIFS('RAW_농산물_8월'!$H:$H,'RAW_농산물_8월'!$D:$D,$C308,'RAW_농산물_8월'!$A:$A,$E308),SUMIFS('RAW_농산물_9월'!$H:$H,'RAW_농산물_9월'!$D:$D,$C308,'RAW_농산물_9월'!$A:$A,$E308),SUMIFS('RAW_농산물_10월'!$H:$H,'RAW_농산물_10월'!$D:$D,$C308,'RAW_농산물_10월'!$A:$A,$E308),SUMIFS('RAW_농산물_11-12월'!$H:$H,'RAW_농산물_11-12월'!$D:$D,$C308,'RAW_농산물_11-12월'!$A:$A,$E308))))</f>
        <v/>
      </c>
      <c r="I308" s="17" t="str">
        <f>IF($C308="","",IF(COUNTIFS('RAW_농산물_7월'!$D:$D,$C308,'RAW_농산물_7월'!$A:$A,$E308)&gt;0,"O",""))</f>
        <v/>
      </c>
      <c r="J308" s="17" t="str">
        <f>IF($C308="","",IF(COUNTIFS('RAW_농산물_8월'!$D:$D,$C308,'RAW_농산물_8월'!$A:$A,$E308)&gt;0,"O",""))</f>
        <v/>
      </c>
      <c r="K308" s="17" t="str">
        <f>IF($C308="","",IF(COUNTIFS('RAW_농산물_9월'!$D:$D,$C308,'RAW_농산물_9월'!$A:$A,$E308)&gt;0,"O",""))</f>
        <v/>
      </c>
      <c r="L308" s="17" t="str">
        <f>IF($C308="","",IF(COUNTIFS('RAW_농산물_10월'!$D:$D,$C308,'RAW_농산물_10월'!$A:$A,$E308)&gt;0,"O",""))</f>
        <v/>
      </c>
      <c r="M308" s="17" t="str">
        <f>IF($C308="","",IF(COUNTIFS('RAW_농산물_11-12월'!$D:$D,$C308,'RAW_농산물_11-12월'!$A:$A,$E308)&gt;0,"O",""))</f>
        <v/>
      </c>
      <c r="N308" s="7" t="str">
        <f>IF($C308="","",IF(COUNTA('RAW_농산물_7월'!$A:$A)&lt;=1,"",SUMIFS('RAW_농산물_7월'!$H:$H,'RAW_농산물_7월'!$D:$D,$C308,'RAW_농산물_7월'!$A:$A,$E308)))</f>
        <v/>
      </c>
      <c r="O308" s="7" t="str">
        <f>IF($C308="","",IF(COUNTA('RAW_농산물_8월'!$A:$A)&lt;=1,"",SUMIFS('RAW_농산물_8월'!$H:$H,'RAW_농산물_8월'!$D:$D,$C308,'RAW_농산물_8월'!$A:$A,$E308)-SUMIFS('RAW_농산물_7월'!$H:$H,'RAW_농산물_7월'!$D:$D,$C308,'RAW_농산물_7월'!$A:$A,$E308)))</f>
        <v/>
      </c>
      <c r="P308" s="7" t="str">
        <f>IF($C308="","",IF(COUNTA('RAW_농산물_9월'!$A:$A)&lt;=1,"",SUMIFS('RAW_농산물_9월'!$H:$H,'RAW_농산물_9월'!$D:$D,$C308,'RAW_농산물_9월'!$A:$A,$E308)-SUMIFS('RAW_농산물_8월'!$H:$H,'RAW_농산물_8월'!$D:$D,$C308,'RAW_농산물_8월'!$A:$A,$E308)))</f>
        <v/>
      </c>
      <c r="Q308" s="7" t="str">
        <f>IF($C308="","",IF(COUNTA('RAW_농산물_10월'!$A:$A)&lt;=1,"",SUMIFS('RAW_농산물_10월'!$H:$H,'RAW_농산물_10월'!$D:$D,$C308,'RAW_농산물_10월'!$A:$A,$E308)-SUMIFS('RAW_농산물_9월'!$H:$H,'RAW_농산물_9월'!$D:$D,$C308,'RAW_농산물_9월'!$A:$A,$E308)))</f>
        <v/>
      </c>
      <c r="R308" s="7" t="str">
        <f>IF($C308="","",IF(COUNTA('RAW_농산물_11-12월'!$A:$A)&lt;=1,"",SUMIFS('RAW_농산물_11-12월'!$H:$H,'RAW_농산물_11-12월'!$D:$D,$C308,'RAW_농산물_11-12월'!$A:$A,$E308)-SUMIFS('RAW_농산물_10월'!$H:$H,'RAW_농산물_10월'!$D:$D,$C308,'RAW_농산물_10월'!$A:$A,$E308)))</f>
        <v/>
      </c>
      <c r="S308" s="17" t="str">
        <f t="shared" si="4"/>
        <v/>
      </c>
      <c r="T308" s="17" t="str">
        <f t="shared" si="5"/>
        <v/>
      </c>
      <c r="U308" s="7">
        <f>IF($C308="",0,IF('설정'!$B$3=0,0,CHOOSE('설정'!$B$3,COUNTIFS('RAW_농산물_7월'!$D:$D,$C308,'RAW_농산물_7월'!$A:$A,$E308),COUNTIFS('RAW_농산물_8월'!$D:$D,$C308,'RAW_농산물_8월'!$A:$A,$E308),COUNTIFS('RAW_농산물_9월'!$D:$D,$C308,'RAW_농산물_9월'!$A:$A,$E308),COUNTIFS('RAW_농산물_10월'!$D:$D,$C308,'RAW_농산물_10월'!$A:$A,$E308),COUNTIFS('RAW_농산물_11-12월'!$D:$D,$C308,'RAW_농산물_11-12월'!$A:$A,$E308))))</f>
        <v>0</v>
      </c>
    </row>
    <row r="309" ht="15.75" customHeight="1">
      <c r="A309" s="5"/>
      <c r="B309" s="5"/>
      <c r="C309" s="5"/>
      <c r="D309" s="6"/>
      <c r="E309" s="5"/>
      <c r="F309" s="7" t="str">
        <f>IF($C309="","",IF('설정'!$B$3=0,"",CHOOSE('설정'!$B$3,SUMIFS('RAW_농산물_7월'!$F:$F,'RAW_농산물_7월'!$D:$D,$C309,'RAW_농산물_7월'!$A:$A,$E309),SUMIFS('RAW_농산물_8월'!$F:$F,'RAW_농산물_8월'!$D:$D,$C309,'RAW_농산물_8월'!$A:$A,$E309),SUMIFS('RAW_농산물_9월'!$F:$F,'RAW_농산물_9월'!$D:$D,$C309,'RAW_농산물_9월'!$A:$A,$E309),SUMIFS('RAW_농산물_10월'!$F:$F,'RAW_농산물_10월'!$D:$D,$C309,'RAW_농산물_10월'!$A:$A,$E309),SUMIFS('RAW_농산물_11-12월'!$F:$F,'RAW_농산물_11-12월'!$D:$D,$C309,'RAW_농산물_11-12월'!$A:$A,$E309))))</f>
        <v/>
      </c>
      <c r="G309" s="7" t="str">
        <f>IF($C309="","",IF('설정'!$B$3=0,"",CHOOSE('설정'!$B$3,SUMIFS('RAW_농산물_7월'!$G:$G,'RAW_농산물_7월'!$D:$D,$C309,'RAW_농산물_7월'!$A:$A,$E309),SUMIFS('RAW_농산물_8월'!$G:$G,'RAW_농산물_8월'!$D:$D,$C309,'RAW_농산물_8월'!$A:$A,$E309),SUMIFS('RAW_농산물_9월'!$G:$G,'RAW_농산물_9월'!$D:$D,$C309,'RAW_농산물_9월'!$A:$A,$E309),SUMIFS('RAW_농산물_10월'!$G:$G,'RAW_농산물_10월'!$D:$D,$C309,'RAW_농산물_10월'!$A:$A,$E309),SUMIFS('RAW_농산물_11-12월'!$G:$G,'RAW_농산물_11-12월'!$D:$D,$C309,'RAW_농산물_11-12월'!$A:$A,$E309))))</f>
        <v/>
      </c>
      <c r="H309" s="14" t="str">
        <f>IF($C309="","",IF('설정'!$B$3=0,"",CHOOSE('설정'!$B$3,SUMIFS('RAW_농산물_7월'!$H:$H,'RAW_농산물_7월'!$D:$D,$C309,'RAW_농산물_7월'!$A:$A,$E309),SUMIFS('RAW_농산물_8월'!$H:$H,'RAW_농산물_8월'!$D:$D,$C309,'RAW_농산물_8월'!$A:$A,$E309),SUMIFS('RAW_농산물_9월'!$H:$H,'RAW_농산물_9월'!$D:$D,$C309,'RAW_농산물_9월'!$A:$A,$E309),SUMIFS('RAW_농산물_10월'!$H:$H,'RAW_농산물_10월'!$D:$D,$C309,'RAW_농산물_10월'!$A:$A,$E309),SUMIFS('RAW_농산물_11-12월'!$H:$H,'RAW_농산물_11-12월'!$D:$D,$C309,'RAW_농산물_11-12월'!$A:$A,$E309))))</f>
        <v/>
      </c>
      <c r="I309" s="17" t="str">
        <f>IF($C309="","",IF(COUNTIFS('RAW_농산물_7월'!$D:$D,$C309,'RAW_농산물_7월'!$A:$A,$E309)&gt;0,"O",""))</f>
        <v/>
      </c>
      <c r="J309" s="17" t="str">
        <f>IF($C309="","",IF(COUNTIFS('RAW_농산물_8월'!$D:$D,$C309,'RAW_농산물_8월'!$A:$A,$E309)&gt;0,"O",""))</f>
        <v/>
      </c>
      <c r="K309" s="17" t="str">
        <f>IF($C309="","",IF(COUNTIFS('RAW_농산물_9월'!$D:$D,$C309,'RAW_농산물_9월'!$A:$A,$E309)&gt;0,"O",""))</f>
        <v/>
      </c>
      <c r="L309" s="17" t="str">
        <f>IF($C309="","",IF(COUNTIFS('RAW_농산물_10월'!$D:$D,$C309,'RAW_농산물_10월'!$A:$A,$E309)&gt;0,"O",""))</f>
        <v/>
      </c>
      <c r="M309" s="17" t="str">
        <f>IF($C309="","",IF(COUNTIFS('RAW_농산물_11-12월'!$D:$D,$C309,'RAW_농산물_11-12월'!$A:$A,$E309)&gt;0,"O",""))</f>
        <v/>
      </c>
      <c r="N309" s="7" t="str">
        <f>IF($C309="","",IF(COUNTA('RAW_농산물_7월'!$A:$A)&lt;=1,"",SUMIFS('RAW_농산물_7월'!$H:$H,'RAW_농산물_7월'!$D:$D,$C309,'RAW_농산물_7월'!$A:$A,$E309)))</f>
        <v/>
      </c>
      <c r="O309" s="7" t="str">
        <f>IF($C309="","",IF(COUNTA('RAW_농산물_8월'!$A:$A)&lt;=1,"",SUMIFS('RAW_농산물_8월'!$H:$H,'RAW_농산물_8월'!$D:$D,$C309,'RAW_농산물_8월'!$A:$A,$E309)-SUMIFS('RAW_농산물_7월'!$H:$H,'RAW_농산물_7월'!$D:$D,$C309,'RAW_농산물_7월'!$A:$A,$E309)))</f>
        <v/>
      </c>
      <c r="P309" s="7" t="str">
        <f>IF($C309="","",IF(COUNTA('RAW_농산물_9월'!$A:$A)&lt;=1,"",SUMIFS('RAW_농산물_9월'!$H:$H,'RAW_농산물_9월'!$D:$D,$C309,'RAW_농산물_9월'!$A:$A,$E309)-SUMIFS('RAW_농산물_8월'!$H:$H,'RAW_농산물_8월'!$D:$D,$C309,'RAW_농산물_8월'!$A:$A,$E309)))</f>
        <v/>
      </c>
      <c r="Q309" s="7" t="str">
        <f>IF($C309="","",IF(COUNTA('RAW_농산물_10월'!$A:$A)&lt;=1,"",SUMIFS('RAW_농산물_10월'!$H:$H,'RAW_농산물_10월'!$D:$D,$C309,'RAW_농산물_10월'!$A:$A,$E309)-SUMIFS('RAW_농산물_9월'!$H:$H,'RAW_농산물_9월'!$D:$D,$C309,'RAW_농산물_9월'!$A:$A,$E309)))</f>
        <v/>
      </c>
      <c r="R309" s="7" t="str">
        <f>IF($C309="","",IF(COUNTA('RAW_농산물_11-12월'!$A:$A)&lt;=1,"",SUMIFS('RAW_농산물_11-12월'!$H:$H,'RAW_농산물_11-12월'!$D:$D,$C309,'RAW_농산물_11-12월'!$A:$A,$E309)-SUMIFS('RAW_농산물_10월'!$H:$H,'RAW_농산물_10월'!$D:$D,$C309,'RAW_농산물_10월'!$A:$A,$E309)))</f>
        <v/>
      </c>
      <c r="S309" s="17" t="str">
        <f t="shared" si="4"/>
        <v/>
      </c>
      <c r="T309" s="17" t="str">
        <f t="shared" si="5"/>
        <v/>
      </c>
      <c r="U309" s="7">
        <f>IF($C309="",0,IF('설정'!$B$3=0,0,CHOOSE('설정'!$B$3,COUNTIFS('RAW_농산물_7월'!$D:$D,$C309,'RAW_농산물_7월'!$A:$A,$E309),COUNTIFS('RAW_농산물_8월'!$D:$D,$C309,'RAW_농산물_8월'!$A:$A,$E309),COUNTIFS('RAW_농산물_9월'!$D:$D,$C309,'RAW_농산물_9월'!$A:$A,$E309),COUNTIFS('RAW_농산물_10월'!$D:$D,$C309,'RAW_농산물_10월'!$A:$A,$E309),COUNTIFS('RAW_농산물_11-12월'!$D:$D,$C309,'RAW_농산물_11-12월'!$A:$A,$E309))))</f>
        <v>0</v>
      </c>
    </row>
    <row r="310" ht="15.75" customHeight="1">
      <c r="A310" s="5"/>
      <c r="B310" s="5"/>
      <c r="C310" s="5"/>
      <c r="D310" s="6"/>
      <c r="E310" s="5"/>
      <c r="F310" s="7" t="str">
        <f>IF($C310="","",IF('설정'!$B$3=0,"",CHOOSE('설정'!$B$3,SUMIFS('RAW_농산물_7월'!$F:$F,'RAW_농산물_7월'!$D:$D,$C310,'RAW_농산물_7월'!$A:$A,$E310),SUMIFS('RAW_농산물_8월'!$F:$F,'RAW_농산물_8월'!$D:$D,$C310,'RAW_농산물_8월'!$A:$A,$E310),SUMIFS('RAW_농산물_9월'!$F:$F,'RAW_농산물_9월'!$D:$D,$C310,'RAW_농산물_9월'!$A:$A,$E310),SUMIFS('RAW_농산물_10월'!$F:$F,'RAW_농산물_10월'!$D:$D,$C310,'RAW_농산물_10월'!$A:$A,$E310),SUMIFS('RAW_농산물_11-12월'!$F:$F,'RAW_농산물_11-12월'!$D:$D,$C310,'RAW_농산물_11-12월'!$A:$A,$E310))))</f>
        <v/>
      </c>
      <c r="G310" s="7" t="str">
        <f>IF($C310="","",IF('설정'!$B$3=0,"",CHOOSE('설정'!$B$3,SUMIFS('RAW_농산물_7월'!$G:$G,'RAW_농산물_7월'!$D:$D,$C310,'RAW_농산물_7월'!$A:$A,$E310),SUMIFS('RAW_농산물_8월'!$G:$G,'RAW_농산물_8월'!$D:$D,$C310,'RAW_농산물_8월'!$A:$A,$E310),SUMIFS('RAW_농산물_9월'!$G:$G,'RAW_농산물_9월'!$D:$D,$C310,'RAW_농산물_9월'!$A:$A,$E310),SUMIFS('RAW_농산물_10월'!$G:$G,'RAW_농산물_10월'!$D:$D,$C310,'RAW_농산물_10월'!$A:$A,$E310),SUMIFS('RAW_농산물_11-12월'!$G:$G,'RAW_농산물_11-12월'!$D:$D,$C310,'RAW_농산물_11-12월'!$A:$A,$E310))))</f>
        <v/>
      </c>
      <c r="H310" s="14" t="str">
        <f>IF($C310="","",IF('설정'!$B$3=0,"",CHOOSE('설정'!$B$3,SUMIFS('RAW_농산물_7월'!$H:$H,'RAW_농산물_7월'!$D:$D,$C310,'RAW_농산물_7월'!$A:$A,$E310),SUMIFS('RAW_농산물_8월'!$H:$H,'RAW_농산물_8월'!$D:$D,$C310,'RAW_농산물_8월'!$A:$A,$E310),SUMIFS('RAW_농산물_9월'!$H:$H,'RAW_농산물_9월'!$D:$D,$C310,'RAW_농산물_9월'!$A:$A,$E310),SUMIFS('RAW_농산물_10월'!$H:$H,'RAW_농산물_10월'!$D:$D,$C310,'RAW_농산물_10월'!$A:$A,$E310),SUMIFS('RAW_농산물_11-12월'!$H:$H,'RAW_농산물_11-12월'!$D:$D,$C310,'RAW_농산물_11-12월'!$A:$A,$E310))))</f>
        <v/>
      </c>
      <c r="I310" s="17" t="str">
        <f>IF($C310="","",IF(COUNTIFS('RAW_농산물_7월'!$D:$D,$C310,'RAW_농산물_7월'!$A:$A,$E310)&gt;0,"O",""))</f>
        <v/>
      </c>
      <c r="J310" s="17" t="str">
        <f>IF($C310="","",IF(COUNTIFS('RAW_농산물_8월'!$D:$D,$C310,'RAW_농산물_8월'!$A:$A,$E310)&gt;0,"O",""))</f>
        <v/>
      </c>
      <c r="K310" s="17" t="str">
        <f>IF($C310="","",IF(COUNTIFS('RAW_농산물_9월'!$D:$D,$C310,'RAW_농산물_9월'!$A:$A,$E310)&gt;0,"O",""))</f>
        <v/>
      </c>
      <c r="L310" s="17" t="str">
        <f>IF($C310="","",IF(COUNTIFS('RAW_농산물_10월'!$D:$D,$C310,'RAW_농산물_10월'!$A:$A,$E310)&gt;0,"O",""))</f>
        <v/>
      </c>
      <c r="M310" s="17" t="str">
        <f>IF($C310="","",IF(COUNTIFS('RAW_농산물_11-12월'!$D:$D,$C310,'RAW_농산물_11-12월'!$A:$A,$E310)&gt;0,"O",""))</f>
        <v/>
      </c>
      <c r="N310" s="7" t="str">
        <f>IF($C310="","",IF(COUNTA('RAW_농산물_7월'!$A:$A)&lt;=1,"",SUMIFS('RAW_농산물_7월'!$H:$H,'RAW_농산물_7월'!$D:$D,$C310,'RAW_농산물_7월'!$A:$A,$E310)))</f>
        <v/>
      </c>
      <c r="O310" s="7" t="str">
        <f>IF($C310="","",IF(COUNTA('RAW_농산물_8월'!$A:$A)&lt;=1,"",SUMIFS('RAW_농산물_8월'!$H:$H,'RAW_농산물_8월'!$D:$D,$C310,'RAW_농산물_8월'!$A:$A,$E310)-SUMIFS('RAW_농산물_7월'!$H:$H,'RAW_농산물_7월'!$D:$D,$C310,'RAW_농산물_7월'!$A:$A,$E310)))</f>
        <v/>
      </c>
      <c r="P310" s="7" t="str">
        <f>IF($C310="","",IF(COUNTA('RAW_농산물_9월'!$A:$A)&lt;=1,"",SUMIFS('RAW_농산물_9월'!$H:$H,'RAW_농산물_9월'!$D:$D,$C310,'RAW_농산물_9월'!$A:$A,$E310)-SUMIFS('RAW_농산물_8월'!$H:$H,'RAW_농산물_8월'!$D:$D,$C310,'RAW_농산물_8월'!$A:$A,$E310)))</f>
        <v/>
      </c>
      <c r="Q310" s="7" t="str">
        <f>IF($C310="","",IF(COUNTA('RAW_농산물_10월'!$A:$A)&lt;=1,"",SUMIFS('RAW_농산물_10월'!$H:$H,'RAW_농산물_10월'!$D:$D,$C310,'RAW_농산물_10월'!$A:$A,$E310)-SUMIFS('RAW_농산물_9월'!$H:$H,'RAW_농산물_9월'!$D:$D,$C310,'RAW_농산물_9월'!$A:$A,$E310)))</f>
        <v/>
      </c>
      <c r="R310" s="7" t="str">
        <f>IF($C310="","",IF(COUNTA('RAW_농산물_11-12월'!$A:$A)&lt;=1,"",SUMIFS('RAW_농산물_11-12월'!$H:$H,'RAW_농산물_11-12월'!$D:$D,$C310,'RAW_농산물_11-12월'!$A:$A,$E310)-SUMIFS('RAW_농산물_10월'!$H:$H,'RAW_농산물_10월'!$D:$D,$C310,'RAW_농산물_10월'!$A:$A,$E310)))</f>
        <v/>
      </c>
      <c r="S310" s="17" t="str">
        <f t="shared" si="4"/>
        <v/>
      </c>
      <c r="T310" s="17" t="str">
        <f t="shared" si="5"/>
        <v/>
      </c>
      <c r="U310" s="7">
        <f>IF($C310="",0,IF('설정'!$B$3=0,0,CHOOSE('설정'!$B$3,COUNTIFS('RAW_농산물_7월'!$D:$D,$C310,'RAW_농산물_7월'!$A:$A,$E310),COUNTIFS('RAW_농산물_8월'!$D:$D,$C310,'RAW_농산물_8월'!$A:$A,$E310),COUNTIFS('RAW_농산물_9월'!$D:$D,$C310,'RAW_농산물_9월'!$A:$A,$E310),COUNTIFS('RAW_농산물_10월'!$D:$D,$C310,'RAW_농산물_10월'!$A:$A,$E310),COUNTIFS('RAW_농산물_11-12월'!$D:$D,$C310,'RAW_농산물_11-12월'!$A:$A,$E310))))</f>
        <v>0</v>
      </c>
    </row>
    <row r="311" ht="15.75" customHeight="1">
      <c r="A311" s="5"/>
      <c r="B311" s="5"/>
      <c r="C311" s="5"/>
      <c r="D311" s="6"/>
      <c r="E311" s="5"/>
      <c r="F311" s="7" t="str">
        <f>IF($C311="","",IF('설정'!$B$3=0,"",CHOOSE('설정'!$B$3,SUMIFS('RAW_농산물_7월'!$F:$F,'RAW_농산물_7월'!$D:$D,$C311,'RAW_농산물_7월'!$A:$A,$E311),SUMIFS('RAW_농산물_8월'!$F:$F,'RAW_농산물_8월'!$D:$D,$C311,'RAW_농산물_8월'!$A:$A,$E311),SUMIFS('RAW_농산물_9월'!$F:$F,'RAW_농산물_9월'!$D:$D,$C311,'RAW_농산물_9월'!$A:$A,$E311),SUMIFS('RAW_농산물_10월'!$F:$F,'RAW_농산물_10월'!$D:$D,$C311,'RAW_농산물_10월'!$A:$A,$E311),SUMIFS('RAW_농산물_11-12월'!$F:$F,'RAW_농산물_11-12월'!$D:$D,$C311,'RAW_농산물_11-12월'!$A:$A,$E311))))</f>
        <v/>
      </c>
      <c r="G311" s="7" t="str">
        <f>IF($C311="","",IF('설정'!$B$3=0,"",CHOOSE('설정'!$B$3,SUMIFS('RAW_농산물_7월'!$G:$G,'RAW_농산물_7월'!$D:$D,$C311,'RAW_농산물_7월'!$A:$A,$E311),SUMIFS('RAW_농산물_8월'!$G:$G,'RAW_농산물_8월'!$D:$D,$C311,'RAW_농산물_8월'!$A:$A,$E311),SUMIFS('RAW_농산물_9월'!$G:$G,'RAW_농산물_9월'!$D:$D,$C311,'RAW_농산물_9월'!$A:$A,$E311),SUMIFS('RAW_농산물_10월'!$G:$G,'RAW_농산물_10월'!$D:$D,$C311,'RAW_농산물_10월'!$A:$A,$E311),SUMIFS('RAW_농산물_11-12월'!$G:$G,'RAW_농산물_11-12월'!$D:$D,$C311,'RAW_농산물_11-12월'!$A:$A,$E311))))</f>
        <v/>
      </c>
      <c r="H311" s="14" t="str">
        <f>IF($C311="","",IF('설정'!$B$3=0,"",CHOOSE('설정'!$B$3,SUMIFS('RAW_농산물_7월'!$H:$H,'RAW_농산물_7월'!$D:$D,$C311,'RAW_농산물_7월'!$A:$A,$E311),SUMIFS('RAW_농산물_8월'!$H:$H,'RAW_농산물_8월'!$D:$D,$C311,'RAW_농산물_8월'!$A:$A,$E311),SUMIFS('RAW_농산물_9월'!$H:$H,'RAW_농산물_9월'!$D:$D,$C311,'RAW_농산물_9월'!$A:$A,$E311),SUMIFS('RAW_농산물_10월'!$H:$H,'RAW_농산물_10월'!$D:$D,$C311,'RAW_농산물_10월'!$A:$A,$E311),SUMIFS('RAW_농산물_11-12월'!$H:$H,'RAW_농산물_11-12월'!$D:$D,$C311,'RAW_농산물_11-12월'!$A:$A,$E311))))</f>
        <v/>
      </c>
      <c r="I311" s="17" t="str">
        <f>IF($C311="","",IF(COUNTIFS('RAW_농산물_7월'!$D:$D,$C311,'RAW_농산물_7월'!$A:$A,$E311)&gt;0,"O",""))</f>
        <v/>
      </c>
      <c r="J311" s="17" t="str">
        <f>IF($C311="","",IF(COUNTIFS('RAW_농산물_8월'!$D:$D,$C311,'RAW_농산물_8월'!$A:$A,$E311)&gt;0,"O",""))</f>
        <v/>
      </c>
      <c r="K311" s="17" t="str">
        <f>IF($C311="","",IF(COUNTIFS('RAW_농산물_9월'!$D:$D,$C311,'RAW_농산물_9월'!$A:$A,$E311)&gt;0,"O",""))</f>
        <v/>
      </c>
      <c r="L311" s="17" t="str">
        <f>IF($C311="","",IF(COUNTIFS('RAW_농산물_10월'!$D:$D,$C311,'RAW_농산물_10월'!$A:$A,$E311)&gt;0,"O",""))</f>
        <v/>
      </c>
      <c r="M311" s="17" t="str">
        <f>IF($C311="","",IF(COUNTIFS('RAW_농산물_11-12월'!$D:$D,$C311,'RAW_농산물_11-12월'!$A:$A,$E311)&gt;0,"O",""))</f>
        <v/>
      </c>
      <c r="N311" s="7" t="str">
        <f>IF($C311="","",IF(COUNTA('RAW_농산물_7월'!$A:$A)&lt;=1,"",SUMIFS('RAW_농산물_7월'!$H:$H,'RAW_농산물_7월'!$D:$D,$C311,'RAW_농산물_7월'!$A:$A,$E311)))</f>
        <v/>
      </c>
      <c r="O311" s="7" t="str">
        <f>IF($C311="","",IF(COUNTA('RAW_농산물_8월'!$A:$A)&lt;=1,"",SUMIFS('RAW_농산물_8월'!$H:$H,'RAW_농산물_8월'!$D:$D,$C311,'RAW_농산물_8월'!$A:$A,$E311)-SUMIFS('RAW_농산물_7월'!$H:$H,'RAW_농산물_7월'!$D:$D,$C311,'RAW_농산물_7월'!$A:$A,$E311)))</f>
        <v/>
      </c>
      <c r="P311" s="7" t="str">
        <f>IF($C311="","",IF(COUNTA('RAW_농산물_9월'!$A:$A)&lt;=1,"",SUMIFS('RAW_농산물_9월'!$H:$H,'RAW_농산물_9월'!$D:$D,$C311,'RAW_농산물_9월'!$A:$A,$E311)-SUMIFS('RAW_농산물_8월'!$H:$H,'RAW_농산물_8월'!$D:$D,$C311,'RAW_농산물_8월'!$A:$A,$E311)))</f>
        <v/>
      </c>
      <c r="Q311" s="7" t="str">
        <f>IF($C311="","",IF(COUNTA('RAW_농산물_10월'!$A:$A)&lt;=1,"",SUMIFS('RAW_농산물_10월'!$H:$H,'RAW_농산물_10월'!$D:$D,$C311,'RAW_농산물_10월'!$A:$A,$E311)-SUMIFS('RAW_농산물_9월'!$H:$H,'RAW_농산물_9월'!$D:$D,$C311,'RAW_농산물_9월'!$A:$A,$E311)))</f>
        <v/>
      </c>
      <c r="R311" s="7" t="str">
        <f>IF($C311="","",IF(COUNTA('RAW_농산물_11-12월'!$A:$A)&lt;=1,"",SUMIFS('RAW_농산물_11-12월'!$H:$H,'RAW_농산물_11-12월'!$D:$D,$C311,'RAW_농산물_11-12월'!$A:$A,$E311)-SUMIFS('RAW_농산물_10월'!$H:$H,'RAW_농산물_10월'!$D:$D,$C311,'RAW_농산물_10월'!$A:$A,$E311)))</f>
        <v/>
      </c>
      <c r="S311" s="17" t="str">
        <f t="shared" si="4"/>
        <v/>
      </c>
      <c r="T311" s="17" t="str">
        <f t="shared" si="5"/>
        <v/>
      </c>
      <c r="U311" s="7">
        <f>IF($C311="",0,IF('설정'!$B$3=0,0,CHOOSE('설정'!$B$3,COUNTIFS('RAW_농산물_7월'!$D:$D,$C311,'RAW_농산물_7월'!$A:$A,$E311),COUNTIFS('RAW_농산물_8월'!$D:$D,$C311,'RAW_농산물_8월'!$A:$A,$E311),COUNTIFS('RAW_농산물_9월'!$D:$D,$C311,'RAW_농산물_9월'!$A:$A,$E311),COUNTIFS('RAW_농산물_10월'!$D:$D,$C311,'RAW_농산물_10월'!$A:$A,$E311),COUNTIFS('RAW_농산물_11-12월'!$D:$D,$C311,'RAW_농산물_11-12월'!$A:$A,$E311))))</f>
        <v>0</v>
      </c>
    </row>
    <row r="312" ht="15.75" customHeight="1">
      <c r="A312" s="5"/>
      <c r="B312" s="5"/>
      <c r="C312" s="5"/>
      <c r="D312" s="6"/>
      <c r="E312" s="5"/>
      <c r="F312" s="7" t="str">
        <f>IF($C312="","",IF('설정'!$B$3=0,"",CHOOSE('설정'!$B$3,SUMIFS('RAW_농산물_7월'!$F:$F,'RAW_농산물_7월'!$D:$D,$C312,'RAW_농산물_7월'!$A:$A,$E312),SUMIFS('RAW_농산물_8월'!$F:$F,'RAW_농산물_8월'!$D:$D,$C312,'RAW_농산물_8월'!$A:$A,$E312),SUMIFS('RAW_농산물_9월'!$F:$F,'RAW_농산물_9월'!$D:$D,$C312,'RAW_농산물_9월'!$A:$A,$E312),SUMIFS('RAW_농산물_10월'!$F:$F,'RAW_농산물_10월'!$D:$D,$C312,'RAW_농산물_10월'!$A:$A,$E312),SUMIFS('RAW_농산물_11-12월'!$F:$F,'RAW_농산물_11-12월'!$D:$D,$C312,'RAW_농산물_11-12월'!$A:$A,$E312))))</f>
        <v/>
      </c>
      <c r="G312" s="7" t="str">
        <f>IF($C312="","",IF('설정'!$B$3=0,"",CHOOSE('설정'!$B$3,SUMIFS('RAW_농산물_7월'!$G:$G,'RAW_농산물_7월'!$D:$D,$C312,'RAW_농산물_7월'!$A:$A,$E312),SUMIFS('RAW_농산물_8월'!$G:$G,'RAW_농산물_8월'!$D:$D,$C312,'RAW_농산물_8월'!$A:$A,$E312),SUMIFS('RAW_농산물_9월'!$G:$G,'RAW_농산물_9월'!$D:$D,$C312,'RAW_농산물_9월'!$A:$A,$E312),SUMIFS('RAW_농산물_10월'!$G:$G,'RAW_농산물_10월'!$D:$D,$C312,'RAW_농산물_10월'!$A:$A,$E312),SUMIFS('RAW_농산물_11-12월'!$G:$G,'RAW_농산물_11-12월'!$D:$D,$C312,'RAW_농산물_11-12월'!$A:$A,$E312))))</f>
        <v/>
      </c>
      <c r="H312" s="14" t="str">
        <f>IF($C312="","",IF('설정'!$B$3=0,"",CHOOSE('설정'!$B$3,SUMIFS('RAW_농산물_7월'!$H:$H,'RAW_농산물_7월'!$D:$D,$C312,'RAW_농산물_7월'!$A:$A,$E312),SUMIFS('RAW_농산물_8월'!$H:$H,'RAW_농산물_8월'!$D:$D,$C312,'RAW_농산물_8월'!$A:$A,$E312),SUMIFS('RAW_농산물_9월'!$H:$H,'RAW_농산물_9월'!$D:$D,$C312,'RAW_농산물_9월'!$A:$A,$E312),SUMIFS('RAW_농산물_10월'!$H:$H,'RAW_농산물_10월'!$D:$D,$C312,'RAW_농산물_10월'!$A:$A,$E312),SUMIFS('RAW_농산물_11-12월'!$H:$H,'RAW_농산물_11-12월'!$D:$D,$C312,'RAW_농산물_11-12월'!$A:$A,$E312))))</f>
        <v/>
      </c>
      <c r="I312" s="17" t="str">
        <f>IF($C312="","",IF(COUNTIFS('RAW_농산물_7월'!$D:$D,$C312,'RAW_농산물_7월'!$A:$A,$E312)&gt;0,"O",""))</f>
        <v/>
      </c>
      <c r="J312" s="17" t="str">
        <f>IF($C312="","",IF(COUNTIFS('RAW_농산물_8월'!$D:$D,$C312,'RAW_농산물_8월'!$A:$A,$E312)&gt;0,"O",""))</f>
        <v/>
      </c>
      <c r="K312" s="17" t="str">
        <f>IF($C312="","",IF(COUNTIFS('RAW_농산물_9월'!$D:$D,$C312,'RAW_농산물_9월'!$A:$A,$E312)&gt;0,"O",""))</f>
        <v/>
      </c>
      <c r="L312" s="17" t="str">
        <f>IF($C312="","",IF(COUNTIFS('RAW_농산물_10월'!$D:$D,$C312,'RAW_농산물_10월'!$A:$A,$E312)&gt;0,"O",""))</f>
        <v/>
      </c>
      <c r="M312" s="17" t="str">
        <f>IF($C312="","",IF(COUNTIFS('RAW_농산물_11-12월'!$D:$D,$C312,'RAW_농산물_11-12월'!$A:$A,$E312)&gt;0,"O",""))</f>
        <v/>
      </c>
      <c r="N312" s="7" t="str">
        <f>IF($C312="","",IF(COUNTA('RAW_농산물_7월'!$A:$A)&lt;=1,"",SUMIFS('RAW_농산물_7월'!$H:$H,'RAW_농산물_7월'!$D:$D,$C312,'RAW_농산물_7월'!$A:$A,$E312)))</f>
        <v/>
      </c>
      <c r="O312" s="7" t="str">
        <f>IF($C312="","",IF(COUNTA('RAW_농산물_8월'!$A:$A)&lt;=1,"",SUMIFS('RAW_농산물_8월'!$H:$H,'RAW_농산물_8월'!$D:$D,$C312,'RAW_농산물_8월'!$A:$A,$E312)-SUMIFS('RAW_농산물_7월'!$H:$H,'RAW_농산물_7월'!$D:$D,$C312,'RAW_농산물_7월'!$A:$A,$E312)))</f>
        <v/>
      </c>
      <c r="P312" s="7" t="str">
        <f>IF($C312="","",IF(COUNTA('RAW_농산물_9월'!$A:$A)&lt;=1,"",SUMIFS('RAW_농산물_9월'!$H:$H,'RAW_농산물_9월'!$D:$D,$C312,'RAW_농산물_9월'!$A:$A,$E312)-SUMIFS('RAW_농산물_8월'!$H:$H,'RAW_농산물_8월'!$D:$D,$C312,'RAW_농산물_8월'!$A:$A,$E312)))</f>
        <v/>
      </c>
      <c r="Q312" s="7" t="str">
        <f>IF($C312="","",IF(COUNTA('RAW_농산물_10월'!$A:$A)&lt;=1,"",SUMIFS('RAW_농산물_10월'!$H:$H,'RAW_농산물_10월'!$D:$D,$C312,'RAW_농산물_10월'!$A:$A,$E312)-SUMIFS('RAW_농산물_9월'!$H:$H,'RAW_농산물_9월'!$D:$D,$C312,'RAW_농산물_9월'!$A:$A,$E312)))</f>
        <v/>
      </c>
      <c r="R312" s="7" t="str">
        <f>IF($C312="","",IF(COUNTA('RAW_농산물_11-12월'!$A:$A)&lt;=1,"",SUMIFS('RAW_농산물_11-12월'!$H:$H,'RAW_농산물_11-12월'!$D:$D,$C312,'RAW_농산물_11-12월'!$A:$A,$E312)-SUMIFS('RAW_농산물_10월'!$H:$H,'RAW_농산물_10월'!$D:$D,$C312,'RAW_농산물_10월'!$A:$A,$E312)))</f>
        <v/>
      </c>
      <c r="S312" s="17" t="str">
        <f t="shared" si="4"/>
        <v/>
      </c>
      <c r="T312" s="17" t="str">
        <f t="shared" si="5"/>
        <v/>
      </c>
      <c r="U312" s="7">
        <f>IF($C312="",0,IF('설정'!$B$3=0,0,CHOOSE('설정'!$B$3,COUNTIFS('RAW_농산물_7월'!$D:$D,$C312,'RAW_농산물_7월'!$A:$A,$E312),COUNTIFS('RAW_농산물_8월'!$D:$D,$C312,'RAW_농산물_8월'!$A:$A,$E312),COUNTIFS('RAW_농산물_9월'!$D:$D,$C312,'RAW_농산물_9월'!$A:$A,$E312),COUNTIFS('RAW_농산물_10월'!$D:$D,$C312,'RAW_농산물_10월'!$A:$A,$E312),COUNTIFS('RAW_농산물_11-12월'!$D:$D,$C312,'RAW_농산물_11-12월'!$A:$A,$E312))))</f>
        <v>0</v>
      </c>
    </row>
    <row r="313" ht="15.75" customHeight="1">
      <c r="A313" s="5"/>
      <c r="B313" s="5"/>
      <c r="C313" s="5"/>
      <c r="D313" s="6"/>
      <c r="E313" s="5"/>
      <c r="F313" s="7" t="str">
        <f>IF($C313="","",IF('설정'!$B$3=0,"",CHOOSE('설정'!$B$3,SUMIFS('RAW_농산물_7월'!$F:$F,'RAW_농산물_7월'!$D:$D,$C313,'RAW_농산물_7월'!$A:$A,$E313),SUMIFS('RAW_농산물_8월'!$F:$F,'RAW_농산물_8월'!$D:$D,$C313,'RAW_농산물_8월'!$A:$A,$E313),SUMIFS('RAW_농산물_9월'!$F:$F,'RAW_농산물_9월'!$D:$D,$C313,'RAW_농산물_9월'!$A:$A,$E313),SUMIFS('RAW_농산물_10월'!$F:$F,'RAW_농산물_10월'!$D:$D,$C313,'RAW_농산물_10월'!$A:$A,$E313),SUMIFS('RAW_농산물_11-12월'!$F:$F,'RAW_농산물_11-12월'!$D:$D,$C313,'RAW_농산물_11-12월'!$A:$A,$E313))))</f>
        <v/>
      </c>
      <c r="G313" s="7" t="str">
        <f>IF($C313="","",IF('설정'!$B$3=0,"",CHOOSE('설정'!$B$3,SUMIFS('RAW_농산물_7월'!$G:$G,'RAW_농산물_7월'!$D:$D,$C313,'RAW_농산물_7월'!$A:$A,$E313),SUMIFS('RAW_농산물_8월'!$G:$G,'RAW_농산물_8월'!$D:$D,$C313,'RAW_농산물_8월'!$A:$A,$E313),SUMIFS('RAW_농산물_9월'!$G:$G,'RAW_농산물_9월'!$D:$D,$C313,'RAW_농산물_9월'!$A:$A,$E313),SUMIFS('RAW_농산물_10월'!$G:$G,'RAW_농산물_10월'!$D:$D,$C313,'RAW_농산물_10월'!$A:$A,$E313),SUMIFS('RAW_농산물_11-12월'!$G:$G,'RAW_농산물_11-12월'!$D:$D,$C313,'RAW_농산물_11-12월'!$A:$A,$E313))))</f>
        <v/>
      </c>
      <c r="H313" s="14" t="str">
        <f>IF($C313="","",IF('설정'!$B$3=0,"",CHOOSE('설정'!$B$3,SUMIFS('RAW_농산물_7월'!$H:$H,'RAW_농산물_7월'!$D:$D,$C313,'RAW_농산물_7월'!$A:$A,$E313),SUMIFS('RAW_농산물_8월'!$H:$H,'RAW_농산물_8월'!$D:$D,$C313,'RAW_농산물_8월'!$A:$A,$E313),SUMIFS('RAW_농산물_9월'!$H:$H,'RAW_농산물_9월'!$D:$D,$C313,'RAW_농산물_9월'!$A:$A,$E313),SUMIFS('RAW_농산물_10월'!$H:$H,'RAW_농산물_10월'!$D:$D,$C313,'RAW_농산물_10월'!$A:$A,$E313),SUMIFS('RAW_농산물_11-12월'!$H:$H,'RAW_농산물_11-12월'!$D:$D,$C313,'RAW_농산물_11-12월'!$A:$A,$E313))))</f>
        <v/>
      </c>
      <c r="I313" s="17" t="str">
        <f>IF($C313="","",IF(COUNTIFS('RAW_농산물_7월'!$D:$D,$C313,'RAW_농산물_7월'!$A:$A,$E313)&gt;0,"O",""))</f>
        <v/>
      </c>
      <c r="J313" s="17" t="str">
        <f>IF($C313="","",IF(COUNTIFS('RAW_농산물_8월'!$D:$D,$C313,'RAW_농산물_8월'!$A:$A,$E313)&gt;0,"O",""))</f>
        <v/>
      </c>
      <c r="K313" s="17" t="str">
        <f>IF($C313="","",IF(COUNTIFS('RAW_농산물_9월'!$D:$D,$C313,'RAW_농산물_9월'!$A:$A,$E313)&gt;0,"O",""))</f>
        <v/>
      </c>
      <c r="L313" s="17" t="str">
        <f>IF($C313="","",IF(COUNTIFS('RAW_농산물_10월'!$D:$D,$C313,'RAW_농산물_10월'!$A:$A,$E313)&gt;0,"O",""))</f>
        <v/>
      </c>
      <c r="M313" s="17" t="str">
        <f>IF($C313="","",IF(COUNTIFS('RAW_농산물_11-12월'!$D:$D,$C313,'RAW_농산물_11-12월'!$A:$A,$E313)&gt;0,"O",""))</f>
        <v/>
      </c>
      <c r="N313" s="7" t="str">
        <f>IF($C313="","",IF(COUNTA('RAW_농산물_7월'!$A:$A)&lt;=1,"",SUMIFS('RAW_농산물_7월'!$H:$H,'RAW_농산물_7월'!$D:$D,$C313,'RAW_농산물_7월'!$A:$A,$E313)))</f>
        <v/>
      </c>
      <c r="O313" s="7" t="str">
        <f>IF($C313="","",IF(COUNTA('RAW_농산물_8월'!$A:$A)&lt;=1,"",SUMIFS('RAW_농산물_8월'!$H:$H,'RAW_농산물_8월'!$D:$D,$C313,'RAW_농산물_8월'!$A:$A,$E313)-SUMIFS('RAW_농산물_7월'!$H:$H,'RAW_농산물_7월'!$D:$D,$C313,'RAW_농산물_7월'!$A:$A,$E313)))</f>
        <v/>
      </c>
      <c r="P313" s="7" t="str">
        <f>IF($C313="","",IF(COUNTA('RAW_농산물_9월'!$A:$A)&lt;=1,"",SUMIFS('RAW_농산물_9월'!$H:$H,'RAW_농산물_9월'!$D:$D,$C313,'RAW_농산물_9월'!$A:$A,$E313)-SUMIFS('RAW_농산물_8월'!$H:$H,'RAW_농산물_8월'!$D:$D,$C313,'RAW_농산물_8월'!$A:$A,$E313)))</f>
        <v/>
      </c>
      <c r="Q313" s="7" t="str">
        <f>IF($C313="","",IF(COUNTA('RAW_농산물_10월'!$A:$A)&lt;=1,"",SUMIFS('RAW_농산물_10월'!$H:$H,'RAW_농산물_10월'!$D:$D,$C313,'RAW_농산물_10월'!$A:$A,$E313)-SUMIFS('RAW_농산물_9월'!$H:$H,'RAW_농산물_9월'!$D:$D,$C313,'RAW_농산물_9월'!$A:$A,$E313)))</f>
        <v/>
      </c>
      <c r="R313" s="7" t="str">
        <f>IF($C313="","",IF(COUNTA('RAW_농산물_11-12월'!$A:$A)&lt;=1,"",SUMIFS('RAW_농산물_11-12월'!$H:$H,'RAW_농산물_11-12월'!$D:$D,$C313,'RAW_농산물_11-12월'!$A:$A,$E313)-SUMIFS('RAW_농산물_10월'!$H:$H,'RAW_농산물_10월'!$D:$D,$C313,'RAW_농산물_10월'!$A:$A,$E313)))</f>
        <v/>
      </c>
      <c r="S313" s="17" t="str">
        <f t="shared" si="4"/>
        <v/>
      </c>
      <c r="T313" s="17" t="str">
        <f t="shared" si="5"/>
        <v/>
      </c>
      <c r="U313" s="7">
        <f>IF($C313="",0,IF('설정'!$B$3=0,0,CHOOSE('설정'!$B$3,COUNTIFS('RAW_농산물_7월'!$D:$D,$C313,'RAW_농산물_7월'!$A:$A,$E313),COUNTIFS('RAW_농산물_8월'!$D:$D,$C313,'RAW_농산물_8월'!$A:$A,$E313),COUNTIFS('RAW_농산물_9월'!$D:$D,$C313,'RAW_농산물_9월'!$A:$A,$E313),COUNTIFS('RAW_농산물_10월'!$D:$D,$C313,'RAW_농산물_10월'!$A:$A,$E313),COUNTIFS('RAW_농산물_11-12월'!$D:$D,$C313,'RAW_농산물_11-12월'!$A:$A,$E313))))</f>
        <v>0</v>
      </c>
    </row>
    <row r="314" ht="15.75" customHeight="1">
      <c r="A314" s="5"/>
      <c r="B314" s="5"/>
      <c r="C314" s="5"/>
      <c r="D314" s="6"/>
      <c r="E314" s="5"/>
      <c r="F314" s="7" t="str">
        <f>IF($C314="","",IF('설정'!$B$3=0,"",CHOOSE('설정'!$B$3,SUMIFS('RAW_농산물_7월'!$F:$F,'RAW_농산물_7월'!$D:$D,$C314,'RAW_농산물_7월'!$A:$A,$E314),SUMIFS('RAW_농산물_8월'!$F:$F,'RAW_농산물_8월'!$D:$D,$C314,'RAW_농산물_8월'!$A:$A,$E314),SUMIFS('RAW_농산물_9월'!$F:$F,'RAW_농산물_9월'!$D:$D,$C314,'RAW_농산물_9월'!$A:$A,$E314),SUMIFS('RAW_농산물_10월'!$F:$F,'RAW_농산물_10월'!$D:$D,$C314,'RAW_농산물_10월'!$A:$A,$E314),SUMIFS('RAW_농산물_11-12월'!$F:$F,'RAW_농산물_11-12월'!$D:$D,$C314,'RAW_농산물_11-12월'!$A:$A,$E314))))</f>
        <v/>
      </c>
      <c r="G314" s="7" t="str">
        <f>IF($C314="","",IF('설정'!$B$3=0,"",CHOOSE('설정'!$B$3,SUMIFS('RAW_농산물_7월'!$G:$G,'RAW_농산물_7월'!$D:$D,$C314,'RAW_농산물_7월'!$A:$A,$E314),SUMIFS('RAW_농산물_8월'!$G:$G,'RAW_농산물_8월'!$D:$D,$C314,'RAW_농산물_8월'!$A:$A,$E314),SUMIFS('RAW_농산물_9월'!$G:$G,'RAW_농산물_9월'!$D:$D,$C314,'RAW_농산물_9월'!$A:$A,$E314),SUMIFS('RAW_농산물_10월'!$G:$G,'RAW_농산물_10월'!$D:$D,$C314,'RAW_농산물_10월'!$A:$A,$E314),SUMIFS('RAW_농산물_11-12월'!$G:$G,'RAW_농산물_11-12월'!$D:$D,$C314,'RAW_농산물_11-12월'!$A:$A,$E314))))</f>
        <v/>
      </c>
      <c r="H314" s="14" t="str">
        <f>IF($C314="","",IF('설정'!$B$3=0,"",CHOOSE('설정'!$B$3,SUMIFS('RAW_농산물_7월'!$H:$H,'RAW_농산물_7월'!$D:$D,$C314,'RAW_농산물_7월'!$A:$A,$E314),SUMIFS('RAW_농산물_8월'!$H:$H,'RAW_농산물_8월'!$D:$D,$C314,'RAW_농산물_8월'!$A:$A,$E314),SUMIFS('RAW_농산물_9월'!$H:$H,'RAW_농산물_9월'!$D:$D,$C314,'RAW_농산물_9월'!$A:$A,$E314),SUMIFS('RAW_농산물_10월'!$H:$H,'RAW_농산물_10월'!$D:$D,$C314,'RAW_농산물_10월'!$A:$A,$E314),SUMIFS('RAW_농산물_11-12월'!$H:$H,'RAW_농산물_11-12월'!$D:$D,$C314,'RAW_농산물_11-12월'!$A:$A,$E314))))</f>
        <v/>
      </c>
      <c r="I314" s="17" t="str">
        <f>IF($C314="","",IF(COUNTIFS('RAW_농산물_7월'!$D:$D,$C314,'RAW_농산물_7월'!$A:$A,$E314)&gt;0,"O",""))</f>
        <v/>
      </c>
      <c r="J314" s="17" t="str">
        <f>IF($C314="","",IF(COUNTIFS('RAW_농산물_8월'!$D:$D,$C314,'RAW_농산물_8월'!$A:$A,$E314)&gt;0,"O",""))</f>
        <v/>
      </c>
      <c r="K314" s="17" t="str">
        <f>IF($C314="","",IF(COUNTIFS('RAW_농산물_9월'!$D:$D,$C314,'RAW_농산물_9월'!$A:$A,$E314)&gt;0,"O",""))</f>
        <v/>
      </c>
      <c r="L314" s="17" t="str">
        <f>IF($C314="","",IF(COUNTIFS('RAW_농산물_10월'!$D:$D,$C314,'RAW_농산물_10월'!$A:$A,$E314)&gt;0,"O",""))</f>
        <v/>
      </c>
      <c r="M314" s="17" t="str">
        <f>IF($C314="","",IF(COUNTIFS('RAW_농산물_11-12월'!$D:$D,$C314,'RAW_농산물_11-12월'!$A:$A,$E314)&gt;0,"O",""))</f>
        <v/>
      </c>
      <c r="N314" s="7" t="str">
        <f>IF($C314="","",IF(COUNTA('RAW_농산물_7월'!$A:$A)&lt;=1,"",SUMIFS('RAW_농산물_7월'!$H:$H,'RAW_농산물_7월'!$D:$D,$C314,'RAW_농산물_7월'!$A:$A,$E314)))</f>
        <v/>
      </c>
      <c r="O314" s="7" t="str">
        <f>IF($C314="","",IF(COUNTA('RAW_농산물_8월'!$A:$A)&lt;=1,"",SUMIFS('RAW_농산물_8월'!$H:$H,'RAW_농산물_8월'!$D:$D,$C314,'RAW_농산물_8월'!$A:$A,$E314)-SUMIFS('RAW_농산물_7월'!$H:$H,'RAW_농산물_7월'!$D:$D,$C314,'RAW_농산물_7월'!$A:$A,$E314)))</f>
        <v/>
      </c>
      <c r="P314" s="7" t="str">
        <f>IF($C314="","",IF(COUNTA('RAW_농산물_9월'!$A:$A)&lt;=1,"",SUMIFS('RAW_농산물_9월'!$H:$H,'RAW_농산물_9월'!$D:$D,$C314,'RAW_농산물_9월'!$A:$A,$E314)-SUMIFS('RAW_농산물_8월'!$H:$H,'RAW_농산물_8월'!$D:$D,$C314,'RAW_농산물_8월'!$A:$A,$E314)))</f>
        <v/>
      </c>
      <c r="Q314" s="7" t="str">
        <f>IF($C314="","",IF(COUNTA('RAW_농산물_10월'!$A:$A)&lt;=1,"",SUMIFS('RAW_농산물_10월'!$H:$H,'RAW_농산물_10월'!$D:$D,$C314,'RAW_농산물_10월'!$A:$A,$E314)-SUMIFS('RAW_농산물_9월'!$H:$H,'RAW_농산물_9월'!$D:$D,$C314,'RAW_농산물_9월'!$A:$A,$E314)))</f>
        <v/>
      </c>
      <c r="R314" s="7" t="str">
        <f>IF($C314="","",IF(COUNTA('RAW_농산물_11-12월'!$A:$A)&lt;=1,"",SUMIFS('RAW_농산물_11-12월'!$H:$H,'RAW_농산물_11-12월'!$D:$D,$C314,'RAW_농산물_11-12월'!$A:$A,$E314)-SUMIFS('RAW_농산물_10월'!$H:$H,'RAW_농산물_10월'!$D:$D,$C314,'RAW_농산물_10월'!$A:$A,$E314)))</f>
        <v/>
      </c>
      <c r="S314" s="17" t="str">
        <f t="shared" si="4"/>
        <v/>
      </c>
      <c r="T314" s="17" t="str">
        <f t="shared" si="5"/>
        <v/>
      </c>
      <c r="U314" s="7">
        <f>IF($C314="",0,IF('설정'!$B$3=0,0,CHOOSE('설정'!$B$3,COUNTIFS('RAW_농산물_7월'!$D:$D,$C314,'RAW_농산물_7월'!$A:$A,$E314),COUNTIFS('RAW_농산물_8월'!$D:$D,$C314,'RAW_농산물_8월'!$A:$A,$E314),COUNTIFS('RAW_농산물_9월'!$D:$D,$C314,'RAW_농산물_9월'!$A:$A,$E314),COUNTIFS('RAW_농산물_10월'!$D:$D,$C314,'RAW_농산물_10월'!$A:$A,$E314),COUNTIFS('RAW_농산물_11-12월'!$D:$D,$C314,'RAW_농산물_11-12월'!$A:$A,$E314))))</f>
        <v>0</v>
      </c>
    </row>
    <row r="315" ht="15.75" customHeight="1">
      <c r="A315" s="5"/>
      <c r="B315" s="5"/>
      <c r="C315" s="5"/>
      <c r="D315" s="6"/>
      <c r="E315" s="5"/>
      <c r="F315" s="7" t="str">
        <f>IF($C315="","",IF('설정'!$B$3=0,"",CHOOSE('설정'!$B$3,SUMIFS('RAW_농산물_7월'!$F:$F,'RAW_농산물_7월'!$D:$D,$C315,'RAW_농산물_7월'!$A:$A,$E315),SUMIFS('RAW_농산물_8월'!$F:$F,'RAW_농산물_8월'!$D:$D,$C315,'RAW_농산물_8월'!$A:$A,$E315),SUMIFS('RAW_농산물_9월'!$F:$F,'RAW_농산물_9월'!$D:$D,$C315,'RAW_농산물_9월'!$A:$A,$E315),SUMIFS('RAW_농산물_10월'!$F:$F,'RAW_농산물_10월'!$D:$D,$C315,'RAW_농산물_10월'!$A:$A,$E315),SUMIFS('RAW_농산물_11-12월'!$F:$F,'RAW_농산물_11-12월'!$D:$D,$C315,'RAW_농산물_11-12월'!$A:$A,$E315))))</f>
        <v/>
      </c>
      <c r="G315" s="7" t="str">
        <f>IF($C315="","",IF('설정'!$B$3=0,"",CHOOSE('설정'!$B$3,SUMIFS('RAW_농산물_7월'!$G:$G,'RAW_농산물_7월'!$D:$D,$C315,'RAW_농산물_7월'!$A:$A,$E315),SUMIFS('RAW_농산물_8월'!$G:$G,'RAW_농산물_8월'!$D:$D,$C315,'RAW_농산물_8월'!$A:$A,$E315),SUMIFS('RAW_농산물_9월'!$G:$G,'RAW_농산물_9월'!$D:$D,$C315,'RAW_농산물_9월'!$A:$A,$E315),SUMIFS('RAW_농산물_10월'!$G:$G,'RAW_농산물_10월'!$D:$D,$C315,'RAW_농산물_10월'!$A:$A,$E315),SUMIFS('RAW_농산물_11-12월'!$G:$G,'RAW_농산물_11-12월'!$D:$D,$C315,'RAW_농산물_11-12월'!$A:$A,$E315))))</f>
        <v/>
      </c>
      <c r="H315" s="14" t="str">
        <f>IF($C315="","",IF('설정'!$B$3=0,"",CHOOSE('설정'!$B$3,SUMIFS('RAW_농산물_7월'!$H:$H,'RAW_농산물_7월'!$D:$D,$C315,'RAW_농산물_7월'!$A:$A,$E315),SUMIFS('RAW_농산물_8월'!$H:$H,'RAW_농산물_8월'!$D:$D,$C315,'RAW_농산물_8월'!$A:$A,$E315),SUMIFS('RAW_농산물_9월'!$H:$H,'RAW_농산물_9월'!$D:$D,$C315,'RAW_농산물_9월'!$A:$A,$E315),SUMIFS('RAW_농산물_10월'!$H:$H,'RAW_농산물_10월'!$D:$D,$C315,'RAW_농산물_10월'!$A:$A,$E315),SUMIFS('RAW_농산물_11-12월'!$H:$H,'RAW_농산물_11-12월'!$D:$D,$C315,'RAW_농산물_11-12월'!$A:$A,$E315))))</f>
        <v/>
      </c>
      <c r="I315" s="17" t="str">
        <f>IF($C315="","",IF(COUNTIFS('RAW_농산물_7월'!$D:$D,$C315,'RAW_농산물_7월'!$A:$A,$E315)&gt;0,"O",""))</f>
        <v/>
      </c>
      <c r="J315" s="17" t="str">
        <f>IF($C315="","",IF(COUNTIFS('RAW_농산물_8월'!$D:$D,$C315,'RAW_농산물_8월'!$A:$A,$E315)&gt;0,"O",""))</f>
        <v/>
      </c>
      <c r="K315" s="17" t="str">
        <f>IF($C315="","",IF(COUNTIFS('RAW_농산물_9월'!$D:$D,$C315,'RAW_농산물_9월'!$A:$A,$E315)&gt;0,"O",""))</f>
        <v/>
      </c>
      <c r="L315" s="17" t="str">
        <f>IF($C315="","",IF(COUNTIFS('RAW_농산물_10월'!$D:$D,$C315,'RAW_농산물_10월'!$A:$A,$E315)&gt;0,"O",""))</f>
        <v/>
      </c>
      <c r="M315" s="17" t="str">
        <f>IF($C315="","",IF(COUNTIFS('RAW_농산물_11-12월'!$D:$D,$C315,'RAW_농산물_11-12월'!$A:$A,$E315)&gt;0,"O",""))</f>
        <v/>
      </c>
      <c r="N315" s="7" t="str">
        <f>IF($C315="","",IF(COUNTA('RAW_농산물_7월'!$A:$A)&lt;=1,"",SUMIFS('RAW_농산물_7월'!$H:$H,'RAW_농산물_7월'!$D:$D,$C315,'RAW_농산물_7월'!$A:$A,$E315)))</f>
        <v/>
      </c>
      <c r="O315" s="7" t="str">
        <f>IF($C315="","",IF(COUNTA('RAW_농산물_8월'!$A:$A)&lt;=1,"",SUMIFS('RAW_농산물_8월'!$H:$H,'RAW_농산물_8월'!$D:$D,$C315,'RAW_농산물_8월'!$A:$A,$E315)-SUMIFS('RAW_농산물_7월'!$H:$H,'RAW_농산물_7월'!$D:$D,$C315,'RAW_농산물_7월'!$A:$A,$E315)))</f>
        <v/>
      </c>
      <c r="P315" s="7" t="str">
        <f>IF($C315="","",IF(COUNTA('RAW_농산물_9월'!$A:$A)&lt;=1,"",SUMIFS('RAW_농산물_9월'!$H:$H,'RAW_농산물_9월'!$D:$D,$C315,'RAW_농산물_9월'!$A:$A,$E315)-SUMIFS('RAW_농산물_8월'!$H:$H,'RAW_농산물_8월'!$D:$D,$C315,'RAW_농산물_8월'!$A:$A,$E315)))</f>
        <v/>
      </c>
      <c r="Q315" s="7" t="str">
        <f>IF($C315="","",IF(COUNTA('RAW_농산물_10월'!$A:$A)&lt;=1,"",SUMIFS('RAW_농산물_10월'!$H:$H,'RAW_농산물_10월'!$D:$D,$C315,'RAW_농산물_10월'!$A:$A,$E315)-SUMIFS('RAW_농산물_9월'!$H:$H,'RAW_농산물_9월'!$D:$D,$C315,'RAW_농산물_9월'!$A:$A,$E315)))</f>
        <v/>
      </c>
      <c r="R315" s="7" t="str">
        <f>IF($C315="","",IF(COUNTA('RAW_농산물_11-12월'!$A:$A)&lt;=1,"",SUMIFS('RAW_농산물_11-12월'!$H:$H,'RAW_농산물_11-12월'!$D:$D,$C315,'RAW_농산물_11-12월'!$A:$A,$E315)-SUMIFS('RAW_농산물_10월'!$H:$H,'RAW_농산물_10월'!$D:$D,$C315,'RAW_농산물_10월'!$A:$A,$E315)))</f>
        <v/>
      </c>
      <c r="S315" s="17" t="str">
        <f t="shared" si="4"/>
        <v/>
      </c>
      <c r="T315" s="17" t="str">
        <f t="shared" si="5"/>
        <v/>
      </c>
      <c r="U315" s="7">
        <f>IF($C315="",0,IF('설정'!$B$3=0,0,CHOOSE('설정'!$B$3,COUNTIFS('RAW_농산물_7월'!$D:$D,$C315,'RAW_농산물_7월'!$A:$A,$E315),COUNTIFS('RAW_농산물_8월'!$D:$D,$C315,'RAW_농산물_8월'!$A:$A,$E315),COUNTIFS('RAW_농산물_9월'!$D:$D,$C315,'RAW_농산물_9월'!$A:$A,$E315),COUNTIFS('RAW_농산물_10월'!$D:$D,$C315,'RAW_농산물_10월'!$A:$A,$E315),COUNTIFS('RAW_농산물_11-12월'!$D:$D,$C315,'RAW_농산물_11-12월'!$A:$A,$E315))))</f>
        <v>0</v>
      </c>
    </row>
    <row r="316" ht="15.75" customHeight="1">
      <c r="A316" s="5"/>
      <c r="B316" s="5"/>
      <c r="C316" s="5"/>
      <c r="D316" s="6"/>
      <c r="E316" s="5"/>
      <c r="F316" s="7" t="str">
        <f>IF($C316="","",IF('설정'!$B$3=0,"",CHOOSE('설정'!$B$3,SUMIFS('RAW_농산물_7월'!$F:$F,'RAW_농산물_7월'!$D:$D,$C316,'RAW_농산물_7월'!$A:$A,$E316),SUMIFS('RAW_농산물_8월'!$F:$F,'RAW_농산물_8월'!$D:$D,$C316,'RAW_농산물_8월'!$A:$A,$E316),SUMIFS('RAW_농산물_9월'!$F:$F,'RAW_농산물_9월'!$D:$D,$C316,'RAW_농산물_9월'!$A:$A,$E316),SUMIFS('RAW_농산물_10월'!$F:$F,'RAW_농산물_10월'!$D:$D,$C316,'RAW_농산물_10월'!$A:$A,$E316),SUMIFS('RAW_농산물_11-12월'!$F:$F,'RAW_농산물_11-12월'!$D:$D,$C316,'RAW_농산물_11-12월'!$A:$A,$E316))))</f>
        <v/>
      </c>
      <c r="G316" s="7" t="str">
        <f>IF($C316="","",IF('설정'!$B$3=0,"",CHOOSE('설정'!$B$3,SUMIFS('RAW_농산물_7월'!$G:$G,'RAW_농산물_7월'!$D:$D,$C316,'RAW_농산물_7월'!$A:$A,$E316),SUMIFS('RAW_농산물_8월'!$G:$G,'RAW_농산물_8월'!$D:$D,$C316,'RAW_농산물_8월'!$A:$A,$E316),SUMIFS('RAW_농산물_9월'!$G:$G,'RAW_농산물_9월'!$D:$D,$C316,'RAW_농산물_9월'!$A:$A,$E316),SUMIFS('RAW_농산물_10월'!$G:$G,'RAW_농산물_10월'!$D:$D,$C316,'RAW_농산물_10월'!$A:$A,$E316),SUMIFS('RAW_농산물_11-12월'!$G:$G,'RAW_농산물_11-12월'!$D:$D,$C316,'RAW_농산물_11-12월'!$A:$A,$E316))))</f>
        <v/>
      </c>
      <c r="H316" s="14" t="str">
        <f>IF($C316="","",IF('설정'!$B$3=0,"",CHOOSE('설정'!$B$3,SUMIFS('RAW_농산물_7월'!$H:$H,'RAW_농산물_7월'!$D:$D,$C316,'RAW_농산물_7월'!$A:$A,$E316),SUMIFS('RAW_농산물_8월'!$H:$H,'RAW_농산물_8월'!$D:$D,$C316,'RAW_농산물_8월'!$A:$A,$E316),SUMIFS('RAW_농산물_9월'!$H:$H,'RAW_농산물_9월'!$D:$D,$C316,'RAW_농산물_9월'!$A:$A,$E316),SUMIFS('RAW_농산물_10월'!$H:$H,'RAW_농산물_10월'!$D:$D,$C316,'RAW_농산물_10월'!$A:$A,$E316),SUMIFS('RAW_농산물_11-12월'!$H:$H,'RAW_농산물_11-12월'!$D:$D,$C316,'RAW_농산물_11-12월'!$A:$A,$E316))))</f>
        <v/>
      </c>
      <c r="I316" s="17" t="str">
        <f>IF($C316="","",IF(COUNTIFS('RAW_농산물_7월'!$D:$D,$C316,'RAW_농산물_7월'!$A:$A,$E316)&gt;0,"O",""))</f>
        <v/>
      </c>
      <c r="J316" s="17" t="str">
        <f>IF($C316="","",IF(COUNTIFS('RAW_농산물_8월'!$D:$D,$C316,'RAW_농산물_8월'!$A:$A,$E316)&gt;0,"O",""))</f>
        <v/>
      </c>
      <c r="K316" s="17" t="str">
        <f>IF($C316="","",IF(COUNTIFS('RAW_농산물_9월'!$D:$D,$C316,'RAW_농산물_9월'!$A:$A,$E316)&gt;0,"O",""))</f>
        <v/>
      </c>
      <c r="L316" s="17" t="str">
        <f>IF($C316="","",IF(COUNTIFS('RAW_농산물_10월'!$D:$D,$C316,'RAW_농산물_10월'!$A:$A,$E316)&gt;0,"O",""))</f>
        <v/>
      </c>
      <c r="M316" s="17" t="str">
        <f>IF($C316="","",IF(COUNTIFS('RAW_농산물_11-12월'!$D:$D,$C316,'RAW_농산물_11-12월'!$A:$A,$E316)&gt;0,"O",""))</f>
        <v/>
      </c>
      <c r="N316" s="7" t="str">
        <f>IF($C316="","",IF(COUNTA('RAW_농산물_7월'!$A:$A)&lt;=1,"",SUMIFS('RAW_농산물_7월'!$H:$H,'RAW_농산물_7월'!$D:$D,$C316,'RAW_농산물_7월'!$A:$A,$E316)))</f>
        <v/>
      </c>
      <c r="O316" s="7" t="str">
        <f>IF($C316="","",IF(COUNTA('RAW_농산물_8월'!$A:$A)&lt;=1,"",SUMIFS('RAW_농산물_8월'!$H:$H,'RAW_농산물_8월'!$D:$D,$C316,'RAW_농산물_8월'!$A:$A,$E316)-SUMIFS('RAW_농산물_7월'!$H:$H,'RAW_농산물_7월'!$D:$D,$C316,'RAW_농산물_7월'!$A:$A,$E316)))</f>
        <v/>
      </c>
      <c r="P316" s="7" t="str">
        <f>IF($C316="","",IF(COUNTA('RAW_농산물_9월'!$A:$A)&lt;=1,"",SUMIFS('RAW_농산물_9월'!$H:$H,'RAW_농산물_9월'!$D:$D,$C316,'RAW_농산물_9월'!$A:$A,$E316)-SUMIFS('RAW_농산물_8월'!$H:$H,'RAW_농산물_8월'!$D:$D,$C316,'RAW_농산물_8월'!$A:$A,$E316)))</f>
        <v/>
      </c>
      <c r="Q316" s="7" t="str">
        <f>IF($C316="","",IF(COUNTA('RAW_농산물_10월'!$A:$A)&lt;=1,"",SUMIFS('RAW_농산물_10월'!$H:$H,'RAW_농산물_10월'!$D:$D,$C316,'RAW_농산물_10월'!$A:$A,$E316)-SUMIFS('RAW_농산물_9월'!$H:$H,'RAW_농산물_9월'!$D:$D,$C316,'RAW_농산물_9월'!$A:$A,$E316)))</f>
        <v/>
      </c>
      <c r="R316" s="7" t="str">
        <f>IF($C316="","",IF(COUNTA('RAW_농산물_11-12월'!$A:$A)&lt;=1,"",SUMIFS('RAW_농산물_11-12월'!$H:$H,'RAW_농산물_11-12월'!$D:$D,$C316,'RAW_농산물_11-12월'!$A:$A,$E316)-SUMIFS('RAW_농산물_10월'!$H:$H,'RAW_농산물_10월'!$D:$D,$C316,'RAW_농산물_10월'!$A:$A,$E316)))</f>
        <v/>
      </c>
      <c r="S316" s="17" t="str">
        <f t="shared" si="4"/>
        <v/>
      </c>
      <c r="T316" s="17" t="str">
        <f t="shared" si="5"/>
        <v/>
      </c>
      <c r="U316" s="7">
        <f>IF($C316="",0,IF('설정'!$B$3=0,0,CHOOSE('설정'!$B$3,COUNTIFS('RAW_농산물_7월'!$D:$D,$C316,'RAW_농산물_7월'!$A:$A,$E316),COUNTIFS('RAW_농산물_8월'!$D:$D,$C316,'RAW_농산물_8월'!$A:$A,$E316),COUNTIFS('RAW_농산물_9월'!$D:$D,$C316,'RAW_농산물_9월'!$A:$A,$E316),COUNTIFS('RAW_농산물_10월'!$D:$D,$C316,'RAW_농산물_10월'!$A:$A,$E316),COUNTIFS('RAW_농산물_11-12월'!$D:$D,$C316,'RAW_농산물_11-12월'!$A:$A,$E316))))</f>
        <v>0</v>
      </c>
    </row>
    <row r="317" ht="15.75" customHeight="1">
      <c r="A317" s="5"/>
      <c r="B317" s="5"/>
      <c r="C317" s="5"/>
      <c r="D317" s="6"/>
      <c r="E317" s="5"/>
      <c r="F317" s="7" t="str">
        <f>IF($C317="","",IF('설정'!$B$3=0,"",CHOOSE('설정'!$B$3,SUMIFS('RAW_농산물_7월'!$F:$F,'RAW_농산물_7월'!$D:$D,$C317,'RAW_농산물_7월'!$A:$A,$E317),SUMIFS('RAW_농산물_8월'!$F:$F,'RAW_농산물_8월'!$D:$D,$C317,'RAW_농산물_8월'!$A:$A,$E317),SUMIFS('RAW_농산물_9월'!$F:$F,'RAW_농산물_9월'!$D:$D,$C317,'RAW_농산물_9월'!$A:$A,$E317),SUMIFS('RAW_농산물_10월'!$F:$F,'RAW_농산물_10월'!$D:$D,$C317,'RAW_농산물_10월'!$A:$A,$E317),SUMIFS('RAW_농산물_11-12월'!$F:$F,'RAW_농산물_11-12월'!$D:$D,$C317,'RAW_농산물_11-12월'!$A:$A,$E317))))</f>
        <v/>
      </c>
      <c r="G317" s="7" t="str">
        <f>IF($C317="","",IF('설정'!$B$3=0,"",CHOOSE('설정'!$B$3,SUMIFS('RAW_농산물_7월'!$G:$G,'RAW_농산물_7월'!$D:$D,$C317,'RAW_농산물_7월'!$A:$A,$E317),SUMIFS('RAW_농산물_8월'!$G:$G,'RAW_농산물_8월'!$D:$D,$C317,'RAW_농산물_8월'!$A:$A,$E317),SUMIFS('RAW_농산물_9월'!$G:$G,'RAW_농산물_9월'!$D:$D,$C317,'RAW_농산물_9월'!$A:$A,$E317),SUMIFS('RAW_농산물_10월'!$G:$G,'RAW_농산물_10월'!$D:$D,$C317,'RAW_농산물_10월'!$A:$A,$E317),SUMIFS('RAW_농산물_11-12월'!$G:$G,'RAW_농산물_11-12월'!$D:$D,$C317,'RAW_농산물_11-12월'!$A:$A,$E317))))</f>
        <v/>
      </c>
      <c r="H317" s="14" t="str">
        <f>IF($C317="","",IF('설정'!$B$3=0,"",CHOOSE('설정'!$B$3,SUMIFS('RAW_농산물_7월'!$H:$H,'RAW_농산물_7월'!$D:$D,$C317,'RAW_농산물_7월'!$A:$A,$E317),SUMIFS('RAW_농산물_8월'!$H:$H,'RAW_농산물_8월'!$D:$D,$C317,'RAW_농산물_8월'!$A:$A,$E317),SUMIFS('RAW_농산물_9월'!$H:$H,'RAW_농산물_9월'!$D:$D,$C317,'RAW_농산물_9월'!$A:$A,$E317),SUMIFS('RAW_농산물_10월'!$H:$H,'RAW_농산물_10월'!$D:$D,$C317,'RAW_농산물_10월'!$A:$A,$E317),SUMIFS('RAW_농산물_11-12월'!$H:$H,'RAW_농산물_11-12월'!$D:$D,$C317,'RAW_농산물_11-12월'!$A:$A,$E317))))</f>
        <v/>
      </c>
      <c r="I317" s="17" t="str">
        <f>IF($C317="","",IF(COUNTIFS('RAW_농산물_7월'!$D:$D,$C317,'RAW_농산물_7월'!$A:$A,$E317)&gt;0,"O",""))</f>
        <v/>
      </c>
      <c r="J317" s="17" t="str">
        <f>IF($C317="","",IF(COUNTIFS('RAW_농산물_8월'!$D:$D,$C317,'RAW_농산물_8월'!$A:$A,$E317)&gt;0,"O",""))</f>
        <v/>
      </c>
      <c r="K317" s="17" t="str">
        <f>IF($C317="","",IF(COUNTIFS('RAW_농산물_9월'!$D:$D,$C317,'RAW_농산물_9월'!$A:$A,$E317)&gt;0,"O",""))</f>
        <v/>
      </c>
      <c r="L317" s="17" t="str">
        <f>IF($C317="","",IF(COUNTIFS('RAW_농산물_10월'!$D:$D,$C317,'RAW_농산물_10월'!$A:$A,$E317)&gt;0,"O",""))</f>
        <v/>
      </c>
      <c r="M317" s="17" t="str">
        <f>IF($C317="","",IF(COUNTIFS('RAW_농산물_11-12월'!$D:$D,$C317,'RAW_농산물_11-12월'!$A:$A,$E317)&gt;0,"O",""))</f>
        <v/>
      </c>
      <c r="N317" s="7" t="str">
        <f>IF($C317="","",IF(COUNTA('RAW_농산물_7월'!$A:$A)&lt;=1,"",SUMIFS('RAW_농산물_7월'!$H:$H,'RAW_농산물_7월'!$D:$D,$C317,'RAW_농산물_7월'!$A:$A,$E317)))</f>
        <v/>
      </c>
      <c r="O317" s="7" t="str">
        <f>IF($C317="","",IF(COUNTA('RAW_농산물_8월'!$A:$A)&lt;=1,"",SUMIFS('RAW_농산물_8월'!$H:$H,'RAW_농산물_8월'!$D:$D,$C317,'RAW_농산물_8월'!$A:$A,$E317)-SUMIFS('RAW_농산물_7월'!$H:$H,'RAW_농산물_7월'!$D:$D,$C317,'RAW_농산물_7월'!$A:$A,$E317)))</f>
        <v/>
      </c>
      <c r="P317" s="7" t="str">
        <f>IF($C317="","",IF(COUNTA('RAW_농산물_9월'!$A:$A)&lt;=1,"",SUMIFS('RAW_농산물_9월'!$H:$H,'RAW_농산물_9월'!$D:$D,$C317,'RAW_농산물_9월'!$A:$A,$E317)-SUMIFS('RAW_농산물_8월'!$H:$H,'RAW_농산물_8월'!$D:$D,$C317,'RAW_농산물_8월'!$A:$A,$E317)))</f>
        <v/>
      </c>
      <c r="Q317" s="7" t="str">
        <f>IF($C317="","",IF(COUNTA('RAW_농산물_10월'!$A:$A)&lt;=1,"",SUMIFS('RAW_농산물_10월'!$H:$H,'RAW_농산물_10월'!$D:$D,$C317,'RAW_농산물_10월'!$A:$A,$E317)-SUMIFS('RAW_농산물_9월'!$H:$H,'RAW_농산물_9월'!$D:$D,$C317,'RAW_농산물_9월'!$A:$A,$E317)))</f>
        <v/>
      </c>
      <c r="R317" s="7" t="str">
        <f>IF($C317="","",IF(COUNTA('RAW_농산물_11-12월'!$A:$A)&lt;=1,"",SUMIFS('RAW_농산물_11-12월'!$H:$H,'RAW_농산물_11-12월'!$D:$D,$C317,'RAW_농산물_11-12월'!$A:$A,$E317)-SUMIFS('RAW_농산물_10월'!$H:$H,'RAW_농산물_10월'!$D:$D,$C317,'RAW_농산물_10월'!$A:$A,$E317)))</f>
        <v/>
      </c>
      <c r="S317" s="17" t="str">
        <f t="shared" si="4"/>
        <v/>
      </c>
      <c r="T317" s="17" t="str">
        <f t="shared" si="5"/>
        <v/>
      </c>
      <c r="U317" s="7">
        <f>IF($C317="",0,IF('설정'!$B$3=0,0,CHOOSE('설정'!$B$3,COUNTIFS('RAW_농산물_7월'!$D:$D,$C317,'RAW_농산물_7월'!$A:$A,$E317),COUNTIFS('RAW_농산물_8월'!$D:$D,$C317,'RAW_농산물_8월'!$A:$A,$E317),COUNTIFS('RAW_농산물_9월'!$D:$D,$C317,'RAW_농산물_9월'!$A:$A,$E317),COUNTIFS('RAW_농산물_10월'!$D:$D,$C317,'RAW_농산물_10월'!$A:$A,$E317),COUNTIFS('RAW_농산물_11-12월'!$D:$D,$C317,'RAW_농산물_11-12월'!$A:$A,$E317))))</f>
        <v>0</v>
      </c>
    </row>
    <row r="318" ht="15.75" customHeight="1">
      <c r="A318" s="5"/>
      <c r="B318" s="5"/>
      <c r="C318" s="5"/>
      <c r="D318" s="6"/>
      <c r="E318" s="5"/>
      <c r="F318" s="7" t="str">
        <f>IF($C318="","",IF('설정'!$B$3=0,"",CHOOSE('설정'!$B$3,SUMIFS('RAW_농산물_7월'!$F:$F,'RAW_농산물_7월'!$D:$D,$C318,'RAW_농산물_7월'!$A:$A,$E318),SUMIFS('RAW_농산물_8월'!$F:$F,'RAW_농산물_8월'!$D:$D,$C318,'RAW_농산물_8월'!$A:$A,$E318),SUMIFS('RAW_농산물_9월'!$F:$F,'RAW_농산물_9월'!$D:$D,$C318,'RAW_농산물_9월'!$A:$A,$E318),SUMIFS('RAW_농산물_10월'!$F:$F,'RAW_농산물_10월'!$D:$D,$C318,'RAW_농산물_10월'!$A:$A,$E318),SUMIFS('RAW_농산물_11-12월'!$F:$F,'RAW_농산물_11-12월'!$D:$D,$C318,'RAW_농산물_11-12월'!$A:$A,$E318))))</f>
        <v/>
      </c>
      <c r="G318" s="7" t="str">
        <f>IF($C318="","",IF('설정'!$B$3=0,"",CHOOSE('설정'!$B$3,SUMIFS('RAW_농산물_7월'!$G:$G,'RAW_농산물_7월'!$D:$D,$C318,'RAW_농산물_7월'!$A:$A,$E318),SUMIFS('RAW_농산물_8월'!$G:$G,'RAW_농산물_8월'!$D:$D,$C318,'RAW_농산물_8월'!$A:$A,$E318),SUMIFS('RAW_농산물_9월'!$G:$G,'RAW_농산물_9월'!$D:$D,$C318,'RAW_농산물_9월'!$A:$A,$E318),SUMIFS('RAW_농산물_10월'!$G:$G,'RAW_농산물_10월'!$D:$D,$C318,'RAW_농산물_10월'!$A:$A,$E318),SUMIFS('RAW_농산물_11-12월'!$G:$G,'RAW_농산물_11-12월'!$D:$D,$C318,'RAW_농산물_11-12월'!$A:$A,$E318))))</f>
        <v/>
      </c>
      <c r="H318" s="14" t="str">
        <f>IF($C318="","",IF('설정'!$B$3=0,"",CHOOSE('설정'!$B$3,SUMIFS('RAW_농산물_7월'!$H:$H,'RAW_농산물_7월'!$D:$D,$C318,'RAW_농산물_7월'!$A:$A,$E318),SUMIFS('RAW_농산물_8월'!$H:$H,'RAW_농산물_8월'!$D:$D,$C318,'RAW_농산물_8월'!$A:$A,$E318),SUMIFS('RAW_농산물_9월'!$H:$H,'RAW_농산물_9월'!$D:$D,$C318,'RAW_농산물_9월'!$A:$A,$E318),SUMIFS('RAW_농산물_10월'!$H:$H,'RAW_농산물_10월'!$D:$D,$C318,'RAW_농산물_10월'!$A:$A,$E318),SUMIFS('RAW_농산물_11-12월'!$H:$H,'RAW_농산물_11-12월'!$D:$D,$C318,'RAW_농산물_11-12월'!$A:$A,$E318))))</f>
        <v/>
      </c>
      <c r="I318" s="17" t="str">
        <f>IF($C318="","",IF(COUNTIFS('RAW_농산물_7월'!$D:$D,$C318,'RAW_농산물_7월'!$A:$A,$E318)&gt;0,"O",""))</f>
        <v/>
      </c>
      <c r="J318" s="17" t="str">
        <f>IF($C318="","",IF(COUNTIFS('RAW_농산물_8월'!$D:$D,$C318,'RAW_농산물_8월'!$A:$A,$E318)&gt;0,"O",""))</f>
        <v/>
      </c>
      <c r="K318" s="17" t="str">
        <f>IF($C318="","",IF(COUNTIFS('RAW_농산물_9월'!$D:$D,$C318,'RAW_농산물_9월'!$A:$A,$E318)&gt;0,"O",""))</f>
        <v/>
      </c>
      <c r="L318" s="17" t="str">
        <f>IF($C318="","",IF(COUNTIFS('RAW_농산물_10월'!$D:$D,$C318,'RAW_농산물_10월'!$A:$A,$E318)&gt;0,"O",""))</f>
        <v/>
      </c>
      <c r="M318" s="17" t="str">
        <f>IF($C318="","",IF(COUNTIFS('RAW_농산물_11-12월'!$D:$D,$C318,'RAW_농산물_11-12월'!$A:$A,$E318)&gt;0,"O",""))</f>
        <v/>
      </c>
      <c r="N318" s="7" t="str">
        <f>IF($C318="","",IF(COUNTA('RAW_농산물_7월'!$A:$A)&lt;=1,"",SUMIFS('RAW_농산물_7월'!$H:$H,'RAW_농산물_7월'!$D:$D,$C318,'RAW_농산물_7월'!$A:$A,$E318)))</f>
        <v/>
      </c>
      <c r="O318" s="7" t="str">
        <f>IF($C318="","",IF(COUNTA('RAW_농산물_8월'!$A:$A)&lt;=1,"",SUMIFS('RAW_농산물_8월'!$H:$H,'RAW_농산물_8월'!$D:$D,$C318,'RAW_농산물_8월'!$A:$A,$E318)-SUMIFS('RAW_농산물_7월'!$H:$H,'RAW_농산물_7월'!$D:$D,$C318,'RAW_농산물_7월'!$A:$A,$E318)))</f>
        <v/>
      </c>
      <c r="P318" s="7" t="str">
        <f>IF($C318="","",IF(COUNTA('RAW_농산물_9월'!$A:$A)&lt;=1,"",SUMIFS('RAW_농산물_9월'!$H:$H,'RAW_농산물_9월'!$D:$D,$C318,'RAW_농산물_9월'!$A:$A,$E318)-SUMIFS('RAW_농산물_8월'!$H:$H,'RAW_농산물_8월'!$D:$D,$C318,'RAW_농산물_8월'!$A:$A,$E318)))</f>
        <v/>
      </c>
      <c r="Q318" s="7" t="str">
        <f>IF($C318="","",IF(COUNTA('RAW_농산물_10월'!$A:$A)&lt;=1,"",SUMIFS('RAW_농산물_10월'!$H:$H,'RAW_농산물_10월'!$D:$D,$C318,'RAW_농산물_10월'!$A:$A,$E318)-SUMIFS('RAW_농산물_9월'!$H:$H,'RAW_농산물_9월'!$D:$D,$C318,'RAW_농산물_9월'!$A:$A,$E318)))</f>
        <v/>
      </c>
      <c r="R318" s="7" t="str">
        <f>IF($C318="","",IF(COUNTA('RAW_농산물_11-12월'!$A:$A)&lt;=1,"",SUMIFS('RAW_농산물_11-12월'!$H:$H,'RAW_농산물_11-12월'!$D:$D,$C318,'RAW_농산물_11-12월'!$A:$A,$E318)-SUMIFS('RAW_농산물_10월'!$H:$H,'RAW_농산물_10월'!$D:$D,$C318,'RAW_농산물_10월'!$A:$A,$E318)))</f>
        <v/>
      </c>
      <c r="S318" s="17" t="str">
        <f t="shared" si="4"/>
        <v/>
      </c>
      <c r="T318" s="17" t="str">
        <f t="shared" si="5"/>
        <v/>
      </c>
      <c r="U318" s="7">
        <f>IF($C318="",0,IF('설정'!$B$3=0,0,CHOOSE('설정'!$B$3,COUNTIFS('RAW_농산물_7월'!$D:$D,$C318,'RAW_농산물_7월'!$A:$A,$E318),COUNTIFS('RAW_농산물_8월'!$D:$D,$C318,'RAW_농산물_8월'!$A:$A,$E318),COUNTIFS('RAW_농산물_9월'!$D:$D,$C318,'RAW_농산물_9월'!$A:$A,$E318),COUNTIFS('RAW_농산물_10월'!$D:$D,$C318,'RAW_농산물_10월'!$A:$A,$E318),COUNTIFS('RAW_농산물_11-12월'!$D:$D,$C318,'RAW_농산물_11-12월'!$A:$A,$E318))))</f>
        <v>0</v>
      </c>
    </row>
    <row r="319" ht="15.75" customHeight="1">
      <c r="A319" s="5"/>
      <c r="B319" s="5"/>
      <c r="C319" s="5"/>
      <c r="D319" s="6"/>
      <c r="E319" s="5"/>
      <c r="F319" s="7" t="str">
        <f>IF($C319="","",IF('설정'!$B$3=0,"",CHOOSE('설정'!$B$3,SUMIFS('RAW_농산물_7월'!$F:$F,'RAW_농산물_7월'!$D:$D,$C319,'RAW_농산물_7월'!$A:$A,$E319),SUMIFS('RAW_농산물_8월'!$F:$F,'RAW_농산물_8월'!$D:$D,$C319,'RAW_농산물_8월'!$A:$A,$E319),SUMIFS('RAW_농산물_9월'!$F:$F,'RAW_농산물_9월'!$D:$D,$C319,'RAW_농산물_9월'!$A:$A,$E319),SUMIFS('RAW_농산물_10월'!$F:$F,'RAW_농산물_10월'!$D:$D,$C319,'RAW_농산물_10월'!$A:$A,$E319),SUMIFS('RAW_농산물_11-12월'!$F:$F,'RAW_농산물_11-12월'!$D:$D,$C319,'RAW_농산물_11-12월'!$A:$A,$E319))))</f>
        <v/>
      </c>
      <c r="G319" s="7" t="str">
        <f>IF($C319="","",IF('설정'!$B$3=0,"",CHOOSE('설정'!$B$3,SUMIFS('RAW_농산물_7월'!$G:$G,'RAW_농산물_7월'!$D:$D,$C319,'RAW_농산물_7월'!$A:$A,$E319),SUMIFS('RAW_농산물_8월'!$G:$G,'RAW_농산물_8월'!$D:$D,$C319,'RAW_농산물_8월'!$A:$A,$E319),SUMIFS('RAW_농산물_9월'!$G:$G,'RAW_농산물_9월'!$D:$D,$C319,'RAW_농산물_9월'!$A:$A,$E319),SUMIFS('RAW_농산물_10월'!$G:$G,'RAW_농산물_10월'!$D:$D,$C319,'RAW_농산물_10월'!$A:$A,$E319),SUMIFS('RAW_농산물_11-12월'!$G:$G,'RAW_농산물_11-12월'!$D:$D,$C319,'RAW_농산물_11-12월'!$A:$A,$E319))))</f>
        <v/>
      </c>
      <c r="H319" s="14" t="str">
        <f>IF($C319="","",IF('설정'!$B$3=0,"",CHOOSE('설정'!$B$3,SUMIFS('RAW_농산물_7월'!$H:$H,'RAW_농산물_7월'!$D:$D,$C319,'RAW_농산물_7월'!$A:$A,$E319),SUMIFS('RAW_농산물_8월'!$H:$H,'RAW_농산물_8월'!$D:$D,$C319,'RAW_농산물_8월'!$A:$A,$E319),SUMIFS('RAW_농산물_9월'!$H:$H,'RAW_농산물_9월'!$D:$D,$C319,'RAW_농산물_9월'!$A:$A,$E319),SUMIFS('RAW_농산물_10월'!$H:$H,'RAW_농산물_10월'!$D:$D,$C319,'RAW_농산물_10월'!$A:$A,$E319),SUMIFS('RAW_농산물_11-12월'!$H:$H,'RAW_농산물_11-12월'!$D:$D,$C319,'RAW_농산물_11-12월'!$A:$A,$E319))))</f>
        <v/>
      </c>
      <c r="I319" s="17" t="str">
        <f>IF($C319="","",IF(COUNTIFS('RAW_농산물_7월'!$D:$D,$C319,'RAW_농산물_7월'!$A:$A,$E319)&gt;0,"O",""))</f>
        <v/>
      </c>
      <c r="J319" s="17" t="str">
        <f>IF($C319="","",IF(COUNTIFS('RAW_농산물_8월'!$D:$D,$C319,'RAW_농산물_8월'!$A:$A,$E319)&gt;0,"O",""))</f>
        <v/>
      </c>
      <c r="K319" s="17" t="str">
        <f>IF($C319="","",IF(COUNTIFS('RAW_농산물_9월'!$D:$D,$C319,'RAW_농산물_9월'!$A:$A,$E319)&gt;0,"O",""))</f>
        <v/>
      </c>
      <c r="L319" s="17" t="str">
        <f>IF($C319="","",IF(COUNTIFS('RAW_농산물_10월'!$D:$D,$C319,'RAW_농산물_10월'!$A:$A,$E319)&gt;0,"O",""))</f>
        <v/>
      </c>
      <c r="M319" s="17" t="str">
        <f>IF($C319="","",IF(COUNTIFS('RAW_농산물_11-12월'!$D:$D,$C319,'RAW_농산물_11-12월'!$A:$A,$E319)&gt;0,"O",""))</f>
        <v/>
      </c>
      <c r="N319" s="7" t="str">
        <f>IF($C319="","",IF(COUNTA('RAW_농산물_7월'!$A:$A)&lt;=1,"",SUMIFS('RAW_농산물_7월'!$H:$H,'RAW_농산물_7월'!$D:$D,$C319,'RAW_농산물_7월'!$A:$A,$E319)))</f>
        <v/>
      </c>
      <c r="O319" s="7" t="str">
        <f>IF($C319="","",IF(COUNTA('RAW_농산물_8월'!$A:$A)&lt;=1,"",SUMIFS('RAW_농산물_8월'!$H:$H,'RAW_농산물_8월'!$D:$D,$C319,'RAW_농산물_8월'!$A:$A,$E319)-SUMIFS('RAW_농산물_7월'!$H:$H,'RAW_농산물_7월'!$D:$D,$C319,'RAW_농산물_7월'!$A:$A,$E319)))</f>
        <v/>
      </c>
      <c r="P319" s="7" t="str">
        <f>IF($C319="","",IF(COUNTA('RAW_농산물_9월'!$A:$A)&lt;=1,"",SUMIFS('RAW_농산물_9월'!$H:$H,'RAW_농산물_9월'!$D:$D,$C319,'RAW_농산물_9월'!$A:$A,$E319)-SUMIFS('RAW_농산물_8월'!$H:$H,'RAW_농산물_8월'!$D:$D,$C319,'RAW_농산물_8월'!$A:$A,$E319)))</f>
        <v/>
      </c>
      <c r="Q319" s="7" t="str">
        <f>IF($C319="","",IF(COUNTA('RAW_농산물_10월'!$A:$A)&lt;=1,"",SUMIFS('RAW_농산물_10월'!$H:$H,'RAW_농산물_10월'!$D:$D,$C319,'RAW_농산물_10월'!$A:$A,$E319)-SUMIFS('RAW_농산물_9월'!$H:$H,'RAW_농산물_9월'!$D:$D,$C319,'RAW_농산물_9월'!$A:$A,$E319)))</f>
        <v/>
      </c>
      <c r="R319" s="7" t="str">
        <f>IF($C319="","",IF(COUNTA('RAW_농산물_11-12월'!$A:$A)&lt;=1,"",SUMIFS('RAW_농산물_11-12월'!$H:$H,'RAW_농산물_11-12월'!$D:$D,$C319,'RAW_농산물_11-12월'!$A:$A,$E319)-SUMIFS('RAW_농산물_10월'!$H:$H,'RAW_농산물_10월'!$D:$D,$C319,'RAW_농산물_10월'!$A:$A,$E319)))</f>
        <v/>
      </c>
      <c r="S319" s="17" t="str">
        <f t="shared" si="4"/>
        <v/>
      </c>
      <c r="T319" s="17" t="str">
        <f t="shared" si="5"/>
        <v/>
      </c>
      <c r="U319" s="7">
        <f>IF($C319="",0,IF('설정'!$B$3=0,0,CHOOSE('설정'!$B$3,COUNTIFS('RAW_농산물_7월'!$D:$D,$C319,'RAW_농산물_7월'!$A:$A,$E319),COUNTIFS('RAW_농산물_8월'!$D:$D,$C319,'RAW_농산물_8월'!$A:$A,$E319),COUNTIFS('RAW_농산물_9월'!$D:$D,$C319,'RAW_농산물_9월'!$A:$A,$E319),COUNTIFS('RAW_농산물_10월'!$D:$D,$C319,'RAW_농산물_10월'!$A:$A,$E319),COUNTIFS('RAW_농산물_11-12월'!$D:$D,$C319,'RAW_농산물_11-12월'!$A:$A,$E319))))</f>
        <v>0</v>
      </c>
    </row>
    <row r="320" ht="15.75" customHeight="1">
      <c r="A320" s="5"/>
      <c r="B320" s="5"/>
      <c r="C320" s="5"/>
      <c r="D320" s="6"/>
      <c r="E320" s="5"/>
      <c r="F320" s="7" t="str">
        <f>IF($C320="","",IF('설정'!$B$3=0,"",CHOOSE('설정'!$B$3,SUMIFS('RAW_농산물_7월'!$F:$F,'RAW_농산물_7월'!$D:$D,$C320,'RAW_농산물_7월'!$A:$A,$E320),SUMIFS('RAW_농산물_8월'!$F:$F,'RAW_농산물_8월'!$D:$D,$C320,'RAW_농산물_8월'!$A:$A,$E320),SUMIFS('RAW_농산물_9월'!$F:$F,'RAW_농산물_9월'!$D:$D,$C320,'RAW_농산물_9월'!$A:$A,$E320),SUMIFS('RAW_농산물_10월'!$F:$F,'RAW_농산물_10월'!$D:$D,$C320,'RAW_농산물_10월'!$A:$A,$E320),SUMIFS('RAW_농산물_11-12월'!$F:$F,'RAW_농산물_11-12월'!$D:$D,$C320,'RAW_농산물_11-12월'!$A:$A,$E320))))</f>
        <v/>
      </c>
      <c r="G320" s="7" t="str">
        <f>IF($C320="","",IF('설정'!$B$3=0,"",CHOOSE('설정'!$B$3,SUMIFS('RAW_농산물_7월'!$G:$G,'RAW_농산물_7월'!$D:$D,$C320,'RAW_농산물_7월'!$A:$A,$E320),SUMIFS('RAW_농산물_8월'!$G:$G,'RAW_농산물_8월'!$D:$D,$C320,'RAW_농산물_8월'!$A:$A,$E320),SUMIFS('RAW_농산물_9월'!$G:$G,'RAW_농산물_9월'!$D:$D,$C320,'RAW_농산물_9월'!$A:$A,$E320),SUMIFS('RAW_농산물_10월'!$G:$G,'RAW_농산물_10월'!$D:$D,$C320,'RAW_농산물_10월'!$A:$A,$E320),SUMIFS('RAW_농산물_11-12월'!$G:$G,'RAW_농산물_11-12월'!$D:$D,$C320,'RAW_농산물_11-12월'!$A:$A,$E320))))</f>
        <v/>
      </c>
      <c r="H320" s="14" t="str">
        <f>IF($C320="","",IF('설정'!$B$3=0,"",CHOOSE('설정'!$B$3,SUMIFS('RAW_농산물_7월'!$H:$H,'RAW_농산물_7월'!$D:$D,$C320,'RAW_농산물_7월'!$A:$A,$E320),SUMIFS('RAW_농산물_8월'!$H:$H,'RAW_농산물_8월'!$D:$D,$C320,'RAW_농산물_8월'!$A:$A,$E320),SUMIFS('RAW_농산물_9월'!$H:$H,'RAW_농산물_9월'!$D:$D,$C320,'RAW_농산물_9월'!$A:$A,$E320),SUMIFS('RAW_농산물_10월'!$H:$H,'RAW_농산물_10월'!$D:$D,$C320,'RAW_농산물_10월'!$A:$A,$E320),SUMIFS('RAW_농산물_11-12월'!$H:$H,'RAW_농산물_11-12월'!$D:$D,$C320,'RAW_농산물_11-12월'!$A:$A,$E320))))</f>
        <v/>
      </c>
      <c r="I320" s="17" t="str">
        <f>IF($C320="","",IF(COUNTIFS('RAW_농산물_7월'!$D:$D,$C320,'RAW_농산물_7월'!$A:$A,$E320)&gt;0,"O",""))</f>
        <v/>
      </c>
      <c r="J320" s="17" t="str">
        <f>IF($C320="","",IF(COUNTIFS('RAW_농산물_8월'!$D:$D,$C320,'RAW_농산물_8월'!$A:$A,$E320)&gt;0,"O",""))</f>
        <v/>
      </c>
      <c r="K320" s="17" t="str">
        <f>IF($C320="","",IF(COUNTIFS('RAW_농산물_9월'!$D:$D,$C320,'RAW_농산물_9월'!$A:$A,$E320)&gt;0,"O",""))</f>
        <v/>
      </c>
      <c r="L320" s="17" t="str">
        <f>IF($C320="","",IF(COUNTIFS('RAW_농산물_10월'!$D:$D,$C320,'RAW_농산물_10월'!$A:$A,$E320)&gt;0,"O",""))</f>
        <v/>
      </c>
      <c r="M320" s="17" t="str">
        <f>IF($C320="","",IF(COUNTIFS('RAW_농산물_11-12월'!$D:$D,$C320,'RAW_농산물_11-12월'!$A:$A,$E320)&gt;0,"O",""))</f>
        <v/>
      </c>
      <c r="N320" s="7" t="str">
        <f>IF($C320="","",IF(COUNTA('RAW_농산물_7월'!$A:$A)&lt;=1,"",SUMIFS('RAW_농산물_7월'!$H:$H,'RAW_농산물_7월'!$D:$D,$C320,'RAW_농산물_7월'!$A:$A,$E320)))</f>
        <v/>
      </c>
      <c r="O320" s="7" t="str">
        <f>IF($C320="","",IF(COUNTA('RAW_농산물_8월'!$A:$A)&lt;=1,"",SUMIFS('RAW_농산물_8월'!$H:$H,'RAW_농산물_8월'!$D:$D,$C320,'RAW_농산물_8월'!$A:$A,$E320)-SUMIFS('RAW_농산물_7월'!$H:$H,'RAW_농산물_7월'!$D:$D,$C320,'RAW_농산물_7월'!$A:$A,$E320)))</f>
        <v/>
      </c>
      <c r="P320" s="7" t="str">
        <f>IF($C320="","",IF(COUNTA('RAW_농산물_9월'!$A:$A)&lt;=1,"",SUMIFS('RAW_농산물_9월'!$H:$H,'RAW_농산물_9월'!$D:$D,$C320,'RAW_농산물_9월'!$A:$A,$E320)-SUMIFS('RAW_농산물_8월'!$H:$H,'RAW_농산물_8월'!$D:$D,$C320,'RAW_농산물_8월'!$A:$A,$E320)))</f>
        <v/>
      </c>
      <c r="Q320" s="7" t="str">
        <f>IF($C320="","",IF(COUNTA('RAW_농산물_10월'!$A:$A)&lt;=1,"",SUMIFS('RAW_농산물_10월'!$H:$H,'RAW_농산물_10월'!$D:$D,$C320,'RAW_농산물_10월'!$A:$A,$E320)-SUMIFS('RAW_농산물_9월'!$H:$H,'RAW_농산물_9월'!$D:$D,$C320,'RAW_농산물_9월'!$A:$A,$E320)))</f>
        <v/>
      </c>
      <c r="R320" s="7" t="str">
        <f>IF($C320="","",IF(COUNTA('RAW_농산물_11-12월'!$A:$A)&lt;=1,"",SUMIFS('RAW_농산물_11-12월'!$H:$H,'RAW_농산물_11-12월'!$D:$D,$C320,'RAW_농산물_11-12월'!$A:$A,$E320)-SUMIFS('RAW_농산물_10월'!$H:$H,'RAW_농산물_10월'!$D:$D,$C320,'RAW_농산물_10월'!$A:$A,$E320)))</f>
        <v/>
      </c>
      <c r="S320" s="17" t="str">
        <f t="shared" si="4"/>
        <v/>
      </c>
      <c r="T320" s="17" t="str">
        <f t="shared" si="5"/>
        <v/>
      </c>
      <c r="U320" s="7">
        <f>IF($C320="",0,IF('설정'!$B$3=0,0,CHOOSE('설정'!$B$3,COUNTIFS('RAW_농산물_7월'!$D:$D,$C320,'RAW_농산물_7월'!$A:$A,$E320),COUNTIFS('RAW_농산물_8월'!$D:$D,$C320,'RAW_농산물_8월'!$A:$A,$E320),COUNTIFS('RAW_농산물_9월'!$D:$D,$C320,'RAW_농산물_9월'!$A:$A,$E320),COUNTIFS('RAW_농산물_10월'!$D:$D,$C320,'RAW_농산물_10월'!$A:$A,$E320),COUNTIFS('RAW_농산물_11-12월'!$D:$D,$C320,'RAW_농산물_11-12월'!$A:$A,$E320))))</f>
        <v>0</v>
      </c>
    </row>
    <row r="321" ht="15.75" customHeight="1">
      <c r="A321" s="5"/>
      <c r="B321" s="5"/>
      <c r="C321" s="5"/>
      <c r="D321" s="6"/>
      <c r="E321" s="5"/>
      <c r="F321" s="7" t="str">
        <f>IF($C321="","",IF('설정'!$B$3=0,"",CHOOSE('설정'!$B$3,SUMIFS('RAW_농산물_7월'!$F:$F,'RAW_농산물_7월'!$D:$D,$C321,'RAW_농산물_7월'!$A:$A,$E321),SUMIFS('RAW_농산물_8월'!$F:$F,'RAW_농산물_8월'!$D:$D,$C321,'RAW_농산물_8월'!$A:$A,$E321),SUMIFS('RAW_농산물_9월'!$F:$F,'RAW_농산물_9월'!$D:$D,$C321,'RAW_농산물_9월'!$A:$A,$E321),SUMIFS('RAW_농산물_10월'!$F:$F,'RAW_농산물_10월'!$D:$D,$C321,'RAW_농산물_10월'!$A:$A,$E321),SUMIFS('RAW_농산물_11-12월'!$F:$F,'RAW_농산물_11-12월'!$D:$D,$C321,'RAW_농산물_11-12월'!$A:$A,$E321))))</f>
        <v/>
      </c>
      <c r="G321" s="7" t="str">
        <f>IF($C321="","",IF('설정'!$B$3=0,"",CHOOSE('설정'!$B$3,SUMIFS('RAW_농산물_7월'!$G:$G,'RAW_농산물_7월'!$D:$D,$C321,'RAW_농산물_7월'!$A:$A,$E321),SUMIFS('RAW_농산물_8월'!$G:$G,'RAW_농산물_8월'!$D:$D,$C321,'RAW_농산물_8월'!$A:$A,$E321),SUMIFS('RAW_농산물_9월'!$G:$G,'RAW_농산물_9월'!$D:$D,$C321,'RAW_농산물_9월'!$A:$A,$E321),SUMIFS('RAW_농산물_10월'!$G:$G,'RAW_농산물_10월'!$D:$D,$C321,'RAW_농산물_10월'!$A:$A,$E321),SUMIFS('RAW_농산물_11-12월'!$G:$G,'RAW_농산물_11-12월'!$D:$D,$C321,'RAW_농산물_11-12월'!$A:$A,$E321))))</f>
        <v/>
      </c>
      <c r="H321" s="14" t="str">
        <f>IF($C321="","",IF('설정'!$B$3=0,"",CHOOSE('설정'!$B$3,SUMIFS('RAW_농산물_7월'!$H:$H,'RAW_농산물_7월'!$D:$D,$C321,'RAW_농산물_7월'!$A:$A,$E321),SUMIFS('RAW_농산물_8월'!$H:$H,'RAW_농산물_8월'!$D:$D,$C321,'RAW_농산물_8월'!$A:$A,$E321),SUMIFS('RAW_농산물_9월'!$H:$H,'RAW_농산물_9월'!$D:$D,$C321,'RAW_농산물_9월'!$A:$A,$E321),SUMIFS('RAW_농산물_10월'!$H:$H,'RAW_농산물_10월'!$D:$D,$C321,'RAW_농산물_10월'!$A:$A,$E321),SUMIFS('RAW_농산물_11-12월'!$H:$H,'RAW_농산물_11-12월'!$D:$D,$C321,'RAW_농산물_11-12월'!$A:$A,$E321))))</f>
        <v/>
      </c>
      <c r="I321" s="17" t="str">
        <f>IF($C321="","",IF(COUNTIFS('RAW_농산물_7월'!$D:$D,$C321,'RAW_농산물_7월'!$A:$A,$E321)&gt;0,"O",""))</f>
        <v/>
      </c>
      <c r="J321" s="17" t="str">
        <f>IF($C321="","",IF(COUNTIFS('RAW_농산물_8월'!$D:$D,$C321,'RAW_농산물_8월'!$A:$A,$E321)&gt;0,"O",""))</f>
        <v/>
      </c>
      <c r="K321" s="17" t="str">
        <f>IF($C321="","",IF(COUNTIFS('RAW_농산물_9월'!$D:$D,$C321,'RAW_농산물_9월'!$A:$A,$E321)&gt;0,"O",""))</f>
        <v/>
      </c>
      <c r="L321" s="17" t="str">
        <f>IF($C321="","",IF(COUNTIFS('RAW_농산물_10월'!$D:$D,$C321,'RAW_농산물_10월'!$A:$A,$E321)&gt;0,"O",""))</f>
        <v/>
      </c>
      <c r="M321" s="17" t="str">
        <f>IF($C321="","",IF(COUNTIFS('RAW_농산물_11-12월'!$D:$D,$C321,'RAW_농산물_11-12월'!$A:$A,$E321)&gt;0,"O",""))</f>
        <v/>
      </c>
      <c r="N321" s="7" t="str">
        <f>IF($C321="","",IF(COUNTA('RAW_농산물_7월'!$A:$A)&lt;=1,"",SUMIFS('RAW_농산물_7월'!$H:$H,'RAW_농산물_7월'!$D:$D,$C321,'RAW_농산물_7월'!$A:$A,$E321)))</f>
        <v/>
      </c>
      <c r="O321" s="7" t="str">
        <f>IF($C321="","",IF(COUNTA('RAW_농산물_8월'!$A:$A)&lt;=1,"",SUMIFS('RAW_농산물_8월'!$H:$H,'RAW_농산물_8월'!$D:$D,$C321,'RAW_농산물_8월'!$A:$A,$E321)-SUMIFS('RAW_농산물_7월'!$H:$H,'RAW_농산물_7월'!$D:$D,$C321,'RAW_농산물_7월'!$A:$A,$E321)))</f>
        <v/>
      </c>
      <c r="P321" s="7" t="str">
        <f>IF($C321="","",IF(COUNTA('RAW_농산물_9월'!$A:$A)&lt;=1,"",SUMIFS('RAW_농산물_9월'!$H:$H,'RAW_농산물_9월'!$D:$D,$C321,'RAW_농산물_9월'!$A:$A,$E321)-SUMIFS('RAW_농산물_8월'!$H:$H,'RAW_농산물_8월'!$D:$D,$C321,'RAW_농산물_8월'!$A:$A,$E321)))</f>
        <v/>
      </c>
      <c r="Q321" s="7" t="str">
        <f>IF($C321="","",IF(COUNTA('RAW_농산물_10월'!$A:$A)&lt;=1,"",SUMIFS('RAW_농산물_10월'!$H:$H,'RAW_농산물_10월'!$D:$D,$C321,'RAW_농산물_10월'!$A:$A,$E321)-SUMIFS('RAW_농산물_9월'!$H:$H,'RAW_농산물_9월'!$D:$D,$C321,'RAW_농산물_9월'!$A:$A,$E321)))</f>
        <v/>
      </c>
      <c r="R321" s="7" t="str">
        <f>IF($C321="","",IF(COUNTA('RAW_농산물_11-12월'!$A:$A)&lt;=1,"",SUMIFS('RAW_농산물_11-12월'!$H:$H,'RAW_농산물_11-12월'!$D:$D,$C321,'RAW_농산물_11-12월'!$A:$A,$E321)-SUMIFS('RAW_농산물_10월'!$H:$H,'RAW_농산물_10월'!$D:$D,$C321,'RAW_농산물_10월'!$A:$A,$E321)))</f>
        <v/>
      </c>
      <c r="S321" s="17" t="str">
        <f t="shared" si="4"/>
        <v/>
      </c>
      <c r="T321" s="17" t="str">
        <f t="shared" si="5"/>
        <v/>
      </c>
      <c r="U321" s="7">
        <f>IF($C321="",0,IF('설정'!$B$3=0,0,CHOOSE('설정'!$B$3,COUNTIFS('RAW_농산물_7월'!$D:$D,$C321,'RAW_농산물_7월'!$A:$A,$E321),COUNTIFS('RAW_농산물_8월'!$D:$D,$C321,'RAW_농산물_8월'!$A:$A,$E321),COUNTIFS('RAW_농산물_9월'!$D:$D,$C321,'RAW_농산물_9월'!$A:$A,$E321),COUNTIFS('RAW_농산물_10월'!$D:$D,$C321,'RAW_농산물_10월'!$A:$A,$E321),COUNTIFS('RAW_농산물_11-12월'!$D:$D,$C321,'RAW_농산물_11-12월'!$A:$A,$E321))))</f>
        <v>0</v>
      </c>
    </row>
    <row r="322" ht="15.75" customHeight="1">
      <c r="A322" s="5"/>
      <c r="B322" s="5"/>
      <c r="C322" s="5"/>
      <c r="D322" s="6"/>
      <c r="E322" s="5"/>
      <c r="F322" s="7" t="str">
        <f>IF($C322="","",IF('설정'!$B$3=0,"",CHOOSE('설정'!$B$3,SUMIFS('RAW_농산물_7월'!$F:$F,'RAW_농산물_7월'!$D:$D,$C322,'RAW_농산물_7월'!$A:$A,$E322),SUMIFS('RAW_농산물_8월'!$F:$F,'RAW_농산물_8월'!$D:$D,$C322,'RAW_농산물_8월'!$A:$A,$E322),SUMIFS('RAW_농산물_9월'!$F:$F,'RAW_농산물_9월'!$D:$D,$C322,'RAW_농산물_9월'!$A:$A,$E322),SUMIFS('RAW_농산물_10월'!$F:$F,'RAW_농산물_10월'!$D:$D,$C322,'RAW_농산물_10월'!$A:$A,$E322),SUMIFS('RAW_농산물_11-12월'!$F:$F,'RAW_농산물_11-12월'!$D:$D,$C322,'RAW_농산물_11-12월'!$A:$A,$E322))))</f>
        <v/>
      </c>
      <c r="G322" s="7" t="str">
        <f>IF($C322="","",IF('설정'!$B$3=0,"",CHOOSE('설정'!$B$3,SUMIFS('RAW_농산물_7월'!$G:$G,'RAW_농산물_7월'!$D:$D,$C322,'RAW_농산물_7월'!$A:$A,$E322),SUMIFS('RAW_농산물_8월'!$G:$G,'RAW_농산물_8월'!$D:$D,$C322,'RAW_농산물_8월'!$A:$A,$E322),SUMIFS('RAW_농산물_9월'!$G:$G,'RAW_농산물_9월'!$D:$D,$C322,'RAW_농산물_9월'!$A:$A,$E322),SUMIFS('RAW_농산물_10월'!$G:$G,'RAW_농산물_10월'!$D:$D,$C322,'RAW_농산물_10월'!$A:$A,$E322),SUMIFS('RAW_농산물_11-12월'!$G:$G,'RAW_농산물_11-12월'!$D:$D,$C322,'RAW_농산물_11-12월'!$A:$A,$E322))))</f>
        <v/>
      </c>
      <c r="H322" s="14" t="str">
        <f>IF($C322="","",IF('설정'!$B$3=0,"",CHOOSE('설정'!$B$3,SUMIFS('RAW_농산물_7월'!$H:$H,'RAW_농산물_7월'!$D:$D,$C322,'RAW_농산물_7월'!$A:$A,$E322),SUMIFS('RAW_농산물_8월'!$H:$H,'RAW_농산물_8월'!$D:$D,$C322,'RAW_농산물_8월'!$A:$A,$E322),SUMIFS('RAW_농산물_9월'!$H:$H,'RAW_농산물_9월'!$D:$D,$C322,'RAW_농산물_9월'!$A:$A,$E322),SUMIFS('RAW_농산물_10월'!$H:$H,'RAW_농산물_10월'!$D:$D,$C322,'RAW_농산물_10월'!$A:$A,$E322),SUMIFS('RAW_농산물_11-12월'!$H:$H,'RAW_농산물_11-12월'!$D:$D,$C322,'RAW_농산물_11-12월'!$A:$A,$E322))))</f>
        <v/>
      </c>
      <c r="I322" s="17" t="str">
        <f>IF($C322="","",IF(COUNTIFS('RAW_농산물_7월'!$D:$D,$C322,'RAW_농산물_7월'!$A:$A,$E322)&gt;0,"O",""))</f>
        <v/>
      </c>
      <c r="J322" s="17" t="str">
        <f>IF($C322="","",IF(COUNTIFS('RAW_농산물_8월'!$D:$D,$C322,'RAW_농산물_8월'!$A:$A,$E322)&gt;0,"O",""))</f>
        <v/>
      </c>
      <c r="K322" s="17" t="str">
        <f>IF($C322="","",IF(COUNTIFS('RAW_농산물_9월'!$D:$D,$C322,'RAW_농산물_9월'!$A:$A,$E322)&gt;0,"O",""))</f>
        <v/>
      </c>
      <c r="L322" s="17" t="str">
        <f>IF($C322="","",IF(COUNTIFS('RAW_농산물_10월'!$D:$D,$C322,'RAW_농산물_10월'!$A:$A,$E322)&gt;0,"O",""))</f>
        <v/>
      </c>
      <c r="M322" s="17" t="str">
        <f>IF($C322="","",IF(COUNTIFS('RAW_농산물_11-12월'!$D:$D,$C322,'RAW_농산물_11-12월'!$A:$A,$E322)&gt;0,"O",""))</f>
        <v/>
      </c>
      <c r="N322" s="7" t="str">
        <f>IF($C322="","",IF(COUNTA('RAW_농산물_7월'!$A:$A)&lt;=1,"",SUMIFS('RAW_농산물_7월'!$H:$H,'RAW_농산물_7월'!$D:$D,$C322,'RAW_농산물_7월'!$A:$A,$E322)))</f>
        <v/>
      </c>
      <c r="O322" s="7" t="str">
        <f>IF($C322="","",IF(COUNTA('RAW_농산물_8월'!$A:$A)&lt;=1,"",SUMIFS('RAW_농산물_8월'!$H:$H,'RAW_농산물_8월'!$D:$D,$C322,'RAW_농산물_8월'!$A:$A,$E322)-SUMIFS('RAW_농산물_7월'!$H:$H,'RAW_농산물_7월'!$D:$D,$C322,'RAW_농산물_7월'!$A:$A,$E322)))</f>
        <v/>
      </c>
      <c r="P322" s="7" t="str">
        <f>IF($C322="","",IF(COUNTA('RAW_농산물_9월'!$A:$A)&lt;=1,"",SUMIFS('RAW_농산물_9월'!$H:$H,'RAW_농산물_9월'!$D:$D,$C322,'RAW_농산물_9월'!$A:$A,$E322)-SUMIFS('RAW_농산물_8월'!$H:$H,'RAW_농산물_8월'!$D:$D,$C322,'RAW_농산물_8월'!$A:$A,$E322)))</f>
        <v/>
      </c>
      <c r="Q322" s="7" t="str">
        <f>IF($C322="","",IF(COUNTA('RAW_농산물_10월'!$A:$A)&lt;=1,"",SUMIFS('RAW_농산물_10월'!$H:$H,'RAW_농산물_10월'!$D:$D,$C322,'RAW_농산물_10월'!$A:$A,$E322)-SUMIFS('RAW_농산물_9월'!$H:$H,'RAW_농산물_9월'!$D:$D,$C322,'RAW_농산물_9월'!$A:$A,$E322)))</f>
        <v/>
      </c>
      <c r="R322" s="7" t="str">
        <f>IF($C322="","",IF(COUNTA('RAW_농산물_11-12월'!$A:$A)&lt;=1,"",SUMIFS('RAW_농산물_11-12월'!$H:$H,'RAW_농산물_11-12월'!$D:$D,$C322,'RAW_농산물_11-12월'!$A:$A,$E322)-SUMIFS('RAW_농산물_10월'!$H:$H,'RAW_농산물_10월'!$D:$D,$C322,'RAW_농산물_10월'!$A:$A,$E322)))</f>
        <v/>
      </c>
      <c r="S322" s="17" t="str">
        <f t="shared" si="4"/>
        <v/>
      </c>
      <c r="T322" s="17" t="str">
        <f t="shared" si="5"/>
        <v/>
      </c>
      <c r="U322" s="7">
        <f>IF($C322="",0,IF('설정'!$B$3=0,0,CHOOSE('설정'!$B$3,COUNTIFS('RAW_농산물_7월'!$D:$D,$C322,'RAW_농산물_7월'!$A:$A,$E322),COUNTIFS('RAW_농산물_8월'!$D:$D,$C322,'RAW_농산물_8월'!$A:$A,$E322),COUNTIFS('RAW_농산물_9월'!$D:$D,$C322,'RAW_농산물_9월'!$A:$A,$E322),COUNTIFS('RAW_농산물_10월'!$D:$D,$C322,'RAW_농산물_10월'!$A:$A,$E322),COUNTIFS('RAW_농산물_11-12월'!$D:$D,$C322,'RAW_농산물_11-12월'!$A:$A,$E322))))</f>
        <v>0</v>
      </c>
    </row>
    <row r="323" ht="15.75" customHeight="1">
      <c r="A323" s="5"/>
      <c r="B323" s="5"/>
      <c r="C323" s="5"/>
      <c r="D323" s="6"/>
      <c r="E323" s="5"/>
      <c r="F323" s="7" t="str">
        <f>IF($C323="","",IF('설정'!$B$3=0,"",CHOOSE('설정'!$B$3,SUMIFS('RAW_농산물_7월'!$F:$F,'RAW_농산물_7월'!$D:$D,$C323,'RAW_농산물_7월'!$A:$A,$E323),SUMIFS('RAW_농산물_8월'!$F:$F,'RAW_농산물_8월'!$D:$D,$C323,'RAW_농산물_8월'!$A:$A,$E323),SUMIFS('RAW_농산물_9월'!$F:$F,'RAW_농산물_9월'!$D:$D,$C323,'RAW_농산물_9월'!$A:$A,$E323),SUMIFS('RAW_농산물_10월'!$F:$F,'RAW_농산물_10월'!$D:$D,$C323,'RAW_농산물_10월'!$A:$A,$E323),SUMIFS('RAW_농산물_11-12월'!$F:$F,'RAW_농산물_11-12월'!$D:$D,$C323,'RAW_농산물_11-12월'!$A:$A,$E323))))</f>
        <v/>
      </c>
      <c r="G323" s="7" t="str">
        <f>IF($C323="","",IF('설정'!$B$3=0,"",CHOOSE('설정'!$B$3,SUMIFS('RAW_농산물_7월'!$G:$G,'RAW_농산물_7월'!$D:$D,$C323,'RAW_농산물_7월'!$A:$A,$E323),SUMIFS('RAW_농산물_8월'!$G:$G,'RAW_농산물_8월'!$D:$D,$C323,'RAW_농산물_8월'!$A:$A,$E323),SUMIFS('RAW_농산물_9월'!$G:$G,'RAW_농산물_9월'!$D:$D,$C323,'RAW_농산물_9월'!$A:$A,$E323),SUMIFS('RAW_농산물_10월'!$G:$G,'RAW_농산물_10월'!$D:$D,$C323,'RAW_농산물_10월'!$A:$A,$E323),SUMIFS('RAW_농산물_11-12월'!$G:$G,'RAW_농산물_11-12월'!$D:$D,$C323,'RAW_농산물_11-12월'!$A:$A,$E323))))</f>
        <v/>
      </c>
      <c r="H323" s="14" t="str">
        <f>IF($C323="","",IF('설정'!$B$3=0,"",CHOOSE('설정'!$B$3,SUMIFS('RAW_농산물_7월'!$H:$H,'RAW_농산물_7월'!$D:$D,$C323,'RAW_농산물_7월'!$A:$A,$E323),SUMIFS('RAW_농산물_8월'!$H:$H,'RAW_농산물_8월'!$D:$D,$C323,'RAW_농산물_8월'!$A:$A,$E323),SUMIFS('RAW_농산물_9월'!$H:$H,'RAW_농산물_9월'!$D:$D,$C323,'RAW_농산물_9월'!$A:$A,$E323),SUMIFS('RAW_농산물_10월'!$H:$H,'RAW_농산물_10월'!$D:$D,$C323,'RAW_농산물_10월'!$A:$A,$E323),SUMIFS('RAW_농산물_11-12월'!$H:$H,'RAW_농산물_11-12월'!$D:$D,$C323,'RAW_농산물_11-12월'!$A:$A,$E323))))</f>
        <v/>
      </c>
      <c r="I323" s="17" t="str">
        <f>IF($C323="","",IF(COUNTIFS('RAW_농산물_7월'!$D:$D,$C323,'RAW_농산물_7월'!$A:$A,$E323)&gt;0,"O",""))</f>
        <v/>
      </c>
      <c r="J323" s="17" t="str">
        <f>IF($C323="","",IF(COUNTIFS('RAW_농산물_8월'!$D:$D,$C323,'RAW_농산물_8월'!$A:$A,$E323)&gt;0,"O",""))</f>
        <v/>
      </c>
      <c r="K323" s="17" t="str">
        <f>IF($C323="","",IF(COUNTIFS('RAW_농산물_9월'!$D:$D,$C323,'RAW_농산물_9월'!$A:$A,$E323)&gt;0,"O",""))</f>
        <v/>
      </c>
      <c r="L323" s="17" t="str">
        <f>IF($C323="","",IF(COUNTIFS('RAW_농산물_10월'!$D:$D,$C323,'RAW_농산물_10월'!$A:$A,$E323)&gt;0,"O",""))</f>
        <v/>
      </c>
      <c r="M323" s="17" t="str">
        <f>IF($C323="","",IF(COUNTIFS('RAW_농산물_11-12월'!$D:$D,$C323,'RAW_농산물_11-12월'!$A:$A,$E323)&gt;0,"O",""))</f>
        <v/>
      </c>
      <c r="N323" s="7" t="str">
        <f>IF($C323="","",IF(COUNTA('RAW_농산물_7월'!$A:$A)&lt;=1,"",SUMIFS('RAW_농산물_7월'!$H:$H,'RAW_농산물_7월'!$D:$D,$C323,'RAW_농산물_7월'!$A:$A,$E323)))</f>
        <v/>
      </c>
      <c r="O323" s="7" t="str">
        <f>IF($C323="","",IF(COUNTA('RAW_농산물_8월'!$A:$A)&lt;=1,"",SUMIFS('RAW_농산물_8월'!$H:$H,'RAW_농산물_8월'!$D:$D,$C323,'RAW_농산물_8월'!$A:$A,$E323)-SUMIFS('RAW_농산물_7월'!$H:$H,'RAW_농산물_7월'!$D:$D,$C323,'RAW_농산물_7월'!$A:$A,$E323)))</f>
        <v/>
      </c>
      <c r="P323" s="7" t="str">
        <f>IF($C323="","",IF(COUNTA('RAW_농산물_9월'!$A:$A)&lt;=1,"",SUMIFS('RAW_농산물_9월'!$H:$H,'RAW_농산물_9월'!$D:$D,$C323,'RAW_농산물_9월'!$A:$A,$E323)-SUMIFS('RAW_농산물_8월'!$H:$H,'RAW_농산물_8월'!$D:$D,$C323,'RAW_농산물_8월'!$A:$A,$E323)))</f>
        <v/>
      </c>
      <c r="Q323" s="7" t="str">
        <f>IF($C323="","",IF(COUNTA('RAW_농산물_10월'!$A:$A)&lt;=1,"",SUMIFS('RAW_농산물_10월'!$H:$H,'RAW_농산물_10월'!$D:$D,$C323,'RAW_농산물_10월'!$A:$A,$E323)-SUMIFS('RAW_농산물_9월'!$H:$H,'RAW_농산물_9월'!$D:$D,$C323,'RAW_농산물_9월'!$A:$A,$E323)))</f>
        <v/>
      </c>
      <c r="R323" s="7" t="str">
        <f>IF($C323="","",IF(COUNTA('RAW_농산물_11-12월'!$A:$A)&lt;=1,"",SUMIFS('RAW_농산물_11-12월'!$H:$H,'RAW_농산물_11-12월'!$D:$D,$C323,'RAW_농산물_11-12월'!$A:$A,$E323)-SUMIFS('RAW_농산물_10월'!$H:$H,'RAW_농산물_10월'!$D:$D,$C323,'RAW_농산물_10월'!$A:$A,$E323)))</f>
        <v/>
      </c>
      <c r="S323" s="17" t="str">
        <f t="shared" si="4"/>
        <v/>
      </c>
      <c r="T323" s="17" t="str">
        <f t="shared" si="5"/>
        <v/>
      </c>
      <c r="U323" s="7">
        <f>IF($C323="",0,IF('설정'!$B$3=0,0,CHOOSE('설정'!$B$3,COUNTIFS('RAW_농산물_7월'!$D:$D,$C323,'RAW_농산물_7월'!$A:$A,$E323),COUNTIFS('RAW_농산물_8월'!$D:$D,$C323,'RAW_농산물_8월'!$A:$A,$E323),COUNTIFS('RAW_농산물_9월'!$D:$D,$C323,'RAW_농산물_9월'!$A:$A,$E323),COUNTIFS('RAW_농산물_10월'!$D:$D,$C323,'RAW_농산물_10월'!$A:$A,$E323),COUNTIFS('RAW_농산물_11-12월'!$D:$D,$C323,'RAW_농산물_11-12월'!$A:$A,$E323))))</f>
        <v>0</v>
      </c>
    </row>
    <row r="324" ht="15.75" customHeight="1">
      <c r="A324" s="5"/>
      <c r="B324" s="5"/>
      <c r="C324" s="5"/>
      <c r="D324" s="6"/>
      <c r="E324" s="5"/>
      <c r="F324" s="7" t="str">
        <f>IF($C324="","",IF('설정'!$B$3=0,"",CHOOSE('설정'!$B$3,SUMIFS('RAW_농산물_7월'!$F:$F,'RAW_농산물_7월'!$D:$D,$C324,'RAW_농산물_7월'!$A:$A,$E324),SUMIFS('RAW_농산물_8월'!$F:$F,'RAW_농산물_8월'!$D:$D,$C324,'RAW_농산물_8월'!$A:$A,$E324),SUMIFS('RAW_농산물_9월'!$F:$F,'RAW_농산물_9월'!$D:$D,$C324,'RAW_농산물_9월'!$A:$A,$E324),SUMIFS('RAW_농산물_10월'!$F:$F,'RAW_농산물_10월'!$D:$D,$C324,'RAW_농산물_10월'!$A:$A,$E324),SUMIFS('RAW_농산물_11-12월'!$F:$F,'RAW_농산물_11-12월'!$D:$D,$C324,'RAW_농산물_11-12월'!$A:$A,$E324))))</f>
        <v/>
      </c>
      <c r="G324" s="7" t="str">
        <f>IF($C324="","",IF('설정'!$B$3=0,"",CHOOSE('설정'!$B$3,SUMIFS('RAW_농산물_7월'!$G:$G,'RAW_농산물_7월'!$D:$D,$C324,'RAW_농산물_7월'!$A:$A,$E324),SUMIFS('RAW_농산물_8월'!$G:$G,'RAW_농산물_8월'!$D:$D,$C324,'RAW_농산물_8월'!$A:$A,$E324),SUMIFS('RAW_농산물_9월'!$G:$G,'RAW_농산물_9월'!$D:$D,$C324,'RAW_농산물_9월'!$A:$A,$E324),SUMIFS('RAW_농산물_10월'!$G:$G,'RAW_농산물_10월'!$D:$D,$C324,'RAW_농산물_10월'!$A:$A,$E324),SUMIFS('RAW_농산물_11-12월'!$G:$G,'RAW_농산물_11-12월'!$D:$D,$C324,'RAW_농산물_11-12월'!$A:$A,$E324))))</f>
        <v/>
      </c>
      <c r="H324" s="14" t="str">
        <f>IF($C324="","",IF('설정'!$B$3=0,"",CHOOSE('설정'!$B$3,SUMIFS('RAW_농산물_7월'!$H:$H,'RAW_농산물_7월'!$D:$D,$C324,'RAW_농산물_7월'!$A:$A,$E324),SUMIFS('RAW_농산물_8월'!$H:$H,'RAW_농산물_8월'!$D:$D,$C324,'RAW_농산물_8월'!$A:$A,$E324),SUMIFS('RAW_농산물_9월'!$H:$H,'RAW_농산물_9월'!$D:$D,$C324,'RAW_농산물_9월'!$A:$A,$E324),SUMIFS('RAW_농산물_10월'!$H:$H,'RAW_농산물_10월'!$D:$D,$C324,'RAW_농산물_10월'!$A:$A,$E324),SUMIFS('RAW_농산물_11-12월'!$H:$H,'RAW_농산물_11-12월'!$D:$D,$C324,'RAW_농산물_11-12월'!$A:$A,$E324))))</f>
        <v/>
      </c>
      <c r="I324" s="17" t="str">
        <f>IF($C324="","",IF(COUNTIFS('RAW_농산물_7월'!$D:$D,$C324,'RAW_농산물_7월'!$A:$A,$E324)&gt;0,"O",""))</f>
        <v/>
      </c>
      <c r="J324" s="17" t="str">
        <f>IF($C324="","",IF(COUNTIFS('RAW_농산물_8월'!$D:$D,$C324,'RAW_농산물_8월'!$A:$A,$E324)&gt;0,"O",""))</f>
        <v/>
      </c>
      <c r="K324" s="17" t="str">
        <f>IF($C324="","",IF(COUNTIFS('RAW_농산물_9월'!$D:$D,$C324,'RAW_농산물_9월'!$A:$A,$E324)&gt;0,"O",""))</f>
        <v/>
      </c>
      <c r="L324" s="17" t="str">
        <f>IF($C324="","",IF(COUNTIFS('RAW_농산물_10월'!$D:$D,$C324,'RAW_농산물_10월'!$A:$A,$E324)&gt;0,"O",""))</f>
        <v/>
      </c>
      <c r="M324" s="17" t="str">
        <f>IF($C324="","",IF(COUNTIFS('RAW_농산물_11-12월'!$D:$D,$C324,'RAW_농산물_11-12월'!$A:$A,$E324)&gt;0,"O",""))</f>
        <v/>
      </c>
      <c r="N324" s="7" t="str">
        <f>IF($C324="","",IF(COUNTA('RAW_농산물_7월'!$A:$A)&lt;=1,"",SUMIFS('RAW_농산물_7월'!$H:$H,'RAW_농산물_7월'!$D:$D,$C324,'RAW_농산물_7월'!$A:$A,$E324)))</f>
        <v/>
      </c>
      <c r="O324" s="7" t="str">
        <f>IF($C324="","",IF(COUNTA('RAW_농산물_8월'!$A:$A)&lt;=1,"",SUMIFS('RAW_농산물_8월'!$H:$H,'RAW_농산물_8월'!$D:$D,$C324,'RAW_농산물_8월'!$A:$A,$E324)-SUMIFS('RAW_농산물_7월'!$H:$H,'RAW_농산물_7월'!$D:$D,$C324,'RAW_농산물_7월'!$A:$A,$E324)))</f>
        <v/>
      </c>
      <c r="P324" s="7" t="str">
        <f>IF($C324="","",IF(COUNTA('RAW_농산물_9월'!$A:$A)&lt;=1,"",SUMIFS('RAW_농산물_9월'!$H:$H,'RAW_농산물_9월'!$D:$D,$C324,'RAW_농산물_9월'!$A:$A,$E324)-SUMIFS('RAW_농산물_8월'!$H:$H,'RAW_농산물_8월'!$D:$D,$C324,'RAW_농산물_8월'!$A:$A,$E324)))</f>
        <v/>
      </c>
      <c r="Q324" s="7" t="str">
        <f>IF($C324="","",IF(COUNTA('RAW_농산물_10월'!$A:$A)&lt;=1,"",SUMIFS('RAW_농산물_10월'!$H:$H,'RAW_농산물_10월'!$D:$D,$C324,'RAW_농산물_10월'!$A:$A,$E324)-SUMIFS('RAW_농산물_9월'!$H:$H,'RAW_농산물_9월'!$D:$D,$C324,'RAW_농산물_9월'!$A:$A,$E324)))</f>
        <v/>
      </c>
      <c r="R324" s="7" t="str">
        <f>IF($C324="","",IF(COUNTA('RAW_농산물_11-12월'!$A:$A)&lt;=1,"",SUMIFS('RAW_농산물_11-12월'!$H:$H,'RAW_농산물_11-12월'!$D:$D,$C324,'RAW_농산물_11-12월'!$A:$A,$E324)-SUMIFS('RAW_농산물_10월'!$H:$H,'RAW_농산물_10월'!$D:$D,$C324,'RAW_농산물_10월'!$A:$A,$E324)))</f>
        <v/>
      </c>
      <c r="S324" s="17" t="str">
        <f t="shared" si="4"/>
        <v/>
      </c>
      <c r="T324" s="17" t="str">
        <f t="shared" si="5"/>
        <v/>
      </c>
      <c r="U324" s="7">
        <f>IF($C324="",0,IF('설정'!$B$3=0,0,CHOOSE('설정'!$B$3,COUNTIFS('RAW_농산물_7월'!$D:$D,$C324,'RAW_농산물_7월'!$A:$A,$E324),COUNTIFS('RAW_농산물_8월'!$D:$D,$C324,'RAW_농산물_8월'!$A:$A,$E324),COUNTIFS('RAW_농산물_9월'!$D:$D,$C324,'RAW_농산물_9월'!$A:$A,$E324),COUNTIFS('RAW_농산물_10월'!$D:$D,$C324,'RAW_농산물_10월'!$A:$A,$E324),COUNTIFS('RAW_농산물_11-12월'!$D:$D,$C324,'RAW_농산물_11-12월'!$A:$A,$E324))))</f>
        <v>0</v>
      </c>
    </row>
    <row r="325" ht="15.75" customHeight="1">
      <c r="A325" s="5"/>
      <c r="B325" s="5"/>
      <c r="C325" s="5"/>
      <c r="D325" s="6"/>
      <c r="E325" s="5"/>
      <c r="F325" s="7" t="str">
        <f>IF($C325="","",IF('설정'!$B$3=0,"",CHOOSE('설정'!$B$3,SUMIFS('RAW_농산물_7월'!$F:$F,'RAW_농산물_7월'!$D:$D,$C325,'RAW_농산물_7월'!$A:$A,$E325),SUMIFS('RAW_농산물_8월'!$F:$F,'RAW_농산물_8월'!$D:$D,$C325,'RAW_농산물_8월'!$A:$A,$E325),SUMIFS('RAW_농산물_9월'!$F:$F,'RAW_농산물_9월'!$D:$D,$C325,'RAW_농산물_9월'!$A:$A,$E325),SUMIFS('RAW_농산물_10월'!$F:$F,'RAW_농산물_10월'!$D:$D,$C325,'RAW_농산물_10월'!$A:$A,$E325),SUMIFS('RAW_농산물_11-12월'!$F:$F,'RAW_농산물_11-12월'!$D:$D,$C325,'RAW_농산물_11-12월'!$A:$A,$E325))))</f>
        <v/>
      </c>
      <c r="G325" s="7" t="str">
        <f>IF($C325="","",IF('설정'!$B$3=0,"",CHOOSE('설정'!$B$3,SUMIFS('RAW_농산물_7월'!$G:$G,'RAW_농산물_7월'!$D:$D,$C325,'RAW_농산물_7월'!$A:$A,$E325),SUMIFS('RAW_농산물_8월'!$G:$G,'RAW_농산물_8월'!$D:$D,$C325,'RAW_농산물_8월'!$A:$A,$E325),SUMIFS('RAW_농산물_9월'!$G:$G,'RAW_농산물_9월'!$D:$D,$C325,'RAW_농산물_9월'!$A:$A,$E325),SUMIFS('RAW_농산물_10월'!$G:$G,'RAW_농산물_10월'!$D:$D,$C325,'RAW_농산물_10월'!$A:$A,$E325),SUMIFS('RAW_농산물_11-12월'!$G:$G,'RAW_농산물_11-12월'!$D:$D,$C325,'RAW_농산물_11-12월'!$A:$A,$E325))))</f>
        <v/>
      </c>
      <c r="H325" s="14" t="str">
        <f>IF($C325="","",IF('설정'!$B$3=0,"",CHOOSE('설정'!$B$3,SUMIFS('RAW_농산물_7월'!$H:$H,'RAW_농산물_7월'!$D:$D,$C325,'RAW_농산물_7월'!$A:$A,$E325),SUMIFS('RAW_농산물_8월'!$H:$H,'RAW_농산물_8월'!$D:$D,$C325,'RAW_농산물_8월'!$A:$A,$E325),SUMIFS('RAW_농산물_9월'!$H:$H,'RAW_농산물_9월'!$D:$D,$C325,'RAW_농산물_9월'!$A:$A,$E325),SUMIFS('RAW_농산물_10월'!$H:$H,'RAW_농산물_10월'!$D:$D,$C325,'RAW_농산물_10월'!$A:$A,$E325),SUMIFS('RAW_농산물_11-12월'!$H:$H,'RAW_농산물_11-12월'!$D:$D,$C325,'RAW_농산물_11-12월'!$A:$A,$E325))))</f>
        <v/>
      </c>
      <c r="I325" s="17" t="str">
        <f>IF($C325="","",IF(COUNTIFS('RAW_농산물_7월'!$D:$D,$C325,'RAW_농산물_7월'!$A:$A,$E325)&gt;0,"O",""))</f>
        <v/>
      </c>
      <c r="J325" s="17" t="str">
        <f>IF($C325="","",IF(COUNTIFS('RAW_농산물_8월'!$D:$D,$C325,'RAW_농산물_8월'!$A:$A,$E325)&gt;0,"O",""))</f>
        <v/>
      </c>
      <c r="K325" s="17" t="str">
        <f>IF($C325="","",IF(COUNTIFS('RAW_농산물_9월'!$D:$D,$C325,'RAW_농산물_9월'!$A:$A,$E325)&gt;0,"O",""))</f>
        <v/>
      </c>
      <c r="L325" s="17" t="str">
        <f>IF($C325="","",IF(COUNTIFS('RAW_농산물_10월'!$D:$D,$C325,'RAW_농산물_10월'!$A:$A,$E325)&gt;0,"O",""))</f>
        <v/>
      </c>
      <c r="M325" s="17" t="str">
        <f>IF($C325="","",IF(COUNTIFS('RAW_농산물_11-12월'!$D:$D,$C325,'RAW_농산물_11-12월'!$A:$A,$E325)&gt;0,"O",""))</f>
        <v/>
      </c>
      <c r="N325" s="7" t="str">
        <f>IF($C325="","",IF(COUNTA('RAW_농산물_7월'!$A:$A)&lt;=1,"",SUMIFS('RAW_농산물_7월'!$H:$H,'RAW_농산물_7월'!$D:$D,$C325,'RAW_농산물_7월'!$A:$A,$E325)))</f>
        <v/>
      </c>
      <c r="O325" s="7" t="str">
        <f>IF($C325="","",IF(COUNTA('RAW_농산물_8월'!$A:$A)&lt;=1,"",SUMIFS('RAW_농산물_8월'!$H:$H,'RAW_농산물_8월'!$D:$D,$C325,'RAW_농산물_8월'!$A:$A,$E325)-SUMIFS('RAW_농산물_7월'!$H:$H,'RAW_농산물_7월'!$D:$D,$C325,'RAW_농산물_7월'!$A:$A,$E325)))</f>
        <v/>
      </c>
      <c r="P325" s="7" t="str">
        <f>IF($C325="","",IF(COUNTA('RAW_농산물_9월'!$A:$A)&lt;=1,"",SUMIFS('RAW_농산물_9월'!$H:$H,'RAW_농산물_9월'!$D:$D,$C325,'RAW_농산물_9월'!$A:$A,$E325)-SUMIFS('RAW_농산물_8월'!$H:$H,'RAW_농산물_8월'!$D:$D,$C325,'RAW_농산물_8월'!$A:$A,$E325)))</f>
        <v/>
      </c>
      <c r="Q325" s="7" t="str">
        <f>IF($C325="","",IF(COUNTA('RAW_농산물_10월'!$A:$A)&lt;=1,"",SUMIFS('RAW_농산물_10월'!$H:$H,'RAW_농산물_10월'!$D:$D,$C325,'RAW_농산물_10월'!$A:$A,$E325)-SUMIFS('RAW_농산물_9월'!$H:$H,'RAW_농산물_9월'!$D:$D,$C325,'RAW_농산물_9월'!$A:$A,$E325)))</f>
        <v/>
      </c>
      <c r="R325" s="7" t="str">
        <f>IF($C325="","",IF(COUNTA('RAW_농산물_11-12월'!$A:$A)&lt;=1,"",SUMIFS('RAW_농산물_11-12월'!$H:$H,'RAW_농산물_11-12월'!$D:$D,$C325,'RAW_농산물_11-12월'!$A:$A,$E325)-SUMIFS('RAW_농산물_10월'!$H:$H,'RAW_농산물_10월'!$D:$D,$C325,'RAW_농산물_10월'!$A:$A,$E325)))</f>
        <v/>
      </c>
      <c r="S325" s="17" t="str">
        <f t="shared" si="4"/>
        <v/>
      </c>
      <c r="T325" s="17" t="str">
        <f t="shared" si="5"/>
        <v/>
      </c>
      <c r="U325" s="7">
        <f>IF($C325="",0,IF('설정'!$B$3=0,0,CHOOSE('설정'!$B$3,COUNTIFS('RAW_농산물_7월'!$D:$D,$C325,'RAW_농산물_7월'!$A:$A,$E325),COUNTIFS('RAW_농산물_8월'!$D:$D,$C325,'RAW_농산물_8월'!$A:$A,$E325),COUNTIFS('RAW_농산물_9월'!$D:$D,$C325,'RAW_농산물_9월'!$A:$A,$E325),COUNTIFS('RAW_농산물_10월'!$D:$D,$C325,'RAW_농산물_10월'!$A:$A,$E325),COUNTIFS('RAW_농산물_11-12월'!$D:$D,$C325,'RAW_농산물_11-12월'!$A:$A,$E325))))</f>
        <v>0</v>
      </c>
    </row>
    <row r="326" ht="15.75" customHeight="1">
      <c r="A326" s="5"/>
      <c r="B326" s="5"/>
      <c r="C326" s="5"/>
      <c r="D326" s="6"/>
      <c r="E326" s="5"/>
      <c r="F326" s="7" t="str">
        <f>IF($C326="","",IF('설정'!$B$3=0,"",CHOOSE('설정'!$B$3,SUMIFS('RAW_농산물_7월'!$F:$F,'RAW_농산물_7월'!$D:$D,$C326,'RAW_농산물_7월'!$A:$A,$E326),SUMIFS('RAW_농산물_8월'!$F:$F,'RAW_농산물_8월'!$D:$D,$C326,'RAW_농산물_8월'!$A:$A,$E326),SUMIFS('RAW_농산물_9월'!$F:$F,'RAW_농산물_9월'!$D:$D,$C326,'RAW_농산물_9월'!$A:$A,$E326),SUMIFS('RAW_농산물_10월'!$F:$F,'RAW_농산물_10월'!$D:$D,$C326,'RAW_농산물_10월'!$A:$A,$E326),SUMIFS('RAW_농산물_11-12월'!$F:$F,'RAW_농산물_11-12월'!$D:$D,$C326,'RAW_농산물_11-12월'!$A:$A,$E326))))</f>
        <v/>
      </c>
      <c r="G326" s="7" t="str">
        <f>IF($C326="","",IF('설정'!$B$3=0,"",CHOOSE('설정'!$B$3,SUMIFS('RAW_농산물_7월'!$G:$G,'RAW_농산물_7월'!$D:$D,$C326,'RAW_농산물_7월'!$A:$A,$E326),SUMIFS('RAW_농산물_8월'!$G:$G,'RAW_농산물_8월'!$D:$D,$C326,'RAW_농산물_8월'!$A:$A,$E326),SUMIFS('RAW_농산물_9월'!$G:$G,'RAW_농산물_9월'!$D:$D,$C326,'RAW_농산물_9월'!$A:$A,$E326),SUMIFS('RAW_농산물_10월'!$G:$G,'RAW_농산물_10월'!$D:$D,$C326,'RAW_농산물_10월'!$A:$A,$E326),SUMIFS('RAW_농산물_11-12월'!$G:$G,'RAW_농산물_11-12월'!$D:$D,$C326,'RAW_농산물_11-12월'!$A:$A,$E326))))</f>
        <v/>
      </c>
      <c r="H326" s="14" t="str">
        <f>IF($C326="","",IF('설정'!$B$3=0,"",CHOOSE('설정'!$B$3,SUMIFS('RAW_농산물_7월'!$H:$H,'RAW_농산물_7월'!$D:$D,$C326,'RAW_농산물_7월'!$A:$A,$E326),SUMIFS('RAW_농산물_8월'!$H:$H,'RAW_농산물_8월'!$D:$D,$C326,'RAW_농산물_8월'!$A:$A,$E326),SUMIFS('RAW_농산물_9월'!$H:$H,'RAW_농산물_9월'!$D:$D,$C326,'RAW_농산물_9월'!$A:$A,$E326),SUMIFS('RAW_농산물_10월'!$H:$H,'RAW_농산물_10월'!$D:$D,$C326,'RAW_농산물_10월'!$A:$A,$E326),SUMIFS('RAW_농산물_11-12월'!$H:$H,'RAW_농산물_11-12월'!$D:$D,$C326,'RAW_농산물_11-12월'!$A:$A,$E326))))</f>
        <v/>
      </c>
      <c r="I326" s="17" t="str">
        <f>IF($C326="","",IF(COUNTIFS('RAW_농산물_7월'!$D:$D,$C326,'RAW_농산물_7월'!$A:$A,$E326)&gt;0,"O",""))</f>
        <v/>
      </c>
      <c r="J326" s="17" t="str">
        <f>IF($C326="","",IF(COUNTIFS('RAW_농산물_8월'!$D:$D,$C326,'RAW_농산물_8월'!$A:$A,$E326)&gt;0,"O",""))</f>
        <v/>
      </c>
      <c r="K326" s="17" t="str">
        <f>IF($C326="","",IF(COUNTIFS('RAW_농산물_9월'!$D:$D,$C326,'RAW_농산물_9월'!$A:$A,$E326)&gt;0,"O",""))</f>
        <v/>
      </c>
      <c r="L326" s="17" t="str">
        <f>IF($C326="","",IF(COUNTIFS('RAW_농산물_10월'!$D:$D,$C326,'RAW_농산물_10월'!$A:$A,$E326)&gt;0,"O",""))</f>
        <v/>
      </c>
      <c r="M326" s="17" t="str">
        <f>IF($C326="","",IF(COUNTIFS('RAW_농산물_11-12월'!$D:$D,$C326,'RAW_농산물_11-12월'!$A:$A,$E326)&gt;0,"O",""))</f>
        <v/>
      </c>
      <c r="N326" s="7" t="str">
        <f>IF($C326="","",IF(COUNTA('RAW_농산물_7월'!$A:$A)&lt;=1,"",SUMIFS('RAW_농산물_7월'!$H:$H,'RAW_농산물_7월'!$D:$D,$C326,'RAW_농산물_7월'!$A:$A,$E326)))</f>
        <v/>
      </c>
      <c r="O326" s="7" t="str">
        <f>IF($C326="","",IF(COUNTA('RAW_농산물_8월'!$A:$A)&lt;=1,"",SUMIFS('RAW_농산물_8월'!$H:$H,'RAW_농산물_8월'!$D:$D,$C326,'RAW_농산물_8월'!$A:$A,$E326)-SUMIFS('RAW_농산물_7월'!$H:$H,'RAW_농산물_7월'!$D:$D,$C326,'RAW_농산물_7월'!$A:$A,$E326)))</f>
        <v/>
      </c>
      <c r="P326" s="7" t="str">
        <f>IF($C326="","",IF(COUNTA('RAW_농산물_9월'!$A:$A)&lt;=1,"",SUMIFS('RAW_농산물_9월'!$H:$H,'RAW_농산물_9월'!$D:$D,$C326,'RAW_농산물_9월'!$A:$A,$E326)-SUMIFS('RAW_농산물_8월'!$H:$H,'RAW_농산물_8월'!$D:$D,$C326,'RAW_농산물_8월'!$A:$A,$E326)))</f>
        <v/>
      </c>
      <c r="Q326" s="7" t="str">
        <f>IF($C326="","",IF(COUNTA('RAW_농산물_10월'!$A:$A)&lt;=1,"",SUMIFS('RAW_농산물_10월'!$H:$H,'RAW_농산물_10월'!$D:$D,$C326,'RAW_농산물_10월'!$A:$A,$E326)-SUMIFS('RAW_농산물_9월'!$H:$H,'RAW_농산물_9월'!$D:$D,$C326,'RAW_농산물_9월'!$A:$A,$E326)))</f>
        <v/>
      </c>
      <c r="R326" s="7" t="str">
        <f>IF($C326="","",IF(COUNTA('RAW_농산물_11-12월'!$A:$A)&lt;=1,"",SUMIFS('RAW_농산물_11-12월'!$H:$H,'RAW_농산물_11-12월'!$D:$D,$C326,'RAW_농산물_11-12월'!$A:$A,$E326)-SUMIFS('RAW_농산물_10월'!$H:$H,'RAW_농산물_10월'!$D:$D,$C326,'RAW_농산물_10월'!$A:$A,$E326)))</f>
        <v/>
      </c>
      <c r="S326" s="17" t="str">
        <f t="shared" si="4"/>
        <v/>
      </c>
      <c r="T326" s="17" t="str">
        <f t="shared" si="5"/>
        <v/>
      </c>
      <c r="U326" s="7">
        <f>IF($C326="",0,IF('설정'!$B$3=0,0,CHOOSE('설정'!$B$3,COUNTIFS('RAW_농산물_7월'!$D:$D,$C326,'RAW_농산물_7월'!$A:$A,$E326),COUNTIFS('RAW_농산물_8월'!$D:$D,$C326,'RAW_농산물_8월'!$A:$A,$E326),COUNTIFS('RAW_농산물_9월'!$D:$D,$C326,'RAW_농산물_9월'!$A:$A,$E326),COUNTIFS('RAW_농산물_10월'!$D:$D,$C326,'RAW_농산물_10월'!$A:$A,$E326),COUNTIFS('RAW_농산물_11-12월'!$D:$D,$C326,'RAW_농산물_11-12월'!$A:$A,$E326))))</f>
        <v>0</v>
      </c>
    </row>
    <row r="327" ht="15.75" customHeight="1">
      <c r="A327" s="5"/>
      <c r="B327" s="5"/>
      <c r="C327" s="5"/>
      <c r="D327" s="6"/>
      <c r="E327" s="5"/>
      <c r="F327" s="7" t="str">
        <f>IF($C327="","",IF('설정'!$B$3=0,"",CHOOSE('설정'!$B$3,SUMIFS('RAW_농산물_7월'!$F:$F,'RAW_농산물_7월'!$D:$D,$C327,'RAW_농산물_7월'!$A:$A,$E327),SUMIFS('RAW_농산물_8월'!$F:$F,'RAW_농산물_8월'!$D:$D,$C327,'RAW_농산물_8월'!$A:$A,$E327),SUMIFS('RAW_농산물_9월'!$F:$F,'RAW_농산물_9월'!$D:$D,$C327,'RAW_농산물_9월'!$A:$A,$E327),SUMIFS('RAW_농산물_10월'!$F:$F,'RAW_농산물_10월'!$D:$D,$C327,'RAW_농산물_10월'!$A:$A,$E327),SUMIFS('RAW_농산물_11-12월'!$F:$F,'RAW_농산물_11-12월'!$D:$D,$C327,'RAW_농산물_11-12월'!$A:$A,$E327))))</f>
        <v/>
      </c>
      <c r="G327" s="7" t="str">
        <f>IF($C327="","",IF('설정'!$B$3=0,"",CHOOSE('설정'!$B$3,SUMIFS('RAW_농산물_7월'!$G:$G,'RAW_농산물_7월'!$D:$D,$C327,'RAW_농산물_7월'!$A:$A,$E327),SUMIFS('RAW_농산물_8월'!$G:$G,'RAW_농산물_8월'!$D:$D,$C327,'RAW_농산물_8월'!$A:$A,$E327),SUMIFS('RAW_농산물_9월'!$G:$G,'RAW_농산물_9월'!$D:$D,$C327,'RAW_농산물_9월'!$A:$A,$E327),SUMIFS('RAW_농산물_10월'!$G:$G,'RAW_농산물_10월'!$D:$D,$C327,'RAW_농산물_10월'!$A:$A,$E327),SUMIFS('RAW_농산물_11-12월'!$G:$G,'RAW_농산물_11-12월'!$D:$D,$C327,'RAW_농산물_11-12월'!$A:$A,$E327))))</f>
        <v/>
      </c>
      <c r="H327" s="14" t="str">
        <f>IF($C327="","",IF('설정'!$B$3=0,"",CHOOSE('설정'!$B$3,SUMIFS('RAW_농산물_7월'!$H:$H,'RAW_농산물_7월'!$D:$D,$C327,'RAW_농산물_7월'!$A:$A,$E327),SUMIFS('RAW_농산물_8월'!$H:$H,'RAW_농산물_8월'!$D:$D,$C327,'RAW_농산물_8월'!$A:$A,$E327),SUMIFS('RAW_농산물_9월'!$H:$H,'RAW_농산물_9월'!$D:$D,$C327,'RAW_농산물_9월'!$A:$A,$E327),SUMIFS('RAW_농산물_10월'!$H:$H,'RAW_농산물_10월'!$D:$D,$C327,'RAW_농산물_10월'!$A:$A,$E327),SUMIFS('RAW_농산물_11-12월'!$H:$H,'RAW_농산물_11-12월'!$D:$D,$C327,'RAW_농산물_11-12월'!$A:$A,$E327))))</f>
        <v/>
      </c>
      <c r="I327" s="17" t="str">
        <f>IF($C327="","",IF(COUNTIFS('RAW_농산물_7월'!$D:$D,$C327,'RAW_농산물_7월'!$A:$A,$E327)&gt;0,"O",""))</f>
        <v/>
      </c>
      <c r="J327" s="17" t="str">
        <f>IF($C327="","",IF(COUNTIFS('RAW_농산물_8월'!$D:$D,$C327,'RAW_농산물_8월'!$A:$A,$E327)&gt;0,"O",""))</f>
        <v/>
      </c>
      <c r="K327" s="17" t="str">
        <f>IF($C327="","",IF(COUNTIFS('RAW_농산물_9월'!$D:$D,$C327,'RAW_농산물_9월'!$A:$A,$E327)&gt;0,"O",""))</f>
        <v/>
      </c>
      <c r="L327" s="17" t="str">
        <f>IF($C327="","",IF(COUNTIFS('RAW_농산물_10월'!$D:$D,$C327,'RAW_농산물_10월'!$A:$A,$E327)&gt;0,"O",""))</f>
        <v/>
      </c>
      <c r="M327" s="17" t="str">
        <f>IF($C327="","",IF(COUNTIFS('RAW_농산물_11-12월'!$D:$D,$C327,'RAW_농산물_11-12월'!$A:$A,$E327)&gt;0,"O",""))</f>
        <v/>
      </c>
      <c r="N327" s="7" t="str">
        <f>IF($C327="","",IF(COUNTA('RAW_농산물_7월'!$A:$A)&lt;=1,"",SUMIFS('RAW_농산물_7월'!$H:$H,'RAW_농산물_7월'!$D:$D,$C327,'RAW_농산물_7월'!$A:$A,$E327)))</f>
        <v/>
      </c>
      <c r="O327" s="7" t="str">
        <f>IF($C327="","",IF(COUNTA('RAW_농산물_8월'!$A:$A)&lt;=1,"",SUMIFS('RAW_농산물_8월'!$H:$H,'RAW_농산물_8월'!$D:$D,$C327,'RAW_농산물_8월'!$A:$A,$E327)-SUMIFS('RAW_농산물_7월'!$H:$H,'RAW_농산물_7월'!$D:$D,$C327,'RAW_농산물_7월'!$A:$A,$E327)))</f>
        <v/>
      </c>
      <c r="P327" s="7" t="str">
        <f>IF($C327="","",IF(COUNTA('RAW_농산물_9월'!$A:$A)&lt;=1,"",SUMIFS('RAW_농산물_9월'!$H:$H,'RAW_농산물_9월'!$D:$D,$C327,'RAW_농산물_9월'!$A:$A,$E327)-SUMIFS('RAW_농산물_8월'!$H:$H,'RAW_농산물_8월'!$D:$D,$C327,'RAW_농산물_8월'!$A:$A,$E327)))</f>
        <v/>
      </c>
      <c r="Q327" s="7" t="str">
        <f>IF($C327="","",IF(COUNTA('RAW_농산물_10월'!$A:$A)&lt;=1,"",SUMIFS('RAW_농산물_10월'!$H:$H,'RAW_농산물_10월'!$D:$D,$C327,'RAW_농산물_10월'!$A:$A,$E327)-SUMIFS('RAW_농산물_9월'!$H:$H,'RAW_농산물_9월'!$D:$D,$C327,'RAW_농산물_9월'!$A:$A,$E327)))</f>
        <v/>
      </c>
      <c r="R327" s="7" t="str">
        <f>IF($C327="","",IF(COUNTA('RAW_농산물_11-12월'!$A:$A)&lt;=1,"",SUMIFS('RAW_농산물_11-12월'!$H:$H,'RAW_농산물_11-12월'!$D:$D,$C327,'RAW_농산물_11-12월'!$A:$A,$E327)-SUMIFS('RAW_농산물_10월'!$H:$H,'RAW_농산물_10월'!$D:$D,$C327,'RAW_농산물_10월'!$A:$A,$E327)))</f>
        <v/>
      </c>
      <c r="S327" s="17" t="str">
        <f t="shared" si="4"/>
        <v/>
      </c>
      <c r="T327" s="17" t="str">
        <f t="shared" si="5"/>
        <v/>
      </c>
      <c r="U327" s="7">
        <f>IF($C327="",0,IF('설정'!$B$3=0,0,CHOOSE('설정'!$B$3,COUNTIFS('RAW_농산물_7월'!$D:$D,$C327,'RAW_농산물_7월'!$A:$A,$E327),COUNTIFS('RAW_농산물_8월'!$D:$D,$C327,'RAW_농산물_8월'!$A:$A,$E327),COUNTIFS('RAW_농산물_9월'!$D:$D,$C327,'RAW_농산물_9월'!$A:$A,$E327),COUNTIFS('RAW_농산물_10월'!$D:$D,$C327,'RAW_농산물_10월'!$A:$A,$E327),COUNTIFS('RAW_농산물_11-12월'!$D:$D,$C327,'RAW_농산물_11-12월'!$A:$A,$E327))))</f>
        <v>0</v>
      </c>
    </row>
    <row r="328" ht="15.75" customHeight="1">
      <c r="A328" s="5"/>
      <c r="B328" s="5"/>
      <c r="C328" s="5"/>
      <c r="D328" s="6"/>
      <c r="E328" s="5"/>
      <c r="F328" s="7" t="str">
        <f>IF($C328="","",IF('설정'!$B$3=0,"",CHOOSE('설정'!$B$3,SUMIFS('RAW_농산물_7월'!$F:$F,'RAW_농산물_7월'!$D:$D,$C328,'RAW_농산물_7월'!$A:$A,$E328),SUMIFS('RAW_농산물_8월'!$F:$F,'RAW_농산물_8월'!$D:$D,$C328,'RAW_농산물_8월'!$A:$A,$E328),SUMIFS('RAW_농산물_9월'!$F:$F,'RAW_농산물_9월'!$D:$D,$C328,'RAW_농산물_9월'!$A:$A,$E328),SUMIFS('RAW_농산물_10월'!$F:$F,'RAW_농산물_10월'!$D:$D,$C328,'RAW_농산물_10월'!$A:$A,$E328),SUMIFS('RAW_농산물_11-12월'!$F:$F,'RAW_농산물_11-12월'!$D:$D,$C328,'RAW_농산물_11-12월'!$A:$A,$E328))))</f>
        <v/>
      </c>
      <c r="G328" s="7" t="str">
        <f>IF($C328="","",IF('설정'!$B$3=0,"",CHOOSE('설정'!$B$3,SUMIFS('RAW_농산물_7월'!$G:$G,'RAW_농산물_7월'!$D:$D,$C328,'RAW_농산물_7월'!$A:$A,$E328),SUMIFS('RAW_농산물_8월'!$G:$G,'RAW_농산물_8월'!$D:$D,$C328,'RAW_농산물_8월'!$A:$A,$E328),SUMIFS('RAW_농산물_9월'!$G:$G,'RAW_농산물_9월'!$D:$D,$C328,'RAW_농산물_9월'!$A:$A,$E328),SUMIFS('RAW_농산물_10월'!$G:$G,'RAW_농산물_10월'!$D:$D,$C328,'RAW_농산물_10월'!$A:$A,$E328),SUMIFS('RAW_농산물_11-12월'!$G:$G,'RAW_농산물_11-12월'!$D:$D,$C328,'RAW_농산물_11-12월'!$A:$A,$E328))))</f>
        <v/>
      </c>
      <c r="H328" s="14" t="str">
        <f>IF($C328="","",IF('설정'!$B$3=0,"",CHOOSE('설정'!$B$3,SUMIFS('RAW_농산물_7월'!$H:$H,'RAW_농산물_7월'!$D:$D,$C328,'RAW_농산물_7월'!$A:$A,$E328),SUMIFS('RAW_농산물_8월'!$H:$H,'RAW_농산물_8월'!$D:$D,$C328,'RAW_농산물_8월'!$A:$A,$E328),SUMIFS('RAW_농산물_9월'!$H:$H,'RAW_농산물_9월'!$D:$D,$C328,'RAW_농산물_9월'!$A:$A,$E328),SUMIFS('RAW_농산물_10월'!$H:$H,'RAW_농산물_10월'!$D:$D,$C328,'RAW_농산물_10월'!$A:$A,$E328),SUMIFS('RAW_농산물_11-12월'!$H:$H,'RAW_농산물_11-12월'!$D:$D,$C328,'RAW_농산물_11-12월'!$A:$A,$E328))))</f>
        <v/>
      </c>
      <c r="I328" s="17" t="str">
        <f>IF($C328="","",IF(COUNTIFS('RAW_농산물_7월'!$D:$D,$C328,'RAW_농산물_7월'!$A:$A,$E328)&gt;0,"O",""))</f>
        <v/>
      </c>
      <c r="J328" s="17" t="str">
        <f>IF($C328="","",IF(COUNTIFS('RAW_농산물_8월'!$D:$D,$C328,'RAW_농산물_8월'!$A:$A,$E328)&gt;0,"O",""))</f>
        <v/>
      </c>
      <c r="K328" s="17" t="str">
        <f>IF($C328="","",IF(COUNTIFS('RAW_농산물_9월'!$D:$D,$C328,'RAW_농산물_9월'!$A:$A,$E328)&gt;0,"O",""))</f>
        <v/>
      </c>
      <c r="L328" s="17" t="str">
        <f>IF($C328="","",IF(COUNTIFS('RAW_농산물_10월'!$D:$D,$C328,'RAW_농산물_10월'!$A:$A,$E328)&gt;0,"O",""))</f>
        <v/>
      </c>
      <c r="M328" s="17" t="str">
        <f>IF($C328="","",IF(COUNTIFS('RAW_농산물_11-12월'!$D:$D,$C328,'RAW_농산물_11-12월'!$A:$A,$E328)&gt;0,"O",""))</f>
        <v/>
      </c>
      <c r="N328" s="7" t="str">
        <f>IF($C328="","",IF(COUNTA('RAW_농산물_7월'!$A:$A)&lt;=1,"",SUMIFS('RAW_농산물_7월'!$H:$H,'RAW_농산물_7월'!$D:$D,$C328,'RAW_농산물_7월'!$A:$A,$E328)))</f>
        <v/>
      </c>
      <c r="O328" s="7" t="str">
        <f>IF($C328="","",IF(COUNTA('RAW_농산물_8월'!$A:$A)&lt;=1,"",SUMIFS('RAW_농산물_8월'!$H:$H,'RAW_농산물_8월'!$D:$D,$C328,'RAW_농산물_8월'!$A:$A,$E328)-SUMIFS('RAW_농산물_7월'!$H:$H,'RAW_농산물_7월'!$D:$D,$C328,'RAW_농산물_7월'!$A:$A,$E328)))</f>
        <v/>
      </c>
      <c r="P328" s="7" t="str">
        <f>IF($C328="","",IF(COUNTA('RAW_농산물_9월'!$A:$A)&lt;=1,"",SUMIFS('RAW_농산물_9월'!$H:$H,'RAW_농산물_9월'!$D:$D,$C328,'RAW_농산물_9월'!$A:$A,$E328)-SUMIFS('RAW_농산물_8월'!$H:$H,'RAW_농산물_8월'!$D:$D,$C328,'RAW_농산물_8월'!$A:$A,$E328)))</f>
        <v/>
      </c>
      <c r="Q328" s="7" t="str">
        <f>IF($C328="","",IF(COUNTA('RAW_농산물_10월'!$A:$A)&lt;=1,"",SUMIFS('RAW_농산물_10월'!$H:$H,'RAW_농산물_10월'!$D:$D,$C328,'RAW_농산물_10월'!$A:$A,$E328)-SUMIFS('RAW_농산물_9월'!$H:$H,'RAW_농산물_9월'!$D:$D,$C328,'RAW_농산물_9월'!$A:$A,$E328)))</f>
        <v/>
      </c>
      <c r="R328" s="7" t="str">
        <f>IF($C328="","",IF(COUNTA('RAW_농산물_11-12월'!$A:$A)&lt;=1,"",SUMIFS('RAW_농산물_11-12월'!$H:$H,'RAW_농산물_11-12월'!$D:$D,$C328,'RAW_농산물_11-12월'!$A:$A,$E328)-SUMIFS('RAW_농산물_10월'!$H:$H,'RAW_농산물_10월'!$D:$D,$C328,'RAW_농산물_10월'!$A:$A,$E328)))</f>
        <v/>
      </c>
      <c r="S328" s="17" t="str">
        <f t="shared" si="4"/>
        <v/>
      </c>
      <c r="T328" s="17" t="str">
        <f t="shared" si="5"/>
        <v/>
      </c>
      <c r="U328" s="7">
        <f>IF($C328="",0,IF('설정'!$B$3=0,0,CHOOSE('설정'!$B$3,COUNTIFS('RAW_농산물_7월'!$D:$D,$C328,'RAW_농산물_7월'!$A:$A,$E328),COUNTIFS('RAW_농산물_8월'!$D:$D,$C328,'RAW_농산물_8월'!$A:$A,$E328),COUNTIFS('RAW_농산물_9월'!$D:$D,$C328,'RAW_농산물_9월'!$A:$A,$E328),COUNTIFS('RAW_농산물_10월'!$D:$D,$C328,'RAW_농산물_10월'!$A:$A,$E328),COUNTIFS('RAW_농산물_11-12월'!$D:$D,$C328,'RAW_농산물_11-12월'!$A:$A,$E328))))</f>
        <v>0</v>
      </c>
    </row>
    <row r="329" ht="15.75" customHeight="1">
      <c r="A329" s="5"/>
      <c r="B329" s="5"/>
      <c r="C329" s="5"/>
      <c r="D329" s="6"/>
      <c r="E329" s="5"/>
      <c r="F329" s="7" t="str">
        <f>IF($C329="","",IF('설정'!$B$3=0,"",CHOOSE('설정'!$B$3,SUMIFS('RAW_농산물_7월'!$F:$F,'RAW_농산물_7월'!$D:$D,$C329,'RAW_농산물_7월'!$A:$A,$E329),SUMIFS('RAW_농산물_8월'!$F:$F,'RAW_농산물_8월'!$D:$D,$C329,'RAW_농산물_8월'!$A:$A,$E329),SUMIFS('RAW_농산물_9월'!$F:$F,'RAW_농산물_9월'!$D:$D,$C329,'RAW_농산물_9월'!$A:$A,$E329),SUMIFS('RAW_농산물_10월'!$F:$F,'RAW_농산물_10월'!$D:$D,$C329,'RAW_농산물_10월'!$A:$A,$E329),SUMIFS('RAW_농산물_11-12월'!$F:$F,'RAW_농산물_11-12월'!$D:$D,$C329,'RAW_농산물_11-12월'!$A:$A,$E329))))</f>
        <v/>
      </c>
      <c r="G329" s="7" t="str">
        <f>IF($C329="","",IF('설정'!$B$3=0,"",CHOOSE('설정'!$B$3,SUMIFS('RAW_농산물_7월'!$G:$G,'RAW_농산물_7월'!$D:$D,$C329,'RAW_농산물_7월'!$A:$A,$E329),SUMIFS('RAW_농산물_8월'!$G:$G,'RAW_농산물_8월'!$D:$D,$C329,'RAW_농산물_8월'!$A:$A,$E329),SUMIFS('RAW_농산물_9월'!$G:$G,'RAW_농산물_9월'!$D:$D,$C329,'RAW_농산물_9월'!$A:$A,$E329),SUMIFS('RAW_농산물_10월'!$G:$G,'RAW_농산물_10월'!$D:$D,$C329,'RAW_농산물_10월'!$A:$A,$E329),SUMIFS('RAW_농산물_11-12월'!$G:$G,'RAW_농산물_11-12월'!$D:$D,$C329,'RAW_농산물_11-12월'!$A:$A,$E329))))</f>
        <v/>
      </c>
      <c r="H329" s="14" t="str">
        <f>IF($C329="","",IF('설정'!$B$3=0,"",CHOOSE('설정'!$B$3,SUMIFS('RAW_농산물_7월'!$H:$H,'RAW_농산물_7월'!$D:$D,$C329,'RAW_농산물_7월'!$A:$A,$E329),SUMIFS('RAW_농산물_8월'!$H:$H,'RAW_농산물_8월'!$D:$D,$C329,'RAW_농산물_8월'!$A:$A,$E329),SUMIFS('RAW_농산물_9월'!$H:$H,'RAW_농산물_9월'!$D:$D,$C329,'RAW_농산물_9월'!$A:$A,$E329),SUMIFS('RAW_농산물_10월'!$H:$H,'RAW_농산물_10월'!$D:$D,$C329,'RAW_농산물_10월'!$A:$A,$E329),SUMIFS('RAW_농산물_11-12월'!$H:$H,'RAW_농산물_11-12월'!$D:$D,$C329,'RAW_농산물_11-12월'!$A:$A,$E329))))</f>
        <v/>
      </c>
      <c r="I329" s="17" t="str">
        <f>IF($C329="","",IF(COUNTIFS('RAW_농산물_7월'!$D:$D,$C329,'RAW_농산물_7월'!$A:$A,$E329)&gt;0,"O",""))</f>
        <v/>
      </c>
      <c r="J329" s="17" t="str">
        <f>IF($C329="","",IF(COUNTIFS('RAW_농산물_8월'!$D:$D,$C329,'RAW_농산물_8월'!$A:$A,$E329)&gt;0,"O",""))</f>
        <v/>
      </c>
      <c r="K329" s="17" t="str">
        <f>IF($C329="","",IF(COUNTIFS('RAW_농산물_9월'!$D:$D,$C329,'RAW_농산물_9월'!$A:$A,$E329)&gt;0,"O",""))</f>
        <v/>
      </c>
      <c r="L329" s="17" t="str">
        <f>IF($C329="","",IF(COUNTIFS('RAW_농산물_10월'!$D:$D,$C329,'RAW_농산물_10월'!$A:$A,$E329)&gt;0,"O",""))</f>
        <v/>
      </c>
      <c r="M329" s="17" t="str">
        <f>IF($C329="","",IF(COUNTIFS('RAW_농산물_11-12월'!$D:$D,$C329,'RAW_농산물_11-12월'!$A:$A,$E329)&gt;0,"O",""))</f>
        <v/>
      </c>
      <c r="N329" s="7" t="str">
        <f>IF($C329="","",IF(COUNTA('RAW_농산물_7월'!$A:$A)&lt;=1,"",SUMIFS('RAW_농산물_7월'!$H:$H,'RAW_농산물_7월'!$D:$D,$C329,'RAW_농산물_7월'!$A:$A,$E329)))</f>
        <v/>
      </c>
      <c r="O329" s="7" t="str">
        <f>IF($C329="","",IF(COUNTA('RAW_농산물_8월'!$A:$A)&lt;=1,"",SUMIFS('RAW_농산물_8월'!$H:$H,'RAW_농산물_8월'!$D:$D,$C329,'RAW_농산물_8월'!$A:$A,$E329)-SUMIFS('RAW_농산물_7월'!$H:$H,'RAW_농산물_7월'!$D:$D,$C329,'RAW_농산물_7월'!$A:$A,$E329)))</f>
        <v/>
      </c>
      <c r="P329" s="7" t="str">
        <f>IF($C329="","",IF(COUNTA('RAW_농산물_9월'!$A:$A)&lt;=1,"",SUMIFS('RAW_농산물_9월'!$H:$H,'RAW_농산물_9월'!$D:$D,$C329,'RAW_농산물_9월'!$A:$A,$E329)-SUMIFS('RAW_농산물_8월'!$H:$H,'RAW_농산물_8월'!$D:$D,$C329,'RAW_농산물_8월'!$A:$A,$E329)))</f>
        <v/>
      </c>
      <c r="Q329" s="7" t="str">
        <f>IF($C329="","",IF(COUNTA('RAW_농산물_10월'!$A:$A)&lt;=1,"",SUMIFS('RAW_농산물_10월'!$H:$H,'RAW_농산물_10월'!$D:$D,$C329,'RAW_농산물_10월'!$A:$A,$E329)-SUMIFS('RAW_농산물_9월'!$H:$H,'RAW_농산물_9월'!$D:$D,$C329,'RAW_농산물_9월'!$A:$A,$E329)))</f>
        <v/>
      </c>
      <c r="R329" s="7" t="str">
        <f>IF($C329="","",IF(COUNTA('RAW_농산물_11-12월'!$A:$A)&lt;=1,"",SUMIFS('RAW_농산물_11-12월'!$H:$H,'RAW_농산물_11-12월'!$D:$D,$C329,'RAW_농산물_11-12월'!$A:$A,$E329)-SUMIFS('RAW_농산물_10월'!$H:$H,'RAW_농산물_10월'!$D:$D,$C329,'RAW_농산물_10월'!$A:$A,$E329)))</f>
        <v/>
      </c>
      <c r="S329" s="17" t="str">
        <f t="shared" si="4"/>
        <v/>
      </c>
      <c r="T329" s="17" t="str">
        <f t="shared" si="5"/>
        <v/>
      </c>
      <c r="U329" s="7">
        <f>IF($C329="",0,IF('설정'!$B$3=0,0,CHOOSE('설정'!$B$3,COUNTIFS('RAW_농산물_7월'!$D:$D,$C329,'RAW_농산물_7월'!$A:$A,$E329),COUNTIFS('RAW_농산물_8월'!$D:$D,$C329,'RAW_농산물_8월'!$A:$A,$E329),COUNTIFS('RAW_농산물_9월'!$D:$D,$C329,'RAW_농산물_9월'!$A:$A,$E329),COUNTIFS('RAW_농산물_10월'!$D:$D,$C329,'RAW_농산물_10월'!$A:$A,$E329),COUNTIFS('RAW_농산물_11-12월'!$D:$D,$C329,'RAW_농산물_11-12월'!$A:$A,$E329))))</f>
        <v>0</v>
      </c>
    </row>
    <row r="330" ht="15.75" customHeight="1">
      <c r="A330" s="5"/>
      <c r="B330" s="5"/>
      <c r="C330" s="5"/>
      <c r="D330" s="6"/>
      <c r="E330" s="5"/>
      <c r="F330" s="7" t="str">
        <f>IF($C330="","",IF('설정'!$B$3=0,"",CHOOSE('설정'!$B$3,SUMIFS('RAW_농산물_7월'!$F:$F,'RAW_농산물_7월'!$D:$D,$C330,'RAW_농산물_7월'!$A:$A,$E330),SUMIFS('RAW_농산물_8월'!$F:$F,'RAW_농산물_8월'!$D:$D,$C330,'RAW_농산물_8월'!$A:$A,$E330),SUMIFS('RAW_농산물_9월'!$F:$F,'RAW_농산물_9월'!$D:$D,$C330,'RAW_농산물_9월'!$A:$A,$E330),SUMIFS('RAW_농산물_10월'!$F:$F,'RAW_농산물_10월'!$D:$D,$C330,'RAW_농산물_10월'!$A:$A,$E330),SUMIFS('RAW_농산물_11-12월'!$F:$F,'RAW_농산물_11-12월'!$D:$D,$C330,'RAW_농산물_11-12월'!$A:$A,$E330))))</f>
        <v/>
      </c>
      <c r="G330" s="7" t="str">
        <f>IF($C330="","",IF('설정'!$B$3=0,"",CHOOSE('설정'!$B$3,SUMIFS('RAW_농산물_7월'!$G:$G,'RAW_농산물_7월'!$D:$D,$C330,'RAW_농산물_7월'!$A:$A,$E330),SUMIFS('RAW_농산물_8월'!$G:$G,'RAW_농산물_8월'!$D:$D,$C330,'RAW_농산물_8월'!$A:$A,$E330),SUMIFS('RAW_농산물_9월'!$G:$G,'RAW_농산물_9월'!$D:$D,$C330,'RAW_농산물_9월'!$A:$A,$E330),SUMIFS('RAW_농산물_10월'!$G:$G,'RAW_농산물_10월'!$D:$D,$C330,'RAW_농산물_10월'!$A:$A,$E330),SUMIFS('RAW_농산물_11-12월'!$G:$G,'RAW_농산물_11-12월'!$D:$D,$C330,'RAW_농산물_11-12월'!$A:$A,$E330))))</f>
        <v/>
      </c>
      <c r="H330" s="14" t="str">
        <f>IF($C330="","",IF('설정'!$B$3=0,"",CHOOSE('설정'!$B$3,SUMIFS('RAW_농산물_7월'!$H:$H,'RAW_농산물_7월'!$D:$D,$C330,'RAW_농산물_7월'!$A:$A,$E330),SUMIFS('RAW_농산물_8월'!$H:$H,'RAW_농산물_8월'!$D:$D,$C330,'RAW_농산물_8월'!$A:$A,$E330),SUMIFS('RAW_농산물_9월'!$H:$H,'RAW_농산물_9월'!$D:$D,$C330,'RAW_농산물_9월'!$A:$A,$E330),SUMIFS('RAW_농산물_10월'!$H:$H,'RAW_농산물_10월'!$D:$D,$C330,'RAW_농산물_10월'!$A:$A,$E330),SUMIFS('RAW_농산물_11-12월'!$H:$H,'RAW_농산물_11-12월'!$D:$D,$C330,'RAW_농산물_11-12월'!$A:$A,$E330))))</f>
        <v/>
      </c>
      <c r="I330" s="17" t="str">
        <f>IF($C330="","",IF(COUNTIFS('RAW_농산물_7월'!$D:$D,$C330,'RAW_농산물_7월'!$A:$A,$E330)&gt;0,"O",""))</f>
        <v/>
      </c>
      <c r="J330" s="17" t="str">
        <f>IF($C330="","",IF(COUNTIFS('RAW_농산물_8월'!$D:$D,$C330,'RAW_농산물_8월'!$A:$A,$E330)&gt;0,"O",""))</f>
        <v/>
      </c>
      <c r="K330" s="17" t="str">
        <f>IF($C330="","",IF(COUNTIFS('RAW_농산물_9월'!$D:$D,$C330,'RAW_농산물_9월'!$A:$A,$E330)&gt;0,"O",""))</f>
        <v/>
      </c>
      <c r="L330" s="17" t="str">
        <f>IF($C330="","",IF(COUNTIFS('RAW_농산물_10월'!$D:$D,$C330,'RAW_농산물_10월'!$A:$A,$E330)&gt;0,"O",""))</f>
        <v/>
      </c>
      <c r="M330" s="17" t="str">
        <f>IF($C330="","",IF(COUNTIFS('RAW_농산물_11-12월'!$D:$D,$C330,'RAW_농산물_11-12월'!$A:$A,$E330)&gt;0,"O",""))</f>
        <v/>
      </c>
      <c r="N330" s="7" t="str">
        <f>IF($C330="","",IF(COUNTA('RAW_농산물_7월'!$A:$A)&lt;=1,"",SUMIFS('RAW_농산물_7월'!$H:$H,'RAW_농산물_7월'!$D:$D,$C330,'RAW_농산물_7월'!$A:$A,$E330)))</f>
        <v/>
      </c>
      <c r="O330" s="7" t="str">
        <f>IF($C330="","",IF(COUNTA('RAW_농산물_8월'!$A:$A)&lt;=1,"",SUMIFS('RAW_농산물_8월'!$H:$H,'RAW_농산물_8월'!$D:$D,$C330,'RAW_농산물_8월'!$A:$A,$E330)-SUMIFS('RAW_농산물_7월'!$H:$H,'RAW_농산물_7월'!$D:$D,$C330,'RAW_농산물_7월'!$A:$A,$E330)))</f>
        <v/>
      </c>
      <c r="P330" s="7" t="str">
        <f>IF($C330="","",IF(COUNTA('RAW_농산물_9월'!$A:$A)&lt;=1,"",SUMIFS('RAW_농산물_9월'!$H:$H,'RAW_농산물_9월'!$D:$D,$C330,'RAW_농산물_9월'!$A:$A,$E330)-SUMIFS('RAW_농산물_8월'!$H:$H,'RAW_농산물_8월'!$D:$D,$C330,'RAW_농산물_8월'!$A:$A,$E330)))</f>
        <v/>
      </c>
      <c r="Q330" s="7" t="str">
        <f>IF($C330="","",IF(COUNTA('RAW_농산물_10월'!$A:$A)&lt;=1,"",SUMIFS('RAW_농산물_10월'!$H:$H,'RAW_농산물_10월'!$D:$D,$C330,'RAW_농산물_10월'!$A:$A,$E330)-SUMIFS('RAW_농산물_9월'!$H:$H,'RAW_농산물_9월'!$D:$D,$C330,'RAW_농산물_9월'!$A:$A,$E330)))</f>
        <v/>
      </c>
      <c r="R330" s="7" t="str">
        <f>IF($C330="","",IF(COUNTA('RAW_농산물_11-12월'!$A:$A)&lt;=1,"",SUMIFS('RAW_농산물_11-12월'!$H:$H,'RAW_농산물_11-12월'!$D:$D,$C330,'RAW_농산물_11-12월'!$A:$A,$E330)-SUMIFS('RAW_농산물_10월'!$H:$H,'RAW_농산물_10월'!$D:$D,$C330,'RAW_농산물_10월'!$A:$A,$E330)))</f>
        <v/>
      </c>
      <c r="S330" s="17" t="str">
        <f t="shared" si="4"/>
        <v/>
      </c>
      <c r="T330" s="17" t="str">
        <f t="shared" si="5"/>
        <v/>
      </c>
      <c r="U330" s="7">
        <f>IF($C330="",0,IF('설정'!$B$3=0,0,CHOOSE('설정'!$B$3,COUNTIFS('RAW_농산물_7월'!$D:$D,$C330,'RAW_농산물_7월'!$A:$A,$E330),COUNTIFS('RAW_농산물_8월'!$D:$D,$C330,'RAW_농산물_8월'!$A:$A,$E330),COUNTIFS('RAW_농산물_9월'!$D:$D,$C330,'RAW_농산물_9월'!$A:$A,$E330),COUNTIFS('RAW_농산물_10월'!$D:$D,$C330,'RAW_농산물_10월'!$A:$A,$E330),COUNTIFS('RAW_농산물_11-12월'!$D:$D,$C330,'RAW_농산물_11-12월'!$A:$A,$E330))))</f>
        <v>0</v>
      </c>
    </row>
    <row r="331" ht="15.75" customHeight="1">
      <c r="A331" s="5"/>
      <c r="B331" s="5"/>
      <c r="C331" s="5"/>
      <c r="D331" s="6"/>
      <c r="E331" s="5"/>
      <c r="F331" s="7" t="str">
        <f>IF($C331="","",IF('설정'!$B$3=0,"",CHOOSE('설정'!$B$3,SUMIFS('RAW_농산물_7월'!$F:$F,'RAW_농산물_7월'!$D:$D,$C331,'RAW_농산물_7월'!$A:$A,$E331),SUMIFS('RAW_농산물_8월'!$F:$F,'RAW_농산물_8월'!$D:$D,$C331,'RAW_농산물_8월'!$A:$A,$E331),SUMIFS('RAW_농산물_9월'!$F:$F,'RAW_농산물_9월'!$D:$D,$C331,'RAW_농산물_9월'!$A:$A,$E331),SUMIFS('RAW_농산물_10월'!$F:$F,'RAW_농산물_10월'!$D:$D,$C331,'RAW_농산물_10월'!$A:$A,$E331),SUMIFS('RAW_농산물_11-12월'!$F:$F,'RAW_농산물_11-12월'!$D:$D,$C331,'RAW_농산물_11-12월'!$A:$A,$E331))))</f>
        <v/>
      </c>
      <c r="G331" s="7" t="str">
        <f>IF($C331="","",IF('설정'!$B$3=0,"",CHOOSE('설정'!$B$3,SUMIFS('RAW_농산물_7월'!$G:$G,'RAW_농산물_7월'!$D:$D,$C331,'RAW_농산물_7월'!$A:$A,$E331),SUMIFS('RAW_농산물_8월'!$G:$G,'RAW_농산물_8월'!$D:$D,$C331,'RAW_농산물_8월'!$A:$A,$E331),SUMIFS('RAW_농산물_9월'!$G:$G,'RAW_농산물_9월'!$D:$D,$C331,'RAW_농산물_9월'!$A:$A,$E331),SUMIFS('RAW_농산물_10월'!$G:$G,'RAW_농산물_10월'!$D:$D,$C331,'RAW_농산물_10월'!$A:$A,$E331),SUMIFS('RAW_농산물_11-12월'!$G:$G,'RAW_농산물_11-12월'!$D:$D,$C331,'RAW_농산물_11-12월'!$A:$A,$E331))))</f>
        <v/>
      </c>
      <c r="H331" s="14" t="str">
        <f>IF($C331="","",IF('설정'!$B$3=0,"",CHOOSE('설정'!$B$3,SUMIFS('RAW_농산물_7월'!$H:$H,'RAW_농산물_7월'!$D:$D,$C331,'RAW_농산물_7월'!$A:$A,$E331),SUMIFS('RAW_농산물_8월'!$H:$H,'RAW_농산물_8월'!$D:$D,$C331,'RAW_농산물_8월'!$A:$A,$E331),SUMIFS('RAW_농산물_9월'!$H:$H,'RAW_농산물_9월'!$D:$D,$C331,'RAW_농산물_9월'!$A:$A,$E331),SUMIFS('RAW_농산물_10월'!$H:$H,'RAW_농산물_10월'!$D:$D,$C331,'RAW_농산물_10월'!$A:$A,$E331),SUMIFS('RAW_농산물_11-12월'!$H:$H,'RAW_농산물_11-12월'!$D:$D,$C331,'RAW_농산물_11-12월'!$A:$A,$E331))))</f>
        <v/>
      </c>
      <c r="I331" s="17" t="str">
        <f>IF($C331="","",IF(COUNTIFS('RAW_농산물_7월'!$D:$D,$C331,'RAW_농산물_7월'!$A:$A,$E331)&gt;0,"O",""))</f>
        <v/>
      </c>
      <c r="J331" s="17" t="str">
        <f>IF($C331="","",IF(COUNTIFS('RAW_농산물_8월'!$D:$D,$C331,'RAW_농산물_8월'!$A:$A,$E331)&gt;0,"O",""))</f>
        <v/>
      </c>
      <c r="K331" s="17" t="str">
        <f>IF($C331="","",IF(COUNTIFS('RAW_농산물_9월'!$D:$D,$C331,'RAW_농산물_9월'!$A:$A,$E331)&gt;0,"O",""))</f>
        <v/>
      </c>
      <c r="L331" s="17" t="str">
        <f>IF($C331="","",IF(COUNTIFS('RAW_농산물_10월'!$D:$D,$C331,'RAW_농산물_10월'!$A:$A,$E331)&gt;0,"O",""))</f>
        <v/>
      </c>
      <c r="M331" s="17" t="str">
        <f>IF($C331="","",IF(COUNTIFS('RAW_농산물_11-12월'!$D:$D,$C331,'RAW_농산물_11-12월'!$A:$A,$E331)&gt;0,"O",""))</f>
        <v/>
      </c>
      <c r="N331" s="7" t="str">
        <f>IF($C331="","",IF(COUNTA('RAW_농산물_7월'!$A:$A)&lt;=1,"",SUMIFS('RAW_농산물_7월'!$H:$H,'RAW_농산물_7월'!$D:$D,$C331,'RAW_농산물_7월'!$A:$A,$E331)))</f>
        <v/>
      </c>
      <c r="O331" s="7" t="str">
        <f>IF($C331="","",IF(COUNTA('RAW_농산물_8월'!$A:$A)&lt;=1,"",SUMIFS('RAW_농산물_8월'!$H:$H,'RAW_농산물_8월'!$D:$D,$C331,'RAW_농산물_8월'!$A:$A,$E331)-SUMIFS('RAW_농산물_7월'!$H:$H,'RAW_농산물_7월'!$D:$D,$C331,'RAW_농산물_7월'!$A:$A,$E331)))</f>
        <v/>
      </c>
      <c r="P331" s="7" t="str">
        <f>IF($C331="","",IF(COUNTA('RAW_농산물_9월'!$A:$A)&lt;=1,"",SUMIFS('RAW_농산물_9월'!$H:$H,'RAW_농산물_9월'!$D:$D,$C331,'RAW_농산물_9월'!$A:$A,$E331)-SUMIFS('RAW_농산물_8월'!$H:$H,'RAW_농산물_8월'!$D:$D,$C331,'RAW_농산물_8월'!$A:$A,$E331)))</f>
        <v/>
      </c>
      <c r="Q331" s="7" t="str">
        <f>IF($C331="","",IF(COUNTA('RAW_농산물_10월'!$A:$A)&lt;=1,"",SUMIFS('RAW_농산물_10월'!$H:$H,'RAW_농산물_10월'!$D:$D,$C331,'RAW_농산물_10월'!$A:$A,$E331)-SUMIFS('RAW_농산물_9월'!$H:$H,'RAW_농산물_9월'!$D:$D,$C331,'RAW_농산물_9월'!$A:$A,$E331)))</f>
        <v/>
      </c>
      <c r="R331" s="7" t="str">
        <f>IF($C331="","",IF(COUNTA('RAW_농산물_11-12월'!$A:$A)&lt;=1,"",SUMIFS('RAW_농산물_11-12월'!$H:$H,'RAW_농산물_11-12월'!$D:$D,$C331,'RAW_농산물_11-12월'!$A:$A,$E331)-SUMIFS('RAW_농산물_10월'!$H:$H,'RAW_농산물_10월'!$D:$D,$C331,'RAW_농산물_10월'!$A:$A,$E331)))</f>
        <v/>
      </c>
      <c r="S331" s="17" t="str">
        <f t="shared" si="4"/>
        <v/>
      </c>
      <c r="T331" s="17" t="str">
        <f t="shared" si="5"/>
        <v/>
      </c>
      <c r="U331" s="7">
        <f>IF($C331="",0,IF('설정'!$B$3=0,0,CHOOSE('설정'!$B$3,COUNTIFS('RAW_농산물_7월'!$D:$D,$C331,'RAW_농산물_7월'!$A:$A,$E331),COUNTIFS('RAW_농산물_8월'!$D:$D,$C331,'RAW_농산물_8월'!$A:$A,$E331),COUNTIFS('RAW_농산물_9월'!$D:$D,$C331,'RAW_농산물_9월'!$A:$A,$E331),COUNTIFS('RAW_농산물_10월'!$D:$D,$C331,'RAW_농산물_10월'!$A:$A,$E331),COUNTIFS('RAW_농산물_11-12월'!$D:$D,$C331,'RAW_농산물_11-12월'!$A:$A,$E331))))</f>
        <v>0</v>
      </c>
    </row>
    <row r="332" ht="15.75" customHeight="1">
      <c r="A332" s="5"/>
      <c r="B332" s="5"/>
      <c r="C332" s="5"/>
      <c r="D332" s="6"/>
      <c r="E332" s="5"/>
      <c r="F332" s="7" t="str">
        <f>IF($C332="","",IF('설정'!$B$3=0,"",CHOOSE('설정'!$B$3,SUMIFS('RAW_농산물_7월'!$F:$F,'RAW_농산물_7월'!$D:$D,$C332,'RAW_농산물_7월'!$A:$A,$E332),SUMIFS('RAW_농산물_8월'!$F:$F,'RAW_농산물_8월'!$D:$D,$C332,'RAW_농산물_8월'!$A:$A,$E332),SUMIFS('RAW_농산물_9월'!$F:$F,'RAW_농산물_9월'!$D:$D,$C332,'RAW_농산물_9월'!$A:$A,$E332),SUMIFS('RAW_농산물_10월'!$F:$F,'RAW_농산물_10월'!$D:$D,$C332,'RAW_농산물_10월'!$A:$A,$E332),SUMIFS('RAW_농산물_11-12월'!$F:$F,'RAW_농산물_11-12월'!$D:$D,$C332,'RAW_농산물_11-12월'!$A:$A,$E332))))</f>
        <v/>
      </c>
      <c r="G332" s="7" t="str">
        <f>IF($C332="","",IF('설정'!$B$3=0,"",CHOOSE('설정'!$B$3,SUMIFS('RAW_농산물_7월'!$G:$G,'RAW_농산물_7월'!$D:$D,$C332,'RAW_농산물_7월'!$A:$A,$E332),SUMIFS('RAW_농산물_8월'!$G:$G,'RAW_농산물_8월'!$D:$D,$C332,'RAW_농산물_8월'!$A:$A,$E332),SUMIFS('RAW_농산물_9월'!$G:$G,'RAW_농산물_9월'!$D:$D,$C332,'RAW_농산물_9월'!$A:$A,$E332),SUMIFS('RAW_농산물_10월'!$G:$G,'RAW_농산물_10월'!$D:$D,$C332,'RAW_농산물_10월'!$A:$A,$E332),SUMIFS('RAW_농산물_11-12월'!$G:$G,'RAW_농산물_11-12월'!$D:$D,$C332,'RAW_농산물_11-12월'!$A:$A,$E332))))</f>
        <v/>
      </c>
      <c r="H332" s="14" t="str">
        <f>IF($C332="","",IF('설정'!$B$3=0,"",CHOOSE('설정'!$B$3,SUMIFS('RAW_농산물_7월'!$H:$H,'RAW_농산물_7월'!$D:$D,$C332,'RAW_농산물_7월'!$A:$A,$E332),SUMIFS('RAW_농산물_8월'!$H:$H,'RAW_농산물_8월'!$D:$D,$C332,'RAW_농산물_8월'!$A:$A,$E332),SUMIFS('RAW_농산물_9월'!$H:$H,'RAW_농산물_9월'!$D:$D,$C332,'RAW_농산물_9월'!$A:$A,$E332),SUMIFS('RAW_농산물_10월'!$H:$H,'RAW_농산물_10월'!$D:$D,$C332,'RAW_농산물_10월'!$A:$A,$E332),SUMIFS('RAW_농산물_11-12월'!$H:$H,'RAW_농산물_11-12월'!$D:$D,$C332,'RAW_농산물_11-12월'!$A:$A,$E332))))</f>
        <v/>
      </c>
      <c r="I332" s="17" t="str">
        <f>IF($C332="","",IF(COUNTIFS('RAW_농산물_7월'!$D:$D,$C332,'RAW_농산물_7월'!$A:$A,$E332)&gt;0,"O",""))</f>
        <v/>
      </c>
      <c r="J332" s="17" t="str">
        <f>IF($C332="","",IF(COUNTIFS('RAW_농산물_8월'!$D:$D,$C332,'RAW_농산물_8월'!$A:$A,$E332)&gt;0,"O",""))</f>
        <v/>
      </c>
      <c r="K332" s="17" t="str">
        <f>IF($C332="","",IF(COUNTIFS('RAW_농산물_9월'!$D:$D,$C332,'RAW_농산물_9월'!$A:$A,$E332)&gt;0,"O",""))</f>
        <v/>
      </c>
      <c r="L332" s="17" t="str">
        <f>IF($C332="","",IF(COUNTIFS('RAW_농산물_10월'!$D:$D,$C332,'RAW_농산물_10월'!$A:$A,$E332)&gt;0,"O",""))</f>
        <v/>
      </c>
      <c r="M332" s="17" t="str">
        <f>IF($C332="","",IF(COUNTIFS('RAW_농산물_11-12월'!$D:$D,$C332,'RAW_농산물_11-12월'!$A:$A,$E332)&gt;0,"O",""))</f>
        <v/>
      </c>
      <c r="N332" s="7" t="str">
        <f>IF($C332="","",IF(COUNTA('RAW_농산물_7월'!$A:$A)&lt;=1,"",SUMIFS('RAW_농산물_7월'!$H:$H,'RAW_농산물_7월'!$D:$D,$C332,'RAW_농산물_7월'!$A:$A,$E332)))</f>
        <v/>
      </c>
      <c r="O332" s="7" t="str">
        <f>IF($C332="","",IF(COUNTA('RAW_농산물_8월'!$A:$A)&lt;=1,"",SUMIFS('RAW_농산물_8월'!$H:$H,'RAW_농산물_8월'!$D:$D,$C332,'RAW_농산물_8월'!$A:$A,$E332)-SUMIFS('RAW_농산물_7월'!$H:$H,'RAW_농산물_7월'!$D:$D,$C332,'RAW_농산물_7월'!$A:$A,$E332)))</f>
        <v/>
      </c>
      <c r="P332" s="7" t="str">
        <f>IF($C332="","",IF(COUNTA('RAW_농산물_9월'!$A:$A)&lt;=1,"",SUMIFS('RAW_농산물_9월'!$H:$H,'RAW_농산물_9월'!$D:$D,$C332,'RAW_농산물_9월'!$A:$A,$E332)-SUMIFS('RAW_농산물_8월'!$H:$H,'RAW_농산물_8월'!$D:$D,$C332,'RAW_농산물_8월'!$A:$A,$E332)))</f>
        <v/>
      </c>
      <c r="Q332" s="7" t="str">
        <f>IF($C332="","",IF(COUNTA('RAW_농산물_10월'!$A:$A)&lt;=1,"",SUMIFS('RAW_농산물_10월'!$H:$H,'RAW_농산물_10월'!$D:$D,$C332,'RAW_농산물_10월'!$A:$A,$E332)-SUMIFS('RAW_농산물_9월'!$H:$H,'RAW_농산물_9월'!$D:$D,$C332,'RAW_농산물_9월'!$A:$A,$E332)))</f>
        <v/>
      </c>
      <c r="R332" s="7" t="str">
        <f>IF($C332="","",IF(COUNTA('RAW_농산물_11-12월'!$A:$A)&lt;=1,"",SUMIFS('RAW_농산물_11-12월'!$H:$H,'RAW_농산물_11-12월'!$D:$D,$C332,'RAW_농산물_11-12월'!$A:$A,$E332)-SUMIFS('RAW_농산물_10월'!$H:$H,'RAW_농산물_10월'!$D:$D,$C332,'RAW_농산물_10월'!$A:$A,$E332)))</f>
        <v/>
      </c>
      <c r="S332" s="17" t="str">
        <f t="shared" si="4"/>
        <v/>
      </c>
      <c r="T332" s="17" t="str">
        <f t="shared" si="5"/>
        <v/>
      </c>
      <c r="U332" s="7">
        <f>IF($C332="",0,IF('설정'!$B$3=0,0,CHOOSE('설정'!$B$3,COUNTIFS('RAW_농산물_7월'!$D:$D,$C332,'RAW_농산물_7월'!$A:$A,$E332),COUNTIFS('RAW_농산물_8월'!$D:$D,$C332,'RAW_농산물_8월'!$A:$A,$E332),COUNTIFS('RAW_농산물_9월'!$D:$D,$C332,'RAW_농산물_9월'!$A:$A,$E332),COUNTIFS('RAW_농산물_10월'!$D:$D,$C332,'RAW_농산물_10월'!$A:$A,$E332),COUNTIFS('RAW_농산물_11-12월'!$D:$D,$C332,'RAW_농산물_11-12월'!$A:$A,$E332))))</f>
        <v>0</v>
      </c>
    </row>
    <row r="333" ht="15.75" customHeight="1">
      <c r="A333" s="5"/>
      <c r="B333" s="5"/>
      <c r="C333" s="5"/>
      <c r="D333" s="6"/>
      <c r="E333" s="5"/>
      <c r="F333" s="7" t="str">
        <f>IF($C333="","",IF('설정'!$B$3=0,"",CHOOSE('설정'!$B$3,SUMIFS('RAW_농산물_7월'!$F:$F,'RAW_농산물_7월'!$D:$D,$C333,'RAW_농산물_7월'!$A:$A,$E333),SUMIFS('RAW_농산물_8월'!$F:$F,'RAW_농산물_8월'!$D:$D,$C333,'RAW_농산물_8월'!$A:$A,$E333),SUMIFS('RAW_농산물_9월'!$F:$F,'RAW_농산물_9월'!$D:$D,$C333,'RAW_농산물_9월'!$A:$A,$E333),SUMIFS('RAW_농산물_10월'!$F:$F,'RAW_농산물_10월'!$D:$D,$C333,'RAW_농산물_10월'!$A:$A,$E333),SUMIFS('RAW_농산물_11-12월'!$F:$F,'RAW_농산물_11-12월'!$D:$D,$C333,'RAW_농산물_11-12월'!$A:$A,$E333))))</f>
        <v/>
      </c>
      <c r="G333" s="7" t="str">
        <f>IF($C333="","",IF('설정'!$B$3=0,"",CHOOSE('설정'!$B$3,SUMIFS('RAW_농산물_7월'!$G:$G,'RAW_농산물_7월'!$D:$D,$C333,'RAW_농산물_7월'!$A:$A,$E333),SUMIFS('RAW_농산물_8월'!$G:$G,'RAW_농산물_8월'!$D:$D,$C333,'RAW_농산물_8월'!$A:$A,$E333),SUMIFS('RAW_농산물_9월'!$G:$G,'RAW_농산물_9월'!$D:$D,$C333,'RAW_농산물_9월'!$A:$A,$E333),SUMIFS('RAW_농산물_10월'!$G:$G,'RAW_농산물_10월'!$D:$D,$C333,'RAW_농산물_10월'!$A:$A,$E333),SUMIFS('RAW_농산물_11-12월'!$G:$G,'RAW_농산물_11-12월'!$D:$D,$C333,'RAW_농산물_11-12월'!$A:$A,$E333))))</f>
        <v/>
      </c>
      <c r="H333" s="14" t="str">
        <f>IF($C333="","",IF('설정'!$B$3=0,"",CHOOSE('설정'!$B$3,SUMIFS('RAW_농산물_7월'!$H:$H,'RAW_농산물_7월'!$D:$D,$C333,'RAW_농산물_7월'!$A:$A,$E333),SUMIFS('RAW_농산물_8월'!$H:$H,'RAW_농산물_8월'!$D:$D,$C333,'RAW_농산물_8월'!$A:$A,$E333),SUMIFS('RAW_농산물_9월'!$H:$H,'RAW_농산물_9월'!$D:$D,$C333,'RAW_농산물_9월'!$A:$A,$E333),SUMIFS('RAW_농산물_10월'!$H:$H,'RAW_농산물_10월'!$D:$D,$C333,'RAW_농산물_10월'!$A:$A,$E333),SUMIFS('RAW_농산물_11-12월'!$H:$H,'RAW_농산물_11-12월'!$D:$D,$C333,'RAW_농산물_11-12월'!$A:$A,$E333))))</f>
        <v/>
      </c>
      <c r="I333" s="17" t="str">
        <f>IF($C333="","",IF(COUNTIFS('RAW_농산물_7월'!$D:$D,$C333,'RAW_농산물_7월'!$A:$A,$E333)&gt;0,"O",""))</f>
        <v/>
      </c>
      <c r="J333" s="17" t="str">
        <f>IF($C333="","",IF(COUNTIFS('RAW_농산물_8월'!$D:$D,$C333,'RAW_농산물_8월'!$A:$A,$E333)&gt;0,"O",""))</f>
        <v/>
      </c>
      <c r="K333" s="17" t="str">
        <f>IF($C333="","",IF(COUNTIFS('RAW_농산물_9월'!$D:$D,$C333,'RAW_농산물_9월'!$A:$A,$E333)&gt;0,"O",""))</f>
        <v/>
      </c>
      <c r="L333" s="17" t="str">
        <f>IF($C333="","",IF(COUNTIFS('RAW_농산물_10월'!$D:$D,$C333,'RAW_농산물_10월'!$A:$A,$E333)&gt;0,"O",""))</f>
        <v/>
      </c>
      <c r="M333" s="17" t="str">
        <f>IF($C333="","",IF(COUNTIFS('RAW_농산물_11-12월'!$D:$D,$C333,'RAW_농산물_11-12월'!$A:$A,$E333)&gt;0,"O",""))</f>
        <v/>
      </c>
      <c r="N333" s="7" t="str">
        <f>IF($C333="","",IF(COUNTA('RAW_농산물_7월'!$A:$A)&lt;=1,"",SUMIFS('RAW_농산물_7월'!$H:$H,'RAW_농산물_7월'!$D:$D,$C333,'RAW_농산물_7월'!$A:$A,$E333)))</f>
        <v/>
      </c>
      <c r="O333" s="7" t="str">
        <f>IF($C333="","",IF(COUNTA('RAW_농산물_8월'!$A:$A)&lt;=1,"",SUMIFS('RAW_농산물_8월'!$H:$H,'RAW_농산물_8월'!$D:$D,$C333,'RAW_농산물_8월'!$A:$A,$E333)-SUMIFS('RAW_농산물_7월'!$H:$H,'RAW_농산물_7월'!$D:$D,$C333,'RAW_농산물_7월'!$A:$A,$E333)))</f>
        <v/>
      </c>
      <c r="P333" s="7" t="str">
        <f>IF($C333="","",IF(COUNTA('RAW_농산물_9월'!$A:$A)&lt;=1,"",SUMIFS('RAW_농산물_9월'!$H:$H,'RAW_농산물_9월'!$D:$D,$C333,'RAW_농산물_9월'!$A:$A,$E333)-SUMIFS('RAW_농산물_8월'!$H:$H,'RAW_농산물_8월'!$D:$D,$C333,'RAW_농산물_8월'!$A:$A,$E333)))</f>
        <v/>
      </c>
      <c r="Q333" s="7" t="str">
        <f>IF($C333="","",IF(COUNTA('RAW_농산물_10월'!$A:$A)&lt;=1,"",SUMIFS('RAW_농산물_10월'!$H:$H,'RAW_농산물_10월'!$D:$D,$C333,'RAW_농산물_10월'!$A:$A,$E333)-SUMIFS('RAW_농산물_9월'!$H:$H,'RAW_농산물_9월'!$D:$D,$C333,'RAW_농산물_9월'!$A:$A,$E333)))</f>
        <v/>
      </c>
      <c r="R333" s="7" t="str">
        <f>IF($C333="","",IF(COUNTA('RAW_농산물_11-12월'!$A:$A)&lt;=1,"",SUMIFS('RAW_농산물_11-12월'!$H:$H,'RAW_농산물_11-12월'!$D:$D,$C333,'RAW_농산물_11-12월'!$A:$A,$E333)-SUMIFS('RAW_농산물_10월'!$H:$H,'RAW_농산물_10월'!$D:$D,$C333,'RAW_농산물_10월'!$A:$A,$E333)))</f>
        <v/>
      </c>
      <c r="S333" s="17" t="str">
        <f t="shared" si="4"/>
        <v/>
      </c>
      <c r="T333" s="17" t="str">
        <f t="shared" si="5"/>
        <v/>
      </c>
      <c r="U333" s="7">
        <f>IF($C333="",0,IF('설정'!$B$3=0,0,CHOOSE('설정'!$B$3,COUNTIFS('RAW_농산물_7월'!$D:$D,$C333,'RAW_농산물_7월'!$A:$A,$E333),COUNTIFS('RAW_농산물_8월'!$D:$D,$C333,'RAW_농산물_8월'!$A:$A,$E333),COUNTIFS('RAW_농산물_9월'!$D:$D,$C333,'RAW_농산물_9월'!$A:$A,$E333),COUNTIFS('RAW_농산물_10월'!$D:$D,$C333,'RAW_농산물_10월'!$A:$A,$E333),COUNTIFS('RAW_농산물_11-12월'!$D:$D,$C333,'RAW_농산물_11-12월'!$A:$A,$E333))))</f>
        <v>0</v>
      </c>
    </row>
    <row r="334" ht="15.75" customHeight="1">
      <c r="A334" s="5"/>
      <c r="B334" s="5"/>
      <c r="C334" s="5"/>
      <c r="D334" s="6"/>
      <c r="E334" s="5"/>
      <c r="F334" s="7" t="str">
        <f>IF($C334="","",IF('설정'!$B$3=0,"",CHOOSE('설정'!$B$3,SUMIFS('RAW_농산물_7월'!$F:$F,'RAW_농산물_7월'!$D:$D,$C334,'RAW_농산물_7월'!$A:$A,$E334),SUMIFS('RAW_농산물_8월'!$F:$F,'RAW_농산물_8월'!$D:$D,$C334,'RAW_농산물_8월'!$A:$A,$E334),SUMIFS('RAW_농산물_9월'!$F:$F,'RAW_농산물_9월'!$D:$D,$C334,'RAW_농산물_9월'!$A:$A,$E334),SUMIFS('RAW_농산물_10월'!$F:$F,'RAW_농산물_10월'!$D:$D,$C334,'RAW_농산물_10월'!$A:$A,$E334),SUMIFS('RAW_농산물_11-12월'!$F:$F,'RAW_농산물_11-12월'!$D:$D,$C334,'RAW_농산물_11-12월'!$A:$A,$E334))))</f>
        <v/>
      </c>
      <c r="G334" s="7" t="str">
        <f>IF($C334="","",IF('설정'!$B$3=0,"",CHOOSE('설정'!$B$3,SUMIFS('RAW_농산물_7월'!$G:$G,'RAW_농산물_7월'!$D:$D,$C334,'RAW_농산물_7월'!$A:$A,$E334),SUMIFS('RAW_농산물_8월'!$G:$G,'RAW_농산물_8월'!$D:$D,$C334,'RAW_농산물_8월'!$A:$A,$E334),SUMIFS('RAW_농산물_9월'!$G:$G,'RAW_농산물_9월'!$D:$D,$C334,'RAW_농산물_9월'!$A:$A,$E334),SUMIFS('RAW_농산물_10월'!$G:$G,'RAW_농산물_10월'!$D:$D,$C334,'RAW_농산물_10월'!$A:$A,$E334),SUMIFS('RAW_농산물_11-12월'!$G:$G,'RAW_농산물_11-12월'!$D:$D,$C334,'RAW_농산물_11-12월'!$A:$A,$E334))))</f>
        <v/>
      </c>
      <c r="H334" s="14" t="str">
        <f>IF($C334="","",IF('설정'!$B$3=0,"",CHOOSE('설정'!$B$3,SUMIFS('RAW_농산물_7월'!$H:$H,'RAW_농산물_7월'!$D:$D,$C334,'RAW_농산물_7월'!$A:$A,$E334),SUMIFS('RAW_농산물_8월'!$H:$H,'RAW_농산물_8월'!$D:$D,$C334,'RAW_농산물_8월'!$A:$A,$E334),SUMIFS('RAW_농산물_9월'!$H:$H,'RAW_농산물_9월'!$D:$D,$C334,'RAW_농산물_9월'!$A:$A,$E334),SUMIFS('RAW_농산물_10월'!$H:$H,'RAW_농산물_10월'!$D:$D,$C334,'RAW_농산물_10월'!$A:$A,$E334),SUMIFS('RAW_농산물_11-12월'!$H:$H,'RAW_농산물_11-12월'!$D:$D,$C334,'RAW_농산물_11-12월'!$A:$A,$E334))))</f>
        <v/>
      </c>
      <c r="I334" s="17" t="str">
        <f>IF($C334="","",IF(COUNTIFS('RAW_농산물_7월'!$D:$D,$C334,'RAW_농산물_7월'!$A:$A,$E334)&gt;0,"O",""))</f>
        <v/>
      </c>
      <c r="J334" s="17" t="str">
        <f>IF($C334="","",IF(COUNTIFS('RAW_농산물_8월'!$D:$D,$C334,'RAW_농산물_8월'!$A:$A,$E334)&gt;0,"O",""))</f>
        <v/>
      </c>
      <c r="K334" s="17" t="str">
        <f>IF($C334="","",IF(COUNTIFS('RAW_농산물_9월'!$D:$D,$C334,'RAW_농산물_9월'!$A:$A,$E334)&gt;0,"O",""))</f>
        <v/>
      </c>
      <c r="L334" s="17" t="str">
        <f>IF($C334="","",IF(COUNTIFS('RAW_농산물_10월'!$D:$D,$C334,'RAW_농산물_10월'!$A:$A,$E334)&gt;0,"O",""))</f>
        <v/>
      </c>
      <c r="M334" s="17" t="str">
        <f>IF($C334="","",IF(COUNTIFS('RAW_농산물_11-12월'!$D:$D,$C334,'RAW_농산물_11-12월'!$A:$A,$E334)&gt;0,"O",""))</f>
        <v/>
      </c>
      <c r="N334" s="7" t="str">
        <f>IF($C334="","",IF(COUNTA('RAW_농산물_7월'!$A:$A)&lt;=1,"",SUMIFS('RAW_농산물_7월'!$H:$H,'RAW_농산물_7월'!$D:$D,$C334,'RAW_농산물_7월'!$A:$A,$E334)))</f>
        <v/>
      </c>
      <c r="O334" s="7" t="str">
        <f>IF($C334="","",IF(COUNTA('RAW_농산물_8월'!$A:$A)&lt;=1,"",SUMIFS('RAW_농산물_8월'!$H:$H,'RAW_농산물_8월'!$D:$D,$C334,'RAW_농산물_8월'!$A:$A,$E334)-SUMIFS('RAW_농산물_7월'!$H:$H,'RAW_농산물_7월'!$D:$D,$C334,'RAW_농산물_7월'!$A:$A,$E334)))</f>
        <v/>
      </c>
      <c r="P334" s="7" t="str">
        <f>IF($C334="","",IF(COUNTA('RAW_농산물_9월'!$A:$A)&lt;=1,"",SUMIFS('RAW_농산물_9월'!$H:$H,'RAW_농산물_9월'!$D:$D,$C334,'RAW_농산물_9월'!$A:$A,$E334)-SUMIFS('RAW_농산물_8월'!$H:$H,'RAW_농산물_8월'!$D:$D,$C334,'RAW_농산물_8월'!$A:$A,$E334)))</f>
        <v/>
      </c>
      <c r="Q334" s="7" t="str">
        <f>IF($C334="","",IF(COUNTA('RAW_농산물_10월'!$A:$A)&lt;=1,"",SUMIFS('RAW_농산물_10월'!$H:$H,'RAW_농산물_10월'!$D:$D,$C334,'RAW_농산물_10월'!$A:$A,$E334)-SUMIFS('RAW_농산물_9월'!$H:$H,'RAW_농산물_9월'!$D:$D,$C334,'RAW_농산물_9월'!$A:$A,$E334)))</f>
        <v/>
      </c>
      <c r="R334" s="7" t="str">
        <f>IF($C334="","",IF(COUNTA('RAW_농산물_11-12월'!$A:$A)&lt;=1,"",SUMIFS('RAW_농산물_11-12월'!$H:$H,'RAW_농산물_11-12월'!$D:$D,$C334,'RAW_농산물_11-12월'!$A:$A,$E334)-SUMIFS('RAW_농산물_10월'!$H:$H,'RAW_농산물_10월'!$D:$D,$C334,'RAW_농산물_10월'!$A:$A,$E334)))</f>
        <v/>
      </c>
      <c r="S334" s="17" t="str">
        <f t="shared" si="4"/>
        <v/>
      </c>
      <c r="T334" s="17" t="str">
        <f t="shared" si="5"/>
        <v/>
      </c>
      <c r="U334" s="7">
        <f>IF($C334="",0,IF('설정'!$B$3=0,0,CHOOSE('설정'!$B$3,COUNTIFS('RAW_농산물_7월'!$D:$D,$C334,'RAW_농산물_7월'!$A:$A,$E334),COUNTIFS('RAW_농산물_8월'!$D:$D,$C334,'RAW_농산물_8월'!$A:$A,$E334),COUNTIFS('RAW_농산물_9월'!$D:$D,$C334,'RAW_농산물_9월'!$A:$A,$E334),COUNTIFS('RAW_농산물_10월'!$D:$D,$C334,'RAW_농산물_10월'!$A:$A,$E334),COUNTIFS('RAW_농산물_11-12월'!$D:$D,$C334,'RAW_농산물_11-12월'!$A:$A,$E334))))</f>
        <v>0</v>
      </c>
    </row>
    <row r="335" ht="15.75" customHeight="1">
      <c r="A335" s="5"/>
      <c r="B335" s="5"/>
      <c r="C335" s="5"/>
      <c r="D335" s="6"/>
      <c r="E335" s="5"/>
      <c r="F335" s="7" t="str">
        <f>IF($C335="","",IF('설정'!$B$3=0,"",CHOOSE('설정'!$B$3,SUMIFS('RAW_농산물_7월'!$F:$F,'RAW_농산물_7월'!$D:$D,$C335,'RAW_농산물_7월'!$A:$A,$E335),SUMIFS('RAW_농산물_8월'!$F:$F,'RAW_농산물_8월'!$D:$D,$C335,'RAW_농산물_8월'!$A:$A,$E335),SUMIFS('RAW_농산물_9월'!$F:$F,'RAW_농산물_9월'!$D:$D,$C335,'RAW_농산물_9월'!$A:$A,$E335),SUMIFS('RAW_농산물_10월'!$F:$F,'RAW_농산물_10월'!$D:$D,$C335,'RAW_농산물_10월'!$A:$A,$E335),SUMIFS('RAW_농산물_11-12월'!$F:$F,'RAW_농산물_11-12월'!$D:$D,$C335,'RAW_농산물_11-12월'!$A:$A,$E335))))</f>
        <v/>
      </c>
      <c r="G335" s="7" t="str">
        <f>IF($C335="","",IF('설정'!$B$3=0,"",CHOOSE('설정'!$B$3,SUMIFS('RAW_농산물_7월'!$G:$G,'RAW_농산물_7월'!$D:$D,$C335,'RAW_농산물_7월'!$A:$A,$E335),SUMIFS('RAW_농산물_8월'!$G:$G,'RAW_농산물_8월'!$D:$D,$C335,'RAW_농산물_8월'!$A:$A,$E335),SUMIFS('RAW_농산물_9월'!$G:$G,'RAW_농산물_9월'!$D:$D,$C335,'RAW_농산물_9월'!$A:$A,$E335),SUMIFS('RAW_농산물_10월'!$G:$G,'RAW_농산물_10월'!$D:$D,$C335,'RAW_농산물_10월'!$A:$A,$E335),SUMIFS('RAW_농산물_11-12월'!$G:$G,'RAW_농산물_11-12월'!$D:$D,$C335,'RAW_농산물_11-12월'!$A:$A,$E335))))</f>
        <v/>
      </c>
      <c r="H335" s="14" t="str">
        <f>IF($C335="","",IF('설정'!$B$3=0,"",CHOOSE('설정'!$B$3,SUMIFS('RAW_농산물_7월'!$H:$H,'RAW_농산물_7월'!$D:$D,$C335,'RAW_농산물_7월'!$A:$A,$E335),SUMIFS('RAW_농산물_8월'!$H:$H,'RAW_농산물_8월'!$D:$D,$C335,'RAW_농산물_8월'!$A:$A,$E335),SUMIFS('RAW_농산물_9월'!$H:$H,'RAW_농산물_9월'!$D:$D,$C335,'RAW_농산물_9월'!$A:$A,$E335),SUMIFS('RAW_농산물_10월'!$H:$H,'RAW_농산물_10월'!$D:$D,$C335,'RAW_농산물_10월'!$A:$A,$E335),SUMIFS('RAW_농산물_11-12월'!$H:$H,'RAW_농산물_11-12월'!$D:$D,$C335,'RAW_농산물_11-12월'!$A:$A,$E335))))</f>
        <v/>
      </c>
      <c r="I335" s="17" t="str">
        <f>IF($C335="","",IF(COUNTIFS('RAW_농산물_7월'!$D:$D,$C335,'RAW_농산물_7월'!$A:$A,$E335)&gt;0,"O",""))</f>
        <v/>
      </c>
      <c r="J335" s="17" t="str">
        <f>IF($C335="","",IF(COUNTIFS('RAW_농산물_8월'!$D:$D,$C335,'RAW_농산물_8월'!$A:$A,$E335)&gt;0,"O",""))</f>
        <v/>
      </c>
      <c r="K335" s="17" t="str">
        <f>IF($C335="","",IF(COUNTIFS('RAW_농산물_9월'!$D:$D,$C335,'RAW_농산물_9월'!$A:$A,$E335)&gt;0,"O",""))</f>
        <v/>
      </c>
      <c r="L335" s="17" t="str">
        <f>IF($C335="","",IF(COUNTIFS('RAW_농산물_10월'!$D:$D,$C335,'RAW_농산물_10월'!$A:$A,$E335)&gt;0,"O",""))</f>
        <v/>
      </c>
      <c r="M335" s="17" t="str">
        <f>IF($C335="","",IF(COUNTIFS('RAW_농산물_11-12월'!$D:$D,$C335,'RAW_농산물_11-12월'!$A:$A,$E335)&gt;0,"O",""))</f>
        <v/>
      </c>
      <c r="N335" s="7" t="str">
        <f>IF($C335="","",IF(COUNTA('RAW_농산물_7월'!$A:$A)&lt;=1,"",SUMIFS('RAW_농산물_7월'!$H:$H,'RAW_농산물_7월'!$D:$D,$C335,'RAW_농산물_7월'!$A:$A,$E335)))</f>
        <v/>
      </c>
      <c r="O335" s="7" t="str">
        <f>IF($C335="","",IF(COUNTA('RAW_농산물_8월'!$A:$A)&lt;=1,"",SUMIFS('RAW_농산물_8월'!$H:$H,'RAW_농산물_8월'!$D:$D,$C335,'RAW_농산물_8월'!$A:$A,$E335)-SUMIFS('RAW_농산물_7월'!$H:$H,'RAW_농산물_7월'!$D:$D,$C335,'RAW_농산물_7월'!$A:$A,$E335)))</f>
        <v/>
      </c>
      <c r="P335" s="7" t="str">
        <f>IF($C335="","",IF(COUNTA('RAW_농산물_9월'!$A:$A)&lt;=1,"",SUMIFS('RAW_농산물_9월'!$H:$H,'RAW_농산물_9월'!$D:$D,$C335,'RAW_농산물_9월'!$A:$A,$E335)-SUMIFS('RAW_농산물_8월'!$H:$H,'RAW_농산물_8월'!$D:$D,$C335,'RAW_농산물_8월'!$A:$A,$E335)))</f>
        <v/>
      </c>
      <c r="Q335" s="7" t="str">
        <f>IF($C335="","",IF(COUNTA('RAW_농산물_10월'!$A:$A)&lt;=1,"",SUMIFS('RAW_농산물_10월'!$H:$H,'RAW_농산물_10월'!$D:$D,$C335,'RAW_농산물_10월'!$A:$A,$E335)-SUMIFS('RAW_농산물_9월'!$H:$H,'RAW_농산물_9월'!$D:$D,$C335,'RAW_농산물_9월'!$A:$A,$E335)))</f>
        <v/>
      </c>
      <c r="R335" s="7" t="str">
        <f>IF($C335="","",IF(COUNTA('RAW_농산물_11-12월'!$A:$A)&lt;=1,"",SUMIFS('RAW_농산물_11-12월'!$H:$H,'RAW_농산물_11-12월'!$D:$D,$C335,'RAW_농산물_11-12월'!$A:$A,$E335)-SUMIFS('RAW_농산물_10월'!$H:$H,'RAW_농산물_10월'!$D:$D,$C335,'RAW_농산물_10월'!$A:$A,$E335)))</f>
        <v/>
      </c>
      <c r="S335" s="17" t="str">
        <f t="shared" si="4"/>
        <v/>
      </c>
      <c r="T335" s="17" t="str">
        <f t="shared" si="5"/>
        <v/>
      </c>
      <c r="U335" s="7">
        <f>IF($C335="",0,IF('설정'!$B$3=0,0,CHOOSE('설정'!$B$3,COUNTIFS('RAW_농산물_7월'!$D:$D,$C335,'RAW_농산물_7월'!$A:$A,$E335),COUNTIFS('RAW_농산물_8월'!$D:$D,$C335,'RAW_농산물_8월'!$A:$A,$E335),COUNTIFS('RAW_농산물_9월'!$D:$D,$C335,'RAW_농산물_9월'!$A:$A,$E335),COUNTIFS('RAW_농산물_10월'!$D:$D,$C335,'RAW_농산물_10월'!$A:$A,$E335),COUNTIFS('RAW_농산물_11-12월'!$D:$D,$C335,'RAW_농산물_11-12월'!$A:$A,$E335))))</f>
        <v>0</v>
      </c>
    </row>
    <row r="336" ht="15.75" customHeight="1">
      <c r="A336" s="5"/>
      <c r="B336" s="5"/>
      <c r="C336" s="5"/>
      <c r="D336" s="6"/>
      <c r="E336" s="5"/>
      <c r="F336" s="7" t="str">
        <f>IF($C336="","",IF('설정'!$B$3=0,"",CHOOSE('설정'!$B$3,SUMIFS('RAW_농산물_7월'!$F:$F,'RAW_농산물_7월'!$D:$D,$C336,'RAW_농산물_7월'!$A:$A,$E336),SUMIFS('RAW_농산물_8월'!$F:$F,'RAW_농산물_8월'!$D:$D,$C336,'RAW_농산물_8월'!$A:$A,$E336),SUMIFS('RAW_농산물_9월'!$F:$F,'RAW_농산물_9월'!$D:$D,$C336,'RAW_농산물_9월'!$A:$A,$E336),SUMIFS('RAW_농산물_10월'!$F:$F,'RAW_농산물_10월'!$D:$D,$C336,'RAW_농산물_10월'!$A:$A,$E336),SUMIFS('RAW_농산물_11-12월'!$F:$F,'RAW_농산물_11-12월'!$D:$D,$C336,'RAW_농산물_11-12월'!$A:$A,$E336))))</f>
        <v/>
      </c>
      <c r="G336" s="7" t="str">
        <f>IF($C336="","",IF('설정'!$B$3=0,"",CHOOSE('설정'!$B$3,SUMIFS('RAW_농산물_7월'!$G:$G,'RAW_농산물_7월'!$D:$D,$C336,'RAW_농산물_7월'!$A:$A,$E336),SUMIFS('RAW_농산물_8월'!$G:$G,'RAW_농산물_8월'!$D:$D,$C336,'RAW_농산물_8월'!$A:$A,$E336),SUMIFS('RAW_농산물_9월'!$G:$G,'RAW_농산물_9월'!$D:$D,$C336,'RAW_농산물_9월'!$A:$A,$E336),SUMIFS('RAW_농산물_10월'!$G:$G,'RAW_농산물_10월'!$D:$D,$C336,'RAW_농산물_10월'!$A:$A,$E336),SUMIFS('RAW_농산물_11-12월'!$G:$G,'RAW_농산물_11-12월'!$D:$D,$C336,'RAW_농산물_11-12월'!$A:$A,$E336))))</f>
        <v/>
      </c>
      <c r="H336" s="14" t="str">
        <f>IF($C336="","",IF('설정'!$B$3=0,"",CHOOSE('설정'!$B$3,SUMIFS('RAW_농산물_7월'!$H:$H,'RAW_농산물_7월'!$D:$D,$C336,'RAW_농산물_7월'!$A:$A,$E336),SUMIFS('RAW_농산물_8월'!$H:$H,'RAW_농산물_8월'!$D:$D,$C336,'RAW_농산물_8월'!$A:$A,$E336),SUMIFS('RAW_농산물_9월'!$H:$H,'RAW_농산물_9월'!$D:$D,$C336,'RAW_농산물_9월'!$A:$A,$E336),SUMIFS('RAW_농산물_10월'!$H:$H,'RAW_농산물_10월'!$D:$D,$C336,'RAW_농산물_10월'!$A:$A,$E336),SUMIFS('RAW_농산물_11-12월'!$H:$H,'RAW_농산물_11-12월'!$D:$D,$C336,'RAW_농산물_11-12월'!$A:$A,$E336))))</f>
        <v/>
      </c>
      <c r="I336" s="17" t="str">
        <f>IF($C336="","",IF(COUNTIFS('RAW_농산물_7월'!$D:$D,$C336,'RAW_농산물_7월'!$A:$A,$E336)&gt;0,"O",""))</f>
        <v/>
      </c>
      <c r="J336" s="17" t="str">
        <f>IF($C336="","",IF(COUNTIFS('RAW_농산물_8월'!$D:$D,$C336,'RAW_농산물_8월'!$A:$A,$E336)&gt;0,"O",""))</f>
        <v/>
      </c>
      <c r="K336" s="17" t="str">
        <f>IF($C336="","",IF(COUNTIFS('RAW_농산물_9월'!$D:$D,$C336,'RAW_농산물_9월'!$A:$A,$E336)&gt;0,"O",""))</f>
        <v/>
      </c>
      <c r="L336" s="17" t="str">
        <f>IF($C336="","",IF(COUNTIFS('RAW_농산물_10월'!$D:$D,$C336,'RAW_농산물_10월'!$A:$A,$E336)&gt;0,"O",""))</f>
        <v/>
      </c>
      <c r="M336" s="17" t="str">
        <f>IF($C336="","",IF(COUNTIFS('RAW_농산물_11-12월'!$D:$D,$C336,'RAW_농산물_11-12월'!$A:$A,$E336)&gt;0,"O",""))</f>
        <v/>
      </c>
      <c r="N336" s="7" t="str">
        <f>IF($C336="","",IF(COUNTA('RAW_농산물_7월'!$A:$A)&lt;=1,"",SUMIFS('RAW_농산물_7월'!$H:$H,'RAW_농산물_7월'!$D:$D,$C336,'RAW_농산물_7월'!$A:$A,$E336)))</f>
        <v/>
      </c>
      <c r="O336" s="7" t="str">
        <f>IF($C336="","",IF(COUNTA('RAW_농산물_8월'!$A:$A)&lt;=1,"",SUMIFS('RAW_농산물_8월'!$H:$H,'RAW_농산물_8월'!$D:$D,$C336,'RAW_농산물_8월'!$A:$A,$E336)-SUMIFS('RAW_농산물_7월'!$H:$H,'RAW_농산물_7월'!$D:$D,$C336,'RAW_농산물_7월'!$A:$A,$E336)))</f>
        <v/>
      </c>
      <c r="P336" s="7" t="str">
        <f>IF($C336="","",IF(COUNTA('RAW_농산물_9월'!$A:$A)&lt;=1,"",SUMIFS('RAW_농산물_9월'!$H:$H,'RAW_농산물_9월'!$D:$D,$C336,'RAW_농산물_9월'!$A:$A,$E336)-SUMIFS('RAW_농산물_8월'!$H:$H,'RAW_농산물_8월'!$D:$D,$C336,'RAW_농산물_8월'!$A:$A,$E336)))</f>
        <v/>
      </c>
      <c r="Q336" s="7" t="str">
        <f>IF($C336="","",IF(COUNTA('RAW_농산물_10월'!$A:$A)&lt;=1,"",SUMIFS('RAW_농산물_10월'!$H:$H,'RAW_농산물_10월'!$D:$D,$C336,'RAW_농산물_10월'!$A:$A,$E336)-SUMIFS('RAW_농산물_9월'!$H:$H,'RAW_농산물_9월'!$D:$D,$C336,'RAW_농산물_9월'!$A:$A,$E336)))</f>
        <v/>
      </c>
      <c r="R336" s="7" t="str">
        <f>IF($C336="","",IF(COUNTA('RAW_농산물_11-12월'!$A:$A)&lt;=1,"",SUMIFS('RAW_농산물_11-12월'!$H:$H,'RAW_농산물_11-12월'!$D:$D,$C336,'RAW_농산물_11-12월'!$A:$A,$E336)-SUMIFS('RAW_농산물_10월'!$H:$H,'RAW_농산물_10월'!$D:$D,$C336,'RAW_농산물_10월'!$A:$A,$E336)))</f>
        <v/>
      </c>
      <c r="S336" s="17" t="str">
        <f t="shared" si="4"/>
        <v/>
      </c>
      <c r="T336" s="17" t="str">
        <f t="shared" si="5"/>
        <v/>
      </c>
      <c r="U336" s="7">
        <f>IF($C336="",0,IF('설정'!$B$3=0,0,CHOOSE('설정'!$B$3,COUNTIFS('RAW_농산물_7월'!$D:$D,$C336,'RAW_농산물_7월'!$A:$A,$E336),COUNTIFS('RAW_농산물_8월'!$D:$D,$C336,'RAW_농산물_8월'!$A:$A,$E336),COUNTIFS('RAW_농산물_9월'!$D:$D,$C336,'RAW_농산물_9월'!$A:$A,$E336),COUNTIFS('RAW_농산물_10월'!$D:$D,$C336,'RAW_농산물_10월'!$A:$A,$E336),COUNTIFS('RAW_농산물_11-12월'!$D:$D,$C336,'RAW_농산물_11-12월'!$A:$A,$E336))))</f>
        <v>0</v>
      </c>
    </row>
    <row r="337" ht="15.75" customHeight="1">
      <c r="A337" s="5"/>
      <c r="B337" s="5"/>
      <c r="C337" s="5"/>
      <c r="D337" s="6"/>
      <c r="E337" s="5"/>
      <c r="F337" s="7" t="str">
        <f>IF($C337="","",IF('설정'!$B$3=0,"",CHOOSE('설정'!$B$3,SUMIFS('RAW_농산물_7월'!$F:$F,'RAW_농산물_7월'!$D:$D,$C337,'RAW_농산물_7월'!$A:$A,$E337),SUMIFS('RAW_농산물_8월'!$F:$F,'RAW_농산물_8월'!$D:$D,$C337,'RAW_농산물_8월'!$A:$A,$E337),SUMIFS('RAW_농산물_9월'!$F:$F,'RAW_농산물_9월'!$D:$D,$C337,'RAW_농산물_9월'!$A:$A,$E337),SUMIFS('RAW_농산물_10월'!$F:$F,'RAW_농산물_10월'!$D:$D,$C337,'RAW_농산물_10월'!$A:$A,$E337),SUMIFS('RAW_농산물_11-12월'!$F:$F,'RAW_농산물_11-12월'!$D:$D,$C337,'RAW_농산물_11-12월'!$A:$A,$E337))))</f>
        <v/>
      </c>
      <c r="G337" s="7" t="str">
        <f>IF($C337="","",IF('설정'!$B$3=0,"",CHOOSE('설정'!$B$3,SUMIFS('RAW_농산물_7월'!$G:$G,'RAW_농산물_7월'!$D:$D,$C337,'RAW_농산물_7월'!$A:$A,$E337),SUMIFS('RAW_농산물_8월'!$G:$G,'RAW_농산물_8월'!$D:$D,$C337,'RAW_농산물_8월'!$A:$A,$E337),SUMIFS('RAW_농산물_9월'!$G:$G,'RAW_농산물_9월'!$D:$D,$C337,'RAW_농산물_9월'!$A:$A,$E337),SUMIFS('RAW_농산물_10월'!$G:$G,'RAW_농산물_10월'!$D:$D,$C337,'RAW_농산물_10월'!$A:$A,$E337),SUMIFS('RAW_농산물_11-12월'!$G:$G,'RAW_농산물_11-12월'!$D:$D,$C337,'RAW_농산물_11-12월'!$A:$A,$E337))))</f>
        <v/>
      </c>
      <c r="H337" s="14" t="str">
        <f>IF($C337="","",IF('설정'!$B$3=0,"",CHOOSE('설정'!$B$3,SUMIFS('RAW_농산물_7월'!$H:$H,'RAW_농산물_7월'!$D:$D,$C337,'RAW_농산물_7월'!$A:$A,$E337),SUMIFS('RAW_농산물_8월'!$H:$H,'RAW_농산물_8월'!$D:$D,$C337,'RAW_농산물_8월'!$A:$A,$E337),SUMIFS('RAW_농산물_9월'!$H:$H,'RAW_농산물_9월'!$D:$D,$C337,'RAW_농산물_9월'!$A:$A,$E337),SUMIFS('RAW_농산물_10월'!$H:$H,'RAW_농산물_10월'!$D:$D,$C337,'RAW_농산물_10월'!$A:$A,$E337),SUMIFS('RAW_농산물_11-12월'!$H:$H,'RAW_농산물_11-12월'!$D:$D,$C337,'RAW_농산물_11-12월'!$A:$A,$E337))))</f>
        <v/>
      </c>
      <c r="I337" s="17" t="str">
        <f>IF($C337="","",IF(COUNTIFS('RAW_농산물_7월'!$D:$D,$C337,'RAW_농산물_7월'!$A:$A,$E337)&gt;0,"O",""))</f>
        <v/>
      </c>
      <c r="J337" s="17" t="str">
        <f>IF($C337="","",IF(COUNTIFS('RAW_농산물_8월'!$D:$D,$C337,'RAW_농산물_8월'!$A:$A,$E337)&gt;0,"O",""))</f>
        <v/>
      </c>
      <c r="K337" s="17" t="str">
        <f>IF($C337="","",IF(COUNTIFS('RAW_농산물_9월'!$D:$D,$C337,'RAW_농산물_9월'!$A:$A,$E337)&gt;0,"O",""))</f>
        <v/>
      </c>
      <c r="L337" s="17" t="str">
        <f>IF($C337="","",IF(COUNTIFS('RAW_농산물_10월'!$D:$D,$C337,'RAW_농산물_10월'!$A:$A,$E337)&gt;0,"O",""))</f>
        <v/>
      </c>
      <c r="M337" s="17" t="str">
        <f>IF($C337="","",IF(COUNTIFS('RAW_농산물_11-12월'!$D:$D,$C337,'RAW_농산물_11-12월'!$A:$A,$E337)&gt;0,"O",""))</f>
        <v/>
      </c>
      <c r="N337" s="7" t="str">
        <f>IF($C337="","",IF(COUNTA('RAW_농산물_7월'!$A:$A)&lt;=1,"",SUMIFS('RAW_농산물_7월'!$H:$H,'RAW_농산물_7월'!$D:$D,$C337,'RAW_농산물_7월'!$A:$A,$E337)))</f>
        <v/>
      </c>
      <c r="O337" s="7" t="str">
        <f>IF($C337="","",IF(COUNTA('RAW_농산물_8월'!$A:$A)&lt;=1,"",SUMIFS('RAW_농산물_8월'!$H:$H,'RAW_농산물_8월'!$D:$D,$C337,'RAW_농산물_8월'!$A:$A,$E337)-SUMIFS('RAW_농산물_7월'!$H:$H,'RAW_농산물_7월'!$D:$D,$C337,'RAW_농산물_7월'!$A:$A,$E337)))</f>
        <v/>
      </c>
      <c r="P337" s="7" t="str">
        <f>IF($C337="","",IF(COUNTA('RAW_농산물_9월'!$A:$A)&lt;=1,"",SUMIFS('RAW_농산물_9월'!$H:$H,'RAW_농산물_9월'!$D:$D,$C337,'RAW_농산물_9월'!$A:$A,$E337)-SUMIFS('RAW_농산물_8월'!$H:$H,'RAW_농산물_8월'!$D:$D,$C337,'RAW_농산물_8월'!$A:$A,$E337)))</f>
        <v/>
      </c>
      <c r="Q337" s="7" t="str">
        <f>IF($C337="","",IF(COUNTA('RAW_농산물_10월'!$A:$A)&lt;=1,"",SUMIFS('RAW_농산물_10월'!$H:$H,'RAW_농산물_10월'!$D:$D,$C337,'RAW_농산물_10월'!$A:$A,$E337)-SUMIFS('RAW_농산물_9월'!$H:$H,'RAW_농산물_9월'!$D:$D,$C337,'RAW_농산물_9월'!$A:$A,$E337)))</f>
        <v/>
      </c>
      <c r="R337" s="7" t="str">
        <f>IF($C337="","",IF(COUNTA('RAW_농산물_11-12월'!$A:$A)&lt;=1,"",SUMIFS('RAW_농산물_11-12월'!$H:$H,'RAW_농산물_11-12월'!$D:$D,$C337,'RAW_농산물_11-12월'!$A:$A,$E337)-SUMIFS('RAW_농산물_10월'!$H:$H,'RAW_농산물_10월'!$D:$D,$C337,'RAW_농산물_10월'!$A:$A,$E337)))</f>
        <v/>
      </c>
      <c r="S337" s="17" t="str">
        <f t="shared" si="4"/>
        <v/>
      </c>
      <c r="T337" s="17" t="str">
        <f t="shared" si="5"/>
        <v/>
      </c>
      <c r="U337" s="7">
        <f>IF($C337="",0,IF('설정'!$B$3=0,0,CHOOSE('설정'!$B$3,COUNTIFS('RAW_농산물_7월'!$D:$D,$C337,'RAW_농산물_7월'!$A:$A,$E337),COUNTIFS('RAW_농산물_8월'!$D:$D,$C337,'RAW_농산물_8월'!$A:$A,$E337),COUNTIFS('RAW_농산물_9월'!$D:$D,$C337,'RAW_농산물_9월'!$A:$A,$E337),COUNTIFS('RAW_농산물_10월'!$D:$D,$C337,'RAW_농산물_10월'!$A:$A,$E337),COUNTIFS('RAW_농산물_11-12월'!$D:$D,$C337,'RAW_농산물_11-12월'!$A:$A,$E337))))</f>
        <v>0</v>
      </c>
    </row>
    <row r="338" ht="15.75" customHeight="1">
      <c r="A338" s="5"/>
      <c r="B338" s="5"/>
      <c r="C338" s="5"/>
      <c r="D338" s="6"/>
      <c r="E338" s="5"/>
      <c r="F338" s="7" t="str">
        <f>IF($C338="","",IF('설정'!$B$3=0,"",CHOOSE('설정'!$B$3,SUMIFS('RAW_농산물_7월'!$F:$F,'RAW_농산물_7월'!$D:$D,$C338,'RAW_농산물_7월'!$A:$A,$E338),SUMIFS('RAW_농산물_8월'!$F:$F,'RAW_농산물_8월'!$D:$D,$C338,'RAW_농산물_8월'!$A:$A,$E338),SUMIFS('RAW_농산물_9월'!$F:$F,'RAW_농산물_9월'!$D:$D,$C338,'RAW_농산물_9월'!$A:$A,$E338),SUMIFS('RAW_농산물_10월'!$F:$F,'RAW_농산물_10월'!$D:$D,$C338,'RAW_농산물_10월'!$A:$A,$E338),SUMIFS('RAW_농산물_11-12월'!$F:$F,'RAW_농산물_11-12월'!$D:$D,$C338,'RAW_농산물_11-12월'!$A:$A,$E338))))</f>
        <v/>
      </c>
      <c r="G338" s="7" t="str">
        <f>IF($C338="","",IF('설정'!$B$3=0,"",CHOOSE('설정'!$B$3,SUMIFS('RAW_농산물_7월'!$G:$G,'RAW_농산물_7월'!$D:$D,$C338,'RAW_농산물_7월'!$A:$A,$E338),SUMIFS('RAW_농산물_8월'!$G:$G,'RAW_농산물_8월'!$D:$D,$C338,'RAW_농산물_8월'!$A:$A,$E338),SUMIFS('RAW_농산물_9월'!$G:$G,'RAW_농산물_9월'!$D:$D,$C338,'RAW_농산물_9월'!$A:$A,$E338),SUMIFS('RAW_농산물_10월'!$G:$G,'RAW_농산물_10월'!$D:$D,$C338,'RAW_농산물_10월'!$A:$A,$E338),SUMIFS('RAW_농산물_11-12월'!$G:$G,'RAW_농산물_11-12월'!$D:$D,$C338,'RAW_농산물_11-12월'!$A:$A,$E338))))</f>
        <v/>
      </c>
      <c r="H338" s="14" t="str">
        <f>IF($C338="","",IF('설정'!$B$3=0,"",CHOOSE('설정'!$B$3,SUMIFS('RAW_농산물_7월'!$H:$H,'RAW_농산물_7월'!$D:$D,$C338,'RAW_농산물_7월'!$A:$A,$E338),SUMIFS('RAW_농산물_8월'!$H:$H,'RAW_농산물_8월'!$D:$D,$C338,'RAW_농산물_8월'!$A:$A,$E338),SUMIFS('RAW_농산물_9월'!$H:$H,'RAW_농산물_9월'!$D:$D,$C338,'RAW_농산물_9월'!$A:$A,$E338),SUMIFS('RAW_농산물_10월'!$H:$H,'RAW_농산물_10월'!$D:$D,$C338,'RAW_농산물_10월'!$A:$A,$E338),SUMIFS('RAW_농산물_11-12월'!$H:$H,'RAW_농산물_11-12월'!$D:$D,$C338,'RAW_농산물_11-12월'!$A:$A,$E338))))</f>
        <v/>
      </c>
      <c r="I338" s="17" t="str">
        <f>IF($C338="","",IF(COUNTIFS('RAW_농산물_7월'!$D:$D,$C338,'RAW_농산물_7월'!$A:$A,$E338)&gt;0,"O",""))</f>
        <v/>
      </c>
      <c r="J338" s="17" t="str">
        <f>IF($C338="","",IF(COUNTIFS('RAW_농산물_8월'!$D:$D,$C338,'RAW_농산물_8월'!$A:$A,$E338)&gt;0,"O",""))</f>
        <v/>
      </c>
      <c r="K338" s="17" t="str">
        <f>IF($C338="","",IF(COUNTIFS('RAW_농산물_9월'!$D:$D,$C338,'RAW_농산물_9월'!$A:$A,$E338)&gt;0,"O",""))</f>
        <v/>
      </c>
      <c r="L338" s="17" t="str">
        <f>IF($C338="","",IF(COUNTIFS('RAW_농산물_10월'!$D:$D,$C338,'RAW_농산물_10월'!$A:$A,$E338)&gt;0,"O",""))</f>
        <v/>
      </c>
      <c r="M338" s="17" t="str">
        <f>IF($C338="","",IF(COUNTIFS('RAW_농산물_11-12월'!$D:$D,$C338,'RAW_농산물_11-12월'!$A:$A,$E338)&gt;0,"O",""))</f>
        <v/>
      </c>
      <c r="N338" s="7" t="str">
        <f>IF($C338="","",IF(COUNTA('RAW_농산물_7월'!$A:$A)&lt;=1,"",SUMIFS('RAW_농산물_7월'!$H:$H,'RAW_농산물_7월'!$D:$D,$C338,'RAW_농산물_7월'!$A:$A,$E338)))</f>
        <v/>
      </c>
      <c r="O338" s="7" t="str">
        <f>IF($C338="","",IF(COUNTA('RAW_농산물_8월'!$A:$A)&lt;=1,"",SUMIFS('RAW_농산물_8월'!$H:$H,'RAW_농산물_8월'!$D:$D,$C338,'RAW_농산물_8월'!$A:$A,$E338)-SUMIFS('RAW_농산물_7월'!$H:$H,'RAW_농산물_7월'!$D:$D,$C338,'RAW_농산물_7월'!$A:$A,$E338)))</f>
        <v/>
      </c>
      <c r="P338" s="7" t="str">
        <f>IF($C338="","",IF(COUNTA('RAW_농산물_9월'!$A:$A)&lt;=1,"",SUMIFS('RAW_농산물_9월'!$H:$H,'RAW_농산물_9월'!$D:$D,$C338,'RAW_농산물_9월'!$A:$A,$E338)-SUMIFS('RAW_농산물_8월'!$H:$H,'RAW_농산물_8월'!$D:$D,$C338,'RAW_농산물_8월'!$A:$A,$E338)))</f>
        <v/>
      </c>
      <c r="Q338" s="7" t="str">
        <f>IF($C338="","",IF(COUNTA('RAW_농산물_10월'!$A:$A)&lt;=1,"",SUMIFS('RAW_농산물_10월'!$H:$H,'RAW_농산물_10월'!$D:$D,$C338,'RAW_농산물_10월'!$A:$A,$E338)-SUMIFS('RAW_농산물_9월'!$H:$H,'RAW_농산물_9월'!$D:$D,$C338,'RAW_농산물_9월'!$A:$A,$E338)))</f>
        <v/>
      </c>
      <c r="R338" s="7" t="str">
        <f>IF($C338="","",IF(COUNTA('RAW_농산물_11-12월'!$A:$A)&lt;=1,"",SUMIFS('RAW_농산물_11-12월'!$H:$H,'RAW_농산물_11-12월'!$D:$D,$C338,'RAW_농산물_11-12월'!$A:$A,$E338)-SUMIFS('RAW_농산물_10월'!$H:$H,'RAW_농산물_10월'!$D:$D,$C338,'RAW_농산물_10월'!$A:$A,$E338)))</f>
        <v/>
      </c>
      <c r="S338" s="17" t="str">
        <f t="shared" si="4"/>
        <v/>
      </c>
      <c r="T338" s="17" t="str">
        <f t="shared" si="5"/>
        <v/>
      </c>
      <c r="U338" s="7">
        <f>IF($C338="",0,IF('설정'!$B$3=0,0,CHOOSE('설정'!$B$3,COUNTIFS('RAW_농산물_7월'!$D:$D,$C338,'RAW_농산물_7월'!$A:$A,$E338),COUNTIFS('RAW_농산물_8월'!$D:$D,$C338,'RAW_농산물_8월'!$A:$A,$E338),COUNTIFS('RAW_농산물_9월'!$D:$D,$C338,'RAW_농산물_9월'!$A:$A,$E338),COUNTIFS('RAW_농산물_10월'!$D:$D,$C338,'RAW_농산물_10월'!$A:$A,$E338),COUNTIFS('RAW_농산물_11-12월'!$D:$D,$C338,'RAW_농산물_11-12월'!$A:$A,$E338))))</f>
        <v>0</v>
      </c>
    </row>
    <row r="339" ht="15.75" customHeight="1">
      <c r="A339" s="5"/>
      <c r="B339" s="5"/>
      <c r="C339" s="5"/>
      <c r="D339" s="6"/>
      <c r="E339" s="5"/>
      <c r="F339" s="7" t="str">
        <f>IF($C339="","",IF('설정'!$B$3=0,"",CHOOSE('설정'!$B$3,SUMIFS('RAW_농산물_7월'!$F:$F,'RAW_농산물_7월'!$D:$D,$C339,'RAW_농산물_7월'!$A:$A,$E339),SUMIFS('RAW_농산물_8월'!$F:$F,'RAW_농산물_8월'!$D:$D,$C339,'RAW_농산물_8월'!$A:$A,$E339),SUMIFS('RAW_농산물_9월'!$F:$F,'RAW_농산물_9월'!$D:$D,$C339,'RAW_농산물_9월'!$A:$A,$E339),SUMIFS('RAW_농산물_10월'!$F:$F,'RAW_농산물_10월'!$D:$D,$C339,'RAW_농산물_10월'!$A:$A,$E339),SUMIFS('RAW_농산물_11-12월'!$F:$F,'RAW_농산물_11-12월'!$D:$D,$C339,'RAW_농산물_11-12월'!$A:$A,$E339))))</f>
        <v/>
      </c>
      <c r="G339" s="7" t="str">
        <f>IF($C339="","",IF('설정'!$B$3=0,"",CHOOSE('설정'!$B$3,SUMIFS('RAW_농산물_7월'!$G:$G,'RAW_농산물_7월'!$D:$D,$C339,'RAW_농산물_7월'!$A:$A,$E339),SUMIFS('RAW_농산물_8월'!$G:$G,'RAW_농산물_8월'!$D:$D,$C339,'RAW_농산물_8월'!$A:$A,$E339),SUMIFS('RAW_농산물_9월'!$G:$G,'RAW_농산물_9월'!$D:$D,$C339,'RAW_농산물_9월'!$A:$A,$E339),SUMIFS('RAW_농산물_10월'!$G:$G,'RAW_농산물_10월'!$D:$D,$C339,'RAW_농산물_10월'!$A:$A,$E339),SUMIFS('RAW_농산물_11-12월'!$G:$G,'RAW_농산물_11-12월'!$D:$D,$C339,'RAW_농산물_11-12월'!$A:$A,$E339))))</f>
        <v/>
      </c>
      <c r="H339" s="14" t="str">
        <f>IF($C339="","",IF('설정'!$B$3=0,"",CHOOSE('설정'!$B$3,SUMIFS('RAW_농산물_7월'!$H:$H,'RAW_농산물_7월'!$D:$D,$C339,'RAW_농산물_7월'!$A:$A,$E339),SUMIFS('RAW_농산물_8월'!$H:$H,'RAW_농산물_8월'!$D:$D,$C339,'RAW_농산물_8월'!$A:$A,$E339),SUMIFS('RAW_농산물_9월'!$H:$H,'RAW_농산물_9월'!$D:$D,$C339,'RAW_농산물_9월'!$A:$A,$E339),SUMIFS('RAW_농산물_10월'!$H:$H,'RAW_농산물_10월'!$D:$D,$C339,'RAW_농산물_10월'!$A:$A,$E339),SUMIFS('RAW_농산물_11-12월'!$H:$H,'RAW_농산물_11-12월'!$D:$D,$C339,'RAW_농산물_11-12월'!$A:$A,$E339))))</f>
        <v/>
      </c>
      <c r="I339" s="17" t="str">
        <f>IF($C339="","",IF(COUNTIFS('RAW_농산물_7월'!$D:$D,$C339,'RAW_농산물_7월'!$A:$A,$E339)&gt;0,"O",""))</f>
        <v/>
      </c>
      <c r="J339" s="17" t="str">
        <f>IF($C339="","",IF(COUNTIFS('RAW_농산물_8월'!$D:$D,$C339,'RAW_농산물_8월'!$A:$A,$E339)&gt;0,"O",""))</f>
        <v/>
      </c>
      <c r="K339" s="17" t="str">
        <f>IF($C339="","",IF(COUNTIFS('RAW_농산물_9월'!$D:$D,$C339,'RAW_농산물_9월'!$A:$A,$E339)&gt;0,"O",""))</f>
        <v/>
      </c>
      <c r="L339" s="17" t="str">
        <f>IF($C339="","",IF(COUNTIFS('RAW_농산물_10월'!$D:$D,$C339,'RAW_농산물_10월'!$A:$A,$E339)&gt;0,"O",""))</f>
        <v/>
      </c>
      <c r="M339" s="17" t="str">
        <f>IF($C339="","",IF(COUNTIFS('RAW_농산물_11-12월'!$D:$D,$C339,'RAW_농산물_11-12월'!$A:$A,$E339)&gt;0,"O",""))</f>
        <v/>
      </c>
      <c r="N339" s="7" t="str">
        <f>IF($C339="","",IF(COUNTA('RAW_농산물_7월'!$A:$A)&lt;=1,"",SUMIFS('RAW_농산물_7월'!$H:$H,'RAW_농산물_7월'!$D:$D,$C339,'RAW_농산물_7월'!$A:$A,$E339)))</f>
        <v/>
      </c>
      <c r="O339" s="7" t="str">
        <f>IF($C339="","",IF(COUNTA('RAW_농산물_8월'!$A:$A)&lt;=1,"",SUMIFS('RAW_농산물_8월'!$H:$H,'RAW_농산물_8월'!$D:$D,$C339,'RAW_농산물_8월'!$A:$A,$E339)-SUMIFS('RAW_농산물_7월'!$H:$H,'RAW_농산물_7월'!$D:$D,$C339,'RAW_농산물_7월'!$A:$A,$E339)))</f>
        <v/>
      </c>
      <c r="P339" s="7" t="str">
        <f>IF($C339="","",IF(COUNTA('RAW_농산물_9월'!$A:$A)&lt;=1,"",SUMIFS('RAW_농산물_9월'!$H:$H,'RAW_농산물_9월'!$D:$D,$C339,'RAW_농산물_9월'!$A:$A,$E339)-SUMIFS('RAW_농산물_8월'!$H:$H,'RAW_농산물_8월'!$D:$D,$C339,'RAW_농산물_8월'!$A:$A,$E339)))</f>
        <v/>
      </c>
      <c r="Q339" s="7" t="str">
        <f>IF($C339="","",IF(COUNTA('RAW_농산물_10월'!$A:$A)&lt;=1,"",SUMIFS('RAW_농산물_10월'!$H:$H,'RAW_농산물_10월'!$D:$D,$C339,'RAW_농산물_10월'!$A:$A,$E339)-SUMIFS('RAW_농산물_9월'!$H:$H,'RAW_농산물_9월'!$D:$D,$C339,'RAW_농산물_9월'!$A:$A,$E339)))</f>
        <v/>
      </c>
      <c r="R339" s="7" t="str">
        <f>IF($C339="","",IF(COUNTA('RAW_농산물_11-12월'!$A:$A)&lt;=1,"",SUMIFS('RAW_농산물_11-12월'!$H:$H,'RAW_농산물_11-12월'!$D:$D,$C339,'RAW_농산물_11-12월'!$A:$A,$E339)-SUMIFS('RAW_농산물_10월'!$H:$H,'RAW_농산물_10월'!$D:$D,$C339,'RAW_농산물_10월'!$A:$A,$E339)))</f>
        <v/>
      </c>
      <c r="S339" s="17" t="str">
        <f t="shared" si="4"/>
        <v/>
      </c>
      <c r="T339" s="17" t="str">
        <f t="shared" si="5"/>
        <v/>
      </c>
      <c r="U339" s="7">
        <f>IF($C339="",0,IF('설정'!$B$3=0,0,CHOOSE('설정'!$B$3,COUNTIFS('RAW_농산물_7월'!$D:$D,$C339,'RAW_농산물_7월'!$A:$A,$E339),COUNTIFS('RAW_농산물_8월'!$D:$D,$C339,'RAW_농산물_8월'!$A:$A,$E339),COUNTIFS('RAW_농산물_9월'!$D:$D,$C339,'RAW_농산물_9월'!$A:$A,$E339),COUNTIFS('RAW_농산물_10월'!$D:$D,$C339,'RAW_농산물_10월'!$A:$A,$E339),COUNTIFS('RAW_농산물_11-12월'!$D:$D,$C339,'RAW_농산물_11-12월'!$A:$A,$E339))))</f>
        <v>0</v>
      </c>
    </row>
    <row r="340" ht="15.75" customHeight="1">
      <c r="A340" s="5"/>
      <c r="B340" s="5"/>
      <c r="C340" s="5"/>
      <c r="D340" s="6"/>
      <c r="E340" s="5"/>
      <c r="F340" s="7" t="str">
        <f>IF($C340="","",IF('설정'!$B$3=0,"",CHOOSE('설정'!$B$3,SUMIFS('RAW_농산물_7월'!$F:$F,'RAW_농산물_7월'!$D:$D,$C340,'RAW_농산물_7월'!$A:$A,$E340),SUMIFS('RAW_농산물_8월'!$F:$F,'RAW_농산물_8월'!$D:$D,$C340,'RAW_농산물_8월'!$A:$A,$E340),SUMIFS('RAW_농산물_9월'!$F:$F,'RAW_농산물_9월'!$D:$D,$C340,'RAW_농산물_9월'!$A:$A,$E340),SUMIFS('RAW_농산물_10월'!$F:$F,'RAW_농산물_10월'!$D:$D,$C340,'RAW_농산물_10월'!$A:$A,$E340),SUMIFS('RAW_농산물_11-12월'!$F:$F,'RAW_농산물_11-12월'!$D:$D,$C340,'RAW_농산물_11-12월'!$A:$A,$E340))))</f>
        <v/>
      </c>
      <c r="G340" s="7" t="str">
        <f>IF($C340="","",IF('설정'!$B$3=0,"",CHOOSE('설정'!$B$3,SUMIFS('RAW_농산물_7월'!$G:$G,'RAW_농산물_7월'!$D:$D,$C340,'RAW_농산물_7월'!$A:$A,$E340),SUMIFS('RAW_농산물_8월'!$G:$G,'RAW_농산물_8월'!$D:$D,$C340,'RAW_농산물_8월'!$A:$A,$E340),SUMIFS('RAW_농산물_9월'!$G:$G,'RAW_농산물_9월'!$D:$D,$C340,'RAW_농산물_9월'!$A:$A,$E340),SUMIFS('RAW_농산물_10월'!$G:$G,'RAW_농산물_10월'!$D:$D,$C340,'RAW_농산물_10월'!$A:$A,$E340),SUMIFS('RAW_농산물_11-12월'!$G:$G,'RAW_농산물_11-12월'!$D:$D,$C340,'RAW_농산물_11-12월'!$A:$A,$E340))))</f>
        <v/>
      </c>
      <c r="H340" s="14" t="str">
        <f>IF($C340="","",IF('설정'!$B$3=0,"",CHOOSE('설정'!$B$3,SUMIFS('RAW_농산물_7월'!$H:$H,'RAW_농산물_7월'!$D:$D,$C340,'RAW_농산물_7월'!$A:$A,$E340),SUMIFS('RAW_농산물_8월'!$H:$H,'RAW_농산물_8월'!$D:$D,$C340,'RAW_농산물_8월'!$A:$A,$E340),SUMIFS('RAW_농산물_9월'!$H:$H,'RAW_농산물_9월'!$D:$D,$C340,'RAW_농산물_9월'!$A:$A,$E340),SUMIFS('RAW_농산물_10월'!$H:$H,'RAW_농산물_10월'!$D:$D,$C340,'RAW_농산물_10월'!$A:$A,$E340),SUMIFS('RAW_농산물_11-12월'!$H:$H,'RAW_농산물_11-12월'!$D:$D,$C340,'RAW_농산물_11-12월'!$A:$A,$E340))))</f>
        <v/>
      </c>
      <c r="I340" s="17" t="str">
        <f>IF($C340="","",IF(COUNTIFS('RAW_농산물_7월'!$D:$D,$C340,'RAW_농산물_7월'!$A:$A,$E340)&gt;0,"O",""))</f>
        <v/>
      </c>
      <c r="J340" s="17" t="str">
        <f>IF($C340="","",IF(COUNTIFS('RAW_농산물_8월'!$D:$D,$C340,'RAW_농산물_8월'!$A:$A,$E340)&gt;0,"O",""))</f>
        <v/>
      </c>
      <c r="K340" s="17" t="str">
        <f>IF($C340="","",IF(COUNTIFS('RAW_농산물_9월'!$D:$D,$C340,'RAW_농산물_9월'!$A:$A,$E340)&gt;0,"O",""))</f>
        <v/>
      </c>
      <c r="L340" s="17" t="str">
        <f>IF($C340="","",IF(COUNTIFS('RAW_농산물_10월'!$D:$D,$C340,'RAW_농산물_10월'!$A:$A,$E340)&gt;0,"O",""))</f>
        <v/>
      </c>
      <c r="M340" s="17" t="str">
        <f>IF($C340="","",IF(COUNTIFS('RAW_농산물_11-12월'!$D:$D,$C340,'RAW_농산물_11-12월'!$A:$A,$E340)&gt;0,"O",""))</f>
        <v/>
      </c>
      <c r="N340" s="7" t="str">
        <f>IF($C340="","",IF(COUNTA('RAW_농산물_7월'!$A:$A)&lt;=1,"",SUMIFS('RAW_농산물_7월'!$H:$H,'RAW_농산물_7월'!$D:$D,$C340,'RAW_농산물_7월'!$A:$A,$E340)))</f>
        <v/>
      </c>
      <c r="O340" s="7" t="str">
        <f>IF($C340="","",IF(COUNTA('RAW_농산물_8월'!$A:$A)&lt;=1,"",SUMIFS('RAW_농산물_8월'!$H:$H,'RAW_농산물_8월'!$D:$D,$C340,'RAW_농산물_8월'!$A:$A,$E340)-SUMIFS('RAW_농산물_7월'!$H:$H,'RAW_농산물_7월'!$D:$D,$C340,'RAW_농산물_7월'!$A:$A,$E340)))</f>
        <v/>
      </c>
      <c r="P340" s="7" t="str">
        <f>IF($C340="","",IF(COUNTA('RAW_농산물_9월'!$A:$A)&lt;=1,"",SUMIFS('RAW_농산물_9월'!$H:$H,'RAW_농산물_9월'!$D:$D,$C340,'RAW_농산물_9월'!$A:$A,$E340)-SUMIFS('RAW_농산물_8월'!$H:$H,'RAW_농산물_8월'!$D:$D,$C340,'RAW_농산물_8월'!$A:$A,$E340)))</f>
        <v/>
      </c>
      <c r="Q340" s="7" t="str">
        <f>IF($C340="","",IF(COUNTA('RAW_농산물_10월'!$A:$A)&lt;=1,"",SUMIFS('RAW_농산물_10월'!$H:$H,'RAW_농산물_10월'!$D:$D,$C340,'RAW_농산물_10월'!$A:$A,$E340)-SUMIFS('RAW_농산물_9월'!$H:$H,'RAW_농산물_9월'!$D:$D,$C340,'RAW_농산물_9월'!$A:$A,$E340)))</f>
        <v/>
      </c>
      <c r="R340" s="7" t="str">
        <f>IF($C340="","",IF(COUNTA('RAW_농산물_11-12월'!$A:$A)&lt;=1,"",SUMIFS('RAW_농산물_11-12월'!$H:$H,'RAW_농산물_11-12월'!$D:$D,$C340,'RAW_농산물_11-12월'!$A:$A,$E340)-SUMIFS('RAW_농산물_10월'!$H:$H,'RAW_농산물_10월'!$D:$D,$C340,'RAW_농산물_10월'!$A:$A,$E340)))</f>
        <v/>
      </c>
      <c r="S340" s="17" t="str">
        <f t="shared" si="4"/>
        <v/>
      </c>
      <c r="T340" s="17" t="str">
        <f t="shared" si="5"/>
        <v/>
      </c>
      <c r="U340" s="7">
        <f>IF($C340="",0,IF('설정'!$B$3=0,0,CHOOSE('설정'!$B$3,COUNTIFS('RAW_농산물_7월'!$D:$D,$C340,'RAW_농산물_7월'!$A:$A,$E340),COUNTIFS('RAW_농산물_8월'!$D:$D,$C340,'RAW_농산물_8월'!$A:$A,$E340),COUNTIFS('RAW_농산물_9월'!$D:$D,$C340,'RAW_농산물_9월'!$A:$A,$E340),COUNTIFS('RAW_농산물_10월'!$D:$D,$C340,'RAW_농산물_10월'!$A:$A,$E340),COUNTIFS('RAW_농산물_11-12월'!$D:$D,$C340,'RAW_농산물_11-12월'!$A:$A,$E340))))</f>
        <v>0</v>
      </c>
    </row>
    <row r="341" ht="15.75" customHeight="1">
      <c r="A341" s="5"/>
      <c r="B341" s="5"/>
      <c r="C341" s="5"/>
      <c r="D341" s="6"/>
      <c r="E341" s="5"/>
      <c r="F341" s="7" t="str">
        <f>IF($C341="","",IF('설정'!$B$3=0,"",CHOOSE('설정'!$B$3,SUMIFS('RAW_농산물_7월'!$F:$F,'RAW_농산물_7월'!$D:$D,$C341,'RAW_농산물_7월'!$A:$A,$E341),SUMIFS('RAW_농산물_8월'!$F:$F,'RAW_농산물_8월'!$D:$D,$C341,'RAW_농산물_8월'!$A:$A,$E341),SUMIFS('RAW_농산물_9월'!$F:$F,'RAW_농산물_9월'!$D:$D,$C341,'RAW_농산물_9월'!$A:$A,$E341),SUMIFS('RAW_농산물_10월'!$F:$F,'RAW_농산물_10월'!$D:$D,$C341,'RAW_농산물_10월'!$A:$A,$E341),SUMIFS('RAW_농산물_11-12월'!$F:$F,'RAW_농산물_11-12월'!$D:$D,$C341,'RAW_농산물_11-12월'!$A:$A,$E341))))</f>
        <v/>
      </c>
      <c r="G341" s="7" t="str">
        <f>IF($C341="","",IF('설정'!$B$3=0,"",CHOOSE('설정'!$B$3,SUMIFS('RAW_농산물_7월'!$G:$G,'RAW_농산물_7월'!$D:$D,$C341,'RAW_농산물_7월'!$A:$A,$E341),SUMIFS('RAW_농산물_8월'!$G:$G,'RAW_농산물_8월'!$D:$D,$C341,'RAW_농산물_8월'!$A:$A,$E341),SUMIFS('RAW_농산물_9월'!$G:$G,'RAW_농산물_9월'!$D:$D,$C341,'RAW_농산물_9월'!$A:$A,$E341),SUMIFS('RAW_농산물_10월'!$G:$G,'RAW_농산물_10월'!$D:$D,$C341,'RAW_농산물_10월'!$A:$A,$E341),SUMIFS('RAW_농산물_11-12월'!$G:$G,'RAW_농산물_11-12월'!$D:$D,$C341,'RAW_농산물_11-12월'!$A:$A,$E341))))</f>
        <v/>
      </c>
      <c r="H341" s="14" t="str">
        <f>IF($C341="","",IF('설정'!$B$3=0,"",CHOOSE('설정'!$B$3,SUMIFS('RAW_농산물_7월'!$H:$H,'RAW_농산물_7월'!$D:$D,$C341,'RAW_농산물_7월'!$A:$A,$E341),SUMIFS('RAW_농산물_8월'!$H:$H,'RAW_농산물_8월'!$D:$D,$C341,'RAW_농산물_8월'!$A:$A,$E341),SUMIFS('RAW_농산물_9월'!$H:$H,'RAW_농산물_9월'!$D:$D,$C341,'RAW_농산물_9월'!$A:$A,$E341),SUMIFS('RAW_농산물_10월'!$H:$H,'RAW_농산물_10월'!$D:$D,$C341,'RAW_농산물_10월'!$A:$A,$E341),SUMIFS('RAW_농산물_11-12월'!$H:$H,'RAW_농산물_11-12월'!$D:$D,$C341,'RAW_농산물_11-12월'!$A:$A,$E341))))</f>
        <v/>
      </c>
      <c r="I341" s="17" t="str">
        <f>IF($C341="","",IF(COUNTIFS('RAW_농산물_7월'!$D:$D,$C341,'RAW_농산물_7월'!$A:$A,$E341)&gt;0,"O",""))</f>
        <v/>
      </c>
      <c r="J341" s="17" t="str">
        <f>IF($C341="","",IF(COUNTIFS('RAW_농산물_8월'!$D:$D,$C341,'RAW_농산물_8월'!$A:$A,$E341)&gt;0,"O",""))</f>
        <v/>
      </c>
      <c r="K341" s="17" t="str">
        <f>IF($C341="","",IF(COUNTIFS('RAW_농산물_9월'!$D:$D,$C341,'RAW_농산물_9월'!$A:$A,$E341)&gt;0,"O",""))</f>
        <v/>
      </c>
      <c r="L341" s="17" t="str">
        <f>IF($C341="","",IF(COUNTIFS('RAW_농산물_10월'!$D:$D,$C341,'RAW_농산물_10월'!$A:$A,$E341)&gt;0,"O",""))</f>
        <v/>
      </c>
      <c r="M341" s="17" t="str">
        <f>IF($C341="","",IF(COUNTIFS('RAW_농산물_11-12월'!$D:$D,$C341,'RAW_농산물_11-12월'!$A:$A,$E341)&gt;0,"O",""))</f>
        <v/>
      </c>
      <c r="N341" s="7" t="str">
        <f>IF($C341="","",IF(COUNTA('RAW_농산물_7월'!$A:$A)&lt;=1,"",SUMIFS('RAW_농산물_7월'!$H:$H,'RAW_농산물_7월'!$D:$D,$C341,'RAW_농산물_7월'!$A:$A,$E341)))</f>
        <v/>
      </c>
      <c r="O341" s="7" t="str">
        <f>IF($C341="","",IF(COUNTA('RAW_농산물_8월'!$A:$A)&lt;=1,"",SUMIFS('RAW_농산물_8월'!$H:$H,'RAW_농산물_8월'!$D:$D,$C341,'RAW_농산물_8월'!$A:$A,$E341)-SUMIFS('RAW_농산물_7월'!$H:$H,'RAW_농산물_7월'!$D:$D,$C341,'RAW_농산물_7월'!$A:$A,$E341)))</f>
        <v/>
      </c>
      <c r="P341" s="7" t="str">
        <f>IF($C341="","",IF(COUNTA('RAW_농산물_9월'!$A:$A)&lt;=1,"",SUMIFS('RAW_농산물_9월'!$H:$H,'RAW_농산물_9월'!$D:$D,$C341,'RAW_농산물_9월'!$A:$A,$E341)-SUMIFS('RAW_농산물_8월'!$H:$H,'RAW_농산물_8월'!$D:$D,$C341,'RAW_농산물_8월'!$A:$A,$E341)))</f>
        <v/>
      </c>
      <c r="Q341" s="7" t="str">
        <f>IF($C341="","",IF(COUNTA('RAW_농산물_10월'!$A:$A)&lt;=1,"",SUMIFS('RAW_농산물_10월'!$H:$H,'RAW_농산물_10월'!$D:$D,$C341,'RAW_농산물_10월'!$A:$A,$E341)-SUMIFS('RAW_농산물_9월'!$H:$H,'RAW_농산물_9월'!$D:$D,$C341,'RAW_농산물_9월'!$A:$A,$E341)))</f>
        <v/>
      </c>
      <c r="R341" s="7" t="str">
        <f>IF($C341="","",IF(COUNTA('RAW_농산물_11-12월'!$A:$A)&lt;=1,"",SUMIFS('RAW_농산물_11-12월'!$H:$H,'RAW_농산물_11-12월'!$D:$D,$C341,'RAW_농산물_11-12월'!$A:$A,$E341)-SUMIFS('RAW_농산물_10월'!$H:$H,'RAW_농산물_10월'!$D:$D,$C341,'RAW_농산물_10월'!$A:$A,$E341)))</f>
        <v/>
      </c>
      <c r="S341" s="17" t="str">
        <f t="shared" si="4"/>
        <v/>
      </c>
      <c r="T341" s="17" t="str">
        <f t="shared" si="5"/>
        <v/>
      </c>
      <c r="U341" s="7">
        <f>IF($C341="",0,IF('설정'!$B$3=0,0,CHOOSE('설정'!$B$3,COUNTIFS('RAW_농산물_7월'!$D:$D,$C341,'RAW_농산물_7월'!$A:$A,$E341),COUNTIFS('RAW_농산물_8월'!$D:$D,$C341,'RAW_농산물_8월'!$A:$A,$E341),COUNTIFS('RAW_농산물_9월'!$D:$D,$C341,'RAW_농산물_9월'!$A:$A,$E341),COUNTIFS('RAW_농산물_10월'!$D:$D,$C341,'RAW_농산물_10월'!$A:$A,$E341),COUNTIFS('RAW_농산물_11-12월'!$D:$D,$C341,'RAW_농산물_11-12월'!$A:$A,$E341))))</f>
        <v>0</v>
      </c>
    </row>
    <row r="342" ht="15.75" customHeight="1">
      <c r="A342" s="5"/>
      <c r="B342" s="5"/>
      <c r="C342" s="5"/>
      <c r="D342" s="6"/>
      <c r="E342" s="5"/>
      <c r="F342" s="7" t="str">
        <f>IF($C342="","",IF('설정'!$B$3=0,"",CHOOSE('설정'!$B$3,SUMIFS('RAW_농산물_7월'!$F:$F,'RAW_농산물_7월'!$D:$D,$C342,'RAW_농산물_7월'!$A:$A,$E342),SUMIFS('RAW_농산물_8월'!$F:$F,'RAW_농산물_8월'!$D:$D,$C342,'RAW_농산물_8월'!$A:$A,$E342),SUMIFS('RAW_농산물_9월'!$F:$F,'RAW_농산물_9월'!$D:$D,$C342,'RAW_농산물_9월'!$A:$A,$E342),SUMIFS('RAW_농산물_10월'!$F:$F,'RAW_농산물_10월'!$D:$D,$C342,'RAW_농산물_10월'!$A:$A,$E342),SUMIFS('RAW_농산물_11-12월'!$F:$F,'RAW_농산물_11-12월'!$D:$D,$C342,'RAW_농산물_11-12월'!$A:$A,$E342))))</f>
        <v/>
      </c>
      <c r="G342" s="7" t="str">
        <f>IF($C342="","",IF('설정'!$B$3=0,"",CHOOSE('설정'!$B$3,SUMIFS('RAW_농산물_7월'!$G:$G,'RAW_농산물_7월'!$D:$D,$C342,'RAW_농산물_7월'!$A:$A,$E342),SUMIFS('RAW_농산물_8월'!$G:$G,'RAW_농산물_8월'!$D:$D,$C342,'RAW_농산물_8월'!$A:$A,$E342),SUMIFS('RAW_농산물_9월'!$G:$G,'RAW_농산물_9월'!$D:$D,$C342,'RAW_농산물_9월'!$A:$A,$E342),SUMIFS('RAW_농산물_10월'!$G:$G,'RAW_농산물_10월'!$D:$D,$C342,'RAW_농산물_10월'!$A:$A,$E342),SUMIFS('RAW_농산물_11-12월'!$G:$G,'RAW_농산물_11-12월'!$D:$D,$C342,'RAW_농산물_11-12월'!$A:$A,$E342))))</f>
        <v/>
      </c>
      <c r="H342" s="14" t="str">
        <f>IF($C342="","",IF('설정'!$B$3=0,"",CHOOSE('설정'!$B$3,SUMIFS('RAW_농산물_7월'!$H:$H,'RAW_농산물_7월'!$D:$D,$C342,'RAW_농산물_7월'!$A:$A,$E342),SUMIFS('RAW_농산물_8월'!$H:$H,'RAW_농산물_8월'!$D:$D,$C342,'RAW_농산물_8월'!$A:$A,$E342),SUMIFS('RAW_농산물_9월'!$H:$H,'RAW_농산물_9월'!$D:$D,$C342,'RAW_농산물_9월'!$A:$A,$E342),SUMIFS('RAW_농산물_10월'!$H:$H,'RAW_농산물_10월'!$D:$D,$C342,'RAW_농산물_10월'!$A:$A,$E342),SUMIFS('RAW_농산물_11-12월'!$H:$H,'RAW_농산물_11-12월'!$D:$D,$C342,'RAW_농산물_11-12월'!$A:$A,$E342))))</f>
        <v/>
      </c>
      <c r="I342" s="17" t="str">
        <f>IF($C342="","",IF(COUNTIFS('RAW_농산물_7월'!$D:$D,$C342,'RAW_농산물_7월'!$A:$A,$E342)&gt;0,"O",""))</f>
        <v/>
      </c>
      <c r="J342" s="17" t="str">
        <f>IF($C342="","",IF(COUNTIFS('RAW_농산물_8월'!$D:$D,$C342,'RAW_농산물_8월'!$A:$A,$E342)&gt;0,"O",""))</f>
        <v/>
      </c>
      <c r="K342" s="17" t="str">
        <f>IF($C342="","",IF(COUNTIFS('RAW_농산물_9월'!$D:$D,$C342,'RAW_농산물_9월'!$A:$A,$E342)&gt;0,"O",""))</f>
        <v/>
      </c>
      <c r="L342" s="17" t="str">
        <f>IF($C342="","",IF(COUNTIFS('RAW_농산물_10월'!$D:$D,$C342,'RAW_농산물_10월'!$A:$A,$E342)&gt;0,"O",""))</f>
        <v/>
      </c>
      <c r="M342" s="17" t="str">
        <f>IF($C342="","",IF(COUNTIFS('RAW_농산물_11-12월'!$D:$D,$C342,'RAW_농산물_11-12월'!$A:$A,$E342)&gt;0,"O",""))</f>
        <v/>
      </c>
      <c r="N342" s="7" t="str">
        <f>IF($C342="","",IF(COUNTA('RAW_농산물_7월'!$A:$A)&lt;=1,"",SUMIFS('RAW_농산물_7월'!$H:$H,'RAW_농산물_7월'!$D:$D,$C342,'RAW_농산물_7월'!$A:$A,$E342)))</f>
        <v/>
      </c>
      <c r="O342" s="7" t="str">
        <f>IF($C342="","",IF(COUNTA('RAW_농산물_8월'!$A:$A)&lt;=1,"",SUMIFS('RAW_농산물_8월'!$H:$H,'RAW_농산물_8월'!$D:$D,$C342,'RAW_농산물_8월'!$A:$A,$E342)-SUMIFS('RAW_농산물_7월'!$H:$H,'RAW_농산물_7월'!$D:$D,$C342,'RAW_농산물_7월'!$A:$A,$E342)))</f>
        <v/>
      </c>
      <c r="P342" s="7" t="str">
        <f>IF($C342="","",IF(COUNTA('RAW_농산물_9월'!$A:$A)&lt;=1,"",SUMIFS('RAW_농산물_9월'!$H:$H,'RAW_농산물_9월'!$D:$D,$C342,'RAW_농산물_9월'!$A:$A,$E342)-SUMIFS('RAW_농산물_8월'!$H:$H,'RAW_농산물_8월'!$D:$D,$C342,'RAW_농산물_8월'!$A:$A,$E342)))</f>
        <v/>
      </c>
      <c r="Q342" s="7" t="str">
        <f>IF($C342="","",IF(COUNTA('RAW_농산물_10월'!$A:$A)&lt;=1,"",SUMIFS('RAW_농산물_10월'!$H:$H,'RAW_농산물_10월'!$D:$D,$C342,'RAW_농산물_10월'!$A:$A,$E342)-SUMIFS('RAW_농산물_9월'!$H:$H,'RAW_농산물_9월'!$D:$D,$C342,'RAW_농산물_9월'!$A:$A,$E342)))</f>
        <v/>
      </c>
      <c r="R342" s="7" t="str">
        <f>IF($C342="","",IF(COUNTA('RAW_농산물_11-12월'!$A:$A)&lt;=1,"",SUMIFS('RAW_농산물_11-12월'!$H:$H,'RAW_농산물_11-12월'!$D:$D,$C342,'RAW_농산물_11-12월'!$A:$A,$E342)-SUMIFS('RAW_농산물_10월'!$H:$H,'RAW_농산물_10월'!$D:$D,$C342,'RAW_농산물_10월'!$A:$A,$E342)))</f>
        <v/>
      </c>
      <c r="S342" s="17" t="str">
        <f t="shared" si="4"/>
        <v/>
      </c>
      <c r="T342" s="17" t="str">
        <f t="shared" si="5"/>
        <v/>
      </c>
      <c r="U342" s="7">
        <f>IF($C342="",0,IF('설정'!$B$3=0,0,CHOOSE('설정'!$B$3,COUNTIFS('RAW_농산물_7월'!$D:$D,$C342,'RAW_농산물_7월'!$A:$A,$E342),COUNTIFS('RAW_농산물_8월'!$D:$D,$C342,'RAW_농산물_8월'!$A:$A,$E342),COUNTIFS('RAW_농산물_9월'!$D:$D,$C342,'RAW_농산물_9월'!$A:$A,$E342),COUNTIFS('RAW_농산물_10월'!$D:$D,$C342,'RAW_농산물_10월'!$A:$A,$E342),COUNTIFS('RAW_농산물_11-12월'!$D:$D,$C342,'RAW_농산물_11-12월'!$A:$A,$E342))))</f>
        <v>0</v>
      </c>
    </row>
    <row r="343" ht="15.75" customHeight="1">
      <c r="A343" s="5"/>
      <c r="B343" s="5"/>
      <c r="C343" s="5"/>
      <c r="D343" s="6"/>
      <c r="E343" s="5"/>
      <c r="F343" s="7" t="str">
        <f>IF($C343="","",IF('설정'!$B$3=0,"",CHOOSE('설정'!$B$3,SUMIFS('RAW_농산물_7월'!$F:$F,'RAW_농산물_7월'!$D:$D,$C343,'RAW_농산물_7월'!$A:$A,$E343),SUMIFS('RAW_농산물_8월'!$F:$F,'RAW_농산물_8월'!$D:$D,$C343,'RAW_농산물_8월'!$A:$A,$E343),SUMIFS('RAW_농산물_9월'!$F:$F,'RAW_농산물_9월'!$D:$D,$C343,'RAW_농산물_9월'!$A:$A,$E343),SUMIFS('RAW_농산물_10월'!$F:$F,'RAW_농산물_10월'!$D:$D,$C343,'RAW_농산물_10월'!$A:$A,$E343),SUMIFS('RAW_농산물_11-12월'!$F:$F,'RAW_농산물_11-12월'!$D:$D,$C343,'RAW_농산물_11-12월'!$A:$A,$E343))))</f>
        <v/>
      </c>
      <c r="G343" s="7" t="str">
        <f>IF($C343="","",IF('설정'!$B$3=0,"",CHOOSE('설정'!$B$3,SUMIFS('RAW_농산물_7월'!$G:$G,'RAW_농산물_7월'!$D:$D,$C343,'RAW_농산물_7월'!$A:$A,$E343),SUMIFS('RAW_농산물_8월'!$G:$G,'RAW_농산물_8월'!$D:$D,$C343,'RAW_농산물_8월'!$A:$A,$E343),SUMIFS('RAW_농산물_9월'!$G:$G,'RAW_농산물_9월'!$D:$D,$C343,'RAW_농산물_9월'!$A:$A,$E343),SUMIFS('RAW_농산물_10월'!$G:$G,'RAW_농산물_10월'!$D:$D,$C343,'RAW_농산물_10월'!$A:$A,$E343),SUMIFS('RAW_농산물_11-12월'!$G:$G,'RAW_농산물_11-12월'!$D:$D,$C343,'RAW_농산물_11-12월'!$A:$A,$E343))))</f>
        <v/>
      </c>
      <c r="H343" s="14" t="str">
        <f>IF($C343="","",IF('설정'!$B$3=0,"",CHOOSE('설정'!$B$3,SUMIFS('RAW_농산물_7월'!$H:$H,'RAW_농산물_7월'!$D:$D,$C343,'RAW_농산물_7월'!$A:$A,$E343),SUMIFS('RAW_농산물_8월'!$H:$H,'RAW_농산물_8월'!$D:$D,$C343,'RAW_농산물_8월'!$A:$A,$E343),SUMIFS('RAW_농산물_9월'!$H:$H,'RAW_농산물_9월'!$D:$D,$C343,'RAW_농산물_9월'!$A:$A,$E343),SUMIFS('RAW_농산물_10월'!$H:$H,'RAW_농산물_10월'!$D:$D,$C343,'RAW_농산물_10월'!$A:$A,$E343),SUMIFS('RAW_농산물_11-12월'!$H:$H,'RAW_농산물_11-12월'!$D:$D,$C343,'RAW_농산물_11-12월'!$A:$A,$E343))))</f>
        <v/>
      </c>
      <c r="I343" s="17" t="str">
        <f>IF($C343="","",IF(COUNTIFS('RAW_농산물_7월'!$D:$D,$C343,'RAW_농산물_7월'!$A:$A,$E343)&gt;0,"O",""))</f>
        <v/>
      </c>
      <c r="J343" s="17" t="str">
        <f>IF($C343="","",IF(COUNTIFS('RAW_농산물_8월'!$D:$D,$C343,'RAW_농산물_8월'!$A:$A,$E343)&gt;0,"O",""))</f>
        <v/>
      </c>
      <c r="K343" s="17" t="str">
        <f>IF($C343="","",IF(COUNTIFS('RAW_농산물_9월'!$D:$D,$C343,'RAW_농산물_9월'!$A:$A,$E343)&gt;0,"O",""))</f>
        <v/>
      </c>
      <c r="L343" s="17" t="str">
        <f>IF($C343="","",IF(COUNTIFS('RAW_농산물_10월'!$D:$D,$C343,'RAW_농산물_10월'!$A:$A,$E343)&gt;0,"O",""))</f>
        <v/>
      </c>
      <c r="M343" s="17" t="str">
        <f>IF($C343="","",IF(COUNTIFS('RAW_농산물_11-12월'!$D:$D,$C343,'RAW_농산물_11-12월'!$A:$A,$E343)&gt;0,"O",""))</f>
        <v/>
      </c>
      <c r="N343" s="7" t="str">
        <f>IF($C343="","",IF(COUNTA('RAW_농산물_7월'!$A:$A)&lt;=1,"",SUMIFS('RAW_농산물_7월'!$H:$H,'RAW_농산물_7월'!$D:$D,$C343,'RAW_농산물_7월'!$A:$A,$E343)))</f>
        <v/>
      </c>
      <c r="O343" s="7" t="str">
        <f>IF($C343="","",IF(COUNTA('RAW_농산물_8월'!$A:$A)&lt;=1,"",SUMIFS('RAW_농산물_8월'!$H:$H,'RAW_농산물_8월'!$D:$D,$C343,'RAW_농산물_8월'!$A:$A,$E343)-SUMIFS('RAW_농산물_7월'!$H:$H,'RAW_농산물_7월'!$D:$D,$C343,'RAW_농산물_7월'!$A:$A,$E343)))</f>
        <v/>
      </c>
      <c r="P343" s="7" t="str">
        <f>IF($C343="","",IF(COUNTA('RAW_농산물_9월'!$A:$A)&lt;=1,"",SUMIFS('RAW_농산물_9월'!$H:$H,'RAW_농산물_9월'!$D:$D,$C343,'RAW_농산물_9월'!$A:$A,$E343)-SUMIFS('RAW_농산물_8월'!$H:$H,'RAW_농산물_8월'!$D:$D,$C343,'RAW_농산물_8월'!$A:$A,$E343)))</f>
        <v/>
      </c>
      <c r="Q343" s="7" t="str">
        <f>IF($C343="","",IF(COUNTA('RAW_농산물_10월'!$A:$A)&lt;=1,"",SUMIFS('RAW_농산물_10월'!$H:$H,'RAW_농산물_10월'!$D:$D,$C343,'RAW_농산물_10월'!$A:$A,$E343)-SUMIFS('RAW_농산물_9월'!$H:$H,'RAW_농산물_9월'!$D:$D,$C343,'RAW_농산물_9월'!$A:$A,$E343)))</f>
        <v/>
      </c>
      <c r="R343" s="7" t="str">
        <f>IF($C343="","",IF(COUNTA('RAW_농산물_11-12월'!$A:$A)&lt;=1,"",SUMIFS('RAW_농산물_11-12월'!$H:$H,'RAW_농산물_11-12월'!$D:$D,$C343,'RAW_농산물_11-12월'!$A:$A,$E343)-SUMIFS('RAW_농산물_10월'!$H:$H,'RAW_농산물_10월'!$D:$D,$C343,'RAW_농산물_10월'!$A:$A,$E343)))</f>
        <v/>
      </c>
      <c r="S343" s="17" t="str">
        <f t="shared" si="4"/>
        <v/>
      </c>
      <c r="T343" s="17" t="str">
        <f t="shared" si="5"/>
        <v/>
      </c>
      <c r="U343" s="7">
        <f>IF($C343="",0,IF('설정'!$B$3=0,0,CHOOSE('설정'!$B$3,COUNTIFS('RAW_농산물_7월'!$D:$D,$C343,'RAW_농산물_7월'!$A:$A,$E343),COUNTIFS('RAW_농산물_8월'!$D:$D,$C343,'RAW_농산물_8월'!$A:$A,$E343),COUNTIFS('RAW_농산물_9월'!$D:$D,$C343,'RAW_농산물_9월'!$A:$A,$E343),COUNTIFS('RAW_농산물_10월'!$D:$D,$C343,'RAW_농산물_10월'!$A:$A,$E343),COUNTIFS('RAW_농산물_11-12월'!$D:$D,$C343,'RAW_농산물_11-12월'!$A:$A,$E343))))</f>
        <v>0</v>
      </c>
    </row>
    <row r="344" ht="15.75" customHeight="1">
      <c r="A344" s="5"/>
      <c r="B344" s="5"/>
      <c r="C344" s="5"/>
      <c r="D344" s="6"/>
      <c r="E344" s="5"/>
      <c r="F344" s="7" t="str">
        <f>IF($C344="","",IF('설정'!$B$3=0,"",CHOOSE('설정'!$B$3,SUMIFS('RAW_농산물_7월'!$F:$F,'RAW_농산물_7월'!$D:$D,$C344,'RAW_농산물_7월'!$A:$A,$E344),SUMIFS('RAW_농산물_8월'!$F:$F,'RAW_농산물_8월'!$D:$D,$C344,'RAW_농산물_8월'!$A:$A,$E344),SUMIFS('RAW_농산물_9월'!$F:$F,'RAW_농산물_9월'!$D:$D,$C344,'RAW_농산물_9월'!$A:$A,$E344),SUMIFS('RAW_농산물_10월'!$F:$F,'RAW_농산물_10월'!$D:$D,$C344,'RAW_농산물_10월'!$A:$A,$E344),SUMIFS('RAW_농산물_11-12월'!$F:$F,'RAW_농산물_11-12월'!$D:$D,$C344,'RAW_농산물_11-12월'!$A:$A,$E344))))</f>
        <v/>
      </c>
      <c r="G344" s="7" t="str">
        <f>IF($C344="","",IF('설정'!$B$3=0,"",CHOOSE('설정'!$B$3,SUMIFS('RAW_농산물_7월'!$G:$G,'RAW_농산물_7월'!$D:$D,$C344,'RAW_농산물_7월'!$A:$A,$E344),SUMIFS('RAW_농산물_8월'!$G:$G,'RAW_농산물_8월'!$D:$D,$C344,'RAW_농산물_8월'!$A:$A,$E344),SUMIFS('RAW_농산물_9월'!$G:$G,'RAW_농산물_9월'!$D:$D,$C344,'RAW_농산물_9월'!$A:$A,$E344),SUMIFS('RAW_농산물_10월'!$G:$G,'RAW_농산물_10월'!$D:$D,$C344,'RAW_농산물_10월'!$A:$A,$E344),SUMIFS('RAW_농산물_11-12월'!$G:$G,'RAW_농산물_11-12월'!$D:$D,$C344,'RAW_농산물_11-12월'!$A:$A,$E344))))</f>
        <v/>
      </c>
      <c r="H344" s="14" t="str">
        <f>IF($C344="","",IF('설정'!$B$3=0,"",CHOOSE('설정'!$B$3,SUMIFS('RAW_농산물_7월'!$H:$H,'RAW_농산물_7월'!$D:$D,$C344,'RAW_농산물_7월'!$A:$A,$E344),SUMIFS('RAW_농산물_8월'!$H:$H,'RAW_농산물_8월'!$D:$D,$C344,'RAW_농산물_8월'!$A:$A,$E344),SUMIFS('RAW_농산물_9월'!$H:$H,'RAW_농산물_9월'!$D:$D,$C344,'RAW_농산물_9월'!$A:$A,$E344),SUMIFS('RAW_농산물_10월'!$H:$H,'RAW_농산물_10월'!$D:$D,$C344,'RAW_농산물_10월'!$A:$A,$E344),SUMIFS('RAW_농산물_11-12월'!$H:$H,'RAW_농산물_11-12월'!$D:$D,$C344,'RAW_농산물_11-12월'!$A:$A,$E344))))</f>
        <v/>
      </c>
      <c r="I344" s="17" t="str">
        <f>IF($C344="","",IF(COUNTIFS('RAW_농산물_7월'!$D:$D,$C344,'RAW_농산물_7월'!$A:$A,$E344)&gt;0,"O",""))</f>
        <v/>
      </c>
      <c r="J344" s="17" t="str">
        <f>IF($C344="","",IF(COUNTIFS('RAW_농산물_8월'!$D:$D,$C344,'RAW_농산물_8월'!$A:$A,$E344)&gt;0,"O",""))</f>
        <v/>
      </c>
      <c r="K344" s="17" t="str">
        <f>IF($C344="","",IF(COUNTIFS('RAW_농산물_9월'!$D:$D,$C344,'RAW_농산물_9월'!$A:$A,$E344)&gt;0,"O",""))</f>
        <v/>
      </c>
      <c r="L344" s="17" t="str">
        <f>IF($C344="","",IF(COUNTIFS('RAW_농산물_10월'!$D:$D,$C344,'RAW_농산물_10월'!$A:$A,$E344)&gt;0,"O",""))</f>
        <v/>
      </c>
      <c r="M344" s="17" t="str">
        <f>IF($C344="","",IF(COUNTIFS('RAW_농산물_11-12월'!$D:$D,$C344,'RAW_농산물_11-12월'!$A:$A,$E344)&gt;0,"O",""))</f>
        <v/>
      </c>
      <c r="N344" s="7" t="str">
        <f>IF($C344="","",IF(COUNTA('RAW_농산물_7월'!$A:$A)&lt;=1,"",SUMIFS('RAW_농산물_7월'!$H:$H,'RAW_농산물_7월'!$D:$D,$C344,'RAW_농산물_7월'!$A:$A,$E344)))</f>
        <v/>
      </c>
      <c r="O344" s="7" t="str">
        <f>IF($C344="","",IF(COUNTA('RAW_농산물_8월'!$A:$A)&lt;=1,"",SUMIFS('RAW_농산물_8월'!$H:$H,'RAW_농산물_8월'!$D:$D,$C344,'RAW_농산물_8월'!$A:$A,$E344)-SUMIFS('RAW_농산물_7월'!$H:$H,'RAW_농산물_7월'!$D:$D,$C344,'RAW_농산물_7월'!$A:$A,$E344)))</f>
        <v/>
      </c>
      <c r="P344" s="7" t="str">
        <f>IF($C344="","",IF(COUNTA('RAW_농산물_9월'!$A:$A)&lt;=1,"",SUMIFS('RAW_농산물_9월'!$H:$H,'RAW_농산물_9월'!$D:$D,$C344,'RAW_농산물_9월'!$A:$A,$E344)-SUMIFS('RAW_농산물_8월'!$H:$H,'RAW_농산물_8월'!$D:$D,$C344,'RAW_농산물_8월'!$A:$A,$E344)))</f>
        <v/>
      </c>
      <c r="Q344" s="7" t="str">
        <f>IF($C344="","",IF(COUNTA('RAW_농산물_10월'!$A:$A)&lt;=1,"",SUMIFS('RAW_농산물_10월'!$H:$H,'RAW_농산물_10월'!$D:$D,$C344,'RAW_농산물_10월'!$A:$A,$E344)-SUMIFS('RAW_농산물_9월'!$H:$H,'RAW_농산물_9월'!$D:$D,$C344,'RAW_농산물_9월'!$A:$A,$E344)))</f>
        <v/>
      </c>
      <c r="R344" s="7" t="str">
        <f>IF($C344="","",IF(COUNTA('RAW_농산물_11-12월'!$A:$A)&lt;=1,"",SUMIFS('RAW_농산물_11-12월'!$H:$H,'RAW_농산물_11-12월'!$D:$D,$C344,'RAW_농산물_11-12월'!$A:$A,$E344)-SUMIFS('RAW_농산물_10월'!$H:$H,'RAW_농산물_10월'!$D:$D,$C344,'RAW_농산물_10월'!$A:$A,$E344)))</f>
        <v/>
      </c>
      <c r="S344" s="17" t="str">
        <f t="shared" si="4"/>
        <v/>
      </c>
      <c r="T344" s="17" t="str">
        <f t="shared" si="5"/>
        <v/>
      </c>
      <c r="U344" s="7">
        <f>IF($C344="",0,IF('설정'!$B$3=0,0,CHOOSE('설정'!$B$3,COUNTIFS('RAW_농산물_7월'!$D:$D,$C344,'RAW_농산물_7월'!$A:$A,$E344),COUNTIFS('RAW_농산물_8월'!$D:$D,$C344,'RAW_농산물_8월'!$A:$A,$E344),COUNTIFS('RAW_농산물_9월'!$D:$D,$C344,'RAW_농산물_9월'!$A:$A,$E344),COUNTIFS('RAW_농산물_10월'!$D:$D,$C344,'RAW_농산물_10월'!$A:$A,$E344),COUNTIFS('RAW_농산물_11-12월'!$D:$D,$C344,'RAW_농산물_11-12월'!$A:$A,$E344))))</f>
        <v>0</v>
      </c>
    </row>
    <row r="345" ht="15.75" customHeight="1">
      <c r="A345" s="5"/>
      <c r="B345" s="5"/>
      <c r="C345" s="5"/>
      <c r="D345" s="6"/>
      <c r="E345" s="5"/>
      <c r="F345" s="7" t="str">
        <f>IF($C345="","",IF('설정'!$B$3=0,"",CHOOSE('설정'!$B$3,SUMIFS('RAW_농산물_7월'!$F:$F,'RAW_농산물_7월'!$D:$D,$C345,'RAW_농산물_7월'!$A:$A,$E345),SUMIFS('RAW_농산물_8월'!$F:$F,'RAW_농산물_8월'!$D:$D,$C345,'RAW_농산물_8월'!$A:$A,$E345),SUMIFS('RAW_농산물_9월'!$F:$F,'RAW_농산물_9월'!$D:$D,$C345,'RAW_농산물_9월'!$A:$A,$E345),SUMIFS('RAW_농산물_10월'!$F:$F,'RAW_농산물_10월'!$D:$D,$C345,'RAW_농산물_10월'!$A:$A,$E345),SUMIFS('RAW_농산물_11-12월'!$F:$F,'RAW_농산물_11-12월'!$D:$D,$C345,'RAW_농산물_11-12월'!$A:$A,$E345))))</f>
        <v/>
      </c>
      <c r="G345" s="7" t="str">
        <f>IF($C345="","",IF('설정'!$B$3=0,"",CHOOSE('설정'!$B$3,SUMIFS('RAW_농산물_7월'!$G:$G,'RAW_농산물_7월'!$D:$D,$C345,'RAW_농산물_7월'!$A:$A,$E345),SUMIFS('RAW_농산물_8월'!$G:$G,'RAW_농산물_8월'!$D:$D,$C345,'RAW_농산물_8월'!$A:$A,$E345),SUMIFS('RAW_농산물_9월'!$G:$G,'RAW_농산물_9월'!$D:$D,$C345,'RAW_농산물_9월'!$A:$A,$E345),SUMIFS('RAW_농산물_10월'!$G:$G,'RAW_농산물_10월'!$D:$D,$C345,'RAW_농산물_10월'!$A:$A,$E345),SUMIFS('RAW_농산물_11-12월'!$G:$G,'RAW_농산물_11-12월'!$D:$D,$C345,'RAW_농산물_11-12월'!$A:$A,$E345))))</f>
        <v/>
      </c>
      <c r="H345" s="14" t="str">
        <f>IF($C345="","",IF('설정'!$B$3=0,"",CHOOSE('설정'!$B$3,SUMIFS('RAW_농산물_7월'!$H:$H,'RAW_농산물_7월'!$D:$D,$C345,'RAW_농산물_7월'!$A:$A,$E345),SUMIFS('RAW_농산물_8월'!$H:$H,'RAW_농산물_8월'!$D:$D,$C345,'RAW_농산물_8월'!$A:$A,$E345),SUMIFS('RAW_농산물_9월'!$H:$H,'RAW_농산물_9월'!$D:$D,$C345,'RAW_농산물_9월'!$A:$A,$E345),SUMIFS('RAW_농산물_10월'!$H:$H,'RAW_농산물_10월'!$D:$D,$C345,'RAW_농산물_10월'!$A:$A,$E345),SUMIFS('RAW_농산물_11-12월'!$H:$H,'RAW_농산물_11-12월'!$D:$D,$C345,'RAW_농산물_11-12월'!$A:$A,$E345))))</f>
        <v/>
      </c>
      <c r="I345" s="17" t="str">
        <f>IF($C345="","",IF(COUNTIFS('RAW_농산물_7월'!$D:$D,$C345,'RAW_농산물_7월'!$A:$A,$E345)&gt;0,"O",""))</f>
        <v/>
      </c>
      <c r="J345" s="17" t="str">
        <f>IF($C345="","",IF(COUNTIFS('RAW_농산물_8월'!$D:$D,$C345,'RAW_농산물_8월'!$A:$A,$E345)&gt;0,"O",""))</f>
        <v/>
      </c>
      <c r="K345" s="17" t="str">
        <f>IF($C345="","",IF(COUNTIFS('RAW_농산물_9월'!$D:$D,$C345,'RAW_농산물_9월'!$A:$A,$E345)&gt;0,"O",""))</f>
        <v/>
      </c>
      <c r="L345" s="17" t="str">
        <f>IF($C345="","",IF(COUNTIFS('RAW_농산물_10월'!$D:$D,$C345,'RAW_농산물_10월'!$A:$A,$E345)&gt;0,"O",""))</f>
        <v/>
      </c>
      <c r="M345" s="17" t="str">
        <f>IF($C345="","",IF(COUNTIFS('RAW_농산물_11-12월'!$D:$D,$C345,'RAW_농산물_11-12월'!$A:$A,$E345)&gt;0,"O",""))</f>
        <v/>
      </c>
      <c r="N345" s="7" t="str">
        <f>IF($C345="","",IF(COUNTA('RAW_농산물_7월'!$A:$A)&lt;=1,"",SUMIFS('RAW_농산물_7월'!$H:$H,'RAW_농산물_7월'!$D:$D,$C345,'RAW_농산물_7월'!$A:$A,$E345)))</f>
        <v/>
      </c>
      <c r="O345" s="7" t="str">
        <f>IF($C345="","",IF(COUNTA('RAW_농산물_8월'!$A:$A)&lt;=1,"",SUMIFS('RAW_농산물_8월'!$H:$H,'RAW_농산물_8월'!$D:$D,$C345,'RAW_농산물_8월'!$A:$A,$E345)-SUMIFS('RAW_농산물_7월'!$H:$H,'RAW_농산물_7월'!$D:$D,$C345,'RAW_농산물_7월'!$A:$A,$E345)))</f>
        <v/>
      </c>
      <c r="P345" s="7" t="str">
        <f>IF($C345="","",IF(COUNTA('RAW_농산물_9월'!$A:$A)&lt;=1,"",SUMIFS('RAW_농산물_9월'!$H:$H,'RAW_농산물_9월'!$D:$D,$C345,'RAW_농산물_9월'!$A:$A,$E345)-SUMIFS('RAW_농산물_8월'!$H:$H,'RAW_농산물_8월'!$D:$D,$C345,'RAW_농산물_8월'!$A:$A,$E345)))</f>
        <v/>
      </c>
      <c r="Q345" s="7" t="str">
        <f>IF($C345="","",IF(COUNTA('RAW_농산물_10월'!$A:$A)&lt;=1,"",SUMIFS('RAW_농산물_10월'!$H:$H,'RAW_농산물_10월'!$D:$D,$C345,'RAW_농산물_10월'!$A:$A,$E345)-SUMIFS('RAW_농산물_9월'!$H:$H,'RAW_농산물_9월'!$D:$D,$C345,'RAW_농산물_9월'!$A:$A,$E345)))</f>
        <v/>
      </c>
      <c r="R345" s="7" t="str">
        <f>IF($C345="","",IF(COUNTA('RAW_농산물_11-12월'!$A:$A)&lt;=1,"",SUMIFS('RAW_농산물_11-12월'!$H:$H,'RAW_농산물_11-12월'!$D:$D,$C345,'RAW_농산물_11-12월'!$A:$A,$E345)-SUMIFS('RAW_농산물_10월'!$H:$H,'RAW_농산물_10월'!$D:$D,$C345,'RAW_농산물_10월'!$A:$A,$E345)))</f>
        <v/>
      </c>
      <c r="S345" s="17" t="str">
        <f t="shared" si="4"/>
        <v/>
      </c>
      <c r="T345" s="17" t="str">
        <f t="shared" si="5"/>
        <v/>
      </c>
      <c r="U345" s="7">
        <f>IF($C345="",0,IF('설정'!$B$3=0,0,CHOOSE('설정'!$B$3,COUNTIFS('RAW_농산물_7월'!$D:$D,$C345,'RAW_농산물_7월'!$A:$A,$E345),COUNTIFS('RAW_농산물_8월'!$D:$D,$C345,'RAW_농산물_8월'!$A:$A,$E345),COUNTIFS('RAW_농산물_9월'!$D:$D,$C345,'RAW_농산물_9월'!$A:$A,$E345),COUNTIFS('RAW_농산물_10월'!$D:$D,$C345,'RAW_농산물_10월'!$A:$A,$E345),COUNTIFS('RAW_농산물_11-12월'!$D:$D,$C345,'RAW_농산물_11-12월'!$A:$A,$E345))))</f>
        <v>0</v>
      </c>
    </row>
    <row r="346" ht="15.75" customHeight="1">
      <c r="A346" s="5"/>
      <c r="B346" s="5"/>
      <c r="C346" s="5"/>
      <c r="D346" s="6"/>
      <c r="E346" s="5"/>
      <c r="F346" s="7" t="str">
        <f>IF($C346="","",IF('설정'!$B$3=0,"",CHOOSE('설정'!$B$3,SUMIFS('RAW_농산물_7월'!$F:$F,'RAW_농산물_7월'!$D:$D,$C346,'RAW_농산물_7월'!$A:$A,$E346),SUMIFS('RAW_농산물_8월'!$F:$F,'RAW_농산물_8월'!$D:$D,$C346,'RAW_농산물_8월'!$A:$A,$E346),SUMIFS('RAW_농산물_9월'!$F:$F,'RAW_농산물_9월'!$D:$D,$C346,'RAW_농산물_9월'!$A:$A,$E346),SUMIFS('RAW_농산물_10월'!$F:$F,'RAW_농산물_10월'!$D:$D,$C346,'RAW_농산물_10월'!$A:$A,$E346),SUMIFS('RAW_농산물_11-12월'!$F:$F,'RAW_농산물_11-12월'!$D:$D,$C346,'RAW_농산물_11-12월'!$A:$A,$E346))))</f>
        <v/>
      </c>
      <c r="G346" s="7" t="str">
        <f>IF($C346="","",IF('설정'!$B$3=0,"",CHOOSE('설정'!$B$3,SUMIFS('RAW_농산물_7월'!$G:$G,'RAW_농산물_7월'!$D:$D,$C346,'RAW_농산물_7월'!$A:$A,$E346),SUMIFS('RAW_농산물_8월'!$G:$G,'RAW_농산물_8월'!$D:$D,$C346,'RAW_농산물_8월'!$A:$A,$E346),SUMIFS('RAW_농산물_9월'!$G:$G,'RAW_농산물_9월'!$D:$D,$C346,'RAW_농산물_9월'!$A:$A,$E346),SUMIFS('RAW_농산물_10월'!$G:$G,'RAW_농산물_10월'!$D:$D,$C346,'RAW_농산물_10월'!$A:$A,$E346),SUMIFS('RAW_농산물_11-12월'!$G:$G,'RAW_농산물_11-12월'!$D:$D,$C346,'RAW_농산물_11-12월'!$A:$A,$E346))))</f>
        <v/>
      </c>
      <c r="H346" s="14" t="str">
        <f>IF($C346="","",IF('설정'!$B$3=0,"",CHOOSE('설정'!$B$3,SUMIFS('RAW_농산물_7월'!$H:$H,'RAW_농산물_7월'!$D:$D,$C346,'RAW_농산물_7월'!$A:$A,$E346),SUMIFS('RAW_농산물_8월'!$H:$H,'RAW_농산물_8월'!$D:$D,$C346,'RAW_농산물_8월'!$A:$A,$E346),SUMIFS('RAW_농산물_9월'!$H:$H,'RAW_농산물_9월'!$D:$D,$C346,'RAW_농산물_9월'!$A:$A,$E346),SUMIFS('RAW_농산물_10월'!$H:$H,'RAW_농산물_10월'!$D:$D,$C346,'RAW_농산물_10월'!$A:$A,$E346),SUMIFS('RAW_농산물_11-12월'!$H:$H,'RAW_농산물_11-12월'!$D:$D,$C346,'RAW_농산물_11-12월'!$A:$A,$E346))))</f>
        <v/>
      </c>
      <c r="I346" s="17" t="str">
        <f>IF($C346="","",IF(COUNTIFS('RAW_농산물_7월'!$D:$D,$C346,'RAW_농산물_7월'!$A:$A,$E346)&gt;0,"O",""))</f>
        <v/>
      </c>
      <c r="J346" s="17" t="str">
        <f>IF($C346="","",IF(COUNTIFS('RAW_농산물_8월'!$D:$D,$C346,'RAW_농산물_8월'!$A:$A,$E346)&gt;0,"O",""))</f>
        <v/>
      </c>
      <c r="K346" s="17" t="str">
        <f>IF($C346="","",IF(COUNTIFS('RAW_농산물_9월'!$D:$D,$C346,'RAW_농산물_9월'!$A:$A,$E346)&gt;0,"O",""))</f>
        <v/>
      </c>
      <c r="L346" s="17" t="str">
        <f>IF($C346="","",IF(COUNTIFS('RAW_농산물_10월'!$D:$D,$C346,'RAW_농산물_10월'!$A:$A,$E346)&gt;0,"O",""))</f>
        <v/>
      </c>
      <c r="M346" s="17" t="str">
        <f>IF($C346="","",IF(COUNTIFS('RAW_농산물_11-12월'!$D:$D,$C346,'RAW_농산물_11-12월'!$A:$A,$E346)&gt;0,"O",""))</f>
        <v/>
      </c>
      <c r="N346" s="7" t="str">
        <f>IF($C346="","",IF(COUNTA('RAW_농산물_7월'!$A:$A)&lt;=1,"",SUMIFS('RAW_농산물_7월'!$H:$H,'RAW_농산물_7월'!$D:$D,$C346,'RAW_농산물_7월'!$A:$A,$E346)))</f>
        <v/>
      </c>
      <c r="O346" s="7" t="str">
        <f>IF($C346="","",IF(COUNTA('RAW_농산물_8월'!$A:$A)&lt;=1,"",SUMIFS('RAW_농산물_8월'!$H:$H,'RAW_농산물_8월'!$D:$D,$C346,'RAW_농산물_8월'!$A:$A,$E346)-SUMIFS('RAW_농산물_7월'!$H:$H,'RAW_농산물_7월'!$D:$D,$C346,'RAW_농산물_7월'!$A:$A,$E346)))</f>
        <v/>
      </c>
      <c r="P346" s="7" t="str">
        <f>IF($C346="","",IF(COUNTA('RAW_농산물_9월'!$A:$A)&lt;=1,"",SUMIFS('RAW_농산물_9월'!$H:$H,'RAW_농산물_9월'!$D:$D,$C346,'RAW_농산물_9월'!$A:$A,$E346)-SUMIFS('RAW_농산물_8월'!$H:$H,'RAW_농산물_8월'!$D:$D,$C346,'RAW_농산물_8월'!$A:$A,$E346)))</f>
        <v/>
      </c>
      <c r="Q346" s="7" t="str">
        <f>IF($C346="","",IF(COUNTA('RAW_농산물_10월'!$A:$A)&lt;=1,"",SUMIFS('RAW_농산물_10월'!$H:$H,'RAW_농산물_10월'!$D:$D,$C346,'RAW_농산물_10월'!$A:$A,$E346)-SUMIFS('RAW_농산물_9월'!$H:$H,'RAW_농산물_9월'!$D:$D,$C346,'RAW_농산물_9월'!$A:$A,$E346)))</f>
        <v/>
      </c>
      <c r="R346" s="7" t="str">
        <f>IF($C346="","",IF(COUNTA('RAW_농산물_11-12월'!$A:$A)&lt;=1,"",SUMIFS('RAW_농산물_11-12월'!$H:$H,'RAW_농산물_11-12월'!$D:$D,$C346,'RAW_농산물_11-12월'!$A:$A,$E346)-SUMIFS('RAW_농산물_10월'!$H:$H,'RAW_농산물_10월'!$D:$D,$C346,'RAW_농산물_10월'!$A:$A,$E346)))</f>
        <v/>
      </c>
      <c r="S346" s="17" t="str">
        <f t="shared" si="4"/>
        <v/>
      </c>
      <c r="T346" s="17" t="str">
        <f t="shared" si="5"/>
        <v/>
      </c>
      <c r="U346" s="7">
        <f>IF($C346="",0,IF('설정'!$B$3=0,0,CHOOSE('설정'!$B$3,COUNTIFS('RAW_농산물_7월'!$D:$D,$C346,'RAW_농산물_7월'!$A:$A,$E346),COUNTIFS('RAW_농산물_8월'!$D:$D,$C346,'RAW_농산물_8월'!$A:$A,$E346),COUNTIFS('RAW_농산물_9월'!$D:$D,$C346,'RAW_농산물_9월'!$A:$A,$E346),COUNTIFS('RAW_농산물_10월'!$D:$D,$C346,'RAW_농산물_10월'!$A:$A,$E346),COUNTIFS('RAW_농산물_11-12월'!$D:$D,$C346,'RAW_농산물_11-12월'!$A:$A,$E346))))</f>
        <v>0</v>
      </c>
    </row>
    <row r="347" ht="15.75" customHeight="1">
      <c r="A347" s="5"/>
      <c r="B347" s="5"/>
      <c r="C347" s="5"/>
      <c r="D347" s="6"/>
      <c r="E347" s="5"/>
      <c r="F347" s="7" t="str">
        <f>IF($C347="","",IF('설정'!$B$3=0,"",CHOOSE('설정'!$B$3,SUMIFS('RAW_농산물_7월'!$F:$F,'RAW_농산물_7월'!$D:$D,$C347,'RAW_농산물_7월'!$A:$A,$E347),SUMIFS('RAW_농산물_8월'!$F:$F,'RAW_농산물_8월'!$D:$D,$C347,'RAW_농산물_8월'!$A:$A,$E347),SUMIFS('RAW_농산물_9월'!$F:$F,'RAW_농산물_9월'!$D:$D,$C347,'RAW_농산물_9월'!$A:$A,$E347),SUMIFS('RAW_농산물_10월'!$F:$F,'RAW_농산물_10월'!$D:$D,$C347,'RAW_농산물_10월'!$A:$A,$E347),SUMIFS('RAW_농산물_11-12월'!$F:$F,'RAW_농산물_11-12월'!$D:$D,$C347,'RAW_농산물_11-12월'!$A:$A,$E347))))</f>
        <v/>
      </c>
      <c r="G347" s="7" t="str">
        <f>IF($C347="","",IF('설정'!$B$3=0,"",CHOOSE('설정'!$B$3,SUMIFS('RAW_농산물_7월'!$G:$G,'RAW_농산물_7월'!$D:$D,$C347,'RAW_농산물_7월'!$A:$A,$E347),SUMIFS('RAW_농산물_8월'!$G:$G,'RAW_농산물_8월'!$D:$D,$C347,'RAW_농산물_8월'!$A:$A,$E347),SUMIFS('RAW_농산물_9월'!$G:$G,'RAW_농산물_9월'!$D:$D,$C347,'RAW_농산물_9월'!$A:$A,$E347),SUMIFS('RAW_농산물_10월'!$G:$G,'RAW_농산물_10월'!$D:$D,$C347,'RAW_농산물_10월'!$A:$A,$E347),SUMIFS('RAW_농산물_11-12월'!$G:$G,'RAW_농산물_11-12월'!$D:$D,$C347,'RAW_농산물_11-12월'!$A:$A,$E347))))</f>
        <v/>
      </c>
      <c r="H347" s="14" t="str">
        <f>IF($C347="","",IF('설정'!$B$3=0,"",CHOOSE('설정'!$B$3,SUMIFS('RAW_농산물_7월'!$H:$H,'RAW_농산물_7월'!$D:$D,$C347,'RAW_농산물_7월'!$A:$A,$E347),SUMIFS('RAW_농산물_8월'!$H:$H,'RAW_농산물_8월'!$D:$D,$C347,'RAW_농산물_8월'!$A:$A,$E347),SUMIFS('RAW_농산물_9월'!$H:$H,'RAW_농산물_9월'!$D:$D,$C347,'RAW_농산물_9월'!$A:$A,$E347),SUMIFS('RAW_농산물_10월'!$H:$H,'RAW_농산물_10월'!$D:$D,$C347,'RAW_농산물_10월'!$A:$A,$E347),SUMIFS('RAW_농산물_11-12월'!$H:$H,'RAW_농산물_11-12월'!$D:$D,$C347,'RAW_농산물_11-12월'!$A:$A,$E347))))</f>
        <v/>
      </c>
      <c r="I347" s="17" t="str">
        <f>IF($C347="","",IF(COUNTIFS('RAW_농산물_7월'!$D:$D,$C347,'RAW_농산물_7월'!$A:$A,$E347)&gt;0,"O",""))</f>
        <v/>
      </c>
      <c r="J347" s="17" t="str">
        <f>IF($C347="","",IF(COUNTIFS('RAW_농산물_8월'!$D:$D,$C347,'RAW_농산물_8월'!$A:$A,$E347)&gt;0,"O",""))</f>
        <v/>
      </c>
      <c r="K347" s="17" t="str">
        <f>IF($C347="","",IF(COUNTIFS('RAW_농산물_9월'!$D:$D,$C347,'RAW_농산물_9월'!$A:$A,$E347)&gt;0,"O",""))</f>
        <v/>
      </c>
      <c r="L347" s="17" t="str">
        <f>IF($C347="","",IF(COUNTIFS('RAW_농산물_10월'!$D:$D,$C347,'RAW_농산물_10월'!$A:$A,$E347)&gt;0,"O",""))</f>
        <v/>
      </c>
      <c r="M347" s="17" t="str">
        <f>IF($C347="","",IF(COUNTIFS('RAW_농산물_11-12월'!$D:$D,$C347,'RAW_농산물_11-12월'!$A:$A,$E347)&gt;0,"O",""))</f>
        <v/>
      </c>
      <c r="N347" s="7" t="str">
        <f>IF($C347="","",IF(COUNTA('RAW_농산물_7월'!$A:$A)&lt;=1,"",SUMIFS('RAW_농산물_7월'!$H:$H,'RAW_농산물_7월'!$D:$D,$C347,'RAW_농산물_7월'!$A:$A,$E347)))</f>
        <v/>
      </c>
      <c r="O347" s="7" t="str">
        <f>IF($C347="","",IF(COUNTA('RAW_농산물_8월'!$A:$A)&lt;=1,"",SUMIFS('RAW_농산물_8월'!$H:$H,'RAW_농산물_8월'!$D:$D,$C347,'RAW_농산물_8월'!$A:$A,$E347)-SUMIFS('RAW_농산물_7월'!$H:$H,'RAW_농산물_7월'!$D:$D,$C347,'RAW_농산물_7월'!$A:$A,$E347)))</f>
        <v/>
      </c>
      <c r="P347" s="7" t="str">
        <f>IF($C347="","",IF(COUNTA('RAW_농산물_9월'!$A:$A)&lt;=1,"",SUMIFS('RAW_농산물_9월'!$H:$H,'RAW_농산물_9월'!$D:$D,$C347,'RAW_농산물_9월'!$A:$A,$E347)-SUMIFS('RAW_농산물_8월'!$H:$H,'RAW_농산물_8월'!$D:$D,$C347,'RAW_농산물_8월'!$A:$A,$E347)))</f>
        <v/>
      </c>
      <c r="Q347" s="7" t="str">
        <f>IF($C347="","",IF(COUNTA('RAW_농산물_10월'!$A:$A)&lt;=1,"",SUMIFS('RAW_농산물_10월'!$H:$H,'RAW_농산물_10월'!$D:$D,$C347,'RAW_농산물_10월'!$A:$A,$E347)-SUMIFS('RAW_농산물_9월'!$H:$H,'RAW_농산물_9월'!$D:$D,$C347,'RAW_농산물_9월'!$A:$A,$E347)))</f>
        <v/>
      </c>
      <c r="R347" s="7" t="str">
        <f>IF($C347="","",IF(COUNTA('RAW_농산물_11-12월'!$A:$A)&lt;=1,"",SUMIFS('RAW_농산물_11-12월'!$H:$H,'RAW_농산물_11-12월'!$D:$D,$C347,'RAW_농산물_11-12월'!$A:$A,$E347)-SUMIFS('RAW_농산물_10월'!$H:$H,'RAW_농산물_10월'!$D:$D,$C347,'RAW_농산물_10월'!$A:$A,$E347)))</f>
        <v/>
      </c>
      <c r="S347" s="17" t="str">
        <f t="shared" si="4"/>
        <v/>
      </c>
      <c r="T347" s="17" t="str">
        <f t="shared" si="5"/>
        <v/>
      </c>
      <c r="U347" s="7">
        <f>IF($C347="",0,IF('설정'!$B$3=0,0,CHOOSE('설정'!$B$3,COUNTIFS('RAW_농산물_7월'!$D:$D,$C347,'RAW_농산물_7월'!$A:$A,$E347),COUNTIFS('RAW_농산물_8월'!$D:$D,$C347,'RAW_농산물_8월'!$A:$A,$E347),COUNTIFS('RAW_농산물_9월'!$D:$D,$C347,'RAW_농산물_9월'!$A:$A,$E347),COUNTIFS('RAW_농산물_10월'!$D:$D,$C347,'RAW_농산물_10월'!$A:$A,$E347),COUNTIFS('RAW_농산물_11-12월'!$D:$D,$C347,'RAW_농산물_11-12월'!$A:$A,$E347))))</f>
        <v>0</v>
      </c>
    </row>
    <row r="348" ht="15.75" customHeight="1">
      <c r="A348" s="5"/>
      <c r="B348" s="5"/>
      <c r="C348" s="5"/>
      <c r="D348" s="6"/>
      <c r="E348" s="5"/>
      <c r="F348" s="7" t="str">
        <f>IF($C348="","",IF('설정'!$B$3=0,"",CHOOSE('설정'!$B$3,SUMIFS('RAW_농산물_7월'!$F:$F,'RAW_농산물_7월'!$D:$D,$C348,'RAW_농산물_7월'!$A:$A,$E348),SUMIFS('RAW_농산물_8월'!$F:$F,'RAW_농산물_8월'!$D:$D,$C348,'RAW_농산물_8월'!$A:$A,$E348),SUMIFS('RAW_농산물_9월'!$F:$F,'RAW_농산물_9월'!$D:$D,$C348,'RAW_농산물_9월'!$A:$A,$E348),SUMIFS('RAW_농산물_10월'!$F:$F,'RAW_농산물_10월'!$D:$D,$C348,'RAW_농산물_10월'!$A:$A,$E348),SUMIFS('RAW_농산물_11-12월'!$F:$F,'RAW_농산물_11-12월'!$D:$D,$C348,'RAW_농산물_11-12월'!$A:$A,$E348))))</f>
        <v/>
      </c>
      <c r="G348" s="7" t="str">
        <f>IF($C348="","",IF('설정'!$B$3=0,"",CHOOSE('설정'!$B$3,SUMIFS('RAW_농산물_7월'!$G:$G,'RAW_농산물_7월'!$D:$D,$C348,'RAW_농산물_7월'!$A:$A,$E348),SUMIFS('RAW_농산물_8월'!$G:$G,'RAW_농산물_8월'!$D:$D,$C348,'RAW_농산물_8월'!$A:$A,$E348),SUMIFS('RAW_농산물_9월'!$G:$G,'RAW_농산물_9월'!$D:$D,$C348,'RAW_농산물_9월'!$A:$A,$E348),SUMIFS('RAW_농산물_10월'!$G:$G,'RAW_농산물_10월'!$D:$D,$C348,'RAW_농산물_10월'!$A:$A,$E348),SUMIFS('RAW_농산물_11-12월'!$G:$G,'RAW_농산물_11-12월'!$D:$D,$C348,'RAW_농산물_11-12월'!$A:$A,$E348))))</f>
        <v/>
      </c>
      <c r="H348" s="14" t="str">
        <f>IF($C348="","",IF('설정'!$B$3=0,"",CHOOSE('설정'!$B$3,SUMIFS('RAW_농산물_7월'!$H:$H,'RAW_농산물_7월'!$D:$D,$C348,'RAW_농산물_7월'!$A:$A,$E348),SUMIFS('RAW_농산물_8월'!$H:$H,'RAW_농산물_8월'!$D:$D,$C348,'RAW_농산물_8월'!$A:$A,$E348),SUMIFS('RAW_농산물_9월'!$H:$H,'RAW_농산물_9월'!$D:$D,$C348,'RAW_농산물_9월'!$A:$A,$E348),SUMIFS('RAW_농산물_10월'!$H:$H,'RAW_농산물_10월'!$D:$D,$C348,'RAW_농산물_10월'!$A:$A,$E348),SUMIFS('RAW_농산물_11-12월'!$H:$H,'RAW_농산물_11-12월'!$D:$D,$C348,'RAW_농산물_11-12월'!$A:$A,$E348))))</f>
        <v/>
      </c>
      <c r="I348" s="17" t="str">
        <f>IF($C348="","",IF(COUNTIFS('RAW_농산물_7월'!$D:$D,$C348,'RAW_농산물_7월'!$A:$A,$E348)&gt;0,"O",""))</f>
        <v/>
      </c>
      <c r="J348" s="17" t="str">
        <f>IF($C348="","",IF(COUNTIFS('RAW_농산물_8월'!$D:$D,$C348,'RAW_농산물_8월'!$A:$A,$E348)&gt;0,"O",""))</f>
        <v/>
      </c>
      <c r="K348" s="17" t="str">
        <f>IF($C348="","",IF(COUNTIFS('RAW_농산물_9월'!$D:$D,$C348,'RAW_농산물_9월'!$A:$A,$E348)&gt;0,"O",""))</f>
        <v/>
      </c>
      <c r="L348" s="17" t="str">
        <f>IF($C348="","",IF(COUNTIFS('RAW_농산물_10월'!$D:$D,$C348,'RAW_농산물_10월'!$A:$A,$E348)&gt;0,"O",""))</f>
        <v/>
      </c>
      <c r="M348" s="17" t="str">
        <f>IF($C348="","",IF(COUNTIFS('RAW_농산물_11-12월'!$D:$D,$C348,'RAW_농산물_11-12월'!$A:$A,$E348)&gt;0,"O",""))</f>
        <v/>
      </c>
      <c r="N348" s="7" t="str">
        <f>IF($C348="","",IF(COUNTA('RAW_농산물_7월'!$A:$A)&lt;=1,"",SUMIFS('RAW_농산물_7월'!$H:$H,'RAW_농산물_7월'!$D:$D,$C348,'RAW_농산물_7월'!$A:$A,$E348)))</f>
        <v/>
      </c>
      <c r="O348" s="7" t="str">
        <f>IF($C348="","",IF(COUNTA('RAW_농산물_8월'!$A:$A)&lt;=1,"",SUMIFS('RAW_농산물_8월'!$H:$H,'RAW_농산물_8월'!$D:$D,$C348,'RAW_농산물_8월'!$A:$A,$E348)-SUMIFS('RAW_농산물_7월'!$H:$H,'RAW_농산물_7월'!$D:$D,$C348,'RAW_농산물_7월'!$A:$A,$E348)))</f>
        <v/>
      </c>
      <c r="P348" s="7" t="str">
        <f>IF($C348="","",IF(COUNTA('RAW_농산물_9월'!$A:$A)&lt;=1,"",SUMIFS('RAW_농산물_9월'!$H:$H,'RAW_농산물_9월'!$D:$D,$C348,'RAW_농산물_9월'!$A:$A,$E348)-SUMIFS('RAW_농산물_8월'!$H:$H,'RAW_농산물_8월'!$D:$D,$C348,'RAW_농산물_8월'!$A:$A,$E348)))</f>
        <v/>
      </c>
      <c r="Q348" s="7" t="str">
        <f>IF($C348="","",IF(COUNTA('RAW_농산물_10월'!$A:$A)&lt;=1,"",SUMIFS('RAW_농산물_10월'!$H:$H,'RAW_농산물_10월'!$D:$D,$C348,'RAW_농산물_10월'!$A:$A,$E348)-SUMIFS('RAW_농산물_9월'!$H:$H,'RAW_농산물_9월'!$D:$D,$C348,'RAW_농산물_9월'!$A:$A,$E348)))</f>
        <v/>
      </c>
      <c r="R348" s="7" t="str">
        <f>IF($C348="","",IF(COUNTA('RAW_농산물_11-12월'!$A:$A)&lt;=1,"",SUMIFS('RAW_농산물_11-12월'!$H:$H,'RAW_농산물_11-12월'!$D:$D,$C348,'RAW_농산물_11-12월'!$A:$A,$E348)-SUMIFS('RAW_농산물_10월'!$H:$H,'RAW_농산물_10월'!$D:$D,$C348,'RAW_농산물_10월'!$A:$A,$E348)))</f>
        <v/>
      </c>
      <c r="S348" s="17" t="str">
        <f t="shared" si="4"/>
        <v/>
      </c>
      <c r="T348" s="17" t="str">
        <f t="shared" si="5"/>
        <v/>
      </c>
      <c r="U348" s="7">
        <f>IF($C348="",0,IF('설정'!$B$3=0,0,CHOOSE('설정'!$B$3,COUNTIFS('RAW_농산물_7월'!$D:$D,$C348,'RAW_농산물_7월'!$A:$A,$E348),COUNTIFS('RAW_농산물_8월'!$D:$D,$C348,'RAW_농산물_8월'!$A:$A,$E348),COUNTIFS('RAW_농산물_9월'!$D:$D,$C348,'RAW_농산물_9월'!$A:$A,$E348),COUNTIFS('RAW_농산물_10월'!$D:$D,$C348,'RAW_농산물_10월'!$A:$A,$E348),COUNTIFS('RAW_농산물_11-12월'!$D:$D,$C348,'RAW_농산물_11-12월'!$A:$A,$E348))))</f>
        <v>0</v>
      </c>
    </row>
    <row r="349" ht="15.75" customHeight="1">
      <c r="A349" s="5"/>
      <c r="B349" s="5"/>
      <c r="C349" s="5"/>
      <c r="D349" s="6"/>
      <c r="E349" s="5"/>
      <c r="F349" s="7" t="str">
        <f>IF($C349="","",IF('설정'!$B$3=0,"",CHOOSE('설정'!$B$3,SUMIFS('RAW_농산물_7월'!$F:$F,'RAW_농산물_7월'!$D:$D,$C349,'RAW_농산물_7월'!$A:$A,$E349),SUMIFS('RAW_농산물_8월'!$F:$F,'RAW_농산물_8월'!$D:$D,$C349,'RAW_농산물_8월'!$A:$A,$E349),SUMIFS('RAW_농산물_9월'!$F:$F,'RAW_농산물_9월'!$D:$D,$C349,'RAW_농산물_9월'!$A:$A,$E349),SUMIFS('RAW_농산물_10월'!$F:$F,'RAW_농산물_10월'!$D:$D,$C349,'RAW_농산물_10월'!$A:$A,$E349),SUMIFS('RAW_농산물_11-12월'!$F:$F,'RAW_농산물_11-12월'!$D:$D,$C349,'RAW_농산물_11-12월'!$A:$A,$E349))))</f>
        <v/>
      </c>
      <c r="G349" s="7" t="str">
        <f>IF($C349="","",IF('설정'!$B$3=0,"",CHOOSE('설정'!$B$3,SUMIFS('RAW_농산물_7월'!$G:$G,'RAW_농산물_7월'!$D:$D,$C349,'RAW_농산물_7월'!$A:$A,$E349),SUMIFS('RAW_농산물_8월'!$G:$G,'RAW_농산물_8월'!$D:$D,$C349,'RAW_농산물_8월'!$A:$A,$E349),SUMIFS('RAW_농산물_9월'!$G:$G,'RAW_농산물_9월'!$D:$D,$C349,'RAW_농산물_9월'!$A:$A,$E349),SUMIFS('RAW_농산물_10월'!$G:$G,'RAW_농산물_10월'!$D:$D,$C349,'RAW_농산물_10월'!$A:$A,$E349),SUMIFS('RAW_농산물_11-12월'!$G:$G,'RAW_농산물_11-12월'!$D:$D,$C349,'RAW_농산물_11-12월'!$A:$A,$E349))))</f>
        <v/>
      </c>
      <c r="H349" s="14" t="str">
        <f>IF($C349="","",IF('설정'!$B$3=0,"",CHOOSE('설정'!$B$3,SUMIFS('RAW_농산물_7월'!$H:$H,'RAW_농산물_7월'!$D:$D,$C349,'RAW_농산물_7월'!$A:$A,$E349),SUMIFS('RAW_농산물_8월'!$H:$H,'RAW_농산물_8월'!$D:$D,$C349,'RAW_농산물_8월'!$A:$A,$E349),SUMIFS('RAW_농산물_9월'!$H:$H,'RAW_농산물_9월'!$D:$D,$C349,'RAW_농산물_9월'!$A:$A,$E349),SUMIFS('RAW_농산물_10월'!$H:$H,'RAW_농산물_10월'!$D:$D,$C349,'RAW_농산물_10월'!$A:$A,$E349),SUMIFS('RAW_농산물_11-12월'!$H:$H,'RAW_농산물_11-12월'!$D:$D,$C349,'RAW_농산물_11-12월'!$A:$A,$E349))))</f>
        <v/>
      </c>
      <c r="I349" s="17" t="str">
        <f>IF($C349="","",IF(COUNTIFS('RAW_농산물_7월'!$D:$D,$C349,'RAW_농산물_7월'!$A:$A,$E349)&gt;0,"O",""))</f>
        <v/>
      </c>
      <c r="J349" s="17" t="str">
        <f>IF($C349="","",IF(COUNTIFS('RAW_농산물_8월'!$D:$D,$C349,'RAW_농산물_8월'!$A:$A,$E349)&gt;0,"O",""))</f>
        <v/>
      </c>
      <c r="K349" s="17" t="str">
        <f>IF($C349="","",IF(COUNTIFS('RAW_농산물_9월'!$D:$D,$C349,'RAW_농산물_9월'!$A:$A,$E349)&gt;0,"O",""))</f>
        <v/>
      </c>
      <c r="L349" s="17" t="str">
        <f>IF($C349="","",IF(COUNTIFS('RAW_농산물_10월'!$D:$D,$C349,'RAW_농산물_10월'!$A:$A,$E349)&gt;0,"O",""))</f>
        <v/>
      </c>
      <c r="M349" s="17" t="str">
        <f>IF($C349="","",IF(COUNTIFS('RAW_농산물_11-12월'!$D:$D,$C349,'RAW_농산물_11-12월'!$A:$A,$E349)&gt;0,"O",""))</f>
        <v/>
      </c>
      <c r="N349" s="7" t="str">
        <f>IF($C349="","",IF(COUNTA('RAW_농산물_7월'!$A:$A)&lt;=1,"",SUMIFS('RAW_농산물_7월'!$H:$H,'RAW_농산물_7월'!$D:$D,$C349,'RAW_농산물_7월'!$A:$A,$E349)))</f>
        <v/>
      </c>
      <c r="O349" s="7" t="str">
        <f>IF($C349="","",IF(COUNTA('RAW_농산물_8월'!$A:$A)&lt;=1,"",SUMIFS('RAW_농산물_8월'!$H:$H,'RAW_농산물_8월'!$D:$D,$C349,'RAW_농산물_8월'!$A:$A,$E349)-SUMIFS('RAW_농산물_7월'!$H:$H,'RAW_농산물_7월'!$D:$D,$C349,'RAW_농산물_7월'!$A:$A,$E349)))</f>
        <v/>
      </c>
      <c r="P349" s="7" t="str">
        <f>IF($C349="","",IF(COUNTA('RAW_농산물_9월'!$A:$A)&lt;=1,"",SUMIFS('RAW_농산물_9월'!$H:$H,'RAW_농산물_9월'!$D:$D,$C349,'RAW_농산물_9월'!$A:$A,$E349)-SUMIFS('RAW_농산물_8월'!$H:$H,'RAW_농산물_8월'!$D:$D,$C349,'RAW_농산물_8월'!$A:$A,$E349)))</f>
        <v/>
      </c>
      <c r="Q349" s="7" t="str">
        <f>IF($C349="","",IF(COUNTA('RAW_농산물_10월'!$A:$A)&lt;=1,"",SUMIFS('RAW_농산물_10월'!$H:$H,'RAW_농산물_10월'!$D:$D,$C349,'RAW_농산물_10월'!$A:$A,$E349)-SUMIFS('RAW_농산물_9월'!$H:$H,'RAW_농산물_9월'!$D:$D,$C349,'RAW_농산물_9월'!$A:$A,$E349)))</f>
        <v/>
      </c>
      <c r="R349" s="7" t="str">
        <f>IF($C349="","",IF(COUNTA('RAW_농산물_11-12월'!$A:$A)&lt;=1,"",SUMIFS('RAW_농산물_11-12월'!$H:$H,'RAW_농산물_11-12월'!$D:$D,$C349,'RAW_농산물_11-12월'!$A:$A,$E349)-SUMIFS('RAW_농산물_10월'!$H:$H,'RAW_농산물_10월'!$D:$D,$C349,'RAW_농산물_10월'!$A:$A,$E349)))</f>
        <v/>
      </c>
      <c r="S349" s="17" t="str">
        <f t="shared" si="4"/>
        <v/>
      </c>
      <c r="T349" s="17" t="str">
        <f t="shared" si="5"/>
        <v/>
      </c>
      <c r="U349" s="7">
        <f>IF($C349="",0,IF('설정'!$B$3=0,0,CHOOSE('설정'!$B$3,COUNTIFS('RAW_농산물_7월'!$D:$D,$C349,'RAW_농산물_7월'!$A:$A,$E349),COUNTIFS('RAW_농산물_8월'!$D:$D,$C349,'RAW_농산물_8월'!$A:$A,$E349),COUNTIFS('RAW_농산물_9월'!$D:$D,$C349,'RAW_농산물_9월'!$A:$A,$E349),COUNTIFS('RAW_농산물_10월'!$D:$D,$C349,'RAW_농산물_10월'!$A:$A,$E349),COUNTIFS('RAW_농산물_11-12월'!$D:$D,$C349,'RAW_농산물_11-12월'!$A:$A,$E349))))</f>
        <v>0</v>
      </c>
    </row>
    <row r="350" ht="15.75" customHeight="1">
      <c r="A350" s="5"/>
      <c r="B350" s="5"/>
      <c r="C350" s="5"/>
      <c r="D350" s="6"/>
      <c r="E350" s="5"/>
      <c r="F350" s="7" t="str">
        <f>IF($C350="","",IF('설정'!$B$3=0,"",CHOOSE('설정'!$B$3,SUMIFS('RAW_농산물_7월'!$F:$F,'RAW_농산물_7월'!$D:$D,$C350,'RAW_농산물_7월'!$A:$A,$E350),SUMIFS('RAW_농산물_8월'!$F:$F,'RAW_농산물_8월'!$D:$D,$C350,'RAW_농산물_8월'!$A:$A,$E350),SUMIFS('RAW_농산물_9월'!$F:$F,'RAW_농산물_9월'!$D:$D,$C350,'RAW_농산물_9월'!$A:$A,$E350),SUMIFS('RAW_농산물_10월'!$F:$F,'RAW_농산물_10월'!$D:$D,$C350,'RAW_농산물_10월'!$A:$A,$E350),SUMIFS('RAW_농산물_11-12월'!$F:$F,'RAW_농산물_11-12월'!$D:$D,$C350,'RAW_농산물_11-12월'!$A:$A,$E350))))</f>
        <v/>
      </c>
      <c r="G350" s="7" t="str">
        <f>IF($C350="","",IF('설정'!$B$3=0,"",CHOOSE('설정'!$B$3,SUMIFS('RAW_농산물_7월'!$G:$G,'RAW_농산물_7월'!$D:$D,$C350,'RAW_농산물_7월'!$A:$A,$E350),SUMIFS('RAW_농산물_8월'!$G:$G,'RAW_농산물_8월'!$D:$D,$C350,'RAW_농산물_8월'!$A:$A,$E350),SUMIFS('RAW_농산물_9월'!$G:$G,'RAW_농산물_9월'!$D:$D,$C350,'RAW_농산물_9월'!$A:$A,$E350),SUMIFS('RAW_농산물_10월'!$G:$G,'RAW_농산물_10월'!$D:$D,$C350,'RAW_농산물_10월'!$A:$A,$E350),SUMIFS('RAW_농산물_11-12월'!$G:$G,'RAW_농산물_11-12월'!$D:$D,$C350,'RAW_농산물_11-12월'!$A:$A,$E350))))</f>
        <v/>
      </c>
      <c r="H350" s="14" t="str">
        <f>IF($C350="","",IF('설정'!$B$3=0,"",CHOOSE('설정'!$B$3,SUMIFS('RAW_농산물_7월'!$H:$H,'RAW_농산물_7월'!$D:$D,$C350,'RAW_농산물_7월'!$A:$A,$E350),SUMIFS('RAW_농산물_8월'!$H:$H,'RAW_농산물_8월'!$D:$D,$C350,'RAW_농산물_8월'!$A:$A,$E350),SUMIFS('RAW_농산물_9월'!$H:$H,'RAW_농산물_9월'!$D:$D,$C350,'RAW_농산물_9월'!$A:$A,$E350),SUMIFS('RAW_농산물_10월'!$H:$H,'RAW_농산물_10월'!$D:$D,$C350,'RAW_농산물_10월'!$A:$A,$E350),SUMIFS('RAW_농산물_11-12월'!$H:$H,'RAW_농산물_11-12월'!$D:$D,$C350,'RAW_농산물_11-12월'!$A:$A,$E350))))</f>
        <v/>
      </c>
      <c r="I350" s="17" t="str">
        <f>IF($C350="","",IF(COUNTIFS('RAW_농산물_7월'!$D:$D,$C350,'RAW_농산물_7월'!$A:$A,$E350)&gt;0,"O",""))</f>
        <v/>
      </c>
      <c r="J350" s="17" t="str">
        <f>IF($C350="","",IF(COUNTIFS('RAW_농산물_8월'!$D:$D,$C350,'RAW_농산물_8월'!$A:$A,$E350)&gt;0,"O",""))</f>
        <v/>
      </c>
      <c r="K350" s="17" t="str">
        <f>IF($C350="","",IF(COUNTIFS('RAW_농산물_9월'!$D:$D,$C350,'RAW_농산물_9월'!$A:$A,$E350)&gt;0,"O",""))</f>
        <v/>
      </c>
      <c r="L350" s="17" t="str">
        <f>IF($C350="","",IF(COUNTIFS('RAW_농산물_10월'!$D:$D,$C350,'RAW_농산물_10월'!$A:$A,$E350)&gt;0,"O",""))</f>
        <v/>
      </c>
      <c r="M350" s="17" t="str">
        <f>IF($C350="","",IF(COUNTIFS('RAW_농산물_11-12월'!$D:$D,$C350,'RAW_농산물_11-12월'!$A:$A,$E350)&gt;0,"O",""))</f>
        <v/>
      </c>
      <c r="N350" s="7" t="str">
        <f>IF($C350="","",IF(COUNTA('RAW_농산물_7월'!$A:$A)&lt;=1,"",SUMIFS('RAW_농산물_7월'!$H:$H,'RAW_농산물_7월'!$D:$D,$C350,'RAW_농산물_7월'!$A:$A,$E350)))</f>
        <v/>
      </c>
      <c r="O350" s="7" t="str">
        <f>IF($C350="","",IF(COUNTA('RAW_농산물_8월'!$A:$A)&lt;=1,"",SUMIFS('RAW_농산물_8월'!$H:$H,'RAW_농산물_8월'!$D:$D,$C350,'RAW_농산물_8월'!$A:$A,$E350)-SUMIFS('RAW_농산물_7월'!$H:$H,'RAW_농산물_7월'!$D:$D,$C350,'RAW_농산물_7월'!$A:$A,$E350)))</f>
        <v/>
      </c>
      <c r="P350" s="7" t="str">
        <f>IF($C350="","",IF(COUNTA('RAW_농산물_9월'!$A:$A)&lt;=1,"",SUMIFS('RAW_농산물_9월'!$H:$H,'RAW_농산물_9월'!$D:$D,$C350,'RAW_농산물_9월'!$A:$A,$E350)-SUMIFS('RAW_농산물_8월'!$H:$H,'RAW_농산물_8월'!$D:$D,$C350,'RAW_농산물_8월'!$A:$A,$E350)))</f>
        <v/>
      </c>
      <c r="Q350" s="7" t="str">
        <f>IF($C350="","",IF(COUNTA('RAW_농산물_10월'!$A:$A)&lt;=1,"",SUMIFS('RAW_농산물_10월'!$H:$H,'RAW_농산물_10월'!$D:$D,$C350,'RAW_농산물_10월'!$A:$A,$E350)-SUMIFS('RAW_농산물_9월'!$H:$H,'RAW_농산물_9월'!$D:$D,$C350,'RAW_농산물_9월'!$A:$A,$E350)))</f>
        <v/>
      </c>
      <c r="R350" s="7" t="str">
        <f>IF($C350="","",IF(COUNTA('RAW_농산물_11-12월'!$A:$A)&lt;=1,"",SUMIFS('RAW_농산물_11-12월'!$H:$H,'RAW_농산물_11-12월'!$D:$D,$C350,'RAW_농산물_11-12월'!$A:$A,$E350)-SUMIFS('RAW_농산물_10월'!$H:$H,'RAW_농산물_10월'!$D:$D,$C350,'RAW_농산물_10월'!$A:$A,$E350)))</f>
        <v/>
      </c>
      <c r="S350" s="17" t="str">
        <f t="shared" si="4"/>
        <v/>
      </c>
      <c r="T350" s="17" t="str">
        <f t="shared" si="5"/>
        <v/>
      </c>
      <c r="U350" s="7">
        <f>IF($C350="",0,IF('설정'!$B$3=0,0,CHOOSE('설정'!$B$3,COUNTIFS('RAW_농산물_7월'!$D:$D,$C350,'RAW_농산물_7월'!$A:$A,$E350),COUNTIFS('RAW_농산물_8월'!$D:$D,$C350,'RAW_농산물_8월'!$A:$A,$E350),COUNTIFS('RAW_농산물_9월'!$D:$D,$C350,'RAW_농산물_9월'!$A:$A,$E350),COUNTIFS('RAW_농산물_10월'!$D:$D,$C350,'RAW_농산물_10월'!$A:$A,$E350),COUNTIFS('RAW_농산물_11-12월'!$D:$D,$C350,'RAW_농산물_11-12월'!$A:$A,$E350))))</f>
        <v>0</v>
      </c>
    </row>
    <row r="351" ht="15.75" customHeight="1">
      <c r="A351" s="5"/>
      <c r="B351" s="5"/>
      <c r="C351" s="5"/>
      <c r="D351" s="6"/>
      <c r="E351" s="5"/>
      <c r="F351" s="7" t="str">
        <f>IF($C351="","",IF('설정'!$B$3=0,"",CHOOSE('설정'!$B$3,SUMIFS('RAW_농산물_7월'!$F:$F,'RAW_농산물_7월'!$D:$D,$C351,'RAW_농산물_7월'!$A:$A,$E351),SUMIFS('RAW_농산물_8월'!$F:$F,'RAW_농산물_8월'!$D:$D,$C351,'RAW_농산물_8월'!$A:$A,$E351),SUMIFS('RAW_농산물_9월'!$F:$F,'RAW_농산물_9월'!$D:$D,$C351,'RAW_농산물_9월'!$A:$A,$E351),SUMIFS('RAW_농산물_10월'!$F:$F,'RAW_농산물_10월'!$D:$D,$C351,'RAW_농산물_10월'!$A:$A,$E351),SUMIFS('RAW_농산물_11-12월'!$F:$F,'RAW_농산물_11-12월'!$D:$D,$C351,'RAW_농산물_11-12월'!$A:$A,$E351))))</f>
        <v/>
      </c>
      <c r="G351" s="7" t="str">
        <f>IF($C351="","",IF('설정'!$B$3=0,"",CHOOSE('설정'!$B$3,SUMIFS('RAW_농산물_7월'!$G:$G,'RAW_농산물_7월'!$D:$D,$C351,'RAW_농산물_7월'!$A:$A,$E351),SUMIFS('RAW_농산물_8월'!$G:$G,'RAW_농산물_8월'!$D:$D,$C351,'RAW_농산물_8월'!$A:$A,$E351),SUMIFS('RAW_농산물_9월'!$G:$G,'RAW_농산물_9월'!$D:$D,$C351,'RAW_농산물_9월'!$A:$A,$E351),SUMIFS('RAW_농산물_10월'!$G:$G,'RAW_농산물_10월'!$D:$D,$C351,'RAW_농산물_10월'!$A:$A,$E351),SUMIFS('RAW_농산물_11-12월'!$G:$G,'RAW_농산물_11-12월'!$D:$D,$C351,'RAW_농산물_11-12월'!$A:$A,$E351))))</f>
        <v/>
      </c>
      <c r="H351" s="14" t="str">
        <f>IF($C351="","",IF('설정'!$B$3=0,"",CHOOSE('설정'!$B$3,SUMIFS('RAW_농산물_7월'!$H:$H,'RAW_농산물_7월'!$D:$D,$C351,'RAW_농산물_7월'!$A:$A,$E351),SUMIFS('RAW_농산물_8월'!$H:$H,'RAW_농산물_8월'!$D:$D,$C351,'RAW_농산물_8월'!$A:$A,$E351),SUMIFS('RAW_농산물_9월'!$H:$H,'RAW_농산물_9월'!$D:$D,$C351,'RAW_농산물_9월'!$A:$A,$E351),SUMIFS('RAW_농산물_10월'!$H:$H,'RAW_농산물_10월'!$D:$D,$C351,'RAW_농산물_10월'!$A:$A,$E351),SUMIFS('RAW_농산물_11-12월'!$H:$H,'RAW_농산물_11-12월'!$D:$D,$C351,'RAW_농산물_11-12월'!$A:$A,$E351))))</f>
        <v/>
      </c>
      <c r="I351" s="17" t="str">
        <f>IF($C351="","",IF(COUNTIFS('RAW_농산물_7월'!$D:$D,$C351,'RAW_농산물_7월'!$A:$A,$E351)&gt;0,"O",""))</f>
        <v/>
      </c>
      <c r="J351" s="17" t="str">
        <f>IF($C351="","",IF(COUNTIFS('RAW_농산물_8월'!$D:$D,$C351,'RAW_농산물_8월'!$A:$A,$E351)&gt;0,"O",""))</f>
        <v/>
      </c>
      <c r="K351" s="17" t="str">
        <f>IF($C351="","",IF(COUNTIFS('RAW_농산물_9월'!$D:$D,$C351,'RAW_농산물_9월'!$A:$A,$E351)&gt;0,"O",""))</f>
        <v/>
      </c>
      <c r="L351" s="17" t="str">
        <f>IF($C351="","",IF(COUNTIFS('RAW_농산물_10월'!$D:$D,$C351,'RAW_농산물_10월'!$A:$A,$E351)&gt;0,"O",""))</f>
        <v/>
      </c>
      <c r="M351" s="17" t="str">
        <f>IF($C351="","",IF(COUNTIFS('RAW_농산물_11-12월'!$D:$D,$C351,'RAW_농산물_11-12월'!$A:$A,$E351)&gt;0,"O",""))</f>
        <v/>
      </c>
      <c r="N351" s="7" t="str">
        <f>IF($C351="","",IF(COUNTA('RAW_농산물_7월'!$A:$A)&lt;=1,"",SUMIFS('RAW_농산물_7월'!$H:$H,'RAW_농산물_7월'!$D:$D,$C351,'RAW_농산물_7월'!$A:$A,$E351)))</f>
        <v/>
      </c>
      <c r="O351" s="7" t="str">
        <f>IF($C351="","",IF(COUNTA('RAW_농산물_8월'!$A:$A)&lt;=1,"",SUMIFS('RAW_농산물_8월'!$H:$H,'RAW_농산물_8월'!$D:$D,$C351,'RAW_농산물_8월'!$A:$A,$E351)-SUMIFS('RAW_농산물_7월'!$H:$H,'RAW_농산물_7월'!$D:$D,$C351,'RAW_농산물_7월'!$A:$A,$E351)))</f>
        <v/>
      </c>
      <c r="P351" s="7" t="str">
        <f>IF($C351="","",IF(COUNTA('RAW_농산물_9월'!$A:$A)&lt;=1,"",SUMIFS('RAW_농산물_9월'!$H:$H,'RAW_농산물_9월'!$D:$D,$C351,'RAW_농산물_9월'!$A:$A,$E351)-SUMIFS('RAW_농산물_8월'!$H:$H,'RAW_농산물_8월'!$D:$D,$C351,'RAW_농산물_8월'!$A:$A,$E351)))</f>
        <v/>
      </c>
      <c r="Q351" s="7" t="str">
        <f>IF($C351="","",IF(COUNTA('RAW_농산물_10월'!$A:$A)&lt;=1,"",SUMIFS('RAW_농산물_10월'!$H:$H,'RAW_농산물_10월'!$D:$D,$C351,'RAW_농산물_10월'!$A:$A,$E351)-SUMIFS('RAW_농산물_9월'!$H:$H,'RAW_농산물_9월'!$D:$D,$C351,'RAW_농산물_9월'!$A:$A,$E351)))</f>
        <v/>
      </c>
      <c r="R351" s="7" t="str">
        <f>IF($C351="","",IF(COUNTA('RAW_농산물_11-12월'!$A:$A)&lt;=1,"",SUMIFS('RAW_농산물_11-12월'!$H:$H,'RAW_농산물_11-12월'!$D:$D,$C351,'RAW_농산물_11-12월'!$A:$A,$E351)-SUMIFS('RAW_농산물_10월'!$H:$H,'RAW_농산물_10월'!$D:$D,$C351,'RAW_농산물_10월'!$A:$A,$E351)))</f>
        <v/>
      </c>
      <c r="S351" s="17" t="str">
        <f t="shared" si="4"/>
        <v/>
      </c>
      <c r="T351" s="17" t="str">
        <f t="shared" si="5"/>
        <v/>
      </c>
      <c r="U351" s="7">
        <f>IF($C351="",0,IF('설정'!$B$3=0,0,CHOOSE('설정'!$B$3,COUNTIFS('RAW_농산물_7월'!$D:$D,$C351,'RAW_농산물_7월'!$A:$A,$E351),COUNTIFS('RAW_농산물_8월'!$D:$D,$C351,'RAW_농산물_8월'!$A:$A,$E351),COUNTIFS('RAW_농산물_9월'!$D:$D,$C351,'RAW_농산물_9월'!$A:$A,$E351),COUNTIFS('RAW_농산물_10월'!$D:$D,$C351,'RAW_농산물_10월'!$A:$A,$E351),COUNTIFS('RAW_농산물_11-12월'!$D:$D,$C351,'RAW_농산물_11-12월'!$A:$A,$E351))))</f>
        <v>0</v>
      </c>
    </row>
    <row r="352" ht="15.75" customHeight="1">
      <c r="A352" s="5"/>
      <c r="B352" s="5"/>
      <c r="C352" s="5"/>
      <c r="D352" s="6"/>
      <c r="E352" s="5"/>
      <c r="F352" s="7" t="str">
        <f>IF($C352="","",IF('설정'!$B$3=0,"",CHOOSE('설정'!$B$3,SUMIFS('RAW_농산물_7월'!$F:$F,'RAW_농산물_7월'!$D:$D,$C352,'RAW_농산물_7월'!$A:$A,$E352),SUMIFS('RAW_농산물_8월'!$F:$F,'RAW_농산물_8월'!$D:$D,$C352,'RAW_농산물_8월'!$A:$A,$E352),SUMIFS('RAW_농산물_9월'!$F:$F,'RAW_농산물_9월'!$D:$D,$C352,'RAW_농산물_9월'!$A:$A,$E352),SUMIFS('RAW_농산물_10월'!$F:$F,'RAW_농산물_10월'!$D:$D,$C352,'RAW_농산물_10월'!$A:$A,$E352),SUMIFS('RAW_농산물_11-12월'!$F:$F,'RAW_농산물_11-12월'!$D:$D,$C352,'RAW_농산물_11-12월'!$A:$A,$E352))))</f>
        <v/>
      </c>
      <c r="G352" s="7" t="str">
        <f>IF($C352="","",IF('설정'!$B$3=0,"",CHOOSE('설정'!$B$3,SUMIFS('RAW_농산물_7월'!$G:$G,'RAW_농산물_7월'!$D:$D,$C352,'RAW_농산물_7월'!$A:$A,$E352),SUMIFS('RAW_농산물_8월'!$G:$G,'RAW_농산물_8월'!$D:$D,$C352,'RAW_농산물_8월'!$A:$A,$E352),SUMIFS('RAW_농산물_9월'!$G:$G,'RAW_농산물_9월'!$D:$D,$C352,'RAW_농산물_9월'!$A:$A,$E352),SUMIFS('RAW_농산물_10월'!$G:$G,'RAW_농산물_10월'!$D:$D,$C352,'RAW_농산물_10월'!$A:$A,$E352),SUMIFS('RAW_농산물_11-12월'!$G:$G,'RAW_농산물_11-12월'!$D:$D,$C352,'RAW_농산물_11-12월'!$A:$A,$E352))))</f>
        <v/>
      </c>
      <c r="H352" s="14" t="str">
        <f>IF($C352="","",IF('설정'!$B$3=0,"",CHOOSE('설정'!$B$3,SUMIFS('RAW_농산물_7월'!$H:$H,'RAW_농산물_7월'!$D:$D,$C352,'RAW_농산물_7월'!$A:$A,$E352),SUMIFS('RAW_농산물_8월'!$H:$H,'RAW_농산물_8월'!$D:$D,$C352,'RAW_농산물_8월'!$A:$A,$E352),SUMIFS('RAW_농산물_9월'!$H:$H,'RAW_농산물_9월'!$D:$D,$C352,'RAW_농산물_9월'!$A:$A,$E352),SUMIFS('RAW_농산물_10월'!$H:$H,'RAW_농산물_10월'!$D:$D,$C352,'RAW_농산물_10월'!$A:$A,$E352),SUMIFS('RAW_농산물_11-12월'!$H:$H,'RAW_농산물_11-12월'!$D:$D,$C352,'RAW_농산물_11-12월'!$A:$A,$E352))))</f>
        <v/>
      </c>
      <c r="I352" s="17" t="str">
        <f>IF($C352="","",IF(COUNTIFS('RAW_농산물_7월'!$D:$D,$C352,'RAW_농산물_7월'!$A:$A,$E352)&gt;0,"O",""))</f>
        <v/>
      </c>
      <c r="J352" s="17" t="str">
        <f>IF($C352="","",IF(COUNTIFS('RAW_농산물_8월'!$D:$D,$C352,'RAW_농산물_8월'!$A:$A,$E352)&gt;0,"O",""))</f>
        <v/>
      </c>
      <c r="K352" s="17" t="str">
        <f>IF($C352="","",IF(COUNTIFS('RAW_농산물_9월'!$D:$D,$C352,'RAW_농산물_9월'!$A:$A,$E352)&gt;0,"O",""))</f>
        <v/>
      </c>
      <c r="L352" s="17" t="str">
        <f>IF($C352="","",IF(COUNTIFS('RAW_농산물_10월'!$D:$D,$C352,'RAW_농산물_10월'!$A:$A,$E352)&gt;0,"O",""))</f>
        <v/>
      </c>
      <c r="M352" s="17" t="str">
        <f>IF($C352="","",IF(COUNTIFS('RAW_농산물_11-12월'!$D:$D,$C352,'RAW_농산물_11-12월'!$A:$A,$E352)&gt;0,"O",""))</f>
        <v/>
      </c>
      <c r="N352" s="7" t="str">
        <f>IF($C352="","",IF(COUNTA('RAW_농산물_7월'!$A:$A)&lt;=1,"",SUMIFS('RAW_농산물_7월'!$H:$H,'RAW_농산물_7월'!$D:$D,$C352,'RAW_농산물_7월'!$A:$A,$E352)))</f>
        <v/>
      </c>
      <c r="O352" s="7" t="str">
        <f>IF($C352="","",IF(COUNTA('RAW_농산물_8월'!$A:$A)&lt;=1,"",SUMIFS('RAW_농산물_8월'!$H:$H,'RAW_농산물_8월'!$D:$D,$C352,'RAW_농산물_8월'!$A:$A,$E352)-SUMIFS('RAW_농산물_7월'!$H:$H,'RAW_농산물_7월'!$D:$D,$C352,'RAW_농산물_7월'!$A:$A,$E352)))</f>
        <v/>
      </c>
      <c r="P352" s="7" t="str">
        <f>IF($C352="","",IF(COUNTA('RAW_농산물_9월'!$A:$A)&lt;=1,"",SUMIFS('RAW_농산물_9월'!$H:$H,'RAW_농산물_9월'!$D:$D,$C352,'RAW_농산물_9월'!$A:$A,$E352)-SUMIFS('RAW_농산물_8월'!$H:$H,'RAW_농산물_8월'!$D:$D,$C352,'RAW_농산물_8월'!$A:$A,$E352)))</f>
        <v/>
      </c>
      <c r="Q352" s="7" t="str">
        <f>IF($C352="","",IF(COUNTA('RAW_농산물_10월'!$A:$A)&lt;=1,"",SUMIFS('RAW_농산물_10월'!$H:$H,'RAW_농산물_10월'!$D:$D,$C352,'RAW_농산물_10월'!$A:$A,$E352)-SUMIFS('RAW_농산물_9월'!$H:$H,'RAW_농산물_9월'!$D:$D,$C352,'RAW_농산물_9월'!$A:$A,$E352)))</f>
        <v/>
      </c>
      <c r="R352" s="7" t="str">
        <f>IF($C352="","",IF(COUNTA('RAW_농산물_11-12월'!$A:$A)&lt;=1,"",SUMIFS('RAW_농산물_11-12월'!$H:$H,'RAW_농산물_11-12월'!$D:$D,$C352,'RAW_농산물_11-12월'!$A:$A,$E352)-SUMIFS('RAW_농산물_10월'!$H:$H,'RAW_농산물_10월'!$D:$D,$C352,'RAW_농산물_10월'!$A:$A,$E352)))</f>
        <v/>
      </c>
      <c r="S352" s="17" t="str">
        <f t="shared" si="4"/>
        <v/>
      </c>
      <c r="T352" s="17" t="str">
        <f t="shared" si="5"/>
        <v/>
      </c>
      <c r="U352" s="7">
        <f>IF($C352="",0,IF('설정'!$B$3=0,0,CHOOSE('설정'!$B$3,COUNTIFS('RAW_농산물_7월'!$D:$D,$C352,'RAW_농산물_7월'!$A:$A,$E352),COUNTIFS('RAW_농산물_8월'!$D:$D,$C352,'RAW_농산물_8월'!$A:$A,$E352),COUNTIFS('RAW_농산물_9월'!$D:$D,$C352,'RAW_농산물_9월'!$A:$A,$E352),COUNTIFS('RAW_농산물_10월'!$D:$D,$C352,'RAW_농산물_10월'!$A:$A,$E352),COUNTIFS('RAW_농산물_11-12월'!$D:$D,$C352,'RAW_농산물_11-12월'!$A:$A,$E352))))</f>
        <v>0</v>
      </c>
    </row>
    <row r="353" ht="15.75" customHeight="1">
      <c r="A353" s="5"/>
      <c r="B353" s="5"/>
      <c r="C353" s="5"/>
      <c r="D353" s="6"/>
      <c r="E353" s="5"/>
      <c r="F353" s="7" t="str">
        <f>IF($C353="","",IF('설정'!$B$3=0,"",CHOOSE('설정'!$B$3,SUMIFS('RAW_농산물_7월'!$F:$F,'RAW_농산물_7월'!$D:$D,$C353,'RAW_농산물_7월'!$A:$A,$E353),SUMIFS('RAW_농산물_8월'!$F:$F,'RAW_농산물_8월'!$D:$D,$C353,'RAW_농산물_8월'!$A:$A,$E353),SUMIFS('RAW_농산물_9월'!$F:$F,'RAW_농산물_9월'!$D:$D,$C353,'RAW_농산물_9월'!$A:$A,$E353),SUMIFS('RAW_농산물_10월'!$F:$F,'RAW_농산물_10월'!$D:$D,$C353,'RAW_농산물_10월'!$A:$A,$E353),SUMIFS('RAW_농산물_11-12월'!$F:$F,'RAW_농산물_11-12월'!$D:$D,$C353,'RAW_농산물_11-12월'!$A:$A,$E353))))</f>
        <v/>
      </c>
      <c r="G353" s="7" t="str">
        <f>IF($C353="","",IF('설정'!$B$3=0,"",CHOOSE('설정'!$B$3,SUMIFS('RAW_농산물_7월'!$G:$G,'RAW_농산물_7월'!$D:$D,$C353,'RAW_농산물_7월'!$A:$A,$E353),SUMIFS('RAW_농산물_8월'!$G:$G,'RAW_농산물_8월'!$D:$D,$C353,'RAW_농산물_8월'!$A:$A,$E353),SUMIFS('RAW_농산물_9월'!$G:$G,'RAW_농산물_9월'!$D:$D,$C353,'RAW_농산물_9월'!$A:$A,$E353),SUMIFS('RAW_농산물_10월'!$G:$G,'RAW_농산물_10월'!$D:$D,$C353,'RAW_농산물_10월'!$A:$A,$E353),SUMIFS('RAW_농산물_11-12월'!$G:$G,'RAW_농산물_11-12월'!$D:$D,$C353,'RAW_농산물_11-12월'!$A:$A,$E353))))</f>
        <v/>
      </c>
      <c r="H353" s="14" t="str">
        <f>IF($C353="","",IF('설정'!$B$3=0,"",CHOOSE('설정'!$B$3,SUMIFS('RAW_농산물_7월'!$H:$H,'RAW_농산물_7월'!$D:$D,$C353,'RAW_농산물_7월'!$A:$A,$E353),SUMIFS('RAW_농산물_8월'!$H:$H,'RAW_농산물_8월'!$D:$D,$C353,'RAW_농산물_8월'!$A:$A,$E353),SUMIFS('RAW_농산물_9월'!$H:$H,'RAW_농산물_9월'!$D:$D,$C353,'RAW_농산물_9월'!$A:$A,$E353),SUMIFS('RAW_농산물_10월'!$H:$H,'RAW_농산물_10월'!$D:$D,$C353,'RAW_농산물_10월'!$A:$A,$E353),SUMIFS('RAW_농산물_11-12월'!$H:$H,'RAW_농산물_11-12월'!$D:$D,$C353,'RAW_농산물_11-12월'!$A:$A,$E353))))</f>
        <v/>
      </c>
      <c r="I353" s="17" t="str">
        <f>IF($C353="","",IF(COUNTIFS('RAW_농산물_7월'!$D:$D,$C353,'RAW_농산물_7월'!$A:$A,$E353)&gt;0,"O",""))</f>
        <v/>
      </c>
      <c r="J353" s="17" t="str">
        <f>IF($C353="","",IF(COUNTIFS('RAW_농산물_8월'!$D:$D,$C353,'RAW_농산물_8월'!$A:$A,$E353)&gt;0,"O",""))</f>
        <v/>
      </c>
      <c r="K353" s="17" t="str">
        <f>IF($C353="","",IF(COUNTIFS('RAW_농산물_9월'!$D:$D,$C353,'RAW_농산물_9월'!$A:$A,$E353)&gt;0,"O",""))</f>
        <v/>
      </c>
      <c r="L353" s="17" t="str">
        <f>IF($C353="","",IF(COUNTIFS('RAW_농산물_10월'!$D:$D,$C353,'RAW_농산물_10월'!$A:$A,$E353)&gt;0,"O",""))</f>
        <v/>
      </c>
      <c r="M353" s="17" t="str">
        <f>IF($C353="","",IF(COUNTIFS('RAW_농산물_11-12월'!$D:$D,$C353,'RAW_농산물_11-12월'!$A:$A,$E353)&gt;0,"O",""))</f>
        <v/>
      </c>
      <c r="N353" s="7" t="str">
        <f>IF($C353="","",IF(COUNTA('RAW_농산물_7월'!$A:$A)&lt;=1,"",SUMIFS('RAW_농산물_7월'!$H:$H,'RAW_농산물_7월'!$D:$D,$C353,'RAW_농산물_7월'!$A:$A,$E353)))</f>
        <v/>
      </c>
      <c r="O353" s="7" t="str">
        <f>IF($C353="","",IF(COUNTA('RAW_농산물_8월'!$A:$A)&lt;=1,"",SUMIFS('RAW_농산물_8월'!$H:$H,'RAW_농산물_8월'!$D:$D,$C353,'RAW_농산물_8월'!$A:$A,$E353)-SUMIFS('RAW_농산물_7월'!$H:$H,'RAW_농산물_7월'!$D:$D,$C353,'RAW_농산물_7월'!$A:$A,$E353)))</f>
        <v/>
      </c>
      <c r="P353" s="7" t="str">
        <f>IF($C353="","",IF(COUNTA('RAW_농산물_9월'!$A:$A)&lt;=1,"",SUMIFS('RAW_농산물_9월'!$H:$H,'RAW_농산물_9월'!$D:$D,$C353,'RAW_농산물_9월'!$A:$A,$E353)-SUMIFS('RAW_농산물_8월'!$H:$H,'RAW_농산물_8월'!$D:$D,$C353,'RAW_농산물_8월'!$A:$A,$E353)))</f>
        <v/>
      </c>
      <c r="Q353" s="7" t="str">
        <f>IF($C353="","",IF(COUNTA('RAW_농산물_10월'!$A:$A)&lt;=1,"",SUMIFS('RAW_농산물_10월'!$H:$H,'RAW_농산물_10월'!$D:$D,$C353,'RAW_농산물_10월'!$A:$A,$E353)-SUMIFS('RAW_농산물_9월'!$H:$H,'RAW_농산물_9월'!$D:$D,$C353,'RAW_농산물_9월'!$A:$A,$E353)))</f>
        <v/>
      </c>
      <c r="R353" s="7" t="str">
        <f>IF($C353="","",IF(COUNTA('RAW_농산물_11-12월'!$A:$A)&lt;=1,"",SUMIFS('RAW_농산물_11-12월'!$H:$H,'RAW_농산물_11-12월'!$D:$D,$C353,'RAW_농산물_11-12월'!$A:$A,$E353)-SUMIFS('RAW_농산물_10월'!$H:$H,'RAW_농산물_10월'!$D:$D,$C353,'RAW_농산물_10월'!$A:$A,$E353)))</f>
        <v/>
      </c>
      <c r="S353" s="17" t="str">
        <f t="shared" si="4"/>
        <v/>
      </c>
      <c r="T353" s="17" t="str">
        <f t="shared" si="5"/>
        <v/>
      </c>
      <c r="U353" s="7">
        <f>IF($C353="",0,IF('설정'!$B$3=0,0,CHOOSE('설정'!$B$3,COUNTIFS('RAW_농산물_7월'!$D:$D,$C353,'RAW_농산물_7월'!$A:$A,$E353),COUNTIFS('RAW_농산물_8월'!$D:$D,$C353,'RAW_농산물_8월'!$A:$A,$E353),COUNTIFS('RAW_농산물_9월'!$D:$D,$C353,'RAW_농산물_9월'!$A:$A,$E353),COUNTIFS('RAW_농산물_10월'!$D:$D,$C353,'RAW_농산물_10월'!$A:$A,$E353),COUNTIFS('RAW_농산물_11-12월'!$D:$D,$C353,'RAW_농산물_11-12월'!$A:$A,$E353))))</f>
        <v>0</v>
      </c>
    </row>
    <row r="354" ht="15.75" customHeight="1">
      <c r="A354" s="5"/>
      <c r="B354" s="5"/>
      <c r="C354" s="5"/>
      <c r="D354" s="6"/>
      <c r="E354" s="5"/>
      <c r="F354" s="7" t="str">
        <f>IF($C354="","",IF('설정'!$B$3=0,"",CHOOSE('설정'!$B$3,SUMIFS('RAW_농산물_7월'!$F:$F,'RAW_농산물_7월'!$D:$D,$C354,'RAW_농산물_7월'!$A:$A,$E354),SUMIFS('RAW_농산물_8월'!$F:$F,'RAW_농산물_8월'!$D:$D,$C354,'RAW_농산물_8월'!$A:$A,$E354),SUMIFS('RAW_농산물_9월'!$F:$F,'RAW_농산물_9월'!$D:$D,$C354,'RAW_농산물_9월'!$A:$A,$E354),SUMIFS('RAW_농산물_10월'!$F:$F,'RAW_농산물_10월'!$D:$D,$C354,'RAW_농산물_10월'!$A:$A,$E354),SUMIFS('RAW_농산물_11-12월'!$F:$F,'RAW_농산물_11-12월'!$D:$D,$C354,'RAW_농산물_11-12월'!$A:$A,$E354))))</f>
        <v/>
      </c>
      <c r="G354" s="7" t="str">
        <f>IF($C354="","",IF('설정'!$B$3=0,"",CHOOSE('설정'!$B$3,SUMIFS('RAW_농산물_7월'!$G:$G,'RAW_농산물_7월'!$D:$D,$C354,'RAW_농산물_7월'!$A:$A,$E354),SUMIFS('RAW_농산물_8월'!$G:$G,'RAW_농산물_8월'!$D:$D,$C354,'RAW_농산물_8월'!$A:$A,$E354),SUMIFS('RAW_농산물_9월'!$G:$G,'RAW_농산물_9월'!$D:$D,$C354,'RAW_농산물_9월'!$A:$A,$E354),SUMIFS('RAW_농산물_10월'!$G:$G,'RAW_농산물_10월'!$D:$D,$C354,'RAW_농산물_10월'!$A:$A,$E354),SUMIFS('RAW_농산물_11-12월'!$G:$G,'RAW_농산물_11-12월'!$D:$D,$C354,'RAW_농산물_11-12월'!$A:$A,$E354))))</f>
        <v/>
      </c>
      <c r="H354" s="14" t="str">
        <f>IF($C354="","",IF('설정'!$B$3=0,"",CHOOSE('설정'!$B$3,SUMIFS('RAW_농산물_7월'!$H:$H,'RAW_농산물_7월'!$D:$D,$C354,'RAW_농산물_7월'!$A:$A,$E354),SUMIFS('RAW_농산물_8월'!$H:$H,'RAW_농산물_8월'!$D:$D,$C354,'RAW_농산물_8월'!$A:$A,$E354),SUMIFS('RAW_농산물_9월'!$H:$H,'RAW_농산물_9월'!$D:$D,$C354,'RAW_농산물_9월'!$A:$A,$E354),SUMIFS('RAW_농산물_10월'!$H:$H,'RAW_농산물_10월'!$D:$D,$C354,'RAW_농산물_10월'!$A:$A,$E354),SUMIFS('RAW_농산물_11-12월'!$H:$H,'RAW_농산물_11-12월'!$D:$D,$C354,'RAW_농산물_11-12월'!$A:$A,$E354))))</f>
        <v/>
      </c>
      <c r="I354" s="17" t="str">
        <f>IF($C354="","",IF(COUNTIFS('RAW_농산물_7월'!$D:$D,$C354,'RAW_농산물_7월'!$A:$A,$E354)&gt;0,"O",""))</f>
        <v/>
      </c>
      <c r="J354" s="17" t="str">
        <f>IF($C354="","",IF(COUNTIFS('RAW_농산물_8월'!$D:$D,$C354,'RAW_농산물_8월'!$A:$A,$E354)&gt;0,"O",""))</f>
        <v/>
      </c>
      <c r="K354" s="17" t="str">
        <f>IF($C354="","",IF(COUNTIFS('RAW_농산물_9월'!$D:$D,$C354,'RAW_농산물_9월'!$A:$A,$E354)&gt;0,"O",""))</f>
        <v/>
      </c>
      <c r="L354" s="17" t="str">
        <f>IF($C354="","",IF(COUNTIFS('RAW_농산물_10월'!$D:$D,$C354,'RAW_농산물_10월'!$A:$A,$E354)&gt;0,"O",""))</f>
        <v/>
      </c>
      <c r="M354" s="17" t="str">
        <f>IF($C354="","",IF(COUNTIFS('RAW_농산물_11-12월'!$D:$D,$C354,'RAW_농산물_11-12월'!$A:$A,$E354)&gt;0,"O",""))</f>
        <v/>
      </c>
      <c r="N354" s="7" t="str">
        <f>IF($C354="","",IF(COUNTA('RAW_농산물_7월'!$A:$A)&lt;=1,"",SUMIFS('RAW_농산물_7월'!$H:$H,'RAW_농산물_7월'!$D:$D,$C354,'RAW_농산물_7월'!$A:$A,$E354)))</f>
        <v/>
      </c>
      <c r="O354" s="7" t="str">
        <f>IF($C354="","",IF(COUNTA('RAW_농산물_8월'!$A:$A)&lt;=1,"",SUMIFS('RAW_농산물_8월'!$H:$H,'RAW_농산물_8월'!$D:$D,$C354,'RAW_농산물_8월'!$A:$A,$E354)-SUMIFS('RAW_농산물_7월'!$H:$H,'RAW_농산물_7월'!$D:$D,$C354,'RAW_농산물_7월'!$A:$A,$E354)))</f>
        <v/>
      </c>
      <c r="P354" s="7" t="str">
        <f>IF($C354="","",IF(COUNTA('RAW_농산물_9월'!$A:$A)&lt;=1,"",SUMIFS('RAW_농산물_9월'!$H:$H,'RAW_농산물_9월'!$D:$D,$C354,'RAW_농산물_9월'!$A:$A,$E354)-SUMIFS('RAW_농산물_8월'!$H:$H,'RAW_농산물_8월'!$D:$D,$C354,'RAW_농산물_8월'!$A:$A,$E354)))</f>
        <v/>
      </c>
      <c r="Q354" s="7" t="str">
        <f>IF($C354="","",IF(COUNTA('RAW_농산물_10월'!$A:$A)&lt;=1,"",SUMIFS('RAW_농산물_10월'!$H:$H,'RAW_농산물_10월'!$D:$D,$C354,'RAW_농산물_10월'!$A:$A,$E354)-SUMIFS('RAW_농산물_9월'!$H:$H,'RAW_농산물_9월'!$D:$D,$C354,'RAW_농산물_9월'!$A:$A,$E354)))</f>
        <v/>
      </c>
      <c r="R354" s="7" t="str">
        <f>IF($C354="","",IF(COUNTA('RAW_농산물_11-12월'!$A:$A)&lt;=1,"",SUMIFS('RAW_농산물_11-12월'!$H:$H,'RAW_농산물_11-12월'!$D:$D,$C354,'RAW_농산물_11-12월'!$A:$A,$E354)-SUMIFS('RAW_농산물_10월'!$H:$H,'RAW_농산물_10월'!$D:$D,$C354,'RAW_농산물_10월'!$A:$A,$E354)))</f>
        <v/>
      </c>
      <c r="S354" s="17" t="str">
        <f t="shared" si="4"/>
        <v/>
      </c>
      <c r="T354" s="17" t="str">
        <f t="shared" si="5"/>
        <v/>
      </c>
      <c r="U354" s="7">
        <f>IF($C354="",0,IF('설정'!$B$3=0,0,CHOOSE('설정'!$B$3,COUNTIFS('RAW_농산물_7월'!$D:$D,$C354,'RAW_농산물_7월'!$A:$A,$E354),COUNTIFS('RAW_농산물_8월'!$D:$D,$C354,'RAW_농산물_8월'!$A:$A,$E354),COUNTIFS('RAW_농산물_9월'!$D:$D,$C354,'RAW_농산물_9월'!$A:$A,$E354),COUNTIFS('RAW_농산물_10월'!$D:$D,$C354,'RAW_농산물_10월'!$A:$A,$E354),COUNTIFS('RAW_농산물_11-12월'!$D:$D,$C354,'RAW_농산물_11-12월'!$A:$A,$E354))))</f>
        <v>0</v>
      </c>
    </row>
    <row r="355" ht="15.75" customHeight="1">
      <c r="A355" s="5"/>
      <c r="B355" s="5"/>
      <c r="C355" s="5"/>
      <c r="D355" s="6"/>
      <c r="E355" s="5"/>
      <c r="F355" s="7" t="str">
        <f>IF($C355="","",IF('설정'!$B$3=0,"",CHOOSE('설정'!$B$3,SUMIFS('RAW_농산물_7월'!$F:$F,'RAW_농산물_7월'!$D:$D,$C355,'RAW_농산물_7월'!$A:$A,$E355),SUMIFS('RAW_농산물_8월'!$F:$F,'RAW_농산물_8월'!$D:$D,$C355,'RAW_농산물_8월'!$A:$A,$E355),SUMIFS('RAW_농산물_9월'!$F:$F,'RAW_농산물_9월'!$D:$D,$C355,'RAW_농산물_9월'!$A:$A,$E355),SUMIFS('RAW_농산물_10월'!$F:$F,'RAW_농산물_10월'!$D:$D,$C355,'RAW_농산물_10월'!$A:$A,$E355),SUMIFS('RAW_농산물_11-12월'!$F:$F,'RAW_농산물_11-12월'!$D:$D,$C355,'RAW_농산물_11-12월'!$A:$A,$E355))))</f>
        <v/>
      </c>
      <c r="G355" s="7" t="str">
        <f>IF($C355="","",IF('설정'!$B$3=0,"",CHOOSE('설정'!$B$3,SUMIFS('RAW_농산물_7월'!$G:$G,'RAW_농산물_7월'!$D:$D,$C355,'RAW_농산물_7월'!$A:$A,$E355),SUMIFS('RAW_농산물_8월'!$G:$G,'RAW_농산물_8월'!$D:$D,$C355,'RAW_농산물_8월'!$A:$A,$E355),SUMIFS('RAW_농산물_9월'!$G:$G,'RAW_농산물_9월'!$D:$D,$C355,'RAW_농산물_9월'!$A:$A,$E355),SUMIFS('RAW_농산물_10월'!$G:$G,'RAW_농산물_10월'!$D:$D,$C355,'RAW_농산물_10월'!$A:$A,$E355),SUMIFS('RAW_농산물_11-12월'!$G:$G,'RAW_농산물_11-12월'!$D:$D,$C355,'RAW_농산물_11-12월'!$A:$A,$E355))))</f>
        <v/>
      </c>
      <c r="H355" s="14" t="str">
        <f>IF($C355="","",IF('설정'!$B$3=0,"",CHOOSE('설정'!$B$3,SUMIFS('RAW_농산물_7월'!$H:$H,'RAW_농산물_7월'!$D:$D,$C355,'RAW_농산물_7월'!$A:$A,$E355),SUMIFS('RAW_농산물_8월'!$H:$H,'RAW_농산물_8월'!$D:$D,$C355,'RAW_농산물_8월'!$A:$A,$E355),SUMIFS('RAW_농산물_9월'!$H:$H,'RAW_농산물_9월'!$D:$D,$C355,'RAW_농산물_9월'!$A:$A,$E355),SUMIFS('RAW_농산물_10월'!$H:$H,'RAW_농산물_10월'!$D:$D,$C355,'RAW_농산물_10월'!$A:$A,$E355),SUMIFS('RAW_농산물_11-12월'!$H:$H,'RAW_농산물_11-12월'!$D:$D,$C355,'RAW_농산물_11-12월'!$A:$A,$E355))))</f>
        <v/>
      </c>
      <c r="I355" s="17" t="str">
        <f>IF($C355="","",IF(COUNTIFS('RAW_농산물_7월'!$D:$D,$C355,'RAW_농산물_7월'!$A:$A,$E355)&gt;0,"O",""))</f>
        <v/>
      </c>
      <c r="J355" s="17" t="str">
        <f>IF($C355="","",IF(COUNTIFS('RAW_농산물_8월'!$D:$D,$C355,'RAW_농산물_8월'!$A:$A,$E355)&gt;0,"O",""))</f>
        <v/>
      </c>
      <c r="K355" s="17" t="str">
        <f>IF($C355="","",IF(COUNTIFS('RAW_농산물_9월'!$D:$D,$C355,'RAW_농산물_9월'!$A:$A,$E355)&gt;0,"O",""))</f>
        <v/>
      </c>
      <c r="L355" s="17" t="str">
        <f>IF($C355="","",IF(COUNTIFS('RAW_농산물_10월'!$D:$D,$C355,'RAW_농산물_10월'!$A:$A,$E355)&gt;0,"O",""))</f>
        <v/>
      </c>
      <c r="M355" s="17" t="str">
        <f>IF($C355="","",IF(COUNTIFS('RAW_농산물_11-12월'!$D:$D,$C355,'RAW_농산물_11-12월'!$A:$A,$E355)&gt;0,"O",""))</f>
        <v/>
      </c>
      <c r="N355" s="7" t="str">
        <f>IF($C355="","",IF(COUNTA('RAW_농산물_7월'!$A:$A)&lt;=1,"",SUMIFS('RAW_농산물_7월'!$H:$H,'RAW_농산물_7월'!$D:$D,$C355,'RAW_농산물_7월'!$A:$A,$E355)))</f>
        <v/>
      </c>
      <c r="O355" s="7" t="str">
        <f>IF($C355="","",IF(COUNTA('RAW_농산물_8월'!$A:$A)&lt;=1,"",SUMIFS('RAW_농산물_8월'!$H:$H,'RAW_농산물_8월'!$D:$D,$C355,'RAW_농산물_8월'!$A:$A,$E355)-SUMIFS('RAW_농산물_7월'!$H:$H,'RAW_농산물_7월'!$D:$D,$C355,'RAW_농산물_7월'!$A:$A,$E355)))</f>
        <v/>
      </c>
      <c r="P355" s="7" t="str">
        <f>IF($C355="","",IF(COUNTA('RAW_농산물_9월'!$A:$A)&lt;=1,"",SUMIFS('RAW_농산물_9월'!$H:$H,'RAW_농산물_9월'!$D:$D,$C355,'RAW_농산물_9월'!$A:$A,$E355)-SUMIFS('RAW_농산물_8월'!$H:$H,'RAW_농산물_8월'!$D:$D,$C355,'RAW_농산물_8월'!$A:$A,$E355)))</f>
        <v/>
      </c>
      <c r="Q355" s="7" t="str">
        <f>IF($C355="","",IF(COUNTA('RAW_농산물_10월'!$A:$A)&lt;=1,"",SUMIFS('RAW_농산물_10월'!$H:$H,'RAW_농산물_10월'!$D:$D,$C355,'RAW_농산물_10월'!$A:$A,$E355)-SUMIFS('RAW_농산물_9월'!$H:$H,'RAW_농산물_9월'!$D:$D,$C355,'RAW_농산물_9월'!$A:$A,$E355)))</f>
        <v/>
      </c>
      <c r="R355" s="7" t="str">
        <f>IF($C355="","",IF(COUNTA('RAW_농산물_11-12월'!$A:$A)&lt;=1,"",SUMIFS('RAW_농산물_11-12월'!$H:$H,'RAW_농산물_11-12월'!$D:$D,$C355,'RAW_농산물_11-12월'!$A:$A,$E355)-SUMIFS('RAW_농산물_10월'!$H:$H,'RAW_농산물_10월'!$D:$D,$C355,'RAW_농산물_10월'!$A:$A,$E355)))</f>
        <v/>
      </c>
      <c r="S355" s="17" t="str">
        <f t="shared" si="4"/>
        <v/>
      </c>
      <c r="T355" s="17" t="str">
        <f t="shared" si="5"/>
        <v/>
      </c>
      <c r="U355" s="7">
        <f>IF($C355="",0,IF('설정'!$B$3=0,0,CHOOSE('설정'!$B$3,COUNTIFS('RAW_농산물_7월'!$D:$D,$C355,'RAW_농산물_7월'!$A:$A,$E355),COUNTIFS('RAW_농산물_8월'!$D:$D,$C355,'RAW_농산물_8월'!$A:$A,$E355),COUNTIFS('RAW_농산물_9월'!$D:$D,$C355,'RAW_농산물_9월'!$A:$A,$E355),COUNTIFS('RAW_농산물_10월'!$D:$D,$C355,'RAW_농산물_10월'!$A:$A,$E355),COUNTIFS('RAW_농산물_11-12월'!$D:$D,$C355,'RAW_농산물_11-12월'!$A:$A,$E355))))</f>
        <v>0</v>
      </c>
    </row>
    <row r="356" ht="15.75" customHeight="1">
      <c r="A356" s="5"/>
      <c r="B356" s="5"/>
      <c r="C356" s="5"/>
      <c r="D356" s="6"/>
      <c r="E356" s="5"/>
      <c r="F356" s="7" t="str">
        <f>IF($C356="","",IF('설정'!$B$3=0,"",CHOOSE('설정'!$B$3,SUMIFS('RAW_농산물_7월'!$F:$F,'RAW_농산물_7월'!$D:$D,$C356,'RAW_농산물_7월'!$A:$A,$E356),SUMIFS('RAW_농산물_8월'!$F:$F,'RAW_농산물_8월'!$D:$D,$C356,'RAW_농산물_8월'!$A:$A,$E356),SUMIFS('RAW_농산물_9월'!$F:$F,'RAW_농산물_9월'!$D:$D,$C356,'RAW_농산물_9월'!$A:$A,$E356),SUMIFS('RAW_농산물_10월'!$F:$F,'RAW_농산물_10월'!$D:$D,$C356,'RAW_농산물_10월'!$A:$A,$E356),SUMIFS('RAW_농산물_11-12월'!$F:$F,'RAW_농산물_11-12월'!$D:$D,$C356,'RAW_농산물_11-12월'!$A:$A,$E356))))</f>
        <v/>
      </c>
      <c r="G356" s="7" t="str">
        <f>IF($C356="","",IF('설정'!$B$3=0,"",CHOOSE('설정'!$B$3,SUMIFS('RAW_농산물_7월'!$G:$G,'RAW_농산물_7월'!$D:$D,$C356,'RAW_농산물_7월'!$A:$A,$E356),SUMIFS('RAW_농산물_8월'!$G:$G,'RAW_농산물_8월'!$D:$D,$C356,'RAW_농산물_8월'!$A:$A,$E356),SUMIFS('RAW_농산물_9월'!$G:$G,'RAW_농산물_9월'!$D:$D,$C356,'RAW_농산물_9월'!$A:$A,$E356),SUMIFS('RAW_농산물_10월'!$G:$G,'RAW_농산물_10월'!$D:$D,$C356,'RAW_농산물_10월'!$A:$A,$E356),SUMIFS('RAW_농산물_11-12월'!$G:$G,'RAW_농산물_11-12월'!$D:$D,$C356,'RAW_농산물_11-12월'!$A:$A,$E356))))</f>
        <v/>
      </c>
      <c r="H356" s="14" t="str">
        <f>IF($C356="","",IF('설정'!$B$3=0,"",CHOOSE('설정'!$B$3,SUMIFS('RAW_농산물_7월'!$H:$H,'RAW_농산물_7월'!$D:$D,$C356,'RAW_농산물_7월'!$A:$A,$E356),SUMIFS('RAW_농산물_8월'!$H:$H,'RAW_농산물_8월'!$D:$D,$C356,'RAW_농산물_8월'!$A:$A,$E356),SUMIFS('RAW_농산물_9월'!$H:$H,'RAW_농산물_9월'!$D:$D,$C356,'RAW_농산물_9월'!$A:$A,$E356),SUMIFS('RAW_농산물_10월'!$H:$H,'RAW_농산물_10월'!$D:$D,$C356,'RAW_농산물_10월'!$A:$A,$E356),SUMIFS('RAW_농산물_11-12월'!$H:$H,'RAW_농산물_11-12월'!$D:$D,$C356,'RAW_농산물_11-12월'!$A:$A,$E356))))</f>
        <v/>
      </c>
      <c r="I356" s="17" t="str">
        <f>IF($C356="","",IF(COUNTIFS('RAW_농산물_7월'!$D:$D,$C356,'RAW_농산물_7월'!$A:$A,$E356)&gt;0,"O",""))</f>
        <v/>
      </c>
      <c r="J356" s="17" t="str">
        <f>IF($C356="","",IF(COUNTIFS('RAW_농산물_8월'!$D:$D,$C356,'RAW_농산물_8월'!$A:$A,$E356)&gt;0,"O",""))</f>
        <v/>
      </c>
      <c r="K356" s="17" t="str">
        <f>IF($C356="","",IF(COUNTIFS('RAW_농산물_9월'!$D:$D,$C356,'RAW_농산물_9월'!$A:$A,$E356)&gt;0,"O",""))</f>
        <v/>
      </c>
      <c r="L356" s="17" t="str">
        <f>IF($C356="","",IF(COUNTIFS('RAW_농산물_10월'!$D:$D,$C356,'RAW_농산물_10월'!$A:$A,$E356)&gt;0,"O",""))</f>
        <v/>
      </c>
      <c r="M356" s="17" t="str">
        <f>IF($C356="","",IF(COUNTIFS('RAW_농산물_11-12월'!$D:$D,$C356,'RAW_농산물_11-12월'!$A:$A,$E356)&gt;0,"O",""))</f>
        <v/>
      </c>
      <c r="N356" s="7" t="str">
        <f>IF($C356="","",IF(COUNTA('RAW_농산물_7월'!$A:$A)&lt;=1,"",SUMIFS('RAW_농산물_7월'!$H:$H,'RAW_농산물_7월'!$D:$D,$C356,'RAW_농산물_7월'!$A:$A,$E356)))</f>
        <v/>
      </c>
      <c r="O356" s="7" t="str">
        <f>IF($C356="","",IF(COUNTA('RAW_농산물_8월'!$A:$A)&lt;=1,"",SUMIFS('RAW_농산물_8월'!$H:$H,'RAW_농산물_8월'!$D:$D,$C356,'RAW_농산물_8월'!$A:$A,$E356)-SUMIFS('RAW_농산물_7월'!$H:$H,'RAW_농산물_7월'!$D:$D,$C356,'RAW_농산물_7월'!$A:$A,$E356)))</f>
        <v/>
      </c>
      <c r="P356" s="7" t="str">
        <f>IF($C356="","",IF(COUNTA('RAW_농산물_9월'!$A:$A)&lt;=1,"",SUMIFS('RAW_농산물_9월'!$H:$H,'RAW_농산물_9월'!$D:$D,$C356,'RAW_농산물_9월'!$A:$A,$E356)-SUMIFS('RAW_농산물_8월'!$H:$H,'RAW_농산물_8월'!$D:$D,$C356,'RAW_농산물_8월'!$A:$A,$E356)))</f>
        <v/>
      </c>
      <c r="Q356" s="7" t="str">
        <f>IF($C356="","",IF(COUNTA('RAW_농산물_10월'!$A:$A)&lt;=1,"",SUMIFS('RAW_농산물_10월'!$H:$H,'RAW_농산물_10월'!$D:$D,$C356,'RAW_농산물_10월'!$A:$A,$E356)-SUMIFS('RAW_농산물_9월'!$H:$H,'RAW_농산물_9월'!$D:$D,$C356,'RAW_농산물_9월'!$A:$A,$E356)))</f>
        <v/>
      </c>
      <c r="R356" s="7" t="str">
        <f>IF($C356="","",IF(COUNTA('RAW_농산물_11-12월'!$A:$A)&lt;=1,"",SUMIFS('RAW_농산물_11-12월'!$H:$H,'RAW_농산물_11-12월'!$D:$D,$C356,'RAW_농산물_11-12월'!$A:$A,$E356)-SUMIFS('RAW_농산물_10월'!$H:$H,'RAW_농산물_10월'!$D:$D,$C356,'RAW_농산물_10월'!$A:$A,$E356)))</f>
        <v/>
      </c>
      <c r="S356" s="17" t="str">
        <f t="shared" si="4"/>
        <v/>
      </c>
      <c r="T356" s="17" t="str">
        <f t="shared" si="5"/>
        <v/>
      </c>
      <c r="U356" s="7">
        <f>IF($C356="",0,IF('설정'!$B$3=0,0,CHOOSE('설정'!$B$3,COUNTIFS('RAW_농산물_7월'!$D:$D,$C356,'RAW_농산물_7월'!$A:$A,$E356),COUNTIFS('RAW_농산물_8월'!$D:$D,$C356,'RAW_농산물_8월'!$A:$A,$E356),COUNTIFS('RAW_농산물_9월'!$D:$D,$C356,'RAW_농산물_9월'!$A:$A,$E356),COUNTIFS('RAW_농산물_10월'!$D:$D,$C356,'RAW_농산물_10월'!$A:$A,$E356),COUNTIFS('RAW_농산물_11-12월'!$D:$D,$C356,'RAW_농산물_11-12월'!$A:$A,$E356))))</f>
        <v>0</v>
      </c>
    </row>
    <row r="357" ht="15.75" customHeight="1">
      <c r="A357" s="5"/>
      <c r="B357" s="5"/>
      <c r="C357" s="5"/>
      <c r="D357" s="6"/>
      <c r="E357" s="5"/>
      <c r="F357" s="7" t="str">
        <f>IF($C357="","",IF('설정'!$B$3=0,"",CHOOSE('설정'!$B$3,SUMIFS('RAW_농산물_7월'!$F:$F,'RAW_농산물_7월'!$D:$D,$C357,'RAW_농산물_7월'!$A:$A,$E357),SUMIFS('RAW_농산물_8월'!$F:$F,'RAW_농산물_8월'!$D:$D,$C357,'RAW_농산물_8월'!$A:$A,$E357),SUMIFS('RAW_농산물_9월'!$F:$F,'RAW_농산물_9월'!$D:$D,$C357,'RAW_농산물_9월'!$A:$A,$E357),SUMIFS('RAW_농산물_10월'!$F:$F,'RAW_농산물_10월'!$D:$D,$C357,'RAW_농산물_10월'!$A:$A,$E357),SUMIFS('RAW_농산물_11-12월'!$F:$F,'RAW_농산물_11-12월'!$D:$D,$C357,'RAW_농산물_11-12월'!$A:$A,$E357))))</f>
        <v/>
      </c>
      <c r="G357" s="7" t="str">
        <f>IF($C357="","",IF('설정'!$B$3=0,"",CHOOSE('설정'!$B$3,SUMIFS('RAW_농산물_7월'!$G:$G,'RAW_농산물_7월'!$D:$D,$C357,'RAW_농산물_7월'!$A:$A,$E357),SUMIFS('RAW_농산물_8월'!$G:$G,'RAW_농산물_8월'!$D:$D,$C357,'RAW_농산물_8월'!$A:$A,$E357),SUMIFS('RAW_농산물_9월'!$G:$G,'RAW_농산물_9월'!$D:$D,$C357,'RAW_농산물_9월'!$A:$A,$E357),SUMIFS('RAW_농산물_10월'!$G:$G,'RAW_농산물_10월'!$D:$D,$C357,'RAW_농산물_10월'!$A:$A,$E357),SUMIFS('RAW_농산물_11-12월'!$G:$G,'RAW_농산물_11-12월'!$D:$D,$C357,'RAW_농산물_11-12월'!$A:$A,$E357))))</f>
        <v/>
      </c>
      <c r="H357" s="14" t="str">
        <f>IF($C357="","",IF('설정'!$B$3=0,"",CHOOSE('설정'!$B$3,SUMIFS('RAW_농산물_7월'!$H:$H,'RAW_농산물_7월'!$D:$D,$C357,'RAW_농산물_7월'!$A:$A,$E357),SUMIFS('RAW_농산물_8월'!$H:$H,'RAW_농산물_8월'!$D:$D,$C357,'RAW_농산물_8월'!$A:$A,$E357),SUMIFS('RAW_농산물_9월'!$H:$H,'RAW_농산물_9월'!$D:$D,$C357,'RAW_농산물_9월'!$A:$A,$E357),SUMIFS('RAW_농산물_10월'!$H:$H,'RAW_농산물_10월'!$D:$D,$C357,'RAW_농산물_10월'!$A:$A,$E357),SUMIFS('RAW_농산물_11-12월'!$H:$H,'RAW_농산물_11-12월'!$D:$D,$C357,'RAW_농산물_11-12월'!$A:$A,$E357))))</f>
        <v/>
      </c>
      <c r="I357" s="17" t="str">
        <f>IF($C357="","",IF(COUNTIFS('RAW_농산물_7월'!$D:$D,$C357,'RAW_농산물_7월'!$A:$A,$E357)&gt;0,"O",""))</f>
        <v/>
      </c>
      <c r="J357" s="17" t="str">
        <f>IF($C357="","",IF(COUNTIFS('RAW_농산물_8월'!$D:$D,$C357,'RAW_농산물_8월'!$A:$A,$E357)&gt;0,"O",""))</f>
        <v/>
      </c>
      <c r="K357" s="17" t="str">
        <f>IF($C357="","",IF(COUNTIFS('RAW_농산물_9월'!$D:$D,$C357,'RAW_농산물_9월'!$A:$A,$E357)&gt;0,"O",""))</f>
        <v/>
      </c>
      <c r="L357" s="17" t="str">
        <f>IF($C357="","",IF(COUNTIFS('RAW_농산물_10월'!$D:$D,$C357,'RAW_농산물_10월'!$A:$A,$E357)&gt;0,"O",""))</f>
        <v/>
      </c>
      <c r="M357" s="17" t="str">
        <f>IF($C357="","",IF(COUNTIFS('RAW_농산물_11-12월'!$D:$D,$C357,'RAW_농산물_11-12월'!$A:$A,$E357)&gt;0,"O",""))</f>
        <v/>
      </c>
      <c r="N357" s="7" t="str">
        <f>IF($C357="","",IF(COUNTA('RAW_농산물_7월'!$A:$A)&lt;=1,"",SUMIFS('RAW_농산물_7월'!$H:$H,'RAW_농산물_7월'!$D:$D,$C357,'RAW_농산물_7월'!$A:$A,$E357)))</f>
        <v/>
      </c>
      <c r="O357" s="7" t="str">
        <f>IF($C357="","",IF(COUNTA('RAW_농산물_8월'!$A:$A)&lt;=1,"",SUMIFS('RAW_농산물_8월'!$H:$H,'RAW_농산물_8월'!$D:$D,$C357,'RAW_농산물_8월'!$A:$A,$E357)-SUMIFS('RAW_농산물_7월'!$H:$H,'RAW_농산물_7월'!$D:$D,$C357,'RAW_농산물_7월'!$A:$A,$E357)))</f>
        <v/>
      </c>
      <c r="P357" s="7" t="str">
        <f>IF($C357="","",IF(COUNTA('RAW_농산물_9월'!$A:$A)&lt;=1,"",SUMIFS('RAW_농산물_9월'!$H:$H,'RAW_농산물_9월'!$D:$D,$C357,'RAW_농산물_9월'!$A:$A,$E357)-SUMIFS('RAW_농산물_8월'!$H:$H,'RAW_농산물_8월'!$D:$D,$C357,'RAW_농산물_8월'!$A:$A,$E357)))</f>
        <v/>
      </c>
      <c r="Q357" s="7" t="str">
        <f>IF($C357="","",IF(COUNTA('RAW_농산물_10월'!$A:$A)&lt;=1,"",SUMIFS('RAW_농산물_10월'!$H:$H,'RAW_농산물_10월'!$D:$D,$C357,'RAW_농산물_10월'!$A:$A,$E357)-SUMIFS('RAW_농산물_9월'!$H:$H,'RAW_농산물_9월'!$D:$D,$C357,'RAW_농산물_9월'!$A:$A,$E357)))</f>
        <v/>
      </c>
      <c r="R357" s="7" t="str">
        <f>IF($C357="","",IF(COUNTA('RAW_농산물_11-12월'!$A:$A)&lt;=1,"",SUMIFS('RAW_농산물_11-12월'!$H:$H,'RAW_농산물_11-12월'!$D:$D,$C357,'RAW_농산물_11-12월'!$A:$A,$E357)-SUMIFS('RAW_농산물_10월'!$H:$H,'RAW_농산물_10월'!$D:$D,$C357,'RAW_농산물_10월'!$A:$A,$E357)))</f>
        <v/>
      </c>
      <c r="S357" s="17" t="str">
        <f t="shared" si="4"/>
        <v/>
      </c>
      <c r="T357" s="17" t="str">
        <f t="shared" si="5"/>
        <v/>
      </c>
      <c r="U357" s="7">
        <f>IF($C357="",0,IF('설정'!$B$3=0,0,CHOOSE('설정'!$B$3,COUNTIFS('RAW_농산물_7월'!$D:$D,$C357,'RAW_농산물_7월'!$A:$A,$E357),COUNTIFS('RAW_농산물_8월'!$D:$D,$C357,'RAW_농산물_8월'!$A:$A,$E357),COUNTIFS('RAW_농산물_9월'!$D:$D,$C357,'RAW_농산물_9월'!$A:$A,$E357),COUNTIFS('RAW_농산물_10월'!$D:$D,$C357,'RAW_농산물_10월'!$A:$A,$E357),COUNTIFS('RAW_농산물_11-12월'!$D:$D,$C357,'RAW_농산물_11-12월'!$A:$A,$E357))))</f>
        <v>0</v>
      </c>
    </row>
    <row r="358" ht="15.75" customHeight="1">
      <c r="A358" s="5"/>
      <c r="B358" s="5"/>
      <c r="C358" s="5"/>
      <c r="D358" s="6"/>
      <c r="E358" s="5"/>
      <c r="F358" s="7" t="str">
        <f>IF($C358="","",IF('설정'!$B$3=0,"",CHOOSE('설정'!$B$3,SUMIFS('RAW_농산물_7월'!$F:$F,'RAW_농산물_7월'!$D:$D,$C358,'RAW_농산물_7월'!$A:$A,$E358),SUMIFS('RAW_농산물_8월'!$F:$F,'RAW_농산물_8월'!$D:$D,$C358,'RAW_농산물_8월'!$A:$A,$E358),SUMIFS('RAW_농산물_9월'!$F:$F,'RAW_농산물_9월'!$D:$D,$C358,'RAW_농산물_9월'!$A:$A,$E358),SUMIFS('RAW_농산물_10월'!$F:$F,'RAW_농산물_10월'!$D:$D,$C358,'RAW_농산물_10월'!$A:$A,$E358),SUMIFS('RAW_농산물_11-12월'!$F:$F,'RAW_농산물_11-12월'!$D:$D,$C358,'RAW_농산물_11-12월'!$A:$A,$E358))))</f>
        <v/>
      </c>
      <c r="G358" s="7" t="str">
        <f>IF($C358="","",IF('설정'!$B$3=0,"",CHOOSE('설정'!$B$3,SUMIFS('RAW_농산물_7월'!$G:$G,'RAW_농산물_7월'!$D:$D,$C358,'RAW_농산물_7월'!$A:$A,$E358),SUMIFS('RAW_농산물_8월'!$G:$G,'RAW_농산물_8월'!$D:$D,$C358,'RAW_농산물_8월'!$A:$A,$E358),SUMIFS('RAW_농산물_9월'!$G:$G,'RAW_농산물_9월'!$D:$D,$C358,'RAW_농산물_9월'!$A:$A,$E358),SUMIFS('RAW_농산물_10월'!$G:$G,'RAW_농산물_10월'!$D:$D,$C358,'RAW_농산물_10월'!$A:$A,$E358),SUMIFS('RAW_농산물_11-12월'!$G:$G,'RAW_농산물_11-12월'!$D:$D,$C358,'RAW_농산물_11-12월'!$A:$A,$E358))))</f>
        <v/>
      </c>
      <c r="H358" s="14" t="str">
        <f>IF($C358="","",IF('설정'!$B$3=0,"",CHOOSE('설정'!$B$3,SUMIFS('RAW_농산물_7월'!$H:$H,'RAW_농산물_7월'!$D:$D,$C358,'RAW_농산물_7월'!$A:$A,$E358),SUMIFS('RAW_농산물_8월'!$H:$H,'RAW_농산물_8월'!$D:$D,$C358,'RAW_농산물_8월'!$A:$A,$E358),SUMIFS('RAW_농산물_9월'!$H:$H,'RAW_농산물_9월'!$D:$D,$C358,'RAW_농산물_9월'!$A:$A,$E358),SUMIFS('RAW_농산물_10월'!$H:$H,'RAW_농산물_10월'!$D:$D,$C358,'RAW_농산물_10월'!$A:$A,$E358),SUMIFS('RAW_농산물_11-12월'!$H:$H,'RAW_농산물_11-12월'!$D:$D,$C358,'RAW_농산물_11-12월'!$A:$A,$E358))))</f>
        <v/>
      </c>
      <c r="I358" s="17" t="str">
        <f>IF($C358="","",IF(COUNTIFS('RAW_농산물_7월'!$D:$D,$C358,'RAW_농산물_7월'!$A:$A,$E358)&gt;0,"O",""))</f>
        <v/>
      </c>
      <c r="J358" s="17" t="str">
        <f>IF($C358="","",IF(COUNTIFS('RAW_농산물_8월'!$D:$D,$C358,'RAW_농산물_8월'!$A:$A,$E358)&gt;0,"O",""))</f>
        <v/>
      </c>
      <c r="K358" s="17" t="str">
        <f>IF($C358="","",IF(COUNTIFS('RAW_농산물_9월'!$D:$D,$C358,'RAW_농산물_9월'!$A:$A,$E358)&gt;0,"O",""))</f>
        <v/>
      </c>
      <c r="L358" s="17" t="str">
        <f>IF($C358="","",IF(COUNTIFS('RAW_농산물_10월'!$D:$D,$C358,'RAW_농산물_10월'!$A:$A,$E358)&gt;0,"O",""))</f>
        <v/>
      </c>
      <c r="M358" s="17" t="str">
        <f>IF($C358="","",IF(COUNTIFS('RAW_농산물_11-12월'!$D:$D,$C358,'RAW_농산물_11-12월'!$A:$A,$E358)&gt;0,"O",""))</f>
        <v/>
      </c>
      <c r="N358" s="7" t="str">
        <f>IF($C358="","",IF(COUNTA('RAW_농산물_7월'!$A:$A)&lt;=1,"",SUMIFS('RAW_농산물_7월'!$H:$H,'RAW_농산물_7월'!$D:$D,$C358,'RAW_농산물_7월'!$A:$A,$E358)))</f>
        <v/>
      </c>
      <c r="O358" s="7" t="str">
        <f>IF($C358="","",IF(COUNTA('RAW_농산물_8월'!$A:$A)&lt;=1,"",SUMIFS('RAW_농산물_8월'!$H:$H,'RAW_농산물_8월'!$D:$D,$C358,'RAW_농산물_8월'!$A:$A,$E358)-SUMIFS('RAW_농산물_7월'!$H:$H,'RAW_농산물_7월'!$D:$D,$C358,'RAW_농산물_7월'!$A:$A,$E358)))</f>
        <v/>
      </c>
      <c r="P358" s="7" t="str">
        <f>IF($C358="","",IF(COUNTA('RAW_농산물_9월'!$A:$A)&lt;=1,"",SUMIFS('RAW_농산물_9월'!$H:$H,'RAW_농산물_9월'!$D:$D,$C358,'RAW_농산물_9월'!$A:$A,$E358)-SUMIFS('RAW_농산물_8월'!$H:$H,'RAW_농산물_8월'!$D:$D,$C358,'RAW_농산물_8월'!$A:$A,$E358)))</f>
        <v/>
      </c>
      <c r="Q358" s="7" t="str">
        <f>IF($C358="","",IF(COUNTA('RAW_농산물_10월'!$A:$A)&lt;=1,"",SUMIFS('RAW_농산물_10월'!$H:$H,'RAW_농산물_10월'!$D:$D,$C358,'RAW_농산물_10월'!$A:$A,$E358)-SUMIFS('RAW_농산물_9월'!$H:$H,'RAW_농산물_9월'!$D:$D,$C358,'RAW_농산물_9월'!$A:$A,$E358)))</f>
        <v/>
      </c>
      <c r="R358" s="7" t="str">
        <f>IF($C358="","",IF(COUNTA('RAW_농산물_11-12월'!$A:$A)&lt;=1,"",SUMIFS('RAW_농산물_11-12월'!$H:$H,'RAW_농산물_11-12월'!$D:$D,$C358,'RAW_농산물_11-12월'!$A:$A,$E358)-SUMIFS('RAW_농산물_10월'!$H:$H,'RAW_농산물_10월'!$D:$D,$C358,'RAW_농산물_10월'!$A:$A,$E358)))</f>
        <v/>
      </c>
      <c r="S358" s="17" t="str">
        <f t="shared" si="4"/>
        <v/>
      </c>
      <c r="T358" s="17" t="str">
        <f t="shared" si="5"/>
        <v/>
      </c>
      <c r="U358" s="7">
        <f>IF($C358="",0,IF('설정'!$B$3=0,0,CHOOSE('설정'!$B$3,COUNTIFS('RAW_농산물_7월'!$D:$D,$C358,'RAW_농산물_7월'!$A:$A,$E358),COUNTIFS('RAW_농산물_8월'!$D:$D,$C358,'RAW_농산물_8월'!$A:$A,$E358),COUNTIFS('RAW_농산물_9월'!$D:$D,$C358,'RAW_농산물_9월'!$A:$A,$E358),COUNTIFS('RAW_농산물_10월'!$D:$D,$C358,'RAW_농산물_10월'!$A:$A,$E358),COUNTIFS('RAW_농산물_11-12월'!$D:$D,$C358,'RAW_농산물_11-12월'!$A:$A,$E358))))</f>
        <v>0</v>
      </c>
    </row>
    <row r="359" ht="15.75" customHeight="1">
      <c r="A359" s="5"/>
      <c r="B359" s="5"/>
      <c r="C359" s="5"/>
      <c r="D359" s="6"/>
      <c r="E359" s="5"/>
      <c r="F359" s="7" t="str">
        <f>IF($C359="","",IF('설정'!$B$3=0,"",CHOOSE('설정'!$B$3,SUMIFS('RAW_농산물_7월'!$F:$F,'RAW_농산물_7월'!$D:$D,$C359,'RAW_농산물_7월'!$A:$A,$E359),SUMIFS('RAW_농산물_8월'!$F:$F,'RAW_농산물_8월'!$D:$D,$C359,'RAW_농산물_8월'!$A:$A,$E359),SUMIFS('RAW_농산물_9월'!$F:$F,'RAW_농산물_9월'!$D:$D,$C359,'RAW_농산물_9월'!$A:$A,$E359),SUMIFS('RAW_농산물_10월'!$F:$F,'RAW_농산물_10월'!$D:$D,$C359,'RAW_농산물_10월'!$A:$A,$E359),SUMIFS('RAW_농산물_11-12월'!$F:$F,'RAW_농산물_11-12월'!$D:$D,$C359,'RAW_농산물_11-12월'!$A:$A,$E359))))</f>
        <v/>
      </c>
      <c r="G359" s="7" t="str">
        <f>IF($C359="","",IF('설정'!$B$3=0,"",CHOOSE('설정'!$B$3,SUMIFS('RAW_농산물_7월'!$G:$G,'RAW_농산물_7월'!$D:$D,$C359,'RAW_농산물_7월'!$A:$A,$E359),SUMIFS('RAW_농산물_8월'!$G:$G,'RAW_농산물_8월'!$D:$D,$C359,'RAW_농산물_8월'!$A:$A,$E359),SUMIFS('RAW_농산물_9월'!$G:$G,'RAW_농산물_9월'!$D:$D,$C359,'RAW_농산물_9월'!$A:$A,$E359),SUMIFS('RAW_농산물_10월'!$G:$G,'RAW_농산물_10월'!$D:$D,$C359,'RAW_농산물_10월'!$A:$A,$E359),SUMIFS('RAW_농산물_11-12월'!$G:$G,'RAW_농산물_11-12월'!$D:$D,$C359,'RAW_농산물_11-12월'!$A:$A,$E359))))</f>
        <v/>
      </c>
      <c r="H359" s="14" t="str">
        <f>IF($C359="","",IF('설정'!$B$3=0,"",CHOOSE('설정'!$B$3,SUMIFS('RAW_농산물_7월'!$H:$H,'RAW_농산물_7월'!$D:$D,$C359,'RAW_농산물_7월'!$A:$A,$E359),SUMIFS('RAW_농산물_8월'!$H:$H,'RAW_농산물_8월'!$D:$D,$C359,'RAW_농산물_8월'!$A:$A,$E359),SUMIFS('RAW_농산물_9월'!$H:$H,'RAW_농산물_9월'!$D:$D,$C359,'RAW_농산물_9월'!$A:$A,$E359),SUMIFS('RAW_농산물_10월'!$H:$H,'RAW_농산물_10월'!$D:$D,$C359,'RAW_농산물_10월'!$A:$A,$E359),SUMIFS('RAW_농산물_11-12월'!$H:$H,'RAW_농산물_11-12월'!$D:$D,$C359,'RAW_농산물_11-12월'!$A:$A,$E359))))</f>
        <v/>
      </c>
      <c r="I359" s="17" t="str">
        <f>IF($C359="","",IF(COUNTIFS('RAW_농산물_7월'!$D:$D,$C359,'RAW_농산물_7월'!$A:$A,$E359)&gt;0,"O",""))</f>
        <v/>
      </c>
      <c r="J359" s="17" t="str">
        <f>IF($C359="","",IF(COUNTIFS('RAW_농산물_8월'!$D:$D,$C359,'RAW_농산물_8월'!$A:$A,$E359)&gt;0,"O",""))</f>
        <v/>
      </c>
      <c r="K359" s="17" t="str">
        <f>IF($C359="","",IF(COUNTIFS('RAW_농산물_9월'!$D:$D,$C359,'RAW_농산물_9월'!$A:$A,$E359)&gt;0,"O",""))</f>
        <v/>
      </c>
      <c r="L359" s="17" t="str">
        <f>IF($C359="","",IF(COUNTIFS('RAW_농산물_10월'!$D:$D,$C359,'RAW_농산물_10월'!$A:$A,$E359)&gt;0,"O",""))</f>
        <v/>
      </c>
      <c r="M359" s="17" t="str">
        <f>IF($C359="","",IF(COUNTIFS('RAW_농산물_11-12월'!$D:$D,$C359,'RAW_농산물_11-12월'!$A:$A,$E359)&gt;0,"O",""))</f>
        <v/>
      </c>
      <c r="N359" s="7" t="str">
        <f>IF($C359="","",IF(COUNTA('RAW_농산물_7월'!$A:$A)&lt;=1,"",SUMIFS('RAW_농산물_7월'!$H:$H,'RAW_농산물_7월'!$D:$D,$C359,'RAW_농산물_7월'!$A:$A,$E359)))</f>
        <v/>
      </c>
      <c r="O359" s="7" t="str">
        <f>IF($C359="","",IF(COUNTA('RAW_농산물_8월'!$A:$A)&lt;=1,"",SUMIFS('RAW_농산물_8월'!$H:$H,'RAW_농산물_8월'!$D:$D,$C359,'RAW_농산물_8월'!$A:$A,$E359)-SUMIFS('RAW_농산물_7월'!$H:$H,'RAW_농산물_7월'!$D:$D,$C359,'RAW_농산물_7월'!$A:$A,$E359)))</f>
        <v/>
      </c>
      <c r="P359" s="7" t="str">
        <f>IF($C359="","",IF(COUNTA('RAW_농산물_9월'!$A:$A)&lt;=1,"",SUMIFS('RAW_농산물_9월'!$H:$H,'RAW_농산물_9월'!$D:$D,$C359,'RAW_농산물_9월'!$A:$A,$E359)-SUMIFS('RAW_농산물_8월'!$H:$H,'RAW_농산물_8월'!$D:$D,$C359,'RAW_농산물_8월'!$A:$A,$E359)))</f>
        <v/>
      </c>
      <c r="Q359" s="7" t="str">
        <f>IF($C359="","",IF(COUNTA('RAW_농산물_10월'!$A:$A)&lt;=1,"",SUMIFS('RAW_농산물_10월'!$H:$H,'RAW_농산물_10월'!$D:$D,$C359,'RAW_농산물_10월'!$A:$A,$E359)-SUMIFS('RAW_농산물_9월'!$H:$H,'RAW_농산물_9월'!$D:$D,$C359,'RAW_농산물_9월'!$A:$A,$E359)))</f>
        <v/>
      </c>
      <c r="R359" s="7" t="str">
        <f>IF($C359="","",IF(COUNTA('RAW_농산물_11-12월'!$A:$A)&lt;=1,"",SUMIFS('RAW_농산물_11-12월'!$H:$H,'RAW_농산물_11-12월'!$D:$D,$C359,'RAW_농산물_11-12월'!$A:$A,$E359)-SUMIFS('RAW_농산물_10월'!$H:$H,'RAW_농산물_10월'!$D:$D,$C359,'RAW_농산물_10월'!$A:$A,$E359)))</f>
        <v/>
      </c>
      <c r="S359" s="17" t="str">
        <f t="shared" si="4"/>
        <v/>
      </c>
      <c r="T359" s="17" t="str">
        <f t="shared" si="5"/>
        <v/>
      </c>
      <c r="U359" s="7">
        <f>IF($C359="",0,IF('설정'!$B$3=0,0,CHOOSE('설정'!$B$3,COUNTIFS('RAW_농산물_7월'!$D:$D,$C359,'RAW_농산물_7월'!$A:$A,$E359),COUNTIFS('RAW_농산물_8월'!$D:$D,$C359,'RAW_농산물_8월'!$A:$A,$E359),COUNTIFS('RAW_농산물_9월'!$D:$D,$C359,'RAW_농산물_9월'!$A:$A,$E359),COUNTIFS('RAW_농산물_10월'!$D:$D,$C359,'RAW_농산물_10월'!$A:$A,$E359),COUNTIFS('RAW_농산물_11-12월'!$D:$D,$C359,'RAW_농산물_11-12월'!$A:$A,$E359))))</f>
        <v>0</v>
      </c>
    </row>
    <row r="360" ht="15.75" customHeight="1">
      <c r="A360" s="5"/>
      <c r="B360" s="5"/>
      <c r="C360" s="5"/>
      <c r="D360" s="6"/>
      <c r="E360" s="5"/>
      <c r="F360" s="7" t="str">
        <f>IF($C360="","",IF('설정'!$B$3=0,"",CHOOSE('설정'!$B$3,SUMIFS('RAW_농산물_7월'!$F:$F,'RAW_농산물_7월'!$D:$D,$C360,'RAW_농산물_7월'!$A:$A,$E360),SUMIFS('RAW_농산물_8월'!$F:$F,'RAW_농산물_8월'!$D:$D,$C360,'RAW_농산물_8월'!$A:$A,$E360),SUMIFS('RAW_농산물_9월'!$F:$F,'RAW_농산물_9월'!$D:$D,$C360,'RAW_농산물_9월'!$A:$A,$E360),SUMIFS('RAW_농산물_10월'!$F:$F,'RAW_농산물_10월'!$D:$D,$C360,'RAW_농산물_10월'!$A:$A,$E360),SUMIFS('RAW_농산물_11-12월'!$F:$F,'RAW_농산물_11-12월'!$D:$D,$C360,'RAW_농산물_11-12월'!$A:$A,$E360))))</f>
        <v/>
      </c>
      <c r="G360" s="7" t="str">
        <f>IF($C360="","",IF('설정'!$B$3=0,"",CHOOSE('설정'!$B$3,SUMIFS('RAW_농산물_7월'!$G:$G,'RAW_농산물_7월'!$D:$D,$C360,'RAW_농산물_7월'!$A:$A,$E360),SUMIFS('RAW_농산물_8월'!$G:$G,'RAW_농산물_8월'!$D:$D,$C360,'RAW_농산물_8월'!$A:$A,$E360),SUMIFS('RAW_농산물_9월'!$G:$G,'RAW_농산물_9월'!$D:$D,$C360,'RAW_농산물_9월'!$A:$A,$E360),SUMIFS('RAW_농산물_10월'!$G:$G,'RAW_농산물_10월'!$D:$D,$C360,'RAW_농산물_10월'!$A:$A,$E360),SUMIFS('RAW_농산물_11-12월'!$G:$G,'RAW_농산물_11-12월'!$D:$D,$C360,'RAW_농산물_11-12월'!$A:$A,$E360))))</f>
        <v/>
      </c>
      <c r="H360" s="14" t="str">
        <f>IF($C360="","",IF('설정'!$B$3=0,"",CHOOSE('설정'!$B$3,SUMIFS('RAW_농산물_7월'!$H:$H,'RAW_농산물_7월'!$D:$D,$C360,'RAW_농산물_7월'!$A:$A,$E360),SUMIFS('RAW_농산물_8월'!$H:$H,'RAW_농산물_8월'!$D:$D,$C360,'RAW_농산물_8월'!$A:$A,$E360),SUMIFS('RAW_농산물_9월'!$H:$H,'RAW_농산물_9월'!$D:$D,$C360,'RAW_농산물_9월'!$A:$A,$E360),SUMIFS('RAW_농산물_10월'!$H:$H,'RAW_농산물_10월'!$D:$D,$C360,'RAW_농산물_10월'!$A:$A,$E360),SUMIFS('RAW_농산물_11-12월'!$H:$H,'RAW_농산물_11-12월'!$D:$D,$C360,'RAW_농산물_11-12월'!$A:$A,$E360))))</f>
        <v/>
      </c>
      <c r="I360" s="17" t="str">
        <f>IF($C360="","",IF(COUNTIFS('RAW_농산물_7월'!$D:$D,$C360,'RAW_농산물_7월'!$A:$A,$E360)&gt;0,"O",""))</f>
        <v/>
      </c>
      <c r="J360" s="17" t="str">
        <f>IF($C360="","",IF(COUNTIFS('RAW_농산물_8월'!$D:$D,$C360,'RAW_농산물_8월'!$A:$A,$E360)&gt;0,"O",""))</f>
        <v/>
      </c>
      <c r="K360" s="17" t="str">
        <f>IF($C360="","",IF(COUNTIFS('RAW_농산물_9월'!$D:$D,$C360,'RAW_농산물_9월'!$A:$A,$E360)&gt;0,"O",""))</f>
        <v/>
      </c>
      <c r="L360" s="17" t="str">
        <f>IF($C360="","",IF(COUNTIFS('RAW_농산물_10월'!$D:$D,$C360,'RAW_농산물_10월'!$A:$A,$E360)&gt;0,"O",""))</f>
        <v/>
      </c>
      <c r="M360" s="17" t="str">
        <f>IF($C360="","",IF(COUNTIFS('RAW_농산물_11-12월'!$D:$D,$C360,'RAW_농산물_11-12월'!$A:$A,$E360)&gt;0,"O",""))</f>
        <v/>
      </c>
      <c r="N360" s="7" t="str">
        <f>IF($C360="","",IF(COUNTA('RAW_농산물_7월'!$A:$A)&lt;=1,"",SUMIFS('RAW_농산물_7월'!$H:$H,'RAW_농산물_7월'!$D:$D,$C360,'RAW_농산물_7월'!$A:$A,$E360)))</f>
        <v/>
      </c>
      <c r="O360" s="7" t="str">
        <f>IF($C360="","",IF(COUNTA('RAW_농산물_8월'!$A:$A)&lt;=1,"",SUMIFS('RAW_농산물_8월'!$H:$H,'RAW_농산물_8월'!$D:$D,$C360,'RAW_농산물_8월'!$A:$A,$E360)-SUMIFS('RAW_농산물_7월'!$H:$H,'RAW_농산물_7월'!$D:$D,$C360,'RAW_농산물_7월'!$A:$A,$E360)))</f>
        <v/>
      </c>
      <c r="P360" s="7" t="str">
        <f>IF($C360="","",IF(COUNTA('RAW_농산물_9월'!$A:$A)&lt;=1,"",SUMIFS('RAW_농산물_9월'!$H:$H,'RAW_농산물_9월'!$D:$D,$C360,'RAW_농산물_9월'!$A:$A,$E360)-SUMIFS('RAW_농산물_8월'!$H:$H,'RAW_농산물_8월'!$D:$D,$C360,'RAW_농산물_8월'!$A:$A,$E360)))</f>
        <v/>
      </c>
      <c r="Q360" s="7" t="str">
        <f>IF($C360="","",IF(COUNTA('RAW_농산물_10월'!$A:$A)&lt;=1,"",SUMIFS('RAW_농산물_10월'!$H:$H,'RAW_농산물_10월'!$D:$D,$C360,'RAW_농산물_10월'!$A:$A,$E360)-SUMIFS('RAW_농산물_9월'!$H:$H,'RAW_농산물_9월'!$D:$D,$C360,'RAW_농산물_9월'!$A:$A,$E360)))</f>
        <v/>
      </c>
      <c r="R360" s="7" t="str">
        <f>IF($C360="","",IF(COUNTA('RAW_농산물_11-12월'!$A:$A)&lt;=1,"",SUMIFS('RAW_농산물_11-12월'!$H:$H,'RAW_농산물_11-12월'!$D:$D,$C360,'RAW_농산물_11-12월'!$A:$A,$E360)-SUMIFS('RAW_농산물_10월'!$H:$H,'RAW_농산물_10월'!$D:$D,$C360,'RAW_농산물_10월'!$A:$A,$E360)))</f>
        <v/>
      </c>
      <c r="S360" s="17" t="str">
        <f t="shared" si="4"/>
        <v/>
      </c>
      <c r="T360" s="17" t="str">
        <f t="shared" si="5"/>
        <v/>
      </c>
      <c r="U360" s="7">
        <f>IF($C360="",0,IF('설정'!$B$3=0,0,CHOOSE('설정'!$B$3,COUNTIFS('RAW_농산물_7월'!$D:$D,$C360,'RAW_농산물_7월'!$A:$A,$E360),COUNTIFS('RAW_농산물_8월'!$D:$D,$C360,'RAW_농산물_8월'!$A:$A,$E360),COUNTIFS('RAW_농산물_9월'!$D:$D,$C360,'RAW_농산물_9월'!$A:$A,$E360),COUNTIFS('RAW_농산물_10월'!$D:$D,$C360,'RAW_농산물_10월'!$A:$A,$E360),COUNTIFS('RAW_농산물_11-12월'!$D:$D,$C360,'RAW_농산물_11-12월'!$A:$A,$E360))))</f>
        <v>0</v>
      </c>
    </row>
    <row r="361" ht="15.75" customHeight="1">
      <c r="A361" s="5"/>
      <c r="B361" s="5"/>
      <c r="C361" s="5"/>
      <c r="D361" s="6"/>
      <c r="E361" s="5"/>
      <c r="F361" s="7" t="str">
        <f>IF($C361="","",IF('설정'!$B$3=0,"",CHOOSE('설정'!$B$3,SUMIFS('RAW_농산물_7월'!$F:$F,'RAW_농산물_7월'!$D:$D,$C361,'RAW_농산물_7월'!$A:$A,$E361),SUMIFS('RAW_농산물_8월'!$F:$F,'RAW_농산물_8월'!$D:$D,$C361,'RAW_농산물_8월'!$A:$A,$E361),SUMIFS('RAW_농산물_9월'!$F:$F,'RAW_농산물_9월'!$D:$D,$C361,'RAW_농산물_9월'!$A:$A,$E361),SUMIFS('RAW_농산물_10월'!$F:$F,'RAW_농산물_10월'!$D:$D,$C361,'RAW_농산물_10월'!$A:$A,$E361),SUMIFS('RAW_농산물_11-12월'!$F:$F,'RAW_농산물_11-12월'!$D:$D,$C361,'RAW_농산물_11-12월'!$A:$A,$E361))))</f>
        <v/>
      </c>
      <c r="G361" s="7" t="str">
        <f>IF($C361="","",IF('설정'!$B$3=0,"",CHOOSE('설정'!$B$3,SUMIFS('RAW_농산물_7월'!$G:$G,'RAW_농산물_7월'!$D:$D,$C361,'RAW_농산물_7월'!$A:$A,$E361),SUMIFS('RAW_농산물_8월'!$G:$G,'RAW_농산물_8월'!$D:$D,$C361,'RAW_농산물_8월'!$A:$A,$E361),SUMIFS('RAW_농산물_9월'!$G:$G,'RAW_농산물_9월'!$D:$D,$C361,'RAW_농산물_9월'!$A:$A,$E361),SUMIFS('RAW_농산물_10월'!$G:$G,'RAW_농산물_10월'!$D:$D,$C361,'RAW_농산물_10월'!$A:$A,$E361),SUMIFS('RAW_농산물_11-12월'!$G:$G,'RAW_농산물_11-12월'!$D:$D,$C361,'RAW_농산물_11-12월'!$A:$A,$E361))))</f>
        <v/>
      </c>
      <c r="H361" s="14" t="str">
        <f>IF($C361="","",IF('설정'!$B$3=0,"",CHOOSE('설정'!$B$3,SUMIFS('RAW_농산물_7월'!$H:$H,'RAW_농산물_7월'!$D:$D,$C361,'RAW_농산물_7월'!$A:$A,$E361),SUMIFS('RAW_농산물_8월'!$H:$H,'RAW_농산물_8월'!$D:$D,$C361,'RAW_농산물_8월'!$A:$A,$E361),SUMIFS('RAW_농산물_9월'!$H:$H,'RAW_농산물_9월'!$D:$D,$C361,'RAW_농산물_9월'!$A:$A,$E361),SUMIFS('RAW_농산물_10월'!$H:$H,'RAW_농산물_10월'!$D:$D,$C361,'RAW_농산물_10월'!$A:$A,$E361),SUMIFS('RAW_농산물_11-12월'!$H:$H,'RAW_농산물_11-12월'!$D:$D,$C361,'RAW_농산물_11-12월'!$A:$A,$E361))))</f>
        <v/>
      </c>
      <c r="I361" s="17" t="str">
        <f>IF($C361="","",IF(COUNTIFS('RAW_농산물_7월'!$D:$D,$C361,'RAW_농산물_7월'!$A:$A,$E361)&gt;0,"O",""))</f>
        <v/>
      </c>
      <c r="J361" s="17" t="str">
        <f>IF($C361="","",IF(COUNTIFS('RAW_농산물_8월'!$D:$D,$C361,'RAW_농산물_8월'!$A:$A,$E361)&gt;0,"O",""))</f>
        <v/>
      </c>
      <c r="K361" s="17" t="str">
        <f>IF($C361="","",IF(COUNTIFS('RAW_농산물_9월'!$D:$D,$C361,'RAW_농산물_9월'!$A:$A,$E361)&gt;0,"O",""))</f>
        <v/>
      </c>
      <c r="L361" s="17" t="str">
        <f>IF($C361="","",IF(COUNTIFS('RAW_농산물_10월'!$D:$D,$C361,'RAW_농산물_10월'!$A:$A,$E361)&gt;0,"O",""))</f>
        <v/>
      </c>
      <c r="M361" s="17" t="str">
        <f>IF($C361="","",IF(COUNTIFS('RAW_농산물_11-12월'!$D:$D,$C361,'RAW_농산물_11-12월'!$A:$A,$E361)&gt;0,"O",""))</f>
        <v/>
      </c>
      <c r="N361" s="7" t="str">
        <f>IF($C361="","",IF(COUNTA('RAW_농산물_7월'!$A:$A)&lt;=1,"",SUMIFS('RAW_농산물_7월'!$H:$H,'RAW_농산물_7월'!$D:$D,$C361,'RAW_농산물_7월'!$A:$A,$E361)))</f>
        <v/>
      </c>
      <c r="O361" s="7" t="str">
        <f>IF($C361="","",IF(COUNTA('RAW_농산물_8월'!$A:$A)&lt;=1,"",SUMIFS('RAW_농산물_8월'!$H:$H,'RAW_농산물_8월'!$D:$D,$C361,'RAW_농산물_8월'!$A:$A,$E361)-SUMIFS('RAW_농산물_7월'!$H:$H,'RAW_농산물_7월'!$D:$D,$C361,'RAW_농산물_7월'!$A:$A,$E361)))</f>
        <v/>
      </c>
      <c r="P361" s="7" t="str">
        <f>IF($C361="","",IF(COUNTA('RAW_농산물_9월'!$A:$A)&lt;=1,"",SUMIFS('RAW_농산물_9월'!$H:$H,'RAW_농산물_9월'!$D:$D,$C361,'RAW_농산물_9월'!$A:$A,$E361)-SUMIFS('RAW_농산물_8월'!$H:$H,'RAW_농산물_8월'!$D:$D,$C361,'RAW_농산물_8월'!$A:$A,$E361)))</f>
        <v/>
      </c>
      <c r="Q361" s="7" t="str">
        <f>IF($C361="","",IF(COUNTA('RAW_농산물_10월'!$A:$A)&lt;=1,"",SUMIFS('RAW_농산물_10월'!$H:$H,'RAW_농산물_10월'!$D:$D,$C361,'RAW_농산물_10월'!$A:$A,$E361)-SUMIFS('RAW_농산물_9월'!$H:$H,'RAW_농산물_9월'!$D:$D,$C361,'RAW_농산물_9월'!$A:$A,$E361)))</f>
        <v/>
      </c>
      <c r="R361" s="7" t="str">
        <f>IF($C361="","",IF(COUNTA('RAW_농산물_11-12월'!$A:$A)&lt;=1,"",SUMIFS('RAW_농산물_11-12월'!$H:$H,'RAW_농산물_11-12월'!$D:$D,$C361,'RAW_농산물_11-12월'!$A:$A,$E361)-SUMIFS('RAW_농산물_10월'!$H:$H,'RAW_농산물_10월'!$D:$D,$C361,'RAW_농산물_10월'!$A:$A,$E361)))</f>
        <v/>
      </c>
      <c r="S361" s="17" t="str">
        <f t="shared" si="4"/>
        <v/>
      </c>
      <c r="T361" s="17" t="str">
        <f t="shared" si="5"/>
        <v/>
      </c>
      <c r="U361" s="7">
        <f>IF($C361="",0,IF('설정'!$B$3=0,0,CHOOSE('설정'!$B$3,COUNTIFS('RAW_농산물_7월'!$D:$D,$C361,'RAW_농산물_7월'!$A:$A,$E361),COUNTIFS('RAW_농산물_8월'!$D:$D,$C361,'RAW_농산물_8월'!$A:$A,$E361),COUNTIFS('RAW_농산물_9월'!$D:$D,$C361,'RAW_농산물_9월'!$A:$A,$E361),COUNTIFS('RAW_농산물_10월'!$D:$D,$C361,'RAW_농산물_10월'!$A:$A,$E361),COUNTIFS('RAW_농산물_11-12월'!$D:$D,$C361,'RAW_농산물_11-12월'!$A:$A,$E361))))</f>
        <v>0</v>
      </c>
    </row>
    <row r="362" ht="15.75" customHeight="1">
      <c r="A362" s="5"/>
      <c r="B362" s="5"/>
      <c r="C362" s="5"/>
      <c r="D362" s="6"/>
      <c r="E362" s="5"/>
      <c r="F362" s="7" t="str">
        <f>IF($C362="","",IF('설정'!$B$3=0,"",CHOOSE('설정'!$B$3,SUMIFS('RAW_농산물_7월'!$F:$F,'RAW_농산물_7월'!$D:$D,$C362,'RAW_농산물_7월'!$A:$A,$E362),SUMIFS('RAW_농산물_8월'!$F:$F,'RAW_농산물_8월'!$D:$D,$C362,'RAW_농산물_8월'!$A:$A,$E362),SUMIFS('RAW_농산물_9월'!$F:$F,'RAW_농산물_9월'!$D:$D,$C362,'RAW_농산물_9월'!$A:$A,$E362),SUMIFS('RAW_농산물_10월'!$F:$F,'RAW_농산물_10월'!$D:$D,$C362,'RAW_농산물_10월'!$A:$A,$E362),SUMIFS('RAW_농산물_11-12월'!$F:$F,'RAW_농산물_11-12월'!$D:$D,$C362,'RAW_농산물_11-12월'!$A:$A,$E362))))</f>
        <v/>
      </c>
      <c r="G362" s="7" t="str">
        <f>IF($C362="","",IF('설정'!$B$3=0,"",CHOOSE('설정'!$B$3,SUMIFS('RAW_농산물_7월'!$G:$G,'RAW_농산물_7월'!$D:$D,$C362,'RAW_농산물_7월'!$A:$A,$E362),SUMIFS('RAW_농산물_8월'!$G:$G,'RAW_농산물_8월'!$D:$D,$C362,'RAW_농산물_8월'!$A:$A,$E362),SUMIFS('RAW_농산물_9월'!$G:$G,'RAW_농산물_9월'!$D:$D,$C362,'RAW_농산물_9월'!$A:$A,$E362),SUMIFS('RAW_농산물_10월'!$G:$G,'RAW_농산물_10월'!$D:$D,$C362,'RAW_농산물_10월'!$A:$A,$E362),SUMIFS('RAW_농산물_11-12월'!$G:$G,'RAW_농산물_11-12월'!$D:$D,$C362,'RAW_농산물_11-12월'!$A:$A,$E362))))</f>
        <v/>
      </c>
      <c r="H362" s="14" t="str">
        <f>IF($C362="","",IF('설정'!$B$3=0,"",CHOOSE('설정'!$B$3,SUMIFS('RAW_농산물_7월'!$H:$H,'RAW_농산물_7월'!$D:$D,$C362,'RAW_농산물_7월'!$A:$A,$E362),SUMIFS('RAW_농산물_8월'!$H:$H,'RAW_농산물_8월'!$D:$D,$C362,'RAW_농산물_8월'!$A:$A,$E362),SUMIFS('RAW_농산물_9월'!$H:$H,'RAW_농산물_9월'!$D:$D,$C362,'RAW_농산물_9월'!$A:$A,$E362),SUMIFS('RAW_농산물_10월'!$H:$H,'RAW_농산물_10월'!$D:$D,$C362,'RAW_농산물_10월'!$A:$A,$E362),SUMIFS('RAW_농산물_11-12월'!$H:$H,'RAW_농산물_11-12월'!$D:$D,$C362,'RAW_농산물_11-12월'!$A:$A,$E362))))</f>
        <v/>
      </c>
      <c r="I362" s="17" t="str">
        <f>IF($C362="","",IF(COUNTIFS('RAW_농산물_7월'!$D:$D,$C362,'RAW_농산물_7월'!$A:$A,$E362)&gt;0,"O",""))</f>
        <v/>
      </c>
      <c r="J362" s="17" t="str">
        <f>IF($C362="","",IF(COUNTIFS('RAW_농산물_8월'!$D:$D,$C362,'RAW_농산물_8월'!$A:$A,$E362)&gt;0,"O",""))</f>
        <v/>
      </c>
      <c r="K362" s="17" t="str">
        <f>IF($C362="","",IF(COUNTIFS('RAW_농산물_9월'!$D:$D,$C362,'RAW_농산물_9월'!$A:$A,$E362)&gt;0,"O",""))</f>
        <v/>
      </c>
      <c r="L362" s="17" t="str">
        <f>IF($C362="","",IF(COUNTIFS('RAW_농산물_10월'!$D:$D,$C362,'RAW_농산물_10월'!$A:$A,$E362)&gt;0,"O",""))</f>
        <v/>
      </c>
      <c r="M362" s="17" t="str">
        <f>IF($C362="","",IF(COUNTIFS('RAW_농산물_11-12월'!$D:$D,$C362,'RAW_농산물_11-12월'!$A:$A,$E362)&gt;0,"O",""))</f>
        <v/>
      </c>
      <c r="N362" s="7" t="str">
        <f>IF($C362="","",IF(COUNTA('RAW_농산물_7월'!$A:$A)&lt;=1,"",SUMIFS('RAW_농산물_7월'!$H:$H,'RAW_농산물_7월'!$D:$D,$C362,'RAW_농산물_7월'!$A:$A,$E362)))</f>
        <v/>
      </c>
      <c r="O362" s="7" t="str">
        <f>IF($C362="","",IF(COUNTA('RAW_농산물_8월'!$A:$A)&lt;=1,"",SUMIFS('RAW_농산물_8월'!$H:$H,'RAW_농산물_8월'!$D:$D,$C362,'RAW_농산물_8월'!$A:$A,$E362)-SUMIFS('RAW_농산물_7월'!$H:$H,'RAW_농산물_7월'!$D:$D,$C362,'RAW_농산물_7월'!$A:$A,$E362)))</f>
        <v/>
      </c>
      <c r="P362" s="7" t="str">
        <f>IF($C362="","",IF(COUNTA('RAW_농산물_9월'!$A:$A)&lt;=1,"",SUMIFS('RAW_농산물_9월'!$H:$H,'RAW_농산물_9월'!$D:$D,$C362,'RAW_농산물_9월'!$A:$A,$E362)-SUMIFS('RAW_농산물_8월'!$H:$H,'RAW_농산물_8월'!$D:$D,$C362,'RAW_농산물_8월'!$A:$A,$E362)))</f>
        <v/>
      </c>
      <c r="Q362" s="7" t="str">
        <f>IF($C362="","",IF(COUNTA('RAW_농산물_10월'!$A:$A)&lt;=1,"",SUMIFS('RAW_농산물_10월'!$H:$H,'RAW_농산물_10월'!$D:$D,$C362,'RAW_농산물_10월'!$A:$A,$E362)-SUMIFS('RAW_농산물_9월'!$H:$H,'RAW_농산물_9월'!$D:$D,$C362,'RAW_농산물_9월'!$A:$A,$E362)))</f>
        <v/>
      </c>
      <c r="R362" s="7" t="str">
        <f>IF($C362="","",IF(COUNTA('RAW_농산물_11-12월'!$A:$A)&lt;=1,"",SUMIFS('RAW_농산물_11-12월'!$H:$H,'RAW_농산물_11-12월'!$D:$D,$C362,'RAW_농산물_11-12월'!$A:$A,$E362)-SUMIFS('RAW_농산물_10월'!$H:$H,'RAW_농산물_10월'!$D:$D,$C362,'RAW_농산물_10월'!$A:$A,$E362)))</f>
        <v/>
      </c>
      <c r="S362" s="17" t="str">
        <f t="shared" si="4"/>
        <v/>
      </c>
      <c r="T362" s="17" t="str">
        <f t="shared" si="5"/>
        <v/>
      </c>
      <c r="U362" s="7">
        <f>IF($C362="",0,IF('설정'!$B$3=0,0,CHOOSE('설정'!$B$3,COUNTIFS('RAW_농산물_7월'!$D:$D,$C362,'RAW_농산물_7월'!$A:$A,$E362),COUNTIFS('RAW_농산물_8월'!$D:$D,$C362,'RAW_농산물_8월'!$A:$A,$E362),COUNTIFS('RAW_농산물_9월'!$D:$D,$C362,'RAW_농산물_9월'!$A:$A,$E362),COUNTIFS('RAW_농산물_10월'!$D:$D,$C362,'RAW_농산물_10월'!$A:$A,$E362),COUNTIFS('RAW_농산물_11-12월'!$D:$D,$C362,'RAW_농산물_11-12월'!$A:$A,$E362))))</f>
        <v>0</v>
      </c>
    </row>
    <row r="363" ht="15.75" customHeight="1">
      <c r="A363" s="5"/>
      <c r="B363" s="5"/>
      <c r="C363" s="5"/>
      <c r="D363" s="6"/>
      <c r="E363" s="5"/>
      <c r="F363" s="7" t="str">
        <f>IF($C363="","",IF('설정'!$B$3=0,"",CHOOSE('설정'!$B$3,SUMIFS('RAW_농산물_7월'!$F:$F,'RAW_농산물_7월'!$D:$D,$C363,'RAW_농산물_7월'!$A:$A,$E363),SUMIFS('RAW_농산물_8월'!$F:$F,'RAW_농산물_8월'!$D:$D,$C363,'RAW_농산물_8월'!$A:$A,$E363),SUMIFS('RAW_농산물_9월'!$F:$F,'RAW_농산물_9월'!$D:$D,$C363,'RAW_농산물_9월'!$A:$A,$E363),SUMIFS('RAW_농산물_10월'!$F:$F,'RAW_농산물_10월'!$D:$D,$C363,'RAW_농산물_10월'!$A:$A,$E363),SUMIFS('RAW_농산물_11-12월'!$F:$F,'RAW_농산물_11-12월'!$D:$D,$C363,'RAW_농산물_11-12월'!$A:$A,$E363))))</f>
        <v/>
      </c>
      <c r="G363" s="7" t="str">
        <f>IF($C363="","",IF('설정'!$B$3=0,"",CHOOSE('설정'!$B$3,SUMIFS('RAW_농산물_7월'!$G:$G,'RAW_농산물_7월'!$D:$D,$C363,'RAW_농산물_7월'!$A:$A,$E363),SUMIFS('RAW_농산물_8월'!$G:$G,'RAW_농산물_8월'!$D:$D,$C363,'RAW_농산물_8월'!$A:$A,$E363),SUMIFS('RAW_농산물_9월'!$G:$G,'RAW_농산물_9월'!$D:$D,$C363,'RAW_농산물_9월'!$A:$A,$E363),SUMIFS('RAW_농산물_10월'!$G:$G,'RAW_농산물_10월'!$D:$D,$C363,'RAW_농산물_10월'!$A:$A,$E363),SUMIFS('RAW_농산물_11-12월'!$G:$G,'RAW_농산물_11-12월'!$D:$D,$C363,'RAW_농산물_11-12월'!$A:$A,$E363))))</f>
        <v/>
      </c>
      <c r="H363" s="14" t="str">
        <f>IF($C363="","",IF('설정'!$B$3=0,"",CHOOSE('설정'!$B$3,SUMIFS('RAW_농산물_7월'!$H:$H,'RAW_농산물_7월'!$D:$D,$C363,'RAW_농산물_7월'!$A:$A,$E363),SUMIFS('RAW_농산물_8월'!$H:$H,'RAW_농산물_8월'!$D:$D,$C363,'RAW_농산물_8월'!$A:$A,$E363),SUMIFS('RAW_농산물_9월'!$H:$H,'RAW_농산물_9월'!$D:$D,$C363,'RAW_농산물_9월'!$A:$A,$E363),SUMIFS('RAW_농산물_10월'!$H:$H,'RAW_농산물_10월'!$D:$D,$C363,'RAW_농산물_10월'!$A:$A,$E363),SUMIFS('RAW_농산물_11-12월'!$H:$H,'RAW_농산물_11-12월'!$D:$D,$C363,'RAW_농산물_11-12월'!$A:$A,$E363))))</f>
        <v/>
      </c>
      <c r="I363" s="17" t="str">
        <f>IF($C363="","",IF(COUNTIFS('RAW_농산물_7월'!$D:$D,$C363,'RAW_농산물_7월'!$A:$A,$E363)&gt;0,"O",""))</f>
        <v/>
      </c>
      <c r="J363" s="17" t="str">
        <f>IF($C363="","",IF(COUNTIFS('RAW_농산물_8월'!$D:$D,$C363,'RAW_농산물_8월'!$A:$A,$E363)&gt;0,"O",""))</f>
        <v/>
      </c>
      <c r="K363" s="17" t="str">
        <f>IF($C363="","",IF(COUNTIFS('RAW_농산물_9월'!$D:$D,$C363,'RAW_농산물_9월'!$A:$A,$E363)&gt;0,"O",""))</f>
        <v/>
      </c>
      <c r="L363" s="17" t="str">
        <f>IF($C363="","",IF(COUNTIFS('RAW_농산물_10월'!$D:$D,$C363,'RAW_농산물_10월'!$A:$A,$E363)&gt;0,"O",""))</f>
        <v/>
      </c>
      <c r="M363" s="17" t="str">
        <f>IF($C363="","",IF(COUNTIFS('RAW_농산물_11-12월'!$D:$D,$C363,'RAW_농산물_11-12월'!$A:$A,$E363)&gt;0,"O",""))</f>
        <v/>
      </c>
      <c r="N363" s="7" t="str">
        <f>IF($C363="","",IF(COUNTA('RAW_농산물_7월'!$A:$A)&lt;=1,"",SUMIFS('RAW_농산물_7월'!$H:$H,'RAW_농산물_7월'!$D:$D,$C363,'RAW_농산물_7월'!$A:$A,$E363)))</f>
        <v/>
      </c>
      <c r="O363" s="7" t="str">
        <f>IF($C363="","",IF(COUNTA('RAW_농산물_8월'!$A:$A)&lt;=1,"",SUMIFS('RAW_농산물_8월'!$H:$H,'RAW_농산물_8월'!$D:$D,$C363,'RAW_농산물_8월'!$A:$A,$E363)-SUMIFS('RAW_농산물_7월'!$H:$H,'RAW_농산물_7월'!$D:$D,$C363,'RAW_농산물_7월'!$A:$A,$E363)))</f>
        <v/>
      </c>
      <c r="P363" s="7" t="str">
        <f>IF($C363="","",IF(COUNTA('RAW_농산물_9월'!$A:$A)&lt;=1,"",SUMIFS('RAW_농산물_9월'!$H:$H,'RAW_농산물_9월'!$D:$D,$C363,'RAW_농산물_9월'!$A:$A,$E363)-SUMIFS('RAW_농산물_8월'!$H:$H,'RAW_농산물_8월'!$D:$D,$C363,'RAW_농산물_8월'!$A:$A,$E363)))</f>
        <v/>
      </c>
      <c r="Q363" s="7" t="str">
        <f>IF($C363="","",IF(COUNTA('RAW_농산물_10월'!$A:$A)&lt;=1,"",SUMIFS('RAW_농산물_10월'!$H:$H,'RAW_농산물_10월'!$D:$D,$C363,'RAW_농산물_10월'!$A:$A,$E363)-SUMIFS('RAW_농산물_9월'!$H:$H,'RAW_농산물_9월'!$D:$D,$C363,'RAW_농산물_9월'!$A:$A,$E363)))</f>
        <v/>
      </c>
      <c r="R363" s="7" t="str">
        <f>IF($C363="","",IF(COUNTA('RAW_농산물_11-12월'!$A:$A)&lt;=1,"",SUMIFS('RAW_농산물_11-12월'!$H:$H,'RAW_농산물_11-12월'!$D:$D,$C363,'RAW_농산물_11-12월'!$A:$A,$E363)-SUMIFS('RAW_농산물_10월'!$H:$H,'RAW_농산물_10월'!$D:$D,$C363,'RAW_농산물_10월'!$A:$A,$E363)))</f>
        <v/>
      </c>
      <c r="S363" s="17" t="str">
        <f t="shared" si="4"/>
        <v/>
      </c>
      <c r="T363" s="17" t="str">
        <f t="shared" si="5"/>
        <v/>
      </c>
      <c r="U363" s="7">
        <f>IF($C363="",0,IF('설정'!$B$3=0,0,CHOOSE('설정'!$B$3,COUNTIFS('RAW_농산물_7월'!$D:$D,$C363,'RAW_농산물_7월'!$A:$A,$E363),COUNTIFS('RAW_농산물_8월'!$D:$D,$C363,'RAW_농산물_8월'!$A:$A,$E363),COUNTIFS('RAW_농산물_9월'!$D:$D,$C363,'RAW_농산물_9월'!$A:$A,$E363),COUNTIFS('RAW_농산물_10월'!$D:$D,$C363,'RAW_농산물_10월'!$A:$A,$E363),COUNTIFS('RAW_농산물_11-12월'!$D:$D,$C363,'RAW_농산물_11-12월'!$A:$A,$E363))))</f>
        <v>0</v>
      </c>
    </row>
    <row r="364" ht="15.75" customHeight="1">
      <c r="A364" s="5"/>
      <c r="B364" s="5"/>
      <c r="C364" s="5"/>
      <c r="D364" s="6"/>
      <c r="E364" s="5"/>
      <c r="F364" s="7" t="str">
        <f>IF($C364="","",IF('설정'!$B$3=0,"",CHOOSE('설정'!$B$3,SUMIFS('RAW_농산물_7월'!$F:$F,'RAW_농산물_7월'!$D:$D,$C364,'RAW_농산물_7월'!$A:$A,$E364),SUMIFS('RAW_농산물_8월'!$F:$F,'RAW_농산물_8월'!$D:$D,$C364,'RAW_농산물_8월'!$A:$A,$E364),SUMIFS('RAW_농산물_9월'!$F:$F,'RAW_농산물_9월'!$D:$D,$C364,'RAW_농산물_9월'!$A:$A,$E364),SUMIFS('RAW_농산물_10월'!$F:$F,'RAW_농산물_10월'!$D:$D,$C364,'RAW_농산물_10월'!$A:$A,$E364),SUMIFS('RAW_농산물_11-12월'!$F:$F,'RAW_농산물_11-12월'!$D:$D,$C364,'RAW_농산물_11-12월'!$A:$A,$E364))))</f>
        <v/>
      </c>
      <c r="G364" s="7" t="str">
        <f>IF($C364="","",IF('설정'!$B$3=0,"",CHOOSE('설정'!$B$3,SUMIFS('RAW_농산물_7월'!$G:$G,'RAW_농산물_7월'!$D:$D,$C364,'RAW_농산물_7월'!$A:$A,$E364),SUMIFS('RAW_농산물_8월'!$G:$G,'RAW_농산물_8월'!$D:$D,$C364,'RAW_농산물_8월'!$A:$A,$E364),SUMIFS('RAW_농산물_9월'!$G:$G,'RAW_농산물_9월'!$D:$D,$C364,'RAW_농산물_9월'!$A:$A,$E364),SUMIFS('RAW_농산물_10월'!$G:$G,'RAW_농산물_10월'!$D:$D,$C364,'RAW_농산물_10월'!$A:$A,$E364),SUMIFS('RAW_농산물_11-12월'!$G:$G,'RAW_농산물_11-12월'!$D:$D,$C364,'RAW_농산물_11-12월'!$A:$A,$E364))))</f>
        <v/>
      </c>
      <c r="H364" s="14" t="str">
        <f>IF($C364="","",IF('설정'!$B$3=0,"",CHOOSE('설정'!$B$3,SUMIFS('RAW_농산물_7월'!$H:$H,'RAW_농산물_7월'!$D:$D,$C364,'RAW_농산물_7월'!$A:$A,$E364),SUMIFS('RAW_농산물_8월'!$H:$H,'RAW_농산물_8월'!$D:$D,$C364,'RAW_농산물_8월'!$A:$A,$E364),SUMIFS('RAW_농산물_9월'!$H:$H,'RAW_농산물_9월'!$D:$D,$C364,'RAW_농산물_9월'!$A:$A,$E364),SUMIFS('RAW_농산물_10월'!$H:$H,'RAW_농산물_10월'!$D:$D,$C364,'RAW_농산물_10월'!$A:$A,$E364),SUMIFS('RAW_농산물_11-12월'!$H:$H,'RAW_농산물_11-12월'!$D:$D,$C364,'RAW_농산물_11-12월'!$A:$A,$E364))))</f>
        <v/>
      </c>
      <c r="I364" s="17" t="str">
        <f>IF($C364="","",IF(COUNTIFS('RAW_농산물_7월'!$D:$D,$C364,'RAW_농산물_7월'!$A:$A,$E364)&gt;0,"O",""))</f>
        <v/>
      </c>
      <c r="J364" s="17" t="str">
        <f>IF($C364="","",IF(COUNTIFS('RAW_농산물_8월'!$D:$D,$C364,'RAW_농산물_8월'!$A:$A,$E364)&gt;0,"O",""))</f>
        <v/>
      </c>
      <c r="K364" s="17" t="str">
        <f>IF($C364="","",IF(COUNTIFS('RAW_농산물_9월'!$D:$D,$C364,'RAW_농산물_9월'!$A:$A,$E364)&gt;0,"O",""))</f>
        <v/>
      </c>
      <c r="L364" s="17" t="str">
        <f>IF($C364="","",IF(COUNTIFS('RAW_농산물_10월'!$D:$D,$C364,'RAW_농산물_10월'!$A:$A,$E364)&gt;0,"O",""))</f>
        <v/>
      </c>
      <c r="M364" s="17" t="str">
        <f>IF($C364="","",IF(COUNTIFS('RAW_농산물_11-12월'!$D:$D,$C364,'RAW_농산물_11-12월'!$A:$A,$E364)&gt;0,"O",""))</f>
        <v/>
      </c>
      <c r="N364" s="7" t="str">
        <f>IF($C364="","",IF(COUNTA('RAW_농산물_7월'!$A:$A)&lt;=1,"",SUMIFS('RAW_농산물_7월'!$H:$H,'RAW_농산물_7월'!$D:$D,$C364,'RAW_농산물_7월'!$A:$A,$E364)))</f>
        <v/>
      </c>
      <c r="O364" s="7" t="str">
        <f>IF($C364="","",IF(COUNTA('RAW_농산물_8월'!$A:$A)&lt;=1,"",SUMIFS('RAW_농산물_8월'!$H:$H,'RAW_농산물_8월'!$D:$D,$C364,'RAW_농산물_8월'!$A:$A,$E364)-SUMIFS('RAW_농산물_7월'!$H:$H,'RAW_농산물_7월'!$D:$D,$C364,'RAW_농산물_7월'!$A:$A,$E364)))</f>
        <v/>
      </c>
      <c r="P364" s="7" t="str">
        <f>IF($C364="","",IF(COUNTA('RAW_농산물_9월'!$A:$A)&lt;=1,"",SUMIFS('RAW_농산물_9월'!$H:$H,'RAW_농산물_9월'!$D:$D,$C364,'RAW_농산물_9월'!$A:$A,$E364)-SUMIFS('RAW_농산물_8월'!$H:$H,'RAW_농산물_8월'!$D:$D,$C364,'RAW_농산물_8월'!$A:$A,$E364)))</f>
        <v/>
      </c>
      <c r="Q364" s="7" t="str">
        <f>IF($C364="","",IF(COUNTA('RAW_농산물_10월'!$A:$A)&lt;=1,"",SUMIFS('RAW_농산물_10월'!$H:$H,'RAW_농산물_10월'!$D:$D,$C364,'RAW_농산물_10월'!$A:$A,$E364)-SUMIFS('RAW_농산물_9월'!$H:$H,'RAW_농산물_9월'!$D:$D,$C364,'RAW_농산물_9월'!$A:$A,$E364)))</f>
        <v/>
      </c>
      <c r="R364" s="7" t="str">
        <f>IF($C364="","",IF(COUNTA('RAW_농산물_11-12월'!$A:$A)&lt;=1,"",SUMIFS('RAW_농산물_11-12월'!$H:$H,'RAW_농산물_11-12월'!$D:$D,$C364,'RAW_농산물_11-12월'!$A:$A,$E364)-SUMIFS('RAW_농산물_10월'!$H:$H,'RAW_농산물_10월'!$D:$D,$C364,'RAW_농산물_10월'!$A:$A,$E364)))</f>
        <v/>
      </c>
      <c r="S364" s="17" t="str">
        <f t="shared" si="4"/>
        <v/>
      </c>
      <c r="T364" s="17" t="str">
        <f t="shared" si="5"/>
        <v/>
      </c>
      <c r="U364" s="7">
        <f>IF($C364="",0,IF('설정'!$B$3=0,0,CHOOSE('설정'!$B$3,COUNTIFS('RAW_농산물_7월'!$D:$D,$C364,'RAW_농산물_7월'!$A:$A,$E364),COUNTIFS('RAW_농산물_8월'!$D:$D,$C364,'RAW_농산물_8월'!$A:$A,$E364),COUNTIFS('RAW_농산물_9월'!$D:$D,$C364,'RAW_농산물_9월'!$A:$A,$E364),COUNTIFS('RAW_농산물_10월'!$D:$D,$C364,'RAW_농산물_10월'!$A:$A,$E364),COUNTIFS('RAW_농산물_11-12월'!$D:$D,$C364,'RAW_농산물_11-12월'!$A:$A,$E364))))</f>
        <v>0</v>
      </c>
    </row>
    <row r="365" ht="15.75" customHeight="1">
      <c r="A365" s="5"/>
      <c r="B365" s="5"/>
      <c r="C365" s="5"/>
      <c r="D365" s="6"/>
      <c r="E365" s="5"/>
      <c r="F365" s="7" t="str">
        <f>IF($C365="","",IF('설정'!$B$3=0,"",CHOOSE('설정'!$B$3,SUMIFS('RAW_농산물_7월'!$F:$F,'RAW_농산물_7월'!$D:$D,$C365,'RAW_농산물_7월'!$A:$A,$E365),SUMIFS('RAW_농산물_8월'!$F:$F,'RAW_농산물_8월'!$D:$D,$C365,'RAW_농산물_8월'!$A:$A,$E365),SUMIFS('RAW_농산물_9월'!$F:$F,'RAW_농산물_9월'!$D:$D,$C365,'RAW_농산물_9월'!$A:$A,$E365),SUMIFS('RAW_농산물_10월'!$F:$F,'RAW_농산물_10월'!$D:$D,$C365,'RAW_농산물_10월'!$A:$A,$E365),SUMIFS('RAW_농산물_11-12월'!$F:$F,'RAW_농산물_11-12월'!$D:$D,$C365,'RAW_농산물_11-12월'!$A:$A,$E365))))</f>
        <v/>
      </c>
      <c r="G365" s="7" t="str">
        <f>IF($C365="","",IF('설정'!$B$3=0,"",CHOOSE('설정'!$B$3,SUMIFS('RAW_농산물_7월'!$G:$G,'RAW_농산물_7월'!$D:$D,$C365,'RAW_농산물_7월'!$A:$A,$E365),SUMIFS('RAW_농산물_8월'!$G:$G,'RAW_농산물_8월'!$D:$D,$C365,'RAW_농산물_8월'!$A:$A,$E365),SUMIFS('RAW_농산물_9월'!$G:$G,'RAW_농산물_9월'!$D:$D,$C365,'RAW_농산물_9월'!$A:$A,$E365),SUMIFS('RAW_농산물_10월'!$G:$G,'RAW_농산물_10월'!$D:$D,$C365,'RAW_농산물_10월'!$A:$A,$E365),SUMIFS('RAW_농산물_11-12월'!$G:$G,'RAW_농산물_11-12월'!$D:$D,$C365,'RAW_농산물_11-12월'!$A:$A,$E365))))</f>
        <v/>
      </c>
      <c r="H365" s="14" t="str">
        <f>IF($C365="","",IF('설정'!$B$3=0,"",CHOOSE('설정'!$B$3,SUMIFS('RAW_농산물_7월'!$H:$H,'RAW_농산물_7월'!$D:$D,$C365,'RAW_농산물_7월'!$A:$A,$E365),SUMIFS('RAW_농산물_8월'!$H:$H,'RAW_농산물_8월'!$D:$D,$C365,'RAW_농산물_8월'!$A:$A,$E365),SUMIFS('RAW_농산물_9월'!$H:$H,'RAW_농산물_9월'!$D:$D,$C365,'RAW_농산물_9월'!$A:$A,$E365),SUMIFS('RAW_농산물_10월'!$H:$H,'RAW_농산물_10월'!$D:$D,$C365,'RAW_농산물_10월'!$A:$A,$E365),SUMIFS('RAW_농산물_11-12월'!$H:$H,'RAW_농산물_11-12월'!$D:$D,$C365,'RAW_농산물_11-12월'!$A:$A,$E365))))</f>
        <v/>
      </c>
      <c r="I365" s="17" t="str">
        <f>IF($C365="","",IF(COUNTIFS('RAW_농산물_7월'!$D:$D,$C365,'RAW_농산물_7월'!$A:$A,$E365)&gt;0,"O",""))</f>
        <v/>
      </c>
      <c r="J365" s="17" t="str">
        <f>IF($C365="","",IF(COUNTIFS('RAW_농산물_8월'!$D:$D,$C365,'RAW_농산물_8월'!$A:$A,$E365)&gt;0,"O",""))</f>
        <v/>
      </c>
      <c r="K365" s="17" t="str">
        <f>IF($C365="","",IF(COUNTIFS('RAW_농산물_9월'!$D:$D,$C365,'RAW_농산물_9월'!$A:$A,$E365)&gt;0,"O",""))</f>
        <v/>
      </c>
      <c r="L365" s="17" t="str">
        <f>IF($C365="","",IF(COUNTIFS('RAW_농산물_10월'!$D:$D,$C365,'RAW_농산물_10월'!$A:$A,$E365)&gt;0,"O",""))</f>
        <v/>
      </c>
      <c r="M365" s="17" t="str">
        <f>IF($C365="","",IF(COUNTIFS('RAW_농산물_11-12월'!$D:$D,$C365,'RAW_농산물_11-12월'!$A:$A,$E365)&gt;0,"O",""))</f>
        <v/>
      </c>
      <c r="N365" s="7" t="str">
        <f>IF($C365="","",IF(COUNTA('RAW_농산물_7월'!$A:$A)&lt;=1,"",SUMIFS('RAW_농산물_7월'!$H:$H,'RAW_농산물_7월'!$D:$D,$C365,'RAW_농산물_7월'!$A:$A,$E365)))</f>
        <v/>
      </c>
      <c r="O365" s="7" t="str">
        <f>IF($C365="","",IF(COUNTA('RAW_농산물_8월'!$A:$A)&lt;=1,"",SUMIFS('RAW_농산물_8월'!$H:$H,'RAW_농산물_8월'!$D:$D,$C365,'RAW_농산물_8월'!$A:$A,$E365)-SUMIFS('RAW_농산물_7월'!$H:$H,'RAW_농산물_7월'!$D:$D,$C365,'RAW_농산물_7월'!$A:$A,$E365)))</f>
        <v/>
      </c>
      <c r="P365" s="7" t="str">
        <f>IF($C365="","",IF(COUNTA('RAW_농산물_9월'!$A:$A)&lt;=1,"",SUMIFS('RAW_농산물_9월'!$H:$H,'RAW_농산물_9월'!$D:$D,$C365,'RAW_농산물_9월'!$A:$A,$E365)-SUMIFS('RAW_농산물_8월'!$H:$H,'RAW_농산물_8월'!$D:$D,$C365,'RAW_농산물_8월'!$A:$A,$E365)))</f>
        <v/>
      </c>
      <c r="Q365" s="7" t="str">
        <f>IF($C365="","",IF(COUNTA('RAW_농산물_10월'!$A:$A)&lt;=1,"",SUMIFS('RAW_농산물_10월'!$H:$H,'RAW_농산물_10월'!$D:$D,$C365,'RAW_농산물_10월'!$A:$A,$E365)-SUMIFS('RAW_농산물_9월'!$H:$H,'RAW_농산물_9월'!$D:$D,$C365,'RAW_농산물_9월'!$A:$A,$E365)))</f>
        <v/>
      </c>
      <c r="R365" s="7" t="str">
        <f>IF($C365="","",IF(COUNTA('RAW_농산물_11-12월'!$A:$A)&lt;=1,"",SUMIFS('RAW_농산물_11-12월'!$H:$H,'RAW_농산물_11-12월'!$D:$D,$C365,'RAW_농산물_11-12월'!$A:$A,$E365)-SUMIFS('RAW_농산물_10월'!$H:$H,'RAW_농산물_10월'!$D:$D,$C365,'RAW_농산물_10월'!$A:$A,$E365)))</f>
        <v/>
      </c>
      <c r="S365" s="17" t="str">
        <f t="shared" si="4"/>
        <v/>
      </c>
      <c r="T365" s="17" t="str">
        <f t="shared" si="5"/>
        <v/>
      </c>
      <c r="U365" s="7">
        <f>IF($C365="",0,IF('설정'!$B$3=0,0,CHOOSE('설정'!$B$3,COUNTIFS('RAW_농산물_7월'!$D:$D,$C365,'RAW_농산물_7월'!$A:$A,$E365),COUNTIFS('RAW_농산물_8월'!$D:$D,$C365,'RAW_농산물_8월'!$A:$A,$E365),COUNTIFS('RAW_농산물_9월'!$D:$D,$C365,'RAW_농산물_9월'!$A:$A,$E365),COUNTIFS('RAW_농산물_10월'!$D:$D,$C365,'RAW_농산물_10월'!$A:$A,$E365),COUNTIFS('RAW_농산물_11-12월'!$D:$D,$C365,'RAW_농산물_11-12월'!$A:$A,$E365))))</f>
        <v>0</v>
      </c>
    </row>
    <row r="366" ht="15.75" customHeight="1">
      <c r="A366" s="5"/>
      <c r="B366" s="5"/>
      <c r="C366" s="5"/>
      <c r="D366" s="6"/>
      <c r="E366" s="5"/>
      <c r="F366" s="7" t="str">
        <f>IF($C366="","",IF('설정'!$B$3=0,"",CHOOSE('설정'!$B$3,SUMIFS('RAW_농산물_7월'!$F:$F,'RAW_농산물_7월'!$D:$D,$C366,'RAW_농산물_7월'!$A:$A,$E366),SUMIFS('RAW_농산물_8월'!$F:$F,'RAW_농산물_8월'!$D:$D,$C366,'RAW_농산물_8월'!$A:$A,$E366),SUMIFS('RAW_농산물_9월'!$F:$F,'RAW_농산물_9월'!$D:$D,$C366,'RAW_농산물_9월'!$A:$A,$E366),SUMIFS('RAW_농산물_10월'!$F:$F,'RAW_농산물_10월'!$D:$D,$C366,'RAW_농산물_10월'!$A:$A,$E366),SUMIFS('RAW_농산물_11-12월'!$F:$F,'RAW_농산물_11-12월'!$D:$D,$C366,'RAW_농산물_11-12월'!$A:$A,$E366))))</f>
        <v/>
      </c>
      <c r="G366" s="7" t="str">
        <f>IF($C366="","",IF('설정'!$B$3=0,"",CHOOSE('설정'!$B$3,SUMIFS('RAW_농산물_7월'!$G:$G,'RAW_농산물_7월'!$D:$D,$C366,'RAW_농산물_7월'!$A:$A,$E366),SUMIFS('RAW_농산물_8월'!$G:$G,'RAW_농산물_8월'!$D:$D,$C366,'RAW_농산물_8월'!$A:$A,$E366),SUMIFS('RAW_농산물_9월'!$G:$G,'RAW_농산물_9월'!$D:$D,$C366,'RAW_농산물_9월'!$A:$A,$E366),SUMIFS('RAW_농산물_10월'!$G:$G,'RAW_농산물_10월'!$D:$D,$C366,'RAW_농산물_10월'!$A:$A,$E366),SUMIFS('RAW_농산물_11-12월'!$G:$G,'RAW_농산물_11-12월'!$D:$D,$C366,'RAW_농산물_11-12월'!$A:$A,$E366))))</f>
        <v/>
      </c>
      <c r="H366" s="14" t="str">
        <f>IF($C366="","",IF('설정'!$B$3=0,"",CHOOSE('설정'!$B$3,SUMIFS('RAW_농산물_7월'!$H:$H,'RAW_농산물_7월'!$D:$D,$C366,'RAW_농산물_7월'!$A:$A,$E366),SUMIFS('RAW_농산물_8월'!$H:$H,'RAW_농산물_8월'!$D:$D,$C366,'RAW_농산물_8월'!$A:$A,$E366),SUMIFS('RAW_농산물_9월'!$H:$H,'RAW_농산물_9월'!$D:$D,$C366,'RAW_농산물_9월'!$A:$A,$E366),SUMIFS('RAW_농산물_10월'!$H:$H,'RAW_농산물_10월'!$D:$D,$C366,'RAW_농산물_10월'!$A:$A,$E366),SUMIFS('RAW_농산물_11-12월'!$H:$H,'RAW_농산물_11-12월'!$D:$D,$C366,'RAW_농산물_11-12월'!$A:$A,$E366))))</f>
        <v/>
      </c>
      <c r="I366" s="17" t="str">
        <f>IF($C366="","",IF(COUNTIFS('RAW_농산물_7월'!$D:$D,$C366,'RAW_농산물_7월'!$A:$A,$E366)&gt;0,"O",""))</f>
        <v/>
      </c>
      <c r="J366" s="17" t="str">
        <f>IF($C366="","",IF(COUNTIFS('RAW_농산물_8월'!$D:$D,$C366,'RAW_농산물_8월'!$A:$A,$E366)&gt;0,"O",""))</f>
        <v/>
      </c>
      <c r="K366" s="17" t="str">
        <f>IF($C366="","",IF(COUNTIFS('RAW_농산물_9월'!$D:$D,$C366,'RAW_농산물_9월'!$A:$A,$E366)&gt;0,"O",""))</f>
        <v/>
      </c>
      <c r="L366" s="17" t="str">
        <f>IF($C366="","",IF(COUNTIFS('RAW_농산물_10월'!$D:$D,$C366,'RAW_농산물_10월'!$A:$A,$E366)&gt;0,"O",""))</f>
        <v/>
      </c>
      <c r="M366" s="17" t="str">
        <f>IF($C366="","",IF(COUNTIFS('RAW_농산물_11-12월'!$D:$D,$C366,'RAW_농산물_11-12월'!$A:$A,$E366)&gt;0,"O",""))</f>
        <v/>
      </c>
      <c r="N366" s="7" t="str">
        <f>IF($C366="","",IF(COUNTA('RAW_농산물_7월'!$A:$A)&lt;=1,"",SUMIFS('RAW_농산물_7월'!$H:$H,'RAW_농산물_7월'!$D:$D,$C366,'RAW_농산물_7월'!$A:$A,$E366)))</f>
        <v/>
      </c>
      <c r="O366" s="7" t="str">
        <f>IF($C366="","",IF(COUNTA('RAW_농산물_8월'!$A:$A)&lt;=1,"",SUMIFS('RAW_농산물_8월'!$H:$H,'RAW_농산물_8월'!$D:$D,$C366,'RAW_농산물_8월'!$A:$A,$E366)-SUMIFS('RAW_농산물_7월'!$H:$H,'RAW_농산물_7월'!$D:$D,$C366,'RAW_농산물_7월'!$A:$A,$E366)))</f>
        <v/>
      </c>
      <c r="P366" s="7" t="str">
        <f>IF($C366="","",IF(COUNTA('RAW_농산물_9월'!$A:$A)&lt;=1,"",SUMIFS('RAW_농산물_9월'!$H:$H,'RAW_농산물_9월'!$D:$D,$C366,'RAW_농산물_9월'!$A:$A,$E366)-SUMIFS('RAW_농산물_8월'!$H:$H,'RAW_농산물_8월'!$D:$D,$C366,'RAW_농산물_8월'!$A:$A,$E366)))</f>
        <v/>
      </c>
      <c r="Q366" s="7" t="str">
        <f>IF($C366="","",IF(COUNTA('RAW_농산물_10월'!$A:$A)&lt;=1,"",SUMIFS('RAW_농산물_10월'!$H:$H,'RAW_농산물_10월'!$D:$D,$C366,'RAW_농산물_10월'!$A:$A,$E366)-SUMIFS('RAW_농산물_9월'!$H:$H,'RAW_농산물_9월'!$D:$D,$C366,'RAW_농산물_9월'!$A:$A,$E366)))</f>
        <v/>
      </c>
      <c r="R366" s="7" t="str">
        <f>IF($C366="","",IF(COUNTA('RAW_농산물_11-12월'!$A:$A)&lt;=1,"",SUMIFS('RAW_농산물_11-12월'!$H:$H,'RAW_농산물_11-12월'!$D:$D,$C366,'RAW_농산물_11-12월'!$A:$A,$E366)-SUMIFS('RAW_농산물_10월'!$H:$H,'RAW_농산물_10월'!$D:$D,$C366,'RAW_농산물_10월'!$A:$A,$E366)))</f>
        <v/>
      </c>
      <c r="S366" s="17" t="str">
        <f t="shared" si="4"/>
        <v/>
      </c>
      <c r="T366" s="17" t="str">
        <f t="shared" si="5"/>
        <v/>
      </c>
      <c r="U366" s="7">
        <f>IF($C366="",0,IF('설정'!$B$3=0,0,CHOOSE('설정'!$B$3,COUNTIFS('RAW_농산물_7월'!$D:$D,$C366,'RAW_농산물_7월'!$A:$A,$E366),COUNTIFS('RAW_농산물_8월'!$D:$D,$C366,'RAW_농산물_8월'!$A:$A,$E366),COUNTIFS('RAW_농산물_9월'!$D:$D,$C366,'RAW_농산물_9월'!$A:$A,$E366),COUNTIFS('RAW_농산물_10월'!$D:$D,$C366,'RAW_농산물_10월'!$A:$A,$E366),COUNTIFS('RAW_농산물_11-12월'!$D:$D,$C366,'RAW_농산물_11-12월'!$A:$A,$E366))))</f>
        <v>0</v>
      </c>
    </row>
    <row r="367" ht="15.75" customHeight="1">
      <c r="A367" s="5"/>
      <c r="B367" s="5"/>
      <c r="C367" s="5"/>
      <c r="D367" s="6"/>
      <c r="E367" s="5"/>
      <c r="F367" s="7" t="str">
        <f>IF($C367="","",IF('설정'!$B$3=0,"",CHOOSE('설정'!$B$3,SUMIFS('RAW_농산물_7월'!$F:$F,'RAW_농산물_7월'!$D:$D,$C367,'RAW_농산물_7월'!$A:$A,$E367),SUMIFS('RAW_농산물_8월'!$F:$F,'RAW_농산물_8월'!$D:$D,$C367,'RAW_농산물_8월'!$A:$A,$E367),SUMIFS('RAW_농산물_9월'!$F:$F,'RAW_농산물_9월'!$D:$D,$C367,'RAW_농산물_9월'!$A:$A,$E367),SUMIFS('RAW_농산물_10월'!$F:$F,'RAW_농산물_10월'!$D:$D,$C367,'RAW_농산물_10월'!$A:$A,$E367),SUMIFS('RAW_농산물_11-12월'!$F:$F,'RAW_농산물_11-12월'!$D:$D,$C367,'RAW_농산물_11-12월'!$A:$A,$E367))))</f>
        <v/>
      </c>
      <c r="G367" s="7" t="str">
        <f>IF($C367="","",IF('설정'!$B$3=0,"",CHOOSE('설정'!$B$3,SUMIFS('RAW_농산물_7월'!$G:$G,'RAW_농산물_7월'!$D:$D,$C367,'RAW_농산물_7월'!$A:$A,$E367),SUMIFS('RAW_농산물_8월'!$G:$G,'RAW_농산물_8월'!$D:$D,$C367,'RAW_농산물_8월'!$A:$A,$E367),SUMIFS('RAW_농산물_9월'!$G:$G,'RAW_농산물_9월'!$D:$D,$C367,'RAW_농산물_9월'!$A:$A,$E367),SUMIFS('RAW_농산물_10월'!$G:$G,'RAW_농산물_10월'!$D:$D,$C367,'RAW_농산물_10월'!$A:$A,$E367),SUMIFS('RAW_농산물_11-12월'!$G:$G,'RAW_농산물_11-12월'!$D:$D,$C367,'RAW_농산물_11-12월'!$A:$A,$E367))))</f>
        <v/>
      </c>
      <c r="H367" s="14" t="str">
        <f>IF($C367="","",IF('설정'!$B$3=0,"",CHOOSE('설정'!$B$3,SUMIFS('RAW_농산물_7월'!$H:$H,'RAW_농산물_7월'!$D:$D,$C367,'RAW_농산물_7월'!$A:$A,$E367),SUMIFS('RAW_농산물_8월'!$H:$H,'RAW_농산물_8월'!$D:$D,$C367,'RAW_농산물_8월'!$A:$A,$E367),SUMIFS('RAW_농산물_9월'!$H:$H,'RAW_농산물_9월'!$D:$D,$C367,'RAW_농산물_9월'!$A:$A,$E367),SUMIFS('RAW_농산물_10월'!$H:$H,'RAW_농산물_10월'!$D:$D,$C367,'RAW_농산물_10월'!$A:$A,$E367),SUMIFS('RAW_농산물_11-12월'!$H:$H,'RAW_농산물_11-12월'!$D:$D,$C367,'RAW_농산물_11-12월'!$A:$A,$E367))))</f>
        <v/>
      </c>
      <c r="I367" s="17" t="str">
        <f>IF($C367="","",IF(COUNTIFS('RAW_농산물_7월'!$D:$D,$C367,'RAW_농산물_7월'!$A:$A,$E367)&gt;0,"O",""))</f>
        <v/>
      </c>
      <c r="J367" s="17" t="str">
        <f>IF($C367="","",IF(COUNTIFS('RAW_농산물_8월'!$D:$D,$C367,'RAW_농산물_8월'!$A:$A,$E367)&gt;0,"O",""))</f>
        <v/>
      </c>
      <c r="K367" s="17" t="str">
        <f>IF($C367="","",IF(COUNTIFS('RAW_농산물_9월'!$D:$D,$C367,'RAW_농산물_9월'!$A:$A,$E367)&gt;0,"O",""))</f>
        <v/>
      </c>
      <c r="L367" s="17" t="str">
        <f>IF($C367="","",IF(COUNTIFS('RAW_농산물_10월'!$D:$D,$C367,'RAW_농산물_10월'!$A:$A,$E367)&gt;0,"O",""))</f>
        <v/>
      </c>
      <c r="M367" s="17" t="str">
        <f>IF($C367="","",IF(COUNTIFS('RAW_농산물_11-12월'!$D:$D,$C367,'RAW_농산물_11-12월'!$A:$A,$E367)&gt;0,"O",""))</f>
        <v/>
      </c>
      <c r="N367" s="7" t="str">
        <f>IF($C367="","",IF(COUNTA('RAW_농산물_7월'!$A:$A)&lt;=1,"",SUMIFS('RAW_농산물_7월'!$H:$H,'RAW_농산물_7월'!$D:$D,$C367,'RAW_농산물_7월'!$A:$A,$E367)))</f>
        <v/>
      </c>
      <c r="O367" s="7" t="str">
        <f>IF($C367="","",IF(COUNTA('RAW_농산물_8월'!$A:$A)&lt;=1,"",SUMIFS('RAW_농산물_8월'!$H:$H,'RAW_농산물_8월'!$D:$D,$C367,'RAW_농산물_8월'!$A:$A,$E367)-SUMIFS('RAW_농산물_7월'!$H:$H,'RAW_농산물_7월'!$D:$D,$C367,'RAW_농산물_7월'!$A:$A,$E367)))</f>
        <v/>
      </c>
      <c r="P367" s="7" t="str">
        <f>IF($C367="","",IF(COUNTA('RAW_농산물_9월'!$A:$A)&lt;=1,"",SUMIFS('RAW_농산물_9월'!$H:$H,'RAW_농산물_9월'!$D:$D,$C367,'RAW_농산물_9월'!$A:$A,$E367)-SUMIFS('RAW_농산물_8월'!$H:$H,'RAW_농산물_8월'!$D:$D,$C367,'RAW_농산물_8월'!$A:$A,$E367)))</f>
        <v/>
      </c>
      <c r="Q367" s="7" t="str">
        <f>IF($C367="","",IF(COUNTA('RAW_농산물_10월'!$A:$A)&lt;=1,"",SUMIFS('RAW_농산물_10월'!$H:$H,'RAW_농산물_10월'!$D:$D,$C367,'RAW_농산물_10월'!$A:$A,$E367)-SUMIFS('RAW_농산물_9월'!$H:$H,'RAW_농산물_9월'!$D:$D,$C367,'RAW_농산물_9월'!$A:$A,$E367)))</f>
        <v/>
      </c>
      <c r="R367" s="7" t="str">
        <f>IF($C367="","",IF(COUNTA('RAW_농산물_11-12월'!$A:$A)&lt;=1,"",SUMIFS('RAW_농산물_11-12월'!$H:$H,'RAW_농산물_11-12월'!$D:$D,$C367,'RAW_농산물_11-12월'!$A:$A,$E367)-SUMIFS('RAW_농산물_10월'!$H:$H,'RAW_농산물_10월'!$D:$D,$C367,'RAW_농산물_10월'!$A:$A,$E367)))</f>
        <v/>
      </c>
      <c r="S367" s="17" t="str">
        <f t="shared" si="4"/>
        <v/>
      </c>
      <c r="T367" s="17" t="str">
        <f t="shared" si="5"/>
        <v/>
      </c>
      <c r="U367" s="7">
        <f>IF($C367="",0,IF('설정'!$B$3=0,0,CHOOSE('설정'!$B$3,COUNTIFS('RAW_농산물_7월'!$D:$D,$C367,'RAW_농산물_7월'!$A:$A,$E367),COUNTIFS('RAW_농산물_8월'!$D:$D,$C367,'RAW_농산물_8월'!$A:$A,$E367),COUNTIFS('RAW_농산물_9월'!$D:$D,$C367,'RAW_농산물_9월'!$A:$A,$E367),COUNTIFS('RAW_농산물_10월'!$D:$D,$C367,'RAW_농산물_10월'!$A:$A,$E367),COUNTIFS('RAW_농산물_11-12월'!$D:$D,$C367,'RAW_농산물_11-12월'!$A:$A,$E367))))</f>
        <v>0</v>
      </c>
    </row>
    <row r="368" ht="15.75" customHeight="1">
      <c r="A368" s="5"/>
      <c r="B368" s="5"/>
      <c r="C368" s="5"/>
      <c r="D368" s="6"/>
      <c r="E368" s="5"/>
      <c r="F368" s="7" t="str">
        <f>IF($C368="","",IF('설정'!$B$3=0,"",CHOOSE('설정'!$B$3,SUMIFS('RAW_농산물_7월'!$F:$F,'RAW_농산물_7월'!$D:$D,$C368,'RAW_농산물_7월'!$A:$A,$E368),SUMIFS('RAW_농산물_8월'!$F:$F,'RAW_농산물_8월'!$D:$D,$C368,'RAW_농산물_8월'!$A:$A,$E368),SUMIFS('RAW_농산물_9월'!$F:$F,'RAW_농산물_9월'!$D:$D,$C368,'RAW_농산물_9월'!$A:$A,$E368),SUMIFS('RAW_농산물_10월'!$F:$F,'RAW_농산물_10월'!$D:$D,$C368,'RAW_농산물_10월'!$A:$A,$E368),SUMIFS('RAW_농산물_11-12월'!$F:$F,'RAW_농산물_11-12월'!$D:$D,$C368,'RAW_농산물_11-12월'!$A:$A,$E368))))</f>
        <v/>
      </c>
      <c r="G368" s="7" t="str">
        <f>IF($C368="","",IF('설정'!$B$3=0,"",CHOOSE('설정'!$B$3,SUMIFS('RAW_농산물_7월'!$G:$G,'RAW_농산물_7월'!$D:$D,$C368,'RAW_농산물_7월'!$A:$A,$E368),SUMIFS('RAW_농산물_8월'!$G:$G,'RAW_농산물_8월'!$D:$D,$C368,'RAW_농산물_8월'!$A:$A,$E368),SUMIFS('RAW_농산물_9월'!$G:$G,'RAW_농산물_9월'!$D:$D,$C368,'RAW_농산물_9월'!$A:$A,$E368),SUMIFS('RAW_농산물_10월'!$G:$G,'RAW_농산물_10월'!$D:$D,$C368,'RAW_농산물_10월'!$A:$A,$E368),SUMIFS('RAW_농산물_11-12월'!$G:$G,'RAW_농산물_11-12월'!$D:$D,$C368,'RAW_농산물_11-12월'!$A:$A,$E368))))</f>
        <v/>
      </c>
      <c r="H368" s="14" t="str">
        <f>IF($C368="","",IF('설정'!$B$3=0,"",CHOOSE('설정'!$B$3,SUMIFS('RAW_농산물_7월'!$H:$H,'RAW_농산물_7월'!$D:$D,$C368,'RAW_농산물_7월'!$A:$A,$E368),SUMIFS('RAW_농산물_8월'!$H:$H,'RAW_농산물_8월'!$D:$D,$C368,'RAW_농산물_8월'!$A:$A,$E368),SUMIFS('RAW_농산물_9월'!$H:$H,'RAW_농산물_9월'!$D:$D,$C368,'RAW_농산물_9월'!$A:$A,$E368),SUMIFS('RAW_농산물_10월'!$H:$H,'RAW_농산물_10월'!$D:$D,$C368,'RAW_농산물_10월'!$A:$A,$E368),SUMIFS('RAW_농산물_11-12월'!$H:$H,'RAW_농산물_11-12월'!$D:$D,$C368,'RAW_농산물_11-12월'!$A:$A,$E368))))</f>
        <v/>
      </c>
      <c r="I368" s="17" t="str">
        <f>IF($C368="","",IF(COUNTIFS('RAW_농산물_7월'!$D:$D,$C368,'RAW_농산물_7월'!$A:$A,$E368)&gt;0,"O",""))</f>
        <v/>
      </c>
      <c r="J368" s="17" t="str">
        <f>IF($C368="","",IF(COUNTIFS('RAW_농산물_8월'!$D:$D,$C368,'RAW_농산물_8월'!$A:$A,$E368)&gt;0,"O",""))</f>
        <v/>
      </c>
      <c r="K368" s="17" t="str">
        <f>IF($C368="","",IF(COUNTIFS('RAW_농산물_9월'!$D:$D,$C368,'RAW_농산물_9월'!$A:$A,$E368)&gt;0,"O",""))</f>
        <v/>
      </c>
      <c r="L368" s="17" t="str">
        <f>IF($C368="","",IF(COUNTIFS('RAW_농산물_10월'!$D:$D,$C368,'RAW_농산물_10월'!$A:$A,$E368)&gt;0,"O",""))</f>
        <v/>
      </c>
      <c r="M368" s="17" t="str">
        <f>IF($C368="","",IF(COUNTIFS('RAW_농산물_11-12월'!$D:$D,$C368,'RAW_농산물_11-12월'!$A:$A,$E368)&gt;0,"O",""))</f>
        <v/>
      </c>
      <c r="N368" s="7" t="str">
        <f>IF($C368="","",IF(COUNTA('RAW_농산물_7월'!$A:$A)&lt;=1,"",SUMIFS('RAW_농산물_7월'!$H:$H,'RAW_농산물_7월'!$D:$D,$C368,'RAW_농산물_7월'!$A:$A,$E368)))</f>
        <v/>
      </c>
      <c r="O368" s="7" t="str">
        <f>IF($C368="","",IF(COUNTA('RAW_농산물_8월'!$A:$A)&lt;=1,"",SUMIFS('RAW_농산물_8월'!$H:$H,'RAW_농산물_8월'!$D:$D,$C368,'RAW_농산물_8월'!$A:$A,$E368)-SUMIFS('RAW_농산물_7월'!$H:$H,'RAW_농산물_7월'!$D:$D,$C368,'RAW_농산물_7월'!$A:$A,$E368)))</f>
        <v/>
      </c>
      <c r="P368" s="7" t="str">
        <f>IF($C368="","",IF(COUNTA('RAW_농산물_9월'!$A:$A)&lt;=1,"",SUMIFS('RAW_농산물_9월'!$H:$H,'RAW_농산물_9월'!$D:$D,$C368,'RAW_농산물_9월'!$A:$A,$E368)-SUMIFS('RAW_농산물_8월'!$H:$H,'RAW_농산물_8월'!$D:$D,$C368,'RAW_농산물_8월'!$A:$A,$E368)))</f>
        <v/>
      </c>
      <c r="Q368" s="7" t="str">
        <f>IF($C368="","",IF(COUNTA('RAW_농산물_10월'!$A:$A)&lt;=1,"",SUMIFS('RAW_농산물_10월'!$H:$H,'RAW_농산물_10월'!$D:$D,$C368,'RAW_농산물_10월'!$A:$A,$E368)-SUMIFS('RAW_농산물_9월'!$H:$H,'RAW_농산물_9월'!$D:$D,$C368,'RAW_농산물_9월'!$A:$A,$E368)))</f>
        <v/>
      </c>
      <c r="R368" s="7" t="str">
        <f>IF($C368="","",IF(COUNTA('RAW_농산물_11-12월'!$A:$A)&lt;=1,"",SUMIFS('RAW_농산물_11-12월'!$H:$H,'RAW_농산물_11-12월'!$D:$D,$C368,'RAW_농산물_11-12월'!$A:$A,$E368)-SUMIFS('RAW_농산물_10월'!$H:$H,'RAW_농산물_10월'!$D:$D,$C368,'RAW_농산물_10월'!$A:$A,$E368)))</f>
        <v/>
      </c>
      <c r="S368" s="17" t="str">
        <f t="shared" si="4"/>
        <v/>
      </c>
      <c r="T368" s="17" t="str">
        <f t="shared" si="5"/>
        <v/>
      </c>
      <c r="U368" s="7">
        <f>IF($C368="",0,IF('설정'!$B$3=0,0,CHOOSE('설정'!$B$3,COUNTIFS('RAW_농산물_7월'!$D:$D,$C368,'RAW_농산물_7월'!$A:$A,$E368),COUNTIFS('RAW_농산물_8월'!$D:$D,$C368,'RAW_농산물_8월'!$A:$A,$E368),COUNTIFS('RAW_농산물_9월'!$D:$D,$C368,'RAW_농산물_9월'!$A:$A,$E368),COUNTIFS('RAW_농산물_10월'!$D:$D,$C368,'RAW_농산물_10월'!$A:$A,$E368),COUNTIFS('RAW_농산물_11-12월'!$D:$D,$C368,'RAW_농산물_11-12월'!$A:$A,$E368))))</f>
        <v>0</v>
      </c>
    </row>
    <row r="369" ht="15.75" customHeight="1">
      <c r="A369" s="5"/>
      <c r="B369" s="5"/>
      <c r="C369" s="5"/>
      <c r="D369" s="6"/>
      <c r="E369" s="5"/>
      <c r="F369" s="7" t="str">
        <f>IF($C369="","",IF('설정'!$B$3=0,"",CHOOSE('설정'!$B$3,SUMIFS('RAW_농산물_7월'!$F:$F,'RAW_농산물_7월'!$D:$D,$C369,'RAW_농산물_7월'!$A:$A,$E369),SUMIFS('RAW_농산물_8월'!$F:$F,'RAW_농산물_8월'!$D:$D,$C369,'RAW_농산물_8월'!$A:$A,$E369),SUMIFS('RAW_농산물_9월'!$F:$F,'RAW_농산물_9월'!$D:$D,$C369,'RAW_농산물_9월'!$A:$A,$E369),SUMIFS('RAW_농산물_10월'!$F:$F,'RAW_농산물_10월'!$D:$D,$C369,'RAW_농산물_10월'!$A:$A,$E369),SUMIFS('RAW_농산물_11-12월'!$F:$F,'RAW_농산물_11-12월'!$D:$D,$C369,'RAW_농산물_11-12월'!$A:$A,$E369))))</f>
        <v/>
      </c>
      <c r="G369" s="7" t="str">
        <f>IF($C369="","",IF('설정'!$B$3=0,"",CHOOSE('설정'!$B$3,SUMIFS('RAW_농산물_7월'!$G:$G,'RAW_농산물_7월'!$D:$D,$C369,'RAW_농산물_7월'!$A:$A,$E369),SUMIFS('RAW_농산물_8월'!$G:$G,'RAW_농산물_8월'!$D:$D,$C369,'RAW_농산물_8월'!$A:$A,$E369),SUMIFS('RAW_농산물_9월'!$G:$G,'RAW_농산물_9월'!$D:$D,$C369,'RAW_농산물_9월'!$A:$A,$E369),SUMIFS('RAW_농산물_10월'!$G:$G,'RAW_농산물_10월'!$D:$D,$C369,'RAW_농산물_10월'!$A:$A,$E369),SUMIFS('RAW_농산물_11-12월'!$G:$G,'RAW_농산물_11-12월'!$D:$D,$C369,'RAW_농산물_11-12월'!$A:$A,$E369))))</f>
        <v/>
      </c>
      <c r="H369" s="14" t="str">
        <f>IF($C369="","",IF('설정'!$B$3=0,"",CHOOSE('설정'!$B$3,SUMIFS('RAW_농산물_7월'!$H:$H,'RAW_농산물_7월'!$D:$D,$C369,'RAW_농산물_7월'!$A:$A,$E369),SUMIFS('RAW_농산물_8월'!$H:$H,'RAW_농산물_8월'!$D:$D,$C369,'RAW_농산물_8월'!$A:$A,$E369),SUMIFS('RAW_농산물_9월'!$H:$H,'RAW_농산물_9월'!$D:$D,$C369,'RAW_농산물_9월'!$A:$A,$E369),SUMIFS('RAW_농산물_10월'!$H:$H,'RAW_농산물_10월'!$D:$D,$C369,'RAW_농산물_10월'!$A:$A,$E369),SUMIFS('RAW_농산물_11-12월'!$H:$H,'RAW_농산물_11-12월'!$D:$D,$C369,'RAW_농산물_11-12월'!$A:$A,$E369))))</f>
        <v/>
      </c>
      <c r="I369" s="17" t="str">
        <f>IF($C369="","",IF(COUNTIFS('RAW_농산물_7월'!$D:$D,$C369,'RAW_농산물_7월'!$A:$A,$E369)&gt;0,"O",""))</f>
        <v/>
      </c>
      <c r="J369" s="17" t="str">
        <f>IF($C369="","",IF(COUNTIFS('RAW_농산물_8월'!$D:$D,$C369,'RAW_농산물_8월'!$A:$A,$E369)&gt;0,"O",""))</f>
        <v/>
      </c>
      <c r="K369" s="17" t="str">
        <f>IF($C369="","",IF(COUNTIFS('RAW_농산물_9월'!$D:$D,$C369,'RAW_농산물_9월'!$A:$A,$E369)&gt;0,"O",""))</f>
        <v/>
      </c>
      <c r="L369" s="17" t="str">
        <f>IF($C369="","",IF(COUNTIFS('RAW_농산물_10월'!$D:$D,$C369,'RAW_농산물_10월'!$A:$A,$E369)&gt;0,"O",""))</f>
        <v/>
      </c>
      <c r="M369" s="17" t="str">
        <f>IF($C369="","",IF(COUNTIFS('RAW_농산물_11-12월'!$D:$D,$C369,'RAW_농산물_11-12월'!$A:$A,$E369)&gt;0,"O",""))</f>
        <v/>
      </c>
      <c r="N369" s="7" t="str">
        <f>IF($C369="","",IF(COUNTA('RAW_농산물_7월'!$A:$A)&lt;=1,"",SUMIFS('RAW_농산물_7월'!$H:$H,'RAW_농산물_7월'!$D:$D,$C369,'RAW_농산물_7월'!$A:$A,$E369)))</f>
        <v/>
      </c>
      <c r="O369" s="7" t="str">
        <f>IF($C369="","",IF(COUNTA('RAW_농산물_8월'!$A:$A)&lt;=1,"",SUMIFS('RAW_농산물_8월'!$H:$H,'RAW_농산물_8월'!$D:$D,$C369,'RAW_농산물_8월'!$A:$A,$E369)-SUMIFS('RAW_농산물_7월'!$H:$H,'RAW_농산물_7월'!$D:$D,$C369,'RAW_농산물_7월'!$A:$A,$E369)))</f>
        <v/>
      </c>
      <c r="P369" s="7" t="str">
        <f>IF($C369="","",IF(COUNTA('RAW_농산물_9월'!$A:$A)&lt;=1,"",SUMIFS('RAW_농산물_9월'!$H:$H,'RAW_농산물_9월'!$D:$D,$C369,'RAW_농산물_9월'!$A:$A,$E369)-SUMIFS('RAW_농산물_8월'!$H:$H,'RAW_농산물_8월'!$D:$D,$C369,'RAW_농산물_8월'!$A:$A,$E369)))</f>
        <v/>
      </c>
      <c r="Q369" s="7" t="str">
        <f>IF($C369="","",IF(COUNTA('RAW_농산물_10월'!$A:$A)&lt;=1,"",SUMIFS('RAW_농산물_10월'!$H:$H,'RAW_농산물_10월'!$D:$D,$C369,'RAW_농산물_10월'!$A:$A,$E369)-SUMIFS('RAW_농산물_9월'!$H:$H,'RAW_농산물_9월'!$D:$D,$C369,'RAW_농산물_9월'!$A:$A,$E369)))</f>
        <v/>
      </c>
      <c r="R369" s="7" t="str">
        <f>IF($C369="","",IF(COUNTA('RAW_농산물_11-12월'!$A:$A)&lt;=1,"",SUMIFS('RAW_농산물_11-12월'!$H:$H,'RAW_농산물_11-12월'!$D:$D,$C369,'RAW_농산물_11-12월'!$A:$A,$E369)-SUMIFS('RAW_농산물_10월'!$H:$H,'RAW_농산물_10월'!$D:$D,$C369,'RAW_농산물_10월'!$A:$A,$E369)))</f>
        <v/>
      </c>
      <c r="S369" s="17" t="str">
        <f t="shared" si="4"/>
        <v/>
      </c>
      <c r="T369" s="17" t="str">
        <f t="shared" si="5"/>
        <v/>
      </c>
      <c r="U369" s="7">
        <f>IF($C369="",0,IF('설정'!$B$3=0,0,CHOOSE('설정'!$B$3,COUNTIFS('RAW_농산물_7월'!$D:$D,$C369,'RAW_농산물_7월'!$A:$A,$E369),COUNTIFS('RAW_농산물_8월'!$D:$D,$C369,'RAW_농산물_8월'!$A:$A,$E369),COUNTIFS('RAW_농산물_9월'!$D:$D,$C369,'RAW_농산물_9월'!$A:$A,$E369),COUNTIFS('RAW_농산물_10월'!$D:$D,$C369,'RAW_농산물_10월'!$A:$A,$E369),COUNTIFS('RAW_농산물_11-12월'!$D:$D,$C369,'RAW_농산물_11-12월'!$A:$A,$E369))))</f>
        <v>0</v>
      </c>
    </row>
    <row r="370" ht="15.75" customHeight="1">
      <c r="A370" s="5"/>
      <c r="B370" s="5"/>
      <c r="C370" s="5"/>
      <c r="D370" s="6"/>
      <c r="E370" s="5"/>
      <c r="F370" s="7" t="str">
        <f>IF($C370="","",IF('설정'!$B$3=0,"",CHOOSE('설정'!$B$3,SUMIFS('RAW_농산물_7월'!$F:$F,'RAW_농산물_7월'!$D:$D,$C370,'RAW_농산물_7월'!$A:$A,$E370),SUMIFS('RAW_농산물_8월'!$F:$F,'RAW_농산물_8월'!$D:$D,$C370,'RAW_농산물_8월'!$A:$A,$E370),SUMIFS('RAW_농산물_9월'!$F:$F,'RAW_농산물_9월'!$D:$D,$C370,'RAW_농산물_9월'!$A:$A,$E370),SUMIFS('RAW_농산물_10월'!$F:$F,'RAW_농산물_10월'!$D:$D,$C370,'RAW_농산물_10월'!$A:$A,$E370),SUMIFS('RAW_농산물_11-12월'!$F:$F,'RAW_농산물_11-12월'!$D:$D,$C370,'RAW_농산물_11-12월'!$A:$A,$E370))))</f>
        <v/>
      </c>
      <c r="G370" s="7" t="str">
        <f>IF($C370="","",IF('설정'!$B$3=0,"",CHOOSE('설정'!$B$3,SUMIFS('RAW_농산물_7월'!$G:$G,'RAW_농산물_7월'!$D:$D,$C370,'RAW_농산물_7월'!$A:$A,$E370),SUMIFS('RAW_농산물_8월'!$G:$G,'RAW_농산물_8월'!$D:$D,$C370,'RAW_농산물_8월'!$A:$A,$E370),SUMIFS('RAW_농산물_9월'!$G:$G,'RAW_농산물_9월'!$D:$D,$C370,'RAW_농산물_9월'!$A:$A,$E370),SUMIFS('RAW_농산물_10월'!$G:$G,'RAW_농산물_10월'!$D:$D,$C370,'RAW_농산물_10월'!$A:$A,$E370),SUMIFS('RAW_농산물_11-12월'!$G:$G,'RAW_농산물_11-12월'!$D:$D,$C370,'RAW_농산물_11-12월'!$A:$A,$E370))))</f>
        <v/>
      </c>
      <c r="H370" s="14" t="str">
        <f>IF($C370="","",IF('설정'!$B$3=0,"",CHOOSE('설정'!$B$3,SUMIFS('RAW_농산물_7월'!$H:$H,'RAW_농산물_7월'!$D:$D,$C370,'RAW_농산물_7월'!$A:$A,$E370),SUMIFS('RAW_농산물_8월'!$H:$H,'RAW_농산물_8월'!$D:$D,$C370,'RAW_농산물_8월'!$A:$A,$E370),SUMIFS('RAW_농산물_9월'!$H:$H,'RAW_농산물_9월'!$D:$D,$C370,'RAW_농산물_9월'!$A:$A,$E370),SUMIFS('RAW_농산물_10월'!$H:$H,'RAW_농산물_10월'!$D:$D,$C370,'RAW_농산물_10월'!$A:$A,$E370),SUMIFS('RAW_농산물_11-12월'!$H:$H,'RAW_농산물_11-12월'!$D:$D,$C370,'RAW_농산물_11-12월'!$A:$A,$E370))))</f>
        <v/>
      </c>
      <c r="I370" s="17" t="str">
        <f>IF($C370="","",IF(COUNTIFS('RAW_농산물_7월'!$D:$D,$C370,'RAW_농산물_7월'!$A:$A,$E370)&gt;0,"O",""))</f>
        <v/>
      </c>
      <c r="J370" s="17" t="str">
        <f>IF($C370="","",IF(COUNTIFS('RAW_농산물_8월'!$D:$D,$C370,'RAW_농산물_8월'!$A:$A,$E370)&gt;0,"O",""))</f>
        <v/>
      </c>
      <c r="K370" s="17" t="str">
        <f>IF($C370="","",IF(COUNTIFS('RAW_농산물_9월'!$D:$D,$C370,'RAW_농산물_9월'!$A:$A,$E370)&gt;0,"O",""))</f>
        <v/>
      </c>
      <c r="L370" s="17" t="str">
        <f>IF($C370="","",IF(COUNTIFS('RAW_농산물_10월'!$D:$D,$C370,'RAW_농산물_10월'!$A:$A,$E370)&gt;0,"O",""))</f>
        <v/>
      </c>
      <c r="M370" s="17" t="str">
        <f>IF($C370="","",IF(COUNTIFS('RAW_농산물_11-12월'!$D:$D,$C370,'RAW_농산물_11-12월'!$A:$A,$E370)&gt;0,"O",""))</f>
        <v/>
      </c>
      <c r="N370" s="7" t="str">
        <f>IF($C370="","",IF(COUNTA('RAW_농산물_7월'!$A:$A)&lt;=1,"",SUMIFS('RAW_농산물_7월'!$H:$H,'RAW_농산물_7월'!$D:$D,$C370,'RAW_농산물_7월'!$A:$A,$E370)))</f>
        <v/>
      </c>
      <c r="O370" s="7" t="str">
        <f>IF($C370="","",IF(COUNTA('RAW_농산물_8월'!$A:$A)&lt;=1,"",SUMIFS('RAW_농산물_8월'!$H:$H,'RAW_농산물_8월'!$D:$D,$C370,'RAW_농산물_8월'!$A:$A,$E370)-SUMIFS('RAW_농산물_7월'!$H:$H,'RAW_농산물_7월'!$D:$D,$C370,'RAW_농산물_7월'!$A:$A,$E370)))</f>
        <v/>
      </c>
      <c r="P370" s="7" t="str">
        <f>IF($C370="","",IF(COUNTA('RAW_농산물_9월'!$A:$A)&lt;=1,"",SUMIFS('RAW_농산물_9월'!$H:$H,'RAW_농산물_9월'!$D:$D,$C370,'RAW_농산물_9월'!$A:$A,$E370)-SUMIFS('RAW_농산물_8월'!$H:$H,'RAW_농산물_8월'!$D:$D,$C370,'RAW_농산물_8월'!$A:$A,$E370)))</f>
        <v/>
      </c>
      <c r="Q370" s="7" t="str">
        <f>IF($C370="","",IF(COUNTA('RAW_농산물_10월'!$A:$A)&lt;=1,"",SUMIFS('RAW_농산물_10월'!$H:$H,'RAW_농산물_10월'!$D:$D,$C370,'RAW_농산물_10월'!$A:$A,$E370)-SUMIFS('RAW_농산물_9월'!$H:$H,'RAW_농산물_9월'!$D:$D,$C370,'RAW_농산물_9월'!$A:$A,$E370)))</f>
        <v/>
      </c>
      <c r="R370" s="7" t="str">
        <f>IF($C370="","",IF(COUNTA('RAW_농산물_11-12월'!$A:$A)&lt;=1,"",SUMIFS('RAW_농산물_11-12월'!$H:$H,'RAW_농산물_11-12월'!$D:$D,$C370,'RAW_농산물_11-12월'!$A:$A,$E370)-SUMIFS('RAW_농산물_10월'!$H:$H,'RAW_농산물_10월'!$D:$D,$C370,'RAW_농산물_10월'!$A:$A,$E370)))</f>
        <v/>
      </c>
      <c r="S370" s="17" t="str">
        <f t="shared" si="4"/>
        <v/>
      </c>
      <c r="T370" s="17" t="str">
        <f t="shared" si="5"/>
        <v/>
      </c>
      <c r="U370" s="7">
        <f>IF($C370="",0,IF('설정'!$B$3=0,0,CHOOSE('설정'!$B$3,COUNTIFS('RAW_농산물_7월'!$D:$D,$C370,'RAW_농산물_7월'!$A:$A,$E370),COUNTIFS('RAW_농산물_8월'!$D:$D,$C370,'RAW_농산물_8월'!$A:$A,$E370),COUNTIFS('RAW_농산물_9월'!$D:$D,$C370,'RAW_농산물_9월'!$A:$A,$E370),COUNTIFS('RAW_농산물_10월'!$D:$D,$C370,'RAW_농산물_10월'!$A:$A,$E370),COUNTIFS('RAW_농산물_11-12월'!$D:$D,$C370,'RAW_농산물_11-12월'!$A:$A,$E370))))</f>
        <v>0</v>
      </c>
    </row>
    <row r="371" ht="15.75" customHeight="1">
      <c r="A371" s="5"/>
      <c r="B371" s="5"/>
      <c r="C371" s="5"/>
      <c r="D371" s="6"/>
      <c r="E371" s="5"/>
      <c r="F371" s="7" t="str">
        <f>IF($C371="","",IF('설정'!$B$3=0,"",CHOOSE('설정'!$B$3,SUMIFS('RAW_농산물_7월'!$F:$F,'RAW_농산물_7월'!$D:$D,$C371,'RAW_농산물_7월'!$A:$A,$E371),SUMIFS('RAW_농산물_8월'!$F:$F,'RAW_농산물_8월'!$D:$D,$C371,'RAW_농산물_8월'!$A:$A,$E371),SUMIFS('RAW_농산물_9월'!$F:$F,'RAW_농산물_9월'!$D:$D,$C371,'RAW_농산물_9월'!$A:$A,$E371),SUMIFS('RAW_농산물_10월'!$F:$F,'RAW_농산물_10월'!$D:$D,$C371,'RAW_농산물_10월'!$A:$A,$E371),SUMIFS('RAW_농산물_11-12월'!$F:$F,'RAW_농산물_11-12월'!$D:$D,$C371,'RAW_농산물_11-12월'!$A:$A,$E371))))</f>
        <v/>
      </c>
      <c r="G371" s="7" t="str">
        <f>IF($C371="","",IF('설정'!$B$3=0,"",CHOOSE('설정'!$B$3,SUMIFS('RAW_농산물_7월'!$G:$G,'RAW_농산물_7월'!$D:$D,$C371,'RAW_농산물_7월'!$A:$A,$E371),SUMIFS('RAW_농산물_8월'!$G:$G,'RAW_농산물_8월'!$D:$D,$C371,'RAW_농산물_8월'!$A:$A,$E371),SUMIFS('RAW_농산물_9월'!$G:$G,'RAW_농산물_9월'!$D:$D,$C371,'RAW_농산물_9월'!$A:$A,$E371),SUMIFS('RAW_농산물_10월'!$G:$G,'RAW_농산물_10월'!$D:$D,$C371,'RAW_농산물_10월'!$A:$A,$E371),SUMIFS('RAW_농산물_11-12월'!$G:$G,'RAW_농산물_11-12월'!$D:$D,$C371,'RAW_농산물_11-12월'!$A:$A,$E371))))</f>
        <v/>
      </c>
      <c r="H371" s="14" t="str">
        <f>IF($C371="","",IF('설정'!$B$3=0,"",CHOOSE('설정'!$B$3,SUMIFS('RAW_농산물_7월'!$H:$H,'RAW_농산물_7월'!$D:$D,$C371,'RAW_농산물_7월'!$A:$A,$E371),SUMIFS('RAW_농산물_8월'!$H:$H,'RAW_농산물_8월'!$D:$D,$C371,'RAW_농산물_8월'!$A:$A,$E371),SUMIFS('RAW_농산물_9월'!$H:$H,'RAW_농산물_9월'!$D:$D,$C371,'RAW_농산물_9월'!$A:$A,$E371),SUMIFS('RAW_농산물_10월'!$H:$H,'RAW_농산물_10월'!$D:$D,$C371,'RAW_농산물_10월'!$A:$A,$E371),SUMIFS('RAW_농산물_11-12월'!$H:$H,'RAW_농산물_11-12월'!$D:$D,$C371,'RAW_농산물_11-12월'!$A:$A,$E371))))</f>
        <v/>
      </c>
      <c r="I371" s="17" t="str">
        <f>IF($C371="","",IF(COUNTIFS('RAW_농산물_7월'!$D:$D,$C371,'RAW_농산물_7월'!$A:$A,$E371)&gt;0,"O",""))</f>
        <v/>
      </c>
      <c r="J371" s="17" t="str">
        <f>IF($C371="","",IF(COUNTIFS('RAW_농산물_8월'!$D:$D,$C371,'RAW_농산물_8월'!$A:$A,$E371)&gt;0,"O",""))</f>
        <v/>
      </c>
      <c r="K371" s="17" t="str">
        <f>IF($C371="","",IF(COUNTIFS('RAW_농산물_9월'!$D:$D,$C371,'RAW_농산물_9월'!$A:$A,$E371)&gt;0,"O",""))</f>
        <v/>
      </c>
      <c r="L371" s="17" t="str">
        <f>IF($C371="","",IF(COUNTIFS('RAW_농산물_10월'!$D:$D,$C371,'RAW_농산물_10월'!$A:$A,$E371)&gt;0,"O",""))</f>
        <v/>
      </c>
      <c r="M371" s="17" t="str">
        <f>IF($C371="","",IF(COUNTIFS('RAW_농산물_11-12월'!$D:$D,$C371,'RAW_농산물_11-12월'!$A:$A,$E371)&gt;0,"O",""))</f>
        <v/>
      </c>
      <c r="N371" s="7" t="str">
        <f>IF($C371="","",IF(COUNTA('RAW_농산물_7월'!$A:$A)&lt;=1,"",SUMIFS('RAW_농산물_7월'!$H:$H,'RAW_농산물_7월'!$D:$D,$C371,'RAW_농산물_7월'!$A:$A,$E371)))</f>
        <v/>
      </c>
      <c r="O371" s="7" t="str">
        <f>IF($C371="","",IF(COUNTA('RAW_농산물_8월'!$A:$A)&lt;=1,"",SUMIFS('RAW_농산물_8월'!$H:$H,'RAW_농산물_8월'!$D:$D,$C371,'RAW_농산물_8월'!$A:$A,$E371)-SUMIFS('RAW_농산물_7월'!$H:$H,'RAW_농산물_7월'!$D:$D,$C371,'RAW_농산물_7월'!$A:$A,$E371)))</f>
        <v/>
      </c>
      <c r="P371" s="7" t="str">
        <f>IF($C371="","",IF(COUNTA('RAW_농산물_9월'!$A:$A)&lt;=1,"",SUMIFS('RAW_농산물_9월'!$H:$H,'RAW_농산물_9월'!$D:$D,$C371,'RAW_농산물_9월'!$A:$A,$E371)-SUMIFS('RAW_농산물_8월'!$H:$H,'RAW_농산물_8월'!$D:$D,$C371,'RAW_농산물_8월'!$A:$A,$E371)))</f>
        <v/>
      </c>
      <c r="Q371" s="7" t="str">
        <f>IF($C371="","",IF(COUNTA('RAW_농산물_10월'!$A:$A)&lt;=1,"",SUMIFS('RAW_농산물_10월'!$H:$H,'RAW_농산물_10월'!$D:$D,$C371,'RAW_농산물_10월'!$A:$A,$E371)-SUMIFS('RAW_농산물_9월'!$H:$H,'RAW_농산물_9월'!$D:$D,$C371,'RAW_농산물_9월'!$A:$A,$E371)))</f>
        <v/>
      </c>
      <c r="R371" s="7" t="str">
        <f>IF($C371="","",IF(COUNTA('RAW_농산물_11-12월'!$A:$A)&lt;=1,"",SUMIFS('RAW_농산물_11-12월'!$H:$H,'RAW_농산물_11-12월'!$D:$D,$C371,'RAW_농산물_11-12월'!$A:$A,$E371)-SUMIFS('RAW_농산물_10월'!$H:$H,'RAW_농산물_10월'!$D:$D,$C371,'RAW_농산물_10월'!$A:$A,$E371)))</f>
        <v/>
      </c>
      <c r="S371" s="17" t="str">
        <f t="shared" si="4"/>
        <v/>
      </c>
      <c r="T371" s="17" t="str">
        <f t="shared" si="5"/>
        <v/>
      </c>
      <c r="U371" s="7">
        <f>IF($C371="",0,IF('설정'!$B$3=0,0,CHOOSE('설정'!$B$3,COUNTIFS('RAW_농산물_7월'!$D:$D,$C371,'RAW_농산물_7월'!$A:$A,$E371),COUNTIFS('RAW_농산물_8월'!$D:$D,$C371,'RAW_농산물_8월'!$A:$A,$E371),COUNTIFS('RAW_농산물_9월'!$D:$D,$C371,'RAW_농산물_9월'!$A:$A,$E371),COUNTIFS('RAW_농산물_10월'!$D:$D,$C371,'RAW_농산물_10월'!$A:$A,$E371),COUNTIFS('RAW_농산물_11-12월'!$D:$D,$C371,'RAW_농산물_11-12월'!$A:$A,$E371))))</f>
        <v>0</v>
      </c>
    </row>
    <row r="372" ht="15.75" customHeight="1">
      <c r="A372" s="5"/>
      <c r="B372" s="5"/>
      <c r="C372" s="5"/>
      <c r="D372" s="6"/>
      <c r="E372" s="5"/>
      <c r="F372" s="7" t="str">
        <f>IF($C372="","",IF('설정'!$B$3=0,"",CHOOSE('설정'!$B$3,SUMIFS('RAW_농산물_7월'!$F:$F,'RAW_농산물_7월'!$D:$D,$C372,'RAW_농산물_7월'!$A:$A,$E372),SUMIFS('RAW_농산물_8월'!$F:$F,'RAW_농산물_8월'!$D:$D,$C372,'RAW_농산물_8월'!$A:$A,$E372),SUMIFS('RAW_농산물_9월'!$F:$F,'RAW_농산물_9월'!$D:$D,$C372,'RAW_농산물_9월'!$A:$A,$E372),SUMIFS('RAW_농산물_10월'!$F:$F,'RAW_농산물_10월'!$D:$D,$C372,'RAW_농산물_10월'!$A:$A,$E372),SUMIFS('RAW_농산물_11-12월'!$F:$F,'RAW_농산물_11-12월'!$D:$D,$C372,'RAW_농산물_11-12월'!$A:$A,$E372))))</f>
        <v/>
      </c>
      <c r="G372" s="7" t="str">
        <f>IF($C372="","",IF('설정'!$B$3=0,"",CHOOSE('설정'!$B$3,SUMIFS('RAW_농산물_7월'!$G:$G,'RAW_농산물_7월'!$D:$D,$C372,'RAW_농산물_7월'!$A:$A,$E372),SUMIFS('RAW_농산물_8월'!$G:$G,'RAW_농산물_8월'!$D:$D,$C372,'RAW_농산물_8월'!$A:$A,$E372),SUMIFS('RAW_농산물_9월'!$G:$G,'RAW_농산물_9월'!$D:$D,$C372,'RAW_농산물_9월'!$A:$A,$E372),SUMIFS('RAW_농산물_10월'!$G:$G,'RAW_농산물_10월'!$D:$D,$C372,'RAW_농산물_10월'!$A:$A,$E372),SUMIFS('RAW_농산물_11-12월'!$G:$G,'RAW_농산물_11-12월'!$D:$D,$C372,'RAW_농산물_11-12월'!$A:$A,$E372))))</f>
        <v/>
      </c>
      <c r="H372" s="14" t="str">
        <f>IF($C372="","",IF('설정'!$B$3=0,"",CHOOSE('설정'!$B$3,SUMIFS('RAW_농산물_7월'!$H:$H,'RAW_농산물_7월'!$D:$D,$C372,'RAW_농산물_7월'!$A:$A,$E372),SUMIFS('RAW_농산물_8월'!$H:$H,'RAW_농산물_8월'!$D:$D,$C372,'RAW_농산물_8월'!$A:$A,$E372),SUMIFS('RAW_농산물_9월'!$H:$H,'RAW_농산물_9월'!$D:$D,$C372,'RAW_농산물_9월'!$A:$A,$E372),SUMIFS('RAW_농산물_10월'!$H:$H,'RAW_농산물_10월'!$D:$D,$C372,'RAW_농산물_10월'!$A:$A,$E372),SUMIFS('RAW_농산물_11-12월'!$H:$H,'RAW_농산물_11-12월'!$D:$D,$C372,'RAW_농산물_11-12월'!$A:$A,$E372))))</f>
        <v/>
      </c>
      <c r="I372" s="17" t="str">
        <f>IF($C372="","",IF(COUNTIFS('RAW_농산물_7월'!$D:$D,$C372,'RAW_농산물_7월'!$A:$A,$E372)&gt;0,"O",""))</f>
        <v/>
      </c>
      <c r="J372" s="17" t="str">
        <f>IF($C372="","",IF(COUNTIFS('RAW_농산물_8월'!$D:$D,$C372,'RAW_농산물_8월'!$A:$A,$E372)&gt;0,"O",""))</f>
        <v/>
      </c>
      <c r="K372" s="17" t="str">
        <f>IF($C372="","",IF(COUNTIFS('RAW_농산물_9월'!$D:$D,$C372,'RAW_농산물_9월'!$A:$A,$E372)&gt;0,"O",""))</f>
        <v/>
      </c>
      <c r="L372" s="17" t="str">
        <f>IF($C372="","",IF(COUNTIFS('RAW_농산물_10월'!$D:$D,$C372,'RAW_농산물_10월'!$A:$A,$E372)&gt;0,"O",""))</f>
        <v/>
      </c>
      <c r="M372" s="17" t="str">
        <f>IF($C372="","",IF(COUNTIFS('RAW_농산물_11-12월'!$D:$D,$C372,'RAW_농산물_11-12월'!$A:$A,$E372)&gt;0,"O",""))</f>
        <v/>
      </c>
      <c r="N372" s="7" t="str">
        <f>IF($C372="","",IF(COUNTA('RAW_농산물_7월'!$A:$A)&lt;=1,"",SUMIFS('RAW_농산물_7월'!$H:$H,'RAW_농산물_7월'!$D:$D,$C372,'RAW_농산물_7월'!$A:$A,$E372)))</f>
        <v/>
      </c>
      <c r="O372" s="7" t="str">
        <f>IF($C372="","",IF(COUNTA('RAW_농산물_8월'!$A:$A)&lt;=1,"",SUMIFS('RAW_농산물_8월'!$H:$H,'RAW_농산물_8월'!$D:$D,$C372,'RAW_농산물_8월'!$A:$A,$E372)-SUMIFS('RAW_농산물_7월'!$H:$H,'RAW_농산물_7월'!$D:$D,$C372,'RAW_농산물_7월'!$A:$A,$E372)))</f>
        <v/>
      </c>
      <c r="P372" s="7" t="str">
        <f>IF($C372="","",IF(COUNTA('RAW_농산물_9월'!$A:$A)&lt;=1,"",SUMIFS('RAW_농산물_9월'!$H:$H,'RAW_농산물_9월'!$D:$D,$C372,'RAW_농산물_9월'!$A:$A,$E372)-SUMIFS('RAW_농산물_8월'!$H:$H,'RAW_농산물_8월'!$D:$D,$C372,'RAW_농산물_8월'!$A:$A,$E372)))</f>
        <v/>
      </c>
      <c r="Q372" s="7" t="str">
        <f>IF($C372="","",IF(COUNTA('RAW_농산물_10월'!$A:$A)&lt;=1,"",SUMIFS('RAW_농산물_10월'!$H:$H,'RAW_농산물_10월'!$D:$D,$C372,'RAW_농산물_10월'!$A:$A,$E372)-SUMIFS('RAW_농산물_9월'!$H:$H,'RAW_농산물_9월'!$D:$D,$C372,'RAW_농산물_9월'!$A:$A,$E372)))</f>
        <v/>
      </c>
      <c r="R372" s="7" t="str">
        <f>IF($C372="","",IF(COUNTA('RAW_농산물_11-12월'!$A:$A)&lt;=1,"",SUMIFS('RAW_농산물_11-12월'!$H:$H,'RAW_농산물_11-12월'!$D:$D,$C372,'RAW_농산물_11-12월'!$A:$A,$E372)-SUMIFS('RAW_농산물_10월'!$H:$H,'RAW_농산물_10월'!$D:$D,$C372,'RAW_농산물_10월'!$A:$A,$E372)))</f>
        <v/>
      </c>
      <c r="S372" s="17" t="str">
        <f t="shared" si="4"/>
        <v/>
      </c>
      <c r="T372" s="17" t="str">
        <f t="shared" si="5"/>
        <v/>
      </c>
      <c r="U372" s="7">
        <f>IF($C372="",0,IF('설정'!$B$3=0,0,CHOOSE('설정'!$B$3,COUNTIFS('RAW_농산물_7월'!$D:$D,$C372,'RAW_농산물_7월'!$A:$A,$E372),COUNTIFS('RAW_농산물_8월'!$D:$D,$C372,'RAW_농산물_8월'!$A:$A,$E372),COUNTIFS('RAW_농산물_9월'!$D:$D,$C372,'RAW_농산물_9월'!$A:$A,$E372),COUNTIFS('RAW_농산물_10월'!$D:$D,$C372,'RAW_농산물_10월'!$A:$A,$E372),COUNTIFS('RAW_농산물_11-12월'!$D:$D,$C372,'RAW_농산물_11-12월'!$A:$A,$E372))))</f>
        <v>0</v>
      </c>
    </row>
    <row r="373" ht="15.75" customHeight="1">
      <c r="A373" s="5"/>
      <c r="B373" s="5"/>
      <c r="C373" s="5"/>
      <c r="D373" s="6"/>
      <c r="E373" s="5"/>
      <c r="F373" s="7" t="str">
        <f>IF($C373="","",IF('설정'!$B$3=0,"",CHOOSE('설정'!$B$3,SUMIFS('RAW_농산물_7월'!$F:$F,'RAW_농산물_7월'!$D:$D,$C373,'RAW_농산물_7월'!$A:$A,$E373),SUMIFS('RAW_농산물_8월'!$F:$F,'RAW_농산물_8월'!$D:$D,$C373,'RAW_농산물_8월'!$A:$A,$E373),SUMIFS('RAW_농산물_9월'!$F:$F,'RAW_농산물_9월'!$D:$D,$C373,'RAW_농산물_9월'!$A:$A,$E373),SUMIFS('RAW_농산물_10월'!$F:$F,'RAW_농산물_10월'!$D:$D,$C373,'RAW_농산물_10월'!$A:$A,$E373),SUMIFS('RAW_농산물_11-12월'!$F:$F,'RAW_농산물_11-12월'!$D:$D,$C373,'RAW_농산물_11-12월'!$A:$A,$E373))))</f>
        <v/>
      </c>
      <c r="G373" s="7" t="str">
        <f>IF($C373="","",IF('설정'!$B$3=0,"",CHOOSE('설정'!$B$3,SUMIFS('RAW_농산물_7월'!$G:$G,'RAW_농산물_7월'!$D:$D,$C373,'RAW_농산물_7월'!$A:$A,$E373),SUMIFS('RAW_농산물_8월'!$G:$G,'RAW_농산물_8월'!$D:$D,$C373,'RAW_농산물_8월'!$A:$A,$E373),SUMIFS('RAW_농산물_9월'!$G:$G,'RAW_농산물_9월'!$D:$D,$C373,'RAW_농산물_9월'!$A:$A,$E373),SUMIFS('RAW_농산물_10월'!$G:$G,'RAW_농산물_10월'!$D:$D,$C373,'RAW_농산물_10월'!$A:$A,$E373),SUMIFS('RAW_농산물_11-12월'!$G:$G,'RAW_농산물_11-12월'!$D:$D,$C373,'RAW_농산물_11-12월'!$A:$A,$E373))))</f>
        <v/>
      </c>
      <c r="H373" s="14" t="str">
        <f>IF($C373="","",IF('설정'!$B$3=0,"",CHOOSE('설정'!$B$3,SUMIFS('RAW_농산물_7월'!$H:$H,'RAW_농산물_7월'!$D:$D,$C373,'RAW_농산물_7월'!$A:$A,$E373),SUMIFS('RAW_농산물_8월'!$H:$H,'RAW_농산물_8월'!$D:$D,$C373,'RAW_농산물_8월'!$A:$A,$E373),SUMIFS('RAW_농산물_9월'!$H:$H,'RAW_농산물_9월'!$D:$D,$C373,'RAW_농산물_9월'!$A:$A,$E373),SUMIFS('RAW_농산물_10월'!$H:$H,'RAW_농산물_10월'!$D:$D,$C373,'RAW_농산물_10월'!$A:$A,$E373),SUMIFS('RAW_농산물_11-12월'!$H:$H,'RAW_농산물_11-12월'!$D:$D,$C373,'RAW_농산물_11-12월'!$A:$A,$E373))))</f>
        <v/>
      </c>
      <c r="I373" s="17" t="str">
        <f>IF($C373="","",IF(COUNTIFS('RAW_농산물_7월'!$D:$D,$C373,'RAW_농산물_7월'!$A:$A,$E373)&gt;0,"O",""))</f>
        <v/>
      </c>
      <c r="J373" s="17" t="str">
        <f>IF($C373="","",IF(COUNTIFS('RAW_농산물_8월'!$D:$D,$C373,'RAW_농산물_8월'!$A:$A,$E373)&gt;0,"O",""))</f>
        <v/>
      </c>
      <c r="K373" s="17" t="str">
        <f>IF($C373="","",IF(COUNTIFS('RAW_농산물_9월'!$D:$D,$C373,'RAW_농산물_9월'!$A:$A,$E373)&gt;0,"O",""))</f>
        <v/>
      </c>
      <c r="L373" s="17" t="str">
        <f>IF($C373="","",IF(COUNTIFS('RAW_농산물_10월'!$D:$D,$C373,'RAW_농산물_10월'!$A:$A,$E373)&gt;0,"O",""))</f>
        <v/>
      </c>
      <c r="M373" s="17" t="str">
        <f>IF($C373="","",IF(COUNTIFS('RAW_농산물_11-12월'!$D:$D,$C373,'RAW_농산물_11-12월'!$A:$A,$E373)&gt;0,"O",""))</f>
        <v/>
      </c>
      <c r="N373" s="7" t="str">
        <f>IF($C373="","",IF(COUNTA('RAW_농산물_7월'!$A:$A)&lt;=1,"",SUMIFS('RAW_농산물_7월'!$H:$H,'RAW_농산물_7월'!$D:$D,$C373,'RAW_농산물_7월'!$A:$A,$E373)))</f>
        <v/>
      </c>
      <c r="O373" s="7" t="str">
        <f>IF($C373="","",IF(COUNTA('RAW_농산물_8월'!$A:$A)&lt;=1,"",SUMIFS('RAW_농산물_8월'!$H:$H,'RAW_농산물_8월'!$D:$D,$C373,'RAW_농산물_8월'!$A:$A,$E373)-SUMIFS('RAW_농산물_7월'!$H:$H,'RAW_농산물_7월'!$D:$D,$C373,'RAW_농산물_7월'!$A:$A,$E373)))</f>
        <v/>
      </c>
      <c r="P373" s="7" t="str">
        <f>IF($C373="","",IF(COUNTA('RAW_농산물_9월'!$A:$A)&lt;=1,"",SUMIFS('RAW_농산물_9월'!$H:$H,'RAW_농산물_9월'!$D:$D,$C373,'RAW_농산물_9월'!$A:$A,$E373)-SUMIFS('RAW_농산물_8월'!$H:$H,'RAW_농산물_8월'!$D:$D,$C373,'RAW_농산물_8월'!$A:$A,$E373)))</f>
        <v/>
      </c>
      <c r="Q373" s="7" t="str">
        <f>IF($C373="","",IF(COUNTA('RAW_농산물_10월'!$A:$A)&lt;=1,"",SUMIFS('RAW_농산물_10월'!$H:$H,'RAW_농산물_10월'!$D:$D,$C373,'RAW_농산물_10월'!$A:$A,$E373)-SUMIFS('RAW_농산물_9월'!$H:$H,'RAW_농산물_9월'!$D:$D,$C373,'RAW_농산물_9월'!$A:$A,$E373)))</f>
        <v/>
      </c>
      <c r="R373" s="7" t="str">
        <f>IF($C373="","",IF(COUNTA('RAW_농산물_11-12월'!$A:$A)&lt;=1,"",SUMIFS('RAW_농산물_11-12월'!$H:$H,'RAW_농산물_11-12월'!$D:$D,$C373,'RAW_농산물_11-12월'!$A:$A,$E373)-SUMIFS('RAW_농산물_10월'!$H:$H,'RAW_농산물_10월'!$D:$D,$C373,'RAW_농산물_10월'!$A:$A,$E373)))</f>
        <v/>
      </c>
      <c r="S373" s="17" t="str">
        <f t="shared" si="4"/>
        <v/>
      </c>
      <c r="T373" s="17" t="str">
        <f t="shared" si="5"/>
        <v/>
      </c>
      <c r="U373" s="7">
        <f>IF($C373="",0,IF('설정'!$B$3=0,0,CHOOSE('설정'!$B$3,COUNTIFS('RAW_농산물_7월'!$D:$D,$C373,'RAW_농산물_7월'!$A:$A,$E373),COUNTIFS('RAW_농산물_8월'!$D:$D,$C373,'RAW_농산물_8월'!$A:$A,$E373),COUNTIFS('RAW_농산물_9월'!$D:$D,$C373,'RAW_농산물_9월'!$A:$A,$E373),COUNTIFS('RAW_농산물_10월'!$D:$D,$C373,'RAW_농산물_10월'!$A:$A,$E373),COUNTIFS('RAW_농산물_11-12월'!$D:$D,$C373,'RAW_농산물_11-12월'!$A:$A,$E373))))</f>
        <v>0</v>
      </c>
    </row>
    <row r="374" ht="15.75" customHeight="1">
      <c r="A374" s="5"/>
      <c r="B374" s="5"/>
      <c r="C374" s="5"/>
      <c r="D374" s="6"/>
      <c r="E374" s="5"/>
      <c r="F374" s="7" t="str">
        <f>IF($C374="","",IF('설정'!$B$3=0,"",CHOOSE('설정'!$B$3,SUMIFS('RAW_농산물_7월'!$F:$F,'RAW_농산물_7월'!$D:$D,$C374,'RAW_농산물_7월'!$A:$A,$E374),SUMIFS('RAW_농산물_8월'!$F:$F,'RAW_농산물_8월'!$D:$D,$C374,'RAW_농산물_8월'!$A:$A,$E374),SUMIFS('RAW_농산물_9월'!$F:$F,'RAW_농산물_9월'!$D:$D,$C374,'RAW_농산물_9월'!$A:$A,$E374),SUMIFS('RAW_농산물_10월'!$F:$F,'RAW_농산물_10월'!$D:$D,$C374,'RAW_농산물_10월'!$A:$A,$E374),SUMIFS('RAW_농산물_11-12월'!$F:$F,'RAW_농산물_11-12월'!$D:$D,$C374,'RAW_농산물_11-12월'!$A:$A,$E374))))</f>
        <v/>
      </c>
      <c r="G374" s="7" t="str">
        <f>IF($C374="","",IF('설정'!$B$3=0,"",CHOOSE('설정'!$B$3,SUMIFS('RAW_농산물_7월'!$G:$G,'RAW_농산물_7월'!$D:$D,$C374,'RAW_농산물_7월'!$A:$A,$E374),SUMIFS('RAW_농산물_8월'!$G:$G,'RAW_농산물_8월'!$D:$D,$C374,'RAW_농산물_8월'!$A:$A,$E374),SUMIFS('RAW_농산물_9월'!$G:$G,'RAW_농산물_9월'!$D:$D,$C374,'RAW_농산물_9월'!$A:$A,$E374),SUMIFS('RAW_농산물_10월'!$G:$G,'RAW_농산물_10월'!$D:$D,$C374,'RAW_농산물_10월'!$A:$A,$E374),SUMIFS('RAW_농산물_11-12월'!$G:$G,'RAW_농산물_11-12월'!$D:$D,$C374,'RAW_농산물_11-12월'!$A:$A,$E374))))</f>
        <v/>
      </c>
      <c r="H374" s="14" t="str">
        <f>IF($C374="","",IF('설정'!$B$3=0,"",CHOOSE('설정'!$B$3,SUMIFS('RAW_농산물_7월'!$H:$H,'RAW_농산물_7월'!$D:$D,$C374,'RAW_농산물_7월'!$A:$A,$E374),SUMIFS('RAW_농산물_8월'!$H:$H,'RAW_농산물_8월'!$D:$D,$C374,'RAW_농산물_8월'!$A:$A,$E374),SUMIFS('RAW_농산물_9월'!$H:$H,'RAW_농산물_9월'!$D:$D,$C374,'RAW_농산물_9월'!$A:$A,$E374),SUMIFS('RAW_농산물_10월'!$H:$H,'RAW_농산물_10월'!$D:$D,$C374,'RAW_농산물_10월'!$A:$A,$E374),SUMIFS('RAW_농산물_11-12월'!$H:$H,'RAW_농산물_11-12월'!$D:$D,$C374,'RAW_농산물_11-12월'!$A:$A,$E374))))</f>
        <v/>
      </c>
      <c r="I374" s="17" t="str">
        <f>IF($C374="","",IF(COUNTIFS('RAW_농산물_7월'!$D:$D,$C374,'RAW_농산물_7월'!$A:$A,$E374)&gt;0,"O",""))</f>
        <v/>
      </c>
      <c r="J374" s="17" t="str">
        <f>IF($C374="","",IF(COUNTIFS('RAW_농산물_8월'!$D:$D,$C374,'RAW_농산물_8월'!$A:$A,$E374)&gt;0,"O",""))</f>
        <v/>
      </c>
      <c r="K374" s="17" t="str">
        <f>IF($C374="","",IF(COUNTIFS('RAW_농산물_9월'!$D:$D,$C374,'RAW_농산물_9월'!$A:$A,$E374)&gt;0,"O",""))</f>
        <v/>
      </c>
      <c r="L374" s="17" t="str">
        <f>IF($C374="","",IF(COUNTIFS('RAW_농산물_10월'!$D:$D,$C374,'RAW_농산물_10월'!$A:$A,$E374)&gt;0,"O",""))</f>
        <v/>
      </c>
      <c r="M374" s="17" t="str">
        <f>IF($C374="","",IF(COUNTIFS('RAW_농산물_11-12월'!$D:$D,$C374,'RAW_농산물_11-12월'!$A:$A,$E374)&gt;0,"O",""))</f>
        <v/>
      </c>
      <c r="N374" s="7" t="str">
        <f>IF($C374="","",IF(COUNTA('RAW_농산물_7월'!$A:$A)&lt;=1,"",SUMIFS('RAW_농산물_7월'!$H:$H,'RAW_농산물_7월'!$D:$D,$C374,'RAW_농산물_7월'!$A:$A,$E374)))</f>
        <v/>
      </c>
      <c r="O374" s="7" t="str">
        <f>IF($C374="","",IF(COUNTA('RAW_농산물_8월'!$A:$A)&lt;=1,"",SUMIFS('RAW_농산물_8월'!$H:$H,'RAW_농산물_8월'!$D:$D,$C374,'RAW_농산물_8월'!$A:$A,$E374)-SUMIFS('RAW_농산물_7월'!$H:$H,'RAW_농산물_7월'!$D:$D,$C374,'RAW_농산물_7월'!$A:$A,$E374)))</f>
        <v/>
      </c>
      <c r="P374" s="7" t="str">
        <f>IF($C374="","",IF(COUNTA('RAW_농산물_9월'!$A:$A)&lt;=1,"",SUMIFS('RAW_농산물_9월'!$H:$H,'RAW_농산물_9월'!$D:$D,$C374,'RAW_농산물_9월'!$A:$A,$E374)-SUMIFS('RAW_농산물_8월'!$H:$H,'RAW_농산물_8월'!$D:$D,$C374,'RAW_농산물_8월'!$A:$A,$E374)))</f>
        <v/>
      </c>
      <c r="Q374" s="7" t="str">
        <f>IF($C374="","",IF(COUNTA('RAW_농산물_10월'!$A:$A)&lt;=1,"",SUMIFS('RAW_농산물_10월'!$H:$H,'RAW_농산물_10월'!$D:$D,$C374,'RAW_농산물_10월'!$A:$A,$E374)-SUMIFS('RAW_농산물_9월'!$H:$H,'RAW_농산물_9월'!$D:$D,$C374,'RAW_농산물_9월'!$A:$A,$E374)))</f>
        <v/>
      </c>
      <c r="R374" s="7" t="str">
        <f>IF($C374="","",IF(COUNTA('RAW_농산물_11-12월'!$A:$A)&lt;=1,"",SUMIFS('RAW_농산물_11-12월'!$H:$H,'RAW_농산물_11-12월'!$D:$D,$C374,'RAW_농산물_11-12월'!$A:$A,$E374)-SUMIFS('RAW_농산물_10월'!$H:$H,'RAW_농산물_10월'!$D:$D,$C374,'RAW_농산물_10월'!$A:$A,$E374)))</f>
        <v/>
      </c>
      <c r="S374" s="17" t="str">
        <f t="shared" si="4"/>
        <v/>
      </c>
      <c r="T374" s="17" t="str">
        <f t="shared" si="5"/>
        <v/>
      </c>
      <c r="U374" s="7">
        <f>IF($C374="",0,IF('설정'!$B$3=0,0,CHOOSE('설정'!$B$3,COUNTIFS('RAW_농산물_7월'!$D:$D,$C374,'RAW_농산물_7월'!$A:$A,$E374),COUNTIFS('RAW_농산물_8월'!$D:$D,$C374,'RAW_농산물_8월'!$A:$A,$E374),COUNTIFS('RAW_농산물_9월'!$D:$D,$C374,'RAW_농산물_9월'!$A:$A,$E374),COUNTIFS('RAW_농산물_10월'!$D:$D,$C374,'RAW_농산물_10월'!$A:$A,$E374),COUNTIFS('RAW_농산물_11-12월'!$D:$D,$C374,'RAW_농산물_11-12월'!$A:$A,$E374))))</f>
        <v>0</v>
      </c>
    </row>
    <row r="375" ht="15.75" customHeight="1">
      <c r="A375" s="5"/>
      <c r="B375" s="5"/>
      <c r="C375" s="5"/>
      <c r="D375" s="6"/>
      <c r="E375" s="5"/>
      <c r="F375" s="7" t="str">
        <f>IF($C375="","",IF('설정'!$B$3=0,"",CHOOSE('설정'!$B$3,SUMIFS('RAW_농산물_7월'!$F:$F,'RAW_농산물_7월'!$D:$D,$C375,'RAW_농산물_7월'!$A:$A,$E375),SUMIFS('RAW_농산물_8월'!$F:$F,'RAW_농산물_8월'!$D:$D,$C375,'RAW_농산물_8월'!$A:$A,$E375),SUMIFS('RAW_농산물_9월'!$F:$F,'RAW_농산물_9월'!$D:$D,$C375,'RAW_농산물_9월'!$A:$A,$E375),SUMIFS('RAW_농산물_10월'!$F:$F,'RAW_농산물_10월'!$D:$D,$C375,'RAW_농산물_10월'!$A:$A,$E375),SUMIFS('RAW_농산물_11-12월'!$F:$F,'RAW_농산물_11-12월'!$D:$D,$C375,'RAW_농산물_11-12월'!$A:$A,$E375))))</f>
        <v/>
      </c>
      <c r="G375" s="7" t="str">
        <f>IF($C375="","",IF('설정'!$B$3=0,"",CHOOSE('설정'!$B$3,SUMIFS('RAW_농산물_7월'!$G:$G,'RAW_농산물_7월'!$D:$D,$C375,'RAW_농산물_7월'!$A:$A,$E375),SUMIFS('RAW_농산물_8월'!$G:$G,'RAW_농산물_8월'!$D:$D,$C375,'RAW_농산물_8월'!$A:$A,$E375),SUMIFS('RAW_농산물_9월'!$G:$G,'RAW_농산물_9월'!$D:$D,$C375,'RAW_농산물_9월'!$A:$A,$E375),SUMIFS('RAW_농산물_10월'!$G:$G,'RAW_농산물_10월'!$D:$D,$C375,'RAW_농산물_10월'!$A:$A,$E375),SUMIFS('RAW_농산물_11-12월'!$G:$G,'RAW_농산물_11-12월'!$D:$D,$C375,'RAW_농산물_11-12월'!$A:$A,$E375))))</f>
        <v/>
      </c>
      <c r="H375" s="14" t="str">
        <f>IF($C375="","",IF('설정'!$B$3=0,"",CHOOSE('설정'!$B$3,SUMIFS('RAW_농산물_7월'!$H:$H,'RAW_농산물_7월'!$D:$D,$C375,'RAW_농산물_7월'!$A:$A,$E375),SUMIFS('RAW_농산물_8월'!$H:$H,'RAW_농산물_8월'!$D:$D,$C375,'RAW_농산물_8월'!$A:$A,$E375),SUMIFS('RAW_농산물_9월'!$H:$H,'RAW_농산물_9월'!$D:$D,$C375,'RAW_농산물_9월'!$A:$A,$E375),SUMIFS('RAW_농산물_10월'!$H:$H,'RAW_농산물_10월'!$D:$D,$C375,'RAW_농산물_10월'!$A:$A,$E375),SUMIFS('RAW_농산물_11-12월'!$H:$H,'RAW_농산물_11-12월'!$D:$D,$C375,'RAW_농산물_11-12월'!$A:$A,$E375))))</f>
        <v/>
      </c>
      <c r="I375" s="17" t="str">
        <f>IF($C375="","",IF(COUNTIFS('RAW_농산물_7월'!$D:$D,$C375,'RAW_농산물_7월'!$A:$A,$E375)&gt;0,"O",""))</f>
        <v/>
      </c>
      <c r="J375" s="17" t="str">
        <f>IF($C375="","",IF(COUNTIFS('RAW_농산물_8월'!$D:$D,$C375,'RAW_농산물_8월'!$A:$A,$E375)&gt;0,"O",""))</f>
        <v/>
      </c>
      <c r="K375" s="17" t="str">
        <f>IF($C375="","",IF(COUNTIFS('RAW_농산물_9월'!$D:$D,$C375,'RAW_농산물_9월'!$A:$A,$E375)&gt;0,"O",""))</f>
        <v/>
      </c>
      <c r="L375" s="17" t="str">
        <f>IF($C375="","",IF(COUNTIFS('RAW_농산물_10월'!$D:$D,$C375,'RAW_농산물_10월'!$A:$A,$E375)&gt;0,"O",""))</f>
        <v/>
      </c>
      <c r="M375" s="17" t="str">
        <f>IF($C375="","",IF(COUNTIFS('RAW_농산물_11-12월'!$D:$D,$C375,'RAW_농산물_11-12월'!$A:$A,$E375)&gt;0,"O",""))</f>
        <v/>
      </c>
      <c r="N375" s="7" t="str">
        <f>IF($C375="","",IF(COUNTA('RAW_농산물_7월'!$A:$A)&lt;=1,"",SUMIFS('RAW_농산물_7월'!$H:$H,'RAW_농산물_7월'!$D:$D,$C375,'RAW_농산물_7월'!$A:$A,$E375)))</f>
        <v/>
      </c>
      <c r="O375" s="7" t="str">
        <f>IF($C375="","",IF(COUNTA('RAW_농산물_8월'!$A:$A)&lt;=1,"",SUMIFS('RAW_농산물_8월'!$H:$H,'RAW_농산물_8월'!$D:$D,$C375,'RAW_농산물_8월'!$A:$A,$E375)-SUMIFS('RAW_농산물_7월'!$H:$H,'RAW_농산물_7월'!$D:$D,$C375,'RAW_농산물_7월'!$A:$A,$E375)))</f>
        <v/>
      </c>
      <c r="P375" s="7" t="str">
        <f>IF($C375="","",IF(COUNTA('RAW_농산물_9월'!$A:$A)&lt;=1,"",SUMIFS('RAW_농산물_9월'!$H:$H,'RAW_농산물_9월'!$D:$D,$C375,'RAW_농산물_9월'!$A:$A,$E375)-SUMIFS('RAW_농산물_8월'!$H:$H,'RAW_농산물_8월'!$D:$D,$C375,'RAW_농산물_8월'!$A:$A,$E375)))</f>
        <v/>
      </c>
      <c r="Q375" s="7" t="str">
        <f>IF($C375="","",IF(COUNTA('RAW_농산물_10월'!$A:$A)&lt;=1,"",SUMIFS('RAW_농산물_10월'!$H:$H,'RAW_농산물_10월'!$D:$D,$C375,'RAW_농산물_10월'!$A:$A,$E375)-SUMIFS('RAW_농산물_9월'!$H:$H,'RAW_농산물_9월'!$D:$D,$C375,'RAW_농산물_9월'!$A:$A,$E375)))</f>
        <v/>
      </c>
      <c r="R375" s="7" t="str">
        <f>IF($C375="","",IF(COUNTA('RAW_농산물_11-12월'!$A:$A)&lt;=1,"",SUMIFS('RAW_농산물_11-12월'!$H:$H,'RAW_농산물_11-12월'!$D:$D,$C375,'RAW_농산물_11-12월'!$A:$A,$E375)-SUMIFS('RAW_농산물_10월'!$H:$H,'RAW_농산물_10월'!$D:$D,$C375,'RAW_농산물_10월'!$A:$A,$E375)))</f>
        <v/>
      </c>
      <c r="S375" s="17" t="str">
        <f t="shared" si="4"/>
        <v/>
      </c>
      <c r="T375" s="17" t="str">
        <f t="shared" si="5"/>
        <v/>
      </c>
      <c r="U375" s="7">
        <f>IF($C375="",0,IF('설정'!$B$3=0,0,CHOOSE('설정'!$B$3,COUNTIFS('RAW_농산물_7월'!$D:$D,$C375,'RAW_농산물_7월'!$A:$A,$E375),COUNTIFS('RAW_농산물_8월'!$D:$D,$C375,'RAW_농산물_8월'!$A:$A,$E375),COUNTIFS('RAW_농산물_9월'!$D:$D,$C375,'RAW_농산물_9월'!$A:$A,$E375),COUNTIFS('RAW_농산물_10월'!$D:$D,$C375,'RAW_농산물_10월'!$A:$A,$E375),COUNTIFS('RAW_농산물_11-12월'!$D:$D,$C375,'RAW_농산물_11-12월'!$A:$A,$E375))))</f>
        <v>0</v>
      </c>
    </row>
    <row r="376" ht="15.75" customHeight="1">
      <c r="A376" s="5"/>
      <c r="B376" s="5"/>
      <c r="C376" s="5"/>
      <c r="D376" s="6"/>
      <c r="E376" s="5"/>
      <c r="F376" s="7" t="str">
        <f>IF($C376="","",IF('설정'!$B$3=0,"",CHOOSE('설정'!$B$3,SUMIFS('RAW_농산물_7월'!$F:$F,'RAW_농산물_7월'!$D:$D,$C376,'RAW_농산물_7월'!$A:$A,$E376),SUMIFS('RAW_농산물_8월'!$F:$F,'RAW_농산물_8월'!$D:$D,$C376,'RAW_농산물_8월'!$A:$A,$E376),SUMIFS('RAW_농산물_9월'!$F:$F,'RAW_농산물_9월'!$D:$D,$C376,'RAW_농산물_9월'!$A:$A,$E376),SUMIFS('RAW_농산물_10월'!$F:$F,'RAW_농산물_10월'!$D:$D,$C376,'RAW_농산물_10월'!$A:$A,$E376),SUMIFS('RAW_농산물_11-12월'!$F:$F,'RAW_농산물_11-12월'!$D:$D,$C376,'RAW_농산물_11-12월'!$A:$A,$E376))))</f>
        <v/>
      </c>
      <c r="G376" s="7" t="str">
        <f>IF($C376="","",IF('설정'!$B$3=0,"",CHOOSE('설정'!$B$3,SUMIFS('RAW_농산물_7월'!$G:$G,'RAW_농산물_7월'!$D:$D,$C376,'RAW_농산물_7월'!$A:$A,$E376),SUMIFS('RAW_농산물_8월'!$G:$G,'RAW_농산물_8월'!$D:$D,$C376,'RAW_농산물_8월'!$A:$A,$E376),SUMIFS('RAW_농산물_9월'!$G:$G,'RAW_농산물_9월'!$D:$D,$C376,'RAW_농산물_9월'!$A:$A,$E376),SUMIFS('RAW_농산물_10월'!$G:$G,'RAW_농산물_10월'!$D:$D,$C376,'RAW_농산물_10월'!$A:$A,$E376),SUMIFS('RAW_농산물_11-12월'!$G:$G,'RAW_농산물_11-12월'!$D:$D,$C376,'RAW_농산물_11-12월'!$A:$A,$E376))))</f>
        <v/>
      </c>
      <c r="H376" s="14" t="str">
        <f>IF($C376="","",IF('설정'!$B$3=0,"",CHOOSE('설정'!$B$3,SUMIFS('RAW_농산물_7월'!$H:$H,'RAW_농산물_7월'!$D:$D,$C376,'RAW_농산물_7월'!$A:$A,$E376),SUMIFS('RAW_농산물_8월'!$H:$H,'RAW_농산물_8월'!$D:$D,$C376,'RAW_농산물_8월'!$A:$A,$E376),SUMIFS('RAW_농산물_9월'!$H:$H,'RAW_농산물_9월'!$D:$D,$C376,'RAW_농산물_9월'!$A:$A,$E376),SUMIFS('RAW_농산물_10월'!$H:$H,'RAW_농산물_10월'!$D:$D,$C376,'RAW_농산물_10월'!$A:$A,$E376),SUMIFS('RAW_농산물_11-12월'!$H:$H,'RAW_농산물_11-12월'!$D:$D,$C376,'RAW_농산물_11-12월'!$A:$A,$E376))))</f>
        <v/>
      </c>
      <c r="I376" s="17" t="str">
        <f>IF($C376="","",IF(COUNTIFS('RAW_농산물_7월'!$D:$D,$C376,'RAW_농산물_7월'!$A:$A,$E376)&gt;0,"O",""))</f>
        <v/>
      </c>
      <c r="J376" s="17" t="str">
        <f>IF($C376="","",IF(COUNTIFS('RAW_농산물_8월'!$D:$D,$C376,'RAW_농산물_8월'!$A:$A,$E376)&gt;0,"O",""))</f>
        <v/>
      </c>
      <c r="K376" s="17" t="str">
        <f>IF($C376="","",IF(COUNTIFS('RAW_농산물_9월'!$D:$D,$C376,'RAW_농산물_9월'!$A:$A,$E376)&gt;0,"O",""))</f>
        <v/>
      </c>
      <c r="L376" s="17" t="str">
        <f>IF($C376="","",IF(COUNTIFS('RAW_농산물_10월'!$D:$D,$C376,'RAW_농산물_10월'!$A:$A,$E376)&gt;0,"O",""))</f>
        <v/>
      </c>
      <c r="M376" s="17" t="str">
        <f>IF($C376="","",IF(COUNTIFS('RAW_농산물_11-12월'!$D:$D,$C376,'RAW_농산물_11-12월'!$A:$A,$E376)&gt;0,"O",""))</f>
        <v/>
      </c>
      <c r="N376" s="7" t="str">
        <f>IF($C376="","",IF(COUNTA('RAW_농산물_7월'!$A:$A)&lt;=1,"",SUMIFS('RAW_농산물_7월'!$H:$H,'RAW_농산물_7월'!$D:$D,$C376,'RAW_농산물_7월'!$A:$A,$E376)))</f>
        <v/>
      </c>
      <c r="O376" s="7" t="str">
        <f>IF($C376="","",IF(COUNTA('RAW_농산물_8월'!$A:$A)&lt;=1,"",SUMIFS('RAW_농산물_8월'!$H:$H,'RAW_농산물_8월'!$D:$D,$C376,'RAW_농산물_8월'!$A:$A,$E376)-SUMIFS('RAW_농산물_7월'!$H:$H,'RAW_농산물_7월'!$D:$D,$C376,'RAW_농산물_7월'!$A:$A,$E376)))</f>
        <v/>
      </c>
      <c r="P376" s="7" t="str">
        <f>IF($C376="","",IF(COUNTA('RAW_농산물_9월'!$A:$A)&lt;=1,"",SUMIFS('RAW_농산물_9월'!$H:$H,'RAW_농산물_9월'!$D:$D,$C376,'RAW_농산물_9월'!$A:$A,$E376)-SUMIFS('RAW_농산물_8월'!$H:$H,'RAW_농산물_8월'!$D:$D,$C376,'RAW_농산물_8월'!$A:$A,$E376)))</f>
        <v/>
      </c>
      <c r="Q376" s="7" t="str">
        <f>IF($C376="","",IF(COUNTA('RAW_농산물_10월'!$A:$A)&lt;=1,"",SUMIFS('RAW_농산물_10월'!$H:$H,'RAW_농산물_10월'!$D:$D,$C376,'RAW_농산물_10월'!$A:$A,$E376)-SUMIFS('RAW_농산물_9월'!$H:$H,'RAW_농산물_9월'!$D:$D,$C376,'RAW_농산물_9월'!$A:$A,$E376)))</f>
        <v/>
      </c>
      <c r="R376" s="7" t="str">
        <f>IF($C376="","",IF(COUNTA('RAW_농산물_11-12월'!$A:$A)&lt;=1,"",SUMIFS('RAW_농산물_11-12월'!$H:$H,'RAW_농산물_11-12월'!$D:$D,$C376,'RAW_농산물_11-12월'!$A:$A,$E376)-SUMIFS('RAW_농산물_10월'!$H:$H,'RAW_농산물_10월'!$D:$D,$C376,'RAW_농산물_10월'!$A:$A,$E376)))</f>
        <v/>
      </c>
      <c r="S376" s="17" t="str">
        <f t="shared" si="4"/>
        <v/>
      </c>
      <c r="T376" s="17" t="str">
        <f t="shared" si="5"/>
        <v/>
      </c>
      <c r="U376" s="7">
        <f>IF($C376="",0,IF('설정'!$B$3=0,0,CHOOSE('설정'!$B$3,COUNTIFS('RAW_농산물_7월'!$D:$D,$C376,'RAW_농산물_7월'!$A:$A,$E376),COUNTIFS('RAW_농산물_8월'!$D:$D,$C376,'RAW_농산물_8월'!$A:$A,$E376),COUNTIFS('RAW_농산물_9월'!$D:$D,$C376,'RAW_농산물_9월'!$A:$A,$E376),COUNTIFS('RAW_농산물_10월'!$D:$D,$C376,'RAW_농산물_10월'!$A:$A,$E376),COUNTIFS('RAW_농산물_11-12월'!$D:$D,$C376,'RAW_농산물_11-12월'!$A:$A,$E376))))</f>
        <v>0</v>
      </c>
    </row>
    <row r="377" ht="15.75" customHeight="1">
      <c r="A377" s="5"/>
      <c r="B377" s="5"/>
      <c r="C377" s="5"/>
      <c r="D377" s="6"/>
      <c r="E377" s="5"/>
      <c r="F377" s="7" t="str">
        <f>IF($C377="","",IF('설정'!$B$3=0,"",CHOOSE('설정'!$B$3,SUMIFS('RAW_농산물_7월'!$F:$F,'RAW_농산물_7월'!$D:$D,$C377,'RAW_농산물_7월'!$A:$A,$E377),SUMIFS('RAW_농산물_8월'!$F:$F,'RAW_농산물_8월'!$D:$D,$C377,'RAW_농산물_8월'!$A:$A,$E377),SUMIFS('RAW_농산물_9월'!$F:$F,'RAW_농산물_9월'!$D:$D,$C377,'RAW_농산물_9월'!$A:$A,$E377),SUMIFS('RAW_농산물_10월'!$F:$F,'RAW_농산물_10월'!$D:$D,$C377,'RAW_농산물_10월'!$A:$A,$E377),SUMIFS('RAW_농산물_11-12월'!$F:$F,'RAW_농산물_11-12월'!$D:$D,$C377,'RAW_농산물_11-12월'!$A:$A,$E377))))</f>
        <v/>
      </c>
      <c r="G377" s="7" t="str">
        <f>IF($C377="","",IF('설정'!$B$3=0,"",CHOOSE('설정'!$B$3,SUMIFS('RAW_농산물_7월'!$G:$G,'RAW_농산물_7월'!$D:$D,$C377,'RAW_농산물_7월'!$A:$A,$E377),SUMIFS('RAW_농산물_8월'!$G:$G,'RAW_농산물_8월'!$D:$D,$C377,'RAW_농산물_8월'!$A:$A,$E377),SUMIFS('RAW_농산물_9월'!$G:$G,'RAW_농산물_9월'!$D:$D,$C377,'RAW_농산물_9월'!$A:$A,$E377),SUMIFS('RAW_농산물_10월'!$G:$G,'RAW_농산물_10월'!$D:$D,$C377,'RAW_농산물_10월'!$A:$A,$E377),SUMIFS('RAW_농산물_11-12월'!$G:$G,'RAW_농산물_11-12월'!$D:$D,$C377,'RAW_농산물_11-12월'!$A:$A,$E377))))</f>
        <v/>
      </c>
      <c r="H377" s="14" t="str">
        <f>IF($C377="","",IF('설정'!$B$3=0,"",CHOOSE('설정'!$B$3,SUMIFS('RAW_농산물_7월'!$H:$H,'RAW_농산물_7월'!$D:$D,$C377,'RAW_농산물_7월'!$A:$A,$E377),SUMIFS('RAW_농산물_8월'!$H:$H,'RAW_농산물_8월'!$D:$D,$C377,'RAW_농산물_8월'!$A:$A,$E377),SUMIFS('RAW_농산물_9월'!$H:$H,'RAW_농산물_9월'!$D:$D,$C377,'RAW_농산물_9월'!$A:$A,$E377),SUMIFS('RAW_농산물_10월'!$H:$H,'RAW_농산물_10월'!$D:$D,$C377,'RAW_농산물_10월'!$A:$A,$E377),SUMIFS('RAW_농산물_11-12월'!$H:$H,'RAW_농산물_11-12월'!$D:$D,$C377,'RAW_농산물_11-12월'!$A:$A,$E377))))</f>
        <v/>
      </c>
      <c r="I377" s="17" t="str">
        <f>IF($C377="","",IF(COUNTIFS('RAW_농산물_7월'!$D:$D,$C377,'RAW_농산물_7월'!$A:$A,$E377)&gt;0,"O",""))</f>
        <v/>
      </c>
      <c r="J377" s="17" t="str">
        <f>IF($C377="","",IF(COUNTIFS('RAW_농산물_8월'!$D:$D,$C377,'RAW_농산물_8월'!$A:$A,$E377)&gt;0,"O",""))</f>
        <v/>
      </c>
      <c r="K377" s="17" t="str">
        <f>IF($C377="","",IF(COUNTIFS('RAW_농산물_9월'!$D:$D,$C377,'RAW_농산물_9월'!$A:$A,$E377)&gt;0,"O",""))</f>
        <v/>
      </c>
      <c r="L377" s="17" t="str">
        <f>IF($C377="","",IF(COUNTIFS('RAW_농산물_10월'!$D:$D,$C377,'RAW_농산물_10월'!$A:$A,$E377)&gt;0,"O",""))</f>
        <v/>
      </c>
      <c r="M377" s="17" t="str">
        <f>IF($C377="","",IF(COUNTIFS('RAW_농산물_11-12월'!$D:$D,$C377,'RAW_농산물_11-12월'!$A:$A,$E377)&gt;0,"O",""))</f>
        <v/>
      </c>
      <c r="N377" s="7" t="str">
        <f>IF($C377="","",IF(COUNTA('RAW_농산물_7월'!$A:$A)&lt;=1,"",SUMIFS('RAW_농산물_7월'!$H:$H,'RAW_농산물_7월'!$D:$D,$C377,'RAW_농산물_7월'!$A:$A,$E377)))</f>
        <v/>
      </c>
      <c r="O377" s="7" t="str">
        <f>IF($C377="","",IF(COUNTA('RAW_농산물_8월'!$A:$A)&lt;=1,"",SUMIFS('RAW_농산물_8월'!$H:$H,'RAW_농산물_8월'!$D:$D,$C377,'RAW_농산물_8월'!$A:$A,$E377)-SUMIFS('RAW_농산물_7월'!$H:$H,'RAW_농산물_7월'!$D:$D,$C377,'RAW_농산물_7월'!$A:$A,$E377)))</f>
        <v/>
      </c>
      <c r="P377" s="7" t="str">
        <f>IF($C377="","",IF(COUNTA('RAW_농산물_9월'!$A:$A)&lt;=1,"",SUMIFS('RAW_농산물_9월'!$H:$H,'RAW_농산물_9월'!$D:$D,$C377,'RAW_농산물_9월'!$A:$A,$E377)-SUMIFS('RAW_농산물_8월'!$H:$H,'RAW_농산물_8월'!$D:$D,$C377,'RAW_농산물_8월'!$A:$A,$E377)))</f>
        <v/>
      </c>
      <c r="Q377" s="7" t="str">
        <f>IF($C377="","",IF(COUNTA('RAW_농산물_10월'!$A:$A)&lt;=1,"",SUMIFS('RAW_농산물_10월'!$H:$H,'RAW_농산물_10월'!$D:$D,$C377,'RAW_농산물_10월'!$A:$A,$E377)-SUMIFS('RAW_농산물_9월'!$H:$H,'RAW_농산물_9월'!$D:$D,$C377,'RAW_농산물_9월'!$A:$A,$E377)))</f>
        <v/>
      </c>
      <c r="R377" s="7" t="str">
        <f>IF($C377="","",IF(COUNTA('RAW_농산물_11-12월'!$A:$A)&lt;=1,"",SUMIFS('RAW_농산물_11-12월'!$H:$H,'RAW_농산물_11-12월'!$D:$D,$C377,'RAW_농산물_11-12월'!$A:$A,$E377)-SUMIFS('RAW_농산물_10월'!$H:$H,'RAW_농산물_10월'!$D:$D,$C377,'RAW_농산물_10월'!$A:$A,$E377)))</f>
        <v/>
      </c>
      <c r="S377" s="17" t="str">
        <f t="shared" si="4"/>
        <v/>
      </c>
      <c r="T377" s="17" t="str">
        <f t="shared" si="5"/>
        <v/>
      </c>
      <c r="U377" s="7">
        <f>IF($C377="",0,IF('설정'!$B$3=0,0,CHOOSE('설정'!$B$3,COUNTIFS('RAW_농산물_7월'!$D:$D,$C377,'RAW_농산물_7월'!$A:$A,$E377),COUNTIFS('RAW_농산물_8월'!$D:$D,$C377,'RAW_농산물_8월'!$A:$A,$E377),COUNTIFS('RAW_농산물_9월'!$D:$D,$C377,'RAW_농산물_9월'!$A:$A,$E377),COUNTIFS('RAW_농산물_10월'!$D:$D,$C377,'RAW_농산물_10월'!$A:$A,$E377),COUNTIFS('RAW_농산물_11-12월'!$D:$D,$C377,'RAW_농산물_11-12월'!$A:$A,$E377))))</f>
        <v>0</v>
      </c>
    </row>
    <row r="378" ht="15.75" customHeight="1">
      <c r="A378" s="5"/>
      <c r="B378" s="5"/>
      <c r="C378" s="5"/>
      <c r="D378" s="6"/>
      <c r="E378" s="5"/>
      <c r="F378" s="7" t="str">
        <f>IF($C378="","",IF('설정'!$B$3=0,"",CHOOSE('설정'!$B$3,SUMIFS('RAW_농산물_7월'!$F:$F,'RAW_농산물_7월'!$D:$D,$C378,'RAW_농산물_7월'!$A:$A,$E378),SUMIFS('RAW_농산물_8월'!$F:$F,'RAW_농산물_8월'!$D:$D,$C378,'RAW_농산물_8월'!$A:$A,$E378),SUMIFS('RAW_농산물_9월'!$F:$F,'RAW_농산물_9월'!$D:$D,$C378,'RAW_농산물_9월'!$A:$A,$E378),SUMIFS('RAW_농산물_10월'!$F:$F,'RAW_농산물_10월'!$D:$D,$C378,'RAW_농산물_10월'!$A:$A,$E378),SUMIFS('RAW_농산물_11-12월'!$F:$F,'RAW_농산물_11-12월'!$D:$D,$C378,'RAW_농산물_11-12월'!$A:$A,$E378))))</f>
        <v/>
      </c>
      <c r="G378" s="7" t="str">
        <f>IF($C378="","",IF('설정'!$B$3=0,"",CHOOSE('설정'!$B$3,SUMIFS('RAW_농산물_7월'!$G:$G,'RAW_농산물_7월'!$D:$D,$C378,'RAW_농산물_7월'!$A:$A,$E378),SUMIFS('RAW_농산물_8월'!$G:$G,'RAW_농산물_8월'!$D:$D,$C378,'RAW_농산물_8월'!$A:$A,$E378),SUMIFS('RAW_농산물_9월'!$G:$G,'RAW_농산물_9월'!$D:$D,$C378,'RAW_농산물_9월'!$A:$A,$E378),SUMIFS('RAW_농산물_10월'!$G:$G,'RAW_농산물_10월'!$D:$D,$C378,'RAW_농산물_10월'!$A:$A,$E378),SUMIFS('RAW_농산물_11-12월'!$G:$G,'RAW_농산물_11-12월'!$D:$D,$C378,'RAW_농산물_11-12월'!$A:$A,$E378))))</f>
        <v/>
      </c>
      <c r="H378" s="14" t="str">
        <f>IF($C378="","",IF('설정'!$B$3=0,"",CHOOSE('설정'!$B$3,SUMIFS('RAW_농산물_7월'!$H:$H,'RAW_농산물_7월'!$D:$D,$C378,'RAW_농산물_7월'!$A:$A,$E378),SUMIFS('RAW_농산물_8월'!$H:$H,'RAW_농산물_8월'!$D:$D,$C378,'RAW_농산물_8월'!$A:$A,$E378),SUMIFS('RAW_농산물_9월'!$H:$H,'RAW_농산물_9월'!$D:$D,$C378,'RAW_농산물_9월'!$A:$A,$E378),SUMIFS('RAW_농산물_10월'!$H:$H,'RAW_농산물_10월'!$D:$D,$C378,'RAW_농산물_10월'!$A:$A,$E378),SUMIFS('RAW_농산물_11-12월'!$H:$H,'RAW_농산물_11-12월'!$D:$D,$C378,'RAW_농산물_11-12월'!$A:$A,$E378))))</f>
        <v/>
      </c>
      <c r="I378" s="17" t="str">
        <f>IF($C378="","",IF(COUNTIFS('RAW_농산물_7월'!$D:$D,$C378,'RAW_농산물_7월'!$A:$A,$E378)&gt;0,"O",""))</f>
        <v/>
      </c>
      <c r="J378" s="17" t="str">
        <f>IF($C378="","",IF(COUNTIFS('RAW_농산물_8월'!$D:$D,$C378,'RAW_농산물_8월'!$A:$A,$E378)&gt;0,"O",""))</f>
        <v/>
      </c>
      <c r="K378" s="17" t="str">
        <f>IF($C378="","",IF(COUNTIFS('RAW_농산물_9월'!$D:$D,$C378,'RAW_농산물_9월'!$A:$A,$E378)&gt;0,"O",""))</f>
        <v/>
      </c>
      <c r="L378" s="17" t="str">
        <f>IF($C378="","",IF(COUNTIFS('RAW_농산물_10월'!$D:$D,$C378,'RAW_농산물_10월'!$A:$A,$E378)&gt;0,"O",""))</f>
        <v/>
      </c>
      <c r="M378" s="17" t="str">
        <f>IF($C378="","",IF(COUNTIFS('RAW_농산물_11-12월'!$D:$D,$C378,'RAW_농산물_11-12월'!$A:$A,$E378)&gt;0,"O",""))</f>
        <v/>
      </c>
      <c r="N378" s="7" t="str">
        <f>IF($C378="","",IF(COUNTA('RAW_농산물_7월'!$A:$A)&lt;=1,"",SUMIFS('RAW_농산물_7월'!$H:$H,'RAW_농산물_7월'!$D:$D,$C378,'RAW_농산물_7월'!$A:$A,$E378)))</f>
        <v/>
      </c>
      <c r="O378" s="7" t="str">
        <f>IF($C378="","",IF(COUNTA('RAW_농산물_8월'!$A:$A)&lt;=1,"",SUMIFS('RAW_농산물_8월'!$H:$H,'RAW_농산물_8월'!$D:$D,$C378,'RAW_농산물_8월'!$A:$A,$E378)-SUMIFS('RAW_농산물_7월'!$H:$H,'RAW_농산물_7월'!$D:$D,$C378,'RAW_농산물_7월'!$A:$A,$E378)))</f>
        <v/>
      </c>
      <c r="P378" s="7" t="str">
        <f>IF($C378="","",IF(COUNTA('RAW_농산물_9월'!$A:$A)&lt;=1,"",SUMIFS('RAW_농산물_9월'!$H:$H,'RAW_농산물_9월'!$D:$D,$C378,'RAW_농산물_9월'!$A:$A,$E378)-SUMIFS('RAW_농산물_8월'!$H:$H,'RAW_농산물_8월'!$D:$D,$C378,'RAW_농산물_8월'!$A:$A,$E378)))</f>
        <v/>
      </c>
      <c r="Q378" s="7" t="str">
        <f>IF($C378="","",IF(COUNTA('RAW_농산물_10월'!$A:$A)&lt;=1,"",SUMIFS('RAW_농산물_10월'!$H:$H,'RAW_농산물_10월'!$D:$D,$C378,'RAW_농산물_10월'!$A:$A,$E378)-SUMIFS('RAW_농산물_9월'!$H:$H,'RAW_농산물_9월'!$D:$D,$C378,'RAW_농산물_9월'!$A:$A,$E378)))</f>
        <v/>
      </c>
      <c r="R378" s="7" t="str">
        <f>IF($C378="","",IF(COUNTA('RAW_농산물_11-12월'!$A:$A)&lt;=1,"",SUMIFS('RAW_농산물_11-12월'!$H:$H,'RAW_농산물_11-12월'!$D:$D,$C378,'RAW_농산물_11-12월'!$A:$A,$E378)-SUMIFS('RAW_농산물_10월'!$H:$H,'RAW_농산물_10월'!$D:$D,$C378,'RAW_농산물_10월'!$A:$A,$E378)))</f>
        <v/>
      </c>
      <c r="S378" s="17" t="str">
        <f t="shared" si="4"/>
        <v/>
      </c>
      <c r="T378" s="17" t="str">
        <f t="shared" si="5"/>
        <v/>
      </c>
      <c r="U378" s="7">
        <f>IF($C378="",0,IF('설정'!$B$3=0,0,CHOOSE('설정'!$B$3,COUNTIFS('RAW_농산물_7월'!$D:$D,$C378,'RAW_농산물_7월'!$A:$A,$E378),COUNTIFS('RAW_농산물_8월'!$D:$D,$C378,'RAW_농산물_8월'!$A:$A,$E378),COUNTIFS('RAW_농산물_9월'!$D:$D,$C378,'RAW_농산물_9월'!$A:$A,$E378),COUNTIFS('RAW_농산물_10월'!$D:$D,$C378,'RAW_농산물_10월'!$A:$A,$E378),COUNTIFS('RAW_농산물_11-12월'!$D:$D,$C378,'RAW_농산물_11-12월'!$A:$A,$E378))))</f>
        <v>0</v>
      </c>
    </row>
    <row r="379" ht="15.75" customHeight="1">
      <c r="A379" s="5"/>
      <c r="B379" s="5"/>
      <c r="C379" s="5"/>
      <c r="D379" s="6"/>
      <c r="E379" s="5"/>
      <c r="F379" s="7" t="str">
        <f>IF($C379="","",IF('설정'!$B$3=0,"",CHOOSE('설정'!$B$3,SUMIFS('RAW_농산물_7월'!$F:$F,'RAW_농산물_7월'!$D:$D,$C379,'RAW_농산물_7월'!$A:$A,$E379),SUMIFS('RAW_농산물_8월'!$F:$F,'RAW_농산물_8월'!$D:$D,$C379,'RAW_농산물_8월'!$A:$A,$E379),SUMIFS('RAW_농산물_9월'!$F:$F,'RAW_농산물_9월'!$D:$D,$C379,'RAW_농산물_9월'!$A:$A,$E379),SUMIFS('RAW_농산물_10월'!$F:$F,'RAW_농산물_10월'!$D:$D,$C379,'RAW_농산물_10월'!$A:$A,$E379),SUMIFS('RAW_농산물_11-12월'!$F:$F,'RAW_농산물_11-12월'!$D:$D,$C379,'RAW_농산물_11-12월'!$A:$A,$E379))))</f>
        <v/>
      </c>
      <c r="G379" s="7" t="str">
        <f>IF($C379="","",IF('설정'!$B$3=0,"",CHOOSE('설정'!$B$3,SUMIFS('RAW_농산물_7월'!$G:$G,'RAW_농산물_7월'!$D:$D,$C379,'RAW_농산물_7월'!$A:$A,$E379),SUMIFS('RAW_농산물_8월'!$G:$G,'RAW_농산물_8월'!$D:$D,$C379,'RAW_농산물_8월'!$A:$A,$E379),SUMIFS('RAW_농산물_9월'!$G:$G,'RAW_농산물_9월'!$D:$D,$C379,'RAW_농산물_9월'!$A:$A,$E379),SUMIFS('RAW_농산물_10월'!$G:$G,'RAW_농산물_10월'!$D:$D,$C379,'RAW_농산물_10월'!$A:$A,$E379),SUMIFS('RAW_농산물_11-12월'!$G:$G,'RAW_농산물_11-12월'!$D:$D,$C379,'RAW_농산물_11-12월'!$A:$A,$E379))))</f>
        <v/>
      </c>
      <c r="H379" s="14" t="str">
        <f>IF($C379="","",IF('설정'!$B$3=0,"",CHOOSE('설정'!$B$3,SUMIFS('RAW_농산물_7월'!$H:$H,'RAW_농산물_7월'!$D:$D,$C379,'RAW_농산물_7월'!$A:$A,$E379),SUMIFS('RAW_농산물_8월'!$H:$H,'RAW_농산물_8월'!$D:$D,$C379,'RAW_농산물_8월'!$A:$A,$E379),SUMIFS('RAW_농산물_9월'!$H:$H,'RAW_농산물_9월'!$D:$D,$C379,'RAW_농산물_9월'!$A:$A,$E379),SUMIFS('RAW_농산물_10월'!$H:$H,'RAW_농산물_10월'!$D:$D,$C379,'RAW_농산물_10월'!$A:$A,$E379),SUMIFS('RAW_농산물_11-12월'!$H:$H,'RAW_농산물_11-12월'!$D:$D,$C379,'RAW_농산물_11-12월'!$A:$A,$E379))))</f>
        <v/>
      </c>
      <c r="I379" s="17" t="str">
        <f>IF($C379="","",IF(COUNTIFS('RAW_농산물_7월'!$D:$D,$C379,'RAW_농산물_7월'!$A:$A,$E379)&gt;0,"O",""))</f>
        <v/>
      </c>
      <c r="J379" s="17" t="str">
        <f>IF($C379="","",IF(COUNTIFS('RAW_농산물_8월'!$D:$D,$C379,'RAW_농산물_8월'!$A:$A,$E379)&gt;0,"O",""))</f>
        <v/>
      </c>
      <c r="K379" s="17" t="str">
        <f>IF($C379="","",IF(COUNTIFS('RAW_농산물_9월'!$D:$D,$C379,'RAW_농산물_9월'!$A:$A,$E379)&gt;0,"O",""))</f>
        <v/>
      </c>
      <c r="L379" s="17" t="str">
        <f>IF($C379="","",IF(COUNTIFS('RAW_농산물_10월'!$D:$D,$C379,'RAW_농산물_10월'!$A:$A,$E379)&gt;0,"O",""))</f>
        <v/>
      </c>
      <c r="M379" s="17" t="str">
        <f>IF($C379="","",IF(COUNTIFS('RAW_농산물_11-12월'!$D:$D,$C379,'RAW_농산물_11-12월'!$A:$A,$E379)&gt;0,"O",""))</f>
        <v/>
      </c>
      <c r="N379" s="7" t="str">
        <f>IF($C379="","",IF(COUNTA('RAW_농산물_7월'!$A:$A)&lt;=1,"",SUMIFS('RAW_농산물_7월'!$H:$H,'RAW_농산물_7월'!$D:$D,$C379,'RAW_농산물_7월'!$A:$A,$E379)))</f>
        <v/>
      </c>
      <c r="O379" s="7" t="str">
        <f>IF($C379="","",IF(COUNTA('RAW_농산물_8월'!$A:$A)&lt;=1,"",SUMIFS('RAW_농산물_8월'!$H:$H,'RAW_농산물_8월'!$D:$D,$C379,'RAW_농산물_8월'!$A:$A,$E379)-SUMIFS('RAW_농산물_7월'!$H:$H,'RAW_농산물_7월'!$D:$D,$C379,'RAW_농산물_7월'!$A:$A,$E379)))</f>
        <v/>
      </c>
      <c r="P379" s="7" t="str">
        <f>IF($C379="","",IF(COUNTA('RAW_농산물_9월'!$A:$A)&lt;=1,"",SUMIFS('RAW_농산물_9월'!$H:$H,'RAW_농산물_9월'!$D:$D,$C379,'RAW_농산물_9월'!$A:$A,$E379)-SUMIFS('RAW_농산물_8월'!$H:$H,'RAW_농산물_8월'!$D:$D,$C379,'RAW_농산물_8월'!$A:$A,$E379)))</f>
        <v/>
      </c>
      <c r="Q379" s="7" t="str">
        <f>IF($C379="","",IF(COUNTA('RAW_농산물_10월'!$A:$A)&lt;=1,"",SUMIFS('RAW_농산물_10월'!$H:$H,'RAW_농산물_10월'!$D:$D,$C379,'RAW_농산물_10월'!$A:$A,$E379)-SUMIFS('RAW_농산물_9월'!$H:$H,'RAW_농산물_9월'!$D:$D,$C379,'RAW_농산물_9월'!$A:$A,$E379)))</f>
        <v/>
      </c>
      <c r="R379" s="7" t="str">
        <f>IF($C379="","",IF(COUNTA('RAW_농산물_11-12월'!$A:$A)&lt;=1,"",SUMIFS('RAW_농산물_11-12월'!$H:$H,'RAW_농산물_11-12월'!$D:$D,$C379,'RAW_농산물_11-12월'!$A:$A,$E379)-SUMIFS('RAW_농산물_10월'!$H:$H,'RAW_농산물_10월'!$D:$D,$C379,'RAW_농산물_10월'!$A:$A,$E379)))</f>
        <v/>
      </c>
      <c r="S379" s="17" t="str">
        <f t="shared" si="4"/>
        <v/>
      </c>
      <c r="T379" s="17" t="str">
        <f t="shared" si="5"/>
        <v/>
      </c>
      <c r="U379" s="7">
        <f>IF($C379="",0,IF('설정'!$B$3=0,0,CHOOSE('설정'!$B$3,COUNTIFS('RAW_농산물_7월'!$D:$D,$C379,'RAW_농산물_7월'!$A:$A,$E379),COUNTIFS('RAW_농산물_8월'!$D:$D,$C379,'RAW_농산물_8월'!$A:$A,$E379),COUNTIFS('RAW_농산물_9월'!$D:$D,$C379,'RAW_농산물_9월'!$A:$A,$E379),COUNTIFS('RAW_농산물_10월'!$D:$D,$C379,'RAW_농산물_10월'!$A:$A,$E379),COUNTIFS('RAW_농산물_11-12월'!$D:$D,$C379,'RAW_농산물_11-12월'!$A:$A,$E379))))</f>
        <v>0</v>
      </c>
    </row>
    <row r="380" ht="15.75" customHeight="1">
      <c r="A380" s="5"/>
      <c r="B380" s="5"/>
      <c r="C380" s="5"/>
      <c r="D380" s="6"/>
      <c r="E380" s="5"/>
      <c r="F380" s="7" t="str">
        <f>IF($C380="","",IF('설정'!$B$3=0,"",CHOOSE('설정'!$B$3,SUMIFS('RAW_농산물_7월'!$F:$F,'RAW_농산물_7월'!$D:$D,$C380,'RAW_농산물_7월'!$A:$A,$E380),SUMIFS('RAW_농산물_8월'!$F:$F,'RAW_농산물_8월'!$D:$D,$C380,'RAW_농산물_8월'!$A:$A,$E380),SUMIFS('RAW_농산물_9월'!$F:$F,'RAW_농산물_9월'!$D:$D,$C380,'RAW_농산물_9월'!$A:$A,$E380),SUMIFS('RAW_농산물_10월'!$F:$F,'RAW_농산물_10월'!$D:$D,$C380,'RAW_농산물_10월'!$A:$A,$E380),SUMIFS('RAW_농산물_11-12월'!$F:$F,'RAW_농산물_11-12월'!$D:$D,$C380,'RAW_농산물_11-12월'!$A:$A,$E380))))</f>
        <v/>
      </c>
      <c r="G380" s="7" t="str">
        <f>IF($C380="","",IF('설정'!$B$3=0,"",CHOOSE('설정'!$B$3,SUMIFS('RAW_농산물_7월'!$G:$G,'RAW_농산물_7월'!$D:$D,$C380,'RAW_농산물_7월'!$A:$A,$E380),SUMIFS('RAW_농산물_8월'!$G:$G,'RAW_농산물_8월'!$D:$D,$C380,'RAW_농산물_8월'!$A:$A,$E380),SUMIFS('RAW_농산물_9월'!$G:$G,'RAW_농산물_9월'!$D:$D,$C380,'RAW_농산물_9월'!$A:$A,$E380),SUMIFS('RAW_농산물_10월'!$G:$G,'RAW_농산물_10월'!$D:$D,$C380,'RAW_농산물_10월'!$A:$A,$E380),SUMIFS('RAW_농산물_11-12월'!$G:$G,'RAW_농산물_11-12월'!$D:$D,$C380,'RAW_농산물_11-12월'!$A:$A,$E380))))</f>
        <v/>
      </c>
      <c r="H380" s="14" t="str">
        <f>IF($C380="","",IF('설정'!$B$3=0,"",CHOOSE('설정'!$B$3,SUMIFS('RAW_농산물_7월'!$H:$H,'RAW_농산물_7월'!$D:$D,$C380,'RAW_농산물_7월'!$A:$A,$E380),SUMIFS('RAW_농산물_8월'!$H:$H,'RAW_농산물_8월'!$D:$D,$C380,'RAW_농산물_8월'!$A:$A,$E380),SUMIFS('RAW_농산물_9월'!$H:$H,'RAW_농산물_9월'!$D:$D,$C380,'RAW_농산물_9월'!$A:$A,$E380),SUMIFS('RAW_농산물_10월'!$H:$H,'RAW_농산물_10월'!$D:$D,$C380,'RAW_농산물_10월'!$A:$A,$E380),SUMIFS('RAW_농산물_11-12월'!$H:$H,'RAW_농산물_11-12월'!$D:$D,$C380,'RAW_농산물_11-12월'!$A:$A,$E380))))</f>
        <v/>
      </c>
      <c r="I380" s="17" t="str">
        <f>IF($C380="","",IF(COUNTIFS('RAW_농산물_7월'!$D:$D,$C380,'RAW_농산물_7월'!$A:$A,$E380)&gt;0,"O",""))</f>
        <v/>
      </c>
      <c r="J380" s="17" t="str">
        <f>IF($C380="","",IF(COUNTIFS('RAW_농산물_8월'!$D:$D,$C380,'RAW_농산물_8월'!$A:$A,$E380)&gt;0,"O",""))</f>
        <v/>
      </c>
      <c r="K380" s="17" t="str">
        <f>IF($C380="","",IF(COUNTIFS('RAW_농산물_9월'!$D:$D,$C380,'RAW_농산물_9월'!$A:$A,$E380)&gt;0,"O",""))</f>
        <v/>
      </c>
      <c r="L380" s="17" t="str">
        <f>IF($C380="","",IF(COUNTIFS('RAW_농산물_10월'!$D:$D,$C380,'RAW_농산물_10월'!$A:$A,$E380)&gt;0,"O",""))</f>
        <v/>
      </c>
      <c r="M380" s="17" t="str">
        <f>IF($C380="","",IF(COUNTIFS('RAW_농산물_11-12월'!$D:$D,$C380,'RAW_농산물_11-12월'!$A:$A,$E380)&gt;0,"O",""))</f>
        <v/>
      </c>
      <c r="N380" s="7" t="str">
        <f>IF($C380="","",IF(COUNTA('RAW_농산물_7월'!$A:$A)&lt;=1,"",SUMIFS('RAW_농산물_7월'!$H:$H,'RAW_농산물_7월'!$D:$D,$C380,'RAW_농산물_7월'!$A:$A,$E380)))</f>
        <v/>
      </c>
      <c r="O380" s="7" t="str">
        <f>IF($C380="","",IF(COUNTA('RAW_농산물_8월'!$A:$A)&lt;=1,"",SUMIFS('RAW_농산물_8월'!$H:$H,'RAW_농산물_8월'!$D:$D,$C380,'RAW_농산물_8월'!$A:$A,$E380)-SUMIFS('RAW_농산물_7월'!$H:$H,'RAW_농산물_7월'!$D:$D,$C380,'RAW_농산물_7월'!$A:$A,$E380)))</f>
        <v/>
      </c>
      <c r="P380" s="7" t="str">
        <f>IF($C380="","",IF(COUNTA('RAW_농산물_9월'!$A:$A)&lt;=1,"",SUMIFS('RAW_농산물_9월'!$H:$H,'RAW_농산물_9월'!$D:$D,$C380,'RAW_농산물_9월'!$A:$A,$E380)-SUMIFS('RAW_농산물_8월'!$H:$H,'RAW_농산물_8월'!$D:$D,$C380,'RAW_농산물_8월'!$A:$A,$E380)))</f>
        <v/>
      </c>
      <c r="Q380" s="7" t="str">
        <f>IF($C380="","",IF(COUNTA('RAW_농산물_10월'!$A:$A)&lt;=1,"",SUMIFS('RAW_농산물_10월'!$H:$H,'RAW_농산물_10월'!$D:$D,$C380,'RAW_농산물_10월'!$A:$A,$E380)-SUMIFS('RAW_농산물_9월'!$H:$H,'RAW_농산물_9월'!$D:$D,$C380,'RAW_농산물_9월'!$A:$A,$E380)))</f>
        <v/>
      </c>
      <c r="R380" s="7" t="str">
        <f>IF($C380="","",IF(COUNTA('RAW_농산물_11-12월'!$A:$A)&lt;=1,"",SUMIFS('RAW_농산물_11-12월'!$H:$H,'RAW_농산물_11-12월'!$D:$D,$C380,'RAW_농산물_11-12월'!$A:$A,$E380)-SUMIFS('RAW_농산물_10월'!$H:$H,'RAW_농산물_10월'!$D:$D,$C380,'RAW_농산물_10월'!$A:$A,$E380)))</f>
        <v/>
      </c>
      <c r="S380" s="17" t="str">
        <f t="shared" si="4"/>
        <v/>
      </c>
      <c r="T380" s="17" t="str">
        <f t="shared" si="5"/>
        <v/>
      </c>
      <c r="U380" s="7">
        <f>IF($C380="",0,IF('설정'!$B$3=0,0,CHOOSE('설정'!$B$3,COUNTIFS('RAW_농산물_7월'!$D:$D,$C380,'RAW_농산물_7월'!$A:$A,$E380),COUNTIFS('RAW_농산물_8월'!$D:$D,$C380,'RAW_농산물_8월'!$A:$A,$E380),COUNTIFS('RAW_농산물_9월'!$D:$D,$C380,'RAW_농산물_9월'!$A:$A,$E380),COUNTIFS('RAW_농산물_10월'!$D:$D,$C380,'RAW_농산물_10월'!$A:$A,$E380),COUNTIFS('RAW_농산물_11-12월'!$D:$D,$C380,'RAW_농산물_11-12월'!$A:$A,$E380))))</f>
        <v>0</v>
      </c>
    </row>
    <row r="381" ht="15.75" customHeight="1">
      <c r="A381" s="5"/>
      <c r="B381" s="5"/>
      <c r="C381" s="5"/>
      <c r="D381" s="6"/>
      <c r="E381" s="5"/>
      <c r="F381" s="7" t="str">
        <f>IF($C381="","",IF('설정'!$B$3=0,"",CHOOSE('설정'!$B$3,SUMIFS('RAW_농산물_7월'!$F:$F,'RAW_농산물_7월'!$D:$D,$C381,'RAW_농산물_7월'!$A:$A,$E381),SUMIFS('RAW_농산물_8월'!$F:$F,'RAW_농산물_8월'!$D:$D,$C381,'RAW_농산물_8월'!$A:$A,$E381),SUMIFS('RAW_농산물_9월'!$F:$F,'RAW_농산물_9월'!$D:$D,$C381,'RAW_농산물_9월'!$A:$A,$E381),SUMIFS('RAW_농산물_10월'!$F:$F,'RAW_농산물_10월'!$D:$D,$C381,'RAW_농산물_10월'!$A:$A,$E381),SUMIFS('RAW_농산물_11-12월'!$F:$F,'RAW_농산물_11-12월'!$D:$D,$C381,'RAW_농산물_11-12월'!$A:$A,$E381))))</f>
        <v/>
      </c>
      <c r="G381" s="7" t="str">
        <f>IF($C381="","",IF('설정'!$B$3=0,"",CHOOSE('설정'!$B$3,SUMIFS('RAW_농산물_7월'!$G:$G,'RAW_농산물_7월'!$D:$D,$C381,'RAW_농산물_7월'!$A:$A,$E381),SUMIFS('RAW_농산물_8월'!$G:$G,'RAW_농산물_8월'!$D:$D,$C381,'RAW_농산물_8월'!$A:$A,$E381),SUMIFS('RAW_농산물_9월'!$G:$G,'RAW_농산물_9월'!$D:$D,$C381,'RAW_농산물_9월'!$A:$A,$E381),SUMIFS('RAW_농산물_10월'!$G:$G,'RAW_농산물_10월'!$D:$D,$C381,'RAW_농산물_10월'!$A:$A,$E381),SUMIFS('RAW_농산물_11-12월'!$G:$G,'RAW_농산물_11-12월'!$D:$D,$C381,'RAW_농산물_11-12월'!$A:$A,$E381))))</f>
        <v/>
      </c>
      <c r="H381" s="14" t="str">
        <f>IF($C381="","",IF('설정'!$B$3=0,"",CHOOSE('설정'!$B$3,SUMIFS('RAW_농산물_7월'!$H:$H,'RAW_농산물_7월'!$D:$D,$C381,'RAW_농산물_7월'!$A:$A,$E381),SUMIFS('RAW_농산물_8월'!$H:$H,'RAW_농산물_8월'!$D:$D,$C381,'RAW_농산물_8월'!$A:$A,$E381),SUMIFS('RAW_농산물_9월'!$H:$H,'RAW_농산물_9월'!$D:$D,$C381,'RAW_농산물_9월'!$A:$A,$E381),SUMIFS('RAW_농산물_10월'!$H:$H,'RAW_농산물_10월'!$D:$D,$C381,'RAW_농산물_10월'!$A:$A,$E381),SUMIFS('RAW_농산물_11-12월'!$H:$H,'RAW_농산물_11-12월'!$D:$D,$C381,'RAW_농산물_11-12월'!$A:$A,$E381))))</f>
        <v/>
      </c>
      <c r="I381" s="17" t="str">
        <f>IF($C381="","",IF(COUNTIFS('RAW_농산물_7월'!$D:$D,$C381,'RAW_농산물_7월'!$A:$A,$E381)&gt;0,"O",""))</f>
        <v/>
      </c>
      <c r="J381" s="17" t="str">
        <f>IF($C381="","",IF(COUNTIFS('RAW_농산물_8월'!$D:$D,$C381,'RAW_농산물_8월'!$A:$A,$E381)&gt;0,"O",""))</f>
        <v/>
      </c>
      <c r="K381" s="17" t="str">
        <f>IF($C381="","",IF(COUNTIFS('RAW_농산물_9월'!$D:$D,$C381,'RAW_농산물_9월'!$A:$A,$E381)&gt;0,"O",""))</f>
        <v/>
      </c>
      <c r="L381" s="17" t="str">
        <f>IF($C381="","",IF(COUNTIFS('RAW_농산물_10월'!$D:$D,$C381,'RAW_농산물_10월'!$A:$A,$E381)&gt;0,"O",""))</f>
        <v/>
      </c>
      <c r="M381" s="17" t="str">
        <f>IF($C381="","",IF(COUNTIFS('RAW_농산물_11-12월'!$D:$D,$C381,'RAW_농산물_11-12월'!$A:$A,$E381)&gt;0,"O",""))</f>
        <v/>
      </c>
      <c r="N381" s="7" t="str">
        <f>IF($C381="","",IF(COUNTA('RAW_농산물_7월'!$A:$A)&lt;=1,"",SUMIFS('RAW_농산물_7월'!$H:$H,'RAW_농산물_7월'!$D:$D,$C381,'RAW_농산물_7월'!$A:$A,$E381)))</f>
        <v/>
      </c>
      <c r="O381" s="7" t="str">
        <f>IF($C381="","",IF(COUNTA('RAW_농산물_8월'!$A:$A)&lt;=1,"",SUMIFS('RAW_농산물_8월'!$H:$H,'RAW_농산물_8월'!$D:$D,$C381,'RAW_농산물_8월'!$A:$A,$E381)-SUMIFS('RAW_농산물_7월'!$H:$H,'RAW_농산물_7월'!$D:$D,$C381,'RAW_농산물_7월'!$A:$A,$E381)))</f>
        <v/>
      </c>
      <c r="P381" s="7" t="str">
        <f>IF($C381="","",IF(COUNTA('RAW_농산물_9월'!$A:$A)&lt;=1,"",SUMIFS('RAW_농산물_9월'!$H:$H,'RAW_농산물_9월'!$D:$D,$C381,'RAW_농산물_9월'!$A:$A,$E381)-SUMIFS('RAW_농산물_8월'!$H:$H,'RAW_농산물_8월'!$D:$D,$C381,'RAW_농산물_8월'!$A:$A,$E381)))</f>
        <v/>
      </c>
      <c r="Q381" s="7" t="str">
        <f>IF($C381="","",IF(COUNTA('RAW_농산물_10월'!$A:$A)&lt;=1,"",SUMIFS('RAW_농산물_10월'!$H:$H,'RAW_농산물_10월'!$D:$D,$C381,'RAW_농산물_10월'!$A:$A,$E381)-SUMIFS('RAW_농산물_9월'!$H:$H,'RAW_농산물_9월'!$D:$D,$C381,'RAW_농산물_9월'!$A:$A,$E381)))</f>
        <v/>
      </c>
      <c r="R381" s="7" t="str">
        <f>IF($C381="","",IF(COUNTA('RAW_농산물_11-12월'!$A:$A)&lt;=1,"",SUMIFS('RAW_농산물_11-12월'!$H:$H,'RAW_농산물_11-12월'!$D:$D,$C381,'RAW_농산물_11-12월'!$A:$A,$E381)-SUMIFS('RAW_농산물_10월'!$H:$H,'RAW_농산물_10월'!$D:$D,$C381,'RAW_농산물_10월'!$A:$A,$E381)))</f>
        <v/>
      </c>
      <c r="S381" s="17" t="str">
        <f t="shared" si="4"/>
        <v/>
      </c>
      <c r="T381" s="17" t="str">
        <f t="shared" si="5"/>
        <v/>
      </c>
      <c r="U381" s="7">
        <f>IF($C381="",0,IF('설정'!$B$3=0,0,CHOOSE('설정'!$B$3,COUNTIFS('RAW_농산물_7월'!$D:$D,$C381,'RAW_농산물_7월'!$A:$A,$E381),COUNTIFS('RAW_농산물_8월'!$D:$D,$C381,'RAW_농산물_8월'!$A:$A,$E381),COUNTIFS('RAW_농산물_9월'!$D:$D,$C381,'RAW_농산물_9월'!$A:$A,$E381),COUNTIFS('RAW_농산물_10월'!$D:$D,$C381,'RAW_농산물_10월'!$A:$A,$E381),COUNTIFS('RAW_농산물_11-12월'!$D:$D,$C381,'RAW_농산물_11-12월'!$A:$A,$E381))))</f>
        <v>0</v>
      </c>
    </row>
    <row r="382" ht="15.75" customHeight="1">
      <c r="A382" s="5"/>
      <c r="B382" s="5"/>
      <c r="C382" s="5"/>
      <c r="D382" s="6"/>
      <c r="E382" s="5"/>
      <c r="F382" s="7" t="str">
        <f>IF($C382="","",IF('설정'!$B$3=0,"",CHOOSE('설정'!$B$3,SUMIFS('RAW_농산물_7월'!$F:$F,'RAW_농산물_7월'!$D:$D,$C382,'RAW_농산물_7월'!$A:$A,$E382),SUMIFS('RAW_농산물_8월'!$F:$F,'RAW_농산물_8월'!$D:$D,$C382,'RAW_농산물_8월'!$A:$A,$E382),SUMIFS('RAW_농산물_9월'!$F:$F,'RAW_농산물_9월'!$D:$D,$C382,'RAW_농산물_9월'!$A:$A,$E382),SUMIFS('RAW_농산물_10월'!$F:$F,'RAW_농산물_10월'!$D:$D,$C382,'RAW_농산물_10월'!$A:$A,$E382),SUMIFS('RAW_농산물_11-12월'!$F:$F,'RAW_농산물_11-12월'!$D:$D,$C382,'RAW_농산물_11-12월'!$A:$A,$E382))))</f>
        <v/>
      </c>
      <c r="G382" s="7" t="str">
        <f>IF($C382="","",IF('설정'!$B$3=0,"",CHOOSE('설정'!$B$3,SUMIFS('RAW_농산물_7월'!$G:$G,'RAW_농산물_7월'!$D:$D,$C382,'RAW_농산물_7월'!$A:$A,$E382),SUMIFS('RAW_농산물_8월'!$G:$G,'RAW_농산물_8월'!$D:$D,$C382,'RAW_농산물_8월'!$A:$A,$E382),SUMIFS('RAW_농산물_9월'!$G:$G,'RAW_농산물_9월'!$D:$D,$C382,'RAW_농산물_9월'!$A:$A,$E382),SUMIFS('RAW_농산물_10월'!$G:$G,'RAW_농산물_10월'!$D:$D,$C382,'RAW_농산물_10월'!$A:$A,$E382),SUMIFS('RAW_농산물_11-12월'!$G:$G,'RAW_농산물_11-12월'!$D:$D,$C382,'RAW_농산물_11-12월'!$A:$A,$E382))))</f>
        <v/>
      </c>
      <c r="H382" s="14" t="str">
        <f>IF($C382="","",IF('설정'!$B$3=0,"",CHOOSE('설정'!$B$3,SUMIFS('RAW_농산물_7월'!$H:$H,'RAW_농산물_7월'!$D:$D,$C382,'RAW_농산물_7월'!$A:$A,$E382),SUMIFS('RAW_농산물_8월'!$H:$H,'RAW_농산물_8월'!$D:$D,$C382,'RAW_농산물_8월'!$A:$A,$E382),SUMIFS('RAW_농산물_9월'!$H:$H,'RAW_농산물_9월'!$D:$D,$C382,'RAW_농산물_9월'!$A:$A,$E382),SUMIFS('RAW_농산물_10월'!$H:$H,'RAW_농산물_10월'!$D:$D,$C382,'RAW_농산물_10월'!$A:$A,$E382),SUMIFS('RAW_농산물_11-12월'!$H:$H,'RAW_농산물_11-12월'!$D:$D,$C382,'RAW_농산물_11-12월'!$A:$A,$E382))))</f>
        <v/>
      </c>
      <c r="I382" s="17" t="str">
        <f>IF($C382="","",IF(COUNTIFS('RAW_농산물_7월'!$D:$D,$C382,'RAW_농산물_7월'!$A:$A,$E382)&gt;0,"O",""))</f>
        <v/>
      </c>
      <c r="J382" s="17" t="str">
        <f>IF($C382="","",IF(COUNTIFS('RAW_농산물_8월'!$D:$D,$C382,'RAW_농산물_8월'!$A:$A,$E382)&gt;0,"O",""))</f>
        <v/>
      </c>
      <c r="K382" s="17" t="str">
        <f>IF($C382="","",IF(COUNTIFS('RAW_농산물_9월'!$D:$D,$C382,'RAW_농산물_9월'!$A:$A,$E382)&gt;0,"O",""))</f>
        <v/>
      </c>
      <c r="L382" s="17" t="str">
        <f>IF($C382="","",IF(COUNTIFS('RAW_농산물_10월'!$D:$D,$C382,'RAW_농산물_10월'!$A:$A,$E382)&gt;0,"O",""))</f>
        <v/>
      </c>
      <c r="M382" s="17" t="str">
        <f>IF($C382="","",IF(COUNTIFS('RAW_농산물_11-12월'!$D:$D,$C382,'RAW_농산물_11-12월'!$A:$A,$E382)&gt;0,"O",""))</f>
        <v/>
      </c>
      <c r="N382" s="7" t="str">
        <f>IF($C382="","",IF(COUNTA('RAW_농산물_7월'!$A:$A)&lt;=1,"",SUMIFS('RAW_농산물_7월'!$H:$H,'RAW_농산물_7월'!$D:$D,$C382,'RAW_농산물_7월'!$A:$A,$E382)))</f>
        <v/>
      </c>
      <c r="O382" s="7" t="str">
        <f>IF($C382="","",IF(COUNTA('RAW_농산물_8월'!$A:$A)&lt;=1,"",SUMIFS('RAW_농산물_8월'!$H:$H,'RAW_농산물_8월'!$D:$D,$C382,'RAW_농산물_8월'!$A:$A,$E382)-SUMIFS('RAW_농산물_7월'!$H:$H,'RAW_농산물_7월'!$D:$D,$C382,'RAW_농산물_7월'!$A:$A,$E382)))</f>
        <v/>
      </c>
      <c r="P382" s="7" t="str">
        <f>IF($C382="","",IF(COUNTA('RAW_농산물_9월'!$A:$A)&lt;=1,"",SUMIFS('RAW_농산물_9월'!$H:$H,'RAW_농산물_9월'!$D:$D,$C382,'RAW_농산물_9월'!$A:$A,$E382)-SUMIFS('RAW_농산물_8월'!$H:$H,'RAW_농산물_8월'!$D:$D,$C382,'RAW_농산물_8월'!$A:$A,$E382)))</f>
        <v/>
      </c>
      <c r="Q382" s="7" t="str">
        <f>IF($C382="","",IF(COUNTA('RAW_농산물_10월'!$A:$A)&lt;=1,"",SUMIFS('RAW_농산물_10월'!$H:$H,'RAW_농산물_10월'!$D:$D,$C382,'RAW_농산물_10월'!$A:$A,$E382)-SUMIFS('RAW_농산물_9월'!$H:$H,'RAW_농산물_9월'!$D:$D,$C382,'RAW_농산물_9월'!$A:$A,$E382)))</f>
        <v/>
      </c>
      <c r="R382" s="7" t="str">
        <f>IF($C382="","",IF(COUNTA('RAW_농산물_11-12월'!$A:$A)&lt;=1,"",SUMIFS('RAW_농산물_11-12월'!$H:$H,'RAW_농산물_11-12월'!$D:$D,$C382,'RAW_농산물_11-12월'!$A:$A,$E382)-SUMIFS('RAW_농산물_10월'!$H:$H,'RAW_농산물_10월'!$D:$D,$C382,'RAW_농산물_10월'!$A:$A,$E382)))</f>
        <v/>
      </c>
      <c r="S382" s="17" t="str">
        <f t="shared" si="4"/>
        <v/>
      </c>
      <c r="T382" s="17" t="str">
        <f t="shared" si="5"/>
        <v/>
      </c>
      <c r="U382" s="7">
        <f>IF($C382="",0,IF('설정'!$B$3=0,0,CHOOSE('설정'!$B$3,COUNTIFS('RAW_농산물_7월'!$D:$D,$C382,'RAW_농산물_7월'!$A:$A,$E382),COUNTIFS('RAW_농산물_8월'!$D:$D,$C382,'RAW_농산물_8월'!$A:$A,$E382),COUNTIFS('RAW_농산물_9월'!$D:$D,$C382,'RAW_농산물_9월'!$A:$A,$E382),COUNTIFS('RAW_농산물_10월'!$D:$D,$C382,'RAW_농산물_10월'!$A:$A,$E382),COUNTIFS('RAW_농산물_11-12월'!$D:$D,$C382,'RAW_농산물_11-12월'!$A:$A,$E382))))</f>
        <v>0</v>
      </c>
    </row>
    <row r="383" ht="15.75" customHeight="1">
      <c r="A383" s="5"/>
      <c r="B383" s="5"/>
      <c r="C383" s="5"/>
      <c r="D383" s="6"/>
      <c r="E383" s="5"/>
      <c r="F383" s="7" t="str">
        <f>IF($C383="","",IF('설정'!$B$3=0,"",CHOOSE('설정'!$B$3,SUMIFS('RAW_농산물_7월'!$F:$F,'RAW_농산물_7월'!$D:$D,$C383,'RAW_농산물_7월'!$A:$A,$E383),SUMIFS('RAW_농산물_8월'!$F:$F,'RAW_농산물_8월'!$D:$D,$C383,'RAW_농산물_8월'!$A:$A,$E383),SUMIFS('RAW_농산물_9월'!$F:$F,'RAW_농산물_9월'!$D:$D,$C383,'RAW_농산물_9월'!$A:$A,$E383),SUMIFS('RAW_농산물_10월'!$F:$F,'RAW_농산물_10월'!$D:$D,$C383,'RAW_농산물_10월'!$A:$A,$E383),SUMIFS('RAW_농산물_11-12월'!$F:$F,'RAW_농산물_11-12월'!$D:$D,$C383,'RAW_농산물_11-12월'!$A:$A,$E383))))</f>
        <v/>
      </c>
      <c r="G383" s="7" t="str">
        <f>IF($C383="","",IF('설정'!$B$3=0,"",CHOOSE('설정'!$B$3,SUMIFS('RAW_농산물_7월'!$G:$G,'RAW_농산물_7월'!$D:$D,$C383,'RAW_농산물_7월'!$A:$A,$E383),SUMIFS('RAW_농산물_8월'!$G:$G,'RAW_농산물_8월'!$D:$D,$C383,'RAW_농산물_8월'!$A:$A,$E383),SUMIFS('RAW_농산물_9월'!$G:$G,'RAW_농산물_9월'!$D:$D,$C383,'RAW_농산물_9월'!$A:$A,$E383),SUMIFS('RAW_농산물_10월'!$G:$G,'RAW_농산물_10월'!$D:$D,$C383,'RAW_농산물_10월'!$A:$A,$E383),SUMIFS('RAW_농산물_11-12월'!$G:$G,'RAW_농산물_11-12월'!$D:$D,$C383,'RAW_농산물_11-12월'!$A:$A,$E383))))</f>
        <v/>
      </c>
      <c r="H383" s="14" t="str">
        <f>IF($C383="","",IF('설정'!$B$3=0,"",CHOOSE('설정'!$B$3,SUMIFS('RAW_농산물_7월'!$H:$H,'RAW_농산물_7월'!$D:$D,$C383,'RAW_농산물_7월'!$A:$A,$E383),SUMIFS('RAW_농산물_8월'!$H:$H,'RAW_농산물_8월'!$D:$D,$C383,'RAW_농산물_8월'!$A:$A,$E383),SUMIFS('RAW_농산물_9월'!$H:$H,'RAW_농산물_9월'!$D:$D,$C383,'RAW_농산물_9월'!$A:$A,$E383),SUMIFS('RAW_농산물_10월'!$H:$H,'RAW_농산물_10월'!$D:$D,$C383,'RAW_농산물_10월'!$A:$A,$E383),SUMIFS('RAW_농산물_11-12월'!$H:$H,'RAW_농산물_11-12월'!$D:$D,$C383,'RAW_농산물_11-12월'!$A:$A,$E383))))</f>
        <v/>
      </c>
      <c r="I383" s="17" t="str">
        <f>IF($C383="","",IF(COUNTIFS('RAW_농산물_7월'!$D:$D,$C383,'RAW_농산물_7월'!$A:$A,$E383)&gt;0,"O",""))</f>
        <v/>
      </c>
      <c r="J383" s="17" t="str">
        <f>IF($C383="","",IF(COUNTIFS('RAW_농산물_8월'!$D:$D,$C383,'RAW_농산물_8월'!$A:$A,$E383)&gt;0,"O",""))</f>
        <v/>
      </c>
      <c r="K383" s="17" t="str">
        <f>IF($C383="","",IF(COUNTIFS('RAW_농산물_9월'!$D:$D,$C383,'RAW_농산물_9월'!$A:$A,$E383)&gt;0,"O",""))</f>
        <v/>
      </c>
      <c r="L383" s="17" t="str">
        <f>IF($C383="","",IF(COUNTIFS('RAW_농산물_10월'!$D:$D,$C383,'RAW_농산물_10월'!$A:$A,$E383)&gt;0,"O",""))</f>
        <v/>
      </c>
      <c r="M383" s="17" t="str">
        <f>IF($C383="","",IF(COUNTIFS('RAW_농산물_11-12월'!$D:$D,$C383,'RAW_농산물_11-12월'!$A:$A,$E383)&gt;0,"O",""))</f>
        <v/>
      </c>
      <c r="N383" s="7" t="str">
        <f>IF($C383="","",IF(COUNTA('RAW_농산물_7월'!$A:$A)&lt;=1,"",SUMIFS('RAW_농산물_7월'!$H:$H,'RAW_농산물_7월'!$D:$D,$C383,'RAW_농산물_7월'!$A:$A,$E383)))</f>
        <v/>
      </c>
      <c r="O383" s="7" t="str">
        <f>IF($C383="","",IF(COUNTA('RAW_농산물_8월'!$A:$A)&lt;=1,"",SUMIFS('RAW_농산물_8월'!$H:$H,'RAW_농산물_8월'!$D:$D,$C383,'RAW_농산물_8월'!$A:$A,$E383)-SUMIFS('RAW_농산물_7월'!$H:$H,'RAW_농산물_7월'!$D:$D,$C383,'RAW_농산물_7월'!$A:$A,$E383)))</f>
        <v/>
      </c>
      <c r="P383" s="7" t="str">
        <f>IF($C383="","",IF(COUNTA('RAW_농산물_9월'!$A:$A)&lt;=1,"",SUMIFS('RAW_농산물_9월'!$H:$H,'RAW_농산물_9월'!$D:$D,$C383,'RAW_농산물_9월'!$A:$A,$E383)-SUMIFS('RAW_농산물_8월'!$H:$H,'RAW_농산물_8월'!$D:$D,$C383,'RAW_농산물_8월'!$A:$A,$E383)))</f>
        <v/>
      </c>
      <c r="Q383" s="7" t="str">
        <f>IF($C383="","",IF(COUNTA('RAW_농산물_10월'!$A:$A)&lt;=1,"",SUMIFS('RAW_농산물_10월'!$H:$H,'RAW_농산물_10월'!$D:$D,$C383,'RAW_농산물_10월'!$A:$A,$E383)-SUMIFS('RAW_농산물_9월'!$H:$H,'RAW_농산물_9월'!$D:$D,$C383,'RAW_농산물_9월'!$A:$A,$E383)))</f>
        <v/>
      </c>
      <c r="R383" s="7" t="str">
        <f>IF($C383="","",IF(COUNTA('RAW_농산물_11-12월'!$A:$A)&lt;=1,"",SUMIFS('RAW_농산물_11-12월'!$H:$H,'RAW_농산물_11-12월'!$D:$D,$C383,'RAW_농산물_11-12월'!$A:$A,$E383)-SUMIFS('RAW_농산물_10월'!$H:$H,'RAW_농산물_10월'!$D:$D,$C383,'RAW_농산물_10월'!$A:$A,$E383)))</f>
        <v/>
      </c>
      <c r="S383" s="17" t="str">
        <f t="shared" si="4"/>
        <v/>
      </c>
      <c r="T383" s="17" t="str">
        <f t="shared" si="5"/>
        <v/>
      </c>
      <c r="U383" s="7">
        <f>IF($C383="",0,IF('설정'!$B$3=0,0,CHOOSE('설정'!$B$3,COUNTIFS('RAW_농산물_7월'!$D:$D,$C383,'RAW_농산물_7월'!$A:$A,$E383),COUNTIFS('RAW_농산물_8월'!$D:$D,$C383,'RAW_농산물_8월'!$A:$A,$E383),COUNTIFS('RAW_농산물_9월'!$D:$D,$C383,'RAW_농산물_9월'!$A:$A,$E383),COUNTIFS('RAW_농산물_10월'!$D:$D,$C383,'RAW_농산물_10월'!$A:$A,$E383),COUNTIFS('RAW_농산물_11-12월'!$D:$D,$C383,'RAW_농산물_11-12월'!$A:$A,$E383))))</f>
        <v>0</v>
      </c>
    </row>
    <row r="384" ht="15.75" customHeight="1">
      <c r="A384" s="5"/>
      <c r="B384" s="5"/>
      <c r="C384" s="5"/>
      <c r="D384" s="6"/>
      <c r="E384" s="5"/>
      <c r="F384" s="7" t="str">
        <f>IF($C384="","",IF('설정'!$B$3=0,"",CHOOSE('설정'!$B$3,SUMIFS('RAW_농산물_7월'!$F:$F,'RAW_농산물_7월'!$D:$D,$C384,'RAW_농산물_7월'!$A:$A,$E384),SUMIFS('RAW_농산물_8월'!$F:$F,'RAW_농산물_8월'!$D:$D,$C384,'RAW_농산물_8월'!$A:$A,$E384),SUMIFS('RAW_농산물_9월'!$F:$F,'RAW_농산물_9월'!$D:$D,$C384,'RAW_농산물_9월'!$A:$A,$E384),SUMIFS('RAW_농산물_10월'!$F:$F,'RAW_농산물_10월'!$D:$D,$C384,'RAW_농산물_10월'!$A:$A,$E384),SUMIFS('RAW_농산물_11-12월'!$F:$F,'RAW_농산물_11-12월'!$D:$D,$C384,'RAW_농산물_11-12월'!$A:$A,$E384))))</f>
        <v/>
      </c>
      <c r="G384" s="7" t="str">
        <f>IF($C384="","",IF('설정'!$B$3=0,"",CHOOSE('설정'!$B$3,SUMIFS('RAW_농산물_7월'!$G:$G,'RAW_농산물_7월'!$D:$D,$C384,'RAW_농산물_7월'!$A:$A,$E384),SUMIFS('RAW_농산물_8월'!$G:$G,'RAW_농산물_8월'!$D:$D,$C384,'RAW_농산물_8월'!$A:$A,$E384),SUMIFS('RAW_농산물_9월'!$G:$G,'RAW_농산물_9월'!$D:$D,$C384,'RAW_농산물_9월'!$A:$A,$E384),SUMIFS('RAW_농산물_10월'!$G:$G,'RAW_농산물_10월'!$D:$D,$C384,'RAW_농산물_10월'!$A:$A,$E384),SUMIFS('RAW_농산물_11-12월'!$G:$G,'RAW_농산물_11-12월'!$D:$D,$C384,'RAW_농산물_11-12월'!$A:$A,$E384))))</f>
        <v/>
      </c>
      <c r="H384" s="14" t="str">
        <f>IF($C384="","",IF('설정'!$B$3=0,"",CHOOSE('설정'!$B$3,SUMIFS('RAW_농산물_7월'!$H:$H,'RAW_농산물_7월'!$D:$D,$C384,'RAW_농산물_7월'!$A:$A,$E384),SUMIFS('RAW_농산물_8월'!$H:$H,'RAW_농산물_8월'!$D:$D,$C384,'RAW_농산물_8월'!$A:$A,$E384),SUMIFS('RAW_농산물_9월'!$H:$H,'RAW_농산물_9월'!$D:$D,$C384,'RAW_농산물_9월'!$A:$A,$E384),SUMIFS('RAW_농산물_10월'!$H:$H,'RAW_농산물_10월'!$D:$D,$C384,'RAW_농산물_10월'!$A:$A,$E384),SUMIFS('RAW_농산물_11-12월'!$H:$H,'RAW_농산물_11-12월'!$D:$D,$C384,'RAW_농산물_11-12월'!$A:$A,$E384))))</f>
        <v/>
      </c>
      <c r="I384" s="17" t="str">
        <f>IF($C384="","",IF(COUNTIFS('RAW_농산물_7월'!$D:$D,$C384,'RAW_농산물_7월'!$A:$A,$E384)&gt;0,"O",""))</f>
        <v/>
      </c>
      <c r="J384" s="17" t="str">
        <f>IF($C384="","",IF(COUNTIFS('RAW_농산물_8월'!$D:$D,$C384,'RAW_농산물_8월'!$A:$A,$E384)&gt;0,"O",""))</f>
        <v/>
      </c>
      <c r="K384" s="17" t="str">
        <f>IF($C384="","",IF(COUNTIFS('RAW_농산물_9월'!$D:$D,$C384,'RAW_농산물_9월'!$A:$A,$E384)&gt;0,"O",""))</f>
        <v/>
      </c>
      <c r="L384" s="17" t="str">
        <f>IF($C384="","",IF(COUNTIFS('RAW_농산물_10월'!$D:$D,$C384,'RAW_농산물_10월'!$A:$A,$E384)&gt;0,"O",""))</f>
        <v/>
      </c>
      <c r="M384" s="17" t="str">
        <f>IF($C384="","",IF(COUNTIFS('RAW_농산물_11-12월'!$D:$D,$C384,'RAW_농산물_11-12월'!$A:$A,$E384)&gt;0,"O",""))</f>
        <v/>
      </c>
      <c r="N384" s="7" t="str">
        <f>IF($C384="","",IF(COUNTA('RAW_농산물_7월'!$A:$A)&lt;=1,"",SUMIFS('RAW_농산물_7월'!$H:$H,'RAW_농산물_7월'!$D:$D,$C384,'RAW_농산물_7월'!$A:$A,$E384)))</f>
        <v/>
      </c>
      <c r="O384" s="7" t="str">
        <f>IF($C384="","",IF(COUNTA('RAW_농산물_8월'!$A:$A)&lt;=1,"",SUMIFS('RAW_농산물_8월'!$H:$H,'RAW_농산물_8월'!$D:$D,$C384,'RAW_농산물_8월'!$A:$A,$E384)-SUMIFS('RAW_농산물_7월'!$H:$H,'RAW_농산물_7월'!$D:$D,$C384,'RAW_농산물_7월'!$A:$A,$E384)))</f>
        <v/>
      </c>
      <c r="P384" s="7" t="str">
        <f>IF($C384="","",IF(COUNTA('RAW_농산물_9월'!$A:$A)&lt;=1,"",SUMIFS('RAW_농산물_9월'!$H:$H,'RAW_농산물_9월'!$D:$D,$C384,'RAW_농산물_9월'!$A:$A,$E384)-SUMIFS('RAW_농산물_8월'!$H:$H,'RAW_농산물_8월'!$D:$D,$C384,'RAW_농산물_8월'!$A:$A,$E384)))</f>
        <v/>
      </c>
      <c r="Q384" s="7" t="str">
        <f>IF($C384="","",IF(COUNTA('RAW_농산물_10월'!$A:$A)&lt;=1,"",SUMIFS('RAW_농산물_10월'!$H:$H,'RAW_농산물_10월'!$D:$D,$C384,'RAW_농산물_10월'!$A:$A,$E384)-SUMIFS('RAW_농산물_9월'!$H:$H,'RAW_농산물_9월'!$D:$D,$C384,'RAW_농산물_9월'!$A:$A,$E384)))</f>
        <v/>
      </c>
      <c r="R384" s="7" t="str">
        <f>IF($C384="","",IF(COUNTA('RAW_농산물_11-12월'!$A:$A)&lt;=1,"",SUMIFS('RAW_농산물_11-12월'!$H:$H,'RAW_농산물_11-12월'!$D:$D,$C384,'RAW_농산물_11-12월'!$A:$A,$E384)-SUMIFS('RAW_농산물_10월'!$H:$H,'RAW_농산물_10월'!$D:$D,$C384,'RAW_농산물_10월'!$A:$A,$E384)))</f>
        <v/>
      </c>
      <c r="S384" s="17" t="str">
        <f t="shared" si="4"/>
        <v/>
      </c>
      <c r="T384" s="17" t="str">
        <f t="shared" si="5"/>
        <v/>
      </c>
      <c r="U384" s="7">
        <f>IF($C384="",0,IF('설정'!$B$3=0,0,CHOOSE('설정'!$B$3,COUNTIFS('RAW_농산물_7월'!$D:$D,$C384,'RAW_농산물_7월'!$A:$A,$E384),COUNTIFS('RAW_농산물_8월'!$D:$D,$C384,'RAW_농산물_8월'!$A:$A,$E384),COUNTIFS('RAW_농산물_9월'!$D:$D,$C384,'RAW_농산물_9월'!$A:$A,$E384),COUNTIFS('RAW_농산물_10월'!$D:$D,$C384,'RAW_농산물_10월'!$A:$A,$E384),COUNTIFS('RAW_농산물_11-12월'!$D:$D,$C384,'RAW_농산물_11-12월'!$A:$A,$E384))))</f>
        <v>0</v>
      </c>
    </row>
    <row r="385" ht="15.75" customHeight="1">
      <c r="A385" s="5"/>
      <c r="B385" s="5"/>
      <c r="C385" s="5"/>
      <c r="D385" s="6"/>
      <c r="E385" s="5"/>
      <c r="F385" s="7" t="str">
        <f>IF($C385="","",IF('설정'!$B$3=0,"",CHOOSE('설정'!$B$3,SUMIFS('RAW_농산물_7월'!$F:$F,'RAW_농산물_7월'!$D:$D,$C385,'RAW_농산물_7월'!$A:$A,$E385),SUMIFS('RAW_농산물_8월'!$F:$F,'RAW_농산물_8월'!$D:$D,$C385,'RAW_농산물_8월'!$A:$A,$E385),SUMIFS('RAW_농산물_9월'!$F:$F,'RAW_농산물_9월'!$D:$D,$C385,'RAW_농산물_9월'!$A:$A,$E385),SUMIFS('RAW_농산물_10월'!$F:$F,'RAW_농산물_10월'!$D:$D,$C385,'RAW_농산물_10월'!$A:$A,$E385),SUMIFS('RAW_농산물_11-12월'!$F:$F,'RAW_농산물_11-12월'!$D:$D,$C385,'RAW_농산물_11-12월'!$A:$A,$E385))))</f>
        <v/>
      </c>
      <c r="G385" s="7" t="str">
        <f>IF($C385="","",IF('설정'!$B$3=0,"",CHOOSE('설정'!$B$3,SUMIFS('RAW_농산물_7월'!$G:$G,'RAW_농산물_7월'!$D:$D,$C385,'RAW_농산물_7월'!$A:$A,$E385),SUMIFS('RAW_농산물_8월'!$G:$G,'RAW_농산물_8월'!$D:$D,$C385,'RAW_농산물_8월'!$A:$A,$E385),SUMIFS('RAW_농산물_9월'!$G:$G,'RAW_농산물_9월'!$D:$D,$C385,'RAW_농산물_9월'!$A:$A,$E385),SUMIFS('RAW_농산물_10월'!$G:$G,'RAW_농산물_10월'!$D:$D,$C385,'RAW_농산물_10월'!$A:$A,$E385),SUMIFS('RAW_농산물_11-12월'!$G:$G,'RAW_농산물_11-12월'!$D:$D,$C385,'RAW_농산물_11-12월'!$A:$A,$E385))))</f>
        <v/>
      </c>
      <c r="H385" s="14" t="str">
        <f>IF($C385="","",IF('설정'!$B$3=0,"",CHOOSE('설정'!$B$3,SUMIFS('RAW_농산물_7월'!$H:$H,'RAW_농산물_7월'!$D:$D,$C385,'RAW_농산물_7월'!$A:$A,$E385),SUMIFS('RAW_농산물_8월'!$H:$H,'RAW_농산물_8월'!$D:$D,$C385,'RAW_농산물_8월'!$A:$A,$E385),SUMIFS('RAW_농산물_9월'!$H:$H,'RAW_농산물_9월'!$D:$D,$C385,'RAW_농산물_9월'!$A:$A,$E385),SUMIFS('RAW_농산물_10월'!$H:$H,'RAW_농산물_10월'!$D:$D,$C385,'RAW_농산물_10월'!$A:$A,$E385),SUMIFS('RAW_농산물_11-12월'!$H:$H,'RAW_농산물_11-12월'!$D:$D,$C385,'RAW_농산물_11-12월'!$A:$A,$E385))))</f>
        <v/>
      </c>
      <c r="I385" s="17" t="str">
        <f>IF($C385="","",IF(COUNTIFS('RAW_농산물_7월'!$D:$D,$C385,'RAW_농산물_7월'!$A:$A,$E385)&gt;0,"O",""))</f>
        <v/>
      </c>
      <c r="J385" s="17" t="str">
        <f>IF($C385="","",IF(COUNTIFS('RAW_농산물_8월'!$D:$D,$C385,'RAW_농산물_8월'!$A:$A,$E385)&gt;0,"O",""))</f>
        <v/>
      </c>
      <c r="K385" s="17" t="str">
        <f>IF($C385="","",IF(COUNTIFS('RAW_농산물_9월'!$D:$D,$C385,'RAW_농산물_9월'!$A:$A,$E385)&gt;0,"O",""))</f>
        <v/>
      </c>
      <c r="L385" s="17" t="str">
        <f>IF($C385="","",IF(COUNTIFS('RAW_농산물_10월'!$D:$D,$C385,'RAW_농산물_10월'!$A:$A,$E385)&gt;0,"O",""))</f>
        <v/>
      </c>
      <c r="M385" s="17" t="str">
        <f>IF($C385="","",IF(COUNTIFS('RAW_농산물_11-12월'!$D:$D,$C385,'RAW_농산물_11-12월'!$A:$A,$E385)&gt;0,"O",""))</f>
        <v/>
      </c>
      <c r="N385" s="7" t="str">
        <f>IF($C385="","",IF(COUNTA('RAW_농산물_7월'!$A:$A)&lt;=1,"",SUMIFS('RAW_농산물_7월'!$H:$H,'RAW_농산물_7월'!$D:$D,$C385,'RAW_농산물_7월'!$A:$A,$E385)))</f>
        <v/>
      </c>
      <c r="O385" s="7" t="str">
        <f>IF($C385="","",IF(COUNTA('RAW_농산물_8월'!$A:$A)&lt;=1,"",SUMIFS('RAW_농산물_8월'!$H:$H,'RAW_농산물_8월'!$D:$D,$C385,'RAW_농산물_8월'!$A:$A,$E385)-SUMIFS('RAW_농산물_7월'!$H:$H,'RAW_농산물_7월'!$D:$D,$C385,'RAW_농산물_7월'!$A:$A,$E385)))</f>
        <v/>
      </c>
      <c r="P385" s="7" t="str">
        <f>IF($C385="","",IF(COUNTA('RAW_농산물_9월'!$A:$A)&lt;=1,"",SUMIFS('RAW_농산물_9월'!$H:$H,'RAW_농산물_9월'!$D:$D,$C385,'RAW_농산물_9월'!$A:$A,$E385)-SUMIFS('RAW_농산물_8월'!$H:$H,'RAW_농산물_8월'!$D:$D,$C385,'RAW_농산물_8월'!$A:$A,$E385)))</f>
        <v/>
      </c>
      <c r="Q385" s="7" t="str">
        <f>IF($C385="","",IF(COUNTA('RAW_농산물_10월'!$A:$A)&lt;=1,"",SUMIFS('RAW_농산물_10월'!$H:$H,'RAW_농산물_10월'!$D:$D,$C385,'RAW_농산물_10월'!$A:$A,$E385)-SUMIFS('RAW_농산물_9월'!$H:$H,'RAW_농산물_9월'!$D:$D,$C385,'RAW_농산물_9월'!$A:$A,$E385)))</f>
        <v/>
      </c>
      <c r="R385" s="7" t="str">
        <f>IF($C385="","",IF(COUNTA('RAW_농산물_11-12월'!$A:$A)&lt;=1,"",SUMIFS('RAW_농산물_11-12월'!$H:$H,'RAW_농산물_11-12월'!$D:$D,$C385,'RAW_농산물_11-12월'!$A:$A,$E385)-SUMIFS('RAW_농산물_10월'!$H:$H,'RAW_농산물_10월'!$D:$D,$C385,'RAW_농산물_10월'!$A:$A,$E385)))</f>
        <v/>
      </c>
      <c r="S385" s="17" t="str">
        <f t="shared" si="4"/>
        <v/>
      </c>
      <c r="T385" s="17" t="str">
        <f t="shared" si="5"/>
        <v/>
      </c>
      <c r="U385" s="7">
        <f>IF($C385="",0,IF('설정'!$B$3=0,0,CHOOSE('설정'!$B$3,COUNTIFS('RAW_농산물_7월'!$D:$D,$C385,'RAW_농산물_7월'!$A:$A,$E385),COUNTIFS('RAW_농산물_8월'!$D:$D,$C385,'RAW_농산물_8월'!$A:$A,$E385),COUNTIFS('RAW_농산물_9월'!$D:$D,$C385,'RAW_농산물_9월'!$A:$A,$E385),COUNTIFS('RAW_농산물_10월'!$D:$D,$C385,'RAW_농산물_10월'!$A:$A,$E385),COUNTIFS('RAW_농산물_11-12월'!$D:$D,$C385,'RAW_농산물_11-12월'!$A:$A,$E385))))</f>
        <v>0</v>
      </c>
    </row>
    <row r="386" ht="15.75" customHeight="1">
      <c r="A386" s="5"/>
      <c r="B386" s="5"/>
      <c r="C386" s="5"/>
      <c r="D386" s="6"/>
      <c r="E386" s="5"/>
      <c r="F386" s="7" t="str">
        <f>IF($C386="","",IF('설정'!$B$3=0,"",CHOOSE('설정'!$B$3,SUMIFS('RAW_농산물_7월'!$F:$F,'RAW_농산물_7월'!$D:$D,$C386,'RAW_농산물_7월'!$A:$A,$E386),SUMIFS('RAW_농산물_8월'!$F:$F,'RAW_농산물_8월'!$D:$D,$C386,'RAW_농산물_8월'!$A:$A,$E386),SUMIFS('RAW_농산물_9월'!$F:$F,'RAW_농산물_9월'!$D:$D,$C386,'RAW_농산물_9월'!$A:$A,$E386),SUMIFS('RAW_농산물_10월'!$F:$F,'RAW_농산물_10월'!$D:$D,$C386,'RAW_농산물_10월'!$A:$A,$E386),SUMIFS('RAW_농산물_11-12월'!$F:$F,'RAW_농산물_11-12월'!$D:$D,$C386,'RAW_농산물_11-12월'!$A:$A,$E386))))</f>
        <v/>
      </c>
      <c r="G386" s="7" t="str">
        <f>IF($C386="","",IF('설정'!$B$3=0,"",CHOOSE('설정'!$B$3,SUMIFS('RAW_농산물_7월'!$G:$G,'RAW_농산물_7월'!$D:$D,$C386,'RAW_농산물_7월'!$A:$A,$E386),SUMIFS('RAW_농산물_8월'!$G:$G,'RAW_농산물_8월'!$D:$D,$C386,'RAW_농산물_8월'!$A:$A,$E386),SUMIFS('RAW_농산물_9월'!$G:$G,'RAW_농산물_9월'!$D:$D,$C386,'RAW_농산물_9월'!$A:$A,$E386),SUMIFS('RAW_농산물_10월'!$G:$G,'RAW_농산물_10월'!$D:$D,$C386,'RAW_농산물_10월'!$A:$A,$E386),SUMIFS('RAW_농산물_11-12월'!$G:$G,'RAW_농산물_11-12월'!$D:$D,$C386,'RAW_농산물_11-12월'!$A:$A,$E386))))</f>
        <v/>
      </c>
      <c r="H386" s="14" t="str">
        <f>IF($C386="","",IF('설정'!$B$3=0,"",CHOOSE('설정'!$B$3,SUMIFS('RAW_농산물_7월'!$H:$H,'RAW_농산물_7월'!$D:$D,$C386,'RAW_농산물_7월'!$A:$A,$E386),SUMIFS('RAW_농산물_8월'!$H:$H,'RAW_농산물_8월'!$D:$D,$C386,'RAW_농산물_8월'!$A:$A,$E386),SUMIFS('RAW_농산물_9월'!$H:$H,'RAW_농산물_9월'!$D:$D,$C386,'RAW_농산물_9월'!$A:$A,$E386),SUMIFS('RAW_농산물_10월'!$H:$H,'RAW_농산물_10월'!$D:$D,$C386,'RAW_농산물_10월'!$A:$A,$E386),SUMIFS('RAW_농산물_11-12월'!$H:$H,'RAW_농산물_11-12월'!$D:$D,$C386,'RAW_농산물_11-12월'!$A:$A,$E386))))</f>
        <v/>
      </c>
      <c r="I386" s="17" t="str">
        <f>IF($C386="","",IF(COUNTIFS('RAW_농산물_7월'!$D:$D,$C386,'RAW_농산물_7월'!$A:$A,$E386)&gt;0,"O",""))</f>
        <v/>
      </c>
      <c r="J386" s="17" t="str">
        <f>IF($C386="","",IF(COUNTIFS('RAW_농산물_8월'!$D:$D,$C386,'RAW_농산물_8월'!$A:$A,$E386)&gt;0,"O",""))</f>
        <v/>
      </c>
      <c r="K386" s="17" t="str">
        <f>IF($C386="","",IF(COUNTIFS('RAW_농산물_9월'!$D:$D,$C386,'RAW_농산물_9월'!$A:$A,$E386)&gt;0,"O",""))</f>
        <v/>
      </c>
      <c r="L386" s="17" t="str">
        <f>IF($C386="","",IF(COUNTIFS('RAW_농산물_10월'!$D:$D,$C386,'RAW_농산물_10월'!$A:$A,$E386)&gt;0,"O",""))</f>
        <v/>
      </c>
      <c r="M386" s="17" t="str">
        <f>IF($C386="","",IF(COUNTIFS('RAW_농산물_11-12월'!$D:$D,$C386,'RAW_농산물_11-12월'!$A:$A,$E386)&gt;0,"O",""))</f>
        <v/>
      </c>
      <c r="N386" s="7" t="str">
        <f>IF($C386="","",IF(COUNTA('RAW_농산물_7월'!$A:$A)&lt;=1,"",SUMIFS('RAW_농산물_7월'!$H:$H,'RAW_농산물_7월'!$D:$D,$C386,'RAW_농산물_7월'!$A:$A,$E386)))</f>
        <v/>
      </c>
      <c r="O386" s="7" t="str">
        <f>IF($C386="","",IF(COUNTA('RAW_농산물_8월'!$A:$A)&lt;=1,"",SUMIFS('RAW_농산물_8월'!$H:$H,'RAW_농산물_8월'!$D:$D,$C386,'RAW_농산물_8월'!$A:$A,$E386)-SUMIFS('RAW_농산물_7월'!$H:$H,'RAW_농산물_7월'!$D:$D,$C386,'RAW_농산물_7월'!$A:$A,$E386)))</f>
        <v/>
      </c>
      <c r="P386" s="7" t="str">
        <f>IF($C386="","",IF(COUNTA('RAW_농산물_9월'!$A:$A)&lt;=1,"",SUMIFS('RAW_농산물_9월'!$H:$H,'RAW_농산물_9월'!$D:$D,$C386,'RAW_농산물_9월'!$A:$A,$E386)-SUMIFS('RAW_농산물_8월'!$H:$H,'RAW_농산물_8월'!$D:$D,$C386,'RAW_농산물_8월'!$A:$A,$E386)))</f>
        <v/>
      </c>
      <c r="Q386" s="7" t="str">
        <f>IF($C386="","",IF(COUNTA('RAW_농산물_10월'!$A:$A)&lt;=1,"",SUMIFS('RAW_농산물_10월'!$H:$H,'RAW_농산물_10월'!$D:$D,$C386,'RAW_농산물_10월'!$A:$A,$E386)-SUMIFS('RAW_농산물_9월'!$H:$H,'RAW_농산물_9월'!$D:$D,$C386,'RAW_농산물_9월'!$A:$A,$E386)))</f>
        <v/>
      </c>
      <c r="R386" s="7" t="str">
        <f>IF($C386="","",IF(COUNTA('RAW_농산물_11-12월'!$A:$A)&lt;=1,"",SUMIFS('RAW_농산물_11-12월'!$H:$H,'RAW_농산물_11-12월'!$D:$D,$C386,'RAW_농산물_11-12월'!$A:$A,$E386)-SUMIFS('RAW_농산물_10월'!$H:$H,'RAW_농산물_10월'!$D:$D,$C386,'RAW_농산물_10월'!$A:$A,$E386)))</f>
        <v/>
      </c>
      <c r="S386" s="17" t="str">
        <f t="shared" si="4"/>
        <v/>
      </c>
      <c r="T386" s="17" t="str">
        <f t="shared" si="5"/>
        <v/>
      </c>
      <c r="U386" s="7">
        <f>IF($C386="",0,IF('설정'!$B$3=0,0,CHOOSE('설정'!$B$3,COUNTIFS('RAW_농산물_7월'!$D:$D,$C386,'RAW_농산물_7월'!$A:$A,$E386),COUNTIFS('RAW_농산물_8월'!$D:$D,$C386,'RAW_농산물_8월'!$A:$A,$E386),COUNTIFS('RAW_농산물_9월'!$D:$D,$C386,'RAW_농산물_9월'!$A:$A,$E386),COUNTIFS('RAW_농산물_10월'!$D:$D,$C386,'RAW_농산물_10월'!$A:$A,$E386),COUNTIFS('RAW_농산물_11-12월'!$D:$D,$C386,'RAW_농산물_11-12월'!$A:$A,$E386))))</f>
        <v>0</v>
      </c>
    </row>
    <row r="387" ht="15.75" customHeight="1">
      <c r="A387" s="5"/>
      <c r="B387" s="5"/>
      <c r="C387" s="5"/>
      <c r="D387" s="6"/>
      <c r="E387" s="5"/>
      <c r="F387" s="7" t="str">
        <f>IF($C387="","",IF('설정'!$B$3=0,"",CHOOSE('설정'!$B$3,SUMIFS('RAW_농산물_7월'!$F:$F,'RAW_농산물_7월'!$D:$D,$C387,'RAW_농산물_7월'!$A:$A,$E387),SUMIFS('RAW_농산물_8월'!$F:$F,'RAW_농산물_8월'!$D:$D,$C387,'RAW_농산물_8월'!$A:$A,$E387),SUMIFS('RAW_농산물_9월'!$F:$F,'RAW_농산물_9월'!$D:$D,$C387,'RAW_농산물_9월'!$A:$A,$E387),SUMIFS('RAW_농산물_10월'!$F:$F,'RAW_농산물_10월'!$D:$D,$C387,'RAW_농산물_10월'!$A:$A,$E387),SUMIFS('RAW_농산물_11-12월'!$F:$F,'RAW_농산물_11-12월'!$D:$D,$C387,'RAW_농산물_11-12월'!$A:$A,$E387))))</f>
        <v/>
      </c>
      <c r="G387" s="7" t="str">
        <f>IF($C387="","",IF('설정'!$B$3=0,"",CHOOSE('설정'!$B$3,SUMIFS('RAW_농산물_7월'!$G:$G,'RAW_농산물_7월'!$D:$D,$C387,'RAW_농산물_7월'!$A:$A,$E387),SUMIFS('RAW_농산물_8월'!$G:$G,'RAW_농산물_8월'!$D:$D,$C387,'RAW_농산물_8월'!$A:$A,$E387),SUMIFS('RAW_농산물_9월'!$G:$G,'RAW_농산물_9월'!$D:$D,$C387,'RAW_농산물_9월'!$A:$A,$E387),SUMIFS('RAW_농산물_10월'!$G:$G,'RAW_농산물_10월'!$D:$D,$C387,'RAW_농산물_10월'!$A:$A,$E387),SUMIFS('RAW_농산물_11-12월'!$G:$G,'RAW_농산물_11-12월'!$D:$D,$C387,'RAW_농산물_11-12월'!$A:$A,$E387))))</f>
        <v/>
      </c>
      <c r="H387" s="14" t="str">
        <f>IF($C387="","",IF('설정'!$B$3=0,"",CHOOSE('설정'!$B$3,SUMIFS('RAW_농산물_7월'!$H:$H,'RAW_농산물_7월'!$D:$D,$C387,'RAW_농산물_7월'!$A:$A,$E387),SUMIFS('RAW_농산물_8월'!$H:$H,'RAW_농산물_8월'!$D:$D,$C387,'RAW_농산물_8월'!$A:$A,$E387),SUMIFS('RAW_농산물_9월'!$H:$H,'RAW_농산물_9월'!$D:$D,$C387,'RAW_농산물_9월'!$A:$A,$E387),SUMIFS('RAW_농산물_10월'!$H:$H,'RAW_농산물_10월'!$D:$D,$C387,'RAW_농산물_10월'!$A:$A,$E387),SUMIFS('RAW_농산물_11-12월'!$H:$H,'RAW_농산물_11-12월'!$D:$D,$C387,'RAW_농산물_11-12월'!$A:$A,$E387))))</f>
        <v/>
      </c>
      <c r="I387" s="17" t="str">
        <f>IF($C387="","",IF(COUNTIFS('RAW_농산물_7월'!$D:$D,$C387,'RAW_농산물_7월'!$A:$A,$E387)&gt;0,"O",""))</f>
        <v/>
      </c>
      <c r="J387" s="17" t="str">
        <f>IF($C387="","",IF(COUNTIFS('RAW_농산물_8월'!$D:$D,$C387,'RAW_농산물_8월'!$A:$A,$E387)&gt;0,"O",""))</f>
        <v/>
      </c>
      <c r="K387" s="17" t="str">
        <f>IF($C387="","",IF(COUNTIFS('RAW_농산물_9월'!$D:$D,$C387,'RAW_농산물_9월'!$A:$A,$E387)&gt;0,"O",""))</f>
        <v/>
      </c>
      <c r="L387" s="17" t="str">
        <f>IF($C387="","",IF(COUNTIFS('RAW_농산물_10월'!$D:$D,$C387,'RAW_농산물_10월'!$A:$A,$E387)&gt;0,"O",""))</f>
        <v/>
      </c>
      <c r="M387" s="17" t="str">
        <f>IF($C387="","",IF(COUNTIFS('RAW_농산물_11-12월'!$D:$D,$C387,'RAW_농산물_11-12월'!$A:$A,$E387)&gt;0,"O",""))</f>
        <v/>
      </c>
      <c r="N387" s="7" t="str">
        <f>IF($C387="","",IF(COUNTA('RAW_농산물_7월'!$A:$A)&lt;=1,"",SUMIFS('RAW_농산물_7월'!$H:$H,'RAW_농산물_7월'!$D:$D,$C387,'RAW_농산물_7월'!$A:$A,$E387)))</f>
        <v/>
      </c>
      <c r="O387" s="7" t="str">
        <f>IF($C387="","",IF(COUNTA('RAW_농산물_8월'!$A:$A)&lt;=1,"",SUMIFS('RAW_농산물_8월'!$H:$H,'RAW_농산물_8월'!$D:$D,$C387,'RAW_농산물_8월'!$A:$A,$E387)-SUMIFS('RAW_농산물_7월'!$H:$H,'RAW_농산물_7월'!$D:$D,$C387,'RAW_농산물_7월'!$A:$A,$E387)))</f>
        <v/>
      </c>
      <c r="P387" s="7" t="str">
        <f>IF($C387="","",IF(COUNTA('RAW_농산물_9월'!$A:$A)&lt;=1,"",SUMIFS('RAW_농산물_9월'!$H:$H,'RAW_농산물_9월'!$D:$D,$C387,'RAW_농산물_9월'!$A:$A,$E387)-SUMIFS('RAW_농산물_8월'!$H:$H,'RAW_농산물_8월'!$D:$D,$C387,'RAW_농산물_8월'!$A:$A,$E387)))</f>
        <v/>
      </c>
      <c r="Q387" s="7" t="str">
        <f>IF($C387="","",IF(COUNTA('RAW_농산물_10월'!$A:$A)&lt;=1,"",SUMIFS('RAW_농산물_10월'!$H:$H,'RAW_농산물_10월'!$D:$D,$C387,'RAW_농산물_10월'!$A:$A,$E387)-SUMIFS('RAW_농산물_9월'!$H:$H,'RAW_농산물_9월'!$D:$D,$C387,'RAW_농산물_9월'!$A:$A,$E387)))</f>
        <v/>
      </c>
      <c r="R387" s="7" t="str">
        <f>IF($C387="","",IF(COUNTA('RAW_농산물_11-12월'!$A:$A)&lt;=1,"",SUMIFS('RAW_농산물_11-12월'!$H:$H,'RAW_농산물_11-12월'!$D:$D,$C387,'RAW_농산물_11-12월'!$A:$A,$E387)-SUMIFS('RAW_농산물_10월'!$H:$H,'RAW_농산물_10월'!$D:$D,$C387,'RAW_농산물_10월'!$A:$A,$E387)))</f>
        <v/>
      </c>
      <c r="S387" s="17" t="str">
        <f t="shared" si="4"/>
        <v/>
      </c>
      <c r="T387" s="17" t="str">
        <f t="shared" si="5"/>
        <v/>
      </c>
      <c r="U387" s="7">
        <f>IF($C387="",0,IF('설정'!$B$3=0,0,CHOOSE('설정'!$B$3,COUNTIFS('RAW_농산물_7월'!$D:$D,$C387,'RAW_농산물_7월'!$A:$A,$E387),COUNTIFS('RAW_농산물_8월'!$D:$D,$C387,'RAW_농산물_8월'!$A:$A,$E387),COUNTIFS('RAW_농산물_9월'!$D:$D,$C387,'RAW_농산물_9월'!$A:$A,$E387),COUNTIFS('RAW_농산물_10월'!$D:$D,$C387,'RAW_농산물_10월'!$A:$A,$E387),COUNTIFS('RAW_농산물_11-12월'!$D:$D,$C387,'RAW_농산물_11-12월'!$A:$A,$E387))))</f>
        <v>0</v>
      </c>
    </row>
    <row r="388" ht="15.75" customHeight="1">
      <c r="A388" s="5"/>
      <c r="B388" s="5"/>
      <c r="C388" s="5"/>
      <c r="D388" s="6"/>
      <c r="E388" s="5"/>
      <c r="F388" s="7" t="str">
        <f>IF($C388="","",IF('설정'!$B$3=0,"",CHOOSE('설정'!$B$3,SUMIFS('RAW_농산물_7월'!$F:$F,'RAW_농산물_7월'!$D:$D,$C388,'RAW_농산물_7월'!$A:$A,$E388),SUMIFS('RAW_농산물_8월'!$F:$F,'RAW_농산물_8월'!$D:$D,$C388,'RAW_농산물_8월'!$A:$A,$E388),SUMIFS('RAW_농산물_9월'!$F:$F,'RAW_농산물_9월'!$D:$D,$C388,'RAW_농산물_9월'!$A:$A,$E388),SUMIFS('RAW_농산물_10월'!$F:$F,'RAW_농산물_10월'!$D:$D,$C388,'RAW_농산물_10월'!$A:$A,$E388),SUMIFS('RAW_농산물_11-12월'!$F:$F,'RAW_농산물_11-12월'!$D:$D,$C388,'RAW_농산물_11-12월'!$A:$A,$E388))))</f>
        <v/>
      </c>
      <c r="G388" s="7" t="str">
        <f>IF($C388="","",IF('설정'!$B$3=0,"",CHOOSE('설정'!$B$3,SUMIFS('RAW_농산물_7월'!$G:$G,'RAW_농산물_7월'!$D:$D,$C388,'RAW_농산물_7월'!$A:$A,$E388),SUMIFS('RAW_농산물_8월'!$G:$G,'RAW_농산물_8월'!$D:$D,$C388,'RAW_농산물_8월'!$A:$A,$E388),SUMIFS('RAW_농산물_9월'!$G:$G,'RAW_농산물_9월'!$D:$D,$C388,'RAW_농산물_9월'!$A:$A,$E388),SUMIFS('RAW_농산물_10월'!$G:$G,'RAW_농산물_10월'!$D:$D,$C388,'RAW_농산물_10월'!$A:$A,$E388),SUMIFS('RAW_농산물_11-12월'!$G:$G,'RAW_농산물_11-12월'!$D:$D,$C388,'RAW_농산물_11-12월'!$A:$A,$E388))))</f>
        <v/>
      </c>
      <c r="H388" s="14" t="str">
        <f>IF($C388="","",IF('설정'!$B$3=0,"",CHOOSE('설정'!$B$3,SUMIFS('RAW_농산물_7월'!$H:$H,'RAW_농산물_7월'!$D:$D,$C388,'RAW_농산물_7월'!$A:$A,$E388),SUMIFS('RAW_농산물_8월'!$H:$H,'RAW_농산물_8월'!$D:$D,$C388,'RAW_농산물_8월'!$A:$A,$E388),SUMIFS('RAW_농산물_9월'!$H:$H,'RAW_농산물_9월'!$D:$D,$C388,'RAW_농산물_9월'!$A:$A,$E388),SUMIFS('RAW_농산물_10월'!$H:$H,'RAW_농산물_10월'!$D:$D,$C388,'RAW_농산물_10월'!$A:$A,$E388),SUMIFS('RAW_농산물_11-12월'!$H:$H,'RAW_농산물_11-12월'!$D:$D,$C388,'RAW_농산물_11-12월'!$A:$A,$E388))))</f>
        <v/>
      </c>
      <c r="I388" s="17" t="str">
        <f>IF($C388="","",IF(COUNTIFS('RAW_농산물_7월'!$D:$D,$C388,'RAW_농산물_7월'!$A:$A,$E388)&gt;0,"O",""))</f>
        <v/>
      </c>
      <c r="J388" s="17" t="str">
        <f>IF($C388="","",IF(COUNTIFS('RAW_농산물_8월'!$D:$D,$C388,'RAW_농산물_8월'!$A:$A,$E388)&gt;0,"O",""))</f>
        <v/>
      </c>
      <c r="K388" s="17" t="str">
        <f>IF($C388="","",IF(COUNTIFS('RAW_농산물_9월'!$D:$D,$C388,'RAW_농산물_9월'!$A:$A,$E388)&gt;0,"O",""))</f>
        <v/>
      </c>
      <c r="L388" s="17" t="str">
        <f>IF($C388="","",IF(COUNTIFS('RAW_농산물_10월'!$D:$D,$C388,'RAW_농산물_10월'!$A:$A,$E388)&gt;0,"O",""))</f>
        <v/>
      </c>
      <c r="M388" s="17" t="str">
        <f>IF($C388="","",IF(COUNTIFS('RAW_농산물_11-12월'!$D:$D,$C388,'RAW_농산물_11-12월'!$A:$A,$E388)&gt;0,"O",""))</f>
        <v/>
      </c>
      <c r="N388" s="7" t="str">
        <f>IF($C388="","",IF(COUNTA('RAW_농산물_7월'!$A:$A)&lt;=1,"",SUMIFS('RAW_농산물_7월'!$H:$H,'RAW_농산물_7월'!$D:$D,$C388,'RAW_농산물_7월'!$A:$A,$E388)))</f>
        <v/>
      </c>
      <c r="O388" s="7" t="str">
        <f>IF($C388="","",IF(COUNTA('RAW_농산물_8월'!$A:$A)&lt;=1,"",SUMIFS('RAW_농산물_8월'!$H:$H,'RAW_농산물_8월'!$D:$D,$C388,'RAW_농산물_8월'!$A:$A,$E388)-SUMIFS('RAW_농산물_7월'!$H:$H,'RAW_농산물_7월'!$D:$D,$C388,'RAW_농산물_7월'!$A:$A,$E388)))</f>
        <v/>
      </c>
      <c r="P388" s="7" t="str">
        <f>IF($C388="","",IF(COUNTA('RAW_농산물_9월'!$A:$A)&lt;=1,"",SUMIFS('RAW_농산물_9월'!$H:$H,'RAW_농산물_9월'!$D:$D,$C388,'RAW_농산물_9월'!$A:$A,$E388)-SUMIFS('RAW_농산물_8월'!$H:$H,'RAW_농산물_8월'!$D:$D,$C388,'RAW_농산물_8월'!$A:$A,$E388)))</f>
        <v/>
      </c>
      <c r="Q388" s="7" t="str">
        <f>IF($C388="","",IF(COUNTA('RAW_농산물_10월'!$A:$A)&lt;=1,"",SUMIFS('RAW_농산물_10월'!$H:$H,'RAW_농산물_10월'!$D:$D,$C388,'RAW_농산물_10월'!$A:$A,$E388)-SUMIFS('RAW_농산물_9월'!$H:$H,'RAW_농산물_9월'!$D:$D,$C388,'RAW_농산물_9월'!$A:$A,$E388)))</f>
        <v/>
      </c>
      <c r="R388" s="7" t="str">
        <f>IF($C388="","",IF(COUNTA('RAW_농산물_11-12월'!$A:$A)&lt;=1,"",SUMIFS('RAW_농산물_11-12월'!$H:$H,'RAW_농산물_11-12월'!$D:$D,$C388,'RAW_농산물_11-12월'!$A:$A,$E388)-SUMIFS('RAW_농산물_10월'!$H:$H,'RAW_농산물_10월'!$D:$D,$C388,'RAW_농산물_10월'!$A:$A,$E388)))</f>
        <v/>
      </c>
      <c r="S388" s="17" t="str">
        <f t="shared" si="4"/>
        <v/>
      </c>
      <c r="T388" s="17" t="str">
        <f t="shared" si="5"/>
        <v/>
      </c>
      <c r="U388" s="7">
        <f>IF($C388="",0,IF('설정'!$B$3=0,0,CHOOSE('설정'!$B$3,COUNTIFS('RAW_농산물_7월'!$D:$D,$C388,'RAW_농산물_7월'!$A:$A,$E388),COUNTIFS('RAW_농산물_8월'!$D:$D,$C388,'RAW_농산물_8월'!$A:$A,$E388),COUNTIFS('RAW_농산물_9월'!$D:$D,$C388,'RAW_농산물_9월'!$A:$A,$E388),COUNTIFS('RAW_농산물_10월'!$D:$D,$C388,'RAW_농산물_10월'!$A:$A,$E388),COUNTIFS('RAW_농산물_11-12월'!$D:$D,$C388,'RAW_농산물_11-12월'!$A:$A,$E388))))</f>
        <v>0</v>
      </c>
    </row>
    <row r="389" ht="15.75" customHeight="1">
      <c r="A389" s="5"/>
      <c r="B389" s="5"/>
      <c r="C389" s="5"/>
      <c r="D389" s="6"/>
      <c r="E389" s="5"/>
      <c r="F389" s="7" t="str">
        <f>IF($C389="","",IF('설정'!$B$3=0,"",CHOOSE('설정'!$B$3,SUMIFS('RAW_농산물_7월'!$F:$F,'RAW_농산물_7월'!$D:$D,$C389,'RAW_농산물_7월'!$A:$A,$E389),SUMIFS('RAW_농산물_8월'!$F:$F,'RAW_농산물_8월'!$D:$D,$C389,'RAW_농산물_8월'!$A:$A,$E389),SUMIFS('RAW_농산물_9월'!$F:$F,'RAW_농산물_9월'!$D:$D,$C389,'RAW_농산물_9월'!$A:$A,$E389),SUMIFS('RAW_농산물_10월'!$F:$F,'RAW_농산물_10월'!$D:$D,$C389,'RAW_농산물_10월'!$A:$A,$E389),SUMIFS('RAW_농산물_11-12월'!$F:$F,'RAW_농산물_11-12월'!$D:$D,$C389,'RAW_농산물_11-12월'!$A:$A,$E389))))</f>
        <v/>
      </c>
      <c r="G389" s="7" t="str">
        <f>IF($C389="","",IF('설정'!$B$3=0,"",CHOOSE('설정'!$B$3,SUMIFS('RAW_농산물_7월'!$G:$G,'RAW_농산물_7월'!$D:$D,$C389,'RAW_농산물_7월'!$A:$A,$E389),SUMIFS('RAW_농산물_8월'!$G:$G,'RAW_농산물_8월'!$D:$D,$C389,'RAW_농산물_8월'!$A:$A,$E389),SUMIFS('RAW_농산물_9월'!$G:$G,'RAW_농산물_9월'!$D:$D,$C389,'RAW_농산물_9월'!$A:$A,$E389),SUMIFS('RAW_농산물_10월'!$G:$G,'RAW_농산물_10월'!$D:$D,$C389,'RAW_농산물_10월'!$A:$A,$E389),SUMIFS('RAW_농산물_11-12월'!$G:$G,'RAW_농산물_11-12월'!$D:$D,$C389,'RAW_농산물_11-12월'!$A:$A,$E389))))</f>
        <v/>
      </c>
      <c r="H389" s="14" t="str">
        <f>IF($C389="","",IF('설정'!$B$3=0,"",CHOOSE('설정'!$B$3,SUMIFS('RAW_농산물_7월'!$H:$H,'RAW_농산물_7월'!$D:$D,$C389,'RAW_농산물_7월'!$A:$A,$E389),SUMIFS('RAW_농산물_8월'!$H:$H,'RAW_농산물_8월'!$D:$D,$C389,'RAW_농산물_8월'!$A:$A,$E389),SUMIFS('RAW_농산물_9월'!$H:$H,'RAW_농산물_9월'!$D:$D,$C389,'RAW_농산물_9월'!$A:$A,$E389),SUMIFS('RAW_농산물_10월'!$H:$H,'RAW_농산물_10월'!$D:$D,$C389,'RAW_농산물_10월'!$A:$A,$E389),SUMIFS('RAW_농산물_11-12월'!$H:$H,'RAW_농산물_11-12월'!$D:$D,$C389,'RAW_농산물_11-12월'!$A:$A,$E389))))</f>
        <v/>
      </c>
      <c r="I389" s="17" t="str">
        <f>IF($C389="","",IF(COUNTIFS('RAW_농산물_7월'!$D:$D,$C389,'RAW_농산물_7월'!$A:$A,$E389)&gt;0,"O",""))</f>
        <v/>
      </c>
      <c r="J389" s="17" t="str">
        <f>IF($C389="","",IF(COUNTIFS('RAW_농산물_8월'!$D:$D,$C389,'RAW_농산물_8월'!$A:$A,$E389)&gt;0,"O",""))</f>
        <v/>
      </c>
      <c r="K389" s="17" t="str">
        <f>IF($C389="","",IF(COUNTIFS('RAW_농산물_9월'!$D:$D,$C389,'RAW_농산물_9월'!$A:$A,$E389)&gt;0,"O",""))</f>
        <v/>
      </c>
      <c r="L389" s="17" t="str">
        <f>IF($C389="","",IF(COUNTIFS('RAW_농산물_10월'!$D:$D,$C389,'RAW_농산물_10월'!$A:$A,$E389)&gt;0,"O",""))</f>
        <v/>
      </c>
      <c r="M389" s="17" t="str">
        <f>IF($C389="","",IF(COUNTIFS('RAW_농산물_11-12월'!$D:$D,$C389,'RAW_농산물_11-12월'!$A:$A,$E389)&gt;0,"O",""))</f>
        <v/>
      </c>
      <c r="N389" s="7" t="str">
        <f>IF($C389="","",IF(COUNTA('RAW_농산물_7월'!$A:$A)&lt;=1,"",SUMIFS('RAW_농산물_7월'!$H:$H,'RAW_농산물_7월'!$D:$D,$C389,'RAW_농산물_7월'!$A:$A,$E389)))</f>
        <v/>
      </c>
      <c r="O389" s="7" t="str">
        <f>IF($C389="","",IF(COUNTA('RAW_농산물_8월'!$A:$A)&lt;=1,"",SUMIFS('RAW_농산물_8월'!$H:$H,'RAW_농산물_8월'!$D:$D,$C389,'RAW_농산물_8월'!$A:$A,$E389)-SUMIFS('RAW_농산물_7월'!$H:$H,'RAW_농산물_7월'!$D:$D,$C389,'RAW_농산물_7월'!$A:$A,$E389)))</f>
        <v/>
      </c>
      <c r="P389" s="7" t="str">
        <f>IF($C389="","",IF(COUNTA('RAW_농산물_9월'!$A:$A)&lt;=1,"",SUMIFS('RAW_농산물_9월'!$H:$H,'RAW_농산물_9월'!$D:$D,$C389,'RAW_농산물_9월'!$A:$A,$E389)-SUMIFS('RAW_농산물_8월'!$H:$H,'RAW_농산물_8월'!$D:$D,$C389,'RAW_농산물_8월'!$A:$A,$E389)))</f>
        <v/>
      </c>
      <c r="Q389" s="7" t="str">
        <f>IF($C389="","",IF(COUNTA('RAW_농산물_10월'!$A:$A)&lt;=1,"",SUMIFS('RAW_농산물_10월'!$H:$H,'RAW_농산물_10월'!$D:$D,$C389,'RAW_농산물_10월'!$A:$A,$E389)-SUMIFS('RAW_농산물_9월'!$H:$H,'RAW_농산물_9월'!$D:$D,$C389,'RAW_농산물_9월'!$A:$A,$E389)))</f>
        <v/>
      </c>
      <c r="R389" s="7" t="str">
        <f>IF($C389="","",IF(COUNTA('RAW_농산물_11-12월'!$A:$A)&lt;=1,"",SUMIFS('RAW_농산물_11-12월'!$H:$H,'RAW_농산물_11-12월'!$D:$D,$C389,'RAW_농산물_11-12월'!$A:$A,$E389)-SUMIFS('RAW_농산물_10월'!$H:$H,'RAW_농산물_10월'!$D:$D,$C389,'RAW_농산물_10월'!$A:$A,$E389)))</f>
        <v/>
      </c>
      <c r="S389" s="17" t="str">
        <f t="shared" si="4"/>
        <v/>
      </c>
      <c r="T389" s="17" t="str">
        <f t="shared" si="5"/>
        <v/>
      </c>
      <c r="U389" s="7">
        <f>IF($C389="",0,IF('설정'!$B$3=0,0,CHOOSE('설정'!$B$3,COUNTIFS('RAW_농산물_7월'!$D:$D,$C389,'RAW_농산물_7월'!$A:$A,$E389),COUNTIFS('RAW_농산물_8월'!$D:$D,$C389,'RAW_농산물_8월'!$A:$A,$E389),COUNTIFS('RAW_농산물_9월'!$D:$D,$C389,'RAW_농산물_9월'!$A:$A,$E389),COUNTIFS('RAW_농산물_10월'!$D:$D,$C389,'RAW_농산물_10월'!$A:$A,$E389),COUNTIFS('RAW_농산물_11-12월'!$D:$D,$C389,'RAW_농산물_11-12월'!$A:$A,$E389))))</f>
        <v>0</v>
      </c>
    </row>
    <row r="390" ht="15.75" customHeight="1">
      <c r="A390" s="5"/>
      <c r="B390" s="5"/>
      <c r="C390" s="5"/>
      <c r="D390" s="6"/>
      <c r="E390" s="5"/>
      <c r="F390" s="7" t="str">
        <f>IF($C390="","",IF('설정'!$B$3=0,"",CHOOSE('설정'!$B$3,SUMIFS('RAW_농산물_7월'!$F:$F,'RAW_농산물_7월'!$D:$D,$C390,'RAW_농산물_7월'!$A:$A,$E390),SUMIFS('RAW_농산물_8월'!$F:$F,'RAW_농산물_8월'!$D:$D,$C390,'RAW_농산물_8월'!$A:$A,$E390),SUMIFS('RAW_농산물_9월'!$F:$F,'RAW_농산물_9월'!$D:$D,$C390,'RAW_농산물_9월'!$A:$A,$E390),SUMIFS('RAW_농산물_10월'!$F:$F,'RAW_농산물_10월'!$D:$D,$C390,'RAW_농산물_10월'!$A:$A,$E390),SUMIFS('RAW_농산물_11-12월'!$F:$F,'RAW_농산물_11-12월'!$D:$D,$C390,'RAW_농산물_11-12월'!$A:$A,$E390))))</f>
        <v/>
      </c>
      <c r="G390" s="7" t="str">
        <f>IF($C390="","",IF('설정'!$B$3=0,"",CHOOSE('설정'!$B$3,SUMIFS('RAW_농산물_7월'!$G:$G,'RAW_농산물_7월'!$D:$D,$C390,'RAW_농산물_7월'!$A:$A,$E390),SUMIFS('RAW_농산물_8월'!$G:$G,'RAW_농산물_8월'!$D:$D,$C390,'RAW_농산물_8월'!$A:$A,$E390),SUMIFS('RAW_농산물_9월'!$G:$G,'RAW_농산물_9월'!$D:$D,$C390,'RAW_농산물_9월'!$A:$A,$E390),SUMIFS('RAW_농산물_10월'!$G:$G,'RAW_농산물_10월'!$D:$D,$C390,'RAW_농산물_10월'!$A:$A,$E390),SUMIFS('RAW_농산물_11-12월'!$G:$G,'RAW_농산물_11-12월'!$D:$D,$C390,'RAW_농산물_11-12월'!$A:$A,$E390))))</f>
        <v/>
      </c>
      <c r="H390" s="14" t="str">
        <f>IF($C390="","",IF('설정'!$B$3=0,"",CHOOSE('설정'!$B$3,SUMIFS('RAW_농산물_7월'!$H:$H,'RAW_농산물_7월'!$D:$D,$C390,'RAW_농산물_7월'!$A:$A,$E390),SUMIFS('RAW_농산물_8월'!$H:$H,'RAW_농산물_8월'!$D:$D,$C390,'RAW_농산물_8월'!$A:$A,$E390),SUMIFS('RAW_농산물_9월'!$H:$H,'RAW_농산물_9월'!$D:$D,$C390,'RAW_농산물_9월'!$A:$A,$E390),SUMIFS('RAW_농산물_10월'!$H:$H,'RAW_농산물_10월'!$D:$D,$C390,'RAW_농산물_10월'!$A:$A,$E390),SUMIFS('RAW_농산물_11-12월'!$H:$H,'RAW_농산물_11-12월'!$D:$D,$C390,'RAW_농산물_11-12월'!$A:$A,$E390))))</f>
        <v/>
      </c>
      <c r="I390" s="17" t="str">
        <f>IF($C390="","",IF(COUNTIFS('RAW_농산물_7월'!$D:$D,$C390,'RAW_농산물_7월'!$A:$A,$E390)&gt;0,"O",""))</f>
        <v/>
      </c>
      <c r="J390" s="17" t="str">
        <f>IF($C390="","",IF(COUNTIFS('RAW_농산물_8월'!$D:$D,$C390,'RAW_농산물_8월'!$A:$A,$E390)&gt;0,"O",""))</f>
        <v/>
      </c>
      <c r="K390" s="17" t="str">
        <f>IF($C390="","",IF(COUNTIFS('RAW_농산물_9월'!$D:$D,$C390,'RAW_농산물_9월'!$A:$A,$E390)&gt;0,"O",""))</f>
        <v/>
      </c>
      <c r="L390" s="17" t="str">
        <f>IF($C390="","",IF(COUNTIFS('RAW_농산물_10월'!$D:$D,$C390,'RAW_농산물_10월'!$A:$A,$E390)&gt;0,"O",""))</f>
        <v/>
      </c>
      <c r="M390" s="17" t="str">
        <f>IF($C390="","",IF(COUNTIFS('RAW_농산물_11-12월'!$D:$D,$C390,'RAW_농산물_11-12월'!$A:$A,$E390)&gt;0,"O",""))</f>
        <v/>
      </c>
      <c r="N390" s="7" t="str">
        <f>IF($C390="","",IF(COUNTA('RAW_농산물_7월'!$A:$A)&lt;=1,"",SUMIFS('RAW_농산물_7월'!$H:$H,'RAW_농산물_7월'!$D:$D,$C390,'RAW_농산물_7월'!$A:$A,$E390)))</f>
        <v/>
      </c>
      <c r="O390" s="7" t="str">
        <f>IF($C390="","",IF(COUNTA('RAW_농산물_8월'!$A:$A)&lt;=1,"",SUMIFS('RAW_농산물_8월'!$H:$H,'RAW_농산물_8월'!$D:$D,$C390,'RAW_농산물_8월'!$A:$A,$E390)-SUMIFS('RAW_농산물_7월'!$H:$H,'RAW_농산물_7월'!$D:$D,$C390,'RAW_농산물_7월'!$A:$A,$E390)))</f>
        <v/>
      </c>
      <c r="P390" s="7" t="str">
        <f>IF($C390="","",IF(COUNTA('RAW_농산물_9월'!$A:$A)&lt;=1,"",SUMIFS('RAW_농산물_9월'!$H:$H,'RAW_농산물_9월'!$D:$D,$C390,'RAW_농산물_9월'!$A:$A,$E390)-SUMIFS('RAW_농산물_8월'!$H:$H,'RAW_농산물_8월'!$D:$D,$C390,'RAW_농산물_8월'!$A:$A,$E390)))</f>
        <v/>
      </c>
      <c r="Q390" s="7" t="str">
        <f>IF($C390="","",IF(COUNTA('RAW_농산물_10월'!$A:$A)&lt;=1,"",SUMIFS('RAW_농산물_10월'!$H:$H,'RAW_농산물_10월'!$D:$D,$C390,'RAW_농산물_10월'!$A:$A,$E390)-SUMIFS('RAW_농산물_9월'!$H:$H,'RAW_농산물_9월'!$D:$D,$C390,'RAW_농산물_9월'!$A:$A,$E390)))</f>
        <v/>
      </c>
      <c r="R390" s="7" t="str">
        <f>IF($C390="","",IF(COUNTA('RAW_농산물_11-12월'!$A:$A)&lt;=1,"",SUMIFS('RAW_농산물_11-12월'!$H:$H,'RAW_농산물_11-12월'!$D:$D,$C390,'RAW_농산물_11-12월'!$A:$A,$E390)-SUMIFS('RAW_농산물_10월'!$H:$H,'RAW_농산물_10월'!$D:$D,$C390,'RAW_농산물_10월'!$A:$A,$E390)))</f>
        <v/>
      </c>
      <c r="S390" s="17" t="str">
        <f t="shared" si="4"/>
        <v/>
      </c>
      <c r="T390" s="17" t="str">
        <f t="shared" si="5"/>
        <v/>
      </c>
      <c r="U390" s="7">
        <f>IF($C390="",0,IF('설정'!$B$3=0,0,CHOOSE('설정'!$B$3,COUNTIFS('RAW_농산물_7월'!$D:$D,$C390,'RAW_농산물_7월'!$A:$A,$E390),COUNTIFS('RAW_농산물_8월'!$D:$D,$C390,'RAW_농산물_8월'!$A:$A,$E390),COUNTIFS('RAW_농산물_9월'!$D:$D,$C390,'RAW_농산물_9월'!$A:$A,$E390),COUNTIFS('RAW_농산물_10월'!$D:$D,$C390,'RAW_농산물_10월'!$A:$A,$E390),COUNTIFS('RAW_농산물_11-12월'!$D:$D,$C390,'RAW_농산물_11-12월'!$A:$A,$E390))))</f>
        <v>0</v>
      </c>
    </row>
    <row r="391" ht="15.75" customHeight="1">
      <c r="A391" s="5"/>
      <c r="B391" s="5"/>
      <c r="C391" s="5"/>
      <c r="D391" s="6"/>
      <c r="E391" s="5"/>
      <c r="F391" s="7" t="str">
        <f>IF($C391="","",IF('설정'!$B$3=0,"",CHOOSE('설정'!$B$3,SUMIFS('RAW_농산물_7월'!$F:$F,'RAW_농산물_7월'!$D:$D,$C391,'RAW_농산물_7월'!$A:$A,$E391),SUMIFS('RAW_농산물_8월'!$F:$F,'RAW_농산물_8월'!$D:$D,$C391,'RAW_농산물_8월'!$A:$A,$E391),SUMIFS('RAW_농산물_9월'!$F:$F,'RAW_농산물_9월'!$D:$D,$C391,'RAW_농산물_9월'!$A:$A,$E391),SUMIFS('RAW_농산물_10월'!$F:$F,'RAW_농산물_10월'!$D:$D,$C391,'RAW_농산물_10월'!$A:$A,$E391),SUMIFS('RAW_농산물_11-12월'!$F:$F,'RAW_농산물_11-12월'!$D:$D,$C391,'RAW_농산물_11-12월'!$A:$A,$E391))))</f>
        <v/>
      </c>
      <c r="G391" s="7" t="str">
        <f>IF($C391="","",IF('설정'!$B$3=0,"",CHOOSE('설정'!$B$3,SUMIFS('RAW_농산물_7월'!$G:$G,'RAW_농산물_7월'!$D:$D,$C391,'RAW_농산물_7월'!$A:$A,$E391),SUMIFS('RAW_농산물_8월'!$G:$G,'RAW_농산물_8월'!$D:$D,$C391,'RAW_농산물_8월'!$A:$A,$E391),SUMIFS('RAW_농산물_9월'!$G:$G,'RAW_농산물_9월'!$D:$D,$C391,'RAW_농산물_9월'!$A:$A,$E391),SUMIFS('RAW_농산물_10월'!$G:$G,'RAW_농산물_10월'!$D:$D,$C391,'RAW_농산물_10월'!$A:$A,$E391),SUMIFS('RAW_농산물_11-12월'!$G:$G,'RAW_농산물_11-12월'!$D:$D,$C391,'RAW_농산물_11-12월'!$A:$A,$E391))))</f>
        <v/>
      </c>
      <c r="H391" s="14" t="str">
        <f>IF($C391="","",IF('설정'!$B$3=0,"",CHOOSE('설정'!$B$3,SUMIFS('RAW_농산물_7월'!$H:$H,'RAW_농산물_7월'!$D:$D,$C391,'RAW_농산물_7월'!$A:$A,$E391),SUMIFS('RAW_농산물_8월'!$H:$H,'RAW_농산물_8월'!$D:$D,$C391,'RAW_농산물_8월'!$A:$A,$E391),SUMIFS('RAW_농산물_9월'!$H:$H,'RAW_농산물_9월'!$D:$D,$C391,'RAW_농산물_9월'!$A:$A,$E391),SUMIFS('RAW_농산물_10월'!$H:$H,'RAW_농산물_10월'!$D:$D,$C391,'RAW_농산물_10월'!$A:$A,$E391),SUMIFS('RAW_농산물_11-12월'!$H:$H,'RAW_농산물_11-12월'!$D:$D,$C391,'RAW_농산물_11-12월'!$A:$A,$E391))))</f>
        <v/>
      </c>
      <c r="I391" s="17" t="str">
        <f>IF($C391="","",IF(COUNTIFS('RAW_농산물_7월'!$D:$D,$C391,'RAW_농산물_7월'!$A:$A,$E391)&gt;0,"O",""))</f>
        <v/>
      </c>
      <c r="J391" s="17" t="str">
        <f>IF($C391="","",IF(COUNTIFS('RAW_농산물_8월'!$D:$D,$C391,'RAW_농산물_8월'!$A:$A,$E391)&gt;0,"O",""))</f>
        <v/>
      </c>
      <c r="K391" s="17" t="str">
        <f>IF($C391="","",IF(COUNTIFS('RAW_농산물_9월'!$D:$D,$C391,'RAW_농산물_9월'!$A:$A,$E391)&gt;0,"O",""))</f>
        <v/>
      </c>
      <c r="L391" s="17" t="str">
        <f>IF($C391="","",IF(COUNTIFS('RAW_농산물_10월'!$D:$D,$C391,'RAW_농산물_10월'!$A:$A,$E391)&gt;0,"O",""))</f>
        <v/>
      </c>
      <c r="M391" s="17" t="str">
        <f>IF($C391="","",IF(COUNTIFS('RAW_농산물_11-12월'!$D:$D,$C391,'RAW_농산물_11-12월'!$A:$A,$E391)&gt;0,"O",""))</f>
        <v/>
      </c>
      <c r="N391" s="7" t="str">
        <f>IF($C391="","",IF(COUNTA('RAW_농산물_7월'!$A:$A)&lt;=1,"",SUMIFS('RAW_농산물_7월'!$H:$H,'RAW_농산물_7월'!$D:$D,$C391,'RAW_농산물_7월'!$A:$A,$E391)))</f>
        <v/>
      </c>
      <c r="O391" s="7" t="str">
        <f>IF($C391="","",IF(COUNTA('RAW_농산물_8월'!$A:$A)&lt;=1,"",SUMIFS('RAW_농산물_8월'!$H:$H,'RAW_농산물_8월'!$D:$D,$C391,'RAW_농산물_8월'!$A:$A,$E391)-SUMIFS('RAW_농산물_7월'!$H:$H,'RAW_농산물_7월'!$D:$D,$C391,'RAW_농산물_7월'!$A:$A,$E391)))</f>
        <v/>
      </c>
      <c r="P391" s="7" t="str">
        <f>IF($C391="","",IF(COUNTA('RAW_농산물_9월'!$A:$A)&lt;=1,"",SUMIFS('RAW_농산물_9월'!$H:$H,'RAW_농산물_9월'!$D:$D,$C391,'RAW_농산물_9월'!$A:$A,$E391)-SUMIFS('RAW_농산물_8월'!$H:$H,'RAW_농산물_8월'!$D:$D,$C391,'RAW_농산물_8월'!$A:$A,$E391)))</f>
        <v/>
      </c>
      <c r="Q391" s="7" t="str">
        <f>IF($C391="","",IF(COUNTA('RAW_농산물_10월'!$A:$A)&lt;=1,"",SUMIFS('RAW_농산물_10월'!$H:$H,'RAW_농산물_10월'!$D:$D,$C391,'RAW_농산물_10월'!$A:$A,$E391)-SUMIFS('RAW_농산물_9월'!$H:$H,'RAW_농산물_9월'!$D:$D,$C391,'RAW_농산물_9월'!$A:$A,$E391)))</f>
        <v/>
      </c>
      <c r="R391" s="7" t="str">
        <f>IF($C391="","",IF(COUNTA('RAW_농산물_11-12월'!$A:$A)&lt;=1,"",SUMIFS('RAW_농산물_11-12월'!$H:$H,'RAW_농산물_11-12월'!$D:$D,$C391,'RAW_농산물_11-12월'!$A:$A,$E391)-SUMIFS('RAW_농산물_10월'!$H:$H,'RAW_농산물_10월'!$D:$D,$C391,'RAW_농산물_10월'!$A:$A,$E391)))</f>
        <v/>
      </c>
      <c r="S391" s="17" t="str">
        <f t="shared" si="4"/>
        <v/>
      </c>
      <c r="T391" s="17" t="str">
        <f t="shared" si="5"/>
        <v/>
      </c>
      <c r="U391" s="7">
        <f>IF($C391="",0,IF('설정'!$B$3=0,0,CHOOSE('설정'!$B$3,COUNTIFS('RAW_농산물_7월'!$D:$D,$C391,'RAW_농산물_7월'!$A:$A,$E391),COUNTIFS('RAW_농산물_8월'!$D:$D,$C391,'RAW_농산물_8월'!$A:$A,$E391),COUNTIFS('RAW_농산물_9월'!$D:$D,$C391,'RAW_농산물_9월'!$A:$A,$E391),COUNTIFS('RAW_농산물_10월'!$D:$D,$C391,'RAW_농산물_10월'!$A:$A,$E391),COUNTIFS('RAW_농산물_11-12월'!$D:$D,$C391,'RAW_농산물_11-12월'!$A:$A,$E391))))</f>
        <v>0</v>
      </c>
    </row>
    <row r="392" ht="15.75" customHeight="1">
      <c r="A392" s="5"/>
      <c r="B392" s="5"/>
      <c r="C392" s="5"/>
      <c r="D392" s="6"/>
      <c r="E392" s="5"/>
      <c r="F392" s="7" t="str">
        <f>IF($C392="","",IF('설정'!$B$3=0,"",CHOOSE('설정'!$B$3,SUMIFS('RAW_농산물_7월'!$F:$F,'RAW_농산물_7월'!$D:$D,$C392,'RAW_농산물_7월'!$A:$A,$E392),SUMIFS('RAW_농산물_8월'!$F:$F,'RAW_농산물_8월'!$D:$D,$C392,'RAW_농산물_8월'!$A:$A,$E392),SUMIFS('RAW_농산물_9월'!$F:$F,'RAW_농산물_9월'!$D:$D,$C392,'RAW_농산물_9월'!$A:$A,$E392),SUMIFS('RAW_농산물_10월'!$F:$F,'RAW_농산물_10월'!$D:$D,$C392,'RAW_농산물_10월'!$A:$A,$E392),SUMIFS('RAW_농산물_11-12월'!$F:$F,'RAW_농산물_11-12월'!$D:$D,$C392,'RAW_농산물_11-12월'!$A:$A,$E392))))</f>
        <v/>
      </c>
      <c r="G392" s="7" t="str">
        <f>IF($C392="","",IF('설정'!$B$3=0,"",CHOOSE('설정'!$B$3,SUMIFS('RAW_농산물_7월'!$G:$G,'RAW_농산물_7월'!$D:$D,$C392,'RAW_농산물_7월'!$A:$A,$E392),SUMIFS('RAW_농산물_8월'!$G:$G,'RAW_농산물_8월'!$D:$D,$C392,'RAW_농산물_8월'!$A:$A,$E392),SUMIFS('RAW_농산물_9월'!$G:$G,'RAW_농산물_9월'!$D:$D,$C392,'RAW_농산물_9월'!$A:$A,$E392),SUMIFS('RAW_농산물_10월'!$G:$G,'RAW_농산물_10월'!$D:$D,$C392,'RAW_농산물_10월'!$A:$A,$E392),SUMIFS('RAW_농산물_11-12월'!$G:$G,'RAW_농산물_11-12월'!$D:$D,$C392,'RAW_농산물_11-12월'!$A:$A,$E392))))</f>
        <v/>
      </c>
      <c r="H392" s="14" t="str">
        <f>IF($C392="","",IF('설정'!$B$3=0,"",CHOOSE('설정'!$B$3,SUMIFS('RAW_농산물_7월'!$H:$H,'RAW_농산물_7월'!$D:$D,$C392,'RAW_농산물_7월'!$A:$A,$E392),SUMIFS('RAW_농산물_8월'!$H:$H,'RAW_농산물_8월'!$D:$D,$C392,'RAW_농산물_8월'!$A:$A,$E392),SUMIFS('RAW_농산물_9월'!$H:$H,'RAW_농산물_9월'!$D:$D,$C392,'RAW_농산물_9월'!$A:$A,$E392),SUMIFS('RAW_농산물_10월'!$H:$H,'RAW_농산물_10월'!$D:$D,$C392,'RAW_농산물_10월'!$A:$A,$E392),SUMIFS('RAW_농산물_11-12월'!$H:$H,'RAW_농산물_11-12월'!$D:$D,$C392,'RAW_농산물_11-12월'!$A:$A,$E392))))</f>
        <v/>
      </c>
      <c r="I392" s="17" t="str">
        <f>IF($C392="","",IF(COUNTIFS('RAW_농산물_7월'!$D:$D,$C392,'RAW_농산물_7월'!$A:$A,$E392)&gt;0,"O",""))</f>
        <v/>
      </c>
      <c r="J392" s="17" t="str">
        <f>IF($C392="","",IF(COUNTIFS('RAW_농산물_8월'!$D:$D,$C392,'RAW_농산물_8월'!$A:$A,$E392)&gt;0,"O",""))</f>
        <v/>
      </c>
      <c r="K392" s="17" t="str">
        <f>IF($C392="","",IF(COUNTIFS('RAW_농산물_9월'!$D:$D,$C392,'RAW_농산물_9월'!$A:$A,$E392)&gt;0,"O",""))</f>
        <v/>
      </c>
      <c r="L392" s="17" t="str">
        <f>IF($C392="","",IF(COUNTIFS('RAW_농산물_10월'!$D:$D,$C392,'RAW_농산물_10월'!$A:$A,$E392)&gt;0,"O",""))</f>
        <v/>
      </c>
      <c r="M392" s="17" t="str">
        <f>IF($C392="","",IF(COUNTIFS('RAW_농산물_11-12월'!$D:$D,$C392,'RAW_농산물_11-12월'!$A:$A,$E392)&gt;0,"O",""))</f>
        <v/>
      </c>
      <c r="N392" s="7" t="str">
        <f>IF($C392="","",IF(COUNTA('RAW_농산물_7월'!$A:$A)&lt;=1,"",SUMIFS('RAW_농산물_7월'!$H:$H,'RAW_농산물_7월'!$D:$D,$C392,'RAW_농산물_7월'!$A:$A,$E392)))</f>
        <v/>
      </c>
      <c r="O392" s="7" t="str">
        <f>IF($C392="","",IF(COUNTA('RAW_농산물_8월'!$A:$A)&lt;=1,"",SUMIFS('RAW_농산물_8월'!$H:$H,'RAW_농산물_8월'!$D:$D,$C392,'RAW_농산물_8월'!$A:$A,$E392)-SUMIFS('RAW_농산물_7월'!$H:$H,'RAW_농산물_7월'!$D:$D,$C392,'RAW_농산물_7월'!$A:$A,$E392)))</f>
        <v/>
      </c>
      <c r="P392" s="7" t="str">
        <f>IF($C392="","",IF(COUNTA('RAW_농산물_9월'!$A:$A)&lt;=1,"",SUMIFS('RAW_농산물_9월'!$H:$H,'RAW_농산물_9월'!$D:$D,$C392,'RAW_농산물_9월'!$A:$A,$E392)-SUMIFS('RAW_농산물_8월'!$H:$H,'RAW_농산물_8월'!$D:$D,$C392,'RAW_농산물_8월'!$A:$A,$E392)))</f>
        <v/>
      </c>
      <c r="Q392" s="7" t="str">
        <f>IF($C392="","",IF(COUNTA('RAW_농산물_10월'!$A:$A)&lt;=1,"",SUMIFS('RAW_농산물_10월'!$H:$H,'RAW_농산물_10월'!$D:$D,$C392,'RAW_농산물_10월'!$A:$A,$E392)-SUMIFS('RAW_농산물_9월'!$H:$H,'RAW_농산물_9월'!$D:$D,$C392,'RAW_농산물_9월'!$A:$A,$E392)))</f>
        <v/>
      </c>
      <c r="R392" s="7" t="str">
        <f>IF($C392="","",IF(COUNTA('RAW_농산물_11-12월'!$A:$A)&lt;=1,"",SUMIFS('RAW_농산물_11-12월'!$H:$H,'RAW_농산물_11-12월'!$D:$D,$C392,'RAW_농산물_11-12월'!$A:$A,$E392)-SUMIFS('RAW_농산물_10월'!$H:$H,'RAW_농산물_10월'!$D:$D,$C392,'RAW_농산물_10월'!$A:$A,$E392)))</f>
        <v/>
      </c>
      <c r="S392" s="17" t="str">
        <f t="shared" si="4"/>
        <v/>
      </c>
      <c r="T392" s="17" t="str">
        <f t="shared" si="5"/>
        <v/>
      </c>
      <c r="U392" s="7">
        <f>IF($C392="",0,IF('설정'!$B$3=0,0,CHOOSE('설정'!$B$3,COUNTIFS('RAW_농산물_7월'!$D:$D,$C392,'RAW_농산물_7월'!$A:$A,$E392),COUNTIFS('RAW_농산물_8월'!$D:$D,$C392,'RAW_농산물_8월'!$A:$A,$E392),COUNTIFS('RAW_농산물_9월'!$D:$D,$C392,'RAW_농산물_9월'!$A:$A,$E392),COUNTIFS('RAW_농산물_10월'!$D:$D,$C392,'RAW_농산물_10월'!$A:$A,$E392),COUNTIFS('RAW_농산물_11-12월'!$D:$D,$C392,'RAW_농산물_11-12월'!$A:$A,$E392))))</f>
        <v>0</v>
      </c>
    </row>
    <row r="393" ht="15.75" customHeight="1">
      <c r="A393" s="5"/>
      <c r="B393" s="5"/>
      <c r="C393" s="5"/>
      <c r="D393" s="6"/>
      <c r="E393" s="5"/>
      <c r="F393" s="7" t="str">
        <f>IF($C393="","",IF('설정'!$B$3=0,"",CHOOSE('설정'!$B$3,SUMIFS('RAW_농산물_7월'!$F:$F,'RAW_농산물_7월'!$D:$D,$C393,'RAW_농산물_7월'!$A:$A,$E393),SUMIFS('RAW_농산물_8월'!$F:$F,'RAW_농산물_8월'!$D:$D,$C393,'RAW_농산물_8월'!$A:$A,$E393),SUMIFS('RAW_농산물_9월'!$F:$F,'RAW_농산물_9월'!$D:$D,$C393,'RAW_농산물_9월'!$A:$A,$E393),SUMIFS('RAW_농산물_10월'!$F:$F,'RAW_농산물_10월'!$D:$D,$C393,'RAW_농산물_10월'!$A:$A,$E393),SUMIFS('RAW_농산물_11-12월'!$F:$F,'RAW_농산물_11-12월'!$D:$D,$C393,'RAW_농산물_11-12월'!$A:$A,$E393))))</f>
        <v/>
      </c>
      <c r="G393" s="7" t="str">
        <f>IF($C393="","",IF('설정'!$B$3=0,"",CHOOSE('설정'!$B$3,SUMIFS('RAW_농산물_7월'!$G:$G,'RAW_농산물_7월'!$D:$D,$C393,'RAW_농산물_7월'!$A:$A,$E393),SUMIFS('RAW_농산물_8월'!$G:$G,'RAW_농산물_8월'!$D:$D,$C393,'RAW_농산물_8월'!$A:$A,$E393),SUMIFS('RAW_농산물_9월'!$G:$G,'RAW_농산물_9월'!$D:$D,$C393,'RAW_농산물_9월'!$A:$A,$E393),SUMIFS('RAW_농산물_10월'!$G:$G,'RAW_농산물_10월'!$D:$D,$C393,'RAW_농산물_10월'!$A:$A,$E393),SUMIFS('RAW_농산물_11-12월'!$G:$G,'RAW_농산물_11-12월'!$D:$D,$C393,'RAW_농산물_11-12월'!$A:$A,$E393))))</f>
        <v/>
      </c>
      <c r="H393" s="14" t="str">
        <f>IF($C393="","",IF('설정'!$B$3=0,"",CHOOSE('설정'!$B$3,SUMIFS('RAW_농산물_7월'!$H:$H,'RAW_농산물_7월'!$D:$D,$C393,'RAW_농산물_7월'!$A:$A,$E393),SUMIFS('RAW_농산물_8월'!$H:$H,'RAW_농산물_8월'!$D:$D,$C393,'RAW_농산물_8월'!$A:$A,$E393),SUMIFS('RAW_농산물_9월'!$H:$H,'RAW_농산물_9월'!$D:$D,$C393,'RAW_농산물_9월'!$A:$A,$E393),SUMIFS('RAW_농산물_10월'!$H:$H,'RAW_농산물_10월'!$D:$D,$C393,'RAW_농산물_10월'!$A:$A,$E393),SUMIFS('RAW_농산물_11-12월'!$H:$H,'RAW_농산물_11-12월'!$D:$D,$C393,'RAW_농산물_11-12월'!$A:$A,$E393))))</f>
        <v/>
      </c>
      <c r="I393" s="17" t="str">
        <f>IF($C393="","",IF(COUNTIFS('RAW_농산물_7월'!$D:$D,$C393,'RAW_농산물_7월'!$A:$A,$E393)&gt;0,"O",""))</f>
        <v/>
      </c>
      <c r="J393" s="17" t="str">
        <f>IF($C393="","",IF(COUNTIFS('RAW_농산물_8월'!$D:$D,$C393,'RAW_농산물_8월'!$A:$A,$E393)&gt;0,"O",""))</f>
        <v/>
      </c>
      <c r="K393" s="17" t="str">
        <f>IF($C393="","",IF(COUNTIFS('RAW_농산물_9월'!$D:$D,$C393,'RAW_농산물_9월'!$A:$A,$E393)&gt;0,"O",""))</f>
        <v/>
      </c>
      <c r="L393" s="17" t="str">
        <f>IF($C393="","",IF(COUNTIFS('RAW_농산물_10월'!$D:$D,$C393,'RAW_농산물_10월'!$A:$A,$E393)&gt;0,"O",""))</f>
        <v/>
      </c>
      <c r="M393" s="17" t="str">
        <f>IF($C393="","",IF(COUNTIFS('RAW_농산물_11-12월'!$D:$D,$C393,'RAW_농산물_11-12월'!$A:$A,$E393)&gt;0,"O",""))</f>
        <v/>
      </c>
      <c r="N393" s="7" t="str">
        <f>IF($C393="","",IF(COUNTA('RAW_농산물_7월'!$A:$A)&lt;=1,"",SUMIFS('RAW_농산물_7월'!$H:$H,'RAW_농산물_7월'!$D:$D,$C393,'RAW_농산물_7월'!$A:$A,$E393)))</f>
        <v/>
      </c>
      <c r="O393" s="7" t="str">
        <f>IF($C393="","",IF(COUNTA('RAW_농산물_8월'!$A:$A)&lt;=1,"",SUMIFS('RAW_농산물_8월'!$H:$H,'RAW_농산물_8월'!$D:$D,$C393,'RAW_농산물_8월'!$A:$A,$E393)-SUMIFS('RAW_농산물_7월'!$H:$H,'RAW_농산물_7월'!$D:$D,$C393,'RAW_농산물_7월'!$A:$A,$E393)))</f>
        <v/>
      </c>
      <c r="P393" s="7" t="str">
        <f>IF($C393="","",IF(COUNTA('RAW_농산물_9월'!$A:$A)&lt;=1,"",SUMIFS('RAW_농산물_9월'!$H:$H,'RAW_농산물_9월'!$D:$D,$C393,'RAW_농산물_9월'!$A:$A,$E393)-SUMIFS('RAW_농산물_8월'!$H:$H,'RAW_농산물_8월'!$D:$D,$C393,'RAW_농산물_8월'!$A:$A,$E393)))</f>
        <v/>
      </c>
      <c r="Q393" s="7" t="str">
        <f>IF($C393="","",IF(COUNTA('RAW_농산물_10월'!$A:$A)&lt;=1,"",SUMIFS('RAW_농산물_10월'!$H:$H,'RAW_농산물_10월'!$D:$D,$C393,'RAW_농산물_10월'!$A:$A,$E393)-SUMIFS('RAW_농산물_9월'!$H:$H,'RAW_농산물_9월'!$D:$D,$C393,'RAW_농산물_9월'!$A:$A,$E393)))</f>
        <v/>
      </c>
      <c r="R393" s="7" t="str">
        <f>IF($C393="","",IF(COUNTA('RAW_농산물_11-12월'!$A:$A)&lt;=1,"",SUMIFS('RAW_농산물_11-12월'!$H:$H,'RAW_농산물_11-12월'!$D:$D,$C393,'RAW_농산물_11-12월'!$A:$A,$E393)-SUMIFS('RAW_농산물_10월'!$H:$H,'RAW_농산물_10월'!$D:$D,$C393,'RAW_농산물_10월'!$A:$A,$E393)))</f>
        <v/>
      </c>
      <c r="S393" s="17" t="str">
        <f t="shared" si="4"/>
        <v/>
      </c>
      <c r="T393" s="17" t="str">
        <f t="shared" si="5"/>
        <v/>
      </c>
      <c r="U393" s="7">
        <f>IF($C393="",0,IF('설정'!$B$3=0,0,CHOOSE('설정'!$B$3,COUNTIFS('RAW_농산물_7월'!$D:$D,$C393,'RAW_농산물_7월'!$A:$A,$E393),COUNTIFS('RAW_농산물_8월'!$D:$D,$C393,'RAW_농산물_8월'!$A:$A,$E393),COUNTIFS('RAW_농산물_9월'!$D:$D,$C393,'RAW_농산물_9월'!$A:$A,$E393),COUNTIFS('RAW_농산물_10월'!$D:$D,$C393,'RAW_농산물_10월'!$A:$A,$E393),COUNTIFS('RAW_농산물_11-12월'!$D:$D,$C393,'RAW_농산물_11-12월'!$A:$A,$E393))))</f>
        <v>0</v>
      </c>
    </row>
    <row r="394" ht="15.75" customHeight="1">
      <c r="A394" s="5"/>
      <c r="B394" s="5"/>
      <c r="C394" s="5"/>
      <c r="D394" s="6"/>
      <c r="E394" s="5"/>
      <c r="F394" s="7" t="str">
        <f>IF($C394="","",IF('설정'!$B$3=0,"",CHOOSE('설정'!$B$3,SUMIFS('RAW_농산물_7월'!$F:$F,'RAW_농산물_7월'!$D:$D,$C394,'RAW_농산물_7월'!$A:$A,$E394),SUMIFS('RAW_농산물_8월'!$F:$F,'RAW_농산물_8월'!$D:$D,$C394,'RAW_농산물_8월'!$A:$A,$E394),SUMIFS('RAW_농산물_9월'!$F:$F,'RAW_농산물_9월'!$D:$D,$C394,'RAW_농산물_9월'!$A:$A,$E394),SUMIFS('RAW_농산물_10월'!$F:$F,'RAW_농산물_10월'!$D:$D,$C394,'RAW_농산물_10월'!$A:$A,$E394),SUMIFS('RAW_농산물_11-12월'!$F:$F,'RAW_농산물_11-12월'!$D:$D,$C394,'RAW_농산물_11-12월'!$A:$A,$E394))))</f>
        <v/>
      </c>
      <c r="G394" s="7" t="str">
        <f>IF($C394="","",IF('설정'!$B$3=0,"",CHOOSE('설정'!$B$3,SUMIFS('RAW_농산물_7월'!$G:$G,'RAW_농산물_7월'!$D:$D,$C394,'RAW_농산물_7월'!$A:$A,$E394),SUMIFS('RAW_농산물_8월'!$G:$G,'RAW_농산물_8월'!$D:$D,$C394,'RAW_농산물_8월'!$A:$A,$E394),SUMIFS('RAW_농산물_9월'!$G:$G,'RAW_농산물_9월'!$D:$D,$C394,'RAW_농산물_9월'!$A:$A,$E394),SUMIFS('RAW_농산물_10월'!$G:$G,'RAW_농산물_10월'!$D:$D,$C394,'RAW_농산물_10월'!$A:$A,$E394),SUMIFS('RAW_농산물_11-12월'!$G:$G,'RAW_농산물_11-12월'!$D:$D,$C394,'RAW_농산물_11-12월'!$A:$A,$E394))))</f>
        <v/>
      </c>
      <c r="H394" s="14" t="str">
        <f>IF($C394="","",IF('설정'!$B$3=0,"",CHOOSE('설정'!$B$3,SUMIFS('RAW_농산물_7월'!$H:$H,'RAW_농산물_7월'!$D:$D,$C394,'RAW_농산물_7월'!$A:$A,$E394),SUMIFS('RAW_농산물_8월'!$H:$H,'RAW_농산물_8월'!$D:$D,$C394,'RAW_농산물_8월'!$A:$A,$E394),SUMIFS('RAW_농산물_9월'!$H:$H,'RAW_농산물_9월'!$D:$D,$C394,'RAW_농산물_9월'!$A:$A,$E394),SUMIFS('RAW_농산물_10월'!$H:$H,'RAW_농산물_10월'!$D:$D,$C394,'RAW_농산물_10월'!$A:$A,$E394),SUMIFS('RAW_농산물_11-12월'!$H:$H,'RAW_농산물_11-12월'!$D:$D,$C394,'RAW_농산물_11-12월'!$A:$A,$E394))))</f>
        <v/>
      </c>
      <c r="I394" s="17" t="str">
        <f>IF($C394="","",IF(COUNTIFS('RAW_농산물_7월'!$D:$D,$C394,'RAW_농산물_7월'!$A:$A,$E394)&gt;0,"O",""))</f>
        <v/>
      </c>
      <c r="J394" s="17" t="str">
        <f>IF($C394="","",IF(COUNTIFS('RAW_농산물_8월'!$D:$D,$C394,'RAW_농산물_8월'!$A:$A,$E394)&gt;0,"O",""))</f>
        <v/>
      </c>
      <c r="K394" s="17" t="str">
        <f>IF($C394="","",IF(COUNTIFS('RAW_농산물_9월'!$D:$D,$C394,'RAW_농산물_9월'!$A:$A,$E394)&gt;0,"O",""))</f>
        <v/>
      </c>
      <c r="L394" s="17" t="str">
        <f>IF($C394="","",IF(COUNTIFS('RAW_농산물_10월'!$D:$D,$C394,'RAW_농산물_10월'!$A:$A,$E394)&gt;0,"O",""))</f>
        <v/>
      </c>
      <c r="M394" s="17" t="str">
        <f>IF($C394="","",IF(COUNTIFS('RAW_농산물_11-12월'!$D:$D,$C394,'RAW_농산물_11-12월'!$A:$A,$E394)&gt;0,"O",""))</f>
        <v/>
      </c>
      <c r="N394" s="7" t="str">
        <f>IF($C394="","",IF(COUNTA('RAW_농산물_7월'!$A:$A)&lt;=1,"",SUMIFS('RAW_농산물_7월'!$H:$H,'RAW_농산물_7월'!$D:$D,$C394,'RAW_농산물_7월'!$A:$A,$E394)))</f>
        <v/>
      </c>
      <c r="O394" s="7" t="str">
        <f>IF($C394="","",IF(COUNTA('RAW_농산물_8월'!$A:$A)&lt;=1,"",SUMIFS('RAW_농산물_8월'!$H:$H,'RAW_농산물_8월'!$D:$D,$C394,'RAW_농산물_8월'!$A:$A,$E394)-SUMIFS('RAW_농산물_7월'!$H:$H,'RAW_농산물_7월'!$D:$D,$C394,'RAW_농산물_7월'!$A:$A,$E394)))</f>
        <v/>
      </c>
      <c r="P394" s="7" t="str">
        <f>IF($C394="","",IF(COUNTA('RAW_농산물_9월'!$A:$A)&lt;=1,"",SUMIFS('RAW_농산물_9월'!$H:$H,'RAW_농산물_9월'!$D:$D,$C394,'RAW_농산물_9월'!$A:$A,$E394)-SUMIFS('RAW_농산물_8월'!$H:$H,'RAW_농산물_8월'!$D:$D,$C394,'RAW_농산물_8월'!$A:$A,$E394)))</f>
        <v/>
      </c>
      <c r="Q394" s="7" t="str">
        <f>IF($C394="","",IF(COUNTA('RAW_농산물_10월'!$A:$A)&lt;=1,"",SUMIFS('RAW_농산물_10월'!$H:$H,'RAW_농산물_10월'!$D:$D,$C394,'RAW_농산물_10월'!$A:$A,$E394)-SUMIFS('RAW_농산물_9월'!$H:$H,'RAW_농산물_9월'!$D:$D,$C394,'RAW_농산물_9월'!$A:$A,$E394)))</f>
        <v/>
      </c>
      <c r="R394" s="7" t="str">
        <f>IF($C394="","",IF(COUNTA('RAW_농산물_11-12월'!$A:$A)&lt;=1,"",SUMIFS('RAW_농산물_11-12월'!$H:$H,'RAW_농산물_11-12월'!$D:$D,$C394,'RAW_농산물_11-12월'!$A:$A,$E394)-SUMIFS('RAW_농산물_10월'!$H:$H,'RAW_농산물_10월'!$D:$D,$C394,'RAW_농산물_10월'!$A:$A,$E394)))</f>
        <v/>
      </c>
      <c r="S394" s="17" t="str">
        <f t="shared" si="4"/>
        <v/>
      </c>
      <c r="T394" s="17" t="str">
        <f t="shared" si="5"/>
        <v/>
      </c>
      <c r="U394" s="7">
        <f>IF($C394="",0,IF('설정'!$B$3=0,0,CHOOSE('설정'!$B$3,COUNTIFS('RAW_농산물_7월'!$D:$D,$C394,'RAW_농산물_7월'!$A:$A,$E394),COUNTIFS('RAW_농산물_8월'!$D:$D,$C394,'RAW_농산물_8월'!$A:$A,$E394),COUNTIFS('RAW_농산물_9월'!$D:$D,$C394,'RAW_농산물_9월'!$A:$A,$E394),COUNTIFS('RAW_농산물_10월'!$D:$D,$C394,'RAW_농산물_10월'!$A:$A,$E394),COUNTIFS('RAW_농산물_11-12월'!$D:$D,$C394,'RAW_농산물_11-12월'!$A:$A,$E394))))</f>
        <v>0</v>
      </c>
    </row>
    <row r="395" ht="15.75" customHeight="1">
      <c r="A395" s="5"/>
      <c r="B395" s="5"/>
      <c r="C395" s="5"/>
      <c r="D395" s="6"/>
      <c r="E395" s="5"/>
      <c r="F395" s="7" t="str">
        <f>IF($C395="","",IF('설정'!$B$3=0,"",CHOOSE('설정'!$B$3,SUMIFS('RAW_농산물_7월'!$F:$F,'RAW_농산물_7월'!$D:$D,$C395,'RAW_농산물_7월'!$A:$A,$E395),SUMIFS('RAW_농산물_8월'!$F:$F,'RAW_농산물_8월'!$D:$D,$C395,'RAW_농산물_8월'!$A:$A,$E395),SUMIFS('RAW_농산물_9월'!$F:$F,'RAW_농산물_9월'!$D:$D,$C395,'RAW_농산물_9월'!$A:$A,$E395),SUMIFS('RAW_농산물_10월'!$F:$F,'RAW_농산물_10월'!$D:$D,$C395,'RAW_농산물_10월'!$A:$A,$E395),SUMIFS('RAW_농산물_11-12월'!$F:$F,'RAW_농산물_11-12월'!$D:$D,$C395,'RAW_농산물_11-12월'!$A:$A,$E395))))</f>
        <v/>
      </c>
      <c r="G395" s="7" t="str">
        <f>IF($C395="","",IF('설정'!$B$3=0,"",CHOOSE('설정'!$B$3,SUMIFS('RAW_농산물_7월'!$G:$G,'RAW_농산물_7월'!$D:$D,$C395,'RAW_농산물_7월'!$A:$A,$E395),SUMIFS('RAW_농산물_8월'!$G:$G,'RAW_농산물_8월'!$D:$D,$C395,'RAW_농산물_8월'!$A:$A,$E395),SUMIFS('RAW_농산물_9월'!$G:$G,'RAW_농산물_9월'!$D:$D,$C395,'RAW_농산물_9월'!$A:$A,$E395),SUMIFS('RAW_농산물_10월'!$G:$G,'RAW_농산물_10월'!$D:$D,$C395,'RAW_농산물_10월'!$A:$A,$E395),SUMIFS('RAW_농산물_11-12월'!$G:$G,'RAW_농산물_11-12월'!$D:$D,$C395,'RAW_농산물_11-12월'!$A:$A,$E395))))</f>
        <v/>
      </c>
      <c r="H395" s="14" t="str">
        <f>IF($C395="","",IF('설정'!$B$3=0,"",CHOOSE('설정'!$B$3,SUMIFS('RAW_농산물_7월'!$H:$H,'RAW_농산물_7월'!$D:$D,$C395,'RAW_농산물_7월'!$A:$A,$E395),SUMIFS('RAW_농산물_8월'!$H:$H,'RAW_농산물_8월'!$D:$D,$C395,'RAW_농산물_8월'!$A:$A,$E395),SUMIFS('RAW_농산물_9월'!$H:$H,'RAW_농산물_9월'!$D:$D,$C395,'RAW_농산물_9월'!$A:$A,$E395),SUMIFS('RAW_농산물_10월'!$H:$H,'RAW_농산물_10월'!$D:$D,$C395,'RAW_농산물_10월'!$A:$A,$E395),SUMIFS('RAW_농산물_11-12월'!$H:$H,'RAW_농산물_11-12월'!$D:$D,$C395,'RAW_농산물_11-12월'!$A:$A,$E395))))</f>
        <v/>
      </c>
      <c r="I395" s="17" t="str">
        <f>IF($C395="","",IF(COUNTIFS('RAW_농산물_7월'!$D:$D,$C395,'RAW_농산물_7월'!$A:$A,$E395)&gt;0,"O",""))</f>
        <v/>
      </c>
      <c r="J395" s="17" t="str">
        <f>IF($C395="","",IF(COUNTIFS('RAW_농산물_8월'!$D:$D,$C395,'RAW_농산물_8월'!$A:$A,$E395)&gt;0,"O",""))</f>
        <v/>
      </c>
      <c r="K395" s="17" t="str">
        <f>IF($C395="","",IF(COUNTIFS('RAW_농산물_9월'!$D:$D,$C395,'RAW_농산물_9월'!$A:$A,$E395)&gt;0,"O",""))</f>
        <v/>
      </c>
      <c r="L395" s="17" t="str">
        <f>IF($C395="","",IF(COUNTIFS('RAW_농산물_10월'!$D:$D,$C395,'RAW_농산물_10월'!$A:$A,$E395)&gt;0,"O",""))</f>
        <v/>
      </c>
      <c r="M395" s="17" t="str">
        <f>IF($C395="","",IF(COUNTIFS('RAW_농산물_11-12월'!$D:$D,$C395,'RAW_농산물_11-12월'!$A:$A,$E395)&gt;0,"O",""))</f>
        <v/>
      </c>
      <c r="N395" s="7" t="str">
        <f>IF($C395="","",IF(COUNTA('RAW_농산물_7월'!$A:$A)&lt;=1,"",SUMIFS('RAW_농산물_7월'!$H:$H,'RAW_농산물_7월'!$D:$D,$C395,'RAW_농산물_7월'!$A:$A,$E395)))</f>
        <v/>
      </c>
      <c r="O395" s="7" t="str">
        <f>IF($C395="","",IF(COUNTA('RAW_농산물_8월'!$A:$A)&lt;=1,"",SUMIFS('RAW_농산물_8월'!$H:$H,'RAW_농산물_8월'!$D:$D,$C395,'RAW_농산물_8월'!$A:$A,$E395)-SUMIFS('RAW_농산물_7월'!$H:$H,'RAW_농산물_7월'!$D:$D,$C395,'RAW_농산물_7월'!$A:$A,$E395)))</f>
        <v/>
      </c>
      <c r="P395" s="7" t="str">
        <f>IF($C395="","",IF(COUNTA('RAW_농산물_9월'!$A:$A)&lt;=1,"",SUMIFS('RAW_농산물_9월'!$H:$H,'RAW_농산물_9월'!$D:$D,$C395,'RAW_농산물_9월'!$A:$A,$E395)-SUMIFS('RAW_농산물_8월'!$H:$H,'RAW_농산물_8월'!$D:$D,$C395,'RAW_농산물_8월'!$A:$A,$E395)))</f>
        <v/>
      </c>
      <c r="Q395" s="7" t="str">
        <f>IF($C395="","",IF(COUNTA('RAW_농산물_10월'!$A:$A)&lt;=1,"",SUMIFS('RAW_농산물_10월'!$H:$H,'RAW_농산물_10월'!$D:$D,$C395,'RAW_농산물_10월'!$A:$A,$E395)-SUMIFS('RAW_농산물_9월'!$H:$H,'RAW_농산물_9월'!$D:$D,$C395,'RAW_농산물_9월'!$A:$A,$E395)))</f>
        <v/>
      </c>
      <c r="R395" s="7" t="str">
        <f>IF($C395="","",IF(COUNTA('RAW_농산물_11-12월'!$A:$A)&lt;=1,"",SUMIFS('RAW_농산물_11-12월'!$H:$H,'RAW_농산물_11-12월'!$D:$D,$C395,'RAW_농산물_11-12월'!$A:$A,$E395)-SUMIFS('RAW_농산물_10월'!$H:$H,'RAW_농산물_10월'!$D:$D,$C395,'RAW_농산물_10월'!$A:$A,$E395)))</f>
        <v/>
      </c>
      <c r="S395" s="17" t="str">
        <f t="shared" si="4"/>
        <v/>
      </c>
      <c r="T395" s="17" t="str">
        <f t="shared" si="5"/>
        <v/>
      </c>
      <c r="U395" s="7">
        <f>IF($C395="",0,IF('설정'!$B$3=0,0,CHOOSE('설정'!$B$3,COUNTIFS('RAW_농산물_7월'!$D:$D,$C395,'RAW_농산물_7월'!$A:$A,$E395),COUNTIFS('RAW_농산물_8월'!$D:$D,$C395,'RAW_농산물_8월'!$A:$A,$E395),COUNTIFS('RAW_농산물_9월'!$D:$D,$C395,'RAW_농산물_9월'!$A:$A,$E395),COUNTIFS('RAW_농산물_10월'!$D:$D,$C395,'RAW_농산물_10월'!$A:$A,$E395),COUNTIFS('RAW_농산물_11-12월'!$D:$D,$C395,'RAW_농산물_11-12월'!$A:$A,$E395))))</f>
        <v>0</v>
      </c>
    </row>
    <row r="396" ht="15.75" customHeight="1">
      <c r="A396" s="5"/>
      <c r="B396" s="5"/>
      <c r="C396" s="5"/>
      <c r="D396" s="6"/>
      <c r="E396" s="5"/>
      <c r="F396" s="7" t="str">
        <f>IF($C396="","",IF('설정'!$B$3=0,"",CHOOSE('설정'!$B$3,SUMIFS('RAW_농산물_7월'!$F:$F,'RAW_농산물_7월'!$D:$D,$C396,'RAW_농산물_7월'!$A:$A,$E396),SUMIFS('RAW_농산물_8월'!$F:$F,'RAW_농산물_8월'!$D:$D,$C396,'RAW_농산물_8월'!$A:$A,$E396),SUMIFS('RAW_농산물_9월'!$F:$F,'RAW_농산물_9월'!$D:$D,$C396,'RAW_농산물_9월'!$A:$A,$E396),SUMIFS('RAW_농산물_10월'!$F:$F,'RAW_농산물_10월'!$D:$D,$C396,'RAW_농산물_10월'!$A:$A,$E396),SUMIFS('RAW_농산물_11-12월'!$F:$F,'RAW_농산물_11-12월'!$D:$D,$C396,'RAW_농산물_11-12월'!$A:$A,$E396))))</f>
        <v/>
      </c>
      <c r="G396" s="7" t="str">
        <f>IF($C396="","",IF('설정'!$B$3=0,"",CHOOSE('설정'!$B$3,SUMIFS('RAW_농산물_7월'!$G:$G,'RAW_농산물_7월'!$D:$D,$C396,'RAW_농산물_7월'!$A:$A,$E396),SUMIFS('RAW_농산물_8월'!$G:$G,'RAW_농산물_8월'!$D:$D,$C396,'RAW_농산물_8월'!$A:$A,$E396),SUMIFS('RAW_농산물_9월'!$G:$G,'RAW_농산물_9월'!$D:$D,$C396,'RAW_농산물_9월'!$A:$A,$E396),SUMIFS('RAW_농산물_10월'!$G:$G,'RAW_농산물_10월'!$D:$D,$C396,'RAW_농산물_10월'!$A:$A,$E396),SUMIFS('RAW_농산물_11-12월'!$G:$G,'RAW_농산물_11-12월'!$D:$D,$C396,'RAW_농산물_11-12월'!$A:$A,$E396))))</f>
        <v/>
      </c>
      <c r="H396" s="14" t="str">
        <f>IF($C396="","",IF('설정'!$B$3=0,"",CHOOSE('설정'!$B$3,SUMIFS('RAW_농산물_7월'!$H:$H,'RAW_농산물_7월'!$D:$D,$C396,'RAW_농산물_7월'!$A:$A,$E396),SUMIFS('RAW_농산물_8월'!$H:$H,'RAW_농산물_8월'!$D:$D,$C396,'RAW_농산물_8월'!$A:$A,$E396),SUMIFS('RAW_농산물_9월'!$H:$H,'RAW_농산물_9월'!$D:$D,$C396,'RAW_농산물_9월'!$A:$A,$E396),SUMIFS('RAW_농산물_10월'!$H:$H,'RAW_농산물_10월'!$D:$D,$C396,'RAW_농산물_10월'!$A:$A,$E396),SUMIFS('RAW_농산물_11-12월'!$H:$H,'RAW_농산물_11-12월'!$D:$D,$C396,'RAW_농산물_11-12월'!$A:$A,$E396))))</f>
        <v/>
      </c>
      <c r="I396" s="17" t="str">
        <f>IF($C396="","",IF(COUNTIFS('RAW_농산물_7월'!$D:$D,$C396,'RAW_농산물_7월'!$A:$A,$E396)&gt;0,"O",""))</f>
        <v/>
      </c>
      <c r="J396" s="17" t="str">
        <f>IF($C396="","",IF(COUNTIFS('RAW_농산물_8월'!$D:$D,$C396,'RAW_농산물_8월'!$A:$A,$E396)&gt;0,"O",""))</f>
        <v/>
      </c>
      <c r="K396" s="17" t="str">
        <f>IF($C396="","",IF(COUNTIFS('RAW_농산물_9월'!$D:$D,$C396,'RAW_농산물_9월'!$A:$A,$E396)&gt;0,"O",""))</f>
        <v/>
      </c>
      <c r="L396" s="17" t="str">
        <f>IF($C396="","",IF(COUNTIFS('RAW_농산물_10월'!$D:$D,$C396,'RAW_농산물_10월'!$A:$A,$E396)&gt;0,"O",""))</f>
        <v/>
      </c>
      <c r="M396" s="17" t="str">
        <f>IF($C396="","",IF(COUNTIFS('RAW_농산물_11-12월'!$D:$D,$C396,'RAW_농산물_11-12월'!$A:$A,$E396)&gt;0,"O",""))</f>
        <v/>
      </c>
      <c r="N396" s="7" t="str">
        <f>IF($C396="","",IF(COUNTA('RAW_농산물_7월'!$A:$A)&lt;=1,"",SUMIFS('RAW_농산물_7월'!$H:$H,'RAW_농산물_7월'!$D:$D,$C396,'RAW_농산물_7월'!$A:$A,$E396)))</f>
        <v/>
      </c>
      <c r="O396" s="7" t="str">
        <f>IF($C396="","",IF(COUNTA('RAW_농산물_8월'!$A:$A)&lt;=1,"",SUMIFS('RAW_농산물_8월'!$H:$H,'RAW_농산물_8월'!$D:$D,$C396,'RAW_농산물_8월'!$A:$A,$E396)-SUMIFS('RAW_농산물_7월'!$H:$H,'RAW_농산물_7월'!$D:$D,$C396,'RAW_농산물_7월'!$A:$A,$E396)))</f>
        <v/>
      </c>
      <c r="P396" s="7" t="str">
        <f>IF($C396="","",IF(COUNTA('RAW_농산물_9월'!$A:$A)&lt;=1,"",SUMIFS('RAW_농산물_9월'!$H:$H,'RAW_농산물_9월'!$D:$D,$C396,'RAW_농산물_9월'!$A:$A,$E396)-SUMIFS('RAW_농산물_8월'!$H:$H,'RAW_농산물_8월'!$D:$D,$C396,'RAW_농산물_8월'!$A:$A,$E396)))</f>
        <v/>
      </c>
      <c r="Q396" s="7" t="str">
        <f>IF($C396="","",IF(COUNTA('RAW_농산물_10월'!$A:$A)&lt;=1,"",SUMIFS('RAW_농산물_10월'!$H:$H,'RAW_농산물_10월'!$D:$D,$C396,'RAW_농산물_10월'!$A:$A,$E396)-SUMIFS('RAW_농산물_9월'!$H:$H,'RAW_농산물_9월'!$D:$D,$C396,'RAW_농산물_9월'!$A:$A,$E396)))</f>
        <v/>
      </c>
      <c r="R396" s="7" t="str">
        <f>IF($C396="","",IF(COUNTA('RAW_농산물_11-12월'!$A:$A)&lt;=1,"",SUMIFS('RAW_농산물_11-12월'!$H:$H,'RAW_농산물_11-12월'!$D:$D,$C396,'RAW_농산물_11-12월'!$A:$A,$E396)-SUMIFS('RAW_농산물_10월'!$H:$H,'RAW_농산물_10월'!$D:$D,$C396,'RAW_농산물_10월'!$A:$A,$E396)))</f>
        <v/>
      </c>
      <c r="S396" s="17" t="str">
        <f t="shared" si="4"/>
        <v/>
      </c>
      <c r="T396" s="17" t="str">
        <f t="shared" si="5"/>
        <v/>
      </c>
      <c r="U396" s="7">
        <f>IF($C396="",0,IF('설정'!$B$3=0,0,CHOOSE('설정'!$B$3,COUNTIFS('RAW_농산물_7월'!$D:$D,$C396,'RAW_농산물_7월'!$A:$A,$E396),COUNTIFS('RAW_농산물_8월'!$D:$D,$C396,'RAW_농산물_8월'!$A:$A,$E396),COUNTIFS('RAW_농산물_9월'!$D:$D,$C396,'RAW_농산물_9월'!$A:$A,$E396),COUNTIFS('RAW_농산물_10월'!$D:$D,$C396,'RAW_농산물_10월'!$A:$A,$E396),COUNTIFS('RAW_농산물_11-12월'!$D:$D,$C396,'RAW_농산물_11-12월'!$A:$A,$E396))))</f>
        <v>0</v>
      </c>
    </row>
    <row r="397" ht="15.75" customHeight="1">
      <c r="A397" s="5"/>
      <c r="B397" s="5"/>
      <c r="C397" s="5"/>
      <c r="D397" s="6"/>
      <c r="E397" s="5"/>
      <c r="F397" s="7" t="str">
        <f>IF($C397="","",IF('설정'!$B$3=0,"",CHOOSE('설정'!$B$3,SUMIFS('RAW_농산물_7월'!$F:$F,'RAW_농산물_7월'!$D:$D,$C397,'RAW_농산물_7월'!$A:$A,$E397),SUMIFS('RAW_농산물_8월'!$F:$F,'RAW_농산물_8월'!$D:$D,$C397,'RAW_농산물_8월'!$A:$A,$E397),SUMIFS('RAW_농산물_9월'!$F:$F,'RAW_농산물_9월'!$D:$D,$C397,'RAW_농산물_9월'!$A:$A,$E397),SUMIFS('RAW_농산물_10월'!$F:$F,'RAW_농산물_10월'!$D:$D,$C397,'RAW_농산물_10월'!$A:$A,$E397),SUMIFS('RAW_농산물_11-12월'!$F:$F,'RAW_농산물_11-12월'!$D:$D,$C397,'RAW_농산물_11-12월'!$A:$A,$E397))))</f>
        <v/>
      </c>
      <c r="G397" s="7" t="str">
        <f>IF($C397="","",IF('설정'!$B$3=0,"",CHOOSE('설정'!$B$3,SUMIFS('RAW_농산물_7월'!$G:$G,'RAW_농산물_7월'!$D:$D,$C397,'RAW_농산물_7월'!$A:$A,$E397),SUMIFS('RAW_농산물_8월'!$G:$G,'RAW_농산물_8월'!$D:$D,$C397,'RAW_농산물_8월'!$A:$A,$E397),SUMIFS('RAW_농산물_9월'!$G:$G,'RAW_농산물_9월'!$D:$D,$C397,'RAW_농산물_9월'!$A:$A,$E397),SUMIFS('RAW_농산물_10월'!$G:$G,'RAW_농산물_10월'!$D:$D,$C397,'RAW_농산물_10월'!$A:$A,$E397),SUMIFS('RAW_농산물_11-12월'!$G:$G,'RAW_농산물_11-12월'!$D:$D,$C397,'RAW_농산물_11-12월'!$A:$A,$E397))))</f>
        <v/>
      </c>
      <c r="H397" s="14" t="str">
        <f>IF($C397="","",IF('설정'!$B$3=0,"",CHOOSE('설정'!$B$3,SUMIFS('RAW_농산물_7월'!$H:$H,'RAW_농산물_7월'!$D:$D,$C397,'RAW_농산물_7월'!$A:$A,$E397),SUMIFS('RAW_농산물_8월'!$H:$H,'RAW_농산물_8월'!$D:$D,$C397,'RAW_농산물_8월'!$A:$A,$E397),SUMIFS('RAW_농산물_9월'!$H:$H,'RAW_농산물_9월'!$D:$D,$C397,'RAW_농산물_9월'!$A:$A,$E397),SUMIFS('RAW_농산물_10월'!$H:$H,'RAW_농산물_10월'!$D:$D,$C397,'RAW_농산물_10월'!$A:$A,$E397),SUMIFS('RAW_농산물_11-12월'!$H:$H,'RAW_농산물_11-12월'!$D:$D,$C397,'RAW_농산물_11-12월'!$A:$A,$E397))))</f>
        <v/>
      </c>
      <c r="I397" s="17" t="str">
        <f>IF($C397="","",IF(COUNTIFS('RAW_농산물_7월'!$D:$D,$C397,'RAW_농산물_7월'!$A:$A,$E397)&gt;0,"O",""))</f>
        <v/>
      </c>
      <c r="J397" s="17" t="str">
        <f>IF($C397="","",IF(COUNTIFS('RAW_농산물_8월'!$D:$D,$C397,'RAW_농산물_8월'!$A:$A,$E397)&gt;0,"O",""))</f>
        <v/>
      </c>
      <c r="K397" s="17" t="str">
        <f>IF($C397="","",IF(COUNTIFS('RAW_농산물_9월'!$D:$D,$C397,'RAW_농산물_9월'!$A:$A,$E397)&gt;0,"O",""))</f>
        <v/>
      </c>
      <c r="L397" s="17" t="str">
        <f>IF($C397="","",IF(COUNTIFS('RAW_농산물_10월'!$D:$D,$C397,'RAW_농산물_10월'!$A:$A,$E397)&gt;0,"O",""))</f>
        <v/>
      </c>
      <c r="M397" s="17" t="str">
        <f>IF($C397="","",IF(COUNTIFS('RAW_농산물_11-12월'!$D:$D,$C397,'RAW_농산물_11-12월'!$A:$A,$E397)&gt;0,"O",""))</f>
        <v/>
      </c>
      <c r="N397" s="7" t="str">
        <f>IF($C397="","",IF(COUNTA('RAW_농산물_7월'!$A:$A)&lt;=1,"",SUMIFS('RAW_농산물_7월'!$H:$H,'RAW_농산물_7월'!$D:$D,$C397,'RAW_농산물_7월'!$A:$A,$E397)))</f>
        <v/>
      </c>
      <c r="O397" s="7" t="str">
        <f>IF($C397="","",IF(COUNTA('RAW_농산물_8월'!$A:$A)&lt;=1,"",SUMIFS('RAW_농산물_8월'!$H:$H,'RAW_농산물_8월'!$D:$D,$C397,'RAW_농산물_8월'!$A:$A,$E397)-SUMIFS('RAW_농산물_7월'!$H:$H,'RAW_농산물_7월'!$D:$D,$C397,'RAW_농산물_7월'!$A:$A,$E397)))</f>
        <v/>
      </c>
      <c r="P397" s="7" t="str">
        <f>IF($C397="","",IF(COUNTA('RAW_농산물_9월'!$A:$A)&lt;=1,"",SUMIFS('RAW_농산물_9월'!$H:$H,'RAW_농산물_9월'!$D:$D,$C397,'RAW_농산물_9월'!$A:$A,$E397)-SUMIFS('RAW_농산물_8월'!$H:$H,'RAW_농산물_8월'!$D:$D,$C397,'RAW_농산물_8월'!$A:$A,$E397)))</f>
        <v/>
      </c>
      <c r="Q397" s="7" t="str">
        <f>IF($C397="","",IF(COUNTA('RAW_농산물_10월'!$A:$A)&lt;=1,"",SUMIFS('RAW_농산물_10월'!$H:$H,'RAW_농산물_10월'!$D:$D,$C397,'RAW_농산물_10월'!$A:$A,$E397)-SUMIFS('RAW_농산물_9월'!$H:$H,'RAW_농산물_9월'!$D:$D,$C397,'RAW_농산물_9월'!$A:$A,$E397)))</f>
        <v/>
      </c>
      <c r="R397" s="7" t="str">
        <f>IF($C397="","",IF(COUNTA('RAW_농산물_11-12월'!$A:$A)&lt;=1,"",SUMIFS('RAW_농산물_11-12월'!$H:$H,'RAW_농산물_11-12월'!$D:$D,$C397,'RAW_농산물_11-12월'!$A:$A,$E397)-SUMIFS('RAW_농산물_10월'!$H:$H,'RAW_농산물_10월'!$D:$D,$C397,'RAW_농산물_10월'!$A:$A,$E397)))</f>
        <v/>
      </c>
      <c r="S397" s="17" t="str">
        <f t="shared" si="4"/>
        <v/>
      </c>
      <c r="T397" s="17" t="str">
        <f t="shared" si="5"/>
        <v/>
      </c>
      <c r="U397" s="7">
        <f>IF($C397="",0,IF('설정'!$B$3=0,0,CHOOSE('설정'!$B$3,COUNTIFS('RAW_농산물_7월'!$D:$D,$C397,'RAW_농산물_7월'!$A:$A,$E397),COUNTIFS('RAW_농산물_8월'!$D:$D,$C397,'RAW_농산물_8월'!$A:$A,$E397),COUNTIFS('RAW_농산물_9월'!$D:$D,$C397,'RAW_농산물_9월'!$A:$A,$E397),COUNTIFS('RAW_농산물_10월'!$D:$D,$C397,'RAW_농산물_10월'!$A:$A,$E397),COUNTIFS('RAW_농산물_11-12월'!$D:$D,$C397,'RAW_농산물_11-12월'!$A:$A,$E397))))</f>
        <v>0</v>
      </c>
    </row>
    <row r="398" ht="15.75" customHeight="1">
      <c r="A398" s="5"/>
      <c r="B398" s="5"/>
      <c r="C398" s="5"/>
      <c r="D398" s="6"/>
      <c r="E398" s="5"/>
      <c r="F398" s="7" t="str">
        <f>IF($C398="","",IF('설정'!$B$3=0,"",CHOOSE('설정'!$B$3,SUMIFS('RAW_농산물_7월'!$F:$F,'RAW_농산물_7월'!$D:$D,$C398,'RAW_농산물_7월'!$A:$A,$E398),SUMIFS('RAW_농산물_8월'!$F:$F,'RAW_농산물_8월'!$D:$D,$C398,'RAW_농산물_8월'!$A:$A,$E398),SUMIFS('RAW_농산물_9월'!$F:$F,'RAW_농산물_9월'!$D:$D,$C398,'RAW_농산물_9월'!$A:$A,$E398),SUMIFS('RAW_농산물_10월'!$F:$F,'RAW_농산물_10월'!$D:$D,$C398,'RAW_농산물_10월'!$A:$A,$E398),SUMIFS('RAW_농산물_11-12월'!$F:$F,'RAW_농산물_11-12월'!$D:$D,$C398,'RAW_농산물_11-12월'!$A:$A,$E398))))</f>
        <v/>
      </c>
      <c r="G398" s="7" t="str">
        <f>IF($C398="","",IF('설정'!$B$3=0,"",CHOOSE('설정'!$B$3,SUMIFS('RAW_농산물_7월'!$G:$G,'RAW_농산물_7월'!$D:$D,$C398,'RAW_농산물_7월'!$A:$A,$E398),SUMIFS('RAW_농산물_8월'!$G:$G,'RAW_농산물_8월'!$D:$D,$C398,'RAW_농산물_8월'!$A:$A,$E398),SUMIFS('RAW_농산물_9월'!$G:$G,'RAW_농산물_9월'!$D:$D,$C398,'RAW_농산물_9월'!$A:$A,$E398),SUMIFS('RAW_농산물_10월'!$G:$G,'RAW_농산물_10월'!$D:$D,$C398,'RAW_농산물_10월'!$A:$A,$E398),SUMIFS('RAW_농산물_11-12월'!$G:$G,'RAW_농산물_11-12월'!$D:$D,$C398,'RAW_농산물_11-12월'!$A:$A,$E398))))</f>
        <v/>
      </c>
      <c r="H398" s="14" t="str">
        <f>IF($C398="","",IF('설정'!$B$3=0,"",CHOOSE('설정'!$B$3,SUMIFS('RAW_농산물_7월'!$H:$H,'RAW_농산물_7월'!$D:$D,$C398,'RAW_농산물_7월'!$A:$A,$E398),SUMIFS('RAW_농산물_8월'!$H:$H,'RAW_농산물_8월'!$D:$D,$C398,'RAW_농산물_8월'!$A:$A,$E398),SUMIFS('RAW_농산물_9월'!$H:$H,'RAW_농산물_9월'!$D:$D,$C398,'RAW_농산물_9월'!$A:$A,$E398),SUMIFS('RAW_농산물_10월'!$H:$H,'RAW_농산물_10월'!$D:$D,$C398,'RAW_농산물_10월'!$A:$A,$E398),SUMIFS('RAW_농산물_11-12월'!$H:$H,'RAW_농산물_11-12월'!$D:$D,$C398,'RAW_농산물_11-12월'!$A:$A,$E398))))</f>
        <v/>
      </c>
      <c r="I398" s="17" t="str">
        <f>IF($C398="","",IF(COUNTIFS('RAW_농산물_7월'!$D:$D,$C398,'RAW_농산물_7월'!$A:$A,$E398)&gt;0,"O",""))</f>
        <v/>
      </c>
      <c r="J398" s="17" t="str">
        <f>IF($C398="","",IF(COUNTIFS('RAW_농산물_8월'!$D:$D,$C398,'RAW_농산물_8월'!$A:$A,$E398)&gt;0,"O",""))</f>
        <v/>
      </c>
      <c r="K398" s="17" t="str">
        <f>IF($C398="","",IF(COUNTIFS('RAW_농산물_9월'!$D:$D,$C398,'RAW_농산물_9월'!$A:$A,$E398)&gt;0,"O",""))</f>
        <v/>
      </c>
      <c r="L398" s="17" t="str">
        <f>IF($C398="","",IF(COUNTIFS('RAW_농산물_10월'!$D:$D,$C398,'RAW_농산물_10월'!$A:$A,$E398)&gt;0,"O",""))</f>
        <v/>
      </c>
      <c r="M398" s="17" t="str">
        <f>IF($C398="","",IF(COUNTIFS('RAW_농산물_11-12월'!$D:$D,$C398,'RAW_농산물_11-12월'!$A:$A,$E398)&gt;0,"O",""))</f>
        <v/>
      </c>
      <c r="N398" s="7" t="str">
        <f>IF($C398="","",IF(COUNTA('RAW_농산물_7월'!$A:$A)&lt;=1,"",SUMIFS('RAW_농산물_7월'!$H:$H,'RAW_농산물_7월'!$D:$D,$C398,'RAW_농산물_7월'!$A:$A,$E398)))</f>
        <v/>
      </c>
      <c r="O398" s="7" t="str">
        <f>IF($C398="","",IF(COUNTA('RAW_농산물_8월'!$A:$A)&lt;=1,"",SUMIFS('RAW_농산물_8월'!$H:$H,'RAW_농산물_8월'!$D:$D,$C398,'RAW_농산물_8월'!$A:$A,$E398)-SUMIFS('RAW_농산물_7월'!$H:$H,'RAW_농산물_7월'!$D:$D,$C398,'RAW_농산물_7월'!$A:$A,$E398)))</f>
        <v/>
      </c>
      <c r="P398" s="7" t="str">
        <f>IF($C398="","",IF(COUNTA('RAW_농산물_9월'!$A:$A)&lt;=1,"",SUMIFS('RAW_농산물_9월'!$H:$H,'RAW_농산물_9월'!$D:$D,$C398,'RAW_농산물_9월'!$A:$A,$E398)-SUMIFS('RAW_농산물_8월'!$H:$H,'RAW_농산물_8월'!$D:$D,$C398,'RAW_농산물_8월'!$A:$A,$E398)))</f>
        <v/>
      </c>
      <c r="Q398" s="7" t="str">
        <f>IF($C398="","",IF(COUNTA('RAW_농산물_10월'!$A:$A)&lt;=1,"",SUMIFS('RAW_농산물_10월'!$H:$H,'RAW_농산물_10월'!$D:$D,$C398,'RAW_농산물_10월'!$A:$A,$E398)-SUMIFS('RAW_농산물_9월'!$H:$H,'RAW_농산물_9월'!$D:$D,$C398,'RAW_농산물_9월'!$A:$A,$E398)))</f>
        <v/>
      </c>
      <c r="R398" s="7" t="str">
        <f>IF($C398="","",IF(COUNTA('RAW_농산물_11-12월'!$A:$A)&lt;=1,"",SUMIFS('RAW_농산물_11-12월'!$H:$H,'RAW_농산물_11-12월'!$D:$D,$C398,'RAW_농산물_11-12월'!$A:$A,$E398)-SUMIFS('RAW_농산물_10월'!$H:$H,'RAW_농산물_10월'!$D:$D,$C398,'RAW_농산물_10월'!$A:$A,$E398)))</f>
        <v/>
      </c>
      <c r="S398" s="17" t="str">
        <f t="shared" si="4"/>
        <v/>
      </c>
      <c r="T398" s="17" t="str">
        <f t="shared" si="5"/>
        <v/>
      </c>
      <c r="U398" s="7">
        <f>IF($C398="",0,IF('설정'!$B$3=0,0,CHOOSE('설정'!$B$3,COUNTIFS('RAW_농산물_7월'!$D:$D,$C398,'RAW_농산물_7월'!$A:$A,$E398),COUNTIFS('RAW_농산물_8월'!$D:$D,$C398,'RAW_농산물_8월'!$A:$A,$E398),COUNTIFS('RAW_농산물_9월'!$D:$D,$C398,'RAW_농산물_9월'!$A:$A,$E398),COUNTIFS('RAW_농산물_10월'!$D:$D,$C398,'RAW_농산물_10월'!$A:$A,$E398),COUNTIFS('RAW_농산물_11-12월'!$D:$D,$C398,'RAW_농산물_11-12월'!$A:$A,$E398))))</f>
        <v>0</v>
      </c>
    </row>
    <row r="399" ht="15.75" customHeight="1">
      <c r="A399" s="5"/>
      <c r="B399" s="5"/>
      <c r="C399" s="5"/>
      <c r="D399" s="6"/>
      <c r="E399" s="5"/>
      <c r="F399" s="7" t="str">
        <f>IF($C399="","",IF('설정'!$B$3=0,"",CHOOSE('설정'!$B$3,SUMIFS('RAW_농산물_7월'!$F:$F,'RAW_농산물_7월'!$D:$D,$C399,'RAW_농산물_7월'!$A:$A,$E399),SUMIFS('RAW_농산물_8월'!$F:$F,'RAW_농산물_8월'!$D:$D,$C399,'RAW_농산물_8월'!$A:$A,$E399),SUMIFS('RAW_농산물_9월'!$F:$F,'RAW_농산물_9월'!$D:$D,$C399,'RAW_농산물_9월'!$A:$A,$E399),SUMIFS('RAW_농산물_10월'!$F:$F,'RAW_농산물_10월'!$D:$D,$C399,'RAW_농산물_10월'!$A:$A,$E399),SUMIFS('RAW_농산물_11-12월'!$F:$F,'RAW_농산물_11-12월'!$D:$D,$C399,'RAW_농산물_11-12월'!$A:$A,$E399))))</f>
        <v/>
      </c>
      <c r="G399" s="7" t="str">
        <f>IF($C399="","",IF('설정'!$B$3=0,"",CHOOSE('설정'!$B$3,SUMIFS('RAW_농산물_7월'!$G:$G,'RAW_농산물_7월'!$D:$D,$C399,'RAW_농산물_7월'!$A:$A,$E399),SUMIFS('RAW_농산물_8월'!$G:$G,'RAW_농산물_8월'!$D:$D,$C399,'RAW_농산물_8월'!$A:$A,$E399),SUMIFS('RAW_농산물_9월'!$G:$G,'RAW_농산물_9월'!$D:$D,$C399,'RAW_농산물_9월'!$A:$A,$E399),SUMIFS('RAW_농산물_10월'!$G:$G,'RAW_농산물_10월'!$D:$D,$C399,'RAW_농산물_10월'!$A:$A,$E399),SUMIFS('RAW_농산물_11-12월'!$G:$G,'RAW_농산물_11-12월'!$D:$D,$C399,'RAW_농산물_11-12월'!$A:$A,$E399))))</f>
        <v/>
      </c>
      <c r="H399" s="14" t="str">
        <f>IF($C399="","",IF('설정'!$B$3=0,"",CHOOSE('설정'!$B$3,SUMIFS('RAW_농산물_7월'!$H:$H,'RAW_농산물_7월'!$D:$D,$C399,'RAW_농산물_7월'!$A:$A,$E399),SUMIFS('RAW_농산물_8월'!$H:$H,'RAW_농산물_8월'!$D:$D,$C399,'RAW_농산물_8월'!$A:$A,$E399),SUMIFS('RAW_농산물_9월'!$H:$H,'RAW_농산물_9월'!$D:$D,$C399,'RAW_농산물_9월'!$A:$A,$E399),SUMIFS('RAW_농산물_10월'!$H:$H,'RAW_농산물_10월'!$D:$D,$C399,'RAW_농산물_10월'!$A:$A,$E399),SUMIFS('RAW_농산물_11-12월'!$H:$H,'RAW_농산물_11-12월'!$D:$D,$C399,'RAW_농산물_11-12월'!$A:$A,$E399))))</f>
        <v/>
      </c>
      <c r="I399" s="17" t="str">
        <f>IF($C399="","",IF(COUNTIFS('RAW_농산물_7월'!$D:$D,$C399,'RAW_농산물_7월'!$A:$A,$E399)&gt;0,"O",""))</f>
        <v/>
      </c>
      <c r="J399" s="17" t="str">
        <f>IF($C399="","",IF(COUNTIFS('RAW_농산물_8월'!$D:$D,$C399,'RAW_농산물_8월'!$A:$A,$E399)&gt;0,"O",""))</f>
        <v/>
      </c>
      <c r="K399" s="17" t="str">
        <f>IF($C399="","",IF(COUNTIFS('RAW_농산물_9월'!$D:$D,$C399,'RAW_농산물_9월'!$A:$A,$E399)&gt;0,"O",""))</f>
        <v/>
      </c>
      <c r="L399" s="17" t="str">
        <f>IF($C399="","",IF(COUNTIFS('RAW_농산물_10월'!$D:$D,$C399,'RAW_농산물_10월'!$A:$A,$E399)&gt;0,"O",""))</f>
        <v/>
      </c>
      <c r="M399" s="17" t="str">
        <f>IF($C399="","",IF(COUNTIFS('RAW_농산물_11-12월'!$D:$D,$C399,'RAW_농산물_11-12월'!$A:$A,$E399)&gt;0,"O",""))</f>
        <v/>
      </c>
      <c r="N399" s="7" t="str">
        <f>IF($C399="","",IF(COUNTA('RAW_농산물_7월'!$A:$A)&lt;=1,"",SUMIFS('RAW_농산물_7월'!$H:$H,'RAW_농산물_7월'!$D:$D,$C399,'RAW_농산물_7월'!$A:$A,$E399)))</f>
        <v/>
      </c>
      <c r="O399" s="7" t="str">
        <f>IF($C399="","",IF(COUNTA('RAW_농산물_8월'!$A:$A)&lt;=1,"",SUMIFS('RAW_농산물_8월'!$H:$H,'RAW_농산물_8월'!$D:$D,$C399,'RAW_농산물_8월'!$A:$A,$E399)-SUMIFS('RAW_농산물_7월'!$H:$H,'RAW_농산물_7월'!$D:$D,$C399,'RAW_농산물_7월'!$A:$A,$E399)))</f>
        <v/>
      </c>
      <c r="P399" s="7" t="str">
        <f>IF($C399="","",IF(COUNTA('RAW_농산물_9월'!$A:$A)&lt;=1,"",SUMIFS('RAW_농산물_9월'!$H:$H,'RAW_농산물_9월'!$D:$D,$C399,'RAW_농산물_9월'!$A:$A,$E399)-SUMIFS('RAW_농산물_8월'!$H:$H,'RAW_농산물_8월'!$D:$D,$C399,'RAW_농산물_8월'!$A:$A,$E399)))</f>
        <v/>
      </c>
      <c r="Q399" s="7" t="str">
        <f>IF($C399="","",IF(COUNTA('RAW_농산물_10월'!$A:$A)&lt;=1,"",SUMIFS('RAW_농산물_10월'!$H:$H,'RAW_농산물_10월'!$D:$D,$C399,'RAW_농산물_10월'!$A:$A,$E399)-SUMIFS('RAW_농산물_9월'!$H:$H,'RAW_농산물_9월'!$D:$D,$C399,'RAW_농산물_9월'!$A:$A,$E399)))</f>
        <v/>
      </c>
      <c r="R399" s="7" t="str">
        <f>IF($C399="","",IF(COUNTA('RAW_농산물_11-12월'!$A:$A)&lt;=1,"",SUMIFS('RAW_농산물_11-12월'!$H:$H,'RAW_농산물_11-12월'!$D:$D,$C399,'RAW_농산물_11-12월'!$A:$A,$E399)-SUMIFS('RAW_농산물_10월'!$H:$H,'RAW_농산물_10월'!$D:$D,$C399,'RAW_농산물_10월'!$A:$A,$E399)))</f>
        <v/>
      </c>
      <c r="S399" s="17" t="str">
        <f t="shared" si="4"/>
        <v/>
      </c>
      <c r="T399" s="17" t="str">
        <f t="shared" si="5"/>
        <v/>
      </c>
      <c r="U399" s="7">
        <f>IF($C399="",0,IF('설정'!$B$3=0,0,CHOOSE('설정'!$B$3,COUNTIFS('RAW_농산물_7월'!$D:$D,$C399,'RAW_농산물_7월'!$A:$A,$E399),COUNTIFS('RAW_농산물_8월'!$D:$D,$C399,'RAW_농산물_8월'!$A:$A,$E399),COUNTIFS('RAW_농산물_9월'!$D:$D,$C399,'RAW_농산물_9월'!$A:$A,$E399),COUNTIFS('RAW_농산물_10월'!$D:$D,$C399,'RAW_농산물_10월'!$A:$A,$E399),COUNTIFS('RAW_농산물_11-12월'!$D:$D,$C399,'RAW_농산물_11-12월'!$A:$A,$E399))))</f>
        <v>0</v>
      </c>
    </row>
    <row r="400" ht="15.75" customHeight="1">
      <c r="A400" s="5"/>
      <c r="B400" s="5"/>
      <c r="C400" s="5"/>
      <c r="D400" s="6"/>
      <c r="E400" s="5"/>
      <c r="F400" s="7" t="str">
        <f>IF($C400="","",IF('설정'!$B$3=0,"",CHOOSE('설정'!$B$3,SUMIFS('RAW_농산물_7월'!$F:$F,'RAW_농산물_7월'!$D:$D,$C400,'RAW_농산물_7월'!$A:$A,$E400),SUMIFS('RAW_농산물_8월'!$F:$F,'RAW_농산물_8월'!$D:$D,$C400,'RAW_농산물_8월'!$A:$A,$E400),SUMIFS('RAW_농산물_9월'!$F:$F,'RAW_농산물_9월'!$D:$D,$C400,'RAW_농산물_9월'!$A:$A,$E400),SUMIFS('RAW_농산물_10월'!$F:$F,'RAW_농산물_10월'!$D:$D,$C400,'RAW_농산물_10월'!$A:$A,$E400),SUMIFS('RAW_농산물_11-12월'!$F:$F,'RAW_농산물_11-12월'!$D:$D,$C400,'RAW_농산물_11-12월'!$A:$A,$E400))))</f>
        <v/>
      </c>
      <c r="G400" s="7" t="str">
        <f>IF($C400="","",IF('설정'!$B$3=0,"",CHOOSE('설정'!$B$3,SUMIFS('RAW_농산물_7월'!$G:$G,'RAW_농산물_7월'!$D:$D,$C400,'RAW_농산물_7월'!$A:$A,$E400),SUMIFS('RAW_농산물_8월'!$G:$G,'RAW_농산물_8월'!$D:$D,$C400,'RAW_농산물_8월'!$A:$A,$E400),SUMIFS('RAW_농산물_9월'!$G:$G,'RAW_농산물_9월'!$D:$D,$C400,'RAW_농산물_9월'!$A:$A,$E400),SUMIFS('RAW_농산물_10월'!$G:$G,'RAW_농산물_10월'!$D:$D,$C400,'RAW_농산물_10월'!$A:$A,$E400),SUMIFS('RAW_농산물_11-12월'!$G:$G,'RAW_농산물_11-12월'!$D:$D,$C400,'RAW_농산물_11-12월'!$A:$A,$E400))))</f>
        <v/>
      </c>
      <c r="H400" s="14" t="str">
        <f>IF($C400="","",IF('설정'!$B$3=0,"",CHOOSE('설정'!$B$3,SUMIFS('RAW_농산물_7월'!$H:$H,'RAW_농산물_7월'!$D:$D,$C400,'RAW_농산물_7월'!$A:$A,$E400),SUMIFS('RAW_농산물_8월'!$H:$H,'RAW_농산물_8월'!$D:$D,$C400,'RAW_농산물_8월'!$A:$A,$E400),SUMIFS('RAW_농산물_9월'!$H:$H,'RAW_농산물_9월'!$D:$D,$C400,'RAW_농산물_9월'!$A:$A,$E400),SUMIFS('RAW_농산물_10월'!$H:$H,'RAW_농산물_10월'!$D:$D,$C400,'RAW_농산물_10월'!$A:$A,$E400),SUMIFS('RAW_농산물_11-12월'!$H:$H,'RAW_농산물_11-12월'!$D:$D,$C400,'RAW_농산물_11-12월'!$A:$A,$E400))))</f>
        <v/>
      </c>
      <c r="I400" s="17" t="str">
        <f>IF($C400="","",IF(COUNTIFS('RAW_농산물_7월'!$D:$D,$C400,'RAW_농산물_7월'!$A:$A,$E400)&gt;0,"O",""))</f>
        <v/>
      </c>
      <c r="J400" s="17" t="str">
        <f>IF($C400="","",IF(COUNTIFS('RAW_농산물_8월'!$D:$D,$C400,'RAW_농산물_8월'!$A:$A,$E400)&gt;0,"O",""))</f>
        <v/>
      </c>
      <c r="K400" s="17" t="str">
        <f>IF($C400="","",IF(COUNTIFS('RAW_농산물_9월'!$D:$D,$C400,'RAW_농산물_9월'!$A:$A,$E400)&gt;0,"O",""))</f>
        <v/>
      </c>
      <c r="L400" s="17" t="str">
        <f>IF($C400="","",IF(COUNTIFS('RAW_농산물_10월'!$D:$D,$C400,'RAW_농산물_10월'!$A:$A,$E400)&gt;0,"O",""))</f>
        <v/>
      </c>
      <c r="M400" s="17" t="str">
        <f>IF($C400="","",IF(COUNTIFS('RAW_농산물_11-12월'!$D:$D,$C400,'RAW_농산물_11-12월'!$A:$A,$E400)&gt;0,"O",""))</f>
        <v/>
      </c>
      <c r="N400" s="7" t="str">
        <f>IF($C400="","",IF(COUNTA('RAW_농산물_7월'!$A:$A)&lt;=1,"",SUMIFS('RAW_농산물_7월'!$H:$H,'RAW_농산물_7월'!$D:$D,$C400,'RAW_농산물_7월'!$A:$A,$E400)))</f>
        <v/>
      </c>
      <c r="O400" s="7" t="str">
        <f>IF($C400="","",IF(COUNTA('RAW_농산물_8월'!$A:$A)&lt;=1,"",SUMIFS('RAW_농산물_8월'!$H:$H,'RAW_농산물_8월'!$D:$D,$C400,'RAW_농산물_8월'!$A:$A,$E400)-SUMIFS('RAW_농산물_7월'!$H:$H,'RAW_농산물_7월'!$D:$D,$C400,'RAW_농산물_7월'!$A:$A,$E400)))</f>
        <v/>
      </c>
      <c r="P400" s="7" t="str">
        <f>IF($C400="","",IF(COUNTA('RAW_농산물_9월'!$A:$A)&lt;=1,"",SUMIFS('RAW_농산물_9월'!$H:$H,'RAW_농산물_9월'!$D:$D,$C400,'RAW_농산물_9월'!$A:$A,$E400)-SUMIFS('RAW_농산물_8월'!$H:$H,'RAW_농산물_8월'!$D:$D,$C400,'RAW_농산물_8월'!$A:$A,$E400)))</f>
        <v/>
      </c>
      <c r="Q400" s="7" t="str">
        <f>IF($C400="","",IF(COUNTA('RAW_농산물_10월'!$A:$A)&lt;=1,"",SUMIFS('RAW_농산물_10월'!$H:$H,'RAW_농산물_10월'!$D:$D,$C400,'RAW_농산물_10월'!$A:$A,$E400)-SUMIFS('RAW_농산물_9월'!$H:$H,'RAW_농산물_9월'!$D:$D,$C400,'RAW_농산물_9월'!$A:$A,$E400)))</f>
        <v/>
      </c>
      <c r="R400" s="7" t="str">
        <f>IF($C400="","",IF(COUNTA('RAW_농산물_11-12월'!$A:$A)&lt;=1,"",SUMIFS('RAW_농산물_11-12월'!$H:$H,'RAW_농산물_11-12월'!$D:$D,$C400,'RAW_농산물_11-12월'!$A:$A,$E400)-SUMIFS('RAW_농산물_10월'!$H:$H,'RAW_농산물_10월'!$D:$D,$C400,'RAW_농산물_10월'!$A:$A,$E400)))</f>
        <v/>
      </c>
      <c r="S400" s="17" t="str">
        <f t="shared" si="4"/>
        <v/>
      </c>
      <c r="T400" s="17" t="str">
        <f t="shared" si="5"/>
        <v/>
      </c>
      <c r="U400" s="7">
        <f>IF($C400="",0,IF('설정'!$B$3=0,0,CHOOSE('설정'!$B$3,COUNTIFS('RAW_농산물_7월'!$D:$D,$C400,'RAW_농산물_7월'!$A:$A,$E400),COUNTIFS('RAW_농산물_8월'!$D:$D,$C400,'RAW_농산물_8월'!$A:$A,$E400),COUNTIFS('RAW_농산물_9월'!$D:$D,$C400,'RAW_농산물_9월'!$A:$A,$E400),COUNTIFS('RAW_농산물_10월'!$D:$D,$C400,'RAW_농산물_10월'!$A:$A,$E400),COUNTIFS('RAW_농산물_11-12월'!$D:$D,$C400,'RAW_농산물_11-12월'!$A:$A,$E400))))</f>
        <v>0</v>
      </c>
    </row>
    <row r="401" ht="15.75" customHeight="1">
      <c r="A401" s="5"/>
      <c r="B401" s="5"/>
      <c r="C401" s="5"/>
      <c r="D401" s="6"/>
      <c r="E401" s="5"/>
      <c r="F401" s="7" t="str">
        <f>IF($C401="","",IF('설정'!$B$3=0,"",CHOOSE('설정'!$B$3,SUMIFS('RAW_농산물_7월'!$F:$F,'RAW_농산물_7월'!$D:$D,$C401,'RAW_농산물_7월'!$A:$A,$E401),SUMIFS('RAW_농산물_8월'!$F:$F,'RAW_농산물_8월'!$D:$D,$C401,'RAW_농산물_8월'!$A:$A,$E401),SUMIFS('RAW_농산물_9월'!$F:$F,'RAW_농산물_9월'!$D:$D,$C401,'RAW_농산물_9월'!$A:$A,$E401),SUMIFS('RAW_농산물_10월'!$F:$F,'RAW_농산물_10월'!$D:$D,$C401,'RAW_농산물_10월'!$A:$A,$E401),SUMIFS('RAW_농산물_11-12월'!$F:$F,'RAW_농산물_11-12월'!$D:$D,$C401,'RAW_농산물_11-12월'!$A:$A,$E401))))</f>
        <v/>
      </c>
      <c r="G401" s="7" t="str">
        <f>IF($C401="","",IF('설정'!$B$3=0,"",CHOOSE('설정'!$B$3,SUMIFS('RAW_농산물_7월'!$G:$G,'RAW_농산물_7월'!$D:$D,$C401,'RAW_농산물_7월'!$A:$A,$E401),SUMIFS('RAW_농산물_8월'!$G:$G,'RAW_농산물_8월'!$D:$D,$C401,'RAW_농산물_8월'!$A:$A,$E401),SUMIFS('RAW_농산물_9월'!$G:$G,'RAW_농산물_9월'!$D:$D,$C401,'RAW_농산물_9월'!$A:$A,$E401),SUMIFS('RAW_농산물_10월'!$G:$G,'RAW_농산물_10월'!$D:$D,$C401,'RAW_농산물_10월'!$A:$A,$E401),SUMIFS('RAW_농산물_11-12월'!$G:$G,'RAW_농산물_11-12월'!$D:$D,$C401,'RAW_농산물_11-12월'!$A:$A,$E401))))</f>
        <v/>
      </c>
      <c r="H401" s="14" t="str">
        <f>IF($C401="","",IF('설정'!$B$3=0,"",CHOOSE('설정'!$B$3,SUMIFS('RAW_농산물_7월'!$H:$H,'RAW_농산물_7월'!$D:$D,$C401,'RAW_농산물_7월'!$A:$A,$E401),SUMIFS('RAW_농산물_8월'!$H:$H,'RAW_농산물_8월'!$D:$D,$C401,'RAW_농산물_8월'!$A:$A,$E401),SUMIFS('RAW_농산물_9월'!$H:$H,'RAW_농산물_9월'!$D:$D,$C401,'RAW_농산물_9월'!$A:$A,$E401),SUMIFS('RAW_농산물_10월'!$H:$H,'RAW_농산물_10월'!$D:$D,$C401,'RAW_농산물_10월'!$A:$A,$E401),SUMIFS('RAW_농산물_11-12월'!$H:$H,'RAW_농산물_11-12월'!$D:$D,$C401,'RAW_농산물_11-12월'!$A:$A,$E401))))</f>
        <v/>
      </c>
      <c r="I401" s="17" t="str">
        <f>IF($C401="","",IF(COUNTIFS('RAW_농산물_7월'!$D:$D,$C401,'RAW_농산물_7월'!$A:$A,$E401)&gt;0,"O",""))</f>
        <v/>
      </c>
      <c r="J401" s="17" t="str">
        <f>IF($C401="","",IF(COUNTIFS('RAW_농산물_8월'!$D:$D,$C401,'RAW_농산물_8월'!$A:$A,$E401)&gt;0,"O",""))</f>
        <v/>
      </c>
      <c r="K401" s="17" t="str">
        <f>IF($C401="","",IF(COUNTIFS('RAW_농산물_9월'!$D:$D,$C401,'RAW_농산물_9월'!$A:$A,$E401)&gt;0,"O",""))</f>
        <v/>
      </c>
      <c r="L401" s="17" t="str">
        <f>IF($C401="","",IF(COUNTIFS('RAW_농산물_10월'!$D:$D,$C401,'RAW_농산물_10월'!$A:$A,$E401)&gt;0,"O",""))</f>
        <v/>
      </c>
      <c r="M401" s="17" t="str">
        <f>IF($C401="","",IF(COUNTIFS('RAW_농산물_11-12월'!$D:$D,$C401,'RAW_농산물_11-12월'!$A:$A,$E401)&gt;0,"O",""))</f>
        <v/>
      </c>
      <c r="N401" s="7" t="str">
        <f>IF($C401="","",IF(COUNTA('RAW_농산물_7월'!$A:$A)&lt;=1,"",SUMIFS('RAW_농산물_7월'!$H:$H,'RAW_농산물_7월'!$D:$D,$C401,'RAW_농산물_7월'!$A:$A,$E401)))</f>
        <v/>
      </c>
      <c r="O401" s="7" t="str">
        <f>IF($C401="","",IF(COUNTA('RAW_농산물_8월'!$A:$A)&lt;=1,"",SUMIFS('RAW_농산물_8월'!$H:$H,'RAW_농산물_8월'!$D:$D,$C401,'RAW_농산물_8월'!$A:$A,$E401)-SUMIFS('RAW_농산물_7월'!$H:$H,'RAW_농산물_7월'!$D:$D,$C401,'RAW_농산물_7월'!$A:$A,$E401)))</f>
        <v/>
      </c>
      <c r="P401" s="7" t="str">
        <f>IF($C401="","",IF(COUNTA('RAW_농산물_9월'!$A:$A)&lt;=1,"",SUMIFS('RAW_농산물_9월'!$H:$H,'RAW_농산물_9월'!$D:$D,$C401,'RAW_농산물_9월'!$A:$A,$E401)-SUMIFS('RAW_농산물_8월'!$H:$H,'RAW_농산물_8월'!$D:$D,$C401,'RAW_농산물_8월'!$A:$A,$E401)))</f>
        <v/>
      </c>
      <c r="Q401" s="7" t="str">
        <f>IF($C401="","",IF(COUNTA('RAW_농산물_10월'!$A:$A)&lt;=1,"",SUMIFS('RAW_농산물_10월'!$H:$H,'RAW_농산물_10월'!$D:$D,$C401,'RAW_농산물_10월'!$A:$A,$E401)-SUMIFS('RAW_농산물_9월'!$H:$H,'RAW_농산물_9월'!$D:$D,$C401,'RAW_농산물_9월'!$A:$A,$E401)))</f>
        <v/>
      </c>
      <c r="R401" s="7" t="str">
        <f>IF($C401="","",IF(COUNTA('RAW_농산물_11-12월'!$A:$A)&lt;=1,"",SUMIFS('RAW_농산물_11-12월'!$H:$H,'RAW_농산물_11-12월'!$D:$D,$C401,'RAW_농산물_11-12월'!$A:$A,$E401)-SUMIFS('RAW_농산물_10월'!$H:$H,'RAW_농산물_10월'!$D:$D,$C401,'RAW_농산물_10월'!$A:$A,$E401)))</f>
        <v/>
      </c>
      <c r="S401" s="17" t="str">
        <f t="shared" si="4"/>
        <v/>
      </c>
      <c r="T401" s="17" t="str">
        <f t="shared" si="5"/>
        <v/>
      </c>
      <c r="U401" s="7">
        <f>IF($C401="",0,IF('설정'!$B$3=0,0,CHOOSE('설정'!$B$3,COUNTIFS('RAW_농산물_7월'!$D:$D,$C401,'RAW_농산물_7월'!$A:$A,$E401),COUNTIFS('RAW_농산물_8월'!$D:$D,$C401,'RAW_농산물_8월'!$A:$A,$E401),COUNTIFS('RAW_농산물_9월'!$D:$D,$C401,'RAW_농산물_9월'!$A:$A,$E401),COUNTIFS('RAW_농산물_10월'!$D:$D,$C401,'RAW_농산물_10월'!$A:$A,$E401),COUNTIFS('RAW_농산물_11-12월'!$D:$D,$C401,'RAW_농산물_11-12월'!$A:$A,$E401))))</f>
        <v>0</v>
      </c>
    </row>
    <row r="402" ht="15.75" customHeight="1">
      <c r="A402" s="5"/>
      <c r="B402" s="5"/>
      <c r="C402" s="5"/>
      <c r="D402" s="6"/>
      <c r="E402" s="5"/>
      <c r="F402" s="7" t="str">
        <f>IF($C402="","",IF('설정'!$B$3=0,"",CHOOSE('설정'!$B$3,SUMIFS('RAW_농산물_7월'!$F:$F,'RAW_농산물_7월'!$D:$D,$C402,'RAW_농산물_7월'!$A:$A,$E402),SUMIFS('RAW_농산물_8월'!$F:$F,'RAW_농산물_8월'!$D:$D,$C402,'RAW_농산물_8월'!$A:$A,$E402),SUMIFS('RAW_농산물_9월'!$F:$F,'RAW_농산물_9월'!$D:$D,$C402,'RAW_농산물_9월'!$A:$A,$E402),SUMIFS('RAW_농산물_10월'!$F:$F,'RAW_농산물_10월'!$D:$D,$C402,'RAW_농산물_10월'!$A:$A,$E402),SUMIFS('RAW_농산물_11-12월'!$F:$F,'RAW_농산물_11-12월'!$D:$D,$C402,'RAW_농산물_11-12월'!$A:$A,$E402))))</f>
        <v/>
      </c>
      <c r="G402" s="7" t="str">
        <f>IF($C402="","",IF('설정'!$B$3=0,"",CHOOSE('설정'!$B$3,SUMIFS('RAW_농산물_7월'!$G:$G,'RAW_농산물_7월'!$D:$D,$C402,'RAW_농산물_7월'!$A:$A,$E402),SUMIFS('RAW_농산물_8월'!$G:$G,'RAW_농산물_8월'!$D:$D,$C402,'RAW_농산물_8월'!$A:$A,$E402),SUMIFS('RAW_농산물_9월'!$G:$G,'RAW_농산물_9월'!$D:$D,$C402,'RAW_농산물_9월'!$A:$A,$E402),SUMIFS('RAW_농산물_10월'!$G:$G,'RAW_농산물_10월'!$D:$D,$C402,'RAW_농산물_10월'!$A:$A,$E402),SUMIFS('RAW_농산물_11-12월'!$G:$G,'RAW_농산물_11-12월'!$D:$D,$C402,'RAW_농산물_11-12월'!$A:$A,$E402))))</f>
        <v/>
      </c>
      <c r="H402" s="14" t="str">
        <f>IF($C402="","",IF('설정'!$B$3=0,"",CHOOSE('설정'!$B$3,SUMIFS('RAW_농산물_7월'!$H:$H,'RAW_농산물_7월'!$D:$D,$C402,'RAW_농산물_7월'!$A:$A,$E402),SUMIFS('RAW_농산물_8월'!$H:$H,'RAW_농산물_8월'!$D:$D,$C402,'RAW_농산물_8월'!$A:$A,$E402),SUMIFS('RAW_농산물_9월'!$H:$H,'RAW_농산물_9월'!$D:$D,$C402,'RAW_농산물_9월'!$A:$A,$E402),SUMIFS('RAW_농산물_10월'!$H:$H,'RAW_농산물_10월'!$D:$D,$C402,'RAW_농산물_10월'!$A:$A,$E402),SUMIFS('RAW_농산물_11-12월'!$H:$H,'RAW_농산물_11-12월'!$D:$D,$C402,'RAW_농산물_11-12월'!$A:$A,$E402))))</f>
        <v/>
      </c>
      <c r="I402" s="17" t="str">
        <f>IF($C402="","",IF(COUNTIFS('RAW_농산물_7월'!$D:$D,$C402,'RAW_농산물_7월'!$A:$A,$E402)&gt;0,"O",""))</f>
        <v/>
      </c>
      <c r="J402" s="17" t="str">
        <f>IF($C402="","",IF(COUNTIFS('RAW_농산물_8월'!$D:$D,$C402,'RAW_농산물_8월'!$A:$A,$E402)&gt;0,"O",""))</f>
        <v/>
      </c>
      <c r="K402" s="17" t="str">
        <f>IF($C402="","",IF(COUNTIFS('RAW_농산물_9월'!$D:$D,$C402,'RAW_농산물_9월'!$A:$A,$E402)&gt;0,"O",""))</f>
        <v/>
      </c>
      <c r="L402" s="17" t="str">
        <f>IF($C402="","",IF(COUNTIFS('RAW_농산물_10월'!$D:$D,$C402,'RAW_농산물_10월'!$A:$A,$E402)&gt;0,"O",""))</f>
        <v/>
      </c>
      <c r="M402" s="17" t="str">
        <f>IF($C402="","",IF(COUNTIFS('RAW_농산물_11-12월'!$D:$D,$C402,'RAW_농산물_11-12월'!$A:$A,$E402)&gt;0,"O",""))</f>
        <v/>
      </c>
      <c r="N402" s="7" t="str">
        <f>IF($C402="","",IF(COUNTA('RAW_농산물_7월'!$A:$A)&lt;=1,"",SUMIFS('RAW_농산물_7월'!$H:$H,'RAW_농산물_7월'!$D:$D,$C402,'RAW_농산물_7월'!$A:$A,$E402)))</f>
        <v/>
      </c>
      <c r="O402" s="7" t="str">
        <f>IF($C402="","",IF(COUNTA('RAW_농산물_8월'!$A:$A)&lt;=1,"",SUMIFS('RAW_농산물_8월'!$H:$H,'RAW_농산물_8월'!$D:$D,$C402,'RAW_농산물_8월'!$A:$A,$E402)-SUMIFS('RAW_농산물_7월'!$H:$H,'RAW_농산물_7월'!$D:$D,$C402,'RAW_농산물_7월'!$A:$A,$E402)))</f>
        <v/>
      </c>
      <c r="P402" s="7" t="str">
        <f>IF($C402="","",IF(COUNTA('RAW_농산물_9월'!$A:$A)&lt;=1,"",SUMIFS('RAW_농산물_9월'!$H:$H,'RAW_농산물_9월'!$D:$D,$C402,'RAW_농산물_9월'!$A:$A,$E402)-SUMIFS('RAW_농산물_8월'!$H:$H,'RAW_농산물_8월'!$D:$D,$C402,'RAW_농산물_8월'!$A:$A,$E402)))</f>
        <v/>
      </c>
      <c r="Q402" s="7" t="str">
        <f>IF($C402="","",IF(COUNTA('RAW_농산물_10월'!$A:$A)&lt;=1,"",SUMIFS('RAW_농산물_10월'!$H:$H,'RAW_농산물_10월'!$D:$D,$C402,'RAW_농산물_10월'!$A:$A,$E402)-SUMIFS('RAW_농산물_9월'!$H:$H,'RAW_농산물_9월'!$D:$D,$C402,'RAW_농산물_9월'!$A:$A,$E402)))</f>
        <v/>
      </c>
      <c r="R402" s="7" t="str">
        <f>IF($C402="","",IF(COUNTA('RAW_농산물_11-12월'!$A:$A)&lt;=1,"",SUMIFS('RAW_농산물_11-12월'!$H:$H,'RAW_농산물_11-12월'!$D:$D,$C402,'RAW_농산물_11-12월'!$A:$A,$E402)-SUMIFS('RAW_농산물_10월'!$H:$H,'RAW_농산물_10월'!$D:$D,$C402,'RAW_농산물_10월'!$A:$A,$E402)))</f>
        <v/>
      </c>
      <c r="S402" s="17" t="str">
        <f t="shared" si="4"/>
        <v/>
      </c>
      <c r="T402" s="17" t="str">
        <f t="shared" si="5"/>
        <v/>
      </c>
      <c r="U402" s="7">
        <f>IF($C402="",0,IF('설정'!$B$3=0,0,CHOOSE('설정'!$B$3,COUNTIFS('RAW_농산물_7월'!$D:$D,$C402,'RAW_농산물_7월'!$A:$A,$E402),COUNTIFS('RAW_농산물_8월'!$D:$D,$C402,'RAW_농산물_8월'!$A:$A,$E402),COUNTIFS('RAW_농산물_9월'!$D:$D,$C402,'RAW_농산물_9월'!$A:$A,$E402),COUNTIFS('RAW_농산물_10월'!$D:$D,$C402,'RAW_농산물_10월'!$A:$A,$E402),COUNTIFS('RAW_농산물_11-12월'!$D:$D,$C402,'RAW_농산물_11-12월'!$A:$A,$E402))))</f>
        <v>0</v>
      </c>
    </row>
    <row r="403" ht="15.75" customHeight="1">
      <c r="A403" s="5"/>
      <c r="B403" s="5"/>
      <c r="C403" s="5"/>
      <c r="D403" s="6"/>
      <c r="E403" s="5"/>
      <c r="F403" s="7" t="str">
        <f>IF($C403="","",IF('설정'!$B$3=0,"",CHOOSE('설정'!$B$3,SUMIFS('RAW_농산물_7월'!$F:$F,'RAW_농산물_7월'!$D:$D,$C403,'RAW_농산물_7월'!$A:$A,$E403),SUMIFS('RAW_농산물_8월'!$F:$F,'RAW_농산물_8월'!$D:$D,$C403,'RAW_농산물_8월'!$A:$A,$E403),SUMIFS('RAW_농산물_9월'!$F:$F,'RAW_농산물_9월'!$D:$D,$C403,'RAW_농산물_9월'!$A:$A,$E403),SUMIFS('RAW_농산물_10월'!$F:$F,'RAW_농산물_10월'!$D:$D,$C403,'RAW_농산물_10월'!$A:$A,$E403),SUMIFS('RAW_농산물_11-12월'!$F:$F,'RAW_농산물_11-12월'!$D:$D,$C403,'RAW_농산물_11-12월'!$A:$A,$E403))))</f>
        <v/>
      </c>
      <c r="G403" s="7" t="str">
        <f>IF($C403="","",IF('설정'!$B$3=0,"",CHOOSE('설정'!$B$3,SUMIFS('RAW_농산물_7월'!$G:$G,'RAW_농산물_7월'!$D:$D,$C403,'RAW_농산물_7월'!$A:$A,$E403),SUMIFS('RAW_농산물_8월'!$G:$G,'RAW_농산물_8월'!$D:$D,$C403,'RAW_농산물_8월'!$A:$A,$E403),SUMIFS('RAW_농산물_9월'!$G:$G,'RAW_농산물_9월'!$D:$D,$C403,'RAW_농산물_9월'!$A:$A,$E403),SUMIFS('RAW_농산물_10월'!$G:$G,'RAW_농산물_10월'!$D:$D,$C403,'RAW_농산물_10월'!$A:$A,$E403),SUMIFS('RAW_농산물_11-12월'!$G:$G,'RAW_농산물_11-12월'!$D:$D,$C403,'RAW_농산물_11-12월'!$A:$A,$E403))))</f>
        <v/>
      </c>
      <c r="H403" s="14" t="str">
        <f>IF($C403="","",IF('설정'!$B$3=0,"",CHOOSE('설정'!$B$3,SUMIFS('RAW_농산물_7월'!$H:$H,'RAW_농산물_7월'!$D:$D,$C403,'RAW_농산물_7월'!$A:$A,$E403),SUMIFS('RAW_농산물_8월'!$H:$H,'RAW_농산물_8월'!$D:$D,$C403,'RAW_농산물_8월'!$A:$A,$E403),SUMIFS('RAW_농산물_9월'!$H:$H,'RAW_농산물_9월'!$D:$D,$C403,'RAW_농산물_9월'!$A:$A,$E403),SUMIFS('RAW_농산물_10월'!$H:$H,'RAW_농산물_10월'!$D:$D,$C403,'RAW_농산물_10월'!$A:$A,$E403),SUMIFS('RAW_농산물_11-12월'!$H:$H,'RAW_농산물_11-12월'!$D:$D,$C403,'RAW_농산물_11-12월'!$A:$A,$E403))))</f>
        <v/>
      </c>
      <c r="I403" s="17" t="str">
        <f>IF($C403="","",IF(COUNTIFS('RAW_농산물_7월'!$D:$D,$C403,'RAW_농산물_7월'!$A:$A,$E403)&gt;0,"O",""))</f>
        <v/>
      </c>
      <c r="J403" s="17" t="str">
        <f>IF($C403="","",IF(COUNTIFS('RAW_농산물_8월'!$D:$D,$C403,'RAW_농산물_8월'!$A:$A,$E403)&gt;0,"O",""))</f>
        <v/>
      </c>
      <c r="K403" s="17" t="str">
        <f>IF($C403="","",IF(COUNTIFS('RAW_농산물_9월'!$D:$D,$C403,'RAW_농산물_9월'!$A:$A,$E403)&gt;0,"O",""))</f>
        <v/>
      </c>
      <c r="L403" s="17" t="str">
        <f>IF($C403="","",IF(COUNTIFS('RAW_농산물_10월'!$D:$D,$C403,'RAW_농산물_10월'!$A:$A,$E403)&gt;0,"O",""))</f>
        <v/>
      </c>
      <c r="M403" s="17" t="str">
        <f>IF($C403="","",IF(COUNTIFS('RAW_농산물_11-12월'!$D:$D,$C403,'RAW_농산물_11-12월'!$A:$A,$E403)&gt;0,"O",""))</f>
        <v/>
      </c>
      <c r="N403" s="7" t="str">
        <f>IF($C403="","",IF(COUNTA('RAW_농산물_7월'!$A:$A)&lt;=1,"",SUMIFS('RAW_농산물_7월'!$H:$H,'RAW_농산물_7월'!$D:$D,$C403,'RAW_농산물_7월'!$A:$A,$E403)))</f>
        <v/>
      </c>
      <c r="O403" s="7" t="str">
        <f>IF($C403="","",IF(COUNTA('RAW_농산물_8월'!$A:$A)&lt;=1,"",SUMIFS('RAW_농산물_8월'!$H:$H,'RAW_농산물_8월'!$D:$D,$C403,'RAW_농산물_8월'!$A:$A,$E403)-SUMIFS('RAW_농산물_7월'!$H:$H,'RAW_농산물_7월'!$D:$D,$C403,'RAW_농산물_7월'!$A:$A,$E403)))</f>
        <v/>
      </c>
      <c r="P403" s="7" t="str">
        <f>IF($C403="","",IF(COUNTA('RAW_농산물_9월'!$A:$A)&lt;=1,"",SUMIFS('RAW_농산물_9월'!$H:$H,'RAW_농산물_9월'!$D:$D,$C403,'RAW_농산물_9월'!$A:$A,$E403)-SUMIFS('RAW_농산물_8월'!$H:$H,'RAW_농산물_8월'!$D:$D,$C403,'RAW_농산물_8월'!$A:$A,$E403)))</f>
        <v/>
      </c>
      <c r="Q403" s="7" t="str">
        <f>IF($C403="","",IF(COUNTA('RAW_농산물_10월'!$A:$A)&lt;=1,"",SUMIFS('RAW_농산물_10월'!$H:$H,'RAW_농산물_10월'!$D:$D,$C403,'RAW_농산물_10월'!$A:$A,$E403)-SUMIFS('RAW_농산물_9월'!$H:$H,'RAW_농산물_9월'!$D:$D,$C403,'RAW_농산물_9월'!$A:$A,$E403)))</f>
        <v/>
      </c>
      <c r="R403" s="7" t="str">
        <f>IF($C403="","",IF(COUNTA('RAW_농산물_11-12월'!$A:$A)&lt;=1,"",SUMIFS('RAW_농산물_11-12월'!$H:$H,'RAW_농산물_11-12월'!$D:$D,$C403,'RAW_농산물_11-12월'!$A:$A,$E403)-SUMIFS('RAW_농산물_10월'!$H:$H,'RAW_농산물_10월'!$D:$D,$C403,'RAW_농산물_10월'!$A:$A,$E403)))</f>
        <v/>
      </c>
      <c r="S403" s="17" t="str">
        <f t="shared" si="4"/>
        <v/>
      </c>
      <c r="T403" s="17" t="str">
        <f t="shared" si="5"/>
        <v/>
      </c>
      <c r="U403" s="7">
        <f>IF($C403="",0,IF('설정'!$B$3=0,0,CHOOSE('설정'!$B$3,COUNTIFS('RAW_농산물_7월'!$D:$D,$C403,'RAW_농산물_7월'!$A:$A,$E403),COUNTIFS('RAW_농산물_8월'!$D:$D,$C403,'RAW_농산물_8월'!$A:$A,$E403),COUNTIFS('RAW_농산물_9월'!$D:$D,$C403,'RAW_농산물_9월'!$A:$A,$E403),COUNTIFS('RAW_농산물_10월'!$D:$D,$C403,'RAW_농산물_10월'!$A:$A,$E403),COUNTIFS('RAW_농산물_11-12월'!$D:$D,$C403,'RAW_농산물_11-12월'!$A:$A,$E403))))</f>
        <v>0</v>
      </c>
    </row>
    <row r="404" ht="15.75" customHeight="1">
      <c r="A404" s="5"/>
      <c r="B404" s="5"/>
      <c r="C404" s="5"/>
      <c r="D404" s="6"/>
      <c r="E404" s="5"/>
      <c r="F404" s="7" t="str">
        <f>IF($C404="","",IF('설정'!$B$3=0,"",CHOOSE('설정'!$B$3,SUMIFS('RAW_농산물_7월'!$F:$F,'RAW_농산물_7월'!$D:$D,$C404,'RAW_농산물_7월'!$A:$A,$E404),SUMIFS('RAW_농산물_8월'!$F:$F,'RAW_농산물_8월'!$D:$D,$C404,'RAW_농산물_8월'!$A:$A,$E404),SUMIFS('RAW_농산물_9월'!$F:$F,'RAW_농산물_9월'!$D:$D,$C404,'RAW_농산물_9월'!$A:$A,$E404),SUMIFS('RAW_농산물_10월'!$F:$F,'RAW_농산물_10월'!$D:$D,$C404,'RAW_농산물_10월'!$A:$A,$E404),SUMIFS('RAW_농산물_11-12월'!$F:$F,'RAW_농산물_11-12월'!$D:$D,$C404,'RAW_농산물_11-12월'!$A:$A,$E404))))</f>
        <v/>
      </c>
      <c r="G404" s="7" t="str">
        <f>IF($C404="","",IF('설정'!$B$3=0,"",CHOOSE('설정'!$B$3,SUMIFS('RAW_농산물_7월'!$G:$G,'RAW_농산물_7월'!$D:$D,$C404,'RAW_농산물_7월'!$A:$A,$E404),SUMIFS('RAW_농산물_8월'!$G:$G,'RAW_농산물_8월'!$D:$D,$C404,'RAW_농산물_8월'!$A:$A,$E404),SUMIFS('RAW_농산물_9월'!$G:$G,'RAW_농산물_9월'!$D:$D,$C404,'RAW_농산물_9월'!$A:$A,$E404),SUMIFS('RAW_농산물_10월'!$G:$G,'RAW_농산물_10월'!$D:$D,$C404,'RAW_농산물_10월'!$A:$A,$E404),SUMIFS('RAW_농산물_11-12월'!$G:$G,'RAW_농산물_11-12월'!$D:$D,$C404,'RAW_농산물_11-12월'!$A:$A,$E404))))</f>
        <v/>
      </c>
      <c r="H404" s="14" t="str">
        <f>IF($C404="","",IF('설정'!$B$3=0,"",CHOOSE('설정'!$B$3,SUMIFS('RAW_농산물_7월'!$H:$H,'RAW_농산물_7월'!$D:$D,$C404,'RAW_농산물_7월'!$A:$A,$E404),SUMIFS('RAW_농산물_8월'!$H:$H,'RAW_농산물_8월'!$D:$D,$C404,'RAW_농산물_8월'!$A:$A,$E404),SUMIFS('RAW_농산물_9월'!$H:$H,'RAW_농산물_9월'!$D:$D,$C404,'RAW_농산물_9월'!$A:$A,$E404),SUMIFS('RAW_농산물_10월'!$H:$H,'RAW_농산물_10월'!$D:$D,$C404,'RAW_농산물_10월'!$A:$A,$E404),SUMIFS('RAW_농산물_11-12월'!$H:$H,'RAW_농산물_11-12월'!$D:$D,$C404,'RAW_농산물_11-12월'!$A:$A,$E404))))</f>
        <v/>
      </c>
      <c r="I404" s="17" t="str">
        <f>IF($C404="","",IF(COUNTIFS('RAW_농산물_7월'!$D:$D,$C404,'RAW_농산물_7월'!$A:$A,$E404)&gt;0,"O",""))</f>
        <v/>
      </c>
      <c r="J404" s="17" t="str">
        <f>IF($C404="","",IF(COUNTIFS('RAW_농산물_8월'!$D:$D,$C404,'RAW_농산물_8월'!$A:$A,$E404)&gt;0,"O",""))</f>
        <v/>
      </c>
      <c r="K404" s="17" t="str">
        <f>IF($C404="","",IF(COUNTIFS('RAW_농산물_9월'!$D:$D,$C404,'RAW_농산물_9월'!$A:$A,$E404)&gt;0,"O",""))</f>
        <v/>
      </c>
      <c r="L404" s="17" t="str">
        <f>IF($C404="","",IF(COUNTIFS('RAW_농산물_10월'!$D:$D,$C404,'RAW_농산물_10월'!$A:$A,$E404)&gt;0,"O",""))</f>
        <v/>
      </c>
      <c r="M404" s="17" t="str">
        <f>IF($C404="","",IF(COUNTIFS('RAW_농산물_11-12월'!$D:$D,$C404,'RAW_농산물_11-12월'!$A:$A,$E404)&gt;0,"O",""))</f>
        <v/>
      </c>
      <c r="N404" s="7" t="str">
        <f>IF($C404="","",IF(COUNTA('RAW_농산물_7월'!$A:$A)&lt;=1,"",SUMIFS('RAW_농산물_7월'!$H:$H,'RAW_농산물_7월'!$D:$D,$C404,'RAW_농산물_7월'!$A:$A,$E404)))</f>
        <v/>
      </c>
      <c r="O404" s="7" t="str">
        <f>IF($C404="","",IF(COUNTA('RAW_농산물_8월'!$A:$A)&lt;=1,"",SUMIFS('RAW_농산물_8월'!$H:$H,'RAW_농산물_8월'!$D:$D,$C404,'RAW_농산물_8월'!$A:$A,$E404)-SUMIFS('RAW_농산물_7월'!$H:$H,'RAW_농산물_7월'!$D:$D,$C404,'RAW_농산물_7월'!$A:$A,$E404)))</f>
        <v/>
      </c>
      <c r="P404" s="7" t="str">
        <f>IF($C404="","",IF(COUNTA('RAW_농산물_9월'!$A:$A)&lt;=1,"",SUMIFS('RAW_농산물_9월'!$H:$H,'RAW_농산물_9월'!$D:$D,$C404,'RAW_농산물_9월'!$A:$A,$E404)-SUMIFS('RAW_농산물_8월'!$H:$H,'RAW_농산물_8월'!$D:$D,$C404,'RAW_농산물_8월'!$A:$A,$E404)))</f>
        <v/>
      </c>
      <c r="Q404" s="7" t="str">
        <f>IF($C404="","",IF(COUNTA('RAW_농산물_10월'!$A:$A)&lt;=1,"",SUMIFS('RAW_농산물_10월'!$H:$H,'RAW_농산물_10월'!$D:$D,$C404,'RAW_농산물_10월'!$A:$A,$E404)-SUMIFS('RAW_농산물_9월'!$H:$H,'RAW_농산물_9월'!$D:$D,$C404,'RAW_농산물_9월'!$A:$A,$E404)))</f>
        <v/>
      </c>
      <c r="R404" s="7" t="str">
        <f>IF($C404="","",IF(COUNTA('RAW_농산물_11-12월'!$A:$A)&lt;=1,"",SUMIFS('RAW_농산물_11-12월'!$H:$H,'RAW_농산물_11-12월'!$D:$D,$C404,'RAW_농산물_11-12월'!$A:$A,$E404)-SUMIFS('RAW_농산물_10월'!$H:$H,'RAW_농산물_10월'!$D:$D,$C404,'RAW_농산물_10월'!$A:$A,$E404)))</f>
        <v/>
      </c>
      <c r="S404" s="17" t="str">
        <f t="shared" si="4"/>
        <v/>
      </c>
      <c r="T404" s="17" t="str">
        <f t="shared" si="5"/>
        <v/>
      </c>
      <c r="U404" s="7">
        <f>IF($C404="",0,IF('설정'!$B$3=0,0,CHOOSE('설정'!$B$3,COUNTIFS('RAW_농산물_7월'!$D:$D,$C404,'RAW_농산물_7월'!$A:$A,$E404),COUNTIFS('RAW_농산물_8월'!$D:$D,$C404,'RAW_농산물_8월'!$A:$A,$E404),COUNTIFS('RAW_농산물_9월'!$D:$D,$C404,'RAW_농산물_9월'!$A:$A,$E404),COUNTIFS('RAW_농산물_10월'!$D:$D,$C404,'RAW_농산물_10월'!$A:$A,$E404),COUNTIFS('RAW_농산물_11-12월'!$D:$D,$C404,'RAW_농산물_11-12월'!$A:$A,$E404))))</f>
        <v>0</v>
      </c>
    </row>
    <row r="405" ht="15.75" customHeight="1">
      <c r="A405" s="5"/>
      <c r="B405" s="5"/>
      <c r="C405" s="5"/>
      <c r="D405" s="6"/>
      <c r="E405" s="5"/>
      <c r="F405" s="7" t="str">
        <f>IF($C405="","",IF('설정'!$B$3=0,"",CHOOSE('설정'!$B$3,SUMIFS('RAW_농산물_7월'!$F:$F,'RAW_농산물_7월'!$D:$D,$C405,'RAW_농산물_7월'!$A:$A,$E405),SUMIFS('RAW_농산물_8월'!$F:$F,'RAW_농산물_8월'!$D:$D,$C405,'RAW_농산물_8월'!$A:$A,$E405),SUMIFS('RAW_농산물_9월'!$F:$F,'RAW_농산물_9월'!$D:$D,$C405,'RAW_농산물_9월'!$A:$A,$E405),SUMIFS('RAW_농산물_10월'!$F:$F,'RAW_농산물_10월'!$D:$D,$C405,'RAW_농산물_10월'!$A:$A,$E405),SUMIFS('RAW_농산물_11-12월'!$F:$F,'RAW_농산물_11-12월'!$D:$D,$C405,'RAW_농산물_11-12월'!$A:$A,$E405))))</f>
        <v/>
      </c>
      <c r="G405" s="7" t="str">
        <f>IF($C405="","",IF('설정'!$B$3=0,"",CHOOSE('설정'!$B$3,SUMIFS('RAW_농산물_7월'!$G:$G,'RAW_농산물_7월'!$D:$D,$C405,'RAW_농산물_7월'!$A:$A,$E405),SUMIFS('RAW_농산물_8월'!$G:$G,'RAW_농산물_8월'!$D:$D,$C405,'RAW_농산물_8월'!$A:$A,$E405),SUMIFS('RAW_농산물_9월'!$G:$G,'RAW_농산물_9월'!$D:$D,$C405,'RAW_농산물_9월'!$A:$A,$E405),SUMIFS('RAW_농산물_10월'!$G:$G,'RAW_농산물_10월'!$D:$D,$C405,'RAW_농산물_10월'!$A:$A,$E405),SUMIFS('RAW_농산물_11-12월'!$G:$G,'RAW_농산물_11-12월'!$D:$D,$C405,'RAW_농산물_11-12월'!$A:$A,$E405))))</f>
        <v/>
      </c>
      <c r="H405" s="14" t="str">
        <f>IF($C405="","",IF('설정'!$B$3=0,"",CHOOSE('설정'!$B$3,SUMIFS('RAW_농산물_7월'!$H:$H,'RAW_농산물_7월'!$D:$D,$C405,'RAW_농산물_7월'!$A:$A,$E405),SUMIFS('RAW_농산물_8월'!$H:$H,'RAW_농산물_8월'!$D:$D,$C405,'RAW_농산물_8월'!$A:$A,$E405),SUMIFS('RAW_농산물_9월'!$H:$H,'RAW_농산물_9월'!$D:$D,$C405,'RAW_농산물_9월'!$A:$A,$E405),SUMIFS('RAW_농산물_10월'!$H:$H,'RAW_농산물_10월'!$D:$D,$C405,'RAW_농산물_10월'!$A:$A,$E405),SUMIFS('RAW_농산물_11-12월'!$H:$H,'RAW_농산물_11-12월'!$D:$D,$C405,'RAW_농산물_11-12월'!$A:$A,$E405))))</f>
        <v/>
      </c>
      <c r="I405" s="17" t="str">
        <f>IF($C405="","",IF(COUNTIFS('RAW_농산물_7월'!$D:$D,$C405,'RAW_농산물_7월'!$A:$A,$E405)&gt;0,"O",""))</f>
        <v/>
      </c>
      <c r="J405" s="17" t="str">
        <f>IF($C405="","",IF(COUNTIFS('RAW_농산물_8월'!$D:$D,$C405,'RAW_농산물_8월'!$A:$A,$E405)&gt;0,"O",""))</f>
        <v/>
      </c>
      <c r="K405" s="17" t="str">
        <f>IF($C405="","",IF(COUNTIFS('RAW_농산물_9월'!$D:$D,$C405,'RAW_농산물_9월'!$A:$A,$E405)&gt;0,"O",""))</f>
        <v/>
      </c>
      <c r="L405" s="17" t="str">
        <f>IF($C405="","",IF(COUNTIFS('RAW_농산물_10월'!$D:$D,$C405,'RAW_농산물_10월'!$A:$A,$E405)&gt;0,"O",""))</f>
        <v/>
      </c>
      <c r="M405" s="17" t="str">
        <f>IF($C405="","",IF(COUNTIFS('RAW_농산물_11-12월'!$D:$D,$C405,'RAW_농산물_11-12월'!$A:$A,$E405)&gt;0,"O",""))</f>
        <v/>
      </c>
      <c r="N405" s="7" t="str">
        <f>IF($C405="","",IF(COUNTA('RAW_농산물_7월'!$A:$A)&lt;=1,"",SUMIFS('RAW_농산물_7월'!$H:$H,'RAW_농산물_7월'!$D:$D,$C405,'RAW_농산물_7월'!$A:$A,$E405)))</f>
        <v/>
      </c>
      <c r="O405" s="7" t="str">
        <f>IF($C405="","",IF(COUNTA('RAW_농산물_8월'!$A:$A)&lt;=1,"",SUMIFS('RAW_농산물_8월'!$H:$H,'RAW_농산물_8월'!$D:$D,$C405,'RAW_농산물_8월'!$A:$A,$E405)-SUMIFS('RAW_농산물_7월'!$H:$H,'RAW_농산물_7월'!$D:$D,$C405,'RAW_농산물_7월'!$A:$A,$E405)))</f>
        <v/>
      </c>
      <c r="P405" s="7" t="str">
        <f>IF($C405="","",IF(COUNTA('RAW_농산물_9월'!$A:$A)&lt;=1,"",SUMIFS('RAW_농산물_9월'!$H:$H,'RAW_농산물_9월'!$D:$D,$C405,'RAW_농산물_9월'!$A:$A,$E405)-SUMIFS('RAW_농산물_8월'!$H:$H,'RAW_농산물_8월'!$D:$D,$C405,'RAW_농산물_8월'!$A:$A,$E405)))</f>
        <v/>
      </c>
      <c r="Q405" s="7" t="str">
        <f>IF($C405="","",IF(COUNTA('RAW_농산물_10월'!$A:$A)&lt;=1,"",SUMIFS('RAW_농산물_10월'!$H:$H,'RAW_농산물_10월'!$D:$D,$C405,'RAW_농산물_10월'!$A:$A,$E405)-SUMIFS('RAW_농산물_9월'!$H:$H,'RAW_농산물_9월'!$D:$D,$C405,'RAW_농산물_9월'!$A:$A,$E405)))</f>
        <v/>
      </c>
      <c r="R405" s="7" t="str">
        <f>IF($C405="","",IF(COUNTA('RAW_농산물_11-12월'!$A:$A)&lt;=1,"",SUMIFS('RAW_농산물_11-12월'!$H:$H,'RAW_농산물_11-12월'!$D:$D,$C405,'RAW_농산물_11-12월'!$A:$A,$E405)-SUMIFS('RAW_농산물_10월'!$H:$H,'RAW_농산물_10월'!$D:$D,$C405,'RAW_농산물_10월'!$A:$A,$E405)))</f>
        <v/>
      </c>
      <c r="S405" s="17" t="str">
        <f t="shared" si="4"/>
        <v/>
      </c>
      <c r="T405" s="17" t="str">
        <f t="shared" si="5"/>
        <v/>
      </c>
      <c r="U405" s="7">
        <f>IF($C405="",0,IF('설정'!$B$3=0,0,CHOOSE('설정'!$B$3,COUNTIFS('RAW_농산물_7월'!$D:$D,$C405,'RAW_농산물_7월'!$A:$A,$E405),COUNTIFS('RAW_농산물_8월'!$D:$D,$C405,'RAW_농산물_8월'!$A:$A,$E405),COUNTIFS('RAW_농산물_9월'!$D:$D,$C405,'RAW_농산물_9월'!$A:$A,$E405),COUNTIFS('RAW_농산물_10월'!$D:$D,$C405,'RAW_농산물_10월'!$A:$A,$E405),COUNTIFS('RAW_농산물_11-12월'!$D:$D,$C405,'RAW_농산물_11-12월'!$A:$A,$E405))))</f>
        <v>0</v>
      </c>
    </row>
    <row r="406" ht="15.75" customHeight="1">
      <c r="A406" s="5"/>
      <c r="B406" s="5"/>
      <c r="C406" s="5"/>
      <c r="D406" s="6"/>
      <c r="E406" s="5"/>
      <c r="F406" s="7" t="str">
        <f>IF($C406="","",IF('설정'!$B$3=0,"",CHOOSE('설정'!$B$3,SUMIFS('RAW_농산물_7월'!$F:$F,'RAW_농산물_7월'!$D:$D,$C406,'RAW_농산물_7월'!$A:$A,$E406),SUMIFS('RAW_농산물_8월'!$F:$F,'RAW_농산물_8월'!$D:$D,$C406,'RAW_농산물_8월'!$A:$A,$E406),SUMIFS('RAW_농산물_9월'!$F:$F,'RAW_농산물_9월'!$D:$D,$C406,'RAW_농산물_9월'!$A:$A,$E406),SUMIFS('RAW_농산물_10월'!$F:$F,'RAW_농산물_10월'!$D:$D,$C406,'RAW_농산물_10월'!$A:$A,$E406),SUMIFS('RAW_농산물_11-12월'!$F:$F,'RAW_농산물_11-12월'!$D:$D,$C406,'RAW_농산물_11-12월'!$A:$A,$E406))))</f>
        <v/>
      </c>
      <c r="G406" s="7" t="str">
        <f>IF($C406="","",IF('설정'!$B$3=0,"",CHOOSE('설정'!$B$3,SUMIFS('RAW_농산물_7월'!$G:$G,'RAW_농산물_7월'!$D:$D,$C406,'RAW_농산물_7월'!$A:$A,$E406),SUMIFS('RAW_농산물_8월'!$G:$G,'RAW_농산물_8월'!$D:$D,$C406,'RAW_농산물_8월'!$A:$A,$E406),SUMIFS('RAW_농산물_9월'!$G:$G,'RAW_농산물_9월'!$D:$D,$C406,'RAW_농산물_9월'!$A:$A,$E406),SUMIFS('RAW_농산물_10월'!$G:$G,'RAW_농산물_10월'!$D:$D,$C406,'RAW_농산물_10월'!$A:$A,$E406),SUMIFS('RAW_농산물_11-12월'!$G:$G,'RAW_농산물_11-12월'!$D:$D,$C406,'RAW_농산물_11-12월'!$A:$A,$E406))))</f>
        <v/>
      </c>
      <c r="H406" s="14" t="str">
        <f>IF($C406="","",IF('설정'!$B$3=0,"",CHOOSE('설정'!$B$3,SUMIFS('RAW_농산물_7월'!$H:$H,'RAW_농산물_7월'!$D:$D,$C406,'RAW_농산물_7월'!$A:$A,$E406),SUMIFS('RAW_농산물_8월'!$H:$H,'RAW_농산물_8월'!$D:$D,$C406,'RAW_농산물_8월'!$A:$A,$E406),SUMIFS('RAW_농산물_9월'!$H:$H,'RAW_농산물_9월'!$D:$D,$C406,'RAW_농산물_9월'!$A:$A,$E406),SUMIFS('RAW_농산물_10월'!$H:$H,'RAW_농산물_10월'!$D:$D,$C406,'RAW_농산물_10월'!$A:$A,$E406),SUMIFS('RAW_농산물_11-12월'!$H:$H,'RAW_농산물_11-12월'!$D:$D,$C406,'RAW_농산물_11-12월'!$A:$A,$E406))))</f>
        <v/>
      </c>
      <c r="I406" s="17" t="str">
        <f>IF($C406="","",IF(COUNTIFS('RAW_농산물_7월'!$D:$D,$C406,'RAW_농산물_7월'!$A:$A,$E406)&gt;0,"O",""))</f>
        <v/>
      </c>
      <c r="J406" s="17" t="str">
        <f>IF($C406="","",IF(COUNTIFS('RAW_농산물_8월'!$D:$D,$C406,'RAW_농산물_8월'!$A:$A,$E406)&gt;0,"O",""))</f>
        <v/>
      </c>
      <c r="K406" s="17" t="str">
        <f>IF($C406="","",IF(COUNTIFS('RAW_농산물_9월'!$D:$D,$C406,'RAW_농산물_9월'!$A:$A,$E406)&gt;0,"O",""))</f>
        <v/>
      </c>
      <c r="L406" s="17" t="str">
        <f>IF($C406="","",IF(COUNTIFS('RAW_농산물_10월'!$D:$D,$C406,'RAW_농산물_10월'!$A:$A,$E406)&gt;0,"O",""))</f>
        <v/>
      </c>
      <c r="M406" s="17" t="str">
        <f>IF($C406="","",IF(COUNTIFS('RAW_농산물_11-12월'!$D:$D,$C406,'RAW_농산물_11-12월'!$A:$A,$E406)&gt;0,"O",""))</f>
        <v/>
      </c>
      <c r="N406" s="7" t="str">
        <f>IF($C406="","",IF(COUNTA('RAW_농산물_7월'!$A:$A)&lt;=1,"",SUMIFS('RAW_농산물_7월'!$H:$H,'RAW_농산물_7월'!$D:$D,$C406,'RAW_농산물_7월'!$A:$A,$E406)))</f>
        <v/>
      </c>
      <c r="O406" s="7" t="str">
        <f>IF($C406="","",IF(COUNTA('RAW_농산물_8월'!$A:$A)&lt;=1,"",SUMIFS('RAW_농산물_8월'!$H:$H,'RAW_농산물_8월'!$D:$D,$C406,'RAW_농산물_8월'!$A:$A,$E406)-SUMIFS('RAW_농산물_7월'!$H:$H,'RAW_농산물_7월'!$D:$D,$C406,'RAW_농산물_7월'!$A:$A,$E406)))</f>
        <v/>
      </c>
      <c r="P406" s="7" t="str">
        <f>IF($C406="","",IF(COUNTA('RAW_농산물_9월'!$A:$A)&lt;=1,"",SUMIFS('RAW_농산물_9월'!$H:$H,'RAW_농산물_9월'!$D:$D,$C406,'RAW_농산물_9월'!$A:$A,$E406)-SUMIFS('RAW_농산물_8월'!$H:$H,'RAW_농산물_8월'!$D:$D,$C406,'RAW_농산물_8월'!$A:$A,$E406)))</f>
        <v/>
      </c>
      <c r="Q406" s="7" t="str">
        <f>IF($C406="","",IF(COUNTA('RAW_농산물_10월'!$A:$A)&lt;=1,"",SUMIFS('RAW_농산물_10월'!$H:$H,'RAW_농산물_10월'!$D:$D,$C406,'RAW_농산물_10월'!$A:$A,$E406)-SUMIFS('RAW_농산물_9월'!$H:$H,'RAW_농산물_9월'!$D:$D,$C406,'RAW_농산물_9월'!$A:$A,$E406)))</f>
        <v/>
      </c>
      <c r="R406" s="7" t="str">
        <f>IF($C406="","",IF(COUNTA('RAW_농산물_11-12월'!$A:$A)&lt;=1,"",SUMIFS('RAW_농산물_11-12월'!$H:$H,'RAW_농산물_11-12월'!$D:$D,$C406,'RAW_농산물_11-12월'!$A:$A,$E406)-SUMIFS('RAW_농산물_10월'!$H:$H,'RAW_농산물_10월'!$D:$D,$C406,'RAW_농산물_10월'!$A:$A,$E406)))</f>
        <v/>
      </c>
      <c r="S406" s="17" t="str">
        <f t="shared" si="4"/>
        <v/>
      </c>
      <c r="T406" s="17" t="str">
        <f t="shared" si="5"/>
        <v/>
      </c>
      <c r="U406" s="7">
        <f>IF($C406="",0,IF('설정'!$B$3=0,0,CHOOSE('설정'!$B$3,COUNTIFS('RAW_농산물_7월'!$D:$D,$C406,'RAW_농산물_7월'!$A:$A,$E406),COUNTIFS('RAW_농산물_8월'!$D:$D,$C406,'RAW_농산물_8월'!$A:$A,$E406),COUNTIFS('RAW_농산물_9월'!$D:$D,$C406,'RAW_농산물_9월'!$A:$A,$E406),COUNTIFS('RAW_농산물_10월'!$D:$D,$C406,'RAW_농산물_10월'!$A:$A,$E406),COUNTIFS('RAW_농산물_11-12월'!$D:$D,$C406,'RAW_농산물_11-12월'!$A:$A,$E406))))</f>
        <v>0</v>
      </c>
    </row>
    <row r="407" ht="15.75" customHeight="1">
      <c r="A407" s="5"/>
      <c r="B407" s="5"/>
      <c r="C407" s="5"/>
      <c r="D407" s="6"/>
      <c r="E407" s="5"/>
      <c r="F407" s="7" t="str">
        <f>IF($C407="","",IF('설정'!$B$3=0,"",CHOOSE('설정'!$B$3,SUMIFS('RAW_농산물_7월'!$F:$F,'RAW_농산물_7월'!$D:$D,$C407,'RAW_농산물_7월'!$A:$A,$E407),SUMIFS('RAW_농산물_8월'!$F:$F,'RAW_농산물_8월'!$D:$D,$C407,'RAW_농산물_8월'!$A:$A,$E407),SUMIFS('RAW_농산물_9월'!$F:$F,'RAW_농산물_9월'!$D:$D,$C407,'RAW_농산물_9월'!$A:$A,$E407),SUMIFS('RAW_농산물_10월'!$F:$F,'RAW_농산물_10월'!$D:$D,$C407,'RAW_농산물_10월'!$A:$A,$E407),SUMIFS('RAW_농산물_11-12월'!$F:$F,'RAW_농산물_11-12월'!$D:$D,$C407,'RAW_농산물_11-12월'!$A:$A,$E407))))</f>
        <v/>
      </c>
      <c r="G407" s="7" t="str">
        <f>IF($C407="","",IF('설정'!$B$3=0,"",CHOOSE('설정'!$B$3,SUMIFS('RAW_농산물_7월'!$G:$G,'RAW_농산물_7월'!$D:$D,$C407,'RAW_농산물_7월'!$A:$A,$E407),SUMIFS('RAW_농산물_8월'!$G:$G,'RAW_농산물_8월'!$D:$D,$C407,'RAW_농산물_8월'!$A:$A,$E407),SUMIFS('RAW_농산물_9월'!$G:$G,'RAW_농산물_9월'!$D:$D,$C407,'RAW_농산물_9월'!$A:$A,$E407),SUMIFS('RAW_농산물_10월'!$G:$G,'RAW_농산물_10월'!$D:$D,$C407,'RAW_농산물_10월'!$A:$A,$E407),SUMIFS('RAW_농산물_11-12월'!$G:$G,'RAW_농산물_11-12월'!$D:$D,$C407,'RAW_농산물_11-12월'!$A:$A,$E407))))</f>
        <v/>
      </c>
      <c r="H407" s="14" t="str">
        <f>IF($C407="","",IF('설정'!$B$3=0,"",CHOOSE('설정'!$B$3,SUMIFS('RAW_농산물_7월'!$H:$H,'RAW_농산물_7월'!$D:$D,$C407,'RAW_농산물_7월'!$A:$A,$E407),SUMIFS('RAW_농산물_8월'!$H:$H,'RAW_농산물_8월'!$D:$D,$C407,'RAW_농산물_8월'!$A:$A,$E407),SUMIFS('RAW_농산물_9월'!$H:$H,'RAW_농산물_9월'!$D:$D,$C407,'RAW_농산물_9월'!$A:$A,$E407),SUMIFS('RAW_농산물_10월'!$H:$H,'RAW_농산물_10월'!$D:$D,$C407,'RAW_농산물_10월'!$A:$A,$E407),SUMIFS('RAW_농산물_11-12월'!$H:$H,'RAW_농산물_11-12월'!$D:$D,$C407,'RAW_농산물_11-12월'!$A:$A,$E407))))</f>
        <v/>
      </c>
      <c r="I407" s="17" t="str">
        <f>IF($C407="","",IF(COUNTIFS('RAW_농산물_7월'!$D:$D,$C407,'RAW_농산물_7월'!$A:$A,$E407)&gt;0,"O",""))</f>
        <v/>
      </c>
      <c r="J407" s="17" t="str">
        <f>IF($C407="","",IF(COUNTIFS('RAW_농산물_8월'!$D:$D,$C407,'RAW_농산물_8월'!$A:$A,$E407)&gt;0,"O",""))</f>
        <v/>
      </c>
      <c r="K407" s="17" t="str">
        <f>IF($C407="","",IF(COUNTIFS('RAW_농산물_9월'!$D:$D,$C407,'RAW_농산물_9월'!$A:$A,$E407)&gt;0,"O",""))</f>
        <v/>
      </c>
      <c r="L407" s="17" t="str">
        <f>IF($C407="","",IF(COUNTIFS('RAW_농산물_10월'!$D:$D,$C407,'RAW_농산물_10월'!$A:$A,$E407)&gt;0,"O",""))</f>
        <v/>
      </c>
      <c r="M407" s="17" t="str">
        <f>IF($C407="","",IF(COUNTIFS('RAW_농산물_11-12월'!$D:$D,$C407,'RAW_농산물_11-12월'!$A:$A,$E407)&gt;0,"O",""))</f>
        <v/>
      </c>
      <c r="N407" s="7" t="str">
        <f>IF($C407="","",IF(COUNTA('RAW_농산물_7월'!$A:$A)&lt;=1,"",SUMIFS('RAW_농산물_7월'!$H:$H,'RAW_농산물_7월'!$D:$D,$C407,'RAW_농산물_7월'!$A:$A,$E407)))</f>
        <v/>
      </c>
      <c r="O407" s="7" t="str">
        <f>IF($C407="","",IF(COUNTA('RAW_농산물_8월'!$A:$A)&lt;=1,"",SUMIFS('RAW_농산물_8월'!$H:$H,'RAW_농산물_8월'!$D:$D,$C407,'RAW_농산물_8월'!$A:$A,$E407)-SUMIFS('RAW_농산물_7월'!$H:$H,'RAW_농산물_7월'!$D:$D,$C407,'RAW_농산물_7월'!$A:$A,$E407)))</f>
        <v/>
      </c>
      <c r="P407" s="7" t="str">
        <f>IF($C407="","",IF(COUNTA('RAW_농산물_9월'!$A:$A)&lt;=1,"",SUMIFS('RAW_농산물_9월'!$H:$H,'RAW_농산물_9월'!$D:$D,$C407,'RAW_농산물_9월'!$A:$A,$E407)-SUMIFS('RAW_농산물_8월'!$H:$H,'RAW_농산물_8월'!$D:$D,$C407,'RAW_농산물_8월'!$A:$A,$E407)))</f>
        <v/>
      </c>
      <c r="Q407" s="7" t="str">
        <f>IF($C407="","",IF(COUNTA('RAW_농산물_10월'!$A:$A)&lt;=1,"",SUMIFS('RAW_농산물_10월'!$H:$H,'RAW_농산물_10월'!$D:$D,$C407,'RAW_농산물_10월'!$A:$A,$E407)-SUMIFS('RAW_농산물_9월'!$H:$H,'RAW_농산물_9월'!$D:$D,$C407,'RAW_농산물_9월'!$A:$A,$E407)))</f>
        <v/>
      </c>
      <c r="R407" s="7" t="str">
        <f>IF($C407="","",IF(COUNTA('RAW_농산물_11-12월'!$A:$A)&lt;=1,"",SUMIFS('RAW_농산물_11-12월'!$H:$H,'RAW_농산물_11-12월'!$D:$D,$C407,'RAW_농산물_11-12월'!$A:$A,$E407)-SUMIFS('RAW_농산물_10월'!$H:$H,'RAW_농산물_10월'!$D:$D,$C407,'RAW_농산물_10월'!$A:$A,$E407)))</f>
        <v/>
      </c>
      <c r="S407" s="17" t="str">
        <f t="shared" si="4"/>
        <v/>
      </c>
      <c r="T407" s="17" t="str">
        <f t="shared" si="5"/>
        <v/>
      </c>
      <c r="U407" s="7">
        <f>IF($C407="",0,IF('설정'!$B$3=0,0,CHOOSE('설정'!$B$3,COUNTIFS('RAW_농산물_7월'!$D:$D,$C407,'RAW_농산물_7월'!$A:$A,$E407),COUNTIFS('RAW_농산물_8월'!$D:$D,$C407,'RAW_농산물_8월'!$A:$A,$E407),COUNTIFS('RAW_농산물_9월'!$D:$D,$C407,'RAW_농산물_9월'!$A:$A,$E407),COUNTIFS('RAW_농산물_10월'!$D:$D,$C407,'RAW_농산물_10월'!$A:$A,$E407),COUNTIFS('RAW_농산물_11-12월'!$D:$D,$C407,'RAW_농산물_11-12월'!$A:$A,$E407))))</f>
        <v>0</v>
      </c>
    </row>
    <row r="408" ht="15.75" customHeight="1">
      <c r="A408" s="5"/>
      <c r="B408" s="5"/>
      <c r="C408" s="5"/>
      <c r="D408" s="6"/>
      <c r="E408" s="5"/>
      <c r="F408" s="7" t="str">
        <f>IF($C408="","",IF('설정'!$B$3=0,"",CHOOSE('설정'!$B$3,SUMIFS('RAW_농산물_7월'!$F:$F,'RAW_농산물_7월'!$D:$D,$C408,'RAW_농산물_7월'!$A:$A,$E408),SUMIFS('RAW_농산물_8월'!$F:$F,'RAW_농산물_8월'!$D:$D,$C408,'RAW_농산물_8월'!$A:$A,$E408),SUMIFS('RAW_농산물_9월'!$F:$F,'RAW_농산물_9월'!$D:$D,$C408,'RAW_농산물_9월'!$A:$A,$E408),SUMIFS('RAW_농산물_10월'!$F:$F,'RAW_농산물_10월'!$D:$D,$C408,'RAW_농산물_10월'!$A:$A,$E408),SUMIFS('RAW_농산물_11-12월'!$F:$F,'RAW_농산물_11-12월'!$D:$D,$C408,'RAW_농산물_11-12월'!$A:$A,$E408))))</f>
        <v/>
      </c>
      <c r="G408" s="7" t="str">
        <f>IF($C408="","",IF('설정'!$B$3=0,"",CHOOSE('설정'!$B$3,SUMIFS('RAW_농산물_7월'!$G:$G,'RAW_농산물_7월'!$D:$D,$C408,'RAW_농산물_7월'!$A:$A,$E408),SUMIFS('RAW_농산물_8월'!$G:$G,'RAW_농산물_8월'!$D:$D,$C408,'RAW_농산물_8월'!$A:$A,$E408),SUMIFS('RAW_농산물_9월'!$G:$G,'RAW_농산물_9월'!$D:$D,$C408,'RAW_농산물_9월'!$A:$A,$E408),SUMIFS('RAW_농산물_10월'!$G:$G,'RAW_농산물_10월'!$D:$D,$C408,'RAW_농산물_10월'!$A:$A,$E408),SUMIFS('RAW_농산물_11-12월'!$G:$G,'RAW_농산물_11-12월'!$D:$D,$C408,'RAW_농산물_11-12월'!$A:$A,$E408))))</f>
        <v/>
      </c>
      <c r="H408" s="14" t="str">
        <f>IF($C408="","",IF('설정'!$B$3=0,"",CHOOSE('설정'!$B$3,SUMIFS('RAW_농산물_7월'!$H:$H,'RAW_농산물_7월'!$D:$D,$C408,'RAW_농산물_7월'!$A:$A,$E408),SUMIFS('RAW_농산물_8월'!$H:$H,'RAW_농산물_8월'!$D:$D,$C408,'RAW_농산물_8월'!$A:$A,$E408),SUMIFS('RAW_농산물_9월'!$H:$H,'RAW_농산물_9월'!$D:$D,$C408,'RAW_농산물_9월'!$A:$A,$E408),SUMIFS('RAW_농산물_10월'!$H:$H,'RAW_농산물_10월'!$D:$D,$C408,'RAW_농산물_10월'!$A:$A,$E408),SUMIFS('RAW_농산물_11-12월'!$H:$H,'RAW_농산물_11-12월'!$D:$D,$C408,'RAW_농산물_11-12월'!$A:$A,$E408))))</f>
        <v/>
      </c>
      <c r="I408" s="17" t="str">
        <f>IF($C408="","",IF(COUNTIFS('RAW_농산물_7월'!$D:$D,$C408,'RAW_농산물_7월'!$A:$A,$E408)&gt;0,"O",""))</f>
        <v/>
      </c>
      <c r="J408" s="17" t="str">
        <f>IF($C408="","",IF(COUNTIFS('RAW_농산물_8월'!$D:$D,$C408,'RAW_농산물_8월'!$A:$A,$E408)&gt;0,"O",""))</f>
        <v/>
      </c>
      <c r="K408" s="17" t="str">
        <f>IF($C408="","",IF(COUNTIFS('RAW_농산물_9월'!$D:$D,$C408,'RAW_농산물_9월'!$A:$A,$E408)&gt;0,"O",""))</f>
        <v/>
      </c>
      <c r="L408" s="17" t="str">
        <f>IF($C408="","",IF(COUNTIFS('RAW_농산물_10월'!$D:$D,$C408,'RAW_농산물_10월'!$A:$A,$E408)&gt;0,"O",""))</f>
        <v/>
      </c>
      <c r="M408" s="17" t="str">
        <f>IF($C408="","",IF(COUNTIFS('RAW_농산물_11-12월'!$D:$D,$C408,'RAW_농산물_11-12월'!$A:$A,$E408)&gt;0,"O",""))</f>
        <v/>
      </c>
      <c r="N408" s="7" t="str">
        <f>IF($C408="","",IF(COUNTA('RAW_농산물_7월'!$A:$A)&lt;=1,"",SUMIFS('RAW_농산물_7월'!$H:$H,'RAW_농산물_7월'!$D:$D,$C408,'RAW_농산물_7월'!$A:$A,$E408)))</f>
        <v/>
      </c>
      <c r="O408" s="7" t="str">
        <f>IF($C408="","",IF(COUNTA('RAW_농산물_8월'!$A:$A)&lt;=1,"",SUMIFS('RAW_농산물_8월'!$H:$H,'RAW_농산물_8월'!$D:$D,$C408,'RAW_농산물_8월'!$A:$A,$E408)-SUMIFS('RAW_농산물_7월'!$H:$H,'RAW_농산물_7월'!$D:$D,$C408,'RAW_농산물_7월'!$A:$A,$E408)))</f>
        <v/>
      </c>
      <c r="P408" s="7" t="str">
        <f>IF($C408="","",IF(COUNTA('RAW_농산물_9월'!$A:$A)&lt;=1,"",SUMIFS('RAW_농산물_9월'!$H:$H,'RAW_농산물_9월'!$D:$D,$C408,'RAW_농산물_9월'!$A:$A,$E408)-SUMIFS('RAW_농산물_8월'!$H:$H,'RAW_농산물_8월'!$D:$D,$C408,'RAW_농산물_8월'!$A:$A,$E408)))</f>
        <v/>
      </c>
      <c r="Q408" s="7" t="str">
        <f>IF($C408="","",IF(COUNTA('RAW_농산물_10월'!$A:$A)&lt;=1,"",SUMIFS('RAW_농산물_10월'!$H:$H,'RAW_농산물_10월'!$D:$D,$C408,'RAW_농산물_10월'!$A:$A,$E408)-SUMIFS('RAW_농산물_9월'!$H:$H,'RAW_농산물_9월'!$D:$D,$C408,'RAW_농산물_9월'!$A:$A,$E408)))</f>
        <v/>
      </c>
      <c r="R408" s="7" t="str">
        <f>IF($C408="","",IF(COUNTA('RAW_농산물_11-12월'!$A:$A)&lt;=1,"",SUMIFS('RAW_농산물_11-12월'!$H:$H,'RAW_농산물_11-12월'!$D:$D,$C408,'RAW_농산물_11-12월'!$A:$A,$E408)-SUMIFS('RAW_농산물_10월'!$H:$H,'RAW_농산물_10월'!$D:$D,$C408,'RAW_농산물_10월'!$A:$A,$E408)))</f>
        <v/>
      </c>
      <c r="S408" s="17" t="str">
        <f t="shared" si="4"/>
        <v/>
      </c>
      <c r="T408" s="17" t="str">
        <f t="shared" si="5"/>
        <v/>
      </c>
      <c r="U408" s="7">
        <f>IF($C408="",0,IF('설정'!$B$3=0,0,CHOOSE('설정'!$B$3,COUNTIFS('RAW_농산물_7월'!$D:$D,$C408,'RAW_농산물_7월'!$A:$A,$E408),COUNTIFS('RAW_농산물_8월'!$D:$D,$C408,'RAW_농산물_8월'!$A:$A,$E408),COUNTIFS('RAW_농산물_9월'!$D:$D,$C408,'RAW_농산물_9월'!$A:$A,$E408),COUNTIFS('RAW_농산물_10월'!$D:$D,$C408,'RAW_농산물_10월'!$A:$A,$E408),COUNTIFS('RAW_농산물_11-12월'!$D:$D,$C408,'RAW_농산물_11-12월'!$A:$A,$E408))))</f>
        <v>0</v>
      </c>
    </row>
    <row r="409" ht="15.75" customHeight="1">
      <c r="A409" s="5"/>
      <c r="B409" s="5"/>
      <c r="C409" s="5"/>
      <c r="D409" s="6"/>
      <c r="E409" s="5"/>
      <c r="F409" s="7" t="str">
        <f>IF($C409="","",IF('설정'!$B$3=0,"",CHOOSE('설정'!$B$3,SUMIFS('RAW_농산물_7월'!$F:$F,'RAW_농산물_7월'!$D:$D,$C409,'RAW_농산물_7월'!$A:$A,$E409),SUMIFS('RAW_농산물_8월'!$F:$F,'RAW_농산물_8월'!$D:$D,$C409,'RAW_농산물_8월'!$A:$A,$E409),SUMIFS('RAW_농산물_9월'!$F:$F,'RAW_농산물_9월'!$D:$D,$C409,'RAW_농산물_9월'!$A:$A,$E409),SUMIFS('RAW_농산물_10월'!$F:$F,'RAW_농산물_10월'!$D:$D,$C409,'RAW_농산물_10월'!$A:$A,$E409),SUMIFS('RAW_농산물_11-12월'!$F:$F,'RAW_농산물_11-12월'!$D:$D,$C409,'RAW_농산물_11-12월'!$A:$A,$E409))))</f>
        <v/>
      </c>
      <c r="G409" s="7" t="str">
        <f>IF($C409="","",IF('설정'!$B$3=0,"",CHOOSE('설정'!$B$3,SUMIFS('RAW_농산물_7월'!$G:$G,'RAW_농산물_7월'!$D:$D,$C409,'RAW_농산물_7월'!$A:$A,$E409),SUMIFS('RAW_농산물_8월'!$G:$G,'RAW_농산물_8월'!$D:$D,$C409,'RAW_농산물_8월'!$A:$A,$E409),SUMIFS('RAW_농산물_9월'!$G:$G,'RAW_농산물_9월'!$D:$D,$C409,'RAW_농산물_9월'!$A:$A,$E409),SUMIFS('RAW_농산물_10월'!$G:$G,'RAW_농산물_10월'!$D:$D,$C409,'RAW_농산물_10월'!$A:$A,$E409),SUMIFS('RAW_농산물_11-12월'!$G:$G,'RAW_농산물_11-12월'!$D:$D,$C409,'RAW_농산물_11-12월'!$A:$A,$E409))))</f>
        <v/>
      </c>
      <c r="H409" s="14" t="str">
        <f>IF($C409="","",IF('설정'!$B$3=0,"",CHOOSE('설정'!$B$3,SUMIFS('RAW_농산물_7월'!$H:$H,'RAW_농산물_7월'!$D:$D,$C409,'RAW_농산물_7월'!$A:$A,$E409),SUMIFS('RAW_농산물_8월'!$H:$H,'RAW_농산물_8월'!$D:$D,$C409,'RAW_농산물_8월'!$A:$A,$E409),SUMIFS('RAW_농산물_9월'!$H:$H,'RAW_농산물_9월'!$D:$D,$C409,'RAW_농산물_9월'!$A:$A,$E409),SUMIFS('RAW_농산물_10월'!$H:$H,'RAW_농산물_10월'!$D:$D,$C409,'RAW_농산물_10월'!$A:$A,$E409),SUMIFS('RAW_농산물_11-12월'!$H:$H,'RAW_농산물_11-12월'!$D:$D,$C409,'RAW_농산물_11-12월'!$A:$A,$E409))))</f>
        <v/>
      </c>
      <c r="I409" s="17" t="str">
        <f>IF($C409="","",IF(COUNTIFS('RAW_농산물_7월'!$D:$D,$C409,'RAW_농산물_7월'!$A:$A,$E409)&gt;0,"O",""))</f>
        <v/>
      </c>
      <c r="J409" s="17" t="str">
        <f>IF($C409="","",IF(COUNTIFS('RAW_농산물_8월'!$D:$D,$C409,'RAW_농산물_8월'!$A:$A,$E409)&gt;0,"O",""))</f>
        <v/>
      </c>
      <c r="K409" s="17" t="str">
        <f>IF($C409="","",IF(COUNTIFS('RAW_농산물_9월'!$D:$D,$C409,'RAW_농산물_9월'!$A:$A,$E409)&gt;0,"O",""))</f>
        <v/>
      </c>
      <c r="L409" s="17" t="str">
        <f>IF($C409="","",IF(COUNTIFS('RAW_농산물_10월'!$D:$D,$C409,'RAW_농산물_10월'!$A:$A,$E409)&gt;0,"O",""))</f>
        <v/>
      </c>
      <c r="M409" s="17" t="str">
        <f>IF($C409="","",IF(COUNTIFS('RAW_농산물_11-12월'!$D:$D,$C409,'RAW_농산물_11-12월'!$A:$A,$E409)&gt;0,"O",""))</f>
        <v/>
      </c>
      <c r="N409" s="7" t="str">
        <f>IF($C409="","",IF(COUNTA('RAW_농산물_7월'!$A:$A)&lt;=1,"",SUMIFS('RAW_농산물_7월'!$H:$H,'RAW_농산물_7월'!$D:$D,$C409,'RAW_농산물_7월'!$A:$A,$E409)))</f>
        <v/>
      </c>
      <c r="O409" s="7" t="str">
        <f>IF($C409="","",IF(COUNTA('RAW_농산물_8월'!$A:$A)&lt;=1,"",SUMIFS('RAW_농산물_8월'!$H:$H,'RAW_농산물_8월'!$D:$D,$C409,'RAW_농산물_8월'!$A:$A,$E409)-SUMIFS('RAW_농산물_7월'!$H:$H,'RAW_농산물_7월'!$D:$D,$C409,'RAW_농산물_7월'!$A:$A,$E409)))</f>
        <v/>
      </c>
      <c r="P409" s="7" t="str">
        <f>IF($C409="","",IF(COUNTA('RAW_농산물_9월'!$A:$A)&lt;=1,"",SUMIFS('RAW_농산물_9월'!$H:$H,'RAW_농산물_9월'!$D:$D,$C409,'RAW_농산물_9월'!$A:$A,$E409)-SUMIFS('RAW_농산물_8월'!$H:$H,'RAW_농산물_8월'!$D:$D,$C409,'RAW_농산물_8월'!$A:$A,$E409)))</f>
        <v/>
      </c>
      <c r="Q409" s="7" t="str">
        <f>IF($C409="","",IF(COUNTA('RAW_농산물_10월'!$A:$A)&lt;=1,"",SUMIFS('RAW_농산물_10월'!$H:$H,'RAW_농산물_10월'!$D:$D,$C409,'RAW_농산물_10월'!$A:$A,$E409)-SUMIFS('RAW_농산물_9월'!$H:$H,'RAW_농산물_9월'!$D:$D,$C409,'RAW_농산물_9월'!$A:$A,$E409)))</f>
        <v/>
      </c>
      <c r="R409" s="7" t="str">
        <f>IF($C409="","",IF(COUNTA('RAW_농산물_11-12월'!$A:$A)&lt;=1,"",SUMIFS('RAW_농산물_11-12월'!$H:$H,'RAW_농산물_11-12월'!$D:$D,$C409,'RAW_농산물_11-12월'!$A:$A,$E409)-SUMIFS('RAW_농산물_10월'!$H:$H,'RAW_농산물_10월'!$D:$D,$C409,'RAW_농산물_10월'!$A:$A,$E409)))</f>
        <v/>
      </c>
      <c r="S409" s="17" t="str">
        <f t="shared" si="4"/>
        <v/>
      </c>
      <c r="T409" s="17" t="str">
        <f t="shared" si="5"/>
        <v/>
      </c>
      <c r="U409" s="7">
        <f>IF($C409="",0,IF('설정'!$B$3=0,0,CHOOSE('설정'!$B$3,COUNTIFS('RAW_농산물_7월'!$D:$D,$C409,'RAW_농산물_7월'!$A:$A,$E409),COUNTIFS('RAW_농산물_8월'!$D:$D,$C409,'RAW_농산물_8월'!$A:$A,$E409),COUNTIFS('RAW_농산물_9월'!$D:$D,$C409,'RAW_농산물_9월'!$A:$A,$E409),COUNTIFS('RAW_농산물_10월'!$D:$D,$C409,'RAW_농산물_10월'!$A:$A,$E409),COUNTIFS('RAW_농산물_11-12월'!$D:$D,$C409,'RAW_농산물_11-12월'!$A:$A,$E409))))</f>
        <v>0</v>
      </c>
    </row>
    <row r="410" ht="15.75" customHeight="1">
      <c r="A410" s="5"/>
      <c r="B410" s="5"/>
      <c r="C410" s="5"/>
      <c r="D410" s="6"/>
      <c r="E410" s="5"/>
      <c r="F410" s="7" t="str">
        <f>IF($C410="","",IF('설정'!$B$3=0,"",CHOOSE('설정'!$B$3,SUMIFS('RAW_농산물_7월'!$F:$F,'RAW_농산물_7월'!$D:$D,$C410,'RAW_농산물_7월'!$A:$A,$E410),SUMIFS('RAW_농산물_8월'!$F:$F,'RAW_농산물_8월'!$D:$D,$C410,'RAW_농산물_8월'!$A:$A,$E410),SUMIFS('RAW_농산물_9월'!$F:$F,'RAW_농산물_9월'!$D:$D,$C410,'RAW_농산물_9월'!$A:$A,$E410),SUMIFS('RAW_농산물_10월'!$F:$F,'RAW_농산물_10월'!$D:$D,$C410,'RAW_농산물_10월'!$A:$A,$E410),SUMIFS('RAW_농산물_11-12월'!$F:$F,'RAW_농산물_11-12월'!$D:$D,$C410,'RAW_농산물_11-12월'!$A:$A,$E410))))</f>
        <v/>
      </c>
      <c r="G410" s="7" t="str">
        <f>IF($C410="","",IF('설정'!$B$3=0,"",CHOOSE('설정'!$B$3,SUMIFS('RAW_농산물_7월'!$G:$G,'RAW_농산물_7월'!$D:$D,$C410,'RAW_농산물_7월'!$A:$A,$E410),SUMIFS('RAW_농산물_8월'!$G:$G,'RAW_농산물_8월'!$D:$D,$C410,'RAW_농산물_8월'!$A:$A,$E410),SUMIFS('RAW_농산물_9월'!$G:$G,'RAW_농산물_9월'!$D:$D,$C410,'RAW_농산물_9월'!$A:$A,$E410),SUMIFS('RAW_농산물_10월'!$G:$G,'RAW_농산물_10월'!$D:$D,$C410,'RAW_농산물_10월'!$A:$A,$E410),SUMIFS('RAW_농산물_11-12월'!$G:$G,'RAW_농산물_11-12월'!$D:$D,$C410,'RAW_농산물_11-12월'!$A:$A,$E410))))</f>
        <v/>
      </c>
      <c r="H410" s="14" t="str">
        <f>IF($C410="","",IF('설정'!$B$3=0,"",CHOOSE('설정'!$B$3,SUMIFS('RAW_농산물_7월'!$H:$H,'RAW_농산물_7월'!$D:$D,$C410,'RAW_농산물_7월'!$A:$A,$E410),SUMIFS('RAW_농산물_8월'!$H:$H,'RAW_농산물_8월'!$D:$D,$C410,'RAW_농산물_8월'!$A:$A,$E410),SUMIFS('RAW_농산물_9월'!$H:$H,'RAW_농산물_9월'!$D:$D,$C410,'RAW_농산물_9월'!$A:$A,$E410),SUMIFS('RAW_농산물_10월'!$H:$H,'RAW_농산물_10월'!$D:$D,$C410,'RAW_농산물_10월'!$A:$A,$E410),SUMIFS('RAW_농산물_11-12월'!$H:$H,'RAW_농산물_11-12월'!$D:$D,$C410,'RAW_농산물_11-12월'!$A:$A,$E410))))</f>
        <v/>
      </c>
      <c r="I410" s="17" t="str">
        <f>IF($C410="","",IF(COUNTIFS('RAW_농산물_7월'!$D:$D,$C410,'RAW_농산물_7월'!$A:$A,$E410)&gt;0,"O",""))</f>
        <v/>
      </c>
      <c r="J410" s="17" t="str">
        <f>IF($C410="","",IF(COUNTIFS('RAW_농산물_8월'!$D:$D,$C410,'RAW_농산물_8월'!$A:$A,$E410)&gt;0,"O",""))</f>
        <v/>
      </c>
      <c r="K410" s="17" t="str">
        <f>IF($C410="","",IF(COUNTIFS('RAW_농산물_9월'!$D:$D,$C410,'RAW_농산물_9월'!$A:$A,$E410)&gt;0,"O",""))</f>
        <v/>
      </c>
      <c r="L410" s="17" t="str">
        <f>IF($C410="","",IF(COUNTIFS('RAW_농산물_10월'!$D:$D,$C410,'RAW_농산물_10월'!$A:$A,$E410)&gt;0,"O",""))</f>
        <v/>
      </c>
      <c r="M410" s="17" t="str">
        <f>IF($C410="","",IF(COUNTIFS('RAW_농산물_11-12월'!$D:$D,$C410,'RAW_농산물_11-12월'!$A:$A,$E410)&gt;0,"O",""))</f>
        <v/>
      </c>
      <c r="N410" s="7" t="str">
        <f>IF($C410="","",IF(COUNTA('RAW_농산물_7월'!$A:$A)&lt;=1,"",SUMIFS('RAW_농산물_7월'!$H:$H,'RAW_농산물_7월'!$D:$D,$C410,'RAW_농산물_7월'!$A:$A,$E410)))</f>
        <v/>
      </c>
      <c r="O410" s="7" t="str">
        <f>IF($C410="","",IF(COUNTA('RAW_농산물_8월'!$A:$A)&lt;=1,"",SUMIFS('RAW_농산물_8월'!$H:$H,'RAW_농산물_8월'!$D:$D,$C410,'RAW_농산물_8월'!$A:$A,$E410)-SUMIFS('RAW_농산물_7월'!$H:$H,'RAW_농산물_7월'!$D:$D,$C410,'RAW_농산물_7월'!$A:$A,$E410)))</f>
        <v/>
      </c>
      <c r="P410" s="7" t="str">
        <f>IF($C410="","",IF(COUNTA('RAW_농산물_9월'!$A:$A)&lt;=1,"",SUMIFS('RAW_농산물_9월'!$H:$H,'RAW_농산물_9월'!$D:$D,$C410,'RAW_농산물_9월'!$A:$A,$E410)-SUMIFS('RAW_농산물_8월'!$H:$H,'RAW_농산물_8월'!$D:$D,$C410,'RAW_농산물_8월'!$A:$A,$E410)))</f>
        <v/>
      </c>
      <c r="Q410" s="7" t="str">
        <f>IF($C410="","",IF(COUNTA('RAW_농산물_10월'!$A:$A)&lt;=1,"",SUMIFS('RAW_농산물_10월'!$H:$H,'RAW_농산물_10월'!$D:$D,$C410,'RAW_농산물_10월'!$A:$A,$E410)-SUMIFS('RAW_농산물_9월'!$H:$H,'RAW_농산물_9월'!$D:$D,$C410,'RAW_농산물_9월'!$A:$A,$E410)))</f>
        <v/>
      </c>
      <c r="R410" s="7" t="str">
        <f>IF($C410="","",IF(COUNTA('RAW_농산물_11-12월'!$A:$A)&lt;=1,"",SUMIFS('RAW_농산물_11-12월'!$H:$H,'RAW_농산물_11-12월'!$D:$D,$C410,'RAW_농산물_11-12월'!$A:$A,$E410)-SUMIFS('RAW_농산물_10월'!$H:$H,'RAW_농산물_10월'!$D:$D,$C410,'RAW_농산물_10월'!$A:$A,$E410)))</f>
        <v/>
      </c>
      <c r="S410" s="17" t="str">
        <f t="shared" si="4"/>
        <v/>
      </c>
      <c r="T410" s="17" t="str">
        <f t="shared" si="5"/>
        <v/>
      </c>
      <c r="U410" s="7">
        <f>IF($C410="",0,IF('설정'!$B$3=0,0,CHOOSE('설정'!$B$3,COUNTIFS('RAW_농산물_7월'!$D:$D,$C410,'RAW_농산물_7월'!$A:$A,$E410),COUNTIFS('RAW_농산물_8월'!$D:$D,$C410,'RAW_농산물_8월'!$A:$A,$E410),COUNTIFS('RAW_농산물_9월'!$D:$D,$C410,'RAW_농산물_9월'!$A:$A,$E410),COUNTIFS('RAW_농산물_10월'!$D:$D,$C410,'RAW_농산물_10월'!$A:$A,$E410),COUNTIFS('RAW_농산물_11-12월'!$D:$D,$C410,'RAW_농산물_11-12월'!$A:$A,$E410))))</f>
        <v>0</v>
      </c>
    </row>
    <row r="411" ht="15.75" customHeight="1">
      <c r="A411" s="5"/>
      <c r="B411" s="5"/>
      <c r="C411" s="5"/>
      <c r="D411" s="6"/>
      <c r="E411" s="5"/>
      <c r="F411" s="7" t="str">
        <f>IF($C411="","",IF('설정'!$B$3=0,"",CHOOSE('설정'!$B$3,SUMIFS('RAW_농산물_7월'!$F:$F,'RAW_농산물_7월'!$D:$D,$C411,'RAW_농산물_7월'!$A:$A,$E411),SUMIFS('RAW_농산물_8월'!$F:$F,'RAW_농산물_8월'!$D:$D,$C411,'RAW_농산물_8월'!$A:$A,$E411),SUMIFS('RAW_농산물_9월'!$F:$F,'RAW_농산물_9월'!$D:$D,$C411,'RAW_농산물_9월'!$A:$A,$E411),SUMIFS('RAW_농산물_10월'!$F:$F,'RAW_농산물_10월'!$D:$D,$C411,'RAW_농산물_10월'!$A:$A,$E411),SUMIFS('RAW_농산물_11-12월'!$F:$F,'RAW_농산물_11-12월'!$D:$D,$C411,'RAW_농산물_11-12월'!$A:$A,$E411))))</f>
        <v/>
      </c>
      <c r="G411" s="7" t="str">
        <f>IF($C411="","",IF('설정'!$B$3=0,"",CHOOSE('설정'!$B$3,SUMIFS('RAW_농산물_7월'!$G:$G,'RAW_농산물_7월'!$D:$D,$C411,'RAW_농산물_7월'!$A:$A,$E411),SUMIFS('RAW_농산물_8월'!$G:$G,'RAW_농산물_8월'!$D:$D,$C411,'RAW_농산물_8월'!$A:$A,$E411),SUMIFS('RAW_농산물_9월'!$G:$G,'RAW_농산물_9월'!$D:$D,$C411,'RAW_농산물_9월'!$A:$A,$E411),SUMIFS('RAW_농산물_10월'!$G:$G,'RAW_농산물_10월'!$D:$D,$C411,'RAW_농산물_10월'!$A:$A,$E411),SUMIFS('RAW_농산물_11-12월'!$G:$G,'RAW_농산물_11-12월'!$D:$D,$C411,'RAW_농산물_11-12월'!$A:$A,$E411))))</f>
        <v/>
      </c>
      <c r="H411" s="14" t="str">
        <f>IF($C411="","",IF('설정'!$B$3=0,"",CHOOSE('설정'!$B$3,SUMIFS('RAW_농산물_7월'!$H:$H,'RAW_농산물_7월'!$D:$D,$C411,'RAW_농산물_7월'!$A:$A,$E411),SUMIFS('RAW_농산물_8월'!$H:$H,'RAW_농산물_8월'!$D:$D,$C411,'RAW_농산물_8월'!$A:$A,$E411),SUMIFS('RAW_농산물_9월'!$H:$H,'RAW_농산물_9월'!$D:$D,$C411,'RAW_농산물_9월'!$A:$A,$E411),SUMIFS('RAW_농산물_10월'!$H:$H,'RAW_농산물_10월'!$D:$D,$C411,'RAW_농산물_10월'!$A:$A,$E411),SUMIFS('RAW_농산물_11-12월'!$H:$H,'RAW_농산물_11-12월'!$D:$D,$C411,'RAW_농산물_11-12월'!$A:$A,$E411))))</f>
        <v/>
      </c>
      <c r="I411" s="17" t="str">
        <f>IF($C411="","",IF(COUNTIFS('RAW_농산물_7월'!$D:$D,$C411,'RAW_농산물_7월'!$A:$A,$E411)&gt;0,"O",""))</f>
        <v/>
      </c>
      <c r="J411" s="17" t="str">
        <f>IF($C411="","",IF(COUNTIFS('RAW_농산물_8월'!$D:$D,$C411,'RAW_농산물_8월'!$A:$A,$E411)&gt;0,"O",""))</f>
        <v/>
      </c>
      <c r="K411" s="17" t="str">
        <f>IF($C411="","",IF(COUNTIFS('RAW_농산물_9월'!$D:$D,$C411,'RAW_농산물_9월'!$A:$A,$E411)&gt;0,"O",""))</f>
        <v/>
      </c>
      <c r="L411" s="17" t="str">
        <f>IF($C411="","",IF(COUNTIFS('RAW_농산물_10월'!$D:$D,$C411,'RAW_농산물_10월'!$A:$A,$E411)&gt;0,"O",""))</f>
        <v/>
      </c>
      <c r="M411" s="17" t="str">
        <f>IF($C411="","",IF(COUNTIFS('RAW_농산물_11-12월'!$D:$D,$C411,'RAW_농산물_11-12월'!$A:$A,$E411)&gt;0,"O",""))</f>
        <v/>
      </c>
      <c r="N411" s="7" t="str">
        <f>IF($C411="","",IF(COUNTA('RAW_농산물_7월'!$A:$A)&lt;=1,"",SUMIFS('RAW_농산물_7월'!$H:$H,'RAW_농산물_7월'!$D:$D,$C411,'RAW_농산물_7월'!$A:$A,$E411)))</f>
        <v/>
      </c>
      <c r="O411" s="7" t="str">
        <f>IF($C411="","",IF(COUNTA('RAW_농산물_8월'!$A:$A)&lt;=1,"",SUMIFS('RAW_농산물_8월'!$H:$H,'RAW_농산물_8월'!$D:$D,$C411,'RAW_농산물_8월'!$A:$A,$E411)-SUMIFS('RAW_농산물_7월'!$H:$H,'RAW_농산물_7월'!$D:$D,$C411,'RAW_농산물_7월'!$A:$A,$E411)))</f>
        <v/>
      </c>
      <c r="P411" s="7" t="str">
        <f>IF($C411="","",IF(COUNTA('RAW_농산물_9월'!$A:$A)&lt;=1,"",SUMIFS('RAW_농산물_9월'!$H:$H,'RAW_농산물_9월'!$D:$D,$C411,'RAW_농산물_9월'!$A:$A,$E411)-SUMIFS('RAW_농산물_8월'!$H:$H,'RAW_농산물_8월'!$D:$D,$C411,'RAW_농산물_8월'!$A:$A,$E411)))</f>
        <v/>
      </c>
      <c r="Q411" s="7" t="str">
        <f>IF($C411="","",IF(COUNTA('RAW_농산물_10월'!$A:$A)&lt;=1,"",SUMIFS('RAW_농산물_10월'!$H:$H,'RAW_농산물_10월'!$D:$D,$C411,'RAW_농산물_10월'!$A:$A,$E411)-SUMIFS('RAW_농산물_9월'!$H:$H,'RAW_농산물_9월'!$D:$D,$C411,'RAW_농산물_9월'!$A:$A,$E411)))</f>
        <v/>
      </c>
      <c r="R411" s="7" t="str">
        <f>IF($C411="","",IF(COUNTA('RAW_농산물_11-12월'!$A:$A)&lt;=1,"",SUMIFS('RAW_농산물_11-12월'!$H:$H,'RAW_농산물_11-12월'!$D:$D,$C411,'RAW_농산물_11-12월'!$A:$A,$E411)-SUMIFS('RAW_농산물_10월'!$H:$H,'RAW_농산물_10월'!$D:$D,$C411,'RAW_농산물_10월'!$A:$A,$E411)))</f>
        <v/>
      </c>
      <c r="S411" s="17" t="str">
        <f t="shared" si="4"/>
        <v/>
      </c>
      <c r="T411" s="17" t="str">
        <f t="shared" si="5"/>
        <v/>
      </c>
      <c r="U411" s="7">
        <f>IF($C411="",0,IF('설정'!$B$3=0,0,CHOOSE('설정'!$B$3,COUNTIFS('RAW_농산물_7월'!$D:$D,$C411,'RAW_농산물_7월'!$A:$A,$E411),COUNTIFS('RAW_농산물_8월'!$D:$D,$C411,'RAW_농산물_8월'!$A:$A,$E411),COUNTIFS('RAW_농산물_9월'!$D:$D,$C411,'RAW_농산물_9월'!$A:$A,$E411),COUNTIFS('RAW_농산물_10월'!$D:$D,$C411,'RAW_농산물_10월'!$A:$A,$E411),COUNTIFS('RAW_농산물_11-12월'!$D:$D,$C411,'RAW_농산물_11-12월'!$A:$A,$E411))))</f>
        <v>0</v>
      </c>
    </row>
    <row r="412" ht="15.75" customHeight="1">
      <c r="A412" s="5"/>
      <c r="B412" s="5"/>
      <c r="C412" s="5"/>
      <c r="D412" s="6"/>
      <c r="E412" s="5"/>
      <c r="F412" s="7" t="str">
        <f>IF($C412="","",IF('설정'!$B$3=0,"",CHOOSE('설정'!$B$3,SUMIFS('RAW_농산물_7월'!$F:$F,'RAW_농산물_7월'!$D:$D,$C412,'RAW_농산물_7월'!$A:$A,$E412),SUMIFS('RAW_농산물_8월'!$F:$F,'RAW_농산물_8월'!$D:$D,$C412,'RAW_농산물_8월'!$A:$A,$E412),SUMIFS('RAW_농산물_9월'!$F:$F,'RAW_농산물_9월'!$D:$D,$C412,'RAW_농산물_9월'!$A:$A,$E412),SUMIFS('RAW_농산물_10월'!$F:$F,'RAW_농산물_10월'!$D:$D,$C412,'RAW_농산물_10월'!$A:$A,$E412),SUMIFS('RAW_농산물_11-12월'!$F:$F,'RAW_농산물_11-12월'!$D:$D,$C412,'RAW_농산물_11-12월'!$A:$A,$E412))))</f>
        <v/>
      </c>
      <c r="G412" s="7" t="str">
        <f>IF($C412="","",IF('설정'!$B$3=0,"",CHOOSE('설정'!$B$3,SUMIFS('RAW_농산물_7월'!$G:$G,'RAW_농산물_7월'!$D:$D,$C412,'RAW_농산물_7월'!$A:$A,$E412),SUMIFS('RAW_농산물_8월'!$G:$G,'RAW_농산물_8월'!$D:$D,$C412,'RAW_농산물_8월'!$A:$A,$E412),SUMIFS('RAW_농산물_9월'!$G:$G,'RAW_농산물_9월'!$D:$D,$C412,'RAW_농산물_9월'!$A:$A,$E412),SUMIFS('RAW_농산물_10월'!$G:$G,'RAW_농산물_10월'!$D:$D,$C412,'RAW_농산물_10월'!$A:$A,$E412),SUMIFS('RAW_농산물_11-12월'!$G:$G,'RAW_농산물_11-12월'!$D:$D,$C412,'RAW_농산물_11-12월'!$A:$A,$E412))))</f>
        <v/>
      </c>
      <c r="H412" s="14" t="str">
        <f>IF($C412="","",IF('설정'!$B$3=0,"",CHOOSE('설정'!$B$3,SUMIFS('RAW_농산물_7월'!$H:$H,'RAW_농산물_7월'!$D:$D,$C412,'RAW_농산물_7월'!$A:$A,$E412),SUMIFS('RAW_농산물_8월'!$H:$H,'RAW_농산물_8월'!$D:$D,$C412,'RAW_농산물_8월'!$A:$A,$E412),SUMIFS('RAW_농산물_9월'!$H:$H,'RAW_농산물_9월'!$D:$D,$C412,'RAW_농산물_9월'!$A:$A,$E412),SUMIFS('RAW_농산물_10월'!$H:$H,'RAW_농산물_10월'!$D:$D,$C412,'RAW_농산물_10월'!$A:$A,$E412),SUMIFS('RAW_농산물_11-12월'!$H:$H,'RAW_농산물_11-12월'!$D:$D,$C412,'RAW_농산물_11-12월'!$A:$A,$E412))))</f>
        <v/>
      </c>
      <c r="I412" s="17" t="str">
        <f>IF($C412="","",IF(COUNTIFS('RAW_농산물_7월'!$D:$D,$C412,'RAW_농산물_7월'!$A:$A,$E412)&gt;0,"O",""))</f>
        <v/>
      </c>
      <c r="J412" s="17" t="str">
        <f>IF($C412="","",IF(COUNTIFS('RAW_농산물_8월'!$D:$D,$C412,'RAW_농산물_8월'!$A:$A,$E412)&gt;0,"O",""))</f>
        <v/>
      </c>
      <c r="K412" s="17" t="str">
        <f>IF($C412="","",IF(COUNTIFS('RAW_농산물_9월'!$D:$D,$C412,'RAW_농산물_9월'!$A:$A,$E412)&gt;0,"O",""))</f>
        <v/>
      </c>
      <c r="L412" s="17" t="str">
        <f>IF($C412="","",IF(COUNTIFS('RAW_농산물_10월'!$D:$D,$C412,'RAW_농산물_10월'!$A:$A,$E412)&gt;0,"O",""))</f>
        <v/>
      </c>
      <c r="M412" s="17" t="str">
        <f>IF($C412="","",IF(COUNTIFS('RAW_농산물_11-12월'!$D:$D,$C412,'RAW_농산물_11-12월'!$A:$A,$E412)&gt;0,"O",""))</f>
        <v/>
      </c>
      <c r="N412" s="7" t="str">
        <f>IF($C412="","",IF(COUNTA('RAW_농산물_7월'!$A:$A)&lt;=1,"",SUMIFS('RAW_농산물_7월'!$H:$H,'RAW_농산물_7월'!$D:$D,$C412,'RAW_농산물_7월'!$A:$A,$E412)))</f>
        <v/>
      </c>
      <c r="O412" s="7" t="str">
        <f>IF($C412="","",IF(COUNTA('RAW_농산물_8월'!$A:$A)&lt;=1,"",SUMIFS('RAW_농산물_8월'!$H:$H,'RAW_농산물_8월'!$D:$D,$C412,'RAW_농산물_8월'!$A:$A,$E412)-SUMIFS('RAW_농산물_7월'!$H:$H,'RAW_농산물_7월'!$D:$D,$C412,'RAW_농산물_7월'!$A:$A,$E412)))</f>
        <v/>
      </c>
      <c r="P412" s="7" t="str">
        <f>IF($C412="","",IF(COUNTA('RAW_농산물_9월'!$A:$A)&lt;=1,"",SUMIFS('RAW_농산물_9월'!$H:$H,'RAW_농산물_9월'!$D:$D,$C412,'RAW_농산물_9월'!$A:$A,$E412)-SUMIFS('RAW_농산물_8월'!$H:$H,'RAW_농산물_8월'!$D:$D,$C412,'RAW_농산물_8월'!$A:$A,$E412)))</f>
        <v/>
      </c>
      <c r="Q412" s="7" t="str">
        <f>IF($C412="","",IF(COUNTA('RAW_농산물_10월'!$A:$A)&lt;=1,"",SUMIFS('RAW_농산물_10월'!$H:$H,'RAW_농산물_10월'!$D:$D,$C412,'RAW_농산물_10월'!$A:$A,$E412)-SUMIFS('RAW_농산물_9월'!$H:$H,'RAW_농산물_9월'!$D:$D,$C412,'RAW_농산물_9월'!$A:$A,$E412)))</f>
        <v/>
      </c>
      <c r="R412" s="7" t="str">
        <f>IF($C412="","",IF(COUNTA('RAW_농산물_11-12월'!$A:$A)&lt;=1,"",SUMIFS('RAW_농산물_11-12월'!$H:$H,'RAW_농산물_11-12월'!$D:$D,$C412,'RAW_농산물_11-12월'!$A:$A,$E412)-SUMIFS('RAW_농산물_10월'!$H:$H,'RAW_농산물_10월'!$D:$D,$C412,'RAW_농산물_10월'!$A:$A,$E412)))</f>
        <v/>
      </c>
      <c r="S412" s="17" t="str">
        <f t="shared" si="4"/>
        <v/>
      </c>
      <c r="T412" s="17" t="str">
        <f t="shared" si="5"/>
        <v/>
      </c>
      <c r="U412" s="7">
        <f>IF($C412="",0,IF('설정'!$B$3=0,0,CHOOSE('설정'!$B$3,COUNTIFS('RAW_농산물_7월'!$D:$D,$C412,'RAW_농산물_7월'!$A:$A,$E412),COUNTIFS('RAW_농산물_8월'!$D:$D,$C412,'RAW_농산물_8월'!$A:$A,$E412),COUNTIFS('RAW_농산물_9월'!$D:$D,$C412,'RAW_농산물_9월'!$A:$A,$E412),COUNTIFS('RAW_농산물_10월'!$D:$D,$C412,'RAW_농산물_10월'!$A:$A,$E412),COUNTIFS('RAW_농산물_11-12월'!$D:$D,$C412,'RAW_농산물_11-12월'!$A:$A,$E412))))</f>
        <v>0</v>
      </c>
    </row>
    <row r="413" ht="15.75" customHeight="1">
      <c r="A413" s="5"/>
      <c r="B413" s="5"/>
      <c r="C413" s="5"/>
      <c r="D413" s="6"/>
      <c r="E413" s="5"/>
      <c r="F413" s="7" t="str">
        <f>IF($C413="","",IF('설정'!$B$3=0,"",CHOOSE('설정'!$B$3,SUMIFS('RAW_농산물_7월'!$F:$F,'RAW_농산물_7월'!$D:$D,$C413,'RAW_농산물_7월'!$A:$A,$E413),SUMIFS('RAW_농산물_8월'!$F:$F,'RAW_농산물_8월'!$D:$D,$C413,'RAW_농산물_8월'!$A:$A,$E413),SUMIFS('RAW_농산물_9월'!$F:$F,'RAW_농산물_9월'!$D:$D,$C413,'RAW_농산물_9월'!$A:$A,$E413),SUMIFS('RAW_농산물_10월'!$F:$F,'RAW_농산물_10월'!$D:$D,$C413,'RAW_농산물_10월'!$A:$A,$E413),SUMIFS('RAW_농산물_11-12월'!$F:$F,'RAW_농산물_11-12월'!$D:$D,$C413,'RAW_농산물_11-12월'!$A:$A,$E413))))</f>
        <v/>
      </c>
      <c r="G413" s="7" t="str">
        <f>IF($C413="","",IF('설정'!$B$3=0,"",CHOOSE('설정'!$B$3,SUMIFS('RAW_농산물_7월'!$G:$G,'RAW_농산물_7월'!$D:$D,$C413,'RAW_농산물_7월'!$A:$A,$E413),SUMIFS('RAW_농산물_8월'!$G:$G,'RAW_농산물_8월'!$D:$D,$C413,'RAW_농산물_8월'!$A:$A,$E413),SUMIFS('RAW_농산물_9월'!$G:$G,'RAW_농산물_9월'!$D:$D,$C413,'RAW_농산물_9월'!$A:$A,$E413),SUMIFS('RAW_농산물_10월'!$G:$G,'RAW_농산물_10월'!$D:$D,$C413,'RAW_농산물_10월'!$A:$A,$E413),SUMIFS('RAW_농산물_11-12월'!$G:$G,'RAW_농산물_11-12월'!$D:$D,$C413,'RAW_농산물_11-12월'!$A:$A,$E413))))</f>
        <v/>
      </c>
      <c r="H413" s="14" t="str">
        <f>IF($C413="","",IF('설정'!$B$3=0,"",CHOOSE('설정'!$B$3,SUMIFS('RAW_농산물_7월'!$H:$H,'RAW_농산물_7월'!$D:$D,$C413,'RAW_농산물_7월'!$A:$A,$E413),SUMIFS('RAW_농산물_8월'!$H:$H,'RAW_농산물_8월'!$D:$D,$C413,'RAW_농산물_8월'!$A:$A,$E413),SUMIFS('RAW_농산물_9월'!$H:$H,'RAW_농산물_9월'!$D:$D,$C413,'RAW_농산물_9월'!$A:$A,$E413),SUMIFS('RAW_농산물_10월'!$H:$H,'RAW_농산물_10월'!$D:$D,$C413,'RAW_농산물_10월'!$A:$A,$E413),SUMIFS('RAW_농산물_11-12월'!$H:$H,'RAW_농산물_11-12월'!$D:$D,$C413,'RAW_농산물_11-12월'!$A:$A,$E413))))</f>
        <v/>
      </c>
      <c r="I413" s="17" t="str">
        <f>IF($C413="","",IF(COUNTIFS('RAW_농산물_7월'!$D:$D,$C413,'RAW_농산물_7월'!$A:$A,$E413)&gt;0,"O",""))</f>
        <v/>
      </c>
      <c r="J413" s="17" t="str">
        <f>IF($C413="","",IF(COUNTIFS('RAW_농산물_8월'!$D:$D,$C413,'RAW_농산물_8월'!$A:$A,$E413)&gt;0,"O",""))</f>
        <v/>
      </c>
      <c r="K413" s="17" t="str">
        <f>IF($C413="","",IF(COUNTIFS('RAW_농산물_9월'!$D:$D,$C413,'RAW_농산물_9월'!$A:$A,$E413)&gt;0,"O",""))</f>
        <v/>
      </c>
      <c r="L413" s="17" t="str">
        <f>IF($C413="","",IF(COUNTIFS('RAW_농산물_10월'!$D:$D,$C413,'RAW_농산물_10월'!$A:$A,$E413)&gt;0,"O",""))</f>
        <v/>
      </c>
      <c r="M413" s="17" t="str">
        <f>IF($C413="","",IF(COUNTIFS('RAW_농산물_11-12월'!$D:$D,$C413,'RAW_농산물_11-12월'!$A:$A,$E413)&gt;0,"O",""))</f>
        <v/>
      </c>
      <c r="N413" s="7" t="str">
        <f>IF($C413="","",IF(COUNTA('RAW_농산물_7월'!$A:$A)&lt;=1,"",SUMIFS('RAW_농산물_7월'!$H:$H,'RAW_농산물_7월'!$D:$D,$C413,'RAW_농산물_7월'!$A:$A,$E413)))</f>
        <v/>
      </c>
      <c r="O413" s="7" t="str">
        <f>IF($C413="","",IF(COUNTA('RAW_농산물_8월'!$A:$A)&lt;=1,"",SUMIFS('RAW_농산물_8월'!$H:$H,'RAW_농산물_8월'!$D:$D,$C413,'RAW_농산물_8월'!$A:$A,$E413)-SUMIFS('RAW_농산물_7월'!$H:$H,'RAW_농산물_7월'!$D:$D,$C413,'RAW_농산물_7월'!$A:$A,$E413)))</f>
        <v/>
      </c>
      <c r="P413" s="7" t="str">
        <f>IF($C413="","",IF(COUNTA('RAW_농산물_9월'!$A:$A)&lt;=1,"",SUMIFS('RAW_농산물_9월'!$H:$H,'RAW_농산물_9월'!$D:$D,$C413,'RAW_농산물_9월'!$A:$A,$E413)-SUMIFS('RAW_농산물_8월'!$H:$H,'RAW_농산물_8월'!$D:$D,$C413,'RAW_농산물_8월'!$A:$A,$E413)))</f>
        <v/>
      </c>
      <c r="Q413" s="7" t="str">
        <f>IF($C413="","",IF(COUNTA('RAW_농산물_10월'!$A:$A)&lt;=1,"",SUMIFS('RAW_농산물_10월'!$H:$H,'RAW_농산물_10월'!$D:$D,$C413,'RAW_농산물_10월'!$A:$A,$E413)-SUMIFS('RAW_농산물_9월'!$H:$H,'RAW_농산물_9월'!$D:$D,$C413,'RAW_농산물_9월'!$A:$A,$E413)))</f>
        <v/>
      </c>
      <c r="R413" s="7" t="str">
        <f>IF($C413="","",IF(COUNTA('RAW_농산물_11-12월'!$A:$A)&lt;=1,"",SUMIFS('RAW_농산물_11-12월'!$H:$H,'RAW_농산물_11-12월'!$D:$D,$C413,'RAW_농산물_11-12월'!$A:$A,$E413)-SUMIFS('RAW_농산물_10월'!$H:$H,'RAW_농산물_10월'!$D:$D,$C413,'RAW_농산물_10월'!$A:$A,$E413)))</f>
        <v/>
      </c>
      <c r="S413" s="17" t="str">
        <f t="shared" si="4"/>
        <v/>
      </c>
      <c r="T413" s="17" t="str">
        <f t="shared" si="5"/>
        <v/>
      </c>
      <c r="U413" s="7">
        <f>IF($C413="",0,IF('설정'!$B$3=0,0,CHOOSE('설정'!$B$3,COUNTIFS('RAW_농산물_7월'!$D:$D,$C413,'RAW_농산물_7월'!$A:$A,$E413),COUNTIFS('RAW_농산물_8월'!$D:$D,$C413,'RAW_농산물_8월'!$A:$A,$E413),COUNTIFS('RAW_농산물_9월'!$D:$D,$C413,'RAW_농산물_9월'!$A:$A,$E413),COUNTIFS('RAW_농산물_10월'!$D:$D,$C413,'RAW_농산물_10월'!$A:$A,$E413),COUNTIFS('RAW_농산물_11-12월'!$D:$D,$C413,'RAW_농산물_11-12월'!$A:$A,$E413))))</f>
        <v>0</v>
      </c>
    </row>
    <row r="414" ht="15.75" customHeight="1">
      <c r="A414" s="5"/>
      <c r="B414" s="5"/>
      <c r="C414" s="5"/>
      <c r="D414" s="6"/>
      <c r="E414" s="5"/>
      <c r="F414" s="7" t="str">
        <f>IF($C414="","",IF('설정'!$B$3=0,"",CHOOSE('설정'!$B$3,SUMIFS('RAW_농산물_7월'!$F:$F,'RAW_농산물_7월'!$D:$D,$C414,'RAW_농산물_7월'!$A:$A,$E414),SUMIFS('RAW_농산물_8월'!$F:$F,'RAW_농산물_8월'!$D:$D,$C414,'RAW_농산물_8월'!$A:$A,$E414),SUMIFS('RAW_농산물_9월'!$F:$F,'RAW_농산물_9월'!$D:$D,$C414,'RAW_농산물_9월'!$A:$A,$E414),SUMIFS('RAW_농산물_10월'!$F:$F,'RAW_농산물_10월'!$D:$D,$C414,'RAW_농산물_10월'!$A:$A,$E414),SUMIFS('RAW_농산물_11-12월'!$F:$F,'RAW_농산물_11-12월'!$D:$D,$C414,'RAW_농산물_11-12월'!$A:$A,$E414))))</f>
        <v/>
      </c>
      <c r="G414" s="7" t="str">
        <f>IF($C414="","",IF('설정'!$B$3=0,"",CHOOSE('설정'!$B$3,SUMIFS('RAW_농산물_7월'!$G:$G,'RAW_농산물_7월'!$D:$D,$C414,'RAW_농산물_7월'!$A:$A,$E414),SUMIFS('RAW_농산물_8월'!$G:$G,'RAW_농산물_8월'!$D:$D,$C414,'RAW_농산물_8월'!$A:$A,$E414),SUMIFS('RAW_농산물_9월'!$G:$G,'RAW_농산물_9월'!$D:$D,$C414,'RAW_농산물_9월'!$A:$A,$E414),SUMIFS('RAW_농산물_10월'!$G:$G,'RAW_농산물_10월'!$D:$D,$C414,'RAW_농산물_10월'!$A:$A,$E414),SUMIFS('RAW_농산물_11-12월'!$G:$G,'RAW_농산물_11-12월'!$D:$D,$C414,'RAW_농산물_11-12월'!$A:$A,$E414))))</f>
        <v/>
      </c>
      <c r="H414" s="14" t="str">
        <f>IF($C414="","",IF('설정'!$B$3=0,"",CHOOSE('설정'!$B$3,SUMIFS('RAW_농산물_7월'!$H:$H,'RAW_농산물_7월'!$D:$D,$C414,'RAW_농산물_7월'!$A:$A,$E414),SUMIFS('RAW_농산물_8월'!$H:$H,'RAW_농산물_8월'!$D:$D,$C414,'RAW_농산물_8월'!$A:$A,$E414),SUMIFS('RAW_농산물_9월'!$H:$H,'RAW_농산물_9월'!$D:$D,$C414,'RAW_농산물_9월'!$A:$A,$E414),SUMIFS('RAW_농산물_10월'!$H:$H,'RAW_농산물_10월'!$D:$D,$C414,'RAW_농산물_10월'!$A:$A,$E414),SUMIFS('RAW_농산물_11-12월'!$H:$H,'RAW_농산물_11-12월'!$D:$D,$C414,'RAW_농산물_11-12월'!$A:$A,$E414))))</f>
        <v/>
      </c>
      <c r="I414" s="17" t="str">
        <f>IF($C414="","",IF(COUNTIFS('RAW_농산물_7월'!$D:$D,$C414,'RAW_농산물_7월'!$A:$A,$E414)&gt;0,"O",""))</f>
        <v/>
      </c>
      <c r="J414" s="17" t="str">
        <f>IF($C414="","",IF(COUNTIFS('RAW_농산물_8월'!$D:$D,$C414,'RAW_농산물_8월'!$A:$A,$E414)&gt;0,"O",""))</f>
        <v/>
      </c>
      <c r="K414" s="17" t="str">
        <f>IF($C414="","",IF(COUNTIFS('RAW_농산물_9월'!$D:$D,$C414,'RAW_농산물_9월'!$A:$A,$E414)&gt;0,"O",""))</f>
        <v/>
      </c>
      <c r="L414" s="17" t="str">
        <f>IF($C414="","",IF(COUNTIFS('RAW_농산물_10월'!$D:$D,$C414,'RAW_농산물_10월'!$A:$A,$E414)&gt;0,"O",""))</f>
        <v/>
      </c>
      <c r="M414" s="17" t="str">
        <f>IF($C414="","",IF(COUNTIFS('RAW_농산물_11-12월'!$D:$D,$C414,'RAW_농산물_11-12월'!$A:$A,$E414)&gt;0,"O",""))</f>
        <v/>
      </c>
      <c r="N414" s="7" t="str">
        <f>IF($C414="","",IF(COUNTA('RAW_농산물_7월'!$A:$A)&lt;=1,"",SUMIFS('RAW_농산물_7월'!$H:$H,'RAW_농산물_7월'!$D:$D,$C414,'RAW_농산물_7월'!$A:$A,$E414)))</f>
        <v/>
      </c>
      <c r="O414" s="7" t="str">
        <f>IF($C414="","",IF(COUNTA('RAW_농산물_8월'!$A:$A)&lt;=1,"",SUMIFS('RAW_농산물_8월'!$H:$H,'RAW_농산물_8월'!$D:$D,$C414,'RAW_농산물_8월'!$A:$A,$E414)-SUMIFS('RAW_농산물_7월'!$H:$H,'RAW_농산물_7월'!$D:$D,$C414,'RAW_농산물_7월'!$A:$A,$E414)))</f>
        <v/>
      </c>
      <c r="P414" s="7" t="str">
        <f>IF($C414="","",IF(COUNTA('RAW_농산물_9월'!$A:$A)&lt;=1,"",SUMIFS('RAW_농산물_9월'!$H:$H,'RAW_농산물_9월'!$D:$D,$C414,'RAW_농산물_9월'!$A:$A,$E414)-SUMIFS('RAW_농산물_8월'!$H:$H,'RAW_농산물_8월'!$D:$D,$C414,'RAW_농산물_8월'!$A:$A,$E414)))</f>
        <v/>
      </c>
      <c r="Q414" s="7" t="str">
        <f>IF($C414="","",IF(COUNTA('RAW_농산물_10월'!$A:$A)&lt;=1,"",SUMIFS('RAW_농산물_10월'!$H:$H,'RAW_농산물_10월'!$D:$D,$C414,'RAW_농산물_10월'!$A:$A,$E414)-SUMIFS('RAW_농산물_9월'!$H:$H,'RAW_농산물_9월'!$D:$D,$C414,'RAW_농산물_9월'!$A:$A,$E414)))</f>
        <v/>
      </c>
      <c r="R414" s="7" t="str">
        <f>IF($C414="","",IF(COUNTA('RAW_농산물_11-12월'!$A:$A)&lt;=1,"",SUMIFS('RAW_농산물_11-12월'!$H:$H,'RAW_농산물_11-12월'!$D:$D,$C414,'RAW_농산물_11-12월'!$A:$A,$E414)-SUMIFS('RAW_농산물_10월'!$H:$H,'RAW_농산물_10월'!$D:$D,$C414,'RAW_농산물_10월'!$A:$A,$E414)))</f>
        <v/>
      </c>
      <c r="S414" s="17" t="str">
        <f t="shared" si="4"/>
        <v/>
      </c>
      <c r="T414" s="17" t="str">
        <f t="shared" si="5"/>
        <v/>
      </c>
      <c r="U414" s="7">
        <f>IF($C414="",0,IF('설정'!$B$3=0,0,CHOOSE('설정'!$B$3,COUNTIFS('RAW_농산물_7월'!$D:$D,$C414,'RAW_농산물_7월'!$A:$A,$E414),COUNTIFS('RAW_농산물_8월'!$D:$D,$C414,'RAW_농산물_8월'!$A:$A,$E414),COUNTIFS('RAW_농산물_9월'!$D:$D,$C414,'RAW_농산물_9월'!$A:$A,$E414),COUNTIFS('RAW_농산물_10월'!$D:$D,$C414,'RAW_농산물_10월'!$A:$A,$E414),COUNTIFS('RAW_농산물_11-12월'!$D:$D,$C414,'RAW_농산물_11-12월'!$A:$A,$E414))))</f>
        <v>0</v>
      </c>
    </row>
    <row r="415" ht="15.75" customHeight="1">
      <c r="A415" s="5"/>
      <c r="B415" s="5"/>
      <c r="C415" s="5"/>
      <c r="D415" s="6"/>
      <c r="E415" s="5"/>
      <c r="F415" s="7" t="str">
        <f>IF($C415="","",IF('설정'!$B$3=0,"",CHOOSE('설정'!$B$3,SUMIFS('RAW_농산물_7월'!$F:$F,'RAW_농산물_7월'!$D:$D,$C415,'RAW_농산물_7월'!$A:$A,$E415),SUMIFS('RAW_농산물_8월'!$F:$F,'RAW_농산물_8월'!$D:$D,$C415,'RAW_농산물_8월'!$A:$A,$E415),SUMIFS('RAW_농산물_9월'!$F:$F,'RAW_농산물_9월'!$D:$D,$C415,'RAW_농산물_9월'!$A:$A,$E415),SUMIFS('RAW_농산물_10월'!$F:$F,'RAW_농산물_10월'!$D:$D,$C415,'RAW_농산물_10월'!$A:$A,$E415),SUMIFS('RAW_농산물_11-12월'!$F:$F,'RAW_농산물_11-12월'!$D:$D,$C415,'RAW_농산물_11-12월'!$A:$A,$E415))))</f>
        <v/>
      </c>
      <c r="G415" s="7" t="str">
        <f>IF($C415="","",IF('설정'!$B$3=0,"",CHOOSE('설정'!$B$3,SUMIFS('RAW_농산물_7월'!$G:$G,'RAW_농산물_7월'!$D:$D,$C415,'RAW_농산물_7월'!$A:$A,$E415),SUMIFS('RAW_농산물_8월'!$G:$G,'RAW_농산물_8월'!$D:$D,$C415,'RAW_농산물_8월'!$A:$A,$E415),SUMIFS('RAW_농산물_9월'!$G:$G,'RAW_농산물_9월'!$D:$D,$C415,'RAW_농산물_9월'!$A:$A,$E415),SUMIFS('RAW_농산물_10월'!$G:$G,'RAW_농산물_10월'!$D:$D,$C415,'RAW_농산물_10월'!$A:$A,$E415),SUMIFS('RAW_농산물_11-12월'!$G:$G,'RAW_농산물_11-12월'!$D:$D,$C415,'RAW_농산물_11-12월'!$A:$A,$E415))))</f>
        <v/>
      </c>
      <c r="H415" s="14" t="str">
        <f>IF($C415="","",IF('설정'!$B$3=0,"",CHOOSE('설정'!$B$3,SUMIFS('RAW_농산물_7월'!$H:$H,'RAW_농산물_7월'!$D:$D,$C415,'RAW_농산물_7월'!$A:$A,$E415),SUMIFS('RAW_농산물_8월'!$H:$H,'RAW_농산물_8월'!$D:$D,$C415,'RAW_농산물_8월'!$A:$A,$E415),SUMIFS('RAW_농산물_9월'!$H:$H,'RAW_농산물_9월'!$D:$D,$C415,'RAW_농산물_9월'!$A:$A,$E415),SUMIFS('RAW_농산물_10월'!$H:$H,'RAW_농산물_10월'!$D:$D,$C415,'RAW_농산물_10월'!$A:$A,$E415),SUMIFS('RAW_농산물_11-12월'!$H:$H,'RAW_농산물_11-12월'!$D:$D,$C415,'RAW_농산물_11-12월'!$A:$A,$E415))))</f>
        <v/>
      </c>
      <c r="I415" s="17" t="str">
        <f>IF($C415="","",IF(COUNTIFS('RAW_농산물_7월'!$D:$D,$C415,'RAW_농산물_7월'!$A:$A,$E415)&gt;0,"O",""))</f>
        <v/>
      </c>
      <c r="J415" s="17" t="str">
        <f>IF($C415="","",IF(COUNTIFS('RAW_농산물_8월'!$D:$D,$C415,'RAW_농산물_8월'!$A:$A,$E415)&gt;0,"O",""))</f>
        <v/>
      </c>
      <c r="K415" s="17" t="str">
        <f>IF($C415="","",IF(COUNTIFS('RAW_농산물_9월'!$D:$D,$C415,'RAW_농산물_9월'!$A:$A,$E415)&gt;0,"O",""))</f>
        <v/>
      </c>
      <c r="L415" s="17" t="str">
        <f>IF($C415="","",IF(COUNTIFS('RAW_농산물_10월'!$D:$D,$C415,'RAW_농산물_10월'!$A:$A,$E415)&gt;0,"O",""))</f>
        <v/>
      </c>
      <c r="M415" s="17" t="str">
        <f>IF($C415="","",IF(COUNTIFS('RAW_농산물_11-12월'!$D:$D,$C415,'RAW_농산물_11-12월'!$A:$A,$E415)&gt;0,"O",""))</f>
        <v/>
      </c>
      <c r="N415" s="7" t="str">
        <f>IF($C415="","",IF(COUNTA('RAW_농산물_7월'!$A:$A)&lt;=1,"",SUMIFS('RAW_농산물_7월'!$H:$H,'RAW_농산물_7월'!$D:$D,$C415,'RAW_농산물_7월'!$A:$A,$E415)))</f>
        <v/>
      </c>
      <c r="O415" s="7" t="str">
        <f>IF($C415="","",IF(COUNTA('RAW_농산물_8월'!$A:$A)&lt;=1,"",SUMIFS('RAW_농산물_8월'!$H:$H,'RAW_농산물_8월'!$D:$D,$C415,'RAW_농산물_8월'!$A:$A,$E415)-SUMIFS('RAW_농산물_7월'!$H:$H,'RAW_농산물_7월'!$D:$D,$C415,'RAW_농산물_7월'!$A:$A,$E415)))</f>
        <v/>
      </c>
      <c r="P415" s="7" t="str">
        <f>IF($C415="","",IF(COUNTA('RAW_농산물_9월'!$A:$A)&lt;=1,"",SUMIFS('RAW_농산물_9월'!$H:$H,'RAW_농산물_9월'!$D:$D,$C415,'RAW_농산물_9월'!$A:$A,$E415)-SUMIFS('RAW_농산물_8월'!$H:$H,'RAW_농산물_8월'!$D:$D,$C415,'RAW_농산물_8월'!$A:$A,$E415)))</f>
        <v/>
      </c>
      <c r="Q415" s="7" t="str">
        <f>IF($C415="","",IF(COUNTA('RAW_농산물_10월'!$A:$A)&lt;=1,"",SUMIFS('RAW_농산물_10월'!$H:$H,'RAW_농산물_10월'!$D:$D,$C415,'RAW_농산물_10월'!$A:$A,$E415)-SUMIFS('RAW_농산물_9월'!$H:$H,'RAW_농산물_9월'!$D:$D,$C415,'RAW_농산물_9월'!$A:$A,$E415)))</f>
        <v/>
      </c>
      <c r="R415" s="7" t="str">
        <f>IF($C415="","",IF(COUNTA('RAW_농산물_11-12월'!$A:$A)&lt;=1,"",SUMIFS('RAW_농산물_11-12월'!$H:$H,'RAW_농산물_11-12월'!$D:$D,$C415,'RAW_농산물_11-12월'!$A:$A,$E415)-SUMIFS('RAW_농산물_10월'!$H:$H,'RAW_농산물_10월'!$D:$D,$C415,'RAW_농산물_10월'!$A:$A,$E415)))</f>
        <v/>
      </c>
      <c r="S415" s="17" t="str">
        <f t="shared" si="4"/>
        <v/>
      </c>
      <c r="T415" s="17" t="str">
        <f t="shared" si="5"/>
        <v/>
      </c>
      <c r="U415" s="7">
        <f>IF($C415="",0,IF('설정'!$B$3=0,0,CHOOSE('설정'!$B$3,COUNTIFS('RAW_농산물_7월'!$D:$D,$C415,'RAW_농산물_7월'!$A:$A,$E415),COUNTIFS('RAW_농산물_8월'!$D:$D,$C415,'RAW_농산물_8월'!$A:$A,$E415),COUNTIFS('RAW_농산물_9월'!$D:$D,$C415,'RAW_농산물_9월'!$A:$A,$E415),COUNTIFS('RAW_농산물_10월'!$D:$D,$C415,'RAW_농산물_10월'!$A:$A,$E415),COUNTIFS('RAW_농산물_11-12월'!$D:$D,$C415,'RAW_농산물_11-12월'!$A:$A,$E415))))</f>
        <v>0</v>
      </c>
    </row>
    <row r="416" ht="15.75" customHeight="1">
      <c r="A416" s="5"/>
      <c r="B416" s="5"/>
      <c r="C416" s="5"/>
      <c r="D416" s="6"/>
      <c r="E416" s="5"/>
      <c r="F416" s="7" t="str">
        <f>IF($C416="","",IF('설정'!$B$3=0,"",CHOOSE('설정'!$B$3,SUMIFS('RAW_농산물_7월'!$F:$F,'RAW_농산물_7월'!$D:$D,$C416,'RAW_농산물_7월'!$A:$A,$E416),SUMIFS('RAW_농산물_8월'!$F:$F,'RAW_농산물_8월'!$D:$D,$C416,'RAW_농산물_8월'!$A:$A,$E416),SUMIFS('RAW_농산물_9월'!$F:$F,'RAW_농산물_9월'!$D:$D,$C416,'RAW_농산물_9월'!$A:$A,$E416),SUMIFS('RAW_농산물_10월'!$F:$F,'RAW_농산물_10월'!$D:$D,$C416,'RAW_농산물_10월'!$A:$A,$E416),SUMIFS('RAW_농산물_11-12월'!$F:$F,'RAW_농산물_11-12월'!$D:$D,$C416,'RAW_농산물_11-12월'!$A:$A,$E416))))</f>
        <v/>
      </c>
      <c r="G416" s="7" t="str">
        <f>IF($C416="","",IF('설정'!$B$3=0,"",CHOOSE('설정'!$B$3,SUMIFS('RAW_농산물_7월'!$G:$G,'RAW_농산물_7월'!$D:$D,$C416,'RAW_농산물_7월'!$A:$A,$E416),SUMIFS('RAW_농산물_8월'!$G:$G,'RAW_농산물_8월'!$D:$D,$C416,'RAW_농산물_8월'!$A:$A,$E416),SUMIFS('RAW_농산물_9월'!$G:$G,'RAW_농산물_9월'!$D:$D,$C416,'RAW_농산물_9월'!$A:$A,$E416),SUMIFS('RAW_농산물_10월'!$G:$G,'RAW_농산물_10월'!$D:$D,$C416,'RAW_농산물_10월'!$A:$A,$E416),SUMIFS('RAW_농산물_11-12월'!$G:$G,'RAW_농산물_11-12월'!$D:$D,$C416,'RAW_농산물_11-12월'!$A:$A,$E416))))</f>
        <v/>
      </c>
      <c r="H416" s="14" t="str">
        <f>IF($C416="","",IF('설정'!$B$3=0,"",CHOOSE('설정'!$B$3,SUMIFS('RAW_농산물_7월'!$H:$H,'RAW_농산물_7월'!$D:$D,$C416,'RAW_농산물_7월'!$A:$A,$E416),SUMIFS('RAW_농산물_8월'!$H:$H,'RAW_농산물_8월'!$D:$D,$C416,'RAW_농산물_8월'!$A:$A,$E416),SUMIFS('RAW_농산물_9월'!$H:$H,'RAW_농산물_9월'!$D:$D,$C416,'RAW_농산물_9월'!$A:$A,$E416),SUMIFS('RAW_농산물_10월'!$H:$H,'RAW_농산물_10월'!$D:$D,$C416,'RAW_농산물_10월'!$A:$A,$E416),SUMIFS('RAW_농산물_11-12월'!$H:$H,'RAW_농산물_11-12월'!$D:$D,$C416,'RAW_농산물_11-12월'!$A:$A,$E416))))</f>
        <v/>
      </c>
      <c r="I416" s="17" t="str">
        <f>IF($C416="","",IF(COUNTIFS('RAW_농산물_7월'!$D:$D,$C416,'RAW_농산물_7월'!$A:$A,$E416)&gt;0,"O",""))</f>
        <v/>
      </c>
      <c r="J416" s="17" t="str">
        <f>IF($C416="","",IF(COUNTIFS('RAW_농산물_8월'!$D:$D,$C416,'RAW_농산물_8월'!$A:$A,$E416)&gt;0,"O",""))</f>
        <v/>
      </c>
      <c r="K416" s="17" t="str">
        <f>IF($C416="","",IF(COUNTIFS('RAW_농산물_9월'!$D:$D,$C416,'RAW_농산물_9월'!$A:$A,$E416)&gt;0,"O",""))</f>
        <v/>
      </c>
      <c r="L416" s="17" t="str">
        <f>IF($C416="","",IF(COUNTIFS('RAW_농산물_10월'!$D:$D,$C416,'RAW_농산물_10월'!$A:$A,$E416)&gt;0,"O",""))</f>
        <v/>
      </c>
      <c r="M416" s="17" t="str">
        <f>IF($C416="","",IF(COUNTIFS('RAW_농산물_11-12월'!$D:$D,$C416,'RAW_농산물_11-12월'!$A:$A,$E416)&gt;0,"O",""))</f>
        <v/>
      </c>
      <c r="N416" s="7" t="str">
        <f>IF($C416="","",IF(COUNTA('RAW_농산물_7월'!$A:$A)&lt;=1,"",SUMIFS('RAW_농산물_7월'!$H:$H,'RAW_농산물_7월'!$D:$D,$C416,'RAW_농산물_7월'!$A:$A,$E416)))</f>
        <v/>
      </c>
      <c r="O416" s="7" t="str">
        <f>IF($C416="","",IF(COUNTA('RAW_농산물_8월'!$A:$A)&lt;=1,"",SUMIFS('RAW_농산물_8월'!$H:$H,'RAW_농산물_8월'!$D:$D,$C416,'RAW_농산물_8월'!$A:$A,$E416)-SUMIFS('RAW_농산물_7월'!$H:$H,'RAW_농산물_7월'!$D:$D,$C416,'RAW_농산물_7월'!$A:$A,$E416)))</f>
        <v/>
      </c>
      <c r="P416" s="7" t="str">
        <f>IF($C416="","",IF(COUNTA('RAW_농산물_9월'!$A:$A)&lt;=1,"",SUMIFS('RAW_농산물_9월'!$H:$H,'RAW_농산물_9월'!$D:$D,$C416,'RAW_농산물_9월'!$A:$A,$E416)-SUMIFS('RAW_농산물_8월'!$H:$H,'RAW_농산물_8월'!$D:$D,$C416,'RAW_농산물_8월'!$A:$A,$E416)))</f>
        <v/>
      </c>
      <c r="Q416" s="7" t="str">
        <f>IF($C416="","",IF(COUNTA('RAW_농산물_10월'!$A:$A)&lt;=1,"",SUMIFS('RAW_농산물_10월'!$H:$H,'RAW_농산물_10월'!$D:$D,$C416,'RAW_농산물_10월'!$A:$A,$E416)-SUMIFS('RAW_농산물_9월'!$H:$H,'RAW_농산물_9월'!$D:$D,$C416,'RAW_농산물_9월'!$A:$A,$E416)))</f>
        <v/>
      </c>
      <c r="R416" s="7" t="str">
        <f>IF($C416="","",IF(COUNTA('RAW_농산물_11-12월'!$A:$A)&lt;=1,"",SUMIFS('RAW_농산물_11-12월'!$H:$H,'RAW_농산물_11-12월'!$D:$D,$C416,'RAW_농산물_11-12월'!$A:$A,$E416)-SUMIFS('RAW_농산물_10월'!$H:$H,'RAW_농산물_10월'!$D:$D,$C416,'RAW_농산물_10월'!$A:$A,$E416)))</f>
        <v/>
      </c>
      <c r="S416" s="17" t="str">
        <f t="shared" si="4"/>
        <v/>
      </c>
      <c r="T416" s="17" t="str">
        <f t="shared" si="5"/>
        <v/>
      </c>
      <c r="U416" s="7">
        <f>IF($C416="",0,IF('설정'!$B$3=0,0,CHOOSE('설정'!$B$3,COUNTIFS('RAW_농산물_7월'!$D:$D,$C416,'RAW_농산물_7월'!$A:$A,$E416),COUNTIFS('RAW_농산물_8월'!$D:$D,$C416,'RAW_농산물_8월'!$A:$A,$E416),COUNTIFS('RAW_농산물_9월'!$D:$D,$C416,'RAW_농산물_9월'!$A:$A,$E416),COUNTIFS('RAW_농산물_10월'!$D:$D,$C416,'RAW_농산물_10월'!$A:$A,$E416),COUNTIFS('RAW_농산물_11-12월'!$D:$D,$C416,'RAW_농산물_11-12월'!$A:$A,$E416))))</f>
        <v>0</v>
      </c>
    </row>
    <row r="417" ht="15.75" customHeight="1">
      <c r="A417" s="5"/>
      <c r="B417" s="5"/>
      <c r="C417" s="5"/>
      <c r="D417" s="6"/>
      <c r="E417" s="5"/>
      <c r="F417" s="7" t="str">
        <f>IF($C417="","",IF('설정'!$B$3=0,"",CHOOSE('설정'!$B$3,SUMIFS('RAW_농산물_7월'!$F:$F,'RAW_농산물_7월'!$D:$D,$C417,'RAW_농산물_7월'!$A:$A,$E417),SUMIFS('RAW_농산물_8월'!$F:$F,'RAW_농산물_8월'!$D:$D,$C417,'RAW_농산물_8월'!$A:$A,$E417),SUMIFS('RAW_농산물_9월'!$F:$F,'RAW_농산물_9월'!$D:$D,$C417,'RAW_농산물_9월'!$A:$A,$E417),SUMIFS('RAW_농산물_10월'!$F:$F,'RAW_농산물_10월'!$D:$D,$C417,'RAW_농산물_10월'!$A:$A,$E417),SUMIFS('RAW_농산물_11-12월'!$F:$F,'RAW_농산물_11-12월'!$D:$D,$C417,'RAW_농산물_11-12월'!$A:$A,$E417))))</f>
        <v/>
      </c>
      <c r="G417" s="7" t="str">
        <f>IF($C417="","",IF('설정'!$B$3=0,"",CHOOSE('설정'!$B$3,SUMIFS('RAW_농산물_7월'!$G:$G,'RAW_농산물_7월'!$D:$D,$C417,'RAW_농산물_7월'!$A:$A,$E417),SUMIFS('RAW_농산물_8월'!$G:$G,'RAW_농산물_8월'!$D:$D,$C417,'RAW_농산물_8월'!$A:$A,$E417),SUMIFS('RAW_농산물_9월'!$G:$G,'RAW_농산물_9월'!$D:$D,$C417,'RAW_농산물_9월'!$A:$A,$E417),SUMIFS('RAW_농산물_10월'!$G:$G,'RAW_농산물_10월'!$D:$D,$C417,'RAW_농산물_10월'!$A:$A,$E417),SUMIFS('RAW_농산물_11-12월'!$G:$G,'RAW_농산물_11-12월'!$D:$D,$C417,'RAW_농산물_11-12월'!$A:$A,$E417))))</f>
        <v/>
      </c>
      <c r="H417" s="14" t="str">
        <f>IF($C417="","",IF('설정'!$B$3=0,"",CHOOSE('설정'!$B$3,SUMIFS('RAW_농산물_7월'!$H:$H,'RAW_농산물_7월'!$D:$D,$C417,'RAW_농산물_7월'!$A:$A,$E417),SUMIFS('RAW_농산물_8월'!$H:$H,'RAW_농산물_8월'!$D:$D,$C417,'RAW_농산물_8월'!$A:$A,$E417),SUMIFS('RAW_농산물_9월'!$H:$H,'RAW_농산물_9월'!$D:$D,$C417,'RAW_농산물_9월'!$A:$A,$E417),SUMIFS('RAW_농산물_10월'!$H:$H,'RAW_농산물_10월'!$D:$D,$C417,'RAW_농산물_10월'!$A:$A,$E417),SUMIFS('RAW_농산물_11-12월'!$H:$H,'RAW_농산물_11-12월'!$D:$D,$C417,'RAW_농산물_11-12월'!$A:$A,$E417))))</f>
        <v/>
      </c>
      <c r="I417" s="17" t="str">
        <f>IF($C417="","",IF(COUNTIFS('RAW_농산물_7월'!$D:$D,$C417,'RAW_농산물_7월'!$A:$A,$E417)&gt;0,"O",""))</f>
        <v/>
      </c>
      <c r="J417" s="17" t="str">
        <f>IF($C417="","",IF(COUNTIFS('RAW_농산물_8월'!$D:$D,$C417,'RAW_농산물_8월'!$A:$A,$E417)&gt;0,"O",""))</f>
        <v/>
      </c>
      <c r="K417" s="17" t="str">
        <f>IF($C417="","",IF(COUNTIFS('RAW_농산물_9월'!$D:$D,$C417,'RAW_농산물_9월'!$A:$A,$E417)&gt;0,"O",""))</f>
        <v/>
      </c>
      <c r="L417" s="17" t="str">
        <f>IF($C417="","",IF(COUNTIFS('RAW_농산물_10월'!$D:$D,$C417,'RAW_농산물_10월'!$A:$A,$E417)&gt;0,"O",""))</f>
        <v/>
      </c>
      <c r="M417" s="17" t="str">
        <f>IF($C417="","",IF(COUNTIFS('RAW_농산물_11-12월'!$D:$D,$C417,'RAW_농산물_11-12월'!$A:$A,$E417)&gt;0,"O",""))</f>
        <v/>
      </c>
      <c r="N417" s="7" t="str">
        <f>IF($C417="","",IF(COUNTA('RAW_농산물_7월'!$A:$A)&lt;=1,"",SUMIFS('RAW_농산물_7월'!$H:$H,'RAW_농산물_7월'!$D:$D,$C417,'RAW_농산물_7월'!$A:$A,$E417)))</f>
        <v/>
      </c>
      <c r="O417" s="7" t="str">
        <f>IF($C417="","",IF(COUNTA('RAW_농산물_8월'!$A:$A)&lt;=1,"",SUMIFS('RAW_농산물_8월'!$H:$H,'RAW_농산물_8월'!$D:$D,$C417,'RAW_농산물_8월'!$A:$A,$E417)-SUMIFS('RAW_농산물_7월'!$H:$H,'RAW_농산물_7월'!$D:$D,$C417,'RAW_농산물_7월'!$A:$A,$E417)))</f>
        <v/>
      </c>
      <c r="P417" s="7" t="str">
        <f>IF($C417="","",IF(COUNTA('RAW_농산물_9월'!$A:$A)&lt;=1,"",SUMIFS('RAW_농산물_9월'!$H:$H,'RAW_농산물_9월'!$D:$D,$C417,'RAW_농산물_9월'!$A:$A,$E417)-SUMIFS('RAW_농산물_8월'!$H:$H,'RAW_농산물_8월'!$D:$D,$C417,'RAW_농산물_8월'!$A:$A,$E417)))</f>
        <v/>
      </c>
      <c r="Q417" s="7" t="str">
        <f>IF($C417="","",IF(COUNTA('RAW_농산물_10월'!$A:$A)&lt;=1,"",SUMIFS('RAW_농산물_10월'!$H:$H,'RAW_농산물_10월'!$D:$D,$C417,'RAW_농산물_10월'!$A:$A,$E417)-SUMIFS('RAW_농산물_9월'!$H:$H,'RAW_농산물_9월'!$D:$D,$C417,'RAW_농산물_9월'!$A:$A,$E417)))</f>
        <v/>
      </c>
      <c r="R417" s="7" t="str">
        <f>IF($C417="","",IF(COUNTA('RAW_농산물_11-12월'!$A:$A)&lt;=1,"",SUMIFS('RAW_농산물_11-12월'!$H:$H,'RAW_농산물_11-12월'!$D:$D,$C417,'RAW_농산물_11-12월'!$A:$A,$E417)-SUMIFS('RAW_농산물_10월'!$H:$H,'RAW_농산물_10월'!$D:$D,$C417,'RAW_농산물_10월'!$A:$A,$E417)))</f>
        <v/>
      </c>
      <c r="S417" s="17" t="str">
        <f t="shared" si="4"/>
        <v/>
      </c>
      <c r="T417" s="17" t="str">
        <f t="shared" si="5"/>
        <v/>
      </c>
      <c r="U417" s="7">
        <f>IF($C417="",0,IF('설정'!$B$3=0,0,CHOOSE('설정'!$B$3,COUNTIFS('RAW_농산물_7월'!$D:$D,$C417,'RAW_농산물_7월'!$A:$A,$E417),COUNTIFS('RAW_농산물_8월'!$D:$D,$C417,'RAW_농산물_8월'!$A:$A,$E417),COUNTIFS('RAW_농산물_9월'!$D:$D,$C417,'RAW_농산물_9월'!$A:$A,$E417),COUNTIFS('RAW_농산물_10월'!$D:$D,$C417,'RAW_농산물_10월'!$A:$A,$E417),COUNTIFS('RAW_농산물_11-12월'!$D:$D,$C417,'RAW_농산물_11-12월'!$A:$A,$E417))))</f>
        <v>0</v>
      </c>
    </row>
    <row r="418" ht="15.75" customHeight="1">
      <c r="A418" s="5"/>
      <c r="B418" s="5"/>
      <c r="C418" s="5"/>
      <c r="D418" s="6"/>
      <c r="E418" s="5"/>
      <c r="F418" s="7" t="str">
        <f>IF($C418="","",IF('설정'!$B$3=0,"",CHOOSE('설정'!$B$3,SUMIFS('RAW_농산물_7월'!$F:$F,'RAW_농산물_7월'!$D:$D,$C418,'RAW_농산물_7월'!$A:$A,$E418),SUMIFS('RAW_농산물_8월'!$F:$F,'RAW_농산물_8월'!$D:$D,$C418,'RAW_농산물_8월'!$A:$A,$E418),SUMIFS('RAW_농산물_9월'!$F:$F,'RAW_농산물_9월'!$D:$D,$C418,'RAW_농산물_9월'!$A:$A,$E418),SUMIFS('RAW_농산물_10월'!$F:$F,'RAW_농산물_10월'!$D:$D,$C418,'RAW_농산물_10월'!$A:$A,$E418),SUMIFS('RAW_농산물_11-12월'!$F:$F,'RAW_농산물_11-12월'!$D:$D,$C418,'RAW_농산물_11-12월'!$A:$A,$E418))))</f>
        <v/>
      </c>
      <c r="G418" s="7" t="str">
        <f>IF($C418="","",IF('설정'!$B$3=0,"",CHOOSE('설정'!$B$3,SUMIFS('RAW_농산물_7월'!$G:$G,'RAW_농산물_7월'!$D:$D,$C418,'RAW_농산물_7월'!$A:$A,$E418),SUMIFS('RAW_농산물_8월'!$G:$G,'RAW_농산물_8월'!$D:$D,$C418,'RAW_농산물_8월'!$A:$A,$E418),SUMIFS('RAW_농산물_9월'!$G:$G,'RAW_농산물_9월'!$D:$D,$C418,'RAW_농산물_9월'!$A:$A,$E418),SUMIFS('RAW_농산물_10월'!$G:$G,'RAW_농산물_10월'!$D:$D,$C418,'RAW_농산물_10월'!$A:$A,$E418),SUMIFS('RAW_농산물_11-12월'!$G:$G,'RAW_농산물_11-12월'!$D:$D,$C418,'RAW_농산물_11-12월'!$A:$A,$E418))))</f>
        <v/>
      </c>
      <c r="H418" s="14" t="str">
        <f>IF($C418="","",IF('설정'!$B$3=0,"",CHOOSE('설정'!$B$3,SUMIFS('RAW_농산물_7월'!$H:$H,'RAW_농산물_7월'!$D:$D,$C418,'RAW_농산물_7월'!$A:$A,$E418),SUMIFS('RAW_농산물_8월'!$H:$H,'RAW_농산물_8월'!$D:$D,$C418,'RAW_농산물_8월'!$A:$A,$E418),SUMIFS('RAW_농산물_9월'!$H:$H,'RAW_농산물_9월'!$D:$D,$C418,'RAW_농산물_9월'!$A:$A,$E418),SUMIFS('RAW_농산물_10월'!$H:$H,'RAW_농산물_10월'!$D:$D,$C418,'RAW_농산물_10월'!$A:$A,$E418),SUMIFS('RAW_농산물_11-12월'!$H:$H,'RAW_농산물_11-12월'!$D:$D,$C418,'RAW_농산물_11-12월'!$A:$A,$E418))))</f>
        <v/>
      </c>
      <c r="I418" s="17" t="str">
        <f>IF($C418="","",IF(COUNTIFS('RAW_농산물_7월'!$D:$D,$C418,'RAW_농산물_7월'!$A:$A,$E418)&gt;0,"O",""))</f>
        <v/>
      </c>
      <c r="J418" s="17" t="str">
        <f>IF($C418="","",IF(COUNTIFS('RAW_농산물_8월'!$D:$D,$C418,'RAW_농산물_8월'!$A:$A,$E418)&gt;0,"O",""))</f>
        <v/>
      </c>
      <c r="K418" s="17" t="str">
        <f>IF($C418="","",IF(COUNTIFS('RAW_농산물_9월'!$D:$D,$C418,'RAW_농산물_9월'!$A:$A,$E418)&gt;0,"O",""))</f>
        <v/>
      </c>
      <c r="L418" s="17" t="str">
        <f>IF($C418="","",IF(COUNTIFS('RAW_농산물_10월'!$D:$D,$C418,'RAW_농산물_10월'!$A:$A,$E418)&gt;0,"O",""))</f>
        <v/>
      </c>
      <c r="M418" s="17" t="str">
        <f>IF($C418="","",IF(COUNTIFS('RAW_농산물_11-12월'!$D:$D,$C418,'RAW_농산물_11-12월'!$A:$A,$E418)&gt;0,"O",""))</f>
        <v/>
      </c>
      <c r="N418" s="7" t="str">
        <f>IF($C418="","",IF(COUNTA('RAW_농산물_7월'!$A:$A)&lt;=1,"",SUMIFS('RAW_농산물_7월'!$H:$H,'RAW_농산물_7월'!$D:$D,$C418,'RAW_농산물_7월'!$A:$A,$E418)))</f>
        <v/>
      </c>
      <c r="O418" s="7" t="str">
        <f>IF($C418="","",IF(COUNTA('RAW_농산물_8월'!$A:$A)&lt;=1,"",SUMIFS('RAW_농산물_8월'!$H:$H,'RAW_농산물_8월'!$D:$D,$C418,'RAW_농산물_8월'!$A:$A,$E418)-SUMIFS('RAW_농산물_7월'!$H:$H,'RAW_농산물_7월'!$D:$D,$C418,'RAW_농산물_7월'!$A:$A,$E418)))</f>
        <v/>
      </c>
      <c r="P418" s="7" t="str">
        <f>IF($C418="","",IF(COUNTA('RAW_농산물_9월'!$A:$A)&lt;=1,"",SUMIFS('RAW_농산물_9월'!$H:$H,'RAW_농산물_9월'!$D:$D,$C418,'RAW_농산물_9월'!$A:$A,$E418)-SUMIFS('RAW_농산물_8월'!$H:$H,'RAW_농산물_8월'!$D:$D,$C418,'RAW_농산물_8월'!$A:$A,$E418)))</f>
        <v/>
      </c>
      <c r="Q418" s="7" t="str">
        <f>IF($C418="","",IF(COUNTA('RAW_농산물_10월'!$A:$A)&lt;=1,"",SUMIFS('RAW_농산물_10월'!$H:$H,'RAW_농산물_10월'!$D:$D,$C418,'RAW_농산물_10월'!$A:$A,$E418)-SUMIFS('RAW_농산물_9월'!$H:$H,'RAW_농산물_9월'!$D:$D,$C418,'RAW_농산물_9월'!$A:$A,$E418)))</f>
        <v/>
      </c>
      <c r="R418" s="7" t="str">
        <f>IF($C418="","",IF(COUNTA('RAW_농산물_11-12월'!$A:$A)&lt;=1,"",SUMIFS('RAW_농산물_11-12월'!$H:$H,'RAW_농산물_11-12월'!$D:$D,$C418,'RAW_농산물_11-12월'!$A:$A,$E418)-SUMIFS('RAW_농산물_10월'!$H:$H,'RAW_농산물_10월'!$D:$D,$C418,'RAW_농산물_10월'!$A:$A,$E418)))</f>
        <v/>
      </c>
      <c r="S418" s="17" t="str">
        <f t="shared" si="4"/>
        <v/>
      </c>
      <c r="T418" s="17" t="str">
        <f t="shared" si="5"/>
        <v/>
      </c>
      <c r="U418" s="7">
        <f>IF($C418="",0,IF('설정'!$B$3=0,0,CHOOSE('설정'!$B$3,COUNTIFS('RAW_농산물_7월'!$D:$D,$C418,'RAW_농산물_7월'!$A:$A,$E418),COUNTIFS('RAW_농산물_8월'!$D:$D,$C418,'RAW_농산물_8월'!$A:$A,$E418),COUNTIFS('RAW_농산물_9월'!$D:$D,$C418,'RAW_농산물_9월'!$A:$A,$E418),COUNTIFS('RAW_농산물_10월'!$D:$D,$C418,'RAW_농산물_10월'!$A:$A,$E418),COUNTIFS('RAW_농산물_11-12월'!$D:$D,$C418,'RAW_농산물_11-12월'!$A:$A,$E418))))</f>
        <v>0</v>
      </c>
    </row>
    <row r="419" ht="15.75" customHeight="1">
      <c r="A419" s="5"/>
      <c r="B419" s="5"/>
      <c r="C419" s="5"/>
      <c r="D419" s="6"/>
      <c r="E419" s="5"/>
      <c r="F419" s="7" t="str">
        <f>IF($C419="","",IF('설정'!$B$3=0,"",CHOOSE('설정'!$B$3,SUMIFS('RAW_농산물_7월'!$F:$F,'RAW_농산물_7월'!$D:$D,$C419,'RAW_농산물_7월'!$A:$A,$E419),SUMIFS('RAW_농산물_8월'!$F:$F,'RAW_농산물_8월'!$D:$D,$C419,'RAW_농산물_8월'!$A:$A,$E419),SUMIFS('RAW_농산물_9월'!$F:$F,'RAW_농산물_9월'!$D:$D,$C419,'RAW_농산물_9월'!$A:$A,$E419),SUMIFS('RAW_농산물_10월'!$F:$F,'RAW_농산물_10월'!$D:$D,$C419,'RAW_농산물_10월'!$A:$A,$E419),SUMIFS('RAW_농산물_11-12월'!$F:$F,'RAW_농산물_11-12월'!$D:$D,$C419,'RAW_농산물_11-12월'!$A:$A,$E419))))</f>
        <v/>
      </c>
      <c r="G419" s="7" t="str">
        <f>IF($C419="","",IF('설정'!$B$3=0,"",CHOOSE('설정'!$B$3,SUMIFS('RAW_농산물_7월'!$G:$G,'RAW_농산물_7월'!$D:$D,$C419,'RAW_농산물_7월'!$A:$A,$E419),SUMIFS('RAW_농산물_8월'!$G:$G,'RAW_농산물_8월'!$D:$D,$C419,'RAW_농산물_8월'!$A:$A,$E419),SUMIFS('RAW_농산물_9월'!$G:$G,'RAW_농산물_9월'!$D:$D,$C419,'RAW_농산물_9월'!$A:$A,$E419),SUMIFS('RAW_농산물_10월'!$G:$G,'RAW_농산물_10월'!$D:$D,$C419,'RAW_농산물_10월'!$A:$A,$E419),SUMIFS('RAW_농산물_11-12월'!$G:$G,'RAW_농산물_11-12월'!$D:$D,$C419,'RAW_농산물_11-12월'!$A:$A,$E419))))</f>
        <v/>
      </c>
      <c r="H419" s="14" t="str">
        <f>IF($C419="","",IF('설정'!$B$3=0,"",CHOOSE('설정'!$B$3,SUMIFS('RAW_농산물_7월'!$H:$H,'RAW_농산물_7월'!$D:$D,$C419,'RAW_농산물_7월'!$A:$A,$E419),SUMIFS('RAW_농산물_8월'!$H:$H,'RAW_농산물_8월'!$D:$D,$C419,'RAW_농산물_8월'!$A:$A,$E419),SUMIFS('RAW_농산물_9월'!$H:$H,'RAW_농산물_9월'!$D:$D,$C419,'RAW_농산물_9월'!$A:$A,$E419),SUMIFS('RAW_농산물_10월'!$H:$H,'RAW_농산물_10월'!$D:$D,$C419,'RAW_농산물_10월'!$A:$A,$E419),SUMIFS('RAW_농산물_11-12월'!$H:$H,'RAW_농산물_11-12월'!$D:$D,$C419,'RAW_농산물_11-12월'!$A:$A,$E419))))</f>
        <v/>
      </c>
      <c r="I419" s="17" t="str">
        <f>IF($C419="","",IF(COUNTIFS('RAW_농산물_7월'!$D:$D,$C419,'RAW_농산물_7월'!$A:$A,$E419)&gt;0,"O",""))</f>
        <v/>
      </c>
      <c r="J419" s="17" t="str">
        <f>IF($C419="","",IF(COUNTIFS('RAW_농산물_8월'!$D:$D,$C419,'RAW_농산물_8월'!$A:$A,$E419)&gt;0,"O",""))</f>
        <v/>
      </c>
      <c r="K419" s="17" t="str">
        <f>IF($C419="","",IF(COUNTIFS('RAW_농산물_9월'!$D:$D,$C419,'RAW_농산물_9월'!$A:$A,$E419)&gt;0,"O",""))</f>
        <v/>
      </c>
      <c r="L419" s="17" t="str">
        <f>IF($C419="","",IF(COUNTIFS('RAW_농산물_10월'!$D:$D,$C419,'RAW_농산물_10월'!$A:$A,$E419)&gt;0,"O",""))</f>
        <v/>
      </c>
      <c r="M419" s="17" t="str">
        <f>IF($C419="","",IF(COUNTIFS('RAW_농산물_11-12월'!$D:$D,$C419,'RAW_농산물_11-12월'!$A:$A,$E419)&gt;0,"O",""))</f>
        <v/>
      </c>
      <c r="N419" s="7" t="str">
        <f>IF($C419="","",IF(COUNTA('RAW_농산물_7월'!$A:$A)&lt;=1,"",SUMIFS('RAW_농산물_7월'!$H:$H,'RAW_농산물_7월'!$D:$D,$C419,'RAW_농산물_7월'!$A:$A,$E419)))</f>
        <v/>
      </c>
      <c r="O419" s="7" t="str">
        <f>IF($C419="","",IF(COUNTA('RAW_농산물_8월'!$A:$A)&lt;=1,"",SUMIFS('RAW_농산물_8월'!$H:$H,'RAW_농산물_8월'!$D:$D,$C419,'RAW_농산물_8월'!$A:$A,$E419)-SUMIFS('RAW_농산물_7월'!$H:$H,'RAW_농산물_7월'!$D:$D,$C419,'RAW_농산물_7월'!$A:$A,$E419)))</f>
        <v/>
      </c>
      <c r="P419" s="7" t="str">
        <f>IF($C419="","",IF(COUNTA('RAW_농산물_9월'!$A:$A)&lt;=1,"",SUMIFS('RAW_농산물_9월'!$H:$H,'RAW_농산물_9월'!$D:$D,$C419,'RAW_농산물_9월'!$A:$A,$E419)-SUMIFS('RAW_농산물_8월'!$H:$H,'RAW_농산물_8월'!$D:$D,$C419,'RAW_농산물_8월'!$A:$A,$E419)))</f>
        <v/>
      </c>
      <c r="Q419" s="7" t="str">
        <f>IF($C419="","",IF(COUNTA('RAW_농산물_10월'!$A:$A)&lt;=1,"",SUMIFS('RAW_농산물_10월'!$H:$H,'RAW_농산물_10월'!$D:$D,$C419,'RAW_농산물_10월'!$A:$A,$E419)-SUMIFS('RAW_농산물_9월'!$H:$H,'RAW_농산물_9월'!$D:$D,$C419,'RAW_농산물_9월'!$A:$A,$E419)))</f>
        <v/>
      </c>
      <c r="R419" s="7" t="str">
        <f>IF($C419="","",IF(COUNTA('RAW_농산물_11-12월'!$A:$A)&lt;=1,"",SUMIFS('RAW_농산물_11-12월'!$H:$H,'RAW_농산물_11-12월'!$D:$D,$C419,'RAW_농산물_11-12월'!$A:$A,$E419)-SUMIFS('RAW_농산물_10월'!$H:$H,'RAW_농산물_10월'!$D:$D,$C419,'RAW_농산물_10월'!$A:$A,$E419)))</f>
        <v/>
      </c>
      <c r="S419" s="17" t="str">
        <f t="shared" si="4"/>
        <v/>
      </c>
      <c r="T419" s="17" t="str">
        <f t="shared" si="5"/>
        <v/>
      </c>
      <c r="U419" s="7">
        <f>IF($C419="",0,IF('설정'!$B$3=0,0,CHOOSE('설정'!$B$3,COUNTIFS('RAW_농산물_7월'!$D:$D,$C419,'RAW_농산물_7월'!$A:$A,$E419),COUNTIFS('RAW_농산물_8월'!$D:$D,$C419,'RAW_농산물_8월'!$A:$A,$E419),COUNTIFS('RAW_농산물_9월'!$D:$D,$C419,'RAW_농산물_9월'!$A:$A,$E419),COUNTIFS('RAW_농산물_10월'!$D:$D,$C419,'RAW_농산물_10월'!$A:$A,$E419),COUNTIFS('RAW_농산물_11-12월'!$D:$D,$C419,'RAW_농산물_11-12월'!$A:$A,$E419))))</f>
        <v>0</v>
      </c>
    </row>
    <row r="420" ht="15.75" customHeight="1">
      <c r="A420" s="5"/>
      <c r="B420" s="5"/>
      <c r="C420" s="5"/>
      <c r="D420" s="6"/>
      <c r="E420" s="5"/>
      <c r="F420" s="7" t="str">
        <f>IF($C420="","",IF('설정'!$B$3=0,"",CHOOSE('설정'!$B$3,SUMIFS('RAW_농산물_7월'!$F:$F,'RAW_농산물_7월'!$D:$D,$C420,'RAW_농산물_7월'!$A:$A,$E420),SUMIFS('RAW_농산물_8월'!$F:$F,'RAW_농산물_8월'!$D:$D,$C420,'RAW_농산물_8월'!$A:$A,$E420),SUMIFS('RAW_농산물_9월'!$F:$F,'RAW_농산물_9월'!$D:$D,$C420,'RAW_농산물_9월'!$A:$A,$E420),SUMIFS('RAW_농산물_10월'!$F:$F,'RAW_농산물_10월'!$D:$D,$C420,'RAW_농산물_10월'!$A:$A,$E420),SUMIFS('RAW_농산물_11-12월'!$F:$F,'RAW_농산물_11-12월'!$D:$D,$C420,'RAW_농산물_11-12월'!$A:$A,$E420))))</f>
        <v/>
      </c>
      <c r="G420" s="7" t="str">
        <f>IF($C420="","",IF('설정'!$B$3=0,"",CHOOSE('설정'!$B$3,SUMIFS('RAW_농산물_7월'!$G:$G,'RAW_농산물_7월'!$D:$D,$C420,'RAW_농산물_7월'!$A:$A,$E420),SUMIFS('RAW_농산물_8월'!$G:$G,'RAW_농산물_8월'!$D:$D,$C420,'RAW_농산물_8월'!$A:$A,$E420),SUMIFS('RAW_농산물_9월'!$G:$G,'RAW_농산물_9월'!$D:$D,$C420,'RAW_농산물_9월'!$A:$A,$E420),SUMIFS('RAW_농산물_10월'!$G:$G,'RAW_농산물_10월'!$D:$D,$C420,'RAW_농산물_10월'!$A:$A,$E420),SUMIFS('RAW_농산물_11-12월'!$G:$G,'RAW_농산물_11-12월'!$D:$D,$C420,'RAW_농산물_11-12월'!$A:$A,$E420))))</f>
        <v/>
      </c>
      <c r="H420" s="14" t="str">
        <f>IF($C420="","",IF('설정'!$B$3=0,"",CHOOSE('설정'!$B$3,SUMIFS('RAW_농산물_7월'!$H:$H,'RAW_농산물_7월'!$D:$D,$C420,'RAW_농산물_7월'!$A:$A,$E420),SUMIFS('RAW_농산물_8월'!$H:$H,'RAW_농산물_8월'!$D:$D,$C420,'RAW_농산물_8월'!$A:$A,$E420),SUMIFS('RAW_농산물_9월'!$H:$H,'RAW_농산물_9월'!$D:$D,$C420,'RAW_농산물_9월'!$A:$A,$E420),SUMIFS('RAW_농산물_10월'!$H:$H,'RAW_농산물_10월'!$D:$D,$C420,'RAW_농산물_10월'!$A:$A,$E420),SUMIFS('RAW_농산물_11-12월'!$H:$H,'RAW_농산물_11-12월'!$D:$D,$C420,'RAW_농산물_11-12월'!$A:$A,$E420))))</f>
        <v/>
      </c>
      <c r="I420" s="17" t="str">
        <f>IF($C420="","",IF(COUNTIFS('RAW_농산물_7월'!$D:$D,$C420,'RAW_농산물_7월'!$A:$A,$E420)&gt;0,"O",""))</f>
        <v/>
      </c>
      <c r="J420" s="17" t="str">
        <f>IF($C420="","",IF(COUNTIFS('RAW_농산물_8월'!$D:$D,$C420,'RAW_농산물_8월'!$A:$A,$E420)&gt;0,"O",""))</f>
        <v/>
      </c>
      <c r="K420" s="17" t="str">
        <f>IF($C420="","",IF(COUNTIFS('RAW_농산물_9월'!$D:$D,$C420,'RAW_농산물_9월'!$A:$A,$E420)&gt;0,"O",""))</f>
        <v/>
      </c>
      <c r="L420" s="17" t="str">
        <f>IF($C420="","",IF(COUNTIFS('RAW_농산물_10월'!$D:$D,$C420,'RAW_농산물_10월'!$A:$A,$E420)&gt;0,"O",""))</f>
        <v/>
      </c>
      <c r="M420" s="17" t="str">
        <f>IF($C420="","",IF(COUNTIFS('RAW_농산물_11-12월'!$D:$D,$C420,'RAW_농산물_11-12월'!$A:$A,$E420)&gt;0,"O",""))</f>
        <v/>
      </c>
      <c r="N420" s="7" t="str">
        <f>IF($C420="","",IF(COUNTA('RAW_농산물_7월'!$A:$A)&lt;=1,"",SUMIFS('RAW_농산물_7월'!$H:$H,'RAW_농산물_7월'!$D:$D,$C420,'RAW_농산물_7월'!$A:$A,$E420)))</f>
        <v/>
      </c>
      <c r="O420" s="7" t="str">
        <f>IF($C420="","",IF(COUNTA('RAW_농산물_8월'!$A:$A)&lt;=1,"",SUMIFS('RAW_농산물_8월'!$H:$H,'RAW_농산물_8월'!$D:$D,$C420,'RAW_농산물_8월'!$A:$A,$E420)-SUMIFS('RAW_농산물_7월'!$H:$H,'RAW_농산물_7월'!$D:$D,$C420,'RAW_농산물_7월'!$A:$A,$E420)))</f>
        <v/>
      </c>
      <c r="P420" s="7" t="str">
        <f>IF($C420="","",IF(COUNTA('RAW_농산물_9월'!$A:$A)&lt;=1,"",SUMIFS('RAW_농산물_9월'!$H:$H,'RAW_농산물_9월'!$D:$D,$C420,'RAW_농산물_9월'!$A:$A,$E420)-SUMIFS('RAW_농산물_8월'!$H:$H,'RAW_농산물_8월'!$D:$D,$C420,'RAW_농산물_8월'!$A:$A,$E420)))</f>
        <v/>
      </c>
      <c r="Q420" s="7" t="str">
        <f>IF($C420="","",IF(COUNTA('RAW_농산물_10월'!$A:$A)&lt;=1,"",SUMIFS('RAW_농산물_10월'!$H:$H,'RAW_농산물_10월'!$D:$D,$C420,'RAW_농산물_10월'!$A:$A,$E420)-SUMIFS('RAW_농산물_9월'!$H:$H,'RAW_농산물_9월'!$D:$D,$C420,'RAW_농산물_9월'!$A:$A,$E420)))</f>
        <v/>
      </c>
      <c r="R420" s="7" t="str">
        <f>IF($C420="","",IF(COUNTA('RAW_농산물_11-12월'!$A:$A)&lt;=1,"",SUMIFS('RAW_농산물_11-12월'!$H:$H,'RAW_농산물_11-12월'!$D:$D,$C420,'RAW_농산물_11-12월'!$A:$A,$E420)-SUMIFS('RAW_농산물_10월'!$H:$H,'RAW_농산물_10월'!$D:$D,$C420,'RAW_농산물_10월'!$A:$A,$E420)))</f>
        <v/>
      </c>
      <c r="S420" s="17" t="str">
        <f t="shared" si="4"/>
        <v/>
      </c>
      <c r="T420" s="17" t="str">
        <f t="shared" si="5"/>
        <v/>
      </c>
      <c r="U420" s="7">
        <f>IF($C420="",0,IF('설정'!$B$3=0,0,CHOOSE('설정'!$B$3,COUNTIFS('RAW_농산물_7월'!$D:$D,$C420,'RAW_농산물_7월'!$A:$A,$E420),COUNTIFS('RAW_농산물_8월'!$D:$D,$C420,'RAW_농산물_8월'!$A:$A,$E420),COUNTIFS('RAW_농산물_9월'!$D:$D,$C420,'RAW_농산물_9월'!$A:$A,$E420),COUNTIFS('RAW_농산물_10월'!$D:$D,$C420,'RAW_농산물_10월'!$A:$A,$E420),COUNTIFS('RAW_농산물_11-12월'!$D:$D,$C420,'RAW_농산물_11-12월'!$A:$A,$E420))))</f>
        <v>0</v>
      </c>
    </row>
    <row r="421" ht="15.75" customHeight="1">
      <c r="A421" s="5"/>
      <c r="B421" s="5"/>
      <c r="C421" s="5"/>
      <c r="D421" s="6"/>
      <c r="E421" s="5"/>
      <c r="F421" s="7" t="str">
        <f>IF($C421="","",IF('설정'!$B$3=0,"",CHOOSE('설정'!$B$3,SUMIFS('RAW_농산물_7월'!$F:$F,'RAW_농산물_7월'!$D:$D,$C421,'RAW_농산물_7월'!$A:$A,$E421),SUMIFS('RAW_농산물_8월'!$F:$F,'RAW_농산물_8월'!$D:$D,$C421,'RAW_농산물_8월'!$A:$A,$E421),SUMIFS('RAW_농산물_9월'!$F:$F,'RAW_농산물_9월'!$D:$D,$C421,'RAW_농산물_9월'!$A:$A,$E421),SUMIFS('RAW_농산물_10월'!$F:$F,'RAW_농산물_10월'!$D:$D,$C421,'RAW_농산물_10월'!$A:$A,$E421),SUMIFS('RAW_농산물_11-12월'!$F:$F,'RAW_농산물_11-12월'!$D:$D,$C421,'RAW_농산물_11-12월'!$A:$A,$E421))))</f>
        <v/>
      </c>
      <c r="G421" s="7" t="str">
        <f>IF($C421="","",IF('설정'!$B$3=0,"",CHOOSE('설정'!$B$3,SUMIFS('RAW_농산물_7월'!$G:$G,'RAW_농산물_7월'!$D:$D,$C421,'RAW_농산물_7월'!$A:$A,$E421),SUMIFS('RAW_농산물_8월'!$G:$G,'RAW_농산물_8월'!$D:$D,$C421,'RAW_농산물_8월'!$A:$A,$E421),SUMIFS('RAW_농산물_9월'!$G:$G,'RAW_농산물_9월'!$D:$D,$C421,'RAW_농산물_9월'!$A:$A,$E421),SUMIFS('RAW_농산물_10월'!$G:$G,'RAW_농산물_10월'!$D:$D,$C421,'RAW_농산물_10월'!$A:$A,$E421),SUMIFS('RAW_농산물_11-12월'!$G:$G,'RAW_농산물_11-12월'!$D:$D,$C421,'RAW_농산물_11-12월'!$A:$A,$E421))))</f>
        <v/>
      </c>
      <c r="H421" s="14" t="str">
        <f>IF($C421="","",IF('설정'!$B$3=0,"",CHOOSE('설정'!$B$3,SUMIFS('RAW_농산물_7월'!$H:$H,'RAW_농산물_7월'!$D:$D,$C421,'RAW_농산물_7월'!$A:$A,$E421),SUMIFS('RAW_농산물_8월'!$H:$H,'RAW_농산물_8월'!$D:$D,$C421,'RAW_농산물_8월'!$A:$A,$E421),SUMIFS('RAW_농산물_9월'!$H:$H,'RAW_농산물_9월'!$D:$D,$C421,'RAW_농산물_9월'!$A:$A,$E421),SUMIFS('RAW_농산물_10월'!$H:$H,'RAW_농산물_10월'!$D:$D,$C421,'RAW_농산물_10월'!$A:$A,$E421),SUMIFS('RAW_농산물_11-12월'!$H:$H,'RAW_농산물_11-12월'!$D:$D,$C421,'RAW_농산물_11-12월'!$A:$A,$E421))))</f>
        <v/>
      </c>
      <c r="I421" s="17" t="str">
        <f>IF($C421="","",IF(COUNTIFS('RAW_농산물_7월'!$D:$D,$C421,'RAW_농산물_7월'!$A:$A,$E421)&gt;0,"O",""))</f>
        <v/>
      </c>
      <c r="J421" s="17" t="str">
        <f>IF($C421="","",IF(COUNTIFS('RAW_농산물_8월'!$D:$D,$C421,'RAW_농산물_8월'!$A:$A,$E421)&gt;0,"O",""))</f>
        <v/>
      </c>
      <c r="K421" s="17" t="str">
        <f>IF($C421="","",IF(COUNTIFS('RAW_농산물_9월'!$D:$D,$C421,'RAW_농산물_9월'!$A:$A,$E421)&gt;0,"O",""))</f>
        <v/>
      </c>
      <c r="L421" s="17" t="str">
        <f>IF($C421="","",IF(COUNTIFS('RAW_농산물_10월'!$D:$D,$C421,'RAW_농산물_10월'!$A:$A,$E421)&gt;0,"O",""))</f>
        <v/>
      </c>
      <c r="M421" s="17" t="str">
        <f>IF($C421="","",IF(COUNTIFS('RAW_농산물_11-12월'!$D:$D,$C421,'RAW_농산물_11-12월'!$A:$A,$E421)&gt;0,"O",""))</f>
        <v/>
      </c>
      <c r="N421" s="7" t="str">
        <f>IF($C421="","",IF(COUNTA('RAW_농산물_7월'!$A:$A)&lt;=1,"",SUMIFS('RAW_농산물_7월'!$H:$H,'RAW_농산물_7월'!$D:$D,$C421,'RAW_농산물_7월'!$A:$A,$E421)))</f>
        <v/>
      </c>
      <c r="O421" s="7" t="str">
        <f>IF($C421="","",IF(COUNTA('RAW_농산물_8월'!$A:$A)&lt;=1,"",SUMIFS('RAW_농산물_8월'!$H:$H,'RAW_농산물_8월'!$D:$D,$C421,'RAW_농산물_8월'!$A:$A,$E421)-SUMIFS('RAW_농산물_7월'!$H:$H,'RAW_농산물_7월'!$D:$D,$C421,'RAW_농산물_7월'!$A:$A,$E421)))</f>
        <v/>
      </c>
      <c r="P421" s="7" t="str">
        <f>IF($C421="","",IF(COUNTA('RAW_농산물_9월'!$A:$A)&lt;=1,"",SUMIFS('RAW_농산물_9월'!$H:$H,'RAW_농산물_9월'!$D:$D,$C421,'RAW_농산물_9월'!$A:$A,$E421)-SUMIFS('RAW_농산물_8월'!$H:$H,'RAW_농산물_8월'!$D:$D,$C421,'RAW_농산물_8월'!$A:$A,$E421)))</f>
        <v/>
      </c>
      <c r="Q421" s="7" t="str">
        <f>IF($C421="","",IF(COUNTA('RAW_농산물_10월'!$A:$A)&lt;=1,"",SUMIFS('RAW_농산물_10월'!$H:$H,'RAW_농산물_10월'!$D:$D,$C421,'RAW_농산물_10월'!$A:$A,$E421)-SUMIFS('RAW_농산물_9월'!$H:$H,'RAW_농산물_9월'!$D:$D,$C421,'RAW_농산물_9월'!$A:$A,$E421)))</f>
        <v/>
      </c>
      <c r="R421" s="7" t="str">
        <f>IF($C421="","",IF(COUNTA('RAW_농산물_11-12월'!$A:$A)&lt;=1,"",SUMIFS('RAW_농산물_11-12월'!$H:$H,'RAW_농산물_11-12월'!$D:$D,$C421,'RAW_농산물_11-12월'!$A:$A,$E421)-SUMIFS('RAW_농산물_10월'!$H:$H,'RAW_농산물_10월'!$D:$D,$C421,'RAW_농산물_10월'!$A:$A,$E421)))</f>
        <v/>
      </c>
      <c r="S421" s="17" t="str">
        <f t="shared" si="4"/>
        <v/>
      </c>
      <c r="T421" s="17" t="str">
        <f t="shared" si="5"/>
        <v/>
      </c>
      <c r="U421" s="7">
        <f>IF($C421="",0,IF('설정'!$B$3=0,0,CHOOSE('설정'!$B$3,COUNTIFS('RAW_농산물_7월'!$D:$D,$C421,'RAW_농산물_7월'!$A:$A,$E421),COUNTIFS('RAW_농산물_8월'!$D:$D,$C421,'RAW_농산물_8월'!$A:$A,$E421),COUNTIFS('RAW_농산물_9월'!$D:$D,$C421,'RAW_농산물_9월'!$A:$A,$E421),COUNTIFS('RAW_농산물_10월'!$D:$D,$C421,'RAW_농산물_10월'!$A:$A,$E421),COUNTIFS('RAW_농산물_11-12월'!$D:$D,$C421,'RAW_농산물_11-12월'!$A:$A,$E421))))</f>
        <v>0</v>
      </c>
    </row>
    <row r="422" ht="15.75" customHeight="1">
      <c r="A422" s="5"/>
      <c r="B422" s="5"/>
      <c r="C422" s="5"/>
      <c r="D422" s="6"/>
      <c r="E422" s="5"/>
      <c r="F422" s="7" t="str">
        <f>IF($C422="","",IF('설정'!$B$3=0,"",CHOOSE('설정'!$B$3,SUMIFS('RAW_농산물_7월'!$F:$F,'RAW_농산물_7월'!$D:$D,$C422,'RAW_농산물_7월'!$A:$A,$E422),SUMIFS('RAW_농산물_8월'!$F:$F,'RAW_농산물_8월'!$D:$D,$C422,'RAW_농산물_8월'!$A:$A,$E422),SUMIFS('RAW_농산물_9월'!$F:$F,'RAW_농산물_9월'!$D:$D,$C422,'RAW_농산물_9월'!$A:$A,$E422),SUMIFS('RAW_농산물_10월'!$F:$F,'RAW_농산물_10월'!$D:$D,$C422,'RAW_농산물_10월'!$A:$A,$E422),SUMIFS('RAW_농산물_11-12월'!$F:$F,'RAW_농산물_11-12월'!$D:$D,$C422,'RAW_농산물_11-12월'!$A:$A,$E422))))</f>
        <v/>
      </c>
      <c r="G422" s="7" t="str">
        <f>IF($C422="","",IF('설정'!$B$3=0,"",CHOOSE('설정'!$B$3,SUMIFS('RAW_농산물_7월'!$G:$G,'RAW_농산물_7월'!$D:$D,$C422,'RAW_농산물_7월'!$A:$A,$E422),SUMIFS('RAW_농산물_8월'!$G:$G,'RAW_농산물_8월'!$D:$D,$C422,'RAW_농산물_8월'!$A:$A,$E422),SUMIFS('RAW_농산물_9월'!$G:$G,'RAW_농산물_9월'!$D:$D,$C422,'RAW_농산물_9월'!$A:$A,$E422),SUMIFS('RAW_농산물_10월'!$G:$G,'RAW_농산물_10월'!$D:$D,$C422,'RAW_농산물_10월'!$A:$A,$E422),SUMIFS('RAW_농산물_11-12월'!$G:$G,'RAW_농산물_11-12월'!$D:$D,$C422,'RAW_농산물_11-12월'!$A:$A,$E422))))</f>
        <v/>
      </c>
      <c r="H422" s="14" t="str">
        <f>IF($C422="","",IF('설정'!$B$3=0,"",CHOOSE('설정'!$B$3,SUMIFS('RAW_농산물_7월'!$H:$H,'RAW_농산물_7월'!$D:$D,$C422,'RAW_농산물_7월'!$A:$A,$E422),SUMIFS('RAW_농산물_8월'!$H:$H,'RAW_농산물_8월'!$D:$D,$C422,'RAW_농산물_8월'!$A:$A,$E422),SUMIFS('RAW_농산물_9월'!$H:$H,'RAW_농산물_9월'!$D:$D,$C422,'RAW_농산물_9월'!$A:$A,$E422),SUMIFS('RAW_농산물_10월'!$H:$H,'RAW_농산물_10월'!$D:$D,$C422,'RAW_농산물_10월'!$A:$A,$E422),SUMIFS('RAW_농산물_11-12월'!$H:$H,'RAW_농산물_11-12월'!$D:$D,$C422,'RAW_농산물_11-12월'!$A:$A,$E422))))</f>
        <v/>
      </c>
      <c r="I422" s="17" t="str">
        <f>IF($C422="","",IF(COUNTIFS('RAW_농산물_7월'!$D:$D,$C422,'RAW_농산물_7월'!$A:$A,$E422)&gt;0,"O",""))</f>
        <v/>
      </c>
      <c r="J422" s="17" t="str">
        <f>IF($C422="","",IF(COUNTIFS('RAW_농산물_8월'!$D:$D,$C422,'RAW_농산물_8월'!$A:$A,$E422)&gt;0,"O",""))</f>
        <v/>
      </c>
      <c r="K422" s="17" t="str">
        <f>IF($C422="","",IF(COUNTIFS('RAW_농산물_9월'!$D:$D,$C422,'RAW_농산물_9월'!$A:$A,$E422)&gt;0,"O",""))</f>
        <v/>
      </c>
      <c r="L422" s="17" t="str">
        <f>IF($C422="","",IF(COUNTIFS('RAW_농산물_10월'!$D:$D,$C422,'RAW_농산물_10월'!$A:$A,$E422)&gt;0,"O",""))</f>
        <v/>
      </c>
      <c r="M422" s="17" t="str">
        <f>IF($C422="","",IF(COUNTIFS('RAW_농산물_11-12월'!$D:$D,$C422,'RAW_농산물_11-12월'!$A:$A,$E422)&gt;0,"O",""))</f>
        <v/>
      </c>
      <c r="N422" s="7" t="str">
        <f>IF($C422="","",IF(COUNTA('RAW_농산물_7월'!$A:$A)&lt;=1,"",SUMIFS('RAW_농산물_7월'!$H:$H,'RAW_농산물_7월'!$D:$D,$C422,'RAW_농산물_7월'!$A:$A,$E422)))</f>
        <v/>
      </c>
      <c r="O422" s="7" t="str">
        <f>IF($C422="","",IF(COUNTA('RAW_농산물_8월'!$A:$A)&lt;=1,"",SUMIFS('RAW_농산물_8월'!$H:$H,'RAW_농산물_8월'!$D:$D,$C422,'RAW_농산물_8월'!$A:$A,$E422)-SUMIFS('RAW_농산물_7월'!$H:$H,'RAW_농산물_7월'!$D:$D,$C422,'RAW_농산물_7월'!$A:$A,$E422)))</f>
        <v/>
      </c>
      <c r="P422" s="7" t="str">
        <f>IF($C422="","",IF(COUNTA('RAW_농산물_9월'!$A:$A)&lt;=1,"",SUMIFS('RAW_농산물_9월'!$H:$H,'RAW_농산물_9월'!$D:$D,$C422,'RAW_농산물_9월'!$A:$A,$E422)-SUMIFS('RAW_농산물_8월'!$H:$H,'RAW_농산물_8월'!$D:$D,$C422,'RAW_농산물_8월'!$A:$A,$E422)))</f>
        <v/>
      </c>
      <c r="Q422" s="7" t="str">
        <f>IF($C422="","",IF(COUNTA('RAW_농산물_10월'!$A:$A)&lt;=1,"",SUMIFS('RAW_농산물_10월'!$H:$H,'RAW_농산물_10월'!$D:$D,$C422,'RAW_농산물_10월'!$A:$A,$E422)-SUMIFS('RAW_농산물_9월'!$H:$H,'RAW_농산물_9월'!$D:$D,$C422,'RAW_농산물_9월'!$A:$A,$E422)))</f>
        <v/>
      </c>
      <c r="R422" s="7" t="str">
        <f>IF($C422="","",IF(COUNTA('RAW_농산물_11-12월'!$A:$A)&lt;=1,"",SUMIFS('RAW_농산물_11-12월'!$H:$H,'RAW_농산물_11-12월'!$D:$D,$C422,'RAW_농산물_11-12월'!$A:$A,$E422)-SUMIFS('RAW_농산물_10월'!$H:$H,'RAW_농산물_10월'!$D:$D,$C422,'RAW_농산물_10월'!$A:$A,$E422)))</f>
        <v/>
      </c>
      <c r="S422" s="17" t="str">
        <f t="shared" si="4"/>
        <v/>
      </c>
      <c r="T422" s="17" t="str">
        <f t="shared" si="5"/>
        <v/>
      </c>
      <c r="U422" s="7">
        <f>IF($C422="",0,IF('설정'!$B$3=0,0,CHOOSE('설정'!$B$3,COUNTIFS('RAW_농산물_7월'!$D:$D,$C422,'RAW_농산물_7월'!$A:$A,$E422),COUNTIFS('RAW_농산물_8월'!$D:$D,$C422,'RAW_농산물_8월'!$A:$A,$E422),COUNTIFS('RAW_농산물_9월'!$D:$D,$C422,'RAW_농산물_9월'!$A:$A,$E422),COUNTIFS('RAW_농산물_10월'!$D:$D,$C422,'RAW_농산물_10월'!$A:$A,$E422),COUNTIFS('RAW_농산물_11-12월'!$D:$D,$C422,'RAW_농산물_11-12월'!$A:$A,$E422))))</f>
        <v>0</v>
      </c>
    </row>
    <row r="423" ht="15.75" customHeight="1">
      <c r="A423" s="5"/>
      <c r="B423" s="5"/>
      <c r="C423" s="5"/>
      <c r="D423" s="6"/>
      <c r="E423" s="5"/>
      <c r="F423" s="7" t="str">
        <f>IF($C423="","",IF('설정'!$B$3=0,"",CHOOSE('설정'!$B$3,SUMIFS('RAW_농산물_7월'!$F:$F,'RAW_농산물_7월'!$D:$D,$C423,'RAW_농산물_7월'!$A:$A,$E423),SUMIFS('RAW_농산물_8월'!$F:$F,'RAW_농산물_8월'!$D:$D,$C423,'RAW_농산물_8월'!$A:$A,$E423),SUMIFS('RAW_농산물_9월'!$F:$F,'RAW_농산물_9월'!$D:$D,$C423,'RAW_농산물_9월'!$A:$A,$E423),SUMIFS('RAW_농산물_10월'!$F:$F,'RAW_농산물_10월'!$D:$D,$C423,'RAW_농산물_10월'!$A:$A,$E423),SUMIFS('RAW_농산물_11-12월'!$F:$F,'RAW_농산물_11-12월'!$D:$D,$C423,'RAW_농산물_11-12월'!$A:$A,$E423))))</f>
        <v/>
      </c>
      <c r="G423" s="7" t="str">
        <f>IF($C423="","",IF('설정'!$B$3=0,"",CHOOSE('설정'!$B$3,SUMIFS('RAW_농산물_7월'!$G:$G,'RAW_농산물_7월'!$D:$D,$C423,'RAW_농산물_7월'!$A:$A,$E423),SUMIFS('RAW_농산물_8월'!$G:$G,'RAW_농산물_8월'!$D:$D,$C423,'RAW_농산물_8월'!$A:$A,$E423),SUMIFS('RAW_농산물_9월'!$G:$G,'RAW_농산물_9월'!$D:$D,$C423,'RAW_농산물_9월'!$A:$A,$E423),SUMIFS('RAW_농산물_10월'!$G:$G,'RAW_농산물_10월'!$D:$D,$C423,'RAW_농산물_10월'!$A:$A,$E423),SUMIFS('RAW_농산물_11-12월'!$G:$G,'RAW_농산물_11-12월'!$D:$D,$C423,'RAW_농산물_11-12월'!$A:$A,$E423))))</f>
        <v/>
      </c>
      <c r="H423" s="14" t="str">
        <f>IF($C423="","",IF('설정'!$B$3=0,"",CHOOSE('설정'!$B$3,SUMIFS('RAW_농산물_7월'!$H:$H,'RAW_농산물_7월'!$D:$D,$C423,'RAW_농산물_7월'!$A:$A,$E423),SUMIFS('RAW_농산물_8월'!$H:$H,'RAW_농산물_8월'!$D:$D,$C423,'RAW_농산물_8월'!$A:$A,$E423),SUMIFS('RAW_농산물_9월'!$H:$H,'RAW_농산물_9월'!$D:$D,$C423,'RAW_농산물_9월'!$A:$A,$E423),SUMIFS('RAW_농산물_10월'!$H:$H,'RAW_농산물_10월'!$D:$D,$C423,'RAW_농산물_10월'!$A:$A,$E423),SUMIFS('RAW_농산물_11-12월'!$H:$H,'RAW_농산물_11-12월'!$D:$D,$C423,'RAW_농산물_11-12월'!$A:$A,$E423))))</f>
        <v/>
      </c>
      <c r="I423" s="17" t="str">
        <f>IF($C423="","",IF(COUNTIFS('RAW_농산물_7월'!$D:$D,$C423,'RAW_농산물_7월'!$A:$A,$E423)&gt;0,"O",""))</f>
        <v/>
      </c>
      <c r="J423" s="17" t="str">
        <f>IF($C423="","",IF(COUNTIFS('RAW_농산물_8월'!$D:$D,$C423,'RAW_농산물_8월'!$A:$A,$E423)&gt;0,"O",""))</f>
        <v/>
      </c>
      <c r="K423" s="17" t="str">
        <f>IF($C423="","",IF(COUNTIFS('RAW_농산물_9월'!$D:$D,$C423,'RAW_농산물_9월'!$A:$A,$E423)&gt;0,"O",""))</f>
        <v/>
      </c>
      <c r="L423" s="17" t="str">
        <f>IF($C423="","",IF(COUNTIFS('RAW_농산물_10월'!$D:$D,$C423,'RAW_농산물_10월'!$A:$A,$E423)&gt;0,"O",""))</f>
        <v/>
      </c>
      <c r="M423" s="17" t="str">
        <f>IF($C423="","",IF(COUNTIFS('RAW_농산물_11-12월'!$D:$D,$C423,'RAW_농산물_11-12월'!$A:$A,$E423)&gt;0,"O",""))</f>
        <v/>
      </c>
      <c r="N423" s="7" t="str">
        <f>IF($C423="","",IF(COUNTA('RAW_농산물_7월'!$A:$A)&lt;=1,"",SUMIFS('RAW_농산물_7월'!$H:$H,'RAW_농산물_7월'!$D:$D,$C423,'RAW_농산물_7월'!$A:$A,$E423)))</f>
        <v/>
      </c>
      <c r="O423" s="7" t="str">
        <f>IF($C423="","",IF(COUNTA('RAW_농산물_8월'!$A:$A)&lt;=1,"",SUMIFS('RAW_농산물_8월'!$H:$H,'RAW_농산물_8월'!$D:$D,$C423,'RAW_농산물_8월'!$A:$A,$E423)-SUMIFS('RAW_농산물_7월'!$H:$H,'RAW_농산물_7월'!$D:$D,$C423,'RAW_농산물_7월'!$A:$A,$E423)))</f>
        <v/>
      </c>
      <c r="P423" s="7" t="str">
        <f>IF($C423="","",IF(COUNTA('RAW_농산물_9월'!$A:$A)&lt;=1,"",SUMIFS('RAW_농산물_9월'!$H:$H,'RAW_농산물_9월'!$D:$D,$C423,'RAW_농산물_9월'!$A:$A,$E423)-SUMIFS('RAW_농산물_8월'!$H:$H,'RAW_농산물_8월'!$D:$D,$C423,'RAW_농산물_8월'!$A:$A,$E423)))</f>
        <v/>
      </c>
      <c r="Q423" s="7" t="str">
        <f>IF($C423="","",IF(COUNTA('RAW_농산물_10월'!$A:$A)&lt;=1,"",SUMIFS('RAW_농산물_10월'!$H:$H,'RAW_농산물_10월'!$D:$D,$C423,'RAW_농산물_10월'!$A:$A,$E423)-SUMIFS('RAW_농산물_9월'!$H:$H,'RAW_농산물_9월'!$D:$D,$C423,'RAW_농산물_9월'!$A:$A,$E423)))</f>
        <v/>
      </c>
      <c r="R423" s="7" t="str">
        <f>IF($C423="","",IF(COUNTA('RAW_농산물_11-12월'!$A:$A)&lt;=1,"",SUMIFS('RAW_농산물_11-12월'!$H:$H,'RAW_농산물_11-12월'!$D:$D,$C423,'RAW_농산물_11-12월'!$A:$A,$E423)-SUMIFS('RAW_농산물_10월'!$H:$H,'RAW_농산물_10월'!$D:$D,$C423,'RAW_농산물_10월'!$A:$A,$E423)))</f>
        <v/>
      </c>
      <c r="S423" s="17" t="str">
        <f t="shared" si="4"/>
        <v/>
      </c>
      <c r="T423" s="17" t="str">
        <f t="shared" si="5"/>
        <v/>
      </c>
      <c r="U423" s="7">
        <f>IF($C423="",0,IF('설정'!$B$3=0,0,CHOOSE('설정'!$B$3,COUNTIFS('RAW_농산물_7월'!$D:$D,$C423,'RAW_농산물_7월'!$A:$A,$E423),COUNTIFS('RAW_농산물_8월'!$D:$D,$C423,'RAW_농산물_8월'!$A:$A,$E423),COUNTIFS('RAW_농산물_9월'!$D:$D,$C423,'RAW_농산물_9월'!$A:$A,$E423),COUNTIFS('RAW_농산물_10월'!$D:$D,$C423,'RAW_농산물_10월'!$A:$A,$E423),COUNTIFS('RAW_농산물_11-12월'!$D:$D,$C423,'RAW_농산물_11-12월'!$A:$A,$E423))))</f>
        <v>0</v>
      </c>
    </row>
    <row r="424" ht="15.75" customHeight="1">
      <c r="A424" s="5"/>
      <c r="B424" s="5"/>
      <c r="C424" s="5"/>
      <c r="D424" s="6"/>
      <c r="E424" s="5"/>
      <c r="F424" s="7" t="str">
        <f>IF($C424="","",IF('설정'!$B$3=0,"",CHOOSE('설정'!$B$3,SUMIFS('RAW_농산물_7월'!$F:$F,'RAW_농산물_7월'!$D:$D,$C424,'RAW_농산물_7월'!$A:$A,$E424),SUMIFS('RAW_농산물_8월'!$F:$F,'RAW_농산물_8월'!$D:$D,$C424,'RAW_농산물_8월'!$A:$A,$E424),SUMIFS('RAW_농산물_9월'!$F:$F,'RAW_농산물_9월'!$D:$D,$C424,'RAW_농산물_9월'!$A:$A,$E424),SUMIFS('RAW_농산물_10월'!$F:$F,'RAW_농산물_10월'!$D:$D,$C424,'RAW_농산물_10월'!$A:$A,$E424),SUMIFS('RAW_농산물_11-12월'!$F:$F,'RAW_농산물_11-12월'!$D:$D,$C424,'RAW_농산물_11-12월'!$A:$A,$E424))))</f>
        <v/>
      </c>
      <c r="G424" s="7" t="str">
        <f>IF($C424="","",IF('설정'!$B$3=0,"",CHOOSE('설정'!$B$3,SUMIFS('RAW_농산물_7월'!$G:$G,'RAW_농산물_7월'!$D:$D,$C424,'RAW_농산물_7월'!$A:$A,$E424),SUMIFS('RAW_농산물_8월'!$G:$G,'RAW_농산물_8월'!$D:$D,$C424,'RAW_농산물_8월'!$A:$A,$E424),SUMIFS('RAW_농산물_9월'!$G:$G,'RAW_농산물_9월'!$D:$D,$C424,'RAW_농산물_9월'!$A:$A,$E424),SUMIFS('RAW_농산물_10월'!$G:$G,'RAW_농산물_10월'!$D:$D,$C424,'RAW_농산물_10월'!$A:$A,$E424),SUMIFS('RAW_농산물_11-12월'!$G:$G,'RAW_농산물_11-12월'!$D:$D,$C424,'RAW_농산물_11-12월'!$A:$A,$E424))))</f>
        <v/>
      </c>
      <c r="H424" s="14" t="str">
        <f>IF($C424="","",IF('설정'!$B$3=0,"",CHOOSE('설정'!$B$3,SUMIFS('RAW_농산물_7월'!$H:$H,'RAW_농산물_7월'!$D:$D,$C424,'RAW_농산물_7월'!$A:$A,$E424),SUMIFS('RAW_농산물_8월'!$H:$H,'RAW_농산물_8월'!$D:$D,$C424,'RAW_농산물_8월'!$A:$A,$E424),SUMIFS('RAW_농산물_9월'!$H:$H,'RAW_농산물_9월'!$D:$D,$C424,'RAW_농산물_9월'!$A:$A,$E424),SUMIFS('RAW_농산물_10월'!$H:$H,'RAW_농산물_10월'!$D:$D,$C424,'RAW_농산물_10월'!$A:$A,$E424),SUMIFS('RAW_농산물_11-12월'!$H:$H,'RAW_농산물_11-12월'!$D:$D,$C424,'RAW_농산물_11-12월'!$A:$A,$E424))))</f>
        <v/>
      </c>
      <c r="I424" s="17" t="str">
        <f>IF($C424="","",IF(COUNTIFS('RAW_농산물_7월'!$D:$D,$C424,'RAW_농산물_7월'!$A:$A,$E424)&gt;0,"O",""))</f>
        <v/>
      </c>
      <c r="J424" s="17" t="str">
        <f>IF($C424="","",IF(COUNTIFS('RAW_농산물_8월'!$D:$D,$C424,'RAW_농산물_8월'!$A:$A,$E424)&gt;0,"O",""))</f>
        <v/>
      </c>
      <c r="K424" s="17" t="str">
        <f>IF($C424="","",IF(COUNTIFS('RAW_농산물_9월'!$D:$D,$C424,'RAW_농산물_9월'!$A:$A,$E424)&gt;0,"O",""))</f>
        <v/>
      </c>
      <c r="L424" s="17" t="str">
        <f>IF($C424="","",IF(COUNTIFS('RAW_농산물_10월'!$D:$D,$C424,'RAW_농산물_10월'!$A:$A,$E424)&gt;0,"O",""))</f>
        <v/>
      </c>
      <c r="M424" s="17" t="str">
        <f>IF($C424="","",IF(COUNTIFS('RAW_농산물_11-12월'!$D:$D,$C424,'RAW_농산물_11-12월'!$A:$A,$E424)&gt;0,"O",""))</f>
        <v/>
      </c>
      <c r="N424" s="7" t="str">
        <f>IF($C424="","",IF(COUNTA('RAW_농산물_7월'!$A:$A)&lt;=1,"",SUMIFS('RAW_농산물_7월'!$H:$H,'RAW_농산물_7월'!$D:$D,$C424,'RAW_농산물_7월'!$A:$A,$E424)))</f>
        <v/>
      </c>
      <c r="O424" s="7" t="str">
        <f>IF($C424="","",IF(COUNTA('RAW_농산물_8월'!$A:$A)&lt;=1,"",SUMIFS('RAW_농산물_8월'!$H:$H,'RAW_농산물_8월'!$D:$D,$C424,'RAW_농산물_8월'!$A:$A,$E424)-SUMIFS('RAW_농산물_7월'!$H:$H,'RAW_농산물_7월'!$D:$D,$C424,'RAW_농산물_7월'!$A:$A,$E424)))</f>
        <v/>
      </c>
      <c r="P424" s="7" t="str">
        <f>IF($C424="","",IF(COUNTA('RAW_농산물_9월'!$A:$A)&lt;=1,"",SUMIFS('RAW_농산물_9월'!$H:$H,'RAW_농산물_9월'!$D:$D,$C424,'RAW_농산물_9월'!$A:$A,$E424)-SUMIFS('RAW_농산물_8월'!$H:$H,'RAW_농산물_8월'!$D:$D,$C424,'RAW_농산물_8월'!$A:$A,$E424)))</f>
        <v/>
      </c>
      <c r="Q424" s="7" t="str">
        <f>IF($C424="","",IF(COUNTA('RAW_농산물_10월'!$A:$A)&lt;=1,"",SUMIFS('RAW_농산물_10월'!$H:$H,'RAW_농산물_10월'!$D:$D,$C424,'RAW_농산물_10월'!$A:$A,$E424)-SUMIFS('RAW_농산물_9월'!$H:$H,'RAW_농산물_9월'!$D:$D,$C424,'RAW_농산물_9월'!$A:$A,$E424)))</f>
        <v/>
      </c>
      <c r="R424" s="7" t="str">
        <f>IF($C424="","",IF(COUNTA('RAW_농산물_11-12월'!$A:$A)&lt;=1,"",SUMIFS('RAW_농산물_11-12월'!$H:$H,'RAW_농산물_11-12월'!$D:$D,$C424,'RAW_농산물_11-12월'!$A:$A,$E424)-SUMIFS('RAW_농산물_10월'!$H:$H,'RAW_농산물_10월'!$D:$D,$C424,'RAW_농산물_10월'!$A:$A,$E424)))</f>
        <v/>
      </c>
      <c r="S424" s="17" t="str">
        <f t="shared" si="4"/>
        <v/>
      </c>
      <c r="T424" s="17" t="str">
        <f t="shared" si="5"/>
        <v/>
      </c>
      <c r="U424" s="7">
        <f>IF($C424="",0,IF('설정'!$B$3=0,0,CHOOSE('설정'!$B$3,COUNTIFS('RAW_농산물_7월'!$D:$D,$C424,'RAW_농산물_7월'!$A:$A,$E424),COUNTIFS('RAW_농산물_8월'!$D:$D,$C424,'RAW_농산물_8월'!$A:$A,$E424),COUNTIFS('RAW_농산물_9월'!$D:$D,$C424,'RAW_농산물_9월'!$A:$A,$E424),COUNTIFS('RAW_농산물_10월'!$D:$D,$C424,'RAW_농산물_10월'!$A:$A,$E424),COUNTIFS('RAW_농산물_11-12월'!$D:$D,$C424,'RAW_농산물_11-12월'!$A:$A,$E424))))</f>
        <v>0</v>
      </c>
    </row>
    <row r="425" ht="15.75" customHeight="1">
      <c r="A425" s="5"/>
      <c r="B425" s="5"/>
      <c r="C425" s="5"/>
      <c r="D425" s="6"/>
      <c r="E425" s="5"/>
      <c r="F425" s="7" t="str">
        <f>IF($C425="","",IF('설정'!$B$3=0,"",CHOOSE('설정'!$B$3,SUMIFS('RAW_농산물_7월'!$F:$F,'RAW_농산물_7월'!$D:$D,$C425,'RAW_농산물_7월'!$A:$A,$E425),SUMIFS('RAW_농산물_8월'!$F:$F,'RAW_농산물_8월'!$D:$D,$C425,'RAW_농산물_8월'!$A:$A,$E425),SUMIFS('RAW_농산물_9월'!$F:$F,'RAW_농산물_9월'!$D:$D,$C425,'RAW_농산물_9월'!$A:$A,$E425),SUMIFS('RAW_농산물_10월'!$F:$F,'RAW_농산물_10월'!$D:$D,$C425,'RAW_농산물_10월'!$A:$A,$E425),SUMIFS('RAW_농산물_11-12월'!$F:$F,'RAW_농산물_11-12월'!$D:$D,$C425,'RAW_농산물_11-12월'!$A:$A,$E425))))</f>
        <v/>
      </c>
      <c r="G425" s="7" t="str">
        <f>IF($C425="","",IF('설정'!$B$3=0,"",CHOOSE('설정'!$B$3,SUMIFS('RAW_농산물_7월'!$G:$G,'RAW_농산물_7월'!$D:$D,$C425,'RAW_농산물_7월'!$A:$A,$E425),SUMIFS('RAW_농산물_8월'!$G:$G,'RAW_농산물_8월'!$D:$D,$C425,'RAW_농산물_8월'!$A:$A,$E425),SUMIFS('RAW_농산물_9월'!$G:$G,'RAW_농산물_9월'!$D:$D,$C425,'RAW_농산물_9월'!$A:$A,$E425),SUMIFS('RAW_농산물_10월'!$G:$G,'RAW_농산물_10월'!$D:$D,$C425,'RAW_농산물_10월'!$A:$A,$E425),SUMIFS('RAW_농산물_11-12월'!$G:$G,'RAW_농산물_11-12월'!$D:$D,$C425,'RAW_농산물_11-12월'!$A:$A,$E425))))</f>
        <v/>
      </c>
      <c r="H425" s="14" t="str">
        <f>IF($C425="","",IF('설정'!$B$3=0,"",CHOOSE('설정'!$B$3,SUMIFS('RAW_농산물_7월'!$H:$H,'RAW_농산물_7월'!$D:$D,$C425,'RAW_농산물_7월'!$A:$A,$E425),SUMIFS('RAW_농산물_8월'!$H:$H,'RAW_농산물_8월'!$D:$D,$C425,'RAW_농산물_8월'!$A:$A,$E425),SUMIFS('RAW_농산물_9월'!$H:$H,'RAW_농산물_9월'!$D:$D,$C425,'RAW_농산물_9월'!$A:$A,$E425),SUMIFS('RAW_농산물_10월'!$H:$H,'RAW_농산물_10월'!$D:$D,$C425,'RAW_농산물_10월'!$A:$A,$E425),SUMIFS('RAW_농산물_11-12월'!$H:$H,'RAW_농산물_11-12월'!$D:$D,$C425,'RAW_농산물_11-12월'!$A:$A,$E425))))</f>
        <v/>
      </c>
      <c r="I425" s="17" t="str">
        <f>IF($C425="","",IF(COUNTIFS('RAW_농산물_7월'!$D:$D,$C425,'RAW_농산물_7월'!$A:$A,$E425)&gt;0,"O",""))</f>
        <v/>
      </c>
      <c r="J425" s="17" t="str">
        <f>IF($C425="","",IF(COUNTIFS('RAW_농산물_8월'!$D:$D,$C425,'RAW_농산물_8월'!$A:$A,$E425)&gt;0,"O",""))</f>
        <v/>
      </c>
      <c r="K425" s="17" t="str">
        <f>IF($C425="","",IF(COUNTIFS('RAW_농산물_9월'!$D:$D,$C425,'RAW_농산물_9월'!$A:$A,$E425)&gt;0,"O",""))</f>
        <v/>
      </c>
      <c r="L425" s="17" t="str">
        <f>IF($C425="","",IF(COUNTIFS('RAW_농산물_10월'!$D:$D,$C425,'RAW_농산물_10월'!$A:$A,$E425)&gt;0,"O",""))</f>
        <v/>
      </c>
      <c r="M425" s="17" t="str">
        <f>IF($C425="","",IF(COUNTIFS('RAW_농산물_11-12월'!$D:$D,$C425,'RAW_농산물_11-12월'!$A:$A,$E425)&gt;0,"O",""))</f>
        <v/>
      </c>
      <c r="N425" s="7" t="str">
        <f>IF($C425="","",IF(COUNTA('RAW_농산물_7월'!$A:$A)&lt;=1,"",SUMIFS('RAW_농산물_7월'!$H:$H,'RAW_농산물_7월'!$D:$D,$C425,'RAW_농산물_7월'!$A:$A,$E425)))</f>
        <v/>
      </c>
      <c r="O425" s="7" t="str">
        <f>IF($C425="","",IF(COUNTA('RAW_농산물_8월'!$A:$A)&lt;=1,"",SUMIFS('RAW_농산물_8월'!$H:$H,'RAW_농산물_8월'!$D:$D,$C425,'RAW_농산물_8월'!$A:$A,$E425)-SUMIFS('RAW_농산물_7월'!$H:$H,'RAW_농산물_7월'!$D:$D,$C425,'RAW_농산물_7월'!$A:$A,$E425)))</f>
        <v/>
      </c>
      <c r="P425" s="7" t="str">
        <f>IF($C425="","",IF(COUNTA('RAW_농산물_9월'!$A:$A)&lt;=1,"",SUMIFS('RAW_농산물_9월'!$H:$H,'RAW_농산물_9월'!$D:$D,$C425,'RAW_농산물_9월'!$A:$A,$E425)-SUMIFS('RAW_농산물_8월'!$H:$H,'RAW_농산물_8월'!$D:$D,$C425,'RAW_농산물_8월'!$A:$A,$E425)))</f>
        <v/>
      </c>
      <c r="Q425" s="7" t="str">
        <f>IF($C425="","",IF(COUNTA('RAW_농산물_10월'!$A:$A)&lt;=1,"",SUMIFS('RAW_농산물_10월'!$H:$H,'RAW_농산물_10월'!$D:$D,$C425,'RAW_농산물_10월'!$A:$A,$E425)-SUMIFS('RAW_농산물_9월'!$H:$H,'RAW_농산물_9월'!$D:$D,$C425,'RAW_농산물_9월'!$A:$A,$E425)))</f>
        <v/>
      </c>
      <c r="R425" s="7" t="str">
        <f>IF($C425="","",IF(COUNTA('RAW_농산물_11-12월'!$A:$A)&lt;=1,"",SUMIFS('RAW_농산물_11-12월'!$H:$H,'RAW_농산물_11-12월'!$D:$D,$C425,'RAW_농산물_11-12월'!$A:$A,$E425)-SUMIFS('RAW_농산물_10월'!$H:$H,'RAW_농산물_10월'!$D:$D,$C425,'RAW_농산물_10월'!$A:$A,$E425)))</f>
        <v/>
      </c>
      <c r="S425" s="17" t="str">
        <f t="shared" si="4"/>
        <v/>
      </c>
      <c r="T425" s="17" t="str">
        <f t="shared" si="5"/>
        <v/>
      </c>
      <c r="U425" s="7">
        <f>IF($C425="",0,IF('설정'!$B$3=0,0,CHOOSE('설정'!$B$3,COUNTIFS('RAW_농산물_7월'!$D:$D,$C425,'RAW_농산물_7월'!$A:$A,$E425),COUNTIFS('RAW_농산물_8월'!$D:$D,$C425,'RAW_농산물_8월'!$A:$A,$E425),COUNTIFS('RAW_농산물_9월'!$D:$D,$C425,'RAW_농산물_9월'!$A:$A,$E425),COUNTIFS('RAW_농산물_10월'!$D:$D,$C425,'RAW_농산물_10월'!$A:$A,$E425),COUNTIFS('RAW_농산물_11-12월'!$D:$D,$C425,'RAW_농산물_11-12월'!$A:$A,$E425))))</f>
        <v>0</v>
      </c>
    </row>
    <row r="426" ht="15.75" customHeight="1">
      <c r="A426" s="5"/>
      <c r="B426" s="5"/>
      <c r="C426" s="5"/>
      <c r="D426" s="6"/>
      <c r="E426" s="5"/>
      <c r="F426" s="7" t="str">
        <f>IF($C426="","",IF('설정'!$B$3=0,"",CHOOSE('설정'!$B$3,SUMIFS('RAW_농산물_7월'!$F:$F,'RAW_농산물_7월'!$D:$D,$C426,'RAW_농산물_7월'!$A:$A,$E426),SUMIFS('RAW_농산물_8월'!$F:$F,'RAW_농산물_8월'!$D:$D,$C426,'RAW_농산물_8월'!$A:$A,$E426),SUMIFS('RAW_농산물_9월'!$F:$F,'RAW_농산물_9월'!$D:$D,$C426,'RAW_농산물_9월'!$A:$A,$E426),SUMIFS('RAW_농산물_10월'!$F:$F,'RAW_농산물_10월'!$D:$D,$C426,'RAW_농산물_10월'!$A:$A,$E426),SUMIFS('RAW_농산물_11-12월'!$F:$F,'RAW_농산물_11-12월'!$D:$D,$C426,'RAW_농산물_11-12월'!$A:$A,$E426))))</f>
        <v/>
      </c>
      <c r="G426" s="7" t="str">
        <f>IF($C426="","",IF('설정'!$B$3=0,"",CHOOSE('설정'!$B$3,SUMIFS('RAW_농산물_7월'!$G:$G,'RAW_농산물_7월'!$D:$D,$C426,'RAW_농산물_7월'!$A:$A,$E426),SUMIFS('RAW_농산물_8월'!$G:$G,'RAW_농산물_8월'!$D:$D,$C426,'RAW_농산물_8월'!$A:$A,$E426),SUMIFS('RAW_농산물_9월'!$G:$G,'RAW_농산물_9월'!$D:$D,$C426,'RAW_농산물_9월'!$A:$A,$E426),SUMIFS('RAW_농산물_10월'!$G:$G,'RAW_농산물_10월'!$D:$D,$C426,'RAW_농산물_10월'!$A:$A,$E426),SUMIFS('RAW_농산물_11-12월'!$G:$G,'RAW_농산물_11-12월'!$D:$D,$C426,'RAW_농산물_11-12월'!$A:$A,$E426))))</f>
        <v/>
      </c>
      <c r="H426" s="14" t="str">
        <f>IF($C426="","",IF('설정'!$B$3=0,"",CHOOSE('설정'!$B$3,SUMIFS('RAW_농산물_7월'!$H:$H,'RAW_농산물_7월'!$D:$D,$C426,'RAW_농산물_7월'!$A:$A,$E426),SUMIFS('RAW_농산물_8월'!$H:$H,'RAW_농산물_8월'!$D:$D,$C426,'RAW_농산물_8월'!$A:$A,$E426),SUMIFS('RAW_농산물_9월'!$H:$H,'RAW_농산물_9월'!$D:$D,$C426,'RAW_농산물_9월'!$A:$A,$E426),SUMIFS('RAW_농산물_10월'!$H:$H,'RAW_농산물_10월'!$D:$D,$C426,'RAW_농산물_10월'!$A:$A,$E426),SUMIFS('RAW_농산물_11-12월'!$H:$H,'RAW_농산물_11-12월'!$D:$D,$C426,'RAW_농산물_11-12월'!$A:$A,$E426))))</f>
        <v/>
      </c>
      <c r="I426" s="17" t="str">
        <f>IF($C426="","",IF(COUNTIFS('RAW_농산물_7월'!$D:$D,$C426,'RAW_농산물_7월'!$A:$A,$E426)&gt;0,"O",""))</f>
        <v/>
      </c>
      <c r="J426" s="17" t="str">
        <f>IF($C426="","",IF(COUNTIFS('RAW_농산물_8월'!$D:$D,$C426,'RAW_농산물_8월'!$A:$A,$E426)&gt;0,"O",""))</f>
        <v/>
      </c>
      <c r="K426" s="17" t="str">
        <f>IF($C426="","",IF(COUNTIFS('RAW_농산물_9월'!$D:$D,$C426,'RAW_농산물_9월'!$A:$A,$E426)&gt;0,"O",""))</f>
        <v/>
      </c>
      <c r="L426" s="17" t="str">
        <f>IF($C426="","",IF(COUNTIFS('RAW_농산물_10월'!$D:$D,$C426,'RAW_농산물_10월'!$A:$A,$E426)&gt;0,"O",""))</f>
        <v/>
      </c>
      <c r="M426" s="17" t="str">
        <f>IF($C426="","",IF(COUNTIFS('RAW_농산물_11-12월'!$D:$D,$C426,'RAW_농산물_11-12월'!$A:$A,$E426)&gt;0,"O",""))</f>
        <v/>
      </c>
      <c r="N426" s="7" t="str">
        <f>IF($C426="","",IF(COUNTA('RAW_농산물_7월'!$A:$A)&lt;=1,"",SUMIFS('RAW_농산물_7월'!$H:$H,'RAW_농산물_7월'!$D:$D,$C426,'RAW_농산물_7월'!$A:$A,$E426)))</f>
        <v/>
      </c>
      <c r="O426" s="7" t="str">
        <f>IF($C426="","",IF(COUNTA('RAW_농산물_8월'!$A:$A)&lt;=1,"",SUMIFS('RAW_농산물_8월'!$H:$H,'RAW_농산물_8월'!$D:$D,$C426,'RAW_농산물_8월'!$A:$A,$E426)-SUMIFS('RAW_농산물_7월'!$H:$H,'RAW_농산물_7월'!$D:$D,$C426,'RAW_농산물_7월'!$A:$A,$E426)))</f>
        <v/>
      </c>
      <c r="P426" s="7" t="str">
        <f>IF($C426="","",IF(COUNTA('RAW_농산물_9월'!$A:$A)&lt;=1,"",SUMIFS('RAW_농산물_9월'!$H:$H,'RAW_농산물_9월'!$D:$D,$C426,'RAW_농산물_9월'!$A:$A,$E426)-SUMIFS('RAW_농산물_8월'!$H:$H,'RAW_농산물_8월'!$D:$D,$C426,'RAW_농산물_8월'!$A:$A,$E426)))</f>
        <v/>
      </c>
      <c r="Q426" s="7" t="str">
        <f>IF($C426="","",IF(COUNTA('RAW_농산물_10월'!$A:$A)&lt;=1,"",SUMIFS('RAW_농산물_10월'!$H:$H,'RAW_농산물_10월'!$D:$D,$C426,'RAW_농산물_10월'!$A:$A,$E426)-SUMIFS('RAW_농산물_9월'!$H:$H,'RAW_농산물_9월'!$D:$D,$C426,'RAW_농산물_9월'!$A:$A,$E426)))</f>
        <v/>
      </c>
      <c r="R426" s="7" t="str">
        <f>IF($C426="","",IF(COUNTA('RAW_농산물_11-12월'!$A:$A)&lt;=1,"",SUMIFS('RAW_농산물_11-12월'!$H:$H,'RAW_농산물_11-12월'!$D:$D,$C426,'RAW_농산물_11-12월'!$A:$A,$E426)-SUMIFS('RAW_농산물_10월'!$H:$H,'RAW_농산물_10월'!$D:$D,$C426,'RAW_농산물_10월'!$A:$A,$E426)))</f>
        <v/>
      </c>
      <c r="S426" s="17" t="str">
        <f t="shared" si="4"/>
        <v/>
      </c>
      <c r="T426" s="17" t="str">
        <f t="shared" si="5"/>
        <v/>
      </c>
      <c r="U426" s="7">
        <f>IF($C426="",0,IF('설정'!$B$3=0,0,CHOOSE('설정'!$B$3,COUNTIFS('RAW_농산물_7월'!$D:$D,$C426,'RAW_농산물_7월'!$A:$A,$E426),COUNTIFS('RAW_농산물_8월'!$D:$D,$C426,'RAW_농산물_8월'!$A:$A,$E426),COUNTIFS('RAW_농산물_9월'!$D:$D,$C426,'RAW_농산물_9월'!$A:$A,$E426),COUNTIFS('RAW_농산물_10월'!$D:$D,$C426,'RAW_농산물_10월'!$A:$A,$E426),COUNTIFS('RAW_농산물_11-12월'!$D:$D,$C426,'RAW_농산물_11-12월'!$A:$A,$E426))))</f>
        <v>0</v>
      </c>
    </row>
    <row r="427" ht="15.75" customHeight="1">
      <c r="A427" s="5"/>
      <c r="B427" s="5"/>
      <c r="C427" s="5"/>
      <c r="D427" s="6"/>
      <c r="E427" s="5"/>
      <c r="F427" s="7" t="str">
        <f>IF($C427="","",IF('설정'!$B$3=0,"",CHOOSE('설정'!$B$3,SUMIFS('RAW_농산물_7월'!$F:$F,'RAW_농산물_7월'!$D:$D,$C427,'RAW_농산물_7월'!$A:$A,$E427),SUMIFS('RAW_농산물_8월'!$F:$F,'RAW_농산물_8월'!$D:$D,$C427,'RAW_농산물_8월'!$A:$A,$E427),SUMIFS('RAW_농산물_9월'!$F:$F,'RAW_농산물_9월'!$D:$D,$C427,'RAW_농산물_9월'!$A:$A,$E427),SUMIFS('RAW_농산물_10월'!$F:$F,'RAW_농산물_10월'!$D:$D,$C427,'RAW_농산물_10월'!$A:$A,$E427),SUMIFS('RAW_농산물_11-12월'!$F:$F,'RAW_농산물_11-12월'!$D:$D,$C427,'RAW_농산물_11-12월'!$A:$A,$E427))))</f>
        <v/>
      </c>
      <c r="G427" s="7" t="str">
        <f>IF($C427="","",IF('설정'!$B$3=0,"",CHOOSE('설정'!$B$3,SUMIFS('RAW_농산물_7월'!$G:$G,'RAW_농산물_7월'!$D:$D,$C427,'RAW_농산물_7월'!$A:$A,$E427),SUMIFS('RAW_농산물_8월'!$G:$G,'RAW_농산물_8월'!$D:$D,$C427,'RAW_농산물_8월'!$A:$A,$E427),SUMIFS('RAW_농산물_9월'!$G:$G,'RAW_농산물_9월'!$D:$D,$C427,'RAW_농산물_9월'!$A:$A,$E427),SUMIFS('RAW_농산물_10월'!$G:$G,'RAW_농산물_10월'!$D:$D,$C427,'RAW_농산물_10월'!$A:$A,$E427),SUMIFS('RAW_농산물_11-12월'!$G:$G,'RAW_농산물_11-12월'!$D:$D,$C427,'RAW_농산물_11-12월'!$A:$A,$E427))))</f>
        <v/>
      </c>
      <c r="H427" s="14" t="str">
        <f>IF($C427="","",IF('설정'!$B$3=0,"",CHOOSE('설정'!$B$3,SUMIFS('RAW_농산물_7월'!$H:$H,'RAW_농산물_7월'!$D:$D,$C427,'RAW_농산물_7월'!$A:$A,$E427),SUMIFS('RAW_농산물_8월'!$H:$H,'RAW_농산물_8월'!$D:$D,$C427,'RAW_농산물_8월'!$A:$A,$E427),SUMIFS('RAW_농산물_9월'!$H:$H,'RAW_농산물_9월'!$D:$D,$C427,'RAW_농산물_9월'!$A:$A,$E427),SUMIFS('RAW_농산물_10월'!$H:$H,'RAW_농산물_10월'!$D:$D,$C427,'RAW_농산물_10월'!$A:$A,$E427),SUMIFS('RAW_농산물_11-12월'!$H:$H,'RAW_농산물_11-12월'!$D:$D,$C427,'RAW_농산물_11-12월'!$A:$A,$E427))))</f>
        <v/>
      </c>
      <c r="I427" s="17" t="str">
        <f>IF($C427="","",IF(COUNTIFS('RAW_농산물_7월'!$D:$D,$C427,'RAW_농산물_7월'!$A:$A,$E427)&gt;0,"O",""))</f>
        <v/>
      </c>
      <c r="J427" s="17" t="str">
        <f>IF($C427="","",IF(COUNTIFS('RAW_농산물_8월'!$D:$D,$C427,'RAW_농산물_8월'!$A:$A,$E427)&gt;0,"O",""))</f>
        <v/>
      </c>
      <c r="K427" s="17" t="str">
        <f>IF($C427="","",IF(COUNTIFS('RAW_농산물_9월'!$D:$D,$C427,'RAW_농산물_9월'!$A:$A,$E427)&gt;0,"O",""))</f>
        <v/>
      </c>
      <c r="L427" s="17" t="str">
        <f>IF($C427="","",IF(COUNTIFS('RAW_농산물_10월'!$D:$D,$C427,'RAW_농산물_10월'!$A:$A,$E427)&gt;0,"O",""))</f>
        <v/>
      </c>
      <c r="M427" s="17" t="str">
        <f>IF($C427="","",IF(COUNTIFS('RAW_농산물_11-12월'!$D:$D,$C427,'RAW_농산물_11-12월'!$A:$A,$E427)&gt;0,"O",""))</f>
        <v/>
      </c>
      <c r="N427" s="7" t="str">
        <f>IF($C427="","",IF(COUNTA('RAW_농산물_7월'!$A:$A)&lt;=1,"",SUMIFS('RAW_농산물_7월'!$H:$H,'RAW_농산물_7월'!$D:$D,$C427,'RAW_농산물_7월'!$A:$A,$E427)))</f>
        <v/>
      </c>
      <c r="O427" s="7" t="str">
        <f>IF($C427="","",IF(COUNTA('RAW_농산물_8월'!$A:$A)&lt;=1,"",SUMIFS('RAW_농산물_8월'!$H:$H,'RAW_농산물_8월'!$D:$D,$C427,'RAW_농산물_8월'!$A:$A,$E427)-SUMIFS('RAW_농산물_7월'!$H:$H,'RAW_농산물_7월'!$D:$D,$C427,'RAW_농산물_7월'!$A:$A,$E427)))</f>
        <v/>
      </c>
      <c r="P427" s="7" t="str">
        <f>IF($C427="","",IF(COUNTA('RAW_농산물_9월'!$A:$A)&lt;=1,"",SUMIFS('RAW_농산물_9월'!$H:$H,'RAW_농산물_9월'!$D:$D,$C427,'RAW_농산물_9월'!$A:$A,$E427)-SUMIFS('RAW_농산물_8월'!$H:$H,'RAW_농산물_8월'!$D:$D,$C427,'RAW_농산물_8월'!$A:$A,$E427)))</f>
        <v/>
      </c>
      <c r="Q427" s="7" t="str">
        <f>IF($C427="","",IF(COUNTA('RAW_농산물_10월'!$A:$A)&lt;=1,"",SUMIFS('RAW_농산물_10월'!$H:$H,'RAW_농산물_10월'!$D:$D,$C427,'RAW_농산물_10월'!$A:$A,$E427)-SUMIFS('RAW_농산물_9월'!$H:$H,'RAW_농산물_9월'!$D:$D,$C427,'RAW_농산물_9월'!$A:$A,$E427)))</f>
        <v/>
      </c>
      <c r="R427" s="7" t="str">
        <f>IF($C427="","",IF(COUNTA('RAW_농산물_11-12월'!$A:$A)&lt;=1,"",SUMIFS('RAW_농산물_11-12월'!$H:$H,'RAW_농산물_11-12월'!$D:$D,$C427,'RAW_농산물_11-12월'!$A:$A,$E427)-SUMIFS('RAW_농산물_10월'!$H:$H,'RAW_농산물_10월'!$D:$D,$C427,'RAW_농산물_10월'!$A:$A,$E427)))</f>
        <v/>
      </c>
      <c r="S427" s="17" t="str">
        <f t="shared" si="4"/>
        <v/>
      </c>
      <c r="T427" s="17" t="str">
        <f t="shared" si="5"/>
        <v/>
      </c>
      <c r="U427" s="7">
        <f>IF($C427="",0,IF('설정'!$B$3=0,0,CHOOSE('설정'!$B$3,COUNTIFS('RAW_농산물_7월'!$D:$D,$C427,'RAW_농산물_7월'!$A:$A,$E427),COUNTIFS('RAW_농산물_8월'!$D:$D,$C427,'RAW_농산물_8월'!$A:$A,$E427),COUNTIFS('RAW_농산물_9월'!$D:$D,$C427,'RAW_농산물_9월'!$A:$A,$E427),COUNTIFS('RAW_농산물_10월'!$D:$D,$C427,'RAW_농산물_10월'!$A:$A,$E427),COUNTIFS('RAW_농산물_11-12월'!$D:$D,$C427,'RAW_농산물_11-12월'!$A:$A,$E427))))</f>
        <v>0</v>
      </c>
    </row>
    <row r="428" ht="15.75" customHeight="1">
      <c r="A428" s="5"/>
      <c r="B428" s="5"/>
      <c r="C428" s="5"/>
      <c r="D428" s="6"/>
      <c r="E428" s="5"/>
      <c r="F428" s="7" t="str">
        <f>IF($C428="","",IF('설정'!$B$3=0,"",CHOOSE('설정'!$B$3,SUMIFS('RAW_농산물_7월'!$F:$F,'RAW_농산물_7월'!$D:$D,$C428,'RAW_농산물_7월'!$A:$A,$E428),SUMIFS('RAW_농산물_8월'!$F:$F,'RAW_농산물_8월'!$D:$D,$C428,'RAW_농산물_8월'!$A:$A,$E428),SUMIFS('RAW_농산물_9월'!$F:$F,'RAW_농산물_9월'!$D:$D,$C428,'RAW_농산물_9월'!$A:$A,$E428),SUMIFS('RAW_농산물_10월'!$F:$F,'RAW_농산물_10월'!$D:$D,$C428,'RAW_농산물_10월'!$A:$A,$E428),SUMIFS('RAW_농산물_11-12월'!$F:$F,'RAW_농산물_11-12월'!$D:$D,$C428,'RAW_농산물_11-12월'!$A:$A,$E428))))</f>
        <v/>
      </c>
      <c r="G428" s="7" t="str">
        <f>IF($C428="","",IF('설정'!$B$3=0,"",CHOOSE('설정'!$B$3,SUMIFS('RAW_농산물_7월'!$G:$G,'RAW_농산물_7월'!$D:$D,$C428,'RAW_농산물_7월'!$A:$A,$E428),SUMIFS('RAW_농산물_8월'!$G:$G,'RAW_농산물_8월'!$D:$D,$C428,'RAW_농산물_8월'!$A:$A,$E428),SUMIFS('RAW_농산물_9월'!$G:$G,'RAW_농산물_9월'!$D:$D,$C428,'RAW_농산물_9월'!$A:$A,$E428),SUMIFS('RAW_농산물_10월'!$G:$G,'RAW_농산물_10월'!$D:$D,$C428,'RAW_농산물_10월'!$A:$A,$E428),SUMIFS('RAW_농산물_11-12월'!$G:$G,'RAW_농산물_11-12월'!$D:$D,$C428,'RAW_농산물_11-12월'!$A:$A,$E428))))</f>
        <v/>
      </c>
      <c r="H428" s="14" t="str">
        <f>IF($C428="","",IF('설정'!$B$3=0,"",CHOOSE('설정'!$B$3,SUMIFS('RAW_농산물_7월'!$H:$H,'RAW_농산물_7월'!$D:$D,$C428,'RAW_농산물_7월'!$A:$A,$E428),SUMIFS('RAW_농산물_8월'!$H:$H,'RAW_농산물_8월'!$D:$D,$C428,'RAW_농산물_8월'!$A:$A,$E428),SUMIFS('RAW_농산물_9월'!$H:$H,'RAW_농산물_9월'!$D:$D,$C428,'RAW_농산물_9월'!$A:$A,$E428),SUMIFS('RAW_농산물_10월'!$H:$H,'RAW_농산물_10월'!$D:$D,$C428,'RAW_농산물_10월'!$A:$A,$E428),SUMIFS('RAW_농산물_11-12월'!$H:$H,'RAW_농산물_11-12월'!$D:$D,$C428,'RAW_농산물_11-12월'!$A:$A,$E428))))</f>
        <v/>
      </c>
      <c r="I428" s="17" t="str">
        <f>IF($C428="","",IF(COUNTIFS('RAW_농산물_7월'!$D:$D,$C428,'RAW_농산물_7월'!$A:$A,$E428)&gt;0,"O",""))</f>
        <v/>
      </c>
      <c r="J428" s="17" t="str">
        <f>IF($C428="","",IF(COUNTIFS('RAW_농산물_8월'!$D:$D,$C428,'RAW_농산물_8월'!$A:$A,$E428)&gt;0,"O",""))</f>
        <v/>
      </c>
      <c r="K428" s="17" t="str">
        <f>IF($C428="","",IF(COUNTIFS('RAW_농산물_9월'!$D:$D,$C428,'RAW_농산물_9월'!$A:$A,$E428)&gt;0,"O",""))</f>
        <v/>
      </c>
      <c r="L428" s="17" t="str">
        <f>IF($C428="","",IF(COUNTIFS('RAW_농산물_10월'!$D:$D,$C428,'RAW_농산물_10월'!$A:$A,$E428)&gt;0,"O",""))</f>
        <v/>
      </c>
      <c r="M428" s="17" t="str">
        <f>IF($C428="","",IF(COUNTIFS('RAW_농산물_11-12월'!$D:$D,$C428,'RAW_농산물_11-12월'!$A:$A,$E428)&gt;0,"O",""))</f>
        <v/>
      </c>
      <c r="N428" s="7" t="str">
        <f>IF($C428="","",IF(COUNTA('RAW_농산물_7월'!$A:$A)&lt;=1,"",SUMIFS('RAW_농산물_7월'!$H:$H,'RAW_농산물_7월'!$D:$D,$C428,'RAW_농산물_7월'!$A:$A,$E428)))</f>
        <v/>
      </c>
      <c r="O428" s="7" t="str">
        <f>IF($C428="","",IF(COUNTA('RAW_농산물_8월'!$A:$A)&lt;=1,"",SUMIFS('RAW_농산물_8월'!$H:$H,'RAW_농산물_8월'!$D:$D,$C428,'RAW_농산물_8월'!$A:$A,$E428)-SUMIFS('RAW_농산물_7월'!$H:$H,'RAW_농산물_7월'!$D:$D,$C428,'RAW_농산물_7월'!$A:$A,$E428)))</f>
        <v/>
      </c>
      <c r="P428" s="7" t="str">
        <f>IF($C428="","",IF(COUNTA('RAW_농산물_9월'!$A:$A)&lt;=1,"",SUMIFS('RAW_농산물_9월'!$H:$H,'RAW_농산물_9월'!$D:$D,$C428,'RAW_농산물_9월'!$A:$A,$E428)-SUMIFS('RAW_농산물_8월'!$H:$H,'RAW_농산물_8월'!$D:$D,$C428,'RAW_농산물_8월'!$A:$A,$E428)))</f>
        <v/>
      </c>
      <c r="Q428" s="7" t="str">
        <f>IF($C428="","",IF(COUNTA('RAW_농산물_10월'!$A:$A)&lt;=1,"",SUMIFS('RAW_농산물_10월'!$H:$H,'RAW_농산물_10월'!$D:$D,$C428,'RAW_농산물_10월'!$A:$A,$E428)-SUMIFS('RAW_농산물_9월'!$H:$H,'RAW_농산물_9월'!$D:$D,$C428,'RAW_농산물_9월'!$A:$A,$E428)))</f>
        <v/>
      </c>
      <c r="R428" s="7" t="str">
        <f>IF($C428="","",IF(COUNTA('RAW_농산물_11-12월'!$A:$A)&lt;=1,"",SUMIFS('RAW_농산물_11-12월'!$H:$H,'RAW_농산물_11-12월'!$D:$D,$C428,'RAW_농산물_11-12월'!$A:$A,$E428)-SUMIFS('RAW_농산물_10월'!$H:$H,'RAW_농산물_10월'!$D:$D,$C428,'RAW_농산물_10월'!$A:$A,$E428)))</f>
        <v/>
      </c>
      <c r="S428" s="17" t="str">
        <f t="shared" si="4"/>
        <v/>
      </c>
      <c r="T428" s="17" t="str">
        <f t="shared" si="5"/>
        <v/>
      </c>
      <c r="U428" s="7">
        <f>IF($C428="",0,IF('설정'!$B$3=0,0,CHOOSE('설정'!$B$3,COUNTIFS('RAW_농산물_7월'!$D:$D,$C428,'RAW_농산물_7월'!$A:$A,$E428),COUNTIFS('RAW_농산물_8월'!$D:$D,$C428,'RAW_농산물_8월'!$A:$A,$E428),COUNTIFS('RAW_농산물_9월'!$D:$D,$C428,'RAW_농산물_9월'!$A:$A,$E428),COUNTIFS('RAW_농산물_10월'!$D:$D,$C428,'RAW_농산물_10월'!$A:$A,$E428),COUNTIFS('RAW_농산물_11-12월'!$D:$D,$C428,'RAW_농산물_11-12월'!$A:$A,$E428))))</f>
        <v>0</v>
      </c>
    </row>
    <row r="429" ht="15.75" customHeight="1">
      <c r="A429" s="5"/>
      <c r="B429" s="5"/>
      <c r="C429" s="5"/>
      <c r="D429" s="6"/>
      <c r="E429" s="5"/>
      <c r="F429" s="7" t="str">
        <f>IF($C429="","",IF('설정'!$B$3=0,"",CHOOSE('설정'!$B$3,SUMIFS('RAW_농산물_7월'!$F:$F,'RAW_농산물_7월'!$D:$D,$C429,'RAW_농산물_7월'!$A:$A,$E429),SUMIFS('RAW_농산물_8월'!$F:$F,'RAW_농산물_8월'!$D:$D,$C429,'RAW_농산물_8월'!$A:$A,$E429),SUMIFS('RAW_농산물_9월'!$F:$F,'RAW_농산물_9월'!$D:$D,$C429,'RAW_농산물_9월'!$A:$A,$E429),SUMIFS('RAW_농산물_10월'!$F:$F,'RAW_농산물_10월'!$D:$D,$C429,'RAW_농산물_10월'!$A:$A,$E429),SUMIFS('RAW_농산물_11-12월'!$F:$F,'RAW_농산물_11-12월'!$D:$D,$C429,'RAW_농산물_11-12월'!$A:$A,$E429))))</f>
        <v/>
      </c>
      <c r="G429" s="7" t="str">
        <f>IF($C429="","",IF('설정'!$B$3=0,"",CHOOSE('설정'!$B$3,SUMIFS('RAW_농산물_7월'!$G:$G,'RAW_농산물_7월'!$D:$D,$C429,'RAW_농산물_7월'!$A:$A,$E429),SUMIFS('RAW_농산물_8월'!$G:$G,'RAW_농산물_8월'!$D:$D,$C429,'RAW_농산물_8월'!$A:$A,$E429),SUMIFS('RAW_농산물_9월'!$G:$G,'RAW_농산물_9월'!$D:$D,$C429,'RAW_농산물_9월'!$A:$A,$E429),SUMIFS('RAW_농산물_10월'!$G:$G,'RAW_농산물_10월'!$D:$D,$C429,'RAW_농산물_10월'!$A:$A,$E429),SUMIFS('RAW_농산물_11-12월'!$G:$G,'RAW_농산물_11-12월'!$D:$D,$C429,'RAW_농산물_11-12월'!$A:$A,$E429))))</f>
        <v/>
      </c>
      <c r="H429" s="14" t="str">
        <f>IF($C429="","",IF('설정'!$B$3=0,"",CHOOSE('설정'!$B$3,SUMIFS('RAW_농산물_7월'!$H:$H,'RAW_농산물_7월'!$D:$D,$C429,'RAW_농산물_7월'!$A:$A,$E429),SUMIFS('RAW_농산물_8월'!$H:$H,'RAW_농산물_8월'!$D:$D,$C429,'RAW_농산물_8월'!$A:$A,$E429),SUMIFS('RAW_농산물_9월'!$H:$H,'RAW_농산물_9월'!$D:$D,$C429,'RAW_농산물_9월'!$A:$A,$E429),SUMIFS('RAW_농산물_10월'!$H:$H,'RAW_농산물_10월'!$D:$D,$C429,'RAW_농산물_10월'!$A:$A,$E429),SUMIFS('RAW_농산물_11-12월'!$H:$H,'RAW_농산물_11-12월'!$D:$D,$C429,'RAW_농산물_11-12월'!$A:$A,$E429))))</f>
        <v/>
      </c>
      <c r="I429" s="17" t="str">
        <f>IF($C429="","",IF(COUNTIFS('RAW_농산물_7월'!$D:$D,$C429,'RAW_농산물_7월'!$A:$A,$E429)&gt;0,"O",""))</f>
        <v/>
      </c>
      <c r="J429" s="17" t="str">
        <f>IF($C429="","",IF(COUNTIFS('RAW_농산물_8월'!$D:$D,$C429,'RAW_농산물_8월'!$A:$A,$E429)&gt;0,"O",""))</f>
        <v/>
      </c>
      <c r="K429" s="17" t="str">
        <f>IF($C429="","",IF(COUNTIFS('RAW_농산물_9월'!$D:$D,$C429,'RAW_농산물_9월'!$A:$A,$E429)&gt;0,"O",""))</f>
        <v/>
      </c>
      <c r="L429" s="17" t="str">
        <f>IF($C429="","",IF(COUNTIFS('RAW_농산물_10월'!$D:$D,$C429,'RAW_농산물_10월'!$A:$A,$E429)&gt;0,"O",""))</f>
        <v/>
      </c>
      <c r="M429" s="17" t="str">
        <f>IF($C429="","",IF(COUNTIFS('RAW_농산물_11-12월'!$D:$D,$C429,'RAW_농산물_11-12월'!$A:$A,$E429)&gt;0,"O",""))</f>
        <v/>
      </c>
      <c r="N429" s="7" t="str">
        <f>IF($C429="","",IF(COUNTA('RAW_농산물_7월'!$A:$A)&lt;=1,"",SUMIFS('RAW_농산물_7월'!$H:$H,'RAW_농산물_7월'!$D:$D,$C429,'RAW_농산물_7월'!$A:$A,$E429)))</f>
        <v/>
      </c>
      <c r="O429" s="7" t="str">
        <f>IF($C429="","",IF(COUNTA('RAW_농산물_8월'!$A:$A)&lt;=1,"",SUMIFS('RAW_농산물_8월'!$H:$H,'RAW_농산물_8월'!$D:$D,$C429,'RAW_농산물_8월'!$A:$A,$E429)-SUMIFS('RAW_농산물_7월'!$H:$H,'RAW_농산물_7월'!$D:$D,$C429,'RAW_농산물_7월'!$A:$A,$E429)))</f>
        <v/>
      </c>
      <c r="P429" s="7" t="str">
        <f>IF($C429="","",IF(COUNTA('RAW_농산물_9월'!$A:$A)&lt;=1,"",SUMIFS('RAW_농산물_9월'!$H:$H,'RAW_농산물_9월'!$D:$D,$C429,'RAW_농산물_9월'!$A:$A,$E429)-SUMIFS('RAW_농산물_8월'!$H:$H,'RAW_농산물_8월'!$D:$D,$C429,'RAW_농산물_8월'!$A:$A,$E429)))</f>
        <v/>
      </c>
      <c r="Q429" s="7" t="str">
        <f>IF($C429="","",IF(COUNTA('RAW_농산물_10월'!$A:$A)&lt;=1,"",SUMIFS('RAW_농산물_10월'!$H:$H,'RAW_농산물_10월'!$D:$D,$C429,'RAW_농산물_10월'!$A:$A,$E429)-SUMIFS('RAW_농산물_9월'!$H:$H,'RAW_농산물_9월'!$D:$D,$C429,'RAW_농산물_9월'!$A:$A,$E429)))</f>
        <v/>
      </c>
      <c r="R429" s="7" t="str">
        <f>IF($C429="","",IF(COUNTA('RAW_농산물_11-12월'!$A:$A)&lt;=1,"",SUMIFS('RAW_농산물_11-12월'!$H:$H,'RAW_농산물_11-12월'!$D:$D,$C429,'RAW_농산물_11-12월'!$A:$A,$E429)-SUMIFS('RAW_농산물_10월'!$H:$H,'RAW_농산물_10월'!$D:$D,$C429,'RAW_농산물_10월'!$A:$A,$E429)))</f>
        <v/>
      </c>
      <c r="S429" s="17" t="str">
        <f t="shared" si="4"/>
        <v/>
      </c>
      <c r="T429" s="17" t="str">
        <f t="shared" si="5"/>
        <v/>
      </c>
      <c r="U429" s="7">
        <f>IF($C429="",0,IF('설정'!$B$3=0,0,CHOOSE('설정'!$B$3,COUNTIFS('RAW_농산물_7월'!$D:$D,$C429,'RAW_농산물_7월'!$A:$A,$E429),COUNTIFS('RAW_농산물_8월'!$D:$D,$C429,'RAW_농산물_8월'!$A:$A,$E429),COUNTIFS('RAW_농산물_9월'!$D:$D,$C429,'RAW_농산물_9월'!$A:$A,$E429),COUNTIFS('RAW_농산물_10월'!$D:$D,$C429,'RAW_농산물_10월'!$A:$A,$E429),COUNTIFS('RAW_농산물_11-12월'!$D:$D,$C429,'RAW_농산물_11-12월'!$A:$A,$E429))))</f>
        <v>0</v>
      </c>
    </row>
    <row r="430" ht="15.75" customHeight="1">
      <c r="A430" s="5"/>
      <c r="B430" s="5"/>
      <c r="C430" s="5"/>
      <c r="D430" s="6"/>
      <c r="E430" s="5"/>
      <c r="F430" s="7" t="str">
        <f>IF($C430="","",IF('설정'!$B$3=0,"",CHOOSE('설정'!$B$3,SUMIFS('RAW_농산물_7월'!$F:$F,'RAW_농산물_7월'!$D:$D,$C430,'RAW_농산물_7월'!$A:$A,$E430),SUMIFS('RAW_농산물_8월'!$F:$F,'RAW_농산물_8월'!$D:$D,$C430,'RAW_농산물_8월'!$A:$A,$E430),SUMIFS('RAW_농산물_9월'!$F:$F,'RAW_농산물_9월'!$D:$D,$C430,'RAW_농산물_9월'!$A:$A,$E430),SUMIFS('RAW_농산물_10월'!$F:$F,'RAW_농산물_10월'!$D:$D,$C430,'RAW_농산물_10월'!$A:$A,$E430),SUMIFS('RAW_농산물_11-12월'!$F:$F,'RAW_농산물_11-12월'!$D:$D,$C430,'RAW_농산물_11-12월'!$A:$A,$E430))))</f>
        <v/>
      </c>
      <c r="G430" s="7" t="str">
        <f>IF($C430="","",IF('설정'!$B$3=0,"",CHOOSE('설정'!$B$3,SUMIFS('RAW_농산물_7월'!$G:$G,'RAW_농산물_7월'!$D:$D,$C430,'RAW_농산물_7월'!$A:$A,$E430),SUMIFS('RAW_농산물_8월'!$G:$G,'RAW_농산물_8월'!$D:$D,$C430,'RAW_농산물_8월'!$A:$A,$E430),SUMIFS('RAW_농산물_9월'!$G:$G,'RAW_농산물_9월'!$D:$D,$C430,'RAW_농산물_9월'!$A:$A,$E430),SUMIFS('RAW_농산물_10월'!$G:$G,'RAW_농산물_10월'!$D:$D,$C430,'RAW_농산물_10월'!$A:$A,$E430),SUMIFS('RAW_농산물_11-12월'!$G:$G,'RAW_농산물_11-12월'!$D:$D,$C430,'RAW_농산물_11-12월'!$A:$A,$E430))))</f>
        <v/>
      </c>
      <c r="H430" s="14" t="str">
        <f>IF($C430="","",IF('설정'!$B$3=0,"",CHOOSE('설정'!$B$3,SUMIFS('RAW_농산물_7월'!$H:$H,'RAW_농산물_7월'!$D:$D,$C430,'RAW_농산물_7월'!$A:$A,$E430),SUMIFS('RAW_농산물_8월'!$H:$H,'RAW_농산물_8월'!$D:$D,$C430,'RAW_농산물_8월'!$A:$A,$E430),SUMIFS('RAW_농산물_9월'!$H:$H,'RAW_농산물_9월'!$D:$D,$C430,'RAW_농산물_9월'!$A:$A,$E430),SUMIFS('RAW_농산물_10월'!$H:$H,'RAW_농산물_10월'!$D:$D,$C430,'RAW_농산물_10월'!$A:$A,$E430),SUMIFS('RAW_농산물_11-12월'!$H:$H,'RAW_농산물_11-12월'!$D:$D,$C430,'RAW_농산물_11-12월'!$A:$A,$E430))))</f>
        <v/>
      </c>
      <c r="I430" s="17" t="str">
        <f>IF($C430="","",IF(COUNTIFS('RAW_농산물_7월'!$D:$D,$C430,'RAW_농산물_7월'!$A:$A,$E430)&gt;0,"O",""))</f>
        <v/>
      </c>
      <c r="J430" s="17" t="str">
        <f>IF($C430="","",IF(COUNTIFS('RAW_농산물_8월'!$D:$D,$C430,'RAW_농산물_8월'!$A:$A,$E430)&gt;0,"O",""))</f>
        <v/>
      </c>
      <c r="K430" s="17" t="str">
        <f>IF($C430="","",IF(COUNTIFS('RAW_농산물_9월'!$D:$D,$C430,'RAW_농산물_9월'!$A:$A,$E430)&gt;0,"O",""))</f>
        <v/>
      </c>
      <c r="L430" s="17" t="str">
        <f>IF($C430="","",IF(COUNTIFS('RAW_농산물_10월'!$D:$D,$C430,'RAW_농산물_10월'!$A:$A,$E430)&gt;0,"O",""))</f>
        <v/>
      </c>
      <c r="M430" s="17" t="str">
        <f>IF($C430="","",IF(COUNTIFS('RAW_농산물_11-12월'!$D:$D,$C430,'RAW_농산물_11-12월'!$A:$A,$E430)&gt;0,"O",""))</f>
        <v/>
      </c>
      <c r="N430" s="7" t="str">
        <f>IF($C430="","",IF(COUNTA('RAW_농산물_7월'!$A:$A)&lt;=1,"",SUMIFS('RAW_농산물_7월'!$H:$H,'RAW_농산물_7월'!$D:$D,$C430,'RAW_농산물_7월'!$A:$A,$E430)))</f>
        <v/>
      </c>
      <c r="O430" s="7" t="str">
        <f>IF($C430="","",IF(COUNTA('RAW_농산물_8월'!$A:$A)&lt;=1,"",SUMIFS('RAW_농산물_8월'!$H:$H,'RAW_농산물_8월'!$D:$D,$C430,'RAW_농산물_8월'!$A:$A,$E430)-SUMIFS('RAW_농산물_7월'!$H:$H,'RAW_농산물_7월'!$D:$D,$C430,'RAW_농산물_7월'!$A:$A,$E430)))</f>
        <v/>
      </c>
      <c r="P430" s="7" t="str">
        <f>IF($C430="","",IF(COUNTA('RAW_농산물_9월'!$A:$A)&lt;=1,"",SUMIFS('RAW_농산물_9월'!$H:$H,'RAW_농산물_9월'!$D:$D,$C430,'RAW_농산물_9월'!$A:$A,$E430)-SUMIFS('RAW_농산물_8월'!$H:$H,'RAW_농산물_8월'!$D:$D,$C430,'RAW_농산물_8월'!$A:$A,$E430)))</f>
        <v/>
      </c>
      <c r="Q430" s="7" t="str">
        <f>IF($C430="","",IF(COUNTA('RAW_농산물_10월'!$A:$A)&lt;=1,"",SUMIFS('RAW_농산물_10월'!$H:$H,'RAW_농산물_10월'!$D:$D,$C430,'RAW_농산물_10월'!$A:$A,$E430)-SUMIFS('RAW_농산물_9월'!$H:$H,'RAW_농산물_9월'!$D:$D,$C430,'RAW_농산물_9월'!$A:$A,$E430)))</f>
        <v/>
      </c>
      <c r="R430" s="7" t="str">
        <f>IF($C430="","",IF(COUNTA('RAW_농산물_11-12월'!$A:$A)&lt;=1,"",SUMIFS('RAW_농산물_11-12월'!$H:$H,'RAW_농산물_11-12월'!$D:$D,$C430,'RAW_농산물_11-12월'!$A:$A,$E430)-SUMIFS('RAW_농산물_10월'!$H:$H,'RAW_농산물_10월'!$D:$D,$C430,'RAW_농산물_10월'!$A:$A,$E430)))</f>
        <v/>
      </c>
      <c r="S430" s="17" t="str">
        <f t="shared" si="4"/>
        <v/>
      </c>
      <c r="T430" s="17" t="str">
        <f t="shared" si="5"/>
        <v/>
      </c>
      <c r="U430" s="7">
        <f>IF($C430="",0,IF('설정'!$B$3=0,0,CHOOSE('설정'!$B$3,COUNTIFS('RAW_농산물_7월'!$D:$D,$C430,'RAW_농산물_7월'!$A:$A,$E430),COUNTIFS('RAW_농산물_8월'!$D:$D,$C430,'RAW_농산물_8월'!$A:$A,$E430),COUNTIFS('RAW_농산물_9월'!$D:$D,$C430,'RAW_농산물_9월'!$A:$A,$E430),COUNTIFS('RAW_농산물_10월'!$D:$D,$C430,'RAW_농산물_10월'!$A:$A,$E430),COUNTIFS('RAW_농산물_11-12월'!$D:$D,$C430,'RAW_농산물_11-12월'!$A:$A,$E430))))</f>
        <v>0</v>
      </c>
    </row>
    <row r="431" ht="15.75" customHeight="1">
      <c r="A431" s="5"/>
      <c r="B431" s="5"/>
      <c r="C431" s="5"/>
      <c r="D431" s="6"/>
      <c r="E431" s="5"/>
      <c r="F431" s="7" t="str">
        <f>IF($C431="","",IF('설정'!$B$3=0,"",CHOOSE('설정'!$B$3,SUMIFS('RAW_농산물_7월'!$F:$F,'RAW_농산물_7월'!$D:$D,$C431,'RAW_농산물_7월'!$A:$A,$E431),SUMIFS('RAW_농산물_8월'!$F:$F,'RAW_농산물_8월'!$D:$D,$C431,'RAW_농산물_8월'!$A:$A,$E431),SUMIFS('RAW_농산물_9월'!$F:$F,'RAW_농산물_9월'!$D:$D,$C431,'RAW_농산물_9월'!$A:$A,$E431),SUMIFS('RAW_농산물_10월'!$F:$F,'RAW_농산물_10월'!$D:$D,$C431,'RAW_농산물_10월'!$A:$A,$E431),SUMIFS('RAW_농산물_11-12월'!$F:$F,'RAW_농산물_11-12월'!$D:$D,$C431,'RAW_농산물_11-12월'!$A:$A,$E431))))</f>
        <v/>
      </c>
      <c r="G431" s="7" t="str">
        <f>IF($C431="","",IF('설정'!$B$3=0,"",CHOOSE('설정'!$B$3,SUMIFS('RAW_농산물_7월'!$G:$G,'RAW_농산물_7월'!$D:$D,$C431,'RAW_농산물_7월'!$A:$A,$E431),SUMIFS('RAW_농산물_8월'!$G:$G,'RAW_농산물_8월'!$D:$D,$C431,'RAW_농산물_8월'!$A:$A,$E431),SUMIFS('RAW_농산물_9월'!$G:$G,'RAW_농산물_9월'!$D:$D,$C431,'RAW_농산물_9월'!$A:$A,$E431),SUMIFS('RAW_농산물_10월'!$G:$G,'RAW_농산물_10월'!$D:$D,$C431,'RAW_농산물_10월'!$A:$A,$E431),SUMIFS('RAW_농산물_11-12월'!$G:$G,'RAW_농산물_11-12월'!$D:$D,$C431,'RAW_농산물_11-12월'!$A:$A,$E431))))</f>
        <v/>
      </c>
      <c r="H431" s="14" t="str">
        <f>IF($C431="","",IF('설정'!$B$3=0,"",CHOOSE('설정'!$B$3,SUMIFS('RAW_농산물_7월'!$H:$H,'RAW_농산물_7월'!$D:$D,$C431,'RAW_농산물_7월'!$A:$A,$E431),SUMIFS('RAW_농산물_8월'!$H:$H,'RAW_농산물_8월'!$D:$D,$C431,'RAW_농산물_8월'!$A:$A,$E431),SUMIFS('RAW_농산물_9월'!$H:$H,'RAW_농산물_9월'!$D:$D,$C431,'RAW_농산물_9월'!$A:$A,$E431),SUMIFS('RAW_농산물_10월'!$H:$H,'RAW_농산물_10월'!$D:$D,$C431,'RAW_농산물_10월'!$A:$A,$E431),SUMIFS('RAW_농산물_11-12월'!$H:$H,'RAW_농산물_11-12월'!$D:$D,$C431,'RAW_농산물_11-12월'!$A:$A,$E431))))</f>
        <v/>
      </c>
      <c r="I431" s="17" t="str">
        <f>IF($C431="","",IF(COUNTIFS('RAW_농산물_7월'!$D:$D,$C431,'RAW_농산물_7월'!$A:$A,$E431)&gt;0,"O",""))</f>
        <v/>
      </c>
      <c r="J431" s="17" t="str">
        <f>IF($C431="","",IF(COUNTIFS('RAW_농산물_8월'!$D:$D,$C431,'RAW_농산물_8월'!$A:$A,$E431)&gt;0,"O",""))</f>
        <v/>
      </c>
      <c r="K431" s="17" t="str">
        <f>IF($C431="","",IF(COUNTIFS('RAW_농산물_9월'!$D:$D,$C431,'RAW_농산물_9월'!$A:$A,$E431)&gt;0,"O",""))</f>
        <v/>
      </c>
      <c r="L431" s="17" t="str">
        <f>IF($C431="","",IF(COUNTIFS('RAW_농산물_10월'!$D:$D,$C431,'RAW_농산물_10월'!$A:$A,$E431)&gt;0,"O",""))</f>
        <v/>
      </c>
      <c r="M431" s="17" t="str">
        <f>IF($C431="","",IF(COUNTIFS('RAW_농산물_11-12월'!$D:$D,$C431,'RAW_농산물_11-12월'!$A:$A,$E431)&gt;0,"O",""))</f>
        <v/>
      </c>
      <c r="N431" s="7" t="str">
        <f>IF($C431="","",IF(COUNTA('RAW_농산물_7월'!$A:$A)&lt;=1,"",SUMIFS('RAW_농산물_7월'!$H:$H,'RAW_농산물_7월'!$D:$D,$C431,'RAW_농산물_7월'!$A:$A,$E431)))</f>
        <v/>
      </c>
      <c r="O431" s="7" t="str">
        <f>IF($C431="","",IF(COUNTA('RAW_농산물_8월'!$A:$A)&lt;=1,"",SUMIFS('RAW_농산물_8월'!$H:$H,'RAW_농산물_8월'!$D:$D,$C431,'RAW_농산물_8월'!$A:$A,$E431)-SUMIFS('RAW_농산물_7월'!$H:$H,'RAW_농산물_7월'!$D:$D,$C431,'RAW_농산물_7월'!$A:$A,$E431)))</f>
        <v/>
      </c>
      <c r="P431" s="7" t="str">
        <f>IF($C431="","",IF(COUNTA('RAW_농산물_9월'!$A:$A)&lt;=1,"",SUMIFS('RAW_농산물_9월'!$H:$H,'RAW_농산물_9월'!$D:$D,$C431,'RAW_농산물_9월'!$A:$A,$E431)-SUMIFS('RAW_농산물_8월'!$H:$H,'RAW_농산물_8월'!$D:$D,$C431,'RAW_농산물_8월'!$A:$A,$E431)))</f>
        <v/>
      </c>
      <c r="Q431" s="7" t="str">
        <f>IF($C431="","",IF(COUNTA('RAW_농산물_10월'!$A:$A)&lt;=1,"",SUMIFS('RAW_농산물_10월'!$H:$H,'RAW_농산물_10월'!$D:$D,$C431,'RAW_농산물_10월'!$A:$A,$E431)-SUMIFS('RAW_농산물_9월'!$H:$H,'RAW_농산물_9월'!$D:$D,$C431,'RAW_농산물_9월'!$A:$A,$E431)))</f>
        <v/>
      </c>
      <c r="R431" s="7" t="str">
        <f>IF($C431="","",IF(COUNTA('RAW_농산물_11-12월'!$A:$A)&lt;=1,"",SUMIFS('RAW_농산물_11-12월'!$H:$H,'RAW_농산물_11-12월'!$D:$D,$C431,'RAW_농산물_11-12월'!$A:$A,$E431)-SUMIFS('RAW_농산물_10월'!$H:$H,'RAW_농산물_10월'!$D:$D,$C431,'RAW_농산물_10월'!$A:$A,$E431)))</f>
        <v/>
      </c>
      <c r="S431" s="17" t="str">
        <f t="shared" si="4"/>
        <v/>
      </c>
      <c r="T431" s="17" t="str">
        <f t="shared" si="5"/>
        <v/>
      </c>
      <c r="U431" s="7">
        <f>IF($C431="",0,IF('설정'!$B$3=0,0,CHOOSE('설정'!$B$3,COUNTIFS('RAW_농산물_7월'!$D:$D,$C431,'RAW_농산물_7월'!$A:$A,$E431),COUNTIFS('RAW_농산물_8월'!$D:$D,$C431,'RAW_농산물_8월'!$A:$A,$E431),COUNTIFS('RAW_농산물_9월'!$D:$D,$C431,'RAW_농산물_9월'!$A:$A,$E431),COUNTIFS('RAW_농산물_10월'!$D:$D,$C431,'RAW_농산물_10월'!$A:$A,$E431),COUNTIFS('RAW_농산물_11-12월'!$D:$D,$C431,'RAW_농산물_11-12월'!$A:$A,$E431))))</f>
        <v>0</v>
      </c>
    </row>
    <row r="432" ht="15.75" customHeight="1">
      <c r="A432" s="5"/>
      <c r="B432" s="5"/>
      <c r="C432" s="5"/>
      <c r="D432" s="6"/>
      <c r="E432" s="5"/>
      <c r="F432" s="7" t="str">
        <f>IF($C432="","",IF('설정'!$B$3=0,"",CHOOSE('설정'!$B$3,SUMIFS('RAW_농산물_7월'!$F:$F,'RAW_농산물_7월'!$D:$D,$C432,'RAW_농산물_7월'!$A:$A,$E432),SUMIFS('RAW_농산물_8월'!$F:$F,'RAW_농산물_8월'!$D:$D,$C432,'RAW_농산물_8월'!$A:$A,$E432),SUMIFS('RAW_농산물_9월'!$F:$F,'RAW_농산물_9월'!$D:$D,$C432,'RAW_농산물_9월'!$A:$A,$E432),SUMIFS('RAW_농산물_10월'!$F:$F,'RAW_농산물_10월'!$D:$D,$C432,'RAW_농산물_10월'!$A:$A,$E432),SUMIFS('RAW_농산물_11-12월'!$F:$F,'RAW_농산물_11-12월'!$D:$D,$C432,'RAW_농산물_11-12월'!$A:$A,$E432))))</f>
        <v/>
      </c>
      <c r="G432" s="7" t="str">
        <f>IF($C432="","",IF('설정'!$B$3=0,"",CHOOSE('설정'!$B$3,SUMIFS('RAW_농산물_7월'!$G:$G,'RAW_농산물_7월'!$D:$D,$C432,'RAW_농산물_7월'!$A:$A,$E432),SUMIFS('RAW_농산물_8월'!$G:$G,'RAW_농산물_8월'!$D:$D,$C432,'RAW_농산물_8월'!$A:$A,$E432),SUMIFS('RAW_농산물_9월'!$G:$G,'RAW_농산물_9월'!$D:$D,$C432,'RAW_농산물_9월'!$A:$A,$E432),SUMIFS('RAW_농산물_10월'!$G:$G,'RAW_농산물_10월'!$D:$D,$C432,'RAW_농산물_10월'!$A:$A,$E432),SUMIFS('RAW_농산물_11-12월'!$G:$G,'RAW_농산물_11-12월'!$D:$D,$C432,'RAW_농산물_11-12월'!$A:$A,$E432))))</f>
        <v/>
      </c>
      <c r="H432" s="14" t="str">
        <f>IF($C432="","",IF('설정'!$B$3=0,"",CHOOSE('설정'!$B$3,SUMIFS('RAW_농산물_7월'!$H:$H,'RAW_농산물_7월'!$D:$D,$C432,'RAW_농산물_7월'!$A:$A,$E432),SUMIFS('RAW_농산물_8월'!$H:$H,'RAW_농산물_8월'!$D:$D,$C432,'RAW_농산물_8월'!$A:$A,$E432),SUMIFS('RAW_농산물_9월'!$H:$H,'RAW_농산물_9월'!$D:$D,$C432,'RAW_농산물_9월'!$A:$A,$E432),SUMIFS('RAW_농산물_10월'!$H:$H,'RAW_농산물_10월'!$D:$D,$C432,'RAW_농산물_10월'!$A:$A,$E432),SUMIFS('RAW_농산물_11-12월'!$H:$H,'RAW_농산물_11-12월'!$D:$D,$C432,'RAW_농산물_11-12월'!$A:$A,$E432))))</f>
        <v/>
      </c>
      <c r="I432" s="17" t="str">
        <f>IF($C432="","",IF(COUNTIFS('RAW_농산물_7월'!$D:$D,$C432,'RAW_농산물_7월'!$A:$A,$E432)&gt;0,"O",""))</f>
        <v/>
      </c>
      <c r="J432" s="17" t="str">
        <f>IF($C432="","",IF(COUNTIFS('RAW_농산물_8월'!$D:$D,$C432,'RAW_농산물_8월'!$A:$A,$E432)&gt;0,"O",""))</f>
        <v/>
      </c>
      <c r="K432" s="17" t="str">
        <f>IF($C432="","",IF(COUNTIFS('RAW_농산물_9월'!$D:$D,$C432,'RAW_농산물_9월'!$A:$A,$E432)&gt;0,"O",""))</f>
        <v/>
      </c>
      <c r="L432" s="17" t="str">
        <f>IF($C432="","",IF(COUNTIFS('RAW_농산물_10월'!$D:$D,$C432,'RAW_농산물_10월'!$A:$A,$E432)&gt;0,"O",""))</f>
        <v/>
      </c>
      <c r="M432" s="17" t="str">
        <f>IF($C432="","",IF(COUNTIFS('RAW_농산물_11-12월'!$D:$D,$C432,'RAW_농산물_11-12월'!$A:$A,$E432)&gt;0,"O",""))</f>
        <v/>
      </c>
      <c r="N432" s="7" t="str">
        <f>IF($C432="","",IF(COUNTA('RAW_농산물_7월'!$A:$A)&lt;=1,"",SUMIFS('RAW_농산물_7월'!$H:$H,'RAW_농산물_7월'!$D:$D,$C432,'RAW_농산물_7월'!$A:$A,$E432)))</f>
        <v/>
      </c>
      <c r="O432" s="7" t="str">
        <f>IF($C432="","",IF(COUNTA('RAW_농산물_8월'!$A:$A)&lt;=1,"",SUMIFS('RAW_농산물_8월'!$H:$H,'RAW_농산물_8월'!$D:$D,$C432,'RAW_농산물_8월'!$A:$A,$E432)-SUMIFS('RAW_농산물_7월'!$H:$H,'RAW_농산물_7월'!$D:$D,$C432,'RAW_농산물_7월'!$A:$A,$E432)))</f>
        <v/>
      </c>
      <c r="P432" s="7" t="str">
        <f>IF($C432="","",IF(COUNTA('RAW_농산물_9월'!$A:$A)&lt;=1,"",SUMIFS('RAW_농산물_9월'!$H:$H,'RAW_농산물_9월'!$D:$D,$C432,'RAW_농산물_9월'!$A:$A,$E432)-SUMIFS('RAW_농산물_8월'!$H:$H,'RAW_농산물_8월'!$D:$D,$C432,'RAW_농산물_8월'!$A:$A,$E432)))</f>
        <v/>
      </c>
      <c r="Q432" s="7" t="str">
        <f>IF($C432="","",IF(COUNTA('RAW_농산물_10월'!$A:$A)&lt;=1,"",SUMIFS('RAW_농산물_10월'!$H:$H,'RAW_농산물_10월'!$D:$D,$C432,'RAW_농산물_10월'!$A:$A,$E432)-SUMIFS('RAW_농산물_9월'!$H:$H,'RAW_농산물_9월'!$D:$D,$C432,'RAW_농산물_9월'!$A:$A,$E432)))</f>
        <v/>
      </c>
      <c r="R432" s="7" t="str">
        <f>IF($C432="","",IF(COUNTA('RAW_농산물_11-12월'!$A:$A)&lt;=1,"",SUMIFS('RAW_농산물_11-12월'!$H:$H,'RAW_농산물_11-12월'!$D:$D,$C432,'RAW_농산물_11-12월'!$A:$A,$E432)-SUMIFS('RAW_농산물_10월'!$H:$H,'RAW_농산물_10월'!$D:$D,$C432,'RAW_농산물_10월'!$A:$A,$E432)))</f>
        <v/>
      </c>
      <c r="S432" s="17" t="str">
        <f t="shared" si="4"/>
        <v/>
      </c>
      <c r="T432" s="17" t="str">
        <f t="shared" si="5"/>
        <v/>
      </c>
      <c r="U432" s="7">
        <f>IF($C432="",0,IF('설정'!$B$3=0,0,CHOOSE('설정'!$B$3,COUNTIFS('RAW_농산물_7월'!$D:$D,$C432,'RAW_농산물_7월'!$A:$A,$E432),COUNTIFS('RAW_농산물_8월'!$D:$D,$C432,'RAW_농산물_8월'!$A:$A,$E432),COUNTIFS('RAW_농산물_9월'!$D:$D,$C432,'RAW_농산물_9월'!$A:$A,$E432),COUNTIFS('RAW_농산물_10월'!$D:$D,$C432,'RAW_농산물_10월'!$A:$A,$E432),COUNTIFS('RAW_농산물_11-12월'!$D:$D,$C432,'RAW_농산물_11-12월'!$A:$A,$E432))))</f>
        <v>0</v>
      </c>
    </row>
    <row r="433" ht="15.75" customHeight="1">
      <c r="A433" s="5"/>
      <c r="B433" s="5"/>
      <c r="C433" s="5"/>
      <c r="D433" s="6"/>
      <c r="E433" s="5"/>
      <c r="F433" s="7" t="str">
        <f>IF($C433="","",IF('설정'!$B$3=0,"",CHOOSE('설정'!$B$3,SUMIFS('RAW_농산물_7월'!$F:$F,'RAW_농산물_7월'!$D:$D,$C433,'RAW_농산물_7월'!$A:$A,$E433),SUMIFS('RAW_농산물_8월'!$F:$F,'RAW_농산물_8월'!$D:$D,$C433,'RAW_농산물_8월'!$A:$A,$E433),SUMIFS('RAW_농산물_9월'!$F:$F,'RAW_농산물_9월'!$D:$D,$C433,'RAW_농산물_9월'!$A:$A,$E433),SUMIFS('RAW_농산물_10월'!$F:$F,'RAW_농산물_10월'!$D:$D,$C433,'RAW_농산물_10월'!$A:$A,$E433),SUMIFS('RAW_농산물_11-12월'!$F:$F,'RAW_농산물_11-12월'!$D:$D,$C433,'RAW_농산물_11-12월'!$A:$A,$E433))))</f>
        <v/>
      </c>
      <c r="G433" s="7" t="str">
        <f>IF($C433="","",IF('설정'!$B$3=0,"",CHOOSE('설정'!$B$3,SUMIFS('RAW_농산물_7월'!$G:$G,'RAW_농산물_7월'!$D:$D,$C433,'RAW_농산물_7월'!$A:$A,$E433),SUMIFS('RAW_농산물_8월'!$G:$G,'RAW_농산물_8월'!$D:$D,$C433,'RAW_농산물_8월'!$A:$A,$E433),SUMIFS('RAW_농산물_9월'!$G:$G,'RAW_농산물_9월'!$D:$D,$C433,'RAW_농산물_9월'!$A:$A,$E433),SUMIFS('RAW_농산물_10월'!$G:$G,'RAW_농산물_10월'!$D:$D,$C433,'RAW_농산물_10월'!$A:$A,$E433),SUMIFS('RAW_농산물_11-12월'!$G:$G,'RAW_농산물_11-12월'!$D:$D,$C433,'RAW_농산물_11-12월'!$A:$A,$E433))))</f>
        <v/>
      </c>
      <c r="H433" s="14" t="str">
        <f>IF($C433="","",IF('설정'!$B$3=0,"",CHOOSE('설정'!$B$3,SUMIFS('RAW_농산물_7월'!$H:$H,'RAW_농산물_7월'!$D:$D,$C433,'RAW_농산물_7월'!$A:$A,$E433),SUMIFS('RAW_농산물_8월'!$H:$H,'RAW_농산물_8월'!$D:$D,$C433,'RAW_농산물_8월'!$A:$A,$E433),SUMIFS('RAW_농산물_9월'!$H:$H,'RAW_농산물_9월'!$D:$D,$C433,'RAW_농산물_9월'!$A:$A,$E433),SUMIFS('RAW_농산물_10월'!$H:$H,'RAW_농산물_10월'!$D:$D,$C433,'RAW_농산물_10월'!$A:$A,$E433),SUMIFS('RAW_농산물_11-12월'!$H:$H,'RAW_농산물_11-12월'!$D:$D,$C433,'RAW_농산물_11-12월'!$A:$A,$E433))))</f>
        <v/>
      </c>
      <c r="I433" s="17" t="str">
        <f>IF($C433="","",IF(COUNTIFS('RAW_농산물_7월'!$D:$D,$C433,'RAW_농산물_7월'!$A:$A,$E433)&gt;0,"O",""))</f>
        <v/>
      </c>
      <c r="J433" s="17" t="str">
        <f>IF($C433="","",IF(COUNTIFS('RAW_농산물_8월'!$D:$D,$C433,'RAW_농산물_8월'!$A:$A,$E433)&gt;0,"O",""))</f>
        <v/>
      </c>
      <c r="K433" s="17" t="str">
        <f>IF($C433="","",IF(COUNTIFS('RAW_농산물_9월'!$D:$D,$C433,'RAW_농산물_9월'!$A:$A,$E433)&gt;0,"O",""))</f>
        <v/>
      </c>
      <c r="L433" s="17" t="str">
        <f>IF($C433="","",IF(COUNTIFS('RAW_농산물_10월'!$D:$D,$C433,'RAW_농산물_10월'!$A:$A,$E433)&gt;0,"O",""))</f>
        <v/>
      </c>
      <c r="M433" s="17" t="str">
        <f>IF($C433="","",IF(COUNTIFS('RAW_농산물_11-12월'!$D:$D,$C433,'RAW_농산물_11-12월'!$A:$A,$E433)&gt;0,"O",""))</f>
        <v/>
      </c>
      <c r="N433" s="7" t="str">
        <f>IF($C433="","",IF(COUNTA('RAW_농산물_7월'!$A:$A)&lt;=1,"",SUMIFS('RAW_농산물_7월'!$H:$H,'RAW_농산물_7월'!$D:$D,$C433,'RAW_농산물_7월'!$A:$A,$E433)))</f>
        <v/>
      </c>
      <c r="O433" s="7" t="str">
        <f>IF($C433="","",IF(COUNTA('RAW_농산물_8월'!$A:$A)&lt;=1,"",SUMIFS('RAW_농산물_8월'!$H:$H,'RAW_농산물_8월'!$D:$D,$C433,'RAW_농산물_8월'!$A:$A,$E433)-SUMIFS('RAW_농산물_7월'!$H:$H,'RAW_농산물_7월'!$D:$D,$C433,'RAW_농산물_7월'!$A:$A,$E433)))</f>
        <v/>
      </c>
      <c r="P433" s="7" t="str">
        <f>IF($C433="","",IF(COUNTA('RAW_농산물_9월'!$A:$A)&lt;=1,"",SUMIFS('RAW_농산물_9월'!$H:$H,'RAW_농산물_9월'!$D:$D,$C433,'RAW_농산물_9월'!$A:$A,$E433)-SUMIFS('RAW_농산물_8월'!$H:$H,'RAW_농산물_8월'!$D:$D,$C433,'RAW_농산물_8월'!$A:$A,$E433)))</f>
        <v/>
      </c>
      <c r="Q433" s="7" t="str">
        <f>IF($C433="","",IF(COUNTA('RAW_농산물_10월'!$A:$A)&lt;=1,"",SUMIFS('RAW_농산물_10월'!$H:$H,'RAW_농산물_10월'!$D:$D,$C433,'RAW_농산물_10월'!$A:$A,$E433)-SUMIFS('RAW_농산물_9월'!$H:$H,'RAW_농산물_9월'!$D:$D,$C433,'RAW_농산물_9월'!$A:$A,$E433)))</f>
        <v/>
      </c>
      <c r="R433" s="7" t="str">
        <f>IF($C433="","",IF(COUNTA('RAW_농산물_11-12월'!$A:$A)&lt;=1,"",SUMIFS('RAW_농산물_11-12월'!$H:$H,'RAW_농산물_11-12월'!$D:$D,$C433,'RAW_농산물_11-12월'!$A:$A,$E433)-SUMIFS('RAW_농산물_10월'!$H:$H,'RAW_농산물_10월'!$D:$D,$C433,'RAW_농산물_10월'!$A:$A,$E433)))</f>
        <v/>
      </c>
      <c r="S433" s="17" t="str">
        <f t="shared" si="4"/>
        <v/>
      </c>
      <c r="T433" s="17" t="str">
        <f t="shared" si="5"/>
        <v/>
      </c>
      <c r="U433" s="7">
        <f>IF($C433="",0,IF('설정'!$B$3=0,0,CHOOSE('설정'!$B$3,COUNTIFS('RAW_농산물_7월'!$D:$D,$C433,'RAW_농산물_7월'!$A:$A,$E433),COUNTIFS('RAW_농산물_8월'!$D:$D,$C433,'RAW_농산물_8월'!$A:$A,$E433),COUNTIFS('RAW_농산물_9월'!$D:$D,$C433,'RAW_농산물_9월'!$A:$A,$E433),COUNTIFS('RAW_농산물_10월'!$D:$D,$C433,'RAW_농산물_10월'!$A:$A,$E433),COUNTIFS('RAW_농산물_11-12월'!$D:$D,$C433,'RAW_농산물_11-12월'!$A:$A,$E433))))</f>
        <v>0</v>
      </c>
    </row>
    <row r="434" ht="15.75" customHeight="1">
      <c r="A434" s="5"/>
      <c r="B434" s="5"/>
      <c r="C434" s="5"/>
      <c r="D434" s="6"/>
      <c r="E434" s="5"/>
      <c r="F434" s="7" t="str">
        <f>IF($C434="","",IF('설정'!$B$3=0,"",CHOOSE('설정'!$B$3,SUMIFS('RAW_농산물_7월'!$F:$F,'RAW_농산물_7월'!$D:$D,$C434,'RAW_농산물_7월'!$A:$A,$E434),SUMIFS('RAW_농산물_8월'!$F:$F,'RAW_농산물_8월'!$D:$D,$C434,'RAW_농산물_8월'!$A:$A,$E434),SUMIFS('RAW_농산물_9월'!$F:$F,'RAW_농산물_9월'!$D:$D,$C434,'RAW_농산물_9월'!$A:$A,$E434),SUMIFS('RAW_농산물_10월'!$F:$F,'RAW_농산물_10월'!$D:$D,$C434,'RAW_농산물_10월'!$A:$A,$E434),SUMIFS('RAW_농산물_11-12월'!$F:$F,'RAW_농산물_11-12월'!$D:$D,$C434,'RAW_농산물_11-12월'!$A:$A,$E434))))</f>
        <v/>
      </c>
      <c r="G434" s="7" t="str">
        <f>IF($C434="","",IF('설정'!$B$3=0,"",CHOOSE('설정'!$B$3,SUMIFS('RAW_농산물_7월'!$G:$G,'RAW_농산물_7월'!$D:$D,$C434,'RAW_농산물_7월'!$A:$A,$E434),SUMIFS('RAW_농산물_8월'!$G:$G,'RAW_농산물_8월'!$D:$D,$C434,'RAW_농산물_8월'!$A:$A,$E434),SUMIFS('RAW_농산물_9월'!$G:$G,'RAW_농산물_9월'!$D:$D,$C434,'RAW_농산물_9월'!$A:$A,$E434),SUMIFS('RAW_농산물_10월'!$G:$G,'RAW_농산물_10월'!$D:$D,$C434,'RAW_농산물_10월'!$A:$A,$E434),SUMIFS('RAW_농산물_11-12월'!$G:$G,'RAW_농산물_11-12월'!$D:$D,$C434,'RAW_농산물_11-12월'!$A:$A,$E434))))</f>
        <v/>
      </c>
      <c r="H434" s="14" t="str">
        <f>IF($C434="","",IF('설정'!$B$3=0,"",CHOOSE('설정'!$B$3,SUMIFS('RAW_농산물_7월'!$H:$H,'RAW_농산물_7월'!$D:$D,$C434,'RAW_농산물_7월'!$A:$A,$E434),SUMIFS('RAW_농산물_8월'!$H:$H,'RAW_농산물_8월'!$D:$D,$C434,'RAW_농산물_8월'!$A:$A,$E434),SUMIFS('RAW_농산물_9월'!$H:$H,'RAW_농산물_9월'!$D:$D,$C434,'RAW_농산물_9월'!$A:$A,$E434),SUMIFS('RAW_농산물_10월'!$H:$H,'RAW_농산물_10월'!$D:$D,$C434,'RAW_농산물_10월'!$A:$A,$E434),SUMIFS('RAW_농산물_11-12월'!$H:$H,'RAW_농산물_11-12월'!$D:$D,$C434,'RAW_농산물_11-12월'!$A:$A,$E434))))</f>
        <v/>
      </c>
      <c r="I434" s="17" t="str">
        <f>IF($C434="","",IF(COUNTIFS('RAW_농산물_7월'!$D:$D,$C434,'RAW_농산물_7월'!$A:$A,$E434)&gt;0,"O",""))</f>
        <v/>
      </c>
      <c r="J434" s="17" t="str">
        <f>IF($C434="","",IF(COUNTIFS('RAW_농산물_8월'!$D:$D,$C434,'RAW_농산물_8월'!$A:$A,$E434)&gt;0,"O",""))</f>
        <v/>
      </c>
      <c r="K434" s="17" t="str">
        <f>IF($C434="","",IF(COUNTIFS('RAW_농산물_9월'!$D:$D,$C434,'RAW_농산물_9월'!$A:$A,$E434)&gt;0,"O",""))</f>
        <v/>
      </c>
      <c r="L434" s="17" t="str">
        <f>IF($C434="","",IF(COUNTIFS('RAW_농산물_10월'!$D:$D,$C434,'RAW_농산물_10월'!$A:$A,$E434)&gt;0,"O",""))</f>
        <v/>
      </c>
      <c r="M434" s="17" t="str">
        <f>IF($C434="","",IF(COUNTIFS('RAW_농산물_11-12월'!$D:$D,$C434,'RAW_농산물_11-12월'!$A:$A,$E434)&gt;0,"O",""))</f>
        <v/>
      </c>
      <c r="N434" s="7" t="str">
        <f>IF($C434="","",IF(COUNTA('RAW_농산물_7월'!$A:$A)&lt;=1,"",SUMIFS('RAW_농산물_7월'!$H:$H,'RAW_농산물_7월'!$D:$D,$C434,'RAW_농산물_7월'!$A:$A,$E434)))</f>
        <v/>
      </c>
      <c r="O434" s="7" t="str">
        <f>IF($C434="","",IF(COUNTA('RAW_농산물_8월'!$A:$A)&lt;=1,"",SUMIFS('RAW_농산물_8월'!$H:$H,'RAW_농산물_8월'!$D:$D,$C434,'RAW_농산물_8월'!$A:$A,$E434)-SUMIFS('RAW_농산물_7월'!$H:$H,'RAW_농산물_7월'!$D:$D,$C434,'RAW_농산물_7월'!$A:$A,$E434)))</f>
        <v/>
      </c>
      <c r="P434" s="7" t="str">
        <f>IF($C434="","",IF(COUNTA('RAW_농산물_9월'!$A:$A)&lt;=1,"",SUMIFS('RAW_농산물_9월'!$H:$H,'RAW_농산물_9월'!$D:$D,$C434,'RAW_농산물_9월'!$A:$A,$E434)-SUMIFS('RAW_농산물_8월'!$H:$H,'RAW_농산물_8월'!$D:$D,$C434,'RAW_농산물_8월'!$A:$A,$E434)))</f>
        <v/>
      </c>
      <c r="Q434" s="7" t="str">
        <f>IF($C434="","",IF(COUNTA('RAW_농산물_10월'!$A:$A)&lt;=1,"",SUMIFS('RAW_농산물_10월'!$H:$H,'RAW_농산물_10월'!$D:$D,$C434,'RAW_농산물_10월'!$A:$A,$E434)-SUMIFS('RAW_농산물_9월'!$H:$H,'RAW_농산물_9월'!$D:$D,$C434,'RAW_농산물_9월'!$A:$A,$E434)))</f>
        <v/>
      </c>
      <c r="R434" s="7" t="str">
        <f>IF($C434="","",IF(COUNTA('RAW_농산물_11-12월'!$A:$A)&lt;=1,"",SUMIFS('RAW_농산물_11-12월'!$H:$H,'RAW_농산물_11-12월'!$D:$D,$C434,'RAW_농산물_11-12월'!$A:$A,$E434)-SUMIFS('RAW_농산물_10월'!$H:$H,'RAW_농산물_10월'!$D:$D,$C434,'RAW_농산물_10월'!$A:$A,$E434)))</f>
        <v/>
      </c>
      <c r="S434" s="17" t="str">
        <f t="shared" si="4"/>
        <v/>
      </c>
      <c r="T434" s="17" t="str">
        <f t="shared" si="5"/>
        <v/>
      </c>
      <c r="U434" s="7">
        <f>IF($C434="",0,IF('설정'!$B$3=0,0,CHOOSE('설정'!$B$3,COUNTIFS('RAW_농산물_7월'!$D:$D,$C434,'RAW_농산물_7월'!$A:$A,$E434),COUNTIFS('RAW_농산물_8월'!$D:$D,$C434,'RAW_농산물_8월'!$A:$A,$E434),COUNTIFS('RAW_농산물_9월'!$D:$D,$C434,'RAW_농산물_9월'!$A:$A,$E434),COUNTIFS('RAW_농산물_10월'!$D:$D,$C434,'RAW_농산물_10월'!$A:$A,$E434),COUNTIFS('RAW_농산물_11-12월'!$D:$D,$C434,'RAW_농산물_11-12월'!$A:$A,$E434))))</f>
        <v>0</v>
      </c>
    </row>
    <row r="435" ht="15.75" customHeight="1">
      <c r="A435" s="5"/>
      <c r="B435" s="5"/>
      <c r="C435" s="5"/>
      <c r="D435" s="6"/>
      <c r="E435" s="5"/>
      <c r="F435" s="7" t="str">
        <f>IF($C435="","",IF('설정'!$B$3=0,"",CHOOSE('설정'!$B$3,SUMIFS('RAW_농산물_7월'!$F:$F,'RAW_농산물_7월'!$D:$D,$C435,'RAW_농산물_7월'!$A:$A,$E435),SUMIFS('RAW_농산물_8월'!$F:$F,'RAW_농산물_8월'!$D:$D,$C435,'RAW_농산물_8월'!$A:$A,$E435),SUMIFS('RAW_농산물_9월'!$F:$F,'RAW_농산물_9월'!$D:$D,$C435,'RAW_농산물_9월'!$A:$A,$E435),SUMIFS('RAW_농산물_10월'!$F:$F,'RAW_농산물_10월'!$D:$D,$C435,'RAW_농산물_10월'!$A:$A,$E435),SUMIFS('RAW_농산물_11-12월'!$F:$F,'RAW_농산물_11-12월'!$D:$D,$C435,'RAW_농산물_11-12월'!$A:$A,$E435))))</f>
        <v/>
      </c>
      <c r="G435" s="7" t="str">
        <f>IF($C435="","",IF('설정'!$B$3=0,"",CHOOSE('설정'!$B$3,SUMIFS('RAW_농산물_7월'!$G:$G,'RAW_농산물_7월'!$D:$D,$C435,'RAW_농산물_7월'!$A:$A,$E435),SUMIFS('RAW_농산물_8월'!$G:$G,'RAW_농산물_8월'!$D:$D,$C435,'RAW_농산물_8월'!$A:$A,$E435),SUMIFS('RAW_농산물_9월'!$G:$G,'RAW_농산물_9월'!$D:$D,$C435,'RAW_농산물_9월'!$A:$A,$E435),SUMIFS('RAW_농산물_10월'!$G:$G,'RAW_농산물_10월'!$D:$D,$C435,'RAW_농산물_10월'!$A:$A,$E435),SUMIFS('RAW_농산물_11-12월'!$G:$G,'RAW_농산물_11-12월'!$D:$D,$C435,'RAW_농산물_11-12월'!$A:$A,$E435))))</f>
        <v/>
      </c>
      <c r="H435" s="14" t="str">
        <f>IF($C435="","",IF('설정'!$B$3=0,"",CHOOSE('설정'!$B$3,SUMIFS('RAW_농산물_7월'!$H:$H,'RAW_농산물_7월'!$D:$D,$C435,'RAW_농산물_7월'!$A:$A,$E435),SUMIFS('RAW_농산물_8월'!$H:$H,'RAW_농산물_8월'!$D:$D,$C435,'RAW_농산물_8월'!$A:$A,$E435),SUMIFS('RAW_농산물_9월'!$H:$H,'RAW_농산물_9월'!$D:$D,$C435,'RAW_농산물_9월'!$A:$A,$E435),SUMIFS('RAW_농산물_10월'!$H:$H,'RAW_농산물_10월'!$D:$D,$C435,'RAW_농산물_10월'!$A:$A,$E435),SUMIFS('RAW_농산물_11-12월'!$H:$H,'RAW_농산물_11-12월'!$D:$D,$C435,'RAW_농산물_11-12월'!$A:$A,$E435))))</f>
        <v/>
      </c>
      <c r="I435" s="17" t="str">
        <f>IF($C435="","",IF(COUNTIFS('RAW_농산물_7월'!$D:$D,$C435,'RAW_농산물_7월'!$A:$A,$E435)&gt;0,"O",""))</f>
        <v/>
      </c>
      <c r="J435" s="17" t="str">
        <f>IF($C435="","",IF(COUNTIFS('RAW_농산물_8월'!$D:$D,$C435,'RAW_농산물_8월'!$A:$A,$E435)&gt;0,"O",""))</f>
        <v/>
      </c>
      <c r="K435" s="17" t="str">
        <f>IF($C435="","",IF(COUNTIFS('RAW_농산물_9월'!$D:$D,$C435,'RAW_농산물_9월'!$A:$A,$E435)&gt;0,"O",""))</f>
        <v/>
      </c>
      <c r="L435" s="17" t="str">
        <f>IF($C435="","",IF(COUNTIFS('RAW_농산물_10월'!$D:$D,$C435,'RAW_농산물_10월'!$A:$A,$E435)&gt;0,"O",""))</f>
        <v/>
      </c>
      <c r="M435" s="17" t="str">
        <f>IF($C435="","",IF(COUNTIFS('RAW_농산물_11-12월'!$D:$D,$C435,'RAW_농산물_11-12월'!$A:$A,$E435)&gt;0,"O",""))</f>
        <v/>
      </c>
      <c r="N435" s="7" t="str">
        <f>IF($C435="","",IF(COUNTA('RAW_농산물_7월'!$A:$A)&lt;=1,"",SUMIFS('RAW_농산물_7월'!$H:$H,'RAW_농산물_7월'!$D:$D,$C435,'RAW_농산물_7월'!$A:$A,$E435)))</f>
        <v/>
      </c>
      <c r="O435" s="7" t="str">
        <f>IF($C435="","",IF(COUNTA('RAW_농산물_8월'!$A:$A)&lt;=1,"",SUMIFS('RAW_농산물_8월'!$H:$H,'RAW_농산물_8월'!$D:$D,$C435,'RAW_농산물_8월'!$A:$A,$E435)-SUMIFS('RAW_농산물_7월'!$H:$H,'RAW_농산물_7월'!$D:$D,$C435,'RAW_농산물_7월'!$A:$A,$E435)))</f>
        <v/>
      </c>
      <c r="P435" s="7" t="str">
        <f>IF($C435="","",IF(COUNTA('RAW_농산물_9월'!$A:$A)&lt;=1,"",SUMIFS('RAW_농산물_9월'!$H:$H,'RAW_농산물_9월'!$D:$D,$C435,'RAW_농산물_9월'!$A:$A,$E435)-SUMIFS('RAW_농산물_8월'!$H:$H,'RAW_농산물_8월'!$D:$D,$C435,'RAW_농산물_8월'!$A:$A,$E435)))</f>
        <v/>
      </c>
      <c r="Q435" s="7" t="str">
        <f>IF($C435="","",IF(COUNTA('RAW_농산물_10월'!$A:$A)&lt;=1,"",SUMIFS('RAW_농산물_10월'!$H:$H,'RAW_농산물_10월'!$D:$D,$C435,'RAW_농산물_10월'!$A:$A,$E435)-SUMIFS('RAW_농산물_9월'!$H:$H,'RAW_농산물_9월'!$D:$D,$C435,'RAW_농산물_9월'!$A:$A,$E435)))</f>
        <v/>
      </c>
      <c r="R435" s="7" t="str">
        <f>IF($C435="","",IF(COUNTA('RAW_농산물_11-12월'!$A:$A)&lt;=1,"",SUMIFS('RAW_농산물_11-12월'!$H:$H,'RAW_농산물_11-12월'!$D:$D,$C435,'RAW_농산물_11-12월'!$A:$A,$E435)-SUMIFS('RAW_농산물_10월'!$H:$H,'RAW_농산물_10월'!$D:$D,$C435,'RAW_농산물_10월'!$A:$A,$E435)))</f>
        <v/>
      </c>
      <c r="S435" s="17" t="str">
        <f t="shared" si="4"/>
        <v/>
      </c>
      <c r="T435" s="17" t="str">
        <f t="shared" si="5"/>
        <v/>
      </c>
      <c r="U435" s="7">
        <f>IF($C435="",0,IF('설정'!$B$3=0,0,CHOOSE('설정'!$B$3,COUNTIFS('RAW_농산물_7월'!$D:$D,$C435,'RAW_농산물_7월'!$A:$A,$E435),COUNTIFS('RAW_농산물_8월'!$D:$D,$C435,'RAW_농산물_8월'!$A:$A,$E435),COUNTIFS('RAW_농산물_9월'!$D:$D,$C435,'RAW_농산물_9월'!$A:$A,$E435),COUNTIFS('RAW_농산물_10월'!$D:$D,$C435,'RAW_농산물_10월'!$A:$A,$E435),COUNTIFS('RAW_농산물_11-12월'!$D:$D,$C435,'RAW_농산물_11-12월'!$A:$A,$E435))))</f>
        <v>0</v>
      </c>
    </row>
    <row r="436" ht="15.75" customHeight="1">
      <c r="A436" s="5"/>
      <c r="B436" s="5"/>
      <c r="C436" s="5"/>
      <c r="D436" s="6"/>
      <c r="E436" s="5"/>
      <c r="F436" s="7" t="str">
        <f>IF($C436="","",IF('설정'!$B$3=0,"",CHOOSE('설정'!$B$3,SUMIFS('RAW_농산물_7월'!$F:$F,'RAW_농산물_7월'!$D:$D,$C436,'RAW_농산물_7월'!$A:$A,$E436),SUMIFS('RAW_농산물_8월'!$F:$F,'RAW_농산물_8월'!$D:$D,$C436,'RAW_농산물_8월'!$A:$A,$E436),SUMIFS('RAW_농산물_9월'!$F:$F,'RAW_농산물_9월'!$D:$D,$C436,'RAW_농산물_9월'!$A:$A,$E436),SUMIFS('RAW_농산물_10월'!$F:$F,'RAW_농산물_10월'!$D:$D,$C436,'RAW_농산물_10월'!$A:$A,$E436),SUMIFS('RAW_농산물_11-12월'!$F:$F,'RAW_농산물_11-12월'!$D:$D,$C436,'RAW_농산물_11-12월'!$A:$A,$E436))))</f>
        <v/>
      </c>
      <c r="G436" s="7" t="str">
        <f>IF($C436="","",IF('설정'!$B$3=0,"",CHOOSE('설정'!$B$3,SUMIFS('RAW_농산물_7월'!$G:$G,'RAW_농산물_7월'!$D:$D,$C436,'RAW_농산물_7월'!$A:$A,$E436),SUMIFS('RAW_농산물_8월'!$G:$G,'RAW_농산물_8월'!$D:$D,$C436,'RAW_농산물_8월'!$A:$A,$E436),SUMIFS('RAW_농산물_9월'!$G:$G,'RAW_농산물_9월'!$D:$D,$C436,'RAW_농산물_9월'!$A:$A,$E436),SUMIFS('RAW_농산물_10월'!$G:$G,'RAW_농산물_10월'!$D:$D,$C436,'RAW_농산물_10월'!$A:$A,$E436),SUMIFS('RAW_농산물_11-12월'!$G:$G,'RAW_농산물_11-12월'!$D:$D,$C436,'RAW_농산물_11-12월'!$A:$A,$E436))))</f>
        <v/>
      </c>
      <c r="H436" s="14" t="str">
        <f>IF($C436="","",IF('설정'!$B$3=0,"",CHOOSE('설정'!$B$3,SUMIFS('RAW_농산물_7월'!$H:$H,'RAW_농산물_7월'!$D:$D,$C436,'RAW_농산물_7월'!$A:$A,$E436),SUMIFS('RAW_농산물_8월'!$H:$H,'RAW_농산물_8월'!$D:$D,$C436,'RAW_농산물_8월'!$A:$A,$E436),SUMIFS('RAW_농산물_9월'!$H:$H,'RAW_농산물_9월'!$D:$D,$C436,'RAW_농산물_9월'!$A:$A,$E436),SUMIFS('RAW_농산물_10월'!$H:$H,'RAW_농산물_10월'!$D:$D,$C436,'RAW_농산물_10월'!$A:$A,$E436),SUMIFS('RAW_농산물_11-12월'!$H:$H,'RAW_농산물_11-12월'!$D:$D,$C436,'RAW_농산물_11-12월'!$A:$A,$E436))))</f>
        <v/>
      </c>
      <c r="I436" s="17" t="str">
        <f>IF($C436="","",IF(COUNTIFS('RAW_농산물_7월'!$D:$D,$C436,'RAW_농산물_7월'!$A:$A,$E436)&gt;0,"O",""))</f>
        <v/>
      </c>
      <c r="J436" s="17" t="str">
        <f>IF($C436="","",IF(COUNTIFS('RAW_농산물_8월'!$D:$D,$C436,'RAW_농산물_8월'!$A:$A,$E436)&gt;0,"O",""))</f>
        <v/>
      </c>
      <c r="K436" s="17" t="str">
        <f>IF($C436="","",IF(COUNTIFS('RAW_농산물_9월'!$D:$D,$C436,'RAW_농산물_9월'!$A:$A,$E436)&gt;0,"O",""))</f>
        <v/>
      </c>
      <c r="L436" s="17" t="str">
        <f>IF($C436="","",IF(COUNTIFS('RAW_농산물_10월'!$D:$D,$C436,'RAW_농산물_10월'!$A:$A,$E436)&gt;0,"O",""))</f>
        <v/>
      </c>
      <c r="M436" s="17" t="str">
        <f>IF($C436="","",IF(COUNTIFS('RAW_농산물_11-12월'!$D:$D,$C436,'RAW_농산물_11-12월'!$A:$A,$E436)&gt;0,"O",""))</f>
        <v/>
      </c>
      <c r="N436" s="7" t="str">
        <f>IF($C436="","",IF(COUNTA('RAW_농산물_7월'!$A:$A)&lt;=1,"",SUMIFS('RAW_농산물_7월'!$H:$H,'RAW_농산물_7월'!$D:$D,$C436,'RAW_농산물_7월'!$A:$A,$E436)))</f>
        <v/>
      </c>
      <c r="O436" s="7" t="str">
        <f>IF($C436="","",IF(COUNTA('RAW_농산물_8월'!$A:$A)&lt;=1,"",SUMIFS('RAW_농산물_8월'!$H:$H,'RAW_농산물_8월'!$D:$D,$C436,'RAW_농산물_8월'!$A:$A,$E436)-SUMIFS('RAW_농산물_7월'!$H:$H,'RAW_농산물_7월'!$D:$D,$C436,'RAW_농산물_7월'!$A:$A,$E436)))</f>
        <v/>
      </c>
      <c r="P436" s="7" t="str">
        <f>IF($C436="","",IF(COUNTA('RAW_농산물_9월'!$A:$A)&lt;=1,"",SUMIFS('RAW_농산물_9월'!$H:$H,'RAW_농산물_9월'!$D:$D,$C436,'RAW_농산물_9월'!$A:$A,$E436)-SUMIFS('RAW_농산물_8월'!$H:$H,'RAW_농산물_8월'!$D:$D,$C436,'RAW_농산물_8월'!$A:$A,$E436)))</f>
        <v/>
      </c>
      <c r="Q436" s="7" t="str">
        <f>IF($C436="","",IF(COUNTA('RAW_농산물_10월'!$A:$A)&lt;=1,"",SUMIFS('RAW_농산물_10월'!$H:$H,'RAW_농산물_10월'!$D:$D,$C436,'RAW_농산물_10월'!$A:$A,$E436)-SUMIFS('RAW_농산물_9월'!$H:$H,'RAW_농산물_9월'!$D:$D,$C436,'RAW_농산물_9월'!$A:$A,$E436)))</f>
        <v/>
      </c>
      <c r="R436" s="7" t="str">
        <f>IF($C436="","",IF(COUNTA('RAW_농산물_11-12월'!$A:$A)&lt;=1,"",SUMIFS('RAW_농산물_11-12월'!$H:$H,'RAW_농산물_11-12월'!$D:$D,$C436,'RAW_농산물_11-12월'!$A:$A,$E436)-SUMIFS('RAW_농산물_10월'!$H:$H,'RAW_농산물_10월'!$D:$D,$C436,'RAW_농산물_10월'!$A:$A,$E436)))</f>
        <v/>
      </c>
      <c r="S436" s="17" t="str">
        <f t="shared" si="4"/>
        <v/>
      </c>
      <c r="T436" s="17" t="str">
        <f t="shared" si="5"/>
        <v/>
      </c>
      <c r="U436" s="7">
        <f>IF($C436="",0,IF('설정'!$B$3=0,0,CHOOSE('설정'!$B$3,COUNTIFS('RAW_농산물_7월'!$D:$D,$C436,'RAW_농산물_7월'!$A:$A,$E436),COUNTIFS('RAW_농산물_8월'!$D:$D,$C436,'RAW_농산물_8월'!$A:$A,$E436),COUNTIFS('RAW_농산물_9월'!$D:$D,$C436,'RAW_농산물_9월'!$A:$A,$E436),COUNTIFS('RAW_농산물_10월'!$D:$D,$C436,'RAW_농산물_10월'!$A:$A,$E436),COUNTIFS('RAW_농산물_11-12월'!$D:$D,$C436,'RAW_농산물_11-12월'!$A:$A,$E436))))</f>
        <v>0</v>
      </c>
    </row>
    <row r="437" ht="15.75" customHeight="1">
      <c r="A437" s="5"/>
      <c r="B437" s="5"/>
      <c r="C437" s="5"/>
      <c r="D437" s="6"/>
      <c r="E437" s="5"/>
      <c r="F437" s="7" t="str">
        <f>IF($C437="","",IF('설정'!$B$3=0,"",CHOOSE('설정'!$B$3,SUMIFS('RAW_농산물_7월'!$F:$F,'RAW_농산물_7월'!$D:$D,$C437,'RAW_농산물_7월'!$A:$A,$E437),SUMIFS('RAW_농산물_8월'!$F:$F,'RAW_농산물_8월'!$D:$D,$C437,'RAW_농산물_8월'!$A:$A,$E437),SUMIFS('RAW_농산물_9월'!$F:$F,'RAW_농산물_9월'!$D:$D,$C437,'RAW_농산물_9월'!$A:$A,$E437),SUMIFS('RAW_농산물_10월'!$F:$F,'RAW_농산물_10월'!$D:$D,$C437,'RAW_농산물_10월'!$A:$A,$E437),SUMIFS('RAW_농산물_11-12월'!$F:$F,'RAW_농산물_11-12월'!$D:$D,$C437,'RAW_농산물_11-12월'!$A:$A,$E437))))</f>
        <v/>
      </c>
      <c r="G437" s="7" t="str">
        <f>IF($C437="","",IF('설정'!$B$3=0,"",CHOOSE('설정'!$B$3,SUMIFS('RAW_농산물_7월'!$G:$G,'RAW_농산물_7월'!$D:$D,$C437,'RAW_농산물_7월'!$A:$A,$E437),SUMIFS('RAW_농산물_8월'!$G:$G,'RAW_농산물_8월'!$D:$D,$C437,'RAW_농산물_8월'!$A:$A,$E437),SUMIFS('RAW_농산물_9월'!$G:$G,'RAW_농산물_9월'!$D:$D,$C437,'RAW_농산물_9월'!$A:$A,$E437),SUMIFS('RAW_농산물_10월'!$G:$G,'RAW_농산물_10월'!$D:$D,$C437,'RAW_농산물_10월'!$A:$A,$E437),SUMIFS('RAW_농산물_11-12월'!$G:$G,'RAW_농산물_11-12월'!$D:$D,$C437,'RAW_농산물_11-12월'!$A:$A,$E437))))</f>
        <v/>
      </c>
      <c r="H437" s="14" t="str">
        <f>IF($C437="","",IF('설정'!$B$3=0,"",CHOOSE('설정'!$B$3,SUMIFS('RAW_농산물_7월'!$H:$H,'RAW_농산물_7월'!$D:$D,$C437,'RAW_농산물_7월'!$A:$A,$E437),SUMIFS('RAW_농산물_8월'!$H:$H,'RAW_농산물_8월'!$D:$D,$C437,'RAW_농산물_8월'!$A:$A,$E437),SUMIFS('RAW_농산물_9월'!$H:$H,'RAW_농산물_9월'!$D:$D,$C437,'RAW_농산물_9월'!$A:$A,$E437),SUMIFS('RAW_농산물_10월'!$H:$H,'RAW_농산물_10월'!$D:$D,$C437,'RAW_농산물_10월'!$A:$A,$E437),SUMIFS('RAW_농산물_11-12월'!$H:$H,'RAW_농산물_11-12월'!$D:$D,$C437,'RAW_농산물_11-12월'!$A:$A,$E437))))</f>
        <v/>
      </c>
      <c r="I437" s="17" t="str">
        <f>IF($C437="","",IF(COUNTIFS('RAW_농산물_7월'!$D:$D,$C437,'RAW_농산물_7월'!$A:$A,$E437)&gt;0,"O",""))</f>
        <v/>
      </c>
      <c r="J437" s="17" t="str">
        <f>IF($C437="","",IF(COUNTIFS('RAW_농산물_8월'!$D:$D,$C437,'RAW_농산물_8월'!$A:$A,$E437)&gt;0,"O",""))</f>
        <v/>
      </c>
      <c r="K437" s="17" t="str">
        <f>IF($C437="","",IF(COUNTIFS('RAW_농산물_9월'!$D:$D,$C437,'RAW_농산물_9월'!$A:$A,$E437)&gt;0,"O",""))</f>
        <v/>
      </c>
      <c r="L437" s="17" t="str">
        <f>IF($C437="","",IF(COUNTIFS('RAW_농산물_10월'!$D:$D,$C437,'RAW_농산물_10월'!$A:$A,$E437)&gt;0,"O",""))</f>
        <v/>
      </c>
      <c r="M437" s="17" t="str">
        <f>IF($C437="","",IF(COUNTIFS('RAW_농산물_11-12월'!$D:$D,$C437,'RAW_농산물_11-12월'!$A:$A,$E437)&gt;0,"O",""))</f>
        <v/>
      </c>
      <c r="N437" s="7" t="str">
        <f>IF($C437="","",IF(COUNTA('RAW_농산물_7월'!$A:$A)&lt;=1,"",SUMIFS('RAW_농산물_7월'!$H:$H,'RAW_농산물_7월'!$D:$D,$C437,'RAW_농산물_7월'!$A:$A,$E437)))</f>
        <v/>
      </c>
      <c r="O437" s="7" t="str">
        <f>IF($C437="","",IF(COUNTA('RAW_농산물_8월'!$A:$A)&lt;=1,"",SUMIFS('RAW_농산물_8월'!$H:$H,'RAW_농산물_8월'!$D:$D,$C437,'RAW_농산물_8월'!$A:$A,$E437)-SUMIFS('RAW_농산물_7월'!$H:$H,'RAW_농산물_7월'!$D:$D,$C437,'RAW_농산물_7월'!$A:$A,$E437)))</f>
        <v/>
      </c>
      <c r="P437" s="7" t="str">
        <f>IF($C437="","",IF(COUNTA('RAW_농산물_9월'!$A:$A)&lt;=1,"",SUMIFS('RAW_농산물_9월'!$H:$H,'RAW_농산물_9월'!$D:$D,$C437,'RAW_농산물_9월'!$A:$A,$E437)-SUMIFS('RAW_농산물_8월'!$H:$H,'RAW_농산물_8월'!$D:$D,$C437,'RAW_농산물_8월'!$A:$A,$E437)))</f>
        <v/>
      </c>
      <c r="Q437" s="7" t="str">
        <f>IF($C437="","",IF(COUNTA('RAW_농산물_10월'!$A:$A)&lt;=1,"",SUMIFS('RAW_농산물_10월'!$H:$H,'RAW_농산물_10월'!$D:$D,$C437,'RAW_농산물_10월'!$A:$A,$E437)-SUMIFS('RAW_농산물_9월'!$H:$H,'RAW_농산물_9월'!$D:$D,$C437,'RAW_농산물_9월'!$A:$A,$E437)))</f>
        <v/>
      </c>
      <c r="R437" s="7" t="str">
        <f>IF($C437="","",IF(COUNTA('RAW_농산물_11-12월'!$A:$A)&lt;=1,"",SUMIFS('RAW_농산물_11-12월'!$H:$H,'RAW_농산물_11-12월'!$D:$D,$C437,'RAW_농산물_11-12월'!$A:$A,$E437)-SUMIFS('RAW_농산물_10월'!$H:$H,'RAW_농산물_10월'!$D:$D,$C437,'RAW_농산물_10월'!$A:$A,$E437)))</f>
        <v/>
      </c>
      <c r="S437" s="17" t="str">
        <f t="shared" si="4"/>
        <v/>
      </c>
      <c r="T437" s="17" t="str">
        <f t="shared" si="5"/>
        <v/>
      </c>
      <c r="U437" s="7">
        <f>IF($C437="",0,IF('설정'!$B$3=0,0,CHOOSE('설정'!$B$3,COUNTIFS('RAW_농산물_7월'!$D:$D,$C437,'RAW_농산물_7월'!$A:$A,$E437),COUNTIFS('RAW_농산물_8월'!$D:$D,$C437,'RAW_농산물_8월'!$A:$A,$E437),COUNTIFS('RAW_농산물_9월'!$D:$D,$C437,'RAW_농산물_9월'!$A:$A,$E437),COUNTIFS('RAW_농산물_10월'!$D:$D,$C437,'RAW_농산물_10월'!$A:$A,$E437),COUNTIFS('RAW_농산물_11-12월'!$D:$D,$C437,'RAW_농산물_11-12월'!$A:$A,$E437))))</f>
        <v>0</v>
      </c>
    </row>
    <row r="438" ht="15.75" customHeight="1">
      <c r="A438" s="5"/>
      <c r="B438" s="5"/>
      <c r="C438" s="5"/>
      <c r="D438" s="6"/>
      <c r="E438" s="5"/>
      <c r="F438" s="7" t="str">
        <f>IF($C438="","",IF('설정'!$B$3=0,"",CHOOSE('설정'!$B$3,SUMIFS('RAW_농산물_7월'!$F:$F,'RAW_농산물_7월'!$D:$D,$C438,'RAW_농산물_7월'!$A:$A,$E438),SUMIFS('RAW_농산물_8월'!$F:$F,'RAW_농산물_8월'!$D:$D,$C438,'RAW_농산물_8월'!$A:$A,$E438),SUMIFS('RAW_농산물_9월'!$F:$F,'RAW_농산물_9월'!$D:$D,$C438,'RAW_농산물_9월'!$A:$A,$E438),SUMIFS('RAW_농산물_10월'!$F:$F,'RAW_농산물_10월'!$D:$D,$C438,'RAW_농산물_10월'!$A:$A,$E438),SUMIFS('RAW_농산물_11-12월'!$F:$F,'RAW_농산물_11-12월'!$D:$D,$C438,'RAW_농산물_11-12월'!$A:$A,$E438))))</f>
        <v/>
      </c>
      <c r="G438" s="7" t="str">
        <f>IF($C438="","",IF('설정'!$B$3=0,"",CHOOSE('설정'!$B$3,SUMIFS('RAW_농산물_7월'!$G:$G,'RAW_농산물_7월'!$D:$D,$C438,'RAW_농산물_7월'!$A:$A,$E438),SUMIFS('RAW_농산물_8월'!$G:$G,'RAW_농산물_8월'!$D:$D,$C438,'RAW_농산물_8월'!$A:$A,$E438),SUMIFS('RAW_농산물_9월'!$G:$G,'RAW_농산물_9월'!$D:$D,$C438,'RAW_농산물_9월'!$A:$A,$E438),SUMIFS('RAW_농산물_10월'!$G:$G,'RAW_농산물_10월'!$D:$D,$C438,'RAW_농산물_10월'!$A:$A,$E438),SUMIFS('RAW_농산물_11-12월'!$G:$G,'RAW_농산물_11-12월'!$D:$D,$C438,'RAW_농산물_11-12월'!$A:$A,$E438))))</f>
        <v/>
      </c>
      <c r="H438" s="14" t="str">
        <f>IF($C438="","",IF('설정'!$B$3=0,"",CHOOSE('설정'!$B$3,SUMIFS('RAW_농산물_7월'!$H:$H,'RAW_농산물_7월'!$D:$D,$C438,'RAW_농산물_7월'!$A:$A,$E438),SUMIFS('RAW_농산물_8월'!$H:$H,'RAW_농산물_8월'!$D:$D,$C438,'RAW_농산물_8월'!$A:$A,$E438),SUMIFS('RAW_농산물_9월'!$H:$H,'RAW_농산물_9월'!$D:$D,$C438,'RAW_농산물_9월'!$A:$A,$E438),SUMIFS('RAW_농산물_10월'!$H:$H,'RAW_농산물_10월'!$D:$D,$C438,'RAW_농산물_10월'!$A:$A,$E438),SUMIFS('RAW_농산물_11-12월'!$H:$H,'RAW_농산물_11-12월'!$D:$D,$C438,'RAW_농산물_11-12월'!$A:$A,$E438))))</f>
        <v/>
      </c>
      <c r="I438" s="17" t="str">
        <f>IF($C438="","",IF(COUNTIFS('RAW_농산물_7월'!$D:$D,$C438,'RAW_농산물_7월'!$A:$A,$E438)&gt;0,"O",""))</f>
        <v/>
      </c>
      <c r="J438" s="17" t="str">
        <f>IF($C438="","",IF(COUNTIFS('RAW_농산물_8월'!$D:$D,$C438,'RAW_농산물_8월'!$A:$A,$E438)&gt;0,"O",""))</f>
        <v/>
      </c>
      <c r="K438" s="17" t="str">
        <f>IF($C438="","",IF(COUNTIFS('RAW_농산물_9월'!$D:$D,$C438,'RAW_농산물_9월'!$A:$A,$E438)&gt;0,"O",""))</f>
        <v/>
      </c>
      <c r="L438" s="17" t="str">
        <f>IF($C438="","",IF(COUNTIFS('RAW_농산물_10월'!$D:$D,$C438,'RAW_농산물_10월'!$A:$A,$E438)&gt;0,"O",""))</f>
        <v/>
      </c>
      <c r="M438" s="17" t="str">
        <f>IF($C438="","",IF(COUNTIFS('RAW_농산물_11-12월'!$D:$D,$C438,'RAW_농산물_11-12월'!$A:$A,$E438)&gt;0,"O",""))</f>
        <v/>
      </c>
      <c r="N438" s="7" t="str">
        <f>IF($C438="","",IF(COUNTA('RAW_농산물_7월'!$A:$A)&lt;=1,"",SUMIFS('RAW_농산물_7월'!$H:$H,'RAW_농산물_7월'!$D:$D,$C438,'RAW_농산물_7월'!$A:$A,$E438)))</f>
        <v/>
      </c>
      <c r="O438" s="7" t="str">
        <f>IF($C438="","",IF(COUNTA('RAW_농산물_8월'!$A:$A)&lt;=1,"",SUMIFS('RAW_농산물_8월'!$H:$H,'RAW_농산물_8월'!$D:$D,$C438,'RAW_농산물_8월'!$A:$A,$E438)-SUMIFS('RAW_농산물_7월'!$H:$H,'RAW_농산물_7월'!$D:$D,$C438,'RAW_농산물_7월'!$A:$A,$E438)))</f>
        <v/>
      </c>
      <c r="P438" s="7" t="str">
        <f>IF($C438="","",IF(COUNTA('RAW_농산물_9월'!$A:$A)&lt;=1,"",SUMIFS('RAW_농산물_9월'!$H:$H,'RAW_농산물_9월'!$D:$D,$C438,'RAW_농산물_9월'!$A:$A,$E438)-SUMIFS('RAW_농산물_8월'!$H:$H,'RAW_농산물_8월'!$D:$D,$C438,'RAW_농산물_8월'!$A:$A,$E438)))</f>
        <v/>
      </c>
      <c r="Q438" s="7" t="str">
        <f>IF($C438="","",IF(COUNTA('RAW_농산물_10월'!$A:$A)&lt;=1,"",SUMIFS('RAW_농산물_10월'!$H:$H,'RAW_농산물_10월'!$D:$D,$C438,'RAW_농산물_10월'!$A:$A,$E438)-SUMIFS('RAW_농산물_9월'!$H:$H,'RAW_농산물_9월'!$D:$D,$C438,'RAW_농산물_9월'!$A:$A,$E438)))</f>
        <v/>
      </c>
      <c r="R438" s="7" t="str">
        <f>IF($C438="","",IF(COUNTA('RAW_농산물_11-12월'!$A:$A)&lt;=1,"",SUMIFS('RAW_농산물_11-12월'!$H:$H,'RAW_농산물_11-12월'!$D:$D,$C438,'RAW_농산물_11-12월'!$A:$A,$E438)-SUMIFS('RAW_농산물_10월'!$H:$H,'RAW_농산물_10월'!$D:$D,$C438,'RAW_농산물_10월'!$A:$A,$E438)))</f>
        <v/>
      </c>
      <c r="S438" s="17" t="str">
        <f t="shared" si="4"/>
        <v/>
      </c>
      <c r="T438" s="17" t="str">
        <f t="shared" si="5"/>
        <v/>
      </c>
      <c r="U438" s="7">
        <f>IF($C438="",0,IF('설정'!$B$3=0,0,CHOOSE('설정'!$B$3,COUNTIFS('RAW_농산물_7월'!$D:$D,$C438,'RAW_농산물_7월'!$A:$A,$E438),COUNTIFS('RAW_농산물_8월'!$D:$D,$C438,'RAW_농산물_8월'!$A:$A,$E438),COUNTIFS('RAW_농산물_9월'!$D:$D,$C438,'RAW_농산물_9월'!$A:$A,$E438),COUNTIFS('RAW_농산물_10월'!$D:$D,$C438,'RAW_농산물_10월'!$A:$A,$E438),COUNTIFS('RAW_농산물_11-12월'!$D:$D,$C438,'RAW_농산물_11-12월'!$A:$A,$E438))))</f>
        <v>0</v>
      </c>
    </row>
    <row r="439" ht="15.75" customHeight="1">
      <c r="A439" s="5"/>
      <c r="B439" s="5"/>
      <c r="C439" s="5"/>
      <c r="D439" s="6"/>
      <c r="E439" s="5"/>
      <c r="F439" s="7" t="str">
        <f>IF($C439="","",IF('설정'!$B$3=0,"",CHOOSE('설정'!$B$3,SUMIFS('RAW_농산물_7월'!$F:$F,'RAW_농산물_7월'!$D:$D,$C439,'RAW_농산물_7월'!$A:$A,$E439),SUMIFS('RAW_농산물_8월'!$F:$F,'RAW_농산물_8월'!$D:$D,$C439,'RAW_농산물_8월'!$A:$A,$E439),SUMIFS('RAW_농산물_9월'!$F:$F,'RAW_농산물_9월'!$D:$D,$C439,'RAW_농산물_9월'!$A:$A,$E439),SUMIFS('RAW_농산물_10월'!$F:$F,'RAW_농산물_10월'!$D:$D,$C439,'RAW_농산물_10월'!$A:$A,$E439),SUMIFS('RAW_농산물_11-12월'!$F:$F,'RAW_농산물_11-12월'!$D:$D,$C439,'RAW_농산물_11-12월'!$A:$A,$E439))))</f>
        <v/>
      </c>
      <c r="G439" s="7" t="str">
        <f>IF($C439="","",IF('설정'!$B$3=0,"",CHOOSE('설정'!$B$3,SUMIFS('RAW_농산물_7월'!$G:$G,'RAW_농산물_7월'!$D:$D,$C439,'RAW_농산물_7월'!$A:$A,$E439),SUMIFS('RAW_농산물_8월'!$G:$G,'RAW_농산물_8월'!$D:$D,$C439,'RAW_농산물_8월'!$A:$A,$E439),SUMIFS('RAW_농산물_9월'!$G:$G,'RAW_농산물_9월'!$D:$D,$C439,'RAW_농산물_9월'!$A:$A,$E439),SUMIFS('RAW_농산물_10월'!$G:$G,'RAW_농산물_10월'!$D:$D,$C439,'RAW_농산물_10월'!$A:$A,$E439),SUMIFS('RAW_농산물_11-12월'!$G:$G,'RAW_농산물_11-12월'!$D:$D,$C439,'RAW_농산물_11-12월'!$A:$A,$E439))))</f>
        <v/>
      </c>
      <c r="H439" s="14" t="str">
        <f>IF($C439="","",IF('설정'!$B$3=0,"",CHOOSE('설정'!$B$3,SUMIFS('RAW_농산물_7월'!$H:$H,'RAW_농산물_7월'!$D:$D,$C439,'RAW_농산물_7월'!$A:$A,$E439),SUMIFS('RAW_농산물_8월'!$H:$H,'RAW_농산물_8월'!$D:$D,$C439,'RAW_농산물_8월'!$A:$A,$E439),SUMIFS('RAW_농산물_9월'!$H:$H,'RAW_농산물_9월'!$D:$D,$C439,'RAW_농산물_9월'!$A:$A,$E439),SUMIFS('RAW_농산물_10월'!$H:$H,'RAW_농산물_10월'!$D:$D,$C439,'RAW_농산물_10월'!$A:$A,$E439),SUMIFS('RAW_농산물_11-12월'!$H:$H,'RAW_농산물_11-12월'!$D:$D,$C439,'RAW_농산물_11-12월'!$A:$A,$E439))))</f>
        <v/>
      </c>
      <c r="I439" s="17" t="str">
        <f>IF($C439="","",IF(COUNTIFS('RAW_농산물_7월'!$D:$D,$C439,'RAW_농산물_7월'!$A:$A,$E439)&gt;0,"O",""))</f>
        <v/>
      </c>
      <c r="J439" s="17" t="str">
        <f>IF($C439="","",IF(COUNTIFS('RAW_농산물_8월'!$D:$D,$C439,'RAW_농산물_8월'!$A:$A,$E439)&gt;0,"O",""))</f>
        <v/>
      </c>
      <c r="K439" s="17" t="str">
        <f>IF($C439="","",IF(COUNTIFS('RAW_농산물_9월'!$D:$D,$C439,'RAW_농산물_9월'!$A:$A,$E439)&gt;0,"O",""))</f>
        <v/>
      </c>
      <c r="L439" s="17" t="str">
        <f>IF($C439="","",IF(COUNTIFS('RAW_농산물_10월'!$D:$D,$C439,'RAW_농산물_10월'!$A:$A,$E439)&gt;0,"O",""))</f>
        <v/>
      </c>
      <c r="M439" s="17" t="str">
        <f>IF($C439="","",IF(COUNTIFS('RAW_농산물_11-12월'!$D:$D,$C439,'RAW_농산물_11-12월'!$A:$A,$E439)&gt;0,"O",""))</f>
        <v/>
      </c>
      <c r="N439" s="7" t="str">
        <f>IF($C439="","",IF(COUNTA('RAW_농산물_7월'!$A:$A)&lt;=1,"",SUMIFS('RAW_농산물_7월'!$H:$H,'RAW_농산물_7월'!$D:$D,$C439,'RAW_농산물_7월'!$A:$A,$E439)))</f>
        <v/>
      </c>
      <c r="O439" s="7" t="str">
        <f>IF($C439="","",IF(COUNTA('RAW_농산물_8월'!$A:$A)&lt;=1,"",SUMIFS('RAW_농산물_8월'!$H:$H,'RAW_농산물_8월'!$D:$D,$C439,'RAW_농산물_8월'!$A:$A,$E439)-SUMIFS('RAW_농산물_7월'!$H:$H,'RAW_농산물_7월'!$D:$D,$C439,'RAW_농산물_7월'!$A:$A,$E439)))</f>
        <v/>
      </c>
      <c r="P439" s="7" t="str">
        <f>IF($C439="","",IF(COUNTA('RAW_농산물_9월'!$A:$A)&lt;=1,"",SUMIFS('RAW_농산물_9월'!$H:$H,'RAW_농산물_9월'!$D:$D,$C439,'RAW_농산물_9월'!$A:$A,$E439)-SUMIFS('RAW_농산물_8월'!$H:$H,'RAW_농산물_8월'!$D:$D,$C439,'RAW_농산물_8월'!$A:$A,$E439)))</f>
        <v/>
      </c>
      <c r="Q439" s="7" t="str">
        <f>IF($C439="","",IF(COUNTA('RAW_농산물_10월'!$A:$A)&lt;=1,"",SUMIFS('RAW_농산물_10월'!$H:$H,'RAW_농산물_10월'!$D:$D,$C439,'RAW_농산물_10월'!$A:$A,$E439)-SUMIFS('RAW_농산물_9월'!$H:$H,'RAW_농산물_9월'!$D:$D,$C439,'RAW_농산물_9월'!$A:$A,$E439)))</f>
        <v/>
      </c>
      <c r="R439" s="7" t="str">
        <f>IF($C439="","",IF(COUNTA('RAW_농산물_11-12월'!$A:$A)&lt;=1,"",SUMIFS('RAW_농산물_11-12월'!$H:$H,'RAW_농산물_11-12월'!$D:$D,$C439,'RAW_농산물_11-12월'!$A:$A,$E439)-SUMIFS('RAW_농산물_10월'!$H:$H,'RAW_농산물_10월'!$D:$D,$C439,'RAW_농산물_10월'!$A:$A,$E439)))</f>
        <v/>
      </c>
      <c r="S439" s="17" t="str">
        <f t="shared" si="4"/>
        <v/>
      </c>
      <c r="T439" s="17" t="str">
        <f t="shared" si="5"/>
        <v/>
      </c>
      <c r="U439" s="7">
        <f>IF($C439="",0,IF('설정'!$B$3=0,0,CHOOSE('설정'!$B$3,COUNTIFS('RAW_농산물_7월'!$D:$D,$C439,'RAW_농산물_7월'!$A:$A,$E439),COUNTIFS('RAW_농산물_8월'!$D:$D,$C439,'RAW_농산물_8월'!$A:$A,$E439),COUNTIFS('RAW_농산물_9월'!$D:$D,$C439,'RAW_농산물_9월'!$A:$A,$E439),COUNTIFS('RAW_농산물_10월'!$D:$D,$C439,'RAW_농산물_10월'!$A:$A,$E439),COUNTIFS('RAW_농산물_11-12월'!$D:$D,$C439,'RAW_농산물_11-12월'!$A:$A,$E439))))</f>
        <v>0</v>
      </c>
    </row>
    <row r="440" ht="15.75" customHeight="1">
      <c r="A440" s="5"/>
      <c r="B440" s="5"/>
      <c r="C440" s="5"/>
      <c r="D440" s="6"/>
      <c r="E440" s="5"/>
      <c r="F440" s="7" t="str">
        <f>IF($C440="","",IF('설정'!$B$3=0,"",CHOOSE('설정'!$B$3,SUMIFS('RAW_농산물_7월'!$F:$F,'RAW_농산물_7월'!$D:$D,$C440,'RAW_농산물_7월'!$A:$A,$E440),SUMIFS('RAW_농산물_8월'!$F:$F,'RAW_농산물_8월'!$D:$D,$C440,'RAW_농산물_8월'!$A:$A,$E440),SUMIFS('RAW_농산물_9월'!$F:$F,'RAW_농산물_9월'!$D:$D,$C440,'RAW_농산물_9월'!$A:$A,$E440),SUMIFS('RAW_농산물_10월'!$F:$F,'RAW_농산물_10월'!$D:$D,$C440,'RAW_농산물_10월'!$A:$A,$E440),SUMIFS('RAW_농산물_11-12월'!$F:$F,'RAW_농산물_11-12월'!$D:$D,$C440,'RAW_농산물_11-12월'!$A:$A,$E440))))</f>
        <v/>
      </c>
      <c r="G440" s="7" t="str">
        <f>IF($C440="","",IF('설정'!$B$3=0,"",CHOOSE('설정'!$B$3,SUMIFS('RAW_농산물_7월'!$G:$G,'RAW_농산물_7월'!$D:$D,$C440,'RAW_농산물_7월'!$A:$A,$E440),SUMIFS('RAW_농산물_8월'!$G:$G,'RAW_농산물_8월'!$D:$D,$C440,'RAW_농산물_8월'!$A:$A,$E440),SUMIFS('RAW_농산물_9월'!$G:$G,'RAW_농산물_9월'!$D:$D,$C440,'RAW_농산물_9월'!$A:$A,$E440),SUMIFS('RAW_농산물_10월'!$G:$G,'RAW_농산물_10월'!$D:$D,$C440,'RAW_농산물_10월'!$A:$A,$E440),SUMIFS('RAW_농산물_11-12월'!$G:$G,'RAW_농산물_11-12월'!$D:$D,$C440,'RAW_농산물_11-12월'!$A:$A,$E440))))</f>
        <v/>
      </c>
      <c r="H440" s="14" t="str">
        <f>IF($C440="","",IF('설정'!$B$3=0,"",CHOOSE('설정'!$B$3,SUMIFS('RAW_농산물_7월'!$H:$H,'RAW_농산물_7월'!$D:$D,$C440,'RAW_농산물_7월'!$A:$A,$E440),SUMIFS('RAW_농산물_8월'!$H:$H,'RAW_농산물_8월'!$D:$D,$C440,'RAW_농산물_8월'!$A:$A,$E440),SUMIFS('RAW_농산물_9월'!$H:$H,'RAW_농산물_9월'!$D:$D,$C440,'RAW_농산물_9월'!$A:$A,$E440),SUMIFS('RAW_농산물_10월'!$H:$H,'RAW_농산물_10월'!$D:$D,$C440,'RAW_농산물_10월'!$A:$A,$E440),SUMIFS('RAW_농산물_11-12월'!$H:$H,'RAW_농산물_11-12월'!$D:$D,$C440,'RAW_농산물_11-12월'!$A:$A,$E440))))</f>
        <v/>
      </c>
      <c r="I440" s="17" t="str">
        <f>IF($C440="","",IF(COUNTIFS('RAW_농산물_7월'!$D:$D,$C440,'RAW_농산물_7월'!$A:$A,$E440)&gt;0,"O",""))</f>
        <v/>
      </c>
      <c r="J440" s="17" t="str">
        <f>IF($C440="","",IF(COUNTIFS('RAW_농산물_8월'!$D:$D,$C440,'RAW_농산물_8월'!$A:$A,$E440)&gt;0,"O",""))</f>
        <v/>
      </c>
      <c r="K440" s="17" t="str">
        <f>IF($C440="","",IF(COUNTIFS('RAW_농산물_9월'!$D:$D,$C440,'RAW_농산물_9월'!$A:$A,$E440)&gt;0,"O",""))</f>
        <v/>
      </c>
      <c r="L440" s="17" t="str">
        <f>IF($C440="","",IF(COUNTIFS('RAW_농산물_10월'!$D:$D,$C440,'RAW_농산물_10월'!$A:$A,$E440)&gt;0,"O",""))</f>
        <v/>
      </c>
      <c r="M440" s="17" t="str">
        <f>IF($C440="","",IF(COUNTIFS('RAW_농산물_11-12월'!$D:$D,$C440,'RAW_농산물_11-12월'!$A:$A,$E440)&gt;0,"O",""))</f>
        <v/>
      </c>
      <c r="N440" s="7" t="str">
        <f>IF($C440="","",IF(COUNTA('RAW_농산물_7월'!$A:$A)&lt;=1,"",SUMIFS('RAW_농산물_7월'!$H:$H,'RAW_농산물_7월'!$D:$D,$C440,'RAW_농산물_7월'!$A:$A,$E440)))</f>
        <v/>
      </c>
      <c r="O440" s="7" t="str">
        <f>IF($C440="","",IF(COUNTA('RAW_농산물_8월'!$A:$A)&lt;=1,"",SUMIFS('RAW_농산물_8월'!$H:$H,'RAW_농산물_8월'!$D:$D,$C440,'RAW_농산물_8월'!$A:$A,$E440)-SUMIFS('RAW_농산물_7월'!$H:$H,'RAW_농산물_7월'!$D:$D,$C440,'RAW_농산물_7월'!$A:$A,$E440)))</f>
        <v/>
      </c>
      <c r="P440" s="7" t="str">
        <f>IF($C440="","",IF(COUNTA('RAW_농산물_9월'!$A:$A)&lt;=1,"",SUMIFS('RAW_농산물_9월'!$H:$H,'RAW_농산물_9월'!$D:$D,$C440,'RAW_농산물_9월'!$A:$A,$E440)-SUMIFS('RAW_농산물_8월'!$H:$H,'RAW_농산물_8월'!$D:$D,$C440,'RAW_농산물_8월'!$A:$A,$E440)))</f>
        <v/>
      </c>
      <c r="Q440" s="7" t="str">
        <f>IF($C440="","",IF(COUNTA('RAW_농산물_10월'!$A:$A)&lt;=1,"",SUMIFS('RAW_농산물_10월'!$H:$H,'RAW_농산물_10월'!$D:$D,$C440,'RAW_농산물_10월'!$A:$A,$E440)-SUMIFS('RAW_농산물_9월'!$H:$H,'RAW_농산물_9월'!$D:$D,$C440,'RAW_농산물_9월'!$A:$A,$E440)))</f>
        <v/>
      </c>
      <c r="R440" s="7" t="str">
        <f>IF($C440="","",IF(COUNTA('RAW_농산물_11-12월'!$A:$A)&lt;=1,"",SUMIFS('RAW_농산물_11-12월'!$H:$H,'RAW_농산물_11-12월'!$D:$D,$C440,'RAW_농산물_11-12월'!$A:$A,$E440)-SUMIFS('RAW_농산물_10월'!$H:$H,'RAW_농산물_10월'!$D:$D,$C440,'RAW_농산물_10월'!$A:$A,$E440)))</f>
        <v/>
      </c>
      <c r="S440" s="17" t="str">
        <f t="shared" si="4"/>
        <v/>
      </c>
      <c r="T440" s="17" t="str">
        <f t="shared" si="5"/>
        <v/>
      </c>
      <c r="U440" s="7">
        <f>IF($C440="",0,IF('설정'!$B$3=0,0,CHOOSE('설정'!$B$3,COUNTIFS('RAW_농산물_7월'!$D:$D,$C440,'RAW_농산물_7월'!$A:$A,$E440),COUNTIFS('RAW_농산물_8월'!$D:$D,$C440,'RAW_농산물_8월'!$A:$A,$E440),COUNTIFS('RAW_농산물_9월'!$D:$D,$C440,'RAW_농산물_9월'!$A:$A,$E440),COUNTIFS('RAW_농산물_10월'!$D:$D,$C440,'RAW_농산물_10월'!$A:$A,$E440),COUNTIFS('RAW_농산물_11-12월'!$D:$D,$C440,'RAW_농산물_11-12월'!$A:$A,$E440))))</f>
        <v>0</v>
      </c>
    </row>
    <row r="441" ht="15.75" customHeight="1">
      <c r="A441" s="5"/>
      <c r="B441" s="5"/>
      <c r="C441" s="5"/>
      <c r="D441" s="6"/>
      <c r="E441" s="5"/>
      <c r="F441" s="7" t="str">
        <f>IF($C441="","",IF('설정'!$B$3=0,"",CHOOSE('설정'!$B$3,SUMIFS('RAW_농산물_7월'!$F:$F,'RAW_농산물_7월'!$D:$D,$C441,'RAW_농산물_7월'!$A:$A,$E441),SUMIFS('RAW_농산물_8월'!$F:$F,'RAW_농산물_8월'!$D:$D,$C441,'RAW_농산물_8월'!$A:$A,$E441),SUMIFS('RAW_농산물_9월'!$F:$F,'RAW_농산물_9월'!$D:$D,$C441,'RAW_농산물_9월'!$A:$A,$E441),SUMIFS('RAW_농산물_10월'!$F:$F,'RAW_농산물_10월'!$D:$D,$C441,'RAW_농산물_10월'!$A:$A,$E441),SUMIFS('RAW_농산물_11-12월'!$F:$F,'RAW_농산물_11-12월'!$D:$D,$C441,'RAW_농산물_11-12월'!$A:$A,$E441))))</f>
        <v/>
      </c>
      <c r="G441" s="7" t="str">
        <f>IF($C441="","",IF('설정'!$B$3=0,"",CHOOSE('설정'!$B$3,SUMIFS('RAW_농산물_7월'!$G:$G,'RAW_농산물_7월'!$D:$D,$C441,'RAW_농산물_7월'!$A:$A,$E441),SUMIFS('RAW_농산물_8월'!$G:$G,'RAW_농산물_8월'!$D:$D,$C441,'RAW_농산물_8월'!$A:$A,$E441),SUMIFS('RAW_농산물_9월'!$G:$G,'RAW_농산물_9월'!$D:$D,$C441,'RAW_농산물_9월'!$A:$A,$E441),SUMIFS('RAW_농산물_10월'!$G:$G,'RAW_농산물_10월'!$D:$D,$C441,'RAW_농산물_10월'!$A:$A,$E441),SUMIFS('RAW_농산물_11-12월'!$G:$G,'RAW_농산물_11-12월'!$D:$D,$C441,'RAW_농산물_11-12월'!$A:$A,$E441))))</f>
        <v/>
      </c>
      <c r="H441" s="14" t="str">
        <f>IF($C441="","",IF('설정'!$B$3=0,"",CHOOSE('설정'!$B$3,SUMIFS('RAW_농산물_7월'!$H:$H,'RAW_농산물_7월'!$D:$D,$C441,'RAW_농산물_7월'!$A:$A,$E441),SUMIFS('RAW_농산물_8월'!$H:$H,'RAW_농산물_8월'!$D:$D,$C441,'RAW_농산물_8월'!$A:$A,$E441),SUMIFS('RAW_농산물_9월'!$H:$H,'RAW_농산물_9월'!$D:$D,$C441,'RAW_농산물_9월'!$A:$A,$E441),SUMIFS('RAW_농산물_10월'!$H:$H,'RAW_농산물_10월'!$D:$D,$C441,'RAW_농산물_10월'!$A:$A,$E441),SUMIFS('RAW_농산물_11-12월'!$H:$H,'RAW_농산물_11-12월'!$D:$D,$C441,'RAW_농산물_11-12월'!$A:$A,$E441))))</f>
        <v/>
      </c>
      <c r="I441" s="17" t="str">
        <f>IF($C441="","",IF(COUNTIFS('RAW_농산물_7월'!$D:$D,$C441,'RAW_농산물_7월'!$A:$A,$E441)&gt;0,"O",""))</f>
        <v/>
      </c>
      <c r="J441" s="17" t="str">
        <f>IF($C441="","",IF(COUNTIFS('RAW_농산물_8월'!$D:$D,$C441,'RAW_농산물_8월'!$A:$A,$E441)&gt;0,"O",""))</f>
        <v/>
      </c>
      <c r="K441" s="17" t="str">
        <f>IF($C441="","",IF(COUNTIFS('RAW_농산물_9월'!$D:$D,$C441,'RAW_농산물_9월'!$A:$A,$E441)&gt;0,"O",""))</f>
        <v/>
      </c>
      <c r="L441" s="17" t="str">
        <f>IF($C441="","",IF(COUNTIFS('RAW_농산물_10월'!$D:$D,$C441,'RAW_농산물_10월'!$A:$A,$E441)&gt;0,"O",""))</f>
        <v/>
      </c>
      <c r="M441" s="17" t="str">
        <f>IF($C441="","",IF(COUNTIFS('RAW_농산물_11-12월'!$D:$D,$C441,'RAW_농산물_11-12월'!$A:$A,$E441)&gt;0,"O",""))</f>
        <v/>
      </c>
      <c r="N441" s="7" t="str">
        <f>IF($C441="","",IF(COUNTA('RAW_농산물_7월'!$A:$A)&lt;=1,"",SUMIFS('RAW_농산물_7월'!$H:$H,'RAW_농산물_7월'!$D:$D,$C441,'RAW_농산물_7월'!$A:$A,$E441)))</f>
        <v/>
      </c>
      <c r="O441" s="7" t="str">
        <f>IF($C441="","",IF(COUNTA('RAW_농산물_8월'!$A:$A)&lt;=1,"",SUMIFS('RAW_농산물_8월'!$H:$H,'RAW_농산물_8월'!$D:$D,$C441,'RAW_농산물_8월'!$A:$A,$E441)-SUMIFS('RAW_농산물_7월'!$H:$H,'RAW_농산물_7월'!$D:$D,$C441,'RAW_농산물_7월'!$A:$A,$E441)))</f>
        <v/>
      </c>
      <c r="P441" s="7" t="str">
        <f>IF($C441="","",IF(COUNTA('RAW_농산물_9월'!$A:$A)&lt;=1,"",SUMIFS('RAW_농산물_9월'!$H:$H,'RAW_농산물_9월'!$D:$D,$C441,'RAW_농산물_9월'!$A:$A,$E441)-SUMIFS('RAW_농산물_8월'!$H:$H,'RAW_농산물_8월'!$D:$D,$C441,'RAW_농산물_8월'!$A:$A,$E441)))</f>
        <v/>
      </c>
      <c r="Q441" s="7" t="str">
        <f>IF($C441="","",IF(COUNTA('RAW_농산물_10월'!$A:$A)&lt;=1,"",SUMIFS('RAW_농산물_10월'!$H:$H,'RAW_농산물_10월'!$D:$D,$C441,'RAW_농산물_10월'!$A:$A,$E441)-SUMIFS('RAW_농산물_9월'!$H:$H,'RAW_농산물_9월'!$D:$D,$C441,'RAW_농산물_9월'!$A:$A,$E441)))</f>
        <v/>
      </c>
      <c r="R441" s="7" t="str">
        <f>IF($C441="","",IF(COUNTA('RAW_농산물_11-12월'!$A:$A)&lt;=1,"",SUMIFS('RAW_농산물_11-12월'!$H:$H,'RAW_농산물_11-12월'!$D:$D,$C441,'RAW_농산물_11-12월'!$A:$A,$E441)-SUMIFS('RAW_농산물_10월'!$H:$H,'RAW_농산물_10월'!$D:$D,$C441,'RAW_농산물_10월'!$A:$A,$E441)))</f>
        <v/>
      </c>
      <c r="S441" s="17" t="str">
        <f t="shared" si="4"/>
        <v/>
      </c>
      <c r="T441" s="17" t="str">
        <f t="shared" si="5"/>
        <v/>
      </c>
      <c r="U441" s="7">
        <f>IF($C441="",0,IF('설정'!$B$3=0,0,CHOOSE('설정'!$B$3,COUNTIFS('RAW_농산물_7월'!$D:$D,$C441,'RAW_농산물_7월'!$A:$A,$E441),COUNTIFS('RAW_농산물_8월'!$D:$D,$C441,'RAW_농산물_8월'!$A:$A,$E441),COUNTIFS('RAW_농산물_9월'!$D:$D,$C441,'RAW_농산물_9월'!$A:$A,$E441),COUNTIFS('RAW_농산물_10월'!$D:$D,$C441,'RAW_농산물_10월'!$A:$A,$E441),COUNTIFS('RAW_농산물_11-12월'!$D:$D,$C441,'RAW_농산물_11-12월'!$A:$A,$E441))))</f>
        <v>0</v>
      </c>
    </row>
    <row r="442" ht="15.75" customHeight="1">
      <c r="A442" s="5"/>
      <c r="B442" s="5"/>
      <c r="C442" s="5"/>
      <c r="D442" s="6"/>
      <c r="E442" s="5"/>
      <c r="F442" s="7" t="str">
        <f>IF($C442="","",IF('설정'!$B$3=0,"",CHOOSE('설정'!$B$3,SUMIFS('RAW_농산물_7월'!$F:$F,'RAW_농산물_7월'!$D:$D,$C442,'RAW_농산물_7월'!$A:$A,$E442),SUMIFS('RAW_농산물_8월'!$F:$F,'RAW_농산물_8월'!$D:$D,$C442,'RAW_농산물_8월'!$A:$A,$E442),SUMIFS('RAW_농산물_9월'!$F:$F,'RAW_농산물_9월'!$D:$D,$C442,'RAW_농산물_9월'!$A:$A,$E442),SUMIFS('RAW_농산물_10월'!$F:$F,'RAW_농산물_10월'!$D:$D,$C442,'RAW_농산물_10월'!$A:$A,$E442),SUMIFS('RAW_농산물_11-12월'!$F:$F,'RAW_농산물_11-12월'!$D:$D,$C442,'RAW_농산물_11-12월'!$A:$A,$E442))))</f>
        <v/>
      </c>
      <c r="G442" s="7" t="str">
        <f>IF($C442="","",IF('설정'!$B$3=0,"",CHOOSE('설정'!$B$3,SUMIFS('RAW_농산물_7월'!$G:$G,'RAW_농산물_7월'!$D:$D,$C442,'RAW_농산물_7월'!$A:$A,$E442),SUMIFS('RAW_농산물_8월'!$G:$G,'RAW_농산물_8월'!$D:$D,$C442,'RAW_농산물_8월'!$A:$A,$E442),SUMIFS('RAW_농산물_9월'!$G:$G,'RAW_농산물_9월'!$D:$D,$C442,'RAW_농산물_9월'!$A:$A,$E442),SUMIFS('RAW_농산물_10월'!$G:$G,'RAW_농산물_10월'!$D:$D,$C442,'RAW_농산물_10월'!$A:$A,$E442),SUMIFS('RAW_농산물_11-12월'!$G:$G,'RAW_농산물_11-12월'!$D:$D,$C442,'RAW_농산물_11-12월'!$A:$A,$E442))))</f>
        <v/>
      </c>
      <c r="H442" s="14" t="str">
        <f>IF($C442="","",IF('설정'!$B$3=0,"",CHOOSE('설정'!$B$3,SUMIFS('RAW_농산물_7월'!$H:$H,'RAW_농산물_7월'!$D:$D,$C442,'RAW_농산물_7월'!$A:$A,$E442),SUMIFS('RAW_농산물_8월'!$H:$H,'RAW_농산물_8월'!$D:$D,$C442,'RAW_농산물_8월'!$A:$A,$E442),SUMIFS('RAW_농산물_9월'!$H:$H,'RAW_농산물_9월'!$D:$D,$C442,'RAW_농산물_9월'!$A:$A,$E442),SUMIFS('RAW_농산물_10월'!$H:$H,'RAW_농산물_10월'!$D:$D,$C442,'RAW_농산물_10월'!$A:$A,$E442),SUMIFS('RAW_농산물_11-12월'!$H:$H,'RAW_농산물_11-12월'!$D:$D,$C442,'RAW_농산물_11-12월'!$A:$A,$E442))))</f>
        <v/>
      </c>
      <c r="I442" s="17" t="str">
        <f>IF($C442="","",IF(COUNTIFS('RAW_농산물_7월'!$D:$D,$C442,'RAW_농산물_7월'!$A:$A,$E442)&gt;0,"O",""))</f>
        <v/>
      </c>
      <c r="J442" s="17" t="str">
        <f>IF($C442="","",IF(COUNTIFS('RAW_농산물_8월'!$D:$D,$C442,'RAW_농산물_8월'!$A:$A,$E442)&gt;0,"O",""))</f>
        <v/>
      </c>
      <c r="K442" s="17" t="str">
        <f>IF($C442="","",IF(COUNTIFS('RAW_농산물_9월'!$D:$D,$C442,'RAW_농산물_9월'!$A:$A,$E442)&gt;0,"O",""))</f>
        <v/>
      </c>
      <c r="L442" s="17" t="str">
        <f>IF($C442="","",IF(COUNTIFS('RAW_농산물_10월'!$D:$D,$C442,'RAW_농산물_10월'!$A:$A,$E442)&gt;0,"O",""))</f>
        <v/>
      </c>
      <c r="M442" s="17" t="str">
        <f>IF($C442="","",IF(COUNTIFS('RAW_농산물_11-12월'!$D:$D,$C442,'RAW_농산물_11-12월'!$A:$A,$E442)&gt;0,"O",""))</f>
        <v/>
      </c>
      <c r="N442" s="7" t="str">
        <f>IF($C442="","",IF(COUNTA('RAW_농산물_7월'!$A:$A)&lt;=1,"",SUMIFS('RAW_농산물_7월'!$H:$H,'RAW_농산물_7월'!$D:$D,$C442,'RAW_농산물_7월'!$A:$A,$E442)))</f>
        <v/>
      </c>
      <c r="O442" s="7" t="str">
        <f>IF($C442="","",IF(COUNTA('RAW_농산물_8월'!$A:$A)&lt;=1,"",SUMIFS('RAW_농산물_8월'!$H:$H,'RAW_농산물_8월'!$D:$D,$C442,'RAW_농산물_8월'!$A:$A,$E442)-SUMIFS('RAW_농산물_7월'!$H:$H,'RAW_농산물_7월'!$D:$D,$C442,'RAW_농산물_7월'!$A:$A,$E442)))</f>
        <v/>
      </c>
      <c r="P442" s="7" t="str">
        <f>IF($C442="","",IF(COUNTA('RAW_농산물_9월'!$A:$A)&lt;=1,"",SUMIFS('RAW_농산물_9월'!$H:$H,'RAW_농산물_9월'!$D:$D,$C442,'RAW_농산물_9월'!$A:$A,$E442)-SUMIFS('RAW_농산물_8월'!$H:$H,'RAW_농산물_8월'!$D:$D,$C442,'RAW_농산물_8월'!$A:$A,$E442)))</f>
        <v/>
      </c>
      <c r="Q442" s="7" t="str">
        <f>IF($C442="","",IF(COUNTA('RAW_농산물_10월'!$A:$A)&lt;=1,"",SUMIFS('RAW_농산물_10월'!$H:$H,'RAW_농산물_10월'!$D:$D,$C442,'RAW_농산물_10월'!$A:$A,$E442)-SUMIFS('RAW_농산물_9월'!$H:$H,'RAW_농산물_9월'!$D:$D,$C442,'RAW_농산물_9월'!$A:$A,$E442)))</f>
        <v/>
      </c>
      <c r="R442" s="7" t="str">
        <f>IF($C442="","",IF(COUNTA('RAW_농산물_11-12월'!$A:$A)&lt;=1,"",SUMIFS('RAW_농산물_11-12월'!$H:$H,'RAW_농산물_11-12월'!$D:$D,$C442,'RAW_농산물_11-12월'!$A:$A,$E442)-SUMIFS('RAW_농산물_10월'!$H:$H,'RAW_농산물_10월'!$D:$D,$C442,'RAW_농산물_10월'!$A:$A,$E442)))</f>
        <v/>
      </c>
      <c r="S442" s="17" t="str">
        <f t="shared" si="4"/>
        <v/>
      </c>
      <c r="T442" s="17" t="str">
        <f t="shared" si="5"/>
        <v/>
      </c>
      <c r="U442" s="7">
        <f>IF($C442="",0,IF('설정'!$B$3=0,0,CHOOSE('설정'!$B$3,COUNTIFS('RAW_농산물_7월'!$D:$D,$C442,'RAW_농산물_7월'!$A:$A,$E442),COUNTIFS('RAW_농산물_8월'!$D:$D,$C442,'RAW_농산물_8월'!$A:$A,$E442),COUNTIFS('RAW_농산물_9월'!$D:$D,$C442,'RAW_농산물_9월'!$A:$A,$E442),COUNTIFS('RAW_농산물_10월'!$D:$D,$C442,'RAW_농산물_10월'!$A:$A,$E442),COUNTIFS('RAW_농산물_11-12월'!$D:$D,$C442,'RAW_농산물_11-12월'!$A:$A,$E442))))</f>
        <v>0</v>
      </c>
    </row>
    <row r="443" ht="15.75" customHeight="1">
      <c r="A443" s="5"/>
      <c r="B443" s="5"/>
      <c r="C443" s="5"/>
      <c r="D443" s="6"/>
      <c r="E443" s="5"/>
      <c r="F443" s="7" t="str">
        <f>IF($C443="","",IF('설정'!$B$3=0,"",CHOOSE('설정'!$B$3,SUMIFS('RAW_농산물_7월'!$F:$F,'RAW_농산물_7월'!$D:$D,$C443,'RAW_농산물_7월'!$A:$A,$E443),SUMIFS('RAW_농산물_8월'!$F:$F,'RAW_농산물_8월'!$D:$D,$C443,'RAW_농산물_8월'!$A:$A,$E443),SUMIFS('RAW_농산물_9월'!$F:$F,'RAW_농산물_9월'!$D:$D,$C443,'RAW_농산물_9월'!$A:$A,$E443),SUMIFS('RAW_농산물_10월'!$F:$F,'RAW_농산물_10월'!$D:$D,$C443,'RAW_농산물_10월'!$A:$A,$E443),SUMIFS('RAW_농산물_11-12월'!$F:$F,'RAW_농산물_11-12월'!$D:$D,$C443,'RAW_농산물_11-12월'!$A:$A,$E443))))</f>
        <v/>
      </c>
      <c r="G443" s="7" t="str">
        <f>IF($C443="","",IF('설정'!$B$3=0,"",CHOOSE('설정'!$B$3,SUMIFS('RAW_농산물_7월'!$G:$G,'RAW_농산물_7월'!$D:$D,$C443,'RAW_농산물_7월'!$A:$A,$E443),SUMIFS('RAW_농산물_8월'!$G:$G,'RAW_농산물_8월'!$D:$D,$C443,'RAW_농산물_8월'!$A:$A,$E443),SUMIFS('RAW_농산물_9월'!$G:$G,'RAW_농산물_9월'!$D:$D,$C443,'RAW_농산물_9월'!$A:$A,$E443),SUMIFS('RAW_농산물_10월'!$G:$G,'RAW_농산물_10월'!$D:$D,$C443,'RAW_농산물_10월'!$A:$A,$E443),SUMIFS('RAW_농산물_11-12월'!$G:$G,'RAW_농산물_11-12월'!$D:$D,$C443,'RAW_농산물_11-12월'!$A:$A,$E443))))</f>
        <v/>
      </c>
      <c r="H443" s="14" t="str">
        <f>IF($C443="","",IF('설정'!$B$3=0,"",CHOOSE('설정'!$B$3,SUMIFS('RAW_농산물_7월'!$H:$H,'RAW_농산물_7월'!$D:$D,$C443,'RAW_농산물_7월'!$A:$A,$E443),SUMIFS('RAW_농산물_8월'!$H:$H,'RAW_농산물_8월'!$D:$D,$C443,'RAW_농산물_8월'!$A:$A,$E443),SUMIFS('RAW_농산물_9월'!$H:$H,'RAW_농산물_9월'!$D:$D,$C443,'RAW_농산물_9월'!$A:$A,$E443),SUMIFS('RAW_농산물_10월'!$H:$H,'RAW_농산물_10월'!$D:$D,$C443,'RAW_농산물_10월'!$A:$A,$E443),SUMIFS('RAW_농산물_11-12월'!$H:$H,'RAW_농산물_11-12월'!$D:$D,$C443,'RAW_농산물_11-12월'!$A:$A,$E443))))</f>
        <v/>
      </c>
      <c r="I443" s="17" t="str">
        <f>IF($C443="","",IF(COUNTIFS('RAW_농산물_7월'!$D:$D,$C443,'RAW_농산물_7월'!$A:$A,$E443)&gt;0,"O",""))</f>
        <v/>
      </c>
      <c r="J443" s="17" t="str">
        <f>IF($C443="","",IF(COUNTIFS('RAW_농산물_8월'!$D:$D,$C443,'RAW_농산물_8월'!$A:$A,$E443)&gt;0,"O",""))</f>
        <v/>
      </c>
      <c r="K443" s="17" t="str">
        <f>IF($C443="","",IF(COUNTIFS('RAW_농산물_9월'!$D:$D,$C443,'RAW_농산물_9월'!$A:$A,$E443)&gt;0,"O",""))</f>
        <v/>
      </c>
      <c r="L443" s="17" t="str">
        <f>IF($C443="","",IF(COUNTIFS('RAW_농산물_10월'!$D:$D,$C443,'RAW_농산물_10월'!$A:$A,$E443)&gt;0,"O",""))</f>
        <v/>
      </c>
      <c r="M443" s="17" t="str">
        <f>IF($C443="","",IF(COUNTIFS('RAW_농산물_11-12월'!$D:$D,$C443,'RAW_농산물_11-12월'!$A:$A,$E443)&gt;0,"O",""))</f>
        <v/>
      </c>
      <c r="N443" s="7" t="str">
        <f>IF($C443="","",IF(COUNTA('RAW_농산물_7월'!$A:$A)&lt;=1,"",SUMIFS('RAW_농산물_7월'!$H:$H,'RAW_농산물_7월'!$D:$D,$C443,'RAW_농산물_7월'!$A:$A,$E443)))</f>
        <v/>
      </c>
      <c r="O443" s="7" t="str">
        <f>IF($C443="","",IF(COUNTA('RAW_농산물_8월'!$A:$A)&lt;=1,"",SUMIFS('RAW_농산물_8월'!$H:$H,'RAW_농산물_8월'!$D:$D,$C443,'RAW_농산물_8월'!$A:$A,$E443)-SUMIFS('RAW_농산물_7월'!$H:$H,'RAW_농산물_7월'!$D:$D,$C443,'RAW_농산물_7월'!$A:$A,$E443)))</f>
        <v/>
      </c>
      <c r="P443" s="7" t="str">
        <f>IF($C443="","",IF(COUNTA('RAW_농산물_9월'!$A:$A)&lt;=1,"",SUMIFS('RAW_농산물_9월'!$H:$H,'RAW_농산물_9월'!$D:$D,$C443,'RAW_농산물_9월'!$A:$A,$E443)-SUMIFS('RAW_농산물_8월'!$H:$H,'RAW_농산물_8월'!$D:$D,$C443,'RAW_농산물_8월'!$A:$A,$E443)))</f>
        <v/>
      </c>
      <c r="Q443" s="7" t="str">
        <f>IF($C443="","",IF(COUNTA('RAW_농산물_10월'!$A:$A)&lt;=1,"",SUMIFS('RAW_농산물_10월'!$H:$H,'RAW_농산물_10월'!$D:$D,$C443,'RAW_농산물_10월'!$A:$A,$E443)-SUMIFS('RAW_농산물_9월'!$H:$H,'RAW_농산물_9월'!$D:$D,$C443,'RAW_농산물_9월'!$A:$A,$E443)))</f>
        <v/>
      </c>
      <c r="R443" s="7" t="str">
        <f>IF($C443="","",IF(COUNTA('RAW_농산물_11-12월'!$A:$A)&lt;=1,"",SUMIFS('RAW_농산물_11-12월'!$H:$H,'RAW_농산물_11-12월'!$D:$D,$C443,'RAW_농산물_11-12월'!$A:$A,$E443)-SUMIFS('RAW_농산물_10월'!$H:$H,'RAW_농산물_10월'!$D:$D,$C443,'RAW_농산물_10월'!$A:$A,$E443)))</f>
        <v/>
      </c>
      <c r="S443" s="17" t="str">
        <f t="shared" si="4"/>
        <v/>
      </c>
      <c r="T443" s="17" t="str">
        <f t="shared" si="5"/>
        <v/>
      </c>
      <c r="U443" s="7">
        <f>IF($C443="",0,IF('설정'!$B$3=0,0,CHOOSE('설정'!$B$3,COUNTIFS('RAW_농산물_7월'!$D:$D,$C443,'RAW_농산물_7월'!$A:$A,$E443),COUNTIFS('RAW_농산물_8월'!$D:$D,$C443,'RAW_농산물_8월'!$A:$A,$E443),COUNTIFS('RAW_농산물_9월'!$D:$D,$C443,'RAW_농산물_9월'!$A:$A,$E443),COUNTIFS('RAW_농산물_10월'!$D:$D,$C443,'RAW_농산물_10월'!$A:$A,$E443),COUNTIFS('RAW_농산물_11-12월'!$D:$D,$C443,'RAW_농산물_11-12월'!$A:$A,$E443))))</f>
        <v>0</v>
      </c>
    </row>
    <row r="444" ht="15.75" customHeight="1">
      <c r="A444" s="5"/>
      <c r="B444" s="5"/>
      <c r="C444" s="5"/>
      <c r="D444" s="6"/>
      <c r="E444" s="5"/>
      <c r="F444" s="7" t="str">
        <f>IF($C444="","",IF('설정'!$B$3=0,"",CHOOSE('설정'!$B$3,SUMIFS('RAW_농산물_7월'!$F:$F,'RAW_농산물_7월'!$D:$D,$C444,'RAW_농산물_7월'!$A:$A,$E444),SUMIFS('RAW_농산물_8월'!$F:$F,'RAW_농산물_8월'!$D:$D,$C444,'RAW_농산물_8월'!$A:$A,$E444),SUMIFS('RAW_농산물_9월'!$F:$F,'RAW_농산물_9월'!$D:$D,$C444,'RAW_농산물_9월'!$A:$A,$E444),SUMIFS('RAW_농산물_10월'!$F:$F,'RAW_농산물_10월'!$D:$D,$C444,'RAW_농산물_10월'!$A:$A,$E444),SUMIFS('RAW_농산물_11-12월'!$F:$F,'RAW_농산물_11-12월'!$D:$D,$C444,'RAW_농산물_11-12월'!$A:$A,$E444))))</f>
        <v/>
      </c>
      <c r="G444" s="7" t="str">
        <f>IF($C444="","",IF('설정'!$B$3=0,"",CHOOSE('설정'!$B$3,SUMIFS('RAW_농산물_7월'!$G:$G,'RAW_농산물_7월'!$D:$D,$C444,'RAW_농산물_7월'!$A:$A,$E444),SUMIFS('RAW_농산물_8월'!$G:$G,'RAW_농산물_8월'!$D:$D,$C444,'RAW_농산물_8월'!$A:$A,$E444),SUMIFS('RAW_농산물_9월'!$G:$G,'RAW_농산물_9월'!$D:$D,$C444,'RAW_농산물_9월'!$A:$A,$E444),SUMIFS('RAW_농산물_10월'!$G:$G,'RAW_농산물_10월'!$D:$D,$C444,'RAW_농산물_10월'!$A:$A,$E444),SUMIFS('RAW_농산물_11-12월'!$G:$G,'RAW_농산물_11-12월'!$D:$D,$C444,'RAW_농산물_11-12월'!$A:$A,$E444))))</f>
        <v/>
      </c>
      <c r="H444" s="14" t="str">
        <f>IF($C444="","",IF('설정'!$B$3=0,"",CHOOSE('설정'!$B$3,SUMIFS('RAW_농산물_7월'!$H:$H,'RAW_농산물_7월'!$D:$D,$C444,'RAW_농산물_7월'!$A:$A,$E444),SUMIFS('RAW_농산물_8월'!$H:$H,'RAW_농산물_8월'!$D:$D,$C444,'RAW_농산물_8월'!$A:$A,$E444),SUMIFS('RAW_농산물_9월'!$H:$H,'RAW_농산물_9월'!$D:$D,$C444,'RAW_농산물_9월'!$A:$A,$E444),SUMIFS('RAW_농산물_10월'!$H:$H,'RAW_농산물_10월'!$D:$D,$C444,'RAW_농산물_10월'!$A:$A,$E444),SUMIFS('RAW_농산물_11-12월'!$H:$H,'RAW_농산물_11-12월'!$D:$D,$C444,'RAW_농산물_11-12월'!$A:$A,$E444))))</f>
        <v/>
      </c>
      <c r="I444" s="17" t="str">
        <f>IF($C444="","",IF(COUNTIFS('RAW_농산물_7월'!$D:$D,$C444,'RAW_농산물_7월'!$A:$A,$E444)&gt;0,"O",""))</f>
        <v/>
      </c>
      <c r="J444" s="17" t="str">
        <f>IF($C444="","",IF(COUNTIFS('RAW_농산물_8월'!$D:$D,$C444,'RAW_농산물_8월'!$A:$A,$E444)&gt;0,"O",""))</f>
        <v/>
      </c>
      <c r="K444" s="17" t="str">
        <f>IF($C444="","",IF(COUNTIFS('RAW_농산물_9월'!$D:$D,$C444,'RAW_농산물_9월'!$A:$A,$E444)&gt;0,"O",""))</f>
        <v/>
      </c>
      <c r="L444" s="17" t="str">
        <f>IF($C444="","",IF(COUNTIFS('RAW_농산물_10월'!$D:$D,$C444,'RAW_농산물_10월'!$A:$A,$E444)&gt;0,"O",""))</f>
        <v/>
      </c>
      <c r="M444" s="17" t="str">
        <f>IF($C444="","",IF(COUNTIFS('RAW_농산물_11-12월'!$D:$D,$C444,'RAW_농산물_11-12월'!$A:$A,$E444)&gt;0,"O",""))</f>
        <v/>
      </c>
      <c r="N444" s="7" t="str">
        <f>IF($C444="","",IF(COUNTA('RAW_농산물_7월'!$A:$A)&lt;=1,"",SUMIFS('RAW_농산물_7월'!$H:$H,'RAW_농산물_7월'!$D:$D,$C444,'RAW_농산물_7월'!$A:$A,$E444)))</f>
        <v/>
      </c>
      <c r="O444" s="7" t="str">
        <f>IF($C444="","",IF(COUNTA('RAW_농산물_8월'!$A:$A)&lt;=1,"",SUMIFS('RAW_농산물_8월'!$H:$H,'RAW_농산물_8월'!$D:$D,$C444,'RAW_농산물_8월'!$A:$A,$E444)-SUMIFS('RAW_농산물_7월'!$H:$H,'RAW_농산물_7월'!$D:$D,$C444,'RAW_농산물_7월'!$A:$A,$E444)))</f>
        <v/>
      </c>
      <c r="P444" s="7" t="str">
        <f>IF($C444="","",IF(COUNTA('RAW_농산물_9월'!$A:$A)&lt;=1,"",SUMIFS('RAW_농산물_9월'!$H:$H,'RAW_농산물_9월'!$D:$D,$C444,'RAW_농산물_9월'!$A:$A,$E444)-SUMIFS('RAW_농산물_8월'!$H:$H,'RAW_농산물_8월'!$D:$D,$C444,'RAW_농산물_8월'!$A:$A,$E444)))</f>
        <v/>
      </c>
      <c r="Q444" s="7" t="str">
        <f>IF($C444="","",IF(COUNTA('RAW_농산물_10월'!$A:$A)&lt;=1,"",SUMIFS('RAW_농산물_10월'!$H:$H,'RAW_농산물_10월'!$D:$D,$C444,'RAW_농산물_10월'!$A:$A,$E444)-SUMIFS('RAW_농산물_9월'!$H:$H,'RAW_농산물_9월'!$D:$D,$C444,'RAW_농산물_9월'!$A:$A,$E444)))</f>
        <v/>
      </c>
      <c r="R444" s="7" t="str">
        <f>IF($C444="","",IF(COUNTA('RAW_농산물_11-12월'!$A:$A)&lt;=1,"",SUMIFS('RAW_농산물_11-12월'!$H:$H,'RAW_농산물_11-12월'!$D:$D,$C444,'RAW_농산물_11-12월'!$A:$A,$E444)-SUMIFS('RAW_농산물_10월'!$H:$H,'RAW_농산물_10월'!$D:$D,$C444,'RAW_농산물_10월'!$A:$A,$E444)))</f>
        <v/>
      </c>
      <c r="S444" s="17" t="str">
        <f t="shared" si="4"/>
        <v/>
      </c>
      <c r="T444" s="17" t="str">
        <f t="shared" si="5"/>
        <v/>
      </c>
      <c r="U444" s="7">
        <f>IF($C444="",0,IF('설정'!$B$3=0,0,CHOOSE('설정'!$B$3,COUNTIFS('RAW_농산물_7월'!$D:$D,$C444,'RAW_농산물_7월'!$A:$A,$E444),COUNTIFS('RAW_농산물_8월'!$D:$D,$C444,'RAW_농산물_8월'!$A:$A,$E444),COUNTIFS('RAW_농산물_9월'!$D:$D,$C444,'RAW_농산물_9월'!$A:$A,$E444),COUNTIFS('RAW_농산물_10월'!$D:$D,$C444,'RAW_농산물_10월'!$A:$A,$E444),COUNTIFS('RAW_농산물_11-12월'!$D:$D,$C444,'RAW_농산물_11-12월'!$A:$A,$E444))))</f>
        <v>0</v>
      </c>
    </row>
    <row r="445" ht="15.75" customHeight="1">
      <c r="A445" s="5"/>
      <c r="B445" s="5"/>
      <c r="C445" s="5"/>
      <c r="D445" s="6"/>
      <c r="E445" s="5"/>
      <c r="F445" s="7" t="str">
        <f>IF($C445="","",IF('설정'!$B$3=0,"",CHOOSE('설정'!$B$3,SUMIFS('RAW_농산물_7월'!$F:$F,'RAW_농산물_7월'!$D:$D,$C445,'RAW_농산물_7월'!$A:$A,$E445),SUMIFS('RAW_농산물_8월'!$F:$F,'RAW_농산물_8월'!$D:$D,$C445,'RAW_농산물_8월'!$A:$A,$E445),SUMIFS('RAW_농산물_9월'!$F:$F,'RAW_농산물_9월'!$D:$D,$C445,'RAW_농산물_9월'!$A:$A,$E445),SUMIFS('RAW_농산물_10월'!$F:$F,'RAW_농산물_10월'!$D:$D,$C445,'RAW_농산물_10월'!$A:$A,$E445),SUMIFS('RAW_농산물_11-12월'!$F:$F,'RAW_농산물_11-12월'!$D:$D,$C445,'RAW_농산물_11-12월'!$A:$A,$E445))))</f>
        <v/>
      </c>
      <c r="G445" s="7" t="str">
        <f>IF($C445="","",IF('설정'!$B$3=0,"",CHOOSE('설정'!$B$3,SUMIFS('RAW_농산물_7월'!$G:$G,'RAW_농산물_7월'!$D:$D,$C445,'RAW_농산물_7월'!$A:$A,$E445),SUMIFS('RAW_농산물_8월'!$G:$G,'RAW_농산물_8월'!$D:$D,$C445,'RAW_농산물_8월'!$A:$A,$E445),SUMIFS('RAW_농산물_9월'!$G:$G,'RAW_농산물_9월'!$D:$D,$C445,'RAW_농산물_9월'!$A:$A,$E445),SUMIFS('RAW_농산물_10월'!$G:$G,'RAW_농산물_10월'!$D:$D,$C445,'RAW_농산물_10월'!$A:$A,$E445),SUMIFS('RAW_농산물_11-12월'!$G:$G,'RAW_농산물_11-12월'!$D:$D,$C445,'RAW_농산물_11-12월'!$A:$A,$E445))))</f>
        <v/>
      </c>
      <c r="H445" s="14" t="str">
        <f>IF($C445="","",IF('설정'!$B$3=0,"",CHOOSE('설정'!$B$3,SUMIFS('RAW_농산물_7월'!$H:$H,'RAW_농산물_7월'!$D:$D,$C445,'RAW_농산물_7월'!$A:$A,$E445),SUMIFS('RAW_농산물_8월'!$H:$H,'RAW_농산물_8월'!$D:$D,$C445,'RAW_농산물_8월'!$A:$A,$E445),SUMIFS('RAW_농산물_9월'!$H:$H,'RAW_농산물_9월'!$D:$D,$C445,'RAW_농산물_9월'!$A:$A,$E445),SUMIFS('RAW_농산물_10월'!$H:$H,'RAW_농산물_10월'!$D:$D,$C445,'RAW_농산물_10월'!$A:$A,$E445),SUMIFS('RAW_농산물_11-12월'!$H:$H,'RAW_농산물_11-12월'!$D:$D,$C445,'RAW_농산물_11-12월'!$A:$A,$E445))))</f>
        <v/>
      </c>
      <c r="I445" s="17" t="str">
        <f>IF($C445="","",IF(COUNTIFS('RAW_농산물_7월'!$D:$D,$C445,'RAW_농산물_7월'!$A:$A,$E445)&gt;0,"O",""))</f>
        <v/>
      </c>
      <c r="J445" s="17" t="str">
        <f>IF($C445="","",IF(COUNTIFS('RAW_농산물_8월'!$D:$D,$C445,'RAW_농산물_8월'!$A:$A,$E445)&gt;0,"O",""))</f>
        <v/>
      </c>
      <c r="K445" s="17" t="str">
        <f>IF($C445="","",IF(COUNTIFS('RAW_농산물_9월'!$D:$D,$C445,'RAW_농산물_9월'!$A:$A,$E445)&gt;0,"O",""))</f>
        <v/>
      </c>
      <c r="L445" s="17" t="str">
        <f>IF($C445="","",IF(COUNTIFS('RAW_농산물_10월'!$D:$D,$C445,'RAW_농산물_10월'!$A:$A,$E445)&gt;0,"O",""))</f>
        <v/>
      </c>
      <c r="M445" s="17" t="str">
        <f>IF($C445="","",IF(COUNTIFS('RAW_농산물_11-12월'!$D:$D,$C445,'RAW_농산물_11-12월'!$A:$A,$E445)&gt;0,"O",""))</f>
        <v/>
      </c>
      <c r="N445" s="7" t="str">
        <f>IF($C445="","",IF(COUNTA('RAW_농산물_7월'!$A:$A)&lt;=1,"",SUMIFS('RAW_농산물_7월'!$H:$H,'RAW_농산물_7월'!$D:$D,$C445,'RAW_농산물_7월'!$A:$A,$E445)))</f>
        <v/>
      </c>
      <c r="O445" s="7" t="str">
        <f>IF($C445="","",IF(COUNTA('RAW_농산물_8월'!$A:$A)&lt;=1,"",SUMIFS('RAW_농산물_8월'!$H:$H,'RAW_농산물_8월'!$D:$D,$C445,'RAW_농산물_8월'!$A:$A,$E445)-SUMIFS('RAW_농산물_7월'!$H:$H,'RAW_농산물_7월'!$D:$D,$C445,'RAW_농산물_7월'!$A:$A,$E445)))</f>
        <v/>
      </c>
      <c r="P445" s="7" t="str">
        <f>IF($C445="","",IF(COUNTA('RAW_농산물_9월'!$A:$A)&lt;=1,"",SUMIFS('RAW_농산물_9월'!$H:$H,'RAW_농산물_9월'!$D:$D,$C445,'RAW_농산물_9월'!$A:$A,$E445)-SUMIFS('RAW_농산물_8월'!$H:$H,'RAW_농산물_8월'!$D:$D,$C445,'RAW_농산물_8월'!$A:$A,$E445)))</f>
        <v/>
      </c>
      <c r="Q445" s="7" t="str">
        <f>IF($C445="","",IF(COUNTA('RAW_농산물_10월'!$A:$A)&lt;=1,"",SUMIFS('RAW_농산물_10월'!$H:$H,'RAW_농산물_10월'!$D:$D,$C445,'RAW_농산물_10월'!$A:$A,$E445)-SUMIFS('RAW_농산물_9월'!$H:$H,'RAW_농산물_9월'!$D:$D,$C445,'RAW_농산물_9월'!$A:$A,$E445)))</f>
        <v/>
      </c>
      <c r="R445" s="7" t="str">
        <f>IF($C445="","",IF(COUNTA('RAW_농산물_11-12월'!$A:$A)&lt;=1,"",SUMIFS('RAW_농산물_11-12월'!$H:$H,'RAW_농산물_11-12월'!$D:$D,$C445,'RAW_농산물_11-12월'!$A:$A,$E445)-SUMIFS('RAW_농산물_10월'!$H:$H,'RAW_농산물_10월'!$D:$D,$C445,'RAW_농산물_10월'!$A:$A,$E445)))</f>
        <v/>
      </c>
      <c r="S445" s="17" t="str">
        <f t="shared" si="4"/>
        <v/>
      </c>
      <c r="T445" s="17" t="str">
        <f t="shared" si="5"/>
        <v/>
      </c>
      <c r="U445" s="7">
        <f>IF($C445="",0,IF('설정'!$B$3=0,0,CHOOSE('설정'!$B$3,COUNTIFS('RAW_농산물_7월'!$D:$D,$C445,'RAW_농산물_7월'!$A:$A,$E445),COUNTIFS('RAW_농산물_8월'!$D:$D,$C445,'RAW_농산물_8월'!$A:$A,$E445),COUNTIFS('RAW_농산물_9월'!$D:$D,$C445,'RAW_농산물_9월'!$A:$A,$E445),COUNTIFS('RAW_농산물_10월'!$D:$D,$C445,'RAW_농산물_10월'!$A:$A,$E445),COUNTIFS('RAW_농산물_11-12월'!$D:$D,$C445,'RAW_농산물_11-12월'!$A:$A,$E445))))</f>
        <v>0</v>
      </c>
    </row>
    <row r="446" ht="15.75" customHeight="1">
      <c r="A446" s="5"/>
      <c r="B446" s="5"/>
      <c r="C446" s="5"/>
      <c r="D446" s="6"/>
      <c r="E446" s="5"/>
      <c r="F446" s="7" t="str">
        <f>IF($C446="","",IF('설정'!$B$3=0,"",CHOOSE('설정'!$B$3,SUMIFS('RAW_농산물_7월'!$F:$F,'RAW_농산물_7월'!$D:$D,$C446,'RAW_농산물_7월'!$A:$A,$E446),SUMIFS('RAW_농산물_8월'!$F:$F,'RAW_농산물_8월'!$D:$D,$C446,'RAW_농산물_8월'!$A:$A,$E446),SUMIFS('RAW_농산물_9월'!$F:$F,'RAW_농산물_9월'!$D:$D,$C446,'RAW_농산물_9월'!$A:$A,$E446),SUMIFS('RAW_농산물_10월'!$F:$F,'RAW_농산물_10월'!$D:$D,$C446,'RAW_농산물_10월'!$A:$A,$E446),SUMIFS('RAW_농산물_11-12월'!$F:$F,'RAW_농산물_11-12월'!$D:$D,$C446,'RAW_농산물_11-12월'!$A:$A,$E446))))</f>
        <v/>
      </c>
      <c r="G446" s="7" t="str">
        <f>IF($C446="","",IF('설정'!$B$3=0,"",CHOOSE('설정'!$B$3,SUMIFS('RAW_농산물_7월'!$G:$G,'RAW_농산물_7월'!$D:$D,$C446,'RAW_농산물_7월'!$A:$A,$E446),SUMIFS('RAW_농산물_8월'!$G:$G,'RAW_농산물_8월'!$D:$D,$C446,'RAW_농산물_8월'!$A:$A,$E446),SUMIFS('RAW_농산물_9월'!$G:$G,'RAW_농산물_9월'!$D:$D,$C446,'RAW_농산물_9월'!$A:$A,$E446),SUMIFS('RAW_농산물_10월'!$G:$G,'RAW_농산물_10월'!$D:$D,$C446,'RAW_농산물_10월'!$A:$A,$E446),SUMIFS('RAW_농산물_11-12월'!$G:$G,'RAW_농산물_11-12월'!$D:$D,$C446,'RAW_농산물_11-12월'!$A:$A,$E446))))</f>
        <v/>
      </c>
      <c r="H446" s="14" t="str">
        <f>IF($C446="","",IF('설정'!$B$3=0,"",CHOOSE('설정'!$B$3,SUMIFS('RAW_농산물_7월'!$H:$H,'RAW_농산물_7월'!$D:$D,$C446,'RAW_농산물_7월'!$A:$A,$E446),SUMIFS('RAW_농산물_8월'!$H:$H,'RAW_농산물_8월'!$D:$D,$C446,'RAW_농산물_8월'!$A:$A,$E446),SUMIFS('RAW_농산물_9월'!$H:$H,'RAW_농산물_9월'!$D:$D,$C446,'RAW_농산물_9월'!$A:$A,$E446),SUMIFS('RAW_농산물_10월'!$H:$H,'RAW_농산물_10월'!$D:$D,$C446,'RAW_농산물_10월'!$A:$A,$E446),SUMIFS('RAW_농산물_11-12월'!$H:$H,'RAW_농산물_11-12월'!$D:$D,$C446,'RAW_농산물_11-12월'!$A:$A,$E446))))</f>
        <v/>
      </c>
      <c r="I446" s="17" t="str">
        <f>IF($C446="","",IF(COUNTIFS('RAW_농산물_7월'!$D:$D,$C446,'RAW_농산물_7월'!$A:$A,$E446)&gt;0,"O",""))</f>
        <v/>
      </c>
      <c r="J446" s="17" t="str">
        <f>IF($C446="","",IF(COUNTIFS('RAW_농산물_8월'!$D:$D,$C446,'RAW_농산물_8월'!$A:$A,$E446)&gt;0,"O",""))</f>
        <v/>
      </c>
      <c r="K446" s="17" t="str">
        <f>IF($C446="","",IF(COUNTIFS('RAW_농산물_9월'!$D:$D,$C446,'RAW_농산물_9월'!$A:$A,$E446)&gt;0,"O",""))</f>
        <v/>
      </c>
      <c r="L446" s="17" t="str">
        <f>IF($C446="","",IF(COUNTIFS('RAW_농산물_10월'!$D:$D,$C446,'RAW_농산물_10월'!$A:$A,$E446)&gt;0,"O",""))</f>
        <v/>
      </c>
      <c r="M446" s="17" t="str">
        <f>IF($C446="","",IF(COUNTIFS('RAW_농산물_11-12월'!$D:$D,$C446,'RAW_농산물_11-12월'!$A:$A,$E446)&gt;0,"O",""))</f>
        <v/>
      </c>
      <c r="N446" s="7" t="str">
        <f>IF($C446="","",IF(COUNTA('RAW_농산물_7월'!$A:$A)&lt;=1,"",SUMIFS('RAW_농산물_7월'!$H:$H,'RAW_농산물_7월'!$D:$D,$C446,'RAW_농산물_7월'!$A:$A,$E446)))</f>
        <v/>
      </c>
      <c r="O446" s="7" t="str">
        <f>IF($C446="","",IF(COUNTA('RAW_농산물_8월'!$A:$A)&lt;=1,"",SUMIFS('RAW_농산물_8월'!$H:$H,'RAW_농산물_8월'!$D:$D,$C446,'RAW_농산물_8월'!$A:$A,$E446)-SUMIFS('RAW_농산물_7월'!$H:$H,'RAW_농산물_7월'!$D:$D,$C446,'RAW_농산물_7월'!$A:$A,$E446)))</f>
        <v/>
      </c>
      <c r="P446" s="7" t="str">
        <f>IF($C446="","",IF(COUNTA('RAW_농산물_9월'!$A:$A)&lt;=1,"",SUMIFS('RAW_농산물_9월'!$H:$H,'RAW_농산물_9월'!$D:$D,$C446,'RAW_농산물_9월'!$A:$A,$E446)-SUMIFS('RAW_농산물_8월'!$H:$H,'RAW_농산물_8월'!$D:$D,$C446,'RAW_농산물_8월'!$A:$A,$E446)))</f>
        <v/>
      </c>
      <c r="Q446" s="7" t="str">
        <f>IF($C446="","",IF(COUNTA('RAW_농산물_10월'!$A:$A)&lt;=1,"",SUMIFS('RAW_농산물_10월'!$H:$H,'RAW_농산물_10월'!$D:$D,$C446,'RAW_농산물_10월'!$A:$A,$E446)-SUMIFS('RAW_농산물_9월'!$H:$H,'RAW_농산물_9월'!$D:$D,$C446,'RAW_농산물_9월'!$A:$A,$E446)))</f>
        <v/>
      </c>
      <c r="R446" s="7" t="str">
        <f>IF($C446="","",IF(COUNTA('RAW_농산물_11-12월'!$A:$A)&lt;=1,"",SUMIFS('RAW_농산물_11-12월'!$H:$H,'RAW_농산물_11-12월'!$D:$D,$C446,'RAW_농산물_11-12월'!$A:$A,$E446)-SUMIFS('RAW_농산물_10월'!$H:$H,'RAW_농산물_10월'!$D:$D,$C446,'RAW_농산물_10월'!$A:$A,$E446)))</f>
        <v/>
      </c>
      <c r="S446" s="17" t="str">
        <f t="shared" si="4"/>
        <v/>
      </c>
      <c r="T446" s="17" t="str">
        <f t="shared" si="5"/>
        <v/>
      </c>
      <c r="U446" s="7">
        <f>IF($C446="",0,IF('설정'!$B$3=0,0,CHOOSE('설정'!$B$3,COUNTIFS('RAW_농산물_7월'!$D:$D,$C446,'RAW_농산물_7월'!$A:$A,$E446),COUNTIFS('RAW_농산물_8월'!$D:$D,$C446,'RAW_농산물_8월'!$A:$A,$E446),COUNTIFS('RAW_농산물_9월'!$D:$D,$C446,'RAW_농산물_9월'!$A:$A,$E446),COUNTIFS('RAW_농산물_10월'!$D:$D,$C446,'RAW_농산물_10월'!$A:$A,$E446),COUNTIFS('RAW_농산물_11-12월'!$D:$D,$C446,'RAW_농산물_11-12월'!$A:$A,$E446))))</f>
        <v>0</v>
      </c>
    </row>
    <row r="447" ht="15.75" customHeight="1">
      <c r="A447" s="5"/>
      <c r="B447" s="5"/>
      <c r="C447" s="5"/>
      <c r="D447" s="6"/>
      <c r="E447" s="5"/>
      <c r="F447" s="7" t="str">
        <f>IF($C447="","",IF('설정'!$B$3=0,"",CHOOSE('설정'!$B$3,SUMIFS('RAW_농산물_7월'!$F:$F,'RAW_농산물_7월'!$D:$D,$C447,'RAW_농산물_7월'!$A:$A,$E447),SUMIFS('RAW_농산물_8월'!$F:$F,'RAW_농산물_8월'!$D:$D,$C447,'RAW_농산물_8월'!$A:$A,$E447),SUMIFS('RAW_농산물_9월'!$F:$F,'RAW_농산물_9월'!$D:$D,$C447,'RAW_농산물_9월'!$A:$A,$E447),SUMIFS('RAW_농산물_10월'!$F:$F,'RAW_농산물_10월'!$D:$D,$C447,'RAW_농산물_10월'!$A:$A,$E447),SUMIFS('RAW_농산물_11-12월'!$F:$F,'RAW_농산물_11-12월'!$D:$D,$C447,'RAW_농산물_11-12월'!$A:$A,$E447))))</f>
        <v/>
      </c>
      <c r="G447" s="7" t="str">
        <f>IF($C447="","",IF('설정'!$B$3=0,"",CHOOSE('설정'!$B$3,SUMIFS('RAW_농산물_7월'!$G:$G,'RAW_농산물_7월'!$D:$D,$C447,'RAW_농산물_7월'!$A:$A,$E447),SUMIFS('RAW_농산물_8월'!$G:$G,'RAW_농산물_8월'!$D:$D,$C447,'RAW_농산물_8월'!$A:$A,$E447),SUMIFS('RAW_농산물_9월'!$G:$G,'RAW_농산물_9월'!$D:$D,$C447,'RAW_농산물_9월'!$A:$A,$E447),SUMIFS('RAW_농산물_10월'!$G:$G,'RAW_농산물_10월'!$D:$D,$C447,'RAW_농산물_10월'!$A:$A,$E447),SUMIFS('RAW_농산물_11-12월'!$G:$G,'RAW_농산물_11-12월'!$D:$D,$C447,'RAW_농산물_11-12월'!$A:$A,$E447))))</f>
        <v/>
      </c>
      <c r="H447" s="14" t="str">
        <f>IF($C447="","",IF('설정'!$B$3=0,"",CHOOSE('설정'!$B$3,SUMIFS('RAW_농산물_7월'!$H:$H,'RAW_농산물_7월'!$D:$D,$C447,'RAW_농산물_7월'!$A:$A,$E447),SUMIFS('RAW_농산물_8월'!$H:$H,'RAW_농산물_8월'!$D:$D,$C447,'RAW_농산물_8월'!$A:$A,$E447),SUMIFS('RAW_농산물_9월'!$H:$H,'RAW_농산물_9월'!$D:$D,$C447,'RAW_농산물_9월'!$A:$A,$E447),SUMIFS('RAW_농산물_10월'!$H:$H,'RAW_농산물_10월'!$D:$D,$C447,'RAW_농산물_10월'!$A:$A,$E447),SUMIFS('RAW_농산물_11-12월'!$H:$H,'RAW_농산물_11-12월'!$D:$D,$C447,'RAW_농산물_11-12월'!$A:$A,$E447))))</f>
        <v/>
      </c>
      <c r="I447" s="17" t="str">
        <f>IF($C447="","",IF(COUNTIFS('RAW_농산물_7월'!$D:$D,$C447,'RAW_농산물_7월'!$A:$A,$E447)&gt;0,"O",""))</f>
        <v/>
      </c>
      <c r="J447" s="17" t="str">
        <f>IF($C447="","",IF(COUNTIFS('RAW_농산물_8월'!$D:$D,$C447,'RAW_농산물_8월'!$A:$A,$E447)&gt;0,"O",""))</f>
        <v/>
      </c>
      <c r="K447" s="17" t="str">
        <f>IF($C447="","",IF(COUNTIFS('RAW_농산물_9월'!$D:$D,$C447,'RAW_농산물_9월'!$A:$A,$E447)&gt;0,"O",""))</f>
        <v/>
      </c>
      <c r="L447" s="17" t="str">
        <f>IF($C447="","",IF(COUNTIFS('RAW_농산물_10월'!$D:$D,$C447,'RAW_농산물_10월'!$A:$A,$E447)&gt;0,"O",""))</f>
        <v/>
      </c>
      <c r="M447" s="17" t="str">
        <f>IF($C447="","",IF(COUNTIFS('RAW_농산물_11-12월'!$D:$D,$C447,'RAW_농산물_11-12월'!$A:$A,$E447)&gt;0,"O",""))</f>
        <v/>
      </c>
      <c r="N447" s="7" t="str">
        <f>IF($C447="","",IF(COUNTA('RAW_농산물_7월'!$A:$A)&lt;=1,"",SUMIFS('RAW_농산물_7월'!$H:$H,'RAW_농산물_7월'!$D:$D,$C447,'RAW_농산물_7월'!$A:$A,$E447)))</f>
        <v/>
      </c>
      <c r="O447" s="7" t="str">
        <f>IF($C447="","",IF(COUNTA('RAW_농산물_8월'!$A:$A)&lt;=1,"",SUMIFS('RAW_농산물_8월'!$H:$H,'RAW_농산물_8월'!$D:$D,$C447,'RAW_농산물_8월'!$A:$A,$E447)-SUMIFS('RAW_농산물_7월'!$H:$H,'RAW_농산물_7월'!$D:$D,$C447,'RAW_농산물_7월'!$A:$A,$E447)))</f>
        <v/>
      </c>
      <c r="P447" s="7" t="str">
        <f>IF($C447="","",IF(COUNTA('RAW_농산물_9월'!$A:$A)&lt;=1,"",SUMIFS('RAW_농산물_9월'!$H:$H,'RAW_농산물_9월'!$D:$D,$C447,'RAW_농산물_9월'!$A:$A,$E447)-SUMIFS('RAW_농산물_8월'!$H:$H,'RAW_농산물_8월'!$D:$D,$C447,'RAW_농산물_8월'!$A:$A,$E447)))</f>
        <v/>
      </c>
      <c r="Q447" s="7" t="str">
        <f>IF($C447="","",IF(COUNTA('RAW_농산물_10월'!$A:$A)&lt;=1,"",SUMIFS('RAW_농산물_10월'!$H:$H,'RAW_농산물_10월'!$D:$D,$C447,'RAW_농산물_10월'!$A:$A,$E447)-SUMIFS('RAW_농산물_9월'!$H:$H,'RAW_농산물_9월'!$D:$D,$C447,'RAW_농산물_9월'!$A:$A,$E447)))</f>
        <v/>
      </c>
      <c r="R447" s="7" t="str">
        <f>IF($C447="","",IF(COUNTA('RAW_농산물_11-12월'!$A:$A)&lt;=1,"",SUMIFS('RAW_농산물_11-12월'!$H:$H,'RAW_농산물_11-12월'!$D:$D,$C447,'RAW_농산물_11-12월'!$A:$A,$E447)-SUMIFS('RAW_농산물_10월'!$H:$H,'RAW_농산물_10월'!$D:$D,$C447,'RAW_농산물_10월'!$A:$A,$E447)))</f>
        <v/>
      </c>
      <c r="S447" s="17" t="str">
        <f t="shared" si="4"/>
        <v/>
      </c>
      <c r="T447" s="17" t="str">
        <f t="shared" si="5"/>
        <v/>
      </c>
      <c r="U447" s="7">
        <f>IF($C447="",0,IF('설정'!$B$3=0,0,CHOOSE('설정'!$B$3,COUNTIFS('RAW_농산물_7월'!$D:$D,$C447,'RAW_농산물_7월'!$A:$A,$E447),COUNTIFS('RAW_농산물_8월'!$D:$D,$C447,'RAW_농산물_8월'!$A:$A,$E447),COUNTIFS('RAW_농산물_9월'!$D:$D,$C447,'RAW_농산물_9월'!$A:$A,$E447),COUNTIFS('RAW_농산물_10월'!$D:$D,$C447,'RAW_농산물_10월'!$A:$A,$E447),COUNTIFS('RAW_농산물_11-12월'!$D:$D,$C447,'RAW_농산물_11-12월'!$A:$A,$E447))))</f>
        <v>0</v>
      </c>
    </row>
    <row r="448" ht="15.75" customHeight="1">
      <c r="A448" s="5"/>
      <c r="B448" s="5"/>
      <c r="C448" s="5"/>
      <c r="D448" s="6"/>
      <c r="E448" s="5"/>
      <c r="F448" s="7" t="str">
        <f>IF($C448="","",IF('설정'!$B$3=0,"",CHOOSE('설정'!$B$3,SUMIFS('RAW_농산물_7월'!$F:$F,'RAW_농산물_7월'!$D:$D,$C448,'RAW_농산물_7월'!$A:$A,$E448),SUMIFS('RAW_농산물_8월'!$F:$F,'RAW_농산물_8월'!$D:$D,$C448,'RAW_농산물_8월'!$A:$A,$E448),SUMIFS('RAW_농산물_9월'!$F:$F,'RAW_농산물_9월'!$D:$D,$C448,'RAW_농산물_9월'!$A:$A,$E448),SUMIFS('RAW_농산물_10월'!$F:$F,'RAW_농산물_10월'!$D:$D,$C448,'RAW_농산물_10월'!$A:$A,$E448),SUMIFS('RAW_농산물_11-12월'!$F:$F,'RAW_농산물_11-12월'!$D:$D,$C448,'RAW_농산물_11-12월'!$A:$A,$E448))))</f>
        <v/>
      </c>
      <c r="G448" s="7" t="str">
        <f>IF($C448="","",IF('설정'!$B$3=0,"",CHOOSE('설정'!$B$3,SUMIFS('RAW_농산물_7월'!$G:$G,'RAW_농산물_7월'!$D:$D,$C448,'RAW_농산물_7월'!$A:$A,$E448),SUMIFS('RAW_농산물_8월'!$G:$G,'RAW_농산물_8월'!$D:$D,$C448,'RAW_농산물_8월'!$A:$A,$E448),SUMIFS('RAW_농산물_9월'!$G:$G,'RAW_농산물_9월'!$D:$D,$C448,'RAW_농산물_9월'!$A:$A,$E448),SUMIFS('RAW_농산물_10월'!$G:$G,'RAW_농산물_10월'!$D:$D,$C448,'RAW_농산물_10월'!$A:$A,$E448),SUMIFS('RAW_농산물_11-12월'!$G:$G,'RAW_농산물_11-12월'!$D:$D,$C448,'RAW_농산물_11-12월'!$A:$A,$E448))))</f>
        <v/>
      </c>
      <c r="H448" s="14" t="str">
        <f>IF($C448="","",IF('설정'!$B$3=0,"",CHOOSE('설정'!$B$3,SUMIFS('RAW_농산물_7월'!$H:$H,'RAW_농산물_7월'!$D:$D,$C448,'RAW_농산물_7월'!$A:$A,$E448),SUMIFS('RAW_농산물_8월'!$H:$H,'RAW_농산물_8월'!$D:$D,$C448,'RAW_농산물_8월'!$A:$A,$E448),SUMIFS('RAW_농산물_9월'!$H:$H,'RAW_농산물_9월'!$D:$D,$C448,'RAW_농산물_9월'!$A:$A,$E448),SUMIFS('RAW_농산물_10월'!$H:$H,'RAW_농산물_10월'!$D:$D,$C448,'RAW_농산물_10월'!$A:$A,$E448),SUMIFS('RAW_농산물_11-12월'!$H:$H,'RAW_농산물_11-12월'!$D:$D,$C448,'RAW_농산물_11-12월'!$A:$A,$E448))))</f>
        <v/>
      </c>
      <c r="I448" s="17" t="str">
        <f>IF($C448="","",IF(COUNTIFS('RAW_농산물_7월'!$D:$D,$C448,'RAW_농산물_7월'!$A:$A,$E448)&gt;0,"O",""))</f>
        <v/>
      </c>
      <c r="J448" s="17" t="str">
        <f>IF($C448="","",IF(COUNTIFS('RAW_농산물_8월'!$D:$D,$C448,'RAW_농산물_8월'!$A:$A,$E448)&gt;0,"O",""))</f>
        <v/>
      </c>
      <c r="K448" s="17" t="str">
        <f>IF($C448="","",IF(COUNTIFS('RAW_농산물_9월'!$D:$D,$C448,'RAW_농산물_9월'!$A:$A,$E448)&gt;0,"O",""))</f>
        <v/>
      </c>
      <c r="L448" s="17" t="str">
        <f>IF($C448="","",IF(COUNTIFS('RAW_농산물_10월'!$D:$D,$C448,'RAW_농산물_10월'!$A:$A,$E448)&gt;0,"O",""))</f>
        <v/>
      </c>
      <c r="M448" s="17" t="str">
        <f>IF($C448="","",IF(COUNTIFS('RAW_농산물_11-12월'!$D:$D,$C448,'RAW_농산물_11-12월'!$A:$A,$E448)&gt;0,"O",""))</f>
        <v/>
      </c>
      <c r="N448" s="7" t="str">
        <f>IF($C448="","",IF(COUNTA('RAW_농산물_7월'!$A:$A)&lt;=1,"",SUMIFS('RAW_농산물_7월'!$H:$H,'RAW_농산물_7월'!$D:$D,$C448,'RAW_농산물_7월'!$A:$A,$E448)))</f>
        <v/>
      </c>
      <c r="O448" s="7" t="str">
        <f>IF($C448="","",IF(COUNTA('RAW_농산물_8월'!$A:$A)&lt;=1,"",SUMIFS('RAW_농산물_8월'!$H:$H,'RAW_농산물_8월'!$D:$D,$C448,'RAW_농산물_8월'!$A:$A,$E448)-SUMIFS('RAW_농산물_7월'!$H:$H,'RAW_농산물_7월'!$D:$D,$C448,'RAW_농산물_7월'!$A:$A,$E448)))</f>
        <v/>
      </c>
      <c r="P448" s="7" t="str">
        <f>IF($C448="","",IF(COUNTA('RAW_농산물_9월'!$A:$A)&lt;=1,"",SUMIFS('RAW_농산물_9월'!$H:$H,'RAW_농산물_9월'!$D:$D,$C448,'RAW_농산물_9월'!$A:$A,$E448)-SUMIFS('RAW_농산물_8월'!$H:$H,'RAW_농산물_8월'!$D:$D,$C448,'RAW_농산물_8월'!$A:$A,$E448)))</f>
        <v/>
      </c>
      <c r="Q448" s="7" t="str">
        <f>IF($C448="","",IF(COUNTA('RAW_농산물_10월'!$A:$A)&lt;=1,"",SUMIFS('RAW_농산물_10월'!$H:$H,'RAW_농산물_10월'!$D:$D,$C448,'RAW_농산물_10월'!$A:$A,$E448)-SUMIFS('RAW_농산물_9월'!$H:$H,'RAW_농산물_9월'!$D:$D,$C448,'RAW_농산물_9월'!$A:$A,$E448)))</f>
        <v/>
      </c>
      <c r="R448" s="7" t="str">
        <f>IF($C448="","",IF(COUNTA('RAW_농산물_11-12월'!$A:$A)&lt;=1,"",SUMIFS('RAW_농산물_11-12월'!$H:$H,'RAW_농산물_11-12월'!$D:$D,$C448,'RAW_농산물_11-12월'!$A:$A,$E448)-SUMIFS('RAW_농산물_10월'!$H:$H,'RAW_농산물_10월'!$D:$D,$C448,'RAW_농산물_10월'!$A:$A,$E448)))</f>
        <v/>
      </c>
      <c r="S448" s="17" t="str">
        <f t="shared" si="4"/>
        <v/>
      </c>
      <c r="T448" s="17" t="str">
        <f t="shared" si="5"/>
        <v/>
      </c>
      <c r="U448" s="7">
        <f>IF($C448="",0,IF('설정'!$B$3=0,0,CHOOSE('설정'!$B$3,COUNTIFS('RAW_농산물_7월'!$D:$D,$C448,'RAW_농산물_7월'!$A:$A,$E448),COUNTIFS('RAW_농산물_8월'!$D:$D,$C448,'RAW_농산물_8월'!$A:$A,$E448),COUNTIFS('RAW_농산물_9월'!$D:$D,$C448,'RAW_농산물_9월'!$A:$A,$E448),COUNTIFS('RAW_농산물_10월'!$D:$D,$C448,'RAW_농산물_10월'!$A:$A,$E448),COUNTIFS('RAW_농산물_11-12월'!$D:$D,$C448,'RAW_농산물_11-12월'!$A:$A,$E448))))</f>
        <v>0</v>
      </c>
    </row>
    <row r="449" ht="15.75" customHeight="1">
      <c r="A449" s="5"/>
      <c r="B449" s="5"/>
      <c r="C449" s="5"/>
      <c r="D449" s="6"/>
      <c r="E449" s="5"/>
      <c r="F449" s="7" t="str">
        <f>IF($C449="","",IF('설정'!$B$3=0,"",CHOOSE('설정'!$B$3,SUMIFS('RAW_농산물_7월'!$F:$F,'RAW_농산물_7월'!$D:$D,$C449,'RAW_농산물_7월'!$A:$A,$E449),SUMIFS('RAW_농산물_8월'!$F:$F,'RAW_농산물_8월'!$D:$D,$C449,'RAW_농산물_8월'!$A:$A,$E449),SUMIFS('RAW_농산물_9월'!$F:$F,'RAW_농산물_9월'!$D:$D,$C449,'RAW_농산물_9월'!$A:$A,$E449),SUMIFS('RAW_농산물_10월'!$F:$F,'RAW_농산물_10월'!$D:$D,$C449,'RAW_농산물_10월'!$A:$A,$E449),SUMIFS('RAW_농산물_11-12월'!$F:$F,'RAW_농산물_11-12월'!$D:$D,$C449,'RAW_농산물_11-12월'!$A:$A,$E449))))</f>
        <v/>
      </c>
      <c r="G449" s="7" t="str">
        <f>IF($C449="","",IF('설정'!$B$3=0,"",CHOOSE('설정'!$B$3,SUMIFS('RAW_농산물_7월'!$G:$G,'RAW_농산물_7월'!$D:$D,$C449,'RAW_농산물_7월'!$A:$A,$E449),SUMIFS('RAW_농산물_8월'!$G:$G,'RAW_농산물_8월'!$D:$D,$C449,'RAW_농산물_8월'!$A:$A,$E449),SUMIFS('RAW_농산물_9월'!$G:$G,'RAW_농산물_9월'!$D:$D,$C449,'RAW_농산물_9월'!$A:$A,$E449),SUMIFS('RAW_농산물_10월'!$G:$G,'RAW_농산물_10월'!$D:$D,$C449,'RAW_농산물_10월'!$A:$A,$E449),SUMIFS('RAW_농산물_11-12월'!$G:$G,'RAW_농산물_11-12월'!$D:$D,$C449,'RAW_농산물_11-12월'!$A:$A,$E449))))</f>
        <v/>
      </c>
      <c r="H449" s="14" t="str">
        <f>IF($C449="","",IF('설정'!$B$3=0,"",CHOOSE('설정'!$B$3,SUMIFS('RAW_농산물_7월'!$H:$H,'RAW_농산물_7월'!$D:$D,$C449,'RAW_농산물_7월'!$A:$A,$E449),SUMIFS('RAW_농산물_8월'!$H:$H,'RAW_농산물_8월'!$D:$D,$C449,'RAW_농산물_8월'!$A:$A,$E449),SUMIFS('RAW_농산물_9월'!$H:$H,'RAW_농산물_9월'!$D:$D,$C449,'RAW_농산물_9월'!$A:$A,$E449),SUMIFS('RAW_농산물_10월'!$H:$H,'RAW_농산물_10월'!$D:$D,$C449,'RAW_농산물_10월'!$A:$A,$E449),SUMIFS('RAW_농산물_11-12월'!$H:$H,'RAW_농산물_11-12월'!$D:$D,$C449,'RAW_농산물_11-12월'!$A:$A,$E449))))</f>
        <v/>
      </c>
      <c r="I449" s="17" t="str">
        <f>IF($C449="","",IF(COUNTIFS('RAW_농산물_7월'!$D:$D,$C449,'RAW_농산물_7월'!$A:$A,$E449)&gt;0,"O",""))</f>
        <v/>
      </c>
      <c r="J449" s="17" t="str">
        <f>IF($C449="","",IF(COUNTIFS('RAW_농산물_8월'!$D:$D,$C449,'RAW_농산물_8월'!$A:$A,$E449)&gt;0,"O",""))</f>
        <v/>
      </c>
      <c r="K449" s="17" t="str">
        <f>IF($C449="","",IF(COUNTIFS('RAW_농산물_9월'!$D:$D,$C449,'RAW_농산물_9월'!$A:$A,$E449)&gt;0,"O",""))</f>
        <v/>
      </c>
      <c r="L449" s="17" t="str">
        <f>IF($C449="","",IF(COUNTIFS('RAW_농산물_10월'!$D:$D,$C449,'RAW_농산물_10월'!$A:$A,$E449)&gt;0,"O",""))</f>
        <v/>
      </c>
      <c r="M449" s="17" t="str">
        <f>IF($C449="","",IF(COUNTIFS('RAW_농산물_11-12월'!$D:$D,$C449,'RAW_농산물_11-12월'!$A:$A,$E449)&gt;0,"O",""))</f>
        <v/>
      </c>
      <c r="N449" s="7" t="str">
        <f>IF($C449="","",IF(COUNTA('RAW_농산물_7월'!$A:$A)&lt;=1,"",SUMIFS('RAW_농산물_7월'!$H:$H,'RAW_농산물_7월'!$D:$D,$C449,'RAW_농산물_7월'!$A:$A,$E449)))</f>
        <v/>
      </c>
      <c r="O449" s="7" t="str">
        <f>IF($C449="","",IF(COUNTA('RAW_농산물_8월'!$A:$A)&lt;=1,"",SUMIFS('RAW_농산물_8월'!$H:$H,'RAW_농산물_8월'!$D:$D,$C449,'RAW_농산물_8월'!$A:$A,$E449)-SUMIFS('RAW_농산물_7월'!$H:$H,'RAW_농산물_7월'!$D:$D,$C449,'RAW_농산물_7월'!$A:$A,$E449)))</f>
        <v/>
      </c>
      <c r="P449" s="7" t="str">
        <f>IF($C449="","",IF(COUNTA('RAW_농산물_9월'!$A:$A)&lt;=1,"",SUMIFS('RAW_농산물_9월'!$H:$H,'RAW_농산물_9월'!$D:$D,$C449,'RAW_농산물_9월'!$A:$A,$E449)-SUMIFS('RAW_농산물_8월'!$H:$H,'RAW_농산물_8월'!$D:$D,$C449,'RAW_농산물_8월'!$A:$A,$E449)))</f>
        <v/>
      </c>
      <c r="Q449" s="7" t="str">
        <f>IF($C449="","",IF(COUNTA('RAW_농산물_10월'!$A:$A)&lt;=1,"",SUMIFS('RAW_농산물_10월'!$H:$H,'RAW_농산물_10월'!$D:$D,$C449,'RAW_농산물_10월'!$A:$A,$E449)-SUMIFS('RAW_농산물_9월'!$H:$H,'RAW_농산물_9월'!$D:$D,$C449,'RAW_농산물_9월'!$A:$A,$E449)))</f>
        <v/>
      </c>
      <c r="R449" s="7" t="str">
        <f>IF($C449="","",IF(COUNTA('RAW_농산물_11-12월'!$A:$A)&lt;=1,"",SUMIFS('RAW_농산물_11-12월'!$H:$H,'RAW_농산물_11-12월'!$D:$D,$C449,'RAW_농산물_11-12월'!$A:$A,$E449)-SUMIFS('RAW_농산물_10월'!$H:$H,'RAW_농산물_10월'!$D:$D,$C449,'RAW_농산물_10월'!$A:$A,$E449)))</f>
        <v/>
      </c>
      <c r="S449" s="17" t="str">
        <f t="shared" si="4"/>
        <v/>
      </c>
      <c r="T449" s="17" t="str">
        <f t="shared" si="5"/>
        <v/>
      </c>
      <c r="U449" s="7">
        <f>IF($C449="",0,IF('설정'!$B$3=0,0,CHOOSE('설정'!$B$3,COUNTIFS('RAW_농산물_7월'!$D:$D,$C449,'RAW_농산물_7월'!$A:$A,$E449),COUNTIFS('RAW_농산물_8월'!$D:$D,$C449,'RAW_농산물_8월'!$A:$A,$E449),COUNTIFS('RAW_농산물_9월'!$D:$D,$C449,'RAW_농산물_9월'!$A:$A,$E449),COUNTIFS('RAW_농산물_10월'!$D:$D,$C449,'RAW_농산물_10월'!$A:$A,$E449),COUNTIFS('RAW_농산물_11-12월'!$D:$D,$C449,'RAW_농산물_11-12월'!$A:$A,$E449))))</f>
        <v>0</v>
      </c>
    </row>
    <row r="450" ht="15.75" customHeight="1">
      <c r="A450" s="5"/>
      <c r="B450" s="5"/>
      <c r="C450" s="5"/>
      <c r="D450" s="6"/>
      <c r="E450" s="5"/>
      <c r="F450" s="7" t="str">
        <f>IF($C450="","",IF('설정'!$B$3=0,"",CHOOSE('설정'!$B$3,SUMIFS('RAW_농산물_7월'!$F:$F,'RAW_농산물_7월'!$D:$D,$C450,'RAW_농산물_7월'!$A:$A,$E450),SUMIFS('RAW_농산물_8월'!$F:$F,'RAW_농산물_8월'!$D:$D,$C450,'RAW_농산물_8월'!$A:$A,$E450),SUMIFS('RAW_농산물_9월'!$F:$F,'RAW_농산물_9월'!$D:$D,$C450,'RAW_농산물_9월'!$A:$A,$E450),SUMIFS('RAW_농산물_10월'!$F:$F,'RAW_농산물_10월'!$D:$D,$C450,'RAW_농산물_10월'!$A:$A,$E450),SUMIFS('RAW_농산물_11-12월'!$F:$F,'RAW_농산물_11-12월'!$D:$D,$C450,'RAW_농산물_11-12월'!$A:$A,$E450))))</f>
        <v/>
      </c>
      <c r="G450" s="7" t="str">
        <f>IF($C450="","",IF('설정'!$B$3=0,"",CHOOSE('설정'!$B$3,SUMIFS('RAW_농산물_7월'!$G:$G,'RAW_농산물_7월'!$D:$D,$C450,'RAW_농산물_7월'!$A:$A,$E450),SUMIFS('RAW_농산물_8월'!$G:$G,'RAW_농산물_8월'!$D:$D,$C450,'RAW_농산물_8월'!$A:$A,$E450),SUMIFS('RAW_농산물_9월'!$G:$G,'RAW_농산물_9월'!$D:$D,$C450,'RAW_농산물_9월'!$A:$A,$E450),SUMIFS('RAW_농산물_10월'!$G:$G,'RAW_농산물_10월'!$D:$D,$C450,'RAW_농산물_10월'!$A:$A,$E450),SUMIFS('RAW_농산물_11-12월'!$G:$G,'RAW_농산물_11-12월'!$D:$D,$C450,'RAW_농산물_11-12월'!$A:$A,$E450))))</f>
        <v/>
      </c>
      <c r="H450" s="14" t="str">
        <f>IF($C450="","",IF('설정'!$B$3=0,"",CHOOSE('설정'!$B$3,SUMIFS('RAW_농산물_7월'!$H:$H,'RAW_농산물_7월'!$D:$D,$C450,'RAW_농산물_7월'!$A:$A,$E450),SUMIFS('RAW_농산물_8월'!$H:$H,'RAW_농산물_8월'!$D:$D,$C450,'RAW_농산물_8월'!$A:$A,$E450),SUMIFS('RAW_농산물_9월'!$H:$H,'RAW_농산물_9월'!$D:$D,$C450,'RAW_농산물_9월'!$A:$A,$E450),SUMIFS('RAW_농산물_10월'!$H:$H,'RAW_농산물_10월'!$D:$D,$C450,'RAW_농산물_10월'!$A:$A,$E450),SUMIFS('RAW_농산물_11-12월'!$H:$H,'RAW_농산물_11-12월'!$D:$D,$C450,'RAW_농산물_11-12월'!$A:$A,$E450))))</f>
        <v/>
      </c>
      <c r="I450" s="17" t="str">
        <f>IF($C450="","",IF(COUNTIFS('RAW_농산물_7월'!$D:$D,$C450,'RAW_농산물_7월'!$A:$A,$E450)&gt;0,"O",""))</f>
        <v/>
      </c>
      <c r="J450" s="17" t="str">
        <f>IF($C450="","",IF(COUNTIFS('RAW_농산물_8월'!$D:$D,$C450,'RAW_농산물_8월'!$A:$A,$E450)&gt;0,"O",""))</f>
        <v/>
      </c>
      <c r="K450" s="17" t="str">
        <f>IF($C450="","",IF(COUNTIFS('RAW_농산물_9월'!$D:$D,$C450,'RAW_농산물_9월'!$A:$A,$E450)&gt;0,"O",""))</f>
        <v/>
      </c>
      <c r="L450" s="17" t="str">
        <f>IF($C450="","",IF(COUNTIFS('RAW_농산물_10월'!$D:$D,$C450,'RAW_농산물_10월'!$A:$A,$E450)&gt;0,"O",""))</f>
        <v/>
      </c>
      <c r="M450" s="17" t="str">
        <f>IF($C450="","",IF(COUNTIFS('RAW_농산물_11-12월'!$D:$D,$C450,'RAW_농산물_11-12월'!$A:$A,$E450)&gt;0,"O",""))</f>
        <v/>
      </c>
      <c r="N450" s="7" t="str">
        <f>IF($C450="","",IF(COUNTA('RAW_농산물_7월'!$A:$A)&lt;=1,"",SUMIFS('RAW_농산물_7월'!$H:$H,'RAW_농산물_7월'!$D:$D,$C450,'RAW_농산물_7월'!$A:$A,$E450)))</f>
        <v/>
      </c>
      <c r="O450" s="7" t="str">
        <f>IF($C450="","",IF(COUNTA('RAW_농산물_8월'!$A:$A)&lt;=1,"",SUMIFS('RAW_농산물_8월'!$H:$H,'RAW_농산물_8월'!$D:$D,$C450,'RAW_농산물_8월'!$A:$A,$E450)-SUMIFS('RAW_농산물_7월'!$H:$H,'RAW_농산물_7월'!$D:$D,$C450,'RAW_농산물_7월'!$A:$A,$E450)))</f>
        <v/>
      </c>
      <c r="P450" s="7" t="str">
        <f>IF($C450="","",IF(COUNTA('RAW_농산물_9월'!$A:$A)&lt;=1,"",SUMIFS('RAW_농산물_9월'!$H:$H,'RAW_농산물_9월'!$D:$D,$C450,'RAW_농산물_9월'!$A:$A,$E450)-SUMIFS('RAW_농산물_8월'!$H:$H,'RAW_농산물_8월'!$D:$D,$C450,'RAW_농산물_8월'!$A:$A,$E450)))</f>
        <v/>
      </c>
      <c r="Q450" s="7" t="str">
        <f>IF($C450="","",IF(COUNTA('RAW_농산물_10월'!$A:$A)&lt;=1,"",SUMIFS('RAW_농산물_10월'!$H:$H,'RAW_농산물_10월'!$D:$D,$C450,'RAW_농산물_10월'!$A:$A,$E450)-SUMIFS('RAW_농산물_9월'!$H:$H,'RAW_농산물_9월'!$D:$D,$C450,'RAW_농산물_9월'!$A:$A,$E450)))</f>
        <v/>
      </c>
      <c r="R450" s="7" t="str">
        <f>IF($C450="","",IF(COUNTA('RAW_농산물_11-12월'!$A:$A)&lt;=1,"",SUMIFS('RAW_농산물_11-12월'!$H:$H,'RAW_농산물_11-12월'!$D:$D,$C450,'RAW_농산물_11-12월'!$A:$A,$E450)-SUMIFS('RAW_농산물_10월'!$H:$H,'RAW_농산물_10월'!$D:$D,$C450,'RAW_농산물_10월'!$A:$A,$E450)))</f>
        <v/>
      </c>
      <c r="S450" s="17" t="str">
        <f t="shared" si="4"/>
        <v/>
      </c>
      <c r="T450" s="17" t="str">
        <f t="shared" si="5"/>
        <v/>
      </c>
      <c r="U450" s="7">
        <f>IF($C450="",0,IF('설정'!$B$3=0,0,CHOOSE('설정'!$B$3,COUNTIFS('RAW_농산물_7월'!$D:$D,$C450,'RAW_농산물_7월'!$A:$A,$E450),COUNTIFS('RAW_농산물_8월'!$D:$D,$C450,'RAW_농산물_8월'!$A:$A,$E450),COUNTIFS('RAW_농산물_9월'!$D:$D,$C450,'RAW_농산물_9월'!$A:$A,$E450),COUNTIFS('RAW_농산물_10월'!$D:$D,$C450,'RAW_농산물_10월'!$A:$A,$E450),COUNTIFS('RAW_농산물_11-12월'!$D:$D,$C450,'RAW_농산물_11-12월'!$A:$A,$E450))))</f>
        <v>0</v>
      </c>
    </row>
    <row r="451" ht="15.75" customHeight="1">
      <c r="A451" s="5"/>
      <c r="B451" s="5"/>
      <c r="C451" s="5"/>
      <c r="D451" s="6"/>
      <c r="E451" s="5"/>
      <c r="F451" s="7" t="str">
        <f>IF($C451="","",IF('설정'!$B$3=0,"",CHOOSE('설정'!$B$3,SUMIFS('RAW_농산물_7월'!$F:$F,'RAW_농산물_7월'!$D:$D,$C451,'RAW_농산물_7월'!$A:$A,$E451),SUMIFS('RAW_농산물_8월'!$F:$F,'RAW_농산물_8월'!$D:$D,$C451,'RAW_농산물_8월'!$A:$A,$E451),SUMIFS('RAW_농산물_9월'!$F:$F,'RAW_농산물_9월'!$D:$D,$C451,'RAW_농산물_9월'!$A:$A,$E451),SUMIFS('RAW_농산물_10월'!$F:$F,'RAW_농산물_10월'!$D:$D,$C451,'RAW_농산물_10월'!$A:$A,$E451),SUMIFS('RAW_농산물_11-12월'!$F:$F,'RAW_농산물_11-12월'!$D:$D,$C451,'RAW_농산물_11-12월'!$A:$A,$E451))))</f>
        <v/>
      </c>
      <c r="G451" s="7" t="str">
        <f>IF($C451="","",IF('설정'!$B$3=0,"",CHOOSE('설정'!$B$3,SUMIFS('RAW_농산물_7월'!$G:$G,'RAW_농산물_7월'!$D:$D,$C451,'RAW_농산물_7월'!$A:$A,$E451),SUMIFS('RAW_농산물_8월'!$G:$G,'RAW_농산물_8월'!$D:$D,$C451,'RAW_농산물_8월'!$A:$A,$E451),SUMIFS('RAW_농산물_9월'!$G:$G,'RAW_농산물_9월'!$D:$D,$C451,'RAW_농산물_9월'!$A:$A,$E451),SUMIFS('RAW_농산물_10월'!$G:$G,'RAW_농산물_10월'!$D:$D,$C451,'RAW_농산물_10월'!$A:$A,$E451),SUMIFS('RAW_농산물_11-12월'!$G:$G,'RAW_농산물_11-12월'!$D:$D,$C451,'RAW_농산물_11-12월'!$A:$A,$E451))))</f>
        <v/>
      </c>
      <c r="H451" s="14" t="str">
        <f>IF($C451="","",IF('설정'!$B$3=0,"",CHOOSE('설정'!$B$3,SUMIFS('RAW_농산물_7월'!$H:$H,'RAW_농산물_7월'!$D:$D,$C451,'RAW_농산물_7월'!$A:$A,$E451),SUMIFS('RAW_농산물_8월'!$H:$H,'RAW_농산물_8월'!$D:$D,$C451,'RAW_농산물_8월'!$A:$A,$E451),SUMIFS('RAW_농산물_9월'!$H:$H,'RAW_농산물_9월'!$D:$D,$C451,'RAW_농산물_9월'!$A:$A,$E451),SUMIFS('RAW_농산물_10월'!$H:$H,'RAW_농산물_10월'!$D:$D,$C451,'RAW_농산물_10월'!$A:$A,$E451),SUMIFS('RAW_농산물_11-12월'!$H:$H,'RAW_농산물_11-12월'!$D:$D,$C451,'RAW_농산물_11-12월'!$A:$A,$E451))))</f>
        <v/>
      </c>
      <c r="I451" s="17" t="str">
        <f>IF($C451="","",IF(COUNTIFS('RAW_농산물_7월'!$D:$D,$C451,'RAW_농산물_7월'!$A:$A,$E451)&gt;0,"O",""))</f>
        <v/>
      </c>
      <c r="J451" s="17" t="str">
        <f>IF($C451="","",IF(COUNTIFS('RAW_농산물_8월'!$D:$D,$C451,'RAW_농산물_8월'!$A:$A,$E451)&gt;0,"O",""))</f>
        <v/>
      </c>
      <c r="K451" s="17" t="str">
        <f>IF($C451="","",IF(COUNTIFS('RAW_농산물_9월'!$D:$D,$C451,'RAW_농산물_9월'!$A:$A,$E451)&gt;0,"O",""))</f>
        <v/>
      </c>
      <c r="L451" s="17" t="str">
        <f>IF($C451="","",IF(COUNTIFS('RAW_농산물_10월'!$D:$D,$C451,'RAW_농산물_10월'!$A:$A,$E451)&gt;0,"O",""))</f>
        <v/>
      </c>
      <c r="M451" s="17" t="str">
        <f>IF($C451="","",IF(COUNTIFS('RAW_농산물_11-12월'!$D:$D,$C451,'RAW_농산물_11-12월'!$A:$A,$E451)&gt;0,"O",""))</f>
        <v/>
      </c>
      <c r="N451" s="7" t="str">
        <f>IF($C451="","",IF(COUNTA('RAW_농산물_7월'!$A:$A)&lt;=1,"",SUMIFS('RAW_농산물_7월'!$H:$H,'RAW_농산물_7월'!$D:$D,$C451,'RAW_농산물_7월'!$A:$A,$E451)))</f>
        <v/>
      </c>
      <c r="O451" s="7" t="str">
        <f>IF($C451="","",IF(COUNTA('RAW_농산물_8월'!$A:$A)&lt;=1,"",SUMIFS('RAW_농산물_8월'!$H:$H,'RAW_농산물_8월'!$D:$D,$C451,'RAW_농산물_8월'!$A:$A,$E451)-SUMIFS('RAW_농산물_7월'!$H:$H,'RAW_농산물_7월'!$D:$D,$C451,'RAW_농산물_7월'!$A:$A,$E451)))</f>
        <v/>
      </c>
      <c r="P451" s="7" t="str">
        <f>IF($C451="","",IF(COUNTA('RAW_농산물_9월'!$A:$A)&lt;=1,"",SUMIFS('RAW_농산물_9월'!$H:$H,'RAW_농산물_9월'!$D:$D,$C451,'RAW_농산물_9월'!$A:$A,$E451)-SUMIFS('RAW_농산물_8월'!$H:$H,'RAW_농산물_8월'!$D:$D,$C451,'RAW_농산물_8월'!$A:$A,$E451)))</f>
        <v/>
      </c>
      <c r="Q451" s="7" t="str">
        <f>IF($C451="","",IF(COUNTA('RAW_농산물_10월'!$A:$A)&lt;=1,"",SUMIFS('RAW_농산물_10월'!$H:$H,'RAW_농산물_10월'!$D:$D,$C451,'RAW_농산물_10월'!$A:$A,$E451)-SUMIFS('RAW_농산물_9월'!$H:$H,'RAW_농산물_9월'!$D:$D,$C451,'RAW_농산물_9월'!$A:$A,$E451)))</f>
        <v/>
      </c>
      <c r="R451" s="7" t="str">
        <f>IF($C451="","",IF(COUNTA('RAW_농산물_11-12월'!$A:$A)&lt;=1,"",SUMIFS('RAW_농산물_11-12월'!$H:$H,'RAW_농산물_11-12월'!$D:$D,$C451,'RAW_농산물_11-12월'!$A:$A,$E451)-SUMIFS('RAW_농산물_10월'!$H:$H,'RAW_농산물_10월'!$D:$D,$C451,'RAW_농산물_10월'!$A:$A,$E451)))</f>
        <v/>
      </c>
      <c r="S451" s="17" t="str">
        <f t="shared" si="4"/>
        <v/>
      </c>
      <c r="T451" s="17" t="str">
        <f t="shared" si="5"/>
        <v/>
      </c>
      <c r="U451" s="7">
        <f>IF($C451="",0,IF('설정'!$B$3=0,0,CHOOSE('설정'!$B$3,COUNTIFS('RAW_농산물_7월'!$D:$D,$C451,'RAW_농산물_7월'!$A:$A,$E451),COUNTIFS('RAW_농산물_8월'!$D:$D,$C451,'RAW_농산물_8월'!$A:$A,$E451),COUNTIFS('RAW_농산물_9월'!$D:$D,$C451,'RAW_농산물_9월'!$A:$A,$E451),COUNTIFS('RAW_농산물_10월'!$D:$D,$C451,'RAW_농산물_10월'!$A:$A,$E451),COUNTIFS('RAW_농산물_11-12월'!$D:$D,$C451,'RAW_농산물_11-12월'!$A:$A,$E451))))</f>
        <v>0</v>
      </c>
    </row>
    <row r="452" ht="15.75" customHeight="1">
      <c r="A452" s="5"/>
      <c r="B452" s="5"/>
      <c r="C452" s="5"/>
      <c r="D452" s="6"/>
      <c r="E452" s="5"/>
      <c r="F452" s="7" t="str">
        <f>IF($C452="","",IF('설정'!$B$3=0,"",CHOOSE('설정'!$B$3,SUMIFS('RAW_농산물_7월'!$F:$F,'RAW_농산물_7월'!$D:$D,$C452,'RAW_농산물_7월'!$A:$A,$E452),SUMIFS('RAW_농산물_8월'!$F:$F,'RAW_농산물_8월'!$D:$D,$C452,'RAW_농산물_8월'!$A:$A,$E452),SUMIFS('RAW_농산물_9월'!$F:$F,'RAW_농산물_9월'!$D:$D,$C452,'RAW_농산물_9월'!$A:$A,$E452),SUMIFS('RAW_농산물_10월'!$F:$F,'RAW_농산물_10월'!$D:$D,$C452,'RAW_농산물_10월'!$A:$A,$E452),SUMIFS('RAW_농산물_11-12월'!$F:$F,'RAW_농산물_11-12월'!$D:$D,$C452,'RAW_농산물_11-12월'!$A:$A,$E452))))</f>
        <v/>
      </c>
      <c r="G452" s="7" t="str">
        <f>IF($C452="","",IF('설정'!$B$3=0,"",CHOOSE('설정'!$B$3,SUMIFS('RAW_농산물_7월'!$G:$G,'RAW_농산물_7월'!$D:$D,$C452,'RAW_농산물_7월'!$A:$A,$E452),SUMIFS('RAW_농산물_8월'!$G:$G,'RAW_농산물_8월'!$D:$D,$C452,'RAW_농산물_8월'!$A:$A,$E452),SUMIFS('RAW_농산물_9월'!$G:$G,'RAW_농산물_9월'!$D:$D,$C452,'RAW_농산물_9월'!$A:$A,$E452),SUMIFS('RAW_농산물_10월'!$G:$G,'RAW_농산물_10월'!$D:$D,$C452,'RAW_농산물_10월'!$A:$A,$E452),SUMIFS('RAW_농산물_11-12월'!$G:$G,'RAW_농산물_11-12월'!$D:$D,$C452,'RAW_농산물_11-12월'!$A:$A,$E452))))</f>
        <v/>
      </c>
      <c r="H452" s="14" t="str">
        <f>IF($C452="","",IF('설정'!$B$3=0,"",CHOOSE('설정'!$B$3,SUMIFS('RAW_농산물_7월'!$H:$H,'RAW_농산물_7월'!$D:$D,$C452,'RAW_농산물_7월'!$A:$A,$E452),SUMIFS('RAW_농산물_8월'!$H:$H,'RAW_농산물_8월'!$D:$D,$C452,'RAW_농산물_8월'!$A:$A,$E452),SUMIFS('RAW_농산물_9월'!$H:$H,'RAW_농산물_9월'!$D:$D,$C452,'RAW_농산물_9월'!$A:$A,$E452),SUMIFS('RAW_농산물_10월'!$H:$H,'RAW_농산물_10월'!$D:$D,$C452,'RAW_농산물_10월'!$A:$A,$E452),SUMIFS('RAW_농산물_11-12월'!$H:$H,'RAW_농산물_11-12월'!$D:$D,$C452,'RAW_농산물_11-12월'!$A:$A,$E452))))</f>
        <v/>
      </c>
      <c r="I452" s="17" t="str">
        <f>IF($C452="","",IF(COUNTIFS('RAW_농산물_7월'!$D:$D,$C452,'RAW_농산물_7월'!$A:$A,$E452)&gt;0,"O",""))</f>
        <v/>
      </c>
      <c r="J452" s="17" t="str">
        <f>IF($C452="","",IF(COUNTIFS('RAW_농산물_8월'!$D:$D,$C452,'RAW_농산물_8월'!$A:$A,$E452)&gt;0,"O",""))</f>
        <v/>
      </c>
      <c r="K452" s="17" t="str">
        <f>IF($C452="","",IF(COUNTIFS('RAW_농산물_9월'!$D:$D,$C452,'RAW_농산물_9월'!$A:$A,$E452)&gt;0,"O",""))</f>
        <v/>
      </c>
      <c r="L452" s="17" t="str">
        <f>IF($C452="","",IF(COUNTIFS('RAW_농산물_10월'!$D:$D,$C452,'RAW_농산물_10월'!$A:$A,$E452)&gt;0,"O",""))</f>
        <v/>
      </c>
      <c r="M452" s="17" t="str">
        <f>IF($C452="","",IF(COUNTIFS('RAW_농산물_11-12월'!$D:$D,$C452,'RAW_농산물_11-12월'!$A:$A,$E452)&gt;0,"O",""))</f>
        <v/>
      </c>
      <c r="N452" s="7" t="str">
        <f>IF($C452="","",IF(COUNTA('RAW_농산물_7월'!$A:$A)&lt;=1,"",SUMIFS('RAW_농산물_7월'!$H:$H,'RAW_농산물_7월'!$D:$D,$C452,'RAW_농산물_7월'!$A:$A,$E452)))</f>
        <v/>
      </c>
      <c r="O452" s="7" t="str">
        <f>IF($C452="","",IF(COUNTA('RAW_농산물_8월'!$A:$A)&lt;=1,"",SUMIFS('RAW_농산물_8월'!$H:$H,'RAW_농산물_8월'!$D:$D,$C452,'RAW_농산물_8월'!$A:$A,$E452)-SUMIFS('RAW_농산물_7월'!$H:$H,'RAW_농산물_7월'!$D:$D,$C452,'RAW_농산물_7월'!$A:$A,$E452)))</f>
        <v/>
      </c>
      <c r="P452" s="7" t="str">
        <f>IF($C452="","",IF(COUNTA('RAW_농산물_9월'!$A:$A)&lt;=1,"",SUMIFS('RAW_농산물_9월'!$H:$H,'RAW_농산물_9월'!$D:$D,$C452,'RAW_농산물_9월'!$A:$A,$E452)-SUMIFS('RAW_농산물_8월'!$H:$H,'RAW_농산물_8월'!$D:$D,$C452,'RAW_농산물_8월'!$A:$A,$E452)))</f>
        <v/>
      </c>
      <c r="Q452" s="7" t="str">
        <f>IF($C452="","",IF(COUNTA('RAW_농산물_10월'!$A:$A)&lt;=1,"",SUMIFS('RAW_농산물_10월'!$H:$H,'RAW_농산물_10월'!$D:$D,$C452,'RAW_농산물_10월'!$A:$A,$E452)-SUMIFS('RAW_농산물_9월'!$H:$H,'RAW_농산물_9월'!$D:$D,$C452,'RAW_농산물_9월'!$A:$A,$E452)))</f>
        <v/>
      </c>
      <c r="R452" s="7" t="str">
        <f>IF($C452="","",IF(COUNTA('RAW_농산물_11-12월'!$A:$A)&lt;=1,"",SUMIFS('RAW_농산물_11-12월'!$H:$H,'RAW_농산물_11-12월'!$D:$D,$C452,'RAW_농산물_11-12월'!$A:$A,$E452)-SUMIFS('RAW_농산물_10월'!$H:$H,'RAW_농산물_10월'!$D:$D,$C452,'RAW_농산물_10월'!$A:$A,$E452)))</f>
        <v/>
      </c>
      <c r="S452" s="17" t="str">
        <f t="shared" si="4"/>
        <v/>
      </c>
      <c r="T452" s="17" t="str">
        <f t="shared" si="5"/>
        <v/>
      </c>
      <c r="U452" s="7">
        <f>IF($C452="",0,IF('설정'!$B$3=0,0,CHOOSE('설정'!$B$3,COUNTIFS('RAW_농산물_7월'!$D:$D,$C452,'RAW_농산물_7월'!$A:$A,$E452),COUNTIFS('RAW_농산물_8월'!$D:$D,$C452,'RAW_농산물_8월'!$A:$A,$E452),COUNTIFS('RAW_농산물_9월'!$D:$D,$C452,'RAW_농산물_9월'!$A:$A,$E452),COUNTIFS('RAW_농산물_10월'!$D:$D,$C452,'RAW_농산물_10월'!$A:$A,$E452),COUNTIFS('RAW_농산물_11-12월'!$D:$D,$C452,'RAW_농산물_11-12월'!$A:$A,$E452))))</f>
        <v>0</v>
      </c>
    </row>
    <row r="453" ht="15.75" customHeight="1">
      <c r="A453" s="5"/>
      <c r="B453" s="5"/>
      <c r="C453" s="5"/>
      <c r="D453" s="6"/>
      <c r="E453" s="5"/>
      <c r="F453" s="7" t="str">
        <f>IF($C453="","",IF('설정'!$B$3=0,"",CHOOSE('설정'!$B$3,SUMIFS('RAW_농산물_7월'!$F:$F,'RAW_농산물_7월'!$D:$D,$C453,'RAW_농산물_7월'!$A:$A,$E453),SUMIFS('RAW_농산물_8월'!$F:$F,'RAW_농산물_8월'!$D:$D,$C453,'RAW_농산물_8월'!$A:$A,$E453),SUMIFS('RAW_농산물_9월'!$F:$F,'RAW_농산물_9월'!$D:$D,$C453,'RAW_농산물_9월'!$A:$A,$E453),SUMIFS('RAW_농산물_10월'!$F:$F,'RAW_농산물_10월'!$D:$D,$C453,'RAW_농산물_10월'!$A:$A,$E453),SUMIFS('RAW_농산물_11-12월'!$F:$F,'RAW_농산물_11-12월'!$D:$D,$C453,'RAW_농산물_11-12월'!$A:$A,$E453))))</f>
        <v/>
      </c>
      <c r="G453" s="7" t="str">
        <f>IF($C453="","",IF('설정'!$B$3=0,"",CHOOSE('설정'!$B$3,SUMIFS('RAW_농산물_7월'!$G:$G,'RAW_농산물_7월'!$D:$D,$C453,'RAW_농산물_7월'!$A:$A,$E453),SUMIFS('RAW_농산물_8월'!$G:$G,'RAW_농산물_8월'!$D:$D,$C453,'RAW_농산물_8월'!$A:$A,$E453),SUMIFS('RAW_농산물_9월'!$G:$G,'RAW_농산물_9월'!$D:$D,$C453,'RAW_농산물_9월'!$A:$A,$E453),SUMIFS('RAW_농산물_10월'!$G:$G,'RAW_농산물_10월'!$D:$D,$C453,'RAW_농산물_10월'!$A:$A,$E453),SUMIFS('RAW_농산물_11-12월'!$G:$G,'RAW_농산물_11-12월'!$D:$D,$C453,'RAW_농산물_11-12월'!$A:$A,$E453))))</f>
        <v/>
      </c>
      <c r="H453" s="14" t="str">
        <f>IF($C453="","",IF('설정'!$B$3=0,"",CHOOSE('설정'!$B$3,SUMIFS('RAW_농산물_7월'!$H:$H,'RAW_농산물_7월'!$D:$D,$C453,'RAW_농산물_7월'!$A:$A,$E453),SUMIFS('RAW_농산물_8월'!$H:$H,'RAW_농산물_8월'!$D:$D,$C453,'RAW_농산물_8월'!$A:$A,$E453),SUMIFS('RAW_농산물_9월'!$H:$H,'RAW_농산물_9월'!$D:$D,$C453,'RAW_농산물_9월'!$A:$A,$E453),SUMIFS('RAW_농산물_10월'!$H:$H,'RAW_농산물_10월'!$D:$D,$C453,'RAW_농산물_10월'!$A:$A,$E453),SUMIFS('RAW_농산물_11-12월'!$H:$H,'RAW_농산물_11-12월'!$D:$D,$C453,'RAW_농산물_11-12월'!$A:$A,$E453))))</f>
        <v/>
      </c>
      <c r="I453" s="17" t="str">
        <f>IF($C453="","",IF(COUNTIFS('RAW_농산물_7월'!$D:$D,$C453,'RAW_농산물_7월'!$A:$A,$E453)&gt;0,"O",""))</f>
        <v/>
      </c>
      <c r="J453" s="17" t="str">
        <f>IF($C453="","",IF(COUNTIFS('RAW_농산물_8월'!$D:$D,$C453,'RAW_농산물_8월'!$A:$A,$E453)&gt;0,"O",""))</f>
        <v/>
      </c>
      <c r="K453" s="17" t="str">
        <f>IF($C453="","",IF(COUNTIFS('RAW_농산물_9월'!$D:$D,$C453,'RAW_농산물_9월'!$A:$A,$E453)&gt;0,"O",""))</f>
        <v/>
      </c>
      <c r="L453" s="17" t="str">
        <f>IF($C453="","",IF(COUNTIFS('RAW_농산물_10월'!$D:$D,$C453,'RAW_농산물_10월'!$A:$A,$E453)&gt;0,"O",""))</f>
        <v/>
      </c>
      <c r="M453" s="17" t="str">
        <f>IF($C453="","",IF(COUNTIFS('RAW_농산물_11-12월'!$D:$D,$C453,'RAW_농산물_11-12월'!$A:$A,$E453)&gt;0,"O",""))</f>
        <v/>
      </c>
      <c r="N453" s="7" t="str">
        <f>IF($C453="","",IF(COUNTA('RAW_농산물_7월'!$A:$A)&lt;=1,"",SUMIFS('RAW_농산물_7월'!$H:$H,'RAW_농산물_7월'!$D:$D,$C453,'RAW_농산물_7월'!$A:$A,$E453)))</f>
        <v/>
      </c>
      <c r="O453" s="7" t="str">
        <f>IF($C453="","",IF(COUNTA('RAW_농산물_8월'!$A:$A)&lt;=1,"",SUMIFS('RAW_농산물_8월'!$H:$H,'RAW_농산물_8월'!$D:$D,$C453,'RAW_농산물_8월'!$A:$A,$E453)-SUMIFS('RAW_농산물_7월'!$H:$H,'RAW_농산물_7월'!$D:$D,$C453,'RAW_농산물_7월'!$A:$A,$E453)))</f>
        <v/>
      </c>
      <c r="P453" s="7" t="str">
        <f>IF($C453="","",IF(COUNTA('RAW_농산물_9월'!$A:$A)&lt;=1,"",SUMIFS('RAW_농산물_9월'!$H:$H,'RAW_농산물_9월'!$D:$D,$C453,'RAW_농산물_9월'!$A:$A,$E453)-SUMIFS('RAW_농산물_8월'!$H:$H,'RAW_농산물_8월'!$D:$D,$C453,'RAW_농산물_8월'!$A:$A,$E453)))</f>
        <v/>
      </c>
      <c r="Q453" s="7" t="str">
        <f>IF($C453="","",IF(COUNTA('RAW_농산물_10월'!$A:$A)&lt;=1,"",SUMIFS('RAW_농산물_10월'!$H:$H,'RAW_농산물_10월'!$D:$D,$C453,'RAW_농산물_10월'!$A:$A,$E453)-SUMIFS('RAW_농산물_9월'!$H:$H,'RAW_농산물_9월'!$D:$D,$C453,'RAW_농산물_9월'!$A:$A,$E453)))</f>
        <v/>
      </c>
      <c r="R453" s="7" t="str">
        <f>IF($C453="","",IF(COUNTA('RAW_농산물_11-12월'!$A:$A)&lt;=1,"",SUMIFS('RAW_농산물_11-12월'!$H:$H,'RAW_농산물_11-12월'!$D:$D,$C453,'RAW_농산물_11-12월'!$A:$A,$E453)-SUMIFS('RAW_농산물_10월'!$H:$H,'RAW_농산물_10월'!$D:$D,$C453,'RAW_농산물_10월'!$A:$A,$E453)))</f>
        <v/>
      </c>
      <c r="S453" s="17" t="str">
        <f t="shared" si="4"/>
        <v/>
      </c>
      <c r="T453" s="17" t="str">
        <f t="shared" si="5"/>
        <v/>
      </c>
      <c r="U453" s="7">
        <f>IF($C453="",0,IF('설정'!$B$3=0,0,CHOOSE('설정'!$B$3,COUNTIFS('RAW_농산물_7월'!$D:$D,$C453,'RAW_농산물_7월'!$A:$A,$E453),COUNTIFS('RAW_농산물_8월'!$D:$D,$C453,'RAW_농산물_8월'!$A:$A,$E453),COUNTIFS('RAW_농산물_9월'!$D:$D,$C453,'RAW_농산물_9월'!$A:$A,$E453),COUNTIFS('RAW_농산물_10월'!$D:$D,$C453,'RAW_농산물_10월'!$A:$A,$E453),COUNTIFS('RAW_농산물_11-12월'!$D:$D,$C453,'RAW_농산물_11-12월'!$A:$A,$E453))))</f>
        <v>0</v>
      </c>
    </row>
    <row r="454" ht="15.75" customHeight="1">
      <c r="A454" s="5"/>
      <c r="B454" s="5"/>
      <c r="C454" s="5"/>
      <c r="D454" s="6"/>
      <c r="E454" s="5"/>
      <c r="F454" s="7" t="str">
        <f>IF($C454="","",IF('설정'!$B$3=0,"",CHOOSE('설정'!$B$3,SUMIFS('RAW_농산물_7월'!$F:$F,'RAW_농산물_7월'!$D:$D,$C454,'RAW_농산물_7월'!$A:$A,$E454),SUMIFS('RAW_농산물_8월'!$F:$F,'RAW_농산물_8월'!$D:$D,$C454,'RAW_농산물_8월'!$A:$A,$E454),SUMIFS('RAW_농산물_9월'!$F:$F,'RAW_농산물_9월'!$D:$D,$C454,'RAW_농산물_9월'!$A:$A,$E454),SUMIFS('RAW_농산물_10월'!$F:$F,'RAW_농산물_10월'!$D:$D,$C454,'RAW_농산물_10월'!$A:$A,$E454),SUMIFS('RAW_농산물_11-12월'!$F:$F,'RAW_농산물_11-12월'!$D:$D,$C454,'RAW_농산물_11-12월'!$A:$A,$E454))))</f>
        <v/>
      </c>
      <c r="G454" s="7" t="str">
        <f>IF($C454="","",IF('설정'!$B$3=0,"",CHOOSE('설정'!$B$3,SUMIFS('RAW_농산물_7월'!$G:$G,'RAW_농산물_7월'!$D:$D,$C454,'RAW_농산물_7월'!$A:$A,$E454),SUMIFS('RAW_농산물_8월'!$G:$G,'RAW_농산물_8월'!$D:$D,$C454,'RAW_농산물_8월'!$A:$A,$E454),SUMIFS('RAW_농산물_9월'!$G:$G,'RAW_농산물_9월'!$D:$D,$C454,'RAW_농산물_9월'!$A:$A,$E454),SUMIFS('RAW_농산물_10월'!$G:$G,'RAW_농산물_10월'!$D:$D,$C454,'RAW_농산물_10월'!$A:$A,$E454),SUMIFS('RAW_농산물_11-12월'!$G:$G,'RAW_농산물_11-12월'!$D:$D,$C454,'RAW_농산물_11-12월'!$A:$A,$E454))))</f>
        <v/>
      </c>
      <c r="H454" s="14" t="str">
        <f>IF($C454="","",IF('설정'!$B$3=0,"",CHOOSE('설정'!$B$3,SUMIFS('RAW_농산물_7월'!$H:$H,'RAW_농산물_7월'!$D:$D,$C454,'RAW_농산물_7월'!$A:$A,$E454),SUMIFS('RAW_농산물_8월'!$H:$H,'RAW_농산물_8월'!$D:$D,$C454,'RAW_농산물_8월'!$A:$A,$E454),SUMIFS('RAW_농산물_9월'!$H:$H,'RAW_농산물_9월'!$D:$D,$C454,'RAW_농산물_9월'!$A:$A,$E454),SUMIFS('RAW_농산물_10월'!$H:$H,'RAW_농산물_10월'!$D:$D,$C454,'RAW_농산물_10월'!$A:$A,$E454),SUMIFS('RAW_농산물_11-12월'!$H:$H,'RAW_농산물_11-12월'!$D:$D,$C454,'RAW_농산물_11-12월'!$A:$A,$E454))))</f>
        <v/>
      </c>
      <c r="I454" s="17" t="str">
        <f>IF($C454="","",IF(COUNTIFS('RAW_농산물_7월'!$D:$D,$C454,'RAW_농산물_7월'!$A:$A,$E454)&gt;0,"O",""))</f>
        <v/>
      </c>
      <c r="J454" s="17" t="str">
        <f>IF($C454="","",IF(COUNTIFS('RAW_농산물_8월'!$D:$D,$C454,'RAW_농산물_8월'!$A:$A,$E454)&gt;0,"O",""))</f>
        <v/>
      </c>
      <c r="K454" s="17" t="str">
        <f>IF($C454="","",IF(COUNTIFS('RAW_농산물_9월'!$D:$D,$C454,'RAW_농산물_9월'!$A:$A,$E454)&gt;0,"O",""))</f>
        <v/>
      </c>
      <c r="L454" s="17" t="str">
        <f>IF($C454="","",IF(COUNTIFS('RAW_농산물_10월'!$D:$D,$C454,'RAW_농산물_10월'!$A:$A,$E454)&gt;0,"O",""))</f>
        <v/>
      </c>
      <c r="M454" s="17" t="str">
        <f>IF($C454="","",IF(COUNTIFS('RAW_농산물_11-12월'!$D:$D,$C454,'RAW_농산물_11-12월'!$A:$A,$E454)&gt;0,"O",""))</f>
        <v/>
      </c>
      <c r="N454" s="7" t="str">
        <f>IF($C454="","",IF(COUNTA('RAW_농산물_7월'!$A:$A)&lt;=1,"",SUMIFS('RAW_농산물_7월'!$H:$H,'RAW_농산물_7월'!$D:$D,$C454,'RAW_농산물_7월'!$A:$A,$E454)))</f>
        <v/>
      </c>
      <c r="O454" s="7" t="str">
        <f>IF($C454="","",IF(COUNTA('RAW_농산물_8월'!$A:$A)&lt;=1,"",SUMIFS('RAW_농산물_8월'!$H:$H,'RAW_농산물_8월'!$D:$D,$C454,'RAW_농산물_8월'!$A:$A,$E454)-SUMIFS('RAW_농산물_7월'!$H:$H,'RAW_농산물_7월'!$D:$D,$C454,'RAW_농산물_7월'!$A:$A,$E454)))</f>
        <v/>
      </c>
      <c r="P454" s="7" t="str">
        <f>IF($C454="","",IF(COUNTA('RAW_농산물_9월'!$A:$A)&lt;=1,"",SUMIFS('RAW_농산물_9월'!$H:$H,'RAW_농산물_9월'!$D:$D,$C454,'RAW_농산물_9월'!$A:$A,$E454)-SUMIFS('RAW_농산물_8월'!$H:$H,'RAW_농산물_8월'!$D:$D,$C454,'RAW_농산물_8월'!$A:$A,$E454)))</f>
        <v/>
      </c>
      <c r="Q454" s="7" t="str">
        <f>IF($C454="","",IF(COUNTA('RAW_농산물_10월'!$A:$A)&lt;=1,"",SUMIFS('RAW_농산물_10월'!$H:$H,'RAW_농산물_10월'!$D:$D,$C454,'RAW_농산물_10월'!$A:$A,$E454)-SUMIFS('RAW_농산물_9월'!$H:$H,'RAW_농산물_9월'!$D:$D,$C454,'RAW_농산물_9월'!$A:$A,$E454)))</f>
        <v/>
      </c>
      <c r="R454" s="7" t="str">
        <f>IF($C454="","",IF(COUNTA('RAW_농산물_11-12월'!$A:$A)&lt;=1,"",SUMIFS('RAW_농산물_11-12월'!$H:$H,'RAW_농산물_11-12월'!$D:$D,$C454,'RAW_농산물_11-12월'!$A:$A,$E454)-SUMIFS('RAW_농산물_10월'!$H:$H,'RAW_농산물_10월'!$D:$D,$C454,'RAW_농산물_10월'!$A:$A,$E454)))</f>
        <v/>
      </c>
      <c r="S454" s="17" t="str">
        <f t="shared" si="4"/>
        <v/>
      </c>
      <c r="T454" s="17" t="str">
        <f t="shared" si="5"/>
        <v/>
      </c>
      <c r="U454" s="7">
        <f>IF($C454="",0,IF('설정'!$B$3=0,0,CHOOSE('설정'!$B$3,COUNTIFS('RAW_농산물_7월'!$D:$D,$C454,'RAW_농산물_7월'!$A:$A,$E454),COUNTIFS('RAW_농산물_8월'!$D:$D,$C454,'RAW_농산물_8월'!$A:$A,$E454),COUNTIFS('RAW_농산물_9월'!$D:$D,$C454,'RAW_농산물_9월'!$A:$A,$E454),COUNTIFS('RAW_농산물_10월'!$D:$D,$C454,'RAW_농산물_10월'!$A:$A,$E454),COUNTIFS('RAW_농산물_11-12월'!$D:$D,$C454,'RAW_농산물_11-12월'!$A:$A,$E454))))</f>
        <v>0</v>
      </c>
    </row>
    <row r="455" ht="15.75" customHeight="1">
      <c r="A455" s="5"/>
      <c r="B455" s="5"/>
      <c r="C455" s="5"/>
      <c r="D455" s="6"/>
      <c r="E455" s="5"/>
      <c r="F455" s="7" t="str">
        <f>IF($C455="","",IF('설정'!$B$3=0,"",CHOOSE('설정'!$B$3,SUMIFS('RAW_농산물_7월'!$F:$F,'RAW_농산물_7월'!$D:$D,$C455,'RAW_농산물_7월'!$A:$A,$E455),SUMIFS('RAW_농산물_8월'!$F:$F,'RAW_농산물_8월'!$D:$D,$C455,'RAW_농산물_8월'!$A:$A,$E455),SUMIFS('RAW_농산물_9월'!$F:$F,'RAW_농산물_9월'!$D:$D,$C455,'RAW_농산물_9월'!$A:$A,$E455),SUMIFS('RAW_농산물_10월'!$F:$F,'RAW_농산물_10월'!$D:$D,$C455,'RAW_농산물_10월'!$A:$A,$E455),SUMIFS('RAW_농산물_11-12월'!$F:$F,'RAW_농산물_11-12월'!$D:$D,$C455,'RAW_농산물_11-12월'!$A:$A,$E455))))</f>
        <v/>
      </c>
      <c r="G455" s="7" t="str">
        <f>IF($C455="","",IF('설정'!$B$3=0,"",CHOOSE('설정'!$B$3,SUMIFS('RAW_농산물_7월'!$G:$G,'RAW_농산물_7월'!$D:$D,$C455,'RAW_농산물_7월'!$A:$A,$E455),SUMIFS('RAW_농산물_8월'!$G:$G,'RAW_농산물_8월'!$D:$D,$C455,'RAW_농산물_8월'!$A:$A,$E455),SUMIFS('RAW_농산물_9월'!$G:$G,'RAW_농산물_9월'!$D:$D,$C455,'RAW_농산물_9월'!$A:$A,$E455),SUMIFS('RAW_농산물_10월'!$G:$G,'RAW_농산물_10월'!$D:$D,$C455,'RAW_농산물_10월'!$A:$A,$E455),SUMIFS('RAW_농산물_11-12월'!$G:$G,'RAW_농산물_11-12월'!$D:$D,$C455,'RAW_농산물_11-12월'!$A:$A,$E455))))</f>
        <v/>
      </c>
      <c r="H455" s="14" t="str">
        <f>IF($C455="","",IF('설정'!$B$3=0,"",CHOOSE('설정'!$B$3,SUMIFS('RAW_농산물_7월'!$H:$H,'RAW_농산물_7월'!$D:$D,$C455,'RAW_농산물_7월'!$A:$A,$E455),SUMIFS('RAW_농산물_8월'!$H:$H,'RAW_농산물_8월'!$D:$D,$C455,'RAW_농산물_8월'!$A:$A,$E455),SUMIFS('RAW_농산물_9월'!$H:$H,'RAW_농산물_9월'!$D:$D,$C455,'RAW_농산물_9월'!$A:$A,$E455),SUMIFS('RAW_농산물_10월'!$H:$H,'RAW_농산물_10월'!$D:$D,$C455,'RAW_농산물_10월'!$A:$A,$E455),SUMIFS('RAW_농산물_11-12월'!$H:$H,'RAW_농산물_11-12월'!$D:$D,$C455,'RAW_농산물_11-12월'!$A:$A,$E455))))</f>
        <v/>
      </c>
      <c r="I455" s="17" t="str">
        <f>IF($C455="","",IF(COUNTIFS('RAW_농산물_7월'!$D:$D,$C455,'RAW_농산물_7월'!$A:$A,$E455)&gt;0,"O",""))</f>
        <v/>
      </c>
      <c r="J455" s="17" t="str">
        <f>IF($C455="","",IF(COUNTIFS('RAW_농산물_8월'!$D:$D,$C455,'RAW_농산물_8월'!$A:$A,$E455)&gt;0,"O",""))</f>
        <v/>
      </c>
      <c r="K455" s="17" t="str">
        <f>IF($C455="","",IF(COUNTIFS('RAW_농산물_9월'!$D:$D,$C455,'RAW_농산물_9월'!$A:$A,$E455)&gt;0,"O",""))</f>
        <v/>
      </c>
      <c r="L455" s="17" t="str">
        <f>IF($C455="","",IF(COUNTIFS('RAW_농산물_10월'!$D:$D,$C455,'RAW_농산물_10월'!$A:$A,$E455)&gt;0,"O",""))</f>
        <v/>
      </c>
      <c r="M455" s="17" t="str">
        <f>IF($C455="","",IF(COUNTIFS('RAW_농산물_11-12월'!$D:$D,$C455,'RAW_농산물_11-12월'!$A:$A,$E455)&gt;0,"O",""))</f>
        <v/>
      </c>
      <c r="N455" s="7" t="str">
        <f>IF($C455="","",IF(COUNTA('RAW_농산물_7월'!$A:$A)&lt;=1,"",SUMIFS('RAW_농산물_7월'!$H:$H,'RAW_농산물_7월'!$D:$D,$C455,'RAW_농산물_7월'!$A:$A,$E455)))</f>
        <v/>
      </c>
      <c r="O455" s="7" t="str">
        <f>IF($C455="","",IF(COUNTA('RAW_농산물_8월'!$A:$A)&lt;=1,"",SUMIFS('RAW_농산물_8월'!$H:$H,'RAW_농산물_8월'!$D:$D,$C455,'RAW_농산물_8월'!$A:$A,$E455)-SUMIFS('RAW_농산물_7월'!$H:$H,'RAW_농산물_7월'!$D:$D,$C455,'RAW_농산물_7월'!$A:$A,$E455)))</f>
        <v/>
      </c>
      <c r="P455" s="7" t="str">
        <f>IF($C455="","",IF(COUNTA('RAW_농산물_9월'!$A:$A)&lt;=1,"",SUMIFS('RAW_농산물_9월'!$H:$H,'RAW_농산물_9월'!$D:$D,$C455,'RAW_농산물_9월'!$A:$A,$E455)-SUMIFS('RAW_농산물_8월'!$H:$H,'RAW_농산물_8월'!$D:$D,$C455,'RAW_농산물_8월'!$A:$A,$E455)))</f>
        <v/>
      </c>
      <c r="Q455" s="7" t="str">
        <f>IF($C455="","",IF(COUNTA('RAW_농산물_10월'!$A:$A)&lt;=1,"",SUMIFS('RAW_농산물_10월'!$H:$H,'RAW_농산물_10월'!$D:$D,$C455,'RAW_농산물_10월'!$A:$A,$E455)-SUMIFS('RAW_농산물_9월'!$H:$H,'RAW_농산물_9월'!$D:$D,$C455,'RAW_농산물_9월'!$A:$A,$E455)))</f>
        <v/>
      </c>
      <c r="R455" s="7" t="str">
        <f>IF($C455="","",IF(COUNTA('RAW_농산물_11-12월'!$A:$A)&lt;=1,"",SUMIFS('RAW_농산물_11-12월'!$H:$H,'RAW_농산물_11-12월'!$D:$D,$C455,'RAW_농산물_11-12월'!$A:$A,$E455)-SUMIFS('RAW_농산물_10월'!$H:$H,'RAW_농산물_10월'!$D:$D,$C455,'RAW_농산물_10월'!$A:$A,$E455)))</f>
        <v/>
      </c>
      <c r="S455" s="17" t="str">
        <f t="shared" si="4"/>
        <v/>
      </c>
      <c r="T455" s="17" t="str">
        <f t="shared" si="5"/>
        <v/>
      </c>
      <c r="U455" s="7">
        <f>IF($C455="",0,IF('설정'!$B$3=0,0,CHOOSE('설정'!$B$3,COUNTIFS('RAW_농산물_7월'!$D:$D,$C455,'RAW_농산물_7월'!$A:$A,$E455),COUNTIFS('RAW_농산물_8월'!$D:$D,$C455,'RAW_농산물_8월'!$A:$A,$E455),COUNTIFS('RAW_농산물_9월'!$D:$D,$C455,'RAW_농산물_9월'!$A:$A,$E455),COUNTIFS('RAW_농산물_10월'!$D:$D,$C455,'RAW_농산물_10월'!$A:$A,$E455),COUNTIFS('RAW_농산물_11-12월'!$D:$D,$C455,'RAW_농산물_11-12월'!$A:$A,$E455))))</f>
        <v>0</v>
      </c>
    </row>
    <row r="456" ht="15.75" customHeight="1">
      <c r="A456" s="5"/>
      <c r="B456" s="5"/>
      <c r="C456" s="5"/>
      <c r="D456" s="6"/>
      <c r="E456" s="5"/>
      <c r="F456" s="7" t="str">
        <f>IF($C456="","",IF('설정'!$B$3=0,"",CHOOSE('설정'!$B$3,SUMIFS('RAW_농산물_7월'!$F:$F,'RAW_농산물_7월'!$D:$D,$C456,'RAW_농산물_7월'!$A:$A,$E456),SUMIFS('RAW_농산물_8월'!$F:$F,'RAW_농산물_8월'!$D:$D,$C456,'RAW_농산물_8월'!$A:$A,$E456),SUMIFS('RAW_농산물_9월'!$F:$F,'RAW_농산물_9월'!$D:$D,$C456,'RAW_농산물_9월'!$A:$A,$E456),SUMIFS('RAW_농산물_10월'!$F:$F,'RAW_농산물_10월'!$D:$D,$C456,'RAW_농산물_10월'!$A:$A,$E456),SUMIFS('RAW_농산물_11-12월'!$F:$F,'RAW_농산물_11-12월'!$D:$D,$C456,'RAW_농산물_11-12월'!$A:$A,$E456))))</f>
        <v/>
      </c>
      <c r="G456" s="7" t="str">
        <f>IF($C456="","",IF('설정'!$B$3=0,"",CHOOSE('설정'!$B$3,SUMIFS('RAW_농산물_7월'!$G:$G,'RAW_농산물_7월'!$D:$D,$C456,'RAW_농산물_7월'!$A:$A,$E456),SUMIFS('RAW_농산물_8월'!$G:$G,'RAW_농산물_8월'!$D:$D,$C456,'RAW_농산물_8월'!$A:$A,$E456),SUMIFS('RAW_농산물_9월'!$G:$G,'RAW_농산물_9월'!$D:$D,$C456,'RAW_농산물_9월'!$A:$A,$E456),SUMIFS('RAW_농산물_10월'!$G:$G,'RAW_농산물_10월'!$D:$D,$C456,'RAW_농산물_10월'!$A:$A,$E456),SUMIFS('RAW_농산물_11-12월'!$G:$G,'RAW_농산물_11-12월'!$D:$D,$C456,'RAW_농산물_11-12월'!$A:$A,$E456))))</f>
        <v/>
      </c>
      <c r="H456" s="14" t="str">
        <f>IF($C456="","",IF('설정'!$B$3=0,"",CHOOSE('설정'!$B$3,SUMIFS('RAW_농산물_7월'!$H:$H,'RAW_농산물_7월'!$D:$D,$C456,'RAW_농산물_7월'!$A:$A,$E456),SUMIFS('RAW_농산물_8월'!$H:$H,'RAW_농산물_8월'!$D:$D,$C456,'RAW_농산물_8월'!$A:$A,$E456),SUMIFS('RAW_농산물_9월'!$H:$H,'RAW_농산물_9월'!$D:$D,$C456,'RAW_농산물_9월'!$A:$A,$E456),SUMIFS('RAW_농산물_10월'!$H:$H,'RAW_농산물_10월'!$D:$D,$C456,'RAW_농산물_10월'!$A:$A,$E456),SUMIFS('RAW_농산물_11-12월'!$H:$H,'RAW_농산물_11-12월'!$D:$D,$C456,'RAW_농산물_11-12월'!$A:$A,$E456))))</f>
        <v/>
      </c>
      <c r="I456" s="17" t="str">
        <f>IF($C456="","",IF(COUNTIFS('RAW_농산물_7월'!$D:$D,$C456,'RAW_농산물_7월'!$A:$A,$E456)&gt;0,"O",""))</f>
        <v/>
      </c>
      <c r="J456" s="17" t="str">
        <f>IF($C456="","",IF(COUNTIFS('RAW_농산물_8월'!$D:$D,$C456,'RAW_농산물_8월'!$A:$A,$E456)&gt;0,"O",""))</f>
        <v/>
      </c>
      <c r="K456" s="17" t="str">
        <f>IF($C456="","",IF(COUNTIFS('RAW_농산물_9월'!$D:$D,$C456,'RAW_농산물_9월'!$A:$A,$E456)&gt;0,"O",""))</f>
        <v/>
      </c>
      <c r="L456" s="17" t="str">
        <f>IF($C456="","",IF(COUNTIFS('RAW_농산물_10월'!$D:$D,$C456,'RAW_농산물_10월'!$A:$A,$E456)&gt;0,"O",""))</f>
        <v/>
      </c>
      <c r="M456" s="17" t="str">
        <f>IF($C456="","",IF(COUNTIFS('RAW_농산물_11-12월'!$D:$D,$C456,'RAW_농산물_11-12월'!$A:$A,$E456)&gt;0,"O",""))</f>
        <v/>
      </c>
      <c r="N456" s="7" t="str">
        <f>IF($C456="","",IF(COUNTA('RAW_농산물_7월'!$A:$A)&lt;=1,"",SUMIFS('RAW_농산물_7월'!$H:$H,'RAW_농산물_7월'!$D:$D,$C456,'RAW_농산물_7월'!$A:$A,$E456)))</f>
        <v/>
      </c>
      <c r="O456" s="7" t="str">
        <f>IF($C456="","",IF(COUNTA('RAW_농산물_8월'!$A:$A)&lt;=1,"",SUMIFS('RAW_농산물_8월'!$H:$H,'RAW_농산물_8월'!$D:$D,$C456,'RAW_농산물_8월'!$A:$A,$E456)-SUMIFS('RAW_농산물_7월'!$H:$H,'RAW_농산물_7월'!$D:$D,$C456,'RAW_농산물_7월'!$A:$A,$E456)))</f>
        <v/>
      </c>
      <c r="P456" s="7" t="str">
        <f>IF($C456="","",IF(COUNTA('RAW_농산물_9월'!$A:$A)&lt;=1,"",SUMIFS('RAW_농산물_9월'!$H:$H,'RAW_농산물_9월'!$D:$D,$C456,'RAW_농산물_9월'!$A:$A,$E456)-SUMIFS('RAW_농산물_8월'!$H:$H,'RAW_농산물_8월'!$D:$D,$C456,'RAW_농산물_8월'!$A:$A,$E456)))</f>
        <v/>
      </c>
      <c r="Q456" s="7" t="str">
        <f>IF($C456="","",IF(COUNTA('RAW_농산물_10월'!$A:$A)&lt;=1,"",SUMIFS('RAW_농산물_10월'!$H:$H,'RAW_농산물_10월'!$D:$D,$C456,'RAW_농산물_10월'!$A:$A,$E456)-SUMIFS('RAW_농산물_9월'!$H:$H,'RAW_농산물_9월'!$D:$D,$C456,'RAW_농산물_9월'!$A:$A,$E456)))</f>
        <v/>
      </c>
      <c r="R456" s="7" t="str">
        <f>IF($C456="","",IF(COUNTA('RAW_농산물_11-12월'!$A:$A)&lt;=1,"",SUMIFS('RAW_농산물_11-12월'!$H:$H,'RAW_농산물_11-12월'!$D:$D,$C456,'RAW_농산물_11-12월'!$A:$A,$E456)-SUMIFS('RAW_농산물_10월'!$H:$H,'RAW_농산물_10월'!$D:$D,$C456,'RAW_농산물_10월'!$A:$A,$E456)))</f>
        <v/>
      </c>
      <c r="S456" s="17" t="str">
        <f t="shared" si="4"/>
        <v/>
      </c>
      <c r="T456" s="17" t="str">
        <f t="shared" si="5"/>
        <v/>
      </c>
      <c r="U456" s="7">
        <f>IF($C456="",0,IF('설정'!$B$3=0,0,CHOOSE('설정'!$B$3,COUNTIFS('RAW_농산물_7월'!$D:$D,$C456,'RAW_농산물_7월'!$A:$A,$E456),COUNTIFS('RAW_농산물_8월'!$D:$D,$C456,'RAW_농산물_8월'!$A:$A,$E456),COUNTIFS('RAW_농산물_9월'!$D:$D,$C456,'RAW_농산물_9월'!$A:$A,$E456),COUNTIFS('RAW_농산물_10월'!$D:$D,$C456,'RAW_농산물_10월'!$A:$A,$E456),COUNTIFS('RAW_농산물_11-12월'!$D:$D,$C456,'RAW_농산물_11-12월'!$A:$A,$E456))))</f>
        <v>0</v>
      </c>
    </row>
    <row r="457" ht="15.75" customHeight="1">
      <c r="A457" s="5"/>
      <c r="B457" s="5"/>
      <c r="C457" s="5"/>
      <c r="D457" s="6"/>
      <c r="E457" s="5"/>
      <c r="F457" s="7" t="str">
        <f>IF($C457="","",IF('설정'!$B$3=0,"",CHOOSE('설정'!$B$3,SUMIFS('RAW_농산물_7월'!$F:$F,'RAW_농산물_7월'!$D:$D,$C457,'RAW_농산물_7월'!$A:$A,$E457),SUMIFS('RAW_농산물_8월'!$F:$F,'RAW_농산물_8월'!$D:$D,$C457,'RAW_농산물_8월'!$A:$A,$E457),SUMIFS('RAW_농산물_9월'!$F:$F,'RAW_농산물_9월'!$D:$D,$C457,'RAW_농산물_9월'!$A:$A,$E457),SUMIFS('RAW_농산물_10월'!$F:$F,'RAW_농산물_10월'!$D:$D,$C457,'RAW_농산물_10월'!$A:$A,$E457),SUMIFS('RAW_농산물_11-12월'!$F:$F,'RAW_농산물_11-12월'!$D:$D,$C457,'RAW_농산물_11-12월'!$A:$A,$E457))))</f>
        <v/>
      </c>
      <c r="G457" s="7" t="str">
        <f>IF($C457="","",IF('설정'!$B$3=0,"",CHOOSE('설정'!$B$3,SUMIFS('RAW_농산물_7월'!$G:$G,'RAW_농산물_7월'!$D:$D,$C457,'RAW_농산물_7월'!$A:$A,$E457),SUMIFS('RAW_농산물_8월'!$G:$G,'RAW_농산물_8월'!$D:$D,$C457,'RAW_농산물_8월'!$A:$A,$E457),SUMIFS('RAW_농산물_9월'!$G:$G,'RAW_농산물_9월'!$D:$D,$C457,'RAW_농산물_9월'!$A:$A,$E457),SUMIFS('RAW_농산물_10월'!$G:$G,'RAW_농산물_10월'!$D:$D,$C457,'RAW_농산물_10월'!$A:$A,$E457),SUMIFS('RAW_농산물_11-12월'!$G:$G,'RAW_농산물_11-12월'!$D:$D,$C457,'RAW_농산물_11-12월'!$A:$A,$E457))))</f>
        <v/>
      </c>
      <c r="H457" s="14" t="str">
        <f>IF($C457="","",IF('설정'!$B$3=0,"",CHOOSE('설정'!$B$3,SUMIFS('RAW_농산물_7월'!$H:$H,'RAW_농산물_7월'!$D:$D,$C457,'RAW_농산물_7월'!$A:$A,$E457),SUMIFS('RAW_농산물_8월'!$H:$H,'RAW_농산물_8월'!$D:$D,$C457,'RAW_농산물_8월'!$A:$A,$E457),SUMIFS('RAW_농산물_9월'!$H:$H,'RAW_농산물_9월'!$D:$D,$C457,'RAW_농산물_9월'!$A:$A,$E457),SUMIFS('RAW_농산물_10월'!$H:$H,'RAW_농산물_10월'!$D:$D,$C457,'RAW_농산물_10월'!$A:$A,$E457),SUMIFS('RAW_농산물_11-12월'!$H:$H,'RAW_농산물_11-12월'!$D:$D,$C457,'RAW_농산물_11-12월'!$A:$A,$E457))))</f>
        <v/>
      </c>
      <c r="I457" s="17" t="str">
        <f>IF($C457="","",IF(COUNTIFS('RAW_농산물_7월'!$D:$D,$C457,'RAW_농산물_7월'!$A:$A,$E457)&gt;0,"O",""))</f>
        <v/>
      </c>
      <c r="J457" s="17" t="str">
        <f>IF($C457="","",IF(COUNTIFS('RAW_농산물_8월'!$D:$D,$C457,'RAW_농산물_8월'!$A:$A,$E457)&gt;0,"O",""))</f>
        <v/>
      </c>
      <c r="K457" s="17" t="str">
        <f>IF($C457="","",IF(COUNTIFS('RAW_농산물_9월'!$D:$D,$C457,'RAW_농산물_9월'!$A:$A,$E457)&gt;0,"O",""))</f>
        <v/>
      </c>
      <c r="L457" s="17" t="str">
        <f>IF($C457="","",IF(COUNTIFS('RAW_농산물_10월'!$D:$D,$C457,'RAW_농산물_10월'!$A:$A,$E457)&gt;0,"O",""))</f>
        <v/>
      </c>
      <c r="M457" s="17" t="str">
        <f>IF($C457="","",IF(COUNTIFS('RAW_농산물_11-12월'!$D:$D,$C457,'RAW_농산물_11-12월'!$A:$A,$E457)&gt;0,"O",""))</f>
        <v/>
      </c>
      <c r="N457" s="7" t="str">
        <f>IF($C457="","",IF(COUNTA('RAW_농산물_7월'!$A:$A)&lt;=1,"",SUMIFS('RAW_농산물_7월'!$H:$H,'RAW_농산물_7월'!$D:$D,$C457,'RAW_농산물_7월'!$A:$A,$E457)))</f>
        <v/>
      </c>
      <c r="O457" s="7" t="str">
        <f>IF($C457="","",IF(COUNTA('RAW_농산물_8월'!$A:$A)&lt;=1,"",SUMIFS('RAW_농산물_8월'!$H:$H,'RAW_농산물_8월'!$D:$D,$C457,'RAW_농산물_8월'!$A:$A,$E457)-SUMIFS('RAW_농산물_7월'!$H:$H,'RAW_농산물_7월'!$D:$D,$C457,'RAW_농산물_7월'!$A:$A,$E457)))</f>
        <v/>
      </c>
      <c r="P457" s="7" t="str">
        <f>IF($C457="","",IF(COUNTA('RAW_농산물_9월'!$A:$A)&lt;=1,"",SUMIFS('RAW_농산물_9월'!$H:$H,'RAW_농산물_9월'!$D:$D,$C457,'RAW_농산물_9월'!$A:$A,$E457)-SUMIFS('RAW_농산물_8월'!$H:$H,'RAW_농산물_8월'!$D:$D,$C457,'RAW_농산물_8월'!$A:$A,$E457)))</f>
        <v/>
      </c>
      <c r="Q457" s="7" t="str">
        <f>IF($C457="","",IF(COUNTA('RAW_농산물_10월'!$A:$A)&lt;=1,"",SUMIFS('RAW_농산물_10월'!$H:$H,'RAW_농산물_10월'!$D:$D,$C457,'RAW_농산물_10월'!$A:$A,$E457)-SUMIFS('RAW_농산물_9월'!$H:$H,'RAW_농산물_9월'!$D:$D,$C457,'RAW_농산물_9월'!$A:$A,$E457)))</f>
        <v/>
      </c>
      <c r="R457" s="7" t="str">
        <f>IF($C457="","",IF(COUNTA('RAW_농산물_11-12월'!$A:$A)&lt;=1,"",SUMIFS('RAW_농산물_11-12월'!$H:$H,'RAW_농산물_11-12월'!$D:$D,$C457,'RAW_농산물_11-12월'!$A:$A,$E457)-SUMIFS('RAW_농산물_10월'!$H:$H,'RAW_농산물_10월'!$D:$D,$C457,'RAW_농산물_10월'!$A:$A,$E457)))</f>
        <v/>
      </c>
      <c r="S457" s="17" t="str">
        <f t="shared" si="4"/>
        <v/>
      </c>
      <c r="T457" s="17" t="str">
        <f t="shared" si="5"/>
        <v/>
      </c>
      <c r="U457" s="7">
        <f>IF($C457="",0,IF('설정'!$B$3=0,0,CHOOSE('설정'!$B$3,COUNTIFS('RAW_농산물_7월'!$D:$D,$C457,'RAW_농산물_7월'!$A:$A,$E457),COUNTIFS('RAW_농산물_8월'!$D:$D,$C457,'RAW_농산물_8월'!$A:$A,$E457),COUNTIFS('RAW_농산물_9월'!$D:$D,$C457,'RAW_농산물_9월'!$A:$A,$E457),COUNTIFS('RAW_농산물_10월'!$D:$D,$C457,'RAW_농산물_10월'!$A:$A,$E457),COUNTIFS('RAW_농산물_11-12월'!$D:$D,$C457,'RAW_농산물_11-12월'!$A:$A,$E457))))</f>
        <v>0</v>
      </c>
    </row>
    <row r="458" ht="15.75" customHeight="1">
      <c r="A458" s="5"/>
      <c r="B458" s="5"/>
      <c r="C458" s="5"/>
      <c r="D458" s="6"/>
      <c r="E458" s="5"/>
      <c r="F458" s="7" t="str">
        <f>IF($C458="","",IF('설정'!$B$3=0,"",CHOOSE('설정'!$B$3,SUMIFS('RAW_농산물_7월'!$F:$F,'RAW_농산물_7월'!$D:$D,$C458,'RAW_농산물_7월'!$A:$A,$E458),SUMIFS('RAW_농산물_8월'!$F:$F,'RAW_농산물_8월'!$D:$D,$C458,'RAW_농산물_8월'!$A:$A,$E458),SUMIFS('RAW_농산물_9월'!$F:$F,'RAW_농산물_9월'!$D:$D,$C458,'RAW_농산물_9월'!$A:$A,$E458),SUMIFS('RAW_농산물_10월'!$F:$F,'RAW_농산물_10월'!$D:$D,$C458,'RAW_농산물_10월'!$A:$A,$E458),SUMIFS('RAW_농산물_11-12월'!$F:$F,'RAW_농산물_11-12월'!$D:$D,$C458,'RAW_농산물_11-12월'!$A:$A,$E458))))</f>
        <v/>
      </c>
      <c r="G458" s="7" t="str">
        <f>IF($C458="","",IF('설정'!$B$3=0,"",CHOOSE('설정'!$B$3,SUMIFS('RAW_농산물_7월'!$G:$G,'RAW_농산물_7월'!$D:$D,$C458,'RAW_농산물_7월'!$A:$A,$E458),SUMIFS('RAW_농산물_8월'!$G:$G,'RAW_농산물_8월'!$D:$D,$C458,'RAW_농산물_8월'!$A:$A,$E458),SUMIFS('RAW_농산물_9월'!$G:$G,'RAW_농산물_9월'!$D:$D,$C458,'RAW_농산물_9월'!$A:$A,$E458),SUMIFS('RAW_농산물_10월'!$G:$G,'RAW_농산물_10월'!$D:$D,$C458,'RAW_농산물_10월'!$A:$A,$E458),SUMIFS('RAW_농산물_11-12월'!$G:$G,'RAW_농산물_11-12월'!$D:$D,$C458,'RAW_농산물_11-12월'!$A:$A,$E458))))</f>
        <v/>
      </c>
      <c r="H458" s="14" t="str">
        <f>IF($C458="","",IF('설정'!$B$3=0,"",CHOOSE('설정'!$B$3,SUMIFS('RAW_농산물_7월'!$H:$H,'RAW_농산물_7월'!$D:$D,$C458,'RAW_농산물_7월'!$A:$A,$E458),SUMIFS('RAW_농산물_8월'!$H:$H,'RAW_농산물_8월'!$D:$D,$C458,'RAW_농산물_8월'!$A:$A,$E458),SUMIFS('RAW_농산물_9월'!$H:$H,'RAW_농산물_9월'!$D:$D,$C458,'RAW_농산물_9월'!$A:$A,$E458),SUMIFS('RAW_농산물_10월'!$H:$H,'RAW_농산물_10월'!$D:$D,$C458,'RAW_농산물_10월'!$A:$A,$E458),SUMIFS('RAW_농산물_11-12월'!$H:$H,'RAW_농산물_11-12월'!$D:$D,$C458,'RAW_농산물_11-12월'!$A:$A,$E458))))</f>
        <v/>
      </c>
      <c r="I458" s="17" t="str">
        <f>IF($C458="","",IF(COUNTIFS('RAW_농산물_7월'!$D:$D,$C458,'RAW_농산물_7월'!$A:$A,$E458)&gt;0,"O",""))</f>
        <v/>
      </c>
      <c r="J458" s="17" t="str">
        <f>IF($C458="","",IF(COUNTIFS('RAW_농산물_8월'!$D:$D,$C458,'RAW_농산물_8월'!$A:$A,$E458)&gt;0,"O",""))</f>
        <v/>
      </c>
      <c r="K458" s="17" t="str">
        <f>IF($C458="","",IF(COUNTIFS('RAW_농산물_9월'!$D:$D,$C458,'RAW_농산물_9월'!$A:$A,$E458)&gt;0,"O",""))</f>
        <v/>
      </c>
      <c r="L458" s="17" t="str">
        <f>IF($C458="","",IF(COUNTIFS('RAW_농산물_10월'!$D:$D,$C458,'RAW_농산물_10월'!$A:$A,$E458)&gt;0,"O",""))</f>
        <v/>
      </c>
      <c r="M458" s="17" t="str">
        <f>IF($C458="","",IF(COUNTIFS('RAW_농산물_11-12월'!$D:$D,$C458,'RAW_농산물_11-12월'!$A:$A,$E458)&gt;0,"O",""))</f>
        <v/>
      </c>
      <c r="N458" s="7" t="str">
        <f>IF($C458="","",IF(COUNTA('RAW_농산물_7월'!$A:$A)&lt;=1,"",SUMIFS('RAW_농산물_7월'!$H:$H,'RAW_농산물_7월'!$D:$D,$C458,'RAW_농산물_7월'!$A:$A,$E458)))</f>
        <v/>
      </c>
      <c r="O458" s="7" t="str">
        <f>IF($C458="","",IF(COUNTA('RAW_농산물_8월'!$A:$A)&lt;=1,"",SUMIFS('RAW_농산물_8월'!$H:$H,'RAW_농산물_8월'!$D:$D,$C458,'RAW_농산물_8월'!$A:$A,$E458)-SUMIFS('RAW_농산물_7월'!$H:$H,'RAW_농산물_7월'!$D:$D,$C458,'RAW_농산물_7월'!$A:$A,$E458)))</f>
        <v/>
      </c>
      <c r="P458" s="7" t="str">
        <f>IF($C458="","",IF(COUNTA('RAW_농산물_9월'!$A:$A)&lt;=1,"",SUMIFS('RAW_농산물_9월'!$H:$H,'RAW_농산물_9월'!$D:$D,$C458,'RAW_농산물_9월'!$A:$A,$E458)-SUMIFS('RAW_농산물_8월'!$H:$H,'RAW_농산물_8월'!$D:$D,$C458,'RAW_농산물_8월'!$A:$A,$E458)))</f>
        <v/>
      </c>
      <c r="Q458" s="7" t="str">
        <f>IF($C458="","",IF(COUNTA('RAW_농산물_10월'!$A:$A)&lt;=1,"",SUMIFS('RAW_농산물_10월'!$H:$H,'RAW_농산물_10월'!$D:$D,$C458,'RAW_농산물_10월'!$A:$A,$E458)-SUMIFS('RAW_농산물_9월'!$H:$H,'RAW_농산물_9월'!$D:$D,$C458,'RAW_농산물_9월'!$A:$A,$E458)))</f>
        <v/>
      </c>
      <c r="R458" s="7" t="str">
        <f>IF($C458="","",IF(COUNTA('RAW_농산물_11-12월'!$A:$A)&lt;=1,"",SUMIFS('RAW_농산물_11-12월'!$H:$H,'RAW_농산물_11-12월'!$D:$D,$C458,'RAW_농산물_11-12월'!$A:$A,$E458)-SUMIFS('RAW_농산물_10월'!$H:$H,'RAW_농산물_10월'!$D:$D,$C458,'RAW_농산물_10월'!$A:$A,$E458)))</f>
        <v/>
      </c>
      <c r="S458" s="17" t="str">
        <f t="shared" si="4"/>
        <v/>
      </c>
      <c r="T458" s="17" t="str">
        <f t="shared" si="5"/>
        <v/>
      </c>
      <c r="U458" s="7">
        <f>IF($C458="",0,IF('설정'!$B$3=0,0,CHOOSE('설정'!$B$3,COUNTIFS('RAW_농산물_7월'!$D:$D,$C458,'RAW_농산물_7월'!$A:$A,$E458),COUNTIFS('RAW_농산물_8월'!$D:$D,$C458,'RAW_농산물_8월'!$A:$A,$E458),COUNTIFS('RAW_농산물_9월'!$D:$D,$C458,'RAW_농산물_9월'!$A:$A,$E458),COUNTIFS('RAW_농산물_10월'!$D:$D,$C458,'RAW_농산물_10월'!$A:$A,$E458),COUNTIFS('RAW_농산물_11-12월'!$D:$D,$C458,'RAW_농산물_11-12월'!$A:$A,$E458))))</f>
        <v>0</v>
      </c>
    </row>
    <row r="459" ht="15.75" customHeight="1">
      <c r="A459" s="5"/>
      <c r="B459" s="5"/>
      <c r="C459" s="5"/>
      <c r="D459" s="6"/>
      <c r="E459" s="5"/>
      <c r="F459" s="7" t="str">
        <f>IF($C459="","",IF('설정'!$B$3=0,"",CHOOSE('설정'!$B$3,SUMIFS('RAW_농산물_7월'!$F:$F,'RAW_농산물_7월'!$D:$D,$C459,'RAW_농산물_7월'!$A:$A,$E459),SUMIFS('RAW_농산물_8월'!$F:$F,'RAW_농산물_8월'!$D:$D,$C459,'RAW_농산물_8월'!$A:$A,$E459),SUMIFS('RAW_농산물_9월'!$F:$F,'RAW_농산물_9월'!$D:$D,$C459,'RAW_농산물_9월'!$A:$A,$E459),SUMIFS('RAW_농산물_10월'!$F:$F,'RAW_농산물_10월'!$D:$D,$C459,'RAW_농산물_10월'!$A:$A,$E459),SUMIFS('RAW_농산물_11-12월'!$F:$F,'RAW_농산물_11-12월'!$D:$D,$C459,'RAW_농산물_11-12월'!$A:$A,$E459))))</f>
        <v/>
      </c>
      <c r="G459" s="7" t="str">
        <f>IF($C459="","",IF('설정'!$B$3=0,"",CHOOSE('설정'!$B$3,SUMIFS('RAW_농산물_7월'!$G:$G,'RAW_농산물_7월'!$D:$D,$C459,'RAW_농산물_7월'!$A:$A,$E459),SUMIFS('RAW_농산물_8월'!$G:$G,'RAW_농산물_8월'!$D:$D,$C459,'RAW_농산물_8월'!$A:$A,$E459),SUMIFS('RAW_농산물_9월'!$G:$G,'RAW_농산물_9월'!$D:$D,$C459,'RAW_농산물_9월'!$A:$A,$E459),SUMIFS('RAW_농산물_10월'!$G:$G,'RAW_농산물_10월'!$D:$D,$C459,'RAW_농산물_10월'!$A:$A,$E459),SUMIFS('RAW_농산물_11-12월'!$G:$G,'RAW_농산물_11-12월'!$D:$D,$C459,'RAW_농산물_11-12월'!$A:$A,$E459))))</f>
        <v/>
      </c>
      <c r="H459" s="14" t="str">
        <f>IF($C459="","",IF('설정'!$B$3=0,"",CHOOSE('설정'!$B$3,SUMIFS('RAW_농산물_7월'!$H:$H,'RAW_농산물_7월'!$D:$D,$C459,'RAW_농산물_7월'!$A:$A,$E459),SUMIFS('RAW_농산물_8월'!$H:$H,'RAW_농산물_8월'!$D:$D,$C459,'RAW_농산물_8월'!$A:$A,$E459),SUMIFS('RAW_농산물_9월'!$H:$H,'RAW_농산물_9월'!$D:$D,$C459,'RAW_농산물_9월'!$A:$A,$E459),SUMIFS('RAW_농산물_10월'!$H:$H,'RAW_농산물_10월'!$D:$D,$C459,'RAW_농산물_10월'!$A:$A,$E459),SUMIFS('RAW_농산물_11-12월'!$H:$H,'RAW_농산물_11-12월'!$D:$D,$C459,'RAW_농산물_11-12월'!$A:$A,$E459))))</f>
        <v/>
      </c>
      <c r="I459" s="17" t="str">
        <f>IF($C459="","",IF(COUNTIFS('RAW_농산물_7월'!$D:$D,$C459,'RAW_농산물_7월'!$A:$A,$E459)&gt;0,"O",""))</f>
        <v/>
      </c>
      <c r="J459" s="17" t="str">
        <f>IF($C459="","",IF(COUNTIFS('RAW_농산물_8월'!$D:$D,$C459,'RAW_농산물_8월'!$A:$A,$E459)&gt;0,"O",""))</f>
        <v/>
      </c>
      <c r="K459" s="17" t="str">
        <f>IF($C459="","",IF(COUNTIFS('RAW_농산물_9월'!$D:$D,$C459,'RAW_농산물_9월'!$A:$A,$E459)&gt;0,"O",""))</f>
        <v/>
      </c>
      <c r="L459" s="17" t="str">
        <f>IF($C459="","",IF(COUNTIFS('RAW_농산물_10월'!$D:$D,$C459,'RAW_농산물_10월'!$A:$A,$E459)&gt;0,"O",""))</f>
        <v/>
      </c>
      <c r="M459" s="17" t="str">
        <f>IF($C459="","",IF(COUNTIFS('RAW_농산물_11-12월'!$D:$D,$C459,'RAW_농산물_11-12월'!$A:$A,$E459)&gt;0,"O",""))</f>
        <v/>
      </c>
      <c r="N459" s="7" t="str">
        <f>IF($C459="","",IF(COUNTA('RAW_농산물_7월'!$A:$A)&lt;=1,"",SUMIFS('RAW_농산물_7월'!$H:$H,'RAW_농산물_7월'!$D:$D,$C459,'RAW_농산물_7월'!$A:$A,$E459)))</f>
        <v/>
      </c>
      <c r="O459" s="7" t="str">
        <f>IF($C459="","",IF(COUNTA('RAW_농산물_8월'!$A:$A)&lt;=1,"",SUMIFS('RAW_농산물_8월'!$H:$H,'RAW_농산물_8월'!$D:$D,$C459,'RAW_농산물_8월'!$A:$A,$E459)-SUMIFS('RAW_농산물_7월'!$H:$H,'RAW_농산물_7월'!$D:$D,$C459,'RAW_농산물_7월'!$A:$A,$E459)))</f>
        <v/>
      </c>
      <c r="P459" s="7" t="str">
        <f>IF($C459="","",IF(COUNTA('RAW_농산물_9월'!$A:$A)&lt;=1,"",SUMIFS('RAW_농산물_9월'!$H:$H,'RAW_농산물_9월'!$D:$D,$C459,'RAW_농산물_9월'!$A:$A,$E459)-SUMIFS('RAW_농산물_8월'!$H:$H,'RAW_농산물_8월'!$D:$D,$C459,'RAW_농산물_8월'!$A:$A,$E459)))</f>
        <v/>
      </c>
      <c r="Q459" s="7" t="str">
        <f>IF($C459="","",IF(COUNTA('RAW_농산물_10월'!$A:$A)&lt;=1,"",SUMIFS('RAW_농산물_10월'!$H:$H,'RAW_농산물_10월'!$D:$D,$C459,'RAW_농산물_10월'!$A:$A,$E459)-SUMIFS('RAW_농산물_9월'!$H:$H,'RAW_농산물_9월'!$D:$D,$C459,'RAW_농산물_9월'!$A:$A,$E459)))</f>
        <v/>
      </c>
      <c r="R459" s="7" t="str">
        <f>IF($C459="","",IF(COUNTA('RAW_농산물_11-12월'!$A:$A)&lt;=1,"",SUMIFS('RAW_농산물_11-12월'!$H:$H,'RAW_농산물_11-12월'!$D:$D,$C459,'RAW_농산물_11-12월'!$A:$A,$E459)-SUMIFS('RAW_농산물_10월'!$H:$H,'RAW_농산물_10월'!$D:$D,$C459,'RAW_농산물_10월'!$A:$A,$E459)))</f>
        <v/>
      </c>
      <c r="S459" s="17" t="str">
        <f t="shared" si="4"/>
        <v/>
      </c>
      <c r="T459" s="17" t="str">
        <f t="shared" si="5"/>
        <v/>
      </c>
      <c r="U459" s="7">
        <f>IF($C459="",0,IF('설정'!$B$3=0,0,CHOOSE('설정'!$B$3,COUNTIFS('RAW_농산물_7월'!$D:$D,$C459,'RAW_농산물_7월'!$A:$A,$E459),COUNTIFS('RAW_농산물_8월'!$D:$D,$C459,'RAW_농산물_8월'!$A:$A,$E459),COUNTIFS('RAW_농산물_9월'!$D:$D,$C459,'RAW_농산물_9월'!$A:$A,$E459),COUNTIFS('RAW_농산물_10월'!$D:$D,$C459,'RAW_농산물_10월'!$A:$A,$E459),COUNTIFS('RAW_농산물_11-12월'!$D:$D,$C459,'RAW_농산물_11-12월'!$A:$A,$E459))))</f>
        <v>0</v>
      </c>
    </row>
    <row r="460" ht="15.75" customHeight="1">
      <c r="A460" s="5"/>
      <c r="B460" s="5"/>
      <c r="C460" s="5"/>
      <c r="D460" s="6"/>
      <c r="E460" s="5"/>
      <c r="F460" s="7" t="str">
        <f>IF($C460="","",IF('설정'!$B$3=0,"",CHOOSE('설정'!$B$3,SUMIFS('RAW_농산물_7월'!$F:$F,'RAW_농산물_7월'!$D:$D,$C460,'RAW_농산물_7월'!$A:$A,$E460),SUMIFS('RAW_농산물_8월'!$F:$F,'RAW_농산물_8월'!$D:$D,$C460,'RAW_농산물_8월'!$A:$A,$E460),SUMIFS('RAW_농산물_9월'!$F:$F,'RAW_농산물_9월'!$D:$D,$C460,'RAW_농산물_9월'!$A:$A,$E460),SUMIFS('RAW_농산물_10월'!$F:$F,'RAW_농산물_10월'!$D:$D,$C460,'RAW_농산물_10월'!$A:$A,$E460),SUMIFS('RAW_농산물_11-12월'!$F:$F,'RAW_농산물_11-12월'!$D:$D,$C460,'RAW_농산물_11-12월'!$A:$A,$E460))))</f>
        <v/>
      </c>
      <c r="G460" s="7" t="str">
        <f>IF($C460="","",IF('설정'!$B$3=0,"",CHOOSE('설정'!$B$3,SUMIFS('RAW_농산물_7월'!$G:$G,'RAW_농산물_7월'!$D:$D,$C460,'RAW_농산물_7월'!$A:$A,$E460),SUMIFS('RAW_농산물_8월'!$G:$G,'RAW_농산물_8월'!$D:$D,$C460,'RAW_농산물_8월'!$A:$A,$E460),SUMIFS('RAW_농산물_9월'!$G:$G,'RAW_농산물_9월'!$D:$D,$C460,'RAW_농산물_9월'!$A:$A,$E460),SUMIFS('RAW_농산물_10월'!$G:$G,'RAW_농산물_10월'!$D:$D,$C460,'RAW_농산물_10월'!$A:$A,$E460),SUMIFS('RAW_농산물_11-12월'!$G:$G,'RAW_농산물_11-12월'!$D:$D,$C460,'RAW_농산물_11-12월'!$A:$A,$E460))))</f>
        <v/>
      </c>
      <c r="H460" s="14" t="str">
        <f>IF($C460="","",IF('설정'!$B$3=0,"",CHOOSE('설정'!$B$3,SUMIFS('RAW_농산물_7월'!$H:$H,'RAW_농산물_7월'!$D:$D,$C460,'RAW_농산물_7월'!$A:$A,$E460),SUMIFS('RAW_농산물_8월'!$H:$H,'RAW_농산물_8월'!$D:$D,$C460,'RAW_농산물_8월'!$A:$A,$E460),SUMIFS('RAW_농산물_9월'!$H:$H,'RAW_농산물_9월'!$D:$D,$C460,'RAW_농산물_9월'!$A:$A,$E460),SUMIFS('RAW_농산물_10월'!$H:$H,'RAW_농산물_10월'!$D:$D,$C460,'RAW_농산물_10월'!$A:$A,$E460),SUMIFS('RAW_농산물_11-12월'!$H:$H,'RAW_농산물_11-12월'!$D:$D,$C460,'RAW_농산물_11-12월'!$A:$A,$E460))))</f>
        <v/>
      </c>
      <c r="I460" s="17" t="str">
        <f>IF($C460="","",IF(COUNTIFS('RAW_농산물_7월'!$D:$D,$C460,'RAW_농산물_7월'!$A:$A,$E460)&gt;0,"O",""))</f>
        <v/>
      </c>
      <c r="J460" s="17" t="str">
        <f>IF($C460="","",IF(COUNTIFS('RAW_농산물_8월'!$D:$D,$C460,'RAW_농산물_8월'!$A:$A,$E460)&gt;0,"O",""))</f>
        <v/>
      </c>
      <c r="K460" s="17" t="str">
        <f>IF($C460="","",IF(COUNTIFS('RAW_농산물_9월'!$D:$D,$C460,'RAW_농산물_9월'!$A:$A,$E460)&gt;0,"O",""))</f>
        <v/>
      </c>
      <c r="L460" s="17" t="str">
        <f>IF($C460="","",IF(COUNTIFS('RAW_농산물_10월'!$D:$D,$C460,'RAW_농산물_10월'!$A:$A,$E460)&gt;0,"O",""))</f>
        <v/>
      </c>
      <c r="M460" s="17" t="str">
        <f>IF($C460="","",IF(COUNTIFS('RAW_농산물_11-12월'!$D:$D,$C460,'RAW_농산물_11-12월'!$A:$A,$E460)&gt;0,"O",""))</f>
        <v/>
      </c>
      <c r="N460" s="7" t="str">
        <f>IF($C460="","",IF(COUNTA('RAW_농산물_7월'!$A:$A)&lt;=1,"",SUMIFS('RAW_농산물_7월'!$H:$H,'RAW_농산물_7월'!$D:$D,$C460,'RAW_농산물_7월'!$A:$A,$E460)))</f>
        <v/>
      </c>
      <c r="O460" s="7" t="str">
        <f>IF($C460="","",IF(COUNTA('RAW_농산물_8월'!$A:$A)&lt;=1,"",SUMIFS('RAW_농산물_8월'!$H:$H,'RAW_농산물_8월'!$D:$D,$C460,'RAW_농산물_8월'!$A:$A,$E460)-SUMIFS('RAW_농산물_7월'!$H:$H,'RAW_농산물_7월'!$D:$D,$C460,'RAW_농산물_7월'!$A:$A,$E460)))</f>
        <v/>
      </c>
      <c r="P460" s="7" t="str">
        <f>IF($C460="","",IF(COUNTA('RAW_농산물_9월'!$A:$A)&lt;=1,"",SUMIFS('RAW_농산물_9월'!$H:$H,'RAW_농산물_9월'!$D:$D,$C460,'RAW_농산물_9월'!$A:$A,$E460)-SUMIFS('RAW_농산물_8월'!$H:$H,'RAW_농산물_8월'!$D:$D,$C460,'RAW_농산물_8월'!$A:$A,$E460)))</f>
        <v/>
      </c>
      <c r="Q460" s="7" t="str">
        <f>IF($C460="","",IF(COUNTA('RAW_농산물_10월'!$A:$A)&lt;=1,"",SUMIFS('RAW_농산물_10월'!$H:$H,'RAW_농산물_10월'!$D:$D,$C460,'RAW_농산물_10월'!$A:$A,$E460)-SUMIFS('RAW_농산물_9월'!$H:$H,'RAW_농산물_9월'!$D:$D,$C460,'RAW_농산물_9월'!$A:$A,$E460)))</f>
        <v/>
      </c>
      <c r="R460" s="7" t="str">
        <f>IF($C460="","",IF(COUNTA('RAW_농산물_11-12월'!$A:$A)&lt;=1,"",SUMIFS('RAW_농산물_11-12월'!$H:$H,'RAW_농산물_11-12월'!$D:$D,$C460,'RAW_농산물_11-12월'!$A:$A,$E460)-SUMIFS('RAW_농산물_10월'!$H:$H,'RAW_농산물_10월'!$D:$D,$C460,'RAW_농산물_10월'!$A:$A,$E460)))</f>
        <v/>
      </c>
      <c r="S460" s="17" t="str">
        <f t="shared" si="4"/>
        <v/>
      </c>
      <c r="T460" s="17" t="str">
        <f t="shared" si="5"/>
        <v/>
      </c>
      <c r="U460" s="7">
        <f>IF($C460="",0,IF('설정'!$B$3=0,0,CHOOSE('설정'!$B$3,COUNTIFS('RAW_농산물_7월'!$D:$D,$C460,'RAW_농산물_7월'!$A:$A,$E460),COUNTIFS('RAW_농산물_8월'!$D:$D,$C460,'RAW_농산물_8월'!$A:$A,$E460),COUNTIFS('RAW_농산물_9월'!$D:$D,$C460,'RAW_농산물_9월'!$A:$A,$E460),COUNTIFS('RAW_농산물_10월'!$D:$D,$C460,'RAW_농산물_10월'!$A:$A,$E460),COUNTIFS('RAW_농산물_11-12월'!$D:$D,$C460,'RAW_농산물_11-12월'!$A:$A,$E460))))</f>
        <v>0</v>
      </c>
    </row>
    <row r="461" ht="15.75" customHeight="1">
      <c r="A461" s="5"/>
      <c r="B461" s="5"/>
      <c r="C461" s="5"/>
      <c r="D461" s="6"/>
      <c r="E461" s="5"/>
      <c r="F461" s="7" t="str">
        <f>IF($C461="","",IF('설정'!$B$3=0,"",CHOOSE('설정'!$B$3,SUMIFS('RAW_농산물_7월'!$F:$F,'RAW_농산물_7월'!$D:$D,$C461,'RAW_농산물_7월'!$A:$A,$E461),SUMIFS('RAW_농산물_8월'!$F:$F,'RAW_농산물_8월'!$D:$D,$C461,'RAW_농산물_8월'!$A:$A,$E461),SUMIFS('RAW_농산물_9월'!$F:$F,'RAW_농산물_9월'!$D:$D,$C461,'RAW_농산물_9월'!$A:$A,$E461),SUMIFS('RAW_농산물_10월'!$F:$F,'RAW_농산물_10월'!$D:$D,$C461,'RAW_농산물_10월'!$A:$A,$E461),SUMIFS('RAW_농산물_11-12월'!$F:$F,'RAW_농산물_11-12월'!$D:$D,$C461,'RAW_농산물_11-12월'!$A:$A,$E461))))</f>
        <v/>
      </c>
      <c r="G461" s="7" t="str">
        <f>IF($C461="","",IF('설정'!$B$3=0,"",CHOOSE('설정'!$B$3,SUMIFS('RAW_농산물_7월'!$G:$G,'RAW_농산물_7월'!$D:$D,$C461,'RAW_농산물_7월'!$A:$A,$E461),SUMIFS('RAW_농산물_8월'!$G:$G,'RAW_농산물_8월'!$D:$D,$C461,'RAW_농산물_8월'!$A:$A,$E461),SUMIFS('RAW_농산물_9월'!$G:$G,'RAW_농산물_9월'!$D:$D,$C461,'RAW_농산물_9월'!$A:$A,$E461),SUMIFS('RAW_농산물_10월'!$G:$G,'RAW_농산물_10월'!$D:$D,$C461,'RAW_농산물_10월'!$A:$A,$E461),SUMIFS('RAW_농산물_11-12월'!$G:$G,'RAW_농산물_11-12월'!$D:$D,$C461,'RAW_농산물_11-12월'!$A:$A,$E461))))</f>
        <v/>
      </c>
      <c r="H461" s="14" t="str">
        <f>IF($C461="","",IF('설정'!$B$3=0,"",CHOOSE('설정'!$B$3,SUMIFS('RAW_농산물_7월'!$H:$H,'RAW_농산물_7월'!$D:$D,$C461,'RAW_농산물_7월'!$A:$A,$E461),SUMIFS('RAW_농산물_8월'!$H:$H,'RAW_농산물_8월'!$D:$D,$C461,'RAW_농산물_8월'!$A:$A,$E461),SUMIFS('RAW_농산물_9월'!$H:$H,'RAW_농산물_9월'!$D:$D,$C461,'RAW_농산물_9월'!$A:$A,$E461),SUMIFS('RAW_농산물_10월'!$H:$H,'RAW_농산물_10월'!$D:$D,$C461,'RAW_농산물_10월'!$A:$A,$E461),SUMIFS('RAW_농산물_11-12월'!$H:$H,'RAW_농산물_11-12월'!$D:$D,$C461,'RAW_농산물_11-12월'!$A:$A,$E461))))</f>
        <v/>
      </c>
      <c r="I461" s="17" t="str">
        <f>IF($C461="","",IF(COUNTIFS('RAW_농산물_7월'!$D:$D,$C461,'RAW_농산물_7월'!$A:$A,$E461)&gt;0,"O",""))</f>
        <v/>
      </c>
      <c r="J461" s="17" t="str">
        <f>IF($C461="","",IF(COUNTIFS('RAW_농산물_8월'!$D:$D,$C461,'RAW_농산물_8월'!$A:$A,$E461)&gt;0,"O",""))</f>
        <v/>
      </c>
      <c r="K461" s="17" t="str">
        <f>IF($C461="","",IF(COUNTIFS('RAW_농산물_9월'!$D:$D,$C461,'RAW_농산물_9월'!$A:$A,$E461)&gt;0,"O",""))</f>
        <v/>
      </c>
      <c r="L461" s="17" t="str">
        <f>IF($C461="","",IF(COUNTIFS('RAW_농산물_10월'!$D:$D,$C461,'RAW_농산물_10월'!$A:$A,$E461)&gt;0,"O",""))</f>
        <v/>
      </c>
      <c r="M461" s="17" t="str">
        <f>IF($C461="","",IF(COUNTIFS('RAW_농산물_11-12월'!$D:$D,$C461,'RAW_농산물_11-12월'!$A:$A,$E461)&gt;0,"O",""))</f>
        <v/>
      </c>
      <c r="N461" s="7" t="str">
        <f>IF($C461="","",IF(COUNTA('RAW_농산물_7월'!$A:$A)&lt;=1,"",SUMIFS('RAW_농산물_7월'!$H:$H,'RAW_농산물_7월'!$D:$D,$C461,'RAW_농산물_7월'!$A:$A,$E461)))</f>
        <v/>
      </c>
      <c r="O461" s="7" t="str">
        <f>IF($C461="","",IF(COUNTA('RAW_농산물_8월'!$A:$A)&lt;=1,"",SUMIFS('RAW_농산물_8월'!$H:$H,'RAW_농산물_8월'!$D:$D,$C461,'RAW_농산물_8월'!$A:$A,$E461)-SUMIFS('RAW_농산물_7월'!$H:$H,'RAW_농산물_7월'!$D:$D,$C461,'RAW_농산물_7월'!$A:$A,$E461)))</f>
        <v/>
      </c>
      <c r="P461" s="7" t="str">
        <f>IF($C461="","",IF(COUNTA('RAW_농산물_9월'!$A:$A)&lt;=1,"",SUMIFS('RAW_농산물_9월'!$H:$H,'RAW_농산물_9월'!$D:$D,$C461,'RAW_농산물_9월'!$A:$A,$E461)-SUMIFS('RAW_농산물_8월'!$H:$H,'RAW_농산물_8월'!$D:$D,$C461,'RAW_농산물_8월'!$A:$A,$E461)))</f>
        <v/>
      </c>
      <c r="Q461" s="7" t="str">
        <f>IF($C461="","",IF(COUNTA('RAW_농산물_10월'!$A:$A)&lt;=1,"",SUMIFS('RAW_농산물_10월'!$H:$H,'RAW_농산물_10월'!$D:$D,$C461,'RAW_농산물_10월'!$A:$A,$E461)-SUMIFS('RAW_농산물_9월'!$H:$H,'RAW_농산물_9월'!$D:$D,$C461,'RAW_농산물_9월'!$A:$A,$E461)))</f>
        <v/>
      </c>
      <c r="R461" s="7" t="str">
        <f>IF($C461="","",IF(COUNTA('RAW_농산물_11-12월'!$A:$A)&lt;=1,"",SUMIFS('RAW_농산물_11-12월'!$H:$H,'RAW_농산물_11-12월'!$D:$D,$C461,'RAW_농산물_11-12월'!$A:$A,$E461)-SUMIFS('RAW_농산물_10월'!$H:$H,'RAW_농산물_10월'!$D:$D,$C461,'RAW_농산물_10월'!$A:$A,$E461)))</f>
        <v/>
      </c>
      <c r="S461" s="17" t="str">
        <f t="shared" si="4"/>
        <v/>
      </c>
      <c r="T461" s="17" t="str">
        <f t="shared" si="5"/>
        <v/>
      </c>
      <c r="U461" s="7">
        <f>IF($C461="",0,IF('설정'!$B$3=0,0,CHOOSE('설정'!$B$3,COUNTIFS('RAW_농산물_7월'!$D:$D,$C461,'RAW_농산물_7월'!$A:$A,$E461),COUNTIFS('RAW_농산물_8월'!$D:$D,$C461,'RAW_농산물_8월'!$A:$A,$E461),COUNTIFS('RAW_농산물_9월'!$D:$D,$C461,'RAW_농산물_9월'!$A:$A,$E461),COUNTIFS('RAW_농산물_10월'!$D:$D,$C461,'RAW_농산물_10월'!$A:$A,$E461),COUNTIFS('RAW_농산물_11-12월'!$D:$D,$C461,'RAW_농산물_11-12월'!$A:$A,$E461))))</f>
        <v>0</v>
      </c>
    </row>
    <row r="462" ht="15.75" customHeight="1">
      <c r="A462" s="5"/>
      <c r="B462" s="5"/>
      <c r="C462" s="5"/>
      <c r="D462" s="6"/>
      <c r="E462" s="5"/>
      <c r="F462" s="7" t="str">
        <f>IF($C462="","",IF('설정'!$B$3=0,"",CHOOSE('설정'!$B$3,SUMIFS('RAW_농산물_7월'!$F:$F,'RAW_농산물_7월'!$D:$D,$C462,'RAW_농산물_7월'!$A:$A,$E462),SUMIFS('RAW_농산물_8월'!$F:$F,'RAW_농산물_8월'!$D:$D,$C462,'RAW_농산물_8월'!$A:$A,$E462),SUMIFS('RAW_농산물_9월'!$F:$F,'RAW_농산물_9월'!$D:$D,$C462,'RAW_농산물_9월'!$A:$A,$E462),SUMIFS('RAW_농산물_10월'!$F:$F,'RAW_농산물_10월'!$D:$D,$C462,'RAW_농산물_10월'!$A:$A,$E462),SUMIFS('RAW_농산물_11-12월'!$F:$F,'RAW_농산물_11-12월'!$D:$D,$C462,'RAW_농산물_11-12월'!$A:$A,$E462))))</f>
        <v/>
      </c>
      <c r="G462" s="7" t="str">
        <f>IF($C462="","",IF('설정'!$B$3=0,"",CHOOSE('설정'!$B$3,SUMIFS('RAW_농산물_7월'!$G:$G,'RAW_농산물_7월'!$D:$D,$C462,'RAW_농산물_7월'!$A:$A,$E462),SUMIFS('RAW_농산물_8월'!$G:$G,'RAW_농산물_8월'!$D:$D,$C462,'RAW_농산물_8월'!$A:$A,$E462),SUMIFS('RAW_농산물_9월'!$G:$G,'RAW_농산물_9월'!$D:$D,$C462,'RAW_농산물_9월'!$A:$A,$E462),SUMIFS('RAW_농산물_10월'!$G:$G,'RAW_농산물_10월'!$D:$D,$C462,'RAW_농산물_10월'!$A:$A,$E462),SUMIFS('RAW_농산물_11-12월'!$G:$G,'RAW_농산물_11-12월'!$D:$D,$C462,'RAW_농산물_11-12월'!$A:$A,$E462))))</f>
        <v/>
      </c>
      <c r="H462" s="14" t="str">
        <f>IF($C462="","",IF('설정'!$B$3=0,"",CHOOSE('설정'!$B$3,SUMIFS('RAW_농산물_7월'!$H:$H,'RAW_농산물_7월'!$D:$D,$C462,'RAW_농산물_7월'!$A:$A,$E462),SUMIFS('RAW_농산물_8월'!$H:$H,'RAW_농산물_8월'!$D:$D,$C462,'RAW_농산물_8월'!$A:$A,$E462),SUMIFS('RAW_농산물_9월'!$H:$H,'RAW_농산물_9월'!$D:$D,$C462,'RAW_농산물_9월'!$A:$A,$E462),SUMIFS('RAW_농산물_10월'!$H:$H,'RAW_농산물_10월'!$D:$D,$C462,'RAW_농산물_10월'!$A:$A,$E462),SUMIFS('RAW_농산물_11-12월'!$H:$H,'RAW_농산물_11-12월'!$D:$D,$C462,'RAW_농산물_11-12월'!$A:$A,$E462))))</f>
        <v/>
      </c>
      <c r="I462" s="17" t="str">
        <f>IF($C462="","",IF(COUNTIFS('RAW_농산물_7월'!$D:$D,$C462,'RAW_농산물_7월'!$A:$A,$E462)&gt;0,"O",""))</f>
        <v/>
      </c>
      <c r="J462" s="17" t="str">
        <f>IF($C462="","",IF(COUNTIFS('RAW_농산물_8월'!$D:$D,$C462,'RAW_농산물_8월'!$A:$A,$E462)&gt;0,"O",""))</f>
        <v/>
      </c>
      <c r="K462" s="17" t="str">
        <f>IF($C462="","",IF(COUNTIFS('RAW_농산물_9월'!$D:$D,$C462,'RAW_농산물_9월'!$A:$A,$E462)&gt;0,"O",""))</f>
        <v/>
      </c>
      <c r="L462" s="17" t="str">
        <f>IF($C462="","",IF(COUNTIFS('RAW_농산물_10월'!$D:$D,$C462,'RAW_농산물_10월'!$A:$A,$E462)&gt;0,"O",""))</f>
        <v/>
      </c>
      <c r="M462" s="17" t="str">
        <f>IF($C462="","",IF(COUNTIFS('RAW_농산물_11-12월'!$D:$D,$C462,'RAW_농산물_11-12월'!$A:$A,$E462)&gt;0,"O",""))</f>
        <v/>
      </c>
      <c r="N462" s="7" t="str">
        <f>IF($C462="","",IF(COUNTA('RAW_농산물_7월'!$A:$A)&lt;=1,"",SUMIFS('RAW_농산물_7월'!$H:$H,'RAW_농산물_7월'!$D:$D,$C462,'RAW_농산물_7월'!$A:$A,$E462)))</f>
        <v/>
      </c>
      <c r="O462" s="7" t="str">
        <f>IF($C462="","",IF(COUNTA('RAW_농산물_8월'!$A:$A)&lt;=1,"",SUMIFS('RAW_농산물_8월'!$H:$H,'RAW_농산물_8월'!$D:$D,$C462,'RAW_농산물_8월'!$A:$A,$E462)-SUMIFS('RAW_농산물_7월'!$H:$H,'RAW_농산물_7월'!$D:$D,$C462,'RAW_농산물_7월'!$A:$A,$E462)))</f>
        <v/>
      </c>
      <c r="P462" s="7" t="str">
        <f>IF($C462="","",IF(COUNTA('RAW_농산물_9월'!$A:$A)&lt;=1,"",SUMIFS('RAW_농산물_9월'!$H:$H,'RAW_농산물_9월'!$D:$D,$C462,'RAW_농산물_9월'!$A:$A,$E462)-SUMIFS('RAW_농산물_8월'!$H:$H,'RAW_농산물_8월'!$D:$D,$C462,'RAW_농산물_8월'!$A:$A,$E462)))</f>
        <v/>
      </c>
      <c r="Q462" s="7" t="str">
        <f>IF($C462="","",IF(COUNTA('RAW_농산물_10월'!$A:$A)&lt;=1,"",SUMIFS('RAW_농산물_10월'!$H:$H,'RAW_농산물_10월'!$D:$D,$C462,'RAW_농산물_10월'!$A:$A,$E462)-SUMIFS('RAW_농산물_9월'!$H:$H,'RAW_농산물_9월'!$D:$D,$C462,'RAW_농산물_9월'!$A:$A,$E462)))</f>
        <v/>
      </c>
      <c r="R462" s="7" t="str">
        <f>IF($C462="","",IF(COUNTA('RAW_농산물_11-12월'!$A:$A)&lt;=1,"",SUMIFS('RAW_농산물_11-12월'!$H:$H,'RAW_농산물_11-12월'!$D:$D,$C462,'RAW_농산물_11-12월'!$A:$A,$E462)-SUMIFS('RAW_농산물_10월'!$H:$H,'RAW_농산물_10월'!$D:$D,$C462,'RAW_농산물_10월'!$A:$A,$E462)))</f>
        <v/>
      </c>
      <c r="S462" s="17" t="str">
        <f t="shared" si="4"/>
        <v/>
      </c>
      <c r="T462" s="17" t="str">
        <f t="shared" si="5"/>
        <v/>
      </c>
      <c r="U462" s="7">
        <f>IF($C462="",0,IF('설정'!$B$3=0,0,CHOOSE('설정'!$B$3,COUNTIFS('RAW_농산물_7월'!$D:$D,$C462,'RAW_농산물_7월'!$A:$A,$E462),COUNTIFS('RAW_농산물_8월'!$D:$D,$C462,'RAW_농산물_8월'!$A:$A,$E462),COUNTIFS('RAW_농산물_9월'!$D:$D,$C462,'RAW_농산물_9월'!$A:$A,$E462),COUNTIFS('RAW_농산물_10월'!$D:$D,$C462,'RAW_농산물_10월'!$A:$A,$E462),COUNTIFS('RAW_농산물_11-12월'!$D:$D,$C462,'RAW_농산물_11-12월'!$A:$A,$E462))))</f>
        <v>0</v>
      </c>
    </row>
    <row r="463" ht="15.75" customHeight="1">
      <c r="A463" s="5"/>
      <c r="B463" s="5"/>
      <c r="C463" s="5"/>
      <c r="D463" s="6"/>
      <c r="E463" s="5"/>
      <c r="F463" s="7" t="str">
        <f>IF($C463="","",IF('설정'!$B$3=0,"",CHOOSE('설정'!$B$3,SUMIFS('RAW_농산물_7월'!$F:$F,'RAW_농산물_7월'!$D:$D,$C463,'RAW_농산물_7월'!$A:$A,$E463),SUMIFS('RAW_농산물_8월'!$F:$F,'RAW_농산물_8월'!$D:$D,$C463,'RAW_농산물_8월'!$A:$A,$E463),SUMIFS('RAW_농산물_9월'!$F:$F,'RAW_농산물_9월'!$D:$D,$C463,'RAW_농산물_9월'!$A:$A,$E463),SUMIFS('RAW_농산물_10월'!$F:$F,'RAW_농산물_10월'!$D:$D,$C463,'RAW_농산물_10월'!$A:$A,$E463),SUMIFS('RAW_농산물_11-12월'!$F:$F,'RAW_농산물_11-12월'!$D:$D,$C463,'RAW_농산물_11-12월'!$A:$A,$E463))))</f>
        <v/>
      </c>
      <c r="G463" s="7" t="str">
        <f>IF($C463="","",IF('설정'!$B$3=0,"",CHOOSE('설정'!$B$3,SUMIFS('RAW_농산물_7월'!$G:$G,'RAW_농산물_7월'!$D:$D,$C463,'RAW_농산물_7월'!$A:$A,$E463),SUMIFS('RAW_농산물_8월'!$G:$G,'RAW_농산물_8월'!$D:$D,$C463,'RAW_농산물_8월'!$A:$A,$E463),SUMIFS('RAW_농산물_9월'!$G:$G,'RAW_농산물_9월'!$D:$D,$C463,'RAW_농산물_9월'!$A:$A,$E463),SUMIFS('RAW_농산물_10월'!$G:$G,'RAW_농산물_10월'!$D:$D,$C463,'RAW_농산물_10월'!$A:$A,$E463),SUMIFS('RAW_농산물_11-12월'!$G:$G,'RAW_농산물_11-12월'!$D:$D,$C463,'RAW_농산물_11-12월'!$A:$A,$E463))))</f>
        <v/>
      </c>
      <c r="H463" s="14" t="str">
        <f>IF($C463="","",IF('설정'!$B$3=0,"",CHOOSE('설정'!$B$3,SUMIFS('RAW_농산물_7월'!$H:$H,'RAW_농산물_7월'!$D:$D,$C463,'RAW_농산물_7월'!$A:$A,$E463),SUMIFS('RAW_농산물_8월'!$H:$H,'RAW_농산물_8월'!$D:$D,$C463,'RAW_농산물_8월'!$A:$A,$E463),SUMIFS('RAW_농산물_9월'!$H:$H,'RAW_농산물_9월'!$D:$D,$C463,'RAW_농산물_9월'!$A:$A,$E463),SUMIFS('RAW_농산물_10월'!$H:$H,'RAW_농산물_10월'!$D:$D,$C463,'RAW_농산물_10월'!$A:$A,$E463),SUMIFS('RAW_농산물_11-12월'!$H:$H,'RAW_농산물_11-12월'!$D:$D,$C463,'RAW_농산물_11-12월'!$A:$A,$E463))))</f>
        <v/>
      </c>
      <c r="I463" s="17" t="str">
        <f>IF($C463="","",IF(COUNTIFS('RAW_농산물_7월'!$D:$D,$C463,'RAW_농산물_7월'!$A:$A,$E463)&gt;0,"O",""))</f>
        <v/>
      </c>
      <c r="J463" s="17" t="str">
        <f>IF($C463="","",IF(COUNTIFS('RAW_농산물_8월'!$D:$D,$C463,'RAW_농산물_8월'!$A:$A,$E463)&gt;0,"O",""))</f>
        <v/>
      </c>
      <c r="K463" s="17" t="str">
        <f>IF($C463="","",IF(COUNTIFS('RAW_농산물_9월'!$D:$D,$C463,'RAW_농산물_9월'!$A:$A,$E463)&gt;0,"O",""))</f>
        <v/>
      </c>
      <c r="L463" s="17" t="str">
        <f>IF($C463="","",IF(COUNTIFS('RAW_농산물_10월'!$D:$D,$C463,'RAW_농산물_10월'!$A:$A,$E463)&gt;0,"O",""))</f>
        <v/>
      </c>
      <c r="M463" s="17" t="str">
        <f>IF($C463="","",IF(COUNTIFS('RAW_농산물_11-12월'!$D:$D,$C463,'RAW_농산물_11-12월'!$A:$A,$E463)&gt;0,"O",""))</f>
        <v/>
      </c>
      <c r="N463" s="7" t="str">
        <f>IF($C463="","",IF(COUNTA('RAW_농산물_7월'!$A:$A)&lt;=1,"",SUMIFS('RAW_농산물_7월'!$H:$H,'RAW_농산물_7월'!$D:$D,$C463,'RAW_농산물_7월'!$A:$A,$E463)))</f>
        <v/>
      </c>
      <c r="O463" s="7" t="str">
        <f>IF($C463="","",IF(COUNTA('RAW_농산물_8월'!$A:$A)&lt;=1,"",SUMIFS('RAW_농산물_8월'!$H:$H,'RAW_농산물_8월'!$D:$D,$C463,'RAW_농산물_8월'!$A:$A,$E463)-SUMIFS('RAW_농산물_7월'!$H:$H,'RAW_농산물_7월'!$D:$D,$C463,'RAW_농산물_7월'!$A:$A,$E463)))</f>
        <v/>
      </c>
      <c r="P463" s="7" t="str">
        <f>IF($C463="","",IF(COUNTA('RAW_농산물_9월'!$A:$A)&lt;=1,"",SUMIFS('RAW_농산물_9월'!$H:$H,'RAW_농산물_9월'!$D:$D,$C463,'RAW_농산물_9월'!$A:$A,$E463)-SUMIFS('RAW_농산물_8월'!$H:$H,'RAW_농산물_8월'!$D:$D,$C463,'RAW_농산물_8월'!$A:$A,$E463)))</f>
        <v/>
      </c>
      <c r="Q463" s="7" t="str">
        <f>IF($C463="","",IF(COUNTA('RAW_농산물_10월'!$A:$A)&lt;=1,"",SUMIFS('RAW_농산물_10월'!$H:$H,'RAW_농산물_10월'!$D:$D,$C463,'RAW_농산물_10월'!$A:$A,$E463)-SUMIFS('RAW_농산물_9월'!$H:$H,'RAW_농산물_9월'!$D:$D,$C463,'RAW_농산물_9월'!$A:$A,$E463)))</f>
        <v/>
      </c>
      <c r="R463" s="7" t="str">
        <f>IF($C463="","",IF(COUNTA('RAW_농산물_11-12월'!$A:$A)&lt;=1,"",SUMIFS('RAW_농산물_11-12월'!$H:$H,'RAW_농산물_11-12월'!$D:$D,$C463,'RAW_농산물_11-12월'!$A:$A,$E463)-SUMIFS('RAW_농산물_10월'!$H:$H,'RAW_농산물_10월'!$D:$D,$C463,'RAW_농산물_10월'!$A:$A,$E463)))</f>
        <v/>
      </c>
      <c r="S463" s="17" t="str">
        <f t="shared" si="4"/>
        <v/>
      </c>
      <c r="T463" s="17" t="str">
        <f t="shared" si="5"/>
        <v/>
      </c>
      <c r="U463" s="7">
        <f>IF($C463="",0,IF('설정'!$B$3=0,0,CHOOSE('설정'!$B$3,COUNTIFS('RAW_농산물_7월'!$D:$D,$C463,'RAW_농산물_7월'!$A:$A,$E463),COUNTIFS('RAW_농산물_8월'!$D:$D,$C463,'RAW_농산물_8월'!$A:$A,$E463),COUNTIFS('RAW_농산물_9월'!$D:$D,$C463,'RAW_농산물_9월'!$A:$A,$E463),COUNTIFS('RAW_농산물_10월'!$D:$D,$C463,'RAW_농산물_10월'!$A:$A,$E463),COUNTIFS('RAW_농산물_11-12월'!$D:$D,$C463,'RAW_농산물_11-12월'!$A:$A,$E463))))</f>
        <v>0</v>
      </c>
    </row>
    <row r="464" ht="15.75" customHeight="1">
      <c r="A464" s="5"/>
      <c r="B464" s="5"/>
      <c r="C464" s="5"/>
      <c r="D464" s="6"/>
      <c r="E464" s="5"/>
      <c r="F464" s="7" t="str">
        <f>IF($C464="","",IF('설정'!$B$3=0,"",CHOOSE('설정'!$B$3,SUMIFS('RAW_농산물_7월'!$F:$F,'RAW_농산물_7월'!$D:$D,$C464,'RAW_농산물_7월'!$A:$A,$E464),SUMIFS('RAW_농산물_8월'!$F:$F,'RAW_농산물_8월'!$D:$D,$C464,'RAW_농산물_8월'!$A:$A,$E464),SUMIFS('RAW_농산물_9월'!$F:$F,'RAW_농산물_9월'!$D:$D,$C464,'RAW_농산물_9월'!$A:$A,$E464),SUMIFS('RAW_농산물_10월'!$F:$F,'RAW_농산물_10월'!$D:$D,$C464,'RAW_농산물_10월'!$A:$A,$E464),SUMIFS('RAW_농산물_11-12월'!$F:$F,'RAW_농산물_11-12월'!$D:$D,$C464,'RAW_농산물_11-12월'!$A:$A,$E464))))</f>
        <v/>
      </c>
      <c r="G464" s="7" t="str">
        <f>IF($C464="","",IF('설정'!$B$3=0,"",CHOOSE('설정'!$B$3,SUMIFS('RAW_농산물_7월'!$G:$G,'RAW_농산물_7월'!$D:$D,$C464,'RAW_농산물_7월'!$A:$A,$E464),SUMIFS('RAW_농산물_8월'!$G:$G,'RAW_농산물_8월'!$D:$D,$C464,'RAW_농산물_8월'!$A:$A,$E464),SUMIFS('RAW_농산물_9월'!$G:$G,'RAW_농산물_9월'!$D:$D,$C464,'RAW_농산물_9월'!$A:$A,$E464),SUMIFS('RAW_농산물_10월'!$G:$G,'RAW_농산물_10월'!$D:$D,$C464,'RAW_농산물_10월'!$A:$A,$E464),SUMIFS('RAW_농산물_11-12월'!$G:$G,'RAW_농산물_11-12월'!$D:$D,$C464,'RAW_농산물_11-12월'!$A:$A,$E464))))</f>
        <v/>
      </c>
      <c r="H464" s="14" t="str">
        <f>IF($C464="","",IF('설정'!$B$3=0,"",CHOOSE('설정'!$B$3,SUMIFS('RAW_농산물_7월'!$H:$H,'RAW_농산물_7월'!$D:$D,$C464,'RAW_농산물_7월'!$A:$A,$E464),SUMIFS('RAW_농산물_8월'!$H:$H,'RAW_농산물_8월'!$D:$D,$C464,'RAW_농산물_8월'!$A:$A,$E464),SUMIFS('RAW_농산물_9월'!$H:$H,'RAW_농산물_9월'!$D:$D,$C464,'RAW_농산물_9월'!$A:$A,$E464),SUMIFS('RAW_농산물_10월'!$H:$H,'RAW_농산물_10월'!$D:$D,$C464,'RAW_농산물_10월'!$A:$A,$E464),SUMIFS('RAW_농산물_11-12월'!$H:$H,'RAW_농산물_11-12월'!$D:$D,$C464,'RAW_농산물_11-12월'!$A:$A,$E464))))</f>
        <v/>
      </c>
      <c r="I464" s="17" t="str">
        <f>IF($C464="","",IF(COUNTIFS('RAW_농산물_7월'!$D:$D,$C464,'RAW_농산물_7월'!$A:$A,$E464)&gt;0,"O",""))</f>
        <v/>
      </c>
      <c r="J464" s="17" t="str">
        <f>IF($C464="","",IF(COUNTIFS('RAW_농산물_8월'!$D:$D,$C464,'RAW_농산물_8월'!$A:$A,$E464)&gt;0,"O",""))</f>
        <v/>
      </c>
      <c r="K464" s="17" t="str">
        <f>IF($C464="","",IF(COUNTIFS('RAW_농산물_9월'!$D:$D,$C464,'RAW_농산물_9월'!$A:$A,$E464)&gt;0,"O",""))</f>
        <v/>
      </c>
      <c r="L464" s="17" t="str">
        <f>IF($C464="","",IF(COUNTIFS('RAW_농산물_10월'!$D:$D,$C464,'RAW_농산물_10월'!$A:$A,$E464)&gt;0,"O",""))</f>
        <v/>
      </c>
      <c r="M464" s="17" t="str">
        <f>IF($C464="","",IF(COUNTIFS('RAW_농산물_11-12월'!$D:$D,$C464,'RAW_농산물_11-12월'!$A:$A,$E464)&gt;0,"O",""))</f>
        <v/>
      </c>
      <c r="N464" s="7" t="str">
        <f>IF($C464="","",IF(COUNTA('RAW_농산물_7월'!$A:$A)&lt;=1,"",SUMIFS('RAW_농산물_7월'!$H:$H,'RAW_농산물_7월'!$D:$D,$C464,'RAW_농산물_7월'!$A:$A,$E464)))</f>
        <v/>
      </c>
      <c r="O464" s="7" t="str">
        <f>IF($C464="","",IF(COUNTA('RAW_농산물_8월'!$A:$A)&lt;=1,"",SUMIFS('RAW_농산물_8월'!$H:$H,'RAW_농산물_8월'!$D:$D,$C464,'RAW_농산물_8월'!$A:$A,$E464)-SUMIFS('RAW_농산물_7월'!$H:$H,'RAW_농산물_7월'!$D:$D,$C464,'RAW_농산물_7월'!$A:$A,$E464)))</f>
        <v/>
      </c>
      <c r="P464" s="7" t="str">
        <f>IF($C464="","",IF(COUNTA('RAW_농산물_9월'!$A:$A)&lt;=1,"",SUMIFS('RAW_농산물_9월'!$H:$H,'RAW_농산물_9월'!$D:$D,$C464,'RAW_농산물_9월'!$A:$A,$E464)-SUMIFS('RAW_농산물_8월'!$H:$H,'RAW_농산물_8월'!$D:$D,$C464,'RAW_농산물_8월'!$A:$A,$E464)))</f>
        <v/>
      </c>
      <c r="Q464" s="7" t="str">
        <f>IF($C464="","",IF(COUNTA('RAW_농산물_10월'!$A:$A)&lt;=1,"",SUMIFS('RAW_농산물_10월'!$H:$H,'RAW_농산물_10월'!$D:$D,$C464,'RAW_농산물_10월'!$A:$A,$E464)-SUMIFS('RAW_농산물_9월'!$H:$H,'RAW_농산물_9월'!$D:$D,$C464,'RAW_농산물_9월'!$A:$A,$E464)))</f>
        <v/>
      </c>
      <c r="R464" s="7" t="str">
        <f>IF($C464="","",IF(COUNTA('RAW_농산물_11-12월'!$A:$A)&lt;=1,"",SUMIFS('RAW_농산물_11-12월'!$H:$H,'RAW_농산물_11-12월'!$D:$D,$C464,'RAW_농산물_11-12월'!$A:$A,$E464)-SUMIFS('RAW_농산물_10월'!$H:$H,'RAW_농산물_10월'!$D:$D,$C464,'RAW_농산물_10월'!$A:$A,$E464)))</f>
        <v/>
      </c>
      <c r="S464" s="17" t="str">
        <f t="shared" si="4"/>
        <v/>
      </c>
      <c r="T464" s="17" t="str">
        <f t="shared" si="5"/>
        <v/>
      </c>
      <c r="U464" s="7">
        <f>IF($C464="",0,IF('설정'!$B$3=0,0,CHOOSE('설정'!$B$3,COUNTIFS('RAW_농산물_7월'!$D:$D,$C464,'RAW_농산물_7월'!$A:$A,$E464),COUNTIFS('RAW_농산물_8월'!$D:$D,$C464,'RAW_농산물_8월'!$A:$A,$E464),COUNTIFS('RAW_농산물_9월'!$D:$D,$C464,'RAW_농산물_9월'!$A:$A,$E464),COUNTIFS('RAW_농산물_10월'!$D:$D,$C464,'RAW_농산물_10월'!$A:$A,$E464),COUNTIFS('RAW_농산물_11-12월'!$D:$D,$C464,'RAW_농산물_11-12월'!$A:$A,$E464))))</f>
        <v>0</v>
      </c>
    </row>
    <row r="465" ht="15.75" customHeight="1">
      <c r="A465" s="5"/>
      <c r="B465" s="5"/>
      <c r="C465" s="5"/>
      <c r="D465" s="6"/>
      <c r="E465" s="5"/>
      <c r="F465" s="7" t="str">
        <f>IF($C465="","",IF('설정'!$B$3=0,"",CHOOSE('설정'!$B$3,SUMIFS('RAW_농산물_7월'!$F:$F,'RAW_농산물_7월'!$D:$D,$C465,'RAW_농산물_7월'!$A:$A,$E465),SUMIFS('RAW_농산물_8월'!$F:$F,'RAW_농산물_8월'!$D:$D,$C465,'RAW_농산물_8월'!$A:$A,$E465),SUMIFS('RAW_농산물_9월'!$F:$F,'RAW_농산물_9월'!$D:$D,$C465,'RAW_농산물_9월'!$A:$A,$E465),SUMIFS('RAW_농산물_10월'!$F:$F,'RAW_농산물_10월'!$D:$D,$C465,'RAW_농산물_10월'!$A:$A,$E465),SUMIFS('RAW_농산물_11-12월'!$F:$F,'RAW_농산물_11-12월'!$D:$D,$C465,'RAW_농산물_11-12월'!$A:$A,$E465))))</f>
        <v/>
      </c>
      <c r="G465" s="7" t="str">
        <f>IF($C465="","",IF('설정'!$B$3=0,"",CHOOSE('설정'!$B$3,SUMIFS('RAW_농산물_7월'!$G:$G,'RAW_농산물_7월'!$D:$D,$C465,'RAW_농산물_7월'!$A:$A,$E465),SUMIFS('RAW_농산물_8월'!$G:$G,'RAW_농산물_8월'!$D:$D,$C465,'RAW_농산물_8월'!$A:$A,$E465),SUMIFS('RAW_농산물_9월'!$G:$G,'RAW_농산물_9월'!$D:$D,$C465,'RAW_농산물_9월'!$A:$A,$E465),SUMIFS('RAW_농산물_10월'!$G:$G,'RAW_농산물_10월'!$D:$D,$C465,'RAW_농산물_10월'!$A:$A,$E465),SUMIFS('RAW_농산물_11-12월'!$G:$G,'RAW_농산물_11-12월'!$D:$D,$C465,'RAW_농산물_11-12월'!$A:$A,$E465))))</f>
        <v/>
      </c>
      <c r="H465" s="14" t="str">
        <f>IF($C465="","",IF('설정'!$B$3=0,"",CHOOSE('설정'!$B$3,SUMIFS('RAW_농산물_7월'!$H:$H,'RAW_농산물_7월'!$D:$D,$C465,'RAW_농산물_7월'!$A:$A,$E465),SUMIFS('RAW_농산물_8월'!$H:$H,'RAW_농산물_8월'!$D:$D,$C465,'RAW_농산물_8월'!$A:$A,$E465),SUMIFS('RAW_농산물_9월'!$H:$H,'RAW_농산물_9월'!$D:$D,$C465,'RAW_농산물_9월'!$A:$A,$E465),SUMIFS('RAW_농산물_10월'!$H:$H,'RAW_농산물_10월'!$D:$D,$C465,'RAW_농산물_10월'!$A:$A,$E465),SUMIFS('RAW_농산물_11-12월'!$H:$H,'RAW_농산물_11-12월'!$D:$D,$C465,'RAW_농산물_11-12월'!$A:$A,$E465))))</f>
        <v/>
      </c>
      <c r="I465" s="17" t="str">
        <f>IF($C465="","",IF(COUNTIFS('RAW_농산물_7월'!$D:$D,$C465,'RAW_농산물_7월'!$A:$A,$E465)&gt;0,"O",""))</f>
        <v/>
      </c>
      <c r="J465" s="17" t="str">
        <f>IF($C465="","",IF(COUNTIFS('RAW_농산물_8월'!$D:$D,$C465,'RAW_농산물_8월'!$A:$A,$E465)&gt;0,"O",""))</f>
        <v/>
      </c>
      <c r="K465" s="17" t="str">
        <f>IF($C465="","",IF(COUNTIFS('RAW_농산물_9월'!$D:$D,$C465,'RAW_농산물_9월'!$A:$A,$E465)&gt;0,"O",""))</f>
        <v/>
      </c>
      <c r="L465" s="17" t="str">
        <f>IF($C465="","",IF(COUNTIFS('RAW_농산물_10월'!$D:$D,$C465,'RAW_농산물_10월'!$A:$A,$E465)&gt;0,"O",""))</f>
        <v/>
      </c>
      <c r="M465" s="17" t="str">
        <f>IF($C465="","",IF(COUNTIFS('RAW_농산물_11-12월'!$D:$D,$C465,'RAW_농산물_11-12월'!$A:$A,$E465)&gt;0,"O",""))</f>
        <v/>
      </c>
      <c r="N465" s="7" t="str">
        <f>IF($C465="","",IF(COUNTA('RAW_농산물_7월'!$A:$A)&lt;=1,"",SUMIFS('RAW_농산물_7월'!$H:$H,'RAW_농산물_7월'!$D:$D,$C465,'RAW_농산물_7월'!$A:$A,$E465)))</f>
        <v/>
      </c>
      <c r="O465" s="7" t="str">
        <f>IF($C465="","",IF(COUNTA('RAW_농산물_8월'!$A:$A)&lt;=1,"",SUMIFS('RAW_농산물_8월'!$H:$H,'RAW_농산물_8월'!$D:$D,$C465,'RAW_농산물_8월'!$A:$A,$E465)-SUMIFS('RAW_농산물_7월'!$H:$H,'RAW_농산물_7월'!$D:$D,$C465,'RAW_농산물_7월'!$A:$A,$E465)))</f>
        <v/>
      </c>
      <c r="P465" s="7" t="str">
        <f>IF($C465="","",IF(COUNTA('RAW_농산물_9월'!$A:$A)&lt;=1,"",SUMIFS('RAW_농산물_9월'!$H:$H,'RAW_농산물_9월'!$D:$D,$C465,'RAW_농산물_9월'!$A:$A,$E465)-SUMIFS('RAW_농산물_8월'!$H:$H,'RAW_농산물_8월'!$D:$D,$C465,'RAW_농산물_8월'!$A:$A,$E465)))</f>
        <v/>
      </c>
      <c r="Q465" s="7" t="str">
        <f>IF($C465="","",IF(COUNTA('RAW_농산물_10월'!$A:$A)&lt;=1,"",SUMIFS('RAW_농산물_10월'!$H:$H,'RAW_농산물_10월'!$D:$D,$C465,'RAW_농산물_10월'!$A:$A,$E465)-SUMIFS('RAW_농산물_9월'!$H:$H,'RAW_농산물_9월'!$D:$D,$C465,'RAW_농산물_9월'!$A:$A,$E465)))</f>
        <v/>
      </c>
      <c r="R465" s="7" t="str">
        <f>IF($C465="","",IF(COUNTA('RAW_농산물_11-12월'!$A:$A)&lt;=1,"",SUMIFS('RAW_농산물_11-12월'!$H:$H,'RAW_농산물_11-12월'!$D:$D,$C465,'RAW_농산물_11-12월'!$A:$A,$E465)-SUMIFS('RAW_농산물_10월'!$H:$H,'RAW_농산물_10월'!$D:$D,$C465,'RAW_농산물_10월'!$A:$A,$E465)))</f>
        <v/>
      </c>
      <c r="S465" s="17" t="str">
        <f t="shared" si="4"/>
        <v/>
      </c>
      <c r="T465" s="17" t="str">
        <f t="shared" si="5"/>
        <v/>
      </c>
      <c r="U465" s="7">
        <f>IF($C465="",0,IF('설정'!$B$3=0,0,CHOOSE('설정'!$B$3,COUNTIFS('RAW_농산물_7월'!$D:$D,$C465,'RAW_농산물_7월'!$A:$A,$E465),COUNTIFS('RAW_농산물_8월'!$D:$D,$C465,'RAW_농산물_8월'!$A:$A,$E465),COUNTIFS('RAW_농산물_9월'!$D:$D,$C465,'RAW_농산물_9월'!$A:$A,$E465),COUNTIFS('RAW_농산물_10월'!$D:$D,$C465,'RAW_농산물_10월'!$A:$A,$E465),COUNTIFS('RAW_농산물_11-12월'!$D:$D,$C465,'RAW_농산물_11-12월'!$A:$A,$E465))))</f>
        <v>0</v>
      </c>
    </row>
    <row r="466" ht="15.75" customHeight="1">
      <c r="A466" s="5"/>
      <c r="B466" s="5"/>
      <c r="C466" s="5"/>
      <c r="D466" s="6"/>
      <c r="E466" s="5"/>
      <c r="F466" s="7" t="str">
        <f>IF($C466="","",IF('설정'!$B$3=0,"",CHOOSE('설정'!$B$3,SUMIFS('RAW_농산물_7월'!$F:$F,'RAW_농산물_7월'!$D:$D,$C466,'RAW_농산물_7월'!$A:$A,$E466),SUMIFS('RAW_농산물_8월'!$F:$F,'RAW_농산물_8월'!$D:$D,$C466,'RAW_농산물_8월'!$A:$A,$E466),SUMIFS('RAW_농산물_9월'!$F:$F,'RAW_농산물_9월'!$D:$D,$C466,'RAW_농산물_9월'!$A:$A,$E466),SUMIFS('RAW_농산물_10월'!$F:$F,'RAW_농산물_10월'!$D:$D,$C466,'RAW_농산물_10월'!$A:$A,$E466),SUMIFS('RAW_농산물_11-12월'!$F:$F,'RAW_농산물_11-12월'!$D:$D,$C466,'RAW_농산물_11-12월'!$A:$A,$E466))))</f>
        <v/>
      </c>
      <c r="G466" s="7" t="str">
        <f>IF($C466="","",IF('설정'!$B$3=0,"",CHOOSE('설정'!$B$3,SUMIFS('RAW_농산물_7월'!$G:$G,'RAW_농산물_7월'!$D:$D,$C466,'RAW_농산물_7월'!$A:$A,$E466),SUMIFS('RAW_농산물_8월'!$G:$G,'RAW_농산물_8월'!$D:$D,$C466,'RAW_농산물_8월'!$A:$A,$E466),SUMIFS('RAW_농산물_9월'!$G:$G,'RAW_농산물_9월'!$D:$D,$C466,'RAW_농산물_9월'!$A:$A,$E466),SUMIFS('RAW_농산물_10월'!$G:$G,'RAW_농산물_10월'!$D:$D,$C466,'RAW_농산물_10월'!$A:$A,$E466),SUMIFS('RAW_농산물_11-12월'!$G:$G,'RAW_농산물_11-12월'!$D:$D,$C466,'RAW_농산물_11-12월'!$A:$A,$E466))))</f>
        <v/>
      </c>
      <c r="H466" s="14" t="str">
        <f>IF($C466="","",IF('설정'!$B$3=0,"",CHOOSE('설정'!$B$3,SUMIFS('RAW_농산물_7월'!$H:$H,'RAW_농산물_7월'!$D:$D,$C466,'RAW_농산물_7월'!$A:$A,$E466),SUMIFS('RAW_농산물_8월'!$H:$H,'RAW_농산물_8월'!$D:$D,$C466,'RAW_농산물_8월'!$A:$A,$E466),SUMIFS('RAW_농산물_9월'!$H:$H,'RAW_농산물_9월'!$D:$D,$C466,'RAW_농산물_9월'!$A:$A,$E466),SUMIFS('RAW_농산물_10월'!$H:$H,'RAW_농산물_10월'!$D:$D,$C466,'RAW_농산물_10월'!$A:$A,$E466),SUMIFS('RAW_농산물_11-12월'!$H:$H,'RAW_농산물_11-12월'!$D:$D,$C466,'RAW_농산물_11-12월'!$A:$A,$E466))))</f>
        <v/>
      </c>
      <c r="I466" s="17" t="str">
        <f>IF($C466="","",IF(COUNTIFS('RAW_농산물_7월'!$D:$D,$C466,'RAW_농산물_7월'!$A:$A,$E466)&gt;0,"O",""))</f>
        <v/>
      </c>
      <c r="J466" s="17" t="str">
        <f>IF($C466="","",IF(COUNTIFS('RAW_농산물_8월'!$D:$D,$C466,'RAW_농산물_8월'!$A:$A,$E466)&gt;0,"O",""))</f>
        <v/>
      </c>
      <c r="K466" s="17" t="str">
        <f>IF($C466="","",IF(COUNTIFS('RAW_농산물_9월'!$D:$D,$C466,'RAW_농산물_9월'!$A:$A,$E466)&gt;0,"O",""))</f>
        <v/>
      </c>
      <c r="L466" s="17" t="str">
        <f>IF($C466="","",IF(COUNTIFS('RAW_농산물_10월'!$D:$D,$C466,'RAW_농산물_10월'!$A:$A,$E466)&gt;0,"O",""))</f>
        <v/>
      </c>
      <c r="M466" s="17" t="str">
        <f>IF($C466="","",IF(COUNTIFS('RAW_농산물_11-12월'!$D:$D,$C466,'RAW_농산물_11-12월'!$A:$A,$E466)&gt;0,"O",""))</f>
        <v/>
      </c>
      <c r="N466" s="7" t="str">
        <f>IF($C466="","",IF(COUNTA('RAW_농산물_7월'!$A:$A)&lt;=1,"",SUMIFS('RAW_농산물_7월'!$H:$H,'RAW_농산물_7월'!$D:$D,$C466,'RAW_농산물_7월'!$A:$A,$E466)))</f>
        <v/>
      </c>
      <c r="O466" s="7" t="str">
        <f>IF($C466="","",IF(COUNTA('RAW_농산물_8월'!$A:$A)&lt;=1,"",SUMIFS('RAW_농산물_8월'!$H:$H,'RAW_농산물_8월'!$D:$D,$C466,'RAW_농산물_8월'!$A:$A,$E466)-SUMIFS('RAW_농산물_7월'!$H:$H,'RAW_농산물_7월'!$D:$D,$C466,'RAW_농산물_7월'!$A:$A,$E466)))</f>
        <v/>
      </c>
      <c r="P466" s="7" t="str">
        <f>IF($C466="","",IF(COUNTA('RAW_농산물_9월'!$A:$A)&lt;=1,"",SUMIFS('RAW_농산물_9월'!$H:$H,'RAW_농산물_9월'!$D:$D,$C466,'RAW_농산물_9월'!$A:$A,$E466)-SUMIFS('RAW_농산물_8월'!$H:$H,'RAW_농산물_8월'!$D:$D,$C466,'RAW_농산물_8월'!$A:$A,$E466)))</f>
        <v/>
      </c>
      <c r="Q466" s="7" t="str">
        <f>IF($C466="","",IF(COUNTA('RAW_농산물_10월'!$A:$A)&lt;=1,"",SUMIFS('RAW_농산물_10월'!$H:$H,'RAW_농산물_10월'!$D:$D,$C466,'RAW_농산물_10월'!$A:$A,$E466)-SUMIFS('RAW_농산물_9월'!$H:$H,'RAW_농산물_9월'!$D:$D,$C466,'RAW_농산물_9월'!$A:$A,$E466)))</f>
        <v/>
      </c>
      <c r="R466" s="7" t="str">
        <f>IF($C466="","",IF(COUNTA('RAW_농산물_11-12월'!$A:$A)&lt;=1,"",SUMIFS('RAW_농산물_11-12월'!$H:$H,'RAW_농산물_11-12월'!$D:$D,$C466,'RAW_농산물_11-12월'!$A:$A,$E466)-SUMIFS('RAW_농산물_10월'!$H:$H,'RAW_농산물_10월'!$D:$D,$C466,'RAW_농산물_10월'!$A:$A,$E466)))</f>
        <v/>
      </c>
      <c r="S466" s="17" t="str">
        <f t="shared" si="4"/>
        <v/>
      </c>
      <c r="T466" s="17" t="str">
        <f t="shared" si="5"/>
        <v/>
      </c>
      <c r="U466" s="7">
        <f>IF($C466="",0,IF('설정'!$B$3=0,0,CHOOSE('설정'!$B$3,COUNTIFS('RAW_농산물_7월'!$D:$D,$C466,'RAW_농산물_7월'!$A:$A,$E466),COUNTIFS('RAW_농산물_8월'!$D:$D,$C466,'RAW_농산물_8월'!$A:$A,$E466),COUNTIFS('RAW_농산물_9월'!$D:$D,$C466,'RAW_농산물_9월'!$A:$A,$E466),COUNTIFS('RAW_농산물_10월'!$D:$D,$C466,'RAW_농산물_10월'!$A:$A,$E466),COUNTIFS('RAW_농산물_11-12월'!$D:$D,$C466,'RAW_농산물_11-12월'!$A:$A,$E466))))</f>
        <v>0</v>
      </c>
    </row>
    <row r="467" ht="15.75" customHeight="1">
      <c r="A467" s="5"/>
      <c r="B467" s="5"/>
      <c r="C467" s="5"/>
      <c r="D467" s="6"/>
      <c r="E467" s="5"/>
      <c r="F467" s="7" t="str">
        <f>IF($C467="","",IF('설정'!$B$3=0,"",CHOOSE('설정'!$B$3,SUMIFS('RAW_농산물_7월'!$F:$F,'RAW_농산물_7월'!$D:$D,$C467,'RAW_농산물_7월'!$A:$A,$E467),SUMIFS('RAW_농산물_8월'!$F:$F,'RAW_농산물_8월'!$D:$D,$C467,'RAW_농산물_8월'!$A:$A,$E467),SUMIFS('RAW_농산물_9월'!$F:$F,'RAW_농산물_9월'!$D:$D,$C467,'RAW_농산물_9월'!$A:$A,$E467),SUMIFS('RAW_농산물_10월'!$F:$F,'RAW_농산물_10월'!$D:$D,$C467,'RAW_농산물_10월'!$A:$A,$E467),SUMIFS('RAW_농산물_11-12월'!$F:$F,'RAW_농산물_11-12월'!$D:$D,$C467,'RAW_농산물_11-12월'!$A:$A,$E467))))</f>
        <v/>
      </c>
      <c r="G467" s="7" t="str">
        <f>IF($C467="","",IF('설정'!$B$3=0,"",CHOOSE('설정'!$B$3,SUMIFS('RAW_농산물_7월'!$G:$G,'RAW_농산물_7월'!$D:$D,$C467,'RAW_농산물_7월'!$A:$A,$E467),SUMIFS('RAW_농산물_8월'!$G:$G,'RAW_농산물_8월'!$D:$D,$C467,'RAW_농산물_8월'!$A:$A,$E467),SUMIFS('RAW_농산물_9월'!$G:$G,'RAW_농산물_9월'!$D:$D,$C467,'RAW_농산물_9월'!$A:$A,$E467),SUMIFS('RAW_농산물_10월'!$G:$G,'RAW_농산물_10월'!$D:$D,$C467,'RAW_농산물_10월'!$A:$A,$E467),SUMIFS('RAW_농산물_11-12월'!$G:$G,'RAW_농산물_11-12월'!$D:$D,$C467,'RAW_농산물_11-12월'!$A:$A,$E467))))</f>
        <v/>
      </c>
      <c r="H467" s="14" t="str">
        <f>IF($C467="","",IF('설정'!$B$3=0,"",CHOOSE('설정'!$B$3,SUMIFS('RAW_농산물_7월'!$H:$H,'RAW_농산물_7월'!$D:$D,$C467,'RAW_농산물_7월'!$A:$A,$E467),SUMIFS('RAW_농산물_8월'!$H:$H,'RAW_농산물_8월'!$D:$D,$C467,'RAW_농산물_8월'!$A:$A,$E467),SUMIFS('RAW_농산물_9월'!$H:$H,'RAW_농산물_9월'!$D:$D,$C467,'RAW_농산물_9월'!$A:$A,$E467),SUMIFS('RAW_농산물_10월'!$H:$H,'RAW_농산물_10월'!$D:$D,$C467,'RAW_농산물_10월'!$A:$A,$E467),SUMIFS('RAW_농산물_11-12월'!$H:$H,'RAW_농산물_11-12월'!$D:$D,$C467,'RAW_농산물_11-12월'!$A:$A,$E467))))</f>
        <v/>
      </c>
      <c r="I467" s="17" t="str">
        <f>IF($C467="","",IF(COUNTIFS('RAW_농산물_7월'!$D:$D,$C467,'RAW_농산물_7월'!$A:$A,$E467)&gt;0,"O",""))</f>
        <v/>
      </c>
      <c r="J467" s="17" t="str">
        <f>IF($C467="","",IF(COUNTIFS('RAW_농산물_8월'!$D:$D,$C467,'RAW_농산물_8월'!$A:$A,$E467)&gt;0,"O",""))</f>
        <v/>
      </c>
      <c r="K467" s="17" t="str">
        <f>IF($C467="","",IF(COUNTIFS('RAW_농산물_9월'!$D:$D,$C467,'RAW_농산물_9월'!$A:$A,$E467)&gt;0,"O",""))</f>
        <v/>
      </c>
      <c r="L467" s="17" t="str">
        <f>IF($C467="","",IF(COUNTIFS('RAW_농산물_10월'!$D:$D,$C467,'RAW_농산물_10월'!$A:$A,$E467)&gt;0,"O",""))</f>
        <v/>
      </c>
      <c r="M467" s="17" t="str">
        <f>IF($C467="","",IF(COUNTIFS('RAW_농산물_11-12월'!$D:$D,$C467,'RAW_농산물_11-12월'!$A:$A,$E467)&gt;0,"O",""))</f>
        <v/>
      </c>
      <c r="N467" s="7" t="str">
        <f>IF($C467="","",IF(COUNTA('RAW_농산물_7월'!$A:$A)&lt;=1,"",SUMIFS('RAW_농산물_7월'!$H:$H,'RAW_농산물_7월'!$D:$D,$C467,'RAW_농산물_7월'!$A:$A,$E467)))</f>
        <v/>
      </c>
      <c r="O467" s="7" t="str">
        <f>IF($C467="","",IF(COUNTA('RAW_농산물_8월'!$A:$A)&lt;=1,"",SUMIFS('RAW_농산물_8월'!$H:$H,'RAW_농산물_8월'!$D:$D,$C467,'RAW_농산물_8월'!$A:$A,$E467)-SUMIFS('RAW_농산물_7월'!$H:$H,'RAW_농산물_7월'!$D:$D,$C467,'RAW_농산물_7월'!$A:$A,$E467)))</f>
        <v/>
      </c>
      <c r="P467" s="7" t="str">
        <f>IF($C467="","",IF(COUNTA('RAW_농산물_9월'!$A:$A)&lt;=1,"",SUMIFS('RAW_농산물_9월'!$H:$H,'RAW_농산물_9월'!$D:$D,$C467,'RAW_농산물_9월'!$A:$A,$E467)-SUMIFS('RAW_농산물_8월'!$H:$H,'RAW_농산물_8월'!$D:$D,$C467,'RAW_농산물_8월'!$A:$A,$E467)))</f>
        <v/>
      </c>
      <c r="Q467" s="7" t="str">
        <f>IF($C467="","",IF(COUNTA('RAW_농산물_10월'!$A:$A)&lt;=1,"",SUMIFS('RAW_농산물_10월'!$H:$H,'RAW_농산물_10월'!$D:$D,$C467,'RAW_농산물_10월'!$A:$A,$E467)-SUMIFS('RAW_농산물_9월'!$H:$H,'RAW_농산물_9월'!$D:$D,$C467,'RAW_농산물_9월'!$A:$A,$E467)))</f>
        <v/>
      </c>
      <c r="R467" s="7" t="str">
        <f>IF($C467="","",IF(COUNTA('RAW_농산물_11-12월'!$A:$A)&lt;=1,"",SUMIFS('RAW_농산물_11-12월'!$H:$H,'RAW_농산물_11-12월'!$D:$D,$C467,'RAW_농산물_11-12월'!$A:$A,$E467)-SUMIFS('RAW_농산물_10월'!$H:$H,'RAW_농산물_10월'!$D:$D,$C467,'RAW_농산물_10월'!$A:$A,$E467)))</f>
        <v/>
      </c>
      <c r="S467" s="17" t="str">
        <f t="shared" si="4"/>
        <v/>
      </c>
      <c r="T467" s="17" t="str">
        <f t="shared" si="5"/>
        <v/>
      </c>
      <c r="U467" s="7">
        <f>IF($C467="",0,IF('설정'!$B$3=0,0,CHOOSE('설정'!$B$3,COUNTIFS('RAW_농산물_7월'!$D:$D,$C467,'RAW_농산물_7월'!$A:$A,$E467),COUNTIFS('RAW_농산물_8월'!$D:$D,$C467,'RAW_농산물_8월'!$A:$A,$E467),COUNTIFS('RAW_농산물_9월'!$D:$D,$C467,'RAW_농산물_9월'!$A:$A,$E467),COUNTIFS('RAW_농산물_10월'!$D:$D,$C467,'RAW_농산물_10월'!$A:$A,$E467),COUNTIFS('RAW_농산물_11-12월'!$D:$D,$C467,'RAW_농산물_11-12월'!$A:$A,$E467))))</f>
        <v>0</v>
      </c>
    </row>
    <row r="468" ht="15.75" customHeight="1">
      <c r="A468" s="5"/>
      <c r="B468" s="5"/>
      <c r="C468" s="5"/>
      <c r="D468" s="6"/>
      <c r="E468" s="5"/>
      <c r="F468" s="7" t="str">
        <f>IF($C468="","",IF('설정'!$B$3=0,"",CHOOSE('설정'!$B$3,SUMIFS('RAW_농산물_7월'!$F:$F,'RAW_농산물_7월'!$D:$D,$C468,'RAW_농산물_7월'!$A:$A,$E468),SUMIFS('RAW_농산물_8월'!$F:$F,'RAW_농산물_8월'!$D:$D,$C468,'RAW_농산물_8월'!$A:$A,$E468),SUMIFS('RAW_농산물_9월'!$F:$F,'RAW_농산물_9월'!$D:$D,$C468,'RAW_농산물_9월'!$A:$A,$E468),SUMIFS('RAW_농산물_10월'!$F:$F,'RAW_농산물_10월'!$D:$D,$C468,'RAW_농산물_10월'!$A:$A,$E468),SUMIFS('RAW_농산물_11-12월'!$F:$F,'RAW_농산물_11-12월'!$D:$D,$C468,'RAW_농산물_11-12월'!$A:$A,$E468))))</f>
        <v/>
      </c>
      <c r="G468" s="7" t="str">
        <f>IF($C468="","",IF('설정'!$B$3=0,"",CHOOSE('설정'!$B$3,SUMIFS('RAW_농산물_7월'!$G:$G,'RAW_농산물_7월'!$D:$D,$C468,'RAW_농산물_7월'!$A:$A,$E468),SUMIFS('RAW_농산물_8월'!$G:$G,'RAW_농산물_8월'!$D:$D,$C468,'RAW_농산물_8월'!$A:$A,$E468),SUMIFS('RAW_농산물_9월'!$G:$G,'RAW_농산물_9월'!$D:$D,$C468,'RAW_농산물_9월'!$A:$A,$E468),SUMIFS('RAW_농산물_10월'!$G:$G,'RAW_농산물_10월'!$D:$D,$C468,'RAW_농산물_10월'!$A:$A,$E468),SUMIFS('RAW_농산물_11-12월'!$G:$G,'RAW_농산물_11-12월'!$D:$D,$C468,'RAW_농산물_11-12월'!$A:$A,$E468))))</f>
        <v/>
      </c>
      <c r="H468" s="14" t="str">
        <f>IF($C468="","",IF('설정'!$B$3=0,"",CHOOSE('설정'!$B$3,SUMIFS('RAW_농산물_7월'!$H:$H,'RAW_농산물_7월'!$D:$D,$C468,'RAW_농산물_7월'!$A:$A,$E468),SUMIFS('RAW_농산물_8월'!$H:$H,'RAW_농산물_8월'!$D:$D,$C468,'RAW_농산물_8월'!$A:$A,$E468),SUMIFS('RAW_농산물_9월'!$H:$H,'RAW_농산물_9월'!$D:$D,$C468,'RAW_농산물_9월'!$A:$A,$E468),SUMIFS('RAW_농산물_10월'!$H:$H,'RAW_농산물_10월'!$D:$D,$C468,'RAW_농산물_10월'!$A:$A,$E468),SUMIFS('RAW_농산물_11-12월'!$H:$H,'RAW_농산물_11-12월'!$D:$D,$C468,'RAW_농산물_11-12월'!$A:$A,$E468))))</f>
        <v/>
      </c>
      <c r="I468" s="17" t="str">
        <f>IF($C468="","",IF(COUNTIFS('RAW_농산물_7월'!$D:$D,$C468,'RAW_농산물_7월'!$A:$A,$E468)&gt;0,"O",""))</f>
        <v/>
      </c>
      <c r="J468" s="17" t="str">
        <f>IF($C468="","",IF(COUNTIFS('RAW_농산물_8월'!$D:$D,$C468,'RAW_농산물_8월'!$A:$A,$E468)&gt;0,"O",""))</f>
        <v/>
      </c>
      <c r="K468" s="17" t="str">
        <f>IF($C468="","",IF(COUNTIFS('RAW_농산물_9월'!$D:$D,$C468,'RAW_농산물_9월'!$A:$A,$E468)&gt;0,"O",""))</f>
        <v/>
      </c>
      <c r="L468" s="17" t="str">
        <f>IF($C468="","",IF(COUNTIFS('RAW_농산물_10월'!$D:$D,$C468,'RAW_농산물_10월'!$A:$A,$E468)&gt;0,"O",""))</f>
        <v/>
      </c>
      <c r="M468" s="17" t="str">
        <f>IF($C468="","",IF(COUNTIFS('RAW_농산물_11-12월'!$D:$D,$C468,'RAW_농산물_11-12월'!$A:$A,$E468)&gt;0,"O",""))</f>
        <v/>
      </c>
      <c r="N468" s="7" t="str">
        <f>IF($C468="","",IF(COUNTA('RAW_농산물_7월'!$A:$A)&lt;=1,"",SUMIFS('RAW_농산물_7월'!$H:$H,'RAW_농산물_7월'!$D:$D,$C468,'RAW_농산물_7월'!$A:$A,$E468)))</f>
        <v/>
      </c>
      <c r="O468" s="7" t="str">
        <f>IF($C468="","",IF(COUNTA('RAW_농산물_8월'!$A:$A)&lt;=1,"",SUMIFS('RAW_농산물_8월'!$H:$H,'RAW_농산물_8월'!$D:$D,$C468,'RAW_농산물_8월'!$A:$A,$E468)-SUMIFS('RAW_농산물_7월'!$H:$H,'RAW_농산물_7월'!$D:$D,$C468,'RAW_농산물_7월'!$A:$A,$E468)))</f>
        <v/>
      </c>
      <c r="P468" s="7" t="str">
        <f>IF($C468="","",IF(COUNTA('RAW_농산물_9월'!$A:$A)&lt;=1,"",SUMIFS('RAW_농산물_9월'!$H:$H,'RAW_농산물_9월'!$D:$D,$C468,'RAW_농산물_9월'!$A:$A,$E468)-SUMIFS('RAW_농산물_8월'!$H:$H,'RAW_농산물_8월'!$D:$D,$C468,'RAW_농산물_8월'!$A:$A,$E468)))</f>
        <v/>
      </c>
      <c r="Q468" s="7" t="str">
        <f>IF($C468="","",IF(COUNTA('RAW_농산물_10월'!$A:$A)&lt;=1,"",SUMIFS('RAW_농산물_10월'!$H:$H,'RAW_농산물_10월'!$D:$D,$C468,'RAW_농산물_10월'!$A:$A,$E468)-SUMIFS('RAW_농산물_9월'!$H:$H,'RAW_농산물_9월'!$D:$D,$C468,'RAW_농산물_9월'!$A:$A,$E468)))</f>
        <v/>
      </c>
      <c r="R468" s="7" t="str">
        <f>IF($C468="","",IF(COUNTA('RAW_농산물_11-12월'!$A:$A)&lt;=1,"",SUMIFS('RAW_농산물_11-12월'!$H:$H,'RAW_농산물_11-12월'!$D:$D,$C468,'RAW_농산물_11-12월'!$A:$A,$E468)-SUMIFS('RAW_농산물_10월'!$H:$H,'RAW_농산물_10월'!$D:$D,$C468,'RAW_농산물_10월'!$A:$A,$E468)))</f>
        <v/>
      </c>
      <c r="S468" s="17" t="str">
        <f t="shared" si="4"/>
        <v/>
      </c>
      <c r="T468" s="17" t="str">
        <f t="shared" si="5"/>
        <v/>
      </c>
      <c r="U468" s="7">
        <f>IF($C468="",0,IF('설정'!$B$3=0,0,CHOOSE('설정'!$B$3,COUNTIFS('RAW_농산물_7월'!$D:$D,$C468,'RAW_농산물_7월'!$A:$A,$E468),COUNTIFS('RAW_농산물_8월'!$D:$D,$C468,'RAW_농산물_8월'!$A:$A,$E468),COUNTIFS('RAW_농산물_9월'!$D:$D,$C468,'RAW_농산물_9월'!$A:$A,$E468),COUNTIFS('RAW_농산물_10월'!$D:$D,$C468,'RAW_농산물_10월'!$A:$A,$E468),COUNTIFS('RAW_농산물_11-12월'!$D:$D,$C468,'RAW_농산물_11-12월'!$A:$A,$E468))))</f>
        <v>0</v>
      </c>
    </row>
    <row r="469" ht="15.75" customHeight="1">
      <c r="A469" s="5"/>
      <c r="B469" s="5"/>
      <c r="C469" s="5"/>
      <c r="D469" s="6"/>
      <c r="E469" s="5"/>
      <c r="F469" s="7" t="str">
        <f>IF($C469="","",IF('설정'!$B$3=0,"",CHOOSE('설정'!$B$3,SUMIFS('RAW_농산물_7월'!$F:$F,'RAW_농산물_7월'!$D:$D,$C469,'RAW_농산물_7월'!$A:$A,$E469),SUMIFS('RAW_농산물_8월'!$F:$F,'RAW_농산물_8월'!$D:$D,$C469,'RAW_농산물_8월'!$A:$A,$E469),SUMIFS('RAW_농산물_9월'!$F:$F,'RAW_농산물_9월'!$D:$D,$C469,'RAW_농산물_9월'!$A:$A,$E469),SUMIFS('RAW_농산물_10월'!$F:$F,'RAW_농산물_10월'!$D:$D,$C469,'RAW_농산물_10월'!$A:$A,$E469),SUMIFS('RAW_농산물_11-12월'!$F:$F,'RAW_농산물_11-12월'!$D:$D,$C469,'RAW_농산물_11-12월'!$A:$A,$E469))))</f>
        <v/>
      </c>
      <c r="G469" s="7" t="str">
        <f>IF($C469="","",IF('설정'!$B$3=0,"",CHOOSE('설정'!$B$3,SUMIFS('RAW_농산물_7월'!$G:$G,'RAW_농산물_7월'!$D:$D,$C469,'RAW_농산물_7월'!$A:$A,$E469),SUMIFS('RAW_농산물_8월'!$G:$G,'RAW_농산물_8월'!$D:$D,$C469,'RAW_농산물_8월'!$A:$A,$E469),SUMIFS('RAW_농산물_9월'!$G:$G,'RAW_농산물_9월'!$D:$D,$C469,'RAW_농산물_9월'!$A:$A,$E469),SUMIFS('RAW_농산물_10월'!$G:$G,'RAW_농산물_10월'!$D:$D,$C469,'RAW_농산물_10월'!$A:$A,$E469),SUMIFS('RAW_농산물_11-12월'!$G:$G,'RAW_농산물_11-12월'!$D:$D,$C469,'RAW_농산물_11-12월'!$A:$A,$E469))))</f>
        <v/>
      </c>
      <c r="H469" s="14" t="str">
        <f>IF($C469="","",IF('설정'!$B$3=0,"",CHOOSE('설정'!$B$3,SUMIFS('RAW_농산물_7월'!$H:$H,'RAW_농산물_7월'!$D:$D,$C469,'RAW_농산물_7월'!$A:$A,$E469),SUMIFS('RAW_농산물_8월'!$H:$H,'RAW_농산물_8월'!$D:$D,$C469,'RAW_농산물_8월'!$A:$A,$E469),SUMIFS('RAW_농산물_9월'!$H:$H,'RAW_농산물_9월'!$D:$D,$C469,'RAW_농산물_9월'!$A:$A,$E469),SUMIFS('RAW_농산물_10월'!$H:$H,'RAW_농산물_10월'!$D:$D,$C469,'RAW_농산물_10월'!$A:$A,$E469),SUMIFS('RAW_농산물_11-12월'!$H:$H,'RAW_농산물_11-12월'!$D:$D,$C469,'RAW_농산물_11-12월'!$A:$A,$E469))))</f>
        <v/>
      </c>
      <c r="I469" s="17" t="str">
        <f>IF($C469="","",IF(COUNTIFS('RAW_농산물_7월'!$D:$D,$C469,'RAW_농산물_7월'!$A:$A,$E469)&gt;0,"O",""))</f>
        <v/>
      </c>
      <c r="J469" s="17" t="str">
        <f>IF($C469="","",IF(COUNTIFS('RAW_농산물_8월'!$D:$D,$C469,'RAW_농산물_8월'!$A:$A,$E469)&gt;0,"O",""))</f>
        <v/>
      </c>
      <c r="K469" s="17" t="str">
        <f>IF($C469="","",IF(COUNTIFS('RAW_농산물_9월'!$D:$D,$C469,'RAW_농산물_9월'!$A:$A,$E469)&gt;0,"O",""))</f>
        <v/>
      </c>
      <c r="L469" s="17" t="str">
        <f>IF($C469="","",IF(COUNTIFS('RAW_농산물_10월'!$D:$D,$C469,'RAW_농산물_10월'!$A:$A,$E469)&gt;0,"O",""))</f>
        <v/>
      </c>
      <c r="M469" s="17" t="str">
        <f>IF($C469="","",IF(COUNTIFS('RAW_농산물_11-12월'!$D:$D,$C469,'RAW_농산물_11-12월'!$A:$A,$E469)&gt;0,"O",""))</f>
        <v/>
      </c>
      <c r="N469" s="7" t="str">
        <f>IF($C469="","",IF(COUNTA('RAW_농산물_7월'!$A:$A)&lt;=1,"",SUMIFS('RAW_농산물_7월'!$H:$H,'RAW_농산물_7월'!$D:$D,$C469,'RAW_농산물_7월'!$A:$A,$E469)))</f>
        <v/>
      </c>
      <c r="O469" s="7" t="str">
        <f>IF($C469="","",IF(COUNTA('RAW_농산물_8월'!$A:$A)&lt;=1,"",SUMIFS('RAW_농산물_8월'!$H:$H,'RAW_농산물_8월'!$D:$D,$C469,'RAW_농산물_8월'!$A:$A,$E469)-SUMIFS('RAW_농산물_7월'!$H:$H,'RAW_농산물_7월'!$D:$D,$C469,'RAW_농산물_7월'!$A:$A,$E469)))</f>
        <v/>
      </c>
      <c r="P469" s="7" t="str">
        <f>IF($C469="","",IF(COUNTA('RAW_농산물_9월'!$A:$A)&lt;=1,"",SUMIFS('RAW_농산물_9월'!$H:$H,'RAW_농산물_9월'!$D:$D,$C469,'RAW_농산물_9월'!$A:$A,$E469)-SUMIFS('RAW_농산물_8월'!$H:$H,'RAW_농산물_8월'!$D:$D,$C469,'RAW_농산물_8월'!$A:$A,$E469)))</f>
        <v/>
      </c>
      <c r="Q469" s="7" t="str">
        <f>IF($C469="","",IF(COUNTA('RAW_농산물_10월'!$A:$A)&lt;=1,"",SUMIFS('RAW_농산물_10월'!$H:$H,'RAW_농산물_10월'!$D:$D,$C469,'RAW_농산물_10월'!$A:$A,$E469)-SUMIFS('RAW_농산물_9월'!$H:$H,'RAW_농산물_9월'!$D:$D,$C469,'RAW_농산물_9월'!$A:$A,$E469)))</f>
        <v/>
      </c>
      <c r="R469" s="7" t="str">
        <f>IF($C469="","",IF(COUNTA('RAW_농산물_11-12월'!$A:$A)&lt;=1,"",SUMIFS('RAW_농산물_11-12월'!$H:$H,'RAW_농산물_11-12월'!$D:$D,$C469,'RAW_농산물_11-12월'!$A:$A,$E469)-SUMIFS('RAW_농산물_10월'!$H:$H,'RAW_농산물_10월'!$D:$D,$C469,'RAW_농산물_10월'!$A:$A,$E469)))</f>
        <v/>
      </c>
      <c r="S469" s="17" t="str">
        <f t="shared" si="4"/>
        <v/>
      </c>
      <c r="T469" s="17" t="str">
        <f t="shared" si="5"/>
        <v/>
      </c>
      <c r="U469" s="7">
        <f>IF($C469="",0,IF('설정'!$B$3=0,0,CHOOSE('설정'!$B$3,COUNTIFS('RAW_농산물_7월'!$D:$D,$C469,'RAW_농산물_7월'!$A:$A,$E469),COUNTIFS('RAW_농산물_8월'!$D:$D,$C469,'RAW_농산물_8월'!$A:$A,$E469),COUNTIFS('RAW_농산물_9월'!$D:$D,$C469,'RAW_농산물_9월'!$A:$A,$E469),COUNTIFS('RAW_농산물_10월'!$D:$D,$C469,'RAW_농산물_10월'!$A:$A,$E469),COUNTIFS('RAW_농산물_11-12월'!$D:$D,$C469,'RAW_농산물_11-12월'!$A:$A,$E469))))</f>
        <v>0</v>
      </c>
    </row>
    <row r="470" ht="15.75" customHeight="1">
      <c r="A470" s="5"/>
      <c r="B470" s="5"/>
      <c r="C470" s="5"/>
      <c r="D470" s="6"/>
      <c r="E470" s="5"/>
      <c r="F470" s="7" t="str">
        <f>IF($C470="","",IF('설정'!$B$3=0,"",CHOOSE('설정'!$B$3,SUMIFS('RAW_농산물_7월'!$F:$F,'RAW_농산물_7월'!$D:$D,$C470,'RAW_농산물_7월'!$A:$A,$E470),SUMIFS('RAW_농산물_8월'!$F:$F,'RAW_농산물_8월'!$D:$D,$C470,'RAW_농산물_8월'!$A:$A,$E470),SUMIFS('RAW_농산물_9월'!$F:$F,'RAW_농산물_9월'!$D:$D,$C470,'RAW_농산물_9월'!$A:$A,$E470),SUMIFS('RAW_농산물_10월'!$F:$F,'RAW_농산물_10월'!$D:$D,$C470,'RAW_농산물_10월'!$A:$A,$E470),SUMIFS('RAW_농산물_11-12월'!$F:$F,'RAW_농산물_11-12월'!$D:$D,$C470,'RAW_농산물_11-12월'!$A:$A,$E470))))</f>
        <v/>
      </c>
      <c r="G470" s="7" t="str">
        <f>IF($C470="","",IF('설정'!$B$3=0,"",CHOOSE('설정'!$B$3,SUMIFS('RAW_농산물_7월'!$G:$G,'RAW_농산물_7월'!$D:$D,$C470,'RAW_농산물_7월'!$A:$A,$E470),SUMIFS('RAW_농산물_8월'!$G:$G,'RAW_농산물_8월'!$D:$D,$C470,'RAW_농산물_8월'!$A:$A,$E470),SUMIFS('RAW_농산물_9월'!$G:$G,'RAW_농산물_9월'!$D:$D,$C470,'RAW_농산물_9월'!$A:$A,$E470),SUMIFS('RAW_농산물_10월'!$G:$G,'RAW_농산물_10월'!$D:$D,$C470,'RAW_농산물_10월'!$A:$A,$E470),SUMIFS('RAW_농산물_11-12월'!$G:$G,'RAW_농산물_11-12월'!$D:$D,$C470,'RAW_농산물_11-12월'!$A:$A,$E470))))</f>
        <v/>
      </c>
      <c r="H470" s="14" t="str">
        <f>IF($C470="","",IF('설정'!$B$3=0,"",CHOOSE('설정'!$B$3,SUMIFS('RAW_농산물_7월'!$H:$H,'RAW_농산물_7월'!$D:$D,$C470,'RAW_농산물_7월'!$A:$A,$E470),SUMIFS('RAW_농산물_8월'!$H:$H,'RAW_농산물_8월'!$D:$D,$C470,'RAW_농산물_8월'!$A:$A,$E470),SUMIFS('RAW_농산물_9월'!$H:$H,'RAW_농산물_9월'!$D:$D,$C470,'RAW_농산물_9월'!$A:$A,$E470),SUMIFS('RAW_농산물_10월'!$H:$H,'RAW_농산물_10월'!$D:$D,$C470,'RAW_농산물_10월'!$A:$A,$E470),SUMIFS('RAW_농산물_11-12월'!$H:$H,'RAW_농산물_11-12월'!$D:$D,$C470,'RAW_농산물_11-12월'!$A:$A,$E470))))</f>
        <v/>
      </c>
      <c r="I470" s="17" t="str">
        <f>IF($C470="","",IF(COUNTIFS('RAW_농산물_7월'!$D:$D,$C470,'RAW_농산물_7월'!$A:$A,$E470)&gt;0,"O",""))</f>
        <v/>
      </c>
      <c r="J470" s="17" t="str">
        <f>IF($C470="","",IF(COUNTIFS('RAW_농산물_8월'!$D:$D,$C470,'RAW_농산물_8월'!$A:$A,$E470)&gt;0,"O",""))</f>
        <v/>
      </c>
      <c r="K470" s="17" t="str">
        <f>IF($C470="","",IF(COUNTIFS('RAW_농산물_9월'!$D:$D,$C470,'RAW_농산물_9월'!$A:$A,$E470)&gt;0,"O",""))</f>
        <v/>
      </c>
      <c r="L470" s="17" t="str">
        <f>IF($C470="","",IF(COUNTIFS('RAW_농산물_10월'!$D:$D,$C470,'RAW_농산물_10월'!$A:$A,$E470)&gt;0,"O",""))</f>
        <v/>
      </c>
      <c r="M470" s="17" t="str">
        <f>IF($C470="","",IF(COUNTIFS('RAW_농산물_11-12월'!$D:$D,$C470,'RAW_농산물_11-12월'!$A:$A,$E470)&gt;0,"O",""))</f>
        <v/>
      </c>
      <c r="N470" s="7" t="str">
        <f>IF($C470="","",IF(COUNTA('RAW_농산물_7월'!$A:$A)&lt;=1,"",SUMIFS('RAW_농산물_7월'!$H:$H,'RAW_농산물_7월'!$D:$D,$C470,'RAW_농산물_7월'!$A:$A,$E470)))</f>
        <v/>
      </c>
      <c r="O470" s="7" t="str">
        <f>IF($C470="","",IF(COUNTA('RAW_농산물_8월'!$A:$A)&lt;=1,"",SUMIFS('RAW_농산물_8월'!$H:$H,'RAW_농산물_8월'!$D:$D,$C470,'RAW_농산물_8월'!$A:$A,$E470)-SUMIFS('RAW_농산물_7월'!$H:$H,'RAW_농산물_7월'!$D:$D,$C470,'RAW_농산물_7월'!$A:$A,$E470)))</f>
        <v/>
      </c>
      <c r="P470" s="7" t="str">
        <f>IF($C470="","",IF(COUNTA('RAW_농산물_9월'!$A:$A)&lt;=1,"",SUMIFS('RAW_농산물_9월'!$H:$H,'RAW_농산물_9월'!$D:$D,$C470,'RAW_농산물_9월'!$A:$A,$E470)-SUMIFS('RAW_농산물_8월'!$H:$H,'RAW_농산물_8월'!$D:$D,$C470,'RAW_농산물_8월'!$A:$A,$E470)))</f>
        <v/>
      </c>
      <c r="Q470" s="7" t="str">
        <f>IF($C470="","",IF(COUNTA('RAW_농산물_10월'!$A:$A)&lt;=1,"",SUMIFS('RAW_농산물_10월'!$H:$H,'RAW_농산물_10월'!$D:$D,$C470,'RAW_농산물_10월'!$A:$A,$E470)-SUMIFS('RAW_농산물_9월'!$H:$H,'RAW_농산물_9월'!$D:$D,$C470,'RAW_농산물_9월'!$A:$A,$E470)))</f>
        <v/>
      </c>
      <c r="R470" s="7" t="str">
        <f>IF($C470="","",IF(COUNTA('RAW_농산물_11-12월'!$A:$A)&lt;=1,"",SUMIFS('RAW_농산물_11-12월'!$H:$H,'RAW_농산물_11-12월'!$D:$D,$C470,'RAW_농산물_11-12월'!$A:$A,$E470)-SUMIFS('RAW_농산물_10월'!$H:$H,'RAW_농산물_10월'!$D:$D,$C470,'RAW_농산물_10월'!$A:$A,$E470)))</f>
        <v/>
      </c>
      <c r="S470" s="17" t="str">
        <f t="shared" si="4"/>
        <v/>
      </c>
      <c r="T470" s="17" t="str">
        <f t="shared" si="5"/>
        <v/>
      </c>
      <c r="U470" s="7">
        <f>IF($C470="",0,IF('설정'!$B$3=0,0,CHOOSE('설정'!$B$3,COUNTIFS('RAW_농산물_7월'!$D:$D,$C470,'RAW_농산물_7월'!$A:$A,$E470),COUNTIFS('RAW_농산물_8월'!$D:$D,$C470,'RAW_농산물_8월'!$A:$A,$E470),COUNTIFS('RAW_농산물_9월'!$D:$D,$C470,'RAW_농산물_9월'!$A:$A,$E470),COUNTIFS('RAW_농산물_10월'!$D:$D,$C470,'RAW_농산물_10월'!$A:$A,$E470),COUNTIFS('RAW_농산물_11-12월'!$D:$D,$C470,'RAW_농산물_11-12월'!$A:$A,$E470))))</f>
        <v>0</v>
      </c>
    </row>
    <row r="471" ht="15.75" customHeight="1">
      <c r="A471" s="5"/>
      <c r="B471" s="5"/>
      <c r="C471" s="5"/>
      <c r="D471" s="6"/>
      <c r="E471" s="5"/>
      <c r="F471" s="7" t="str">
        <f>IF($C471="","",IF('설정'!$B$3=0,"",CHOOSE('설정'!$B$3,SUMIFS('RAW_농산물_7월'!$F:$F,'RAW_농산물_7월'!$D:$D,$C471,'RAW_농산물_7월'!$A:$A,$E471),SUMIFS('RAW_농산물_8월'!$F:$F,'RAW_농산물_8월'!$D:$D,$C471,'RAW_농산물_8월'!$A:$A,$E471),SUMIFS('RAW_농산물_9월'!$F:$F,'RAW_농산물_9월'!$D:$D,$C471,'RAW_농산물_9월'!$A:$A,$E471),SUMIFS('RAW_농산물_10월'!$F:$F,'RAW_농산물_10월'!$D:$D,$C471,'RAW_농산물_10월'!$A:$A,$E471),SUMIFS('RAW_농산물_11-12월'!$F:$F,'RAW_농산물_11-12월'!$D:$D,$C471,'RAW_농산물_11-12월'!$A:$A,$E471))))</f>
        <v/>
      </c>
      <c r="G471" s="7" t="str">
        <f>IF($C471="","",IF('설정'!$B$3=0,"",CHOOSE('설정'!$B$3,SUMIFS('RAW_농산물_7월'!$G:$G,'RAW_농산물_7월'!$D:$D,$C471,'RAW_농산물_7월'!$A:$A,$E471),SUMIFS('RAW_농산물_8월'!$G:$G,'RAW_농산물_8월'!$D:$D,$C471,'RAW_농산물_8월'!$A:$A,$E471),SUMIFS('RAW_농산물_9월'!$G:$G,'RAW_농산물_9월'!$D:$D,$C471,'RAW_농산물_9월'!$A:$A,$E471),SUMIFS('RAW_농산물_10월'!$G:$G,'RAW_농산물_10월'!$D:$D,$C471,'RAW_농산물_10월'!$A:$A,$E471),SUMIFS('RAW_농산물_11-12월'!$G:$G,'RAW_농산물_11-12월'!$D:$D,$C471,'RAW_농산물_11-12월'!$A:$A,$E471))))</f>
        <v/>
      </c>
      <c r="H471" s="14" t="str">
        <f>IF($C471="","",IF('설정'!$B$3=0,"",CHOOSE('설정'!$B$3,SUMIFS('RAW_농산물_7월'!$H:$H,'RAW_농산물_7월'!$D:$D,$C471,'RAW_농산물_7월'!$A:$A,$E471),SUMIFS('RAW_농산물_8월'!$H:$H,'RAW_농산물_8월'!$D:$D,$C471,'RAW_농산물_8월'!$A:$A,$E471),SUMIFS('RAW_농산물_9월'!$H:$H,'RAW_농산물_9월'!$D:$D,$C471,'RAW_농산물_9월'!$A:$A,$E471),SUMIFS('RAW_농산물_10월'!$H:$H,'RAW_농산물_10월'!$D:$D,$C471,'RAW_농산물_10월'!$A:$A,$E471),SUMIFS('RAW_농산물_11-12월'!$H:$H,'RAW_농산물_11-12월'!$D:$D,$C471,'RAW_농산물_11-12월'!$A:$A,$E471))))</f>
        <v/>
      </c>
      <c r="I471" s="17" t="str">
        <f>IF($C471="","",IF(COUNTIFS('RAW_농산물_7월'!$D:$D,$C471,'RAW_농산물_7월'!$A:$A,$E471)&gt;0,"O",""))</f>
        <v/>
      </c>
      <c r="J471" s="17" t="str">
        <f>IF($C471="","",IF(COUNTIFS('RAW_농산물_8월'!$D:$D,$C471,'RAW_농산물_8월'!$A:$A,$E471)&gt;0,"O",""))</f>
        <v/>
      </c>
      <c r="K471" s="17" t="str">
        <f>IF($C471="","",IF(COUNTIFS('RAW_농산물_9월'!$D:$D,$C471,'RAW_농산물_9월'!$A:$A,$E471)&gt;0,"O",""))</f>
        <v/>
      </c>
      <c r="L471" s="17" t="str">
        <f>IF($C471="","",IF(COUNTIFS('RAW_농산물_10월'!$D:$D,$C471,'RAW_농산물_10월'!$A:$A,$E471)&gt;0,"O",""))</f>
        <v/>
      </c>
      <c r="M471" s="17" t="str">
        <f>IF($C471="","",IF(COUNTIFS('RAW_농산물_11-12월'!$D:$D,$C471,'RAW_농산물_11-12월'!$A:$A,$E471)&gt;0,"O",""))</f>
        <v/>
      </c>
      <c r="N471" s="7" t="str">
        <f>IF($C471="","",IF(COUNTA('RAW_농산물_7월'!$A:$A)&lt;=1,"",SUMIFS('RAW_농산물_7월'!$H:$H,'RAW_농산물_7월'!$D:$D,$C471,'RAW_농산물_7월'!$A:$A,$E471)))</f>
        <v/>
      </c>
      <c r="O471" s="7" t="str">
        <f>IF($C471="","",IF(COUNTA('RAW_농산물_8월'!$A:$A)&lt;=1,"",SUMIFS('RAW_농산물_8월'!$H:$H,'RAW_농산물_8월'!$D:$D,$C471,'RAW_농산물_8월'!$A:$A,$E471)-SUMIFS('RAW_농산물_7월'!$H:$H,'RAW_농산물_7월'!$D:$D,$C471,'RAW_농산물_7월'!$A:$A,$E471)))</f>
        <v/>
      </c>
      <c r="P471" s="7" t="str">
        <f>IF($C471="","",IF(COUNTA('RAW_농산물_9월'!$A:$A)&lt;=1,"",SUMIFS('RAW_농산물_9월'!$H:$H,'RAW_농산물_9월'!$D:$D,$C471,'RAW_농산물_9월'!$A:$A,$E471)-SUMIFS('RAW_농산물_8월'!$H:$H,'RAW_농산물_8월'!$D:$D,$C471,'RAW_농산물_8월'!$A:$A,$E471)))</f>
        <v/>
      </c>
      <c r="Q471" s="7" t="str">
        <f>IF($C471="","",IF(COUNTA('RAW_농산물_10월'!$A:$A)&lt;=1,"",SUMIFS('RAW_농산물_10월'!$H:$H,'RAW_농산물_10월'!$D:$D,$C471,'RAW_농산물_10월'!$A:$A,$E471)-SUMIFS('RAW_농산물_9월'!$H:$H,'RAW_농산물_9월'!$D:$D,$C471,'RAW_농산물_9월'!$A:$A,$E471)))</f>
        <v/>
      </c>
      <c r="R471" s="7" t="str">
        <f>IF($C471="","",IF(COUNTA('RAW_농산물_11-12월'!$A:$A)&lt;=1,"",SUMIFS('RAW_농산물_11-12월'!$H:$H,'RAW_농산물_11-12월'!$D:$D,$C471,'RAW_농산물_11-12월'!$A:$A,$E471)-SUMIFS('RAW_농산물_10월'!$H:$H,'RAW_농산물_10월'!$D:$D,$C471,'RAW_농산물_10월'!$A:$A,$E471)))</f>
        <v/>
      </c>
      <c r="S471" s="17" t="str">
        <f t="shared" si="4"/>
        <v/>
      </c>
      <c r="T471" s="17" t="str">
        <f t="shared" si="5"/>
        <v/>
      </c>
      <c r="U471" s="7">
        <f>IF($C471="",0,IF('설정'!$B$3=0,0,CHOOSE('설정'!$B$3,COUNTIFS('RAW_농산물_7월'!$D:$D,$C471,'RAW_농산물_7월'!$A:$A,$E471),COUNTIFS('RAW_농산물_8월'!$D:$D,$C471,'RAW_농산물_8월'!$A:$A,$E471),COUNTIFS('RAW_농산물_9월'!$D:$D,$C471,'RAW_농산물_9월'!$A:$A,$E471),COUNTIFS('RAW_농산물_10월'!$D:$D,$C471,'RAW_농산물_10월'!$A:$A,$E471),COUNTIFS('RAW_농산물_11-12월'!$D:$D,$C471,'RAW_농산물_11-12월'!$A:$A,$E471))))</f>
        <v>0</v>
      </c>
    </row>
    <row r="472" ht="15.75" customHeight="1">
      <c r="A472" s="5"/>
      <c r="B472" s="5"/>
      <c r="C472" s="5"/>
      <c r="D472" s="6"/>
      <c r="E472" s="5"/>
      <c r="F472" s="7" t="str">
        <f>IF($C472="","",IF('설정'!$B$3=0,"",CHOOSE('설정'!$B$3,SUMIFS('RAW_농산물_7월'!$F:$F,'RAW_농산물_7월'!$D:$D,$C472,'RAW_농산물_7월'!$A:$A,$E472),SUMIFS('RAW_농산물_8월'!$F:$F,'RAW_농산물_8월'!$D:$D,$C472,'RAW_농산물_8월'!$A:$A,$E472),SUMIFS('RAW_농산물_9월'!$F:$F,'RAW_농산물_9월'!$D:$D,$C472,'RAW_농산물_9월'!$A:$A,$E472),SUMIFS('RAW_농산물_10월'!$F:$F,'RAW_농산물_10월'!$D:$D,$C472,'RAW_농산물_10월'!$A:$A,$E472),SUMIFS('RAW_농산물_11-12월'!$F:$F,'RAW_농산물_11-12월'!$D:$D,$C472,'RAW_농산물_11-12월'!$A:$A,$E472))))</f>
        <v/>
      </c>
      <c r="G472" s="7" t="str">
        <f>IF($C472="","",IF('설정'!$B$3=0,"",CHOOSE('설정'!$B$3,SUMIFS('RAW_농산물_7월'!$G:$G,'RAW_농산물_7월'!$D:$D,$C472,'RAW_농산물_7월'!$A:$A,$E472),SUMIFS('RAW_농산물_8월'!$G:$G,'RAW_농산물_8월'!$D:$D,$C472,'RAW_농산물_8월'!$A:$A,$E472),SUMIFS('RAW_농산물_9월'!$G:$G,'RAW_농산물_9월'!$D:$D,$C472,'RAW_농산물_9월'!$A:$A,$E472),SUMIFS('RAW_농산물_10월'!$G:$G,'RAW_농산물_10월'!$D:$D,$C472,'RAW_농산물_10월'!$A:$A,$E472),SUMIFS('RAW_농산물_11-12월'!$G:$G,'RAW_농산물_11-12월'!$D:$D,$C472,'RAW_농산물_11-12월'!$A:$A,$E472))))</f>
        <v/>
      </c>
      <c r="H472" s="14" t="str">
        <f>IF($C472="","",IF('설정'!$B$3=0,"",CHOOSE('설정'!$B$3,SUMIFS('RAW_농산물_7월'!$H:$H,'RAW_농산물_7월'!$D:$D,$C472,'RAW_농산물_7월'!$A:$A,$E472),SUMIFS('RAW_농산물_8월'!$H:$H,'RAW_농산물_8월'!$D:$D,$C472,'RAW_농산물_8월'!$A:$A,$E472),SUMIFS('RAW_농산물_9월'!$H:$H,'RAW_농산물_9월'!$D:$D,$C472,'RAW_농산물_9월'!$A:$A,$E472),SUMIFS('RAW_농산물_10월'!$H:$H,'RAW_농산물_10월'!$D:$D,$C472,'RAW_농산물_10월'!$A:$A,$E472),SUMIFS('RAW_농산물_11-12월'!$H:$H,'RAW_농산물_11-12월'!$D:$D,$C472,'RAW_농산물_11-12월'!$A:$A,$E472))))</f>
        <v/>
      </c>
      <c r="I472" s="17" t="str">
        <f>IF($C472="","",IF(COUNTIFS('RAW_농산물_7월'!$D:$D,$C472,'RAW_농산물_7월'!$A:$A,$E472)&gt;0,"O",""))</f>
        <v/>
      </c>
      <c r="J472" s="17" t="str">
        <f>IF($C472="","",IF(COUNTIFS('RAW_농산물_8월'!$D:$D,$C472,'RAW_농산물_8월'!$A:$A,$E472)&gt;0,"O",""))</f>
        <v/>
      </c>
      <c r="K472" s="17" t="str">
        <f>IF($C472="","",IF(COUNTIFS('RAW_농산물_9월'!$D:$D,$C472,'RAW_농산물_9월'!$A:$A,$E472)&gt;0,"O",""))</f>
        <v/>
      </c>
      <c r="L472" s="17" t="str">
        <f>IF($C472="","",IF(COUNTIFS('RAW_농산물_10월'!$D:$D,$C472,'RAW_농산물_10월'!$A:$A,$E472)&gt;0,"O",""))</f>
        <v/>
      </c>
      <c r="M472" s="17" t="str">
        <f>IF($C472="","",IF(COUNTIFS('RAW_농산물_11-12월'!$D:$D,$C472,'RAW_농산물_11-12월'!$A:$A,$E472)&gt;0,"O",""))</f>
        <v/>
      </c>
      <c r="N472" s="7" t="str">
        <f>IF($C472="","",IF(COUNTA('RAW_농산물_7월'!$A:$A)&lt;=1,"",SUMIFS('RAW_농산물_7월'!$H:$H,'RAW_농산물_7월'!$D:$D,$C472,'RAW_농산물_7월'!$A:$A,$E472)))</f>
        <v/>
      </c>
      <c r="O472" s="7" t="str">
        <f>IF($C472="","",IF(COUNTA('RAW_농산물_8월'!$A:$A)&lt;=1,"",SUMIFS('RAW_농산물_8월'!$H:$H,'RAW_농산물_8월'!$D:$D,$C472,'RAW_농산물_8월'!$A:$A,$E472)-SUMIFS('RAW_농산물_7월'!$H:$H,'RAW_농산물_7월'!$D:$D,$C472,'RAW_농산물_7월'!$A:$A,$E472)))</f>
        <v/>
      </c>
      <c r="P472" s="7" t="str">
        <f>IF($C472="","",IF(COUNTA('RAW_농산물_9월'!$A:$A)&lt;=1,"",SUMIFS('RAW_농산물_9월'!$H:$H,'RAW_농산물_9월'!$D:$D,$C472,'RAW_농산물_9월'!$A:$A,$E472)-SUMIFS('RAW_농산물_8월'!$H:$H,'RAW_농산물_8월'!$D:$D,$C472,'RAW_농산물_8월'!$A:$A,$E472)))</f>
        <v/>
      </c>
      <c r="Q472" s="7" t="str">
        <f>IF($C472="","",IF(COUNTA('RAW_농산물_10월'!$A:$A)&lt;=1,"",SUMIFS('RAW_농산물_10월'!$H:$H,'RAW_농산물_10월'!$D:$D,$C472,'RAW_농산물_10월'!$A:$A,$E472)-SUMIFS('RAW_농산물_9월'!$H:$H,'RAW_농산물_9월'!$D:$D,$C472,'RAW_농산물_9월'!$A:$A,$E472)))</f>
        <v/>
      </c>
      <c r="R472" s="7" t="str">
        <f>IF($C472="","",IF(COUNTA('RAW_농산물_11-12월'!$A:$A)&lt;=1,"",SUMIFS('RAW_농산물_11-12월'!$H:$H,'RAW_농산물_11-12월'!$D:$D,$C472,'RAW_농산물_11-12월'!$A:$A,$E472)-SUMIFS('RAW_농산물_10월'!$H:$H,'RAW_농산물_10월'!$D:$D,$C472,'RAW_농산물_10월'!$A:$A,$E472)))</f>
        <v/>
      </c>
      <c r="S472" s="17" t="str">
        <f t="shared" si="4"/>
        <v/>
      </c>
      <c r="T472" s="17" t="str">
        <f t="shared" si="5"/>
        <v/>
      </c>
      <c r="U472" s="7">
        <f>IF($C472="",0,IF('설정'!$B$3=0,0,CHOOSE('설정'!$B$3,COUNTIFS('RAW_농산물_7월'!$D:$D,$C472,'RAW_농산물_7월'!$A:$A,$E472),COUNTIFS('RAW_농산물_8월'!$D:$D,$C472,'RAW_농산물_8월'!$A:$A,$E472),COUNTIFS('RAW_농산물_9월'!$D:$D,$C472,'RAW_농산물_9월'!$A:$A,$E472),COUNTIFS('RAW_농산물_10월'!$D:$D,$C472,'RAW_농산물_10월'!$A:$A,$E472),COUNTIFS('RAW_농산물_11-12월'!$D:$D,$C472,'RAW_농산물_11-12월'!$A:$A,$E472))))</f>
        <v>0</v>
      </c>
    </row>
    <row r="473" ht="15.75" customHeight="1">
      <c r="A473" s="5"/>
      <c r="B473" s="5"/>
      <c r="C473" s="5"/>
      <c r="D473" s="6"/>
      <c r="E473" s="5"/>
      <c r="F473" s="7" t="str">
        <f>IF($C473="","",IF('설정'!$B$3=0,"",CHOOSE('설정'!$B$3,SUMIFS('RAW_농산물_7월'!$F:$F,'RAW_농산물_7월'!$D:$D,$C473,'RAW_농산물_7월'!$A:$A,$E473),SUMIFS('RAW_농산물_8월'!$F:$F,'RAW_농산물_8월'!$D:$D,$C473,'RAW_농산물_8월'!$A:$A,$E473),SUMIFS('RAW_농산물_9월'!$F:$F,'RAW_농산물_9월'!$D:$D,$C473,'RAW_농산물_9월'!$A:$A,$E473),SUMIFS('RAW_농산물_10월'!$F:$F,'RAW_농산물_10월'!$D:$D,$C473,'RAW_농산물_10월'!$A:$A,$E473),SUMIFS('RAW_농산물_11-12월'!$F:$F,'RAW_농산물_11-12월'!$D:$D,$C473,'RAW_농산물_11-12월'!$A:$A,$E473))))</f>
        <v/>
      </c>
      <c r="G473" s="7" t="str">
        <f>IF($C473="","",IF('설정'!$B$3=0,"",CHOOSE('설정'!$B$3,SUMIFS('RAW_농산물_7월'!$G:$G,'RAW_농산물_7월'!$D:$D,$C473,'RAW_농산물_7월'!$A:$A,$E473),SUMIFS('RAW_농산물_8월'!$G:$G,'RAW_농산물_8월'!$D:$D,$C473,'RAW_농산물_8월'!$A:$A,$E473),SUMIFS('RAW_농산물_9월'!$G:$G,'RAW_농산물_9월'!$D:$D,$C473,'RAW_농산물_9월'!$A:$A,$E473),SUMIFS('RAW_농산물_10월'!$G:$G,'RAW_농산물_10월'!$D:$D,$C473,'RAW_농산물_10월'!$A:$A,$E473),SUMIFS('RAW_농산물_11-12월'!$G:$G,'RAW_농산물_11-12월'!$D:$D,$C473,'RAW_농산물_11-12월'!$A:$A,$E473))))</f>
        <v/>
      </c>
      <c r="H473" s="14" t="str">
        <f>IF($C473="","",IF('설정'!$B$3=0,"",CHOOSE('설정'!$B$3,SUMIFS('RAW_농산물_7월'!$H:$H,'RAW_농산물_7월'!$D:$D,$C473,'RAW_농산물_7월'!$A:$A,$E473),SUMIFS('RAW_농산물_8월'!$H:$H,'RAW_농산물_8월'!$D:$D,$C473,'RAW_농산물_8월'!$A:$A,$E473),SUMIFS('RAW_농산물_9월'!$H:$H,'RAW_농산물_9월'!$D:$D,$C473,'RAW_농산물_9월'!$A:$A,$E473),SUMIFS('RAW_농산물_10월'!$H:$H,'RAW_농산물_10월'!$D:$D,$C473,'RAW_농산물_10월'!$A:$A,$E473),SUMIFS('RAW_농산물_11-12월'!$H:$H,'RAW_농산물_11-12월'!$D:$D,$C473,'RAW_농산물_11-12월'!$A:$A,$E473))))</f>
        <v/>
      </c>
      <c r="I473" s="17" t="str">
        <f>IF($C473="","",IF(COUNTIFS('RAW_농산물_7월'!$D:$D,$C473,'RAW_농산물_7월'!$A:$A,$E473)&gt;0,"O",""))</f>
        <v/>
      </c>
      <c r="J473" s="17" t="str">
        <f>IF($C473="","",IF(COUNTIFS('RAW_농산물_8월'!$D:$D,$C473,'RAW_농산물_8월'!$A:$A,$E473)&gt;0,"O",""))</f>
        <v/>
      </c>
      <c r="K473" s="17" t="str">
        <f>IF($C473="","",IF(COUNTIFS('RAW_농산물_9월'!$D:$D,$C473,'RAW_농산물_9월'!$A:$A,$E473)&gt;0,"O",""))</f>
        <v/>
      </c>
      <c r="L473" s="17" t="str">
        <f>IF($C473="","",IF(COUNTIFS('RAW_농산물_10월'!$D:$D,$C473,'RAW_농산물_10월'!$A:$A,$E473)&gt;0,"O",""))</f>
        <v/>
      </c>
      <c r="M473" s="17" t="str">
        <f>IF($C473="","",IF(COUNTIFS('RAW_농산물_11-12월'!$D:$D,$C473,'RAW_농산물_11-12월'!$A:$A,$E473)&gt;0,"O",""))</f>
        <v/>
      </c>
      <c r="N473" s="7" t="str">
        <f>IF($C473="","",IF(COUNTA('RAW_농산물_7월'!$A:$A)&lt;=1,"",SUMIFS('RAW_농산물_7월'!$H:$H,'RAW_농산물_7월'!$D:$D,$C473,'RAW_농산물_7월'!$A:$A,$E473)))</f>
        <v/>
      </c>
      <c r="O473" s="7" t="str">
        <f>IF($C473="","",IF(COUNTA('RAW_농산물_8월'!$A:$A)&lt;=1,"",SUMIFS('RAW_농산물_8월'!$H:$H,'RAW_농산물_8월'!$D:$D,$C473,'RAW_농산물_8월'!$A:$A,$E473)-SUMIFS('RAW_농산물_7월'!$H:$H,'RAW_농산물_7월'!$D:$D,$C473,'RAW_농산물_7월'!$A:$A,$E473)))</f>
        <v/>
      </c>
      <c r="P473" s="7" t="str">
        <f>IF($C473="","",IF(COUNTA('RAW_농산물_9월'!$A:$A)&lt;=1,"",SUMIFS('RAW_농산물_9월'!$H:$H,'RAW_농산물_9월'!$D:$D,$C473,'RAW_농산물_9월'!$A:$A,$E473)-SUMIFS('RAW_농산물_8월'!$H:$H,'RAW_농산물_8월'!$D:$D,$C473,'RAW_농산물_8월'!$A:$A,$E473)))</f>
        <v/>
      </c>
      <c r="Q473" s="7" t="str">
        <f>IF($C473="","",IF(COUNTA('RAW_농산물_10월'!$A:$A)&lt;=1,"",SUMIFS('RAW_농산물_10월'!$H:$H,'RAW_농산물_10월'!$D:$D,$C473,'RAW_농산물_10월'!$A:$A,$E473)-SUMIFS('RAW_농산물_9월'!$H:$H,'RAW_농산물_9월'!$D:$D,$C473,'RAW_농산물_9월'!$A:$A,$E473)))</f>
        <v/>
      </c>
      <c r="R473" s="7" t="str">
        <f>IF($C473="","",IF(COUNTA('RAW_농산물_11-12월'!$A:$A)&lt;=1,"",SUMIFS('RAW_농산물_11-12월'!$H:$H,'RAW_농산물_11-12월'!$D:$D,$C473,'RAW_농산물_11-12월'!$A:$A,$E473)-SUMIFS('RAW_농산물_10월'!$H:$H,'RAW_농산물_10월'!$D:$D,$C473,'RAW_농산물_10월'!$A:$A,$E473)))</f>
        <v/>
      </c>
      <c r="S473" s="17" t="str">
        <f t="shared" si="4"/>
        <v/>
      </c>
      <c r="T473" s="17" t="str">
        <f t="shared" si="5"/>
        <v/>
      </c>
      <c r="U473" s="7">
        <f>IF($C473="",0,IF('설정'!$B$3=0,0,CHOOSE('설정'!$B$3,COUNTIFS('RAW_농산물_7월'!$D:$D,$C473,'RAW_농산물_7월'!$A:$A,$E473),COUNTIFS('RAW_농산물_8월'!$D:$D,$C473,'RAW_농산물_8월'!$A:$A,$E473),COUNTIFS('RAW_농산물_9월'!$D:$D,$C473,'RAW_농산물_9월'!$A:$A,$E473),COUNTIFS('RAW_농산물_10월'!$D:$D,$C473,'RAW_농산물_10월'!$A:$A,$E473),COUNTIFS('RAW_농산물_11-12월'!$D:$D,$C473,'RAW_농산물_11-12월'!$A:$A,$E473))))</f>
        <v>0</v>
      </c>
    </row>
    <row r="474" ht="15.75" customHeight="1">
      <c r="A474" s="5"/>
      <c r="B474" s="5"/>
      <c r="C474" s="5"/>
      <c r="D474" s="6"/>
      <c r="E474" s="5"/>
      <c r="F474" s="7" t="str">
        <f>IF($C474="","",IF('설정'!$B$3=0,"",CHOOSE('설정'!$B$3,SUMIFS('RAW_농산물_7월'!$F:$F,'RAW_농산물_7월'!$D:$D,$C474,'RAW_농산물_7월'!$A:$A,$E474),SUMIFS('RAW_농산물_8월'!$F:$F,'RAW_농산물_8월'!$D:$D,$C474,'RAW_농산물_8월'!$A:$A,$E474),SUMIFS('RAW_농산물_9월'!$F:$F,'RAW_농산물_9월'!$D:$D,$C474,'RAW_농산물_9월'!$A:$A,$E474),SUMIFS('RAW_농산물_10월'!$F:$F,'RAW_농산물_10월'!$D:$D,$C474,'RAW_농산물_10월'!$A:$A,$E474),SUMIFS('RAW_농산물_11-12월'!$F:$F,'RAW_농산물_11-12월'!$D:$D,$C474,'RAW_농산물_11-12월'!$A:$A,$E474))))</f>
        <v/>
      </c>
      <c r="G474" s="7" t="str">
        <f>IF($C474="","",IF('설정'!$B$3=0,"",CHOOSE('설정'!$B$3,SUMIFS('RAW_농산물_7월'!$G:$G,'RAW_농산물_7월'!$D:$D,$C474,'RAW_농산물_7월'!$A:$A,$E474),SUMIFS('RAW_농산물_8월'!$G:$G,'RAW_농산물_8월'!$D:$D,$C474,'RAW_농산물_8월'!$A:$A,$E474),SUMIFS('RAW_농산물_9월'!$G:$G,'RAW_농산물_9월'!$D:$D,$C474,'RAW_농산물_9월'!$A:$A,$E474),SUMIFS('RAW_농산물_10월'!$G:$G,'RAW_농산물_10월'!$D:$D,$C474,'RAW_농산물_10월'!$A:$A,$E474),SUMIFS('RAW_농산물_11-12월'!$G:$G,'RAW_농산물_11-12월'!$D:$D,$C474,'RAW_농산물_11-12월'!$A:$A,$E474))))</f>
        <v/>
      </c>
      <c r="H474" s="14" t="str">
        <f>IF($C474="","",IF('설정'!$B$3=0,"",CHOOSE('설정'!$B$3,SUMIFS('RAW_농산물_7월'!$H:$H,'RAW_농산물_7월'!$D:$D,$C474,'RAW_농산물_7월'!$A:$A,$E474),SUMIFS('RAW_농산물_8월'!$H:$H,'RAW_농산물_8월'!$D:$D,$C474,'RAW_농산물_8월'!$A:$A,$E474),SUMIFS('RAW_농산물_9월'!$H:$H,'RAW_농산물_9월'!$D:$D,$C474,'RAW_농산물_9월'!$A:$A,$E474),SUMIFS('RAW_농산물_10월'!$H:$H,'RAW_농산물_10월'!$D:$D,$C474,'RAW_농산물_10월'!$A:$A,$E474),SUMIFS('RAW_농산물_11-12월'!$H:$H,'RAW_농산물_11-12월'!$D:$D,$C474,'RAW_농산물_11-12월'!$A:$A,$E474))))</f>
        <v/>
      </c>
      <c r="I474" s="17" t="str">
        <f>IF($C474="","",IF(COUNTIFS('RAW_농산물_7월'!$D:$D,$C474,'RAW_농산물_7월'!$A:$A,$E474)&gt;0,"O",""))</f>
        <v/>
      </c>
      <c r="J474" s="17" t="str">
        <f>IF($C474="","",IF(COUNTIFS('RAW_농산물_8월'!$D:$D,$C474,'RAW_농산물_8월'!$A:$A,$E474)&gt;0,"O",""))</f>
        <v/>
      </c>
      <c r="K474" s="17" t="str">
        <f>IF($C474="","",IF(COUNTIFS('RAW_농산물_9월'!$D:$D,$C474,'RAW_농산물_9월'!$A:$A,$E474)&gt;0,"O",""))</f>
        <v/>
      </c>
      <c r="L474" s="17" t="str">
        <f>IF($C474="","",IF(COUNTIFS('RAW_농산물_10월'!$D:$D,$C474,'RAW_농산물_10월'!$A:$A,$E474)&gt;0,"O",""))</f>
        <v/>
      </c>
      <c r="M474" s="17" t="str">
        <f>IF($C474="","",IF(COUNTIFS('RAW_농산물_11-12월'!$D:$D,$C474,'RAW_농산물_11-12월'!$A:$A,$E474)&gt;0,"O",""))</f>
        <v/>
      </c>
      <c r="N474" s="7" t="str">
        <f>IF($C474="","",IF(COUNTA('RAW_농산물_7월'!$A:$A)&lt;=1,"",SUMIFS('RAW_농산물_7월'!$H:$H,'RAW_농산물_7월'!$D:$D,$C474,'RAW_농산물_7월'!$A:$A,$E474)))</f>
        <v/>
      </c>
      <c r="O474" s="7" t="str">
        <f>IF($C474="","",IF(COUNTA('RAW_농산물_8월'!$A:$A)&lt;=1,"",SUMIFS('RAW_농산물_8월'!$H:$H,'RAW_농산물_8월'!$D:$D,$C474,'RAW_농산물_8월'!$A:$A,$E474)-SUMIFS('RAW_농산물_7월'!$H:$H,'RAW_농산물_7월'!$D:$D,$C474,'RAW_농산물_7월'!$A:$A,$E474)))</f>
        <v/>
      </c>
      <c r="P474" s="7" t="str">
        <f>IF($C474="","",IF(COUNTA('RAW_농산물_9월'!$A:$A)&lt;=1,"",SUMIFS('RAW_농산물_9월'!$H:$H,'RAW_농산물_9월'!$D:$D,$C474,'RAW_농산물_9월'!$A:$A,$E474)-SUMIFS('RAW_농산물_8월'!$H:$H,'RAW_농산물_8월'!$D:$D,$C474,'RAW_농산물_8월'!$A:$A,$E474)))</f>
        <v/>
      </c>
      <c r="Q474" s="7" t="str">
        <f>IF($C474="","",IF(COUNTA('RAW_농산물_10월'!$A:$A)&lt;=1,"",SUMIFS('RAW_농산물_10월'!$H:$H,'RAW_농산물_10월'!$D:$D,$C474,'RAW_농산물_10월'!$A:$A,$E474)-SUMIFS('RAW_농산물_9월'!$H:$H,'RAW_농산물_9월'!$D:$D,$C474,'RAW_농산물_9월'!$A:$A,$E474)))</f>
        <v/>
      </c>
      <c r="R474" s="7" t="str">
        <f>IF($C474="","",IF(COUNTA('RAW_농산물_11-12월'!$A:$A)&lt;=1,"",SUMIFS('RAW_농산물_11-12월'!$H:$H,'RAW_농산물_11-12월'!$D:$D,$C474,'RAW_농산물_11-12월'!$A:$A,$E474)-SUMIFS('RAW_농산물_10월'!$H:$H,'RAW_농산물_10월'!$D:$D,$C474,'RAW_농산물_10월'!$A:$A,$E474)))</f>
        <v/>
      </c>
      <c r="S474" s="17" t="str">
        <f t="shared" si="4"/>
        <v/>
      </c>
      <c r="T474" s="17" t="str">
        <f t="shared" si="5"/>
        <v/>
      </c>
      <c r="U474" s="7">
        <f>IF($C474="",0,IF('설정'!$B$3=0,0,CHOOSE('설정'!$B$3,COUNTIFS('RAW_농산물_7월'!$D:$D,$C474,'RAW_농산물_7월'!$A:$A,$E474),COUNTIFS('RAW_농산물_8월'!$D:$D,$C474,'RAW_농산물_8월'!$A:$A,$E474),COUNTIFS('RAW_농산물_9월'!$D:$D,$C474,'RAW_농산물_9월'!$A:$A,$E474),COUNTIFS('RAW_농산물_10월'!$D:$D,$C474,'RAW_농산물_10월'!$A:$A,$E474),COUNTIFS('RAW_농산물_11-12월'!$D:$D,$C474,'RAW_농산물_11-12월'!$A:$A,$E474))))</f>
        <v>0</v>
      </c>
    </row>
    <row r="475" ht="15.75" customHeight="1">
      <c r="A475" s="5"/>
      <c r="B475" s="5"/>
      <c r="C475" s="5"/>
      <c r="D475" s="6"/>
      <c r="E475" s="5"/>
      <c r="F475" s="7" t="str">
        <f>IF($C475="","",IF('설정'!$B$3=0,"",CHOOSE('설정'!$B$3,SUMIFS('RAW_농산물_7월'!$F:$F,'RAW_농산물_7월'!$D:$D,$C475,'RAW_농산물_7월'!$A:$A,$E475),SUMIFS('RAW_농산물_8월'!$F:$F,'RAW_농산물_8월'!$D:$D,$C475,'RAW_농산물_8월'!$A:$A,$E475),SUMIFS('RAW_농산물_9월'!$F:$F,'RAW_농산물_9월'!$D:$D,$C475,'RAW_농산물_9월'!$A:$A,$E475),SUMIFS('RAW_농산물_10월'!$F:$F,'RAW_농산물_10월'!$D:$D,$C475,'RAW_농산물_10월'!$A:$A,$E475),SUMIFS('RAW_농산물_11-12월'!$F:$F,'RAW_농산물_11-12월'!$D:$D,$C475,'RAW_농산물_11-12월'!$A:$A,$E475))))</f>
        <v/>
      </c>
      <c r="G475" s="7" t="str">
        <f>IF($C475="","",IF('설정'!$B$3=0,"",CHOOSE('설정'!$B$3,SUMIFS('RAW_농산물_7월'!$G:$G,'RAW_농산물_7월'!$D:$D,$C475,'RAW_농산물_7월'!$A:$A,$E475),SUMIFS('RAW_농산물_8월'!$G:$G,'RAW_농산물_8월'!$D:$D,$C475,'RAW_농산물_8월'!$A:$A,$E475),SUMIFS('RAW_농산물_9월'!$G:$G,'RAW_농산물_9월'!$D:$D,$C475,'RAW_농산물_9월'!$A:$A,$E475),SUMIFS('RAW_농산물_10월'!$G:$G,'RAW_농산물_10월'!$D:$D,$C475,'RAW_농산물_10월'!$A:$A,$E475),SUMIFS('RAW_농산물_11-12월'!$G:$G,'RAW_농산물_11-12월'!$D:$D,$C475,'RAW_농산물_11-12월'!$A:$A,$E475))))</f>
        <v/>
      </c>
      <c r="H475" s="14" t="str">
        <f>IF($C475="","",IF('설정'!$B$3=0,"",CHOOSE('설정'!$B$3,SUMIFS('RAW_농산물_7월'!$H:$H,'RAW_농산물_7월'!$D:$D,$C475,'RAW_농산물_7월'!$A:$A,$E475),SUMIFS('RAW_농산물_8월'!$H:$H,'RAW_농산물_8월'!$D:$D,$C475,'RAW_농산물_8월'!$A:$A,$E475),SUMIFS('RAW_농산물_9월'!$H:$H,'RAW_농산물_9월'!$D:$D,$C475,'RAW_농산물_9월'!$A:$A,$E475),SUMIFS('RAW_농산물_10월'!$H:$H,'RAW_농산물_10월'!$D:$D,$C475,'RAW_농산물_10월'!$A:$A,$E475),SUMIFS('RAW_농산물_11-12월'!$H:$H,'RAW_농산물_11-12월'!$D:$D,$C475,'RAW_농산물_11-12월'!$A:$A,$E475))))</f>
        <v/>
      </c>
      <c r="I475" s="17" t="str">
        <f>IF($C475="","",IF(COUNTIFS('RAW_농산물_7월'!$D:$D,$C475,'RAW_농산물_7월'!$A:$A,$E475)&gt;0,"O",""))</f>
        <v/>
      </c>
      <c r="J475" s="17" t="str">
        <f>IF($C475="","",IF(COUNTIFS('RAW_농산물_8월'!$D:$D,$C475,'RAW_농산물_8월'!$A:$A,$E475)&gt;0,"O",""))</f>
        <v/>
      </c>
      <c r="K475" s="17" t="str">
        <f>IF($C475="","",IF(COUNTIFS('RAW_농산물_9월'!$D:$D,$C475,'RAW_농산물_9월'!$A:$A,$E475)&gt;0,"O",""))</f>
        <v/>
      </c>
      <c r="L475" s="17" t="str">
        <f>IF($C475="","",IF(COUNTIFS('RAW_농산물_10월'!$D:$D,$C475,'RAW_농산물_10월'!$A:$A,$E475)&gt;0,"O",""))</f>
        <v/>
      </c>
      <c r="M475" s="17" t="str">
        <f>IF($C475="","",IF(COUNTIFS('RAW_농산물_11-12월'!$D:$D,$C475,'RAW_농산물_11-12월'!$A:$A,$E475)&gt;0,"O",""))</f>
        <v/>
      </c>
      <c r="N475" s="7" t="str">
        <f>IF($C475="","",IF(COUNTA('RAW_농산물_7월'!$A:$A)&lt;=1,"",SUMIFS('RAW_농산물_7월'!$H:$H,'RAW_농산물_7월'!$D:$D,$C475,'RAW_농산물_7월'!$A:$A,$E475)))</f>
        <v/>
      </c>
      <c r="O475" s="7" t="str">
        <f>IF($C475="","",IF(COUNTA('RAW_농산물_8월'!$A:$A)&lt;=1,"",SUMIFS('RAW_농산물_8월'!$H:$H,'RAW_농산물_8월'!$D:$D,$C475,'RAW_농산물_8월'!$A:$A,$E475)-SUMIFS('RAW_농산물_7월'!$H:$H,'RAW_농산물_7월'!$D:$D,$C475,'RAW_농산물_7월'!$A:$A,$E475)))</f>
        <v/>
      </c>
      <c r="P475" s="7" t="str">
        <f>IF($C475="","",IF(COUNTA('RAW_농산물_9월'!$A:$A)&lt;=1,"",SUMIFS('RAW_농산물_9월'!$H:$H,'RAW_농산물_9월'!$D:$D,$C475,'RAW_농산물_9월'!$A:$A,$E475)-SUMIFS('RAW_농산물_8월'!$H:$H,'RAW_농산물_8월'!$D:$D,$C475,'RAW_농산물_8월'!$A:$A,$E475)))</f>
        <v/>
      </c>
      <c r="Q475" s="7" t="str">
        <f>IF($C475="","",IF(COUNTA('RAW_농산물_10월'!$A:$A)&lt;=1,"",SUMIFS('RAW_농산물_10월'!$H:$H,'RAW_농산물_10월'!$D:$D,$C475,'RAW_농산물_10월'!$A:$A,$E475)-SUMIFS('RAW_농산물_9월'!$H:$H,'RAW_농산물_9월'!$D:$D,$C475,'RAW_농산물_9월'!$A:$A,$E475)))</f>
        <v/>
      </c>
      <c r="R475" s="7" t="str">
        <f>IF($C475="","",IF(COUNTA('RAW_농산물_11-12월'!$A:$A)&lt;=1,"",SUMIFS('RAW_농산물_11-12월'!$H:$H,'RAW_농산물_11-12월'!$D:$D,$C475,'RAW_농산물_11-12월'!$A:$A,$E475)-SUMIFS('RAW_농산물_10월'!$H:$H,'RAW_농산물_10월'!$D:$D,$C475,'RAW_농산물_10월'!$A:$A,$E475)))</f>
        <v/>
      </c>
      <c r="S475" s="17" t="str">
        <f t="shared" si="4"/>
        <v/>
      </c>
      <c r="T475" s="17" t="str">
        <f t="shared" si="5"/>
        <v/>
      </c>
      <c r="U475" s="7">
        <f>IF($C475="",0,IF('설정'!$B$3=0,0,CHOOSE('설정'!$B$3,COUNTIFS('RAW_농산물_7월'!$D:$D,$C475,'RAW_농산물_7월'!$A:$A,$E475),COUNTIFS('RAW_농산물_8월'!$D:$D,$C475,'RAW_농산물_8월'!$A:$A,$E475),COUNTIFS('RAW_농산물_9월'!$D:$D,$C475,'RAW_농산물_9월'!$A:$A,$E475),COUNTIFS('RAW_농산물_10월'!$D:$D,$C475,'RAW_농산물_10월'!$A:$A,$E475),COUNTIFS('RAW_농산물_11-12월'!$D:$D,$C475,'RAW_농산물_11-12월'!$A:$A,$E475))))</f>
        <v>0</v>
      </c>
    </row>
    <row r="476" ht="15.75" customHeight="1">
      <c r="A476" s="5"/>
      <c r="B476" s="5"/>
      <c r="C476" s="5"/>
      <c r="D476" s="6"/>
      <c r="E476" s="5"/>
      <c r="F476" s="7" t="str">
        <f>IF($C476="","",IF('설정'!$B$3=0,"",CHOOSE('설정'!$B$3,SUMIFS('RAW_농산물_7월'!$F:$F,'RAW_농산물_7월'!$D:$D,$C476,'RAW_농산물_7월'!$A:$A,$E476),SUMIFS('RAW_농산물_8월'!$F:$F,'RAW_농산물_8월'!$D:$D,$C476,'RAW_농산물_8월'!$A:$A,$E476),SUMIFS('RAW_농산물_9월'!$F:$F,'RAW_농산물_9월'!$D:$D,$C476,'RAW_농산물_9월'!$A:$A,$E476),SUMIFS('RAW_농산물_10월'!$F:$F,'RAW_농산물_10월'!$D:$D,$C476,'RAW_농산물_10월'!$A:$A,$E476),SUMIFS('RAW_농산물_11-12월'!$F:$F,'RAW_농산물_11-12월'!$D:$D,$C476,'RAW_농산물_11-12월'!$A:$A,$E476))))</f>
        <v/>
      </c>
      <c r="G476" s="7" t="str">
        <f>IF($C476="","",IF('설정'!$B$3=0,"",CHOOSE('설정'!$B$3,SUMIFS('RAW_농산물_7월'!$G:$G,'RAW_농산물_7월'!$D:$D,$C476,'RAW_농산물_7월'!$A:$A,$E476),SUMIFS('RAW_농산물_8월'!$G:$G,'RAW_농산물_8월'!$D:$D,$C476,'RAW_농산물_8월'!$A:$A,$E476),SUMIFS('RAW_농산물_9월'!$G:$G,'RAW_농산물_9월'!$D:$D,$C476,'RAW_농산물_9월'!$A:$A,$E476),SUMIFS('RAW_농산물_10월'!$G:$G,'RAW_농산물_10월'!$D:$D,$C476,'RAW_농산물_10월'!$A:$A,$E476),SUMIFS('RAW_농산물_11-12월'!$G:$G,'RAW_농산물_11-12월'!$D:$D,$C476,'RAW_농산물_11-12월'!$A:$A,$E476))))</f>
        <v/>
      </c>
      <c r="H476" s="14" t="str">
        <f>IF($C476="","",IF('설정'!$B$3=0,"",CHOOSE('설정'!$B$3,SUMIFS('RAW_농산물_7월'!$H:$H,'RAW_농산물_7월'!$D:$D,$C476,'RAW_농산물_7월'!$A:$A,$E476),SUMIFS('RAW_농산물_8월'!$H:$H,'RAW_농산물_8월'!$D:$D,$C476,'RAW_농산물_8월'!$A:$A,$E476),SUMIFS('RAW_농산물_9월'!$H:$H,'RAW_농산물_9월'!$D:$D,$C476,'RAW_농산물_9월'!$A:$A,$E476),SUMIFS('RAW_농산물_10월'!$H:$H,'RAW_농산물_10월'!$D:$D,$C476,'RAW_농산물_10월'!$A:$A,$E476),SUMIFS('RAW_농산물_11-12월'!$H:$H,'RAW_농산물_11-12월'!$D:$D,$C476,'RAW_농산물_11-12월'!$A:$A,$E476))))</f>
        <v/>
      </c>
      <c r="I476" s="17" t="str">
        <f>IF($C476="","",IF(COUNTIFS('RAW_농산물_7월'!$D:$D,$C476,'RAW_농산물_7월'!$A:$A,$E476)&gt;0,"O",""))</f>
        <v/>
      </c>
      <c r="J476" s="17" t="str">
        <f>IF($C476="","",IF(COUNTIFS('RAW_농산물_8월'!$D:$D,$C476,'RAW_농산물_8월'!$A:$A,$E476)&gt;0,"O",""))</f>
        <v/>
      </c>
      <c r="K476" s="17" t="str">
        <f>IF($C476="","",IF(COUNTIFS('RAW_농산물_9월'!$D:$D,$C476,'RAW_농산물_9월'!$A:$A,$E476)&gt;0,"O",""))</f>
        <v/>
      </c>
      <c r="L476" s="17" t="str">
        <f>IF($C476="","",IF(COUNTIFS('RAW_농산물_10월'!$D:$D,$C476,'RAW_농산물_10월'!$A:$A,$E476)&gt;0,"O",""))</f>
        <v/>
      </c>
      <c r="M476" s="17" t="str">
        <f>IF($C476="","",IF(COUNTIFS('RAW_농산물_11-12월'!$D:$D,$C476,'RAW_농산물_11-12월'!$A:$A,$E476)&gt;0,"O",""))</f>
        <v/>
      </c>
      <c r="N476" s="7" t="str">
        <f>IF($C476="","",IF(COUNTA('RAW_농산물_7월'!$A:$A)&lt;=1,"",SUMIFS('RAW_농산물_7월'!$H:$H,'RAW_농산물_7월'!$D:$D,$C476,'RAW_농산물_7월'!$A:$A,$E476)))</f>
        <v/>
      </c>
      <c r="O476" s="7" t="str">
        <f>IF($C476="","",IF(COUNTA('RAW_농산물_8월'!$A:$A)&lt;=1,"",SUMIFS('RAW_농산물_8월'!$H:$H,'RAW_농산물_8월'!$D:$D,$C476,'RAW_농산물_8월'!$A:$A,$E476)-SUMIFS('RAW_농산물_7월'!$H:$H,'RAW_농산물_7월'!$D:$D,$C476,'RAW_농산물_7월'!$A:$A,$E476)))</f>
        <v/>
      </c>
      <c r="P476" s="7" t="str">
        <f>IF($C476="","",IF(COUNTA('RAW_농산물_9월'!$A:$A)&lt;=1,"",SUMIFS('RAW_농산물_9월'!$H:$H,'RAW_농산물_9월'!$D:$D,$C476,'RAW_농산물_9월'!$A:$A,$E476)-SUMIFS('RAW_농산물_8월'!$H:$H,'RAW_농산물_8월'!$D:$D,$C476,'RAW_농산물_8월'!$A:$A,$E476)))</f>
        <v/>
      </c>
      <c r="Q476" s="7" t="str">
        <f>IF($C476="","",IF(COUNTA('RAW_농산물_10월'!$A:$A)&lt;=1,"",SUMIFS('RAW_농산물_10월'!$H:$H,'RAW_농산물_10월'!$D:$D,$C476,'RAW_농산물_10월'!$A:$A,$E476)-SUMIFS('RAW_농산물_9월'!$H:$H,'RAW_농산물_9월'!$D:$D,$C476,'RAW_농산물_9월'!$A:$A,$E476)))</f>
        <v/>
      </c>
      <c r="R476" s="7" t="str">
        <f>IF($C476="","",IF(COUNTA('RAW_농산물_11-12월'!$A:$A)&lt;=1,"",SUMIFS('RAW_농산물_11-12월'!$H:$H,'RAW_농산물_11-12월'!$D:$D,$C476,'RAW_농산물_11-12월'!$A:$A,$E476)-SUMIFS('RAW_농산물_10월'!$H:$H,'RAW_농산물_10월'!$D:$D,$C476,'RAW_농산물_10월'!$A:$A,$E476)))</f>
        <v/>
      </c>
      <c r="S476" s="17" t="str">
        <f t="shared" si="4"/>
        <v/>
      </c>
      <c r="T476" s="17" t="str">
        <f t="shared" si="5"/>
        <v/>
      </c>
      <c r="U476" s="7">
        <f>IF($C476="",0,IF('설정'!$B$3=0,0,CHOOSE('설정'!$B$3,COUNTIFS('RAW_농산물_7월'!$D:$D,$C476,'RAW_농산물_7월'!$A:$A,$E476),COUNTIFS('RAW_농산물_8월'!$D:$D,$C476,'RAW_농산물_8월'!$A:$A,$E476),COUNTIFS('RAW_농산물_9월'!$D:$D,$C476,'RAW_농산물_9월'!$A:$A,$E476),COUNTIFS('RAW_농산물_10월'!$D:$D,$C476,'RAW_농산물_10월'!$A:$A,$E476),COUNTIFS('RAW_농산물_11-12월'!$D:$D,$C476,'RAW_농산물_11-12월'!$A:$A,$E476))))</f>
        <v>0</v>
      </c>
    </row>
    <row r="477" ht="15.75" customHeight="1">
      <c r="A477" s="5"/>
      <c r="B477" s="5"/>
      <c r="C477" s="5"/>
      <c r="D477" s="6"/>
      <c r="E477" s="5"/>
      <c r="F477" s="7" t="str">
        <f>IF($C477="","",IF('설정'!$B$3=0,"",CHOOSE('설정'!$B$3,SUMIFS('RAW_농산물_7월'!$F:$F,'RAW_농산물_7월'!$D:$D,$C477,'RAW_농산물_7월'!$A:$A,$E477),SUMIFS('RAW_농산물_8월'!$F:$F,'RAW_농산물_8월'!$D:$D,$C477,'RAW_농산물_8월'!$A:$A,$E477),SUMIFS('RAW_농산물_9월'!$F:$F,'RAW_농산물_9월'!$D:$D,$C477,'RAW_농산물_9월'!$A:$A,$E477),SUMIFS('RAW_농산물_10월'!$F:$F,'RAW_농산물_10월'!$D:$D,$C477,'RAW_농산물_10월'!$A:$A,$E477),SUMIFS('RAW_농산물_11-12월'!$F:$F,'RAW_농산물_11-12월'!$D:$D,$C477,'RAW_농산물_11-12월'!$A:$A,$E477))))</f>
        <v/>
      </c>
      <c r="G477" s="7" t="str">
        <f>IF($C477="","",IF('설정'!$B$3=0,"",CHOOSE('설정'!$B$3,SUMIFS('RAW_농산물_7월'!$G:$G,'RAW_농산물_7월'!$D:$D,$C477,'RAW_농산물_7월'!$A:$A,$E477),SUMIFS('RAW_농산물_8월'!$G:$G,'RAW_농산물_8월'!$D:$D,$C477,'RAW_농산물_8월'!$A:$A,$E477),SUMIFS('RAW_농산물_9월'!$G:$G,'RAW_농산물_9월'!$D:$D,$C477,'RAW_농산물_9월'!$A:$A,$E477),SUMIFS('RAW_농산물_10월'!$G:$G,'RAW_농산물_10월'!$D:$D,$C477,'RAW_농산물_10월'!$A:$A,$E477),SUMIFS('RAW_농산물_11-12월'!$G:$G,'RAW_농산물_11-12월'!$D:$D,$C477,'RAW_농산물_11-12월'!$A:$A,$E477))))</f>
        <v/>
      </c>
      <c r="H477" s="14" t="str">
        <f>IF($C477="","",IF('설정'!$B$3=0,"",CHOOSE('설정'!$B$3,SUMIFS('RAW_농산물_7월'!$H:$H,'RAW_농산물_7월'!$D:$D,$C477,'RAW_농산물_7월'!$A:$A,$E477),SUMIFS('RAW_농산물_8월'!$H:$H,'RAW_농산물_8월'!$D:$D,$C477,'RAW_농산물_8월'!$A:$A,$E477),SUMIFS('RAW_농산물_9월'!$H:$H,'RAW_농산물_9월'!$D:$D,$C477,'RAW_농산물_9월'!$A:$A,$E477),SUMIFS('RAW_농산물_10월'!$H:$H,'RAW_농산물_10월'!$D:$D,$C477,'RAW_농산물_10월'!$A:$A,$E477),SUMIFS('RAW_농산물_11-12월'!$H:$H,'RAW_농산물_11-12월'!$D:$D,$C477,'RAW_농산물_11-12월'!$A:$A,$E477))))</f>
        <v/>
      </c>
      <c r="I477" s="17" t="str">
        <f>IF($C477="","",IF(COUNTIFS('RAW_농산물_7월'!$D:$D,$C477,'RAW_농산물_7월'!$A:$A,$E477)&gt;0,"O",""))</f>
        <v/>
      </c>
      <c r="J477" s="17" t="str">
        <f>IF($C477="","",IF(COUNTIFS('RAW_농산물_8월'!$D:$D,$C477,'RAW_농산물_8월'!$A:$A,$E477)&gt;0,"O",""))</f>
        <v/>
      </c>
      <c r="K477" s="17" t="str">
        <f>IF($C477="","",IF(COUNTIFS('RAW_농산물_9월'!$D:$D,$C477,'RAW_농산물_9월'!$A:$A,$E477)&gt;0,"O",""))</f>
        <v/>
      </c>
      <c r="L477" s="17" t="str">
        <f>IF($C477="","",IF(COUNTIFS('RAW_농산물_10월'!$D:$D,$C477,'RAW_농산물_10월'!$A:$A,$E477)&gt;0,"O",""))</f>
        <v/>
      </c>
      <c r="M477" s="17" t="str">
        <f>IF($C477="","",IF(COUNTIFS('RAW_농산물_11-12월'!$D:$D,$C477,'RAW_농산물_11-12월'!$A:$A,$E477)&gt;0,"O",""))</f>
        <v/>
      </c>
      <c r="N477" s="7" t="str">
        <f>IF($C477="","",IF(COUNTA('RAW_농산물_7월'!$A:$A)&lt;=1,"",SUMIFS('RAW_농산물_7월'!$H:$H,'RAW_농산물_7월'!$D:$D,$C477,'RAW_농산물_7월'!$A:$A,$E477)))</f>
        <v/>
      </c>
      <c r="O477" s="7" t="str">
        <f>IF($C477="","",IF(COUNTA('RAW_농산물_8월'!$A:$A)&lt;=1,"",SUMIFS('RAW_농산물_8월'!$H:$H,'RAW_농산물_8월'!$D:$D,$C477,'RAW_농산물_8월'!$A:$A,$E477)-SUMIFS('RAW_농산물_7월'!$H:$H,'RAW_농산물_7월'!$D:$D,$C477,'RAW_농산물_7월'!$A:$A,$E477)))</f>
        <v/>
      </c>
      <c r="P477" s="7" t="str">
        <f>IF($C477="","",IF(COUNTA('RAW_농산물_9월'!$A:$A)&lt;=1,"",SUMIFS('RAW_농산물_9월'!$H:$H,'RAW_농산물_9월'!$D:$D,$C477,'RAW_농산물_9월'!$A:$A,$E477)-SUMIFS('RAW_농산물_8월'!$H:$H,'RAW_농산물_8월'!$D:$D,$C477,'RAW_농산물_8월'!$A:$A,$E477)))</f>
        <v/>
      </c>
      <c r="Q477" s="7" t="str">
        <f>IF($C477="","",IF(COUNTA('RAW_농산물_10월'!$A:$A)&lt;=1,"",SUMIFS('RAW_농산물_10월'!$H:$H,'RAW_농산물_10월'!$D:$D,$C477,'RAW_농산물_10월'!$A:$A,$E477)-SUMIFS('RAW_농산물_9월'!$H:$H,'RAW_농산물_9월'!$D:$D,$C477,'RAW_농산물_9월'!$A:$A,$E477)))</f>
        <v/>
      </c>
      <c r="R477" s="7" t="str">
        <f>IF($C477="","",IF(COUNTA('RAW_농산물_11-12월'!$A:$A)&lt;=1,"",SUMIFS('RAW_농산물_11-12월'!$H:$H,'RAW_농산물_11-12월'!$D:$D,$C477,'RAW_농산물_11-12월'!$A:$A,$E477)-SUMIFS('RAW_농산물_10월'!$H:$H,'RAW_농산물_10월'!$D:$D,$C477,'RAW_농산물_10월'!$A:$A,$E477)))</f>
        <v/>
      </c>
      <c r="S477" s="17" t="str">
        <f t="shared" si="4"/>
        <v/>
      </c>
      <c r="T477" s="17" t="str">
        <f t="shared" si="5"/>
        <v/>
      </c>
      <c r="U477" s="7">
        <f>IF($C477="",0,IF('설정'!$B$3=0,0,CHOOSE('설정'!$B$3,COUNTIFS('RAW_농산물_7월'!$D:$D,$C477,'RAW_농산물_7월'!$A:$A,$E477),COUNTIFS('RAW_농산물_8월'!$D:$D,$C477,'RAW_농산물_8월'!$A:$A,$E477),COUNTIFS('RAW_농산물_9월'!$D:$D,$C477,'RAW_농산물_9월'!$A:$A,$E477),COUNTIFS('RAW_농산물_10월'!$D:$D,$C477,'RAW_농산물_10월'!$A:$A,$E477),COUNTIFS('RAW_농산물_11-12월'!$D:$D,$C477,'RAW_농산물_11-12월'!$A:$A,$E477))))</f>
        <v>0</v>
      </c>
    </row>
    <row r="478" ht="15.75" customHeight="1">
      <c r="A478" s="5"/>
      <c r="B478" s="5"/>
      <c r="C478" s="5"/>
      <c r="D478" s="6"/>
      <c r="E478" s="5"/>
      <c r="F478" s="7" t="str">
        <f>IF($C478="","",IF('설정'!$B$3=0,"",CHOOSE('설정'!$B$3,SUMIFS('RAW_농산물_7월'!$F:$F,'RAW_농산물_7월'!$D:$D,$C478,'RAW_농산물_7월'!$A:$A,$E478),SUMIFS('RAW_농산물_8월'!$F:$F,'RAW_농산물_8월'!$D:$D,$C478,'RAW_농산물_8월'!$A:$A,$E478),SUMIFS('RAW_농산물_9월'!$F:$F,'RAW_농산물_9월'!$D:$D,$C478,'RAW_농산물_9월'!$A:$A,$E478),SUMIFS('RAW_농산물_10월'!$F:$F,'RAW_농산물_10월'!$D:$D,$C478,'RAW_농산물_10월'!$A:$A,$E478),SUMIFS('RAW_농산물_11-12월'!$F:$F,'RAW_농산물_11-12월'!$D:$D,$C478,'RAW_농산물_11-12월'!$A:$A,$E478))))</f>
        <v/>
      </c>
      <c r="G478" s="7" t="str">
        <f>IF($C478="","",IF('설정'!$B$3=0,"",CHOOSE('설정'!$B$3,SUMIFS('RAW_농산물_7월'!$G:$G,'RAW_농산물_7월'!$D:$D,$C478,'RAW_농산물_7월'!$A:$A,$E478),SUMIFS('RAW_농산물_8월'!$G:$G,'RAW_농산물_8월'!$D:$D,$C478,'RAW_농산물_8월'!$A:$A,$E478),SUMIFS('RAW_농산물_9월'!$G:$G,'RAW_농산물_9월'!$D:$D,$C478,'RAW_농산물_9월'!$A:$A,$E478),SUMIFS('RAW_농산물_10월'!$G:$G,'RAW_농산물_10월'!$D:$D,$C478,'RAW_농산물_10월'!$A:$A,$E478),SUMIFS('RAW_농산물_11-12월'!$G:$G,'RAW_농산물_11-12월'!$D:$D,$C478,'RAW_농산물_11-12월'!$A:$A,$E478))))</f>
        <v/>
      </c>
      <c r="H478" s="14" t="str">
        <f>IF($C478="","",IF('설정'!$B$3=0,"",CHOOSE('설정'!$B$3,SUMIFS('RAW_농산물_7월'!$H:$H,'RAW_농산물_7월'!$D:$D,$C478,'RAW_농산물_7월'!$A:$A,$E478),SUMIFS('RAW_농산물_8월'!$H:$H,'RAW_농산물_8월'!$D:$D,$C478,'RAW_농산물_8월'!$A:$A,$E478),SUMIFS('RAW_농산물_9월'!$H:$H,'RAW_농산물_9월'!$D:$D,$C478,'RAW_농산물_9월'!$A:$A,$E478),SUMIFS('RAW_농산물_10월'!$H:$H,'RAW_농산물_10월'!$D:$D,$C478,'RAW_농산물_10월'!$A:$A,$E478),SUMIFS('RAW_농산물_11-12월'!$H:$H,'RAW_농산물_11-12월'!$D:$D,$C478,'RAW_농산물_11-12월'!$A:$A,$E478))))</f>
        <v/>
      </c>
      <c r="I478" s="17" t="str">
        <f>IF($C478="","",IF(COUNTIFS('RAW_농산물_7월'!$D:$D,$C478,'RAW_농산물_7월'!$A:$A,$E478)&gt;0,"O",""))</f>
        <v/>
      </c>
      <c r="J478" s="17" t="str">
        <f>IF($C478="","",IF(COUNTIFS('RAW_농산물_8월'!$D:$D,$C478,'RAW_농산물_8월'!$A:$A,$E478)&gt;0,"O",""))</f>
        <v/>
      </c>
      <c r="K478" s="17" t="str">
        <f>IF($C478="","",IF(COUNTIFS('RAW_농산물_9월'!$D:$D,$C478,'RAW_농산물_9월'!$A:$A,$E478)&gt;0,"O",""))</f>
        <v/>
      </c>
      <c r="L478" s="17" t="str">
        <f>IF($C478="","",IF(COUNTIFS('RAW_농산물_10월'!$D:$D,$C478,'RAW_농산물_10월'!$A:$A,$E478)&gt;0,"O",""))</f>
        <v/>
      </c>
      <c r="M478" s="17" t="str">
        <f>IF($C478="","",IF(COUNTIFS('RAW_농산물_11-12월'!$D:$D,$C478,'RAW_농산물_11-12월'!$A:$A,$E478)&gt;0,"O",""))</f>
        <v/>
      </c>
      <c r="N478" s="7" t="str">
        <f>IF($C478="","",IF(COUNTA('RAW_농산물_7월'!$A:$A)&lt;=1,"",SUMIFS('RAW_농산물_7월'!$H:$H,'RAW_농산물_7월'!$D:$D,$C478,'RAW_농산물_7월'!$A:$A,$E478)))</f>
        <v/>
      </c>
      <c r="O478" s="7" t="str">
        <f>IF($C478="","",IF(COUNTA('RAW_농산물_8월'!$A:$A)&lt;=1,"",SUMIFS('RAW_농산물_8월'!$H:$H,'RAW_농산물_8월'!$D:$D,$C478,'RAW_농산물_8월'!$A:$A,$E478)-SUMIFS('RAW_농산물_7월'!$H:$H,'RAW_농산물_7월'!$D:$D,$C478,'RAW_농산물_7월'!$A:$A,$E478)))</f>
        <v/>
      </c>
      <c r="P478" s="7" t="str">
        <f>IF($C478="","",IF(COUNTA('RAW_농산물_9월'!$A:$A)&lt;=1,"",SUMIFS('RAW_농산물_9월'!$H:$H,'RAW_농산물_9월'!$D:$D,$C478,'RAW_농산물_9월'!$A:$A,$E478)-SUMIFS('RAW_농산물_8월'!$H:$H,'RAW_농산물_8월'!$D:$D,$C478,'RAW_농산물_8월'!$A:$A,$E478)))</f>
        <v/>
      </c>
      <c r="Q478" s="7" t="str">
        <f>IF($C478="","",IF(COUNTA('RAW_농산물_10월'!$A:$A)&lt;=1,"",SUMIFS('RAW_농산물_10월'!$H:$H,'RAW_농산물_10월'!$D:$D,$C478,'RAW_농산물_10월'!$A:$A,$E478)-SUMIFS('RAW_농산물_9월'!$H:$H,'RAW_농산물_9월'!$D:$D,$C478,'RAW_농산물_9월'!$A:$A,$E478)))</f>
        <v/>
      </c>
      <c r="R478" s="7" t="str">
        <f>IF($C478="","",IF(COUNTA('RAW_농산물_11-12월'!$A:$A)&lt;=1,"",SUMIFS('RAW_농산물_11-12월'!$H:$H,'RAW_농산물_11-12월'!$D:$D,$C478,'RAW_농산물_11-12월'!$A:$A,$E478)-SUMIFS('RAW_농산물_10월'!$H:$H,'RAW_농산물_10월'!$D:$D,$C478,'RAW_농산물_10월'!$A:$A,$E478)))</f>
        <v/>
      </c>
      <c r="S478" s="17" t="str">
        <f t="shared" si="4"/>
        <v/>
      </c>
      <c r="T478" s="17" t="str">
        <f t="shared" si="5"/>
        <v/>
      </c>
      <c r="U478" s="7">
        <f>IF($C478="",0,IF('설정'!$B$3=0,0,CHOOSE('설정'!$B$3,COUNTIFS('RAW_농산물_7월'!$D:$D,$C478,'RAW_농산물_7월'!$A:$A,$E478),COUNTIFS('RAW_농산물_8월'!$D:$D,$C478,'RAW_농산물_8월'!$A:$A,$E478),COUNTIFS('RAW_농산물_9월'!$D:$D,$C478,'RAW_농산물_9월'!$A:$A,$E478),COUNTIFS('RAW_농산물_10월'!$D:$D,$C478,'RAW_농산물_10월'!$A:$A,$E478),COUNTIFS('RAW_농산물_11-12월'!$D:$D,$C478,'RAW_농산물_11-12월'!$A:$A,$E478))))</f>
        <v>0</v>
      </c>
    </row>
    <row r="479" ht="15.75" customHeight="1">
      <c r="A479" s="5"/>
      <c r="B479" s="5"/>
      <c r="C479" s="5"/>
      <c r="D479" s="6"/>
      <c r="E479" s="5"/>
      <c r="F479" s="7" t="str">
        <f>IF($C479="","",IF('설정'!$B$3=0,"",CHOOSE('설정'!$B$3,SUMIFS('RAW_농산물_7월'!$F:$F,'RAW_농산물_7월'!$D:$D,$C479,'RAW_농산물_7월'!$A:$A,$E479),SUMIFS('RAW_농산물_8월'!$F:$F,'RAW_농산물_8월'!$D:$D,$C479,'RAW_농산물_8월'!$A:$A,$E479),SUMIFS('RAW_농산물_9월'!$F:$F,'RAW_농산물_9월'!$D:$D,$C479,'RAW_농산물_9월'!$A:$A,$E479),SUMIFS('RAW_농산물_10월'!$F:$F,'RAW_농산물_10월'!$D:$D,$C479,'RAW_농산물_10월'!$A:$A,$E479),SUMIFS('RAW_농산물_11-12월'!$F:$F,'RAW_농산물_11-12월'!$D:$D,$C479,'RAW_농산물_11-12월'!$A:$A,$E479))))</f>
        <v/>
      </c>
      <c r="G479" s="7" t="str">
        <f>IF($C479="","",IF('설정'!$B$3=0,"",CHOOSE('설정'!$B$3,SUMIFS('RAW_농산물_7월'!$G:$G,'RAW_농산물_7월'!$D:$D,$C479,'RAW_농산물_7월'!$A:$A,$E479),SUMIFS('RAW_농산물_8월'!$G:$G,'RAW_농산물_8월'!$D:$D,$C479,'RAW_농산물_8월'!$A:$A,$E479),SUMIFS('RAW_농산물_9월'!$G:$G,'RAW_농산물_9월'!$D:$D,$C479,'RAW_농산물_9월'!$A:$A,$E479),SUMIFS('RAW_농산물_10월'!$G:$G,'RAW_농산물_10월'!$D:$D,$C479,'RAW_농산물_10월'!$A:$A,$E479),SUMIFS('RAW_농산물_11-12월'!$G:$G,'RAW_농산물_11-12월'!$D:$D,$C479,'RAW_농산물_11-12월'!$A:$A,$E479))))</f>
        <v/>
      </c>
      <c r="H479" s="14" t="str">
        <f>IF($C479="","",IF('설정'!$B$3=0,"",CHOOSE('설정'!$B$3,SUMIFS('RAW_농산물_7월'!$H:$H,'RAW_농산물_7월'!$D:$D,$C479,'RAW_농산물_7월'!$A:$A,$E479),SUMIFS('RAW_농산물_8월'!$H:$H,'RAW_농산물_8월'!$D:$D,$C479,'RAW_농산물_8월'!$A:$A,$E479),SUMIFS('RAW_농산물_9월'!$H:$H,'RAW_농산물_9월'!$D:$D,$C479,'RAW_농산물_9월'!$A:$A,$E479),SUMIFS('RAW_농산물_10월'!$H:$H,'RAW_농산물_10월'!$D:$D,$C479,'RAW_농산물_10월'!$A:$A,$E479),SUMIFS('RAW_농산물_11-12월'!$H:$H,'RAW_농산물_11-12월'!$D:$D,$C479,'RAW_농산물_11-12월'!$A:$A,$E479))))</f>
        <v/>
      </c>
      <c r="I479" s="17" t="str">
        <f>IF($C479="","",IF(COUNTIFS('RAW_농산물_7월'!$D:$D,$C479,'RAW_농산물_7월'!$A:$A,$E479)&gt;0,"O",""))</f>
        <v/>
      </c>
      <c r="J479" s="17" t="str">
        <f>IF($C479="","",IF(COUNTIFS('RAW_농산물_8월'!$D:$D,$C479,'RAW_농산물_8월'!$A:$A,$E479)&gt;0,"O",""))</f>
        <v/>
      </c>
      <c r="K479" s="17" t="str">
        <f>IF($C479="","",IF(COUNTIFS('RAW_농산물_9월'!$D:$D,$C479,'RAW_농산물_9월'!$A:$A,$E479)&gt;0,"O",""))</f>
        <v/>
      </c>
      <c r="L479" s="17" t="str">
        <f>IF($C479="","",IF(COUNTIFS('RAW_농산물_10월'!$D:$D,$C479,'RAW_농산물_10월'!$A:$A,$E479)&gt;0,"O",""))</f>
        <v/>
      </c>
      <c r="M479" s="17" t="str">
        <f>IF($C479="","",IF(COUNTIFS('RAW_농산물_11-12월'!$D:$D,$C479,'RAW_농산물_11-12월'!$A:$A,$E479)&gt;0,"O",""))</f>
        <v/>
      </c>
      <c r="N479" s="7" t="str">
        <f>IF($C479="","",IF(COUNTA('RAW_농산물_7월'!$A:$A)&lt;=1,"",SUMIFS('RAW_농산물_7월'!$H:$H,'RAW_농산물_7월'!$D:$D,$C479,'RAW_농산물_7월'!$A:$A,$E479)))</f>
        <v/>
      </c>
      <c r="O479" s="7" t="str">
        <f>IF($C479="","",IF(COUNTA('RAW_농산물_8월'!$A:$A)&lt;=1,"",SUMIFS('RAW_농산물_8월'!$H:$H,'RAW_농산물_8월'!$D:$D,$C479,'RAW_농산물_8월'!$A:$A,$E479)-SUMIFS('RAW_농산물_7월'!$H:$H,'RAW_농산물_7월'!$D:$D,$C479,'RAW_농산물_7월'!$A:$A,$E479)))</f>
        <v/>
      </c>
      <c r="P479" s="7" t="str">
        <f>IF($C479="","",IF(COUNTA('RAW_농산물_9월'!$A:$A)&lt;=1,"",SUMIFS('RAW_농산물_9월'!$H:$H,'RAW_농산물_9월'!$D:$D,$C479,'RAW_농산물_9월'!$A:$A,$E479)-SUMIFS('RAW_농산물_8월'!$H:$H,'RAW_농산물_8월'!$D:$D,$C479,'RAW_농산물_8월'!$A:$A,$E479)))</f>
        <v/>
      </c>
      <c r="Q479" s="7" t="str">
        <f>IF($C479="","",IF(COUNTA('RAW_농산물_10월'!$A:$A)&lt;=1,"",SUMIFS('RAW_농산물_10월'!$H:$H,'RAW_농산물_10월'!$D:$D,$C479,'RAW_농산물_10월'!$A:$A,$E479)-SUMIFS('RAW_농산물_9월'!$H:$H,'RAW_농산물_9월'!$D:$D,$C479,'RAW_농산물_9월'!$A:$A,$E479)))</f>
        <v/>
      </c>
      <c r="R479" s="7" t="str">
        <f>IF($C479="","",IF(COUNTA('RAW_농산물_11-12월'!$A:$A)&lt;=1,"",SUMIFS('RAW_농산물_11-12월'!$H:$H,'RAW_농산물_11-12월'!$D:$D,$C479,'RAW_농산물_11-12월'!$A:$A,$E479)-SUMIFS('RAW_농산물_10월'!$H:$H,'RAW_농산물_10월'!$D:$D,$C479,'RAW_농산물_10월'!$A:$A,$E479)))</f>
        <v/>
      </c>
      <c r="S479" s="17" t="str">
        <f t="shared" si="4"/>
        <v/>
      </c>
      <c r="T479" s="17" t="str">
        <f t="shared" si="5"/>
        <v/>
      </c>
      <c r="U479" s="7">
        <f>IF($C479="",0,IF('설정'!$B$3=0,0,CHOOSE('설정'!$B$3,COUNTIFS('RAW_농산물_7월'!$D:$D,$C479,'RAW_농산물_7월'!$A:$A,$E479),COUNTIFS('RAW_농산물_8월'!$D:$D,$C479,'RAW_농산물_8월'!$A:$A,$E479),COUNTIFS('RAW_농산물_9월'!$D:$D,$C479,'RAW_농산물_9월'!$A:$A,$E479),COUNTIFS('RAW_농산물_10월'!$D:$D,$C479,'RAW_농산물_10월'!$A:$A,$E479),COUNTIFS('RAW_농산물_11-12월'!$D:$D,$C479,'RAW_농산물_11-12월'!$A:$A,$E479))))</f>
        <v>0</v>
      </c>
    </row>
    <row r="480" ht="15.75" customHeight="1">
      <c r="A480" s="5"/>
      <c r="B480" s="5"/>
      <c r="C480" s="5"/>
      <c r="D480" s="6"/>
      <c r="E480" s="5"/>
      <c r="F480" s="7" t="str">
        <f>IF($C480="","",IF('설정'!$B$3=0,"",CHOOSE('설정'!$B$3,SUMIFS('RAW_농산물_7월'!$F:$F,'RAW_농산물_7월'!$D:$D,$C480,'RAW_농산물_7월'!$A:$A,$E480),SUMIFS('RAW_농산물_8월'!$F:$F,'RAW_농산물_8월'!$D:$D,$C480,'RAW_농산물_8월'!$A:$A,$E480),SUMIFS('RAW_농산물_9월'!$F:$F,'RAW_농산물_9월'!$D:$D,$C480,'RAW_농산물_9월'!$A:$A,$E480),SUMIFS('RAW_농산물_10월'!$F:$F,'RAW_농산물_10월'!$D:$D,$C480,'RAW_농산물_10월'!$A:$A,$E480),SUMIFS('RAW_농산물_11-12월'!$F:$F,'RAW_농산물_11-12월'!$D:$D,$C480,'RAW_농산물_11-12월'!$A:$A,$E480))))</f>
        <v/>
      </c>
      <c r="G480" s="7" t="str">
        <f>IF($C480="","",IF('설정'!$B$3=0,"",CHOOSE('설정'!$B$3,SUMIFS('RAW_농산물_7월'!$G:$G,'RAW_농산물_7월'!$D:$D,$C480,'RAW_농산물_7월'!$A:$A,$E480),SUMIFS('RAW_농산물_8월'!$G:$G,'RAW_농산물_8월'!$D:$D,$C480,'RAW_농산물_8월'!$A:$A,$E480),SUMIFS('RAW_농산물_9월'!$G:$G,'RAW_농산물_9월'!$D:$D,$C480,'RAW_농산물_9월'!$A:$A,$E480),SUMIFS('RAW_농산물_10월'!$G:$G,'RAW_농산물_10월'!$D:$D,$C480,'RAW_농산물_10월'!$A:$A,$E480),SUMIFS('RAW_농산물_11-12월'!$G:$G,'RAW_농산물_11-12월'!$D:$D,$C480,'RAW_농산물_11-12월'!$A:$A,$E480))))</f>
        <v/>
      </c>
      <c r="H480" s="14" t="str">
        <f>IF($C480="","",IF('설정'!$B$3=0,"",CHOOSE('설정'!$B$3,SUMIFS('RAW_농산물_7월'!$H:$H,'RAW_농산물_7월'!$D:$D,$C480,'RAW_농산물_7월'!$A:$A,$E480),SUMIFS('RAW_농산물_8월'!$H:$H,'RAW_농산물_8월'!$D:$D,$C480,'RAW_농산물_8월'!$A:$A,$E480),SUMIFS('RAW_농산물_9월'!$H:$H,'RAW_농산물_9월'!$D:$D,$C480,'RAW_농산물_9월'!$A:$A,$E480),SUMIFS('RAW_농산물_10월'!$H:$H,'RAW_농산물_10월'!$D:$D,$C480,'RAW_농산물_10월'!$A:$A,$E480),SUMIFS('RAW_농산물_11-12월'!$H:$H,'RAW_농산물_11-12월'!$D:$D,$C480,'RAW_농산물_11-12월'!$A:$A,$E480))))</f>
        <v/>
      </c>
      <c r="I480" s="17" t="str">
        <f>IF($C480="","",IF(COUNTIFS('RAW_농산물_7월'!$D:$D,$C480,'RAW_농산물_7월'!$A:$A,$E480)&gt;0,"O",""))</f>
        <v/>
      </c>
      <c r="J480" s="17" t="str">
        <f>IF($C480="","",IF(COUNTIFS('RAW_농산물_8월'!$D:$D,$C480,'RAW_농산물_8월'!$A:$A,$E480)&gt;0,"O",""))</f>
        <v/>
      </c>
      <c r="K480" s="17" t="str">
        <f>IF($C480="","",IF(COUNTIFS('RAW_농산물_9월'!$D:$D,$C480,'RAW_농산물_9월'!$A:$A,$E480)&gt;0,"O",""))</f>
        <v/>
      </c>
      <c r="L480" s="17" t="str">
        <f>IF($C480="","",IF(COUNTIFS('RAW_농산물_10월'!$D:$D,$C480,'RAW_농산물_10월'!$A:$A,$E480)&gt;0,"O",""))</f>
        <v/>
      </c>
      <c r="M480" s="17" t="str">
        <f>IF($C480="","",IF(COUNTIFS('RAW_농산물_11-12월'!$D:$D,$C480,'RAW_농산물_11-12월'!$A:$A,$E480)&gt;0,"O",""))</f>
        <v/>
      </c>
      <c r="N480" s="7" t="str">
        <f>IF($C480="","",IF(COUNTA('RAW_농산물_7월'!$A:$A)&lt;=1,"",SUMIFS('RAW_농산물_7월'!$H:$H,'RAW_농산물_7월'!$D:$D,$C480,'RAW_농산물_7월'!$A:$A,$E480)))</f>
        <v/>
      </c>
      <c r="O480" s="7" t="str">
        <f>IF($C480="","",IF(COUNTA('RAW_농산물_8월'!$A:$A)&lt;=1,"",SUMIFS('RAW_농산물_8월'!$H:$H,'RAW_농산물_8월'!$D:$D,$C480,'RAW_농산물_8월'!$A:$A,$E480)-SUMIFS('RAW_농산물_7월'!$H:$H,'RAW_농산물_7월'!$D:$D,$C480,'RAW_농산물_7월'!$A:$A,$E480)))</f>
        <v/>
      </c>
      <c r="P480" s="7" t="str">
        <f>IF($C480="","",IF(COUNTA('RAW_농산물_9월'!$A:$A)&lt;=1,"",SUMIFS('RAW_농산물_9월'!$H:$H,'RAW_농산물_9월'!$D:$D,$C480,'RAW_농산물_9월'!$A:$A,$E480)-SUMIFS('RAW_농산물_8월'!$H:$H,'RAW_농산물_8월'!$D:$D,$C480,'RAW_농산물_8월'!$A:$A,$E480)))</f>
        <v/>
      </c>
      <c r="Q480" s="7" t="str">
        <f>IF($C480="","",IF(COUNTA('RAW_농산물_10월'!$A:$A)&lt;=1,"",SUMIFS('RAW_농산물_10월'!$H:$H,'RAW_농산물_10월'!$D:$D,$C480,'RAW_농산물_10월'!$A:$A,$E480)-SUMIFS('RAW_농산물_9월'!$H:$H,'RAW_농산물_9월'!$D:$D,$C480,'RAW_농산물_9월'!$A:$A,$E480)))</f>
        <v/>
      </c>
      <c r="R480" s="7" t="str">
        <f>IF($C480="","",IF(COUNTA('RAW_농산물_11-12월'!$A:$A)&lt;=1,"",SUMIFS('RAW_농산물_11-12월'!$H:$H,'RAW_농산물_11-12월'!$D:$D,$C480,'RAW_농산물_11-12월'!$A:$A,$E480)-SUMIFS('RAW_농산물_10월'!$H:$H,'RAW_농산물_10월'!$D:$D,$C480,'RAW_농산물_10월'!$A:$A,$E480)))</f>
        <v/>
      </c>
      <c r="S480" s="17" t="str">
        <f t="shared" si="4"/>
        <v/>
      </c>
      <c r="T480" s="17" t="str">
        <f t="shared" si="5"/>
        <v/>
      </c>
      <c r="U480" s="7">
        <f>IF($C480="",0,IF('설정'!$B$3=0,0,CHOOSE('설정'!$B$3,COUNTIFS('RAW_농산물_7월'!$D:$D,$C480,'RAW_농산물_7월'!$A:$A,$E480),COUNTIFS('RAW_농산물_8월'!$D:$D,$C480,'RAW_농산물_8월'!$A:$A,$E480),COUNTIFS('RAW_농산물_9월'!$D:$D,$C480,'RAW_농산물_9월'!$A:$A,$E480),COUNTIFS('RAW_농산물_10월'!$D:$D,$C480,'RAW_농산물_10월'!$A:$A,$E480),COUNTIFS('RAW_농산물_11-12월'!$D:$D,$C480,'RAW_농산물_11-12월'!$A:$A,$E480))))</f>
        <v>0</v>
      </c>
    </row>
    <row r="481" ht="15.75" customHeight="1">
      <c r="A481" s="5"/>
      <c r="B481" s="5"/>
      <c r="C481" s="5"/>
      <c r="D481" s="6"/>
      <c r="E481" s="5"/>
      <c r="F481" s="7" t="str">
        <f>IF($C481="","",IF('설정'!$B$3=0,"",CHOOSE('설정'!$B$3,SUMIFS('RAW_농산물_7월'!$F:$F,'RAW_농산물_7월'!$D:$D,$C481,'RAW_농산물_7월'!$A:$A,$E481),SUMIFS('RAW_농산물_8월'!$F:$F,'RAW_농산물_8월'!$D:$D,$C481,'RAW_농산물_8월'!$A:$A,$E481),SUMIFS('RAW_농산물_9월'!$F:$F,'RAW_농산물_9월'!$D:$D,$C481,'RAW_농산물_9월'!$A:$A,$E481),SUMIFS('RAW_농산물_10월'!$F:$F,'RAW_농산물_10월'!$D:$D,$C481,'RAW_농산물_10월'!$A:$A,$E481),SUMIFS('RAW_농산물_11-12월'!$F:$F,'RAW_농산물_11-12월'!$D:$D,$C481,'RAW_농산물_11-12월'!$A:$A,$E481))))</f>
        <v/>
      </c>
      <c r="G481" s="7" t="str">
        <f>IF($C481="","",IF('설정'!$B$3=0,"",CHOOSE('설정'!$B$3,SUMIFS('RAW_농산물_7월'!$G:$G,'RAW_농산물_7월'!$D:$D,$C481,'RAW_농산물_7월'!$A:$A,$E481),SUMIFS('RAW_농산물_8월'!$G:$G,'RAW_농산물_8월'!$D:$D,$C481,'RAW_농산물_8월'!$A:$A,$E481),SUMIFS('RAW_농산물_9월'!$G:$G,'RAW_농산물_9월'!$D:$D,$C481,'RAW_농산물_9월'!$A:$A,$E481),SUMIFS('RAW_농산물_10월'!$G:$G,'RAW_농산물_10월'!$D:$D,$C481,'RAW_농산물_10월'!$A:$A,$E481),SUMIFS('RAW_농산물_11-12월'!$G:$G,'RAW_농산물_11-12월'!$D:$D,$C481,'RAW_농산물_11-12월'!$A:$A,$E481))))</f>
        <v/>
      </c>
      <c r="H481" s="14" t="str">
        <f>IF($C481="","",IF('설정'!$B$3=0,"",CHOOSE('설정'!$B$3,SUMIFS('RAW_농산물_7월'!$H:$H,'RAW_농산물_7월'!$D:$D,$C481,'RAW_농산물_7월'!$A:$A,$E481),SUMIFS('RAW_농산물_8월'!$H:$H,'RAW_농산물_8월'!$D:$D,$C481,'RAW_농산물_8월'!$A:$A,$E481),SUMIFS('RAW_농산물_9월'!$H:$H,'RAW_농산물_9월'!$D:$D,$C481,'RAW_농산물_9월'!$A:$A,$E481),SUMIFS('RAW_농산물_10월'!$H:$H,'RAW_농산물_10월'!$D:$D,$C481,'RAW_농산물_10월'!$A:$A,$E481),SUMIFS('RAW_농산물_11-12월'!$H:$H,'RAW_농산물_11-12월'!$D:$D,$C481,'RAW_농산물_11-12월'!$A:$A,$E481))))</f>
        <v/>
      </c>
      <c r="I481" s="17" t="str">
        <f>IF($C481="","",IF(COUNTIFS('RAW_농산물_7월'!$D:$D,$C481,'RAW_농산물_7월'!$A:$A,$E481)&gt;0,"O",""))</f>
        <v/>
      </c>
      <c r="J481" s="17" t="str">
        <f>IF($C481="","",IF(COUNTIFS('RAW_농산물_8월'!$D:$D,$C481,'RAW_농산물_8월'!$A:$A,$E481)&gt;0,"O",""))</f>
        <v/>
      </c>
      <c r="K481" s="17" t="str">
        <f>IF($C481="","",IF(COUNTIFS('RAW_농산물_9월'!$D:$D,$C481,'RAW_농산물_9월'!$A:$A,$E481)&gt;0,"O",""))</f>
        <v/>
      </c>
      <c r="L481" s="17" t="str">
        <f>IF($C481="","",IF(COUNTIFS('RAW_농산물_10월'!$D:$D,$C481,'RAW_농산물_10월'!$A:$A,$E481)&gt;0,"O",""))</f>
        <v/>
      </c>
      <c r="M481" s="17" t="str">
        <f>IF($C481="","",IF(COUNTIFS('RAW_농산물_11-12월'!$D:$D,$C481,'RAW_농산물_11-12월'!$A:$A,$E481)&gt;0,"O",""))</f>
        <v/>
      </c>
      <c r="N481" s="7" t="str">
        <f>IF($C481="","",IF(COUNTA('RAW_농산물_7월'!$A:$A)&lt;=1,"",SUMIFS('RAW_농산물_7월'!$H:$H,'RAW_농산물_7월'!$D:$D,$C481,'RAW_농산물_7월'!$A:$A,$E481)))</f>
        <v/>
      </c>
      <c r="O481" s="7" t="str">
        <f>IF($C481="","",IF(COUNTA('RAW_농산물_8월'!$A:$A)&lt;=1,"",SUMIFS('RAW_농산물_8월'!$H:$H,'RAW_농산물_8월'!$D:$D,$C481,'RAW_농산물_8월'!$A:$A,$E481)-SUMIFS('RAW_농산물_7월'!$H:$H,'RAW_농산물_7월'!$D:$D,$C481,'RAW_농산물_7월'!$A:$A,$E481)))</f>
        <v/>
      </c>
      <c r="P481" s="7" t="str">
        <f>IF($C481="","",IF(COUNTA('RAW_농산물_9월'!$A:$A)&lt;=1,"",SUMIFS('RAW_농산물_9월'!$H:$H,'RAW_농산물_9월'!$D:$D,$C481,'RAW_농산물_9월'!$A:$A,$E481)-SUMIFS('RAW_농산물_8월'!$H:$H,'RAW_농산물_8월'!$D:$D,$C481,'RAW_농산물_8월'!$A:$A,$E481)))</f>
        <v/>
      </c>
      <c r="Q481" s="7" t="str">
        <f>IF($C481="","",IF(COUNTA('RAW_농산물_10월'!$A:$A)&lt;=1,"",SUMIFS('RAW_농산물_10월'!$H:$H,'RAW_농산물_10월'!$D:$D,$C481,'RAW_농산물_10월'!$A:$A,$E481)-SUMIFS('RAW_농산물_9월'!$H:$H,'RAW_농산물_9월'!$D:$D,$C481,'RAW_농산물_9월'!$A:$A,$E481)))</f>
        <v/>
      </c>
      <c r="R481" s="7" t="str">
        <f>IF($C481="","",IF(COUNTA('RAW_농산물_11-12월'!$A:$A)&lt;=1,"",SUMIFS('RAW_농산물_11-12월'!$H:$H,'RAW_농산물_11-12월'!$D:$D,$C481,'RAW_농산물_11-12월'!$A:$A,$E481)-SUMIFS('RAW_농산물_10월'!$H:$H,'RAW_농산물_10월'!$D:$D,$C481,'RAW_농산물_10월'!$A:$A,$E481)))</f>
        <v/>
      </c>
      <c r="S481" s="17" t="str">
        <f t="shared" si="4"/>
        <v/>
      </c>
      <c r="T481" s="17" t="str">
        <f t="shared" si="5"/>
        <v/>
      </c>
      <c r="U481" s="7">
        <f>IF($C481="",0,IF('설정'!$B$3=0,0,CHOOSE('설정'!$B$3,COUNTIFS('RAW_농산물_7월'!$D:$D,$C481,'RAW_농산물_7월'!$A:$A,$E481),COUNTIFS('RAW_농산물_8월'!$D:$D,$C481,'RAW_농산물_8월'!$A:$A,$E481),COUNTIFS('RAW_농산물_9월'!$D:$D,$C481,'RAW_농산물_9월'!$A:$A,$E481),COUNTIFS('RAW_농산물_10월'!$D:$D,$C481,'RAW_농산물_10월'!$A:$A,$E481),COUNTIFS('RAW_농산물_11-12월'!$D:$D,$C481,'RAW_농산물_11-12월'!$A:$A,$E481))))</f>
        <v>0</v>
      </c>
    </row>
    <row r="482" ht="15.75" customHeight="1">
      <c r="A482" s="5"/>
      <c r="B482" s="5"/>
      <c r="C482" s="5"/>
      <c r="D482" s="6"/>
      <c r="E482" s="5"/>
      <c r="F482" s="7" t="str">
        <f>IF($C482="","",IF('설정'!$B$3=0,"",CHOOSE('설정'!$B$3,SUMIFS('RAW_농산물_7월'!$F:$F,'RAW_농산물_7월'!$D:$D,$C482,'RAW_농산물_7월'!$A:$A,$E482),SUMIFS('RAW_농산물_8월'!$F:$F,'RAW_농산물_8월'!$D:$D,$C482,'RAW_농산물_8월'!$A:$A,$E482),SUMIFS('RAW_농산물_9월'!$F:$F,'RAW_농산물_9월'!$D:$D,$C482,'RAW_농산물_9월'!$A:$A,$E482),SUMIFS('RAW_농산물_10월'!$F:$F,'RAW_농산물_10월'!$D:$D,$C482,'RAW_농산물_10월'!$A:$A,$E482),SUMIFS('RAW_농산물_11-12월'!$F:$F,'RAW_농산물_11-12월'!$D:$D,$C482,'RAW_농산물_11-12월'!$A:$A,$E482))))</f>
        <v/>
      </c>
      <c r="G482" s="7" t="str">
        <f>IF($C482="","",IF('설정'!$B$3=0,"",CHOOSE('설정'!$B$3,SUMIFS('RAW_농산물_7월'!$G:$G,'RAW_농산물_7월'!$D:$D,$C482,'RAW_농산물_7월'!$A:$A,$E482),SUMIFS('RAW_농산물_8월'!$G:$G,'RAW_농산물_8월'!$D:$D,$C482,'RAW_농산물_8월'!$A:$A,$E482),SUMIFS('RAW_농산물_9월'!$G:$G,'RAW_농산물_9월'!$D:$D,$C482,'RAW_농산물_9월'!$A:$A,$E482),SUMIFS('RAW_농산물_10월'!$G:$G,'RAW_농산물_10월'!$D:$D,$C482,'RAW_농산물_10월'!$A:$A,$E482),SUMIFS('RAW_농산물_11-12월'!$G:$G,'RAW_농산물_11-12월'!$D:$D,$C482,'RAW_농산물_11-12월'!$A:$A,$E482))))</f>
        <v/>
      </c>
      <c r="H482" s="14" t="str">
        <f>IF($C482="","",IF('설정'!$B$3=0,"",CHOOSE('설정'!$B$3,SUMIFS('RAW_농산물_7월'!$H:$H,'RAW_농산물_7월'!$D:$D,$C482,'RAW_농산물_7월'!$A:$A,$E482),SUMIFS('RAW_농산물_8월'!$H:$H,'RAW_농산물_8월'!$D:$D,$C482,'RAW_농산물_8월'!$A:$A,$E482),SUMIFS('RAW_농산물_9월'!$H:$H,'RAW_농산물_9월'!$D:$D,$C482,'RAW_농산물_9월'!$A:$A,$E482),SUMIFS('RAW_농산물_10월'!$H:$H,'RAW_농산물_10월'!$D:$D,$C482,'RAW_농산물_10월'!$A:$A,$E482),SUMIFS('RAW_농산물_11-12월'!$H:$H,'RAW_농산물_11-12월'!$D:$D,$C482,'RAW_농산물_11-12월'!$A:$A,$E482))))</f>
        <v/>
      </c>
      <c r="I482" s="17" t="str">
        <f>IF($C482="","",IF(COUNTIFS('RAW_농산물_7월'!$D:$D,$C482,'RAW_농산물_7월'!$A:$A,$E482)&gt;0,"O",""))</f>
        <v/>
      </c>
      <c r="J482" s="17" t="str">
        <f>IF($C482="","",IF(COUNTIFS('RAW_농산물_8월'!$D:$D,$C482,'RAW_농산물_8월'!$A:$A,$E482)&gt;0,"O",""))</f>
        <v/>
      </c>
      <c r="K482" s="17" t="str">
        <f>IF($C482="","",IF(COUNTIFS('RAW_농산물_9월'!$D:$D,$C482,'RAW_농산물_9월'!$A:$A,$E482)&gt;0,"O",""))</f>
        <v/>
      </c>
      <c r="L482" s="17" t="str">
        <f>IF($C482="","",IF(COUNTIFS('RAW_농산물_10월'!$D:$D,$C482,'RAW_농산물_10월'!$A:$A,$E482)&gt;0,"O",""))</f>
        <v/>
      </c>
      <c r="M482" s="17" t="str">
        <f>IF($C482="","",IF(COUNTIFS('RAW_농산물_11-12월'!$D:$D,$C482,'RAW_농산물_11-12월'!$A:$A,$E482)&gt;0,"O",""))</f>
        <v/>
      </c>
      <c r="N482" s="7" t="str">
        <f>IF($C482="","",IF(COUNTA('RAW_농산물_7월'!$A:$A)&lt;=1,"",SUMIFS('RAW_농산물_7월'!$H:$H,'RAW_농산물_7월'!$D:$D,$C482,'RAW_농산물_7월'!$A:$A,$E482)))</f>
        <v/>
      </c>
      <c r="O482" s="7" t="str">
        <f>IF($C482="","",IF(COUNTA('RAW_농산물_8월'!$A:$A)&lt;=1,"",SUMIFS('RAW_농산물_8월'!$H:$H,'RAW_농산물_8월'!$D:$D,$C482,'RAW_농산물_8월'!$A:$A,$E482)-SUMIFS('RAW_농산물_7월'!$H:$H,'RAW_농산물_7월'!$D:$D,$C482,'RAW_농산물_7월'!$A:$A,$E482)))</f>
        <v/>
      </c>
      <c r="P482" s="7" t="str">
        <f>IF($C482="","",IF(COUNTA('RAW_농산물_9월'!$A:$A)&lt;=1,"",SUMIFS('RAW_농산물_9월'!$H:$H,'RAW_농산물_9월'!$D:$D,$C482,'RAW_농산물_9월'!$A:$A,$E482)-SUMIFS('RAW_농산물_8월'!$H:$H,'RAW_농산물_8월'!$D:$D,$C482,'RAW_농산물_8월'!$A:$A,$E482)))</f>
        <v/>
      </c>
      <c r="Q482" s="7" t="str">
        <f>IF($C482="","",IF(COUNTA('RAW_농산물_10월'!$A:$A)&lt;=1,"",SUMIFS('RAW_농산물_10월'!$H:$H,'RAW_농산물_10월'!$D:$D,$C482,'RAW_농산물_10월'!$A:$A,$E482)-SUMIFS('RAW_농산물_9월'!$H:$H,'RAW_농산물_9월'!$D:$D,$C482,'RAW_농산물_9월'!$A:$A,$E482)))</f>
        <v/>
      </c>
      <c r="R482" s="7" t="str">
        <f>IF($C482="","",IF(COUNTA('RAW_농산물_11-12월'!$A:$A)&lt;=1,"",SUMIFS('RAW_농산물_11-12월'!$H:$H,'RAW_농산물_11-12월'!$D:$D,$C482,'RAW_농산물_11-12월'!$A:$A,$E482)-SUMIFS('RAW_농산물_10월'!$H:$H,'RAW_농산물_10월'!$D:$D,$C482,'RAW_농산물_10월'!$A:$A,$E482)))</f>
        <v/>
      </c>
      <c r="S482" s="17" t="str">
        <f t="shared" si="4"/>
        <v/>
      </c>
      <c r="T482" s="17" t="str">
        <f t="shared" si="5"/>
        <v/>
      </c>
      <c r="U482" s="7">
        <f>IF($C482="",0,IF('설정'!$B$3=0,0,CHOOSE('설정'!$B$3,COUNTIFS('RAW_농산물_7월'!$D:$D,$C482,'RAW_농산물_7월'!$A:$A,$E482),COUNTIFS('RAW_농산물_8월'!$D:$D,$C482,'RAW_농산물_8월'!$A:$A,$E482),COUNTIFS('RAW_농산물_9월'!$D:$D,$C482,'RAW_농산물_9월'!$A:$A,$E482),COUNTIFS('RAW_농산물_10월'!$D:$D,$C482,'RAW_농산물_10월'!$A:$A,$E482),COUNTIFS('RAW_농산물_11-12월'!$D:$D,$C482,'RAW_농산물_11-12월'!$A:$A,$E482))))</f>
        <v>0</v>
      </c>
    </row>
    <row r="483" ht="15.75" customHeight="1">
      <c r="A483" s="5"/>
      <c r="B483" s="5"/>
      <c r="C483" s="5"/>
      <c r="D483" s="6"/>
      <c r="E483" s="5"/>
      <c r="F483" s="7" t="str">
        <f>IF($C483="","",IF('설정'!$B$3=0,"",CHOOSE('설정'!$B$3,SUMIFS('RAW_농산물_7월'!$F:$F,'RAW_농산물_7월'!$D:$D,$C483,'RAW_농산물_7월'!$A:$A,$E483),SUMIFS('RAW_농산물_8월'!$F:$F,'RAW_농산물_8월'!$D:$D,$C483,'RAW_농산물_8월'!$A:$A,$E483),SUMIFS('RAW_농산물_9월'!$F:$F,'RAW_농산물_9월'!$D:$D,$C483,'RAW_농산물_9월'!$A:$A,$E483),SUMIFS('RAW_농산물_10월'!$F:$F,'RAW_농산물_10월'!$D:$D,$C483,'RAW_농산물_10월'!$A:$A,$E483),SUMIFS('RAW_농산물_11-12월'!$F:$F,'RAW_농산물_11-12월'!$D:$D,$C483,'RAW_농산물_11-12월'!$A:$A,$E483))))</f>
        <v/>
      </c>
      <c r="G483" s="7" t="str">
        <f>IF($C483="","",IF('설정'!$B$3=0,"",CHOOSE('설정'!$B$3,SUMIFS('RAW_농산물_7월'!$G:$G,'RAW_농산물_7월'!$D:$D,$C483,'RAW_농산물_7월'!$A:$A,$E483),SUMIFS('RAW_농산물_8월'!$G:$G,'RAW_농산물_8월'!$D:$D,$C483,'RAW_농산물_8월'!$A:$A,$E483),SUMIFS('RAW_농산물_9월'!$G:$G,'RAW_농산물_9월'!$D:$D,$C483,'RAW_농산물_9월'!$A:$A,$E483),SUMIFS('RAW_농산물_10월'!$G:$G,'RAW_농산물_10월'!$D:$D,$C483,'RAW_농산물_10월'!$A:$A,$E483),SUMIFS('RAW_농산물_11-12월'!$G:$G,'RAW_농산물_11-12월'!$D:$D,$C483,'RAW_농산물_11-12월'!$A:$A,$E483))))</f>
        <v/>
      </c>
      <c r="H483" s="14" t="str">
        <f>IF($C483="","",IF('설정'!$B$3=0,"",CHOOSE('설정'!$B$3,SUMIFS('RAW_농산물_7월'!$H:$H,'RAW_농산물_7월'!$D:$D,$C483,'RAW_농산물_7월'!$A:$A,$E483),SUMIFS('RAW_농산물_8월'!$H:$H,'RAW_농산물_8월'!$D:$D,$C483,'RAW_농산물_8월'!$A:$A,$E483),SUMIFS('RAW_농산물_9월'!$H:$H,'RAW_농산물_9월'!$D:$D,$C483,'RAW_농산물_9월'!$A:$A,$E483),SUMIFS('RAW_농산물_10월'!$H:$H,'RAW_농산물_10월'!$D:$D,$C483,'RAW_농산물_10월'!$A:$A,$E483),SUMIFS('RAW_농산물_11-12월'!$H:$H,'RAW_농산물_11-12월'!$D:$D,$C483,'RAW_농산물_11-12월'!$A:$A,$E483))))</f>
        <v/>
      </c>
      <c r="I483" s="17" t="str">
        <f>IF($C483="","",IF(COUNTIFS('RAW_농산물_7월'!$D:$D,$C483,'RAW_농산물_7월'!$A:$A,$E483)&gt;0,"O",""))</f>
        <v/>
      </c>
      <c r="J483" s="17" t="str">
        <f>IF($C483="","",IF(COUNTIFS('RAW_농산물_8월'!$D:$D,$C483,'RAW_농산물_8월'!$A:$A,$E483)&gt;0,"O",""))</f>
        <v/>
      </c>
      <c r="K483" s="17" t="str">
        <f>IF($C483="","",IF(COUNTIFS('RAW_농산물_9월'!$D:$D,$C483,'RAW_농산물_9월'!$A:$A,$E483)&gt;0,"O",""))</f>
        <v/>
      </c>
      <c r="L483" s="17" t="str">
        <f>IF($C483="","",IF(COUNTIFS('RAW_농산물_10월'!$D:$D,$C483,'RAW_농산물_10월'!$A:$A,$E483)&gt;0,"O",""))</f>
        <v/>
      </c>
      <c r="M483" s="17" t="str">
        <f>IF($C483="","",IF(COUNTIFS('RAW_농산물_11-12월'!$D:$D,$C483,'RAW_농산물_11-12월'!$A:$A,$E483)&gt;0,"O",""))</f>
        <v/>
      </c>
      <c r="N483" s="7" t="str">
        <f>IF($C483="","",IF(COUNTA('RAW_농산물_7월'!$A:$A)&lt;=1,"",SUMIFS('RAW_농산물_7월'!$H:$H,'RAW_농산물_7월'!$D:$D,$C483,'RAW_농산물_7월'!$A:$A,$E483)))</f>
        <v/>
      </c>
      <c r="O483" s="7" t="str">
        <f>IF($C483="","",IF(COUNTA('RAW_농산물_8월'!$A:$A)&lt;=1,"",SUMIFS('RAW_농산물_8월'!$H:$H,'RAW_농산물_8월'!$D:$D,$C483,'RAW_농산물_8월'!$A:$A,$E483)-SUMIFS('RAW_농산물_7월'!$H:$H,'RAW_농산물_7월'!$D:$D,$C483,'RAW_농산물_7월'!$A:$A,$E483)))</f>
        <v/>
      </c>
      <c r="P483" s="7" t="str">
        <f>IF($C483="","",IF(COUNTA('RAW_농산물_9월'!$A:$A)&lt;=1,"",SUMIFS('RAW_농산물_9월'!$H:$H,'RAW_농산물_9월'!$D:$D,$C483,'RAW_농산물_9월'!$A:$A,$E483)-SUMIFS('RAW_농산물_8월'!$H:$H,'RAW_농산물_8월'!$D:$D,$C483,'RAW_농산물_8월'!$A:$A,$E483)))</f>
        <v/>
      </c>
      <c r="Q483" s="7" t="str">
        <f>IF($C483="","",IF(COUNTA('RAW_농산물_10월'!$A:$A)&lt;=1,"",SUMIFS('RAW_농산물_10월'!$H:$H,'RAW_농산물_10월'!$D:$D,$C483,'RAW_농산물_10월'!$A:$A,$E483)-SUMIFS('RAW_농산물_9월'!$H:$H,'RAW_농산물_9월'!$D:$D,$C483,'RAW_농산물_9월'!$A:$A,$E483)))</f>
        <v/>
      </c>
      <c r="R483" s="7" t="str">
        <f>IF($C483="","",IF(COUNTA('RAW_농산물_11-12월'!$A:$A)&lt;=1,"",SUMIFS('RAW_농산물_11-12월'!$H:$H,'RAW_농산물_11-12월'!$D:$D,$C483,'RAW_농산물_11-12월'!$A:$A,$E483)-SUMIFS('RAW_농산물_10월'!$H:$H,'RAW_농산물_10월'!$D:$D,$C483,'RAW_농산물_10월'!$A:$A,$E483)))</f>
        <v/>
      </c>
      <c r="S483" s="17" t="str">
        <f t="shared" si="4"/>
        <v/>
      </c>
      <c r="T483" s="17" t="str">
        <f t="shared" si="5"/>
        <v/>
      </c>
      <c r="U483" s="7">
        <f>IF($C483="",0,IF('설정'!$B$3=0,0,CHOOSE('설정'!$B$3,COUNTIFS('RAW_농산물_7월'!$D:$D,$C483,'RAW_농산물_7월'!$A:$A,$E483),COUNTIFS('RAW_농산물_8월'!$D:$D,$C483,'RAW_농산물_8월'!$A:$A,$E483),COUNTIFS('RAW_농산물_9월'!$D:$D,$C483,'RAW_농산물_9월'!$A:$A,$E483),COUNTIFS('RAW_농산물_10월'!$D:$D,$C483,'RAW_농산물_10월'!$A:$A,$E483),COUNTIFS('RAW_농산물_11-12월'!$D:$D,$C483,'RAW_농산물_11-12월'!$A:$A,$E483))))</f>
        <v>0</v>
      </c>
    </row>
    <row r="484" ht="15.75" customHeight="1">
      <c r="A484" s="5"/>
      <c r="B484" s="5"/>
      <c r="C484" s="5"/>
      <c r="D484" s="6"/>
      <c r="E484" s="5"/>
      <c r="F484" s="7" t="str">
        <f>IF($C484="","",IF('설정'!$B$3=0,"",CHOOSE('설정'!$B$3,SUMIFS('RAW_농산물_7월'!$F:$F,'RAW_농산물_7월'!$D:$D,$C484,'RAW_농산물_7월'!$A:$A,$E484),SUMIFS('RAW_농산물_8월'!$F:$F,'RAW_농산물_8월'!$D:$D,$C484,'RAW_농산물_8월'!$A:$A,$E484),SUMIFS('RAW_농산물_9월'!$F:$F,'RAW_농산물_9월'!$D:$D,$C484,'RAW_농산물_9월'!$A:$A,$E484),SUMIFS('RAW_농산물_10월'!$F:$F,'RAW_농산물_10월'!$D:$D,$C484,'RAW_농산물_10월'!$A:$A,$E484),SUMIFS('RAW_농산물_11-12월'!$F:$F,'RAW_농산물_11-12월'!$D:$D,$C484,'RAW_농산물_11-12월'!$A:$A,$E484))))</f>
        <v/>
      </c>
      <c r="G484" s="7" t="str">
        <f>IF($C484="","",IF('설정'!$B$3=0,"",CHOOSE('설정'!$B$3,SUMIFS('RAW_농산물_7월'!$G:$G,'RAW_농산물_7월'!$D:$D,$C484,'RAW_농산물_7월'!$A:$A,$E484),SUMIFS('RAW_농산물_8월'!$G:$G,'RAW_농산물_8월'!$D:$D,$C484,'RAW_농산물_8월'!$A:$A,$E484),SUMIFS('RAW_농산물_9월'!$G:$G,'RAW_농산물_9월'!$D:$D,$C484,'RAW_농산물_9월'!$A:$A,$E484),SUMIFS('RAW_농산물_10월'!$G:$G,'RAW_농산물_10월'!$D:$D,$C484,'RAW_농산물_10월'!$A:$A,$E484),SUMIFS('RAW_농산물_11-12월'!$G:$G,'RAW_농산물_11-12월'!$D:$D,$C484,'RAW_농산물_11-12월'!$A:$A,$E484))))</f>
        <v/>
      </c>
      <c r="H484" s="14" t="str">
        <f>IF($C484="","",IF('설정'!$B$3=0,"",CHOOSE('설정'!$B$3,SUMIFS('RAW_농산물_7월'!$H:$H,'RAW_농산물_7월'!$D:$D,$C484,'RAW_농산물_7월'!$A:$A,$E484),SUMIFS('RAW_농산물_8월'!$H:$H,'RAW_농산물_8월'!$D:$D,$C484,'RAW_농산물_8월'!$A:$A,$E484),SUMIFS('RAW_농산물_9월'!$H:$H,'RAW_농산물_9월'!$D:$D,$C484,'RAW_농산물_9월'!$A:$A,$E484),SUMIFS('RAW_농산물_10월'!$H:$H,'RAW_농산물_10월'!$D:$D,$C484,'RAW_농산물_10월'!$A:$A,$E484),SUMIFS('RAW_농산물_11-12월'!$H:$H,'RAW_농산물_11-12월'!$D:$D,$C484,'RAW_농산물_11-12월'!$A:$A,$E484))))</f>
        <v/>
      </c>
      <c r="I484" s="17" t="str">
        <f>IF($C484="","",IF(COUNTIFS('RAW_농산물_7월'!$D:$D,$C484,'RAW_농산물_7월'!$A:$A,$E484)&gt;0,"O",""))</f>
        <v/>
      </c>
      <c r="J484" s="17" t="str">
        <f>IF($C484="","",IF(COUNTIFS('RAW_농산물_8월'!$D:$D,$C484,'RAW_농산물_8월'!$A:$A,$E484)&gt;0,"O",""))</f>
        <v/>
      </c>
      <c r="K484" s="17" t="str">
        <f>IF($C484="","",IF(COUNTIFS('RAW_농산물_9월'!$D:$D,$C484,'RAW_농산물_9월'!$A:$A,$E484)&gt;0,"O",""))</f>
        <v/>
      </c>
      <c r="L484" s="17" t="str">
        <f>IF($C484="","",IF(COUNTIFS('RAW_농산물_10월'!$D:$D,$C484,'RAW_농산물_10월'!$A:$A,$E484)&gt;0,"O",""))</f>
        <v/>
      </c>
      <c r="M484" s="17" t="str">
        <f>IF($C484="","",IF(COUNTIFS('RAW_농산물_11-12월'!$D:$D,$C484,'RAW_농산물_11-12월'!$A:$A,$E484)&gt;0,"O",""))</f>
        <v/>
      </c>
      <c r="N484" s="7" t="str">
        <f>IF($C484="","",IF(COUNTA('RAW_농산물_7월'!$A:$A)&lt;=1,"",SUMIFS('RAW_농산물_7월'!$H:$H,'RAW_농산물_7월'!$D:$D,$C484,'RAW_농산물_7월'!$A:$A,$E484)))</f>
        <v/>
      </c>
      <c r="O484" s="7" t="str">
        <f>IF($C484="","",IF(COUNTA('RAW_농산물_8월'!$A:$A)&lt;=1,"",SUMIFS('RAW_농산물_8월'!$H:$H,'RAW_농산물_8월'!$D:$D,$C484,'RAW_농산물_8월'!$A:$A,$E484)-SUMIFS('RAW_농산물_7월'!$H:$H,'RAW_농산물_7월'!$D:$D,$C484,'RAW_농산물_7월'!$A:$A,$E484)))</f>
        <v/>
      </c>
      <c r="P484" s="7" t="str">
        <f>IF($C484="","",IF(COUNTA('RAW_농산물_9월'!$A:$A)&lt;=1,"",SUMIFS('RAW_농산물_9월'!$H:$H,'RAW_농산물_9월'!$D:$D,$C484,'RAW_농산물_9월'!$A:$A,$E484)-SUMIFS('RAW_농산물_8월'!$H:$H,'RAW_농산물_8월'!$D:$D,$C484,'RAW_농산물_8월'!$A:$A,$E484)))</f>
        <v/>
      </c>
      <c r="Q484" s="7" t="str">
        <f>IF($C484="","",IF(COUNTA('RAW_농산물_10월'!$A:$A)&lt;=1,"",SUMIFS('RAW_농산물_10월'!$H:$H,'RAW_농산물_10월'!$D:$D,$C484,'RAW_농산물_10월'!$A:$A,$E484)-SUMIFS('RAW_농산물_9월'!$H:$H,'RAW_농산물_9월'!$D:$D,$C484,'RAW_농산물_9월'!$A:$A,$E484)))</f>
        <v/>
      </c>
      <c r="R484" s="7" t="str">
        <f>IF($C484="","",IF(COUNTA('RAW_농산물_11-12월'!$A:$A)&lt;=1,"",SUMIFS('RAW_농산물_11-12월'!$H:$H,'RAW_농산물_11-12월'!$D:$D,$C484,'RAW_농산물_11-12월'!$A:$A,$E484)-SUMIFS('RAW_농산물_10월'!$H:$H,'RAW_농산물_10월'!$D:$D,$C484,'RAW_농산물_10월'!$A:$A,$E484)))</f>
        <v/>
      </c>
      <c r="S484" s="17" t="str">
        <f t="shared" si="4"/>
        <v/>
      </c>
      <c r="T484" s="17" t="str">
        <f t="shared" si="5"/>
        <v/>
      </c>
      <c r="U484" s="7">
        <f>IF($C484="",0,IF('설정'!$B$3=0,0,CHOOSE('설정'!$B$3,COUNTIFS('RAW_농산물_7월'!$D:$D,$C484,'RAW_농산물_7월'!$A:$A,$E484),COUNTIFS('RAW_농산물_8월'!$D:$D,$C484,'RAW_농산물_8월'!$A:$A,$E484),COUNTIFS('RAW_농산물_9월'!$D:$D,$C484,'RAW_농산물_9월'!$A:$A,$E484),COUNTIFS('RAW_농산물_10월'!$D:$D,$C484,'RAW_농산물_10월'!$A:$A,$E484),COUNTIFS('RAW_농산물_11-12월'!$D:$D,$C484,'RAW_농산물_11-12월'!$A:$A,$E484))))</f>
        <v>0</v>
      </c>
    </row>
    <row r="485" ht="15.75" customHeight="1">
      <c r="A485" s="5"/>
      <c r="B485" s="5"/>
      <c r="C485" s="5"/>
      <c r="D485" s="6"/>
      <c r="E485" s="5"/>
      <c r="F485" s="7" t="str">
        <f>IF($C485="","",IF('설정'!$B$3=0,"",CHOOSE('설정'!$B$3,SUMIFS('RAW_농산물_7월'!$F:$F,'RAW_농산물_7월'!$D:$D,$C485,'RAW_농산물_7월'!$A:$A,$E485),SUMIFS('RAW_농산물_8월'!$F:$F,'RAW_농산물_8월'!$D:$D,$C485,'RAW_농산물_8월'!$A:$A,$E485),SUMIFS('RAW_농산물_9월'!$F:$F,'RAW_농산물_9월'!$D:$D,$C485,'RAW_농산물_9월'!$A:$A,$E485),SUMIFS('RAW_농산물_10월'!$F:$F,'RAW_농산물_10월'!$D:$D,$C485,'RAW_농산물_10월'!$A:$A,$E485),SUMIFS('RAW_농산물_11-12월'!$F:$F,'RAW_농산물_11-12월'!$D:$D,$C485,'RAW_농산물_11-12월'!$A:$A,$E485))))</f>
        <v/>
      </c>
      <c r="G485" s="7" t="str">
        <f>IF($C485="","",IF('설정'!$B$3=0,"",CHOOSE('설정'!$B$3,SUMIFS('RAW_농산물_7월'!$G:$G,'RAW_농산물_7월'!$D:$D,$C485,'RAW_농산물_7월'!$A:$A,$E485),SUMIFS('RAW_농산물_8월'!$G:$G,'RAW_농산물_8월'!$D:$D,$C485,'RAW_농산물_8월'!$A:$A,$E485),SUMIFS('RAW_농산물_9월'!$G:$G,'RAW_농산물_9월'!$D:$D,$C485,'RAW_농산물_9월'!$A:$A,$E485),SUMIFS('RAW_농산물_10월'!$G:$G,'RAW_농산물_10월'!$D:$D,$C485,'RAW_농산물_10월'!$A:$A,$E485),SUMIFS('RAW_농산물_11-12월'!$G:$G,'RAW_농산물_11-12월'!$D:$D,$C485,'RAW_농산물_11-12월'!$A:$A,$E485))))</f>
        <v/>
      </c>
      <c r="H485" s="14" t="str">
        <f>IF($C485="","",IF('설정'!$B$3=0,"",CHOOSE('설정'!$B$3,SUMIFS('RAW_농산물_7월'!$H:$H,'RAW_농산물_7월'!$D:$D,$C485,'RAW_농산물_7월'!$A:$A,$E485),SUMIFS('RAW_농산물_8월'!$H:$H,'RAW_농산물_8월'!$D:$D,$C485,'RAW_농산물_8월'!$A:$A,$E485),SUMIFS('RAW_농산물_9월'!$H:$H,'RAW_농산물_9월'!$D:$D,$C485,'RAW_농산물_9월'!$A:$A,$E485),SUMIFS('RAW_농산물_10월'!$H:$H,'RAW_농산물_10월'!$D:$D,$C485,'RAW_농산물_10월'!$A:$A,$E485),SUMIFS('RAW_농산물_11-12월'!$H:$H,'RAW_농산물_11-12월'!$D:$D,$C485,'RAW_농산물_11-12월'!$A:$A,$E485))))</f>
        <v/>
      </c>
      <c r="I485" s="17" t="str">
        <f>IF($C485="","",IF(COUNTIFS('RAW_농산물_7월'!$D:$D,$C485,'RAW_농산물_7월'!$A:$A,$E485)&gt;0,"O",""))</f>
        <v/>
      </c>
      <c r="J485" s="17" t="str">
        <f>IF($C485="","",IF(COUNTIFS('RAW_농산물_8월'!$D:$D,$C485,'RAW_농산물_8월'!$A:$A,$E485)&gt;0,"O",""))</f>
        <v/>
      </c>
      <c r="K485" s="17" t="str">
        <f>IF($C485="","",IF(COUNTIFS('RAW_농산물_9월'!$D:$D,$C485,'RAW_농산물_9월'!$A:$A,$E485)&gt;0,"O",""))</f>
        <v/>
      </c>
      <c r="L485" s="17" t="str">
        <f>IF($C485="","",IF(COUNTIFS('RAW_농산물_10월'!$D:$D,$C485,'RAW_농산물_10월'!$A:$A,$E485)&gt;0,"O",""))</f>
        <v/>
      </c>
      <c r="M485" s="17" t="str">
        <f>IF($C485="","",IF(COUNTIFS('RAW_농산물_11-12월'!$D:$D,$C485,'RAW_농산물_11-12월'!$A:$A,$E485)&gt;0,"O",""))</f>
        <v/>
      </c>
      <c r="N485" s="7" t="str">
        <f>IF($C485="","",IF(COUNTA('RAW_농산물_7월'!$A:$A)&lt;=1,"",SUMIFS('RAW_농산물_7월'!$H:$H,'RAW_농산물_7월'!$D:$D,$C485,'RAW_농산물_7월'!$A:$A,$E485)))</f>
        <v/>
      </c>
      <c r="O485" s="7" t="str">
        <f>IF($C485="","",IF(COUNTA('RAW_농산물_8월'!$A:$A)&lt;=1,"",SUMIFS('RAW_농산물_8월'!$H:$H,'RAW_농산물_8월'!$D:$D,$C485,'RAW_농산물_8월'!$A:$A,$E485)-SUMIFS('RAW_농산물_7월'!$H:$H,'RAW_농산물_7월'!$D:$D,$C485,'RAW_농산물_7월'!$A:$A,$E485)))</f>
        <v/>
      </c>
      <c r="P485" s="7" t="str">
        <f>IF($C485="","",IF(COUNTA('RAW_농산물_9월'!$A:$A)&lt;=1,"",SUMIFS('RAW_농산물_9월'!$H:$H,'RAW_농산물_9월'!$D:$D,$C485,'RAW_농산물_9월'!$A:$A,$E485)-SUMIFS('RAW_농산물_8월'!$H:$H,'RAW_농산물_8월'!$D:$D,$C485,'RAW_농산물_8월'!$A:$A,$E485)))</f>
        <v/>
      </c>
      <c r="Q485" s="7" t="str">
        <f>IF($C485="","",IF(COUNTA('RAW_농산물_10월'!$A:$A)&lt;=1,"",SUMIFS('RAW_농산물_10월'!$H:$H,'RAW_농산물_10월'!$D:$D,$C485,'RAW_농산물_10월'!$A:$A,$E485)-SUMIFS('RAW_농산물_9월'!$H:$H,'RAW_농산물_9월'!$D:$D,$C485,'RAW_농산물_9월'!$A:$A,$E485)))</f>
        <v/>
      </c>
      <c r="R485" s="7" t="str">
        <f>IF($C485="","",IF(COUNTA('RAW_농산물_11-12월'!$A:$A)&lt;=1,"",SUMIFS('RAW_농산물_11-12월'!$H:$H,'RAW_농산물_11-12월'!$D:$D,$C485,'RAW_농산물_11-12월'!$A:$A,$E485)-SUMIFS('RAW_농산물_10월'!$H:$H,'RAW_농산물_10월'!$D:$D,$C485,'RAW_농산물_10월'!$A:$A,$E485)))</f>
        <v/>
      </c>
      <c r="S485" s="17" t="str">
        <f t="shared" si="4"/>
        <v/>
      </c>
      <c r="T485" s="17" t="str">
        <f t="shared" si="5"/>
        <v/>
      </c>
      <c r="U485" s="7">
        <f>IF($C485="",0,IF('설정'!$B$3=0,0,CHOOSE('설정'!$B$3,COUNTIFS('RAW_농산물_7월'!$D:$D,$C485,'RAW_농산물_7월'!$A:$A,$E485),COUNTIFS('RAW_농산물_8월'!$D:$D,$C485,'RAW_농산물_8월'!$A:$A,$E485),COUNTIFS('RAW_농산물_9월'!$D:$D,$C485,'RAW_농산물_9월'!$A:$A,$E485),COUNTIFS('RAW_농산물_10월'!$D:$D,$C485,'RAW_농산물_10월'!$A:$A,$E485),COUNTIFS('RAW_농산물_11-12월'!$D:$D,$C485,'RAW_농산물_11-12월'!$A:$A,$E485))))</f>
        <v>0</v>
      </c>
    </row>
    <row r="486" ht="15.75" customHeight="1">
      <c r="A486" s="5"/>
      <c r="B486" s="5"/>
      <c r="C486" s="5"/>
      <c r="D486" s="6"/>
      <c r="E486" s="5"/>
      <c r="F486" s="7" t="str">
        <f>IF($C486="","",IF('설정'!$B$3=0,"",CHOOSE('설정'!$B$3,SUMIFS('RAW_농산물_7월'!$F:$F,'RAW_농산물_7월'!$D:$D,$C486,'RAW_농산물_7월'!$A:$A,$E486),SUMIFS('RAW_농산물_8월'!$F:$F,'RAW_농산물_8월'!$D:$D,$C486,'RAW_농산물_8월'!$A:$A,$E486),SUMIFS('RAW_농산물_9월'!$F:$F,'RAW_농산물_9월'!$D:$D,$C486,'RAW_농산물_9월'!$A:$A,$E486),SUMIFS('RAW_농산물_10월'!$F:$F,'RAW_농산물_10월'!$D:$D,$C486,'RAW_농산물_10월'!$A:$A,$E486),SUMIFS('RAW_농산물_11-12월'!$F:$F,'RAW_농산물_11-12월'!$D:$D,$C486,'RAW_농산물_11-12월'!$A:$A,$E486))))</f>
        <v/>
      </c>
      <c r="G486" s="7" t="str">
        <f>IF($C486="","",IF('설정'!$B$3=0,"",CHOOSE('설정'!$B$3,SUMIFS('RAW_농산물_7월'!$G:$G,'RAW_농산물_7월'!$D:$D,$C486,'RAW_농산물_7월'!$A:$A,$E486),SUMIFS('RAW_농산물_8월'!$G:$G,'RAW_농산물_8월'!$D:$D,$C486,'RAW_농산물_8월'!$A:$A,$E486),SUMIFS('RAW_농산물_9월'!$G:$G,'RAW_농산물_9월'!$D:$D,$C486,'RAW_농산물_9월'!$A:$A,$E486),SUMIFS('RAW_농산물_10월'!$G:$G,'RAW_농산물_10월'!$D:$D,$C486,'RAW_농산물_10월'!$A:$A,$E486),SUMIFS('RAW_농산물_11-12월'!$G:$G,'RAW_농산물_11-12월'!$D:$D,$C486,'RAW_농산물_11-12월'!$A:$A,$E486))))</f>
        <v/>
      </c>
      <c r="H486" s="14" t="str">
        <f>IF($C486="","",IF('설정'!$B$3=0,"",CHOOSE('설정'!$B$3,SUMIFS('RAW_농산물_7월'!$H:$H,'RAW_농산물_7월'!$D:$D,$C486,'RAW_농산물_7월'!$A:$A,$E486),SUMIFS('RAW_농산물_8월'!$H:$H,'RAW_농산물_8월'!$D:$D,$C486,'RAW_농산물_8월'!$A:$A,$E486),SUMIFS('RAW_농산물_9월'!$H:$H,'RAW_농산물_9월'!$D:$D,$C486,'RAW_농산물_9월'!$A:$A,$E486),SUMIFS('RAW_농산물_10월'!$H:$H,'RAW_농산물_10월'!$D:$D,$C486,'RAW_농산물_10월'!$A:$A,$E486),SUMIFS('RAW_농산물_11-12월'!$H:$H,'RAW_농산물_11-12월'!$D:$D,$C486,'RAW_농산물_11-12월'!$A:$A,$E486))))</f>
        <v/>
      </c>
      <c r="I486" s="17" t="str">
        <f>IF($C486="","",IF(COUNTIFS('RAW_농산물_7월'!$D:$D,$C486,'RAW_농산물_7월'!$A:$A,$E486)&gt;0,"O",""))</f>
        <v/>
      </c>
      <c r="J486" s="17" t="str">
        <f>IF($C486="","",IF(COUNTIFS('RAW_농산물_8월'!$D:$D,$C486,'RAW_농산물_8월'!$A:$A,$E486)&gt;0,"O",""))</f>
        <v/>
      </c>
      <c r="K486" s="17" t="str">
        <f>IF($C486="","",IF(COUNTIFS('RAW_농산물_9월'!$D:$D,$C486,'RAW_농산물_9월'!$A:$A,$E486)&gt;0,"O",""))</f>
        <v/>
      </c>
      <c r="L486" s="17" t="str">
        <f>IF($C486="","",IF(COUNTIFS('RAW_농산물_10월'!$D:$D,$C486,'RAW_농산물_10월'!$A:$A,$E486)&gt;0,"O",""))</f>
        <v/>
      </c>
      <c r="M486" s="17" t="str">
        <f>IF($C486="","",IF(COUNTIFS('RAW_농산물_11-12월'!$D:$D,$C486,'RAW_농산물_11-12월'!$A:$A,$E486)&gt;0,"O",""))</f>
        <v/>
      </c>
      <c r="N486" s="7" t="str">
        <f>IF($C486="","",IF(COUNTA('RAW_농산물_7월'!$A:$A)&lt;=1,"",SUMIFS('RAW_농산물_7월'!$H:$H,'RAW_농산물_7월'!$D:$D,$C486,'RAW_농산물_7월'!$A:$A,$E486)))</f>
        <v/>
      </c>
      <c r="O486" s="7" t="str">
        <f>IF($C486="","",IF(COUNTA('RAW_농산물_8월'!$A:$A)&lt;=1,"",SUMIFS('RAW_농산물_8월'!$H:$H,'RAW_농산물_8월'!$D:$D,$C486,'RAW_농산물_8월'!$A:$A,$E486)-SUMIFS('RAW_농산물_7월'!$H:$H,'RAW_농산물_7월'!$D:$D,$C486,'RAW_농산물_7월'!$A:$A,$E486)))</f>
        <v/>
      </c>
      <c r="P486" s="7" t="str">
        <f>IF($C486="","",IF(COUNTA('RAW_농산물_9월'!$A:$A)&lt;=1,"",SUMIFS('RAW_농산물_9월'!$H:$H,'RAW_농산물_9월'!$D:$D,$C486,'RAW_농산물_9월'!$A:$A,$E486)-SUMIFS('RAW_농산물_8월'!$H:$H,'RAW_농산물_8월'!$D:$D,$C486,'RAW_농산물_8월'!$A:$A,$E486)))</f>
        <v/>
      </c>
      <c r="Q486" s="7" t="str">
        <f>IF($C486="","",IF(COUNTA('RAW_농산물_10월'!$A:$A)&lt;=1,"",SUMIFS('RAW_농산물_10월'!$H:$H,'RAW_농산물_10월'!$D:$D,$C486,'RAW_농산물_10월'!$A:$A,$E486)-SUMIFS('RAW_농산물_9월'!$H:$H,'RAW_농산물_9월'!$D:$D,$C486,'RAW_농산물_9월'!$A:$A,$E486)))</f>
        <v/>
      </c>
      <c r="R486" s="7" t="str">
        <f>IF($C486="","",IF(COUNTA('RAW_농산물_11-12월'!$A:$A)&lt;=1,"",SUMIFS('RAW_농산물_11-12월'!$H:$H,'RAW_농산물_11-12월'!$D:$D,$C486,'RAW_농산물_11-12월'!$A:$A,$E486)-SUMIFS('RAW_농산물_10월'!$H:$H,'RAW_농산물_10월'!$D:$D,$C486,'RAW_농산물_10월'!$A:$A,$E486)))</f>
        <v/>
      </c>
      <c r="S486" s="17" t="str">
        <f t="shared" si="4"/>
        <v/>
      </c>
      <c r="T486" s="17" t="str">
        <f t="shared" si="5"/>
        <v/>
      </c>
      <c r="U486" s="7">
        <f>IF($C486="",0,IF('설정'!$B$3=0,0,CHOOSE('설정'!$B$3,COUNTIFS('RAW_농산물_7월'!$D:$D,$C486,'RAW_농산물_7월'!$A:$A,$E486),COUNTIFS('RAW_농산물_8월'!$D:$D,$C486,'RAW_농산물_8월'!$A:$A,$E486),COUNTIFS('RAW_농산물_9월'!$D:$D,$C486,'RAW_농산물_9월'!$A:$A,$E486),COUNTIFS('RAW_농산물_10월'!$D:$D,$C486,'RAW_농산물_10월'!$A:$A,$E486),COUNTIFS('RAW_농산물_11-12월'!$D:$D,$C486,'RAW_농산물_11-12월'!$A:$A,$E486))))</f>
        <v>0</v>
      </c>
    </row>
    <row r="487" ht="15.75" customHeight="1">
      <c r="A487" s="5"/>
      <c r="B487" s="5"/>
      <c r="C487" s="5"/>
      <c r="D487" s="6"/>
      <c r="E487" s="5"/>
      <c r="F487" s="7" t="str">
        <f>IF($C487="","",IF('설정'!$B$3=0,"",CHOOSE('설정'!$B$3,SUMIFS('RAW_농산물_7월'!$F:$F,'RAW_농산물_7월'!$D:$D,$C487,'RAW_농산물_7월'!$A:$A,$E487),SUMIFS('RAW_농산물_8월'!$F:$F,'RAW_농산물_8월'!$D:$D,$C487,'RAW_농산물_8월'!$A:$A,$E487),SUMIFS('RAW_농산물_9월'!$F:$F,'RAW_농산물_9월'!$D:$D,$C487,'RAW_농산물_9월'!$A:$A,$E487),SUMIFS('RAW_농산물_10월'!$F:$F,'RAW_농산물_10월'!$D:$D,$C487,'RAW_농산물_10월'!$A:$A,$E487),SUMIFS('RAW_농산물_11-12월'!$F:$F,'RAW_농산물_11-12월'!$D:$D,$C487,'RAW_농산물_11-12월'!$A:$A,$E487))))</f>
        <v/>
      </c>
      <c r="G487" s="7" t="str">
        <f>IF($C487="","",IF('설정'!$B$3=0,"",CHOOSE('설정'!$B$3,SUMIFS('RAW_농산물_7월'!$G:$G,'RAW_농산물_7월'!$D:$D,$C487,'RAW_농산물_7월'!$A:$A,$E487),SUMIFS('RAW_농산물_8월'!$G:$G,'RAW_농산물_8월'!$D:$D,$C487,'RAW_농산물_8월'!$A:$A,$E487),SUMIFS('RAW_농산물_9월'!$G:$G,'RAW_농산물_9월'!$D:$D,$C487,'RAW_농산물_9월'!$A:$A,$E487),SUMIFS('RAW_농산물_10월'!$G:$G,'RAW_농산물_10월'!$D:$D,$C487,'RAW_농산물_10월'!$A:$A,$E487),SUMIFS('RAW_농산물_11-12월'!$G:$G,'RAW_농산물_11-12월'!$D:$D,$C487,'RAW_농산물_11-12월'!$A:$A,$E487))))</f>
        <v/>
      </c>
      <c r="H487" s="14" t="str">
        <f>IF($C487="","",IF('설정'!$B$3=0,"",CHOOSE('설정'!$B$3,SUMIFS('RAW_농산물_7월'!$H:$H,'RAW_농산물_7월'!$D:$D,$C487,'RAW_농산물_7월'!$A:$A,$E487),SUMIFS('RAW_농산물_8월'!$H:$H,'RAW_농산물_8월'!$D:$D,$C487,'RAW_농산물_8월'!$A:$A,$E487),SUMIFS('RAW_농산물_9월'!$H:$H,'RAW_농산물_9월'!$D:$D,$C487,'RAW_농산물_9월'!$A:$A,$E487),SUMIFS('RAW_농산물_10월'!$H:$H,'RAW_농산물_10월'!$D:$D,$C487,'RAW_농산물_10월'!$A:$A,$E487),SUMIFS('RAW_농산물_11-12월'!$H:$H,'RAW_농산물_11-12월'!$D:$D,$C487,'RAW_농산물_11-12월'!$A:$A,$E487))))</f>
        <v/>
      </c>
      <c r="I487" s="17" t="str">
        <f>IF($C487="","",IF(COUNTIFS('RAW_농산물_7월'!$D:$D,$C487,'RAW_농산물_7월'!$A:$A,$E487)&gt;0,"O",""))</f>
        <v/>
      </c>
      <c r="J487" s="17" t="str">
        <f>IF($C487="","",IF(COUNTIFS('RAW_농산물_8월'!$D:$D,$C487,'RAW_농산물_8월'!$A:$A,$E487)&gt;0,"O",""))</f>
        <v/>
      </c>
      <c r="K487" s="17" t="str">
        <f>IF($C487="","",IF(COUNTIFS('RAW_농산물_9월'!$D:$D,$C487,'RAW_농산물_9월'!$A:$A,$E487)&gt;0,"O",""))</f>
        <v/>
      </c>
      <c r="L487" s="17" t="str">
        <f>IF($C487="","",IF(COUNTIFS('RAW_농산물_10월'!$D:$D,$C487,'RAW_농산물_10월'!$A:$A,$E487)&gt;0,"O",""))</f>
        <v/>
      </c>
      <c r="M487" s="17" t="str">
        <f>IF($C487="","",IF(COUNTIFS('RAW_농산물_11-12월'!$D:$D,$C487,'RAW_농산물_11-12월'!$A:$A,$E487)&gt;0,"O",""))</f>
        <v/>
      </c>
      <c r="N487" s="7" t="str">
        <f>IF($C487="","",IF(COUNTA('RAW_농산물_7월'!$A:$A)&lt;=1,"",SUMIFS('RAW_농산물_7월'!$H:$H,'RAW_농산물_7월'!$D:$D,$C487,'RAW_농산물_7월'!$A:$A,$E487)))</f>
        <v/>
      </c>
      <c r="O487" s="7" t="str">
        <f>IF($C487="","",IF(COUNTA('RAW_농산물_8월'!$A:$A)&lt;=1,"",SUMIFS('RAW_농산물_8월'!$H:$H,'RAW_농산물_8월'!$D:$D,$C487,'RAW_농산물_8월'!$A:$A,$E487)-SUMIFS('RAW_농산물_7월'!$H:$H,'RAW_농산물_7월'!$D:$D,$C487,'RAW_농산물_7월'!$A:$A,$E487)))</f>
        <v/>
      </c>
      <c r="P487" s="7" t="str">
        <f>IF($C487="","",IF(COUNTA('RAW_농산물_9월'!$A:$A)&lt;=1,"",SUMIFS('RAW_농산물_9월'!$H:$H,'RAW_농산물_9월'!$D:$D,$C487,'RAW_농산물_9월'!$A:$A,$E487)-SUMIFS('RAW_농산물_8월'!$H:$H,'RAW_농산물_8월'!$D:$D,$C487,'RAW_농산물_8월'!$A:$A,$E487)))</f>
        <v/>
      </c>
      <c r="Q487" s="7" t="str">
        <f>IF($C487="","",IF(COUNTA('RAW_농산물_10월'!$A:$A)&lt;=1,"",SUMIFS('RAW_농산물_10월'!$H:$H,'RAW_농산물_10월'!$D:$D,$C487,'RAW_농산물_10월'!$A:$A,$E487)-SUMIFS('RAW_농산물_9월'!$H:$H,'RAW_농산물_9월'!$D:$D,$C487,'RAW_농산물_9월'!$A:$A,$E487)))</f>
        <v/>
      </c>
      <c r="R487" s="7" t="str">
        <f>IF($C487="","",IF(COUNTA('RAW_농산물_11-12월'!$A:$A)&lt;=1,"",SUMIFS('RAW_농산물_11-12월'!$H:$H,'RAW_농산물_11-12월'!$D:$D,$C487,'RAW_농산물_11-12월'!$A:$A,$E487)-SUMIFS('RAW_농산물_10월'!$H:$H,'RAW_농산물_10월'!$D:$D,$C487,'RAW_농산물_10월'!$A:$A,$E487)))</f>
        <v/>
      </c>
      <c r="S487" s="17" t="str">
        <f t="shared" si="4"/>
        <v/>
      </c>
      <c r="T487" s="17" t="str">
        <f t="shared" si="5"/>
        <v/>
      </c>
      <c r="U487" s="7">
        <f>IF($C487="",0,IF('설정'!$B$3=0,0,CHOOSE('설정'!$B$3,COUNTIFS('RAW_농산물_7월'!$D:$D,$C487,'RAW_농산물_7월'!$A:$A,$E487),COUNTIFS('RAW_농산물_8월'!$D:$D,$C487,'RAW_농산물_8월'!$A:$A,$E487),COUNTIFS('RAW_농산물_9월'!$D:$D,$C487,'RAW_농산물_9월'!$A:$A,$E487),COUNTIFS('RAW_농산물_10월'!$D:$D,$C487,'RAW_농산물_10월'!$A:$A,$E487),COUNTIFS('RAW_농산물_11-12월'!$D:$D,$C487,'RAW_농산물_11-12월'!$A:$A,$E487))))</f>
        <v>0</v>
      </c>
    </row>
    <row r="488" ht="15.75" customHeight="1">
      <c r="A488" s="5"/>
      <c r="B488" s="5"/>
      <c r="C488" s="5"/>
      <c r="D488" s="6"/>
      <c r="E488" s="5"/>
      <c r="F488" s="7" t="str">
        <f>IF($C488="","",IF('설정'!$B$3=0,"",CHOOSE('설정'!$B$3,SUMIFS('RAW_농산물_7월'!$F:$F,'RAW_농산물_7월'!$D:$D,$C488,'RAW_농산물_7월'!$A:$A,$E488),SUMIFS('RAW_농산물_8월'!$F:$F,'RAW_농산물_8월'!$D:$D,$C488,'RAW_농산물_8월'!$A:$A,$E488),SUMIFS('RAW_농산물_9월'!$F:$F,'RAW_농산물_9월'!$D:$D,$C488,'RAW_농산물_9월'!$A:$A,$E488),SUMIFS('RAW_농산물_10월'!$F:$F,'RAW_농산물_10월'!$D:$D,$C488,'RAW_농산물_10월'!$A:$A,$E488),SUMIFS('RAW_농산물_11-12월'!$F:$F,'RAW_농산물_11-12월'!$D:$D,$C488,'RAW_농산물_11-12월'!$A:$A,$E488))))</f>
        <v/>
      </c>
      <c r="G488" s="7" t="str">
        <f>IF($C488="","",IF('설정'!$B$3=0,"",CHOOSE('설정'!$B$3,SUMIFS('RAW_농산물_7월'!$G:$G,'RAW_농산물_7월'!$D:$D,$C488,'RAW_농산물_7월'!$A:$A,$E488),SUMIFS('RAW_농산물_8월'!$G:$G,'RAW_농산물_8월'!$D:$D,$C488,'RAW_농산물_8월'!$A:$A,$E488),SUMIFS('RAW_농산물_9월'!$G:$G,'RAW_농산물_9월'!$D:$D,$C488,'RAW_농산물_9월'!$A:$A,$E488),SUMIFS('RAW_농산물_10월'!$G:$G,'RAW_농산물_10월'!$D:$D,$C488,'RAW_농산물_10월'!$A:$A,$E488),SUMIFS('RAW_농산물_11-12월'!$G:$G,'RAW_농산물_11-12월'!$D:$D,$C488,'RAW_농산물_11-12월'!$A:$A,$E488))))</f>
        <v/>
      </c>
      <c r="H488" s="14" t="str">
        <f>IF($C488="","",IF('설정'!$B$3=0,"",CHOOSE('설정'!$B$3,SUMIFS('RAW_농산물_7월'!$H:$H,'RAW_농산물_7월'!$D:$D,$C488,'RAW_농산물_7월'!$A:$A,$E488),SUMIFS('RAW_농산물_8월'!$H:$H,'RAW_농산물_8월'!$D:$D,$C488,'RAW_농산물_8월'!$A:$A,$E488),SUMIFS('RAW_농산물_9월'!$H:$H,'RAW_농산물_9월'!$D:$D,$C488,'RAW_농산물_9월'!$A:$A,$E488),SUMIFS('RAW_농산물_10월'!$H:$H,'RAW_농산물_10월'!$D:$D,$C488,'RAW_농산물_10월'!$A:$A,$E488),SUMIFS('RAW_농산물_11-12월'!$H:$H,'RAW_농산물_11-12월'!$D:$D,$C488,'RAW_농산물_11-12월'!$A:$A,$E488))))</f>
        <v/>
      </c>
      <c r="I488" s="17" t="str">
        <f>IF($C488="","",IF(COUNTIFS('RAW_농산물_7월'!$D:$D,$C488,'RAW_농산물_7월'!$A:$A,$E488)&gt;0,"O",""))</f>
        <v/>
      </c>
      <c r="J488" s="17" t="str">
        <f>IF($C488="","",IF(COUNTIFS('RAW_농산물_8월'!$D:$D,$C488,'RAW_농산물_8월'!$A:$A,$E488)&gt;0,"O",""))</f>
        <v/>
      </c>
      <c r="K488" s="17" t="str">
        <f>IF($C488="","",IF(COUNTIFS('RAW_농산물_9월'!$D:$D,$C488,'RAW_농산물_9월'!$A:$A,$E488)&gt;0,"O",""))</f>
        <v/>
      </c>
      <c r="L488" s="17" t="str">
        <f>IF($C488="","",IF(COUNTIFS('RAW_농산물_10월'!$D:$D,$C488,'RAW_농산물_10월'!$A:$A,$E488)&gt;0,"O",""))</f>
        <v/>
      </c>
      <c r="M488" s="17" t="str">
        <f>IF($C488="","",IF(COUNTIFS('RAW_농산물_11-12월'!$D:$D,$C488,'RAW_농산물_11-12월'!$A:$A,$E488)&gt;0,"O",""))</f>
        <v/>
      </c>
      <c r="N488" s="7" t="str">
        <f>IF($C488="","",IF(COUNTA('RAW_농산물_7월'!$A:$A)&lt;=1,"",SUMIFS('RAW_농산물_7월'!$H:$H,'RAW_농산물_7월'!$D:$D,$C488,'RAW_농산물_7월'!$A:$A,$E488)))</f>
        <v/>
      </c>
      <c r="O488" s="7" t="str">
        <f>IF($C488="","",IF(COUNTA('RAW_농산물_8월'!$A:$A)&lt;=1,"",SUMIFS('RAW_농산물_8월'!$H:$H,'RAW_농산물_8월'!$D:$D,$C488,'RAW_농산물_8월'!$A:$A,$E488)-SUMIFS('RAW_농산물_7월'!$H:$H,'RAW_농산물_7월'!$D:$D,$C488,'RAW_농산물_7월'!$A:$A,$E488)))</f>
        <v/>
      </c>
      <c r="P488" s="7" t="str">
        <f>IF($C488="","",IF(COUNTA('RAW_농산물_9월'!$A:$A)&lt;=1,"",SUMIFS('RAW_농산물_9월'!$H:$H,'RAW_농산물_9월'!$D:$D,$C488,'RAW_농산물_9월'!$A:$A,$E488)-SUMIFS('RAW_농산물_8월'!$H:$H,'RAW_농산물_8월'!$D:$D,$C488,'RAW_농산물_8월'!$A:$A,$E488)))</f>
        <v/>
      </c>
      <c r="Q488" s="7" t="str">
        <f>IF($C488="","",IF(COUNTA('RAW_농산물_10월'!$A:$A)&lt;=1,"",SUMIFS('RAW_농산물_10월'!$H:$H,'RAW_농산물_10월'!$D:$D,$C488,'RAW_농산물_10월'!$A:$A,$E488)-SUMIFS('RAW_농산물_9월'!$H:$H,'RAW_농산물_9월'!$D:$D,$C488,'RAW_농산물_9월'!$A:$A,$E488)))</f>
        <v/>
      </c>
      <c r="R488" s="7" t="str">
        <f>IF($C488="","",IF(COUNTA('RAW_농산물_11-12월'!$A:$A)&lt;=1,"",SUMIFS('RAW_농산물_11-12월'!$H:$H,'RAW_농산물_11-12월'!$D:$D,$C488,'RAW_농산물_11-12월'!$A:$A,$E488)-SUMIFS('RAW_농산물_10월'!$H:$H,'RAW_농산물_10월'!$D:$D,$C488,'RAW_농산물_10월'!$A:$A,$E488)))</f>
        <v/>
      </c>
      <c r="S488" s="17" t="str">
        <f t="shared" si="4"/>
        <v/>
      </c>
      <c r="T488" s="17" t="str">
        <f t="shared" si="5"/>
        <v/>
      </c>
      <c r="U488" s="7">
        <f>IF($C488="",0,IF('설정'!$B$3=0,0,CHOOSE('설정'!$B$3,COUNTIFS('RAW_농산물_7월'!$D:$D,$C488,'RAW_농산물_7월'!$A:$A,$E488),COUNTIFS('RAW_농산물_8월'!$D:$D,$C488,'RAW_농산물_8월'!$A:$A,$E488),COUNTIFS('RAW_농산물_9월'!$D:$D,$C488,'RAW_농산물_9월'!$A:$A,$E488),COUNTIFS('RAW_농산물_10월'!$D:$D,$C488,'RAW_농산물_10월'!$A:$A,$E488),COUNTIFS('RAW_농산물_11-12월'!$D:$D,$C488,'RAW_농산물_11-12월'!$A:$A,$E488))))</f>
        <v>0</v>
      </c>
    </row>
    <row r="489" ht="15.75" customHeight="1">
      <c r="A489" s="5"/>
      <c r="B489" s="5"/>
      <c r="C489" s="5"/>
      <c r="D489" s="6"/>
      <c r="E489" s="5"/>
      <c r="F489" s="7" t="str">
        <f>IF($C489="","",IF('설정'!$B$3=0,"",CHOOSE('설정'!$B$3,SUMIFS('RAW_농산물_7월'!$F:$F,'RAW_농산물_7월'!$D:$D,$C489,'RAW_농산물_7월'!$A:$A,$E489),SUMIFS('RAW_농산물_8월'!$F:$F,'RAW_농산물_8월'!$D:$D,$C489,'RAW_농산물_8월'!$A:$A,$E489),SUMIFS('RAW_농산물_9월'!$F:$F,'RAW_농산물_9월'!$D:$D,$C489,'RAW_농산물_9월'!$A:$A,$E489),SUMIFS('RAW_농산물_10월'!$F:$F,'RAW_농산물_10월'!$D:$D,$C489,'RAW_농산물_10월'!$A:$A,$E489),SUMIFS('RAW_농산물_11-12월'!$F:$F,'RAW_농산물_11-12월'!$D:$D,$C489,'RAW_농산물_11-12월'!$A:$A,$E489))))</f>
        <v/>
      </c>
      <c r="G489" s="7" t="str">
        <f>IF($C489="","",IF('설정'!$B$3=0,"",CHOOSE('설정'!$B$3,SUMIFS('RAW_농산물_7월'!$G:$G,'RAW_농산물_7월'!$D:$D,$C489,'RAW_농산물_7월'!$A:$A,$E489),SUMIFS('RAW_농산물_8월'!$G:$G,'RAW_농산물_8월'!$D:$D,$C489,'RAW_농산물_8월'!$A:$A,$E489),SUMIFS('RAW_농산물_9월'!$G:$G,'RAW_농산물_9월'!$D:$D,$C489,'RAW_농산물_9월'!$A:$A,$E489),SUMIFS('RAW_농산물_10월'!$G:$G,'RAW_농산물_10월'!$D:$D,$C489,'RAW_농산물_10월'!$A:$A,$E489),SUMIFS('RAW_농산물_11-12월'!$G:$G,'RAW_농산물_11-12월'!$D:$D,$C489,'RAW_농산물_11-12월'!$A:$A,$E489))))</f>
        <v/>
      </c>
      <c r="H489" s="14" t="str">
        <f>IF($C489="","",IF('설정'!$B$3=0,"",CHOOSE('설정'!$B$3,SUMIFS('RAW_농산물_7월'!$H:$H,'RAW_농산물_7월'!$D:$D,$C489,'RAW_농산물_7월'!$A:$A,$E489),SUMIFS('RAW_농산물_8월'!$H:$H,'RAW_농산물_8월'!$D:$D,$C489,'RAW_농산물_8월'!$A:$A,$E489),SUMIFS('RAW_농산물_9월'!$H:$H,'RAW_농산물_9월'!$D:$D,$C489,'RAW_농산물_9월'!$A:$A,$E489),SUMIFS('RAW_농산물_10월'!$H:$H,'RAW_농산물_10월'!$D:$D,$C489,'RAW_농산물_10월'!$A:$A,$E489),SUMIFS('RAW_농산물_11-12월'!$H:$H,'RAW_농산물_11-12월'!$D:$D,$C489,'RAW_농산물_11-12월'!$A:$A,$E489))))</f>
        <v/>
      </c>
      <c r="I489" s="17" t="str">
        <f>IF($C489="","",IF(COUNTIFS('RAW_농산물_7월'!$D:$D,$C489,'RAW_농산물_7월'!$A:$A,$E489)&gt;0,"O",""))</f>
        <v/>
      </c>
      <c r="J489" s="17" t="str">
        <f>IF($C489="","",IF(COUNTIFS('RAW_농산물_8월'!$D:$D,$C489,'RAW_농산물_8월'!$A:$A,$E489)&gt;0,"O",""))</f>
        <v/>
      </c>
      <c r="K489" s="17" t="str">
        <f>IF($C489="","",IF(COUNTIFS('RAW_농산물_9월'!$D:$D,$C489,'RAW_농산물_9월'!$A:$A,$E489)&gt;0,"O",""))</f>
        <v/>
      </c>
      <c r="L489" s="17" t="str">
        <f>IF($C489="","",IF(COUNTIFS('RAW_농산물_10월'!$D:$D,$C489,'RAW_농산물_10월'!$A:$A,$E489)&gt;0,"O",""))</f>
        <v/>
      </c>
      <c r="M489" s="17" t="str">
        <f>IF($C489="","",IF(COUNTIFS('RAW_농산물_11-12월'!$D:$D,$C489,'RAW_농산물_11-12월'!$A:$A,$E489)&gt;0,"O",""))</f>
        <v/>
      </c>
      <c r="N489" s="7" t="str">
        <f>IF($C489="","",IF(COUNTA('RAW_농산물_7월'!$A:$A)&lt;=1,"",SUMIFS('RAW_농산물_7월'!$H:$H,'RAW_농산물_7월'!$D:$D,$C489,'RAW_농산물_7월'!$A:$A,$E489)))</f>
        <v/>
      </c>
      <c r="O489" s="7" t="str">
        <f>IF($C489="","",IF(COUNTA('RAW_농산물_8월'!$A:$A)&lt;=1,"",SUMIFS('RAW_농산물_8월'!$H:$H,'RAW_농산물_8월'!$D:$D,$C489,'RAW_농산물_8월'!$A:$A,$E489)-SUMIFS('RAW_농산물_7월'!$H:$H,'RAW_농산물_7월'!$D:$D,$C489,'RAW_농산물_7월'!$A:$A,$E489)))</f>
        <v/>
      </c>
      <c r="P489" s="7" t="str">
        <f>IF($C489="","",IF(COUNTA('RAW_농산물_9월'!$A:$A)&lt;=1,"",SUMIFS('RAW_농산물_9월'!$H:$H,'RAW_농산물_9월'!$D:$D,$C489,'RAW_농산물_9월'!$A:$A,$E489)-SUMIFS('RAW_농산물_8월'!$H:$H,'RAW_농산물_8월'!$D:$D,$C489,'RAW_농산물_8월'!$A:$A,$E489)))</f>
        <v/>
      </c>
      <c r="Q489" s="7" t="str">
        <f>IF($C489="","",IF(COUNTA('RAW_농산물_10월'!$A:$A)&lt;=1,"",SUMIFS('RAW_농산물_10월'!$H:$H,'RAW_농산물_10월'!$D:$D,$C489,'RAW_농산물_10월'!$A:$A,$E489)-SUMIFS('RAW_농산물_9월'!$H:$H,'RAW_농산물_9월'!$D:$D,$C489,'RAW_농산물_9월'!$A:$A,$E489)))</f>
        <v/>
      </c>
      <c r="R489" s="7" t="str">
        <f>IF($C489="","",IF(COUNTA('RAW_농산물_11-12월'!$A:$A)&lt;=1,"",SUMIFS('RAW_농산물_11-12월'!$H:$H,'RAW_농산물_11-12월'!$D:$D,$C489,'RAW_농산물_11-12월'!$A:$A,$E489)-SUMIFS('RAW_농산물_10월'!$H:$H,'RAW_농산물_10월'!$D:$D,$C489,'RAW_농산물_10월'!$A:$A,$E489)))</f>
        <v/>
      </c>
      <c r="S489" s="17" t="str">
        <f t="shared" si="4"/>
        <v/>
      </c>
      <c r="T489" s="17" t="str">
        <f t="shared" si="5"/>
        <v/>
      </c>
      <c r="U489" s="7">
        <f>IF($C489="",0,IF('설정'!$B$3=0,0,CHOOSE('설정'!$B$3,COUNTIFS('RAW_농산물_7월'!$D:$D,$C489,'RAW_농산물_7월'!$A:$A,$E489),COUNTIFS('RAW_농산물_8월'!$D:$D,$C489,'RAW_농산물_8월'!$A:$A,$E489),COUNTIFS('RAW_농산물_9월'!$D:$D,$C489,'RAW_농산물_9월'!$A:$A,$E489),COUNTIFS('RAW_농산물_10월'!$D:$D,$C489,'RAW_농산물_10월'!$A:$A,$E489),COUNTIFS('RAW_농산물_11-12월'!$D:$D,$C489,'RAW_농산물_11-12월'!$A:$A,$E489))))</f>
        <v>0</v>
      </c>
    </row>
    <row r="490" ht="15.75" customHeight="1">
      <c r="A490" s="5"/>
      <c r="B490" s="5"/>
      <c r="C490" s="5"/>
      <c r="D490" s="6"/>
      <c r="E490" s="5"/>
      <c r="F490" s="7" t="str">
        <f>IF($C490="","",IF('설정'!$B$3=0,"",CHOOSE('설정'!$B$3,SUMIFS('RAW_농산물_7월'!$F:$F,'RAW_농산물_7월'!$D:$D,$C490,'RAW_농산물_7월'!$A:$A,$E490),SUMIFS('RAW_농산물_8월'!$F:$F,'RAW_농산물_8월'!$D:$D,$C490,'RAW_농산물_8월'!$A:$A,$E490),SUMIFS('RAW_농산물_9월'!$F:$F,'RAW_농산물_9월'!$D:$D,$C490,'RAW_농산물_9월'!$A:$A,$E490),SUMIFS('RAW_농산물_10월'!$F:$F,'RAW_농산물_10월'!$D:$D,$C490,'RAW_농산물_10월'!$A:$A,$E490),SUMIFS('RAW_농산물_11-12월'!$F:$F,'RAW_농산물_11-12월'!$D:$D,$C490,'RAW_농산물_11-12월'!$A:$A,$E490))))</f>
        <v/>
      </c>
      <c r="G490" s="7" t="str">
        <f>IF($C490="","",IF('설정'!$B$3=0,"",CHOOSE('설정'!$B$3,SUMIFS('RAW_농산물_7월'!$G:$G,'RAW_농산물_7월'!$D:$D,$C490,'RAW_농산물_7월'!$A:$A,$E490),SUMIFS('RAW_농산물_8월'!$G:$G,'RAW_농산물_8월'!$D:$D,$C490,'RAW_농산물_8월'!$A:$A,$E490),SUMIFS('RAW_농산물_9월'!$G:$G,'RAW_농산물_9월'!$D:$D,$C490,'RAW_농산물_9월'!$A:$A,$E490),SUMIFS('RAW_농산물_10월'!$G:$G,'RAW_농산물_10월'!$D:$D,$C490,'RAW_농산물_10월'!$A:$A,$E490),SUMIFS('RAW_농산물_11-12월'!$G:$G,'RAW_농산물_11-12월'!$D:$D,$C490,'RAW_농산물_11-12월'!$A:$A,$E490))))</f>
        <v/>
      </c>
      <c r="H490" s="14" t="str">
        <f>IF($C490="","",IF('설정'!$B$3=0,"",CHOOSE('설정'!$B$3,SUMIFS('RAW_농산물_7월'!$H:$H,'RAW_농산물_7월'!$D:$D,$C490,'RAW_농산물_7월'!$A:$A,$E490),SUMIFS('RAW_농산물_8월'!$H:$H,'RAW_농산물_8월'!$D:$D,$C490,'RAW_농산물_8월'!$A:$A,$E490),SUMIFS('RAW_농산물_9월'!$H:$H,'RAW_농산물_9월'!$D:$D,$C490,'RAW_농산물_9월'!$A:$A,$E490),SUMIFS('RAW_농산물_10월'!$H:$H,'RAW_농산물_10월'!$D:$D,$C490,'RAW_농산물_10월'!$A:$A,$E490),SUMIFS('RAW_농산물_11-12월'!$H:$H,'RAW_농산물_11-12월'!$D:$D,$C490,'RAW_농산물_11-12월'!$A:$A,$E490))))</f>
        <v/>
      </c>
      <c r="I490" s="17" t="str">
        <f>IF($C490="","",IF(COUNTIFS('RAW_농산물_7월'!$D:$D,$C490,'RAW_농산물_7월'!$A:$A,$E490)&gt;0,"O",""))</f>
        <v/>
      </c>
      <c r="J490" s="17" t="str">
        <f>IF($C490="","",IF(COUNTIFS('RAW_농산물_8월'!$D:$D,$C490,'RAW_농산물_8월'!$A:$A,$E490)&gt;0,"O",""))</f>
        <v/>
      </c>
      <c r="K490" s="17" t="str">
        <f>IF($C490="","",IF(COUNTIFS('RAW_농산물_9월'!$D:$D,$C490,'RAW_농산물_9월'!$A:$A,$E490)&gt;0,"O",""))</f>
        <v/>
      </c>
      <c r="L490" s="17" t="str">
        <f>IF($C490="","",IF(COUNTIFS('RAW_농산물_10월'!$D:$D,$C490,'RAW_농산물_10월'!$A:$A,$E490)&gt;0,"O",""))</f>
        <v/>
      </c>
      <c r="M490" s="17" t="str">
        <f>IF($C490="","",IF(COUNTIFS('RAW_농산물_11-12월'!$D:$D,$C490,'RAW_농산물_11-12월'!$A:$A,$E490)&gt;0,"O",""))</f>
        <v/>
      </c>
      <c r="N490" s="7" t="str">
        <f>IF($C490="","",IF(COUNTA('RAW_농산물_7월'!$A:$A)&lt;=1,"",SUMIFS('RAW_농산물_7월'!$H:$H,'RAW_농산물_7월'!$D:$D,$C490,'RAW_농산물_7월'!$A:$A,$E490)))</f>
        <v/>
      </c>
      <c r="O490" s="7" t="str">
        <f>IF($C490="","",IF(COUNTA('RAW_농산물_8월'!$A:$A)&lt;=1,"",SUMIFS('RAW_농산물_8월'!$H:$H,'RAW_농산물_8월'!$D:$D,$C490,'RAW_농산물_8월'!$A:$A,$E490)-SUMIFS('RAW_농산물_7월'!$H:$H,'RAW_농산물_7월'!$D:$D,$C490,'RAW_농산물_7월'!$A:$A,$E490)))</f>
        <v/>
      </c>
      <c r="P490" s="7" t="str">
        <f>IF($C490="","",IF(COUNTA('RAW_농산물_9월'!$A:$A)&lt;=1,"",SUMIFS('RAW_농산물_9월'!$H:$H,'RAW_농산물_9월'!$D:$D,$C490,'RAW_농산물_9월'!$A:$A,$E490)-SUMIFS('RAW_농산물_8월'!$H:$H,'RAW_농산물_8월'!$D:$D,$C490,'RAW_농산물_8월'!$A:$A,$E490)))</f>
        <v/>
      </c>
      <c r="Q490" s="7" t="str">
        <f>IF($C490="","",IF(COUNTA('RAW_농산물_10월'!$A:$A)&lt;=1,"",SUMIFS('RAW_농산물_10월'!$H:$H,'RAW_농산물_10월'!$D:$D,$C490,'RAW_농산물_10월'!$A:$A,$E490)-SUMIFS('RAW_농산물_9월'!$H:$H,'RAW_농산물_9월'!$D:$D,$C490,'RAW_농산물_9월'!$A:$A,$E490)))</f>
        <v/>
      </c>
      <c r="R490" s="7" t="str">
        <f>IF($C490="","",IF(COUNTA('RAW_농산물_11-12월'!$A:$A)&lt;=1,"",SUMIFS('RAW_농산물_11-12월'!$H:$H,'RAW_농산물_11-12월'!$D:$D,$C490,'RAW_농산물_11-12월'!$A:$A,$E490)-SUMIFS('RAW_농산물_10월'!$H:$H,'RAW_농산물_10월'!$D:$D,$C490,'RAW_농산물_10월'!$A:$A,$E490)))</f>
        <v/>
      </c>
      <c r="S490" s="17" t="str">
        <f t="shared" si="4"/>
        <v/>
      </c>
      <c r="T490" s="17" t="str">
        <f t="shared" si="5"/>
        <v/>
      </c>
      <c r="U490" s="7">
        <f>IF($C490="",0,IF('설정'!$B$3=0,0,CHOOSE('설정'!$B$3,COUNTIFS('RAW_농산물_7월'!$D:$D,$C490,'RAW_농산물_7월'!$A:$A,$E490),COUNTIFS('RAW_농산물_8월'!$D:$D,$C490,'RAW_농산물_8월'!$A:$A,$E490),COUNTIFS('RAW_농산물_9월'!$D:$D,$C490,'RAW_농산물_9월'!$A:$A,$E490),COUNTIFS('RAW_농산물_10월'!$D:$D,$C490,'RAW_농산물_10월'!$A:$A,$E490),COUNTIFS('RAW_농산물_11-12월'!$D:$D,$C490,'RAW_농산물_11-12월'!$A:$A,$E490))))</f>
        <v>0</v>
      </c>
    </row>
    <row r="491" ht="15.75" customHeight="1">
      <c r="A491" s="5"/>
      <c r="B491" s="5"/>
      <c r="C491" s="5"/>
      <c r="D491" s="6"/>
      <c r="E491" s="5"/>
      <c r="F491" s="7" t="str">
        <f>IF($C491="","",IF('설정'!$B$3=0,"",CHOOSE('설정'!$B$3,SUMIFS('RAW_농산물_7월'!$F:$F,'RAW_농산물_7월'!$D:$D,$C491,'RAW_농산물_7월'!$A:$A,$E491),SUMIFS('RAW_농산물_8월'!$F:$F,'RAW_농산물_8월'!$D:$D,$C491,'RAW_농산물_8월'!$A:$A,$E491),SUMIFS('RAW_농산물_9월'!$F:$F,'RAW_농산물_9월'!$D:$D,$C491,'RAW_농산물_9월'!$A:$A,$E491),SUMIFS('RAW_농산물_10월'!$F:$F,'RAW_농산물_10월'!$D:$D,$C491,'RAW_농산물_10월'!$A:$A,$E491),SUMIFS('RAW_농산물_11-12월'!$F:$F,'RAW_농산물_11-12월'!$D:$D,$C491,'RAW_농산물_11-12월'!$A:$A,$E491))))</f>
        <v/>
      </c>
      <c r="G491" s="7" t="str">
        <f>IF($C491="","",IF('설정'!$B$3=0,"",CHOOSE('설정'!$B$3,SUMIFS('RAW_농산물_7월'!$G:$G,'RAW_농산물_7월'!$D:$D,$C491,'RAW_농산물_7월'!$A:$A,$E491),SUMIFS('RAW_농산물_8월'!$G:$G,'RAW_농산물_8월'!$D:$D,$C491,'RAW_농산물_8월'!$A:$A,$E491),SUMIFS('RAW_농산물_9월'!$G:$G,'RAW_농산물_9월'!$D:$D,$C491,'RAW_농산물_9월'!$A:$A,$E491),SUMIFS('RAW_농산물_10월'!$G:$G,'RAW_농산물_10월'!$D:$D,$C491,'RAW_농산물_10월'!$A:$A,$E491),SUMIFS('RAW_농산물_11-12월'!$G:$G,'RAW_농산물_11-12월'!$D:$D,$C491,'RAW_농산물_11-12월'!$A:$A,$E491))))</f>
        <v/>
      </c>
      <c r="H491" s="14" t="str">
        <f>IF($C491="","",IF('설정'!$B$3=0,"",CHOOSE('설정'!$B$3,SUMIFS('RAW_농산물_7월'!$H:$H,'RAW_농산물_7월'!$D:$D,$C491,'RAW_농산물_7월'!$A:$A,$E491),SUMIFS('RAW_농산물_8월'!$H:$H,'RAW_농산물_8월'!$D:$D,$C491,'RAW_농산물_8월'!$A:$A,$E491),SUMIFS('RAW_농산물_9월'!$H:$H,'RAW_농산물_9월'!$D:$D,$C491,'RAW_농산물_9월'!$A:$A,$E491),SUMIFS('RAW_농산물_10월'!$H:$H,'RAW_농산물_10월'!$D:$D,$C491,'RAW_농산물_10월'!$A:$A,$E491),SUMIFS('RAW_농산물_11-12월'!$H:$H,'RAW_농산물_11-12월'!$D:$D,$C491,'RAW_농산물_11-12월'!$A:$A,$E491))))</f>
        <v/>
      </c>
      <c r="I491" s="17" t="str">
        <f>IF($C491="","",IF(COUNTIFS('RAW_농산물_7월'!$D:$D,$C491,'RAW_농산물_7월'!$A:$A,$E491)&gt;0,"O",""))</f>
        <v/>
      </c>
      <c r="J491" s="17" t="str">
        <f>IF($C491="","",IF(COUNTIFS('RAW_농산물_8월'!$D:$D,$C491,'RAW_농산물_8월'!$A:$A,$E491)&gt;0,"O",""))</f>
        <v/>
      </c>
      <c r="K491" s="17" t="str">
        <f>IF($C491="","",IF(COUNTIFS('RAW_농산물_9월'!$D:$D,$C491,'RAW_농산물_9월'!$A:$A,$E491)&gt;0,"O",""))</f>
        <v/>
      </c>
      <c r="L491" s="17" t="str">
        <f>IF($C491="","",IF(COUNTIFS('RAW_농산물_10월'!$D:$D,$C491,'RAW_농산물_10월'!$A:$A,$E491)&gt;0,"O",""))</f>
        <v/>
      </c>
      <c r="M491" s="17" t="str">
        <f>IF($C491="","",IF(COUNTIFS('RAW_농산물_11-12월'!$D:$D,$C491,'RAW_농산물_11-12월'!$A:$A,$E491)&gt;0,"O",""))</f>
        <v/>
      </c>
      <c r="N491" s="7" t="str">
        <f>IF($C491="","",IF(COUNTA('RAW_농산물_7월'!$A:$A)&lt;=1,"",SUMIFS('RAW_농산물_7월'!$H:$H,'RAW_농산물_7월'!$D:$D,$C491,'RAW_농산물_7월'!$A:$A,$E491)))</f>
        <v/>
      </c>
      <c r="O491" s="7" t="str">
        <f>IF($C491="","",IF(COUNTA('RAW_농산물_8월'!$A:$A)&lt;=1,"",SUMIFS('RAW_농산물_8월'!$H:$H,'RAW_농산물_8월'!$D:$D,$C491,'RAW_농산물_8월'!$A:$A,$E491)-SUMIFS('RAW_농산물_7월'!$H:$H,'RAW_농산물_7월'!$D:$D,$C491,'RAW_농산물_7월'!$A:$A,$E491)))</f>
        <v/>
      </c>
      <c r="P491" s="7" t="str">
        <f>IF($C491="","",IF(COUNTA('RAW_농산물_9월'!$A:$A)&lt;=1,"",SUMIFS('RAW_농산물_9월'!$H:$H,'RAW_농산물_9월'!$D:$D,$C491,'RAW_농산물_9월'!$A:$A,$E491)-SUMIFS('RAW_농산물_8월'!$H:$H,'RAW_농산물_8월'!$D:$D,$C491,'RAW_농산물_8월'!$A:$A,$E491)))</f>
        <v/>
      </c>
      <c r="Q491" s="7" t="str">
        <f>IF($C491="","",IF(COUNTA('RAW_농산물_10월'!$A:$A)&lt;=1,"",SUMIFS('RAW_농산물_10월'!$H:$H,'RAW_농산물_10월'!$D:$D,$C491,'RAW_농산물_10월'!$A:$A,$E491)-SUMIFS('RAW_농산물_9월'!$H:$H,'RAW_농산물_9월'!$D:$D,$C491,'RAW_농산물_9월'!$A:$A,$E491)))</f>
        <v/>
      </c>
      <c r="R491" s="7" t="str">
        <f>IF($C491="","",IF(COUNTA('RAW_농산물_11-12월'!$A:$A)&lt;=1,"",SUMIFS('RAW_농산물_11-12월'!$H:$H,'RAW_농산물_11-12월'!$D:$D,$C491,'RAW_농산물_11-12월'!$A:$A,$E491)-SUMIFS('RAW_농산물_10월'!$H:$H,'RAW_농산물_10월'!$D:$D,$C491,'RAW_농산물_10월'!$A:$A,$E491)))</f>
        <v/>
      </c>
      <c r="S491" s="17" t="str">
        <f t="shared" si="4"/>
        <v/>
      </c>
      <c r="T491" s="17" t="str">
        <f t="shared" si="5"/>
        <v/>
      </c>
      <c r="U491" s="7">
        <f>IF($C491="",0,IF('설정'!$B$3=0,0,CHOOSE('설정'!$B$3,COUNTIFS('RAW_농산물_7월'!$D:$D,$C491,'RAW_농산물_7월'!$A:$A,$E491),COUNTIFS('RAW_농산물_8월'!$D:$D,$C491,'RAW_농산물_8월'!$A:$A,$E491),COUNTIFS('RAW_농산물_9월'!$D:$D,$C491,'RAW_농산물_9월'!$A:$A,$E491),COUNTIFS('RAW_농산물_10월'!$D:$D,$C491,'RAW_농산물_10월'!$A:$A,$E491),COUNTIFS('RAW_농산물_11-12월'!$D:$D,$C491,'RAW_농산물_11-12월'!$A:$A,$E491))))</f>
        <v>0</v>
      </c>
    </row>
    <row r="492" ht="15.75" customHeight="1">
      <c r="A492" s="5"/>
      <c r="B492" s="5"/>
      <c r="C492" s="5"/>
      <c r="D492" s="6"/>
      <c r="E492" s="5"/>
      <c r="F492" s="7" t="str">
        <f>IF($C492="","",IF('설정'!$B$3=0,"",CHOOSE('설정'!$B$3,SUMIFS('RAW_농산물_7월'!$F:$F,'RAW_농산물_7월'!$D:$D,$C492,'RAW_농산물_7월'!$A:$A,$E492),SUMIFS('RAW_농산물_8월'!$F:$F,'RAW_농산물_8월'!$D:$D,$C492,'RAW_농산물_8월'!$A:$A,$E492),SUMIFS('RAW_농산물_9월'!$F:$F,'RAW_농산물_9월'!$D:$D,$C492,'RAW_농산물_9월'!$A:$A,$E492),SUMIFS('RAW_농산물_10월'!$F:$F,'RAW_농산물_10월'!$D:$D,$C492,'RAW_농산물_10월'!$A:$A,$E492),SUMIFS('RAW_농산물_11-12월'!$F:$F,'RAW_농산물_11-12월'!$D:$D,$C492,'RAW_농산물_11-12월'!$A:$A,$E492))))</f>
        <v/>
      </c>
      <c r="G492" s="7" t="str">
        <f>IF($C492="","",IF('설정'!$B$3=0,"",CHOOSE('설정'!$B$3,SUMIFS('RAW_농산물_7월'!$G:$G,'RAW_농산물_7월'!$D:$D,$C492,'RAW_농산물_7월'!$A:$A,$E492),SUMIFS('RAW_농산물_8월'!$G:$G,'RAW_농산물_8월'!$D:$D,$C492,'RAW_농산물_8월'!$A:$A,$E492),SUMIFS('RAW_농산물_9월'!$G:$G,'RAW_농산물_9월'!$D:$D,$C492,'RAW_농산물_9월'!$A:$A,$E492),SUMIFS('RAW_농산물_10월'!$G:$G,'RAW_농산물_10월'!$D:$D,$C492,'RAW_농산물_10월'!$A:$A,$E492),SUMIFS('RAW_농산물_11-12월'!$G:$G,'RAW_농산물_11-12월'!$D:$D,$C492,'RAW_농산물_11-12월'!$A:$A,$E492))))</f>
        <v/>
      </c>
      <c r="H492" s="14" t="str">
        <f>IF($C492="","",IF('설정'!$B$3=0,"",CHOOSE('설정'!$B$3,SUMIFS('RAW_농산물_7월'!$H:$H,'RAW_농산물_7월'!$D:$D,$C492,'RAW_농산물_7월'!$A:$A,$E492),SUMIFS('RAW_농산물_8월'!$H:$H,'RAW_농산물_8월'!$D:$D,$C492,'RAW_농산물_8월'!$A:$A,$E492),SUMIFS('RAW_농산물_9월'!$H:$H,'RAW_농산물_9월'!$D:$D,$C492,'RAW_농산물_9월'!$A:$A,$E492),SUMIFS('RAW_농산물_10월'!$H:$H,'RAW_농산물_10월'!$D:$D,$C492,'RAW_농산물_10월'!$A:$A,$E492),SUMIFS('RAW_농산물_11-12월'!$H:$H,'RAW_농산물_11-12월'!$D:$D,$C492,'RAW_농산물_11-12월'!$A:$A,$E492))))</f>
        <v/>
      </c>
      <c r="I492" s="17" t="str">
        <f>IF($C492="","",IF(COUNTIFS('RAW_농산물_7월'!$D:$D,$C492,'RAW_농산물_7월'!$A:$A,$E492)&gt;0,"O",""))</f>
        <v/>
      </c>
      <c r="J492" s="17" t="str">
        <f>IF($C492="","",IF(COUNTIFS('RAW_농산물_8월'!$D:$D,$C492,'RAW_농산물_8월'!$A:$A,$E492)&gt;0,"O",""))</f>
        <v/>
      </c>
      <c r="K492" s="17" t="str">
        <f>IF($C492="","",IF(COUNTIFS('RAW_농산물_9월'!$D:$D,$C492,'RAW_농산물_9월'!$A:$A,$E492)&gt;0,"O",""))</f>
        <v/>
      </c>
      <c r="L492" s="17" t="str">
        <f>IF($C492="","",IF(COUNTIFS('RAW_농산물_10월'!$D:$D,$C492,'RAW_농산물_10월'!$A:$A,$E492)&gt;0,"O",""))</f>
        <v/>
      </c>
      <c r="M492" s="17" t="str">
        <f>IF($C492="","",IF(COUNTIFS('RAW_농산물_11-12월'!$D:$D,$C492,'RAW_농산물_11-12월'!$A:$A,$E492)&gt;0,"O",""))</f>
        <v/>
      </c>
      <c r="N492" s="7" t="str">
        <f>IF($C492="","",IF(COUNTA('RAW_농산물_7월'!$A:$A)&lt;=1,"",SUMIFS('RAW_농산물_7월'!$H:$H,'RAW_농산물_7월'!$D:$D,$C492,'RAW_농산물_7월'!$A:$A,$E492)))</f>
        <v/>
      </c>
      <c r="O492" s="7" t="str">
        <f>IF($C492="","",IF(COUNTA('RAW_농산물_8월'!$A:$A)&lt;=1,"",SUMIFS('RAW_농산물_8월'!$H:$H,'RAW_농산물_8월'!$D:$D,$C492,'RAW_농산물_8월'!$A:$A,$E492)-SUMIFS('RAW_농산물_7월'!$H:$H,'RAW_농산물_7월'!$D:$D,$C492,'RAW_농산물_7월'!$A:$A,$E492)))</f>
        <v/>
      </c>
      <c r="P492" s="7" t="str">
        <f>IF($C492="","",IF(COUNTA('RAW_농산물_9월'!$A:$A)&lt;=1,"",SUMIFS('RAW_농산물_9월'!$H:$H,'RAW_농산물_9월'!$D:$D,$C492,'RAW_농산물_9월'!$A:$A,$E492)-SUMIFS('RAW_농산물_8월'!$H:$H,'RAW_농산물_8월'!$D:$D,$C492,'RAW_농산물_8월'!$A:$A,$E492)))</f>
        <v/>
      </c>
      <c r="Q492" s="7" t="str">
        <f>IF($C492="","",IF(COUNTA('RAW_농산물_10월'!$A:$A)&lt;=1,"",SUMIFS('RAW_농산물_10월'!$H:$H,'RAW_농산물_10월'!$D:$D,$C492,'RAW_농산물_10월'!$A:$A,$E492)-SUMIFS('RAW_농산물_9월'!$H:$H,'RAW_농산물_9월'!$D:$D,$C492,'RAW_농산물_9월'!$A:$A,$E492)))</f>
        <v/>
      </c>
      <c r="R492" s="7" t="str">
        <f>IF($C492="","",IF(COUNTA('RAW_농산물_11-12월'!$A:$A)&lt;=1,"",SUMIFS('RAW_농산물_11-12월'!$H:$H,'RAW_농산물_11-12월'!$D:$D,$C492,'RAW_농산물_11-12월'!$A:$A,$E492)-SUMIFS('RAW_농산물_10월'!$H:$H,'RAW_농산물_10월'!$D:$D,$C492,'RAW_농산물_10월'!$A:$A,$E492)))</f>
        <v/>
      </c>
      <c r="S492" s="17" t="str">
        <f t="shared" si="4"/>
        <v/>
      </c>
      <c r="T492" s="17" t="str">
        <f t="shared" si="5"/>
        <v/>
      </c>
      <c r="U492" s="7">
        <f>IF($C492="",0,IF('설정'!$B$3=0,0,CHOOSE('설정'!$B$3,COUNTIFS('RAW_농산물_7월'!$D:$D,$C492,'RAW_농산물_7월'!$A:$A,$E492),COUNTIFS('RAW_농산물_8월'!$D:$D,$C492,'RAW_농산물_8월'!$A:$A,$E492),COUNTIFS('RAW_농산물_9월'!$D:$D,$C492,'RAW_농산물_9월'!$A:$A,$E492),COUNTIFS('RAW_농산물_10월'!$D:$D,$C492,'RAW_농산물_10월'!$A:$A,$E492),COUNTIFS('RAW_농산물_11-12월'!$D:$D,$C492,'RAW_농산물_11-12월'!$A:$A,$E492))))</f>
        <v>0</v>
      </c>
    </row>
    <row r="493" ht="15.75" customHeight="1">
      <c r="A493" s="5"/>
      <c r="B493" s="5"/>
      <c r="C493" s="5"/>
      <c r="D493" s="6"/>
      <c r="E493" s="5"/>
      <c r="F493" s="7" t="str">
        <f>IF($C493="","",IF('설정'!$B$3=0,"",CHOOSE('설정'!$B$3,SUMIFS('RAW_농산물_7월'!$F:$F,'RAW_농산물_7월'!$D:$D,$C493,'RAW_농산물_7월'!$A:$A,$E493),SUMIFS('RAW_농산물_8월'!$F:$F,'RAW_농산물_8월'!$D:$D,$C493,'RAW_농산물_8월'!$A:$A,$E493),SUMIFS('RAW_농산물_9월'!$F:$F,'RAW_농산물_9월'!$D:$D,$C493,'RAW_농산물_9월'!$A:$A,$E493),SUMIFS('RAW_농산물_10월'!$F:$F,'RAW_농산물_10월'!$D:$D,$C493,'RAW_농산물_10월'!$A:$A,$E493),SUMIFS('RAW_농산물_11-12월'!$F:$F,'RAW_농산물_11-12월'!$D:$D,$C493,'RAW_농산물_11-12월'!$A:$A,$E493))))</f>
        <v/>
      </c>
      <c r="G493" s="7" t="str">
        <f>IF($C493="","",IF('설정'!$B$3=0,"",CHOOSE('설정'!$B$3,SUMIFS('RAW_농산물_7월'!$G:$G,'RAW_농산물_7월'!$D:$D,$C493,'RAW_농산물_7월'!$A:$A,$E493),SUMIFS('RAW_농산물_8월'!$G:$G,'RAW_농산물_8월'!$D:$D,$C493,'RAW_농산물_8월'!$A:$A,$E493),SUMIFS('RAW_농산물_9월'!$G:$G,'RAW_농산물_9월'!$D:$D,$C493,'RAW_농산물_9월'!$A:$A,$E493),SUMIFS('RAW_농산물_10월'!$G:$G,'RAW_농산물_10월'!$D:$D,$C493,'RAW_농산물_10월'!$A:$A,$E493),SUMIFS('RAW_농산물_11-12월'!$G:$G,'RAW_농산물_11-12월'!$D:$D,$C493,'RAW_농산물_11-12월'!$A:$A,$E493))))</f>
        <v/>
      </c>
      <c r="H493" s="14" t="str">
        <f>IF($C493="","",IF('설정'!$B$3=0,"",CHOOSE('설정'!$B$3,SUMIFS('RAW_농산물_7월'!$H:$H,'RAW_농산물_7월'!$D:$D,$C493,'RAW_농산물_7월'!$A:$A,$E493),SUMIFS('RAW_농산물_8월'!$H:$H,'RAW_농산물_8월'!$D:$D,$C493,'RAW_농산물_8월'!$A:$A,$E493),SUMIFS('RAW_농산물_9월'!$H:$H,'RAW_농산물_9월'!$D:$D,$C493,'RAW_농산물_9월'!$A:$A,$E493),SUMIFS('RAW_농산물_10월'!$H:$H,'RAW_농산물_10월'!$D:$D,$C493,'RAW_농산물_10월'!$A:$A,$E493),SUMIFS('RAW_농산물_11-12월'!$H:$H,'RAW_농산물_11-12월'!$D:$D,$C493,'RAW_농산물_11-12월'!$A:$A,$E493))))</f>
        <v/>
      </c>
      <c r="I493" s="17" t="str">
        <f>IF($C493="","",IF(COUNTIFS('RAW_농산물_7월'!$D:$D,$C493,'RAW_농산물_7월'!$A:$A,$E493)&gt;0,"O",""))</f>
        <v/>
      </c>
      <c r="J493" s="17" t="str">
        <f>IF($C493="","",IF(COUNTIFS('RAW_농산물_8월'!$D:$D,$C493,'RAW_농산물_8월'!$A:$A,$E493)&gt;0,"O",""))</f>
        <v/>
      </c>
      <c r="K493" s="17" t="str">
        <f>IF($C493="","",IF(COUNTIFS('RAW_농산물_9월'!$D:$D,$C493,'RAW_농산물_9월'!$A:$A,$E493)&gt;0,"O",""))</f>
        <v/>
      </c>
      <c r="L493" s="17" t="str">
        <f>IF($C493="","",IF(COUNTIFS('RAW_농산물_10월'!$D:$D,$C493,'RAW_농산물_10월'!$A:$A,$E493)&gt;0,"O",""))</f>
        <v/>
      </c>
      <c r="M493" s="17" t="str">
        <f>IF($C493="","",IF(COUNTIFS('RAW_농산물_11-12월'!$D:$D,$C493,'RAW_농산물_11-12월'!$A:$A,$E493)&gt;0,"O",""))</f>
        <v/>
      </c>
      <c r="N493" s="7" t="str">
        <f>IF($C493="","",IF(COUNTA('RAW_농산물_7월'!$A:$A)&lt;=1,"",SUMIFS('RAW_농산물_7월'!$H:$H,'RAW_농산물_7월'!$D:$D,$C493,'RAW_농산물_7월'!$A:$A,$E493)))</f>
        <v/>
      </c>
      <c r="O493" s="7" t="str">
        <f>IF($C493="","",IF(COUNTA('RAW_농산물_8월'!$A:$A)&lt;=1,"",SUMIFS('RAW_농산물_8월'!$H:$H,'RAW_농산물_8월'!$D:$D,$C493,'RAW_농산물_8월'!$A:$A,$E493)-SUMIFS('RAW_농산물_7월'!$H:$H,'RAW_농산물_7월'!$D:$D,$C493,'RAW_농산물_7월'!$A:$A,$E493)))</f>
        <v/>
      </c>
      <c r="P493" s="7" t="str">
        <f>IF($C493="","",IF(COUNTA('RAW_농산물_9월'!$A:$A)&lt;=1,"",SUMIFS('RAW_농산물_9월'!$H:$H,'RAW_농산물_9월'!$D:$D,$C493,'RAW_농산물_9월'!$A:$A,$E493)-SUMIFS('RAW_농산물_8월'!$H:$H,'RAW_농산물_8월'!$D:$D,$C493,'RAW_농산물_8월'!$A:$A,$E493)))</f>
        <v/>
      </c>
      <c r="Q493" s="7" t="str">
        <f>IF($C493="","",IF(COUNTA('RAW_농산물_10월'!$A:$A)&lt;=1,"",SUMIFS('RAW_농산물_10월'!$H:$H,'RAW_농산물_10월'!$D:$D,$C493,'RAW_농산물_10월'!$A:$A,$E493)-SUMIFS('RAW_농산물_9월'!$H:$H,'RAW_농산물_9월'!$D:$D,$C493,'RAW_농산물_9월'!$A:$A,$E493)))</f>
        <v/>
      </c>
      <c r="R493" s="7" t="str">
        <f>IF($C493="","",IF(COUNTA('RAW_농산물_11-12월'!$A:$A)&lt;=1,"",SUMIFS('RAW_농산물_11-12월'!$H:$H,'RAW_농산물_11-12월'!$D:$D,$C493,'RAW_농산물_11-12월'!$A:$A,$E493)-SUMIFS('RAW_농산물_10월'!$H:$H,'RAW_농산물_10월'!$D:$D,$C493,'RAW_농산물_10월'!$A:$A,$E493)))</f>
        <v/>
      </c>
      <c r="S493" s="17" t="str">
        <f t="shared" si="4"/>
        <v/>
      </c>
      <c r="T493" s="17" t="str">
        <f t="shared" si="5"/>
        <v/>
      </c>
      <c r="U493" s="7">
        <f>IF($C493="",0,IF('설정'!$B$3=0,0,CHOOSE('설정'!$B$3,COUNTIFS('RAW_농산물_7월'!$D:$D,$C493,'RAW_농산물_7월'!$A:$A,$E493),COUNTIFS('RAW_농산물_8월'!$D:$D,$C493,'RAW_농산물_8월'!$A:$A,$E493),COUNTIFS('RAW_농산물_9월'!$D:$D,$C493,'RAW_농산물_9월'!$A:$A,$E493),COUNTIFS('RAW_농산물_10월'!$D:$D,$C493,'RAW_농산물_10월'!$A:$A,$E493),COUNTIFS('RAW_농산물_11-12월'!$D:$D,$C493,'RAW_농산물_11-12월'!$A:$A,$E493))))</f>
        <v>0</v>
      </c>
    </row>
    <row r="494" ht="15.75" customHeight="1">
      <c r="A494" s="5"/>
      <c r="B494" s="5"/>
      <c r="C494" s="5"/>
      <c r="D494" s="6"/>
      <c r="E494" s="5"/>
      <c r="F494" s="7" t="str">
        <f>IF($C494="","",IF('설정'!$B$3=0,"",CHOOSE('설정'!$B$3,SUMIFS('RAW_농산물_7월'!$F:$F,'RAW_농산물_7월'!$D:$D,$C494,'RAW_농산물_7월'!$A:$A,$E494),SUMIFS('RAW_농산물_8월'!$F:$F,'RAW_농산물_8월'!$D:$D,$C494,'RAW_농산물_8월'!$A:$A,$E494),SUMIFS('RAW_농산물_9월'!$F:$F,'RAW_농산물_9월'!$D:$D,$C494,'RAW_농산물_9월'!$A:$A,$E494),SUMIFS('RAW_농산물_10월'!$F:$F,'RAW_농산물_10월'!$D:$D,$C494,'RAW_농산물_10월'!$A:$A,$E494),SUMIFS('RAW_농산물_11-12월'!$F:$F,'RAW_농산물_11-12월'!$D:$D,$C494,'RAW_농산물_11-12월'!$A:$A,$E494))))</f>
        <v/>
      </c>
      <c r="G494" s="7" t="str">
        <f>IF($C494="","",IF('설정'!$B$3=0,"",CHOOSE('설정'!$B$3,SUMIFS('RAW_농산물_7월'!$G:$G,'RAW_농산물_7월'!$D:$D,$C494,'RAW_농산물_7월'!$A:$A,$E494),SUMIFS('RAW_농산물_8월'!$G:$G,'RAW_농산물_8월'!$D:$D,$C494,'RAW_농산물_8월'!$A:$A,$E494),SUMIFS('RAW_농산물_9월'!$G:$G,'RAW_농산물_9월'!$D:$D,$C494,'RAW_농산물_9월'!$A:$A,$E494),SUMIFS('RAW_농산물_10월'!$G:$G,'RAW_농산물_10월'!$D:$D,$C494,'RAW_농산물_10월'!$A:$A,$E494),SUMIFS('RAW_농산물_11-12월'!$G:$G,'RAW_농산물_11-12월'!$D:$D,$C494,'RAW_농산물_11-12월'!$A:$A,$E494))))</f>
        <v/>
      </c>
      <c r="H494" s="14" t="str">
        <f>IF($C494="","",IF('설정'!$B$3=0,"",CHOOSE('설정'!$B$3,SUMIFS('RAW_농산물_7월'!$H:$H,'RAW_농산물_7월'!$D:$D,$C494,'RAW_농산물_7월'!$A:$A,$E494),SUMIFS('RAW_농산물_8월'!$H:$H,'RAW_농산물_8월'!$D:$D,$C494,'RAW_농산물_8월'!$A:$A,$E494),SUMIFS('RAW_농산물_9월'!$H:$H,'RAW_농산물_9월'!$D:$D,$C494,'RAW_농산물_9월'!$A:$A,$E494),SUMIFS('RAW_농산물_10월'!$H:$H,'RAW_농산물_10월'!$D:$D,$C494,'RAW_농산물_10월'!$A:$A,$E494),SUMIFS('RAW_농산물_11-12월'!$H:$H,'RAW_농산물_11-12월'!$D:$D,$C494,'RAW_농산물_11-12월'!$A:$A,$E494))))</f>
        <v/>
      </c>
      <c r="I494" s="17" t="str">
        <f>IF($C494="","",IF(COUNTIFS('RAW_농산물_7월'!$D:$D,$C494,'RAW_농산물_7월'!$A:$A,$E494)&gt;0,"O",""))</f>
        <v/>
      </c>
      <c r="J494" s="17" t="str">
        <f>IF($C494="","",IF(COUNTIFS('RAW_농산물_8월'!$D:$D,$C494,'RAW_농산물_8월'!$A:$A,$E494)&gt;0,"O",""))</f>
        <v/>
      </c>
      <c r="K494" s="17" t="str">
        <f>IF($C494="","",IF(COUNTIFS('RAW_농산물_9월'!$D:$D,$C494,'RAW_농산물_9월'!$A:$A,$E494)&gt;0,"O",""))</f>
        <v/>
      </c>
      <c r="L494" s="17" t="str">
        <f>IF($C494="","",IF(COUNTIFS('RAW_농산물_10월'!$D:$D,$C494,'RAW_농산물_10월'!$A:$A,$E494)&gt;0,"O",""))</f>
        <v/>
      </c>
      <c r="M494" s="17" t="str">
        <f>IF($C494="","",IF(COUNTIFS('RAW_농산물_11-12월'!$D:$D,$C494,'RAW_농산물_11-12월'!$A:$A,$E494)&gt;0,"O",""))</f>
        <v/>
      </c>
      <c r="N494" s="7" t="str">
        <f>IF($C494="","",IF(COUNTA('RAW_농산물_7월'!$A:$A)&lt;=1,"",SUMIFS('RAW_농산물_7월'!$H:$H,'RAW_농산물_7월'!$D:$D,$C494,'RAW_농산물_7월'!$A:$A,$E494)))</f>
        <v/>
      </c>
      <c r="O494" s="7" t="str">
        <f>IF($C494="","",IF(COUNTA('RAW_농산물_8월'!$A:$A)&lt;=1,"",SUMIFS('RAW_농산물_8월'!$H:$H,'RAW_농산물_8월'!$D:$D,$C494,'RAW_농산물_8월'!$A:$A,$E494)-SUMIFS('RAW_농산물_7월'!$H:$H,'RAW_농산물_7월'!$D:$D,$C494,'RAW_농산물_7월'!$A:$A,$E494)))</f>
        <v/>
      </c>
      <c r="P494" s="7" t="str">
        <f>IF($C494="","",IF(COUNTA('RAW_농산물_9월'!$A:$A)&lt;=1,"",SUMIFS('RAW_농산물_9월'!$H:$H,'RAW_농산물_9월'!$D:$D,$C494,'RAW_농산물_9월'!$A:$A,$E494)-SUMIFS('RAW_농산물_8월'!$H:$H,'RAW_농산물_8월'!$D:$D,$C494,'RAW_농산물_8월'!$A:$A,$E494)))</f>
        <v/>
      </c>
      <c r="Q494" s="7" t="str">
        <f>IF($C494="","",IF(COUNTA('RAW_농산물_10월'!$A:$A)&lt;=1,"",SUMIFS('RAW_농산물_10월'!$H:$H,'RAW_농산물_10월'!$D:$D,$C494,'RAW_농산물_10월'!$A:$A,$E494)-SUMIFS('RAW_농산물_9월'!$H:$H,'RAW_농산물_9월'!$D:$D,$C494,'RAW_농산물_9월'!$A:$A,$E494)))</f>
        <v/>
      </c>
      <c r="R494" s="7" t="str">
        <f>IF($C494="","",IF(COUNTA('RAW_농산물_11-12월'!$A:$A)&lt;=1,"",SUMIFS('RAW_농산물_11-12월'!$H:$H,'RAW_농산물_11-12월'!$D:$D,$C494,'RAW_농산물_11-12월'!$A:$A,$E494)-SUMIFS('RAW_농산물_10월'!$H:$H,'RAW_농산물_10월'!$D:$D,$C494,'RAW_농산물_10월'!$A:$A,$E494)))</f>
        <v/>
      </c>
      <c r="S494" s="17" t="str">
        <f t="shared" si="4"/>
        <v/>
      </c>
      <c r="T494" s="17" t="str">
        <f t="shared" si="5"/>
        <v/>
      </c>
      <c r="U494" s="7">
        <f>IF($C494="",0,IF('설정'!$B$3=0,0,CHOOSE('설정'!$B$3,COUNTIFS('RAW_농산물_7월'!$D:$D,$C494,'RAW_농산물_7월'!$A:$A,$E494),COUNTIFS('RAW_농산물_8월'!$D:$D,$C494,'RAW_농산물_8월'!$A:$A,$E494),COUNTIFS('RAW_농산물_9월'!$D:$D,$C494,'RAW_농산물_9월'!$A:$A,$E494),COUNTIFS('RAW_농산물_10월'!$D:$D,$C494,'RAW_농산물_10월'!$A:$A,$E494),COUNTIFS('RAW_농산물_11-12월'!$D:$D,$C494,'RAW_농산물_11-12월'!$A:$A,$E494))))</f>
        <v>0</v>
      </c>
    </row>
    <row r="495" ht="15.75" customHeight="1">
      <c r="A495" s="5"/>
      <c r="B495" s="5"/>
      <c r="C495" s="5"/>
      <c r="D495" s="6"/>
      <c r="E495" s="5"/>
      <c r="F495" s="7" t="str">
        <f>IF($C495="","",IF('설정'!$B$3=0,"",CHOOSE('설정'!$B$3,SUMIFS('RAW_농산물_7월'!$F:$F,'RAW_농산물_7월'!$D:$D,$C495,'RAW_농산물_7월'!$A:$A,$E495),SUMIFS('RAW_농산물_8월'!$F:$F,'RAW_농산물_8월'!$D:$D,$C495,'RAW_농산물_8월'!$A:$A,$E495),SUMIFS('RAW_농산물_9월'!$F:$F,'RAW_농산물_9월'!$D:$D,$C495,'RAW_농산물_9월'!$A:$A,$E495),SUMIFS('RAW_농산물_10월'!$F:$F,'RAW_농산물_10월'!$D:$D,$C495,'RAW_농산물_10월'!$A:$A,$E495),SUMIFS('RAW_농산물_11-12월'!$F:$F,'RAW_농산물_11-12월'!$D:$D,$C495,'RAW_농산물_11-12월'!$A:$A,$E495))))</f>
        <v/>
      </c>
      <c r="G495" s="7" t="str">
        <f>IF($C495="","",IF('설정'!$B$3=0,"",CHOOSE('설정'!$B$3,SUMIFS('RAW_농산물_7월'!$G:$G,'RAW_농산물_7월'!$D:$D,$C495,'RAW_농산물_7월'!$A:$A,$E495),SUMIFS('RAW_농산물_8월'!$G:$G,'RAW_농산물_8월'!$D:$D,$C495,'RAW_농산물_8월'!$A:$A,$E495),SUMIFS('RAW_농산물_9월'!$G:$G,'RAW_농산물_9월'!$D:$D,$C495,'RAW_농산물_9월'!$A:$A,$E495),SUMIFS('RAW_농산물_10월'!$G:$G,'RAW_농산물_10월'!$D:$D,$C495,'RAW_농산물_10월'!$A:$A,$E495),SUMIFS('RAW_농산물_11-12월'!$G:$G,'RAW_농산물_11-12월'!$D:$D,$C495,'RAW_농산물_11-12월'!$A:$A,$E495))))</f>
        <v/>
      </c>
      <c r="H495" s="14" t="str">
        <f>IF($C495="","",IF('설정'!$B$3=0,"",CHOOSE('설정'!$B$3,SUMIFS('RAW_농산물_7월'!$H:$H,'RAW_농산물_7월'!$D:$D,$C495,'RAW_농산물_7월'!$A:$A,$E495),SUMIFS('RAW_농산물_8월'!$H:$H,'RAW_농산물_8월'!$D:$D,$C495,'RAW_농산물_8월'!$A:$A,$E495),SUMIFS('RAW_농산물_9월'!$H:$H,'RAW_농산물_9월'!$D:$D,$C495,'RAW_농산물_9월'!$A:$A,$E495),SUMIFS('RAW_농산물_10월'!$H:$H,'RAW_농산물_10월'!$D:$D,$C495,'RAW_농산물_10월'!$A:$A,$E495),SUMIFS('RAW_농산물_11-12월'!$H:$H,'RAW_농산물_11-12월'!$D:$D,$C495,'RAW_농산물_11-12월'!$A:$A,$E495))))</f>
        <v/>
      </c>
      <c r="I495" s="17" t="str">
        <f>IF($C495="","",IF(COUNTIFS('RAW_농산물_7월'!$D:$D,$C495,'RAW_농산물_7월'!$A:$A,$E495)&gt;0,"O",""))</f>
        <v/>
      </c>
      <c r="J495" s="17" t="str">
        <f>IF($C495="","",IF(COUNTIFS('RAW_농산물_8월'!$D:$D,$C495,'RAW_농산물_8월'!$A:$A,$E495)&gt;0,"O",""))</f>
        <v/>
      </c>
      <c r="K495" s="17" t="str">
        <f>IF($C495="","",IF(COUNTIFS('RAW_농산물_9월'!$D:$D,$C495,'RAW_농산물_9월'!$A:$A,$E495)&gt;0,"O",""))</f>
        <v/>
      </c>
      <c r="L495" s="17" t="str">
        <f>IF($C495="","",IF(COUNTIFS('RAW_농산물_10월'!$D:$D,$C495,'RAW_농산물_10월'!$A:$A,$E495)&gt;0,"O",""))</f>
        <v/>
      </c>
      <c r="M495" s="17" t="str">
        <f>IF($C495="","",IF(COUNTIFS('RAW_농산물_11-12월'!$D:$D,$C495,'RAW_농산물_11-12월'!$A:$A,$E495)&gt;0,"O",""))</f>
        <v/>
      </c>
      <c r="N495" s="7" t="str">
        <f>IF($C495="","",IF(COUNTA('RAW_농산물_7월'!$A:$A)&lt;=1,"",SUMIFS('RAW_농산물_7월'!$H:$H,'RAW_농산물_7월'!$D:$D,$C495,'RAW_농산물_7월'!$A:$A,$E495)))</f>
        <v/>
      </c>
      <c r="O495" s="7" t="str">
        <f>IF($C495="","",IF(COUNTA('RAW_농산물_8월'!$A:$A)&lt;=1,"",SUMIFS('RAW_농산물_8월'!$H:$H,'RAW_농산물_8월'!$D:$D,$C495,'RAW_농산물_8월'!$A:$A,$E495)-SUMIFS('RAW_농산물_7월'!$H:$H,'RAW_농산물_7월'!$D:$D,$C495,'RAW_농산물_7월'!$A:$A,$E495)))</f>
        <v/>
      </c>
      <c r="P495" s="7" t="str">
        <f>IF($C495="","",IF(COUNTA('RAW_농산물_9월'!$A:$A)&lt;=1,"",SUMIFS('RAW_농산물_9월'!$H:$H,'RAW_농산물_9월'!$D:$D,$C495,'RAW_농산물_9월'!$A:$A,$E495)-SUMIFS('RAW_농산물_8월'!$H:$H,'RAW_농산물_8월'!$D:$D,$C495,'RAW_농산물_8월'!$A:$A,$E495)))</f>
        <v/>
      </c>
      <c r="Q495" s="7" t="str">
        <f>IF($C495="","",IF(COUNTA('RAW_농산물_10월'!$A:$A)&lt;=1,"",SUMIFS('RAW_농산물_10월'!$H:$H,'RAW_농산물_10월'!$D:$D,$C495,'RAW_농산물_10월'!$A:$A,$E495)-SUMIFS('RAW_농산물_9월'!$H:$H,'RAW_농산물_9월'!$D:$D,$C495,'RAW_농산물_9월'!$A:$A,$E495)))</f>
        <v/>
      </c>
      <c r="R495" s="7" t="str">
        <f>IF($C495="","",IF(COUNTA('RAW_농산물_11-12월'!$A:$A)&lt;=1,"",SUMIFS('RAW_농산물_11-12월'!$H:$H,'RAW_농산물_11-12월'!$D:$D,$C495,'RAW_농산물_11-12월'!$A:$A,$E495)-SUMIFS('RAW_농산물_10월'!$H:$H,'RAW_농산물_10월'!$D:$D,$C495,'RAW_농산물_10월'!$A:$A,$E495)))</f>
        <v/>
      </c>
      <c r="S495" s="17" t="str">
        <f t="shared" si="4"/>
        <v/>
      </c>
      <c r="T495" s="17" t="str">
        <f t="shared" si="5"/>
        <v/>
      </c>
      <c r="U495" s="7">
        <f>IF($C495="",0,IF('설정'!$B$3=0,0,CHOOSE('설정'!$B$3,COUNTIFS('RAW_농산물_7월'!$D:$D,$C495,'RAW_농산물_7월'!$A:$A,$E495),COUNTIFS('RAW_농산물_8월'!$D:$D,$C495,'RAW_농산물_8월'!$A:$A,$E495),COUNTIFS('RAW_농산물_9월'!$D:$D,$C495,'RAW_농산물_9월'!$A:$A,$E495),COUNTIFS('RAW_농산물_10월'!$D:$D,$C495,'RAW_농산물_10월'!$A:$A,$E495),COUNTIFS('RAW_농산물_11-12월'!$D:$D,$C495,'RAW_농산물_11-12월'!$A:$A,$E495))))</f>
        <v>0</v>
      </c>
    </row>
    <row r="496" ht="15.75" customHeight="1">
      <c r="A496" s="5"/>
      <c r="B496" s="5"/>
      <c r="C496" s="5"/>
      <c r="D496" s="6"/>
      <c r="E496" s="5"/>
      <c r="F496" s="7" t="str">
        <f>IF($C496="","",IF('설정'!$B$3=0,"",CHOOSE('설정'!$B$3,SUMIFS('RAW_농산물_7월'!$F:$F,'RAW_농산물_7월'!$D:$D,$C496,'RAW_농산물_7월'!$A:$A,$E496),SUMIFS('RAW_농산물_8월'!$F:$F,'RAW_농산물_8월'!$D:$D,$C496,'RAW_농산물_8월'!$A:$A,$E496),SUMIFS('RAW_농산물_9월'!$F:$F,'RAW_농산물_9월'!$D:$D,$C496,'RAW_농산물_9월'!$A:$A,$E496),SUMIFS('RAW_농산물_10월'!$F:$F,'RAW_농산물_10월'!$D:$D,$C496,'RAW_농산물_10월'!$A:$A,$E496),SUMIFS('RAW_농산물_11-12월'!$F:$F,'RAW_농산물_11-12월'!$D:$D,$C496,'RAW_농산물_11-12월'!$A:$A,$E496))))</f>
        <v/>
      </c>
      <c r="G496" s="7" t="str">
        <f>IF($C496="","",IF('설정'!$B$3=0,"",CHOOSE('설정'!$B$3,SUMIFS('RAW_농산물_7월'!$G:$G,'RAW_농산물_7월'!$D:$D,$C496,'RAW_농산물_7월'!$A:$A,$E496),SUMIFS('RAW_농산물_8월'!$G:$G,'RAW_농산물_8월'!$D:$D,$C496,'RAW_농산물_8월'!$A:$A,$E496),SUMIFS('RAW_농산물_9월'!$G:$G,'RAW_농산물_9월'!$D:$D,$C496,'RAW_농산물_9월'!$A:$A,$E496),SUMIFS('RAW_농산물_10월'!$G:$G,'RAW_농산물_10월'!$D:$D,$C496,'RAW_농산물_10월'!$A:$A,$E496),SUMIFS('RAW_농산물_11-12월'!$G:$G,'RAW_농산물_11-12월'!$D:$D,$C496,'RAW_농산물_11-12월'!$A:$A,$E496))))</f>
        <v/>
      </c>
      <c r="H496" s="14" t="str">
        <f>IF($C496="","",IF('설정'!$B$3=0,"",CHOOSE('설정'!$B$3,SUMIFS('RAW_농산물_7월'!$H:$H,'RAW_농산물_7월'!$D:$D,$C496,'RAW_농산물_7월'!$A:$A,$E496),SUMIFS('RAW_농산물_8월'!$H:$H,'RAW_농산물_8월'!$D:$D,$C496,'RAW_농산물_8월'!$A:$A,$E496),SUMIFS('RAW_농산물_9월'!$H:$H,'RAW_농산물_9월'!$D:$D,$C496,'RAW_농산물_9월'!$A:$A,$E496),SUMIFS('RAW_농산물_10월'!$H:$H,'RAW_농산물_10월'!$D:$D,$C496,'RAW_농산물_10월'!$A:$A,$E496),SUMIFS('RAW_농산물_11-12월'!$H:$H,'RAW_농산물_11-12월'!$D:$D,$C496,'RAW_농산물_11-12월'!$A:$A,$E496))))</f>
        <v/>
      </c>
      <c r="I496" s="17" t="str">
        <f>IF($C496="","",IF(COUNTIFS('RAW_농산물_7월'!$D:$D,$C496,'RAW_농산물_7월'!$A:$A,$E496)&gt;0,"O",""))</f>
        <v/>
      </c>
      <c r="J496" s="17" t="str">
        <f>IF($C496="","",IF(COUNTIFS('RAW_농산물_8월'!$D:$D,$C496,'RAW_농산물_8월'!$A:$A,$E496)&gt;0,"O",""))</f>
        <v/>
      </c>
      <c r="K496" s="17" t="str">
        <f>IF($C496="","",IF(COUNTIFS('RAW_농산물_9월'!$D:$D,$C496,'RAW_농산물_9월'!$A:$A,$E496)&gt;0,"O",""))</f>
        <v/>
      </c>
      <c r="L496" s="17" t="str">
        <f>IF($C496="","",IF(COUNTIFS('RAW_농산물_10월'!$D:$D,$C496,'RAW_농산물_10월'!$A:$A,$E496)&gt;0,"O",""))</f>
        <v/>
      </c>
      <c r="M496" s="17" t="str">
        <f>IF($C496="","",IF(COUNTIFS('RAW_농산물_11-12월'!$D:$D,$C496,'RAW_농산물_11-12월'!$A:$A,$E496)&gt;0,"O",""))</f>
        <v/>
      </c>
      <c r="N496" s="7" t="str">
        <f>IF($C496="","",IF(COUNTA('RAW_농산물_7월'!$A:$A)&lt;=1,"",SUMIFS('RAW_농산물_7월'!$H:$H,'RAW_농산물_7월'!$D:$D,$C496,'RAW_농산물_7월'!$A:$A,$E496)))</f>
        <v/>
      </c>
      <c r="O496" s="7" t="str">
        <f>IF($C496="","",IF(COUNTA('RAW_농산물_8월'!$A:$A)&lt;=1,"",SUMIFS('RAW_농산물_8월'!$H:$H,'RAW_농산물_8월'!$D:$D,$C496,'RAW_농산물_8월'!$A:$A,$E496)-SUMIFS('RAW_농산물_7월'!$H:$H,'RAW_농산물_7월'!$D:$D,$C496,'RAW_농산물_7월'!$A:$A,$E496)))</f>
        <v/>
      </c>
      <c r="P496" s="7" t="str">
        <f>IF($C496="","",IF(COUNTA('RAW_농산물_9월'!$A:$A)&lt;=1,"",SUMIFS('RAW_농산물_9월'!$H:$H,'RAW_농산물_9월'!$D:$D,$C496,'RAW_농산물_9월'!$A:$A,$E496)-SUMIFS('RAW_농산물_8월'!$H:$H,'RAW_농산물_8월'!$D:$D,$C496,'RAW_농산물_8월'!$A:$A,$E496)))</f>
        <v/>
      </c>
      <c r="Q496" s="7" t="str">
        <f>IF($C496="","",IF(COUNTA('RAW_농산물_10월'!$A:$A)&lt;=1,"",SUMIFS('RAW_농산물_10월'!$H:$H,'RAW_농산물_10월'!$D:$D,$C496,'RAW_농산물_10월'!$A:$A,$E496)-SUMIFS('RAW_농산물_9월'!$H:$H,'RAW_농산물_9월'!$D:$D,$C496,'RAW_농산물_9월'!$A:$A,$E496)))</f>
        <v/>
      </c>
      <c r="R496" s="7" t="str">
        <f>IF($C496="","",IF(COUNTA('RAW_농산물_11-12월'!$A:$A)&lt;=1,"",SUMIFS('RAW_농산물_11-12월'!$H:$H,'RAW_농산물_11-12월'!$D:$D,$C496,'RAW_농산물_11-12월'!$A:$A,$E496)-SUMIFS('RAW_농산물_10월'!$H:$H,'RAW_농산물_10월'!$D:$D,$C496,'RAW_농산물_10월'!$A:$A,$E496)))</f>
        <v/>
      </c>
      <c r="S496" s="17" t="str">
        <f t="shared" si="4"/>
        <v/>
      </c>
      <c r="T496" s="17" t="str">
        <f t="shared" si="5"/>
        <v/>
      </c>
      <c r="U496" s="7">
        <f>IF($C496="",0,IF('설정'!$B$3=0,0,CHOOSE('설정'!$B$3,COUNTIFS('RAW_농산물_7월'!$D:$D,$C496,'RAW_농산물_7월'!$A:$A,$E496),COUNTIFS('RAW_농산물_8월'!$D:$D,$C496,'RAW_농산물_8월'!$A:$A,$E496),COUNTIFS('RAW_농산물_9월'!$D:$D,$C496,'RAW_농산물_9월'!$A:$A,$E496),COUNTIFS('RAW_농산물_10월'!$D:$D,$C496,'RAW_농산물_10월'!$A:$A,$E496),COUNTIFS('RAW_농산물_11-12월'!$D:$D,$C496,'RAW_농산물_11-12월'!$A:$A,$E496))))</f>
        <v>0</v>
      </c>
    </row>
    <row r="497" ht="15.75" customHeight="1">
      <c r="A497" s="5"/>
      <c r="B497" s="5"/>
      <c r="C497" s="5"/>
      <c r="D497" s="6"/>
      <c r="E497" s="5"/>
      <c r="F497" s="7" t="str">
        <f>IF($C497="","",IF('설정'!$B$3=0,"",CHOOSE('설정'!$B$3,SUMIFS('RAW_농산물_7월'!$F:$F,'RAW_농산물_7월'!$D:$D,$C497,'RAW_농산물_7월'!$A:$A,$E497),SUMIFS('RAW_농산물_8월'!$F:$F,'RAW_농산물_8월'!$D:$D,$C497,'RAW_농산물_8월'!$A:$A,$E497),SUMIFS('RAW_농산물_9월'!$F:$F,'RAW_농산물_9월'!$D:$D,$C497,'RAW_농산물_9월'!$A:$A,$E497),SUMIFS('RAW_농산물_10월'!$F:$F,'RAW_농산물_10월'!$D:$D,$C497,'RAW_농산물_10월'!$A:$A,$E497),SUMIFS('RAW_농산물_11-12월'!$F:$F,'RAW_농산물_11-12월'!$D:$D,$C497,'RAW_농산물_11-12월'!$A:$A,$E497))))</f>
        <v/>
      </c>
      <c r="G497" s="7" t="str">
        <f>IF($C497="","",IF('설정'!$B$3=0,"",CHOOSE('설정'!$B$3,SUMIFS('RAW_농산물_7월'!$G:$G,'RAW_농산물_7월'!$D:$D,$C497,'RAW_농산물_7월'!$A:$A,$E497),SUMIFS('RAW_농산물_8월'!$G:$G,'RAW_농산물_8월'!$D:$D,$C497,'RAW_농산물_8월'!$A:$A,$E497),SUMIFS('RAW_농산물_9월'!$G:$G,'RAW_농산물_9월'!$D:$D,$C497,'RAW_농산물_9월'!$A:$A,$E497),SUMIFS('RAW_농산물_10월'!$G:$G,'RAW_농산물_10월'!$D:$D,$C497,'RAW_농산물_10월'!$A:$A,$E497),SUMIFS('RAW_농산물_11-12월'!$G:$G,'RAW_농산물_11-12월'!$D:$D,$C497,'RAW_농산물_11-12월'!$A:$A,$E497))))</f>
        <v/>
      </c>
      <c r="H497" s="14" t="str">
        <f>IF($C497="","",IF('설정'!$B$3=0,"",CHOOSE('설정'!$B$3,SUMIFS('RAW_농산물_7월'!$H:$H,'RAW_농산물_7월'!$D:$D,$C497,'RAW_농산물_7월'!$A:$A,$E497),SUMIFS('RAW_농산물_8월'!$H:$H,'RAW_농산물_8월'!$D:$D,$C497,'RAW_농산물_8월'!$A:$A,$E497),SUMIFS('RAW_농산물_9월'!$H:$H,'RAW_농산물_9월'!$D:$D,$C497,'RAW_농산물_9월'!$A:$A,$E497),SUMIFS('RAW_농산물_10월'!$H:$H,'RAW_농산물_10월'!$D:$D,$C497,'RAW_농산물_10월'!$A:$A,$E497),SUMIFS('RAW_농산물_11-12월'!$H:$H,'RAW_농산물_11-12월'!$D:$D,$C497,'RAW_농산물_11-12월'!$A:$A,$E497))))</f>
        <v/>
      </c>
      <c r="I497" s="17" t="str">
        <f>IF($C497="","",IF(COUNTIFS('RAW_농산물_7월'!$D:$D,$C497,'RAW_농산물_7월'!$A:$A,$E497)&gt;0,"O",""))</f>
        <v/>
      </c>
      <c r="J497" s="17" t="str">
        <f>IF($C497="","",IF(COUNTIFS('RAW_농산물_8월'!$D:$D,$C497,'RAW_농산물_8월'!$A:$A,$E497)&gt;0,"O",""))</f>
        <v/>
      </c>
      <c r="K497" s="17" t="str">
        <f>IF($C497="","",IF(COUNTIFS('RAW_농산물_9월'!$D:$D,$C497,'RAW_농산물_9월'!$A:$A,$E497)&gt;0,"O",""))</f>
        <v/>
      </c>
      <c r="L497" s="17" t="str">
        <f>IF($C497="","",IF(COUNTIFS('RAW_농산물_10월'!$D:$D,$C497,'RAW_농산물_10월'!$A:$A,$E497)&gt;0,"O",""))</f>
        <v/>
      </c>
      <c r="M497" s="17" t="str">
        <f>IF($C497="","",IF(COUNTIFS('RAW_농산물_11-12월'!$D:$D,$C497,'RAW_농산물_11-12월'!$A:$A,$E497)&gt;0,"O",""))</f>
        <v/>
      </c>
      <c r="N497" s="7" t="str">
        <f>IF($C497="","",IF(COUNTA('RAW_농산물_7월'!$A:$A)&lt;=1,"",SUMIFS('RAW_농산물_7월'!$H:$H,'RAW_농산물_7월'!$D:$D,$C497,'RAW_농산물_7월'!$A:$A,$E497)))</f>
        <v/>
      </c>
      <c r="O497" s="7" t="str">
        <f>IF($C497="","",IF(COUNTA('RAW_농산물_8월'!$A:$A)&lt;=1,"",SUMIFS('RAW_농산물_8월'!$H:$H,'RAW_농산물_8월'!$D:$D,$C497,'RAW_농산물_8월'!$A:$A,$E497)-SUMIFS('RAW_농산물_7월'!$H:$H,'RAW_농산물_7월'!$D:$D,$C497,'RAW_농산물_7월'!$A:$A,$E497)))</f>
        <v/>
      </c>
      <c r="P497" s="7" t="str">
        <f>IF($C497="","",IF(COUNTA('RAW_농산물_9월'!$A:$A)&lt;=1,"",SUMIFS('RAW_농산물_9월'!$H:$H,'RAW_농산물_9월'!$D:$D,$C497,'RAW_농산물_9월'!$A:$A,$E497)-SUMIFS('RAW_농산물_8월'!$H:$H,'RAW_농산물_8월'!$D:$D,$C497,'RAW_농산물_8월'!$A:$A,$E497)))</f>
        <v/>
      </c>
      <c r="Q497" s="7" t="str">
        <f>IF($C497="","",IF(COUNTA('RAW_농산물_10월'!$A:$A)&lt;=1,"",SUMIFS('RAW_농산물_10월'!$H:$H,'RAW_농산물_10월'!$D:$D,$C497,'RAW_농산물_10월'!$A:$A,$E497)-SUMIFS('RAW_농산물_9월'!$H:$H,'RAW_농산물_9월'!$D:$D,$C497,'RAW_농산물_9월'!$A:$A,$E497)))</f>
        <v/>
      </c>
      <c r="R497" s="7" t="str">
        <f>IF($C497="","",IF(COUNTA('RAW_농산물_11-12월'!$A:$A)&lt;=1,"",SUMIFS('RAW_농산물_11-12월'!$H:$H,'RAW_농산물_11-12월'!$D:$D,$C497,'RAW_농산물_11-12월'!$A:$A,$E497)-SUMIFS('RAW_농산물_10월'!$H:$H,'RAW_농산물_10월'!$D:$D,$C497,'RAW_농산물_10월'!$A:$A,$E497)))</f>
        <v/>
      </c>
      <c r="S497" s="17" t="str">
        <f t="shared" si="4"/>
        <v/>
      </c>
      <c r="T497" s="17" t="str">
        <f t="shared" si="5"/>
        <v/>
      </c>
      <c r="U497" s="7">
        <f>IF($C497="",0,IF('설정'!$B$3=0,0,CHOOSE('설정'!$B$3,COUNTIFS('RAW_농산물_7월'!$D:$D,$C497,'RAW_농산물_7월'!$A:$A,$E497),COUNTIFS('RAW_농산물_8월'!$D:$D,$C497,'RAW_농산물_8월'!$A:$A,$E497),COUNTIFS('RAW_농산물_9월'!$D:$D,$C497,'RAW_농산물_9월'!$A:$A,$E497),COUNTIFS('RAW_농산물_10월'!$D:$D,$C497,'RAW_농산물_10월'!$A:$A,$E497),COUNTIFS('RAW_농산물_11-12월'!$D:$D,$C497,'RAW_농산물_11-12월'!$A:$A,$E497))))</f>
        <v>0</v>
      </c>
    </row>
    <row r="498" ht="15.75" customHeight="1">
      <c r="A498" s="5"/>
      <c r="B498" s="5"/>
      <c r="C498" s="5"/>
      <c r="D498" s="6"/>
      <c r="E498" s="5"/>
      <c r="F498" s="7" t="str">
        <f>IF($C498="","",IF('설정'!$B$3=0,"",CHOOSE('설정'!$B$3,SUMIFS('RAW_농산물_7월'!$F:$F,'RAW_농산물_7월'!$D:$D,$C498,'RAW_농산물_7월'!$A:$A,$E498),SUMIFS('RAW_농산물_8월'!$F:$F,'RAW_농산물_8월'!$D:$D,$C498,'RAW_농산물_8월'!$A:$A,$E498),SUMIFS('RAW_농산물_9월'!$F:$F,'RAW_농산물_9월'!$D:$D,$C498,'RAW_농산물_9월'!$A:$A,$E498),SUMIFS('RAW_농산물_10월'!$F:$F,'RAW_농산물_10월'!$D:$D,$C498,'RAW_농산물_10월'!$A:$A,$E498),SUMIFS('RAW_농산물_11-12월'!$F:$F,'RAW_농산물_11-12월'!$D:$D,$C498,'RAW_농산물_11-12월'!$A:$A,$E498))))</f>
        <v/>
      </c>
      <c r="G498" s="7" t="str">
        <f>IF($C498="","",IF('설정'!$B$3=0,"",CHOOSE('설정'!$B$3,SUMIFS('RAW_농산물_7월'!$G:$G,'RAW_농산물_7월'!$D:$D,$C498,'RAW_농산물_7월'!$A:$A,$E498),SUMIFS('RAW_농산물_8월'!$G:$G,'RAW_농산물_8월'!$D:$D,$C498,'RAW_농산물_8월'!$A:$A,$E498),SUMIFS('RAW_농산물_9월'!$G:$G,'RAW_농산물_9월'!$D:$D,$C498,'RAW_농산물_9월'!$A:$A,$E498),SUMIFS('RAW_농산물_10월'!$G:$G,'RAW_농산물_10월'!$D:$D,$C498,'RAW_농산물_10월'!$A:$A,$E498),SUMIFS('RAW_농산물_11-12월'!$G:$G,'RAW_농산물_11-12월'!$D:$D,$C498,'RAW_농산물_11-12월'!$A:$A,$E498))))</f>
        <v/>
      </c>
      <c r="H498" s="14" t="str">
        <f>IF($C498="","",IF('설정'!$B$3=0,"",CHOOSE('설정'!$B$3,SUMIFS('RAW_농산물_7월'!$H:$H,'RAW_농산물_7월'!$D:$D,$C498,'RAW_농산물_7월'!$A:$A,$E498),SUMIFS('RAW_농산물_8월'!$H:$H,'RAW_농산물_8월'!$D:$D,$C498,'RAW_농산물_8월'!$A:$A,$E498),SUMIFS('RAW_농산물_9월'!$H:$H,'RAW_농산물_9월'!$D:$D,$C498,'RAW_농산물_9월'!$A:$A,$E498),SUMIFS('RAW_농산물_10월'!$H:$H,'RAW_농산물_10월'!$D:$D,$C498,'RAW_농산물_10월'!$A:$A,$E498),SUMIFS('RAW_농산물_11-12월'!$H:$H,'RAW_농산물_11-12월'!$D:$D,$C498,'RAW_농산물_11-12월'!$A:$A,$E498))))</f>
        <v/>
      </c>
      <c r="I498" s="17" t="str">
        <f>IF($C498="","",IF(COUNTIFS('RAW_농산물_7월'!$D:$D,$C498,'RAW_농산물_7월'!$A:$A,$E498)&gt;0,"O",""))</f>
        <v/>
      </c>
      <c r="J498" s="17" t="str">
        <f>IF($C498="","",IF(COUNTIFS('RAW_농산물_8월'!$D:$D,$C498,'RAW_농산물_8월'!$A:$A,$E498)&gt;0,"O",""))</f>
        <v/>
      </c>
      <c r="K498" s="17" t="str">
        <f>IF($C498="","",IF(COUNTIFS('RAW_농산물_9월'!$D:$D,$C498,'RAW_농산물_9월'!$A:$A,$E498)&gt;0,"O",""))</f>
        <v/>
      </c>
      <c r="L498" s="17" t="str">
        <f>IF($C498="","",IF(COUNTIFS('RAW_농산물_10월'!$D:$D,$C498,'RAW_농산물_10월'!$A:$A,$E498)&gt;0,"O",""))</f>
        <v/>
      </c>
      <c r="M498" s="17" t="str">
        <f>IF($C498="","",IF(COUNTIFS('RAW_농산물_11-12월'!$D:$D,$C498,'RAW_농산물_11-12월'!$A:$A,$E498)&gt;0,"O",""))</f>
        <v/>
      </c>
      <c r="N498" s="7" t="str">
        <f>IF($C498="","",IF(COUNTA('RAW_농산물_7월'!$A:$A)&lt;=1,"",SUMIFS('RAW_농산물_7월'!$H:$H,'RAW_농산물_7월'!$D:$D,$C498,'RAW_농산물_7월'!$A:$A,$E498)))</f>
        <v/>
      </c>
      <c r="O498" s="7" t="str">
        <f>IF($C498="","",IF(COUNTA('RAW_농산물_8월'!$A:$A)&lt;=1,"",SUMIFS('RAW_농산물_8월'!$H:$H,'RAW_농산물_8월'!$D:$D,$C498,'RAW_농산물_8월'!$A:$A,$E498)-SUMIFS('RAW_농산물_7월'!$H:$H,'RAW_농산물_7월'!$D:$D,$C498,'RAW_농산물_7월'!$A:$A,$E498)))</f>
        <v/>
      </c>
      <c r="P498" s="7" t="str">
        <f>IF($C498="","",IF(COUNTA('RAW_농산물_9월'!$A:$A)&lt;=1,"",SUMIFS('RAW_농산물_9월'!$H:$H,'RAW_농산물_9월'!$D:$D,$C498,'RAW_농산물_9월'!$A:$A,$E498)-SUMIFS('RAW_농산물_8월'!$H:$H,'RAW_농산물_8월'!$D:$D,$C498,'RAW_농산물_8월'!$A:$A,$E498)))</f>
        <v/>
      </c>
      <c r="Q498" s="7" t="str">
        <f>IF($C498="","",IF(COUNTA('RAW_농산물_10월'!$A:$A)&lt;=1,"",SUMIFS('RAW_농산물_10월'!$H:$H,'RAW_농산물_10월'!$D:$D,$C498,'RAW_농산물_10월'!$A:$A,$E498)-SUMIFS('RAW_농산물_9월'!$H:$H,'RAW_농산물_9월'!$D:$D,$C498,'RAW_농산물_9월'!$A:$A,$E498)))</f>
        <v/>
      </c>
      <c r="R498" s="7" t="str">
        <f>IF($C498="","",IF(COUNTA('RAW_농산물_11-12월'!$A:$A)&lt;=1,"",SUMIFS('RAW_농산물_11-12월'!$H:$H,'RAW_농산물_11-12월'!$D:$D,$C498,'RAW_농산물_11-12월'!$A:$A,$E498)-SUMIFS('RAW_농산물_10월'!$H:$H,'RAW_농산물_10월'!$D:$D,$C498,'RAW_농산물_10월'!$A:$A,$E498)))</f>
        <v/>
      </c>
      <c r="S498" s="17" t="str">
        <f t="shared" si="4"/>
        <v/>
      </c>
      <c r="T498" s="17" t="str">
        <f t="shared" si="5"/>
        <v/>
      </c>
      <c r="U498" s="7">
        <f>IF($C498="",0,IF('설정'!$B$3=0,0,CHOOSE('설정'!$B$3,COUNTIFS('RAW_농산물_7월'!$D:$D,$C498,'RAW_농산물_7월'!$A:$A,$E498),COUNTIFS('RAW_농산물_8월'!$D:$D,$C498,'RAW_농산물_8월'!$A:$A,$E498),COUNTIFS('RAW_농산물_9월'!$D:$D,$C498,'RAW_농산물_9월'!$A:$A,$E498),COUNTIFS('RAW_농산물_10월'!$D:$D,$C498,'RAW_농산물_10월'!$A:$A,$E498),COUNTIFS('RAW_농산물_11-12월'!$D:$D,$C498,'RAW_농산물_11-12월'!$A:$A,$E498))))</f>
        <v>0</v>
      </c>
    </row>
    <row r="499" ht="15.75" customHeight="1">
      <c r="A499" s="5"/>
      <c r="B499" s="5"/>
      <c r="C499" s="5"/>
      <c r="D499" s="6"/>
      <c r="E499" s="5"/>
      <c r="F499" s="7" t="str">
        <f>IF($C499="","",IF('설정'!$B$3=0,"",CHOOSE('설정'!$B$3,SUMIFS('RAW_농산물_7월'!$F:$F,'RAW_농산물_7월'!$D:$D,$C499,'RAW_농산물_7월'!$A:$A,$E499),SUMIFS('RAW_농산물_8월'!$F:$F,'RAW_농산물_8월'!$D:$D,$C499,'RAW_농산물_8월'!$A:$A,$E499),SUMIFS('RAW_농산물_9월'!$F:$F,'RAW_농산물_9월'!$D:$D,$C499,'RAW_농산물_9월'!$A:$A,$E499),SUMIFS('RAW_농산물_10월'!$F:$F,'RAW_농산물_10월'!$D:$D,$C499,'RAW_농산물_10월'!$A:$A,$E499),SUMIFS('RAW_농산물_11-12월'!$F:$F,'RAW_농산물_11-12월'!$D:$D,$C499,'RAW_농산물_11-12월'!$A:$A,$E499))))</f>
        <v/>
      </c>
      <c r="G499" s="7" t="str">
        <f>IF($C499="","",IF('설정'!$B$3=0,"",CHOOSE('설정'!$B$3,SUMIFS('RAW_농산물_7월'!$G:$G,'RAW_농산물_7월'!$D:$D,$C499,'RAW_농산물_7월'!$A:$A,$E499),SUMIFS('RAW_농산물_8월'!$G:$G,'RAW_농산물_8월'!$D:$D,$C499,'RAW_농산물_8월'!$A:$A,$E499),SUMIFS('RAW_농산물_9월'!$G:$G,'RAW_농산물_9월'!$D:$D,$C499,'RAW_농산물_9월'!$A:$A,$E499),SUMIFS('RAW_농산물_10월'!$G:$G,'RAW_농산물_10월'!$D:$D,$C499,'RAW_농산물_10월'!$A:$A,$E499),SUMIFS('RAW_농산물_11-12월'!$G:$G,'RAW_농산물_11-12월'!$D:$D,$C499,'RAW_농산물_11-12월'!$A:$A,$E499))))</f>
        <v/>
      </c>
      <c r="H499" s="14" t="str">
        <f>IF($C499="","",IF('설정'!$B$3=0,"",CHOOSE('설정'!$B$3,SUMIFS('RAW_농산물_7월'!$H:$H,'RAW_농산물_7월'!$D:$D,$C499,'RAW_농산물_7월'!$A:$A,$E499),SUMIFS('RAW_농산물_8월'!$H:$H,'RAW_농산물_8월'!$D:$D,$C499,'RAW_농산물_8월'!$A:$A,$E499),SUMIFS('RAW_농산물_9월'!$H:$H,'RAW_농산물_9월'!$D:$D,$C499,'RAW_농산물_9월'!$A:$A,$E499),SUMIFS('RAW_농산물_10월'!$H:$H,'RAW_농산물_10월'!$D:$D,$C499,'RAW_농산물_10월'!$A:$A,$E499),SUMIFS('RAW_농산물_11-12월'!$H:$H,'RAW_농산물_11-12월'!$D:$D,$C499,'RAW_농산물_11-12월'!$A:$A,$E499))))</f>
        <v/>
      </c>
      <c r="I499" s="17" t="str">
        <f>IF($C499="","",IF(COUNTIFS('RAW_농산물_7월'!$D:$D,$C499,'RAW_농산물_7월'!$A:$A,$E499)&gt;0,"O",""))</f>
        <v/>
      </c>
      <c r="J499" s="17" t="str">
        <f>IF($C499="","",IF(COUNTIFS('RAW_농산물_8월'!$D:$D,$C499,'RAW_농산물_8월'!$A:$A,$E499)&gt;0,"O",""))</f>
        <v/>
      </c>
      <c r="K499" s="17" t="str">
        <f>IF($C499="","",IF(COUNTIFS('RAW_농산물_9월'!$D:$D,$C499,'RAW_농산물_9월'!$A:$A,$E499)&gt;0,"O",""))</f>
        <v/>
      </c>
      <c r="L499" s="17" t="str">
        <f>IF($C499="","",IF(COUNTIFS('RAW_농산물_10월'!$D:$D,$C499,'RAW_농산물_10월'!$A:$A,$E499)&gt;0,"O",""))</f>
        <v/>
      </c>
      <c r="M499" s="17" t="str">
        <f>IF($C499="","",IF(COUNTIFS('RAW_농산물_11-12월'!$D:$D,$C499,'RAW_농산물_11-12월'!$A:$A,$E499)&gt;0,"O",""))</f>
        <v/>
      </c>
      <c r="N499" s="7" t="str">
        <f>IF($C499="","",IF(COUNTA('RAW_농산물_7월'!$A:$A)&lt;=1,"",SUMIFS('RAW_농산물_7월'!$H:$H,'RAW_농산물_7월'!$D:$D,$C499,'RAW_농산물_7월'!$A:$A,$E499)))</f>
        <v/>
      </c>
      <c r="O499" s="7" t="str">
        <f>IF($C499="","",IF(COUNTA('RAW_농산물_8월'!$A:$A)&lt;=1,"",SUMIFS('RAW_농산물_8월'!$H:$H,'RAW_농산물_8월'!$D:$D,$C499,'RAW_농산물_8월'!$A:$A,$E499)-SUMIFS('RAW_농산물_7월'!$H:$H,'RAW_농산물_7월'!$D:$D,$C499,'RAW_농산물_7월'!$A:$A,$E499)))</f>
        <v/>
      </c>
      <c r="P499" s="7" t="str">
        <f>IF($C499="","",IF(COUNTA('RAW_농산물_9월'!$A:$A)&lt;=1,"",SUMIFS('RAW_농산물_9월'!$H:$H,'RAW_농산물_9월'!$D:$D,$C499,'RAW_농산물_9월'!$A:$A,$E499)-SUMIFS('RAW_농산물_8월'!$H:$H,'RAW_농산물_8월'!$D:$D,$C499,'RAW_농산물_8월'!$A:$A,$E499)))</f>
        <v/>
      </c>
      <c r="Q499" s="7" t="str">
        <f>IF($C499="","",IF(COUNTA('RAW_농산물_10월'!$A:$A)&lt;=1,"",SUMIFS('RAW_농산물_10월'!$H:$H,'RAW_농산물_10월'!$D:$D,$C499,'RAW_농산물_10월'!$A:$A,$E499)-SUMIFS('RAW_농산물_9월'!$H:$H,'RAW_농산물_9월'!$D:$D,$C499,'RAW_농산물_9월'!$A:$A,$E499)))</f>
        <v/>
      </c>
      <c r="R499" s="7" t="str">
        <f>IF($C499="","",IF(COUNTA('RAW_농산물_11-12월'!$A:$A)&lt;=1,"",SUMIFS('RAW_농산물_11-12월'!$H:$H,'RAW_농산물_11-12월'!$D:$D,$C499,'RAW_농산물_11-12월'!$A:$A,$E499)-SUMIFS('RAW_농산물_10월'!$H:$H,'RAW_농산물_10월'!$D:$D,$C499,'RAW_농산물_10월'!$A:$A,$E499)))</f>
        <v/>
      </c>
      <c r="S499" s="17" t="str">
        <f t="shared" si="4"/>
        <v/>
      </c>
      <c r="T499" s="17" t="str">
        <f t="shared" si="5"/>
        <v/>
      </c>
      <c r="U499" s="7">
        <f>IF($C499="",0,IF('설정'!$B$3=0,0,CHOOSE('설정'!$B$3,COUNTIFS('RAW_농산물_7월'!$D:$D,$C499,'RAW_농산물_7월'!$A:$A,$E499),COUNTIFS('RAW_농산물_8월'!$D:$D,$C499,'RAW_농산물_8월'!$A:$A,$E499),COUNTIFS('RAW_농산물_9월'!$D:$D,$C499,'RAW_농산물_9월'!$A:$A,$E499),COUNTIFS('RAW_농산물_10월'!$D:$D,$C499,'RAW_농산물_10월'!$A:$A,$E499),COUNTIFS('RAW_농산물_11-12월'!$D:$D,$C499,'RAW_농산물_11-12월'!$A:$A,$E499))))</f>
        <v>0</v>
      </c>
    </row>
    <row r="500" ht="15.75" customHeight="1">
      <c r="A500" s="5"/>
      <c r="B500" s="5"/>
      <c r="C500" s="5"/>
      <c r="D500" s="6"/>
      <c r="E500" s="5"/>
      <c r="F500" s="7" t="str">
        <f>IF($C500="","",IF('설정'!$B$3=0,"",CHOOSE('설정'!$B$3,SUMIFS('RAW_농산물_7월'!$F:$F,'RAW_농산물_7월'!$D:$D,$C500,'RAW_농산물_7월'!$A:$A,$E500),SUMIFS('RAW_농산물_8월'!$F:$F,'RAW_농산물_8월'!$D:$D,$C500,'RAW_농산물_8월'!$A:$A,$E500),SUMIFS('RAW_농산물_9월'!$F:$F,'RAW_농산물_9월'!$D:$D,$C500,'RAW_농산물_9월'!$A:$A,$E500),SUMIFS('RAW_농산물_10월'!$F:$F,'RAW_농산물_10월'!$D:$D,$C500,'RAW_농산물_10월'!$A:$A,$E500),SUMIFS('RAW_농산물_11-12월'!$F:$F,'RAW_농산물_11-12월'!$D:$D,$C500,'RAW_농산물_11-12월'!$A:$A,$E500))))</f>
        <v/>
      </c>
      <c r="G500" s="7" t="str">
        <f>IF($C500="","",IF('설정'!$B$3=0,"",CHOOSE('설정'!$B$3,SUMIFS('RAW_농산물_7월'!$G:$G,'RAW_농산물_7월'!$D:$D,$C500,'RAW_농산물_7월'!$A:$A,$E500),SUMIFS('RAW_농산물_8월'!$G:$G,'RAW_농산물_8월'!$D:$D,$C500,'RAW_농산물_8월'!$A:$A,$E500),SUMIFS('RAW_농산물_9월'!$G:$G,'RAW_농산물_9월'!$D:$D,$C500,'RAW_농산물_9월'!$A:$A,$E500),SUMIFS('RAW_농산물_10월'!$G:$G,'RAW_농산물_10월'!$D:$D,$C500,'RAW_농산물_10월'!$A:$A,$E500),SUMIFS('RAW_농산물_11-12월'!$G:$G,'RAW_농산물_11-12월'!$D:$D,$C500,'RAW_농산물_11-12월'!$A:$A,$E500))))</f>
        <v/>
      </c>
      <c r="H500" s="14" t="str">
        <f>IF($C500="","",IF('설정'!$B$3=0,"",CHOOSE('설정'!$B$3,SUMIFS('RAW_농산물_7월'!$H:$H,'RAW_농산물_7월'!$D:$D,$C500,'RAW_농산물_7월'!$A:$A,$E500),SUMIFS('RAW_농산물_8월'!$H:$H,'RAW_농산물_8월'!$D:$D,$C500,'RAW_농산물_8월'!$A:$A,$E500),SUMIFS('RAW_농산물_9월'!$H:$H,'RAW_농산물_9월'!$D:$D,$C500,'RAW_농산물_9월'!$A:$A,$E500),SUMIFS('RAW_농산물_10월'!$H:$H,'RAW_농산물_10월'!$D:$D,$C500,'RAW_농산물_10월'!$A:$A,$E500),SUMIFS('RAW_농산물_11-12월'!$H:$H,'RAW_농산물_11-12월'!$D:$D,$C500,'RAW_농산물_11-12월'!$A:$A,$E500))))</f>
        <v/>
      </c>
      <c r="I500" s="17" t="str">
        <f>IF($C500="","",IF(COUNTIFS('RAW_농산물_7월'!$D:$D,$C500,'RAW_농산물_7월'!$A:$A,$E500)&gt;0,"O",""))</f>
        <v/>
      </c>
      <c r="J500" s="17" t="str">
        <f>IF($C500="","",IF(COUNTIFS('RAW_농산물_8월'!$D:$D,$C500,'RAW_농산물_8월'!$A:$A,$E500)&gt;0,"O",""))</f>
        <v/>
      </c>
      <c r="K500" s="17" t="str">
        <f>IF($C500="","",IF(COUNTIFS('RAW_농산물_9월'!$D:$D,$C500,'RAW_농산물_9월'!$A:$A,$E500)&gt;0,"O",""))</f>
        <v/>
      </c>
      <c r="L500" s="17" t="str">
        <f>IF($C500="","",IF(COUNTIFS('RAW_농산물_10월'!$D:$D,$C500,'RAW_농산물_10월'!$A:$A,$E500)&gt;0,"O",""))</f>
        <v/>
      </c>
      <c r="M500" s="17" t="str">
        <f>IF($C500="","",IF(COUNTIFS('RAW_농산물_11-12월'!$D:$D,$C500,'RAW_농산물_11-12월'!$A:$A,$E500)&gt;0,"O",""))</f>
        <v/>
      </c>
      <c r="N500" s="7" t="str">
        <f>IF($C500="","",IF(COUNTA('RAW_농산물_7월'!$A:$A)&lt;=1,"",SUMIFS('RAW_농산물_7월'!$H:$H,'RAW_농산물_7월'!$D:$D,$C500,'RAW_농산물_7월'!$A:$A,$E500)))</f>
        <v/>
      </c>
      <c r="O500" s="7" t="str">
        <f>IF($C500="","",IF(COUNTA('RAW_농산물_8월'!$A:$A)&lt;=1,"",SUMIFS('RAW_농산물_8월'!$H:$H,'RAW_농산물_8월'!$D:$D,$C500,'RAW_농산물_8월'!$A:$A,$E500)-SUMIFS('RAW_농산물_7월'!$H:$H,'RAW_농산물_7월'!$D:$D,$C500,'RAW_농산물_7월'!$A:$A,$E500)))</f>
        <v/>
      </c>
      <c r="P500" s="7" t="str">
        <f>IF($C500="","",IF(COUNTA('RAW_농산물_9월'!$A:$A)&lt;=1,"",SUMIFS('RAW_농산물_9월'!$H:$H,'RAW_농산물_9월'!$D:$D,$C500,'RAW_농산물_9월'!$A:$A,$E500)-SUMIFS('RAW_농산물_8월'!$H:$H,'RAW_농산물_8월'!$D:$D,$C500,'RAW_농산물_8월'!$A:$A,$E500)))</f>
        <v/>
      </c>
      <c r="Q500" s="7" t="str">
        <f>IF($C500="","",IF(COUNTA('RAW_농산물_10월'!$A:$A)&lt;=1,"",SUMIFS('RAW_농산물_10월'!$H:$H,'RAW_농산물_10월'!$D:$D,$C500,'RAW_농산물_10월'!$A:$A,$E500)-SUMIFS('RAW_농산물_9월'!$H:$H,'RAW_농산물_9월'!$D:$D,$C500,'RAW_농산물_9월'!$A:$A,$E500)))</f>
        <v/>
      </c>
      <c r="R500" s="7" t="str">
        <f>IF($C500="","",IF(COUNTA('RAW_농산물_11-12월'!$A:$A)&lt;=1,"",SUMIFS('RAW_농산물_11-12월'!$H:$H,'RAW_농산물_11-12월'!$D:$D,$C500,'RAW_농산물_11-12월'!$A:$A,$E500)-SUMIFS('RAW_농산물_10월'!$H:$H,'RAW_농산물_10월'!$D:$D,$C500,'RAW_농산물_10월'!$A:$A,$E500)))</f>
        <v/>
      </c>
      <c r="S500" s="17" t="str">
        <f t="shared" si="4"/>
        <v/>
      </c>
      <c r="T500" s="17" t="str">
        <f t="shared" si="5"/>
        <v/>
      </c>
      <c r="U500" s="7">
        <f>IF($C500="",0,IF('설정'!$B$3=0,0,CHOOSE('설정'!$B$3,COUNTIFS('RAW_농산물_7월'!$D:$D,$C500,'RAW_농산물_7월'!$A:$A,$E500),COUNTIFS('RAW_농산물_8월'!$D:$D,$C500,'RAW_농산물_8월'!$A:$A,$E500),COUNTIFS('RAW_농산물_9월'!$D:$D,$C500,'RAW_농산물_9월'!$A:$A,$E500),COUNTIFS('RAW_농산물_10월'!$D:$D,$C500,'RAW_농산물_10월'!$A:$A,$E500),COUNTIFS('RAW_농산물_11-12월'!$D:$D,$C500,'RAW_농산물_11-12월'!$A:$A,$E500))))</f>
        <v>0</v>
      </c>
    </row>
    <row r="501" ht="15.75" customHeight="1">
      <c r="A501" s="5"/>
      <c r="B501" s="5"/>
      <c r="C501" s="5"/>
      <c r="D501" s="6"/>
      <c r="E501" s="5"/>
      <c r="F501" s="7" t="str">
        <f>IF($C501="","",IF('설정'!$B$3=0,"",CHOOSE('설정'!$B$3,SUMIFS('RAW_농산물_7월'!$F:$F,'RAW_농산물_7월'!$D:$D,$C501,'RAW_농산물_7월'!$A:$A,$E501),SUMIFS('RAW_농산물_8월'!$F:$F,'RAW_농산물_8월'!$D:$D,$C501,'RAW_농산물_8월'!$A:$A,$E501),SUMIFS('RAW_농산물_9월'!$F:$F,'RAW_농산물_9월'!$D:$D,$C501,'RAW_농산물_9월'!$A:$A,$E501),SUMIFS('RAW_농산물_10월'!$F:$F,'RAW_농산물_10월'!$D:$D,$C501,'RAW_농산물_10월'!$A:$A,$E501),SUMIFS('RAW_농산물_11-12월'!$F:$F,'RAW_농산물_11-12월'!$D:$D,$C501,'RAW_농산물_11-12월'!$A:$A,$E501))))</f>
        <v/>
      </c>
      <c r="G501" s="7" t="str">
        <f>IF($C501="","",IF('설정'!$B$3=0,"",CHOOSE('설정'!$B$3,SUMIFS('RAW_농산물_7월'!$G:$G,'RAW_농산물_7월'!$D:$D,$C501,'RAW_농산물_7월'!$A:$A,$E501),SUMIFS('RAW_농산물_8월'!$G:$G,'RAW_농산물_8월'!$D:$D,$C501,'RAW_농산물_8월'!$A:$A,$E501),SUMIFS('RAW_농산물_9월'!$G:$G,'RAW_농산물_9월'!$D:$D,$C501,'RAW_농산물_9월'!$A:$A,$E501),SUMIFS('RAW_농산물_10월'!$G:$G,'RAW_농산물_10월'!$D:$D,$C501,'RAW_농산물_10월'!$A:$A,$E501),SUMIFS('RAW_농산물_11-12월'!$G:$G,'RAW_농산물_11-12월'!$D:$D,$C501,'RAW_농산물_11-12월'!$A:$A,$E501))))</f>
        <v/>
      </c>
      <c r="H501" s="14" t="str">
        <f>IF($C501="","",IF('설정'!$B$3=0,"",CHOOSE('설정'!$B$3,SUMIFS('RAW_농산물_7월'!$H:$H,'RAW_농산물_7월'!$D:$D,$C501,'RAW_농산물_7월'!$A:$A,$E501),SUMIFS('RAW_농산물_8월'!$H:$H,'RAW_농산물_8월'!$D:$D,$C501,'RAW_농산물_8월'!$A:$A,$E501),SUMIFS('RAW_농산물_9월'!$H:$H,'RAW_농산물_9월'!$D:$D,$C501,'RAW_농산물_9월'!$A:$A,$E501),SUMIFS('RAW_농산물_10월'!$H:$H,'RAW_농산물_10월'!$D:$D,$C501,'RAW_농산물_10월'!$A:$A,$E501),SUMIFS('RAW_농산물_11-12월'!$H:$H,'RAW_농산물_11-12월'!$D:$D,$C501,'RAW_농산물_11-12월'!$A:$A,$E501))))</f>
        <v/>
      </c>
      <c r="I501" s="17" t="str">
        <f>IF($C501="","",IF(COUNTIFS('RAW_농산물_7월'!$D:$D,$C501,'RAW_농산물_7월'!$A:$A,$E501)&gt;0,"O",""))</f>
        <v/>
      </c>
      <c r="J501" s="17" t="str">
        <f>IF($C501="","",IF(COUNTIFS('RAW_농산물_8월'!$D:$D,$C501,'RAW_농산물_8월'!$A:$A,$E501)&gt;0,"O",""))</f>
        <v/>
      </c>
      <c r="K501" s="17" t="str">
        <f>IF($C501="","",IF(COUNTIFS('RAW_농산물_9월'!$D:$D,$C501,'RAW_농산물_9월'!$A:$A,$E501)&gt;0,"O",""))</f>
        <v/>
      </c>
      <c r="L501" s="17" t="str">
        <f>IF($C501="","",IF(COUNTIFS('RAW_농산물_10월'!$D:$D,$C501,'RAW_농산물_10월'!$A:$A,$E501)&gt;0,"O",""))</f>
        <v/>
      </c>
      <c r="M501" s="17" t="str">
        <f>IF($C501="","",IF(COUNTIFS('RAW_농산물_11-12월'!$D:$D,$C501,'RAW_농산물_11-12월'!$A:$A,$E501)&gt;0,"O",""))</f>
        <v/>
      </c>
      <c r="N501" s="7" t="str">
        <f>IF($C501="","",IF(COUNTA('RAW_농산물_7월'!$A:$A)&lt;=1,"",SUMIFS('RAW_농산물_7월'!$H:$H,'RAW_농산물_7월'!$D:$D,$C501,'RAW_농산물_7월'!$A:$A,$E501)))</f>
        <v/>
      </c>
      <c r="O501" s="7" t="str">
        <f>IF($C501="","",IF(COUNTA('RAW_농산물_8월'!$A:$A)&lt;=1,"",SUMIFS('RAW_농산물_8월'!$H:$H,'RAW_농산물_8월'!$D:$D,$C501,'RAW_농산물_8월'!$A:$A,$E501)-SUMIFS('RAW_농산물_7월'!$H:$H,'RAW_농산물_7월'!$D:$D,$C501,'RAW_농산물_7월'!$A:$A,$E501)))</f>
        <v/>
      </c>
      <c r="P501" s="7" t="str">
        <f>IF($C501="","",IF(COUNTA('RAW_농산물_9월'!$A:$A)&lt;=1,"",SUMIFS('RAW_농산물_9월'!$H:$H,'RAW_농산물_9월'!$D:$D,$C501,'RAW_농산물_9월'!$A:$A,$E501)-SUMIFS('RAW_농산물_8월'!$H:$H,'RAW_농산물_8월'!$D:$D,$C501,'RAW_농산물_8월'!$A:$A,$E501)))</f>
        <v/>
      </c>
      <c r="Q501" s="7" t="str">
        <f>IF($C501="","",IF(COUNTA('RAW_농산물_10월'!$A:$A)&lt;=1,"",SUMIFS('RAW_농산물_10월'!$H:$H,'RAW_농산물_10월'!$D:$D,$C501,'RAW_농산물_10월'!$A:$A,$E501)-SUMIFS('RAW_농산물_9월'!$H:$H,'RAW_농산물_9월'!$D:$D,$C501,'RAW_농산물_9월'!$A:$A,$E501)))</f>
        <v/>
      </c>
      <c r="R501" s="7" t="str">
        <f>IF($C501="","",IF(COUNTA('RAW_농산물_11-12월'!$A:$A)&lt;=1,"",SUMIFS('RAW_농산물_11-12월'!$H:$H,'RAW_농산물_11-12월'!$D:$D,$C501,'RAW_농산물_11-12월'!$A:$A,$E501)-SUMIFS('RAW_농산물_10월'!$H:$H,'RAW_농산물_10월'!$D:$D,$C501,'RAW_농산물_10월'!$A:$A,$E501)))</f>
        <v/>
      </c>
      <c r="S501" s="17" t="str">
        <f t="shared" si="4"/>
        <v/>
      </c>
      <c r="T501" s="17" t="str">
        <f t="shared" si="5"/>
        <v/>
      </c>
      <c r="U501" s="7">
        <f>IF($C501="",0,IF('설정'!$B$3=0,0,CHOOSE('설정'!$B$3,COUNTIFS('RAW_농산물_7월'!$D:$D,$C501,'RAW_농산물_7월'!$A:$A,$E501),COUNTIFS('RAW_농산물_8월'!$D:$D,$C501,'RAW_농산물_8월'!$A:$A,$E501),COUNTIFS('RAW_농산물_9월'!$D:$D,$C501,'RAW_농산물_9월'!$A:$A,$E501),COUNTIFS('RAW_농산물_10월'!$D:$D,$C501,'RAW_농산물_10월'!$A:$A,$E501),COUNTIFS('RAW_농산물_11-12월'!$D:$D,$C501,'RAW_농산물_11-12월'!$A:$A,$E501))))</f>
        <v>0</v>
      </c>
    </row>
    <row r="502" ht="15.75" customHeight="1">
      <c r="A502" s="5"/>
      <c r="B502" s="5"/>
      <c r="C502" s="5"/>
      <c r="D502" s="6"/>
      <c r="E502" s="5"/>
      <c r="F502" s="7" t="str">
        <f>IF($C502="","",IF('설정'!$B$3=0,"",CHOOSE('설정'!$B$3,SUMIFS('RAW_농산물_7월'!$F:$F,'RAW_농산물_7월'!$D:$D,$C502,'RAW_농산물_7월'!$A:$A,$E502),SUMIFS('RAW_농산물_8월'!$F:$F,'RAW_농산물_8월'!$D:$D,$C502,'RAW_농산물_8월'!$A:$A,$E502),SUMIFS('RAW_농산물_9월'!$F:$F,'RAW_농산물_9월'!$D:$D,$C502,'RAW_농산물_9월'!$A:$A,$E502),SUMIFS('RAW_농산물_10월'!$F:$F,'RAW_농산물_10월'!$D:$D,$C502,'RAW_농산물_10월'!$A:$A,$E502),SUMIFS('RAW_농산물_11-12월'!$F:$F,'RAW_농산물_11-12월'!$D:$D,$C502,'RAW_농산물_11-12월'!$A:$A,$E502))))</f>
        <v/>
      </c>
      <c r="G502" s="7" t="str">
        <f>IF($C502="","",IF('설정'!$B$3=0,"",CHOOSE('설정'!$B$3,SUMIFS('RAW_농산물_7월'!$G:$G,'RAW_농산물_7월'!$D:$D,$C502,'RAW_농산물_7월'!$A:$A,$E502),SUMIFS('RAW_농산물_8월'!$G:$G,'RAW_농산물_8월'!$D:$D,$C502,'RAW_농산물_8월'!$A:$A,$E502),SUMIFS('RAW_농산물_9월'!$G:$G,'RAW_농산물_9월'!$D:$D,$C502,'RAW_농산물_9월'!$A:$A,$E502),SUMIFS('RAW_농산물_10월'!$G:$G,'RAW_농산물_10월'!$D:$D,$C502,'RAW_농산물_10월'!$A:$A,$E502),SUMIFS('RAW_농산물_11-12월'!$G:$G,'RAW_농산물_11-12월'!$D:$D,$C502,'RAW_농산물_11-12월'!$A:$A,$E502))))</f>
        <v/>
      </c>
      <c r="H502" s="14" t="str">
        <f>IF($C502="","",IF('설정'!$B$3=0,"",CHOOSE('설정'!$B$3,SUMIFS('RAW_농산물_7월'!$H:$H,'RAW_농산물_7월'!$D:$D,$C502,'RAW_농산물_7월'!$A:$A,$E502),SUMIFS('RAW_농산물_8월'!$H:$H,'RAW_농산물_8월'!$D:$D,$C502,'RAW_농산물_8월'!$A:$A,$E502),SUMIFS('RAW_농산물_9월'!$H:$H,'RAW_농산물_9월'!$D:$D,$C502,'RAW_농산물_9월'!$A:$A,$E502),SUMIFS('RAW_농산물_10월'!$H:$H,'RAW_농산물_10월'!$D:$D,$C502,'RAW_농산물_10월'!$A:$A,$E502),SUMIFS('RAW_농산물_11-12월'!$H:$H,'RAW_농산물_11-12월'!$D:$D,$C502,'RAW_농산물_11-12월'!$A:$A,$E502))))</f>
        <v/>
      </c>
      <c r="I502" s="17" t="str">
        <f>IF($C502="","",IF(COUNTIFS('RAW_농산물_7월'!$D:$D,$C502,'RAW_농산물_7월'!$A:$A,$E502)&gt;0,"O",""))</f>
        <v/>
      </c>
      <c r="J502" s="17" t="str">
        <f>IF($C502="","",IF(COUNTIFS('RAW_농산물_8월'!$D:$D,$C502,'RAW_농산물_8월'!$A:$A,$E502)&gt;0,"O",""))</f>
        <v/>
      </c>
      <c r="K502" s="17" t="str">
        <f>IF($C502="","",IF(COUNTIFS('RAW_농산물_9월'!$D:$D,$C502,'RAW_농산물_9월'!$A:$A,$E502)&gt;0,"O",""))</f>
        <v/>
      </c>
      <c r="L502" s="17" t="str">
        <f>IF($C502="","",IF(COUNTIFS('RAW_농산물_10월'!$D:$D,$C502,'RAW_농산물_10월'!$A:$A,$E502)&gt;0,"O",""))</f>
        <v/>
      </c>
      <c r="M502" s="17" t="str">
        <f>IF($C502="","",IF(COUNTIFS('RAW_농산물_11-12월'!$D:$D,$C502,'RAW_농산물_11-12월'!$A:$A,$E502)&gt;0,"O",""))</f>
        <v/>
      </c>
      <c r="N502" s="7" t="str">
        <f>IF($C502="","",IF(COUNTA('RAW_농산물_7월'!$A:$A)&lt;=1,"",SUMIFS('RAW_농산물_7월'!$H:$H,'RAW_농산물_7월'!$D:$D,$C502,'RAW_농산물_7월'!$A:$A,$E502)))</f>
        <v/>
      </c>
      <c r="O502" s="7" t="str">
        <f>IF($C502="","",IF(COUNTA('RAW_농산물_8월'!$A:$A)&lt;=1,"",SUMIFS('RAW_농산물_8월'!$H:$H,'RAW_농산물_8월'!$D:$D,$C502,'RAW_농산물_8월'!$A:$A,$E502)-SUMIFS('RAW_농산물_7월'!$H:$H,'RAW_농산물_7월'!$D:$D,$C502,'RAW_농산물_7월'!$A:$A,$E502)))</f>
        <v/>
      </c>
      <c r="P502" s="7" t="str">
        <f>IF($C502="","",IF(COUNTA('RAW_농산물_9월'!$A:$A)&lt;=1,"",SUMIFS('RAW_농산물_9월'!$H:$H,'RAW_농산물_9월'!$D:$D,$C502,'RAW_농산물_9월'!$A:$A,$E502)-SUMIFS('RAW_농산물_8월'!$H:$H,'RAW_농산물_8월'!$D:$D,$C502,'RAW_농산물_8월'!$A:$A,$E502)))</f>
        <v/>
      </c>
      <c r="Q502" s="7" t="str">
        <f>IF($C502="","",IF(COUNTA('RAW_농산물_10월'!$A:$A)&lt;=1,"",SUMIFS('RAW_농산물_10월'!$H:$H,'RAW_농산물_10월'!$D:$D,$C502,'RAW_농산물_10월'!$A:$A,$E502)-SUMIFS('RAW_농산물_9월'!$H:$H,'RAW_농산물_9월'!$D:$D,$C502,'RAW_농산물_9월'!$A:$A,$E502)))</f>
        <v/>
      </c>
      <c r="R502" s="7" t="str">
        <f>IF($C502="","",IF(COUNTA('RAW_농산물_11-12월'!$A:$A)&lt;=1,"",SUMIFS('RAW_농산물_11-12월'!$H:$H,'RAW_농산물_11-12월'!$D:$D,$C502,'RAW_농산물_11-12월'!$A:$A,$E502)-SUMIFS('RAW_농산물_10월'!$H:$H,'RAW_농산물_10월'!$D:$D,$C502,'RAW_농산물_10월'!$A:$A,$E502)))</f>
        <v/>
      </c>
      <c r="S502" s="17" t="str">
        <f t="shared" si="4"/>
        <v/>
      </c>
      <c r="T502" s="17" t="str">
        <f t="shared" si="5"/>
        <v/>
      </c>
      <c r="U502" s="7">
        <f>IF($C502="",0,IF('설정'!$B$3=0,0,CHOOSE('설정'!$B$3,COUNTIFS('RAW_농산물_7월'!$D:$D,$C502,'RAW_농산물_7월'!$A:$A,$E502),COUNTIFS('RAW_농산물_8월'!$D:$D,$C502,'RAW_농산물_8월'!$A:$A,$E502),COUNTIFS('RAW_농산물_9월'!$D:$D,$C502,'RAW_농산물_9월'!$A:$A,$E502),COUNTIFS('RAW_농산물_10월'!$D:$D,$C502,'RAW_농산물_10월'!$A:$A,$E502),COUNTIFS('RAW_농산물_11-12월'!$D:$D,$C502,'RAW_농산물_11-12월'!$A:$A,$E502))))</f>
        <v>0</v>
      </c>
    </row>
    <row r="503" ht="15.75" customHeight="1">
      <c r="A503" s="5"/>
      <c r="B503" s="5"/>
      <c r="C503" s="5"/>
      <c r="D503" s="6"/>
      <c r="E503" s="5"/>
      <c r="F503" s="7" t="str">
        <f>IF($C503="","",IF('설정'!$B$3=0,"",CHOOSE('설정'!$B$3,SUMIFS('RAW_농산물_7월'!$F:$F,'RAW_농산물_7월'!$D:$D,$C503,'RAW_농산물_7월'!$A:$A,$E503),SUMIFS('RAW_농산물_8월'!$F:$F,'RAW_농산물_8월'!$D:$D,$C503,'RAW_농산물_8월'!$A:$A,$E503),SUMIFS('RAW_농산물_9월'!$F:$F,'RAW_농산물_9월'!$D:$D,$C503,'RAW_농산물_9월'!$A:$A,$E503),SUMIFS('RAW_농산물_10월'!$F:$F,'RAW_농산물_10월'!$D:$D,$C503,'RAW_농산물_10월'!$A:$A,$E503),SUMIFS('RAW_농산물_11-12월'!$F:$F,'RAW_농산물_11-12월'!$D:$D,$C503,'RAW_농산물_11-12월'!$A:$A,$E503))))</f>
        <v/>
      </c>
      <c r="G503" s="7" t="str">
        <f>IF($C503="","",IF('설정'!$B$3=0,"",CHOOSE('설정'!$B$3,SUMIFS('RAW_농산물_7월'!$G:$G,'RAW_농산물_7월'!$D:$D,$C503,'RAW_농산물_7월'!$A:$A,$E503),SUMIFS('RAW_농산물_8월'!$G:$G,'RAW_농산물_8월'!$D:$D,$C503,'RAW_농산물_8월'!$A:$A,$E503),SUMIFS('RAW_농산물_9월'!$G:$G,'RAW_농산물_9월'!$D:$D,$C503,'RAW_농산물_9월'!$A:$A,$E503),SUMIFS('RAW_농산물_10월'!$G:$G,'RAW_농산물_10월'!$D:$D,$C503,'RAW_농산물_10월'!$A:$A,$E503),SUMIFS('RAW_농산물_11-12월'!$G:$G,'RAW_농산물_11-12월'!$D:$D,$C503,'RAW_농산물_11-12월'!$A:$A,$E503))))</f>
        <v/>
      </c>
      <c r="H503" s="14" t="str">
        <f>IF($C503="","",IF('설정'!$B$3=0,"",CHOOSE('설정'!$B$3,SUMIFS('RAW_농산물_7월'!$H:$H,'RAW_농산물_7월'!$D:$D,$C503,'RAW_농산물_7월'!$A:$A,$E503),SUMIFS('RAW_농산물_8월'!$H:$H,'RAW_농산물_8월'!$D:$D,$C503,'RAW_농산물_8월'!$A:$A,$E503),SUMIFS('RAW_농산물_9월'!$H:$H,'RAW_농산물_9월'!$D:$D,$C503,'RAW_농산물_9월'!$A:$A,$E503),SUMIFS('RAW_농산물_10월'!$H:$H,'RAW_농산물_10월'!$D:$D,$C503,'RAW_농산물_10월'!$A:$A,$E503),SUMIFS('RAW_농산물_11-12월'!$H:$H,'RAW_농산물_11-12월'!$D:$D,$C503,'RAW_농산물_11-12월'!$A:$A,$E503))))</f>
        <v/>
      </c>
      <c r="I503" s="17" t="str">
        <f>IF($C503="","",IF(COUNTIFS('RAW_농산물_7월'!$D:$D,$C503,'RAW_농산물_7월'!$A:$A,$E503)&gt;0,"O",""))</f>
        <v/>
      </c>
      <c r="J503" s="17" t="str">
        <f>IF($C503="","",IF(COUNTIFS('RAW_농산물_8월'!$D:$D,$C503,'RAW_농산물_8월'!$A:$A,$E503)&gt;0,"O",""))</f>
        <v/>
      </c>
      <c r="K503" s="17" t="str">
        <f>IF($C503="","",IF(COUNTIFS('RAW_농산물_9월'!$D:$D,$C503,'RAW_농산물_9월'!$A:$A,$E503)&gt;0,"O",""))</f>
        <v/>
      </c>
      <c r="L503" s="17" t="str">
        <f>IF($C503="","",IF(COUNTIFS('RAW_농산물_10월'!$D:$D,$C503,'RAW_농산물_10월'!$A:$A,$E503)&gt;0,"O",""))</f>
        <v/>
      </c>
      <c r="M503" s="17" t="str">
        <f>IF($C503="","",IF(COUNTIFS('RAW_농산물_11-12월'!$D:$D,$C503,'RAW_농산물_11-12월'!$A:$A,$E503)&gt;0,"O",""))</f>
        <v/>
      </c>
      <c r="N503" s="7" t="str">
        <f>IF($C503="","",IF(COUNTA('RAW_농산물_7월'!$A:$A)&lt;=1,"",SUMIFS('RAW_농산물_7월'!$H:$H,'RAW_농산물_7월'!$D:$D,$C503,'RAW_농산물_7월'!$A:$A,$E503)))</f>
        <v/>
      </c>
      <c r="O503" s="7" t="str">
        <f>IF($C503="","",IF(COUNTA('RAW_농산물_8월'!$A:$A)&lt;=1,"",SUMIFS('RAW_농산물_8월'!$H:$H,'RAW_농산물_8월'!$D:$D,$C503,'RAW_농산물_8월'!$A:$A,$E503)-SUMIFS('RAW_농산물_7월'!$H:$H,'RAW_농산물_7월'!$D:$D,$C503,'RAW_농산물_7월'!$A:$A,$E503)))</f>
        <v/>
      </c>
      <c r="P503" s="7" t="str">
        <f>IF($C503="","",IF(COUNTA('RAW_농산물_9월'!$A:$A)&lt;=1,"",SUMIFS('RAW_농산물_9월'!$H:$H,'RAW_농산물_9월'!$D:$D,$C503,'RAW_농산물_9월'!$A:$A,$E503)-SUMIFS('RAW_농산물_8월'!$H:$H,'RAW_농산물_8월'!$D:$D,$C503,'RAW_농산물_8월'!$A:$A,$E503)))</f>
        <v/>
      </c>
      <c r="Q503" s="7" t="str">
        <f>IF($C503="","",IF(COUNTA('RAW_농산물_10월'!$A:$A)&lt;=1,"",SUMIFS('RAW_농산물_10월'!$H:$H,'RAW_농산물_10월'!$D:$D,$C503,'RAW_농산물_10월'!$A:$A,$E503)-SUMIFS('RAW_농산물_9월'!$H:$H,'RAW_농산물_9월'!$D:$D,$C503,'RAW_농산물_9월'!$A:$A,$E503)))</f>
        <v/>
      </c>
      <c r="R503" s="7" t="str">
        <f>IF($C503="","",IF(COUNTA('RAW_농산물_11-12월'!$A:$A)&lt;=1,"",SUMIFS('RAW_농산물_11-12월'!$H:$H,'RAW_농산물_11-12월'!$D:$D,$C503,'RAW_농산물_11-12월'!$A:$A,$E503)-SUMIFS('RAW_농산물_10월'!$H:$H,'RAW_농산물_10월'!$D:$D,$C503,'RAW_농산물_10월'!$A:$A,$E503)))</f>
        <v/>
      </c>
      <c r="S503" s="17" t="str">
        <f t="shared" si="4"/>
        <v/>
      </c>
      <c r="T503" s="17" t="str">
        <f t="shared" si="5"/>
        <v/>
      </c>
      <c r="U503" s="7">
        <f>IF($C503="",0,IF('설정'!$B$3=0,0,CHOOSE('설정'!$B$3,COUNTIFS('RAW_농산물_7월'!$D:$D,$C503,'RAW_농산물_7월'!$A:$A,$E503),COUNTIFS('RAW_농산물_8월'!$D:$D,$C503,'RAW_농산물_8월'!$A:$A,$E503),COUNTIFS('RAW_농산물_9월'!$D:$D,$C503,'RAW_농산물_9월'!$A:$A,$E503),COUNTIFS('RAW_농산물_10월'!$D:$D,$C503,'RAW_농산물_10월'!$A:$A,$E503),COUNTIFS('RAW_농산물_11-12월'!$D:$D,$C503,'RAW_농산물_11-12월'!$A:$A,$E503))))</f>
        <v>0</v>
      </c>
    </row>
    <row r="504" ht="15.75" customHeight="1">
      <c r="A504" s="5"/>
      <c r="B504" s="5"/>
      <c r="C504" s="5"/>
      <c r="D504" s="6"/>
      <c r="E504" s="5"/>
      <c r="F504" s="7" t="str">
        <f>IF($C504="","",IF('설정'!$B$3=0,"",CHOOSE('설정'!$B$3,SUMIFS('RAW_농산물_7월'!$F:$F,'RAW_농산물_7월'!$D:$D,$C504,'RAW_농산물_7월'!$A:$A,$E504),SUMIFS('RAW_농산물_8월'!$F:$F,'RAW_농산물_8월'!$D:$D,$C504,'RAW_농산물_8월'!$A:$A,$E504),SUMIFS('RAW_농산물_9월'!$F:$F,'RAW_농산물_9월'!$D:$D,$C504,'RAW_농산물_9월'!$A:$A,$E504),SUMIFS('RAW_농산물_10월'!$F:$F,'RAW_농산물_10월'!$D:$D,$C504,'RAW_농산물_10월'!$A:$A,$E504),SUMIFS('RAW_농산물_11-12월'!$F:$F,'RAW_농산물_11-12월'!$D:$D,$C504,'RAW_농산물_11-12월'!$A:$A,$E504))))</f>
        <v/>
      </c>
      <c r="G504" s="7" t="str">
        <f>IF($C504="","",IF('설정'!$B$3=0,"",CHOOSE('설정'!$B$3,SUMIFS('RAW_농산물_7월'!$G:$G,'RAW_농산물_7월'!$D:$D,$C504,'RAW_농산물_7월'!$A:$A,$E504),SUMIFS('RAW_농산물_8월'!$G:$G,'RAW_농산물_8월'!$D:$D,$C504,'RAW_농산물_8월'!$A:$A,$E504),SUMIFS('RAW_농산물_9월'!$G:$G,'RAW_농산물_9월'!$D:$D,$C504,'RAW_농산물_9월'!$A:$A,$E504),SUMIFS('RAW_농산물_10월'!$G:$G,'RAW_농산물_10월'!$D:$D,$C504,'RAW_농산물_10월'!$A:$A,$E504),SUMIFS('RAW_농산물_11-12월'!$G:$G,'RAW_농산물_11-12월'!$D:$D,$C504,'RAW_농산물_11-12월'!$A:$A,$E504))))</f>
        <v/>
      </c>
      <c r="H504" s="14" t="str">
        <f>IF($C504="","",IF('설정'!$B$3=0,"",CHOOSE('설정'!$B$3,SUMIFS('RAW_농산물_7월'!$H:$H,'RAW_농산물_7월'!$D:$D,$C504,'RAW_농산물_7월'!$A:$A,$E504),SUMIFS('RAW_농산물_8월'!$H:$H,'RAW_농산물_8월'!$D:$D,$C504,'RAW_농산물_8월'!$A:$A,$E504),SUMIFS('RAW_농산물_9월'!$H:$H,'RAW_농산물_9월'!$D:$D,$C504,'RAW_농산물_9월'!$A:$A,$E504),SUMIFS('RAW_농산물_10월'!$H:$H,'RAW_농산물_10월'!$D:$D,$C504,'RAW_농산물_10월'!$A:$A,$E504),SUMIFS('RAW_농산물_11-12월'!$H:$H,'RAW_농산물_11-12월'!$D:$D,$C504,'RAW_농산물_11-12월'!$A:$A,$E504))))</f>
        <v/>
      </c>
      <c r="I504" s="17" t="str">
        <f>IF($C504="","",IF(COUNTIFS('RAW_농산물_7월'!$D:$D,$C504,'RAW_농산물_7월'!$A:$A,$E504)&gt;0,"O",""))</f>
        <v/>
      </c>
      <c r="J504" s="17" t="str">
        <f>IF($C504="","",IF(COUNTIFS('RAW_농산물_8월'!$D:$D,$C504,'RAW_농산물_8월'!$A:$A,$E504)&gt;0,"O",""))</f>
        <v/>
      </c>
      <c r="K504" s="17" t="str">
        <f>IF($C504="","",IF(COUNTIFS('RAW_농산물_9월'!$D:$D,$C504,'RAW_농산물_9월'!$A:$A,$E504)&gt;0,"O",""))</f>
        <v/>
      </c>
      <c r="L504" s="17" t="str">
        <f>IF($C504="","",IF(COUNTIFS('RAW_농산물_10월'!$D:$D,$C504,'RAW_농산물_10월'!$A:$A,$E504)&gt;0,"O",""))</f>
        <v/>
      </c>
      <c r="M504" s="17" t="str">
        <f>IF($C504="","",IF(COUNTIFS('RAW_농산물_11-12월'!$D:$D,$C504,'RAW_농산물_11-12월'!$A:$A,$E504)&gt;0,"O",""))</f>
        <v/>
      </c>
      <c r="N504" s="7" t="str">
        <f>IF($C504="","",IF(COUNTA('RAW_농산물_7월'!$A:$A)&lt;=1,"",SUMIFS('RAW_농산물_7월'!$H:$H,'RAW_농산물_7월'!$D:$D,$C504,'RAW_농산물_7월'!$A:$A,$E504)))</f>
        <v/>
      </c>
      <c r="O504" s="7" t="str">
        <f>IF($C504="","",IF(COUNTA('RAW_농산물_8월'!$A:$A)&lt;=1,"",SUMIFS('RAW_농산물_8월'!$H:$H,'RAW_농산물_8월'!$D:$D,$C504,'RAW_농산물_8월'!$A:$A,$E504)-SUMIFS('RAW_농산물_7월'!$H:$H,'RAW_농산물_7월'!$D:$D,$C504,'RAW_농산물_7월'!$A:$A,$E504)))</f>
        <v/>
      </c>
      <c r="P504" s="7" t="str">
        <f>IF($C504="","",IF(COUNTA('RAW_농산물_9월'!$A:$A)&lt;=1,"",SUMIFS('RAW_농산물_9월'!$H:$H,'RAW_농산물_9월'!$D:$D,$C504,'RAW_농산물_9월'!$A:$A,$E504)-SUMIFS('RAW_농산물_8월'!$H:$H,'RAW_농산물_8월'!$D:$D,$C504,'RAW_농산물_8월'!$A:$A,$E504)))</f>
        <v/>
      </c>
      <c r="Q504" s="7" t="str">
        <f>IF($C504="","",IF(COUNTA('RAW_농산물_10월'!$A:$A)&lt;=1,"",SUMIFS('RAW_농산물_10월'!$H:$H,'RAW_농산물_10월'!$D:$D,$C504,'RAW_농산물_10월'!$A:$A,$E504)-SUMIFS('RAW_농산물_9월'!$H:$H,'RAW_농산물_9월'!$D:$D,$C504,'RAW_농산물_9월'!$A:$A,$E504)))</f>
        <v/>
      </c>
      <c r="R504" s="7" t="str">
        <f>IF($C504="","",IF(COUNTA('RAW_농산물_11-12월'!$A:$A)&lt;=1,"",SUMIFS('RAW_농산물_11-12월'!$H:$H,'RAW_농산물_11-12월'!$D:$D,$C504,'RAW_농산물_11-12월'!$A:$A,$E504)-SUMIFS('RAW_농산물_10월'!$H:$H,'RAW_농산물_10월'!$D:$D,$C504,'RAW_농산물_10월'!$A:$A,$E504)))</f>
        <v/>
      </c>
      <c r="S504" s="17" t="str">
        <f t="shared" si="4"/>
        <v/>
      </c>
      <c r="T504" s="17" t="str">
        <f t="shared" si="5"/>
        <v/>
      </c>
      <c r="U504" s="7">
        <f>IF($C504="",0,IF('설정'!$B$3=0,0,CHOOSE('설정'!$B$3,COUNTIFS('RAW_농산물_7월'!$D:$D,$C504,'RAW_농산물_7월'!$A:$A,$E504),COUNTIFS('RAW_농산물_8월'!$D:$D,$C504,'RAW_농산물_8월'!$A:$A,$E504),COUNTIFS('RAW_농산물_9월'!$D:$D,$C504,'RAW_농산물_9월'!$A:$A,$E504),COUNTIFS('RAW_농산물_10월'!$D:$D,$C504,'RAW_농산물_10월'!$A:$A,$E504),COUNTIFS('RAW_농산물_11-12월'!$D:$D,$C504,'RAW_농산물_11-12월'!$A:$A,$E504))))</f>
        <v>0</v>
      </c>
    </row>
    <row r="505" ht="15.75" customHeight="1">
      <c r="A505" s="5"/>
      <c r="B505" s="5"/>
      <c r="C505" s="5"/>
      <c r="D505" s="6"/>
      <c r="E505" s="5"/>
      <c r="F505" s="7" t="str">
        <f>IF($C505="","",IF('설정'!$B$3=0,"",CHOOSE('설정'!$B$3,SUMIFS('RAW_농산물_7월'!$F:$F,'RAW_농산물_7월'!$D:$D,$C505,'RAW_농산물_7월'!$A:$A,$E505),SUMIFS('RAW_농산물_8월'!$F:$F,'RAW_농산물_8월'!$D:$D,$C505,'RAW_농산물_8월'!$A:$A,$E505),SUMIFS('RAW_농산물_9월'!$F:$F,'RAW_농산물_9월'!$D:$D,$C505,'RAW_농산물_9월'!$A:$A,$E505),SUMIFS('RAW_농산물_10월'!$F:$F,'RAW_농산물_10월'!$D:$D,$C505,'RAW_농산물_10월'!$A:$A,$E505),SUMIFS('RAW_농산물_11-12월'!$F:$F,'RAW_농산물_11-12월'!$D:$D,$C505,'RAW_농산물_11-12월'!$A:$A,$E505))))</f>
        <v/>
      </c>
      <c r="G505" s="7" t="str">
        <f>IF($C505="","",IF('설정'!$B$3=0,"",CHOOSE('설정'!$B$3,SUMIFS('RAW_농산물_7월'!$G:$G,'RAW_농산물_7월'!$D:$D,$C505,'RAW_농산물_7월'!$A:$A,$E505),SUMIFS('RAW_농산물_8월'!$G:$G,'RAW_농산물_8월'!$D:$D,$C505,'RAW_농산물_8월'!$A:$A,$E505),SUMIFS('RAW_농산물_9월'!$G:$G,'RAW_농산물_9월'!$D:$D,$C505,'RAW_농산물_9월'!$A:$A,$E505),SUMIFS('RAW_농산물_10월'!$G:$G,'RAW_농산물_10월'!$D:$D,$C505,'RAW_농산물_10월'!$A:$A,$E505),SUMIFS('RAW_농산물_11-12월'!$G:$G,'RAW_농산물_11-12월'!$D:$D,$C505,'RAW_농산물_11-12월'!$A:$A,$E505))))</f>
        <v/>
      </c>
      <c r="H505" s="14" t="str">
        <f>IF($C505="","",IF('설정'!$B$3=0,"",CHOOSE('설정'!$B$3,SUMIFS('RAW_농산물_7월'!$H:$H,'RAW_농산물_7월'!$D:$D,$C505,'RAW_농산물_7월'!$A:$A,$E505),SUMIFS('RAW_농산물_8월'!$H:$H,'RAW_농산물_8월'!$D:$D,$C505,'RAW_농산물_8월'!$A:$A,$E505),SUMIFS('RAW_농산물_9월'!$H:$H,'RAW_농산물_9월'!$D:$D,$C505,'RAW_농산물_9월'!$A:$A,$E505),SUMIFS('RAW_농산물_10월'!$H:$H,'RAW_농산물_10월'!$D:$D,$C505,'RAW_농산물_10월'!$A:$A,$E505),SUMIFS('RAW_농산물_11-12월'!$H:$H,'RAW_농산물_11-12월'!$D:$D,$C505,'RAW_농산물_11-12월'!$A:$A,$E505))))</f>
        <v/>
      </c>
      <c r="I505" s="17" t="str">
        <f>IF($C505="","",IF(COUNTIFS('RAW_농산물_7월'!$D:$D,$C505,'RAW_농산물_7월'!$A:$A,$E505)&gt;0,"O",""))</f>
        <v/>
      </c>
      <c r="J505" s="17" t="str">
        <f>IF($C505="","",IF(COUNTIFS('RAW_농산물_8월'!$D:$D,$C505,'RAW_농산물_8월'!$A:$A,$E505)&gt;0,"O",""))</f>
        <v/>
      </c>
      <c r="K505" s="17" t="str">
        <f>IF($C505="","",IF(COUNTIFS('RAW_농산물_9월'!$D:$D,$C505,'RAW_농산물_9월'!$A:$A,$E505)&gt;0,"O",""))</f>
        <v/>
      </c>
      <c r="L505" s="17" t="str">
        <f>IF($C505="","",IF(COUNTIFS('RAW_농산물_10월'!$D:$D,$C505,'RAW_농산물_10월'!$A:$A,$E505)&gt;0,"O",""))</f>
        <v/>
      </c>
      <c r="M505" s="17" t="str">
        <f>IF($C505="","",IF(COUNTIFS('RAW_농산물_11-12월'!$D:$D,$C505,'RAW_농산물_11-12월'!$A:$A,$E505)&gt;0,"O",""))</f>
        <v/>
      </c>
      <c r="N505" s="7" t="str">
        <f>IF($C505="","",IF(COUNTA('RAW_농산물_7월'!$A:$A)&lt;=1,"",SUMIFS('RAW_농산물_7월'!$H:$H,'RAW_농산물_7월'!$D:$D,$C505,'RAW_농산물_7월'!$A:$A,$E505)))</f>
        <v/>
      </c>
      <c r="O505" s="7" t="str">
        <f>IF($C505="","",IF(COUNTA('RAW_농산물_8월'!$A:$A)&lt;=1,"",SUMIFS('RAW_농산물_8월'!$H:$H,'RAW_농산물_8월'!$D:$D,$C505,'RAW_농산물_8월'!$A:$A,$E505)-SUMIFS('RAW_농산물_7월'!$H:$H,'RAW_농산물_7월'!$D:$D,$C505,'RAW_농산물_7월'!$A:$A,$E505)))</f>
        <v/>
      </c>
      <c r="P505" s="7" t="str">
        <f>IF($C505="","",IF(COUNTA('RAW_농산물_9월'!$A:$A)&lt;=1,"",SUMIFS('RAW_농산물_9월'!$H:$H,'RAW_농산물_9월'!$D:$D,$C505,'RAW_농산물_9월'!$A:$A,$E505)-SUMIFS('RAW_농산물_8월'!$H:$H,'RAW_농산물_8월'!$D:$D,$C505,'RAW_농산물_8월'!$A:$A,$E505)))</f>
        <v/>
      </c>
      <c r="Q505" s="7" t="str">
        <f>IF($C505="","",IF(COUNTA('RAW_농산물_10월'!$A:$A)&lt;=1,"",SUMIFS('RAW_농산물_10월'!$H:$H,'RAW_농산물_10월'!$D:$D,$C505,'RAW_농산물_10월'!$A:$A,$E505)-SUMIFS('RAW_농산물_9월'!$H:$H,'RAW_농산물_9월'!$D:$D,$C505,'RAW_농산물_9월'!$A:$A,$E505)))</f>
        <v/>
      </c>
      <c r="R505" s="7" t="str">
        <f>IF($C505="","",IF(COUNTA('RAW_농산물_11-12월'!$A:$A)&lt;=1,"",SUMIFS('RAW_농산물_11-12월'!$H:$H,'RAW_농산물_11-12월'!$D:$D,$C505,'RAW_농산물_11-12월'!$A:$A,$E505)-SUMIFS('RAW_농산물_10월'!$H:$H,'RAW_농산물_10월'!$D:$D,$C505,'RAW_농산물_10월'!$A:$A,$E505)))</f>
        <v/>
      </c>
      <c r="S505" s="17" t="str">
        <f t="shared" si="4"/>
        <v/>
      </c>
      <c r="T505" s="17" t="str">
        <f t="shared" si="5"/>
        <v/>
      </c>
      <c r="U505" s="7">
        <f>IF($C505="",0,IF('설정'!$B$3=0,0,CHOOSE('설정'!$B$3,COUNTIFS('RAW_농산물_7월'!$D:$D,$C505,'RAW_농산물_7월'!$A:$A,$E505),COUNTIFS('RAW_농산물_8월'!$D:$D,$C505,'RAW_농산물_8월'!$A:$A,$E505),COUNTIFS('RAW_농산물_9월'!$D:$D,$C505,'RAW_농산물_9월'!$A:$A,$E505),COUNTIFS('RAW_농산물_10월'!$D:$D,$C505,'RAW_농산물_10월'!$A:$A,$E505),COUNTIFS('RAW_농산물_11-12월'!$D:$D,$C505,'RAW_농산물_11-12월'!$A:$A,$E505))))</f>
        <v>0</v>
      </c>
    </row>
    <row r="506" ht="15.75" customHeight="1">
      <c r="A506" s="5"/>
      <c r="B506" s="5"/>
      <c r="C506" s="5"/>
      <c r="D506" s="6"/>
      <c r="E506" s="5"/>
      <c r="F506" s="7" t="str">
        <f>IF($C506="","",IF('설정'!$B$3=0,"",CHOOSE('설정'!$B$3,SUMIFS('RAW_농산물_7월'!$F:$F,'RAW_농산물_7월'!$D:$D,$C506,'RAW_농산물_7월'!$A:$A,$E506),SUMIFS('RAW_농산물_8월'!$F:$F,'RAW_농산물_8월'!$D:$D,$C506,'RAW_농산물_8월'!$A:$A,$E506),SUMIFS('RAW_농산물_9월'!$F:$F,'RAW_농산물_9월'!$D:$D,$C506,'RAW_농산물_9월'!$A:$A,$E506),SUMIFS('RAW_농산물_10월'!$F:$F,'RAW_농산물_10월'!$D:$D,$C506,'RAW_농산물_10월'!$A:$A,$E506),SUMIFS('RAW_농산물_11-12월'!$F:$F,'RAW_농산물_11-12월'!$D:$D,$C506,'RAW_농산물_11-12월'!$A:$A,$E506))))</f>
        <v/>
      </c>
      <c r="G506" s="7" t="str">
        <f>IF($C506="","",IF('설정'!$B$3=0,"",CHOOSE('설정'!$B$3,SUMIFS('RAW_농산물_7월'!$G:$G,'RAW_농산물_7월'!$D:$D,$C506,'RAW_농산물_7월'!$A:$A,$E506),SUMIFS('RAW_농산물_8월'!$G:$G,'RAW_농산물_8월'!$D:$D,$C506,'RAW_농산물_8월'!$A:$A,$E506),SUMIFS('RAW_농산물_9월'!$G:$G,'RAW_농산물_9월'!$D:$D,$C506,'RAW_농산물_9월'!$A:$A,$E506),SUMIFS('RAW_농산물_10월'!$G:$G,'RAW_농산물_10월'!$D:$D,$C506,'RAW_농산물_10월'!$A:$A,$E506),SUMIFS('RAW_농산물_11-12월'!$G:$G,'RAW_농산물_11-12월'!$D:$D,$C506,'RAW_농산물_11-12월'!$A:$A,$E506))))</f>
        <v/>
      </c>
      <c r="H506" s="14" t="str">
        <f>IF($C506="","",IF('설정'!$B$3=0,"",CHOOSE('설정'!$B$3,SUMIFS('RAW_농산물_7월'!$H:$H,'RAW_농산물_7월'!$D:$D,$C506,'RAW_농산물_7월'!$A:$A,$E506),SUMIFS('RAW_농산물_8월'!$H:$H,'RAW_농산물_8월'!$D:$D,$C506,'RAW_농산물_8월'!$A:$A,$E506),SUMIFS('RAW_농산물_9월'!$H:$H,'RAW_농산물_9월'!$D:$D,$C506,'RAW_농산물_9월'!$A:$A,$E506),SUMIFS('RAW_농산물_10월'!$H:$H,'RAW_농산물_10월'!$D:$D,$C506,'RAW_농산물_10월'!$A:$A,$E506),SUMIFS('RAW_농산물_11-12월'!$H:$H,'RAW_농산물_11-12월'!$D:$D,$C506,'RAW_농산물_11-12월'!$A:$A,$E506))))</f>
        <v/>
      </c>
      <c r="I506" s="17" t="str">
        <f>IF($C506="","",IF(COUNTIFS('RAW_농산물_7월'!$D:$D,$C506,'RAW_농산물_7월'!$A:$A,$E506)&gt;0,"O",""))</f>
        <v/>
      </c>
      <c r="J506" s="17" t="str">
        <f>IF($C506="","",IF(COUNTIFS('RAW_농산물_8월'!$D:$D,$C506,'RAW_농산물_8월'!$A:$A,$E506)&gt;0,"O",""))</f>
        <v/>
      </c>
      <c r="K506" s="17" t="str">
        <f>IF($C506="","",IF(COUNTIFS('RAW_농산물_9월'!$D:$D,$C506,'RAW_농산물_9월'!$A:$A,$E506)&gt;0,"O",""))</f>
        <v/>
      </c>
      <c r="L506" s="17" t="str">
        <f>IF($C506="","",IF(COUNTIFS('RAW_농산물_10월'!$D:$D,$C506,'RAW_농산물_10월'!$A:$A,$E506)&gt;0,"O",""))</f>
        <v/>
      </c>
      <c r="M506" s="17" t="str">
        <f>IF($C506="","",IF(COUNTIFS('RAW_농산물_11-12월'!$D:$D,$C506,'RAW_농산물_11-12월'!$A:$A,$E506)&gt;0,"O",""))</f>
        <v/>
      </c>
      <c r="N506" s="7" t="str">
        <f>IF($C506="","",IF(COUNTA('RAW_농산물_7월'!$A:$A)&lt;=1,"",SUMIFS('RAW_농산물_7월'!$H:$H,'RAW_농산물_7월'!$D:$D,$C506,'RAW_농산물_7월'!$A:$A,$E506)))</f>
        <v/>
      </c>
      <c r="O506" s="7" t="str">
        <f>IF($C506="","",IF(COUNTA('RAW_농산물_8월'!$A:$A)&lt;=1,"",SUMIFS('RAW_농산물_8월'!$H:$H,'RAW_농산물_8월'!$D:$D,$C506,'RAW_농산물_8월'!$A:$A,$E506)-SUMIFS('RAW_농산물_7월'!$H:$H,'RAW_농산물_7월'!$D:$D,$C506,'RAW_농산물_7월'!$A:$A,$E506)))</f>
        <v/>
      </c>
      <c r="P506" s="7" t="str">
        <f>IF($C506="","",IF(COUNTA('RAW_농산물_9월'!$A:$A)&lt;=1,"",SUMIFS('RAW_농산물_9월'!$H:$H,'RAW_농산물_9월'!$D:$D,$C506,'RAW_농산물_9월'!$A:$A,$E506)-SUMIFS('RAW_농산물_8월'!$H:$H,'RAW_농산물_8월'!$D:$D,$C506,'RAW_농산물_8월'!$A:$A,$E506)))</f>
        <v/>
      </c>
      <c r="Q506" s="7" t="str">
        <f>IF($C506="","",IF(COUNTA('RAW_농산물_10월'!$A:$A)&lt;=1,"",SUMIFS('RAW_농산물_10월'!$H:$H,'RAW_농산물_10월'!$D:$D,$C506,'RAW_농산물_10월'!$A:$A,$E506)-SUMIFS('RAW_농산물_9월'!$H:$H,'RAW_농산물_9월'!$D:$D,$C506,'RAW_농산물_9월'!$A:$A,$E506)))</f>
        <v/>
      </c>
      <c r="R506" s="7" t="str">
        <f>IF($C506="","",IF(COUNTA('RAW_농산물_11-12월'!$A:$A)&lt;=1,"",SUMIFS('RAW_농산물_11-12월'!$H:$H,'RAW_농산물_11-12월'!$D:$D,$C506,'RAW_농산물_11-12월'!$A:$A,$E506)-SUMIFS('RAW_농산물_10월'!$H:$H,'RAW_농산물_10월'!$D:$D,$C506,'RAW_농산물_10월'!$A:$A,$E506)))</f>
        <v/>
      </c>
      <c r="S506" s="17" t="str">
        <f t="shared" si="4"/>
        <v/>
      </c>
      <c r="T506" s="17" t="str">
        <f t="shared" si="5"/>
        <v/>
      </c>
      <c r="U506" s="7">
        <f>IF($C506="",0,IF('설정'!$B$3=0,0,CHOOSE('설정'!$B$3,COUNTIFS('RAW_농산물_7월'!$D:$D,$C506,'RAW_농산물_7월'!$A:$A,$E506),COUNTIFS('RAW_농산물_8월'!$D:$D,$C506,'RAW_농산물_8월'!$A:$A,$E506),COUNTIFS('RAW_농산물_9월'!$D:$D,$C506,'RAW_농산물_9월'!$A:$A,$E506),COUNTIFS('RAW_농산물_10월'!$D:$D,$C506,'RAW_농산물_10월'!$A:$A,$E506),COUNTIFS('RAW_농산물_11-12월'!$D:$D,$C506,'RAW_농산물_11-12월'!$A:$A,$E506))))</f>
        <v>0</v>
      </c>
    </row>
    <row r="507" ht="15.75" customHeight="1">
      <c r="A507" s="5"/>
      <c r="B507" s="5"/>
      <c r="C507" s="5"/>
      <c r="D507" s="6"/>
      <c r="E507" s="5"/>
      <c r="F507" s="7" t="str">
        <f>IF($C507="","",IF('설정'!$B$3=0,"",CHOOSE('설정'!$B$3,SUMIFS('RAW_농산물_7월'!$F:$F,'RAW_농산물_7월'!$D:$D,$C507,'RAW_농산물_7월'!$A:$A,$E507),SUMIFS('RAW_농산물_8월'!$F:$F,'RAW_농산물_8월'!$D:$D,$C507,'RAW_농산물_8월'!$A:$A,$E507),SUMIFS('RAW_농산물_9월'!$F:$F,'RAW_농산물_9월'!$D:$D,$C507,'RAW_농산물_9월'!$A:$A,$E507),SUMIFS('RAW_농산물_10월'!$F:$F,'RAW_농산물_10월'!$D:$D,$C507,'RAW_농산물_10월'!$A:$A,$E507),SUMIFS('RAW_농산물_11-12월'!$F:$F,'RAW_농산물_11-12월'!$D:$D,$C507,'RAW_농산물_11-12월'!$A:$A,$E507))))</f>
        <v/>
      </c>
      <c r="G507" s="7" t="str">
        <f>IF($C507="","",IF('설정'!$B$3=0,"",CHOOSE('설정'!$B$3,SUMIFS('RAW_농산물_7월'!$G:$G,'RAW_농산물_7월'!$D:$D,$C507,'RAW_농산물_7월'!$A:$A,$E507),SUMIFS('RAW_농산물_8월'!$G:$G,'RAW_농산물_8월'!$D:$D,$C507,'RAW_농산물_8월'!$A:$A,$E507),SUMIFS('RAW_농산물_9월'!$G:$G,'RAW_농산물_9월'!$D:$D,$C507,'RAW_농산물_9월'!$A:$A,$E507),SUMIFS('RAW_농산물_10월'!$G:$G,'RAW_농산물_10월'!$D:$D,$C507,'RAW_농산물_10월'!$A:$A,$E507),SUMIFS('RAW_농산물_11-12월'!$G:$G,'RAW_농산물_11-12월'!$D:$D,$C507,'RAW_농산물_11-12월'!$A:$A,$E507))))</f>
        <v/>
      </c>
      <c r="H507" s="14" t="str">
        <f>IF($C507="","",IF('설정'!$B$3=0,"",CHOOSE('설정'!$B$3,SUMIFS('RAW_농산물_7월'!$H:$H,'RAW_농산물_7월'!$D:$D,$C507,'RAW_농산물_7월'!$A:$A,$E507),SUMIFS('RAW_농산물_8월'!$H:$H,'RAW_농산물_8월'!$D:$D,$C507,'RAW_농산물_8월'!$A:$A,$E507),SUMIFS('RAW_농산물_9월'!$H:$H,'RAW_농산물_9월'!$D:$D,$C507,'RAW_농산물_9월'!$A:$A,$E507),SUMIFS('RAW_농산물_10월'!$H:$H,'RAW_농산물_10월'!$D:$D,$C507,'RAW_농산물_10월'!$A:$A,$E507),SUMIFS('RAW_농산물_11-12월'!$H:$H,'RAW_농산물_11-12월'!$D:$D,$C507,'RAW_농산물_11-12월'!$A:$A,$E507))))</f>
        <v/>
      </c>
      <c r="I507" s="17" t="str">
        <f>IF($C507="","",IF(COUNTIFS('RAW_농산물_7월'!$D:$D,$C507,'RAW_농산물_7월'!$A:$A,$E507)&gt;0,"O",""))</f>
        <v/>
      </c>
      <c r="J507" s="17" t="str">
        <f>IF($C507="","",IF(COUNTIFS('RAW_농산물_8월'!$D:$D,$C507,'RAW_농산물_8월'!$A:$A,$E507)&gt;0,"O",""))</f>
        <v/>
      </c>
      <c r="K507" s="17" t="str">
        <f>IF($C507="","",IF(COUNTIFS('RAW_농산물_9월'!$D:$D,$C507,'RAW_농산물_9월'!$A:$A,$E507)&gt;0,"O",""))</f>
        <v/>
      </c>
      <c r="L507" s="17" t="str">
        <f>IF($C507="","",IF(COUNTIFS('RAW_농산물_10월'!$D:$D,$C507,'RAW_농산물_10월'!$A:$A,$E507)&gt;0,"O",""))</f>
        <v/>
      </c>
      <c r="M507" s="17" t="str">
        <f>IF($C507="","",IF(COUNTIFS('RAW_농산물_11-12월'!$D:$D,$C507,'RAW_농산물_11-12월'!$A:$A,$E507)&gt;0,"O",""))</f>
        <v/>
      </c>
      <c r="N507" s="7" t="str">
        <f>IF($C507="","",IF(COUNTA('RAW_농산물_7월'!$A:$A)&lt;=1,"",SUMIFS('RAW_농산물_7월'!$H:$H,'RAW_농산물_7월'!$D:$D,$C507,'RAW_농산물_7월'!$A:$A,$E507)))</f>
        <v/>
      </c>
      <c r="O507" s="7" t="str">
        <f>IF($C507="","",IF(COUNTA('RAW_농산물_8월'!$A:$A)&lt;=1,"",SUMIFS('RAW_농산물_8월'!$H:$H,'RAW_농산물_8월'!$D:$D,$C507,'RAW_농산물_8월'!$A:$A,$E507)-SUMIFS('RAW_농산물_7월'!$H:$H,'RAW_농산물_7월'!$D:$D,$C507,'RAW_농산물_7월'!$A:$A,$E507)))</f>
        <v/>
      </c>
      <c r="P507" s="7" t="str">
        <f>IF($C507="","",IF(COUNTA('RAW_농산물_9월'!$A:$A)&lt;=1,"",SUMIFS('RAW_농산물_9월'!$H:$H,'RAW_농산물_9월'!$D:$D,$C507,'RAW_농산물_9월'!$A:$A,$E507)-SUMIFS('RAW_농산물_8월'!$H:$H,'RAW_농산물_8월'!$D:$D,$C507,'RAW_농산물_8월'!$A:$A,$E507)))</f>
        <v/>
      </c>
      <c r="Q507" s="7" t="str">
        <f>IF($C507="","",IF(COUNTA('RAW_농산물_10월'!$A:$A)&lt;=1,"",SUMIFS('RAW_농산물_10월'!$H:$H,'RAW_농산물_10월'!$D:$D,$C507,'RAW_농산물_10월'!$A:$A,$E507)-SUMIFS('RAW_농산물_9월'!$H:$H,'RAW_농산물_9월'!$D:$D,$C507,'RAW_농산물_9월'!$A:$A,$E507)))</f>
        <v/>
      </c>
      <c r="R507" s="7" t="str">
        <f>IF($C507="","",IF(COUNTA('RAW_농산물_11-12월'!$A:$A)&lt;=1,"",SUMIFS('RAW_농산물_11-12월'!$H:$H,'RAW_농산물_11-12월'!$D:$D,$C507,'RAW_농산물_11-12월'!$A:$A,$E507)-SUMIFS('RAW_농산물_10월'!$H:$H,'RAW_농산물_10월'!$D:$D,$C507,'RAW_농산물_10월'!$A:$A,$E507)))</f>
        <v/>
      </c>
      <c r="S507" s="17" t="str">
        <f t="shared" si="4"/>
        <v/>
      </c>
      <c r="T507" s="17" t="str">
        <f t="shared" si="5"/>
        <v/>
      </c>
      <c r="U507" s="7">
        <f>IF($C507="",0,IF('설정'!$B$3=0,0,CHOOSE('설정'!$B$3,COUNTIFS('RAW_농산물_7월'!$D:$D,$C507,'RAW_농산물_7월'!$A:$A,$E507),COUNTIFS('RAW_농산물_8월'!$D:$D,$C507,'RAW_농산물_8월'!$A:$A,$E507),COUNTIFS('RAW_농산물_9월'!$D:$D,$C507,'RAW_농산물_9월'!$A:$A,$E507),COUNTIFS('RAW_농산물_10월'!$D:$D,$C507,'RAW_농산물_10월'!$A:$A,$E507),COUNTIFS('RAW_농산물_11-12월'!$D:$D,$C507,'RAW_농산물_11-12월'!$A:$A,$E507))))</f>
        <v>0</v>
      </c>
    </row>
    <row r="508" ht="15.75" customHeight="1">
      <c r="A508" s="5"/>
      <c r="B508" s="5"/>
      <c r="C508" s="5"/>
      <c r="D508" s="6"/>
      <c r="E508" s="5"/>
      <c r="F508" s="7" t="str">
        <f>IF($C508="","",IF('설정'!$B$3=0,"",CHOOSE('설정'!$B$3,SUMIFS('RAW_농산물_7월'!$F:$F,'RAW_농산물_7월'!$D:$D,$C508,'RAW_농산물_7월'!$A:$A,$E508),SUMIFS('RAW_농산물_8월'!$F:$F,'RAW_농산물_8월'!$D:$D,$C508,'RAW_농산물_8월'!$A:$A,$E508),SUMIFS('RAW_농산물_9월'!$F:$F,'RAW_농산물_9월'!$D:$D,$C508,'RAW_농산물_9월'!$A:$A,$E508),SUMIFS('RAW_농산물_10월'!$F:$F,'RAW_농산물_10월'!$D:$D,$C508,'RAW_농산물_10월'!$A:$A,$E508),SUMIFS('RAW_농산물_11-12월'!$F:$F,'RAW_농산물_11-12월'!$D:$D,$C508,'RAW_농산물_11-12월'!$A:$A,$E508))))</f>
        <v/>
      </c>
      <c r="G508" s="7" t="str">
        <f>IF($C508="","",IF('설정'!$B$3=0,"",CHOOSE('설정'!$B$3,SUMIFS('RAW_농산물_7월'!$G:$G,'RAW_농산물_7월'!$D:$D,$C508,'RAW_농산물_7월'!$A:$A,$E508),SUMIFS('RAW_농산물_8월'!$G:$G,'RAW_농산물_8월'!$D:$D,$C508,'RAW_농산물_8월'!$A:$A,$E508),SUMIFS('RAW_농산물_9월'!$G:$G,'RAW_농산물_9월'!$D:$D,$C508,'RAW_농산물_9월'!$A:$A,$E508),SUMIFS('RAW_농산물_10월'!$G:$G,'RAW_농산물_10월'!$D:$D,$C508,'RAW_농산물_10월'!$A:$A,$E508),SUMIFS('RAW_농산물_11-12월'!$G:$G,'RAW_농산물_11-12월'!$D:$D,$C508,'RAW_농산물_11-12월'!$A:$A,$E508))))</f>
        <v/>
      </c>
      <c r="H508" s="14" t="str">
        <f>IF($C508="","",IF('설정'!$B$3=0,"",CHOOSE('설정'!$B$3,SUMIFS('RAW_농산물_7월'!$H:$H,'RAW_농산물_7월'!$D:$D,$C508,'RAW_농산물_7월'!$A:$A,$E508),SUMIFS('RAW_농산물_8월'!$H:$H,'RAW_농산물_8월'!$D:$D,$C508,'RAW_농산물_8월'!$A:$A,$E508),SUMIFS('RAW_농산물_9월'!$H:$H,'RAW_농산물_9월'!$D:$D,$C508,'RAW_농산물_9월'!$A:$A,$E508),SUMIFS('RAW_농산물_10월'!$H:$H,'RAW_농산물_10월'!$D:$D,$C508,'RAW_농산물_10월'!$A:$A,$E508),SUMIFS('RAW_농산물_11-12월'!$H:$H,'RAW_농산물_11-12월'!$D:$D,$C508,'RAW_농산물_11-12월'!$A:$A,$E508))))</f>
        <v/>
      </c>
      <c r="I508" s="17" t="str">
        <f>IF($C508="","",IF(COUNTIFS('RAW_농산물_7월'!$D:$D,$C508,'RAW_농산물_7월'!$A:$A,$E508)&gt;0,"O",""))</f>
        <v/>
      </c>
      <c r="J508" s="17" t="str">
        <f>IF($C508="","",IF(COUNTIFS('RAW_농산물_8월'!$D:$D,$C508,'RAW_농산물_8월'!$A:$A,$E508)&gt;0,"O",""))</f>
        <v/>
      </c>
      <c r="K508" s="17" t="str">
        <f>IF($C508="","",IF(COUNTIFS('RAW_농산물_9월'!$D:$D,$C508,'RAW_농산물_9월'!$A:$A,$E508)&gt;0,"O",""))</f>
        <v/>
      </c>
      <c r="L508" s="17" t="str">
        <f>IF($C508="","",IF(COUNTIFS('RAW_농산물_10월'!$D:$D,$C508,'RAW_농산물_10월'!$A:$A,$E508)&gt;0,"O",""))</f>
        <v/>
      </c>
      <c r="M508" s="17" t="str">
        <f>IF($C508="","",IF(COUNTIFS('RAW_농산물_11-12월'!$D:$D,$C508,'RAW_농산물_11-12월'!$A:$A,$E508)&gt;0,"O",""))</f>
        <v/>
      </c>
      <c r="N508" s="7" t="str">
        <f>IF($C508="","",IF(COUNTA('RAW_농산물_7월'!$A:$A)&lt;=1,"",SUMIFS('RAW_농산물_7월'!$H:$H,'RAW_농산물_7월'!$D:$D,$C508,'RAW_농산물_7월'!$A:$A,$E508)))</f>
        <v/>
      </c>
      <c r="O508" s="7" t="str">
        <f>IF($C508="","",IF(COUNTA('RAW_농산물_8월'!$A:$A)&lt;=1,"",SUMIFS('RAW_농산물_8월'!$H:$H,'RAW_농산물_8월'!$D:$D,$C508,'RAW_농산물_8월'!$A:$A,$E508)-SUMIFS('RAW_농산물_7월'!$H:$H,'RAW_농산물_7월'!$D:$D,$C508,'RAW_농산물_7월'!$A:$A,$E508)))</f>
        <v/>
      </c>
      <c r="P508" s="7" t="str">
        <f>IF($C508="","",IF(COUNTA('RAW_농산물_9월'!$A:$A)&lt;=1,"",SUMIFS('RAW_농산물_9월'!$H:$H,'RAW_농산물_9월'!$D:$D,$C508,'RAW_농산물_9월'!$A:$A,$E508)-SUMIFS('RAW_농산물_8월'!$H:$H,'RAW_농산물_8월'!$D:$D,$C508,'RAW_농산물_8월'!$A:$A,$E508)))</f>
        <v/>
      </c>
      <c r="Q508" s="7" t="str">
        <f>IF($C508="","",IF(COUNTA('RAW_농산물_10월'!$A:$A)&lt;=1,"",SUMIFS('RAW_농산물_10월'!$H:$H,'RAW_농산물_10월'!$D:$D,$C508,'RAW_농산물_10월'!$A:$A,$E508)-SUMIFS('RAW_농산물_9월'!$H:$H,'RAW_농산물_9월'!$D:$D,$C508,'RAW_농산물_9월'!$A:$A,$E508)))</f>
        <v/>
      </c>
      <c r="R508" s="7" t="str">
        <f>IF($C508="","",IF(COUNTA('RAW_농산물_11-12월'!$A:$A)&lt;=1,"",SUMIFS('RAW_농산물_11-12월'!$H:$H,'RAW_농산물_11-12월'!$D:$D,$C508,'RAW_농산물_11-12월'!$A:$A,$E508)-SUMIFS('RAW_농산물_10월'!$H:$H,'RAW_농산물_10월'!$D:$D,$C508,'RAW_농산물_10월'!$A:$A,$E508)))</f>
        <v/>
      </c>
      <c r="S508" s="17" t="str">
        <f t="shared" si="4"/>
        <v/>
      </c>
      <c r="T508" s="17" t="str">
        <f t="shared" si="5"/>
        <v/>
      </c>
      <c r="U508" s="7">
        <f>IF($C508="",0,IF('설정'!$B$3=0,0,CHOOSE('설정'!$B$3,COUNTIFS('RAW_농산물_7월'!$D:$D,$C508,'RAW_농산물_7월'!$A:$A,$E508),COUNTIFS('RAW_농산물_8월'!$D:$D,$C508,'RAW_농산물_8월'!$A:$A,$E508),COUNTIFS('RAW_농산물_9월'!$D:$D,$C508,'RAW_농산물_9월'!$A:$A,$E508),COUNTIFS('RAW_농산물_10월'!$D:$D,$C508,'RAW_농산물_10월'!$A:$A,$E508),COUNTIFS('RAW_농산물_11-12월'!$D:$D,$C508,'RAW_농산물_11-12월'!$A:$A,$E508))))</f>
        <v>0</v>
      </c>
    </row>
    <row r="509" ht="15.75" customHeight="1">
      <c r="A509" s="5"/>
      <c r="B509" s="5"/>
      <c r="C509" s="5"/>
      <c r="D509" s="6"/>
      <c r="E509" s="5"/>
      <c r="F509" s="7" t="str">
        <f>IF($C509="","",IF('설정'!$B$3=0,"",CHOOSE('설정'!$B$3,SUMIFS('RAW_농산물_7월'!$F:$F,'RAW_농산물_7월'!$D:$D,$C509,'RAW_농산물_7월'!$A:$A,$E509),SUMIFS('RAW_농산물_8월'!$F:$F,'RAW_농산물_8월'!$D:$D,$C509,'RAW_농산물_8월'!$A:$A,$E509),SUMIFS('RAW_농산물_9월'!$F:$F,'RAW_농산물_9월'!$D:$D,$C509,'RAW_농산물_9월'!$A:$A,$E509),SUMIFS('RAW_농산물_10월'!$F:$F,'RAW_농산물_10월'!$D:$D,$C509,'RAW_농산물_10월'!$A:$A,$E509),SUMIFS('RAW_농산물_11-12월'!$F:$F,'RAW_농산물_11-12월'!$D:$D,$C509,'RAW_농산물_11-12월'!$A:$A,$E509))))</f>
        <v/>
      </c>
      <c r="G509" s="7" t="str">
        <f>IF($C509="","",IF('설정'!$B$3=0,"",CHOOSE('설정'!$B$3,SUMIFS('RAW_농산물_7월'!$G:$G,'RAW_농산물_7월'!$D:$D,$C509,'RAW_농산물_7월'!$A:$A,$E509),SUMIFS('RAW_농산물_8월'!$G:$G,'RAW_농산물_8월'!$D:$D,$C509,'RAW_농산물_8월'!$A:$A,$E509),SUMIFS('RAW_농산물_9월'!$G:$G,'RAW_농산물_9월'!$D:$D,$C509,'RAW_농산물_9월'!$A:$A,$E509),SUMIFS('RAW_농산물_10월'!$G:$G,'RAW_농산물_10월'!$D:$D,$C509,'RAW_농산물_10월'!$A:$A,$E509),SUMIFS('RAW_농산물_11-12월'!$G:$G,'RAW_농산물_11-12월'!$D:$D,$C509,'RAW_농산물_11-12월'!$A:$A,$E509))))</f>
        <v/>
      </c>
      <c r="H509" s="14" t="str">
        <f>IF($C509="","",IF('설정'!$B$3=0,"",CHOOSE('설정'!$B$3,SUMIFS('RAW_농산물_7월'!$H:$H,'RAW_농산물_7월'!$D:$D,$C509,'RAW_농산물_7월'!$A:$A,$E509),SUMIFS('RAW_농산물_8월'!$H:$H,'RAW_농산물_8월'!$D:$D,$C509,'RAW_농산물_8월'!$A:$A,$E509),SUMIFS('RAW_농산물_9월'!$H:$H,'RAW_농산물_9월'!$D:$D,$C509,'RAW_농산물_9월'!$A:$A,$E509),SUMIFS('RAW_농산물_10월'!$H:$H,'RAW_농산물_10월'!$D:$D,$C509,'RAW_농산물_10월'!$A:$A,$E509),SUMIFS('RAW_농산물_11-12월'!$H:$H,'RAW_농산물_11-12월'!$D:$D,$C509,'RAW_농산물_11-12월'!$A:$A,$E509))))</f>
        <v/>
      </c>
      <c r="I509" s="17" t="str">
        <f>IF($C509="","",IF(COUNTIFS('RAW_농산물_7월'!$D:$D,$C509,'RAW_농산물_7월'!$A:$A,$E509)&gt;0,"O",""))</f>
        <v/>
      </c>
      <c r="J509" s="17" t="str">
        <f>IF($C509="","",IF(COUNTIFS('RAW_농산물_8월'!$D:$D,$C509,'RAW_농산물_8월'!$A:$A,$E509)&gt;0,"O",""))</f>
        <v/>
      </c>
      <c r="K509" s="17" t="str">
        <f>IF($C509="","",IF(COUNTIFS('RAW_농산물_9월'!$D:$D,$C509,'RAW_농산물_9월'!$A:$A,$E509)&gt;0,"O",""))</f>
        <v/>
      </c>
      <c r="L509" s="17" t="str">
        <f>IF($C509="","",IF(COUNTIFS('RAW_농산물_10월'!$D:$D,$C509,'RAW_농산물_10월'!$A:$A,$E509)&gt;0,"O",""))</f>
        <v/>
      </c>
      <c r="M509" s="17" t="str">
        <f>IF($C509="","",IF(COUNTIFS('RAW_농산물_11-12월'!$D:$D,$C509,'RAW_농산물_11-12월'!$A:$A,$E509)&gt;0,"O",""))</f>
        <v/>
      </c>
      <c r="N509" s="7" t="str">
        <f>IF($C509="","",IF(COUNTA('RAW_농산물_7월'!$A:$A)&lt;=1,"",SUMIFS('RAW_농산물_7월'!$H:$H,'RAW_농산물_7월'!$D:$D,$C509,'RAW_농산물_7월'!$A:$A,$E509)))</f>
        <v/>
      </c>
      <c r="O509" s="7" t="str">
        <f>IF($C509="","",IF(COUNTA('RAW_농산물_8월'!$A:$A)&lt;=1,"",SUMIFS('RAW_농산물_8월'!$H:$H,'RAW_농산물_8월'!$D:$D,$C509,'RAW_농산물_8월'!$A:$A,$E509)-SUMIFS('RAW_농산물_7월'!$H:$H,'RAW_농산물_7월'!$D:$D,$C509,'RAW_농산물_7월'!$A:$A,$E509)))</f>
        <v/>
      </c>
      <c r="P509" s="7" t="str">
        <f>IF($C509="","",IF(COUNTA('RAW_농산물_9월'!$A:$A)&lt;=1,"",SUMIFS('RAW_농산물_9월'!$H:$H,'RAW_농산물_9월'!$D:$D,$C509,'RAW_농산물_9월'!$A:$A,$E509)-SUMIFS('RAW_농산물_8월'!$H:$H,'RAW_농산물_8월'!$D:$D,$C509,'RAW_농산물_8월'!$A:$A,$E509)))</f>
        <v/>
      </c>
      <c r="Q509" s="7" t="str">
        <f>IF($C509="","",IF(COUNTA('RAW_농산물_10월'!$A:$A)&lt;=1,"",SUMIFS('RAW_농산물_10월'!$H:$H,'RAW_농산물_10월'!$D:$D,$C509,'RAW_농산물_10월'!$A:$A,$E509)-SUMIFS('RAW_농산물_9월'!$H:$H,'RAW_농산물_9월'!$D:$D,$C509,'RAW_농산물_9월'!$A:$A,$E509)))</f>
        <v/>
      </c>
      <c r="R509" s="7" t="str">
        <f>IF($C509="","",IF(COUNTA('RAW_농산물_11-12월'!$A:$A)&lt;=1,"",SUMIFS('RAW_농산물_11-12월'!$H:$H,'RAW_농산물_11-12월'!$D:$D,$C509,'RAW_농산물_11-12월'!$A:$A,$E509)-SUMIFS('RAW_농산물_10월'!$H:$H,'RAW_농산물_10월'!$D:$D,$C509,'RAW_농산물_10월'!$A:$A,$E509)))</f>
        <v/>
      </c>
      <c r="S509" s="17" t="str">
        <f t="shared" si="4"/>
        <v/>
      </c>
      <c r="T509" s="17" t="str">
        <f t="shared" si="5"/>
        <v/>
      </c>
      <c r="U509" s="7">
        <f>IF($C509="",0,IF('설정'!$B$3=0,0,CHOOSE('설정'!$B$3,COUNTIFS('RAW_농산물_7월'!$D:$D,$C509,'RAW_농산물_7월'!$A:$A,$E509),COUNTIFS('RAW_농산물_8월'!$D:$D,$C509,'RAW_농산물_8월'!$A:$A,$E509),COUNTIFS('RAW_농산물_9월'!$D:$D,$C509,'RAW_농산물_9월'!$A:$A,$E509),COUNTIFS('RAW_농산물_10월'!$D:$D,$C509,'RAW_농산물_10월'!$A:$A,$E509),COUNTIFS('RAW_농산물_11-12월'!$D:$D,$C509,'RAW_농산물_11-12월'!$A:$A,$E509))))</f>
        <v>0</v>
      </c>
    </row>
    <row r="510" ht="15.75" customHeight="1">
      <c r="A510" s="5"/>
      <c r="B510" s="5"/>
      <c r="C510" s="5"/>
      <c r="D510" s="6"/>
      <c r="E510" s="5"/>
      <c r="F510" s="7" t="str">
        <f>IF($C510="","",IF('설정'!$B$3=0,"",CHOOSE('설정'!$B$3,SUMIFS('RAW_농산물_7월'!$F:$F,'RAW_농산물_7월'!$D:$D,$C510,'RAW_농산물_7월'!$A:$A,$E510),SUMIFS('RAW_농산물_8월'!$F:$F,'RAW_농산물_8월'!$D:$D,$C510,'RAW_농산물_8월'!$A:$A,$E510),SUMIFS('RAW_농산물_9월'!$F:$F,'RAW_농산물_9월'!$D:$D,$C510,'RAW_농산물_9월'!$A:$A,$E510),SUMIFS('RAW_농산물_10월'!$F:$F,'RAW_농산물_10월'!$D:$D,$C510,'RAW_농산물_10월'!$A:$A,$E510),SUMIFS('RAW_농산물_11-12월'!$F:$F,'RAW_농산물_11-12월'!$D:$D,$C510,'RAW_농산물_11-12월'!$A:$A,$E510))))</f>
        <v/>
      </c>
      <c r="G510" s="7" t="str">
        <f>IF($C510="","",IF('설정'!$B$3=0,"",CHOOSE('설정'!$B$3,SUMIFS('RAW_농산물_7월'!$G:$G,'RAW_농산물_7월'!$D:$D,$C510,'RAW_농산물_7월'!$A:$A,$E510),SUMIFS('RAW_농산물_8월'!$G:$G,'RAW_농산물_8월'!$D:$D,$C510,'RAW_농산물_8월'!$A:$A,$E510),SUMIFS('RAW_농산물_9월'!$G:$G,'RAW_농산물_9월'!$D:$D,$C510,'RAW_농산물_9월'!$A:$A,$E510),SUMIFS('RAW_농산물_10월'!$G:$G,'RAW_농산물_10월'!$D:$D,$C510,'RAW_농산물_10월'!$A:$A,$E510),SUMIFS('RAW_농산물_11-12월'!$G:$G,'RAW_농산물_11-12월'!$D:$D,$C510,'RAW_농산물_11-12월'!$A:$A,$E510))))</f>
        <v/>
      </c>
      <c r="H510" s="14" t="str">
        <f>IF($C510="","",IF('설정'!$B$3=0,"",CHOOSE('설정'!$B$3,SUMIFS('RAW_농산물_7월'!$H:$H,'RAW_농산물_7월'!$D:$D,$C510,'RAW_농산물_7월'!$A:$A,$E510),SUMIFS('RAW_농산물_8월'!$H:$H,'RAW_농산물_8월'!$D:$D,$C510,'RAW_농산물_8월'!$A:$A,$E510),SUMIFS('RAW_농산물_9월'!$H:$H,'RAW_농산물_9월'!$D:$D,$C510,'RAW_농산물_9월'!$A:$A,$E510),SUMIFS('RAW_농산물_10월'!$H:$H,'RAW_농산물_10월'!$D:$D,$C510,'RAW_농산물_10월'!$A:$A,$E510),SUMIFS('RAW_농산물_11-12월'!$H:$H,'RAW_농산물_11-12월'!$D:$D,$C510,'RAW_농산물_11-12월'!$A:$A,$E510))))</f>
        <v/>
      </c>
      <c r="I510" s="17" t="str">
        <f>IF($C510="","",IF(COUNTIFS('RAW_농산물_7월'!$D:$D,$C510,'RAW_농산물_7월'!$A:$A,$E510)&gt;0,"O",""))</f>
        <v/>
      </c>
      <c r="J510" s="17" t="str">
        <f>IF($C510="","",IF(COUNTIFS('RAW_농산물_8월'!$D:$D,$C510,'RAW_농산물_8월'!$A:$A,$E510)&gt;0,"O",""))</f>
        <v/>
      </c>
      <c r="K510" s="17" t="str">
        <f>IF($C510="","",IF(COUNTIFS('RAW_농산물_9월'!$D:$D,$C510,'RAW_농산물_9월'!$A:$A,$E510)&gt;0,"O",""))</f>
        <v/>
      </c>
      <c r="L510" s="17" t="str">
        <f>IF($C510="","",IF(COUNTIFS('RAW_농산물_10월'!$D:$D,$C510,'RAW_농산물_10월'!$A:$A,$E510)&gt;0,"O",""))</f>
        <v/>
      </c>
      <c r="M510" s="17" t="str">
        <f>IF($C510="","",IF(COUNTIFS('RAW_농산물_11-12월'!$D:$D,$C510,'RAW_농산물_11-12월'!$A:$A,$E510)&gt;0,"O",""))</f>
        <v/>
      </c>
      <c r="N510" s="7" t="str">
        <f>IF($C510="","",IF(COUNTA('RAW_농산물_7월'!$A:$A)&lt;=1,"",SUMIFS('RAW_농산물_7월'!$H:$H,'RAW_농산물_7월'!$D:$D,$C510,'RAW_농산물_7월'!$A:$A,$E510)))</f>
        <v/>
      </c>
      <c r="O510" s="7" t="str">
        <f>IF($C510="","",IF(COUNTA('RAW_농산물_8월'!$A:$A)&lt;=1,"",SUMIFS('RAW_농산물_8월'!$H:$H,'RAW_농산물_8월'!$D:$D,$C510,'RAW_농산물_8월'!$A:$A,$E510)-SUMIFS('RAW_농산물_7월'!$H:$H,'RAW_농산물_7월'!$D:$D,$C510,'RAW_농산물_7월'!$A:$A,$E510)))</f>
        <v/>
      </c>
      <c r="P510" s="7" t="str">
        <f>IF($C510="","",IF(COUNTA('RAW_농산물_9월'!$A:$A)&lt;=1,"",SUMIFS('RAW_농산물_9월'!$H:$H,'RAW_농산물_9월'!$D:$D,$C510,'RAW_농산물_9월'!$A:$A,$E510)-SUMIFS('RAW_농산물_8월'!$H:$H,'RAW_농산물_8월'!$D:$D,$C510,'RAW_농산물_8월'!$A:$A,$E510)))</f>
        <v/>
      </c>
      <c r="Q510" s="7" t="str">
        <f>IF($C510="","",IF(COUNTA('RAW_농산물_10월'!$A:$A)&lt;=1,"",SUMIFS('RAW_농산물_10월'!$H:$H,'RAW_농산물_10월'!$D:$D,$C510,'RAW_농산물_10월'!$A:$A,$E510)-SUMIFS('RAW_농산물_9월'!$H:$H,'RAW_농산물_9월'!$D:$D,$C510,'RAW_농산물_9월'!$A:$A,$E510)))</f>
        <v/>
      </c>
      <c r="R510" s="7" t="str">
        <f>IF($C510="","",IF(COUNTA('RAW_농산물_11-12월'!$A:$A)&lt;=1,"",SUMIFS('RAW_농산물_11-12월'!$H:$H,'RAW_농산물_11-12월'!$D:$D,$C510,'RAW_농산물_11-12월'!$A:$A,$E510)-SUMIFS('RAW_농산물_10월'!$H:$H,'RAW_농산물_10월'!$D:$D,$C510,'RAW_농산물_10월'!$A:$A,$E510)))</f>
        <v/>
      </c>
      <c r="S510" s="17" t="str">
        <f t="shared" si="4"/>
        <v/>
      </c>
      <c r="T510" s="17" t="str">
        <f t="shared" si="5"/>
        <v/>
      </c>
      <c r="U510" s="7">
        <f>IF($C510="",0,IF('설정'!$B$3=0,0,CHOOSE('설정'!$B$3,COUNTIFS('RAW_농산물_7월'!$D:$D,$C510,'RAW_농산물_7월'!$A:$A,$E510),COUNTIFS('RAW_농산물_8월'!$D:$D,$C510,'RAW_농산물_8월'!$A:$A,$E510),COUNTIFS('RAW_농산물_9월'!$D:$D,$C510,'RAW_농산물_9월'!$A:$A,$E510),COUNTIFS('RAW_농산물_10월'!$D:$D,$C510,'RAW_농산물_10월'!$A:$A,$E510),COUNTIFS('RAW_농산물_11-12월'!$D:$D,$C510,'RAW_농산물_11-12월'!$A:$A,$E510))))</f>
        <v>0</v>
      </c>
    </row>
    <row r="511" ht="15.75" customHeight="1">
      <c r="A511" s="5"/>
      <c r="B511" s="5"/>
      <c r="C511" s="5"/>
      <c r="D511" s="6"/>
      <c r="E511" s="5"/>
      <c r="F511" s="7" t="str">
        <f>IF($C511="","",IF('설정'!$B$3=0,"",CHOOSE('설정'!$B$3,SUMIFS('RAW_농산물_7월'!$F:$F,'RAW_농산물_7월'!$D:$D,$C511,'RAW_농산물_7월'!$A:$A,$E511),SUMIFS('RAW_농산물_8월'!$F:$F,'RAW_농산물_8월'!$D:$D,$C511,'RAW_농산물_8월'!$A:$A,$E511),SUMIFS('RAW_농산물_9월'!$F:$F,'RAW_농산물_9월'!$D:$D,$C511,'RAW_농산물_9월'!$A:$A,$E511),SUMIFS('RAW_농산물_10월'!$F:$F,'RAW_농산물_10월'!$D:$D,$C511,'RAW_농산물_10월'!$A:$A,$E511),SUMIFS('RAW_농산물_11-12월'!$F:$F,'RAW_농산물_11-12월'!$D:$D,$C511,'RAW_농산물_11-12월'!$A:$A,$E511))))</f>
        <v/>
      </c>
      <c r="G511" s="7" t="str">
        <f>IF($C511="","",IF('설정'!$B$3=0,"",CHOOSE('설정'!$B$3,SUMIFS('RAW_농산물_7월'!$G:$G,'RAW_농산물_7월'!$D:$D,$C511,'RAW_농산물_7월'!$A:$A,$E511),SUMIFS('RAW_농산물_8월'!$G:$G,'RAW_농산물_8월'!$D:$D,$C511,'RAW_농산물_8월'!$A:$A,$E511),SUMIFS('RAW_농산물_9월'!$G:$G,'RAW_농산물_9월'!$D:$D,$C511,'RAW_농산물_9월'!$A:$A,$E511),SUMIFS('RAW_농산물_10월'!$G:$G,'RAW_농산물_10월'!$D:$D,$C511,'RAW_농산물_10월'!$A:$A,$E511),SUMIFS('RAW_농산물_11-12월'!$G:$G,'RAW_농산물_11-12월'!$D:$D,$C511,'RAW_농산물_11-12월'!$A:$A,$E511))))</f>
        <v/>
      </c>
      <c r="H511" s="14" t="str">
        <f>IF($C511="","",IF('설정'!$B$3=0,"",CHOOSE('설정'!$B$3,SUMIFS('RAW_농산물_7월'!$H:$H,'RAW_농산물_7월'!$D:$D,$C511,'RAW_농산물_7월'!$A:$A,$E511),SUMIFS('RAW_농산물_8월'!$H:$H,'RAW_농산물_8월'!$D:$D,$C511,'RAW_농산물_8월'!$A:$A,$E511),SUMIFS('RAW_농산물_9월'!$H:$H,'RAW_농산물_9월'!$D:$D,$C511,'RAW_농산물_9월'!$A:$A,$E511),SUMIFS('RAW_농산물_10월'!$H:$H,'RAW_농산물_10월'!$D:$D,$C511,'RAW_농산물_10월'!$A:$A,$E511),SUMIFS('RAW_농산물_11-12월'!$H:$H,'RAW_농산물_11-12월'!$D:$D,$C511,'RAW_농산물_11-12월'!$A:$A,$E511))))</f>
        <v/>
      </c>
      <c r="I511" s="17" t="str">
        <f>IF($C511="","",IF(COUNTIFS('RAW_농산물_7월'!$D:$D,$C511,'RAW_농산물_7월'!$A:$A,$E511)&gt;0,"O",""))</f>
        <v/>
      </c>
      <c r="J511" s="17" t="str">
        <f>IF($C511="","",IF(COUNTIFS('RAW_농산물_8월'!$D:$D,$C511,'RAW_농산물_8월'!$A:$A,$E511)&gt;0,"O",""))</f>
        <v/>
      </c>
      <c r="K511" s="17" t="str">
        <f>IF($C511="","",IF(COUNTIFS('RAW_농산물_9월'!$D:$D,$C511,'RAW_농산물_9월'!$A:$A,$E511)&gt;0,"O",""))</f>
        <v/>
      </c>
      <c r="L511" s="17" t="str">
        <f>IF($C511="","",IF(COUNTIFS('RAW_농산물_10월'!$D:$D,$C511,'RAW_농산물_10월'!$A:$A,$E511)&gt;0,"O",""))</f>
        <v/>
      </c>
      <c r="M511" s="17" t="str">
        <f>IF($C511="","",IF(COUNTIFS('RAW_농산물_11-12월'!$D:$D,$C511,'RAW_농산물_11-12월'!$A:$A,$E511)&gt;0,"O",""))</f>
        <v/>
      </c>
      <c r="N511" s="7" t="str">
        <f>IF($C511="","",IF(COUNTA('RAW_농산물_7월'!$A:$A)&lt;=1,"",SUMIFS('RAW_농산물_7월'!$H:$H,'RAW_농산물_7월'!$D:$D,$C511,'RAW_농산물_7월'!$A:$A,$E511)))</f>
        <v/>
      </c>
      <c r="O511" s="7" t="str">
        <f>IF($C511="","",IF(COUNTA('RAW_농산물_8월'!$A:$A)&lt;=1,"",SUMIFS('RAW_농산물_8월'!$H:$H,'RAW_농산물_8월'!$D:$D,$C511,'RAW_농산물_8월'!$A:$A,$E511)-SUMIFS('RAW_농산물_7월'!$H:$H,'RAW_농산물_7월'!$D:$D,$C511,'RAW_농산물_7월'!$A:$A,$E511)))</f>
        <v/>
      </c>
      <c r="P511" s="7" t="str">
        <f>IF($C511="","",IF(COUNTA('RAW_농산물_9월'!$A:$A)&lt;=1,"",SUMIFS('RAW_농산물_9월'!$H:$H,'RAW_농산물_9월'!$D:$D,$C511,'RAW_농산물_9월'!$A:$A,$E511)-SUMIFS('RAW_농산물_8월'!$H:$H,'RAW_농산물_8월'!$D:$D,$C511,'RAW_농산물_8월'!$A:$A,$E511)))</f>
        <v/>
      </c>
      <c r="Q511" s="7" t="str">
        <f>IF($C511="","",IF(COUNTA('RAW_농산물_10월'!$A:$A)&lt;=1,"",SUMIFS('RAW_농산물_10월'!$H:$H,'RAW_농산물_10월'!$D:$D,$C511,'RAW_농산물_10월'!$A:$A,$E511)-SUMIFS('RAW_농산물_9월'!$H:$H,'RAW_농산물_9월'!$D:$D,$C511,'RAW_농산물_9월'!$A:$A,$E511)))</f>
        <v/>
      </c>
      <c r="R511" s="7" t="str">
        <f>IF($C511="","",IF(COUNTA('RAW_농산물_11-12월'!$A:$A)&lt;=1,"",SUMIFS('RAW_농산물_11-12월'!$H:$H,'RAW_농산물_11-12월'!$D:$D,$C511,'RAW_농산물_11-12월'!$A:$A,$E511)-SUMIFS('RAW_농산물_10월'!$H:$H,'RAW_농산물_10월'!$D:$D,$C511,'RAW_농산물_10월'!$A:$A,$E511)))</f>
        <v/>
      </c>
      <c r="S511" s="17" t="str">
        <f t="shared" si="4"/>
        <v/>
      </c>
      <c r="T511" s="17" t="str">
        <f t="shared" si="5"/>
        <v/>
      </c>
      <c r="U511" s="7">
        <f>IF($C511="",0,IF('설정'!$B$3=0,0,CHOOSE('설정'!$B$3,COUNTIFS('RAW_농산물_7월'!$D:$D,$C511,'RAW_농산물_7월'!$A:$A,$E511),COUNTIFS('RAW_농산물_8월'!$D:$D,$C511,'RAW_농산물_8월'!$A:$A,$E511),COUNTIFS('RAW_농산물_9월'!$D:$D,$C511,'RAW_농산물_9월'!$A:$A,$E511),COUNTIFS('RAW_농산물_10월'!$D:$D,$C511,'RAW_농산물_10월'!$A:$A,$E511),COUNTIFS('RAW_농산물_11-12월'!$D:$D,$C511,'RAW_농산물_11-12월'!$A:$A,$E511))))</f>
        <v>0</v>
      </c>
    </row>
    <row r="512" ht="15.75" customHeight="1">
      <c r="A512" s="5"/>
      <c r="B512" s="5"/>
      <c r="C512" s="5"/>
      <c r="D512" s="6"/>
      <c r="E512" s="5"/>
      <c r="F512" s="7" t="str">
        <f>IF($C512="","",IF('설정'!$B$3=0,"",CHOOSE('설정'!$B$3,SUMIFS('RAW_농산물_7월'!$F:$F,'RAW_농산물_7월'!$D:$D,$C512,'RAW_농산물_7월'!$A:$A,$E512),SUMIFS('RAW_농산물_8월'!$F:$F,'RAW_농산물_8월'!$D:$D,$C512,'RAW_농산물_8월'!$A:$A,$E512),SUMIFS('RAW_농산물_9월'!$F:$F,'RAW_농산물_9월'!$D:$D,$C512,'RAW_농산물_9월'!$A:$A,$E512),SUMIFS('RAW_농산물_10월'!$F:$F,'RAW_농산물_10월'!$D:$D,$C512,'RAW_농산물_10월'!$A:$A,$E512),SUMIFS('RAW_농산물_11-12월'!$F:$F,'RAW_농산물_11-12월'!$D:$D,$C512,'RAW_농산물_11-12월'!$A:$A,$E512))))</f>
        <v/>
      </c>
      <c r="G512" s="7" t="str">
        <f>IF($C512="","",IF('설정'!$B$3=0,"",CHOOSE('설정'!$B$3,SUMIFS('RAW_농산물_7월'!$G:$G,'RAW_농산물_7월'!$D:$D,$C512,'RAW_농산물_7월'!$A:$A,$E512),SUMIFS('RAW_농산물_8월'!$G:$G,'RAW_농산물_8월'!$D:$D,$C512,'RAW_농산물_8월'!$A:$A,$E512),SUMIFS('RAW_농산물_9월'!$G:$G,'RAW_농산물_9월'!$D:$D,$C512,'RAW_농산물_9월'!$A:$A,$E512),SUMIFS('RAW_농산물_10월'!$G:$G,'RAW_농산물_10월'!$D:$D,$C512,'RAW_농산물_10월'!$A:$A,$E512),SUMIFS('RAW_농산물_11-12월'!$G:$G,'RAW_농산물_11-12월'!$D:$D,$C512,'RAW_농산물_11-12월'!$A:$A,$E512))))</f>
        <v/>
      </c>
      <c r="H512" s="14" t="str">
        <f>IF($C512="","",IF('설정'!$B$3=0,"",CHOOSE('설정'!$B$3,SUMIFS('RAW_농산물_7월'!$H:$H,'RAW_농산물_7월'!$D:$D,$C512,'RAW_농산물_7월'!$A:$A,$E512),SUMIFS('RAW_농산물_8월'!$H:$H,'RAW_농산물_8월'!$D:$D,$C512,'RAW_농산물_8월'!$A:$A,$E512),SUMIFS('RAW_농산물_9월'!$H:$H,'RAW_농산물_9월'!$D:$D,$C512,'RAW_농산물_9월'!$A:$A,$E512),SUMIFS('RAW_농산물_10월'!$H:$H,'RAW_농산물_10월'!$D:$D,$C512,'RAW_농산물_10월'!$A:$A,$E512),SUMIFS('RAW_농산물_11-12월'!$H:$H,'RAW_농산물_11-12월'!$D:$D,$C512,'RAW_농산물_11-12월'!$A:$A,$E512))))</f>
        <v/>
      </c>
      <c r="I512" s="17" t="str">
        <f>IF($C512="","",IF(COUNTIFS('RAW_농산물_7월'!$D:$D,$C512,'RAW_농산물_7월'!$A:$A,$E512)&gt;0,"O",""))</f>
        <v/>
      </c>
      <c r="J512" s="17" t="str">
        <f>IF($C512="","",IF(COUNTIFS('RAW_농산물_8월'!$D:$D,$C512,'RAW_농산물_8월'!$A:$A,$E512)&gt;0,"O",""))</f>
        <v/>
      </c>
      <c r="K512" s="17" t="str">
        <f>IF($C512="","",IF(COUNTIFS('RAW_농산물_9월'!$D:$D,$C512,'RAW_농산물_9월'!$A:$A,$E512)&gt;0,"O",""))</f>
        <v/>
      </c>
      <c r="L512" s="17" t="str">
        <f>IF($C512="","",IF(COUNTIFS('RAW_농산물_10월'!$D:$D,$C512,'RAW_농산물_10월'!$A:$A,$E512)&gt;0,"O",""))</f>
        <v/>
      </c>
      <c r="M512" s="17" t="str">
        <f>IF($C512="","",IF(COUNTIFS('RAW_농산물_11-12월'!$D:$D,$C512,'RAW_농산물_11-12월'!$A:$A,$E512)&gt;0,"O",""))</f>
        <v/>
      </c>
      <c r="N512" s="7" t="str">
        <f>IF($C512="","",IF(COUNTA('RAW_농산물_7월'!$A:$A)&lt;=1,"",SUMIFS('RAW_농산물_7월'!$H:$H,'RAW_농산물_7월'!$D:$D,$C512,'RAW_농산물_7월'!$A:$A,$E512)))</f>
        <v/>
      </c>
      <c r="O512" s="7" t="str">
        <f>IF($C512="","",IF(COUNTA('RAW_농산물_8월'!$A:$A)&lt;=1,"",SUMIFS('RAW_농산물_8월'!$H:$H,'RAW_농산물_8월'!$D:$D,$C512,'RAW_농산물_8월'!$A:$A,$E512)-SUMIFS('RAW_농산물_7월'!$H:$H,'RAW_농산물_7월'!$D:$D,$C512,'RAW_농산물_7월'!$A:$A,$E512)))</f>
        <v/>
      </c>
      <c r="P512" s="7" t="str">
        <f>IF($C512="","",IF(COUNTA('RAW_농산물_9월'!$A:$A)&lt;=1,"",SUMIFS('RAW_농산물_9월'!$H:$H,'RAW_농산물_9월'!$D:$D,$C512,'RAW_농산물_9월'!$A:$A,$E512)-SUMIFS('RAW_농산물_8월'!$H:$H,'RAW_농산물_8월'!$D:$D,$C512,'RAW_농산물_8월'!$A:$A,$E512)))</f>
        <v/>
      </c>
      <c r="Q512" s="7" t="str">
        <f>IF($C512="","",IF(COUNTA('RAW_농산물_10월'!$A:$A)&lt;=1,"",SUMIFS('RAW_농산물_10월'!$H:$H,'RAW_농산물_10월'!$D:$D,$C512,'RAW_농산물_10월'!$A:$A,$E512)-SUMIFS('RAW_농산물_9월'!$H:$H,'RAW_농산물_9월'!$D:$D,$C512,'RAW_농산물_9월'!$A:$A,$E512)))</f>
        <v/>
      </c>
      <c r="R512" s="7" t="str">
        <f>IF($C512="","",IF(COUNTA('RAW_농산물_11-12월'!$A:$A)&lt;=1,"",SUMIFS('RAW_농산물_11-12월'!$H:$H,'RAW_농산물_11-12월'!$D:$D,$C512,'RAW_농산물_11-12월'!$A:$A,$E512)-SUMIFS('RAW_농산물_10월'!$H:$H,'RAW_농산물_10월'!$D:$D,$C512,'RAW_농산물_10월'!$A:$A,$E512)))</f>
        <v/>
      </c>
      <c r="S512" s="17" t="str">
        <f t="shared" si="4"/>
        <v/>
      </c>
      <c r="T512" s="17" t="str">
        <f t="shared" si="5"/>
        <v/>
      </c>
      <c r="U512" s="7">
        <f>IF($C512="",0,IF('설정'!$B$3=0,0,CHOOSE('설정'!$B$3,COUNTIFS('RAW_농산물_7월'!$D:$D,$C512,'RAW_농산물_7월'!$A:$A,$E512),COUNTIFS('RAW_농산물_8월'!$D:$D,$C512,'RAW_농산물_8월'!$A:$A,$E512),COUNTIFS('RAW_농산물_9월'!$D:$D,$C512,'RAW_농산물_9월'!$A:$A,$E512),COUNTIFS('RAW_농산물_10월'!$D:$D,$C512,'RAW_농산물_10월'!$A:$A,$E512),COUNTIFS('RAW_농산물_11-12월'!$D:$D,$C512,'RAW_농산물_11-12월'!$A:$A,$E512))))</f>
        <v>0</v>
      </c>
    </row>
    <row r="513" ht="15.75" customHeight="1">
      <c r="A513" s="5"/>
      <c r="B513" s="5"/>
      <c r="C513" s="5"/>
      <c r="D513" s="6"/>
      <c r="E513" s="5"/>
      <c r="F513" s="7" t="str">
        <f>IF($C513="","",IF('설정'!$B$3=0,"",CHOOSE('설정'!$B$3,SUMIFS('RAW_농산물_7월'!$F:$F,'RAW_농산물_7월'!$D:$D,$C513,'RAW_농산물_7월'!$A:$A,$E513),SUMIFS('RAW_농산물_8월'!$F:$F,'RAW_농산물_8월'!$D:$D,$C513,'RAW_농산물_8월'!$A:$A,$E513),SUMIFS('RAW_농산물_9월'!$F:$F,'RAW_농산물_9월'!$D:$D,$C513,'RAW_농산물_9월'!$A:$A,$E513),SUMIFS('RAW_농산물_10월'!$F:$F,'RAW_농산물_10월'!$D:$D,$C513,'RAW_농산물_10월'!$A:$A,$E513),SUMIFS('RAW_농산물_11-12월'!$F:$F,'RAW_농산물_11-12월'!$D:$D,$C513,'RAW_농산물_11-12월'!$A:$A,$E513))))</f>
        <v/>
      </c>
      <c r="G513" s="7" t="str">
        <f>IF($C513="","",IF('설정'!$B$3=0,"",CHOOSE('설정'!$B$3,SUMIFS('RAW_농산물_7월'!$G:$G,'RAW_농산물_7월'!$D:$D,$C513,'RAW_농산물_7월'!$A:$A,$E513),SUMIFS('RAW_농산물_8월'!$G:$G,'RAW_농산물_8월'!$D:$D,$C513,'RAW_농산물_8월'!$A:$A,$E513),SUMIFS('RAW_농산물_9월'!$G:$G,'RAW_농산물_9월'!$D:$D,$C513,'RAW_농산물_9월'!$A:$A,$E513),SUMIFS('RAW_농산물_10월'!$G:$G,'RAW_농산물_10월'!$D:$D,$C513,'RAW_농산물_10월'!$A:$A,$E513),SUMIFS('RAW_농산물_11-12월'!$G:$G,'RAW_농산물_11-12월'!$D:$D,$C513,'RAW_농산물_11-12월'!$A:$A,$E513))))</f>
        <v/>
      </c>
      <c r="H513" s="14" t="str">
        <f>IF($C513="","",IF('설정'!$B$3=0,"",CHOOSE('설정'!$B$3,SUMIFS('RAW_농산물_7월'!$H:$H,'RAW_농산물_7월'!$D:$D,$C513,'RAW_농산물_7월'!$A:$A,$E513),SUMIFS('RAW_농산물_8월'!$H:$H,'RAW_농산물_8월'!$D:$D,$C513,'RAW_농산물_8월'!$A:$A,$E513),SUMIFS('RAW_농산물_9월'!$H:$H,'RAW_농산물_9월'!$D:$D,$C513,'RAW_농산물_9월'!$A:$A,$E513),SUMIFS('RAW_농산물_10월'!$H:$H,'RAW_농산물_10월'!$D:$D,$C513,'RAW_농산물_10월'!$A:$A,$E513),SUMIFS('RAW_농산물_11-12월'!$H:$H,'RAW_농산물_11-12월'!$D:$D,$C513,'RAW_농산물_11-12월'!$A:$A,$E513))))</f>
        <v/>
      </c>
      <c r="I513" s="17" t="str">
        <f>IF($C513="","",IF(COUNTIFS('RAW_농산물_7월'!$D:$D,$C513,'RAW_농산물_7월'!$A:$A,$E513)&gt;0,"O",""))</f>
        <v/>
      </c>
      <c r="J513" s="17" t="str">
        <f>IF($C513="","",IF(COUNTIFS('RAW_농산물_8월'!$D:$D,$C513,'RAW_농산물_8월'!$A:$A,$E513)&gt;0,"O",""))</f>
        <v/>
      </c>
      <c r="K513" s="17" t="str">
        <f>IF($C513="","",IF(COUNTIFS('RAW_농산물_9월'!$D:$D,$C513,'RAW_농산물_9월'!$A:$A,$E513)&gt;0,"O",""))</f>
        <v/>
      </c>
      <c r="L513" s="17" t="str">
        <f>IF($C513="","",IF(COUNTIFS('RAW_농산물_10월'!$D:$D,$C513,'RAW_농산물_10월'!$A:$A,$E513)&gt;0,"O",""))</f>
        <v/>
      </c>
      <c r="M513" s="17" t="str">
        <f>IF($C513="","",IF(COUNTIFS('RAW_농산물_11-12월'!$D:$D,$C513,'RAW_농산물_11-12월'!$A:$A,$E513)&gt;0,"O",""))</f>
        <v/>
      </c>
      <c r="N513" s="7" t="str">
        <f>IF($C513="","",IF(COUNTA('RAW_농산물_7월'!$A:$A)&lt;=1,"",SUMIFS('RAW_농산물_7월'!$H:$H,'RAW_농산물_7월'!$D:$D,$C513,'RAW_농산물_7월'!$A:$A,$E513)))</f>
        <v/>
      </c>
      <c r="O513" s="7" t="str">
        <f>IF($C513="","",IF(COUNTA('RAW_농산물_8월'!$A:$A)&lt;=1,"",SUMIFS('RAW_농산물_8월'!$H:$H,'RAW_농산물_8월'!$D:$D,$C513,'RAW_농산물_8월'!$A:$A,$E513)-SUMIFS('RAW_농산물_7월'!$H:$H,'RAW_농산물_7월'!$D:$D,$C513,'RAW_농산물_7월'!$A:$A,$E513)))</f>
        <v/>
      </c>
      <c r="P513" s="7" t="str">
        <f>IF($C513="","",IF(COUNTA('RAW_농산물_9월'!$A:$A)&lt;=1,"",SUMIFS('RAW_농산물_9월'!$H:$H,'RAW_농산물_9월'!$D:$D,$C513,'RAW_농산물_9월'!$A:$A,$E513)-SUMIFS('RAW_농산물_8월'!$H:$H,'RAW_농산물_8월'!$D:$D,$C513,'RAW_농산물_8월'!$A:$A,$E513)))</f>
        <v/>
      </c>
      <c r="Q513" s="7" t="str">
        <f>IF($C513="","",IF(COUNTA('RAW_농산물_10월'!$A:$A)&lt;=1,"",SUMIFS('RAW_농산물_10월'!$H:$H,'RAW_농산물_10월'!$D:$D,$C513,'RAW_농산물_10월'!$A:$A,$E513)-SUMIFS('RAW_농산물_9월'!$H:$H,'RAW_농산물_9월'!$D:$D,$C513,'RAW_농산물_9월'!$A:$A,$E513)))</f>
        <v/>
      </c>
      <c r="R513" s="7" t="str">
        <f>IF($C513="","",IF(COUNTA('RAW_농산물_11-12월'!$A:$A)&lt;=1,"",SUMIFS('RAW_농산물_11-12월'!$H:$H,'RAW_농산물_11-12월'!$D:$D,$C513,'RAW_농산물_11-12월'!$A:$A,$E513)-SUMIFS('RAW_농산물_10월'!$H:$H,'RAW_농산물_10월'!$D:$D,$C513,'RAW_농산물_10월'!$A:$A,$E513)))</f>
        <v/>
      </c>
      <c r="S513" s="17" t="str">
        <f t="shared" si="4"/>
        <v/>
      </c>
      <c r="T513" s="17" t="str">
        <f t="shared" si="5"/>
        <v/>
      </c>
      <c r="U513" s="7">
        <f>IF($C513="",0,IF('설정'!$B$3=0,0,CHOOSE('설정'!$B$3,COUNTIFS('RAW_농산물_7월'!$D:$D,$C513,'RAW_농산물_7월'!$A:$A,$E513),COUNTIFS('RAW_농산물_8월'!$D:$D,$C513,'RAW_농산물_8월'!$A:$A,$E513),COUNTIFS('RAW_농산물_9월'!$D:$D,$C513,'RAW_농산물_9월'!$A:$A,$E513),COUNTIFS('RAW_농산물_10월'!$D:$D,$C513,'RAW_농산물_10월'!$A:$A,$E513),COUNTIFS('RAW_농산물_11-12월'!$D:$D,$C513,'RAW_농산물_11-12월'!$A:$A,$E513))))</f>
        <v>0</v>
      </c>
    </row>
    <row r="514" ht="15.75" customHeight="1">
      <c r="A514" s="5"/>
      <c r="B514" s="5"/>
      <c r="C514" s="5"/>
      <c r="D514" s="6"/>
      <c r="E514" s="5"/>
      <c r="F514" s="7" t="str">
        <f>IF($C514="","",IF('설정'!$B$3=0,"",CHOOSE('설정'!$B$3,SUMIFS('RAW_농산물_7월'!$F:$F,'RAW_농산물_7월'!$D:$D,$C514,'RAW_농산물_7월'!$A:$A,$E514),SUMIFS('RAW_농산물_8월'!$F:$F,'RAW_농산물_8월'!$D:$D,$C514,'RAW_농산물_8월'!$A:$A,$E514),SUMIFS('RAW_농산물_9월'!$F:$F,'RAW_농산물_9월'!$D:$D,$C514,'RAW_농산물_9월'!$A:$A,$E514),SUMIFS('RAW_농산물_10월'!$F:$F,'RAW_농산물_10월'!$D:$D,$C514,'RAW_농산물_10월'!$A:$A,$E514),SUMIFS('RAW_농산물_11-12월'!$F:$F,'RAW_농산물_11-12월'!$D:$D,$C514,'RAW_농산물_11-12월'!$A:$A,$E514))))</f>
        <v/>
      </c>
      <c r="G514" s="7" t="str">
        <f>IF($C514="","",IF('설정'!$B$3=0,"",CHOOSE('설정'!$B$3,SUMIFS('RAW_농산물_7월'!$G:$G,'RAW_농산물_7월'!$D:$D,$C514,'RAW_농산물_7월'!$A:$A,$E514),SUMIFS('RAW_농산물_8월'!$G:$G,'RAW_농산물_8월'!$D:$D,$C514,'RAW_농산물_8월'!$A:$A,$E514),SUMIFS('RAW_농산물_9월'!$G:$G,'RAW_농산물_9월'!$D:$D,$C514,'RAW_농산물_9월'!$A:$A,$E514),SUMIFS('RAW_농산물_10월'!$G:$G,'RAW_농산물_10월'!$D:$D,$C514,'RAW_농산물_10월'!$A:$A,$E514),SUMIFS('RAW_농산물_11-12월'!$G:$G,'RAW_농산물_11-12월'!$D:$D,$C514,'RAW_농산물_11-12월'!$A:$A,$E514))))</f>
        <v/>
      </c>
      <c r="H514" s="14" t="str">
        <f>IF($C514="","",IF('설정'!$B$3=0,"",CHOOSE('설정'!$B$3,SUMIFS('RAW_농산물_7월'!$H:$H,'RAW_농산물_7월'!$D:$D,$C514,'RAW_농산물_7월'!$A:$A,$E514),SUMIFS('RAW_농산물_8월'!$H:$H,'RAW_농산물_8월'!$D:$D,$C514,'RAW_농산물_8월'!$A:$A,$E514),SUMIFS('RAW_농산물_9월'!$H:$H,'RAW_농산물_9월'!$D:$D,$C514,'RAW_농산물_9월'!$A:$A,$E514),SUMIFS('RAW_농산물_10월'!$H:$H,'RAW_농산물_10월'!$D:$D,$C514,'RAW_농산물_10월'!$A:$A,$E514),SUMIFS('RAW_농산물_11-12월'!$H:$H,'RAW_농산물_11-12월'!$D:$D,$C514,'RAW_농산물_11-12월'!$A:$A,$E514))))</f>
        <v/>
      </c>
      <c r="I514" s="17" t="str">
        <f>IF($C514="","",IF(COUNTIFS('RAW_농산물_7월'!$D:$D,$C514,'RAW_농산물_7월'!$A:$A,$E514)&gt;0,"O",""))</f>
        <v/>
      </c>
      <c r="J514" s="17" t="str">
        <f>IF($C514="","",IF(COUNTIFS('RAW_농산물_8월'!$D:$D,$C514,'RAW_농산물_8월'!$A:$A,$E514)&gt;0,"O",""))</f>
        <v/>
      </c>
      <c r="K514" s="17" t="str">
        <f>IF($C514="","",IF(COUNTIFS('RAW_농산물_9월'!$D:$D,$C514,'RAW_농산물_9월'!$A:$A,$E514)&gt;0,"O",""))</f>
        <v/>
      </c>
      <c r="L514" s="17" t="str">
        <f>IF($C514="","",IF(COUNTIFS('RAW_농산물_10월'!$D:$D,$C514,'RAW_농산물_10월'!$A:$A,$E514)&gt;0,"O",""))</f>
        <v/>
      </c>
      <c r="M514" s="17" t="str">
        <f>IF($C514="","",IF(COUNTIFS('RAW_농산물_11-12월'!$D:$D,$C514,'RAW_농산물_11-12월'!$A:$A,$E514)&gt;0,"O",""))</f>
        <v/>
      </c>
      <c r="N514" s="7" t="str">
        <f>IF($C514="","",IF(COUNTA('RAW_농산물_7월'!$A:$A)&lt;=1,"",SUMIFS('RAW_농산물_7월'!$H:$H,'RAW_농산물_7월'!$D:$D,$C514,'RAW_농산물_7월'!$A:$A,$E514)))</f>
        <v/>
      </c>
      <c r="O514" s="7" t="str">
        <f>IF($C514="","",IF(COUNTA('RAW_농산물_8월'!$A:$A)&lt;=1,"",SUMIFS('RAW_농산물_8월'!$H:$H,'RAW_농산물_8월'!$D:$D,$C514,'RAW_농산물_8월'!$A:$A,$E514)-SUMIFS('RAW_농산물_7월'!$H:$H,'RAW_농산물_7월'!$D:$D,$C514,'RAW_농산물_7월'!$A:$A,$E514)))</f>
        <v/>
      </c>
      <c r="P514" s="7" t="str">
        <f>IF($C514="","",IF(COUNTA('RAW_농산물_9월'!$A:$A)&lt;=1,"",SUMIFS('RAW_농산물_9월'!$H:$H,'RAW_농산물_9월'!$D:$D,$C514,'RAW_농산물_9월'!$A:$A,$E514)-SUMIFS('RAW_농산물_8월'!$H:$H,'RAW_농산물_8월'!$D:$D,$C514,'RAW_농산물_8월'!$A:$A,$E514)))</f>
        <v/>
      </c>
      <c r="Q514" s="7" t="str">
        <f>IF($C514="","",IF(COUNTA('RAW_농산물_10월'!$A:$A)&lt;=1,"",SUMIFS('RAW_농산물_10월'!$H:$H,'RAW_농산물_10월'!$D:$D,$C514,'RAW_농산물_10월'!$A:$A,$E514)-SUMIFS('RAW_농산물_9월'!$H:$H,'RAW_농산물_9월'!$D:$D,$C514,'RAW_농산물_9월'!$A:$A,$E514)))</f>
        <v/>
      </c>
      <c r="R514" s="7" t="str">
        <f>IF($C514="","",IF(COUNTA('RAW_농산물_11-12월'!$A:$A)&lt;=1,"",SUMIFS('RAW_농산물_11-12월'!$H:$H,'RAW_농산물_11-12월'!$D:$D,$C514,'RAW_농산물_11-12월'!$A:$A,$E514)-SUMIFS('RAW_농산물_10월'!$H:$H,'RAW_농산물_10월'!$D:$D,$C514,'RAW_농산물_10월'!$A:$A,$E514)))</f>
        <v/>
      </c>
      <c r="S514" s="17" t="str">
        <f t="shared" si="4"/>
        <v/>
      </c>
      <c r="T514" s="17" t="str">
        <f t="shared" si="5"/>
        <v/>
      </c>
      <c r="U514" s="7">
        <f>IF($C514="",0,IF('설정'!$B$3=0,0,CHOOSE('설정'!$B$3,COUNTIFS('RAW_농산물_7월'!$D:$D,$C514,'RAW_농산물_7월'!$A:$A,$E514),COUNTIFS('RAW_농산물_8월'!$D:$D,$C514,'RAW_농산물_8월'!$A:$A,$E514),COUNTIFS('RAW_농산물_9월'!$D:$D,$C514,'RAW_농산물_9월'!$A:$A,$E514),COUNTIFS('RAW_농산물_10월'!$D:$D,$C514,'RAW_농산물_10월'!$A:$A,$E514),COUNTIFS('RAW_농산물_11-12월'!$D:$D,$C514,'RAW_농산물_11-12월'!$A:$A,$E514))))</f>
        <v>0</v>
      </c>
    </row>
    <row r="515" ht="15.75" customHeight="1">
      <c r="A515" s="5"/>
      <c r="B515" s="5"/>
      <c r="C515" s="5"/>
      <c r="D515" s="6"/>
      <c r="E515" s="5"/>
      <c r="F515" s="7" t="str">
        <f>IF($C515="","",IF('설정'!$B$3=0,"",CHOOSE('설정'!$B$3,SUMIFS('RAW_농산물_7월'!$F:$F,'RAW_농산물_7월'!$D:$D,$C515,'RAW_농산물_7월'!$A:$A,$E515),SUMIFS('RAW_농산물_8월'!$F:$F,'RAW_농산물_8월'!$D:$D,$C515,'RAW_농산물_8월'!$A:$A,$E515),SUMIFS('RAW_농산물_9월'!$F:$F,'RAW_농산물_9월'!$D:$D,$C515,'RAW_농산물_9월'!$A:$A,$E515),SUMIFS('RAW_농산물_10월'!$F:$F,'RAW_농산물_10월'!$D:$D,$C515,'RAW_농산물_10월'!$A:$A,$E515),SUMIFS('RAW_농산물_11-12월'!$F:$F,'RAW_농산물_11-12월'!$D:$D,$C515,'RAW_농산물_11-12월'!$A:$A,$E515))))</f>
        <v/>
      </c>
      <c r="G515" s="7" t="str">
        <f>IF($C515="","",IF('설정'!$B$3=0,"",CHOOSE('설정'!$B$3,SUMIFS('RAW_농산물_7월'!$G:$G,'RAW_농산물_7월'!$D:$D,$C515,'RAW_농산물_7월'!$A:$A,$E515),SUMIFS('RAW_농산물_8월'!$G:$G,'RAW_농산물_8월'!$D:$D,$C515,'RAW_농산물_8월'!$A:$A,$E515),SUMIFS('RAW_농산물_9월'!$G:$G,'RAW_농산물_9월'!$D:$D,$C515,'RAW_농산물_9월'!$A:$A,$E515),SUMIFS('RAW_농산물_10월'!$G:$G,'RAW_농산물_10월'!$D:$D,$C515,'RAW_농산물_10월'!$A:$A,$E515),SUMIFS('RAW_농산물_11-12월'!$G:$G,'RAW_농산물_11-12월'!$D:$D,$C515,'RAW_농산물_11-12월'!$A:$A,$E515))))</f>
        <v/>
      </c>
      <c r="H515" s="14" t="str">
        <f>IF($C515="","",IF('설정'!$B$3=0,"",CHOOSE('설정'!$B$3,SUMIFS('RAW_농산물_7월'!$H:$H,'RAW_농산물_7월'!$D:$D,$C515,'RAW_농산물_7월'!$A:$A,$E515),SUMIFS('RAW_농산물_8월'!$H:$H,'RAW_농산물_8월'!$D:$D,$C515,'RAW_농산물_8월'!$A:$A,$E515),SUMIFS('RAW_농산물_9월'!$H:$H,'RAW_농산물_9월'!$D:$D,$C515,'RAW_농산물_9월'!$A:$A,$E515),SUMIFS('RAW_농산물_10월'!$H:$H,'RAW_농산물_10월'!$D:$D,$C515,'RAW_농산물_10월'!$A:$A,$E515),SUMIFS('RAW_농산물_11-12월'!$H:$H,'RAW_농산물_11-12월'!$D:$D,$C515,'RAW_농산물_11-12월'!$A:$A,$E515))))</f>
        <v/>
      </c>
      <c r="I515" s="17" t="str">
        <f>IF($C515="","",IF(COUNTIFS('RAW_농산물_7월'!$D:$D,$C515,'RAW_농산물_7월'!$A:$A,$E515)&gt;0,"O",""))</f>
        <v/>
      </c>
      <c r="J515" s="17" t="str">
        <f>IF($C515="","",IF(COUNTIFS('RAW_농산물_8월'!$D:$D,$C515,'RAW_농산물_8월'!$A:$A,$E515)&gt;0,"O",""))</f>
        <v/>
      </c>
      <c r="K515" s="17" t="str">
        <f>IF($C515="","",IF(COUNTIFS('RAW_농산물_9월'!$D:$D,$C515,'RAW_농산물_9월'!$A:$A,$E515)&gt;0,"O",""))</f>
        <v/>
      </c>
      <c r="L515" s="17" t="str">
        <f>IF($C515="","",IF(COUNTIFS('RAW_농산물_10월'!$D:$D,$C515,'RAW_농산물_10월'!$A:$A,$E515)&gt;0,"O",""))</f>
        <v/>
      </c>
      <c r="M515" s="17" t="str">
        <f>IF($C515="","",IF(COUNTIFS('RAW_농산물_11-12월'!$D:$D,$C515,'RAW_농산물_11-12월'!$A:$A,$E515)&gt;0,"O",""))</f>
        <v/>
      </c>
      <c r="N515" s="7" t="str">
        <f>IF($C515="","",IF(COUNTA('RAW_농산물_7월'!$A:$A)&lt;=1,"",SUMIFS('RAW_농산물_7월'!$H:$H,'RAW_농산물_7월'!$D:$D,$C515,'RAW_농산물_7월'!$A:$A,$E515)))</f>
        <v/>
      </c>
      <c r="O515" s="7" t="str">
        <f>IF($C515="","",IF(COUNTA('RAW_농산물_8월'!$A:$A)&lt;=1,"",SUMIFS('RAW_농산물_8월'!$H:$H,'RAW_농산물_8월'!$D:$D,$C515,'RAW_농산물_8월'!$A:$A,$E515)-SUMIFS('RAW_농산물_7월'!$H:$H,'RAW_농산물_7월'!$D:$D,$C515,'RAW_농산물_7월'!$A:$A,$E515)))</f>
        <v/>
      </c>
      <c r="P515" s="7" t="str">
        <f>IF($C515="","",IF(COUNTA('RAW_농산물_9월'!$A:$A)&lt;=1,"",SUMIFS('RAW_농산물_9월'!$H:$H,'RAW_농산물_9월'!$D:$D,$C515,'RAW_농산물_9월'!$A:$A,$E515)-SUMIFS('RAW_농산물_8월'!$H:$H,'RAW_농산물_8월'!$D:$D,$C515,'RAW_농산물_8월'!$A:$A,$E515)))</f>
        <v/>
      </c>
      <c r="Q515" s="7" t="str">
        <f>IF($C515="","",IF(COUNTA('RAW_농산물_10월'!$A:$A)&lt;=1,"",SUMIFS('RAW_농산물_10월'!$H:$H,'RAW_농산물_10월'!$D:$D,$C515,'RAW_농산물_10월'!$A:$A,$E515)-SUMIFS('RAW_농산물_9월'!$H:$H,'RAW_농산물_9월'!$D:$D,$C515,'RAW_농산물_9월'!$A:$A,$E515)))</f>
        <v/>
      </c>
      <c r="R515" s="7" t="str">
        <f>IF($C515="","",IF(COUNTA('RAW_농산물_11-12월'!$A:$A)&lt;=1,"",SUMIFS('RAW_농산물_11-12월'!$H:$H,'RAW_농산물_11-12월'!$D:$D,$C515,'RAW_농산물_11-12월'!$A:$A,$E515)-SUMIFS('RAW_농산물_10월'!$H:$H,'RAW_농산물_10월'!$D:$D,$C515,'RAW_농산물_10월'!$A:$A,$E515)))</f>
        <v/>
      </c>
      <c r="S515" s="17" t="str">
        <f t="shared" si="4"/>
        <v/>
      </c>
      <c r="T515" s="17" t="str">
        <f t="shared" si="5"/>
        <v/>
      </c>
      <c r="U515" s="7">
        <f>IF($C515="",0,IF('설정'!$B$3=0,0,CHOOSE('설정'!$B$3,COUNTIFS('RAW_농산물_7월'!$D:$D,$C515,'RAW_농산물_7월'!$A:$A,$E515),COUNTIFS('RAW_농산물_8월'!$D:$D,$C515,'RAW_농산물_8월'!$A:$A,$E515),COUNTIFS('RAW_농산물_9월'!$D:$D,$C515,'RAW_농산물_9월'!$A:$A,$E515),COUNTIFS('RAW_농산물_10월'!$D:$D,$C515,'RAW_농산물_10월'!$A:$A,$E515),COUNTIFS('RAW_농산물_11-12월'!$D:$D,$C515,'RAW_농산물_11-12월'!$A:$A,$E515))))</f>
        <v>0</v>
      </c>
    </row>
    <row r="516" ht="15.75" customHeight="1">
      <c r="A516" s="5"/>
      <c r="B516" s="5"/>
      <c r="C516" s="5"/>
      <c r="D516" s="6"/>
      <c r="E516" s="5"/>
      <c r="F516" s="7" t="str">
        <f>IF($C516="","",IF('설정'!$B$3=0,"",CHOOSE('설정'!$B$3,SUMIFS('RAW_농산물_7월'!$F:$F,'RAW_농산물_7월'!$D:$D,$C516,'RAW_농산물_7월'!$A:$A,$E516),SUMIFS('RAW_농산물_8월'!$F:$F,'RAW_농산물_8월'!$D:$D,$C516,'RAW_농산물_8월'!$A:$A,$E516),SUMIFS('RAW_농산물_9월'!$F:$F,'RAW_농산물_9월'!$D:$D,$C516,'RAW_농산물_9월'!$A:$A,$E516),SUMIFS('RAW_농산물_10월'!$F:$F,'RAW_농산물_10월'!$D:$D,$C516,'RAW_농산물_10월'!$A:$A,$E516),SUMIFS('RAW_농산물_11-12월'!$F:$F,'RAW_농산물_11-12월'!$D:$D,$C516,'RAW_농산물_11-12월'!$A:$A,$E516))))</f>
        <v/>
      </c>
      <c r="G516" s="7" t="str">
        <f>IF($C516="","",IF('설정'!$B$3=0,"",CHOOSE('설정'!$B$3,SUMIFS('RAW_농산물_7월'!$G:$G,'RAW_농산물_7월'!$D:$D,$C516,'RAW_농산물_7월'!$A:$A,$E516),SUMIFS('RAW_농산물_8월'!$G:$G,'RAW_농산물_8월'!$D:$D,$C516,'RAW_농산물_8월'!$A:$A,$E516),SUMIFS('RAW_농산물_9월'!$G:$G,'RAW_농산물_9월'!$D:$D,$C516,'RAW_농산물_9월'!$A:$A,$E516),SUMIFS('RAW_농산물_10월'!$G:$G,'RAW_농산물_10월'!$D:$D,$C516,'RAW_농산물_10월'!$A:$A,$E516),SUMIFS('RAW_농산물_11-12월'!$G:$G,'RAW_농산물_11-12월'!$D:$D,$C516,'RAW_농산물_11-12월'!$A:$A,$E516))))</f>
        <v/>
      </c>
      <c r="H516" s="14" t="str">
        <f>IF($C516="","",IF('설정'!$B$3=0,"",CHOOSE('설정'!$B$3,SUMIFS('RAW_농산물_7월'!$H:$H,'RAW_농산물_7월'!$D:$D,$C516,'RAW_농산물_7월'!$A:$A,$E516),SUMIFS('RAW_농산물_8월'!$H:$H,'RAW_농산물_8월'!$D:$D,$C516,'RAW_농산물_8월'!$A:$A,$E516),SUMIFS('RAW_농산물_9월'!$H:$H,'RAW_농산물_9월'!$D:$D,$C516,'RAW_농산물_9월'!$A:$A,$E516),SUMIFS('RAW_농산물_10월'!$H:$H,'RAW_농산물_10월'!$D:$D,$C516,'RAW_농산물_10월'!$A:$A,$E516),SUMIFS('RAW_농산물_11-12월'!$H:$H,'RAW_농산물_11-12월'!$D:$D,$C516,'RAW_농산물_11-12월'!$A:$A,$E516))))</f>
        <v/>
      </c>
      <c r="I516" s="17" t="str">
        <f>IF($C516="","",IF(COUNTIFS('RAW_농산물_7월'!$D:$D,$C516,'RAW_농산물_7월'!$A:$A,$E516)&gt;0,"O",""))</f>
        <v/>
      </c>
      <c r="J516" s="17" t="str">
        <f>IF($C516="","",IF(COUNTIFS('RAW_농산물_8월'!$D:$D,$C516,'RAW_농산물_8월'!$A:$A,$E516)&gt;0,"O",""))</f>
        <v/>
      </c>
      <c r="K516" s="17" t="str">
        <f>IF($C516="","",IF(COUNTIFS('RAW_농산물_9월'!$D:$D,$C516,'RAW_농산물_9월'!$A:$A,$E516)&gt;0,"O",""))</f>
        <v/>
      </c>
      <c r="L516" s="17" t="str">
        <f>IF($C516="","",IF(COUNTIFS('RAW_농산물_10월'!$D:$D,$C516,'RAW_농산물_10월'!$A:$A,$E516)&gt;0,"O",""))</f>
        <v/>
      </c>
      <c r="M516" s="17" t="str">
        <f>IF($C516="","",IF(COUNTIFS('RAW_농산물_11-12월'!$D:$D,$C516,'RAW_농산물_11-12월'!$A:$A,$E516)&gt;0,"O",""))</f>
        <v/>
      </c>
      <c r="N516" s="7" t="str">
        <f>IF($C516="","",IF(COUNTA('RAW_농산물_7월'!$A:$A)&lt;=1,"",SUMIFS('RAW_농산물_7월'!$H:$H,'RAW_농산물_7월'!$D:$D,$C516,'RAW_농산물_7월'!$A:$A,$E516)))</f>
        <v/>
      </c>
      <c r="O516" s="7" t="str">
        <f>IF($C516="","",IF(COUNTA('RAW_농산물_8월'!$A:$A)&lt;=1,"",SUMIFS('RAW_농산물_8월'!$H:$H,'RAW_농산물_8월'!$D:$D,$C516,'RAW_농산물_8월'!$A:$A,$E516)-SUMIFS('RAW_농산물_7월'!$H:$H,'RAW_농산물_7월'!$D:$D,$C516,'RAW_농산물_7월'!$A:$A,$E516)))</f>
        <v/>
      </c>
      <c r="P516" s="7" t="str">
        <f>IF($C516="","",IF(COUNTA('RAW_농산물_9월'!$A:$A)&lt;=1,"",SUMIFS('RAW_농산물_9월'!$H:$H,'RAW_농산물_9월'!$D:$D,$C516,'RAW_농산물_9월'!$A:$A,$E516)-SUMIFS('RAW_농산물_8월'!$H:$H,'RAW_농산물_8월'!$D:$D,$C516,'RAW_농산물_8월'!$A:$A,$E516)))</f>
        <v/>
      </c>
      <c r="Q516" s="7" t="str">
        <f>IF($C516="","",IF(COUNTA('RAW_농산물_10월'!$A:$A)&lt;=1,"",SUMIFS('RAW_농산물_10월'!$H:$H,'RAW_농산물_10월'!$D:$D,$C516,'RAW_농산물_10월'!$A:$A,$E516)-SUMIFS('RAW_농산물_9월'!$H:$H,'RAW_농산물_9월'!$D:$D,$C516,'RAW_농산물_9월'!$A:$A,$E516)))</f>
        <v/>
      </c>
      <c r="R516" s="7" t="str">
        <f>IF($C516="","",IF(COUNTA('RAW_농산물_11-12월'!$A:$A)&lt;=1,"",SUMIFS('RAW_농산물_11-12월'!$H:$H,'RAW_농산물_11-12월'!$D:$D,$C516,'RAW_농산물_11-12월'!$A:$A,$E516)-SUMIFS('RAW_농산물_10월'!$H:$H,'RAW_농산물_10월'!$D:$D,$C516,'RAW_농산물_10월'!$A:$A,$E516)))</f>
        <v/>
      </c>
      <c r="S516" s="17" t="str">
        <f t="shared" si="4"/>
        <v/>
      </c>
      <c r="T516" s="17" t="str">
        <f t="shared" si="5"/>
        <v/>
      </c>
      <c r="U516" s="7">
        <f>IF($C516="",0,IF('설정'!$B$3=0,0,CHOOSE('설정'!$B$3,COUNTIFS('RAW_농산물_7월'!$D:$D,$C516,'RAW_농산물_7월'!$A:$A,$E516),COUNTIFS('RAW_농산물_8월'!$D:$D,$C516,'RAW_농산물_8월'!$A:$A,$E516),COUNTIFS('RAW_농산물_9월'!$D:$D,$C516,'RAW_농산물_9월'!$A:$A,$E516),COUNTIFS('RAW_농산물_10월'!$D:$D,$C516,'RAW_농산물_10월'!$A:$A,$E516),COUNTIFS('RAW_농산물_11-12월'!$D:$D,$C516,'RAW_농산물_11-12월'!$A:$A,$E516))))</f>
        <v>0</v>
      </c>
    </row>
    <row r="517" ht="15.75" customHeight="1">
      <c r="A517" s="5"/>
      <c r="B517" s="5"/>
      <c r="C517" s="5"/>
      <c r="D517" s="6"/>
      <c r="E517" s="5"/>
      <c r="F517" s="7" t="str">
        <f>IF($C517="","",IF('설정'!$B$3=0,"",CHOOSE('설정'!$B$3,SUMIFS('RAW_농산물_7월'!$F:$F,'RAW_농산물_7월'!$D:$D,$C517,'RAW_농산물_7월'!$A:$A,$E517),SUMIFS('RAW_농산물_8월'!$F:$F,'RAW_농산물_8월'!$D:$D,$C517,'RAW_농산물_8월'!$A:$A,$E517),SUMIFS('RAW_농산물_9월'!$F:$F,'RAW_농산물_9월'!$D:$D,$C517,'RAW_농산물_9월'!$A:$A,$E517),SUMIFS('RAW_농산물_10월'!$F:$F,'RAW_농산물_10월'!$D:$D,$C517,'RAW_농산물_10월'!$A:$A,$E517),SUMIFS('RAW_농산물_11-12월'!$F:$F,'RAW_농산물_11-12월'!$D:$D,$C517,'RAW_농산물_11-12월'!$A:$A,$E517))))</f>
        <v/>
      </c>
      <c r="G517" s="7" t="str">
        <f>IF($C517="","",IF('설정'!$B$3=0,"",CHOOSE('설정'!$B$3,SUMIFS('RAW_농산물_7월'!$G:$G,'RAW_농산물_7월'!$D:$D,$C517,'RAW_농산물_7월'!$A:$A,$E517),SUMIFS('RAW_농산물_8월'!$G:$G,'RAW_농산물_8월'!$D:$D,$C517,'RAW_농산물_8월'!$A:$A,$E517),SUMIFS('RAW_농산물_9월'!$G:$G,'RAW_농산물_9월'!$D:$D,$C517,'RAW_농산물_9월'!$A:$A,$E517),SUMIFS('RAW_농산물_10월'!$G:$G,'RAW_농산물_10월'!$D:$D,$C517,'RAW_농산물_10월'!$A:$A,$E517),SUMIFS('RAW_농산물_11-12월'!$G:$G,'RAW_농산물_11-12월'!$D:$D,$C517,'RAW_농산물_11-12월'!$A:$A,$E517))))</f>
        <v/>
      </c>
      <c r="H517" s="14" t="str">
        <f>IF($C517="","",IF('설정'!$B$3=0,"",CHOOSE('설정'!$B$3,SUMIFS('RAW_농산물_7월'!$H:$H,'RAW_농산물_7월'!$D:$D,$C517,'RAW_농산물_7월'!$A:$A,$E517),SUMIFS('RAW_농산물_8월'!$H:$H,'RAW_농산물_8월'!$D:$D,$C517,'RAW_농산물_8월'!$A:$A,$E517),SUMIFS('RAW_농산물_9월'!$H:$H,'RAW_농산물_9월'!$D:$D,$C517,'RAW_농산물_9월'!$A:$A,$E517),SUMIFS('RAW_농산물_10월'!$H:$H,'RAW_농산물_10월'!$D:$D,$C517,'RAW_농산물_10월'!$A:$A,$E517),SUMIFS('RAW_농산물_11-12월'!$H:$H,'RAW_농산물_11-12월'!$D:$D,$C517,'RAW_농산물_11-12월'!$A:$A,$E517))))</f>
        <v/>
      </c>
      <c r="I517" s="17" t="str">
        <f>IF($C517="","",IF(COUNTIFS('RAW_농산물_7월'!$D:$D,$C517,'RAW_농산물_7월'!$A:$A,$E517)&gt;0,"O",""))</f>
        <v/>
      </c>
      <c r="J517" s="17" t="str">
        <f>IF($C517="","",IF(COUNTIFS('RAW_농산물_8월'!$D:$D,$C517,'RAW_농산물_8월'!$A:$A,$E517)&gt;0,"O",""))</f>
        <v/>
      </c>
      <c r="K517" s="17" t="str">
        <f>IF($C517="","",IF(COUNTIFS('RAW_농산물_9월'!$D:$D,$C517,'RAW_농산물_9월'!$A:$A,$E517)&gt;0,"O",""))</f>
        <v/>
      </c>
      <c r="L517" s="17" t="str">
        <f>IF($C517="","",IF(COUNTIFS('RAW_농산물_10월'!$D:$D,$C517,'RAW_농산물_10월'!$A:$A,$E517)&gt;0,"O",""))</f>
        <v/>
      </c>
      <c r="M517" s="17" t="str">
        <f>IF($C517="","",IF(COUNTIFS('RAW_농산물_11-12월'!$D:$D,$C517,'RAW_농산물_11-12월'!$A:$A,$E517)&gt;0,"O",""))</f>
        <v/>
      </c>
      <c r="N517" s="7" t="str">
        <f>IF($C517="","",IF(COUNTA('RAW_농산물_7월'!$A:$A)&lt;=1,"",SUMIFS('RAW_농산물_7월'!$H:$H,'RAW_농산물_7월'!$D:$D,$C517,'RAW_농산물_7월'!$A:$A,$E517)))</f>
        <v/>
      </c>
      <c r="O517" s="7" t="str">
        <f>IF($C517="","",IF(COUNTA('RAW_농산물_8월'!$A:$A)&lt;=1,"",SUMIFS('RAW_농산물_8월'!$H:$H,'RAW_농산물_8월'!$D:$D,$C517,'RAW_농산물_8월'!$A:$A,$E517)-SUMIFS('RAW_농산물_7월'!$H:$H,'RAW_농산물_7월'!$D:$D,$C517,'RAW_농산물_7월'!$A:$A,$E517)))</f>
        <v/>
      </c>
      <c r="P517" s="7" t="str">
        <f>IF($C517="","",IF(COUNTA('RAW_농산물_9월'!$A:$A)&lt;=1,"",SUMIFS('RAW_농산물_9월'!$H:$H,'RAW_농산물_9월'!$D:$D,$C517,'RAW_농산물_9월'!$A:$A,$E517)-SUMIFS('RAW_농산물_8월'!$H:$H,'RAW_농산물_8월'!$D:$D,$C517,'RAW_농산물_8월'!$A:$A,$E517)))</f>
        <v/>
      </c>
      <c r="Q517" s="7" t="str">
        <f>IF($C517="","",IF(COUNTA('RAW_농산물_10월'!$A:$A)&lt;=1,"",SUMIFS('RAW_농산물_10월'!$H:$H,'RAW_농산물_10월'!$D:$D,$C517,'RAW_농산물_10월'!$A:$A,$E517)-SUMIFS('RAW_농산물_9월'!$H:$H,'RAW_농산물_9월'!$D:$D,$C517,'RAW_농산물_9월'!$A:$A,$E517)))</f>
        <v/>
      </c>
      <c r="R517" s="7" t="str">
        <f>IF($C517="","",IF(COUNTA('RAW_농산물_11-12월'!$A:$A)&lt;=1,"",SUMIFS('RAW_농산물_11-12월'!$H:$H,'RAW_농산물_11-12월'!$D:$D,$C517,'RAW_농산물_11-12월'!$A:$A,$E517)-SUMIFS('RAW_농산물_10월'!$H:$H,'RAW_농산물_10월'!$D:$D,$C517,'RAW_농산물_10월'!$A:$A,$E517)))</f>
        <v/>
      </c>
      <c r="S517" s="17" t="str">
        <f t="shared" si="4"/>
        <v/>
      </c>
      <c r="T517" s="17" t="str">
        <f t="shared" si="5"/>
        <v/>
      </c>
      <c r="U517" s="7">
        <f>IF($C517="",0,IF('설정'!$B$3=0,0,CHOOSE('설정'!$B$3,COUNTIFS('RAW_농산물_7월'!$D:$D,$C517,'RAW_농산물_7월'!$A:$A,$E517),COUNTIFS('RAW_농산물_8월'!$D:$D,$C517,'RAW_농산물_8월'!$A:$A,$E517),COUNTIFS('RAW_농산물_9월'!$D:$D,$C517,'RAW_농산물_9월'!$A:$A,$E517),COUNTIFS('RAW_농산물_10월'!$D:$D,$C517,'RAW_농산물_10월'!$A:$A,$E517),COUNTIFS('RAW_농산물_11-12월'!$D:$D,$C517,'RAW_농산물_11-12월'!$A:$A,$E517))))</f>
        <v>0</v>
      </c>
    </row>
    <row r="518" ht="15.75" customHeight="1">
      <c r="A518" s="5"/>
      <c r="B518" s="5"/>
      <c r="C518" s="5"/>
      <c r="D518" s="6"/>
      <c r="E518" s="5"/>
      <c r="F518" s="7" t="str">
        <f>IF($C518="","",IF('설정'!$B$3=0,"",CHOOSE('설정'!$B$3,SUMIFS('RAW_농산물_7월'!$F:$F,'RAW_농산물_7월'!$D:$D,$C518,'RAW_농산물_7월'!$A:$A,$E518),SUMIFS('RAW_농산물_8월'!$F:$F,'RAW_농산물_8월'!$D:$D,$C518,'RAW_농산물_8월'!$A:$A,$E518),SUMIFS('RAW_농산물_9월'!$F:$F,'RAW_농산물_9월'!$D:$D,$C518,'RAW_농산물_9월'!$A:$A,$E518),SUMIFS('RAW_농산물_10월'!$F:$F,'RAW_농산물_10월'!$D:$D,$C518,'RAW_농산물_10월'!$A:$A,$E518),SUMIFS('RAW_농산물_11-12월'!$F:$F,'RAW_농산물_11-12월'!$D:$D,$C518,'RAW_농산물_11-12월'!$A:$A,$E518))))</f>
        <v/>
      </c>
      <c r="G518" s="7" t="str">
        <f>IF($C518="","",IF('설정'!$B$3=0,"",CHOOSE('설정'!$B$3,SUMIFS('RAW_농산물_7월'!$G:$G,'RAW_농산물_7월'!$D:$D,$C518,'RAW_농산물_7월'!$A:$A,$E518),SUMIFS('RAW_농산물_8월'!$G:$G,'RAW_농산물_8월'!$D:$D,$C518,'RAW_농산물_8월'!$A:$A,$E518),SUMIFS('RAW_농산물_9월'!$G:$G,'RAW_농산물_9월'!$D:$D,$C518,'RAW_농산물_9월'!$A:$A,$E518),SUMIFS('RAW_농산물_10월'!$G:$G,'RAW_농산물_10월'!$D:$D,$C518,'RAW_농산물_10월'!$A:$A,$E518),SUMIFS('RAW_농산물_11-12월'!$G:$G,'RAW_농산물_11-12월'!$D:$D,$C518,'RAW_농산물_11-12월'!$A:$A,$E518))))</f>
        <v/>
      </c>
      <c r="H518" s="14" t="str">
        <f>IF($C518="","",IF('설정'!$B$3=0,"",CHOOSE('설정'!$B$3,SUMIFS('RAW_농산물_7월'!$H:$H,'RAW_농산물_7월'!$D:$D,$C518,'RAW_농산물_7월'!$A:$A,$E518),SUMIFS('RAW_농산물_8월'!$H:$H,'RAW_농산물_8월'!$D:$D,$C518,'RAW_농산물_8월'!$A:$A,$E518),SUMIFS('RAW_농산물_9월'!$H:$H,'RAW_농산물_9월'!$D:$D,$C518,'RAW_농산물_9월'!$A:$A,$E518),SUMIFS('RAW_농산물_10월'!$H:$H,'RAW_농산물_10월'!$D:$D,$C518,'RAW_농산물_10월'!$A:$A,$E518),SUMIFS('RAW_농산물_11-12월'!$H:$H,'RAW_농산물_11-12월'!$D:$D,$C518,'RAW_농산물_11-12월'!$A:$A,$E518))))</f>
        <v/>
      </c>
      <c r="I518" s="17" t="str">
        <f>IF($C518="","",IF(COUNTIFS('RAW_농산물_7월'!$D:$D,$C518,'RAW_농산물_7월'!$A:$A,$E518)&gt;0,"O",""))</f>
        <v/>
      </c>
      <c r="J518" s="17" t="str">
        <f>IF($C518="","",IF(COUNTIFS('RAW_농산물_8월'!$D:$D,$C518,'RAW_농산물_8월'!$A:$A,$E518)&gt;0,"O",""))</f>
        <v/>
      </c>
      <c r="K518" s="17" t="str">
        <f>IF($C518="","",IF(COUNTIFS('RAW_농산물_9월'!$D:$D,$C518,'RAW_농산물_9월'!$A:$A,$E518)&gt;0,"O",""))</f>
        <v/>
      </c>
      <c r="L518" s="17" t="str">
        <f>IF($C518="","",IF(COUNTIFS('RAW_농산물_10월'!$D:$D,$C518,'RAW_농산물_10월'!$A:$A,$E518)&gt;0,"O",""))</f>
        <v/>
      </c>
      <c r="M518" s="17" t="str">
        <f>IF($C518="","",IF(COUNTIFS('RAW_농산물_11-12월'!$D:$D,$C518,'RAW_농산물_11-12월'!$A:$A,$E518)&gt;0,"O",""))</f>
        <v/>
      </c>
      <c r="N518" s="7" t="str">
        <f>IF($C518="","",IF(COUNTA('RAW_농산물_7월'!$A:$A)&lt;=1,"",SUMIFS('RAW_농산물_7월'!$H:$H,'RAW_농산물_7월'!$D:$D,$C518,'RAW_농산물_7월'!$A:$A,$E518)))</f>
        <v/>
      </c>
      <c r="O518" s="7" t="str">
        <f>IF($C518="","",IF(COUNTA('RAW_농산물_8월'!$A:$A)&lt;=1,"",SUMIFS('RAW_농산물_8월'!$H:$H,'RAW_농산물_8월'!$D:$D,$C518,'RAW_농산물_8월'!$A:$A,$E518)-SUMIFS('RAW_농산물_7월'!$H:$H,'RAW_농산물_7월'!$D:$D,$C518,'RAW_농산물_7월'!$A:$A,$E518)))</f>
        <v/>
      </c>
      <c r="P518" s="7" t="str">
        <f>IF($C518="","",IF(COUNTA('RAW_농산물_9월'!$A:$A)&lt;=1,"",SUMIFS('RAW_농산물_9월'!$H:$H,'RAW_농산물_9월'!$D:$D,$C518,'RAW_농산물_9월'!$A:$A,$E518)-SUMIFS('RAW_농산물_8월'!$H:$H,'RAW_농산물_8월'!$D:$D,$C518,'RAW_농산물_8월'!$A:$A,$E518)))</f>
        <v/>
      </c>
      <c r="Q518" s="7" t="str">
        <f>IF($C518="","",IF(COUNTA('RAW_농산물_10월'!$A:$A)&lt;=1,"",SUMIFS('RAW_농산물_10월'!$H:$H,'RAW_농산물_10월'!$D:$D,$C518,'RAW_농산물_10월'!$A:$A,$E518)-SUMIFS('RAW_농산물_9월'!$H:$H,'RAW_농산물_9월'!$D:$D,$C518,'RAW_농산물_9월'!$A:$A,$E518)))</f>
        <v/>
      </c>
      <c r="R518" s="7" t="str">
        <f>IF($C518="","",IF(COUNTA('RAW_농산물_11-12월'!$A:$A)&lt;=1,"",SUMIFS('RAW_농산물_11-12월'!$H:$H,'RAW_농산물_11-12월'!$D:$D,$C518,'RAW_농산물_11-12월'!$A:$A,$E518)-SUMIFS('RAW_농산물_10월'!$H:$H,'RAW_농산물_10월'!$D:$D,$C518,'RAW_농산물_10월'!$A:$A,$E518)))</f>
        <v/>
      </c>
      <c r="S518" s="17" t="str">
        <f t="shared" si="4"/>
        <v/>
      </c>
      <c r="T518" s="17" t="str">
        <f t="shared" si="5"/>
        <v/>
      </c>
      <c r="U518" s="7">
        <f>IF($C518="",0,IF('설정'!$B$3=0,0,CHOOSE('설정'!$B$3,COUNTIFS('RAW_농산물_7월'!$D:$D,$C518,'RAW_농산물_7월'!$A:$A,$E518),COUNTIFS('RAW_농산물_8월'!$D:$D,$C518,'RAW_농산물_8월'!$A:$A,$E518),COUNTIFS('RAW_농산물_9월'!$D:$D,$C518,'RAW_농산물_9월'!$A:$A,$E518),COUNTIFS('RAW_농산물_10월'!$D:$D,$C518,'RAW_농산물_10월'!$A:$A,$E518),COUNTIFS('RAW_농산물_11-12월'!$D:$D,$C518,'RAW_농산물_11-12월'!$A:$A,$E518))))</f>
        <v>0</v>
      </c>
    </row>
    <row r="519" ht="15.75" customHeight="1">
      <c r="A519" s="5"/>
      <c r="B519" s="5"/>
      <c r="C519" s="5"/>
      <c r="D519" s="6"/>
      <c r="E519" s="5"/>
      <c r="F519" s="7" t="str">
        <f>IF($C519="","",IF('설정'!$B$3=0,"",CHOOSE('설정'!$B$3,SUMIFS('RAW_농산물_7월'!$F:$F,'RAW_농산물_7월'!$D:$D,$C519,'RAW_농산물_7월'!$A:$A,$E519),SUMIFS('RAW_농산물_8월'!$F:$F,'RAW_농산물_8월'!$D:$D,$C519,'RAW_농산물_8월'!$A:$A,$E519),SUMIFS('RAW_농산물_9월'!$F:$F,'RAW_농산물_9월'!$D:$D,$C519,'RAW_농산물_9월'!$A:$A,$E519),SUMIFS('RAW_농산물_10월'!$F:$F,'RAW_농산물_10월'!$D:$D,$C519,'RAW_농산물_10월'!$A:$A,$E519),SUMIFS('RAW_농산물_11-12월'!$F:$F,'RAW_농산물_11-12월'!$D:$D,$C519,'RAW_농산물_11-12월'!$A:$A,$E519))))</f>
        <v/>
      </c>
      <c r="G519" s="7" t="str">
        <f>IF($C519="","",IF('설정'!$B$3=0,"",CHOOSE('설정'!$B$3,SUMIFS('RAW_농산물_7월'!$G:$G,'RAW_농산물_7월'!$D:$D,$C519,'RAW_농산물_7월'!$A:$A,$E519),SUMIFS('RAW_농산물_8월'!$G:$G,'RAW_농산물_8월'!$D:$D,$C519,'RAW_농산물_8월'!$A:$A,$E519),SUMIFS('RAW_농산물_9월'!$G:$G,'RAW_농산물_9월'!$D:$D,$C519,'RAW_농산물_9월'!$A:$A,$E519),SUMIFS('RAW_농산물_10월'!$G:$G,'RAW_농산물_10월'!$D:$D,$C519,'RAW_농산물_10월'!$A:$A,$E519),SUMIFS('RAW_농산물_11-12월'!$G:$G,'RAW_농산물_11-12월'!$D:$D,$C519,'RAW_농산물_11-12월'!$A:$A,$E519))))</f>
        <v/>
      </c>
      <c r="H519" s="14" t="str">
        <f>IF($C519="","",IF('설정'!$B$3=0,"",CHOOSE('설정'!$B$3,SUMIFS('RAW_농산물_7월'!$H:$H,'RAW_농산물_7월'!$D:$D,$C519,'RAW_농산물_7월'!$A:$A,$E519),SUMIFS('RAW_농산물_8월'!$H:$H,'RAW_농산물_8월'!$D:$D,$C519,'RAW_농산물_8월'!$A:$A,$E519),SUMIFS('RAW_농산물_9월'!$H:$H,'RAW_농산물_9월'!$D:$D,$C519,'RAW_농산물_9월'!$A:$A,$E519),SUMIFS('RAW_농산물_10월'!$H:$H,'RAW_농산물_10월'!$D:$D,$C519,'RAW_농산물_10월'!$A:$A,$E519),SUMIFS('RAW_농산물_11-12월'!$H:$H,'RAW_농산물_11-12월'!$D:$D,$C519,'RAW_농산물_11-12월'!$A:$A,$E519))))</f>
        <v/>
      </c>
      <c r="I519" s="17" t="str">
        <f>IF($C519="","",IF(COUNTIFS('RAW_농산물_7월'!$D:$D,$C519,'RAW_농산물_7월'!$A:$A,$E519)&gt;0,"O",""))</f>
        <v/>
      </c>
      <c r="J519" s="17" t="str">
        <f>IF($C519="","",IF(COUNTIFS('RAW_농산물_8월'!$D:$D,$C519,'RAW_농산물_8월'!$A:$A,$E519)&gt;0,"O",""))</f>
        <v/>
      </c>
      <c r="K519" s="17" t="str">
        <f>IF($C519="","",IF(COUNTIFS('RAW_농산물_9월'!$D:$D,$C519,'RAW_농산물_9월'!$A:$A,$E519)&gt;0,"O",""))</f>
        <v/>
      </c>
      <c r="L519" s="17" t="str">
        <f>IF($C519="","",IF(COUNTIFS('RAW_농산물_10월'!$D:$D,$C519,'RAW_농산물_10월'!$A:$A,$E519)&gt;0,"O",""))</f>
        <v/>
      </c>
      <c r="M519" s="17" t="str">
        <f>IF($C519="","",IF(COUNTIFS('RAW_농산물_11-12월'!$D:$D,$C519,'RAW_농산물_11-12월'!$A:$A,$E519)&gt;0,"O",""))</f>
        <v/>
      </c>
      <c r="N519" s="7" t="str">
        <f>IF($C519="","",IF(COUNTA('RAW_농산물_7월'!$A:$A)&lt;=1,"",SUMIFS('RAW_농산물_7월'!$H:$H,'RAW_농산물_7월'!$D:$D,$C519,'RAW_농산물_7월'!$A:$A,$E519)))</f>
        <v/>
      </c>
      <c r="O519" s="7" t="str">
        <f>IF($C519="","",IF(COUNTA('RAW_농산물_8월'!$A:$A)&lt;=1,"",SUMIFS('RAW_농산물_8월'!$H:$H,'RAW_농산물_8월'!$D:$D,$C519,'RAW_농산물_8월'!$A:$A,$E519)-SUMIFS('RAW_농산물_7월'!$H:$H,'RAW_농산물_7월'!$D:$D,$C519,'RAW_농산물_7월'!$A:$A,$E519)))</f>
        <v/>
      </c>
      <c r="P519" s="7" t="str">
        <f>IF($C519="","",IF(COUNTA('RAW_농산물_9월'!$A:$A)&lt;=1,"",SUMIFS('RAW_농산물_9월'!$H:$H,'RAW_농산물_9월'!$D:$D,$C519,'RAW_농산물_9월'!$A:$A,$E519)-SUMIFS('RAW_농산물_8월'!$H:$H,'RAW_농산물_8월'!$D:$D,$C519,'RAW_농산물_8월'!$A:$A,$E519)))</f>
        <v/>
      </c>
      <c r="Q519" s="7" t="str">
        <f>IF($C519="","",IF(COUNTA('RAW_농산물_10월'!$A:$A)&lt;=1,"",SUMIFS('RAW_농산물_10월'!$H:$H,'RAW_농산물_10월'!$D:$D,$C519,'RAW_농산물_10월'!$A:$A,$E519)-SUMIFS('RAW_농산물_9월'!$H:$H,'RAW_농산물_9월'!$D:$D,$C519,'RAW_농산물_9월'!$A:$A,$E519)))</f>
        <v/>
      </c>
      <c r="R519" s="7" t="str">
        <f>IF($C519="","",IF(COUNTA('RAW_농산물_11-12월'!$A:$A)&lt;=1,"",SUMIFS('RAW_농산물_11-12월'!$H:$H,'RAW_농산물_11-12월'!$D:$D,$C519,'RAW_농산물_11-12월'!$A:$A,$E519)-SUMIFS('RAW_농산물_10월'!$H:$H,'RAW_농산물_10월'!$D:$D,$C519,'RAW_농산물_10월'!$A:$A,$E519)))</f>
        <v/>
      </c>
      <c r="S519" s="17" t="str">
        <f t="shared" si="4"/>
        <v/>
      </c>
      <c r="T519" s="17" t="str">
        <f t="shared" si="5"/>
        <v/>
      </c>
      <c r="U519" s="7">
        <f>IF($C519="",0,IF('설정'!$B$3=0,0,CHOOSE('설정'!$B$3,COUNTIFS('RAW_농산물_7월'!$D:$D,$C519,'RAW_농산물_7월'!$A:$A,$E519),COUNTIFS('RAW_농산물_8월'!$D:$D,$C519,'RAW_농산물_8월'!$A:$A,$E519),COUNTIFS('RAW_농산물_9월'!$D:$D,$C519,'RAW_농산물_9월'!$A:$A,$E519),COUNTIFS('RAW_농산물_10월'!$D:$D,$C519,'RAW_농산물_10월'!$A:$A,$E519),COUNTIFS('RAW_농산물_11-12월'!$D:$D,$C519,'RAW_농산물_11-12월'!$A:$A,$E519))))</f>
        <v>0</v>
      </c>
    </row>
    <row r="520" ht="15.75" customHeight="1">
      <c r="A520" s="5"/>
      <c r="B520" s="5"/>
      <c r="C520" s="5"/>
      <c r="D520" s="6"/>
      <c r="E520" s="5"/>
      <c r="F520" s="7" t="str">
        <f>IF($C520="","",IF('설정'!$B$3=0,"",CHOOSE('설정'!$B$3,SUMIFS('RAW_농산물_7월'!$F:$F,'RAW_농산물_7월'!$D:$D,$C520,'RAW_농산물_7월'!$A:$A,$E520),SUMIFS('RAW_농산물_8월'!$F:$F,'RAW_농산물_8월'!$D:$D,$C520,'RAW_농산물_8월'!$A:$A,$E520),SUMIFS('RAW_농산물_9월'!$F:$F,'RAW_농산물_9월'!$D:$D,$C520,'RAW_농산물_9월'!$A:$A,$E520),SUMIFS('RAW_농산물_10월'!$F:$F,'RAW_농산물_10월'!$D:$D,$C520,'RAW_농산물_10월'!$A:$A,$E520),SUMIFS('RAW_농산물_11-12월'!$F:$F,'RAW_농산물_11-12월'!$D:$D,$C520,'RAW_농산물_11-12월'!$A:$A,$E520))))</f>
        <v/>
      </c>
      <c r="G520" s="7" t="str">
        <f>IF($C520="","",IF('설정'!$B$3=0,"",CHOOSE('설정'!$B$3,SUMIFS('RAW_농산물_7월'!$G:$G,'RAW_농산물_7월'!$D:$D,$C520,'RAW_농산물_7월'!$A:$A,$E520),SUMIFS('RAW_농산물_8월'!$G:$G,'RAW_농산물_8월'!$D:$D,$C520,'RAW_농산물_8월'!$A:$A,$E520),SUMIFS('RAW_농산물_9월'!$G:$G,'RAW_농산물_9월'!$D:$D,$C520,'RAW_농산물_9월'!$A:$A,$E520),SUMIFS('RAW_농산물_10월'!$G:$G,'RAW_농산물_10월'!$D:$D,$C520,'RAW_농산물_10월'!$A:$A,$E520),SUMIFS('RAW_농산물_11-12월'!$G:$G,'RAW_농산물_11-12월'!$D:$D,$C520,'RAW_농산물_11-12월'!$A:$A,$E520))))</f>
        <v/>
      </c>
      <c r="H520" s="14" t="str">
        <f>IF($C520="","",IF('설정'!$B$3=0,"",CHOOSE('설정'!$B$3,SUMIFS('RAW_농산물_7월'!$H:$H,'RAW_농산물_7월'!$D:$D,$C520,'RAW_농산물_7월'!$A:$A,$E520),SUMIFS('RAW_농산물_8월'!$H:$H,'RAW_농산물_8월'!$D:$D,$C520,'RAW_농산물_8월'!$A:$A,$E520),SUMIFS('RAW_농산물_9월'!$H:$H,'RAW_농산물_9월'!$D:$D,$C520,'RAW_농산물_9월'!$A:$A,$E520),SUMIFS('RAW_농산물_10월'!$H:$H,'RAW_농산물_10월'!$D:$D,$C520,'RAW_농산물_10월'!$A:$A,$E520),SUMIFS('RAW_농산물_11-12월'!$H:$H,'RAW_농산물_11-12월'!$D:$D,$C520,'RAW_농산물_11-12월'!$A:$A,$E520))))</f>
        <v/>
      </c>
      <c r="I520" s="17" t="str">
        <f>IF($C520="","",IF(COUNTIFS('RAW_농산물_7월'!$D:$D,$C520,'RAW_농산물_7월'!$A:$A,$E520)&gt;0,"O",""))</f>
        <v/>
      </c>
      <c r="J520" s="17" t="str">
        <f>IF($C520="","",IF(COUNTIFS('RAW_농산물_8월'!$D:$D,$C520,'RAW_농산물_8월'!$A:$A,$E520)&gt;0,"O",""))</f>
        <v/>
      </c>
      <c r="K520" s="17" t="str">
        <f>IF($C520="","",IF(COUNTIFS('RAW_농산물_9월'!$D:$D,$C520,'RAW_농산물_9월'!$A:$A,$E520)&gt;0,"O",""))</f>
        <v/>
      </c>
      <c r="L520" s="17" t="str">
        <f>IF($C520="","",IF(COUNTIFS('RAW_농산물_10월'!$D:$D,$C520,'RAW_농산물_10월'!$A:$A,$E520)&gt;0,"O",""))</f>
        <v/>
      </c>
      <c r="M520" s="17" t="str">
        <f>IF($C520="","",IF(COUNTIFS('RAW_농산물_11-12월'!$D:$D,$C520,'RAW_농산물_11-12월'!$A:$A,$E520)&gt;0,"O",""))</f>
        <v/>
      </c>
      <c r="N520" s="7" t="str">
        <f>IF($C520="","",IF(COUNTA('RAW_농산물_7월'!$A:$A)&lt;=1,"",SUMIFS('RAW_농산물_7월'!$H:$H,'RAW_농산물_7월'!$D:$D,$C520,'RAW_농산물_7월'!$A:$A,$E520)))</f>
        <v/>
      </c>
      <c r="O520" s="7" t="str">
        <f>IF($C520="","",IF(COUNTA('RAW_농산물_8월'!$A:$A)&lt;=1,"",SUMIFS('RAW_농산물_8월'!$H:$H,'RAW_농산물_8월'!$D:$D,$C520,'RAW_농산물_8월'!$A:$A,$E520)-SUMIFS('RAW_농산물_7월'!$H:$H,'RAW_농산물_7월'!$D:$D,$C520,'RAW_농산물_7월'!$A:$A,$E520)))</f>
        <v/>
      </c>
      <c r="P520" s="7" t="str">
        <f>IF($C520="","",IF(COUNTA('RAW_농산물_9월'!$A:$A)&lt;=1,"",SUMIFS('RAW_농산물_9월'!$H:$H,'RAW_농산물_9월'!$D:$D,$C520,'RAW_농산물_9월'!$A:$A,$E520)-SUMIFS('RAW_농산물_8월'!$H:$H,'RAW_농산물_8월'!$D:$D,$C520,'RAW_농산물_8월'!$A:$A,$E520)))</f>
        <v/>
      </c>
      <c r="Q520" s="7" t="str">
        <f>IF($C520="","",IF(COUNTA('RAW_농산물_10월'!$A:$A)&lt;=1,"",SUMIFS('RAW_농산물_10월'!$H:$H,'RAW_농산물_10월'!$D:$D,$C520,'RAW_농산물_10월'!$A:$A,$E520)-SUMIFS('RAW_농산물_9월'!$H:$H,'RAW_농산물_9월'!$D:$D,$C520,'RAW_농산물_9월'!$A:$A,$E520)))</f>
        <v/>
      </c>
      <c r="R520" s="7" t="str">
        <f>IF($C520="","",IF(COUNTA('RAW_농산물_11-12월'!$A:$A)&lt;=1,"",SUMIFS('RAW_농산물_11-12월'!$H:$H,'RAW_농산물_11-12월'!$D:$D,$C520,'RAW_농산물_11-12월'!$A:$A,$E520)-SUMIFS('RAW_농산물_10월'!$H:$H,'RAW_농산물_10월'!$D:$D,$C520,'RAW_농산물_10월'!$A:$A,$E520)))</f>
        <v/>
      </c>
      <c r="S520" s="17" t="str">
        <f t="shared" si="4"/>
        <v/>
      </c>
      <c r="T520" s="17" t="str">
        <f t="shared" si="5"/>
        <v/>
      </c>
      <c r="U520" s="7">
        <f>IF($C520="",0,IF('설정'!$B$3=0,0,CHOOSE('설정'!$B$3,COUNTIFS('RAW_농산물_7월'!$D:$D,$C520,'RAW_농산물_7월'!$A:$A,$E520),COUNTIFS('RAW_농산물_8월'!$D:$D,$C520,'RAW_농산물_8월'!$A:$A,$E520),COUNTIFS('RAW_농산물_9월'!$D:$D,$C520,'RAW_농산물_9월'!$A:$A,$E520),COUNTIFS('RAW_농산물_10월'!$D:$D,$C520,'RAW_농산물_10월'!$A:$A,$E520),COUNTIFS('RAW_농산물_11-12월'!$D:$D,$C520,'RAW_농산물_11-12월'!$A:$A,$E520))))</f>
        <v>0</v>
      </c>
    </row>
    <row r="521" ht="15.75" customHeight="1">
      <c r="A521" s="5"/>
      <c r="B521" s="5"/>
      <c r="C521" s="5"/>
      <c r="D521" s="6"/>
      <c r="E521" s="5"/>
      <c r="F521" s="7" t="str">
        <f>IF($C521="","",IF('설정'!$B$3=0,"",CHOOSE('설정'!$B$3,SUMIFS('RAW_농산물_7월'!$F:$F,'RAW_농산물_7월'!$D:$D,$C521,'RAW_농산물_7월'!$A:$A,$E521),SUMIFS('RAW_농산물_8월'!$F:$F,'RAW_농산물_8월'!$D:$D,$C521,'RAW_농산물_8월'!$A:$A,$E521),SUMIFS('RAW_농산물_9월'!$F:$F,'RAW_농산물_9월'!$D:$D,$C521,'RAW_농산물_9월'!$A:$A,$E521),SUMIFS('RAW_농산물_10월'!$F:$F,'RAW_농산물_10월'!$D:$D,$C521,'RAW_농산물_10월'!$A:$A,$E521),SUMIFS('RAW_농산물_11-12월'!$F:$F,'RAW_농산물_11-12월'!$D:$D,$C521,'RAW_농산물_11-12월'!$A:$A,$E521))))</f>
        <v/>
      </c>
      <c r="G521" s="7" t="str">
        <f>IF($C521="","",IF('설정'!$B$3=0,"",CHOOSE('설정'!$B$3,SUMIFS('RAW_농산물_7월'!$G:$G,'RAW_농산물_7월'!$D:$D,$C521,'RAW_농산물_7월'!$A:$A,$E521),SUMIFS('RAW_농산물_8월'!$G:$G,'RAW_농산물_8월'!$D:$D,$C521,'RAW_농산물_8월'!$A:$A,$E521),SUMIFS('RAW_농산물_9월'!$G:$G,'RAW_농산물_9월'!$D:$D,$C521,'RAW_농산물_9월'!$A:$A,$E521),SUMIFS('RAW_농산물_10월'!$G:$G,'RAW_농산물_10월'!$D:$D,$C521,'RAW_농산물_10월'!$A:$A,$E521),SUMIFS('RAW_농산물_11-12월'!$G:$G,'RAW_농산물_11-12월'!$D:$D,$C521,'RAW_농산물_11-12월'!$A:$A,$E521))))</f>
        <v/>
      </c>
      <c r="H521" s="14" t="str">
        <f>IF($C521="","",IF('설정'!$B$3=0,"",CHOOSE('설정'!$B$3,SUMIFS('RAW_농산물_7월'!$H:$H,'RAW_농산물_7월'!$D:$D,$C521,'RAW_농산물_7월'!$A:$A,$E521),SUMIFS('RAW_농산물_8월'!$H:$H,'RAW_농산물_8월'!$D:$D,$C521,'RAW_농산물_8월'!$A:$A,$E521),SUMIFS('RAW_농산물_9월'!$H:$H,'RAW_농산물_9월'!$D:$D,$C521,'RAW_농산물_9월'!$A:$A,$E521),SUMIFS('RAW_농산물_10월'!$H:$H,'RAW_농산물_10월'!$D:$D,$C521,'RAW_농산물_10월'!$A:$A,$E521),SUMIFS('RAW_농산물_11-12월'!$H:$H,'RAW_농산물_11-12월'!$D:$D,$C521,'RAW_농산물_11-12월'!$A:$A,$E521))))</f>
        <v/>
      </c>
      <c r="I521" s="17" t="str">
        <f>IF($C521="","",IF(COUNTIFS('RAW_농산물_7월'!$D:$D,$C521,'RAW_농산물_7월'!$A:$A,$E521)&gt;0,"O",""))</f>
        <v/>
      </c>
      <c r="J521" s="17" t="str">
        <f>IF($C521="","",IF(COUNTIFS('RAW_농산물_8월'!$D:$D,$C521,'RAW_농산물_8월'!$A:$A,$E521)&gt;0,"O",""))</f>
        <v/>
      </c>
      <c r="K521" s="17" t="str">
        <f>IF($C521="","",IF(COUNTIFS('RAW_농산물_9월'!$D:$D,$C521,'RAW_농산물_9월'!$A:$A,$E521)&gt;0,"O",""))</f>
        <v/>
      </c>
      <c r="L521" s="17" t="str">
        <f>IF($C521="","",IF(COUNTIFS('RAW_농산물_10월'!$D:$D,$C521,'RAW_농산물_10월'!$A:$A,$E521)&gt;0,"O",""))</f>
        <v/>
      </c>
      <c r="M521" s="17" t="str">
        <f>IF($C521="","",IF(COUNTIFS('RAW_농산물_11-12월'!$D:$D,$C521,'RAW_농산물_11-12월'!$A:$A,$E521)&gt;0,"O",""))</f>
        <v/>
      </c>
      <c r="N521" s="7" t="str">
        <f>IF($C521="","",IF(COUNTA('RAW_농산물_7월'!$A:$A)&lt;=1,"",SUMIFS('RAW_농산물_7월'!$H:$H,'RAW_농산물_7월'!$D:$D,$C521,'RAW_농산물_7월'!$A:$A,$E521)))</f>
        <v/>
      </c>
      <c r="O521" s="7" t="str">
        <f>IF($C521="","",IF(COUNTA('RAW_농산물_8월'!$A:$A)&lt;=1,"",SUMIFS('RAW_농산물_8월'!$H:$H,'RAW_농산물_8월'!$D:$D,$C521,'RAW_농산물_8월'!$A:$A,$E521)-SUMIFS('RAW_농산물_7월'!$H:$H,'RAW_농산물_7월'!$D:$D,$C521,'RAW_농산물_7월'!$A:$A,$E521)))</f>
        <v/>
      </c>
      <c r="P521" s="7" t="str">
        <f>IF($C521="","",IF(COUNTA('RAW_농산물_9월'!$A:$A)&lt;=1,"",SUMIFS('RAW_농산물_9월'!$H:$H,'RAW_농산물_9월'!$D:$D,$C521,'RAW_농산물_9월'!$A:$A,$E521)-SUMIFS('RAW_농산물_8월'!$H:$H,'RAW_농산물_8월'!$D:$D,$C521,'RAW_농산물_8월'!$A:$A,$E521)))</f>
        <v/>
      </c>
      <c r="Q521" s="7" t="str">
        <f>IF($C521="","",IF(COUNTA('RAW_농산물_10월'!$A:$A)&lt;=1,"",SUMIFS('RAW_농산물_10월'!$H:$H,'RAW_농산물_10월'!$D:$D,$C521,'RAW_농산물_10월'!$A:$A,$E521)-SUMIFS('RAW_농산물_9월'!$H:$H,'RAW_농산물_9월'!$D:$D,$C521,'RAW_농산물_9월'!$A:$A,$E521)))</f>
        <v/>
      </c>
      <c r="R521" s="7" t="str">
        <f>IF($C521="","",IF(COUNTA('RAW_농산물_11-12월'!$A:$A)&lt;=1,"",SUMIFS('RAW_농산물_11-12월'!$H:$H,'RAW_농산물_11-12월'!$D:$D,$C521,'RAW_농산물_11-12월'!$A:$A,$E521)-SUMIFS('RAW_농산물_10월'!$H:$H,'RAW_농산물_10월'!$D:$D,$C521,'RAW_농산물_10월'!$A:$A,$E521)))</f>
        <v/>
      </c>
      <c r="S521" s="17" t="str">
        <f t="shared" si="4"/>
        <v/>
      </c>
      <c r="T521" s="17" t="str">
        <f t="shared" si="5"/>
        <v/>
      </c>
      <c r="U521" s="7">
        <f>IF($C521="",0,IF('설정'!$B$3=0,0,CHOOSE('설정'!$B$3,COUNTIFS('RAW_농산물_7월'!$D:$D,$C521,'RAW_농산물_7월'!$A:$A,$E521),COUNTIFS('RAW_농산물_8월'!$D:$D,$C521,'RAW_농산물_8월'!$A:$A,$E521),COUNTIFS('RAW_농산물_9월'!$D:$D,$C521,'RAW_농산물_9월'!$A:$A,$E521),COUNTIFS('RAW_농산물_10월'!$D:$D,$C521,'RAW_농산물_10월'!$A:$A,$E521),COUNTIFS('RAW_농산물_11-12월'!$D:$D,$C521,'RAW_농산물_11-12월'!$A:$A,$E521))))</f>
        <v>0</v>
      </c>
    </row>
    <row r="522" ht="15.75" customHeight="1">
      <c r="A522" s="5"/>
      <c r="B522" s="5"/>
      <c r="C522" s="5"/>
      <c r="D522" s="6"/>
      <c r="E522" s="5"/>
      <c r="F522" s="7" t="str">
        <f>IF($C522="","",IF('설정'!$B$3=0,"",CHOOSE('설정'!$B$3,SUMIFS('RAW_농산물_7월'!$F:$F,'RAW_농산물_7월'!$D:$D,$C522,'RAW_농산물_7월'!$A:$A,$E522),SUMIFS('RAW_농산물_8월'!$F:$F,'RAW_농산물_8월'!$D:$D,$C522,'RAW_농산물_8월'!$A:$A,$E522),SUMIFS('RAW_농산물_9월'!$F:$F,'RAW_농산물_9월'!$D:$D,$C522,'RAW_농산물_9월'!$A:$A,$E522),SUMIFS('RAW_농산물_10월'!$F:$F,'RAW_농산물_10월'!$D:$D,$C522,'RAW_농산물_10월'!$A:$A,$E522),SUMIFS('RAW_농산물_11-12월'!$F:$F,'RAW_농산물_11-12월'!$D:$D,$C522,'RAW_농산물_11-12월'!$A:$A,$E522))))</f>
        <v/>
      </c>
      <c r="G522" s="7" t="str">
        <f>IF($C522="","",IF('설정'!$B$3=0,"",CHOOSE('설정'!$B$3,SUMIFS('RAW_농산물_7월'!$G:$G,'RAW_농산물_7월'!$D:$D,$C522,'RAW_농산물_7월'!$A:$A,$E522),SUMIFS('RAW_농산물_8월'!$G:$G,'RAW_농산물_8월'!$D:$D,$C522,'RAW_농산물_8월'!$A:$A,$E522),SUMIFS('RAW_농산물_9월'!$G:$G,'RAW_농산물_9월'!$D:$D,$C522,'RAW_농산물_9월'!$A:$A,$E522),SUMIFS('RAW_농산물_10월'!$G:$G,'RAW_농산물_10월'!$D:$D,$C522,'RAW_농산물_10월'!$A:$A,$E522),SUMIFS('RAW_농산물_11-12월'!$G:$G,'RAW_농산물_11-12월'!$D:$D,$C522,'RAW_농산물_11-12월'!$A:$A,$E522))))</f>
        <v/>
      </c>
      <c r="H522" s="14" t="str">
        <f>IF($C522="","",IF('설정'!$B$3=0,"",CHOOSE('설정'!$B$3,SUMIFS('RAW_농산물_7월'!$H:$H,'RAW_농산물_7월'!$D:$D,$C522,'RAW_농산물_7월'!$A:$A,$E522),SUMIFS('RAW_농산물_8월'!$H:$H,'RAW_농산물_8월'!$D:$D,$C522,'RAW_농산물_8월'!$A:$A,$E522),SUMIFS('RAW_농산물_9월'!$H:$H,'RAW_농산물_9월'!$D:$D,$C522,'RAW_농산물_9월'!$A:$A,$E522),SUMIFS('RAW_농산물_10월'!$H:$H,'RAW_농산물_10월'!$D:$D,$C522,'RAW_농산물_10월'!$A:$A,$E522),SUMIFS('RAW_농산물_11-12월'!$H:$H,'RAW_농산물_11-12월'!$D:$D,$C522,'RAW_농산물_11-12월'!$A:$A,$E522))))</f>
        <v/>
      </c>
      <c r="I522" s="17" t="str">
        <f>IF($C522="","",IF(COUNTIFS('RAW_농산물_7월'!$D:$D,$C522,'RAW_농산물_7월'!$A:$A,$E522)&gt;0,"O",""))</f>
        <v/>
      </c>
      <c r="J522" s="17" t="str">
        <f>IF($C522="","",IF(COUNTIFS('RAW_농산물_8월'!$D:$D,$C522,'RAW_농산물_8월'!$A:$A,$E522)&gt;0,"O",""))</f>
        <v/>
      </c>
      <c r="K522" s="17" t="str">
        <f>IF($C522="","",IF(COUNTIFS('RAW_농산물_9월'!$D:$D,$C522,'RAW_농산물_9월'!$A:$A,$E522)&gt;0,"O",""))</f>
        <v/>
      </c>
      <c r="L522" s="17" t="str">
        <f>IF($C522="","",IF(COUNTIFS('RAW_농산물_10월'!$D:$D,$C522,'RAW_농산물_10월'!$A:$A,$E522)&gt;0,"O",""))</f>
        <v/>
      </c>
      <c r="M522" s="17" t="str">
        <f>IF($C522="","",IF(COUNTIFS('RAW_농산물_11-12월'!$D:$D,$C522,'RAW_농산물_11-12월'!$A:$A,$E522)&gt;0,"O",""))</f>
        <v/>
      </c>
      <c r="N522" s="7" t="str">
        <f>IF($C522="","",IF(COUNTA('RAW_농산물_7월'!$A:$A)&lt;=1,"",SUMIFS('RAW_농산물_7월'!$H:$H,'RAW_농산물_7월'!$D:$D,$C522,'RAW_농산물_7월'!$A:$A,$E522)))</f>
        <v/>
      </c>
      <c r="O522" s="7" t="str">
        <f>IF($C522="","",IF(COUNTA('RAW_농산물_8월'!$A:$A)&lt;=1,"",SUMIFS('RAW_농산물_8월'!$H:$H,'RAW_농산물_8월'!$D:$D,$C522,'RAW_농산물_8월'!$A:$A,$E522)-SUMIFS('RAW_농산물_7월'!$H:$H,'RAW_농산물_7월'!$D:$D,$C522,'RAW_농산물_7월'!$A:$A,$E522)))</f>
        <v/>
      </c>
      <c r="P522" s="7" t="str">
        <f>IF($C522="","",IF(COUNTA('RAW_농산물_9월'!$A:$A)&lt;=1,"",SUMIFS('RAW_농산물_9월'!$H:$H,'RAW_농산물_9월'!$D:$D,$C522,'RAW_농산물_9월'!$A:$A,$E522)-SUMIFS('RAW_농산물_8월'!$H:$H,'RAW_농산물_8월'!$D:$D,$C522,'RAW_농산물_8월'!$A:$A,$E522)))</f>
        <v/>
      </c>
      <c r="Q522" s="7" t="str">
        <f>IF($C522="","",IF(COUNTA('RAW_농산물_10월'!$A:$A)&lt;=1,"",SUMIFS('RAW_농산물_10월'!$H:$H,'RAW_농산물_10월'!$D:$D,$C522,'RAW_농산물_10월'!$A:$A,$E522)-SUMIFS('RAW_농산물_9월'!$H:$H,'RAW_농산물_9월'!$D:$D,$C522,'RAW_농산물_9월'!$A:$A,$E522)))</f>
        <v/>
      </c>
      <c r="R522" s="7" t="str">
        <f>IF($C522="","",IF(COUNTA('RAW_농산물_11-12월'!$A:$A)&lt;=1,"",SUMIFS('RAW_농산물_11-12월'!$H:$H,'RAW_농산물_11-12월'!$D:$D,$C522,'RAW_농산물_11-12월'!$A:$A,$E522)-SUMIFS('RAW_농산물_10월'!$H:$H,'RAW_농산물_10월'!$D:$D,$C522,'RAW_농산물_10월'!$A:$A,$E522)))</f>
        <v/>
      </c>
      <c r="S522" s="17" t="str">
        <f t="shared" si="4"/>
        <v/>
      </c>
      <c r="T522" s="17" t="str">
        <f t="shared" si="5"/>
        <v/>
      </c>
      <c r="U522" s="7">
        <f>IF($C522="",0,IF('설정'!$B$3=0,0,CHOOSE('설정'!$B$3,COUNTIFS('RAW_농산물_7월'!$D:$D,$C522,'RAW_농산물_7월'!$A:$A,$E522),COUNTIFS('RAW_농산물_8월'!$D:$D,$C522,'RAW_농산물_8월'!$A:$A,$E522),COUNTIFS('RAW_농산물_9월'!$D:$D,$C522,'RAW_농산물_9월'!$A:$A,$E522),COUNTIFS('RAW_농산물_10월'!$D:$D,$C522,'RAW_농산물_10월'!$A:$A,$E522),COUNTIFS('RAW_농산물_11-12월'!$D:$D,$C522,'RAW_농산물_11-12월'!$A:$A,$E522))))</f>
        <v>0</v>
      </c>
    </row>
    <row r="523" ht="15.75" customHeight="1">
      <c r="A523" s="5"/>
      <c r="B523" s="5"/>
      <c r="C523" s="5"/>
      <c r="D523" s="6"/>
      <c r="E523" s="5"/>
      <c r="F523" s="7" t="str">
        <f>IF($C523="","",IF('설정'!$B$3=0,"",CHOOSE('설정'!$B$3,SUMIFS('RAW_농산물_7월'!$F:$F,'RAW_농산물_7월'!$D:$D,$C523,'RAW_농산물_7월'!$A:$A,$E523),SUMIFS('RAW_농산물_8월'!$F:$F,'RAW_농산물_8월'!$D:$D,$C523,'RAW_농산물_8월'!$A:$A,$E523),SUMIFS('RAW_농산물_9월'!$F:$F,'RAW_농산물_9월'!$D:$D,$C523,'RAW_농산물_9월'!$A:$A,$E523),SUMIFS('RAW_농산물_10월'!$F:$F,'RAW_농산물_10월'!$D:$D,$C523,'RAW_농산물_10월'!$A:$A,$E523),SUMIFS('RAW_농산물_11-12월'!$F:$F,'RAW_농산물_11-12월'!$D:$D,$C523,'RAW_농산물_11-12월'!$A:$A,$E523))))</f>
        <v/>
      </c>
      <c r="G523" s="7" t="str">
        <f>IF($C523="","",IF('설정'!$B$3=0,"",CHOOSE('설정'!$B$3,SUMIFS('RAW_농산물_7월'!$G:$G,'RAW_농산물_7월'!$D:$D,$C523,'RAW_농산물_7월'!$A:$A,$E523),SUMIFS('RAW_농산물_8월'!$G:$G,'RAW_농산물_8월'!$D:$D,$C523,'RAW_농산물_8월'!$A:$A,$E523),SUMIFS('RAW_농산물_9월'!$G:$G,'RAW_농산물_9월'!$D:$D,$C523,'RAW_농산물_9월'!$A:$A,$E523),SUMIFS('RAW_농산물_10월'!$G:$G,'RAW_농산물_10월'!$D:$D,$C523,'RAW_농산물_10월'!$A:$A,$E523),SUMIFS('RAW_농산물_11-12월'!$G:$G,'RAW_농산물_11-12월'!$D:$D,$C523,'RAW_농산물_11-12월'!$A:$A,$E523))))</f>
        <v/>
      </c>
      <c r="H523" s="14" t="str">
        <f>IF($C523="","",IF('설정'!$B$3=0,"",CHOOSE('설정'!$B$3,SUMIFS('RAW_농산물_7월'!$H:$H,'RAW_농산물_7월'!$D:$D,$C523,'RAW_농산물_7월'!$A:$A,$E523),SUMIFS('RAW_농산물_8월'!$H:$H,'RAW_농산물_8월'!$D:$D,$C523,'RAW_농산물_8월'!$A:$A,$E523),SUMIFS('RAW_농산물_9월'!$H:$H,'RAW_농산물_9월'!$D:$D,$C523,'RAW_농산물_9월'!$A:$A,$E523),SUMIFS('RAW_농산물_10월'!$H:$H,'RAW_농산물_10월'!$D:$D,$C523,'RAW_농산물_10월'!$A:$A,$E523),SUMIFS('RAW_농산물_11-12월'!$H:$H,'RAW_농산물_11-12월'!$D:$D,$C523,'RAW_농산물_11-12월'!$A:$A,$E523))))</f>
        <v/>
      </c>
      <c r="I523" s="17" t="str">
        <f>IF($C523="","",IF(COUNTIFS('RAW_농산물_7월'!$D:$D,$C523,'RAW_농산물_7월'!$A:$A,$E523)&gt;0,"O",""))</f>
        <v/>
      </c>
      <c r="J523" s="17" t="str">
        <f>IF($C523="","",IF(COUNTIFS('RAW_농산물_8월'!$D:$D,$C523,'RAW_농산물_8월'!$A:$A,$E523)&gt;0,"O",""))</f>
        <v/>
      </c>
      <c r="K523" s="17" t="str">
        <f>IF($C523="","",IF(COUNTIFS('RAW_농산물_9월'!$D:$D,$C523,'RAW_농산물_9월'!$A:$A,$E523)&gt;0,"O",""))</f>
        <v/>
      </c>
      <c r="L523" s="17" t="str">
        <f>IF($C523="","",IF(COUNTIFS('RAW_농산물_10월'!$D:$D,$C523,'RAW_농산물_10월'!$A:$A,$E523)&gt;0,"O",""))</f>
        <v/>
      </c>
      <c r="M523" s="17" t="str">
        <f>IF($C523="","",IF(COUNTIFS('RAW_농산물_11-12월'!$D:$D,$C523,'RAW_농산물_11-12월'!$A:$A,$E523)&gt;0,"O",""))</f>
        <v/>
      </c>
      <c r="N523" s="7" t="str">
        <f>IF($C523="","",IF(COUNTA('RAW_농산물_7월'!$A:$A)&lt;=1,"",SUMIFS('RAW_농산물_7월'!$H:$H,'RAW_농산물_7월'!$D:$D,$C523,'RAW_농산물_7월'!$A:$A,$E523)))</f>
        <v/>
      </c>
      <c r="O523" s="7" t="str">
        <f>IF($C523="","",IF(COUNTA('RAW_농산물_8월'!$A:$A)&lt;=1,"",SUMIFS('RAW_농산물_8월'!$H:$H,'RAW_농산물_8월'!$D:$D,$C523,'RAW_농산물_8월'!$A:$A,$E523)-SUMIFS('RAW_농산물_7월'!$H:$H,'RAW_농산물_7월'!$D:$D,$C523,'RAW_농산물_7월'!$A:$A,$E523)))</f>
        <v/>
      </c>
      <c r="P523" s="7" t="str">
        <f>IF($C523="","",IF(COUNTA('RAW_농산물_9월'!$A:$A)&lt;=1,"",SUMIFS('RAW_농산물_9월'!$H:$H,'RAW_농산물_9월'!$D:$D,$C523,'RAW_농산물_9월'!$A:$A,$E523)-SUMIFS('RAW_농산물_8월'!$H:$H,'RAW_농산물_8월'!$D:$D,$C523,'RAW_농산물_8월'!$A:$A,$E523)))</f>
        <v/>
      </c>
      <c r="Q523" s="7" t="str">
        <f>IF($C523="","",IF(COUNTA('RAW_농산물_10월'!$A:$A)&lt;=1,"",SUMIFS('RAW_농산물_10월'!$H:$H,'RAW_농산물_10월'!$D:$D,$C523,'RAW_농산물_10월'!$A:$A,$E523)-SUMIFS('RAW_농산물_9월'!$H:$H,'RAW_농산물_9월'!$D:$D,$C523,'RAW_농산물_9월'!$A:$A,$E523)))</f>
        <v/>
      </c>
      <c r="R523" s="7" t="str">
        <f>IF($C523="","",IF(COUNTA('RAW_농산물_11-12월'!$A:$A)&lt;=1,"",SUMIFS('RAW_농산물_11-12월'!$H:$H,'RAW_농산물_11-12월'!$D:$D,$C523,'RAW_농산물_11-12월'!$A:$A,$E523)-SUMIFS('RAW_농산물_10월'!$H:$H,'RAW_농산물_10월'!$D:$D,$C523,'RAW_농산물_10월'!$A:$A,$E523)))</f>
        <v/>
      </c>
      <c r="S523" s="17" t="str">
        <f t="shared" si="4"/>
        <v/>
      </c>
      <c r="T523" s="17" t="str">
        <f t="shared" si="5"/>
        <v/>
      </c>
      <c r="U523" s="7">
        <f>IF($C523="",0,IF('설정'!$B$3=0,0,CHOOSE('설정'!$B$3,COUNTIFS('RAW_농산물_7월'!$D:$D,$C523,'RAW_농산물_7월'!$A:$A,$E523),COUNTIFS('RAW_농산물_8월'!$D:$D,$C523,'RAW_농산물_8월'!$A:$A,$E523),COUNTIFS('RAW_농산물_9월'!$D:$D,$C523,'RAW_농산물_9월'!$A:$A,$E523),COUNTIFS('RAW_농산물_10월'!$D:$D,$C523,'RAW_농산물_10월'!$A:$A,$E523),COUNTIFS('RAW_농산물_11-12월'!$D:$D,$C523,'RAW_농산물_11-12월'!$A:$A,$E523))))</f>
        <v>0</v>
      </c>
    </row>
    <row r="524" ht="15.75" customHeight="1">
      <c r="A524" s="5"/>
      <c r="B524" s="5"/>
      <c r="C524" s="5"/>
      <c r="D524" s="6"/>
      <c r="E524" s="5"/>
      <c r="F524" s="7" t="str">
        <f>IF($C524="","",IF('설정'!$B$3=0,"",CHOOSE('설정'!$B$3,SUMIFS('RAW_농산물_7월'!$F:$F,'RAW_농산물_7월'!$D:$D,$C524,'RAW_농산물_7월'!$A:$A,$E524),SUMIFS('RAW_농산물_8월'!$F:$F,'RAW_농산물_8월'!$D:$D,$C524,'RAW_농산물_8월'!$A:$A,$E524),SUMIFS('RAW_농산물_9월'!$F:$F,'RAW_농산물_9월'!$D:$D,$C524,'RAW_농산물_9월'!$A:$A,$E524),SUMIFS('RAW_농산물_10월'!$F:$F,'RAW_농산물_10월'!$D:$D,$C524,'RAW_농산물_10월'!$A:$A,$E524),SUMIFS('RAW_농산물_11-12월'!$F:$F,'RAW_농산물_11-12월'!$D:$D,$C524,'RAW_농산물_11-12월'!$A:$A,$E524))))</f>
        <v/>
      </c>
      <c r="G524" s="7" t="str">
        <f>IF($C524="","",IF('설정'!$B$3=0,"",CHOOSE('설정'!$B$3,SUMIFS('RAW_농산물_7월'!$G:$G,'RAW_농산물_7월'!$D:$D,$C524,'RAW_농산물_7월'!$A:$A,$E524),SUMIFS('RAW_농산물_8월'!$G:$G,'RAW_농산물_8월'!$D:$D,$C524,'RAW_농산물_8월'!$A:$A,$E524),SUMIFS('RAW_농산물_9월'!$G:$G,'RAW_농산물_9월'!$D:$D,$C524,'RAW_농산물_9월'!$A:$A,$E524),SUMIFS('RAW_농산물_10월'!$G:$G,'RAW_농산물_10월'!$D:$D,$C524,'RAW_농산물_10월'!$A:$A,$E524),SUMIFS('RAW_농산물_11-12월'!$G:$G,'RAW_농산물_11-12월'!$D:$D,$C524,'RAW_농산물_11-12월'!$A:$A,$E524))))</f>
        <v/>
      </c>
      <c r="H524" s="14" t="str">
        <f>IF($C524="","",IF('설정'!$B$3=0,"",CHOOSE('설정'!$B$3,SUMIFS('RAW_농산물_7월'!$H:$H,'RAW_농산물_7월'!$D:$D,$C524,'RAW_농산물_7월'!$A:$A,$E524),SUMIFS('RAW_농산물_8월'!$H:$H,'RAW_농산물_8월'!$D:$D,$C524,'RAW_농산물_8월'!$A:$A,$E524),SUMIFS('RAW_농산물_9월'!$H:$H,'RAW_농산물_9월'!$D:$D,$C524,'RAW_농산물_9월'!$A:$A,$E524),SUMIFS('RAW_농산물_10월'!$H:$H,'RAW_농산물_10월'!$D:$D,$C524,'RAW_농산물_10월'!$A:$A,$E524),SUMIFS('RAW_농산물_11-12월'!$H:$H,'RAW_농산물_11-12월'!$D:$D,$C524,'RAW_농산물_11-12월'!$A:$A,$E524))))</f>
        <v/>
      </c>
      <c r="I524" s="17" t="str">
        <f>IF($C524="","",IF(COUNTIFS('RAW_농산물_7월'!$D:$D,$C524,'RAW_농산물_7월'!$A:$A,$E524)&gt;0,"O",""))</f>
        <v/>
      </c>
      <c r="J524" s="17" t="str">
        <f>IF($C524="","",IF(COUNTIFS('RAW_농산물_8월'!$D:$D,$C524,'RAW_농산물_8월'!$A:$A,$E524)&gt;0,"O",""))</f>
        <v/>
      </c>
      <c r="K524" s="17" t="str">
        <f>IF($C524="","",IF(COUNTIFS('RAW_농산물_9월'!$D:$D,$C524,'RAW_농산물_9월'!$A:$A,$E524)&gt;0,"O",""))</f>
        <v/>
      </c>
      <c r="L524" s="17" t="str">
        <f>IF($C524="","",IF(COUNTIFS('RAW_농산물_10월'!$D:$D,$C524,'RAW_농산물_10월'!$A:$A,$E524)&gt;0,"O",""))</f>
        <v/>
      </c>
      <c r="M524" s="17" t="str">
        <f>IF($C524="","",IF(COUNTIFS('RAW_농산물_11-12월'!$D:$D,$C524,'RAW_농산물_11-12월'!$A:$A,$E524)&gt;0,"O",""))</f>
        <v/>
      </c>
      <c r="N524" s="7" t="str">
        <f>IF($C524="","",IF(COUNTA('RAW_농산물_7월'!$A:$A)&lt;=1,"",SUMIFS('RAW_농산물_7월'!$H:$H,'RAW_농산물_7월'!$D:$D,$C524,'RAW_농산물_7월'!$A:$A,$E524)))</f>
        <v/>
      </c>
      <c r="O524" s="7" t="str">
        <f>IF($C524="","",IF(COUNTA('RAW_농산물_8월'!$A:$A)&lt;=1,"",SUMIFS('RAW_농산물_8월'!$H:$H,'RAW_농산물_8월'!$D:$D,$C524,'RAW_농산물_8월'!$A:$A,$E524)-SUMIFS('RAW_농산물_7월'!$H:$H,'RAW_농산물_7월'!$D:$D,$C524,'RAW_농산물_7월'!$A:$A,$E524)))</f>
        <v/>
      </c>
      <c r="P524" s="7" t="str">
        <f>IF($C524="","",IF(COUNTA('RAW_농산물_9월'!$A:$A)&lt;=1,"",SUMIFS('RAW_농산물_9월'!$H:$H,'RAW_농산물_9월'!$D:$D,$C524,'RAW_농산물_9월'!$A:$A,$E524)-SUMIFS('RAW_농산물_8월'!$H:$H,'RAW_농산물_8월'!$D:$D,$C524,'RAW_농산물_8월'!$A:$A,$E524)))</f>
        <v/>
      </c>
      <c r="Q524" s="7" t="str">
        <f>IF($C524="","",IF(COUNTA('RAW_농산물_10월'!$A:$A)&lt;=1,"",SUMIFS('RAW_농산물_10월'!$H:$H,'RAW_농산물_10월'!$D:$D,$C524,'RAW_농산물_10월'!$A:$A,$E524)-SUMIFS('RAW_농산물_9월'!$H:$H,'RAW_농산물_9월'!$D:$D,$C524,'RAW_농산물_9월'!$A:$A,$E524)))</f>
        <v/>
      </c>
      <c r="R524" s="7" t="str">
        <f>IF($C524="","",IF(COUNTA('RAW_농산물_11-12월'!$A:$A)&lt;=1,"",SUMIFS('RAW_농산물_11-12월'!$H:$H,'RAW_농산물_11-12월'!$D:$D,$C524,'RAW_농산물_11-12월'!$A:$A,$E524)-SUMIFS('RAW_농산물_10월'!$H:$H,'RAW_농산물_10월'!$D:$D,$C524,'RAW_농산물_10월'!$A:$A,$E524)))</f>
        <v/>
      </c>
      <c r="S524" s="17" t="str">
        <f t="shared" si="4"/>
        <v/>
      </c>
      <c r="T524" s="17" t="str">
        <f t="shared" si="5"/>
        <v/>
      </c>
      <c r="U524" s="7">
        <f>IF($C524="",0,IF('설정'!$B$3=0,0,CHOOSE('설정'!$B$3,COUNTIFS('RAW_농산물_7월'!$D:$D,$C524,'RAW_농산물_7월'!$A:$A,$E524),COUNTIFS('RAW_농산물_8월'!$D:$D,$C524,'RAW_농산물_8월'!$A:$A,$E524),COUNTIFS('RAW_농산물_9월'!$D:$D,$C524,'RAW_농산물_9월'!$A:$A,$E524),COUNTIFS('RAW_농산물_10월'!$D:$D,$C524,'RAW_농산물_10월'!$A:$A,$E524),COUNTIFS('RAW_농산물_11-12월'!$D:$D,$C524,'RAW_농산물_11-12월'!$A:$A,$E524))))</f>
        <v>0</v>
      </c>
    </row>
    <row r="525" ht="15.75" customHeight="1">
      <c r="A525" s="5"/>
      <c r="B525" s="5"/>
      <c r="C525" s="5"/>
      <c r="D525" s="6"/>
      <c r="E525" s="5"/>
      <c r="F525" s="7" t="str">
        <f>IF($C525="","",IF('설정'!$B$3=0,"",CHOOSE('설정'!$B$3,SUMIFS('RAW_농산물_7월'!$F:$F,'RAW_농산물_7월'!$D:$D,$C525,'RAW_농산물_7월'!$A:$A,$E525),SUMIFS('RAW_농산물_8월'!$F:$F,'RAW_농산물_8월'!$D:$D,$C525,'RAW_농산물_8월'!$A:$A,$E525),SUMIFS('RAW_농산물_9월'!$F:$F,'RAW_농산물_9월'!$D:$D,$C525,'RAW_농산물_9월'!$A:$A,$E525),SUMIFS('RAW_농산물_10월'!$F:$F,'RAW_농산물_10월'!$D:$D,$C525,'RAW_농산물_10월'!$A:$A,$E525),SUMIFS('RAW_농산물_11-12월'!$F:$F,'RAW_농산물_11-12월'!$D:$D,$C525,'RAW_농산물_11-12월'!$A:$A,$E525))))</f>
        <v/>
      </c>
      <c r="G525" s="7" t="str">
        <f>IF($C525="","",IF('설정'!$B$3=0,"",CHOOSE('설정'!$B$3,SUMIFS('RAW_농산물_7월'!$G:$G,'RAW_농산물_7월'!$D:$D,$C525,'RAW_농산물_7월'!$A:$A,$E525),SUMIFS('RAW_농산물_8월'!$G:$G,'RAW_농산물_8월'!$D:$D,$C525,'RAW_농산물_8월'!$A:$A,$E525),SUMIFS('RAW_농산물_9월'!$G:$G,'RAW_농산물_9월'!$D:$D,$C525,'RAW_농산물_9월'!$A:$A,$E525),SUMIFS('RAW_농산물_10월'!$G:$G,'RAW_농산물_10월'!$D:$D,$C525,'RAW_농산물_10월'!$A:$A,$E525),SUMIFS('RAW_농산물_11-12월'!$G:$G,'RAW_농산물_11-12월'!$D:$D,$C525,'RAW_농산물_11-12월'!$A:$A,$E525))))</f>
        <v/>
      </c>
      <c r="H525" s="14" t="str">
        <f>IF($C525="","",IF('설정'!$B$3=0,"",CHOOSE('설정'!$B$3,SUMIFS('RAW_농산물_7월'!$H:$H,'RAW_농산물_7월'!$D:$D,$C525,'RAW_농산물_7월'!$A:$A,$E525),SUMIFS('RAW_농산물_8월'!$H:$H,'RAW_농산물_8월'!$D:$D,$C525,'RAW_농산물_8월'!$A:$A,$E525),SUMIFS('RAW_농산물_9월'!$H:$H,'RAW_농산물_9월'!$D:$D,$C525,'RAW_농산물_9월'!$A:$A,$E525),SUMIFS('RAW_농산물_10월'!$H:$H,'RAW_농산물_10월'!$D:$D,$C525,'RAW_농산물_10월'!$A:$A,$E525),SUMIFS('RAW_농산물_11-12월'!$H:$H,'RAW_농산물_11-12월'!$D:$D,$C525,'RAW_농산물_11-12월'!$A:$A,$E525))))</f>
        <v/>
      </c>
      <c r="I525" s="17" t="str">
        <f>IF($C525="","",IF(COUNTIFS('RAW_농산물_7월'!$D:$D,$C525,'RAW_농산물_7월'!$A:$A,$E525)&gt;0,"O",""))</f>
        <v/>
      </c>
      <c r="J525" s="17" t="str">
        <f>IF($C525="","",IF(COUNTIFS('RAW_농산물_8월'!$D:$D,$C525,'RAW_농산물_8월'!$A:$A,$E525)&gt;0,"O",""))</f>
        <v/>
      </c>
      <c r="K525" s="17" t="str">
        <f>IF($C525="","",IF(COUNTIFS('RAW_농산물_9월'!$D:$D,$C525,'RAW_농산물_9월'!$A:$A,$E525)&gt;0,"O",""))</f>
        <v/>
      </c>
      <c r="L525" s="17" t="str">
        <f>IF($C525="","",IF(COUNTIFS('RAW_농산물_10월'!$D:$D,$C525,'RAW_농산물_10월'!$A:$A,$E525)&gt;0,"O",""))</f>
        <v/>
      </c>
      <c r="M525" s="17" t="str">
        <f>IF($C525="","",IF(COUNTIFS('RAW_농산물_11-12월'!$D:$D,$C525,'RAW_농산물_11-12월'!$A:$A,$E525)&gt;0,"O",""))</f>
        <v/>
      </c>
      <c r="N525" s="7" t="str">
        <f>IF($C525="","",IF(COUNTA('RAW_농산물_7월'!$A:$A)&lt;=1,"",SUMIFS('RAW_농산물_7월'!$H:$H,'RAW_농산물_7월'!$D:$D,$C525,'RAW_농산물_7월'!$A:$A,$E525)))</f>
        <v/>
      </c>
      <c r="O525" s="7" t="str">
        <f>IF($C525="","",IF(COUNTA('RAW_농산물_8월'!$A:$A)&lt;=1,"",SUMIFS('RAW_농산물_8월'!$H:$H,'RAW_농산물_8월'!$D:$D,$C525,'RAW_농산물_8월'!$A:$A,$E525)-SUMIFS('RAW_농산물_7월'!$H:$H,'RAW_농산물_7월'!$D:$D,$C525,'RAW_농산물_7월'!$A:$A,$E525)))</f>
        <v/>
      </c>
      <c r="P525" s="7" t="str">
        <f>IF($C525="","",IF(COUNTA('RAW_농산물_9월'!$A:$A)&lt;=1,"",SUMIFS('RAW_농산물_9월'!$H:$H,'RAW_농산물_9월'!$D:$D,$C525,'RAW_농산물_9월'!$A:$A,$E525)-SUMIFS('RAW_농산물_8월'!$H:$H,'RAW_농산물_8월'!$D:$D,$C525,'RAW_농산물_8월'!$A:$A,$E525)))</f>
        <v/>
      </c>
      <c r="Q525" s="7" t="str">
        <f>IF($C525="","",IF(COUNTA('RAW_농산물_10월'!$A:$A)&lt;=1,"",SUMIFS('RAW_농산물_10월'!$H:$H,'RAW_농산물_10월'!$D:$D,$C525,'RAW_농산물_10월'!$A:$A,$E525)-SUMIFS('RAW_농산물_9월'!$H:$H,'RAW_농산물_9월'!$D:$D,$C525,'RAW_농산물_9월'!$A:$A,$E525)))</f>
        <v/>
      </c>
      <c r="R525" s="7" t="str">
        <f>IF($C525="","",IF(COUNTA('RAW_농산물_11-12월'!$A:$A)&lt;=1,"",SUMIFS('RAW_농산물_11-12월'!$H:$H,'RAW_농산물_11-12월'!$D:$D,$C525,'RAW_농산물_11-12월'!$A:$A,$E525)-SUMIFS('RAW_농산물_10월'!$H:$H,'RAW_농산물_10월'!$D:$D,$C525,'RAW_농산물_10월'!$A:$A,$E525)))</f>
        <v/>
      </c>
      <c r="S525" s="17" t="str">
        <f t="shared" si="4"/>
        <v/>
      </c>
      <c r="T525" s="17" t="str">
        <f t="shared" si="5"/>
        <v/>
      </c>
      <c r="U525" s="7">
        <f>IF($C525="",0,IF('설정'!$B$3=0,0,CHOOSE('설정'!$B$3,COUNTIFS('RAW_농산물_7월'!$D:$D,$C525,'RAW_농산물_7월'!$A:$A,$E525),COUNTIFS('RAW_농산물_8월'!$D:$D,$C525,'RAW_농산물_8월'!$A:$A,$E525),COUNTIFS('RAW_농산물_9월'!$D:$D,$C525,'RAW_농산물_9월'!$A:$A,$E525),COUNTIFS('RAW_농산물_10월'!$D:$D,$C525,'RAW_농산물_10월'!$A:$A,$E525),COUNTIFS('RAW_농산물_11-12월'!$D:$D,$C525,'RAW_농산물_11-12월'!$A:$A,$E525))))</f>
        <v>0</v>
      </c>
    </row>
    <row r="526" ht="15.75" customHeight="1">
      <c r="A526" s="5"/>
      <c r="B526" s="5"/>
      <c r="C526" s="5"/>
      <c r="D526" s="6"/>
      <c r="E526" s="5"/>
      <c r="F526" s="7" t="str">
        <f>IF($C526="","",IF('설정'!$B$3=0,"",CHOOSE('설정'!$B$3,SUMIFS('RAW_농산물_7월'!$F:$F,'RAW_농산물_7월'!$D:$D,$C526,'RAW_농산물_7월'!$A:$A,$E526),SUMIFS('RAW_농산물_8월'!$F:$F,'RAW_농산물_8월'!$D:$D,$C526,'RAW_농산물_8월'!$A:$A,$E526),SUMIFS('RAW_농산물_9월'!$F:$F,'RAW_농산물_9월'!$D:$D,$C526,'RAW_농산물_9월'!$A:$A,$E526),SUMIFS('RAW_농산물_10월'!$F:$F,'RAW_농산물_10월'!$D:$D,$C526,'RAW_농산물_10월'!$A:$A,$E526),SUMIFS('RAW_농산물_11-12월'!$F:$F,'RAW_농산물_11-12월'!$D:$D,$C526,'RAW_농산물_11-12월'!$A:$A,$E526))))</f>
        <v/>
      </c>
      <c r="G526" s="7" t="str">
        <f>IF($C526="","",IF('설정'!$B$3=0,"",CHOOSE('설정'!$B$3,SUMIFS('RAW_농산물_7월'!$G:$G,'RAW_농산물_7월'!$D:$D,$C526,'RAW_농산물_7월'!$A:$A,$E526),SUMIFS('RAW_농산물_8월'!$G:$G,'RAW_농산물_8월'!$D:$D,$C526,'RAW_농산물_8월'!$A:$A,$E526),SUMIFS('RAW_농산물_9월'!$G:$G,'RAW_농산물_9월'!$D:$D,$C526,'RAW_농산물_9월'!$A:$A,$E526),SUMIFS('RAW_농산물_10월'!$G:$G,'RAW_농산물_10월'!$D:$D,$C526,'RAW_농산물_10월'!$A:$A,$E526),SUMIFS('RAW_농산물_11-12월'!$G:$G,'RAW_농산물_11-12월'!$D:$D,$C526,'RAW_농산물_11-12월'!$A:$A,$E526))))</f>
        <v/>
      </c>
      <c r="H526" s="14" t="str">
        <f>IF($C526="","",IF('설정'!$B$3=0,"",CHOOSE('설정'!$B$3,SUMIFS('RAW_농산물_7월'!$H:$H,'RAW_농산물_7월'!$D:$D,$C526,'RAW_농산물_7월'!$A:$A,$E526),SUMIFS('RAW_농산물_8월'!$H:$H,'RAW_농산물_8월'!$D:$D,$C526,'RAW_농산물_8월'!$A:$A,$E526),SUMIFS('RAW_농산물_9월'!$H:$H,'RAW_농산물_9월'!$D:$D,$C526,'RAW_농산물_9월'!$A:$A,$E526),SUMIFS('RAW_농산물_10월'!$H:$H,'RAW_농산물_10월'!$D:$D,$C526,'RAW_농산물_10월'!$A:$A,$E526),SUMIFS('RAW_농산물_11-12월'!$H:$H,'RAW_농산물_11-12월'!$D:$D,$C526,'RAW_농산물_11-12월'!$A:$A,$E526))))</f>
        <v/>
      </c>
      <c r="I526" s="17" t="str">
        <f>IF($C526="","",IF(COUNTIFS('RAW_농산물_7월'!$D:$D,$C526,'RAW_농산물_7월'!$A:$A,$E526)&gt;0,"O",""))</f>
        <v/>
      </c>
      <c r="J526" s="17" t="str">
        <f>IF($C526="","",IF(COUNTIFS('RAW_농산물_8월'!$D:$D,$C526,'RAW_농산물_8월'!$A:$A,$E526)&gt;0,"O",""))</f>
        <v/>
      </c>
      <c r="K526" s="17" t="str">
        <f>IF($C526="","",IF(COUNTIFS('RAW_농산물_9월'!$D:$D,$C526,'RAW_농산물_9월'!$A:$A,$E526)&gt;0,"O",""))</f>
        <v/>
      </c>
      <c r="L526" s="17" t="str">
        <f>IF($C526="","",IF(COUNTIFS('RAW_농산물_10월'!$D:$D,$C526,'RAW_농산물_10월'!$A:$A,$E526)&gt;0,"O",""))</f>
        <v/>
      </c>
      <c r="M526" s="17" t="str">
        <f>IF($C526="","",IF(COUNTIFS('RAW_농산물_11-12월'!$D:$D,$C526,'RAW_농산물_11-12월'!$A:$A,$E526)&gt;0,"O",""))</f>
        <v/>
      </c>
      <c r="N526" s="7" t="str">
        <f>IF($C526="","",IF(COUNTA('RAW_농산물_7월'!$A:$A)&lt;=1,"",SUMIFS('RAW_농산물_7월'!$H:$H,'RAW_농산물_7월'!$D:$D,$C526,'RAW_농산물_7월'!$A:$A,$E526)))</f>
        <v/>
      </c>
      <c r="O526" s="7" t="str">
        <f>IF($C526="","",IF(COUNTA('RAW_농산물_8월'!$A:$A)&lt;=1,"",SUMIFS('RAW_농산물_8월'!$H:$H,'RAW_농산물_8월'!$D:$D,$C526,'RAW_농산물_8월'!$A:$A,$E526)-SUMIFS('RAW_농산물_7월'!$H:$H,'RAW_농산물_7월'!$D:$D,$C526,'RAW_농산물_7월'!$A:$A,$E526)))</f>
        <v/>
      </c>
      <c r="P526" s="7" t="str">
        <f>IF($C526="","",IF(COUNTA('RAW_농산물_9월'!$A:$A)&lt;=1,"",SUMIFS('RAW_농산물_9월'!$H:$H,'RAW_농산물_9월'!$D:$D,$C526,'RAW_농산물_9월'!$A:$A,$E526)-SUMIFS('RAW_농산물_8월'!$H:$H,'RAW_농산물_8월'!$D:$D,$C526,'RAW_농산물_8월'!$A:$A,$E526)))</f>
        <v/>
      </c>
      <c r="Q526" s="7" t="str">
        <f>IF($C526="","",IF(COUNTA('RAW_농산물_10월'!$A:$A)&lt;=1,"",SUMIFS('RAW_농산물_10월'!$H:$H,'RAW_농산물_10월'!$D:$D,$C526,'RAW_농산물_10월'!$A:$A,$E526)-SUMIFS('RAW_농산물_9월'!$H:$H,'RAW_농산물_9월'!$D:$D,$C526,'RAW_농산물_9월'!$A:$A,$E526)))</f>
        <v/>
      </c>
      <c r="R526" s="7" t="str">
        <f>IF($C526="","",IF(COUNTA('RAW_농산물_11-12월'!$A:$A)&lt;=1,"",SUMIFS('RAW_농산물_11-12월'!$H:$H,'RAW_농산물_11-12월'!$D:$D,$C526,'RAW_농산물_11-12월'!$A:$A,$E526)-SUMIFS('RAW_농산물_10월'!$H:$H,'RAW_농산물_10월'!$D:$D,$C526,'RAW_농산물_10월'!$A:$A,$E526)))</f>
        <v/>
      </c>
      <c r="S526" s="17" t="str">
        <f t="shared" si="4"/>
        <v/>
      </c>
      <c r="T526" s="17" t="str">
        <f t="shared" si="5"/>
        <v/>
      </c>
      <c r="U526" s="7">
        <f>IF($C526="",0,IF('설정'!$B$3=0,0,CHOOSE('설정'!$B$3,COUNTIFS('RAW_농산물_7월'!$D:$D,$C526,'RAW_농산물_7월'!$A:$A,$E526),COUNTIFS('RAW_농산물_8월'!$D:$D,$C526,'RAW_농산물_8월'!$A:$A,$E526),COUNTIFS('RAW_농산물_9월'!$D:$D,$C526,'RAW_농산물_9월'!$A:$A,$E526),COUNTIFS('RAW_농산물_10월'!$D:$D,$C526,'RAW_농산물_10월'!$A:$A,$E526),COUNTIFS('RAW_농산물_11-12월'!$D:$D,$C526,'RAW_농산물_11-12월'!$A:$A,$E526))))</f>
        <v>0</v>
      </c>
    </row>
    <row r="527" ht="15.75" customHeight="1">
      <c r="A527" s="5"/>
      <c r="B527" s="5"/>
      <c r="C527" s="5"/>
      <c r="D527" s="6"/>
      <c r="E527" s="5"/>
      <c r="F527" s="7" t="str">
        <f>IF($C527="","",IF('설정'!$B$3=0,"",CHOOSE('설정'!$B$3,SUMIFS('RAW_농산물_7월'!$F:$F,'RAW_농산물_7월'!$D:$D,$C527,'RAW_농산물_7월'!$A:$A,$E527),SUMIFS('RAW_농산물_8월'!$F:$F,'RAW_농산물_8월'!$D:$D,$C527,'RAW_농산물_8월'!$A:$A,$E527),SUMIFS('RAW_농산물_9월'!$F:$F,'RAW_농산물_9월'!$D:$D,$C527,'RAW_농산물_9월'!$A:$A,$E527),SUMIFS('RAW_농산물_10월'!$F:$F,'RAW_농산물_10월'!$D:$D,$C527,'RAW_농산물_10월'!$A:$A,$E527),SUMIFS('RAW_농산물_11-12월'!$F:$F,'RAW_농산물_11-12월'!$D:$D,$C527,'RAW_농산물_11-12월'!$A:$A,$E527))))</f>
        <v/>
      </c>
      <c r="G527" s="7" t="str">
        <f>IF($C527="","",IF('설정'!$B$3=0,"",CHOOSE('설정'!$B$3,SUMIFS('RAW_농산물_7월'!$G:$G,'RAW_농산물_7월'!$D:$D,$C527,'RAW_농산물_7월'!$A:$A,$E527),SUMIFS('RAW_농산물_8월'!$G:$G,'RAW_농산물_8월'!$D:$D,$C527,'RAW_농산물_8월'!$A:$A,$E527),SUMIFS('RAW_농산물_9월'!$G:$G,'RAW_농산물_9월'!$D:$D,$C527,'RAW_농산물_9월'!$A:$A,$E527),SUMIFS('RAW_농산물_10월'!$G:$G,'RAW_농산물_10월'!$D:$D,$C527,'RAW_농산물_10월'!$A:$A,$E527),SUMIFS('RAW_농산물_11-12월'!$G:$G,'RAW_농산물_11-12월'!$D:$D,$C527,'RAW_농산물_11-12월'!$A:$A,$E527))))</f>
        <v/>
      </c>
      <c r="H527" s="14" t="str">
        <f>IF($C527="","",IF('설정'!$B$3=0,"",CHOOSE('설정'!$B$3,SUMIFS('RAW_농산물_7월'!$H:$H,'RAW_농산물_7월'!$D:$D,$C527,'RAW_농산물_7월'!$A:$A,$E527),SUMIFS('RAW_농산물_8월'!$H:$H,'RAW_농산물_8월'!$D:$D,$C527,'RAW_농산물_8월'!$A:$A,$E527),SUMIFS('RAW_농산물_9월'!$H:$H,'RAW_농산물_9월'!$D:$D,$C527,'RAW_농산물_9월'!$A:$A,$E527),SUMIFS('RAW_농산물_10월'!$H:$H,'RAW_농산물_10월'!$D:$D,$C527,'RAW_농산물_10월'!$A:$A,$E527),SUMIFS('RAW_농산물_11-12월'!$H:$H,'RAW_농산물_11-12월'!$D:$D,$C527,'RAW_농산물_11-12월'!$A:$A,$E527))))</f>
        <v/>
      </c>
      <c r="I527" s="17" t="str">
        <f>IF($C527="","",IF(COUNTIFS('RAW_농산물_7월'!$D:$D,$C527,'RAW_농산물_7월'!$A:$A,$E527)&gt;0,"O",""))</f>
        <v/>
      </c>
      <c r="J527" s="17" t="str">
        <f>IF($C527="","",IF(COUNTIFS('RAW_농산물_8월'!$D:$D,$C527,'RAW_농산물_8월'!$A:$A,$E527)&gt;0,"O",""))</f>
        <v/>
      </c>
      <c r="K527" s="17" t="str">
        <f>IF($C527="","",IF(COUNTIFS('RAW_농산물_9월'!$D:$D,$C527,'RAW_농산물_9월'!$A:$A,$E527)&gt;0,"O",""))</f>
        <v/>
      </c>
      <c r="L527" s="17" t="str">
        <f>IF($C527="","",IF(COUNTIFS('RAW_농산물_10월'!$D:$D,$C527,'RAW_농산물_10월'!$A:$A,$E527)&gt;0,"O",""))</f>
        <v/>
      </c>
      <c r="M527" s="17" t="str">
        <f>IF($C527="","",IF(COUNTIFS('RAW_농산물_11-12월'!$D:$D,$C527,'RAW_농산물_11-12월'!$A:$A,$E527)&gt;0,"O",""))</f>
        <v/>
      </c>
      <c r="N527" s="7" t="str">
        <f>IF($C527="","",IF(COUNTA('RAW_농산물_7월'!$A:$A)&lt;=1,"",SUMIFS('RAW_농산물_7월'!$H:$H,'RAW_농산물_7월'!$D:$D,$C527,'RAW_농산물_7월'!$A:$A,$E527)))</f>
        <v/>
      </c>
      <c r="O527" s="7" t="str">
        <f>IF($C527="","",IF(COUNTA('RAW_농산물_8월'!$A:$A)&lt;=1,"",SUMIFS('RAW_농산물_8월'!$H:$H,'RAW_농산물_8월'!$D:$D,$C527,'RAW_농산물_8월'!$A:$A,$E527)-SUMIFS('RAW_농산물_7월'!$H:$H,'RAW_농산물_7월'!$D:$D,$C527,'RAW_농산물_7월'!$A:$A,$E527)))</f>
        <v/>
      </c>
      <c r="P527" s="7" t="str">
        <f>IF($C527="","",IF(COUNTA('RAW_농산물_9월'!$A:$A)&lt;=1,"",SUMIFS('RAW_농산물_9월'!$H:$H,'RAW_농산물_9월'!$D:$D,$C527,'RAW_농산물_9월'!$A:$A,$E527)-SUMIFS('RAW_농산물_8월'!$H:$H,'RAW_농산물_8월'!$D:$D,$C527,'RAW_농산물_8월'!$A:$A,$E527)))</f>
        <v/>
      </c>
      <c r="Q527" s="7" t="str">
        <f>IF($C527="","",IF(COUNTA('RAW_농산물_10월'!$A:$A)&lt;=1,"",SUMIFS('RAW_농산물_10월'!$H:$H,'RAW_농산물_10월'!$D:$D,$C527,'RAW_농산물_10월'!$A:$A,$E527)-SUMIFS('RAW_농산물_9월'!$H:$H,'RAW_농산물_9월'!$D:$D,$C527,'RAW_농산물_9월'!$A:$A,$E527)))</f>
        <v/>
      </c>
      <c r="R527" s="7" t="str">
        <f>IF($C527="","",IF(COUNTA('RAW_농산물_11-12월'!$A:$A)&lt;=1,"",SUMIFS('RAW_농산물_11-12월'!$H:$H,'RAW_농산물_11-12월'!$D:$D,$C527,'RAW_농산물_11-12월'!$A:$A,$E527)-SUMIFS('RAW_농산물_10월'!$H:$H,'RAW_농산물_10월'!$D:$D,$C527,'RAW_농산물_10월'!$A:$A,$E527)))</f>
        <v/>
      </c>
      <c r="S527" s="17" t="str">
        <f t="shared" si="4"/>
        <v/>
      </c>
      <c r="T527" s="17" t="str">
        <f t="shared" si="5"/>
        <v/>
      </c>
      <c r="U527" s="7">
        <f>IF($C527="",0,IF('설정'!$B$3=0,0,CHOOSE('설정'!$B$3,COUNTIFS('RAW_농산물_7월'!$D:$D,$C527,'RAW_농산물_7월'!$A:$A,$E527),COUNTIFS('RAW_농산물_8월'!$D:$D,$C527,'RAW_농산물_8월'!$A:$A,$E527),COUNTIFS('RAW_농산물_9월'!$D:$D,$C527,'RAW_농산물_9월'!$A:$A,$E527),COUNTIFS('RAW_농산물_10월'!$D:$D,$C527,'RAW_농산물_10월'!$A:$A,$E527),COUNTIFS('RAW_농산물_11-12월'!$D:$D,$C527,'RAW_농산물_11-12월'!$A:$A,$E527))))</f>
        <v>0</v>
      </c>
    </row>
    <row r="528" ht="15.75" customHeight="1">
      <c r="A528" s="5"/>
      <c r="B528" s="5"/>
      <c r="C528" s="5"/>
      <c r="D528" s="6"/>
      <c r="E528" s="5"/>
      <c r="F528" s="7" t="str">
        <f>IF($C528="","",IF('설정'!$B$3=0,"",CHOOSE('설정'!$B$3,SUMIFS('RAW_농산물_7월'!$F:$F,'RAW_농산물_7월'!$D:$D,$C528,'RAW_농산물_7월'!$A:$A,$E528),SUMIFS('RAW_농산물_8월'!$F:$F,'RAW_농산물_8월'!$D:$D,$C528,'RAW_농산물_8월'!$A:$A,$E528),SUMIFS('RAW_농산물_9월'!$F:$F,'RAW_농산물_9월'!$D:$D,$C528,'RAW_농산물_9월'!$A:$A,$E528),SUMIFS('RAW_농산물_10월'!$F:$F,'RAW_농산물_10월'!$D:$D,$C528,'RAW_농산물_10월'!$A:$A,$E528),SUMIFS('RAW_농산물_11-12월'!$F:$F,'RAW_농산물_11-12월'!$D:$D,$C528,'RAW_농산물_11-12월'!$A:$A,$E528))))</f>
        <v/>
      </c>
      <c r="G528" s="7" t="str">
        <f>IF($C528="","",IF('설정'!$B$3=0,"",CHOOSE('설정'!$B$3,SUMIFS('RAW_농산물_7월'!$G:$G,'RAW_농산물_7월'!$D:$D,$C528,'RAW_농산물_7월'!$A:$A,$E528),SUMIFS('RAW_농산물_8월'!$G:$G,'RAW_농산물_8월'!$D:$D,$C528,'RAW_농산물_8월'!$A:$A,$E528),SUMIFS('RAW_농산물_9월'!$G:$G,'RAW_농산물_9월'!$D:$D,$C528,'RAW_농산물_9월'!$A:$A,$E528),SUMIFS('RAW_농산물_10월'!$G:$G,'RAW_농산물_10월'!$D:$D,$C528,'RAW_농산물_10월'!$A:$A,$E528),SUMIFS('RAW_농산물_11-12월'!$G:$G,'RAW_농산물_11-12월'!$D:$D,$C528,'RAW_농산물_11-12월'!$A:$A,$E528))))</f>
        <v/>
      </c>
      <c r="H528" s="14" t="str">
        <f>IF($C528="","",IF('설정'!$B$3=0,"",CHOOSE('설정'!$B$3,SUMIFS('RAW_농산물_7월'!$H:$H,'RAW_농산물_7월'!$D:$D,$C528,'RAW_농산물_7월'!$A:$A,$E528),SUMIFS('RAW_농산물_8월'!$H:$H,'RAW_농산물_8월'!$D:$D,$C528,'RAW_농산물_8월'!$A:$A,$E528),SUMIFS('RAW_농산물_9월'!$H:$H,'RAW_농산물_9월'!$D:$D,$C528,'RAW_농산물_9월'!$A:$A,$E528),SUMIFS('RAW_농산물_10월'!$H:$H,'RAW_농산물_10월'!$D:$D,$C528,'RAW_농산물_10월'!$A:$A,$E528),SUMIFS('RAW_농산물_11-12월'!$H:$H,'RAW_농산물_11-12월'!$D:$D,$C528,'RAW_농산물_11-12월'!$A:$A,$E528))))</f>
        <v/>
      </c>
      <c r="I528" s="17" t="str">
        <f>IF($C528="","",IF(COUNTIFS('RAW_농산물_7월'!$D:$D,$C528,'RAW_농산물_7월'!$A:$A,$E528)&gt;0,"O",""))</f>
        <v/>
      </c>
      <c r="J528" s="17" t="str">
        <f>IF($C528="","",IF(COUNTIFS('RAW_농산물_8월'!$D:$D,$C528,'RAW_농산물_8월'!$A:$A,$E528)&gt;0,"O",""))</f>
        <v/>
      </c>
      <c r="K528" s="17" t="str">
        <f>IF($C528="","",IF(COUNTIFS('RAW_농산물_9월'!$D:$D,$C528,'RAW_농산물_9월'!$A:$A,$E528)&gt;0,"O",""))</f>
        <v/>
      </c>
      <c r="L528" s="17" t="str">
        <f>IF($C528="","",IF(COUNTIFS('RAW_농산물_10월'!$D:$D,$C528,'RAW_농산물_10월'!$A:$A,$E528)&gt;0,"O",""))</f>
        <v/>
      </c>
      <c r="M528" s="17" t="str">
        <f>IF($C528="","",IF(COUNTIFS('RAW_농산물_11-12월'!$D:$D,$C528,'RAW_농산물_11-12월'!$A:$A,$E528)&gt;0,"O",""))</f>
        <v/>
      </c>
      <c r="N528" s="7" t="str">
        <f>IF($C528="","",IF(COUNTA('RAW_농산물_7월'!$A:$A)&lt;=1,"",SUMIFS('RAW_농산물_7월'!$H:$H,'RAW_농산물_7월'!$D:$D,$C528,'RAW_농산물_7월'!$A:$A,$E528)))</f>
        <v/>
      </c>
      <c r="O528" s="7" t="str">
        <f>IF($C528="","",IF(COUNTA('RAW_농산물_8월'!$A:$A)&lt;=1,"",SUMIFS('RAW_농산물_8월'!$H:$H,'RAW_농산물_8월'!$D:$D,$C528,'RAW_농산물_8월'!$A:$A,$E528)-SUMIFS('RAW_농산물_7월'!$H:$H,'RAW_농산물_7월'!$D:$D,$C528,'RAW_농산물_7월'!$A:$A,$E528)))</f>
        <v/>
      </c>
      <c r="P528" s="7" t="str">
        <f>IF($C528="","",IF(COUNTA('RAW_농산물_9월'!$A:$A)&lt;=1,"",SUMIFS('RAW_농산물_9월'!$H:$H,'RAW_농산물_9월'!$D:$D,$C528,'RAW_농산물_9월'!$A:$A,$E528)-SUMIFS('RAW_농산물_8월'!$H:$H,'RAW_농산물_8월'!$D:$D,$C528,'RAW_농산물_8월'!$A:$A,$E528)))</f>
        <v/>
      </c>
      <c r="Q528" s="7" t="str">
        <f>IF($C528="","",IF(COUNTA('RAW_농산물_10월'!$A:$A)&lt;=1,"",SUMIFS('RAW_농산물_10월'!$H:$H,'RAW_농산물_10월'!$D:$D,$C528,'RAW_농산물_10월'!$A:$A,$E528)-SUMIFS('RAW_농산물_9월'!$H:$H,'RAW_농산물_9월'!$D:$D,$C528,'RAW_농산물_9월'!$A:$A,$E528)))</f>
        <v/>
      </c>
      <c r="R528" s="7" t="str">
        <f>IF($C528="","",IF(COUNTA('RAW_농산물_11-12월'!$A:$A)&lt;=1,"",SUMIFS('RAW_농산물_11-12월'!$H:$H,'RAW_농산물_11-12월'!$D:$D,$C528,'RAW_농산물_11-12월'!$A:$A,$E528)-SUMIFS('RAW_농산물_10월'!$H:$H,'RAW_농산물_10월'!$D:$D,$C528,'RAW_농산물_10월'!$A:$A,$E528)))</f>
        <v/>
      </c>
      <c r="S528" s="17" t="str">
        <f t="shared" si="4"/>
        <v/>
      </c>
      <c r="T528" s="17" t="str">
        <f t="shared" si="5"/>
        <v/>
      </c>
      <c r="U528" s="7">
        <f>IF($C528="",0,IF('설정'!$B$3=0,0,CHOOSE('설정'!$B$3,COUNTIFS('RAW_농산물_7월'!$D:$D,$C528,'RAW_농산물_7월'!$A:$A,$E528),COUNTIFS('RAW_농산물_8월'!$D:$D,$C528,'RAW_농산물_8월'!$A:$A,$E528),COUNTIFS('RAW_농산물_9월'!$D:$D,$C528,'RAW_농산물_9월'!$A:$A,$E528),COUNTIFS('RAW_농산물_10월'!$D:$D,$C528,'RAW_농산물_10월'!$A:$A,$E528),COUNTIFS('RAW_농산물_11-12월'!$D:$D,$C528,'RAW_농산물_11-12월'!$A:$A,$E528))))</f>
        <v>0</v>
      </c>
    </row>
    <row r="529" ht="15.75" customHeight="1">
      <c r="A529" s="5"/>
      <c r="B529" s="5"/>
      <c r="C529" s="5"/>
      <c r="D529" s="6"/>
      <c r="E529" s="5"/>
      <c r="F529" s="7" t="str">
        <f>IF($C529="","",IF('설정'!$B$3=0,"",CHOOSE('설정'!$B$3,SUMIFS('RAW_농산물_7월'!$F:$F,'RAW_농산물_7월'!$D:$D,$C529,'RAW_농산물_7월'!$A:$A,$E529),SUMIFS('RAW_농산물_8월'!$F:$F,'RAW_농산물_8월'!$D:$D,$C529,'RAW_농산물_8월'!$A:$A,$E529),SUMIFS('RAW_농산물_9월'!$F:$F,'RAW_농산물_9월'!$D:$D,$C529,'RAW_농산물_9월'!$A:$A,$E529),SUMIFS('RAW_농산물_10월'!$F:$F,'RAW_농산물_10월'!$D:$D,$C529,'RAW_농산물_10월'!$A:$A,$E529),SUMIFS('RAW_농산물_11-12월'!$F:$F,'RAW_농산물_11-12월'!$D:$D,$C529,'RAW_농산물_11-12월'!$A:$A,$E529))))</f>
        <v/>
      </c>
      <c r="G529" s="7" t="str">
        <f>IF($C529="","",IF('설정'!$B$3=0,"",CHOOSE('설정'!$B$3,SUMIFS('RAW_농산물_7월'!$G:$G,'RAW_농산물_7월'!$D:$D,$C529,'RAW_농산물_7월'!$A:$A,$E529),SUMIFS('RAW_농산물_8월'!$G:$G,'RAW_농산물_8월'!$D:$D,$C529,'RAW_농산물_8월'!$A:$A,$E529),SUMIFS('RAW_농산물_9월'!$G:$G,'RAW_농산물_9월'!$D:$D,$C529,'RAW_농산물_9월'!$A:$A,$E529),SUMIFS('RAW_농산물_10월'!$G:$G,'RAW_농산물_10월'!$D:$D,$C529,'RAW_농산물_10월'!$A:$A,$E529),SUMIFS('RAW_농산물_11-12월'!$G:$G,'RAW_농산물_11-12월'!$D:$D,$C529,'RAW_농산물_11-12월'!$A:$A,$E529))))</f>
        <v/>
      </c>
      <c r="H529" s="14" t="str">
        <f>IF($C529="","",IF('설정'!$B$3=0,"",CHOOSE('설정'!$B$3,SUMIFS('RAW_농산물_7월'!$H:$H,'RAW_농산물_7월'!$D:$D,$C529,'RAW_농산물_7월'!$A:$A,$E529),SUMIFS('RAW_농산물_8월'!$H:$H,'RAW_농산물_8월'!$D:$D,$C529,'RAW_농산물_8월'!$A:$A,$E529),SUMIFS('RAW_농산물_9월'!$H:$H,'RAW_농산물_9월'!$D:$D,$C529,'RAW_농산물_9월'!$A:$A,$E529),SUMIFS('RAW_농산물_10월'!$H:$H,'RAW_농산물_10월'!$D:$D,$C529,'RAW_농산물_10월'!$A:$A,$E529),SUMIFS('RAW_농산물_11-12월'!$H:$H,'RAW_농산물_11-12월'!$D:$D,$C529,'RAW_농산물_11-12월'!$A:$A,$E529))))</f>
        <v/>
      </c>
      <c r="I529" s="17" t="str">
        <f>IF($C529="","",IF(COUNTIFS('RAW_농산물_7월'!$D:$D,$C529,'RAW_농산물_7월'!$A:$A,$E529)&gt;0,"O",""))</f>
        <v/>
      </c>
      <c r="J529" s="17" t="str">
        <f>IF($C529="","",IF(COUNTIFS('RAW_농산물_8월'!$D:$D,$C529,'RAW_농산물_8월'!$A:$A,$E529)&gt;0,"O",""))</f>
        <v/>
      </c>
      <c r="K529" s="17" t="str">
        <f>IF($C529="","",IF(COUNTIFS('RAW_농산물_9월'!$D:$D,$C529,'RAW_농산물_9월'!$A:$A,$E529)&gt;0,"O",""))</f>
        <v/>
      </c>
      <c r="L529" s="17" t="str">
        <f>IF($C529="","",IF(COUNTIFS('RAW_농산물_10월'!$D:$D,$C529,'RAW_농산물_10월'!$A:$A,$E529)&gt;0,"O",""))</f>
        <v/>
      </c>
      <c r="M529" s="17" t="str">
        <f>IF($C529="","",IF(COUNTIFS('RAW_농산물_11-12월'!$D:$D,$C529,'RAW_농산물_11-12월'!$A:$A,$E529)&gt;0,"O",""))</f>
        <v/>
      </c>
      <c r="N529" s="7" t="str">
        <f>IF($C529="","",IF(COUNTA('RAW_농산물_7월'!$A:$A)&lt;=1,"",SUMIFS('RAW_농산물_7월'!$H:$H,'RAW_농산물_7월'!$D:$D,$C529,'RAW_농산물_7월'!$A:$A,$E529)))</f>
        <v/>
      </c>
      <c r="O529" s="7" t="str">
        <f>IF($C529="","",IF(COUNTA('RAW_농산물_8월'!$A:$A)&lt;=1,"",SUMIFS('RAW_농산물_8월'!$H:$H,'RAW_농산물_8월'!$D:$D,$C529,'RAW_농산물_8월'!$A:$A,$E529)-SUMIFS('RAW_농산물_7월'!$H:$H,'RAW_농산물_7월'!$D:$D,$C529,'RAW_농산물_7월'!$A:$A,$E529)))</f>
        <v/>
      </c>
      <c r="P529" s="7" t="str">
        <f>IF($C529="","",IF(COUNTA('RAW_농산물_9월'!$A:$A)&lt;=1,"",SUMIFS('RAW_농산물_9월'!$H:$H,'RAW_농산물_9월'!$D:$D,$C529,'RAW_농산물_9월'!$A:$A,$E529)-SUMIFS('RAW_농산물_8월'!$H:$H,'RAW_농산물_8월'!$D:$D,$C529,'RAW_농산물_8월'!$A:$A,$E529)))</f>
        <v/>
      </c>
      <c r="Q529" s="7" t="str">
        <f>IF($C529="","",IF(COUNTA('RAW_농산물_10월'!$A:$A)&lt;=1,"",SUMIFS('RAW_농산물_10월'!$H:$H,'RAW_농산물_10월'!$D:$D,$C529,'RAW_농산물_10월'!$A:$A,$E529)-SUMIFS('RAW_농산물_9월'!$H:$H,'RAW_농산물_9월'!$D:$D,$C529,'RAW_농산물_9월'!$A:$A,$E529)))</f>
        <v/>
      </c>
      <c r="R529" s="7" t="str">
        <f>IF($C529="","",IF(COUNTA('RAW_농산물_11-12월'!$A:$A)&lt;=1,"",SUMIFS('RAW_농산물_11-12월'!$H:$H,'RAW_농산물_11-12월'!$D:$D,$C529,'RAW_농산물_11-12월'!$A:$A,$E529)-SUMIFS('RAW_농산물_10월'!$H:$H,'RAW_농산물_10월'!$D:$D,$C529,'RAW_농산물_10월'!$A:$A,$E529)))</f>
        <v/>
      </c>
      <c r="S529" s="17" t="str">
        <f t="shared" si="4"/>
        <v/>
      </c>
      <c r="T529" s="17" t="str">
        <f t="shared" si="5"/>
        <v/>
      </c>
      <c r="U529" s="7">
        <f>IF($C529="",0,IF('설정'!$B$3=0,0,CHOOSE('설정'!$B$3,COUNTIFS('RAW_농산물_7월'!$D:$D,$C529,'RAW_농산물_7월'!$A:$A,$E529),COUNTIFS('RAW_농산물_8월'!$D:$D,$C529,'RAW_농산물_8월'!$A:$A,$E529),COUNTIFS('RAW_농산물_9월'!$D:$D,$C529,'RAW_농산물_9월'!$A:$A,$E529),COUNTIFS('RAW_농산물_10월'!$D:$D,$C529,'RAW_농산물_10월'!$A:$A,$E529),COUNTIFS('RAW_농산물_11-12월'!$D:$D,$C529,'RAW_농산물_11-12월'!$A:$A,$E529))))</f>
        <v>0</v>
      </c>
    </row>
    <row r="530" ht="15.75" customHeight="1">
      <c r="A530" s="5"/>
      <c r="B530" s="5"/>
      <c r="C530" s="5"/>
      <c r="D530" s="6"/>
      <c r="E530" s="5"/>
      <c r="F530" s="7" t="str">
        <f>IF($C530="","",IF('설정'!$B$3=0,"",CHOOSE('설정'!$B$3,SUMIFS('RAW_농산물_7월'!$F:$F,'RAW_농산물_7월'!$D:$D,$C530,'RAW_농산물_7월'!$A:$A,$E530),SUMIFS('RAW_농산물_8월'!$F:$F,'RAW_농산물_8월'!$D:$D,$C530,'RAW_농산물_8월'!$A:$A,$E530),SUMIFS('RAW_농산물_9월'!$F:$F,'RAW_농산물_9월'!$D:$D,$C530,'RAW_농산물_9월'!$A:$A,$E530),SUMIFS('RAW_농산물_10월'!$F:$F,'RAW_농산물_10월'!$D:$D,$C530,'RAW_농산물_10월'!$A:$A,$E530),SUMIFS('RAW_농산물_11-12월'!$F:$F,'RAW_농산물_11-12월'!$D:$D,$C530,'RAW_농산물_11-12월'!$A:$A,$E530))))</f>
        <v/>
      </c>
      <c r="G530" s="7" t="str">
        <f>IF($C530="","",IF('설정'!$B$3=0,"",CHOOSE('설정'!$B$3,SUMIFS('RAW_농산물_7월'!$G:$G,'RAW_농산물_7월'!$D:$D,$C530,'RAW_농산물_7월'!$A:$A,$E530),SUMIFS('RAW_농산물_8월'!$G:$G,'RAW_농산물_8월'!$D:$D,$C530,'RAW_농산물_8월'!$A:$A,$E530),SUMIFS('RAW_농산물_9월'!$G:$G,'RAW_농산물_9월'!$D:$D,$C530,'RAW_농산물_9월'!$A:$A,$E530),SUMIFS('RAW_농산물_10월'!$G:$G,'RAW_농산물_10월'!$D:$D,$C530,'RAW_농산물_10월'!$A:$A,$E530),SUMIFS('RAW_농산물_11-12월'!$G:$G,'RAW_농산물_11-12월'!$D:$D,$C530,'RAW_농산물_11-12월'!$A:$A,$E530))))</f>
        <v/>
      </c>
      <c r="H530" s="14" t="str">
        <f>IF($C530="","",IF('설정'!$B$3=0,"",CHOOSE('설정'!$B$3,SUMIFS('RAW_농산물_7월'!$H:$H,'RAW_농산물_7월'!$D:$D,$C530,'RAW_농산물_7월'!$A:$A,$E530),SUMIFS('RAW_농산물_8월'!$H:$H,'RAW_농산물_8월'!$D:$D,$C530,'RAW_농산물_8월'!$A:$A,$E530),SUMIFS('RAW_농산물_9월'!$H:$H,'RAW_농산물_9월'!$D:$D,$C530,'RAW_농산물_9월'!$A:$A,$E530),SUMIFS('RAW_농산물_10월'!$H:$H,'RAW_농산물_10월'!$D:$D,$C530,'RAW_농산물_10월'!$A:$A,$E530),SUMIFS('RAW_농산물_11-12월'!$H:$H,'RAW_농산물_11-12월'!$D:$D,$C530,'RAW_농산물_11-12월'!$A:$A,$E530))))</f>
        <v/>
      </c>
      <c r="I530" s="17" t="str">
        <f>IF($C530="","",IF(COUNTIFS('RAW_농산물_7월'!$D:$D,$C530,'RAW_농산물_7월'!$A:$A,$E530)&gt;0,"O",""))</f>
        <v/>
      </c>
      <c r="J530" s="17" t="str">
        <f>IF($C530="","",IF(COUNTIFS('RAW_농산물_8월'!$D:$D,$C530,'RAW_농산물_8월'!$A:$A,$E530)&gt;0,"O",""))</f>
        <v/>
      </c>
      <c r="K530" s="17" t="str">
        <f>IF($C530="","",IF(COUNTIFS('RAW_농산물_9월'!$D:$D,$C530,'RAW_농산물_9월'!$A:$A,$E530)&gt;0,"O",""))</f>
        <v/>
      </c>
      <c r="L530" s="17" t="str">
        <f>IF($C530="","",IF(COUNTIFS('RAW_농산물_10월'!$D:$D,$C530,'RAW_농산물_10월'!$A:$A,$E530)&gt;0,"O",""))</f>
        <v/>
      </c>
      <c r="M530" s="17" t="str">
        <f>IF($C530="","",IF(COUNTIFS('RAW_농산물_11-12월'!$D:$D,$C530,'RAW_농산물_11-12월'!$A:$A,$E530)&gt;0,"O",""))</f>
        <v/>
      </c>
      <c r="N530" s="7" t="str">
        <f>IF($C530="","",IF(COUNTA('RAW_농산물_7월'!$A:$A)&lt;=1,"",SUMIFS('RAW_농산물_7월'!$H:$H,'RAW_농산물_7월'!$D:$D,$C530,'RAW_농산물_7월'!$A:$A,$E530)))</f>
        <v/>
      </c>
      <c r="O530" s="7" t="str">
        <f>IF($C530="","",IF(COUNTA('RAW_농산물_8월'!$A:$A)&lt;=1,"",SUMIFS('RAW_농산물_8월'!$H:$H,'RAW_농산물_8월'!$D:$D,$C530,'RAW_농산물_8월'!$A:$A,$E530)-SUMIFS('RAW_농산물_7월'!$H:$H,'RAW_농산물_7월'!$D:$D,$C530,'RAW_농산물_7월'!$A:$A,$E530)))</f>
        <v/>
      </c>
      <c r="P530" s="7" t="str">
        <f>IF($C530="","",IF(COUNTA('RAW_농산물_9월'!$A:$A)&lt;=1,"",SUMIFS('RAW_농산물_9월'!$H:$H,'RAW_농산물_9월'!$D:$D,$C530,'RAW_농산물_9월'!$A:$A,$E530)-SUMIFS('RAW_농산물_8월'!$H:$H,'RAW_농산물_8월'!$D:$D,$C530,'RAW_농산물_8월'!$A:$A,$E530)))</f>
        <v/>
      </c>
      <c r="Q530" s="7" t="str">
        <f>IF($C530="","",IF(COUNTA('RAW_농산물_10월'!$A:$A)&lt;=1,"",SUMIFS('RAW_농산물_10월'!$H:$H,'RAW_농산물_10월'!$D:$D,$C530,'RAW_농산물_10월'!$A:$A,$E530)-SUMIFS('RAW_농산물_9월'!$H:$H,'RAW_농산물_9월'!$D:$D,$C530,'RAW_농산물_9월'!$A:$A,$E530)))</f>
        <v/>
      </c>
      <c r="R530" s="7" t="str">
        <f>IF($C530="","",IF(COUNTA('RAW_농산물_11-12월'!$A:$A)&lt;=1,"",SUMIFS('RAW_농산물_11-12월'!$H:$H,'RAW_농산물_11-12월'!$D:$D,$C530,'RAW_농산물_11-12월'!$A:$A,$E530)-SUMIFS('RAW_농산물_10월'!$H:$H,'RAW_농산물_10월'!$D:$D,$C530,'RAW_농산물_10월'!$A:$A,$E530)))</f>
        <v/>
      </c>
      <c r="S530" s="17" t="str">
        <f t="shared" si="4"/>
        <v/>
      </c>
      <c r="T530" s="17" t="str">
        <f t="shared" si="5"/>
        <v/>
      </c>
      <c r="U530" s="7">
        <f>IF($C530="",0,IF('설정'!$B$3=0,0,CHOOSE('설정'!$B$3,COUNTIFS('RAW_농산물_7월'!$D:$D,$C530,'RAW_농산물_7월'!$A:$A,$E530),COUNTIFS('RAW_농산물_8월'!$D:$D,$C530,'RAW_농산물_8월'!$A:$A,$E530),COUNTIFS('RAW_농산물_9월'!$D:$D,$C530,'RAW_농산물_9월'!$A:$A,$E530),COUNTIFS('RAW_농산물_10월'!$D:$D,$C530,'RAW_농산물_10월'!$A:$A,$E530),COUNTIFS('RAW_농산물_11-12월'!$D:$D,$C530,'RAW_농산물_11-12월'!$A:$A,$E530))))</f>
        <v>0</v>
      </c>
    </row>
    <row r="531" ht="15.75" customHeight="1">
      <c r="A531" s="5"/>
      <c r="B531" s="5"/>
      <c r="C531" s="5"/>
      <c r="D531" s="6"/>
      <c r="E531" s="5"/>
      <c r="F531" s="7" t="str">
        <f>IF($C531="","",IF('설정'!$B$3=0,"",CHOOSE('설정'!$B$3,SUMIFS('RAW_농산물_7월'!$F:$F,'RAW_농산물_7월'!$D:$D,$C531,'RAW_농산물_7월'!$A:$A,$E531),SUMIFS('RAW_농산물_8월'!$F:$F,'RAW_농산물_8월'!$D:$D,$C531,'RAW_농산물_8월'!$A:$A,$E531),SUMIFS('RAW_농산물_9월'!$F:$F,'RAW_농산물_9월'!$D:$D,$C531,'RAW_농산물_9월'!$A:$A,$E531),SUMIFS('RAW_농산물_10월'!$F:$F,'RAW_농산물_10월'!$D:$D,$C531,'RAW_농산물_10월'!$A:$A,$E531),SUMIFS('RAW_농산물_11-12월'!$F:$F,'RAW_농산물_11-12월'!$D:$D,$C531,'RAW_농산물_11-12월'!$A:$A,$E531))))</f>
        <v/>
      </c>
      <c r="G531" s="7" t="str">
        <f>IF($C531="","",IF('설정'!$B$3=0,"",CHOOSE('설정'!$B$3,SUMIFS('RAW_농산물_7월'!$G:$G,'RAW_농산물_7월'!$D:$D,$C531,'RAW_농산물_7월'!$A:$A,$E531),SUMIFS('RAW_농산물_8월'!$G:$G,'RAW_농산물_8월'!$D:$D,$C531,'RAW_농산물_8월'!$A:$A,$E531),SUMIFS('RAW_농산물_9월'!$G:$G,'RAW_농산물_9월'!$D:$D,$C531,'RAW_농산물_9월'!$A:$A,$E531),SUMIFS('RAW_농산물_10월'!$G:$G,'RAW_농산물_10월'!$D:$D,$C531,'RAW_농산물_10월'!$A:$A,$E531),SUMIFS('RAW_농산물_11-12월'!$G:$G,'RAW_농산물_11-12월'!$D:$D,$C531,'RAW_농산물_11-12월'!$A:$A,$E531))))</f>
        <v/>
      </c>
      <c r="H531" s="14" t="str">
        <f>IF($C531="","",IF('설정'!$B$3=0,"",CHOOSE('설정'!$B$3,SUMIFS('RAW_농산물_7월'!$H:$H,'RAW_농산물_7월'!$D:$D,$C531,'RAW_농산물_7월'!$A:$A,$E531),SUMIFS('RAW_농산물_8월'!$H:$H,'RAW_농산물_8월'!$D:$D,$C531,'RAW_농산물_8월'!$A:$A,$E531),SUMIFS('RAW_농산물_9월'!$H:$H,'RAW_농산물_9월'!$D:$D,$C531,'RAW_농산물_9월'!$A:$A,$E531),SUMIFS('RAW_농산물_10월'!$H:$H,'RAW_농산물_10월'!$D:$D,$C531,'RAW_농산물_10월'!$A:$A,$E531),SUMIFS('RAW_농산물_11-12월'!$H:$H,'RAW_농산물_11-12월'!$D:$D,$C531,'RAW_농산물_11-12월'!$A:$A,$E531))))</f>
        <v/>
      </c>
      <c r="I531" s="17" t="str">
        <f>IF($C531="","",IF(COUNTIFS('RAW_농산물_7월'!$D:$D,$C531,'RAW_농산물_7월'!$A:$A,$E531)&gt;0,"O",""))</f>
        <v/>
      </c>
      <c r="J531" s="17" t="str">
        <f>IF($C531="","",IF(COUNTIFS('RAW_농산물_8월'!$D:$D,$C531,'RAW_농산물_8월'!$A:$A,$E531)&gt;0,"O",""))</f>
        <v/>
      </c>
      <c r="K531" s="17" t="str">
        <f>IF($C531="","",IF(COUNTIFS('RAW_농산물_9월'!$D:$D,$C531,'RAW_농산물_9월'!$A:$A,$E531)&gt;0,"O",""))</f>
        <v/>
      </c>
      <c r="L531" s="17" t="str">
        <f>IF($C531="","",IF(COUNTIFS('RAW_농산물_10월'!$D:$D,$C531,'RAW_농산물_10월'!$A:$A,$E531)&gt;0,"O",""))</f>
        <v/>
      </c>
      <c r="M531" s="17" t="str">
        <f>IF($C531="","",IF(COUNTIFS('RAW_농산물_11-12월'!$D:$D,$C531,'RAW_농산물_11-12월'!$A:$A,$E531)&gt;0,"O",""))</f>
        <v/>
      </c>
      <c r="N531" s="7" t="str">
        <f>IF($C531="","",IF(COUNTA('RAW_농산물_7월'!$A:$A)&lt;=1,"",SUMIFS('RAW_농산물_7월'!$H:$H,'RAW_농산물_7월'!$D:$D,$C531,'RAW_농산물_7월'!$A:$A,$E531)))</f>
        <v/>
      </c>
      <c r="O531" s="7" t="str">
        <f>IF($C531="","",IF(COUNTA('RAW_농산물_8월'!$A:$A)&lt;=1,"",SUMIFS('RAW_농산물_8월'!$H:$H,'RAW_농산물_8월'!$D:$D,$C531,'RAW_농산물_8월'!$A:$A,$E531)-SUMIFS('RAW_농산물_7월'!$H:$H,'RAW_농산물_7월'!$D:$D,$C531,'RAW_농산물_7월'!$A:$A,$E531)))</f>
        <v/>
      </c>
      <c r="P531" s="7" t="str">
        <f>IF($C531="","",IF(COUNTA('RAW_농산물_9월'!$A:$A)&lt;=1,"",SUMIFS('RAW_농산물_9월'!$H:$H,'RAW_농산물_9월'!$D:$D,$C531,'RAW_농산물_9월'!$A:$A,$E531)-SUMIFS('RAW_농산물_8월'!$H:$H,'RAW_농산물_8월'!$D:$D,$C531,'RAW_농산물_8월'!$A:$A,$E531)))</f>
        <v/>
      </c>
      <c r="Q531" s="7" t="str">
        <f>IF($C531="","",IF(COUNTA('RAW_농산물_10월'!$A:$A)&lt;=1,"",SUMIFS('RAW_농산물_10월'!$H:$H,'RAW_농산물_10월'!$D:$D,$C531,'RAW_농산물_10월'!$A:$A,$E531)-SUMIFS('RAW_농산물_9월'!$H:$H,'RAW_농산물_9월'!$D:$D,$C531,'RAW_농산물_9월'!$A:$A,$E531)))</f>
        <v/>
      </c>
      <c r="R531" s="7" t="str">
        <f>IF($C531="","",IF(COUNTA('RAW_농산물_11-12월'!$A:$A)&lt;=1,"",SUMIFS('RAW_농산물_11-12월'!$H:$H,'RAW_농산물_11-12월'!$D:$D,$C531,'RAW_농산물_11-12월'!$A:$A,$E531)-SUMIFS('RAW_농산물_10월'!$H:$H,'RAW_농산물_10월'!$D:$D,$C531,'RAW_농산물_10월'!$A:$A,$E531)))</f>
        <v/>
      </c>
      <c r="S531" s="17" t="str">
        <f t="shared" si="4"/>
        <v/>
      </c>
      <c r="T531" s="17" t="str">
        <f t="shared" si="5"/>
        <v/>
      </c>
      <c r="U531" s="7">
        <f>IF($C531="",0,IF('설정'!$B$3=0,0,CHOOSE('설정'!$B$3,COUNTIFS('RAW_농산물_7월'!$D:$D,$C531,'RAW_농산물_7월'!$A:$A,$E531),COUNTIFS('RAW_농산물_8월'!$D:$D,$C531,'RAW_농산물_8월'!$A:$A,$E531),COUNTIFS('RAW_농산물_9월'!$D:$D,$C531,'RAW_농산물_9월'!$A:$A,$E531),COUNTIFS('RAW_농산물_10월'!$D:$D,$C531,'RAW_농산물_10월'!$A:$A,$E531),COUNTIFS('RAW_농산물_11-12월'!$D:$D,$C531,'RAW_농산물_11-12월'!$A:$A,$E531))))</f>
        <v>0</v>
      </c>
    </row>
    <row r="532" ht="15.75" customHeight="1">
      <c r="A532" s="5"/>
      <c r="B532" s="5"/>
      <c r="C532" s="5"/>
      <c r="D532" s="6"/>
      <c r="E532" s="5"/>
      <c r="F532" s="7" t="str">
        <f>IF($C532="","",IF('설정'!$B$3=0,"",CHOOSE('설정'!$B$3,SUMIFS('RAW_농산물_7월'!$F:$F,'RAW_농산물_7월'!$D:$D,$C532,'RAW_농산물_7월'!$A:$A,$E532),SUMIFS('RAW_농산물_8월'!$F:$F,'RAW_농산물_8월'!$D:$D,$C532,'RAW_농산물_8월'!$A:$A,$E532),SUMIFS('RAW_농산물_9월'!$F:$F,'RAW_농산물_9월'!$D:$D,$C532,'RAW_농산물_9월'!$A:$A,$E532),SUMIFS('RAW_농산물_10월'!$F:$F,'RAW_농산물_10월'!$D:$D,$C532,'RAW_농산물_10월'!$A:$A,$E532),SUMIFS('RAW_농산물_11-12월'!$F:$F,'RAW_농산물_11-12월'!$D:$D,$C532,'RAW_농산물_11-12월'!$A:$A,$E532))))</f>
        <v/>
      </c>
      <c r="G532" s="7" t="str">
        <f>IF($C532="","",IF('설정'!$B$3=0,"",CHOOSE('설정'!$B$3,SUMIFS('RAW_농산물_7월'!$G:$G,'RAW_농산물_7월'!$D:$D,$C532,'RAW_농산물_7월'!$A:$A,$E532),SUMIFS('RAW_농산물_8월'!$G:$G,'RAW_농산물_8월'!$D:$D,$C532,'RAW_농산물_8월'!$A:$A,$E532),SUMIFS('RAW_농산물_9월'!$G:$G,'RAW_농산물_9월'!$D:$D,$C532,'RAW_농산물_9월'!$A:$A,$E532),SUMIFS('RAW_농산물_10월'!$G:$G,'RAW_농산물_10월'!$D:$D,$C532,'RAW_농산물_10월'!$A:$A,$E532),SUMIFS('RAW_농산물_11-12월'!$G:$G,'RAW_농산물_11-12월'!$D:$D,$C532,'RAW_농산물_11-12월'!$A:$A,$E532))))</f>
        <v/>
      </c>
      <c r="H532" s="14" t="str">
        <f>IF($C532="","",IF('설정'!$B$3=0,"",CHOOSE('설정'!$B$3,SUMIFS('RAW_농산물_7월'!$H:$H,'RAW_농산물_7월'!$D:$D,$C532,'RAW_농산물_7월'!$A:$A,$E532),SUMIFS('RAW_농산물_8월'!$H:$H,'RAW_농산물_8월'!$D:$D,$C532,'RAW_농산물_8월'!$A:$A,$E532),SUMIFS('RAW_농산물_9월'!$H:$H,'RAW_농산물_9월'!$D:$D,$C532,'RAW_농산물_9월'!$A:$A,$E532),SUMIFS('RAW_농산물_10월'!$H:$H,'RAW_농산물_10월'!$D:$D,$C532,'RAW_농산물_10월'!$A:$A,$E532),SUMIFS('RAW_농산물_11-12월'!$H:$H,'RAW_농산물_11-12월'!$D:$D,$C532,'RAW_농산물_11-12월'!$A:$A,$E532))))</f>
        <v/>
      </c>
      <c r="I532" s="17" t="str">
        <f>IF($C532="","",IF(COUNTIFS('RAW_농산물_7월'!$D:$D,$C532,'RAW_농산물_7월'!$A:$A,$E532)&gt;0,"O",""))</f>
        <v/>
      </c>
      <c r="J532" s="17" t="str">
        <f>IF($C532="","",IF(COUNTIFS('RAW_농산물_8월'!$D:$D,$C532,'RAW_농산물_8월'!$A:$A,$E532)&gt;0,"O",""))</f>
        <v/>
      </c>
      <c r="K532" s="17" t="str">
        <f>IF($C532="","",IF(COUNTIFS('RAW_농산물_9월'!$D:$D,$C532,'RAW_농산물_9월'!$A:$A,$E532)&gt;0,"O",""))</f>
        <v/>
      </c>
      <c r="L532" s="17" t="str">
        <f>IF($C532="","",IF(COUNTIFS('RAW_농산물_10월'!$D:$D,$C532,'RAW_농산물_10월'!$A:$A,$E532)&gt;0,"O",""))</f>
        <v/>
      </c>
      <c r="M532" s="17" t="str">
        <f>IF($C532="","",IF(COUNTIFS('RAW_농산물_11-12월'!$D:$D,$C532,'RAW_농산물_11-12월'!$A:$A,$E532)&gt;0,"O",""))</f>
        <v/>
      </c>
      <c r="N532" s="7" t="str">
        <f>IF($C532="","",IF(COUNTA('RAW_농산물_7월'!$A:$A)&lt;=1,"",SUMIFS('RAW_농산물_7월'!$H:$H,'RAW_농산물_7월'!$D:$D,$C532,'RAW_농산물_7월'!$A:$A,$E532)))</f>
        <v/>
      </c>
      <c r="O532" s="7" t="str">
        <f>IF($C532="","",IF(COUNTA('RAW_농산물_8월'!$A:$A)&lt;=1,"",SUMIFS('RAW_농산물_8월'!$H:$H,'RAW_농산물_8월'!$D:$D,$C532,'RAW_농산물_8월'!$A:$A,$E532)-SUMIFS('RAW_농산물_7월'!$H:$H,'RAW_농산물_7월'!$D:$D,$C532,'RAW_농산물_7월'!$A:$A,$E532)))</f>
        <v/>
      </c>
      <c r="P532" s="7" t="str">
        <f>IF($C532="","",IF(COUNTA('RAW_농산물_9월'!$A:$A)&lt;=1,"",SUMIFS('RAW_농산물_9월'!$H:$H,'RAW_농산물_9월'!$D:$D,$C532,'RAW_농산물_9월'!$A:$A,$E532)-SUMIFS('RAW_농산물_8월'!$H:$H,'RAW_농산물_8월'!$D:$D,$C532,'RAW_농산물_8월'!$A:$A,$E532)))</f>
        <v/>
      </c>
      <c r="Q532" s="7" t="str">
        <f>IF($C532="","",IF(COUNTA('RAW_농산물_10월'!$A:$A)&lt;=1,"",SUMIFS('RAW_농산물_10월'!$H:$H,'RAW_농산물_10월'!$D:$D,$C532,'RAW_농산물_10월'!$A:$A,$E532)-SUMIFS('RAW_농산물_9월'!$H:$H,'RAW_농산물_9월'!$D:$D,$C532,'RAW_농산물_9월'!$A:$A,$E532)))</f>
        <v/>
      </c>
      <c r="R532" s="7" t="str">
        <f>IF($C532="","",IF(COUNTA('RAW_농산물_11-12월'!$A:$A)&lt;=1,"",SUMIFS('RAW_농산물_11-12월'!$H:$H,'RAW_농산물_11-12월'!$D:$D,$C532,'RAW_농산물_11-12월'!$A:$A,$E532)-SUMIFS('RAW_농산물_10월'!$H:$H,'RAW_농산물_10월'!$D:$D,$C532,'RAW_농산물_10월'!$A:$A,$E532)))</f>
        <v/>
      </c>
      <c r="S532" s="17" t="str">
        <f t="shared" si="4"/>
        <v/>
      </c>
      <c r="T532" s="17" t="str">
        <f t="shared" si="5"/>
        <v/>
      </c>
      <c r="U532" s="7">
        <f>IF($C532="",0,IF('설정'!$B$3=0,0,CHOOSE('설정'!$B$3,COUNTIFS('RAW_농산물_7월'!$D:$D,$C532,'RAW_농산물_7월'!$A:$A,$E532),COUNTIFS('RAW_농산물_8월'!$D:$D,$C532,'RAW_농산물_8월'!$A:$A,$E532),COUNTIFS('RAW_농산물_9월'!$D:$D,$C532,'RAW_농산물_9월'!$A:$A,$E532),COUNTIFS('RAW_농산물_10월'!$D:$D,$C532,'RAW_농산물_10월'!$A:$A,$E532),COUNTIFS('RAW_농산물_11-12월'!$D:$D,$C532,'RAW_농산물_11-12월'!$A:$A,$E532))))</f>
        <v>0</v>
      </c>
    </row>
    <row r="533" ht="15.75" customHeight="1">
      <c r="A533" s="5"/>
      <c r="B533" s="5"/>
      <c r="C533" s="5"/>
      <c r="D533" s="6"/>
      <c r="E533" s="5"/>
      <c r="F533" s="7" t="str">
        <f>IF($C533="","",IF('설정'!$B$3=0,"",CHOOSE('설정'!$B$3,SUMIFS('RAW_농산물_7월'!$F:$F,'RAW_농산물_7월'!$D:$D,$C533,'RAW_농산물_7월'!$A:$A,$E533),SUMIFS('RAW_농산물_8월'!$F:$F,'RAW_농산물_8월'!$D:$D,$C533,'RAW_농산물_8월'!$A:$A,$E533),SUMIFS('RAW_농산물_9월'!$F:$F,'RAW_농산물_9월'!$D:$D,$C533,'RAW_농산물_9월'!$A:$A,$E533),SUMIFS('RAW_농산물_10월'!$F:$F,'RAW_농산물_10월'!$D:$D,$C533,'RAW_농산물_10월'!$A:$A,$E533),SUMIFS('RAW_농산물_11-12월'!$F:$F,'RAW_농산물_11-12월'!$D:$D,$C533,'RAW_농산물_11-12월'!$A:$A,$E533))))</f>
        <v/>
      </c>
      <c r="G533" s="7" t="str">
        <f>IF($C533="","",IF('설정'!$B$3=0,"",CHOOSE('설정'!$B$3,SUMIFS('RAW_농산물_7월'!$G:$G,'RAW_농산물_7월'!$D:$D,$C533,'RAW_농산물_7월'!$A:$A,$E533),SUMIFS('RAW_농산물_8월'!$G:$G,'RAW_농산물_8월'!$D:$D,$C533,'RAW_농산물_8월'!$A:$A,$E533),SUMIFS('RAW_농산물_9월'!$G:$G,'RAW_농산물_9월'!$D:$D,$C533,'RAW_농산물_9월'!$A:$A,$E533),SUMIFS('RAW_농산물_10월'!$G:$G,'RAW_농산물_10월'!$D:$D,$C533,'RAW_농산물_10월'!$A:$A,$E533),SUMIFS('RAW_농산물_11-12월'!$G:$G,'RAW_농산물_11-12월'!$D:$D,$C533,'RAW_농산물_11-12월'!$A:$A,$E533))))</f>
        <v/>
      </c>
      <c r="H533" s="14" t="str">
        <f>IF($C533="","",IF('설정'!$B$3=0,"",CHOOSE('설정'!$B$3,SUMIFS('RAW_농산물_7월'!$H:$H,'RAW_농산물_7월'!$D:$D,$C533,'RAW_농산물_7월'!$A:$A,$E533),SUMIFS('RAW_농산물_8월'!$H:$H,'RAW_농산물_8월'!$D:$D,$C533,'RAW_농산물_8월'!$A:$A,$E533),SUMIFS('RAW_농산물_9월'!$H:$H,'RAW_농산물_9월'!$D:$D,$C533,'RAW_농산물_9월'!$A:$A,$E533),SUMIFS('RAW_농산물_10월'!$H:$H,'RAW_농산물_10월'!$D:$D,$C533,'RAW_농산물_10월'!$A:$A,$E533),SUMIFS('RAW_농산물_11-12월'!$H:$H,'RAW_농산물_11-12월'!$D:$D,$C533,'RAW_농산물_11-12월'!$A:$A,$E533))))</f>
        <v/>
      </c>
      <c r="I533" s="17" t="str">
        <f>IF($C533="","",IF(COUNTIFS('RAW_농산물_7월'!$D:$D,$C533,'RAW_농산물_7월'!$A:$A,$E533)&gt;0,"O",""))</f>
        <v/>
      </c>
      <c r="J533" s="17" t="str">
        <f>IF($C533="","",IF(COUNTIFS('RAW_농산물_8월'!$D:$D,$C533,'RAW_농산물_8월'!$A:$A,$E533)&gt;0,"O",""))</f>
        <v/>
      </c>
      <c r="K533" s="17" t="str">
        <f>IF($C533="","",IF(COUNTIFS('RAW_농산물_9월'!$D:$D,$C533,'RAW_농산물_9월'!$A:$A,$E533)&gt;0,"O",""))</f>
        <v/>
      </c>
      <c r="L533" s="17" t="str">
        <f>IF($C533="","",IF(COUNTIFS('RAW_농산물_10월'!$D:$D,$C533,'RAW_농산물_10월'!$A:$A,$E533)&gt;0,"O",""))</f>
        <v/>
      </c>
      <c r="M533" s="17" t="str">
        <f>IF($C533="","",IF(COUNTIFS('RAW_농산물_11-12월'!$D:$D,$C533,'RAW_농산물_11-12월'!$A:$A,$E533)&gt;0,"O",""))</f>
        <v/>
      </c>
      <c r="N533" s="7" t="str">
        <f>IF($C533="","",IF(COUNTA('RAW_농산물_7월'!$A:$A)&lt;=1,"",SUMIFS('RAW_농산물_7월'!$H:$H,'RAW_농산물_7월'!$D:$D,$C533,'RAW_농산물_7월'!$A:$A,$E533)))</f>
        <v/>
      </c>
      <c r="O533" s="7" t="str">
        <f>IF($C533="","",IF(COUNTA('RAW_농산물_8월'!$A:$A)&lt;=1,"",SUMIFS('RAW_농산물_8월'!$H:$H,'RAW_농산물_8월'!$D:$D,$C533,'RAW_농산물_8월'!$A:$A,$E533)-SUMIFS('RAW_농산물_7월'!$H:$H,'RAW_농산물_7월'!$D:$D,$C533,'RAW_농산물_7월'!$A:$A,$E533)))</f>
        <v/>
      </c>
      <c r="P533" s="7" t="str">
        <f>IF($C533="","",IF(COUNTA('RAW_농산물_9월'!$A:$A)&lt;=1,"",SUMIFS('RAW_농산물_9월'!$H:$H,'RAW_농산물_9월'!$D:$D,$C533,'RAW_농산물_9월'!$A:$A,$E533)-SUMIFS('RAW_농산물_8월'!$H:$H,'RAW_농산물_8월'!$D:$D,$C533,'RAW_농산물_8월'!$A:$A,$E533)))</f>
        <v/>
      </c>
      <c r="Q533" s="7" t="str">
        <f>IF($C533="","",IF(COUNTA('RAW_농산물_10월'!$A:$A)&lt;=1,"",SUMIFS('RAW_농산물_10월'!$H:$H,'RAW_농산물_10월'!$D:$D,$C533,'RAW_농산물_10월'!$A:$A,$E533)-SUMIFS('RAW_농산물_9월'!$H:$H,'RAW_농산물_9월'!$D:$D,$C533,'RAW_농산물_9월'!$A:$A,$E533)))</f>
        <v/>
      </c>
      <c r="R533" s="7" t="str">
        <f>IF($C533="","",IF(COUNTA('RAW_농산물_11-12월'!$A:$A)&lt;=1,"",SUMIFS('RAW_농산물_11-12월'!$H:$H,'RAW_농산물_11-12월'!$D:$D,$C533,'RAW_농산물_11-12월'!$A:$A,$E533)-SUMIFS('RAW_농산물_10월'!$H:$H,'RAW_농산물_10월'!$D:$D,$C533,'RAW_농산물_10월'!$A:$A,$E533)))</f>
        <v/>
      </c>
      <c r="S533" s="17" t="str">
        <f t="shared" si="4"/>
        <v/>
      </c>
      <c r="T533" s="17" t="str">
        <f t="shared" si="5"/>
        <v/>
      </c>
      <c r="U533" s="7">
        <f>IF($C533="",0,IF('설정'!$B$3=0,0,CHOOSE('설정'!$B$3,COUNTIFS('RAW_농산물_7월'!$D:$D,$C533,'RAW_농산물_7월'!$A:$A,$E533),COUNTIFS('RAW_농산물_8월'!$D:$D,$C533,'RAW_농산물_8월'!$A:$A,$E533),COUNTIFS('RAW_농산물_9월'!$D:$D,$C533,'RAW_농산물_9월'!$A:$A,$E533),COUNTIFS('RAW_농산물_10월'!$D:$D,$C533,'RAW_농산물_10월'!$A:$A,$E533),COUNTIFS('RAW_농산물_11-12월'!$D:$D,$C533,'RAW_농산물_11-12월'!$A:$A,$E533))))</f>
        <v>0</v>
      </c>
    </row>
    <row r="534" ht="15.75" customHeight="1">
      <c r="A534" s="5"/>
      <c r="B534" s="5"/>
      <c r="C534" s="5"/>
      <c r="D534" s="6"/>
      <c r="E534" s="5"/>
      <c r="F534" s="7" t="str">
        <f>IF($C534="","",IF('설정'!$B$3=0,"",CHOOSE('설정'!$B$3,SUMIFS('RAW_농산물_7월'!$F:$F,'RAW_농산물_7월'!$D:$D,$C534,'RAW_농산물_7월'!$A:$A,$E534),SUMIFS('RAW_농산물_8월'!$F:$F,'RAW_농산물_8월'!$D:$D,$C534,'RAW_농산물_8월'!$A:$A,$E534),SUMIFS('RAW_농산물_9월'!$F:$F,'RAW_농산물_9월'!$D:$D,$C534,'RAW_농산물_9월'!$A:$A,$E534),SUMIFS('RAW_농산물_10월'!$F:$F,'RAW_농산물_10월'!$D:$D,$C534,'RAW_농산물_10월'!$A:$A,$E534),SUMIFS('RAW_농산물_11-12월'!$F:$F,'RAW_농산물_11-12월'!$D:$D,$C534,'RAW_농산물_11-12월'!$A:$A,$E534))))</f>
        <v/>
      </c>
      <c r="G534" s="7" t="str">
        <f>IF($C534="","",IF('설정'!$B$3=0,"",CHOOSE('설정'!$B$3,SUMIFS('RAW_농산물_7월'!$G:$G,'RAW_농산물_7월'!$D:$D,$C534,'RAW_농산물_7월'!$A:$A,$E534),SUMIFS('RAW_농산물_8월'!$G:$G,'RAW_농산물_8월'!$D:$D,$C534,'RAW_농산물_8월'!$A:$A,$E534),SUMIFS('RAW_농산물_9월'!$G:$G,'RAW_농산물_9월'!$D:$D,$C534,'RAW_농산물_9월'!$A:$A,$E534),SUMIFS('RAW_농산물_10월'!$G:$G,'RAW_농산물_10월'!$D:$D,$C534,'RAW_농산물_10월'!$A:$A,$E534),SUMIFS('RAW_농산물_11-12월'!$G:$G,'RAW_농산물_11-12월'!$D:$D,$C534,'RAW_농산물_11-12월'!$A:$A,$E534))))</f>
        <v/>
      </c>
      <c r="H534" s="14" t="str">
        <f>IF($C534="","",IF('설정'!$B$3=0,"",CHOOSE('설정'!$B$3,SUMIFS('RAW_농산물_7월'!$H:$H,'RAW_농산물_7월'!$D:$D,$C534,'RAW_농산물_7월'!$A:$A,$E534),SUMIFS('RAW_농산물_8월'!$H:$H,'RAW_농산물_8월'!$D:$D,$C534,'RAW_농산물_8월'!$A:$A,$E534),SUMIFS('RAW_농산물_9월'!$H:$H,'RAW_농산물_9월'!$D:$D,$C534,'RAW_농산물_9월'!$A:$A,$E534),SUMIFS('RAW_농산물_10월'!$H:$H,'RAW_농산물_10월'!$D:$D,$C534,'RAW_농산물_10월'!$A:$A,$E534),SUMIFS('RAW_농산물_11-12월'!$H:$H,'RAW_농산물_11-12월'!$D:$D,$C534,'RAW_농산물_11-12월'!$A:$A,$E534))))</f>
        <v/>
      </c>
      <c r="I534" s="17" t="str">
        <f>IF($C534="","",IF(COUNTIFS('RAW_농산물_7월'!$D:$D,$C534,'RAW_농산물_7월'!$A:$A,$E534)&gt;0,"O",""))</f>
        <v/>
      </c>
      <c r="J534" s="17" t="str">
        <f>IF($C534="","",IF(COUNTIFS('RAW_농산물_8월'!$D:$D,$C534,'RAW_농산물_8월'!$A:$A,$E534)&gt;0,"O",""))</f>
        <v/>
      </c>
      <c r="K534" s="17" t="str">
        <f>IF($C534="","",IF(COUNTIFS('RAW_농산물_9월'!$D:$D,$C534,'RAW_농산물_9월'!$A:$A,$E534)&gt;0,"O",""))</f>
        <v/>
      </c>
      <c r="L534" s="17" t="str">
        <f>IF($C534="","",IF(COUNTIFS('RAW_농산물_10월'!$D:$D,$C534,'RAW_농산물_10월'!$A:$A,$E534)&gt;0,"O",""))</f>
        <v/>
      </c>
      <c r="M534" s="17" t="str">
        <f>IF($C534="","",IF(COUNTIFS('RAW_농산물_11-12월'!$D:$D,$C534,'RAW_농산물_11-12월'!$A:$A,$E534)&gt;0,"O",""))</f>
        <v/>
      </c>
      <c r="N534" s="7" t="str">
        <f>IF($C534="","",IF(COUNTA('RAW_농산물_7월'!$A:$A)&lt;=1,"",SUMIFS('RAW_농산물_7월'!$H:$H,'RAW_농산물_7월'!$D:$D,$C534,'RAW_농산물_7월'!$A:$A,$E534)))</f>
        <v/>
      </c>
      <c r="O534" s="7" t="str">
        <f>IF($C534="","",IF(COUNTA('RAW_농산물_8월'!$A:$A)&lt;=1,"",SUMIFS('RAW_농산물_8월'!$H:$H,'RAW_농산물_8월'!$D:$D,$C534,'RAW_농산물_8월'!$A:$A,$E534)-SUMIFS('RAW_농산물_7월'!$H:$H,'RAW_농산물_7월'!$D:$D,$C534,'RAW_농산물_7월'!$A:$A,$E534)))</f>
        <v/>
      </c>
      <c r="P534" s="7" t="str">
        <f>IF($C534="","",IF(COUNTA('RAW_농산물_9월'!$A:$A)&lt;=1,"",SUMIFS('RAW_농산물_9월'!$H:$H,'RAW_농산물_9월'!$D:$D,$C534,'RAW_농산물_9월'!$A:$A,$E534)-SUMIFS('RAW_농산물_8월'!$H:$H,'RAW_농산물_8월'!$D:$D,$C534,'RAW_농산물_8월'!$A:$A,$E534)))</f>
        <v/>
      </c>
      <c r="Q534" s="7" t="str">
        <f>IF($C534="","",IF(COUNTA('RAW_농산물_10월'!$A:$A)&lt;=1,"",SUMIFS('RAW_농산물_10월'!$H:$H,'RAW_농산물_10월'!$D:$D,$C534,'RAW_농산물_10월'!$A:$A,$E534)-SUMIFS('RAW_농산물_9월'!$H:$H,'RAW_농산물_9월'!$D:$D,$C534,'RAW_농산물_9월'!$A:$A,$E534)))</f>
        <v/>
      </c>
      <c r="R534" s="7" t="str">
        <f>IF($C534="","",IF(COUNTA('RAW_농산물_11-12월'!$A:$A)&lt;=1,"",SUMIFS('RAW_농산물_11-12월'!$H:$H,'RAW_농산물_11-12월'!$D:$D,$C534,'RAW_농산물_11-12월'!$A:$A,$E534)-SUMIFS('RAW_농산물_10월'!$H:$H,'RAW_농산물_10월'!$D:$D,$C534,'RAW_농산물_10월'!$A:$A,$E534)))</f>
        <v/>
      </c>
      <c r="S534" s="17" t="str">
        <f t="shared" si="4"/>
        <v/>
      </c>
      <c r="T534" s="17" t="str">
        <f t="shared" si="5"/>
        <v/>
      </c>
      <c r="U534" s="7">
        <f>IF($C534="",0,IF('설정'!$B$3=0,0,CHOOSE('설정'!$B$3,COUNTIFS('RAW_농산물_7월'!$D:$D,$C534,'RAW_농산물_7월'!$A:$A,$E534),COUNTIFS('RAW_농산물_8월'!$D:$D,$C534,'RAW_농산물_8월'!$A:$A,$E534),COUNTIFS('RAW_농산물_9월'!$D:$D,$C534,'RAW_농산물_9월'!$A:$A,$E534),COUNTIFS('RAW_농산물_10월'!$D:$D,$C534,'RAW_농산물_10월'!$A:$A,$E534),COUNTIFS('RAW_농산물_11-12월'!$D:$D,$C534,'RAW_농산물_11-12월'!$A:$A,$E534))))</f>
        <v>0</v>
      </c>
    </row>
    <row r="535" ht="15.75" customHeight="1">
      <c r="A535" s="5"/>
      <c r="B535" s="5"/>
      <c r="C535" s="5"/>
      <c r="D535" s="6"/>
      <c r="E535" s="5"/>
      <c r="F535" s="7" t="str">
        <f>IF($C535="","",IF('설정'!$B$3=0,"",CHOOSE('설정'!$B$3,SUMIFS('RAW_농산물_7월'!$F:$F,'RAW_농산물_7월'!$D:$D,$C535,'RAW_농산물_7월'!$A:$A,$E535),SUMIFS('RAW_농산물_8월'!$F:$F,'RAW_농산물_8월'!$D:$D,$C535,'RAW_농산물_8월'!$A:$A,$E535),SUMIFS('RAW_농산물_9월'!$F:$F,'RAW_농산물_9월'!$D:$D,$C535,'RAW_농산물_9월'!$A:$A,$E535),SUMIFS('RAW_농산물_10월'!$F:$F,'RAW_농산물_10월'!$D:$D,$C535,'RAW_농산물_10월'!$A:$A,$E535),SUMIFS('RAW_농산물_11-12월'!$F:$F,'RAW_농산물_11-12월'!$D:$D,$C535,'RAW_농산물_11-12월'!$A:$A,$E535))))</f>
        <v/>
      </c>
      <c r="G535" s="7" t="str">
        <f>IF($C535="","",IF('설정'!$B$3=0,"",CHOOSE('설정'!$B$3,SUMIFS('RAW_농산물_7월'!$G:$G,'RAW_농산물_7월'!$D:$D,$C535,'RAW_농산물_7월'!$A:$A,$E535),SUMIFS('RAW_농산물_8월'!$G:$G,'RAW_농산물_8월'!$D:$D,$C535,'RAW_농산물_8월'!$A:$A,$E535),SUMIFS('RAW_농산물_9월'!$G:$G,'RAW_농산물_9월'!$D:$D,$C535,'RAW_농산물_9월'!$A:$A,$E535),SUMIFS('RAW_농산물_10월'!$G:$G,'RAW_농산물_10월'!$D:$D,$C535,'RAW_농산물_10월'!$A:$A,$E535),SUMIFS('RAW_농산물_11-12월'!$G:$G,'RAW_농산물_11-12월'!$D:$D,$C535,'RAW_농산물_11-12월'!$A:$A,$E535))))</f>
        <v/>
      </c>
      <c r="H535" s="14" t="str">
        <f>IF($C535="","",IF('설정'!$B$3=0,"",CHOOSE('설정'!$B$3,SUMIFS('RAW_농산물_7월'!$H:$H,'RAW_농산물_7월'!$D:$D,$C535,'RAW_농산물_7월'!$A:$A,$E535),SUMIFS('RAW_농산물_8월'!$H:$H,'RAW_농산물_8월'!$D:$D,$C535,'RAW_농산물_8월'!$A:$A,$E535),SUMIFS('RAW_농산물_9월'!$H:$H,'RAW_농산물_9월'!$D:$D,$C535,'RAW_농산물_9월'!$A:$A,$E535),SUMIFS('RAW_농산물_10월'!$H:$H,'RAW_농산물_10월'!$D:$D,$C535,'RAW_농산물_10월'!$A:$A,$E535),SUMIFS('RAW_농산물_11-12월'!$H:$H,'RAW_농산물_11-12월'!$D:$D,$C535,'RAW_농산물_11-12월'!$A:$A,$E535))))</f>
        <v/>
      </c>
      <c r="I535" s="17" t="str">
        <f>IF($C535="","",IF(COUNTIFS('RAW_농산물_7월'!$D:$D,$C535,'RAW_농산물_7월'!$A:$A,$E535)&gt;0,"O",""))</f>
        <v/>
      </c>
      <c r="J535" s="17" t="str">
        <f>IF($C535="","",IF(COUNTIFS('RAW_농산물_8월'!$D:$D,$C535,'RAW_농산물_8월'!$A:$A,$E535)&gt;0,"O",""))</f>
        <v/>
      </c>
      <c r="K535" s="17" t="str">
        <f>IF($C535="","",IF(COUNTIFS('RAW_농산물_9월'!$D:$D,$C535,'RAW_농산물_9월'!$A:$A,$E535)&gt;0,"O",""))</f>
        <v/>
      </c>
      <c r="L535" s="17" t="str">
        <f>IF($C535="","",IF(COUNTIFS('RAW_농산물_10월'!$D:$D,$C535,'RAW_농산물_10월'!$A:$A,$E535)&gt;0,"O",""))</f>
        <v/>
      </c>
      <c r="M535" s="17" t="str">
        <f>IF($C535="","",IF(COUNTIFS('RAW_농산물_11-12월'!$D:$D,$C535,'RAW_농산물_11-12월'!$A:$A,$E535)&gt;0,"O",""))</f>
        <v/>
      </c>
      <c r="N535" s="7" t="str">
        <f>IF($C535="","",IF(COUNTA('RAW_농산물_7월'!$A:$A)&lt;=1,"",SUMIFS('RAW_농산물_7월'!$H:$H,'RAW_농산물_7월'!$D:$D,$C535,'RAW_농산물_7월'!$A:$A,$E535)))</f>
        <v/>
      </c>
      <c r="O535" s="7" t="str">
        <f>IF($C535="","",IF(COUNTA('RAW_농산물_8월'!$A:$A)&lt;=1,"",SUMIFS('RAW_농산물_8월'!$H:$H,'RAW_농산물_8월'!$D:$D,$C535,'RAW_농산물_8월'!$A:$A,$E535)-SUMIFS('RAW_농산물_7월'!$H:$H,'RAW_농산물_7월'!$D:$D,$C535,'RAW_농산물_7월'!$A:$A,$E535)))</f>
        <v/>
      </c>
      <c r="P535" s="7" t="str">
        <f>IF($C535="","",IF(COUNTA('RAW_농산물_9월'!$A:$A)&lt;=1,"",SUMIFS('RAW_농산물_9월'!$H:$H,'RAW_농산물_9월'!$D:$D,$C535,'RAW_농산물_9월'!$A:$A,$E535)-SUMIFS('RAW_농산물_8월'!$H:$H,'RAW_농산물_8월'!$D:$D,$C535,'RAW_농산물_8월'!$A:$A,$E535)))</f>
        <v/>
      </c>
      <c r="Q535" s="7" t="str">
        <f>IF($C535="","",IF(COUNTA('RAW_농산물_10월'!$A:$A)&lt;=1,"",SUMIFS('RAW_농산물_10월'!$H:$H,'RAW_농산물_10월'!$D:$D,$C535,'RAW_농산물_10월'!$A:$A,$E535)-SUMIFS('RAW_농산물_9월'!$H:$H,'RAW_농산물_9월'!$D:$D,$C535,'RAW_농산물_9월'!$A:$A,$E535)))</f>
        <v/>
      </c>
      <c r="R535" s="7" t="str">
        <f>IF($C535="","",IF(COUNTA('RAW_농산물_11-12월'!$A:$A)&lt;=1,"",SUMIFS('RAW_농산물_11-12월'!$H:$H,'RAW_농산물_11-12월'!$D:$D,$C535,'RAW_농산물_11-12월'!$A:$A,$E535)-SUMIFS('RAW_농산물_10월'!$H:$H,'RAW_농산물_10월'!$D:$D,$C535,'RAW_농산물_10월'!$A:$A,$E535)))</f>
        <v/>
      </c>
      <c r="S535" s="17" t="str">
        <f t="shared" si="4"/>
        <v/>
      </c>
      <c r="T535" s="17" t="str">
        <f t="shared" si="5"/>
        <v/>
      </c>
      <c r="U535" s="7">
        <f>IF($C535="",0,IF('설정'!$B$3=0,0,CHOOSE('설정'!$B$3,COUNTIFS('RAW_농산물_7월'!$D:$D,$C535,'RAW_농산물_7월'!$A:$A,$E535),COUNTIFS('RAW_농산물_8월'!$D:$D,$C535,'RAW_농산물_8월'!$A:$A,$E535),COUNTIFS('RAW_농산물_9월'!$D:$D,$C535,'RAW_농산물_9월'!$A:$A,$E535),COUNTIFS('RAW_농산물_10월'!$D:$D,$C535,'RAW_농산물_10월'!$A:$A,$E535),COUNTIFS('RAW_농산물_11-12월'!$D:$D,$C535,'RAW_농산물_11-12월'!$A:$A,$E535))))</f>
        <v>0</v>
      </c>
    </row>
    <row r="536" ht="15.75" customHeight="1">
      <c r="A536" s="5"/>
      <c r="B536" s="5"/>
      <c r="C536" s="5"/>
      <c r="D536" s="6"/>
      <c r="E536" s="5"/>
      <c r="F536" s="7" t="str">
        <f>IF($C536="","",IF('설정'!$B$3=0,"",CHOOSE('설정'!$B$3,SUMIFS('RAW_농산물_7월'!$F:$F,'RAW_농산물_7월'!$D:$D,$C536,'RAW_농산물_7월'!$A:$A,$E536),SUMIFS('RAW_농산물_8월'!$F:$F,'RAW_농산물_8월'!$D:$D,$C536,'RAW_농산물_8월'!$A:$A,$E536),SUMIFS('RAW_농산물_9월'!$F:$F,'RAW_농산물_9월'!$D:$D,$C536,'RAW_농산물_9월'!$A:$A,$E536),SUMIFS('RAW_농산물_10월'!$F:$F,'RAW_농산물_10월'!$D:$D,$C536,'RAW_농산물_10월'!$A:$A,$E536),SUMIFS('RAW_농산물_11-12월'!$F:$F,'RAW_농산물_11-12월'!$D:$D,$C536,'RAW_농산물_11-12월'!$A:$A,$E536))))</f>
        <v/>
      </c>
      <c r="G536" s="7" t="str">
        <f>IF($C536="","",IF('설정'!$B$3=0,"",CHOOSE('설정'!$B$3,SUMIFS('RAW_농산물_7월'!$G:$G,'RAW_농산물_7월'!$D:$D,$C536,'RAW_농산물_7월'!$A:$A,$E536),SUMIFS('RAW_농산물_8월'!$G:$G,'RAW_농산물_8월'!$D:$D,$C536,'RAW_농산물_8월'!$A:$A,$E536),SUMIFS('RAW_농산물_9월'!$G:$G,'RAW_농산물_9월'!$D:$D,$C536,'RAW_농산물_9월'!$A:$A,$E536),SUMIFS('RAW_농산물_10월'!$G:$G,'RAW_농산물_10월'!$D:$D,$C536,'RAW_농산물_10월'!$A:$A,$E536),SUMIFS('RAW_농산물_11-12월'!$G:$G,'RAW_농산물_11-12월'!$D:$D,$C536,'RAW_농산물_11-12월'!$A:$A,$E536))))</f>
        <v/>
      </c>
      <c r="H536" s="14" t="str">
        <f>IF($C536="","",IF('설정'!$B$3=0,"",CHOOSE('설정'!$B$3,SUMIFS('RAW_농산물_7월'!$H:$H,'RAW_농산물_7월'!$D:$D,$C536,'RAW_농산물_7월'!$A:$A,$E536),SUMIFS('RAW_농산물_8월'!$H:$H,'RAW_농산물_8월'!$D:$D,$C536,'RAW_농산물_8월'!$A:$A,$E536),SUMIFS('RAW_농산물_9월'!$H:$H,'RAW_농산물_9월'!$D:$D,$C536,'RAW_농산물_9월'!$A:$A,$E536),SUMIFS('RAW_농산물_10월'!$H:$H,'RAW_농산물_10월'!$D:$D,$C536,'RAW_농산물_10월'!$A:$A,$E536),SUMIFS('RAW_농산물_11-12월'!$H:$H,'RAW_농산물_11-12월'!$D:$D,$C536,'RAW_농산물_11-12월'!$A:$A,$E536))))</f>
        <v/>
      </c>
      <c r="I536" s="17" t="str">
        <f>IF($C536="","",IF(COUNTIFS('RAW_농산물_7월'!$D:$D,$C536,'RAW_농산물_7월'!$A:$A,$E536)&gt;0,"O",""))</f>
        <v/>
      </c>
      <c r="J536" s="17" t="str">
        <f>IF($C536="","",IF(COUNTIFS('RAW_농산물_8월'!$D:$D,$C536,'RAW_농산물_8월'!$A:$A,$E536)&gt;0,"O",""))</f>
        <v/>
      </c>
      <c r="K536" s="17" t="str">
        <f>IF($C536="","",IF(COUNTIFS('RAW_농산물_9월'!$D:$D,$C536,'RAW_농산물_9월'!$A:$A,$E536)&gt;0,"O",""))</f>
        <v/>
      </c>
      <c r="L536" s="17" t="str">
        <f>IF($C536="","",IF(COUNTIFS('RAW_농산물_10월'!$D:$D,$C536,'RAW_농산물_10월'!$A:$A,$E536)&gt;0,"O",""))</f>
        <v/>
      </c>
      <c r="M536" s="17" t="str">
        <f>IF($C536="","",IF(COUNTIFS('RAW_농산물_11-12월'!$D:$D,$C536,'RAW_농산물_11-12월'!$A:$A,$E536)&gt;0,"O",""))</f>
        <v/>
      </c>
      <c r="N536" s="7" t="str">
        <f>IF($C536="","",IF(COUNTA('RAW_농산물_7월'!$A:$A)&lt;=1,"",SUMIFS('RAW_농산물_7월'!$H:$H,'RAW_농산물_7월'!$D:$D,$C536,'RAW_농산물_7월'!$A:$A,$E536)))</f>
        <v/>
      </c>
      <c r="O536" s="7" t="str">
        <f>IF($C536="","",IF(COUNTA('RAW_농산물_8월'!$A:$A)&lt;=1,"",SUMIFS('RAW_농산물_8월'!$H:$H,'RAW_농산물_8월'!$D:$D,$C536,'RAW_농산물_8월'!$A:$A,$E536)-SUMIFS('RAW_농산물_7월'!$H:$H,'RAW_농산물_7월'!$D:$D,$C536,'RAW_농산물_7월'!$A:$A,$E536)))</f>
        <v/>
      </c>
      <c r="P536" s="7" t="str">
        <f>IF($C536="","",IF(COUNTA('RAW_농산물_9월'!$A:$A)&lt;=1,"",SUMIFS('RAW_농산물_9월'!$H:$H,'RAW_농산물_9월'!$D:$D,$C536,'RAW_농산물_9월'!$A:$A,$E536)-SUMIFS('RAW_농산물_8월'!$H:$H,'RAW_농산물_8월'!$D:$D,$C536,'RAW_농산물_8월'!$A:$A,$E536)))</f>
        <v/>
      </c>
      <c r="Q536" s="7" t="str">
        <f>IF($C536="","",IF(COUNTA('RAW_농산물_10월'!$A:$A)&lt;=1,"",SUMIFS('RAW_농산물_10월'!$H:$H,'RAW_농산물_10월'!$D:$D,$C536,'RAW_농산물_10월'!$A:$A,$E536)-SUMIFS('RAW_농산물_9월'!$H:$H,'RAW_농산물_9월'!$D:$D,$C536,'RAW_농산물_9월'!$A:$A,$E536)))</f>
        <v/>
      </c>
      <c r="R536" s="7" t="str">
        <f>IF($C536="","",IF(COUNTA('RAW_농산물_11-12월'!$A:$A)&lt;=1,"",SUMIFS('RAW_농산물_11-12월'!$H:$H,'RAW_농산물_11-12월'!$D:$D,$C536,'RAW_농산물_11-12월'!$A:$A,$E536)-SUMIFS('RAW_농산물_10월'!$H:$H,'RAW_농산물_10월'!$D:$D,$C536,'RAW_농산물_10월'!$A:$A,$E536)))</f>
        <v/>
      </c>
      <c r="S536" s="17" t="str">
        <f t="shared" si="4"/>
        <v/>
      </c>
      <c r="T536" s="17" t="str">
        <f t="shared" si="5"/>
        <v/>
      </c>
      <c r="U536" s="7">
        <f>IF($C536="",0,IF('설정'!$B$3=0,0,CHOOSE('설정'!$B$3,COUNTIFS('RAW_농산물_7월'!$D:$D,$C536,'RAW_농산물_7월'!$A:$A,$E536),COUNTIFS('RAW_농산물_8월'!$D:$D,$C536,'RAW_농산물_8월'!$A:$A,$E536),COUNTIFS('RAW_농산물_9월'!$D:$D,$C536,'RAW_농산물_9월'!$A:$A,$E536),COUNTIFS('RAW_농산물_10월'!$D:$D,$C536,'RAW_농산물_10월'!$A:$A,$E536),COUNTIFS('RAW_농산물_11-12월'!$D:$D,$C536,'RAW_농산물_11-12월'!$A:$A,$E536))))</f>
        <v>0</v>
      </c>
    </row>
    <row r="537" ht="15.75" customHeight="1">
      <c r="A537" s="5"/>
      <c r="B537" s="5"/>
      <c r="C537" s="5"/>
      <c r="D537" s="6"/>
      <c r="E537" s="5"/>
      <c r="F537" s="7" t="str">
        <f>IF($C537="","",IF('설정'!$B$3=0,"",CHOOSE('설정'!$B$3,SUMIFS('RAW_농산물_7월'!$F:$F,'RAW_농산물_7월'!$D:$D,$C537,'RAW_농산물_7월'!$A:$A,$E537),SUMIFS('RAW_농산물_8월'!$F:$F,'RAW_농산물_8월'!$D:$D,$C537,'RAW_농산물_8월'!$A:$A,$E537),SUMIFS('RAW_농산물_9월'!$F:$F,'RAW_농산물_9월'!$D:$D,$C537,'RAW_농산물_9월'!$A:$A,$E537),SUMIFS('RAW_농산물_10월'!$F:$F,'RAW_농산물_10월'!$D:$D,$C537,'RAW_농산물_10월'!$A:$A,$E537),SUMIFS('RAW_농산물_11-12월'!$F:$F,'RAW_농산물_11-12월'!$D:$D,$C537,'RAW_농산물_11-12월'!$A:$A,$E537))))</f>
        <v/>
      </c>
      <c r="G537" s="7" t="str">
        <f>IF($C537="","",IF('설정'!$B$3=0,"",CHOOSE('설정'!$B$3,SUMIFS('RAW_농산물_7월'!$G:$G,'RAW_농산물_7월'!$D:$D,$C537,'RAW_농산물_7월'!$A:$A,$E537),SUMIFS('RAW_농산물_8월'!$G:$G,'RAW_농산물_8월'!$D:$D,$C537,'RAW_농산물_8월'!$A:$A,$E537),SUMIFS('RAW_농산물_9월'!$G:$G,'RAW_농산물_9월'!$D:$D,$C537,'RAW_농산물_9월'!$A:$A,$E537),SUMIFS('RAW_농산물_10월'!$G:$G,'RAW_농산물_10월'!$D:$D,$C537,'RAW_농산물_10월'!$A:$A,$E537),SUMIFS('RAW_농산물_11-12월'!$G:$G,'RAW_농산물_11-12월'!$D:$D,$C537,'RAW_농산물_11-12월'!$A:$A,$E537))))</f>
        <v/>
      </c>
      <c r="H537" s="14" t="str">
        <f>IF($C537="","",IF('설정'!$B$3=0,"",CHOOSE('설정'!$B$3,SUMIFS('RAW_농산물_7월'!$H:$H,'RAW_농산물_7월'!$D:$D,$C537,'RAW_농산물_7월'!$A:$A,$E537),SUMIFS('RAW_농산물_8월'!$H:$H,'RAW_농산물_8월'!$D:$D,$C537,'RAW_농산물_8월'!$A:$A,$E537),SUMIFS('RAW_농산물_9월'!$H:$H,'RAW_농산물_9월'!$D:$D,$C537,'RAW_농산물_9월'!$A:$A,$E537),SUMIFS('RAW_농산물_10월'!$H:$H,'RAW_농산물_10월'!$D:$D,$C537,'RAW_농산물_10월'!$A:$A,$E537),SUMIFS('RAW_농산물_11-12월'!$H:$H,'RAW_농산물_11-12월'!$D:$D,$C537,'RAW_농산물_11-12월'!$A:$A,$E537))))</f>
        <v/>
      </c>
      <c r="I537" s="17" t="str">
        <f>IF($C537="","",IF(COUNTIFS('RAW_농산물_7월'!$D:$D,$C537,'RAW_농산물_7월'!$A:$A,$E537)&gt;0,"O",""))</f>
        <v/>
      </c>
      <c r="J537" s="17" t="str">
        <f>IF($C537="","",IF(COUNTIFS('RAW_농산물_8월'!$D:$D,$C537,'RAW_농산물_8월'!$A:$A,$E537)&gt;0,"O",""))</f>
        <v/>
      </c>
      <c r="K537" s="17" t="str">
        <f>IF($C537="","",IF(COUNTIFS('RAW_농산물_9월'!$D:$D,$C537,'RAW_농산물_9월'!$A:$A,$E537)&gt;0,"O",""))</f>
        <v/>
      </c>
      <c r="L537" s="17" t="str">
        <f>IF($C537="","",IF(COUNTIFS('RAW_농산물_10월'!$D:$D,$C537,'RAW_농산물_10월'!$A:$A,$E537)&gt;0,"O",""))</f>
        <v/>
      </c>
      <c r="M537" s="17" t="str">
        <f>IF($C537="","",IF(COUNTIFS('RAW_농산물_11-12월'!$D:$D,$C537,'RAW_농산물_11-12월'!$A:$A,$E537)&gt;0,"O",""))</f>
        <v/>
      </c>
      <c r="N537" s="7" t="str">
        <f>IF($C537="","",IF(COUNTA('RAW_농산물_7월'!$A:$A)&lt;=1,"",SUMIFS('RAW_농산물_7월'!$H:$H,'RAW_농산물_7월'!$D:$D,$C537,'RAW_농산물_7월'!$A:$A,$E537)))</f>
        <v/>
      </c>
      <c r="O537" s="7" t="str">
        <f>IF($C537="","",IF(COUNTA('RAW_농산물_8월'!$A:$A)&lt;=1,"",SUMIFS('RAW_농산물_8월'!$H:$H,'RAW_농산물_8월'!$D:$D,$C537,'RAW_농산물_8월'!$A:$A,$E537)-SUMIFS('RAW_농산물_7월'!$H:$H,'RAW_농산물_7월'!$D:$D,$C537,'RAW_농산물_7월'!$A:$A,$E537)))</f>
        <v/>
      </c>
      <c r="P537" s="7" t="str">
        <f>IF($C537="","",IF(COUNTA('RAW_농산물_9월'!$A:$A)&lt;=1,"",SUMIFS('RAW_농산물_9월'!$H:$H,'RAW_농산물_9월'!$D:$D,$C537,'RAW_농산물_9월'!$A:$A,$E537)-SUMIFS('RAW_농산물_8월'!$H:$H,'RAW_농산물_8월'!$D:$D,$C537,'RAW_농산물_8월'!$A:$A,$E537)))</f>
        <v/>
      </c>
      <c r="Q537" s="7" t="str">
        <f>IF($C537="","",IF(COUNTA('RAW_농산물_10월'!$A:$A)&lt;=1,"",SUMIFS('RAW_농산물_10월'!$H:$H,'RAW_농산물_10월'!$D:$D,$C537,'RAW_농산물_10월'!$A:$A,$E537)-SUMIFS('RAW_농산물_9월'!$H:$H,'RAW_농산물_9월'!$D:$D,$C537,'RAW_농산물_9월'!$A:$A,$E537)))</f>
        <v/>
      </c>
      <c r="R537" s="7" t="str">
        <f>IF($C537="","",IF(COUNTA('RAW_농산물_11-12월'!$A:$A)&lt;=1,"",SUMIFS('RAW_농산물_11-12월'!$H:$H,'RAW_농산물_11-12월'!$D:$D,$C537,'RAW_농산물_11-12월'!$A:$A,$E537)-SUMIFS('RAW_농산물_10월'!$H:$H,'RAW_농산물_10월'!$D:$D,$C537,'RAW_농산물_10월'!$A:$A,$E537)))</f>
        <v/>
      </c>
      <c r="S537" s="17" t="str">
        <f t="shared" si="4"/>
        <v/>
      </c>
      <c r="T537" s="17" t="str">
        <f t="shared" si="5"/>
        <v/>
      </c>
      <c r="U537" s="7">
        <f>IF($C537="",0,IF('설정'!$B$3=0,0,CHOOSE('설정'!$B$3,COUNTIFS('RAW_농산물_7월'!$D:$D,$C537,'RAW_농산물_7월'!$A:$A,$E537),COUNTIFS('RAW_농산물_8월'!$D:$D,$C537,'RAW_농산물_8월'!$A:$A,$E537),COUNTIFS('RAW_농산물_9월'!$D:$D,$C537,'RAW_농산물_9월'!$A:$A,$E537),COUNTIFS('RAW_농산물_10월'!$D:$D,$C537,'RAW_농산물_10월'!$A:$A,$E537),COUNTIFS('RAW_농산물_11-12월'!$D:$D,$C537,'RAW_농산물_11-12월'!$A:$A,$E537))))</f>
        <v>0</v>
      </c>
    </row>
    <row r="538" ht="15.75" customHeight="1">
      <c r="A538" s="5"/>
      <c r="B538" s="5"/>
      <c r="C538" s="5"/>
      <c r="D538" s="6"/>
      <c r="E538" s="5"/>
      <c r="F538" s="7" t="str">
        <f>IF($C538="","",IF('설정'!$B$3=0,"",CHOOSE('설정'!$B$3,SUMIFS('RAW_농산물_7월'!$F:$F,'RAW_농산물_7월'!$D:$D,$C538,'RAW_농산물_7월'!$A:$A,$E538),SUMIFS('RAW_농산물_8월'!$F:$F,'RAW_농산물_8월'!$D:$D,$C538,'RAW_농산물_8월'!$A:$A,$E538),SUMIFS('RAW_농산물_9월'!$F:$F,'RAW_농산물_9월'!$D:$D,$C538,'RAW_농산물_9월'!$A:$A,$E538),SUMIFS('RAW_농산물_10월'!$F:$F,'RAW_농산물_10월'!$D:$D,$C538,'RAW_농산물_10월'!$A:$A,$E538),SUMIFS('RAW_농산물_11-12월'!$F:$F,'RAW_농산물_11-12월'!$D:$D,$C538,'RAW_농산물_11-12월'!$A:$A,$E538))))</f>
        <v/>
      </c>
      <c r="G538" s="7" t="str">
        <f>IF($C538="","",IF('설정'!$B$3=0,"",CHOOSE('설정'!$B$3,SUMIFS('RAW_농산물_7월'!$G:$G,'RAW_농산물_7월'!$D:$D,$C538,'RAW_농산물_7월'!$A:$A,$E538),SUMIFS('RAW_농산물_8월'!$G:$G,'RAW_농산물_8월'!$D:$D,$C538,'RAW_농산물_8월'!$A:$A,$E538),SUMIFS('RAW_농산물_9월'!$G:$G,'RAW_농산물_9월'!$D:$D,$C538,'RAW_농산물_9월'!$A:$A,$E538),SUMIFS('RAW_농산물_10월'!$G:$G,'RAW_농산물_10월'!$D:$D,$C538,'RAW_농산물_10월'!$A:$A,$E538),SUMIFS('RAW_농산물_11-12월'!$G:$G,'RAW_농산물_11-12월'!$D:$D,$C538,'RAW_농산물_11-12월'!$A:$A,$E538))))</f>
        <v/>
      </c>
      <c r="H538" s="14" t="str">
        <f>IF($C538="","",IF('설정'!$B$3=0,"",CHOOSE('설정'!$B$3,SUMIFS('RAW_농산물_7월'!$H:$H,'RAW_농산물_7월'!$D:$D,$C538,'RAW_농산물_7월'!$A:$A,$E538),SUMIFS('RAW_농산물_8월'!$H:$H,'RAW_농산물_8월'!$D:$D,$C538,'RAW_농산물_8월'!$A:$A,$E538),SUMIFS('RAW_농산물_9월'!$H:$H,'RAW_농산물_9월'!$D:$D,$C538,'RAW_농산물_9월'!$A:$A,$E538),SUMIFS('RAW_농산물_10월'!$H:$H,'RAW_농산물_10월'!$D:$D,$C538,'RAW_농산물_10월'!$A:$A,$E538),SUMIFS('RAW_농산물_11-12월'!$H:$H,'RAW_농산물_11-12월'!$D:$D,$C538,'RAW_농산물_11-12월'!$A:$A,$E538))))</f>
        <v/>
      </c>
      <c r="I538" s="17" t="str">
        <f>IF($C538="","",IF(COUNTIFS('RAW_농산물_7월'!$D:$D,$C538,'RAW_농산물_7월'!$A:$A,$E538)&gt;0,"O",""))</f>
        <v/>
      </c>
      <c r="J538" s="17" t="str">
        <f>IF($C538="","",IF(COUNTIFS('RAW_농산물_8월'!$D:$D,$C538,'RAW_농산물_8월'!$A:$A,$E538)&gt;0,"O",""))</f>
        <v/>
      </c>
      <c r="K538" s="17" t="str">
        <f>IF($C538="","",IF(COUNTIFS('RAW_농산물_9월'!$D:$D,$C538,'RAW_농산물_9월'!$A:$A,$E538)&gt;0,"O",""))</f>
        <v/>
      </c>
      <c r="L538" s="17" t="str">
        <f>IF($C538="","",IF(COUNTIFS('RAW_농산물_10월'!$D:$D,$C538,'RAW_농산물_10월'!$A:$A,$E538)&gt;0,"O",""))</f>
        <v/>
      </c>
      <c r="M538" s="17" t="str">
        <f>IF($C538="","",IF(COUNTIFS('RAW_농산물_11-12월'!$D:$D,$C538,'RAW_농산물_11-12월'!$A:$A,$E538)&gt;0,"O",""))</f>
        <v/>
      </c>
      <c r="N538" s="7" t="str">
        <f>IF($C538="","",IF(COUNTA('RAW_농산물_7월'!$A:$A)&lt;=1,"",SUMIFS('RAW_농산물_7월'!$H:$H,'RAW_농산물_7월'!$D:$D,$C538,'RAW_농산물_7월'!$A:$A,$E538)))</f>
        <v/>
      </c>
      <c r="O538" s="7" t="str">
        <f>IF($C538="","",IF(COUNTA('RAW_농산물_8월'!$A:$A)&lt;=1,"",SUMIFS('RAW_농산물_8월'!$H:$H,'RAW_농산물_8월'!$D:$D,$C538,'RAW_농산물_8월'!$A:$A,$E538)-SUMIFS('RAW_농산물_7월'!$H:$H,'RAW_농산물_7월'!$D:$D,$C538,'RAW_농산물_7월'!$A:$A,$E538)))</f>
        <v/>
      </c>
      <c r="P538" s="7" t="str">
        <f>IF($C538="","",IF(COUNTA('RAW_농산물_9월'!$A:$A)&lt;=1,"",SUMIFS('RAW_농산물_9월'!$H:$H,'RAW_농산물_9월'!$D:$D,$C538,'RAW_농산물_9월'!$A:$A,$E538)-SUMIFS('RAW_농산물_8월'!$H:$H,'RAW_농산물_8월'!$D:$D,$C538,'RAW_농산물_8월'!$A:$A,$E538)))</f>
        <v/>
      </c>
      <c r="Q538" s="7" t="str">
        <f>IF($C538="","",IF(COUNTA('RAW_농산물_10월'!$A:$A)&lt;=1,"",SUMIFS('RAW_농산물_10월'!$H:$H,'RAW_농산물_10월'!$D:$D,$C538,'RAW_농산물_10월'!$A:$A,$E538)-SUMIFS('RAW_농산물_9월'!$H:$H,'RAW_농산물_9월'!$D:$D,$C538,'RAW_농산물_9월'!$A:$A,$E538)))</f>
        <v/>
      </c>
      <c r="R538" s="7" t="str">
        <f>IF($C538="","",IF(COUNTA('RAW_농산물_11-12월'!$A:$A)&lt;=1,"",SUMIFS('RAW_농산물_11-12월'!$H:$H,'RAW_농산물_11-12월'!$D:$D,$C538,'RAW_농산물_11-12월'!$A:$A,$E538)-SUMIFS('RAW_농산물_10월'!$H:$H,'RAW_농산물_10월'!$D:$D,$C538,'RAW_농산물_10월'!$A:$A,$E538)))</f>
        <v/>
      </c>
      <c r="S538" s="17" t="str">
        <f t="shared" si="4"/>
        <v/>
      </c>
      <c r="T538" s="17" t="str">
        <f t="shared" si="5"/>
        <v/>
      </c>
      <c r="U538" s="7">
        <f>IF($C538="",0,IF('설정'!$B$3=0,0,CHOOSE('설정'!$B$3,COUNTIFS('RAW_농산물_7월'!$D:$D,$C538,'RAW_농산물_7월'!$A:$A,$E538),COUNTIFS('RAW_농산물_8월'!$D:$D,$C538,'RAW_농산물_8월'!$A:$A,$E538),COUNTIFS('RAW_농산물_9월'!$D:$D,$C538,'RAW_농산물_9월'!$A:$A,$E538),COUNTIFS('RAW_농산물_10월'!$D:$D,$C538,'RAW_농산물_10월'!$A:$A,$E538),COUNTIFS('RAW_농산물_11-12월'!$D:$D,$C538,'RAW_농산물_11-12월'!$A:$A,$E538))))</f>
        <v>0</v>
      </c>
    </row>
    <row r="539" ht="15.75" customHeight="1">
      <c r="A539" s="5"/>
      <c r="B539" s="5"/>
      <c r="C539" s="5"/>
      <c r="D539" s="6"/>
      <c r="E539" s="5"/>
      <c r="F539" s="7" t="str">
        <f>IF($C539="","",IF('설정'!$B$3=0,"",CHOOSE('설정'!$B$3,SUMIFS('RAW_농산물_7월'!$F:$F,'RAW_농산물_7월'!$D:$D,$C539,'RAW_농산물_7월'!$A:$A,$E539),SUMIFS('RAW_농산물_8월'!$F:$F,'RAW_농산물_8월'!$D:$D,$C539,'RAW_농산물_8월'!$A:$A,$E539),SUMIFS('RAW_농산물_9월'!$F:$F,'RAW_농산물_9월'!$D:$D,$C539,'RAW_농산물_9월'!$A:$A,$E539),SUMIFS('RAW_농산물_10월'!$F:$F,'RAW_농산물_10월'!$D:$D,$C539,'RAW_농산물_10월'!$A:$A,$E539),SUMIFS('RAW_농산물_11-12월'!$F:$F,'RAW_농산물_11-12월'!$D:$D,$C539,'RAW_농산물_11-12월'!$A:$A,$E539))))</f>
        <v/>
      </c>
      <c r="G539" s="7" t="str">
        <f>IF($C539="","",IF('설정'!$B$3=0,"",CHOOSE('설정'!$B$3,SUMIFS('RAW_농산물_7월'!$G:$G,'RAW_농산물_7월'!$D:$D,$C539,'RAW_농산물_7월'!$A:$A,$E539),SUMIFS('RAW_농산물_8월'!$G:$G,'RAW_농산물_8월'!$D:$D,$C539,'RAW_농산물_8월'!$A:$A,$E539),SUMIFS('RAW_농산물_9월'!$G:$G,'RAW_농산물_9월'!$D:$D,$C539,'RAW_농산물_9월'!$A:$A,$E539),SUMIFS('RAW_농산물_10월'!$G:$G,'RAW_농산물_10월'!$D:$D,$C539,'RAW_농산물_10월'!$A:$A,$E539),SUMIFS('RAW_농산물_11-12월'!$G:$G,'RAW_농산물_11-12월'!$D:$D,$C539,'RAW_농산물_11-12월'!$A:$A,$E539))))</f>
        <v/>
      </c>
      <c r="H539" s="14" t="str">
        <f>IF($C539="","",IF('설정'!$B$3=0,"",CHOOSE('설정'!$B$3,SUMIFS('RAW_농산물_7월'!$H:$H,'RAW_농산물_7월'!$D:$D,$C539,'RAW_농산물_7월'!$A:$A,$E539),SUMIFS('RAW_농산물_8월'!$H:$H,'RAW_농산물_8월'!$D:$D,$C539,'RAW_농산물_8월'!$A:$A,$E539),SUMIFS('RAW_농산물_9월'!$H:$H,'RAW_농산물_9월'!$D:$D,$C539,'RAW_농산물_9월'!$A:$A,$E539),SUMIFS('RAW_농산물_10월'!$H:$H,'RAW_농산물_10월'!$D:$D,$C539,'RAW_농산물_10월'!$A:$A,$E539),SUMIFS('RAW_농산물_11-12월'!$H:$H,'RAW_농산물_11-12월'!$D:$D,$C539,'RAW_농산물_11-12월'!$A:$A,$E539))))</f>
        <v/>
      </c>
      <c r="I539" s="17" t="str">
        <f>IF($C539="","",IF(COUNTIFS('RAW_농산물_7월'!$D:$D,$C539,'RAW_농산물_7월'!$A:$A,$E539)&gt;0,"O",""))</f>
        <v/>
      </c>
      <c r="J539" s="17" t="str">
        <f>IF($C539="","",IF(COUNTIFS('RAW_농산물_8월'!$D:$D,$C539,'RAW_농산물_8월'!$A:$A,$E539)&gt;0,"O",""))</f>
        <v/>
      </c>
      <c r="K539" s="17" t="str">
        <f>IF($C539="","",IF(COUNTIFS('RAW_농산물_9월'!$D:$D,$C539,'RAW_농산물_9월'!$A:$A,$E539)&gt;0,"O",""))</f>
        <v/>
      </c>
      <c r="L539" s="17" t="str">
        <f>IF($C539="","",IF(COUNTIFS('RAW_농산물_10월'!$D:$D,$C539,'RAW_농산물_10월'!$A:$A,$E539)&gt;0,"O",""))</f>
        <v/>
      </c>
      <c r="M539" s="17" t="str">
        <f>IF($C539="","",IF(COUNTIFS('RAW_농산물_11-12월'!$D:$D,$C539,'RAW_농산물_11-12월'!$A:$A,$E539)&gt;0,"O",""))</f>
        <v/>
      </c>
      <c r="N539" s="7" t="str">
        <f>IF($C539="","",IF(COUNTA('RAW_농산물_7월'!$A:$A)&lt;=1,"",SUMIFS('RAW_농산물_7월'!$H:$H,'RAW_농산물_7월'!$D:$D,$C539,'RAW_농산물_7월'!$A:$A,$E539)))</f>
        <v/>
      </c>
      <c r="O539" s="7" t="str">
        <f>IF($C539="","",IF(COUNTA('RAW_농산물_8월'!$A:$A)&lt;=1,"",SUMIFS('RAW_농산물_8월'!$H:$H,'RAW_농산물_8월'!$D:$D,$C539,'RAW_농산물_8월'!$A:$A,$E539)-SUMIFS('RAW_농산물_7월'!$H:$H,'RAW_농산물_7월'!$D:$D,$C539,'RAW_농산물_7월'!$A:$A,$E539)))</f>
        <v/>
      </c>
      <c r="P539" s="7" t="str">
        <f>IF($C539="","",IF(COUNTA('RAW_농산물_9월'!$A:$A)&lt;=1,"",SUMIFS('RAW_농산물_9월'!$H:$H,'RAW_농산물_9월'!$D:$D,$C539,'RAW_농산물_9월'!$A:$A,$E539)-SUMIFS('RAW_농산물_8월'!$H:$H,'RAW_농산물_8월'!$D:$D,$C539,'RAW_농산물_8월'!$A:$A,$E539)))</f>
        <v/>
      </c>
      <c r="Q539" s="7" t="str">
        <f>IF($C539="","",IF(COUNTA('RAW_농산물_10월'!$A:$A)&lt;=1,"",SUMIFS('RAW_농산물_10월'!$H:$H,'RAW_농산물_10월'!$D:$D,$C539,'RAW_농산물_10월'!$A:$A,$E539)-SUMIFS('RAW_농산물_9월'!$H:$H,'RAW_농산물_9월'!$D:$D,$C539,'RAW_농산물_9월'!$A:$A,$E539)))</f>
        <v/>
      </c>
      <c r="R539" s="7" t="str">
        <f>IF($C539="","",IF(COUNTA('RAW_농산물_11-12월'!$A:$A)&lt;=1,"",SUMIFS('RAW_농산물_11-12월'!$H:$H,'RAW_농산물_11-12월'!$D:$D,$C539,'RAW_농산물_11-12월'!$A:$A,$E539)-SUMIFS('RAW_농산물_10월'!$H:$H,'RAW_농산물_10월'!$D:$D,$C539,'RAW_농산물_10월'!$A:$A,$E539)))</f>
        <v/>
      </c>
      <c r="S539" s="17" t="str">
        <f t="shared" si="4"/>
        <v/>
      </c>
      <c r="T539" s="17" t="str">
        <f t="shared" si="5"/>
        <v/>
      </c>
      <c r="U539" s="7">
        <f>IF($C539="",0,IF('설정'!$B$3=0,0,CHOOSE('설정'!$B$3,COUNTIFS('RAW_농산물_7월'!$D:$D,$C539,'RAW_농산물_7월'!$A:$A,$E539),COUNTIFS('RAW_농산물_8월'!$D:$D,$C539,'RAW_농산물_8월'!$A:$A,$E539),COUNTIFS('RAW_농산물_9월'!$D:$D,$C539,'RAW_농산물_9월'!$A:$A,$E539),COUNTIFS('RAW_농산물_10월'!$D:$D,$C539,'RAW_농산물_10월'!$A:$A,$E539),COUNTIFS('RAW_농산물_11-12월'!$D:$D,$C539,'RAW_농산물_11-12월'!$A:$A,$E539))))</f>
        <v>0</v>
      </c>
    </row>
    <row r="540" ht="15.75" customHeight="1">
      <c r="A540" s="5"/>
      <c r="B540" s="5"/>
      <c r="C540" s="5"/>
      <c r="D540" s="6"/>
      <c r="E540" s="5"/>
      <c r="F540" s="7" t="str">
        <f>IF($C540="","",IF('설정'!$B$3=0,"",CHOOSE('설정'!$B$3,SUMIFS('RAW_농산물_7월'!$F:$F,'RAW_농산물_7월'!$D:$D,$C540,'RAW_농산물_7월'!$A:$A,$E540),SUMIFS('RAW_농산물_8월'!$F:$F,'RAW_농산물_8월'!$D:$D,$C540,'RAW_농산물_8월'!$A:$A,$E540),SUMIFS('RAW_농산물_9월'!$F:$F,'RAW_농산물_9월'!$D:$D,$C540,'RAW_농산물_9월'!$A:$A,$E540),SUMIFS('RAW_농산물_10월'!$F:$F,'RAW_농산물_10월'!$D:$D,$C540,'RAW_농산물_10월'!$A:$A,$E540),SUMIFS('RAW_농산물_11-12월'!$F:$F,'RAW_농산물_11-12월'!$D:$D,$C540,'RAW_농산물_11-12월'!$A:$A,$E540))))</f>
        <v/>
      </c>
      <c r="G540" s="7" t="str">
        <f>IF($C540="","",IF('설정'!$B$3=0,"",CHOOSE('설정'!$B$3,SUMIFS('RAW_농산물_7월'!$G:$G,'RAW_농산물_7월'!$D:$D,$C540,'RAW_농산물_7월'!$A:$A,$E540),SUMIFS('RAW_농산물_8월'!$G:$G,'RAW_농산물_8월'!$D:$D,$C540,'RAW_농산물_8월'!$A:$A,$E540),SUMIFS('RAW_농산물_9월'!$G:$G,'RAW_농산물_9월'!$D:$D,$C540,'RAW_농산물_9월'!$A:$A,$E540),SUMIFS('RAW_농산물_10월'!$G:$G,'RAW_농산물_10월'!$D:$D,$C540,'RAW_농산물_10월'!$A:$A,$E540),SUMIFS('RAW_농산물_11-12월'!$G:$G,'RAW_농산물_11-12월'!$D:$D,$C540,'RAW_농산물_11-12월'!$A:$A,$E540))))</f>
        <v/>
      </c>
      <c r="H540" s="14" t="str">
        <f>IF($C540="","",IF('설정'!$B$3=0,"",CHOOSE('설정'!$B$3,SUMIFS('RAW_농산물_7월'!$H:$H,'RAW_농산물_7월'!$D:$D,$C540,'RAW_농산물_7월'!$A:$A,$E540),SUMIFS('RAW_농산물_8월'!$H:$H,'RAW_농산물_8월'!$D:$D,$C540,'RAW_농산물_8월'!$A:$A,$E540),SUMIFS('RAW_농산물_9월'!$H:$H,'RAW_농산물_9월'!$D:$D,$C540,'RAW_농산물_9월'!$A:$A,$E540),SUMIFS('RAW_농산물_10월'!$H:$H,'RAW_농산물_10월'!$D:$D,$C540,'RAW_농산물_10월'!$A:$A,$E540),SUMIFS('RAW_농산물_11-12월'!$H:$H,'RAW_농산물_11-12월'!$D:$D,$C540,'RAW_농산물_11-12월'!$A:$A,$E540))))</f>
        <v/>
      </c>
      <c r="I540" s="17" t="str">
        <f>IF($C540="","",IF(COUNTIFS('RAW_농산물_7월'!$D:$D,$C540,'RAW_농산물_7월'!$A:$A,$E540)&gt;0,"O",""))</f>
        <v/>
      </c>
      <c r="J540" s="17" t="str">
        <f>IF($C540="","",IF(COUNTIFS('RAW_농산물_8월'!$D:$D,$C540,'RAW_농산물_8월'!$A:$A,$E540)&gt;0,"O",""))</f>
        <v/>
      </c>
      <c r="K540" s="17" t="str">
        <f>IF($C540="","",IF(COUNTIFS('RAW_농산물_9월'!$D:$D,$C540,'RAW_농산물_9월'!$A:$A,$E540)&gt;0,"O",""))</f>
        <v/>
      </c>
      <c r="L540" s="17" t="str">
        <f>IF($C540="","",IF(COUNTIFS('RAW_농산물_10월'!$D:$D,$C540,'RAW_농산물_10월'!$A:$A,$E540)&gt;0,"O",""))</f>
        <v/>
      </c>
      <c r="M540" s="17" t="str">
        <f>IF($C540="","",IF(COUNTIFS('RAW_농산물_11-12월'!$D:$D,$C540,'RAW_농산물_11-12월'!$A:$A,$E540)&gt;0,"O",""))</f>
        <v/>
      </c>
      <c r="N540" s="7" t="str">
        <f>IF($C540="","",IF(COUNTA('RAW_농산물_7월'!$A:$A)&lt;=1,"",SUMIFS('RAW_농산물_7월'!$H:$H,'RAW_농산물_7월'!$D:$D,$C540,'RAW_농산물_7월'!$A:$A,$E540)))</f>
        <v/>
      </c>
      <c r="O540" s="7" t="str">
        <f>IF($C540="","",IF(COUNTA('RAW_농산물_8월'!$A:$A)&lt;=1,"",SUMIFS('RAW_농산물_8월'!$H:$H,'RAW_농산물_8월'!$D:$D,$C540,'RAW_농산물_8월'!$A:$A,$E540)-SUMIFS('RAW_농산물_7월'!$H:$H,'RAW_농산물_7월'!$D:$D,$C540,'RAW_농산물_7월'!$A:$A,$E540)))</f>
        <v/>
      </c>
      <c r="P540" s="7" t="str">
        <f>IF($C540="","",IF(COUNTA('RAW_농산물_9월'!$A:$A)&lt;=1,"",SUMIFS('RAW_농산물_9월'!$H:$H,'RAW_농산물_9월'!$D:$D,$C540,'RAW_농산물_9월'!$A:$A,$E540)-SUMIFS('RAW_농산물_8월'!$H:$H,'RAW_농산물_8월'!$D:$D,$C540,'RAW_농산물_8월'!$A:$A,$E540)))</f>
        <v/>
      </c>
      <c r="Q540" s="7" t="str">
        <f>IF($C540="","",IF(COUNTA('RAW_농산물_10월'!$A:$A)&lt;=1,"",SUMIFS('RAW_농산물_10월'!$H:$H,'RAW_농산물_10월'!$D:$D,$C540,'RAW_농산물_10월'!$A:$A,$E540)-SUMIFS('RAW_농산물_9월'!$H:$H,'RAW_농산물_9월'!$D:$D,$C540,'RAW_농산물_9월'!$A:$A,$E540)))</f>
        <v/>
      </c>
      <c r="R540" s="7" t="str">
        <f>IF($C540="","",IF(COUNTA('RAW_농산물_11-12월'!$A:$A)&lt;=1,"",SUMIFS('RAW_농산물_11-12월'!$H:$H,'RAW_농산물_11-12월'!$D:$D,$C540,'RAW_농산물_11-12월'!$A:$A,$E540)-SUMIFS('RAW_농산물_10월'!$H:$H,'RAW_농산물_10월'!$D:$D,$C540,'RAW_농산물_10월'!$A:$A,$E540)))</f>
        <v/>
      </c>
      <c r="S540" s="17" t="str">
        <f t="shared" si="4"/>
        <v/>
      </c>
      <c r="T540" s="17" t="str">
        <f t="shared" si="5"/>
        <v/>
      </c>
      <c r="U540" s="7">
        <f>IF($C540="",0,IF('설정'!$B$3=0,0,CHOOSE('설정'!$B$3,COUNTIFS('RAW_농산물_7월'!$D:$D,$C540,'RAW_농산물_7월'!$A:$A,$E540),COUNTIFS('RAW_농산물_8월'!$D:$D,$C540,'RAW_농산물_8월'!$A:$A,$E540),COUNTIFS('RAW_농산물_9월'!$D:$D,$C540,'RAW_농산물_9월'!$A:$A,$E540),COUNTIFS('RAW_농산물_10월'!$D:$D,$C540,'RAW_농산물_10월'!$A:$A,$E540),COUNTIFS('RAW_농산물_11-12월'!$D:$D,$C540,'RAW_농산물_11-12월'!$A:$A,$E540))))</f>
        <v>0</v>
      </c>
    </row>
    <row r="541" ht="15.75" customHeight="1">
      <c r="A541" s="5"/>
      <c r="B541" s="5"/>
      <c r="C541" s="5"/>
      <c r="D541" s="6"/>
      <c r="E541" s="5"/>
      <c r="F541" s="7" t="str">
        <f>IF($C541="","",IF('설정'!$B$3=0,"",CHOOSE('설정'!$B$3,SUMIFS('RAW_농산물_7월'!$F:$F,'RAW_농산물_7월'!$D:$D,$C541,'RAW_농산물_7월'!$A:$A,$E541),SUMIFS('RAW_농산물_8월'!$F:$F,'RAW_농산물_8월'!$D:$D,$C541,'RAW_농산물_8월'!$A:$A,$E541),SUMIFS('RAW_농산물_9월'!$F:$F,'RAW_농산물_9월'!$D:$D,$C541,'RAW_농산물_9월'!$A:$A,$E541),SUMIFS('RAW_농산물_10월'!$F:$F,'RAW_농산물_10월'!$D:$D,$C541,'RAW_농산물_10월'!$A:$A,$E541),SUMIFS('RAW_농산물_11-12월'!$F:$F,'RAW_농산물_11-12월'!$D:$D,$C541,'RAW_농산물_11-12월'!$A:$A,$E541))))</f>
        <v/>
      </c>
      <c r="G541" s="7" t="str">
        <f>IF($C541="","",IF('설정'!$B$3=0,"",CHOOSE('설정'!$B$3,SUMIFS('RAW_농산물_7월'!$G:$G,'RAW_농산물_7월'!$D:$D,$C541,'RAW_농산물_7월'!$A:$A,$E541),SUMIFS('RAW_농산물_8월'!$G:$G,'RAW_농산물_8월'!$D:$D,$C541,'RAW_농산물_8월'!$A:$A,$E541),SUMIFS('RAW_농산물_9월'!$G:$G,'RAW_농산물_9월'!$D:$D,$C541,'RAW_농산물_9월'!$A:$A,$E541),SUMIFS('RAW_농산물_10월'!$G:$G,'RAW_농산물_10월'!$D:$D,$C541,'RAW_농산물_10월'!$A:$A,$E541),SUMIFS('RAW_농산물_11-12월'!$G:$G,'RAW_농산물_11-12월'!$D:$D,$C541,'RAW_농산물_11-12월'!$A:$A,$E541))))</f>
        <v/>
      </c>
      <c r="H541" s="14" t="str">
        <f>IF($C541="","",IF('설정'!$B$3=0,"",CHOOSE('설정'!$B$3,SUMIFS('RAW_농산물_7월'!$H:$H,'RAW_농산물_7월'!$D:$D,$C541,'RAW_농산물_7월'!$A:$A,$E541),SUMIFS('RAW_농산물_8월'!$H:$H,'RAW_농산물_8월'!$D:$D,$C541,'RAW_농산물_8월'!$A:$A,$E541),SUMIFS('RAW_농산물_9월'!$H:$H,'RAW_농산물_9월'!$D:$D,$C541,'RAW_농산물_9월'!$A:$A,$E541),SUMIFS('RAW_농산물_10월'!$H:$H,'RAW_농산물_10월'!$D:$D,$C541,'RAW_농산물_10월'!$A:$A,$E541),SUMIFS('RAW_농산물_11-12월'!$H:$H,'RAW_농산물_11-12월'!$D:$D,$C541,'RAW_농산물_11-12월'!$A:$A,$E541))))</f>
        <v/>
      </c>
      <c r="I541" s="17" t="str">
        <f>IF($C541="","",IF(COUNTIFS('RAW_농산물_7월'!$D:$D,$C541,'RAW_농산물_7월'!$A:$A,$E541)&gt;0,"O",""))</f>
        <v/>
      </c>
      <c r="J541" s="17" t="str">
        <f>IF($C541="","",IF(COUNTIFS('RAW_농산물_8월'!$D:$D,$C541,'RAW_농산물_8월'!$A:$A,$E541)&gt;0,"O",""))</f>
        <v/>
      </c>
      <c r="K541" s="17" t="str">
        <f>IF($C541="","",IF(COUNTIFS('RAW_농산물_9월'!$D:$D,$C541,'RAW_농산물_9월'!$A:$A,$E541)&gt;0,"O",""))</f>
        <v/>
      </c>
      <c r="L541" s="17" t="str">
        <f>IF($C541="","",IF(COUNTIFS('RAW_농산물_10월'!$D:$D,$C541,'RAW_농산물_10월'!$A:$A,$E541)&gt;0,"O",""))</f>
        <v/>
      </c>
      <c r="M541" s="17" t="str">
        <f>IF($C541="","",IF(COUNTIFS('RAW_농산물_11-12월'!$D:$D,$C541,'RAW_농산물_11-12월'!$A:$A,$E541)&gt;0,"O",""))</f>
        <v/>
      </c>
      <c r="N541" s="7" t="str">
        <f>IF($C541="","",IF(COUNTA('RAW_농산물_7월'!$A:$A)&lt;=1,"",SUMIFS('RAW_농산물_7월'!$H:$H,'RAW_농산물_7월'!$D:$D,$C541,'RAW_농산물_7월'!$A:$A,$E541)))</f>
        <v/>
      </c>
      <c r="O541" s="7" t="str">
        <f>IF($C541="","",IF(COUNTA('RAW_농산물_8월'!$A:$A)&lt;=1,"",SUMIFS('RAW_농산물_8월'!$H:$H,'RAW_농산물_8월'!$D:$D,$C541,'RAW_농산물_8월'!$A:$A,$E541)-SUMIFS('RAW_농산물_7월'!$H:$H,'RAW_농산물_7월'!$D:$D,$C541,'RAW_농산물_7월'!$A:$A,$E541)))</f>
        <v/>
      </c>
      <c r="P541" s="7" t="str">
        <f>IF($C541="","",IF(COUNTA('RAW_농산물_9월'!$A:$A)&lt;=1,"",SUMIFS('RAW_농산물_9월'!$H:$H,'RAW_농산물_9월'!$D:$D,$C541,'RAW_농산물_9월'!$A:$A,$E541)-SUMIFS('RAW_농산물_8월'!$H:$H,'RAW_농산물_8월'!$D:$D,$C541,'RAW_농산물_8월'!$A:$A,$E541)))</f>
        <v/>
      </c>
      <c r="Q541" s="7" t="str">
        <f>IF($C541="","",IF(COUNTA('RAW_농산물_10월'!$A:$A)&lt;=1,"",SUMIFS('RAW_농산물_10월'!$H:$H,'RAW_농산물_10월'!$D:$D,$C541,'RAW_농산물_10월'!$A:$A,$E541)-SUMIFS('RAW_농산물_9월'!$H:$H,'RAW_농산물_9월'!$D:$D,$C541,'RAW_농산물_9월'!$A:$A,$E541)))</f>
        <v/>
      </c>
      <c r="R541" s="7" t="str">
        <f>IF($C541="","",IF(COUNTA('RAW_농산물_11-12월'!$A:$A)&lt;=1,"",SUMIFS('RAW_농산물_11-12월'!$H:$H,'RAW_농산물_11-12월'!$D:$D,$C541,'RAW_농산물_11-12월'!$A:$A,$E541)-SUMIFS('RAW_농산물_10월'!$H:$H,'RAW_농산물_10월'!$D:$D,$C541,'RAW_농산물_10월'!$A:$A,$E541)))</f>
        <v/>
      </c>
      <c r="S541" s="17" t="str">
        <f t="shared" si="4"/>
        <v/>
      </c>
      <c r="T541" s="17" t="str">
        <f t="shared" si="5"/>
        <v/>
      </c>
      <c r="U541" s="7">
        <f>IF($C541="",0,IF('설정'!$B$3=0,0,CHOOSE('설정'!$B$3,COUNTIFS('RAW_농산물_7월'!$D:$D,$C541,'RAW_농산물_7월'!$A:$A,$E541),COUNTIFS('RAW_농산물_8월'!$D:$D,$C541,'RAW_농산물_8월'!$A:$A,$E541),COUNTIFS('RAW_농산물_9월'!$D:$D,$C541,'RAW_농산물_9월'!$A:$A,$E541),COUNTIFS('RAW_농산물_10월'!$D:$D,$C541,'RAW_농산물_10월'!$A:$A,$E541),COUNTIFS('RAW_농산물_11-12월'!$D:$D,$C541,'RAW_농산물_11-12월'!$A:$A,$E541))))</f>
        <v>0</v>
      </c>
    </row>
    <row r="542" ht="15.75" customHeight="1">
      <c r="A542" s="5"/>
      <c r="B542" s="5"/>
      <c r="C542" s="5"/>
      <c r="D542" s="6"/>
      <c r="E542" s="5"/>
      <c r="F542" s="7" t="str">
        <f>IF($C542="","",IF('설정'!$B$3=0,"",CHOOSE('설정'!$B$3,SUMIFS('RAW_농산물_7월'!$F:$F,'RAW_농산물_7월'!$D:$D,$C542,'RAW_농산물_7월'!$A:$A,$E542),SUMIFS('RAW_농산물_8월'!$F:$F,'RAW_농산물_8월'!$D:$D,$C542,'RAW_농산물_8월'!$A:$A,$E542),SUMIFS('RAW_농산물_9월'!$F:$F,'RAW_농산물_9월'!$D:$D,$C542,'RAW_농산물_9월'!$A:$A,$E542),SUMIFS('RAW_농산물_10월'!$F:$F,'RAW_농산물_10월'!$D:$D,$C542,'RAW_농산물_10월'!$A:$A,$E542),SUMIFS('RAW_농산물_11-12월'!$F:$F,'RAW_농산물_11-12월'!$D:$D,$C542,'RAW_농산물_11-12월'!$A:$A,$E542))))</f>
        <v/>
      </c>
      <c r="G542" s="7" t="str">
        <f>IF($C542="","",IF('설정'!$B$3=0,"",CHOOSE('설정'!$B$3,SUMIFS('RAW_농산물_7월'!$G:$G,'RAW_농산물_7월'!$D:$D,$C542,'RAW_농산물_7월'!$A:$A,$E542),SUMIFS('RAW_농산물_8월'!$G:$G,'RAW_농산물_8월'!$D:$D,$C542,'RAW_농산물_8월'!$A:$A,$E542),SUMIFS('RAW_농산물_9월'!$G:$G,'RAW_농산물_9월'!$D:$D,$C542,'RAW_농산물_9월'!$A:$A,$E542),SUMIFS('RAW_농산물_10월'!$G:$G,'RAW_농산물_10월'!$D:$D,$C542,'RAW_농산물_10월'!$A:$A,$E542),SUMIFS('RAW_농산물_11-12월'!$G:$G,'RAW_농산물_11-12월'!$D:$D,$C542,'RAW_농산물_11-12월'!$A:$A,$E542))))</f>
        <v/>
      </c>
      <c r="H542" s="14" t="str">
        <f>IF($C542="","",IF('설정'!$B$3=0,"",CHOOSE('설정'!$B$3,SUMIFS('RAW_농산물_7월'!$H:$H,'RAW_농산물_7월'!$D:$D,$C542,'RAW_농산물_7월'!$A:$A,$E542),SUMIFS('RAW_농산물_8월'!$H:$H,'RAW_농산물_8월'!$D:$D,$C542,'RAW_농산물_8월'!$A:$A,$E542),SUMIFS('RAW_농산물_9월'!$H:$H,'RAW_농산물_9월'!$D:$D,$C542,'RAW_농산물_9월'!$A:$A,$E542),SUMIFS('RAW_농산물_10월'!$H:$H,'RAW_농산물_10월'!$D:$D,$C542,'RAW_농산물_10월'!$A:$A,$E542),SUMIFS('RAW_농산물_11-12월'!$H:$H,'RAW_농산물_11-12월'!$D:$D,$C542,'RAW_농산물_11-12월'!$A:$A,$E542))))</f>
        <v/>
      </c>
      <c r="I542" s="17" t="str">
        <f>IF($C542="","",IF(COUNTIFS('RAW_농산물_7월'!$D:$D,$C542,'RAW_농산물_7월'!$A:$A,$E542)&gt;0,"O",""))</f>
        <v/>
      </c>
      <c r="J542" s="17" t="str">
        <f>IF($C542="","",IF(COUNTIFS('RAW_농산물_8월'!$D:$D,$C542,'RAW_농산물_8월'!$A:$A,$E542)&gt;0,"O",""))</f>
        <v/>
      </c>
      <c r="K542" s="17" t="str">
        <f>IF($C542="","",IF(COUNTIFS('RAW_농산물_9월'!$D:$D,$C542,'RAW_농산물_9월'!$A:$A,$E542)&gt;0,"O",""))</f>
        <v/>
      </c>
      <c r="L542" s="17" t="str">
        <f>IF($C542="","",IF(COUNTIFS('RAW_농산물_10월'!$D:$D,$C542,'RAW_농산물_10월'!$A:$A,$E542)&gt;0,"O",""))</f>
        <v/>
      </c>
      <c r="M542" s="17" t="str">
        <f>IF($C542="","",IF(COUNTIFS('RAW_농산물_11-12월'!$D:$D,$C542,'RAW_농산물_11-12월'!$A:$A,$E542)&gt;0,"O",""))</f>
        <v/>
      </c>
      <c r="N542" s="7" t="str">
        <f>IF($C542="","",IF(COUNTA('RAW_농산물_7월'!$A:$A)&lt;=1,"",SUMIFS('RAW_농산물_7월'!$H:$H,'RAW_농산물_7월'!$D:$D,$C542,'RAW_농산물_7월'!$A:$A,$E542)))</f>
        <v/>
      </c>
      <c r="O542" s="7" t="str">
        <f>IF($C542="","",IF(COUNTA('RAW_농산물_8월'!$A:$A)&lt;=1,"",SUMIFS('RAW_농산물_8월'!$H:$H,'RAW_농산물_8월'!$D:$D,$C542,'RAW_농산물_8월'!$A:$A,$E542)-SUMIFS('RAW_농산물_7월'!$H:$H,'RAW_농산물_7월'!$D:$D,$C542,'RAW_농산물_7월'!$A:$A,$E542)))</f>
        <v/>
      </c>
      <c r="P542" s="7" t="str">
        <f>IF($C542="","",IF(COUNTA('RAW_농산물_9월'!$A:$A)&lt;=1,"",SUMIFS('RAW_농산물_9월'!$H:$H,'RAW_농산물_9월'!$D:$D,$C542,'RAW_농산물_9월'!$A:$A,$E542)-SUMIFS('RAW_농산물_8월'!$H:$H,'RAW_농산물_8월'!$D:$D,$C542,'RAW_농산물_8월'!$A:$A,$E542)))</f>
        <v/>
      </c>
      <c r="Q542" s="7" t="str">
        <f>IF($C542="","",IF(COUNTA('RAW_농산물_10월'!$A:$A)&lt;=1,"",SUMIFS('RAW_농산물_10월'!$H:$H,'RAW_농산물_10월'!$D:$D,$C542,'RAW_농산물_10월'!$A:$A,$E542)-SUMIFS('RAW_농산물_9월'!$H:$H,'RAW_농산물_9월'!$D:$D,$C542,'RAW_농산물_9월'!$A:$A,$E542)))</f>
        <v/>
      </c>
      <c r="R542" s="7" t="str">
        <f>IF($C542="","",IF(COUNTA('RAW_농산물_11-12월'!$A:$A)&lt;=1,"",SUMIFS('RAW_농산물_11-12월'!$H:$H,'RAW_농산물_11-12월'!$D:$D,$C542,'RAW_농산물_11-12월'!$A:$A,$E542)-SUMIFS('RAW_농산물_10월'!$H:$H,'RAW_농산물_10월'!$D:$D,$C542,'RAW_농산물_10월'!$A:$A,$E542)))</f>
        <v/>
      </c>
      <c r="S542" s="17" t="str">
        <f t="shared" si="4"/>
        <v/>
      </c>
      <c r="T542" s="17" t="str">
        <f t="shared" si="5"/>
        <v/>
      </c>
      <c r="U542" s="7">
        <f>IF($C542="",0,IF('설정'!$B$3=0,0,CHOOSE('설정'!$B$3,COUNTIFS('RAW_농산물_7월'!$D:$D,$C542,'RAW_농산물_7월'!$A:$A,$E542),COUNTIFS('RAW_농산물_8월'!$D:$D,$C542,'RAW_농산물_8월'!$A:$A,$E542),COUNTIFS('RAW_농산물_9월'!$D:$D,$C542,'RAW_농산물_9월'!$A:$A,$E542),COUNTIFS('RAW_농산물_10월'!$D:$D,$C542,'RAW_농산물_10월'!$A:$A,$E542),COUNTIFS('RAW_농산물_11-12월'!$D:$D,$C542,'RAW_농산물_11-12월'!$A:$A,$E542))))</f>
        <v>0</v>
      </c>
    </row>
    <row r="543" ht="15.75" customHeight="1">
      <c r="A543" s="5"/>
      <c r="B543" s="5"/>
      <c r="C543" s="5"/>
      <c r="D543" s="6"/>
      <c r="E543" s="5"/>
      <c r="F543" s="7" t="str">
        <f>IF($C543="","",IF('설정'!$B$3=0,"",CHOOSE('설정'!$B$3,SUMIFS('RAW_농산물_7월'!$F:$F,'RAW_농산물_7월'!$D:$D,$C543,'RAW_농산물_7월'!$A:$A,$E543),SUMIFS('RAW_농산물_8월'!$F:$F,'RAW_농산물_8월'!$D:$D,$C543,'RAW_농산물_8월'!$A:$A,$E543),SUMIFS('RAW_농산물_9월'!$F:$F,'RAW_농산물_9월'!$D:$D,$C543,'RAW_농산물_9월'!$A:$A,$E543),SUMIFS('RAW_농산물_10월'!$F:$F,'RAW_농산물_10월'!$D:$D,$C543,'RAW_농산물_10월'!$A:$A,$E543),SUMIFS('RAW_농산물_11-12월'!$F:$F,'RAW_농산물_11-12월'!$D:$D,$C543,'RAW_농산물_11-12월'!$A:$A,$E543))))</f>
        <v/>
      </c>
      <c r="G543" s="7" t="str">
        <f>IF($C543="","",IF('설정'!$B$3=0,"",CHOOSE('설정'!$B$3,SUMIFS('RAW_농산물_7월'!$G:$G,'RAW_농산물_7월'!$D:$D,$C543,'RAW_농산물_7월'!$A:$A,$E543),SUMIFS('RAW_농산물_8월'!$G:$G,'RAW_농산물_8월'!$D:$D,$C543,'RAW_농산물_8월'!$A:$A,$E543),SUMIFS('RAW_농산물_9월'!$G:$G,'RAW_농산물_9월'!$D:$D,$C543,'RAW_농산물_9월'!$A:$A,$E543),SUMIFS('RAW_농산물_10월'!$G:$G,'RAW_농산물_10월'!$D:$D,$C543,'RAW_농산물_10월'!$A:$A,$E543),SUMIFS('RAW_농산물_11-12월'!$G:$G,'RAW_농산물_11-12월'!$D:$D,$C543,'RAW_농산물_11-12월'!$A:$A,$E543))))</f>
        <v/>
      </c>
      <c r="H543" s="14" t="str">
        <f>IF($C543="","",IF('설정'!$B$3=0,"",CHOOSE('설정'!$B$3,SUMIFS('RAW_농산물_7월'!$H:$H,'RAW_농산물_7월'!$D:$D,$C543,'RAW_농산물_7월'!$A:$A,$E543),SUMIFS('RAW_농산물_8월'!$H:$H,'RAW_농산물_8월'!$D:$D,$C543,'RAW_농산물_8월'!$A:$A,$E543),SUMIFS('RAW_농산물_9월'!$H:$H,'RAW_농산물_9월'!$D:$D,$C543,'RAW_농산물_9월'!$A:$A,$E543),SUMIFS('RAW_농산물_10월'!$H:$H,'RAW_농산물_10월'!$D:$D,$C543,'RAW_농산물_10월'!$A:$A,$E543),SUMIFS('RAW_농산물_11-12월'!$H:$H,'RAW_농산물_11-12월'!$D:$D,$C543,'RAW_농산물_11-12월'!$A:$A,$E543))))</f>
        <v/>
      </c>
      <c r="I543" s="17" t="str">
        <f>IF($C543="","",IF(COUNTIFS('RAW_농산물_7월'!$D:$D,$C543,'RAW_농산물_7월'!$A:$A,$E543)&gt;0,"O",""))</f>
        <v/>
      </c>
      <c r="J543" s="17" t="str">
        <f>IF($C543="","",IF(COUNTIFS('RAW_농산물_8월'!$D:$D,$C543,'RAW_농산물_8월'!$A:$A,$E543)&gt;0,"O",""))</f>
        <v/>
      </c>
      <c r="K543" s="17" t="str">
        <f>IF($C543="","",IF(COUNTIFS('RAW_농산물_9월'!$D:$D,$C543,'RAW_농산물_9월'!$A:$A,$E543)&gt;0,"O",""))</f>
        <v/>
      </c>
      <c r="L543" s="17" t="str">
        <f>IF($C543="","",IF(COUNTIFS('RAW_농산물_10월'!$D:$D,$C543,'RAW_농산물_10월'!$A:$A,$E543)&gt;0,"O",""))</f>
        <v/>
      </c>
      <c r="M543" s="17" t="str">
        <f>IF($C543="","",IF(COUNTIFS('RAW_농산물_11-12월'!$D:$D,$C543,'RAW_농산물_11-12월'!$A:$A,$E543)&gt;0,"O",""))</f>
        <v/>
      </c>
      <c r="N543" s="7" t="str">
        <f>IF($C543="","",IF(COUNTA('RAW_농산물_7월'!$A:$A)&lt;=1,"",SUMIFS('RAW_농산물_7월'!$H:$H,'RAW_농산물_7월'!$D:$D,$C543,'RAW_농산물_7월'!$A:$A,$E543)))</f>
        <v/>
      </c>
      <c r="O543" s="7" t="str">
        <f>IF($C543="","",IF(COUNTA('RAW_농산물_8월'!$A:$A)&lt;=1,"",SUMIFS('RAW_농산물_8월'!$H:$H,'RAW_농산물_8월'!$D:$D,$C543,'RAW_농산물_8월'!$A:$A,$E543)-SUMIFS('RAW_농산물_7월'!$H:$H,'RAW_농산물_7월'!$D:$D,$C543,'RAW_농산물_7월'!$A:$A,$E543)))</f>
        <v/>
      </c>
      <c r="P543" s="7" t="str">
        <f>IF($C543="","",IF(COUNTA('RAW_농산물_9월'!$A:$A)&lt;=1,"",SUMIFS('RAW_농산물_9월'!$H:$H,'RAW_농산물_9월'!$D:$D,$C543,'RAW_농산물_9월'!$A:$A,$E543)-SUMIFS('RAW_농산물_8월'!$H:$H,'RAW_농산물_8월'!$D:$D,$C543,'RAW_농산물_8월'!$A:$A,$E543)))</f>
        <v/>
      </c>
      <c r="Q543" s="7" t="str">
        <f>IF($C543="","",IF(COUNTA('RAW_농산물_10월'!$A:$A)&lt;=1,"",SUMIFS('RAW_농산물_10월'!$H:$H,'RAW_농산물_10월'!$D:$D,$C543,'RAW_농산물_10월'!$A:$A,$E543)-SUMIFS('RAW_농산물_9월'!$H:$H,'RAW_농산물_9월'!$D:$D,$C543,'RAW_농산물_9월'!$A:$A,$E543)))</f>
        <v/>
      </c>
      <c r="R543" s="7" t="str">
        <f>IF($C543="","",IF(COUNTA('RAW_농산물_11-12월'!$A:$A)&lt;=1,"",SUMIFS('RAW_농산물_11-12월'!$H:$H,'RAW_농산물_11-12월'!$D:$D,$C543,'RAW_농산물_11-12월'!$A:$A,$E543)-SUMIFS('RAW_농산물_10월'!$H:$H,'RAW_농산물_10월'!$D:$D,$C543,'RAW_농산물_10월'!$A:$A,$E543)))</f>
        <v/>
      </c>
      <c r="S543" s="17" t="str">
        <f t="shared" si="4"/>
        <v/>
      </c>
      <c r="T543" s="17" t="str">
        <f t="shared" si="5"/>
        <v/>
      </c>
      <c r="U543" s="7">
        <f>IF($C543="",0,IF('설정'!$B$3=0,0,CHOOSE('설정'!$B$3,COUNTIFS('RAW_농산물_7월'!$D:$D,$C543,'RAW_농산물_7월'!$A:$A,$E543),COUNTIFS('RAW_농산물_8월'!$D:$D,$C543,'RAW_농산물_8월'!$A:$A,$E543),COUNTIFS('RAW_농산물_9월'!$D:$D,$C543,'RAW_농산물_9월'!$A:$A,$E543),COUNTIFS('RAW_농산물_10월'!$D:$D,$C543,'RAW_농산물_10월'!$A:$A,$E543),COUNTIFS('RAW_농산물_11-12월'!$D:$D,$C543,'RAW_농산물_11-12월'!$A:$A,$E543))))</f>
        <v>0</v>
      </c>
    </row>
    <row r="544" ht="15.75" customHeight="1">
      <c r="A544" s="5"/>
      <c r="B544" s="5"/>
      <c r="C544" s="5"/>
      <c r="D544" s="6"/>
      <c r="E544" s="5"/>
      <c r="F544" s="7" t="str">
        <f>IF($C544="","",IF('설정'!$B$3=0,"",CHOOSE('설정'!$B$3,SUMIFS('RAW_농산물_7월'!$F:$F,'RAW_농산물_7월'!$D:$D,$C544,'RAW_농산물_7월'!$A:$A,$E544),SUMIFS('RAW_농산물_8월'!$F:$F,'RAW_농산물_8월'!$D:$D,$C544,'RAW_농산물_8월'!$A:$A,$E544),SUMIFS('RAW_농산물_9월'!$F:$F,'RAW_농산물_9월'!$D:$D,$C544,'RAW_농산물_9월'!$A:$A,$E544),SUMIFS('RAW_농산물_10월'!$F:$F,'RAW_농산물_10월'!$D:$D,$C544,'RAW_농산물_10월'!$A:$A,$E544),SUMIFS('RAW_농산물_11-12월'!$F:$F,'RAW_농산물_11-12월'!$D:$D,$C544,'RAW_농산물_11-12월'!$A:$A,$E544))))</f>
        <v/>
      </c>
      <c r="G544" s="7" t="str">
        <f>IF($C544="","",IF('설정'!$B$3=0,"",CHOOSE('설정'!$B$3,SUMIFS('RAW_농산물_7월'!$G:$G,'RAW_농산물_7월'!$D:$D,$C544,'RAW_농산물_7월'!$A:$A,$E544),SUMIFS('RAW_농산물_8월'!$G:$G,'RAW_농산물_8월'!$D:$D,$C544,'RAW_농산물_8월'!$A:$A,$E544),SUMIFS('RAW_농산물_9월'!$G:$G,'RAW_농산물_9월'!$D:$D,$C544,'RAW_농산물_9월'!$A:$A,$E544),SUMIFS('RAW_농산물_10월'!$G:$G,'RAW_농산물_10월'!$D:$D,$C544,'RAW_농산물_10월'!$A:$A,$E544),SUMIFS('RAW_농산물_11-12월'!$G:$G,'RAW_농산물_11-12월'!$D:$D,$C544,'RAW_농산물_11-12월'!$A:$A,$E544))))</f>
        <v/>
      </c>
      <c r="H544" s="14" t="str">
        <f>IF($C544="","",IF('설정'!$B$3=0,"",CHOOSE('설정'!$B$3,SUMIFS('RAW_농산물_7월'!$H:$H,'RAW_농산물_7월'!$D:$D,$C544,'RAW_농산물_7월'!$A:$A,$E544),SUMIFS('RAW_농산물_8월'!$H:$H,'RAW_농산물_8월'!$D:$D,$C544,'RAW_농산물_8월'!$A:$A,$E544),SUMIFS('RAW_농산물_9월'!$H:$H,'RAW_농산물_9월'!$D:$D,$C544,'RAW_농산물_9월'!$A:$A,$E544),SUMIFS('RAW_농산물_10월'!$H:$H,'RAW_농산물_10월'!$D:$D,$C544,'RAW_농산물_10월'!$A:$A,$E544),SUMIFS('RAW_농산물_11-12월'!$H:$H,'RAW_농산물_11-12월'!$D:$D,$C544,'RAW_농산물_11-12월'!$A:$A,$E544))))</f>
        <v/>
      </c>
      <c r="I544" s="17" t="str">
        <f>IF($C544="","",IF(COUNTIFS('RAW_농산물_7월'!$D:$D,$C544,'RAW_농산물_7월'!$A:$A,$E544)&gt;0,"O",""))</f>
        <v/>
      </c>
      <c r="J544" s="17" t="str">
        <f>IF($C544="","",IF(COUNTIFS('RAW_농산물_8월'!$D:$D,$C544,'RAW_농산물_8월'!$A:$A,$E544)&gt;0,"O",""))</f>
        <v/>
      </c>
      <c r="K544" s="17" t="str">
        <f>IF($C544="","",IF(COUNTIFS('RAW_농산물_9월'!$D:$D,$C544,'RAW_농산물_9월'!$A:$A,$E544)&gt;0,"O",""))</f>
        <v/>
      </c>
      <c r="L544" s="17" t="str">
        <f>IF($C544="","",IF(COUNTIFS('RAW_농산물_10월'!$D:$D,$C544,'RAW_농산물_10월'!$A:$A,$E544)&gt;0,"O",""))</f>
        <v/>
      </c>
      <c r="M544" s="17" t="str">
        <f>IF($C544="","",IF(COUNTIFS('RAW_농산물_11-12월'!$D:$D,$C544,'RAW_농산물_11-12월'!$A:$A,$E544)&gt;0,"O",""))</f>
        <v/>
      </c>
      <c r="N544" s="7" t="str">
        <f>IF($C544="","",IF(COUNTA('RAW_농산물_7월'!$A:$A)&lt;=1,"",SUMIFS('RAW_농산물_7월'!$H:$H,'RAW_농산물_7월'!$D:$D,$C544,'RAW_농산물_7월'!$A:$A,$E544)))</f>
        <v/>
      </c>
      <c r="O544" s="7" t="str">
        <f>IF($C544="","",IF(COUNTA('RAW_농산물_8월'!$A:$A)&lt;=1,"",SUMIFS('RAW_농산물_8월'!$H:$H,'RAW_농산물_8월'!$D:$D,$C544,'RAW_농산물_8월'!$A:$A,$E544)-SUMIFS('RAW_농산물_7월'!$H:$H,'RAW_농산물_7월'!$D:$D,$C544,'RAW_농산물_7월'!$A:$A,$E544)))</f>
        <v/>
      </c>
      <c r="P544" s="7" t="str">
        <f>IF($C544="","",IF(COUNTA('RAW_농산물_9월'!$A:$A)&lt;=1,"",SUMIFS('RAW_농산물_9월'!$H:$H,'RAW_농산물_9월'!$D:$D,$C544,'RAW_농산물_9월'!$A:$A,$E544)-SUMIFS('RAW_농산물_8월'!$H:$H,'RAW_농산물_8월'!$D:$D,$C544,'RAW_농산물_8월'!$A:$A,$E544)))</f>
        <v/>
      </c>
      <c r="Q544" s="7" t="str">
        <f>IF($C544="","",IF(COUNTA('RAW_농산물_10월'!$A:$A)&lt;=1,"",SUMIFS('RAW_농산물_10월'!$H:$H,'RAW_농산물_10월'!$D:$D,$C544,'RAW_농산물_10월'!$A:$A,$E544)-SUMIFS('RAW_농산물_9월'!$H:$H,'RAW_농산물_9월'!$D:$D,$C544,'RAW_농산물_9월'!$A:$A,$E544)))</f>
        <v/>
      </c>
      <c r="R544" s="7" t="str">
        <f>IF($C544="","",IF(COUNTA('RAW_농산물_11-12월'!$A:$A)&lt;=1,"",SUMIFS('RAW_농산물_11-12월'!$H:$H,'RAW_농산물_11-12월'!$D:$D,$C544,'RAW_농산물_11-12월'!$A:$A,$E544)-SUMIFS('RAW_농산물_10월'!$H:$H,'RAW_농산물_10월'!$D:$D,$C544,'RAW_농산물_10월'!$A:$A,$E544)))</f>
        <v/>
      </c>
      <c r="S544" s="17" t="str">
        <f t="shared" si="4"/>
        <v/>
      </c>
      <c r="T544" s="17" t="str">
        <f t="shared" si="5"/>
        <v/>
      </c>
      <c r="U544" s="7">
        <f>IF($C544="",0,IF('설정'!$B$3=0,0,CHOOSE('설정'!$B$3,COUNTIFS('RAW_농산물_7월'!$D:$D,$C544,'RAW_농산물_7월'!$A:$A,$E544),COUNTIFS('RAW_농산물_8월'!$D:$D,$C544,'RAW_농산물_8월'!$A:$A,$E544),COUNTIFS('RAW_농산물_9월'!$D:$D,$C544,'RAW_농산물_9월'!$A:$A,$E544),COUNTIFS('RAW_농산물_10월'!$D:$D,$C544,'RAW_농산물_10월'!$A:$A,$E544),COUNTIFS('RAW_농산물_11-12월'!$D:$D,$C544,'RAW_농산물_11-12월'!$A:$A,$E544))))</f>
        <v>0</v>
      </c>
    </row>
    <row r="545" ht="15.75" customHeight="1">
      <c r="A545" s="5"/>
      <c r="B545" s="5"/>
      <c r="C545" s="5"/>
      <c r="D545" s="6"/>
      <c r="E545" s="5"/>
      <c r="F545" s="7" t="str">
        <f>IF($C545="","",IF('설정'!$B$3=0,"",CHOOSE('설정'!$B$3,SUMIFS('RAW_농산물_7월'!$F:$F,'RAW_농산물_7월'!$D:$D,$C545,'RAW_농산물_7월'!$A:$A,$E545),SUMIFS('RAW_농산물_8월'!$F:$F,'RAW_농산물_8월'!$D:$D,$C545,'RAW_농산물_8월'!$A:$A,$E545),SUMIFS('RAW_농산물_9월'!$F:$F,'RAW_농산물_9월'!$D:$D,$C545,'RAW_농산물_9월'!$A:$A,$E545),SUMIFS('RAW_농산물_10월'!$F:$F,'RAW_농산물_10월'!$D:$D,$C545,'RAW_농산물_10월'!$A:$A,$E545),SUMIFS('RAW_농산물_11-12월'!$F:$F,'RAW_농산물_11-12월'!$D:$D,$C545,'RAW_농산물_11-12월'!$A:$A,$E545))))</f>
        <v/>
      </c>
      <c r="G545" s="7" t="str">
        <f>IF($C545="","",IF('설정'!$B$3=0,"",CHOOSE('설정'!$B$3,SUMIFS('RAW_농산물_7월'!$G:$G,'RAW_농산물_7월'!$D:$D,$C545,'RAW_농산물_7월'!$A:$A,$E545),SUMIFS('RAW_농산물_8월'!$G:$G,'RAW_농산물_8월'!$D:$D,$C545,'RAW_농산물_8월'!$A:$A,$E545),SUMIFS('RAW_농산물_9월'!$G:$G,'RAW_농산물_9월'!$D:$D,$C545,'RAW_농산물_9월'!$A:$A,$E545),SUMIFS('RAW_농산물_10월'!$G:$G,'RAW_농산물_10월'!$D:$D,$C545,'RAW_농산물_10월'!$A:$A,$E545),SUMIFS('RAW_농산물_11-12월'!$G:$G,'RAW_농산물_11-12월'!$D:$D,$C545,'RAW_농산물_11-12월'!$A:$A,$E545))))</f>
        <v/>
      </c>
      <c r="H545" s="14" t="str">
        <f>IF($C545="","",IF('설정'!$B$3=0,"",CHOOSE('설정'!$B$3,SUMIFS('RAW_농산물_7월'!$H:$H,'RAW_농산물_7월'!$D:$D,$C545,'RAW_농산물_7월'!$A:$A,$E545),SUMIFS('RAW_농산물_8월'!$H:$H,'RAW_농산물_8월'!$D:$D,$C545,'RAW_농산물_8월'!$A:$A,$E545),SUMIFS('RAW_농산물_9월'!$H:$H,'RAW_농산물_9월'!$D:$D,$C545,'RAW_농산물_9월'!$A:$A,$E545),SUMIFS('RAW_농산물_10월'!$H:$H,'RAW_농산물_10월'!$D:$D,$C545,'RAW_농산물_10월'!$A:$A,$E545),SUMIFS('RAW_농산물_11-12월'!$H:$H,'RAW_농산물_11-12월'!$D:$D,$C545,'RAW_농산물_11-12월'!$A:$A,$E545))))</f>
        <v/>
      </c>
      <c r="I545" s="17" t="str">
        <f>IF($C545="","",IF(COUNTIFS('RAW_농산물_7월'!$D:$D,$C545,'RAW_농산물_7월'!$A:$A,$E545)&gt;0,"O",""))</f>
        <v/>
      </c>
      <c r="J545" s="17" t="str">
        <f>IF($C545="","",IF(COUNTIFS('RAW_농산물_8월'!$D:$D,$C545,'RAW_농산물_8월'!$A:$A,$E545)&gt;0,"O",""))</f>
        <v/>
      </c>
      <c r="K545" s="17" t="str">
        <f>IF($C545="","",IF(COUNTIFS('RAW_농산물_9월'!$D:$D,$C545,'RAW_농산물_9월'!$A:$A,$E545)&gt;0,"O",""))</f>
        <v/>
      </c>
      <c r="L545" s="17" t="str">
        <f>IF($C545="","",IF(COUNTIFS('RAW_농산물_10월'!$D:$D,$C545,'RAW_농산물_10월'!$A:$A,$E545)&gt;0,"O",""))</f>
        <v/>
      </c>
      <c r="M545" s="17" t="str">
        <f>IF($C545="","",IF(COUNTIFS('RAW_농산물_11-12월'!$D:$D,$C545,'RAW_농산물_11-12월'!$A:$A,$E545)&gt;0,"O",""))</f>
        <v/>
      </c>
      <c r="N545" s="7" t="str">
        <f>IF($C545="","",IF(COUNTA('RAW_농산물_7월'!$A:$A)&lt;=1,"",SUMIFS('RAW_농산물_7월'!$H:$H,'RAW_농산물_7월'!$D:$D,$C545,'RAW_농산물_7월'!$A:$A,$E545)))</f>
        <v/>
      </c>
      <c r="O545" s="7" t="str">
        <f>IF($C545="","",IF(COUNTA('RAW_농산물_8월'!$A:$A)&lt;=1,"",SUMIFS('RAW_농산물_8월'!$H:$H,'RAW_농산물_8월'!$D:$D,$C545,'RAW_농산물_8월'!$A:$A,$E545)-SUMIFS('RAW_농산물_7월'!$H:$H,'RAW_농산물_7월'!$D:$D,$C545,'RAW_농산물_7월'!$A:$A,$E545)))</f>
        <v/>
      </c>
      <c r="P545" s="7" t="str">
        <f>IF($C545="","",IF(COUNTA('RAW_농산물_9월'!$A:$A)&lt;=1,"",SUMIFS('RAW_농산물_9월'!$H:$H,'RAW_농산물_9월'!$D:$D,$C545,'RAW_농산물_9월'!$A:$A,$E545)-SUMIFS('RAW_농산물_8월'!$H:$H,'RAW_농산물_8월'!$D:$D,$C545,'RAW_농산물_8월'!$A:$A,$E545)))</f>
        <v/>
      </c>
      <c r="Q545" s="7" t="str">
        <f>IF($C545="","",IF(COUNTA('RAW_농산물_10월'!$A:$A)&lt;=1,"",SUMIFS('RAW_농산물_10월'!$H:$H,'RAW_농산물_10월'!$D:$D,$C545,'RAW_농산물_10월'!$A:$A,$E545)-SUMIFS('RAW_농산물_9월'!$H:$H,'RAW_농산물_9월'!$D:$D,$C545,'RAW_농산물_9월'!$A:$A,$E545)))</f>
        <v/>
      </c>
      <c r="R545" s="7" t="str">
        <f>IF($C545="","",IF(COUNTA('RAW_농산물_11-12월'!$A:$A)&lt;=1,"",SUMIFS('RAW_농산물_11-12월'!$H:$H,'RAW_농산물_11-12월'!$D:$D,$C545,'RAW_농산물_11-12월'!$A:$A,$E545)-SUMIFS('RAW_농산물_10월'!$H:$H,'RAW_농산물_10월'!$D:$D,$C545,'RAW_농산물_10월'!$A:$A,$E545)))</f>
        <v/>
      </c>
      <c r="S545" s="17" t="str">
        <f t="shared" si="4"/>
        <v/>
      </c>
      <c r="T545" s="17" t="str">
        <f t="shared" si="5"/>
        <v/>
      </c>
      <c r="U545" s="7">
        <f>IF($C545="",0,IF('설정'!$B$3=0,0,CHOOSE('설정'!$B$3,COUNTIFS('RAW_농산물_7월'!$D:$D,$C545,'RAW_농산물_7월'!$A:$A,$E545),COUNTIFS('RAW_농산물_8월'!$D:$D,$C545,'RAW_농산물_8월'!$A:$A,$E545),COUNTIFS('RAW_농산물_9월'!$D:$D,$C545,'RAW_농산물_9월'!$A:$A,$E545),COUNTIFS('RAW_농산물_10월'!$D:$D,$C545,'RAW_농산물_10월'!$A:$A,$E545),COUNTIFS('RAW_농산물_11-12월'!$D:$D,$C545,'RAW_농산물_11-12월'!$A:$A,$E545))))</f>
        <v>0</v>
      </c>
    </row>
    <row r="546" ht="15.75" customHeight="1">
      <c r="A546" s="5"/>
      <c r="B546" s="5"/>
      <c r="C546" s="5"/>
      <c r="D546" s="6"/>
      <c r="E546" s="5"/>
      <c r="F546" s="7" t="str">
        <f>IF($C546="","",IF('설정'!$B$3=0,"",CHOOSE('설정'!$B$3,SUMIFS('RAW_농산물_7월'!$F:$F,'RAW_농산물_7월'!$D:$D,$C546,'RAW_농산물_7월'!$A:$A,$E546),SUMIFS('RAW_농산물_8월'!$F:$F,'RAW_농산물_8월'!$D:$D,$C546,'RAW_농산물_8월'!$A:$A,$E546),SUMIFS('RAW_농산물_9월'!$F:$F,'RAW_농산물_9월'!$D:$D,$C546,'RAW_농산물_9월'!$A:$A,$E546),SUMIFS('RAW_농산물_10월'!$F:$F,'RAW_농산물_10월'!$D:$D,$C546,'RAW_농산물_10월'!$A:$A,$E546),SUMIFS('RAW_농산물_11-12월'!$F:$F,'RAW_농산물_11-12월'!$D:$D,$C546,'RAW_농산물_11-12월'!$A:$A,$E546))))</f>
        <v/>
      </c>
      <c r="G546" s="7" t="str">
        <f>IF($C546="","",IF('설정'!$B$3=0,"",CHOOSE('설정'!$B$3,SUMIFS('RAW_농산물_7월'!$G:$G,'RAW_농산물_7월'!$D:$D,$C546,'RAW_농산물_7월'!$A:$A,$E546),SUMIFS('RAW_농산물_8월'!$G:$G,'RAW_농산물_8월'!$D:$D,$C546,'RAW_농산물_8월'!$A:$A,$E546),SUMIFS('RAW_농산물_9월'!$G:$G,'RAW_농산물_9월'!$D:$D,$C546,'RAW_농산물_9월'!$A:$A,$E546),SUMIFS('RAW_농산물_10월'!$G:$G,'RAW_농산물_10월'!$D:$D,$C546,'RAW_농산물_10월'!$A:$A,$E546),SUMIFS('RAW_농산물_11-12월'!$G:$G,'RAW_농산물_11-12월'!$D:$D,$C546,'RAW_농산물_11-12월'!$A:$A,$E546))))</f>
        <v/>
      </c>
      <c r="H546" s="14" t="str">
        <f>IF($C546="","",IF('설정'!$B$3=0,"",CHOOSE('설정'!$B$3,SUMIFS('RAW_농산물_7월'!$H:$H,'RAW_농산물_7월'!$D:$D,$C546,'RAW_농산물_7월'!$A:$A,$E546),SUMIFS('RAW_농산물_8월'!$H:$H,'RAW_농산물_8월'!$D:$D,$C546,'RAW_농산물_8월'!$A:$A,$E546),SUMIFS('RAW_농산물_9월'!$H:$H,'RAW_농산물_9월'!$D:$D,$C546,'RAW_농산물_9월'!$A:$A,$E546),SUMIFS('RAW_농산물_10월'!$H:$H,'RAW_농산물_10월'!$D:$D,$C546,'RAW_농산물_10월'!$A:$A,$E546),SUMIFS('RAW_농산물_11-12월'!$H:$H,'RAW_농산물_11-12월'!$D:$D,$C546,'RAW_농산물_11-12월'!$A:$A,$E546))))</f>
        <v/>
      </c>
      <c r="I546" s="17" t="str">
        <f>IF($C546="","",IF(COUNTIFS('RAW_농산물_7월'!$D:$D,$C546,'RAW_농산물_7월'!$A:$A,$E546)&gt;0,"O",""))</f>
        <v/>
      </c>
      <c r="J546" s="17" t="str">
        <f>IF($C546="","",IF(COUNTIFS('RAW_농산물_8월'!$D:$D,$C546,'RAW_농산물_8월'!$A:$A,$E546)&gt;0,"O",""))</f>
        <v/>
      </c>
      <c r="K546" s="17" t="str">
        <f>IF($C546="","",IF(COUNTIFS('RAW_농산물_9월'!$D:$D,$C546,'RAW_농산물_9월'!$A:$A,$E546)&gt;0,"O",""))</f>
        <v/>
      </c>
      <c r="L546" s="17" t="str">
        <f>IF($C546="","",IF(COUNTIFS('RAW_농산물_10월'!$D:$D,$C546,'RAW_농산물_10월'!$A:$A,$E546)&gt;0,"O",""))</f>
        <v/>
      </c>
      <c r="M546" s="17" t="str">
        <f>IF($C546="","",IF(COUNTIFS('RAW_농산물_11-12월'!$D:$D,$C546,'RAW_농산물_11-12월'!$A:$A,$E546)&gt;0,"O",""))</f>
        <v/>
      </c>
      <c r="N546" s="7" t="str">
        <f>IF($C546="","",IF(COUNTA('RAW_농산물_7월'!$A:$A)&lt;=1,"",SUMIFS('RAW_농산물_7월'!$H:$H,'RAW_농산물_7월'!$D:$D,$C546,'RAW_농산물_7월'!$A:$A,$E546)))</f>
        <v/>
      </c>
      <c r="O546" s="7" t="str">
        <f>IF($C546="","",IF(COUNTA('RAW_농산물_8월'!$A:$A)&lt;=1,"",SUMIFS('RAW_농산물_8월'!$H:$H,'RAW_농산물_8월'!$D:$D,$C546,'RAW_농산물_8월'!$A:$A,$E546)-SUMIFS('RAW_농산물_7월'!$H:$H,'RAW_농산물_7월'!$D:$D,$C546,'RAW_농산물_7월'!$A:$A,$E546)))</f>
        <v/>
      </c>
      <c r="P546" s="7" t="str">
        <f>IF($C546="","",IF(COUNTA('RAW_농산물_9월'!$A:$A)&lt;=1,"",SUMIFS('RAW_농산물_9월'!$H:$H,'RAW_농산물_9월'!$D:$D,$C546,'RAW_농산물_9월'!$A:$A,$E546)-SUMIFS('RAW_농산물_8월'!$H:$H,'RAW_농산물_8월'!$D:$D,$C546,'RAW_농산물_8월'!$A:$A,$E546)))</f>
        <v/>
      </c>
      <c r="Q546" s="7" t="str">
        <f>IF($C546="","",IF(COUNTA('RAW_농산물_10월'!$A:$A)&lt;=1,"",SUMIFS('RAW_농산물_10월'!$H:$H,'RAW_농산물_10월'!$D:$D,$C546,'RAW_농산물_10월'!$A:$A,$E546)-SUMIFS('RAW_농산물_9월'!$H:$H,'RAW_농산물_9월'!$D:$D,$C546,'RAW_농산물_9월'!$A:$A,$E546)))</f>
        <v/>
      </c>
      <c r="R546" s="7" t="str">
        <f>IF($C546="","",IF(COUNTA('RAW_농산물_11-12월'!$A:$A)&lt;=1,"",SUMIFS('RAW_농산물_11-12월'!$H:$H,'RAW_농산물_11-12월'!$D:$D,$C546,'RAW_농산물_11-12월'!$A:$A,$E546)-SUMIFS('RAW_농산물_10월'!$H:$H,'RAW_농산물_10월'!$D:$D,$C546,'RAW_농산물_10월'!$A:$A,$E546)))</f>
        <v/>
      </c>
      <c r="S546" s="17" t="str">
        <f t="shared" si="4"/>
        <v/>
      </c>
      <c r="T546" s="17" t="str">
        <f t="shared" si="5"/>
        <v/>
      </c>
      <c r="U546" s="7">
        <f>IF($C546="",0,IF('설정'!$B$3=0,0,CHOOSE('설정'!$B$3,COUNTIFS('RAW_농산물_7월'!$D:$D,$C546,'RAW_농산물_7월'!$A:$A,$E546),COUNTIFS('RAW_농산물_8월'!$D:$D,$C546,'RAW_농산물_8월'!$A:$A,$E546),COUNTIFS('RAW_농산물_9월'!$D:$D,$C546,'RAW_농산물_9월'!$A:$A,$E546),COUNTIFS('RAW_농산물_10월'!$D:$D,$C546,'RAW_농산물_10월'!$A:$A,$E546),COUNTIFS('RAW_농산물_11-12월'!$D:$D,$C546,'RAW_농산물_11-12월'!$A:$A,$E546))))</f>
        <v>0</v>
      </c>
    </row>
    <row r="547" ht="15.75" customHeight="1">
      <c r="A547" s="5"/>
      <c r="B547" s="5"/>
      <c r="C547" s="5"/>
      <c r="D547" s="6"/>
      <c r="E547" s="5"/>
      <c r="F547" s="7" t="str">
        <f>IF($C547="","",IF('설정'!$B$3=0,"",CHOOSE('설정'!$B$3,SUMIFS('RAW_농산물_7월'!$F:$F,'RAW_농산물_7월'!$D:$D,$C547,'RAW_농산물_7월'!$A:$A,$E547),SUMIFS('RAW_농산물_8월'!$F:$F,'RAW_농산물_8월'!$D:$D,$C547,'RAW_농산물_8월'!$A:$A,$E547),SUMIFS('RAW_농산물_9월'!$F:$F,'RAW_농산물_9월'!$D:$D,$C547,'RAW_농산물_9월'!$A:$A,$E547),SUMIFS('RAW_농산물_10월'!$F:$F,'RAW_농산물_10월'!$D:$D,$C547,'RAW_농산물_10월'!$A:$A,$E547),SUMIFS('RAW_농산물_11-12월'!$F:$F,'RAW_농산물_11-12월'!$D:$D,$C547,'RAW_농산물_11-12월'!$A:$A,$E547))))</f>
        <v/>
      </c>
      <c r="G547" s="7" t="str">
        <f>IF($C547="","",IF('설정'!$B$3=0,"",CHOOSE('설정'!$B$3,SUMIFS('RAW_농산물_7월'!$G:$G,'RAW_농산물_7월'!$D:$D,$C547,'RAW_농산물_7월'!$A:$A,$E547),SUMIFS('RAW_농산물_8월'!$G:$G,'RAW_농산물_8월'!$D:$D,$C547,'RAW_농산물_8월'!$A:$A,$E547),SUMIFS('RAW_농산물_9월'!$G:$G,'RAW_농산물_9월'!$D:$D,$C547,'RAW_농산물_9월'!$A:$A,$E547),SUMIFS('RAW_농산물_10월'!$G:$G,'RAW_농산물_10월'!$D:$D,$C547,'RAW_농산물_10월'!$A:$A,$E547),SUMIFS('RAW_농산물_11-12월'!$G:$G,'RAW_농산물_11-12월'!$D:$D,$C547,'RAW_농산물_11-12월'!$A:$A,$E547))))</f>
        <v/>
      </c>
      <c r="H547" s="14" t="str">
        <f>IF($C547="","",IF('설정'!$B$3=0,"",CHOOSE('설정'!$B$3,SUMIFS('RAW_농산물_7월'!$H:$H,'RAW_농산물_7월'!$D:$D,$C547,'RAW_농산물_7월'!$A:$A,$E547),SUMIFS('RAW_농산물_8월'!$H:$H,'RAW_농산물_8월'!$D:$D,$C547,'RAW_농산물_8월'!$A:$A,$E547),SUMIFS('RAW_농산물_9월'!$H:$H,'RAW_농산물_9월'!$D:$D,$C547,'RAW_농산물_9월'!$A:$A,$E547),SUMIFS('RAW_농산물_10월'!$H:$H,'RAW_농산물_10월'!$D:$D,$C547,'RAW_농산물_10월'!$A:$A,$E547),SUMIFS('RAW_농산물_11-12월'!$H:$H,'RAW_농산물_11-12월'!$D:$D,$C547,'RAW_농산물_11-12월'!$A:$A,$E547))))</f>
        <v/>
      </c>
      <c r="I547" s="17" t="str">
        <f>IF($C547="","",IF(COUNTIFS('RAW_농산물_7월'!$D:$D,$C547,'RAW_농산물_7월'!$A:$A,$E547)&gt;0,"O",""))</f>
        <v/>
      </c>
      <c r="J547" s="17" t="str">
        <f>IF($C547="","",IF(COUNTIFS('RAW_농산물_8월'!$D:$D,$C547,'RAW_농산물_8월'!$A:$A,$E547)&gt;0,"O",""))</f>
        <v/>
      </c>
      <c r="K547" s="17" t="str">
        <f>IF($C547="","",IF(COUNTIFS('RAW_농산물_9월'!$D:$D,$C547,'RAW_농산물_9월'!$A:$A,$E547)&gt;0,"O",""))</f>
        <v/>
      </c>
      <c r="L547" s="17" t="str">
        <f>IF($C547="","",IF(COUNTIFS('RAW_농산물_10월'!$D:$D,$C547,'RAW_농산물_10월'!$A:$A,$E547)&gt;0,"O",""))</f>
        <v/>
      </c>
      <c r="M547" s="17" t="str">
        <f>IF($C547="","",IF(COUNTIFS('RAW_농산물_11-12월'!$D:$D,$C547,'RAW_농산물_11-12월'!$A:$A,$E547)&gt;0,"O",""))</f>
        <v/>
      </c>
      <c r="N547" s="7" t="str">
        <f>IF($C547="","",IF(COUNTA('RAW_농산물_7월'!$A:$A)&lt;=1,"",SUMIFS('RAW_농산물_7월'!$H:$H,'RAW_농산물_7월'!$D:$D,$C547,'RAW_농산물_7월'!$A:$A,$E547)))</f>
        <v/>
      </c>
      <c r="O547" s="7" t="str">
        <f>IF($C547="","",IF(COUNTA('RAW_농산물_8월'!$A:$A)&lt;=1,"",SUMIFS('RAW_농산물_8월'!$H:$H,'RAW_농산물_8월'!$D:$D,$C547,'RAW_농산물_8월'!$A:$A,$E547)-SUMIFS('RAW_농산물_7월'!$H:$H,'RAW_농산물_7월'!$D:$D,$C547,'RAW_농산물_7월'!$A:$A,$E547)))</f>
        <v/>
      </c>
      <c r="P547" s="7" t="str">
        <f>IF($C547="","",IF(COUNTA('RAW_농산물_9월'!$A:$A)&lt;=1,"",SUMIFS('RAW_농산물_9월'!$H:$H,'RAW_농산물_9월'!$D:$D,$C547,'RAW_농산물_9월'!$A:$A,$E547)-SUMIFS('RAW_농산물_8월'!$H:$H,'RAW_농산물_8월'!$D:$D,$C547,'RAW_농산물_8월'!$A:$A,$E547)))</f>
        <v/>
      </c>
      <c r="Q547" s="7" t="str">
        <f>IF($C547="","",IF(COUNTA('RAW_농산물_10월'!$A:$A)&lt;=1,"",SUMIFS('RAW_농산물_10월'!$H:$H,'RAW_농산물_10월'!$D:$D,$C547,'RAW_농산물_10월'!$A:$A,$E547)-SUMIFS('RAW_농산물_9월'!$H:$H,'RAW_농산물_9월'!$D:$D,$C547,'RAW_농산물_9월'!$A:$A,$E547)))</f>
        <v/>
      </c>
      <c r="R547" s="7" t="str">
        <f>IF($C547="","",IF(COUNTA('RAW_농산물_11-12월'!$A:$A)&lt;=1,"",SUMIFS('RAW_농산물_11-12월'!$H:$H,'RAW_농산물_11-12월'!$D:$D,$C547,'RAW_농산물_11-12월'!$A:$A,$E547)-SUMIFS('RAW_농산물_10월'!$H:$H,'RAW_농산물_10월'!$D:$D,$C547,'RAW_농산물_10월'!$A:$A,$E547)))</f>
        <v/>
      </c>
      <c r="S547" s="17" t="str">
        <f t="shared" si="4"/>
        <v/>
      </c>
      <c r="T547" s="17" t="str">
        <f t="shared" si="5"/>
        <v/>
      </c>
      <c r="U547" s="7">
        <f>IF($C547="",0,IF('설정'!$B$3=0,0,CHOOSE('설정'!$B$3,COUNTIFS('RAW_농산물_7월'!$D:$D,$C547,'RAW_농산물_7월'!$A:$A,$E547),COUNTIFS('RAW_농산물_8월'!$D:$D,$C547,'RAW_농산물_8월'!$A:$A,$E547),COUNTIFS('RAW_농산물_9월'!$D:$D,$C547,'RAW_농산물_9월'!$A:$A,$E547),COUNTIFS('RAW_농산물_10월'!$D:$D,$C547,'RAW_농산물_10월'!$A:$A,$E547),COUNTIFS('RAW_농산물_11-12월'!$D:$D,$C547,'RAW_농산물_11-12월'!$A:$A,$E547))))</f>
        <v>0</v>
      </c>
    </row>
    <row r="548" ht="15.75" customHeight="1">
      <c r="A548" s="5"/>
      <c r="B548" s="5"/>
      <c r="C548" s="5"/>
      <c r="D548" s="6"/>
      <c r="E548" s="5"/>
      <c r="F548" s="7" t="str">
        <f>IF($C548="","",IF('설정'!$B$3=0,"",CHOOSE('설정'!$B$3,SUMIFS('RAW_농산물_7월'!$F:$F,'RAW_농산물_7월'!$D:$D,$C548,'RAW_농산물_7월'!$A:$A,$E548),SUMIFS('RAW_농산물_8월'!$F:$F,'RAW_농산물_8월'!$D:$D,$C548,'RAW_농산물_8월'!$A:$A,$E548),SUMIFS('RAW_농산물_9월'!$F:$F,'RAW_농산물_9월'!$D:$D,$C548,'RAW_농산물_9월'!$A:$A,$E548),SUMIFS('RAW_농산물_10월'!$F:$F,'RAW_농산물_10월'!$D:$D,$C548,'RAW_농산물_10월'!$A:$A,$E548),SUMIFS('RAW_농산물_11-12월'!$F:$F,'RAW_농산물_11-12월'!$D:$D,$C548,'RAW_농산물_11-12월'!$A:$A,$E548))))</f>
        <v/>
      </c>
      <c r="G548" s="7" t="str">
        <f>IF($C548="","",IF('설정'!$B$3=0,"",CHOOSE('설정'!$B$3,SUMIFS('RAW_농산물_7월'!$G:$G,'RAW_농산물_7월'!$D:$D,$C548,'RAW_농산물_7월'!$A:$A,$E548),SUMIFS('RAW_농산물_8월'!$G:$G,'RAW_농산물_8월'!$D:$D,$C548,'RAW_농산물_8월'!$A:$A,$E548),SUMIFS('RAW_농산물_9월'!$G:$G,'RAW_농산물_9월'!$D:$D,$C548,'RAW_농산물_9월'!$A:$A,$E548),SUMIFS('RAW_농산물_10월'!$G:$G,'RAW_농산물_10월'!$D:$D,$C548,'RAW_농산물_10월'!$A:$A,$E548),SUMIFS('RAW_농산물_11-12월'!$G:$G,'RAW_농산물_11-12월'!$D:$D,$C548,'RAW_농산물_11-12월'!$A:$A,$E548))))</f>
        <v/>
      </c>
      <c r="H548" s="14" t="str">
        <f>IF($C548="","",IF('설정'!$B$3=0,"",CHOOSE('설정'!$B$3,SUMIFS('RAW_농산물_7월'!$H:$H,'RAW_농산물_7월'!$D:$D,$C548,'RAW_농산물_7월'!$A:$A,$E548),SUMIFS('RAW_농산물_8월'!$H:$H,'RAW_농산물_8월'!$D:$D,$C548,'RAW_농산물_8월'!$A:$A,$E548),SUMIFS('RAW_농산물_9월'!$H:$H,'RAW_농산물_9월'!$D:$D,$C548,'RAW_농산물_9월'!$A:$A,$E548),SUMIFS('RAW_농산물_10월'!$H:$H,'RAW_농산물_10월'!$D:$D,$C548,'RAW_농산물_10월'!$A:$A,$E548),SUMIFS('RAW_농산물_11-12월'!$H:$H,'RAW_농산물_11-12월'!$D:$D,$C548,'RAW_농산물_11-12월'!$A:$A,$E548))))</f>
        <v/>
      </c>
      <c r="I548" s="17" t="str">
        <f>IF($C548="","",IF(COUNTIFS('RAW_농산물_7월'!$D:$D,$C548,'RAW_농산물_7월'!$A:$A,$E548)&gt;0,"O",""))</f>
        <v/>
      </c>
      <c r="J548" s="17" t="str">
        <f>IF($C548="","",IF(COUNTIFS('RAW_농산물_8월'!$D:$D,$C548,'RAW_농산물_8월'!$A:$A,$E548)&gt;0,"O",""))</f>
        <v/>
      </c>
      <c r="K548" s="17" t="str">
        <f>IF($C548="","",IF(COUNTIFS('RAW_농산물_9월'!$D:$D,$C548,'RAW_농산물_9월'!$A:$A,$E548)&gt;0,"O",""))</f>
        <v/>
      </c>
      <c r="L548" s="17" t="str">
        <f>IF($C548="","",IF(COUNTIFS('RAW_농산물_10월'!$D:$D,$C548,'RAW_농산물_10월'!$A:$A,$E548)&gt;0,"O",""))</f>
        <v/>
      </c>
      <c r="M548" s="17" t="str">
        <f>IF($C548="","",IF(COUNTIFS('RAW_농산물_11-12월'!$D:$D,$C548,'RAW_농산물_11-12월'!$A:$A,$E548)&gt;0,"O",""))</f>
        <v/>
      </c>
      <c r="N548" s="7" t="str">
        <f>IF($C548="","",IF(COUNTA('RAW_농산물_7월'!$A:$A)&lt;=1,"",SUMIFS('RAW_농산물_7월'!$H:$H,'RAW_농산물_7월'!$D:$D,$C548,'RAW_농산물_7월'!$A:$A,$E548)))</f>
        <v/>
      </c>
      <c r="O548" s="7" t="str">
        <f>IF($C548="","",IF(COUNTA('RAW_농산물_8월'!$A:$A)&lt;=1,"",SUMIFS('RAW_농산물_8월'!$H:$H,'RAW_농산물_8월'!$D:$D,$C548,'RAW_농산물_8월'!$A:$A,$E548)-SUMIFS('RAW_농산물_7월'!$H:$H,'RAW_농산물_7월'!$D:$D,$C548,'RAW_농산물_7월'!$A:$A,$E548)))</f>
        <v/>
      </c>
      <c r="P548" s="7" t="str">
        <f>IF($C548="","",IF(COUNTA('RAW_농산물_9월'!$A:$A)&lt;=1,"",SUMIFS('RAW_농산물_9월'!$H:$H,'RAW_농산물_9월'!$D:$D,$C548,'RAW_농산물_9월'!$A:$A,$E548)-SUMIFS('RAW_농산물_8월'!$H:$H,'RAW_농산물_8월'!$D:$D,$C548,'RAW_농산물_8월'!$A:$A,$E548)))</f>
        <v/>
      </c>
      <c r="Q548" s="7" t="str">
        <f>IF($C548="","",IF(COUNTA('RAW_농산물_10월'!$A:$A)&lt;=1,"",SUMIFS('RAW_농산물_10월'!$H:$H,'RAW_농산물_10월'!$D:$D,$C548,'RAW_농산물_10월'!$A:$A,$E548)-SUMIFS('RAW_농산물_9월'!$H:$H,'RAW_농산물_9월'!$D:$D,$C548,'RAW_농산물_9월'!$A:$A,$E548)))</f>
        <v/>
      </c>
      <c r="R548" s="7" t="str">
        <f>IF($C548="","",IF(COUNTA('RAW_농산물_11-12월'!$A:$A)&lt;=1,"",SUMIFS('RAW_농산물_11-12월'!$H:$H,'RAW_농산물_11-12월'!$D:$D,$C548,'RAW_농산물_11-12월'!$A:$A,$E548)-SUMIFS('RAW_농산물_10월'!$H:$H,'RAW_농산물_10월'!$D:$D,$C548,'RAW_농산물_10월'!$A:$A,$E548)))</f>
        <v/>
      </c>
      <c r="S548" s="17" t="str">
        <f t="shared" si="4"/>
        <v/>
      </c>
      <c r="T548" s="17" t="str">
        <f t="shared" si="5"/>
        <v/>
      </c>
      <c r="U548" s="7">
        <f>IF($C548="",0,IF('설정'!$B$3=0,0,CHOOSE('설정'!$B$3,COUNTIFS('RAW_농산물_7월'!$D:$D,$C548,'RAW_농산물_7월'!$A:$A,$E548),COUNTIFS('RAW_농산물_8월'!$D:$D,$C548,'RAW_농산물_8월'!$A:$A,$E548),COUNTIFS('RAW_농산물_9월'!$D:$D,$C548,'RAW_농산물_9월'!$A:$A,$E548),COUNTIFS('RAW_농산물_10월'!$D:$D,$C548,'RAW_농산물_10월'!$A:$A,$E548),COUNTIFS('RAW_농산물_11-12월'!$D:$D,$C548,'RAW_농산물_11-12월'!$A:$A,$E548))))</f>
        <v>0</v>
      </c>
    </row>
    <row r="549" ht="15.75" customHeight="1">
      <c r="A549" s="5"/>
      <c r="B549" s="5"/>
      <c r="C549" s="5"/>
      <c r="D549" s="6"/>
      <c r="E549" s="5"/>
      <c r="F549" s="7" t="str">
        <f>IF($C549="","",IF('설정'!$B$3=0,"",CHOOSE('설정'!$B$3,SUMIFS('RAW_농산물_7월'!$F:$F,'RAW_농산물_7월'!$D:$D,$C549,'RAW_농산물_7월'!$A:$A,$E549),SUMIFS('RAW_농산물_8월'!$F:$F,'RAW_농산물_8월'!$D:$D,$C549,'RAW_농산물_8월'!$A:$A,$E549),SUMIFS('RAW_농산물_9월'!$F:$F,'RAW_농산물_9월'!$D:$D,$C549,'RAW_농산물_9월'!$A:$A,$E549),SUMIFS('RAW_농산물_10월'!$F:$F,'RAW_농산물_10월'!$D:$D,$C549,'RAW_농산물_10월'!$A:$A,$E549),SUMIFS('RAW_농산물_11-12월'!$F:$F,'RAW_농산물_11-12월'!$D:$D,$C549,'RAW_농산물_11-12월'!$A:$A,$E549))))</f>
        <v/>
      </c>
      <c r="G549" s="7" t="str">
        <f>IF($C549="","",IF('설정'!$B$3=0,"",CHOOSE('설정'!$B$3,SUMIFS('RAW_농산물_7월'!$G:$G,'RAW_농산물_7월'!$D:$D,$C549,'RAW_농산물_7월'!$A:$A,$E549),SUMIFS('RAW_농산물_8월'!$G:$G,'RAW_농산물_8월'!$D:$D,$C549,'RAW_농산물_8월'!$A:$A,$E549),SUMIFS('RAW_농산물_9월'!$G:$G,'RAW_농산물_9월'!$D:$D,$C549,'RAW_농산물_9월'!$A:$A,$E549),SUMIFS('RAW_농산물_10월'!$G:$G,'RAW_농산물_10월'!$D:$D,$C549,'RAW_농산물_10월'!$A:$A,$E549),SUMIFS('RAW_농산물_11-12월'!$G:$G,'RAW_농산물_11-12월'!$D:$D,$C549,'RAW_농산물_11-12월'!$A:$A,$E549))))</f>
        <v/>
      </c>
      <c r="H549" s="14" t="str">
        <f>IF($C549="","",IF('설정'!$B$3=0,"",CHOOSE('설정'!$B$3,SUMIFS('RAW_농산물_7월'!$H:$H,'RAW_농산물_7월'!$D:$D,$C549,'RAW_농산물_7월'!$A:$A,$E549),SUMIFS('RAW_농산물_8월'!$H:$H,'RAW_농산물_8월'!$D:$D,$C549,'RAW_농산물_8월'!$A:$A,$E549),SUMIFS('RAW_농산물_9월'!$H:$H,'RAW_농산물_9월'!$D:$D,$C549,'RAW_농산물_9월'!$A:$A,$E549),SUMIFS('RAW_농산물_10월'!$H:$H,'RAW_농산물_10월'!$D:$D,$C549,'RAW_농산물_10월'!$A:$A,$E549),SUMIFS('RAW_농산물_11-12월'!$H:$H,'RAW_농산물_11-12월'!$D:$D,$C549,'RAW_농산물_11-12월'!$A:$A,$E549))))</f>
        <v/>
      </c>
      <c r="I549" s="17" t="str">
        <f>IF($C549="","",IF(COUNTIFS('RAW_농산물_7월'!$D:$D,$C549,'RAW_농산물_7월'!$A:$A,$E549)&gt;0,"O",""))</f>
        <v/>
      </c>
      <c r="J549" s="17" t="str">
        <f>IF($C549="","",IF(COUNTIFS('RAW_농산물_8월'!$D:$D,$C549,'RAW_농산물_8월'!$A:$A,$E549)&gt;0,"O",""))</f>
        <v/>
      </c>
      <c r="K549" s="17" t="str">
        <f>IF($C549="","",IF(COUNTIFS('RAW_농산물_9월'!$D:$D,$C549,'RAW_농산물_9월'!$A:$A,$E549)&gt;0,"O",""))</f>
        <v/>
      </c>
      <c r="L549" s="17" t="str">
        <f>IF($C549="","",IF(COUNTIFS('RAW_농산물_10월'!$D:$D,$C549,'RAW_농산물_10월'!$A:$A,$E549)&gt;0,"O",""))</f>
        <v/>
      </c>
      <c r="M549" s="17" t="str">
        <f>IF($C549="","",IF(COUNTIFS('RAW_농산물_11-12월'!$D:$D,$C549,'RAW_농산물_11-12월'!$A:$A,$E549)&gt;0,"O",""))</f>
        <v/>
      </c>
      <c r="N549" s="7" t="str">
        <f>IF($C549="","",IF(COUNTA('RAW_농산물_7월'!$A:$A)&lt;=1,"",SUMIFS('RAW_농산물_7월'!$H:$H,'RAW_농산물_7월'!$D:$D,$C549,'RAW_농산물_7월'!$A:$A,$E549)))</f>
        <v/>
      </c>
      <c r="O549" s="7" t="str">
        <f>IF($C549="","",IF(COUNTA('RAW_농산물_8월'!$A:$A)&lt;=1,"",SUMIFS('RAW_농산물_8월'!$H:$H,'RAW_농산물_8월'!$D:$D,$C549,'RAW_농산물_8월'!$A:$A,$E549)-SUMIFS('RAW_농산물_7월'!$H:$H,'RAW_농산물_7월'!$D:$D,$C549,'RAW_농산물_7월'!$A:$A,$E549)))</f>
        <v/>
      </c>
      <c r="P549" s="7" t="str">
        <f>IF($C549="","",IF(COUNTA('RAW_농산물_9월'!$A:$A)&lt;=1,"",SUMIFS('RAW_농산물_9월'!$H:$H,'RAW_농산물_9월'!$D:$D,$C549,'RAW_농산물_9월'!$A:$A,$E549)-SUMIFS('RAW_농산물_8월'!$H:$H,'RAW_농산물_8월'!$D:$D,$C549,'RAW_농산물_8월'!$A:$A,$E549)))</f>
        <v/>
      </c>
      <c r="Q549" s="7" t="str">
        <f>IF($C549="","",IF(COUNTA('RAW_농산물_10월'!$A:$A)&lt;=1,"",SUMIFS('RAW_농산물_10월'!$H:$H,'RAW_농산물_10월'!$D:$D,$C549,'RAW_농산물_10월'!$A:$A,$E549)-SUMIFS('RAW_농산물_9월'!$H:$H,'RAW_농산물_9월'!$D:$D,$C549,'RAW_농산물_9월'!$A:$A,$E549)))</f>
        <v/>
      </c>
      <c r="R549" s="7" t="str">
        <f>IF($C549="","",IF(COUNTA('RAW_농산물_11-12월'!$A:$A)&lt;=1,"",SUMIFS('RAW_농산물_11-12월'!$H:$H,'RAW_농산물_11-12월'!$D:$D,$C549,'RAW_농산물_11-12월'!$A:$A,$E549)-SUMIFS('RAW_농산물_10월'!$H:$H,'RAW_농산물_10월'!$D:$D,$C549,'RAW_농산물_10월'!$A:$A,$E549)))</f>
        <v/>
      </c>
      <c r="S549" s="17" t="str">
        <f t="shared" si="4"/>
        <v/>
      </c>
      <c r="T549" s="17" t="str">
        <f t="shared" si="5"/>
        <v/>
      </c>
      <c r="U549" s="7">
        <f>IF($C549="",0,IF('설정'!$B$3=0,0,CHOOSE('설정'!$B$3,COUNTIFS('RAW_농산물_7월'!$D:$D,$C549,'RAW_농산물_7월'!$A:$A,$E549),COUNTIFS('RAW_농산물_8월'!$D:$D,$C549,'RAW_농산물_8월'!$A:$A,$E549),COUNTIFS('RAW_농산물_9월'!$D:$D,$C549,'RAW_농산물_9월'!$A:$A,$E549),COUNTIFS('RAW_농산물_10월'!$D:$D,$C549,'RAW_농산물_10월'!$A:$A,$E549),COUNTIFS('RAW_농산물_11-12월'!$D:$D,$C549,'RAW_농산물_11-12월'!$A:$A,$E549))))</f>
        <v>0</v>
      </c>
    </row>
    <row r="550" ht="15.75" customHeight="1">
      <c r="A550" s="5"/>
      <c r="B550" s="5"/>
      <c r="C550" s="5"/>
      <c r="D550" s="6"/>
      <c r="E550" s="5"/>
      <c r="F550" s="7" t="str">
        <f>IF($C550="","",IF('설정'!$B$3=0,"",CHOOSE('설정'!$B$3,SUMIFS('RAW_농산물_7월'!$F:$F,'RAW_농산물_7월'!$D:$D,$C550,'RAW_농산물_7월'!$A:$A,$E550),SUMIFS('RAW_농산물_8월'!$F:$F,'RAW_농산물_8월'!$D:$D,$C550,'RAW_농산물_8월'!$A:$A,$E550),SUMIFS('RAW_농산물_9월'!$F:$F,'RAW_농산물_9월'!$D:$D,$C550,'RAW_농산물_9월'!$A:$A,$E550),SUMIFS('RAW_농산물_10월'!$F:$F,'RAW_농산물_10월'!$D:$D,$C550,'RAW_농산물_10월'!$A:$A,$E550),SUMIFS('RAW_농산물_11-12월'!$F:$F,'RAW_농산물_11-12월'!$D:$D,$C550,'RAW_농산물_11-12월'!$A:$A,$E550))))</f>
        <v/>
      </c>
      <c r="G550" s="7" t="str">
        <f>IF($C550="","",IF('설정'!$B$3=0,"",CHOOSE('설정'!$B$3,SUMIFS('RAW_농산물_7월'!$G:$G,'RAW_농산물_7월'!$D:$D,$C550,'RAW_농산물_7월'!$A:$A,$E550),SUMIFS('RAW_농산물_8월'!$G:$G,'RAW_농산물_8월'!$D:$D,$C550,'RAW_농산물_8월'!$A:$A,$E550),SUMIFS('RAW_농산물_9월'!$G:$G,'RAW_농산물_9월'!$D:$D,$C550,'RAW_농산물_9월'!$A:$A,$E550),SUMIFS('RAW_농산물_10월'!$G:$G,'RAW_농산물_10월'!$D:$D,$C550,'RAW_농산물_10월'!$A:$A,$E550),SUMIFS('RAW_농산물_11-12월'!$G:$G,'RAW_농산물_11-12월'!$D:$D,$C550,'RAW_농산물_11-12월'!$A:$A,$E550))))</f>
        <v/>
      </c>
      <c r="H550" s="14" t="str">
        <f>IF($C550="","",IF('설정'!$B$3=0,"",CHOOSE('설정'!$B$3,SUMIFS('RAW_농산물_7월'!$H:$H,'RAW_농산물_7월'!$D:$D,$C550,'RAW_농산물_7월'!$A:$A,$E550),SUMIFS('RAW_농산물_8월'!$H:$H,'RAW_농산물_8월'!$D:$D,$C550,'RAW_농산물_8월'!$A:$A,$E550),SUMIFS('RAW_농산물_9월'!$H:$H,'RAW_농산물_9월'!$D:$D,$C550,'RAW_농산물_9월'!$A:$A,$E550),SUMIFS('RAW_농산물_10월'!$H:$H,'RAW_농산물_10월'!$D:$D,$C550,'RAW_농산물_10월'!$A:$A,$E550),SUMIFS('RAW_농산물_11-12월'!$H:$H,'RAW_농산물_11-12월'!$D:$D,$C550,'RAW_농산물_11-12월'!$A:$A,$E550))))</f>
        <v/>
      </c>
      <c r="I550" s="17" t="str">
        <f>IF($C550="","",IF(COUNTIFS('RAW_농산물_7월'!$D:$D,$C550,'RAW_농산물_7월'!$A:$A,$E550)&gt;0,"O",""))</f>
        <v/>
      </c>
      <c r="J550" s="17" t="str">
        <f>IF($C550="","",IF(COUNTIFS('RAW_농산물_8월'!$D:$D,$C550,'RAW_농산물_8월'!$A:$A,$E550)&gt;0,"O",""))</f>
        <v/>
      </c>
      <c r="K550" s="17" t="str">
        <f>IF($C550="","",IF(COUNTIFS('RAW_농산물_9월'!$D:$D,$C550,'RAW_농산물_9월'!$A:$A,$E550)&gt;0,"O",""))</f>
        <v/>
      </c>
      <c r="L550" s="17" t="str">
        <f>IF($C550="","",IF(COUNTIFS('RAW_농산물_10월'!$D:$D,$C550,'RAW_농산물_10월'!$A:$A,$E550)&gt;0,"O",""))</f>
        <v/>
      </c>
      <c r="M550" s="17" t="str">
        <f>IF($C550="","",IF(COUNTIFS('RAW_농산물_11-12월'!$D:$D,$C550,'RAW_농산물_11-12월'!$A:$A,$E550)&gt;0,"O",""))</f>
        <v/>
      </c>
      <c r="N550" s="7" t="str">
        <f>IF($C550="","",IF(COUNTA('RAW_농산물_7월'!$A:$A)&lt;=1,"",SUMIFS('RAW_농산물_7월'!$H:$H,'RAW_농산물_7월'!$D:$D,$C550,'RAW_농산물_7월'!$A:$A,$E550)))</f>
        <v/>
      </c>
      <c r="O550" s="7" t="str">
        <f>IF($C550="","",IF(COUNTA('RAW_농산물_8월'!$A:$A)&lt;=1,"",SUMIFS('RAW_농산물_8월'!$H:$H,'RAW_농산물_8월'!$D:$D,$C550,'RAW_농산물_8월'!$A:$A,$E550)-SUMIFS('RAW_농산물_7월'!$H:$H,'RAW_농산물_7월'!$D:$D,$C550,'RAW_농산물_7월'!$A:$A,$E550)))</f>
        <v/>
      </c>
      <c r="P550" s="7" t="str">
        <f>IF($C550="","",IF(COUNTA('RAW_농산물_9월'!$A:$A)&lt;=1,"",SUMIFS('RAW_농산물_9월'!$H:$H,'RAW_농산물_9월'!$D:$D,$C550,'RAW_농산물_9월'!$A:$A,$E550)-SUMIFS('RAW_농산물_8월'!$H:$H,'RAW_농산물_8월'!$D:$D,$C550,'RAW_농산물_8월'!$A:$A,$E550)))</f>
        <v/>
      </c>
      <c r="Q550" s="7" t="str">
        <f>IF($C550="","",IF(COUNTA('RAW_농산물_10월'!$A:$A)&lt;=1,"",SUMIFS('RAW_농산물_10월'!$H:$H,'RAW_농산물_10월'!$D:$D,$C550,'RAW_농산물_10월'!$A:$A,$E550)-SUMIFS('RAW_농산물_9월'!$H:$H,'RAW_농산물_9월'!$D:$D,$C550,'RAW_농산물_9월'!$A:$A,$E550)))</f>
        <v/>
      </c>
      <c r="R550" s="7" t="str">
        <f>IF($C550="","",IF(COUNTA('RAW_농산물_11-12월'!$A:$A)&lt;=1,"",SUMIFS('RAW_농산물_11-12월'!$H:$H,'RAW_농산물_11-12월'!$D:$D,$C550,'RAW_농산물_11-12월'!$A:$A,$E550)-SUMIFS('RAW_농산물_10월'!$H:$H,'RAW_농산물_10월'!$D:$D,$C550,'RAW_농산물_10월'!$A:$A,$E550)))</f>
        <v/>
      </c>
      <c r="S550" s="17" t="str">
        <f t="shared" si="4"/>
        <v/>
      </c>
      <c r="T550" s="17" t="str">
        <f t="shared" si="5"/>
        <v/>
      </c>
      <c r="U550" s="7">
        <f>IF($C550="",0,IF('설정'!$B$3=0,0,CHOOSE('설정'!$B$3,COUNTIFS('RAW_농산물_7월'!$D:$D,$C550,'RAW_농산물_7월'!$A:$A,$E550),COUNTIFS('RAW_농산물_8월'!$D:$D,$C550,'RAW_농산물_8월'!$A:$A,$E550),COUNTIFS('RAW_농산물_9월'!$D:$D,$C550,'RAW_농산물_9월'!$A:$A,$E550),COUNTIFS('RAW_농산물_10월'!$D:$D,$C550,'RAW_농산물_10월'!$A:$A,$E550),COUNTIFS('RAW_농산물_11-12월'!$D:$D,$C550,'RAW_농산물_11-12월'!$A:$A,$E550))))</f>
        <v>0</v>
      </c>
    </row>
    <row r="551" ht="15.75" customHeight="1">
      <c r="A551" s="5"/>
      <c r="B551" s="5"/>
      <c r="C551" s="5"/>
      <c r="D551" s="6"/>
      <c r="E551" s="5"/>
      <c r="F551" s="7" t="str">
        <f>IF($C551="","",IF('설정'!$B$3=0,"",CHOOSE('설정'!$B$3,SUMIFS('RAW_농산물_7월'!$F:$F,'RAW_농산물_7월'!$D:$D,$C551,'RAW_농산물_7월'!$A:$A,$E551),SUMIFS('RAW_농산물_8월'!$F:$F,'RAW_농산물_8월'!$D:$D,$C551,'RAW_농산물_8월'!$A:$A,$E551),SUMIFS('RAW_농산물_9월'!$F:$F,'RAW_농산물_9월'!$D:$D,$C551,'RAW_농산물_9월'!$A:$A,$E551),SUMIFS('RAW_농산물_10월'!$F:$F,'RAW_농산물_10월'!$D:$D,$C551,'RAW_농산물_10월'!$A:$A,$E551),SUMIFS('RAW_농산물_11-12월'!$F:$F,'RAW_농산물_11-12월'!$D:$D,$C551,'RAW_농산물_11-12월'!$A:$A,$E551))))</f>
        <v/>
      </c>
      <c r="G551" s="7" t="str">
        <f>IF($C551="","",IF('설정'!$B$3=0,"",CHOOSE('설정'!$B$3,SUMIFS('RAW_농산물_7월'!$G:$G,'RAW_농산물_7월'!$D:$D,$C551,'RAW_농산물_7월'!$A:$A,$E551),SUMIFS('RAW_농산물_8월'!$G:$G,'RAW_농산물_8월'!$D:$D,$C551,'RAW_농산물_8월'!$A:$A,$E551),SUMIFS('RAW_농산물_9월'!$G:$G,'RAW_농산물_9월'!$D:$D,$C551,'RAW_농산물_9월'!$A:$A,$E551),SUMIFS('RAW_농산물_10월'!$G:$G,'RAW_농산물_10월'!$D:$D,$C551,'RAW_농산물_10월'!$A:$A,$E551),SUMIFS('RAW_농산물_11-12월'!$G:$G,'RAW_농산물_11-12월'!$D:$D,$C551,'RAW_농산물_11-12월'!$A:$A,$E551))))</f>
        <v/>
      </c>
      <c r="H551" s="14" t="str">
        <f>IF($C551="","",IF('설정'!$B$3=0,"",CHOOSE('설정'!$B$3,SUMIFS('RAW_농산물_7월'!$H:$H,'RAW_농산물_7월'!$D:$D,$C551,'RAW_농산물_7월'!$A:$A,$E551),SUMIFS('RAW_농산물_8월'!$H:$H,'RAW_농산물_8월'!$D:$D,$C551,'RAW_농산물_8월'!$A:$A,$E551),SUMIFS('RAW_농산물_9월'!$H:$H,'RAW_농산물_9월'!$D:$D,$C551,'RAW_농산물_9월'!$A:$A,$E551),SUMIFS('RAW_농산물_10월'!$H:$H,'RAW_농산물_10월'!$D:$D,$C551,'RAW_농산물_10월'!$A:$A,$E551),SUMIFS('RAW_농산물_11-12월'!$H:$H,'RAW_농산물_11-12월'!$D:$D,$C551,'RAW_농산물_11-12월'!$A:$A,$E551))))</f>
        <v/>
      </c>
      <c r="I551" s="17" t="str">
        <f>IF($C551="","",IF(COUNTIFS('RAW_농산물_7월'!$D:$D,$C551,'RAW_농산물_7월'!$A:$A,$E551)&gt;0,"O",""))</f>
        <v/>
      </c>
      <c r="J551" s="17" t="str">
        <f>IF($C551="","",IF(COUNTIFS('RAW_농산물_8월'!$D:$D,$C551,'RAW_농산물_8월'!$A:$A,$E551)&gt;0,"O",""))</f>
        <v/>
      </c>
      <c r="K551" s="17" t="str">
        <f>IF($C551="","",IF(COUNTIFS('RAW_농산물_9월'!$D:$D,$C551,'RAW_농산물_9월'!$A:$A,$E551)&gt;0,"O",""))</f>
        <v/>
      </c>
      <c r="L551" s="17" t="str">
        <f>IF($C551="","",IF(COUNTIFS('RAW_농산물_10월'!$D:$D,$C551,'RAW_농산물_10월'!$A:$A,$E551)&gt;0,"O",""))</f>
        <v/>
      </c>
      <c r="M551" s="17" t="str">
        <f>IF($C551="","",IF(COUNTIFS('RAW_농산물_11-12월'!$D:$D,$C551,'RAW_농산물_11-12월'!$A:$A,$E551)&gt;0,"O",""))</f>
        <v/>
      </c>
      <c r="N551" s="7" t="str">
        <f>IF($C551="","",IF(COUNTA('RAW_농산물_7월'!$A:$A)&lt;=1,"",SUMIFS('RAW_농산물_7월'!$H:$H,'RAW_농산물_7월'!$D:$D,$C551,'RAW_농산물_7월'!$A:$A,$E551)))</f>
        <v/>
      </c>
      <c r="O551" s="7" t="str">
        <f>IF($C551="","",IF(COUNTA('RAW_농산물_8월'!$A:$A)&lt;=1,"",SUMIFS('RAW_농산물_8월'!$H:$H,'RAW_농산물_8월'!$D:$D,$C551,'RAW_농산물_8월'!$A:$A,$E551)-SUMIFS('RAW_농산물_7월'!$H:$H,'RAW_농산물_7월'!$D:$D,$C551,'RAW_농산물_7월'!$A:$A,$E551)))</f>
        <v/>
      </c>
      <c r="P551" s="7" t="str">
        <f>IF($C551="","",IF(COUNTA('RAW_농산물_9월'!$A:$A)&lt;=1,"",SUMIFS('RAW_농산물_9월'!$H:$H,'RAW_농산물_9월'!$D:$D,$C551,'RAW_농산물_9월'!$A:$A,$E551)-SUMIFS('RAW_농산물_8월'!$H:$H,'RAW_농산물_8월'!$D:$D,$C551,'RAW_농산물_8월'!$A:$A,$E551)))</f>
        <v/>
      </c>
      <c r="Q551" s="7" t="str">
        <f>IF($C551="","",IF(COUNTA('RAW_농산물_10월'!$A:$A)&lt;=1,"",SUMIFS('RAW_농산물_10월'!$H:$H,'RAW_농산물_10월'!$D:$D,$C551,'RAW_농산물_10월'!$A:$A,$E551)-SUMIFS('RAW_농산물_9월'!$H:$H,'RAW_농산물_9월'!$D:$D,$C551,'RAW_농산물_9월'!$A:$A,$E551)))</f>
        <v/>
      </c>
      <c r="R551" s="7" t="str">
        <f>IF($C551="","",IF(COUNTA('RAW_농산물_11-12월'!$A:$A)&lt;=1,"",SUMIFS('RAW_농산물_11-12월'!$H:$H,'RAW_농산물_11-12월'!$D:$D,$C551,'RAW_농산물_11-12월'!$A:$A,$E551)-SUMIFS('RAW_농산물_10월'!$H:$H,'RAW_농산물_10월'!$D:$D,$C551,'RAW_농산물_10월'!$A:$A,$E551)))</f>
        <v/>
      </c>
      <c r="S551" s="17" t="str">
        <f t="shared" si="4"/>
        <v/>
      </c>
      <c r="T551" s="17" t="str">
        <f t="shared" si="5"/>
        <v/>
      </c>
      <c r="U551" s="7">
        <f>IF($C551="",0,IF('설정'!$B$3=0,0,CHOOSE('설정'!$B$3,COUNTIFS('RAW_농산물_7월'!$D:$D,$C551,'RAW_농산물_7월'!$A:$A,$E551),COUNTIFS('RAW_농산물_8월'!$D:$D,$C551,'RAW_농산물_8월'!$A:$A,$E551),COUNTIFS('RAW_농산물_9월'!$D:$D,$C551,'RAW_농산물_9월'!$A:$A,$E551),COUNTIFS('RAW_농산물_10월'!$D:$D,$C551,'RAW_농산물_10월'!$A:$A,$E551),COUNTIFS('RAW_농산물_11-12월'!$D:$D,$C551,'RAW_농산물_11-12월'!$A:$A,$E551))))</f>
        <v>0</v>
      </c>
    </row>
    <row r="552" ht="15.75" customHeight="1">
      <c r="A552" s="5"/>
      <c r="B552" s="5"/>
      <c r="C552" s="5"/>
      <c r="D552" s="6"/>
      <c r="E552" s="5"/>
      <c r="F552" s="7" t="str">
        <f>IF($C552="","",IF('설정'!$B$3=0,"",CHOOSE('설정'!$B$3,SUMIFS('RAW_농산물_7월'!$F:$F,'RAW_농산물_7월'!$D:$D,$C552,'RAW_농산물_7월'!$A:$A,$E552),SUMIFS('RAW_농산물_8월'!$F:$F,'RAW_농산물_8월'!$D:$D,$C552,'RAW_농산물_8월'!$A:$A,$E552),SUMIFS('RAW_농산물_9월'!$F:$F,'RAW_농산물_9월'!$D:$D,$C552,'RAW_농산물_9월'!$A:$A,$E552),SUMIFS('RAW_농산물_10월'!$F:$F,'RAW_농산물_10월'!$D:$D,$C552,'RAW_농산물_10월'!$A:$A,$E552),SUMIFS('RAW_농산물_11-12월'!$F:$F,'RAW_농산물_11-12월'!$D:$D,$C552,'RAW_농산물_11-12월'!$A:$A,$E552))))</f>
        <v/>
      </c>
      <c r="G552" s="7" t="str">
        <f>IF($C552="","",IF('설정'!$B$3=0,"",CHOOSE('설정'!$B$3,SUMIFS('RAW_농산물_7월'!$G:$G,'RAW_농산물_7월'!$D:$D,$C552,'RAW_농산물_7월'!$A:$A,$E552),SUMIFS('RAW_농산물_8월'!$G:$G,'RAW_농산물_8월'!$D:$D,$C552,'RAW_농산물_8월'!$A:$A,$E552),SUMIFS('RAW_농산물_9월'!$G:$G,'RAW_농산물_9월'!$D:$D,$C552,'RAW_농산물_9월'!$A:$A,$E552),SUMIFS('RAW_농산물_10월'!$G:$G,'RAW_농산물_10월'!$D:$D,$C552,'RAW_농산물_10월'!$A:$A,$E552),SUMIFS('RAW_농산물_11-12월'!$G:$G,'RAW_농산물_11-12월'!$D:$D,$C552,'RAW_농산물_11-12월'!$A:$A,$E552))))</f>
        <v/>
      </c>
      <c r="H552" s="14" t="str">
        <f>IF($C552="","",IF('설정'!$B$3=0,"",CHOOSE('설정'!$B$3,SUMIFS('RAW_농산물_7월'!$H:$H,'RAW_농산물_7월'!$D:$D,$C552,'RAW_농산물_7월'!$A:$A,$E552),SUMIFS('RAW_농산물_8월'!$H:$H,'RAW_농산물_8월'!$D:$D,$C552,'RAW_농산물_8월'!$A:$A,$E552),SUMIFS('RAW_농산물_9월'!$H:$H,'RAW_농산물_9월'!$D:$D,$C552,'RAW_농산물_9월'!$A:$A,$E552),SUMIFS('RAW_농산물_10월'!$H:$H,'RAW_농산물_10월'!$D:$D,$C552,'RAW_농산물_10월'!$A:$A,$E552),SUMIFS('RAW_농산물_11-12월'!$H:$H,'RAW_농산물_11-12월'!$D:$D,$C552,'RAW_농산물_11-12월'!$A:$A,$E552))))</f>
        <v/>
      </c>
      <c r="I552" s="17" t="str">
        <f>IF($C552="","",IF(COUNTIFS('RAW_농산물_7월'!$D:$D,$C552,'RAW_농산물_7월'!$A:$A,$E552)&gt;0,"O",""))</f>
        <v/>
      </c>
      <c r="J552" s="17" t="str">
        <f>IF($C552="","",IF(COUNTIFS('RAW_농산물_8월'!$D:$D,$C552,'RAW_농산물_8월'!$A:$A,$E552)&gt;0,"O",""))</f>
        <v/>
      </c>
      <c r="K552" s="17" t="str">
        <f>IF($C552="","",IF(COUNTIFS('RAW_농산물_9월'!$D:$D,$C552,'RAW_농산물_9월'!$A:$A,$E552)&gt;0,"O",""))</f>
        <v/>
      </c>
      <c r="L552" s="17" t="str">
        <f>IF($C552="","",IF(COUNTIFS('RAW_농산물_10월'!$D:$D,$C552,'RAW_농산물_10월'!$A:$A,$E552)&gt;0,"O",""))</f>
        <v/>
      </c>
      <c r="M552" s="17" t="str">
        <f>IF($C552="","",IF(COUNTIFS('RAW_농산물_11-12월'!$D:$D,$C552,'RAW_농산물_11-12월'!$A:$A,$E552)&gt;0,"O",""))</f>
        <v/>
      </c>
      <c r="N552" s="7" t="str">
        <f>IF($C552="","",IF(COUNTA('RAW_농산물_7월'!$A:$A)&lt;=1,"",SUMIFS('RAW_농산물_7월'!$H:$H,'RAW_농산물_7월'!$D:$D,$C552,'RAW_농산물_7월'!$A:$A,$E552)))</f>
        <v/>
      </c>
      <c r="O552" s="7" t="str">
        <f>IF($C552="","",IF(COUNTA('RAW_농산물_8월'!$A:$A)&lt;=1,"",SUMIFS('RAW_농산물_8월'!$H:$H,'RAW_농산물_8월'!$D:$D,$C552,'RAW_농산물_8월'!$A:$A,$E552)-SUMIFS('RAW_농산물_7월'!$H:$H,'RAW_농산물_7월'!$D:$D,$C552,'RAW_농산물_7월'!$A:$A,$E552)))</f>
        <v/>
      </c>
      <c r="P552" s="7" t="str">
        <f>IF($C552="","",IF(COUNTA('RAW_농산물_9월'!$A:$A)&lt;=1,"",SUMIFS('RAW_농산물_9월'!$H:$H,'RAW_농산물_9월'!$D:$D,$C552,'RAW_농산물_9월'!$A:$A,$E552)-SUMIFS('RAW_농산물_8월'!$H:$H,'RAW_농산물_8월'!$D:$D,$C552,'RAW_농산물_8월'!$A:$A,$E552)))</f>
        <v/>
      </c>
      <c r="Q552" s="7" t="str">
        <f>IF($C552="","",IF(COUNTA('RAW_농산물_10월'!$A:$A)&lt;=1,"",SUMIFS('RAW_농산물_10월'!$H:$H,'RAW_농산물_10월'!$D:$D,$C552,'RAW_농산물_10월'!$A:$A,$E552)-SUMIFS('RAW_농산물_9월'!$H:$H,'RAW_농산물_9월'!$D:$D,$C552,'RAW_농산물_9월'!$A:$A,$E552)))</f>
        <v/>
      </c>
      <c r="R552" s="7" t="str">
        <f>IF($C552="","",IF(COUNTA('RAW_농산물_11-12월'!$A:$A)&lt;=1,"",SUMIFS('RAW_농산물_11-12월'!$H:$H,'RAW_농산물_11-12월'!$D:$D,$C552,'RAW_농산물_11-12월'!$A:$A,$E552)-SUMIFS('RAW_농산물_10월'!$H:$H,'RAW_농산물_10월'!$D:$D,$C552,'RAW_농산물_10월'!$A:$A,$E552)))</f>
        <v/>
      </c>
      <c r="S552" s="17" t="str">
        <f t="shared" si="4"/>
        <v/>
      </c>
      <c r="T552" s="17" t="str">
        <f t="shared" si="5"/>
        <v/>
      </c>
      <c r="U552" s="7">
        <f>IF($C552="",0,IF('설정'!$B$3=0,0,CHOOSE('설정'!$B$3,COUNTIFS('RAW_농산물_7월'!$D:$D,$C552,'RAW_농산물_7월'!$A:$A,$E552),COUNTIFS('RAW_농산물_8월'!$D:$D,$C552,'RAW_농산물_8월'!$A:$A,$E552),COUNTIFS('RAW_농산물_9월'!$D:$D,$C552,'RAW_농산물_9월'!$A:$A,$E552),COUNTIFS('RAW_농산물_10월'!$D:$D,$C552,'RAW_농산물_10월'!$A:$A,$E552),COUNTIFS('RAW_농산물_11-12월'!$D:$D,$C552,'RAW_농산물_11-12월'!$A:$A,$E552))))</f>
        <v>0</v>
      </c>
    </row>
    <row r="553" ht="15.75" customHeight="1">
      <c r="A553" s="5"/>
      <c r="B553" s="5"/>
      <c r="C553" s="5"/>
      <c r="D553" s="6"/>
      <c r="E553" s="5"/>
      <c r="F553" s="7" t="str">
        <f>IF($C553="","",IF('설정'!$B$3=0,"",CHOOSE('설정'!$B$3,SUMIFS('RAW_농산물_7월'!$F:$F,'RAW_농산물_7월'!$D:$D,$C553,'RAW_농산물_7월'!$A:$A,$E553),SUMIFS('RAW_농산물_8월'!$F:$F,'RAW_농산물_8월'!$D:$D,$C553,'RAW_농산물_8월'!$A:$A,$E553),SUMIFS('RAW_농산물_9월'!$F:$F,'RAW_농산물_9월'!$D:$D,$C553,'RAW_농산물_9월'!$A:$A,$E553),SUMIFS('RAW_농산물_10월'!$F:$F,'RAW_농산물_10월'!$D:$D,$C553,'RAW_농산물_10월'!$A:$A,$E553),SUMIFS('RAW_농산물_11-12월'!$F:$F,'RAW_농산물_11-12월'!$D:$D,$C553,'RAW_농산물_11-12월'!$A:$A,$E553))))</f>
        <v/>
      </c>
      <c r="G553" s="7" t="str">
        <f>IF($C553="","",IF('설정'!$B$3=0,"",CHOOSE('설정'!$B$3,SUMIFS('RAW_농산물_7월'!$G:$G,'RAW_농산물_7월'!$D:$D,$C553,'RAW_농산물_7월'!$A:$A,$E553),SUMIFS('RAW_농산물_8월'!$G:$G,'RAW_농산물_8월'!$D:$D,$C553,'RAW_농산물_8월'!$A:$A,$E553),SUMIFS('RAW_농산물_9월'!$G:$G,'RAW_농산물_9월'!$D:$D,$C553,'RAW_농산물_9월'!$A:$A,$E553),SUMIFS('RAW_농산물_10월'!$G:$G,'RAW_농산물_10월'!$D:$D,$C553,'RAW_농산물_10월'!$A:$A,$E553),SUMIFS('RAW_농산물_11-12월'!$G:$G,'RAW_농산물_11-12월'!$D:$D,$C553,'RAW_농산물_11-12월'!$A:$A,$E553))))</f>
        <v/>
      </c>
      <c r="H553" s="14" t="str">
        <f>IF($C553="","",IF('설정'!$B$3=0,"",CHOOSE('설정'!$B$3,SUMIFS('RAW_농산물_7월'!$H:$H,'RAW_농산물_7월'!$D:$D,$C553,'RAW_농산물_7월'!$A:$A,$E553),SUMIFS('RAW_농산물_8월'!$H:$H,'RAW_농산물_8월'!$D:$D,$C553,'RAW_농산물_8월'!$A:$A,$E553),SUMIFS('RAW_농산물_9월'!$H:$H,'RAW_농산물_9월'!$D:$D,$C553,'RAW_농산물_9월'!$A:$A,$E553),SUMIFS('RAW_농산물_10월'!$H:$H,'RAW_농산물_10월'!$D:$D,$C553,'RAW_농산물_10월'!$A:$A,$E553),SUMIFS('RAW_농산물_11-12월'!$H:$H,'RAW_농산물_11-12월'!$D:$D,$C553,'RAW_농산물_11-12월'!$A:$A,$E553))))</f>
        <v/>
      </c>
      <c r="I553" s="17" t="str">
        <f>IF($C553="","",IF(COUNTIFS('RAW_농산물_7월'!$D:$D,$C553,'RAW_농산물_7월'!$A:$A,$E553)&gt;0,"O",""))</f>
        <v/>
      </c>
      <c r="J553" s="17" t="str">
        <f>IF($C553="","",IF(COUNTIFS('RAW_농산물_8월'!$D:$D,$C553,'RAW_농산물_8월'!$A:$A,$E553)&gt;0,"O",""))</f>
        <v/>
      </c>
      <c r="K553" s="17" t="str">
        <f>IF($C553="","",IF(COUNTIFS('RAW_농산물_9월'!$D:$D,$C553,'RAW_농산물_9월'!$A:$A,$E553)&gt;0,"O",""))</f>
        <v/>
      </c>
      <c r="L553" s="17" t="str">
        <f>IF($C553="","",IF(COUNTIFS('RAW_농산물_10월'!$D:$D,$C553,'RAW_농산물_10월'!$A:$A,$E553)&gt;0,"O",""))</f>
        <v/>
      </c>
      <c r="M553" s="17" t="str">
        <f>IF($C553="","",IF(COUNTIFS('RAW_농산물_11-12월'!$D:$D,$C553,'RAW_농산물_11-12월'!$A:$A,$E553)&gt;0,"O",""))</f>
        <v/>
      </c>
      <c r="N553" s="7" t="str">
        <f>IF($C553="","",IF(COUNTA('RAW_농산물_7월'!$A:$A)&lt;=1,"",SUMIFS('RAW_농산물_7월'!$H:$H,'RAW_농산물_7월'!$D:$D,$C553,'RAW_농산물_7월'!$A:$A,$E553)))</f>
        <v/>
      </c>
      <c r="O553" s="7" t="str">
        <f>IF($C553="","",IF(COUNTA('RAW_농산물_8월'!$A:$A)&lt;=1,"",SUMIFS('RAW_농산물_8월'!$H:$H,'RAW_농산물_8월'!$D:$D,$C553,'RAW_농산물_8월'!$A:$A,$E553)-SUMIFS('RAW_농산물_7월'!$H:$H,'RAW_농산물_7월'!$D:$D,$C553,'RAW_농산물_7월'!$A:$A,$E553)))</f>
        <v/>
      </c>
      <c r="P553" s="7" t="str">
        <f>IF($C553="","",IF(COUNTA('RAW_농산물_9월'!$A:$A)&lt;=1,"",SUMIFS('RAW_농산물_9월'!$H:$H,'RAW_농산물_9월'!$D:$D,$C553,'RAW_농산물_9월'!$A:$A,$E553)-SUMIFS('RAW_농산물_8월'!$H:$H,'RAW_농산물_8월'!$D:$D,$C553,'RAW_농산물_8월'!$A:$A,$E553)))</f>
        <v/>
      </c>
      <c r="Q553" s="7" t="str">
        <f>IF($C553="","",IF(COUNTA('RAW_농산물_10월'!$A:$A)&lt;=1,"",SUMIFS('RAW_농산물_10월'!$H:$H,'RAW_농산물_10월'!$D:$D,$C553,'RAW_농산물_10월'!$A:$A,$E553)-SUMIFS('RAW_농산물_9월'!$H:$H,'RAW_농산물_9월'!$D:$D,$C553,'RAW_농산물_9월'!$A:$A,$E553)))</f>
        <v/>
      </c>
      <c r="R553" s="7" t="str">
        <f>IF($C553="","",IF(COUNTA('RAW_농산물_11-12월'!$A:$A)&lt;=1,"",SUMIFS('RAW_농산물_11-12월'!$H:$H,'RAW_농산물_11-12월'!$D:$D,$C553,'RAW_농산물_11-12월'!$A:$A,$E553)-SUMIFS('RAW_농산물_10월'!$H:$H,'RAW_농산물_10월'!$D:$D,$C553,'RAW_농산물_10월'!$A:$A,$E553)))</f>
        <v/>
      </c>
      <c r="S553" s="17" t="str">
        <f t="shared" si="4"/>
        <v/>
      </c>
      <c r="T553" s="17" t="str">
        <f t="shared" si="5"/>
        <v/>
      </c>
      <c r="U553" s="7">
        <f>IF($C553="",0,IF('설정'!$B$3=0,0,CHOOSE('설정'!$B$3,COUNTIFS('RAW_농산물_7월'!$D:$D,$C553,'RAW_농산물_7월'!$A:$A,$E553),COUNTIFS('RAW_농산물_8월'!$D:$D,$C553,'RAW_농산물_8월'!$A:$A,$E553),COUNTIFS('RAW_농산물_9월'!$D:$D,$C553,'RAW_농산물_9월'!$A:$A,$E553),COUNTIFS('RAW_농산물_10월'!$D:$D,$C553,'RAW_농산물_10월'!$A:$A,$E553),COUNTIFS('RAW_농산물_11-12월'!$D:$D,$C553,'RAW_농산물_11-12월'!$A:$A,$E553))))</f>
        <v>0</v>
      </c>
    </row>
    <row r="554" ht="15.75" customHeight="1">
      <c r="A554" s="5"/>
      <c r="B554" s="5"/>
      <c r="C554" s="5"/>
      <c r="D554" s="6"/>
      <c r="E554" s="5"/>
      <c r="F554" s="7" t="str">
        <f>IF($C554="","",IF('설정'!$B$3=0,"",CHOOSE('설정'!$B$3,SUMIFS('RAW_농산물_7월'!$F:$F,'RAW_농산물_7월'!$D:$D,$C554,'RAW_농산물_7월'!$A:$A,$E554),SUMIFS('RAW_농산물_8월'!$F:$F,'RAW_농산물_8월'!$D:$D,$C554,'RAW_농산물_8월'!$A:$A,$E554),SUMIFS('RAW_농산물_9월'!$F:$F,'RAW_농산물_9월'!$D:$D,$C554,'RAW_농산물_9월'!$A:$A,$E554),SUMIFS('RAW_농산물_10월'!$F:$F,'RAW_농산물_10월'!$D:$D,$C554,'RAW_농산물_10월'!$A:$A,$E554),SUMIFS('RAW_농산물_11-12월'!$F:$F,'RAW_농산물_11-12월'!$D:$D,$C554,'RAW_농산물_11-12월'!$A:$A,$E554))))</f>
        <v/>
      </c>
      <c r="G554" s="7" t="str">
        <f>IF($C554="","",IF('설정'!$B$3=0,"",CHOOSE('설정'!$B$3,SUMIFS('RAW_농산물_7월'!$G:$G,'RAW_농산물_7월'!$D:$D,$C554,'RAW_농산물_7월'!$A:$A,$E554),SUMIFS('RAW_농산물_8월'!$G:$G,'RAW_농산물_8월'!$D:$D,$C554,'RAW_농산물_8월'!$A:$A,$E554),SUMIFS('RAW_농산물_9월'!$G:$G,'RAW_농산물_9월'!$D:$D,$C554,'RAW_농산물_9월'!$A:$A,$E554),SUMIFS('RAW_농산물_10월'!$G:$G,'RAW_농산물_10월'!$D:$D,$C554,'RAW_농산물_10월'!$A:$A,$E554),SUMIFS('RAW_농산물_11-12월'!$G:$G,'RAW_농산물_11-12월'!$D:$D,$C554,'RAW_농산물_11-12월'!$A:$A,$E554))))</f>
        <v/>
      </c>
      <c r="H554" s="14" t="str">
        <f>IF($C554="","",IF('설정'!$B$3=0,"",CHOOSE('설정'!$B$3,SUMIFS('RAW_농산물_7월'!$H:$H,'RAW_농산물_7월'!$D:$D,$C554,'RAW_농산물_7월'!$A:$A,$E554),SUMIFS('RAW_농산물_8월'!$H:$H,'RAW_농산물_8월'!$D:$D,$C554,'RAW_농산물_8월'!$A:$A,$E554),SUMIFS('RAW_농산물_9월'!$H:$H,'RAW_농산물_9월'!$D:$D,$C554,'RAW_농산물_9월'!$A:$A,$E554),SUMIFS('RAW_농산물_10월'!$H:$H,'RAW_농산물_10월'!$D:$D,$C554,'RAW_농산물_10월'!$A:$A,$E554),SUMIFS('RAW_농산물_11-12월'!$H:$H,'RAW_농산물_11-12월'!$D:$D,$C554,'RAW_농산물_11-12월'!$A:$A,$E554))))</f>
        <v/>
      </c>
      <c r="I554" s="17" t="str">
        <f>IF($C554="","",IF(COUNTIFS('RAW_농산물_7월'!$D:$D,$C554,'RAW_농산물_7월'!$A:$A,$E554)&gt;0,"O",""))</f>
        <v/>
      </c>
      <c r="J554" s="17" t="str">
        <f>IF($C554="","",IF(COUNTIFS('RAW_농산물_8월'!$D:$D,$C554,'RAW_농산물_8월'!$A:$A,$E554)&gt;0,"O",""))</f>
        <v/>
      </c>
      <c r="K554" s="17" t="str">
        <f>IF($C554="","",IF(COUNTIFS('RAW_농산물_9월'!$D:$D,$C554,'RAW_농산물_9월'!$A:$A,$E554)&gt;0,"O",""))</f>
        <v/>
      </c>
      <c r="L554" s="17" t="str">
        <f>IF($C554="","",IF(COUNTIFS('RAW_농산물_10월'!$D:$D,$C554,'RAW_농산물_10월'!$A:$A,$E554)&gt;0,"O",""))</f>
        <v/>
      </c>
      <c r="M554" s="17" t="str">
        <f>IF($C554="","",IF(COUNTIFS('RAW_농산물_11-12월'!$D:$D,$C554,'RAW_농산물_11-12월'!$A:$A,$E554)&gt;0,"O",""))</f>
        <v/>
      </c>
      <c r="N554" s="7" t="str">
        <f>IF($C554="","",IF(COUNTA('RAW_농산물_7월'!$A:$A)&lt;=1,"",SUMIFS('RAW_농산물_7월'!$H:$H,'RAW_농산물_7월'!$D:$D,$C554,'RAW_농산물_7월'!$A:$A,$E554)))</f>
        <v/>
      </c>
      <c r="O554" s="7" t="str">
        <f>IF($C554="","",IF(COUNTA('RAW_농산물_8월'!$A:$A)&lt;=1,"",SUMIFS('RAW_농산물_8월'!$H:$H,'RAW_농산물_8월'!$D:$D,$C554,'RAW_농산물_8월'!$A:$A,$E554)-SUMIFS('RAW_농산물_7월'!$H:$H,'RAW_농산물_7월'!$D:$D,$C554,'RAW_농산물_7월'!$A:$A,$E554)))</f>
        <v/>
      </c>
      <c r="P554" s="7" t="str">
        <f>IF($C554="","",IF(COUNTA('RAW_농산물_9월'!$A:$A)&lt;=1,"",SUMIFS('RAW_농산물_9월'!$H:$H,'RAW_농산물_9월'!$D:$D,$C554,'RAW_농산물_9월'!$A:$A,$E554)-SUMIFS('RAW_농산물_8월'!$H:$H,'RAW_농산물_8월'!$D:$D,$C554,'RAW_농산물_8월'!$A:$A,$E554)))</f>
        <v/>
      </c>
      <c r="Q554" s="7" t="str">
        <f>IF($C554="","",IF(COUNTA('RAW_농산물_10월'!$A:$A)&lt;=1,"",SUMIFS('RAW_농산물_10월'!$H:$H,'RAW_농산물_10월'!$D:$D,$C554,'RAW_농산물_10월'!$A:$A,$E554)-SUMIFS('RAW_농산물_9월'!$H:$H,'RAW_농산물_9월'!$D:$D,$C554,'RAW_농산물_9월'!$A:$A,$E554)))</f>
        <v/>
      </c>
      <c r="R554" s="7" t="str">
        <f>IF($C554="","",IF(COUNTA('RAW_농산물_11-12월'!$A:$A)&lt;=1,"",SUMIFS('RAW_농산물_11-12월'!$H:$H,'RAW_농산물_11-12월'!$D:$D,$C554,'RAW_농산물_11-12월'!$A:$A,$E554)-SUMIFS('RAW_농산물_10월'!$H:$H,'RAW_농산물_10월'!$D:$D,$C554,'RAW_농산물_10월'!$A:$A,$E554)))</f>
        <v/>
      </c>
      <c r="S554" s="17" t="str">
        <f t="shared" si="4"/>
        <v/>
      </c>
      <c r="T554" s="17" t="str">
        <f t="shared" si="5"/>
        <v/>
      </c>
      <c r="U554" s="7">
        <f>IF($C554="",0,IF('설정'!$B$3=0,0,CHOOSE('설정'!$B$3,COUNTIFS('RAW_농산물_7월'!$D:$D,$C554,'RAW_농산물_7월'!$A:$A,$E554),COUNTIFS('RAW_농산물_8월'!$D:$D,$C554,'RAW_농산물_8월'!$A:$A,$E554),COUNTIFS('RAW_농산물_9월'!$D:$D,$C554,'RAW_농산물_9월'!$A:$A,$E554),COUNTIFS('RAW_농산물_10월'!$D:$D,$C554,'RAW_농산물_10월'!$A:$A,$E554),COUNTIFS('RAW_농산물_11-12월'!$D:$D,$C554,'RAW_농산물_11-12월'!$A:$A,$E554))))</f>
        <v>0</v>
      </c>
    </row>
    <row r="555" ht="15.75" customHeight="1">
      <c r="A555" s="5"/>
      <c r="B555" s="5"/>
      <c r="C555" s="5"/>
      <c r="D555" s="6"/>
      <c r="E555" s="5"/>
      <c r="F555" s="7" t="str">
        <f>IF($C555="","",IF('설정'!$B$3=0,"",CHOOSE('설정'!$B$3,SUMIFS('RAW_농산물_7월'!$F:$F,'RAW_농산물_7월'!$D:$D,$C555,'RAW_농산물_7월'!$A:$A,$E555),SUMIFS('RAW_농산물_8월'!$F:$F,'RAW_농산물_8월'!$D:$D,$C555,'RAW_농산물_8월'!$A:$A,$E555),SUMIFS('RAW_농산물_9월'!$F:$F,'RAW_농산물_9월'!$D:$D,$C555,'RAW_농산물_9월'!$A:$A,$E555),SUMIFS('RAW_농산물_10월'!$F:$F,'RAW_농산물_10월'!$D:$D,$C555,'RAW_농산물_10월'!$A:$A,$E555),SUMIFS('RAW_농산물_11-12월'!$F:$F,'RAW_농산물_11-12월'!$D:$D,$C555,'RAW_농산물_11-12월'!$A:$A,$E555))))</f>
        <v/>
      </c>
      <c r="G555" s="7" t="str">
        <f>IF($C555="","",IF('설정'!$B$3=0,"",CHOOSE('설정'!$B$3,SUMIFS('RAW_농산물_7월'!$G:$G,'RAW_농산물_7월'!$D:$D,$C555,'RAW_농산물_7월'!$A:$A,$E555),SUMIFS('RAW_농산물_8월'!$G:$G,'RAW_농산물_8월'!$D:$D,$C555,'RAW_농산물_8월'!$A:$A,$E555),SUMIFS('RAW_농산물_9월'!$G:$G,'RAW_농산물_9월'!$D:$D,$C555,'RAW_농산물_9월'!$A:$A,$E555),SUMIFS('RAW_농산물_10월'!$G:$G,'RAW_농산물_10월'!$D:$D,$C555,'RAW_농산물_10월'!$A:$A,$E555),SUMIFS('RAW_농산물_11-12월'!$G:$G,'RAW_농산물_11-12월'!$D:$D,$C555,'RAW_농산물_11-12월'!$A:$A,$E555))))</f>
        <v/>
      </c>
      <c r="H555" s="14" t="str">
        <f>IF($C555="","",IF('설정'!$B$3=0,"",CHOOSE('설정'!$B$3,SUMIFS('RAW_농산물_7월'!$H:$H,'RAW_농산물_7월'!$D:$D,$C555,'RAW_농산물_7월'!$A:$A,$E555),SUMIFS('RAW_농산물_8월'!$H:$H,'RAW_농산물_8월'!$D:$D,$C555,'RAW_농산물_8월'!$A:$A,$E555),SUMIFS('RAW_농산물_9월'!$H:$H,'RAW_농산물_9월'!$D:$D,$C555,'RAW_농산물_9월'!$A:$A,$E555),SUMIFS('RAW_농산물_10월'!$H:$H,'RAW_농산물_10월'!$D:$D,$C555,'RAW_농산물_10월'!$A:$A,$E555),SUMIFS('RAW_농산물_11-12월'!$H:$H,'RAW_농산물_11-12월'!$D:$D,$C555,'RAW_농산물_11-12월'!$A:$A,$E555))))</f>
        <v/>
      </c>
      <c r="I555" s="17" t="str">
        <f>IF($C555="","",IF(COUNTIFS('RAW_농산물_7월'!$D:$D,$C555,'RAW_농산물_7월'!$A:$A,$E555)&gt;0,"O",""))</f>
        <v/>
      </c>
      <c r="J555" s="17" t="str">
        <f>IF($C555="","",IF(COUNTIFS('RAW_농산물_8월'!$D:$D,$C555,'RAW_농산물_8월'!$A:$A,$E555)&gt;0,"O",""))</f>
        <v/>
      </c>
      <c r="K555" s="17" t="str">
        <f>IF($C555="","",IF(COUNTIFS('RAW_농산물_9월'!$D:$D,$C555,'RAW_농산물_9월'!$A:$A,$E555)&gt;0,"O",""))</f>
        <v/>
      </c>
      <c r="L555" s="17" t="str">
        <f>IF($C555="","",IF(COUNTIFS('RAW_농산물_10월'!$D:$D,$C555,'RAW_농산물_10월'!$A:$A,$E555)&gt;0,"O",""))</f>
        <v/>
      </c>
      <c r="M555" s="17" t="str">
        <f>IF($C555="","",IF(COUNTIFS('RAW_농산물_11-12월'!$D:$D,$C555,'RAW_농산물_11-12월'!$A:$A,$E555)&gt;0,"O",""))</f>
        <v/>
      </c>
      <c r="N555" s="7" t="str">
        <f>IF($C555="","",IF(COUNTA('RAW_농산물_7월'!$A:$A)&lt;=1,"",SUMIFS('RAW_농산물_7월'!$H:$H,'RAW_농산물_7월'!$D:$D,$C555,'RAW_농산물_7월'!$A:$A,$E555)))</f>
        <v/>
      </c>
      <c r="O555" s="7" t="str">
        <f>IF($C555="","",IF(COUNTA('RAW_농산물_8월'!$A:$A)&lt;=1,"",SUMIFS('RAW_농산물_8월'!$H:$H,'RAW_농산물_8월'!$D:$D,$C555,'RAW_농산물_8월'!$A:$A,$E555)-SUMIFS('RAW_농산물_7월'!$H:$H,'RAW_농산물_7월'!$D:$D,$C555,'RAW_농산물_7월'!$A:$A,$E555)))</f>
        <v/>
      </c>
      <c r="P555" s="7" t="str">
        <f>IF($C555="","",IF(COUNTA('RAW_농산물_9월'!$A:$A)&lt;=1,"",SUMIFS('RAW_농산물_9월'!$H:$H,'RAW_농산물_9월'!$D:$D,$C555,'RAW_농산물_9월'!$A:$A,$E555)-SUMIFS('RAW_농산물_8월'!$H:$H,'RAW_농산물_8월'!$D:$D,$C555,'RAW_농산물_8월'!$A:$A,$E555)))</f>
        <v/>
      </c>
      <c r="Q555" s="7" t="str">
        <f>IF($C555="","",IF(COUNTA('RAW_농산물_10월'!$A:$A)&lt;=1,"",SUMIFS('RAW_농산물_10월'!$H:$H,'RAW_농산물_10월'!$D:$D,$C555,'RAW_농산물_10월'!$A:$A,$E555)-SUMIFS('RAW_농산물_9월'!$H:$H,'RAW_농산물_9월'!$D:$D,$C555,'RAW_농산물_9월'!$A:$A,$E555)))</f>
        <v/>
      </c>
      <c r="R555" s="7" t="str">
        <f>IF($C555="","",IF(COUNTA('RAW_농산물_11-12월'!$A:$A)&lt;=1,"",SUMIFS('RAW_농산물_11-12월'!$H:$H,'RAW_농산물_11-12월'!$D:$D,$C555,'RAW_농산물_11-12월'!$A:$A,$E555)-SUMIFS('RAW_농산물_10월'!$H:$H,'RAW_농산물_10월'!$D:$D,$C555,'RAW_농산물_10월'!$A:$A,$E555)))</f>
        <v/>
      </c>
      <c r="S555" s="17" t="str">
        <f t="shared" si="4"/>
        <v/>
      </c>
      <c r="T555" s="17" t="str">
        <f t="shared" si="5"/>
        <v/>
      </c>
      <c r="U555" s="7">
        <f>IF($C555="",0,IF('설정'!$B$3=0,0,CHOOSE('설정'!$B$3,COUNTIFS('RAW_농산물_7월'!$D:$D,$C555,'RAW_농산물_7월'!$A:$A,$E555),COUNTIFS('RAW_농산물_8월'!$D:$D,$C555,'RAW_농산물_8월'!$A:$A,$E555),COUNTIFS('RAW_농산물_9월'!$D:$D,$C555,'RAW_농산물_9월'!$A:$A,$E555),COUNTIFS('RAW_농산물_10월'!$D:$D,$C555,'RAW_농산물_10월'!$A:$A,$E555),COUNTIFS('RAW_농산물_11-12월'!$D:$D,$C555,'RAW_농산물_11-12월'!$A:$A,$E555))))</f>
        <v>0</v>
      </c>
    </row>
    <row r="556" ht="15.75" customHeight="1">
      <c r="A556" s="5"/>
      <c r="B556" s="5"/>
      <c r="C556" s="5"/>
      <c r="D556" s="6"/>
      <c r="E556" s="5"/>
      <c r="F556" s="7" t="str">
        <f>IF($C556="","",IF('설정'!$B$3=0,"",CHOOSE('설정'!$B$3,SUMIFS('RAW_농산물_7월'!$F:$F,'RAW_농산물_7월'!$D:$D,$C556,'RAW_농산물_7월'!$A:$A,$E556),SUMIFS('RAW_농산물_8월'!$F:$F,'RAW_농산물_8월'!$D:$D,$C556,'RAW_농산물_8월'!$A:$A,$E556),SUMIFS('RAW_농산물_9월'!$F:$F,'RAW_농산물_9월'!$D:$D,$C556,'RAW_농산물_9월'!$A:$A,$E556),SUMIFS('RAW_농산물_10월'!$F:$F,'RAW_농산물_10월'!$D:$D,$C556,'RAW_농산물_10월'!$A:$A,$E556),SUMIFS('RAW_농산물_11-12월'!$F:$F,'RAW_농산물_11-12월'!$D:$D,$C556,'RAW_농산물_11-12월'!$A:$A,$E556))))</f>
        <v/>
      </c>
      <c r="G556" s="7" t="str">
        <f>IF($C556="","",IF('설정'!$B$3=0,"",CHOOSE('설정'!$B$3,SUMIFS('RAW_농산물_7월'!$G:$G,'RAW_농산물_7월'!$D:$D,$C556,'RAW_농산물_7월'!$A:$A,$E556),SUMIFS('RAW_농산물_8월'!$G:$G,'RAW_농산물_8월'!$D:$D,$C556,'RAW_농산물_8월'!$A:$A,$E556),SUMIFS('RAW_농산물_9월'!$G:$G,'RAW_농산물_9월'!$D:$D,$C556,'RAW_농산물_9월'!$A:$A,$E556),SUMIFS('RAW_농산물_10월'!$G:$G,'RAW_농산물_10월'!$D:$D,$C556,'RAW_농산물_10월'!$A:$A,$E556),SUMIFS('RAW_농산물_11-12월'!$G:$G,'RAW_농산물_11-12월'!$D:$D,$C556,'RAW_농산물_11-12월'!$A:$A,$E556))))</f>
        <v/>
      </c>
      <c r="H556" s="14" t="str">
        <f>IF($C556="","",IF('설정'!$B$3=0,"",CHOOSE('설정'!$B$3,SUMIFS('RAW_농산물_7월'!$H:$H,'RAW_농산물_7월'!$D:$D,$C556,'RAW_농산물_7월'!$A:$A,$E556),SUMIFS('RAW_농산물_8월'!$H:$H,'RAW_농산물_8월'!$D:$D,$C556,'RAW_농산물_8월'!$A:$A,$E556),SUMIFS('RAW_농산물_9월'!$H:$H,'RAW_농산물_9월'!$D:$D,$C556,'RAW_농산물_9월'!$A:$A,$E556),SUMIFS('RAW_농산물_10월'!$H:$H,'RAW_농산물_10월'!$D:$D,$C556,'RAW_농산물_10월'!$A:$A,$E556),SUMIFS('RAW_농산물_11-12월'!$H:$H,'RAW_농산물_11-12월'!$D:$D,$C556,'RAW_농산물_11-12월'!$A:$A,$E556))))</f>
        <v/>
      </c>
      <c r="I556" s="17" t="str">
        <f>IF($C556="","",IF(COUNTIFS('RAW_농산물_7월'!$D:$D,$C556,'RAW_농산물_7월'!$A:$A,$E556)&gt;0,"O",""))</f>
        <v/>
      </c>
      <c r="J556" s="17" t="str">
        <f>IF($C556="","",IF(COUNTIFS('RAW_농산물_8월'!$D:$D,$C556,'RAW_농산물_8월'!$A:$A,$E556)&gt;0,"O",""))</f>
        <v/>
      </c>
      <c r="K556" s="17" t="str">
        <f>IF($C556="","",IF(COUNTIFS('RAW_농산물_9월'!$D:$D,$C556,'RAW_농산물_9월'!$A:$A,$E556)&gt;0,"O",""))</f>
        <v/>
      </c>
      <c r="L556" s="17" t="str">
        <f>IF($C556="","",IF(COUNTIFS('RAW_농산물_10월'!$D:$D,$C556,'RAW_농산물_10월'!$A:$A,$E556)&gt;0,"O",""))</f>
        <v/>
      </c>
      <c r="M556" s="17" t="str">
        <f>IF($C556="","",IF(COUNTIFS('RAW_농산물_11-12월'!$D:$D,$C556,'RAW_농산물_11-12월'!$A:$A,$E556)&gt;0,"O",""))</f>
        <v/>
      </c>
      <c r="N556" s="7" t="str">
        <f>IF($C556="","",IF(COUNTA('RAW_농산물_7월'!$A:$A)&lt;=1,"",SUMIFS('RAW_농산물_7월'!$H:$H,'RAW_농산물_7월'!$D:$D,$C556,'RAW_농산물_7월'!$A:$A,$E556)))</f>
        <v/>
      </c>
      <c r="O556" s="7" t="str">
        <f>IF($C556="","",IF(COUNTA('RAW_농산물_8월'!$A:$A)&lt;=1,"",SUMIFS('RAW_농산물_8월'!$H:$H,'RAW_농산물_8월'!$D:$D,$C556,'RAW_농산물_8월'!$A:$A,$E556)-SUMIFS('RAW_농산물_7월'!$H:$H,'RAW_농산물_7월'!$D:$D,$C556,'RAW_농산물_7월'!$A:$A,$E556)))</f>
        <v/>
      </c>
      <c r="P556" s="7" t="str">
        <f>IF($C556="","",IF(COUNTA('RAW_농산물_9월'!$A:$A)&lt;=1,"",SUMIFS('RAW_농산물_9월'!$H:$H,'RAW_농산물_9월'!$D:$D,$C556,'RAW_농산물_9월'!$A:$A,$E556)-SUMIFS('RAW_농산물_8월'!$H:$H,'RAW_농산물_8월'!$D:$D,$C556,'RAW_농산물_8월'!$A:$A,$E556)))</f>
        <v/>
      </c>
      <c r="Q556" s="7" t="str">
        <f>IF($C556="","",IF(COUNTA('RAW_농산물_10월'!$A:$A)&lt;=1,"",SUMIFS('RAW_농산물_10월'!$H:$H,'RAW_농산물_10월'!$D:$D,$C556,'RAW_농산물_10월'!$A:$A,$E556)-SUMIFS('RAW_농산물_9월'!$H:$H,'RAW_농산물_9월'!$D:$D,$C556,'RAW_농산물_9월'!$A:$A,$E556)))</f>
        <v/>
      </c>
      <c r="R556" s="7" t="str">
        <f>IF($C556="","",IF(COUNTA('RAW_농산물_11-12월'!$A:$A)&lt;=1,"",SUMIFS('RAW_농산물_11-12월'!$H:$H,'RAW_농산물_11-12월'!$D:$D,$C556,'RAW_농산물_11-12월'!$A:$A,$E556)-SUMIFS('RAW_농산물_10월'!$H:$H,'RAW_농산물_10월'!$D:$D,$C556,'RAW_농산물_10월'!$A:$A,$E556)))</f>
        <v/>
      </c>
      <c r="S556" s="17" t="str">
        <f t="shared" si="4"/>
        <v/>
      </c>
      <c r="T556" s="17" t="str">
        <f t="shared" si="5"/>
        <v/>
      </c>
      <c r="U556" s="7">
        <f>IF($C556="",0,IF('설정'!$B$3=0,0,CHOOSE('설정'!$B$3,COUNTIFS('RAW_농산물_7월'!$D:$D,$C556,'RAW_농산물_7월'!$A:$A,$E556),COUNTIFS('RAW_농산물_8월'!$D:$D,$C556,'RAW_농산물_8월'!$A:$A,$E556),COUNTIFS('RAW_농산물_9월'!$D:$D,$C556,'RAW_농산물_9월'!$A:$A,$E556),COUNTIFS('RAW_농산물_10월'!$D:$D,$C556,'RAW_농산물_10월'!$A:$A,$E556),COUNTIFS('RAW_농산물_11-12월'!$D:$D,$C556,'RAW_농산물_11-12월'!$A:$A,$E556))))</f>
        <v>0</v>
      </c>
    </row>
    <row r="557" ht="15.75" customHeight="1">
      <c r="A557" s="5"/>
      <c r="B557" s="5"/>
      <c r="C557" s="5"/>
      <c r="D557" s="6"/>
      <c r="E557" s="5"/>
      <c r="F557" s="7" t="str">
        <f>IF($C557="","",IF('설정'!$B$3=0,"",CHOOSE('설정'!$B$3,SUMIFS('RAW_농산물_7월'!$F:$F,'RAW_농산물_7월'!$D:$D,$C557,'RAW_농산물_7월'!$A:$A,$E557),SUMIFS('RAW_농산물_8월'!$F:$F,'RAW_농산물_8월'!$D:$D,$C557,'RAW_농산물_8월'!$A:$A,$E557),SUMIFS('RAW_농산물_9월'!$F:$F,'RAW_농산물_9월'!$D:$D,$C557,'RAW_농산물_9월'!$A:$A,$E557),SUMIFS('RAW_농산물_10월'!$F:$F,'RAW_농산물_10월'!$D:$D,$C557,'RAW_농산물_10월'!$A:$A,$E557),SUMIFS('RAW_농산물_11-12월'!$F:$F,'RAW_농산물_11-12월'!$D:$D,$C557,'RAW_농산물_11-12월'!$A:$A,$E557))))</f>
        <v/>
      </c>
      <c r="G557" s="7" t="str">
        <f>IF($C557="","",IF('설정'!$B$3=0,"",CHOOSE('설정'!$B$3,SUMIFS('RAW_농산물_7월'!$G:$G,'RAW_농산물_7월'!$D:$D,$C557,'RAW_농산물_7월'!$A:$A,$E557),SUMIFS('RAW_농산물_8월'!$G:$G,'RAW_농산물_8월'!$D:$D,$C557,'RAW_농산물_8월'!$A:$A,$E557),SUMIFS('RAW_농산물_9월'!$G:$G,'RAW_농산물_9월'!$D:$D,$C557,'RAW_농산물_9월'!$A:$A,$E557),SUMIFS('RAW_농산물_10월'!$G:$G,'RAW_농산물_10월'!$D:$D,$C557,'RAW_농산물_10월'!$A:$A,$E557),SUMIFS('RAW_농산물_11-12월'!$G:$G,'RAW_농산물_11-12월'!$D:$D,$C557,'RAW_농산물_11-12월'!$A:$A,$E557))))</f>
        <v/>
      </c>
      <c r="H557" s="14" t="str">
        <f>IF($C557="","",IF('설정'!$B$3=0,"",CHOOSE('설정'!$B$3,SUMIFS('RAW_농산물_7월'!$H:$H,'RAW_농산물_7월'!$D:$D,$C557,'RAW_농산물_7월'!$A:$A,$E557),SUMIFS('RAW_농산물_8월'!$H:$H,'RAW_농산물_8월'!$D:$D,$C557,'RAW_농산물_8월'!$A:$A,$E557),SUMIFS('RAW_농산물_9월'!$H:$H,'RAW_농산물_9월'!$D:$D,$C557,'RAW_농산물_9월'!$A:$A,$E557),SUMIFS('RAW_농산물_10월'!$H:$H,'RAW_농산물_10월'!$D:$D,$C557,'RAW_농산물_10월'!$A:$A,$E557),SUMIFS('RAW_농산물_11-12월'!$H:$H,'RAW_농산물_11-12월'!$D:$D,$C557,'RAW_농산물_11-12월'!$A:$A,$E557))))</f>
        <v/>
      </c>
      <c r="I557" s="17" t="str">
        <f>IF($C557="","",IF(COUNTIFS('RAW_농산물_7월'!$D:$D,$C557,'RAW_농산물_7월'!$A:$A,$E557)&gt;0,"O",""))</f>
        <v/>
      </c>
      <c r="J557" s="17" t="str">
        <f>IF($C557="","",IF(COUNTIFS('RAW_농산물_8월'!$D:$D,$C557,'RAW_농산물_8월'!$A:$A,$E557)&gt;0,"O",""))</f>
        <v/>
      </c>
      <c r="K557" s="17" t="str">
        <f>IF($C557="","",IF(COUNTIFS('RAW_농산물_9월'!$D:$D,$C557,'RAW_농산물_9월'!$A:$A,$E557)&gt;0,"O",""))</f>
        <v/>
      </c>
      <c r="L557" s="17" t="str">
        <f>IF($C557="","",IF(COUNTIFS('RAW_농산물_10월'!$D:$D,$C557,'RAW_농산물_10월'!$A:$A,$E557)&gt;0,"O",""))</f>
        <v/>
      </c>
      <c r="M557" s="17" t="str">
        <f>IF($C557="","",IF(COUNTIFS('RAW_농산물_11-12월'!$D:$D,$C557,'RAW_농산물_11-12월'!$A:$A,$E557)&gt;0,"O",""))</f>
        <v/>
      </c>
      <c r="N557" s="7" t="str">
        <f>IF($C557="","",IF(COUNTA('RAW_농산물_7월'!$A:$A)&lt;=1,"",SUMIFS('RAW_농산물_7월'!$H:$H,'RAW_농산물_7월'!$D:$D,$C557,'RAW_농산물_7월'!$A:$A,$E557)))</f>
        <v/>
      </c>
      <c r="O557" s="7" t="str">
        <f>IF($C557="","",IF(COUNTA('RAW_농산물_8월'!$A:$A)&lt;=1,"",SUMIFS('RAW_농산물_8월'!$H:$H,'RAW_농산물_8월'!$D:$D,$C557,'RAW_농산물_8월'!$A:$A,$E557)-SUMIFS('RAW_농산물_7월'!$H:$H,'RAW_농산물_7월'!$D:$D,$C557,'RAW_농산물_7월'!$A:$A,$E557)))</f>
        <v/>
      </c>
      <c r="P557" s="7" t="str">
        <f>IF($C557="","",IF(COUNTA('RAW_농산물_9월'!$A:$A)&lt;=1,"",SUMIFS('RAW_농산물_9월'!$H:$H,'RAW_농산물_9월'!$D:$D,$C557,'RAW_농산물_9월'!$A:$A,$E557)-SUMIFS('RAW_농산물_8월'!$H:$H,'RAW_농산물_8월'!$D:$D,$C557,'RAW_농산물_8월'!$A:$A,$E557)))</f>
        <v/>
      </c>
      <c r="Q557" s="7" t="str">
        <f>IF($C557="","",IF(COUNTA('RAW_농산물_10월'!$A:$A)&lt;=1,"",SUMIFS('RAW_농산물_10월'!$H:$H,'RAW_농산물_10월'!$D:$D,$C557,'RAW_농산물_10월'!$A:$A,$E557)-SUMIFS('RAW_농산물_9월'!$H:$H,'RAW_농산물_9월'!$D:$D,$C557,'RAW_농산물_9월'!$A:$A,$E557)))</f>
        <v/>
      </c>
      <c r="R557" s="7" t="str">
        <f>IF($C557="","",IF(COUNTA('RAW_농산물_11-12월'!$A:$A)&lt;=1,"",SUMIFS('RAW_농산물_11-12월'!$H:$H,'RAW_농산물_11-12월'!$D:$D,$C557,'RAW_농산물_11-12월'!$A:$A,$E557)-SUMIFS('RAW_농산물_10월'!$H:$H,'RAW_농산물_10월'!$D:$D,$C557,'RAW_농산물_10월'!$A:$A,$E557)))</f>
        <v/>
      </c>
      <c r="S557" s="17" t="str">
        <f t="shared" si="4"/>
        <v/>
      </c>
      <c r="T557" s="17" t="str">
        <f t="shared" si="5"/>
        <v/>
      </c>
      <c r="U557" s="7">
        <f>IF($C557="",0,IF('설정'!$B$3=0,0,CHOOSE('설정'!$B$3,COUNTIFS('RAW_농산물_7월'!$D:$D,$C557,'RAW_농산물_7월'!$A:$A,$E557),COUNTIFS('RAW_농산물_8월'!$D:$D,$C557,'RAW_농산물_8월'!$A:$A,$E557),COUNTIFS('RAW_농산물_9월'!$D:$D,$C557,'RAW_농산물_9월'!$A:$A,$E557),COUNTIFS('RAW_농산물_10월'!$D:$D,$C557,'RAW_농산물_10월'!$A:$A,$E557),COUNTIFS('RAW_농산물_11-12월'!$D:$D,$C557,'RAW_농산물_11-12월'!$A:$A,$E557))))</f>
        <v>0</v>
      </c>
    </row>
    <row r="558" ht="15.75" customHeight="1">
      <c r="A558" s="5"/>
      <c r="B558" s="5"/>
      <c r="C558" s="5"/>
      <c r="D558" s="6"/>
      <c r="E558" s="5"/>
      <c r="F558" s="7" t="str">
        <f>IF($C558="","",IF('설정'!$B$3=0,"",CHOOSE('설정'!$B$3,SUMIFS('RAW_농산물_7월'!$F:$F,'RAW_농산물_7월'!$D:$D,$C558,'RAW_농산물_7월'!$A:$A,$E558),SUMIFS('RAW_농산물_8월'!$F:$F,'RAW_농산물_8월'!$D:$D,$C558,'RAW_농산물_8월'!$A:$A,$E558),SUMIFS('RAW_농산물_9월'!$F:$F,'RAW_농산물_9월'!$D:$D,$C558,'RAW_농산물_9월'!$A:$A,$E558),SUMIFS('RAW_농산물_10월'!$F:$F,'RAW_농산물_10월'!$D:$D,$C558,'RAW_농산물_10월'!$A:$A,$E558),SUMIFS('RAW_농산물_11-12월'!$F:$F,'RAW_농산물_11-12월'!$D:$D,$C558,'RAW_농산물_11-12월'!$A:$A,$E558))))</f>
        <v/>
      </c>
      <c r="G558" s="7" t="str">
        <f>IF($C558="","",IF('설정'!$B$3=0,"",CHOOSE('설정'!$B$3,SUMIFS('RAW_농산물_7월'!$G:$G,'RAW_농산물_7월'!$D:$D,$C558,'RAW_농산물_7월'!$A:$A,$E558),SUMIFS('RAW_농산물_8월'!$G:$G,'RAW_농산물_8월'!$D:$D,$C558,'RAW_농산물_8월'!$A:$A,$E558),SUMIFS('RAW_농산물_9월'!$G:$G,'RAW_농산물_9월'!$D:$D,$C558,'RAW_농산물_9월'!$A:$A,$E558),SUMIFS('RAW_농산물_10월'!$G:$G,'RAW_농산물_10월'!$D:$D,$C558,'RAW_농산물_10월'!$A:$A,$E558),SUMIFS('RAW_농산물_11-12월'!$G:$G,'RAW_농산물_11-12월'!$D:$D,$C558,'RAW_농산물_11-12월'!$A:$A,$E558))))</f>
        <v/>
      </c>
      <c r="H558" s="14" t="str">
        <f>IF($C558="","",IF('설정'!$B$3=0,"",CHOOSE('설정'!$B$3,SUMIFS('RAW_농산물_7월'!$H:$H,'RAW_농산물_7월'!$D:$D,$C558,'RAW_농산물_7월'!$A:$A,$E558),SUMIFS('RAW_농산물_8월'!$H:$H,'RAW_농산물_8월'!$D:$D,$C558,'RAW_농산물_8월'!$A:$A,$E558),SUMIFS('RAW_농산물_9월'!$H:$H,'RAW_농산물_9월'!$D:$D,$C558,'RAW_농산물_9월'!$A:$A,$E558),SUMIFS('RAW_농산물_10월'!$H:$H,'RAW_농산물_10월'!$D:$D,$C558,'RAW_농산물_10월'!$A:$A,$E558),SUMIFS('RAW_농산물_11-12월'!$H:$H,'RAW_농산물_11-12월'!$D:$D,$C558,'RAW_농산물_11-12월'!$A:$A,$E558))))</f>
        <v/>
      </c>
      <c r="I558" s="17" t="str">
        <f>IF($C558="","",IF(COUNTIFS('RAW_농산물_7월'!$D:$D,$C558,'RAW_농산물_7월'!$A:$A,$E558)&gt;0,"O",""))</f>
        <v/>
      </c>
      <c r="J558" s="17" t="str">
        <f>IF($C558="","",IF(COUNTIFS('RAW_농산물_8월'!$D:$D,$C558,'RAW_농산물_8월'!$A:$A,$E558)&gt;0,"O",""))</f>
        <v/>
      </c>
      <c r="K558" s="17" t="str">
        <f>IF($C558="","",IF(COUNTIFS('RAW_농산물_9월'!$D:$D,$C558,'RAW_농산물_9월'!$A:$A,$E558)&gt;0,"O",""))</f>
        <v/>
      </c>
      <c r="L558" s="17" t="str">
        <f>IF($C558="","",IF(COUNTIFS('RAW_농산물_10월'!$D:$D,$C558,'RAW_농산물_10월'!$A:$A,$E558)&gt;0,"O",""))</f>
        <v/>
      </c>
      <c r="M558" s="17" t="str">
        <f>IF($C558="","",IF(COUNTIFS('RAW_농산물_11-12월'!$D:$D,$C558,'RAW_농산물_11-12월'!$A:$A,$E558)&gt;0,"O",""))</f>
        <v/>
      </c>
      <c r="N558" s="7" t="str">
        <f>IF($C558="","",IF(COUNTA('RAW_농산물_7월'!$A:$A)&lt;=1,"",SUMIFS('RAW_농산물_7월'!$H:$H,'RAW_농산물_7월'!$D:$D,$C558,'RAW_농산물_7월'!$A:$A,$E558)))</f>
        <v/>
      </c>
      <c r="O558" s="7" t="str">
        <f>IF($C558="","",IF(COUNTA('RAW_농산물_8월'!$A:$A)&lt;=1,"",SUMIFS('RAW_농산물_8월'!$H:$H,'RAW_농산물_8월'!$D:$D,$C558,'RAW_농산물_8월'!$A:$A,$E558)-SUMIFS('RAW_농산물_7월'!$H:$H,'RAW_농산물_7월'!$D:$D,$C558,'RAW_농산물_7월'!$A:$A,$E558)))</f>
        <v/>
      </c>
      <c r="P558" s="7" t="str">
        <f>IF($C558="","",IF(COUNTA('RAW_농산물_9월'!$A:$A)&lt;=1,"",SUMIFS('RAW_농산물_9월'!$H:$H,'RAW_농산물_9월'!$D:$D,$C558,'RAW_농산물_9월'!$A:$A,$E558)-SUMIFS('RAW_농산물_8월'!$H:$H,'RAW_농산물_8월'!$D:$D,$C558,'RAW_농산물_8월'!$A:$A,$E558)))</f>
        <v/>
      </c>
      <c r="Q558" s="7" t="str">
        <f>IF($C558="","",IF(COUNTA('RAW_농산물_10월'!$A:$A)&lt;=1,"",SUMIFS('RAW_농산물_10월'!$H:$H,'RAW_농산물_10월'!$D:$D,$C558,'RAW_농산물_10월'!$A:$A,$E558)-SUMIFS('RAW_농산물_9월'!$H:$H,'RAW_농산물_9월'!$D:$D,$C558,'RAW_농산물_9월'!$A:$A,$E558)))</f>
        <v/>
      </c>
      <c r="R558" s="7" t="str">
        <f>IF($C558="","",IF(COUNTA('RAW_농산물_11-12월'!$A:$A)&lt;=1,"",SUMIFS('RAW_농산물_11-12월'!$H:$H,'RAW_농산물_11-12월'!$D:$D,$C558,'RAW_농산물_11-12월'!$A:$A,$E558)-SUMIFS('RAW_농산물_10월'!$H:$H,'RAW_농산물_10월'!$D:$D,$C558,'RAW_농산물_10월'!$A:$A,$E558)))</f>
        <v/>
      </c>
      <c r="S558" s="17" t="str">
        <f t="shared" si="4"/>
        <v/>
      </c>
      <c r="T558" s="17" t="str">
        <f t="shared" si="5"/>
        <v/>
      </c>
      <c r="U558" s="7">
        <f>IF($C558="",0,IF('설정'!$B$3=0,0,CHOOSE('설정'!$B$3,COUNTIFS('RAW_농산물_7월'!$D:$D,$C558,'RAW_농산물_7월'!$A:$A,$E558),COUNTIFS('RAW_농산물_8월'!$D:$D,$C558,'RAW_농산물_8월'!$A:$A,$E558),COUNTIFS('RAW_농산물_9월'!$D:$D,$C558,'RAW_농산물_9월'!$A:$A,$E558),COUNTIFS('RAW_농산물_10월'!$D:$D,$C558,'RAW_농산물_10월'!$A:$A,$E558),COUNTIFS('RAW_농산물_11-12월'!$D:$D,$C558,'RAW_농산물_11-12월'!$A:$A,$E558))))</f>
        <v>0</v>
      </c>
    </row>
    <row r="559" ht="15.75" customHeight="1">
      <c r="A559" s="5"/>
      <c r="B559" s="5"/>
      <c r="C559" s="5"/>
      <c r="D559" s="6"/>
      <c r="E559" s="5"/>
      <c r="F559" s="7" t="str">
        <f>IF($C559="","",IF('설정'!$B$3=0,"",CHOOSE('설정'!$B$3,SUMIFS('RAW_농산물_7월'!$F:$F,'RAW_농산물_7월'!$D:$D,$C559,'RAW_농산물_7월'!$A:$A,$E559),SUMIFS('RAW_농산물_8월'!$F:$F,'RAW_농산물_8월'!$D:$D,$C559,'RAW_농산물_8월'!$A:$A,$E559),SUMIFS('RAW_농산물_9월'!$F:$F,'RAW_농산물_9월'!$D:$D,$C559,'RAW_농산물_9월'!$A:$A,$E559),SUMIFS('RAW_농산물_10월'!$F:$F,'RAW_농산물_10월'!$D:$D,$C559,'RAW_농산물_10월'!$A:$A,$E559),SUMIFS('RAW_농산물_11-12월'!$F:$F,'RAW_농산물_11-12월'!$D:$D,$C559,'RAW_농산물_11-12월'!$A:$A,$E559))))</f>
        <v/>
      </c>
      <c r="G559" s="7" t="str">
        <f>IF($C559="","",IF('설정'!$B$3=0,"",CHOOSE('설정'!$B$3,SUMIFS('RAW_농산물_7월'!$G:$G,'RAW_농산물_7월'!$D:$D,$C559,'RAW_농산물_7월'!$A:$A,$E559),SUMIFS('RAW_농산물_8월'!$G:$G,'RAW_농산물_8월'!$D:$D,$C559,'RAW_농산물_8월'!$A:$A,$E559),SUMIFS('RAW_농산물_9월'!$G:$G,'RAW_농산물_9월'!$D:$D,$C559,'RAW_농산물_9월'!$A:$A,$E559),SUMIFS('RAW_농산물_10월'!$G:$G,'RAW_농산물_10월'!$D:$D,$C559,'RAW_농산물_10월'!$A:$A,$E559),SUMIFS('RAW_농산물_11-12월'!$G:$G,'RAW_농산물_11-12월'!$D:$D,$C559,'RAW_농산물_11-12월'!$A:$A,$E559))))</f>
        <v/>
      </c>
      <c r="H559" s="14" t="str">
        <f>IF($C559="","",IF('설정'!$B$3=0,"",CHOOSE('설정'!$B$3,SUMIFS('RAW_농산물_7월'!$H:$H,'RAW_농산물_7월'!$D:$D,$C559,'RAW_농산물_7월'!$A:$A,$E559),SUMIFS('RAW_농산물_8월'!$H:$H,'RAW_농산물_8월'!$D:$D,$C559,'RAW_농산물_8월'!$A:$A,$E559),SUMIFS('RAW_농산물_9월'!$H:$H,'RAW_농산물_9월'!$D:$D,$C559,'RAW_농산물_9월'!$A:$A,$E559),SUMIFS('RAW_농산물_10월'!$H:$H,'RAW_농산물_10월'!$D:$D,$C559,'RAW_농산물_10월'!$A:$A,$E559),SUMIFS('RAW_농산물_11-12월'!$H:$H,'RAW_농산물_11-12월'!$D:$D,$C559,'RAW_농산물_11-12월'!$A:$A,$E559))))</f>
        <v/>
      </c>
      <c r="I559" s="17" t="str">
        <f>IF($C559="","",IF(COUNTIFS('RAW_농산물_7월'!$D:$D,$C559,'RAW_농산물_7월'!$A:$A,$E559)&gt;0,"O",""))</f>
        <v/>
      </c>
      <c r="J559" s="17" t="str">
        <f>IF($C559="","",IF(COUNTIFS('RAW_농산물_8월'!$D:$D,$C559,'RAW_농산물_8월'!$A:$A,$E559)&gt;0,"O",""))</f>
        <v/>
      </c>
      <c r="K559" s="17" t="str">
        <f>IF($C559="","",IF(COUNTIFS('RAW_농산물_9월'!$D:$D,$C559,'RAW_농산물_9월'!$A:$A,$E559)&gt;0,"O",""))</f>
        <v/>
      </c>
      <c r="L559" s="17" t="str">
        <f>IF($C559="","",IF(COUNTIFS('RAW_농산물_10월'!$D:$D,$C559,'RAW_농산물_10월'!$A:$A,$E559)&gt;0,"O",""))</f>
        <v/>
      </c>
      <c r="M559" s="17" t="str">
        <f>IF($C559="","",IF(COUNTIFS('RAW_농산물_11-12월'!$D:$D,$C559,'RAW_농산물_11-12월'!$A:$A,$E559)&gt;0,"O",""))</f>
        <v/>
      </c>
      <c r="N559" s="7" t="str">
        <f>IF($C559="","",IF(COUNTA('RAW_농산물_7월'!$A:$A)&lt;=1,"",SUMIFS('RAW_농산물_7월'!$H:$H,'RAW_농산물_7월'!$D:$D,$C559,'RAW_농산물_7월'!$A:$A,$E559)))</f>
        <v/>
      </c>
      <c r="O559" s="7" t="str">
        <f>IF($C559="","",IF(COUNTA('RAW_농산물_8월'!$A:$A)&lt;=1,"",SUMIFS('RAW_농산물_8월'!$H:$H,'RAW_농산물_8월'!$D:$D,$C559,'RAW_농산물_8월'!$A:$A,$E559)-SUMIFS('RAW_농산물_7월'!$H:$H,'RAW_농산물_7월'!$D:$D,$C559,'RAW_농산물_7월'!$A:$A,$E559)))</f>
        <v/>
      </c>
      <c r="P559" s="7" t="str">
        <f>IF($C559="","",IF(COUNTA('RAW_농산물_9월'!$A:$A)&lt;=1,"",SUMIFS('RAW_농산물_9월'!$H:$H,'RAW_농산물_9월'!$D:$D,$C559,'RAW_농산물_9월'!$A:$A,$E559)-SUMIFS('RAW_농산물_8월'!$H:$H,'RAW_농산물_8월'!$D:$D,$C559,'RAW_농산물_8월'!$A:$A,$E559)))</f>
        <v/>
      </c>
      <c r="Q559" s="7" t="str">
        <f>IF($C559="","",IF(COUNTA('RAW_농산물_10월'!$A:$A)&lt;=1,"",SUMIFS('RAW_농산물_10월'!$H:$H,'RAW_농산물_10월'!$D:$D,$C559,'RAW_농산물_10월'!$A:$A,$E559)-SUMIFS('RAW_농산물_9월'!$H:$H,'RAW_농산물_9월'!$D:$D,$C559,'RAW_농산물_9월'!$A:$A,$E559)))</f>
        <v/>
      </c>
      <c r="R559" s="7" t="str">
        <f>IF($C559="","",IF(COUNTA('RAW_농산물_11-12월'!$A:$A)&lt;=1,"",SUMIFS('RAW_농산물_11-12월'!$H:$H,'RAW_농산물_11-12월'!$D:$D,$C559,'RAW_농산물_11-12월'!$A:$A,$E559)-SUMIFS('RAW_농산물_10월'!$H:$H,'RAW_농산물_10월'!$D:$D,$C559,'RAW_농산물_10월'!$A:$A,$E559)))</f>
        <v/>
      </c>
      <c r="S559" s="17" t="str">
        <f t="shared" si="4"/>
        <v/>
      </c>
      <c r="T559" s="17" t="str">
        <f t="shared" si="5"/>
        <v/>
      </c>
      <c r="U559" s="7">
        <f>IF($C559="",0,IF('설정'!$B$3=0,0,CHOOSE('설정'!$B$3,COUNTIFS('RAW_농산물_7월'!$D:$D,$C559,'RAW_농산물_7월'!$A:$A,$E559),COUNTIFS('RAW_농산물_8월'!$D:$D,$C559,'RAW_농산물_8월'!$A:$A,$E559),COUNTIFS('RAW_농산물_9월'!$D:$D,$C559,'RAW_농산물_9월'!$A:$A,$E559),COUNTIFS('RAW_농산물_10월'!$D:$D,$C559,'RAW_농산물_10월'!$A:$A,$E559),COUNTIFS('RAW_농산물_11-12월'!$D:$D,$C559,'RAW_농산물_11-12월'!$A:$A,$E559))))</f>
        <v>0</v>
      </c>
    </row>
    <row r="560" ht="15.75" customHeight="1">
      <c r="A560" s="5"/>
      <c r="B560" s="5"/>
      <c r="C560" s="5"/>
      <c r="D560" s="6"/>
      <c r="E560" s="5"/>
      <c r="F560" s="7" t="str">
        <f>IF($C560="","",IF('설정'!$B$3=0,"",CHOOSE('설정'!$B$3,SUMIFS('RAW_농산물_7월'!$F:$F,'RAW_농산물_7월'!$D:$D,$C560,'RAW_농산물_7월'!$A:$A,$E560),SUMIFS('RAW_농산물_8월'!$F:$F,'RAW_농산물_8월'!$D:$D,$C560,'RAW_농산물_8월'!$A:$A,$E560),SUMIFS('RAW_농산물_9월'!$F:$F,'RAW_농산물_9월'!$D:$D,$C560,'RAW_농산물_9월'!$A:$A,$E560),SUMIFS('RAW_농산물_10월'!$F:$F,'RAW_농산물_10월'!$D:$D,$C560,'RAW_농산물_10월'!$A:$A,$E560),SUMIFS('RAW_농산물_11-12월'!$F:$F,'RAW_농산물_11-12월'!$D:$D,$C560,'RAW_농산물_11-12월'!$A:$A,$E560))))</f>
        <v/>
      </c>
      <c r="G560" s="7" t="str">
        <f>IF($C560="","",IF('설정'!$B$3=0,"",CHOOSE('설정'!$B$3,SUMIFS('RAW_농산물_7월'!$G:$G,'RAW_농산물_7월'!$D:$D,$C560,'RAW_농산물_7월'!$A:$A,$E560),SUMIFS('RAW_농산물_8월'!$G:$G,'RAW_농산물_8월'!$D:$D,$C560,'RAW_농산물_8월'!$A:$A,$E560),SUMIFS('RAW_농산물_9월'!$G:$G,'RAW_농산물_9월'!$D:$D,$C560,'RAW_농산물_9월'!$A:$A,$E560),SUMIFS('RAW_농산물_10월'!$G:$G,'RAW_농산물_10월'!$D:$D,$C560,'RAW_농산물_10월'!$A:$A,$E560),SUMIFS('RAW_농산물_11-12월'!$G:$G,'RAW_농산물_11-12월'!$D:$D,$C560,'RAW_농산물_11-12월'!$A:$A,$E560))))</f>
        <v/>
      </c>
      <c r="H560" s="14" t="str">
        <f>IF($C560="","",IF('설정'!$B$3=0,"",CHOOSE('설정'!$B$3,SUMIFS('RAW_농산물_7월'!$H:$H,'RAW_농산물_7월'!$D:$D,$C560,'RAW_농산물_7월'!$A:$A,$E560),SUMIFS('RAW_농산물_8월'!$H:$H,'RAW_농산물_8월'!$D:$D,$C560,'RAW_농산물_8월'!$A:$A,$E560),SUMIFS('RAW_농산물_9월'!$H:$H,'RAW_농산물_9월'!$D:$D,$C560,'RAW_농산물_9월'!$A:$A,$E560),SUMIFS('RAW_농산물_10월'!$H:$H,'RAW_농산물_10월'!$D:$D,$C560,'RAW_농산물_10월'!$A:$A,$E560),SUMIFS('RAW_농산물_11-12월'!$H:$H,'RAW_농산물_11-12월'!$D:$D,$C560,'RAW_농산물_11-12월'!$A:$A,$E560))))</f>
        <v/>
      </c>
      <c r="I560" s="17" t="str">
        <f>IF($C560="","",IF(COUNTIFS('RAW_농산물_7월'!$D:$D,$C560,'RAW_농산물_7월'!$A:$A,$E560)&gt;0,"O",""))</f>
        <v/>
      </c>
      <c r="J560" s="17" t="str">
        <f>IF($C560="","",IF(COUNTIFS('RAW_농산물_8월'!$D:$D,$C560,'RAW_농산물_8월'!$A:$A,$E560)&gt;0,"O",""))</f>
        <v/>
      </c>
      <c r="K560" s="17" t="str">
        <f>IF($C560="","",IF(COUNTIFS('RAW_농산물_9월'!$D:$D,$C560,'RAW_농산물_9월'!$A:$A,$E560)&gt;0,"O",""))</f>
        <v/>
      </c>
      <c r="L560" s="17" t="str">
        <f>IF($C560="","",IF(COUNTIFS('RAW_농산물_10월'!$D:$D,$C560,'RAW_농산물_10월'!$A:$A,$E560)&gt;0,"O",""))</f>
        <v/>
      </c>
      <c r="M560" s="17" t="str">
        <f>IF($C560="","",IF(COUNTIFS('RAW_농산물_11-12월'!$D:$D,$C560,'RAW_농산물_11-12월'!$A:$A,$E560)&gt;0,"O",""))</f>
        <v/>
      </c>
      <c r="N560" s="7" t="str">
        <f>IF($C560="","",IF(COUNTA('RAW_농산물_7월'!$A:$A)&lt;=1,"",SUMIFS('RAW_농산물_7월'!$H:$H,'RAW_농산물_7월'!$D:$D,$C560,'RAW_농산물_7월'!$A:$A,$E560)))</f>
        <v/>
      </c>
      <c r="O560" s="7" t="str">
        <f>IF($C560="","",IF(COUNTA('RAW_농산물_8월'!$A:$A)&lt;=1,"",SUMIFS('RAW_농산물_8월'!$H:$H,'RAW_농산물_8월'!$D:$D,$C560,'RAW_농산물_8월'!$A:$A,$E560)-SUMIFS('RAW_농산물_7월'!$H:$H,'RAW_농산물_7월'!$D:$D,$C560,'RAW_농산물_7월'!$A:$A,$E560)))</f>
        <v/>
      </c>
      <c r="P560" s="7" t="str">
        <f>IF($C560="","",IF(COUNTA('RAW_농산물_9월'!$A:$A)&lt;=1,"",SUMIFS('RAW_농산물_9월'!$H:$H,'RAW_농산물_9월'!$D:$D,$C560,'RAW_농산물_9월'!$A:$A,$E560)-SUMIFS('RAW_농산물_8월'!$H:$H,'RAW_농산물_8월'!$D:$D,$C560,'RAW_농산물_8월'!$A:$A,$E560)))</f>
        <v/>
      </c>
      <c r="Q560" s="7" t="str">
        <f>IF($C560="","",IF(COUNTA('RAW_농산물_10월'!$A:$A)&lt;=1,"",SUMIFS('RAW_농산물_10월'!$H:$H,'RAW_농산물_10월'!$D:$D,$C560,'RAW_농산물_10월'!$A:$A,$E560)-SUMIFS('RAW_농산물_9월'!$H:$H,'RAW_농산물_9월'!$D:$D,$C560,'RAW_농산물_9월'!$A:$A,$E560)))</f>
        <v/>
      </c>
      <c r="R560" s="7" t="str">
        <f>IF($C560="","",IF(COUNTA('RAW_농산물_11-12월'!$A:$A)&lt;=1,"",SUMIFS('RAW_농산물_11-12월'!$H:$H,'RAW_농산물_11-12월'!$D:$D,$C560,'RAW_농산물_11-12월'!$A:$A,$E560)-SUMIFS('RAW_농산물_10월'!$H:$H,'RAW_농산물_10월'!$D:$D,$C560,'RAW_농산물_10월'!$A:$A,$E560)))</f>
        <v/>
      </c>
      <c r="S560" s="17" t="str">
        <f t="shared" si="4"/>
        <v/>
      </c>
      <c r="T560" s="17" t="str">
        <f t="shared" si="5"/>
        <v/>
      </c>
      <c r="U560" s="7">
        <f>IF($C560="",0,IF('설정'!$B$3=0,0,CHOOSE('설정'!$B$3,COUNTIFS('RAW_농산물_7월'!$D:$D,$C560,'RAW_농산물_7월'!$A:$A,$E560),COUNTIFS('RAW_농산물_8월'!$D:$D,$C560,'RAW_농산물_8월'!$A:$A,$E560),COUNTIFS('RAW_농산물_9월'!$D:$D,$C560,'RAW_농산물_9월'!$A:$A,$E560),COUNTIFS('RAW_농산물_10월'!$D:$D,$C560,'RAW_농산물_10월'!$A:$A,$E560),COUNTIFS('RAW_농산물_11-12월'!$D:$D,$C560,'RAW_농산물_11-12월'!$A:$A,$E560))))</f>
        <v>0</v>
      </c>
    </row>
    <row r="561" ht="15.75" customHeight="1">
      <c r="A561" s="5"/>
      <c r="B561" s="5"/>
      <c r="C561" s="5"/>
      <c r="D561" s="6"/>
      <c r="E561" s="5"/>
      <c r="F561" s="7" t="str">
        <f>IF($C561="","",IF('설정'!$B$3=0,"",CHOOSE('설정'!$B$3,SUMIFS('RAW_농산물_7월'!$F:$F,'RAW_농산물_7월'!$D:$D,$C561,'RAW_농산물_7월'!$A:$A,$E561),SUMIFS('RAW_농산물_8월'!$F:$F,'RAW_농산물_8월'!$D:$D,$C561,'RAW_농산물_8월'!$A:$A,$E561),SUMIFS('RAW_농산물_9월'!$F:$F,'RAW_농산물_9월'!$D:$D,$C561,'RAW_농산물_9월'!$A:$A,$E561),SUMIFS('RAW_농산물_10월'!$F:$F,'RAW_농산물_10월'!$D:$D,$C561,'RAW_농산물_10월'!$A:$A,$E561),SUMIFS('RAW_농산물_11-12월'!$F:$F,'RAW_농산물_11-12월'!$D:$D,$C561,'RAW_농산물_11-12월'!$A:$A,$E561))))</f>
        <v/>
      </c>
      <c r="G561" s="7" t="str">
        <f>IF($C561="","",IF('설정'!$B$3=0,"",CHOOSE('설정'!$B$3,SUMIFS('RAW_농산물_7월'!$G:$G,'RAW_농산물_7월'!$D:$D,$C561,'RAW_농산물_7월'!$A:$A,$E561),SUMIFS('RAW_농산물_8월'!$G:$G,'RAW_농산물_8월'!$D:$D,$C561,'RAW_농산물_8월'!$A:$A,$E561),SUMIFS('RAW_농산물_9월'!$G:$G,'RAW_농산물_9월'!$D:$D,$C561,'RAW_농산물_9월'!$A:$A,$E561),SUMIFS('RAW_농산물_10월'!$G:$G,'RAW_농산물_10월'!$D:$D,$C561,'RAW_농산물_10월'!$A:$A,$E561),SUMIFS('RAW_농산물_11-12월'!$G:$G,'RAW_농산물_11-12월'!$D:$D,$C561,'RAW_농산물_11-12월'!$A:$A,$E561))))</f>
        <v/>
      </c>
      <c r="H561" s="14" t="str">
        <f>IF($C561="","",IF('설정'!$B$3=0,"",CHOOSE('설정'!$B$3,SUMIFS('RAW_농산물_7월'!$H:$H,'RAW_농산물_7월'!$D:$D,$C561,'RAW_농산물_7월'!$A:$A,$E561),SUMIFS('RAW_농산물_8월'!$H:$H,'RAW_농산물_8월'!$D:$D,$C561,'RAW_농산물_8월'!$A:$A,$E561),SUMIFS('RAW_농산물_9월'!$H:$H,'RAW_농산물_9월'!$D:$D,$C561,'RAW_농산물_9월'!$A:$A,$E561),SUMIFS('RAW_농산물_10월'!$H:$H,'RAW_농산물_10월'!$D:$D,$C561,'RAW_농산물_10월'!$A:$A,$E561),SUMIFS('RAW_농산물_11-12월'!$H:$H,'RAW_농산물_11-12월'!$D:$D,$C561,'RAW_농산물_11-12월'!$A:$A,$E561))))</f>
        <v/>
      </c>
      <c r="I561" s="17" t="str">
        <f>IF($C561="","",IF(COUNTIFS('RAW_농산물_7월'!$D:$D,$C561,'RAW_농산물_7월'!$A:$A,$E561)&gt;0,"O",""))</f>
        <v/>
      </c>
      <c r="J561" s="17" t="str">
        <f>IF($C561="","",IF(COUNTIFS('RAW_농산물_8월'!$D:$D,$C561,'RAW_농산물_8월'!$A:$A,$E561)&gt;0,"O",""))</f>
        <v/>
      </c>
      <c r="K561" s="17" t="str">
        <f>IF($C561="","",IF(COUNTIFS('RAW_농산물_9월'!$D:$D,$C561,'RAW_농산물_9월'!$A:$A,$E561)&gt;0,"O",""))</f>
        <v/>
      </c>
      <c r="L561" s="17" t="str">
        <f>IF($C561="","",IF(COUNTIFS('RAW_농산물_10월'!$D:$D,$C561,'RAW_농산물_10월'!$A:$A,$E561)&gt;0,"O",""))</f>
        <v/>
      </c>
      <c r="M561" s="17" t="str">
        <f>IF($C561="","",IF(COUNTIFS('RAW_농산물_11-12월'!$D:$D,$C561,'RAW_농산물_11-12월'!$A:$A,$E561)&gt;0,"O",""))</f>
        <v/>
      </c>
      <c r="N561" s="7" t="str">
        <f>IF($C561="","",IF(COUNTA('RAW_농산물_7월'!$A:$A)&lt;=1,"",SUMIFS('RAW_농산물_7월'!$H:$H,'RAW_농산물_7월'!$D:$D,$C561,'RAW_농산물_7월'!$A:$A,$E561)))</f>
        <v/>
      </c>
      <c r="O561" s="7" t="str">
        <f>IF($C561="","",IF(COUNTA('RAW_농산물_8월'!$A:$A)&lt;=1,"",SUMIFS('RAW_농산물_8월'!$H:$H,'RAW_농산물_8월'!$D:$D,$C561,'RAW_농산물_8월'!$A:$A,$E561)-SUMIFS('RAW_농산물_7월'!$H:$H,'RAW_농산물_7월'!$D:$D,$C561,'RAW_농산물_7월'!$A:$A,$E561)))</f>
        <v/>
      </c>
      <c r="P561" s="7" t="str">
        <f>IF($C561="","",IF(COUNTA('RAW_농산물_9월'!$A:$A)&lt;=1,"",SUMIFS('RAW_농산물_9월'!$H:$H,'RAW_농산물_9월'!$D:$D,$C561,'RAW_농산물_9월'!$A:$A,$E561)-SUMIFS('RAW_농산물_8월'!$H:$H,'RAW_농산물_8월'!$D:$D,$C561,'RAW_농산물_8월'!$A:$A,$E561)))</f>
        <v/>
      </c>
      <c r="Q561" s="7" t="str">
        <f>IF($C561="","",IF(COUNTA('RAW_농산물_10월'!$A:$A)&lt;=1,"",SUMIFS('RAW_농산물_10월'!$H:$H,'RAW_농산물_10월'!$D:$D,$C561,'RAW_농산물_10월'!$A:$A,$E561)-SUMIFS('RAW_농산물_9월'!$H:$H,'RAW_농산물_9월'!$D:$D,$C561,'RAW_농산물_9월'!$A:$A,$E561)))</f>
        <v/>
      </c>
      <c r="R561" s="7" t="str">
        <f>IF($C561="","",IF(COUNTA('RAW_농산물_11-12월'!$A:$A)&lt;=1,"",SUMIFS('RAW_농산물_11-12월'!$H:$H,'RAW_농산물_11-12월'!$D:$D,$C561,'RAW_농산물_11-12월'!$A:$A,$E561)-SUMIFS('RAW_농산물_10월'!$H:$H,'RAW_농산물_10월'!$D:$D,$C561,'RAW_농산물_10월'!$A:$A,$E561)))</f>
        <v/>
      </c>
      <c r="S561" s="17" t="str">
        <f t="shared" si="4"/>
        <v/>
      </c>
      <c r="T561" s="17" t="str">
        <f t="shared" si="5"/>
        <v/>
      </c>
      <c r="U561" s="7">
        <f>IF($C561="",0,IF('설정'!$B$3=0,0,CHOOSE('설정'!$B$3,COUNTIFS('RAW_농산물_7월'!$D:$D,$C561,'RAW_농산물_7월'!$A:$A,$E561),COUNTIFS('RAW_농산물_8월'!$D:$D,$C561,'RAW_농산물_8월'!$A:$A,$E561),COUNTIFS('RAW_농산물_9월'!$D:$D,$C561,'RAW_농산물_9월'!$A:$A,$E561),COUNTIFS('RAW_농산물_10월'!$D:$D,$C561,'RAW_농산물_10월'!$A:$A,$E561),COUNTIFS('RAW_농산물_11-12월'!$D:$D,$C561,'RAW_농산물_11-12월'!$A:$A,$E561))))</f>
        <v>0</v>
      </c>
    </row>
    <row r="562" ht="15.75" customHeight="1">
      <c r="A562" s="5"/>
      <c r="B562" s="5"/>
      <c r="C562" s="5"/>
      <c r="D562" s="6"/>
      <c r="E562" s="5"/>
      <c r="F562" s="7" t="str">
        <f>IF($C562="","",IF('설정'!$B$3=0,"",CHOOSE('설정'!$B$3,SUMIFS('RAW_농산물_7월'!$F:$F,'RAW_농산물_7월'!$D:$D,$C562,'RAW_농산물_7월'!$A:$A,$E562),SUMIFS('RAW_농산물_8월'!$F:$F,'RAW_농산물_8월'!$D:$D,$C562,'RAW_농산물_8월'!$A:$A,$E562),SUMIFS('RAW_농산물_9월'!$F:$F,'RAW_농산물_9월'!$D:$D,$C562,'RAW_농산물_9월'!$A:$A,$E562),SUMIFS('RAW_농산물_10월'!$F:$F,'RAW_농산물_10월'!$D:$D,$C562,'RAW_농산물_10월'!$A:$A,$E562),SUMIFS('RAW_농산물_11-12월'!$F:$F,'RAW_농산물_11-12월'!$D:$D,$C562,'RAW_농산물_11-12월'!$A:$A,$E562))))</f>
        <v/>
      </c>
      <c r="G562" s="7" t="str">
        <f>IF($C562="","",IF('설정'!$B$3=0,"",CHOOSE('설정'!$B$3,SUMIFS('RAW_농산물_7월'!$G:$G,'RAW_농산물_7월'!$D:$D,$C562,'RAW_농산물_7월'!$A:$A,$E562),SUMIFS('RAW_농산물_8월'!$G:$G,'RAW_농산물_8월'!$D:$D,$C562,'RAW_농산물_8월'!$A:$A,$E562),SUMIFS('RAW_농산물_9월'!$G:$G,'RAW_농산물_9월'!$D:$D,$C562,'RAW_농산물_9월'!$A:$A,$E562),SUMIFS('RAW_농산물_10월'!$G:$G,'RAW_농산물_10월'!$D:$D,$C562,'RAW_농산물_10월'!$A:$A,$E562),SUMIFS('RAW_농산물_11-12월'!$G:$G,'RAW_농산물_11-12월'!$D:$D,$C562,'RAW_농산물_11-12월'!$A:$A,$E562))))</f>
        <v/>
      </c>
      <c r="H562" s="14" t="str">
        <f>IF($C562="","",IF('설정'!$B$3=0,"",CHOOSE('설정'!$B$3,SUMIFS('RAW_농산물_7월'!$H:$H,'RAW_농산물_7월'!$D:$D,$C562,'RAW_농산물_7월'!$A:$A,$E562),SUMIFS('RAW_농산물_8월'!$H:$H,'RAW_농산물_8월'!$D:$D,$C562,'RAW_농산물_8월'!$A:$A,$E562),SUMIFS('RAW_농산물_9월'!$H:$H,'RAW_농산물_9월'!$D:$D,$C562,'RAW_농산물_9월'!$A:$A,$E562),SUMIFS('RAW_농산물_10월'!$H:$H,'RAW_농산물_10월'!$D:$D,$C562,'RAW_농산물_10월'!$A:$A,$E562),SUMIFS('RAW_농산물_11-12월'!$H:$H,'RAW_농산물_11-12월'!$D:$D,$C562,'RAW_농산물_11-12월'!$A:$A,$E562))))</f>
        <v/>
      </c>
      <c r="I562" s="17" t="str">
        <f>IF($C562="","",IF(COUNTIFS('RAW_농산물_7월'!$D:$D,$C562,'RAW_농산물_7월'!$A:$A,$E562)&gt;0,"O",""))</f>
        <v/>
      </c>
      <c r="J562" s="17" t="str">
        <f>IF($C562="","",IF(COUNTIFS('RAW_농산물_8월'!$D:$D,$C562,'RAW_농산물_8월'!$A:$A,$E562)&gt;0,"O",""))</f>
        <v/>
      </c>
      <c r="K562" s="17" t="str">
        <f>IF($C562="","",IF(COUNTIFS('RAW_농산물_9월'!$D:$D,$C562,'RAW_농산물_9월'!$A:$A,$E562)&gt;0,"O",""))</f>
        <v/>
      </c>
      <c r="L562" s="17" t="str">
        <f>IF($C562="","",IF(COUNTIFS('RAW_농산물_10월'!$D:$D,$C562,'RAW_농산물_10월'!$A:$A,$E562)&gt;0,"O",""))</f>
        <v/>
      </c>
      <c r="M562" s="17" t="str">
        <f>IF($C562="","",IF(COUNTIFS('RAW_농산물_11-12월'!$D:$D,$C562,'RAW_농산물_11-12월'!$A:$A,$E562)&gt;0,"O",""))</f>
        <v/>
      </c>
      <c r="N562" s="7" t="str">
        <f>IF($C562="","",IF(COUNTA('RAW_농산물_7월'!$A:$A)&lt;=1,"",SUMIFS('RAW_농산물_7월'!$H:$H,'RAW_농산물_7월'!$D:$D,$C562,'RAW_농산물_7월'!$A:$A,$E562)))</f>
        <v/>
      </c>
      <c r="O562" s="7" t="str">
        <f>IF($C562="","",IF(COUNTA('RAW_농산물_8월'!$A:$A)&lt;=1,"",SUMIFS('RAW_농산물_8월'!$H:$H,'RAW_농산물_8월'!$D:$D,$C562,'RAW_농산물_8월'!$A:$A,$E562)-SUMIFS('RAW_농산물_7월'!$H:$H,'RAW_농산물_7월'!$D:$D,$C562,'RAW_농산물_7월'!$A:$A,$E562)))</f>
        <v/>
      </c>
      <c r="P562" s="7" t="str">
        <f>IF($C562="","",IF(COUNTA('RAW_농산물_9월'!$A:$A)&lt;=1,"",SUMIFS('RAW_농산물_9월'!$H:$H,'RAW_농산물_9월'!$D:$D,$C562,'RAW_농산물_9월'!$A:$A,$E562)-SUMIFS('RAW_농산물_8월'!$H:$H,'RAW_농산물_8월'!$D:$D,$C562,'RAW_농산물_8월'!$A:$A,$E562)))</f>
        <v/>
      </c>
      <c r="Q562" s="7" t="str">
        <f>IF($C562="","",IF(COUNTA('RAW_농산물_10월'!$A:$A)&lt;=1,"",SUMIFS('RAW_농산물_10월'!$H:$H,'RAW_농산물_10월'!$D:$D,$C562,'RAW_농산물_10월'!$A:$A,$E562)-SUMIFS('RAW_농산물_9월'!$H:$H,'RAW_농산물_9월'!$D:$D,$C562,'RAW_농산물_9월'!$A:$A,$E562)))</f>
        <v/>
      </c>
      <c r="R562" s="7" t="str">
        <f>IF($C562="","",IF(COUNTA('RAW_농산물_11-12월'!$A:$A)&lt;=1,"",SUMIFS('RAW_농산물_11-12월'!$H:$H,'RAW_농산물_11-12월'!$D:$D,$C562,'RAW_농산물_11-12월'!$A:$A,$E562)-SUMIFS('RAW_농산물_10월'!$H:$H,'RAW_농산물_10월'!$D:$D,$C562,'RAW_농산물_10월'!$A:$A,$E562)))</f>
        <v/>
      </c>
      <c r="S562" s="17" t="str">
        <f t="shared" si="4"/>
        <v/>
      </c>
      <c r="T562" s="17" t="str">
        <f t="shared" si="5"/>
        <v/>
      </c>
      <c r="U562" s="7">
        <f>IF($C562="",0,IF('설정'!$B$3=0,0,CHOOSE('설정'!$B$3,COUNTIFS('RAW_농산물_7월'!$D:$D,$C562,'RAW_농산물_7월'!$A:$A,$E562),COUNTIFS('RAW_농산물_8월'!$D:$D,$C562,'RAW_농산물_8월'!$A:$A,$E562),COUNTIFS('RAW_농산물_9월'!$D:$D,$C562,'RAW_농산물_9월'!$A:$A,$E562),COUNTIFS('RAW_농산물_10월'!$D:$D,$C562,'RAW_농산물_10월'!$A:$A,$E562),COUNTIFS('RAW_농산물_11-12월'!$D:$D,$C562,'RAW_농산물_11-12월'!$A:$A,$E562))))</f>
        <v>0</v>
      </c>
    </row>
    <row r="563" ht="15.75" customHeight="1">
      <c r="A563" s="5"/>
      <c r="B563" s="5"/>
      <c r="C563" s="5"/>
      <c r="D563" s="6"/>
      <c r="E563" s="5"/>
      <c r="F563" s="7" t="str">
        <f>IF($C563="","",IF('설정'!$B$3=0,"",CHOOSE('설정'!$B$3,SUMIFS('RAW_농산물_7월'!$F:$F,'RAW_농산물_7월'!$D:$D,$C563,'RAW_농산물_7월'!$A:$A,$E563),SUMIFS('RAW_농산물_8월'!$F:$F,'RAW_농산물_8월'!$D:$D,$C563,'RAW_농산물_8월'!$A:$A,$E563),SUMIFS('RAW_농산물_9월'!$F:$F,'RAW_농산물_9월'!$D:$D,$C563,'RAW_농산물_9월'!$A:$A,$E563),SUMIFS('RAW_농산물_10월'!$F:$F,'RAW_농산물_10월'!$D:$D,$C563,'RAW_농산물_10월'!$A:$A,$E563),SUMIFS('RAW_농산물_11-12월'!$F:$F,'RAW_농산물_11-12월'!$D:$D,$C563,'RAW_농산물_11-12월'!$A:$A,$E563))))</f>
        <v/>
      </c>
      <c r="G563" s="7" t="str">
        <f>IF($C563="","",IF('설정'!$B$3=0,"",CHOOSE('설정'!$B$3,SUMIFS('RAW_농산물_7월'!$G:$G,'RAW_농산물_7월'!$D:$D,$C563,'RAW_농산물_7월'!$A:$A,$E563),SUMIFS('RAW_농산물_8월'!$G:$G,'RAW_농산물_8월'!$D:$D,$C563,'RAW_농산물_8월'!$A:$A,$E563),SUMIFS('RAW_농산물_9월'!$G:$G,'RAW_농산물_9월'!$D:$D,$C563,'RAW_농산물_9월'!$A:$A,$E563),SUMIFS('RAW_농산물_10월'!$G:$G,'RAW_농산물_10월'!$D:$D,$C563,'RAW_농산물_10월'!$A:$A,$E563),SUMIFS('RAW_농산물_11-12월'!$G:$G,'RAW_농산물_11-12월'!$D:$D,$C563,'RAW_농산물_11-12월'!$A:$A,$E563))))</f>
        <v/>
      </c>
      <c r="H563" s="14" t="str">
        <f>IF($C563="","",IF('설정'!$B$3=0,"",CHOOSE('설정'!$B$3,SUMIFS('RAW_농산물_7월'!$H:$H,'RAW_농산물_7월'!$D:$D,$C563,'RAW_농산물_7월'!$A:$A,$E563),SUMIFS('RAW_농산물_8월'!$H:$H,'RAW_농산물_8월'!$D:$D,$C563,'RAW_농산물_8월'!$A:$A,$E563),SUMIFS('RAW_농산물_9월'!$H:$H,'RAW_농산물_9월'!$D:$D,$C563,'RAW_농산물_9월'!$A:$A,$E563),SUMIFS('RAW_농산물_10월'!$H:$H,'RAW_농산물_10월'!$D:$D,$C563,'RAW_농산물_10월'!$A:$A,$E563),SUMIFS('RAW_농산물_11-12월'!$H:$H,'RAW_농산물_11-12월'!$D:$D,$C563,'RAW_농산물_11-12월'!$A:$A,$E563))))</f>
        <v/>
      </c>
      <c r="I563" s="17" t="str">
        <f>IF($C563="","",IF(COUNTIFS('RAW_농산물_7월'!$D:$D,$C563,'RAW_농산물_7월'!$A:$A,$E563)&gt;0,"O",""))</f>
        <v/>
      </c>
      <c r="J563" s="17" t="str">
        <f>IF($C563="","",IF(COUNTIFS('RAW_농산물_8월'!$D:$D,$C563,'RAW_농산물_8월'!$A:$A,$E563)&gt;0,"O",""))</f>
        <v/>
      </c>
      <c r="K563" s="17" t="str">
        <f>IF($C563="","",IF(COUNTIFS('RAW_농산물_9월'!$D:$D,$C563,'RAW_농산물_9월'!$A:$A,$E563)&gt;0,"O",""))</f>
        <v/>
      </c>
      <c r="L563" s="17" t="str">
        <f>IF($C563="","",IF(COUNTIFS('RAW_농산물_10월'!$D:$D,$C563,'RAW_농산물_10월'!$A:$A,$E563)&gt;0,"O",""))</f>
        <v/>
      </c>
      <c r="M563" s="17" t="str">
        <f>IF($C563="","",IF(COUNTIFS('RAW_농산물_11-12월'!$D:$D,$C563,'RAW_농산물_11-12월'!$A:$A,$E563)&gt;0,"O",""))</f>
        <v/>
      </c>
      <c r="N563" s="7" t="str">
        <f>IF($C563="","",IF(COUNTA('RAW_농산물_7월'!$A:$A)&lt;=1,"",SUMIFS('RAW_농산물_7월'!$H:$H,'RAW_농산물_7월'!$D:$D,$C563,'RAW_농산물_7월'!$A:$A,$E563)))</f>
        <v/>
      </c>
      <c r="O563" s="7" t="str">
        <f>IF($C563="","",IF(COUNTA('RAW_농산물_8월'!$A:$A)&lt;=1,"",SUMIFS('RAW_농산물_8월'!$H:$H,'RAW_농산물_8월'!$D:$D,$C563,'RAW_농산물_8월'!$A:$A,$E563)-SUMIFS('RAW_농산물_7월'!$H:$H,'RAW_농산물_7월'!$D:$D,$C563,'RAW_농산물_7월'!$A:$A,$E563)))</f>
        <v/>
      </c>
      <c r="P563" s="7" t="str">
        <f>IF($C563="","",IF(COUNTA('RAW_농산물_9월'!$A:$A)&lt;=1,"",SUMIFS('RAW_농산물_9월'!$H:$H,'RAW_농산물_9월'!$D:$D,$C563,'RAW_농산물_9월'!$A:$A,$E563)-SUMIFS('RAW_농산물_8월'!$H:$H,'RAW_농산물_8월'!$D:$D,$C563,'RAW_농산물_8월'!$A:$A,$E563)))</f>
        <v/>
      </c>
      <c r="Q563" s="7" t="str">
        <f>IF($C563="","",IF(COUNTA('RAW_농산물_10월'!$A:$A)&lt;=1,"",SUMIFS('RAW_농산물_10월'!$H:$H,'RAW_농산물_10월'!$D:$D,$C563,'RAW_농산물_10월'!$A:$A,$E563)-SUMIFS('RAW_농산물_9월'!$H:$H,'RAW_농산물_9월'!$D:$D,$C563,'RAW_농산물_9월'!$A:$A,$E563)))</f>
        <v/>
      </c>
      <c r="R563" s="7" t="str">
        <f>IF($C563="","",IF(COUNTA('RAW_농산물_11-12월'!$A:$A)&lt;=1,"",SUMIFS('RAW_농산물_11-12월'!$H:$H,'RAW_농산물_11-12월'!$D:$D,$C563,'RAW_농산물_11-12월'!$A:$A,$E563)-SUMIFS('RAW_농산물_10월'!$H:$H,'RAW_농산물_10월'!$D:$D,$C563,'RAW_농산물_10월'!$A:$A,$E563)))</f>
        <v/>
      </c>
      <c r="S563" s="17" t="str">
        <f t="shared" si="4"/>
        <v/>
      </c>
      <c r="T563" s="17" t="str">
        <f t="shared" si="5"/>
        <v/>
      </c>
      <c r="U563" s="7">
        <f>IF($C563="",0,IF('설정'!$B$3=0,0,CHOOSE('설정'!$B$3,COUNTIFS('RAW_농산물_7월'!$D:$D,$C563,'RAW_농산물_7월'!$A:$A,$E563),COUNTIFS('RAW_농산물_8월'!$D:$D,$C563,'RAW_농산물_8월'!$A:$A,$E563),COUNTIFS('RAW_농산물_9월'!$D:$D,$C563,'RAW_농산물_9월'!$A:$A,$E563),COUNTIFS('RAW_농산물_10월'!$D:$D,$C563,'RAW_농산물_10월'!$A:$A,$E563),COUNTIFS('RAW_농산물_11-12월'!$D:$D,$C563,'RAW_농산물_11-12월'!$A:$A,$E563))))</f>
        <v>0</v>
      </c>
    </row>
    <row r="564" ht="15.75" customHeight="1">
      <c r="A564" s="5"/>
      <c r="B564" s="5"/>
      <c r="C564" s="5"/>
      <c r="D564" s="6"/>
      <c r="E564" s="5"/>
      <c r="F564" s="7" t="str">
        <f>IF($C564="","",IF('설정'!$B$3=0,"",CHOOSE('설정'!$B$3,SUMIFS('RAW_농산물_7월'!$F:$F,'RAW_농산물_7월'!$D:$D,$C564,'RAW_농산물_7월'!$A:$A,$E564),SUMIFS('RAW_농산물_8월'!$F:$F,'RAW_농산물_8월'!$D:$D,$C564,'RAW_농산물_8월'!$A:$A,$E564),SUMIFS('RAW_농산물_9월'!$F:$F,'RAW_농산물_9월'!$D:$D,$C564,'RAW_농산물_9월'!$A:$A,$E564),SUMIFS('RAW_농산물_10월'!$F:$F,'RAW_농산물_10월'!$D:$D,$C564,'RAW_농산물_10월'!$A:$A,$E564),SUMIFS('RAW_농산물_11-12월'!$F:$F,'RAW_농산물_11-12월'!$D:$D,$C564,'RAW_농산물_11-12월'!$A:$A,$E564))))</f>
        <v/>
      </c>
      <c r="G564" s="7" t="str">
        <f>IF($C564="","",IF('설정'!$B$3=0,"",CHOOSE('설정'!$B$3,SUMIFS('RAW_농산물_7월'!$G:$G,'RAW_농산물_7월'!$D:$D,$C564,'RAW_농산물_7월'!$A:$A,$E564),SUMIFS('RAW_농산물_8월'!$G:$G,'RAW_농산물_8월'!$D:$D,$C564,'RAW_농산물_8월'!$A:$A,$E564),SUMIFS('RAW_농산물_9월'!$G:$G,'RAW_농산물_9월'!$D:$D,$C564,'RAW_농산물_9월'!$A:$A,$E564),SUMIFS('RAW_농산물_10월'!$G:$G,'RAW_농산물_10월'!$D:$D,$C564,'RAW_농산물_10월'!$A:$A,$E564),SUMIFS('RAW_농산물_11-12월'!$G:$G,'RAW_농산물_11-12월'!$D:$D,$C564,'RAW_농산물_11-12월'!$A:$A,$E564))))</f>
        <v/>
      </c>
      <c r="H564" s="14" t="str">
        <f>IF($C564="","",IF('설정'!$B$3=0,"",CHOOSE('설정'!$B$3,SUMIFS('RAW_농산물_7월'!$H:$H,'RAW_농산물_7월'!$D:$D,$C564,'RAW_농산물_7월'!$A:$A,$E564),SUMIFS('RAW_농산물_8월'!$H:$H,'RAW_농산물_8월'!$D:$D,$C564,'RAW_농산물_8월'!$A:$A,$E564),SUMIFS('RAW_농산물_9월'!$H:$H,'RAW_농산물_9월'!$D:$D,$C564,'RAW_농산물_9월'!$A:$A,$E564),SUMIFS('RAW_농산물_10월'!$H:$H,'RAW_농산물_10월'!$D:$D,$C564,'RAW_농산물_10월'!$A:$A,$E564),SUMIFS('RAW_농산물_11-12월'!$H:$H,'RAW_농산물_11-12월'!$D:$D,$C564,'RAW_농산물_11-12월'!$A:$A,$E564))))</f>
        <v/>
      </c>
      <c r="I564" s="17" t="str">
        <f>IF($C564="","",IF(COUNTIFS('RAW_농산물_7월'!$D:$D,$C564,'RAW_농산물_7월'!$A:$A,$E564)&gt;0,"O",""))</f>
        <v/>
      </c>
      <c r="J564" s="17" t="str">
        <f>IF($C564="","",IF(COUNTIFS('RAW_농산물_8월'!$D:$D,$C564,'RAW_농산물_8월'!$A:$A,$E564)&gt;0,"O",""))</f>
        <v/>
      </c>
      <c r="K564" s="17" t="str">
        <f>IF($C564="","",IF(COUNTIFS('RAW_농산물_9월'!$D:$D,$C564,'RAW_농산물_9월'!$A:$A,$E564)&gt;0,"O",""))</f>
        <v/>
      </c>
      <c r="L564" s="17" t="str">
        <f>IF($C564="","",IF(COUNTIFS('RAW_농산물_10월'!$D:$D,$C564,'RAW_농산물_10월'!$A:$A,$E564)&gt;0,"O",""))</f>
        <v/>
      </c>
      <c r="M564" s="17" t="str">
        <f>IF($C564="","",IF(COUNTIFS('RAW_농산물_11-12월'!$D:$D,$C564,'RAW_농산물_11-12월'!$A:$A,$E564)&gt;0,"O",""))</f>
        <v/>
      </c>
      <c r="N564" s="7" t="str">
        <f>IF($C564="","",IF(COUNTA('RAW_농산물_7월'!$A:$A)&lt;=1,"",SUMIFS('RAW_농산물_7월'!$H:$H,'RAW_농산물_7월'!$D:$D,$C564,'RAW_농산물_7월'!$A:$A,$E564)))</f>
        <v/>
      </c>
      <c r="O564" s="7" t="str">
        <f>IF($C564="","",IF(COUNTA('RAW_농산물_8월'!$A:$A)&lt;=1,"",SUMIFS('RAW_농산물_8월'!$H:$H,'RAW_농산물_8월'!$D:$D,$C564,'RAW_농산물_8월'!$A:$A,$E564)-SUMIFS('RAW_농산물_7월'!$H:$H,'RAW_농산물_7월'!$D:$D,$C564,'RAW_농산물_7월'!$A:$A,$E564)))</f>
        <v/>
      </c>
      <c r="P564" s="7" t="str">
        <f>IF($C564="","",IF(COUNTA('RAW_농산물_9월'!$A:$A)&lt;=1,"",SUMIFS('RAW_농산물_9월'!$H:$H,'RAW_농산물_9월'!$D:$D,$C564,'RAW_농산물_9월'!$A:$A,$E564)-SUMIFS('RAW_농산물_8월'!$H:$H,'RAW_농산물_8월'!$D:$D,$C564,'RAW_농산물_8월'!$A:$A,$E564)))</f>
        <v/>
      </c>
      <c r="Q564" s="7" t="str">
        <f>IF($C564="","",IF(COUNTA('RAW_농산물_10월'!$A:$A)&lt;=1,"",SUMIFS('RAW_농산물_10월'!$H:$H,'RAW_농산물_10월'!$D:$D,$C564,'RAW_농산물_10월'!$A:$A,$E564)-SUMIFS('RAW_농산물_9월'!$H:$H,'RAW_농산물_9월'!$D:$D,$C564,'RAW_농산물_9월'!$A:$A,$E564)))</f>
        <v/>
      </c>
      <c r="R564" s="7" t="str">
        <f>IF($C564="","",IF(COUNTA('RAW_농산물_11-12월'!$A:$A)&lt;=1,"",SUMIFS('RAW_농산물_11-12월'!$H:$H,'RAW_농산물_11-12월'!$D:$D,$C564,'RAW_농산물_11-12월'!$A:$A,$E564)-SUMIFS('RAW_농산물_10월'!$H:$H,'RAW_농산물_10월'!$D:$D,$C564,'RAW_농산물_10월'!$A:$A,$E564)))</f>
        <v/>
      </c>
      <c r="S564" s="17" t="str">
        <f t="shared" si="4"/>
        <v/>
      </c>
      <c r="T564" s="17" t="str">
        <f t="shared" si="5"/>
        <v/>
      </c>
      <c r="U564" s="7">
        <f>IF($C564="",0,IF('설정'!$B$3=0,0,CHOOSE('설정'!$B$3,COUNTIFS('RAW_농산물_7월'!$D:$D,$C564,'RAW_농산물_7월'!$A:$A,$E564),COUNTIFS('RAW_농산물_8월'!$D:$D,$C564,'RAW_농산물_8월'!$A:$A,$E564),COUNTIFS('RAW_농산물_9월'!$D:$D,$C564,'RAW_농산물_9월'!$A:$A,$E564),COUNTIFS('RAW_농산물_10월'!$D:$D,$C564,'RAW_농산물_10월'!$A:$A,$E564),COUNTIFS('RAW_농산물_11-12월'!$D:$D,$C564,'RAW_농산물_11-12월'!$A:$A,$E564))))</f>
        <v>0</v>
      </c>
    </row>
    <row r="565" ht="15.75" customHeight="1">
      <c r="A565" s="5"/>
      <c r="B565" s="5"/>
      <c r="C565" s="5"/>
      <c r="D565" s="6"/>
      <c r="E565" s="5"/>
      <c r="F565" s="7" t="str">
        <f>IF($C565="","",IF('설정'!$B$3=0,"",CHOOSE('설정'!$B$3,SUMIFS('RAW_농산물_7월'!$F:$F,'RAW_농산물_7월'!$D:$D,$C565,'RAW_농산물_7월'!$A:$A,$E565),SUMIFS('RAW_농산물_8월'!$F:$F,'RAW_농산물_8월'!$D:$D,$C565,'RAW_농산물_8월'!$A:$A,$E565),SUMIFS('RAW_농산물_9월'!$F:$F,'RAW_농산물_9월'!$D:$D,$C565,'RAW_농산물_9월'!$A:$A,$E565),SUMIFS('RAW_농산물_10월'!$F:$F,'RAW_농산물_10월'!$D:$D,$C565,'RAW_농산물_10월'!$A:$A,$E565),SUMIFS('RAW_농산물_11-12월'!$F:$F,'RAW_농산물_11-12월'!$D:$D,$C565,'RAW_농산물_11-12월'!$A:$A,$E565))))</f>
        <v/>
      </c>
      <c r="G565" s="7" t="str">
        <f>IF($C565="","",IF('설정'!$B$3=0,"",CHOOSE('설정'!$B$3,SUMIFS('RAW_농산물_7월'!$G:$G,'RAW_농산물_7월'!$D:$D,$C565,'RAW_농산물_7월'!$A:$A,$E565),SUMIFS('RAW_농산물_8월'!$G:$G,'RAW_농산물_8월'!$D:$D,$C565,'RAW_농산물_8월'!$A:$A,$E565),SUMIFS('RAW_농산물_9월'!$G:$G,'RAW_농산물_9월'!$D:$D,$C565,'RAW_농산물_9월'!$A:$A,$E565),SUMIFS('RAW_농산물_10월'!$G:$G,'RAW_농산물_10월'!$D:$D,$C565,'RAW_농산물_10월'!$A:$A,$E565),SUMIFS('RAW_농산물_11-12월'!$G:$G,'RAW_농산물_11-12월'!$D:$D,$C565,'RAW_농산물_11-12월'!$A:$A,$E565))))</f>
        <v/>
      </c>
      <c r="H565" s="14" t="str">
        <f>IF($C565="","",IF('설정'!$B$3=0,"",CHOOSE('설정'!$B$3,SUMIFS('RAW_농산물_7월'!$H:$H,'RAW_농산물_7월'!$D:$D,$C565,'RAW_농산물_7월'!$A:$A,$E565),SUMIFS('RAW_농산물_8월'!$H:$H,'RAW_농산물_8월'!$D:$D,$C565,'RAW_농산물_8월'!$A:$A,$E565),SUMIFS('RAW_농산물_9월'!$H:$H,'RAW_농산물_9월'!$D:$D,$C565,'RAW_농산물_9월'!$A:$A,$E565),SUMIFS('RAW_농산물_10월'!$H:$H,'RAW_농산물_10월'!$D:$D,$C565,'RAW_농산물_10월'!$A:$A,$E565),SUMIFS('RAW_농산물_11-12월'!$H:$H,'RAW_농산물_11-12월'!$D:$D,$C565,'RAW_농산물_11-12월'!$A:$A,$E565))))</f>
        <v/>
      </c>
      <c r="I565" s="17" t="str">
        <f>IF($C565="","",IF(COUNTIFS('RAW_농산물_7월'!$D:$D,$C565,'RAW_농산물_7월'!$A:$A,$E565)&gt;0,"O",""))</f>
        <v/>
      </c>
      <c r="J565" s="17" t="str">
        <f>IF($C565="","",IF(COUNTIFS('RAW_농산물_8월'!$D:$D,$C565,'RAW_농산물_8월'!$A:$A,$E565)&gt;0,"O",""))</f>
        <v/>
      </c>
      <c r="K565" s="17" t="str">
        <f>IF($C565="","",IF(COUNTIFS('RAW_농산물_9월'!$D:$D,$C565,'RAW_농산물_9월'!$A:$A,$E565)&gt;0,"O",""))</f>
        <v/>
      </c>
      <c r="L565" s="17" t="str">
        <f>IF($C565="","",IF(COUNTIFS('RAW_농산물_10월'!$D:$D,$C565,'RAW_농산물_10월'!$A:$A,$E565)&gt;0,"O",""))</f>
        <v/>
      </c>
      <c r="M565" s="17" t="str">
        <f>IF($C565="","",IF(COUNTIFS('RAW_농산물_11-12월'!$D:$D,$C565,'RAW_농산물_11-12월'!$A:$A,$E565)&gt;0,"O",""))</f>
        <v/>
      </c>
      <c r="N565" s="7" t="str">
        <f>IF($C565="","",IF(COUNTA('RAW_농산물_7월'!$A:$A)&lt;=1,"",SUMIFS('RAW_농산물_7월'!$H:$H,'RAW_농산물_7월'!$D:$D,$C565,'RAW_농산물_7월'!$A:$A,$E565)))</f>
        <v/>
      </c>
      <c r="O565" s="7" t="str">
        <f>IF($C565="","",IF(COUNTA('RAW_농산물_8월'!$A:$A)&lt;=1,"",SUMIFS('RAW_농산물_8월'!$H:$H,'RAW_농산물_8월'!$D:$D,$C565,'RAW_농산물_8월'!$A:$A,$E565)-SUMIFS('RAW_농산물_7월'!$H:$H,'RAW_농산물_7월'!$D:$D,$C565,'RAW_농산물_7월'!$A:$A,$E565)))</f>
        <v/>
      </c>
      <c r="P565" s="7" t="str">
        <f>IF($C565="","",IF(COUNTA('RAW_농산물_9월'!$A:$A)&lt;=1,"",SUMIFS('RAW_농산물_9월'!$H:$H,'RAW_농산물_9월'!$D:$D,$C565,'RAW_농산물_9월'!$A:$A,$E565)-SUMIFS('RAW_농산물_8월'!$H:$H,'RAW_농산물_8월'!$D:$D,$C565,'RAW_농산물_8월'!$A:$A,$E565)))</f>
        <v/>
      </c>
      <c r="Q565" s="7" t="str">
        <f>IF($C565="","",IF(COUNTA('RAW_농산물_10월'!$A:$A)&lt;=1,"",SUMIFS('RAW_농산물_10월'!$H:$H,'RAW_농산물_10월'!$D:$D,$C565,'RAW_농산물_10월'!$A:$A,$E565)-SUMIFS('RAW_농산물_9월'!$H:$H,'RAW_농산물_9월'!$D:$D,$C565,'RAW_농산물_9월'!$A:$A,$E565)))</f>
        <v/>
      </c>
      <c r="R565" s="7" t="str">
        <f>IF($C565="","",IF(COUNTA('RAW_농산물_11-12월'!$A:$A)&lt;=1,"",SUMIFS('RAW_농산물_11-12월'!$H:$H,'RAW_농산물_11-12월'!$D:$D,$C565,'RAW_농산물_11-12월'!$A:$A,$E565)-SUMIFS('RAW_농산물_10월'!$H:$H,'RAW_농산물_10월'!$D:$D,$C565,'RAW_농산물_10월'!$A:$A,$E565)))</f>
        <v/>
      </c>
      <c r="S565" s="17" t="str">
        <f t="shared" si="4"/>
        <v/>
      </c>
      <c r="T565" s="17" t="str">
        <f t="shared" si="5"/>
        <v/>
      </c>
      <c r="U565" s="7">
        <f>IF($C565="",0,IF('설정'!$B$3=0,0,CHOOSE('설정'!$B$3,COUNTIFS('RAW_농산물_7월'!$D:$D,$C565,'RAW_농산물_7월'!$A:$A,$E565),COUNTIFS('RAW_농산물_8월'!$D:$D,$C565,'RAW_농산물_8월'!$A:$A,$E565),COUNTIFS('RAW_농산물_9월'!$D:$D,$C565,'RAW_농산물_9월'!$A:$A,$E565),COUNTIFS('RAW_농산물_10월'!$D:$D,$C565,'RAW_농산물_10월'!$A:$A,$E565),COUNTIFS('RAW_농산물_11-12월'!$D:$D,$C565,'RAW_농산물_11-12월'!$A:$A,$E565))))</f>
        <v>0</v>
      </c>
    </row>
    <row r="566" ht="15.75" customHeight="1">
      <c r="A566" s="5"/>
      <c r="B566" s="5"/>
      <c r="C566" s="5"/>
      <c r="D566" s="6"/>
      <c r="E566" s="5"/>
      <c r="F566" s="7" t="str">
        <f>IF($C566="","",IF('설정'!$B$3=0,"",CHOOSE('설정'!$B$3,SUMIFS('RAW_농산물_7월'!$F:$F,'RAW_농산물_7월'!$D:$D,$C566,'RAW_농산물_7월'!$A:$A,$E566),SUMIFS('RAW_농산물_8월'!$F:$F,'RAW_농산물_8월'!$D:$D,$C566,'RAW_농산물_8월'!$A:$A,$E566),SUMIFS('RAW_농산물_9월'!$F:$F,'RAW_농산물_9월'!$D:$D,$C566,'RAW_농산물_9월'!$A:$A,$E566),SUMIFS('RAW_농산물_10월'!$F:$F,'RAW_농산물_10월'!$D:$D,$C566,'RAW_농산물_10월'!$A:$A,$E566),SUMIFS('RAW_농산물_11-12월'!$F:$F,'RAW_농산물_11-12월'!$D:$D,$C566,'RAW_농산물_11-12월'!$A:$A,$E566))))</f>
        <v/>
      </c>
      <c r="G566" s="7" t="str">
        <f>IF($C566="","",IF('설정'!$B$3=0,"",CHOOSE('설정'!$B$3,SUMIFS('RAW_농산물_7월'!$G:$G,'RAW_농산물_7월'!$D:$D,$C566,'RAW_농산물_7월'!$A:$A,$E566),SUMIFS('RAW_농산물_8월'!$G:$G,'RAW_농산물_8월'!$D:$D,$C566,'RAW_농산물_8월'!$A:$A,$E566),SUMIFS('RAW_농산물_9월'!$G:$G,'RAW_농산물_9월'!$D:$D,$C566,'RAW_농산물_9월'!$A:$A,$E566),SUMIFS('RAW_농산물_10월'!$G:$G,'RAW_농산물_10월'!$D:$D,$C566,'RAW_농산물_10월'!$A:$A,$E566),SUMIFS('RAW_농산물_11-12월'!$G:$G,'RAW_농산물_11-12월'!$D:$D,$C566,'RAW_농산물_11-12월'!$A:$A,$E566))))</f>
        <v/>
      </c>
      <c r="H566" s="14" t="str">
        <f>IF($C566="","",IF('설정'!$B$3=0,"",CHOOSE('설정'!$B$3,SUMIFS('RAW_농산물_7월'!$H:$H,'RAW_농산물_7월'!$D:$D,$C566,'RAW_농산물_7월'!$A:$A,$E566),SUMIFS('RAW_농산물_8월'!$H:$H,'RAW_농산물_8월'!$D:$D,$C566,'RAW_농산물_8월'!$A:$A,$E566),SUMIFS('RAW_농산물_9월'!$H:$H,'RAW_농산물_9월'!$D:$D,$C566,'RAW_농산물_9월'!$A:$A,$E566),SUMIFS('RAW_농산물_10월'!$H:$H,'RAW_농산물_10월'!$D:$D,$C566,'RAW_농산물_10월'!$A:$A,$E566),SUMIFS('RAW_농산물_11-12월'!$H:$H,'RAW_농산물_11-12월'!$D:$D,$C566,'RAW_농산물_11-12월'!$A:$A,$E566))))</f>
        <v/>
      </c>
      <c r="I566" s="17" t="str">
        <f>IF($C566="","",IF(COUNTIFS('RAW_농산물_7월'!$D:$D,$C566,'RAW_농산물_7월'!$A:$A,$E566)&gt;0,"O",""))</f>
        <v/>
      </c>
      <c r="J566" s="17" t="str">
        <f>IF($C566="","",IF(COUNTIFS('RAW_농산물_8월'!$D:$D,$C566,'RAW_농산물_8월'!$A:$A,$E566)&gt;0,"O",""))</f>
        <v/>
      </c>
      <c r="K566" s="17" t="str">
        <f>IF($C566="","",IF(COUNTIFS('RAW_농산물_9월'!$D:$D,$C566,'RAW_농산물_9월'!$A:$A,$E566)&gt;0,"O",""))</f>
        <v/>
      </c>
      <c r="L566" s="17" t="str">
        <f>IF($C566="","",IF(COUNTIFS('RAW_농산물_10월'!$D:$D,$C566,'RAW_농산물_10월'!$A:$A,$E566)&gt;0,"O",""))</f>
        <v/>
      </c>
      <c r="M566" s="17" t="str">
        <f>IF($C566="","",IF(COUNTIFS('RAW_농산물_11-12월'!$D:$D,$C566,'RAW_농산물_11-12월'!$A:$A,$E566)&gt;0,"O",""))</f>
        <v/>
      </c>
      <c r="N566" s="7" t="str">
        <f>IF($C566="","",IF(COUNTA('RAW_농산물_7월'!$A:$A)&lt;=1,"",SUMIFS('RAW_농산물_7월'!$H:$H,'RAW_농산물_7월'!$D:$D,$C566,'RAW_농산물_7월'!$A:$A,$E566)))</f>
        <v/>
      </c>
      <c r="O566" s="7" t="str">
        <f>IF($C566="","",IF(COUNTA('RAW_농산물_8월'!$A:$A)&lt;=1,"",SUMIFS('RAW_농산물_8월'!$H:$H,'RAW_농산물_8월'!$D:$D,$C566,'RAW_농산물_8월'!$A:$A,$E566)-SUMIFS('RAW_농산물_7월'!$H:$H,'RAW_농산물_7월'!$D:$D,$C566,'RAW_농산물_7월'!$A:$A,$E566)))</f>
        <v/>
      </c>
      <c r="P566" s="7" t="str">
        <f>IF($C566="","",IF(COUNTA('RAW_농산물_9월'!$A:$A)&lt;=1,"",SUMIFS('RAW_농산물_9월'!$H:$H,'RAW_농산물_9월'!$D:$D,$C566,'RAW_농산물_9월'!$A:$A,$E566)-SUMIFS('RAW_농산물_8월'!$H:$H,'RAW_농산물_8월'!$D:$D,$C566,'RAW_농산물_8월'!$A:$A,$E566)))</f>
        <v/>
      </c>
      <c r="Q566" s="7" t="str">
        <f>IF($C566="","",IF(COUNTA('RAW_농산물_10월'!$A:$A)&lt;=1,"",SUMIFS('RAW_농산물_10월'!$H:$H,'RAW_농산물_10월'!$D:$D,$C566,'RAW_농산물_10월'!$A:$A,$E566)-SUMIFS('RAW_농산물_9월'!$H:$H,'RAW_농산물_9월'!$D:$D,$C566,'RAW_농산물_9월'!$A:$A,$E566)))</f>
        <v/>
      </c>
      <c r="R566" s="7" t="str">
        <f>IF($C566="","",IF(COUNTA('RAW_농산물_11-12월'!$A:$A)&lt;=1,"",SUMIFS('RAW_농산물_11-12월'!$H:$H,'RAW_농산물_11-12월'!$D:$D,$C566,'RAW_농산물_11-12월'!$A:$A,$E566)-SUMIFS('RAW_농산물_10월'!$H:$H,'RAW_농산물_10월'!$D:$D,$C566,'RAW_농산물_10월'!$A:$A,$E566)))</f>
        <v/>
      </c>
      <c r="S566" s="17" t="str">
        <f t="shared" si="4"/>
        <v/>
      </c>
      <c r="T566" s="17" t="str">
        <f t="shared" si="5"/>
        <v/>
      </c>
      <c r="U566" s="7">
        <f>IF($C566="",0,IF('설정'!$B$3=0,0,CHOOSE('설정'!$B$3,COUNTIFS('RAW_농산물_7월'!$D:$D,$C566,'RAW_농산물_7월'!$A:$A,$E566),COUNTIFS('RAW_농산물_8월'!$D:$D,$C566,'RAW_농산물_8월'!$A:$A,$E566),COUNTIFS('RAW_농산물_9월'!$D:$D,$C566,'RAW_농산물_9월'!$A:$A,$E566),COUNTIFS('RAW_농산물_10월'!$D:$D,$C566,'RAW_농산물_10월'!$A:$A,$E566),COUNTIFS('RAW_농산물_11-12월'!$D:$D,$C566,'RAW_농산물_11-12월'!$A:$A,$E566))))</f>
        <v>0</v>
      </c>
    </row>
    <row r="567" ht="15.75" customHeight="1">
      <c r="A567" s="5"/>
      <c r="B567" s="5"/>
      <c r="C567" s="5"/>
      <c r="D567" s="6"/>
      <c r="E567" s="5"/>
      <c r="F567" s="7" t="str">
        <f>IF($C567="","",IF('설정'!$B$3=0,"",CHOOSE('설정'!$B$3,SUMIFS('RAW_농산물_7월'!$F:$F,'RAW_농산물_7월'!$D:$D,$C567,'RAW_농산물_7월'!$A:$A,$E567),SUMIFS('RAW_농산물_8월'!$F:$F,'RAW_농산물_8월'!$D:$D,$C567,'RAW_농산물_8월'!$A:$A,$E567),SUMIFS('RAW_농산물_9월'!$F:$F,'RAW_농산물_9월'!$D:$D,$C567,'RAW_농산물_9월'!$A:$A,$E567),SUMIFS('RAW_농산물_10월'!$F:$F,'RAW_농산물_10월'!$D:$D,$C567,'RAW_농산물_10월'!$A:$A,$E567),SUMIFS('RAW_농산물_11-12월'!$F:$F,'RAW_농산물_11-12월'!$D:$D,$C567,'RAW_농산물_11-12월'!$A:$A,$E567))))</f>
        <v/>
      </c>
      <c r="G567" s="7" t="str">
        <f>IF($C567="","",IF('설정'!$B$3=0,"",CHOOSE('설정'!$B$3,SUMIFS('RAW_농산물_7월'!$G:$G,'RAW_농산물_7월'!$D:$D,$C567,'RAW_농산물_7월'!$A:$A,$E567),SUMIFS('RAW_농산물_8월'!$G:$G,'RAW_농산물_8월'!$D:$D,$C567,'RAW_농산물_8월'!$A:$A,$E567),SUMIFS('RAW_농산물_9월'!$G:$G,'RAW_농산물_9월'!$D:$D,$C567,'RAW_농산물_9월'!$A:$A,$E567),SUMIFS('RAW_농산물_10월'!$G:$G,'RAW_농산물_10월'!$D:$D,$C567,'RAW_농산물_10월'!$A:$A,$E567),SUMIFS('RAW_농산물_11-12월'!$G:$G,'RAW_농산물_11-12월'!$D:$D,$C567,'RAW_농산물_11-12월'!$A:$A,$E567))))</f>
        <v/>
      </c>
      <c r="H567" s="14" t="str">
        <f>IF($C567="","",IF('설정'!$B$3=0,"",CHOOSE('설정'!$B$3,SUMIFS('RAW_농산물_7월'!$H:$H,'RAW_농산물_7월'!$D:$D,$C567,'RAW_농산물_7월'!$A:$A,$E567),SUMIFS('RAW_농산물_8월'!$H:$H,'RAW_농산물_8월'!$D:$D,$C567,'RAW_농산물_8월'!$A:$A,$E567),SUMIFS('RAW_농산물_9월'!$H:$H,'RAW_농산물_9월'!$D:$D,$C567,'RAW_농산물_9월'!$A:$A,$E567),SUMIFS('RAW_농산물_10월'!$H:$H,'RAW_농산물_10월'!$D:$D,$C567,'RAW_농산물_10월'!$A:$A,$E567),SUMIFS('RAW_농산물_11-12월'!$H:$H,'RAW_농산물_11-12월'!$D:$D,$C567,'RAW_농산물_11-12월'!$A:$A,$E567))))</f>
        <v/>
      </c>
      <c r="I567" s="17" t="str">
        <f>IF($C567="","",IF(COUNTIFS('RAW_농산물_7월'!$D:$D,$C567,'RAW_농산물_7월'!$A:$A,$E567)&gt;0,"O",""))</f>
        <v/>
      </c>
      <c r="J567" s="17" t="str">
        <f>IF($C567="","",IF(COUNTIFS('RAW_농산물_8월'!$D:$D,$C567,'RAW_농산물_8월'!$A:$A,$E567)&gt;0,"O",""))</f>
        <v/>
      </c>
      <c r="K567" s="17" t="str">
        <f>IF($C567="","",IF(COUNTIFS('RAW_농산물_9월'!$D:$D,$C567,'RAW_농산물_9월'!$A:$A,$E567)&gt;0,"O",""))</f>
        <v/>
      </c>
      <c r="L567" s="17" t="str">
        <f>IF($C567="","",IF(COUNTIFS('RAW_농산물_10월'!$D:$D,$C567,'RAW_농산물_10월'!$A:$A,$E567)&gt;0,"O",""))</f>
        <v/>
      </c>
      <c r="M567" s="17" t="str">
        <f>IF($C567="","",IF(COUNTIFS('RAW_농산물_11-12월'!$D:$D,$C567,'RAW_농산물_11-12월'!$A:$A,$E567)&gt;0,"O",""))</f>
        <v/>
      </c>
      <c r="N567" s="7" t="str">
        <f>IF($C567="","",IF(COUNTA('RAW_농산물_7월'!$A:$A)&lt;=1,"",SUMIFS('RAW_농산물_7월'!$H:$H,'RAW_농산물_7월'!$D:$D,$C567,'RAW_농산물_7월'!$A:$A,$E567)))</f>
        <v/>
      </c>
      <c r="O567" s="7" t="str">
        <f>IF($C567="","",IF(COUNTA('RAW_농산물_8월'!$A:$A)&lt;=1,"",SUMIFS('RAW_농산물_8월'!$H:$H,'RAW_농산물_8월'!$D:$D,$C567,'RAW_농산물_8월'!$A:$A,$E567)-SUMIFS('RAW_농산물_7월'!$H:$H,'RAW_농산물_7월'!$D:$D,$C567,'RAW_농산물_7월'!$A:$A,$E567)))</f>
        <v/>
      </c>
      <c r="P567" s="7" t="str">
        <f>IF($C567="","",IF(COUNTA('RAW_농산물_9월'!$A:$A)&lt;=1,"",SUMIFS('RAW_농산물_9월'!$H:$H,'RAW_농산물_9월'!$D:$D,$C567,'RAW_농산물_9월'!$A:$A,$E567)-SUMIFS('RAW_농산물_8월'!$H:$H,'RAW_농산물_8월'!$D:$D,$C567,'RAW_농산물_8월'!$A:$A,$E567)))</f>
        <v/>
      </c>
      <c r="Q567" s="7" t="str">
        <f>IF($C567="","",IF(COUNTA('RAW_농산물_10월'!$A:$A)&lt;=1,"",SUMIFS('RAW_농산물_10월'!$H:$H,'RAW_농산물_10월'!$D:$D,$C567,'RAW_농산물_10월'!$A:$A,$E567)-SUMIFS('RAW_농산물_9월'!$H:$H,'RAW_농산물_9월'!$D:$D,$C567,'RAW_농산물_9월'!$A:$A,$E567)))</f>
        <v/>
      </c>
      <c r="R567" s="7" t="str">
        <f>IF($C567="","",IF(COUNTA('RAW_농산물_11-12월'!$A:$A)&lt;=1,"",SUMIFS('RAW_농산물_11-12월'!$H:$H,'RAW_농산물_11-12월'!$D:$D,$C567,'RAW_농산물_11-12월'!$A:$A,$E567)-SUMIFS('RAW_농산물_10월'!$H:$H,'RAW_농산물_10월'!$D:$D,$C567,'RAW_농산물_10월'!$A:$A,$E567)))</f>
        <v/>
      </c>
      <c r="S567" s="17" t="str">
        <f t="shared" si="4"/>
        <v/>
      </c>
      <c r="T567" s="17" t="str">
        <f t="shared" si="5"/>
        <v/>
      </c>
      <c r="U567" s="7">
        <f>IF($C567="",0,IF('설정'!$B$3=0,0,CHOOSE('설정'!$B$3,COUNTIFS('RAW_농산물_7월'!$D:$D,$C567,'RAW_농산물_7월'!$A:$A,$E567),COUNTIFS('RAW_농산물_8월'!$D:$D,$C567,'RAW_농산물_8월'!$A:$A,$E567),COUNTIFS('RAW_농산물_9월'!$D:$D,$C567,'RAW_농산물_9월'!$A:$A,$E567),COUNTIFS('RAW_농산물_10월'!$D:$D,$C567,'RAW_농산물_10월'!$A:$A,$E567),COUNTIFS('RAW_농산물_11-12월'!$D:$D,$C567,'RAW_농산물_11-12월'!$A:$A,$E567))))</f>
        <v>0</v>
      </c>
    </row>
    <row r="568" ht="15.75" customHeight="1">
      <c r="A568" s="5"/>
      <c r="B568" s="5"/>
      <c r="C568" s="5"/>
      <c r="D568" s="6"/>
      <c r="E568" s="5"/>
      <c r="F568" s="7" t="str">
        <f>IF($C568="","",IF('설정'!$B$3=0,"",CHOOSE('설정'!$B$3,SUMIFS('RAW_농산물_7월'!$F:$F,'RAW_농산물_7월'!$D:$D,$C568,'RAW_농산물_7월'!$A:$A,$E568),SUMIFS('RAW_농산물_8월'!$F:$F,'RAW_농산물_8월'!$D:$D,$C568,'RAW_농산물_8월'!$A:$A,$E568),SUMIFS('RAW_농산물_9월'!$F:$F,'RAW_농산물_9월'!$D:$D,$C568,'RAW_농산물_9월'!$A:$A,$E568),SUMIFS('RAW_농산물_10월'!$F:$F,'RAW_농산물_10월'!$D:$D,$C568,'RAW_농산물_10월'!$A:$A,$E568),SUMIFS('RAW_농산물_11-12월'!$F:$F,'RAW_농산물_11-12월'!$D:$D,$C568,'RAW_농산물_11-12월'!$A:$A,$E568))))</f>
        <v/>
      </c>
      <c r="G568" s="7" t="str">
        <f>IF($C568="","",IF('설정'!$B$3=0,"",CHOOSE('설정'!$B$3,SUMIFS('RAW_농산물_7월'!$G:$G,'RAW_농산물_7월'!$D:$D,$C568,'RAW_농산물_7월'!$A:$A,$E568),SUMIFS('RAW_농산물_8월'!$G:$G,'RAW_농산물_8월'!$D:$D,$C568,'RAW_농산물_8월'!$A:$A,$E568),SUMIFS('RAW_농산물_9월'!$G:$G,'RAW_농산물_9월'!$D:$D,$C568,'RAW_농산물_9월'!$A:$A,$E568),SUMIFS('RAW_농산물_10월'!$G:$G,'RAW_농산물_10월'!$D:$D,$C568,'RAW_농산물_10월'!$A:$A,$E568),SUMIFS('RAW_농산물_11-12월'!$G:$G,'RAW_농산물_11-12월'!$D:$D,$C568,'RAW_농산물_11-12월'!$A:$A,$E568))))</f>
        <v/>
      </c>
      <c r="H568" s="14" t="str">
        <f>IF($C568="","",IF('설정'!$B$3=0,"",CHOOSE('설정'!$B$3,SUMIFS('RAW_농산물_7월'!$H:$H,'RAW_농산물_7월'!$D:$D,$C568,'RAW_농산물_7월'!$A:$A,$E568),SUMIFS('RAW_농산물_8월'!$H:$H,'RAW_농산물_8월'!$D:$D,$C568,'RAW_농산물_8월'!$A:$A,$E568),SUMIFS('RAW_농산물_9월'!$H:$H,'RAW_농산물_9월'!$D:$D,$C568,'RAW_농산물_9월'!$A:$A,$E568),SUMIFS('RAW_농산물_10월'!$H:$H,'RAW_농산물_10월'!$D:$D,$C568,'RAW_농산물_10월'!$A:$A,$E568),SUMIFS('RAW_농산물_11-12월'!$H:$H,'RAW_농산물_11-12월'!$D:$D,$C568,'RAW_농산물_11-12월'!$A:$A,$E568))))</f>
        <v/>
      </c>
      <c r="I568" s="17" t="str">
        <f>IF($C568="","",IF(COUNTIFS('RAW_농산물_7월'!$D:$D,$C568,'RAW_농산물_7월'!$A:$A,$E568)&gt;0,"O",""))</f>
        <v/>
      </c>
      <c r="J568" s="17" t="str">
        <f>IF($C568="","",IF(COUNTIFS('RAW_농산물_8월'!$D:$D,$C568,'RAW_농산물_8월'!$A:$A,$E568)&gt;0,"O",""))</f>
        <v/>
      </c>
      <c r="K568" s="17" t="str">
        <f>IF($C568="","",IF(COUNTIFS('RAW_농산물_9월'!$D:$D,$C568,'RAW_농산물_9월'!$A:$A,$E568)&gt;0,"O",""))</f>
        <v/>
      </c>
      <c r="L568" s="17" t="str">
        <f>IF($C568="","",IF(COUNTIFS('RAW_농산물_10월'!$D:$D,$C568,'RAW_농산물_10월'!$A:$A,$E568)&gt;0,"O",""))</f>
        <v/>
      </c>
      <c r="M568" s="17" t="str">
        <f>IF($C568="","",IF(COUNTIFS('RAW_농산물_11-12월'!$D:$D,$C568,'RAW_농산물_11-12월'!$A:$A,$E568)&gt;0,"O",""))</f>
        <v/>
      </c>
      <c r="N568" s="7" t="str">
        <f>IF($C568="","",IF(COUNTA('RAW_농산물_7월'!$A:$A)&lt;=1,"",SUMIFS('RAW_농산물_7월'!$H:$H,'RAW_농산물_7월'!$D:$D,$C568,'RAW_농산물_7월'!$A:$A,$E568)))</f>
        <v/>
      </c>
      <c r="O568" s="7" t="str">
        <f>IF($C568="","",IF(COUNTA('RAW_농산물_8월'!$A:$A)&lt;=1,"",SUMIFS('RAW_농산물_8월'!$H:$H,'RAW_농산물_8월'!$D:$D,$C568,'RAW_농산물_8월'!$A:$A,$E568)-SUMIFS('RAW_농산물_7월'!$H:$H,'RAW_농산물_7월'!$D:$D,$C568,'RAW_농산물_7월'!$A:$A,$E568)))</f>
        <v/>
      </c>
      <c r="P568" s="7" t="str">
        <f>IF($C568="","",IF(COUNTA('RAW_농산물_9월'!$A:$A)&lt;=1,"",SUMIFS('RAW_농산물_9월'!$H:$H,'RAW_농산물_9월'!$D:$D,$C568,'RAW_농산물_9월'!$A:$A,$E568)-SUMIFS('RAW_농산물_8월'!$H:$H,'RAW_농산물_8월'!$D:$D,$C568,'RAW_농산물_8월'!$A:$A,$E568)))</f>
        <v/>
      </c>
      <c r="Q568" s="7" t="str">
        <f>IF($C568="","",IF(COUNTA('RAW_농산물_10월'!$A:$A)&lt;=1,"",SUMIFS('RAW_농산물_10월'!$H:$H,'RAW_농산물_10월'!$D:$D,$C568,'RAW_농산물_10월'!$A:$A,$E568)-SUMIFS('RAW_농산물_9월'!$H:$H,'RAW_농산물_9월'!$D:$D,$C568,'RAW_농산물_9월'!$A:$A,$E568)))</f>
        <v/>
      </c>
      <c r="R568" s="7" t="str">
        <f>IF($C568="","",IF(COUNTA('RAW_농산물_11-12월'!$A:$A)&lt;=1,"",SUMIFS('RAW_농산물_11-12월'!$H:$H,'RAW_농산물_11-12월'!$D:$D,$C568,'RAW_농산물_11-12월'!$A:$A,$E568)-SUMIFS('RAW_농산물_10월'!$H:$H,'RAW_농산물_10월'!$D:$D,$C568,'RAW_농산물_10월'!$A:$A,$E568)))</f>
        <v/>
      </c>
      <c r="S568" s="17" t="str">
        <f t="shared" si="4"/>
        <v/>
      </c>
      <c r="T568" s="17" t="str">
        <f t="shared" si="5"/>
        <v/>
      </c>
      <c r="U568" s="7">
        <f>IF($C568="",0,IF('설정'!$B$3=0,0,CHOOSE('설정'!$B$3,COUNTIFS('RAW_농산물_7월'!$D:$D,$C568,'RAW_농산물_7월'!$A:$A,$E568),COUNTIFS('RAW_농산물_8월'!$D:$D,$C568,'RAW_농산물_8월'!$A:$A,$E568),COUNTIFS('RAW_농산물_9월'!$D:$D,$C568,'RAW_농산물_9월'!$A:$A,$E568),COUNTIFS('RAW_농산물_10월'!$D:$D,$C568,'RAW_농산물_10월'!$A:$A,$E568),COUNTIFS('RAW_농산물_11-12월'!$D:$D,$C568,'RAW_농산물_11-12월'!$A:$A,$E568))))</f>
        <v>0</v>
      </c>
    </row>
    <row r="569" ht="15.75" customHeight="1">
      <c r="A569" s="5"/>
      <c r="B569" s="5"/>
      <c r="C569" s="5"/>
      <c r="D569" s="6"/>
      <c r="E569" s="5"/>
      <c r="F569" s="7" t="str">
        <f>IF($C569="","",IF('설정'!$B$3=0,"",CHOOSE('설정'!$B$3,SUMIFS('RAW_농산물_7월'!$F:$F,'RAW_농산물_7월'!$D:$D,$C569,'RAW_농산물_7월'!$A:$A,$E569),SUMIFS('RAW_농산물_8월'!$F:$F,'RAW_농산물_8월'!$D:$D,$C569,'RAW_농산물_8월'!$A:$A,$E569),SUMIFS('RAW_농산물_9월'!$F:$F,'RAW_농산물_9월'!$D:$D,$C569,'RAW_농산물_9월'!$A:$A,$E569),SUMIFS('RAW_농산물_10월'!$F:$F,'RAW_농산물_10월'!$D:$D,$C569,'RAW_농산물_10월'!$A:$A,$E569),SUMIFS('RAW_농산물_11-12월'!$F:$F,'RAW_농산물_11-12월'!$D:$D,$C569,'RAW_농산물_11-12월'!$A:$A,$E569))))</f>
        <v/>
      </c>
      <c r="G569" s="7" t="str">
        <f>IF($C569="","",IF('설정'!$B$3=0,"",CHOOSE('설정'!$B$3,SUMIFS('RAW_농산물_7월'!$G:$G,'RAW_농산물_7월'!$D:$D,$C569,'RAW_농산물_7월'!$A:$A,$E569),SUMIFS('RAW_농산물_8월'!$G:$G,'RAW_농산물_8월'!$D:$D,$C569,'RAW_농산물_8월'!$A:$A,$E569),SUMIFS('RAW_농산물_9월'!$G:$G,'RAW_농산물_9월'!$D:$D,$C569,'RAW_농산물_9월'!$A:$A,$E569),SUMIFS('RAW_농산물_10월'!$G:$G,'RAW_농산물_10월'!$D:$D,$C569,'RAW_농산물_10월'!$A:$A,$E569),SUMIFS('RAW_농산물_11-12월'!$G:$G,'RAW_농산물_11-12월'!$D:$D,$C569,'RAW_농산물_11-12월'!$A:$A,$E569))))</f>
        <v/>
      </c>
      <c r="H569" s="14" t="str">
        <f>IF($C569="","",IF('설정'!$B$3=0,"",CHOOSE('설정'!$B$3,SUMIFS('RAW_농산물_7월'!$H:$H,'RAW_농산물_7월'!$D:$D,$C569,'RAW_농산물_7월'!$A:$A,$E569),SUMIFS('RAW_농산물_8월'!$H:$H,'RAW_농산물_8월'!$D:$D,$C569,'RAW_농산물_8월'!$A:$A,$E569),SUMIFS('RAW_농산물_9월'!$H:$H,'RAW_농산물_9월'!$D:$D,$C569,'RAW_농산물_9월'!$A:$A,$E569),SUMIFS('RAW_농산물_10월'!$H:$H,'RAW_농산물_10월'!$D:$D,$C569,'RAW_농산물_10월'!$A:$A,$E569),SUMIFS('RAW_농산물_11-12월'!$H:$H,'RAW_농산물_11-12월'!$D:$D,$C569,'RAW_농산물_11-12월'!$A:$A,$E569))))</f>
        <v/>
      </c>
      <c r="I569" s="17" t="str">
        <f>IF($C569="","",IF(COUNTIFS('RAW_농산물_7월'!$D:$D,$C569,'RAW_농산물_7월'!$A:$A,$E569)&gt;0,"O",""))</f>
        <v/>
      </c>
      <c r="J569" s="17" t="str">
        <f>IF($C569="","",IF(COUNTIFS('RAW_농산물_8월'!$D:$D,$C569,'RAW_농산물_8월'!$A:$A,$E569)&gt;0,"O",""))</f>
        <v/>
      </c>
      <c r="K569" s="17" t="str">
        <f>IF($C569="","",IF(COUNTIFS('RAW_농산물_9월'!$D:$D,$C569,'RAW_농산물_9월'!$A:$A,$E569)&gt;0,"O",""))</f>
        <v/>
      </c>
      <c r="L569" s="17" t="str">
        <f>IF($C569="","",IF(COUNTIFS('RAW_농산물_10월'!$D:$D,$C569,'RAW_농산물_10월'!$A:$A,$E569)&gt;0,"O",""))</f>
        <v/>
      </c>
      <c r="M569" s="17" t="str">
        <f>IF($C569="","",IF(COUNTIFS('RAW_농산물_11-12월'!$D:$D,$C569,'RAW_농산물_11-12월'!$A:$A,$E569)&gt;0,"O",""))</f>
        <v/>
      </c>
      <c r="N569" s="7" t="str">
        <f>IF($C569="","",IF(COUNTA('RAW_농산물_7월'!$A:$A)&lt;=1,"",SUMIFS('RAW_농산물_7월'!$H:$H,'RAW_농산물_7월'!$D:$D,$C569,'RAW_농산물_7월'!$A:$A,$E569)))</f>
        <v/>
      </c>
      <c r="O569" s="7" t="str">
        <f>IF($C569="","",IF(COUNTA('RAW_농산물_8월'!$A:$A)&lt;=1,"",SUMIFS('RAW_농산물_8월'!$H:$H,'RAW_농산물_8월'!$D:$D,$C569,'RAW_농산물_8월'!$A:$A,$E569)-SUMIFS('RAW_농산물_7월'!$H:$H,'RAW_농산물_7월'!$D:$D,$C569,'RAW_농산물_7월'!$A:$A,$E569)))</f>
        <v/>
      </c>
      <c r="P569" s="7" t="str">
        <f>IF($C569="","",IF(COUNTA('RAW_농산물_9월'!$A:$A)&lt;=1,"",SUMIFS('RAW_농산물_9월'!$H:$H,'RAW_농산물_9월'!$D:$D,$C569,'RAW_농산물_9월'!$A:$A,$E569)-SUMIFS('RAW_농산물_8월'!$H:$H,'RAW_농산물_8월'!$D:$D,$C569,'RAW_농산물_8월'!$A:$A,$E569)))</f>
        <v/>
      </c>
      <c r="Q569" s="7" t="str">
        <f>IF($C569="","",IF(COUNTA('RAW_농산물_10월'!$A:$A)&lt;=1,"",SUMIFS('RAW_농산물_10월'!$H:$H,'RAW_농산물_10월'!$D:$D,$C569,'RAW_농산물_10월'!$A:$A,$E569)-SUMIFS('RAW_농산물_9월'!$H:$H,'RAW_농산물_9월'!$D:$D,$C569,'RAW_농산물_9월'!$A:$A,$E569)))</f>
        <v/>
      </c>
      <c r="R569" s="7" t="str">
        <f>IF($C569="","",IF(COUNTA('RAW_농산물_11-12월'!$A:$A)&lt;=1,"",SUMIFS('RAW_농산물_11-12월'!$H:$H,'RAW_농산물_11-12월'!$D:$D,$C569,'RAW_농산물_11-12월'!$A:$A,$E569)-SUMIFS('RAW_농산물_10월'!$H:$H,'RAW_농산물_10월'!$D:$D,$C569,'RAW_농산물_10월'!$A:$A,$E569)))</f>
        <v/>
      </c>
      <c r="S569" s="17" t="str">
        <f t="shared" si="4"/>
        <v/>
      </c>
      <c r="T569" s="17" t="str">
        <f t="shared" si="5"/>
        <v/>
      </c>
      <c r="U569" s="7">
        <f>IF($C569="",0,IF('설정'!$B$3=0,0,CHOOSE('설정'!$B$3,COUNTIFS('RAW_농산물_7월'!$D:$D,$C569,'RAW_농산물_7월'!$A:$A,$E569),COUNTIFS('RAW_농산물_8월'!$D:$D,$C569,'RAW_농산물_8월'!$A:$A,$E569),COUNTIFS('RAW_농산물_9월'!$D:$D,$C569,'RAW_농산물_9월'!$A:$A,$E569),COUNTIFS('RAW_농산물_10월'!$D:$D,$C569,'RAW_농산물_10월'!$A:$A,$E569),COUNTIFS('RAW_농산물_11-12월'!$D:$D,$C569,'RAW_농산물_11-12월'!$A:$A,$E569))))</f>
        <v>0</v>
      </c>
    </row>
    <row r="570" ht="15.75" customHeight="1">
      <c r="A570" s="5"/>
      <c r="B570" s="5"/>
      <c r="C570" s="5"/>
      <c r="D570" s="6"/>
      <c r="E570" s="5"/>
      <c r="F570" s="7" t="str">
        <f>IF($C570="","",IF('설정'!$B$3=0,"",CHOOSE('설정'!$B$3,SUMIFS('RAW_농산물_7월'!$F:$F,'RAW_농산물_7월'!$D:$D,$C570,'RAW_농산물_7월'!$A:$A,$E570),SUMIFS('RAW_농산물_8월'!$F:$F,'RAW_농산물_8월'!$D:$D,$C570,'RAW_농산물_8월'!$A:$A,$E570),SUMIFS('RAW_농산물_9월'!$F:$F,'RAW_농산물_9월'!$D:$D,$C570,'RAW_농산물_9월'!$A:$A,$E570),SUMIFS('RAW_농산물_10월'!$F:$F,'RAW_농산물_10월'!$D:$D,$C570,'RAW_농산물_10월'!$A:$A,$E570),SUMIFS('RAW_농산물_11-12월'!$F:$F,'RAW_농산물_11-12월'!$D:$D,$C570,'RAW_농산물_11-12월'!$A:$A,$E570))))</f>
        <v/>
      </c>
      <c r="G570" s="7" t="str">
        <f>IF($C570="","",IF('설정'!$B$3=0,"",CHOOSE('설정'!$B$3,SUMIFS('RAW_농산물_7월'!$G:$G,'RAW_농산물_7월'!$D:$D,$C570,'RAW_농산물_7월'!$A:$A,$E570),SUMIFS('RAW_농산물_8월'!$G:$G,'RAW_농산물_8월'!$D:$D,$C570,'RAW_농산물_8월'!$A:$A,$E570),SUMIFS('RAW_농산물_9월'!$G:$G,'RAW_농산물_9월'!$D:$D,$C570,'RAW_농산물_9월'!$A:$A,$E570),SUMIFS('RAW_농산물_10월'!$G:$G,'RAW_농산물_10월'!$D:$D,$C570,'RAW_농산물_10월'!$A:$A,$E570),SUMIFS('RAW_농산물_11-12월'!$G:$G,'RAW_농산물_11-12월'!$D:$D,$C570,'RAW_농산물_11-12월'!$A:$A,$E570))))</f>
        <v/>
      </c>
      <c r="H570" s="14" t="str">
        <f>IF($C570="","",IF('설정'!$B$3=0,"",CHOOSE('설정'!$B$3,SUMIFS('RAW_농산물_7월'!$H:$H,'RAW_농산물_7월'!$D:$D,$C570,'RAW_농산물_7월'!$A:$A,$E570),SUMIFS('RAW_농산물_8월'!$H:$H,'RAW_농산물_8월'!$D:$D,$C570,'RAW_농산물_8월'!$A:$A,$E570),SUMIFS('RAW_농산물_9월'!$H:$H,'RAW_농산물_9월'!$D:$D,$C570,'RAW_농산물_9월'!$A:$A,$E570),SUMIFS('RAW_농산물_10월'!$H:$H,'RAW_농산물_10월'!$D:$D,$C570,'RAW_농산물_10월'!$A:$A,$E570),SUMIFS('RAW_농산물_11-12월'!$H:$H,'RAW_농산물_11-12월'!$D:$D,$C570,'RAW_농산물_11-12월'!$A:$A,$E570))))</f>
        <v/>
      </c>
      <c r="I570" s="17" t="str">
        <f>IF($C570="","",IF(COUNTIFS('RAW_농산물_7월'!$D:$D,$C570,'RAW_농산물_7월'!$A:$A,$E570)&gt;0,"O",""))</f>
        <v/>
      </c>
      <c r="J570" s="17" t="str">
        <f>IF($C570="","",IF(COUNTIFS('RAW_농산물_8월'!$D:$D,$C570,'RAW_농산물_8월'!$A:$A,$E570)&gt;0,"O",""))</f>
        <v/>
      </c>
      <c r="K570" s="17" t="str">
        <f>IF($C570="","",IF(COUNTIFS('RAW_농산물_9월'!$D:$D,$C570,'RAW_농산물_9월'!$A:$A,$E570)&gt;0,"O",""))</f>
        <v/>
      </c>
      <c r="L570" s="17" t="str">
        <f>IF($C570="","",IF(COUNTIFS('RAW_농산물_10월'!$D:$D,$C570,'RAW_농산물_10월'!$A:$A,$E570)&gt;0,"O",""))</f>
        <v/>
      </c>
      <c r="M570" s="17" t="str">
        <f>IF($C570="","",IF(COUNTIFS('RAW_농산물_11-12월'!$D:$D,$C570,'RAW_농산물_11-12월'!$A:$A,$E570)&gt;0,"O",""))</f>
        <v/>
      </c>
      <c r="N570" s="7" t="str">
        <f>IF($C570="","",IF(COUNTA('RAW_농산물_7월'!$A:$A)&lt;=1,"",SUMIFS('RAW_농산물_7월'!$H:$H,'RAW_농산물_7월'!$D:$D,$C570,'RAW_농산물_7월'!$A:$A,$E570)))</f>
        <v/>
      </c>
      <c r="O570" s="7" t="str">
        <f>IF($C570="","",IF(COUNTA('RAW_농산물_8월'!$A:$A)&lt;=1,"",SUMIFS('RAW_농산물_8월'!$H:$H,'RAW_농산물_8월'!$D:$D,$C570,'RAW_농산물_8월'!$A:$A,$E570)-SUMIFS('RAW_농산물_7월'!$H:$H,'RAW_농산물_7월'!$D:$D,$C570,'RAW_농산물_7월'!$A:$A,$E570)))</f>
        <v/>
      </c>
      <c r="P570" s="7" t="str">
        <f>IF($C570="","",IF(COUNTA('RAW_농산물_9월'!$A:$A)&lt;=1,"",SUMIFS('RAW_농산물_9월'!$H:$H,'RAW_농산물_9월'!$D:$D,$C570,'RAW_농산물_9월'!$A:$A,$E570)-SUMIFS('RAW_농산물_8월'!$H:$H,'RAW_농산물_8월'!$D:$D,$C570,'RAW_농산물_8월'!$A:$A,$E570)))</f>
        <v/>
      </c>
      <c r="Q570" s="7" t="str">
        <f>IF($C570="","",IF(COUNTA('RAW_농산물_10월'!$A:$A)&lt;=1,"",SUMIFS('RAW_농산물_10월'!$H:$H,'RAW_농산물_10월'!$D:$D,$C570,'RAW_농산물_10월'!$A:$A,$E570)-SUMIFS('RAW_농산물_9월'!$H:$H,'RAW_농산물_9월'!$D:$D,$C570,'RAW_농산물_9월'!$A:$A,$E570)))</f>
        <v/>
      </c>
      <c r="R570" s="7" t="str">
        <f>IF($C570="","",IF(COUNTA('RAW_농산물_11-12월'!$A:$A)&lt;=1,"",SUMIFS('RAW_농산물_11-12월'!$H:$H,'RAW_농산물_11-12월'!$D:$D,$C570,'RAW_농산물_11-12월'!$A:$A,$E570)-SUMIFS('RAW_농산물_10월'!$H:$H,'RAW_농산물_10월'!$D:$D,$C570,'RAW_농산물_10월'!$A:$A,$E570)))</f>
        <v/>
      </c>
      <c r="S570" s="17" t="str">
        <f t="shared" si="4"/>
        <v/>
      </c>
      <c r="T570" s="17" t="str">
        <f t="shared" si="5"/>
        <v/>
      </c>
      <c r="U570" s="7">
        <f>IF($C570="",0,IF('설정'!$B$3=0,0,CHOOSE('설정'!$B$3,COUNTIFS('RAW_농산물_7월'!$D:$D,$C570,'RAW_농산물_7월'!$A:$A,$E570),COUNTIFS('RAW_농산물_8월'!$D:$D,$C570,'RAW_농산물_8월'!$A:$A,$E570),COUNTIFS('RAW_농산물_9월'!$D:$D,$C570,'RAW_농산물_9월'!$A:$A,$E570),COUNTIFS('RAW_농산물_10월'!$D:$D,$C570,'RAW_농산물_10월'!$A:$A,$E570),COUNTIFS('RAW_농산물_11-12월'!$D:$D,$C570,'RAW_농산물_11-12월'!$A:$A,$E570))))</f>
        <v>0</v>
      </c>
    </row>
    <row r="571" ht="15.75" customHeight="1">
      <c r="A571" s="5"/>
      <c r="B571" s="5"/>
      <c r="C571" s="5"/>
      <c r="D571" s="6"/>
      <c r="E571" s="5"/>
      <c r="F571" s="7" t="str">
        <f>IF($C571="","",IF('설정'!$B$3=0,"",CHOOSE('설정'!$B$3,SUMIFS('RAW_농산물_7월'!$F:$F,'RAW_농산물_7월'!$D:$D,$C571,'RAW_농산물_7월'!$A:$A,$E571),SUMIFS('RAW_농산물_8월'!$F:$F,'RAW_농산물_8월'!$D:$D,$C571,'RAW_농산물_8월'!$A:$A,$E571),SUMIFS('RAW_농산물_9월'!$F:$F,'RAW_농산물_9월'!$D:$D,$C571,'RAW_농산물_9월'!$A:$A,$E571),SUMIFS('RAW_농산물_10월'!$F:$F,'RAW_농산물_10월'!$D:$D,$C571,'RAW_농산물_10월'!$A:$A,$E571),SUMIFS('RAW_농산물_11-12월'!$F:$F,'RAW_농산물_11-12월'!$D:$D,$C571,'RAW_농산물_11-12월'!$A:$A,$E571))))</f>
        <v/>
      </c>
      <c r="G571" s="7" t="str">
        <f>IF($C571="","",IF('설정'!$B$3=0,"",CHOOSE('설정'!$B$3,SUMIFS('RAW_농산물_7월'!$G:$G,'RAW_농산물_7월'!$D:$D,$C571,'RAW_농산물_7월'!$A:$A,$E571),SUMIFS('RAW_농산물_8월'!$G:$G,'RAW_농산물_8월'!$D:$D,$C571,'RAW_농산물_8월'!$A:$A,$E571),SUMIFS('RAW_농산물_9월'!$G:$G,'RAW_농산물_9월'!$D:$D,$C571,'RAW_농산물_9월'!$A:$A,$E571),SUMIFS('RAW_농산물_10월'!$G:$G,'RAW_농산물_10월'!$D:$D,$C571,'RAW_농산물_10월'!$A:$A,$E571),SUMIFS('RAW_농산물_11-12월'!$G:$G,'RAW_농산물_11-12월'!$D:$D,$C571,'RAW_농산물_11-12월'!$A:$A,$E571))))</f>
        <v/>
      </c>
      <c r="H571" s="14" t="str">
        <f>IF($C571="","",IF('설정'!$B$3=0,"",CHOOSE('설정'!$B$3,SUMIFS('RAW_농산물_7월'!$H:$H,'RAW_농산물_7월'!$D:$D,$C571,'RAW_농산물_7월'!$A:$A,$E571),SUMIFS('RAW_농산물_8월'!$H:$H,'RAW_농산물_8월'!$D:$D,$C571,'RAW_농산물_8월'!$A:$A,$E571),SUMIFS('RAW_농산물_9월'!$H:$H,'RAW_농산물_9월'!$D:$D,$C571,'RAW_농산물_9월'!$A:$A,$E571),SUMIFS('RAW_농산물_10월'!$H:$H,'RAW_농산물_10월'!$D:$D,$C571,'RAW_농산물_10월'!$A:$A,$E571),SUMIFS('RAW_농산물_11-12월'!$H:$H,'RAW_농산물_11-12월'!$D:$D,$C571,'RAW_농산물_11-12월'!$A:$A,$E571))))</f>
        <v/>
      </c>
      <c r="I571" s="17" t="str">
        <f>IF($C571="","",IF(COUNTIFS('RAW_농산물_7월'!$D:$D,$C571,'RAW_농산물_7월'!$A:$A,$E571)&gt;0,"O",""))</f>
        <v/>
      </c>
      <c r="J571" s="17" t="str">
        <f>IF($C571="","",IF(COUNTIFS('RAW_농산물_8월'!$D:$D,$C571,'RAW_농산물_8월'!$A:$A,$E571)&gt;0,"O",""))</f>
        <v/>
      </c>
      <c r="K571" s="17" t="str">
        <f>IF($C571="","",IF(COUNTIFS('RAW_농산물_9월'!$D:$D,$C571,'RAW_농산물_9월'!$A:$A,$E571)&gt;0,"O",""))</f>
        <v/>
      </c>
      <c r="L571" s="17" t="str">
        <f>IF($C571="","",IF(COUNTIFS('RAW_농산물_10월'!$D:$D,$C571,'RAW_농산물_10월'!$A:$A,$E571)&gt;0,"O",""))</f>
        <v/>
      </c>
      <c r="M571" s="17" t="str">
        <f>IF($C571="","",IF(COUNTIFS('RAW_농산물_11-12월'!$D:$D,$C571,'RAW_농산물_11-12월'!$A:$A,$E571)&gt;0,"O",""))</f>
        <v/>
      </c>
      <c r="N571" s="7" t="str">
        <f>IF($C571="","",IF(COUNTA('RAW_농산물_7월'!$A:$A)&lt;=1,"",SUMIFS('RAW_농산물_7월'!$H:$H,'RAW_농산물_7월'!$D:$D,$C571,'RAW_농산물_7월'!$A:$A,$E571)))</f>
        <v/>
      </c>
      <c r="O571" s="7" t="str">
        <f>IF($C571="","",IF(COUNTA('RAW_농산물_8월'!$A:$A)&lt;=1,"",SUMIFS('RAW_농산물_8월'!$H:$H,'RAW_농산물_8월'!$D:$D,$C571,'RAW_농산물_8월'!$A:$A,$E571)-SUMIFS('RAW_농산물_7월'!$H:$H,'RAW_농산물_7월'!$D:$D,$C571,'RAW_농산물_7월'!$A:$A,$E571)))</f>
        <v/>
      </c>
      <c r="P571" s="7" t="str">
        <f>IF($C571="","",IF(COUNTA('RAW_농산물_9월'!$A:$A)&lt;=1,"",SUMIFS('RAW_농산물_9월'!$H:$H,'RAW_농산물_9월'!$D:$D,$C571,'RAW_농산물_9월'!$A:$A,$E571)-SUMIFS('RAW_농산물_8월'!$H:$H,'RAW_농산물_8월'!$D:$D,$C571,'RAW_농산물_8월'!$A:$A,$E571)))</f>
        <v/>
      </c>
      <c r="Q571" s="7" t="str">
        <f>IF($C571="","",IF(COUNTA('RAW_농산물_10월'!$A:$A)&lt;=1,"",SUMIFS('RAW_농산물_10월'!$H:$H,'RAW_농산물_10월'!$D:$D,$C571,'RAW_농산물_10월'!$A:$A,$E571)-SUMIFS('RAW_농산물_9월'!$H:$H,'RAW_농산물_9월'!$D:$D,$C571,'RAW_농산물_9월'!$A:$A,$E571)))</f>
        <v/>
      </c>
      <c r="R571" s="7" t="str">
        <f>IF($C571="","",IF(COUNTA('RAW_농산물_11-12월'!$A:$A)&lt;=1,"",SUMIFS('RAW_농산물_11-12월'!$H:$H,'RAW_농산물_11-12월'!$D:$D,$C571,'RAW_농산물_11-12월'!$A:$A,$E571)-SUMIFS('RAW_농산물_10월'!$H:$H,'RAW_농산물_10월'!$D:$D,$C571,'RAW_농산물_10월'!$A:$A,$E571)))</f>
        <v/>
      </c>
      <c r="S571" s="17" t="str">
        <f t="shared" si="4"/>
        <v/>
      </c>
      <c r="T571" s="17" t="str">
        <f t="shared" si="5"/>
        <v/>
      </c>
      <c r="U571" s="7">
        <f>IF($C571="",0,IF('설정'!$B$3=0,0,CHOOSE('설정'!$B$3,COUNTIFS('RAW_농산물_7월'!$D:$D,$C571,'RAW_농산물_7월'!$A:$A,$E571),COUNTIFS('RAW_농산물_8월'!$D:$D,$C571,'RAW_농산물_8월'!$A:$A,$E571),COUNTIFS('RAW_농산물_9월'!$D:$D,$C571,'RAW_농산물_9월'!$A:$A,$E571),COUNTIFS('RAW_농산물_10월'!$D:$D,$C571,'RAW_농산물_10월'!$A:$A,$E571),COUNTIFS('RAW_농산물_11-12월'!$D:$D,$C571,'RAW_농산물_11-12월'!$A:$A,$E571))))</f>
        <v>0</v>
      </c>
    </row>
    <row r="572" ht="15.75" customHeight="1">
      <c r="A572" s="5"/>
      <c r="B572" s="5"/>
      <c r="C572" s="5"/>
      <c r="D572" s="6"/>
      <c r="E572" s="5"/>
      <c r="F572" s="7" t="str">
        <f>IF($C572="","",IF('설정'!$B$3=0,"",CHOOSE('설정'!$B$3,SUMIFS('RAW_농산물_7월'!$F:$F,'RAW_농산물_7월'!$D:$D,$C572,'RAW_농산물_7월'!$A:$A,$E572),SUMIFS('RAW_농산물_8월'!$F:$F,'RAW_농산물_8월'!$D:$D,$C572,'RAW_농산물_8월'!$A:$A,$E572),SUMIFS('RAW_농산물_9월'!$F:$F,'RAW_농산물_9월'!$D:$D,$C572,'RAW_농산물_9월'!$A:$A,$E572),SUMIFS('RAW_농산물_10월'!$F:$F,'RAW_농산물_10월'!$D:$D,$C572,'RAW_농산물_10월'!$A:$A,$E572),SUMIFS('RAW_농산물_11-12월'!$F:$F,'RAW_농산물_11-12월'!$D:$D,$C572,'RAW_농산물_11-12월'!$A:$A,$E572))))</f>
        <v/>
      </c>
      <c r="G572" s="7" t="str">
        <f>IF($C572="","",IF('설정'!$B$3=0,"",CHOOSE('설정'!$B$3,SUMIFS('RAW_농산물_7월'!$G:$G,'RAW_농산물_7월'!$D:$D,$C572,'RAW_농산물_7월'!$A:$A,$E572),SUMIFS('RAW_농산물_8월'!$G:$G,'RAW_농산물_8월'!$D:$D,$C572,'RAW_농산물_8월'!$A:$A,$E572),SUMIFS('RAW_농산물_9월'!$G:$G,'RAW_농산물_9월'!$D:$D,$C572,'RAW_농산물_9월'!$A:$A,$E572),SUMIFS('RAW_농산물_10월'!$G:$G,'RAW_농산물_10월'!$D:$D,$C572,'RAW_농산물_10월'!$A:$A,$E572),SUMIFS('RAW_농산물_11-12월'!$G:$G,'RAW_농산물_11-12월'!$D:$D,$C572,'RAW_농산물_11-12월'!$A:$A,$E572))))</f>
        <v/>
      </c>
      <c r="H572" s="14" t="str">
        <f>IF($C572="","",IF('설정'!$B$3=0,"",CHOOSE('설정'!$B$3,SUMIFS('RAW_농산물_7월'!$H:$H,'RAW_농산물_7월'!$D:$D,$C572,'RAW_농산물_7월'!$A:$A,$E572),SUMIFS('RAW_농산물_8월'!$H:$H,'RAW_농산물_8월'!$D:$D,$C572,'RAW_농산물_8월'!$A:$A,$E572),SUMIFS('RAW_농산물_9월'!$H:$H,'RAW_농산물_9월'!$D:$D,$C572,'RAW_농산물_9월'!$A:$A,$E572),SUMIFS('RAW_농산물_10월'!$H:$H,'RAW_농산물_10월'!$D:$D,$C572,'RAW_농산물_10월'!$A:$A,$E572),SUMIFS('RAW_농산물_11-12월'!$H:$H,'RAW_농산물_11-12월'!$D:$D,$C572,'RAW_농산물_11-12월'!$A:$A,$E572))))</f>
        <v/>
      </c>
      <c r="I572" s="17" t="str">
        <f>IF($C572="","",IF(COUNTIFS('RAW_농산물_7월'!$D:$D,$C572,'RAW_농산물_7월'!$A:$A,$E572)&gt;0,"O",""))</f>
        <v/>
      </c>
      <c r="J572" s="17" t="str">
        <f>IF($C572="","",IF(COUNTIFS('RAW_농산물_8월'!$D:$D,$C572,'RAW_농산물_8월'!$A:$A,$E572)&gt;0,"O",""))</f>
        <v/>
      </c>
      <c r="K572" s="17" t="str">
        <f>IF($C572="","",IF(COUNTIFS('RAW_농산물_9월'!$D:$D,$C572,'RAW_농산물_9월'!$A:$A,$E572)&gt;0,"O",""))</f>
        <v/>
      </c>
      <c r="L572" s="17" t="str">
        <f>IF($C572="","",IF(COUNTIFS('RAW_농산물_10월'!$D:$D,$C572,'RAW_농산물_10월'!$A:$A,$E572)&gt;0,"O",""))</f>
        <v/>
      </c>
      <c r="M572" s="17" t="str">
        <f>IF($C572="","",IF(COUNTIFS('RAW_농산물_11-12월'!$D:$D,$C572,'RAW_농산물_11-12월'!$A:$A,$E572)&gt;0,"O",""))</f>
        <v/>
      </c>
      <c r="N572" s="7" t="str">
        <f>IF($C572="","",IF(COUNTA('RAW_농산물_7월'!$A:$A)&lt;=1,"",SUMIFS('RAW_농산물_7월'!$H:$H,'RAW_농산물_7월'!$D:$D,$C572,'RAW_농산물_7월'!$A:$A,$E572)))</f>
        <v/>
      </c>
      <c r="O572" s="7" t="str">
        <f>IF($C572="","",IF(COUNTA('RAW_농산물_8월'!$A:$A)&lt;=1,"",SUMIFS('RAW_농산물_8월'!$H:$H,'RAW_농산물_8월'!$D:$D,$C572,'RAW_농산물_8월'!$A:$A,$E572)-SUMIFS('RAW_농산물_7월'!$H:$H,'RAW_농산물_7월'!$D:$D,$C572,'RAW_농산물_7월'!$A:$A,$E572)))</f>
        <v/>
      </c>
      <c r="P572" s="7" t="str">
        <f>IF($C572="","",IF(COUNTA('RAW_농산물_9월'!$A:$A)&lt;=1,"",SUMIFS('RAW_농산물_9월'!$H:$H,'RAW_농산물_9월'!$D:$D,$C572,'RAW_농산물_9월'!$A:$A,$E572)-SUMIFS('RAW_농산물_8월'!$H:$H,'RAW_농산물_8월'!$D:$D,$C572,'RAW_농산물_8월'!$A:$A,$E572)))</f>
        <v/>
      </c>
      <c r="Q572" s="7" t="str">
        <f>IF($C572="","",IF(COUNTA('RAW_농산물_10월'!$A:$A)&lt;=1,"",SUMIFS('RAW_농산물_10월'!$H:$H,'RAW_농산물_10월'!$D:$D,$C572,'RAW_농산물_10월'!$A:$A,$E572)-SUMIFS('RAW_농산물_9월'!$H:$H,'RAW_농산물_9월'!$D:$D,$C572,'RAW_농산물_9월'!$A:$A,$E572)))</f>
        <v/>
      </c>
      <c r="R572" s="7" t="str">
        <f>IF($C572="","",IF(COUNTA('RAW_농산물_11-12월'!$A:$A)&lt;=1,"",SUMIFS('RAW_농산물_11-12월'!$H:$H,'RAW_농산물_11-12월'!$D:$D,$C572,'RAW_농산물_11-12월'!$A:$A,$E572)-SUMIFS('RAW_농산물_10월'!$H:$H,'RAW_농산물_10월'!$D:$D,$C572,'RAW_농산물_10월'!$A:$A,$E572)))</f>
        <v/>
      </c>
      <c r="S572" s="17" t="str">
        <f t="shared" si="4"/>
        <v/>
      </c>
      <c r="T572" s="17" t="str">
        <f t="shared" si="5"/>
        <v/>
      </c>
      <c r="U572" s="7">
        <f>IF($C572="",0,IF('설정'!$B$3=0,0,CHOOSE('설정'!$B$3,COUNTIFS('RAW_농산물_7월'!$D:$D,$C572,'RAW_농산물_7월'!$A:$A,$E572),COUNTIFS('RAW_농산물_8월'!$D:$D,$C572,'RAW_농산물_8월'!$A:$A,$E572),COUNTIFS('RAW_농산물_9월'!$D:$D,$C572,'RAW_농산물_9월'!$A:$A,$E572),COUNTIFS('RAW_농산물_10월'!$D:$D,$C572,'RAW_농산물_10월'!$A:$A,$E572),COUNTIFS('RAW_농산물_11-12월'!$D:$D,$C572,'RAW_농산물_11-12월'!$A:$A,$E572))))</f>
        <v>0</v>
      </c>
    </row>
    <row r="573" ht="15.75" customHeight="1">
      <c r="A573" s="5"/>
      <c r="B573" s="5"/>
      <c r="C573" s="5"/>
      <c r="D573" s="6"/>
      <c r="E573" s="5"/>
      <c r="F573" s="7" t="str">
        <f>IF($C573="","",IF('설정'!$B$3=0,"",CHOOSE('설정'!$B$3,SUMIFS('RAW_농산물_7월'!$F:$F,'RAW_농산물_7월'!$D:$D,$C573,'RAW_농산물_7월'!$A:$A,$E573),SUMIFS('RAW_농산물_8월'!$F:$F,'RAW_농산물_8월'!$D:$D,$C573,'RAW_농산물_8월'!$A:$A,$E573),SUMIFS('RAW_농산물_9월'!$F:$F,'RAW_농산물_9월'!$D:$D,$C573,'RAW_농산물_9월'!$A:$A,$E573),SUMIFS('RAW_농산물_10월'!$F:$F,'RAW_농산물_10월'!$D:$D,$C573,'RAW_농산물_10월'!$A:$A,$E573),SUMIFS('RAW_농산물_11-12월'!$F:$F,'RAW_농산물_11-12월'!$D:$D,$C573,'RAW_농산물_11-12월'!$A:$A,$E573))))</f>
        <v/>
      </c>
      <c r="G573" s="7" t="str">
        <f>IF($C573="","",IF('설정'!$B$3=0,"",CHOOSE('설정'!$B$3,SUMIFS('RAW_농산물_7월'!$G:$G,'RAW_농산물_7월'!$D:$D,$C573,'RAW_농산물_7월'!$A:$A,$E573),SUMIFS('RAW_농산물_8월'!$G:$G,'RAW_농산물_8월'!$D:$D,$C573,'RAW_농산물_8월'!$A:$A,$E573),SUMIFS('RAW_농산물_9월'!$G:$G,'RAW_농산물_9월'!$D:$D,$C573,'RAW_농산물_9월'!$A:$A,$E573),SUMIFS('RAW_농산물_10월'!$G:$G,'RAW_농산물_10월'!$D:$D,$C573,'RAW_농산물_10월'!$A:$A,$E573),SUMIFS('RAW_농산물_11-12월'!$G:$G,'RAW_농산물_11-12월'!$D:$D,$C573,'RAW_농산물_11-12월'!$A:$A,$E573))))</f>
        <v/>
      </c>
      <c r="H573" s="14" t="str">
        <f>IF($C573="","",IF('설정'!$B$3=0,"",CHOOSE('설정'!$B$3,SUMIFS('RAW_농산물_7월'!$H:$H,'RAW_농산물_7월'!$D:$D,$C573,'RAW_농산물_7월'!$A:$A,$E573),SUMIFS('RAW_농산물_8월'!$H:$H,'RAW_농산물_8월'!$D:$D,$C573,'RAW_농산물_8월'!$A:$A,$E573),SUMIFS('RAW_농산물_9월'!$H:$H,'RAW_농산물_9월'!$D:$D,$C573,'RAW_농산물_9월'!$A:$A,$E573),SUMIFS('RAW_농산물_10월'!$H:$H,'RAW_농산물_10월'!$D:$D,$C573,'RAW_농산물_10월'!$A:$A,$E573),SUMIFS('RAW_농산물_11-12월'!$H:$H,'RAW_농산물_11-12월'!$D:$D,$C573,'RAW_농산물_11-12월'!$A:$A,$E573))))</f>
        <v/>
      </c>
      <c r="I573" s="17" t="str">
        <f>IF($C573="","",IF(COUNTIFS('RAW_농산물_7월'!$D:$D,$C573,'RAW_농산물_7월'!$A:$A,$E573)&gt;0,"O",""))</f>
        <v/>
      </c>
      <c r="J573" s="17" t="str">
        <f>IF($C573="","",IF(COUNTIFS('RAW_농산물_8월'!$D:$D,$C573,'RAW_농산물_8월'!$A:$A,$E573)&gt;0,"O",""))</f>
        <v/>
      </c>
      <c r="K573" s="17" t="str">
        <f>IF($C573="","",IF(COUNTIFS('RAW_농산물_9월'!$D:$D,$C573,'RAW_농산물_9월'!$A:$A,$E573)&gt;0,"O",""))</f>
        <v/>
      </c>
      <c r="L573" s="17" t="str">
        <f>IF($C573="","",IF(COUNTIFS('RAW_농산물_10월'!$D:$D,$C573,'RAW_농산물_10월'!$A:$A,$E573)&gt;0,"O",""))</f>
        <v/>
      </c>
      <c r="M573" s="17" t="str">
        <f>IF($C573="","",IF(COUNTIFS('RAW_농산물_11-12월'!$D:$D,$C573,'RAW_농산물_11-12월'!$A:$A,$E573)&gt;0,"O",""))</f>
        <v/>
      </c>
      <c r="N573" s="7" t="str">
        <f>IF($C573="","",IF(COUNTA('RAW_농산물_7월'!$A:$A)&lt;=1,"",SUMIFS('RAW_농산물_7월'!$H:$H,'RAW_농산물_7월'!$D:$D,$C573,'RAW_농산물_7월'!$A:$A,$E573)))</f>
        <v/>
      </c>
      <c r="O573" s="7" t="str">
        <f>IF($C573="","",IF(COUNTA('RAW_농산물_8월'!$A:$A)&lt;=1,"",SUMIFS('RAW_농산물_8월'!$H:$H,'RAW_농산물_8월'!$D:$D,$C573,'RAW_농산물_8월'!$A:$A,$E573)-SUMIFS('RAW_농산물_7월'!$H:$H,'RAW_농산물_7월'!$D:$D,$C573,'RAW_농산물_7월'!$A:$A,$E573)))</f>
        <v/>
      </c>
      <c r="P573" s="7" t="str">
        <f>IF($C573="","",IF(COUNTA('RAW_농산물_9월'!$A:$A)&lt;=1,"",SUMIFS('RAW_농산물_9월'!$H:$H,'RAW_농산물_9월'!$D:$D,$C573,'RAW_농산물_9월'!$A:$A,$E573)-SUMIFS('RAW_농산물_8월'!$H:$H,'RAW_농산물_8월'!$D:$D,$C573,'RAW_농산물_8월'!$A:$A,$E573)))</f>
        <v/>
      </c>
      <c r="Q573" s="7" t="str">
        <f>IF($C573="","",IF(COUNTA('RAW_농산물_10월'!$A:$A)&lt;=1,"",SUMIFS('RAW_농산물_10월'!$H:$H,'RAW_농산물_10월'!$D:$D,$C573,'RAW_농산물_10월'!$A:$A,$E573)-SUMIFS('RAW_농산물_9월'!$H:$H,'RAW_농산물_9월'!$D:$D,$C573,'RAW_농산물_9월'!$A:$A,$E573)))</f>
        <v/>
      </c>
      <c r="R573" s="7" t="str">
        <f>IF($C573="","",IF(COUNTA('RAW_농산물_11-12월'!$A:$A)&lt;=1,"",SUMIFS('RAW_농산물_11-12월'!$H:$H,'RAW_농산물_11-12월'!$D:$D,$C573,'RAW_농산물_11-12월'!$A:$A,$E573)-SUMIFS('RAW_농산물_10월'!$H:$H,'RAW_농산물_10월'!$D:$D,$C573,'RAW_농산물_10월'!$A:$A,$E573)))</f>
        <v/>
      </c>
      <c r="S573" s="17" t="str">
        <f t="shared" si="4"/>
        <v/>
      </c>
      <c r="T573" s="17" t="str">
        <f t="shared" si="5"/>
        <v/>
      </c>
      <c r="U573" s="7">
        <f>IF($C573="",0,IF('설정'!$B$3=0,0,CHOOSE('설정'!$B$3,COUNTIFS('RAW_농산물_7월'!$D:$D,$C573,'RAW_농산물_7월'!$A:$A,$E573),COUNTIFS('RAW_농산물_8월'!$D:$D,$C573,'RAW_농산물_8월'!$A:$A,$E573),COUNTIFS('RAW_농산물_9월'!$D:$D,$C573,'RAW_농산물_9월'!$A:$A,$E573),COUNTIFS('RAW_농산물_10월'!$D:$D,$C573,'RAW_농산물_10월'!$A:$A,$E573),COUNTIFS('RAW_농산물_11-12월'!$D:$D,$C573,'RAW_농산물_11-12월'!$A:$A,$E573))))</f>
        <v>0</v>
      </c>
    </row>
    <row r="574" ht="15.75" customHeight="1">
      <c r="A574" s="5"/>
      <c r="B574" s="5"/>
      <c r="C574" s="5"/>
      <c r="D574" s="6"/>
      <c r="E574" s="5"/>
      <c r="F574" s="7" t="str">
        <f>IF($C574="","",IF('설정'!$B$3=0,"",CHOOSE('설정'!$B$3,SUMIFS('RAW_농산물_7월'!$F:$F,'RAW_농산물_7월'!$D:$D,$C574,'RAW_농산물_7월'!$A:$A,$E574),SUMIFS('RAW_농산물_8월'!$F:$F,'RAW_농산물_8월'!$D:$D,$C574,'RAW_농산물_8월'!$A:$A,$E574),SUMIFS('RAW_농산물_9월'!$F:$F,'RAW_농산물_9월'!$D:$D,$C574,'RAW_농산물_9월'!$A:$A,$E574),SUMIFS('RAW_농산물_10월'!$F:$F,'RAW_농산물_10월'!$D:$D,$C574,'RAW_농산물_10월'!$A:$A,$E574),SUMIFS('RAW_농산물_11-12월'!$F:$F,'RAW_농산물_11-12월'!$D:$D,$C574,'RAW_농산물_11-12월'!$A:$A,$E574))))</f>
        <v/>
      </c>
      <c r="G574" s="7" t="str">
        <f>IF($C574="","",IF('설정'!$B$3=0,"",CHOOSE('설정'!$B$3,SUMIFS('RAW_농산물_7월'!$G:$G,'RAW_농산물_7월'!$D:$D,$C574,'RAW_농산물_7월'!$A:$A,$E574),SUMIFS('RAW_농산물_8월'!$G:$G,'RAW_농산물_8월'!$D:$D,$C574,'RAW_농산물_8월'!$A:$A,$E574),SUMIFS('RAW_농산물_9월'!$G:$G,'RAW_농산물_9월'!$D:$D,$C574,'RAW_농산물_9월'!$A:$A,$E574),SUMIFS('RAW_농산물_10월'!$G:$G,'RAW_농산물_10월'!$D:$D,$C574,'RAW_농산물_10월'!$A:$A,$E574),SUMIFS('RAW_농산물_11-12월'!$G:$G,'RAW_농산물_11-12월'!$D:$D,$C574,'RAW_농산물_11-12월'!$A:$A,$E574))))</f>
        <v/>
      </c>
      <c r="H574" s="14" t="str">
        <f>IF($C574="","",IF('설정'!$B$3=0,"",CHOOSE('설정'!$B$3,SUMIFS('RAW_농산물_7월'!$H:$H,'RAW_농산물_7월'!$D:$D,$C574,'RAW_농산물_7월'!$A:$A,$E574),SUMIFS('RAW_농산물_8월'!$H:$H,'RAW_농산물_8월'!$D:$D,$C574,'RAW_농산물_8월'!$A:$A,$E574),SUMIFS('RAW_농산물_9월'!$H:$H,'RAW_농산물_9월'!$D:$D,$C574,'RAW_농산물_9월'!$A:$A,$E574),SUMIFS('RAW_농산물_10월'!$H:$H,'RAW_농산물_10월'!$D:$D,$C574,'RAW_농산물_10월'!$A:$A,$E574),SUMIFS('RAW_농산물_11-12월'!$H:$H,'RAW_농산물_11-12월'!$D:$D,$C574,'RAW_농산물_11-12월'!$A:$A,$E574))))</f>
        <v/>
      </c>
      <c r="I574" s="17" t="str">
        <f>IF($C574="","",IF(COUNTIFS('RAW_농산물_7월'!$D:$D,$C574,'RAW_농산물_7월'!$A:$A,$E574)&gt;0,"O",""))</f>
        <v/>
      </c>
      <c r="J574" s="17" t="str">
        <f>IF($C574="","",IF(COUNTIFS('RAW_농산물_8월'!$D:$D,$C574,'RAW_농산물_8월'!$A:$A,$E574)&gt;0,"O",""))</f>
        <v/>
      </c>
      <c r="K574" s="17" t="str">
        <f>IF($C574="","",IF(COUNTIFS('RAW_농산물_9월'!$D:$D,$C574,'RAW_농산물_9월'!$A:$A,$E574)&gt;0,"O",""))</f>
        <v/>
      </c>
      <c r="L574" s="17" t="str">
        <f>IF($C574="","",IF(COUNTIFS('RAW_농산물_10월'!$D:$D,$C574,'RAW_농산물_10월'!$A:$A,$E574)&gt;0,"O",""))</f>
        <v/>
      </c>
      <c r="M574" s="17" t="str">
        <f>IF($C574="","",IF(COUNTIFS('RAW_농산물_11-12월'!$D:$D,$C574,'RAW_농산물_11-12월'!$A:$A,$E574)&gt;0,"O",""))</f>
        <v/>
      </c>
      <c r="N574" s="7" t="str">
        <f>IF($C574="","",IF(COUNTA('RAW_농산물_7월'!$A:$A)&lt;=1,"",SUMIFS('RAW_농산물_7월'!$H:$H,'RAW_농산물_7월'!$D:$D,$C574,'RAW_농산물_7월'!$A:$A,$E574)))</f>
        <v/>
      </c>
      <c r="O574" s="7" t="str">
        <f>IF($C574="","",IF(COUNTA('RAW_농산물_8월'!$A:$A)&lt;=1,"",SUMIFS('RAW_농산물_8월'!$H:$H,'RAW_농산물_8월'!$D:$D,$C574,'RAW_농산물_8월'!$A:$A,$E574)-SUMIFS('RAW_농산물_7월'!$H:$H,'RAW_농산물_7월'!$D:$D,$C574,'RAW_농산물_7월'!$A:$A,$E574)))</f>
        <v/>
      </c>
      <c r="P574" s="7" t="str">
        <f>IF($C574="","",IF(COUNTA('RAW_농산물_9월'!$A:$A)&lt;=1,"",SUMIFS('RAW_농산물_9월'!$H:$H,'RAW_농산물_9월'!$D:$D,$C574,'RAW_농산물_9월'!$A:$A,$E574)-SUMIFS('RAW_농산물_8월'!$H:$H,'RAW_농산물_8월'!$D:$D,$C574,'RAW_농산물_8월'!$A:$A,$E574)))</f>
        <v/>
      </c>
      <c r="Q574" s="7" t="str">
        <f>IF($C574="","",IF(COUNTA('RAW_농산물_10월'!$A:$A)&lt;=1,"",SUMIFS('RAW_농산물_10월'!$H:$H,'RAW_농산물_10월'!$D:$D,$C574,'RAW_농산물_10월'!$A:$A,$E574)-SUMIFS('RAW_농산물_9월'!$H:$H,'RAW_농산물_9월'!$D:$D,$C574,'RAW_농산물_9월'!$A:$A,$E574)))</f>
        <v/>
      </c>
      <c r="R574" s="7" t="str">
        <f>IF($C574="","",IF(COUNTA('RAW_농산물_11-12월'!$A:$A)&lt;=1,"",SUMIFS('RAW_농산물_11-12월'!$H:$H,'RAW_농산물_11-12월'!$D:$D,$C574,'RAW_농산물_11-12월'!$A:$A,$E574)-SUMIFS('RAW_농산물_10월'!$H:$H,'RAW_농산물_10월'!$D:$D,$C574,'RAW_농산물_10월'!$A:$A,$E574)))</f>
        <v/>
      </c>
      <c r="S574" s="17" t="str">
        <f t="shared" si="4"/>
        <v/>
      </c>
      <c r="T574" s="17" t="str">
        <f t="shared" si="5"/>
        <v/>
      </c>
      <c r="U574" s="7">
        <f>IF($C574="",0,IF('설정'!$B$3=0,0,CHOOSE('설정'!$B$3,COUNTIFS('RAW_농산물_7월'!$D:$D,$C574,'RAW_농산물_7월'!$A:$A,$E574),COUNTIFS('RAW_농산물_8월'!$D:$D,$C574,'RAW_농산물_8월'!$A:$A,$E574),COUNTIFS('RAW_농산물_9월'!$D:$D,$C574,'RAW_농산물_9월'!$A:$A,$E574),COUNTIFS('RAW_농산물_10월'!$D:$D,$C574,'RAW_농산물_10월'!$A:$A,$E574),COUNTIFS('RAW_농산물_11-12월'!$D:$D,$C574,'RAW_농산물_11-12월'!$A:$A,$E574))))</f>
        <v>0</v>
      </c>
    </row>
    <row r="575" ht="15.75" customHeight="1">
      <c r="A575" s="5"/>
      <c r="B575" s="5"/>
      <c r="C575" s="5"/>
      <c r="D575" s="6"/>
      <c r="E575" s="5"/>
      <c r="F575" s="7" t="str">
        <f>IF($C575="","",IF('설정'!$B$3=0,"",CHOOSE('설정'!$B$3,SUMIFS('RAW_농산물_7월'!$F:$F,'RAW_농산물_7월'!$D:$D,$C575,'RAW_농산물_7월'!$A:$A,$E575),SUMIFS('RAW_농산물_8월'!$F:$F,'RAW_농산물_8월'!$D:$D,$C575,'RAW_농산물_8월'!$A:$A,$E575),SUMIFS('RAW_농산물_9월'!$F:$F,'RAW_농산물_9월'!$D:$D,$C575,'RAW_농산물_9월'!$A:$A,$E575),SUMIFS('RAW_농산물_10월'!$F:$F,'RAW_농산물_10월'!$D:$D,$C575,'RAW_농산물_10월'!$A:$A,$E575),SUMIFS('RAW_농산물_11-12월'!$F:$F,'RAW_농산물_11-12월'!$D:$D,$C575,'RAW_농산물_11-12월'!$A:$A,$E575))))</f>
        <v/>
      </c>
      <c r="G575" s="7" t="str">
        <f>IF($C575="","",IF('설정'!$B$3=0,"",CHOOSE('설정'!$B$3,SUMIFS('RAW_농산물_7월'!$G:$G,'RAW_농산물_7월'!$D:$D,$C575,'RAW_농산물_7월'!$A:$A,$E575),SUMIFS('RAW_농산물_8월'!$G:$G,'RAW_농산물_8월'!$D:$D,$C575,'RAW_농산물_8월'!$A:$A,$E575),SUMIFS('RAW_농산물_9월'!$G:$G,'RAW_농산물_9월'!$D:$D,$C575,'RAW_농산물_9월'!$A:$A,$E575),SUMIFS('RAW_농산물_10월'!$G:$G,'RAW_농산물_10월'!$D:$D,$C575,'RAW_농산물_10월'!$A:$A,$E575),SUMIFS('RAW_농산물_11-12월'!$G:$G,'RAW_농산물_11-12월'!$D:$D,$C575,'RAW_농산물_11-12월'!$A:$A,$E575))))</f>
        <v/>
      </c>
      <c r="H575" s="14" t="str">
        <f>IF($C575="","",IF('설정'!$B$3=0,"",CHOOSE('설정'!$B$3,SUMIFS('RAW_농산물_7월'!$H:$H,'RAW_농산물_7월'!$D:$D,$C575,'RAW_농산물_7월'!$A:$A,$E575),SUMIFS('RAW_농산물_8월'!$H:$H,'RAW_농산물_8월'!$D:$D,$C575,'RAW_농산물_8월'!$A:$A,$E575),SUMIFS('RAW_농산물_9월'!$H:$H,'RAW_농산물_9월'!$D:$D,$C575,'RAW_농산물_9월'!$A:$A,$E575),SUMIFS('RAW_농산물_10월'!$H:$H,'RAW_농산물_10월'!$D:$D,$C575,'RAW_농산물_10월'!$A:$A,$E575),SUMIFS('RAW_농산물_11-12월'!$H:$H,'RAW_농산물_11-12월'!$D:$D,$C575,'RAW_농산물_11-12월'!$A:$A,$E575))))</f>
        <v/>
      </c>
      <c r="I575" s="17" t="str">
        <f>IF($C575="","",IF(COUNTIFS('RAW_농산물_7월'!$D:$D,$C575,'RAW_농산물_7월'!$A:$A,$E575)&gt;0,"O",""))</f>
        <v/>
      </c>
      <c r="J575" s="17" t="str">
        <f>IF($C575="","",IF(COUNTIFS('RAW_농산물_8월'!$D:$D,$C575,'RAW_농산물_8월'!$A:$A,$E575)&gt;0,"O",""))</f>
        <v/>
      </c>
      <c r="K575" s="17" t="str">
        <f>IF($C575="","",IF(COUNTIFS('RAW_농산물_9월'!$D:$D,$C575,'RAW_농산물_9월'!$A:$A,$E575)&gt;0,"O",""))</f>
        <v/>
      </c>
      <c r="L575" s="17" t="str">
        <f>IF($C575="","",IF(COUNTIFS('RAW_농산물_10월'!$D:$D,$C575,'RAW_농산물_10월'!$A:$A,$E575)&gt;0,"O",""))</f>
        <v/>
      </c>
      <c r="M575" s="17" t="str">
        <f>IF($C575="","",IF(COUNTIFS('RAW_농산물_11-12월'!$D:$D,$C575,'RAW_농산물_11-12월'!$A:$A,$E575)&gt;0,"O",""))</f>
        <v/>
      </c>
      <c r="N575" s="7" t="str">
        <f>IF($C575="","",IF(COUNTA('RAW_농산물_7월'!$A:$A)&lt;=1,"",SUMIFS('RAW_농산물_7월'!$H:$H,'RAW_농산물_7월'!$D:$D,$C575,'RAW_농산물_7월'!$A:$A,$E575)))</f>
        <v/>
      </c>
      <c r="O575" s="7" t="str">
        <f>IF($C575="","",IF(COUNTA('RAW_농산물_8월'!$A:$A)&lt;=1,"",SUMIFS('RAW_농산물_8월'!$H:$H,'RAW_농산물_8월'!$D:$D,$C575,'RAW_농산물_8월'!$A:$A,$E575)-SUMIFS('RAW_농산물_7월'!$H:$H,'RAW_농산물_7월'!$D:$D,$C575,'RAW_농산물_7월'!$A:$A,$E575)))</f>
        <v/>
      </c>
      <c r="P575" s="7" t="str">
        <f>IF($C575="","",IF(COUNTA('RAW_농산물_9월'!$A:$A)&lt;=1,"",SUMIFS('RAW_농산물_9월'!$H:$H,'RAW_농산물_9월'!$D:$D,$C575,'RAW_농산물_9월'!$A:$A,$E575)-SUMIFS('RAW_농산물_8월'!$H:$H,'RAW_농산물_8월'!$D:$D,$C575,'RAW_농산물_8월'!$A:$A,$E575)))</f>
        <v/>
      </c>
      <c r="Q575" s="7" t="str">
        <f>IF($C575="","",IF(COUNTA('RAW_농산물_10월'!$A:$A)&lt;=1,"",SUMIFS('RAW_농산물_10월'!$H:$H,'RAW_농산물_10월'!$D:$D,$C575,'RAW_농산물_10월'!$A:$A,$E575)-SUMIFS('RAW_농산물_9월'!$H:$H,'RAW_농산물_9월'!$D:$D,$C575,'RAW_농산물_9월'!$A:$A,$E575)))</f>
        <v/>
      </c>
      <c r="R575" s="7" t="str">
        <f>IF($C575="","",IF(COUNTA('RAW_농산물_11-12월'!$A:$A)&lt;=1,"",SUMIFS('RAW_농산물_11-12월'!$H:$H,'RAW_농산물_11-12월'!$D:$D,$C575,'RAW_농산물_11-12월'!$A:$A,$E575)-SUMIFS('RAW_농산물_10월'!$H:$H,'RAW_농산물_10월'!$D:$D,$C575,'RAW_농산물_10월'!$A:$A,$E575)))</f>
        <v/>
      </c>
      <c r="S575" s="17" t="str">
        <f t="shared" si="4"/>
        <v/>
      </c>
      <c r="T575" s="17" t="str">
        <f t="shared" si="5"/>
        <v/>
      </c>
      <c r="U575" s="7">
        <f>IF($C575="",0,IF('설정'!$B$3=0,0,CHOOSE('설정'!$B$3,COUNTIFS('RAW_농산물_7월'!$D:$D,$C575,'RAW_농산물_7월'!$A:$A,$E575),COUNTIFS('RAW_농산물_8월'!$D:$D,$C575,'RAW_농산물_8월'!$A:$A,$E575),COUNTIFS('RAW_농산물_9월'!$D:$D,$C575,'RAW_농산물_9월'!$A:$A,$E575),COUNTIFS('RAW_농산물_10월'!$D:$D,$C575,'RAW_농산물_10월'!$A:$A,$E575),COUNTIFS('RAW_농산물_11-12월'!$D:$D,$C575,'RAW_농산물_11-12월'!$A:$A,$E575))))</f>
        <v>0</v>
      </c>
    </row>
    <row r="576" ht="15.75" customHeight="1">
      <c r="A576" s="5"/>
      <c r="B576" s="5"/>
      <c r="C576" s="5"/>
      <c r="D576" s="6"/>
      <c r="E576" s="5"/>
      <c r="F576" s="7" t="str">
        <f>IF($C576="","",IF('설정'!$B$3=0,"",CHOOSE('설정'!$B$3,SUMIFS('RAW_농산물_7월'!$F:$F,'RAW_농산물_7월'!$D:$D,$C576,'RAW_농산물_7월'!$A:$A,$E576),SUMIFS('RAW_농산물_8월'!$F:$F,'RAW_농산물_8월'!$D:$D,$C576,'RAW_농산물_8월'!$A:$A,$E576),SUMIFS('RAW_농산물_9월'!$F:$F,'RAW_농산물_9월'!$D:$D,$C576,'RAW_농산물_9월'!$A:$A,$E576),SUMIFS('RAW_농산물_10월'!$F:$F,'RAW_농산물_10월'!$D:$D,$C576,'RAW_농산물_10월'!$A:$A,$E576),SUMIFS('RAW_농산물_11-12월'!$F:$F,'RAW_농산물_11-12월'!$D:$D,$C576,'RAW_농산물_11-12월'!$A:$A,$E576))))</f>
        <v/>
      </c>
      <c r="G576" s="7" t="str">
        <f>IF($C576="","",IF('설정'!$B$3=0,"",CHOOSE('설정'!$B$3,SUMIFS('RAW_농산물_7월'!$G:$G,'RAW_농산물_7월'!$D:$D,$C576,'RAW_농산물_7월'!$A:$A,$E576),SUMIFS('RAW_농산물_8월'!$G:$G,'RAW_농산물_8월'!$D:$D,$C576,'RAW_농산물_8월'!$A:$A,$E576),SUMIFS('RAW_농산물_9월'!$G:$G,'RAW_농산물_9월'!$D:$D,$C576,'RAW_농산물_9월'!$A:$A,$E576),SUMIFS('RAW_농산물_10월'!$G:$G,'RAW_농산물_10월'!$D:$D,$C576,'RAW_농산물_10월'!$A:$A,$E576),SUMIFS('RAW_농산물_11-12월'!$G:$G,'RAW_농산물_11-12월'!$D:$D,$C576,'RAW_농산물_11-12월'!$A:$A,$E576))))</f>
        <v/>
      </c>
      <c r="H576" s="14" t="str">
        <f>IF($C576="","",IF('설정'!$B$3=0,"",CHOOSE('설정'!$B$3,SUMIFS('RAW_농산물_7월'!$H:$H,'RAW_농산물_7월'!$D:$D,$C576,'RAW_농산물_7월'!$A:$A,$E576),SUMIFS('RAW_농산물_8월'!$H:$H,'RAW_농산물_8월'!$D:$D,$C576,'RAW_농산물_8월'!$A:$A,$E576),SUMIFS('RAW_농산물_9월'!$H:$H,'RAW_농산물_9월'!$D:$D,$C576,'RAW_농산물_9월'!$A:$A,$E576),SUMIFS('RAW_농산물_10월'!$H:$H,'RAW_농산물_10월'!$D:$D,$C576,'RAW_농산물_10월'!$A:$A,$E576),SUMIFS('RAW_농산물_11-12월'!$H:$H,'RAW_농산물_11-12월'!$D:$D,$C576,'RAW_농산물_11-12월'!$A:$A,$E576))))</f>
        <v/>
      </c>
      <c r="I576" s="17" t="str">
        <f>IF($C576="","",IF(COUNTIFS('RAW_농산물_7월'!$D:$D,$C576,'RAW_농산물_7월'!$A:$A,$E576)&gt;0,"O",""))</f>
        <v/>
      </c>
      <c r="J576" s="17" t="str">
        <f>IF($C576="","",IF(COUNTIFS('RAW_농산물_8월'!$D:$D,$C576,'RAW_농산물_8월'!$A:$A,$E576)&gt;0,"O",""))</f>
        <v/>
      </c>
      <c r="K576" s="17" t="str">
        <f>IF($C576="","",IF(COUNTIFS('RAW_농산물_9월'!$D:$D,$C576,'RAW_농산물_9월'!$A:$A,$E576)&gt;0,"O",""))</f>
        <v/>
      </c>
      <c r="L576" s="17" t="str">
        <f>IF($C576="","",IF(COUNTIFS('RAW_농산물_10월'!$D:$D,$C576,'RAW_농산물_10월'!$A:$A,$E576)&gt;0,"O",""))</f>
        <v/>
      </c>
      <c r="M576" s="17" t="str">
        <f>IF($C576="","",IF(COUNTIFS('RAW_농산물_11-12월'!$D:$D,$C576,'RAW_농산물_11-12월'!$A:$A,$E576)&gt;0,"O",""))</f>
        <v/>
      </c>
      <c r="N576" s="7" t="str">
        <f>IF($C576="","",IF(COUNTA('RAW_농산물_7월'!$A:$A)&lt;=1,"",SUMIFS('RAW_농산물_7월'!$H:$H,'RAW_농산물_7월'!$D:$D,$C576,'RAW_농산물_7월'!$A:$A,$E576)))</f>
        <v/>
      </c>
      <c r="O576" s="7" t="str">
        <f>IF($C576="","",IF(COUNTA('RAW_농산물_8월'!$A:$A)&lt;=1,"",SUMIFS('RAW_농산물_8월'!$H:$H,'RAW_농산물_8월'!$D:$D,$C576,'RAW_농산물_8월'!$A:$A,$E576)-SUMIFS('RAW_농산물_7월'!$H:$H,'RAW_농산물_7월'!$D:$D,$C576,'RAW_농산물_7월'!$A:$A,$E576)))</f>
        <v/>
      </c>
      <c r="P576" s="7" t="str">
        <f>IF($C576="","",IF(COUNTA('RAW_농산물_9월'!$A:$A)&lt;=1,"",SUMIFS('RAW_농산물_9월'!$H:$H,'RAW_농산물_9월'!$D:$D,$C576,'RAW_농산물_9월'!$A:$A,$E576)-SUMIFS('RAW_농산물_8월'!$H:$H,'RAW_농산물_8월'!$D:$D,$C576,'RAW_농산물_8월'!$A:$A,$E576)))</f>
        <v/>
      </c>
      <c r="Q576" s="7" t="str">
        <f>IF($C576="","",IF(COUNTA('RAW_농산물_10월'!$A:$A)&lt;=1,"",SUMIFS('RAW_농산물_10월'!$H:$H,'RAW_농산물_10월'!$D:$D,$C576,'RAW_농산물_10월'!$A:$A,$E576)-SUMIFS('RAW_농산물_9월'!$H:$H,'RAW_농산물_9월'!$D:$D,$C576,'RAW_농산물_9월'!$A:$A,$E576)))</f>
        <v/>
      </c>
      <c r="R576" s="7" t="str">
        <f>IF($C576="","",IF(COUNTA('RAW_농산물_11-12월'!$A:$A)&lt;=1,"",SUMIFS('RAW_농산물_11-12월'!$H:$H,'RAW_농산물_11-12월'!$D:$D,$C576,'RAW_농산물_11-12월'!$A:$A,$E576)-SUMIFS('RAW_농산물_10월'!$H:$H,'RAW_농산물_10월'!$D:$D,$C576,'RAW_농산물_10월'!$A:$A,$E576)))</f>
        <v/>
      </c>
      <c r="S576" s="17" t="str">
        <f t="shared" si="4"/>
        <v/>
      </c>
      <c r="T576" s="17" t="str">
        <f t="shared" si="5"/>
        <v/>
      </c>
      <c r="U576" s="7">
        <f>IF($C576="",0,IF('설정'!$B$3=0,0,CHOOSE('설정'!$B$3,COUNTIFS('RAW_농산물_7월'!$D:$D,$C576,'RAW_농산물_7월'!$A:$A,$E576),COUNTIFS('RAW_농산물_8월'!$D:$D,$C576,'RAW_농산물_8월'!$A:$A,$E576),COUNTIFS('RAW_농산물_9월'!$D:$D,$C576,'RAW_농산물_9월'!$A:$A,$E576),COUNTIFS('RAW_농산물_10월'!$D:$D,$C576,'RAW_농산물_10월'!$A:$A,$E576),COUNTIFS('RAW_농산물_11-12월'!$D:$D,$C576,'RAW_농산물_11-12월'!$A:$A,$E576))))</f>
        <v>0</v>
      </c>
    </row>
    <row r="577" ht="15.75" customHeight="1">
      <c r="A577" s="5"/>
      <c r="B577" s="5"/>
      <c r="C577" s="5"/>
      <c r="D577" s="6"/>
      <c r="E577" s="5"/>
      <c r="F577" s="7" t="str">
        <f>IF($C577="","",IF('설정'!$B$3=0,"",CHOOSE('설정'!$B$3,SUMIFS('RAW_농산물_7월'!$F:$F,'RAW_농산물_7월'!$D:$D,$C577,'RAW_농산물_7월'!$A:$A,$E577),SUMIFS('RAW_농산물_8월'!$F:$F,'RAW_농산물_8월'!$D:$D,$C577,'RAW_농산물_8월'!$A:$A,$E577),SUMIFS('RAW_농산물_9월'!$F:$F,'RAW_농산물_9월'!$D:$D,$C577,'RAW_농산물_9월'!$A:$A,$E577),SUMIFS('RAW_농산물_10월'!$F:$F,'RAW_농산물_10월'!$D:$D,$C577,'RAW_농산물_10월'!$A:$A,$E577),SUMIFS('RAW_농산물_11-12월'!$F:$F,'RAW_농산물_11-12월'!$D:$D,$C577,'RAW_농산물_11-12월'!$A:$A,$E577))))</f>
        <v/>
      </c>
      <c r="G577" s="7" t="str">
        <f>IF($C577="","",IF('설정'!$B$3=0,"",CHOOSE('설정'!$B$3,SUMIFS('RAW_농산물_7월'!$G:$G,'RAW_농산물_7월'!$D:$D,$C577,'RAW_농산물_7월'!$A:$A,$E577),SUMIFS('RAW_농산물_8월'!$G:$G,'RAW_농산물_8월'!$D:$D,$C577,'RAW_농산물_8월'!$A:$A,$E577),SUMIFS('RAW_농산물_9월'!$G:$G,'RAW_농산물_9월'!$D:$D,$C577,'RAW_농산물_9월'!$A:$A,$E577),SUMIFS('RAW_농산물_10월'!$G:$G,'RAW_농산물_10월'!$D:$D,$C577,'RAW_농산물_10월'!$A:$A,$E577),SUMIFS('RAW_농산물_11-12월'!$G:$G,'RAW_농산물_11-12월'!$D:$D,$C577,'RAW_농산물_11-12월'!$A:$A,$E577))))</f>
        <v/>
      </c>
      <c r="H577" s="14" t="str">
        <f>IF($C577="","",IF('설정'!$B$3=0,"",CHOOSE('설정'!$B$3,SUMIFS('RAW_농산물_7월'!$H:$H,'RAW_농산물_7월'!$D:$D,$C577,'RAW_농산물_7월'!$A:$A,$E577),SUMIFS('RAW_농산물_8월'!$H:$H,'RAW_농산물_8월'!$D:$D,$C577,'RAW_농산물_8월'!$A:$A,$E577),SUMIFS('RAW_농산물_9월'!$H:$H,'RAW_농산물_9월'!$D:$D,$C577,'RAW_농산물_9월'!$A:$A,$E577),SUMIFS('RAW_농산물_10월'!$H:$H,'RAW_농산물_10월'!$D:$D,$C577,'RAW_농산물_10월'!$A:$A,$E577),SUMIFS('RAW_농산물_11-12월'!$H:$H,'RAW_농산물_11-12월'!$D:$D,$C577,'RAW_농산물_11-12월'!$A:$A,$E577))))</f>
        <v/>
      </c>
      <c r="I577" s="17" t="str">
        <f>IF($C577="","",IF(COUNTIFS('RAW_농산물_7월'!$D:$D,$C577,'RAW_농산물_7월'!$A:$A,$E577)&gt;0,"O",""))</f>
        <v/>
      </c>
      <c r="J577" s="17" t="str">
        <f>IF($C577="","",IF(COUNTIFS('RAW_농산물_8월'!$D:$D,$C577,'RAW_농산물_8월'!$A:$A,$E577)&gt;0,"O",""))</f>
        <v/>
      </c>
      <c r="K577" s="17" t="str">
        <f>IF($C577="","",IF(COUNTIFS('RAW_농산물_9월'!$D:$D,$C577,'RAW_농산물_9월'!$A:$A,$E577)&gt;0,"O",""))</f>
        <v/>
      </c>
      <c r="L577" s="17" t="str">
        <f>IF($C577="","",IF(COUNTIFS('RAW_농산물_10월'!$D:$D,$C577,'RAW_농산물_10월'!$A:$A,$E577)&gt;0,"O",""))</f>
        <v/>
      </c>
      <c r="M577" s="17" t="str">
        <f>IF($C577="","",IF(COUNTIFS('RAW_농산물_11-12월'!$D:$D,$C577,'RAW_농산물_11-12월'!$A:$A,$E577)&gt;0,"O",""))</f>
        <v/>
      </c>
      <c r="N577" s="7" t="str">
        <f>IF($C577="","",IF(COUNTA('RAW_농산물_7월'!$A:$A)&lt;=1,"",SUMIFS('RAW_농산물_7월'!$H:$H,'RAW_농산물_7월'!$D:$D,$C577,'RAW_농산물_7월'!$A:$A,$E577)))</f>
        <v/>
      </c>
      <c r="O577" s="7" t="str">
        <f>IF($C577="","",IF(COUNTA('RAW_농산물_8월'!$A:$A)&lt;=1,"",SUMIFS('RAW_농산물_8월'!$H:$H,'RAW_농산물_8월'!$D:$D,$C577,'RAW_농산물_8월'!$A:$A,$E577)-SUMIFS('RAW_농산물_7월'!$H:$H,'RAW_농산물_7월'!$D:$D,$C577,'RAW_농산물_7월'!$A:$A,$E577)))</f>
        <v/>
      </c>
      <c r="P577" s="7" t="str">
        <f>IF($C577="","",IF(COUNTA('RAW_농산물_9월'!$A:$A)&lt;=1,"",SUMIFS('RAW_농산물_9월'!$H:$H,'RAW_농산물_9월'!$D:$D,$C577,'RAW_농산물_9월'!$A:$A,$E577)-SUMIFS('RAW_농산물_8월'!$H:$H,'RAW_농산물_8월'!$D:$D,$C577,'RAW_농산물_8월'!$A:$A,$E577)))</f>
        <v/>
      </c>
      <c r="Q577" s="7" t="str">
        <f>IF($C577="","",IF(COUNTA('RAW_농산물_10월'!$A:$A)&lt;=1,"",SUMIFS('RAW_농산물_10월'!$H:$H,'RAW_농산물_10월'!$D:$D,$C577,'RAW_농산물_10월'!$A:$A,$E577)-SUMIFS('RAW_농산물_9월'!$H:$H,'RAW_농산물_9월'!$D:$D,$C577,'RAW_농산물_9월'!$A:$A,$E577)))</f>
        <v/>
      </c>
      <c r="R577" s="7" t="str">
        <f>IF($C577="","",IF(COUNTA('RAW_농산물_11-12월'!$A:$A)&lt;=1,"",SUMIFS('RAW_농산물_11-12월'!$H:$H,'RAW_농산물_11-12월'!$D:$D,$C577,'RAW_농산물_11-12월'!$A:$A,$E577)-SUMIFS('RAW_농산물_10월'!$H:$H,'RAW_농산물_10월'!$D:$D,$C577,'RAW_농산물_10월'!$A:$A,$E577)))</f>
        <v/>
      </c>
      <c r="S577" s="17" t="str">
        <f t="shared" si="4"/>
        <v/>
      </c>
      <c r="T577" s="17" t="str">
        <f t="shared" si="5"/>
        <v/>
      </c>
      <c r="U577" s="7">
        <f>IF($C577="",0,IF('설정'!$B$3=0,0,CHOOSE('설정'!$B$3,COUNTIFS('RAW_농산물_7월'!$D:$D,$C577,'RAW_농산물_7월'!$A:$A,$E577),COUNTIFS('RAW_농산물_8월'!$D:$D,$C577,'RAW_농산물_8월'!$A:$A,$E577),COUNTIFS('RAW_농산물_9월'!$D:$D,$C577,'RAW_농산물_9월'!$A:$A,$E577),COUNTIFS('RAW_농산물_10월'!$D:$D,$C577,'RAW_농산물_10월'!$A:$A,$E577),COUNTIFS('RAW_농산물_11-12월'!$D:$D,$C577,'RAW_농산물_11-12월'!$A:$A,$E577))))</f>
        <v>0</v>
      </c>
    </row>
    <row r="578" ht="15.75" customHeight="1">
      <c r="A578" s="5"/>
      <c r="B578" s="5"/>
      <c r="C578" s="5"/>
      <c r="D578" s="6"/>
      <c r="E578" s="5"/>
      <c r="F578" s="7" t="str">
        <f>IF($C578="","",IF('설정'!$B$3=0,"",CHOOSE('설정'!$B$3,SUMIFS('RAW_농산물_7월'!$F:$F,'RAW_농산물_7월'!$D:$D,$C578,'RAW_농산물_7월'!$A:$A,$E578),SUMIFS('RAW_농산물_8월'!$F:$F,'RAW_농산물_8월'!$D:$D,$C578,'RAW_농산물_8월'!$A:$A,$E578),SUMIFS('RAW_농산물_9월'!$F:$F,'RAW_농산물_9월'!$D:$D,$C578,'RAW_농산물_9월'!$A:$A,$E578),SUMIFS('RAW_농산물_10월'!$F:$F,'RAW_농산물_10월'!$D:$D,$C578,'RAW_농산물_10월'!$A:$A,$E578),SUMIFS('RAW_농산물_11-12월'!$F:$F,'RAW_농산물_11-12월'!$D:$D,$C578,'RAW_농산물_11-12월'!$A:$A,$E578))))</f>
        <v/>
      </c>
      <c r="G578" s="7" t="str">
        <f>IF($C578="","",IF('설정'!$B$3=0,"",CHOOSE('설정'!$B$3,SUMIFS('RAW_농산물_7월'!$G:$G,'RAW_농산물_7월'!$D:$D,$C578,'RAW_농산물_7월'!$A:$A,$E578),SUMIFS('RAW_농산물_8월'!$G:$G,'RAW_농산물_8월'!$D:$D,$C578,'RAW_농산물_8월'!$A:$A,$E578),SUMIFS('RAW_농산물_9월'!$G:$G,'RAW_농산물_9월'!$D:$D,$C578,'RAW_농산물_9월'!$A:$A,$E578),SUMIFS('RAW_농산물_10월'!$G:$G,'RAW_농산물_10월'!$D:$D,$C578,'RAW_농산물_10월'!$A:$A,$E578),SUMIFS('RAW_농산물_11-12월'!$G:$G,'RAW_농산물_11-12월'!$D:$D,$C578,'RAW_농산물_11-12월'!$A:$A,$E578))))</f>
        <v/>
      </c>
      <c r="H578" s="14" t="str">
        <f>IF($C578="","",IF('설정'!$B$3=0,"",CHOOSE('설정'!$B$3,SUMIFS('RAW_농산물_7월'!$H:$H,'RAW_농산물_7월'!$D:$D,$C578,'RAW_농산물_7월'!$A:$A,$E578),SUMIFS('RAW_농산물_8월'!$H:$H,'RAW_농산물_8월'!$D:$D,$C578,'RAW_농산물_8월'!$A:$A,$E578),SUMIFS('RAW_농산물_9월'!$H:$H,'RAW_농산물_9월'!$D:$D,$C578,'RAW_농산물_9월'!$A:$A,$E578),SUMIFS('RAW_농산물_10월'!$H:$H,'RAW_농산물_10월'!$D:$D,$C578,'RAW_농산물_10월'!$A:$A,$E578),SUMIFS('RAW_농산물_11-12월'!$H:$H,'RAW_농산물_11-12월'!$D:$D,$C578,'RAW_농산물_11-12월'!$A:$A,$E578))))</f>
        <v/>
      </c>
      <c r="I578" s="17" t="str">
        <f>IF($C578="","",IF(COUNTIFS('RAW_농산물_7월'!$D:$D,$C578,'RAW_농산물_7월'!$A:$A,$E578)&gt;0,"O",""))</f>
        <v/>
      </c>
      <c r="J578" s="17" t="str">
        <f>IF($C578="","",IF(COUNTIFS('RAW_농산물_8월'!$D:$D,$C578,'RAW_농산물_8월'!$A:$A,$E578)&gt;0,"O",""))</f>
        <v/>
      </c>
      <c r="K578" s="17" t="str">
        <f>IF($C578="","",IF(COUNTIFS('RAW_농산물_9월'!$D:$D,$C578,'RAW_농산물_9월'!$A:$A,$E578)&gt;0,"O",""))</f>
        <v/>
      </c>
      <c r="L578" s="17" t="str">
        <f>IF($C578="","",IF(COUNTIFS('RAW_농산물_10월'!$D:$D,$C578,'RAW_농산물_10월'!$A:$A,$E578)&gt;0,"O",""))</f>
        <v/>
      </c>
      <c r="M578" s="17" t="str">
        <f>IF($C578="","",IF(COUNTIFS('RAW_농산물_11-12월'!$D:$D,$C578,'RAW_농산물_11-12월'!$A:$A,$E578)&gt;0,"O",""))</f>
        <v/>
      </c>
      <c r="N578" s="7" t="str">
        <f>IF($C578="","",IF(COUNTA('RAW_농산물_7월'!$A:$A)&lt;=1,"",SUMIFS('RAW_농산물_7월'!$H:$H,'RAW_농산물_7월'!$D:$D,$C578,'RAW_농산물_7월'!$A:$A,$E578)))</f>
        <v/>
      </c>
      <c r="O578" s="7" t="str">
        <f>IF($C578="","",IF(COUNTA('RAW_농산물_8월'!$A:$A)&lt;=1,"",SUMIFS('RAW_농산물_8월'!$H:$H,'RAW_농산물_8월'!$D:$D,$C578,'RAW_농산물_8월'!$A:$A,$E578)-SUMIFS('RAW_농산물_7월'!$H:$H,'RAW_농산물_7월'!$D:$D,$C578,'RAW_농산물_7월'!$A:$A,$E578)))</f>
        <v/>
      </c>
      <c r="P578" s="7" t="str">
        <f>IF($C578="","",IF(COUNTA('RAW_농산물_9월'!$A:$A)&lt;=1,"",SUMIFS('RAW_농산물_9월'!$H:$H,'RAW_농산물_9월'!$D:$D,$C578,'RAW_농산물_9월'!$A:$A,$E578)-SUMIFS('RAW_농산물_8월'!$H:$H,'RAW_농산물_8월'!$D:$D,$C578,'RAW_농산물_8월'!$A:$A,$E578)))</f>
        <v/>
      </c>
      <c r="Q578" s="7" t="str">
        <f>IF($C578="","",IF(COUNTA('RAW_농산물_10월'!$A:$A)&lt;=1,"",SUMIFS('RAW_농산물_10월'!$H:$H,'RAW_농산물_10월'!$D:$D,$C578,'RAW_농산물_10월'!$A:$A,$E578)-SUMIFS('RAW_농산물_9월'!$H:$H,'RAW_농산물_9월'!$D:$D,$C578,'RAW_농산물_9월'!$A:$A,$E578)))</f>
        <v/>
      </c>
      <c r="R578" s="7" t="str">
        <f>IF($C578="","",IF(COUNTA('RAW_농산물_11-12월'!$A:$A)&lt;=1,"",SUMIFS('RAW_농산물_11-12월'!$H:$H,'RAW_농산물_11-12월'!$D:$D,$C578,'RAW_농산물_11-12월'!$A:$A,$E578)-SUMIFS('RAW_농산물_10월'!$H:$H,'RAW_농산물_10월'!$D:$D,$C578,'RAW_농산물_10월'!$A:$A,$E578)))</f>
        <v/>
      </c>
      <c r="S578" s="17" t="str">
        <f t="shared" si="4"/>
        <v/>
      </c>
      <c r="T578" s="17" t="str">
        <f t="shared" si="5"/>
        <v/>
      </c>
      <c r="U578" s="7">
        <f>IF($C578="",0,IF('설정'!$B$3=0,0,CHOOSE('설정'!$B$3,COUNTIFS('RAW_농산물_7월'!$D:$D,$C578,'RAW_농산물_7월'!$A:$A,$E578),COUNTIFS('RAW_농산물_8월'!$D:$D,$C578,'RAW_농산물_8월'!$A:$A,$E578),COUNTIFS('RAW_농산물_9월'!$D:$D,$C578,'RAW_농산물_9월'!$A:$A,$E578),COUNTIFS('RAW_농산물_10월'!$D:$D,$C578,'RAW_농산물_10월'!$A:$A,$E578),COUNTIFS('RAW_농산물_11-12월'!$D:$D,$C578,'RAW_농산물_11-12월'!$A:$A,$E578))))</f>
        <v>0</v>
      </c>
    </row>
    <row r="579" ht="15.75" customHeight="1">
      <c r="A579" s="5"/>
      <c r="B579" s="5"/>
      <c r="C579" s="5"/>
      <c r="D579" s="6"/>
      <c r="E579" s="5"/>
      <c r="F579" s="7" t="str">
        <f>IF($C579="","",IF('설정'!$B$3=0,"",CHOOSE('설정'!$B$3,SUMIFS('RAW_농산물_7월'!$F:$F,'RAW_농산물_7월'!$D:$D,$C579,'RAW_농산물_7월'!$A:$A,$E579),SUMIFS('RAW_농산물_8월'!$F:$F,'RAW_농산물_8월'!$D:$D,$C579,'RAW_농산물_8월'!$A:$A,$E579),SUMIFS('RAW_농산물_9월'!$F:$F,'RAW_농산물_9월'!$D:$D,$C579,'RAW_농산물_9월'!$A:$A,$E579),SUMIFS('RAW_농산물_10월'!$F:$F,'RAW_농산물_10월'!$D:$D,$C579,'RAW_농산물_10월'!$A:$A,$E579),SUMIFS('RAW_농산물_11-12월'!$F:$F,'RAW_농산물_11-12월'!$D:$D,$C579,'RAW_농산물_11-12월'!$A:$A,$E579))))</f>
        <v/>
      </c>
      <c r="G579" s="7" t="str">
        <f>IF($C579="","",IF('설정'!$B$3=0,"",CHOOSE('설정'!$B$3,SUMIFS('RAW_농산물_7월'!$G:$G,'RAW_농산물_7월'!$D:$D,$C579,'RAW_농산물_7월'!$A:$A,$E579),SUMIFS('RAW_농산물_8월'!$G:$G,'RAW_농산물_8월'!$D:$D,$C579,'RAW_농산물_8월'!$A:$A,$E579),SUMIFS('RAW_농산물_9월'!$G:$G,'RAW_농산물_9월'!$D:$D,$C579,'RAW_농산물_9월'!$A:$A,$E579),SUMIFS('RAW_농산물_10월'!$G:$G,'RAW_농산물_10월'!$D:$D,$C579,'RAW_농산물_10월'!$A:$A,$E579),SUMIFS('RAW_농산물_11-12월'!$G:$G,'RAW_농산물_11-12월'!$D:$D,$C579,'RAW_농산물_11-12월'!$A:$A,$E579))))</f>
        <v/>
      </c>
      <c r="H579" s="14" t="str">
        <f>IF($C579="","",IF('설정'!$B$3=0,"",CHOOSE('설정'!$B$3,SUMIFS('RAW_농산물_7월'!$H:$H,'RAW_농산물_7월'!$D:$D,$C579,'RAW_농산물_7월'!$A:$A,$E579),SUMIFS('RAW_농산물_8월'!$H:$H,'RAW_농산물_8월'!$D:$D,$C579,'RAW_농산물_8월'!$A:$A,$E579),SUMIFS('RAW_농산물_9월'!$H:$H,'RAW_농산물_9월'!$D:$D,$C579,'RAW_농산물_9월'!$A:$A,$E579),SUMIFS('RAW_농산물_10월'!$H:$H,'RAW_농산물_10월'!$D:$D,$C579,'RAW_농산물_10월'!$A:$A,$E579),SUMIFS('RAW_농산물_11-12월'!$H:$H,'RAW_농산물_11-12월'!$D:$D,$C579,'RAW_농산물_11-12월'!$A:$A,$E579))))</f>
        <v/>
      </c>
      <c r="I579" s="17" t="str">
        <f>IF($C579="","",IF(COUNTIFS('RAW_농산물_7월'!$D:$D,$C579,'RAW_농산물_7월'!$A:$A,$E579)&gt;0,"O",""))</f>
        <v/>
      </c>
      <c r="J579" s="17" t="str">
        <f>IF($C579="","",IF(COUNTIFS('RAW_농산물_8월'!$D:$D,$C579,'RAW_농산물_8월'!$A:$A,$E579)&gt;0,"O",""))</f>
        <v/>
      </c>
      <c r="K579" s="17" t="str">
        <f>IF($C579="","",IF(COUNTIFS('RAW_농산물_9월'!$D:$D,$C579,'RAW_농산물_9월'!$A:$A,$E579)&gt;0,"O",""))</f>
        <v/>
      </c>
      <c r="L579" s="17" t="str">
        <f>IF($C579="","",IF(COUNTIFS('RAW_농산물_10월'!$D:$D,$C579,'RAW_농산물_10월'!$A:$A,$E579)&gt;0,"O",""))</f>
        <v/>
      </c>
      <c r="M579" s="17" t="str">
        <f>IF($C579="","",IF(COUNTIFS('RAW_농산물_11-12월'!$D:$D,$C579,'RAW_농산물_11-12월'!$A:$A,$E579)&gt;0,"O",""))</f>
        <v/>
      </c>
      <c r="N579" s="7" t="str">
        <f>IF($C579="","",IF(COUNTA('RAW_농산물_7월'!$A:$A)&lt;=1,"",SUMIFS('RAW_농산물_7월'!$H:$H,'RAW_농산물_7월'!$D:$D,$C579,'RAW_농산물_7월'!$A:$A,$E579)))</f>
        <v/>
      </c>
      <c r="O579" s="7" t="str">
        <f>IF($C579="","",IF(COUNTA('RAW_농산물_8월'!$A:$A)&lt;=1,"",SUMIFS('RAW_농산물_8월'!$H:$H,'RAW_농산물_8월'!$D:$D,$C579,'RAW_농산물_8월'!$A:$A,$E579)-SUMIFS('RAW_농산물_7월'!$H:$H,'RAW_농산물_7월'!$D:$D,$C579,'RAW_농산물_7월'!$A:$A,$E579)))</f>
        <v/>
      </c>
      <c r="P579" s="7" t="str">
        <f>IF($C579="","",IF(COUNTA('RAW_농산물_9월'!$A:$A)&lt;=1,"",SUMIFS('RAW_농산물_9월'!$H:$H,'RAW_농산물_9월'!$D:$D,$C579,'RAW_농산물_9월'!$A:$A,$E579)-SUMIFS('RAW_농산물_8월'!$H:$H,'RAW_농산물_8월'!$D:$D,$C579,'RAW_농산물_8월'!$A:$A,$E579)))</f>
        <v/>
      </c>
      <c r="Q579" s="7" t="str">
        <f>IF($C579="","",IF(COUNTA('RAW_농산물_10월'!$A:$A)&lt;=1,"",SUMIFS('RAW_농산물_10월'!$H:$H,'RAW_농산물_10월'!$D:$D,$C579,'RAW_농산물_10월'!$A:$A,$E579)-SUMIFS('RAW_농산물_9월'!$H:$H,'RAW_농산물_9월'!$D:$D,$C579,'RAW_농산물_9월'!$A:$A,$E579)))</f>
        <v/>
      </c>
      <c r="R579" s="7" t="str">
        <f>IF($C579="","",IF(COUNTA('RAW_농산물_11-12월'!$A:$A)&lt;=1,"",SUMIFS('RAW_농산물_11-12월'!$H:$H,'RAW_농산물_11-12월'!$D:$D,$C579,'RAW_농산물_11-12월'!$A:$A,$E579)-SUMIFS('RAW_농산물_10월'!$H:$H,'RAW_농산물_10월'!$D:$D,$C579,'RAW_농산물_10월'!$A:$A,$E579)))</f>
        <v/>
      </c>
      <c r="S579" s="17" t="str">
        <f t="shared" si="4"/>
        <v/>
      </c>
      <c r="T579" s="17" t="str">
        <f t="shared" si="5"/>
        <v/>
      </c>
      <c r="U579" s="7">
        <f>IF($C579="",0,IF('설정'!$B$3=0,0,CHOOSE('설정'!$B$3,COUNTIFS('RAW_농산물_7월'!$D:$D,$C579,'RAW_농산물_7월'!$A:$A,$E579),COUNTIFS('RAW_농산물_8월'!$D:$D,$C579,'RAW_농산물_8월'!$A:$A,$E579),COUNTIFS('RAW_농산물_9월'!$D:$D,$C579,'RAW_농산물_9월'!$A:$A,$E579),COUNTIFS('RAW_농산물_10월'!$D:$D,$C579,'RAW_농산물_10월'!$A:$A,$E579),COUNTIFS('RAW_농산물_11-12월'!$D:$D,$C579,'RAW_농산물_11-12월'!$A:$A,$E579))))</f>
        <v>0</v>
      </c>
    </row>
    <row r="580" ht="15.75" customHeight="1">
      <c r="A580" s="5"/>
      <c r="B580" s="5"/>
      <c r="C580" s="5"/>
      <c r="D580" s="6"/>
      <c r="E580" s="5"/>
      <c r="F580" s="7" t="str">
        <f>IF($C580="","",IF('설정'!$B$3=0,"",CHOOSE('설정'!$B$3,SUMIFS('RAW_농산물_7월'!$F:$F,'RAW_농산물_7월'!$D:$D,$C580,'RAW_농산물_7월'!$A:$A,$E580),SUMIFS('RAW_농산물_8월'!$F:$F,'RAW_농산물_8월'!$D:$D,$C580,'RAW_농산물_8월'!$A:$A,$E580),SUMIFS('RAW_농산물_9월'!$F:$F,'RAW_농산물_9월'!$D:$D,$C580,'RAW_농산물_9월'!$A:$A,$E580),SUMIFS('RAW_농산물_10월'!$F:$F,'RAW_농산물_10월'!$D:$D,$C580,'RAW_농산물_10월'!$A:$A,$E580),SUMIFS('RAW_농산물_11-12월'!$F:$F,'RAW_농산물_11-12월'!$D:$D,$C580,'RAW_농산물_11-12월'!$A:$A,$E580))))</f>
        <v/>
      </c>
      <c r="G580" s="7" t="str">
        <f>IF($C580="","",IF('설정'!$B$3=0,"",CHOOSE('설정'!$B$3,SUMIFS('RAW_농산물_7월'!$G:$G,'RAW_농산물_7월'!$D:$D,$C580,'RAW_농산물_7월'!$A:$A,$E580),SUMIFS('RAW_농산물_8월'!$G:$G,'RAW_농산물_8월'!$D:$D,$C580,'RAW_농산물_8월'!$A:$A,$E580),SUMIFS('RAW_농산물_9월'!$G:$G,'RAW_농산물_9월'!$D:$D,$C580,'RAW_농산물_9월'!$A:$A,$E580),SUMIFS('RAW_농산물_10월'!$G:$G,'RAW_농산물_10월'!$D:$D,$C580,'RAW_농산물_10월'!$A:$A,$E580),SUMIFS('RAW_농산물_11-12월'!$G:$G,'RAW_농산물_11-12월'!$D:$D,$C580,'RAW_농산물_11-12월'!$A:$A,$E580))))</f>
        <v/>
      </c>
      <c r="H580" s="14" t="str">
        <f>IF($C580="","",IF('설정'!$B$3=0,"",CHOOSE('설정'!$B$3,SUMIFS('RAW_농산물_7월'!$H:$H,'RAW_농산물_7월'!$D:$D,$C580,'RAW_농산물_7월'!$A:$A,$E580),SUMIFS('RAW_농산물_8월'!$H:$H,'RAW_농산물_8월'!$D:$D,$C580,'RAW_농산물_8월'!$A:$A,$E580),SUMIFS('RAW_농산물_9월'!$H:$H,'RAW_농산물_9월'!$D:$D,$C580,'RAW_농산물_9월'!$A:$A,$E580),SUMIFS('RAW_농산물_10월'!$H:$H,'RAW_농산물_10월'!$D:$D,$C580,'RAW_농산물_10월'!$A:$A,$E580),SUMIFS('RAW_농산물_11-12월'!$H:$H,'RAW_농산물_11-12월'!$D:$D,$C580,'RAW_농산물_11-12월'!$A:$A,$E580))))</f>
        <v/>
      </c>
      <c r="I580" s="17" t="str">
        <f>IF($C580="","",IF(COUNTIFS('RAW_농산물_7월'!$D:$D,$C580,'RAW_농산물_7월'!$A:$A,$E580)&gt;0,"O",""))</f>
        <v/>
      </c>
      <c r="J580" s="17" t="str">
        <f>IF($C580="","",IF(COUNTIFS('RAW_농산물_8월'!$D:$D,$C580,'RAW_농산물_8월'!$A:$A,$E580)&gt;0,"O",""))</f>
        <v/>
      </c>
      <c r="K580" s="17" t="str">
        <f>IF($C580="","",IF(COUNTIFS('RAW_농산물_9월'!$D:$D,$C580,'RAW_농산물_9월'!$A:$A,$E580)&gt;0,"O",""))</f>
        <v/>
      </c>
      <c r="L580" s="17" t="str">
        <f>IF($C580="","",IF(COUNTIFS('RAW_농산물_10월'!$D:$D,$C580,'RAW_농산물_10월'!$A:$A,$E580)&gt;0,"O",""))</f>
        <v/>
      </c>
      <c r="M580" s="17" t="str">
        <f>IF($C580="","",IF(COUNTIFS('RAW_농산물_11-12월'!$D:$D,$C580,'RAW_농산물_11-12월'!$A:$A,$E580)&gt;0,"O",""))</f>
        <v/>
      </c>
      <c r="N580" s="7" t="str">
        <f>IF($C580="","",IF(COUNTA('RAW_농산물_7월'!$A:$A)&lt;=1,"",SUMIFS('RAW_농산물_7월'!$H:$H,'RAW_농산물_7월'!$D:$D,$C580,'RAW_농산물_7월'!$A:$A,$E580)))</f>
        <v/>
      </c>
      <c r="O580" s="7" t="str">
        <f>IF($C580="","",IF(COUNTA('RAW_농산물_8월'!$A:$A)&lt;=1,"",SUMIFS('RAW_농산물_8월'!$H:$H,'RAW_농산물_8월'!$D:$D,$C580,'RAW_농산물_8월'!$A:$A,$E580)-SUMIFS('RAW_농산물_7월'!$H:$H,'RAW_농산물_7월'!$D:$D,$C580,'RAW_농산물_7월'!$A:$A,$E580)))</f>
        <v/>
      </c>
      <c r="P580" s="7" t="str">
        <f>IF($C580="","",IF(COUNTA('RAW_농산물_9월'!$A:$A)&lt;=1,"",SUMIFS('RAW_농산물_9월'!$H:$H,'RAW_농산물_9월'!$D:$D,$C580,'RAW_농산물_9월'!$A:$A,$E580)-SUMIFS('RAW_농산물_8월'!$H:$H,'RAW_농산물_8월'!$D:$D,$C580,'RAW_농산물_8월'!$A:$A,$E580)))</f>
        <v/>
      </c>
      <c r="Q580" s="7" t="str">
        <f>IF($C580="","",IF(COUNTA('RAW_농산물_10월'!$A:$A)&lt;=1,"",SUMIFS('RAW_농산물_10월'!$H:$H,'RAW_농산물_10월'!$D:$D,$C580,'RAW_농산물_10월'!$A:$A,$E580)-SUMIFS('RAW_농산물_9월'!$H:$H,'RAW_농산물_9월'!$D:$D,$C580,'RAW_농산물_9월'!$A:$A,$E580)))</f>
        <v/>
      </c>
      <c r="R580" s="7" t="str">
        <f>IF($C580="","",IF(COUNTA('RAW_농산물_11-12월'!$A:$A)&lt;=1,"",SUMIFS('RAW_농산물_11-12월'!$H:$H,'RAW_농산물_11-12월'!$D:$D,$C580,'RAW_농산물_11-12월'!$A:$A,$E580)-SUMIFS('RAW_농산물_10월'!$H:$H,'RAW_농산물_10월'!$D:$D,$C580,'RAW_농산물_10월'!$A:$A,$E580)))</f>
        <v/>
      </c>
      <c r="S580" s="17" t="str">
        <f t="shared" si="4"/>
        <v/>
      </c>
      <c r="T580" s="17" t="str">
        <f t="shared" si="5"/>
        <v/>
      </c>
      <c r="U580" s="7">
        <f>IF($C580="",0,IF('설정'!$B$3=0,0,CHOOSE('설정'!$B$3,COUNTIFS('RAW_농산물_7월'!$D:$D,$C580,'RAW_농산물_7월'!$A:$A,$E580),COUNTIFS('RAW_농산물_8월'!$D:$D,$C580,'RAW_농산물_8월'!$A:$A,$E580),COUNTIFS('RAW_농산물_9월'!$D:$D,$C580,'RAW_농산물_9월'!$A:$A,$E580),COUNTIFS('RAW_농산물_10월'!$D:$D,$C580,'RAW_농산물_10월'!$A:$A,$E580),COUNTIFS('RAW_농산물_11-12월'!$D:$D,$C580,'RAW_농산물_11-12월'!$A:$A,$E580))))</f>
        <v>0</v>
      </c>
    </row>
    <row r="581" ht="15.75" customHeight="1">
      <c r="A581" s="5"/>
      <c r="B581" s="5"/>
      <c r="C581" s="5"/>
      <c r="D581" s="6"/>
      <c r="E581" s="5"/>
      <c r="F581" s="7" t="str">
        <f>IF($C581="","",IF('설정'!$B$3=0,"",CHOOSE('설정'!$B$3,SUMIFS('RAW_농산물_7월'!$F:$F,'RAW_농산물_7월'!$D:$D,$C581,'RAW_농산물_7월'!$A:$A,$E581),SUMIFS('RAW_농산물_8월'!$F:$F,'RAW_농산물_8월'!$D:$D,$C581,'RAW_농산물_8월'!$A:$A,$E581),SUMIFS('RAW_농산물_9월'!$F:$F,'RAW_농산물_9월'!$D:$D,$C581,'RAW_농산물_9월'!$A:$A,$E581),SUMIFS('RAW_농산물_10월'!$F:$F,'RAW_농산물_10월'!$D:$D,$C581,'RAW_농산물_10월'!$A:$A,$E581),SUMIFS('RAW_농산물_11-12월'!$F:$F,'RAW_농산물_11-12월'!$D:$D,$C581,'RAW_농산물_11-12월'!$A:$A,$E581))))</f>
        <v/>
      </c>
      <c r="G581" s="7" t="str">
        <f>IF($C581="","",IF('설정'!$B$3=0,"",CHOOSE('설정'!$B$3,SUMIFS('RAW_농산물_7월'!$G:$G,'RAW_농산물_7월'!$D:$D,$C581,'RAW_농산물_7월'!$A:$A,$E581),SUMIFS('RAW_농산물_8월'!$G:$G,'RAW_농산물_8월'!$D:$D,$C581,'RAW_농산물_8월'!$A:$A,$E581),SUMIFS('RAW_농산물_9월'!$G:$G,'RAW_농산물_9월'!$D:$D,$C581,'RAW_농산물_9월'!$A:$A,$E581),SUMIFS('RAW_농산물_10월'!$G:$G,'RAW_농산물_10월'!$D:$D,$C581,'RAW_농산물_10월'!$A:$A,$E581),SUMIFS('RAW_농산물_11-12월'!$G:$G,'RAW_농산물_11-12월'!$D:$D,$C581,'RAW_농산물_11-12월'!$A:$A,$E581))))</f>
        <v/>
      </c>
      <c r="H581" s="14" t="str">
        <f>IF($C581="","",IF('설정'!$B$3=0,"",CHOOSE('설정'!$B$3,SUMIFS('RAW_농산물_7월'!$H:$H,'RAW_농산물_7월'!$D:$D,$C581,'RAW_농산물_7월'!$A:$A,$E581),SUMIFS('RAW_농산물_8월'!$H:$H,'RAW_농산물_8월'!$D:$D,$C581,'RAW_농산물_8월'!$A:$A,$E581),SUMIFS('RAW_농산물_9월'!$H:$H,'RAW_농산물_9월'!$D:$D,$C581,'RAW_농산물_9월'!$A:$A,$E581),SUMIFS('RAW_농산물_10월'!$H:$H,'RAW_농산물_10월'!$D:$D,$C581,'RAW_농산물_10월'!$A:$A,$E581),SUMIFS('RAW_농산물_11-12월'!$H:$H,'RAW_농산물_11-12월'!$D:$D,$C581,'RAW_농산물_11-12월'!$A:$A,$E581))))</f>
        <v/>
      </c>
      <c r="I581" s="17" t="str">
        <f>IF($C581="","",IF(COUNTIFS('RAW_농산물_7월'!$D:$D,$C581,'RAW_농산물_7월'!$A:$A,$E581)&gt;0,"O",""))</f>
        <v/>
      </c>
      <c r="J581" s="17" t="str">
        <f>IF($C581="","",IF(COUNTIFS('RAW_농산물_8월'!$D:$D,$C581,'RAW_농산물_8월'!$A:$A,$E581)&gt;0,"O",""))</f>
        <v/>
      </c>
      <c r="K581" s="17" t="str">
        <f>IF($C581="","",IF(COUNTIFS('RAW_농산물_9월'!$D:$D,$C581,'RAW_농산물_9월'!$A:$A,$E581)&gt;0,"O",""))</f>
        <v/>
      </c>
      <c r="L581" s="17" t="str">
        <f>IF($C581="","",IF(COUNTIFS('RAW_농산물_10월'!$D:$D,$C581,'RAW_농산물_10월'!$A:$A,$E581)&gt;0,"O",""))</f>
        <v/>
      </c>
      <c r="M581" s="17" t="str">
        <f>IF($C581="","",IF(COUNTIFS('RAW_농산물_11-12월'!$D:$D,$C581,'RAW_농산물_11-12월'!$A:$A,$E581)&gt;0,"O",""))</f>
        <v/>
      </c>
      <c r="N581" s="7" t="str">
        <f>IF($C581="","",IF(COUNTA('RAW_농산물_7월'!$A:$A)&lt;=1,"",SUMIFS('RAW_농산물_7월'!$H:$H,'RAW_농산물_7월'!$D:$D,$C581,'RAW_농산물_7월'!$A:$A,$E581)))</f>
        <v/>
      </c>
      <c r="O581" s="7" t="str">
        <f>IF($C581="","",IF(COUNTA('RAW_농산물_8월'!$A:$A)&lt;=1,"",SUMIFS('RAW_농산물_8월'!$H:$H,'RAW_농산물_8월'!$D:$D,$C581,'RAW_농산물_8월'!$A:$A,$E581)-SUMIFS('RAW_농산물_7월'!$H:$H,'RAW_농산물_7월'!$D:$D,$C581,'RAW_농산물_7월'!$A:$A,$E581)))</f>
        <v/>
      </c>
      <c r="P581" s="7" t="str">
        <f>IF($C581="","",IF(COUNTA('RAW_농산물_9월'!$A:$A)&lt;=1,"",SUMIFS('RAW_농산물_9월'!$H:$H,'RAW_농산물_9월'!$D:$D,$C581,'RAW_농산물_9월'!$A:$A,$E581)-SUMIFS('RAW_농산물_8월'!$H:$H,'RAW_농산물_8월'!$D:$D,$C581,'RAW_농산물_8월'!$A:$A,$E581)))</f>
        <v/>
      </c>
      <c r="Q581" s="7" t="str">
        <f>IF($C581="","",IF(COUNTA('RAW_농산물_10월'!$A:$A)&lt;=1,"",SUMIFS('RAW_농산물_10월'!$H:$H,'RAW_농산물_10월'!$D:$D,$C581,'RAW_농산물_10월'!$A:$A,$E581)-SUMIFS('RAW_농산물_9월'!$H:$H,'RAW_농산물_9월'!$D:$D,$C581,'RAW_농산물_9월'!$A:$A,$E581)))</f>
        <v/>
      </c>
      <c r="R581" s="7" t="str">
        <f>IF($C581="","",IF(COUNTA('RAW_농산물_11-12월'!$A:$A)&lt;=1,"",SUMIFS('RAW_농산물_11-12월'!$H:$H,'RAW_농산물_11-12월'!$D:$D,$C581,'RAW_농산물_11-12월'!$A:$A,$E581)-SUMIFS('RAW_농산물_10월'!$H:$H,'RAW_농산물_10월'!$D:$D,$C581,'RAW_농산물_10월'!$A:$A,$E581)))</f>
        <v/>
      </c>
      <c r="S581" s="17" t="str">
        <f t="shared" si="4"/>
        <v/>
      </c>
      <c r="T581" s="17" t="str">
        <f t="shared" si="5"/>
        <v/>
      </c>
      <c r="U581" s="7">
        <f>IF($C581="",0,IF('설정'!$B$3=0,0,CHOOSE('설정'!$B$3,COUNTIFS('RAW_농산물_7월'!$D:$D,$C581,'RAW_농산물_7월'!$A:$A,$E581),COUNTIFS('RAW_농산물_8월'!$D:$D,$C581,'RAW_농산물_8월'!$A:$A,$E581),COUNTIFS('RAW_농산물_9월'!$D:$D,$C581,'RAW_농산물_9월'!$A:$A,$E581),COUNTIFS('RAW_농산물_10월'!$D:$D,$C581,'RAW_농산물_10월'!$A:$A,$E581),COUNTIFS('RAW_농산물_11-12월'!$D:$D,$C581,'RAW_농산물_11-12월'!$A:$A,$E581))))</f>
        <v>0</v>
      </c>
    </row>
    <row r="582" ht="15.75" customHeight="1">
      <c r="A582" s="5"/>
      <c r="B582" s="5"/>
      <c r="C582" s="5"/>
      <c r="D582" s="6"/>
      <c r="E582" s="5"/>
      <c r="F582" s="7" t="str">
        <f>IF($C582="","",IF('설정'!$B$3=0,"",CHOOSE('설정'!$B$3,SUMIFS('RAW_농산물_7월'!$F:$F,'RAW_농산물_7월'!$D:$D,$C582,'RAW_농산물_7월'!$A:$A,$E582),SUMIFS('RAW_농산물_8월'!$F:$F,'RAW_농산물_8월'!$D:$D,$C582,'RAW_농산물_8월'!$A:$A,$E582),SUMIFS('RAW_농산물_9월'!$F:$F,'RAW_농산물_9월'!$D:$D,$C582,'RAW_농산물_9월'!$A:$A,$E582),SUMIFS('RAW_농산물_10월'!$F:$F,'RAW_농산물_10월'!$D:$D,$C582,'RAW_농산물_10월'!$A:$A,$E582),SUMIFS('RAW_농산물_11-12월'!$F:$F,'RAW_농산물_11-12월'!$D:$D,$C582,'RAW_농산물_11-12월'!$A:$A,$E582))))</f>
        <v/>
      </c>
      <c r="G582" s="7" t="str">
        <f>IF($C582="","",IF('설정'!$B$3=0,"",CHOOSE('설정'!$B$3,SUMIFS('RAW_농산물_7월'!$G:$G,'RAW_농산물_7월'!$D:$D,$C582,'RAW_농산물_7월'!$A:$A,$E582),SUMIFS('RAW_농산물_8월'!$G:$G,'RAW_농산물_8월'!$D:$D,$C582,'RAW_농산물_8월'!$A:$A,$E582),SUMIFS('RAW_농산물_9월'!$G:$G,'RAW_농산물_9월'!$D:$D,$C582,'RAW_농산물_9월'!$A:$A,$E582),SUMIFS('RAW_농산물_10월'!$G:$G,'RAW_농산물_10월'!$D:$D,$C582,'RAW_농산물_10월'!$A:$A,$E582),SUMIFS('RAW_농산물_11-12월'!$G:$G,'RAW_농산물_11-12월'!$D:$D,$C582,'RAW_농산물_11-12월'!$A:$A,$E582))))</f>
        <v/>
      </c>
      <c r="H582" s="14" t="str">
        <f>IF($C582="","",IF('설정'!$B$3=0,"",CHOOSE('설정'!$B$3,SUMIFS('RAW_농산물_7월'!$H:$H,'RAW_농산물_7월'!$D:$D,$C582,'RAW_농산물_7월'!$A:$A,$E582),SUMIFS('RAW_농산물_8월'!$H:$H,'RAW_농산물_8월'!$D:$D,$C582,'RAW_농산물_8월'!$A:$A,$E582),SUMIFS('RAW_농산물_9월'!$H:$H,'RAW_농산물_9월'!$D:$D,$C582,'RAW_농산물_9월'!$A:$A,$E582),SUMIFS('RAW_농산물_10월'!$H:$H,'RAW_농산물_10월'!$D:$D,$C582,'RAW_농산물_10월'!$A:$A,$E582),SUMIFS('RAW_농산물_11-12월'!$H:$H,'RAW_농산물_11-12월'!$D:$D,$C582,'RAW_농산물_11-12월'!$A:$A,$E582))))</f>
        <v/>
      </c>
      <c r="I582" s="17" t="str">
        <f>IF($C582="","",IF(COUNTIFS('RAW_농산물_7월'!$D:$D,$C582,'RAW_농산물_7월'!$A:$A,$E582)&gt;0,"O",""))</f>
        <v/>
      </c>
      <c r="J582" s="17" t="str">
        <f>IF($C582="","",IF(COUNTIFS('RAW_농산물_8월'!$D:$D,$C582,'RAW_농산물_8월'!$A:$A,$E582)&gt;0,"O",""))</f>
        <v/>
      </c>
      <c r="K582" s="17" t="str">
        <f>IF($C582="","",IF(COUNTIFS('RAW_농산물_9월'!$D:$D,$C582,'RAW_농산물_9월'!$A:$A,$E582)&gt;0,"O",""))</f>
        <v/>
      </c>
      <c r="L582" s="17" t="str">
        <f>IF($C582="","",IF(COUNTIFS('RAW_농산물_10월'!$D:$D,$C582,'RAW_농산물_10월'!$A:$A,$E582)&gt;0,"O",""))</f>
        <v/>
      </c>
      <c r="M582" s="17" t="str">
        <f>IF($C582="","",IF(COUNTIFS('RAW_농산물_11-12월'!$D:$D,$C582,'RAW_농산물_11-12월'!$A:$A,$E582)&gt;0,"O",""))</f>
        <v/>
      </c>
      <c r="N582" s="7" t="str">
        <f>IF($C582="","",IF(COUNTA('RAW_농산물_7월'!$A:$A)&lt;=1,"",SUMIFS('RAW_농산물_7월'!$H:$H,'RAW_농산물_7월'!$D:$D,$C582,'RAW_농산물_7월'!$A:$A,$E582)))</f>
        <v/>
      </c>
      <c r="O582" s="7" t="str">
        <f>IF($C582="","",IF(COUNTA('RAW_농산물_8월'!$A:$A)&lt;=1,"",SUMIFS('RAW_농산물_8월'!$H:$H,'RAW_농산물_8월'!$D:$D,$C582,'RAW_농산물_8월'!$A:$A,$E582)-SUMIFS('RAW_농산물_7월'!$H:$H,'RAW_농산물_7월'!$D:$D,$C582,'RAW_농산물_7월'!$A:$A,$E582)))</f>
        <v/>
      </c>
      <c r="P582" s="7" t="str">
        <f>IF($C582="","",IF(COUNTA('RAW_농산물_9월'!$A:$A)&lt;=1,"",SUMIFS('RAW_농산물_9월'!$H:$H,'RAW_농산물_9월'!$D:$D,$C582,'RAW_농산물_9월'!$A:$A,$E582)-SUMIFS('RAW_농산물_8월'!$H:$H,'RAW_농산물_8월'!$D:$D,$C582,'RAW_농산물_8월'!$A:$A,$E582)))</f>
        <v/>
      </c>
      <c r="Q582" s="7" t="str">
        <f>IF($C582="","",IF(COUNTA('RAW_농산물_10월'!$A:$A)&lt;=1,"",SUMIFS('RAW_농산물_10월'!$H:$H,'RAW_농산물_10월'!$D:$D,$C582,'RAW_농산물_10월'!$A:$A,$E582)-SUMIFS('RAW_농산물_9월'!$H:$H,'RAW_농산물_9월'!$D:$D,$C582,'RAW_농산물_9월'!$A:$A,$E582)))</f>
        <v/>
      </c>
      <c r="R582" s="7" t="str">
        <f>IF($C582="","",IF(COUNTA('RAW_농산물_11-12월'!$A:$A)&lt;=1,"",SUMIFS('RAW_농산물_11-12월'!$H:$H,'RAW_농산물_11-12월'!$D:$D,$C582,'RAW_농산물_11-12월'!$A:$A,$E582)-SUMIFS('RAW_농산물_10월'!$H:$H,'RAW_농산물_10월'!$D:$D,$C582,'RAW_농산물_10월'!$A:$A,$E582)))</f>
        <v/>
      </c>
      <c r="S582" s="17" t="str">
        <f t="shared" si="4"/>
        <v/>
      </c>
      <c r="T582" s="17" t="str">
        <f t="shared" si="5"/>
        <v/>
      </c>
      <c r="U582" s="7">
        <f>IF($C582="",0,IF('설정'!$B$3=0,0,CHOOSE('설정'!$B$3,COUNTIFS('RAW_농산물_7월'!$D:$D,$C582,'RAW_농산물_7월'!$A:$A,$E582),COUNTIFS('RAW_농산물_8월'!$D:$D,$C582,'RAW_농산물_8월'!$A:$A,$E582),COUNTIFS('RAW_농산물_9월'!$D:$D,$C582,'RAW_농산물_9월'!$A:$A,$E582),COUNTIFS('RAW_농산물_10월'!$D:$D,$C582,'RAW_농산물_10월'!$A:$A,$E582),COUNTIFS('RAW_농산물_11-12월'!$D:$D,$C582,'RAW_농산물_11-12월'!$A:$A,$E582))))</f>
        <v>0</v>
      </c>
    </row>
    <row r="583" ht="15.75" customHeight="1">
      <c r="A583" s="5"/>
      <c r="B583" s="5"/>
      <c r="C583" s="5"/>
      <c r="D583" s="6"/>
      <c r="E583" s="5"/>
      <c r="F583" s="7" t="str">
        <f>IF($C583="","",IF('설정'!$B$3=0,"",CHOOSE('설정'!$B$3,SUMIFS('RAW_농산물_7월'!$F:$F,'RAW_농산물_7월'!$D:$D,$C583,'RAW_농산물_7월'!$A:$A,$E583),SUMIFS('RAW_농산물_8월'!$F:$F,'RAW_농산물_8월'!$D:$D,$C583,'RAW_농산물_8월'!$A:$A,$E583),SUMIFS('RAW_농산물_9월'!$F:$F,'RAW_농산물_9월'!$D:$D,$C583,'RAW_농산물_9월'!$A:$A,$E583),SUMIFS('RAW_농산물_10월'!$F:$F,'RAW_농산물_10월'!$D:$D,$C583,'RAW_농산물_10월'!$A:$A,$E583),SUMIFS('RAW_농산물_11-12월'!$F:$F,'RAW_농산물_11-12월'!$D:$D,$C583,'RAW_농산물_11-12월'!$A:$A,$E583))))</f>
        <v/>
      </c>
      <c r="G583" s="7" t="str">
        <f>IF($C583="","",IF('설정'!$B$3=0,"",CHOOSE('설정'!$B$3,SUMIFS('RAW_농산물_7월'!$G:$G,'RAW_농산물_7월'!$D:$D,$C583,'RAW_농산물_7월'!$A:$A,$E583),SUMIFS('RAW_농산물_8월'!$G:$G,'RAW_농산물_8월'!$D:$D,$C583,'RAW_농산물_8월'!$A:$A,$E583),SUMIFS('RAW_농산물_9월'!$G:$G,'RAW_농산물_9월'!$D:$D,$C583,'RAW_농산물_9월'!$A:$A,$E583),SUMIFS('RAW_농산물_10월'!$G:$G,'RAW_농산물_10월'!$D:$D,$C583,'RAW_농산물_10월'!$A:$A,$E583),SUMIFS('RAW_농산물_11-12월'!$G:$G,'RAW_농산물_11-12월'!$D:$D,$C583,'RAW_농산물_11-12월'!$A:$A,$E583))))</f>
        <v/>
      </c>
      <c r="H583" s="14" t="str">
        <f>IF($C583="","",IF('설정'!$B$3=0,"",CHOOSE('설정'!$B$3,SUMIFS('RAW_농산물_7월'!$H:$H,'RAW_농산물_7월'!$D:$D,$C583,'RAW_농산물_7월'!$A:$A,$E583),SUMIFS('RAW_농산물_8월'!$H:$H,'RAW_농산물_8월'!$D:$D,$C583,'RAW_농산물_8월'!$A:$A,$E583),SUMIFS('RAW_농산물_9월'!$H:$H,'RAW_농산물_9월'!$D:$D,$C583,'RAW_농산물_9월'!$A:$A,$E583),SUMIFS('RAW_농산물_10월'!$H:$H,'RAW_농산물_10월'!$D:$D,$C583,'RAW_농산물_10월'!$A:$A,$E583),SUMIFS('RAW_농산물_11-12월'!$H:$H,'RAW_농산물_11-12월'!$D:$D,$C583,'RAW_농산물_11-12월'!$A:$A,$E583))))</f>
        <v/>
      </c>
      <c r="I583" s="17" t="str">
        <f>IF($C583="","",IF(COUNTIFS('RAW_농산물_7월'!$D:$D,$C583,'RAW_농산물_7월'!$A:$A,$E583)&gt;0,"O",""))</f>
        <v/>
      </c>
      <c r="J583" s="17" t="str">
        <f>IF($C583="","",IF(COUNTIFS('RAW_농산물_8월'!$D:$D,$C583,'RAW_농산물_8월'!$A:$A,$E583)&gt;0,"O",""))</f>
        <v/>
      </c>
      <c r="K583" s="17" t="str">
        <f>IF($C583="","",IF(COUNTIFS('RAW_농산물_9월'!$D:$D,$C583,'RAW_농산물_9월'!$A:$A,$E583)&gt;0,"O",""))</f>
        <v/>
      </c>
      <c r="L583" s="17" t="str">
        <f>IF($C583="","",IF(COUNTIFS('RAW_농산물_10월'!$D:$D,$C583,'RAW_농산물_10월'!$A:$A,$E583)&gt;0,"O",""))</f>
        <v/>
      </c>
      <c r="M583" s="17" t="str">
        <f>IF($C583="","",IF(COUNTIFS('RAW_농산물_11-12월'!$D:$D,$C583,'RAW_농산물_11-12월'!$A:$A,$E583)&gt;0,"O",""))</f>
        <v/>
      </c>
      <c r="N583" s="7" t="str">
        <f>IF($C583="","",IF(COUNTA('RAW_농산물_7월'!$A:$A)&lt;=1,"",SUMIFS('RAW_농산물_7월'!$H:$H,'RAW_농산물_7월'!$D:$D,$C583,'RAW_농산물_7월'!$A:$A,$E583)))</f>
        <v/>
      </c>
      <c r="O583" s="7" t="str">
        <f>IF($C583="","",IF(COUNTA('RAW_농산물_8월'!$A:$A)&lt;=1,"",SUMIFS('RAW_농산물_8월'!$H:$H,'RAW_농산물_8월'!$D:$D,$C583,'RAW_농산물_8월'!$A:$A,$E583)-SUMIFS('RAW_농산물_7월'!$H:$H,'RAW_농산물_7월'!$D:$D,$C583,'RAW_농산물_7월'!$A:$A,$E583)))</f>
        <v/>
      </c>
      <c r="P583" s="7" t="str">
        <f>IF($C583="","",IF(COUNTA('RAW_농산물_9월'!$A:$A)&lt;=1,"",SUMIFS('RAW_농산물_9월'!$H:$H,'RAW_농산물_9월'!$D:$D,$C583,'RAW_농산물_9월'!$A:$A,$E583)-SUMIFS('RAW_농산물_8월'!$H:$H,'RAW_농산물_8월'!$D:$D,$C583,'RAW_농산물_8월'!$A:$A,$E583)))</f>
        <v/>
      </c>
      <c r="Q583" s="7" t="str">
        <f>IF($C583="","",IF(COUNTA('RAW_농산물_10월'!$A:$A)&lt;=1,"",SUMIFS('RAW_농산물_10월'!$H:$H,'RAW_농산물_10월'!$D:$D,$C583,'RAW_농산물_10월'!$A:$A,$E583)-SUMIFS('RAW_농산물_9월'!$H:$H,'RAW_농산물_9월'!$D:$D,$C583,'RAW_농산물_9월'!$A:$A,$E583)))</f>
        <v/>
      </c>
      <c r="R583" s="7" t="str">
        <f>IF($C583="","",IF(COUNTA('RAW_농산물_11-12월'!$A:$A)&lt;=1,"",SUMIFS('RAW_농산물_11-12월'!$H:$H,'RAW_농산물_11-12월'!$D:$D,$C583,'RAW_농산물_11-12월'!$A:$A,$E583)-SUMIFS('RAW_농산물_10월'!$H:$H,'RAW_농산물_10월'!$D:$D,$C583,'RAW_농산물_10월'!$A:$A,$E583)))</f>
        <v/>
      </c>
      <c r="S583" s="17" t="str">
        <f t="shared" si="4"/>
        <v/>
      </c>
      <c r="T583" s="17" t="str">
        <f t="shared" si="5"/>
        <v/>
      </c>
      <c r="U583" s="7">
        <f>IF($C583="",0,IF('설정'!$B$3=0,0,CHOOSE('설정'!$B$3,COUNTIFS('RAW_농산물_7월'!$D:$D,$C583,'RAW_농산물_7월'!$A:$A,$E583),COUNTIFS('RAW_농산물_8월'!$D:$D,$C583,'RAW_농산물_8월'!$A:$A,$E583),COUNTIFS('RAW_농산물_9월'!$D:$D,$C583,'RAW_농산물_9월'!$A:$A,$E583),COUNTIFS('RAW_농산물_10월'!$D:$D,$C583,'RAW_농산물_10월'!$A:$A,$E583),COUNTIFS('RAW_농산물_11-12월'!$D:$D,$C583,'RAW_농산물_11-12월'!$A:$A,$E583))))</f>
        <v>0</v>
      </c>
    </row>
    <row r="584" ht="15.75" customHeight="1">
      <c r="A584" s="5"/>
      <c r="B584" s="5"/>
      <c r="C584" s="5"/>
      <c r="D584" s="6"/>
      <c r="E584" s="5"/>
      <c r="F584" s="7" t="str">
        <f>IF($C584="","",IF('설정'!$B$3=0,"",CHOOSE('설정'!$B$3,SUMIFS('RAW_농산물_7월'!$F:$F,'RAW_농산물_7월'!$D:$D,$C584,'RAW_농산물_7월'!$A:$A,$E584),SUMIFS('RAW_농산물_8월'!$F:$F,'RAW_농산물_8월'!$D:$D,$C584,'RAW_농산물_8월'!$A:$A,$E584),SUMIFS('RAW_농산물_9월'!$F:$F,'RAW_농산물_9월'!$D:$D,$C584,'RAW_농산물_9월'!$A:$A,$E584),SUMIFS('RAW_농산물_10월'!$F:$F,'RAW_농산물_10월'!$D:$D,$C584,'RAW_농산물_10월'!$A:$A,$E584),SUMIFS('RAW_농산물_11-12월'!$F:$F,'RAW_농산물_11-12월'!$D:$D,$C584,'RAW_농산물_11-12월'!$A:$A,$E584))))</f>
        <v/>
      </c>
      <c r="G584" s="7" t="str">
        <f>IF($C584="","",IF('설정'!$B$3=0,"",CHOOSE('설정'!$B$3,SUMIFS('RAW_농산물_7월'!$G:$G,'RAW_농산물_7월'!$D:$D,$C584,'RAW_농산물_7월'!$A:$A,$E584),SUMIFS('RAW_농산물_8월'!$G:$G,'RAW_농산물_8월'!$D:$D,$C584,'RAW_농산물_8월'!$A:$A,$E584),SUMIFS('RAW_농산물_9월'!$G:$G,'RAW_농산물_9월'!$D:$D,$C584,'RAW_농산물_9월'!$A:$A,$E584),SUMIFS('RAW_농산물_10월'!$G:$G,'RAW_농산물_10월'!$D:$D,$C584,'RAW_농산물_10월'!$A:$A,$E584),SUMIFS('RAW_농산물_11-12월'!$G:$G,'RAW_농산물_11-12월'!$D:$D,$C584,'RAW_농산물_11-12월'!$A:$A,$E584))))</f>
        <v/>
      </c>
      <c r="H584" s="14" t="str">
        <f>IF($C584="","",IF('설정'!$B$3=0,"",CHOOSE('설정'!$B$3,SUMIFS('RAW_농산물_7월'!$H:$H,'RAW_농산물_7월'!$D:$D,$C584,'RAW_농산물_7월'!$A:$A,$E584),SUMIFS('RAW_농산물_8월'!$H:$H,'RAW_농산물_8월'!$D:$D,$C584,'RAW_농산물_8월'!$A:$A,$E584),SUMIFS('RAW_농산물_9월'!$H:$H,'RAW_농산물_9월'!$D:$D,$C584,'RAW_농산물_9월'!$A:$A,$E584),SUMIFS('RAW_농산물_10월'!$H:$H,'RAW_농산물_10월'!$D:$D,$C584,'RAW_농산물_10월'!$A:$A,$E584),SUMIFS('RAW_농산물_11-12월'!$H:$H,'RAW_농산물_11-12월'!$D:$D,$C584,'RAW_농산물_11-12월'!$A:$A,$E584))))</f>
        <v/>
      </c>
      <c r="I584" s="17" t="str">
        <f>IF($C584="","",IF(COUNTIFS('RAW_농산물_7월'!$D:$D,$C584,'RAW_농산물_7월'!$A:$A,$E584)&gt;0,"O",""))</f>
        <v/>
      </c>
      <c r="J584" s="17" t="str">
        <f>IF($C584="","",IF(COUNTIFS('RAW_농산물_8월'!$D:$D,$C584,'RAW_농산물_8월'!$A:$A,$E584)&gt;0,"O",""))</f>
        <v/>
      </c>
      <c r="K584" s="17" t="str">
        <f>IF($C584="","",IF(COUNTIFS('RAW_농산물_9월'!$D:$D,$C584,'RAW_농산물_9월'!$A:$A,$E584)&gt;0,"O",""))</f>
        <v/>
      </c>
      <c r="L584" s="17" t="str">
        <f>IF($C584="","",IF(COUNTIFS('RAW_농산물_10월'!$D:$D,$C584,'RAW_농산물_10월'!$A:$A,$E584)&gt;0,"O",""))</f>
        <v/>
      </c>
      <c r="M584" s="17" t="str">
        <f>IF($C584="","",IF(COUNTIFS('RAW_농산물_11-12월'!$D:$D,$C584,'RAW_농산물_11-12월'!$A:$A,$E584)&gt;0,"O",""))</f>
        <v/>
      </c>
      <c r="N584" s="7" t="str">
        <f>IF($C584="","",IF(COUNTA('RAW_농산물_7월'!$A:$A)&lt;=1,"",SUMIFS('RAW_농산물_7월'!$H:$H,'RAW_농산물_7월'!$D:$D,$C584,'RAW_농산물_7월'!$A:$A,$E584)))</f>
        <v/>
      </c>
      <c r="O584" s="7" t="str">
        <f>IF($C584="","",IF(COUNTA('RAW_농산물_8월'!$A:$A)&lt;=1,"",SUMIFS('RAW_농산물_8월'!$H:$H,'RAW_농산물_8월'!$D:$D,$C584,'RAW_농산물_8월'!$A:$A,$E584)-SUMIFS('RAW_농산물_7월'!$H:$H,'RAW_농산물_7월'!$D:$D,$C584,'RAW_농산물_7월'!$A:$A,$E584)))</f>
        <v/>
      </c>
      <c r="P584" s="7" t="str">
        <f>IF($C584="","",IF(COUNTA('RAW_농산물_9월'!$A:$A)&lt;=1,"",SUMIFS('RAW_농산물_9월'!$H:$H,'RAW_농산물_9월'!$D:$D,$C584,'RAW_농산물_9월'!$A:$A,$E584)-SUMIFS('RAW_농산물_8월'!$H:$H,'RAW_농산물_8월'!$D:$D,$C584,'RAW_농산물_8월'!$A:$A,$E584)))</f>
        <v/>
      </c>
      <c r="Q584" s="7" t="str">
        <f>IF($C584="","",IF(COUNTA('RAW_농산물_10월'!$A:$A)&lt;=1,"",SUMIFS('RAW_농산물_10월'!$H:$H,'RAW_농산물_10월'!$D:$D,$C584,'RAW_농산물_10월'!$A:$A,$E584)-SUMIFS('RAW_농산물_9월'!$H:$H,'RAW_농산물_9월'!$D:$D,$C584,'RAW_농산물_9월'!$A:$A,$E584)))</f>
        <v/>
      </c>
      <c r="R584" s="7" t="str">
        <f>IF($C584="","",IF(COUNTA('RAW_농산물_11-12월'!$A:$A)&lt;=1,"",SUMIFS('RAW_농산물_11-12월'!$H:$H,'RAW_농산물_11-12월'!$D:$D,$C584,'RAW_농산물_11-12월'!$A:$A,$E584)-SUMIFS('RAW_농산물_10월'!$H:$H,'RAW_농산물_10월'!$D:$D,$C584,'RAW_농산물_10월'!$A:$A,$E584)))</f>
        <v/>
      </c>
      <c r="S584" s="17" t="str">
        <f t="shared" si="4"/>
        <v/>
      </c>
      <c r="T584" s="17" t="str">
        <f t="shared" si="5"/>
        <v/>
      </c>
      <c r="U584" s="7">
        <f>IF($C584="",0,IF('설정'!$B$3=0,0,CHOOSE('설정'!$B$3,COUNTIFS('RAW_농산물_7월'!$D:$D,$C584,'RAW_농산물_7월'!$A:$A,$E584),COUNTIFS('RAW_농산물_8월'!$D:$D,$C584,'RAW_농산물_8월'!$A:$A,$E584),COUNTIFS('RAW_농산물_9월'!$D:$D,$C584,'RAW_농산물_9월'!$A:$A,$E584),COUNTIFS('RAW_농산물_10월'!$D:$D,$C584,'RAW_농산물_10월'!$A:$A,$E584),COUNTIFS('RAW_농산물_11-12월'!$D:$D,$C584,'RAW_농산물_11-12월'!$A:$A,$E584))))</f>
        <v>0</v>
      </c>
    </row>
    <row r="585" ht="15.75" customHeight="1">
      <c r="A585" s="5"/>
      <c r="B585" s="5"/>
      <c r="C585" s="5"/>
      <c r="D585" s="6"/>
      <c r="E585" s="5"/>
      <c r="F585" s="7" t="str">
        <f>IF($C585="","",IF('설정'!$B$3=0,"",CHOOSE('설정'!$B$3,SUMIFS('RAW_농산물_7월'!$F:$F,'RAW_농산물_7월'!$D:$D,$C585,'RAW_농산물_7월'!$A:$A,$E585),SUMIFS('RAW_농산물_8월'!$F:$F,'RAW_농산물_8월'!$D:$D,$C585,'RAW_농산물_8월'!$A:$A,$E585),SUMIFS('RAW_농산물_9월'!$F:$F,'RAW_농산물_9월'!$D:$D,$C585,'RAW_농산물_9월'!$A:$A,$E585),SUMIFS('RAW_농산물_10월'!$F:$F,'RAW_농산물_10월'!$D:$D,$C585,'RAW_농산물_10월'!$A:$A,$E585),SUMIFS('RAW_농산물_11-12월'!$F:$F,'RAW_농산물_11-12월'!$D:$D,$C585,'RAW_농산물_11-12월'!$A:$A,$E585))))</f>
        <v/>
      </c>
      <c r="G585" s="7" t="str">
        <f>IF($C585="","",IF('설정'!$B$3=0,"",CHOOSE('설정'!$B$3,SUMIFS('RAW_농산물_7월'!$G:$G,'RAW_농산물_7월'!$D:$D,$C585,'RAW_농산물_7월'!$A:$A,$E585),SUMIFS('RAW_농산물_8월'!$G:$G,'RAW_농산물_8월'!$D:$D,$C585,'RAW_농산물_8월'!$A:$A,$E585),SUMIFS('RAW_농산물_9월'!$G:$G,'RAW_농산물_9월'!$D:$D,$C585,'RAW_농산물_9월'!$A:$A,$E585),SUMIFS('RAW_농산물_10월'!$G:$G,'RAW_농산물_10월'!$D:$D,$C585,'RAW_농산물_10월'!$A:$A,$E585),SUMIFS('RAW_농산물_11-12월'!$G:$G,'RAW_농산물_11-12월'!$D:$D,$C585,'RAW_농산물_11-12월'!$A:$A,$E585))))</f>
        <v/>
      </c>
      <c r="H585" s="14" t="str">
        <f>IF($C585="","",IF('설정'!$B$3=0,"",CHOOSE('설정'!$B$3,SUMIFS('RAW_농산물_7월'!$H:$H,'RAW_농산물_7월'!$D:$D,$C585,'RAW_농산물_7월'!$A:$A,$E585),SUMIFS('RAW_농산물_8월'!$H:$H,'RAW_농산물_8월'!$D:$D,$C585,'RAW_농산물_8월'!$A:$A,$E585),SUMIFS('RAW_농산물_9월'!$H:$H,'RAW_농산물_9월'!$D:$D,$C585,'RAW_농산물_9월'!$A:$A,$E585),SUMIFS('RAW_농산물_10월'!$H:$H,'RAW_농산물_10월'!$D:$D,$C585,'RAW_농산물_10월'!$A:$A,$E585),SUMIFS('RAW_농산물_11-12월'!$H:$H,'RAW_농산물_11-12월'!$D:$D,$C585,'RAW_농산물_11-12월'!$A:$A,$E585))))</f>
        <v/>
      </c>
      <c r="I585" s="17" t="str">
        <f>IF($C585="","",IF(COUNTIFS('RAW_농산물_7월'!$D:$D,$C585,'RAW_농산물_7월'!$A:$A,$E585)&gt;0,"O",""))</f>
        <v/>
      </c>
      <c r="J585" s="17" t="str">
        <f>IF($C585="","",IF(COUNTIFS('RAW_농산물_8월'!$D:$D,$C585,'RAW_농산물_8월'!$A:$A,$E585)&gt;0,"O",""))</f>
        <v/>
      </c>
      <c r="K585" s="17" t="str">
        <f>IF($C585="","",IF(COUNTIFS('RAW_농산물_9월'!$D:$D,$C585,'RAW_농산물_9월'!$A:$A,$E585)&gt;0,"O",""))</f>
        <v/>
      </c>
      <c r="L585" s="17" t="str">
        <f>IF($C585="","",IF(COUNTIFS('RAW_농산물_10월'!$D:$D,$C585,'RAW_농산물_10월'!$A:$A,$E585)&gt;0,"O",""))</f>
        <v/>
      </c>
      <c r="M585" s="17" t="str">
        <f>IF($C585="","",IF(COUNTIFS('RAW_농산물_11-12월'!$D:$D,$C585,'RAW_농산물_11-12월'!$A:$A,$E585)&gt;0,"O",""))</f>
        <v/>
      </c>
      <c r="N585" s="7" t="str">
        <f>IF($C585="","",IF(COUNTA('RAW_농산물_7월'!$A:$A)&lt;=1,"",SUMIFS('RAW_농산물_7월'!$H:$H,'RAW_농산물_7월'!$D:$D,$C585,'RAW_농산물_7월'!$A:$A,$E585)))</f>
        <v/>
      </c>
      <c r="O585" s="7" t="str">
        <f>IF($C585="","",IF(COUNTA('RAW_농산물_8월'!$A:$A)&lt;=1,"",SUMIFS('RAW_농산물_8월'!$H:$H,'RAW_농산물_8월'!$D:$D,$C585,'RAW_농산물_8월'!$A:$A,$E585)-SUMIFS('RAW_농산물_7월'!$H:$H,'RAW_농산물_7월'!$D:$D,$C585,'RAW_농산물_7월'!$A:$A,$E585)))</f>
        <v/>
      </c>
      <c r="P585" s="7" t="str">
        <f>IF($C585="","",IF(COUNTA('RAW_농산물_9월'!$A:$A)&lt;=1,"",SUMIFS('RAW_농산물_9월'!$H:$H,'RAW_농산물_9월'!$D:$D,$C585,'RAW_농산물_9월'!$A:$A,$E585)-SUMIFS('RAW_농산물_8월'!$H:$H,'RAW_농산물_8월'!$D:$D,$C585,'RAW_농산물_8월'!$A:$A,$E585)))</f>
        <v/>
      </c>
      <c r="Q585" s="7" t="str">
        <f>IF($C585="","",IF(COUNTA('RAW_농산물_10월'!$A:$A)&lt;=1,"",SUMIFS('RAW_농산물_10월'!$H:$H,'RAW_농산물_10월'!$D:$D,$C585,'RAW_농산물_10월'!$A:$A,$E585)-SUMIFS('RAW_농산물_9월'!$H:$H,'RAW_농산물_9월'!$D:$D,$C585,'RAW_농산물_9월'!$A:$A,$E585)))</f>
        <v/>
      </c>
      <c r="R585" s="7" t="str">
        <f>IF($C585="","",IF(COUNTA('RAW_농산물_11-12월'!$A:$A)&lt;=1,"",SUMIFS('RAW_농산물_11-12월'!$H:$H,'RAW_농산물_11-12월'!$D:$D,$C585,'RAW_농산물_11-12월'!$A:$A,$E585)-SUMIFS('RAW_농산물_10월'!$H:$H,'RAW_농산물_10월'!$D:$D,$C585,'RAW_농산물_10월'!$A:$A,$E585)))</f>
        <v/>
      </c>
      <c r="S585" s="17" t="str">
        <f t="shared" si="4"/>
        <v/>
      </c>
      <c r="T585" s="17" t="str">
        <f t="shared" si="5"/>
        <v/>
      </c>
      <c r="U585" s="7">
        <f>IF($C585="",0,IF('설정'!$B$3=0,0,CHOOSE('설정'!$B$3,COUNTIFS('RAW_농산물_7월'!$D:$D,$C585,'RAW_농산물_7월'!$A:$A,$E585),COUNTIFS('RAW_농산물_8월'!$D:$D,$C585,'RAW_농산물_8월'!$A:$A,$E585),COUNTIFS('RAW_농산물_9월'!$D:$D,$C585,'RAW_농산물_9월'!$A:$A,$E585),COUNTIFS('RAW_농산물_10월'!$D:$D,$C585,'RAW_농산물_10월'!$A:$A,$E585),COUNTIFS('RAW_농산물_11-12월'!$D:$D,$C585,'RAW_농산물_11-12월'!$A:$A,$E585))))</f>
        <v>0</v>
      </c>
    </row>
    <row r="586" ht="15.75" customHeight="1">
      <c r="A586" s="5"/>
      <c r="B586" s="5"/>
      <c r="C586" s="5"/>
      <c r="D586" s="6"/>
      <c r="E586" s="5"/>
      <c r="F586" s="7" t="str">
        <f>IF($C586="","",IF('설정'!$B$3=0,"",CHOOSE('설정'!$B$3,SUMIFS('RAW_농산물_7월'!$F:$F,'RAW_농산물_7월'!$D:$D,$C586,'RAW_농산물_7월'!$A:$A,$E586),SUMIFS('RAW_농산물_8월'!$F:$F,'RAW_농산물_8월'!$D:$D,$C586,'RAW_농산물_8월'!$A:$A,$E586),SUMIFS('RAW_농산물_9월'!$F:$F,'RAW_농산물_9월'!$D:$D,$C586,'RAW_농산물_9월'!$A:$A,$E586),SUMIFS('RAW_농산물_10월'!$F:$F,'RAW_농산물_10월'!$D:$D,$C586,'RAW_농산물_10월'!$A:$A,$E586),SUMIFS('RAW_농산물_11-12월'!$F:$F,'RAW_농산물_11-12월'!$D:$D,$C586,'RAW_농산물_11-12월'!$A:$A,$E586))))</f>
        <v/>
      </c>
      <c r="G586" s="7" t="str">
        <f>IF($C586="","",IF('설정'!$B$3=0,"",CHOOSE('설정'!$B$3,SUMIFS('RAW_농산물_7월'!$G:$G,'RAW_농산물_7월'!$D:$D,$C586,'RAW_농산물_7월'!$A:$A,$E586),SUMIFS('RAW_농산물_8월'!$G:$G,'RAW_농산물_8월'!$D:$D,$C586,'RAW_농산물_8월'!$A:$A,$E586),SUMIFS('RAW_농산물_9월'!$G:$G,'RAW_농산물_9월'!$D:$D,$C586,'RAW_농산물_9월'!$A:$A,$E586),SUMIFS('RAW_농산물_10월'!$G:$G,'RAW_농산물_10월'!$D:$D,$C586,'RAW_농산물_10월'!$A:$A,$E586),SUMIFS('RAW_농산물_11-12월'!$G:$G,'RAW_농산물_11-12월'!$D:$D,$C586,'RAW_농산물_11-12월'!$A:$A,$E586))))</f>
        <v/>
      </c>
      <c r="H586" s="14" t="str">
        <f>IF($C586="","",IF('설정'!$B$3=0,"",CHOOSE('설정'!$B$3,SUMIFS('RAW_농산물_7월'!$H:$H,'RAW_농산물_7월'!$D:$D,$C586,'RAW_농산물_7월'!$A:$A,$E586),SUMIFS('RAW_농산물_8월'!$H:$H,'RAW_농산물_8월'!$D:$D,$C586,'RAW_농산물_8월'!$A:$A,$E586),SUMIFS('RAW_농산물_9월'!$H:$H,'RAW_농산물_9월'!$D:$D,$C586,'RAW_농산물_9월'!$A:$A,$E586),SUMIFS('RAW_농산물_10월'!$H:$H,'RAW_농산물_10월'!$D:$D,$C586,'RAW_농산물_10월'!$A:$A,$E586),SUMIFS('RAW_농산물_11-12월'!$H:$H,'RAW_농산물_11-12월'!$D:$D,$C586,'RAW_농산물_11-12월'!$A:$A,$E586))))</f>
        <v/>
      </c>
      <c r="I586" s="17" t="str">
        <f>IF($C586="","",IF(COUNTIFS('RAW_농산물_7월'!$D:$D,$C586,'RAW_농산물_7월'!$A:$A,$E586)&gt;0,"O",""))</f>
        <v/>
      </c>
      <c r="J586" s="17" t="str">
        <f>IF($C586="","",IF(COUNTIFS('RAW_농산물_8월'!$D:$D,$C586,'RAW_농산물_8월'!$A:$A,$E586)&gt;0,"O",""))</f>
        <v/>
      </c>
      <c r="K586" s="17" t="str">
        <f>IF($C586="","",IF(COUNTIFS('RAW_농산물_9월'!$D:$D,$C586,'RAW_농산물_9월'!$A:$A,$E586)&gt;0,"O",""))</f>
        <v/>
      </c>
      <c r="L586" s="17" t="str">
        <f>IF($C586="","",IF(COUNTIFS('RAW_농산물_10월'!$D:$D,$C586,'RAW_농산물_10월'!$A:$A,$E586)&gt;0,"O",""))</f>
        <v/>
      </c>
      <c r="M586" s="17" t="str">
        <f>IF($C586="","",IF(COUNTIFS('RAW_농산물_11-12월'!$D:$D,$C586,'RAW_농산물_11-12월'!$A:$A,$E586)&gt;0,"O",""))</f>
        <v/>
      </c>
      <c r="N586" s="7" t="str">
        <f>IF($C586="","",IF(COUNTA('RAW_농산물_7월'!$A:$A)&lt;=1,"",SUMIFS('RAW_농산물_7월'!$H:$H,'RAW_농산물_7월'!$D:$D,$C586,'RAW_농산물_7월'!$A:$A,$E586)))</f>
        <v/>
      </c>
      <c r="O586" s="7" t="str">
        <f>IF($C586="","",IF(COUNTA('RAW_농산물_8월'!$A:$A)&lt;=1,"",SUMIFS('RAW_농산물_8월'!$H:$H,'RAW_농산물_8월'!$D:$D,$C586,'RAW_농산물_8월'!$A:$A,$E586)-SUMIFS('RAW_농산물_7월'!$H:$H,'RAW_농산물_7월'!$D:$D,$C586,'RAW_농산물_7월'!$A:$A,$E586)))</f>
        <v/>
      </c>
      <c r="P586" s="7" t="str">
        <f>IF($C586="","",IF(COUNTA('RAW_농산물_9월'!$A:$A)&lt;=1,"",SUMIFS('RAW_농산물_9월'!$H:$H,'RAW_농산물_9월'!$D:$D,$C586,'RAW_농산물_9월'!$A:$A,$E586)-SUMIFS('RAW_농산물_8월'!$H:$H,'RAW_농산물_8월'!$D:$D,$C586,'RAW_농산물_8월'!$A:$A,$E586)))</f>
        <v/>
      </c>
      <c r="Q586" s="7" t="str">
        <f>IF($C586="","",IF(COUNTA('RAW_농산물_10월'!$A:$A)&lt;=1,"",SUMIFS('RAW_농산물_10월'!$H:$H,'RAW_농산물_10월'!$D:$D,$C586,'RAW_농산물_10월'!$A:$A,$E586)-SUMIFS('RAW_농산물_9월'!$H:$H,'RAW_농산물_9월'!$D:$D,$C586,'RAW_농산물_9월'!$A:$A,$E586)))</f>
        <v/>
      </c>
      <c r="R586" s="7" t="str">
        <f>IF($C586="","",IF(COUNTA('RAW_농산물_11-12월'!$A:$A)&lt;=1,"",SUMIFS('RAW_농산물_11-12월'!$H:$H,'RAW_농산물_11-12월'!$D:$D,$C586,'RAW_농산물_11-12월'!$A:$A,$E586)-SUMIFS('RAW_농산물_10월'!$H:$H,'RAW_농산물_10월'!$D:$D,$C586,'RAW_농산물_10월'!$A:$A,$E586)))</f>
        <v/>
      </c>
      <c r="S586" s="17" t="str">
        <f t="shared" si="4"/>
        <v/>
      </c>
      <c r="T586" s="17" t="str">
        <f t="shared" si="5"/>
        <v/>
      </c>
      <c r="U586" s="7">
        <f>IF($C586="",0,IF('설정'!$B$3=0,0,CHOOSE('설정'!$B$3,COUNTIFS('RAW_농산물_7월'!$D:$D,$C586,'RAW_농산물_7월'!$A:$A,$E586),COUNTIFS('RAW_농산물_8월'!$D:$D,$C586,'RAW_농산물_8월'!$A:$A,$E586),COUNTIFS('RAW_농산물_9월'!$D:$D,$C586,'RAW_농산물_9월'!$A:$A,$E586),COUNTIFS('RAW_농산물_10월'!$D:$D,$C586,'RAW_농산물_10월'!$A:$A,$E586),COUNTIFS('RAW_농산물_11-12월'!$D:$D,$C586,'RAW_농산물_11-12월'!$A:$A,$E586))))</f>
        <v>0</v>
      </c>
    </row>
    <row r="587" ht="15.75" customHeight="1">
      <c r="A587" s="5"/>
      <c r="B587" s="5"/>
      <c r="C587" s="5"/>
      <c r="D587" s="6"/>
      <c r="E587" s="5"/>
      <c r="F587" s="7" t="str">
        <f>IF($C587="","",IF('설정'!$B$3=0,"",CHOOSE('설정'!$B$3,SUMIFS('RAW_농산물_7월'!$F:$F,'RAW_농산물_7월'!$D:$D,$C587,'RAW_농산물_7월'!$A:$A,$E587),SUMIFS('RAW_농산물_8월'!$F:$F,'RAW_농산물_8월'!$D:$D,$C587,'RAW_농산물_8월'!$A:$A,$E587),SUMIFS('RAW_농산물_9월'!$F:$F,'RAW_농산물_9월'!$D:$D,$C587,'RAW_농산물_9월'!$A:$A,$E587),SUMIFS('RAW_농산물_10월'!$F:$F,'RAW_농산물_10월'!$D:$D,$C587,'RAW_농산물_10월'!$A:$A,$E587),SUMIFS('RAW_농산물_11-12월'!$F:$F,'RAW_농산물_11-12월'!$D:$D,$C587,'RAW_농산물_11-12월'!$A:$A,$E587))))</f>
        <v/>
      </c>
      <c r="G587" s="7" t="str">
        <f>IF($C587="","",IF('설정'!$B$3=0,"",CHOOSE('설정'!$B$3,SUMIFS('RAW_농산물_7월'!$G:$G,'RAW_농산물_7월'!$D:$D,$C587,'RAW_농산물_7월'!$A:$A,$E587),SUMIFS('RAW_농산물_8월'!$G:$G,'RAW_농산물_8월'!$D:$D,$C587,'RAW_농산물_8월'!$A:$A,$E587),SUMIFS('RAW_농산물_9월'!$G:$G,'RAW_농산물_9월'!$D:$D,$C587,'RAW_농산물_9월'!$A:$A,$E587),SUMIFS('RAW_농산물_10월'!$G:$G,'RAW_농산물_10월'!$D:$D,$C587,'RAW_농산물_10월'!$A:$A,$E587),SUMIFS('RAW_농산물_11-12월'!$G:$G,'RAW_농산물_11-12월'!$D:$D,$C587,'RAW_농산물_11-12월'!$A:$A,$E587))))</f>
        <v/>
      </c>
      <c r="H587" s="14" t="str">
        <f>IF($C587="","",IF('설정'!$B$3=0,"",CHOOSE('설정'!$B$3,SUMIFS('RAW_농산물_7월'!$H:$H,'RAW_농산물_7월'!$D:$D,$C587,'RAW_농산물_7월'!$A:$A,$E587),SUMIFS('RAW_농산물_8월'!$H:$H,'RAW_농산물_8월'!$D:$D,$C587,'RAW_농산물_8월'!$A:$A,$E587),SUMIFS('RAW_농산물_9월'!$H:$H,'RAW_농산물_9월'!$D:$D,$C587,'RAW_농산물_9월'!$A:$A,$E587),SUMIFS('RAW_농산물_10월'!$H:$H,'RAW_농산물_10월'!$D:$D,$C587,'RAW_농산물_10월'!$A:$A,$E587),SUMIFS('RAW_농산물_11-12월'!$H:$H,'RAW_농산물_11-12월'!$D:$D,$C587,'RAW_농산물_11-12월'!$A:$A,$E587))))</f>
        <v/>
      </c>
      <c r="I587" s="17" t="str">
        <f>IF($C587="","",IF(COUNTIFS('RAW_농산물_7월'!$D:$D,$C587,'RAW_농산물_7월'!$A:$A,$E587)&gt;0,"O",""))</f>
        <v/>
      </c>
      <c r="J587" s="17" t="str">
        <f>IF($C587="","",IF(COUNTIFS('RAW_농산물_8월'!$D:$D,$C587,'RAW_농산물_8월'!$A:$A,$E587)&gt;0,"O",""))</f>
        <v/>
      </c>
      <c r="K587" s="17" t="str">
        <f>IF($C587="","",IF(COUNTIFS('RAW_농산물_9월'!$D:$D,$C587,'RAW_농산물_9월'!$A:$A,$E587)&gt;0,"O",""))</f>
        <v/>
      </c>
      <c r="L587" s="17" t="str">
        <f>IF($C587="","",IF(COUNTIFS('RAW_농산물_10월'!$D:$D,$C587,'RAW_농산물_10월'!$A:$A,$E587)&gt;0,"O",""))</f>
        <v/>
      </c>
      <c r="M587" s="17" t="str">
        <f>IF($C587="","",IF(COUNTIFS('RAW_농산물_11-12월'!$D:$D,$C587,'RAW_농산물_11-12월'!$A:$A,$E587)&gt;0,"O",""))</f>
        <v/>
      </c>
      <c r="N587" s="7" t="str">
        <f>IF($C587="","",IF(COUNTA('RAW_농산물_7월'!$A:$A)&lt;=1,"",SUMIFS('RAW_농산물_7월'!$H:$H,'RAW_농산물_7월'!$D:$D,$C587,'RAW_농산물_7월'!$A:$A,$E587)))</f>
        <v/>
      </c>
      <c r="O587" s="7" t="str">
        <f>IF($C587="","",IF(COUNTA('RAW_농산물_8월'!$A:$A)&lt;=1,"",SUMIFS('RAW_농산물_8월'!$H:$H,'RAW_농산물_8월'!$D:$D,$C587,'RAW_농산물_8월'!$A:$A,$E587)-SUMIFS('RAW_농산물_7월'!$H:$H,'RAW_농산물_7월'!$D:$D,$C587,'RAW_농산물_7월'!$A:$A,$E587)))</f>
        <v/>
      </c>
      <c r="P587" s="7" t="str">
        <f>IF($C587="","",IF(COUNTA('RAW_농산물_9월'!$A:$A)&lt;=1,"",SUMIFS('RAW_농산물_9월'!$H:$H,'RAW_농산물_9월'!$D:$D,$C587,'RAW_농산물_9월'!$A:$A,$E587)-SUMIFS('RAW_농산물_8월'!$H:$H,'RAW_농산물_8월'!$D:$D,$C587,'RAW_농산물_8월'!$A:$A,$E587)))</f>
        <v/>
      </c>
      <c r="Q587" s="7" t="str">
        <f>IF($C587="","",IF(COUNTA('RAW_농산물_10월'!$A:$A)&lt;=1,"",SUMIFS('RAW_농산물_10월'!$H:$H,'RAW_농산물_10월'!$D:$D,$C587,'RAW_농산물_10월'!$A:$A,$E587)-SUMIFS('RAW_농산물_9월'!$H:$H,'RAW_농산물_9월'!$D:$D,$C587,'RAW_농산물_9월'!$A:$A,$E587)))</f>
        <v/>
      </c>
      <c r="R587" s="7" t="str">
        <f>IF($C587="","",IF(COUNTA('RAW_농산물_11-12월'!$A:$A)&lt;=1,"",SUMIFS('RAW_농산물_11-12월'!$H:$H,'RAW_농산물_11-12월'!$D:$D,$C587,'RAW_농산물_11-12월'!$A:$A,$E587)-SUMIFS('RAW_농산물_10월'!$H:$H,'RAW_농산물_10월'!$D:$D,$C587,'RAW_농산물_10월'!$A:$A,$E587)))</f>
        <v/>
      </c>
      <c r="S587" s="17" t="str">
        <f t="shared" si="4"/>
        <v/>
      </c>
      <c r="T587" s="17" t="str">
        <f t="shared" si="5"/>
        <v/>
      </c>
      <c r="U587" s="7">
        <f>IF($C587="",0,IF('설정'!$B$3=0,0,CHOOSE('설정'!$B$3,COUNTIFS('RAW_농산물_7월'!$D:$D,$C587,'RAW_농산물_7월'!$A:$A,$E587),COUNTIFS('RAW_농산물_8월'!$D:$D,$C587,'RAW_농산물_8월'!$A:$A,$E587),COUNTIFS('RAW_농산물_9월'!$D:$D,$C587,'RAW_농산물_9월'!$A:$A,$E587),COUNTIFS('RAW_농산물_10월'!$D:$D,$C587,'RAW_농산물_10월'!$A:$A,$E587),COUNTIFS('RAW_농산물_11-12월'!$D:$D,$C587,'RAW_농산물_11-12월'!$A:$A,$E587))))</f>
        <v>0</v>
      </c>
    </row>
    <row r="588" ht="15.75" customHeight="1">
      <c r="A588" s="5"/>
      <c r="B588" s="5"/>
      <c r="C588" s="5"/>
      <c r="D588" s="6"/>
      <c r="E588" s="5"/>
      <c r="F588" s="7" t="str">
        <f>IF($C588="","",IF('설정'!$B$3=0,"",CHOOSE('설정'!$B$3,SUMIFS('RAW_농산물_7월'!$F:$F,'RAW_농산물_7월'!$D:$D,$C588,'RAW_농산물_7월'!$A:$A,$E588),SUMIFS('RAW_농산물_8월'!$F:$F,'RAW_농산물_8월'!$D:$D,$C588,'RAW_농산물_8월'!$A:$A,$E588),SUMIFS('RAW_농산물_9월'!$F:$F,'RAW_농산물_9월'!$D:$D,$C588,'RAW_농산물_9월'!$A:$A,$E588),SUMIFS('RAW_농산물_10월'!$F:$F,'RAW_농산물_10월'!$D:$D,$C588,'RAW_농산물_10월'!$A:$A,$E588),SUMIFS('RAW_농산물_11-12월'!$F:$F,'RAW_농산물_11-12월'!$D:$D,$C588,'RAW_농산물_11-12월'!$A:$A,$E588))))</f>
        <v/>
      </c>
      <c r="G588" s="7" t="str">
        <f>IF($C588="","",IF('설정'!$B$3=0,"",CHOOSE('설정'!$B$3,SUMIFS('RAW_농산물_7월'!$G:$G,'RAW_농산물_7월'!$D:$D,$C588,'RAW_농산물_7월'!$A:$A,$E588),SUMIFS('RAW_농산물_8월'!$G:$G,'RAW_농산물_8월'!$D:$D,$C588,'RAW_농산물_8월'!$A:$A,$E588),SUMIFS('RAW_농산물_9월'!$G:$G,'RAW_농산물_9월'!$D:$D,$C588,'RAW_농산물_9월'!$A:$A,$E588),SUMIFS('RAW_농산물_10월'!$G:$G,'RAW_농산물_10월'!$D:$D,$C588,'RAW_농산물_10월'!$A:$A,$E588),SUMIFS('RAW_농산물_11-12월'!$G:$G,'RAW_농산물_11-12월'!$D:$D,$C588,'RAW_농산물_11-12월'!$A:$A,$E588))))</f>
        <v/>
      </c>
      <c r="H588" s="14" t="str">
        <f>IF($C588="","",IF('설정'!$B$3=0,"",CHOOSE('설정'!$B$3,SUMIFS('RAW_농산물_7월'!$H:$H,'RAW_농산물_7월'!$D:$D,$C588,'RAW_농산물_7월'!$A:$A,$E588),SUMIFS('RAW_농산물_8월'!$H:$H,'RAW_농산물_8월'!$D:$D,$C588,'RAW_농산물_8월'!$A:$A,$E588),SUMIFS('RAW_농산물_9월'!$H:$H,'RAW_농산물_9월'!$D:$D,$C588,'RAW_농산물_9월'!$A:$A,$E588),SUMIFS('RAW_농산물_10월'!$H:$H,'RAW_농산물_10월'!$D:$D,$C588,'RAW_농산물_10월'!$A:$A,$E588),SUMIFS('RAW_농산물_11-12월'!$H:$H,'RAW_농산물_11-12월'!$D:$D,$C588,'RAW_농산물_11-12월'!$A:$A,$E588))))</f>
        <v/>
      </c>
      <c r="I588" s="17" t="str">
        <f>IF($C588="","",IF(COUNTIFS('RAW_농산물_7월'!$D:$D,$C588,'RAW_농산물_7월'!$A:$A,$E588)&gt;0,"O",""))</f>
        <v/>
      </c>
      <c r="J588" s="17" t="str">
        <f>IF($C588="","",IF(COUNTIFS('RAW_농산물_8월'!$D:$D,$C588,'RAW_농산물_8월'!$A:$A,$E588)&gt;0,"O",""))</f>
        <v/>
      </c>
      <c r="K588" s="17" t="str">
        <f>IF($C588="","",IF(COUNTIFS('RAW_농산물_9월'!$D:$D,$C588,'RAW_농산물_9월'!$A:$A,$E588)&gt;0,"O",""))</f>
        <v/>
      </c>
      <c r="L588" s="17" t="str">
        <f>IF($C588="","",IF(COUNTIFS('RAW_농산물_10월'!$D:$D,$C588,'RAW_농산물_10월'!$A:$A,$E588)&gt;0,"O",""))</f>
        <v/>
      </c>
      <c r="M588" s="17" t="str">
        <f>IF($C588="","",IF(COUNTIFS('RAW_농산물_11-12월'!$D:$D,$C588,'RAW_농산물_11-12월'!$A:$A,$E588)&gt;0,"O",""))</f>
        <v/>
      </c>
      <c r="N588" s="7" t="str">
        <f>IF($C588="","",IF(COUNTA('RAW_농산물_7월'!$A:$A)&lt;=1,"",SUMIFS('RAW_농산물_7월'!$H:$H,'RAW_농산물_7월'!$D:$D,$C588,'RAW_농산물_7월'!$A:$A,$E588)))</f>
        <v/>
      </c>
      <c r="O588" s="7" t="str">
        <f>IF($C588="","",IF(COUNTA('RAW_농산물_8월'!$A:$A)&lt;=1,"",SUMIFS('RAW_농산물_8월'!$H:$H,'RAW_농산물_8월'!$D:$D,$C588,'RAW_농산물_8월'!$A:$A,$E588)-SUMIFS('RAW_농산물_7월'!$H:$H,'RAW_농산물_7월'!$D:$D,$C588,'RAW_농산물_7월'!$A:$A,$E588)))</f>
        <v/>
      </c>
      <c r="P588" s="7" t="str">
        <f>IF($C588="","",IF(COUNTA('RAW_농산물_9월'!$A:$A)&lt;=1,"",SUMIFS('RAW_농산물_9월'!$H:$H,'RAW_농산물_9월'!$D:$D,$C588,'RAW_농산물_9월'!$A:$A,$E588)-SUMIFS('RAW_농산물_8월'!$H:$H,'RAW_농산물_8월'!$D:$D,$C588,'RAW_농산물_8월'!$A:$A,$E588)))</f>
        <v/>
      </c>
      <c r="Q588" s="7" t="str">
        <f>IF($C588="","",IF(COUNTA('RAW_농산물_10월'!$A:$A)&lt;=1,"",SUMIFS('RAW_농산물_10월'!$H:$H,'RAW_농산물_10월'!$D:$D,$C588,'RAW_농산물_10월'!$A:$A,$E588)-SUMIFS('RAW_농산물_9월'!$H:$H,'RAW_농산물_9월'!$D:$D,$C588,'RAW_농산물_9월'!$A:$A,$E588)))</f>
        <v/>
      </c>
      <c r="R588" s="7" t="str">
        <f>IF($C588="","",IF(COUNTA('RAW_농산물_11-12월'!$A:$A)&lt;=1,"",SUMIFS('RAW_농산물_11-12월'!$H:$H,'RAW_농산물_11-12월'!$D:$D,$C588,'RAW_농산물_11-12월'!$A:$A,$E588)-SUMIFS('RAW_농산물_10월'!$H:$H,'RAW_농산물_10월'!$D:$D,$C588,'RAW_농산물_10월'!$A:$A,$E588)))</f>
        <v/>
      </c>
      <c r="S588" s="17" t="str">
        <f t="shared" si="4"/>
        <v/>
      </c>
      <c r="T588" s="17" t="str">
        <f t="shared" si="5"/>
        <v/>
      </c>
      <c r="U588" s="7">
        <f>IF($C588="",0,IF('설정'!$B$3=0,0,CHOOSE('설정'!$B$3,COUNTIFS('RAW_농산물_7월'!$D:$D,$C588,'RAW_농산물_7월'!$A:$A,$E588),COUNTIFS('RAW_농산물_8월'!$D:$D,$C588,'RAW_농산물_8월'!$A:$A,$E588),COUNTIFS('RAW_농산물_9월'!$D:$D,$C588,'RAW_농산물_9월'!$A:$A,$E588),COUNTIFS('RAW_농산물_10월'!$D:$D,$C588,'RAW_농산물_10월'!$A:$A,$E588),COUNTIFS('RAW_농산물_11-12월'!$D:$D,$C588,'RAW_농산물_11-12월'!$A:$A,$E588))))</f>
        <v>0</v>
      </c>
    </row>
    <row r="589" ht="15.75" customHeight="1">
      <c r="A589" s="5"/>
      <c r="B589" s="5"/>
      <c r="C589" s="5"/>
      <c r="D589" s="6"/>
      <c r="E589" s="5"/>
      <c r="F589" s="7" t="str">
        <f>IF($C589="","",IF('설정'!$B$3=0,"",CHOOSE('설정'!$B$3,SUMIFS('RAW_농산물_7월'!$F:$F,'RAW_농산물_7월'!$D:$D,$C589,'RAW_농산물_7월'!$A:$A,$E589),SUMIFS('RAW_농산물_8월'!$F:$F,'RAW_농산물_8월'!$D:$D,$C589,'RAW_농산물_8월'!$A:$A,$E589),SUMIFS('RAW_농산물_9월'!$F:$F,'RAW_농산물_9월'!$D:$D,$C589,'RAW_농산물_9월'!$A:$A,$E589),SUMIFS('RAW_농산물_10월'!$F:$F,'RAW_농산물_10월'!$D:$D,$C589,'RAW_농산물_10월'!$A:$A,$E589),SUMIFS('RAW_농산물_11-12월'!$F:$F,'RAW_농산물_11-12월'!$D:$D,$C589,'RAW_농산물_11-12월'!$A:$A,$E589))))</f>
        <v/>
      </c>
      <c r="G589" s="7" t="str">
        <f>IF($C589="","",IF('설정'!$B$3=0,"",CHOOSE('설정'!$B$3,SUMIFS('RAW_농산물_7월'!$G:$G,'RAW_농산물_7월'!$D:$D,$C589,'RAW_농산물_7월'!$A:$A,$E589),SUMIFS('RAW_농산물_8월'!$G:$G,'RAW_농산물_8월'!$D:$D,$C589,'RAW_농산물_8월'!$A:$A,$E589),SUMIFS('RAW_농산물_9월'!$G:$G,'RAW_농산물_9월'!$D:$D,$C589,'RAW_농산물_9월'!$A:$A,$E589),SUMIFS('RAW_농산물_10월'!$G:$G,'RAW_농산물_10월'!$D:$D,$C589,'RAW_농산물_10월'!$A:$A,$E589),SUMIFS('RAW_농산물_11-12월'!$G:$G,'RAW_농산물_11-12월'!$D:$D,$C589,'RAW_농산물_11-12월'!$A:$A,$E589))))</f>
        <v/>
      </c>
      <c r="H589" s="14" t="str">
        <f>IF($C589="","",IF('설정'!$B$3=0,"",CHOOSE('설정'!$B$3,SUMIFS('RAW_농산물_7월'!$H:$H,'RAW_농산물_7월'!$D:$D,$C589,'RAW_농산물_7월'!$A:$A,$E589),SUMIFS('RAW_농산물_8월'!$H:$H,'RAW_농산물_8월'!$D:$D,$C589,'RAW_농산물_8월'!$A:$A,$E589),SUMIFS('RAW_농산물_9월'!$H:$H,'RAW_농산물_9월'!$D:$D,$C589,'RAW_농산물_9월'!$A:$A,$E589),SUMIFS('RAW_농산물_10월'!$H:$H,'RAW_농산물_10월'!$D:$D,$C589,'RAW_농산물_10월'!$A:$A,$E589),SUMIFS('RAW_농산물_11-12월'!$H:$H,'RAW_농산물_11-12월'!$D:$D,$C589,'RAW_농산물_11-12월'!$A:$A,$E589))))</f>
        <v/>
      </c>
      <c r="I589" s="17" t="str">
        <f>IF($C589="","",IF(COUNTIFS('RAW_농산물_7월'!$D:$D,$C589,'RAW_농산물_7월'!$A:$A,$E589)&gt;0,"O",""))</f>
        <v/>
      </c>
      <c r="J589" s="17" t="str">
        <f>IF($C589="","",IF(COUNTIFS('RAW_농산물_8월'!$D:$D,$C589,'RAW_농산물_8월'!$A:$A,$E589)&gt;0,"O",""))</f>
        <v/>
      </c>
      <c r="K589" s="17" t="str">
        <f>IF($C589="","",IF(COUNTIFS('RAW_농산물_9월'!$D:$D,$C589,'RAW_농산물_9월'!$A:$A,$E589)&gt;0,"O",""))</f>
        <v/>
      </c>
      <c r="L589" s="17" t="str">
        <f>IF($C589="","",IF(COUNTIFS('RAW_농산물_10월'!$D:$D,$C589,'RAW_농산물_10월'!$A:$A,$E589)&gt;0,"O",""))</f>
        <v/>
      </c>
      <c r="M589" s="17" t="str">
        <f>IF($C589="","",IF(COUNTIFS('RAW_농산물_11-12월'!$D:$D,$C589,'RAW_농산물_11-12월'!$A:$A,$E589)&gt;0,"O",""))</f>
        <v/>
      </c>
      <c r="N589" s="7" t="str">
        <f>IF($C589="","",IF(COUNTA('RAW_농산물_7월'!$A:$A)&lt;=1,"",SUMIFS('RAW_농산물_7월'!$H:$H,'RAW_농산물_7월'!$D:$D,$C589,'RAW_농산물_7월'!$A:$A,$E589)))</f>
        <v/>
      </c>
      <c r="O589" s="7" t="str">
        <f>IF($C589="","",IF(COUNTA('RAW_농산물_8월'!$A:$A)&lt;=1,"",SUMIFS('RAW_농산물_8월'!$H:$H,'RAW_농산물_8월'!$D:$D,$C589,'RAW_농산물_8월'!$A:$A,$E589)-SUMIFS('RAW_농산물_7월'!$H:$H,'RAW_농산물_7월'!$D:$D,$C589,'RAW_농산물_7월'!$A:$A,$E589)))</f>
        <v/>
      </c>
      <c r="P589" s="7" t="str">
        <f>IF($C589="","",IF(COUNTA('RAW_농산물_9월'!$A:$A)&lt;=1,"",SUMIFS('RAW_농산물_9월'!$H:$H,'RAW_농산물_9월'!$D:$D,$C589,'RAW_농산물_9월'!$A:$A,$E589)-SUMIFS('RAW_농산물_8월'!$H:$H,'RAW_농산물_8월'!$D:$D,$C589,'RAW_농산물_8월'!$A:$A,$E589)))</f>
        <v/>
      </c>
      <c r="Q589" s="7" t="str">
        <f>IF($C589="","",IF(COUNTA('RAW_농산물_10월'!$A:$A)&lt;=1,"",SUMIFS('RAW_농산물_10월'!$H:$H,'RAW_농산물_10월'!$D:$D,$C589,'RAW_농산물_10월'!$A:$A,$E589)-SUMIFS('RAW_농산물_9월'!$H:$H,'RAW_농산물_9월'!$D:$D,$C589,'RAW_농산물_9월'!$A:$A,$E589)))</f>
        <v/>
      </c>
      <c r="R589" s="7" t="str">
        <f>IF($C589="","",IF(COUNTA('RAW_농산물_11-12월'!$A:$A)&lt;=1,"",SUMIFS('RAW_농산물_11-12월'!$H:$H,'RAW_농산물_11-12월'!$D:$D,$C589,'RAW_농산물_11-12월'!$A:$A,$E589)-SUMIFS('RAW_농산물_10월'!$H:$H,'RAW_농산물_10월'!$D:$D,$C589,'RAW_농산물_10월'!$A:$A,$E589)))</f>
        <v/>
      </c>
      <c r="S589" s="17" t="str">
        <f t="shared" si="4"/>
        <v/>
      </c>
      <c r="T589" s="17" t="str">
        <f t="shared" si="5"/>
        <v/>
      </c>
      <c r="U589" s="7">
        <f>IF($C589="",0,IF('설정'!$B$3=0,0,CHOOSE('설정'!$B$3,COUNTIFS('RAW_농산물_7월'!$D:$D,$C589,'RAW_농산물_7월'!$A:$A,$E589),COUNTIFS('RAW_농산물_8월'!$D:$D,$C589,'RAW_농산물_8월'!$A:$A,$E589),COUNTIFS('RAW_농산물_9월'!$D:$D,$C589,'RAW_농산물_9월'!$A:$A,$E589),COUNTIFS('RAW_농산물_10월'!$D:$D,$C589,'RAW_농산물_10월'!$A:$A,$E589),COUNTIFS('RAW_농산물_11-12월'!$D:$D,$C589,'RAW_농산물_11-12월'!$A:$A,$E589))))</f>
        <v>0</v>
      </c>
    </row>
    <row r="590" ht="15.75" customHeight="1">
      <c r="A590" s="5"/>
      <c r="B590" s="5"/>
      <c r="C590" s="5"/>
      <c r="D590" s="6"/>
      <c r="E590" s="5"/>
      <c r="F590" s="7" t="str">
        <f>IF($C590="","",IF('설정'!$B$3=0,"",CHOOSE('설정'!$B$3,SUMIFS('RAW_농산물_7월'!$F:$F,'RAW_농산물_7월'!$D:$D,$C590,'RAW_농산물_7월'!$A:$A,$E590),SUMIFS('RAW_농산물_8월'!$F:$F,'RAW_농산물_8월'!$D:$D,$C590,'RAW_농산물_8월'!$A:$A,$E590),SUMIFS('RAW_농산물_9월'!$F:$F,'RAW_농산물_9월'!$D:$D,$C590,'RAW_농산물_9월'!$A:$A,$E590),SUMIFS('RAW_농산물_10월'!$F:$F,'RAW_농산물_10월'!$D:$D,$C590,'RAW_농산물_10월'!$A:$A,$E590),SUMIFS('RAW_농산물_11-12월'!$F:$F,'RAW_농산물_11-12월'!$D:$D,$C590,'RAW_농산물_11-12월'!$A:$A,$E590))))</f>
        <v/>
      </c>
      <c r="G590" s="7" t="str">
        <f>IF($C590="","",IF('설정'!$B$3=0,"",CHOOSE('설정'!$B$3,SUMIFS('RAW_농산물_7월'!$G:$G,'RAW_농산물_7월'!$D:$D,$C590,'RAW_농산물_7월'!$A:$A,$E590),SUMIFS('RAW_농산물_8월'!$G:$G,'RAW_농산물_8월'!$D:$D,$C590,'RAW_농산물_8월'!$A:$A,$E590),SUMIFS('RAW_농산물_9월'!$G:$G,'RAW_농산물_9월'!$D:$D,$C590,'RAW_농산물_9월'!$A:$A,$E590),SUMIFS('RAW_농산물_10월'!$G:$G,'RAW_농산물_10월'!$D:$D,$C590,'RAW_농산물_10월'!$A:$A,$E590),SUMIFS('RAW_농산물_11-12월'!$G:$G,'RAW_농산물_11-12월'!$D:$D,$C590,'RAW_농산물_11-12월'!$A:$A,$E590))))</f>
        <v/>
      </c>
      <c r="H590" s="14" t="str">
        <f>IF($C590="","",IF('설정'!$B$3=0,"",CHOOSE('설정'!$B$3,SUMIFS('RAW_농산물_7월'!$H:$H,'RAW_농산물_7월'!$D:$D,$C590,'RAW_농산물_7월'!$A:$A,$E590),SUMIFS('RAW_농산물_8월'!$H:$H,'RAW_농산물_8월'!$D:$D,$C590,'RAW_농산물_8월'!$A:$A,$E590),SUMIFS('RAW_농산물_9월'!$H:$H,'RAW_농산물_9월'!$D:$D,$C590,'RAW_농산물_9월'!$A:$A,$E590),SUMIFS('RAW_농산물_10월'!$H:$H,'RAW_농산물_10월'!$D:$D,$C590,'RAW_농산물_10월'!$A:$A,$E590),SUMIFS('RAW_농산물_11-12월'!$H:$H,'RAW_농산물_11-12월'!$D:$D,$C590,'RAW_농산물_11-12월'!$A:$A,$E590))))</f>
        <v/>
      </c>
      <c r="I590" s="17" t="str">
        <f>IF($C590="","",IF(COUNTIFS('RAW_농산물_7월'!$D:$D,$C590,'RAW_농산물_7월'!$A:$A,$E590)&gt;0,"O",""))</f>
        <v/>
      </c>
      <c r="J590" s="17" t="str">
        <f>IF($C590="","",IF(COUNTIFS('RAW_농산물_8월'!$D:$D,$C590,'RAW_농산물_8월'!$A:$A,$E590)&gt;0,"O",""))</f>
        <v/>
      </c>
      <c r="K590" s="17" t="str">
        <f>IF($C590="","",IF(COUNTIFS('RAW_농산물_9월'!$D:$D,$C590,'RAW_농산물_9월'!$A:$A,$E590)&gt;0,"O",""))</f>
        <v/>
      </c>
      <c r="L590" s="17" t="str">
        <f>IF($C590="","",IF(COUNTIFS('RAW_농산물_10월'!$D:$D,$C590,'RAW_농산물_10월'!$A:$A,$E590)&gt;0,"O",""))</f>
        <v/>
      </c>
      <c r="M590" s="17" t="str">
        <f>IF($C590="","",IF(COUNTIFS('RAW_농산물_11-12월'!$D:$D,$C590,'RAW_농산물_11-12월'!$A:$A,$E590)&gt;0,"O",""))</f>
        <v/>
      </c>
      <c r="N590" s="7" t="str">
        <f>IF($C590="","",IF(COUNTA('RAW_농산물_7월'!$A:$A)&lt;=1,"",SUMIFS('RAW_농산물_7월'!$H:$H,'RAW_농산물_7월'!$D:$D,$C590,'RAW_농산물_7월'!$A:$A,$E590)))</f>
        <v/>
      </c>
      <c r="O590" s="7" t="str">
        <f>IF($C590="","",IF(COUNTA('RAW_농산물_8월'!$A:$A)&lt;=1,"",SUMIFS('RAW_농산물_8월'!$H:$H,'RAW_농산물_8월'!$D:$D,$C590,'RAW_농산물_8월'!$A:$A,$E590)-SUMIFS('RAW_농산물_7월'!$H:$H,'RAW_농산물_7월'!$D:$D,$C590,'RAW_농산물_7월'!$A:$A,$E590)))</f>
        <v/>
      </c>
      <c r="P590" s="7" t="str">
        <f>IF($C590="","",IF(COUNTA('RAW_농산물_9월'!$A:$A)&lt;=1,"",SUMIFS('RAW_농산물_9월'!$H:$H,'RAW_농산물_9월'!$D:$D,$C590,'RAW_농산물_9월'!$A:$A,$E590)-SUMIFS('RAW_농산물_8월'!$H:$H,'RAW_농산물_8월'!$D:$D,$C590,'RAW_농산물_8월'!$A:$A,$E590)))</f>
        <v/>
      </c>
      <c r="Q590" s="7" t="str">
        <f>IF($C590="","",IF(COUNTA('RAW_농산물_10월'!$A:$A)&lt;=1,"",SUMIFS('RAW_농산물_10월'!$H:$H,'RAW_농산물_10월'!$D:$D,$C590,'RAW_농산물_10월'!$A:$A,$E590)-SUMIFS('RAW_농산물_9월'!$H:$H,'RAW_농산물_9월'!$D:$D,$C590,'RAW_농산물_9월'!$A:$A,$E590)))</f>
        <v/>
      </c>
      <c r="R590" s="7" t="str">
        <f>IF($C590="","",IF(COUNTA('RAW_농산물_11-12월'!$A:$A)&lt;=1,"",SUMIFS('RAW_농산물_11-12월'!$H:$H,'RAW_농산물_11-12월'!$D:$D,$C590,'RAW_농산물_11-12월'!$A:$A,$E590)-SUMIFS('RAW_농산물_10월'!$H:$H,'RAW_농산물_10월'!$D:$D,$C590,'RAW_농산물_10월'!$A:$A,$E590)))</f>
        <v/>
      </c>
      <c r="S590" s="17" t="str">
        <f t="shared" si="4"/>
        <v/>
      </c>
      <c r="T590" s="17" t="str">
        <f t="shared" si="5"/>
        <v/>
      </c>
      <c r="U590" s="7">
        <f>IF($C590="",0,IF('설정'!$B$3=0,0,CHOOSE('설정'!$B$3,COUNTIFS('RAW_농산물_7월'!$D:$D,$C590,'RAW_농산물_7월'!$A:$A,$E590),COUNTIFS('RAW_농산물_8월'!$D:$D,$C590,'RAW_농산물_8월'!$A:$A,$E590),COUNTIFS('RAW_농산물_9월'!$D:$D,$C590,'RAW_농산물_9월'!$A:$A,$E590),COUNTIFS('RAW_농산물_10월'!$D:$D,$C590,'RAW_농산물_10월'!$A:$A,$E590),COUNTIFS('RAW_농산물_11-12월'!$D:$D,$C590,'RAW_농산물_11-12월'!$A:$A,$E590))))</f>
        <v>0</v>
      </c>
    </row>
    <row r="591" ht="15.75" customHeight="1">
      <c r="A591" s="5"/>
      <c r="B591" s="5"/>
      <c r="C591" s="5"/>
      <c r="D591" s="6"/>
      <c r="E591" s="5"/>
      <c r="F591" s="7" t="str">
        <f>IF($C591="","",IF('설정'!$B$3=0,"",CHOOSE('설정'!$B$3,SUMIFS('RAW_농산물_7월'!$F:$F,'RAW_농산물_7월'!$D:$D,$C591,'RAW_농산물_7월'!$A:$A,$E591),SUMIFS('RAW_농산물_8월'!$F:$F,'RAW_농산물_8월'!$D:$D,$C591,'RAW_농산물_8월'!$A:$A,$E591),SUMIFS('RAW_농산물_9월'!$F:$F,'RAW_농산물_9월'!$D:$D,$C591,'RAW_농산물_9월'!$A:$A,$E591),SUMIFS('RAW_농산물_10월'!$F:$F,'RAW_농산물_10월'!$D:$D,$C591,'RAW_농산물_10월'!$A:$A,$E591),SUMIFS('RAW_농산물_11-12월'!$F:$F,'RAW_농산물_11-12월'!$D:$D,$C591,'RAW_농산물_11-12월'!$A:$A,$E591))))</f>
        <v/>
      </c>
      <c r="G591" s="7" t="str">
        <f>IF($C591="","",IF('설정'!$B$3=0,"",CHOOSE('설정'!$B$3,SUMIFS('RAW_농산물_7월'!$G:$G,'RAW_농산물_7월'!$D:$D,$C591,'RAW_농산물_7월'!$A:$A,$E591),SUMIFS('RAW_농산물_8월'!$G:$G,'RAW_농산물_8월'!$D:$D,$C591,'RAW_농산물_8월'!$A:$A,$E591),SUMIFS('RAW_농산물_9월'!$G:$G,'RAW_농산물_9월'!$D:$D,$C591,'RAW_농산물_9월'!$A:$A,$E591),SUMIFS('RAW_농산물_10월'!$G:$G,'RAW_농산물_10월'!$D:$D,$C591,'RAW_농산물_10월'!$A:$A,$E591),SUMIFS('RAW_농산물_11-12월'!$G:$G,'RAW_농산물_11-12월'!$D:$D,$C591,'RAW_농산물_11-12월'!$A:$A,$E591))))</f>
        <v/>
      </c>
      <c r="H591" s="14" t="str">
        <f>IF($C591="","",IF('설정'!$B$3=0,"",CHOOSE('설정'!$B$3,SUMIFS('RAW_농산물_7월'!$H:$H,'RAW_농산물_7월'!$D:$D,$C591,'RAW_농산물_7월'!$A:$A,$E591),SUMIFS('RAW_농산물_8월'!$H:$H,'RAW_농산물_8월'!$D:$D,$C591,'RAW_농산물_8월'!$A:$A,$E591),SUMIFS('RAW_농산물_9월'!$H:$H,'RAW_농산물_9월'!$D:$D,$C591,'RAW_농산물_9월'!$A:$A,$E591),SUMIFS('RAW_농산물_10월'!$H:$H,'RAW_농산물_10월'!$D:$D,$C591,'RAW_농산물_10월'!$A:$A,$E591),SUMIFS('RAW_농산물_11-12월'!$H:$H,'RAW_농산물_11-12월'!$D:$D,$C591,'RAW_농산물_11-12월'!$A:$A,$E591))))</f>
        <v/>
      </c>
      <c r="I591" s="17" t="str">
        <f>IF($C591="","",IF(COUNTIFS('RAW_농산물_7월'!$D:$D,$C591,'RAW_농산물_7월'!$A:$A,$E591)&gt;0,"O",""))</f>
        <v/>
      </c>
      <c r="J591" s="17" t="str">
        <f>IF($C591="","",IF(COUNTIFS('RAW_농산물_8월'!$D:$D,$C591,'RAW_농산물_8월'!$A:$A,$E591)&gt;0,"O",""))</f>
        <v/>
      </c>
      <c r="K591" s="17" t="str">
        <f>IF($C591="","",IF(COUNTIFS('RAW_농산물_9월'!$D:$D,$C591,'RAW_농산물_9월'!$A:$A,$E591)&gt;0,"O",""))</f>
        <v/>
      </c>
      <c r="L591" s="17" t="str">
        <f>IF($C591="","",IF(COUNTIFS('RAW_농산물_10월'!$D:$D,$C591,'RAW_농산물_10월'!$A:$A,$E591)&gt;0,"O",""))</f>
        <v/>
      </c>
      <c r="M591" s="17" t="str">
        <f>IF($C591="","",IF(COUNTIFS('RAW_농산물_11-12월'!$D:$D,$C591,'RAW_농산물_11-12월'!$A:$A,$E591)&gt;0,"O",""))</f>
        <v/>
      </c>
      <c r="N591" s="7" t="str">
        <f>IF($C591="","",IF(COUNTA('RAW_농산물_7월'!$A:$A)&lt;=1,"",SUMIFS('RAW_농산물_7월'!$H:$H,'RAW_농산물_7월'!$D:$D,$C591,'RAW_농산물_7월'!$A:$A,$E591)))</f>
        <v/>
      </c>
      <c r="O591" s="7" t="str">
        <f>IF($C591="","",IF(COUNTA('RAW_농산물_8월'!$A:$A)&lt;=1,"",SUMIFS('RAW_농산물_8월'!$H:$H,'RAW_농산물_8월'!$D:$D,$C591,'RAW_농산물_8월'!$A:$A,$E591)-SUMIFS('RAW_농산물_7월'!$H:$H,'RAW_농산물_7월'!$D:$D,$C591,'RAW_농산물_7월'!$A:$A,$E591)))</f>
        <v/>
      </c>
      <c r="P591" s="7" t="str">
        <f>IF($C591="","",IF(COUNTA('RAW_농산물_9월'!$A:$A)&lt;=1,"",SUMIFS('RAW_농산물_9월'!$H:$H,'RAW_농산물_9월'!$D:$D,$C591,'RAW_농산물_9월'!$A:$A,$E591)-SUMIFS('RAW_농산물_8월'!$H:$H,'RAW_농산물_8월'!$D:$D,$C591,'RAW_농산물_8월'!$A:$A,$E591)))</f>
        <v/>
      </c>
      <c r="Q591" s="7" t="str">
        <f>IF($C591="","",IF(COUNTA('RAW_농산물_10월'!$A:$A)&lt;=1,"",SUMIFS('RAW_농산물_10월'!$H:$H,'RAW_농산물_10월'!$D:$D,$C591,'RAW_농산물_10월'!$A:$A,$E591)-SUMIFS('RAW_농산물_9월'!$H:$H,'RAW_농산물_9월'!$D:$D,$C591,'RAW_농산물_9월'!$A:$A,$E591)))</f>
        <v/>
      </c>
      <c r="R591" s="7" t="str">
        <f>IF($C591="","",IF(COUNTA('RAW_농산물_11-12월'!$A:$A)&lt;=1,"",SUMIFS('RAW_농산물_11-12월'!$H:$H,'RAW_농산물_11-12월'!$D:$D,$C591,'RAW_농산물_11-12월'!$A:$A,$E591)-SUMIFS('RAW_농산물_10월'!$H:$H,'RAW_농산물_10월'!$D:$D,$C591,'RAW_농산물_10월'!$A:$A,$E591)))</f>
        <v/>
      </c>
      <c r="S591" s="17" t="str">
        <f t="shared" si="4"/>
        <v/>
      </c>
      <c r="T591" s="17" t="str">
        <f t="shared" si="5"/>
        <v/>
      </c>
      <c r="U591" s="7">
        <f>IF($C591="",0,IF('설정'!$B$3=0,0,CHOOSE('설정'!$B$3,COUNTIFS('RAW_농산물_7월'!$D:$D,$C591,'RAW_농산물_7월'!$A:$A,$E591),COUNTIFS('RAW_농산물_8월'!$D:$D,$C591,'RAW_농산물_8월'!$A:$A,$E591),COUNTIFS('RAW_농산물_9월'!$D:$D,$C591,'RAW_농산물_9월'!$A:$A,$E591),COUNTIFS('RAW_농산물_10월'!$D:$D,$C591,'RAW_농산물_10월'!$A:$A,$E591),COUNTIFS('RAW_농산물_11-12월'!$D:$D,$C591,'RAW_농산물_11-12월'!$A:$A,$E591))))</f>
        <v>0</v>
      </c>
    </row>
    <row r="592" ht="15.75" customHeight="1">
      <c r="A592" s="5"/>
      <c r="B592" s="5"/>
      <c r="C592" s="5"/>
      <c r="D592" s="6"/>
      <c r="E592" s="5"/>
      <c r="F592" s="7" t="str">
        <f>IF($C592="","",IF('설정'!$B$3=0,"",CHOOSE('설정'!$B$3,SUMIFS('RAW_농산물_7월'!$F:$F,'RAW_농산물_7월'!$D:$D,$C592,'RAW_농산물_7월'!$A:$A,$E592),SUMIFS('RAW_농산물_8월'!$F:$F,'RAW_농산물_8월'!$D:$D,$C592,'RAW_농산물_8월'!$A:$A,$E592),SUMIFS('RAW_농산물_9월'!$F:$F,'RAW_농산물_9월'!$D:$D,$C592,'RAW_농산물_9월'!$A:$A,$E592),SUMIFS('RAW_농산물_10월'!$F:$F,'RAW_농산물_10월'!$D:$D,$C592,'RAW_농산물_10월'!$A:$A,$E592),SUMIFS('RAW_농산물_11-12월'!$F:$F,'RAW_농산물_11-12월'!$D:$D,$C592,'RAW_농산물_11-12월'!$A:$A,$E592))))</f>
        <v/>
      </c>
      <c r="G592" s="7" t="str">
        <f>IF($C592="","",IF('설정'!$B$3=0,"",CHOOSE('설정'!$B$3,SUMIFS('RAW_농산물_7월'!$G:$G,'RAW_농산물_7월'!$D:$D,$C592,'RAW_농산물_7월'!$A:$A,$E592),SUMIFS('RAW_농산물_8월'!$G:$G,'RAW_농산물_8월'!$D:$D,$C592,'RAW_농산물_8월'!$A:$A,$E592),SUMIFS('RAW_농산물_9월'!$G:$G,'RAW_농산물_9월'!$D:$D,$C592,'RAW_농산물_9월'!$A:$A,$E592),SUMIFS('RAW_농산물_10월'!$G:$G,'RAW_농산물_10월'!$D:$D,$C592,'RAW_농산물_10월'!$A:$A,$E592),SUMIFS('RAW_농산물_11-12월'!$G:$G,'RAW_농산물_11-12월'!$D:$D,$C592,'RAW_농산물_11-12월'!$A:$A,$E592))))</f>
        <v/>
      </c>
      <c r="H592" s="14" t="str">
        <f>IF($C592="","",IF('설정'!$B$3=0,"",CHOOSE('설정'!$B$3,SUMIFS('RAW_농산물_7월'!$H:$H,'RAW_농산물_7월'!$D:$D,$C592,'RAW_농산물_7월'!$A:$A,$E592),SUMIFS('RAW_농산물_8월'!$H:$H,'RAW_농산물_8월'!$D:$D,$C592,'RAW_농산물_8월'!$A:$A,$E592),SUMIFS('RAW_농산물_9월'!$H:$H,'RAW_농산물_9월'!$D:$D,$C592,'RAW_농산물_9월'!$A:$A,$E592),SUMIFS('RAW_농산물_10월'!$H:$H,'RAW_농산물_10월'!$D:$D,$C592,'RAW_농산물_10월'!$A:$A,$E592),SUMIFS('RAW_농산물_11-12월'!$H:$H,'RAW_농산물_11-12월'!$D:$D,$C592,'RAW_농산물_11-12월'!$A:$A,$E592))))</f>
        <v/>
      </c>
      <c r="I592" s="17" t="str">
        <f>IF($C592="","",IF(COUNTIFS('RAW_농산물_7월'!$D:$D,$C592,'RAW_농산물_7월'!$A:$A,$E592)&gt;0,"O",""))</f>
        <v/>
      </c>
      <c r="J592" s="17" t="str">
        <f>IF($C592="","",IF(COUNTIFS('RAW_농산물_8월'!$D:$D,$C592,'RAW_농산물_8월'!$A:$A,$E592)&gt;0,"O",""))</f>
        <v/>
      </c>
      <c r="K592" s="17" t="str">
        <f>IF($C592="","",IF(COUNTIFS('RAW_농산물_9월'!$D:$D,$C592,'RAW_농산물_9월'!$A:$A,$E592)&gt;0,"O",""))</f>
        <v/>
      </c>
      <c r="L592" s="17" t="str">
        <f>IF($C592="","",IF(COUNTIFS('RAW_농산물_10월'!$D:$D,$C592,'RAW_농산물_10월'!$A:$A,$E592)&gt;0,"O",""))</f>
        <v/>
      </c>
      <c r="M592" s="17" t="str">
        <f>IF($C592="","",IF(COUNTIFS('RAW_농산물_11-12월'!$D:$D,$C592,'RAW_농산물_11-12월'!$A:$A,$E592)&gt;0,"O",""))</f>
        <v/>
      </c>
      <c r="N592" s="7" t="str">
        <f>IF($C592="","",IF(COUNTA('RAW_농산물_7월'!$A:$A)&lt;=1,"",SUMIFS('RAW_농산물_7월'!$H:$H,'RAW_농산물_7월'!$D:$D,$C592,'RAW_농산물_7월'!$A:$A,$E592)))</f>
        <v/>
      </c>
      <c r="O592" s="7" t="str">
        <f>IF($C592="","",IF(COUNTA('RAW_농산물_8월'!$A:$A)&lt;=1,"",SUMIFS('RAW_농산물_8월'!$H:$H,'RAW_농산물_8월'!$D:$D,$C592,'RAW_농산물_8월'!$A:$A,$E592)-SUMIFS('RAW_농산물_7월'!$H:$H,'RAW_농산물_7월'!$D:$D,$C592,'RAW_농산물_7월'!$A:$A,$E592)))</f>
        <v/>
      </c>
      <c r="P592" s="7" t="str">
        <f>IF($C592="","",IF(COUNTA('RAW_농산물_9월'!$A:$A)&lt;=1,"",SUMIFS('RAW_농산물_9월'!$H:$H,'RAW_농산물_9월'!$D:$D,$C592,'RAW_농산물_9월'!$A:$A,$E592)-SUMIFS('RAW_농산물_8월'!$H:$H,'RAW_농산물_8월'!$D:$D,$C592,'RAW_농산물_8월'!$A:$A,$E592)))</f>
        <v/>
      </c>
      <c r="Q592" s="7" t="str">
        <f>IF($C592="","",IF(COUNTA('RAW_농산물_10월'!$A:$A)&lt;=1,"",SUMIFS('RAW_농산물_10월'!$H:$H,'RAW_농산물_10월'!$D:$D,$C592,'RAW_농산물_10월'!$A:$A,$E592)-SUMIFS('RAW_농산물_9월'!$H:$H,'RAW_농산물_9월'!$D:$D,$C592,'RAW_농산물_9월'!$A:$A,$E592)))</f>
        <v/>
      </c>
      <c r="R592" s="7" t="str">
        <f>IF($C592="","",IF(COUNTA('RAW_농산물_11-12월'!$A:$A)&lt;=1,"",SUMIFS('RAW_농산물_11-12월'!$H:$H,'RAW_농산물_11-12월'!$D:$D,$C592,'RAW_농산물_11-12월'!$A:$A,$E592)-SUMIFS('RAW_농산물_10월'!$H:$H,'RAW_농산물_10월'!$D:$D,$C592,'RAW_농산물_10월'!$A:$A,$E592)))</f>
        <v/>
      </c>
      <c r="S592" s="17" t="str">
        <f t="shared" si="4"/>
        <v/>
      </c>
      <c r="T592" s="17" t="str">
        <f t="shared" si="5"/>
        <v/>
      </c>
      <c r="U592" s="7">
        <f>IF($C592="",0,IF('설정'!$B$3=0,0,CHOOSE('설정'!$B$3,COUNTIFS('RAW_농산물_7월'!$D:$D,$C592,'RAW_농산물_7월'!$A:$A,$E592),COUNTIFS('RAW_농산물_8월'!$D:$D,$C592,'RAW_농산물_8월'!$A:$A,$E592),COUNTIFS('RAW_농산물_9월'!$D:$D,$C592,'RAW_농산물_9월'!$A:$A,$E592),COUNTIFS('RAW_농산물_10월'!$D:$D,$C592,'RAW_농산물_10월'!$A:$A,$E592),COUNTIFS('RAW_농산물_11-12월'!$D:$D,$C592,'RAW_농산물_11-12월'!$A:$A,$E592))))</f>
        <v>0</v>
      </c>
    </row>
    <row r="593" ht="15.75" customHeight="1">
      <c r="A593" s="5"/>
      <c r="B593" s="5"/>
      <c r="C593" s="5"/>
      <c r="D593" s="6"/>
      <c r="E593" s="5"/>
      <c r="F593" s="7" t="str">
        <f>IF($C593="","",IF('설정'!$B$3=0,"",CHOOSE('설정'!$B$3,SUMIFS('RAW_농산물_7월'!$F:$F,'RAW_농산물_7월'!$D:$D,$C593,'RAW_농산물_7월'!$A:$A,$E593),SUMIFS('RAW_농산물_8월'!$F:$F,'RAW_농산물_8월'!$D:$D,$C593,'RAW_농산물_8월'!$A:$A,$E593),SUMIFS('RAW_농산물_9월'!$F:$F,'RAW_농산물_9월'!$D:$D,$C593,'RAW_농산물_9월'!$A:$A,$E593),SUMIFS('RAW_농산물_10월'!$F:$F,'RAW_농산물_10월'!$D:$D,$C593,'RAW_농산물_10월'!$A:$A,$E593),SUMIFS('RAW_농산물_11-12월'!$F:$F,'RAW_농산물_11-12월'!$D:$D,$C593,'RAW_농산물_11-12월'!$A:$A,$E593))))</f>
        <v/>
      </c>
      <c r="G593" s="7" t="str">
        <f>IF($C593="","",IF('설정'!$B$3=0,"",CHOOSE('설정'!$B$3,SUMIFS('RAW_농산물_7월'!$G:$G,'RAW_농산물_7월'!$D:$D,$C593,'RAW_농산물_7월'!$A:$A,$E593),SUMIFS('RAW_농산물_8월'!$G:$G,'RAW_농산물_8월'!$D:$D,$C593,'RAW_농산물_8월'!$A:$A,$E593),SUMIFS('RAW_농산물_9월'!$G:$G,'RAW_농산물_9월'!$D:$D,$C593,'RAW_농산물_9월'!$A:$A,$E593),SUMIFS('RAW_농산물_10월'!$G:$G,'RAW_농산물_10월'!$D:$D,$C593,'RAW_농산물_10월'!$A:$A,$E593),SUMIFS('RAW_농산물_11-12월'!$G:$G,'RAW_농산물_11-12월'!$D:$D,$C593,'RAW_농산물_11-12월'!$A:$A,$E593))))</f>
        <v/>
      </c>
      <c r="H593" s="14" t="str">
        <f>IF($C593="","",IF('설정'!$B$3=0,"",CHOOSE('설정'!$B$3,SUMIFS('RAW_농산물_7월'!$H:$H,'RAW_농산물_7월'!$D:$D,$C593,'RAW_농산물_7월'!$A:$A,$E593),SUMIFS('RAW_농산물_8월'!$H:$H,'RAW_농산물_8월'!$D:$D,$C593,'RAW_농산물_8월'!$A:$A,$E593),SUMIFS('RAW_농산물_9월'!$H:$H,'RAW_농산물_9월'!$D:$D,$C593,'RAW_농산물_9월'!$A:$A,$E593),SUMIFS('RAW_농산물_10월'!$H:$H,'RAW_농산물_10월'!$D:$D,$C593,'RAW_농산물_10월'!$A:$A,$E593),SUMIFS('RAW_농산물_11-12월'!$H:$H,'RAW_농산물_11-12월'!$D:$D,$C593,'RAW_농산물_11-12월'!$A:$A,$E593))))</f>
        <v/>
      </c>
      <c r="I593" s="17" t="str">
        <f>IF($C593="","",IF(COUNTIFS('RAW_농산물_7월'!$D:$D,$C593,'RAW_농산물_7월'!$A:$A,$E593)&gt;0,"O",""))</f>
        <v/>
      </c>
      <c r="J593" s="17" t="str">
        <f>IF($C593="","",IF(COUNTIFS('RAW_농산물_8월'!$D:$D,$C593,'RAW_농산물_8월'!$A:$A,$E593)&gt;0,"O",""))</f>
        <v/>
      </c>
      <c r="K593" s="17" t="str">
        <f>IF($C593="","",IF(COUNTIFS('RAW_농산물_9월'!$D:$D,$C593,'RAW_농산물_9월'!$A:$A,$E593)&gt;0,"O",""))</f>
        <v/>
      </c>
      <c r="L593" s="17" t="str">
        <f>IF($C593="","",IF(COUNTIFS('RAW_농산물_10월'!$D:$D,$C593,'RAW_농산물_10월'!$A:$A,$E593)&gt;0,"O",""))</f>
        <v/>
      </c>
      <c r="M593" s="17" t="str">
        <f>IF($C593="","",IF(COUNTIFS('RAW_농산물_11-12월'!$D:$D,$C593,'RAW_농산물_11-12월'!$A:$A,$E593)&gt;0,"O",""))</f>
        <v/>
      </c>
      <c r="N593" s="7" t="str">
        <f>IF($C593="","",IF(COUNTA('RAW_농산물_7월'!$A:$A)&lt;=1,"",SUMIFS('RAW_농산물_7월'!$H:$H,'RAW_농산물_7월'!$D:$D,$C593,'RAW_농산물_7월'!$A:$A,$E593)))</f>
        <v/>
      </c>
      <c r="O593" s="7" t="str">
        <f>IF($C593="","",IF(COUNTA('RAW_농산물_8월'!$A:$A)&lt;=1,"",SUMIFS('RAW_농산물_8월'!$H:$H,'RAW_농산물_8월'!$D:$D,$C593,'RAW_농산물_8월'!$A:$A,$E593)-SUMIFS('RAW_농산물_7월'!$H:$H,'RAW_농산물_7월'!$D:$D,$C593,'RAW_농산물_7월'!$A:$A,$E593)))</f>
        <v/>
      </c>
      <c r="P593" s="7" t="str">
        <f>IF($C593="","",IF(COUNTA('RAW_농산물_9월'!$A:$A)&lt;=1,"",SUMIFS('RAW_농산물_9월'!$H:$H,'RAW_농산물_9월'!$D:$D,$C593,'RAW_농산물_9월'!$A:$A,$E593)-SUMIFS('RAW_농산물_8월'!$H:$H,'RAW_농산물_8월'!$D:$D,$C593,'RAW_농산물_8월'!$A:$A,$E593)))</f>
        <v/>
      </c>
      <c r="Q593" s="7" t="str">
        <f>IF($C593="","",IF(COUNTA('RAW_농산물_10월'!$A:$A)&lt;=1,"",SUMIFS('RAW_농산물_10월'!$H:$H,'RAW_농산물_10월'!$D:$D,$C593,'RAW_농산물_10월'!$A:$A,$E593)-SUMIFS('RAW_농산물_9월'!$H:$H,'RAW_농산물_9월'!$D:$D,$C593,'RAW_농산물_9월'!$A:$A,$E593)))</f>
        <v/>
      </c>
      <c r="R593" s="7" t="str">
        <f>IF($C593="","",IF(COUNTA('RAW_농산물_11-12월'!$A:$A)&lt;=1,"",SUMIFS('RAW_농산물_11-12월'!$H:$H,'RAW_농산물_11-12월'!$D:$D,$C593,'RAW_농산물_11-12월'!$A:$A,$E593)-SUMIFS('RAW_농산물_10월'!$H:$H,'RAW_농산물_10월'!$D:$D,$C593,'RAW_농산물_10월'!$A:$A,$E593)))</f>
        <v/>
      </c>
      <c r="S593" s="17" t="str">
        <f t="shared" si="4"/>
        <v/>
      </c>
      <c r="T593" s="17" t="str">
        <f t="shared" si="5"/>
        <v/>
      </c>
      <c r="U593" s="7">
        <f>IF($C593="",0,IF('설정'!$B$3=0,0,CHOOSE('설정'!$B$3,COUNTIFS('RAW_농산물_7월'!$D:$D,$C593,'RAW_농산물_7월'!$A:$A,$E593),COUNTIFS('RAW_농산물_8월'!$D:$D,$C593,'RAW_농산물_8월'!$A:$A,$E593),COUNTIFS('RAW_농산물_9월'!$D:$D,$C593,'RAW_농산물_9월'!$A:$A,$E593),COUNTIFS('RAW_농산물_10월'!$D:$D,$C593,'RAW_농산물_10월'!$A:$A,$E593),COUNTIFS('RAW_농산물_11-12월'!$D:$D,$C593,'RAW_농산물_11-12월'!$A:$A,$E593))))</f>
        <v>0</v>
      </c>
    </row>
    <row r="594" ht="15.75" customHeight="1">
      <c r="A594" s="5"/>
      <c r="B594" s="5"/>
      <c r="C594" s="5"/>
      <c r="D594" s="6"/>
      <c r="E594" s="5"/>
      <c r="F594" s="7" t="str">
        <f>IF($C594="","",IF('설정'!$B$3=0,"",CHOOSE('설정'!$B$3,SUMIFS('RAW_농산물_7월'!$F:$F,'RAW_농산물_7월'!$D:$D,$C594,'RAW_농산물_7월'!$A:$A,$E594),SUMIFS('RAW_농산물_8월'!$F:$F,'RAW_농산물_8월'!$D:$D,$C594,'RAW_농산물_8월'!$A:$A,$E594),SUMIFS('RAW_농산물_9월'!$F:$F,'RAW_농산물_9월'!$D:$D,$C594,'RAW_농산물_9월'!$A:$A,$E594),SUMIFS('RAW_농산물_10월'!$F:$F,'RAW_농산물_10월'!$D:$D,$C594,'RAW_농산물_10월'!$A:$A,$E594),SUMIFS('RAW_농산물_11-12월'!$F:$F,'RAW_농산물_11-12월'!$D:$D,$C594,'RAW_농산물_11-12월'!$A:$A,$E594))))</f>
        <v/>
      </c>
      <c r="G594" s="7" t="str">
        <f>IF($C594="","",IF('설정'!$B$3=0,"",CHOOSE('설정'!$B$3,SUMIFS('RAW_농산물_7월'!$G:$G,'RAW_농산물_7월'!$D:$D,$C594,'RAW_농산물_7월'!$A:$A,$E594),SUMIFS('RAW_농산물_8월'!$G:$G,'RAW_농산물_8월'!$D:$D,$C594,'RAW_농산물_8월'!$A:$A,$E594),SUMIFS('RAW_농산물_9월'!$G:$G,'RAW_농산물_9월'!$D:$D,$C594,'RAW_농산물_9월'!$A:$A,$E594),SUMIFS('RAW_농산물_10월'!$G:$G,'RAW_농산물_10월'!$D:$D,$C594,'RAW_농산물_10월'!$A:$A,$E594),SUMIFS('RAW_농산물_11-12월'!$G:$G,'RAW_농산물_11-12월'!$D:$D,$C594,'RAW_농산물_11-12월'!$A:$A,$E594))))</f>
        <v/>
      </c>
      <c r="H594" s="14" t="str">
        <f>IF($C594="","",IF('설정'!$B$3=0,"",CHOOSE('설정'!$B$3,SUMIFS('RAW_농산물_7월'!$H:$H,'RAW_농산물_7월'!$D:$D,$C594,'RAW_농산물_7월'!$A:$A,$E594),SUMIFS('RAW_농산물_8월'!$H:$H,'RAW_농산물_8월'!$D:$D,$C594,'RAW_농산물_8월'!$A:$A,$E594),SUMIFS('RAW_농산물_9월'!$H:$H,'RAW_농산물_9월'!$D:$D,$C594,'RAW_농산물_9월'!$A:$A,$E594),SUMIFS('RAW_농산물_10월'!$H:$H,'RAW_농산물_10월'!$D:$D,$C594,'RAW_농산물_10월'!$A:$A,$E594),SUMIFS('RAW_농산물_11-12월'!$H:$H,'RAW_농산물_11-12월'!$D:$D,$C594,'RAW_농산물_11-12월'!$A:$A,$E594))))</f>
        <v/>
      </c>
      <c r="I594" s="17" t="str">
        <f>IF($C594="","",IF(COUNTIFS('RAW_농산물_7월'!$D:$D,$C594,'RAW_농산물_7월'!$A:$A,$E594)&gt;0,"O",""))</f>
        <v/>
      </c>
      <c r="J594" s="17" t="str">
        <f>IF($C594="","",IF(COUNTIFS('RAW_농산물_8월'!$D:$D,$C594,'RAW_농산물_8월'!$A:$A,$E594)&gt;0,"O",""))</f>
        <v/>
      </c>
      <c r="K594" s="17" t="str">
        <f>IF($C594="","",IF(COUNTIFS('RAW_농산물_9월'!$D:$D,$C594,'RAW_농산물_9월'!$A:$A,$E594)&gt;0,"O",""))</f>
        <v/>
      </c>
      <c r="L594" s="17" t="str">
        <f>IF($C594="","",IF(COUNTIFS('RAW_농산물_10월'!$D:$D,$C594,'RAW_농산물_10월'!$A:$A,$E594)&gt;0,"O",""))</f>
        <v/>
      </c>
      <c r="M594" s="17" t="str">
        <f>IF($C594="","",IF(COUNTIFS('RAW_농산물_11-12월'!$D:$D,$C594,'RAW_농산물_11-12월'!$A:$A,$E594)&gt;0,"O",""))</f>
        <v/>
      </c>
      <c r="N594" s="7" t="str">
        <f>IF($C594="","",IF(COUNTA('RAW_농산물_7월'!$A:$A)&lt;=1,"",SUMIFS('RAW_농산물_7월'!$H:$H,'RAW_농산물_7월'!$D:$D,$C594,'RAW_농산물_7월'!$A:$A,$E594)))</f>
        <v/>
      </c>
      <c r="O594" s="7" t="str">
        <f>IF($C594="","",IF(COUNTA('RAW_농산물_8월'!$A:$A)&lt;=1,"",SUMIFS('RAW_농산물_8월'!$H:$H,'RAW_농산물_8월'!$D:$D,$C594,'RAW_농산물_8월'!$A:$A,$E594)-SUMIFS('RAW_농산물_7월'!$H:$H,'RAW_농산물_7월'!$D:$D,$C594,'RAW_농산물_7월'!$A:$A,$E594)))</f>
        <v/>
      </c>
      <c r="P594" s="7" t="str">
        <f>IF($C594="","",IF(COUNTA('RAW_농산물_9월'!$A:$A)&lt;=1,"",SUMIFS('RAW_농산물_9월'!$H:$H,'RAW_농산물_9월'!$D:$D,$C594,'RAW_농산물_9월'!$A:$A,$E594)-SUMIFS('RAW_농산물_8월'!$H:$H,'RAW_농산물_8월'!$D:$D,$C594,'RAW_농산물_8월'!$A:$A,$E594)))</f>
        <v/>
      </c>
      <c r="Q594" s="7" t="str">
        <f>IF($C594="","",IF(COUNTA('RAW_농산물_10월'!$A:$A)&lt;=1,"",SUMIFS('RAW_농산물_10월'!$H:$H,'RAW_농산물_10월'!$D:$D,$C594,'RAW_농산물_10월'!$A:$A,$E594)-SUMIFS('RAW_농산물_9월'!$H:$H,'RAW_농산물_9월'!$D:$D,$C594,'RAW_농산물_9월'!$A:$A,$E594)))</f>
        <v/>
      </c>
      <c r="R594" s="7" t="str">
        <f>IF($C594="","",IF(COUNTA('RAW_농산물_11-12월'!$A:$A)&lt;=1,"",SUMIFS('RAW_농산물_11-12월'!$H:$H,'RAW_농산물_11-12월'!$D:$D,$C594,'RAW_농산물_11-12월'!$A:$A,$E594)-SUMIFS('RAW_농산물_10월'!$H:$H,'RAW_농산물_10월'!$D:$D,$C594,'RAW_농산물_10월'!$A:$A,$E594)))</f>
        <v/>
      </c>
      <c r="S594" s="17" t="str">
        <f t="shared" si="4"/>
        <v/>
      </c>
      <c r="T594" s="17" t="str">
        <f t="shared" si="5"/>
        <v/>
      </c>
      <c r="U594" s="7">
        <f>IF($C594="",0,IF('설정'!$B$3=0,0,CHOOSE('설정'!$B$3,COUNTIFS('RAW_농산물_7월'!$D:$D,$C594,'RAW_농산물_7월'!$A:$A,$E594),COUNTIFS('RAW_농산물_8월'!$D:$D,$C594,'RAW_농산물_8월'!$A:$A,$E594),COUNTIFS('RAW_농산물_9월'!$D:$D,$C594,'RAW_농산물_9월'!$A:$A,$E594),COUNTIFS('RAW_농산물_10월'!$D:$D,$C594,'RAW_농산물_10월'!$A:$A,$E594),COUNTIFS('RAW_농산물_11-12월'!$D:$D,$C594,'RAW_농산물_11-12월'!$A:$A,$E594))))</f>
        <v>0</v>
      </c>
    </row>
    <row r="595" ht="15.75" customHeight="1">
      <c r="A595" s="5"/>
      <c r="B595" s="5"/>
      <c r="C595" s="5"/>
      <c r="D595" s="6"/>
      <c r="E595" s="5"/>
      <c r="F595" s="7" t="str">
        <f>IF($C595="","",IF('설정'!$B$3=0,"",CHOOSE('설정'!$B$3,SUMIFS('RAW_농산물_7월'!$F:$F,'RAW_농산물_7월'!$D:$D,$C595,'RAW_농산물_7월'!$A:$A,$E595),SUMIFS('RAW_농산물_8월'!$F:$F,'RAW_농산물_8월'!$D:$D,$C595,'RAW_농산물_8월'!$A:$A,$E595),SUMIFS('RAW_농산물_9월'!$F:$F,'RAW_농산물_9월'!$D:$D,$C595,'RAW_농산물_9월'!$A:$A,$E595),SUMIFS('RAW_농산물_10월'!$F:$F,'RAW_농산물_10월'!$D:$D,$C595,'RAW_농산물_10월'!$A:$A,$E595),SUMIFS('RAW_농산물_11-12월'!$F:$F,'RAW_농산물_11-12월'!$D:$D,$C595,'RAW_농산물_11-12월'!$A:$A,$E595))))</f>
        <v/>
      </c>
      <c r="G595" s="7" t="str">
        <f>IF($C595="","",IF('설정'!$B$3=0,"",CHOOSE('설정'!$B$3,SUMIFS('RAW_농산물_7월'!$G:$G,'RAW_농산물_7월'!$D:$D,$C595,'RAW_농산물_7월'!$A:$A,$E595),SUMIFS('RAW_농산물_8월'!$G:$G,'RAW_농산물_8월'!$D:$D,$C595,'RAW_농산물_8월'!$A:$A,$E595),SUMIFS('RAW_농산물_9월'!$G:$G,'RAW_농산물_9월'!$D:$D,$C595,'RAW_농산물_9월'!$A:$A,$E595),SUMIFS('RAW_농산물_10월'!$G:$G,'RAW_농산물_10월'!$D:$D,$C595,'RAW_농산물_10월'!$A:$A,$E595),SUMIFS('RAW_농산물_11-12월'!$G:$G,'RAW_농산물_11-12월'!$D:$D,$C595,'RAW_농산물_11-12월'!$A:$A,$E595))))</f>
        <v/>
      </c>
      <c r="H595" s="14" t="str">
        <f>IF($C595="","",IF('설정'!$B$3=0,"",CHOOSE('설정'!$B$3,SUMIFS('RAW_농산물_7월'!$H:$H,'RAW_농산물_7월'!$D:$D,$C595,'RAW_농산물_7월'!$A:$A,$E595),SUMIFS('RAW_농산물_8월'!$H:$H,'RAW_농산물_8월'!$D:$D,$C595,'RAW_농산물_8월'!$A:$A,$E595),SUMIFS('RAW_농산물_9월'!$H:$H,'RAW_농산물_9월'!$D:$D,$C595,'RAW_농산물_9월'!$A:$A,$E595),SUMIFS('RAW_농산물_10월'!$H:$H,'RAW_농산물_10월'!$D:$D,$C595,'RAW_농산물_10월'!$A:$A,$E595),SUMIFS('RAW_농산물_11-12월'!$H:$H,'RAW_농산물_11-12월'!$D:$D,$C595,'RAW_농산물_11-12월'!$A:$A,$E595))))</f>
        <v/>
      </c>
      <c r="I595" s="17" t="str">
        <f>IF($C595="","",IF(COUNTIFS('RAW_농산물_7월'!$D:$D,$C595,'RAW_농산물_7월'!$A:$A,$E595)&gt;0,"O",""))</f>
        <v/>
      </c>
      <c r="J595" s="17" t="str">
        <f>IF($C595="","",IF(COUNTIFS('RAW_농산물_8월'!$D:$D,$C595,'RAW_농산물_8월'!$A:$A,$E595)&gt;0,"O",""))</f>
        <v/>
      </c>
      <c r="K595" s="17" t="str">
        <f>IF($C595="","",IF(COUNTIFS('RAW_농산물_9월'!$D:$D,$C595,'RAW_농산물_9월'!$A:$A,$E595)&gt;0,"O",""))</f>
        <v/>
      </c>
      <c r="L595" s="17" t="str">
        <f>IF($C595="","",IF(COUNTIFS('RAW_농산물_10월'!$D:$D,$C595,'RAW_농산물_10월'!$A:$A,$E595)&gt;0,"O",""))</f>
        <v/>
      </c>
      <c r="M595" s="17" t="str">
        <f>IF($C595="","",IF(COUNTIFS('RAW_농산물_11-12월'!$D:$D,$C595,'RAW_농산물_11-12월'!$A:$A,$E595)&gt;0,"O",""))</f>
        <v/>
      </c>
      <c r="N595" s="7" t="str">
        <f>IF($C595="","",IF(COUNTA('RAW_농산물_7월'!$A:$A)&lt;=1,"",SUMIFS('RAW_농산물_7월'!$H:$H,'RAW_농산물_7월'!$D:$D,$C595,'RAW_농산물_7월'!$A:$A,$E595)))</f>
        <v/>
      </c>
      <c r="O595" s="7" t="str">
        <f>IF($C595="","",IF(COUNTA('RAW_농산물_8월'!$A:$A)&lt;=1,"",SUMIFS('RAW_농산물_8월'!$H:$H,'RAW_농산물_8월'!$D:$D,$C595,'RAW_농산물_8월'!$A:$A,$E595)-SUMIFS('RAW_농산물_7월'!$H:$H,'RAW_농산물_7월'!$D:$D,$C595,'RAW_농산물_7월'!$A:$A,$E595)))</f>
        <v/>
      </c>
      <c r="P595" s="7" t="str">
        <f>IF($C595="","",IF(COUNTA('RAW_농산물_9월'!$A:$A)&lt;=1,"",SUMIFS('RAW_농산물_9월'!$H:$H,'RAW_농산물_9월'!$D:$D,$C595,'RAW_농산물_9월'!$A:$A,$E595)-SUMIFS('RAW_농산물_8월'!$H:$H,'RAW_농산물_8월'!$D:$D,$C595,'RAW_농산물_8월'!$A:$A,$E595)))</f>
        <v/>
      </c>
      <c r="Q595" s="7" t="str">
        <f>IF($C595="","",IF(COUNTA('RAW_농산물_10월'!$A:$A)&lt;=1,"",SUMIFS('RAW_농산물_10월'!$H:$H,'RAW_농산물_10월'!$D:$D,$C595,'RAW_농산물_10월'!$A:$A,$E595)-SUMIFS('RAW_농산물_9월'!$H:$H,'RAW_농산물_9월'!$D:$D,$C595,'RAW_농산물_9월'!$A:$A,$E595)))</f>
        <v/>
      </c>
      <c r="R595" s="7" t="str">
        <f>IF($C595="","",IF(COUNTA('RAW_농산물_11-12월'!$A:$A)&lt;=1,"",SUMIFS('RAW_농산물_11-12월'!$H:$H,'RAW_농산물_11-12월'!$D:$D,$C595,'RAW_농산물_11-12월'!$A:$A,$E595)-SUMIFS('RAW_농산물_10월'!$H:$H,'RAW_농산물_10월'!$D:$D,$C595,'RAW_농산물_10월'!$A:$A,$E595)))</f>
        <v/>
      </c>
      <c r="S595" s="17" t="str">
        <f t="shared" si="4"/>
        <v/>
      </c>
      <c r="T595" s="17" t="str">
        <f t="shared" si="5"/>
        <v/>
      </c>
      <c r="U595" s="7">
        <f>IF($C595="",0,IF('설정'!$B$3=0,0,CHOOSE('설정'!$B$3,COUNTIFS('RAW_농산물_7월'!$D:$D,$C595,'RAW_농산물_7월'!$A:$A,$E595),COUNTIFS('RAW_농산물_8월'!$D:$D,$C595,'RAW_농산물_8월'!$A:$A,$E595),COUNTIFS('RAW_농산물_9월'!$D:$D,$C595,'RAW_농산물_9월'!$A:$A,$E595),COUNTIFS('RAW_농산물_10월'!$D:$D,$C595,'RAW_농산물_10월'!$A:$A,$E595),COUNTIFS('RAW_농산물_11-12월'!$D:$D,$C595,'RAW_농산물_11-12월'!$A:$A,$E595))))</f>
        <v>0</v>
      </c>
    </row>
    <row r="596" ht="15.75" customHeight="1">
      <c r="A596" s="5"/>
      <c r="B596" s="5"/>
      <c r="C596" s="5"/>
      <c r="D596" s="6"/>
      <c r="E596" s="5"/>
      <c r="F596" s="7" t="str">
        <f>IF($C596="","",IF('설정'!$B$3=0,"",CHOOSE('설정'!$B$3,SUMIFS('RAW_농산물_7월'!$F:$F,'RAW_농산물_7월'!$D:$D,$C596,'RAW_농산물_7월'!$A:$A,$E596),SUMIFS('RAW_농산물_8월'!$F:$F,'RAW_농산물_8월'!$D:$D,$C596,'RAW_농산물_8월'!$A:$A,$E596),SUMIFS('RAW_농산물_9월'!$F:$F,'RAW_농산물_9월'!$D:$D,$C596,'RAW_농산물_9월'!$A:$A,$E596),SUMIFS('RAW_농산물_10월'!$F:$F,'RAW_농산물_10월'!$D:$D,$C596,'RAW_농산물_10월'!$A:$A,$E596),SUMIFS('RAW_농산물_11-12월'!$F:$F,'RAW_농산물_11-12월'!$D:$D,$C596,'RAW_농산물_11-12월'!$A:$A,$E596))))</f>
        <v/>
      </c>
      <c r="G596" s="7" t="str">
        <f>IF($C596="","",IF('설정'!$B$3=0,"",CHOOSE('설정'!$B$3,SUMIFS('RAW_농산물_7월'!$G:$G,'RAW_농산물_7월'!$D:$D,$C596,'RAW_농산물_7월'!$A:$A,$E596),SUMIFS('RAW_농산물_8월'!$G:$G,'RAW_농산물_8월'!$D:$D,$C596,'RAW_농산물_8월'!$A:$A,$E596),SUMIFS('RAW_농산물_9월'!$G:$G,'RAW_농산물_9월'!$D:$D,$C596,'RAW_농산물_9월'!$A:$A,$E596),SUMIFS('RAW_농산물_10월'!$G:$G,'RAW_농산물_10월'!$D:$D,$C596,'RAW_농산물_10월'!$A:$A,$E596),SUMIFS('RAW_농산물_11-12월'!$G:$G,'RAW_농산물_11-12월'!$D:$D,$C596,'RAW_농산물_11-12월'!$A:$A,$E596))))</f>
        <v/>
      </c>
      <c r="H596" s="14" t="str">
        <f>IF($C596="","",IF('설정'!$B$3=0,"",CHOOSE('설정'!$B$3,SUMIFS('RAW_농산물_7월'!$H:$H,'RAW_농산물_7월'!$D:$D,$C596,'RAW_농산물_7월'!$A:$A,$E596),SUMIFS('RAW_농산물_8월'!$H:$H,'RAW_농산물_8월'!$D:$D,$C596,'RAW_농산물_8월'!$A:$A,$E596),SUMIFS('RAW_농산물_9월'!$H:$H,'RAW_농산물_9월'!$D:$D,$C596,'RAW_농산물_9월'!$A:$A,$E596),SUMIFS('RAW_농산물_10월'!$H:$H,'RAW_농산물_10월'!$D:$D,$C596,'RAW_농산물_10월'!$A:$A,$E596),SUMIFS('RAW_농산물_11-12월'!$H:$H,'RAW_농산물_11-12월'!$D:$D,$C596,'RAW_농산물_11-12월'!$A:$A,$E596))))</f>
        <v/>
      </c>
      <c r="I596" s="17" t="str">
        <f>IF($C596="","",IF(COUNTIFS('RAW_농산물_7월'!$D:$D,$C596,'RAW_농산물_7월'!$A:$A,$E596)&gt;0,"O",""))</f>
        <v/>
      </c>
      <c r="J596" s="17" t="str">
        <f>IF($C596="","",IF(COUNTIFS('RAW_농산물_8월'!$D:$D,$C596,'RAW_농산물_8월'!$A:$A,$E596)&gt;0,"O",""))</f>
        <v/>
      </c>
      <c r="K596" s="17" t="str">
        <f>IF($C596="","",IF(COUNTIFS('RAW_농산물_9월'!$D:$D,$C596,'RAW_농산물_9월'!$A:$A,$E596)&gt;0,"O",""))</f>
        <v/>
      </c>
      <c r="L596" s="17" t="str">
        <f>IF($C596="","",IF(COUNTIFS('RAW_농산물_10월'!$D:$D,$C596,'RAW_농산물_10월'!$A:$A,$E596)&gt;0,"O",""))</f>
        <v/>
      </c>
      <c r="M596" s="17" t="str">
        <f>IF($C596="","",IF(COUNTIFS('RAW_농산물_11-12월'!$D:$D,$C596,'RAW_농산물_11-12월'!$A:$A,$E596)&gt;0,"O",""))</f>
        <v/>
      </c>
      <c r="N596" s="7" t="str">
        <f>IF($C596="","",IF(COUNTA('RAW_농산물_7월'!$A:$A)&lt;=1,"",SUMIFS('RAW_농산물_7월'!$H:$H,'RAW_농산물_7월'!$D:$D,$C596,'RAW_농산물_7월'!$A:$A,$E596)))</f>
        <v/>
      </c>
      <c r="O596" s="7" t="str">
        <f>IF($C596="","",IF(COUNTA('RAW_농산물_8월'!$A:$A)&lt;=1,"",SUMIFS('RAW_농산물_8월'!$H:$H,'RAW_농산물_8월'!$D:$D,$C596,'RAW_농산물_8월'!$A:$A,$E596)-SUMIFS('RAW_농산물_7월'!$H:$H,'RAW_농산물_7월'!$D:$D,$C596,'RAW_농산물_7월'!$A:$A,$E596)))</f>
        <v/>
      </c>
      <c r="P596" s="7" t="str">
        <f>IF($C596="","",IF(COUNTA('RAW_농산물_9월'!$A:$A)&lt;=1,"",SUMIFS('RAW_농산물_9월'!$H:$H,'RAW_농산물_9월'!$D:$D,$C596,'RAW_농산물_9월'!$A:$A,$E596)-SUMIFS('RAW_농산물_8월'!$H:$H,'RAW_농산물_8월'!$D:$D,$C596,'RAW_농산물_8월'!$A:$A,$E596)))</f>
        <v/>
      </c>
      <c r="Q596" s="7" t="str">
        <f>IF($C596="","",IF(COUNTA('RAW_농산물_10월'!$A:$A)&lt;=1,"",SUMIFS('RAW_농산물_10월'!$H:$H,'RAW_농산물_10월'!$D:$D,$C596,'RAW_농산물_10월'!$A:$A,$E596)-SUMIFS('RAW_농산물_9월'!$H:$H,'RAW_농산물_9월'!$D:$D,$C596,'RAW_농산물_9월'!$A:$A,$E596)))</f>
        <v/>
      </c>
      <c r="R596" s="7" t="str">
        <f>IF($C596="","",IF(COUNTA('RAW_농산물_11-12월'!$A:$A)&lt;=1,"",SUMIFS('RAW_농산물_11-12월'!$H:$H,'RAW_농산물_11-12월'!$D:$D,$C596,'RAW_농산물_11-12월'!$A:$A,$E596)-SUMIFS('RAW_농산물_10월'!$H:$H,'RAW_농산물_10월'!$D:$D,$C596,'RAW_농산물_10월'!$A:$A,$E596)))</f>
        <v/>
      </c>
      <c r="S596" s="17" t="str">
        <f t="shared" si="4"/>
        <v/>
      </c>
      <c r="T596" s="17" t="str">
        <f t="shared" si="5"/>
        <v/>
      </c>
      <c r="U596" s="7">
        <f>IF($C596="",0,IF('설정'!$B$3=0,0,CHOOSE('설정'!$B$3,COUNTIFS('RAW_농산물_7월'!$D:$D,$C596,'RAW_농산물_7월'!$A:$A,$E596),COUNTIFS('RAW_농산물_8월'!$D:$D,$C596,'RAW_농산물_8월'!$A:$A,$E596),COUNTIFS('RAW_농산물_9월'!$D:$D,$C596,'RAW_농산물_9월'!$A:$A,$E596),COUNTIFS('RAW_농산물_10월'!$D:$D,$C596,'RAW_농산물_10월'!$A:$A,$E596),COUNTIFS('RAW_농산물_11-12월'!$D:$D,$C596,'RAW_농산물_11-12월'!$A:$A,$E596))))</f>
        <v>0</v>
      </c>
    </row>
    <row r="597" ht="15.75" customHeight="1">
      <c r="A597" s="5"/>
      <c r="B597" s="5"/>
      <c r="C597" s="5"/>
      <c r="D597" s="6"/>
      <c r="E597" s="5"/>
      <c r="F597" s="7" t="str">
        <f>IF($C597="","",IF('설정'!$B$3=0,"",CHOOSE('설정'!$B$3,SUMIFS('RAW_농산물_7월'!$F:$F,'RAW_농산물_7월'!$D:$D,$C597,'RAW_농산물_7월'!$A:$A,$E597),SUMIFS('RAW_농산물_8월'!$F:$F,'RAW_농산물_8월'!$D:$D,$C597,'RAW_농산물_8월'!$A:$A,$E597),SUMIFS('RAW_농산물_9월'!$F:$F,'RAW_농산물_9월'!$D:$D,$C597,'RAW_농산물_9월'!$A:$A,$E597),SUMIFS('RAW_농산물_10월'!$F:$F,'RAW_농산물_10월'!$D:$D,$C597,'RAW_농산물_10월'!$A:$A,$E597),SUMIFS('RAW_농산물_11-12월'!$F:$F,'RAW_농산물_11-12월'!$D:$D,$C597,'RAW_농산물_11-12월'!$A:$A,$E597))))</f>
        <v/>
      </c>
      <c r="G597" s="7" t="str">
        <f>IF($C597="","",IF('설정'!$B$3=0,"",CHOOSE('설정'!$B$3,SUMIFS('RAW_농산물_7월'!$G:$G,'RAW_농산물_7월'!$D:$D,$C597,'RAW_농산물_7월'!$A:$A,$E597),SUMIFS('RAW_농산물_8월'!$G:$G,'RAW_농산물_8월'!$D:$D,$C597,'RAW_농산물_8월'!$A:$A,$E597),SUMIFS('RAW_농산물_9월'!$G:$G,'RAW_농산물_9월'!$D:$D,$C597,'RAW_농산물_9월'!$A:$A,$E597),SUMIFS('RAW_농산물_10월'!$G:$G,'RAW_농산물_10월'!$D:$D,$C597,'RAW_농산물_10월'!$A:$A,$E597),SUMIFS('RAW_농산물_11-12월'!$G:$G,'RAW_농산물_11-12월'!$D:$D,$C597,'RAW_농산물_11-12월'!$A:$A,$E597))))</f>
        <v/>
      </c>
      <c r="H597" s="14" t="str">
        <f>IF($C597="","",IF('설정'!$B$3=0,"",CHOOSE('설정'!$B$3,SUMIFS('RAW_농산물_7월'!$H:$H,'RAW_농산물_7월'!$D:$D,$C597,'RAW_농산물_7월'!$A:$A,$E597),SUMIFS('RAW_농산물_8월'!$H:$H,'RAW_농산물_8월'!$D:$D,$C597,'RAW_농산물_8월'!$A:$A,$E597),SUMIFS('RAW_농산물_9월'!$H:$H,'RAW_농산물_9월'!$D:$D,$C597,'RAW_농산물_9월'!$A:$A,$E597),SUMIFS('RAW_농산물_10월'!$H:$H,'RAW_농산물_10월'!$D:$D,$C597,'RAW_농산물_10월'!$A:$A,$E597),SUMIFS('RAW_농산물_11-12월'!$H:$H,'RAW_농산물_11-12월'!$D:$D,$C597,'RAW_농산물_11-12월'!$A:$A,$E597))))</f>
        <v/>
      </c>
      <c r="I597" s="17" t="str">
        <f>IF($C597="","",IF(COUNTIFS('RAW_농산물_7월'!$D:$D,$C597,'RAW_농산물_7월'!$A:$A,$E597)&gt;0,"O",""))</f>
        <v/>
      </c>
      <c r="J597" s="17" t="str">
        <f>IF($C597="","",IF(COUNTIFS('RAW_농산물_8월'!$D:$D,$C597,'RAW_농산물_8월'!$A:$A,$E597)&gt;0,"O",""))</f>
        <v/>
      </c>
      <c r="K597" s="17" t="str">
        <f>IF($C597="","",IF(COUNTIFS('RAW_농산물_9월'!$D:$D,$C597,'RAW_농산물_9월'!$A:$A,$E597)&gt;0,"O",""))</f>
        <v/>
      </c>
      <c r="L597" s="17" t="str">
        <f>IF($C597="","",IF(COUNTIFS('RAW_농산물_10월'!$D:$D,$C597,'RAW_농산물_10월'!$A:$A,$E597)&gt;0,"O",""))</f>
        <v/>
      </c>
      <c r="M597" s="17" t="str">
        <f>IF($C597="","",IF(COUNTIFS('RAW_농산물_11-12월'!$D:$D,$C597,'RAW_농산물_11-12월'!$A:$A,$E597)&gt;0,"O",""))</f>
        <v/>
      </c>
      <c r="N597" s="7" t="str">
        <f>IF($C597="","",IF(COUNTA('RAW_농산물_7월'!$A:$A)&lt;=1,"",SUMIFS('RAW_농산물_7월'!$H:$H,'RAW_농산물_7월'!$D:$D,$C597,'RAW_농산물_7월'!$A:$A,$E597)))</f>
        <v/>
      </c>
      <c r="O597" s="7" t="str">
        <f>IF($C597="","",IF(COUNTA('RAW_농산물_8월'!$A:$A)&lt;=1,"",SUMIFS('RAW_농산물_8월'!$H:$H,'RAW_농산물_8월'!$D:$D,$C597,'RAW_농산물_8월'!$A:$A,$E597)-SUMIFS('RAW_농산물_7월'!$H:$H,'RAW_농산물_7월'!$D:$D,$C597,'RAW_농산물_7월'!$A:$A,$E597)))</f>
        <v/>
      </c>
      <c r="P597" s="7" t="str">
        <f>IF($C597="","",IF(COUNTA('RAW_농산물_9월'!$A:$A)&lt;=1,"",SUMIFS('RAW_농산물_9월'!$H:$H,'RAW_농산물_9월'!$D:$D,$C597,'RAW_농산물_9월'!$A:$A,$E597)-SUMIFS('RAW_농산물_8월'!$H:$H,'RAW_농산물_8월'!$D:$D,$C597,'RAW_농산물_8월'!$A:$A,$E597)))</f>
        <v/>
      </c>
      <c r="Q597" s="7" t="str">
        <f>IF($C597="","",IF(COUNTA('RAW_농산물_10월'!$A:$A)&lt;=1,"",SUMIFS('RAW_농산물_10월'!$H:$H,'RAW_농산물_10월'!$D:$D,$C597,'RAW_농산물_10월'!$A:$A,$E597)-SUMIFS('RAW_농산물_9월'!$H:$H,'RAW_농산물_9월'!$D:$D,$C597,'RAW_농산물_9월'!$A:$A,$E597)))</f>
        <v/>
      </c>
      <c r="R597" s="7" t="str">
        <f>IF($C597="","",IF(COUNTA('RAW_농산물_11-12월'!$A:$A)&lt;=1,"",SUMIFS('RAW_농산물_11-12월'!$H:$H,'RAW_농산물_11-12월'!$D:$D,$C597,'RAW_농산물_11-12월'!$A:$A,$E597)-SUMIFS('RAW_농산물_10월'!$H:$H,'RAW_농산물_10월'!$D:$D,$C597,'RAW_농산물_10월'!$A:$A,$E597)))</f>
        <v/>
      </c>
      <c r="S597" s="17" t="str">
        <f t="shared" si="4"/>
        <v/>
      </c>
      <c r="T597" s="17" t="str">
        <f t="shared" si="5"/>
        <v/>
      </c>
      <c r="U597" s="7">
        <f>IF($C597="",0,IF('설정'!$B$3=0,0,CHOOSE('설정'!$B$3,COUNTIFS('RAW_농산물_7월'!$D:$D,$C597,'RAW_농산물_7월'!$A:$A,$E597),COUNTIFS('RAW_농산물_8월'!$D:$D,$C597,'RAW_농산물_8월'!$A:$A,$E597),COUNTIFS('RAW_농산물_9월'!$D:$D,$C597,'RAW_농산물_9월'!$A:$A,$E597),COUNTIFS('RAW_농산물_10월'!$D:$D,$C597,'RAW_농산물_10월'!$A:$A,$E597),COUNTIFS('RAW_농산물_11-12월'!$D:$D,$C597,'RAW_농산물_11-12월'!$A:$A,$E597))))</f>
        <v>0</v>
      </c>
    </row>
    <row r="598" ht="15.75" customHeight="1">
      <c r="A598" s="5"/>
      <c r="B598" s="5"/>
      <c r="C598" s="5"/>
      <c r="D598" s="6"/>
      <c r="E598" s="5"/>
      <c r="F598" s="7" t="str">
        <f>IF($C598="","",IF('설정'!$B$3=0,"",CHOOSE('설정'!$B$3,SUMIFS('RAW_농산물_7월'!$F:$F,'RAW_농산물_7월'!$D:$D,$C598,'RAW_농산물_7월'!$A:$A,$E598),SUMIFS('RAW_농산물_8월'!$F:$F,'RAW_농산물_8월'!$D:$D,$C598,'RAW_농산물_8월'!$A:$A,$E598),SUMIFS('RAW_농산물_9월'!$F:$F,'RAW_농산물_9월'!$D:$D,$C598,'RAW_농산물_9월'!$A:$A,$E598),SUMIFS('RAW_농산물_10월'!$F:$F,'RAW_농산물_10월'!$D:$D,$C598,'RAW_농산물_10월'!$A:$A,$E598),SUMIFS('RAW_농산물_11-12월'!$F:$F,'RAW_농산물_11-12월'!$D:$D,$C598,'RAW_농산물_11-12월'!$A:$A,$E598))))</f>
        <v/>
      </c>
      <c r="G598" s="7" t="str">
        <f>IF($C598="","",IF('설정'!$B$3=0,"",CHOOSE('설정'!$B$3,SUMIFS('RAW_농산물_7월'!$G:$G,'RAW_농산물_7월'!$D:$D,$C598,'RAW_농산물_7월'!$A:$A,$E598),SUMIFS('RAW_농산물_8월'!$G:$G,'RAW_농산물_8월'!$D:$D,$C598,'RAW_농산물_8월'!$A:$A,$E598),SUMIFS('RAW_농산물_9월'!$G:$G,'RAW_농산물_9월'!$D:$D,$C598,'RAW_농산물_9월'!$A:$A,$E598),SUMIFS('RAW_농산물_10월'!$G:$G,'RAW_농산물_10월'!$D:$D,$C598,'RAW_농산물_10월'!$A:$A,$E598),SUMIFS('RAW_농산물_11-12월'!$G:$G,'RAW_농산물_11-12월'!$D:$D,$C598,'RAW_농산물_11-12월'!$A:$A,$E598))))</f>
        <v/>
      </c>
      <c r="H598" s="14" t="str">
        <f>IF($C598="","",IF('설정'!$B$3=0,"",CHOOSE('설정'!$B$3,SUMIFS('RAW_농산물_7월'!$H:$H,'RAW_농산물_7월'!$D:$D,$C598,'RAW_농산물_7월'!$A:$A,$E598),SUMIFS('RAW_농산물_8월'!$H:$H,'RAW_농산물_8월'!$D:$D,$C598,'RAW_농산물_8월'!$A:$A,$E598),SUMIFS('RAW_농산물_9월'!$H:$H,'RAW_농산물_9월'!$D:$D,$C598,'RAW_농산물_9월'!$A:$A,$E598),SUMIFS('RAW_농산물_10월'!$H:$H,'RAW_농산물_10월'!$D:$D,$C598,'RAW_농산물_10월'!$A:$A,$E598),SUMIFS('RAW_농산물_11-12월'!$H:$H,'RAW_농산물_11-12월'!$D:$D,$C598,'RAW_농산물_11-12월'!$A:$A,$E598))))</f>
        <v/>
      </c>
      <c r="I598" s="17" t="str">
        <f>IF($C598="","",IF(COUNTIFS('RAW_농산물_7월'!$D:$D,$C598,'RAW_농산물_7월'!$A:$A,$E598)&gt;0,"O",""))</f>
        <v/>
      </c>
      <c r="J598" s="17" t="str">
        <f>IF($C598="","",IF(COUNTIFS('RAW_농산물_8월'!$D:$D,$C598,'RAW_농산물_8월'!$A:$A,$E598)&gt;0,"O",""))</f>
        <v/>
      </c>
      <c r="K598" s="17" t="str">
        <f>IF($C598="","",IF(COUNTIFS('RAW_농산물_9월'!$D:$D,$C598,'RAW_농산물_9월'!$A:$A,$E598)&gt;0,"O",""))</f>
        <v/>
      </c>
      <c r="L598" s="17" t="str">
        <f>IF($C598="","",IF(COUNTIFS('RAW_농산물_10월'!$D:$D,$C598,'RAW_농산물_10월'!$A:$A,$E598)&gt;0,"O",""))</f>
        <v/>
      </c>
      <c r="M598" s="17" t="str">
        <f>IF($C598="","",IF(COUNTIFS('RAW_농산물_11-12월'!$D:$D,$C598,'RAW_농산물_11-12월'!$A:$A,$E598)&gt;0,"O",""))</f>
        <v/>
      </c>
      <c r="N598" s="7" t="str">
        <f>IF($C598="","",IF(COUNTA('RAW_농산물_7월'!$A:$A)&lt;=1,"",SUMIFS('RAW_농산물_7월'!$H:$H,'RAW_농산물_7월'!$D:$D,$C598,'RAW_농산물_7월'!$A:$A,$E598)))</f>
        <v/>
      </c>
      <c r="O598" s="7" t="str">
        <f>IF($C598="","",IF(COUNTA('RAW_농산물_8월'!$A:$A)&lt;=1,"",SUMIFS('RAW_농산물_8월'!$H:$H,'RAW_농산물_8월'!$D:$D,$C598,'RAW_농산물_8월'!$A:$A,$E598)-SUMIFS('RAW_농산물_7월'!$H:$H,'RAW_농산물_7월'!$D:$D,$C598,'RAW_농산물_7월'!$A:$A,$E598)))</f>
        <v/>
      </c>
      <c r="P598" s="7" t="str">
        <f>IF($C598="","",IF(COUNTA('RAW_농산물_9월'!$A:$A)&lt;=1,"",SUMIFS('RAW_농산물_9월'!$H:$H,'RAW_농산물_9월'!$D:$D,$C598,'RAW_농산물_9월'!$A:$A,$E598)-SUMIFS('RAW_농산물_8월'!$H:$H,'RAW_농산물_8월'!$D:$D,$C598,'RAW_농산물_8월'!$A:$A,$E598)))</f>
        <v/>
      </c>
      <c r="Q598" s="7" t="str">
        <f>IF($C598="","",IF(COUNTA('RAW_농산물_10월'!$A:$A)&lt;=1,"",SUMIFS('RAW_농산물_10월'!$H:$H,'RAW_농산물_10월'!$D:$D,$C598,'RAW_농산물_10월'!$A:$A,$E598)-SUMIFS('RAW_농산물_9월'!$H:$H,'RAW_농산물_9월'!$D:$D,$C598,'RAW_농산물_9월'!$A:$A,$E598)))</f>
        <v/>
      </c>
      <c r="R598" s="7" t="str">
        <f>IF($C598="","",IF(COUNTA('RAW_농산물_11-12월'!$A:$A)&lt;=1,"",SUMIFS('RAW_농산물_11-12월'!$H:$H,'RAW_농산물_11-12월'!$D:$D,$C598,'RAW_농산물_11-12월'!$A:$A,$E598)-SUMIFS('RAW_농산물_10월'!$H:$H,'RAW_농산물_10월'!$D:$D,$C598,'RAW_농산물_10월'!$A:$A,$E598)))</f>
        <v/>
      </c>
      <c r="S598" s="17" t="str">
        <f t="shared" si="4"/>
        <v/>
      </c>
      <c r="T598" s="17" t="str">
        <f t="shared" si="5"/>
        <v/>
      </c>
      <c r="U598" s="7">
        <f>IF($C598="",0,IF('설정'!$B$3=0,0,CHOOSE('설정'!$B$3,COUNTIFS('RAW_농산물_7월'!$D:$D,$C598,'RAW_농산물_7월'!$A:$A,$E598),COUNTIFS('RAW_농산물_8월'!$D:$D,$C598,'RAW_농산물_8월'!$A:$A,$E598),COUNTIFS('RAW_농산물_9월'!$D:$D,$C598,'RAW_농산물_9월'!$A:$A,$E598),COUNTIFS('RAW_농산물_10월'!$D:$D,$C598,'RAW_농산물_10월'!$A:$A,$E598),COUNTIFS('RAW_농산물_11-12월'!$D:$D,$C598,'RAW_농산물_11-12월'!$A:$A,$E598))))</f>
        <v>0</v>
      </c>
    </row>
    <row r="599" ht="15.75" customHeight="1">
      <c r="A599" s="5"/>
      <c r="B599" s="5"/>
      <c r="C599" s="5"/>
      <c r="D599" s="6"/>
      <c r="E599" s="5"/>
      <c r="F599" s="7" t="str">
        <f>IF($C599="","",IF('설정'!$B$3=0,"",CHOOSE('설정'!$B$3,SUMIFS('RAW_농산물_7월'!$F:$F,'RAW_농산물_7월'!$D:$D,$C599,'RAW_농산물_7월'!$A:$A,$E599),SUMIFS('RAW_농산물_8월'!$F:$F,'RAW_농산물_8월'!$D:$D,$C599,'RAW_농산물_8월'!$A:$A,$E599),SUMIFS('RAW_농산물_9월'!$F:$F,'RAW_농산물_9월'!$D:$D,$C599,'RAW_농산물_9월'!$A:$A,$E599),SUMIFS('RAW_농산물_10월'!$F:$F,'RAW_농산물_10월'!$D:$D,$C599,'RAW_농산물_10월'!$A:$A,$E599),SUMIFS('RAW_농산물_11-12월'!$F:$F,'RAW_농산물_11-12월'!$D:$D,$C599,'RAW_농산물_11-12월'!$A:$A,$E599))))</f>
        <v/>
      </c>
      <c r="G599" s="7" t="str">
        <f>IF($C599="","",IF('설정'!$B$3=0,"",CHOOSE('설정'!$B$3,SUMIFS('RAW_농산물_7월'!$G:$G,'RAW_농산물_7월'!$D:$D,$C599,'RAW_농산물_7월'!$A:$A,$E599),SUMIFS('RAW_농산물_8월'!$G:$G,'RAW_농산물_8월'!$D:$D,$C599,'RAW_농산물_8월'!$A:$A,$E599),SUMIFS('RAW_농산물_9월'!$G:$G,'RAW_농산물_9월'!$D:$D,$C599,'RAW_농산물_9월'!$A:$A,$E599),SUMIFS('RAW_농산물_10월'!$G:$G,'RAW_농산물_10월'!$D:$D,$C599,'RAW_농산물_10월'!$A:$A,$E599),SUMIFS('RAW_농산물_11-12월'!$G:$G,'RAW_농산물_11-12월'!$D:$D,$C599,'RAW_농산물_11-12월'!$A:$A,$E599))))</f>
        <v/>
      </c>
      <c r="H599" s="14" t="str">
        <f>IF($C599="","",IF('설정'!$B$3=0,"",CHOOSE('설정'!$B$3,SUMIFS('RAW_농산물_7월'!$H:$H,'RAW_농산물_7월'!$D:$D,$C599,'RAW_농산물_7월'!$A:$A,$E599),SUMIFS('RAW_농산물_8월'!$H:$H,'RAW_농산물_8월'!$D:$D,$C599,'RAW_농산물_8월'!$A:$A,$E599),SUMIFS('RAW_농산물_9월'!$H:$H,'RAW_농산물_9월'!$D:$D,$C599,'RAW_농산물_9월'!$A:$A,$E599),SUMIFS('RAW_농산물_10월'!$H:$H,'RAW_농산물_10월'!$D:$D,$C599,'RAW_농산물_10월'!$A:$A,$E599),SUMIFS('RAW_농산물_11-12월'!$H:$H,'RAW_농산물_11-12월'!$D:$D,$C599,'RAW_농산물_11-12월'!$A:$A,$E599))))</f>
        <v/>
      </c>
      <c r="I599" s="17" t="str">
        <f>IF($C599="","",IF(COUNTIFS('RAW_농산물_7월'!$D:$D,$C599,'RAW_농산물_7월'!$A:$A,$E599)&gt;0,"O",""))</f>
        <v/>
      </c>
      <c r="J599" s="17" t="str">
        <f>IF($C599="","",IF(COUNTIFS('RAW_농산물_8월'!$D:$D,$C599,'RAW_농산물_8월'!$A:$A,$E599)&gt;0,"O",""))</f>
        <v/>
      </c>
      <c r="K599" s="17" t="str">
        <f>IF($C599="","",IF(COUNTIFS('RAW_농산물_9월'!$D:$D,$C599,'RAW_농산물_9월'!$A:$A,$E599)&gt;0,"O",""))</f>
        <v/>
      </c>
      <c r="L599" s="17" t="str">
        <f>IF($C599="","",IF(COUNTIFS('RAW_농산물_10월'!$D:$D,$C599,'RAW_농산물_10월'!$A:$A,$E599)&gt;0,"O",""))</f>
        <v/>
      </c>
      <c r="M599" s="17" t="str">
        <f>IF($C599="","",IF(COUNTIFS('RAW_농산물_11-12월'!$D:$D,$C599,'RAW_농산물_11-12월'!$A:$A,$E599)&gt;0,"O",""))</f>
        <v/>
      </c>
      <c r="N599" s="7" t="str">
        <f>IF($C599="","",IF(COUNTA('RAW_농산물_7월'!$A:$A)&lt;=1,"",SUMIFS('RAW_농산물_7월'!$H:$H,'RAW_농산물_7월'!$D:$D,$C599,'RAW_농산물_7월'!$A:$A,$E599)))</f>
        <v/>
      </c>
      <c r="O599" s="7" t="str">
        <f>IF($C599="","",IF(COUNTA('RAW_농산물_8월'!$A:$A)&lt;=1,"",SUMIFS('RAW_농산물_8월'!$H:$H,'RAW_농산물_8월'!$D:$D,$C599,'RAW_농산물_8월'!$A:$A,$E599)-SUMIFS('RAW_농산물_7월'!$H:$H,'RAW_농산물_7월'!$D:$D,$C599,'RAW_농산물_7월'!$A:$A,$E599)))</f>
        <v/>
      </c>
      <c r="P599" s="7" t="str">
        <f>IF($C599="","",IF(COUNTA('RAW_농산물_9월'!$A:$A)&lt;=1,"",SUMIFS('RAW_농산물_9월'!$H:$H,'RAW_농산물_9월'!$D:$D,$C599,'RAW_농산물_9월'!$A:$A,$E599)-SUMIFS('RAW_농산물_8월'!$H:$H,'RAW_농산물_8월'!$D:$D,$C599,'RAW_농산물_8월'!$A:$A,$E599)))</f>
        <v/>
      </c>
      <c r="Q599" s="7" t="str">
        <f>IF($C599="","",IF(COUNTA('RAW_농산물_10월'!$A:$A)&lt;=1,"",SUMIFS('RAW_농산물_10월'!$H:$H,'RAW_농산물_10월'!$D:$D,$C599,'RAW_농산물_10월'!$A:$A,$E599)-SUMIFS('RAW_농산물_9월'!$H:$H,'RAW_농산물_9월'!$D:$D,$C599,'RAW_농산물_9월'!$A:$A,$E599)))</f>
        <v/>
      </c>
      <c r="R599" s="7" t="str">
        <f>IF($C599="","",IF(COUNTA('RAW_농산물_11-12월'!$A:$A)&lt;=1,"",SUMIFS('RAW_농산물_11-12월'!$H:$H,'RAW_농산물_11-12월'!$D:$D,$C599,'RAW_농산물_11-12월'!$A:$A,$E599)-SUMIFS('RAW_농산물_10월'!$H:$H,'RAW_농산물_10월'!$D:$D,$C599,'RAW_농산물_10월'!$A:$A,$E599)))</f>
        <v/>
      </c>
      <c r="S599" s="17" t="str">
        <f t="shared" si="4"/>
        <v/>
      </c>
      <c r="T599" s="17" t="str">
        <f t="shared" si="5"/>
        <v/>
      </c>
      <c r="U599" s="7">
        <f>IF($C599="",0,IF('설정'!$B$3=0,0,CHOOSE('설정'!$B$3,COUNTIFS('RAW_농산물_7월'!$D:$D,$C599,'RAW_농산물_7월'!$A:$A,$E599),COUNTIFS('RAW_농산물_8월'!$D:$D,$C599,'RAW_농산물_8월'!$A:$A,$E599),COUNTIFS('RAW_농산물_9월'!$D:$D,$C599,'RAW_농산물_9월'!$A:$A,$E599),COUNTIFS('RAW_농산물_10월'!$D:$D,$C599,'RAW_농산물_10월'!$A:$A,$E599),COUNTIFS('RAW_농산물_11-12월'!$D:$D,$C599,'RAW_농산물_11-12월'!$A:$A,$E599))))</f>
        <v>0</v>
      </c>
    </row>
    <row r="600" ht="15.75" customHeight="1">
      <c r="A600" s="5"/>
      <c r="B600" s="5"/>
      <c r="C600" s="5"/>
      <c r="D600" s="6"/>
      <c r="E600" s="5"/>
      <c r="F600" s="7" t="str">
        <f>IF($C600="","",IF('설정'!$B$3=0,"",CHOOSE('설정'!$B$3,SUMIFS('RAW_농산물_7월'!$F:$F,'RAW_농산물_7월'!$D:$D,$C600,'RAW_농산물_7월'!$A:$A,$E600),SUMIFS('RAW_농산물_8월'!$F:$F,'RAW_농산물_8월'!$D:$D,$C600,'RAW_농산물_8월'!$A:$A,$E600),SUMIFS('RAW_농산물_9월'!$F:$F,'RAW_농산물_9월'!$D:$D,$C600,'RAW_농산물_9월'!$A:$A,$E600),SUMIFS('RAW_농산물_10월'!$F:$F,'RAW_농산물_10월'!$D:$D,$C600,'RAW_농산물_10월'!$A:$A,$E600),SUMIFS('RAW_농산물_11-12월'!$F:$F,'RAW_농산물_11-12월'!$D:$D,$C600,'RAW_농산물_11-12월'!$A:$A,$E600))))</f>
        <v/>
      </c>
      <c r="G600" s="7" t="str">
        <f>IF($C600="","",IF('설정'!$B$3=0,"",CHOOSE('설정'!$B$3,SUMIFS('RAW_농산물_7월'!$G:$G,'RAW_농산물_7월'!$D:$D,$C600,'RAW_농산물_7월'!$A:$A,$E600),SUMIFS('RAW_농산물_8월'!$G:$G,'RAW_농산물_8월'!$D:$D,$C600,'RAW_농산물_8월'!$A:$A,$E600),SUMIFS('RAW_농산물_9월'!$G:$G,'RAW_농산물_9월'!$D:$D,$C600,'RAW_농산물_9월'!$A:$A,$E600),SUMIFS('RAW_농산물_10월'!$G:$G,'RAW_농산물_10월'!$D:$D,$C600,'RAW_농산물_10월'!$A:$A,$E600),SUMIFS('RAW_농산물_11-12월'!$G:$G,'RAW_농산물_11-12월'!$D:$D,$C600,'RAW_농산물_11-12월'!$A:$A,$E600))))</f>
        <v/>
      </c>
      <c r="H600" s="14" t="str">
        <f>IF($C600="","",IF('설정'!$B$3=0,"",CHOOSE('설정'!$B$3,SUMIFS('RAW_농산물_7월'!$H:$H,'RAW_농산물_7월'!$D:$D,$C600,'RAW_농산물_7월'!$A:$A,$E600),SUMIFS('RAW_농산물_8월'!$H:$H,'RAW_농산물_8월'!$D:$D,$C600,'RAW_농산물_8월'!$A:$A,$E600),SUMIFS('RAW_농산물_9월'!$H:$H,'RAW_농산물_9월'!$D:$D,$C600,'RAW_농산물_9월'!$A:$A,$E600),SUMIFS('RAW_농산물_10월'!$H:$H,'RAW_농산물_10월'!$D:$D,$C600,'RAW_농산물_10월'!$A:$A,$E600),SUMIFS('RAW_농산물_11-12월'!$H:$H,'RAW_농산물_11-12월'!$D:$D,$C600,'RAW_농산물_11-12월'!$A:$A,$E600))))</f>
        <v/>
      </c>
      <c r="I600" s="17" t="str">
        <f>IF($C600="","",IF(COUNTIFS('RAW_농산물_7월'!$D:$D,$C600,'RAW_농산물_7월'!$A:$A,$E600)&gt;0,"O",""))</f>
        <v/>
      </c>
      <c r="J600" s="17" t="str">
        <f>IF($C600="","",IF(COUNTIFS('RAW_농산물_8월'!$D:$D,$C600,'RAW_농산물_8월'!$A:$A,$E600)&gt;0,"O",""))</f>
        <v/>
      </c>
      <c r="K600" s="17" t="str">
        <f>IF($C600="","",IF(COUNTIFS('RAW_농산물_9월'!$D:$D,$C600,'RAW_농산물_9월'!$A:$A,$E600)&gt;0,"O",""))</f>
        <v/>
      </c>
      <c r="L600" s="17" t="str">
        <f>IF($C600="","",IF(COUNTIFS('RAW_농산물_10월'!$D:$D,$C600,'RAW_농산물_10월'!$A:$A,$E600)&gt;0,"O",""))</f>
        <v/>
      </c>
      <c r="M600" s="17" t="str">
        <f>IF($C600="","",IF(COUNTIFS('RAW_농산물_11-12월'!$D:$D,$C600,'RAW_농산물_11-12월'!$A:$A,$E600)&gt;0,"O",""))</f>
        <v/>
      </c>
      <c r="N600" s="7" t="str">
        <f>IF($C600="","",IF(COUNTA('RAW_농산물_7월'!$A:$A)&lt;=1,"",SUMIFS('RAW_농산물_7월'!$H:$H,'RAW_농산물_7월'!$D:$D,$C600,'RAW_농산물_7월'!$A:$A,$E600)))</f>
        <v/>
      </c>
      <c r="O600" s="7" t="str">
        <f>IF($C600="","",IF(COUNTA('RAW_농산물_8월'!$A:$A)&lt;=1,"",SUMIFS('RAW_농산물_8월'!$H:$H,'RAW_농산물_8월'!$D:$D,$C600,'RAW_농산물_8월'!$A:$A,$E600)-SUMIFS('RAW_농산물_7월'!$H:$H,'RAW_농산물_7월'!$D:$D,$C600,'RAW_농산물_7월'!$A:$A,$E600)))</f>
        <v/>
      </c>
      <c r="P600" s="7" t="str">
        <f>IF($C600="","",IF(COUNTA('RAW_농산물_9월'!$A:$A)&lt;=1,"",SUMIFS('RAW_농산물_9월'!$H:$H,'RAW_농산물_9월'!$D:$D,$C600,'RAW_농산물_9월'!$A:$A,$E600)-SUMIFS('RAW_농산물_8월'!$H:$H,'RAW_농산물_8월'!$D:$D,$C600,'RAW_농산물_8월'!$A:$A,$E600)))</f>
        <v/>
      </c>
      <c r="Q600" s="7" t="str">
        <f>IF($C600="","",IF(COUNTA('RAW_농산물_10월'!$A:$A)&lt;=1,"",SUMIFS('RAW_농산물_10월'!$H:$H,'RAW_농산물_10월'!$D:$D,$C600,'RAW_농산물_10월'!$A:$A,$E600)-SUMIFS('RAW_농산물_9월'!$H:$H,'RAW_농산물_9월'!$D:$D,$C600,'RAW_농산물_9월'!$A:$A,$E600)))</f>
        <v/>
      </c>
      <c r="R600" s="7" t="str">
        <f>IF($C600="","",IF(COUNTA('RAW_농산물_11-12월'!$A:$A)&lt;=1,"",SUMIFS('RAW_농산물_11-12월'!$H:$H,'RAW_농산물_11-12월'!$D:$D,$C600,'RAW_농산물_11-12월'!$A:$A,$E600)-SUMIFS('RAW_농산물_10월'!$H:$H,'RAW_농산물_10월'!$D:$D,$C600,'RAW_농산물_10월'!$A:$A,$E600)))</f>
        <v/>
      </c>
      <c r="S600" s="17" t="str">
        <f t="shared" si="4"/>
        <v/>
      </c>
      <c r="T600" s="17" t="str">
        <f t="shared" si="5"/>
        <v/>
      </c>
      <c r="U600" s="7">
        <f>IF($C600="",0,IF('설정'!$B$3=0,0,CHOOSE('설정'!$B$3,COUNTIFS('RAW_농산물_7월'!$D:$D,$C600,'RAW_농산물_7월'!$A:$A,$E600),COUNTIFS('RAW_농산물_8월'!$D:$D,$C600,'RAW_농산물_8월'!$A:$A,$E600),COUNTIFS('RAW_농산물_9월'!$D:$D,$C600,'RAW_농산물_9월'!$A:$A,$E600),COUNTIFS('RAW_농산물_10월'!$D:$D,$C600,'RAW_농산물_10월'!$A:$A,$E600),COUNTIFS('RAW_농산물_11-12월'!$D:$D,$C600,'RAW_농산물_11-12월'!$A:$A,$E600))))</f>
        <v>0</v>
      </c>
    </row>
    <row r="601" ht="15.75" customHeight="1">
      <c r="A601" s="5"/>
      <c r="B601" s="5"/>
      <c r="C601" s="5"/>
      <c r="D601" s="6"/>
      <c r="E601" s="5"/>
      <c r="F601" s="7" t="str">
        <f>IF($C601="","",IF('설정'!$B$3=0,"",CHOOSE('설정'!$B$3,SUMIFS('RAW_농산물_7월'!$F:$F,'RAW_농산물_7월'!$D:$D,$C601,'RAW_농산물_7월'!$A:$A,$E601),SUMIFS('RAW_농산물_8월'!$F:$F,'RAW_농산물_8월'!$D:$D,$C601,'RAW_농산물_8월'!$A:$A,$E601),SUMIFS('RAW_농산물_9월'!$F:$F,'RAW_농산물_9월'!$D:$D,$C601,'RAW_농산물_9월'!$A:$A,$E601),SUMIFS('RAW_농산물_10월'!$F:$F,'RAW_농산물_10월'!$D:$D,$C601,'RAW_농산물_10월'!$A:$A,$E601),SUMIFS('RAW_농산물_11-12월'!$F:$F,'RAW_농산물_11-12월'!$D:$D,$C601,'RAW_농산물_11-12월'!$A:$A,$E601))))</f>
        <v/>
      </c>
      <c r="G601" s="7" t="str">
        <f>IF($C601="","",IF('설정'!$B$3=0,"",CHOOSE('설정'!$B$3,SUMIFS('RAW_농산물_7월'!$G:$G,'RAW_농산물_7월'!$D:$D,$C601,'RAW_농산물_7월'!$A:$A,$E601),SUMIFS('RAW_농산물_8월'!$G:$G,'RAW_농산물_8월'!$D:$D,$C601,'RAW_농산물_8월'!$A:$A,$E601),SUMIFS('RAW_농산물_9월'!$G:$G,'RAW_농산물_9월'!$D:$D,$C601,'RAW_농산물_9월'!$A:$A,$E601),SUMIFS('RAW_농산물_10월'!$G:$G,'RAW_농산물_10월'!$D:$D,$C601,'RAW_농산물_10월'!$A:$A,$E601),SUMIFS('RAW_농산물_11-12월'!$G:$G,'RAW_농산물_11-12월'!$D:$D,$C601,'RAW_농산물_11-12월'!$A:$A,$E601))))</f>
        <v/>
      </c>
      <c r="H601" s="14" t="str">
        <f>IF($C601="","",IF('설정'!$B$3=0,"",CHOOSE('설정'!$B$3,SUMIFS('RAW_농산물_7월'!$H:$H,'RAW_농산물_7월'!$D:$D,$C601,'RAW_농산물_7월'!$A:$A,$E601),SUMIFS('RAW_농산물_8월'!$H:$H,'RAW_농산물_8월'!$D:$D,$C601,'RAW_농산물_8월'!$A:$A,$E601),SUMIFS('RAW_농산물_9월'!$H:$H,'RAW_농산물_9월'!$D:$D,$C601,'RAW_농산물_9월'!$A:$A,$E601),SUMIFS('RAW_농산물_10월'!$H:$H,'RAW_농산물_10월'!$D:$D,$C601,'RAW_농산물_10월'!$A:$A,$E601),SUMIFS('RAW_농산물_11-12월'!$H:$H,'RAW_농산물_11-12월'!$D:$D,$C601,'RAW_농산물_11-12월'!$A:$A,$E601))))</f>
        <v/>
      </c>
      <c r="I601" s="17" t="str">
        <f>IF($C601="","",IF(COUNTIFS('RAW_농산물_7월'!$D:$D,$C601,'RAW_농산물_7월'!$A:$A,$E601)&gt;0,"O",""))</f>
        <v/>
      </c>
      <c r="J601" s="17" t="str">
        <f>IF($C601="","",IF(COUNTIFS('RAW_농산물_8월'!$D:$D,$C601,'RAW_농산물_8월'!$A:$A,$E601)&gt;0,"O",""))</f>
        <v/>
      </c>
      <c r="K601" s="17" t="str">
        <f>IF($C601="","",IF(COUNTIFS('RAW_농산물_9월'!$D:$D,$C601,'RAW_농산물_9월'!$A:$A,$E601)&gt;0,"O",""))</f>
        <v/>
      </c>
      <c r="L601" s="17" t="str">
        <f>IF($C601="","",IF(COUNTIFS('RAW_농산물_10월'!$D:$D,$C601,'RAW_농산물_10월'!$A:$A,$E601)&gt;0,"O",""))</f>
        <v/>
      </c>
      <c r="M601" s="17" t="str">
        <f>IF($C601="","",IF(COUNTIFS('RAW_농산물_11-12월'!$D:$D,$C601,'RAW_농산물_11-12월'!$A:$A,$E601)&gt;0,"O",""))</f>
        <v/>
      </c>
      <c r="N601" s="7" t="str">
        <f>IF($C601="","",IF(COUNTA('RAW_농산물_7월'!$A:$A)&lt;=1,"",SUMIFS('RAW_농산물_7월'!$H:$H,'RAW_농산물_7월'!$D:$D,$C601,'RAW_농산물_7월'!$A:$A,$E601)))</f>
        <v/>
      </c>
      <c r="O601" s="7" t="str">
        <f>IF($C601="","",IF(COUNTA('RAW_농산물_8월'!$A:$A)&lt;=1,"",SUMIFS('RAW_농산물_8월'!$H:$H,'RAW_농산물_8월'!$D:$D,$C601,'RAW_농산물_8월'!$A:$A,$E601)-SUMIFS('RAW_농산물_7월'!$H:$H,'RAW_농산물_7월'!$D:$D,$C601,'RAW_농산물_7월'!$A:$A,$E601)))</f>
        <v/>
      </c>
      <c r="P601" s="7" t="str">
        <f>IF($C601="","",IF(COUNTA('RAW_농산물_9월'!$A:$A)&lt;=1,"",SUMIFS('RAW_농산물_9월'!$H:$H,'RAW_농산물_9월'!$D:$D,$C601,'RAW_농산물_9월'!$A:$A,$E601)-SUMIFS('RAW_농산물_8월'!$H:$H,'RAW_농산물_8월'!$D:$D,$C601,'RAW_농산물_8월'!$A:$A,$E601)))</f>
        <v/>
      </c>
      <c r="Q601" s="7" t="str">
        <f>IF($C601="","",IF(COUNTA('RAW_농산물_10월'!$A:$A)&lt;=1,"",SUMIFS('RAW_농산물_10월'!$H:$H,'RAW_농산물_10월'!$D:$D,$C601,'RAW_농산물_10월'!$A:$A,$E601)-SUMIFS('RAW_농산물_9월'!$H:$H,'RAW_농산물_9월'!$D:$D,$C601,'RAW_농산물_9월'!$A:$A,$E601)))</f>
        <v/>
      </c>
      <c r="R601" s="7" t="str">
        <f>IF($C601="","",IF(COUNTA('RAW_농산물_11-12월'!$A:$A)&lt;=1,"",SUMIFS('RAW_농산물_11-12월'!$H:$H,'RAW_농산물_11-12월'!$D:$D,$C601,'RAW_농산물_11-12월'!$A:$A,$E601)-SUMIFS('RAW_농산물_10월'!$H:$H,'RAW_농산물_10월'!$D:$D,$C601,'RAW_농산물_10월'!$A:$A,$E601)))</f>
        <v/>
      </c>
      <c r="S601" s="17" t="str">
        <f t="shared" si="4"/>
        <v/>
      </c>
      <c r="T601" s="17" t="str">
        <f t="shared" si="5"/>
        <v/>
      </c>
      <c r="U601" s="7">
        <f>IF($C601="",0,IF('설정'!$B$3=0,0,CHOOSE('설정'!$B$3,COUNTIFS('RAW_농산물_7월'!$D:$D,$C601,'RAW_농산물_7월'!$A:$A,$E601),COUNTIFS('RAW_농산물_8월'!$D:$D,$C601,'RAW_농산물_8월'!$A:$A,$E601),COUNTIFS('RAW_농산물_9월'!$D:$D,$C601,'RAW_농산물_9월'!$A:$A,$E601),COUNTIFS('RAW_농산물_10월'!$D:$D,$C601,'RAW_농산물_10월'!$A:$A,$E601),COUNTIFS('RAW_농산물_11-12월'!$D:$D,$C601,'RAW_농산물_11-12월'!$A:$A,$E601))))</f>
        <v>0</v>
      </c>
    </row>
    <row r="602" ht="15.75" customHeight="1">
      <c r="A602" s="5"/>
      <c r="B602" s="5"/>
      <c r="C602" s="5"/>
      <c r="D602" s="6"/>
      <c r="E602" s="5"/>
      <c r="F602" s="7" t="str">
        <f>IF($C602="","",IF('설정'!$B$3=0,"",CHOOSE('설정'!$B$3,SUMIFS('RAW_농산물_7월'!$F:$F,'RAW_농산물_7월'!$D:$D,$C602,'RAW_농산물_7월'!$A:$A,$E602),SUMIFS('RAW_농산물_8월'!$F:$F,'RAW_농산물_8월'!$D:$D,$C602,'RAW_농산물_8월'!$A:$A,$E602),SUMIFS('RAW_농산물_9월'!$F:$F,'RAW_농산물_9월'!$D:$D,$C602,'RAW_농산물_9월'!$A:$A,$E602),SUMIFS('RAW_농산물_10월'!$F:$F,'RAW_농산물_10월'!$D:$D,$C602,'RAW_농산물_10월'!$A:$A,$E602),SUMIFS('RAW_농산물_11-12월'!$F:$F,'RAW_농산물_11-12월'!$D:$D,$C602,'RAW_농산물_11-12월'!$A:$A,$E602))))</f>
        <v/>
      </c>
      <c r="G602" s="7" t="str">
        <f>IF($C602="","",IF('설정'!$B$3=0,"",CHOOSE('설정'!$B$3,SUMIFS('RAW_농산물_7월'!$G:$G,'RAW_농산물_7월'!$D:$D,$C602,'RAW_농산물_7월'!$A:$A,$E602),SUMIFS('RAW_농산물_8월'!$G:$G,'RAW_농산물_8월'!$D:$D,$C602,'RAW_농산물_8월'!$A:$A,$E602),SUMIFS('RAW_농산물_9월'!$G:$G,'RAW_농산물_9월'!$D:$D,$C602,'RAW_농산물_9월'!$A:$A,$E602),SUMIFS('RAW_농산물_10월'!$G:$G,'RAW_농산물_10월'!$D:$D,$C602,'RAW_농산물_10월'!$A:$A,$E602),SUMIFS('RAW_농산물_11-12월'!$G:$G,'RAW_농산물_11-12월'!$D:$D,$C602,'RAW_농산물_11-12월'!$A:$A,$E602))))</f>
        <v/>
      </c>
      <c r="H602" s="14" t="str">
        <f>IF($C602="","",IF('설정'!$B$3=0,"",CHOOSE('설정'!$B$3,SUMIFS('RAW_농산물_7월'!$H:$H,'RAW_농산물_7월'!$D:$D,$C602,'RAW_농산물_7월'!$A:$A,$E602),SUMIFS('RAW_농산물_8월'!$H:$H,'RAW_농산물_8월'!$D:$D,$C602,'RAW_농산물_8월'!$A:$A,$E602),SUMIFS('RAW_농산물_9월'!$H:$H,'RAW_농산물_9월'!$D:$D,$C602,'RAW_농산물_9월'!$A:$A,$E602),SUMIFS('RAW_농산물_10월'!$H:$H,'RAW_농산물_10월'!$D:$D,$C602,'RAW_농산물_10월'!$A:$A,$E602),SUMIFS('RAW_농산물_11-12월'!$H:$H,'RAW_농산물_11-12월'!$D:$D,$C602,'RAW_농산물_11-12월'!$A:$A,$E602))))</f>
        <v/>
      </c>
      <c r="I602" s="17" t="str">
        <f>IF($C602="","",IF(COUNTIFS('RAW_농산물_7월'!$D:$D,$C602,'RAW_농산물_7월'!$A:$A,$E602)&gt;0,"O",""))</f>
        <v/>
      </c>
      <c r="J602" s="17" t="str">
        <f>IF($C602="","",IF(COUNTIFS('RAW_농산물_8월'!$D:$D,$C602,'RAW_농산물_8월'!$A:$A,$E602)&gt;0,"O",""))</f>
        <v/>
      </c>
      <c r="K602" s="17" t="str">
        <f>IF($C602="","",IF(COUNTIFS('RAW_농산물_9월'!$D:$D,$C602,'RAW_농산물_9월'!$A:$A,$E602)&gt;0,"O",""))</f>
        <v/>
      </c>
      <c r="L602" s="17" t="str">
        <f>IF($C602="","",IF(COUNTIFS('RAW_농산물_10월'!$D:$D,$C602,'RAW_농산물_10월'!$A:$A,$E602)&gt;0,"O",""))</f>
        <v/>
      </c>
      <c r="M602" s="17" t="str">
        <f>IF($C602="","",IF(COUNTIFS('RAW_농산물_11-12월'!$D:$D,$C602,'RAW_농산물_11-12월'!$A:$A,$E602)&gt;0,"O",""))</f>
        <v/>
      </c>
      <c r="N602" s="7" t="str">
        <f>IF($C602="","",IF(COUNTA('RAW_농산물_7월'!$A:$A)&lt;=1,"",SUMIFS('RAW_농산물_7월'!$H:$H,'RAW_농산물_7월'!$D:$D,$C602,'RAW_농산물_7월'!$A:$A,$E602)))</f>
        <v/>
      </c>
      <c r="O602" s="7" t="str">
        <f>IF($C602="","",IF(COUNTA('RAW_농산물_8월'!$A:$A)&lt;=1,"",SUMIFS('RAW_농산물_8월'!$H:$H,'RAW_농산물_8월'!$D:$D,$C602,'RAW_농산물_8월'!$A:$A,$E602)-SUMIFS('RAW_농산물_7월'!$H:$H,'RAW_농산물_7월'!$D:$D,$C602,'RAW_농산물_7월'!$A:$A,$E602)))</f>
        <v/>
      </c>
      <c r="P602" s="7" t="str">
        <f>IF($C602="","",IF(COUNTA('RAW_농산물_9월'!$A:$A)&lt;=1,"",SUMIFS('RAW_농산물_9월'!$H:$H,'RAW_농산물_9월'!$D:$D,$C602,'RAW_농산물_9월'!$A:$A,$E602)-SUMIFS('RAW_농산물_8월'!$H:$H,'RAW_농산물_8월'!$D:$D,$C602,'RAW_농산물_8월'!$A:$A,$E602)))</f>
        <v/>
      </c>
      <c r="Q602" s="7" t="str">
        <f>IF($C602="","",IF(COUNTA('RAW_농산물_10월'!$A:$A)&lt;=1,"",SUMIFS('RAW_농산물_10월'!$H:$H,'RAW_농산물_10월'!$D:$D,$C602,'RAW_농산물_10월'!$A:$A,$E602)-SUMIFS('RAW_농산물_9월'!$H:$H,'RAW_농산물_9월'!$D:$D,$C602,'RAW_농산물_9월'!$A:$A,$E602)))</f>
        <v/>
      </c>
      <c r="R602" s="7" t="str">
        <f>IF($C602="","",IF(COUNTA('RAW_농산물_11-12월'!$A:$A)&lt;=1,"",SUMIFS('RAW_농산물_11-12월'!$H:$H,'RAW_농산물_11-12월'!$D:$D,$C602,'RAW_농산물_11-12월'!$A:$A,$E602)-SUMIFS('RAW_농산물_10월'!$H:$H,'RAW_농산물_10월'!$D:$D,$C602,'RAW_농산물_10월'!$A:$A,$E602)))</f>
        <v/>
      </c>
      <c r="S602" s="17" t="str">
        <f t="shared" si="4"/>
        <v/>
      </c>
      <c r="T602" s="17" t="str">
        <f t="shared" si="5"/>
        <v/>
      </c>
      <c r="U602" s="7">
        <f>IF($C602="",0,IF('설정'!$B$3=0,0,CHOOSE('설정'!$B$3,COUNTIFS('RAW_농산물_7월'!$D:$D,$C602,'RAW_농산물_7월'!$A:$A,$E602),COUNTIFS('RAW_농산물_8월'!$D:$D,$C602,'RAW_농산물_8월'!$A:$A,$E602),COUNTIFS('RAW_농산물_9월'!$D:$D,$C602,'RAW_농산물_9월'!$A:$A,$E602),COUNTIFS('RAW_농산물_10월'!$D:$D,$C602,'RAW_농산물_10월'!$A:$A,$E602),COUNTIFS('RAW_농산물_11-12월'!$D:$D,$C602,'RAW_농산물_11-12월'!$A:$A,$E602))))</f>
        <v>0</v>
      </c>
    </row>
    <row r="603" ht="15.75" customHeight="1">
      <c r="A603" s="5"/>
      <c r="B603" s="5"/>
      <c r="C603" s="5"/>
      <c r="D603" s="6"/>
      <c r="E603" s="5"/>
      <c r="F603" s="7" t="str">
        <f>IF($C603="","",IF('설정'!$B$3=0,"",CHOOSE('설정'!$B$3,SUMIFS('RAW_농산물_7월'!$F:$F,'RAW_농산물_7월'!$D:$D,$C603,'RAW_농산물_7월'!$A:$A,$E603),SUMIFS('RAW_농산물_8월'!$F:$F,'RAW_농산물_8월'!$D:$D,$C603,'RAW_농산물_8월'!$A:$A,$E603),SUMIFS('RAW_농산물_9월'!$F:$F,'RAW_농산물_9월'!$D:$D,$C603,'RAW_농산물_9월'!$A:$A,$E603),SUMIFS('RAW_농산물_10월'!$F:$F,'RAW_농산물_10월'!$D:$D,$C603,'RAW_농산물_10월'!$A:$A,$E603),SUMIFS('RAW_농산물_11-12월'!$F:$F,'RAW_농산물_11-12월'!$D:$D,$C603,'RAW_농산물_11-12월'!$A:$A,$E603))))</f>
        <v/>
      </c>
      <c r="G603" s="7" t="str">
        <f>IF($C603="","",IF('설정'!$B$3=0,"",CHOOSE('설정'!$B$3,SUMIFS('RAW_농산물_7월'!$G:$G,'RAW_농산물_7월'!$D:$D,$C603,'RAW_농산물_7월'!$A:$A,$E603),SUMIFS('RAW_농산물_8월'!$G:$G,'RAW_농산물_8월'!$D:$D,$C603,'RAW_농산물_8월'!$A:$A,$E603),SUMIFS('RAW_농산물_9월'!$G:$G,'RAW_농산물_9월'!$D:$D,$C603,'RAW_농산물_9월'!$A:$A,$E603),SUMIFS('RAW_농산물_10월'!$G:$G,'RAW_농산물_10월'!$D:$D,$C603,'RAW_농산물_10월'!$A:$A,$E603),SUMIFS('RAW_농산물_11-12월'!$G:$G,'RAW_농산물_11-12월'!$D:$D,$C603,'RAW_농산물_11-12월'!$A:$A,$E603))))</f>
        <v/>
      </c>
      <c r="H603" s="14" t="str">
        <f>IF($C603="","",IF('설정'!$B$3=0,"",CHOOSE('설정'!$B$3,SUMIFS('RAW_농산물_7월'!$H:$H,'RAW_농산물_7월'!$D:$D,$C603,'RAW_농산물_7월'!$A:$A,$E603),SUMIFS('RAW_농산물_8월'!$H:$H,'RAW_농산물_8월'!$D:$D,$C603,'RAW_농산물_8월'!$A:$A,$E603),SUMIFS('RAW_농산물_9월'!$H:$H,'RAW_농산물_9월'!$D:$D,$C603,'RAW_농산물_9월'!$A:$A,$E603),SUMIFS('RAW_농산물_10월'!$H:$H,'RAW_농산물_10월'!$D:$D,$C603,'RAW_농산물_10월'!$A:$A,$E603),SUMIFS('RAW_농산물_11-12월'!$H:$H,'RAW_농산물_11-12월'!$D:$D,$C603,'RAW_농산물_11-12월'!$A:$A,$E603))))</f>
        <v/>
      </c>
      <c r="I603" s="17" t="str">
        <f>IF($C603="","",IF(COUNTIFS('RAW_농산물_7월'!$D:$D,$C603,'RAW_농산물_7월'!$A:$A,$E603)&gt;0,"O",""))</f>
        <v/>
      </c>
      <c r="J603" s="17" t="str">
        <f>IF($C603="","",IF(COUNTIFS('RAW_농산물_8월'!$D:$D,$C603,'RAW_농산물_8월'!$A:$A,$E603)&gt;0,"O",""))</f>
        <v/>
      </c>
      <c r="K603" s="17" t="str">
        <f>IF($C603="","",IF(COUNTIFS('RAW_농산물_9월'!$D:$D,$C603,'RAW_농산물_9월'!$A:$A,$E603)&gt;0,"O",""))</f>
        <v/>
      </c>
      <c r="L603" s="17" t="str">
        <f>IF($C603="","",IF(COUNTIFS('RAW_농산물_10월'!$D:$D,$C603,'RAW_농산물_10월'!$A:$A,$E603)&gt;0,"O",""))</f>
        <v/>
      </c>
      <c r="M603" s="17" t="str">
        <f>IF($C603="","",IF(COUNTIFS('RAW_농산물_11-12월'!$D:$D,$C603,'RAW_농산물_11-12월'!$A:$A,$E603)&gt;0,"O",""))</f>
        <v/>
      </c>
      <c r="N603" s="7" t="str">
        <f>IF($C603="","",IF(COUNTA('RAW_농산물_7월'!$A:$A)&lt;=1,"",SUMIFS('RAW_농산물_7월'!$H:$H,'RAW_농산물_7월'!$D:$D,$C603,'RAW_농산물_7월'!$A:$A,$E603)))</f>
        <v/>
      </c>
      <c r="O603" s="7" t="str">
        <f>IF($C603="","",IF(COUNTA('RAW_농산물_8월'!$A:$A)&lt;=1,"",SUMIFS('RAW_농산물_8월'!$H:$H,'RAW_농산물_8월'!$D:$D,$C603,'RAW_농산물_8월'!$A:$A,$E603)-SUMIFS('RAW_농산물_7월'!$H:$H,'RAW_농산물_7월'!$D:$D,$C603,'RAW_농산물_7월'!$A:$A,$E603)))</f>
        <v/>
      </c>
      <c r="P603" s="7" t="str">
        <f>IF($C603="","",IF(COUNTA('RAW_농산물_9월'!$A:$A)&lt;=1,"",SUMIFS('RAW_농산물_9월'!$H:$H,'RAW_농산물_9월'!$D:$D,$C603,'RAW_농산물_9월'!$A:$A,$E603)-SUMIFS('RAW_농산물_8월'!$H:$H,'RAW_농산물_8월'!$D:$D,$C603,'RAW_농산물_8월'!$A:$A,$E603)))</f>
        <v/>
      </c>
      <c r="Q603" s="7" t="str">
        <f>IF($C603="","",IF(COUNTA('RAW_농산물_10월'!$A:$A)&lt;=1,"",SUMIFS('RAW_농산물_10월'!$H:$H,'RAW_농산물_10월'!$D:$D,$C603,'RAW_농산물_10월'!$A:$A,$E603)-SUMIFS('RAW_농산물_9월'!$H:$H,'RAW_농산물_9월'!$D:$D,$C603,'RAW_농산물_9월'!$A:$A,$E603)))</f>
        <v/>
      </c>
      <c r="R603" s="7" t="str">
        <f>IF($C603="","",IF(COUNTA('RAW_농산물_11-12월'!$A:$A)&lt;=1,"",SUMIFS('RAW_농산물_11-12월'!$H:$H,'RAW_농산물_11-12월'!$D:$D,$C603,'RAW_농산물_11-12월'!$A:$A,$E603)-SUMIFS('RAW_농산물_10월'!$H:$H,'RAW_농산물_10월'!$D:$D,$C603,'RAW_농산물_10월'!$A:$A,$E603)))</f>
        <v/>
      </c>
      <c r="S603" s="17" t="str">
        <f t="shared" si="4"/>
        <v/>
      </c>
      <c r="T603" s="17" t="str">
        <f t="shared" si="5"/>
        <v/>
      </c>
      <c r="U603" s="7">
        <f>IF($C603="",0,IF('설정'!$B$3=0,0,CHOOSE('설정'!$B$3,COUNTIFS('RAW_농산물_7월'!$D:$D,$C603,'RAW_농산물_7월'!$A:$A,$E603),COUNTIFS('RAW_농산물_8월'!$D:$D,$C603,'RAW_농산물_8월'!$A:$A,$E603),COUNTIFS('RAW_농산물_9월'!$D:$D,$C603,'RAW_농산물_9월'!$A:$A,$E603),COUNTIFS('RAW_농산물_10월'!$D:$D,$C603,'RAW_농산물_10월'!$A:$A,$E603),COUNTIFS('RAW_농산물_11-12월'!$D:$D,$C603,'RAW_농산물_11-12월'!$A:$A,$E603))))</f>
        <v>0</v>
      </c>
    </row>
    <row r="604" ht="15.75" customHeight="1">
      <c r="A604" s="5"/>
      <c r="B604" s="5"/>
      <c r="C604" s="5"/>
      <c r="D604" s="6"/>
      <c r="E604" s="5"/>
      <c r="F604" s="7" t="str">
        <f>IF($C604="","",IF('설정'!$B$3=0,"",CHOOSE('설정'!$B$3,SUMIFS('RAW_농산물_7월'!$F:$F,'RAW_농산물_7월'!$D:$D,$C604,'RAW_농산물_7월'!$A:$A,$E604),SUMIFS('RAW_농산물_8월'!$F:$F,'RAW_농산물_8월'!$D:$D,$C604,'RAW_농산물_8월'!$A:$A,$E604),SUMIFS('RAW_농산물_9월'!$F:$F,'RAW_농산물_9월'!$D:$D,$C604,'RAW_농산물_9월'!$A:$A,$E604),SUMIFS('RAW_농산물_10월'!$F:$F,'RAW_농산물_10월'!$D:$D,$C604,'RAW_농산물_10월'!$A:$A,$E604),SUMIFS('RAW_농산물_11-12월'!$F:$F,'RAW_농산물_11-12월'!$D:$D,$C604,'RAW_농산물_11-12월'!$A:$A,$E604))))</f>
        <v/>
      </c>
      <c r="G604" s="7" t="str">
        <f>IF($C604="","",IF('설정'!$B$3=0,"",CHOOSE('설정'!$B$3,SUMIFS('RAW_농산물_7월'!$G:$G,'RAW_농산물_7월'!$D:$D,$C604,'RAW_농산물_7월'!$A:$A,$E604),SUMIFS('RAW_농산물_8월'!$G:$G,'RAW_농산물_8월'!$D:$D,$C604,'RAW_농산물_8월'!$A:$A,$E604),SUMIFS('RAW_농산물_9월'!$G:$G,'RAW_농산물_9월'!$D:$D,$C604,'RAW_농산물_9월'!$A:$A,$E604),SUMIFS('RAW_농산물_10월'!$G:$G,'RAW_농산물_10월'!$D:$D,$C604,'RAW_농산물_10월'!$A:$A,$E604),SUMIFS('RAW_농산물_11-12월'!$G:$G,'RAW_농산물_11-12월'!$D:$D,$C604,'RAW_농산물_11-12월'!$A:$A,$E604))))</f>
        <v/>
      </c>
      <c r="H604" s="14" t="str">
        <f>IF($C604="","",IF('설정'!$B$3=0,"",CHOOSE('설정'!$B$3,SUMIFS('RAW_농산물_7월'!$H:$H,'RAW_농산물_7월'!$D:$D,$C604,'RAW_농산물_7월'!$A:$A,$E604),SUMIFS('RAW_농산물_8월'!$H:$H,'RAW_농산물_8월'!$D:$D,$C604,'RAW_농산물_8월'!$A:$A,$E604),SUMIFS('RAW_농산물_9월'!$H:$H,'RAW_농산물_9월'!$D:$D,$C604,'RAW_농산물_9월'!$A:$A,$E604),SUMIFS('RAW_농산물_10월'!$H:$H,'RAW_농산물_10월'!$D:$D,$C604,'RAW_농산물_10월'!$A:$A,$E604),SUMIFS('RAW_농산물_11-12월'!$H:$H,'RAW_농산물_11-12월'!$D:$D,$C604,'RAW_농산물_11-12월'!$A:$A,$E604))))</f>
        <v/>
      </c>
      <c r="I604" s="17" t="str">
        <f>IF($C604="","",IF(COUNTIFS('RAW_농산물_7월'!$D:$D,$C604,'RAW_농산물_7월'!$A:$A,$E604)&gt;0,"O",""))</f>
        <v/>
      </c>
      <c r="J604" s="17" t="str">
        <f>IF($C604="","",IF(COUNTIFS('RAW_농산물_8월'!$D:$D,$C604,'RAW_농산물_8월'!$A:$A,$E604)&gt;0,"O",""))</f>
        <v/>
      </c>
      <c r="K604" s="17" t="str">
        <f>IF($C604="","",IF(COUNTIFS('RAW_농산물_9월'!$D:$D,$C604,'RAW_농산물_9월'!$A:$A,$E604)&gt;0,"O",""))</f>
        <v/>
      </c>
      <c r="L604" s="17" t="str">
        <f>IF($C604="","",IF(COUNTIFS('RAW_농산물_10월'!$D:$D,$C604,'RAW_농산물_10월'!$A:$A,$E604)&gt;0,"O",""))</f>
        <v/>
      </c>
      <c r="M604" s="17" t="str">
        <f>IF($C604="","",IF(COUNTIFS('RAW_농산물_11-12월'!$D:$D,$C604,'RAW_농산물_11-12월'!$A:$A,$E604)&gt;0,"O",""))</f>
        <v/>
      </c>
      <c r="N604" s="7" t="str">
        <f>IF($C604="","",IF(COUNTA('RAW_농산물_7월'!$A:$A)&lt;=1,"",SUMIFS('RAW_농산물_7월'!$H:$H,'RAW_농산물_7월'!$D:$D,$C604,'RAW_농산물_7월'!$A:$A,$E604)))</f>
        <v/>
      </c>
      <c r="O604" s="7" t="str">
        <f>IF($C604="","",IF(COUNTA('RAW_농산물_8월'!$A:$A)&lt;=1,"",SUMIFS('RAW_농산물_8월'!$H:$H,'RAW_농산물_8월'!$D:$D,$C604,'RAW_농산물_8월'!$A:$A,$E604)-SUMIFS('RAW_농산물_7월'!$H:$H,'RAW_농산물_7월'!$D:$D,$C604,'RAW_농산물_7월'!$A:$A,$E604)))</f>
        <v/>
      </c>
      <c r="P604" s="7" t="str">
        <f>IF($C604="","",IF(COUNTA('RAW_농산물_9월'!$A:$A)&lt;=1,"",SUMIFS('RAW_농산물_9월'!$H:$H,'RAW_농산물_9월'!$D:$D,$C604,'RAW_농산물_9월'!$A:$A,$E604)-SUMIFS('RAW_농산물_8월'!$H:$H,'RAW_농산물_8월'!$D:$D,$C604,'RAW_농산물_8월'!$A:$A,$E604)))</f>
        <v/>
      </c>
      <c r="Q604" s="7" t="str">
        <f>IF($C604="","",IF(COUNTA('RAW_농산물_10월'!$A:$A)&lt;=1,"",SUMIFS('RAW_농산물_10월'!$H:$H,'RAW_농산물_10월'!$D:$D,$C604,'RAW_농산물_10월'!$A:$A,$E604)-SUMIFS('RAW_농산물_9월'!$H:$H,'RAW_농산물_9월'!$D:$D,$C604,'RAW_농산물_9월'!$A:$A,$E604)))</f>
        <v/>
      </c>
      <c r="R604" s="7" t="str">
        <f>IF($C604="","",IF(COUNTA('RAW_농산물_11-12월'!$A:$A)&lt;=1,"",SUMIFS('RAW_농산물_11-12월'!$H:$H,'RAW_농산물_11-12월'!$D:$D,$C604,'RAW_농산물_11-12월'!$A:$A,$E604)-SUMIFS('RAW_농산물_10월'!$H:$H,'RAW_농산물_10월'!$D:$D,$C604,'RAW_농산물_10월'!$A:$A,$E604)))</f>
        <v/>
      </c>
      <c r="S604" s="17" t="str">
        <f t="shared" si="4"/>
        <v/>
      </c>
      <c r="T604" s="17" t="str">
        <f t="shared" si="5"/>
        <v/>
      </c>
      <c r="U604" s="7">
        <f>IF($C604="",0,IF('설정'!$B$3=0,0,CHOOSE('설정'!$B$3,COUNTIFS('RAW_농산물_7월'!$D:$D,$C604,'RAW_농산물_7월'!$A:$A,$E604),COUNTIFS('RAW_농산물_8월'!$D:$D,$C604,'RAW_농산물_8월'!$A:$A,$E604),COUNTIFS('RAW_농산물_9월'!$D:$D,$C604,'RAW_농산물_9월'!$A:$A,$E604),COUNTIFS('RAW_농산물_10월'!$D:$D,$C604,'RAW_농산물_10월'!$A:$A,$E604),COUNTIFS('RAW_농산물_11-12월'!$D:$D,$C604,'RAW_농산물_11-12월'!$A:$A,$E604))))</f>
        <v>0</v>
      </c>
    </row>
    <row r="605" ht="15.75" customHeight="1">
      <c r="A605" s="5"/>
      <c r="B605" s="5"/>
      <c r="C605" s="5"/>
      <c r="D605" s="6"/>
      <c r="E605" s="5"/>
      <c r="F605" s="7" t="str">
        <f>IF($C605="","",IF('설정'!$B$3=0,"",CHOOSE('설정'!$B$3,SUMIFS('RAW_농산물_7월'!$F:$F,'RAW_농산물_7월'!$D:$D,$C605,'RAW_농산물_7월'!$A:$A,$E605),SUMIFS('RAW_농산물_8월'!$F:$F,'RAW_농산물_8월'!$D:$D,$C605,'RAW_농산물_8월'!$A:$A,$E605),SUMIFS('RAW_농산물_9월'!$F:$F,'RAW_농산물_9월'!$D:$D,$C605,'RAW_농산물_9월'!$A:$A,$E605),SUMIFS('RAW_농산물_10월'!$F:$F,'RAW_농산물_10월'!$D:$D,$C605,'RAW_농산물_10월'!$A:$A,$E605),SUMIFS('RAW_농산물_11-12월'!$F:$F,'RAW_농산물_11-12월'!$D:$D,$C605,'RAW_농산물_11-12월'!$A:$A,$E605))))</f>
        <v/>
      </c>
      <c r="G605" s="7" t="str">
        <f>IF($C605="","",IF('설정'!$B$3=0,"",CHOOSE('설정'!$B$3,SUMIFS('RAW_농산물_7월'!$G:$G,'RAW_농산물_7월'!$D:$D,$C605,'RAW_농산물_7월'!$A:$A,$E605),SUMIFS('RAW_농산물_8월'!$G:$G,'RAW_농산물_8월'!$D:$D,$C605,'RAW_농산물_8월'!$A:$A,$E605),SUMIFS('RAW_농산물_9월'!$G:$G,'RAW_농산물_9월'!$D:$D,$C605,'RAW_농산물_9월'!$A:$A,$E605),SUMIFS('RAW_농산물_10월'!$G:$G,'RAW_농산물_10월'!$D:$D,$C605,'RAW_농산물_10월'!$A:$A,$E605),SUMIFS('RAW_농산물_11-12월'!$G:$G,'RAW_농산물_11-12월'!$D:$D,$C605,'RAW_농산물_11-12월'!$A:$A,$E605))))</f>
        <v/>
      </c>
      <c r="H605" s="14" t="str">
        <f>IF($C605="","",IF('설정'!$B$3=0,"",CHOOSE('설정'!$B$3,SUMIFS('RAW_농산물_7월'!$H:$H,'RAW_농산물_7월'!$D:$D,$C605,'RAW_농산물_7월'!$A:$A,$E605),SUMIFS('RAW_농산물_8월'!$H:$H,'RAW_농산물_8월'!$D:$D,$C605,'RAW_농산물_8월'!$A:$A,$E605),SUMIFS('RAW_농산물_9월'!$H:$H,'RAW_농산물_9월'!$D:$D,$C605,'RAW_농산물_9월'!$A:$A,$E605),SUMIFS('RAW_농산물_10월'!$H:$H,'RAW_농산물_10월'!$D:$D,$C605,'RAW_농산물_10월'!$A:$A,$E605),SUMIFS('RAW_농산물_11-12월'!$H:$H,'RAW_농산물_11-12월'!$D:$D,$C605,'RAW_농산물_11-12월'!$A:$A,$E605))))</f>
        <v/>
      </c>
      <c r="I605" s="17" t="str">
        <f>IF($C605="","",IF(COUNTIFS('RAW_농산물_7월'!$D:$D,$C605,'RAW_농산물_7월'!$A:$A,$E605)&gt;0,"O",""))</f>
        <v/>
      </c>
      <c r="J605" s="17" t="str">
        <f>IF($C605="","",IF(COUNTIFS('RAW_농산물_8월'!$D:$D,$C605,'RAW_농산물_8월'!$A:$A,$E605)&gt;0,"O",""))</f>
        <v/>
      </c>
      <c r="K605" s="17" t="str">
        <f>IF($C605="","",IF(COUNTIFS('RAW_농산물_9월'!$D:$D,$C605,'RAW_농산물_9월'!$A:$A,$E605)&gt;0,"O",""))</f>
        <v/>
      </c>
      <c r="L605" s="17" t="str">
        <f>IF($C605="","",IF(COUNTIFS('RAW_농산물_10월'!$D:$D,$C605,'RAW_농산물_10월'!$A:$A,$E605)&gt;0,"O",""))</f>
        <v/>
      </c>
      <c r="M605" s="17" t="str">
        <f>IF($C605="","",IF(COUNTIFS('RAW_농산물_11-12월'!$D:$D,$C605,'RAW_농산물_11-12월'!$A:$A,$E605)&gt;0,"O",""))</f>
        <v/>
      </c>
      <c r="N605" s="7" t="str">
        <f>IF($C605="","",IF(COUNTA('RAW_농산물_7월'!$A:$A)&lt;=1,"",SUMIFS('RAW_농산물_7월'!$H:$H,'RAW_농산물_7월'!$D:$D,$C605,'RAW_농산물_7월'!$A:$A,$E605)))</f>
        <v/>
      </c>
      <c r="O605" s="7" t="str">
        <f>IF($C605="","",IF(COUNTA('RAW_농산물_8월'!$A:$A)&lt;=1,"",SUMIFS('RAW_농산물_8월'!$H:$H,'RAW_농산물_8월'!$D:$D,$C605,'RAW_농산물_8월'!$A:$A,$E605)-SUMIFS('RAW_농산물_7월'!$H:$H,'RAW_농산물_7월'!$D:$D,$C605,'RAW_농산물_7월'!$A:$A,$E605)))</f>
        <v/>
      </c>
      <c r="P605" s="7" t="str">
        <f>IF($C605="","",IF(COUNTA('RAW_농산물_9월'!$A:$A)&lt;=1,"",SUMIFS('RAW_농산물_9월'!$H:$H,'RAW_농산물_9월'!$D:$D,$C605,'RAW_농산물_9월'!$A:$A,$E605)-SUMIFS('RAW_농산물_8월'!$H:$H,'RAW_농산물_8월'!$D:$D,$C605,'RAW_농산물_8월'!$A:$A,$E605)))</f>
        <v/>
      </c>
      <c r="Q605" s="7" t="str">
        <f>IF($C605="","",IF(COUNTA('RAW_농산물_10월'!$A:$A)&lt;=1,"",SUMIFS('RAW_농산물_10월'!$H:$H,'RAW_농산물_10월'!$D:$D,$C605,'RAW_농산물_10월'!$A:$A,$E605)-SUMIFS('RAW_농산물_9월'!$H:$H,'RAW_농산물_9월'!$D:$D,$C605,'RAW_농산물_9월'!$A:$A,$E605)))</f>
        <v/>
      </c>
      <c r="R605" s="7" t="str">
        <f>IF($C605="","",IF(COUNTA('RAW_농산물_11-12월'!$A:$A)&lt;=1,"",SUMIFS('RAW_농산물_11-12월'!$H:$H,'RAW_농산물_11-12월'!$D:$D,$C605,'RAW_농산물_11-12월'!$A:$A,$E605)-SUMIFS('RAW_농산물_10월'!$H:$H,'RAW_농산물_10월'!$D:$D,$C605,'RAW_농산물_10월'!$A:$A,$E605)))</f>
        <v/>
      </c>
      <c r="S605" s="17" t="str">
        <f t="shared" si="4"/>
        <v/>
      </c>
      <c r="T605" s="17" t="str">
        <f t="shared" si="5"/>
        <v/>
      </c>
      <c r="U605" s="7">
        <f>IF($C605="",0,IF('설정'!$B$3=0,0,CHOOSE('설정'!$B$3,COUNTIFS('RAW_농산물_7월'!$D:$D,$C605,'RAW_농산물_7월'!$A:$A,$E605),COUNTIFS('RAW_농산물_8월'!$D:$D,$C605,'RAW_농산물_8월'!$A:$A,$E605),COUNTIFS('RAW_농산물_9월'!$D:$D,$C605,'RAW_농산물_9월'!$A:$A,$E605),COUNTIFS('RAW_농산물_10월'!$D:$D,$C605,'RAW_농산물_10월'!$A:$A,$E605),COUNTIFS('RAW_농산물_11-12월'!$D:$D,$C605,'RAW_농산물_11-12월'!$A:$A,$E605))))</f>
        <v>0</v>
      </c>
    </row>
    <row r="606" ht="15.75" customHeight="1">
      <c r="A606" s="5"/>
      <c r="B606" s="5"/>
      <c r="C606" s="5"/>
      <c r="D606" s="6"/>
      <c r="E606" s="5"/>
      <c r="F606" s="7" t="str">
        <f>IF($C606="","",IF('설정'!$B$3=0,"",CHOOSE('설정'!$B$3,SUMIFS('RAW_농산물_7월'!$F:$F,'RAW_농산물_7월'!$D:$D,$C606,'RAW_농산물_7월'!$A:$A,$E606),SUMIFS('RAW_농산물_8월'!$F:$F,'RAW_농산물_8월'!$D:$D,$C606,'RAW_농산물_8월'!$A:$A,$E606),SUMIFS('RAW_농산물_9월'!$F:$F,'RAW_농산물_9월'!$D:$D,$C606,'RAW_농산물_9월'!$A:$A,$E606),SUMIFS('RAW_농산물_10월'!$F:$F,'RAW_농산물_10월'!$D:$D,$C606,'RAW_농산물_10월'!$A:$A,$E606),SUMIFS('RAW_농산물_11-12월'!$F:$F,'RAW_농산물_11-12월'!$D:$D,$C606,'RAW_농산물_11-12월'!$A:$A,$E606))))</f>
        <v/>
      </c>
      <c r="G606" s="7" t="str">
        <f>IF($C606="","",IF('설정'!$B$3=0,"",CHOOSE('설정'!$B$3,SUMIFS('RAW_농산물_7월'!$G:$G,'RAW_농산물_7월'!$D:$D,$C606,'RAW_농산물_7월'!$A:$A,$E606),SUMIFS('RAW_농산물_8월'!$G:$G,'RAW_농산물_8월'!$D:$D,$C606,'RAW_농산물_8월'!$A:$A,$E606),SUMIFS('RAW_농산물_9월'!$G:$G,'RAW_농산물_9월'!$D:$D,$C606,'RAW_농산물_9월'!$A:$A,$E606),SUMIFS('RAW_농산물_10월'!$G:$G,'RAW_농산물_10월'!$D:$D,$C606,'RAW_농산물_10월'!$A:$A,$E606),SUMIFS('RAW_농산물_11-12월'!$G:$G,'RAW_농산물_11-12월'!$D:$D,$C606,'RAW_농산물_11-12월'!$A:$A,$E606))))</f>
        <v/>
      </c>
      <c r="H606" s="14" t="str">
        <f>IF($C606="","",IF('설정'!$B$3=0,"",CHOOSE('설정'!$B$3,SUMIFS('RAW_농산물_7월'!$H:$H,'RAW_농산물_7월'!$D:$D,$C606,'RAW_농산물_7월'!$A:$A,$E606),SUMIFS('RAW_농산물_8월'!$H:$H,'RAW_농산물_8월'!$D:$D,$C606,'RAW_농산물_8월'!$A:$A,$E606),SUMIFS('RAW_농산물_9월'!$H:$H,'RAW_농산물_9월'!$D:$D,$C606,'RAW_농산물_9월'!$A:$A,$E606),SUMIFS('RAW_농산물_10월'!$H:$H,'RAW_농산물_10월'!$D:$D,$C606,'RAW_농산물_10월'!$A:$A,$E606),SUMIFS('RAW_농산물_11-12월'!$H:$H,'RAW_농산물_11-12월'!$D:$D,$C606,'RAW_농산물_11-12월'!$A:$A,$E606))))</f>
        <v/>
      </c>
      <c r="I606" s="17" t="str">
        <f>IF($C606="","",IF(COUNTIFS('RAW_농산물_7월'!$D:$D,$C606,'RAW_농산물_7월'!$A:$A,$E606)&gt;0,"O",""))</f>
        <v/>
      </c>
      <c r="J606" s="17" t="str">
        <f>IF($C606="","",IF(COUNTIFS('RAW_농산물_8월'!$D:$D,$C606,'RAW_농산물_8월'!$A:$A,$E606)&gt;0,"O",""))</f>
        <v/>
      </c>
      <c r="K606" s="17" t="str">
        <f>IF($C606="","",IF(COUNTIFS('RAW_농산물_9월'!$D:$D,$C606,'RAW_농산물_9월'!$A:$A,$E606)&gt;0,"O",""))</f>
        <v/>
      </c>
      <c r="L606" s="17" t="str">
        <f>IF($C606="","",IF(COUNTIFS('RAW_농산물_10월'!$D:$D,$C606,'RAW_농산물_10월'!$A:$A,$E606)&gt;0,"O",""))</f>
        <v/>
      </c>
      <c r="M606" s="17" t="str">
        <f>IF($C606="","",IF(COUNTIFS('RAW_농산물_11-12월'!$D:$D,$C606,'RAW_농산물_11-12월'!$A:$A,$E606)&gt;0,"O",""))</f>
        <v/>
      </c>
      <c r="N606" s="7" t="str">
        <f>IF($C606="","",IF(COUNTA('RAW_농산물_7월'!$A:$A)&lt;=1,"",SUMIFS('RAW_농산물_7월'!$H:$H,'RAW_농산물_7월'!$D:$D,$C606,'RAW_농산물_7월'!$A:$A,$E606)))</f>
        <v/>
      </c>
      <c r="O606" s="7" t="str">
        <f>IF($C606="","",IF(COUNTA('RAW_농산물_8월'!$A:$A)&lt;=1,"",SUMIFS('RAW_농산물_8월'!$H:$H,'RAW_농산물_8월'!$D:$D,$C606,'RAW_농산물_8월'!$A:$A,$E606)-SUMIFS('RAW_농산물_7월'!$H:$H,'RAW_농산물_7월'!$D:$D,$C606,'RAW_농산물_7월'!$A:$A,$E606)))</f>
        <v/>
      </c>
      <c r="P606" s="7" t="str">
        <f>IF($C606="","",IF(COUNTA('RAW_농산물_9월'!$A:$A)&lt;=1,"",SUMIFS('RAW_농산물_9월'!$H:$H,'RAW_농산물_9월'!$D:$D,$C606,'RAW_농산물_9월'!$A:$A,$E606)-SUMIFS('RAW_농산물_8월'!$H:$H,'RAW_농산물_8월'!$D:$D,$C606,'RAW_농산물_8월'!$A:$A,$E606)))</f>
        <v/>
      </c>
      <c r="Q606" s="7" t="str">
        <f>IF($C606="","",IF(COUNTA('RAW_농산물_10월'!$A:$A)&lt;=1,"",SUMIFS('RAW_농산물_10월'!$H:$H,'RAW_농산물_10월'!$D:$D,$C606,'RAW_농산물_10월'!$A:$A,$E606)-SUMIFS('RAW_농산물_9월'!$H:$H,'RAW_농산물_9월'!$D:$D,$C606,'RAW_농산물_9월'!$A:$A,$E606)))</f>
        <v/>
      </c>
      <c r="R606" s="7" t="str">
        <f>IF($C606="","",IF(COUNTA('RAW_농산물_11-12월'!$A:$A)&lt;=1,"",SUMIFS('RAW_농산물_11-12월'!$H:$H,'RAW_농산물_11-12월'!$D:$D,$C606,'RAW_농산물_11-12월'!$A:$A,$E606)-SUMIFS('RAW_농산물_10월'!$H:$H,'RAW_농산물_10월'!$D:$D,$C606,'RAW_농산물_10월'!$A:$A,$E606)))</f>
        <v/>
      </c>
      <c r="S606" s="17" t="str">
        <f t="shared" si="4"/>
        <v/>
      </c>
      <c r="T606" s="17" t="str">
        <f t="shared" si="5"/>
        <v/>
      </c>
      <c r="U606" s="7">
        <f>IF($C606="",0,IF('설정'!$B$3=0,0,CHOOSE('설정'!$B$3,COUNTIFS('RAW_농산물_7월'!$D:$D,$C606,'RAW_농산물_7월'!$A:$A,$E606),COUNTIFS('RAW_농산물_8월'!$D:$D,$C606,'RAW_농산물_8월'!$A:$A,$E606),COUNTIFS('RAW_농산물_9월'!$D:$D,$C606,'RAW_농산물_9월'!$A:$A,$E606),COUNTIFS('RAW_농산물_10월'!$D:$D,$C606,'RAW_농산물_10월'!$A:$A,$E606),COUNTIFS('RAW_농산물_11-12월'!$D:$D,$C606,'RAW_농산물_11-12월'!$A:$A,$E606))))</f>
        <v>0</v>
      </c>
    </row>
    <row r="607" ht="15.75" customHeight="1">
      <c r="A607" s="5"/>
      <c r="B607" s="5"/>
      <c r="C607" s="5"/>
      <c r="D607" s="6"/>
      <c r="E607" s="5"/>
      <c r="F607" s="7" t="str">
        <f>IF($C607="","",IF('설정'!$B$3=0,"",CHOOSE('설정'!$B$3,SUMIFS('RAW_농산물_7월'!$F:$F,'RAW_농산물_7월'!$D:$D,$C607,'RAW_농산물_7월'!$A:$A,$E607),SUMIFS('RAW_농산물_8월'!$F:$F,'RAW_농산물_8월'!$D:$D,$C607,'RAW_농산물_8월'!$A:$A,$E607),SUMIFS('RAW_농산물_9월'!$F:$F,'RAW_농산물_9월'!$D:$D,$C607,'RAW_농산물_9월'!$A:$A,$E607),SUMIFS('RAW_농산물_10월'!$F:$F,'RAW_농산물_10월'!$D:$D,$C607,'RAW_농산물_10월'!$A:$A,$E607),SUMIFS('RAW_농산물_11-12월'!$F:$F,'RAW_농산물_11-12월'!$D:$D,$C607,'RAW_농산물_11-12월'!$A:$A,$E607))))</f>
        <v/>
      </c>
      <c r="G607" s="7" t="str">
        <f>IF($C607="","",IF('설정'!$B$3=0,"",CHOOSE('설정'!$B$3,SUMIFS('RAW_농산물_7월'!$G:$G,'RAW_농산물_7월'!$D:$D,$C607,'RAW_농산물_7월'!$A:$A,$E607),SUMIFS('RAW_농산물_8월'!$G:$G,'RAW_농산물_8월'!$D:$D,$C607,'RAW_농산물_8월'!$A:$A,$E607),SUMIFS('RAW_농산물_9월'!$G:$G,'RAW_농산물_9월'!$D:$D,$C607,'RAW_농산물_9월'!$A:$A,$E607),SUMIFS('RAW_농산물_10월'!$G:$G,'RAW_농산물_10월'!$D:$D,$C607,'RAW_농산물_10월'!$A:$A,$E607),SUMIFS('RAW_농산물_11-12월'!$G:$G,'RAW_농산물_11-12월'!$D:$D,$C607,'RAW_농산물_11-12월'!$A:$A,$E607))))</f>
        <v/>
      </c>
      <c r="H607" s="14" t="str">
        <f>IF($C607="","",IF('설정'!$B$3=0,"",CHOOSE('설정'!$B$3,SUMIFS('RAW_농산물_7월'!$H:$H,'RAW_농산물_7월'!$D:$D,$C607,'RAW_농산물_7월'!$A:$A,$E607),SUMIFS('RAW_농산물_8월'!$H:$H,'RAW_농산물_8월'!$D:$D,$C607,'RAW_농산물_8월'!$A:$A,$E607),SUMIFS('RAW_농산물_9월'!$H:$H,'RAW_농산물_9월'!$D:$D,$C607,'RAW_농산물_9월'!$A:$A,$E607),SUMIFS('RAW_농산물_10월'!$H:$H,'RAW_농산물_10월'!$D:$D,$C607,'RAW_농산물_10월'!$A:$A,$E607),SUMIFS('RAW_농산물_11-12월'!$H:$H,'RAW_농산물_11-12월'!$D:$D,$C607,'RAW_농산물_11-12월'!$A:$A,$E607))))</f>
        <v/>
      </c>
      <c r="I607" s="17" t="str">
        <f>IF($C607="","",IF(COUNTIFS('RAW_농산물_7월'!$D:$D,$C607,'RAW_농산물_7월'!$A:$A,$E607)&gt;0,"O",""))</f>
        <v/>
      </c>
      <c r="J607" s="17" t="str">
        <f>IF($C607="","",IF(COUNTIFS('RAW_농산물_8월'!$D:$D,$C607,'RAW_농산물_8월'!$A:$A,$E607)&gt;0,"O",""))</f>
        <v/>
      </c>
      <c r="K607" s="17" t="str">
        <f>IF($C607="","",IF(COUNTIFS('RAW_농산물_9월'!$D:$D,$C607,'RAW_농산물_9월'!$A:$A,$E607)&gt;0,"O",""))</f>
        <v/>
      </c>
      <c r="L607" s="17" t="str">
        <f>IF($C607="","",IF(COUNTIFS('RAW_농산물_10월'!$D:$D,$C607,'RAW_농산물_10월'!$A:$A,$E607)&gt;0,"O",""))</f>
        <v/>
      </c>
      <c r="M607" s="17" t="str">
        <f>IF($C607="","",IF(COUNTIFS('RAW_농산물_11-12월'!$D:$D,$C607,'RAW_농산물_11-12월'!$A:$A,$E607)&gt;0,"O",""))</f>
        <v/>
      </c>
      <c r="N607" s="7" t="str">
        <f>IF($C607="","",IF(COUNTA('RAW_농산물_7월'!$A:$A)&lt;=1,"",SUMIFS('RAW_농산물_7월'!$H:$H,'RAW_농산물_7월'!$D:$D,$C607,'RAW_농산물_7월'!$A:$A,$E607)))</f>
        <v/>
      </c>
      <c r="O607" s="7" t="str">
        <f>IF($C607="","",IF(COUNTA('RAW_농산물_8월'!$A:$A)&lt;=1,"",SUMIFS('RAW_농산물_8월'!$H:$H,'RAW_농산물_8월'!$D:$D,$C607,'RAW_농산물_8월'!$A:$A,$E607)-SUMIFS('RAW_농산물_7월'!$H:$H,'RAW_농산물_7월'!$D:$D,$C607,'RAW_농산물_7월'!$A:$A,$E607)))</f>
        <v/>
      </c>
      <c r="P607" s="7" t="str">
        <f>IF($C607="","",IF(COUNTA('RAW_농산물_9월'!$A:$A)&lt;=1,"",SUMIFS('RAW_농산물_9월'!$H:$H,'RAW_농산물_9월'!$D:$D,$C607,'RAW_농산물_9월'!$A:$A,$E607)-SUMIFS('RAW_농산물_8월'!$H:$H,'RAW_농산물_8월'!$D:$D,$C607,'RAW_농산물_8월'!$A:$A,$E607)))</f>
        <v/>
      </c>
      <c r="Q607" s="7" t="str">
        <f>IF($C607="","",IF(COUNTA('RAW_농산물_10월'!$A:$A)&lt;=1,"",SUMIFS('RAW_농산물_10월'!$H:$H,'RAW_농산물_10월'!$D:$D,$C607,'RAW_농산물_10월'!$A:$A,$E607)-SUMIFS('RAW_농산물_9월'!$H:$H,'RAW_농산물_9월'!$D:$D,$C607,'RAW_농산물_9월'!$A:$A,$E607)))</f>
        <v/>
      </c>
      <c r="R607" s="7" t="str">
        <f>IF($C607="","",IF(COUNTA('RAW_농산물_11-12월'!$A:$A)&lt;=1,"",SUMIFS('RAW_농산물_11-12월'!$H:$H,'RAW_농산물_11-12월'!$D:$D,$C607,'RAW_농산물_11-12월'!$A:$A,$E607)-SUMIFS('RAW_농산물_10월'!$H:$H,'RAW_농산물_10월'!$D:$D,$C607,'RAW_농산물_10월'!$A:$A,$E607)))</f>
        <v/>
      </c>
      <c r="S607" s="17" t="str">
        <f t="shared" si="4"/>
        <v/>
      </c>
      <c r="T607" s="17" t="str">
        <f t="shared" si="5"/>
        <v/>
      </c>
      <c r="U607" s="7">
        <f>IF($C607="",0,IF('설정'!$B$3=0,0,CHOOSE('설정'!$B$3,COUNTIFS('RAW_농산물_7월'!$D:$D,$C607,'RAW_농산물_7월'!$A:$A,$E607),COUNTIFS('RAW_농산물_8월'!$D:$D,$C607,'RAW_농산물_8월'!$A:$A,$E607),COUNTIFS('RAW_농산물_9월'!$D:$D,$C607,'RAW_농산물_9월'!$A:$A,$E607),COUNTIFS('RAW_농산물_10월'!$D:$D,$C607,'RAW_농산물_10월'!$A:$A,$E607),COUNTIFS('RAW_농산물_11-12월'!$D:$D,$C607,'RAW_농산물_11-12월'!$A:$A,$E607))))</f>
        <v>0</v>
      </c>
    </row>
    <row r="608" ht="15.75" customHeight="1">
      <c r="A608" s="5"/>
      <c r="B608" s="5"/>
      <c r="C608" s="5"/>
      <c r="D608" s="6"/>
      <c r="E608" s="5"/>
      <c r="F608" s="7" t="str">
        <f>IF($C608="","",IF('설정'!$B$3=0,"",CHOOSE('설정'!$B$3,SUMIFS('RAW_농산물_7월'!$F:$F,'RAW_농산물_7월'!$D:$D,$C608,'RAW_농산물_7월'!$A:$A,$E608),SUMIFS('RAW_농산물_8월'!$F:$F,'RAW_농산물_8월'!$D:$D,$C608,'RAW_농산물_8월'!$A:$A,$E608),SUMIFS('RAW_농산물_9월'!$F:$F,'RAW_농산물_9월'!$D:$D,$C608,'RAW_농산물_9월'!$A:$A,$E608),SUMIFS('RAW_농산물_10월'!$F:$F,'RAW_농산물_10월'!$D:$D,$C608,'RAW_농산물_10월'!$A:$A,$E608),SUMIFS('RAW_농산물_11-12월'!$F:$F,'RAW_농산물_11-12월'!$D:$D,$C608,'RAW_농산물_11-12월'!$A:$A,$E608))))</f>
        <v/>
      </c>
      <c r="G608" s="7" t="str">
        <f>IF($C608="","",IF('설정'!$B$3=0,"",CHOOSE('설정'!$B$3,SUMIFS('RAW_농산물_7월'!$G:$G,'RAW_농산물_7월'!$D:$D,$C608,'RAW_농산물_7월'!$A:$A,$E608),SUMIFS('RAW_농산물_8월'!$G:$G,'RAW_농산물_8월'!$D:$D,$C608,'RAW_농산물_8월'!$A:$A,$E608),SUMIFS('RAW_농산물_9월'!$G:$G,'RAW_농산물_9월'!$D:$D,$C608,'RAW_농산물_9월'!$A:$A,$E608),SUMIFS('RAW_농산물_10월'!$G:$G,'RAW_농산물_10월'!$D:$D,$C608,'RAW_농산물_10월'!$A:$A,$E608),SUMIFS('RAW_농산물_11-12월'!$G:$G,'RAW_농산물_11-12월'!$D:$D,$C608,'RAW_농산물_11-12월'!$A:$A,$E608))))</f>
        <v/>
      </c>
      <c r="H608" s="14" t="str">
        <f>IF($C608="","",IF('설정'!$B$3=0,"",CHOOSE('설정'!$B$3,SUMIFS('RAW_농산물_7월'!$H:$H,'RAW_농산물_7월'!$D:$D,$C608,'RAW_농산물_7월'!$A:$A,$E608),SUMIFS('RAW_농산물_8월'!$H:$H,'RAW_농산물_8월'!$D:$D,$C608,'RAW_농산물_8월'!$A:$A,$E608),SUMIFS('RAW_농산물_9월'!$H:$H,'RAW_농산물_9월'!$D:$D,$C608,'RAW_농산물_9월'!$A:$A,$E608),SUMIFS('RAW_농산물_10월'!$H:$H,'RAW_농산물_10월'!$D:$D,$C608,'RAW_농산물_10월'!$A:$A,$E608),SUMIFS('RAW_농산물_11-12월'!$H:$H,'RAW_농산물_11-12월'!$D:$D,$C608,'RAW_농산물_11-12월'!$A:$A,$E608))))</f>
        <v/>
      </c>
      <c r="I608" s="17" t="str">
        <f>IF($C608="","",IF(COUNTIFS('RAW_농산물_7월'!$D:$D,$C608,'RAW_농산물_7월'!$A:$A,$E608)&gt;0,"O",""))</f>
        <v/>
      </c>
      <c r="J608" s="17" t="str">
        <f>IF($C608="","",IF(COUNTIFS('RAW_농산물_8월'!$D:$D,$C608,'RAW_농산물_8월'!$A:$A,$E608)&gt;0,"O",""))</f>
        <v/>
      </c>
      <c r="K608" s="17" t="str">
        <f>IF($C608="","",IF(COUNTIFS('RAW_농산물_9월'!$D:$D,$C608,'RAW_농산물_9월'!$A:$A,$E608)&gt;0,"O",""))</f>
        <v/>
      </c>
      <c r="L608" s="17" t="str">
        <f>IF($C608="","",IF(COUNTIFS('RAW_농산물_10월'!$D:$D,$C608,'RAW_농산물_10월'!$A:$A,$E608)&gt;0,"O",""))</f>
        <v/>
      </c>
      <c r="M608" s="17" t="str">
        <f>IF($C608="","",IF(COUNTIFS('RAW_농산물_11-12월'!$D:$D,$C608,'RAW_농산물_11-12월'!$A:$A,$E608)&gt;0,"O",""))</f>
        <v/>
      </c>
      <c r="N608" s="7" t="str">
        <f>IF($C608="","",IF(COUNTA('RAW_농산물_7월'!$A:$A)&lt;=1,"",SUMIFS('RAW_농산물_7월'!$H:$H,'RAW_농산물_7월'!$D:$D,$C608,'RAW_농산물_7월'!$A:$A,$E608)))</f>
        <v/>
      </c>
      <c r="O608" s="7" t="str">
        <f>IF($C608="","",IF(COUNTA('RAW_농산물_8월'!$A:$A)&lt;=1,"",SUMIFS('RAW_농산물_8월'!$H:$H,'RAW_농산물_8월'!$D:$D,$C608,'RAW_농산물_8월'!$A:$A,$E608)-SUMIFS('RAW_농산물_7월'!$H:$H,'RAW_농산물_7월'!$D:$D,$C608,'RAW_농산물_7월'!$A:$A,$E608)))</f>
        <v/>
      </c>
      <c r="P608" s="7" t="str">
        <f>IF($C608="","",IF(COUNTA('RAW_농산물_9월'!$A:$A)&lt;=1,"",SUMIFS('RAW_농산물_9월'!$H:$H,'RAW_농산물_9월'!$D:$D,$C608,'RAW_농산물_9월'!$A:$A,$E608)-SUMIFS('RAW_농산물_8월'!$H:$H,'RAW_농산물_8월'!$D:$D,$C608,'RAW_농산물_8월'!$A:$A,$E608)))</f>
        <v/>
      </c>
      <c r="Q608" s="7" t="str">
        <f>IF($C608="","",IF(COUNTA('RAW_농산물_10월'!$A:$A)&lt;=1,"",SUMIFS('RAW_농산물_10월'!$H:$H,'RAW_농산물_10월'!$D:$D,$C608,'RAW_농산물_10월'!$A:$A,$E608)-SUMIFS('RAW_농산물_9월'!$H:$H,'RAW_농산물_9월'!$D:$D,$C608,'RAW_농산물_9월'!$A:$A,$E608)))</f>
        <v/>
      </c>
      <c r="R608" s="7" t="str">
        <f>IF($C608="","",IF(COUNTA('RAW_농산물_11-12월'!$A:$A)&lt;=1,"",SUMIFS('RAW_농산물_11-12월'!$H:$H,'RAW_농산물_11-12월'!$D:$D,$C608,'RAW_농산물_11-12월'!$A:$A,$E608)-SUMIFS('RAW_농산물_10월'!$H:$H,'RAW_농산물_10월'!$D:$D,$C608,'RAW_농산물_10월'!$A:$A,$E608)))</f>
        <v/>
      </c>
      <c r="S608" s="17" t="str">
        <f t="shared" si="4"/>
        <v/>
      </c>
      <c r="T608" s="17" t="str">
        <f t="shared" si="5"/>
        <v/>
      </c>
      <c r="U608" s="7">
        <f>IF($C608="",0,IF('설정'!$B$3=0,0,CHOOSE('설정'!$B$3,COUNTIFS('RAW_농산물_7월'!$D:$D,$C608,'RAW_농산물_7월'!$A:$A,$E608),COUNTIFS('RAW_농산물_8월'!$D:$D,$C608,'RAW_농산물_8월'!$A:$A,$E608),COUNTIFS('RAW_농산물_9월'!$D:$D,$C608,'RAW_농산물_9월'!$A:$A,$E608),COUNTIFS('RAW_농산물_10월'!$D:$D,$C608,'RAW_농산물_10월'!$A:$A,$E608),COUNTIFS('RAW_농산물_11-12월'!$D:$D,$C608,'RAW_농산물_11-12월'!$A:$A,$E608))))</f>
        <v>0</v>
      </c>
    </row>
    <row r="609" ht="15.75" customHeight="1">
      <c r="A609" s="5"/>
      <c r="B609" s="5"/>
      <c r="C609" s="5"/>
      <c r="D609" s="6"/>
      <c r="E609" s="5"/>
      <c r="F609" s="7" t="str">
        <f>IF($C609="","",IF('설정'!$B$3=0,"",CHOOSE('설정'!$B$3,SUMIFS('RAW_농산물_7월'!$F:$F,'RAW_농산물_7월'!$D:$D,$C609,'RAW_농산물_7월'!$A:$A,$E609),SUMIFS('RAW_농산물_8월'!$F:$F,'RAW_농산물_8월'!$D:$D,$C609,'RAW_농산물_8월'!$A:$A,$E609),SUMIFS('RAW_농산물_9월'!$F:$F,'RAW_농산물_9월'!$D:$D,$C609,'RAW_농산물_9월'!$A:$A,$E609),SUMIFS('RAW_농산물_10월'!$F:$F,'RAW_농산물_10월'!$D:$D,$C609,'RAW_농산물_10월'!$A:$A,$E609),SUMIFS('RAW_농산물_11-12월'!$F:$F,'RAW_농산물_11-12월'!$D:$D,$C609,'RAW_농산물_11-12월'!$A:$A,$E609))))</f>
        <v/>
      </c>
      <c r="G609" s="7" t="str">
        <f>IF($C609="","",IF('설정'!$B$3=0,"",CHOOSE('설정'!$B$3,SUMIFS('RAW_농산물_7월'!$G:$G,'RAW_농산물_7월'!$D:$D,$C609,'RAW_농산물_7월'!$A:$A,$E609),SUMIFS('RAW_농산물_8월'!$G:$G,'RAW_농산물_8월'!$D:$D,$C609,'RAW_농산물_8월'!$A:$A,$E609),SUMIFS('RAW_농산물_9월'!$G:$G,'RAW_농산물_9월'!$D:$D,$C609,'RAW_농산물_9월'!$A:$A,$E609),SUMIFS('RAW_농산물_10월'!$G:$G,'RAW_농산물_10월'!$D:$D,$C609,'RAW_농산물_10월'!$A:$A,$E609),SUMIFS('RAW_농산물_11-12월'!$G:$G,'RAW_농산물_11-12월'!$D:$D,$C609,'RAW_농산물_11-12월'!$A:$A,$E609))))</f>
        <v/>
      </c>
      <c r="H609" s="14" t="str">
        <f>IF($C609="","",IF('설정'!$B$3=0,"",CHOOSE('설정'!$B$3,SUMIFS('RAW_농산물_7월'!$H:$H,'RAW_농산물_7월'!$D:$D,$C609,'RAW_농산물_7월'!$A:$A,$E609),SUMIFS('RAW_농산물_8월'!$H:$H,'RAW_농산물_8월'!$D:$D,$C609,'RAW_농산물_8월'!$A:$A,$E609),SUMIFS('RAW_농산물_9월'!$H:$H,'RAW_농산물_9월'!$D:$D,$C609,'RAW_농산물_9월'!$A:$A,$E609),SUMIFS('RAW_농산물_10월'!$H:$H,'RAW_농산물_10월'!$D:$D,$C609,'RAW_농산물_10월'!$A:$A,$E609),SUMIFS('RAW_농산물_11-12월'!$H:$H,'RAW_농산물_11-12월'!$D:$D,$C609,'RAW_농산물_11-12월'!$A:$A,$E609))))</f>
        <v/>
      </c>
      <c r="I609" s="17" t="str">
        <f>IF($C609="","",IF(COUNTIFS('RAW_농산물_7월'!$D:$D,$C609,'RAW_농산물_7월'!$A:$A,$E609)&gt;0,"O",""))</f>
        <v/>
      </c>
      <c r="J609" s="17" t="str">
        <f>IF($C609="","",IF(COUNTIFS('RAW_농산물_8월'!$D:$D,$C609,'RAW_농산물_8월'!$A:$A,$E609)&gt;0,"O",""))</f>
        <v/>
      </c>
      <c r="K609" s="17" t="str">
        <f>IF($C609="","",IF(COUNTIFS('RAW_농산물_9월'!$D:$D,$C609,'RAW_농산물_9월'!$A:$A,$E609)&gt;0,"O",""))</f>
        <v/>
      </c>
      <c r="L609" s="17" t="str">
        <f>IF($C609="","",IF(COUNTIFS('RAW_농산물_10월'!$D:$D,$C609,'RAW_농산물_10월'!$A:$A,$E609)&gt;0,"O",""))</f>
        <v/>
      </c>
      <c r="M609" s="17" t="str">
        <f>IF($C609="","",IF(COUNTIFS('RAW_농산물_11-12월'!$D:$D,$C609,'RAW_농산물_11-12월'!$A:$A,$E609)&gt;0,"O",""))</f>
        <v/>
      </c>
      <c r="N609" s="7" t="str">
        <f>IF($C609="","",IF(COUNTA('RAW_농산물_7월'!$A:$A)&lt;=1,"",SUMIFS('RAW_농산물_7월'!$H:$H,'RAW_농산물_7월'!$D:$D,$C609,'RAW_농산물_7월'!$A:$A,$E609)))</f>
        <v/>
      </c>
      <c r="O609" s="7" t="str">
        <f>IF($C609="","",IF(COUNTA('RAW_농산물_8월'!$A:$A)&lt;=1,"",SUMIFS('RAW_농산물_8월'!$H:$H,'RAW_농산물_8월'!$D:$D,$C609,'RAW_농산물_8월'!$A:$A,$E609)-SUMIFS('RAW_농산물_7월'!$H:$H,'RAW_농산물_7월'!$D:$D,$C609,'RAW_농산물_7월'!$A:$A,$E609)))</f>
        <v/>
      </c>
      <c r="P609" s="7" t="str">
        <f>IF($C609="","",IF(COUNTA('RAW_농산물_9월'!$A:$A)&lt;=1,"",SUMIFS('RAW_농산물_9월'!$H:$H,'RAW_농산물_9월'!$D:$D,$C609,'RAW_농산물_9월'!$A:$A,$E609)-SUMIFS('RAW_농산물_8월'!$H:$H,'RAW_농산물_8월'!$D:$D,$C609,'RAW_농산물_8월'!$A:$A,$E609)))</f>
        <v/>
      </c>
      <c r="Q609" s="7" t="str">
        <f>IF($C609="","",IF(COUNTA('RAW_농산물_10월'!$A:$A)&lt;=1,"",SUMIFS('RAW_농산물_10월'!$H:$H,'RAW_농산물_10월'!$D:$D,$C609,'RAW_농산물_10월'!$A:$A,$E609)-SUMIFS('RAW_농산물_9월'!$H:$H,'RAW_농산물_9월'!$D:$D,$C609,'RAW_농산물_9월'!$A:$A,$E609)))</f>
        <v/>
      </c>
      <c r="R609" s="7" t="str">
        <f>IF($C609="","",IF(COUNTA('RAW_농산물_11-12월'!$A:$A)&lt;=1,"",SUMIFS('RAW_농산물_11-12월'!$H:$H,'RAW_농산물_11-12월'!$D:$D,$C609,'RAW_농산물_11-12월'!$A:$A,$E609)-SUMIFS('RAW_농산물_10월'!$H:$H,'RAW_농산물_10월'!$D:$D,$C609,'RAW_농산물_10월'!$A:$A,$E609)))</f>
        <v/>
      </c>
      <c r="S609" s="17" t="str">
        <f t="shared" si="4"/>
        <v/>
      </c>
      <c r="T609" s="17" t="str">
        <f t="shared" si="5"/>
        <v/>
      </c>
      <c r="U609" s="7">
        <f>IF($C609="",0,IF('설정'!$B$3=0,0,CHOOSE('설정'!$B$3,COUNTIFS('RAW_농산물_7월'!$D:$D,$C609,'RAW_농산물_7월'!$A:$A,$E609),COUNTIFS('RAW_농산물_8월'!$D:$D,$C609,'RAW_농산물_8월'!$A:$A,$E609),COUNTIFS('RAW_농산물_9월'!$D:$D,$C609,'RAW_농산물_9월'!$A:$A,$E609),COUNTIFS('RAW_농산물_10월'!$D:$D,$C609,'RAW_농산물_10월'!$A:$A,$E609),COUNTIFS('RAW_농산물_11-12월'!$D:$D,$C609,'RAW_농산물_11-12월'!$A:$A,$E609))))</f>
        <v>0</v>
      </c>
    </row>
    <row r="610" ht="15.75" customHeight="1">
      <c r="A610" s="5"/>
      <c r="B610" s="5"/>
      <c r="C610" s="5"/>
      <c r="D610" s="6"/>
      <c r="E610" s="5"/>
      <c r="F610" s="7" t="str">
        <f>IF($C610="","",IF('설정'!$B$3=0,"",CHOOSE('설정'!$B$3,SUMIFS('RAW_농산물_7월'!$F:$F,'RAW_농산물_7월'!$D:$D,$C610,'RAW_농산물_7월'!$A:$A,$E610),SUMIFS('RAW_농산물_8월'!$F:$F,'RAW_농산물_8월'!$D:$D,$C610,'RAW_농산물_8월'!$A:$A,$E610),SUMIFS('RAW_농산물_9월'!$F:$F,'RAW_농산물_9월'!$D:$D,$C610,'RAW_농산물_9월'!$A:$A,$E610),SUMIFS('RAW_농산물_10월'!$F:$F,'RAW_농산물_10월'!$D:$D,$C610,'RAW_농산물_10월'!$A:$A,$E610),SUMIFS('RAW_농산물_11-12월'!$F:$F,'RAW_농산물_11-12월'!$D:$D,$C610,'RAW_농산물_11-12월'!$A:$A,$E610))))</f>
        <v/>
      </c>
      <c r="G610" s="7" t="str">
        <f>IF($C610="","",IF('설정'!$B$3=0,"",CHOOSE('설정'!$B$3,SUMIFS('RAW_농산물_7월'!$G:$G,'RAW_농산물_7월'!$D:$D,$C610,'RAW_농산물_7월'!$A:$A,$E610),SUMIFS('RAW_농산물_8월'!$G:$G,'RAW_농산물_8월'!$D:$D,$C610,'RAW_농산물_8월'!$A:$A,$E610),SUMIFS('RAW_농산물_9월'!$G:$G,'RAW_농산물_9월'!$D:$D,$C610,'RAW_농산물_9월'!$A:$A,$E610),SUMIFS('RAW_농산물_10월'!$G:$G,'RAW_농산물_10월'!$D:$D,$C610,'RAW_농산물_10월'!$A:$A,$E610),SUMIFS('RAW_농산물_11-12월'!$G:$G,'RAW_농산물_11-12월'!$D:$D,$C610,'RAW_농산물_11-12월'!$A:$A,$E610))))</f>
        <v/>
      </c>
      <c r="H610" s="14" t="str">
        <f>IF($C610="","",IF('설정'!$B$3=0,"",CHOOSE('설정'!$B$3,SUMIFS('RAW_농산물_7월'!$H:$H,'RAW_농산물_7월'!$D:$D,$C610,'RAW_농산물_7월'!$A:$A,$E610),SUMIFS('RAW_농산물_8월'!$H:$H,'RAW_농산물_8월'!$D:$D,$C610,'RAW_농산물_8월'!$A:$A,$E610),SUMIFS('RAW_농산물_9월'!$H:$H,'RAW_농산물_9월'!$D:$D,$C610,'RAW_농산물_9월'!$A:$A,$E610),SUMIFS('RAW_농산물_10월'!$H:$H,'RAW_농산물_10월'!$D:$D,$C610,'RAW_농산물_10월'!$A:$A,$E610),SUMIFS('RAW_농산물_11-12월'!$H:$H,'RAW_농산물_11-12월'!$D:$D,$C610,'RAW_농산물_11-12월'!$A:$A,$E610))))</f>
        <v/>
      </c>
      <c r="I610" s="17" t="str">
        <f>IF($C610="","",IF(COUNTIFS('RAW_농산물_7월'!$D:$D,$C610,'RAW_농산물_7월'!$A:$A,$E610)&gt;0,"O",""))</f>
        <v/>
      </c>
      <c r="J610" s="17" t="str">
        <f>IF($C610="","",IF(COUNTIFS('RAW_농산물_8월'!$D:$D,$C610,'RAW_농산물_8월'!$A:$A,$E610)&gt;0,"O",""))</f>
        <v/>
      </c>
      <c r="K610" s="17" t="str">
        <f>IF($C610="","",IF(COUNTIFS('RAW_농산물_9월'!$D:$D,$C610,'RAW_농산물_9월'!$A:$A,$E610)&gt;0,"O",""))</f>
        <v/>
      </c>
      <c r="L610" s="17" t="str">
        <f>IF($C610="","",IF(COUNTIFS('RAW_농산물_10월'!$D:$D,$C610,'RAW_농산물_10월'!$A:$A,$E610)&gt;0,"O",""))</f>
        <v/>
      </c>
      <c r="M610" s="17" t="str">
        <f>IF($C610="","",IF(COUNTIFS('RAW_농산물_11-12월'!$D:$D,$C610,'RAW_농산물_11-12월'!$A:$A,$E610)&gt;0,"O",""))</f>
        <v/>
      </c>
      <c r="N610" s="7" t="str">
        <f>IF($C610="","",IF(COUNTA('RAW_농산물_7월'!$A:$A)&lt;=1,"",SUMIFS('RAW_농산물_7월'!$H:$H,'RAW_농산물_7월'!$D:$D,$C610,'RAW_농산물_7월'!$A:$A,$E610)))</f>
        <v/>
      </c>
      <c r="O610" s="7" t="str">
        <f>IF($C610="","",IF(COUNTA('RAW_농산물_8월'!$A:$A)&lt;=1,"",SUMIFS('RAW_농산물_8월'!$H:$H,'RAW_농산물_8월'!$D:$D,$C610,'RAW_농산물_8월'!$A:$A,$E610)-SUMIFS('RAW_농산물_7월'!$H:$H,'RAW_농산물_7월'!$D:$D,$C610,'RAW_농산물_7월'!$A:$A,$E610)))</f>
        <v/>
      </c>
      <c r="P610" s="7" t="str">
        <f>IF($C610="","",IF(COUNTA('RAW_농산물_9월'!$A:$A)&lt;=1,"",SUMIFS('RAW_농산물_9월'!$H:$H,'RAW_농산물_9월'!$D:$D,$C610,'RAW_농산물_9월'!$A:$A,$E610)-SUMIFS('RAW_농산물_8월'!$H:$H,'RAW_농산물_8월'!$D:$D,$C610,'RAW_농산물_8월'!$A:$A,$E610)))</f>
        <v/>
      </c>
      <c r="Q610" s="7" t="str">
        <f>IF($C610="","",IF(COUNTA('RAW_농산물_10월'!$A:$A)&lt;=1,"",SUMIFS('RAW_농산물_10월'!$H:$H,'RAW_농산물_10월'!$D:$D,$C610,'RAW_농산물_10월'!$A:$A,$E610)-SUMIFS('RAW_농산물_9월'!$H:$H,'RAW_농산물_9월'!$D:$D,$C610,'RAW_농산물_9월'!$A:$A,$E610)))</f>
        <v/>
      </c>
      <c r="R610" s="7" t="str">
        <f>IF($C610="","",IF(COUNTA('RAW_농산물_11-12월'!$A:$A)&lt;=1,"",SUMIFS('RAW_농산물_11-12월'!$H:$H,'RAW_농산물_11-12월'!$D:$D,$C610,'RAW_농산물_11-12월'!$A:$A,$E610)-SUMIFS('RAW_농산물_10월'!$H:$H,'RAW_농산물_10월'!$D:$D,$C610,'RAW_농산물_10월'!$A:$A,$E610)))</f>
        <v/>
      </c>
      <c r="S610" s="17" t="str">
        <f t="shared" si="4"/>
        <v/>
      </c>
      <c r="T610" s="17" t="str">
        <f t="shared" si="5"/>
        <v/>
      </c>
      <c r="U610" s="7">
        <f>IF($C610="",0,IF('설정'!$B$3=0,0,CHOOSE('설정'!$B$3,COUNTIFS('RAW_농산물_7월'!$D:$D,$C610,'RAW_농산물_7월'!$A:$A,$E610),COUNTIFS('RAW_농산물_8월'!$D:$D,$C610,'RAW_농산물_8월'!$A:$A,$E610),COUNTIFS('RAW_농산물_9월'!$D:$D,$C610,'RAW_농산물_9월'!$A:$A,$E610),COUNTIFS('RAW_농산물_10월'!$D:$D,$C610,'RAW_농산물_10월'!$A:$A,$E610),COUNTIFS('RAW_농산물_11-12월'!$D:$D,$C610,'RAW_농산물_11-12월'!$A:$A,$E610))))</f>
        <v>0</v>
      </c>
    </row>
    <row r="611" ht="15.75" customHeight="1">
      <c r="A611" s="5"/>
      <c r="B611" s="5"/>
      <c r="C611" s="5"/>
      <c r="D611" s="6"/>
      <c r="E611" s="5"/>
      <c r="F611" s="7" t="str">
        <f>IF($C611="","",IF('설정'!$B$3=0,"",CHOOSE('설정'!$B$3,SUMIFS('RAW_농산물_7월'!$F:$F,'RAW_농산물_7월'!$D:$D,$C611,'RAW_농산물_7월'!$A:$A,$E611),SUMIFS('RAW_농산물_8월'!$F:$F,'RAW_농산물_8월'!$D:$D,$C611,'RAW_농산물_8월'!$A:$A,$E611),SUMIFS('RAW_농산물_9월'!$F:$F,'RAW_농산물_9월'!$D:$D,$C611,'RAW_농산물_9월'!$A:$A,$E611),SUMIFS('RAW_농산물_10월'!$F:$F,'RAW_농산물_10월'!$D:$D,$C611,'RAW_농산물_10월'!$A:$A,$E611),SUMIFS('RAW_농산물_11-12월'!$F:$F,'RAW_농산물_11-12월'!$D:$D,$C611,'RAW_농산물_11-12월'!$A:$A,$E611))))</f>
        <v/>
      </c>
      <c r="G611" s="7" t="str">
        <f>IF($C611="","",IF('설정'!$B$3=0,"",CHOOSE('설정'!$B$3,SUMIFS('RAW_농산물_7월'!$G:$G,'RAW_농산물_7월'!$D:$D,$C611,'RAW_농산물_7월'!$A:$A,$E611),SUMIFS('RAW_농산물_8월'!$G:$G,'RAW_농산물_8월'!$D:$D,$C611,'RAW_농산물_8월'!$A:$A,$E611),SUMIFS('RAW_농산물_9월'!$G:$G,'RAW_농산물_9월'!$D:$D,$C611,'RAW_농산물_9월'!$A:$A,$E611),SUMIFS('RAW_농산물_10월'!$G:$G,'RAW_농산물_10월'!$D:$D,$C611,'RAW_농산물_10월'!$A:$A,$E611),SUMIFS('RAW_농산물_11-12월'!$G:$G,'RAW_농산물_11-12월'!$D:$D,$C611,'RAW_농산물_11-12월'!$A:$A,$E611))))</f>
        <v/>
      </c>
      <c r="H611" s="14" t="str">
        <f>IF($C611="","",IF('설정'!$B$3=0,"",CHOOSE('설정'!$B$3,SUMIFS('RAW_농산물_7월'!$H:$H,'RAW_농산물_7월'!$D:$D,$C611,'RAW_농산물_7월'!$A:$A,$E611),SUMIFS('RAW_농산물_8월'!$H:$H,'RAW_농산물_8월'!$D:$D,$C611,'RAW_농산물_8월'!$A:$A,$E611),SUMIFS('RAW_농산물_9월'!$H:$H,'RAW_농산물_9월'!$D:$D,$C611,'RAW_농산물_9월'!$A:$A,$E611),SUMIFS('RAW_농산물_10월'!$H:$H,'RAW_농산물_10월'!$D:$D,$C611,'RAW_농산물_10월'!$A:$A,$E611),SUMIFS('RAW_농산물_11-12월'!$H:$H,'RAW_농산물_11-12월'!$D:$D,$C611,'RAW_농산물_11-12월'!$A:$A,$E611))))</f>
        <v/>
      </c>
      <c r="I611" s="17" t="str">
        <f>IF($C611="","",IF(COUNTIFS('RAW_농산물_7월'!$D:$D,$C611,'RAW_농산물_7월'!$A:$A,$E611)&gt;0,"O",""))</f>
        <v/>
      </c>
      <c r="J611" s="17" t="str">
        <f>IF($C611="","",IF(COUNTIFS('RAW_농산물_8월'!$D:$D,$C611,'RAW_농산물_8월'!$A:$A,$E611)&gt;0,"O",""))</f>
        <v/>
      </c>
      <c r="K611" s="17" t="str">
        <f>IF($C611="","",IF(COUNTIFS('RAW_농산물_9월'!$D:$D,$C611,'RAW_농산물_9월'!$A:$A,$E611)&gt;0,"O",""))</f>
        <v/>
      </c>
      <c r="L611" s="17" t="str">
        <f>IF($C611="","",IF(COUNTIFS('RAW_농산물_10월'!$D:$D,$C611,'RAW_농산물_10월'!$A:$A,$E611)&gt;0,"O",""))</f>
        <v/>
      </c>
      <c r="M611" s="17" t="str">
        <f>IF($C611="","",IF(COUNTIFS('RAW_농산물_11-12월'!$D:$D,$C611,'RAW_농산물_11-12월'!$A:$A,$E611)&gt;0,"O",""))</f>
        <v/>
      </c>
      <c r="N611" s="7" t="str">
        <f>IF($C611="","",IF(COUNTA('RAW_농산물_7월'!$A:$A)&lt;=1,"",SUMIFS('RAW_농산물_7월'!$H:$H,'RAW_농산물_7월'!$D:$D,$C611,'RAW_농산물_7월'!$A:$A,$E611)))</f>
        <v/>
      </c>
      <c r="O611" s="7" t="str">
        <f>IF($C611="","",IF(COUNTA('RAW_농산물_8월'!$A:$A)&lt;=1,"",SUMIFS('RAW_농산물_8월'!$H:$H,'RAW_농산물_8월'!$D:$D,$C611,'RAW_농산물_8월'!$A:$A,$E611)-SUMIFS('RAW_농산물_7월'!$H:$H,'RAW_농산물_7월'!$D:$D,$C611,'RAW_농산물_7월'!$A:$A,$E611)))</f>
        <v/>
      </c>
      <c r="P611" s="7" t="str">
        <f>IF($C611="","",IF(COUNTA('RAW_농산물_9월'!$A:$A)&lt;=1,"",SUMIFS('RAW_농산물_9월'!$H:$H,'RAW_농산물_9월'!$D:$D,$C611,'RAW_농산물_9월'!$A:$A,$E611)-SUMIFS('RAW_농산물_8월'!$H:$H,'RAW_농산물_8월'!$D:$D,$C611,'RAW_농산물_8월'!$A:$A,$E611)))</f>
        <v/>
      </c>
      <c r="Q611" s="7" t="str">
        <f>IF($C611="","",IF(COUNTA('RAW_농산물_10월'!$A:$A)&lt;=1,"",SUMIFS('RAW_농산물_10월'!$H:$H,'RAW_농산물_10월'!$D:$D,$C611,'RAW_농산물_10월'!$A:$A,$E611)-SUMIFS('RAW_농산물_9월'!$H:$H,'RAW_농산물_9월'!$D:$D,$C611,'RAW_농산물_9월'!$A:$A,$E611)))</f>
        <v/>
      </c>
      <c r="R611" s="7" t="str">
        <f>IF($C611="","",IF(COUNTA('RAW_농산물_11-12월'!$A:$A)&lt;=1,"",SUMIFS('RAW_농산물_11-12월'!$H:$H,'RAW_농산물_11-12월'!$D:$D,$C611,'RAW_농산물_11-12월'!$A:$A,$E611)-SUMIFS('RAW_농산물_10월'!$H:$H,'RAW_농산물_10월'!$D:$D,$C611,'RAW_농산물_10월'!$A:$A,$E611)))</f>
        <v/>
      </c>
      <c r="S611" s="17" t="str">
        <f t="shared" si="4"/>
        <v/>
      </c>
      <c r="T611" s="17" t="str">
        <f t="shared" si="5"/>
        <v/>
      </c>
      <c r="U611" s="7">
        <f>IF($C611="",0,IF('설정'!$B$3=0,0,CHOOSE('설정'!$B$3,COUNTIFS('RAW_농산물_7월'!$D:$D,$C611,'RAW_농산물_7월'!$A:$A,$E611),COUNTIFS('RAW_농산물_8월'!$D:$D,$C611,'RAW_농산물_8월'!$A:$A,$E611),COUNTIFS('RAW_농산물_9월'!$D:$D,$C611,'RAW_농산물_9월'!$A:$A,$E611),COUNTIFS('RAW_농산물_10월'!$D:$D,$C611,'RAW_농산물_10월'!$A:$A,$E611),COUNTIFS('RAW_농산물_11-12월'!$D:$D,$C611,'RAW_농산물_11-12월'!$A:$A,$E611))))</f>
        <v>0</v>
      </c>
    </row>
    <row r="612" ht="15.75" customHeight="1">
      <c r="A612" s="5"/>
      <c r="B612" s="5"/>
      <c r="C612" s="5"/>
      <c r="D612" s="6"/>
      <c r="E612" s="5"/>
      <c r="F612" s="7" t="str">
        <f>IF($C612="","",IF('설정'!$B$3=0,"",CHOOSE('설정'!$B$3,SUMIFS('RAW_농산물_7월'!$F:$F,'RAW_농산물_7월'!$D:$D,$C612,'RAW_농산물_7월'!$A:$A,$E612),SUMIFS('RAW_농산물_8월'!$F:$F,'RAW_농산물_8월'!$D:$D,$C612,'RAW_농산물_8월'!$A:$A,$E612),SUMIFS('RAW_농산물_9월'!$F:$F,'RAW_농산물_9월'!$D:$D,$C612,'RAW_농산물_9월'!$A:$A,$E612),SUMIFS('RAW_농산물_10월'!$F:$F,'RAW_농산물_10월'!$D:$D,$C612,'RAW_농산물_10월'!$A:$A,$E612),SUMIFS('RAW_농산물_11-12월'!$F:$F,'RAW_농산물_11-12월'!$D:$D,$C612,'RAW_농산물_11-12월'!$A:$A,$E612))))</f>
        <v/>
      </c>
      <c r="G612" s="7" t="str">
        <f>IF($C612="","",IF('설정'!$B$3=0,"",CHOOSE('설정'!$B$3,SUMIFS('RAW_농산물_7월'!$G:$G,'RAW_농산물_7월'!$D:$D,$C612,'RAW_농산물_7월'!$A:$A,$E612),SUMIFS('RAW_농산물_8월'!$G:$G,'RAW_농산물_8월'!$D:$D,$C612,'RAW_농산물_8월'!$A:$A,$E612),SUMIFS('RAW_농산물_9월'!$G:$G,'RAW_농산물_9월'!$D:$D,$C612,'RAW_농산물_9월'!$A:$A,$E612),SUMIFS('RAW_농산물_10월'!$G:$G,'RAW_농산물_10월'!$D:$D,$C612,'RAW_농산물_10월'!$A:$A,$E612),SUMIFS('RAW_농산물_11-12월'!$G:$G,'RAW_농산물_11-12월'!$D:$D,$C612,'RAW_농산물_11-12월'!$A:$A,$E612))))</f>
        <v/>
      </c>
      <c r="H612" s="14" t="str">
        <f>IF($C612="","",IF('설정'!$B$3=0,"",CHOOSE('설정'!$B$3,SUMIFS('RAW_농산물_7월'!$H:$H,'RAW_농산물_7월'!$D:$D,$C612,'RAW_농산물_7월'!$A:$A,$E612),SUMIFS('RAW_농산물_8월'!$H:$H,'RAW_농산물_8월'!$D:$D,$C612,'RAW_농산물_8월'!$A:$A,$E612),SUMIFS('RAW_농산물_9월'!$H:$H,'RAW_농산물_9월'!$D:$D,$C612,'RAW_농산물_9월'!$A:$A,$E612),SUMIFS('RAW_농산물_10월'!$H:$H,'RAW_농산물_10월'!$D:$D,$C612,'RAW_농산물_10월'!$A:$A,$E612),SUMIFS('RAW_농산물_11-12월'!$H:$H,'RAW_농산물_11-12월'!$D:$D,$C612,'RAW_농산물_11-12월'!$A:$A,$E612))))</f>
        <v/>
      </c>
      <c r="I612" s="17" t="str">
        <f>IF($C612="","",IF(COUNTIFS('RAW_농산물_7월'!$D:$D,$C612,'RAW_농산물_7월'!$A:$A,$E612)&gt;0,"O",""))</f>
        <v/>
      </c>
      <c r="J612" s="17" t="str">
        <f>IF($C612="","",IF(COUNTIFS('RAW_농산물_8월'!$D:$D,$C612,'RAW_농산물_8월'!$A:$A,$E612)&gt;0,"O",""))</f>
        <v/>
      </c>
      <c r="K612" s="17" t="str">
        <f>IF($C612="","",IF(COUNTIFS('RAW_농산물_9월'!$D:$D,$C612,'RAW_농산물_9월'!$A:$A,$E612)&gt;0,"O",""))</f>
        <v/>
      </c>
      <c r="L612" s="17" t="str">
        <f>IF($C612="","",IF(COUNTIFS('RAW_농산물_10월'!$D:$D,$C612,'RAW_농산물_10월'!$A:$A,$E612)&gt;0,"O",""))</f>
        <v/>
      </c>
      <c r="M612" s="17" t="str">
        <f>IF($C612="","",IF(COUNTIFS('RAW_농산물_11-12월'!$D:$D,$C612,'RAW_농산물_11-12월'!$A:$A,$E612)&gt;0,"O",""))</f>
        <v/>
      </c>
      <c r="N612" s="7" t="str">
        <f>IF($C612="","",IF(COUNTA('RAW_농산물_7월'!$A:$A)&lt;=1,"",SUMIFS('RAW_농산물_7월'!$H:$H,'RAW_농산물_7월'!$D:$D,$C612,'RAW_농산물_7월'!$A:$A,$E612)))</f>
        <v/>
      </c>
      <c r="O612" s="7" t="str">
        <f>IF($C612="","",IF(COUNTA('RAW_농산물_8월'!$A:$A)&lt;=1,"",SUMIFS('RAW_농산물_8월'!$H:$H,'RAW_농산물_8월'!$D:$D,$C612,'RAW_농산물_8월'!$A:$A,$E612)-SUMIFS('RAW_농산물_7월'!$H:$H,'RAW_농산물_7월'!$D:$D,$C612,'RAW_농산물_7월'!$A:$A,$E612)))</f>
        <v/>
      </c>
      <c r="P612" s="7" t="str">
        <f>IF($C612="","",IF(COUNTA('RAW_농산물_9월'!$A:$A)&lt;=1,"",SUMIFS('RAW_농산물_9월'!$H:$H,'RAW_농산물_9월'!$D:$D,$C612,'RAW_농산물_9월'!$A:$A,$E612)-SUMIFS('RAW_농산물_8월'!$H:$H,'RAW_농산물_8월'!$D:$D,$C612,'RAW_농산물_8월'!$A:$A,$E612)))</f>
        <v/>
      </c>
      <c r="Q612" s="7" t="str">
        <f>IF($C612="","",IF(COUNTA('RAW_농산물_10월'!$A:$A)&lt;=1,"",SUMIFS('RAW_농산물_10월'!$H:$H,'RAW_농산물_10월'!$D:$D,$C612,'RAW_농산물_10월'!$A:$A,$E612)-SUMIFS('RAW_농산물_9월'!$H:$H,'RAW_농산물_9월'!$D:$D,$C612,'RAW_농산물_9월'!$A:$A,$E612)))</f>
        <v/>
      </c>
      <c r="R612" s="7" t="str">
        <f>IF($C612="","",IF(COUNTA('RAW_농산물_11-12월'!$A:$A)&lt;=1,"",SUMIFS('RAW_농산물_11-12월'!$H:$H,'RAW_농산물_11-12월'!$D:$D,$C612,'RAW_농산물_11-12월'!$A:$A,$E612)-SUMIFS('RAW_농산물_10월'!$H:$H,'RAW_농산물_10월'!$D:$D,$C612,'RAW_농산물_10월'!$A:$A,$E612)))</f>
        <v/>
      </c>
      <c r="S612" s="17" t="str">
        <f t="shared" si="4"/>
        <v/>
      </c>
      <c r="T612" s="17" t="str">
        <f t="shared" si="5"/>
        <v/>
      </c>
      <c r="U612" s="7">
        <f>IF($C612="",0,IF('설정'!$B$3=0,0,CHOOSE('설정'!$B$3,COUNTIFS('RAW_농산물_7월'!$D:$D,$C612,'RAW_농산물_7월'!$A:$A,$E612),COUNTIFS('RAW_농산물_8월'!$D:$D,$C612,'RAW_농산물_8월'!$A:$A,$E612),COUNTIFS('RAW_농산물_9월'!$D:$D,$C612,'RAW_농산물_9월'!$A:$A,$E612),COUNTIFS('RAW_농산물_10월'!$D:$D,$C612,'RAW_농산물_10월'!$A:$A,$E612),COUNTIFS('RAW_농산물_11-12월'!$D:$D,$C612,'RAW_농산물_11-12월'!$A:$A,$E612))))</f>
        <v>0</v>
      </c>
    </row>
    <row r="613" ht="15.75" customHeight="1">
      <c r="A613" s="5"/>
      <c r="B613" s="5"/>
      <c r="C613" s="5"/>
      <c r="D613" s="6"/>
      <c r="E613" s="5"/>
      <c r="F613" s="7" t="str">
        <f>IF($C613="","",IF('설정'!$B$3=0,"",CHOOSE('설정'!$B$3,SUMIFS('RAW_농산물_7월'!$F:$F,'RAW_농산물_7월'!$D:$D,$C613,'RAW_농산물_7월'!$A:$A,$E613),SUMIFS('RAW_농산물_8월'!$F:$F,'RAW_농산물_8월'!$D:$D,$C613,'RAW_농산물_8월'!$A:$A,$E613),SUMIFS('RAW_농산물_9월'!$F:$F,'RAW_농산물_9월'!$D:$D,$C613,'RAW_농산물_9월'!$A:$A,$E613),SUMIFS('RAW_농산물_10월'!$F:$F,'RAW_농산물_10월'!$D:$D,$C613,'RAW_농산물_10월'!$A:$A,$E613),SUMIFS('RAW_농산물_11-12월'!$F:$F,'RAW_농산물_11-12월'!$D:$D,$C613,'RAW_농산물_11-12월'!$A:$A,$E613))))</f>
        <v/>
      </c>
      <c r="G613" s="7" t="str">
        <f>IF($C613="","",IF('설정'!$B$3=0,"",CHOOSE('설정'!$B$3,SUMIFS('RAW_농산물_7월'!$G:$G,'RAW_농산물_7월'!$D:$D,$C613,'RAW_농산물_7월'!$A:$A,$E613),SUMIFS('RAW_농산물_8월'!$G:$G,'RAW_농산물_8월'!$D:$D,$C613,'RAW_농산물_8월'!$A:$A,$E613),SUMIFS('RAW_농산물_9월'!$G:$G,'RAW_농산물_9월'!$D:$D,$C613,'RAW_농산물_9월'!$A:$A,$E613),SUMIFS('RAW_농산물_10월'!$G:$G,'RAW_농산물_10월'!$D:$D,$C613,'RAW_농산물_10월'!$A:$A,$E613),SUMIFS('RAW_농산물_11-12월'!$G:$G,'RAW_농산물_11-12월'!$D:$D,$C613,'RAW_농산물_11-12월'!$A:$A,$E613))))</f>
        <v/>
      </c>
      <c r="H613" s="14" t="str">
        <f>IF($C613="","",IF('설정'!$B$3=0,"",CHOOSE('설정'!$B$3,SUMIFS('RAW_농산물_7월'!$H:$H,'RAW_농산물_7월'!$D:$D,$C613,'RAW_농산물_7월'!$A:$A,$E613),SUMIFS('RAW_농산물_8월'!$H:$H,'RAW_농산물_8월'!$D:$D,$C613,'RAW_농산물_8월'!$A:$A,$E613),SUMIFS('RAW_농산물_9월'!$H:$H,'RAW_농산물_9월'!$D:$D,$C613,'RAW_농산물_9월'!$A:$A,$E613),SUMIFS('RAW_농산물_10월'!$H:$H,'RAW_농산물_10월'!$D:$D,$C613,'RAW_농산물_10월'!$A:$A,$E613),SUMIFS('RAW_농산물_11-12월'!$H:$H,'RAW_농산물_11-12월'!$D:$D,$C613,'RAW_농산물_11-12월'!$A:$A,$E613))))</f>
        <v/>
      </c>
      <c r="I613" s="17" t="str">
        <f>IF($C613="","",IF(COUNTIFS('RAW_농산물_7월'!$D:$D,$C613,'RAW_농산물_7월'!$A:$A,$E613)&gt;0,"O",""))</f>
        <v/>
      </c>
      <c r="J613" s="17" t="str">
        <f>IF($C613="","",IF(COUNTIFS('RAW_농산물_8월'!$D:$D,$C613,'RAW_농산물_8월'!$A:$A,$E613)&gt;0,"O",""))</f>
        <v/>
      </c>
      <c r="K613" s="17" t="str">
        <f>IF($C613="","",IF(COUNTIFS('RAW_농산물_9월'!$D:$D,$C613,'RAW_농산물_9월'!$A:$A,$E613)&gt;0,"O",""))</f>
        <v/>
      </c>
      <c r="L613" s="17" t="str">
        <f>IF($C613="","",IF(COUNTIFS('RAW_농산물_10월'!$D:$D,$C613,'RAW_농산물_10월'!$A:$A,$E613)&gt;0,"O",""))</f>
        <v/>
      </c>
      <c r="M613" s="17" t="str">
        <f>IF($C613="","",IF(COUNTIFS('RAW_농산물_11-12월'!$D:$D,$C613,'RAW_농산물_11-12월'!$A:$A,$E613)&gt;0,"O",""))</f>
        <v/>
      </c>
      <c r="N613" s="7" t="str">
        <f>IF($C613="","",IF(COUNTA('RAW_농산물_7월'!$A:$A)&lt;=1,"",SUMIFS('RAW_농산물_7월'!$H:$H,'RAW_농산물_7월'!$D:$D,$C613,'RAW_농산물_7월'!$A:$A,$E613)))</f>
        <v/>
      </c>
      <c r="O613" s="7" t="str">
        <f>IF($C613="","",IF(COUNTA('RAW_농산물_8월'!$A:$A)&lt;=1,"",SUMIFS('RAW_농산물_8월'!$H:$H,'RAW_농산물_8월'!$D:$D,$C613,'RAW_농산물_8월'!$A:$A,$E613)-SUMIFS('RAW_농산물_7월'!$H:$H,'RAW_농산물_7월'!$D:$D,$C613,'RAW_농산물_7월'!$A:$A,$E613)))</f>
        <v/>
      </c>
      <c r="P613" s="7" t="str">
        <f>IF($C613="","",IF(COUNTA('RAW_농산물_9월'!$A:$A)&lt;=1,"",SUMIFS('RAW_농산물_9월'!$H:$H,'RAW_농산물_9월'!$D:$D,$C613,'RAW_농산물_9월'!$A:$A,$E613)-SUMIFS('RAW_농산물_8월'!$H:$H,'RAW_농산물_8월'!$D:$D,$C613,'RAW_농산물_8월'!$A:$A,$E613)))</f>
        <v/>
      </c>
      <c r="Q613" s="7" t="str">
        <f>IF($C613="","",IF(COUNTA('RAW_농산물_10월'!$A:$A)&lt;=1,"",SUMIFS('RAW_농산물_10월'!$H:$H,'RAW_농산물_10월'!$D:$D,$C613,'RAW_농산물_10월'!$A:$A,$E613)-SUMIFS('RAW_농산물_9월'!$H:$H,'RAW_농산물_9월'!$D:$D,$C613,'RAW_농산물_9월'!$A:$A,$E613)))</f>
        <v/>
      </c>
      <c r="R613" s="7" t="str">
        <f>IF($C613="","",IF(COUNTA('RAW_농산물_11-12월'!$A:$A)&lt;=1,"",SUMIFS('RAW_농산물_11-12월'!$H:$H,'RAW_농산물_11-12월'!$D:$D,$C613,'RAW_농산물_11-12월'!$A:$A,$E613)-SUMIFS('RAW_농산물_10월'!$H:$H,'RAW_농산물_10월'!$D:$D,$C613,'RAW_농산물_10월'!$A:$A,$E613)))</f>
        <v/>
      </c>
      <c r="S613" s="17" t="str">
        <f t="shared" si="4"/>
        <v/>
      </c>
      <c r="T613" s="17" t="str">
        <f t="shared" si="5"/>
        <v/>
      </c>
      <c r="U613" s="7">
        <f>IF($C613="",0,IF('설정'!$B$3=0,0,CHOOSE('설정'!$B$3,COUNTIFS('RAW_농산물_7월'!$D:$D,$C613,'RAW_농산물_7월'!$A:$A,$E613),COUNTIFS('RAW_농산물_8월'!$D:$D,$C613,'RAW_농산물_8월'!$A:$A,$E613),COUNTIFS('RAW_농산물_9월'!$D:$D,$C613,'RAW_농산물_9월'!$A:$A,$E613),COUNTIFS('RAW_농산물_10월'!$D:$D,$C613,'RAW_농산물_10월'!$A:$A,$E613),COUNTIFS('RAW_농산물_11-12월'!$D:$D,$C613,'RAW_농산물_11-12월'!$A:$A,$E613))))</f>
        <v>0</v>
      </c>
    </row>
    <row r="614" ht="15.75" customHeight="1">
      <c r="A614" s="5"/>
      <c r="B614" s="5"/>
      <c r="C614" s="5"/>
      <c r="D614" s="6"/>
      <c r="E614" s="5"/>
      <c r="F614" s="7" t="str">
        <f>IF($C614="","",IF('설정'!$B$3=0,"",CHOOSE('설정'!$B$3,SUMIFS('RAW_농산물_7월'!$F:$F,'RAW_농산물_7월'!$D:$D,$C614,'RAW_농산물_7월'!$A:$A,$E614),SUMIFS('RAW_농산물_8월'!$F:$F,'RAW_농산물_8월'!$D:$D,$C614,'RAW_농산물_8월'!$A:$A,$E614),SUMIFS('RAW_농산물_9월'!$F:$F,'RAW_농산물_9월'!$D:$D,$C614,'RAW_농산물_9월'!$A:$A,$E614),SUMIFS('RAW_농산물_10월'!$F:$F,'RAW_농산물_10월'!$D:$D,$C614,'RAW_농산물_10월'!$A:$A,$E614),SUMIFS('RAW_농산물_11-12월'!$F:$F,'RAW_농산물_11-12월'!$D:$D,$C614,'RAW_농산물_11-12월'!$A:$A,$E614))))</f>
        <v/>
      </c>
      <c r="G614" s="7" t="str">
        <f>IF($C614="","",IF('설정'!$B$3=0,"",CHOOSE('설정'!$B$3,SUMIFS('RAW_농산물_7월'!$G:$G,'RAW_농산물_7월'!$D:$D,$C614,'RAW_농산물_7월'!$A:$A,$E614),SUMIFS('RAW_농산물_8월'!$G:$G,'RAW_농산물_8월'!$D:$D,$C614,'RAW_농산물_8월'!$A:$A,$E614),SUMIFS('RAW_농산물_9월'!$G:$G,'RAW_농산물_9월'!$D:$D,$C614,'RAW_농산물_9월'!$A:$A,$E614),SUMIFS('RAW_농산물_10월'!$G:$G,'RAW_농산물_10월'!$D:$D,$C614,'RAW_농산물_10월'!$A:$A,$E614),SUMIFS('RAW_농산물_11-12월'!$G:$G,'RAW_농산물_11-12월'!$D:$D,$C614,'RAW_농산물_11-12월'!$A:$A,$E614))))</f>
        <v/>
      </c>
      <c r="H614" s="14" t="str">
        <f>IF($C614="","",IF('설정'!$B$3=0,"",CHOOSE('설정'!$B$3,SUMIFS('RAW_농산물_7월'!$H:$H,'RAW_농산물_7월'!$D:$D,$C614,'RAW_농산물_7월'!$A:$A,$E614),SUMIFS('RAW_농산물_8월'!$H:$H,'RAW_농산물_8월'!$D:$D,$C614,'RAW_농산물_8월'!$A:$A,$E614),SUMIFS('RAW_농산물_9월'!$H:$H,'RAW_농산물_9월'!$D:$D,$C614,'RAW_농산물_9월'!$A:$A,$E614),SUMIFS('RAW_농산물_10월'!$H:$H,'RAW_농산물_10월'!$D:$D,$C614,'RAW_농산물_10월'!$A:$A,$E614),SUMIFS('RAW_농산물_11-12월'!$H:$H,'RAW_농산물_11-12월'!$D:$D,$C614,'RAW_농산물_11-12월'!$A:$A,$E614))))</f>
        <v/>
      </c>
      <c r="I614" s="17" t="str">
        <f>IF($C614="","",IF(COUNTIFS('RAW_농산물_7월'!$D:$D,$C614,'RAW_농산물_7월'!$A:$A,$E614)&gt;0,"O",""))</f>
        <v/>
      </c>
      <c r="J614" s="17" t="str">
        <f>IF($C614="","",IF(COUNTIFS('RAW_농산물_8월'!$D:$D,$C614,'RAW_농산물_8월'!$A:$A,$E614)&gt;0,"O",""))</f>
        <v/>
      </c>
      <c r="K614" s="17" t="str">
        <f>IF($C614="","",IF(COUNTIFS('RAW_농산물_9월'!$D:$D,$C614,'RAW_농산물_9월'!$A:$A,$E614)&gt;0,"O",""))</f>
        <v/>
      </c>
      <c r="L614" s="17" t="str">
        <f>IF($C614="","",IF(COUNTIFS('RAW_농산물_10월'!$D:$D,$C614,'RAW_농산물_10월'!$A:$A,$E614)&gt;0,"O",""))</f>
        <v/>
      </c>
      <c r="M614" s="17" t="str">
        <f>IF($C614="","",IF(COUNTIFS('RAW_농산물_11-12월'!$D:$D,$C614,'RAW_농산물_11-12월'!$A:$A,$E614)&gt;0,"O",""))</f>
        <v/>
      </c>
      <c r="N614" s="7" t="str">
        <f>IF($C614="","",IF(COUNTA('RAW_농산물_7월'!$A:$A)&lt;=1,"",SUMIFS('RAW_농산물_7월'!$H:$H,'RAW_농산물_7월'!$D:$D,$C614,'RAW_농산물_7월'!$A:$A,$E614)))</f>
        <v/>
      </c>
      <c r="O614" s="7" t="str">
        <f>IF($C614="","",IF(COUNTA('RAW_농산물_8월'!$A:$A)&lt;=1,"",SUMIFS('RAW_농산물_8월'!$H:$H,'RAW_농산물_8월'!$D:$D,$C614,'RAW_농산물_8월'!$A:$A,$E614)-SUMIFS('RAW_농산물_7월'!$H:$H,'RAW_농산물_7월'!$D:$D,$C614,'RAW_농산물_7월'!$A:$A,$E614)))</f>
        <v/>
      </c>
      <c r="P614" s="7" t="str">
        <f>IF($C614="","",IF(COUNTA('RAW_농산물_9월'!$A:$A)&lt;=1,"",SUMIFS('RAW_농산물_9월'!$H:$H,'RAW_농산물_9월'!$D:$D,$C614,'RAW_농산물_9월'!$A:$A,$E614)-SUMIFS('RAW_농산물_8월'!$H:$H,'RAW_농산물_8월'!$D:$D,$C614,'RAW_농산물_8월'!$A:$A,$E614)))</f>
        <v/>
      </c>
      <c r="Q614" s="7" t="str">
        <f>IF($C614="","",IF(COUNTA('RAW_농산물_10월'!$A:$A)&lt;=1,"",SUMIFS('RAW_농산물_10월'!$H:$H,'RAW_농산물_10월'!$D:$D,$C614,'RAW_농산물_10월'!$A:$A,$E614)-SUMIFS('RAW_농산물_9월'!$H:$H,'RAW_농산물_9월'!$D:$D,$C614,'RAW_농산물_9월'!$A:$A,$E614)))</f>
        <v/>
      </c>
      <c r="R614" s="7" t="str">
        <f>IF($C614="","",IF(COUNTA('RAW_농산물_11-12월'!$A:$A)&lt;=1,"",SUMIFS('RAW_농산물_11-12월'!$H:$H,'RAW_농산물_11-12월'!$D:$D,$C614,'RAW_농산물_11-12월'!$A:$A,$E614)-SUMIFS('RAW_농산물_10월'!$H:$H,'RAW_농산물_10월'!$D:$D,$C614,'RAW_농산물_10월'!$A:$A,$E614)))</f>
        <v/>
      </c>
      <c r="S614" s="17" t="str">
        <f t="shared" si="4"/>
        <v/>
      </c>
      <c r="T614" s="17" t="str">
        <f t="shared" si="5"/>
        <v/>
      </c>
      <c r="U614" s="7">
        <f>IF($C614="",0,IF('설정'!$B$3=0,0,CHOOSE('설정'!$B$3,COUNTIFS('RAW_농산물_7월'!$D:$D,$C614,'RAW_농산물_7월'!$A:$A,$E614),COUNTIFS('RAW_농산물_8월'!$D:$D,$C614,'RAW_농산물_8월'!$A:$A,$E614),COUNTIFS('RAW_농산물_9월'!$D:$D,$C614,'RAW_농산물_9월'!$A:$A,$E614),COUNTIFS('RAW_농산물_10월'!$D:$D,$C614,'RAW_농산물_10월'!$A:$A,$E614),COUNTIFS('RAW_농산물_11-12월'!$D:$D,$C614,'RAW_농산물_11-12월'!$A:$A,$E614))))</f>
        <v>0</v>
      </c>
    </row>
    <row r="615" ht="15.75" customHeight="1">
      <c r="A615" s="5"/>
      <c r="B615" s="5"/>
      <c r="C615" s="5"/>
      <c r="D615" s="6"/>
      <c r="E615" s="5"/>
      <c r="F615" s="7" t="str">
        <f>IF($C615="","",IF('설정'!$B$3=0,"",CHOOSE('설정'!$B$3,SUMIFS('RAW_농산물_7월'!$F:$F,'RAW_농산물_7월'!$D:$D,$C615,'RAW_농산물_7월'!$A:$A,$E615),SUMIFS('RAW_농산물_8월'!$F:$F,'RAW_농산물_8월'!$D:$D,$C615,'RAW_농산물_8월'!$A:$A,$E615),SUMIFS('RAW_농산물_9월'!$F:$F,'RAW_농산물_9월'!$D:$D,$C615,'RAW_농산물_9월'!$A:$A,$E615),SUMIFS('RAW_농산물_10월'!$F:$F,'RAW_농산물_10월'!$D:$D,$C615,'RAW_농산물_10월'!$A:$A,$E615),SUMIFS('RAW_농산물_11-12월'!$F:$F,'RAW_농산물_11-12월'!$D:$D,$C615,'RAW_농산물_11-12월'!$A:$A,$E615))))</f>
        <v/>
      </c>
      <c r="G615" s="7" t="str">
        <f>IF($C615="","",IF('설정'!$B$3=0,"",CHOOSE('설정'!$B$3,SUMIFS('RAW_농산물_7월'!$G:$G,'RAW_농산물_7월'!$D:$D,$C615,'RAW_농산물_7월'!$A:$A,$E615),SUMIFS('RAW_농산물_8월'!$G:$G,'RAW_농산물_8월'!$D:$D,$C615,'RAW_농산물_8월'!$A:$A,$E615),SUMIFS('RAW_농산물_9월'!$G:$G,'RAW_농산물_9월'!$D:$D,$C615,'RAW_농산물_9월'!$A:$A,$E615),SUMIFS('RAW_농산물_10월'!$G:$G,'RAW_농산물_10월'!$D:$D,$C615,'RAW_농산물_10월'!$A:$A,$E615),SUMIFS('RAW_농산물_11-12월'!$G:$G,'RAW_농산물_11-12월'!$D:$D,$C615,'RAW_농산물_11-12월'!$A:$A,$E615))))</f>
        <v/>
      </c>
      <c r="H615" s="14" t="str">
        <f>IF($C615="","",IF('설정'!$B$3=0,"",CHOOSE('설정'!$B$3,SUMIFS('RAW_농산물_7월'!$H:$H,'RAW_농산물_7월'!$D:$D,$C615,'RAW_농산물_7월'!$A:$A,$E615),SUMIFS('RAW_농산물_8월'!$H:$H,'RAW_농산물_8월'!$D:$D,$C615,'RAW_농산물_8월'!$A:$A,$E615),SUMIFS('RAW_농산물_9월'!$H:$H,'RAW_농산물_9월'!$D:$D,$C615,'RAW_농산물_9월'!$A:$A,$E615),SUMIFS('RAW_농산물_10월'!$H:$H,'RAW_농산물_10월'!$D:$D,$C615,'RAW_농산물_10월'!$A:$A,$E615),SUMIFS('RAW_농산물_11-12월'!$H:$H,'RAW_농산물_11-12월'!$D:$D,$C615,'RAW_농산물_11-12월'!$A:$A,$E615))))</f>
        <v/>
      </c>
      <c r="I615" s="17" t="str">
        <f>IF($C615="","",IF(COUNTIFS('RAW_농산물_7월'!$D:$D,$C615,'RAW_농산물_7월'!$A:$A,$E615)&gt;0,"O",""))</f>
        <v/>
      </c>
      <c r="J615" s="17" t="str">
        <f>IF($C615="","",IF(COUNTIFS('RAW_농산물_8월'!$D:$D,$C615,'RAW_농산물_8월'!$A:$A,$E615)&gt;0,"O",""))</f>
        <v/>
      </c>
      <c r="K615" s="17" t="str">
        <f>IF($C615="","",IF(COUNTIFS('RAW_농산물_9월'!$D:$D,$C615,'RAW_농산물_9월'!$A:$A,$E615)&gt;0,"O",""))</f>
        <v/>
      </c>
      <c r="L615" s="17" t="str">
        <f>IF($C615="","",IF(COUNTIFS('RAW_농산물_10월'!$D:$D,$C615,'RAW_농산물_10월'!$A:$A,$E615)&gt;0,"O",""))</f>
        <v/>
      </c>
      <c r="M615" s="17" t="str">
        <f>IF($C615="","",IF(COUNTIFS('RAW_농산물_11-12월'!$D:$D,$C615,'RAW_농산물_11-12월'!$A:$A,$E615)&gt;0,"O",""))</f>
        <v/>
      </c>
      <c r="N615" s="7" t="str">
        <f>IF($C615="","",IF(COUNTA('RAW_농산물_7월'!$A:$A)&lt;=1,"",SUMIFS('RAW_농산물_7월'!$H:$H,'RAW_농산물_7월'!$D:$D,$C615,'RAW_농산물_7월'!$A:$A,$E615)))</f>
        <v/>
      </c>
      <c r="O615" s="7" t="str">
        <f>IF($C615="","",IF(COUNTA('RAW_농산물_8월'!$A:$A)&lt;=1,"",SUMIFS('RAW_농산물_8월'!$H:$H,'RAW_농산물_8월'!$D:$D,$C615,'RAW_농산물_8월'!$A:$A,$E615)-SUMIFS('RAW_농산물_7월'!$H:$H,'RAW_농산물_7월'!$D:$D,$C615,'RAW_농산물_7월'!$A:$A,$E615)))</f>
        <v/>
      </c>
      <c r="P615" s="7" t="str">
        <f>IF($C615="","",IF(COUNTA('RAW_농산물_9월'!$A:$A)&lt;=1,"",SUMIFS('RAW_농산물_9월'!$H:$H,'RAW_농산물_9월'!$D:$D,$C615,'RAW_농산물_9월'!$A:$A,$E615)-SUMIFS('RAW_농산물_8월'!$H:$H,'RAW_농산물_8월'!$D:$D,$C615,'RAW_농산물_8월'!$A:$A,$E615)))</f>
        <v/>
      </c>
      <c r="Q615" s="7" t="str">
        <f>IF($C615="","",IF(COUNTA('RAW_농산물_10월'!$A:$A)&lt;=1,"",SUMIFS('RAW_농산물_10월'!$H:$H,'RAW_농산물_10월'!$D:$D,$C615,'RAW_농산물_10월'!$A:$A,$E615)-SUMIFS('RAW_농산물_9월'!$H:$H,'RAW_농산물_9월'!$D:$D,$C615,'RAW_농산물_9월'!$A:$A,$E615)))</f>
        <v/>
      </c>
      <c r="R615" s="7" t="str">
        <f>IF($C615="","",IF(COUNTA('RAW_농산물_11-12월'!$A:$A)&lt;=1,"",SUMIFS('RAW_농산물_11-12월'!$H:$H,'RAW_농산물_11-12월'!$D:$D,$C615,'RAW_농산물_11-12월'!$A:$A,$E615)-SUMIFS('RAW_농산물_10월'!$H:$H,'RAW_농산물_10월'!$D:$D,$C615,'RAW_농산물_10월'!$A:$A,$E615)))</f>
        <v/>
      </c>
      <c r="S615" s="17" t="str">
        <f t="shared" si="4"/>
        <v/>
      </c>
      <c r="T615" s="17" t="str">
        <f t="shared" si="5"/>
        <v/>
      </c>
      <c r="U615" s="7">
        <f>IF($C615="",0,IF('설정'!$B$3=0,0,CHOOSE('설정'!$B$3,COUNTIFS('RAW_농산물_7월'!$D:$D,$C615,'RAW_농산물_7월'!$A:$A,$E615),COUNTIFS('RAW_농산물_8월'!$D:$D,$C615,'RAW_농산물_8월'!$A:$A,$E615),COUNTIFS('RAW_농산물_9월'!$D:$D,$C615,'RAW_농산물_9월'!$A:$A,$E615),COUNTIFS('RAW_농산물_10월'!$D:$D,$C615,'RAW_농산물_10월'!$A:$A,$E615),COUNTIFS('RAW_농산물_11-12월'!$D:$D,$C615,'RAW_농산물_11-12월'!$A:$A,$E615))))</f>
        <v>0</v>
      </c>
    </row>
    <row r="616" ht="15.75" customHeight="1">
      <c r="A616" s="5"/>
      <c r="B616" s="5"/>
      <c r="C616" s="5"/>
      <c r="D616" s="6"/>
      <c r="E616" s="5"/>
      <c r="F616" s="7" t="str">
        <f>IF($C616="","",IF('설정'!$B$3=0,"",CHOOSE('설정'!$B$3,SUMIFS('RAW_농산물_7월'!$F:$F,'RAW_농산물_7월'!$D:$D,$C616,'RAW_농산물_7월'!$A:$A,$E616),SUMIFS('RAW_농산물_8월'!$F:$F,'RAW_농산물_8월'!$D:$D,$C616,'RAW_농산물_8월'!$A:$A,$E616),SUMIFS('RAW_농산물_9월'!$F:$F,'RAW_농산물_9월'!$D:$D,$C616,'RAW_농산물_9월'!$A:$A,$E616),SUMIFS('RAW_농산물_10월'!$F:$F,'RAW_농산물_10월'!$D:$D,$C616,'RAW_농산물_10월'!$A:$A,$E616),SUMIFS('RAW_농산물_11-12월'!$F:$F,'RAW_농산물_11-12월'!$D:$D,$C616,'RAW_농산물_11-12월'!$A:$A,$E616))))</f>
        <v/>
      </c>
      <c r="G616" s="7" t="str">
        <f>IF($C616="","",IF('설정'!$B$3=0,"",CHOOSE('설정'!$B$3,SUMIFS('RAW_농산물_7월'!$G:$G,'RAW_농산물_7월'!$D:$D,$C616,'RAW_농산물_7월'!$A:$A,$E616),SUMIFS('RAW_농산물_8월'!$G:$G,'RAW_농산물_8월'!$D:$D,$C616,'RAW_농산물_8월'!$A:$A,$E616),SUMIFS('RAW_농산물_9월'!$G:$G,'RAW_농산물_9월'!$D:$D,$C616,'RAW_농산물_9월'!$A:$A,$E616),SUMIFS('RAW_농산물_10월'!$G:$G,'RAW_농산물_10월'!$D:$D,$C616,'RAW_농산물_10월'!$A:$A,$E616),SUMIFS('RAW_농산물_11-12월'!$G:$G,'RAW_농산물_11-12월'!$D:$D,$C616,'RAW_농산물_11-12월'!$A:$A,$E616))))</f>
        <v/>
      </c>
      <c r="H616" s="14" t="str">
        <f>IF($C616="","",IF('설정'!$B$3=0,"",CHOOSE('설정'!$B$3,SUMIFS('RAW_농산물_7월'!$H:$H,'RAW_농산물_7월'!$D:$D,$C616,'RAW_농산물_7월'!$A:$A,$E616),SUMIFS('RAW_농산물_8월'!$H:$H,'RAW_농산물_8월'!$D:$D,$C616,'RAW_농산물_8월'!$A:$A,$E616),SUMIFS('RAW_농산물_9월'!$H:$H,'RAW_농산물_9월'!$D:$D,$C616,'RAW_농산물_9월'!$A:$A,$E616),SUMIFS('RAW_농산물_10월'!$H:$H,'RAW_농산물_10월'!$D:$D,$C616,'RAW_농산물_10월'!$A:$A,$E616),SUMIFS('RAW_농산물_11-12월'!$H:$H,'RAW_농산물_11-12월'!$D:$D,$C616,'RAW_농산물_11-12월'!$A:$A,$E616))))</f>
        <v/>
      </c>
      <c r="I616" s="17" t="str">
        <f>IF($C616="","",IF(COUNTIFS('RAW_농산물_7월'!$D:$D,$C616,'RAW_농산물_7월'!$A:$A,$E616)&gt;0,"O",""))</f>
        <v/>
      </c>
      <c r="J616" s="17" t="str">
        <f>IF($C616="","",IF(COUNTIFS('RAW_농산물_8월'!$D:$D,$C616,'RAW_농산물_8월'!$A:$A,$E616)&gt;0,"O",""))</f>
        <v/>
      </c>
      <c r="K616" s="17" t="str">
        <f>IF($C616="","",IF(COUNTIFS('RAW_농산물_9월'!$D:$D,$C616,'RAW_농산물_9월'!$A:$A,$E616)&gt;0,"O",""))</f>
        <v/>
      </c>
      <c r="L616" s="17" t="str">
        <f>IF($C616="","",IF(COUNTIFS('RAW_농산물_10월'!$D:$D,$C616,'RAW_농산물_10월'!$A:$A,$E616)&gt;0,"O",""))</f>
        <v/>
      </c>
      <c r="M616" s="17" t="str">
        <f>IF($C616="","",IF(COUNTIFS('RAW_농산물_11-12월'!$D:$D,$C616,'RAW_농산물_11-12월'!$A:$A,$E616)&gt;0,"O",""))</f>
        <v/>
      </c>
      <c r="N616" s="7" t="str">
        <f>IF($C616="","",IF(COUNTA('RAW_농산물_7월'!$A:$A)&lt;=1,"",SUMIFS('RAW_농산물_7월'!$H:$H,'RAW_농산물_7월'!$D:$D,$C616,'RAW_농산물_7월'!$A:$A,$E616)))</f>
        <v/>
      </c>
      <c r="O616" s="7" t="str">
        <f>IF($C616="","",IF(COUNTA('RAW_농산물_8월'!$A:$A)&lt;=1,"",SUMIFS('RAW_농산물_8월'!$H:$H,'RAW_농산물_8월'!$D:$D,$C616,'RAW_농산물_8월'!$A:$A,$E616)-SUMIFS('RAW_농산물_7월'!$H:$H,'RAW_농산물_7월'!$D:$D,$C616,'RAW_농산물_7월'!$A:$A,$E616)))</f>
        <v/>
      </c>
      <c r="P616" s="7" t="str">
        <f>IF($C616="","",IF(COUNTA('RAW_농산물_9월'!$A:$A)&lt;=1,"",SUMIFS('RAW_농산물_9월'!$H:$H,'RAW_농산물_9월'!$D:$D,$C616,'RAW_농산물_9월'!$A:$A,$E616)-SUMIFS('RAW_농산물_8월'!$H:$H,'RAW_농산물_8월'!$D:$D,$C616,'RAW_농산물_8월'!$A:$A,$E616)))</f>
        <v/>
      </c>
      <c r="Q616" s="7" t="str">
        <f>IF($C616="","",IF(COUNTA('RAW_농산물_10월'!$A:$A)&lt;=1,"",SUMIFS('RAW_농산물_10월'!$H:$H,'RAW_농산물_10월'!$D:$D,$C616,'RAW_농산물_10월'!$A:$A,$E616)-SUMIFS('RAW_농산물_9월'!$H:$H,'RAW_농산물_9월'!$D:$D,$C616,'RAW_농산물_9월'!$A:$A,$E616)))</f>
        <v/>
      </c>
      <c r="R616" s="7" t="str">
        <f>IF($C616="","",IF(COUNTA('RAW_농산물_11-12월'!$A:$A)&lt;=1,"",SUMIFS('RAW_농산물_11-12월'!$H:$H,'RAW_농산물_11-12월'!$D:$D,$C616,'RAW_농산물_11-12월'!$A:$A,$E616)-SUMIFS('RAW_농산물_10월'!$H:$H,'RAW_농산물_10월'!$D:$D,$C616,'RAW_농산물_10월'!$A:$A,$E616)))</f>
        <v/>
      </c>
      <c r="S616" s="17" t="str">
        <f t="shared" si="4"/>
        <v/>
      </c>
      <c r="T616" s="17" t="str">
        <f t="shared" si="5"/>
        <v/>
      </c>
      <c r="U616" s="7">
        <f>IF($C616="",0,IF('설정'!$B$3=0,0,CHOOSE('설정'!$B$3,COUNTIFS('RAW_농산물_7월'!$D:$D,$C616,'RAW_농산물_7월'!$A:$A,$E616),COUNTIFS('RAW_농산물_8월'!$D:$D,$C616,'RAW_농산물_8월'!$A:$A,$E616),COUNTIFS('RAW_농산물_9월'!$D:$D,$C616,'RAW_농산물_9월'!$A:$A,$E616),COUNTIFS('RAW_농산물_10월'!$D:$D,$C616,'RAW_농산물_10월'!$A:$A,$E616),COUNTIFS('RAW_농산물_11-12월'!$D:$D,$C616,'RAW_농산물_11-12월'!$A:$A,$E616))))</f>
        <v>0</v>
      </c>
    </row>
    <row r="617" ht="15.75" customHeight="1">
      <c r="A617" s="5"/>
      <c r="B617" s="5"/>
      <c r="C617" s="5"/>
      <c r="D617" s="6"/>
      <c r="E617" s="5"/>
      <c r="F617" s="7" t="str">
        <f>IF($C617="","",IF('설정'!$B$3=0,"",CHOOSE('설정'!$B$3,SUMIFS('RAW_농산물_7월'!$F:$F,'RAW_농산물_7월'!$D:$D,$C617,'RAW_농산물_7월'!$A:$A,$E617),SUMIFS('RAW_농산물_8월'!$F:$F,'RAW_농산물_8월'!$D:$D,$C617,'RAW_농산물_8월'!$A:$A,$E617),SUMIFS('RAW_농산물_9월'!$F:$F,'RAW_농산물_9월'!$D:$D,$C617,'RAW_농산물_9월'!$A:$A,$E617),SUMIFS('RAW_농산물_10월'!$F:$F,'RAW_농산물_10월'!$D:$D,$C617,'RAW_농산물_10월'!$A:$A,$E617),SUMIFS('RAW_농산물_11-12월'!$F:$F,'RAW_농산물_11-12월'!$D:$D,$C617,'RAW_농산물_11-12월'!$A:$A,$E617))))</f>
        <v/>
      </c>
      <c r="G617" s="7" t="str">
        <f>IF($C617="","",IF('설정'!$B$3=0,"",CHOOSE('설정'!$B$3,SUMIFS('RAW_농산물_7월'!$G:$G,'RAW_농산물_7월'!$D:$D,$C617,'RAW_농산물_7월'!$A:$A,$E617),SUMIFS('RAW_농산물_8월'!$G:$G,'RAW_농산물_8월'!$D:$D,$C617,'RAW_농산물_8월'!$A:$A,$E617),SUMIFS('RAW_농산물_9월'!$G:$G,'RAW_농산물_9월'!$D:$D,$C617,'RAW_농산물_9월'!$A:$A,$E617),SUMIFS('RAW_농산물_10월'!$G:$G,'RAW_농산물_10월'!$D:$D,$C617,'RAW_농산물_10월'!$A:$A,$E617),SUMIFS('RAW_농산물_11-12월'!$G:$G,'RAW_농산물_11-12월'!$D:$D,$C617,'RAW_농산물_11-12월'!$A:$A,$E617))))</f>
        <v/>
      </c>
      <c r="H617" s="14" t="str">
        <f>IF($C617="","",IF('설정'!$B$3=0,"",CHOOSE('설정'!$B$3,SUMIFS('RAW_농산물_7월'!$H:$H,'RAW_농산물_7월'!$D:$D,$C617,'RAW_농산물_7월'!$A:$A,$E617),SUMIFS('RAW_농산물_8월'!$H:$H,'RAW_농산물_8월'!$D:$D,$C617,'RAW_농산물_8월'!$A:$A,$E617),SUMIFS('RAW_농산물_9월'!$H:$H,'RAW_농산물_9월'!$D:$D,$C617,'RAW_농산물_9월'!$A:$A,$E617),SUMIFS('RAW_농산물_10월'!$H:$H,'RAW_농산물_10월'!$D:$D,$C617,'RAW_농산물_10월'!$A:$A,$E617),SUMIFS('RAW_농산물_11-12월'!$H:$H,'RAW_농산물_11-12월'!$D:$D,$C617,'RAW_농산물_11-12월'!$A:$A,$E617))))</f>
        <v/>
      </c>
      <c r="I617" s="17" t="str">
        <f>IF($C617="","",IF(COUNTIFS('RAW_농산물_7월'!$D:$D,$C617,'RAW_농산물_7월'!$A:$A,$E617)&gt;0,"O",""))</f>
        <v/>
      </c>
      <c r="J617" s="17" t="str">
        <f>IF($C617="","",IF(COUNTIFS('RAW_농산물_8월'!$D:$D,$C617,'RAW_농산물_8월'!$A:$A,$E617)&gt;0,"O",""))</f>
        <v/>
      </c>
      <c r="K617" s="17" t="str">
        <f>IF($C617="","",IF(COUNTIFS('RAW_농산물_9월'!$D:$D,$C617,'RAW_농산물_9월'!$A:$A,$E617)&gt;0,"O",""))</f>
        <v/>
      </c>
      <c r="L617" s="17" t="str">
        <f>IF($C617="","",IF(COUNTIFS('RAW_농산물_10월'!$D:$D,$C617,'RAW_농산물_10월'!$A:$A,$E617)&gt;0,"O",""))</f>
        <v/>
      </c>
      <c r="M617" s="17" t="str">
        <f>IF($C617="","",IF(COUNTIFS('RAW_농산물_11-12월'!$D:$D,$C617,'RAW_농산물_11-12월'!$A:$A,$E617)&gt;0,"O",""))</f>
        <v/>
      </c>
      <c r="N617" s="7" t="str">
        <f>IF($C617="","",IF(COUNTA('RAW_농산물_7월'!$A:$A)&lt;=1,"",SUMIFS('RAW_농산물_7월'!$H:$H,'RAW_농산물_7월'!$D:$D,$C617,'RAW_농산물_7월'!$A:$A,$E617)))</f>
        <v/>
      </c>
      <c r="O617" s="7" t="str">
        <f>IF($C617="","",IF(COUNTA('RAW_농산물_8월'!$A:$A)&lt;=1,"",SUMIFS('RAW_농산물_8월'!$H:$H,'RAW_농산물_8월'!$D:$D,$C617,'RAW_농산물_8월'!$A:$A,$E617)-SUMIFS('RAW_농산물_7월'!$H:$H,'RAW_농산물_7월'!$D:$D,$C617,'RAW_농산물_7월'!$A:$A,$E617)))</f>
        <v/>
      </c>
      <c r="P617" s="7" t="str">
        <f>IF($C617="","",IF(COUNTA('RAW_농산물_9월'!$A:$A)&lt;=1,"",SUMIFS('RAW_농산물_9월'!$H:$H,'RAW_농산물_9월'!$D:$D,$C617,'RAW_농산물_9월'!$A:$A,$E617)-SUMIFS('RAW_농산물_8월'!$H:$H,'RAW_농산물_8월'!$D:$D,$C617,'RAW_농산물_8월'!$A:$A,$E617)))</f>
        <v/>
      </c>
      <c r="Q617" s="7" t="str">
        <f>IF($C617="","",IF(COUNTA('RAW_농산물_10월'!$A:$A)&lt;=1,"",SUMIFS('RAW_농산물_10월'!$H:$H,'RAW_농산물_10월'!$D:$D,$C617,'RAW_농산물_10월'!$A:$A,$E617)-SUMIFS('RAW_농산물_9월'!$H:$H,'RAW_농산물_9월'!$D:$D,$C617,'RAW_농산물_9월'!$A:$A,$E617)))</f>
        <v/>
      </c>
      <c r="R617" s="7" t="str">
        <f>IF($C617="","",IF(COUNTA('RAW_농산물_11-12월'!$A:$A)&lt;=1,"",SUMIFS('RAW_농산물_11-12월'!$H:$H,'RAW_농산물_11-12월'!$D:$D,$C617,'RAW_농산물_11-12월'!$A:$A,$E617)-SUMIFS('RAW_농산물_10월'!$H:$H,'RAW_농산물_10월'!$D:$D,$C617,'RAW_농산물_10월'!$A:$A,$E617)))</f>
        <v/>
      </c>
      <c r="S617" s="17" t="str">
        <f t="shared" si="4"/>
        <v/>
      </c>
      <c r="T617" s="17" t="str">
        <f t="shared" si="5"/>
        <v/>
      </c>
      <c r="U617" s="7">
        <f>IF($C617="",0,IF('설정'!$B$3=0,0,CHOOSE('설정'!$B$3,COUNTIFS('RAW_농산물_7월'!$D:$D,$C617,'RAW_농산물_7월'!$A:$A,$E617),COUNTIFS('RAW_농산물_8월'!$D:$D,$C617,'RAW_농산물_8월'!$A:$A,$E617),COUNTIFS('RAW_농산물_9월'!$D:$D,$C617,'RAW_농산물_9월'!$A:$A,$E617),COUNTIFS('RAW_농산물_10월'!$D:$D,$C617,'RAW_농산물_10월'!$A:$A,$E617),COUNTIFS('RAW_농산물_11-12월'!$D:$D,$C617,'RAW_농산물_11-12월'!$A:$A,$E617))))</f>
        <v>0</v>
      </c>
    </row>
    <row r="618" ht="15.75" customHeight="1">
      <c r="A618" s="5"/>
      <c r="B618" s="5"/>
      <c r="C618" s="5"/>
      <c r="D618" s="6"/>
      <c r="E618" s="5"/>
      <c r="F618" s="7" t="str">
        <f>IF($C618="","",IF('설정'!$B$3=0,"",CHOOSE('설정'!$B$3,SUMIFS('RAW_농산물_7월'!$F:$F,'RAW_농산물_7월'!$D:$D,$C618,'RAW_농산물_7월'!$A:$A,$E618),SUMIFS('RAW_농산물_8월'!$F:$F,'RAW_농산물_8월'!$D:$D,$C618,'RAW_농산물_8월'!$A:$A,$E618),SUMIFS('RAW_농산물_9월'!$F:$F,'RAW_농산물_9월'!$D:$D,$C618,'RAW_농산물_9월'!$A:$A,$E618),SUMIFS('RAW_농산물_10월'!$F:$F,'RAW_농산물_10월'!$D:$D,$C618,'RAW_농산물_10월'!$A:$A,$E618),SUMIFS('RAW_농산물_11-12월'!$F:$F,'RAW_농산물_11-12월'!$D:$D,$C618,'RAW_농산물_11-12월'!$A:$A,$E618))))</f>
        <v/>
      </c>
      <c r="G618" s="7" t="str">
        <f>IF($C618="","",IF('설정'!$B$3=0,"",CHOOSE('설정'!$B$3,SUMIFS('RAW_농산물_7월'!$G:$G,'RAW_농산물_7월'!$D:$D,$C618,'RAW_농산물_7월'!$A:$A,$E618),SUMIFS('RAW_농산물_8월'!$G:$G,'RAW_농산물_8월'!$D:$D,$C618,'RAW_농산물_8월'!$A:$A,$E618),SUMIFS('RAW_농산물_9월'!$G:$G,'RAW_농산물_9월'!$D:$D,$C618,'RAW_농산물_9월'!$A:$A,$E618),SUMIFS('RAW_농산물_10월'!$G:$G,'RAW_농산물_10월'!$D:$D,$C618,'RAW_농산물_10월'!$A:$A,$E618),SUMIFS('RAW_농산물_11-12월'!$G:$G,'RAW_농산물_11-12월'!$D:$D,$C618,'RAW_농산물_11-12월'!$A:$A,$E618))))</f>
        <v/>
      </c>
      <c r="H618" s="14" t="str">
        <f>IF($C618="","",IF('설정'!$B$3=0,"",CHOOSE('설정'!$B$3,SUMIFS('RAW_농산물_7월'!$H:$H,'RAW_농산물_7월'!$D:$D,$C618,'RAW_농산물_7월'!$A:$A,$E618),SUMIFS('RAW_농산물_8월'!$H:$H,'RAW_농산물_8월'!$D:$D,$C618,'RAW_농산물_8월'!$A:$A,$E618),SUMIFS('RAW_농산물_9월'!$H:$H,'RAW_농산물_9월'!$D:$D,$C618,'RAW_농산물_9월'!$A:$A,$E618),SUMIFS('RAW_농산물_10월'!$H:$H,'RAW_농산물_10월'!$D:$D,$C618,'RAW_농산물_10월'!$A:$A,$E618),SUMIFS('RAW_농산물_11-12월'!$H:$H,'RAW_농산물_11-12월'!$D:$D,$C618,'RAW_농산물_11-12월'!$A:$A,$E618))))</f>
        <v/>
      </c>
      <c r="I618" s="17" t="str">
        <f>IF($C618="","",IF(COUNTIFS('RAW_농산물_7월'!$D:$D,$C618,'RAW_농산물_7월'!$A:$A,$E618)&gt;0,"O",""))</f>
        <v/>
      </c>
      <c r="J618" s="17" t="str">
        <f>IF($C618="","",IF(COUNTIFS('RAW_농산물_8월'!$D:$D,$C618,'RAW_농산물_8월'!$A:$A,$E618)&gt;0,"O",""))</f>
        <v/>
      </c>
      <c r="K618" s="17" t="str">
        <f>IF($C618="","",IF(COUNTIFS('RAW_농산물_9월'!$D:$D,$C618,'RAW_농산물_9월'!$A:$A,$E618)&gt;0,"O",""))</f>
        <v/>
      </c>
      <c r="L618" s="17" t="str">
        <f>IF($C618="","",IF(COUNTIFS('RAW_농산물_10월'!$D:$D,$C618,'RAW_농산물_10월'!$A:$A,$E618)&gt;0,"O",""))</f>
        <v/>
      </c>
      <c r="M618" s="17" t="str">
        <f>IF($C618="","",IF(COUNTIFS('RAW_농산물_11-12월'!$D:$D,$C618,'RAW_농산물_11-12월'!$A:$A,$E618)&gt;0,"O",""))</f>
        <v/>
      </c>
      <c r="N618" s="7" t="str">
        <f>IF($C618="","",IF(COUNTA('RAW_농산물_7월'!$A:$A)&lt;=1,"",SUMIFS('RAW_농산물_7월'!$H:$H,'RAW_농산물_7월'!$D:$D,$C618,'RAW_농산물_7월'!$A:$A,$E618)))</f>
        <v/>
      </c>
      <c r="O618" s="7" t="str">
        <f>IF($C618="","",IF(COUNTA('RAW_농산물_8월'!$A:$A)&lt;=1,"",SUMIFS('RAW_농산물_8월'!$H:$H,'RAW_농산물_8월'!$D:$D,$C618,'RAW_농산물_8월'!$A:$A,$E618)-SUMIFS('RAW_농산물_7월'!$H:$H,'RAW_농산물_7월'!$D:$D,$C618,'RAW_농산물_7월'!$A:$A,$E618)))</f>
        <v/>
      </c>
      <c r="P618" s="7" t="str">
        <f>IF($C618="","",IF(COUNTA('RAW_농산물_9월'!$A:$A)&lt;=1,"",SUMIFS('RAW_농산물_9월'!$H:$H,'RAW_농산물_9월'!$D:$D,$C618,'RAW_농산물_9월'!$A:$A,$E618)-SUMIFS('RAW_농산물_8월'!$H:$H,'RAW_농산물_8월'!$D:$D,$C618,'RAW_농산물_8월'!$A:$A,$E618)))</f>
        <v/>
      </c>
      <c r="Q618" s="7" t="str">
        <f>IF($C618="","",IF(COUNTA('RAW_농산물_10월'!$A:$A)&lt;=1,"",SUMIFS('RAW_농산물_10월'!$H:$H,'RAW_농산물_10월'!$D:$D,$C618,'RAW_농산물_10월'!$A:$A,$E618)-SUMIFS('RAW_농산물_9월'!$H:$H,'RAW_농산물_9월'!$D:$D,$C618,'RAW_농산물_9월'!$A:$A,$E618)))</f>
        <v/>
      </c>
      <c r="R618" s="7" t="str">
        <f>IF($C618="","",IF(COUNTA('RAW_농산물_11-12월'!$A:$A)&lt;=1,"",SUMIFS('RAW_농산물_11-12월'!$H:$H,'RAW_농산물_11-12월'!$D:$D,$C618,'RAW_농산물_11-12월'!$A:$A,$E618)-SUMIFS('RAW_농산물_10월'!$H:$H,'RAW_농산물_10월'!$D:$D,$C618,'RAW_농산물_10월'!$A:$A,$E618)))</f>
        <v/>
      </c>
      <c r="S618" s="17" t="str">
        <f t="shared" si="4"/>
        <v/>
      </c>
      <c r="T618" s="17" t="str">
        <f t="shared" si="5"/>
        <v/>
      </c>
      <c r="U618" s="7">
        <f>IF($C618="",0,IF('설정'!$B$3=0,0,CHOOSE('설정'!$B$3,COUNTIFS('RAW_농산물_7월'!$D:$D,$C618,'RAW_농산물_7월'!$A:$A,$E618),COUNTIFS('RAW_농산물_8월'!$D:$D,$C618,'RAW_농산물_8월'!$A:$A,$E618),COUNTIFS('RAW_농산물_9월'!$D:$D,$C618,'RAW_농산물_9월'!$A:$A,$E618),COUNTIFS('RAW_농산물_10월'!$D:$D,$C618,'RAW_농산물_10월'!$A:$A,$E618),COUNTIFS('RAW_농산물_11-12월'!$D:$D,$C618,'RAW_농산물_11-12월'!$A:$A,$E618))))</f>
        <v>0</v>
      </c>
    </row>
    <row r="619" ht="15.75" customHeight="1">
      <c r="A619" s="5"/>
      <c r="B619" s="5"/>
      <c r="C619" s="5"/>
      <c r="D619" s="6"/>
      <c r="E619" s="5"/>
      <c r="F619" s="7" t="str">
        <f>IF($C619="","",IF('설정'!$B$3=0,"",CHOOSE('설정'!$B$3,SUMIFS('RAW_농산물_7월'!$F:$F,'RAW_농산물_7월'!$D:$D,$C619,'RAW_농산물_7월'!$A:$A,$E619),SUMIFS('RAW_농산물_8월'!$F:$F,'RAW_농산물_8월'!$D:$D,$C619,'RAW_농산물_8월'!$A:$A,$E619),SUMIFS('RAW_농산물_9월'!$F:$F,'RAW_농산물_9월'!$D:$D,$C619,'RAW_농산물_9월'!$A:$A,$E619),SUMIFS('RAW_농산물_10월'!$F:$F,'RAW_농산물_10월'!$D:$D,$C619,'RAW_농산물_10월'!$A:$A,$E619),SUMIFS('RAW_농산물_11-12월'!$F:$F,'RAW_농산물_11-12월'!$D:$D,$C619,'RAW_농산물_11-12월'!$A:$A,$E619))))</f>
        <v/>
      </c>
      <c r="G619" s="7" t="str">
        <f>IF($C619="","",IF('설정'!$B$3=0,"",CHOOSE('설정'!$B$3,SUMIFS('RAW_농산물_7월'!$G:$G,'RAW_농산물_7월'!$D:$D,$C619,'RAW_농산물_7월'!$A:$A,$E619),SUMIFS('RAW_농산물_8월'!$G:$G,'RAW_농산물_8월'!$D:$D,$C619,'RAW_농산물_8월'!$A:$A,$E619),SUMIFS('RAW_농산물_9월'!$G:$G,'RAW_농산물_9월'!$D:$D,$C619,'RAW_농산물_9월'!$A:$A,$E619),SUMIFS('RAW_농산물_10월'!$G:$G,'RAW_농산물_10월'!$D:$D,$C619,'RAW_농산물_10월'!$A:$A,$E619),SUMIFS('RAW_농산물_11-12월'!$G:$G,'RAW_농산물_11-12월'!$D:$D,$C619,'RAW_농산물_11-12월'!$A:$A,$E619))))</f>
        <v/>
      </c>
      <c r="H619" s="14" t="str">
        <f>IF($C619="","",IF('설정'!$B$3=0,"",CHOOSE('설정'!$B$3,SUMIFS('RAW_농산물_7월'!$H:$H,'RAW_농산물_7월'!$D:$D,$C619,'RAW_농산물_7월'!$A:$A,$E619),SUMIFS('RAW_농산물_8월'!$H:$H,'RAW_농산물_8월'!$D:$D,$C619,'RAW_농산물_8월'!$A:$A,$E619),SUMIFS('RAW_농산물_9월'!$H:$H,'RAW_농산물_9월'!$D:$D,$C619,'RAW_농산물_9월'!$A:$A,$E619),SUMIFS('RAW_농산물_10월'!$H:$H,'RAW_농산물_10월'!$D:$D,$C619,'RAW_농산물_10월'!$A:$A,$E619),SUMIFS('RAW_농산물_11-12월'!$H:$H,'RAW_농산물_11-12월'!$D:$D,$C619,'RAW_농산물_11-12월'!$A:$A,$E619))))</f>
        <v/>
      </c>
      <c r="I619" s="17" t="str">
        <f>IF($C619="","",IF(COUNTIFS('RAW_농산물_7월'!$D:$D,$C619,'RAW_농산물_7월'!$A:$A,$E619)&gt;0,"O",""))</f>
        <v/>
      </c>
      <c r="J619" s="17" t="str">
        <f>IF($C619="","",IF(COUNTIFS('RAW_농산물_8월'!$D:$D,$C619,'RAW_농산물_8월'!$A:$A,$E619)&gt;0,"O",""))</f>
        <v/>
      </c>
      <c r="K619" s="17" t="str">
        <f>IF($C619="","",IF(COUNTIFS('RAW_농산물_9월'!$D:$D,$C619,'RAW_농산물_9월'!$A:$A,$E619)&gt;0,"O",""))</f>
        <v/>
      </c>
      <c r="L619" s="17" t="str">
        <f>IF($C619="","",IF(COUNTIFS('RAW_농산물_10월'!$D:$D,$C619,'RAW_농산물_10월'!$A:$A,$E619)&gt;0,"O",""))</f>
        <v/>
      </c>
      <c r="M619" s="17" t="str">
        <f>IF($C619="","",IF(COUNTIFS('RAW_농산물_11-12월'!$D:$D,$C619,'RAW_농산물_11-12월'!$A:$A,$E619)&gt;0,"O",""))</f>
        <v/>
      </c>
      <c r="N619" s="7" t="str">
        <f>IF($C619="","",IF(COUNTA('RAW_농산물_7월'!$A:$A)&lt;=1,"",SUMIFS('RAW_농산물_7월'!$H:$H,'RAW_농산물_7월'!$D:$D,$C619,'RAW_농산물_7월'!$A:$A,$E619)))</f>
        <v/>
      </c>
      <c r="O619" s="7" t="str">
        <f>IF($C619="","",IF(COUNTA('RAW_농산물_8월'!$A:$A)&lt;=1,"",SUMIFS('RAW_농산물_8월'!$H:$H,'RAW_농산물_8월'!$D:$D,$C619,'RAW_농산물_8월'!$A:$A,$E619)-SUMIFS('RAW_농산물_7월'!$H:$H,'RAW_농산물_7월'!$D:$D,$C619,'RAW_농산물_7월'!$A:$A,$E619)))</f>
        <v/>
      </c>
      <c r="P619" s="7" t="str">
        <f>IF($C619="","",IF(COUNTA('RAW_농산물_9월'!$A:$A)&lt;=1,"",SUMIFS('RAW_농산물_9월'!$H:$H,'RAW_농산물_9월'!$D:$D,$C619,'RAW_농산물_9월'!$A:$A,$E619)-SUMIFS('RAW_농산물_8월'!$H:$H,'RAW_농산물_8월'!$D:$D,$C619,'RAW_농산물_8월'!$A:$A,$E619)))</f>
        <v/>
      </c>
      <c r="Q619" s="7" t="str">
        <f>IF($C619="","",IF(COUNTA('RAW_농산물_10월'!$A:$A)&lt;=1,"",SUMIFS('RAW_농산물_10월'!$H:$H,'RAW_농산물_10월'!$D:$D,$C619,'RAW_농산물_10월'!$A:$A,$E619)-SUMIFS('RAW_농산물_9월'!$H:$H,'RAW_농산물_9월'!$D:$D,$C619,'RAW_농산물_9월'!$A:$A,$E619)))</f>
        <v/>
      </c>
      <c r="R619" s="7" t="str">
        <f>IF($C619="","",IF(COUNTA('RAW_농산물_11-12월'!$A:$A)&lt;=1,"",SUMIFS('RAW_농산물_11-12월'!$H:$H,'RAW_농산물_11-12월'!$D:$D,$C619,'RAW_농산물_11-12월'!$A:$A,$E619)-SUMIFS('RAW_농산물_10월'!$H:$H,'RAW_농산물_10월'!$D:$D,$C619,'RAW_농산물_10월'!$A:$A,$E619)))</f>
        <v/>
      </c>
      <c r="S619" s="17" t="str">
        <f t="shared" si="4"/>
        <v/>
      </c>
      <c r="T619" s="17" t="str">
        <f t="shared" si="5"/>
        <v/>
      </c>
      <c r="U619" s="7">
        <f>IF($C619="",0,IF('설정'!$B$3=0,0,CHOOSE('설정'!$B$3,COUNTIFS('RAW_농산물_7월'!$D:$D,$C619,'RAW_농산물_7월'!$A:$A,$E619),COUNTIFS('RAW_농산물_8월'!$D:$D,$C619,'RAW_농산물_8월'!$A:$A,$E619),COUNTIFS('RAW_농산물_9월'!$D:$D,$C619,'RAW_농산물_9월'!$A:$A,$E619),COUNTIFS('RAW_농산물_10월'!$D:$D,$C619,'RAW_농산물_10월'!$A:$A,$E619),COUNTIFS('RAW_농산물_11-12월'!$D:$D,$C619,'RAW_농산물_11-12월'!$A:$A,$E619))))</f>
        <v>0</v>
      </c>
    </row>
    <row r="620" ht="15.75" customHeight="1">
      <c r="A620" s="5"/>
      <c r="B620" s="5"/>
      <c r="C620" s="5"/>
      <c r="D620" s="6"/>
      <c r="E620" s="5"/>
      <c r="F620" s="7" t="str">
        <f>IF($C620="","",IF('설정'!$B$3=0,"",CHOOSE('설정'!$B$3,SUMIFS('RAW_농산물_7월'!$F:$F,'RAW_농산물_7월'!$D:$D,$C620,'RAW_농산물_7월'!$A:$A,$E620),SUMIFS('RAW_농산물_8월'!$F:$F,'RAW_농산물_8월'!$D:$D,$C620,'RAW_농산물_8월'!$A:$A,$E620),SUMIFS('RAW_농산물_9월'!$F:$F,'RAW_농산물_9월'!$D:$D,$C620,'RAW_농산물_9월'!$A:$A,$E620),SUMIFS('RAW_농산물_10월'!$F:$F,'RAW_농산물_10월'!$D:$D,$C620,'RAW_농산물_10월'!$A:$A,$E620),SUMIFS('RAW_농산물_11-12월'!$F:$F,'RAW_농산물_11-12월'!$D:$D,$C620,'RAW_농산물_11-12월'!$A:$A,$E620))))</f>
        <v/>
      </c>
      <c r="G620" s="7" t="str">
        <f>IF($C620="","",IF('설정'!$B$3=0,"",CHOOSE('설정'!$B$3,SUMIFS('RAW_농산물_7월'!$G:$G,'RAW_농산물_7월'!$D:$D,$C620,'RAW_농산물_7월'!$A:$A,$E620),SUMIFS('RAW_농산물_8월'!$G:$G,'RAW_농산물_8월'!$D:$D,$C620,'RAW_농산물_8월'!$A:$A,$E620),SUMIFS('RAW_농산물_9월'!$G:$G,'RAW_농산물_9월'!$D:$D,$C620,'RAW_농산물_9월'!$A:$A,$E620),SUMIFS('RAW_농산물_10월'!$G:$G,'RAW_농산물_10월'!$D:$D,$C620,'RAW_농산물_10월'!$A:$A,$E620),SUMIFS('RAW_농산물_11-12월'!$G:$G,'RAW_농산물_11-12월'!$D:$D,$C620,'RAW_농산물_11-12월'!$A:$A,$E620))))</f>
        <v/>
      </c>
      <c r="H620" s="14" t="str">
        <f>IF($C620="","",IF('설정'!$B$3=0,"",CHOOSE('설정'!$B$3,SUMIFS('RAW_농산물_7월'!$H:$H,'RAW_농산물_7월'!$D:$D,$C620,'RAW_농산물_7월'!$A:$A,$E620),SUMIFS('RAW_농산물_8월'!$H:$H,'RAW_농산물_8월'!$D:$D,$C620,'RAW_농산물_8월'!$A:$A,$E620),SUMIFS('RAW_농산물_9월'!$H:$H,'RAW_농산물_9월'!$D:$D,$C620,'RAW_농산물_9월'!$A:$A,$E620),SUMIFS('RAW_농산물_10월'!$H:$H,'RAW_농산물_10월'!$D:$D,$C620,'RAW_농산물_10월'!$A:$A,$E620),SUMIFS('RAW_농산물_11-12월'!$H:$H,'RAW_농산물_11-12월'!$D:$D,$C620,'RAW_농산물_11-12월'!$A:$A,$E620))))</f>
        <v/>
      </c>
      <c r="I620" s="17" t="str">
        <f>IF($C620="","",IF(COUNTIFS('RAW_농산물_7월'!$D:$D,$C620,'RAW_농산물_7월'!$A:$A,$E620)&gt;0,"O",""))</f>
        <v/>
      </c>
      <c r="J620" s="17" t="str">
        <f>IF($C620="","",IF(COUNTIFS('RAW_농산물_8월'!$D:$D,$C620,'RAW_농산물_8월'!$A:$A,$E620)&gt;0,"O",""))</f>
        <v/>
      </c>
      <c r="K620" s="17" t="str">
        <f>IF($C620="","",IF(COUNTIFS('RAW_농산물_9월'!$D:$D,$C620,'RAW_농산물_9월'!$A:$A,$E620)&gt;0,"O",""))</f>
        <v/>
      </c>
      <c r="L620" s="17" t="str">
        <f>IF($C620="","",IF(COUNTIFS('RAW_농산물_10월'!$D:$D,$C620,'RAW_농산물_10월'!$A:$A,$E620)&gt;0,"O",""))</f>
        <v/>
      </c>
      <c r="M620" s="17" t="str">
        <f>IF($C620="","",IF(COUNTIFS('RAW_농산물_11-12월'!$D:$D,$C620,'RAW_농산물_11-12월'!$A:$A,$E620)&gt;0,"O",""))</f>
        <v/>
      </c>
      <c r="N620" s="7" t="str">
        <f>IF($C620="","",IF(COUNTA('RAW_농산물_7월'!$A:$A)&lt;=1,"",SUMIFS('RAW_농산물_7월'!$H:$H,'RAW_농산물_7월'!$D:$D,$C620,'RAW_농산물_7월'!$A:$A,$E620)))</f>
        <v/>
      </c>
      <c r="O620" s="7" t="str">
        <f>IF($C620="","",IF(COUNTA('RAW_농산물_8월'!$A:$A)&lt;=1,"",SUMIFS('RAW_농산물_8월'!$H:$H,'RAW_농산물_8월'!$D:$D,$C620,'RAW_농산물_8월'!$A:$A,$E620)-SUMIFS('RAW_농산물_7월'!$H:$H,'RAW_농산물_7월'!$D:$D,$C620,'RAW_농산물_7월'!$A:$A,$E620)))</f>
        <v/>
      </c>
      <c r="P620" s="7" t="str">
        <f>IF($C620="","",IF(COUNTA('RAW_농산물_9월'!$A:$A)&lt;=1,"",SUMIFS('RAW_농산물_9월'!$H:$H,'RAW_농산물_9월'!$D:$D,$C620,'RAW_농산물_9월'!$A:$A,$E620)-SUMIFS('RAW_농산물_8월'!$H:$H,'RAW_농산물_8월'!$D:$D,$C620,'RAW_농산물_8월'!$A:$A,$E620)))</f>
        <v/>
      </c>
      <c r="Q620" s="7" t="str">
        <f>IF($C620="","",IF(COUNTA('RAW_농산물_10월'!$A:$A)&lt;=1,"",SUMIFS('RAW_농산물_10월'!$H:$H,'RAW_농산물_10월'!$D:$D,$C620,'RAW_농산물_10월'!$A:$A,$E620)-SUMIFS('RAW_농산물_9월'!$H:$H,'RAW_농산물_9월'!$D:$D,$C620,'RAW_농산물_9월'!$A:$A,$E620)))</f>
        <v/>
      </c>
      <c r="R620" s="7" t="str">
        <f>IF($C620="","",IF(COUNTA('RAW_농산물_11-12월'!$A:$A)&lt;=1,"",SUMIFS('RAW_농산물_11-12월'!$H:$H,'RAW_농산물_11-12월'!$D:$D,$C620,'RAW_농산물_11-12월'!$A:$A,$E620)-SUMIFS('RAW_농산물_10월'!$H:$H,'RAW_농산물_10월'!$D:$D,$C620,'RAW_농산물_10월'!$A:$A,$E620)))</f>
        <v/>
      </c>
      <c r="S620" s="17" t="str">
        <f t="shared" si="4"/>
        <v/>
      </c>
      <c r="T620" s="17" t="str">
        <f t="shared" si="5"/>
        <v/>
      </c>
      <c r="U620" s="7">
        <f>IF($C620="",0,IF('설정'!$B$3=0,0,CHOOSE('설정'!$B$3,COUNTIFS('RAW_농산물_7월'!$D:$D,$C620,'RAW_농산물_7월'!$A:$A,$E620),COUNTIFS('RAW_농산물_8월'!$D:$D,$C620,'RAW_농산물_8월'!$A:$A,$E620),COUNTIFS('RAW_농산물_9월'!$D:$D,$C620,'RAW_농산물_9월'!$A:$A,$E620),COUNTIFS('RAW_농산물_10월'!$D:$D,$C620,'RAW_농산물_10월'!$A:$A,$E620),COUNTIFS('RAW_농산물_11-12월'!$D:$D,$C620,'RAW_농산물_11-12월'!$A:$A,$E620))))</f>
        <v>0</v>
      </c>
    </row>
    <row r="621" ht="15.75" customHeight="1">
      <c r="A621" s="5"/>
      <c r="B621" s="5"/>
      <c r="C621" s="5"/>
      <c r="D621" s="6"/>
      <c r="E621" s="5"/>
      <c r="F621" s="7" t="str">
        <f>IF($C621="","",IF('설정'!$B$3=0,"",CHOOSE('설정'!$B$3,SUMIFS('RAW_농산물_7월'!$F:$F,'RAW_농산물_7월'!$D:$D,$C621,'RAW_농산물_7월'!$A:$A,$E621),SUMIFS('RAW_농산물_8월'!$F:$F,'RAW_농산물_8월'!$D:$D,$C621,'RAW_농산물_8월'!$A:$A,$E621),SUMIFS('RAW_농산물_9월'!$F:$F,'RAW_농산물_9월'!$D:$D,$C621,'RAW_농산물_9월'!$A:$A,$E621),SUMIFS('RAW_농산물_10월'!$F:$F,'RAW_농산물_10월'!$D:$D,$C621,'RAW_농산물_10월'!$A:$A,$E621),SUMIFS('RAW_농산물_11-12월'!$F:$F,'RAW_농산물_11-12월'!$D:$D,$C621,'RAW_농산물_11-12월'!$A:$A,$E621))))</f>
        <v/>
      </c>
      <c r="G621" s="7" t="str">
        <f>IF($C621="","",IF('설정'!$B$3=0,"",CHOOSE('설정'!$B$3,SUMIFS('RAW_농산물_7월'!$G:$G,'RAW_농산물_7월'!$D:$D,$C621,'RAW_농산물_7월'!$A:$A,$E621),SUMIFS('RAW_농산물_8월'!$G:$G,'RAW_농산물_8월'!$D:$D,$C621,'RAW_농산물_8월'!$A:$A,$E621),SUMIFS('RAW_농산물_9월'!$G:$G,'RAW_농산물_9월'!$D:$D,$C621,'RAW_농산물_9월'!$A:$A,$E621),SUMIFS('RAW_농산물_10월'!$G:$G,'RAW_농산물_10월'!$D:$D,$C621,'RAW_농산물_10월'!$A:$A,$E621),SUMIFS('RAW_농산물_11-12월'!$G:$G,'RAW_농산물_11-12월'!$D:$D,$C621,'RAW_농산물_11-12월'!$A:$A,$E621))))</f>
        <v/>
      </c>
      <c r="H621" s="14" t="str">
        <f>IF($C621="","",IF('설정'!$B$3=0,"",CHOOSE('설정'!$B$3,SUMIFS('RAW_농산물_7월'!$H:$H,'RAW_농산물_7월'!$D:$D,$C621,'RAW_농산물_7월'!$A:$A,$E621),SUMIFS('RAW_농산물_8월'!$H:$H,'RAW_농산물_8월'!$D:$D,$C621,'RAW_농산물_8월'!$A:$A,$E621),SUMIFS('RAW_농산물_9월'!$H:$H,'RAW_농산물_9월'!$D:$D,$C621,'RAW_농산물_9월'!$A:$A,$E621),SUMIFS('RAW_농산물_10월'!$H:$H,'RAW_농산물_10월'!$D:$D,$C621,'RAW_농산물_10월'!$A:$A,$E621),SUMIFS('RAW_농산물_11-12월'!$H:$H,'RAW_농산물_11-12월'!$D:$D,$C621,'RAW_농산물_11-12월'!$A:$A,$E621))))</f>
        <v/>
      </c>
      <c r="I621" s="17" t="str">
        <f>IF($C621="","",IF(COUNTIFS('RAW_농산물_7월'!$D:$D,$C621,'RAW_농산물_7월'!$A:$A,$E621)&gt;0,"O",""))</f>
        <v/>
      </c>
      <c r="J621" s="17" t="str">
        <f>IF($C621="","",IF(COUNTIFS('RAW_농산물_8월'!$D:$D,$C621,'RAW_농산물_8월'!$A:$A,$E621)&gt;0,"O",""))</f>
        <v/>
      </c>
      <c r="K621" s="17" t="str">
        <f>IF($C621="","",IF(COUNTIFS('RAW_농산물_9월'!$D:$D,$C621,'RAW_농산물_9월'!$A:$A,$E621)&gt;0,"O",""))</f>
        <v/>
      </c>
      <c r="L621" s="17" t="str">
        <f>IF($C621="","",IF(COUNTIFS('RAW_농산물_10월'!$D:$D,$C621,'RAW_농산물_10월'!$A:$A,$E621)&gt;0,"O",""))</f>
        <v/>
      </c>
      <c r="M621" s="17" t="str">
        <f>IF($C621="","",IF(COUNTIFS('RAW_농산물_11-12월'!$D:$D,$C621,'RAW_농산물_11-12월'!$A:$A,$E621)&gt;0,"O",""))</f>
        <v/>
      </c>
      <c r="N621" s="7" t="str">
        <f>IF($C621="","",IF(COUNTA('RAW_농산물_7월'!$A:$A)&lt;=1,"",SUMIFS('RAW_농산물_7월'!$H:$H,'RAW_농산물_7월'!$D:$D,$C621,'RAW_농산물_7월'!$A:$A,$E621)))</f>
        <v/>
      </c>
      <c r="O621" s="7" t="str">
        <f>IF($C621="","",IF(COUNTA('RAW_농산물_8월'!$A:$A)&lt;=1,"",SUMIFS('RAW_농산물_8월'!$H:$H,'RAW_농산물_8월'!$D:$D,$C621,'RAW_농산물_8월'!$A:$A,$E621)-SUMIFS('RAW_농산물_7월'!$H:$H,'RAW_농산물_7월'!$D:$D,$C621,'RAW_농산물_7월'!$A:$A,$E621)))</f>
        <v/>
      </c>
      <c r="P621" s="7" t="str">
        <f>IF($C621="","",IF(COUNTA('RAW_농산물_9월'!$A:$A)&lt;=1,"",SUMIFS('RAW_농산물_9월'!$H:$H,'RAW_농산물_9월'!$D:$D,$C621,'RAW_농산물_9월'!$A:$A,$E621)-SUMIFS('RAW_농산물_8월'!$H:$H,'RAW_농산물_8월'!$D:$D,$C621,'RAW_농산물_8월'!$A:$A,$E621)))</f>
        <v/>
      </c>
      <c r="Q621" s="7" t="str">
        <f>IF($C621="","",IF(COUNTA('RAW_농산물_10월'!$A:$A)&lt;=1,"",SUMIFS('RAW_농산물_10월'!$H:$H,'RAW_농산물_10월'!$D:$D,$C621,'RAW_농산물_10월'!$A:$A,$E621)-SUMIFS('RAW_농산물_9월'!$H:$H,'RAW_농산물_9월'!$D:$D,$C621,'RAW_농산물_9월'!$A:$A,$E621)))</f>
        <v/>
      </c>
      <c r="R621" s="7" t="str">
        <f>IF($C621="","",IF(COUNTA('RAW_농산물_11-12월'!$A:$A)&lt;=1,"",SUMIFS('RAW_농산물_11-12월'!$H:$H,'RAW_농산물_11-12월'!$D:$D,$C621,'RAW_농산물_11-12월'!$A:$A,$E621)-SUMIFS('RAW_농산물_10월'!$H:$H,'RAW_농산물_10월'!$D:$D,$C621,'RAW_농산물_10월'!$A:$A,$E621)))</f>
        <v/>
      </c>
      <c r="S621" s="17" t="str">
        <f t="shared" si="4"/>
        <v/>
      </c>
      <c r="T621" s="17" t="str">
        <f t="shared" si="5"/>
        <v/>
      </c>
      <c r="U621" s="7">
        <f>IF($C621="",0,IF('설정'!$B$3=0,0,CHOOSE('설정'!$B$3,COUNTIFS('RAW_농산물_7월'!$D:$D,$C621,'RAW_농산물_7월'!$A:$A,$E621),COUNTIFS('RAW_농산물_8월'!$D:$D,$C621,'RAW_농산물_8월'!$A:$A,$E621),COUNTIFS('RAW_농산물_9월'!$D:$D,$C621,'RAW_농산물_9월'!$A:$A,$E621),COUNTIFS('RAW_농산물_10월'!$D:$D,$C621,'RAW_농산물_10월'!$A:$A,$E621),COUNTIFS('RAW_농산물_11-12월'!$D:$D,$C621,'RAW_농산물_11-12월'!$A:$A,$E621))))</f>
        <v>0</v>
      </c>
    </row>
    <row r="622" ht="15.75" customHeight="1">
      <c r="A622" s="5"/>
      <c r="B622" s="5"/>
      <c r="C622" s="5"/>
      <c r="D622" s="6"/>
      <c r="E622" s="5"/>
      <c r="F622" s="7" t="str">
        <f>IF($C622="","",IF('설정'!$B$3=0,"",CHOOSE('설정'!$B$3,SUMIFS('RAW_농산물_7월'!$F:$F,'RAW_농산물_7월'!$D:$D,$C622,'RAW_농산물_7월'!$A:$A,$E622),SUMIFS('RAW_농산물_8월'!$F:$F,'RAW_농산물_8월'!$D:$D,$C622,'RAW_농산물_8월'!$A:$A,$E622),SUMIFS('RAW_농산물_9월'!$F:$F,'RAW_농산물_9월'!$D:$D,$C622,'RAW_농산물_9월'!$A:$A,$E622),SUMIFS('RAW_농산물_10월'!$F:$F,'RAW_농산물_10월'!$D:$D,$C622,'RAW_농산물_10월'!$A:$A,$E622),SUMIFS('RAW_농산물_11-12월'!$F:$F,'RAW_농산물_11-12월'!$D:$D,$C622,'RAW_농산물_11-12월'!$A:$A,$E622))))</f>
        <v/>
      </c>
      <c r="G622" s="7" t="str">
        <f>IF($C622="","",IF('설정'!$B$3=0,"",CHOOSE('설정'!$B$3,SUMIFS('RAW_농산물_7월'!$G:$G,'RAW_농산물_7월'!$D:$D,$C622,'RAW_농산물_7월'!$A:$A,$E622),SUMIFS('RAW_농산물_8월'!$G:$G,'RAW_농산물_8월'!$D:$D,$C622,'RAW_농산물_8월'!$A:$A,$E622),SUMIFS('RAW_농산물_9월'!$G:$G,'RAW_농산물_9월'!$D:$D,$C622,'RAW_농산물_9월'!$A:$A,$E622),SUMIFS('RAW_농산물_10월'!$G:$G,'RAW_농산물_10월'!$D:$D,$C622,'RAW_농산물_10월'!$A:$A,$E622),SUMIFS('RAW_농산물_11-12월'!$G:$G,'RAW_농산물_11-12월'!$D:$D,$C622,'RAW_농산물_11-12월'!$A:$A,$E622))))</f>
        <v/>
      </c>
      <c r="H622" s="14" t="str">
        <f>IF($C622="","",IF('설정'!$B$3=0,"",CHOOSE('설정'!$B$3,SUMIFS('RAW_농산물_7월'!$H:$H,'RAW_농산물_7월'!$D:$D,$C622,'RAW_농산물_7월'!$A:$A,$E622),SUMIFS('RAW_농산물_8월'!$H:$H,'RAW_농산물_8월'!$D:$D,$C622,'RAW_농산물_8월'!$A:$A,$E622),SUMIFS('RAW_농산물_9월'!$H:$H,'RAW_농산물_9월'!$D:$D,$C622,'RAW_농산물_9월'!$A:$A,$E622),SUMIFS('RAW_농산물_10월'!$H:$H,'RAW_농산물_10월'!$D:$D,$C622,'RAW_농산물_10월'!$A:$A,$E622),SUMIFS('RAW_농산물_11-12월'!$H:$H,'RAW_농산물_11-12월'!$D:$D,$C622,'RAW_농산물_11-12월'!$A:$A,$E622))))</f>
        <v/>
      </c>
      <c r="I622" s="17" t="str">
        <f>IF($C622="","",IF(COUNTIFS('RAW_농산물_7월'!$D:$D,$C622,'RAW_농산물_7월'!$A:$A,$E622)&gt;0,"O",""))</f>
        <v/>
      </c>
      <c r="J622" s="17" t="str">
        <f>IF($C622="","",IF(COUNTIFS('RAW_농산물_8월'!$D:$D,$C622,'RAW_농산물_8월'!$A:$A,$E622)&gt;0,"O",""))</f>
        <v/>
      </c>
      <c r="K622" s="17" t="str">
        <f>IF($C622="","",IF(COUNTIFS('RAW_농산물_9월'!$D:$D,$C622,'RAW_농산물_9월'!$A:$A,$E622)&gt;0,"O",""))</f>
        <v/>
      </c>
      <c r="L622" s="17" t="str">
        <f>IF($C622="","",IF(COUNTIFS('RAW_농산물_10월'!$D:$D,$C622,'RAW_농산물_10월'!$A:$A,$E622)&gt;0,"O",""))</f>
        <v/>
      </c>
      <c r="M622" s="17" t="str">
        <f>IF($C622="","",IF(COUNTIFS('RAW_농산물_11-12월'!$D:$D,$C622,'RAW_농산물_11-12월'!$A:$A,$E622)&gt;0,"O",""))</f>
        <v/>
      </c>
      <c r="N622" s="7" t="str">
        <f>IF($C622="","",IF(COUNTA('RAW_농산물_7월'!$A:$A)&lt;=1,"",SUMIFS('RAW_농산물_7월'!$H:$H,'RAW_농산물_7월'!$D:$D,$C622,'RAW_농산물_7월'!$A:$A,$E622)))</f>
        <v/>
      </c>
      <c r="O622" s="7" t="str">
        <f>IF($C622="","",IF(COUNTA('RAW_농산물_8월'!$A:$A)&lt;=1,"",SUMIFS('RAW_농산물_8월'!$H:$H,'RAW_농산물_8월'!$D:$D,$C622,'RAW_농산물_8월'!$A:$A,$E622)-SUMIFS('RAW_농산물_7월'!$H:$H,'RAW_농산물_7월'!$D:$D,$C622,'RAW_농산물_7월'!$A:$A,$E622)))</f>
        <v/>
      </c>
      <c r="P622" s="7" t="str">
        <f>IF($C622="","",IF(COUNTA('RAW_농산물_9월'!$A:$A)&lt;=1,"",SUMIFS('RAW_농산물_9월'!$H:$H,'RAW_농산물_9월'!$D:$D,$C622,'RAW_농산물_9월'!$A:$A,$E622)-SUMIFS('RAW_농산물_8월'!$H:$H,'RAW_농산물_8월'!$D:$D,$C622,'RAW_농산물_8월'!$A:$A,$E622)))</f>
        <v/>
      </c>
      <c r="Q622" s="7" t="str">
        <f>IF($C622="","",IF(COUNTA('RAW_농산물_10월'!$A:$A)&lt;=1,"",SUMIFS('RAW_농산물_10월'!$H:$H,'RAW_농산물_10월'!$D:$D,$C622,'RAW_농산물_10월'!$A:$A,$E622)-SUMIFS('RAW_농산물_9월'!$H:$H,'RAW_농산물_9월'!$D:$D,$C622,'RAW_농산물_9월'!$A:$A,$E622)))</f>
        <v/>
      </c>
      <c r="R622" s="7" t="str">
        <f>IF($C622="","",IF(COUNTA('RAW_농산물_11-12월'!$A:$A)&lt;=1,"",SUMIFS('RAW_농산물_11-12월'!$H:$H,'RAW_농산물_11-12월'!$D:$D,$C622,'RAW_농산물_11-12월'!$A:$A,$E622)-SUMIFS('RAW_농산물_10월'!$H:$H,'RAW_농산물_10월'!$D:$D,$C622,'RAW_농산물_10월'!$A:$A,$E622)))</f>
        <v/>
      </c>
      <c r="S622" s="17" t="str">
        <f t="shared" si="4"/>
        <v/>
      </c>
      <c r="T622" s="17" t="str">
        <f t="shared" si="5"/>
        <v/>
      </c>
      <c r="U622" s="7">
        <f>IF($C622="",0,IF('설정'!$B$3=0,0,CHOOSE('설정'!$B$3,COUNTIFS('RAW_농산물_7월'!$D:$D,$C622,'RAW_농산물_7월'!$A:$A,$E622),COUNTIFS('RAW_농산물_8월'!$D:$D,$C622,'RAW_농산물_8월'!$A:$A,$E622),COUNTIFS('RAW_농산물_9월'!$D:$D,$C622,'RAW_농산물_9월'!$A:$A,$E622),COUNTIFS('RAW_농산물_10월'!$D:$D,$C622,'RAW_농산물_10월'!$A:$A,$E622),COUNTIFS('RAW_농산물_11-12월'!$D:$D,$C622,'RAW_농산물_11-12월'!$A:$A,$E622))))</f>
        <v>0</v>
      </c>
    </row>
    <row r="623" ht="15.75" customHeight="1">
      <c r="A623" s="5"/>
      <c r="B623" s="5"/>
      <c r="C623" s="5"/>
      <c r="D623" s="6"/>
      <c r="E623" s="5"/>
      <c r="F623" s="7" t="str">
        <f>IF($C623="","",IF('설정'!$B$3=0,"",CHOOSE('설정'!$B$3,SUMIFS('RAW_농산물_7월'!$F:$F,'RAW_농산물_7월'!$D:$D,$C623,'RAW_농산물_7월'!$A:$A,$E623),SUMIFS('RAW_농산물_8월'!$F:$F,'RAW_농산물_8월'!$D:$D,$C623,'RAW_농산물_8월'!$A:$A,$E623),SUMIFS('RAW_농산물_9월'!$F:$F,'RAW_농산물_9월'!$D:$D,$C623,'RAW_농산물_9월'!$A:$A,$E623),SUMIFS('RAW_농산물_10월'!$F:$F,'RAW_농산물_10월'!$D:$D,$C623,'RAW_농산물_10월'!$A:$A,$E623),SUMIFS('RAW_농산물_11-12월'!$F:$F,'RAW_농산물_11-12월'!$D:$D,$C623,'RAW_농산물_11-12월'!$A:$A,$E623))))</f>
        <v/>
      </c>
      <c r="G623" s="7" t="str">
        <f>IF($C623="","",IF('설정'!$B$3=0,"",CHOOSE('설정'!$B$3,SUMIFS('RAW_농산물_7월'!$G:$G,'RAW_농산물_7월'!$D:$D,$C623,'RAW_농산물_7월'!$A:$A,$E623),SUMIFS('RAW_농산물_8월'!$G:$G,'RAW_농산물_8월'!$D:$D,$C623,'RAW_농산물_8월'!$A:$A,$E623),SUMIFS('RAW_농산물_9월'!$G:$G,'RAW_농산물_9월'!$D:$D,$C623,'RAW_농산물_9월'!$A:$A,$E623),SUMIFS('RAW_농산물_10월'!$G:$G,'RAW_농산물_10월'!$D:$D,$C623,'RAW_농산물_10월'!$A:$A,$E623),SUMIFS('RAW_농산물_11-12월'!$G:$G,'RAW_농산물_11-12월'!$D:$D,$C623,'RAW_농산물_11-12월'!$A:$A,$E623))))</f>
        <v/>
      </c>
      <c r="H623" s="14" t="str">
        <f>IF($C623="","",IF('설정'!$B$3=0,"",CHOOSE('설정'!$B$3,SUMIFS('RAW_농산물_7월'!$H:$H,'RAW_농산물_7월'!$D:$D,$C623,'RAW_농산물_7월'!$A:$A,$E623),SUMIFS('RAW_농산물_8월'!$H:$H,'RAW_농산물_8월'!$D:$D,$C623,'RAW_농산물_8월'!$A:$A,$E623),SUMIFS('RAW_농산물_9월'!$H:$H,'RAW_농산물_9월'!$D:$D,$C623,'RAW_농산물_9월'!$A:$A,$E623),SUMIFS('RAW_농산물_10월'!$H:$H,'RAW_농산물_10월'!$D:$D,$C623,'RAW_농산물_10월'!$A:$A,$E623),SUMIFS('RAW_농산물_11-12월'!$H:$H,'RAW_농산물_11-12월'!$D:$D,$C623,'RAW_농산물_11-12월'!$A:$A,$E623))))</f>
        <v/>
      </c>
      <c r="I623" s="17" t="str">
        <f>IF($C623="","",IF(COUNTIFS('RAW_농산물_7월'!$D:$D,$C623,'RAW_농산물_7월'!$A:$A,$E623)&gt;0,"O",""))</f>
        <v/>
      </c>
      <c r="J623" s="17" t="str">
        <f>IF($C623="","",IF(COUNTIFS('RAW_농산물_8월'!$D:$D,$C623,'RAW_농산물_8월'!$A:$A,$E623)&gt;0,"O",""))</f>
        <v/>
      </c>
      <c r="K623" s="17" t="str">
        <f>IF($C623="","",IF(COUNTIFS('RAW_농산물_9월'!$D:$D,$C623,'RAW_농산물_9월'!$A:$A,$E623)&gt;0,"O",""))</f>
        <v/>
      </c>
      <c r="L623" s="17" t="str">
        <f>IF($C623="","",IF(COUNTIFS('RAW_농산물_10월'!$D:$D,$C623,'RAW_농산물_10월'!$A:$A,$E623)&gt;0,"O",""))</f>
        <v/>
      </c>
      <c r="M623" s="17" t="str">
        <f>IF($C623="","",IF(COUNTIFS('RAW_농산물_11-12월'!$D:$D,$C623,'RAW_농산물_11-12월'!$A:$A,$E623)&gt;0,"O",""))</f>
        <v/>
      </c>
      <c r="N623" s="7" t="str">
        <f>IF($C623="","",IF(COUNTA('RAW_농산물_7월'!$A:$A)&lt;=1,"",SUMIFS('RAW_농산물_7월'!$H:$H,'RAW_농산물_7월'!$D:$D,$C623,'RAW_농산물_7월'!$A:$A,$E623)))</f>
        <v/>
      </c>
      <c r="O623" s="7" t="str">
        <f>IF($C623="","",IF(COUNTA('RAW_농산물_8월'!$A:$A)&lt;=1,"",SUMIFS('RAW_농산물_8월'!$H:$H,'RAW_농산물_8월'!$D:$D,$C623,'RAW_농산물_8월'!$A:$A,$E623)-SUMIFS('RAW_농산물_7월'!$H:$H,'RAW_농산물_7월'!$D:$D,$C623,'RAW_농산물_7월'!$A:$A,$E623)))</f>
        <v/>
      </c>
      <c r="P623" s="7" t="str">
        <f>IF($C623="","",IF(COUNTA('RAW_농산물_9월'!$A:$A)&lt;=1,"",SUMIFS('RAW_농산물_9월'!$H:$H,'RAW_농산물_9월'!$D:$D,$C623,'RAW_농산물_9월'!$A:$A,$E623)-SUMIFS('RAW_농산물_8월'!$H:$H,'RAW_농산물_8월'!$D:$D,$C623,'RAW_농산물_8월'!$A:$A,$E623)))</f>
        <v/>
      </c>
      <c r="Q623" s="7" t="str">
        <f>IF($C623="","",IF(COUNTA('RAW_농산물_10월'!$A:$A)&lt;=1,"",SUMIFS('RAW_농산물_10월'!$H:$H,'RAW_농산물_10월'!$D:$D,$C623,'RAW_농산물_10월'!$A:$A,$E623)-SUMIFS('RAW_농산물_9월'!$H:$H,'RAW_농산물_9월'!$D:$D,$C623,'RAW_농산물_9월'!$A:$A,$E623)))</f>
        <v/>
      </c>
      <c r="R623" s="7" t="str">
        <f>IF($C623="","",IF(COUNTA('RAW_농산물_11-12월'!$A:$A)&lt;=1,"",SUMIFS('RAW_농산물_11-12월'!$H:$H,'RAW_농산물_11-12월'!$D:$D,$C623,'RAW_농산물_11-12월'!$A:$A,$E623)-SUMIFS('RAW_농산물_10월'!$H:$H,'RAW_농산물_10월'!$D:$D,$C623,'RAW_농산물_10월'!$A:$A,$E623)))</f>
        <v/>
      </c>
      <c r="S623" s="17" t="str">
        <f t="shared" si="4"/>
        <v/>
      </c>
      <c r="T623" s="17" t="str">
        <f t="shared" si="5"/>
        <v/>
      </c>
      <c r="U623" s="7">
        <f>IF($C623="",0,IF('설정'!$B$3=0,0,CHOOSE('설정'!$B$3,COUNTIFS('RAW_농산물_7월'!$D:$D,$C623,'RAW_농산물_7월'!$A:$A,$E623),COUNTIFS('RAW_농산물_8월'!$D:$D,$C623,'RAW_농산물_8월'!$A:$A,$E623),COUNTIFS('RAW_농산물_9월'!$D:$D,$C623,'RAW_농산물_9월'!$A:$A,$E623),COUNTIFS('RAW_농산물_10월'!$D:$D,$C623,'RAW_농산물_10월'!$A:$A,$E623),COUNTIFS('RAW_농산물_11-12월'!$D:$D,$C623,'RAW_농산물_11-12월'!$A:$A,$E623))))</f>
        <v>0</v>
      </c>
    </row>
    <row r="624" ht="15.75" customHeight="1">
      <c r="A624" s="5"/>
      <c r="B624" s="5"/>
      <c r="C624" s="5"/>
      <c r="D624" s="6"/>
      <c r="E624" s="5"/>
      <c r="F624" s="7" t="str">
        <f>IF($C624="","",IF('설정'!$B$3=0,"",CHOOSE('설정'!$B$3,SUMIFS('RAW_농산물_7월'!$F:$F,'RAW_농산물_7월'!$D:$D,$C624,'RAW_농산물_7월'!$A:$A,$E624),SUMIFS('RAW_농산물_8월'!$F:$F,'RAW_농산물_8월'!$D:$D,$C624,'RAW_농산물_8월'!$A:$A,$E624),SUMIFS('RAW_농산물_9월'!$F:$F,'RAW_농산물_9월'!$D:$D,$C624,'RAW_농산물_9월'!$A:$A,$E624),SUMIFS('RAW_농산물_10월'!$F:$F,'RAW_농산물_10월'!$D:$D,$C624,'RAW_농산물_10월'!$A:$A,$E624),SUMIFS('RAW_농산물_11-12월'!$F:$F,'RAW_농산물_11-12월'!$D:$D,$C624,'RAW_농산물_11-12월'!$A:$A,$E624))))</f>
        <v/>
      </c>
      <c r="G624" s="7" t="str">
        <f>IF($C624="","",IF('설정'!$B$3=0,"",CHOOSE('설정'!$B$3,SUMIFS('RAW_농산물_7월'!$G:$G,'RAW_농산물_7월'!$D:$D,$C624,'RAW_농산물_7월'!$A:$A,$E624),SUMIFS('RAW_농산물_8월'!$G:$G,'RAW_농산물_8월'!$D:$D,$C624,'RAW_농산물_8월'!$A:$A,$E624),SUMIFS('RAW_농산물_9월'!$G:$G,'RAW_농산물_9월'!$D:$D,$C624,'RAW_농산물_9월'!$A:$A,$E624),SUMIFS('RAW_농산물_10월'!$G:$G,'RAW_농산물_10월'!$D:$D,$C624,'RAW_농산물_10월'!$A:$A,$E624),SUMIFS('RAW_농산물_11-12월'!$G:$G,'RAW_농산물_11-12월'!$D:$D,$C624,'RAW_농산물_11-12월'!$A:$A,$E624))))</f>
        <v/>
      </c>
      <c r="H624" s="14" t="str">
        <f>IF($C624="","",IF('설정'!$B$3=0,"",CHOOSE('설정'!$B$3,SUMIFS('RAW_농산물_7월'!$H:$H,'RAW_농산물_7월'!$D:$D,$C624,'RAW_농산물_7월'!$A:$A,$E624),SUMIFS('RAW_농산물_8월'!$H:$H,'RAW_농산물_8월'!$D:$D,$C624,'RAW_농산물_8월'!$A:$A,$E624),SUMIFS('RAW_농산물_9월'!$H:$H,'RAW_농산물_9월'!$D:$D,$C624,'RAW_농산물_9월'!$A:$A,$E624),SUMIFS('RAW_농산물_10월'!$H:$H,'RAW_농산물_10월'!$D:$D,$C624,'RAW_농산물_10월'!$A:$A,$E624),SUMIFS('RAW_농산물_11-12월'!$H:$H,'RAW_농산물_11-12월'!$D:$D,$C624,'RAW_농산물_11-12월'!$A:$A,$E624))))</f>
        <v/>
      </c>
      <c r="I624" s="17" t="str">
        <f>IF($C624="","",IF(COUNTIFS('RAW_농산물_7월'!$D:$D,$C624,'RAW_농산물_7월'!$A:$A,$E624)&gt;0,"O",""))</f>
        <v/>
      </c>
      <c r="J624" s="17" t="str">
        <f>IF($C624="","",IF(COUNTIFS('RAW_농산물_8월'!$D:$D,$C624,'RAW_농산물_8월'!$A:$A,$E624)&gt;0,"O",""))</f>
        <v/>
      </c>
      <c r="K624" s="17" t="str">
        <f>IF($C624="","",IF(COUNTIFS('RAW_농산물_9월'!$D:$D,$C624,'RAW_농산물_9월'!$A:$A,$E624)&gt;0,"O",""))</f>
        <v/>
      </c>
      <c r="L624" s="17" t="str">
        <f>IF($C624="","",IF(COUNTIFS('RAW_농산물_10월'!$D:$D,$C624,'RAW_농산물_10월'!$A:$A,$E624)&gt;0,"O",""))</f>
        <v/>
      </c>
      <c r="M624" s="17" t="str">
        <f>IF($C624="","",IF(COUNTIFS('RAW_농산물_11-12월'!$D:$D,$C624,'RAW_농산물_11-12월'!$A:$A,$E624)&gt;0,"O",""))</f>
        <v/>
      </c>
      <c r="N624" s="7" t="str">
        <f>IF($C624="","",IF(COUNTA('RAW_농산물_7월'!$A:$A)&lt;=1,"",SUMIFS('RAW_농산물_7월'!$H:$H,'RAW_농산물_7월'!$D:$D,$C624,'RAW_농산물_7월'!$A:$A,$E624)))</f>
        <v/>
      </c>
      <c r="O624" s="7" t="str">
        <f>IF($C624="","",IF(COUNTA('RAW_농산물_8월'!$A:$A)&lt;=1,"",SUMIFS('RAW_농산물_8월'!$H:$H,'RAW_농산물_8월'!$D:$D,$C624,'RAW_농산물_8월'!$A:$A,$E624)-SUMIFS('RAW_농산물_7월'!$H:$H,'RAW_농산물_7월'!$D:$D,$C624,'RAW_농산물_7월'!$A:$A,$E624)))</f>
        <v/>
      </c>
      <c r="P624" s="7" t="str">
        <f>IF($C624="","",IF(COUNTA('RAW_농산물_9월'!$A:$A)&lt;=1,"",SUMIFS('RAW_농산물_9월'!$H:$H,'RAW_농산물_9월'!$D:$D,$C624,'RAW_농산물_9월'!$A:$A,$E624)-SUMIFS('RAW_농산물_8월'!$H:$H,'RAW_농산물_8월'!$D:$D,$C624,'RAW_농산물_8월'!$A:$A,$E624)))</f>
        <v/>
      </c>
      <c r="Q624" s="7" t="str">
        <f>IF($C624="","",IF(COUNTA('RAW_농산물_10월'!$A:$A)&lt;=1,"",SUMIFS('RAW_농산물_10월'!$H:$H,'RAW_농산물_10월'!$D:$D,$C624,'RAW_농산물_10월'!$A:$A,$E624)-SUMIFS('RAW_농산물_9월'!$H:$H,'RAW_농산물_9월'!$D:$D,$C624,'RAW_농산물_9월'!$A:$A,$E624)))</f>
        <v/>
      </c>
      <c r="R624" s="7" t="str">
        <f>IF($C624="","",IF(COUNTA('RAW_농산물_11-12월'!$A:$A)&lt;=1,"",SUMIFS('RAW_농산물_11-12월'!$H:$H,'RAW_농산물_11-12월'!$D:$D,$C624,'RAW_농산물_11-12월'!$A:$A,$E624)-SUMIFS('RAW_농산물_10월'!$H:$H,'RAW_농산물_10월'!$D:$D,$C624,'RAW_농산물_10월'!$A:$A,$E624)))</f>
        <v/>
      </c>
      <c r="S624" s="17" t="str">
        <f t="shared" si="4"/>
        <v/>
      </c>
      <c r="T624" s="17" t="str">
        <f t="shared" si="5"/>
        <v/>
      </c>
      <c r="U624" s="7">
        <f>IF($C624="",0,IF('설정'!$B$3=0,0,CHOOSE('설정'!$B$3,COUNTIFS('RAW_농산물_7월'!$D:$D,$C624,'RAW_농산물_7월'!$A:$A,$E624),COUNTIFS('RAW_농산물_8월'!$D:$D,$C624,'RAW_농산물_8월'!$A:$A,$E624),COUNTIFS('RAW_농산물_9월'!$D:$D,$C624,'RAW_농산물_9월'!$A:$A,$E624),COUNTIFS('RAW_농산물_10월'!$D:$D,$C624,'RAW_농산물_10월'!$A:$A,$E624),COUNTIFS('RAW_농산물_11-12월'!$D:$D,$C624,'RAW_농산물_11-12월'!$A:$A,$E624))))</f>
        <v>0</v>
      </c>
    </row>
    <row r="625" ht="15.75" customHeight="1">
      <c r="A625" s="5"/>
      <c r="B625" s="5"/>
      <c r="C625" s="5"/>
      <c r="D625" s="6"/>
      <c r="E625" s="5"/>
      <c r="F625" s="7" t="str">
        <f>IF($C625="","",IF('설정'!$B$3=0,"",CHOOSE('설정'!$B$3,SUMIFS('RAW_농산물_7월'!$F:$F,'RAW_농산물_7월'!$D:$D,$C625,'RAW_농산물_7월'!$A:$A,$E625),SUMIFS('RAW_농산물_8월'!$F:$F,'RAW_농산물_8월'!$D:$D,$C625,'RAW_농산물_8월'!$A:$A,$E625),SUMIFS('RAW_농산물_9월'!$F:$F,'RAW_농산물_9월'!$D:$D,$C625,'RAW_농산물_9월'!$A:$A,$E625),SUMIFS('RAW_농산물_10월'!$F:$F,'RAW_농산물_10월'!$D:$D,$C625,'RAW_농산물_10월'!$A:$A,$E625),SUMIFS('RAW_농산물_11-12월'!$F:$F,'RAW_농산물_11-12월'!$D:$D,$C625,'RAW_농산물_11-12월'!$A:$A,$E625))))</f>
        <v/>
      </c>
      <c r="G625" s="7" t="str">
        <f>IF($C625="","",IF('설정'!$B$3=0,"",CHOOSE('설정'!$B$3,SUMIFS('RAW_농산물_7월'!$G:$G,'RAW_농산물_7월'!$D:$D,$C625,'RAW_농산물_7월'!$A:$A,$E625),SUMIFS('RAW_농산물_8월'!$G:$G,'RAW_농산물_8월'!$D:$D,$C625,'RAW_농산물_8월'!$A:$A,$E625),SUMIFS('RAW_농산물_9월'!$G:$G,'RAW_농산물_9월'!$D:$D,$C625,'RAW_농산물_9월'!$A:$A,$E625),SUMIFS('RAW_농산물_10월'!$G:$G,'RAW_농산물_10월'!$D:$D,$C625,'RAW_농산물_10월'!$A:$A,$E625),SUMIFS('RAW_농산물_11-12월'!$G:$G,'RAW_농산물_11-12월'!$D:$D,$C625,'RAW_농산물_11-12월'!$A:$A,$E625))))</f>
        <v/>
      </c>
      <c r="H625" s="14" t="str">
        <f>IF($C625="","",IF('설정'!$B$3=0,"",CHOOSE('설정'!$B$3,SUMIFS('RAW_농산물_7월'!$H:$H,'RAW_농산물_7월'!$D:$D,$C625,'RAW_농산물_7월'!$A:$A,$E625),SUMIFS('RAW_농산물_8월'!$H:$H,'RAW_농산물_8월'!$D:$D,$C625,'RAW_농산물_8월'!$A:$A,$E625),SUMIFS('RAW_농산물_9월'!$H:$H,'RAW_농산물_9월'!$D:$D,$C625,'RAW_농산물_9월'!$A:$A,$E625),SUMIFS('RAW_농산물_10월'!$H:$H,'RAW_농산물_10월'!$D:$D,$C625,'RAW_농산물_10월'!$A:$A,$E625),SUMIFS('RAW_농산물_11-12월'!$H:$H,'RAW_농산물_11-12월'!$D:$D,$C625,'RAW_농산물_11-12월'!$A:$A,$E625))))</f>
        <v/>
      </c>
      <c r="I625" s="17" t="str">
        <f>IF($C625="","",IF(COUNTIFS('RAW_농산물_7월'!$D:$D,$C625,'RAW_농산물_7월'!$A:$A,$E625)&gt;0,"O",""))</f>
        <v/>
      </c>
      <c r="J625" s="17" t="str">
        <f>IF($C625="","",IF(COUNTIFS('RAW_농산물_8월'!$D:$D,$C625,'RAW_농산물_8월'!$A:$A,$E625)&gt;0,"O",""))</f>
        <v/>
      </c>
      <c r="K625" s="17" t="str">
        <f>IF($C625="","",IF(COUNTIFS('RAW_농산물_9월'!$D:$D,$C625,'RAW_농산물_9월'!$A:$A,$E625)&gt;0,"O",""))</f>
        <v/>
      </c>
      <c r="L625" s="17" t="str">
        <f>IF($C625="","",IF(COUNTIFS('RAW_농산물_10월'!$D:$D,$C625,'RAW_농산물_10월'!$A:$A,$E625)&gt;0,"O",""))</f>
        <v/>
      </c>
      <c r="M625" s="17" t="str">
        <f>IF($C625="","",IF(COUNTIFS('RAW_농산물_11-12월'!$D:$D,$C625,'RAW_농산물_11-12월'!$A:$A,$E625)&gt;0,"O",""))</f>
        <v/>
      </c>
      <c r="N625" s="7" t="str">
        <f>IF($C625="","",IF(COUNTA('RAW_농산물_7월'!$A:$A)&lt;=1,"",SUMIFS('RAW_농산물_7월'!$H:$H,'RAW_농산물_7월'!$D:$D,$C625,'RAW_농산물_7월'!$A:$A,$E625)))</f>
        <v/>
      </c>
      <c r="O625" s="7" t="str">
        <f>IF($C625="","",IF(COUNTA('RAW_농산물_8월'!$A:$A)&lt;=1,"",SUMIFS('RAW_농산물_8월'!$H:$H,'RAW_농산물_8월'!$D:$D,$C625,'RAW_농산물_8월'!$A:$A,$E625)-SUMIFS('RAW_농산물_7월'!$H:$H,'RAW_농산물_7월'!$D:$D,$C625,'RAW_농산물_7월'!$A:$A,$E625)))</f>
        <v/>
      </c>
      <c r="P625" s="7" t="str">
        <f>IF($C625="","",IF(COUNTA('RAW_농산물_9월'!$A:$A)&lt;=1,"",SUMIFS('RAW_농산물_9월'!$H:$H,'RAW_농산물_9월'!$D:$D,$C625,'RAW_농산물_9월'!$A:$A,$E625)-SUMIFS('RAW_농산물_8월'!$H:$H,'RAW_농산물_8월'!$D:$D,$C625,'RAW_농산물_8월'!$A:$A,$E625)))</f>
        <v/>
      </c>
      <c r="Q625" s="7" t="str">
        <f>IF($C625="","",IF(COUNTA('RAW_농산물_10월'!$A:$A)&lt;=1,"",SUMIFS('RAW_농산물_10월'!$H:$H,'RAW_농산물_10월'!$D:$D,$C625,'RAW_농산물_10월'!$A:$A,$E625)-SUMIFS('RAW_농산물_9월'!$H:$H,'RAW_농산물_9월'!$D:$D,$C625,'RAW_농산물_9월'!$A:$A,$E625)))</f>
        <v/>
      </c>
      <c r="R625" s="7" t="str">
        <f>IF($C625="","",IF(COUNTA('RAW_농산물_11-12월'!$A:$A)&lt;=1,"",SUMIFS('RAW_농산물_11-12월'!$H:$H,'RAW_농산물_11-12월'!$D:$D,$C625,'RAW_농산물_11-12월'!$A:$A,$E625)-SUMIFS('RAW_농산물_10월'!$H:$H,'RAW_농산물_10월'!$D:$D,$C625,'RAW_농산물_10월'!$A:$A,$E625)))</f>
        <v/>
      </c>
      <c r="S625" s="17" t="str">
        <f t="shared" si="4"/>
        <v/>
      </c>
      <c r="T625" s="17" t="str">
        <f t="shared" si="5"/>
        <v/>
      </c>
      <c r="U625" s="7">
        <f>IF($C625="",0,IF('설정'!$B$3=0,0,CHOOSE('설정'!$B$3,COUNTIFS('RAW_농산물_7월'!$D:$D,$C625,'RAW_농산물_7월'!$A:$A,$E625),COUNTIFS('RAW_농산물_8월'!$D:$D,$C625,'RAW_농산물_8월'!$A:$A,$E625),COUNTIFS('RAW_농산물_9월'!$D:$D,$C625,'RAW_농산물_9월'!$A:$A,$E625),COUNTIFS('RAW_농산물_10월'!$D:$D,$C625,'RAW_농산물_10월'!$A:$A,$E625),COUNTIFS('RAW_농산물_11-12월'!$D:$D,$C625,'RAW_농산물_11-12월'!$A:$A,$E625))))</f>
        <v>0</v>
      </c>
    </row>
    <row r="626" ht="15.75" customHeight="1">
      <c r="A626" s="5"/>
      <c r="B626" s="5"/>
      <c r="C626" s="5"/>
      <c r="D626" s="6"/>
      <c r="E626" s="5"/>
      <c r="F626" s="7" t="str">
        <f>IF($C626="","",IF('설정'!$B$3=0,"",CHOOSE('설정'!$B$3,SUMIFS('RAW_농산물_7월'!$F:$F,'RAW_농산물_7월'!$D:$D,$C626,'RAW_농산물_7월'!$A:$A,$E626),SUMIFS('RAW_농산물_8월'!$F:$F,'RAW_농산물_8월'!$D:$D,$C626,'RAW_농산물_8월'!$A:$A,$E626),SUMIFS('RAW_농산물_9월'!$F:$F,'RAW_농산물_9월'!$D:$D,$C626,'RAW_농산물_9월'!$A:$A,$E626),SUMIFS('RAW_농산물_10월'!$F:$F,'RAW_농산물_10월'!$D:$D,$C626,'RAW_농산물_10월'!$A:$A,$E626),SUMIFS('RAW_농산물_11-12월'!$F:$F,'RAW_농산물_11-12월'!$D:$D,$C626,'RAW_농산물_11-12월'!$A:$A,$E626))))</f>
        <v/>
      </c>
      <c r="G626" s="7" t="str">
        <f>IF($C626="","",IF('설정'!$B$3=0,"",CHOOSE('설정'!$B$3,SUMIFS('RAW_농산물_7월'!$G:$G,'RAW_농산물_7월'!$D:$D,$C626,'RAW_농산물_7월'!$A:$A,$E626),SUMIFS('RAW_농산물_8월'!$G:$G,'RAW_농산물_8월'!$D:$D,$C626,'RAW_농산물_8월'!$A:$A,$E626),SUMIFS('RAW_농산물_9월'!$G:$G,'RAW_농산물_9월'!$D:$D,$C626,'RAW_농산물_9월'!$A:$A,$E626),SUMIFS('RAW_농산물_10월'!$G:$G,'RAW_농산물_10월'!$D:$D,$C626,'RAW_농산물_10월'!$A:$A,$E626),SUMIFS('RAW_농산물_11-12월'!$G:$G,'RAW_농산물_11-12월'!$D:$D,$C626,'RAW_농산물_11-12월'!$A:$A,$E626))))</f>
        <v/>
      </c>
      <c r="H626" s="14" t="str">
        <f>IF($C626="","",IF('설정'!$B$3=0,"",CHOOSE('설정'!$B$3,SUMIFS('RAW_농산물_7월'!$H:$H,'RAW_농산물_7월'!$D:$D,$C626,'RAW_농산물_7월'!$A:$A,$E626),SUMIFS('RAW_농산물_8월'!$H:$H,'RAW_농산물_8월'!$D:$D,$C626,'RAW_농산물_8월'!$A:$A,$E626),SUMIFS('RAW_농산물_9월'!$H:$H,'RAW_농산물_9월'!$D:$D,$C626,'RAW_농산물_9월'!$A:$A,$E626),SUMIFS('RAW_농산물_10월'!$H:$H,'RAW_농산물_10월'!$D:$D,$C626,'RAW_농산물_10월'!$A:$A,$E626),SUMIFS('RAW_농산물_11-12월'!$H:$H,'RAW_농산물_11-12월'!$D:$D,$C626,'RAW_농산물_11-12월'!$A:$A,$E626))))</f>
        <v/>
      </c>
      <c r="I626" s="17" t="str">
        <f>IF($C626="","",IF(COUNTIFS('RAW_농산물_7월'!$D:$D,$C626,'RAW_농산물_7월'!$A:$A,$E626)&gt;0,"O",""))</f>
        <v/>
      </c>
      <c r="J626" s="17" t="str">
        <f>IF($C626="","",IF(COUNTIFS('RAW_농산물_8월'!$D:$D,$C626,'RAW_농산물_8월'!$A:$A,$E626)&gt;0,"O",""))</f>
        <v/>
      </c>
      <c r="K626" s="17" t="str">
        <f>IF($C626="","",IF(COUNTIFS('RAW_농산물_9월'!$D:$D,$C626,'RAW_농산물_9월'!$A:$A,$E626)&gt;0,"O",""))</f>
        <v/>
      </c>
      <c r="L626" s="17" t="str">
        <f>IF($C626="","",IF(COUNTIFS('RAW_농산물_10월'!$D:$D,$C626,'RAW_농산물_10월'!$A:$A,$E626)&gt;0,"O",""))</f>
        <v/>
      </c>
      <c r="M626" s="17" t="str">
        <f>IF($C626="","",IF(COUNTIFS('RAW_농산물_11-12월'!$D:$D,$C626,'RAW_농산물_11-12월'!$A:$A,$E626)&gt;0,"O",""))</f>
        <v/>
      </c>
      <c r="N626" s="7" t="str">
        <f>IF($C626="","",IF(COUNTA('RAW_농산물_7월'!$A:$A)&lt;=1,"",SUMIFS('RAW_농산물_7월'!$H:$H,'RAW_농산물_7월'!$D:$D,$C626,'RAW_농산물_7월'!$A:$A,$E626)))</f>
        <v/>
      </c>
      <c r="O626" s="7" t="str">
        <f>IF($C626="","",IF(COUNTA('RAW_농산물_8월'!$A:$A)&lt;=1,"",SUMIFS('RAW_농산물_8월'!$H:$H,'RAW_농산물_8월'!$D:$D,$C626,'RAW_농산물_8월'!$A:$A,$E626)-SUMIFS('RAW_농산물_7월'!$H:$H,'RAW_농산물_7월'!$D:$D,$C626,'RAW_농산물_7월'!$A:$A,$E626)))</f>
        <v/>
      </c>
      <c r="P626" s="7" t="str">
        <f>IF($C626="","",IF(COUNTA('RAW_농산물_9월'!$A:$A)&lt;=1,"",SUMIFS('RAW_농산물_9월'!$H:$H,'RAW_농산물_9월'!$D:$D,$C626,'RAW_농산물_9월'!$A:$A,$E626)-SUMIFS('RAW_농산물_8월'!$H:$H,'RAW_농산물_8월'!$D:$D,$C626,'RAW_농산물_8월'!$A:$A,$E626)))</f>
        <v/>
      </c>
      <c r="Q626" s="7" t="str">
        <f>IF($C626="","",IF(COUNTA('RAW_농산물_10월'!$A:$A)&lt;=1,"",SUMIFS('RAW_농산물_10월'!$H:$H,'RAW_농산물_10월'!$D:$D,$C626,'RAW_농산물_10월'!$A:$A,$E626)-SUMIFS('RAW_농산물_9월'!$H:$H,'RAW_농산물_9월'!$D:$D,$C626,'RAW_농산물_9월'!$A:$A,$E626)))</f>
        <v/>
      </c>
      <c r="R626" s="7" t="str">
        <f>IF($C626="","",IF(COUNTA('RAW_농산물_11-12월'!$A:$A)&lt;=1,"",SUMIFS('RAW_농산물_11-12월'!$H:$H,'RAW_농산물_11-12월'!$D:$D,$C626,'RAW_농산물_11-12월'!$A:$A,$E626)-SUMIFS('RAW_농산물_10월'!$H:$H,'RAW_농산물_10월'!$D:$D,$C626,'RAW_농산물_10월'!$A:$A,$E626)))</f>
        <v/>
      </c>
      <c r="S626" s="17" t="str">
        <f t="shared" si="4"/>
        <v/>
      </c>
      <c r="T626" s="17" t="str">
        <f t="shared" si="5"/>
        <v/>
      </c>
      <c r="U626" s="7">
        <f>IF($C626="",0,IF('설정'!$B$3=0,0,CHOOSE('설정'!$B$3,COUNTIFS('RAW_농산물_7월'!$D:$D,$C626,'RAW_농산물_7월'!$A:$A,$E626),COUNTIFS('RAW_농산물_8월'!$D:$D,$C626,'RAW_농산물_8월'!$A:$A,$E626),COUNTIFS('RAW_농산물_9월'!$D:$D,$C626,'RAW_농산물_9월'!$A:$A,$E626),COUNTIFS('RAW_농산물_10월'!$D:$D,$C626,'RAW_농산물_10월'!$A:$A,$E626),COUNTIFS('RAW_농산물_11-12월'!$D:$D,$C626,'RAW_농산물_11-12월'!$A:$A,$E626))))</f>
        <v>0</v>
      </c>
    </row>
    <row r="627" ht="15.75" customHeight="1">
      <c r="A627" s="5"/>
      <c r="B627" s="5"/>
      <c r="C627" s="5"/>
      <c r="D627" s="6"/>
      <c r="E627" s="5"/>
      <c r="F627" s="7" t="str">
        <f>IF($C627="","",IF('설정'!$B$3=0,"",CHOOSE('설정'!$B$3,SUMIFS('RAW_농산물_7월'!$F:$F,'RAW_농산물_7월'!$D:$D,$C627,'RAW_농산물_7월'!$A:$A,$E627),SUMIFS('RAW_농산물_8월'!$F:$F,'RAW_농산물_8월'!$D:$D,$C627,'RAW_농산물_8월'!$A:$A,$E627),SUMIFS('RAW_농산물_9월'!$F:$F,'RAW_농산물_9월'!$D:$D,$C627,'RAW_농산물_9월'!$A:$A,$E627),SUMIFS('RAW_농산물_10월'!$F:$F,'RAW_농산물_10월'!$D:$D,$C627,'RAW_농산물_10월'!$A:$A,$E627),SUMIFS('RAW_농산물_11-12월'!$F:$F,'RAW_농산물_11-12월'!$D:$D,$C627,'RAW_농산물_11-12월'!$A:$A,$E627))))</f>
        <v/>
      </c>
      <c r="G627" s="7" t="str">
        <f>IF($C627="","",IF('설정'!$B$3=0,"",CHOOSE('설정'!$B$3,SUMIFS('RAW_농산물_7월'!$G:$G,'RAW_농산물_7월'!$D:$D,$C627,'RAW_농산물_7월'!$A:$A,$E627),SUMIFS('RAW_농산물_8월'!$G:$G,'RAW_농산물_8월'!$D:$D,$C627,'RAW_농산물_8월'!$A:$A,$E627),SUMIFS('RAW_농산물_9월'!$G:$G,'RAW_농산물_9월'!$D:$D,$C627,'RAW_농산물_9월'!$A:$A,$E627),SUMIFS('RAW_농산물_10월'!$G:$G,'RAW_농산물_10월'!$D:$D,$C627,'RAW_농산물_10월'!$A:$A,$E627),SUMIFS('RAW_농산물_11-12월'!$G:$G,'RAW_농산물_11-12월'!$D:$D,$C627,'RAW_농산물_11-12월'!$A:$A,$E627))))</f>
        <v/>
      </c>
      <c r="H627" s="14" t="str">
        <f>IF($C627="","",IF('설정'!$B$3=0,"",CHOOSE('설정'!$B$3,SUMIFS('RAW_농산물_7월'!$H:$H,'RAW_농산물_7월'!$D:$D,$C627,'RAW_농산물_7월'!$A:$A,$E627),SUMIFS('RAW_농산물_8월'!$H:$H,'RAW_농산물_8월'!$D:$D,$C627,'RAW_농산물_8월'!$A:$A,$E627),SUMIFS('RAW_농산물_9월'!$H:$H,'RAW_농산물_9월'!$D:$D,$C627,'RAW_농산물_9월'!$A:$A,$E627),SUMIFS('RAW_농산물_10월'!$H:$H,'RAW_농산물_10월'!$D:$D,$C627,'RAW_농산물_10월'!$A:$A,$E627),SUMIFS('RAW_농산물_11-12월'!$H:$H,'RAW_농산물_11-12월'!$D:$D,$C627,'RAW_농산물_11-12월'!$A:$A,$E627))))</f>
        <v/>
      </c>
      <c r="I627" s="17" t="str">
        <f>IF($C627="","",IF(COUNTIFS('RAW_농산물_7월'!$D:$D,$C627,'RAW_농산물_7월'!$A:$A,$E627)&gt;0,"O",""))</f>
        <v/>
      </c>
      <c r="J627" s="17" t="str">
        <f>IF($C627="","",IF(COUNTIFS('RAW_농산물_8월'!$D:$D,$C627,'RAW_농산물_8월'!$A:$A,$E627)&gt;0,"O",""))</f>
        <v/>
      </c>
      <c r="K627" s="17" t="str">
        <f>IF($C627="","",IF(COUNTIFS('RAW_농산물_9월'!$D:$D,$C627,'RAW_농산물_9월'!$A:$A,$E627)&gt;0,"O",""))</f>
        <v/>
      </c>
      <c r="L627" s="17" t="str">
        <f>IF($C627="","",IF(COUNTIFS('RAW_농산물_10월'!$D:$D,$C627,'RAW_농산물_10월'!$A:$A,$E627)&gt;0,"O",""))</f>
        <v/>
      </c>
      <c r="M627" s="17" t="str">
        <f>IF($C627="","",IF(COUNTIFS('RAW_농산물_11-12월'!$D:$D,$C627,'RAW_농산물_11-12월'!$A:$A,$E627)&gt;0,"O",""))</f>
        <v/>
      </c>
      <c r="N627" s="7" t="str">
        <f>IF($C627="","",IF(COUNTA('RAW_농산물_7월'!$A:$A)&lt;=1,"",SUMIFS('RAW_농산물_7월'!$H:$H,'RAW_농산물_7월'!$D:$D,$C627,'RAW_농산물_7월'!$A:$A,$E627)))</f>
        <v/>
      </c>
      <c r="O627" s="7" t="str">
        <f>IF($C627="","",IF(COUNTA('RAW_농산물_8월'!$A:$A)&lt;=1,"",SUMIFS('RAW_농산물_8월'!$H:$H,'RAW_농산물_8월'!$D:$D,$C627,'RAW_농산물_8월'!$A:$A,$E627)-SUMIFS('RAW_농산물_7월'!$H:$H,'RAW_농산물_7월'!$D:$D,$C627,'RAW_농산물_7월'!$A:$A,$E627)))</f>
        <v/>
      </c>
      <c r="P627" s="7" t="str">
        <f>IF($C627="","",IF(COUNTA('RAW_농산물_9월'!$A:$A)&lt;=1,"",SUMIFS('RAW_농산물_9월'!$H:$H,'RAW_농산물_9월'!$D:$D,$C627,'RAW_농산물_9월'!$A:$A,$E627)-SUMIFS('RAW_농산물_8월'!$H:$H,'RAW_농산물_8월'!$D:$D,$C627,'RAW_농산물_8월'!$A:$A,$E627)))</f>
        <v/>
      </c>
      <c r="Q627" s="7" t="str">
        <f>IF($C627="","",IF(COUNTA('RAW_농산물_10월'!$A:$A)&lt;=1,"",SUMIFS('RAW_농산물_10월'!$H:$H,'RAW_농산물_10월'!$D:$D,$C627,'RAW_농산물_10월'!$A:$A,$E627)-SUMIFS('RAW_농산물_9월'!$H:$H,'RAW_농산물_9월'!$D:$D,$C627,'RAW_농산물_9월'!$A:$A,$E627)))</f>
        <v/>
      </c>
      <c r="R627" s="7" t="str">
        <f>IF($C627="","",IF(COUNTA('RAW_농산물_11-12월'!$A:$A)&lt;=1,"",SUMIFS('RAW_농산물_11-12월'!$H:$H,'RAW_농산물_11-12월'!$D:$D,$C627,'RAW_농산물_11-12월'!$A:$A,$E627)-SUMIFS('RAW_농산물_10월'!$H:$H,'RAW_농산물_10월'!$D:$D,$C627,'RAW_농산물_10월'!$A:$A,$E627)))</f>
        <v/>
      </c>
      <c r="S627" s="17" t="str">
        <f t="shared" si="4"/>
        <v/>
      </c>
      <c r="T627" s="17" t="str">
        <f t="shared" si="5"/>
        <v/>
      </c>
      <c r="U627" s="7">
        <f>IF($C627="",0,IF('설정'!$B$3=0,0,CHOOSE('설정'!$B$3,COUNTIFS('RAW_농산물_7월'!$D:$D,$C627,'RAW_농산물_7월'!$A:$A,$E627),COUNTIFS('RAW_농산물_8월'!$D:$D,$C627,'RAW_농산물_8월'!$A:$A,$E627),COUNTIFS('RAW_농산물_9월'!$D:$D,$C627,'RAW_농산물_9월'!$A:$A,$E627),COUNTIFS('RAW_농산물_10월'!$D:$D,$C627,'RAW_농산물_10월'!$A:$A,$E627),COUNTIFS('RAW_농산물_11-12월'!$D:$D,$C627,'RAW_농산물_11-12월'!$A:$A,$E627))))</f>
        <v>0</v>
      </c>
    </row>
    <row r="628" ht="15.75" customHeight="1">
      <c r="A628" s="5"/>
      <c r="B628" s="5"/>
      <c r="C628" s="5"/>
      <c r="D628" s="6"/>
      <c r="E628" s="5"/>
      <c r="F628" s="7" t="str">
        <f>IF($C628="","",IF('설정'!$B$3=0,"",CHOOSE('설정'!$B$3,SUMIFS('RAW_농산물_7월'!$F:$F,'RAW_농산물_7월'!$D:$D,$C628,'RAW_농산물_7월'!$A:$A,$E628),SUMIFS('RAW_농산물_8월'!$F:$F,'RAW_농산물_8월'!$D:$D,$C628,'RAW_농산물_8월'!$A:$A,$E628),SUMIFS('RAW_농산물_9월'!$F:$F,'RAW_농산물_9월'!$D:$D,$C628,'RAW_농산물_9월'!$A:$A,$E628),SUMIFS('RAW_농산물_10월'!$F:$F,'RAW_농산물_10월'!$D:$D,$C628,'RAW_농산물_10월'!$A:$A,$E628),SUMIFS('RAW_농산물_11-12월'!$F:$F,'RAW_농산물_11-12월'!$D:$D,$C628,'RAW_농산물_11-12월'!$A:$A,$E628))))</f>
        <v/>
      </c>
      <c r="G628" s="7" t="str">
        <f>IF($C628="","",IF('설정'!$B$3=0,"",CHOOSE('설정'!$B$3,SUMIFS('RAW_농산물_7월'!$G:$G,'RAW_농산물_7월'!$D:$D,$C628,'RAW_농산물_7월'!$A:$A,$E628),SUMIFS('RAW_농산물_8월'!$G:$G,'RAW_농산물_8월'!$D:$D,$C628,'RAW_농산물_8월'!$A:$A,$E628),SUMIFS('RAW_농산물_9월'!$G:$G,'RAW_농산물_9월'!$D:$D,$C628,'RAW_농산물_9월'!$A:$A,$E628),SUMIFS('RAW_농산물_10월'!$G:$G,'RAW_농산물_10월'!$D:$D,$C628,'RAW_농산물_10월'!$A:$A,$E628),SUMIFS('RAW_농산물_11-12월'!$G:$G,'RAW_농산물_11-12월'!$D:$D,$C628,'RAW_농산물_11-12월'!$A:$A,$E628))))</f>
        <v/>
      </c>
      <c r="H628" s="14" t="str">
        <f>IF($C628="","",IF('설정'!$B$3=0,"",CHOOSE('설정'!$B$3,SUMIFS('RAW_농산물_7월'!$H:$H,'RAW_농산물_7월'!$D:$D,$C628,'RAW_농산물_7월'!$A:$A,$E628),SUMIFS('RAW_농산물_8월'!$H:$H,'RAW_농산물_8월'!$D:$D,$C628,'RAW_농산물_8월'!$A:$A,$E628),SUMIFS('RAW_농산물_9월'!$H:$H,'RAW_농산물_9월'!$D:$D,$C628,'RAW_농산물_9월'!$A:$A,$E628),SUMIFS('RAW_농산물_10월'!$H:$H,'RAW_농산물_10월'!$D:$D,$C628,'RAW_농산물_10월'!$A:$A,$E628),SUMIFS('RAW_농산물_11-12월'!$H:$H,'RAW_농산물_11-12월'!$D:$D,$C628,'RAW_농산물_11-12월'!$A:$A,$E628))))</f>
        <v/>
      </c>
      <c r="I628" s="17" t="str">
        <f>IF($C628="","",IF(COUNTIFS('RAW_농산물_7월'!$D:$D,$C628,'RAW_농산물_7월'!$A:$A,$E628)&gt;0,"O",""))</f>
        <v/>
      </c>
      <c r="J628" s="17" t="str">
        <f>IF($C628="","",IF(COUNTIFS('RAW_농산물_8월'!$D:$D,$C628,'RAW_농산물_8월'!$A:$A,$E628)&gt;0,"O",""))</f>
        <v/>
      </c>
      <c r="K628" s="17" t="str">
        <f>IF($C628="","",IF(COUNTIFS('RAW_농산물_9월'!$D:$D,$C628,'RAW_농산물_9월'!$A:$A,$E628)&gt;0,"O",""))</f>
        <v/>
      </c>
      <c r="L628" s="17" t="str">
        <f>IF($C628="","",IF(COUNTIFS('RAW_농산물_10월'!$D:$D,$C628,'RAW_농산물_10월'!$A:$A,$E628)&gt;0,"O",""))</f>
        <v/>
      </c>
      <c r="M628" s="17" t="str">
        <f>IF($C628="","",IF(COUNTIFS('RAW_농산물_11-12월'!$D:$D,$C628,'RAW_농산물_11-12월'!$A:$A,$E628)&gt;0,"O",""))</f>
        <v/>
      </c>
      <c r="N628" s="7" t="str">
        <f>IF($C628="","",IF(COUNTA('RAW_농산물_7월'!$A:$A)&lt;=1,"",SUMIFS('RAW_농산물_7월'!$H:$H,'RAW_농산물_7월'!$D:$D,$C628,'RAW_농산물_7월'!$A:$A,$E628)))</f>
        <v/>
      </c>
      <c r="O628" s="7" t="str">
        <f>IF($C628="","",IF(COUNTA('RAW_농산물_8월'!$A:$A)&lt;=1,"",SUMIFS('RAW_농산물_8월'!$H:$H,'RAW_농산물_8월'!$D:$D,$C628,'RAW_농산물_8월'!$A:$A,$E628)-SUMIFS('RAW_농산물_7월'!$H:$H,'RAW_농산물_7월'!$D:$D,$C628,'RAW_농산물_7월'!$A:$A,$E628)))</f>
        <v/>
      </c>
      <c r="P628" s="7" t="str">
        <f>IF($C628="","",IF(COUNTA('RAW_농산물_9월'!$A:$A)&lt;=1,"",SUMIFS('RAW_농산물_9월'!$H:$H,'RAW_농산물_9월'!$D:$D,$C628,'RAW_농산물_9월'!$A:$A,$E628)-SUMIFS('RAW_농산물_8월'!$H:$H,'RAW_농산물_8월'!$D:$D,$C628,'RAW_농산물_8월'!$A:$A,$E628)))</f>
        <v/>
      </c>
      <c r="Q628" s="7" t="str">
        <f>IF($C628="","",IF(COUNTA('RAW_농산물_10월'!$A:$A)&lt;=1,"",SUMIFS('RAW_농산물_10월'!$H:$H,'RAW_농산물_10월'!$D:$D,$C628,'RAW_농산물_10월'!$A:$A,$E628)-SUMIFS('RAW_농산물_9월'!$H:$H,'RAW_농산물_9월'!$D:$D,$C628,'RAW_농산물_9월'!$A:$A,$E628)))</f>
        <v/>
      </c>
      <c r="R628" s="7" t="str">
        <f>IF($C628="","",IF(COUNTA('RAW_농산물_11-12월'!$A:$A)&lt;=1,"",SUMIFS('RAW_농산물_11-12월'!$H:$H,'RAW_농산물_11-12월'!$D:$D,$C628,'RAW_농산물_11-12월'!$A:$A,$E628)-SUMIFS('RAW_농산물_10월'!$H:$H,'RAW_농산물_10월'!$D:$D,$C628,'RAW_농산물_10월'!$A:$A,$E628)))</f>
        <v/>
      </c>
      <c r="S628" s="17" t="str">
        <f t="shared" si="4"/>
        <v/>
      </c>
      <c r="T628" s="17" t="str">
        <f t="shared" si="5"/>
        <v/>
      </c>
      <c r="U628" s="7">
        <f>IF($C628="",0,IF('설정'!$B$3=0,0,CHOOSE('설정'!$B$3,COUNTIFS('RAW_농산물_7월'!$D:$D,$C628,'RAW_농산물_7월'!$A:$A,$E628),COUNTIFS('RAW_농산물_8월'!$D:$D,$C628,'RAW_농산물_8월'!$A:$A,$E628),COUNTIFS('RAW_농산물_9월'!$D:$D,$C628,'RAW_농산물_9월'!$A:$A,$E628),COUNTIFS('RAW_농산물_10월'!$D:$D,$C628,'RAW_농산물_10월'!$A:$A,$E628),COUNTIFS('RAW_농산물_11-12월'!$D:$D,$C628,'RAW_농산물_11-12월'!$A:$A,$E628))))</f>
        <v>0</v>
      </c>
    </row>
    <row r="629" ht="15.75" customHeight="1">
      <c r="A629" s="5"/>
      <c r="B629" s="5"/>
      <c r="C629" s="5"/>
      <c r="D629" s="6"/>
      <c r="E629" s="5"/>
      <c r="F629" s="7" t="str">
        <f>IF($C629="","",IF('설정'!$B$3=0,"",CHOOSE('설정'!$B$3,SUMIFS('RAW_농산물_7월'!$F:$F,'RAW_농산물_7월'!$D:$D,$C629,'RAW_농산물_7월'!$A:$A,$E629),SUMIFS('RAW_농산물_8월'!$F:$F,'RAW_농산물_8월'!$D:$D,$C629,'RAW_농산물_8월'!$A:$A,$E629),SUMIFS('RAW_농산물_9월'!$F:$F,'RAW_농산물_9월'!$D:$D,$C629,'RAW_농산물_9월'!$A:$A,$E629),SUMIFS('RAW_농산물_10월'!$F:$F,'RAW_농산물_10월'!$D:$D,$C629,'RAW_농산물_10월'!$A:$A,$E629),SUMIFS('RAW_농산물_11-12월'!$F:$F,'RAW_농산물_11-12월'!$D:$D,$C629,'RAW_농산물_11-12월'!$A:$A,$E629))))</f>
        <v/>
      </c>
      <c r="G629" s="7" t="str">
        <f>IF($C629="","",IF('설정'!$B$3=0,"",CHOOSE('설정'!$B$3,SUMIFS('RAW_농산물_7월'!$G:$G,'RAW_농산물_7월'!$D:$D,$C629,'RAW_농산물_7월'!$A:$A,$E629),SUMIFS('RAW_농산물_8월'!$G:$G,'RAW_농산물_8월'!$D:$D,$C629,'RAW_농산물_8월'!$A:$A,$E629),SUMIFS('RAW_농산물_9월'!$G:$G,'RAW_농산물_9월'!$D:$D,$C629,'RAW_농산물_9월'!$A:$A,$E629),SUMIFS('RAW_농산물_10월'!$G:$G,'RAW_농산물_10월'!$D:$D,$C629,'RAW_농산물_10월'!$A:$A,$E629),SUMIFS('RAW_농산물_11-12월'!$G:$G,'RAW_농산물_11-12월'!$D:$D,$C629,'RAW_농산물_11-12월'!$A:$A,$E629))))</f>
        <v/>
      </c>
      <c r="H629" s="14" t="str">
        <f>IF($C629="","",IF('설정'!$B$3=0,"",CHOOSE('설정'!$B$3,SUMIFS('RAW_농산물_7월'!$H:$H,'RAW_농산물_7월'!$D:$D,$C629,'RAW_농산물_7월'!$A:$A,$E629),SUMIFS('RAW_농산물_8월'!$H:$H,'RAW_농산물_8월'!$D:$D,$C629,'RAW_농산물_8월'!$A:$A,$E629),SUMIFS('RAW_농산물_9월'!$H:$H,'RAW_농산물_9월'!$D:$D,$C629,'RAW_농산물_9월'!$A:$A,$E629),SUMIFS('RAW_농산물_10월'!$H:$H,'RAW_농산물_10월'!$D:$D,$C629,'RAW_농산물_10월'!$A:$A,$E629),SUMIFS('RAW_농산물_11-12월'!$H:$H,'RAW_농산물_11-12월'!$D:$D,$C629,'RAW_농산물_11-12월'!$A:$A,$E629))))</f>
        <v/>
      </c>
      <c r="I629" s="17" t="str">
        <f>IF($C629="","",IF(COUNTIFS('RAW_농산물_7월'!$D:$D,$C629,'RAW_농산물_7월'!$A:$A,$E629)&gt;0,"O",""))</f>
        <v/>
      </c>
      <c r="J629" s="17" t="str">
        <f>IF($C629="","",IF(COUNTIFS('RAW_농산물_8월'!$D:$D,$C629,'RAW_농산물_8월'!$A:$A,$E629)&gt;0,"O",""))</f>
        <v/>
      </c>
      <c r="K629" s="17" t="str">
        <f>IF($C629="","",IF(COUNTIFS('RAW_농산물_9월'!$D:$D,$C629,'RAW_농산물_9월'!$A:$A,$E629)&gt;0,"O",""))</f>
        <v/>
      </c>
      <c r="L629" s="17" t="str">
        <f>IF($C629="","",IF(COUNTIFS('RAW_농산물_10월'!$D:$D,$C629,'RAW_농산물_10월'!$A:$A,$E629)&gt;0,"O",""))</f>
        <v/>
      </c>
      <c r="M629" s="17" t="str">
        <f>IF($C629="","",IF(COUNTIFS('RAW_농산물_11-12월'!$D:$D,$C629,'RAW_농산물_11-12월'!$A:$A,$E629)&gt;0,"O",""))</f>
        <v/>
      </c>
      <c r="N629" s="7" t="str">
        <f>IF($C629="","",IF(COUNTA('RAW_농산물_7월'!$A:$A)&lt;=1,"",SUMIFS('RAW_농산물_7월'!$H:$H,'RAW_농산물_7월'!$D:$D,$C629,'RAW_농산물_7월'!$A:$A,$E629)))</f>
        <v/>
      </c>
      <c r="O629" s="7" t="str">
        <f>IF($C629="","",IF(COUNTA('RAW_농산물_8월'!$A:$A)&lt;=1,"",SUMIFS('RAW_농산물_8월'!$H:$H,'RAW_농산물_8월'!$D:$D,$C629,'RAW_농산물_8월'!$A:$A,$E629)-SUMIFS('RAW_농산물_7월'!$H:$H,'RAW_농산물_7월'!$D:$D,$C629,'RAW_농산물_7월'!$A:$A,$E629)))</f>
        <v/>
      </c>
      <c r="P629" s="7" t="str">
        <f>IF($C629="","",IF(COUNTA('RAW_농산물_9월'!$A:$A)&lt;=1,"",SUMIFS('RAW_농산물_9월'!$H:$H,'RAW_농산물_9월'!$D:$D,$C629,'RAW_농산물_9월'!$A:$A,$E629)-SUMIFS('RAW_농산물_8월'!$H:$H,'RAW_농산물_8월'!$D:$D,$C629,'RAW_농산물_8월'!$A:$A,$E629)))</f>
        <v/>
      </c>
      <c r="Q629" s="7" t="str">
        <f>IF($C629="","",IF(COUNTA('RAW_농산물_10월'!$A:$A)&lt;=1,"",SUMIFS('RAW_농산물_10월'!$H:$H,'RAW_농산물_10월'!$D:$D,$C629,'RAW_농산물_10월'!$A:$A,$E629)-SUMIFS('RAW_농산물_9월'!$H:$H,'RAW_농산물_9월'!$D:$D,$C629,'RAW_농산물_9월'!$A:$A,$E629)))</f>
        <v/>
      </c>
      <c r="R629" s="7" t="str">
        <f>IF($C629="","",IF(COUNTA('RAW_농산물_11-12월'!$A:$A)&lt;=1,"",SUMIFS('RAW_농산물_11-12월'!$H:$H,'RAW_농산물_11-12월'!$D:$D,$C629,'RAW_농산물_11-12월'!$A:$A,$E629)-SUMIFS('RAW_농산물_10월'!$H:$H,'RAW_농산물_10월'!$D:$D,$C629,'RAW_농산물_10월'!$A:$A,$E629)))</f>
        <v/>
      </c>
      <c r="S629" s="17" t="str">
        <f t="shared" si="4"/>
        <v/>
      </c>
      <c r="T629" s="17" t="str">
        <f t="shared" si="5"/>
        <v/>
      </c>
      <c r="U629" s="7">
        <f>IF($C629="",0,IF('설정'!$B$3=0,0,CHOOSE('설정'!$B$3,COUNTIFS('RAW_농산물_7월'!$D:$D,$C629,'RAW_농산물_7월'!$A:$A,$E629),COUNTIFS('RAW_농산물_8월'!$D:$D,$C629,'RAW_농산물_8월'!$A:$A,$E629),COUNTIFS('RAW_농산물_9월'!$D:$D,$C629,'RAW_농산물_9월'!$A:$A,$E629),COUNTIFS('RAW_농산물_10월'!$D:$D,$C629,'RAW_농산물_10월'!$A:$A,$E629),COUNTIFS('RAW_농산물_11-12월'!$D:$D,$C629,'RAW_농산물_11-12월'!$A:$A,$E629))))</f>
        <v>0</v>
      </c>
    </row>
    <row r="630" ht="15.75" customHeight="1">
      <c r="A630" s="5"/>
      <c r="B630" s="5"/>
      <c r="C630" s="5"/>
      <c r="D630" s="6"/>
      <c r="E630" s="5"/>
      <c r="F630" s="7" t="str">
        <f>IF($C630="","",IF('설정'!$B$3=0,"",CHOOSE('설정'!$B$3,SUMIFS('RAW_농산물_7월'!$F:$F,'RAW_농산물_7월'!$D:$D,$C630,'RAW_농산물_7월'!$A:$A,$E630),SUMIFS('RAW_농산물_8월'!$F:$F,'RAW_농산물_8월'!$D:$D,$C630,'RAW_농산물_8월'!$A:$A,$E630),SUMIFS('RAW_농산물_9월'!$F:$F,'RAW_농산물_9월'!$D:$D,$C630,'RAW_농산물_9월'!$A:$A,$E630),SUMIFS('RAW_농산물_10월'!$F:$F,'RAW_농산물_10월'!$D:$D,$C630,'RAW_농산물_10월'!$A:$A,$E630),SUMIFS('RAW_농산물_11-12월'!$F:$F,'RAW_농산물_11-12월'!$D:$D,$C630,'RAW_농산물_11-12월'!$A:$A,$E630))))</f>
        <v/>
      </c>
      <c r="G630" s="7" t="str">
        <f>IF($C630="","",IF('설정'!$B$3=0,"",CHOOSE('설정'!$B$3,SUMIFS('RAW_농산물_7월'!$G:$G,'RAW_농산물_7월'!$D:$D,$C630,'RAW_농산물_7월'!$A:$A,$E630),SUMIFS('RAW_농산물_8월'!$G:$G,'RAW_농산물_8월'!$D:$D,$C630,'RAW_농산물_8월'!$A:$A,$E630),SUMIFS('RAW_농산물_9월'!$G:$G,'RAW_농산물_9월'!$D:$D,$C630,'RAW_농산물_9월'!$A:$A,$E630),SUMIFS('RAW_농산물_10월'!$G:$G,'RAW_농산물_10월'!$D:$D,$C630,'RAW_농산물_10월'!$A:$A,$E630),SUMIFS('RAW_농산물_11-12월'!$G:$G,'RAW_농산물_11-12월'!$D:$D,$C630,'RAW_농산물_11-12월'!$A:$A,$E630))))</f>
        <v/>
      </c>
      <c r="H630" s="14" t="str">
        <f>IF($C630="","",IF('설정'!$B$3=0,"",CHOOSE('설정'!$B$3,SUMIFS('RAW_농산물_7월'!$H:$H,'RAW_농산물_7월'!$D:$D,$C630,'RAW_농산물_7월'!$A:$A,$E630),SUMIFS('RAW_농산물_8월'!$H:$H,'RAW_농산물_8월'!$D:$D,$C630,'RAW_농산물_8월'!$A:$A,$E630),SUMIFS('RAW_농산물_9월'!$H:$H,'RAW_농산물_9월'!$D:$D,$C630,'RAW_농산물_9월'!$A:$A,$E630),SUMIFS('RAW_농산물_10월'!$H:$H,'RAW_농산물_10월'!$D:$D,$C630,'RAW_농산물_10월'!$A:$A,$E630),SUMIFS('RAW_농산물_11-12월'!$H:$H,'RAW_농산물_11-12월'!$D:$D,$C630,'RAW_농산물_11-12월'!$A:$A,$E630))))</f>
        <v/>
      </c>
      <c r="I630" s="17" t="str">
        <f>IF($C630="","",IF(COUNTIFS('RAW_농산물_7월'!$D:$D,$C630,'RAW_농산물_7월'!$A:$A,$E630)&gt;0,"O",""))</f>
        <v/>
      </c>
      <c r="J630" s="17" t="str">
        <f>IF($C630="","",IF(COUNTIFS('RAW_농산물_8월'!$D:$D,$C630,'RAW_농산물_8월'!$A:$A,$E630)&gt;0,"O",""))</f>
        <v/>
      </c>
      <c r="K630" s="17" t="str">
        <f>IF($C630="","",IF(COUNTIFS('RAW_농산물_9월'!$D:$D,$C630,'RAW_농산물_9월'!$A:$A,$E630)&gt;0,"O",""))</f>
        <v/>
      </c>
      <c r="L630" s="17" t="str">
        <f>IF($C630="","",IF(COUNTIFS('RAW_농산물_10월'!$D:$D,$C630,'RAW_농산물_10월'!$A:$A,$E630)&gt;0,"O",""))</f>
        <v/>
      </c>
      <c r="M630" s="17" t="str">
        <f>IF($C630="","",IF(COUNTIFS('RAW_농산물_11-12월'!$D:$D,$C630,'RAW_농산물_11-12월'!$A:$A,$E630)&gt;0,"O",""))</f>
        <v/>
      </c>
      <c r="N630" s="7" t="str">
        <f>IF($C630="","",IF(COUNTA('RAW_농산물_7월'!$A:$A)&lt;=1,"",SUMIFS('RAW_농산물_7월'!$H:$H,'RAW_농산물_7월'!$D:$D,$C630,'RAW_농산물_7월'!$A:$A,$E630)))</f>
        <v/>
      </c>
      <c r="O630" s="7" t="str">
        <f>IF($C630="","",IF(COUNTA('RAW_농산물_8월'!$A:$A)&lt;=1,"",SUMIFS('RAW_농산물_8월'!$H:$H,'RAW_농산물_8월'!$D:$D,$C630,'RAW_농산물_8월'!$A:$A,$E630)-SUMIFS('RAW_농산물_7월'!$H:$H,'RAW_농산물_7월'!$D:$D,$C630,'RAW_농산물_7월'!$A:$A,$E630)))</f>
        <v/>
      </c>
      <c r="P630" s="7" t="str">
        <f>IF($C630="","",IF(COUNTA('RAW_농산물_9월'!$A:$A)&lt;=1,"",SUMIFS('RAW_농산물_9월'!$H:$H,'RAW_농산물_9월'!$D:$D,$C630,'RAW_농산물_9월'!$A:$A,$E630)-SUMIFS('RAW_농산물_8월'!$H:$H,'RAW_농산물_8월'!$D:$D,$C630,'RAW_농산물_8월'!$A:$A,$E630)))</f>
        <v/>
      </c>
      <c r="Q630" s="7" t="str">
        <f>IF($C630="","",IF(COUNTA('RAW_농산물_10월'!$A:$A)&lt;=1,"",SUMIFS('RAW_농산물_10월'!$H:$H,'RAW_농산물_10월'!$D:$D,$C630,'RAW_농산물_10월'!$A:$A,$E630)-SUMIFS('RAW_농산물_9월'!$H:$H,'RAW_농산물_9월'!$D:$D,$C630,'RAW_농산물_9월'!$A:$A,$E630)))</f>
        <v/>
      </c>
      <c r="R630" s="7" t="str">
        <f>IF($C630="","",IF(COUNTA('RAW_농산물_11-12월'!$A:$A)&lt;=1,"",SUMIFS('RAW_농산물_11-12월'!$H:$H,'RAW_농산물_11-12월'!$D:$D,$C630,'RAW_농산물_11-12월'!$A:$A,$E630)-SUMIFS('RAW_농산물_10월'!$H:$H,'RAW_농산물_10월'!$D:$D,$C630,'RAW_농산물_10월'!$A:$A,$E630)))</f>
        <v/>
      </c>
      <c r="S630" s="17" t="str">
        <f t="shared" si="4"/>
        <v/>
      </c>
      <c r="T630" s="17" t="str">
        <f t="shared" si="5"/>
        <v/>
      </c>
      <c r="U630" s="7">
        <f>IF($C630="",0,IF('설정'!$B$3=0,0,CHOOSE('설정'!$B$3,COUNTIFS('RAW_농산물_7월'!$D:$D,$C630,'RAW_농산물_7월'!$A:$A,$E630),COUNTIFS('RAW_농산물_8월'!$D:$D,$C630,'RAW_농산물_8월'!$A:$A,$E630),COUNTIFS('RAW_농산물_9월'!$D:$D,$C630,'RAW_농산물_9월'!$A:$A,$E630),COUNTIFS('RAW_농산물_10월'!$D:$D,$C630,'RAW_농산물_10월'!$A:$A,$E630),COUNTIFS('RAW_농산물_11-12월'!$D:$D,$C630,'RAW_농산물_11-12월'!$A:$A,$E630))))</f>
        <v>0</v>
      </c>
    </row>
    <row r="631" ht="15.75" customHeight="1">
      <c r="A631" s="5"/>
      <c r="B631" s="5"/>
      <c r="C631" s="5"/>
      <c r="D631" s="6"/>
      <c r="E631" s="5"/>
      <c r="F631" s="7" t="str">
        <f>IF($C631="","",IF('설정'!$B$3=0,"",CHOOSE('설정'!$B$3,SUMIFS('RAW_농산물_7월'!$F:$F,'RAW_농산물_7월'!$D:$D,$C631,'RAW_농산물_7월'!$A:$A,$E631),SUMIFS('RAW_농산물_8월'!$F:$F,'RAW_농산물_8월'!$D:$D,$C631,'RAW_농산물_8월'!$A:$A,$E631),SUMIFS('RAW_농산물_9월'!$F:$F,'RAW_농산물_9월'!$D:$D,$C631,'RAW_농산물_9월'!$A:$A,$E631),SUMIFS('RAW_농산물_10월'!$F:$F,'RAW_농산물_10월'!$D:$D,$C631,'RAW_농산물_10월'!$A:$A,$E631),SUMIFS('RAW_농산물_11-12월'!$F:$F,'RAW_농산물_11-12월'!$D:$D,$C631,'RAW_농산물_11-12월'!$A:$A,$E631))))</f>
        <v/>
      </c>
      <c r="G631" s="7" t="str">
        <f>IF($C631="","",IF('설정'!$B$3=0,"",CHOOSE('설정'!$B$3,SUMIFS('RAW_농산물_7월'!$G:$G,'RAW_농산물_7월'!$D:$D,$C631,'RAW_농산물_7월'!$A:$A,$E631),SUMIFS('RAW_농산물_8월'!$G:$G,'RAW_농산물_8월'!$D:$D,$C631,'RAW_농산물_8월'!$A:$A,$E631),SUMIFS('RAW_농산물_9월'!$G:$G,'RAW_농산물_9월'!$D:$D,$C631,'RAW_농산물_9월'!$A:$A,$E631),SUMIFS('RAW_농산물_10월'!$G:$G,'RAW_농산물_10월'!$D:$D,$C631,'RAW_농산물_10월'!$A:$A,$E631),SUMIFS('RAW_농산물_11-12월'!$G:$G,'RAW_농산물_11-12월'!$D:$D,$C631,'RAW_농산물_11-12월'!$A:$A,$E631))))</f>
        <v/>
      </c>
      <c r="H631" s="14" t="str">
        <f>IF($C631="","",IF('설정'!$B$3=0,"",CHOOSE('설정'!$B$3,SUMIFS('RAW_농산물_7월'!$H:$H,'RAW_농산물_7월'!$D:$D,$C631,'RAW_농산물_7월'!$A:$A,$E631),SUMIFS('RAW_농산물_8월'!$H:$H,'RAW_농산물_8월'!$D:$D,$C631,'RAW_농산물_8월'!$A:$A,$E631),SUMIFS('RAW_농산물_9월'!$H:$H,'RAW_농산물_9월'!$D:$D,$C631,'RAW_농산물_9월'!$A:$A,$E631),SUMIFS('RAW_농산물_10월'!$H:$H,'RAW_농산물_10월'!$D:$D,$C631,'RAW_농산물_10월'!$A:$A,$E631),SUMIFS('RAW_농산물_11-12월'!$H:$H,'RAW_농산물_11-12월'!$D:$D,$C631,'RAW_농산물_11-12월'!$A:$A,$E631))))</f>
        <v/>
      </c>
      <c r="I631" s="17" t="str">
        <f>IF($C631="","",IF(COUNTIFS('RAW_농산물_7월'!$D:$D,$C631,'RAW_농산물_7월'!$A:$A,$E631)&gt;0,"O",""))</f>
        <v/>
      </c>
      <c r="J631" s="17" t="str">
        <f>IF($C631="","",IF(COUNTIFS('RAW_농산물_8월'!$D:$D,$C631,'RAW_농산물_8월'!$A:$A,$E631)&gt;0,"O",""))</f>
        <v/>
      </c>
      <c r="K631" s="17" t="str">
        <f>IF($C631="","",IF(COUNTIFS('RAW_농산물_9월'!$D:$D,$C631,'RAW_농산물_9월'!$A:$A,$E631)&gt;0,"O",""))</f>
        <v/>
      </c>
      <c r="L631" s="17" t="str">
        <f>IF($C631="","",IF(COUNTIFS('RAW_농산물_10월'!$D:$D,$C631,'RAW_농산물_10월'!$A:$A,$E631)&gt;0,"O",""))</f>
        <v/>
      </c>
      <c r="M631" s="17" t="str">
        <f>IF($C631="","",IF(COUNTIFS('RAW_농산물_11-12월'!$D:$D,$C631,'RAW_농산물_11-12월'!$A:$A,$E631)&gt;0,"O",""))</f>
        <v/>
      </c>
      <c r="N631" s="7" t="str">
        <f>IF($C631="","",IF(COUNTA('RAW_농산물_7월'!$A:$A)&lt;=1,"",SUMIFS('RAW_농산물_7월'!$H:$H,'RAW_농산물_7월'!$D:$D,$C631,'RAW_농산물_7월'!$A:$A,$E631)))</f>
        <v/>
      </c>
      <c r="O631" s="7" t="str">
        <f>IF($C631="","",IF(COUNTA('RAW_농산물_8월'!$A:$A)&lt;=1,"",SUMIFS('RAW_농산물_8월'!$H:$H,'RAW_농산물_8월'!$D:$D,$C631,'RAW_농산물_8월'!$A:$A,$E631)-SUMIFS('RAW_농산물_7월'!$H:$H,'RAW_농산물_7월'!$D:$D,$C631,'RAW_농산물_7월'!$A:$A,$E631)))</f>
        <v/>
      </c>
      <c r="P631" s="7" t="str">
        <f>IF($C631="","",IF(COUNTA('RAW_농산물_9월'!$A:$A)&lt;=1,"",SUMIFS('RAW_농산물_9월'!$H:$H,'RAW_농산물_9월'!$D:$D,$C631,'RAW_농산물_9월'!$A:$A,$E631)-SUMIFS('RAW_농산물_8월'!$H:$H,'RAW_농산물_8월'!$D:$D,$C631,'RAW_농산물_8월'!$A:$A,$E631)))</f>
        <v/>
      </c>
      <c r="Q631" s="7" t="str">
        <f>IF($C631="","",IF(COUNTA('RAW_농산물_10월'!$A:$A)&lt;=1,"",SUMIFS('RAW_농산물_10월'!$H:$H,'RAW_농산물_10월'!$D:$D,$C631,'RAW_농산물_10월'!$A:$A,$E631)-SUMIFS('RAW_농산물_9월'!$H:$H,'RAW_농산물_9월'!$D:$D,$C631,'RAW_농산물_9월'!$A:$A,$E631)))</f>
        <v/>
      </c>
      <c r="R631" s="7" t="str">
        <f>IF($C631="","",IF(COUNTA('RAW_농산물_11-12월'!$A:$A)&lt;=1,"",SUMIFS('RAW_농산물_11-12월'!$H:$H,'RAW_농산물_11-12월'!$D:$D,$C631,'RAW_농산물_11-12월'!$A:$A,$E631)-SUMIFS('RAW_농산물_10월'!$H:$H,'RAW_농산물_10월'!$D:$D,$C631,'RAW_농산물_10월'!$A:$A,$E631)))</f>
        <v/>
      </c>
      <c r="S631" s="17" t="str">
        <f t="shared" si="4"/>
        <v/>
      </c>
      <c r="T631" s="17" t="str">
        <f t="shared" si="5"/>
        <v/>
      </c>
      <c r="U631" s="7">
        <f>IF($C631="",0,IF('설정'!$B$3=0,0,CHOOSE('설정'!$B$3,COUNTIFS('RAW_농산물_7월'!$D:$D,$C631,'RAW_농산물_7월'!$A:$A,$E631),COUNTIFS('RAW_농산물_8월'!$D:$D,$C631,'RAW_농산물_8월'!$A:$A,$E631),COUNTIFS('RAW_농산물_9월'!$D:$D,$C631,'RAW_농산물_9월'!$A:$A,$E631),COUNTIFS('RAW_농산물_10월'!$D:$D,$C631,'RAW_농산물_10월'!$A:$A,$E631),COUNTIFS('RAW_농산물_11-12월'!$D:$D,$C631,'RAW_농산물_11-12월'!$A:$A,$E631))))</f>
        <v>0</v>
      </c>
    </row>
    <row r="632" ht="15.75" customHeight="1">
      <c r="A632" s="5"/>
      <c r="B632" s="5"/>
      <c r="C632" s="5"/>
      <c r="D632" s="6"/>
      <c r="E632" s="5"/>
      <c r="F632" s="7" t="str">
        <f>IF($C632="","",IF('설정'!$B$3=0,"",CHOOSE('설정'!$B$3,SUMIFS('RAW_농산물_7월'!$F:$F,'RAW_농산물_7월'!$D:$D,$C632,'RAW_농산물_7월'!$A:$A,$E632),SUMIFS('RAW_농산물_8월'!$F:$F,'RAW_농산물_8월'!$D:$D,$C632,'RAW_농산물_8월'!$A:$A,$E632),SUMIFS('RAW_농산물_9월'!$F:$F,'RAW_농산물_9월'!$D:$D,$C632,'RAW_농산물_9월'!$A:$A,$E632),SUMIFS('RAW_농산물_10월'!$F:$F,'RAW_농산물_10월'!$D:$D,$C632,'RAW_농산물_10월'!$A:$A,$E632),SUMIFS('RAW_농산물_11-12월'!$F:$F,'RAW_농산물_11-12월'!$D:$D,$C632,'RAW_농산물_11-12월'!$A:$A,$E632))))</f>
        <v/>
      </c>
      <c r="G632" s="7" t="str">
        <f>IF($C632="","",IF('설정'!$B$3=0,"",CHOOSE('설정'!$B$3,SUMIFS('RAW_농산물_7월'!$G:$G,'RAW_농산물_7월'!$D:$D,$C632,'RAW_농산물_7월'!$A:$A,$E632),SUMIFS('RAW_농산물_8월'!$G:$G,'RAW_농산물_8월'!$D:$D,$C632,'RAW_농산물_8월'!$A:$A,$E632),SUMIFS('RAW_농산물_9월'!$G:$G,'RAW_농산물_9월'!$D:$D,$C632,'RAW_농산물_9월'!$A:$A,$E632),SUMIFS('RAW_농산물_10월'!$G:$G,'RAW_농산물_10월'!$D:$D,$C632,'RAW_농산물_10월'!$A:$A,$E632),SUMIFS('RAW_농산물_11-12월'!$G:$G,'RAW_농산물_11-12월'!$D:$D,$C632,'RAW_농산물_11-12월'!$A:$A,$E632))))</f>
        <v/>
      </c>
      <c r="H632" s="14" t="str">
        <f>IF($C632="","",IF('설정'!$B$3=0,"",CHOOSE('설정'!$B$3,SUMIFS('RAW_농산물_7월'!$H:$H,'RAW_농산물_7월'!$D:$D,$C632,'RAW_농산물_7월'!$A:$A,$E632),SUMIFS('RAW_농산물_8월'!$H:$H,'RAW_농산물_8월'!$D:$D,$C632,'RAW_농산물_8월'!$A:$A,$E632),SUMIFS('RAW_농산물_9월'!$H:$H,'RAW_농산물_9월'!$D:$D,$C632,'RAW_농산물_9월'!$A:$A,$E632),SUMIFS('RAW_농산물_10월'!$H:$H,'RAW_농산물_10월'!$D:$D,$C632,'RAW_농산물_10월'!$A:$A,$E632),SUMIFS('RAW_농산물_11-12월'!$H:$H,'RAW_농산물_11-12월'!$D:$D,$C632,'RAW_농산물_11-12월'!$A:$A,$E632))))</f>
        <v/>
      </c>
      <c r="I632" s="17" t="str">
        <f>IF($C632="","",IF(COUNTIFS('RAW_농산물_7월'!$D:$D,$C632,'RAW_농산물_7월'!$A:$A,$E632)&gt;0,"O",""))</f>
        <v/>
      </c>
      <c r="J632" s="17" t="str">
        <f>IF($C632="","",IF(COUNTIFS('RAW_농산물_8월'!$D:$D,$C632,'RAW_농산물_8월'!$A:$A,$E632)&gt;0,"O",""))</f>
        <v/>
      </c>
      <c r="K632" s="17" t="str">
        <f>IF($C632="","",IF(COUNTIFS('RAW_농산물_9월'!$D:$D,$C632,'RAW_농산물_9월'!$A:$A,$E632)&gt;0,"O",""))</f>
        <v/>
      </c>
      <c r="L632" s="17" t="str">
        <f>IF($C632="","",IF(COUNTIFS('RAW_농산물_10월'!$D:$D,$C632,'RAW_농산물_10월'!$A:$A,$E632)&gt;0,"O",""))</f>
        <v/>
      </c>
      <c r="M632" s="17" t="str">
        <f>IF($C632="","",IF(COUNTIFS('RAW_농산물_11-12월'!$D:$D,$C632,'RAW_농산물_11-12월'!$A:$A,$E632)&gt;0,"O",""))</f>
        <v/>
      </c>
      <c r="N632" s="7" t="str">
        <f>IF($C632="","",IF(COUNTA('RAW_농산물_7월'!$A:$A)&lt;=1,"",SUMIFS('RAW_농산물_7월'!$H:$H,'RAW_농산물_7월'!$D:$D,$C632,'RAW_농산물_7월'!$A:$A,$E632)))</f>
        <v/>
      </c>
      <c r="O632" s="7" t="str">
        <f>IF($C632="","",IF(COUNTA('RAW_농산물_8월'!$A:$A)&lt;=1,"",SUMIFS('RAW_농산물_8월'!$H:$H,'RAW_농산물_8월'!$D:$D,$C632,'RAW_농산물_8월'!$A:$A,$E632)-SUMIFS('RAW_농산물_7월'!$H:$H,'RAW_농산물_7월'!$D:$D,$C632,'RAW_농산물_7월'!$A:$A,$E632)))</f>
        <v/>
      </c>
      <c r="P632" s="7" t="str">
        <f>IF($C632="","",IF(COUNTA('RAW_농산물_9월'!$A:$A)&lt;=1,"",SUMIFS('RAW_농산물_9월'!$H:$H,'RAW_농산물_9월'!$D:$D,$C632,'RAW_농산물_9월'!$A:$A,$E632)-SUMIFS('RAW_농산물_8월'!$H:$H,'RAW_농산물_8월'!$D:$D,$C632,'RAW_농산물_8월'!$A:$A,$E632)))</f>
        <v/>
      </c>
      <c r="Q632" s="7" t="str">
        <f>IF($C632="","",IF(COUNTA('RAW_농산물_10월'!$A:$A)&lt;=1,"",SUMIFS('RAW_농산물_10월'!$H:$H,'RAW_농산물_10월'!$D:$D,$C632,'RAW_농산물_10월'!$A:$A,$E632)-SUMIFS('RAW_농산물_9월'!$H:$H,'RAW_농산물_9월'!$D:$D,$C632,'RAW_농산물_9월'!$A:$A,$E632)))</f>
        <v/>
      </c>
      <c r="R632" s="7" t="str">
        <f>IF($C632="","",IF(COUNTA('RAW_농산물_11-12월'!$A:$A)&lt;=1,"",SUMIFS('RAW_농산물_11-12월'!$H:$H,'RAW_농산물_11-12월'!$D:$D,$C632,'RAW_농산물_11-12월'!$A:$A,$E632)-SUMIFS('RAW_농산물_10월'!$H:$H,'RAW_농산물_10월'!$D:$D,$C632,'RAW_농산물_10월'!$A:$A,$E632)))</f>
        <v/>
      </c>
      <c r="S632" s="17" t="str">
        <f t="shared" si="4"/>
        <v/>
      </c>
      <c r="T632" s="17" t="str">
        <f t="shared" si="5"/>
        <v/>
      </c>
      <c r="U632" s="7">
        <f>IF($C632="",0,IF('설정'!$B$3=0,0,CHOOSE('설정'!$B$3,COUNTIFS('RAW_농산물_7월'!$D:$D,$C632,'RAW_농산물_7월'!$A:$A,$E632),COUNTIFS('RAW_농산물_8월'!$D:$D,$C632,'RAW_농산물_8월'!$A:$A,$E632),COUNTIFS('RAW_농산물_9월'!$D:$D,$C632,'RAW_농산물_9월'!$A:$A,$E632),COUNTIFS('RAW_농산물_10월'!$D:$D,$C632,'RAW_농산물_10월'!$A:$A,$E632),COUNTIFS('RAW_농산물_11-12월'!$D:$D,$C632,'RAW_농산물_11-12월'!$A:$A,$E632))))</f>
        <v>0</v>
      </c>
    </row>
    <row r="633" ht="15.75" customHeight="1">
      <c r="A633" s="5"/>
      <c r="B633" s="5"/>
      <c r="C633" s="5"/>
      <c r="D633" s="6"/>
      <c r="E633" s="5"/>
      <c r="F633" s="7" t="str">
        <f>IF($C633="","",IF('설정'!$B$3=0,"",CHOOSE('설정'!$B$3,SUMIFS('RAW_농산물_7월'!$F:$F,'RAW_농산물_7월'!$D:$D,$C633,'RAW_농산물_7월'!$A:$A,$E633),SUMIFS('RAW_농산물_8월'!$F:$F,'RAW_농산물_8월'!$D:$D,$C633,'RAW_농산물_8월'!$A:$A,$E633),SUMIFS('RAW_농산물_9월'!$F:$F,'RAW_농산물_9월'!$D:$D,$C633,'RAW_농산물_9월'!$A:$A,$E633),SUMIFS('RAW_농산물_10월'!$F:$F,'RAW_농산물_10월'!$D:$D,$C633,'RAW_농산물_10월'!$A:$A,$E633),SUMIFS('RAW_농산물_11-12월'!$F:$F,'RAW_농산물_11-12월'!$D:$D,$C633,'RAW_농산물_11-12월'!$A:$A,$E633))))</f>
        <v/>
      </c>
      <c r="G633" s="7" t="str">
        <f>IF($C633="","",IF('설정'!$B$3=0,"",CHOOSE('설정'!$B$3,SUMIFS('RAW_농산물_7월'!$G:$G,'RAW_농산물_7월'!$D:$D,$C633,'RAW_농산물_7월'!$A:$A,$E633),SUMIFS('RAW_농산물_8월'!$G:$G,'RAW_농산물_8월'!$D:$D,$C633,'RAW_농산물_8월'!$A:$A,$E633),SUMIFS('RAW_농산물_9월'!$G:$G,'RAW_농산물_9월'!$D:$D,$C633,'RAW_농산물_9월'!$A:$A,$E633),SUMIFS('RAW_농산물_10월'!$G:$G,'RAW_농산물_10월'!$D:$D,$C633,'RAW_농산물_10월'!$A:$A,$E633),SUMIFS('RAW_농산물_11-12월'!$G:$G,'RAW_농산물_11-12월'!$D:$D,$C633,'RAW_농산물_11-12월'!$A:$A,$E633))))</f>
        <v/>
      </c>
      <c r="H633" s="14" t="str">
        <f>IF($C633="","",IF('설정'!$B$3=0,"",CHOOSE('설정'!$B$3,SUMIFS('RAW_농산물_7월'!$H:$H,'RAW_농산물_7월'!$D:$D,$C633,'RAW_농산물_7월'!$A:$A,$E633),SUMIFS('RAW_농산물_8월'!$H:$H,'RAW_농산물_8월'!$D:$D,$C633,'RAW_농산물_8월'!$A:$A,$E633),SUMIFS('RAW_농산물_9월'!$H:$H,'RAW_농산물_9월'!$D:$D,$C633,'RAW_농산물_9월'!$A:$A,$E633),SUMIFS('RAW_농산물_10월'!$H:$H,'RAW_농산물_10월'!$D:$D,$C633,'RAW_농산물_10월'!$A:$A,$E633),SUMIFS('RAW_농산물_11-12월'!$H:$H,'RAW_농산물_11-12월'!$D:$D,$C633,'RAW_농산물_11-12월'!$A:$A,$E633))))</f>
        <v/>
      </c>
      <c r="I633" s="17" t="str">
        <f>IF($C633="","",IF(COUNTIFS('RAW_농산물_7월'!$D:$D,$C633,'RAW_농산물_7월'!$A:$A,$E633)&gt;0,"O",""))</f>
        <v/>
      </c>
      <c r="J633" s="17" t="str">
        <f>IF($C633="","",IF(COUNTIFS('RAW_농산물_8월'!$D:$D,$C633,'RAW_농산물_8월'!$A:$A,$E633)&gt;0,"O",""))</f>
        <v/>
      </c>
      <c r="K633" s="17" t="str">
        <f>IF($C633="","",IF(COUNTIFS('RAW_농산물_9월'!$D:$D,$C633,'RAW_농산물_9월'!$A:$A,$E633)&gt;0,"O",""))</f>
        <v/>
      </c>
      <c r="L633" s="17" t="str">
        <f>IF($C633="","",IF(COUNTIFS('RAW_농산물_10월'!$D:$D,$C633,'RAW_농산물_10월'!$A:$A,$E633)&gt;0,"O",""))</f>
        <v/>
      </c>
      <c r="M633" s="17" t="str">
        <f>IF($C633="","",IF(COUNTIFS('RAW_농산물_11-12월'!$D:$D,$C633,'RAW_농산물_11-12월'!$A:$A,$E633)&gt;0,"O",""))</f>
        <v/>
      </c>
      <c r="N633" s="7" t="str">
        <f>IF($C633="","",IF(COUNTA('RAW_농산물_7월'!$A:$A)&lt;=1,"",SUMIFS('RAW_농산물_7월'!$H:$H,'RAW_농산물_7월'!$D:$D,$C633,'RAW_농산물_7월'!$A:$A,$E633)))</f>
        <v/>
      </c>
      <c r="O633" s="7" t="str">
        <f>IF($C633="","",IF(COUNTA('RAW_농산물_8월'!$A:$A)&lt;=1,"",SUMIFS('RAW_농산물_8월'!$H:$H,'RAW_농산물_8월'!$D:$D,$C633,'RAW_농산물_8월'!$A:$A,$E633)-SUMIFS('RAW_농산물_7월'!$H:$H,'RAW_농산물_7월'!$D:$D,$C633,'RAW_농산물_7월'!$A:$A,$E633)))</f>
        <v/>
      </c>
      <c r="P633" s="7" t="str">
        <f>IF($C633="","",IF(COUNTA('RAW_농산물_9월'!$A:$A)&lt;=1,"",SUMIFS('RAW_농산물_9월'!$H:$H,'RAW_농산물_9월'!$D:$D,$C633,'RAW_농산물_9월'!$A:$A,$E633)-SUMIFS('RAW_농산물_8월'!$H:$H,'RAW_농산물_8월'!$D:$D,$C633,'RAW_농산물_8월'!$A:$A,$E633)))</f>
        <v/>
      </c>
      <c r="Q633" s="7" t="str">
        <f>IF($C633="","",IF(COUNTA('RAW_농산물_10월'!$A:$A)&lt;=1,"",SUMIFS('RAW_농산물_10월'!$H:$H,'RAW_농산물_10월'!$D:$D,$C633,'RAW_농산물_10월'!$A:$A,$E633)-SUMIFS('RAW_농산물_9월'!$H:$H,'RAW_농산물_9월'!$D:$D,$C633,'RAW_농산물_9월'!$A:$A,$E633)))</f>
        <v/>
      </c>
      <c r="R633" s="7" t="str">
        <f>IF($C633="","",IF(COUNTA('RAW_농산물_11-12월'!$A:$A)&lt;=1,"",SUMIFS('RAW_농산물_11-12월'!$H:$H,'RAW_농산물_11-12월'!$D:$D,$C633,'RAW_농산물_11-12월'!$A:$A,$E633)-SUMIFS('RAW_농산물_10월'!$H:$H,'RAW_농산물_10월'!$D:$D,$C633,'RAW_농산물_10월'!$A:$A,$E633)))</f>
        <v/>
      </c>
      <c r="S633" s="17" t="str">
        <f t="shared" si="4"/>
        <v/>
      </c>
      <c r="T633" s="17" t="str">
        <f t="shared" si="5"/>
        <v/>
      </c>
      <c r="U633" s="7">
        <f>IF($C633="",0,IF('설정'!$B$3=0,0,CHOOSE('설정'!$B$3,COUNTIFS('RAW_농산물_7월'!$D:$D,$C633,'RAW_농산물_7월'!$A:$A,$E633),COUNTIFS('RAW_농산물_8월'!$D:$D,$C633,'RAW_농산물_8월'!$A:$A,$E633),COUNTIFS('RAW_농산물_9월'!$D:$D,$C633,'RAW_농산물_9월'!$A:$A,$E633),COUNTIFS('RAW_농산물_10월'!$D:$D,$C633,'RAW_농산물_10월'!$A:$A,$E633),COUNTIFS('RAW_농산물_11-12월'!$D:$D,$C633,'RAW_농산물_11-12월'!$A:$A,$E633))))</f>
        <v>0</v>
      </c>
    </row>
    <row r="634" ht="15.75" customHeight="1">
      <c r="A634" s="5"/>
      <c r="B634" s="5"/>
      <c r="C634" s="5"/>
      <c r="D634" s="6"/>
      <c r="E634" s="5"/>
      <c r="F634" s="7" t="str">
        <f>IF($C634="","",IF('설정'!$B$3=0,"",CHOOSE('설정'!$B$3,SUMIFS('RAW_농산물_7월'!$F:$F,'RAW_농산물_7월'!$D:$D,$C634,'RAW_농산물_7월'!$A:$A,$E634),SUMIFS('RAW_농산물_8월'!$F:$F,'RAW_농산물_8월'!$D:$D,$C634,'RAW_농산물_8월'!$A:$A,$E634),SUMIFS('RAW_농산물_9월'!$F:$F,'RAW_농산물_9월'!$D:$D,$C634,'RAW_농산물_9월'!$A:$A,$E634),SUMIFS('RAW_농산물_10월'!$F:$F,'RAW_농산물_10월'!$D:$D,$C634,'RAW_농산물_10월'!$A:$A,$E634),SUMIFS('RAW_농산물_11-12월'!$F:$F,'RAW_농산물_11-12월'!$D:$D,$C634,'RAW_농산물_11-12월'!$A:$A,$E634))))</f>
        <v/>
      </c>
      <c r="G634" s="7" t="str">
        <f>IF($C634="","",IF('설정'!$B$3=0,"",CHOOSE('설정'!$B$3,SUMIFS('RAW_농산물_7월'!$G:$G,'RAW_농산물_7월'!$D:$D,$C634,'RAW_농산물_7월'!$A:$A,$E634),SUMIFS('RAW_농산물_8월'!$G:$G,'RAW_농산물_8월'!$D:$D,$C634,'RAW_농산물_8월'!$A:$A,$E634),SUMIFS('RAW_농산물_9월'!$G:$G,'RAW_농산물_9월'!$D:$D,$C634,'RAW_농산물_9월'!$A:$A,$E634),SUMIFS('RAW_농산물_10월'!$G:$G,'RAW_농산물_10월'!$D:$D,$C634,'RAW_농산물_10월'!$A:$A,$E634),SUMIFS('RAW_농산물_11-12월'!$G:$G,'RAW_농산물_11-12월'!$D:$D,$C634,'RAW_농산물_11-12월'!$A:$A,$E634))))</f>
        <v/>
      </c>
      <c r="H634" s="14" t="str">
        <f>IF($C634="","",IF('설정'!$B$3=0,"",CHOOSE('설정'!$B$3,SUMIFS('RAW_농산물_7월'!$H:$H,'RAW_농산물_7월'!$D:$D,$C634,'RAW_농산물_7월'!$A:$A,$E634),SUMIFS('RAW_농산물_8월'!$H:$H,'RAW_농산물_8월'!$D:$D,$C634,'RAW_농산물_8월'!$A:$A,$E634),SUMIFS('RAW_농산물_9월'!$H:$H,'RAW_농산물_9월'!$D:$D,$C634,'RAW_농산물_9월'!$A:$A,$E634),SUMIFS('RAW_농산물_10월'!$H:$H,'RAW_농산물_10월'!$D:$D,$C634,'RAW_농산물_10월'!$A:$A,$E634),SUMIFS('RAW_농산물_11-12월'!$H:$H,'RAW_농산물_11-12월'!$D:$D,$C634,'RAW_농산물_11-12월'!$A:$A,$E634))))</f>
        <v/>
      </c>
      <c r="I634" s="17" t="str">
        <f>IF($C634="","",IF(COUNTIFS('RAW_농산물_7월'!$D:$D,$C634,'RAW_농산물_7월'!$A:$A,$E634)&gt;0,"O",""))</f>
        <v/>
      </c>
      <c r="J634" s="17" t="str">
        <f>IF($C634="","",IF(COUNTIFS('RAW_농산물_8월'!$D:$D,$C634,'RAW_농산물_8월'!$A:$A,$E634)&gt;0,"O",""))</f>
        <v/>
      </c>
      <c r="K634" s="17" t="str">
        <f>IF($C634="","",IF(COUNTIFS('RAW_농산물_9월'!$D:$D,$C634,'RAW_농산물_9월'!$A:$A,$E634)&gt;0,"O",""))</f>
        <v/>
      </c>
      <c r="L634" s="17" t="str">
        <f>IF($C634="","",IF(COUNTIFS('RAW_농산물_10월'!$D:$D,$C634,'RAW_농산물_10월'!$A:$A,$E634)&gt;0,"O",""))</f>
        <v/>
      </c>
      <c r="M634" s="17" t="str">
        <f>IF($C634="","",IF(COUNTIFS('RAW_농산물_11-12월'!$D:$D,$C634,'RAW_농산물_11-12월'!$A:$A,$E634)&gt;0,"O",""))</f>
        <v/>
      </c>
      <c r="N634" s="7" t="str">
        <f>IF($C634="","",IF(COUNTA('RAW_농산물_7월'!$A:$A)&lt;=1,"",SUMIFS('RAW_농산물_7월'!$H:$H,'RAW_농산물_7월'!$D:$D,$C634,'RAW_농산물_7월'!$A:$A,$E634)))</f>
        <v/>
      </c>
      <c r="O634" s="7" t="str">
        <f>IF($C634="","",IF(COUNTA('RAW_농산물_8월'!$A:$A)&lt;=1,"",SUMIFS('RAW_농산물_8월'!$H:$H,'RAW_농산물_8월'!$D:$D,$C634,'RAW_농산물_8월'!$A:$A,$E634)-SUMIFS('RAW_농산물_7월'!$H:$H,'RAW_농산물_7월'!$D:$D,$C634,'RAW_농산물_7월'!$A:$A,$E634)))</f>
        <v/>
      </c>
      <c r="P634" s="7" t="str">
        <f>IF($C634="","",IF(COUNTA('RAW_농산물_9월'!$A:$A)&lt;=1,"",SUMIFS('RAW_농산물_9월'!$H:$H,'RAW_농산물_9월'!$D:$D,$C634,'RAW_농산물_9월'!$A:$A,$E634)-SUMIFS('RAW_농산물_8월'!$H:$H,'RAW_농산물_8월'!$D:$D,$C634,'RAW_농산물_8월'!$A:$A,$E634)))</f>
        <v/>
      </c>
      <c r="Q634" s="7" t="str">
        <f>IF($C634="","",IF(COUNTA('RAW_농산물_10월'!$A:$A)&lt;=1,"",SUMIFS('RAW_농산물_10월'!$H:$H,'RAW_농산물_10월'!$D:$D,$C634,'RAW_농산물_10월'!$A:$A,$E634)-SUMIFS('RAW_농산물_9월'!$H:$H,'RAW_농산물_9월'!$D:$D,$C634,'RAW_농산물_9월'!$A:$A,$E634)))</f>
        <v/>
      </c>
      <c r="R634" s="7" t="str">
        <f>IF($C634="","",IF(COUNTA('RAW_농산물_11-12월'!$A:$A)&lt;=1,"",SUMIFS('RAW_농산물_11-12월'!$H:$H,'RAW_농산물_11-12월'!$D:$D,$C634,'RAW_농산물_11-12월'!$A:$A,$E634)-SUMIFS('RAW_농산물_10월'!$H:$H,'RAW_농산물_10월'!$D:$D,$C634,'RAW_농산물_10월'!$A:$A,$E634)))</f>
        <v/>
      </c>
      <c r="S634" s="17" t="str">
        <f t="shared" si="4"/>
        <v/>
      </c>
      <c r="T634" s="17" t="str">
        <f t="shared" si="5"/>
        <v/>
      </c>
      <c r="U634" s="7">
        <f>IF($C634="",0,IF('설정'!$B$3=0,0,CHOOSE('설정'!$B$3,COUNTIFS('RAW_농산물_7월'!$D:$D,$C634,'RAW_농산물_7월'!$A:$A,$E634),COUNTIFS('RAW_농산물_8월'!$D:$D,$C634,'RAW_농산물_8월'!$A:$A,$E634),COUNTIFS('RAW_농산물_9월'!$D:$D,$C634,'RAW_농산물_9월'!$A:$A,$E634),COUNTIFS('RAW_농산물_10월'!$D:$D,$C634,'RAW_농산물_10월'!$A:$A,$E634),COUNTIFS('RAW_농산물_11-12월'!$D:$D,$C634,'RAW_농산물_11-12월'!$A:$A,$E634))))</f>
        <v>0</v>
      </c>
    </row>
    <row r="635" ht="15.75" customHeight="1">
      <c r="A635" s="5"/>
      <c r="B635" s="5"/>
      <c r="C635" s="5"/>
      <c r="D635" s="6"/>
      <c r="E635" s="5"/>
      <c r="F635" s="7" t="str">
        <f>IF($C635="","",IF('설정'!$B$3=0,"",CHOOSE('설정'!$B$3,SUMIFS('RAW_농산물_7월'!$F:$F,'RAW_농산물_7월'!$D:$D,$C635,'RAW_농산물_7월'!$A:$A,$E635),SUMIFS('RAW_농산물_8월'!$F:$F,'RAW_농산물_8월'!$D:$D,$C635,'RAW_농산물_8월'!$A:$A,$E635),SUMIFS('RAW_농산물_9월'!$F:$F,'RAW_농산물_9월'!$D:$D,$C635,'RAW_농산물_9월'!$A:$A,$E635),SUMIFS('RAW_농산물_10월'!$F:$F,'RAW_농산물_10월'!$D:$D,$C635,'RAW_농산물_10월'!$A:$A,$E635),SUMIFS('RAW_농산물_11-12월'!$F:$F,'RAW_농산물_11-12월'!$D:$D,$C635,'RAW_농산물_11-12월'!$A:$A,$E635))))</f>
        <v/>
      </c>
      <c r="G635" s="7" t="str">
        <f>IF($C635="","",IF('설정'!$B$3=0,"",CHOOSE('설정'!$B$3,SUMIFS('RAW_농산물_7월'!$G:$G,'RAW_농산물_7월'!$D:$D,$C635,'RAW_농산물_7월'!$A:$A,$E635),SUMIFS('RAW_농산물_8월'!$G:$G,'RAW_농산물_8월'!$D:$D,$C635,'RAW_농산물_8월'!$A:$A,$E635),SUMIFS('RAW_농산물_9월'!$G:$G,'RAW_농산물_9월'!$D:$D,$C635,'RAW_농산물_9월'!$A:$A,$E635),SUMIFS('RAW_농산물_10월'!$G:$G,'RAW_농산물_10월'!$D:$D,$C635,'RAW_농산물_10월'!$A:$A,$E635),SUMIFS('RAW_농산물_11-12월'!$G:$G,'RAW_농산물_11-12월'!$D:$D,$C635,'RAW_농산물_11-12월'!$A:$A,$E635))))</f>
        <v/>
      </c>
      <c r="H635" s="14" t="str">
        <f>IF($C635="","",IF('설정'!$B$3=0,"",CHOOSE('설정'!$B$3,SUMIFS('RAW_농산물_7월'!$H:$H,'RAW_농산물_7월'!$D:$D,$C635,'RAW_농산물_7월'!$A:$A,$E635),SUMIFS('RAW_농산물_8월'!$H:$H,'RAW_농산물_8월'!$D:$D,$C635,'RAW_농산물_8월'!$A:$A,$E635),SUMIFS('RAW_농산물_9월'!$H:$H,'RAW_농산물_9월'!$D:$D,$C635,'RAW_농산물_9월'!$A:$A,$E635),SUMIFS('RAW_농산물_10월'!$H:$H,'RAW_농산물_10월'!$D:$D,$C635,'RAW_농산물_10월'!$A:$A,$E635),SUMIFS('RAW_농산물_11-12월'!$H:$H,'RAW_농산물_11-12월'!$D:$D,$C635,'RAW_농산물_11-12월'!$A:$A,$E635))))</f>
        <v/>
      </c>
      <c r="I635" s="17" t="str">
        <f>IF($C635="","",IF(COUNTIFS('RAW_농산물_7월'!$D:$D,$C635,'RAW_농산물_7월'!$A:$A,$E635)&gt;0,"O",""))</f>
        <v/>
      </c>
      <c r="J635" s="17" t="str">
        <f>IF($C635="","",IF(COUNTIFS('RAW_농산물_8월'!$D:$D,$C635,'RAW_농산물_8월'!$A:$A,$E635)&gt;0,"O",""))</f>
        <v/>
      </c>
      <c r="K635" s="17" t="str">
        <f>IF($C635="","",IF(COUNTIFS('RAW_농산물_9월'!$D:$D,$C635,'RAW_농산물_9월'!$A:$A,$E635)&gt;0,"O",""))</f>
        <v/>
      </c>
      <c r="L635" s="17" t="str">
        <f>IF($C635="","",IF(COUNTIFS('RAW_농산물_10월'!$D:$D,$C635,'RAW_농산물_10월'!$A:$A,$E635)&gt;0,"O",""))</f>
        <v/>
      </c>
      <c r="M635" s="17" t="str">
        <f>IF($C635="","",IF(COUNTIFS('RAW_농산물_11-12월'!$D:$D,$C635,'RAW_농산물_11-12월'!$A:$A,$E635)&gt;0,"O",""))</f>
        <v/>
      </c>
      <c r="N635" s="7" t="str">
        <f>IF($C635="","",IF(COUNTA('RAW_농산물_7월'!$A:$A)&lt;=1,"",SUMIFS('RAW_농산물_7월'!$H:$H,'RAW_농산물_7월'!$D:$D,$C635,'RAW_농산물_7월'!$A:$A,$E635)))</f>
        <v/>
      </c>
      <c r="O635" s="7" t="str">
        <f>IF($C635="","",IF(COUNTA('RAW_농산물_8월'!$A:$A)&lt;=1,"",SUMIFS('RAW_농산물_8월'!$H:$H,'RAW_농산물_8월'!$D:$D,$C635,'RAW_농산물_8월'!$A:$A,$E635)-SUMIFS('RAW_농산물_7월'!$H:$H,'RAW_농산물_7월'!$D:$D,$C635,'RAW_농산물_7월'!$A:$A,$E635)))</f>
        <v/>
      </c>
      <c r="P635" s="7" t="str">
        <f>IF($C635="","",IF(COUNTA('RAW_농산물_9월'!$A:$A)&lt;=1,"",SUMIFS('RAW_농산물_9월'!$H:$H,'RAW_농산물_9월'!$D:$D,$C635,'RAW_농산물_9월'!$A:$A,$E635)-SUMIFS('RAW_농산물_8월'!$H:$H,'RAW_농산물_8월'!$D:$D,$C635,'RAW_농산물_8월'!$A:$A,$E635)))</f>
        <v/>
      </c>
      <c r="Q635" s="7" t="str">
        <f>IF($C635="","",IF(COUNTA('RAW_농산물_10월'!$A:$A)&lt;=1,"",SUMIFS('RAW_농산물_10월'!$H:$H,'RAW_농산물_10월'!$D:$D,$C635,'RAW_농산물_10월'!$A:$A,$E635)-SUMIFS('RAW_농산물_9월'!$H:$H,'RAW_농산물_9월'!$D:$D,$C635,'RAW_농산물_9월'!$A:$A,$E635)))</f>
        <v/>
      </c>
      <c r="R635" s="7" t="str">
        <f>IF($C635="","",IF(COUNTA('RAW_농산물_11-12월'!$A:$A)&lt;=1,"",SUMIFS('RAW_농산물_11-12월'!$H:$H,'RAW_농산물_11-12월'!$D:$D,$C635,'RAW_농산물_11-12월'!$A:$A,$E635)-SUMIFS('RAW_농산물_10월'!$H:$H,'RAW_농산물_10월'!$D:$D,$C635,'RAW_농산물_10월'!$A:$A,$E635)))</f>
        <v/>
      </c>
      <c r="S635" s="17" t="str">
        <f t="shared" si="4"/>
        <v/>
      </c>
      <c r="T635" s="17" t="str">
        <f t="shared" si="5"/>
        <v/>
      </c>
      <c r="U635" s="7">
        <f>IF($C635="",0,IF('설정'!$B$3=0,0,CHOOSE('설정'!$B$3,COUNTIFS('RAW_농산물_7월'!$D:$D,$C635,'RAW_농산물_7월'!$A:$A,$E635),COUNTIFS('RAW_농산물_8월'!$D:$D,$C635,'RAW_농산물_8월'!$A:$A,$E635),COUNTIFS('RAW_농산물_9월'!$D:$D,$C635,'RAW_농산물_9월'!$A:$A,$E635),COUNTIFS('RAW_농산물_10월'!$D:$D,$C635,'RAW_농산물_10월'!$A:$A,$E635),COUNTIFS('RAW_농산물_11-12월'!$D:$D,$C635,'RAW_농산물_11-12월'!$A:$A,$E635))))</f>
        <v>0</v>
      </c>
    </row>
    <row r="636" ht="15.75" customHeight="1">
      <c r="A636" s="5"/>
      <c r="B636" s="5"/>
      <c r="C636" s="5"/>
      <c r="D636" s="6"/>
      <c r="E636" s="5"/>
      <c r="F636" s="7" t="str">
        <f>IF($C636="","",IF('설정'!$B$3=0,"",CHOOSE('설정'!$B$3,SUMIFS('RAW_농산물_7월'!$F:$F,'RAW_농산물_7월'!$D:$D,$C636,'RAW_농산물_7월'!$A:$A,$E636),SUMIFS('RAW_농산물_8월'!$F:$F,'RAW_농산물_8월'!$D:$D,$C636,'RAW_농산물_8월'!$A:$A,$E636),SUMIFS('RAW_농산물_9월'!$F:$F,'RAW_농산물_9월'!$D:$D,$C636,'RAW_농산물_9월'!$A:$A,$E636),SUMIFS('RAW_농산물_10월'!$F:$F,'RAW_농산물_10월'!$D:$D,$C636,'RAW_농산물_10월'!$A:$A,$E636),SUMIFS('RAW_농산물_11-12월'!$F:$F,'RAW_농산물_11-12월'!$D:$D,$C636,'RAW_농산물_11-12월'!$A:$A,$E636))))</f>
        <v/>
      </c>
      <c r="G636" s="7" t="str">
        <f>IF($C636="","",IF('설정'!$B$3=0,"",CHOOSE('설정'!$B$3,SUMIFS('RAW_농산물_7월'!$G:$G,'RAW_농산물_7월'!$D:$D,$C636,'RAW_농산물_7월'!$A:$A,$E636),SUMIFS('RAW_농산물_8월'!$G:$G,'RAW_농산물_8월'!$D:$D,$C636,'RAW_농산물_8월'!$A:$A,$E636),SUMIFS('RAW_농산물_9월'!$G:$G,'RAW_농산물_9월'!$D:$D,$C636,'RAW_농산물_9월'!$A:$A,$E636),SUMIFS('RAW_농산물_10월'!$G:$G,'RAW_농산물_10월'!$D:$D,$C636,'RAW_농산물_10월'!$A:$A,$E636),SUMIFS('RAW_농산물_11-12월'!$G:$G,'RAW_농산물_11-12월'!$D:$D,$C636,'RAW_농산물_11-12월'!$A:$A,$E636))))</f>
        <v/>
      </c>
      <c r="H636" s="14" t="str">
        <f>IF($C636="","",IF('설정'!$B$3=0,"",CHOOSE('설정'!$B$3,SUMIFS('RAW_농산물_7월'!$H:$H,'RAW_농산물_7월'!$D:$D,$C636,'RAW_농산물_7월'!$A:$A,$E636),SUMIFS('RAW_농산물_8월'!$H:$H,'RAW_농산물_8월'!$D:$D,$C636,'RAW_농산물_8월'!$A:$A,$E636),SUMIFS('RAW_농산물_9월'!$H:$H,'RAW_농산물_9월'!$D:$D,$C636,'RAW_농산물_9월'!$A:$A,$E636),SUMIFS('RAW_농산물_10월'!$H:$H,'RAW_농산물_10월'!$D:$D,$C636,'RAW_농산물_10월'!$A:$A,$E636),SUMIFS('RAW_농산물_11-12월'!$H:$H,'RAW_농산물_11-12월'!$D:$D,$C636,'RAW_농산물_11-12월'!$A:$A,$E636))))</f>
        <v/>
      </c>
      <c r="I636" s="17" t="str">
        <f>IF($C636="","",IF(COUNTIFS('RAW_농산물_7월'!$D:$D,$C636,'RAW_농산물_7월'!$A:$A,$E636)&gt;0,"O",""))</f>
        <v/>
      </c>
      <c r="J636" s="17" t="str">
        <f>IF($C636="","",IF(COUNTIFS('RAW_농산물_8월'!$D:$D,$C636,'RAW_농산물_8월'!$A:$A,$E636)&gt;0,"O",""))</f>
        <v/>
      </c>
      <c r="K636" s="17" t="str">
        <f>IF($C636="","",IF(COUNTIFS('RAW_농산물_9월'!$D:$D,$C636,'RAW_농산물_9월'!$A:$A,$E636)&gt;0,"O",""))</f>
        <v/>
      </c>
      <c r="L636" s="17" t="str">
        <f>IF($C636="","",IF(COUNTIFS('RAW_농산물_10월'!$D:$D,$C636,'RAW_농산물_10월'!$A:$A,$E636)&gt;0,"O",""))</f>
        <v/>
      </c>
      <c r="M636" s="17" t="str">
        <f>IF($C636="","",IF(COUNTIFS('RAW_농산물_11-12월'!$D:$D,$C636,'RAW_농산물_11-12월'!$A:$A,$E636)&gt;0,"O",""))</f>
        <v/>
      </c>
      <c r="N636" s="7" t="str">
        <f>IF($C636="","",IF(COUNTA('RAW_농산물_7월'!$A:$A)&lt;=1,"",SUMIFS('RAW_농산물_7월'!$H:$H,'RAW_농산물_7월'!$D:$D,$C636,'RAW_농산물_7월'!$A:$A,$E636)))</f>
        <v/>
      </c>
      <c r="O636" s="7" t="str">
        <f>IF($C636="","",IF(COUNTA('RAW_농산물_8월'!$A:$A)&lt;=1,"",SUMIFS('RAW_농산물_8월'!$H:$H,'RAW_농산물_8월'!$D:$D,$C636,'RAW_농산물_8월'!$A:$A,$E636)-SUMIFS('RAW_농산물_7월'!$H:$H,'RAW_농산물_7월'!$D:$D,$C636,'RAW_농산물_7월'!$A:$A,$E636)))</f>
        <v/>
      </c>
      <c r="P636" s="7" t="str">
        <f>IF($C636="","",IF(COUNTA('RAW_농산물_9월'!$A:$A)&lt;=1,"",SUMIFS('RAW_농산물_9월'!$H:$H,'RAW_농산물_9월'!$D:$D,$C636,'RAW_농산물_9월'!$A:$A,$E636)-SUMIFS('RAW_농산물_8월'!$H:$H,'RAW_농산물_8월'!$D:$D,$C636,'RAW_농산물_8월'!$A:$A,$E636)))</f>
        <v/>
      </c>
      <c r="Q636" s="7" t="str">
        <f>IF($C636="","",IF(COUNTA('RAW_농산물_10월'!$A:$A)&lt;=1,"",SUMIFS('RAW_농산물_10월'!$H:$H,'RAW_농산물_10월'!$D:$D,$C636,'RAW_농산물_10월'!$A:$A,$E636)-SUMIFS('RAW_농산물_9월'!$H:$H,'RAW_농산물_9월'!$D:$D,$C636,'RAW_농산물_9월'!$A:$A,$E636)))</f>
        <v/>
      </c>
      <c r="R636" s="7" t="str">
        <f>IF($C636="","",IF(COUNTA('RAW_농산물_11-12월'!$A:$A)&lt;=1,"",SUMIFS('RAW_농산물_11-12월'!$H:$H,'RAW_농산물_11-12월'!$D:$D,$C636,'RAW_농산물_11-12월'!$A:$A,$E636)-SUMIFS('RAW_농산물_10월'!$H:$H,'RAW_농산물_10월'!$D:$D,$C636,'RAW_농산물_10월'!$A:$A,$E636)))</f>
        <v/>
      </c>
      <c r="S636" s="17" t="str">
        <f t="shared" si="4"/>
        <v/>
      </c>
      <c r="T636" s="17" t="str">
        <f t="shared" si="5"/>
        <v/>
      </c>
      <c r="U636" s="7">
        <f>IF($C636="",0,IF('설정'!$B$3=0,0,CHOOSE('설정'!$B$3,COUNTIFS('RAW_농산물_7월'!$D:$D,$C636,'RAW_농산물_7월'!$A:$A,$E636),COUNTIFS('RAW_농산물_8월'!$D:$D,$C636,'RAW_농산물_8월'!$A:$A,$E636),COUNTIFS('RAW_농산물_9월'!$D:$D,$C636,'RAW_농산물_9월'!$A:$A,$E636),COUNTIFS('RAW_농산물_10월'!$D:$D,$C636,'RAW_농산물_10월'!$A:$A,$E636),COUNTIFS('RAW_농산물_11-12월'!$D:$D,$C636,'RAW_농산물_11-12월'!$A:$A,$E636))))</f>
        <v>0</v>
      </c>
    </row>
    <row r="637" ht="15.75" customHeight="1">
      <c r="A637" s="5"/>
      <c r="B637" s="5"/>
      <c r="C637" s="5"/>
      <c r="D637" s="6"/>
      <c r="E637" s="5"/>
      <c r="F637" s="7" t="str">
        <f>IF($C637="","",IF('설정'!$B$3=0,"",CHOOSE('설정'!$B$3,SUMIFS('RAW_농산물_7월'!$F:$F,'RAW_농산물_7월'!$D:$D,$C637,'RAW_농산물_7월'!$A:$A,$E637),SUMIFS('RAW_농산물_8월'!$F:$F,'RAW_농산물_8월'!$D:$D,$C637,'RAW_농산물_8월'!$A:$A,$E637),SUMIFS('RAW_농산물_9월'!$F:$F,'RAW_농산물_9월'!$D:$D,$C637,'RAW_농산물_9월'!$A:$A,$E637),SUMIFS('RAW_농산물_10월'!$F:$F,'RAW_농산물_10월'!$D:$D,$C637,'RAW_농산물_10월'!$A:$A,$E637),SUMIFS('RAW_농산물_11-12월'!$F:$F,'RAW_농산물_11-12월'!$D:$D,$C637,'RAW_농산물_11-12월'!$A:$A,$E637))))</f>
        <v/>
      </c>
      <c r="G637" s="7" t="str">
        <f>IF($C637="","",IF('설정'!$B$3=0,"",CHOOSE('설정'!$B$3,SUMIFS('RAW_농산물_7월'!$G:$G,'RAW_농산물_7월'!$D:$D,$C637,'RAW_농산물_7월'!$A:$A,$E637),SUMIFS('RAW_농산물_8월'!$G:$G,'RAW_농산물_8월'!$D:$D,$C637,'RAW_농산물_8월'!$A:$A,$E637),SUMIFS('RAW_농산물_9월'!$G:$G,'RAW_농산물_9월'!$D:$D,$C637,'RAW_농산물_9월'!$A:$A,$E637),SUMIFS('RAW_농산물_10월'!$G:$G,'RAW_농산물_10월'!$D:$D,$C637,'RAW_농산물_10월'!$A:$A,$E637),SUMIFS('RAW_농산물_11-12월'!$G:$G,'RAW_농산물_11-12월'!$D:$D,$C637,'RAW_농산물_11-12월'!$A:$A,$E637))))</f>
        <v/>
      </c>
      <c r="H637" s="14" t="str">
        <f>IF($C637="","",IF('설정'!$B$3=0,"",CHOOSE('설정'!$B$3,SUMIFS('RAW_농산물_7월'!$H:$H,'RAW_농산물_7월'!$D:$D,$C637,'RAW_농산물_7월'!$A:$A,$E637),SUMIFS('RAW_농산물_8월'!$H:$H,'RAW_농산물_8월'!$D:$D,$C637,'RAW_농산물_8월'!$A:$A,$E637),SUMIFS('RAW_농산물_9월'!$H:$H,'RAW_농산물_9월'!$D:$D,$C637,'RAW_농산물_9월'!$A:$A,$E637),SUMIFS('RAW_농산물_10월'!$H:$H,'RAW_농산물_10월'!$D:$D,$C637,'RAW_농산물_10월'!$A:$A,$E637),SUMIFS('RAW_농산물_11-12월'!$H:$H,'RAW_농산물_11-12월'!$D:$D,$C637,'RAW_농산물_11-12월'!$A:$A,$E637))))</f>
        <v/>
      </c>
      <c r="I637" s="17" t="str">
        <f>IF($C637="","",IF(COUNTIFS('RAW_농산물_7월'!$D:$D,$C637,'RAW_농산물_7월'!$A:$A,$E637)&gt;0,"O",""))</f>
        <v/>
      </c>
      <c r="J637" s="17" t="str">
        <f>IF($C637="","",IF(COUNTIFS('RAW_농산물_8월'!$D:$D,$C637,'RAW_농산물_8월'!$A:$A,$E637)&gt;0,"O",""))</f>
        <v/>
      </c>
      <c r="K637" s="17" t="str">
        <f>IF($C637="","",IF(COUNTIFS('RAW_농산물_9월'!$D:$D,$C637,'RAW_농산물_9월'!$A:$A,$E637)&gt;0,"O",""))</f>
        <v/>
      </c>
      <c r="L637" s="17" t="str">
        <f>IF($C637="","",IF(COUNTIFS('RAW_농산물_10월'!$D:$D,$C637,'RAW_농산물_10월'!$A:$A,$E637)&gt;0,"O",""))</f>
        <v/>
      </c>
      <c r="M637" s="17" t="str">
        <f>IF($C637="","",IF(COUNTIFS('RAW_농산물_11-12월'!$D:$D,$C637,'RAW_농산물_11-12월'!$A:$A,$E637)&gt;0,"O",""))</f>
        <v/>
      </c>
      <c r="N637" s="7" t="str">
        <f>IF($C637="","",IF(COUNTA('RAW_농산물_7월'!$A:$A)&lt;=1,"",SUMIFS('RAW_농산물_7월'!$H:$H,'RAW_농산물_7월'!$D:$D,$C637,'RAW_농산물_7월'!$A:$A,$E637)))</f>
        <v/>
      </c>
      <c r="O637" s="7" t="str">
        <f>IF($C637="","",IF(COUNTA('RAW_농산물_8월'!$A:$A)&lt;=1,"",SUMIFS('RAW_농산물_8월'!$H:$H,'RAW_농산물_8월'!$D:$D,$C637,'RAW_농산물_8월'!$A:$A,$E637)-SUMIFS('RAW_농산물_7월'!$H:$H,'RAW_농산물_7월'!$D:$D,$C637,'RAW_농산물_7월'!$A:$A,$E637)))</f>
        <v/>
      </c>
      <c r="P637" s="7" t="str">
        <f>IF($C637="","",IF(COUNTA('RAW_농산물_9월'!$A:$A)&lt;=1,"",SUMIFS('RAW_농산물_9월'!$H:$H,'RAW_농산물_9월'!$D:$D,$C637,'RAW_농산물_9월'!$A:$A,$E637)-SUMIFS('RAW_농산물_8월'!$H:$H,'RAW_농산물_8월'!$D:$D,$C637,'RAW_농산물_8월'!$A:$A,$E637)))</f>
        <v/>
      </c>
      <c r="Q637" s="7" t="str">
        <f>IF($C637="","",IF(COUNTA('RAW_농산물_10월'!$A:$A)&lt;=1,"",SUMIFS('RAW_농산물_10월'!$H:$H,'RAW_농산물_10월'!$D:$D,$C637,'RAW_농산물_10월'!$A:$A,$E637)-SUMIFS('RAW_농산물_9월'!$H:$H,'RAW_농산물_9월'!$D:$D,$C637,'RAW_농산물_9월'!$A:$A,$E637)))</f>
        <v/>
      </c>
      <c r="R637" s="7" t="str">
        <f>IF($C637="","",IF(COUNTA('RAW_농산물_11-12월'!$A:$A)&lt;=1,"",SUMIFS('RAW_농산물_11-12월'!$H:$H,'RAW_농산물_11-12월'!$D:$D,$C637,'RAW_농산물_11-12월'!$A:$A,$E637)-SUMIFS('RAW_농산물_10월'!$H:$H,'RAW_농산물_10월'!$D:$D,$C637,'RAW_농산물_10월'!$A:$A,$E637)))</f>
        <v/>
      </c>
      <c r="S637" s="17" t="str">
        <f t="shared" si="4"/>
        <v/>
      </c>
      <c r="T637" s="17" t="str">
        <f t="shared" si="5"/>
        <v/>
      </c>
      <c r="U637" s="7">
        <f>IF($C637="",0,IF('설정'!$B$3=0,0,CHOOSE('설정'!$B$3,COUNTIFS('RAW_농산물_7월'!$D:$D,$C637,'RAW_농산물_7월'!$A:$A,$E637),COUNTIFS('RAW_농산물_8월'!$D:$D,$C637,'RAW_농산물_8월'!$A:$A,$E637),COUNTIFS('RAW_농산물_9월'!$D:$D,$C637,'RAW_농산물_9월'!$A:$A,$E637),COUNTIFS('RAW_농산물_10월'!$D:$D,$C637,'RAW_농산물_10월'!$A:$A,$E637),COUNTIFS('RAW_농산물_11-12월'!$D:$D,$C637,'RAW_농산물_11-12월'!$A:$A,$E637))))</f>
        <v>0</v>
      </c>
    </row>
    <row r="638" ht="15.75" customHeight="1">
      <c r="A638" s="5"/>
      <c r="B638" s="5"/>
      <c r="C638" s="5"/>
      <c r="D638" s="6"/>
      <c r="E638" s="5"/>
      <c r="F638" s="7" t="str">
        <f>IF($C638="","",IF('설정'!$B$3=0,"",CHOOSE('설정'!$B$3,SUMIFS('RAW_농산물_7월'!$F:$F,'RAW_농산물_7월'!$D:$D,$C638,'RAW_농산물_7월'!$A:$A,$E638),SUMIFS('RAW_농산물_8월'!$F:$F,'RAW_농산물_8월'!$D:$D,$C638,'RAW_농산물_8월'!$A:$A,$E638),SUMIFS('RAW_농산물_9월'!$F:$F,'RAW_농산물_9월'!$D:$D,$C638,'RAW_농산물_9월'!$A:$A,$E638),SUMIFS('RAW_농산물_10월'!$F:$F,'RAW_농산물_10월'!$D:$D,$C638,'RAW_농산물_10월'!$A:$A,$E638),SUMIFS('RAW_농산물_11-12월'!$F:$F,'RAW_농산물_11-12월'!$D:$D,$C638,'RAW_농산물_11-12월'!$A:$A,$E638))))</f>
        <v/>
      </c>
      <c r="G638" s="7" t="str">
        <f>IF($C638="","",IF('설정'!$B$3=0,"",CHOOSE('설정'!$B$3,SUMIFS('RAW_농산물_7월'!$G:$G,'RAW_농산물_7월'!$D:$D,$C638,'RAW_농산물_7월'!$A:$A,$E638),SUMIFS('RAW_농산물_8월'!$G:$G,'RAW_농산물_8월'!$D:$D,$C638,'RAW_농산물_8월'!$A:$A,$E638),SUMIFS('RAW_농산물_9월'!$G:$G,'RAW_농산물_9월'!$D:$D,$C638,'RAW_농산물_9월'!$A:$A,$E638),SUMIFS('RAW_농산물_10월'!$G:$G,'RAW_농산물_10월'!$D:$D,$C638,'RAW_농산물_10월'!$A:$A,$E638),SUMIFS('RAW_농산물_11-12월'!$G:$G,'RAW_농산물_11-12월'!$D:$D,$C638,'RAW_농산물_11-12월'!$A:$A,$E638))))</f>
        <v/>
      </c>
      <c r="H638" s="14" t="str">
        <f>IF($C638="","",IF('설정'!$B$3=0,"",CHOOSE('설정'!$B$3,SUMIFS('RAW_농산물_7월'!$H:$H,'RAW_농산물_7월'!$D:$D,$C638,'RAW_농산물_7월'!$A:$A,$E638),SUMIFS('RAW_농산물_8월'!$H:$H,'RAW_농산물_8월'!$D:$D,$C638,'RAW_농산물_8월'!$A:$A,$E638),SUMIFS('RAW_농산물_9월'!$H:$H,'RAW_농산물_9월'!$D:$D,$C638,'RAW_농산물_9월'!$A:$A,$E638),SUMIFS('RAW_농산물_10월'!$H:$H,'RAW_농산물_10월'!$D:$D,$C638,'RAW_농산물_10월'!$A:$A,$E638),SUMIFS('RAW_농산물_11-12월'!$H:$H,'RAW_농산물_11-12월'!$D:$D,$C638,'RAW_농산물_11-12월'!$A:$A,$E638))))</f>
        <v/>
      </c>
      <c r="I638" s="17" t="str">
        <f>IF($C638="","",IF(COUNTIFS('RAW_농산물_7월'!$D:$D,$C638,'RAW_농산물_7월'!$A:$A,$E638)&gt;0,"O",""))</f>
        <v/>
      </c>
      <c r="J638" s="17" t="str">
        <f>IF($C638="","",IF(COUNTIFS('RAW_농산물_8월'!$D:$D,$C638,'RAW_농산물_8월'!$A:$A,$E638)&gt;0,"O",""))</f>
        <v/>
      </c>
      <c r="K638" s="17" t="str">
        <f>IF($C638="","",IF(COUNTIFS('RAW_농산물_9월'!$D:$D,$C638,'RAW_농산물_9월'!$A:$A,$E638)&gt;0,"O",""))</f>
        <v/>
      </c>
      <c r="L638" s="17" t="str">
        <f>IF($C638="","",IF(COUNTIFS('RAW_농산물_10월'!$D:$D,$C638,'RAW_농산물_10월'!$A:$A,$E638)&gt;0,"O",""))</f>
        <v/>
      </c>
      <c r="M638" s="17" t="str">
        <f>IF($C638="","",IF(COUNTIFS('RAW_농산물_11-12월'!$D:$D,$C638,'RAW_농산물_11-12월'!$A:$A,$E638)&gt;0,"O",""))</f>
        <v/>
      </c>
      <c r="N638" s="7" t="str">
        <f>IF($C638="","",IF(COUNTA('RAW_농산물_7월'!$A:$A)&lt;=1,"",SUMIFS('RAW_농산물_7월'!$H:$H,'RAW_농산물_7월'!$D:$D,$C638,'RAW_농산물_7월'!$A:$A,$E638)))</f>
        <v/>
      </c>
      <c r="O638" s="7" t="str">
        <f>IF($C638="","",IF(COUNTA('RAW_농산물_8월'!$A:$A)&lt;=1,"",SUMIFS('RAW_농산물_8월'!$H:$H,'RAW_농산물_8월'!$D:$D,$C638,'RAW_농산물_8월'!$A:$A,$E638)-SUMIFS('RAW_농산물_7월'!$H:$H,'RAW_농산물_7월'!$D:$D,$C638,'RAW_농산물_7월'!$A:$A,$E638)))</f>
        <v/>
      </c>
      <c r="P638" s="7" t="str">
        <f>IF($C638="","",IF(COUNTA('RAW_농산물_9월'!$A:$A)&lt;=1,"",SUMIFS('RAW_농산물_9월'!$H:$H,'RAW_농산물_9월'!$D:$D,$C638,'RAW_농산물_9월'!$A:$A,$E638)-SUMIFS('RAW_농산물_8월'!$H:$H,'RAW_농산물_8월'!$D:$D,$C638,'RAW_농산물_8월'!$A:$A,$E638)))</f>
        <v/>
      </c>
      <c r="Q638" s="7" t="str">
        <f>IF($C638="","",IF(COUNTA('RAW_농산물_10월'!$A:$A)&lt;=1,"",SUMIFS('RAW_농산물_10월'!$H:$H,'RAW_농산물_10월'!$D:$D,$C638,'RAW_농산물_10월'!$A:$A,$E638)-SUMIFS('RAW_농산물_9월'!$H:$H,'RAW_농산물_9월'!$D:$D,$C638,'RAW_농산물_9월'!$A:$A,$E638)))</f>
        <v/>
      </c>
      <c r="R638" s="7" t="str">
        <f>IF($C638="","",IF(COUNTA('RAW_농산물_11-12월'!$A:$A)&lt;=1,"",SUMIFS('RAW_농산물_11-12월'!$H:$H,'RAW_농산물_11-12월'!$D:$D,$C638,'RAW_농산물_11-12월'!$A:$A,$E638)-SUMIFS('RAW_농산물_10월'!$H:$H,'RAW_농산물_10월'!$D:$D,$C638,'RAW_농산물_10월'!$A:$A,$E638)))</f>
        <v/>
      </c>
      <c r="S638" s="17" t="str">
        <f t="shared" si="4"/>
        <v/>
      </c>
      <c r="T638" s="17" t="str">
        <f t="shared" si="5"/>
        <v/>
      </c>
      <c r="U638" s="7">
        <f>IF($C638="",0,IF('설정'!$B$3=0,0,CHOOSE('설정'!$B$3,COUNTIFS('RAW_농산물_7월'!$D:$D,$C638,'RAW_농산물_7월'!$A:$A,$E638),COUNTIFS('RAW_농산물_8월'!$D:$D,$C638,'RAW_농산물_8월'!$A:$A,$E638),COUNTIFS('RAW_농산물_9월'!$D:$D,$C638,'RAW_농산물_9월'!$A:$A,$E638),COUNTIFS('RAW_농산물_10월'!$D:$D,$C638,'RAW_농산물_10월'!$A:$A,$E638),COUNTIFS('RAW_농산물_11-12월'!$D:$D,$C638,'RAW_농산물_11-12월'!$A:$A,$E638))))</f>
        <v>0</v>
      </c>
    </row>
    <row r="639" ht="15.75" customHeight="1">
      <c r="A639" s="5"/>
      <c r="B639" s="5"/>
      <c r="C639" s="5"/>
      <c r="D639" s="6"/>
      <c r="E639" s="5"/>
      <c r="F639" s="7" t="str">
        <f>IF($C639="","",IF('설정'!$B$3=0,"",CHOOSE('설정'!$B$3,SUMIFS('RAW_농산물_7월'!$F:$F,'RAW_농산물_7월'!$D:$D,$C639,'RAW_농산물_7월'!$A:$A,$E639),SUMIFS('RAW_농산물_8월'!$F:$F,'RAW_농산물_8월'!$D:$D,$C639,'RAW_농산물_8월'!$A:$A,$E639),SUMIFS('RAW_농산물_9월'!$F:$F,'RAW_농산물_9월'!$D:$D,$C639,'RAW_농산물_9월'!$A:$A,$E639),SUMIFS('RAW_농산물_10월'!$F:$F,'RAW_농산물_10월'!$D:$D,$C639,'RAW_농산물_10월'!$A:$A,$E639),SUMIFS('RAW_농산물_11-12월'!$F:$F,'RAW_농산물_11-12월'!$D:$D,$C639,'RAW_농산물_11-12월'!$A:$A,$E639))))</f>
        <v/>
      </c>
      <c r="G639" s="7" t="str">
        <f>IF($C639="","",IF('설정'!$B$3=0,"",CHOOSE('설정'!$B$3,SUMIFS('RAW_농산물_7월'!$G:$G,'RAW_농산물_7월'!$D:$D,$C639,'RAW_농산물_7월'!$A:$A,$E639),SUMIFS('RAW_농산물_8월'!$G:$G,'RAW_농산물_8월'!$D:$D,$C639,'RAW_농산물_8월'!$A:$A,$E639),SUMIFS('RAW_농산물_9월'!$G:$G,'RAW_농산물_9월'!$D:$D,$C639,'RAW_농산물_9월'!$A:$A,$E639),SUMIFS('RAW_농산물_10월'!$G:$G,'RAW_농산물_10월'!$D:$D,$C639,'RAW_농산물_10월'!$A:$A,$E639),SUMIFS('RAW_농산물_11-12월'!$G:$G,'RAW_농산물_11-12월'!$D:$D,$C639,'RAW_농산물_11-12월'!$A:$A,$E639))))</f>
        <v/>
      </c>
      <c r="H639" s="14" t="str">
        <f>IF($C639="","",IF('설정'!$B$3=0,"",CHOOSE('설정'!$B$3,SUMIFS('RAW_농산물_7월'!$H:$H,'RAW_농산물_7월'!$D:$D,$C639,'RAW_농산물_7월'!$A:$A,$E639),SUMIFS('RAW_농산물_8월'!$H:$H,'RAW_농산물_8월'!$D:$D,$C639,'RAW_농산물_8월'!$A:$A,$E639),SUMIFS('RAW_농산물_9월'!$H:$H,'RAW_농산물_9월'!$D:$D,$C639,'RAW_농산물_9월'!$A:$A,$E639),SUMIFS('RAW_농산물_10월'!$H:$H,'RAW_농산물_10월'!$D:$D,$C639,'RAW_농산물_10월'!$A:$A,$E639),SUMIFS('RAW_농산물_11-12월'!$H:$H,'RAW_농산물_11-12월'!$D:$D,$C639,'RAW_농산물_11-12월'!$A:$A,$E639))))</f>
        <v/>
      </c>
      <c r="I639" s="17" t="str">
        <f>IF($C639="","",IF(COUNTIFS('RAW_농산물_7월'!$D:$D,$C639,'RAW_농산물_7월'!$A:$A,$E639)&gt;0,"O",""))</f>
        <v/>
      </c>
      <c r="J639" s="17" t="str">
        <f>IF($C639="","",IF(COUNTIFS('RAW_농산물_8월'!$D:$D,$C639,'RAW_농산물_8월'!$A:$A,$E639)&gt;0,"O",""))</f>
        <v/>
      </c>
      <c r="K639" s="17" t="str">
        <f>IF($C639="","",IF(COUNTIFS('RAW_농산물_9월'!$D:$D,$C639,'RAW_농산물_9월'!$A:$A,$E639)&gt;0,"O",""))</f>
        <v/>
      </c>
      <c r="L639" s="17" t="str">
        <f>IF($C639="","",IF(COUNTIFS('RAW_농산물_10월'!$D:$D,$C639,'RAW_농산물_10월'!$A:$A,$E639)&gt;0,"O",""))</f>
        <v/>
      </c>
      <c r="M639" s="17" t="str">
        <f>IF($C639="","",IF(COUNTIFS('RAW_농산물_11-12월'!$D:$D,$C639,'RAW_농산물_11-12월'!$A:$A,$E639)&gt;0,"O",""))</f>
        <v/>
      </c>
      <c r="N639" s="7" t="str">
        <f>IF($C639="","",IF(COUNTA('RAW_농산물_7월'!$A:$A)&lt;=1,"",SUMIFS('RAW_농산물_7월'!$H:$H,'RAW_농산물_7월'!$D:$D,$C639,'RAW_농산물_7월'!$A:$A,$E639)))</f>
        <v/>
      </c>
      <c r="O639" s="7" t="str">
        <f>IF($C639="","",IF(COUNTA('RAW_농산물_8월'!$A:$A)&lt;=1,"",SUMIFS('RAW_농산물_8월'!$H:$H,'RAW_농산물_8월'!$D:$D,$C639,'RAW_농산물_8월'!$A:$A,$E639)-SUMIFS('RAW_농산물_7월'!$H:$H,'RAW_농산물_7월'!$D:$D,$C639,'RAW_농산물_7월'!$A:$A,$E639)))</f>
        <v/>
      </c>
      <c r="P639" s="7" t="str">
        <f>IF($C639="","",IF(COUNTA('RAW_농산물_9월'!$A:$A)&lt;=1,"",SUMIFS('RAW_농산물_9월'!$H:$H,'RAW_농산물_9월'!$D:$D,$C639,'RAW_농산물_9월'!$A:$A,$E639)-SUMIFS('RAW_농산물_8월'!$H:$H,'RAW_농산물_8월'!$D:$D,$C639,'RAW_농산물_8월'!$A:$A,$E639)))</f>
        <v/>
      </c>
      <c r="Q639" s="7" t="str">
        <f>IF($C639="","",IF(COUNTA('RAW_농산물_10월'!$A:$A)&lt;=1,"",SUMIFS('RAW_농산물_10월'!$H:$H,'RAW_농산물_10월'!$D:$D,$C639,'RAW_농산물_10월'!$A:$A,$E639)-SUMIFS('RAW_농산물_9월'!$H:$H,'RAW_농산물_9월'!$D:$D,$C639,'RAW_농산물_9월'!$A:$A,$E639)))</f>
        <v/>
      </c>
      <c r="R639" s="7" t="str">
        <f>IF($C639="","",IF(COUNTA('RAW_농산물_11-12월'!$A:$A)&lt;=1,"",SUMIFS('RAW_농산물_11-12월'!$H:$H,'RAW_농산물_11-12월'!$D:$D,$C639,'RAW_농산물_11-12월'!$A:$A,$E639)-SUMIFS('RAW_농산물_10월'!$H:$H,'RAW_농산물_10월'!$D:$D,$C639,'RAW_농산물_10월'!$A:$A,$E639)))</f>
        <v/>
      </c>
      <c r="S639" s="17" t="str">
        <f t="shared" si="4"/>
        <v/>
      </c>
      <c r="T639" s="17" t="str">
        <f t="shared" si="5"/>
        <v/>
      </c>
      <c r="U639" s="7">
        <f>IF($C639="",0,IF('설정'!$B$3=0,0,CHOOSE('설정'!$B$3,COUNTIFS('RAW_농산물_7월'!$D:$D,$C639,'RAW_농산물_7월'!$A:$A,$E639),COUNTIFS('RAW_농산물_8월'!$D:$D,$C639,'RAW_농산물_8월'!$A:$A,$E639),COUNTIFS('RAW_농산물_9월'!$D:$D,$C639,'RAW_농산물_9월'!$A:$A,$E639),COUNTIFS('RAW_농산물_10월'!$D:$D,$C639,'RAW_농산물_10월'!$A:$A,$E639),COUNTIFS('RAW_농산물_11-12월'!$D:$D,$C639,'RAW_농산물_11-12월'!$A:$A,$E639))))</f>
        <v>0</v>
      </c>
    </row>
    <row r="640" ht="15.75" customHeight="1">
      <c r="A640" s="5"/>
      <c r="B640" s="5"/>
      <c r="C640" s="5"/>
      <c r="D640" s="6"/>
      <c r="E640" s="5"/>
      <c r="F640" s="7" t="str">
        <f>IF($C640="","",IF('설정'!$B$3=0,"",CHOOSE('설정'!$B$3,SUMIFS('RAW_농산물_7월'!$F:$F,'RAW_농산물_7월'!$D:$D,$C640,'RAW_농산물_7월'!$A:$A,$E640),SUMIFS('RAW_농산물_8월'!$F:$F,'RAW_농산물_8월'!$D:$D,$C640,'RAW_농산물_8월'!$A:$A,$E640),SUMIFS('RAW_농산물_9월'!$F:$F,'RAW_농산물_9월'!$D:$D,$C640,'RAW_농산물_9월'!$A:$A,$E640),SUMIFS('RAW_농산물_10월'!$F:$F,'RAW_농산물_10월'!$D:$D,$C640,'RAW_농산물_10월'!$A:$A,$E640),SUMIFS('RAW_농산물_11-12월'!$F:$F,'RAW_농산물_11-12월'!$D:$D,$C640,'RAW_농산물_11-12월'!$A:$A,$E640))))</f>
        <v/>
      </c>
      <c r="G640" s="7" t="str">
        <f>IF($C640="","",IF('설정'!$B$3=0,"",CHOOSE('설정'!$B$3,SUMIFS('RAW_농산물_7월'!$G:$G,'RAW_농산물_7월'!$D:$D,$C640,'RAW_농산물_7월'!$A:$A,$E640),SUMIFS('RAW_농산물_8월'!$G:$G,'RAW_농산물_8월'!$D:$D,$C640,'RAW_농산물_8월'!$A:$A,$E640),SUMIFS('RAW_농산물_9월'!$G:$G,'RAW_농산물_9월'!$D:$D,$C640,'RAW_농산물_9월'!$A:$A,$E640),SUMIFS('RAW_농산물_10월'!$G:$G,'RAW_농산물_10월'!$D:$D,$C640,'RAW_농산물_10월'!$A:$A,$E640),SUMIFS('RAW_농산물_11-12월'!$G:$G,'RAW_농산물_11-12월'!$D:$D,$C640,'RAW_농산물_11-12월'!$A:$A,$E640))))</f>
        <v/>
      </c>
      <c r="H640" s="14" t="str">
        <f>IF($C640="","",IF('설정'!$B$3=0,"",CHOOSE('설정'!$B$3,SUMIFS('RAW_농산물_7월'!$H:$H,'RAW_농산물_7월'!$D:$D,$C640,'RAW_농산물_7월'!$A:$A,$E640),SUMIFS('RAW_농산물_8월'!$H:$H,'RAW_농산물_8월'!$D:$D,$C640,'RAW_농산물_8월'!$A:$A,$E640),SUMIFS('RAW_농산물_9월'!$H:$H,'RAW_농산물_9월'!$D:$D,$C640,'RAW_농산물_9월'!$A:$A,$E640),SUMIFS('RAW_농산물_10월'!$H:$H,'RAW_농산물_10월'!$D:$D,$C640,'RAW_농산물_10월'!$A:$A,$E640),SUMIFS('RAW_농산물_11-12월'!$H:$H,'RAW_농산물_11-12월'!$D:$D,$C640,'RAW_농산물_11-12월'!$A:$A,$E640))))</f>
        <v/>
      </c>
      <c r="I640" s="17" t="str">
        <f>IF($C640="","",IF(COUNTIFS('RAW_농산물_7월'!$D:$D,$C640,'RAW_농산물_7월'!$A:$A,$E640)&gt;0,"O",""))</f>
        <v/>
      </c>
      <c r="J640" s="17" t="str">
        <f>IF($C640="","",IF(COUNTIFS('RAW_농산물_8월'!$D:$D,$C640,'RAW_농산물_8월'!$A:$A,$E640)&gt;0,"O",""))</f>
        <v/>
      </c>
      <c r="K640" s="17" t="str">
        <f>IF($C640="","",IF(COUNTIFS('RAW_농산물_9월'!$D:$D,$C640,'RAW_농산물_9월'!$A:$A,$E640)&gt;0,"O",""))</f>
        <v/>
      </c>
      <c r="L640" s="17" t="str">
        <f>IF($C640="","",IF(COUNTIFS('RAW_농산물_10월'!$D:$D,$C640,'RAW_농산물_10월'!$A:$A,$E640)&gt;0,"O",""))</f>
        <v/>
      </c>
      <c r="M640" s="17" t="str">
        <f>IF($C640="","",IF(COUNTIFS('RAW_농산물_11-12월'!$D:$D,$C640,'RAW_농산물_11-12월'!$A:$A,$E640)&gt;0,"O",""))</f>
        <v/>
      </c>
      <c r="N640" s="7" t="str">
        <f>IF($C640="","",IF(COUNTA('RAW_농산물_7월'!$A:$A)&lt;=1,"",SUMIFS('RAW_농산물_7월'!$H:$H,'RAW_농산물_7월'!$D:$D,$C640,'RAW_농산물_7월'!$A:$A,$E640)))</f>
        <v/>
      </c>
      <c r="O640" s="7" t="str">
        <f>IF($C640="","",IF(COUNTA('RAW_농산물_8월'!$A:$A)&lt;=1,"",SUMIFS('RAW_농산물_8월'!$H:$H,'RAW_농산물_8월'!$D:$D,$C640,'RAW_농산물_8월'!$A:$A,$E640)-SUMIFS('RAW_농산물_7월'!$H:$H,'RAW_농산물_7월'!$D:$D,$C640,'RAW_농산물_7월'!$A:$A,$E640)))</f>
        <v/>
      </c>
      <c r="P640" s="7" t="str">
        <f>IF($C640="","",IF(COUNTA('RAW_농산물_9월'!$A:$A)&lt;=1,"",SUMIFS('RAW_농산물_9월'!$H:$H,'RAW_농산물_9월'!$D:$D,$C640,'RAW_농산물_9월'!$A:$A,$E640)-SUMIFS('RAW_농산물_8월'!$H:$H,'RAW_농산물_8월'!$D:$D,$C640,'RAW_농산물_8월'!$A:$A,$E640)))</f>
        <v/>
      </c>
      <c r="Q640" s="7" t="str">
        <f>IF($C640="","",IF(COUNTA('RAW_농산물_10월'!$A:$A)&lt;=1,"",SUMIFS('RAW_농산물_10월'!$H:$H,'RAW_농산물_10월'!$D:$D,$C640,'RAW_농산물_10월'!$A:$A,$E640)-SUMIFS('RAW_농산물_9월'!$H:$H,'RAW_농산물_9월'!$D:$D,$C640,'RAW_농산물_9월'!$A:$A,$E640)))</f>
        <v/>
      </c>
      <c r="R640" s="7" t="str">
        <f>IF($C640="","",IF(COUNTA('RAW_농산물_11-12월'!$A:$A)&lt;=1,"",SUMIFS('RAW_농산물_11-12월'!$H:$H,'RAW_농산물_11-12월'!$D:$D,$C640,'RAW_농산물_11-12월'!$A:$A,$E640)-SUMIFS('RAW_농산물_10월'!$H:$H,'RAW_농산물_10월'!$D:$D,$C640,'RAW_농산물_10월'!$A:$A,$E640)))</f>
        <v/>
      </c>
      <c r="S640" s="17" t="str">
        <f t="shared" si="4"/>
        <v/>
      </c>
      <c r="T640" s="17" t="str">
        <f t="shared" si="5"/>
        <v/>
      </c>
      <c r="U640" s="7">
        <f>IF($C640="",0,IF('설정'!$B$3=0,0,CHOOSE('설정'!$B$3,COUNTIFS('RAW_농산물_7월'!$D:$D,$C640,'RAW_농산물_7월'!$A:$A,$E640),COUNTIFS('RAW_농산물_8월'!$D:$D,$C640,'RAW_농산물_8월'!$A:$A,$E640),COUNTIFS('RAW_농산물_9월'!$D:$D,$C640,'RAW_농산물_9월'!$A:$A,$E640),COUNTIFS('RAW_농산물_10월'!$D:$D,$C640,'RAW_농산물_10월'!$A:$A,$E640),COUNTIFS('RAW_농산물_11-12월'!$D:$D,$C640,'RAW_농산물_11-12월'!$A:$A,$E640))))</f>
        <v>0</v>
      </c>
    </row>
    <row r="641" ht="15.75" customHeight="1">
      <c r="A641" s="5"/>
      <c r="B641" s="5"/>
      <c r="C641" s="5"/>
      <c r="D641" s="6"/>
      <c r="E641" s="5"/>
      <c r="F641" s="7" t="str">
        <f>IF($C641="","",IF('설정'!$B$3=0,"",CHOOSE('설정'!$B$3,SUMIFS('RAW_농산물_7월'!$F:$F,'RAW_농산물_7월'!$D:$D,$C641,'RAW_농산물_7월'!$A:$A,$E641),SUMIFS('RAW_농산물_8월'!$F:$F,'RAW_농산물_8월'!$D:$D,$C641,'RAW_농산물_8월'!$A:$A,$E641),SUMIFS('RAW_농산물_9월'!$F:$F,'RAW_농산물_9월'!$D:$D,$C641,'RAW_농산물_9월'!$A:$A,$E641),SUMIFS('RAW_농산물_10월'!$F:$F,'RAW_농산물_10월'!$D:$D,$C641,'RAW_농산물_10월'!$A:$A,$E641),SUMIFS('RAW_농산물_11-12월'!$F:$F,'RAW_농산물_11-12월'!$D:$D,$C641,'RAW_농산물_11-12월'!$A:$A,$E641))))</f>
        <v/>
      </c>
      <c r="G641" s="7" t="str">
        <f>IF($C641="","",IF('설정'!$B$3=0,"",CHOOSE('설정'!$B$3,SUMIFS('RAW_농산물_7월'!$G:$G,'RAW_농산물_7월'!$D:$D,$C641,'RAW_농산물_7월'!$A:$A,$E641),SUMIFS('RAW_농산물_8월'!$G:$G,'RAW_농산물_8월'!$D:$D,$C641,'RAW_농산물_8월'!$A:$A,$E641),SUMIFS('RAW_농산물_9월'!$G:$G,'RAW_농산물_9월'!$D:$D,$C641,'RAW_농산물_9월'!$A:$A,$E641),SUMIFS('RAW_농산물_10월'!$G:$G,'RAW_농산물_10월'!$D:$D,$C641,'RAW_농산물_10월'!$A:$A,$E641),SUMIFS('RAW_농산물_11-12월'!$G:$G,'RAW_농산물_11-12월'!$D:$D,$C641,'RAW_농산물_11-12월'!$A:$A,$E641))))</f>
        <v/>
      </c>
      <c r="H641" s="14" t="str">
        <f>IF($C641="","",IF('설정'!$B$3=0,"",CHOOSE('설정'!$B$3,SUMIFS('RAW_농산물_7월'!$H:$H,'RAW_농산물_7월'!$D:$D,$C641,'RAW_농산물_7월'!$A:$A,$E641),SUMIFS('RAW_농산물_8월'!$H:$H,'RAW_농산물_8월'!$D:$D,$C641,'RAW_농산물_8월'!$A:$A,$E641),SUMIFS('RAW_농산물_9월'!$H:$H,'RAW_농산물_9월'!$D:$D,$C641,'RAW_농산물_9월'!$A:$A,$E641),SUMIFS('RAW_농산물_10월'!$H:$H,'RAW_농산물_10월'!$D:$D,$C641,'RAW_농산물_10월'!$A:$A,$E641),SUMIFS('RAW_농산물_11-12월'!$H:$H,'RAW_농산물_11-12월'!$D:$D,$C641,'RAW_농산물_11-12월'!$A:$A,$E641))))</f>
        <v/>
      </c>
      <c r="I641" s="17" t="str">
        <f>IF($C641="","",IF(COUNTIFS('RAW_농산물_7월'!$D:$D,$C641,'RAW_농산물_7월'!$A:$A,$E641)&gt;0,"O",""))</f>
        <v/>
      </c>
      <c r="J641" s="17" t="str">
        <f>IF($C641="","",IF(COUNTIFS('RAW_농산물_8월'!$D:$D,$C641,'RAW_농산물_8월'!$A:$A,$E641)&gt;0,"O",""))</f>
        <v/>
      </c>
      <c r="K641" s="17" t="str">
        <f>IF($C641="","",IF(COUNTIFS('RAW_농산물_9월'!$D:$D,$C641,'RAW_농산물_9월'!$A:$A,$E641)&gt;0,"O",""))</f>
        <v/>
      </c>
      <c r="L641" s="17" t="str">
        <f>IF($C641="","",IF(COUNTIFS('RAW_농산물_10월'!$D:$D,$C641,'RAW_농산물_10월'!$A:$A,$E641)&gt;0,"O",""))</f>
        <v/>
      </c>
      <c r="M641" s="17" t="str">
        <f>IF($C641="","",IF(COUNTIFS('RAW_농산물_11-12월'!$D:$D,$C641,'RAW_농산물_11-12월'!$A:$A,$E641)&gt;0,"O",""))</f>
        <v/>
      </c>
      <c r="N641" s="7" t="str">
        <f>IF($C641="","",IF(COUNTA('RAW_농산물_7월'!$A:$A)&lt;=1,"",SUMIFS('RAW_농산물_7월'!$H:$H,'RAW_농산물_7월'!$D:$D,$C641,'RAW_농산물_7월'!$A:$A,$E641)))</f>
        <v/>
      </c>
      <c r="O641" s="7" t="str">
        <f>IF($C641="","",IF(COUNTA('RAW_농산물_8월'!$A:$A)&lt;=1,"",SUMIFS('RAW_농산물_8월'!$H:$H,'RAW_농산물_8월'!$D:$D,$C641,'RAW_농산물_8월'!$A:$A,$E641)-SUMIFS('RAW_농산물_7월'!$H:$H,'RAW_농산물_7월'!$D:$D,$C641,'RAW_농산물_7월'!$A:$A,$E641)))</f>
        <v/>
      </c>
      <c r="P641" s="7" t="str">
        <f>IF($C641="","",IF(COUNTA('RAW_농산물_9월'!$A:$A)&lt;=1,"",SUMIFS('RAW_농산물_9월'!$H:$H,'RAW_농산물_9월'!$D:$D,$C641,'RAW_농산물_9월'!$A:$A,$E641)-SUMIFS('RAW_농산물_8월'!$H:$H,'RAW_농산물_8월'!$D:$D,$C641,'RAW_농산물_8월'!$A:$A,$E641)))</f>
        <v/>
      </c>
      <c r="Q641" s="7" t="str">
        <f>IF($C641="","",IF(COUNTA('RAW_농산물_10월'!$A:$A)&lt;=1,"",SUMIFS('RAW_농산물_10월'!$H:$H,'RAW_농산물_10월'!$D:$D,$C641,'RAW_농산물_10월'!$A:$A,$E641)-SUMIFS('RAW_농산물_9월'!$H:$H,'RAW_농산물_9월'!$D:$D,$C641,'RAW_농산물_9월'!$A:$A,$E641)))</f>
        <v/>
      </c>
      <c r="R641" s="7" t="str">
        <f>IF($C641="","",IF(COUNTA('RAW_농산물_11-12월'!$A:$A)&lt;=1,"",SUMIFS('RAW_농산물_11-12월'!$H:$H,'RAW_농산물_11-12월'!$D:$D,$C641,'RAW_농산물_11-12월'!$A:$A,$E641)-SUMIFS('RAW_농산물_10월'!$H:$H,'RAW_농산물_10월'!$D:$D,$C641,'RAW_농산물_10월'!$A:$A,$E641)))</f>
        <v/>
      </c>
      <c r="S641" s="17" t="str">
        <f t="shared" si="4"/>
        <v/>
      </c>
      <c r="T641" s="17" t="str">
        <f t="shared" si="5"/>
        <v/>
      </c>
      <c r="U641" s="7">
        <f>IF($C641="",0,IF('설정'!$B$3=0,0,CHOOSE('설정'!$B$3,COUNTIFS('RAW_농산물_7월'!$D:$D,$C641,'RAW_농산물_7월'!$A:$A,$E641),COUNTIFS('RAW_농산물_8월'!$D:$D,$C641,'RAW_농산물_8월'!$A:$A,$E641),COUNTIFS('RAW_농산물_9월'!$D:$D,$C641,'RAW_농산물_9월'!$A:$A,$E641),COUNTIFS('RAW_농산물_10월'!$D:$D,$C641,'RAW_농산물_10월'!$A:$A,$E641),COUNTIFS('RAW_농산물_11-12월'!$D:$D,$C641,'RAW_농산물_11-12월'!$A:$A,$E641))))</f>
        <v>0</v>
      </c>
    </row>
    <row r="642" ht="15.75" customHeight="1">
      <c r="A642" s="5"/>
      <c r="B642" s="5"/>
      <c r="C642" s="5"/>
      <c r="D642" s="6"/>
      <c r="E642" s="5"/>
      <c r="F642" s="7" t="str">
        <f>IF($C642="","",IF('설정'!$B$3=0,"",CHOOSE('설정'!$B$3,SUMIFS('RAW_농산물_7월'!$F:$F,'RAW_농산물_7월'!$D:$D,$C642,'RAW_농산물_7월'!$A:$A,$E642),SUMIFS('RAW_농산물_8월'!$F:$F,'RAW_농산물_8월'!$D:$D,$C642,'RAW_농산물_8월'!$A:$A,$E642),SUMIFS('RAW_농산물_9월'!$F:$F,'RAW_농산물_9월'!$D:$D,$C642,'RAW_농산물_9월'!$A:$A,$E642),SUMIFS('RAW_농산물_10월'!$F:$F,'RAW_농산물_10월'!$D:$D,$C642,'RAW_농산물_10월'!$A:$A,$E642),SUMIFS('RAW_농산물_11-12월'!$F:$F,'RAW_농산물_11-12월'!$D:$D,$C642,'RAW_농산물_11-12월'!$A:$A,$E642))))</f>
        <v/>
      </c>
      <c r="G642" s="7" t="str">
        <f>IF($C642="","",IF('설정'!$B$3=0,"",CHOOSE('설정'!$B$3,SUMIFS('RAW_농산물_7월'!$G:$G,'RAW_농산물_7월'!$D:$D,$C642,'RAW_농산물_7월'!$A:$A,$E642),SUMIFS('RAW_농산물_8월'!$G:$G,'RAW_농산물_8월'!$D:$D,$C642,'RAW_농산물_8월'!$A:$A,$E642),SUMIFS('RAW_농산물_9월'!$G:$G,'RAW_농산물_9월'!$D:$D,$C642,'RAW_농산물_9월'!$A:$A,$E642),SUMIFS('RAW_농산물_10월'!$G:$G,'RAW_농산물_10월'!$D:$D,$C642,'RAW_농산물_10월'!$A:$A,$E642),SUMIFS('RAW_농산물_11-12월'!$G:$G,'RAW_농산물_11-12월'!$D:$D,$C642,'RAW_농산물_11-12월'!$A:$A,$E642))))</f>
        <v/>
      </c>
      <c r="H642" s="14" t="str">
        <f>IF($C642="","",IF('설정'!$B$3=0,"",CHOOSE('설정'!$B$3,SUMIFS('RAW_농산물_7월'!$H:$H,'RAW_농산물_7월'!$D:$D,$C642,'RAW_농산물_7월'!$A:$A,$E642),SUMIFS('RAW_농산물_8월'!$H:$H,'RAW_농산물_8월'!$D:$D,$C642,'RAW_농산물_8월'!$A:$A,$E642),SUMIFS('RAW_농산물_9월'!$H:$H,'RAW_농산물_9월'!$D:$D,$C642,'RAW_농산물_9월'!$A:$A,$E642),SUMIFS('RAW_농산물_10월'!$H:$H,'RAW_농산물_10월'!$D:$D,$C642,'RAW_농산물_10월'!$A:$A,$E642),SUMIFS('RAW_농산물_11-12월'!$H:$H,'RAW_농산물_11-12월'!$D:$D,$C642,'RAW_농산물_11-12월'!$A:$A,$E642))))</f>
        <v/>
      </c>
      <c r="I642" s="17" t="str">
        <f>IF($C642="","",IF(COUNTIFS('RAW_농산물_7월'!$D:$D,$C642,'RAW_농산물_7월'!$A:$A,$E642)&gt;0,"O",""))</f>
        <v/>
      </c>
      <c r="J642" s="17" t="str">
        <f>IF($C642="","",IF(COUNTIFS('RAW_농산물_8월'!$D:$D,$C642,'RAW_농산물_8월'!$A:$A,$E642)&gt;0,"O",""))</f>
        <v/>
      </c>
      <c r="K642" s="17" t="str">
        <f>IF($C642="","",IF(COUNTIFS('RAW_농산물_9월'!$D:$D,$C642,'RAW_농산물_9월'!$A:$A,$E642)&gt;0,"O",""))</f>
        <v/>
      </c>
      <c r="L642" s="17" t="str">
        <f>IF($C642="","",IF(COUNTIFS('RAW_농산물_10월'!$D:$D,$C642,'RAW_농산물_10월'!$A:$A,$E642)&gt;0,"O",""))</f>
        <v/>
      </c>
      <c r="M642" s="17" t="str">
        <f>IF($C642="","",IF(COUNTIFS('RAW_농산물_11-12월'!$D:$D,$C642,'RAW_농산물_11-12월'!$A:$A,$E642)&gt;0,"O",""))</f>
        <v/>
      </c>
      <c r="N642" s="7" t="str">
        <f>IF($C642="","",IF(COUNTA('RAW_농산물_7월'!$A:$A)&lt;=1,"",SUMIFS('RAW_농산물_7월'!$H:$H,'RAW_농산물_7월'!$D:$D,$C642,'RAW_농산물_7월'!$A:$A,$E642)))</f>
        <v/>
      </c>
      <c r="O642" s="7" t="str">
        <f>IF($C642="","",IF(COUNTA('RAW_농산물_8월'!$A:$A)&lt;=1,"",SUMIFS('RAW_농산물_8월'!$H:$H,'RAW_농산물_8월'!$D:$D,$C642,'RAW_농산물_8월'!$A:$A,$E642)-SUMIFS('RAW_농산물_7월'!$H:$H,'RAW_농산물_7월'!$D:$D,$C642,'RAW_농산물_7월'!$A:$A,$E642)))</f>
        <v/>
      </c>
      <c r="P642" s="7" t="str">
        <f>IF($C642="","",IF(COUNTA('RAW_농산물_9월'!$A:$A)&lt;=1,"",SUMIFS('RAW_농산물_9월'!$H:$H,'RAW_농산물_9월'!$D:$D,$C642,'RAW_농산물_9월'!$A:$A,$E642)-SUMIFS('RAW_농산물_8월'!$H:$H,'RAW_농산물_8월'!$D:$D,$C642,'RAW_농산물_8월'!$A:$A,$E642)))</f>
        <v/>
      </c>
      <c r="Q642" s="7" t="str">
        <f>IF($C642="","",IF(COUNTA('RAW_농산물_10월'!$A:$A)&lt;=1,"",SUMIFS('RAW_농산물_10월'!$H:$H,'RAW_농산물_10월'!$D:$D,$C642,'RAW_농산물_10월'!$A:$A,$E642)-SUMIFS('RAW_농산물_9월'!$H:$H,'RAW_농산물_9월'!$D:$D,$C642,'RAW_농산물_9월'!$A:$A,$E642)))</f>
        <v/>
      </c>
      <c r="R642" s="7" t="str">
        <f>IF($C642="","",IF(COUNTA('RAW_농산물_11-12월'!$A:$A)&lt;=1,"",SUMIFS('RAW_농산물_11-12월'!$H:$H,'RAW_농산물_11-12월'!$D:$D,$C642,'RAW_농산물_11-12월'!$A:$A,$E642)-SUMIFS('RAW_농산물_10월'!$H:$H,'RAW_농산물_10월'!$D:$D,$C642,'RAW_농산물_10월'!$A:$A,$E642)))</f>
        <v/>
      </c>
      <c r="S642" s="17" t="str">
        <f t="shared" si="4"/>
        <v/>
      </c>
      <c r="T642" s="17" t="str">
        <f t="shared" si="5"/>
        <v/>
      </c>
      <c r="U642" s="7">
        <f>IF($C642="",0,IF('설정'!$B$3=0,0,CHOOSE('설정'!$B$3,COUNTIFS('RAW_농산물_7월'!$D:$D,$C642,'RAW_농산물_7월'!$A:$A,$E642),COUNTIFS('RAW_농산물_8월'!$D:$D,$C642,'RAW_농산물_8월'!$A:$A,$E642),COUNTIFS('RAW_농산물_9월'!$D:$D,$C642,'RAW_농산물_9월'!$A:$A,$E642),COUNTIFS('RAW_농산물_10월'!$D:$D,$C642,'RAW_농산물_10월'!$A:$A,$E642),COUNTIFS('RAW_농산물_11-12월'!$D:$D,$C642,'RAW_농산물_11-12월'!$A:$A,$E642))))</f>
        <v>0</v>
      </c>
    </row>
    <row r="643" ht="15.75" customHeight="1">
      <c r="A643" s="5"/>
      <c r="B643" s="5"/>
      <c r="C643" s="5"/>
      <c r="D643" s="6"/>
      <c r="E643" s="5"/>
      <c r="F643" s="7" t="str">
        <f>IF($C643="","",IF('설정'!$B$3=0,"",CHOOSE('설정'!$B$3,SUMIFS('RAW_농산물_7월'!$F:$F,'RAW_농산물_7월'!$D:$D,$C643,'RAW_농산물_7월'!$A:$A,$E643),SUMIFS('RAW_농산물_8월'!$F:$F,'RAW_농산물_8월'!$D:$D,$C643,'RAW_농산물_8월'!$A:$A,$E643),SUMIFS('RAW_농산물_9월'!$F:$F,'RAW_농산물_9월'!$D:$D,$C643,'RAW_농산물_9월'!$A:$A,$E643),SUMIFS('RAW_농산물_10월'!$F:$F,'RAW_농산물_10월'!$D:$D,$C643,'RAW_농산물_10월'!$A:$A,$E643),SUMIFS('RAW_농산물_11-12월'!$F:$F,'RAW_농산물_11-12월'!$D:$D,$C643,'RAW_농산물_11-12월'!$A:$A,$E643))))</f>
        <v/>
      </c>
      <c r="G643" s="7" t="str">
        <f>IF($C643="","",IF('설정'!$B$3=0,"",CHOOSE('설정'!$B$3,SUMIFS('RAW_농산물_7월'!$G:$G,'RAW_농산물_7월'!$D:$D,$C643,'RAW_농산물_7월'!$A:$A,$E643),SUMIFS('RAW_농산물_8월'!$G:$G,'RAW_농산물_8월'!$D:$D,$C643,'RAW_농산물_8월'!$A:$A,$E643),SUMIFS('RAW_농산물_9월'!$G:$G,'RAW_농산물_9월'!$D:$D,$C643,'RAW_농산물_9월'!$A:$A,$E643),SUMIFS('RAW_농산물_10월'!$G:$G,'RAW_농산물_10월'!$D:$D,$C643,'RAW_농산물_10월'!$A:$A,$E643),SUMIFS('RAW_농산물_11-12월'!$G:$G,'RAW_농산물_11-12월'!$D:$D,$C643,'RAW_농산물_11-12월'!$A:$A,$E643))))</f>
        <v/>
      </c>
      <c r="H643" s="14" t="str">
        <f>IF($C643="","",IF('설정'!$B$3=0,"",CHOOSE('설정'!$B$3,SUMIFS('RAW_농산물_7월'!$H:$H,'RAW_농산물_7월'!$D:$D,$C643,'RAW_농산물_7월'!$A:$A,$E643),SUMIFS('RAW_농산물_8월'!$H:$H,'RAW_농산물_8월'!$D:$D,$C643,'RAW_농산물_8월'!$A:$A,$E643),SUMIFS('RAW_농산물_9월'!$H:$H,'RAW_농산물_9월'!$D:$D,$C643,'RAW_농산물_9월'!$A:$A,$E643),SUMIFS('RAW_농산물_10월'!$H:$H,'RAW_농산물_10월'!$D:$D,$C643,'RAW_농산물_10월'!$A:$A,$E643),SUMIFS('RAW_농산물_11-12월'!$H:$H,'RAW_농산물_11-12월'!$D:$D,$C643,'RAW_농산물_11-12월'!$A:$A,$E643))))</f>
        <v/>
      </c>
      <c r="I643" s="17" t="str">
        <f>IF($C643="","",IF(COUNTIFS('RAW_농산물_7월'!$D:$D,$C643,'RAW_농산물_7월'!$A:$A,$E643)&gt;0,"O",""))</f>
        <v/>
      </c>
      <c r="J643" s="17" t="str">
        <f>IF($C643="","",IF(COUNTIFS('RAW_농산물_8월'!$D:$D,$C643,'RAW_농산물_8월'!$A:$A,$E643)&gt;0,"O",""))</f>
        <v/>
      </c>
      <c r="K643" s="17" t="str">
        <f>IF($C643="","",IF(COUNTIFS('RAW_농산물_9월'!$D:$D,$C643,'RAW_농산물_9월'!$A:$A,$E643)&gt;0,"O",""))</f>
        <v/>
      </c>
      <c r="L643" s="17" t="str">
        <f>IF($C643="","",IF(COUNTIFS('RAW_농산물_10월'!$D:$D,$C643,'RAW_농산물_10월'!$A:$A,$E643)&gt;0,"O",""))</f>
        <v/>
      </c>
      <c r="M643" s="17" t="str">
        <f>IF($C643="","",IF(COUNTIFS('RAW_농산물_11-12월'!$D:$D,$C643,'RAW_농산물_11-12월'!$A:$A,$E643)&gt;0,"O",""))</f>
        <v/>
      </c>
      <c r="N643" s="7" t="str">
        <f>IF($C643="","",IF(COUNTA('RAW_농산물_7월'!$A:$A)&lt;=1,"",SUMIFS('RAW_농산물_7월'!$H:$H,'RAW_농산물_7월'!$D:$D,$C643,'RAW_농산물_7월'!$A:$A,$E643)))</f>
        <v/>
      </c>
      <c r="O643" s="7" t="str">
        <f>IF($C643="","",IF(COUNTA('RAW_농산물_8월'!$A:$A)&lt;=1,"",SUMIFS('RAW_농산물_8월'!$H:$H,'RAW_농산물_8월'!$D:$D,$C643,'RAW_농산물_8월'!$A:$A,$E643)-SUMIFS('RAW_농산물_7월'!$H:$H,'RAW_농산물_7월'!$D:$D,$C643,'RAW_농산물_7월'!$A:$A,$E643)))</f>
        <v/>
      </c>
      <c r="P643" s="7" t="str">
        <f>IF($C643="","",IF(COUNTA('RAW_농산물_9월'!$A:$A)&lt;=1,"",SUMIFS('RAW_농산물_9월'!$H:$H,'RAW_농산물_9월'!$D:$D,$C643,'RAW_농산물_9월'!$A:$A,$E643)-SUMIFS('RAW_농산물_8월'!$H:$H,'RAW_농산물_8월'!$D:$D,$C643,'RAW_농산물_8월'!$A:$A,$E643)))</f>
        <v/>
      </c>
      <c r="Q643" s="7" t="str">
        <f>IF($C643="","",IF(COUNTA('RAW_농산물_10월'!$A:$A)&lt;=1,"",SUMIFS('RAW_농산물_10월'!$H:$H,'RAW_농산물_10월'!$D:$D,$C643,'RAW_농산물_10월'!$A:$A,$E643)-SUMIFS('RAW_농산물_9월'!$H:$H,'RAW_농산물_9월'!$D:$D,$C643,'RAW_농산물_9월'!$A:$A,$E643)))</f>
        <v/>
      </c>
      <c r="R643" s="7" t="str">
        <f>IF($C643="","",IF(COUNTA('RAW_농산물_11-12월'!$A:$A)&lt;=1,"",SUMIFS('RAW_농산물_11-12월'!$H:$H,'RAW_농산물_11-12월'!$D:$D,$C643,'RAW_농산물_11-12월'!$A:$A,$E643)-SUMIFS('RAW_농산물_10월'!$H:$H,'RAW_농산물_10월'!$D:$D,$C643,'RAW_농산물_10월'!$A:$A,$E643)))</f>
        <v/>
      </c>
      <c r="S643" s="17" t="str">
        <f t="shared" si="4"/>
        <v/>
      </c>
      <c r="T643" s="17" t="str">
        <f t="shared" si="5"/>
        <v/>
      </c>
      <c r="U643" s="7">
        <f>IF($C643="",0,IF('설정'!$B$3=0,0,CHOOSE('설정'!$B$3,COUNTIFS('RAW_농산물_7월'!$D:$D,$C643,'RAW_농산물_7월'!$A:$A,$E643),COUNTIFS('RAW_농산물_8월'!$D:$D,$C643,'RAW_농산물_8월'!$A:$A,$E643),COUNTIFS('RAW_농산물_9월'!$D:$D,$C643,'RAW_농산물_9월'!$A:$A,$E643),COUNTIFS('RAW_농산물_10월'!$D:$D,$C643,'RAW_농산물_10월'!$A:$A,$E643),COUNTIFS('RAW_농산물_11-12월'!$D:$D,$C643,'RAW_농산물_11-12월'!$A:$A,$E643))))</f>
        <v>0</v>
      </c>
    </row>
    <row r="644" ht="15.75" customHeight="1">
      <c r="A644" s="5"/>
      <c r="B644" s="5"/>
      <c r="C644" s="5"/>
      <c r="D644" s="6"/>
      <c r="E644" s="5"/>
      <c r="F644" s="7" t="str">
        <f>IF($C644="","",IF('설정'!$B$3=0,"",CHOOSE('설정'!$B$3,SUMIFS('RAW_농산물_7월'!$F:$F,'RAW_농산물_7월'!$D:$D,$C644,'RAW_농산물_7월'!$A:$A,$E644),SUMIFS('RAW_농산물_8월'!$F:$F,'RAW_농산물_8월'!$D:$D,$C644,'RAW_농산물_8월'!$A:$A,$E644),SUMIFS('RAW_농산물_9월'!$F:$F,'RAW_농산물_9월'!$D:$D,$C644,'RAW_농산물_9월'!$A:$A,$E644),SUMIFS('RAW_농산물_10월'!$F:$F,'RAW_농산물_10월'!$D:$D,$C644,'RAW_농산물_10월'!$A:$A,$E644),SUMIFS('RAW_농산물_11-12월'!$F:$F,'RAW_농산물_11-12월'!$D:$D,$C644,'RAW_농산물_11-12월'!$A:$A,$E644))))</f>
        <v/>
      </c>
      <c r="G644" s="7" t="str">
        <f>IF($C644="","",IF('설정'!$B$3=0,"",CHOOSE('설정'!$B$3,SUMIFS('RAW_농산물_7월'!$G:$G,'RAW_농산물_7월'!$D:$D,$C644,'RAW_농산물_7월'!$A:$A,$E644),SUMIFS('RAW_농산물_8월'!$G:$G,'RAW_농산물_8월'!$D:$D,$C644,'RAW_농산물_8월'!$A:$A,$E644),SUMIFS('RAW_농산물_9월'!$G:$G,'RAW_농산물_9월'!$D:$D,$C644,'RAW_농산물_9월'!$A:$A,$E644),SUMIFS('RAW_농산물_10월'!$G:$G,'RAW_농산물_10월'!$D:$D,$C644,'RAW_농산물_10월'!$A:$A,$E644),SUMIFS('RAW_농산물_11-12월'!$G:$G,'RAW_농산물_11-12월'!$D:$D,$C644,'RAW_농산물_11-12월'!$A:$A,$E644))))</f>
        <v/>
      </c>
      <c r="H644" s="14" t="str">
        <f>IF($C644="","",IF('설정'!$B$3=0,"",CHOOSE('설정'!$B$3,SUMIFS('RAW_농산물_7월'!$H:$H,'RAW_농산물_7월'!$D:$D,$C644,'RAW_농산물_7월'!$A:$A,$E644),SUMIFS('RAW_농산물_8월'!$H:$H,'RAW_농산물_8월'!$D:$D,$C644,'RAW_농산물_8월'!$A:$A,$E644),SUMIFS('RAW_농산물_9월'!$H:$H,'RAW_농산물_9월'!$D:$D,$C644,'RAW_농산물_9월'!$A:$A,$E644),SUMIFS('RAW_농산물_10월'!$H:$H,'RAW_농산물_10월'!$D:$D,$C644,'RAW_농산물_10월'!$A:$A,$E644),SUMIFS('RAW_농산물_11-12월'!$H:$H,'RAW_농산물_11-12월'!$D:$D,$C644,'RAW_농산물_11-12월'!$A:$A,$E644))))</f>
        <v/>
      </c>
      <c r="I644" s="17" t="str">
        <f>IF($C644="","",IF(COUNTIFS('RAW_농산물_7월'!$D:$D,$C644,'RAW_농산물_7월'!$A:$A,$E644)&gt;0,"O",""))</f>
        <v/>
      </c>
      <c r="J644" s="17" t="str">
        <f>IF($C644="","",IF(COUNTIFS('RAW_농산물_8월'!$D:$D,$C644,'RAW_농산물_8월'!$A:$A,$E644)&gt;0,"O",""))</f>
        <v/>
      </c>
      <c r="K644" s="17" t="str">
        <f>IF($C644="","",IF(COUNTIFS('RAW_농산물_9월'!$D:$D,$C644,'RAW_농산물_9월'!$A:$A,$E644)&gt;0,"O",""))</f>
        <v/>
      </c>
      <c r="L644" s="17" t="str">
        <f>IF($C644="","",IF(COUNTIFS('RAW_농산물_10월'!$D:$D,$C644,'RAW_농산물_10월'!$A:$A,$E644)&gt;0,"O",""))</f>
        <v/>
      </c>
      <c r="M644" s="17" t="str">
        <f>IF($C644="","",IF(COUNTIFS('RAW_농산물_11-12월'!$D:$D,$C644,'RAW_농산물_11-12월'!$A:$A,$E644)&gt;0,"O",""))</f>
        <v/>
      </c>
      <c r="N644" s="7" t="str">
        <f>IF($C644="","",IF(COUNTA('RAW_농산물_7월'!$A:$A)&lt;=1,"",SUMIFS('RAW_농산물_7월'!$H:$H,'RAW_농산물_7월'!$D:$D,$C644,'RAW_농산물_7월'!$A:$A,$E644)))</f>
        <v/>
      </c>
      <c r="O644" s="7" t="str">
        <f>IF($C644="","",IF(COUNTA('RAW_농산물_8월'!$A:$A)&lt;=1,"",SUMIFS('RAW_농산물_8월'!$H:$H,'RAW_농산물_8월'!$D:$D,$C644,'RAW_농산물_8월'!$A:$A,$E644)-SUMIFS('RAW_농산물_7월'!$H:$H,'RAW_농산물_7월'!$D:$D,$C644,'RAW_농산물_7월'!$A:$A,$E644)))</f>
        <v/>
      </c>
      <c r="P644" s="7" t="str">
        <f>IF($C644="","",IF(COUNTA('RAW_농산물_9월'!$A:$A)&lt;=1,"",SUMIFS('RAW_농산물_9월'!$H:$H,'RAW_농산물_9월'!$D:$D,$C644,'RAW_농산물_9월'!$A:$A,$E644)-SUMIFS('RAW_농산물_8월'!$H:$H,'RAW_농산물_8월'!$D:$D,$C644,'RAW_농산물_8월'!$A:$A,$E644)))</f>
        <v/>
      </c>
      <c r="Q644" s="7" t="str">
        <f>IF($C644="","",IF(COUNTA('RAW_농산물_10월'!$A:$A)&lt;=1,"",SUMIFS('RAW_농산물_10월'!$H:$H,'RAW_농산물_10월'!$D:$D,$C644,'RAW_농산물_10월'!$A:$A,$E644)-SUMIFS('RAW_농산물_9월'!$H:$H,'RAW_농산물_9월'!$D:$D,$C644,'RAW_농산물_9월'!$A:$A,$E644)))</f>
        <v/>
      </c>
      <c r="R644" s="7" t="str">
        <f>IF($C644="","",IF(COUNTA('RAW_농산물_11-12월'!$A:$A)&lt;=1,"",SUMIFS('RAW_농산물_11-12월'!$H:$H,'RAW_농산물_11-12월'!$D:$D,$C644,'RAW_농산물_11-12월'!$A:$A,$E644)-SUMIFS('RAW_농산물_10월'!$H:$H,'RAW_농산물_10월'!$D:$D,$C644,'RAW_농산물_10월'!$A:$A,$E644)))</f>
        <v/>
      </c>
      <c r="S644" s="17" t="str">
        <f t="shared" si="4"/>
        <v/>
      </c>
      <c r="T644" s="17" t="str">
        <f t="shared" si="5"/>
        <v/>
      </c>
      <c r="U644" s="7">
        <f>IF($C644="",0,IF('설정'!$B$3=0,0,CHOOSE('설정'!$B$3,COUNTIFS('RAW_농산물_7월'!$D:$D,$C644,'RAW_농산물_7월'!$A:$A,$E644),COUNTIFS('RAW_농산물_8월'!$D:$D,$C644,'RAW_농산물_8월'!$A:$A,$E644),COUNTIFS('RAW_농산물_9월'!$D:$D,$C644,'RAW_농산물_9월'!$A:$A,$E644),COUNTIFS('RAW_농산물_10월'!$D:$D,$C644,'RAW_농산물_10월'!$A:$A,$E644),COUNTIFS('RAW_농산물_11-12월'!$D:$D,$C644,'RAW_농산물_11-12월'!$A:$A,$E644))))</f>
        <v>0</v>
      </c>
    </row>
    <row r="645" ht="15.75" customHeight="1">
      <c r="A645" s="5"/>
      <c r="B645" s="5"/>
      <c r="C645" s="5"/>
      <c r="D645" s="6"/>
      <c r="E645" s="5"/>
      <c r="F645" s="7" t="str">
        <f>IF($C645="","",IF('설정'!$B$3=0,"",CHOOSE('설정'!$B$3,SUMIFS('RAW_농산물_7월'!$F:$F,'RAW_농산물_7월'!$D:$D,$C645,'RAW_농산물_7월'!$A:$A,$E645),SUMIFS('RAW_농산물_8월'!$F:$F,'RAW_농산물_8월'!$D:$D,$C645,'RAW_농산물_8월'!$A:$A,$E645),SUMIFS('RAW_농산물_9월'!$F:$F,'RAW_농산물_9월'!$D:$D,$C645,'RAW_농산물_9월'!$A:$A,$E645),SUMIFS('RAW_농산물_10월'!$F:$F,'RAW_농산물_10월'!$D:$D,$C645,'RAW_농산물_10월'!$A:$A,$E645),SUMIFS('RAW_농산물_11-12월'!$F:$F,'RAW_농산물_11-12월'!$D:$D,$C645,'RAW_농산물_11-12월'!$A:$A,$E645))))</f>
        <v/>
      </c>
      <c r="G645" s="7" t="str">
        <f>IF($C645="","",IF('설정'!$B$3=0,"",CHOOSE('설정'!$B$3,SUMIFS('RAW_농산물_7월'!$G:$G,'RAW_농산물_7월'!$D:$D,$C645,'RAW_농산물_7월'!$A:$A,$E645),SUMIFS('RAW_농산물_8월'!$G:$G,'RAW_농산물_8월'!$D:$D,$C645,'RAW_농산물_8월'!$A:$A,$E645),SUMIFS('RAW_농산물_9월'!$G:$G,'RAW_농산물_9월'!$D:$D,$C645,'RAW_농산물_9월'!$A:$A,$E645),SUMIFS('RAW_농산물_10월'!$G:$G,'RAW_농산물_10월'!$D:$D,$C645,'RAW_농산물_10월'!$A:$A,$E645),SUMIFS('RAW_농산물_11-12월'!$G:$G,'RAW_농산물_11-12월'!$D:$D,$C645,'RAW_농산물_11-12월'!$A:$A,$E645))))</f>
        <v/>
      </c>
      <c r="H645" s="14" t="str">
        <f>IF($C645="","",IF('설정'!$B$3=0,"",CHOOSE('설정'!$B$3,SUMIFS('RAW_농산물_7월'!$H:$H,'RAW_농산물_7월'!$D:$D,$C645,'RAW_농산물_7월'!$A:$A,$E645),SUMIFS('RAW_농산물_8월'!$H:$H,'RAW_농산물_8월'!$D:$D,$C645,'RAW_농산물_8월'!$A:$A,$E645),SUMIFS('RAW_농산물_9월'!$H:$H,'RAW_농산물_9월'!$D:$D,$C645,'RAW_농산물_9월'!$A:$A,$E645),SUMIFS('RAW_농산물_10월'!$H:$H,'RAW_농산물_10월'!$D:$D,$C645,'RAW_농산물_10월'!$A:$A,$E645),SUMIFS('RAW_농산물_11-12월'!$H:$H,'RAW_농산물_11-12월'!$D:$D,$C645,'RAW_농산물_11-12월'!$A:$A,$E645))))</f>
        <v/>
      </c>
      <c r="I645" s="17" t="str">
        <f>IF($C645="","",IF(COUNTIFS('RAW_농산물_7월'!$D:$D,$C645,'RAW_농산물_7월'!$A:$A,$E645)&gt;0,"O",""))</f>
        <v/>
      </c>
      <c r="J645" s="17" t="str">
        <f>IF($C645="","",IF(COUNTIFS('RAW_농산물_8월'!$D:$D,$C645,'RAW_농산물_8월'!$A:$A,$E645)&gt;0,"O",""))</f>
        <v/>
      </c>
      <c r="K645" s="17" t="str">
        <f>IF($C645="","",IF(COUNTIFS('RAW_농산물_9월'!$D:$D,$C645,'RAW_농산물_9월'!$A:$A,$E645)&gt;0,"O",""))</f>
        <v/>
      </c>
      <c r="L645" s="17" t="str">
        <f>IF($C645="","",IF(COUNTIFS('RAW_농산물_10월'!$D:$D,$C645,'RAW_농산물_10월'!$A:$A,$E645)&gt;0,"O",""))</f>
        <v/>
      </c>
      <c r="M645" s="17" t="str">
        <f>IF($C645="","",IF(COUNTIFS('RAW_농산물_11-12월'!$D:$D,$C645,'RAW_농산물_11-12월'!$A:$A,$E645)&gt;0,"O",""))</f>
        <v/>
      </c>
      <c r="N645" s="7" t="str">
        <f>IF($C645="","",IF(COUNTA('RAW_농산물_7월'!$A:$A)&lt;=1,"",SUMIFS('RAW_농산물_7월'!$H:$H,'RAW_농산물_7월'!$D:$D,$C645,'RAW_농산물_7월'!$A:$A,$E645)))</f>
        <v/>
      </c>
      <c r="O645" s="7" t="str">
        <f>IF($C645="","",IF(COUNTA('RAW_농산물_8월'!$A:$A)&lt;=1,"",SUMIFS('RAW_농산물_8월'!$H:$H,'RAW_농산물_8월'!$D:$D,$C645,'RAW_농산물_8월'!$A:$A,$E645)-SUMIFS('RAW_농산물_7월'!$H:$H,'RAW_농산물_7월'!$D:$D,$C645,'RAW_농산물_7월'!$A:$A,$E645)))</f>
        <v/>
      </c>
      <c r="P645" s="7" t="str">
        <f>IF($C645="","",IF(COUNTA('RAW_농산물_9월'!$A:$A)&lt;=1,"",SUMIFS('RAW_농산물_9월'!$H:$H,'RAW_농산물_9월'!$D:$D,$C645,'RAW_농산물_9월'!$A:$A,$E645)-SUMIFS('RAW_농산물_8월'!$H:$H,'RAW_농산물_8월'!$D:$D,$C645,'RAW_농산물_8월'!$A:$A,$E645)))</f>
        <v/>
      </c>
      <c r="Q645" s="7" t="str">
        <f>IF($C645="","",IF(COUNTA('RAW_농산물_10월'!$A:$A)&lt;=1,"",SUMIFS('RAW_농산물_10월'!$H:$H,'RAW_농산물_10월'!$D:$D,$C645,'RAW_농산물_10월'!$A:$A,$E645)-SUMIFS('RAW_농산물_9월'!$H:$H,'RAW_농산물_9월'!$D:$D,$C645,'RAW_농산물_9월'!$A:$A,$E645)))</f>
        <v/>
      </c>
      <c r="R645" s="7" t="str">
        <f>IF($C645="","",IF(COUNTA('RAW_농산물_11-12월'!$A:$A)&lt;=1,"",SUMIFS('RAW_농산물_11-12월'!$H:$H,'RAW_농산물_11-12월'!$D:$D,$C645,'RAW_농산물_11-12월'!$A:$A,$E645)-SUMIFS('RAW_농산물_10월'!$H:$H,'RAW_농산물_10월'!$D:$D,$C645,'RAW_농산물_10월'!$A:$A,$E645)))</f>
        <v/>
      </c>
      <c r="S645" s="17" t="str">
        <f t="shared" si="4"/>
        <v/>
      </c>
      <c r="T645" s="17" t="str">
        <f t="shared" si="5"/>
        <v/>
      </c>
      <c r="U645" s="7">
        <f>IF($C645="",0,IF('설정'!$B$3=0,0,CHOOSE('설정'!$B$3,COUNTIFS('RAW_농산물_7월'!$D:$D,$C645,'RAW_농산물_7월'!$A:$A,$E645),COUNTIFS('RAW_농산물_8월'!$D:$D,$C645,'RAW_농산물_8월'!$A:$A,$E645),COUNTIFS('RAW_농산물_9월'!$D:$D,$C645,'RAW_농산물_9월'!$A:$A,$E645),COUNTIFS('RAW_농산물_10월'!$D:$D,$C645,'RAW_농산물_10월'!$A:$A,$E645),COUNTIFS('RAW_농산물_11-12월'!$D:$D,$C645,'RAW_농산물_11-12월'!$A:$A,$E645))))</f>
        <v>0</v>
      </c>
    </row>
    <row r="646" ht="15.75" customHeight="1">
      <c r="A646" s="5"/>
      <c r="B646" s="5"/>
      <c r="C646" s="5"/>
      <c r="D646" s="6"/>
      <c r="E646" s="5"/>
      <c r="F646" s="7" t="str">
        <f>IF($C646="","",IF('설정'!$B$3=0,"",CHOOSE('설정'!$B$3,SUMIFS('RAW_농산물_7월'!$F:$F,'RAW_농산물_7월'!$D:$D,$C646,'RAW_농산물_7월'!$A:$A,$E646),SUMIFS('RAW_농산물_8월'!$F:$F,'RAW_농산물_8월'!$D:$D,$C646,'RAW_농산물_8월'!$A:$A,$E646),SUMIFS('RAW_농산물_9월'!$F:$F,'RAW_농산물_9월'!$D:$D,$C646,'RAW_농산물_9월'!$A:$A,$E646),SUMIFS('RAW_농산물_10월'!$F:$F,'RAW_농산물_10월'!$D:$D,$C646,'RAW_농산물_10월'!$A:$A,$E646),SUMIFS('RAW_농산물_11-12월'!$F:$F,'RAW_농산물_11-12월'!$D:$D,$C646,'RAW_농산물_11-12월'!$A:$A,$E646))))</f>
        <v/>
      </c>
      <c r="G646" s="7" t="str">
        <f>IF($C646="","",IF('설정'!$B$3=0,"",CHOOSE('설정'!$B$3,SUMIFS('RAW_농산물_7월'!$G:$G,'RAW_농산물_7월'!$D:$D,$C646,'RAW_농산물_7월'!$A:$A,$E646),SUMIFS('RAW_농산물_8월'!$G:$G,'RAW_농산물_8월'!$D:$D,$C646,'RAW_농산물_8월'!$A:$A,$E646),SUMIFS('RAW_농산물_9월'!$G:$G,'RAW_농산물_9월'!$D:$D,$C646,'RAW_농산물_9월'!$A:$A,$E646),SUMIFS('RAW_농산물_10월'!$G:$G,'RAW_농산물_10월'!$D:$D,$C646,'RAW_농산물_10월'!$A:$A,$E646),SUMIFS('RAW_농산물_11-12월'!$G:$G,'RAW_농산물_11-12월'!$D:$D,$C646,'RAW_농산물_11-12월'!$A:$A,$E646))))</f>
        <v/>
      </c>
      <c r="H646" s="14" t="str">
        <f>IF($C646="","",IF('설정'!$B$3=0,"",CHOOSE('설정'!$B$3,SUMIFS('RAW_농산물_7월'!$H:$H,'RAW_농산물_7월'!$D:$D,$C646,'RAW_농산물_7월'!$A:$A,$E646),SUMIFS('RAW_농산물_8월'!$H:$H,'RAW_농산물_8월'!$D:$D,$C646,'RAW_농산물_8월'!$A:$A,$E646),SUMIFS('RAW_농산물_9월'!$H:$H,'RAW_농산물_9월'!$D:$D,$C646,'RAW_농산물_9월'!$A:$A,$E646),SUMIFS('RAW_농산물_10월'!$H:$H,'RAW_농산물_10월'!$D:$D,$C646,'RAW_농산물_10월'!$A:$A,$E646),SUMIFS('RAW_농산물_11-12월'!$H:$H,'RAW_농산물_11-12월'!$D:$D,$C646,'RAW_농산물_11-12월'!$A:$A,$E646))))</f>
        <v/>
      </c>
      <c r="I646" s="17" t="str">
        <f>IF($C646="","",IF(COUNTIFS('RAW_농산물_7월'!$D:$D,$C646,'RAW_농산물_7월'!$A:$A,$E646)&gt;0,"O",""))</f>
        <v/>
      </c>
      <c r="J646" s="17" t="str">
        <f>IF($C646="","",IF(COUNTIFS('RAW_농산물_8월'!$D:$D,$C646,'RAW_농산물_8월'!$A:$A,$E646)&gt;0,"O",""))</f>
        <v/>
      </c>
      <c r="K646" s="17" t="str">
        <f>IF($C646="","",IF(COUNTIFS('RAW_농산물_9월'!$D:$D,$C646,'RAW_농산물_9월'!$A:$A,$E646)&gt;0,"O",""))</f>
        <v/>
      </c>
      <c r="L646" s="17" t="str">
        <f>IF($C646="","",IF(COUNTIFS('RAW_농산물_10월'!$D:$D,$C646,'RAW_농산물_10월'!$A:$A,$E646)&gt;0,"O",""))</f>
        <v/>
      </c>
      <c r="M646" s="17" t="str">
        <f>IF($C646="","",IF(COUNTIFS('RAW_농산물_11-12월'!$D:$D,$C646,'RAW_농산물_11-12월'!$A:$A,$E646)&gt;0,"O",""))</f>
        <v/>
      </c>
      <c r="N646" s="7" t="str">
        <f>IF($C646="","",IF(COUNTA('RAW_농산물_7월'!$A:$A)&lt;=1,"",SUMIFS('RAW_농산물_7월'!$H:$H,'RAW_농산물_7월'!$D:$D,$C646,'RAW_농산물_7월'!$A:$A,$E646)))</f>
        <v/>
      </c>
      <c r="O646" s="7" t="str">
        <f>IF($C646="","",IF(COUNTA('RAW_농산물_8월'!$A:$A)&lt;=1,"",SUMIFS('RAW_농산물_8월'!$H:$H,'RAW_농산물_8월'!$D:$D,$C646,'RAW_농산물_8월'!$A:$A,$E646)-SUMIFS('RAW_농산물_7월'!$H:$H,'RAW_농산물_7월'!$D:$D,$C646,'RAW_농산물_7월'!$A:$A,$E646)))</f>
        <v/>
      </c>
      <c r="P646" s="7" t="str">
        <f>IF($C646="","",IF(COUNTA('RAW_농산물_9월'!$A:$A)&lt;=1,"",SUMIFS('RAW_농산물_9월'!$H:$H,'RAW_농산물_9월'!$D:$D,$C646,'RAW_농산물_9월'!$A:$A,$E646)-SUMIFS('RAW_농산물_8월'!$H:$H,'RAW_농산물_8월'!$D:$D,$C646,'RAW_농산물_8월'!$A:$A,$E646)))</f>
        <v/>
      </c>
      <c r="Q646" s="7" t="str">
        <f>IF($C646="","",IF(COUNTA('RAW_농산물_10월'!$A:$A)&lt;=1,"",SUMIFS('RAW_농산물_10월'!$H:$H,'RAW_농산물_10월'!$D:$D,$C646,'RAW_농산물_10월'!$A:$A,$E646)-SUMIFS('RAW_농산물_9월'!$H:$H,'RAW_농산물_9월'!$D:$D,$C646,'RAW_농산물_9월'!$A:$A,$E646)))</f>
        <v/>
      </c>
      <c r="R646" s="7" t="str">
        <f>IF($C646="","",IF(COUNTA('RAW_농산물_11-12월'!$A:$A)&lt;=1,"",SUMIFS('RAW_농산물_11-12월'!$H:$H,'RAW_농산물_11-12월'!$D:$D,$C646,'RAW_농산물_11-12월'!$A:$A,$E646)-SUMIFS('RAW_농산물_10월'!$H:$H,'RAW_농산물_10월'!$D:$D,$C646,'RAW_농산물_10월'!$A:$A,$E646)))</f>
        <v/>
      </c>
      <c r="S646" s="17" t="str">
        <f t="shared" si="4"/>
        <v/>
      </c>
      <c r="T646" s="17" t="str">
        <f t="shared" si="5"/>
        <v/>
      </c>
      <c r="U646" s="7">
        <f>IF($C646="",0,IF('설정'!$B$3=0,0,CHOOSE('설정'!$B$3,COUNTIFS('RAW_농산물_7월'!$D:$D,$C646,'RAW_농산물_7월'!$A:$A,$E646),COUNTIFS('RAW_농산물_8월'!$D:$D,$C646,'RAW_농산물_8월'!$A:$A,$E646),COUNTIFS('RAW_농산물_9월'!$D:$D,$C646,'RAW_농산물_9월'!$A:$A,$E646),COUNTIFS('RAW_농산물_10월'!$D:$D,$C646,'RAW_농산물_10월'!$A:$A,$E646),COUNTIFS('RAW_농산물_11-12월'!$D:$D,$C646,'RAW_농산물_11-12월'!$A:$A,$E646))))</f>
        <v>0</v>
      </c>
    </row>
    <row r="647" ht="15.75" customHeight="1">
      <c r="A647" s="5"/>
      <c r="B647" s="5"/>
      <c r="C647" s="5"/>
      <c r="D647" s="6"/>
      <c r="E647" s="5"/>
      <c r="F647" s="7" t="str">
        <f>IF($C647="","",IF('설정'!$B$3=0,"",CHOOSE('설정'!$B$3,SUMIFS('RAW_농산물_7월'!$F:$F,'RAW_농산물_7월'!$D:$D,$C647,'RAW_농산물_7월'!$A:$A,$E647),SUMIFS('RAW_농산물_8월'!$F:$F,'RAW_농산물_8월'!$D:$D,$C647,'RAW_농산물_8월'!$A:$A,$E647),SUMIFS('RAW_농산물_9월'!$F:$F,'RAW_농산물_9월'!$D:$D,$C647,'RAW_농산물_9월'!$A:$A,$E647),SUMIFS('RAW_농산물_10월'!$F:$F,'RAW_농산물_10월'!$D:$D,$C647,'RAW_농산물_10월'!$A:$A,$E647),SUMIFS('RAW_농산물_11-12월'!$F:$F,'RAW_농산물_11-12월'!$D:$D,$C647,'RAW_농산물_11-12월'!$A:$A,$E647))))</f>
        <v/>
      </c>
      <c r="G647" s="7" t="str">
        <f>IF($C647="","",IF('설정'!$B$3=0,"",CHOOSE('설정'!$B$3,SUMIFS('RAW_농산물_7월'!$G:$G,'RAW_농산물_7월'!$D:$D,$C647,'RAW_농산물_7월'!$A:$A,$E647),SUMIFS('RAW_농산물_8월'!$G:$G,'RAW_농산물_8월'!$D:$D,$C647,'RAW_농산물_8월'!$A:$A,$E647),SUMIFS('RAW_농산물_9월'!$G:$G,'RAW_농산물_9월'!$D:$D,$C647,'RAW_농산물_9월'!$A:$A,$E647),SUMIFS('RAW_농산물_10월'!$G:$G,'RAW_농산물_10월'!$D:$D,$C647,'RAW_농산물_10월'!$A:$A,$E647),SUMIFS('RAW_농산물_11-12월'!$G:$G,'RAW_농산물_11-12월'!$D:$D,$C647,'RAW_농산물_11-12월'!$A:$A,$E647))))</f>
        <v/>
      </c>
      <c r="H647" s="14" t="str">
        <f>IF($C647="","",IF('설정'!$B$3=0,"",CHOOSE('설정'!$B$3,SUMIFS('RAW_농산물_7월'!$H:$H,'RAW_농산물_7월'!$D:$D,$C647,'RAW_농산물_7월'!$A:$A,$E647),SUMIFS('RAW_농산물_8월'!$H:$H,'RAW_농산물_8월'!$D:$D,$C647,'RAW_농산물_8월'!$A:$A,$E647),SUMIFS('RAW_농산물_9월'!$H:$H,'RAW_농산물_9월'!$D:$D,$C647,'RAW_농산물_9월'!$A:$A,$E647),SUMIFS('RAW_농산물_10월'!$H:$H,'RAW_농산물_10월'!$D:$D,$C647,'RAW_농산물_10월'!$A:$A,$E647),SUMIFS('RAW_농산물_11-12월'!$H:$H,'RAW_농산물_11-12월'!$D:$D,$C647,'RAW_농산물_11-12월'!$A:$A,$E647))))</f>
        <v/>
      </c>
      <c r="I647" s="17" t="str">
        <f>IF($C647="","",IF(COUNTIFS('RAW_농산물_7월'!$D:$D,$C647,'RAW_농산물_7월'!$A:$A,$E647)&gt;0,"O",""))</f>
        <v/>
      </c>
      <c r="J647" s="17" t="str">
        <f>IF($C647="","",IF(COUNTIFS('RAW_농산물_8월'!$D:$D,$C647,'RAW_농산물_8월'!$A:$A,$E647)&gt;0,"O",""))</f>
        <v/>
      </c>
      <c r="K647" s="17" t="str">
        <f>IF($C647="","",IF(COUNTIFS('RAW_농산물_9월'!$D:$D,$C647,'RAW_농산물_9월'!$A:$A,$E647)&gt;0,"O",""))</f>
        <v/>
      </c>
      <c r="L647" s="17" t="str">
        <f>IF($C647="","",IF(COUNTIFS('RAW_농산물_10월'!$D:$D,$C647,'RAW_농산물_10월'!$A:$A,$E647)&gt;0,"O",""))</f>
        <v/>
      </c>
      <c r="M647" s="17" t="str">
        <f>IF($C647="","",IF(COUNTIFS('RAW_농산물_11-12월'!$D:$D,$C647,'RAW_농산물_11-12월'!$A:$A,$E647)&gt;0,"O",""))</f>
        <v/>
      </c>
      <c r="N647" s="7" t="str">
        <f>IF($C647="","",IF(COUNTA('RAW_농산물_7월'!$A:$A)&lt;=1,"",SUMIFS('RAW_농산물_7월'!$H:$H,'RAW_농산물_7월'!$D:$D,$C647,'RAW_농산물_7월'!$A:$A,$E647)))</f>
        <v/>
      </c>
      <c r="O647" s="7" t="str">
        <f>IF($C647="","",IF(COUNTA('RAW_농산물_8월'!$A:$A)&lt;=1,"",SUMIFS('RAW_농산물_8월'!$H:$H,'RAW_농산물_8월'!$D:$D,$C647,'RAW_농산물_8월'!$A:$A,$E647)-SUMIFS('RAW_농산물_7월'!$H:$H,'RAW_농산물_7월'!$D:$D,$C647,'RAW_농산물_7월'!$A:$A,$E647)))</f>
        <v/>
      </c>
      <c r="P647" s="7" t="str">
        <f>IF($C647="","",IF(COUNTA('RAW_농산물_9월'!$A:$A)&lt;=1,"",SUMIFS('RAW_농산물_9월'!$H:$H,'RAW_농산물_9월'!$D:$D,$C647,'RAW_농산물_9월'!$A:$A,$E647)-SUMIFS('RAW_농산물_8월'!$H:$H,'RAW_농산물_8월'!$D:$D,$C647,'RAW_농산물_8월'!$A:$A,$E647)))</f>
        <v/>
      </c>
      <c r="Q647" s="7" t="str">
        <f>IF($C647="","",IF(COUNTA('RAW_농산물_10월'!$A:$A)&lt;=1,"",SUMIFS('RAW_농산물_10월'!$H:$H,'RAW_농산물_10월'!$D:$D,$C647,'RAW_농산물_10월'!$A:$A,$E647)-SUMIFS('RAW_농산물_9월'!$H:$H,'RAW_농산물_9월'!$D:$D,$C647,'RAW_농산물_9월'!$A:$A,$E647)))</f>
        <v/>
      </c>
      <c r="R647" s="7" t="str">
        <f>IF($C647="","",IF(COUNTA('RAW_농산물_11-12월'!$A:$A)&lt;=1,"",SUMIFS('RAW_농산물_11-12월'!$H:$H,'RAW_농산물_11-12월'!$D:$D,$C647,'RAW_농산물_11-12월'!$A:$A,$E647)-SUMIFS('RAW_농산물_10월'!$H:$H,'RAW_농산물_10월'!$D:$D,$C647,'RAW_농산물_10월'!$A:$A,$E647)))</f>
        <v/>
      </c>
      <c r="S647" s="17" t="str">
        <f t="shared" si="4"/>
        <v/>
      </c>
      <c r="T647" s="17" t="str">
        <f t="shared" si="5"/>
        <v/>
      </c>
      <c r="U647" s="7">
        <f>IF($C647="",0,IF('설정'!$B$3=0,0,CHOOSE('설정'!$B$3,COUNTIFS('RAW_농산물_7월'!$D:$D,$C647,'RAW_농산물_7월'!$A:$A,$E647),COUNTIFS('RAW_농산물_8월'!$D:$D,$C647,'RAW_농산물_8월'!$A:$A,$E647),COUNTIFS('RAW_농산물_9월'!$D:$D,$C647,'RAW_농산물_9월'!$A:$A,$E647),COUNTIFS('RAW_농산물_10월'!$D:$D,$C647,'RAW_농산물_10월'!$A:$A,$E647),COUNTIFS('RAW_농산물_11-12월'!$D:$D,$C647,'RAW_농산물_11-12월'!$A:$A,$E647))))</f>
        <v>0</v>
      </c>
    </row>
    <row r="648" ht="15.75" customHeight="1">
      <c r="A648" s="5"/>
      <c r="B648" s="5"/>
      <c r="C648" s="5"/>
      <c r="D648" s="6"/>
      <c r="E648" s="5"/>
      <c r="F648" s="7" t="str">
        <f>IF($C648="","",IF('설정'!$B$3=0,"",CHOOSE('설정'!$B$3,SUMIFS('RAW_농산물_7월'!$F:$F,'RAW_농산물_7월'!$D:$D,$C648,'RAW_농산물_7월'!$A:$A,$E648),SUMIFS('RAW_농산물_8월'!$F:$F,'RAW_농산물_8월'!$D:$D,$C648,'RAW_농산물_8월'!$A:$A,$E648),SUMIFS('RAW_농산물_9월'!$F:$F,'RAW_농산물_9월'!$D:$D,$C648,'RAW_농산물_9월'!$A:$A,$E648),SUMIFS('RAW_농산물_10월'!$F:$F,'RAW_농산물_10월'!$D:$D,$C648,'RAW_농산물_10월'!$A:$A,$E648),SUMIFS('RAW_농산물_11-12월'!$F:$F,'RAW_농산물_11-12월'!$D:$D,$C648,'RAW_농산물_11-12월'!$A:$A,$E648))))</f>
        <v/>
      </c>
      <c r="G648" s="7" t="str">
        <f>IF($C648="","",IF('설정'!$B$3=0,"",CHOOSE('설정'!$B$3,SUMIFS('RAW_농산물_7월'!$G:$G,'RAW_농산물_7월'!$D:$D,$C648,'RAW_농산물_7월'!$A:$A,$E648),SUMIFS('RAW_농산물_8월'!$G:$G,'RAW_농산물_8월'!$D:$D,$C648,'RAW_농산물_8월'!$A:$A,$E648),SUMIFS('RAW_농산물_9월'!$G:$G,'RAW_농산물_9월'!$D:$D,$C648,'RAW_농산물_9월'!$A:$A,$E648),SUMIFS('RAW_농산물_10월'!$G:$G,'RAW_농산물_10월'!$D:$D,$C648,'RAW_농산물_10월'!$A:$A,$E648),SUMIFS('RAW_농산물_11-12월'!$G:$G,'RAW_농산물_11-12월'!$D:$D,$C648,'RAW_농산물_11-12월'!$A:$A,$E648))))</f>
        <v/>
      </c>
      <c r="H648" s="14" t="str">
        <f>IF($C648="","",IF('설정'!$B$3=0,"",CHOOSE('설정'!$B$3,SUMIFS('RAW_농산물_7월'!$H:$H,'RAW_농산물_7월'!$D:$D,$C648,'RAW_농산물_7월'!$A:$A,$E648),SUMIFS('RAW_농산물_8월'!$H:$H,'RAW_농산물_8월'!$D:$D,$C648,'RAW_농산물_8월'!$A:$A,$E648),SUMIFS('RAW_농산물_9월'!$H:$H,'RAW_농산물_9월'!$D:$D,$C648,'RAW_농산물_9월'!$A:$A,$E648),SUMIFS('RAW_농산물_10월'!$H:$H,'RAW_농산물_10월'!$D:$D,$C648,'RAW_농산물_10월'!$A:$A,$E648),SUMIFS('RAW_농산물_11-12월'!$H:$H,'RAW_농산물_11-12월'!$D:$D,$C648,'RAW_농산물_11-12월'!$A:$A,$E648))))</f>
        <v/>
      </c>
      <c r="I648" s="17" t="str">
        <f>IF($C648="","",IF(COUNTIFS('RAW_농산물_7월'!$D:$D,$C648,'RAW_농산물_7월'!$A:$A,$E648)&gt;0,"O",""))</f>
        <v/>
      </c>
      <c r="J648" s="17" t="str">
        <f>IF($C648="","",IF(COUNTIFS('RAW_농산물_8월'!$D:$D,$C648,'RAW_농산물_8월'!$A:$A,$E648)&gt;0,"O",""))</f>
        <v/>
      </c>
      <c r="K648" s="17" t="str">
        <f>IF($C648="","",IF(COUNTIFS('RAW_농산물_9월'!$D:$D,$C648,'RAW_농산물_9월'!$A:$A,$E648)&gt;0,"O",""))</f>
        <v/>
      </c>
      <c r="L648" s="17" t="str">
        <f>IF($C648="","",IF(COUNTIFS('RAW_농산물_10월'!$D:$D,$C648,'RAW_농산물_10월'!$A:$A,$E648)&gt;0,"O",""))</f>
        <v/>
      </c>
      <c r="M648" s="17" t="str">
        <f>IF($C648="","",IF(COUNTIFS('RAW_농산물_11-12월'!$D:$D,$C648,'RAW_농산물_11-12월'!$A:$A,$E648)&gt;0,"O",""))</f>
        <v/>
      </c>
      <c r="N648" s="7" t="str">
        <f>IF($C648="","",IF(COUNTA('RAW_농산물_7월'!$A:$A)&lt;=1,"",SUMIFS('RAW_농산물_7월'!$H:$H,'RAW_농산물_7월'!$D:$D,$C648,'RAW_농산물_7월'!$A:$A,$E648)))</f>
        <v/>
      </c>
      <c r="O648" s="7" t="str">
        <f>IF($C648="","",IF(COUNTA('RAW_농산물_8월'!$A:$A)&lt;=1,"",SUMIFS('RAW_농산물_8월'!$H:$H,'RAW_농산물_8월'!$D:$D,$C648,'RAW_농산물_8월'!$A:$A,$E648)-SUMIFS('RAW_농산물_7월'!$H:$H,'RAW_농산물_7월'!$D:$D,$C648,'RAW_농산물_7월'!$A:$A,$E648)))</f>
        <v/>
      </c>
      <c r="P648" s="7" t="str">
        <f>IF($C648="","",IF(COUNTA('RAW_농산물_9월'!$A:$A)&lt;=1,"",SUMIFS('RAW_농산물_9월'!$H:$H,'RAW_농산물_9월'!$D:$D,$C648,'RAW_농산물_9월'!$A:$A,$E648)-SUMIFS('RAW_농산물_8월'!$H:$H,'RAW_농산물_8월'!$D:$D,$C648,'RAW_농산물_8월'!$A:$A,$E648)))</f>
        <v/>
      </c>
      <c r="Q648" s="7" t="str">
        <f>IF($C648="","",IF(COUNTA('RAW_농산물_10월'!$A:$A)&lt;=1,"",SUMIFS('RAW_농산물_10월'!$H:$H,'RAW_농산물_10월'!$D:$D,$C648,'RAW_농산물_10월'!$A:$A,$E648)-SUMIFS('RAW_농산물_9월'!$H:$H,'RAW_농산물_9월'!$D:$D,$C648,'RAW_농산물_9월'!$A:$A,$E648)))</f>
        <v/>
      </c>
      <c r="R648" s="7" t="str">
        <f>IF($C648="","",IF(COUNTA('RAW_농산물_11-12월'!$A:$A)&lt;=1,"",SUMIFS('RAW_농산물_11-12월'!$H:$H,'RAW_농산물_11-12월'!$D:$D,$C648,'RAW_농산물_11-12월'!$A:$A,$E648)-SUMIFS('RAW_농산물_10월'!$H:$H,'RAW_농산물_10월'!$D:$D,$C648,'RAW_농산물_10월'!$A:$A,$E648)))</f>
        <v/>
      </c>
      <c r="S648" s="17" t="str">
        <f t="shared" si="4"/>
        <v/>
      </c>
      <c r="T648" s="17" t="str">
        <f t="shared" si="5"/>
        <v/>
      </c>
      <c r="U648" s="7">
        <f>IF($C648="",0,IF('설정'!$B$3=0,0,CHOOSE('설정'!$B$3,COUNTIFS('RAW_농산물_7월'!$D:$D,$C648,'RAW_농산물_7월'!$A:$A,$E648),COUNTIFS('RAW_농산물_8월'!$D:$D,$C648,'RAW_농산물_8월'!$A:$A,$E648),COUNTIFS('RAW_농산물_9월'!$D:$D,$C648,'RAW_농산물_9월'!$A:$A,$E648),COUNTIFS('RAW_농산물_10월'!$D:$D,$C648,'RAW_농산물_10월'!$A:$A,$E648),COUNTIFS('RAW_농산물_11-12월'!$D:$D,$C648,'RAW_농산물_11-12월'!$A:$A,$E648))))</f>
        <v>0</v>
      </c>
    </row>
    <row r="649" ht="15.75" customHeight="1">
      <c r="A649" s="5"/>
      <c r="B649" s="5"/>
      <c r="C649" s="5"/>
      <c r="D649" s="6"/>
      <c r="E649" s="5"/>
      <c r="F649" s="7" t="str">
        <f>IF($C649="","",IF('설정'!$B$3=0,"",CHOOSE('설정'!$B$3,SUMIFS('RAW_농산물_7월'!$F:$F,'RAW_농산물_7월'!$D:$D,$C649,'RAW_농산물_7월'!$A:$A,$E649),SUMIFS('RAW_농산물_8월'!$F:$F,'RAW_농산물_8월'!$D:$D,$C649,'RAW_농산물_8월'!$A:$A,$E649),SUMIFS('RAW_농산물_9월'!$F:$F,'RAW_농산물_9월'!$D:$D,$C649,'RAW_농산물_9월'!$A:$A,$E649),SUMIFS('RAW_농산물_10월'!$F:$F,'RAW_농산물_10월'!$D:$D,$C649,'RAW_농산물_10월'!$A:$A,$E649),SUMIFS('RAW_농산물_11-12월'!$F:$F,'RAW_농산물_11-12월'!$D:$D,$C649,'RAW_농산물_11-12월'!$A:$A,$E649))))</f>
        <v/>
      </c>
      <c r="G649" s="7" t="str">
        <f>IF($C649="","",IF('설정'!$B$3=0,"",CHOOSE('설정'!$B$3,SUMIFS('RAW_농산물_7월'!$G:$G,'RAW_농산물_7월'!$D:$D,$C649,'RAW_농산물_7월'!$A:$A,$E649),SUMIFS('RAW_농산물_8월'!$G:$G,'RAW_농산물_8월'!$D:$D,$C649,'RAW_농산물_8월'!$A:$A,$E649),SUMIFS('RAW_농산물_9월'!$G:$G,'RAW_농산물_9월'!$D:$D,$C649,'RAW_농산물_9월'!$A:$A,$E649),SUMIFS('RAW_농산물_10월'!$G:$G,'RAW_농산물_10월'!$D:$D,$C649,'RAW_농산물_10월'!$A:$A,$E649),SUMIFS('RAW_농산물_11-12월'!$G:$G,'RAW_농산물_11-12월'!$D:$D,$C649,'RAW_농산물_11-12월'!$A:$A,$E649))))</f>
        <v/>
      </c>
      <c r="H649" s="14" t="str">
        <f>IF($C649="","",IF('설정'!$B$3=0,"",CHOOSE('설정'!$B$3,SUMIFS('RAW_농산물_7월'!$H:$H,'RAW_농산물_7월'!$D:$D,$C649,'RAW_농산물_7월'!$A:$A,$E649),SUMIFS('RAW_농산물_8월'!$H:$H,'RAW_농산물_8월'!$D:$D,$C649,'RAW_농산물_8월'!$A:$A,$E649),SUMIFS('RAW_농산물_9월'!$H:$H,'RAW_농산물_9월'!$D:$D,$C649,'RAW_농산물_9월'!$A:$A,$E649),SUMIFS('RAW_농산물_10월'!$H:$H,'RAW_농산물_10월'!$D:$D,$C649,'RAW_농산물_10월'!$A:$A,$E649),SUMIFS('RAW_농산물_11-12월'!$H:$H,'RAW_농산물_11-12월'!$D:$D,$C649,'RAW_농산물_11-12월'!$A:$A,$E649))))</f>
        <v/>
      </c>
      <c r="I649" s="17" t="str">
        <f>IF($C649="","",IF(COUNTIFS('RAW_농산물_7월'!$D:$D,$C649,'RAW_농산물_7월'!$A:$A,$E649)&gt;0,"O",""))</f>
        <v/>
      </c>
      <c r="J649" s="17" t="str">
        <f>IF($C649="","",IF(COUNTIFS('RAW_농산물_8월'!$D:$D,$C649,'RAW_농산물_8월'!$A:$A,$E649)&gt;0,"O",""))</f>
        <v/>
      </c>
      <c r="K649" s="17" t="str">
        <f>IF($C649="","",IF(COUNTIFS('RAW_농산물_9월'!$D:$D,$C649,'RAW_농산물_9월'!$A:$A,$E649)&gt;0,"O",""))</f>
        <v/>
      </c>
      <c r="L649" s="17" t="str">
        <f>IF($C649="","",IF(COUNTIFS('RAW_농산물_10월'!$D:$D,$C649,'RAW_농산물_10월'!$A:$A,$E649)&gt;0,"O",""))</f>
        <v/>
      </c>
      <c r="M649" s="17" t="str">
        <f>IF($C649="","",IF(COUNTIFS('RAW_농산물_11-12월'!$D:$D,$C649,'RAW_농산물_11-12월'!$A:$A,$E649)&gt;0,"O",""))</f>
        <v/>
      </c>
      <c r="N649" s="7" t="str">
        <f>IF($C649="","",IF(COUNTA('RAW_농산물_7월'!$A:$A)&lt;=1,"",SUMIFS('RAW_농산물_7월'!$H:$H,'RAW_농산물_7월'!$D:$D,$C649,'RAW_농산물_7월'!$A:$A,$E649)))</f>
        <v/>
      </c>
      <c r="O649" s="7" t="str">
        <f>IF($C649="","",IF(COUNTA('RAW_농산물_8월'!$A:$A)&lt;=1,"",SUMIFS('RAW_농산물_8월'!$H:$H,'RAW_농산물_8월'!$D:$D,$C649,'RAW_농산물_8월'!$A:$A,$E649)-SUMIFS('RAW_농산물_7월'!$H:$H,'RAW_농산물_7월'!$D:$D,$C649,'RAW_농산물_7월'!$A:$A,$E649)))</f>
        <v/>
      </c>
      <c r="P649" s="7" t="str">
        <f>IF($C649="","",IF(COUNTA('RAW_농산물_9월'!$A:$A)&lt;=1,"",SUMIFS('RAW_농산물_9월'!$H:$H,'RAW_농산물_9월'!$D:$D,$C649,'RAW_농산물_9월'!$A:$A,$E649)-SUMIFS('RAW_농산물_8월'!$H:$H,'RAW_농산물_8월'!$D:$D,$C649,'RAW_농산물_8월'!$A:$A,$E649)))</f>
        <v/>
      </c>
      <c r="Q649" s="7" t="str">
        <f>IF($C649="","",IF(COUNTA('RAW_농산물_10월'!$A:$A)&lt;=1,"",SUMIFS('RAW_농산물_10월'!$H:$H,'RAW_농산물_10월'!$D:$D,$C649,'RAW_농산물_10월'!$A:$A,$E649)-SUMIFS('RAW_농산물_9월'!$H:$H,'RAW_농산물_9월'!$D:$D,$C649,'RAW_농산물_9월'!$A:$A,$E649)))</f>
        <v/>
      </c>
      <c r="R649" s="7" t="str">
        <f>IF($C649="","",IF(COUNTA('RAW_농산물_11-12월'!$A:$A)&lt;=1,"",SUMIFS('RAW_농산물_11-12월'!$H:$H,'RAW_농산물_11-12월'!$D:$D,$C649,'RAW_농산물_11-12월'!$A:$A,$E649)-SUMIFS('RAW_농산물_10월'!$H:$H,'RAW_농산물_10월'!$D:$D,$C649,'RAW_농산물_10월'!$A:$A,$E649)))</f>
        <v/>
      </c>
      <c r="S649" s="17" t="str">
        <f t="shared" si="4"/>
        <v/>
      </c>
      <c r="T649" s="17" t="str">
        <f t="shared" si="5"/>
        <v/>
      </c>
      <c r="U649" s="7">
        <f>IF($C649="",0,IF('설정'!$B$3=0,0,CHOOSE('설정'!$B$3,COUNTIFS('RAW_농산물_7월'!$D:$D,$C649,'RAW_농산물_7월'!$A:$A,$E649),COUNTIFS('RAW_농산물_8월'!$D:$D,$C649,'RAW_농산물_8월'!$A:$A,$E649),COUNTIFS('RAW_농산물_9월'!$D:$D,$C649,'RAW_농산물_9월'!$A:$A,$E649),COUNTIFS('RAW_농산물_10월'!$D:$D,$C649,'RAW_농산물_10월'!$A:$A,$E649),COUNTIFS('RAW_농산물_11-12월'!$D:$D,$C649,'RAW_농산물_11-12월'!$A:$A,$E649))))</f>
        <v>0</v>
      </c>
    </row>
    <row r="650" ht="15.75" customHeight="1">
      <c r="A650" s="5"/>
      <c r="B650" s="5"/>
      <c r="C650" s="5"/>
      <c r="D650" s="6"/>
      <c r="E650" s="5"/>
      <c r="F650" s="7" t="str">
        <f>IF($C650="","",IF('설정'!$B$3=0,"",CHOOSE('설정'!$B$3,SUMIFS('RAW_농산물_7월'!$F:$F,'RAW_농산물_7월'!$D:$D,$C650,'RAW_농산물_7월'!$A:$A,$E650),SUMIFS('RAW_농산물_8월'!$F:$F,'RAW_농산물_8월'!$D:$D,$C650,'RAW_농산물_8월'!$A:$A,$E650),SUMIFS('RAW_농산물_9월'!$F:$F,'RAW_농산물_9월'!$D:$D,$C650,'RAW_농산물_9월'!$A:$A,$E650),SUMIFS('RAW_농산물_10월'!$F:$F,'RAW_농산물_10월'!$D:$D,$C650,'RAW_농산물_10월'!$A:$A,$E650),SUMIFS('RAW_농산물_11-12월'!$F:$F,'RAW_농산물_11-12월'!$D:$D,$C650,'RAW_농산물_11-12월'!$A:$A,$E650))))</f>
        <v/>
      </c>
      <c r="G650" s="7" t="str">
        <f>IF($C650="","",IF('설정'!$B$3=0,"",CHOOSE('설정'!$B$3,SUMIFS('RAW_농산물_7월'!$G:$G,'RAW_농산물_7월'!$D:$D,$C650,'RAW_농산물_7월'!$A:$A,$E650),SUMIFS('RAW_농산물_8월'!$G:$G,'RAW_농산물_8월'!$D:$D,$C650,'RAW_농산물_8월'!$A:$A,$E650),SUMIFS('RAW_농산물_9월'!$G:$G,'RAW_농산물_9월'!$D:$D,$C650,'RAW_농산물_9월'!$A:$A,$E650),SUMIFS('RAW_농산물_10월'!$G:$G,'RAW_농산물_10월'!$D:$D,$C650,'RAW_농산물_10월'!$A:$A,$E650),SUMIFS('RAW_농산물_11-12월'!$G:$G,'RAW_농산물_11-12월'!$D:$D,$C650,'RAW_농산물_11-12월'!$A:$A,$E650))))</f>
        <v/>
      </c>
      <c r="H650" s="14" t="str">
        <f>IF($C650="","",IF('설정'!$B$3=0,"",CHOOSE('설정'!$B$3,SUMIFS('RAW_농산물_7월'!$H:$H,'RAW_농산물_7월'!$D:$D,$C650,'RAW_농산물_7월'!$A:$A,$E650),SUMIFS('RAW_농산물_8월'!$H:$H,'RAW_농산물_8월'!$D:$D,$C650,'RAW_농산물_8월'!$A:$A,$E650),SUMIFS('RAW_농산물_9월'!$H:$H,'RAW_농산물_9월'!$D:$D,$C650,'RAW_농산물_9월'!$A:$A,$E650),SUMIFS('RAW_농산물_10월'!$H:$H,'RAW_농산물_10월'!$D:$D,$C650,'RAW_농산물_10월'!$A:$A,$E650),SUMIFS('RAW_농산물_11-12월'!$H:$H,'RAW_농산물_11-12월'!$D:$D,$C650,'RAW_농산물_11-12월'!$A:$A,$E650))))</f>
        <v/>
      </c>
      <c r="I650" s="17" t="str">
        <f>IF($C650="","",IF(COUNTIFS('RAW_농산물_7월'!$D:$D,$C650,'RAW_농산물_7월'!$A:$A,$E650)&gt;0,"O",""))</f>
        <v/>
      </c>
      <c r="J650" s="17" t="str">
        <f>IF($C650="","",IF(COUNTIFS('RAW_농산물_8월'!$D:$D,$C650,'RAW_농산물_8월'!$A:$A,$E650)&gt;0,"O",""))</f>
        <v/>
      </c>
      <c r="K650" s="17" t="str">
        <f>IF($C650="","",IF(COUNTIFS('RAW_농산물_9월'!$D:$D,$C650,'RAW_농산물_9월'!$A:$A,$E650)&gt;0,"O",""))</f>
        <v/>
      </c>
      <c r="L650" s="17" t="str">
        <f>IF($C650="","",IF(COUNTIFS('RAW_농산물_10월'!$D:$D,$C650,'RAW_농산물_10월'!$A:$A,$E650)&gt;0,"O",""))</f>
        <v/>
      </c>
      <c r="M650" s="17" t="str">
        <f>IF($C650="","",IF(COUNTIFS('RAW_농산물_11-12월'!$D:$D,$C650,'RAW_농산물_11-12월'!$A:$A,$E650)&gt;0,"O",""))</f>
        <v/>
      </c>
      <c r="N650" s="7" t="str">
        <f>IF($C650="","",IF(COUNTA('RAW_농산물_7월'!$A:$A)&lt;=1,"",SUMIFS('RAW_농산물_7월'!$H:$H,'RAW_농산물_7월'!$D:$D,$C650,'RAW_농산물_7월'!$A:$A,$E650)))</f>
        <v/>
      </c>
      <c r="O650" s="7" t="str">
        <f>IF($C650="","",IF(COUNTA('RAW_농산물_8월'!$A:$A)&lt;=1,"",SUMIFS('RAW_농산물_8월'!$H:$H,'RAW_농산물_8월'!$D:$D,$C650,'RAW_농산물_8월'!$A:$A,$E650)-SUMIFS('RAW_농산물_7월'!$H:$H,'RAW_농산물_7월'!$D:$D,$C650,'RAW_농산물_7월'!$A:$A,$E650)))</f>
        <v/>
      </c>
      <c r="P650" s="7" t="str">
        <f>IF($C650="","",IF(COUNTA('RAW_농산물_9월'!$A:$A)&lt;=1,"",SUMIFS('RAW_농산물_9월'!$H:$H,'RAW_농산물_9월'!$D:$D,$C650,'RAW_농산물_9월'!$A:$A,$E650)-SUMIFS('RAW_농산물_8월'!$H:$H,'RAW_농산물_8월'!$D:$D,$C650,'RAW_농산물_8월'!$A:$A,$E650)))</f>
        <v/>
      </c>
      <c r="Q650" s="7" t="str">
        <f>IF($C650="","",IF(COUNTA('RAW_농산물_10월'!$A:$A)&lt;=1,"",SUMIFS('RAW_농산물_10월'!$H:$H,'RAW_농산물_10월'!$D:$D,$C650,'RAW_농산물_10월'!$A:$A,$E650)-SUMIFS('RAW_농산물_9월'!$H:$H,'RAW_농산물_9월'!$D:$D,$C650,'RAW_농산물_9월'!$A:$A,$E650)))</f>
        <v/>
      </c>
      <c r="R650" s="7" t="str">
        <f>IF($C650="","",IF(COUNTA('RAW_농산물_11-12월'!$A:$A)&lt;=1,"",SUMIFS('RAW_농산물_11-12월'!$H:$H,'RAW_농산물_11-12월'!$D:$D,$C650,'RAW_농산물_11-12월'!$A:$A,$E650)-SUMIFS('RAW_농산물_10월'!$H:$H,'RAW_농산물_10월'!$D:$D,$C650,'RAW_농산물_10월'!$A:$A,$E650)))</f>
        <v/>
      </c>
      <c r="S650" s="17" t="str">
        <f t="shared" si="4"/>
        <v/>
      </c>
      <c r="T650" s="17" t="str">
        <f t="shared" si="5"/>
        <v/>
      </c>
      <c r="U650" s="7">
        <f>IF($C650="",0,IF('설정'!$B$3=0,0,CHOOSE('설정'!$B$3,COUNTIFS('RAW_농산물_7월'!$D:$D,$C650,'RAW_농산물_7월'!$A:$A,$E650),COUNTIFS('RAW_농산물_8월'!$D:$D,$C650,'RAW_농산물_8월'!$A:$A,$E650),COUNTIFS('RAW_농산물_9월'!$D:$D,$C650,'RAW_농산물_9월'!$A:$A,$E650),COUNTIFS('RAW_농산물_10월'!$D:$D,$C650,'RAW_농산물_10월'!$A:$A,$E650),COUNTIFS('RAW_농산물_11-12월'!$D:$D,$C650,'RAW_농산물_11-12월'!$A:$A,$E650))))</f>
        <v>0</v>
      </c>
    </row>
    <row r="651" ht="15.75" customHeight="1">
      <c r="A651" s="5"/>
      <c r="B651" s="5"/>
      <c r="C651" s="5"/>
      <c r="D651" s="6"/>
      <c r="E651" s="5"/>
      <c r="F651" s="7" t="str">
        <f>IF($C651="","",IF('설정'!$B$3=0,"",CHOOSE('설정'!$B$3,SUMIFS('RAW_농산물_7월'!$F:$F,'RAW_농산물_7월'!$D:$D,$C651,'RAW_농산물_7월'!$A:$A,$E651),SUMIFS('RAW_농산물_8월'!$F:$F,'RAW_농산물_8월'!$D:$D,$C651,'RAW_농산물_8월'!$A:$A,$E651),SUMIFS('RAW_농산물_9월'!$F:$F,'RAW_농산물_9월'!$D:$D,$C651,'RAW_농산물_9월'!$A:$A,$E651),SUMIFS('RAW_농산물_10월'!$F:$F,'RAW_농산물_10월'!$D:$D,$C651,'RAW_농산물_10월'!$A:$A,$E651),SUMIFS('RAW_농산물_11-12월'!$F:$F,'RAW_농산물_11-12월'!$D:$D,$C651,'RAW_농산물_11-12월'!$A:$A,$E651))))</f>
        <v/>
      </c>
      <c r="G651" s="7" t="str">
        <f>IF($C651="","",IF('설정'!$B$3=0,"",CHOOSE('설정'!$B$3,SUMIFS('RAW_농산물_7월'!$G:$G,'RAW_농산물_7월'!$D:$D,$C651,'RAW_농산물_7월'!$A:$A,$E651),SUMIFS('RAW_농산물_8월'!$G:$G,'RAW_농산물_8월'!$D:$D,$C651,'RAW_농산물_8월'!$A:$A,$E651),SUMIFS('RAW_농산물_9월'!$G:$G,'RAW_농산물_9월'!$D:$D,$C651,'RAW_농산물_9월'!$A:$A,$E651),SUMIFS('RAW_농산물_10월'!$G:$G,'RAW_농산물_10월'!$D:$D,$C651,'RAW_농산물_10월'!$A:$A,$E651),SUMIFS('RAW_농산물_11-12월'!$G:$G,'RAW_농산물_11-12월'!$D:$D,$C651,'RAW_농산물_11-12월'!$A:$A,$E651))))</f>
        <v/>
      </c>
      <c r="H651" s="14" t="str">
        <f>IF($C651="","",IF('설정'!$B$3=0,"",CHOOSE('설정'!$B$3,SUMIFS('RAW_농산물_7월'!$H:$H,'RAW_농산물_7월'!$D:$D,$C651,'RAW_농산물_7월'!$A:$A,$E651),SUMIFS('RAW_농산물_8월'!$H:$H,'RAW_농산물_8월'!$D:$D,$C651,'RAW_농산물_8월'!$A:$A,$E651),SUMIFS('RAW_농산물_9월'!$H:$H,'RAW_농산물_9월'!$D:$D,$C651,'RAW_농산물_9월'!$A:$A,$E651),SUMIFS('RAW_농산물_10월'!$H:$H,'RAW_농산물_10월'!$D:$D,$C651,'RAW_농산물_10월'!$A:$A,$E651),SUMIFS('RAW_농산물_11-12월'!$H:$H,'RAW_농산물_11-12월'!$D:$D,$C651,'RAW_농산물_11-12월'!$A:$A,$E651))))</f>
        <v/>
      </c>
      <c r="I651" s="17" t="str">
        <f>IF($C651="","",IF(COUNTIFS('RAW_농산물_7월'!$D:$D,$C651,'RAW_농산물_7월'!$A:$A,$E651)&gt;0,"O",""))</f>
        <v/>
      </c>
      <c r="J651" s="17" t="str">
        <f>IF($C651="","",IF(COUNTIFS('RAW_농산물_8월'!$D:$D,$C651,'RAW_농산물_8월'!$A:$A,$E651)&gt;0,"O",""))</f>
        <v/>
      </c>
      <c r="K651" s="17" t="str">
        <f>IF($C651="","",IF(COUNTIFS('RAW_농산물_9월'!$D:$D,$C651,'RAW_농산물_9월'!$A:$A,$E651)&gt;0,"O",""))</f>
        <v/>
      </c>
      <c r="L651" s="17" t="str">
        <f>IF($C651="","",IF(COUNTIFS('RAW_농산물_10월'!$D:$D,$C651,'RAW_농산물_10월'!$A:$A,$E651)&gt;0,"O",""))</f>
        <v/>
      </c>
      <c r="M651" s="17" t="str">
        <f>IF($C651="","",IF(COUNTIFS('RAW_농산물_11-12월'!$D:$D,$C651,'RAW_농산물_11-12월'!$A:$A,$E651)&gt;0,"O",""))</f>
        <v/>
      </c>
      <c r="N651" s="7" t="str">
        <f>IF($C651="","",IF(COUNTA('RAW_농산물_7월'!$A:$A)&lt;=1,"",SUMIFS('RAW_농산물_7월'!$H:$H,'RAW_농산물_7월'!$D:$D,$C651,'RAW_농산물_7월'!$A:$A,$E651)))</f>
        <v/>
      </c>
      <c r="O651" s="7" t="str">
        <f>IF($C651="","",IF(COUNTA('RAW_농산물_8월'!$A:$A)&lt;=1,"",SUMIFS('RAW_농산물_8월'!$H:$H,'RAW_농산물_8월'!$D:$D,$C651,'RAW_농산물_8월'!$A:$A,$E651)-SUMIFS('RAW_농산물_7월'!$H:$H,'RAW_농산물_7월'!$D:$D,$C651,'RAW_농산물_7월'!$A:$A,$E651)))</f>
        <v/>
      </c>
      <c r="P651" s="7" t="str">
        <f>IF($C651="","",IF(COUNTA('RAW_농산물_9월'!$A:$A)&lt;=1,"",SUMIFS('RAW_농산물_9월'!$H:$H,'RAW_농산물_9월'!$D:$D,$C651,'RAW_농산물_9월'!$A:$A,$E651)-SUMIFS('RAW_농산물_8월'!$H:$H,'RAW_농산물_8월'!$D:$D,$C651,'RAW_농산물_8월'!$A:$A,$E651)))</f>
        <v/>
      </c>
      <c r="Q651" s="7" t="str">
        <f>IF($C651="","",IF(COUNTA('RAW_농산물_10월'!$A:$A)&lt;=1,"",SUMIFS('RAW_농산물_10월'!$H:$H,'RAW_농산물_10월'!$D:$D,$C651,'RAW_농산물_10월'!$A:$A,$E651)-SUMIFS('RAW_농산물_9월'!$H:$H,'RAW_농산물_9월'!$D:$D,$C651,'RAW_농산물_9월'!$A:$A,$E651)))</f>
        <v/>
      </c>
      <c r="R651" s="7" t="str">
        <f>IF($C651="","",IF(COUNTA('RAW_농산물_11-12월'!$A:$A)&lt;=1,"",SUMIFS('RAW_농산물_11-12월'!$H:$H,'RAW_농산물_11-12월'!$D:$D,$C651,'RAW_농산물_11-12월'!$A:$A,$E651)-SUMIFS('RAW_농산물_10월'!$H:$H,'RAW_농산물_10월'!$D:$D,$C651,'RAW_농산물_10월'!$A:$A,$E651)))</f>
        <v/>
      </c>
      <c r="S651" s="17" t="str">
        <f t="shared" si="4"/>
        <v/>
      </c>
      <c r="T651" s="17" t="str">
        <f t="shared" si="5"/>
        <v/>
      </c>
      <c r="U651" s="7">
        <f>IF($C651="",0,IF('설정'!$B$3=0,0,CHOOSE('설정'!$B$3,COUNTIFS('RAW_농산물_7월'!$D:$D,$C651,'RAW_농산물_7월'!$A:$A,$E651),COUNTIFS('RAW_농산물_8월'!$D:$D,$C651,'RAW_농산물_8월'!$A:$A,$E651),COUNTIFS('RAW_농산물_9월'!$D:$D,$C651,'RAW_농산물_9월'!$A:$A,$E651),COUNTIFS('RAW_농산물_10월'!$D:$D,$C651,'RAW_농산물_10월'!$A:$A,$E651),COUNTIFS('RAW_농산물_11-12월'!$D:$D,$C651,'RAW_농산물_11-12월'!$A:$A,$E651))))</f>
        <v>0</v>
      </c>
    </row>
    <row r="652" ht="15.75" customHeight="1">
      <c r="A652" s="5"/>
      <c r="B652" s="5"/>
      <c r="C652" s="5"/>
      <c r="D652" s="6"/>
      <c r="E652" s="5"/>
      <c r="F652" s="7" t="str">
        <f>IF($C652="","",IF('설정'!$B$3=0,"",CHOOSE('설정'!$B$3,SUMIFS('RAW_농산물_7월'!$F:$F,'RAW_농산물_7월'!$D:$D,$C652,'RAW_농산물_7월'!$A:$A,$E652),SUMIFS('RAW_농산물_8월'!$F:$F,'RAW_농산물_8월'!$D:$D,$C652,'RAW_농산물_8월'!$A:$A,$E652),SUMIFS('RAW_농산물_9월'!$F:$F,'RAW_농산물_9월'!$D:$D,$C652,'RAW_농산물_9월'!$A:$A,$E652),SUMIFS('RAW_농산물_10월'!$F:$F,'RAW_농산물_10월'!$D:$D,$C652,'RAW_농산물_10월'!$A:$A,$E652),SUMIFS('RAW_농산물_11-12월'!$F:$F,'RAW_농산물_11-12월'!$D:$D,$C652,'RAW_농산물_11-12월'!$A:$A,$E652))))</f>
        <v/>
      </c>
      <c r="G652" s="7" t="str">
        <f>IF($C652="","",IF('설정'!$B$3=0,"",CHOOSE('설정'!$B$3,SUMIFS('RAW_농산물_7월'!$G:$G,'RAW_농산물_7월'!$D:$D,$C652,'RAW_농산물_7월'!$A:$A,$E652),SUMIFS('RAW_농산물_8월'!$G:$G,'RAW_농산물_8월'!$D:$D,$C652,'RAW_농산물_8월'!$A:$A,$E652),SUMIFS('RAW_농산물_9월'!$G:$G,'RAW_농산물_9월'!$D:$D,$C652,'RAW_농산물_9월'!$A:$A,$E652),SUMIFS('RAW_농산물_10월'!$G:$G,'RAW_농산물_10월'!$D:$D,$C652,'RAW_농산물_10월'!$A:$A,$E652),SUMIFS('RAW_농산물_11-12월'!$G:$G,'RAW_농산물_11-12월'!$D:$D,$C652,'RAW_농산물_11-12월'!$A:$A,$E652))))</f>
        <v/>
      </c>
      <c r="H652" s="14" t="str">
        <f>IF($C652="","",IF('설정'!$B$3=0,"",CHOOSE('설정'!$B$3,SUMIFS('RAW_농산물_7월'!$H:$H,'RAW_농산물_7월'!$D:$D,$C652,'RAW_농산물_7월'!$A:$A,$E652),SUMIFS('RAW_농산물_8월'!$H:$H,'RAW_농산물_8월'!$D:$D,$C652,'RAW_농산물_8월'!$A:$A,$E652),SUMIFS('RAW_농산물_9월'!$H:$H,'RAW_농산물_9월'!$D:$D,$C652,'RAW_농산물_9월'!$A:$A,$E652),SUMIFS('RAW_농산물_10월'!$H:$H,'RAW_농산물_10월'!$D:$D,$C652,'RAW_농산물_10월'!$A:$A,$E652),SUMIFS('RAW_농산물_11-12월'!$H:$H,'RAW_농산물_11-12월'!$D:$D,$C652,'RAW_농산물_11-12월'!$A:$A,$E652))))</f>
        <v/>
      </c>
      <c r="I652" s="17" t="str">
        <f>IF($C652="","",IF(COUNTIFS('RAW_농산물_7월'!$D:$D,$C652,'RAW_농산물_7월'!$A:$A,$E652)&gt;0,"O",""))</f>
        <v/>
      </c>
      <c r="J652" s="17" t="str">
        <f>IF($C652="","",IF(COUNTIFS('RAW_농산물_8월'!$D:$D,$C652,'RAW_농산물_8월'!$A:$A,$E652)&gt;0,"O",""))</f>
        <v/>
      </c>
      <c r="K652" s="17" t="str">
        <f>IF($C652="","",IF(COUNTIFS('RAW_농산물_9월'!$D:$D,$C652,'RAW_농산물_9월'!$A:$A,$E652)&gt;0,"O",""))</f>
        <v/>
      </c>
      <c r="L652" s="17" t="str">
        <f>IF($C652="","",IF(COUNTIFS('RAW_농산물_10월'!$D:$D,$C652,'RAW_농산물_10월'!$A:$A,$E652)&gt;0,"O",""))</f>
        <v/>
      </c>
      <c r="M652" s="17" t="str">
        <f>IF($C652="","",IF(COUNTIFS('RAW_농산물_11-12월'!$D:$D,$C652,'RAW_농산물_11-12월'!$A:$A,$E652)&gt;0,"O",""))</f>
        <v/>
      </c>
      <c r="N652" s="7" t="str">
        <f>IF($C652="","",IF(COUNTA('RAW_농산물_7월'!$A:$A)&lt;=1,"",SUMIFS('RAW_농산물_7월'!$H:$H,'RAW_농산물_7월'!$D:$D,$C652,'RAW_농산물_7월'!$A:$A,$E652)))</f>
        <v/>
      </c>
      <c r="O652" s="7" t="str">
        <f>IF($C652="","",IF(COUNTA('RAW_농산물_8월'!$A:$A)&lt;=1,"",SUMIFS('RAW_농산물_8월'!$H:$H,'RAW_농산물_8월'!$D:$D,$C652,'RAW_농산물_8월'!$A:$A,$E652)-SUMIFS('RAW_농산물_7월'!$H:$H,'RAW_농산물_7월'!$D:$D,$C652,'RAW_농산물_7월'!$A:$A,$E652)))</f>
        <v/>
      </c>
      <c r="P652" s="7" t="str">
        <f>IF($C652="","",IF(COUNTA('RAW_농산물_9월'!$A:$A)&lt;=1,"",SUMIFS('RAW_농산물_9월'!$H:$H,'RAW_농산물_9월'!$D:$D,$C652,'RAW_농산물_9월'!$A:$A,$E652)-SUMIFS('RAW_농산물_8월'!$H:$H,'RAW_농산물_8월'!$D:$D,$C652,'RAW_농산물_8월'!$A:$A,$E652)))</f>
        <v/>
      </c>
      <c r="Q652" s="7" t="str">
        <f>IF($C652="","",IF(COUNTA('RAW_농산물_10월'!$A:$A)&lt;=1,"",SUMIFS('RAW_농산물_10월'!$H:$H,'RAW_농산물_10월'!$D:$D,$C652,'RAW_농산물_10월'!$A:$A,$E652)-SUMIFS('RAW_농산물_9월'!$H:$H,'RAW_농산물_9월'!$D:$D,$C652,'RAW_농산물_9월'!$A:$A,$E652)))</f>
        <v/>
      </c>
      <c r="R652" s="7" t="str">
        <f>IF($C652="","",IF(COUNTA('RAW_농산물_11-12월'!$A:$A)&lt;=1,"",SUMIFS('RAW_농산물_11-12월'!$H:$H,'RAW_농산물_11-12월'!$D:$D,$C652,'RAW_농산물_11-12월'!$A:$A,$E652)-SUMIFS('RAW_농산물_10월'!$H:$H,'RAW_농산물_10월'!$D:$D,$C652,'RAW_농산물_10월'!$A:$A,$E652)))</f>
        <v/>
      </c>
      <c r="S652" s="17" t="str">
        <f t="shared" si="4"/>
        <v/>
      </c>
      <c r="T652" s="17" t="str">
        <f t="shared" si="5"/>
        <v/>
      </c>
      <c r="U652" s="7">
        <f>IF($C652="",0,IF('설정'!$B$3=0,0,CHOOSE('설정'!$B$3,COUNTIFS('RAW_농산물_7월'!$D:$D,$C652,'RAW_농산물_7월'!$A:$A,$E652),COUNTIFS('RAW_농산물_8월'!$D:$D,$C652,'RAW_농산물_8월'!$A:$A,$E652),COUNTIFS('RAW_농산물_9월'!$D:$D,$C652,'RAW_농산물_9월'!$A:$A,$E652),COUNTIFS('RAW_농산물_10월'!$D:$D,$C652,'RAW_농산물_10월'!$A:$A,$E652),COUNTIFS('RAW_농산물_11-12월'!$D:$D,$C652,'RAW_농산물_11-12월'!$A:$A,$E652))))</f>
        <v>0</v>
      </c>
    </row>
    <row r="653" ht="15.75" customHeight="1">
      <c r="A653" s="5"/>
      <c r="B653" s="5"/>
      <c r="C653" s="5"/>
      <c r="D653" s="6"/>
      <c r="E653" s="5"/>
      <c r="F653" s="7" t="str">
        <f>IF($C653="","",IF('설정'!$B$3=0,"",CHOOSE('설정'!$B$3,SUMIFS('RAW_농산물_7월'!$F:$F,'RAW_농산물_7월'!$D:$D,$C653,'RAW_농산물_7월'!$A:$A,$E653),SUMIFS('RAW_농산물_8월'!$F:$F,'RAW_농산물_8월'!$D:$D,$C653,'RAW_농산물_8월'!$A:$A,$E653),SUMIFS('RAW_농산물_9월'!$F:$F,'RAW_농산물_9월'!$D:$D,$C653,'RAW_농산물_9월'!$A:$A,$E653),SUMIFS('RAW_농산물_10월'!$F:$F,'RAW_농산물_10월'!$D:$D,$C653,'RAW_농산물_10월'!$A:$A,$E653),SUMIFS('RAW_농산물_11-12월'!$F:$F,'RAW_농산물_11-12월'!$D:$D,$C653,'RAW_농산물_11-12월'!$A:$A,$E653))))</f>
        <v/>
      </c>
      <c r="G653" s="7" t="str">
        <f>IF($C653="","",IF('설정'!$B$3=0,"",CHOOSE('설정'!$B$3,SUMIFS('RAW_농산물_7월'!$G:$G,'RAW_농산물_7월'!$D:$D,$C653,'RAW_농산물_7월'!$A:$A,$E653),SUMIFS('RAW_농산물_8월'!$G:$G,'RAW_농산물_8월'!$D:$D,$C653,'RAW_농산물_8월'!$A:$A,$E653),SUMIFS('RAW_농산물_9월'!$G:$G,'RAW_농산물_9월'!$D:$D,$C653,'RAW_농산물_9월'!$A:$A,$E653),SUMIFS('RAW_농산물_10월'!$G:$G,'RAW_농산물_10월'!$D:$D,$C653,'RAW_농산물_10월'!$A:$A,$E653),SUMIFS('RAW_농산물_11-12월'!$G:$G,'RAW_농산물_11-12월'!$D:$D,$C653,'RAW_농산물_11-12월'!$A:$A,$E653))))</f>
        <v/>
      </c>
      <c r="H653" s="14" t="str">
        <f>IF($C653="","",IF('설정'!$B$3=0,"",CHOOSE('설정'!$B$3,SUMIFS('RAW_농산물_7월'!$H:$H,'RAW_농산물_7월'!$D:$D,$C653,'RAW_농산물_7월'!$A:$A,$E653),SUMIFS('RAW_농산물_8월'!$H:$H,'RAW_농산물_8월'!$D:$D,$C653,'RAW_농산물_8월'!$A:$A,$E653),SUMIFS('RAW_농산물_9월'!$H:$H,'RAW_농산물_9월'!$D:$D,$C653,'RAW_농산물_9월'!$A:$A,$E653),SUMIFS('RAW_농산물_10월'!$H:$H,'RAW_농산물_10월'!$D:$D,$C653,'RAW_농산물_10월'!$A:$A,$E653),SUMIFS('RAW_농산물_11-12월'!$H:$H,'RAW_농산물_11-12월'!$D:$D,$C653,'RAW_농산물_11-12월'!$A:$A,$E653))))</f>
        <v/>
      </c>
      <c r="I653" s="17" t="str">
        <f>IF($C653="","",IF(COUNTIFS('RAW_농산물_7월'!$D:$D,$C653,'RAW_농산물_7월'!$A:$A,$E653)&gt;0,"O",""))</f>
        <v/>
      </c>
      <c r="J653" s="17" t="str">
        <f>IF($C653="","",IF(COUNTIFS('RAW_농산물_8월'!$D:$D,$C653,'RAW_농산물_8월'!$A:$A,$E653)&gt;0,"O",""))</f>
        <v/>
      </c>
      <c r="K653" s="17" t="str">
        <f>IF($C653="","",IF(COUNTIFS('RAW_농산물_9월'!$D:$D,$C653,'RAW_농산물_9월'!$A:$A,$E653)&gt;0,"O",""))</f>
        <v/>
      </c>
      <c r="L653" s="17" t="str">
        <f>IF($C653="","",IF(COUNTIFS('RAW_농산물_10월'!$D:$D,$C653,'RAW_농산물_10월'!$A:$A,$E653)&gt;0,"O",""))</f>
        <v/>
      </c>
      <c r="M653" s="17" t="str">
        <f>IF($C653="","",IF(COUNTIFS('RAW_농산물_11-12월'!$D:$D,$C653,'RAW_농산물_11-12월'!$A:$A,$E653)&gt;0,"O",""))</f>
        <v/>
      </c>
      <c r="N653" s="7" t="str">
        <f>IF($C653="","",IF(COUNTA('RAW_농산물_7월'!$A:$A)&lt;=1,"",SUMIFS('RAW_농산물_7월'!$H:$H,'RAW_농산물_7월'!$D:$D,$C653,'RAW_농산물_7월'!$A:$A,$E653)))</f>
        <v/>
      </c>
      <c r="O653" s="7" t="str">
        <f>IF($C653="","",IF(COUNTA('RAW_농산물_8월'!$A:$A)&lt;=1,"",SUMIFS('RAW_농산물_8월'!$H:$H,'RAW_농산물_8월'!$D:$D,$C653,'RAW_농산물_8월'!$A:$A,$E653)-SUMIFS('RAW_농산물_7월'!$H:$H,'RAW_농산물_7월'!$D:$D,$C653,'RAW_농산물_7월'!$A:$A,$E653)))</f>
        <v/>
      </c>
      <c r="P653" s="7" t="str">
        <f>IF($C653="","",IF(COUNTA('RAW_농산물_9월'!$A:$A)&lt;=1,"",SUMIFS('RAW_농산물_9월'!$H:$H,'RAW_농산물_9월'!$D:$D,$C653,'RAW_농산물_9월'!$A:$A,$E653)-SUMIFS('RAW_농산물_8월'!$H:$H,'RAW_농산물_8월'!$D:$D,$C653,'RAW_농산물_8월'!$A:$A,$E653)))</f>
        <v/>
      </c>
      <c r="Q653" s="7" t="str">
        <f>IF($C653="","",IF(COUNTA('RAW_농산물_10월'!$A:$A)&lt;=1,"",SUMIFS('RAW_농산물_10월'!$H:$H,'RAW_농산물_10월'!$D:$D,$C653,'RAW_농산물_10월'!$A:$A,$E653)-SUMIFS('RAW_농산물_9월'!$H:$H,'RAW_농산물_9월'!$D:$D,$C653,'RAW_농산물_9월'!$A:$A,$E653)))</f>
        <v/>
      </c>
      <c r="R653" s="7" t="str">
        <f>IF($C653="","",IF(COUNTA('RAW_농산물_11-12월'!$A:$A)&lt;=1,"",SUMIFS('RAW_농산물_11-12월'!$H:$H,'RAW_농산물_11-12월'!$D:$D,$C653,'RAW_농산물_11-12월'!$A:$A,$E653)-SUMIFS('RAW_농산물_10월'!$H:$H,'RAW_농산물_10월'!$D:$D,$C653,'RAW_농산물_10월'!$A:$A,$E653)))</f>
        <v/>
      </c>
      <c r="S653" s="17" t="str">
        <f t="shared" si="4"/>
        <v/>
      </c>
      <c r="T653" s="17" t="str">
        <f t="shared" si="5"/>
        <v/>
      </c>
      <c r="U653" s="7">
        <f>IF($C653="",0,IF('설정'!$B$3=0,0,CHOOSE('설정'!$B$3,COUNTIFS('RAW_농산물_7월'!$D:$D,$C653,'RAW_농산물_7월'!$A:$A,$E653),COUNTIFS('RAW_농산물_8월'!$D:$D,$C653,'RAW_농산물_8월'!$A:$A,$E653),COUNTIFS('RAW_농산물_9월'!$D:$D,$C653,'RAW_농산물_9월'!$A:$A,$E653),COUNTIFS('RAW_농산물_10월'!$D:$D,$C653,'RAW_농산물_10월'!$A:$A,$E653),COUNTIFS('RAW_농산물_11-12월'!$D:$D,$C653,'RAW_농산물_11-12월'!$A:$A,$E653))))</f>
        <v>0</v>
      </c>
    </row>
    <row r="654" ht="15.75" customHeight="1">
      <c r="A654" s="5"/>
      <c r="B654" s="5"/>
      <c r="C654" s="5"/>
      <c r="D654" s="6"/>
      <c r="E654" s="5"/>
      <c r="F654" s="7" t="str">
        <f>IF($C654="","",IF('설정'!$B$3=0,"",CHOOSE('설정'!$B$3,SUMIFS('RAW_농산물_7월'!$F:$F,'RAW_농산물_7월'!$D:$D,$C654,'RAW_농산물_7월'!$A:$A,$E654),SUMIFS('RAW_농산물_8월'!$F:$F,'RAW_농산물_8월'!$D:$D,$C654,'RAW_농산물_8월'!$A:$A,$E654),SUMIFS('RAW_농산물_9월'!$F:$F,'RAW_농산물_9월'!$D:$D,$C654,'RAW_농산물_9월'!$A:$A,$E654),SUMIFS('RAW_농산물_10월'!$F:$F,'RAW_농산물_10월'!$D:$D,$C654,'RAW_농산물_10월'!$A:$A,$E654),SUMIFS('RAW_농산물_11-12월'!$F:$F,'RAW_농산물_11-12월'!$D:$D,$C654,'RAW_농산물_11-12월'!$A:$A,$E654))))</f>
        <v/>
      </c>
      <c r="G654" s="7" t="str">
        <f>IF($C654="","",IF('설정'!$B$3=0,"",CHOOSE('설정'!$B$3,SUMIFS('RAW_농산물_7월'!$G:$G,'RAW_농산물_7월'!$D:$D,$C654,'RAW_농산물_7월'!$A:$A,$E654),SUMIFS('RAW_농산물_8월'!$G:$G,'RAW_농산물_8월'!$D:$D,$C654,'RAW_농산물_8월'!$A:$A,$E654),SUMIFS('RAW_농산물_9월'!$G:$G,'RAW_농산물_9월'!$D:$D,$C654,'RAW_농산물_9월'!$A:$A,$E654),SUMIFS('RAW_농산물_10월'!$G:$G,'RAW_농산물_10월'!$D:$D,$C654,'RAW_농산물_10월'!$A:$A,$E654),SUMIFS('RAW_농산물_11-12월'!$G:$G,'RAW_농산물_11-12월'!$D:$D,$C654,'RAW_농산물_11-12월'!$A:$A,$E654))))</f>
        <v/>
      </c>
      <c r="H654" s="14" t="str">
        <f>IF($C654="","",IF('설정'!$B$3=0,"",CHOOSE('설정'!$B$3,SUMIFS('RAW_농산물_7월'!$H:$H,'RAW_농산물_7월'!$D:$D,$C654,'RAW_농산물_7월'!$A:$A,$E654),SUMIFS('RAW_농산물_8월'!$H:$H,'RAW_농산물_8월'!$D:$D,$C654,'RAW_농산물_8월'!$A:$A,$E654),SUMIFS('RAW_농산물_9월'!$H:$H,'RAW_농산물_9월'!$D:$D,$C654,'RAW_농산물_9월'!$A:$A,$E654),SUMIFS('RAW_농산물_10월'!$H:$H,'RAW_농산물_10월'!$D:$D,$C654,'RAW_농산물_10월'!$A:$A,$E654),SUMIFS('RAW_농산물_11-12월'!$H:$H,'RAW_농산물_11-12월'!$D:$D,$C654,'RAW_농산물_11-12월'!$A:$A,$E654))))</f>
        <v/>
      </c>
      <c r="I654" s="17" t="str">
        <f>IF($C654="","",IF(COUNTIFS('RAW_농산물_7월'!$D:$D,$C654,'RAW_농산물_7월'!$A:$A,$E654)&gt;0,"O",""))</f>
        <v/>
      </c>
      <c r="J654" s="17" t="str">
        <f>IF($C654="","",IF(COUNTIFS('RAW_농산물_8월'!$D:$D,$C654,'RAW_농산물_8월'!$A:$A,$E654)&gt;0,"O",""))</f>
        <v/>
      </c>
      <c r="K654" s="17" t="str">
        <f>IF($C654="","",IF(COUNTIFS('RAW_농산물_9월'!$D:$D,$C654,'RAW_농산물_9월'!$A:$A,$E654)&gt;0,"O",""))</f>
        <v/>
      </c>
      <c r="L654" s="17" t="str">
        <f>IF($C654="","",IF(COUNTIFS('RAW_농산물_10월'!$D:$D,$C654,'RAW_농산물_10월'!$A:$A,$E654)&gt;0,"O",""))</f>
        <v/>
      </c>
      <c r="M654" s="17" t="str">
        <f>IF($C654="","",IF(COUNTIFS('RAW_농산물_11-12월'!$D:$D,$C654,'RAW_농산물_11-12월'!$A:$A,$E654)&gt;0,"O",""))</f>
        <v/>
      </c>
      <c r="N654" s="7" t="str">
        <f>IF($C654="","",IF(COUNTA('RAW_농산물_7월'!$A:$A)&lt;=1,"",SUMIFS('RAW_농산물_7월'!$H:$H,'RAW_농산물_7월'!$D:$D,$C654,'RAW_농산물_7월'!$A:$A,$E654)))</f>
        <v/>
      </c>
      <c r="O654" s="7" t="str">
        <f>IF($C654="","",IF(COUNTA('RAW_농산물_8월'!$A:$A)&lt;=1,"",SUMIFS('RAW_농산물_8월'!$H:$H,'RAW_농산물_8월'!$D:$D,$C654,'RAW_농산물_8월'!$A:$A,$E654)-SUMIFS('RAW_농산물_7월'!$H:$H,'RAW_농산물_7월'!$D:$D,$C654,'RAW_농산물_7월'!$A:$A,$E654)))</f>
        <v/>
      </c>
      <c r="P654" s="7" t="str">
        <f>IF($C654="","",IF(COUNTA('RAW_농산물_9월'!$A:$A)&lt;=1,"",SUMIFS('RAW_농산물_9월'!$H:$H,'RAW_농산물_9월'!$D:$D,$C654,'RAW_농산물_9월'!$A:$A,$E654)-SUMIFS('RAW_농산물_8월'!$H:$H,'RAW_농산물_8월'!$D:$D,$C654,'RAW_농산물_8월'!$A:$A,$E654)))</f>
        <v/>
      </c>
      <c r="Q654" s="7" t="str">
        <f>IF($C654="","",IF(COUNTA('RAW_농산물_10월'!$A:$A)&lt;=1,"",SUMIFS('RAW_농산물_10월'!$H:$H,'RAW_농산물_10월'!$D:$D,$C654,'RAW_농산물_10월'!$A:$A,$E654)-SUMIFS('RAW_농산물_9월'!$H:$H,'RAW_농산물_9월'!$D:$D,$C654,'RAW_농산물_9월'!$A:$A,$E654)))</f>
        <v/>
      </c>
      <c r="R654" s="7" t="str">
        <f>IF($C654="","",IF(COUNTA('RAW_농산물_11-12월'!$A:$A)&lt;=1,"",SUMIFS('RAW_농산물_11-12월'!$H:$H,'RAW_농산물_11-12월'!$D:$D,$C654,'RAW_농산물_11-12월'!$A:$A,$E654)-SUMIFS('RAW_농산물_10월'!$H:$H,'RAW_농산물_10월'!$D:$D,$C654,'RAW_농산물_10월'!$A:$A,$E654)))</f>
        <v/>
      </c>
      <c r="S654" s="17" t="str">
        <f t="shared" si="4"/>
        <v/>
      </c>
      <c r="T654" s="17" t="str">
        <f t="shared" si="5"/>
        <v/>
      </c>
      <c r="U654" s="7">
        <f>IF($C654="",0,IF('설정'!$B$3=0,0,CHOOSE('설정'!$B$3,COUNTIFS('RAW_농산물_7월'!$D:$D,$C654,'RAW_농산물_7월'!$A:$A,$E654),COUNTIFS('RAW_농산물_8월'!$D:$D,$C654,'RAW_농산물_8월'!$A:$A,$E654),COUNTIFS('RAW_농산물_9월'!$D:$D,$C654,'RAW_농산물_9월'!$A:$A,$E654),COUNTIFS('RAW_농산물_10월'!$D:$D,$C654,'RAW_농산물_10월'!$A:$A,$E654),COUNTIFS('RAW_농산물_11-12월'!$D:$D,$C654,'RAW_농산물_11-12월'!$A:$A,$E654))))</f>
        <v>0</v>
      </c>
    </row>
    <row r="655" ht="15.75" customHeight="1">
      <c r="A655" s="5"/>
      <c r="B655" s="5"/>
      <c r="C655" s="5"/>
      <c r="D655" s="6"/>
      <c r="E655" s="5"/>
      <c r="F655" s="7" t="str">
        <f>IF($C655="","",IF('설정'!$B$3=0,"",CHOOSE('설정'!$B$3,SUMIFS('RAW_농산물_7월'!$F:$F,'RAW_농산물_7월'!$D:$D,$C655,'RAW_농산물_7월'!$A:$A,$E655),SUMIFS('RAW_농산물_8월'!$F:$F,'RAW_농산물_8월'!$D:$D,$C655,'RAW_농산물_8월'!$A:$A,$E655),SUMIFS('RAW_농산물_9월'!$F:$F,'RAW_농산물_9월'!$D:$D,$C655,'RAW_농산물_9월'!$A:$A,$E655),SUMIFS('RAW_농산물_10월'!$F:$F,'RAW_농산물_10월'!$D:$D,$C655,'RAW_농산물_10월'!$A:$A,$E655),SUMIFS('RAW_농산물_11-12월'!$F:$F,'RAW_농산물_11-12월'!$D:$D,$C655,'RAW_농산물_11-12월'!$A:$A,$E655))))</f>
        <v/>
      </c>
      <c r="G655" s="7" t="str">
        <f>IF($C655="","",IF('설정'!$B$3=0,"",CHOOSE('설정'!$B$3,SUMIFS('RAW_농산물_7월'!$G:$G,'RAW_농산물_7월'!$D:$D,$C655,'RAW_농산물_7월'!$A:$A,$E655),SUMIFS('RAW_농산물_8월'!$G:$G,'RAW_농산물_8월'!$D:$D,$C655,'RAW_농산물_8월'!$A:$A,$E655),SUMIFS('RAW_농산물_9월'!$G:$G,'RAW_농산물_9월'!$D:$D,$C655,'RAW_농산물_9월'!$A:$A,$E655),SUMIFS('RAW_농산물_10월'!$G:$G,'RAW_농산물_10월'!$D:$D,$C655,'RAW_농산물_10월'!$A:$A,$E655),SUMIFS('RAW_농산물_11-12월'!$G:$G,'RAW_농산물_11-12월'!$D:$D,$C655,'RAW_농산물_11-12월'!$A:$A,$E655))))</f>
        <v/>
      </c>
      <c r="H655" s="14" t="str">
        <f>IF($C655="","",IF('설정'!$B$3=0,"",CHOOSE('설정'!$B$3,SUMIFS('RAW_농산물_7월'!$H:$H,'RAW_농산물_7월'!$D:$D,$C655,'RAW_농산물_7월'!$A:$A,$E655),SUMIFS('RAW_농산물_8월'!$H:$H,'RAW_농산물_8월'!$D:$D,$C655,'RAW_농산물_8월'!$A:$A,$E655),SUMIFS('RAW_농산물_9월'!$H:$H,'RAW_농산물_9월'!$D:$D,$C655,'RAW_농산물_9월'!$A:$A,$E655),SUMIFS('RAW_농산물_10월'!$H:$H,'RAW_농산물_10월'!$D:$D,$C655,'RAW_농산물_10월'!$A:$A,$E655),SUMIFS('RAW_농산물_11-12월'!$H:$H,'RAW_농산물_11-12월'!$D:$D,$C655,'RAW_농산물_11-12월'!$A:$A,$E655))))</f>
        <v/>
      </c>
      <c r="I655" s="17" t="str">
        <f>IF($C655="","",IF(COUNTIFS('RAW_농산물_7월'!$D:$D,$C655,'RAW_농산물_7월'!$A:$A,$E655)&gt;0,"O",""))</f>
        <v/>
      </c>
      <c r="J655" s="17" t="str">
        <f>IF($C655="","",IF(COUNTIFS('RAW_농산물_8월'!$D:$D,$C655,'RAW_농산물_8월'!$A:$A,$E655)&gt;0,"O",""))</f>
        <v/>
      </c>
      <c r="K655" s="17" t="str">
        <f>IF($C655="","",IF(COUNTIFS('RAW_농산물_9월'!$D:$D,$C655,'RAW_농산물_9월'!$A:$A,$E655)&gt;0,"O",""))</f>
        <v/>
      </c>
      <c r="L655" s="17" t="str">
        <f>IF($C655="","",IF(COUNTIFS('RAW_농산물_10월'!$D:$D,$C655,'RAW_농산물_10월'!$A:$A,$E655)&gt;0,"O",""))</f>
        <v/>
      </c>
      <c r="M655" s="17" t="str">
        <f>IF($C655="","",IF(COUNTIFS('RAW_농산물_11-12월'!$D:$D,$C655,'RAW_농산물_11-12월'!$A:$A,$E655)&gt;0,"O",""))</f>
        <v/>
      </c>
      <c r="N655" s="7" t="str">
        <f>IF($C655="","",IF(COUNTA('RAW_농산물_7월'!$A:$A)&lt;=1,"",SUMIFS('RAW_농산물_7월'!$H:$H,'RAW_농산물_7월'!$D:$D,$C655,'RAW_농산물_7월'!$A:$A,$E655)))</f>
        <v/>
      </c>
      <c r="O655" s="7" t="str">
        <f>IF($C655="","",IF(COUNTA('RAW_농산물_8월'!$A:$A)&lt;=1,"",SUMIFS('RAW_농산물_8월'!$H:$H,'RAW_농산물_8월'!$D:$D,$C655,'RAW_농산물_8월'!$A:$A,$E655)-SUMIFS('RAW_농산물_7월'!$H:$H,'RAW_농산물_7월'!$D:$D,$C655,'RAW_농산물_7월'!$A:$A,$E655)))</f>
        <v/>
      </c>
      <c r="P655" s="7" t="str">
        <f>IF($C655="","",IF(COUNTA('RAW_농산물_9월'!$A:$A)&lt;=1,"",SUMIFS('RAW_농산물_9월'!$H:$H,'RAW_농산물_9월'!$D:$D,$C655,'RAW_농산물_9월'!$A:$A,$E655)-SUMIFS('RAW_농산물_8월'!$H:$H,'RAW_농산물_8월'!$D:$D,$C655,'RAW_농산물_8월'!$A:$A,$E655)))</f>
        <v/>
      </c>
      <c r="Q655" s="7" t="str">
        <f>IF($C655="","",IF(COUNTA('RAW_농산물_10월'!$A:$A)&lt;=1,"",SUMIFS('RAW_농산물_10월'!$H:$H,'RAW_농산물_10월'!$D:$D,$C655,'RAW_농산물_10월'!$A:$A,$E655)-SUMIFS('RAW_농산물_9월'!$H:$H,'RAW_농산물_9월'!$D:$D,$C655,'RAW_농산물_9월'!$A:$A,$E655)))</f>
        <v/>
      </c>
      <c r="R655" s="7" t="str">
        <f>IF($C655="","",IF(COUNTA('RAW_농산물_11-12월'!$A:$A)&lt;=1,"",SUMIFS('RAW_농산물_11-12월'!$H:$H,'RAW_농산물_11-12월'!$D:$D,$C655,'RAW_농산물_11-12월'!$A:$A,$E655)-SUMIFS('RAW_농산물_10월'!$H:$H,'RAW_농산물_10월'!$D:$D,$C655,'RAW_농산물_10월'!$A:$A,$E655)))</f>
        <v/>
      </c>
      <c r="S655" s="17" t="str">
        <f t="shared" si="4"/>
        <v/>
      </c>
      <c r="T655" s="17" t="str">
        <f t="shared" si="5"/>
        <v/>
      </c>
      <c r="U655" s="7">
        <f>IF($C655="",0,IF('설정'!$B$3=0,0,CHOOSE('설정'!$B$3,COUNTIFS('RAW_농산물_7월'!$D:$D,$C655,'RAW_농산물_7월'!$A:$A,$E655),COUNTIFS('RAW_농산물_8월'!$D:$D,$C655,'RAW_농산물_8월'!$A:$A,$E655),COUNTIFS('RAW_농산물_9월'!$D:$D,$C655,'RAW_농산물_9월'!$A:$A,$E655),COUNTIFS('RAW_농산물_10월'!$D:$D,$C655,'RAW_농산물_10월'!$A:$A,$E655),COUNTIFS('RAW_농산물_11-12월'!$D:$D,$C655,'RAW_농산물_11-12월'!$A:$A,$E655))))</f>
        <v>0</v>
      </c>
    </row>
    <row r="656" ht="15.75" customHeight="1">
      <c r="A656" s="5"/>
      <c r="B656" s="5"/>
      <c r="C656" s="5"/>
      <c r="D656" s="6"/>
      <c r="E656" s="5"/>
      <c r="F656" s="7" t="str">
        <f>IF($C656="","",IF('설정'!$B$3=0,"",CHOOSE('설정'!$B$3,SUMIFS('RAW_농산물_7월'!$F:$F,'RAW_농산물_7월'!$D:$D,$C656,'RAW_농산물_7월'!$A:$A,$E656),SUMIFS('RAW_농산물_8월'!$F:$F,'RAW_농산물_8월'!$D:$D,$C656,'RAW_농산물_8월'!$A:$A,$E656),SUMIFS('RAW_농산물_9월'!$F:$F,'RAW_농산물_9월'!$D:$D,$C656,'RAW_농산물_9월'!$A:$A,$E656),SUMIFS('RAW_농산물_10월'!$F:$F,'RAW_농산물_10월'!$D:$D,$C656,'RAW_농산물_10월'!$A:$A,$E656),SUMIFS('RAW_농산물_11-12월'!$F:$F,'RAW_농산물_11-12월'!$D:$D,$C656,'RAW_농산물_11-12월'!$A:$A,$E656))))</f>
        <v/>
      </c>
      <c r="G656" s="7" t="str">
        <f>IF($C656="","",IF('설정'!$B$3=0,"",CHOOSE('설정'!$B$3,SUMIFS('RAW_농산물_7월'!$G:$G,'RAW_농산물_7월'!$D:$D,$C656,'RAW_농산물_7월'!$A:$A,$E656),SUMIFS('RAW_농산물_8월'!$G:$G,'RAW_농산물_8월'!$D:$D,$C656,'RAW_농산물_8월'!$A:$A,$E656),SUMIFS('RAW_농산물_9월'!$G:$G,'RAW_농산물_9월'!$D:$D,$C656,'RAW_농산물_9월'!$A:$A,$E656),SUMIFS('RAW_농산물_10월'!$G:$G,'RAW_농산물_10월'!$D:$D,$C656,'RAW_농산물_10월'!$A:$A,$E656),SUMIFS('RAW_농산물_11-12월'!$G:$G,'RAW_농산물_11-12월'!$D:$D,$C656,'RAW_농산물_11-12월'!$A:$A,$E656))))</f>
        <v/>
      </c>
      <c r="H656" s="14" t="str">
        <f>IF($C656="","",IF('설정'!$B$3=0,"",CHOOSE('설정'!$B$3,SUMIFS('RAW_농산물_7월'!$H:$H,'RAW_농산물_7월'!$D:$D,$C656,'RAW_농산물_7월'!$A:$A,$E656),SUMIFS('RAW_농산물_8월'!$H:$H,'RAW_농산물_8월'!$D:$D,$C656,'RAW_농산물_8월'!$A:$A,$E656),SUMIFS('RAW_농산물_9월'!$H:$H,'RAW_농산물_9월'!$D:$D,$C656,'RAW_농산물_9월'!$A:$A,$E656),SUMIFS('RAW_농산물_10월'!$H:$H,'RAW_농산물_10월'!$D:$D,$C656,'RAW_농산물_10월'!$A:$A,$E656),SUMIFS('RAW_농산물_11-12월'!$H:$H,'RAW_농산물_11-12월'!$D:$D,$C656,'RAW_농산물_11-12월'!$A:$A,$E656))))</f>
        <v/>
      </c>
      <c r="I656" s="17" t="str">
        <f>IF($C656="","",IF(COUNTIFS('RAW_농산물_7월'!$D:$D,$C656,'RAW_농산물_7월'!$A:$A,$E656)&gt;0,"O",""))</f>
        <v/>
      </c>
      <c r="J656" s="17" t="str">
        <f>IF($C656="","",IF(COUNTIFS('RAW_농산물_8월'!$D:$D,$C656,'RAW_농산물_8월'!$A:$A,$E656)&gt;0,"O",""))</f>
        <v/>
      </c>
      <c r="K656" s="17" t="str">
        <f>IF($C656="","",IF(COUNTIFS('RAW_농산물_9월'!$D:$D,$C656,'RAW_농산물_9월'!$A:$A,$E656)&gt;0,"O",""))</f>
        <v/>
      </c>
      <c r="L656" s="17" t="str">
        <f>IF($C656="","",IF(COUNTIFS('RAW_농산물_10월'!$D:$D,$C656,'RAW_농산물_10월'!$A:$A,$E656)&gt;0,"O",""))</f>
        <v/>
      </c>
      <c r="M656" s="17" t="str">
        <f>IF($C656="","",IF(COUNTIFS('RAW_농산물_11-12월'!$D:$D,$C656,'RAW_농산물_11-12월'!$A:$A,$E656)&gt;0,"O",""))</f>
        <v/>
      </c>
      <c r="N656" s="7" t="str">
        <f>IF($C656="","",IF(COUNTA('RAW_농산물_7월'!$A:$A)&lt;=1,"",SUMIFS('RAW_농산물_7월'!$H:$H,'RAW_농산물_7월'!$D:$D,$C656,'RAW_농산물_7월'!$A:$A,$E656)))</f>
        <v/>
      </c>
      <c r="O656" s="7" t="str">
        <f>IF($C656="","",IF(COUNTA('RAW_농산물_8월'!$A:$A)&lt;=1,"",SUMIFS('RAW_농산물_8월'!$H:$H,'RAW_농산물_8월'!$D:$D,$C656,'RAW_농산물_8월'!$A:$A,$E656)-SUMIFS('RAW_농산물_7월'!$H:$H,'RAW_농산물_7월'!$D:$D,$C656,'RAW_농산물_7월'!$A:$A,$E656)))</f>
        <v/>
      </c>
      <c r="P656" s="7" t="str">
        <f>IF($C656="","",IF(COUNTA('RAW_농산물_9월'!$A:$A)&lt;=1,"",SUMIFS('RAW_농산물_9월'!$H:$H,'RAW_농산물_9월'!$D:$D,$C656,'RAW_농산물_9월'!$A:$A,$E656)-SUMIFS('RAW_농산물_8월'!$H:$H,'RAW_농산물_8월'!$D:$D,$C656,'RAW_농산물_8월'!$A:$A,$E656)))</f>
        <v/>
      </c>
      <c r="Q656" s="7" t="str">
        <f>IF($C656="","",IF(COUNTA('RAW_농산물_10월'!$A:$A)&lt;=1,"",SUMIFS('RAW_농산물_10월'!$H:$H,'RAW_농산물_10월'!$D:$D,$C656,'RAW_농산물_10월'!$A:$A,$E656)-SUMIFS('RAW_농산물_9월'!$H:$H,'RAW_농산물_9월'!$D:$D,$C656,'RAW_농산물_9월'!$A:$A,$E656)))</f>
        <v/>
      </c>
      <c r="R656" s="7" t="str">
        <f>IF($C656="","",IF(COUNTA('RAW_농산물_11-12월'!$A:$A)&lt;=1,"",SUMIFS('RAW_농산물_11-12월'!$H:$H,'RAW_농산물_11-12월'!$D:$D,$C656,'RAW_농산물_11-12월'!$A:$A,$E656)-SUMIFS('RAW_농산물_10월'!$H:$H,'RAW_농산물_10월'!$D:$D,$C656,'RAW_농산물_10월'!$A:$A,$E656)))</f>
        <v/>
      </c>
      <c r="S656" s="17" t="str">
        <f t="shared" si="4"/>
        <v/>
      </c>
      <c r="T656" s="17" t="str">
        <f t="shared" si="5"/>
        <v/>
      </c>
      <c r="U656" s="7">
        <f>IF($C656="",0,IF('설정'!$B$3=0,0,CHOOSE('설정'!$B$3,COUNTIFS('RAW_농산물_7월'!$D:$D,$C656,'RAW_농산물_7월'!$A:$A,$E656),COUNTIFS('RAW_농산물_8월'!$D:$D,$C656,'RAW_농산물_8월'!$A:$A,$E656),COUNTIFS('RAW_농산물_9월'!$D:$D,$C656,'RAW_농산물_9월'!$A:$A,$E656),COUNTIFS('RAW_농산물_10월'!$D:$D,$C656,'RAW_농산물_10월'!$A:$A,$E656),COUNTIFS('RAW_농산물_11-12월'!$D:$D,$C656,'RAW_농산물_11-12월'!$A:$A,$E656))))</f>
        <v>0</v>
      </c>
    </row>
    <row r="657" ht="15.75" customHeight="1">
      <c r="A657" s="5"/>
      <c r="B657" s="5"/>
      <c r="C657" s="5"/>
      <c r="D657" s="6"/>
      <c r="E657" s="5"/>
      <c r="F657" s="7" t="str">
        <f>IF($C657="","",IF('설정'!$B$3=0,"",CHOOSE('설정'!$B$3,SUMIFS('RAW_농산물_7월'!$F:$F,'RAW_농산물_7월'!$D:$D,$C657,'RAW_농산물_7월'!$A:$A,$E657),SUMIFS('RAW_농산물_8월'!$F:$F,'RAW_농산물_8월'!$D:$D,$C657,'RAW_농산물_8월'!$A:$A,$E657),SUMIFS('RAW_농산물_9월'!$F:$F,'RAW_농산물_9월'!$D:$D,$C657,'RAW_농산물_9월'!$A:$A,$E657),SUMIFS('RAW_농산물_10월'!$F:$F,'RAW_농산물_10월'!$D:$D,$C657,'RAW_농산물_10월'!$A:$A,$E657),SUMIFS('RAW_농산물_11-12월'!$F:$F,'RAW_농산물_11-12월'!$D:$D,$C657,'RAW_농산물_11-12월'!$A:$A,$E657))))</f>
        <v/>
      </c>
      <c r="G657" s="7" t="str">
        <f>IF($C657="","",IF('설정'!$B$3=0,"",CHOOSE('설정'!$B$3,SUMIFS('RAW_농산물_7월'!$G:$G,'RAW_농산물_7월'!$D:$D,$C657,'RAW_농산물_7월'!$A:$A,$E657),SUMIFS('RAW_농산물_8월'!$G:$G,'RAW_농산물_8월'!$D:$D,$C657,'RAW_농산물_8월'!$A:$A,$E657),SUMIFS('RAW_농산물_9월'!$G:$G,'RAW_농산물_9월'!$D:$D,$C657,'RAW_농산물_9월'!$A:$A,$E657),SUMIFS('RAW_농산물_10월'!$G:$G,'RAW_농산물_10월'!$D:$D,$C657,'RAW_농산물_10월'!$A:$A,$E657),SUMIFS('RAW_농산물_11-12월'!$G:$G,'RAW_농산물_11-12월'!$D:$D,$C657,'RAW_농산물_11-12월'!$A:$A,$E657))))</f>
        <v/>
      </c>
      <c r="H657" s="14" t="str">
        <f>IF($C657="","",IF('설정'!$B$3=0,"",CHOOSE('설정'!$B$3,SUMIFS('RAW_농산물_7월'!$H:$H,'RAW_농산물_7월'!$D:$D,$C657,'RAW_농산물_7월'!$A:$A,$E657),SUMIFS('RAW_농산물_8월'!$H:$H,'RAW_농산물_8월'!$D:$D,$C657,'RAW_농산물_8월'!$A:$A,$E657),SUMIFS('RAW_농산물_9월'!$H:$H,'RAW_농산물_9월'!$D:$D,$C657,'RAW_농산물_9월'!$A:$A,$E657),SUMIFS('RAW_농산물_10월'!$H:$H,'RAW_농산물_10월'!$D:$D,$C657,'RAW_농산물_10월'!$A:$A,$E657),SUMIFS('RAW_농산물_11-12월'!$H:$H,'RAW_농산물_11-12월'!$D:$D,$C657,'RAW_농산물_11-12월'!$A:$A,$E657))))</f>
        <v/>
      </c>
      <c r="I657" s="17" t="str">
        <f>IF($C657="","",IF(COUNTIFS('RAW_농산물_7월'!$D:$D,$C657,'RAW_농산물_7월'!$A:$A,$E657)&gt;0,"O",""))</f>
        <v/>
      </c>
      <c r="J657" s="17" t="str">
        <f>IF($C657="","",IF(COUNTIFS('RAW_농산물_8월'!$D:$D,$C657,'RAW_농산물_8월'!$A:$A,$E657)&gt;0,"O",""))</f>
        <v/>
      </c>
      <c r="K657" s="17" t="str">
        <f>IF($C657="","",IF(COUNTIFS('RAW_농산물_9월'!$D:$D,$C657,'RAW_농산물_9월'!$A:$A,$E657)&gt;0,"O",""))</f>
        <v/>
      </c>
      <c r="L657" s="17" t="str">
        <f>IF($C657="","",IF(COUNTIFS('RAW_농산물_10월'!$D:$D,$C657,'RAW_농산물_10월'!$A:$A,$E657)&gt;0,"O",""))</f>
        <v/>
      </c>
      <c r="M657" s="17" t="str">
        <f>IF($C657="","",IF(COUNTIFS('RAW_농산물_11-12월'!$D:$D,$C657,'RAW_농산물_11-12월'!$A:$A,$E657)&gt;0,"O",""))</f>
        <v/>
      </c>
      <c r="N657" s="7" t="str">
        <f>IF($C657="","",IF(COUNTA('RAW_농산물_7월'!$A:$A)&lt;=1,"",SUMIFS('RAW_농산물_7월'!$H:$H,'RAW_농산물_7월'!$D:$D,$C657,'RAW_농산물_7월'!$A:$A,$E657)))</f>
        <v/>
      </c>
      <c r="O657" s="7" t="str">
        <f>IF($C657="","",IF(COUNTA('RAW_농산물_8월'!$A:$A)&lt;=1,"",SUMIFS('RAW_농산물_8월'!$H:$H,'RAW_농산물_8월'!$D:$D,$C657,'RAW_농산물_8월'!$A:$A,$E657)-SUMIFS('RAW_농산물_7월'!$H:$H,'RAW_농산물_7월'!$D:$D,$C657,'RAW_농산물_7월'!$A:$A,$E657)))</f>
        <v/>
      </c>
      <c r="P657" s="7" t="str">
        <f>IF($C657="","",IF(COUNTA('RAW_농산물_9월'!$A:$A)&lt;=1,"",SUMIFS('RAW_농산물_9월'!$H:$H,'RAW_농산물_9월'!$D:$D,$C657,'RAW_농산물_9월'!$A:$A,$E657)-SUMIFS('RAW_농산물_8월'!$H:$H,'RAW_농산물_8월'!$D:$D,$C657,'RAW_농산물_8월'!$A:$A,$E657)))</f>
        <v/>
      </c>
      <c r="Q657" s="7" t="str">
        <f>IF($C657="","",IF(COUNTA('RAW_농산물_10월'!$A:$A)&lt;=1,"",SUMIFS('RAW_농산물_10월'!$H:$H,'RAW_농산물_10월'!$D:$D,$C657,'RAW_농산물_10월'!$A:$A,$E657)-SUMIFS('RAW_농산물_9월'!$H:$H,'RAW_농산물_9월'!$D:$D,$C657,'RAW_농산물_9월'!$A:$A,$E657)))</f>
        <v/>
      </c>
      <c r="R657" s="7" t="str">
        <f>IF($C657="","",IF(COUNTA('RAW_농산물_11-12월'!$A:$A)&lt;=1,"",SUMIFS('RAW_농산물_11-12월'!$H:$H,'RAW_농산물_11-12월'!$D:$D,$C657,'RAW_농산물_11-12월'!$A:$A,$E657)-SUMIFS('RAW_농산물_10월'!$H:$H,'RAW_농산물_10월'!$D:$D,$C657,'RAW_농산물_10월'!$A:$A,$E657)))</f>
        <v/>
      </c>
      <c r="S657" s="17" t="str">
        <f t="shared" si="4"/>
        <v/>
      </c>
      <c r="T657" s="17" t="str">
        <f t="shared" si="5"/>
        <v/>
      </c>
      <c r="U657" s="7">
        <f>IF($C657="",0,IF('설정'!$B$3=0,0,CHOOSE('설정'!$B$3,COUNTIFS('RAW_농산물_7월'!$D:$D,$C657,'RAW_농산물_7월'!$A:$A,$E657),COUNTIFS('RAW_농산물_8월'!$D:$D,$C657,'RAW_농산물_8월'!$A:$A,$E657),COUNTIFS('RAW_농산물_9월'!$D:$D,$C657,'RAW_농산물_9월'!$A:$A,$E657),COUNTIFS('RAW_농산물_10월'!$D:$D,$C657,'RAW_농산물_10월'!$A:$A,$E657),COUNTIFS('RAW_농산물_11-12월'!$D:$D,$C657,'RAW_농산물_11-12월'!$A:$A,$E657))))</f>
        <v>0</v>
      </c>
    </row>
    <row r="658" ht="15.75" customHeight="1">
      <c r="A658" s="5"/>
      <c r="B658" s="5"/>
      <c r="C658" s="5"/>
      <c r="D658" s="6"/>
      <c r="E658" s="5"/>
      <c r="F658" s="7" t="str">
        <f>IF($C658="","",IF('설정'!$B$3=0,"",CHOOSE('설정'!$B$3,SUMIFS('RAW_농산물_7월'!$F:$F,'RAW_농산물_7월'!$D:$D,$C658,'RAW_농산물_7월'!$A:$A,$E658),SUMIFS('RAW_농산물_8월'!$F:$F,'RAW_농산물_8월'!$D:$D,$C658,'RAW_농산물_8월'!$A:$A,$E658),SUMIFS('RAW_농산물_9월'!$F:$F,'RAW_농산물_9월'!$D:$D,$C658,'RAW_농산물_9월'!$A:$A,$E658),SUMIFS('RAW_농산물_10월'!$F:$F,'RAW_농산물_10월'!$D:$D,$C658,'RAW_농산물_10월'!$A:$A,$E658),SUMIFS('RAW_농산물_11-12월'!$F:$F,'RAW_농산물_11-12월'!$D:$D,$C658,'RAW_농산물_11-12월'!$A:$A,$E658))))</f>
        <v/>
      </c>
      <c r="G658" s="7" t="str">
        <f>IF($C658="","",IF('설정'!$B$3=0,"",CHOOSE('설정'!$B$3,SUMIFS('RAW_농산물_7월'!$G:$G,'RAW_농산물_7월'!$D:$D,$C658,'RAW_농산물_7월'!$A:$A,$E658),SUMIFS('RAW_농산물_8월'!$G:$G,'RAW_농산물_8월'!$D:$D,$C658,'RAW_농산물_8월'!$A:$A,$E658),SUMIFS('RAW_농산물_9월'!$G:$G,'RAW_농산물_9월'!$D:$D,$C658,'RAW_농산물_9월'!$A:$A,$E658),SUMIFS('RAW_농산물_10월'!$G:$G,'RAW_농산물_10월'!$D:$D,$C658,'RAW_농산물_10월'!$A:$A,$E658),SUMIFS('RAW_농산물_11-12월'!$G:$G,'RAW_농산물_11-12월'!$D:$D,$C658,'RAW_농산물_11-12월'!$A:$A,$E658))))</f>
        <v/>
      </c>
      <c r="H658" s="14" t="str">
        <f>IF($C658="","",IF('설정'!$B$3=0,"",CHOOSE('설정'!$B$3,SUMIFS('RAW_농산물_7월'!$H:$H,'RAW_농산물_7월'!$D:$D,$C658,'RAW_농산물_7월'!$A:$A,$E658),SUMIFS('RAW_농산물_8월'!$H:$H,'RAW_농산물_8월'!$D:$D,$C658,'RAW_농산물_8월'!$A:$A,$E658),SUMIFS('RAW_농산물_9월'!$H:$H,'RAW_농산물_9월'!$D:$D,$C658,'RAW_농산물_9월'!$A:$A,$E658),SUMIFS('RAW_농산물_10월'!$H:$H,'RAW_농산물_10월'!$D:$D,$C658,'RAW_농산물_10월'!$A:$A,$E658),SUMIFS('RAW_농산물_11-12월'!$H:$H,'RAW_농산물_11-12월'!$D:$D,$C658,'RAW_농산물_11-12월'!$A:$A,$E658))))</f>
        <v/>
      </c>
      <c r="I658" s="17" t="str">
        <f>IF($C658="","",IF(COUNTIFS('RAW_농산물_7월'!$D:$D,$C658,'RAW_농산물_7월'!$A:$A,$E658)&gt;0,"O",""))</f>
        <v/>
      </c>
      <c r="J658" s="17" t="str">
        <f>IF($C658="","",IF(COUNTIFS('RAW_농산물_8월'!$D:$D,$C658,'RAW_농산물_8월'!$A:$A,$E658)&gt;0,"O",""))</f>
        <v/>
      </c>
      <c r="K658" s="17" t="str">
        <f>IF($C658="","",IF(COUNTIFS('RAW_농산물_9월'!$D:$D,$C658,'RAW_농산물_9월'!$A:$A,$E658)&gt;0,"O",""))</f>
        <v/>
      </c>
      <c r="L658" s="17" t="str">
        <f>IF($C658="","",IF(COUNTIFS('RAW_농산물_10월'!$D:$D,$C658,'RAW_농산물_10월'!$A:$A,$E658)&gt;0,"O",""))</f>
        <v/>
      </c>
      <c r="M658" s="17" t="str">
        <f>IF($C658="","",IF(COUNTIFS('RAW_농산물_11-12월'!$D:$D,$C658,'RAW_농산물_11-12월'!$A:$A,$E658)&gt;0,"O",""))</f>
        <v/>
      </c>
      <c r="N658" s="7" t="str">
        <f>IF($C658="","",IF(COUNTA('RAW_농산물_7월'!$A:$A)&lt;=1,"",SUMIFS('RAW_농산물_7월'!$H:$H,'RAW_농산물_7월'!$D:$D,$C658,'RAW_농산물_7월'!$A:$A,$E658)))</f>
        <v/>
      </c>
      <c r="O658" s="7" t="str">
        <f>IF($C658="","",IF(COUNTA('RAW_농산물_8월'!$A:$A)&lt;=1,"",SUMIFS('RAW_농산물_8월'!$H:$H,'RAW_농산물_8월'!$D:$D,$C658,'RAW_농산물_8월'!$A:$A,$E658)-SUMIFS('RAW_농산물_7월'!$H:$H,'RAW_농산물_7월'!$D:$D,$C658,'RAW_농산물_7월'!$A:$A,$E658)))</f>
        <v/>
      </c>
      <c r="P658" s="7" t="str">
        <f>IF($C658="","",IF(COUNTA('RAW_농산물_9월'!$A:$A)&lt;=1,"",SUMIFS('RAW_농산물_9월'!$H:$H,'RAW_농산물_9월'!$D:$D,$C658,'RAW_농산물_9월'!$A:$A,$E658)-SUMIFS('RAW_농산물_8월'!$H:$H,'RAW_농산물_8월'!$D:$D,$C658,'RAW_농산물_8월'!$A:$A,$E658)))</f>
        <v/>
      </c>
      <c r="Q658" s="7" t="str">
        <f>IF($C658="","",IF(COUNTA('RAW_농산물_10월'!$A:$A)&lt;=1,"",SUMIFS('RAW_농산물_10월'!$H:$H,'RAW_농산물_10월'!$D:$D,$C658,'RAW_농산물_10월'!$A:$A,$E658)-SUMIFS('RAW_농산물_9월'!$H:$H,'RAW_농산물_9월'!$D:$D,$C658,'RAW_농산물_9월'!$A:$A,$E658)))</f>
        <v/>
      </c>
      <c r="R658" s="7" t="str">
        <f>IF($C658="","",IF(COUNTA('RAW_농산물_11-12월'!$A:$A)&lt;=1,"",SUMIFS('RAW_농산물_11-12월'!$H:$H,'RAW_농산물_11-12월'!$D:$D,$C658,'RAW_농산물_11-12월'!$A:$A,$E658)-SUMIFS('RAW_농산물_10월'!$H:$H,'RAW_농산물_10월'!$D:$D,$C658,'RAW_농산물_10월'!$A:$A,$E658)))</f>
        <v/>
      </c>
      <c r="S658" s="17" t="str">
        <f t="shared" si="4"/>
        <v/>
      </c>
      <c r="T658" s="17" t="str">
        <f t="shared" si="5"/>
        <v/>
      </c>
      <c r="U658" s="7">
        <f>IF($C658="",0,IF('설정'!$B$3=0,0,CHOOSE('설정'!$B$3,COUNTIFS('RAW_농산물_7월'!$D:$D,$C658,'RAW_농산물_7월'!$A:$A,$E658),COUNTIFS('RAW_농산물_8월'!$D:$D,$C658,'RAW_농산물_8월'!$A:$A,$E658),COUNTIFS('RAW_농산물_9월'!$D:$D,$C658,'RAW_농산물_9월'!$A:$A,$E658),COUNTIFS('RAW_농산물_10월'!$D:$D,$C658,'RAW_농산물_10월'!$A:$A,$E658),COUNTIFS('RAW_농산물_11-12월'!$D:$D,$C658,'RAW_농산물_11-12월'!$A:$A,$E658))))</f>
        <v>0</v>
      </c>
    </row>
    <row r="659" ht="15.75" customHeight="1">
      <c r="A659" s="5"/>
      <c r="B659" s="5"/>
      <c r="C659" s="5"/>
      <c r="D659" s="6"/>
      <c r="E659" s="5"/>
      <c r="F659" s="7" t="str">
        <f>IF($C659="","",IF('설정'!$B$3=0,"",CHOOSE('설정'!$B$3,SUMIFS('RAW_농산물_7월'!$F:$F,'RAW_농산물_7월'!$D:$D,$C659,'RAW_농산물_7월'!$A:$A,$E659),SUMIFS('RAW_농산물_8월'!$F:$F,'RAW_농산물_8월'!$D:$D,$C659,'RAW_농산물_8월'!$A:$A,$E659),SUMIFS('RAW_농산물_9월'!$F:$F,'RAW_농산물_9월'!$D:$D,$C659,'RAW_농산물_9월'!$A:$A,$E659),SUMIFS('RAW_농산물_10월'!$F:$F,'RAW_농산물_10월'!$D:$D,$C659,'RAW_농산물_10월'!$A:$A,$E659),SUMIFS('RAW_농산물_11-12월'!$F:$F,'RAW_농산물_11-12월'!$D:$D,$C659,'RAW_농산물_11-12월'!$A:$A,$E659))))</f>
        <v/>
      </c>
      <c r="G659" s="7" t="str">
        <f>IF($C659="","",IF('설정'!$B$3=0,"",CHOOSE('설정'!$B$3,SUMIFS('RAW_농산물_7월'!$G:$G,'RAW_농산물_7월'!$D:$D,$C659,'RAW_농산물_7월'!$A:$A,$E659),SUMIFS('RAW_농산물_8월'!$G:$G,'RAW_농산물_8월'!$D:$D,$C659,'RAW_농산물_8월'!$A:$A,$E659),SUMIFS('RAW_농산물_9월'!$G:$G,'RAW_농산물_9월'!$D:$D,$C659,'RAW_농산물_9월'!$A:$A,$E659),SUMIFS('RAW_농산물_10월'!$G:$G,'RAW_농산물_10월'!$D:$D,$C659,'RAW_농산물_10월'!$A:$A,$E659),SUMIFS('RAW_농산물_11-12월'!$G:$G,'RAW_농산물_11-12월'!$D:$D,$C659,'RAW_농산물_11-12월'!$A:$A,$E659))))</f>
        <v/>
      </c>
      <c r="H659" s="14" t="str">
        <f>IF($C659="","",IF('설정'!$B$3=0,"",CHOOSE('설정'!$B$3,SUMIFS('RAW_농산물_7월'!$H:$H,'RAW_농산물_7월'!$D:$D,$C659,'RAW_농산물_7월'!$A:$A,$E659),SUMIFS('RAW_농산물_8월'!$H:$H,'RAW_농산물_8월'!$D:$D,$C659,'RAW_농산물_8월'!$A:$A,$E659),SUMIFS('RAW_농산물_9월'!$H:$H,'RAW_농산물_9월'!$D:$D,$C659,'RAW_농산물_9월'!$A:$A,$E659),SUMIFS('RAW_농산물_10월'!$H:$H,'RAW_농산물_10월'!$D:$D,$C659,'RAW_농산물_10월'!$A:$A,$E659),SUMIFS('RAW_농산물_11-12월'!$H:$H,'RAW_농산물_11-12월'!$D:$D,$C659,'RAW_농산물_11-12월'!$A:$A,$E659))))</f>
        <v/>
      </c>
      <c r="I659" s="17" t="str">
        <f>IF($C659="","",IF(COUNTIFS('RAW_농산물_7월'!$D:$D,$C659,'RAW_농산물_7월'!$A:$A,$E659)&gt;0,"O",""))</f>
        <v/>
      </c>
      <c r="J659" s="17" t="str">
        <f>IF($C659="","",IF(COUNTIFS('RAW_농산물_8월'!$D:$D,$C659,'RAW_농산물_8월'!$A:$A,$E659)&gt;0,"O",""))</f>
        <v/>
      </c>
      <c r="K659" s="17" t="str">
        <f>IF($C659="","",IF(COUNTIFS('RAW_농산물_9월'!$D:$D,$C659,'RAW_농산물_9월'!$A:$A,$E659)&gt;0,"O",""))</f>
        <v/>
      </c>
      <c r="L659" s="17" t="str">
        <f>IF($C659="","",IF(COUNTIFS('RAW_농산물_10월'!$D:$D,$C659,'RAW_농산물_10월'!$A:$A,$E659)&gt;0,"O",""))</f>
        <v/>
      </c>
      <c r="M659" s="17" t="str">
        <f>IF($C659="","",IF(COUNTIFS('RAW_농산물_11-12월'!$D:$D,$C659,'RAW_농산물_11-12월'!$A:$A,$E659)&gt;0,"O",""))</f>
        <v/>
      </c>
      <c r="N659" s="7" t="str">
        <f>IF($C659="","",IF(COUNTA('RAW_농산물_7월'!$A:$A)&lt;=1,"",SUMIFS('RAW_농산물_7월'!$H:$H,'RAW_농산물_7월'!$D:$D,$C659,'RAW_농산물_7월'!$A:$A,$E659)))</f>
        <v/>
      </c>
      <c r="O659" s="7" t="str">
        <f>IF($C659="","",IF(COUNTA('RAW_농산물_8월'!$A:$A)&lt;=1,"",SUMIFS('RAW_농산물_8월'!$H:$H,'RAW_농산물_8월'!$D:$D,$C659,'RAW_농산물_8월'!$A:$A,$E659)-SUMIFS('RAW_농산물_7월'!$H:$H,'RAW_농산물_7월'!$D:$D,$C659,'RAW_농산물_7월'!$A:$A,$E659)))</f>
        <v/>
      </c>
      <c r="P659" s="7" t="str">
        <f>IF($C659="","",IF(COUNTA('RAW_농산물_9월'!$A:$A)&lt;=1,"",SUMIFS('RAW_농산물_9월'!$H:$H,'RAW_농산물_9월'!$D:$D,$C659,'RAW_농산물_9월'!$A:$A,$E659)-SUMIFS('RAW_농산물_8월'!$H:$H,'RAW_농산물_8월'!$D:$D,$C659,'RAW_농산물_8월'!$A:$A,$E659)))</f>
        <v/>
      </c>
      <c r="Q659" s="7" t="str">
        <f>IF($C659="","",IF(COUNTA('RAW_농산물_10월'!$A:$A)&lt;=1,"",SUMIFS('RAW_농산물_10월'!$H:$H,'RAW_농산물_10월'!$D:$D,$C659,'RAW_농산물_10월'!$A:$A,$E659)-SUMIFS('RAW_농산물_9월'!$H:$H,'RAW_농산물_9월'!$D:$D,$C659,'RAW_농산물_9월'!$A:$A,$E659)))</f>
        <v/>
      </c>
      <c r="R659" s="7" t="str">
        <f>IF($C659="","",IF(COUNTA('RAW_농산물_11-12월'!$A:$A)&lt;=1,"",SUMIFS('RAW_농산물_11-12월'!$H:$H,'RAW_농산물_11-12월'!$D:$D,$C659,'RAW_농산물_11-12월'!$A:$A,$E659)-SUMIFS('RAW_농산물_10월'!$H:$H,'RAW_농산물_10월'!$D:$D,$C659,'RAW_농산물_10월'!$A:$A,$E659)))</f>
        <v/>
      </c>
      <c r="S659" s="17" t="str">
        <f t="shared" si="4"/>
        <v/>
      </c>
      <c r="T659" s="17" t="str">
        <f t="shared" si="5"/>
        <v/>
      </c>
      <c r="U659" s="7">
        <f>IF($C659="",0,IF('설정'!$B$3=0,0,CHOOSE('설정'!$B$3,COUNTIFS('RAW_농산물_7월'!$D:$D,$C659,'RAW_농산물_7월'!$A:$A,$E659),COUNTIFS('RAW_농산물_8월'!$D:$D,$C659,'RAW_농산물_8월'!$A:$A,$E659),COUNTIFS('RAW_농산물_9월'!$D:$D,$C659,'RAW_농산물_9월'!$A:$A,$E659),COUNTIFS('RAW_농산물_10월'!$D:$D,$C659,'RAW_농산물_10월'!$A:$A,$E659),COUNTIFS('RAW_농산물_11-12월'!$D:$D,$C659,'RAW_농산물_11-12월'!$A:$A,$E659))))</f>
        <v>0</v>
      </c>
    </row>
    <row r="660" ht="15.75" customHeight="1">
      <c r="A660" s="5"/>
      <c r="B660" s="5"/>
      <c r="C660" s="5"/>
      <c r="D660" s="6"/>
      <c r="E660" s="5"/>
      <c r="F660" s="7" t="str">
        <f>IF($C660="","",IF('설정'!$B$3=0,"",CHOOSE('설정'!$B$3,SUMIFS('RAW_농산물_7월'!$F:$F,'RAW_농산물_7월'!$D:$D,$C660,'RAW_농산물_7월'!$A:$A,$E660),SUMIFS('RAW_농산물_8월'!$F:$F,'RAW_농산물_8월'!$D:$D,$C660,'RAW_농산물_8월'!$A:$A,$E660),SUMIFS('RAW_농산물_9월'!$F:$F,'RAW_농산물_9월'!$D:$D,$C660,'RAW_농산물_9월'!$A:$A,$E660),SUMIFS('RAW_농산물_10월'!$F:$F,'RAW_농산물_10월'!$D:$D,$C660,'RAW_농산물_10월'!$A:$A,$E660),SUMIFS('RAW_농산물_11-12월'!$F:$F,'RAW_농산물_11-12월'!$D:$D,$C660,'RAW_농산물_11-12월'!$A:$A,$E660))))</f>
        <v/>
      </c>
      <c r="G660" s="7" t="str">
        <f>IF($C660="","",IF('설정'!$B$3=0,"",CHOOSE('설정'!$B$3,SUMIFS('RAW_농산물_7월'!$G:$G,'RAW_농산물_7월'!$D:$D,$C660,'RAW_농산물_7월'!$A:$A,$E660),SUMIFS('RAW_농산물_8월'!$G:$G,'RAW_농산물_8월'!$D:$D,$C660,'RAW_농산물_8월'!$A:$A,$E660),SUMIFS('RAW_농산물_9월'!$G:$G,'RAW_농산물_9월'!$D:$D,$C660,'RAW_농산물_9월'!$A:$A,$E660),SUMIFS('RAW_농산물_10월'!$G:$G,'RAW_농산물_10월'!$D:$D,$C660,'RAW_농산물_10월'!$A:$A,$E660),SUMIFS('RAW_농산물_11-12월'!$G:$G,'RAW_농산물_11-12월'!$D:$D,$C660,'RAW_농산물_11-12월'!$A:$A,$E660))))</f>
        <v/>
      </c>
      <c r="H660" s="14" t="str">
        <f>IF($C660="","",IF('설정'!$B$3=0,"",CHOOSE('설정'!$B$3,SUMIFS('RAW_농산물_7월'!$H:$H,'RAW_농산물_7월'!$D:$D,$C660,'RAW_농산물_7월'!$A:$A,$E660),SUMIFS('RAW_농산물_8월'!$H:$H,'RAW_농산물_8월'!$D:$D,$C660,'RAW_농산물_8월'!$A:$A,$E660),SUMIFS('RAW_농산물_9월'!$H:$H,'RAW_농산물_9월'!$D:$D,$C660,'RAW_농산물_9월'!$A:$A,$E660),SUMIFS('RAW_농산물_10월'!$H:$H,'RAW_농산물_10월'!$D:$D,$C660,'RAW_농산물_10월'!$A:$A,$E660),SUMIFS('RAW_농산물_11-12월'!$H:$H,'RAW_농산물_11-12월'!$D:$D,$C660,'RAW_농산물_11-12월'!$A:$A,$E660))))</f>
        <v/>
      </c>
      <c r="I660" s="17" t="str">
        <f>IF($C660="","",IF(COUNTIFS('RAW_농산물_7월'!$D:$D,$C660,'RAW_농산물_7월'!$A:$A,$E660)&gt;0,"O",""))</f>
        <v/>
      </c>
      <c r="J660" s="17" t="str">
        <f>IF($C660="","",IF(COUNTIFS('RAW_농산물_8월'!$D:$D,$C660,'RAW_농산물_8월'!$A:$A,$E660)&gt;0,"O",""))</f>
        <v/>
      </c>
      <c r="K660" s="17" t="str">
        <f>IF($C660="","",IF(COUNTIFS('RAW_농산물_9월'!$D:$D,$C660,'RAW_농산물_9월'!$A:$A,$E660)&gt;0,"O",""))</f>
        <v/>
      </c>
      <c r="L660" s="17" t="str">
        <f>IF($C660="","",IF(COUNTIFS('RAW_농산물_10월'!$D:$D,$C660,'RAW_농산물_10월'!$A:$A,$E660)&gt;0,"O",""))</f>
        <v/>
      </c>
      <c r="M660" s="17" t="str">
        <f>IF($C660="","",IF(COUNTIFS('RAW_농산물_11-12월'!$D:$D,$C660,'RAW_농산물_11-12월'!$A:$A,$E660)&gt;0,"O",""))</f>
        <v/>
      </c>
      <c r="N660" s="7" t="str">
        <f>IF($C660="","",IF(COUNTA('RAW_농산물_7월'!$A:$A)&lt;=1,"",SUMIFS('RAW_농산물_7월'!$H:$H,'RAW_농산물_7월'!$D:$D,$C660,'RAW_농산물_7월'!$A:$A,$E660)))</f>
        <v/>
      </c>
      <c r="O660" s="7" t="str">
        <f>IF($C660="","",IF(COUNTA('RAW_농산물_8월'!$A:$A)&lt;=1,"",SUMIFS('RAW_농산물_8월'!$H:$H,'RAW_농산물_8월'!$D:$D,$C660,'RAW_농산물_8월'!$A:$A,$E660)-SUMIFS('RAW_농산물_7월'!$H:$H,'RAW_농산물_7월'!$D:$D,$C660,'RAW_농산물_7월'!$A:$A,$E660)))</f>
        <v/>
      </c>
      <c r="P660" s="7" t="str">
        <f>IF($C660="","",IF(COUNTA('RAW_농산물_9월'!$A:$A)&lt;=1,"",SUMIFS('RAW_농산물_9월'!$H:$H,'RAW_농산물_9월'!$D:$D,$C660,'RAW_농산물_9월'!$A:$A,$E660)-SUMIFS('RAW_농산물_8월'!$H:$H,'RAW_농산물_8월'!$D:$D,$C660,'RAW_농산물_8월'!$A:$A,$E660)))</f>
        <v/>
      </c>
      <c r="Q660" s="7" t="str">
        <f>IF($C660="","",IF(COUNTA('RAW_농산물_10월'!$A:$A)&lt;=1,"",SUMIFS('RAW_농산물_10월'!$H:$H,'RAW_농산물_10월'!$D:$D,$C660,'RAW_농산물_10월'!$A:$A,$E660)-SUMIFS('RAW_농산물_9월'!$H:$H,'RAW_농산물_9월'!$D:$D,$C660,'RAW_농산물_9월'!$A:$A,$E660)))</f>
        <v/>
      </c>
      <c r="R660" s="7" t="str">
        <f>IF($C660="","",IF(COUNTA('RAW_농산물_11-12월'!$A:$A)&lt;=1,"",SUMIFS('RAW_농산물_11-12월'!$H:$H,'RAW_농산물_11-12월'!$D:$D,$C660,'RAW_농산물_11-12월'!$A:$A,$E660)-SUMIFS('RAW_농산물_10월'!$H:$H,'RAW_농산물_10월'!$D:$D,$C660,'RAW_농산물_10월'!$A:$A,$E660)))</f>
        <v/>
      </c>
      <c r="S660" s="17" t="str">
        <f t="shared" si="4"/>
        <v/>
      </c>
      <c r="T660" s="17" t="str">
        <f t="shared" si="5"/>
        <v/>
      </c>
      <c r="U660" s="7">
        <f>IF($C660="",0,IF('설정'!$B$3=0,0,CHOOSE('설정'!$B$3,COUNTIFS('RAW_농산물_7월'!$D:$D,$C660,'RAW_농산물_7월'!$A:$A,$E660),COUNTIFS('RAW_농산물_8월'!$D:$D,$C660,'RAW_농산물_8월'!$A:$A,$E660),COUNTIFS('RAW_농산물_9월'!$D:$D,$C660,'RAW_농산물_9월'!$A:$A,$E660),COUNTIFS('RAW_농산물_10월'!$D:$D,$C660,'RAW_농산물_10월'!$A:$A,$E660),COUNTIFS('RAW_농산물_11-12월'!$D:$D,$C660,'RAW_농산물_11-12월'!$A:$A,$E660))))</f>
        <v>0</v>
      </c>
    </row>
    <row r="661" ht="15.75" customHeight="1">
      <c r="A661" s="5"/>
      <c r="B661" s="5"/>
      <c r="C661" s="5"/>
      <c r="D661" s="6"/>
      <c r="E661" s="5"/>
      <c r="F661" s="7" t="str">
        <f>IF($C661="","",IF('설정'!$B$3=0,"",CHOOSE('설정'!$B$3,SUMIFS('RAW_농산물_7월'!$F:$F,'RAW_농산물_7월'!$D:$D,$C661,'RAW_농산물_7월'!$A:$A,$E661),SUMIFS('RAW_농산물_8월'!$F:$F,'RAW_농산물_8월'!$D:$D,$C661,'RAW_농산물_8월'!$A:$A,$E661),SUMIFS('RAW_농산물_9월'!$F:$F,'RAW_농산물_9월'!$D:$D,$C661,'RAW_농산물_9월'!$A:$A,$E661),SUMIFS('RAW_농산물_10월'!$F:$F,'RAW_농산물_10월'!$D:$D,$C661,'RAW_농산물_10월'!$A:$A,$E661),SUMIFS('RAW_농산물_11-12월'!$F:$F,'RAW_농산물_11-12월'!$D:$D,$C661,'RAW_농산물_11-12월'!$A:$A,$E661))))</f>
        <v/>
      </c>
      <c r="G661" s="7" t="str">
        <f>IF($C661="","",IF('설정'!$B$3=0,"",CHOOSE('설정'!$B$3,SUMIFS('RAW_농산물_7월'!$G:$G,'RAW_농산물_7월'!$D:$D,$C661,'RAW_농산물_7월'!$A:$A,$E661),SUMIFS('RAW_농산물_8월'!$G:$G,'RAW_농산물_8월'!$D:$D,$C661,'RAW_농산물_8월'!$A:$A,$E661),SUMIFS('RAW_농산물_9월'!$G:$G,'RAW_농산물_9월'!$D:$D,$C661,'RAW_농산물_9월'!$A:$A,$E661),SUMIFS('RAW_농산물_10월'!$G:$G,'RAW_농산물_10월'!$D:$D,$C661,'RAW_농산물_10월'!$A:$A,$E661),SUMIFS('RAW_농산물_11-12월'!$G:$G,'RAW_농산물_11-12월'!$D:$D,$C661,'RAW_농산물_11-12월'!$A:$A,$E661))))</f>
        <v/>
      </c>
      <c r="H661" s="14" t="str">
        <f>IF($C661="","",IF('설정'!$B$3=0,"",CHOOSE('설정'!$B$3,SUMIFS('RAW_농산물_7월'!$H:$H,'RAW_농산물_7월'!$D:$D,$C661,'RAW_농산물_7월'!$A:$A,$E661),SUMIFS('RAW_농산물_8월'!$H:$H,'RAW_농산물_8월'!$D:$D,$C661,'RAW_농산물_8월'!$A:$A,$E661),SUMIFS('RAW_농산물_9월'!$H:$H,'RAW_농산물_9월'!$D:$D,$C661,'RAW_농산물_9월'!$A:$A,$E661),SUMIFS('RAW_농산물_10월'!$H:$H,'RAW_농산물_10월'!$D:$D,$C661,'RAW_농산물_10월'!$A:$A,$E661),SUMIFS('RAW_농산물_11-12월'!$H:$H,'RAW_농산물_11-12월'!$D:$D,$C661,'RAW_농산물_11-12월'!$A:$A,$E661))))</f>
        <v/>
      </c>
      <c r="I661" s="17" t="str">
        <f>IF($C661="","",IF(COUNTIFS('RAW_농산물_7월'!$D:$D,$C661,'RAW_농산물_7월'!$A:$A,$E661)&gt;0,"O",""))</f>
        <v/>
      </c>
      <c r="J661" s="17" t="str">
        <f>IF($C661="","",IF(COUNTIFS('RAW_농산물_8월'!$D:$D,$C661,'RAW_농산물_8월'!$A:$A,$E661)&gt;0,"O",""))</f>
        <v/>
      </c>
      <c r="K661" s="17" t="str">
        <f>IF($C661="","",IF(COUNTIFS('RAW_농산물_9월'!$D:$D,$C661,'RAW_농산물_9월'!$A:$A,$E661)&gt;0,"O",""))</f>
        <v/>
      </c>
      <c r="L661" s="17" t="str">
        <f>IF($C661="","",IF(COUNTIFS('RAW_농산물_10월'!$D:$D,$C661,'RAW_농산물_10월'!$A:$A,$E661)&gt;0,"O",""))</f>
        <v/>
      </c>
      <c r="M661" s="17" t="str">
        <f>IF($C661="","",IF(COUNTIFS('RAW_농산물_11-12월'!$D:$D,$C661,'RAW_농산물_11-12월'!$A:$A,$E661)&gt;0,"O",""))</f>
        <v/>
      </c>
      <c r="N661" s="7" t="str">
        <f>IF($C661="","",IF(COUNTA('RAW_농산물_7월'!$A:$A)&lt;=1,"",SUMIFS('RAW_농산물_7월'!$H:$H,'RAW_농산물_7월'!$D:$D,$C661,'RAW_농산물_7월'!$A:$A,$E661)))</f>
        <v/>
      </c>
      <c r="O661" s="7" t="str">
        <f>IF($C661="","",IF(COUNTA('RAW_농산물_8월'!$A:$A)&lt;=1,"",SUMIFS('RAW_농산물_8월'!$H:$H,'RAW_농산물_8월'!$D:$D,$C661,'RAW_농산물_8월'!$A:$A,$E661)-SUMIFS('RAW_농산물_7월'!$H:$H,'RAW_농산물_7월'!$D:$D,$C661,'RAW_농산물_7월'!$A:$A,$E661)))</f>
        <v/>
      </c>
      <c r="P661" s="7" t="str">
        <f>IF($C661="","",IF(COUNTA('RAW_농산물_9월'!$A:$A)&lt;=1,"",SUMIFS('RAW_농산물_9월'!$H:$H,'RAW_농산물_9월'!$D:$D,$C661,'RAW_농산물_9월'!$A:$A,$E661)-SUMIFS('RAW_농산물_8월'!$H:$H,'RAW_농산물_8월'!$D:$D,$C661,'RAW_농산물_8월'!$A:$A,$E661)))</f>
        <v/>
      </c>
      <c r="Q661" s="7" t="str">
        <f>IF($C661="","",IF(COUNTA('RAW_농산물_10월'!$A:$A)&lt;=1,"",SUMIFS('RAW_농산물_10월'!$H:$H,'RAW_농산물_10월'!$D:$D,$C661,'RAW_농산물_10월'!$A:$A,$E661)-SUMIFS('RAW_농산물_9월'!$H:$H,'RAW_농산물_9월'!$D:$D,$C661,'RAW_농산물_9월'!$A:$A,$E661)))</f>
        <v/>
      </c>
      <c r="R661" s="7" t="str">
        <f>IF($C661="","",IF(COUNTA('RAW_농산물_11-12월'!$A:$A)&lt;=1,"",SUMIFS('RAW_농산물_11-12월'!$H:$H,'RAW_농산물_11-12월'!$D:$D,$C661,'RAW_농산물_11-12월'!$A:$A,$E661)-SUMIFS('RAW_농산물_10월'!$H:$H,'RAW_농산물_10월'!$D:$D,$C661,'RAW_농산물_10월'!$A:$A,$E661)))</f>
        <v/>
      </c>
      <c r="S661" s="17" t="str">
        <f t="shared" si="4"/>
        <v/>
      </c>
      <c r="T661" s="17" t="str">
        <f t="shared" si="5"/>
        <v/>
      </c>
      <c r="U661" s="7">
        <f>IF($C661="",0,IF('설정'!$B$3=0,0,CHOOSE('설정'!$B$3,COUNTIFS('RAW_농산물_7월'!$D:$D,$C661,'RAW_농산물_7월'!$A:$A,$E661),COUNTIFS('RAW_농산물_8월'!$D:$D,$C661,'RAW_농산물_8월'!$A:$A,$E661),COUNTIFS('RAW_농산물_9월'!$D:$D,$C661,'RAW_농산물_9월'!$A:$A,$E661),COUNTIFS('RAW_농산물_10월'!$D:$D,$C661,'RAW_농산물_10월'!$A:$A,$E661),COUNTIFS('RAW_농산물_11-12월'!$D:$D,$C661,'RAW_농산물_11-12월'!$A:$A,$E661))))</f>
        <v>0</v>
      </c>
    </row>
    <row r="662" ht="15.75" customHeight="1">
      <c r="A662" s="5"/>
      <c r="B662" s="5"/>
      <c r="C662" s="5"/>
      <c r="D662" s="6"/>
      <c r="E662" s="5"/>
      <c r="F662" s="7" t="str">
        <f>IF($C662="","",IF('설정'!$B$3=0,"",CHOOSE('설정'!$B$3,SUMIFS('RAW_농산물_7월'!$F:$F,'RAW_농산물_7월'!$D:$D,$C662,'RAW_농산물_7월'!$A:$A,$E662),SUMIFS('RAW_농산물_8월'!$F:$F,'RAW_농산물_8월'!$D:$D,$C662,'RAW_농산물_8월'!$A:$A,$E662),SUMIFS('RAW_농산물_9월'!$F:$F,'RAW_농산물_9월'!$D:$D,$C662,'RAW_농산물_9월'!$A:$A,$E662),SUMIFS('RAW_농산물_10월'!$F:$F,'RAW_농산물_10월'!$D:$D,$C662,'RAW_농산물_10월'!$A:$A,$E662),SUMIFS('RAW_농산물_11-12월'!$F:$F,'RAW_농산물_11-12월'!$D:$D,$C662,'RAW_농산물_11-12월'!$A:$A,$E662))))</f>
        <v/>
      </c>
      <c r="G662" s="7" t="str">
        <f>IF($C662="","",IF('설정'!$B$3=0,"",CHOOSE('설정'!$B$3,SUMIFS('RAW_농산물_7월'!$G:$G,'RAW_농산물_7월'!$D:$D,$C662,'RAW_농산물_7월'!$A:$A,$E662),SUMIFS('RAW_농산물_8월'!$G:$G,'RAW_농산물_8월'!$D:$D,$C662,'RAW_농산물_8월'!$A:$A,$E662),SUMIFS('RAW_농산물_9월'!$G:$G,'RAW_농산물_9월'!$D:$D,$C662,'RAW_농산물_9월'!$A:$A,$E662),SUMIFS('RAW_농산물_10월'!$G:$G,'RAW_농산물_10월'!$D:$D,$C662,'RAW_농산물_10월'!$A:$A,$E662),SUMIFS('RAW_농산물_11-12월'!$G:$G,'RAW_농산물_11-12월'!$D:$D,$C662,'RAW_농산물_11-12월'!$A:$A,$E662))))</f>
        <v/>
      </c>
      <c r="H662" s="14" t="str">
        <f>IF($C662="","",IF('설정'!$B$3=0,"",CHOOSE('설정'!$B$3,SUMIFS('RAW_농산물_7월'!$H:$H,'RAW_농산물_7월'!$D:$D,$C662,'RAW_농산물_7월'!$A:$A,$E662),SUMIFS('RAW_농산물_8월'!$H:$H,'RAW_농산물_8월'!$D:$D,$C662,'RAW_농산물_8월'!$A:$A,$E662),SUMIFS('RAW_농산물_9월'!$H:$H,'RAW_농산물_9월'!$D:$D,$C662,'RAW_농산물_9월'!$A:$A,$E662),SUMIFS('RAW_농산물_10월'!$H:$H,'RAW_농산물_10월'!$D:$D,$C662,'RAW_농산물_10월'!$A:$A,$E662),SUMIFS('RAW_농산물_11-12월'!$H:$H,'RAW_농산물_11-12월'!$D:$D,$C662,'RAW_농산물_11-12월'!$A:$A,$E662))))</f>
        <v/>
      </c>
      <c r="I662" s="17" t="str">
        <f>IF($C662="","",IF(COUNTIFS('RAW_농산물_7월'!$D:$D,$C662,'RAW_농산물_7월'!$A:$A,$E662)&gt;0,"O",""))</f>
        <v/>
      </c>
      <c r="J662" s="17" t="str">
        <f>IF($C662="","",IF(COUNTIFS('RAW_농산물_8월'!$D:$D,$C662,'RAW_농산물_8월'!$A:$A,$E662)&gt;0,"O",""))</f>
        <v/>
      </c>
      <c r="K662" s="17" t="str">
        <f>IF($C662="","",IF(COUNTIFS('RAW_농산물_9월'!$D:$D,$C662,'RAW_농산물_9월'!$A:$A,$E662)&gt;0,"O",""))</f>
        <v/>
      </c>
      <c r="L662" s="17" t="str">
        <f>IF($C662="","",IF(COUNTIFS('RAW_농산물_10월'!$D:$D,$C662,'RAW_농산물_10월'!$A:$A,$E662)&gt;0,"O",""))</f>
        <v/>
      </c>
      <c r="M662" s="17" t="str">
        <f>IF($C662="","",IF(COUNTIFS('RAW_농산물_11-12월'!$D:$D,$C662,'RAW_농산물_11-12월'!$A:$A,$E662)&gt;0,"O",""))</f>
        <v/>
      </c>
      <c r="N662" s="7" t="str">
        <f>IF($C662="","",IF(COUNTA('RAW_농산물_7월'!$A:$A)&lt;=1,"",SUMIFS('RAW_농산물_7월'!$H:$H,'RAW_농산물_7월'!$D:$D,$C662,'RAW_농산물_7월'!$A:$A,$E662)))</f>
        <v/>
      </c>
      <c r="O662" s="7" t="str">
        <f>IF($C662="","",IF(COUNTA('RAW_농산물_8월'!$A:$A)&lt;=1,"",SUMIFS('RAW_농산물_8월'!$H:$H,'RAW_농산물_8월'!$D:$D,$C662,'RAW_농산물_8월'!$A:$A,$E662)-SUMIFS('RAW_농산물_7월'!$H:$H,'RAW_농산물_7월'!$D:$D,$C662,'RAW_농산물_7월'!$A:$A,$E662)))</f>
        <v/>
      </c>
      <c r="P662" s="7" t="str">
        <f>IF($C662="","",IF(COUNTA('RAW_농산물_9월'!$A:$A)&lt;=1,"",SUMIFS('RAW_농산물_9월'!$H:$H,'RAW_농산물_9월'!$D:$D,$C662,'RAW_농산물_9월'!$A:$A,$E662)-SUMIFS('RAW_농산물_8월'!$H:$H,'RAW_농산물_8월'!$D:$D,$C662,'RAW_농산물_8월'!$A:$A,$E662)))</f>
        <v/>
      </c>
      <c r="Q662" s="7" t="str">
        <f>IF($C662="","",IF(COUNTA('RAW_농산물_10월'!$A:$A)&lt;=1,"",SUMIFS('RAW_농산물_10월'!$H:$H,'RAW_농산물_10월'!$D:$D,$C662,'RAW_농산물_10월'!$A:$A,$E662)-SUMIFS('RAW_농산물_9월'!$H:$H,'RAW_농산물_9월'!$D:$D,$C662,'RAW_농산물_9월'!$A:$A,$E662)))</f>
        <v/>
      </c>
      <c r="R662" s="7" t="str">
        <f>IF($C662="","",IF(COUNTA('RAW_농산물_11-12월'!$A:$A)&lt;=1,"",SUMIFS('RAW_농산물_11-12월'!$H:$H,'RAW_농산물_11-12월'!$D:$D,$C662,'RAW_농산물_11-12월'!$A:$A,$E662)-SUMIFS('RAW_농산물_10월'!$H:$H,'RAW_농산물_10월'!$D:$D,$C662,'RAW_농산물_10월'!$A:$A,$E662)))</f>
        <v/>
      </c>
      <c r="S662" s="17" t="str">
        <f t="shared" si="4"/>
        <v/>
      </c>
      <c r="T662" s="17" t="str">
        <f t="shared" si="5"/>
        <v/>
      </c>
      <c r="U662" s="7">
        <f>IF($C662="",0,IF('설정'!$B$3=0,0,CHOOSE('설정'!$B$3,COUNTIFS('RAW_농산물_7월'!$D:$D,$C662,'RAW_농산물_7월'!$A:$A,$E662),COUNTIFS('RAW_농산물_8월'!$D:$D,$C662,'RAW_농산물_8월'!$A:$A,$E662),COUNTIFS('RAW_농산물_9월'!$D:$D,$C662,'RAW_농산물_9월'!$A:$A,$E662),COUNTIFS('RAW_농산물_10월'!$D:$D,$C662,'RAW_농산물_10월'!$A:$A,$E662),COUNTIFS('RAW_농산물_11-12월'!$D:$D,$C662,'RAW_농산물_11-12월'!$A:$A,$E662))))</f>
        <v>0</v>
      </c>
    </row>
    <row r="663" ht="15.75" customHeight="1">
      <c r="A663" s="5"/>
      <c r="B663" s="5"/>
      <c r="C663" s="5"/>
      <c r="D663" s="6"/>
      <c r="E663" s="5"/>
      <c r="F663" s="7" t="str">
        <f>IF($C663="","",IF('설정'!$B$3=0,"",CHOOSE('설정'!$B$3,SUMIFS('RAW_농산물_7월'!$F:$F,'RAW_농산물_7월'!$D:$D,$C663,'RAW_농산물_7월'!$A:$A,$E663),SUMIFS('RAW_농산물_8월'!$F:$F,'RAW_농산물_8월'!$D:$D,$C663,'RAW_농산물_8월'!$A:$A,$E663),SUMIFS('RAW_농산물_9월'!$F:$F,'RAW_농산물_9월'!$D:$D,$C663,'RAW_농산물_9월'!$A:$A,$E663),SUMIFS('RAW_농산물_10월'!$F:$F,'RAW_농산물_10월'!$D:$D,$C663,'RAW_농산물_10월'!$A:$A,$E663),SUMIFS('RAW_농산물_11-12월'!$F:$F,'RAW_농산물_11-12월'!$D:$D,$C663,'RAW_농산물_11-12월'!$A:$A,$E663))))</f>
        <v/>
      </c>
      <c r="G663" s="7" t="str">
        <f>IF($C663="","",IF('설정'!$B$3=0,"",CHOOSE('설정'!$B$3,SUMIFS('RAW_농산물_7월'!$G:$G,'RAW_농산물_7월'!$D:$D,$C663,'RAW_농산물_7월'!$A:$A,$E663),SUMIFS('RAW_농산물_8월'!$G:$G,'RAW_농산물_8월'!$D:$D,$C663,'RAW_농산물_8월'!$A:$A,$E663),SUMIFS('RAW_농산물_9월'!$G:$G,'RAW_농산물_9월'!$D:$D,$C663,'RAW_농산물_9월'!$A:$A,$E663),SUMIFS('RAW_농산물_10월'!$G:$G,'RAW_농산물_10월'!$D:$D,$C663,'RAW_농산물_10월'!$A:$A,$E663),SUMIFS('RAW_농산물_11-12월'!$G:$G,'RAW_농산물_11-12월'!$D:$D,$C663,'RAW_농산물_11-12월'!$A:$A,$E663))))</f>
        <v/>
      </c>
      <c r="H663" s="14" t="str">
        <f>IF($C663="","",IF('설정'!$B$3=0,"",CHOOSE('설정'!$B$3,SUMIFS('RAW_농산물_7월'!$H:$H,'RAW_농산물_7월'!$D:$D,$C663,'RAW_농산물_7월'!$A:$A,$E663),SUMIFS('RAW_농산물_8월'!$H:$H,'RAW_농산물_8월'!$D:$D,$C663,'RAW_농산물_8월'!$A:$A,$E663),SUMIFS('RAW_농산물_9월'!$H:$H,'RAW_농산물_9월'!$D:$D,$C663,'RAW_농산물_9월'!$A:$A,$E663),SUMIFS('RAW_농산물_10월'!$H:$H,'RAW_농산물_10월'!$D:$D,$C663,'RAW_농산물_10월'!$A:$A,$E663),SUMIFS('RAW_농산물_11-12월'!$H:$H,'RAW_농산물_11-12월'!$D:$D,$C663,'RAW_농산물_11-12월'!$A:$A,$E663))))</f>
        <v/>
      </c>
      <c r="I663" s="17" t="str">
        <f>IF($C663="","",IF(COUNTIFS('RAW_농산물_7월'!$D:$D,$C663,'RAW_농산물_7월'!$A:$A,$E663)&gt;0,"O",""))</f>
        <v/>
      </c>
      <c r="J663" s="17" t="str">
        <f>IF($C663="","",IF(COUNTIFS('RAW_농산물_8월'!$D:$D,$C663,'RAW_농산물_8월'!$A:$A,$E663)&gt;0,"O",""))</f>
        <v/>
      </c>
      <c r="K663" s="17" t="str">
        <f>IF($C663="","",IF(COUNTIFS('RAW_농산물_9월'!$D:$D,$C663,'RAW_농산물_9월'!$A:$A,$E663)&gt;0,"O",""))</f>
        <v/>
      </c>
      <c r="L663" s="17" t="str">
        <f>IF($C663="","",IF(COUNTIFS('RAW_농산물_10월'!$D:$D,$C663,'RAW_농산물_10월'!$A:$A,$E663)&gt;0,"O",""))</f>
        <v/>
      </c>
      <c r="M663" s="17" t="str">
        <f>IF($C663="","",IF(COUNTIFS('RAW_농산물_11-12월'!$D:$D,$C663,'RAW_농산물_11-12월'!$A:$A,$E663)&gt;0,"O",""))</f>
        <v/>
      </c>
      <c r="N663" s="7" t="str">
        <f>IF($C663="","",IF(COUNTA('RAW_농산물_7월'!$A:$A)&lt;=1,"",SUMIFS('RAW_농산물_7월'!$H:$H,'RAW_농산물_7월'!$D:$D,$C663,'RAW_농산물_7월'!$A:$A,$E663)))</f>
        <v/>
      </c>
      <c r="O663" s="7" t="str">
        <f>IF($C663="","",IF(COUNTA('RAW_농산물_8월'!$A:$A)&lt;=1,"",SUMIFS('RAW_농산물_8월'!$H:$H,'RAW_농산물_8월'!$D:$D,$C663,'RAW_농산물_8월'!$A:$A,$E663)-SUMIFS('RAW_농산물_7월'!$H:$H,'RAW_농산물_7월'!$D:$D,$C663,'RAW_농산물_7월'!$A:$A,$E663)))</f>
        <v/>
      </c>
      <c r="P663" s="7" t="str">
        <f>IF($C663="","",IF(COUNTA('RAW_농산물_9월'!$A:$A)&lt;=1,"",SUMIFS('RAW_농산물_9월'!$H:$H,'RAW_농산물_9월'!$D:$D,$C663,'RAW_농산물_9월'!$A:$A,$E663)-SUMIFS('RAW_농산물_8월'!$H:$H,'RAW_농산물_8월'!$D:$D,$C663,'RAW_농산물_8월'!$A:$A,$E663)))</f>
        <v/>
      </c>
      <c r="Q663" s="7" t="str">
        <f>IF($C663="","",IF(COUNTA('RAW_농산물_10월'!$A:$A)&lt;=1,"",SUMIFS('RAW_농산물_10월'!$H:$H,'RAW_농산물_10월'!$D:$D,$C663,'RAW_농산물_10월'!$A:$A,$E663)-SUMIFS('RAW_농산물_9월'!$H:$H,'RAW_농산물_9월'!$D:$D,$C663,'RAW_농산물_9월'!$A:$A,$E663)))</f>
        <v/>
      </c>
      <c r="R663" s="7" t="str">
        <f>IF($C663="","",IF(COUNTA('RAW_농산물_11-12월'!$A:$A)&lt;=1,"",SUMIFS('RAW_농산물_11-12월'!$H:$H,'RAW_농산물_11-12월'!$D:$D,$C663,'RAW_농산물_11-12월'!$A:$A,$E663)-SUMIFS('RAW_농산물_10월'!$H:$H,'RAW_농산물_10월'!$D:$D,$C663,'RAW_농산물_10월'!$A:$A,$E663)))</f>
        <v/>
      </c>
      <c r="S663" s="17" t="str">
        <f t="shared" si="4"/>
        <v/>
      </c>
      <c r="T663" s="17" t="str">
        <f t="shared" si="5"/>
        <v/>
      </c>
      <c r="U663" s="7">
        <f>IF($C663="",0,IF('설정'!$B$3=0,0,CHOOSE('설정'!$B$3,COUNTIFS('RAW_농산물_7월'!$D:$D,$C663,'RAW_농산물_7월'!$A:$A,$E663),COUNTIFS('RAW_농산물_8월'!$D:$D,$C663,'RAW_농산물_8월'!$A:$A,$E663),COUNTIFS('RAW_농산물_9월'!$D:$D,$C663,'RAW_농산물_9월'!$A:$A,$E663),COUNTIFS('RAW_농산물_10월'!$D:$D,$C663,'RAW_농산물_10월'!$A:$A,$E663),COUNTIFS('RAW_농산물_11-12월'!$D:$D,$C663,'RAW_농산물_11-12월'!$A:$A,$E663))))</f>
        <v>0</v>
      </c>
    </row>
    <row r="664" ht="15.75" customHeight="1">
      <c r="A664" s="5"/>
      <c r="B664" s="5"/>
      <c r="C664" s="5"/>
      <c r="D664" s="6"/>
      <c r="E664" s="5"/>
      <c r="F664" s="7" t="str">
        <f>IF($C664="","",IF('설정'!$B$3=0,"",CHOOSE('설정'!$B$3,SUMIFS('RAW_농산물_7월'!$F:$F,'RAW_농산물_7월'!$D:$D,$C664,'RAW_농산물_7월'!$A:$A,$E664),SUMIFS('RAW_농산물_8월'!$F:$F,'RAW_농산물_8월'!$D:$D,$C664,'RAW_농산물_8월'!$A:$A,$E664),SUMIFS('RAW_농산물_9월'!$F:$F,'RAW_농산물_9월'!$D:$D,$C664,'RAW_농산물_9월'!$A:$A,$E664),SUMIFS('RAW_농산물_10월'!$F:$F,'RAW_농산물_10월'!$D:$D,$C664,'RAW_농산물_10월'!$A:$A,$E664),SUMIFS('RAW_농산물_11-12월'!$F:$F,'RAW_농산물_11-12월'!$D:$D,$C664,'RAW_농산물_11-12월'!$A:$A,$E664))))</f>
        <v/>
      </c>
      <c r="G664" s="7" t="str">
        <f>IF($C664="","",IF('설정'!$B$3=0,"",CHOOSE('설정'!$B$3,SUMIFS('RAW_농산물_7월'!$G:$G,'RAW_농산물_7월'!$D:$D,$C664,'RAW_농산물_7월'!$A:$A,$E664),SUMIFS('RAW_농산물_8월'!$G:$G,'RAW_농산물_8월'!$D:$D,$C664,'RAW_농산물_8월'!$A:$A,$E664),SUMIFS('RAW_농산물_9월'!$G:$G,'RAW_농산물_9월'!$D:$D,$C664,'RAW_농산물_9월'!$A:$A,$E664),SUMIFS('RAW_농산물_10월'!$G:$G,'RAW_농산물_10월'!$D:$D,$C664,'RAW_농산물_10월'!$A:$A,$E664),SUMIFS('RAW_농산물_11-12월'!$G:$G,'RAW_농산물_11-12월'!$D:$D,$C664,'RAW_농산물_11-12월'!$A:$A,$E664))))</f>
        <v/>
      </c>
      <c r="H664" s="14" t="str">
        <f>IF($C664="","",IF('설정'!$B$3=0,"",CHOOSE('설정'!$B$3,SUMIFS('RAW_농산물_7월'!$H:$H,'RAW_농산물_7월'!$D:$D,$C664,'RAW_농산물_7월'!$A:$A,$E664),SUMIFS('RAW_농산물_8월'!$H:$H,'RAW_농산물_8월'!$D:$D,$C664,'RAW_농산물_8월'!$A:$A,$E664),SUMIFS('RAW_농산물_9월'!$H:$H,'RAW_농산물_9월'!$D:$D,$C664,'RAW_농산물_9월'!$A:$A,$E664),SUMIFS('RAW_농산물_10월'!$H:$H,'RAW_농산물_10월'!$D:$D,$C664,'RAW_농산물_10월'!$A:$A,$E664),SUMIFS('RAW_농산물_11-12월'!$H:$H,'RAW_농산물_11-12월'!$D:$D,$C664,'RAW_농산물_11-12월'!$A:$A,$E664))))</f>
        <v/>
      </c>
      <c r="I664" s="17" t="str">
        <f>IF($C664="","",IF(COUNTIFS('RAW_농산물_7월'!$D:$D,$C664,'RAW_농산물_7월'!$A:$A,$E664)&gt;0,"O",""))</f>
        <v/>
      </c>
      <c r="J664" s="17" t="str">
        <f>IF($C664="","",IF(COUNTIFS('RAW_농산물_8월'!$D:$D,$C664,'RAW_농산물_8월'!$A:$A,$E664)&gt;0,"O",""))</f>
        <v/>
      </c>
      <c r="K664" s="17" t="str">
        <f>IF($C664="","",IF(COUNTIFS('RAW_농산물_9월'!$D:$D,$C664,'RAW_농산물_9월'!$A:$A,$E664)&gt;0,"O",""))</f>
        <v/>
      </c>
      <c r="L664" s="17" t="str">
        <f>IF($C664="","",IF(COUNTIFS('RAW_농산물_10월'!$D:$D,$C664,'RAW_농산물_10월'!$A:$A,$E664)&gt;0,"O",""))</f>
        <v/>
      </c>
      <c r="M664" s="17" t="str">
        <f>IF($C664="","",IF(COUNTIFS('RAW_농산물_11-12월'!$D:$D,$C664,'RAW_농산물_11-12월'!$A:$A,$E664)&gt;0,"O",""))</f>
        <v/>
      </c>
      <c r="N664" s="7" t="str">
        <f>IF($C664="","",IF(COUNTA('RAW_농산물_7월'!$A:$A)&lt;=1,"",SUMIFS('RAW_농산물_7월'!$H:$H,'RAW_농산물_7월'!$D:$D,$C664,'RAW_농산물_7월'!$A:$A,$E664)))</f>
        <v/>
      </c>
      <c r="O664" s="7" t="str">
        <f>IF($C664="","",IF(COUNTA('RAW_농산물_8월'!$A:$A)&lt;=1,"",SUMIFS('RAW_농산물_8월'!$H:$H,'RAW_농산물_8월'!$D:$D,$C664,'RAW_농산물_8월'!$A:$A,$E664)-SUMIFS('RAW_농산물_7월'!$H:$H,'RAW_농산물_7월'!$D:$D,$C664,'RAW_농산물_7월'!$A:$A,$E664)))</f>
        <v/>
      </c>
      <c r="P664" s="7" t="str">
        <f>IF($C664="","",IF(COUNTA('RAW_농산물_9월'!$A:$A)&lt;=1,"",SUMIFS('RAW_농산물_9월'!$H:$H,'RAW_농산물_9월'!$D:$D,$C664,'RAW_농산물_9월'!$A:$A,$E664)-SUMIFS('RAW_농산물_8월'!$H:$H,'RAW_농산물_8월'!$D:$D,$C664,'RAW_농산물_8월'!$A:$A,$E664)))</f>
        <v/>
      </c>
      <c r="Q664" s="7" t="str">
        <f>IF($C664="","",IF(COUNTA('RAW_농산물_10월'!$A:$A)&lt;=1,"",SUMIFS('RAW_농산물_10월'!$H:$H,'RAW_농산물_10월'!$D:$D,$C664,'RAW_농산물_10월'!$A:$A,$E664)-SUMIFS('RAW_농산물_9월'!$H:$H,'RAW_농산물_9월'!$D:$D,$C664,'RAW_농산물_9월'!$A:$A,$E664)))</f>
        <v/>
      </c>
      <c r="R664" s="7" t="str">
        <f>IF($C664="","",IF(COUNTA('RAW_농산물_11-12월'!$A:$A)&lt;=1,"",SUMIFS('RAW_농산물_11-12월'!$H:$H,'RAW_농산물_11-12월'!$D:$D,$C664,'RAW_농산물_11-12월'!$A:$A,$E664)-SUMIFS('RAW_농산물_10월'!$H:$H,'RAW_농산물_10월'!$D:$D,$C664,'RAW_농산물_10월'!$A:$A,$E664)))</f>
        <v/>
      </c>
      <c r="S664" s="17" t="str">
        <f t="shared" si="4"/>
        <v/>
      </c>
      <c r="T664" s="17" t="str">
        <f t="shared" si="5"/>
        <v/>
      </c>
      <c r="U664" s="7">
        <f>IF($C664="",0,IF('설정'!$B$3=0,0,CHOOSE('설정'!$B$3,COUNTIFS('RAW_농산물_7월'!$D:$D,$C664,'RAW_농산물_7월'!$A:$A,$E664),COUNTIFS('RAW_농산물_8월'!$D:$D,$C664,'RAW_농산물_8월'!$A:$A,$E664),COUNTIFS('RAW_농산물_9월'!$D:$D,$C664,'RAW_농산물_9월'!$A:$A,$E664),COUNTIFS('RAW_농산물_10월'!$D:$D,$C664,'RAW_농산물_10월'!$A:$A,$E664),COUNTIFS('RAW_농산물_11-12월'!$D:$D,$C664,'RAW_농산물_11-12월'!$A:$A,$E664))))</f>
        <v>0</v>
      </c>
    </row>
    <row r="665" ht="15.75" customHeight="1">
      <c r="A665" s="5"/>
      <c r="B665" s="5"/>
      <c r="C665" s="5"/>
      <c r="D665" s="6"/>
      <c r="E665" s="5"/>
      <c r="F665" s="7" t="str">
        <f>IF($C665="","",IF('설정'!$B$3=0,"",CHOOSE('설정'!$B$3,SUMIFS('RAW_농산물_7월'!$F:$F,'RAW_농산물_7월'!$D:$D,$C665,'RAW_농산물_7월'!$A:$A,$E665),SUMIFS('RAW_농산물_8월'!$F:$F,'RAW_농산물_8월'!$D:$D,$C665,'RAW_농산물_8월'!$A:$A,$E665),SUMIFS('RAW_농산물_9월'!$F:$F,'RAW_농산물_9월'!$D:$D,$C665,'RAW_농산물_9월'!$A:$A,$E665),SUMIFS('RAW_농산물_10월'!$F:$F,'RAW_농산물_10월'!$D:$D,$C665,'RAW_농산물_10월'!$A:$A,$E665),SUMIFS('RAW_농산물_11-12월'!$F:$F,'RAW_농산물_11-12월'!$D:$D,$C665,'RAW_농산물_11-12월'!$A:$A,$E665))))</f>
        <v/>
      </c>
      <c r="G665" s="7" t="str">
        <f>IF($C665="","",IF('설정'!$B$3=0,"",CHOOSE('설정'!$B$3,SUMIFS('RAW_농산물_7월'!$G:$G,'RAW_농산물_7월'!$D:$D,$C665,'RAW_농산물_7월'!$A:$A,$E665),SUMIFS('RAW_농산물_8월'!$G:$G,'RAW_농산물_8월'!$D:$D,$C665,'RAW_농산물_8월'!$A:$A,$E665),SUMIFS('RAW_농산물_9월'!$G:$G,'RAW_농산물_9월'!$D:$D,$C665,'RAW_농산물_9월'!$A:$A,$E665),SUMIFS('RAW_농산물_10월'!$G:$G,'RAW_농산물_10월'!$D:$D,$C665,'RAW_농산물_10월'!$A:$A,$E665),SUMIFS('RAW_농산물_11-12월'!$G:$G,'RAW_농산물_11-12월'!$D:$D,$C665,'RAW_농산물_11-12월'!$A:$A,$E665))))</f>
        <v/>
      </c>
      <c r="H665" s="14" t="str">
        <f>IF($C665="","",IF('설정'!$B$3=0,"",CHOOSE('설정'!$B$3,SUMIFS('RAW_농산물_7월'!$H:$H,'RAW_농산물_7월'!$D:$D,$C665,'RAW_농산물_7월'!$A:$A,$E665),SUMIFS('RAW_농산물_8월'!$H:$H,'RAW_농산물_8월'!$D:$D,$C665,'RAW_농산물_8월'!$A:$A,$E665),SUMIFS('RAW_농산물_9월'!$H:$H,'RAW_농산물_9월'!$D:$D,$C665,'RAW_농산물_9월'!$A:$A,$E665),SUMIFS('RAW_농산물_10월'!$H:$H,'RAW_농산물_10월'!$D:$D,$C665,'RAW_농산물_10월'!$A:$A,$E665),SUMIFS('RAW_농산물_11-12월'!$H:$H,'RAW_농산물_11-12월'!$D:$D,$C665,'RAW_농산물_11-12월'!$A:$A,$E665))))</f>
        <v/>
      </c>
      <c r="I665" s="17" t="str">
        <f>IF($C665="","",IF(COUNTIFS('RAW_농산물_7월'!$D:$D,$C665,'RAW_농산물_7월'!$A:$A,$E665)&gt;0,"O",""))</f>
        <v/>
      </c>
      <c r="J665" s="17" t="str">
        <f>IF($C665="","",IF(COUNTIFS('RAW_농산물_8월'!$D:$D,$C665,'RAW_농산물_8월'!$A:$A,$E665)&gt;0,"O",""))</f>
        <v/>
      </c>
      <c r="K665" s="17" t="str">
        <f>IF($C665="","",IF(COUNTIFS('RAW_농산물_9월'!$D:$D,$C665,'RAW_농산물_9월'!$A:$A,$E665)&gt;0,"O",""))</f>
        <v/>
      </c>
      <c r="L665" s="17" t="str">
        <f>IF($C665="","",IF(COUNTIFS('RAW_농산물_10월'!$D:$D,$C665,'RAW_농산물_10월'!$A:$A,$E665)&gt;0,"O",""))</f>
        <v/>
      </c>
      <c r="M665" s="17" t="str">
        <f>IF($C665="","",IF(COUNTIFS('RAW_농산물_11-12월'!$D:$D,$C665,'RAW_농산물_11-12월'!$A:$A,$E665)&gt;0,"O",""))</f>
        <v/>
      </c>
      <c r="N665" s="7" t="str">
        <f>IF($C665="","",IF(COUNTA('RAW_농산물_7월'!$A:$A)&lt;=1,"",SUMIFS('RAW_농산물_7월'!$H:$H,'RAW_농산물_7월'!$D:$D,$C665,'RAW_농산물_7월'!$A:$A,$E665)))</f>
        <v/>
      </c>
      <c r="O665" s="7" t="str">
        <f>IF($C665="","",IF(COUNTA('RAW_농산물_8월'!$A:$A)&lt;=1,"",SUMIFS('RAW_농산물_8월'!$H:$H,'RAW_농산물_8월'!$D:$D,$C665,'RAW_농산물_8월'!$A:$A,$E665)-SUMIFS('RAW_농산물_7월'!$H:$H,'RAW_농산물_7월'!$D:$D,$C665,'RAW_농산물_7월'!$A:$A,$E665)))</f>
        <v/>
      </c>
      <c r="P665" s="7" t="str">
        <f>IF($C665="","",IF(COUNTA('RAW_농산물_9월'!$A:$A)&lt;=1,"",SUMIFS('RAW_농산물_9월'!$H:$H,'RAW_농산물_9월'!$D:$D,$C665,'RAW_농산물_9월'!$A:$A,$E665)-SUMIFS('RAW_농산물_8월'!$H:$H,'RAW_농산물_8월'!$D:$D,$C665,'RAW_농산물_8월'!$A:$A,$E665)))</f>
        <v/>
      </c>
      <c r="Q665" s="7" t="str">
        <f>IF($C665="","",IF(COUNTA('RAW_농산물_10월'!$A:$A)&lt;=1,"",SUMIFS('RAW_농산물_10월'!$H:$H,'RAW_농산물_10월'!$D:$D,$C665,'RAW_농산물_10월'!$A:$A,$E665)-SUMIFS('RAW_농산물_9월'!$H:$H,'RAW_농산물_9월'!$D:$D,$C665,'RAW_농산물_9월'!$A:$A,$E665)))</f>
        <v/>
      </c>
      <c r="R665" s="7" t="str">
        <f>IF($C665="","",IF(COUNTA('RAW_농산물_11-12월'!$A:$A)&lt;=1,"",SUMIFS('RAW_농산물_11-12월'!$H:$H,'RAW_농산물_11-12월'!$D:$D,$C665,'RAW_농산물_11-12월'!$A:$A,$E665)-SUMIFS('RAW_농산물_10월'!$H:$H,'RAW_농산물_10월'!$D:$D,$C665,'RAW_농산물_10월'!$A:$A,$E665)))</f>
        <v/>
      </c>
      <c r="S665" s="17" t="str">
        <f t="shared" si="4"/>
        <v/>
      </c>
      <c r="T665" s="17" t="str">
        <f t="shared" si="5"/>
        <v/>
      </c>
      <c r="U665" s="7">
        <f>IF($C665="",0,IF('설정'!$B$3=0,0,CHOOSE('설정'!$B$3,COUNTIFS('RAW_농산물_7월'!$D:$D,$C665,'RAW_농산물_7월'!$A:$A,$E665),COUNTIFS('RAW_농산물_8월'!$D:$D,$C665,'RAW_농산물_8월'!$A:$A,$E665),COUNTIFS('RAW_농산물_9월'!$D:$D,$C665,'RAW_농산물_9월'!$A:$A,$E665),COUNTIFS('RAW_농산물_10월'!$D:$D,$C665,'RAW_농산물_10월'!$A:$A,$E665),COUNTIFS('RAW_농산물_11-12월'!$D:$D,$C665,'RAW_농산물_11-12월'!$A:$A,$E665))))</f>
        <v>0</v>
      </c>
    </row>
    <row r="666" ht="15.75" customHeight="1">
      <c r="A666" s="5"/>
      <c r="B666" s="5"/>
      <c r="C666" s="5"/>
      <c r="D666" s="6"/>
      <c r="E666" s="5"/>
      <c r="F666" s="7" t="str">
        <f>IF($C666="","",IF('설정'!$B$3=0,"",CHOOSE('설정'!$B$3,SUMIFS('RAW_농산물_7월'!$F:$F,'RAW_농산물_7월'!$D:$D,$C666,'RAW_농산물_7월'!$A:$A,$E666),SUMIFS('RAW_농산물_8월'!$F:$F,'RAW_농산물_8월'!$D:$D,$C666,'RAW_농산물_8월'!$A:$A,$E666),SUMIFS('RAW_농산물_9월'!$F:$F,'RAW_농산물_9월'!$D:$D,$C666,'RAW_농산물_9월'!$A:$A,$E666),SUMIFS('RAW_농산물_10월'!$F:$F,'RAW_농산물_10월'!$D:$D,$C666,'RAW_농산물_10월'!$A:$A,$E666),SUMIFS('RAW_농산물_11-12월'!$F:$F,'RAW_농산물_11-12월'!$D:$D,$C666,'RAW_농산물_11-12월'!$A:$A,$E666))))</f>
        <v/>
      </c>
      <c r="G666" s="7" t="str">
        <f>IF($C666="","",IF('설정'!$B$3=0,"",CHOOSE('설정'!$B$3,SUMIFS('RAW_농산물_7월'!$G:$G,'RAW_농산물_7월'!$D:$D,$C666,'RAW_농산물_7월'!$A:$A,$E666),SUMIFS('RAW_농산물_8월'!$G:$G,'RAW_농산물_8월'!$D:$D,$C666,'RAW_농산물_8월'!$A:$A,$E666),SUMIFS('RAW_농산물_9월'!$G:$G,'RAW_농산물_9월'!$D:$D,$C666,'RAW_농산물_9월'!$A:$A,$E666),SUMIFS('RAW_농산물_10월'!$G:$G,'RAW_농산물_10월'!$D:$D,$C666,'RAW_농산물_10월'!$A:$A,$E666),SUMIFS('RAW_농산물_11-12월'!$G:$G,'RAW_농산물_11-12월'!$D:$D,$C666,'RAW_농산물_11-12월'!$A:$A,$E666))))</f>
        <v/>
      </c>
      <c r="H666" s="14" t="str">
        <f>IF($C666="","",IF('설정'!$B$3=0,"",CHOOSE('설정'!$B$3,SUMIFS('RAW_농산물_7월'!$H:$H,'RAW_농산물_7월'!$D:$D,$C666,'RAW_농산물_7월'!$A:$A,$E666),SUMIFS('RAW_농산물_8월'!$H:$H,'RAW_농산물_8월'!$D:$D,$C666,'RAW_농산물_8월'!$A:$A,$E666),SUMIFS('RAW_농산물_9월'!$H:$H,'RAW_농산물_9월'!$D:$D,$C666,'RAW_농산물_9월'!$A:$A,$E666),SUMIFS('RAW_농산물_10월'!$H:$H,'RAW_농산물_10월'!$D:$D,$C666,'RAW_농산물_10월'!$A:$A,$E666),SUMIFS('RAW_농산물_11-12월'!$H:$H,'RAW_농산물_11-12월'!$D:$D,$C666,'RAW_농산물_11-12월'!$A:$A,$E666))))</f>
        <v/>
      </c>
      <c r="I666" s="17" t="str">
        <f>IF($C666="","",IF(COUNTIFS('RAW_농산물_7월'!$D:$D,$C666,'RAW_농산물_7월'!$A:$A,$E666)&gt;0,"O",""))</f>
        <v/>
      </c>
      <c r="J666" s="17" t="str">
        <f>IF($C666="","",IF(COUNTIFS('RAW_농산물_8월'!$D:$D,$C666,'RAW_농산물_8월'!$A:$A,$E666)&gt;0,"O",""))</f>
        <v/>
      </c>
      <c r="K666" s="17" t="str">
        <f>IF($C666="","",IF(COUNTIFS('RAW_농산물_9월'!$D:$D,$C666,'RAW_농산물_9월'!$A:$A,$E666)&gt;0,"O",""))</f>
        <v/>
      </c>
      <c r="L666" s="17" t="str">
        <f>IF($C666="","",IF(COUNTIFS('RAW_농산물_10월'!$D:$D,$C666,'RAW_농산물_10월'!$A:$A,$E666)&gt;0,"O",""))</f>
        <v/>
      </c>
      <c r="M666" s="17" t="str">
        <f>IF($C666="","",IF(COUNTIFS('RAW_농산물_11-12월'!$D:$D,$C666,'RAW_농산물_11-12월'!$A:$A,$E666)&gt;0,"O",""))</f>
        <v/>
      </c>
      <c r="N666" s="7" t="str">
        <f>IF($C666="","",IF(COUNTA('RAW_농산물_7월'!$A:$A)&lt;=1,"",SUMIFS('RAW_농산물_7월'!$H:$H,'RAW_농산물_7월'!$D:$D,$C666,'RAW_농산물_7월'!$A:$A,$E666)))</f>
        <v/>
      </c>
      <c r="O666" s="7" t="str">
        <f>IF($C666="","",IF(COUNTA('RAW_농산물_8월'!$A:$A)&lt;=1,"",SUMIFS('RAW_농산물_8월'!$H:$H,'RAW_농산물_8월'!$D:$D,$C666,'RAW_농산물_8월'!$A:$A,$E666)-SUMIFS('RAW_농산물_7월'!$H:$H,'RAW_농산물_7월'!$D:$D,$C666,'RAW_농산물_7월'!$A:$A,$E666)))</f>
        <v/>
      </c>
      <c r="P666" s="7" t="str">
        <f>IF($C666="","",IF(COUNTA('RAW_농산물_9월'!$A:$A)&lt;=1,"",SUMIFS('RAW_농산물_9월'!$H:$H,'RAW_농산물_9월'!$D:$D,$C666,'RAW_농산물_9월'!$A:$A,$E666)-SUMIFS('RAW_농산물_8월'!$H:$H,'RAW_농산물_8월'!$D:$D,$C666,'RAW_농산물_8월'!$A:$A,$E666)))</f>
        <v/>
      </c>
      <c r="Q666" s="7" t="str">
        <f>IF($C666="","",IF(COUNTA('RAW_농산물_10월'!$A:$A)&lt;=1,"",SUMIFS('RAW_농산물_10월'!$H:$H,'RAW_농산물_10월'!$D:$D,$C666,'RAW_농산물_10월'!$A:$A,$E666)-SUMIFS('RAW_농산물_9월'!$H:$H,'RAW_농산물_9월'!$D:$D,$C666,'RAW_농산물_9월'!$A:$A,$E666)))</f>
        <v/>
      </c>
      <c r="R666" s="7" t="str">
        <f>IF($C666="","",IF(COUNTA('RAW_농산물_11-12월'!$A:$A)&lt;=1,"",SUMIFS('RAW_농산물_11-12월'!$H:$H,'RAW_농산물_11-12월'!$D:$D,$C666,'RAW_농산물_11-12월'!$A:$A,$E666)-SUMIFS('RAW_농산물_10월'!$H:$H,'RAW_농산물_10월'!$D:$D,$C666,'RAW_농산물_10월'!$A:$A,$E666)))</f>
        <v/>
      </c>
      <c r="S666" s="17" t="str">
        <f t="shared" si="4"/>
        <v/>
      </c>
      <c r="T666" s="17" t="str">
        <f t="shared" si="5"/>
        <v/>
      </c>
      <c r="U666" s="7">
        <f>IF($C666="",0,IF('설정'!$B$3=0,0,CHOOSE('설정'!$B$3,COUNTIFS('RAW_농산물_7월'!$D:$D,$C666,'RAW_농산물_7월'!$A:$A,$E666),COUNTIFS('RAW_농산물_8월'!$D:$D,$C666,'RAW_농산물_8월'!$A:$A,$E666),COUNTIFS('RAW_농산물_9월'!$D:$D,$C666,'RAW_농산물_9월'!$A:$A,$E666),COUNTIFS('RAW_농산물_10월'!$D:$D,$C666,'RAW_농산물_10월'!$A:$A,$E666),COUNTIFS('RAW_농산물_11-12월'!$D:$D,$C666,'RAW_농산물_11-12월'!$A:$A,$E666))))</f>
        <v>0</v>
      </c>
    </row>
    <row r="667" ht="15.75" customHeight="1">
      <c r="A667" s="5"/>
      <c r="B667" s="5"/>
      <c r="C667" s="5"/>
      <c r="D667" s="6"/>
      <c r="E667" s="5"/>
      <c r="F667" s="7" t="str">
        <f>IF($C667="","",IF('설정'!$B$3=0,"",CHOOSE('설정'!$B$3,SUMIFS('RAW_농산물_7월'!$F:$F,'RAW_농산물_7월'!$D:$D,$C667,'RAW_농산물_7월'!$A:$A,$E667),SUMIFS('RAW_농산물_8월'!$F:$F,'RAW_농산물_8월'!$D:$D,$C667,'RAW_농산물_8월'!$A:$A,$E667),SUMIFS('RAW_농산물_9월'!$F:$F,'RAW_농산물_9월'!$D:$D,$C667,'RAW_농산물_9월'!$A:$A,$E667),SUMIFS('RAW_농산물_10월'!$F:$F,'RAW_농산물_10월'!$D:$D,$C667,'RAW_농산물_10월'!$A:$A,$E667),SUMIFS('RAW_농산물_11-12월'!$F:$F,'RAW_농산물_11-12월'!$D:$D,$C667,'RAW_농산물_11-12월'!$A:$A,$E667))))</f>
        <v/>
      </c>
      <c r="G667" s="7" t="str">
        <f>IF($C667="","",IF('설정'!$B$3=0,"",CHOOSE('설정'!$B$3,SUMIFS('RAW_농산물_7월'!$G:$G,'RAW_농산물_7월'!$D:$D,$C667,'RAW_농산물_7월'!$A:$A,$E667),SUMIFS('RAW_농산물_8월'!$G:$G,'RAW_농산물_8월'!$D:$D,$C667,'RAW_농산물_8월'!$A:$A,$E667),SUMIFS('RAW_농산물_9월'!$G:$G,'RAW_농산물_9월'!$D:$D,$C667,'RAW_농산물_9월'!$A:$A,$E667),SUMIFS('RAW_농산물_10월'!$G:$G,'RAW_농산물_10월'!$D:$D,$C667,'RAW_농산물_10월'!$A:$A,$E667),SUMIFS('RAW_농산물_11-12월'!$G:$G,'RAW_농산물_11-12월'!$D:$D,$C667,'RAW_농산물_11-12월'!$A:$A,$E667))))</f>
        <v/>
      </c>
      <c r="H667" s="14" t="str">
        <f>IF($C667="","",IF('설정'!$B$3=0,"",CHOOSE('설정'!$B$3,SUMIFS('RAW_농산물_7월'!$H:$H,'RAW_농산물_7월'!$D:$D,$C667,'RAW_농산물_7월'!$A:$A,$E667),SUMIFS('RAW_농산물_8월'!$H:$H,'RAW_농산물_8월'!$D:$D,$C667,'RAW_농산물_8월'!$A:$A,$E667),SUMIFS('RAW_농산물_9월'!$H:$H,'RAW_농산물_9월'!$D:$D,$C667,'RAW_농산물_9월'!$A:$A,$E667),SUMIFS('RAW_농산물_10월'!$H:$H,'RAW_농산물_10월'!$D:$D,$C667,'RAW_농산물_10월'!$A:$A,$E667),SUMIFS('RAW_농산물_11-12월'!$H:$H,'RAW_농산물_11-12월'!$D:$D,$C667,'RAW_농산물_11-12월'!$A:$A,$E667))))</f>
        <v/>
      </c>
      <c r="I667" s="17" t="str">
        <f>IF($C667="","",IF(COUNTIFS('RAW_농산물_7월'!$D:$D,$C667,'RAW_농산물_7월'!$A:$A,$E667)&gt;0,"O",""))</f>
        <v/>
      </c>
      <c r="J667" s="17" t="str">
        <f>IF($C667="","",IF(COUNTIFS('RAW_농산물_8월'!$D:$D,$C667,'RAW_농산물_8월'!$A:$A,$E667)&gt;0,"O",""))</f>
        <v/>
      </c>
      <c r="K667" s="17" t="str">
        <f>IF($C667="","",IF(COUNTIFS('RAW_농산물_9월'!$D:$D,$C667,'RAW_농산물_9월'!$A:$A,$E667)&gt;0,"O",""))</f>
        <v/>
      </c>
      <c r="L667" s="17" t="str">
        <f>IF($C667="","",IF(COUNTIFS('RAW_농산물_10월'!$D:$D,$C667,'RAW_농산물_10월'!$A:$A,$E667)&gt;0,"O",""))</f>
        <v/>
      </c>
      <c r="M667" s="17" t="str">
        <f>IF($C667="","",IF(COUNTIFS('RAW_농산물_11-12월'!$D:$D,$C667,'RAW_농산물_11-12월'!$A:$A,$E667)&gt;0,"O",""))</f>
        <v/>
      </c>
      <c r="N667" s="7" t="str">
        <f>IF($C667="","",IF(COUNTA('RAW_농산물_7월'!$A:$A)&lt;=1,"",SUMIFS('RAW_농산물_7월'!$H:$H,'RAW_농산물_7월'!$D:$D,$C667,'RAW_농산물_7월'!$A:$A,$E667)))</f>
        <v/>
      </c>
      <c r="O667" s="7" t="str">
        <f>IF($C667="","",IF(COUNTA('RAW_농산물_8월'!$A:$A)&lt;=1,"",SUMIFS('RAW_농산물_8월'!$H:$H,'RAW_농산물_8월'!$D:$D,$C667,'RAW_농산물_8월'!$A:$A,$E667)-SUMIFS('RAW_농산물_7월'!$H:$H,'RAW_농산물_7월'!$D:$D,$C667,'RAW_농산물_7월'!$A:$A,$E667)))</f>
        <v/>
      </c>
      <c r="P667" s="7" t="str">
        <f>IF($C667="","",IF(COUNTA('RAW_농산물_9월'!$A:$A)&lt;=1,"",SUMIFS('RAW_농산물_9월'!$H:$H,'RAW_농산물_9월'!$D:$D,$C667,'RAW_농산물_9월'!$A:$A,$E667)-SUMIFS('RAW_농산물_8월'!$H:$H,'RAW_농산물_8월'!$D:$D,$C667,'RAW_농산물_8월'!$A:$A,$E667)))</f>
        <v/>
      </c>
      <c r="Q667" s="7" t="str">
        <f>IF($C667="","",IF(COUNTA('RAW_농산물_10월'!$A:$A)&lt;=1,"",SUMIFS('RAW_농산물_10월'!$H:$H,'RAW_농산물_10월'!$D:$D,$C667,'RAW_농산물_10월'!$A:$A,$E667)-SUMIFS('RAW_농산물_9월'!$H:$H,'RAW_농산물_9월'!$D:$D,$C667,'RAW_농산물_9월'!$A:$A,$E667)))</f>
        <v/>
      </c>
      <c r="R667" s="7" t="str">
        <f>IF($C667="","",IF(COUNTA('RAW_농산물_11-12월'!$A:$A)&lt;=1,"",SUMIFS('RAW_농산물_11-12월'!$H:$H,'RAW_농산물_11-12월'!$D:$D,$C667,'RAW_농산물_11-12월'!$A:$A,$E667)-SUMIFS('RAW_농산물_10월'!$H:$H,'RAW_농산물_10월'!$D:$D,$C667,'RAW_농산물_10월'!$A:$A,$E667)))</f>
        <v/>
      </c>
      <c r="S667" s="17" t="str">
        <f t="shared" si="4"/>
        <v/>
      </c>
      <c r="T667" s="17" t="str">
        <f t="shared" si="5"/>
        <v/>
      </c>
      <c r="U667" s="7">
        <f>IF($C667="",0,IF('설정'!$B$3=0,0,CHOOSE('설정'!$B$3,COUNTIFS('RAW_농산물_7월'!$D:$D,$C667,'RAW_농산물_7월'!$A:$A,$E667),COUNTIFS('RAW_농산물_8월'!$D:$D,$C667,'RAW_농산물_8월'!$A:$A,$E667),COUNTIFS('RAW_농산물_9월'!$D:$D,$C667,'RAW_농산물_9월'!$A:$A,$E667),COUNTIFS('RAW_농산물_10월'!$D:$D,$C667,'RAW_농산물_10월'!$A:$A,$E667),COUNTIFS('RAW_농산물_11-12월'!$D:$D,$C667,'RAW_농산물_11-12월'!$A:$A,$E667))))</f>
        <v>0</v>
      </c>
    </row>
    <row r="668" ht="15.75" customHeight="1">
      <c r="A668" s="5"/>
      <c r="B668" s="5"/>
      <c r="C668" s="5"/>
      <c r="D668" s="6"/>
      <c r="E668" s="5"/>
      <c r="F668" s="7" t="str">
        <f>IF($C668="","",IF('설정'!$B$3=0,"",CHOOSE('설정'!$B$3,SUMIFS('RAW_농산물_7월'!$F:$F,'RAW_농산물_7월'!$D:$D,$C668,'RAW_농산물_7월'!$A:$A,$E668),SUMIFS('RAW_농산물_8월'!$F:$F,'RAW_농산물_8월'!$D:$D,$C668,'RAW_농산물_8월'!$A:$A,$E668),SUMIFS('RAW_농산물_9월'!$F:$F,'RAW_농산물_9월'!$D:$D,$C668,'RAW_농산물_9월'!$A:$A,$E668),SUMIFS('RAW_농산물_10월'!$F:$F,'RAW_농산물_10월'!$D:$D,$C668,'RAW_농산물_10월'!$A:$A,$E668),SUMIFS('RAW_농산물_11-12월'!$F:$F,'RAW_농산물_11-12월'!$D:$D,$C668,'RAW_농산물_11-12월'!$A:$A,$E668))))</f>
        <v/>
      </c>
      <c r="G668" s="7" t="str">
        <f>IF($C668="","",IF('설정'!$B$3=0,"",CHOOSE('설정'!$B$3,SUMIFS('RAW_농산물_7월'!$G:$G,'RAW_농산물_7월'!$D:$D,$C668,'RAW_농산물_7월'!$A:$A,$E668),SUMIFS('RAW_농산물_8월'!$G:$G,'RAW_농산물_8월'!$D:$D,$C668,'RAW_농산물_8월'!$A:$A,$E668),SUMIFS('RAW_농산물_9월'!$G:$G,'RAW_농산물_9월'!$D:$D,$C668,'RAW_농산물_9월'!$A:$A,$E668),SUMIFS('RAW_농산물_10월'!$G:$G,'RAW_농산물_10월'!$D:$D,$C668,'RAW_농산물_10월'!$A:$A,$E668),SUMIFS('RAW_농산물_11-12월'!$G:$G,'RAW_농산물_11-12월'!$D:$D,$C668,'RAW_농산물_11-12월'!$A:$A,$E668))))</f>
        <v/>
      </c>
      <c r="H668" s="14" t="str">
        <f>IF($C668="","",IF('설정'!$B$3=0,"",CHOOSE('설정'!$B$3,SUMIFS('RAW_농산물_7월'!$H:$H,'RAW_농산물_7월'!$D:$D,$C668,'RAW_농산물_7월'!$A:$A,$E668),SUMIFS('RAW_농산물_8월'!$H:$H,'RAW_농산물_8월'!$D:$D,$C668,'RAW_농산물_8월'!$A:$A,$E668),SUMIFS('RAW_농산물_9월'!$H:$H,'RAW_농산물_9월'!$D:$D,$C668,'RAW_농산물_9월'!$A:$A,$E668),SUMIFS('RAW_농산물_10월'!$H:$H,'RAW_농산물_10월'!$D:$D,$C668,'RAW_농산물_10월'!$A:$A,$E668),SUMIFS('RAW_농산물_11-12월'!$H:$H,'RAW_농산물_11-12월'!$D:$D,$C668,'RAW_농산물_11-12월'!$A:$A,$E668))))</f>
        <v/>
      </c>
      <c r="I668" s="17" t="str">
        <f>IF($C668="","",IF(COUNTIFS('RAW_농산물_7월'!$D:$D,$C668,'RAW_농산물_7월'!$A:$A,$E668)&gt;0,"O",""))</f>
        <v/>
      </c>
      <c r="J668" s="17" t="str">
        <f>IF($C668="","",IF(COUNTIFS('RAW_농산물_8월'!$D:$D,$C668,'RAW_농산물_8월'!$A:$A,$E668)&gt;0,"O",""))</f>
        <v/>
      </c>
      <c r="K668" s="17" t="str">
        <f>IF($C668="","",IF(COUNTIFS('RAW_농산물_9월'!$D:$D,$C668,'RAW_농산물_9월'!$A:$A,$E668)&gt;0,"O",""))</f>
        <v/>
      </c>
      <c r="L668" s="17" t="str">
        <f>IF($C668="","",IF(COUNTIFS('RAW_농산물_10월'!$D:$D,$C668,'RAW_농산물_10월'!$A:$A,$E668)&gt;0,"O",""))</f>
        <v/>
      </c>
      <c r="M668" s="17" t="str">
        <f>IF($C668="","",IF(COUNTIFS('RAW_농산물_11-12월'!$D:$D,$C668,'RAW_농산물_11-12월'!$A:$A,$E668)&gt;0,"O",""))</f>
        <v/>
      </c>
      <c r="N668" s="7" t="str">
        <f>IF($C668="","",IF(COUNTA('RAW_농산물_7월'!$A:$A)&lt;=1,"",SUMIFS('RAW_농산물_7월'!$H:$H,'RAW_농산물_7월'!$D:$D,$C668,'RAW_농산물_7월'!$A:$A,$E668)))</f>
        <v/>
      </c>
      <c r="O668" s="7" t="str">
        <f>IF($C668="","",IF(COUNTA('RAW_농산물_8월'!$A:$A)&lt;=1,"",SUMIFS('RAW_농산물_8월'!$H:$H,'RAW_농산물_8월'!$D:$D,$C668,'RAW_농산물_8월'!$A:$A,$E668)-SUMIFS('RAW_농산물_7월'!$H:$H,'RAW_농산물_7월'!$D:$D,$C668,'RAW_농산물_7월'!$A:$A,$E668)))</f>
        <v/>
      </c>
      <c r="P668" s="7" t="str">
        <f>IF($C668="","",IF(COUNTA('RAW_농산물_9월'!$A:$A)&lt;=1,"",SUMIFS('RAW_농산물_9월'!$H:$H,'RAW_농산물_9월'!$D:$D,$C668,'RAW_농산물_9월'!$A:$A,$E668)-SUMIFS('RAW_농산물_8월'!$H:$H,'RAW_농산물_8월'!$D:$D,$C668,'RAW_농산물_8월'!$A:$A,$E668)))</f>
        <v/>
      </c>
      <c r="Q668" s="7" t="str">
        <f>IF($C668="","",IF(COUNTA('RAW_농산물_10월'!$A:$A)&lt;=1,"",SUMIFS('RAW_농산물_10월'!$H:$H,'RAW_농산물_10월'!$D:$D,$C668,'RAW_농산물_10월'!$A:$A,$E668)-SUMIFS('RAW_농산물_9월'!$H:$H,'RAW_농산물_9월'!$D:$D,$C668,'RAW_농산물_9월'!$A:$A,$E668)))</f>
        <v/>
      </c>
      <c r="R668" s="7" t="str">
        <f>IF($C668="","",IF(COUNTA('RAW_농산물_11-12월'!$A:$A)&lt;=1,"",SUMIFS('RAW_농산물_11-12월'!$H:$H,'RAW_농산물_11-12월'!$D:$D,$C668,'RAW_농산물_11-12월'!$A:$A,$E668)-SUMIFS('RAW_농산물_10월'!$H:$H,'RAW_농산물_10월'!$D:$D,$C668,'RAW_농산물_10월'!$A:$A,$E668)))</f>
        <v/>
      </c>
      <c r="S668" s="17" t="str">
        <f t="shared" si="4"/>
        <v/>
      </c>
      <c r="T668" s="17" t="str">
        <f t="shared" si="5"/>
        <v/>
      </c>
      <c r="U668" s="7">
        <f>IF($C668="",0,IF('설정'!$B$3=0,0,CHOOSE('설정'!$B$3,COUNTIFS('RAW_농산물_7월'!$D:$D,$C668,'RAW_농산물_7월'!$A:$A,$E668),COUNTIFS('RAW_농산물_8월'!$D:$D,$C668,'RAW_농산물_8월'!$A:$A,$E668),COUNTIFS('RAW_농산물_9월'!$D:$D,$C668,'RAW_농산물_9월'!$A:$A,$E668),COUNTIFS('RAW_농산물_10월'!$D:$D,$C668,'RAW_농산물_10월'!$A:$A,$E668),COUNTIFS('RAW_농산물_11-12월'!$D:$D,$C668,'RAW_농산물_11-12월'!$A:$A,$E668))))</f>
        <v>0</v>
      </c>
    </row>
    <row r="669" ht="15.75" customHeight="1">
      <c r="A669" s="5"/>
      <c r="B669" s="5"/>
      <c r="C669" s="5"/>
      <c r="D669" s="6"/>
      <c r="E669" s="5"/>
      <c r="F669" s="7" t="str">
        <f>IF($C669="","",IF('설정'!$B$3=0,"",CHOOSE('설정'!$B$3,SUMIFS('RAW_농산물_7월'!$F:$F,'RAW_농산물_7월'!$D:$D,$C669,'RAW_농산물_7월'!$A:$A,$E669),SUMIFS('RAW_농산물_8월'!$F:$F,'RAW_농산물_8월'!$D:$D,$C669,'RAW_농산물_8월'!$A:$A,$E669),SUMIFS('RAW_농산물_9월'!$F:$F,'RAW_농산물_9월'!$D:$D,$C669,'RAW_농산물_9월'!$A:$A,$E669),SUMIFS('RAW_농산물_10월'!$F:$F,'RAW_농산물_10월'!$D:$D,$C669,'RAW_농산물_10월'!$A:$A,$E669),SUMIFS('RAW_농산물_11-12월'!$F:$F,'RAW_농산물_11-12월'!$D:$D,$C669,'RAW_농산물_11-12월'!$A:$A,$E669))))</f>
        <v/>
      </c>
      <c r="G669" s="7" t="str">
        <f>IF($C669="","",IF('설정'!$B$3=0,"",CHOOSE('설정'!$B$3,SUMIFS('RAW_농산물_7월'!$G:$G,'RAW_농산물_7월'!$D:$D,$C669,'RAW_농산물_7월'!$A:$A,$E669),SUMIFS('RAW_농산물_8월'!$G:$G,'RAW_농산물_8월'!$D:$D,$C669,'RAW_농산물_8월'!$A:$A,$E669),SUMIFS('RAW_농산물_9월'!$G:$G,'RAW_농산물_9월'!$D:$D,$C669,'RAW_농산물_9월'!$A:$A,$E669),SUMIFS('RAW_농산물_10월'!$G:$G,'RAW_농산물_10월'!$D:$D,$C669,'RAW_농산물_10월'!$A:$A,$E669),SUMIFS('RAW_농산물_11-12월'!$G:$G,'RAW_농산물_11-12월'!$D:$D,$C669,'RAW_농산물_11-12월'!$A:$A,$E669))))</f>
        <v/>
      </c>
      <c r="H669" s="14" t="str">
        <f>IF($C669="","",IF('설정'!$B$3=0,"",CHOOSE('설정'!$B$3,SUMIFS('RAW_농산물_7월'!$H:$H,'RAW_농산물_7월'!$D:$D,$C669,'RAW_농산물_7월'!$A:$A,$E669),SUMIFS('RAW_농산물_8월'!$H:$H,'RAW_농산물_8월'!$D:$D,$C669,'RAW_농산물_8월'!$A:$A,$E669),SUMIFS('RAW_농산물_9월'!$H:$H,'RAW_농산물_9월'!$D:$D,$C669,'RAW_농산물_9월'!$A:$A,$E669),SUMIFS('RAW_농산물_10월'!$H:$H,'RAW_농산물_10월'!$D:$D,$C669,'RAW_농산물_10월'!$A:$A,$E669),SUMIFS('RAW_농산물_11-12월'!$H:$H,'RAW_농산물_11-12월'!$D:$D,$C669,'RAW_농산물_11-12월'!$A:$A,$E669))))</f>
        <v/>
      </c>
      <c r="I669" s="17" t="str">
        <f>IF($C669="","",IF(COUNTIFS('RAW_농산물_7월'!$D:$D,$C669,'RAW_농산물_7월'!$A:$A,$E669)&gt;0,"O",""))</f>
        <v/>
      </c>
      <c r="J669" s="17" t="str">
        <f>IF($C669="","",IF(COUNTIFS('RAW_농산물_8월'!$D:$D,$C669,'RAW_농산물_8월'!$A:$A,$E669)&gt;0,"O",""))</f>
        <v/>
      </c>
      <c r="K669" s="17" t="str">
        <f>IF($C669="","",IF(COUNTIFS('RAW_농산물_9월'!$D:$D,$C669,'RAW_농산물_9월'!$A:$A,$E669)&gt;0,"O",""))</f>
        <v/>
      </c>
      <c r="L669" s="17" t="str">
        <f>IF($C669="","",IF(COUNTIFS('RAW_농산물_10월'!$D:$D,$C669,'RAW_농산물_10월'!$A:$A,$E669)&gt;0,"O",""))</f>
        <v/>
      </c>
      <c r="M669" s="17" t="str">
        <f>IF($C669="","",IF(COUNTIFS('RAW_농산물_11-12월'!$D:$D,$C669,'RAW_농산물_11-12월'!$A:$A,$E669)&gt;0,"O",""))</f>
        <v/>
      </c>
      <c r="N669" s="7" t="str">
        <f>IF($C669="","",IF(COUNTA('RAW_농산물_7월'!$A:$A)&lt;=1,"",SUMIFS('RAW_농산물_7월'!$H:$H,'RAW_농산물_7월'!$D:$D,$C669,'RAW_농산물_7월'!$A:$A,$E669)))</f>
        <v/>
      </c>
      <c r="O669" s="7" t="str">
        <f>IF($C669="","",IF(COUNTA('RAW_농산물_8월'!$A:$A)&lt;=1,"",SUMIFS('RAW_농산물_8월'!$H:$H,'RAW_농산물_8월'!$D:$D,$C669,'RAW_농산물_8월'!$A:$A,$E669)-SUMIFS('RAW_농산물_7월'!$H:$H,'RAW_농산물_7월'!$D:$D,$C669,'RAW_농산물_7월'!$A:$A,$E669)))</f>
        <v/>
      </c>
      <c r="P669" s="7" t="str">
        <f>IF($C669="","",IF(COUNTA('RAW_농산물_9월'!$A:$A)&lt;=1,"",SUMIFS('RAW_농산물_9월'!$H:$H,'RAW_농산물_9월'!$D:$D,$C669,'RAW_농산물_9월'!$A:$A,$E669)-SUMIFS('RAW_농산물_8월'!$H:$H,'RAW_농산물_8월'!$D:$D,$C669,'RAW_농산물_8월'!$A:$A,$E669)))</f>
        <v/>
      </c>
      <c r="Q669" s="7" t="str">
        <f>IF($C669="","",IF(COUNTA('RAW_농산물_10월'!$A:$A)&lt;=1,"",SUMIFS('RAW_농산물_10월'!$H:$H,'RAW_농산물_10월'!$D:$D,$C669,'RAW_농산물_10월'!$A:$A,$E669)-SUMIFS('RAW_농산물_9월'!$H:$H,'RAW_농산물_9월'!$D:$D,$C669,'RAW_농산물_9월'!$A:$A,$E669)))</f>
        <v/>
      </c>
      <c r="R669" s="7" t="str">
        <f>IF($C669="","",IF(COUNTA('RAW_농산물_11-12월'!$A:$A)&lt;=1,"",SUMIFS('RAW_농산물_11-12월'!$H:$H,'RAW_농산물_11-12월'!$D:$D,$C669,'RAW_농산물_11-12월'!$A:$A,$E669)-SUMIFS('RAW_농산물_10월'!$H:$H,'RAW_농산물_10월'!$D:$D,$C669,'RAW_농산물_10월'!$A:$A,$E669)))</f>
        <v/>
      </c>
      <c r="S669" s="17" t="str">
        <f t="shared" si="4"/>
        <v/>
      </c>
      <c r="T669" s="17" t="str">
        <f t="shared" si="5"/>
        <v/>
      </c>
      <c r="U669" s="7">
        <f>IF($C669="",0,IF('설정'!$B$3=0,0,CHOOSE('설정'!$B$3,COUNTIFS('RAW_농산물_7월'!$D:$D,$C669,'RAW_농산물_7월'!$A:$A,$E669),COUNTIFS('RAW_농산물_8월'!$D:$D,$C669,'RAW_농산물_8월'!$A:$A,$E669),COUNTIFS('RAW_농산물_9월'!$D:$D,$C669,'RAW_농산물_9월'!$A:$A,$E669),COUNTIFS('RAW_농산물_10월'!$D:$D,$C669,'RAW_농산물_10월'!$A:$A,$E669),COUNTIFS('RAW_농산물_11-12월'!$D:$D,$C669,'RAW_농산물_11-12월'!$A:$A,$E669))))</f>
        <v>0</v>
      </c>
    </row>
    <row r="670" ht="15.75" customHeight="1">
      <c r="A670" s="5"/>
      <c r="B670" s="5"/>
      <c r="C670" s="5"/>
      <c r="D670" s="6"/>
      <c r="E670" s="5"/>
      <c r="F670" s="7" t="str">
        <f>IF($C670="","",IF('설정'!$B$3=0,"",CHOOSE('설정'!$B$3,SUMIFS('RAW_농산물_7월'!$F:$F,'RAW_농산물_7월'!$D:$D,$C670,'RAW_농산물_7월'!$A:$A,$E670),SUMIFS('RAW_농산물_8월'!$F:$F,'RAW_농산물_8월'!$D:$D,$C670,'RAW_농산물_8월'!$A:$A,$E670),SUMIFS('RAW_농산물_9월'!$F:$F,'RAW_농산물_9월'!$D:$D,$C670,'RAW_농산물_9월'!$A:$A,$E670),SUMIFS('RAW_농산물_10월'!$F:$F,'RAW_농산물_10월'!$D:$D,$C670,'RAW_농산물_10월'!$A:$A,$E670),SUMIFS('RAW_농산물_11-12월'!$F:$F,'RAW_농산물_11-12월'!$D:$D,$C670,'RAW_농산물_11-12월'!$A:$A,$E670))))</f>
        <v/>
      </c>
      <c r="G670" s="7" t="str">
        <f>IF($C670="","",IF('설정'!$B$3=0,"",CHOOSE('설정'!$B$3,SUMIFS('RAW_농산물_7월'!$G:$G,'RAW_농산물_7월'!$D:$D,$C670,'RAW_농산물_7월'!$A:$A,$E670),SUMIFS('RAW_농산물_8월'!$G:$G,'RAW_농산물_8월'!$D:$D,$C670,'RAW_농산물_8월'!$A:$A,$E670),SUMIFS('RAW_농산물_9월'!$G:$G,'RAW_농산물_9월'!$D:$D,$C670,'RAW_농산물_9월'!$A:$A,$E670),SUMIFS('RAW_농산물_10월'!$G:$G,'RAW_농산물_10월'!$D:$D,$C670,'RAW_농산물_10월'!$A:$A,$E670),SUMIFS('RAW_농산물_11-12월'!$G:$G,'RAW_농산물_11-12월'!$D:$D,$C670,'RAW_농산물_11-12월'!$A:$A,$E670))))</f>
        <v/>
      </c>
      <c r="H670" s="14" t="str">
        <f>IF($C670="","",IF('설정'!$B$3=0,"",CHOOSE('설정'!$B$3,SUMIFS('RAW_농산물_7월'!$H:$H,'RAW_농산물_7월'!$D:$D,$C670,'RAW_농산물_7월'!$A:$A,$E670),SUMIFS('RAW_농산물_8월'!$H:$H,'RAW_농산물_8월'!$D:$D,$C670,'RAW_농산물_8월'!$A:$A,$E670),SUMIFS('RAW_농산물_9월'!$H:$H,'RAW_농산물_9월'!$D:$D,$C670,'RAW_농산물_9월'!$A:$A,$E670),SUMIFS('RAW_농산물_10월'!$H:$H,'RAW_농산물_10월'!$D:$D,$C670,'RAW_농산물_10월'!$A:$A,$E670),SUMIFS('RAW_농산물_11-12월'!$H:$H,'RAW_농산물_11-12월'!$D:$D,$C670,'RAW_농산물_11-12월'!$A:$A,$E670))))</f>
        <v/>
      </c>
      <c r="I670" s="17" t="str">
        <f>IF($C670="","",IF(COUNTIFS('RAW_농산물_7월'!$D:$D,$C670,'RAW_농산물_7월'!$A:$A,$E670)&gt;0,"O",""))</f>
        <v/>
      </c>
      <c r="J670" s="17" t="str">
        <f>IF($C670="","",IF(COUNTIFS('RAW_농산물_8월'!$D:$D,$C670,'RAW_농산물_8월'!$A:$A,$E670)&gt;0,"O",""))</f>
        <v/>
      </c>
      <c r="K670" s="17" t="str">
        <f>IF($C670="","",IF(COUNTIFS('RAW_농산물_9월'!$D:$D,$C670,'RAW_농산물_9월'!$A:$A,$E670)&gt;0,"O",""))</f>
        <v/>
      </c>
      <c r="L670" s="17" t="str">
        <f>IF($C670="","",IF(COUNTIFS('RAW_농산물_10월'!$D:$D,$C670,'RAW_농산물_10월'!$A:$A,$E670)&gt;0,"O",""))</f>
        <v/>
      </c>
      <c r="M670" s="17" t="str">
        <f>IF($C670="","",IF(COUNTIFS('RAW_농산물_11-12월'!$D:$D,$C670,'RAW_농산물_11-12월'!$A:$A,$E670)&gt;0,"O",""))</f>
        <v/>
      </c>
      <c r="N670" s="7" t="str">
        <f>IF($C670="","",IF(COUNTA('RAW_농산물_7월'!$A:$A)&lt;=1,"",SUMIFS('RAW_농산물_7월'!$H:$H,'RAW_농산물_7월'!$D:$D,$C670,'RAW_농산물_7월'!$A:$A,$E670)))</f>
        <v/>
      </c>
      <c r="O670" s="7" t="str">
        <f>IF($C670="","",IF(COUNTA('RAW_농산물_8월'!$A:$A)&lt;=1,"",SUMIFS('RAW_농산물_8월'!$H:$H,'RAW_농산물_8월'!$D:$D,$C670,'RAW_농산물_8월'!$A:$A,$E670)-SUMIFS('RAW_농산물_7월'!$H:$H,'RAW_농산물_7월'!$D:$D,$C670,'RAW_농산물_7월'!$A:$A,$E670)))</f>
        <v/>
      </c>
      <c r="P670" s="7" t="str">
        <f>IF($C670="","",IF(COUNTA('RAW_농산물_9월'!$A:$A)&lt;=1,"",SUMIFS('RAW_농산물_9월'!$H:$H,'RAW_농산물_9월'!$D:$D,$C670,'RAW_농산물_9월'!$A:$A,$E670)-SUMIFS('RAW_농산물_8월'!$H:$H,'RAW_농산물_8월'!$D:$D,$C670,'RAW_농산물_8월'!$A:$A,$E670)))</f>
        <v/>
      </c>
      <c r="Q670" s="7" t="str">
        <f>IF($C670="","",IF(COUNTA('RAW_농산물_10월'!$A:$A)&lt;=1,"",SUMIFS('RAW_농산물_10월'!$H:$H,'RAW_농산물_10월'!$D:$D,$C670,'RAW_농산물_10월'!$A:$A,$E670)-SUMIFS('RAW_농산물_9월'!$H:$H,'RAW_농산물_9월'!$D:$D,$C670,'RAW_농산물_9월'!$A:$A,$E670)))</f>
        <v/>
      </c>
      <c r="R670" s="7" t="str">
        <f>IF($C670="","",IF(COUNTA('RAW_농산물_11-12월'!$A:$A)&lt;=1,"",SUMIFS('RAW_농산물_11-12월'!$H:$H,'RAW_농산물_11-12월'!$D:$D,$C670,'RAW_농산물_11-12월'!$A:$A,$E670)-SUMIFS('RAW_농산물_10월'!$H:$H,'RAW_농산물_10월'!$D:$D,$C670,'RAW_농산물_10월'!$A:$A,$E670)))</f>
        <v/>
      </c>
      <c r="S670" s="17" t="str">
        <f t="shared" si="4"/>
        <v/>
      </c>
      <c r="T670" s="17" t="str">
        <f t="shared" si="5"/>
        <v/>
      </c>
      <c r="U670" s="7">
        <f>IF($C670="",0,IF('설정'!$B$3=0,0,CHOOSE('설정'!$B$3,COUNTIFS('RAW_농산물_7월'!$D:$D,$C670,'RAW_농산물_7월'!$A:$A,$E670),COUNTIFS('RAW_농산물_8월'!$D:$D,$C670,'RAW_농산물_8월'!$A:$A,$E670),COUNTIFS('RAW_농산물_9월'!$D:$D,$C670,'RAW_농산물_9월'!$A:$A,$E670),COUNTIFS('RAW_농산물_10월'!$D:$D,$C670,'RAW_농산물_10월'!$A:$A,$E670),COUNTIFS('RAW_농산물_11-12월'!$D:$D,$C670,'RAW_농산물_11-12월'!$A:$A,$E670))))</f>
        <v>0</v>
      </c>
    </row>
    <row r="671" ht="15.75" customHeight="1">
      <c r="A671" s="5"/>
      <c r="B671" s="5"/>
      <c r="C671" s="5"/>
      <c r="D671" s="6"/>
      <c r="E671" s="5"/>
      <c r="F671" s="7" t="str">
        <f>IF($C671="","",IF('설정'!$B$3=0,"",CHOOSE('설정'!$B$3,SUMIFS('RAW_농산물_7월'!$F:$F,'RAW_농산물_7월'!$D:$D,$C671,'RAW_농산물_7월'!$A:$A,$E671),SUMIFS('RAW_농산물_8월'!$F:$F,'RAW_농산물_8월'!$D:$D,$C671,'RAW_농산물_8월'!$A:$A,$E671),SUMIFS('RAW_농산물_9월'!$F:$F,'RAW_농산물_9월'!$D:$D,$C671,'RAW_농산물_9월'!$A:$A,$E671),SUMIFS('RAW_농산물_10월'!$F:$F,'RAW_농산물_10월'!$D:$D,$C671,'RAW_농산물_10월'!$A:$A,$E671),SUMIFS('RAW_농산물_11-12월'!$F:$F,'RAW_농산물_11-12월'!$D:$D,$C671,'RAW_농산물_11-12월'!$A:$A,$E671))))</f>
        <v/>
      </c>
      <c r="G671" s="7" t="str">
        <f>IF($C671="","",IF('설정'!$B$3=0,"",CHOOSE('설정'!$B$3,SUMIFS('RAW_농산물_7월'!$G:$G,'RAW_농산물_7월'!$D:$D,$C671,'RAW_농산물_7월'!$A:$A,$E671),SUMIFS('RAW_농산물_8월'!$G:$G,'RAW_농산물_8월'!$D:$D,$C671,'RAW_농산물_8월'!$A:$A,$E671),SUMIFS('RAW_농산물_9월'!$G:$G,'RAW_농산물_9월'!$D:$D,$C671,'RAW_농산물_9월'!$A:$A,$E671),SUMIFS('RAW_농산물_10월'!$G:$G,'RAW_농산물_10월'!$D:$D,$C671,'RAW_농산물_10월'!$A:$A,$E671),SUMIFS('RAW_농산물_11-12월'!$G:$G,'RAW_농산물_11-12월'!$D:$D,$C671,'RAW_농산물_11-12월'!$A:$A,$E671))))</f>
        <v/>
      </c>
      <c r="H671" s="14" t="str">
        <f>IF($C671="","",IF('설정'!$B$3=0,"",CHOOSE('설정'!$B$3,SUMIFS('RAW_농산물_7월'!$H:$H,'RAW_농산물_7월'!$D:$D,$C671,'RAW_농산물_7월'!$A:$A,$E671),SUMIFS('RAW_농산물_8월'!$H:$H,'RAW_농산물_8월'!$D:$D,$C671,'RAW_농산물_8월'!$A:$A,$E671),SUMIFS('RAW_농산물_9월'!$H:$H,'RAW_농산물_9월'!$D:$D,$C671,'RAW_농산물_9월'!$A:$A,$E671),SUMIFS('RAW_농산물_10월'!$H:$H,'RAW_농산물_10월'!$D:$D,$C671,'RAW_농산물_10월'!$A:$A,$E671),SUMIFS('RAW_농산물_11-12월'!$H:$H,'RAW_농산물_11-12월'!$D:$D,$C671,'RAW_농산물_11-12월'!$A:$A,$E671))))</f>
        <v/>
      </c>
      <c r="I671" s="17" t="str">
        <f>IF($C671="","",IF(COUNTIFS('RAW_농산물_7월'!$D:$D,$C671,'RAW_농산물_7월'!$A:$A,$E671)&gt;0,"O",""))</f>
        <v/>
      </c>
      <c r="J671" s="17" t="str">
        <f>IF($C671="","",IF(COUNTIFS('RAW_농산물_8월'!$D:$D,$C671,'RAW_농산물_8월'!$A:$A,$E671)&gt;0,"O",""))</f>
        <v/>
      </c>
      <c r="K671" s="17" t="str">
        <f>IF($C671="","",IF(COUNTIFS('RAW_농산물_9월'!$D:$D,$C671,'RAW_농산물_9월'!$A:$A,$E671)&gt;0,"O",""))</f>
        <v/>
      </c>
      <c r="L671" s="17" t="str">
        <f>IF($C671="","",IF(COUNTIFS('RAW_농산물_10월'!$D:$D,$C671,'RAW_농산물_10월'!$A:$A,$E671)&gt;0,"O",""))</f>
        <v/>
      </c>
      <c r="M671" s="17" t="str">
        <f>IF($C671="","",IF(COUNTIFS('RAW_농산물_11-12월'!$D:$D,$C671,'RAW_농산물_11-12월'!$A:$A,$E671)&gt;0,"O",""))</f>
        <v/>
      </c>
      <c r="N671" s="7" t="str">
        <f>IF($C671="","",IF(COUNTA('RAW_농산물_7월'!$A:$A)&lt;=1,"",SUMIFS('RAW_농산물_7월'!$H:$H,'RAW_농산물_7월'!$D:$D,$C671,'RAW_농산물_7월'!$A:$A,$E671)))</f>
        <v/>
      </c>
      <c r="O671" s="7" t="str">
        <f>IF($C671="","",IF(COUNTA('RAW_농산물_8월'!$A:$A)&lt;=1,"",SUMIFS('RAW_농산물_8월'!$H:$H,'RAW_농산물_8월'!$D:$D,$C671,'RAW_농산물_8월'!$A:$A,$E671)-SUMIFS('RAW_농산물_7월'!$H:$H,'RAW_농산물_7월'!$D:$D,$C671,'RAW_농산물_7월'!$A:$A,$E671)))</f>
        <v/>
      </c>
      <c r="P671" s="7" t="str">
        <f>IF($C671="","",IF(COUNTA('RAW_농산물_9월'!$A:$A)&lt;=1,"",SUMIFS('RAW_농산물_9월'!$H:$H,'RAW_농산물_9월'!$D:$D,$C671,'RAW_농산물_9월'!$A:$A,$E671)-SUMIFS('RAW_농산물_8월'!$H:$H,'RAW_농산물_8월'!$D:$D,$C671,'RAW_농산물_8월'!$A:$A,$E671)))</f>
        <v/>
      </c>
      <c r="Q671" s="7" t="str">
        <f>IF($C671="","",IF(COUNTA('RAW_농산물_10월'!$A:$A)&lt;=1,"",SUMIFS('RAW_농산물_10월'!$H:$H,'RAW_농산물_10월'!$D:$D,$C671,'RAW_농산물_10월'!$A:$A,$E671)-SUMIFS('RAW_농산물_9월'!$H:$H,'RAW_농산물_9월'!$D:$D,$C671,'RAW_농산물_9월'!$A:$A,$E671)))</f>
        <v/>
      </c>
      <c r="R671" s="7" t="str">
        <f>IF($C671="","",IF(COUNTA('RAW_농산물_11-12월'!$A:$A)&lt;=1,"",SUMIFS('RAW_농산물_11-12월'!$H:$H,'RAW_농산물_11-12월'!$D:$D,$C671,'RAW_농산물_11-12월'!$A:$A,$E671)-SUMIFS('RAW_농산물_10월'!$H:$H,'RAW_농산물_10월'!$D:$D,$C671,'RAW_농산물_10월'!$A:$A,$E671)))</f>
        <v/>
      </c>
      <c r="S671" s="17" t="str">
        <f t="shared" si="4"/>
        <v/>
      </c>
      <c r="T671" s="17" t="str">
        <f t="shared" si="5"/>
        <v/>
      </c>
      <c r="U671" s="7">
        <f>IF($C671="",0,IF('설정'!$B$3=0,0,CHOOSE('설정'!$B$3,COUNTIFS('RAW_농산물_7월'!$D:$D,$C671,'RAW_농산물_7월'!$A:$A,$E671),COUNTIFS('RAW_농산물_8월'!$D:$D,$C671,'RAW_농산물_8월'!$A:$A,$E671),COUNTIFS('RAW_농산물_9월'!$D:$D,$C671,'RAW_농산물_9월'!$A:$A,$E671),COUNTIFS('RAW_농산물_10월'!$D:$D,$C671,'RAW_농산물_10월'!$A:$A,$E671),COUNTIFS('RAW_농산물_11-12월'!$D:$D,$C671,'RAW_농산물_11-12월'!$A:$A,$E671))))</f>
        <v>0</v>
      </c>
    </row>
    <row r="672" ht="15.75" customHeight="1">
      <c r="A672" s="5"/>
      <c r="B672" s="5"/>
      <c r="C672" s="5"/>
      <c r="D672" s="6"/>
      <c r="E672" s="5"/>
      <c r="F672" s="7" t="str">
        <f>IF($C672="","",IF('설정'!$B$3=0,"",CHOOSE('설정'!$B$3,SUMIFS('RAW_농산물_7월'!$F:$F,'RAW_농산물_7월'!$D:$D,$C672,'RAW_농산물_7월'!$A:$A,$E672),SUMIFS('RAW_농산물_8월'!$F:$F,'RAW_농산물_8월'!$D:$D,$C672,'RAW_농산물_8월'!$A:$A,$E672),SUMIFS('RAW_농산물_9월'!$F:$F,'RAW_농산물_9월'!$D:$D,$C672,'RAW_농산물_9월'!$A:$A,$E672),SUMIFS('RAW_농산물_10월'!$F:$F,'RAW_농산물_10월'!$D:$D,$C672,'RAW_농산물_10월'!$A:$A,$E672),SUMIFS('RAW_농산물_11-12월'!$F:$F,'RAW_농산물_11-12월'!$D:$D,$C672,'RAW_농산물_11-12월'!$A:$A,$E672))))</f>
        <v/>
      </c>
      <c r="G672" s="7" t="str">
        <f>IF($C672="","",IF('설정'!$B$3=0,"",CHOOSE('설정'!$B$3,SUMIFS('RAW_농산물_7월'!$G:$G,'RAW_농산물_7월'!$D:$D,$C672,'RAW_농산물_7월'!$A:$A,$E672),SUMIFS('RAW_농산물_8월'!$G:$G,'RAW_농산물_8월'!$D:$D,$C672,'RAW_농산물_8월'!$A:$A,$E672),SUMIFS('RAW_농산물_9월'!$G:$G,'RAW_농산물_9월'!$D:$D,$C672,'RAW_농산물_9월'!$A:$A,$E672),SUMIFS('RAW_농산물_10월'!$G:$G,'RAW_농산물_10월'!$D:$D,$C672,'RAW_농산물_10월'!$A:$A,$E672),SUMIFS('RAW_농산물_11-12월'!$G:$G,'RAW_농산물_11-12월'!$D:$D,$C672,'RAW_농산물_11-12월'!$A:$A,$E672))))</f>
        <v/>
      </c>
      <c r="H672" s="14" t="str">
        <f>IF($C672="","",IF('설정'!$B$3=0,"",CHOOSE('설정'!$B$3,SUMIFS('RAW_농산물_7월'!$H:$H,'RAW_농산물_7월'!$D:$D,$C672,'RAW_농산물_7월'!$A:$A,$E672),SUMIFS('RAW_농산물_8월'!$H:$H,'RAW_농산물_8월'!$D:$D,$C672,'RAW_농산물_8월'!$A:$A,$E672),SUMIFS('RAW_농산물_9월'!$H:$H,'RAW_농산물_9월'!$D:$D,$C672,'RAW_농산물_9월'!$A:$A,$E672),SUMIFS('RAW_농산물_10월'!$H:$H,'RAW_농산물_10월'!$D:$D,$C672,'RAW_농산물_10월'!$A:$A,$E672),SUMIFS('RAW_농산물_11-12월'!$H:$H,'RAW_농산물_11-12월'!$D:$D,$C672,'RAW_농산물_11-12월'!$A:$A,$E672))))</f>
        <v/>
      </c>
      <c r="I672" s="17" t="str">
        <f>IF($C672="","",IF(COUNTIFS('RAW_농산물_7월'!$D:$D,$C672,'RAW_농산물_7월'!$A:$A,$E672)&gt;0,"O",""))</f>
        <v/>
      </c>
      <c r="J672" s="17" t="str">
        <f>IF($C672="","",IF(COUNTIFS('RAW_농산물_8월'!$D:$D,$C672,'RAW_농산물_8월'!$A:$A,$E672)&gt;0,"O",""))</f>
        <v/>
      </c>
      <c r="K672" s="17" t="str">
        <f>IF($C672="","",IF(COUNTIFS('RAW_농산물_9월'!$D:$D,$C672,'RAW_농산물_9월'!$A:$A,$E672)&gt;0,"O",""))</f>
        <v/>
      </c>
      <c r="L672" s="17" t="str">
        <f>IF($C672="","",IF(COUNTIFS('RAW_농산물_10월'!$D:$D,$C672,'RAW_농산물_10월'!$A:$A,$E672)&gt;0,"O",""))</f>
        <v/>
      </c>
      <c r="M672" s="17" t="str">
        <f>IF($C672="","",IF(COUNTIFS('RAW_농산물_11-12월'!$D:$D,$C672,'RAW_농산물_11-12월'!$A:$A,$E672)&gt;0,"O",""))</f>
        <v/>
      </c>
      <c r="N672" s="7" t="str">
        <f>IF($C672="","",IF(COUNTA('RAW_농산물_7월'!$A:$A)&lt;=1,"",SUMIFS('RAW_농산물_7월'!$H:$H,'RAW_농산물_7월'!$D:$D,$C672,'RAW_농산물_7월'!$A:$A,$E672)))</f>
        <v/>
      </c>
      <c r="O672" s="7" t="str">
        <f>IF($C672="","",IF(COUNTA('RAW_농산물_8월'!$A:$A)&lt;=1,"",SUMIFS('RAW_농산물_8월'!$H:$H,'RAW_농산물_8월'!$D:$D,$C672,'RAW_농산물_8월'!$A:$A,$E672)-SUMIFS('RAW_농산물_7월'!$H:$H,'RAW_농산물_7월'!$D:$D,$C672,'RAW_농산물_7월'!$A:$A,$E672)))</f>
        <v/>
      </c>
      <c r="P672" s="7" t="str">
        <f>IF($C672="","",IF(COUNTA('RAW_농산물_9월'!$A:$A)&lt;=1,"",SUMIFS('RAW_농산물_9월'!$H:$H,'RAW_농산물_9월'!$D:$D,$C672,'RAW_농산물_9월'!$A:$A,$E672)-SUMIFS('RAW_농산물_8월'!$H:$H,'RAW_농산물_8월'!$D:$D,$C672,'RAW_농산물_8월'!$A:$A,$E672)))</f>
        <v/>
      </c>
      <c r="Q672" s="7" t="str">
        <f>IF($C672="","",IF(COUNTA('RAW_농산물_10월'!$A:$A)&lt;=1,"",SUMIFS('RAW_농산물_10월'!$H:$H,'RAW_농산물_10월'!$D:$D,$C672,'RAW_농산물_10월'!$A:$A,$E672)-SUMIFS('RAW_농산물_9월'!$H:$H,'RAW_농산물_9월'!$D:$D,$C672,'RAW_농산물_9월'!$A:$A,$E672)))</f>
        <v/>
      </c>
      <c r="R672" s="7" t="str">
        <f>IF($C672="","",IF(COUNTA('RAW_농산물_11-12월'!$A:$A)&lt;=1,"",SUMIFS('RAW_농산물_11-12월'!$H:$H,'RAW_농산물_11-12월'!$D:$D,$C672,'RAW_농산물_11-12월'!$A:$A,$E672)-SUMIFS('RAW_농산물_10월'!$H:$H,'RAW_농산물_10월'!$D:$D,$C672,'RAW_농산물_10월'!$A:$A,$E672)))</f>
        <v/>
      </c>
      <c r="S672" s="17" t="str">
        <f t="shared" si="4"/>
        <v/>
      </c>
      <c r="T672" s="17" t="str">
        <f t="shared" si="5"/>
        <v/>
      </c>
      <c r="U672" s="7">
        <f>IF($C672="",0,IF('설정'!$B$3=0,0,CHOOSE('설정'!$B$3,COUNTIFS('RAW_농산물_7월'!$D:$D,$C672,'RAW_농산물_7월'!$A:$A,$E672),COUNTIFS('RAW_농산물_8월'!$D:$D,$C672,'RAW_농산물_8월'!$A:$A,$E672),COUNTIFS('RAW_농산물_9월'!$D:$D,$C672,'RAW_농산물_9월'!$A:$A,$E672),COUNTIFS('RAW_농산물_10월'!$D:$D,$C672,'RAW_농산물_10월'!$A:$A,$E672),COUNTIFS('RAW_농산물_11-12월'!$D:$D,$C672,'RAW_농산물_11-12월'!$A:$A,$E672))))</f>
        <v>0</v>
      </c>
    </row>
    <row r="673" ht="15.75" customHeight="1">
      <c r="A673" s="5"/>
      <c r="B673" s="5"/>
      <c r="C673" s="5"/>
      <c r="D673" s="6"/>
      <c r="E673" s="5"/>
      <c r="F673" s="7" t="str">
        <f>IF($C673="","",IF('설정'!$B$3=0,"",CHOOSE('설정'!$B$3,SUMIFS('RAW_농산물_7월'!$F:$F,'RAW_농산물_7월'!$D:$D,$C673,'RAW_농산물_7월'!$A:$A,$E673),SUMIFS('RAW_농산물_8월'!$F:$F,'RAW_농산물_8월'!$D:$D,$C673,'RAW_농산물_8월'!$A:$A,$E673),SUMIFS('RAW_농산물_9월'!$F:$F,'RAW_농산물_9월'!$D:$D,$C673,'RAW_농산물_9월'!$A:$A,$E673),SUMIFS('RAW_농산물_10월'!$F:$F,'RAW_농산물_10월'!$D:$D,$C673,'RAW_농산물_10월'!$A:$A,$E673),SUMIFS('RAW_농산물_11-12월'!$F:$F,'RAW_농산물_11-12월'!$D:$D,$C673,'RAW_농산물_11-12월'!$A:$A,$E673))))</f>
        <v/>
      </c>
      <c r="G673" s="7" t="str">
        <f>IF($C673="","",IF('설정'!$B$3=0,"",CHOOSE('설정'!$B$3,SUMIFS('RAW_농산물_7월'!$G:$G,'RAW_농산물_7월'!$D:$D,$C673,'RAW_농산물_7월'!$A:$A,$E673),SUMIFS('RAW_농산물_8월'!$G:$G,'RAW_농산물_8월'!$D:$D,$C673,'RAW_농산물_8월'!$A:$A,$E673),SUMIFS('RAW_농산물_9월'!$G:$G,'RAW_농산물_9월'!$D:$D,$C673,'RAW_농산물_9월'!$A:$A,$E673),SUMIFS('RAW_농산물_10월'!$G:$G,'RAW_농산물_10월'!$D:$D,$C673,'RAW_농산물_10월'!$A:$A,$E673),SUMIFS('RAW_농산물_11-12월'!$G:$G,'RAW_농산물_11-12월'!$D:$D,$C673,'RAW_농산물_11-12월'!$A:$A,$E673))))</f>
        <v/>
      </c>
      <c r="H673" s="14" t="str">
        <f>IF($C673="","",IF('설정'!$B$3=0,"",CHOOSE('설정'!$B$3,SUMIFS('RAW_농산물_7월'!$H:$H,'RAW_농산물_7월'!$D:$D,$C673,'RAW_농산물_7월'!$A:$A,$E673),SUMIFS('RAW_농산물_8월'!$H:$H,'RAW_농산물_8월'!$D:$D,$C673,'RAW_농산물_8월'!$A:$A,$E673),SUMIFS('RAW_농산물_9월'!$H:$H,'RAW_농산물_9월'!$D:$D,$C673,'RAW_농산물_9월'!$A:$A,$E673),SUMIFS('RAW_농산물_10월'!$H:$H,'RAW_농산물_10월'!$D:$D,$C673,'RAW_농산물_10월'!$A:$A,$E673),SUMIFS('RAW_농산물_11-12월'!$H:$H,'RAW_농산물_11-12월'!$D:$D,$C673,'RAW_농산물_11-12월'!$A:$A,$E673))))</f>
        <v/>
      </c>
      <c r="I673" s="17" t="str">
        <f>IF($C673="","",IF(COUNTIFS('RAW_농산물_7월'!$D:$D,$C673,'RAW_농산물_7월'!$A:$A,$E673)&gt;0,"O",""))</f>
        <v/>
      </c>
      <c r="J673" s="17" t="str">
        <f>IF($C673="","",IF(COUNTIFS('RAW_농산물_8월'!$D:$D,$C673,'RAW_농산물_8월'!$A:$A,$E673)&gt;0,"O",""))</f>
        <v/>
      </c>
      <c r="K673" s="17" t="str">
        <f>IF($C673="","",IF(COUNTIFS('RAW_농산물_9월'!$D:$D,$C673,'RAW_농산물_9월'!$A:$A,$E673)&gt;0,"O",""))</f>
        <v/>
      </c>
      <c r="L673" s="17" t="str">
        <f>IF($C673="","",IF(COUNTIFS('RAW_농산물_10월'!$D:$D,$C673,'RAW_농산물_10월'!$A:$A,$E673)&gt;0,"O",""))</f>
        <v/>
      </c>
      <c r="M673" s="17" t="str">
        <f>IF($C673="","",IF(COUNTIFS('RAW_농산물_11-12월'!$D:$D,$C673,'RAW_농산물_11-12월'!$A:$A,$E673)&gt;0,"O",""))</f>
        <v/>
      </c>
      <c r="N673" s="7" t="str">
        <f>IF($C673="","",IF(COUNTA('RAW_농산물_7월'!$A:$A)&lt;=1,"",SUMIFS('RAW_농산물_7월'!$H:$H,'RAW_농산물_7월'!$D:$D,$C673,'RAW_농산물_7월'!$A:$A,$E673)))</f>
        <v/>
      </c>
      <c r="O673" s="7" t="str">
        <f>IF($C673="","",IF(COUNTA('RAW_농산물_8월'!$A:$A)&lt;=1,"",SUMIFS('RAW_농산물_8월'!$H:$H,'RAW_농산물_8월'!$D:$D,$C673,'RAW_농산물_8월'!$A:$A,$E673)-SUMIFS('RAW_농산물_7월'!$H:$H,'RAW_농산물_7월'!$D:$D,$C673,'RAW_농산물_7월'!$A:$A,$E673)))</f>
        <v/>
      </c>
      <c r="P673" s="7" t="str">
        <f>IF($C673="","",IF(COUNTA('RAW_농산물_9월'!$A:$A)&lt;=1,"",SUMIFS('RAW_농산물_9월'!$H:$H,'RAW_농산물_9월'!$D:$D,$C673,'RAW_농산물_9월'!$A:$A,$E673)-SUMIFS('RAW_농산물_8월'!$H:$H,'RAW_농산물_8월'!$D:$D,$C673,'RAW_농산물_8월'!$A:$A,$E673)))</f>
        <v/>
      </c>
      <c r="Q673" s="7" t="str">
        <f>IF($C673="","",IF(COUNTA('RAW_농산물_10월'!$A:$A)&lt;=1,"",SUMIFS('RAW_농산물_10월'!$H:$H,'RAW_농산물_10월'!$D:$D,$C673,'RAW_농산물_10월'!$A:$A,$E673)-SUMIFS('RAW_농산물_9월'!$H:$H,'RAW_농산물_9월'!$D:$D,$C673,'RAW_농산물_9월'!$A:$A,$E673)))</f>
        <v/>
      </c>
      <c r="R673" s="7" t="str">
        <f>IF($C673="","",IF(COUNTA('RAW_농산물_11-12월'!$A:$A)&lt;=1,"",SUMIFS('RAW_농산물_11-12월'!$H:$H,'RAW_농산물_11-12월'!$D:$D,$C673,'RAW_농산물_11-12월'!$A:$A,$E673)-SUMIFS('RAW_농산물_10월'!$H:$H,'RAW_농산물_10월'!$D:$D,$C673,'RAW_농산물_10월'!$A:$A,$E673)))</f>
        <v/>
      </c>
      <c r="S673" s="17" t="str">
        <f t="shared" si="4"/>
        <v/>
      </c>
      <c r="T673" s="17" t="str">
        <f t="shared" si="5"/>
        <v/>
      </c>
      <c r="U673" s="7">
        <f>IF($C673="",0,IF('설정'!$B$3=0,0,CHOOSE('설정'!$B$3,COUNTIFS('RAW_농산물_7월'!$D:$D,$C673,'RAW_농산물_7월'!$A:$A,$E673),COUNTIFS('RAW_농산물_8월'!$D:$D,$C673,'RAW_농산물_8월'!$A:$A,$E673),COUNTIFS('RAW_농산물_9월'!$D:$D,$C673,'RAW_농산물_9월'!$A:$A,$E673),COUNTIFS('RAW_농산물_10월'!$D:$D,$C673,'RAW_농산물_10월'!$A:$A,$E673),COUNTIFS('RAW_농산물_11-12월'!$D:$D,$C673,'RAW_농산물_11-12월'!$A:$A,$E673))))</f>
        <v>0</v>
      </c>
    </row>
    <row r="674" ht="15.75" customHeight="1">
      <c r="A674" s="5"/>
      <c r="B674" s="5"/>
      <c r="C674" s="5"/>
      <c r="D674" s="6"/>
      <c r="E674" s="5"/>
      <c r="F674" s="7" t="str">
        <f>IF($C674="","",IF('설정'!$B$3=0,"",CHOOSE('설정'!$B$3,SUMIFS('RAW_농산물_7월'!$F:$F,'RAW_농산물_7월'!$D:$D,$C674,'RAW_농산물_7월'!$A:$A,$E674),SUMIFS('RAW_농산물_8월'!$F:$F,'RAW_농산물_8월'!$D:$D,$C674,'RAW_농산물_8월'!$A:$A,$E674),SUMIFS('RAW_농산물_9월'!$F:$F,'RAW_농산물_9월'!$D:$D,$C674,'RAW_농산물_9월'!$A:$A,$E674),SUMIFS('RAW_농산물_10월'!$F:$F,'RAW_농산물_10월'!$D:$D,$C674,'RAW_농산물_10월'!$A:$A,$E674),SUMIFS('RAW_농산물_11-12월'!$F:$F,'RAW_농산물_11-12월'!$D:$D,$C674,'RAW_농산물_11-12월'!$A:$A,$E674))))</f>
        <v/>
      </c>
      <c r="G674" s="7" t="str">
        <f>IF($C674="","",IF('설정'!$B$3=0,"",CHOOSE('설정'!$B$3,SUMIFS('RAW_농산물_7월'!$G:$G,'RAW_농산물_7월'!$D:$D,$C674,'RAW_농산물_7월'!$A:$A,$E674),SUMIFS('RAW_농산물_8월'!$G:$G,'RAW_농산물_8월'!$D:$D,$C674,'RAW_농산물_8월'!$A:$A,$E674),SUMIFS('RAW_농산물_9월'!$G:$G,'RAW_농산물_9월'!$D:$D,$C674,'RAW_농산물_9월'!$A:$A,$E674),SUMIFS('RAW_농산물_10월'!$G:$G,'RAW_농산물_10월'!$D:$D,$C674,'RAW_농산물_10월'!$A:$A,$E674),SUMIFS('RAW_농산물_11-12월'!$G:$G,'RAW_농산물_11-12월'!$D:$D,$C674,'RAW_농산물_11-12월'!$A:$A,$E674))))</f>
        <v/>
      </c>
      <c r="H674" s="14" t="str">
        <f>IF($C674="","",IF('설정'!$B$3=0,"",CHOOSE('설정'!$B$3,SUMIFS('RAW_농산물_7월'!$H:$H,'RAW_농산물_7월'!$D:$D,$C674,'RAW_농산물_7월'!$A:$A,$E674),SUMIFS('RAW_농산물_8월'!$H:$H,'RAW_농산물_8월'!$D:$D,$C674,'RAW_농산물_8월'!$A:$A,$E674),SUMIFS('RAW_농산물_9월'!$H:$H,'RAW_농산물_9월'!$D:$D,$C674,'RAW_농산물_9월'!$A:$A,$E674),SUMIFS('RAW_농산물_10월'!$H:$H,'RAW_농산물_10월'!$D:$D,$C674,'RAW_농산물_10월'!$A:$A,$E674),SUMIFS('RAW_농산물_11-12월'!$H:$H,'RAW_농산물_11-12월'!$D:$D,$C674,'RAW_농산물_11-12월'!$A:$A,$E674))))</f>
        <v/>
      </c>
      <c r="I674" s="17" t="str">
        <f>IF($C674="","",IF(COUNTIFS('RAW_농산물_7월'!$D:$D,$C674,'RAW_농산물_7월'!$A:$A,$E674)&gt;0,"O",""))</f>
        <v/>
      </c>
      <c r="J674" s="17" t="str">
        <f>IF($C674="","",IF(COUNTIFS('RAW_농산물_8월'!$D:$D,$C674,'RAW_농산물_8월'!$A:$A,$E674)&gt;0,"O",""))</f>
        <v/>
      </c>
      <c r="K674" s="17" t="str">
        <f>IF($C674="","",IF(COUNTIFS('RAW_농산물_9월'!$D:$D,$C674,'RAW_농산물_9월'!$A:$A,$E674)&gt;0,"O",""))</f>
        <v/>
      </c>
      <c r="L674" s="17" t="str">
        <f>IF($C674="","",IF(COUNTIFS('RAW_농산물_10월'!$D:$D,$C674,'RAW_농산물_10월'!$A:$A,$E674)&gt;0,"O",""))</f>
        <v/>
      </c>
      <c r="M674" s="17" t="str">
        <f>IF($C674="","",IF(COUNTIFS('RAW_농산물_11-12월'!$D:$D,$C674,'RAW_농산물_11-12월'!$A:$A,$E674)&gt;0,"O",""))</f>
        <v/>
      </c>
      <c r="N674" s="7" t="str">
        <f>IF($C674="","",IF(COUNTA('RAW_농산물_7월'!$A:$A)&lt;=1,"",SUMIFS('RAW_농산물_7월'!$H:$H,'RAW_농산물_7월'!$D:$D,$C674,'RAW_농산물_7월'!$A:$A,$E674)))</f>
        <v/>
      </c>
      <c r="O674" s="7" t="str">
        <f>IF($C674="","",IF(COUNTA('RAW_농산물_8월'!$A:$A)&lt;=1,"",SUMIFS('RAW_농산물_8월'!$H:$H,'RAW_농산물_8월'!$D:$D,$C674,'RAW_농산물_8월'!$A:$A,$E674)-SUMIFS('RAW_농산물_7월'!$H:$H,'RAW_농산물_7월'!$D:$D,$C674,'RAW_농산물_7월'!$A:$A,$E674)))</f>
        <v/>
      </c>
      <c r="P674" s="7" t="str">
        <f>IF($C674="","",IF(COUNTA('RAW_농산물_9월'!$A:$A)&lt;=1,"",SUMIFS('RAW_농산물_9월'!$H:$H,'RAW_농산물_9월'!$D:$D,$C674,'RAW_농산물_9월'!$A:$A,$E674)-SUMIFS('RAW_농산물_8월'!$H:$H,'RAW_농산물_8월'!$D:$D,$C674,'RAW_농산물_8월'!$A:$A,$E674)))</f>
        <v/>
      </c>
      <c r="Q674" s="7" t="str">
        <f>IF($C674="","",IF(COUNTA('RAW_농산물_10월'!$A:$A)&lt;=1,"",SUMIFS('RAW_농산물_10월'!$H:$H,'RAW_농산물_10월'!$D:$D,$C674,'RAW_농산물_10월'!$A:$A,$E674)-SUMIFS('RAW_농산물_9월'!$H:$H,'RAW_농산물_9월'!$D:$D,$C674,'RAW_농산물_9월'!$A:$A,$E674)))</f>
        <v/>
      </c>
      <c r="R674" s="7" t="str">
        <f>IF($C674="","",IF(COUNTA('RAW_농산물_11-12월'!$A:$A)&lt;=1,"",SUMIFS('RAW_농산물_11-12월'!$H:$H,'RAW_농산물_11-12월'!$D:$D,$C674,'RAW_농산물_11-12월'!$A:$A,$E674)-SUMIFS('RAW_농산물_10월'!$H:$H,'RAW_농산물_10월'!$D:$D,$C674,'RAW_농산물_10월'!$A:$A,$E674)))</f>
        <v/>
      </c>
      <c r="S674" s="17" t="str">
        <f t="shared" si="4"/>
        <v/>
      </c>
      <c r="T674" s="17" t="str">
        <f t="shared" si="5"/>
        <v/>
      </c>
      <c r="U674" s="7">
        <f>IF($C674="",0,IF('설정'!$B$3=0,0,CHOOSE('설정'!$B$3,COUNTIFS('RAW_농산물_7월'!$D:$D,$C674,'RAW_농산물_7월'!$A:$A,$E674),COUNTIFS('RAW_농산물_8월'!$D:$D,$C674,'RAW_농산물_8월'!$A:$A,$E674),COUNTIFS('RAW_농산물_9월'!$D:$D,$C674,'RAW_농산물_9월'!$A:$A,$E674),COUNTIFS('RAW_농산물_10월'!$D:$D,$C674,'RAW_농산물_10월'!$A:$A,$E674),COUNTIFS('RAW_농산물_11-12월'!$D:$D,$C674,'RAW_농산물_11-12월'!$A:$A,$E674))))</f>
        <v>0</v>
      </c>
    </row>
    <row r="675" ht="15.75" customHeight="1">
      <c r="A675" s="5"/>
      <c r="B675" s="5"/>
      <c r="C675" s="5"/>
      <c r="D675" s="6"/>
      <c r="E675" s="5"/>
      <c r="F675" s="7" t="str">
        <f>IF($C675="","",IF('설정'!$B$3=0,"",CHOOSE('설정'!$B$3,SUMIFS('RAW_농산물_7월'!$F:$F,'RAW_농산물_7월'!$D:$D,$C675,'RAW_농산물_7월'!$A:$A,$E675),SUMIFS('RAW_농산물_8월'!$F:$F,'RAW_농산물_8월'!$D:$D,$C675,'RAW_농산물_8월'!$A:$A,$E675),SUMIFS('RAW_농산물_9월'!$F:$F,'RAW_농산물_9월'!$D:$D,$C675,'RAW_농산물_9월'!$A:$A,$E675),SUMIFS('RAW_농산물_10월'!$F:$F,'RAW_농산물_10월'!$D:$D,$C675,'RAW_농산물_10월'!$A:$A,$E675),SUMIFS('RAW_농산물_11-12월'!$F:$F,'RAW_농산물_11-12월'!$D:$D,$C675,'RAW_농산물_11-12월'!$A:$A,$E675))))</f>
        <v/>
      </c>
      <c r="G675" s="7" t="str">
        <f>IF($C675="","",IF('설정'!$B$3=0,"",CHOOSE('설정'!$B$3,SUMIFS('RAW_농산물_7월'!$G:$G,'RAW_농산물_7월'!$D:$D,$C675,'RAW_농산물_7월'!$A:$A,$E675),SUMIFS('RAW_농산물_8월'!$G:$G,'RAW_농산물_8월'!$D:$D,$C675,'RAW_농산물_8월'!$A:$A,$E675),SUMIFS('RAW_농산물_9월'!$G:$G,'RAW_농산물_9월'!$D:$D,$C675,'RAW_농산물_9월'!$A:$A,$E675),SUMIFS('RAW_농산물_10월'!$G:$G,'RAW_농산물_10월'!$D:$D,$C675,'RAW_농산물_10월'!$A:$A,$E675),SUMIFS('RAW_농산물_11-12월'!$G:$G,'RAW_농산물_11-12월'!$D:$D,$C675,'RAW_농산물_11-12월'!$A:$A,$E675))))</f>
        <v/>
      </c>
      <c r="H675" s="14" t="str">
        <f>IF($C675="","",IF('설정'!$B$3=0,"",CHOOSE('설정'!$B$3,SUMIFS('RAW_농산물_7월'!$H:$H,'RAW_농산물_7월'!$D:$D,$C675,'RAW_농산물_7월'!$A:$A,$E675),SUMIFS('RAW_농산물_8월'!$H:$H,'RAW_농산물_8월'!$D:$D,$C675,'RAW_농산물_8월'!$A:$A,$E675),SUMIFS('RAW_농산물_9월'!$H:$H,'RAW_농산물_9월'!$D:$D,$C675,'RAW_농산물_9월'!$A:$A,$E675),SUMIFS('RAW_농산물_10월'!$H:$H,'RAW_농산물_10월'!$D:$D,$C675,'RAW_농산물_10월'!$A:$A,$E675),SUMIFS('RAW_농산물_11-12월'!$H:$H,'RAW_농산물_11-12월'!$D:$D,$C675,'RAW_농산물_11-12월'!$A:$A,$E675))))</f>
        <v/>
      </c>
      <c r="I675" s="17" t="str">
        <f>IF($C675="","",IF(COUNTIFS('RAW_농산물_7월'!$D:$D,$C675,'RAW_농산물_7월'!$A:$A,$E675)&gt;0,"O",""))</f>
        <v/>
      </c>
      <c r="J675" s="17" t="str">
        <f>IF($C675="","",IF(COUNTIFS('RAW_농산물_8월'!$D:$D,$C675,'RAW_농산물_8월'!$A:$A,$E675)&gt;0,"O",""))</f>
        <v/>
      </c>
      <c r="K675" s="17" t="str">
        <f>IF($C675="","",IF(COUNTIFS('RAW_농산물_9월'!$D:$D,$C675,'RAW_농산물_9월'!$A:$A,$E675)&gt;0,"O",""))</f>
        <v/>
      </c>
      <c r="L675" s="17" t="str">
        <f>IF($C675="","",IF(COUNTIFS('RAW_농산물_10월'!$D:$D,$C675,'RAW_농산물_10월'!$A:$A,$E675)&gt;0,"O",""))</f>
        <v/>
      </c>
      <c r="M675" s="17" t="str">
        <f>IF($C675="","",IF(COUNTIFS('RAW_농산물_11-12월'!$D:$D,$C675,'RAW_농산물_11-12월'!$A:$A,$E675)&gt;0,"O",""))</f>
        <v/>
      </c>
      <c r="N675" s="7" t="str">
        <f>IF($C675="","",IF(COUNTA('RAW_농산물_7월'!$A:$A)&lt;=1,"",SUMIFS('RAW_농산물_7월'!$H:$H,'RAW_농산물_7월'!$D:$D,$C675,'RAW_농산물_7월'!$A:$A,$E675)))</f>
        <v/>
      </c>
      <c r="O675" s="7" t="str">
        <f>IF($C675="","",IF(COUNTA('RAW_농산물_8월'!$A:$A)&lt;=1,"",SUMIFS('RAW_농산물_8월'!$H:$H,'RAW_농산물_8월'!$D:$D,$C675,'RAW_농산물_8월'!$A:$A,$E675)-SUMIFS('RAW_농산물_7월'!$H:$H,'RAW_농산물_7월'!$D:$D,$C675,'RAW_농산물_7월'!$A:$A,$E675)))</f>
        <v/>
      </c>
      <c r="P675" s="7" t="str">
        <f>IF($C675="","",IF(COUNTA('RAW_농산물_9월'!$A:$A)&lt;=1,"",SUMIFS('RAW_농산물_9월'!$H:$H,'RAW_농산물_9월'!$D:$D,$C675,'RAW_농산물_9월'!$A:$A,$E675)-SUMIFS('RAW_농산물_8월'!$H:$H,'RAW_농산물_8월'!$D:$D,$C675,'RAW_농산물_8월'!$A:$A,$E675)))</f>
        <v/>
      </c>
      <c r="Q675" s="7" t="str">
        <f>IF($C675="","",IF(COUNTA('RAW_농산물_10월'!$A:$A)&lt;=1,"",SUMIFS('RAW_농산물_10월'!$H:$H,'RAW_농산물_10월'!$D:$D,$C675,'RAW_농산물_10월'!$A:$A,$E675)-SUMIFS('RAW_농산물_9월'!$H:$H,'RAW_농산물_9월'!$D:$D,$C675,'RAW_농산물_9월'!$A:$A,$E675)))</f>
        <v/>
      </c>
      <c r="R675" s="7" t="str">
        <f>IF($C675="","",IF(COUNTA('RAW_농산물_11-12월'!$A:$A)&lt;=1,"",SUMIFS('RAW_농산물_11-12월'!$H:$H,'RAW_농산물_11-12월'!$D:$D,$C675,'RAW_농산물_11-12월'!$A:$A,$E675)-SUMIFS('RAW_농산물_10월'!$H:$H,'RAW_농산물_10월'!$D:$D,$C675,'RAW_농산물_10월'!$A:$A,$E675)))</f>
        <v/>
      </c>
      <c r="S675" s="17" t="str">
        <f t="shared" si="4"/>
        <v/>
      </c>
      <c r="T675" s="17" t="str">
        <f t="shared" si="5"/>
        <v/>
      </c>
      <c r="U675" s="7">
        <f>IF($C675="",0,IF('설정'!$B$3=0,0,CHOOSE('설정'!$B$3,COUNTIFS('RAW_농산물_7월'!$D:$D,$C675,'RAW_농산물_7월'!$A:$A,$E675),COUNTIFS('RAW_농산물_8월'!$D:$D,$C675,'RAW_농산물_8월'!$A:$A,$E675),COUNTIFS('RAW_농산물_9월'!$D:$D,$C675,'RAW_농산물_9월'!$A:$A,$E675),COUNTIFS('RAW_농산물_10월'!$D:$D,$C675,'RAW_농산물_10월'!$A:$A,$E675),COUNTIFS('RAW_농산물_11-12월'!$D:$D,$C675,'RAW_농산물_11-12월'!$A:$A,$E675))))</f>
        <v>0</v>
      </c>
    </row>
    <row r="676" ht="15.75" customHeight="1">
      <c r="A676" s="5"/>
      <c r="B676" s="5"/>
      <c r="C676" s="5"/>
      <c r="D676" s="6"/>
      <c r="E676" s="5"/>
      <c r="F676" s="7" t="str">
        <f>IF($C676="","",IF('설정'!$B$3=0,"",CHOOSE('설정'!$B$3,SUMIFS('RAW_농산물_7월'!$F:$F,'RAW_농산물_7월'!$D:$D,$C676,'RAW_농산물_7월'!$A:$A,$E676),SUMIFS('RAW_농산물_8월'!$F:$F,'RAW_농산물_8월'!$D:$D,$C676,'RAW_농산물_8월'!$A:$A,$E676),SUMIFS('RAW_농산물_9월'!$F:$F,'RAW_농산물_9월'!$D:$D,$C676,'RAW_농산물_9월'!$A:$A,$E676),SUMIFS('RAW_농산물_10월'!$F:$F,'RAW_농산물_10월'!$D:$D,$C676,'RAW_농산물_10월'!$A:$A,$E676),SUMIFS('RAW_농산물_11-12월'!$F:$F,'RAW_농산물_11-12월'!$D:$D,$C676,'RAW_농산물_11-12월'!$A:$A,$E676))))</f>
        <v/>
      </c>
      <c r="G676" s="7" t="str">
        <f>IF($C676="","",IF('설정'!$B$3=0,"",CHOOSE('설정'!$B$3,SUMIFS('RAW_농산물_7월'!$G:$G,'RAW_농산물_7월'!$D:$D,$C676,'RAW_농산물_7월'!$A:$A,$E676),SUMIFS('RAW_농산물_8월'!$G:$G,'RAW_농산물_8월'!$D:$D,$C676,'RAW_농산물_8월'!$A:$A,$E676),SUMIFS('RAW_농산물_9월'!$G:$G,'RAW_농산물_9월'!$D:$D,$C676,'RAW_농산물_9월'!$A:$A,$E676),SUMIFS('RAW_농산물_10월'!$G:$G,'RAW_농산물_10월'!$D:$D,$C676,'RAW_농산물_10월'!$A:$A,$E676),SUMIFS('RAW_농산물_11-12월'!$G:$G,'RAW_농산물_11-12월'!$D:$D,$C676,'RAW_농산물_11-12월'!$A:$A,$E676))))</f>
        <v/>
      </c>
      <c r="H676" s="14" t="str">
        <f>IF($C676="","",IF('설정'!$B$3=0,"",CHOOSE('설정'!$B$3,SUMIFS('RAW_농산물_7월'!$H:$H,'RAW_농산물_7월'!$D:$D,$C676,'RAW_농산물_7월'!$A:$A,$E676),SUMIFS('RAW_농산물_8월'!$H:$H,'RAW_농산물_8월'!$D:$D,$C676,'RAW_농산물_8월'!$A:$A,$E676),SUMIFS('RAW_농산물_9월'!$H:$H,'RAW_농산물_9월'!$D:$D,$C676,'RAW_농산물_9월'!$A:$A,$E676),SUMIFS('RAW_농산물_10월'!$H:$H,'RAW_농산물_10월'!$D:$D,$C676,'RAW_농산물_10월'!$A:$A,$E676),SUMIFS('RAW_농산물_11-12월'!$H:$H,'RAW_농산물_11-12월'!$D:$D,$C676,'RAW_농산물_11-12월'!$A:$A,$E676))))</f>
        <v/>
      </c>
      <c r="I676" s="17" t="str">
        <f>IF($C676="","",IF(COUNTIFS('RAW_농산물_7월'!$D:$D,$C676,'RAW_농산물_7월'!$A:$A,$E676)&gt;0,"O",""))</f>
        <v/>
      </c>
      <c r="J676" s="17" t="str">
        <f>IF($C676="","",IF(COUNTIFS('RAW_농산물_8월'!$D:$D,$C676,'RAW_농산물_8월'!$A:$A,$E676)&gt;0,"O",""))</f>
        <v/>
      </c>
      <c r="K676" s="17" t="str">
        <f>IF($C676="","",IF(COUNTIFS('RAW_농산물_9월'!$D:$D,$C676,'RAW_농산물_9월'!$A:$A,$E676)&gt;0,"O",""))</f>
        <v/>
      </c>
      <c r="L676" s="17" t="str">
        <f>IF($C676="","",IF(COUNTIFS('RAW_농산물_10월'!$D:$D,$C676,'RAW_농산물_10월'!$A:$A,$E676)&gt;0,"O",""))</f>
        <v/>
      </c>
      <c r="M676" s="17" t="str">
        <f>IF($C676="","",IF(COUNTIFS('RAW_농산물_11-12월'!$D:$D,$C676,'RAW_농산물_11-12월'!$A:$A,$E676)&gt;0,"O",""))</f>
        <v/>
      </c>
      <c r="N676" s="7" t="str">
        <f>IF($C676="","",IF(COUNTA('RAW_농산물_7월'!$A:$A)&lt;=1,"",SUMIFS('RAW_농산물_7월'!$H:$H,'RAW_농산물_7월'!$D:$D,$C676,'RAW_농산물_7월'!$A:$A,$E676)))</f>
        <v/>
      </c>
      <c r="O676" s="7" t="str">
        <f>IF($C676="","",IF(COUNTA('RAW_농산물_8월'!$A:$A)&lt;=1,"",SUMIFS('RAW_농산물_8월'!$H:$H,'RAW_농산물_8월'!$D:$D,$C676,'RAW_농산물_8월'!$A:$A,$E676)-SUMIFS('RAW_농산물_7월'!$H:$H,'RAW_농산물_7월'!$D:$D,$C676,'RAW_농산물_7월'!$A:$A,$E676)))</f>
        <v/>
      </c>
      <c r="P676" s="7" t="str">
        <f>IF($C676="","",IF(COUNTA('RAW_농산물_9월'!$A:$A)&lt;=1,"",SUMIFS('RAW_농산물_9월'!$H:$H,'RAW_농산물_9월'!$D:$D,$C676,'RAW_농산물_9월'!$A:$A,$E676)-SUMIFS('RAW_농산물_8월'!$H:$H,'RAW_농산물_8월'!$D:$D,$C676,'RAW_농산물_8월'!$A:$A,$E676)))</f>
        <v/>
      </c>
      <c r="Q676" s="7" t="str">
        <f>IF($C676="","",IF(COUNTA('RAW_농산물_10월'!$A:$A)&lt;=1,"",SUMIFS('RAW_농산물_10월'!$H:$H,'RAW_농산물_10월'!$D:$D,$C676,'RAW_농산물_10월'!$A:$A,$E676)-SUMIFS('RAW_농산물_9월'!$H:$H,'RAW_농산물_9월'!$D:$D,$C676,'RAW_농산물_9월'!$A:$A,$E676)))</f>
        <v/>
      </c>
      <c r="R676" s="7" t="str">
        <f>IF($C676="","",IF(COUNTA('RAW_농산물_11-12월'!$A:$A)&lt;=1,"",SUMIFS('RAW_농산물_11-12월'!$H:$H,'RAW_농산물_11-12월'!$D:$D,$C676,'RAW_농산물_11-12월'!$A:$A,$E676)-SUMIFS('RAW_농산물_10월'!$H:$H,'RAW_농산물_10월'!$D:$D,$C676,'RAW_농산물_10월'!$A:$A,$E676)))</f>
        <v/>
      </c>
      <c r="S676" s="17" t="str">
        <f t="shared" si="4"/>
        <v/>
      </c>
      <c r="T676" s="17" t="str">
        <f t="shared" si="5"/>
        <v/>
      </c>
      <c r="U676" s="7">
        <f>IF($C676="",0,IF('설정'!$B$3=0,0,CHOOSE('설정'!$B$3,COUNTIFS('RAW_농산물_7월'!$D:$D,$C676,'RAW_농산물_7월'!$A:$A,$E676),COUNTIFS('RAW_농산물_8월'!$D:$D,$C676,'RAW_농산물_8월'!$A:$A,$E676),COUNTIFS('RAW_농산물_9월'!$D:$D,$C676,'RAW_농산물_9월'!$A:$A,$E676),COUNTIFS('RAW_농산물_10월'!$D:$D,$C676,'RAW_농산물_10월'!$A:$A,$E676),COUNTIFS('RAW_농산물_11-12월'!$D:$D,$C676,'RAW_농산물_11-12월'!$A:$A,$E676))))</f>
        <v>0</v>
      </c>
    </row>
    <row r="677" ht="15.75" customHeight="1">
      <c r="A677" s="5"/>
      <c r="B677" s="5"/>
      <c r="C677" s="5"/>
      <c r="D677" s="6"/>
      <c r="E677" s="5"/>
      <c r="F677" s="7" t="str">
        <f>IF($C677="","",IF('설정'!$B$3=0,"",CHOOSE('설정'!$B$3,SUMIFS('RAW_농산물_7월'!$F:$F,'RAW_농산물_7월'!$D:$D,$C677,'RAW_농산물_7월'!$A:$A,$E677),SUMIFS('RAW_농산물_8월'!$F:$F,'RAW_농산물_8월'!$D:$D,$C677,'RAW_농산물_8월'!$A:$A,$E677),SUMIFS('RAW_농산물_9월'!$F:$F,'RAW_농산물_9월'!$D:$D,$C677,'RAW_농산물_9월'!$A:$A,$E677),SUMIFS('RAW_농산물_10월'!$F:$F,'RAW_농산물_10월'!$D:$D,$C677,'RAW_농산물_10월'!$A:$A,$E677),SUMIFS('RAW_농산물_11-12월'!$F:$F,'RAW_농산물_11-12월'!$D:$D,$C677,'RAW_농산물_11-12월'!$A:$A,$E677))))</f>
        <v/>
      </c>
      <c r="G677" s="7" t="str">
        <f>IF($C677="","",IF('설정'!$B$3=0,"",CHOOSE('설정'!$B$3,SUMIFS('RAW_농산물_7월'!$G:$G,'RAW_농산물_7월'!$D:$D,$C677,'RAW_농산물_7월'!$A:$A,$E677),SUMIFS('RAW_농산물_8월'!$G:$G,'RAW_농산물_8월'!$D:$D,$C677,'RAW_농산물_8월'!$A:$A,$E677),SUMIFS('RAW_농산물_9월'!$G:$G,'RAW_농산물_9월'!$D:$D,$C677,'RAW_농산물_9월'!$A:$A,$E677),SUMIFS('RAW_농산물_10월'!$G:$G,'RAW_농산물_10월'!$D:$D,$C677,'RAW_농산물_10월'!$A:$A,$E677),SUMIFS('RAW_농산물_11-12월'!$G:$G,'RAW_농산물_11-12월'!$D:$D,$C677,'RAW_농산물_11-12월'!$A:$A,$E677))))</f>
        <v/>
      </c>
      <c r="H677" s="14" t="str">
        <f>IF($C677="","",IF('설정'!$B$3=0,"",CHOOSE('설정'!$B$3,SUMIFS('RAW_농산물_7월'!$H:$H,'RAW_농산물_7월'!$D:$D,$C677,'RAW_농산물_7월'!$A:$A,$E677),SUMIFS('RAW_농산물_8월'!$H:$H,'RAW_농산물_8월'!$D:$D,$C677,'RAW_농산물_8월'!$A:$A,$E677),SUMIFS('RAW_농산물_9월'!$H:$H,'RAW_농산물_9월'!$D:$D,$C677,'RAW_농산물_9월'!$A:$A,$E677),SUMIFS('RAW_농산물_10월'!$H:$H,'RAW_농산물_10월'!$D:$D,$C677,'RAW_농산물_10월'!$A:$A,$E677),SUMIFS('RAW_농산물_11-12월'!$H:$H,'RAW_농산물_11-12월'!$D:$D,$C677,'RAW_농산물_11-12월'!$A:$A,$E677))))</f>
        <v/>
      </c>
      <c r="I677" s="17" t="str">
        <f>IF($C677="","",IF(COUNTIFS('RAW_농산물_7월'!$D:$D,$C677,'RAW_농산물_7월'!$A:$A,$E677)&gt;0,"O",""))</f>
        <v/>
      </c>
      <c r="J677" s="17" t="str">
        <f>IF($C677="","",IF(COUNTIFS('RAW_농산물_8월'!$D:$D,$C677,'RAW_농산물_8월'!$A:$A,$E677)&gt;0,"O",""))</f>
        <v/>
      </c>
      <c r="K677" s="17" t="str">
        <f>IF($C677="","",IF(COUNTIFS('RAW_농산물_9월'!$D:$D,$C677,'RAW_농산물_9월'!$A:$A,$E677)&gt;0,"O",""))</f>
        <v/>
      </c>
      <c r="L677" s="17" t="str">
        <f>IF($C677="","",IF(COUNTIFS('RAW_농산물_10월'!$D:$D,$C677,'RAW_농산물_10월'!$A:$A,$E677)&gt;0,"O",""))</f>
        <v/>
      </c>
      <c r="M677" s="17" t="str">
        <f>IF($C677="","",IF(COUNTIFS('RAW_농산물_11-12월'!$D:$D,$C677,'RAW_농산물_11-12월'!$A:$A,$E677)&gt;0,"O",""))</f>
        <v/>
      </c>
      <c r="N677" s="7" t="str">
        <f>IF($C677="","",IF(COUNTA('RAW_농산물_7월'!$A:$A)&lt;=1,"",SUMIFS('RAW_농산물_7월'!$H:$H,'RAW_농산물_7월'!$D:$D,$C677,'RAW_농산물_7월'!$A:$A,$E677)))</f>
        <v/>
      </c>
      <c r="O677" s="7" t="str">
        <f>IF($C677="","",IF(COUNTA('RAW_농산물_8월'!$A:$A)&lt;=1,"",SUMIFS('RAW_농산물_8월'!$H:$H,'RAW_농산물_8월'!$D:$D,$C677,'RAW_농산물_8월'!$A:$A,$E677)-SUMIFS('RAW_농산물_7월'!$H:$H,'RAW_농산물_7월'!$D:$D,$C677,'RAW_농산물_7월'!$A:$A,$E677)))</f>
        <v/>
      </c>
      <c r="P677" s="7" t="str">
        <f>IF($C677="","",IF(COUNTA('RAW_농산물_9월'!$A:$A)&lt;=1,"",SUMIFS('RAW_농산물_9월'!$H:$H,'RAW_농산물_9월'!$D:$D,$C677,'RAW_농산물_9월'!$A:$A,$E677)-SUMIFS('RAW_농산물_8월'!$H:$H,'RAW_농산물_8월'!$D:$D,$C677,'RAW_농산물_8월'!$A:$A,$E677)))</f>
        <v/>
      </c>
      <c r="Q677" s="7" t="str">
        <f>IF($C677="","",IF(COUNTA('RAW_농산물_10월'!$A:$A)&lt;=1,"",SUMIFS('RAW_농산물_10월'!$H:$H,'RAW_농산물_10월'!$D:$D,$C677,'RAW_농산물_10월'!$A:$A,$E677)-SUMIFS('RAW_농산물_9월'!$H:$H,'RAW_농산물_9월'!$D:$D,$C677,'RAW_농산물_9월'!$A:$A,$E677)))</f>
        <v/>
      </c>
      <c r="R677" s="7" t="str">
        <f>IF($C677="","",IF(COUNTA('RAW_농산물_11-12월'!$A:$A)&lt;=1,"",SUMIFS('RAW_농산물_11-12월'!$H:$H,'RAW_농산물_11-12월'!$D:$D,$C677,'RAW_농산물_11-12월'!$A:$A,$E677)-SUMIFS('RAW_농산물_10월'!$H:$H,'RAW_농산물_10월'!$D:$D,$C677,'RAW_농산물_10월'!$A:$A,$E677)))</f>
        <v/>
      </c>
      <c r="S677" s="17" t="str">
        <f t="shared" si="4"/>
        <v/>
      </c>
      <c r="T677" s="17" t="str">
        <f t="shared" si="5"/>
        <v/>
      </c>
      <c r="U677" s="7">
        <f>IF($C677="",0,IF('설정'!$B$3=0,0,CHOOSE('설정'!$B$3,COUNTIFS('RAW_농산물_7월'!$D:$D,$C677,'RAW_농산물_7월'!$A:$A,$E677),COUNTIFS('RAW_농산물_8월'!$D:$D,$C677,'RAW_농산물_8월'!$A:$A,$E677),COUNTIFS('RAW_농산물_9월'!$D:$D,$C677,'RAW_농산물_9월'!$A:$A,$E677),COUNTIFS('RAW_농산물_10월'!$D:$D,$C677,'RAW_농산물_10월'!$A:$A,$E677),COUNTIFS('RAW_농산물_11-12월'!$D:$D,$C677,'RAW_농산물_11-12월'!$A:$A,$E677))))</f>
        <v>0</v>
      </c>
    </row>
    <row r="678" ht="15.75" customHeight="1">
      <c r="A678" s="5"/>
      <c r="B678" s="5"/>
      <c r="C678" s="5"/>
      <c r="D678" s="6"/>
      <c r="E678" s="5"/>
      <c r="F678" s="7" t="str">
        <f>IF($C678="","",IF('설정'!$B$3=0,"",CHOOSE('설정'!$B$3,SUMIFS('RAW_농산물_7월'!$F:$F,'RAW_농산물_7월'!$D:$D,$C678,'RAW_농산물_7월'!$A:$A,$E678),SUMIFS('RAW_농산물_8월'!$F:$F,'RAW_농산물_8월'!$D:$D,$C678,'RAW_농산물_8월'!$A:$A,$E678),SUMIFS('RAW_농산물_9월'!$F:$F,'RAW_농산물_9월'!$D:$D,$C678,'RAW_농산물_9월'!$A:$A,$E678),SUMIFS('RAW_농산물_10월'!$F:$F,'RAW_농산물_10월'!$D:$D,$C678,'RAW_농산물_10월'!$A:$A,$E678),SUMIFS('RAW_농산물_11-12월'!$F:$F,'RAW_농산물_11-12월'!$D:$D,$C678,'RAW_농산물_11-12월'!$A:$A,$E678))))</f>
        <v/>
      </c>
      <c r="G678" s="7" t="str">
        <f>IF($C678="","",IF('설정'!$B$3=0,"",CHOOSE('설정'!$B$3,SUMIFS('RAW_농산물_7월'!$G:$G,'RAW_농산물_7월'!$D:$D,$C678,'RAW_농산물_7월'!$A:$A,$E678),SUMIFS('RAW_농산물_8월'!$G:$G,'RAW_농산물_8월'!$D:$D,$C678,'RAW_농산물_8월'!$A:$A,$E678),SUMIFS('RAW_농산물_9월'!$G:$G,'RAW_농산물_9월'!$D:$D,$C678,'RAW_농산물_9월'!$A:$A,$E678),SUMIFS('RAW_농산물_10월'!$G:$G,'RAW_농산물_10월'!$D:$D,$C678,'RAW_농산물_10월'!$A:$A,$E678),SUMIFS('RAW_농산물_11-12월'!$G:$G,'RAW_농산물_11-12월'!$D:$D,$C678,'RAW_농산물_11-12월'!$A:$A,$E678))))</f>
        <v/>
      </c>
      <c r="H678" s="14" t="str">
        <f>IF($C678="","",IF('설정'!$B$3=0,"",CHOOSE('설정'!$B$3,SUMIFS('RAW_농산물_7월'!$H:$H,'RAW_농산물_7월'!$D:$D,$C678,'RAW_농산물_7월'!$A:$A,$E678),SUMIFS('RAW_농산물_8월'!$H:$H,'RAW_농산물_8월'!$D:$D,$C678,'RAW_농산물_8월'!$A:$A,$E678),SUMIFS('RAW_농산물_9월'!$H:$H,'RAW_농산물_9월'!$D:$D,$C678,'RAW_농산물_9월'!$A:$A,$E678),SUMIFS('RAW_농산물_10월'!$H:$H,'RAW_농산물_10월'!$D:$D,$C678,'RAW_농산물_10월'!$A:$A,$E678),SUMIFS('RAW_농산물_11-12월'!$H:$H,'RAW_농산물_11-12월'!$D:$D,$C678,'RAW_농산물_11-12월'!$A:$A,$E678))))</f>
        <v/>
      </c>
      <c r="I678" s="17" t="str">
        <f>IF($C678="","",IF(COUNTIFS('RAW_농산물_7월'!$D:$D,$C678,'RAW_농산물_7월'!$A:$A,$E678)&gt;0,"O",""))</f>
        <v/>
      </c>
      <c r="J678" s="17" t="str">
        <f>IF($C678="","",IF(COUNTIFS('RAW_농산물_8월'!$D:$D,$C678,'RAW_농산물_8월'!$A:$A,$E678)&gt;0,"O",""))</f>
        <v/>
      </c>
      <c r="K678" s="17" t="str">
        <f>IF($C678="","",IF(COUNTIFS('RAW_농산물_9월'!$D:$D,$C678,'RAW_농산물_9월'!$A:$A,$E678)&gt;0,"O",""))</f>
        <v/>
      </c>
      <c r="L678" s="17" t="str">
        <f>IF($C678="","",IF(COUNTIFS('RAW_농산물_10월'!$D:$D,$C678,'RAW_농산물_10월'!$A:$A,$E678)&gt;0,"O",""))</f>
        <v/>
      </c>
      <c r="M678" s="17" t="str">
        <f>IF($C678="","",IF(COUNTIFS('RAW_농산물_11-12월'!$D:$D,$C678,'RAW_농산물_11-12월'!$A:$A,$E678)&gt;0,"O",""))</f>
        <v/>
      </c>
      <c r="N678" s="7" t="str">
        <f>IF($C678="","",IF(COUNTA('RAW_농산물_7월'!$A:$A)&lt;=1,"",SUMIFS('RAW_농산물_7월'!$H:$H,'RAW_농산물_7월'!$D:$D,$C678,'RAW_농산물_7월'!$A:$A,$E678)))</f>
        <v/>
      </c>
      <c r="O678" s="7" t="str">
        <f>IF($C678="","",IF(COUNTA('RAW_농산물_8월'!$A:$A)&lt;=1,"",SUMIFS('RAW_농산물_8월'!$H:$H,'RAW_농산물_8월'!$D:$D,$C678,'RAW_농산물_8월'!$A:$A,$E678)-SUMIFS('RAW_농산물_7월'!$H:$H,'RAW_농산물_7월'!$D:$D,$C678,'RAW_농산물_7월'!$A:$A,$E678)))</f>
        <v/>
      </c>
      <c r="P678" s="7" t="str">
        <f>IF($C678="","",IF(COUNTA('RAW_농산물_9월'!$A:$A)&lt;=1,"",SUMIFS('RAW_농산물_9월'!$H:$H,'RAW_농산물_9월'!$D:$D,$C678,'RAW_농산물_9월'!$A:$A,$E678)-SUMIFS('RAW_농산물_8월'!$H:$H,'RAW_농산물_8월'!$D:$D,$C678,'RAW_농산물_8월'!$A:$A,$E678)))</f>
        <v/>
      </c>
      <c r="Q678" s="7" t="str">
        <f>IF($C678="","",IF(COUNTA('RAW_농산물_10월'!$A:$A)&lt;=1,"",SUMIFS('RAW_농산물_10월'!$H:$H,'RAW_농산물_10월'!$D:$D,$C678,'RAW_농산물_10월'!$A:$A,$E678)-SUMIFS('RAW_농산물_9월'!$H:$H,'RAW_농산물_9월'!$D:$D,$C678,'RAW_농산물_9월'!$A:$A,$E678)))</f>
        <v/>
      </c>
      <c r="R678" s="7" t="str">
        <f>IF($C678="","",IF(COUNTA('RAW_농산물_11-12월'!$A:$A)&lt;=1,"",SUMIFS('RAW_농산물_11-12월'!$H:$H,'RAW_농산물_11-12월'!$D:$D,$C678,'RAW_농산물_11-12월'!$A:$A,$E678)-SUMIFS('RAW_농산물_10월'!$H:$H,'RAW_농산물_10월'!$D:$D,$C678,'RAW_농산물_10월'!$A:$A,$E678)))</f>
        <v/>
      </c>
      <c r="S678" s="17" t="str">
        <f t="shared" si="4"/>
        <v/>
      </c>
      <c r="T678" s="17" t="str">
        <f t="shared" si="5"/>
        <v/>
      </c>
      <c r="U678" s="7">
        <f>IF($C678="",0,IF('설정'!$B$3=0,0,CHOOSE('설정'!$B$3,COUNTIFS('RAW_농산물_7월'!$D:$D,$C678,'RAW_농산물_7월'!$A:$A,$E678),COUNTIFS('RAW_농산물_8월'!$D:$D,$C678,'RAW_농산물_8월'!$A:$A,$E678),COUNTIFS('RAW_농산물_9월'!$D:$D,$C678,'RAW_농산물_9월'!$A:$A,$E678),COUNTIFS('RAW_농산물_10월'!$D:$D,$C678,'RAW_농산물_10월'!$A:$A,$E678),COUNTIFS('RAW_농산물_11-12월'!$D:$D,$C678,'RAW_농산물_11-12월'!$A:$A,$E678))))</f>
        <v>0</v>
      </c>
    </row>
    <row r="679" ht="15.75" customHeight="1">
      <c r="A679" s="5"/>
      <c r="B679" s="5"/>
      <c r="C679" s="5"/>
      <c r="D679" s="6"/>
      <c r="E679" s="5"/>
      <c r="F679" s="7" t="str">
        <f>IF($C679="","",IF('설정'!$B$3=0,"",CHOOSE('설정'!$B$3,SUMIFS('RAW_농산물_7월'!$F:$F,'RAW_농산물_7월'!$D:$D,$C679,'RAW_농산물_7월'!$A:$A,$E679),SUMIFS('RAW_농산물_8월'!$F:$F,'RAW_농산물_8월'!$D:$D,$C679,'RAW_농산물_8월'!$A:$A,$E679),SUMIFS('RAW_농산물_9월'!$F:$F,'RAW_농산물_9월'!$D:$D,$C679,'RAW_농산물_9월'!$A:$A,$E679),SUMIFS('RAW_농산물_10월'!$F:$F,'RAW_농산물_10월'!$D:$D,$C679,'RAW_농산물_10월'!$A:$A,$E679),SUMIFS('RAW_농산물_11-12월'!$F:$F,'RAW_농산물_11-12월'!$D:$D,$C679,'RAW_농산물_11-12월'!$A:$A,$E679))))</f>
        <v/>
      </c>
      <c r="G679" s="7" t="str">
        <f>IF($C679="","",IF('설정'!$B$3=0,"",CHOOSE('설정'!$B$3,SUMIFS('RAW_농산물_7월'!$G:$G,'RAW_농산물_7월'!$D:$D,$C679,'RAW_농산물_7월'!$A:$A,$E679),SUMIFS('RAW_농산물_8월'!$G:$G,'RAW_농산물_8월'!$D:$D,$C679,'RAW_농산물_8월'!$A:$A,$E679),SUMIFS('RAW_농산물_9월'!$G:$G,'RAW_농산물_9월'!$D:$D,$C679,'RAW_농산물_9월'!$A:$A,$E679),SUMIFS('RAW_농산물_10월'!$G:$G,'RAW_농산물_10월'!$D:$D,$C679,'RAW_농산물_10월'!$A:$A,$E679),SUMIFS('RAW_농산물_11-12월'!$G:$G,'RAW_농산물_11-12월'!$D:$D,$C679,'RAW_농산물_11-12월'!$A:$A,$E679))))</f>
        <v/>
      </c>
      <c r="H679" s="14" t="str">
        <f>IF($C679="","",IF('설정'!$B$3=0,"",CHOOSE('설정'!$B$3,SUMIFS('RAW_농산물_7월'!$H:$H,'RAW_농산물_7월'!$D:$D,$C679,'RAW_농산물_7월'!$A:$A,$E679),SUMIFS('RAW_농산물_8월'!$H:$H,'RAW_농산물_8월'!$D:$D,$C679,'RAW_농산물_8월'!$A:$A,$E679),SUMIFS('RAW_농산물_9월'!$H:$H,'RAW_농산물_9월'!$D:$D,$C679,'RAW_농산물_9월'!$A:$A,$E679),SUMIFS('RAW_농산물_10월'!$H:$H,'RAW_농산물_10월'!$D:$D,$C679,'RAW_농산물_10월'!$A:$A,$E679),SUMIFS('RAW_농산물_11-12월'!$H:$H,'RAW_농산물_11-12월'!$D:$D,$C679,'RAW_농산물_11-12월'!$A:$A,$E679))))</f>
        <v/>
      </c>
      <c r="I679" s="17" t="str">
        <f>IF($C679="","",IF(COUNTIFS('RAW_농산물_7월'!$D:$D,$C679,'RAW_농산물_7월'!$A:$A,$E679)&gt;0,"O",""))</f>
        <v/>
      </c>
      <c r="J679" s="17" t="str">
        <f>IF($C679="","",IF(COUNTIFS('RAW_농산물_8월'!$D:$D,$C679,'RAW_농산물_8월'!$A:$A,$E679)&gt;0,"O",""))</f>
        <v/>
      </c>
      <c r="K679" s="17" t="str">
        <f>IF($C679="","",IF(COUNTIFS('RAW_농산물_9월'!$D:$D,$C679,'RAW_농산물_9월'!$A:$A,$E679)&gt;0,"O",""))</f>
        <v/>
      </c>
      <c r="L679" s="17" t="str">
        <f>IF($C679="","",IF(COUNTIFS('RAW_농산물_10월'!$D:$D,$C679,'RAW_농산물_10월'!$A:$A,$E679)&gt;0,"O",""))</f>
        <v/>
      </c>
      <c r="M679" s="17" t="str">
        <f>IF($C679="","",IF(COUNTIFS('RAW_농산물_11-12월'!$D:$D,$C679,'RAW_농산물_11-12월'!$A:$A,$E679)&gt;0,"O",""))</f>
        <v/>
      </c>
      <c r="N679" s="7" t="str">
        <f>IF($C679="","",IF(COUNTA('RAW_농산물_7월'!$A:$A)&lt;=1,"",SUMIFS('RAW_농산물_7월'!$H:$H,'RAW_농산물_7월'!$D:$D,$C679,'RAW_농산물_7월'!$A:$A,$E679)))</f>
        <v/>
      </c>
      <c r="O679" s="7" t="str">
        <f>IF($C679="","",IF(COUNTA('RAW_농산물_8월'!$A:$A)&lt;=1,"",SUMIFS('RAW_농산물_8월'!$H:$H,'RAW_농산물_8월'!$D:$D,$C679,'RAW_농산물_8월'!$A:$A,$E679)-SUMIFS('RAW_농산물_7월'!$H:$H,'RAW_농산물_7월'!$D:$D,$C679,'RAW_농산물_7월'!$A:$A,$E679)))</f>
        <v/>
      </c>
      <c r="P679" s="7" t="str">
        <f>IF($C679="","",IF(COUNTA('RAW_농산물_9월'!$A:$A)&lt;=1,"",SUMIFS('RAW_농산물_9월'!$H:$H,'RAW_농산물_9월'!$D:$D,$C679,'RAW_농산물_9월'!$A:$A,$E679)-SUMIFS('RAW_농산물_8월'!$H:$H,'RAW_농산물_8월'!$D:$D,$C679,'RAW_농산물_8월'!$A:$A,$E679)))</f>
        <v/>
      </c>
      <c r="Q679" s="7" t="str">
        <f>IF($C679="","",IF(COUNTA('RAW_농산물_10월'!$A:$A)&lt;=1,"",SUMIFS('RAW_농산물_10월'!$H:$H,'RAW_농산물_10월'!$D:$D,$C679,'RAW_농산물_10월'!$A:$A,$E679)-SUMIFS('RAW_농산물_9월'!$H:$H,'RAW_농산물_9월'!$D:$D,$C679,'RAW_농산물_9월'!$A:$A,$E679)))</f>
        <v/>
      </c>
      <c r="R679" s="7" t="str">
        <f>IF($C679="","",IF(COUNTA('RAW_농산물_11-12월'!$A:$A)&lt;=1,"",SUMIFS('RAW_농산물_11-12월'!$H:$H,'RAW_농산물_11-12월'!$D:$D,$C679,'RAW_농산물_11-12월'!$A:$A,$E679)-SUMIFS('RAW_농산물_10월'!$H:$H,'RAW_농산물_10월'!$D:$D,$C679,'RAW_농산물_10월'!$A:$A,$E679)))</f>
        <v/>
      </c>
      <c r="S679" s="17" t="str">
        <f t="shared" si="4"/>
        <v/>
      </c>
      <c r="T679" s="17" t="str">
        <f t="shared" si="5"/>
        <v/>
      </c>
      <c r="U679" s="7">
        <f>IF($C679="",0,IF('설정'!$B$3=0,0,CHOOSE('설정'!$B$3,COUNTIFS('RAW_농산물_7월'!$D:$D,$C679,'RAW_농산물_7월'!$A:$A,$E679),COUNTIFS('RAW_농산물_8월'!$D:$D,$C679,'RAW_농산물_8월'!$A:$A,$E679),COUNTIFS('RAW_농산물_9월'!$D:$D,$C679,'RAW_농산물_9월'!$A:$A,$E679),COUNTIFS('RAW_농산물_10월'!$D:$D,$C679,'RAW_농산물_10월'!$A:$A,$E679),COUNTIFS('RAW_농산물_11-12월'!$D:$D,$C679,'RAW_농산물_11-12월'!$A:$A,$E679))))</f>
        <v>0</v>
      </c>
    </row>
    <row r="680" ht="15.75" customHeight="1">
      <c r="A680" s="5"/>
      <c r="B680" s="5"/>
      <c r="C680" s="5"/>
      <c r="D680" s="6"/>
      <c r="E680" s="5"/>
      <c r="F680" s="7" t="str">
        <f>IF($C680="","",IF('설정'!$B$3=0,"",CHOOSE('설정'!$B$3,SUMIFS('RAW_농산물_7월'!$F:$F,'RAW_농산물_7월'!$D:$D,$C680,'RAW_농산물_7월'!$A:$A,$E680),SUMIFS('RAW_농산물_8월'!$F:$F,'RAW_농산물_8월'!$D:$D,$C680,'RAW_농산물_8월'!$A:$A,$E680),SUMIFS('RAW_농산물_9월'!$F:$F,'RAW_농산물_9월'!$D:$D,$C680,'RAW_농산물_9월'!$A:$A,$E680),SUMIFS('RAW_농산물_10월'!$F:$F,'RAW_농산물_10월'!$D:$D,$C680,'RAW_농산물_10월'!$A:$A,$E680),SUMIFS('RAW_농산물_11-12월'!$F:$F,'RAW_농산물_11-12월'!$D:$D,$C680,'RAW_농산물_11-12월'!$A:$A,$E680))))</f>
        <v/>
      </c>
      <c r="G680" s="7" t="str">
        <f>IF($C680="","",IF('설정'!$B$3=0,"",CHOOSE('설정'!$B$3,SUMIFS('RAW_농산물_7월'!$G:$G,'RAW_농산물_7월'!$D:$D,$C680,'RAW_농산물_7월'!$A:$A,$E680),SUMIFS('RAW_농산물_8월'!$G:$G,'RAW_농산물_8월'!$D:$D,$C680,'RAW_농산물_8월'!$A:$A,$E680),SUMIFS('RAW_농산물_9월'!$G:$G,'RAW_농산물_9월'!$D:$D,$C680,'RAW_농산물_9월'!$A:$A,$E680),SUMIFS('RAW_농산물_10월'!$G:$G,'RAW_농산물_10월'!$D:$D,$C680,'RAW_농산물_10월'!$A:$A,$E680),SUMIFS('RAW_농산물_11-12월'!$G:$G,'RAW_농산물_11-12월'!$D:$D,$C680,'RAW_농산물_11-12월'!$A:$A,$E680))))</f>
        <v/>
      </c>
      <c r="H680" s="14" t="str">
        <f>IF($C680="","",IF('설정'!$B$3=0,"",CHOOSE('설정'!$B$3,SUMIFS('RAW_농산물_7월'!$H:$H,'RAW_농산물_7월'!$D:$D,$C680,'RAW_농산물_7월'!$A:$A,$E680),SUMIFS('RAW_농산물_8월'!$H:$H,'RAW_농산물_8월'!$D:$D,$C680,'RAW_농산물_8월'!$A:$A,$E680),SUMIFS('RAW_농산물_9월'!$H:$H,'RAW_농산물_9월'!$D:$D,$C680,'RAW_농산물_9월'!$A:$A,$E680),SUMIFS('RAW_농산물_10월'!$H:$H,'RAW_농산물_10월'!$D:$D,$C680,'RAW_농산물_10월'!$A:$A,$E680),SUMIFS('RAW_농산물_11-12월'!$H:$H,'RAW_농산물_11-12월'!$D:$D,$C680,'RAW_농산물_11-12월'!$A:$A,$E680))))</f>
        <v/>
      </c>
      <c r="I680" s="17" t="str">
        <f>IF($C680="","",IF(COUNTIFS('RAW_농산물_7월'!$D:$D,$C680,'RAW_농산물_7월'!$A:$A,$E680)&gt;0,"O",""))</f>
        <v/>
      </c>
      <c r="J680" s="17" t="str">
        <f>IF($C680="","",IF(COUNTIFS('RAW_농산물_8월'!$D:$D,$C680,'RAW_농산물_8월'!$A:$A,$E680)&gt;0,"O",""))</f>
        <v/>
      </c>
      <c r="K680" s="17" t="str">
        <f>IF($C680="","",IF(COUNTIFS('RAW_농산물_9월'!$D:$D,$C680,'RAW_농산물_9월'!$A:$A,$E680)&gt;0,"O",""))</f>
        <v/>
      </c>
      <c r="L680" s="17" t="str">
        <f>IF($C680="","",IF(COUNTIFS('RAW_농산물_10월'!$D:$D,$C680,'RAW_농산물_10월'!$A:$A,$E680)&gt;0,"O",""))</f>
        <v/>
      </c>
      <c r="M680" s="17" t="str">
        <f>IF($C680="","",IF(COUNTIFS('RAW_농산물_11-12월'!$D:$D,$C680,'RAW_농산물_11-12월'!$A:$A,$E680)&gt;0,"O",""))</f>
        <v/>
      </c>
      <c r="N680" s="7" t="str">
        <f>IF($C680="","",IF(COUNTA('RAW_농산물_7월'!$A:$A)&lt;=1,"",SUMIFS('RAW_농산물_7월'!$H:$H,'RAW_농산물_7월'!$D:$D,$C680,'RAW_농산물_7월'!$A:$A,$E680)))</f>
        <v/>
      </c>
      <c r="O680" s="7" t="str">
        <f>IF($C680="","",IF(COUNTA('RAW_농산물_8월'!$A:$A)&lt;=1,"",SUMIFS('RAW_농산물_8월'!$H:$H,'RAW_농산물_8월'!$D:$D,$C680,'RAW_농산물_8월'!$A:$A,$E680)-SUMIFS('RAW_농산물_7월'!$H:$H,'RAW_농산물_7월'!$D:$D,$C680,'RAW_농산물_7월'!$A:$A,$E680)))</f>
        <v/>
      </c>
      <c r="P680" s="7" t="str">
        <f>IF($C680="","",IF(COUNTA('RAW_농산물_9월'!$A:$A)&lt;=1,"",SUMIFS('RAW_농산물_9월'!$H:$H,'RAW_농산물_9월'!$D:$D,$C680,'RAW_농산물_9월'!$A:$A,$E680)-SUMIFS('RAW_농산물_8월'!$H:$H,'RAW_농산물_8월'!$D:$D,$C680,'RAW_농산물_8월'!$A:$A,$E680)))</f>
        <v/>
      </c>
      <c r="Q680" s="7" t="str">
        <f>IF($C680="","",IF(COUNTA('RAW_농산물_10월'!$A:$A)&lt;=1,"",SUMIFS('RAW_농산물_10월'!$H:$H,'RAW_농산물_10월'!$D:$D,$C680,'RAW_농산물_10월'!$A:$A,$E680)-SUMIFS('RAW_농산물_9월'!$H:$H,'RAW_농산물_9월'!$D:$D,$C680,'RAW_농산물_9월'!$A:$A,$E680)))</f>
        <v/>
      </c>
      <c r="R680" s="7" t="str">
        <f>IF($C680="","",IF(COUNTA('RAW_농산물_11-12월'!$A:$A)&lt;=1,"",SUMIFS('RAW_농산물_11-12월'!$H:$H,'RAW_농산물_11-12월'!$D:$D,$C680,'RAW_농산물_11-12월'!$A:$A,$E680)-SUMIFS('RAW_농산물_10월'!$H:$H,'RAW_농산물_10월'!$D:$D,$C680,'RAW_농산물_10월'!$A:$A,$E680)))</f>
        <v/>
      </c>
      <c r="S680" s="17" t="str">
        <f t="shared" si="4"/>
        <v/>
      </c>
      <c r="T680" s="17" t="str">
        <f t="shared" si="5"/>
        <v/>
      </c>
      <c r="U680" s="7">
        <f>IF($C680="",0,IF('설정'!$B$3=0,0,CHOOSE('설정'!$B$3,COUNTIFS('RAW_농산물_7월'!$D:$D,$C680,'RAW_농산물_7월'!$A:$A,$E680),COUNTIFS('RAW_농산물_8월'!$D:$D,$C680,'RAW_농산물_8월'!$A:$A,$E680),COUNTIFS('RAW_농산물_9월'!$D:$D,$C680,'RAW_농산물_9월'!$A:$A,$E680),COUNTIFS('RAW_농산물_10월'!$D:$D,$C680,'RAW_농산물_10월'!$A:$A,$E680),COUNTIFS('RAW_농산물_11-12월'!$D:$D,$C680,'RAW_농산물_11-12월'!$A:$A,$E680))))</f>
        <v>0</v>
      </c>
    </row>
    <row r="681" ht="15.75" customHeight="1">
      <c r="A681" s="5"/>
      <c r="B681" s="5"/>
      <c r="C681" s="5"/>
      <c r="D681" s="6"/>
      <c r="E681" s="5"/>
      <c r="F681" s="7" t="str">
        <f>IF($C681="","",IF('설정'!$B$3=0,"",CHOOSE('설정'!$B$3,SUMIFS('RAW_농산물_7월'!$F:$F,'RAW_농산물_7월'!$D:$D,$C681,'RAW_농산물_7월'!$A:$A,$E681),SUMIFS('RAW_농산물_8월'!$F:$F,'RAW_농산물_8월'!$D:$D,$C681,'RAW_농산물_8월'!$A:$A,$E681),SUMIFS('RAW_농산물_9월'!$F:$F,'RAW_농산물_9월'!$D:$D,$C681,'RAW_농산물_9월'!$A:$A,$E681),SUMIFS('RAW_농산물_10월'!$F:$F,'RAW_농산물_10월'!$D:$D,$C681,'RAW_농산물_10월'!$A:$A,$E681),SUMIFS('RAW_농산물_11-12월'!$F:$F,'RAW_농산물_11-12월'!$D:$D,$C681,'RAW_농산물_11-12월'!$A:$A,$E681))))</f>
        <v/>
      </c>
      <c r="G681" s="7" t="str">
        <f>IF($C681="","",IF('설정'!$B$3=0,"",CHOOSE('설정'!$B$3,SUMIFS('RAW_농산물_7월'!$G:$G,'RAW_농산물_7월'!$D:$D,$C681,'RAW_농산물_7월'!$A:$A,$E681),SUMIFS('RAW_농산물_8월'!$G:$G,'RAW_농산물_8월'!$D:$D,$C681,'RAW_농산물_8월'!$A:$A,$E681),SUMIFS('RAW_농산물_9월'!$G:$G,'RAW_농산물_9월'!$D:$D,$C681,'RAW_농산물_9월'!$A:$A,$E681),SUMIFS('RAW_농산물_10월'!$G:$G,'RAW_농산물_10월'!$D:$D,$C681,'RAW_농산물_10월'!$A:$A,$E681),SUMIFS('RAW_농산물_11-12월'!$G:$G,'RAW_농산물_11-12월'!$D:$D,$C681,'RAW_농산물_11-12월'!$A:$A,$E681))))</f>
        <v/>
      </c>
      <c r="H681" s="14" t="str">
        <f>IF($C681="","",IF('설정'!$B$3=0,"",CHOOSE('설정'!$B$3,SUMIFS('RAW_농산물_7월'!$H:$H,'RAW_농산물_7월'!$D:$D,$C681,'RAW_농산물_7월'!$A:$A,$E681),SUMIFS('RAW_농산물_8월'!$H:$H,'RAW_농산물_8월'!$D:$D,$C681,'RAW_농산물_8월'!$A:$A,$E681),SUMIFS('RAW_농산물_9월'!$H:$H,'RAW_농산물_9월'!$D:$D,$C681,'RAW_농산물_9월'!$A:$A,$E681),SUMIFS('RAW_농산물_10월'!$H:$H,'RAW_농산물_10월'!$D:$D,$C681,'RAW_농산물_10월'!$A:$A,$E681),SUMIFS('RAW_농산물_11-12월'!$H:$H,'RAW_농산물_11-12월'!$D:$D,$C681,'RAW_농산물_11-12월'!$A:$A,$E681))))</f>
        <v/>
      </c>
      <c r="I681" s="17" t="str">
        <f>IF($C681="","",IF(COUNTIFS('RAW_농산물_7월'!$D:$D,$C681,'RAW_농산물_7월'!$A:$A,$E681)&gt;0,"O",""))</f>
        <v/>
      </c>
      <c r="J681" s="17" t="str">
        <f>IF($C681="","",IF(COUNTIFS('RAW_농산물_8월'!$D:$D,$C681,'RAW_농산물_8월'!$A:$A,$E681)&gt;0,"O",""))</f>
        <v/>
      </c>
      <c r="K681" s="17" t="str">
        <f>IF($C681="","",IF(COUNTIFS('RAW_농산물_9월'!$D:$D,$C681,'RAW_농산물_9월'!$A:$A,$E681)&gt;0,"O",""))</f>
        <v/>
      </c>
      <c r="L681" s="17" t="str">
        <f>IF($C681="","",IF(COUNTIFS('RAW_농산물_10월'!$D:$D,$C681,'RAW_농산물_10월'!$A:$A,$E681)&gt;0,"O",""))</f>
        <v/>
      </c>
      <c r="M681" s="17" t="str">
        <f>IF($C681="","",IF(COUNTIFS('RAW_농산물_11-12월'!$D:$D,$C681,'RAW_농산물_11-12월'!$A:$A,$E681)&gt;0,"O",""))</f>
        <v/>
      </c>
      <c r="N681" s="7" t="str">
        <f>IF($C681="","",IF(COUNTA('RAW_농산물_7월'!$A:$A)&lt;=1,"",SUMIFS('RAW_농산물_7월'!$H:$H,'RAW_농산물_7월'!$D:$D,$C681,'RAW_농산물_7월'!$A:$A,$E681)))</f>
        <v/>
      </c>
      <c r="O681" s="7" t="str">
        <f>IF($C681="","",IF(COUNTA('RAW_농산물_8월'!$A:$A)&lt;=1,"",SUMIFS('RAW_농산물_8월'!$H:$H,'RAW_농산물_8월'!$D:$D,$C681,'RAW_농산물_8월'!$A:$A,$E681)-SUMIFS('RAW_농산물_7월'!$H:$H,'RAW_농산물_7월'!$D:$D,$C681,'RAW_농산물_7월'!$A:$A,$E681)))</f>
        <v/>
      </c>
      <c r="P681" s="7" t="str">
        <f>IF($C681="","",IF(COUNTA('RAW_농산물_9월'!$A:$A)&lt;=1,"",SUMIFS('RAW_농산물_9월'!$H:$H,'RAW_농산물_9월'!$D:$D,$C681,'RAW_농산물_9월'!$A:$A,$E681)-SUMIFS('RAW_농산물_8월'!$H:$H,'RAW_농산물_8월'!$D:$D,$C681,'RAW_농산물_8월'!$A:$A,$E681)))</f>
        <v/>
      </c>
      <c r="Q681" s="7" t="str">
        <f>IF($C681="","",IF(COUNTA('RAW_농산물_10월'!$A:$A)&lt;=1,"",SUMIFS('RAW_농산물_10월'!$H:$H,'RAW_농산물_10월'!$D:$D,$C681,'RAW_농산물_10월'!$A:$A,$E681)-SUMIFS('RAW_농산물_9월'!$H:$H,'RAW_농산물_9월'!$D:$D,$C681,'RAW_농산물_9월'!$A:$A,$E681)))</f>
        <v/>
      </c>
      <c r="R681" s="7" t="str">
        <f>IF($C681="","",IF(COUNTA('RAW_농산물_11-12월'!$A:$A)&lt;=1,"",SUMIFS('RAW_농산물_11-12월'!$H:$H,'RAW_농산물_11-12월'!$D:$D,$C681,'RAW_농산물_11-12월'!$A:$A,$E681)-SUMIFS('RAW_농산물_10월'!$H:$H,'RAW_농산물_10월'!$D:$D,$C681,'RAW_농산물_10월'!$A:$A,$E681)))</f>
        <v/>
      </c>
      <c r="S681" s="17" t="str">
        <f t="shared" si="4"/>
        <v/>
      </c>
      <c r="T681" s="17" t="str">
        <f t="shared" si="5"/>
        <v/>
      </c>
      <c r="U681" s="7">
        <f>IF($C681="",0,IF('설정'!$B$3=0,0,CHOOSE('설정'!$B$3,COUNTIFS('RAW_농산물_7월'!$D:$D,$C681,'RAW_농산물_7월'!$A:$A,$E681),COUNTIFS('RAW_농산물_8월'!$D:$D,$C681,'RAW_농산물_8월'!$A:$A,$E681),COUNTIFS('RAW_농산물_9월'!$D:$D,$C681,'RAW_농산물_9월'!$A:$A,$E681),COUNTIFS('RAW_농산물_10월'!$D:$D,$C681,'RAW_농산물_10월'!$A:$A,$E681),COUNTIFS('RAW_농산물_11-12월'!$D:$D,$C681,'RAW_농산물_11-12월'!$A:$A,$E681))))</f>
        <v>0</v>
      </c>
    </row>
    <row r="682" ht="15.75" customHeight="1">
      <c r="A682" s="5"/>
      <c r="B682" s="5"/>
      <c r="C682" s="5"/>
      <c r="D682" s="6"/>
      <c r="E682" s="5"/>
      <c r="F682" s="7" t="str">
        <f>IF($C682="","",IF('설정'!$B$3=0,"",CHOOSE('설정'!$B$3,SUMIFS('RAW_농산물_7월'!$F:$F,'RAW_농산물_7월'!$D:$D,$C682,'RAW_농산물_7월'!$A:$A,$E682),SUMIFS('RAW_농산물_8월'!$F:$F,'RAW_농산물_8월'!$D:$D,$C682,'RAW_농산물_8월'!$A:$A,$E682),SUMIFS('RAW_농산물_9월'!$F:$F,'RAW_농산물_9월'!$D:$D,$C682,'RAW_농산물_9월'!$A:$A,$E682),SUMIFS('RAW_농산물_10월'!$F:$F,'RAW_농산물_10월'!$D:$D,$C682,'RAW_농산물_10월'!$A:$A,$E682),SUMIFS('RAW_농산물_11-12월'!$F:$F,'RAW_농산물_11-12월'!$D:$D,$C682,'RAW_농산물_11-12월'!$A:$A,$E682))))</f>
        <v/>
      </c>
      <c r="G682" s="7" t="str">
        <f>IF($C682="","",IF('설정'!$B$3=0,"",CHOOSE('설정'!$B$3,SUMIFS('RAW_농산물_7월'!$G:$G,'RAW_농산물_7월'!$D:$D,$C682,'RAW_농산물_7월'!$A:$A,$E682),SUMIFS('RAW_농산물_8월'!$G:$G,'RAW_농산물_8월'!$D:$D,$C682,'RAW_농산물_8월'!$A:$A,$E682),SUMIFS('RAW_농산물_9월'!$G:$G,'RAW_농산물_9월'!$D:$D,$C682,'RAW_농산물_9월'!$A:$A,$E682),SUMIFS('RAW_농산물_10월'!$G:$G,'RAW_농산물_10월'!$D:$D,$C682,'RAW_농산물_10월'!$A:$A,$E682),SUMIFS('RAW_농산물_11-12월'!$G:$G,'RAW_농산물_11-12월'!$D:$D,$C682,'RAW_농산물_11-12월'!$A:$A,$E682))))</f>
        <v/>
      </c>
      <c r="H682" s="14" t="str">
        <f>IF($C682="","",IF('설정'!$B$3=0,"",CHOOSE('설정'!$B$3,SUMIFS('RAW_농산물_7월'!$H:$H,'RAW_농산물_7월'!$D:$D,$C682,'RAW_농산물_7월'!$A:$A,$E682),SUMIFS('RAW_농산물_8월'!$H:$H,'RAW_농산물_8월'!$D:$D,$C682,'RAW_농산물_8월'!$A:$A,$E682),SUMIFS('RAW_농산물_9월'!$H:$H,'RAW_농산물_9월'!$D:$D,$C682,'RAW_농산물_9월'!$A:$A,$E682),SUMIFS('RAW_농산물_10월'!$H:$H,'RAW_농산물_10월'!$D:$D,$C682,'RAW_농산물_10월'!$A:$A,$E682),SUMIFS('RAW_농산물_11-12월'!$H:$H,'RAW_농산물_11-12월'!$D:$D,$C682,'RAW_농산물_11-12월'!$A:$A,$E682))))</f>
        <v/>
      </c>
      <c r="I682" s="17" t="str">
        <f>IF($C682="","",IF(COUNTIFS('RAW_농산물_7월'!$D:$D,$C682,'RAW_농산물_7월'!$A:$A,$E682)&gt;0,"O",""))</f>
        <v/>
      </c>
      <c r="J682" s="17" t="str">
        <f>IF($C682="","",IF(COUNTIFS('RAW_농산물_8월'!$D:$D,$C682,'RAW_농산물_8월'!$A:$A,$E682)&gt;0,"O",""))</f>
        <v/>
      </c>
      <c r="K682" s="17" t="str">
        <f>IF($C682="","",IF(COUNTIFS('RAW_농산물_9월'!$D:$D,$C682,'RAW_농산물_9월'!$A:$A,$E682)&gt;0,"O",""))</f>
        <v/>
      </c>
      <c r="L682" s="17" t="str">
        <f>IF($C682="","",IF(COUNTIFS('RAW_농산물_10월'!$D:$D,$C682,'RAW_농산물_10월'!$A:$A,$E682)&gt;0,"O",""))</f>
        <v/>
      </c>
      <c r="M682" s="17" t="str">
        <f>IF($C682="","",IF(COUNTIFS('RAW_농산물_11-12월'!$D:$D,$C682,'RAW_농산물_11-12월'!$A:$A,$E682)&gt;0,"O",""))</f>
        <v/>
      </c>
      <c r="N682" s="7" t="str">
        <f>IF($C682="","",IF(COUNTA('RAW_농산물_7월'!$A:$A)&lt;=1,"",SUMIFS('RAW_농산물_7월'!$H:$H,'RAW_농산물_7월'!$D:$D,$C682,'RAW_농산물_7월'!$A:$A,$E682)))</f>
        <v/>
      </c>
      <c r="O682" s="7" t="str">
        <f>IF($C682="","",IF(COUNTA('RAW_농산물_8월'!$A:$A)&lt;=1,"",SUMIFS('RAW_농산물_8월'!$H:$H,'RAW_농산물_8월'!$D:$D,$C682,'RAW_농산물_8월'!$A:$A,$E682)-SUMIFS('RAW_농산물_7월'!$H:$H,'RAW_농산물_7월'!$D:$D,$C682,'RAW_농산물_7월'!$A:$A,$E682)))</f>
        <v/>
      </c>
      <c r="P682" s="7" t="str">
        <f>IF($C682="","",IF(COUNTA('RAW_농산물_9월'!$A:$A)&lt;=1,"",SUMIFS('RAW_농산물_9월'!$H:$H,'RAW_농산물_9월'!$D:$D,$C682,'RAW_농산물_9월'!$A:$A,$E682)-SUMIFS('RAW_농산물_8월'!$H:$H,'RAW_농산물_8월'!$D:$D,$C682,'RAW_농산물_8월'!$A:$A,$E682)))</f>
        <v/>
      </c>
      <c r="Q682" s="7" t="str">
        <f>IF($C682="","",IF(COUNTA('RAW_농산물_10월'!$A:$A)&lt;=1,"",SUMIFS('RAW_농산물_10월'!$H:$H,'RAW_농산물_10월'!$D:$D,$C682,'RAW_농산물_10월'!$A:$A,$E682)-SUMIFS('RAW_농산물_9월'!$H:$H,'RAW_농산물_9월'!$D:$D,$C682,'RAW_농산물_9월'!$A:$A,$E682)))</f>
        <v/>
      </c>
      <c r="R682" s="7" t="str">
        <f>IF($C682="","",IF(COUNTA('RAW_농산물_11-12월'!$A:$A)&lt;=1,"",SUMIFS('RAW_농산물_11-12월'!$H:$H,'RAW_농산물_11-12월'!$D:$D,$C682,'RAW_농산물_11-12월'!$A:$A,$E682)-SUMIFS('RAW_농산물_10월'!$H:$H,'RAW_농산물_10월'!$D:$D,$C682,'RAW_농산물_10월'!$A:$A,$E682)))</f>
        <v/>
      </c>
      <c r="S682" s="17" t="str">
        <f t="shared" si="4"/>
        <v/>
      </c>
      <c r="T682" s="17" t="str">
        <f t="shared" si="5"/>
        <v/>
      </c>
      <c r="U682" s="7">
        <f>IF($C682="",0,IF('설정'!$B$3=0,0,CHOOSE('설정'!$B$3,COUNTIFS('RAW_농산물_7월'!$D:$D,$C682,'RAW_농산물_7월'!$A:$A,$E682),COUNTIFS('RAW_농산물_8월'!$D:$D,$C682,'RAW_농산물_8월'!$A:$A,$E682),COUNTIFS('RAW_농산물_9월'!$D:$D,$C682,'RAW_농산물_9월'!$A:$A,$E682),COUNTIFS('RAW_농산물_10월'!$D:$D,$C682,'RAW_농산물_10월'!$A:$A,$E682),COUNTIFS('RAW_농산물_11-12월'!$D:$D,$C682,'RAW_농산물_11-12월'!$A:$A,$E682))))</f>
        <v>0</v>
      </c>
    </row>
    <row r="683" ht="15.75" customHeight="1">
      <c r="A683" s="5"/>
      <c r="B683" s="5"/>
      <c r="C683" s="5"/>
      <c r="D683" s="6"/>
      <c r="E683" s="5"/>
      <c r="F683" s="7" t="str">
        <f>IF($C683="","",IF('설정'!$B$3=0,"",CHOOSE('설정'!$B$3,SUMIFS('RAW_농산물_7월'!$F:$F,'RAW_농산물_7월'!$D:$D,$C683,'RAW_농산물_7월'!$A:$A,$E683),SUMIFS('RAW_농산물_8월'!$F:$F,'RAW_농산물_8월'!$D:$D,$C683,'RAW_농산물_8월'!$A:$A,$E683),SUMIFS('RAW_농산물_9월'!$F:$F,'RAW_농산물_9월'!$D:$D,$C683,'RAW_농산물_9월'!$A:$A,$E683),SUMIFS('RAW_농산물_10월'!$F:$F,'RAW_농산물_10월'!$D:$D,$C683,'RAW_농산물_10월'!$A:$A,$E683),SUMIFS('RAW_농산물_11-12월'!$F:$F,'RAW_농산물_11-12월'!$D:$D,$C683,'RAW_농산물_11-12월'!$A:$A,$E683))))</f>
        <v/>
      </c>
      <c r="G683" s="7" t="str">
        <f>IF($C683="","",IF('설정'!$B$3=0,"",CHOOSE('설정'!$B$3,SUMIFS('RAW_농산물_7월'!$G:$G,'RAW_농산물_7월'!$D:$D,$C683,'RAW_농산물_7월'!$A:$A,$E683),SUMIFS('RAW_농산물_8월'!$G:$G,'RAW_농산물_8월'!$D:$D,$C683,'RAW_농산물_8월'!$A:$A,$E683),SUMIFS('RAW_농산물_9월'!$G:$G,'RAW_농산물_9월'!$D:$D,$C683,'RAW_농산물_9월'!$A:$A,$E683),SUMIFS('RAW_농산물_10월'!$G:$G,'RAW_농산물_10월'!$D:$D,$C683,'RAW_농산물_10월'!$A:$A,$E683),SUMIFS('RAW_농산물_11-12월'!$G:$G,'RAW_농산물_11-12월'!$D:$D,$C683,'RAW_농산물_11-12월'!$A:$A,$E683))))</f>
        <v/>
      </c>
      <c r="H683" s="14" t="str">
        <f>IF($C683="","",IF('설정'!$B$3=0,"",CHOOSE('설정'!$B$3,SUMIFS('RAW_농산물_7월'!$H:$H,'RAW_농산물_7월'!$D:$D,$C683,'RAW_농산물_7월'!$A:$A,$E683),SUMIFS('RAW_농산물_8월'!$H:$H,'RAW_농산물_8월'!$D:$D,$C683,'RAW_농산물_8월'!$A:$A,$E683),SUMIFS('RAW_농산물_9월'!$H:$H,'RAW_농산물_9월'!$D:$D,$C683,'RAW_농산물_9월'!$A:$A,$E683),SUMIFS('RAW_농산물_10월'!$H:$H,'RAW_농산물_10월'!$D:$D,$C683,'RAW_농산물_10월'!$A:$A,$E683),SUMIFS('RAW_농산물_11-12월'!$H:$H,'RAW_농산물_11-12월'!$D:$D,$C683,'RAW_농산물_11-12월'!$A:$A,$E683))))</f>
        <v/>
      </c>
      <c r="I683" s="17" t="str">
        <f>IF($C683="","",IF(COUNTIFS('RAW_농산물_7월'!$D:$D,$C683,'RAW_농산물_7월'!$A:$A,$E683)&gt;0,"O",""))</f>
        <v/>
      </c>
      <c r="J683" s="17" t="str">
        <f>IF($C683="","",IF(COUNTIFS('RAW_농산물_8월'!$D:$D,$C683,'RAW_농산물_8월'!$A:$A,$E683)&gt;0,"O",""))</f>
        <v/>
      </c>
      <c r="K683" s="17" t="str">
        <f>IF($C683="","",IF(COUNTIFS('RAW_농산물_9월'!$D:$D,$C683,'RAW_농산물_9월'!$A:$A,$E683)&gt;0,"O",""))</f>
        <v/>
      </c>
      <c r="L683" s="17" t="str">
        <f>IF($C683="","",IF(COUNTIFS('RAW_농산물_10월'!$D:$D,$C683,'RAW_농산물_10월'!$A:$A,$E683)&gt;0,"O",""))</f>
        <v/>
      </c>
      <c r="M683" s="17" t="str">
        <f>IF($C683="","",IF(COUNTIFS('RAW_농산물_11-12월'!$D:$D,$C683,'RAW_농산물_11-12월'!$A:$A,$E683)&gt;0,"O",""))</f>
        <v/>
      </c>
      <c r="N683" s="7" t="str">
        <f>IF($C683="","",IF(COUNTA('RAW_농산물_7월'!$A:$A)&lt;=1,"",SUMIFS('RAW_농산물_7월'!$H:$H,'RAW_농산물_7월'!$D:$D,$C683,'RAW_농산물_7월'!$A:$A,$E683)))</f>
        <v/>
      </c>
      <c r="O683" s="7" t="str">
        <f>IF($C683="","",IF(COUNTA('RAW_농산물_8월'!$A:$A)&lt;=1,"",SUMIFS('RAW_농산물_8월'!$H:$H,'RAW_농산물_8월'!$D:$D,$C683,'RAW_농산물_8월'!$A:$A,$E683)-SUMIFS('RAW_농산물_7월'!$H:$H,'RAW_농산물_7월'!$D:$D,$C683,'RAW_농산물_7월'!$A:$A,$E683)))</f>
        <v/>
      </c>
      <c r="P683" s="7" t="str">
        <f>IF($C683="","",IF(COUNTA('RAW_농산물_9월'!$A:$A)&lt;=1,"",SUMIFS('RAW_농산물_9월'!$H:$H,'RAW_농산물_9월'!$D:$D,$C683,'RAW_농산물_9월'!$A:$A,$E683)-SUMIFS('RAW_농산물_8월'!$H:$H,'RAW_농산물_8월'!$D:$D,$C683,'RAW_농산물_8월'!$A:$A,$E683)))</f>
        <v/>
      </c>
      <c r="Q683" s="7" t="str">
        <f>IF($C683="","",IF(COUNTA('RAW_농산물_10월'!$A:$A)&lt;=1,"",SUMIFS('RAW_농산물_10월'!$H:$H,'RAW_농산물_10월'!$D:$D,$C683,'RAW_농산물_10월'!$A:$A,$E683)-SUMIFS('RAW_농산물_9월'!$H:$H,'RAW_농산물_9월'!$D:$D,$C683,'RAW_농산물_9월'!$A:$A,$E683)))</f>
        <v/>
      </c>
      <c r="R683" s="7" t="str">
        <f>IF($C683="","",IF(COUNTA('RAW_농산물_11-12월'!$A:$A)&lt;=1,"",SUMIFS('RAW_농산물_11-12월'!$H:$H,'RAW_농산물_11-12월'!$D:$D,$C683,'RAW_농산물_11-12월'!$A:$A,$E683)-SUMIFS('RAW_농산물_10월'!$H:$H,'RAW_농산물_10월'!$D:$D,$C683,'RAW_농산물_10월'!$A:$A,$E683)))</f>
        <v/>
      </c>
      <c r="S683" s="17" t="str">
        <f t="shared" si="4"/>
        <v/>
      </c>
      <c r="T683" s="17" t="str">
        <f t="shared" si="5"/>
        <v/>
      </c>
      <c r="U683" s="7">
        <f>IF($C683="",0,IF('설정'!$B$3=0,0,CHOOSE('설정'!$B$3,COUNTIFS('RAW_농산물_7월'!$D:$D,$C683,'RAW_농산물_7월'!$A:$A,$E683),COUNTIFS('RAW_농산물_8월'!$D:$D,$C683,'RAW_농산물_8월'!$A:$A,$E683),COUNTIFS('RAW_농산물_9월'!$D:$D,$C683,'RAW_농산물_9월'!$A:$A,$E683),COUNTIFS('RAW_농산물_10월'!$D:$D,$C683,'RAW_농산물_10월'!$A:$A,$E683),COUNTIFS('RAW_농산물_11-12월'!$D:$D,$C683,'RAW_농산물_11-12월'!$A:$A,$E683))))</f>
        <v>0</v>
      </c>
    </row>
    <row r="684" ht="15.75" customHeight="1">
      <c r="A684" s="5"/>
      <c r="B684" s="5"/>
      <c r="C684" s="5"/>
      <c r="D684" s="6"/>
      <c r="E684" s="5"/>
      <c r="F684" s="7" t="str">
        <f>IF($C684="","",IF('설정'!$B$3=0,"",CHOOSE('설정'!$B$3,SUMIFS('RAW_농산물_7월'!$F:$F,'RAW_농산물_7월'!$D:$D,$C684,'RAW_농산물_7월'!$A:$A,$E684),SUMIFS('RAW_농산물_8월'!$F:$F,'RAW_농산물_8월'!$D:$D,$C684,'RAW_농산물_8월'!$A:$A,$E684),SUMIFS('RAW_농산물_9월'!$F:$F,'RAW_농산물_9월'!$D:$D,$C684,'RAW_농산물_9월'!$A:$A,$E684),SUMIFS('RAW_농산물_10월'!$F:$F,'RAW_농산물_10월'!$D:$D,$C684,'RAW_농산물_10월'!$A:$A,$E684),SUMIFS('RAW_농산물_11-12월'!$F:$F,'RAW_농산물_11-12월'!$D:$D,$C684,'RAW_농산물_11-12월'!$A:$A,$E684))))</f>
        <v/>
      </c>
      <c r="G684" s="7" t="str">
        <f>IF($C684="","",IF('설정'!$B$3=0,"",CHOOSE('설정'!$B$3,SUMIFS('RAW_농산물_7월'!$G:$G,'RAW_농산물_7월'!$D:$D,$C684,'RAW_농산물_7월'!$A:$A,$E684),SUMIFS('RAW_농산물_8월'!$G:$G,'RAW_농산물_8월'!$D:$D,$C684,'RAW_농산물_8월'!$A:$A,$E684),SUMIFS('RAW_농산물_9월'!$G:$G,'RAW_농산물_9월'!$D:$D,$C684,'RAW_농산물_9월'!$A:$A,$E684),SUMIFS('RAW_농산물_10월'!$G:$G,'RAW_농산물_10월'!$D:$D,$C684,'RAW_농산물_10월'!$A:$A,$E684),SUMIFS('RAW_농산물_11-12월'!$G:$G,'RAW_농산물_11-12월'!$D:$D,$C684,'RAW_농산물_11-12월'!$A:$A,$E684))))</f>
        <v/>
      </c>
      <c r="H684" s="14" t="str">
        <f>IF($C684="","",IF('설정'!$B$3=0,"",CHOOSE('설정'!$B$3,SUMIFS('RAW_농산물_7월'!$H:$H,'RAW_농산물_7월'!$D:$D,$C684,'RAW_농산물_7월'!$A:$A,$E684),SUMIFS('RAW_농산물_8월'!$H:$H,'RAW_농산물_8월'!$D:$D,$C684,'RAW_농산물_8월'!$A:$A,$E684),SUMIFS('RAW_농산물_9월'!$H:$H,'RAW_농산물_9월'!$D:$D,$C684,'RAW_농산물_9월'!$A:$A,$E684),SUMIFS('RAW_농산물_10월'!$H:$H,'RAW_농산물_10월'!$D:$D,$C684,'RAW_농산물_10월'!$A:$A,$E684),SUMIFS('RAW_농산물_11-12월'!$H:$H,'RAW_농산물_11-12월'!$D:$D,$C684,'RAW_농산물_11-12월'!$A:$A,$E684))))</f>
        <v/>
      </c>
      <c r="I684" s="17" t="str">
        <f>IF($C684="","",IF(COUNTIFS('RAW_농산물_7월'!$D:$D,$C684,'RAW_농산물_7월'!$A:$A,$E684)&gt;0,"O",""))</f>
        <v/>
      </c>
      <c r="J684" s="17" t="str">
        <f>IF($C684="","",IF(COUNTIFS('RAW_농산물_8월'!$D:$D,$C684,'RAW_농산물_8월'!$A:$A,$E684)&gt;0,"O",""))</f>
        <v/>
      </c>
      <c r="K684" s="17" t="str">
        <f>IF($C684="","",IF(COUNTIFS('RAW_농산물_9월'!$D:$D,$C684,'RAW_농산물_9월'!$A:$A,$E684)&gt;0,"O",""))</f>
        <v/>
      </c>
      <c r="L684" s="17" t="str">
        <f>IF($C684="","",IF(COUNTIFS('RAW_농산물_10월'!$D:$D,$C684,'RAW_농산물_10월'!$A:$A,$E684)&gt;0,"O",""))</f>
        <v/>
      </c>
      <c r="M684" s="17" t="str">
        <f>IF($C684="","",IF(COUNTIFS('RAW_농산물_11-12월'!$D:$D,$C684,'RAW_농산물_11-12월'!$A:$A,$E684)&gt;0,"O",""))</f>
        <v/>
      </c>
      <c r="N684" s="7" t="str">
        <f>IF($C684="","",IF(COUNTA('RAW_농산물_7월'!$A:$A)&lt;=1,"",SUMIFS('RAW_농산물_7월'!$H:$H,'RAW_농산물_7월'!$D:$D,$C684,'RAW_농산물_7월'!$A:$A,$E684)))</f>
        <v/>
      </c>
      <c r="O684" s="7" t="str">
        <f>IF($C684="","",IF(COUNTA('RAW_농산물_8월'!$A:$A)&lt;=1,"",SUMIFS('RAW_농산물_8월'!$H:$H,'RAW_농산물_8월'!$D:$D,$C684,'RAW_농산물_8월'!$A:$A,$E684)-SUMIFS('RAW_농산물_7월'!$H:$H,'RAW_농산물_7월'!$D:$D,$C684,'RAW_농산물_7월'!$A:$A,$E684)))</f>
        <v/>
      </c>
      <c r="P684" s="7" t="str">
        <f>IF($C684="","",IF(COUNTA('RAW_농산물_9월'!$A:$A)&lt;=1,"",SUMIFS('RAW_농산물_9월'!$H:$H,'RAW_농산물_9월'!$D:$D,$C684,'RAW_농산물_9월'!$A:$A,$E684)-SUMIFS('RAW_농산물_8월'!$H:$H,'RAW_농산물_8월'!$D:$D,$C684,'RAW_농산물_8월'!$A:$A,$E684)))</f>
        <v/>
      </c>
      <c r="Q684" s="7" t="str">
        <f>IF($C684="","",IF(COUNTA('RAW_농산물_10월'!$A:$A)&lt;=1,"",SUMIFS('RAW_농산물_10월'!$H:$H,'RAW_농산물_10월'!$D:$D,$C684,'RAW_농산물_10월'!$A:$A,$E684)-SUMIFS('RAW_농산물_9월'!$H:$H,'RAW_농산물_9월'!$D:$D,$C684,'RAW_농산물_9월'!$A:$A,$E684)))</f>
        <v/>
      </c>
      <c r="R684" s="7" t="str">
        <f>IF($C684="","",IF(COUNTA('RAW_농산물_11-12월'!$A:$A)&lt;=1,"",SUMIFS('RAW_농산물_11-12월'!$H:$H,'RAW_농산물_11-12월'!$D:$D,$C684,'RAW_농산물_11-12월'!$A:$A,$E684)-SUMIFS('RAW_농산물_10월'!$H:$H,'RAW_농산물_10월'!$D:$D,$C684,'RAW_농산물_10월'!$A:$A,$E684)))</f>
        <v/>
      </c>
      <c r="S684" s="17" t="str">
        <f t="shared" si="4"/>
        <v/>
      </c>
      <c r="T684" s="17" t="str">
        <f t="shared" si="5"/>
        <v/>
      </c>
      <c r="U684" s="7">
        <f>IF($C684="",0,IF('설정'!$B$3=0,0,CHOOSE('설정'!$B$3,COUNTIFS('RAW_농산물_7월'!$D:$D,$C684,'RAW_농산물_7월'!$A:$A,$E684),COUNTIFS('RAW_농산물_8월'!$D:$D,$C684,'RAW_농산물_8월'!$A:$A,$E684),COUNTIFS('RAW_농산물_9월'!$D:$D,$C684,'RAW_농산물_9월'!$A:$A,$E684),COUNTIFS('RAW_농산물_10월'!$D:$D,$C684,'RAW_농산물_10월'!$A:$A,$E684),COUNTIFS('RAW_농산물_11-12월'!$D:$D,$C684,'RAW_농산물_11-12월'!$A:$A,$E684))))</f>
        <v>0</v>
      </c>
    </row>
    <row r="685" ht="15.75" customHeight="1">
      <c r="A685" s="5"/>
      <c r="B685" s="5"/>
      <c r="C685" s="5"/>
      <c r="D685" s="6"/>
      <c r="E685" s="5"/>
      <c r="F685" s="7" t="str">
        <f>IF($C685="","",IF('설정'!$B$3=0,"",CHOOSE('설정'!$B$3,SUMIFS('RAW_농산물_7월'!$F:$F,'RAW_농산물_7월'!$D:$D,$C685,'RAW_농산물_7월'!$A:$A,$E685),SUMIFS('RAW_농산물_8월'!$F:$F,'RAW_농산물_8월'!$D:$D,$C685,'RAW_농산물_8월'!$A:$A,$E685),SUMIFS('RAW_농산물_9월'!$F:$F,'RAW_농산물_9월'!$D:$D,$C685,'RAW_농산물_9월'!$A:$A,$E685),SUMIFS('RAW_농산물_10월'!$F:$F,'RAW_농산물_10월'!$D:$D,$C685,'RAW_농산물_10월'!$A:$A,$E685),SUMIFS('RAW_농산물_11-12월'!$F:$F,'RAW_농산물_11-12월'!$D:$D,$C685,'RAW_농산물_11-12월'!$A:$A,$E685))))</f>
        <v/>
      </c>
      <c r="G685" s="7" t="str">
        <f>IF($C685="","",IF('설정'!$B$3=0,"",CHOOSE('설정'!$B$3,SUMIFS('RAW_농산물_7월'!$G:$G,'RAW_농산물_7월'!$D:$D,$C685,'RAW_농산물_7월'!$A:$A,$E685),SUMIFS('RAW_농산물_8월'!$G:$G,'RAW_농산물_8월'!$D:$D,$C685,'RAW_농산물_8월'!$A:$A,$E685),SUMIFS('RAW_농산물_9월'!$G:$G,'RAW_농산물_9월'!$D:$D,$C685,'RAW_농산물_9월'!$A:$A,$E685),SUMIFS('RAW_농산물_10월'!$G:$G,'RAW_농산물_10월'!$D:$D,$C685,'RAW_농산물_10월'!$A:$A,$E685),SUMIFS('RAW_농산물_11-12월'!$G:$G,'RAW_농산물_11-12월'!$D:$D,$C685,'RAW_농산물_11-12월'!$A:$A,$E685))))</f>
        <v/>
      </c>
      <c r="H685" s="14" t="str">
        <f>IF($C685="","",IF('설정'!$B$3=0,"",CHOOSE('설정'!$B$3,SUMIFS('RAW_농산물_7월'!$H:$H,'RAW_농산물_7월'!$D:$D,$C685,'RAW_농산물_7월'!$A:$A,$E685),SUMIFS('RAW_농산물_8월'!$H:$H,'RAW_농산물_8월'!$D:$D,$C685,'RAW_농산물_8월'!$A:$A,$E685),SUMIFS('RAW_농산물_9월'!$H:$H,'RAW_농산물_9월'!$D:$D,$C685,'RAW_농산물_9월'!$A:$A,$E685),SUMIFS('RAW_농산물_10월'!$H:$H,'RAW_농산물_10월'!$D:$D,$C685,'RAW_농산물_10월'!$A:$A,$E685),SUMIFS('RAW_농산물_11-12월'!$H:$H,'RAW_농산물_11-12월'!$D:$D,$C685,'RAW_농산물_11-12월'!$A:$A,$E685))))</f>
        <v/>
      </c>
      <c r="I685" s="17" t="str">
        <f>IF($C685="","",IF(COUNTIFS('RAW_농산물_7월'!$D:$D,$C685,'RAW_농산물_7월'!$A:$A,$E685)&gt;0,"O",""))</f>
        <v/>
      </c>
      <c r="J685" s="17" t="str">
        <f>IF($C685="","",IF(COUNTIFS('RAW_농산물_8월'!$D:$D,$C685,'RAW_농산물_8월'!$A:$A,$E685)&gt;0,"O",""))</f>
        <v/>
      </c>
      <c r="K685" s="17" t="str">
        <f>IF($C685="","",IF(COUNTIFS('RAW_농산물_9월'!$D:$D,$C685,'RAW_농산물_9월'!$A:$A,$E685)&gt;0,"O",""))</f>
        <v/>
      </c>
      <c r="L685" s="17" t="str">
        <f>IF($C685="","",IF(COUNTIFS('RAW_농산물_10월'!$D:$D,$C685,'RAW_농산물_10월'!$A:$A,$E685)&gt;0,"O",""))</f>
        <v/>
      </c>
      <c r="M685" s="17" t="str">
        <f>IF($C685="","",IF(COUNTIFS('RAW_농산물_11-12월'!$D:$D,$C685,'RAW_농산물_11-12월'!$A:$A,$E685)&gt;0,"O",""))</f>
        <v/>
      </c>
      <c r="N685" s="7" t="str">
        <f>IF($C685="","",IF(COUNTA('RAW_농산물_7월'!$A:$A)&lt;=1,"",SUMIFS('RAW_농산물_7월'!$H:$H,'RAW_농산물_7월'!$D:$D,$C685,'RAW_농산물_7월'!$A:$A,$E685)))</f>
        <v/>
      </c>
      <c r="O685" s="7" t="str">
        <f>IF($C685="","",IF(COUNTA('RAW_농산물_8월'!$A:$A)&lt;=1,"",SUMIFS('RAW_농산물_8월'!$H:$H,'RAW_농산물_8월'!$D:$D,$C685,'RAW_농산물_8월'!$A:$A,$E685)-SUMIFS('RAW_농산물_7월'!$H:$H,'RAW_농산물_7월'!$D:$D,$C685,'RAW_농산물_7월'!$A:$A,$E685)))</f>
        <v/>
      </c>
      <c r="P685" s="7" t="str">
        <f>IF($C685="","",IF(COUNTA('RAW_농산물_9월'!$A:$A)&lt;=1,"",SUMIFS('RAW_농산물_9월'!$H:$H,'RAW_농산물_9월'!$D:$D,$C685,'RAW_농산물_9월'!$A:$A,$E685)-SUMIFS('RAW_농산물_8월'!$H:$H,'RAW_농산물_8월'!$D:$D,$C685,'RAW_농산물_8월'!$A:$A,$E685)))</f>
        <v/>
      </c>
      <c r="Q685" s="7" t="str">
        <f>IF($C685="","",IF(COUNTA('RAW_농산물_10월'!$A:$A)&lt;=1,"",SUMIFS('RAW_농산물_10월'!$H:$H,'RAW_농산물_10월'!$D:$D,$C685,'RAW_농산물_10월'!$A:$A,$E685)-SUMIFS('RAW_농산물_9월'!$H:$H,'RAW_농산물_9월'!$D:$D,$C685,'RAW_농산물_9월'!$A:$A,$E685)))</f>
        <v/>
      </c>
      <c r="R685" s="7" t="str">
        <f>IF($C685="","",IF(COUNTA('RAW_농산물_11-12월'!$A:$A)&lt;=1,"",SUMIFS('RAW_농산물_11-12월'!$H:$H,'RAW_농산물_11-12월'!$D:$D,$C685,'RAW_농산물_11-12월'!$A:$A,$E685)-SUMIFS('RAW_농산물_10월'!$H:$H,'RAW_농산물_10월'!$D:$D,$C685,'RAW_농산물_10월'!$A:$A,$E685)))</f>
        <v/>
      </c>
      <c r="S685" s="17" t="str">
        <f t="shared" si="4"/>
        <v/>
      </c>
      <c r="T685" s="17" t="str">
        <f t="shared" si="5"/>
        <v/>
      </c>
      <c r="U685" s="7">
        <f>IF($C685="",0,IF('설정'!$B$3=0,0,CHOOSE('설정'!$B$3,COUNTIFS('RAW_농산물_7월'!$D:$D,$C685,'RAW_농산물_7월'!$A:$A,$E685),COUNTIFS('RAW_농산물_8월'!$D:$D,$C685,'RAW_농산물_8월'!$A:$A,$E685),COUNTIFS('RAW_농산물_9월'!$D:$D,$C685,'RAW_농산물_9월'!$A:$A,$E685),COUNTIFS('RAW_농산물_10월'!$D:$D,$C685,'RAW_농산물_10월'!$A:$A,$E685),COUNTIFS('RAW_농산물_11-12월'!$D:$D,$C685,'RAW_농산물_11-12월'!$A:$A,$E685))))</f>
        <v>0</v>
      </c>
    </row>
    <row r="686" ht="15.75" customHeight="1">
      <c r="A686" s="5"/>
      <c r="B686" s="5"/>
      <c r="C686" s="5"/>
      <c r="D686" s="6"/>
      <c r="E686" s="5"/>
      <c r="F686" s="7" t="str">
        <f>IF($C686="","",IF('설정'!$B$3=0,"",CHOOSE('설정'!$B$3,SUMIFS('RAW_농산물_7월'!$F:$F,'RAW_농산물_7월'!$D:$D,$C686,'RAW_농산물_7월'!$A:$A,$E686),SUMIFS('RAW_농산물_8월'!$F:$F,'RAW_농산물_8월'!$D:$D,$C686,'RAW_농산물_8월'!$A:$A,$E686),SUMIFS('RAW_농산물_9월'!$F:$F,'RAW_농산물_9월'!$D:$D,$C686,'RAW_농산물_9월'!$A:$A,$E686),SUMIFS('RAW_농산물_10월'!$F:$F,'RAW_농산물_10월'!$D:$D,$C686,'RAW_농산물_10월'!$A:$A,$E686),SUMIFS('RAW_농산물_11-12월'!$F:$F,'RAW_농산물_11-12월'!$D:$D,$C686,'RAW_농산물_11-12월'!$A:$A,$E686))))</f>
        <v/>
      </c>
      <c r="G686" s="7" t="str">
        <f>IF($C686="","",IF('설정'!$B$3=0,"",CHOOSE('설정'!$B$3,SUMIFS('RAW_농산물_7월'!$G:$G,'RAW_농산물_7월'!$D:$D,$C686,'RAW_농산물_7월'!$A:$A,$E686),SUMIFS('RAW_농산물_8월'!$G:$G,'RAW_농산물_8월'!$D:$D,$C686,'RAW_농산물_8월'!$A:$A,$E686),SUMIFS('RAW_농산물_9월'!$G:$G,'RAW_농산물_9월'!$D:$D,$C686,'RAW_농산물_9월'!$A:$A,$E686),SUMIFS('RAW_농산물_10월'!$G:$G,'RAW_농산물_10월'!$D:$D,$C686,'RAW_농산물_10월'!$A:$A,$E686),SUMIFS('RAW_농산물_11-12월'!$G:$G,'RAW_농산물_11-12월'!$D:$D,$C686,'RAW_농산물_11-12월'!$A:$A,$E686))))</f>
        <v/>
      </c>
      <c r="H686" s="14" t="str">
        <f>IF($C686="","",IF('설정'!$B$3=0,"",CHOOSE('설정'!$B$3,SUMIFS('RAW_농산물_7월'!$H:$H,'RAW_농산물_7월'!$D:$D,$C686,'RAW_농산물_7월'!$A:$A,$E686),SUMIFS('RAW_농산물_8월'!$H:$H,'RAW_농산물_8월'!$D:$D,$C686,'RAW_농산물_8월'!$A:$A,$E686),SUMIFS('RAW_농산물_9월'!$H:$H,'RAW_농산물_9월'!$D:$D,$C686,'RAW_농산물_9월'!$A:$A,$E686),SUMIFS('RAW_농산물_10월'!$H:$H,'RAW_농산물_10월'!$D:$D,$C686,'RAW_농산물_10월'!$A:$A,$E686),SUMIFS('RAW_농산물_11-12월'!$H:$H,'RAW_농산물_11-12월'!$D:$D,$C686,'RAW_농산물_11-12월'!$A:$A,$E686))))</f>
        <v/>
      </c>
      <c r="I686" s="17" t="str">
        <f>IF($C686="","",IF(COUNTIFS('RAW_농산물_7월'!$D:$D,$C686,'RAW_농산물_7월'!$A:$A,$E686)&gt;0,"O",""))</f>
        <v/>
      </c>
      <c r="J686" s="17" t="str">
        <f>IF($C686="","",IF(COUNTIFS('RAW_농산물_8월'!$D:$D,$C686,'RAW_농산물_8월'!$A:$A,$E686)&gt;0,"O",""))</f>
        <v/>
      </c>
      <c r="K686" s="17" t="str">
        <f>IF($C686="","",IF(COUNTIFS('RAW_농산물_9월'!$D:$D,$C686,'RAW_농산물_9월'!$A:$A,$E686)&gt;0,"O",""))</f>
        <v/>
      </c>
      <c r="L686" s="17" t="str">
        <f>IF($C686="","",IF(COUNTIFS('RAW_농산물_10월'!$D:$D,$C686,'RAW_농산물_10월'!$A:$A,$E686)&gt;0,"O",""))</f>
        <v/>
      </c>
      <c r="M686" s="17" t="str">
        <f>IF($C686="","",IF(COUNTIFS('RAW_농산물_11-12월'!$D:$D,$C686,'RAW_농산물_11-12월'!$A:$A,$E686)&gt;0,"O",""))</f>
        <v/>
      </c>
      <c r="N686" s="7" t="str">
        <f>IF($C686="","",IF(COUNTA('RAW_농산물_7월'!$A:$A)&lt;=1,"",SUMIFS('RAW_농산물_7월'!$H:$H,'RAW_농산물_7월'!$D:$D,$C686,'RAW_농산물_7월'!$A:$A,$E686)))</f>
        <v/>
      </c>
      <c r="O686" s="7" t="str">
        <f>IF($C686="","",IF(COUNTA('RAW_농산물_8월'!$A:$A)&lt;=1,"",SUMIFS('RAW_농산물_8월'!$H:$H,'RAW_농산물_8월'!$D:$D,$C686,'RAW_농산물_8월'!$A:$A,$E686)-SUMIFS('RAW_농산물_7월'!$H:$H,'RAW_농산물_7월'!$D:$D,$C686,'RAW_농산물_7월'!$A:$A,$E686)))</f>
        <v/>
      </c>
      <c r="P686" s="7" t="str">
        <f>IF($C686="","",IF(COUNTA('RAW_농산물_9월'!$A:$A)&lt;=1,"",SUMIFS('RAW_농산물_9월'!$H:$H,'RAW_농산물_9월'!$D:$D,$C686,'RAW_농산물_9월'!$A:$A,$E686)-SUMIFS('RAW_농산물_8월'!$H:$H,'RAW_농산물_8월'!$D:$D,$C686,'RAW_농산물_8월'!$A:$A,$E686)))</f>
        <v/>
      </c>
      <c r="Q686" s="7" t="str">
        <f>IF($C686="","",IF(COUNTA('RAW_농산물_10월'!$A:$A)&lt;=1,"",SUMIFS('RAW_농산물_10월'!$H:$H,'RAW_농산물_10월'!$D:$D,$C686,'RAW_농산물_10월'!$A:$A,$E686)-SUMIFS('RAW_농산물_9월'!$H:$H,'RAW_농산물_9월'!$D:$D,$C686,'RAW_농산물_9월'!$A:$A,$E686)))</f>
        <v/>
      </c>
      <c r="R686" s="7" t="str">
        <f>IF($C686="","",IF(COUNTA('RAW_농산물_11-12월'!$A:$A)&lt;=1,"",SUMIFS('RAW_농산물_11-12월'!$H:$H,'RAW_농산물_11-12월'!$D:$D,$C686,'RAW_농산물_11-12월'!$A:$A,$E686)-SUMIFS('RAW_농산물_10월'!$H:$H,'RAW_농산물_10월'!$D:$D,$C686,'RAW_농산물_10월'!$A:$A,$E686)))</f>
        <v/>
      </c>
      <c r="S686" s="17" t="str">
        <f t="shared" si="4"/>
        <v/>
      </c>
      <c r="T686" s="17" t="str">
        <f t="shared" si="5"/>
        <v/>
      </c>
      <c r="U686" s="7">
        <f>IF($C686="",0,IF('설정'!$B$3=0,0,CHOOSE('설정'!$B$3,COUNTIFS('RAW_농산물_7월'!$D:$D,$C686,'RAW_농산물_7월'!$A:$A,$E686),COUNTIFS('RAW_농산물_8월'!$D:$D,$C686,'RAW_농산물_8월'!$A:$A,$E686),COUNTIFS('RAW_농산물_9월'!$D:$D,$C686,'RAW_농산물_9월'!$A:$A,$E686),COUNTIFS('RAW_농산물_10월'!$D:$D,$C686,'RAW_농산물_10월'!$A:$A,$E686),COUNTIFS('RAW_농산물_11-12월'!$D:$D,$C686,'RAW_농산물_11-12월'!$A:$A,$E686))))</f>
        <v>0</v>
      </c>
    </row>
    <row r="687" ht="15.75" customHeight="1">
      <c r="A687" s="5"/>
      <c r="B687" s="5"/>
      <c r="C687" s="5"/>
      <c r="D687" s="6"/>
      <c r="E687" s="5"/>
      <c r="F687" s="7" t="str">
        <f>IF($C687="","",IF('설정'!$B$3=0,"",CHOOSE('설정'!$B$3,SUMIFS('RAW_농산물_7월'!$F:$F,'RAW_농산물_7월'!$D:$D,$C687,'RAW_농산물_7월'!$A:$A,$E687),SUMIFS('RAW_농산물_8월'!$F:$F,'RAW_농산물_8월'!$D:$D,$C687,'RAW_농산물_8월'!$A:$A,$E687),SUMIFS('RAW_농산물_9월'!$F:$F,'RAW_농산물_9월'!$D:$D,$C687,'RAW_농산물_9월'!$A:$A,$E687),SUMIFS('RAW_농산물_10월'!$F:$F,'RAW_농산물_10월'!$D:$D,$C687,'RAW_농산물_10월'!$A:$A,$E687),SUMIFS('RAW_농산물_11-12월'!$F:$F,'RAW_농산물_11-12월'!$D:$D,$C687,'RAW_농산물_11-12월'!$A:$A,$E687))))</f>
        <v/>
      </c>
      <c r="G687" s="7" t="str">
        <f>IF($C687="","",IF('설정'!$B$3=0,"",CHOOSE('설정'!$B$3,SUMIFS('RAW_농산물_7월'!$G:$G,'RAW_농산물_7월'!$D:$D,$C687,'RAW_농산물_7월'!$A:$A,$E687),SUMIFS('RAW_농산물_8월'!$G:$G,'RAW_농산물_8월'!$D:$D,$C687,'RAW_농산물_8월'!$A:$A,$E687),SUMIFS('RAW_농산물_9월'!$G:$G,'RAW_농산물_9월'!$D:$D,$C687,'RAW_농산물_9월'!$A:$A,$E687),SUMIFS('RAW_농산물_10월'!$G:$G,'RAW_농산물_10월'!$D:$D,$C687,'RAW_농산물_10월'!$A:$A,$E687),SUMIFS('RAW_농산물_11-12월'!$G:$G,'RAW_농산물_11-12월'!$D:$D,$C687,'RAW_농산물_11-12월'!$A:$A,$E687))))</f>
        <v/>
      </c>
      <c r="H687" s="14" t="str">
        <f>IF($C687="","",IF('설정'!$B$3=0,"",CHOOSE('설정'!$B$3,SUMIFS('RAW_농산물_7월'!$H:$H,'RAW_농산물_7월'!$D:$D,$C687,'RAW_농산물_7월'!$A:$A,$E687),SUMIFS('RAW_농산물_8월'!$H:$H,'RAW_농산물_8월'!$D:$D,$C687,'RAW_농산물_8월'!$A:$A,$E687),SUMIFS('RAW_농산물_9월'!$H:$H,'RAW_농산물_9월'!$D:$D,$C687,'RAW_농산물_9월'!$A:$A,$E687),SUMIFS('RAW_농산물_10월'!$H:$H,'RAW_농산물_10월'!$D:$D,$C687,'RAW_농산물_10월'!$A:$A,$E687),SUMIFS('RAW_농산물_11-12월'!$H:$H,'RAW_농산물_11-12월'!$D:$D,$C687,'RAW_농산물_11-12월'!$A:$A,$E687))))</f>
        <v/>
      </c>
      <c r="I687" s="17" t="str">
        <f>IF($C687="","",IF(COUNTIFS('RAW_농산물_7월'!$D:$D,$C687,'RAW_농산물_7월'!$A:$A,$E687)&gt;0,"O",""))</f>
        <v/>
      </c>
      <c r="J687" s="17" t="str">
        <f>IF($C687="","",IF(COUNTIFS('RAW_농산물_8월'!$D:$D,$C687,'RAW_농산물_8월'!$A:$A,$E687)&gt;0,"O",""))</f>
        <v/>
      </c>
      <c r="K687" s="17" t="str">
        <f>IF($C687="","",IF(COUNTIFS('RAW_농산물_9월'!$D:$D,$C687,'RAW_농산물_9월'!$A:$A,$E687)&gt;0,"O",""))</f>
        <v/>
      </c>
      <c r="L687" s="17" t="str">
        <f>IF($C687="","",IF(COUNTIFS('RAW_농산물_10월'!$D:$D,$C687,'RAW_농산물_10월'!$A:$A,$E687)&gt;0,"O",""))</f>
        <v/>
      </c>
      <c r="M687" s="17" t="str">
        <f>IF($C687="","",IF(COUNTIFS('RAW_농산물_11-12월'!$D:$D,$C687,'RAW_농산물_11-12월'!$A:$A,$E687)&gt;0,"O",""))</f>
        <v/>
      </c>
      <c r="N687" s="7" t="str">
        <f>IF($C687="","",IF(COUNTA('RAW_농산물_7월'!$A:$A)&lt;=1,"",SUMIFS('RAW_농산물_7월'!$H:$H,'RAW_농산물_7월'!$D:$D,$C687,'RAW_농산물_7월'!$A:$A,$E687)))</f>
        <v/>
      </c>
      <c r="O687" s="7" t="str">
        <f>IF($C687="","",IF(COUNTA('RAW_농산물_8월'!$A:$A)&lt;=1,"",SUMIFS('RAW_농산물_8월'!$H:$H,'RAW_농산물_8월'!$D:$D,$C687,'RAW_농산물_8월'!$A:$A,$E687)-SUMIFS('RAW_농산물_7월'!$H:$H,'RAW_농산물_7월'!$D:$D,$C687,'RAW_농산물_7월'!$A:$A,$E687)))</f>
        <v/>
      </c>
      <c r="P687" s="7" t="str">
        <f>IF($C687="","",IF(COUNTA('RAW_농산물_9월'!$A:$A)&lt;=1,"",SUMIFS('RAW_농산물_9월'!$H:$H,'RAW_농산물_9월'!$D:$D,$C687,'RAW_농산물_9월'!$A:$A,$E687)-SUMIFS('RAW_농산물_8월'!$H:$H,'RAW_농산물_8월'!$D:$D,$C687,'RAW_농산물_8월'!$A:$A,$E687)))</f>
        <v/>
      </c>
      <c r="Q687" s="7" t="str">
        <f>IF($C687="","",IF(COUNTA('RAW_농산물_10월'!$A:$A)&lt;=1,"",SUMIFS('RAW_농산물_10월'!$H:$H,'RAW_농산물_10월'!$D:$D,$C687,'RAW_농산물_10월'!$A:$A,$E687)-SUMIFS('RAW_농산물_9월'!$H:$H,'RAW_농산물_9월'!$D:$D,$C687,'RAW_농산물_9월'!$A:$A,$E687)))</f>
        <v/>
      </c>
      <c r="R687" s="7" t="str">
        <f>IF($C687="","",IF(COUNTA('RAW_농산물_11-12월'!$A:$A)&lt;=1,"",SUMIFS('RAW_농산물_11-12월'!$H:$H,'RAW_농산물_11-12월'!$D:$D,$C687,'RAW_농산물_11-12월'!$A:$A,$E687)-SUMIFS('RAW_농산물_10월'!$H:$H,'RAW_농산물_10월'!$D:$D,$C687,'RAW_농산물_10월'!$A:$A,$E687)))</f>
        <v/>
      </c>
      <c r="S687" s="17" t="str">
        <f t="shared" si="4"/>
        <v/>
      </c>
      <c r="T687" s="17" t="str">
        <f t="shared" si="5"/>
        <v/>
      </c>
      <c r="U687" s="7">
        <f>IF($C687="",0,IF('설정'!$B$3=0,0,CHOOSE('설정'!$B$3,COUNTIFS('RAW_농산물_7월'!$D:$D,$C687,'RAW_농산물_7월'!$A:$A,$E687),COUNTIFS('RAW_농산물_8월'!$D:$D,$C687,'RAW_농산물_8월'!$A:$A,$E687),COUNTIFS('RAW_농산물_9월'!$D:$D,$C687,'RAW_농산물_9월'!$A:$A,$E687),COUNTIFS('RAW_농산물_10월'!$D:$D,$C687,'RAW_농산물_10월'!$A:$A,$E687),COUNTIFS('RAW_농산물_11-12월'!$D:$D,$C687,'RAW_농산물_11-12월'!$A:$A,$E687))))</f>
        <v>0</v>
      </c>
    </row>
    <row r="688" ht="15.75" customHeight="1">
      <c r="A688" s="5"/>
      <c r="B688" s="5"/>
      <c r="C688" s="5"/>
      <c r="D688" s="6"/>
      <c r="E688" s="5"/>
      <c r="F688" s="7" t="str">
        <f>IF($C688="","",IF('설정'!$B$3=0,"",CHOOSE('설정'!$B$3,SUMIFS('RAW_농산물_7월'!$F:$F,'RAW_농산물_7월'!$D:$D,$C688,'RAW_농산물_7월'!$A:$A,$E688),SUMIFS('RAW_농산물_8월'!$F:$F,'RAW_농산물_8월'!$D:$D,$C688,'RAW_농산물_8월'!$A:$A,$E688),SUMIFS('RAW_농산물_9월'!$F:$F,'RAW_농산물_9월'!$D:$D,$C688,'RAW_농산물_9월'!$A:$A,$E688),SUMIFS('RAW_농산물_10월'!$F:$F,'RAW_농산물_10월'!$D:$D,$C688,'RAW_농산물_10월'!$A:$A,$E688),SUMIFS('RAW_농산물_11-12월'!$F:$F,'RAW_농산물_11-12월'!$D:$D,$C688,'RAW_농산물_11-12월'!$A:$A,$E688))))</f>
        <v/>
      </c>
      <c r="G688" s="7" t="str">
        <f>IF($C688="","",IF('설정'!$B$3=0,"",CHOOSE('설정'!$B$3,SUMIFS('RAW_농산물_7월'!$G:$G,'RAW_농산물_7월'!$D:$D,$C688,'RAW_농산물_7월'!$A:$A,$E688),SUMIFS('RAW_농산물_8월'!$G:$G,'RAW_농산물_8월'!$D:$D,$C688,'RAW_농산물_8월'!$A:$A,$E688),SUMIFS('RAW_농산물_9월'!$G:$G,'RAW_농산물_9월'!$D:$D,$C688,'RAW_농산물_9월'!$A:$A,$E688),SUMIFS('RAW_농산물_10월'!$G:$G,'RAW_농산물_10월'!$D:$D,$C688,'RAW_농산물_10월'!$A:$A,$E688),SUMIFS('RAW_농산물_11-12월'!$G:$G,'RAW_농산물_11-12월'!$D:$D,$C688,'RAW_농산물_11-12월'!$A:$A,$E688))))</f>
        <v/>
      </c>
      <c r="H688" s="14" t="str">
        <f>IF($C688="","",IF('설정'!$B$3=0,"",CHOOSE('설정'!$B$3,SUMIFS('RAW_농산물_7월'!$H:$H,'RAW_농산물_7월'!$D:$D,$C688,'RAW_농산물_7월'!$A:$A,$E688),SUMIFS('RAW_농산물_8월'!$H:$H,'RAW_농산물_8월'!$D:$D,$C688,'RAW_농산물_8월'!$A:$A,$E688),SUMIFS('RAW_농산물_9월'!$H:$H,'RAW_농산물_9월'!$D:$D,$C688,'RAW_농산물_9월'!$A:$A,$E688),SUMIFS('RAW_농산물_10월'!$H:$H,'RAW_농산물_10월'!$D:$D,$C688,'RAW_농산물_10월'!$A:$A,$E688),SUMIFS('RAW_농산물_11-12월'!$H:$H,'RAW_농산물_11-12월'!$D:$D,$C688,'RAW_농산물_11-12월'!$A:$A,$E688))))</f>
        <v/>
      </c>
      <c r="I688" s="17" t="str">
        <f>IF($C688="","",IF(COUNTIFS('RAW_농산물_7월'!$D:$D,$C688,'RAW_농산물_7월'!$A:$A,$E688)&gt;0,"O",""))</f>
        <v/>
      </c>
      <c r="J688" s="17" t="str">
        <f>IF($C688="","",IF(COUNTIFS('RAW_농산물_8월'!$D:$D,$C688,'RAW_농산물_8월'!$A:$A,$E688)&gt;0,"O",""))</f>
        <v/>
      </c>
      <c r="K688" s="17" t="str">
        <f>IF($C688="","",IF(COUNTIFS('RAW_농산물_9월'!$D:$D,$C688,'RAW_농산물_9월'!$A:$A,$E688)&gt;0,"O",""))</f>
        <v/>
      </c>
      <c r="L688" s="17" t="str">
        <f>IF($C688="","",IF(COUNTIFS('RAW_농산물_10월'!$D:$D,$C688,'RAW_농산물_10월'!$A:$A,$E688)&gt;0,"O",""))</f>
        <v/>
      </c>
      <c r="M688" s="17" t="str">
        <f>IF($C688="","",IF(COUNTIFS('RAW_농산물_11-12월'!$D:$D,$C688,'RAW_농산물_11-12월'!$A:$A,$E688)&gt;0,"O",""))</f>
        <v/>
      </c>
      <c r="N688" s="7" t="str">
        <f>IF($C688="","",IF(COUNTA('RAW_농산물_7월'!$A:$A)&lt;=1,"",SUMIFS('RAW_농산물_7월'!$H:$H,'RAW_농산물_7월'!$D:$D,$C688,'RAW_농산물_7월'!$A:$A,$E688)))</f>
        <v/>
      </c>
      <c r="O688" s="7" t="str">
        <f>IF($C688="","",IF(COUNTA('RAW_농산물_8월'!$A:$A)&lt;=1,"",SUMIFS('RAW_농산물_8월'!$H:$H,'RAW_농산물_8월'!$D:$D,$C688,'RAW_농산물_8월'!$A:$A,$E688)-SUMIFS('RAW_농산물_7월'!$H:$H,'RAW_농산물_7월'!$D:$D,$C688,'RAW_농산물_7월'!$A:$A,$E688)))</f>
        <v/>
      </c>
      <c r="P688" s="7" t="str">
        <f>IF($C688="","",IF(COUNTA('RAW_농산물_9월'!$A:$A)&lt;=1,"",SUMIFS('RAW_농산물_9월'!$H:$H,'RAW_농산물_9월'!$D:$D,$C688,'RAW_농산물_9월'!$A:$A,$E688)-SUMIFS('RAW_농산물_8월'!$H:$H,'RAW_농산물_8월'!$D:$D,$C688,'RAW_농산물_8월'!$A:$A,$E688)))</f>
        <v/>
      </c>
      <c r="Q688" s="7" t="str">
        <f>IF($C688="","",IF(COUNTA('RAW_농산물_10월'!$A:$A)&lt;=1,"",SUMIFS('RAW_농산물_10월'!$H:$H,'RAW_농산물_10월'!$D:$D,$C688,'RAW_농산물_10월'!$A:$A,$E688)-SUMIFS('RAW_농산물_9월'!$H:$H,'RAW_농산물_9월'!$D:$D,$C688,'RAW_농산물_9월'!$A:$A,$E688)))</f>
        <v/>
      </c>
      <c r="R688" s="7" t="str">
        <f>IF($C688="","",IF(COUNTA('RAW_농산물_11-12월'!$A:$A)&lt;=1,"",SUMIFS('RAW_농산물_11-12월'!$H:$H,'RAW_농산물_11-12월'!$D:$D,$C688,'RAW_농산물_11-12월'!$A:$A,$E688)-SUMIFS('RAW_농산물_10월'!$H:$H,'RAW_농산물_10월'!$D:$D,$C688,'RAW_농산물_10월'!$A:$A,$E688)))</f>
        <v/>
      </c>
      <c r="S688" s="17" t="str">
        <f t="shared" si="4"/>
        <v/>
      </c>
      <c r="T688" s="17" t="str">
        <f t="shared" si="5"/>
        <v/>
      </c>
      <c r="U688" s="7">
        <f>IF($C688="",0,IF('설정'!$B$3=0,0,CHOOSE('설정'!$B$3,COUNTIFS('RAW_농산물_7월'!$D:$D,$C688,'RAW_농산물_7월'!$A:$A,$E688),COUNTIFS('RAW_농산물_8월'!$D:$D,$C688,'RAW_농산물_8월'!$A:$A,$E688),COUNTIFS('RAW_농산물_9월'!$D:$D,$C688,'RAW_농산물_9월'!$A:$A,$E688),COUNTIFS('RAW_농산물_10월'!$D:$D,$C688,'RAW_농산물_10월'!$A:$A,$E688),COUNTIFS('RAW_농산물_11-12월'!$D:$D,$C688,'RAW_농산물_11-12월'!$A:$A,$E688))))</f>
        <v>0</v>
      </c>
    </row>
    <row r="689" ht="15.75" customHeight="1">
      <c r="A689" s="5"/>
      <c r="B689" s="5"/>
      <c r="C689" s="5"/>
      <c r="D689" s="6"/>
      <c r="E689" s="5"/>
      <c r="F689" s="7" t="str">
        <f>IF($C689="","",IF('설정'!$B$3=0,"",CHOOSE('설정'!$B$3,SUMIFS('RAW_농산물_7월'!$F:$F,'RAW_농산물_7월'!$D:$D,$C689,'RAW_농산물_7월'!$A:$A,$E689),SUMIFS('RAW_농산물_8월'!$F:$F,'RAW_농산물_8월'!$D:$D,$C689,'RAW_농산물_8월'!$A:$A,$E689),SUMIFS('RAW_농산물_9월'!$F:$F,'RAW_농산물_9월'!$D:$D,$C689,'RAW_농산물_9월'!$A:$A,$E689),SUMIFS('RAW_농산물_10월'!$F:$F,'RAW_농산물_10월'!$D:$D,$C689,'RAW_농산물_10월'!$A:$A,$E689),SUMIFS('RAW_농산물_11-12월'!$F:$F,'RAW_농산물_11-12월'!$D:$D,$C689,'RAW_농산물_11-12월'!$A:$A,$E689))))</f>
        <v/>
      </c>
      <c r="G689" s="7" t="str">
        <f>IF($C689="","",IF('설정'!$B$3=0,"",CHOOSE('설정'!$B$3,SUMIFS('RAW_농산물_7월'!$G:$G,'RAW_농산물_7월'!$D:$D,$C689,'RAW_농산물_7월'!$A:$A,$E689),SUMIFS('RAW_농산물_8월'!$G:$G,'RAW_농산물_8월'!$D:$D,$C689,'RAW_농산물_8월'!$A:$A,$E689),SUMIFS('RAW_농산물_9월'!$G:$G,'RAW_농산물_9월'!$D:$D,$C689,'RAW_농산물_9월'!$A:$A,$E689),SUMIFS('RAW_농산물_10월'!$G:$G,'RAW_농산물_10월'!$D:$D,$C689,'RAW_농산물_10월'!$A:$A,$E689),SUMIFS('RAW_농산물_11-12월'!$G:$G,'RAW_농산물_11-12월'!$D:$D,$C689,'RAW_농산물_11-12월'!$A:$A,$E689))))</f>
        <v/>
      </c>
      <c r="H689" s="14" t="str">
        <f>IF($C689="","",IF('설정'!$B$3=0,"",CHOOSE('설정'!$B$3,SUMIFS('RAW_농산물_7월'!$H:$H,'RAW_농산물_7월'!$D:$D,$C689,'RAW_농산물_7월'!$A:$A,$E689),SUMIFS('RAW_농산물_8월'!$H:$H,'RAW_농산물_8월'!$D:$D,$C689,'RAW_농산물_8월'!$A:$A,$E689),SUMIFS('RAW_농산물_9월'!$H:$H,'RAW_농산물_9월'!$D:$D,$C689,'RAW_농산물_9월'!$A:$A,$E689),SUMIFS('RAW_농산물_10월'!$H:$H,'RAW_농산물_10월'!$D:$D,$C689,'RAW_농산물_10월'!$A:$A,$E689),SUMIFS('RAW_농산물_11-12월'!$H:$H,'RAW_농산물_11-12월'!$D:$D,$C689,'RAW_농산물_11-12월'!$A:$A,$E689))))</f>
        <v/>
      </c>
      <c r="I689" s="17" t="str">
        <f>IF($C689="","",IF(COUNTIFS('RAW_농산물_7월'!$D:$D,$C689,'RAW_농산물_7월'!$A:$A,$E689)&gt;0,"O",""))</f>
        <v/>
      </c>
      <c r="J689" s="17" t="str">
        <f>IF($C689="","",IF(COUNTIFS('RAW_농산물_8월'!$D:$D,$C689,'RAW_농산물_8월'!$A:$A,$E689)&gt;0,"O",""))</f>
        <v/>
      </c>
      <c r="K689" s="17" t="str">
        <f>IF($C689="","",IF(COUNTIFS('RAW_농산물_9월'!$D:$D,$C689,'RAW_농산물_9월'!$A:$A,$E689)&gt;0,"O",""))</f>
        <v/>
      </c>
      <c r="L689" s="17" t="str">
        <f>IF($C689="","",IF(COUNTIFS('RAW_농산물_10월'!$D:$D,$C689,'RAW_농산물_10월'!$A:$A,$E689)&gt;0,"O",""))</f>
        <v/>
      </c>
      <c r="M689" s="17" t="str">
        <f>IF($C689="","",IF(COUNTIFS('RAW_농산물_11-12월'!$D:$D,$C689,'RAW_농산물_11-12월'!$A:$A,$E689)&gt;0,"O",""))</f>
        <v/>
      </c>
      <c r="N689" s="7" t="str">
        <f>IF($C689="","",IF(COUNTA('RAW_농산물_7월'!$A:$A)&lt;=1,"",SUMIFS('RAW_농산물_7월'!$H:$H,'RAW_농산물_7월'!$D:$D,$C689,'RAW_농산물_7월'!$A:$A,$E689)))</f>
        <v/>
      </c>
      <c r="O689" s="7" t="str">
        <f>IF($C689="","",IF(COUNTA('RAW_농산물_8월'!$A:$A)&lt;=1,"",SUMIFS('RAW_농산물_8월'!$H:$H,'RAW_농산물_8월'!$D:$D,$C689,'RAW_농산물_8월'!$A:$A,$E689)-SUMIFS('RAW_농산물_7월'!$H:$H,'RAW_농산물_7월'!$D:$D,$C689,'RAW_농산물_7월'!$A:$A,$E689)))</f>
        <v/>
      </c>
      <c r="P689" s="7" t="str">
        <f>IF($C689="","",IF(COUNTA('RAW_농산물_9월'!$A:$A)&lt;=1,"",SUMIFS('RAW_농산물_9월'!$H:$H,'RAW_농산물_9월'!$D:$D,$C689,'RAW_농산물_9월'!$A:$A,$E689)-SUMIFS('RAW_농산물_8월'!$H:$H,'RAW_농산물_8월'!$D:$D,$C689,'RAW_농산물_8월'!$A:$A,$E689)))</f>
        <v/>
      </c>
      <c r="Q689" s="7" t="str">
        <f>IF($C689="","",IF(COUNTA('RAW_농산물_10월'!$A:$A)&lt;=1,"",SUMIFS('RAW_농산물_10월'!$H:$H,'RAW_농산물_10월'!$D:$D,$C689,'RAW_농산물_10월'!$A:$A,$E689)-SUMIFS('RAW_농산물_9월'!$H:$H,'RAW_농산물_9월'!$D:$D,$C689,'RAW_농산물_9월'!$A:$A,$E689)))</f>
        <v/>
      </c>
      <c r="R689" s="7" t="str">
        <f>IF($C689="","",IF(COUNTA('RAW_농산물_11-12월'!$A:$A)&lt;=1,"",SUMIFS('RAW_농산물_11-12월'!$H:$H,'RAW_농산물_11-12월'!$D:$D,$C689,'RAW_농산물_11-12월'!$A:$A,$E689)-SUMIFS('RAW_농산물_10월'!$H:$H,'RAW_농산물_10월'!$D:$D,$C689,'RAW_농산물_10월'!$A:$A,$E689)))</f>
        <v/>
      </c>
      <c r="S689" s="17" t="str">
        <f t="shared" si="4"/>
        <v/>
      </c>
      <c r="T689" s="17" t="str">
        <f t="shared" si="5"/>
        <v/>
      </c>
      <c r="U689" s="7">
        <f>IF($C689="",0,IF('설정'!$B$3=0,0,CHOOSE('설정'!$B$3,COUNTIFS('RAW_농산물_7월'!$D:$D,$C689,'RAW_농산물_7월'!$A:$A,$E689),COUNTIFS('RAW_농산물_8월'!$D:$D,$C689,'RAW_농산물_8월'!$A:$A,$E689),COUNTIFS('RAW_농산물_9월'!$D:$D,$C689,'RAW_농산물_9월'!$A:$A,$E689),COUNTIFS('RAW_농산물_10월'!$D:$D,$C689,'RAW_농산물_10월'!$A:$A,$E689),COUNTIFS('RAW_농산물_11-12월'!$D:$D,$C689,'RAW_농산물_11-12월'!$A:$A,$E689))))</f>
        <v>0</v>
      </c>
    </row>
    <row r="690" ht="15.75" customHeight="1">
      <c r="A690" s="5"/>
      <c r="B690" s="5"/>
      <c r="C690" s="5"/>
      <c r="D690" s="6"/>
      <c r="E690" s="5"/>
      <c r="F690" s="7" t="str">
        <f>IF($C690="","",IF('설정'!$B$3=0,"",CHOOSE('설정'!$B$3,SUMIFS('RAW_농산물_7월'!$F:$F,'RAW_농산물_7월'!$D:$D,$C690,'RAW_농산물_7월'!$A:$A,$E690),SUMIFS('RAW_농산물_8월'!$F:$F,'RAW_농산물_8월'!$D:$D,$C690,'RAW_농산물_8월'!$A:$A,$E690),SUMIFS('RAW_농산물_9월'!$F:$F,'RAW_농산물_9월'!$D:$D,$C690,'RAW_농산물_9월'!$A:$A,$E690),SUMIFS('RAW_농산물_10월'!$F:$F,'RAW_농산물_10월'!$D:$D,$C690,'RAW_농산물_10월'!$A:$A,$E690),SUMIFS('RAW_농산물_11-12월'!$F:$F,'RAW_농산물_11-12월'!$D:$D,$C690,'RAW_농산물_11-12월'!$A:$A,$E690))))</f>
        <v/>
      </c>
      <c r="G690" s="7" t="str">
        <f>IF($C690="","",IF('설정'!$B$3=0,"",CHOOSE('설정'!$B$3,SUMIFS('RAW_농산물_7월'!$G:$G,'RAW_농산물_7월'!$D:$D,$C690,'RAW_농산물_7월'!$A:$A,$E690),SUMIFS('RAW_농산물_8월'!$G:$G,'RAW_농산물_8월'!$D:$D,$C690,'RAW_농산물_8월'!$A:$A,$E690),SUMIFS('RAW_농산물_9월'!$G:$G,'RAW_농산물_9월'!$D:$D,$C690,'RAW_농산물_9월'!$A:$A,$E690),SUMIFS('RAW_농산물_10월'!$G:$G,'RAW_농산물_10월'!$D:$D,$C690,'RAW_농산물_10월'!$A:$A,$E690),SUMIFS('RAW_농산물_11-12월'!$G:$G,'RAW_농산물_11-12월'!$D:$D,$C690,'RAW_농산물_11-12월'!$A:$A,$E690))))</f>
        <v/>
      </c>
      <c r="H690" s="14" t="str">
        <f>IF($C690="","",IF('설정'!$B$3=0,"",CHOOSE('설정'!$B$3,SUMIFS('RAW_농산물_7월'!$H:$H,'RAW_농산물_7월'!$D:$D,$C690,'RAW_농산물_7월'!$A:$A,$E690),SUMIFS('RAW_농산물_8월'!$H:$H,'RAW_농산물_8월'!$D:$D,$C690,'RAW_농산물_8월'!$A:$A,$E690),SUMIFS('RAW_농산물_9월'!$H:$H,'RAW_농산물_9월'!$D:$D,$C690,'RAW_농산물_9월'!$A:$A,$E690),SUMIFS('RAW_농산물_10월'!$H:$H,'RAW_농산물_10월'!$D:$D,$C690,'RAW_농산물_10월'!$A:$A,$E690),SUMIFS('RAW_농산물_11-12월'!$H:$H,'RAW_농산물_11-12월'!$D:$D,$C690,'RAW_농산물_11-12월'!$A:$A,$E690))))</f>
        <v/>
      </c>
      <c r="I690" s="17" t="str">
        <f>IF($C690="","",IF(COUNTIFS('RAW_농산물_7월'!$D:$D,$C690,'RAW_농산물_7월'!$A:$A,$E690)&gt;0,"O",""))</f>
        <v/>
      </c>
      <c r="J690" s="17" t="str">
        <f>IF($C690="","",IF(COUNTIFS('RAW_농산물_8월'!$D:$D,$C690,'RAW_농산물_8월'!$A:$A,$E690)&gt;0,"O",""))</f>
        <v/>
      </c>
      <c r="K690" s="17" t="str">
        <f>IF($C690="","",IF(COUNTIFS('RAW_농산물_9월'!$D:$D,$C690,'RAW_농산물_9월'!$A:$A,$E690)&gt;0,"O",""))</f>
        <v/>
      </c>
      <c r="L690" s="17" t="str">
        <f>IF($C690="","",IF(COUNTIFS('RAW_농산물_10월'!$D:$D,$C690,'RAW_농산물_10월'!$A:$A,$E690)&gt;0,"O",""))</f>
        <v/>
      </c>
      <c r="M690" s="17" t="str">
        <f>IF($C690="","",IF(COUNTIFS('RAW_농산물_11-12월'!$D:$D,$C690,'RAW_농산물_11-12월'!$A:$A,$E690)&gt;0,"O",""))</f>
        <v/>
      </c>
      <c r="N690" s="7" t="str">
        <f>IF($C690="","",IF(COUNTA('RAW_농산물_7월'!$A:$A)&lt;=1,"",SUMIFS('RAW_농산물_7월'!$H:$H,'RAW_농산물_7월'!$D:$D,$C690,'RAW_농산물_7월'!$A:$A,$E690)))</f>
        <v/>
      </c>
      <c r="O690" s="7" t="str">
        <f>IF($C690="","",IF(COUNTA('RAW_농산물_8월'!$A:$A)&lt;=1,"",SUMIFS('RAW_농산물_8월'!$H:$H,'RAW_농산물_8월'!$D:$D,$C690,'RAW_농산물_8월'!$A:$A,$E690)-SUMIFS('RAW_농산물_7월'!$H:$H,'RAW_농산물_7월'!$D:$D,$C690,'RAW_농산물_7월'!$A:$A,$E690)))</f>
        <v/>
      </c>
      <c r="P690" s="7" t="str">
        <f>IF($C690="","",IF(COUNTA('RAW_농산물_9월'!$A:$A)&lt;=1,"",SUMIFS('RAW_농산물_9월'!$H:$H,'RAW_농산물_9월'!$D:$D,$C690,'RAW_농산물_9월'!$A:$A,$E690)-SUMIFS('RAW_농산물_8월'!$H:$H,'RAW_농산물_8월'!$D:$D,$C690,'RAW_농산물_8월'!$A:$A,$E690)))</f>
        <v/>
      </c>
      <c r="Q690" s="7" t="str">
        <f>IF($C690="","",IF(COUNTA('RAW_농산물_10월'!$A:$A)&lt;=1,"",SUMIFS('RAW_농산물_10월'!$H:$H,'RAW_농산물_10월'!$D:$D,$C690,'RAW_농산물_10월'!$A:$A,$E690)-SUMIFS('RAW_농산물_9월'!$H:$H,'RAW_농산물_9월'!$D:$D,$C690,'RAW_농산물_9월'!$A:$A,$E690)))</f>
        <v/>
      </c>
      <c r="R690" s="7" t="str">
        <f>IF($C690="","",IF(COUNTA('RAW_농산물_11-12월'!$A:$A)&lt;=1,"",SUMIFS('RAW_농산물_11-12월'!$H:$H,'RAW_농산물_11-12월'!$D:$D,$C690,'RAW_농산물_11-12월'!$A:$A,$E690)-SUMIFS('RAW_농산물_10월'!$H:$H,'RAW_농산물_10월'!$D:$D,$C690,'RAW_농산물_10월'!$A:$A,$E690)))</f>
        <v/>
      </c>
      <c r="S690" s="17" t="str">
        <f t="shared" si="4"/>
        <v/>
      </c>
      <c r="T690" s="17" t="str">
        <f t="shared" si="5"/>
        <v/>
      </c>
      <c r="U690" s="7">
        <f>IF($C690="",0,IF('설정'!$B$3=0,0,CHOOSE('설정'!$B$3,COUNTIFS('RAW_농산물_7월'!$D:$D,$C690,'RAW_농산물_7월'!$A:$A,$E690),COUNTIFS('RAW_농산물_8월'!$D:$D,$C690,'RAW_농산물_8월'!$A:$A,$E690),COUNTIFS('RAW_농산물_9월'!$D:$D,$C690,'RAW_농산물_9월'!$A:$A,$E690),COUNTIFS('RAW_농산물_10월'!$D:$D,$C690,'RAW_농산물_10월'!$A:$A,$E690),COUNTIFS('RAW_농산물_11-12월'!$D:$D,$C690,'RAW_농산물_11-12월'!$A:$A,$E690))))</f>
        <v>0</v>
      </c>
    </row>
    <row r="691" ht="15.75" customHeight="1">
      <c r="A691" s="5"/>
      <c r="B691" s="5"/>
      <c r="C691" s="5"/>
      <c r="D691" s="6"/>
      <c r="E691" s="5"/>
      <c r="F691" s="7" t="str">
        <f>IF($C691="","",IF('설정'!$B$3=0,"",CHOOSE('설정'!$B$3,SUMIFS('RAW_농산물_7월'!$F:$F,'RAW_농산물_7월'!$D:$D,$C691,'RAW_농산물_7월'!$A:$A,$E691),SUMIFS('RAW_농산물_8월'!$F:$F,'RAW_농산물_8월'!$D:$D,$C691,'RAW_농산물_8월'!$A:$A,$E691),SUMIFS('RAW_농산물_9월'!$F:$F,'RAW_농산물_9월'!$D:$D,$C691,'RAW_농산물_9월'!$A:$A,$E691),SUMIFS('RAW_농산물_10월'!$F:$F,'RAW_농산물_10월'!$D:$D,$C691,'RAW_농산물_10월'!$A:$A,$E691),SUMIFS('RAW_농산물_11-12월'!$F:$F,'RAW_농산물_11-12월'!$D:$D,$C691,'RAW_농산물_11-12월'!$A:$A,$E691))))</f>
        <v/>
      </c>
      <c r="G691" s="7" t="str">
        <f>IF($C691="","",IF('설정'!$B$3=0,"",CHOOSE('설정'!$B$3,SUMIFS('RAW_농산물_7월'!$G:$G,'RAW_농산물_7월'!$D:$D,$C691,'RAW_농산물_7월'!$A:$A,$E691),SUMIFS('RAW_농산물_8월'!$G:$G,'RAW_농산물_8월'!$D:$D,$C691,'RAW_농산물_8월'!$A:$A,$E691),SUMIFS('RAW_농산물_9월'!$G:$G,'RAW_농산물_9월'!$D:$D,$C691,'RAW_농산물_9월'!$A:$A,$E691),SUMIFS('RAW_농산물_10월'!$G:$G,'RAW_농산물_10월'!$D:$D,$C691,'RAW_농산물_10월'!$A:$A,$E691),SUMIFS('RAW_농산물_11-12월'!$G:$G,'RAW_농산물_11-12월'!$D:$D,$C691,'RAW_농산물_11-12월'!$A:$A,$E691))))</f>
        <v/>
      </c>
      <c r="H691" s="14" t="str">
        <f>IF($C691="","",IF('설정'!$B$3=0,"",CHOOSE('설정'!$B$3,SUMIFS('RAW_농산물_7월'!$H:$H,'RAW_농산물_7월'!$D:$D,$C691,'RAW_농산물_7월'!$A:$A,$E691),SUMIFS('RAW_농산물_8월'!$H:$H,'RAW_농산물_8월'!$D:$D,$C691,'RAW_농산물_8월'!$A:$A,$E691),SUMIFS('RAW_농산물_9월'!$H:$H,'RAW_농산물_9월'!$D:$D,$C691,'RAW_농산물_9월'!$A:$A,$E691),SUMIFS('RAW_농산물_10월'!$H:$H,'RAW_농산물_10월'!$D:$D,$C691,'RAW_농산물_10월'!$A:$A,$E691),SUMIFS('RAW_농산물_11-12월'!$H:$H,'RAW_농산물_11-12월'!$D:$D,$C691,'RAW_농산물_11-12월'!$A:$A,$E691))))</f>
        <v/>
      </c>
      <c r="I691" s="17" t="str">
        <f>IF($C691="","",IF(COUNTIFS('RAW_농산물_7월'!$D:$D,$C691,'RAW_농산물_7월'!$A:$A,$E691)&gt;0,"O",""))</f>
        <v/>
      </c>
      <c r="J691" s="17" t="str">
        <f>IF($C691="","",IF(COUNTIFS('RAW_농산물_8월'!$D:$D,$C691,'RAW_농산물_8월'!$A:$A,$E691)&gt;0,"O",""))</f>
        <v/>
      </c>
      <c r="K691" s="17" t="str">
        <f>IF($C691="","",IF(COUNTIFS('RAW_농산물_9월'!$D:$D,$C691,'RAW_농산물_9월'!$A:$A,$E691)&gt;0,"O",""))</f>
        <v/>
      </c>
      <c r="L691" s="17" t="str">
        <f>IF($C691="","",IF(COUNTIFS('RAW_농산물_10월'!$D:$D,$C691,'RAW_농산물_10월'!$A:$A,$E691)&gt;0,"O",""))</f>
        <v/>
      </c>
      <c r="M691" s="17" t="str">
        <f>IF($C691="","",IF(COUNTIFS('RAW_농산물_11-12월'!$D:$D,$C691,'RAW_농산물_11-12월'!$A:$A,$E691)&gt;0,"O",""))</f>
        <v/>
      </c>
      <c r="N691" s="7" t="str">
        <f>IF($C691="","",IF(COUNTA('RAW_농산물_7월'!$A:$A)&lt;=1,"",SUMIFS('RAW_농산물_7월'!$H:$H,'RAW_농산물_7월'!$D:$D,$C691,'RAW_농산물_7월'!$A:$A,$E691)))</f>
        <v/>
      </c>
      <c r="O691" s="7" t="str">
        <f>IF($C691="","",IF(COUNTA('RAW_농산물_8월'!$A:$A)&lt;=1,"",SUMIFS('RAW_농산물_8월'!$H:$H,'RAW_농산물_8월'!$D:$D,$C691,'RAW_농산물_8월'!$A:$A,$E691)-SUMIFS('RAW_농산물_7월'!$H:$H,'RAW_농산물_7월'!$D:$D,$C691,'RAW_농산물_7월'!$A:$A,$E691)))</f>
        <v/>
      </c>
      <c r="P691" s="7" t="str">
        <f>IF($C691="","",IF(COUNTA('RAW_농산물_9월'!$A:$A)&lt;=1,"",SUMIFS('RAW_농산물_9월'!$H:$H,'RAW_농산물_9월'!$D:$D,$C691,'RAW_농산물_9월'!$A:$A,$E691)-SUMIFS('RAW_농산물_8월'!$H:$H,'RAW_농산물_8월'!$D:$D,$C691,'RAW_농산물_8월'!$A:$A,$E691)))</f>
        <v/>
      </c>
      <c r="Q691" s="7" t="str">
        <f>IF($C691="","",IF(COUNTA('RAW_농산물_10월'!$A:$A)&lt;=1,"",SUMIFS('RAW_농산물_10월'!$H:$H,'RAW_농산물_10월'!$D:$D,$C691,'RAW_농산물_10월'!$A:$A,$E691)-SUMIFS('RAW_농산물_9월'!$H:$H,'RAW_농산물_9월'!$D:$D,$C691,'RAW_농산물_9월'!$A:$A,$E691)))</f>
        <v/>
      </c>
      <c r="R691" s="7" t="str">
        <f>IF($C691="","",IF(COUNTA('RAW_농산물_11-12월'!$A:$A)&lt;=1,"",SUMIFS('RAW_농산물_11-12월'!$H:$H,'RAW_농산물_11-12월'!$D:$D,$C691,'RAW_농산물_11-12월'!$A:$A,$E691)-SUMIFS('RAW_농산물_10월'!$H:$H,'RAW_농산물_10월'!$D:$D,$C691,'RAW_농산물_10월'!$A:$A,$E691)))</f>
        <v/>
      </c>
      <c r="S691" s="17" t="str">
        <f t="shared" si="4"/>
        <v/>
      </c>
      <c r="T691" s="17" t="str">
        <f t="shared" si="5"/>
        <v/>
      </c>
      <c r="U691" s="7">
        <f>IF($C691="",0,IF('설정'!$B$3=0,0,CHOOSE('설정'!$B$3,COUNTIFS('RAW_농산물_7월'!$D:$D,$C691,'RAW_농산물_7월'!$A:$A,$E691),COUNTIFS('RAW_농산물_8월'!$D:$D,$C691,'RAW_농산물_8월'!$A:$A,$E691),COUNTIFS('RAW_농산물_9월'!$D:$D,$C691,'RAW_농산물_9월'!$A:$A,$E691),COUNTIFS('RAW_농산물_10월'!$D:$D,$C691,'RAW_농산물_10월'!$A:$A,$E691),COUNTIFS('RAW_농산물_11-12월'!$D:$D,$C691,'RAW_농산물_11-12월'!$A:$A,$E691))))</f>
        <v>0</v>
      </c>
    </row>
    <row r="692" ht="15.75" customHeight="1">
      <c r="A692" s="5"/>
      <c r="B692" s="5"/>
      <c r="C692" s="5"/>
      <c r="D692" s="6"/>
      <c r="E692" s="5"/>
      <c r="F692" s="7" t="str">
        <f>IF($C692="","",IF('설정'!$B$3=0,"",CHOOSE('설정'!$B$3,SUMIFS('RAW_농산물_7월'!$F:$F,'RAW_농산물_7월'!$D:$D,$C692,'RAW_농산물_7월'!$A:$A,$E692),SUMIFS('RAW_농산물_8월'!$F:$F,'RAW_농산물_8월'!$D:$D,$C692,'RAW_농산물_8월'!$A:$A,$E692),SUMIFS('RAW_농산물_9월'!$F:$F,'RAW_농산물_9월'!$D:$D,$C692,'RAW_농산물_9월'!$A:$A,$E692),SUMIFS('RAW_농산물_10월'!$F:$F,'RAW_농산물_10월'!$D:$D,$C692,'RAW_농산물_10월'!$A:$A,$E692),SUMIFS('RAW_농산물_11-12월'!$F:$F,'RAW_농산물_11-12월'!$D:$D,$C692,'RAW_농산물_11-12월'!$A:$A,$E692))))</f>
        <v/>
      </c>
      <c r="G692" s="7" t="str">
        <f>IF($C692="","",IF('설정'!$B$3=0,"",CHOOSE('설정'!$B$3,SUMIFS('RAW_농산물_7월'!$G:$G,'RAW_농산물_7월'!$D:$D,$C692,'RAW_농산물_7월'!$A:$A,$E692),SUMIFS('RAW_농산물_8월'!$G:$G,'RAW_농산물_8월'!$D:$D,$C692,'RAW_농산물_8월'!$A:$A,$E692),SUMIFS('RAW_농산물_9월'!$G:$G,'RAW_농산물_9월'!$D:$D,$C692,'RAW_농산물_9월'!$A:$A,$E692),SUMIFS('RAW_농산물_10월'!$G:$G,'RAW_농산물_10월'!$D:$D,$C692,'RAW_농산물_10월'!$A:$A,$E692),SUMIFS('RAW_농산물_11-12월'!$G:$G,'RAW_농산물_11-12월'!$D:$D,$C692,'RAW_농산물_11-12월'!$A:$A,$E692))))</f>
        <v/>
      </c>
      <c r="H692" s="14" t="str">
        <f>IF($C692="","",IF('설정'!$B$3=0,"",CHOOSE('설정'!$B$3,SUMIFS('RAW_농산물_7월'!$H:$H,'RAW_농산물_7월'!$D:$D,$C692,'RAW_농산물_7월'!$A:$A,$E692),SUMIFS('RAW_농산물_8월'!$H:$H,'RAW_농산물_8월'!$D:$D,$C692,'RAW_농산물_8월'!$A:$A,$E692),SUMIFS('RAW_농산물_9월'!$H:$H,'RAW_농산물_9월'!$D:$D,$C692,'RAW_농산물_9월'!$A:$A,$E692),SUMIFS('RAW_농산물_10월'!$H:$H,'RAW_농산물_10월'!$D:$D,$C692,'RAW_농산물_10월'!$A:$A,$E692),SUMIFS('RAW_농산물_11-12월'!$H:$H,'RAW_농산물_11-12월'!$D:$D,$C692,'RAW_농산물_11-12월'!$A:$A,$E692))))</f>
        <v/>
      </c>
      <c r="I692" s="17" t="str">
        <f>IF($C692="","",IF(COUNTIFS('RAW_농산물_7월'!$D:$D,$C692,'RAW_농산물_7월'!$A:$A,$E692)&gt;0,"O",""))</f>
        <v/>
      </c>
      <c r="J692" s="17" t="str">
        <f>IF($C692="","",IF(COUNTIFS('RAW_농산물_8월'!$D:$D,$C692,'RAW_농산물_8월'!$A:$A,$E692)&gt;0,"O",""))</f>
        <v/>
      </c>
      <c r="K692" s="17" t="str">
        <f>IF($C692="","",IF(COUNTIFS('RAW_농산물_9월'!$D:$D,$C692,'RAW_농산물_9월'!$A:$A,$E692)&gt;0,"O",""))</f>
        <v/>
      </c>
      <c r="L692" s="17" t="str">
        <f>IF($C692="","",IF(COUNTIFS('RAW_농산물_10월'!$D:$D,$C692,'RAW_농산물_10월'!$A:$A,$E692)&gt;0,"O",""))</f>
        <v/>
      </c>
      <c r="M692" s="17" t="str">
        <f>IF($C692="","",IF(COUNTIFS('RAW_농산물_11-12월'!$D:$D,$C692,'RAW_농산물_11-12월'!$A:$A,$E692)&gt;0,"O",""))</f>
        <v/>
      </c>
      <c r="N692" s="7" t="str">
        <f>IF($C692="","",IF(COUNTA('RAW_농산물_7월'!$A:$A)&lt;=1,"",SUMIFS('RAW_농산물_7월'!$H:$H,'RAW_농산물_7월'!$D:$D,$C692,'RAW_농산물_7월'!$A:$A,$E692)))</f>
        <v/>
      </c>
      <c r="O692" s="7" t="str">
        <f>IF($C692="","",IF(COUNTA('RAW_농산물_8월'!$A:$A)&lt;=1,"",SUMIFS('RAW_농산물_8월'!$H:$H,'RAW_농산물_8월'!$D:$D,$C692,'RAW_농산물_8월'!$A:$A,$E692)-SUMIFS('RAW_농산물_7월'!$H:$H,'RAW_농산물_7월'!$D:$D,$C692,'RAW_농산물_7월'!$A:$A,$E692)))</f>
        <v/>
      </c>
      <c r="P692" s="7" t="str">
        <f>IF($C692="","",IF(COUNTA('RAW_농산물_9월'!$A:$A)&lt;=1,"",SUMIFS('RAW_농산물_9월'!$H:$H,'RAW_농산물_9월'!$D:$D,$C692,'RAW_농산물_9월'!$A:$A,$E692)-SUMIFS('RAW_농산물_8월'!$H:$H,'RAW_농산물_8월'!$D:$D,$C692,'RAW_농산물_8월'!$A:$A,$E692)))</f>
        <v/>
      </c>
      <c r="Q692" s="7" t="str">
        <f>IF($C692="","",IF(COUNTA('RAW_농산물_10월'!$A:$A)&lt;=1,"",SUMIFS('RAW_농산물_10월'!$H:$H,'RAW_농산물_10월'!$D:$D,$C692,'RAW_농산물_10월'!$A:$A,$E692)-SUMIFS('RAW_농산물_9월'!$H:$H,'RAW_농산물_9월'!$D:$D,$C692,'RAW_농산물_9월'!$A:$A,$E692)))</f>
        <v/>
      </c>
      <c r="R692" s="7" t="str">
        <f>IF($C692="","",IF(COUNTA('RAW_농산물_11-12월'!$A:$A)&lt;=1,"",SUMIFS('RAW_농산물_11-12월'!$H:$H,'RAW_농산물_11-12월'!$D:$D,$C692,'RAW_농산물_11-12월'!$A:$A,$E692)-SUMIFS('RAW_농산물_10월'!$H:$H,'RAW_농산물_10월'!$D:$D,$C692,'RAW_농산물_10월'!$A:$A,$E692)))</f>
        <v/>
      </c>
      <c r="S692" s="17" t="str">
        <f t="shared" si="4"/>
        <v/>
      </c>
      <c r="T692" s="17" t="str">
        <f t="shared" si="5"/>
        <v/>
      </c>
      <c r="U692" s="7">
        <f>IF($C692="",0,IF('설정'!$B$3=0,0,CHOOSE('설정'!$B$3,COUNTIFS('RAW_농산물_7월'!$D:$D,$C692,'RAW_농산물_7월'!$A:$A,$E692),COUNTIFS('RAW_농산물_8월'!$D:$D,$C692,'RAW_농산물_8월'!$A:$A,$E692),COUNTIFS('RAW_농산물_9월'!$D:$D,$C692,'RAW_농산물_9월'!$A:$A,$E692),COUNTIFS('RAW_농산물_10월'!$D:$D,$C692,'RAW_농산물_10월'!$A:$A,$E692),COUNTIFS('RAW_농산물_11-12월'!$D:$D,$C692,'RAW_농산물_11-12월'!$A:$A,$E692))))</f>
        <v>0</v>
      </c>
    </row>
    <row r="693" ht="15.75" customHeight="1">
      <c r="A693" s="5"/>
      <c r="B693" s="5"/>
      <c r="C693" s="5"/>
      <c r="D693" s="6"/>
      <c r="E693" s="5"/>
      <c r="F693" s="7" t="str">
        <f>IF($C693="","",IF('설정'!$B$3=0,"",CHOOSE('설정'!$B$3,SUMIFS('RAW_농산물_7월'!$F:$F,'RAW_농산물_7월'!$D:$D,$C693,'RAW_농산물_7월'!$A:$A,$E693),SUMIFS('RAW_농산물_8월'!$F:$F,'RAW_농산물_8월'!$D:$D,$C693,'RAW_농산물_8월'!$A:$A,$E693),SUMIFS('RAW_농산물_9월'!$F:$F,'RAW_농산물_9월'!$D:$D,$C693,'RAW_농산물_9월'!$A:$A,$E693),SUMIFS('RAW_농산물_10월'!$F:$F,'RAW_농산물_10월'!$D:$D,$C693,'RAW_농산물_10월'!$A:$A,$E693),SUMIFS('RAW_농산물_11-12월'!$F:$F,'RAW_농산물_11-12월'!$D:$D,$C693,'RAW_농산물_11-12월'!$A:$A,$E693))))</f>
        <v/>
      </c>
      <c r="G693" s="7" t="str">
        <f>IF($C693="","",IF('설정'!$B$3=0,"",CHOOSE('설정'!$B$3,SUMIFS('RAW_농산물_7월'!$G:$G,'RAW_농산물_7월'!$D:$D,$C693,'RAW_농산물_7월'!$A:$A,$E693),SUMIFS('RAW_농산물_8월'!$G:$G,'RAW_농산물_8월'!$D:$D,$C693,'RAW_농산물_8월'!$A:$A,$E693),SUMIFS('RAW_농산물_9월'!$G:$G,'RAW_농산물_9월'!$D:$D,$C693,'RAW_농산물_9월'!$A:$A,$E693),SUMIFS('RAW_농산물_10월'!$G:$G,'RAW_농산물_10월'!$D:$D,$C693,'RAW_농산물_10월'!$A:$A,$E693),SUMIFS('RAW_농산물_11-12월'!$G:$G,'RAW_농산물_11-12월'!$D:$D,$C693,'RAW_농산물_11-12월'!$A:$A,$E693))))</f>
        <v/>
      </c>
      <c r="H693" s="14" t="str">
        <f>IF($C693="","",IF('설정'!$B$3=0,"",CHOOSE('설정'!$B$3,SUMIFS('RAW_농산물_7월'!$H:$H,'RAW_농산물_7월'!$D:$D,$C693,'RAW_농산물_7월'!$A:$A,$E693),SUMIFS('RAW_농산물_8월'!$H:$H,'RAW_농산물_8월'!$D:$D,$C693,'RAW_농산물_8월'!$A:$A,$E693),SUMIFS('RAW_농산물_9월'!$H:$H,'RAW_농산물_9월'!$D:$D,$C693,'RAW_농산물_9월'!$A:$A,$E693),SUMIFS('RAW_농산물_10월'!$H:$H,'RAW_농산물_10월'!$D:$D,$C693,'RAW_농산물_10월'!$A:$A,$E693),SUMIFS('RAW_농산물_11-12월'!$H:$H,'RAW_농산물_11-12월'!$D:$D,$C693,'RAW_농산물_11-12월'!$A:$A,$E693))))</f>
        <v/>
      </c>
      <c r="I693" s="17" t="str">
        <f>IF($C693="","",IF(COUNTIFS('RAW_농산물_7월'!$D:$D,$C693,'RAW_농산물_7월'!$A:$A,$E693)&gt;0,"O",""))</f>
        <v/>
      </c>
      <c r="J693" s="17" t="str">
        <f>IF($C693="","",IF(COUNTIFS('RAW_농산물_8월'!$D:$D,$C693,'RAW_농산물_8월'!$A:$A,$E693)&gt;0,"O",""))</f>
        <v/>
      </c>
      <c r="K693" s="17" t="str">
        <f>IF($C693="","",IF(COUNTIFS('RAW_농산물_9월'!$D:$D,$C693,'RAW_농산물_9월'!$A:$A,$E693)&gt;0,"O",""))</f>
        <v/>
      </c>
      <c r="L693" s="17" t="str">
        <f>IF($C693="","",IF(COUNTIFS('RAW_농산물_10월'!$D:$D,$C693,'RAW_농산물_10월'!$A:$A,$E693)&gt;0,"O",""))</f>
        <v/>
      </c>
      <c r="M693" s="17" t="str">
        <f>IF($C693="","",IF(COUNTIFS('RAW_농산물_11-12월'!$D:$D,$C693,'RAW_농산물_11-12월'!$A:$A,$E693)&gt;0,"O",""))</f>
        <v/>
      </c>
      <c r="N693" s="7" t="str">
        <f>IF($C693="","",IF(COUNTA('RAW_농산물_7월'!$A:$A)&lt;=1,"",SUMIFS('RAW_농산물_7월'!$H:$H,'RAW_농산물_7월'!$D:$D,$C693,'RAW_농산물_7월'!$A:$A,$E693)))</f>
        <v/>
      </c>
      <c r="O693" s="7" t="str">
        <f>IF($C693="","",IF(COUNTA('RAW_농산물_8월'!$A:$A)&lt;=1,"",SUMIFS('RAW_농산물_8월'!$H:$H,'RAW_농산물_8월'!$D:$D,$C693,'RAW_농산물_8월'!$A:$A,$E693)-SUMIFS('RAW_농산물_7월'!$H:$H,'RAW_농산물_7월'!$D:$D,$C693,'RAW_농산물_7월'!$A:$A,$E693)))</f>
        <v/>
      </c>
      <c r="P693" s="7" t="str">
        <f>IF($C693="","",IF(COUNTA('RAW_농산물_9월'!$A:$A)&lt;=1,"",SUMIFS('RAW_농산물_9월'!$H:$H,'RAW_농산물_9월'!$D:$D,$C693,'RAW_농산물_9월'!$A:$A,$E693)-SUMIFS('RAW_농산물_8월'!$H:$H,'RAW_농산물_8월'!$D:$D,$C693,'RAW_농산물_8월'!$A:$A,$E693)))</f>
        <v/>
      </c>
      <c r="Q693" s="7" t="str">
        <f>IF($C693="","",IF(COUNTA('RAW_농산물_10월'!$A:$A)&lt;=1,"",SUMIFS('RAW_농산물_10월'!$H:$H,'RAW_농산물_10월'!$D:$D,$C693,'RAW_농산물_10월'!$A:$A,$E693)-SUMIFS('RAW_농산물_9월'!$H:$H,'RAW_농산물_9월'!$D:$D,$C693,'RAW_농산물_9월'!$A:$A,$E693)))</f>
        <v/>
      </c>
      <c r="R693" s="7" t="str">
        <f>IF($C693="","",IF(COUNTA('RAW_농산물_11-12월'!$A:$A)&lt;=1,"",SUMIFS('RAW_농산물_11-12월'!$H:$H,'RAW_농산물_11-12월'!$D:$D,$C693,'RAW_농산물_11-12월'!$A:$A,$E693)-SUMIFS('RAW_농산물_10월'!$H:$H,'RAW_농산물_10월'!$D:$D,$C693,'RAW_농산물_10월'!$A:$A,$E693)))</f>
        <v/>
      </c>
      <c r="S693" s="17" t="str">
        <f t="shared" si="4"/>
        <v/>
      </c>
      <c r="T693" s="17" t="str">
        <f t="shared" si="5"/>
        <v/>
      </c>
      <c r="U693" s="7">
        <f>IF($C693="",0,IF('설정'!$B$3=0,0,CHOOSE('설정'!$B$3,COUNTIFS('RAW_농산물_7월'!$D:$D,$C693,'RAW_농산물_7월'!$A:$A,$E693),COUNTIFS('RAW_농산물_8월'!$D:$D,$C693,'RAW_농산물_8월'!$A:$A,$E693),COUNTIFS('RAW_농산물_9월'!$D:$D,$C693,'RAW_농산물_9월'!$A:$A,$E693),COUNTIFS('RAW_농산물_10월'!$D:$D,$C693,'RAW_농산물_10월'!$A:$A,$E693),COUNTIFS('RAW_농산물_11-12월'!$D:$D,$C693,'RAW_농산물_11-12월'!$A:$A,$E693))))</f>
        <v>0</v>
      </c>
    </row>
    <row r="694" ht="15.75" customHeight="1">
      <c r="A694" s="5"/>
      <c r="B694" s="5"/>
      <c r="C694" s="5"/>
      <c r="D694" s="6"/>
      <c r="E694" s="5"/>
      <c r="F694" s="7" t="str">
        <f>IF($C694="","",IF('설정'!$B$3=0,"",CHOOSE('설정'!$B$3,SUMIFS('RAW_농산물_7월'!$F:$F,'RAW_농산물_7월'!$D:$D,$C694,'RAW_농산물_7월'!$A:$A,$E694),SUMIFS('RAW_농산물_8월'!$F:$F,'RAW_농산물_8월'!$D:$D,$C694,'RAW_농산물_8월'!$A:$A,$E694),SUMIFS('RAW_농산물_9월'!$F:$F,'RAW_농산물_9월'!$D:$D,$C694,'RAW_농산물_9월'!$A:$A,$E694),SUMIFS('RAW_농산물_10월'!$F:$F,'RAW_농산물_10월'!$D:$D,$C694,'RAW_농산물_10월'!$A:$A,$E694),SUMIFS('RAW_농산물_11-12월'!$F:$F,'RAW_농산물_11-12월'!$D:$D,$C694,'RAW_농산물_11-12월'!$A:$A,$E694))))</f>
        <v/>
      </c>
      <c r="G694" s="7" t="str">
        <f>IF($C694="","",IF('설정'!$B$3=0,"",CHOOSE('설정'!$B$3,SUMIFS('RAW_농산물_7월'!$G:$G,'RAW_농산물_7월'!$D:$D,$C694,'RAW_농산물_7월'!$A:$A,$E694),SUMIFS('RAW_농산물_8월'!$G:$G,'RAW_농산물_8월'!$D:$D,$C694,'RAW_농산물_8월'!$A:$A,$E694),SUMIFS('RAW_농산물_9월'!$G:$G,'RAW_농산물_9월'!$D:$D,$C694,'RAW_농산물_9월'!$A:$A,$E694),SUMIFS('RAW_농산물_10월'!$G:$G,'RAW_농산물_10월'!$D:$D,$C694,'RAW_농산물_10월'!$A:$A,$E694),SUMIFS('RAW_농산물_11-12월'!$G:$G,'RAW_농산물_11-12월'!$D:$D,$C694,'RAW_농산물_11-12월'!$A:$A,$E694))))</f>
        <v/>
      </c>
      <c r="H694" s="14" t="str">
        <f>IF($C694="","",IF('설정'!$B$3=0,"",CHOOSE('설정'!$B$3,SUMIFS('RAW_농산물_7월'!$H:$H,'RAW_농산물_7월'!$D:$D,$C694,'RAW_농산물_7월'!$A:$A,$E694),SUMIFS('RAW_농산물_8월'!$H:$H,'RAW_농산물_8월'!$D:$D,$C694,'RAW_농산물_8월'!$A:$A,$E694),SUMIFS('RAW_농산물_9월'!$H:$H,'RAW_농산물_9월'!$D:$D,$C694,'RAW_농산물_9월'!$A:$A,$E694),SUMIFS('RAW_농산물_10월'!$H:$H,'RAW_농산물_10월'!$D:$D,$C694,'RAW_농산물_10월'!$A:$A,$E694),SUMIFS('RAW_농산물_11-12월'!$H:$H,'RAW_농산물_11-12월'!$D:$D,$C694,'RAW_농산물_11-12월'!$A:$A,$E694))))</f>
        <v/>
      </c>
      <c r="I694" s="17" t="str">
        <f>IF($C694="","",IF(COUNTIFS('RAW_농산물_7월'!$D:$D,$C694,'RAW_농산물_7월'!$A:$A,$E694)&gt;0,"O",""))</f>
        <v/>
      </c>
      <c r="J694" s="17" t="str">
        <f>IF($C694="","",IF(COUNTIFS('RAW_농산물_8월'!$D:$D,$C694,'RAW_농산물_8월'!$A:$A,$E694)&gt;0,"O",""))</f>
        <v/>
      </c>
      <c r="K694" s="17" t="str">
        <f>IF($C694="","",IF(COUNTIFS('RAW_농산물_9월'!$D:$D,$C694,'RAW_농산물_9월'!$A:$A,$E694)&gt;0,"O",""))</f>
        <v/>
      </c>
      <c r="L694" s="17" t="str">
        <f>IF($C694="","",IF(COUNTIFS('RAW_농산물_10월'!$D:$D,$C694,'RAW_농산물_10월'!$A:$A,$E694)&gt;0,"O",""))</f>
        <v/>
      </c>
      <c r="M694" s="17" t="str">
        <f>IF($C694="","",IF(COUNTIFS('RAW_농산물_11-12월'!$D:$D,$C694,'RAW_농산물_11-12월'!$A:$A,$E694)&gt;0,"O",""))</f>
        <v/>
      </c>
      <c r="N694" s="7" t="str">
        <f>IF($C694="","",IF(COUNTA('RAW_농산물_7월'!$A:$A)&lt;=1,"",SUMIFS('RAW_농산물_7월'!$H:$H,'RAW_농산물_7월'!$D:$D,$C694,'RAW_농산물_7월'!$A:$A,$E694)))</f>
        <v/>
      </c>
      <c r="O694" s="7" t="str">
        <f>IF($C694="","",IF(COUNTA('RAW_농산물_8월'!$A:$A)&lt;=1,"",SUMIFS('RAW_농산물_8월'!$H:$H,'RAW_농산물_8월'!$D:$D,$C694,'RAW_농산물_8월'!$A:$A,$E694)-SUMIFS('RAW_농산물_7월'!$H:$H,'RAW_농산물_7월'!$D:$D,$C694,'RAW_농산물_7월'!$A:$A,$E694)))</f>
        <v/>
      </c>
      <c r="P694" s="7" t="str">
        <f>IF($C694="","",IF(COUNTA('RAW_농산물_9월'!$A:$A)&lt;=1,"",SUMIFS('RAW_농산물_9월'!$H:$H,'RAW_농산물_9월'!$D:$D,$C694,'RAW_농산물_9월'!$A:$A,$E694)-SUMIFS('RAW_농산물_8월'!$H:$H,'RAW_농산물_8월'!$D:$D,$C694,'RAW_농산물_8월'!$A:$A,$E694)))</f>
        <v/>
      </c>
      <c r="Q694" s="7" t="str">
        <f>IF($C694="","",IF(COUNTA('RAW_농산물_10월'!$A:$A)&lt;=1,"",SUMIFS('RAW_농산물_10월'!$H:$H,'RAW_농산물_10월'!$D:$D,$C694,'RAW_농산물_10월'!$A:$A,$E694)-SUMIFS('RAW_농산물_9월'!$H:$H,'RAW_농산물_9월'!$D:$D,$C694,'RAW_농산물_9월'!$A:$A,$E694)))</f>
        <v/>
      </c>
      <c r="R694" s="7" t="str">
        <f>IF($C694="","",IF(COUNTA('RAW_농산물_11-12월'!$A:$A)&lt;=1,"",SUMIFS('RAW_농산물_11-12월'!$H:$H,'RAW_농산물_11-12월'!$D:$D,$C694,'RAW_농산물_11-12월'!$A:$A,$E694)-SUMIFS('RAW_농산물_10월'!$H:$H,'RAW_농산물_10월'!$D:$D,$C694,'RAW_농산물_10월'!$A:$A,$E694)))</f>
        <v/>
      </c>
      <c r="S694" s="17" t="str">
        <f t="shared" si="4"/>
        <v/>
      </c>
      <c r="T694" s="17" t="str">
        <f t="shared" si="5"/>
        <v/>
      </c>
      <c r="U694" s="7">
        <f>IF($C694="",0,IF('설정'!$B$3=0,0,CHOOSE('설정'!$B$3,COUNTIFS('RAW_농산물_7월'!$D:$D,$C694,'RAW_농산물_7월'!$A:$A,$E694),COUNTIFS('RAW_농산물_8월'!$D:$D,$C694,'RAW_농산물_8월'!$A:$A,$E694),COUNTIFS('RAW_농산물_9월'!$D:$D,$C694,'RAW_농산물_9월'!$A:$A,$E694),COUNTIFS('RAW_농산물_10월'!$D:$D,$C694,'RAW_농산물_10월'!$A:$A,$E694),COUNTIFS('RAW_농산물_11-12월'!$D:$D,$C694,'RAW_농산물_11-12월'!$A:$A,$E694))))</f>
        <v>0</v>
      </c>
    </row>
    <row r="695" ht="15.75" customHeight="1">
      <c r="A695" s="5"/>
      <c r="B695" s="5"/>
      <c r="C695" s="5"/>
      <c r="D695" s="6"/>
      <c r="E695" s="5"/>
      <c r="F695" s="7" t="str">
        <f>IF($C695="","",IF('설정'!$B$3=0,"",CHOOSE('설정'!$B$3,SUMIFS('RAW_농산물_7월'!$F:$F,'RAW_농산물_7월'!$D:$D,$C695,'RAW_농산물_7월'!$A:$A,$E695),SUMIFS('RAW_농산물_8월'!$F:$F,'RAW_농산물_8월'!$D:$D,$C695,'RAW_농산물_8월'!$A:$A,$E695),SUMIFS('RAW_농산물_9월'!$F:$F,'RAW_농산물_9월'!$D:$D,$C695,'RAW_농산물_9월'!$A:$A,$E695),SUMIFS('RAW_농산물_10월'!$F:$F,'RAW_농산물_10월'!$D:$D,$C695,'RAW_농산물_10월'!$A:$A,$E695),SUMIFS('RAW_농산물_11-12월'!$F:$F,'RAW_농산물_11-12월'!$D:$D,$C695,'RAW_농산물_11-12월'!$A:$A,$E695))))</f>
        <v/>
      </c>
      <c r="G695" s="7" t="str">
        <f>IF($C695="","",IF('설정'!$B$3=0,"",CHOOSE('설정'!$B$3,SUMIFS('RAW_농산물_7월'!$G:$G,'RAW_농산물_7월'!$D:$D,$C695,'RAW_농산물_7월'!$A:$A,$E695),SUMIFS('RAW_농산물_8월'!$G:$G,'RAW_농산물_8월'!$D:$D,$C695,'RAW_농산물_8월'!$A:$A,$E695),SUMIFS('RAW_농산물_9월'!$G:$G,'RAW_농산물_9월'!$D:$D,$C695,'RAW_농산물_9월'!$A:$A,$E695),SUMIFS('RAW_농산물_10월'!$G:$G,'RAW_농산물_10월'!$D:$D,$C695,'RAW_농산물_10월'!$A:$A,$E695),SUMIFS('RAW_농산물_11-12월'!$G:$G,'RAW_농산물_11-12월'!$D:$D,$C695,'RAW_농산물_11-12월'!$A:$A,$E695))))</f>
        <v/>
      </c>
      <c r="H695" s="14" t="str">
        <f>IF($C695="","",IF('설정'!$B$3=0,"",CHOOSE('설정'!$B$3,SUMIFS('RAW_농산물_7월'!$H:$H,'RAW_농산물_7월'!$D:$D,$C695,'RAW_농산물_7월'!$A:$A,$E695),SUMIFS('RAW_농산물_8월'!$H:$H,'RAW_농산물_8월'!$D:$D,$C695,'RAW_농산물_8월'!$A:$A,$E695),SUMIFS('RAW_농산물_9월'!$H:$H,'RAW_농산물_9월'!$D:$D,$C695,'RAW_농산물_9월'!$A:$A,$E695),SUMIFS('RAW_농산물_10월'!$H:$H,'RAW_농산물_10월'!$D:$D,$C695,'RAW_농산물_10월'!$A:$A,$E695),SUMIFS('RAW_농산물_11-12월'!$H:$H,'RAW_농산물_11-12월'!$D:$D,$C695,'RAW_농산물_11-12월'!$A:$A,$E695))))</f>
        <v/>
      </c>
      <c r="I695" s="17" t="str">
        <f>IF($C695="","",IF(COUNTIFS('RAW_농산물_7월'!$D:$D,$C695,'RAW_농산물_7월'!$A:$A,$E695)&gt;0,"O",""))</f>
        <v/>
      </c>
      <c r="J695" s="17" t="str">
        <f>IF($C695="","",IF(COUNTIFS('RAW_농산물_8월'!$D:$D,$C695,'RAW_농산물_8월'!$A:$A,$E695)&gt;0,"O",""))</f>
        <v/>
      </c>
      <c r="K695" s="17" t="str">
        <f>IF($C695="","",IF(COUNTIFS('RAW_농산물_9월'!$D:$D,$C695,'RAW_농산물_9월'!$A:$A,$E695)&gt;0,"O",""))</f>
        <v/>
      </c>
      <c r="L695" s="17" t="str">
        <f>IF($C695="","",IF(COUNTIFS('RAW_농산물_10월'!$D:$D,$C695,'RAW_농산물_10월'!$A:$A,$E695)&gt;0,"O",""))</f>
        <v/>
      </c>
      <c r="M695" s="17" t="str">
        <f>IF($C695="","",IF(COUNTIFS('RAW_농산물_11-12월'!$D:$D,$C695,'RAW_농산물_11-12월'!$A:$A,$E695)&gt;0,"O",""))</f>
        <v/>
      </c>
      <c r="N695" s="7" t="str">
        <f>IF($C695="","",IF(COUNTA('RAW_농산물_7월'!$A:$A)&lt;=1,"",SUMIFS('RAW_농산물_7월'!$H:$H,'RAW_농산물_7월'!$D:$D,$C695,'RAW_농산물_7월'!$A:$A,$E695)))</f>
        <v/>
      </c>
      <c r="O695" s="7" t="str">
        <f>IF($C695="","",IF(COUNTA('RAW_농산물_8월'!$A:$A)&lt;=1,"",SUMIFS('RAW_농산물_8월'!$H:$H,'RAW_농산물_8월'!$D:$D,$C695,'RAW_농산물_8월'!$A:$A,$E695)-SUMIFS('RAW_농산물_7월'!$H:$H,'RAW_농산물_7월'!$D:$D,$C695,'RAW_농산물_7월'!$A:$A,$E695)))</f>
        <v/>
      </c>
      <c r="P695" s="7" t="str">
        <f>IF($C695="","",IF(COUNTA('RAW_농산물_9월'!$A:$A)&lt;=1,"",SUMIFS('RAW_농산물_9월'!$H:$H,'RAW_농산물_9월'!$D:$D,$C695,'RAW_농산물_9월'!$A:$A,$E695)-SUMIFS('RAW_농산물_8월'!$H:$H,'RAW_농산물_8월'!$D:$D,$C695,'RAW_농산물_8월'!$A:$A,$E695)))</f>
        <v/>
      </c>
      <c r="Q695" s="7" t="str">
        <f>IF($C695="","",IF(COUNTA('RAW_농산물_10월'!$A:$A)&lt;=1,"",SUMIFS('RAW_농산물_10월'!$H:$H,'RAW_농산물_10월'!$D:$D,$C695,'RAW_농산물_10월'!$A:$A,$E695)-SUMIFS('RAW_농산물_9월'!$H:$H,'RAW_농산물_9월'!$D:$D,$C695,'RAW_농산물_9월'!$A:$A,$E695)))</f>
        <v/>
      </c>
      <c r="R695" s="7" t="str">
        <f>IF($C695="","",IF(COUNTA('RAW_농산물_11-12월'!$A:$A)&lt;=1,"",SUMIFS('RAW_농산물_11-12월'!$H:$H,'RAW_농산물_11-12월'!$D:$D,$C695,'RAW_농산물_11-12월'!$A:$A,$E695)-SUMIFS('RAW_농산물_10월'!$H:$H,'RAW_농산물_10월'!$D:$D,$C695,'RAW_농산물_10월'!$A:$A,$E695)))</f>
        <v/>
      </c>
      <c r="S695" s="17" t="str">
        <f t="shared" si="4"/>
        <v/>
      </c>
      <c r="T695" s="17" t="str">
        <f t="shared" si="5"/>
        <v/>
      </c>
      <c r="U695" s="7">
        <f>IF($C695="",0,IF('설정'!$B$3=0,0,CHOOSE('설정'!$B$3,COUNTIFS('RAW_농산물_7월'!$D:$D,$C695,'RAW_농산물_7월'!$A:$A,$E695),COUNTIFS('RAW_농산물_8월'!$D:$D,$C695,'RAW_농산물_8월'!$A:$A,$E695),COUNTIFS('RAW_농산물_9월'!$D:$D,$C695,'RAW_농산물_9월'!$A:$A,$E695),COUNTIFS('RAW_농산물_10월'!$D:$D,$C695,'RAW_농산물_10월'!$A:$A,$E695),COUNTIFS('RAW_농산물_11-12월'!$D:$D,$C695,'RAW_농산물_11-12월'!$A:$A,$E695))))</f>
        <v>0</v>
      </c>
    </row>
    <row r="696" ht="15.75" customHeight="1">
      <c r="A696" s="5"/>
      <c r="B696" s="5"/>
      <c r="C696" s="5"/>
      <c r="D696" s="6"/>
      <c r="E696" s="5"/>
      <c r="F696" s="7" t="str">
        <f>IF($C696="","",IF('설정'!$B$3=0,"",CHOOSE('설정'!$B$3,SUMIFS('RAW_농산물_7월'!$F:$F,'RAW_농산물_7월'!$D:$D,$C696,'RAW_농산물_7월'!$A:$A,$E696),SUMIFS('RAW_농산물_8월'!$F:$F,'RAW_농산물_8월'!$D:$D,$C696,'RAW_농산물_8월'!$A:$A,$E696),SUMIFS('RAW_농산물_9월'!$F:$F,'RAW_농산물_9월'!$D:$D,$C696,'RAW_농산물_9월'!$A:$A,$E696),SUMIFS('RAW_농산물_10월'!$F:$F,'RAW_농산물_10월'!$D:$D,$C696,'RAW_농산물_10월'!$A:$A,$E696),SUMIFS('RAW_농산물_11-12월'!$F:$F,'RAW_농산물_11-12월'!$D:$D,$C696,'RAW_농산물_11-12월'!$A:$A,$E696))))</f>
        <v/>
      </c>
      <c r="G696" s="7" t="str">
        <f>IF($C696="","",IF('설정'!$B$3=0,"",CHOOSE('설정'!$B$3,SUMIFS('RAW_농산물_7월'!$G:$G,'RAW_농산물_7월'!$D:$D,$C696,'RAW_농산물_7월'!$A:$A,$E696),SUMIFS('RAW_농산물_8월'!$G:$G,'RAW_농산물_8월'!$D:$D,$C696,'RAW_농산물_8월'!$A:$A,$E696),SUMIFS('RAW_농산물_9월'!$G:$G,'RAW_농산물_9월'!$D:$D,$C696,'RAW_농산물_9월'!$A:$A,$E696),SUMIFS('RAW_농산물_10월'!$G:$G,'RAW_농산물_10월'!$D:$D,$C696,'RAW_농산물_10월'!$A:$A,$E696),SUMIFS('RAW_농산물_11-12월'!$G:$G,'RAW_농산물_11-12월'!$D:$D,$C696,'RAW_농산물_11-12월'!$A:$A,$E696))))</f>
        <v/>
      </c>
      <c r="H696" s="14" t="str">
        <f>IF($C696="","",IF('설정'!$B$3=0,"",CHOOSE('설정'!$B$3,SUMIFS('RAW_농산물_7월'!$H:$H,'RAW_농산물_7월'!$D:$D,$C696,'RAW_농산물_7월'!$A:$A,$E696),SUMIFS('RAW_농산물_8월'!$H:$H,'RAW_농산물_8월'!$D:$D,$C696,'RAW_농산물_8월'!$A:$A,$E696),SUMIFS('RAW_농산물_9월'!$H:$H,'RAW_농산물_9월'!$D:$D,$C696,'RAW_농산물_9월'!$A:$A,$E696),SUMIFS('RAW_농산물_10월'!$H:$H,'RAW_농산물_10월'!$D:$D,$C696,'RAW_농산물_10월'!$A:$A,$E696),SUMIFS('RAW_농산물_11-12월'!$H:$H,'RAW_농산물_11-12월'!$D:$D,$C696,'RAW_농산물_11-12월'!$A:$A,$E696))))</f>
        <v/>
      </c>
      <c r="I696" s="17" t="str">
        <f>IF($C696="","",IF(COUNTIFS('RAW_농산물_7월'!$D:$D,$C696,'RAW_농산물_7월'!$A:$A,$E696)&gt;0,"O",""))</f>
        <v/>
      </c>
      <c r="J696" s="17" t="str">
        <f>IF($C696="","",IF(COUNTIFS('RAW_농산물_8월'!$D:$D,$C696,'RAW_농산물_8월'!$A:$A,$E696)&gt;0,"O",""))</f>
        <v/>
      </c>
      <c r="K696" s="17" t="str">
        <f>IF($C696="","",IF(COUNTIFS('RAW_농산물_9월'!$D:$D,$C696,'RAW_농산물_9월'!$A:$A,$E696)&gt;0,"O",""))</f>
        <v/>
      </c>
      <c r="L696" s="17" t="str">
        <f>IF($C696="","",IF(COUNTIFS('RAW_농산물_10월'!$D:$D,$C696,'RAW_농산물_10월'!$A:$A,$E696)&gt;0,"O",""))</f>
        <v/>
      </c>
      <c r="M696" s="17" t="str">
        <f>IF($C696="","",IF(COUNTIFS('RAW_농산물_11-12월'!$D:$D,$C696,'RAW_농산물_11-12월'!$A:$A,$E696)&gt;0,"O",""))</f>
        <v/>
      </c>
      <c r="N696" s="7" t="str">
        <f>IF($C696="","",IF(COUNTA('RAW_농산물_7월'!$A:$A)&lt;=1,"",SUMIFS('RAW_농산물_7월'!$H:$H,'RAW_농산물_7월'!$D:$D,$C696,'RAW_농산물_7월'!$A:$A,$E696)))</f>
        <v/>
      </c>
      <c r="O696" s="7" t="str">
        <f>IF($C696="","",IF(COUNTA('RAW_농산물_8월'!$A:$A)&lt;=1,"",SUMIFS('RAW_농산물_8월'!$H:$H,'RAW_농산물_8월'!$D:$D,$C696,'RAW_농산물_8월'!$A:$A,$E696)-SUMIFS('RAW_농산물_7월'!$H:$H,'RAW_농산물_7월'!$D:$D,$C696,'RAW_농산물_7월'!$A:$A,$E696)))</f>
        <v/>
      </c>
      <c r="P696" s="7" t="str">
        <f>IF($C696="","",IF(COUNTA('RAW_농산물_9월'!$A:$A)&lt;=1,"",SUMIFS('RAW_농산물_9월'!$H:$H,'RAW_농산물_9월'!$D:$D,$C696,'RAW_농산물_9월'!$A:$A,$E696)-SUMIFS('RAW_농산물_8월'!$H:$H,'RAW_농산물_8월'!$D:$D,$C696,'RAW_농산물_8월'!$A:$A,$E696)))</f>
        <v/>
      </c>
      <c r="Q696" s="7" t="str">
        <f>IF($C696="","",IF(COUNTA('RAW_농산물_10월'!$A:$A)&lt;=1,"",SUMIFS('RAW_농산물_10월'!$H:$H,'RAW_농산물_10월'!$D:$D,$C696,'RAW_농산물_10월'!$A:$A,$E696)-SUMIFS('RAW_농산물_9월'!$H:$H,'RAW_농산물_9월'!$D:$D,$C696,'RAW_농산물_9월'!$A:$A,$E696)))</f>
        <v/>
      </c>
      <c r="R696" s="7" t="str">
        <f>IF($C696="","",IF(COUNTA('RAW_농산물_11-12월'!$A:$A)&lt;=1,"",SUMIFS('RAW_농산물_11-12월'!$H:$H,'RAW_농산물_11-12월'!$D:$D,$C696,'RAW_농산물_11-12월'!$A:$A,$E696)-SUMIFS('RAW_농산물_10월'!$H:$H,'RAW_농산물_10월'!$D:$D,$C696,'RAW_농산물_10월'!$A:$A,$E696)))</f>
        <v/>
      </c>
      <c r="S696" s="17" t="str">
        <f t="shared" si="4"/>
        <v/>
      </c>
      <c r="T696" s="17" t="str">
        <f t="shared" si="5"/>
        <v/>
      </c>
      <c r="U696" s="7">
        <f>IF($C696="",0,IF('설정'!$B$3=0,0,CHOOSE('설정'!$B$3,COUNTIFS('RAW_농산물_7월'!$D:$D,$C696,'RAW_농산물_7월'!$A:$A,$E696),COUNTIFS('RAW_농산물_8월'!$D:$D,$C696,'RAW_농산물_8월'!$A:$A,$E696),COUNTIFS('RAW_농산물_9월'!$D:$D,$C696,'RAW_농산물_9월'!$A:$A,$E696),COUNTIFS('RAW_농산물_10월'!$D:$D,$C696,'RAW_농산물_10월'!$A:$A,$E696),COUNTIFS('RAW_농산물_11-12월'!$D:$D,$C696,'RAW_농산물_11-12월'!$A:$A,$E696))))</f>
        <v>0</v>
      </c>
    </row>
    <row r="697" ht="15.75" customHeight="1">
      <c r="A697" s="5"/>
      <c r="B697" s="5"/>
      <c r="C697" s="5"/>
      <c r="D697" s="6"/>
      <c r="E697" s="5"/>
      <c r="F697" s="7" t="str">
        <f>IF($C697="","",IF('설정'!$B$3=0,"",CHOOSE('설정'!$B$3,SUMIFS('RAW_농산물_7월'!$F:$F,'RAW_농산물_7월'!$D:$D,$C697,'RAW_농산물_7월'!$A:$A,$E697),SUMIFS('RAW_농산물_8월'!$F:$F,'RAW_농산물_8월'!$D:$D,$C697,'RAW_농산물_8월'!$A:$A,$E697),SUMIFS('RAW_농산물_9월'!$F:$F,'RAW_농산물_9월'!$D:$D,$C697,'RAW_농산물_9월'!$A:$A,$E697),SUMIFS('RAW_농산물_10월'!$F:$F,'RAW_농산물_10월'!$D:$D,$C697,'RAW_농산물_10월'!$A:$A,$E697),SUMIFS('RAW_농산물_11-12월'!$F:$F,'RAW_농산물_11-12월'!$D:$D,$C697,'RAW_농산물_11-12월'!$A:$A,$E697))))</f>
        <v/>
      </c>
      <c r="G697" s="7" t="str">
        <f>IF($C697="","",IF('설정'!$B$3=0,"",CHOOSE('설정'!$B$3,SUMIFS('RAW_농산물_7월'!$G:$G,'RAW_농산물_7월'!$D:$D,$C697,'RAW_농산물_7월'!$A:$A,$E697),SUMIFS('RAW_농산물_8월'!$G:$G,'RAW_농산물_8월'!$D:$D,$C697,'RAW_농산물_8월'!$A:$A,$E697),SUMIFS('RAW_농산물_9월'!$G:$G,'RAW_농산물_9월'!$D:$D,$C697,'RAW_농산물_9월'!$A:$A,$E697),SUMIFS('RAW_농산물_10월'!$G:$G,'RAW_농산물_10월'!$D:$D,$C697,'RAW_농산물_10월'!$A:$A,$E697),SUMIFS('RAW_농산물_11-12월'!$G:$G,'RAW_농산물_11-12월'!$D:$D,$C697,'RAW_농산물_11-12월'!$A:$A,$E697))))</f>
        <v/>
      </c>
      <c r="H697" s="14" t="str">
        <f>IF($C697="","",IF('설정'!$B$3=0,"",CHOOSE('설정'!$B$3,SUMIFS('RAW_농산물_7월'!$H:$H,'RAW_농산물_7월'!$D:$D,$C697,'RAW_농산물_7월'!$A:$A,$E697),SUMIFS('RAW_농산물_8월'!$H:$H,'RAW_농산물_8월'!$D:$D,$C697,'RAW_농산물_8월'!$A:$A,$E697),SUMIFS('RAW_농산물_9월'!$H:$H,'RAW_농산물_9월'!$D:$D,$C697,'RAW_농산물_9월'!$A:$A,$E697),SUMIFS('RAW_농산물_10월'!$H:$H,'RAW_농산물_10월'!$D:$D,$C697,'RAW_농산물_10월'!$A:$A,$E697),SUMIFS('RAW_농산물_11-12월'!$H:$H,'RAW_농산물_11-12월'!$D:$D,$C697,'RAW_농산물_11-12월'!$A:$A,$E697))))</f>
        <v/>
      </c>
      <c r="I697" s="17" t="str">
        <f>IF($C697="","",IF(COUNTIFS('RAW_농산물_7월'!$D:$D,$C697,'RAW_농산물_7월'!$A:$A,$E697)&gt;0,"O",""))</f>
        <v/>
      </c>
      <c r="J697" s="17" t="str">
        <f>IF($C697="","",IF(COUNTIFS('RAW_농산물_8월'!$D:$D,$C697,'RAW_농산물_8월'!$A:$A,$E697)&gt;0,"O",""))</f>
        <v/>
      </c>
      <c r="K697" s="17" t="str">
        <f>IF($C697="","",IF(COUNTIFS('RAW_농산물_9월'!$D:$D,$C697,'RAW_농산물_9월'!$A:$A,$E697)&gt;0,"O",""))</f>
        <v/>
      </c>
      <c r="L697" s="17" t="str">
        <f>IF($C697="","",IF(COUNTIFS('RAW_농산물_10월'!$D:$D,$C697,'RAW_농산물_10월'!$A:$A,$E697)&gt;0,"O",""))</f>
        <v/>
      </c>
      <c r="M697" s="17" t="str">
        <f>IF($C697="","",IF(COUNTIFS('RAW_농산물_11-12월'!$D:$D,$C697,'RAW_농산물_11-12월'!$A:$A,$E697)&gt;0,"O",""))</f>
        <v/>
      </c>
      <c r="N697" s="7" t="str">
        <f>IF($C697="","",IF(COUNTA('RAW_농산물_7월'!$A:$A)&lt;=1,"",SUMIFS('RAW_농산물_7월'!$H:$H,'RAW_농산물_7월'!$D:$D,$C697,'RAW_농산물_7월'!$A:$A,$E697)))</f>
        <v/>
      </c>
      <c r="O697" s="7" t="str">
        <f>IF($C697="","",IF(COUNTA('RAW_농산물_8월'!$A:$A)&lt;=1,"",SUMIFS('RAW_농산물_8월'!$H:$H,'RAW_농산물_8월'!$D:$D,$C697,'RAW_농산물_8월'!$A:$A,$E697)-SUMIFS('RAW_농산물_7월'!$H:$H,'RAW_농산물_7월'!$D:$D,$C697,'RAW_농산물_7월'!$A:$A,$E697)))</f>
        <v/>
      </c>
      <c r="P697" s="7" t="str">
        <f>IF($C697="","",IF(COUNTA('RAW_농산물_9월'!$A:$A)&lt;=1,"",SUMIFS('RAW_농산물_9월'!$H:$H,'RAW_농산물_9월'!$D:$D,$C697,'RAW_농산물_9월'!$A:$A,$E697)-SUMIFS('RAW_농산물_8월'!$H:$H,'RAW_농산물_8월'!$D:$D,$C697,'RAW_농산물_8월'!$A:$A,$E697)))</f>
        <v/>
      </c>
      <c r="Q697" s="7" t="str">
        <f>IF($C697="","",IF(COUNTA('RAW_농산물_10월'!$A:$A)&lt;=1,"",SUMIFS('RAW_농산물_10월'!$H:$H,'RAW_농산물_10월'!$D:$D,$C697,'RAW_농산물_10월'!$A:$A,$E697)-SUMIFS('RAW_농산물_9월'!$H:$H,'RAW_농산물_9월'!$D:$D,$C697,'RAW_농산물_9월'!$A:$A,$E697)))</f>
        <v/>
      </c>
      <c r="R697" s="7" t="str">
        <f>IF($C697="","",IF(COUNTA('RAW_농산물_11-12월'!$A:$A)&lt;=1,"",SUMIFS('RAW_농산물_11-12월'!$H:$H,'RAW_농산물_11-12월'!$D:$D,$C697,'RAW_농산물_11-12월'!$A:$A,$E697)-SUMIFS('RAW_농산물_10월'!$H:$H,'RAW_농산물_10월'!$D:$D,$C697,'RAW_농산물_10월'!$A:$A,$E697)))</f>
        <v/>
      </c>
      <c r="S697" s="17" t="str">
        <f t="shared" si="4"/>
        <v/>
      </c>
      <c r="T697" s="17" t="str">
        <f t="shared" si="5"/>
        <v/>
      </c>
      <c r="U697" s="7">
        <f>IF($C697="",0,IF('설정'!$B$3=0,0,CHOOSE('설정'!$B$3,COUNTIFS('RAW_농산물_7월'!$D:$D,$C697,'RAW_농산물_7월'!$A:$A,$E697),COUNTIFS('RAW_농산물_8월'!$D:$D,$C697,'RAW_농산물_8월'!$A:$A,$E697),COUNTIFS('RAW_농산물_9월'!$D:$D,$C697,'RAW_농산물_9월'!$A:$A,$E697),COUNTIFS('RAW_농산물_10월'!$D:$D,$C697,'RAW_농산물_10월'!$A:$A,$E697),COUNTIFS('RAW_농산물_11-12월'!$D:$D,$C697,'RAW_농산물_11-12월'!$A:$A,$E697))))</f>
        <v>0</v>
      </c>
    </row>
    <row r="698" ht="15.75" customHeight="1">
      <c r="A698" s="5"/>
      <c r="B698" s="5"/>
      <c r="C698" s="5"/>
      <c r="D698" s="6"/>
      <c r="E698" s="5"/>
      <c r="F698" s="7" t="str">
        <f>IF($C698="","",IF('설정'!$B$3=0,"",CHOOSE('설정'!$B$3,SUMIFS('RAW_농산물_7월'!$F:$F,'RAW_농산물_7월'!$D:$D,$C698,'RAW_농산물_7월'!$A:$A,$E698),SUMIFS('RAW_농산물_8월'!$F:$F,'RAW_농산물_8월'!$D:$D,$C698,'RAW_농산물_8월'!$A:$A,$E698),SUMIFS('RAW_농산물_9월'!$F:$F,'RAW_농산물_9월'!$D:$D,$C698,'RAW_농산물_9월'!$A:$A,$E698),SUMIFS('RAW_농산물_10월'!$F:$F,'RAW_농산물_10월'!$D:$D,$C698,'RAW_농산물_10월'!$A:$A,$E698),SUMIFS('RAW_농산물_11-12월'!$F:$F,'RAW_농산물_11-12월'!$D:$D,$C698,'RAW_농산물_11-12월'!$A:$A,$E698))))</f>
        <v/>
      </c>
      <c r="G698" s="7" t="str">
        <f>IF($C698="","",IF('설정'!$B$3=0,"",CHOOSE('설정'!$B$3,SUMIFS('RAW_농산물_7월'!$G:$G,'RAW_농산물_7월'!$D:$D,$C698,'RAW_농산물_7월'!$A:$A,$E698),SUMIFS('RAW_농산물_8월'!$G:$G,'RAW_농산물_8월'!$D:$D,$C698,'RAW_농산물_8월'!$A:$A,$E698),SUMIFS('RAW_농산물_9월'!$G:$G,'RAW_농산물_9월'!$D:$D,$C698,'RAW_농산물_9월'!$A:$A,$E698),SUMIFS('RAW_농산물_10월'!$G:$G,'RAW_농산물_10월'!$D:$D,$C698,'RAW_농산물_10월'!$A:$A,$E698),SUMIFS('RAW_농산물_11-12월'!$G:$G,'RAW_농산물_11-12월'!$D:$D,$C698,'RAW_농산물_11-12월'!$A:$A,$E698))))</f>
        <v/>
      </c>
      <c r="H698" s="14" t="str">
        <f>IF($C698="","",IF('설정'!$B$3=0,"",CHOOSE('설정'!$B$3,SUMIFS('RAW_농산물_7월'!$H:$H,'RAW_농산물_7월'!$D:$D,$C698,'RAW_농산물_7월'!$A:$A,$E698),SUMIFS('RAW_농산물_8월'!$H:$H,'RAW_농산물_8월'!$D:$D,$C698,'RAW_농산물_8월'!$A:$A,$E698),SUMIFS('RAW_농산물_9월'!$H:$H,'RAW_농산물_9월'!$D:$D,$C698,'RAW_농산물_9월'!$A:$A,$E698),SUMIFS('RAW_농산물_10월'!$H:$H,'RAW_농산물_10월'!$D:$D,$C698,'RAW_농산물_10월'!$A:$A,$E698),SUMIFS('RAW_농산물_11-12월'!$H:$H,'RAW_농산물_11-12월'!$D:$D,$C698,'RAW_농산물_11-12월'!$A:$A,$E698))))</f>
        <v/>
      </c>
      <c r="I698" s="17" t="str">
        <f>IF($C698="","",IF(COUNTIFS('RAW_농산물_7월'!$D:$D,$C698,'RAW_농산물_7월'!$A:$A,$E698)&gt;0,"O",""))</f>
        <v/>
      </c>
      <c r="J698" s="17" t="str">
        <f>IF($C698="","",IF(COUNTIFS('RAW_농산물_8월'!$D:$D,$C698,'RAW_농산물_8월'!$A:$A,$E698)&gt;0,"O",""))</f>
        <v/>
      </c>
      <c r="K698" s="17" t="str">
        <f>IF($C698="","",IF(COUNTIFS('RAW_농산물_9월'!$D:$D,$C698,'RAW_농산물_9월'!$A:$A,$E698)&gt;0,"O",""))</f>
        <v/>
      </c>
      <c r="L698" s="17" t="str">
        <f>IF($C698="","",IF(COUNTIFS('RAW_농산물_10월'!$D:$D,$C698,'RAW_농산물_10월'!$A:$A,$E698)&gt;0,"O",""))</f>
        <v/>
      </c>
      <c r="M698" s="17" t="str">
        <f>IF($C698="","",IF(COUNTIFS('RAW_농산물_11-12월'!$D:$D,$C698,'RAW_농산물_11-12월'!$A:$A,$E698)&gt;0,"O",""))</f>
        <v/>
      </c>
      <c r="N698" s="7" t="str">
        <f>IF($C698="","",IF(COUNTA('RAW_농산물_7월'!$A:$A)&lt;=1,"",SUMIFS('RAW_농산물_7월'!$H:$H,'RAW_농산물_7월'!$D:$D,$C698,'RAW_농산물_7월'!$A:$A,$E698)))</f>
        <v/>
      </c>
      <c r="O698" s="7" t="str">
        <f>IF($C698="","",IF(COUNTA('RAW_농산물_8월'!$A:$A)&lt;=1,"",SUMIFS('RAW_농산물_8월'!$H:$H,'RAW_농산물_8월'!$D:$D,$C698,'RAW_농산물_8월'!$A:$A,$E698)-SUMIFS('RAW_농산물_7월'!$H:$H,'RAW_농산물_7월'!$D:$D,$C698,'RAW_농산물_7월'!$A:$A,$E698)))</f>
        <v/>
      </c>
      <c r="P698" s="7" t="str">
        <f>IF($C698="","",IF(COUNTA('RAW_농산물_9월'!$A:$A)&lt;=1,"",SUMIFS('RAW_농산물_9월'!$H:$H,'RAW_농산물_9월'!$D:$D,$C698,'RAW_농산물_9월'!$A:$A,$E698)-SUMIFS('RAW_농산물_8월'!$H:$H,'RAW_농산물_8월'!$D:$D,$C698,'RAW_농산물_8월'!$A:$A,$E698)))</f>
        <v/>
      </c>
      <c r="Q698" s="7" t="str">
        <f>IF($C698="","",IF(COUNTA('RAW_농산물_10월'!$A:$A)&lt;=1,"",SUMIFS('RAW_농산물_10월'!$H:$H,'RAW_농산물_10월'!$D:$D,$C698,'RAW_농산물_10월'!$A:$A,$E698)-SUMIFS('RAW_농산물_9월'!$H:$H,'RAW_농산물_9월'!$D:$D,$C698,'RAW_농산물_9월'!$A:$A,$E698)))</f>
        <v/>
      </c>
      <c r="R698" s="7" t="str">
        <f>IF($C698="","",IF(COUNTA('RAW_농산물_11-12월'!$A:$A)&lt;=1,"",SUMIFS('RAW_농산물_11-12월'!$H:$H,'RAW_농산물_11-12월'!$D:$D,$C698,'RAW_농산물_11-12월'!$A:$A,$E698)-SUMIFS('RAW_농산물_10월'!$H:$H,'RAW_농산물_10월'!$D:$D,$C698,'RAW_농산물_10월'!$A:$A,$E698)))</f>
        <v/>
      </c>
      <c r="S698" s="17" t="str">
        <f t="shared" si="4"/>
        <v/>
      </c>
      <c r="T698" s="17" t="str">
        <f t="shared" si="5"/>
        <v/>
      </c>
      <c r="U698" s="7">
        <f>IF($C698="",0,IF('설정'!$B$3=0,0,CHOOSE('설정'!$B$3,COUNTIFS('RAW_농산물_7월'!$D:$D,$C698,'RAW_농산물_7월'!$A:$A,$E698),COUNTIFS('RAW_농산물_8월'!$D:$D,$C698,'RAW_농산물_8월'!$A:$A,$E698),COUNTIFS('RAW_농산물_9월'!$D:$D,$C698,'RAW_농산물_9월'!$A:$A,$E698),COUNTIFS('RAW_농산물_10월'!$D:$D,$C698,'RAW_농산물_10월'!$A:$A,$E698),COUNTIFS('RAW_농산물_11-12월'!$D:$D,$C698,'RAW_농산물_11-12월'!$A:$A,$E698))))</f>
        <v>0</v>
      </c>
    </row>
    <row r="699" ht="15.75" customHeight="1">
      <c r="A699" s="5"/>
      <c r="B699" s="5"/>
      <c r="C699" s="5"/>
      <c r="D699" s="6"/>
      <c r="E699" s="5"/>
      <c r="F699" s="7" t="str">
        <f>IF($C699="","",IF('설정'!$B$3=0,"",CHOOSE('설정'!$B$3,SUMIFS('RAW_농산물_7월'!$F:$F,'RAW_농산물_7월'!$D:$D,$C699,'RAW_농산물_7월'!$A:$A,$E699),SUMIFS('RAW_농산물_8월'!$F:$F,'RAW_농산물_8월'!$D:$D,$C699,'RAW_농산물_8월'!$A:$A,$E699),SUMIFS('RAW_농산물_9월'!$F:$F,'RAW_농산물_9월'!$D:$D,$C699,'RAW_농산물_9월'!$A:$A,$E699),SUMIFS('RAW_농산물_10월'!$F:$F,'RAW_농산물_10월'!$D:$D,$C699,'RAW_농산물_10월'!$A:$A,$E699),SUMIFS('RAW_농산물_11-12월'!$F:$F,'RAW_농산물_11-12월'!$D:$D,$C699,'RAW_농산물_11-12월'!$A:$A,$E699))))</f>
        <v/>
      </c>
      <c r="G699" s="7" t="str">
        <f>IF($C699="","",IF('설정'!$B$3=0,"",CHOOSE('설정'!$B$3,SUMIFS('RAW_농산물_7월'!$G:$G,'RAW_농산물_7월'!$D:$D,$C699,'RAW_농산물_7월'!$A:$A,$E699),SUMIFS('RAW_농산물_8월'!$G:$G,'RAW_농산물_8월'!$D:$D,$C699,'RAW_농산물_8월'!$A:$A,$E699),SUMIFS('RAW_농산물_9월'!$G:$G,'RAW_농산물_9월'!$D:$D,$C699,'RAW_농산물_9월'!$A:$A,$E699),SUMIFS('RAW_농산물_10월'!$G:$G,'RAW_농산물_10월'!$D:$D,$C699,'RAW_농산물_10월'!$A:$A,$E699),SUMIFS('RAW_농산물_11-12월'!$G:$G,'RAW_농산물_11-12월'!$D:$D,$C699,'RAW_농산물_11-12월'!$A:$A,$E699))))</f>
        <v/>
      </c>
      <c r="H699" s="14" t="str">
        <f>IF($C699="","",IF('설정'!$B$3=0,"",CHOOSE('설정'!$B$3,SUMIFS('RAW_농산물_7월'!$H:$H,'RAW_농산물_7월'!$D:$D,$C699,'RAW_농산물_7월'!$A:$A,$E699),SUMIFS('RAW_농산물_8월'!$H:$H,'RAW_농산물_8월'!$D:$D,$C699,'RAW_농산물_8월'!$A:$A,$E699),SUMIFS('RAW_농산물_9월'!$H:$H,'RAW_농산물_9월'!$D:$D,$C699,'RAW_농산물_9월'!$A:$A,$E699),SUMIFS('RAW_농산물_10월'!$H:$H,'RAW_농산물_10월'!$D:$D,$C699,'RAW_농산물_10월'!$A:$A,$E699),SUMIFS('RAW_농산물_11-12월'!$H:$H,'RAW_농산물_11-12월'!$D:$D,$C699,'RAW_농산물_11-12월'!$A:$A,$E699))))</f>
        <v/>
      </c>
      <c r="I699" s="17" t="str">
        <f>IF($C699="","",IF(COUNTIFS('RAW_농산물_7월'!$D:$D,$C699,'RAW_농산물_7월'!$A:$A,$E699)&gt;0,"O",""))</f>
        <v/>
      </c>
      <c r="J699" s="17" t="str">
        <f>IF($C699="","",IF(COUNTIFS('RAW_농산물_8월'!$D:$D,$C699,'RAW_농산물_8월'!$A:$A,$E699)&gt;0,"O",""))</f>
        <v/>
      </c>
      <c r="K699" s="17" t="str">
        <f>IF($C699="","",IF(COUNTIFS('RAW_농산물_9월'!$D:$D,$C699,'RAW_농산물_9월'!$A:$A,$E699)&gt;0,"O",""))</f>
        <v/>
      </c>
      <c r="L699" s="17" t="str">
        <f>IF($C699="","",IF(COUNTIFS('RAW_농산물_10월'!$D:$D,$C699,'RAW_농산물_10월'!$A:$A,$E699)&gt;0,"O",""))</f>
        <v/>
      </c>
      <c r="M699" s="17" t="str">
        <f>IF($C699="","",IF(COUNTIFS('RAW_농산물_11-12월'!$D:$D,$C699,'RAW_농산물_11-12월'!$A:$A,$E699)&gt;0,"O",""))</f>
        <v/>
      </c>
      <c r="N699" s="7" t="str">
        <f>IF($C699="","",IF(COUNTA('RAW_농산물_7월'!$A:$A)&lt;=1,"",SUMIFS('RAW_농산물_7월'!$H:$H,'RAW_농산물_7월'!$D:$D,$C699,'RAW_농산물_7월'!$A:$A,$E699)))</f>
        <v/>
      </c>
      <c r="O699" s="7" t="str">
        <f>IF($C699="","",IF(COUNTA('RAW_농산물_8월'!$A:$A)&lt;=1,"",SUMIFS('RAW_농산물_8월'!$H:$H,'RAW_농산물_8월'!$D:$D,$C699,'RAW_농산물_8월'!$A:$A,$E699)-SUMIFS('RAW_농산물_7월'!$H:$H,'RAW_농산물_7월'!$D:$D,$C699,'RAW_농산물_7월'!$A:$A,$E699)))</f>
        <v/>
      </c>
      <c r="P699" s="7" t="str">
        <f>IF($C699="","",IF(COUNTA('RAW_농산물_9월'!$A:$A)&lt;=1,"",SUMIFS('RAW_농산물_9월'!$H:$H,'RAW_농산물_9월'!$D:$D,$C699,'RAW_농산물_9월'!$A:$A,$E699)-SUMIFS('RAW_농산물_8월'!$H:$H,'RAW_농산물_8월'!$D:$D,$C699,'RAW_농산물_8월'!$A:$A,$E699)))</f>
        <v/>
      </c>
      <c r="Q699" s="7" t="str">
        <f>IF($C699="","",IF(COUNTA('RAW_농산물_10월'!$A:$A)&lt;=1,"",SUMIFS('RAW_농산물_10월'!$H:$H,'RAW_농산물_10월'!$D:$D,$C699,'RAW_농산물_10월'!$A:$A,$E699)-SUMIFS('RAW_농산물_9월'!$H:$H,'RAW_농산물_9월'!$D:$D,$C699,'RAW_농산물_9월'!$A:$A,$E699)))</f>
        <v/>
      </c>
      <c r="R699" s="7" t="str">
        <f>IF($C699="","",IF(COUNTA('RAW_농산물_11-12월'!$A:$A)&lt;=1,"",SUMIFS('RAW_농산물_11-12월'!$H:$H,'RAW_농산물_11-12월'!$D:$D,$C699,'RAW_농산물_11-12월'!$A:$A,$E699)-SUMIFS('RAW_농산물_10월'!$H:$H,'RAW_농산물_10월'!$D:$D,$C699,'RAW_농산물_10월'!$A:$A,$E699)))</f>
        <v/>
      </c>
      <c r="S699" s="17" t="str">
        <f t="shared" si="4"/>
        <v/>
      </c>
      <c r="T699" s="17" t="str">
        <f t="shared" si="5"/>
        <v/>
      </c>
      <c r="U699" s="7">
        <f>IF($C699="",0,IF('설정'!$B$3=0,0,CHOOSE('설정'!$B$3,COUNTIFS('RAW_농산물_7월'!$D:$D,$C699,'RAW_농산물_7월'!$A:$A,$E699),COUNTIFS('RAW_농산물_8월'!$D:$D,$C699,'RAW_농산물_8월'!$A:$A,$E699),COUNTIFS('RAW_농산물_9월'!$D:$D,$C699,'RAW_농산물_9월'!$A:$A,$E699),COUNTIFS('RAW_농산물_10월'!$D:$D,$C699,'RAW_농산물_10월'!$A:$A,$E699),COUNTIFS('RAW_농산물_11-12월'!$D:$D,$C699,'RAW_농산물_11-12월'!$A:$A,$E699))))</f>
        <v>0</v>
      </c>
    </row>
    <row r="700" ht="15.75" customHeight="1">
      <c r="A700" s="5"/>
      <c r="B700" s="5"/>
      <c r="C700" s="5"/>
      <c r="D700" s="6"/>
      <c r="E700" s="5"/>
      <c r="F700" s="7" t="str">
        <f>IF($C700="","",IF('설정'!$B$3=0,"",CHOOSE('설정'!$B$3,SUMIFS('RAW_농산물_7월'!$F:$F,'RAW_농산물_7월'!$D:$D,$C700,'RAW_농산물_7월'!$A:$A,$E700),SUMIFS('RAW_농산물_8월'!$F:$F,'RAW_농산물_8월'!$D:$D,$C700,'RAW_농산물_8월'!$A:$A,$E700),SUMIFS('RAW_농산물_9월'!$F:$F,'RAW_농산물_9월'!$D:$D,$C700,'RAW_농산물_9월'!$A:$A,$E700),SUMIFS('RAW_농산물_10월'!$F:$F,'RAW_농산물_10월'!$D:$D,$C700,'RAW_농산물_10월'!$A:$A,$E700),SUMIFS('RAW_농산물_11-12월'!$F:$F,'RAW_농산물_11-12월'!$D:$D,$C700,'RAW_농산물_11-12월'!$A:$A,$E700))))</f>
        <v/>
      </c>
      <c r="G700" s="7" t="str">
        <f>IF($C700="","",IF('설정'!$B$3=0,"",CHOOSE('설정'!$B$3,SUMIFS('RAW_농산물_7월'!$G:$G,'RAW_농산물_7월'!$D:$D,$C700,'RAW_농산물_7월'!$A:$A,$E700),SUMIFS('RAW_농산물_8월'!$G:$G,'RAW_농산물_8월'!$D:$D,$C700,'RAW_농산물_8월'!$A:$A,$E700),SUMIFS('RAW_농산물_9월'!$G:$G,'RAW_농산물_9월'!$D:$D,$C700,'RAW_농산물_9월'!$A:$A,$E700),SUMIFS('RAW_농산물_10월'!$G:$G,'RAW_농산물_10월'!$D:$D,$C700,'RAW_농산물_10월'!$A:$A,$E700),SUMIFS('RAW_농산물_11-12월'!$G:$G,'RAW_농산물_11-12월'!$D:$D,$C700,'RAW_농산물_11-12월'!$A:$A,$E700))))</f>
        <v/>
      </c>
      <c r="H700" s="14" t="str">
        <f>IF($C700="","",IF('설정'!$B$3=0,"",CHOOSE('설정'!$B$3,SUMIFS('RAW_농산물_7월'!$H:$H,'RAW_농산물_7월'!$D:$D,$C700,'RAW_농산물_7월'!$A:$A,$E700),SUMIFS('RAW_농산물_8월'!$H:$H,'RAW_농산물_8월'!$D:$D,$C700,'RAW_농산물_8월'!$A:$A,$E700),SUMIFS('RAW_농산물_9월'!$H:$H,'RAW_농산물_9월'!$D:$D,$C700,'RAW_농산물_9월'!$A:$A,$E700),SUMIFS('RAW_농산물_10월'!$H:$H,'RAW_농산물_10월'!$D:$D,$C700,'RAW_농산물_10월'!$A:$A,$E700),SUMIFS('RAW_농산물_11-12월'!$H:$H,'RAW_농산물_11-12월'!$D:$D,$C700,'RAW_농산물_11-12월'!$A:$A,$E700))))</f>
        <v/>
      </c>
      <c r="I700" s="17" t="str">
        <f>IF($C700="","",IF(COUNTIFS('RAW_농산물_7월'!$D:$D,$C700,'RAW_농산물_7월'!$A:$A,$E700)&gt;0,"O",""))</f>
        <v/>
      </c>
      <c r="J700" s="17" t="str">
        <f>IF($C700="","",IF(COUNTIFS('RAW_농산물_8월'!$D:$D,$C700,'RAW_농산물_8월'!$A:$A,$E700)&gt;0,"O",""))</f>
        <v/>
      </c>
      <c r="K700" s="17" t="str">
        <f>IF($C700="","",IF(COUNTIFS('RAW_농산물_9월'!$D:$D,$C700,'RAW_농산물_9월'!$A:$A,$E700)&gt;0,"O",""))</f>
        <v/>
      </c>
      <c r="L700" s="17" t="str">
        <f>IF($C700="","",IF(COUNTIFS('RAW_농산물_10월'!$D:$D,$C700,'RAW_농산물_10월'!$A:$A,$E700)&gt;0,"O",""))</f>
        <v/>
      </c>
      <c r="M700" s="17" t="str">
        <f>IF($C700="","",IF(COUNTIFS('RAW_농산물_11-12월'!$D:$D,$C700,'RAW_농산물_11-12월'!$A:$A,$E700)&gt;0,"O",""))</f>
        <v/>
      </c>
      <c r="N700" s="7" t="str">
        <f>IF($C700="","",IF(COUNTA('RAW_농산물_7월'!$A:$A)&lt;=1,"",SUMIFS('RAW_농산물_7월'!$H:$H,'RAW_농산물_7월'!$D:$D,$C700,'RAW_농산물_7월'!$A:$A,$E700)))</f>
        <v/>
      </c>
      <c r="O700" s="7" t="str">
        <f>IF($C700="","",IF(COUNTA('RAW_농산물_8월'!$A:$A)&lt;=1,"",SUMIFS('RAW_농산물_8월'!$H:$H,'RAW_농산물_8월'!$D:$D,$C700,'RAW_농산물_8월'!$A:$A,$E700)-SUMIFS('RAW_농산물_7월'!$H:$H,'RAW_농산물_7월'!$D:$D,$C700,'RAW_농산물_7월'!$A:$A,$E700)))</f>
        <v/>
      </c>
      <c r="P700" s="7" t="str">
        <f>IF($C700="","",IF(COUNTA('RAW_농산물_9월'!$A:$A)&lt;=1,"",SUMIFS('RAW_농산물_9월'!$H:$H,'RAW_농산물_9월'!$D:$D,$C700,'RAW_농산물_9월'!$A:$A,$E700)-SUMIFS('RAW_농산물_8월'!$H:$H,'RAW_농산물_8월'!$D:$D,$C700,'RAW_농산물_8월'!$A:$A,$E700)))</f>
        <v/>
      </c>
      <c r="Q700" s="7" t="str">
        <f>IF($C700="","",IF(COUNTA('RAW_농산물_10월'!$A:$A)&lt;=1,"",SUMIFS('RAW_농산물_10월'!$H:$H,'RAW_농산물_10월'!$D:$D,$C700,'RAW_농산물_10월'!$A:$A,$E700)-SUMIFS('RAW_농산물_9월'!$H:$H,'RAW_농산물_9월'!$D:$D,$C700,'RAW_농산물_9월'!$A:$A,$E700)))</f>
        <v/>
      </c>
      <c r="R700" s="7" t="str">
        <f>IF($C700="","",IF(COUNTA('RAW_농산물_11-12월'!$A:$A)&lt;=1,"",SUMIFS('RAW_농산물_11-12월'!$H:$H,'RAW_농산물_11-12월'!$D:$D,$C700,'RAW_농산물_11-12월'!$A:$A,$E700)-SUMIFS('RAW_농산물_10월'!$H:$H,'RAW_농산물_10월'!$D:$D,$C700,'RAW_농산물_10월'!$A:$A,$E700)))</f>
        <v/>
      </c>
      <c r="S700" s="17" t="str">
        <f t="shared" si="4"/>
        <v/>
      </c>
      <c r="T700" s="17" t="str">
        <f t="shared" si="5"/>
        <v/>
      </c>
      <c r="U700" s="7">
        <f>IF($C700="",0,IF('설정'!$B$3=0,0,CHOOSE('설정'!$B$3,COUNTIFS('RAW_농산물_7월'!$D:$D,$C700,'RAW_농산물_7월'!$A:$A,$E700),COUNTIFS('RAW_농산물_8월'!$D:$D,$C700,'RAW_농산물_8월'!$A:$A,$E700),COUNTIFS('RAW_농산물_9월'!$D:$D,$C700,'RAW_농산물_9월'!$A:$A,$E700),COUNTIFS('RAW_농산물_10월'!$D:$D,$C700,'RAW_농산물_10월'!$A:$A,$E700),COUNTIFS('RAW_농산물_11-12월'!$D:$D,$C700,'RAW_농산물_11-12월'!$A:$A,$E700))))</f>
        <v>0</v>
      </c>
    </row>
    <row r="701" ht="15.75" customHeight="1">
      <c r="A701" s="5"/>
      <c r="B701" s="5"/>
      <c r="C701" s="5"/>
      <c r="D701" s="6"/>
      <c r="E701" s="5"/>
      <c r="F701" s="7" t="str">
        <f>IF($C701="","",IF('설정'!$B$3=0,"",CHOOSE('설정'!$B$3,SUMIFS('RAW_농산물_7월'!$F:$F,'RAW_농산물_7월'!$D:$D,$C701,'RAW_농산물_7월'!$A:$A,$E701),SUMIFS('RAW_농산물_8월'!$F:$F,'RAW_농산물_8월'!$D:$D,$C701,'RAW_농산물_8월'!$A:$A,$E701),SUMIFS('RAW_농산물_9월'!$F:$F,'RAW_농산물_9월'!$D:$D,$C701,'RAW_농산물_9월'!$A:$A,$E701),SUMIFS('RAW_농산물_10월'!$F:$F,'RAW_농산물_10월'!$D:$D,$C701,'RAW_농산물_10월'!$A:$A,$E701),SUMIFS('RAW_농산물_11-12월'!$F:$F,'RAW_농산물_11-12월'!$D:$D,$C701,'RAW_농산물_11-12월'!$A:$A,$E701))))</f>
        <v/>
      </c>
      <c r="G701" s="7" t="str">
        <f>IF($C701="","",IF('설정'!$B$3=0,"",CHOOSE('설정'!$B$3,SUMIFS('RAW_농산물_7월'!$G:$G,'RAW_농산물_7월'!$D:$D,$C701,'RAW_농산물_7월'!$A:$A,$E701),SUMIFS('RAW_농산물_8월'!$G:$G,'RAW_농산물_8월'!$D:$D,$C701,'RAW_농산물_8월'!$A:$A,$E701),SUMIFS('RAW_농산물_9월'!$G:$G,'RAW_농산물_9월'!$D:$D,$C701,'RAW_농산물_9월'!$A:$A,$E701),SUMIFS('RAW_농산물_10월'!$G:$G,'RAW_농산물_10월'!$D:$D,$C701,'RAW_농산물_10월'!$A:$A,$E701),SUMIFS('RAW_농산물_11-12월'!$G:$G,'RAW_농산물_11-12월'!$D:$D,$C701,'RAW_농산물_11-12월'!$A:$A,$E701))))</f>
        <v/>
      </c>
      <c r="H701" s="14" t="str">
        <f>IF($C701="","",IF('설정'!$B$3=0,"",CHOOSE('설정'!$B$3,SUMIFS('RAW_농산물_7월'!$H:$H,'RAW_농산물_7월'!$D:$D,$C701,'RAW_농산물_7월'!$A:$A,$E701),SUMIFS('RAW_농산물_8월'!$H:$H,'RAW_농산물_8월'!$D:$D,$C701,'RAW_농산물_8월'!$A:$A,$E701),SUMIFS('RAW_농산물_9월'!$H:$H,'RAW_농산물_9월'!$D:$D,$C701,'RAW_농산물_9월'!$A:$A,$E701),SUMIFS('RAW_농산물_10월'!$H:$H,'RAW_농산물_10월'!$D:$D,$C701,'RAW_농산물_10월'!$A:$A,$E701),SUMIFS('RAW_농산물_11-12월'!$H:$H,'RAW_농산물_11-12월'!$D:$D,$C701,'RAW_농산물_11-12월'!$A:$A,$E701))))</f>
        <v/>
      </c>
      <c r="I701" s="17" t="str">
        <f>IF($C701="","",IF(COUNTIFS('RAW_농산물_7월'!$D:$D,$C701,'RAW_농산물_7월'!$A:$A,$E701)&gt;0,"O",""))</f>
        <v/>
      </c>
      <c r="J701" s="17" t="str">
        <f>IF($C701="","",IF(COUNTIFS('RAW_농산물_8월'!$D:$D,$C701,'RAW_농산물_8월'!$A:$A,$E701)&gt;0,"O",""))</f>
        <v/>
      </c>
      <c r="K701" s="17" t="str">
        <f>IF($C701="","",IF(COUNTIFS('RAW_농산물_9월'!$D:$D,$C701,'RAW_농산물_9월'!$A:$A,$E701)&gt;0,"O",""))</f>
        <v/>
      </c>
      <c r="L701" s="17" t="str">
        <f>IF($C701="","",IF(COUNTIFS('RAW_농산물_10월'!$D:$D,$C701,'RAW_농산물_10월'!$A:$A,$E701)&gt;0,"O",""))</f>
        <v/>
      </c>
      <c r="M701" s="17" t="str">
        <f>IF($C701="","",IF(COUNTIFS('RAW_농산물_11-12월'!$D:$D,$C701,'RAW_농산물_11-12월'!$A:$A,$E701)&gt;0,"O",""))</f>
        <v/>
      </c>
      <c r="N701" s="7" t="str">
        <f>IF($C701="","",IF(COUNTA('RAW_농산물_7월'!$A:$A)&lt;=1,"",SUMIFS('RAW_농산물_7월'!$H:$H,'RAW_농산물_7월'!$D:$D,$C701,'RAW_농산물_7월'!$A:$A,$E701)))</f>
        <v/>
      </c>
      <c r="O701" s="7" t="str">
        <f>IF($C701="","",IF(COUNTA('RAW_농산물_8월'!$A:$A)&lt;=1,"",SUMIFS('RAW_농산물_8월'!$H:$H,'RAW_농산물_8월'!$D:$D,$C701,'RAW_농산물_8월'!$A:$A,$E701)-SUMIFS('RAW_농산물_7월'!$H:$H,'RAW_농산물_7월'!$D:$D,$C701,'RAW_농산물_7월'!$A:$A,$E701)))</f>
        <v/>
      </c>
      <c r="P701" s="7" t="str">
        <f>IF($C701="","",IF(COUNTA('RAW_농산물_9월'!$A:$A)&lt;=1,"",SUMIFS('RAW_농산물_9월'!$H:$H,'RAW_농산물_9월'!$D:$D,$C701,'RAW_농산물_9월'!$A:$A,$E701)-SUMIFS('RAW_농산물_8월'!$H:$H,'RAW_농산물_8월'!$D:$D,$C701,'RAW_농산물_8월'!$A:$A,$E701)))</f>
        <v/>
      </c>
      <c r="Q701" s="7" t="str">
        <f>IF($C701="","",IF(COUNTA('RAW_농산물_10월'!$A:$A)&lt;=1,"",SUMIFS('RAW_농산물_10월'!$H:$H,'RAW_농산물_10월'!$D:$D,$C701,'RAW_농산물_10월'!$A:$A,$E701)-SUMIFS('RAW_농산물_9월'!$H:$H,'RAW_농산물_9월'!$D:$D,$C701,'RAW_농산물_9월'!$A:$A,$E701)))</f>
        <v/>
      </c>
      <c r="R701" s="7" t="str">
        <f>IF($C701="","",IF(COUNTA('RAW_농산물_11-12월'!$A:$A)&lt;=1,"",SUMIFS('RAW_농산물_11-12월'!$H:$H,'RAW_농산물_11-12월'!$D:$D,$C701,'RAW_농산물_11-12월'!$A:$A,$E701)-SUMIFS('RAW_농산물_10월'!$H:$H,'RAW_농산물_10월'!$D:$D,$C701,'RAW_농산물_10월'!$A:$A,$E701)))</f>
        <v/>
      </c>
      <c r="S701" s="17" t="str">
        <f t="shared" si="4"/>
        <v/>
      </c>
      <c r="T701" s="17" t="str">
        <f t="shared" si="5"/>
        <v/>
      </c>
      <c r="U701" s="7">
        <f>IF($C701="",0,IF('설정'!$B$3=0,0,CHOOSE('설정'!$B$3,COUNTIFS('RAW_농산물_7월'!$D:$D,$C701,'RAW_농산물_7월'!$A:$A,$E701),COUNTIFS('RAW_농산물_8월'!$D:$D,$C701,'RAW_농산물_8월'!$A:$A,$E701),COUNTIFS('RAW_농산물_9월'!$D:$D,$C701,'RAW_농산물_9월'!$A:$A,$E701),COUNTIFS('RAW_농산물_10월'!$D:$D,$C701,'RAW_농산물_10월'!$A:$A,$E701),COUNTIFS('RAW_농산물_11-12월'!$D:$D,$C701,'RAW_농산물_11-12월'!$A:$A,$E701))))</f>
        <v>0</v>
      </c>
    </row>
    <row r="702" ht="15.75" customHeight="1">
      <c r="A702" s="5"/>
      <c r="B702" s="5"/>
      <c r="C702" s="5"/>
      <c r="D702" s="6"/>
      <c r="E702" s="5"/>
      <c r="F702" s="7" t="str">
        <f>IF($C702="","",IF('설정'!$B$3=0,"",CHOOSE('설정'!$B$3,SUMIFS('RAW_농산물_7월'!$F:$F,'RAW_농산물_7월'!$D:$D,$C702,'RAW_농산물_7월'!$A:$A,$E702),SUMIFS('RAW_농산물_8월'!$F:$F,'RAW_농산물_8월'!$D:$D,$C702,'RAW_농산물_8월'!$A:$A,$E702),SUMIFS('RAW_농산물_9월'!$F:$F,'RAW_농산물_9월'!$D:$D,$C702,'RAW_농산물_9월'!$A:$A,$E702),SUMIFS('RAW_농산물_10월'!$F:$F,'RAW_농산물_10월'!$D:$D,$C702,'RAW_농산물_10월'!$A:$A,$E702),SUMIFS('RAW_농산물_11-12월'!$F:$F,'RAW_농산물_11-12월'!$D:$D,$C702,'RAW_농산물_11-12월'!$A:$A,$E702))))</f>
        <v/>
      </c>
      <c r="G702" s="7" t="str">
        <f>IF($C702="","",IF('설정'!$B$3=0,"",CHOOSE('설정'!$B$3,SUMIFS('RAW_농산물_7월'!$G:$G,'RAW_농산물_7월'!$D:$D,$C702,'RAW_농산물_7월'!$A:$A,$E702),SUMIFS('RAW_농산물_8월'!$G:$G,'RAW_농산물_8월'!$D:$D,$C702,'RAW_농산물_8월'!$A:$A,$E702),SUMIFS('RAW_농산물_9월'!$G:$G,'RAW_농산물_9월'!$D:$D,$C702,'RAW_농산물_9월'!$A:$A,$E702),SUMIFS('RAW_농산물_10월'!$G:$G,'RAW_농산물_10월'!$D:$D,$C702,'RAW_농산물_10월'!$A:$A,$E702),SUMIFS('RAW_농산물_11-12월'!$G:$G,'RAW_농산물_11-12월'!$D:$D,$C702,'RAW_농산물_11-12월'!$A:$A,$E702))))</f>
        <v/>
      </c>
      <c r="H702" s="14" t="str">
        <f>IF($C702="","",IF('설정'!$B$3=0,"",CHOOSE('설정'!$B$3,SUMIFS('RAW_농산물_7월'!$H:$H,'RAW_농산물_7월'!$D:$D,$C702,'RAW_농산물_7월'!$A:$A,$E702),SUMIFS('RAW_농산물_8월'!$H:$H,'RAW_농산물_8월'!$D:$D,$C702,'RAW_농산물_8월'!$A:$A,$E702),SUMIFS('RAW_농산물_9월'!$H:$H,'RAW_농산물_9월'!$D:$D,$C702,'RAW_농산물_9월'!$A:$A,$E702),SUMIFS('RAW_농산물_10월'!$H:$H,'RAW_농산물_10월'!$D:$D,$C702,'RAW_농산물_10월'!$A:$A,$E702),SUMIFS('RAW_농산물_11-12월'!$H:$H,'RAW_농산물_11-12월'!$D:$D,$C702,'RAW_농산물_11-12월'!$A:$A,$E702))))</f>
        <v/>
      </c>
      <c r="I702" s="17" t="str">
        <f>IF($C702="","",IF(COUNTIFS('RAW_농산물_7월'!$D:$D,$C702,'RAW_농산물_7월'!$A:$A,$E702)&gt;0,"O",""))</f>
        <v/>
      </c>
      <c r="J702" s="17" t="str">
        <f>IF($C702="","",IF(COUNTIFS('RAW_농산물_8월'!$D:$D,$C702,'RAW_농산물_8월'!$A:$A,$E702)&gt;0,"O",""))</f>
        <v/>
      </c>
      <c r="K702" s="17" t="str">
        <f>IF($C702="","",IF(COUNTIFS('RAW_농산물_9월'!$D:$D,$C702,'RAW_농산물_9월'!$A:$A,$E702)&gt;0,"O",""))</f>
        <v/>
      </c>
      <c r="L702" s="17" t="str">
        <f>IF($C702="","",IF(COUNTIFS('RAW_농산물_10월'!$D:$D,$C702,'RAW_농산물_10월'!$A:$A,$E702)&gt;0,"O",""))</f>
        <v/>
      </c>
      <c r="M702" s="17" t="str">
        <f>IF($C702="","",IF(COUNTIFS('RAW_농산물_11-12월'!$D:$D,$C702,'RAW_농산물_11-12월'!$A:$A,$E702)&gt;0,"O",""))</f>
        <v/>
      </c>
      <c r="N702" s="7" t="str">
        <f>IF($C702="","",IF(COUNTA('RAW_농산물_7월'!$A:$A)&lt;=1,"",SUMIFS('RAW_농산물_7월'!$H:$H,'RAW_농산물_7월'!$D:$D,$C702,'RAW_농산물_7월'!$A:$A,$E702)))</f>
        <v/>
      </c>
      <c r="O702" s="7" t="str">
        <f>IF($C702="","",IF(COUNTA('RAW_농산물_8월'!$A:$A)&lt;=1,"",SUMIFS('RAW_농산물_8월'!$H:$H,'RAW_농산물_8월'!$D:$D,$C702,'RAW_농산물_8월'!$A:$A,$E702)-SUMIFS('RAW_농산물_7월'!$H:$H,'RAW_농산물_7월'!$D:$D,$C702,'RAW_농산물_7월'!$A:$A,$E702)))</f>
        <v/>
      </c>
      <c r="P702" s="7" t="str">
        <f>IF($C702="","",IF(COUNTA('RAW_농산물_9월'!$A:$A)&lt;=1,"",SUMIFS('RAW_농산물_9월'!$H:$H,'RAW_농산물_9월'!$D:$D,$C702,'RAW_농산물_9월'!$A:$A,$E702)-SUMIFS('RAW_농산물_8월'!$H:$H,'RAW_농산물_8월'!$D:$D,$C702,'RAW_농산물_8월'!$A:$A,$E702)))</f>
        <v/>
      </c>
      <c r="Q702" s="7" t="str">
        <f>IF($C702="","",IF(COUNTA('RAW_농산물_10월'!$A:$A)&lt;=1,"",SUMIFS('RAW_농산물_10월'!$H:$H,'RAW_농산물_10월'!$D:$D,$C702,'RAW_농산물_10월'!$A:$A,$E702)-SUMIFS('RAW_농산물_9월'!$H:$H,'RAW_농산물_9월'!$D:$D,$C702,'RAW_농산물_9월'!$A:$A,$E702)))</f>
        <v/>
      </c>
      <c r="R702" s="7" t="str">
        <f>IF($C702="","",IF(COUNTA('RAW_농산물_11-12월'!$A:$A)&lt;=1,"",SUMIFS('RAW_농산물_11-12월'!$H:$H,'RAW_농산물_11-12월'!$D:$D,$C702,'RAW_농산물_11-12월'!$A:$A,$E702)-SUMIFS('RAW_농산물_10월'!$H:$H,'RAW_농산물_10월'!$D:$D,$C702,'RAW_농산물_10월'!$A:$A,$E702)))</f>
        <v/>
      </c>
      <c r="S702" s="17" t="str">
        <f t="shared" si="4"/>
        <v/>
      </c>
      <c r="T702" s="17" t="str">
        <f t="shared" si="5"/>
        <v/>
      </c>
      <c r="U702" s="7">
        <f>IF($C702="",0,IF('설정'!$B$3=0,0,CHOOSE('설정'!$B$3,COUNTIFS('RAW_농산물_7월'!$D:$D,$C702,'RAW_농산물_7월'!$A:$A,$E702),COUNTIFS('RAW_농산물_8월'!$D:$D,$C702,'RAW_농산물_8월'!$A:$A,$E702),COUNTIFS('RAW_농산물_9월'!$D:$D,$C702,'RAW_농산물_9월'!$A:$A,$E702),COUNTIFS('RAW_농산물_10월'!$D:$D,$C702,'RAW_농산물_10월'!$A:$A,$E702),COUNTIFS('RAW_농산물_11-12월'!$D:$D,$C702,'RAW_농산물_11-12월'!$A:$A,$E702))))</f>
        <v>0</v>
      </c>
    </row>
    <row r="703" ht="15.75" customHeight="1">
      <c r="H703" s="59"/>
    </row>
    <row r="704" ht="15.75" customHeight="1">
      <c r="H704" s="59"/>
    </row>
    <row r="705" ht="15.75" customHeight="1">
      <c r="H705" s="59"/>
    </row>
    <row r="706" ht="15.75" customHeight="1">
      <c r="H706" s="59"/>
    </row>
    <row r="707" ht="15.75" customHeight="1">
      <c r="H707" s="59"/>
    </row>
    <row r="708" ht="15.75" customHeight="1">
      <c r="H708" s="59"/>
    </row>
    <row r="709" ht="15.75" customHeight="1">
      <c r="H709" s="59"/>
    </row>
    <row r="710" ht="15.75" customHeight="1">
      <c r="H710" s="59"/>
    </row>
    <row r="711" ht="15.75" customHeight="1">
      <c r="H711" s="59"/>
    </row>
    <row r="712" ht="15.75" customHeight="1">
      <c r="H712" s="59"/>
    </row>
    <row r="713" ht="15.75" customHeight="1">
      <c r="H713" s="59"/>
    </row>
    <row r="714" ht="15.75" customHeight="1">
      <c r="H714" s="59"/>
    </row>
    <row r="715" ht="15.75" customHeight="1">
      <c r="H715" s="59"/>
    </row>
    <row r="716" ht="15.75" customHeight="1">
      <c r="H716" s="59"/>
    </row>
    <row r="717" ht="15.75" customHeight="1">
      <c r="H717" s="59"/>
    </row>
    <row r="718" ht="15.75" customHeight="1">
      <c r="H718" s="59"/>
    </row>
    <row r="719" ht="15.75" customHeight="1">
      <c r="H719" s="59"/>
    </row>
    <row r="720" ht="15.75" customHeight="1">
      <c r="H720" s="59"/>
    </row>
    <row r="721" ht="15.75" customHeight="1">
      <c r="H721" s="59"/>
    </row>
    <row r="722" ht="15.75" customHeight="1">
      <c r="H722" s="59"/>
    </row>
    <row r="723" ht="15.75" customHeight="1">
      <c r="H723" s="59"/>
    </row>
    <row r="724" ht="15.75" customHeight="1">
      <c r="H724" s="59"/>
    </row>
    <row r="725" ht="15.75" customHeight="1">
      <c r="H725" s="59"/>
    </row>
    <row r="726" ht="15.75" customHeight="1">
      <c r="H726" s="59"/>
    </row>
    <row r="727" ht="15.75" customHeight="1">
      <c r="H727" s="59"/>
    </row>
    <row r="728" ht="15.75" customHeight="1">
      <c r="H728" s="59"/>
    </row>
    <row r="729" ht="15.75" customHeight="1">
      <c r="H729" s="59"/>
    </row>
    <row r="730" ht="15.75" customHeight="1">
      <c r="H730" s="59"/>
    </row>
    <row r="731" ht="15.75" customHeight="1">
      <c r="H731" s="59"/>
    </row>
    <row r="732" ht="15.75" customHeight="1">
      <c r="H732" s="59"/>
    </row>
    <row r="733" ht="15.75" customHeight="1">
      <c r="H733" s="59"/>
    </row>
    <row r="734" ht="15.75" customHeight="1">
      <c r="H734" s="59"/>
    </row>
    <row r="735" ht="15.75" customHeight="1">
      <c r="H735" s="59"/>
    </row>
    <row r="736" ht="15.75" customHeight="1">
      <c r="H736" s="59"/>
    </row>
    <row r="737" ht="15.75" customHeight="1">
      <c r="H737" s="59"/>
    </row>
    <row r="738" ht="15.75" customHeight="1">
      <c r="H738" s="59"/>
    </row>
    <row r="739" ht="15.75" customHeight="1">
      <c r="H739" s="59"/>
    </row>
    <row r="740" ht="15.75" customHeight="1">
      <c r="H740" s="59"/>
    </row>
    <row r="741" ht="15.75" customHeight="1">
      <c r="H741" s="59"/>
    </row>
    <row r="742" ht="15.75" customHeight="1">
      <c r="H742" s="59"/>
    </row>
    <row r="743" ht="15.75" customHeight="1">
      <c r="H743" s="59"/>
    </row>
    <row r="744" ht="15.75" customHeight="1">
      <c r="H744" s="59"/>
    </row>
    <row r="745" ht="15.75" customHeight="1">
      <c r="H745" s="59"/>
    </row>
    <row r="746" ht="15.75" customHeight="1">
      <c r="H746" s="59"/>
    </row>
    <row r="747" ht="15.75" customHeight="1">
      <c r="H747" s="59"/>
    </row>
    <row r="748" ht="15.75" customHeight="1">
      <c r="H748" s="59"/>
    </row>
    <row r="749" ht="15.75" customHeight="1">
      <c r="H749" s="59"/>
    </row>
    <row r="750" ht="15.75" customHeight="1">
      <c r="H750" s="59"/>
    </row>
    <row r="751" ht="15.75" customHeight="1">
      <c r="H751" s="59"/>
    </row>
    <row r="752" ht="15.75" customHeight="1">
      <c r="H752" s="59"/>
    </row>
    <row r="753" ht="15.75" customHeight="1">
      <c r="H753" s="59"/>
    </row>
    <row r="754" ht="15.75" customHeight="1">
      <c r="H754" s="59"/>
    </row>
    <row r="755" ht="15.75" customHeight="1">
      <c r="H755" s="59"/>
    </row>
    <row r="756" ht="15.75" customHeight="1">
      <c r="H756" s="59"/>
    </row>
    <row r="757" ht="15.75" customHeight="1">
      <c r="H757" s="59"/>
    </row>
    <row r="758" ht="15.75" customHeight="1">
      <c r="H758" s="59"/>
    </row>
    <row r="759" ht="15.75" customHeight="1">
      <c r="H759" s="59"/>
    </row>
    <row r="760" ht="15.75" customHeight="1">
      <c r="H760" s="59"/>
    </row>
    <row r="761" ht="15.75" customHeight="1">
      <c r="H761" s="59"/>
    </row>
    <row r="762" ht="15.75" customHeight="1">
      <c r="H762" s="59"/>
    </row>
    <row r="763" ht="15.75" customHeight="1">
      <c r="H763" s="59"/>
    </row>
    <row r="764" ht="15.75" customHeight="1">
      <c r="H764" s="59"/>
    </row>
    <row r="765" ht="15.75" customHeight="1">
      <c r="H765" s="59"/>
    </row>
    <row r="766" ht="15.75" customHeight="1">
      <c r="H766" s="59"/>
    </row>
    <row r="767" ht="15.75" customHeight="1">
      <c r="H767" s="59"/>
    </row>
    <row r="768" ht="15.75" customHeight="1">
      <c r="H768" s="59"/>
    </row>
    <row r="769" ht="15.75" customHeight="1">
      <c r="H769" s="59"/>
    </row>
    <row r="770" ht="15.75" customHeight="1">
      <c r="H770" s="59"/>
    </row>
    <row r="771" ht="15.75" customHeight="1">
      <c r="H771" s="59"/>
    </row>
    <row r="772" ht="15.75" customHeight="1">
      <c r="H772" s="59"/>
    </row>
    <row r="773" ht="15.75" customHeight="1">
      <c r="H773" s="59"/>
    </row>
    <row r="774" ht="15.75" customHeight="1">
      <c r="H774" s="59"/>
    </row>
    <row r="775" ht="15.75" customHeight="1">
      <c r="H775" s="59"/>
    </row>
    <row r="776" ht="15.75" customHeight="1">
      <c r="H776" s="59"/>
    </row>
    <row r="777" ht="15.75" customHeight="1">
      <c r="H777" s="59"/>
    </row>
    <row r="778" ht="15.75" customHeight="1">
      <c r="H778" s="59"/>
    </row>
    <row r="779" ht="15.75" customHeight="1">
      <c r="H779" s="59"/>
    </row>
    <row r="780" ht="15.75" customHeight="1">
      <c r="H780" s="59"/>
    </row>
    <row r="781" ht="15.75" customHeight="1">
      <c r="H781" s="59"/>
    </row>
    <row r="782" ht="15.75" customHeight="1">
      <c r="H782" s="59"/>
    </row>
    <row r="783" ht="15.75" customHeight="1">
      <c r="H783" s="59"/>
    </row>
    <row r="784" ht="15.75" customHeight="1">
      <c r="H784" s="59"/>
    </row>
    <row r="785" ht="15.75" customHeight="1">
      <c r="H785" s="59"/>
    </row>
    <row r="786" ht="15.75" customHeight="1">
      <c r="H786" s="59"/>
    </row>
    <row r="787" ht="15.75" customHeight="1">
      <c r="H787" s="59"/>
    </row>
    <row r="788" ht="15.75" customHeight="1">
      <c r="H788" s="59"/>
    </row>
    <row r="789" ht="15.75" customHeight="1">
      <c r="H789" s="59"/>
    </row>
    <row r="790" ht="15.75" customHeight="1">
      <c r="H790" s="59"/>
    </row>
    <row r="791" ht="15.75" customHeight="1">
      <c r="H791" s="59"/>
    </row>
    <row r="792" ht="15.75" customHeight="1">
      <c r="H792" s="59"/>
    </row>
    <row r="793" ht="15.75" customHeight="1">
      <c r="H793" s="59"/>
    </row>
    <row r="794" ht="15.75" customHeight="1">
      <c r="H794" s="59"/>
    </row>
    <row r="795" ht="15.75" customHeight="1">
      <c r="H795" s="59"/>
    </row>
    <row r="796" ht="15.75" customHeight="1">
      <c r="H796" s="59"/>
    </row>
    <row r="797" ht="15.75" customHeight="1">
      <c r="H797" s="59"/>
    </row>
    <row r="798" ht="15.75" customHeight="1">
      <c r="H798" s="59"/>
    </row>
    <row r="799" ht="15.75" customHeight="1">
      <c r="H799" s="59"/>
    </row>
    <row r="800" ht="15.75" customHeight="1">
      <c r="H800" s="59"/>
    </row>
    <row r="801" ht="15.75" customHeight="1">
      <c r="H801" s="59"/>
    </row>
    <row r="802" ht="15.75" customHeight="1">
      <c r="H802" s="59"/>
    </row>
    <row r="803" ht="15.75" customHeight="1">
      <c r="H803" s="59"/>
    </row>
    <row r="804" ht="15.75" customHeight="1">
      <c r="H804" s="59"/>
    </row>
    <row r="805" ht="15.75" customHeight="1">
      <c r="H805" s="59"/>
    </row>
    <row r="806" ht="15.75" customHeight="1">
      <c r="H806" s="59"/>
    </row>
    <row r="807" ht="15.75" customHeight="1">
      <c r="H807" s="59"/>
    </row>
    <row r="808" ht="15.75" customHeight="1">
      <c r="H808" s="59"/>
    </row>
    <row r="809" ht="15.75" customHeight="1">
      <c r="H809" s="59"/>
    </row>
    <row r="810" ht="15.75" customHeight="1">
      <c r="H810" s="59"/>
    </row>
    <row r="811" ht="15.75" customHeight="1">
      <c r="H811" s="59"/>
    </row>
    <row r="812" ht="15.75" customHeight="1">
      <c r="H812" s="59"/>
    </row>
    <row r="813" ht="15.75" customHeight="1">
      <c r="H813" s="59"/>
    </row>
    <row r="814" ht="15.75" customHeight="1">
      <c r="H814" s="59"/>
    </row>
    <row r="815" ht="15.75" customHeight="1">
      <c r="H815" s="59"/>
    </row>
    <row r="816" ht="15.75" customHeight="1">
      <c r="H816" s="59"/>
    </row>
    <row r="817" ht="15.75" customHeight="1">
      <c r="H817" s="59"/>
    </row>
    <row r="818" ht="15.75" customHeight="1">
      <c r="H818" s="59"/>
    </row>
    <row r="819" ht="15.75" customHeight="1">
      <c r="H819" s="59"/>
    </row>
    <row r="820" ht="15.75" customHeight="1">
      <c r="H820" s="59"/>
    </row>
    <row r="821" ht="15.75" customHeight="1">
      <c r="H821" s="59"/>
    </row>
    <row r="822" ht="15.75" customHeight="1">
      <c r="H822" s="59"/>
    </row>
    <row r="823" ht="15.75" customHeight="1">
      <c r="H823" s="59"/>
    </row>
    <row r="824" ht="15.75" customHeight="1">
      <c r="H824" s="59"/>
    </row>
    <row r="825" ht="15.75" customHeight="1">
      <c r="H825" s="59"/>
    </row>
    <row r="826" ht="15.75" customHeight="1">
      <c r="H826" s="59"/>
    </row>
    <row r="827" ht="15.75" customHeight="1">
      <c r="H827" s="59"/>
    </row>
    <row r="828" ht="15.75" customHeight="1">
      <c r="H828" s="59"/>
    </row>
    <row r="829" ht="15.75" customHeight="1">
      <c r="H829" s="59"/>
    </row>
    <row r="830" ht="15.75" customHeight="1">
      <c r="H830" s="59"/>
    </row>
    <row r="831" ht="15.75" customHeight="1">
      <c r="H831" s="59"/>
    </row>
    <row r="832" ht="15.75" customHeight="1">
      <c r="H832" s="59"/>
    </row>
    <row r="833" ht="15.75" customHeight="1">
      <c r="H833" s="59"/>
    </row>
    <row r="834" ht="15.75" customHeight="1">
      <c r="H834" s="59"/>
    </row>
    <row r="835" ht="15.75" customHeight="1">
      <c r="H835" s="59"/>
    </row>
    <row r="836" ht="15.75" customHeight="1">
      <c r="H836" s="59"/>
    </row>
    <row r="837" ht="15.75" customHeight="1">
      <c r="H837" s="59"/>
    </row>
    <row r="838" ht="15.75" customHeight="1">
      <c r="H838" s="59"/>
    </row>
    <row r="839" ht="15.75" customHeight="1">
      <c r="H839" s="59"/>
    </row>
    <row r="840" ht="15.75" customHeight="1">
      <c r="H840" s="59"/>
    </row>
    <row r="841" ht="15.75" customHeight="1">
      <c r="H841" s="59"/>
    </row>
    <row r="842" ht="15.75" customHeight="1">
      <c r="H842" s="59"/>
    </row>
    <row r="843" ht="15.75" customHeight="1">
      <c r="H843" s="59"/>
    </row>
    <row r="844" ht="15.75" customHeight="1">
      <c r="H844" s="59"/>
    </row>
    <row r="845" ht="15.75" customHeight="1">
      <c r="H845" s="59"/>
    </row>
    <row r="846" ht="15.75" customHeight="1">
      <c r="H846" s="59"/>
    </row>
    <row r="847" ht="15.75" customHeight="1">
      <c r="H847" s="59"/>
    </row>
    <row r="848" ht="15.75" customHeight="1">
      <c r="H848" s="59"/>
    </row>
    <row r="849" ht="15.75" customHeight="1">
      <c r="H849" s="59"/>
    </row>
    <row r="850" ht="15.75" customHeight="1">
      <c r="H850" s="59"/>
    </row>
    <row r="851" ht="15.75" customHeight="1">
      <c r="H851" s="59"/>
    </row>
    <row r="852" ht="15.75" customHeight="1">
      <c r="H852" s="59"/>
    </row>
    <row r="853" ht="15.75" customHeight="1">
      <c r="H853" s="59"/>
    </row>
    <row r="854" ht="15.75" customHeight="1">
      <c r="H854" s="59"/>
    </row>
    <row r="855" ht="15.75" customHeight="1">
      <c r="H855" s="59"/>
    </row>
    <row r="856" ht="15.75" customHeight="1">
      <c r="H856" s="59"/>
    </row>
    <row r="857" ht="15.75" customHeight="1">
      <c r="H857" s="59"/>
    </row>
    <row r="858" ht="15.75" customHeight="1">
      <c r="H858" s="59"/>
    </row>
    <row r="859" ht="15.75" customHeight="1">
      <c r="H859" s="59"/>
    </row>
    <row r="860" ht="15.75" customHeight="1">
      <c r="H860" s="59"/>
    </row>
    <row r="861" ht="15.75" customHeight="1">
      <c r="H861" s="59"/>
    </row>
    <row r="862" ht="15.75" customHeight="1">
      <c r="H862" s="59"/>
    </row>
    <row r="863" ht="15.75" customHeight="1">
      <c r="H863" s="59"/>
    </row>
    <row r="864" ht="15.75" customHeight="1">
      <c r="H864" s="59"/>
    </row>
    <row r="865" ht="15.75" customHeight="1">
      <c r="H865" s="59"/>
    </row>
    <row r="866" ht="15.75" customHeight="1">
      <c r="H866" s="59"/>
    </row>
    <row r="867" ht="15.75" customHeight="1">
      <c r="H867" s="59"/>
    </row>
    <row r="868" ht="15.75" customHeight="1">
      <c r="H868" s="59"/>
    </row>
    <row r="869" ht="15.75" customHeight="1">
      <c r="H869" s="59"/>
    </row>
    <row r="870" ht="15.75" customHeight="1">
      <c r="H870" s="59"/>
    </row>
    <row r="871" ht="15.75" customHeight="1">
      <c r="H871" s="59"/>
    </row>
    <row r="872" ht="15.75" customHeight="1">
      <c r="H872" s="59"/>
    </row>
    <row r="873" ht="15.75" customHeight="1">
      <c r="H873" s="59"/>
    </row>
    <row r="874" ht="15.75" customHeight="1">
      <c r="H874" s="59"/>
    </row>
    <row r="875" ht="15.75" customHeight="1">
      <c r="H875" s="59"/>
    </row>
    <row r="876" ht="15.75" customHeight="1">
      <c r="H876" s="59"/>
    </row>
    <row r="877" ht="15.75" customHeight="1">
      <c r="H877" s="59"/>
    </row>
    <row r="878" ht="15.75" customHeight="1">
      <c r="H878" s="59"/>
    </row>
    <row r="879" ht="15.75" customHeight="1">
      <c r="H879" s="59"/>
    </row>
    <row r="880" ht="15.75" customHeight="1">
      <c r="H880" s="59"/>
    </row>
    <row r="881" ht="15.75" customHeight="1">
      <c r="H881" s="59"/>
    </row>
    <row r="882" ht="15.75" customHeight="1">
      <c r="H882" s="59"/>
    </row>
    <row r="883" ht="15.75" customHeight="1">
      <c r="H883" s="59"/>
    </row>
    <row r="884" ht="15.75" customHeight="1">
      <c r="H884" s="59"/>
    </row>
    <row r="885" ht="15.75" customHeight="1">
      <c r="H885" s="59"/>
    </row>
    <row r="886" ht="15.75" customHeight="1">
      <c r="H886" s="59"/>
    </row>
    <row r="887" ht="15.75" customHeight="1">
      <c r="H887" s="59"/>
    </row>
    <row r="888" ht="15.75" customHeight="1">
      <c r="H888" s="59"/>
    </row>
    <row r="889" ht="15.75" customHeight="1">
      <c r="H889" s="59"/>
    </row>
    <row r="890" ht="15.75" customHeight="1">
      <c r="H890" s="59"/>
    </row>
    <row r="891" ht="15.75" customHeight="1">
      <c r="H891" s="59"/>
    </row>
    <row r="892" ht="15.75" customHeight="1">
      <c r="H892" s="59"/>
    </row>
    <row r="893" ht="15.75" customHeight="1">
      <c r="H893" s="59"/>
    </row>
    <row r="894" ht="15.75" customHeight="1">
      <c r="H894" s="59"/>
    </row>
    <row r="895" ht="15.75" customHeight="1">
      <c r="H895" s="59"/>
    </row>
    <row r="896" ht="15.75" customHeight="1">
      <c r="H896" s="59"/>
    </row>
    <row r="897" ht="15.75" customHeight="1">
      <c r="H897" s="59"/>
    </row>
    <row r="898" ht="15.75" customHeight="1">
      <c r="H898" s="59"/>
    </row>
    <row r="899" ht="15.75" customHeight="1">
      <c r="H899" s="59"/>
    </row>
    <row r="900" ht="15.75" customHeight="1">
      <c r="H900" s="59"/>
    </row>
    <row r="901" ht="15.75" customHeight="1">
      <c r="H901" s="59"/>
    </row>
    <row r="902" ht="15.75" customHeight="1">
      <c r="H902" s="59"/>
    </row>
    <row r="903" ht="15.75" customHeight="1">
      <c r="H903" s="59"/>
    </row>
    <row r="904" ht="15.75" customHeight="1">
      <c r="H904" s="59"/>
    </row>
    <row r="905" ht="15.75" customHeight="1">
      <c r="H905" s="59"/>
    </row>
    <row r="906" ht="15.75" customHeight="1">
      <c r="H906" s="59"/>
    </row>
    <row r="907" ht="15.75" customHeight="1">
      <c r="H907" s="59"/>
    </row>
    <row r="908" ht="15.75" customHeight="1">
      <c r="H908" s="59"/>
    </row>
    <row r="909" ht="15.75" customHeight="1">
      <c r="H909" s="59"/>
    </row>
    <row r="910" ht="15.75" customHeight="1">
      <c r="H910" s="59"/>
    </row>
    <row r="911" ht="15.75" customHeight="1">
      <c r="H911" s="59"/>
    </row>
    <row r="912" ht="15.75" customHeight="1">
      <c r="H912" s="59"/>
    </row>
    <row r="913" ht="15.75" customHeight="1">
      <c r="H913" s="59"/>
    </row>
    <row r="914" ht="15.75" customHeight="1">
      <c r="H914" s="59"/>
    </row>
    <row r="915" ht="15.75" customHeight="1">
      <c r="H915" s="59"/>
    </row>
    <row r="916" ht="15.75" customHeight="1">
      <c r="H916" s="59"/>
    </row>
    <row r="917" ht="15.75" customHeight="1">
      <c r="H917" s="59"/>
    </row>
    <row r="918" ht="15.75" customHeight="1">
      <c r="H918" s="59"/>
    </row>
    <row r="919" ht="15.75" customHeight="1">
      <c r="H919" s="59"/>
    </row>
    <row r="920" ht="15.75" customHeight="1">
      <c r="H920" s="59"/>
    </row>
    <row r="921" ht="15.75" customHeight="1">
      <c r="H921" s="59"/>
    </row>
    <row r="922" ht="15.75" customHeight="1">
      <c r="H922" s="59"/>
    </row>
    <row r="923" ht="15.75" customHeight="1">
      <c r="H923" s="59"/>
    </row>
    <row r="924" ht="15.75" customHeight="1">
      <c r="H924" s="59"/>
    </row>
    <row r="925" ht="15.75" customHeight="1">
      <c r="H925" s="59"/>
    </row>
    <row r="926" ht="15.75" customHeight="1">
      <c r="H926" s="59"/>
    </row>
    <row r="927" ht="15.75" customHeight="1">
      <c r="H927" s="59"/>
    </row>
    <row r="928" ht="15.75" customHeight="1">
      <c r="H928" s="59"/>
    </row>
    <row r="929" ht="15.75" customHeight="1">
      <c r="H929" s="59"/>
    </row>
    <row r="930" ht="15.75" customHeight="1">
      <c r="H930" s="59"/>
    </row>
    <row r="931" ht="15.75" customHeight="1">
      <c r="H931" s="59"/>
    </row>
    <row r="932" ht="15.75" customHeight="1">
      <c r="H932" s="59"/>
    </row>
    <row r="933" ht="15.75" customHeight="1">
      <c r="H933" s="59"/>
    </row>
    <row r="934" ht="15.75" customHeight="1">
      <c r="H934" s="59"/>
    </row>
    <row r="935" ht="15.75" customHeight="1">
      <c r="H935" s="59"/>
    </row>
    <row r="936" ht="15.75" customHeight="1">
      <c r="H936" s="59"/>
    </row>
    <row r="937" ht="15.75" customHeight="1">
      <c r="H937" s="59"/>
    </row>
    <row r="938" ht="15.75" customHeight="1">
      <c r="H938" s="59"/>
    </row>
    <row r="939" ht="15.75" customHeight="1">
      <c r="H939" s="59"/>
    </row>
    <row r="940" ht="15.75" customHeight="1">
      <c r="H940" s="59"/>
    </row>
    <row r="941" ht="15.75" customHeight="1">
      <c r="H941" s="59"/>
    </row>
    <row r="942" ht="15.75" customHeight="1">
      <c r="H942" s="59"/>
    </row>
    <row r="943" ht="15.75" customHeight="1">
      <c r="H943" s="59"/>
    </row>
    <row r="944" ht="15.75" customHeight="1">
      <c r="H944" s="59"/>
    </row>
    <row r="945" ht="15.75" customHeight="1">
      <c r="H945" s="59"/>
    </row>
    <row r="946" ht="15.75" customHeight="1">
      <c r="H946" s="59"/>
    </row>
    <row r="947" ht="15.75" customHeight="1">
      <c r="H947" s="59"/>
    </row>
    <row r="948" ht="15.75" customHeight="1">
      <c r="H948" s="59"/>
    </row>
    <row r="949" ht="15.75" customHeight="1">
      <c r="H949" s="59"/>
    </row>
    <row r="950" ht="15.75" customHeight="1">
      <c r="H950" s="59"/>
    </row>
    <row r="951" ht="15.75" customHeight="1">
      <c r="H951" s="59"/>
    </row>
    <row r="952" ht="15.75" customHeight="1">
      <c r="H952" s="59"/>
    </row>
    <row r="953" ht="15.75" customHeight="1">
      <c r="H953" s="59"/>
    </row>
    <row r="954" ht="15.75" customHeight="1">
      <c r="H954" s="59"/>
    </row>
    <row r="955" ht="15.75" customHeight="1">
      <c r="H955" s="59"/>
    </row>
    <row r="956" ht="15.75" customHeight="1">
      <c r="H956" s="59"/>
    </row>
    <row r="957" ht="15.75" customHeight="1">
      <c r="H957" s="59"/>
    </row>
    <row r="958" ht="15.75" customHeight="1">
      <c r="H958" s="59"/>
    </row>
    <row r="959" ht="15.75" customHeight="1">
      <c r="H959" s="59"/>
    </row>
    <row r="960" ht="15.75" customHeight="1">
      <c r="H960" s="59"/>
    </row>
    <row r="961" ht="15.75" customHeight="1">
      <c r="H961" s="59"/>
    </row>
    <row r="962" ht="15.75" customHeight="1">
      <c r="H962" s="59"/>
    </row>
    <row r="963" ht="15.75" customHeight="1">
      <c r="H963" s="59"/>
    </row>
    <row r="964" ht="15.75" customHeight="1">
      <c r="H964" s="59"/>
    </row>
    <row r="965" ht="15.75" customHeight="1">
      <c r="H965" s="59"/>
    </row>
    <row r="966" ht="15.75" customHeight="1">
      <c r="H966" s="59"/>
    </row>
    <row r="967" ht="15.75" customHeight="1">
      <c r="H967" s="59"/>
    </row>
    <row r="968" ht="15.75" customHeight="1">
      <c r="H968" s="59"/>
    </row>
    <row r="969" ht="15.75" customHeight="1">
      <c r="H969" s="59"/>
    </row>
    <row r="970" ht="15.75" customHeight="1">
      <c r="H970" s="59"/>
    </row>
    <row r="971" ht="15.75" customHeight="1">
      <c r="H971" s="59"/>
    </row>
    <row r="972" ht="15.75" customHeight="1">
      <c r="H972" s="59"/>
    </row>
    <row r="973" ht="15.75" customHeight="1">
      <c r="H973" s="59"/>
    </row>
    <row r="974" ht="15.75" customHeight="1">
      <c r="H974" s="59"/>
    </row>
    <row r="975" ht="15.75" customHeight="1">
      <c r="H975" s="59"/>
    </row>
    <row r="976" ht="15.75" customHeight="1">
      <c r="H976" s="59"/>
    </row>
    <row r="977" ht="15.75" customHeight="1">
      <c r="H977" s="59"/>
    </row>
    <row r="978" ht="15.75" customHeight="1">
      <c r="H978" s="59"/>
    </row>
    <row r="979" ht="15.75" customHeight="1">
      <c r="H979" s="59"/>
    </row>
    <row r="980" ht="15.75" customHeight="1">
      <c r="H980" s="59"/>
    </row>
    <row r="981" ht="15.75" customHeight="1">
      <c r="H981" s="59"/>
    </row>
    <row r="982" ht="15.75" customHeight="1">
      <c r="H982" s="59"/>
    </row>
    <row r="983" ht="15.75" customHeight="1">
      <c r="H983" s="59"/>
    </row>
    <row r="984" ht="15.75" customHeight="1">
      <c r="H984" s="59"/>
    </row>
    <row r="985" ht="15.75" customHeight="1">
      <c r="H985" s="59"/>
    </row>
    <row r="986" ht="15.75" customHeight="1">
      <c r="H986" s="59"/>
    </row>
    <row r="987" ht="15.75" customHeight="1">
      <c r="H987" s="59"/>
    </row>
    <row r="988" ht="15.75" customHeight="1">
      <c r="H988" s="59"/>
    </row>
    <row r="989" ht="15.75" customHeight="1">
      <c r="H989" s="59"/>
    </row>
    <row r="990" ht="15.75" customHeight="1">
      <c r="H990" s="59"/>
    </row>
    <row r="991" ht="15.75" customHeight="1">
      <c r="H991" s="59"/>
    </row>
    <row r="992" ht="15.75" customHeight="1">
      <c r="H992" s="59"/>
    </row>
    <row r="993" ht="15.75" customHeight="1">
      <c r="H993" s="59"/>
    </row>
    <row r="994" ht="15.75" customHeight="1">
      <c r="H994" s="59"/>
    </row>
    <row r="995" ht="15.75" customHeight="1">
      <c r="H995" s="59"/>
    </row>
    <row r="996" ht="15.75" customHeight="1">
      <c r="H996" s="59"/>
    </row>
    <row r="997" ht="15.75" customHeight="1">
      <c r="H997" s="59"/>
    </row>
    <row r="998" ht="15.75" customHeight="1">
      <c r="H998" s="59"/>
    </row>
    <row r="999" ht="15.75" customHeight="1">
      <c r="H999" s="59"/>
    </row>
    <row r="1000" ht="15.75" customHeight="1">
      <c r="H1000" s="5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9.0"/>
    <col customWidth="1" min="2" max="2" width="8.0"/>
    <col customWidth="1" min="3" max="3" width="16.0"/>
    <col customWidth="1" min="4" max="4" width="30.0"/>
    <col customWidth="1" min="5" max="5" width="13.0"/>
    <col customWidth="1" min="6" max="20" width="12.0"/>
    <col customWidth="1" hidden="1" min="21" max="21" width="12.0"/>
    <col customWidth="1" min="22" max="26" width="8.71"/>
  </cols>
  <sheetData>
    <row r="1">
      <c r="E1" s="2" t="s">
        <v>2</v>
      </c>
      <c r="F1" s="3">
        <f t="shared" ref="F1:H1" si="1">SUM(F3:F252)</f>
        <v>280907</v>
      </c>
      <c r="G1" s="3">
        <f t="shared" si="1"/>
        <v>1453132570</v>
      </c>
      <c r="H1" s="3">
        <f t="shared" si="1"/>
        <v>44341569</v>
      </c>
      <c r="I1" s="3">
        <f t="shared" ref="I1:M1" si="2">COUNTIF(I3:I252,"O")</f>
        <v>32</v>
      </c>
      <c r="J1" s="3">
        <f t="shared" si="2"/>
        <v>35</v>
      </c>
      <c r="K1" s="3">
        <f t="shared" si="2"/>
        <v>0</v>
      </c>
      <c r="L1" s="3">
        <f t="shared" si="2"/>
        <v>0</v>
      </c>
      <c r="M1" s="3">
        <f t="shared" si="2"/>
        <v>0</v>
      </c>
      <c r="N1" s="3">
        <f t="shared" ref="N1:R1" si="3">SUM(N3:N252)</f>
        <v>20033931</v>
      </c>
      <c r="O1" s="3">
        <f t="shared" si="3"/>
        <v>24307638</v>
      </c>
      <c r="P1" s="3">
        <f t="shared" si="3"/>
        <v>0</v>
      </c>
      <c r="Q1" s="3">
        <f t="shared" si="3"/>
        <v>0</v>
      </c>
      <c r="R1" s="3">
        <f t="shared" si="3"/>
        <v>0</v>
      </c>
      <c r="S1" s="3">
        <f>COUNTIF(S3:S252,"O")</f>
        <v>35</v>
      </c>
      <c r="T1" s="2" t="str">
        <f>COUNTA(C3:C252)&amp;"개사"</f>
        <v>55개사</v>
      </c>
      <c r="U1" s="3">
        <f>SUM(U3:U252)</f>
        <v>202</v>
      </c>
    </row>
    <row r="2" ht="31.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</row>
    <row r="3">
      <c r="A3" s="5">
        <v>1.0</v>
      </c>
      <c r="B3" s="5" t="s">
        <v>25</v>
      </c>
      <c r="C3" s="5" t="s">
        <v>29</v>
      </c>
      <c r="D3" s="6" t="s">
        <v>30</v>
      </c>
      <c r="E3" s="5" t="s">
        <v>31</v>
      </c>
      <c r="F3" s="7">
        <f>IF($C3="","",IF('설정'!$B$4=0,"",CHOOSE('설정'!$B$4,SUMIFS('RAW_유기농_7월'!$F:$F,'RAW_유기농_7월'!$D:$D,$C3,'RAW_유기농_7월'!$A:$A,$E3),SUMIFS('RAW_유기농_8월'!$F:$F,'RAW_유기농_8월'!$D:$D,$C3,'RAW_유기농_8월'!$A:$A,$E3),SUMIFS('RAW_유기농_9월'!$F:$F,'RAW_유기농_9월'!$D:$D,$C3,'RAW_유기농_9월'!$A:$A,$E3),SUMIFS('RAW_유기농_10월'!$F:$F,'RAW_유기농_10월'!$D:$D,$C3,'RAW_유기농_10월'!$A:$A,$E3),SUMIFS('RAW_유기농_11-12월'!$F:$F,'RAW_유기농_11-12월'!$D:$D,$C3,'RAW_유기농_11-12월'!$A:$A,$E3))))</f>
        <v>27317</v>
      </c>
      <c r="G3" s="7">
        <f>IF($C3="","",IF('설정'!$B$4=0,"",CHOOSE('설정'!$B$4,SUMIFS('RAW_유기농_7월'!$G:$G,'RAW_유기농_7월'!$D:$D,$C3,'RAW_유기농_7월'!$A:$A,$E3),SUMIFS('RAW_유기농_8월'!$G:$G,'RAW_유기농_8월'!$D:$D,$C3,'RAW_유기농_8월'!$A:$A,$E3),SUMIFS('RAW_유기농_9월'!$G:$G,'RAW_유기농_9월'!$D:$D,$C3,'RAW_유기농_9월'!$A:$A,$E3),SUMIFS('RAW_유기농_10월'!$G:$G,'RAW_유기농_10월'!$D:$D,$C3,'RAW_유기농_10월'!$A:$A,$E3),SUMIFS('RAW_유기농_11-12월'!$G:$G,'RAW_유기농_11-12월'!$D:$D,$C3,'RAW_유기농_11-12월'!$A:$A,$E3))))</f>
        <v>172019750</v>
      </c>
      <c r="H3" s="7">
        <f>IF($C3="","",IF('설정'!$B$4=0,"",CHOOSE('설정'!$B$4,SUMIFS('RAW_유기농_7월'!$H:$H,'RAW_유기농_7월'!$D:$D,$C3,'RAW_유기농_7월'!$A:$A,$E3),SUMIFS('RAW_유기농_8월'!$H:$H,'RAW_유기농_8월'!$D:$D,$C3,'RAW_유기농_8월'!$A:$A,$E3),SUMIFS('RAW_유기농_9월'!$H:$H,'RAW_유기농_9월'!$D:$D,$C3,'RAW_유기농_9월'!$A:$A,$E3),SUMIFS('RAW_유기농_10월'!$H:$H,'RAW_유기농_10월'!$D:$D,$C3,'RAW_유기농_10월'!$A:$A,$E3),SUMIFS('RAW_유기농_11-12월'!$H:$H,'RAW_유기농_11-12월'!$D:$D,$C3,'RAW_유기농_11-12월'!$A:$A,$E3))))</f>
        <v>2012484</v>
      </c>
      <c r="I3" s="17" t="str">
        <f>IF($C3="","",IF(COUNTIFS('RAW_유기농_7월'!$D:$D,$C3,'RAW_유기농_7월'!$A:$A,$E3)&gt;0,"O",""))</f>
        <v>O</v>
      </c>
      <c r="J3" s="17" t="str">
        <f>IF($C3="","",IF(COUNTIFS('RAW_유기농_8월'!$D:$D,$C3,'RAW_유기농_8월'!$A:$A,$E3)&gt;0,"O",""))</f>
        <v>O</v>
      </c>
      <c r="K3" s="17" t="str">
        <f>IF($C3="","",IF(COUNTIFS('RAW_유기농_9월'!$D:$D,$C3,'RAW_유기농_9월'!$A:$A,$E3)&gt;0,"O",""))</f>
        <v/>
      </c>
      <c r="L3" s="17" t="str">
        <f>IF($C3="","",IF(COUNTIFS('RAW_유기농_10월'!$D:$D,$C3,'RAW_유기농_10월'!$A:$A,$E3)&gt;0,"O",""))</f>
        <v/>
      </c>
      <c r="M3" s="17" t="str">
        <f>IF($C3="","",IF(COUNTIFS('RAW_유기농_11-12월'!$D:$D,$C3,'RAW_유기농_11-12월'!$A:$A,$E3)&gt;0,"O",""))</f>
        <v/>
      </c>
      <c r="N3" s="7">
        <f>IF($C3="","",IF(COUNTA('RAW_유기농_7월'!$A:$A)&lt;=1,"",SUMIFS('RAW_유기농_7월'!$H:$H,'RAW_유기농_7월'!$D:$D,$C3,'RAW_유기농_7월'!$A:$A,$E3)))</f>
        <v>1028586</v>
      </c>
      <c r="O3" s="7">
        <f>IF($C3="","",IF(COUNTA('RAW_유기농_8월'!$A:$A)&lt;=1,"",SUMIFS('RAW_유기농_8월'!$H:$H,'RAW_유기농_8월'!$D:$D,$C3,'RAW_유기농_8월'!$A:$A,$E3)-SUMIFS('RAW_유기농_7월'!$H:$H,'RAW_유기농_7월'!$D:$D,$C3,'RAW_유기농_7월'!$A:$A,$E3)))</f>
        <v>983898</v>
      </c>
      <c r="P3" s="7" t="str">
        <f>IF($C3="","",IF(COUNTA('RAW_유기농_9월'!$A:$A)&lt;=1,"",SUMIFS('RAW_유기농_9월'!$H:$H,'RAW_유기농_9월'!$D:$D,$C3,'RAW_유기농_9월'!$A:$A,$E3)-SUMIFS('RAW_유기농_8월'!$H:$H,'RAW_유기농_8월'!$D:$D,$C3,'RAW_유기농_8월'!$A:$A,$E3)))</f>
        <v/>
      </c>
      <c r="Q3" s="7" t="str">
        <f>IF($C3="","",IF(COUNTA('RAW_유기농_10월'!$A:$A)&lt;=1,"",SUMIFS('RAW_유기농_10월'!$H:$H,'RAW_유기농_10월'!$D:$D,$C3,'RAW_유기농_10월'!$A:$A,$E3)-SUMIFS('RAW_유기농_9월'!$H:$H,'RAW_유기농_9월'!$D:$D,$C3,'RAW_유기농_9월'!$A:$A,$E3)))</f>
        <v/>
      </c>
      <c r="R3" s="7" t="str">
        <f>IF($C3="","",IF(COUNTA('RAW_유기농_11-12월'!$A:$A)&lt;=1,"",SUMIFS('RAW_유기농_11-12월'!$H:$H,'RAW_유기농_11-12월'!$D:$D,$C3,'RAW_유기농_11-12월'!$A:$A,$E3)-SUMIFS('RAW_유기농_10월'!$H:$H,'RAW_유기농_10월'!$D:$D,$C3,'RAW_유기농_10월'!$A:$A,$E3)))</f>
        <v/>
      </c>
      <c r="S3" s="17" t="str">
        <f t="shared" ref="S3:S252" si="4">IF($C3="","",IF(COUNTIF($I3:$M3,"O")&gt;0,"O",""))</f>
        <v>O</v>
      </c>
      <c r="T3" s="17" t="str">
        <f t="shared" ref="T3:T252" si="5">IF($C3="","",IF($H3=0,"미사용",IF($H3&lt;500000,"50만원 미만",IF($H3&lt;1000000,"100만원 미만",IF($H3&lt;2000000,"200만원 미만",IF($H3&lt;3000000,"300만원 미만",IF($H3&lt;4000000,"400만원 미만",IF($H3&lt;5000000,"500만원 미만",IF($H3&lt;6000000,"600만원 미만",IF($H3&lt;7000000,"700만원 미만",IF($H3&lt;8000000,"800만원 미만",IF($H3&lt;10000000,"1000만원 미만","1000만원 이상"))))))))))))</f>
        <v>300만원 미만</v>
      </c>
      <c r="U3" s="7">
        <f>IF($C3="",0,IF('설정'!$B$4=0,0,CHOOSE('설정'!$B$4,COUNTIFS('RAW_유기농_7월'!$D:$D,$C3,'RAW_유기농_7월'!$A:$A,$E3),COUNTIFS('RAW_유기농_8월'!$D:$D,$C3,'RAW_유기농_8월'!$A:$A,$E3),COUNTIFS('RAW_유기농_9월'!$D:$D,$C3,'RAW_유기농_9월'!$A:$A,$E3),COUNTIFS('RAW_유기농_10월'!$D:$D,$C3,'RAW_유기농_10월'!$A:$A,$E3),COUNTIFS('RAW_유기농_11-12월'!$D:$D,$C3,'RAW_유기농_11-12월'!$A:$A,$E3))))</f>
        <v>14</v>
      </c>
    </row>
    <row r="4">
      <c r="A4" s="5">
        <v>2.0</v>
      </c>
      <c r="B4" s="5" t="s">
        <v>25</v>
      </c>
      <c r="C4" s="5" t="s">
        <v>100</v>
      </c>
      <c r="D4" s="6" t="s">
        <v>101</v>
      </c>
      <c r="E4" s="5" t="s">
        <v>92</v>
      </c>
      <c r="F4" s="7">
        <f>IF($C4="","",IF('설정'!$B$4=0,"",CHOOSE('설정'!$B$4,SUMIFS('RAW_유기농_7월'!$F:$F,'RAW_유기농_7월'!$D:$D,$C4,'RAW_유기농_7월'!$A:$A,$E4),SUMIFS('RAW_유기농_8월'!$F:$F,'RAW_유기농_8월'!$D:$D,$C4,'RAW_유기농_8월'!$A:$A,$E4),SUMIFS('RAW_유기농_9월'!$F:$F,'RAW_유기농_9월'!$D:$D,$C4,'RAW_유기농_9월'!$A:$A,$E4),SUMIFS('RAW_유기농_10월'!$F:$F,'RAW_유기농_10월'!$D:$D,$C4,'RAW_유기농_10월'!$A:$A,$E4),SUMIFS('RAW_유기농_11-12월'!$F:$F,'RAW_유기농_11-12월'!$D:$D,$C4,'RAW_유기농_11-12월'!$A:$A,$E4))))</f>
        <v>423</v>
      </c>
      <c r="G4" s="7">
        <f>IF($C4="","",IF('설정'!$B$4=0,"",CHOOSE('설정'!$B$4,SUMIFS('RAW_유기농_7월'!$G:$G,'RAW_유기농_7월'!$D:$D,$C4,'RAW_유기농_7월'!$A:$A,$E4),SUMIFS('RAW_유기농_8월'!$G:$G,'RAW_유기농_8월'!$D:$D,$C4,'RAW_유기농_8월'!$A:$A,$E4),SUMIFS('RAW_유기농_9월'!$G:$G,'RAW_유기농_9월'!$D:$D,$C4,'RAW_유기농_9월'!$A:$A,$E4),SUMIFS('RAW_유기농_10월'!$G:$G,'RAW_유기농_10월'!$D:$D,$C4,'RAW_유기농_10월'!$A:$A,$E4),SUMIFS('RAW_유기농_11-12월'!$G:$G,'RAW_유기농_11-12월'!$D:$D,$C4,'RAW_유기농_11-12월'!$A:$A,$E4))))</f>
        <v>15579700</v>
      </c>
      <c r="H4" s="7">
        <f>IF($C4="","",IF('설정'!$B$4=0,"",CHOOSE('설정'!$B$4,SUMIFS('RAW_유기농_7월'!$H:$H,'RAW_유기농_7월'!$D:$D,$C4,'RAW_유기농_7월'!$A:$A,$E4),SUMIFS('RAW_유기농_8월'!$H:$H,'RAW_유기농_8월'!$D:$D,$C4,'RAW_유기농_8월'!$A:$A,$E4),SUMIFS('RAW_유기농_9월'!$H:$H,'RAW_유기농_9월'!$D:$D,$C4,'RAW_유기농_9월'!$A:$A,$E4),SUMIFS('RAW_유기농_10월'!$H:$H,'RAW_유기농_10월'!$D:$D,$C4,'RAW_유기농_10월'!$A:$A,$E4),SUMIFS('RAW_유기농_11-12월'!$H:$H,'RAW_유기농_11-12월'!$D:$D,$C4,'RAW_유기농_11-12월'!$A:$A,$E4))))</f>
        <v>1852660</v>
      </c>
      <c r="I4" s="17" t="str">
        <f>IF($C4="","",IF(COUNTIFS('RAW_유기농_7월'!$D:$D,$C4,'RAW_유기농_7월'!$A:$A,$E4)&gt;0,"O",""))</f>
        <v>O</v>
      </c>
      <c r="J4" s="17" t="str">
        <f>IF($C4="","",IF(COUNTIFS('RAW_유기농_8월'!$D:$D,$C4,'RAW_유기농_8월'!$A:$A,$E4)&gt;0,"O",""))</f>
        <v>O</v>
      </c>
      <c r="K4" s="17" t="str">
        <f>IF($C4="","",IF(COUNTIFS('RAW_유기농_9월'!$D:$D,$C4,'RAW_유기농_9월'!$A:$A,$E4)&gt;0,"O",""))</f>
        <v/>
      </c>
      <c r="L4" s="17" t="str">
        <f>IF($C4="","",IF(COUNTIFS('RAW_유기농_10월'!$D:$D,$C4,'RAW_유기농_10월'!$A:$A,$E4)&gt;0,"O",""))</f>
        <v/>
      </c>
      <c r="M4" s="17" t="str">
        <f>IF($C4="","",IF(COUNTIFS('RAW_유기농_11-12월'!$D:$D,$C4,'RAW_유기농_11-12월'!$A:$A,$E4)&gt;0,"O",""))</f>
        <v/>
      </c>
      <c r="N4" s="7">
        <f>IF($C4="","",IF(COUNTA('RAW_유기농_7월'!$A:$A)&lt;=1,"",SUMIFS('RAW_유기농_7월'!$H:$H,'RAW_유기농_7월'!$D:$D,$C4,'RAW_유기농_7월'!$A:$A,$E4)))</f>
        <v>886100</v>
      </c>
      <c r="O4" s="7">
        <f>IF($C4="","",IF(COUNTA('RAW_유기농_8월'!$A:$A)&lt;=1,"",SUMIFS('RAW_유기농_8월'!$H:$H,'RAW_유기농_8월'!$D:$D,$C4,'RAW_유기농_8월'!$A:$A,$E4)-SUMIFS('RAW_유기농_7월'!$H:$H,'RAW_유기농_7월'!$D:$D,$C4,'RAW_유기농_7월'!$A:$A,$E4)))</f>
        <v>966560</v>
      </c>
      <c r="P4" s="7" t="str">
        <f>IF($C4="","",IF(COUNTA('RAW_유기농_9월'!$A:$A)&lt;=1,"",SUMIFS('RAW_유기농_9월'!$H:$H,'RAW_유기농_9월'!$D:$D,$C4,'RAW_유기농_9월'!$A:$A,$E4)-SUMIFS('RAW_유기농_8월'!$H:$H,'RAW_유기농_8월'!$D:$D,$C4,'RAW_유기농_8월'!$A:$A,$E4)))</f>
        <v/>
      </c>
      <c r="Q4" s="7" t="str">
        <f>IF($C4="","",IF(COUNTA('RAW_유기농_10월'!$A:$A)&lt;=1,"",SUMIFS('RAW_유기농_10월'!$H:$H,'RAW_유기농_10월'!$D:$D,$C4,'RAW_유기농_10월'!$A:$A,$E4)-SUMIFS('RAW_유기농_9월'!$H:$H,'RAW_유기농_9월'!$D:$D,$C4,'RAW_유기농_9월'!$A:$A,$E4)))</f>
        <v/>
      </c>
      <c r="R4" s="7" t="str">
        <f>IF($C4="","",IF(COUNTA('RAW_유기농_11-12월'!$A:$A)&lt;=1,"",SUMIFS('RAW_유기농_11-12월'!$H:$H,'RAW_유기농_11-12월'!$D:$D,$C4,'RAW_유기농_11-12월'!$A:$A,$E4)-SUMIFS('RAW_유기농_10월'!$H:$H,'RAW_유기농_10월'!$D:$D,$C4,'RAW_유기농_10월'!$A:$A,$E4)))</f>
        <v/>
      </c>
      <c r="S4" s="17" t="str">
        <f t="shared" si="4"/>
        <v>O</v>
      </c>
      <c r="T4" s="17" t="str">
        <f t="shared" si="5"/>
        <v>200만원 미만</v>
      </c>
      <c r="U4" s="7">
        <f>IF($C4="",0,IF('설정'!$B$4=0,0,CHOOSE('설정'!$B$4,COUNTIFS('RAW_유기농_7월'!$D:$D,$C4,'RAW_유기농_7월'!$A:$A,$E4),COUNTIFS('RAW_유기농_8월'!$D:$D,$C4,'RAW_유기농_8월'!$A:$A,$E4),COUNTIFS('RAW_유기농_9월'!$D:$D,$C4,'RAW_유기농_9월'!$A:$A,$E4),COUNTIFS('RAW_유기농_10월'!$D:$D,$C4,'RAW_유기농_10월'!$A:$A,$E4),COUNTIFS('RAW_유기농_11-12월'!$D:$D,$C4,'RAW_유기농_11-12월'!$A:$A,$E4))))</f>
        <v>2</v>
      </c>
    </row>
    <row r="5">
      <c r="A5" s="5">
        <v>3.0</v>
      </c>
      <c r="B5" s="5" t="s">
        <v>108</v>
      </c>
      <c r="C5" s="5" t="s">
        <v>109</v>
      </c>
      <c r="D5" s="6" t="s">
        <v>110</v>
      </c>
      <c r="E5" s="5" t="s">
        <v>31</v>
      </c>
      <c r="F5" s="7">
        <f>IF($C5="","",IF('설정'!$B$4=0,"",CHOOSE('설정'!$B$4,SUMIFS('RAW_유기농_7월'!$F:$F,'RAW_유기농_7월'!$D:$D,$C5,'RAW_유기농_7월'!$A:$A,$E5),SUMIFS('RAW_유기농_8월'!$F:$F,'RAW_유기농_8월'!$D:$D,$C5,'RAW_유기농_8월'!$A:$A,$E5),SUMIFS('RAW_유기농_9월'!$F:$F,'RAW_유기농_9월'!$D:$D,$C5,'RAW_유기농_9월'!$A:$A,$E5),SUMIFS('RAW_유기농_10월'!$F:$F,'RAW_유기농_10월'!$D:$D,$C5,'RAW_유기농_10월'!$A:$A,$E5),SUMIFS('RAW_유기농_11-12월'!$F:$F,'RAW_유기농_11-12월'!$D:$D,$C5,'RAW_유기농_11-12월'!$A:$A,$E5))))</f>
        <v>1</v>
      </c>
      <c r="G5" s="7">
        <f>IF($C5="","",IF('설정'!$B$4=0,"",CHOOSE('설정'!$B$4,SUMIFS('RAW_유기농_7월'!$G:$G,'RAW_유기농_7월'!$D:$D,$C5,'RAW_유기농_7월'!$A:$A,$E5),SUMIFS('RAW_유기농_8월'!$G:$G,'RAW_유기농_8월'!$D:$D,$C5,'RAW_유기농_8월'!$A:$A,$E5),SUMIFS('RAW_유기농_9월'!$G:$G,'RAW_유기농_9월'!$D:$D,$C5,'RAW_유기농_9월'!$A:$A,$E5),SUMIFS('RAW_유기농_10월'!$G:$G,'RAW_유기농_10월'!$D:$D,$C5,'RAW_유기농_10월'!$A:$A,$E5),SUMIFS('RAW_유기농_11-12월'!$G:$G,'RAW_유기농_11-12월'!$D:$D,$C5,'RAW_유기농_11-12월'!$A:$A,$E5))))</f>
        <v>14400</v>
      </c>
      <c r="H5" s="7">
        <f>IF($C5="","",IF('설정'!$B$4=0,"",CHOOSE('설정'!$B$4,SUMIFS('RAW_유기농_7월'!$H:$H,'RAW_유기농_7월'!$D:$D,$C5,'RAW_유기농_7월'!$A:$A,$E5),SUMIFS('RAW_유기농_8월'!$H:$H,'RAW_유기농_8월'!$D:$D,$C5,'RAW_유기농_8월'!$A:$A,$E5),SUMIFS('RAW_유기농_9월'!$H:$H,'RAW_유기농_9월'!$D:$D,$C5,'RAW_유기농_9월'!$A:$A,$E5),SUMIFS('RAW_유기농_10월'!$H:$H,'RAW_유기농_10월'!$D:$D,$C5,'RAW_유기농_10월'!$A:$A,$E5),SUMIFS('RAW_유기농_11-12월'!$H:$H,'RAW_유기농_11-12월'!$D:$D,$C5,'RAW_유기농_11-12월'!$A:$A,$E5))))</f>
        <v>2880</v>
      </c>
      <c r="I5" s="17" t="str">
        <f>IF($C5="","",IF(COUNTIFS('RAW_유기농_7월'!$D:$D,$C5,'RAW_유기농_7월'!$A:$A,$E5)&gt;0,"O",""))</f>
        <v/>
      </c>
      <c r="J5" s="17" t="str">
        <f>IF($C5="","",IF(COUNTIFS('RAW_유기농_8월'!$D:$D,$C5,'RAW_유기농_8월'!$A:$A,$E5)&gt;0,"O",""))</f>
        <v>O</v>
      </c>
      <c r="K5" s="17" t="str">
        <f>IF($C5="","",IF(COUNTIFS('RAW_유기농_9월'!$D:$D,$C5,'RAW_유기농_9월'!$A:$A,$E5)&gt;0,"O",""))</f>
        <v/>
      </c>
      <c r="L5" s="17" t="str">
        <f>IF($C5="","",IF(COUNTIFS('RAW_유기농_10월'!$D:$D,$C5,'RAW_유기농_10월'!$A:$A,$E5)&gt;0,"O",""))</f>
        <v/>
      </c>
      <c r="M5" s="17" t="str">
        <f>IF($C5="","",IF(COUNTIFS('RAW_유기농_11-12월'!$D:$D,$C5,'RAW_유기농_11-12월'!$A:$A,$E5)&gt;0,"O",""))</f>
        <v/>
      </c>
      <c r="N5" s="7">
        <f>IF($C5="","",IF(COUNTA('RAW_유기농_7월'!$A:$A)&lt;=1,"",SUMIFS('RAW_유기농_7월'!$H:$H,'RAW_유기농_7월'!$D:$D,$C5,'RAW_유기농_7월'!$A:$A,$E5)))</f>
        <v>0</v>
      </c>
      <c r="O5" s="7">
        <f>IF($C5="","",IF(COUNTA('RAW_유기농_8월'!$A:$A)&lt;=1,"",SUMIFS('RAW_유기농_8월'!$H:$H,'RAW_유기농_8월'!$D:$D,$C5,'RAW_유기농_8월'!$A:$A,$E5)-SUMIFS('RAW_유기농_7월'!$H:$H,'RAW_유기농_7월'!$D:$D,$C5,'RAW_유기농_7월'!$A:$A,$E5)))</f>
        <v>2880</v>
      </c>
      <c r="P5" s="7" t="str">
        <f>IF($C5="","",IF(COUNTA('RAW_유기농_9월'!$A:$A)&lt;=1,"",SUMIFS('RAW_유기농_9월'!$H:$H,'RAW_유기농_9월'!$D:$D,$C5,'RAW_유기농_9월'!$A:$A,$E5)-SUMIFS('RAW_유기농_8월'!$H:$H,'RAW_유기농_8월'!$D:$D,$C5,'RAW_유기농_8월'!$A:$A,$E5)))</f>
        <v/>
      </c>
      <c r="Q5" s="7" t="str">
        <f>IF($C5="","",IF(COUNTA('RAW_유기농_10월'!$A:$A)&lt;=1,"",SUMIFS('RAW_유기농_10월'!$H:$H,'RAW_유기농_10월'!$D:$D,$C5,'RAW_유기농_10월'!$A:$A,$E5)-SUMIFS('RAW_유기농_9월'!$H:$H,'RAW_유기농_9월'!$D:$D,$C5,'RAW_유기농_9월'!$A:$A,$E5)))</f>
        <v/>
      </c>
      <c r="R5" s="7" t="str">
        <f>IF($C5="","",IF(COUNTA('RAW_유기농_11-12월'!$A:$A)&lt;=1,"",SUMIFS('RAW_유기농_11-12월'!$H:$H,'RAW_유기농_11-12월'!$D:$D,$C5,'RAW_유기농_11-12월'!$A:$A,$E5)-SUMIFS('RAW_유기농_10월'!$H:$H,'RAW_유기농_10월'!$D:$D,$C5,'RAW_유기농_10월'!$A:$A,$E5)))</f>
        <v/>
      </c>
      <c r="S5" s="17" t="str">
        <f t="shared" si="4"/>
        <v>O</v>
      </c>
      <c r="T5" s="17" t="str">
        <f t="shared" si="5"/>
        <v>50만원 미만</v>
      </c>
      <c r="U5" s="7">
        <f>IF($C5="",0,IF('설정'!$B$4=0,0,CHOOSE('설정'!$B$4,COUNTIFS('RAW_유기농_7월'!$D:$D,$C5,'RAW_유기농_7월'!$A:$A,$E5),COUNTIFS('RAW_유기농_8월'!$D:$D,$C5,'RAW_유기농_8월'!$A:$A,$E5),COUNTIFS('RAW_유기농_9월'!$D:$D,$C5,'RAW_유기농_9월'!$A:$A,$E5),COUNTIFS('RAW_유기농_10월'!$D:$D,$C5,'RAW_유기농_10월'!$A:$A,$E5),COUNTIFS('RAW_유기농_11-12월'!$D:$D,$C5,'RAW_유기농_11-12월'!$A:$A,$E5))))</f>
        <v>1</v>
      </c>
    </row>
    <row r="6">
      <c r="A6" s="5">
        <v>4.0</v>
      </c>
      <c r="B6" s="5" t="s">
        <v>108</v>
      </c>
      <c r="C6" s="5" t="s">
        <v>131</v>
      </c>
      <c r="D6" s="6" t="s">
        <v>132</v>
      </c>
      <c r="E6" s="5" t="s">
        <v>31</v>
      </c>
      <c r="F6" s="7">
        <f>IF($C6="","",IF('설정'!$B$4=0,"",CHOOSE('설정'!$B$4,SUMIFS('RAW_유기농_7월'!$F:$F,'RAW_유기농_7월'!$D:$D,$C6,'RAW_유기농_7월'!$A:$A,$E6),SUMIFS('RAW_유기농_8월'!$F:$F,'RAW_유기농_8월'!$D:$D,$C6,'RAW_유기농_8월'!$A:$A,$E6),SUMIFS('RAW_유기농_9월'!$F:$F,'RAW_유기농_9월'!$D:$D,$C6,'RAW_유기농_9월'!$A:$A,$E6),SUMIFS('RAW_유기농_10월'!$F:$F,'RAW_유기농_10월'!$D:$D,$C6,'RAW_유기농_10월'!$A:$A,$E6),SUMIFS('RAW_유기농_11-12월'!$F:$F,'RAW_유기농_11-12월'!$D:$D,$C6,'RAW_유기농_11-12월'!$A:$A,$E6))))</f>
        <v>0</v>
      </c>
      <c r="G6" s="7">
        <f>IF($C6="","",IF('설정'!$B$4=0,"",CHOOSE('설정'!$B$4,SUMIFS('RAW_유기농_7월'!$G:$G,'RAW_유기농_7월'!$D:$D,$C6,'RAW_유기농_7월'!$A:$A,$E6),SUMIFS('RAW_유기농_8월'!$G:$G,'RAW_유기농_8월'!$D:$D,$C6,'RAW_유기농_8월'!$A:$A,$E6),SUMIFS('RAW_유기농_9월'!$G:$G,'RAW_유기농_9월'!$D:$D,$C6,'RAW_유기농_9월'!$A:$A,$E6),SUMIFS('RAW_유기농_10월'!$G:$G,'RAW_유기농_10월'!$D:$D,$C6,'RAW_유기농_10월'!$A:$A,$E6),SUMIFS('RAW_유기농_11-12월'!$G:$G,'RAW_유기농_11-12월'!$D:$D,$C6,'RAW_유기농_11-12월'!$A:$A,$E6))))</f>
        <v>0</v>
      </c>
      <c r="H6" s="7">
        <f>IF($C6="","",IF('설정'!$B$4=0,"",CHOOSE('설정'!$B$4,SUMIFS('RAW_유기농_7월'!$H:$H,'RAW_유기농_7월'!$D:$D,$C6,'RAW_유기농_7월'!$A:$A,$E6),SUMIFS('RAW_유기농_8월'!$H:$H,'RAW_유기농_8월'!$D:$D,$C6,'RAW_유기농_8월'!$A:$A,$E6),SUMIFS('RAW_유기농_9월'!$H:$H,'RAW_유기농_9월'!$D:$D,$C6,'RAW_유기농_9월'!$A:$A,$E6),SUMIFS('RAW_유기농_10월'!$H:$H,'RAW_유기농_10월'!$D:$D,$C6,'RAW_유기농_10월'!$A:$A,$E6),SUMIFS('RAW_유기농_11-12월'!$H:$H,'RAW_유기농_11-12월'!$D:$D,$C6,'RAW_유기농_11-12월'!$A:$A,$E6))))</f>
        <v>0</v>
      </c>
      <c r="I6" s="17" t="str">
        <f>IF($C6="","",IF(COUNTIFS('RAW_유기농_7월'!$D:$D,$C6,'RAW_유기농_7월'!$A:$A,$E6)&gt;0,"O",""))</f>
        <v/>
      </c>
      <c r="J6" s="17" t="str">
        <f>IF($C6="","",IF(COUNTIFS('RAW_유기농_8월'!$D:$D,$C6,'RAW_유기농_8월'!$A:$A,$E6)&gt;0,"O",""))</f>
        <v/>
      </c>
      <c r="K6" s="17" t="str">
        <f>IF($C6="","",IF(COUNTIFS('RAW_유기농_9월'!$D:$D,$C6,'RAW_유기농_9월'!$A:$A,$E6)&gt;0,"O",""))</f>
        <v/>
      </c>
      <c r="L6" s="17" t="str">
        <f>IF($C6="","",IF(COUNTIFS('RAW_유기농_10월'!$D:$D,$C6,'RAW_유기농_10월'!$A:$A,$E6)&gt;0,"O",""))</f>
        <v/>
      </c>
      <c r="M6" s="17" t="str">
        <f>IF($C6="","",IF(COUNTIFS('RAW_유기농_11-12월'!$D:$D,$C6,'RAW_유기농_11-12월'!$A:$A,$E6)&gt;0,"O",""))</f>
        <v/>
      </c>
      <c r="N6" s="7">
        <f>IF($C6="","",IF(COUNTA('RAW_유기농_7월'!$A:$A)&lt;=1,"",SUMIFS('RAW_유기농_7월'!$H:$H,'RAW_유기농_7월'!$D:$D,$C6,'RAW_유기농_7월'!$A:$A,$E6)))</f>
        <v>0</v>
      </c>
      <c r="O6" s="7">
        <f>IF($C6="","",IF(COUNTA('RAW_유기농_8월'!$A:$A)&lt;=1,"",SUMIFS('RAW_유기농_8월'!$H:$H,'RAW_유기농_8월'!$D:$D,$C6,'RAW_유기농_8월'!$A:$A,$E6)-SUMIFS('RAW_유기농_7월'!$H:$H,'RAW_유기농_7월'!$D:$D,$C6,'RAW_유기농_7월'!$A:$A,$E6)))</f>
        <v>0</v>
      </c>
      <c r="P6" s="7" t="str">
        <f>IF($C6="","",IF(COUNTA('RAW_유기농_9월'!$A:$A)&lt;=1,"",SUMIFS('RAW_유기농_9월'!$H:$H,'RAW_유기농_9월'!$D:$D,$C6,'RAW_유기농_9월'!$A:$A,$E6)-SUMIFS('RAW_유기농_8월'!$H:$H,'RAW_유기농_8월'!$D:$D,$C6,'RAW_유기농_8월'!$A:$A,$E6)))</f>
        <v/>
      </c>
      <c r="Q6" s="7" t="str">
        <f>IF($C6="","",IF(COUNTA('RAW_유기농_10월'!$A:$A)&lt;=1,"",SUMIFS('RAW_유기농_10월'!$H:$H,'RAW_유기농_10월'!$D:$D,$C6,'RAW_유기농_10월'!$A:$A,$E6)-SUMIFS('RAW_유기농_9월'!$H:$H,'RAW_유기농_9월'!$D:$D,$C6,'RAW_유기농_9월'!$A:$A,$E6)))</f>
        <v/>
      </c>
      <c r="R6" s="7" t="str">
        <f>IF($C6="","",IF(COUNTA('RAW_유기농_11-12월'!$A:$A)&lt;=1,"",SUMIFS('RAW_유기농_11-12월'!$H:$H,'RAW_유기농_11-12월'!$D:$D,$C6,'RAW_유기농_11-12월'!$A:$A,$E6)-SUMIFS('RAW_유기농_10월'!$H:$H,'RAW_유기농_10월'!$D:$D,$C6,'RAW_유기농_10월'!$A:$A,$E6)))</f>
        <v/>
      </c>
      <c r="S6" s="17" t="str">
        <f t="shared" si="4"/>
        <v/>
      </c>
      <c r="T6" s="17" t="str">
        <f t="shared" si="5"/>
        <v>미사용</v>
      </c>
      <c r="U6" s="7">
        <f>IF($C6="",0,IF('설정'!$B$4=0,0,CHOOSE('설정'!$B$4,COUNTIFS('RAW_유기농_7월'!$D:$D,$C6,'RAW_유기농_7월'!$A:$A,$E6),COUNTIFS('RAW_유기농_8월'!$D:$D,$C6,'RAW_유기농_8월'!$A:$A,$E6),COUNTIFS('RAW_유기농_9월'!$D:$D,$C6,'RAW_유기농_9월'!$A:$A,$E6),COUNTIFS('RAW_유기농_10월'!$D:$D,$C6,'RAW_유기농_10월'!$A:$A,$E6),COUNTIFS('RAW_유기농_11-12월'!$D:$D,$C6,'RAW_유기농_11-12월'!$A:$A,$E6))))</f>
        <v>0</v>
      </c>
    </row>
    <row r="7">
      <c r="A7" s="5">
        <v>5.0</v>
      </c>
      <c r="B7" s="5" t="s">
        <v>145</v>
      </c>
      <c r="C7" s="5" t="s">
        <v>148</v>
      </c>
      <c r="D7" s="6" t="s">
        <v>149</v>
      </c>
      <c r="E7" s="5" t="s">
        <v>31</v>
      </c>
      <c r="F7" s="7">
        <f>IF($C7="","",IF('설정'!$B$4=0,"",CHOOSE('설정'!$B$4,SUMIFS('RAW_유기농_7월'!$F:$F,'RAW_유기농_7월'!$D:$D,$C7,'RAW_유기농_7월'!$A:$A,$E7),SUMIFS('RAW_유기농_8월'!$F:$F,'RAW_유기농_8월'!$D:$D,$C7,'RAW_유기농_8월'!$A:$A,$E7),SUMIFS('RAW_유기농_9월'!$F:$F,'RAW_유기농_9월'!$D:$D,$C7,'RAW_유기농_9월'!$A:$A,$E7),SUMIFS('RAW_유기농_10월'!$F:$F,'RAW_유기농_10월'!$D:$D,$C7,'RAW_유기농_10월'!$A:$A,$E7),SUMIFS('RAW_유기농_11-12월'!$F:$F,'RAW_유기농_11-12월'!$D:$D,$C7,'RAW_유기농_11-12월'!$A:$A,$E7))))</f>
        <v>44</v>
      </c>
      <c r="G7" s="7">
        <f>IF($C7="","",IF('설정'!$B$4=0,"",CHOOSE('설정'!$B$4,SUMIFS('RAW_유기농_7월'!$G:$G,'RAW_유기농_7월'!$D:$D,$C7,'RAW_유기농_7월'!$A:$A,$E7),SUMIFS('RAW_유기농_8월'!$G:$G,'RAW_유기농_8월'!$D:$D,$C7,'RAW_유기농_8월'!$A:$A,$E7),SUMIFS('RAW_유기농_9월'!$G:$G,'RAW_유기농_9월'!$D:$D,$C7,'RAW_유기농_9월'!$A:$A,$E7),SUMIFS('RAW_유기농_10월'!$G:$G,'RAW_유기농_10월'!$D:$D,$C7,'RAW_유기농_10월'!$A:$A,$E7),SUMIFS('RAW_유기농_11-12월'!$G:$G,'RAW_유기농_11-12월'!$D:$D,$C7,'RAW_유기농_11-12월'!$A:$A,$E7))))</f>
        <v>1787000</v>
      </c>
      <c r="H7" s="7">
        <f>IF($C7="","",IF('설정'!$B$4=0,"",CHOOSE('설정'!$B$4,SUMIFS('RAW_유기농_7월'!$H:$H,'RAW_유기농_7월'!$D:$D,$C7,'RAW_유기농_7월'!$A:$A,$E7),SUMIFS('RAW_유기농_8월'!$H:$H,'RAW_유기농_8월'!$D:$D,$C7,'RAW_유기농_8월'!$A:$A,$E7),SUMIFS('RAW_유기농_9월'!$H:$H,'RAW_유기농_9월'!$D:$D,$C7,'RAW_유기농_9월'!$A:$A,$E7),SUMIFS('RAW_유기농_10월'!$H:$H,'RAW_유기농_10월'!$D:$D,$C7,'RAW_유기농_10월'!$A:$A,$E7),SUMIFS('RAW_유기농_11-12월'!$H:$H,'RAW_유기농_11-12월'!$D:$D,$C7,'RAW_유기농_11-12월'!$A:$A,$E7))))</f>
        <v>155200</v>
      </c>
      <c r="I7" s="17" t="str">
        <f>IF($C7="","",IF(COUNTIFS('RAW_유기농_7월'!$D:$D,$C7,'RAW_유기농_7월'!$A:$A,$E7)&gt;0,"O",""))</f>
        <v>O</v>
      </c>
      <c r="J7" s="17" t="str">
        <f>IF($C7="","",IF(COUNTIFS('RAW_유기농_8월'!$D:$D,$C7,'RAW_유기농_8월'!$A:$A,$E7)&gt;0,"O",""))</f>
        <v>O</v>
      </c>
      <c r="K7" s="17" t="str">
        <f>IF($C7="","",IF(COUNTIFS('RAW_유기농_9월'!$D:$D,$C7,'RAW_유기농_9월'!$A:$A,$E7)&gt;0,"O",""))</f>
        <v/>
      </c>
      <c r="L7" s="17" t="str">
        <f>IF($C7="","",IF(COUNTIFS('RAW_유기농_10월'!$D:$D,$C7,'RAW_유기농_10월'!$A:$A,$E7)&gt;0,"O",""))</f>
        <v/>
      </c>
      <c r="M7" s="17" t="str">
        <f>IF($C7="","",IF(COUNTIFS('RAW_유기농_11-12월'!$D:$D,$C7,'RAW_유기농_11-12월'!$A:$A,$E7)&gt;0,"O",""))</f>
        <v/>
      </c>
      <c r="N7" s="7">
        <f>IF($C7="","",IF(COUNTA('RAW_유기농_7월'!$A:$A)&lt;=1,"",SUMIFS('RAW_유기농_7월'!$H:$H,'RAW_유기농_7월'!$D:$D,$C7,'RAW_유기농_7월'!$A:$A,$E7)))</f>
        <v>0</v>
      </c>
      <c r="O7" s="7">
        <f>IF($C7="","",IF(COUNTA('RAW_유기농_8월'!$A:$A)&lt;=1,"",SUMIFS('RAW_유기농_8월'!$H:$H,'RAW_유기농_8월'!$D:$D,$C7,'RAW_유기농_8월'!$A:$A,$E7)-SUMIFS('RAW_유기농_7월'!$H:$H,'RAW_유기농_7월'!$D:$D,$C7,'RAW_유기농_7월'!$A:$A,$E7)))</f>
        <v>155200</v>
      </c>
      <c r="P7" s="7" t="str">
        <f>IF($C7="","",IF(COUNTA('RAW_유기농_9월'!$A:$A)&lt;=1,"",SUMIFS('RAW_유기농_9월'!$H:$H,'RAW_유기농_9월'!$D:$D,$C7,'RAW_유기농_9월'!$A:$A,$E7)-SUMIFS('RAW_유기농_8월'!$H:$H,'RAW_유기농_8월'!$D:$D,$C7,'RAW_유기농_8월'!$A:$A,$E7)))</f>
        <v/>
      </c>
      <c r="Q7" s="7" t="str">
        <f>IF($C7="","",IF(COUNTA('RAW_유기농_10월'!$A:$A)&lt;=1,"",SUMIFS('RAW_유기농_10월'!$H:$H,'RAW_유기농_10월'!$D:$D,$C7,'RAW_유기농_10월'!$A:$A,$E7)-SUMIFS('RAW_유기농_9월'!$H:$H,'RAW_유기농_9월'!$D:$D,$C7,'RAW_유기농_9월'!$A:$A,$E7)))</f>
        <v/>
      </c>
      <c r="R7" s="7" t="str">
        <f>IF($C7="","",IF(COUNTA('RAW_유기농_11-12월'!$A:$A)&lt;=1,"",SUMIFS('RAW_유기농_11-12월'!$H:$H,'RAW_유기농_11-12월'!$D:$D,$C7,'RAW_유기농_11-12월'!$A:$A,$E7)-SUMIFS('RAW_유기농_10월'!$H:$H,'RAW_유기농_10월'!$D:$D,$C7,'RAW_유기농_10월'!$A:$A,$E7)))</f>
        <v/>
      </c>
      <c r="S7" s="17" t="str">
        <f t="shared" si="4"/>
        <v>O</v>
      </c>
      <c r="T7" s="17" t="str">
        <f t="shared" si="5"/>
        <v>50만원 미만</v>
      </c>
      <c r="U7" s="7">
        <f>IF($C7="",0,IF('설정'!$B$4=0,0,CHOOSE('설정'!$B$4,COUNTIFS('RAW_유기농_7월'!$D:$D,$C7,'RAW_유기농_7월'!$A:$A,$E7),COUNTIFS('RAW_유기농_8월'!$D:$D,$C7,'RAW_유기농_8월'!$A:$A,$E7),COUNTIFS('RAW_유기농_9월'!$D:$D,$C7,'RAW_유기농_9월'!$A:$A,$E7),COUNTIFS('RAW_유기농_10월'!$D:$D,$C7,'RAW_유기농_10월'!$A:$A,$E7),COUNTIFS('RAW_유기농_11-12월'!$D:$D,$C7,'RAW_유기농_11-12월'!$A:$A,$E7))))</f>
        <v>6</v>
      </c>
    </row>
    <row r="8">
      <c r="A8" s="5">
        <v>6.0</v>
      </c>
      <c r="B8" s="5" t="s">
        <v>25</v>
      </c>
      <c r="C8" s="5" t="s">
        <v>157</v>
      </c>
      <c r="D8" s="6" t="s">
        <v>158</v>
      </c>
      <c r="E8" s="5" t="s">
        <v>31</v>
      </c>
      <c r="F8" s="7">
        <f>IF($C8="","",IF('설정'!$B$4=0,"",CHOOSE('설정'!$B$4,SUMIFS('RAW_유기농_7월'!$F:$F,'RAW_유기농_7월'!$D:$D,$C8,'RAW_유기농_7월'!$A:$A,$E8),SUMIFS('RAW_유기농_8월'!$F:$F,'RAW_유기농_8월'!$D:$D,$C8,'RAW_유기농_8월'!$A:$A,$E8),SUMIFS('RAW_유기농_9월'!$F:$F,'RAW_유기농_9월'!$D:$D,$C8,'RAW_유기농_9월'!$A:$A,$E8),SUMIFS('RAW_유기농_10월'!$F:$F,'RAW_유기농_10월'!$D:$D,$C8,'RAW_유기농_10월'!$A:$A,$E8),SUMIFS('RAW_유기농_11-12월'!$F:$F,'RAW_유기농_11-12월'!$D:$D,$C8,'RAW_유기농_11-12월'!$A:$A,$E8))))</f>
        <v>0</v>
      </c>
      <c r="G8" s="7">
        <f>IF($C8="","",IF('설정'!$B$4=0,"",CHOOSE('설정'!$B$4,SUMIFS('RAW_유기농_7월'!$G:$G,'RAW_유기농_7월'!$D:$D,$C8,'RAW_유기농_7월'!$A:$A,$E8),SUMIFS('RAW_유기농_8월'!$G:$G,'RAW_유기농_8월'!$D:$D,$C8,'RAW_유기농_8월'!$A:$A,$E8),SUMIFS('RAW_유기농_9월'!$G:$G,'RAW_유기농_9월'!$D:$D,$C8,'RAW_유기농_9월'!$A:$A,$E8),SUMIFS('RAW_유기농_10월'!$G:$G,'RAW_유기농_10월'!$D:$D,$C8,'RAW_유기농_10월'!$A:$A,$E8),SUMIFS('RAW_유기농_11-12월'!$G:$G,'RAW_유기농_11-12월'!$D:$D,$C8,'RAW_유기농_11-12월'!$A:$A,$E8))))</f>
        <v>0</v>
      </c>
      <c r="H8" s="7">
        <f>IF($C8="","",IF('설정'!$B$4=0,"",CHOOSE('설정'!$B$4,SUMIFS('RAW_유기농_7월'!$H:$H,'RAW_유기농_7월'!$D:$D,$C8,'RAW_유기농_7월'!$A:$A,$E8),SUMIFS('RAW_유기농_8월'!$H:$H,'RAW_유기농_8월'!$D:$D,$C8,'RAW_유기농_8월'!$A:$A,$E8),SUMIFS('RAW_유기농_9월'!$H:$H,'RAW_유기농_9월'!$D:$D,$C8,'RAW_유기농_9월'!$A:$A,$E8),SUMIFS('RAW_유기농_10월'!$H:$H,'RAW_유기농_10월'!$D:$D,$C8,'RAW_유기농_10월'!$A:$A,$E8),SUMIFS('RAW_유기농_11-12월'!$H:$H,'RAW_유기농_11-12월'!$D:$D,$C8,'RAW_유기농_11-12월'!$A:$A,$E8))))</f>
        <v>0</v>
      </c>
      <c r="I8" s="17" t="str">
        <f>IF($C8="","",IF(COUNTIFS('RAW_유기농_7월'!$D:$D,$C8,'RAW_유기농_7월'!$A:$A,$E8)&gt;0,"O",""))</f>
        <v/>
      </c>
      <c r="J8" s="17" t="str">
        <f>IF($C8="","",IF(COUNTIFS('RAW_유기농_8월'!$D:$D,$C8,'RAW_유기농_8월'!$A:$A,$E8)&gt;0,"O",""))</f>
        <v/>
      </c>
      <c r="K8" s="17" t="str">
        <f>IF($C8="","",IF(COUNTIFS('RAW_유기농_9월'!$D:$D,$C8,'RAW_유기농_9월'!$A:$A,$E8)&gt;0,"O",""))</f>
        <v/>
      </c>
      <c r="L8" s="17" t="str">
        <f>IF($C8="","",IF(COUNTIFS('RAW_유기농_10월'!$D:$D,$C8,'RAW_유기농_10월'!$A:$A,$E8)&gt;0,"O",""))</f>
        <v/>
      </c>
      <c r="M8" s="17" t="str">
        <f>IF($C8="","",IF(COUNTIFS('RAW_유기농_11-12월'!$D:$D,$C8,'RAW_유기농_11-12월'!$A:$A,$E8)&gt;0,"O",""))</f>
        <v/>
      </c>
      <c r="N8" s="7">
        <f>IF($C8="","",IF(COUNTA('RAW_유기농_7월'!$A:$A)&lt;=1,"",SUMIFS('RAW_유기농_7월'!$H:$H,'RAW_유기농_7월'!$D:$D,$C8,'RAW_유기농_7월'!$A:$A,$E8)))</f>
        <v>0</v>
      </c>
      <c r="O8" s="7">
        <f>IF($C8="","",IF(COUNTA('RAW_유기농_8월'!$A:$A)&lt;=1,"",SUMIFS('RAW_유기농_8월'!$H:$H,'RAW_유기농_8월'!$D:$D,$C8,'RAW_유기농_8월'!$A:$A,$E8)-SUMIFS('RAW_유기농_7월'!$H:$H,'RAW_유기농_7월'!$D:$D,$C8,'RAW_유기농_7월'!$A:$A,$E8)))</f>
        <v>0</v>
      </c>
      <c r="P8" s="7" t="str">
        <f>IF($C8="","",IF(COUNTA('RAW_유기농_9월'!$A:$A)&lt;=1,"",SUMIFS('RAW_유기농_9월'!$H:$H,'RAW_유기농_9월'!$D:$D,$C8,'RAW_유기농_9월'!$A:$A,$E8)-SUMIFS('RAW_유기농_8월'!$H:$H,'RAW_유기농_8월'!$D:$D,$C8,'RAW_유기농_8월'!$A:$A,$E8)))</f>
        <v/>
      </c>
      <c r="Q8" s="7" t="str">
        <f>IF($C8="","",IF(COUNTA('RAW_유기농_10월'!$A:$A)&lt;=1,"",SUMIFS('RAW_유기농_10월'!$H:$H,'RAW_유기농_10월'!$D:$D,$C8,'RAW_유기농_10월'!$A:$A,$E8)-SUMIFS('RAW_유기농_9월'!$H:$H,'RAW_유기농_9월'!$D:$D,$C8,'RAW_유기농_9월'!$A:$A,$E8)))</f>
        <v/>
      </c>
      <c r="R8" s="7" t="str">
        <f>IF($C8="","",IF(COUNTA('RAW_유기농_11-12월'!$A:$A)&lt;=1,"",SUMIFS('RAW_유기농_11-12월'!$H:$H,'RAW_유기농_11-12월'!$D:$D,$C8,'RAW_유기농_11-12월'!$A:$A,$E8)-SUMIFS('RAW_유기농_10월'!$H:$H,'RAW_유기농_10월'!$D:$D,$C8,'RAW_유기농_10월'!$A:$A,$E8)))</f>
        <v/>
      </c>
      <c r="S8" s="17" t="str">
        <f t="shared" si="4"/>
        <v/>
      </c>
      <c r="T8" s="17" t="str">
        <f t="shared" si="5"/>
        <v>미사용</v>
      </c>
      <c r="U8" s="7">
        <f>IF($C8="",0,IF('설정'!$B$4=0,0,CHOOSE('설정'!$B$4,COUNTIFS('RAW_유기농_7월'!$D:$D,$C8,'RAW_유기농_7월'!$A:$A,$E8),COUNTIFS('RAW_유기농_8월'!$D:$D,$C8,'RAW_유기농_8월'!$A:$A,$E8),COUNTIFS('RAW_유기농_9월'!$D:$D,$C8,'RAW_유기농_9월'!$A:$A,$E8),COUNTIFS('RAW_유기농_10월'!$D:$D,$C8,'RAW_유기농_10월'!$A:$A,$E8),COUNTIFS('RAW_유기농_11-12월'!$D:$D,$C8,'RAW_유기농_11-12월'!$A:$A,$E8))))</f>
        <v>0</v>
      </c>
    </row>
    <row r="9">
      <c r="A9" s="5">
        <v>7.0</v>
      </c>
      <c r="B9" s="5" t="s">
        <v>25</v>
      </c>
      <c r="C9" s="5" t="s">
        <v>160</v>
      </c>
      <c r="D9" s="6" t="s">
        <v>161</v>
      </c>
      <c r="E9" s="5" t="s">
        <v>92</v>
      </c>
      <c r="F9" s="7">
        <f>IF($C9="","",IF('설정'!$B$4=0,"",CHOOSE('설정'!$B$4,SUMIFS('RAW_유기농_7월'!$F:$F,'RAW_유기농_7월'!$D:$D,$C9,'RAW_유기농_7월'!$A:$A,$E9),SUMIFS('RAW_유기농_8월'!$F:$F,'RAW_유기농_8월'!$D:$D,$C9,'RAW_유기농_8월'!$A:$A,$E9),SUMIFS('RAW_유기농_9월'!$F:$F,'RAW_유기농_9월'!$D:$D,$C9,'RAW_유기농_9월'!$A:$A,$E9),SUMIFS('RAW_유기농_10월'!$F:$F,'RAW_유기농_10월'!$D:$D,$C9,'RAW_유기농_10월'!$A:$A,$E9),SUMIFS('RAW_유기농_11-12월'!$F:$F,'RAW_유기농_11-12월'!$D:$D,$C9,'RAW_유기농_11-12월'!$A:$A,$E9))))</f>
        <v>40</v>
      </c>
      <c r="G9" s="7">
        <f>IF($C9="","",IF('설정'!$B$4=0,"",CHOOSE('설정'!$B$4,SUMIFS('RAW_유기농_7월'!$G:$G,'RAW_유기농_7월'!$D:$D,$C9,'RAW_유기농_7월'!$A:$A,$E9),SUMIFS('RAW_유기농_8월'!$G:$G,'RAW_유기농_8월'!$D:$D,$C9,'RAW_유기농_8월'!$A:$A,$E9),SUMIFS('RAW_유기농_9월'!$G:$G,'RAW_유기농_9월'!$D:$D,$C9,'RAW_유기농_9월'!$A:$A,$E9),SUMIFS('RAW_유기농_10월'!$G:$G,'RAW_유기농_10월'!$D:$D,$C9,'RAW_유기농_10월'!$A:$A,$E9),SUMIFS('RAW_유기농_11-12월'!$G:$G,'RAW_유기농_11-12월'!$D:$D,$C9,'RAW_유기농_11-12월'!$A:$A,$E9))))</f>
        <v>1322500</v>
      </c>
      <c r="H9" s="7">
        <f>IF($C9="","",IF('설정'!$B$4=0,"",CHOOSE('설정'!$B$4,SUMIFS('RAW_유기농_7월'!$H:$H,'RAW_유기농_7월'!$D:$D,$C9,'RAW_유기농_7월'!$A:$A,$E9),SUMIFS('RAW_유기농_8월'!$H:$H,'RAW_유기농_8월'!$D:$D,$C9,'RAW_유기농_8월'!$A:$A,$E9),SUMIFS('RAW_유기농_9월'!$H:$H,'RAW_유기농_9월'!$D:$D,$C9,'RAW_유기농_9월'!$A:$A,$E9),SUMIFS('RAW_유기농_10월'!$H:$H,'RAW_유기농_10월'!$D:$D,$C9,'RAW_유기농_10월'!$A:$A,$E9),SUMIFS('RAW_유기농_11-12월'!$H:$H,'RAW_유기농_11-12월'!$D:$D,$C9,'RAW_유기농_11-12월'!$A:$A,$E9))))</f>
        <v>207680</v>
      </c>
      <c r="I9" s="17" t="str">
        <f>IF($C9="","",IF(COUNTIFS('RAW_유기농_7월'!$D:$D,$C9,'RAW_유기농_7월'!$A:$A,$E9)&gt;0,"O",""))</f>
        <v>O</v>
      </c>
      <c r="J9" s="17" t="str">
        <f>IF($C9="","",IF(COUNTIFS('RAW_유기농_8월'!$D:$D,$C9,'RAW_유기농_8월'!$A:$A,$E9)&gt;0,"O",""))</f>
        <v>O</v>
      </c>
      <c r="K9" s="17" t="str">
        <f>IF($C9="","",IF(COUNTIFS('RAW_유기농_9월'!$D:$D,$C9,'RAW_유기농_9월'!$A:$A,$E9)&gt;0,"O",""))</f>
        <v/>
      </c>
      <c r="L9" s="17" t="str">
        <f>IF($C9="","",IF(COUNTIFS('RAW_유기농_10월'!$D:$D,$C9,'RAW_유기농_10월'!$A:$A,$E9)&gt;0,"O",""))</f>
        <v/>
      </c>
      <c r="M9" s="17" t="str">
        <f>IF($C9="","",IF(COUNTIFS('RAW_유기농_11-12월'!$D:$D,$C9,'RAW_유기농_11-12월'!$A:$A,$E9)&gt;0,"O",""))</f>
        <v/>
      </c>
      <c r="N9" s="7">
        <f>IF($C9="","",IF(COUNTA('RAW_유기농_7월'!$A:$A)&lt;=1,"",SUMIFS('RAW_유기농_7월'!$H:$H,'RAW_유기농_7월'!$D:$D,$C9,'RAW_유기농_7월'!$A:$A,$E9)))</f>
        <v>92660</v>
      </c>
      <c r="O9" s="7">
        <f>IF($C9="","",IF(COUNTA('RAW_유기농_8월'!$A:$A)&lt;=1,"",SUMIFS('RAW_유기농_8월'!$H:$H,'RAW_유기농_8월'!$D:$D,$C9,'RAW_유기농_8월'!$A:$A,$E9)-SUMIFS('RAW_유기농_7월'!$H:$H,'RAW_유기농_7월'!$D:$D,$C9,'RAW_유기농_7월'!$A:$A,$E9)))</f>
        <v>115020</v>
      </c>
      <c r="P9" s="7" t="str">
        <f>IF($C9="","",IF(COUNTA('RAW_유기농_9월'!$A:$A)&lt;=1,"",SUMIFS('RAW_유기농_9월'!$H:$H,'RAW_유기농_9월'!$D:$D,$C9,'RAW_유기농_9월'!$A:$A,$E9)-SUMIFS('RAW_유기농_8월'!$H:$H,'RAW_유기농_8월'!$D:$D,$C9,'RAW_유기농_8월'!$A:$A,$E9)))</f>
        <v/>
      </c>
      <c r="Q9" s="7" t="str">
        <f>IF($C9="","",IF(COUNTA('RAW_유기농_10월'!$A:$A)&lt;=1,"",SUMIFS('RAW_유기농_10월'!$H:$H,'RAW_유기농_10월'!$D:$D,$C9,'RAW_유기농_10월'!$A:$A,$E9)-SUMIFS('RAW_유기농_9월'!$H:$H,'RAW_유기농_9월'!$D:$D,$C9,'RAW_유기농_9월'!$A:$A,$E9)))</f>
        <v/>
      </c>
      <c r="R9" s="7" t="str">
        <f>IF($C9="","",IF(COUNTA('RAW_유기농_11-12월'!$A:$A)&lt;=1,"",SUMIFS('RAW_유기농_11-12월'!$H:$H,'RAW_유기농_11-12월'!$D:$D,$C9,'RAW_유기농_11-12월'!$A:$A,$E9)-SUMIFS('RAW_유기농_10월'!$H:$H,'RAW_유기농_10월'!$D:$D,$C9,'RAW_유기농_10월'!$A:$A,$E9)))</f>
        <v/>
      </c>
      <c r="S9" s="17" t="str">
        <f t="shared" si="4"/>
        <v>O</v>
      </c>
      <c r="T9" s="17" t="str">
        <f t="shared" si="5"/>
        <v>50만원 미만</v>
      </c>
      <c r="U9" s="7">
        <f>IF($C9="",0,IF('설정'!$B$4=0,0,CHOOSE('설정'!$B$4,COUNTIFS('RAW_유기농_7월'!$D:$D,$C9,'RAW_유기농_7월'!$A:$A,$E9),COUNTIFS('RAW_유기농_8월'!$D:$D,$C9,'RAW_유기농_8월'!$A:$A,$E9),COUNTIFS('RAW_유기농_9월'!$D:$D,$C9,'RAW_유기농_9월'!$A:$A,$E9),COUNTIFS('RAW_유기농_10월'!$D:$D,$C9,'RAW_유기농_10월'!$A:$A,$E9),COUNTIFS('RAW_유기농_11-12월'!$D:$D,$C9,'RAW_유기농_11-12월'!$A:$A,$E9))))</f>
        <v>3</v>
      </c>
    </row>
    <row r="10">
      <c r="A10" s="5">
        <v>8.0</v>
      </c>
      <c r="B10" s="5" t="s">
        <v>108</v>
      </c>
      <c r="C10" s="5" t="s">
        <v>178</v>
      </c>
      <c r="D10" s="6" t="s">
        <v>179</v>
      </c>
      <c r="E10" s="5" t="s">
        <v>92</v>
      </c>
      <c r="F10" s="7">
        <f>IF($C10="","",IF('설정'!$B$4=0,"",CHOOSE('설정'!$B$4,SUMIFS('RAW_유기농_7월'!$F:$F,'RAW_유기농_7월'!$D:$D,$C10,'RAW_유기농_7월'!$A:$A,$E10),SUMIFS('RAW_유기농_8월'!$F:$F,'RAW_유기농_8월'!$D:$D,$C10,'RAW_유기농_8월'!$A:$A,$E10),SUMIFS('RAW_유기농_9월'!$F:$F,'RAW_유기농_9월'!$D:$D,$C10,'RAW_유기농_9월'!$A:$A,$E10),SUMIFS('RAW_유기농_10월'!$F:$F,'RAW_유기농_10월'!$D:$D,$C10,'RAW_유기농_10월'!$A:$A,$E10),SUMIFS('RAW_유기농_11-12월'!$F:$F,'RAW_유기농_11-12월'!$D:$D,$C10,'RAW_유기농_11-12월'!$A:$A,$E10))))</f>
        <v>8</v>
      </c>
      <c r="G10" s="7">
        <f>IF($C10="","",IF('설정'!$B$4=0,"",CHOOSE('설정'!$B$4,SUMIFS('RAW_유기농_7월'!$G:$G,'RAW_유기농_7월'!$D:$D,$C10,'RAW_유기농_7월'!$A:$A,$E10),SUMIFS('RAW_유기농_8월'!$G:$G,'RAW_유기농_8월'!$D:$D,$C10,'RAW_유기농_8월'!$A:$A,$E10),SUMIFS('RAW_유기농_9월'!$G:$G,'RAW_유기농_9월'!$D:$D,$C10,'RAW_유기농_9월'!$A:$A,$E10),SUMIFS('RAW_유기농_10월'!$G:$G,'RAW_유기농_10월'!$D:$D,$C10,'RAW_유기농_10월'!$A:$A,$E10),SUMIFS('RAW_유기농_11-12월'!$G:$G,'RAW_유기농_11-12월'!$D:$D,$C10,'RAW_유기농_11-12월'!$A:$A,$E10))))</f>
        <v>168650</v>
      </c>
      <c r="H10" s="7">
        <f>IF($C10="","",IF('설정'!$B$4=0,"",CHOOSE('설정'!$B$4,SUMIFS('RAW_유기농_7월'!$H:$H,'RAW_유기농_7월'!$D:$D,$C10,'RAW_유기농_7월'!$A:$A,$E10),SUMIFS('RAW_유기농_8월'!$H:$H,'RAW_유기농_8월'!$D:$D,$C10,'RAW_유기농_8월'!$A:$A,$E10),SUMIFS('RAW_유기농_9월'!$H:$H,'RAW_유기농_9월'!$D:$D,$C10,'RAW_유기농_9월'!$A:$A,$E10),SUMIFS('RAW_유기농_10월'!$H:$H,'RAW_유기농_10월'!$D:$D,$C10,'RAW_유기농_10월'!$A:$A,$E10),SUMIFS('RAW_유기농_11-12월'!$H:$H,'RAW_유기농_11-12월'!$D:$D,$C10,'RAW_유기농_11-12월'!$A:$A,$E10))))</f>
        <v>24730</v>
      </c>
      <c r="I10" s="17" t="str">
        <f>IF($C10="","",IF(COUNTIFS('RAW_유기농_7월'!$D:$D,$C10,'RAW_유기농_7월'!$A:$A,$E10)&gt;0,"O",""))</f>
        <v>O</v>
      </c>
      <c r="J10" s="17" t="str">
        <f>IF($C10="","",IF(COUNTIFS('RAW_유기농_8월'!$D:$D,$C10,'RAW_유기농_8월'!$A:$A,$E10)&gt;0,"O",""))</f>
        <v>O</v>
      </c>
      <c r="K10" s="17" t="str">
        <f>IF($C10="","",IF(COUNTIFS('RAW_유기농_9월'!$D:$D,$C10,'RAW_유기농_9월'!$A:$A,$E10)&gt;0,"O",""))</f>
        <v/>
      </c>
      <c r="L10" s="17" t="str">
        <f>IF($C10="","",IF(COUNTIFS('RAW_유기농_10월'!$D:$D,$C10,'RAW_유기농_10월'!$A:$A,$E10)&gt;0,"O",""))</f>
        <v/>
      </c>
      <c r="M10" s="17" t="str">
        <f>IF($C10="","",IF(COUNTIFS('RAW_유기농_11-12월'!$D:$D,$C10,'RAW_유기농_11-12월'!$A:$A,$E10)&gt;0,"O",""))</f>
        <v/>
      </c>
      <c r="N10" s="7">
        <f>IF($C10="","",IF(COUNTA('RAW_유기농_7월'!$A:$A)&lt;=1,"",SUMIFS('RAW_유기농_7월'!$H:$H,'RAW_유기농_7월'!$D:$D,$C10,'RAW_유기농_7월'!$A:$A,$E10)))</f>
        <v>11630</v>
      </c>
      <c r="O10" s="7">
        <f>IF($C10="","",IF(COUNTA('RAW_유기농_8월'!$A:$A)&lt;=1,"",SUMIFS('RAW_유기농_8월'!$H:$H,'RAW_유기농_8월'!$D:$D,$C10,'RAW_유기농_8월'!$A:$A,$E10)-SUMIFS('RAW_유기농_7월'!$H:$H,'RAW_유기농_7월'!$D:$D,$C10,'RAW_유기농_7월'!$A:$A,$E10)))</f>
        <v>13100</v>
      </c>
      <c r="P10" s="7" t="str">
        <f>IF($C10="","",IF(COUNTA('RAW_유기농_9월'!$A:$A)&lt;=1,"",SUMIFS('RAW_유기농_9월'!$H:$H,'RAW_유기농_9월'!$D:$D,$C10,'RAW_유기농_9월'!$A:$A,$E10)-SUMIFS('RAW_유기농_8월'!$H:$H,'RAW_유기농_8월'!$D:$D,$C10,'RAW_유기농_8월'!$A:$A,$E10)))</f>
        <v/>
      </c>
      <c r="Q10" s="7" t="str">
        <f>IF($C10="","",IF(COUNTA('RAW_유기농_10월'!$A:$A)&lt;=1,"",SUMIFS('RAW_유기농_10월'!$H:$H,'RAW_유기농_10월'!$D:$D,$C10,'RAW_유기농_10월'!$A:$A,$E10)-SUMIFS('RAW_유기농_9월'!$H:$H,'RAW_유기농_9월'!$D:$D,$C10,'RAW_유기농_9월'!$A:$A,$E10)))</f>
        <v/>
      </c>
      <c r="R10" s="7" t="str">
        <f>IF($C10="","",IF(COUNTA('RAW_유기농_11-12월'!$A:$A)&lt;=1,"",SUMIFS('RAW_유기농_11-12월'!$H:$H,'RAW_유기농_11-12월'!$D:$D,$C10,'RAW_유기농_11-12월'!$A:$A,$E10)-SUMIFS('RAW_유기농_10월'!$H:$H,'RAW_유기농_10월'!$D:$D,$C10,'RAW_유기농_10월'!$A:$A,$E10)))</f>
        <v/>
      </c>
      <c r="S10" s="17" t="str">
        <f t="shared" si="4"/>
        <v>O</v>
      </c>
      <c r="T10" s="17" t="str">
        <f t="shared" si="5"/>
        <v>50만원 미만</v>
      </c>
      <c r="U10" s="7">
        <f>IF($C10="",0,IF('설정'!$B$4=0,0,CHOOSE('설정'!$B$4,COUNTIFS('RAW_유기농_7월'!$D:$D,$C10,'RAW_유기농_7월'!$A:$A,$E10),COUNTIFS('RAW_유기농_8월'!$D:$D,$C10,'RAW_유기농_8월'!$A:$A,$E10),COUNTIFS('RAW_유기농_9월'!$D:$D,$C10,'RAW_유기농_9월'!$A:$A,$E10),COUNTIFS('RAW_유기농_10월'!$D:$D,$C10,'RAW_유기농_10월'!$A:$A,$E10),COUNTIFS('RAW_유기농_11-12월'!$D:$D,$C10,'RAW_유기농_11-12월'!$A:$A,$E10))))</f>
        <v>10</v>
      </c>
    </row>
    <row r="11">
      <c r="A11" s="5">
        <v>9.0</v>
      </c>
      <c r="B11" s="5" t="s">
        <v>25</v>
      </c>
      <c r="C11" s="5" t="s">
        <v>188</v>
      </c>
      <c r="D11" s="6" t="s">
        <v>189</v>
      </c>
      <c r="E11" s="5" t="s">
        <v>31</v>
      </c>
      <c r="F11" s="7">
        <f>IF($C11="","",IF('설정'!$B$4=0,"",CHOOSE('설정'!$B$4,SUMIFS('RAW_유기농_7월'!$F:$F,'RAW_유기농_7월'!$D:$D,$C11,'RAW_유기농_7월'!$A:$A,$E11),SUMIFS('RAW_유기농_8월'!$F:$F,'RAW_유기농_8월'!$D:$D,$C11,'RAW_유기농_8월'!$A:$A,$E11),SUMIFS('RAW_유기농_9월'!$F:$F,'RAW_유기농_9월'!$D:$D,$C11,'RAW_유기농_9월'!$A:$A,$E11),SUMIFS('RAW_유기농_10월'!$F:$F,'RAW_유기농_10월'!$D:$D,$C11,'RAW_유기농_10월'!$A:$A,$E11),SUMIFS('RAW_유기농_11-12월'!$F:$F,'RAW_유기농_11-12월'!$D:$D,$C11,'RAW_유기농_11-12월'!$A:$A,$E11))))</f>
        <v>68</v>
      </c>
      <c r="G11" s="7">
        <f>IF($C11="","",IF('설정'!$B$4=0,"",CHOOSE('설정'!$B$4,SUMIFS('RAW_유기농_7월'!$G:$G,'RAW_유기농_7월'!$D:$D,$C11,'RAW_유기농_7월'!$A:$A,$E11),SUMIFS('RAW_유기농_8월'!$G:$G,'RAW_유기농_8월'!$D:$D,$C11,'RAW_유기농_8월'!$A:$A,$E11),SUMIFS('RAW_유기농_9월'!$G:$G,'RAW_유기농_9월'!$D:$D,$C11,'RAW_유기농_9월'!$A:$A,$E11),SUMIFS('RAW_유기농_10월'!$G:$G,'RAW_유기농_10월'!$D:$D,$C11,'RAW_유기농_10월'!$A:$A,$E11),SUMIFS('RAW_유기농_11-12월'!$G:$G,'RAW_유기농_11-12월'!$D:$D,$C11,'RAW_유기농_11-12월'!$A:$A,$E11))))</f>
        <v>1101800</v>
      </c>
      <c r="H11" s="7">
        <f>IF($C11="","",IF('설정'!$B$4=0,"",CHOOSE('설정'!$B$4,SUMIFS('RAW_유기농_7월'!$H:$H,'RAW_유기농_7월'!$D:$D,$C11,'RAW_유기농_7월'!$A:$A,$E11),SUMIFS('RAW_유기농_8월'!$H:$H,'RAW_유기농_8월'!$D:$D,$C11,'RAW_유기농_8월'!$A:$A,$E11),SUMIFS('RAW_유기농_9월'!$H:$H,'RAW_유기농_9월'!$D:$D,$C11,'RAW_유기농_9월'!$A:$A,$E11),SUMIFS('RAW_유기농_10월'!$H:$H,'RAW_유기농_10월'!$D:$D,$C11,'RAW_유기농_10월'!$A:$A,$E11),SUMIFS('RAW_유기농_11-12월'!$H:$H,'RAW_유기농_11-12월'!$D:$D,$C11,'RAW_유기농_11-12월'!$A:$A,$E11))))</f>
        <v>115480</v>
      </c>
      <c r="I11" s="17" t="str">
        <f>IF($C11="","",IF(COUNTIFS('RAW_유기농_7월'!$D:$D,$C11,'RAW_유기농_7월'!$A:$A,$E11)&gt;0,"O",""))</f>
        <v>O</v>
      </c>
      <c r="J11" s="17" t="str">
        <f>IF($C11="","",IF(COUNTIFS('RAW_유기농_8월'!$D:$D,$C11,'RAW_유기농_8월'!$A:$A,$E11)&gt;0,"O",""))</f>
        <v>O</v>
      </c>
      <c r="K11" s="17" t="str">
        <f>IF($C11="","",IF(COUNTIFS('RAW_유기농_9월'!$D:$D,$C11,'RAW_유기농_9월'!$A:$A,$E11)&gt;0,"O",""))</f>
        <v/>
      </c>
      <c r="L11" s="17" t="str">
        <f>IF($C11="","",IF(COUNTIFS('RAW_유기농_10월'!$D:$D,$C11,'RAW_유기농_10월'!$A:$A,$E11)&gt;0,"O",""))</f>
        <v/>
      </c>
      <c r="M11" s="17" t="str">
        <f>IF($C11="","",IF(COUNTIFS('RAW_유기농_11-12월'!$D:$D,$C11,'RAW_유기농_11-12월'!$A:$A,$E11)&gt;0,"O",""))</f>
        <v/>
      </c>
      <c r="N11" s="7">
        <f>IF($C11="","",IF(COUNTA('RAW_유기농_7월'!$A:$A)&lt;=1,"",SUMIFS('RAW_유기농_7월'!$H:$H,'RAW_유기농_7월'!$D:$D,$C11,'RAW_유기농_7월'!$A:$A,$E11)))</f>
        <v>57980</v>
      </c>
      <c r="O11" s="7">
        <f>IF($C11="","",IF(COUNTA('RAW_유기농_8월'!$A:$A)&lt;=1,"",SUMIFS('RAW_유기농_8월'!$H:$H,'RAW_유기농_8월'!$D:$D,$C11,'RAW_유기농_8월'!$A:$A,$E11)-SUMIFS('RAW_유기농_7월'!$H:$H,'RAW_유기농_7월'!$D:$D,$C11,'RAW_유기농_7월'!$A:$A,$E11)))</f>
        <v>57500</v>
      </c>
      <c r="P11" s="7" t="str">
        <f>IF($C11="","",IF(COUNTA('RAW_유기농_9월'!$A:$A)&lt;=1,"",SUMIFS('RAW_유기농_9월'!$H:$H,'RAW_유기농_9월'!$D:$D,$C11,'RAW_유기농_9월'!$A:$A,$E11)-SUMIFS('RAW_유기농_8월'!$H:$H,'RAW_유기농_8월'!$D:$D,$C11,'RAW_유기농_8월'!$A:$A,$E11)))</f>
        <v/>
      </c>
      <c r="Q11" s="7" t="str">
        <f>IF($C11="","",IF(COUNTA('RAW_유기농_10월'!$A:$A)&lt;=1,"",SUMIFS('RAW_유기농_10월'!$H:$H,'RAW_유기농_10월'!$D:$D,$C11,'RAW_유기농_10월'!$A:$A,$E11)-SUMIFS('RAW_유기농_9월'!$H:$H,'RAW_유기농_9월'!$D:$D,$C11,'RAW_유기농_9월'!$A:$A,$E11)))</f>
        <v/>
      </c>
      <c r="R11" s="7" t="str">
        <f>IF($C11="","",IF(COUNTA('RAW_유기농_11-12월'!$A:$A)&lt;=1,"",SUMIFS('RAW_유기농_11-12월'!$H:$H,'RAW_유기농_11-12월'!$D:$D,$C11,'RAW_유기농_11-12월'!$A:$A,$E11)-SUMIFS('RAW_유기농_10월'!$H:$H,'RAW_유기농_10월'!$D:$D,$C11,'RAW_유기농_10월'!$A:$A,$E11)))</f>
        <v/>
      </c>
      <c r="S11" s="17" t="str">
        <f t="shared" si="4"/>
        <v>O</v>
      </c>
      <c r="T11" s="17" t="str">
        <f t="shared" si="5"/>
        <v>50만원 미만</v>
      </c>
      <c r="U11" s="7">
        <f>IF($C11="",0,IF('설정'!$B$4=0,0,CHOOSE('설정'!$B$4,COUNTIFS('RAW_유기농_7월'!$D:$D,$C11,'RAW_유기농_7월'!$A:$A,$E11),COUNTIFS('RAW_유기농_8월'!$D:$D,$C11,'RAW_유기농_8월'!$A:$A,$E11),COUNTIFS('RAW_유기농_9월'!$D:$D,$C11,'RAW_유기농_9월'!$A:$A,$E11),COUNTIFS('RAW_유기농_10월'!$D:$D,$C11,'RAW_유기농_10월'!$A:$A,$E11),COUNTIFS('RAW_유기농_11-12월'!$D:$D,$C11,'RAW_유기농_11-12월'!$A:$A,$E11))))</f>
        <v>5</v>
      </c>
    </row>
    <row r="12">
      <c r="A12" s="5">
        <v>10.0</v>
      </c>
      <c r="B12" s="5" t="s">
        <v>25</v>
      </c>
      <c r="C12" s="5" t="s">
        <v>217</v>
      </c>
      <c r="D12" s="6" t="s">
        <v>218</v>
      </c>
      <c r="E12" s="5" t="s">
        <v>92</v>
      </c>
      <c r="F12" s="7">
        <f>IF($C12="","",IF('설정'!$B$4=0,"",CHOOSE('설정'!$B$4,SUMIFS('RAW_유기농_7월'!$F:$F,'RAW_유기농_7월'!$D:$D,$C12,'RAW_유기농_7월'!$A:$A,$E12),SUMIFS('RAW_유기농_8월'!$F:$F,'RAW_유기농_8월'!$D:$D,$C12,'RAW_유기농_8월'!$A:$A,$E12),SUMIFS('RAW_유기농_9월'!$F:$F,'RAW_유기농_9월'!$D:$D,$C12,'RAW_유기농_9월'!$A:$A,$E12),SUMIFS('RAW_유기농_10월'!$F:$F,'RAW_유기농_10월'!$D:$D,$C12,'RAW_유기농_10월'!$A:$A,$E12),SUMIFS('RAW_유기농_11-12월'!$F:$F,'RAW_유기농_11-12월'!$D:$D,$C12,'RAW_유기농_11-12월'!$A:$A,$E12))))</f>
        <v>287</v>
      </c>
      <c r="G12" s="7">
        <f>IF($C12="","",IF('설정'!$B$4=0,"",CHOOSE('설정'!$B$4,SUMIFS('RAW_유기농_7월'!$G:$G,'RAW_유기농_7월'!$D:$D,$C12,'RAW_유기농_7월'!$A:$A,$E12),SUMIFS('RAW_유기농_8월'!$G:$G,'RAW_유기농_8월'!$D:$D,$C12,'RAW_유기농_8월'!$A:$A,$E12),SUMIFS('RAW_유기농_9월'!$G:$G,'RAW_유기농_9월'!$D:$D,$C12,'RAW_유기농_9월'!$A:$A,$E12),SUMIFS('RAW_유기농_10월'!$G:$G,'RAW_유기농_10월'!$D:$D,$C12,'RAW_유기농_10월'!$A:$A,$E12),SUMIFS('RAW_유기농_11-12월'!$G:$G,'RAW_유기농_11-12월'!$D:$D,$C12,'RAW_유기농_11-12월'!$A:$A,$E12))))</f>
        <v>9430500</v>
      </c>
      <c r="H12" s="7">
        <f>IF($C12="","",IF('설정'!$B$4=0,"",CHOOSE('설정'!$B$4,SUMIFS('RAW_유기농_7월'!$H:$H,'RAW_유기농_7월'!$D:$D,$C12,'RAW_유기농_7월'!$A:$A,$E12),SUMIFS('RAW_유기농_8월'!$H:$H,'RAW_유기농_8월'!$D:$D,$C12,'RAW_유기농_8월'!$A:$A,$E12),SUMIFS('RAW_유기농_9월'!$H:$H,'RAW_유기농_9월'!$D:$D,$C12,'RAW_유기농_9월'!$A:$A,$E12),SUMIFS('RAW_유기농_10월'!$H:$H,'RAW_유기농_10월'!$D:$D,$C12,'RAW_유기농_10월'!$A:$A,$E12),SUMIFS('RAW_유기농_11-12월'!$H:$H,'RAW_유기농_11-12월'!$D:$D,$C12,'RAW_유기농_11-12월'!$A:$A,$E12))))</f>
        <v>1015420</v>
      </c>
      <c r="I12" s="17" t="str">
        <f>IF($C12="","",IF(COUNTIFS('RAW_유기농_7월'!$D:$D,$C12,'RAW_유기농_7월'!$A:$A,$E12)&gt;0,"O",""))</f>
        <v>O</v>
      </c>
      <c r="J12" s="17" t="str">
        <f>IF($C12="","",IF(COUNTIFS('RAW_유기농_8월'!$D:$D,$C12,'RAW_유기농_8월'!$A:$A,$E12)&gt;0,"O",""))</f>
        <v>O</v>
      </c>
      <c r="K12" s="17" t="str">
        <f>IF($C12="","",IF(COUNTIFS('RAW_유기농_9월'!$D:$D,$C12,'RAW_유기농_9월'!$A:$A,$E12)&gt;0,"O",""))</f>
        <v/>
      </c>
      <c r="L12" s="17" t="str">
        <f>IF($C12="","",IF(COUNTIFS('RAW_유기농_10월'!$D:$D,$C12,'RAW_유기농_10월'!$A:$A,$E12)&gt;0,"O",""))</f>
        <v/>
      </c>
      <c r="M12" s="17" t="str">
        <f>IF($C12="","",IF(COUNTIFS('RAW_유기농_11-12월'!$D:$D,$C12,'RAW_유기농_11-12월'!$A:$A,$E12)&gt;0,"O",""))</f>
        <v/>
      </c>
      <c r="N12" s="7">
        <f>IF($C12="","",IF(COUNTA('RAW_유기농_7월'!$A:$A)&lt;=1,"",SUMIFS('RAW_유기농_7월'!$H:$H,'RAW_유기농_7월'!$D:$D,$C12,'RAW_유기농_7월'!$A:$A,$E12)))</f>
        <v>469620</v>
      </c>
      <c r="O12" s="7">
        <f>IF($C12="","",IF(COUNTA('RAW_유기농_8월'!$A:$A)&lt;=1,"",SUMIFS('RAW_유기농_8월'!$H:$H,'RAW_유기농_8월'!$D:$D,$C12,'RAW_유기농_8월'!$A:$A,$E12)-SUMIFS('RAW_유기농_7월'!$H:$H,'RAW_유기농_7월'!$D:$D,$C12,'RAW_유기농_7월'!$A:$A,$E12)))</f>
        <v>545800</v>
      </c>
      <c r="P12" s="7" t="str">
        <f>IF($C12="","",IF(COUNTA('RAW_유기농_9월'!$A:$A)&lt;=1,"",SUMIFS('RAW_유기농_9월'!$H:$H,'RAW_유기농_9월'!$D:$D,$C12,'RAW_유기농_9월'!$A:$A,$E12)-SUMIFS('RAW_유기농_8월'!$H:$H,'RAW_유기농_8월'!$D:$D,$C12,'RAW_유기농_8월'!$A:$A,$E12)))</f>
        <v/>
      </c>
      <c r="Q12" s="7" t="str">
        <f>IF($C12="","",IF(COUNTA('RAW_유기농_10월'!$A:$A)&lt;=1,"",SUMIFS('RAW_유기농_10월'!$H:$H,'RAW_유기농_10월'!$D:$D,$C12,'RAW_유기농_10월'!$A:$A,$E12)-SUMIFS('RAW_유기농_9월'!$H:$H,'RAW_유기농_9월'!$D:$D,$C12,'RAW_유기농_9월'!$A:$A,$E12)))</f>
        <v/>
      </c>
      <c r="R12" s="7" t="str">
        <f>IF($C12="","",IF(COUNTA('RAW_유기농_11-12월'!$A:$A)&lt;=1,"",SUMIFS('RAW_유기농_11-12월'!$H:$H,'RAW_유기농_11-12월'!$D:$D,$C12,'RAW_유기농_11-12월'!$A:$A,$E12)-SUMIFS('RAW_유기농_10월'!$H:$H,'RAW_유기농_10월'!$D:$D,$C12,'RAW_유기농_10월'!$A:$A,$E12)))</f>
        <v/>
      </c>
      <c r="S12" s="17" t="str">
        <f t="shared" si="4"/>
        <v>O</v>
      </c>
      <c r="T12" s="17" t="str">
        <f t="shared" si="5"/>
        <v>200만원 미만</v>
      </c>
      <c r="U12" s="7">
        <f>IF($C12="",0,IF('설정'!$B$4=0,0,CHOOSE('설정'!$B$4,COUNTIFS('RAW_유기농_7월'!$D:$D,$C12,'RAW_유기농_7월'!$A:$A,$E12),COUNTIFS('RAW_유기농_8월'!$D:$D,$C12,'RAW_유기농_8월'!$A:$A,$E12),COUNTIFS('RAW_유기농_9월'!$D:$D,$C12,'RAW_유기농_9월'!$A:$A,$E12),COUNTIFS('RAW_유기농_10월'!$D:$D,$C12,'RAW_유기농_10월'!$A:$A,$E12),COUNTIFS('RAW_유기농_11-12월'!$D:$D,$C12,'RAW_유기농_11-12월'!$A:$A,$E12))))</f>
        <v>6</v>
      </c>
    </row>
    <row r="13">
      <c r="A13" s="5">
        <v>11.0</v>
      </c>
      <c r="B13" s="5" t="s">
        <v>25</v>
      </c>
      <c r="C13" s="5" t="s">
        <v>224</v>
      </c>
      <c r="D13" s="6" t="s">
        <v>225</v>
      </c>
      <c r="E13" s="5" t="s">
        <v>31</v>
      </c>
      <c r="F13" s="7">
        <f>IF($C13="","",IF('설정'!$B$4=0,"",CHOOSE('설정'!$B$4,SUMIFS('RAW_유기농_7월'!$F:$F,'RAW_유기농_7월'!$D:$D,$C13,'RAW_유기농_7월'!$A:$A,$E13),SUMIFS('RAW_유기농_8월'!$F:$F,'RAW_유기농_8월'!$D:$D,$C13,'RAW_유기농_8월'!$A:$A,$E13),SUMIFS('RAW_유기농_9월'!$F:$F,'RAW_유기농_9월'!$D:$D,$C13,'RAW_유기농_9월'!$A:$A,$E13),SUMIFS('RAW_유기농_10월'!$F:$F,'RAW_유기농_10월'!$D:$D,$C13,'RAW_유기농_10월'!$A:$A,$E13),SUMIFS('RAW_유기농_11-12월'!$F:$F,'RAW_유기농_11-12월'!$D:$D,$C13,'RAW_유기농_11-12월'!$A:$A,$E13))))</f>
        <v>0</v>
      </c>
      <c r="G13" s="7">
        <f>IF($C13="","",IF('설정'!$B$4=0,"",CHOOSE('설정'!$B$4,SUMIFS('RAW_유기농_7월'!$G:$G,'RAW_유기농_7월'!$D:$D,$C13,'RAW_유기농_7월'!$A:$A,$E13),SUMIFS('RAW_유기농_8월'!$G:$G,'RAW_유기농_8월'!$D:$D,$C13,'RAW_유기농_8월'!$A:$A,$E13),SUMIFS('RAW_유기농_9월'!$G:$G,'RAW_유기농_9월'!$D:$D,$C13,'RAW_유기농_9월'!$A:$A,$E13),SUMIFS('RAW_유기농_10월'!$G:$G,'RAW_유기농_10월'!$D:$D,$C13,'RAW_유기농_10월'!$A:$A,$E13),SUMIFS('RAW_유기농_11-12월'!$G:$G,'RAW_유기농_11-12월'!$D:$D,$C13,'RAW_유기농_11-12월'!$A:$A,$E13))))</f>
        <v>0</v>
      </c>
      <c r="H13" s="7">
        <f>IF($C13="","",IF('설정'!$B$4=0,"",CHOOSE('설정'!$B$4,SUMIFS('RAW_유기농_7월'!$H:$H,'RAW_유기농_7월'!$D:$D,$C13,'RAW_유기농_7월'!$A:$A,$E13),SUMIFS('RAW_유기농_8월'!$H:$H,'RAW_유기농_8월'!$D:$D,$C13,'RAW_유기농_8월'!$A:$A,$E13),SUMIFS('RAW_유기농_9월'!$H:$H,'RAW_유기농_9월'!$D:$D,$C13,'RAW_유기농_9월'!$A:$A,$E13),SUMIFS('RAW_유기농_10월'!$H:$H,'RAW_유기농_10월'!$D:$D,$C13,'RAW_유기농_10월'!$A:$A,$E13),SUMIFS('RAW_유기농_11-12월'!$H:$H,'RAW_유기농_11-12월'!$D:$D,$C13,'RAW_유기농_11-12월'!$A:$A,$E13))))</f>
        <v>0</v>
      </c>
      <c r="I13" s="17" t="str">
        <f>IF($C13="","",IF(COUNTIFS('RAW_유기농_7월'!$D:$D,$C13,'RAW_유기농_7월'!$A:$A,$E13)&gt;0,"O",""))</f>
        <v/>
      </c>
      <c r="J13" s="17" t="str">
        <f>IF($C13="","",IF(COUNTIFS('RAW_유기농_8월'!$D:$D,$C13,'RAW_유기농_8월'!$A:$A,$E13)&gt;0,"O",""))</f>
        <v/>
      </c>
      <c r="K13" s="17" t="str">
        <f>IF($C13="","",IF(COUNTIFS('RAW_유기농_9월'!$D:$D,$C13,'RAW_유기농_9월'!$A:$A,$E13)&gt;0,"O",""))</f>
        <v/>
      </c>
      <c r="L13" s="17" t="str">
        <f>IF($C13="","",IF(COUNTIFS('RAW_유기농_10월'!$D:$D,$C13,'RAW_유기농_10월'!$A:$A,$E13)&gt;0,"O",""))</f>
        <v/>
      </c>
      <c r="M13" s="17" t="str">
        <f>IF($C13="","",IF(COUNTIFS('RAW_유기농_11-12월'!$D:$D,$C13,'RAW_유기농_11-12월'!$A:$A,$E13)&gt;0,"O",""))</f>
        <v/>
      </c>
      <c r="N13" s="7">
        <f>IF($C13="","",IF(COUNTA('RAW_유기농_7월'!$A:$A)&lt;=1,"",SUMIFS('RAW_유기농_7월'!$H:$H,'RAW_유기농_7월'!$D:$D,$C13,'RAW_유기농_7월'!$A:$A,$E13)))</f>
        <v>0</v>
      </c>
      <c r="O13" s="7">
        <f>IF($C13="","",IF(COUNTA('RAW_유기농_8월'!$A:$A)&lt;=1,"",SUMIFS('RAW_유기농_8월'!$H:$H,'RAW_유기농_8월'!$D:$D,$C13,'RAW_유기농_8월'!$A:$A,$E13)-SUMIFS('RAW_유기농_7월'!$H:$H,'RAW_유기농_7월'!$D:$D,$C13,'RAW_유기농_7월'!$A:$A,$E13)))</f>
        <v>0</v>
      </c>
      <c r="P13" s="7" t="str">
        <f>IF($C13="","",IF(COUNTA('RAW_유기농_9월'!$A:$A)&lt;=1,"",SUMIFS('RAW_유기농_9월'!$H:$H,'RAW_유기농_9월'!$D:$D,$C13,'RAW_유기농_9월'!$A:$A,$E13)-SUMIFS('RAW_유기농_8월'!$H:$H,'RAW_유기농_8월'!$D:$D,$C13,'RAW_유기농_8월'!$A:$A,$E13)))</f>
        <v/>
      </c>
      <c r="Q13" s="7" t="str">
        <f>IF($C13="","",IF(COUNTA('RAW_유기농_10월'!$A:$A)&lt;=1,"",SUMIFS('RAW_유기농_10월'!$H:$H,'RAW_유기농_10월'!$D:$D,$C13,'RAW_유기농_10월'!$A:$A,$E13)-SUMIFS('RAW_유기농_9월'!$H:$H,'RAW_유기농_9월'!$D:$D,$C13,'RAW_유기농_9월'!$A:$A,$E13)))</f>
        <v/>
      </c>
      <c r="R13" s="7" t="str">
        <f>IF($C13="","",IF(COUNTA('RAW_유기농_11-12월'!$A:$A)&lt;=1,"",SUMIFS('RAW_유기농_11-12월'!$H:$H,'RAW_유기농_11-12월'!$D:$D,$C13,'RAW_유기농_11-12월'!$A:$A,$E13)-SUMIFS('RAW_유기농_10월'!$H:$H,'RAW_유기농_10월'!$D:$D,$C13,'RAW_유기농_10월'!$A:$A,$E13)))</f>
        <v/>
      </c>
      <c r="S13" s="17" t="str">
        <f t="shared" si="4"/>
        <v/>
      </c>
      <c r="T13" s="17" t="str">
        <f t="shared" si="5"/>
        <v>미사용</v>
      </c>
      <c r="U13" s="7">
        <f>IF($C13="",0,IF('설정'!$B$4=0,0,CHOOSE('설정'!$B$4,COUNTIFS('RAW_유기농_7월'!$D:$D,$C13,'RAW_유기농_7월'!$A:$A,$E13),COUNTIFS('RAW_유기농_8월'!$D:$D,$C13,'RAW_유기농_8월'!$A:$A,$E13),COUNTIFS('RAW_유기농_9월'!$D:$D,$C13,'RAW_유기농_9월'!$A:$A,$E13),COUNTIFS('RAW_유기농_10월'!$D:$D,$C13,'RAW_유기농_10월'!$A:$A,$E13),COUNTIFS('RAW_유기농_11-12월'!$D:$D,$C13,'RAW_유기농_11-12월'!$A:$A,$E13))))</f>
        <v>0</v>
      </c>
    </row>
    <row r="14">
      <c r="A14" s="5">
        <v>12.0</v>
      </c>
      <c r="B14" s="5" t="s">
        <v>25</v>
      </c>
      <c r="C14" s="5" t="s">
        <v>228</v>
      </c>
      <c r="D14" s="6" t="s">
        <v>229</v>
      </c>
      <c r="E14" s="5" t="s">
        <v>31</v>
      </c>
      <c r="F14" s="7">
        <f>IF($C14="","",IF('설정'!$B$4=0,"",CHOOSE('설정'!$B$4,SUMIFS('RAW_유기농_7월'!$F:$F,'RAW_유기농_7월'!$D:$D,$C14,'RAW_유기농_7월'!$A:$A,$E14),SUMIFS('RAW_유기농_8월'!$F:$F,'RAW_유기농_8월'!$D:$D,$C14,'RAW_유기농_8월'!$A:$A,$E14),SUMIFS('RAW_유기농_9월'!$F:$F,'RAW_유기농_9월'!$D:$D,$C14,'RAW_유기농_9월'!$A:$A,$E14),SUMIFS('RAW_유기농_10월'!$F:$F,'RAW_유기농_10월'!$D:$D,$C14,'RAW_유기농_10월'!$A:$A,$E14),SUMIFS('RAW_유기농_11-12월'!$F:$F,'RAW_유기농_11-12월'!$D:$D,$C14,'RAW_유기농_11-12월'!$A:$A,$E14))))</f>
        <v>0</v>
      </c>
      <c r="G14" s="7">
        <f>IF($C14="","",IF('설정'!$B$4=0,"",CHOOSE('설정'!$B$4,SUMIFS('RAW_유기농_7월'!$G:$G,'RAW_유기농_7월'!$D:$D,$C14,'RAW_유기농_7월'!$A:$A,$E14),SUMIFS('RAW_유기농_8월'!$G:$G,'RAW_유기농_8월'!$D:$D,$C14,'RAW_유기농_8월'!$A:$A,$E14),SUMIFS('RAW_유기농_9월'!$G:$G,'RAW_유기농_9월'!$D:$D,$C14,'RAW_유기농_9월'!$A:$A,$E14),SUMIFS('RAW_유기농_10월'!$G:$G,'RAW_유기농_10월'!$D:$D,$C14,'RAW_유기농_10월'!$A:$A,$E14),SUMIFS('RAW_유기농_11-12월'!$G:$G,'RAW_유기농_11-12월'!$D:$D,$C14,'RAW_유기농_11-12월'!$A:$A,$E14))))</f>
        <v>0</v>
      </c>
      <c r="H14" s="7">
        <f>IF($C14="","",IF('설정'!$B$4=0,"",CHOOSE('설정'!$B$4,SUMIFS('RAW_유기농_7월'!$H:$H,'RAW_유기농_7월'!$D:$D,$C14,'RAW_유기농_7월'!$A:$A,$E14),SUMIFS('RAW_유기농_8월'!$H:$H,'RAW_유기농_8월'!$D:$D,$C14,'RAW_유기농_8월'!$A:$A,$E14),SUMIFS('RAW_유기농_9월'!$H:$H,'RAW_유기농_9월'!$D:$D,$C14,'RAW_유기농_9월'!$A:$A,$E14),SUMIFS('RAW_유기농_10월'!$H:$H,'RAW_유기농_10월'!$D:$D,$C14,'RAW_유기농_10월'!$A:$A,$E14),SUMIFS('RAW_유기농_11-12월'!$H:$H,'RAW_유기농_11-12월'!$D:$D,$C14,'RAW_유기농_11-12월'!$A:$A,$E14))))</f>
        <v>0</v>
      </c>
      <c r="I14" s="17" t="str">
        <f>IF($C14="","",IF(COUNTIFS('RAW_유기농_7월'!$D:$D,$C14,'RAW_유기농_7월'!$A:$A,$E14)&gt;0,"O",""))</f>
        <v/>
      </c>
      <c r="J14" s="17" t="str">
        <f>IF($C14="","",IF(COUNTIFS('RAW_유기농_8월'!$D:$D,$C14,'RAW_유기농_8월'!$A:$A,$E14)&gt;0,"O",""))</f>
        <v/>
      </c>
      <c r="K14" s="17" t="str">
        <f>IF($C14="","",IF(COUNTIFS('RAW_유기농_9월'!$D:$D,$C14,'RAW_유기농_9월'!$A:$A,$E14)&gt;0,"O",""))</f>
        <v/>
      </c>
      <c r="L14" s="17" t="str">
        <f>IF($C14="","",IF(COUNTIFS('RAW_유기농_10월'!$D:$D,$C14,'RAW_유기농_10월'!$A:$A,$E14)&gt;0,"O",""))</f>
        <v/>
      </c>
      <c r="M14" s="17" t="str">
        <f>IF($C14="","",IF(COUNTIFS('RAW_유기농_11-12월'!$D:$D,$C14,'RAW_유기농_11-12월'!$A:$A,$E14)&gt;0,"O",""))</f>
        <v/>
      </c>
      <c r="N14" s="7">
        <f>IF($C14="","",IF(COUNTA('RAW_유기농_7월'!$A:$A)&lt;=1,"",SUMIFS('RAW_유기농_7월'!$H:$H,'RAW_유기농_7월'!$D:$D,$C14,'RAW_유기농_7월'!$A:$A,$E14)))</f>
        <v>0</v>
      </c>
      <c r="O14" s="7">
        <f>IF($C14="","",IF(COUNTA('RAW_유기농_8월'!$A:$A)&lt;=1,"",SUMIFS('RAW_유기농_8월'!$H:$H,'RAW_유기농_8월'!$D:$D,$C14,'RAW_유기농_8월'!$A:$A,$E14)-SUMIFS('RAW_유기농_7월'!$H:$H,'RAW_유기농_7월'!$D:$D,$C14,'RAW_유기농_7월'!$A:$A,$E14)))</f>
        <v>0</v>
      </c>
      <c r="P14" s="7" t="str">
        <f>IF($C14="","",IF(COUNTA('RAW_유기농_9월'!$A:$A)&lt;=1,"",SUMIFS('RAW_유기농_9월'!$H:$H,'RAW_유기농_9월'!$D:$D,$C14,'RAW_유기농_9월'!$A:$A,$E14)-SUMIFS('RAW_유기농_8월'!$H:$H,'RAW_유기농_8월'!$D:$D,$C14,'RAW_유기농_8월'!$A:$A,$E14)))</f>
        <v/>
      </c>
      <c r="Q14" s="7" t="str">
        <f>IF($C14="","",IF(COUNTA('RAW_유기농_10월'!$A:$A)&lt;=1,"",SUMIFS('RAW_유기농_10월'!$H:$H,'RAW_유기농_10월'!$D:$D,$C14,'RAW_유기농_10월'!$A:$A,$E14)-SUMIFS('RAW_유기농_9월'!$H:$H,'RAW_유기농_9월'!$D:$D,$C14,'RAW_유기농_9월'!$A:$A,$E14)))</f>
        <v/>
      </c>
      <c r="R14" s="7" t="str">
        <f>IF($C14="","",IF(COUNTA('RAW_유기농_11-12월'!$A:$A)&lt;=1,"",SUMIFS('RAW_유기농_11-12월'!$H:$H,'RAW_유기농_11-12월'!$D:$D,$C14,'RAW_유기농_11-12월'!$A:$A,$E14)-SUMIFS('RAW_유기농_10월'!$H:$H,'RAW_유기농_10월'!$D:$D,$C14,'RAW_유기농_10월'!$A:$A,$E14)))</f>
        <v/>
      </c>
      <c r="S14" s="17" t="str">
        <f t="shared" si="4"/>
        <v/>
      </c>
      <c r="T14" s="17" t="str">
        <f t="shared" si="5"/>
        <v>미사용</v>
      </c>
      <c r="U14" s="7">
        <f>IF($C14="",0,IF('설정'!$B$4=0,0,CHOOSE('설정'!$B$4,COUNTIFS('RAW_유기농_7월'!$D:$D,$C14,'RAW_유기농_7월'!$A:$A,$E14),COUNTIFS('RAW_유기농_8월'!$D:$D,$C14,'RAW_유기농_8월'!$A:$A,$E14),COUNTIFS('RAW_유기농_9월'!$D:$D,$C14,'RAW_유기농_9월'!$A:$A,$E14),COUNTIFS('RAW_유기농_10월'!$D:$D,$C14,'RAW_유기농_10월'!$A:$A,$E14),COUNTIFS('RAW_유기농_11-12월'!$D:$D,$C14,'RAW_유기농_11-12월'!$A:$A,$E14))))</f>
        <v>0</v>
      </c>
    </row>
    <row r="15">
      <c r="A15" s="5">
        <v>13.0</v>
      </c>
      <c r="B15" s="5" t="s">
        <v>25</v>
      </c>
      <c r="C15" s="5" t="s">
        <v>232</v>
      </c>
      <c r="D15" s="6" t="s">
        <v>233</v>
      </c>
      <c r="E15" s="5" t="s">
        <v>31</v>
      </c>
      <c r="F15" s="7">
        <f>IF($C15="","",IF('설정'!$B$4=0,"",CHOOSE('설정'!$B$4,SUMIFS('RAW_유기농_7월'!$F:$F,'RAW_유기농_7월'!$D:$D,$C15,'RAW_유기농_7월'!$A:$A,$E15),SUMIFS('RAW_유기농_8월'!$F:$F,'RAW_유기농_8월'!$D:$D,$C15,'RAW_유기농_8월'!$A:$A,$E15),SUMIFS('RAW_유기농_9월'!$F:$F,'RAW_유기농_9월'!$D:$D,$C15,'RAW_유기농_9월'!$A:$A,$E15),SUMIFS('RAW_유기농_10월'!$F:$F,'RAW_유기농_10월'!$D:$D,$C15,'RAW_유기농_10월'!$A:$A,$E15),SUMIFS('RAW_유기농_11-12월'!$F:$F,'RAW_유기농_11-12월'!$D:$D,$C15,'RAW_유기농_11-12월'!$A:$A,$E15))))</f>
        <v>0</v>
      </c>
      <c r="G15" s="7">
        <f>IF($C15="","",IF('설정'!$B$4=0,"",CHOOSE('설정'!$B$4,SUMIFS('RAW_유기농_7월'!$G:$G,'RAW_유기농_7월'!$D:$D,$C15,'RAW_유기농_7월'!$A:$A,$E15),SUMIFS('RAW_유기농_8월'!$G:$G,'RAW_유기농_8월'!$D:$D,$C15,'RAW_유기농_8월'!$A:$A,$E15),SUMIFS('RAW_유기농_9월'!$G:$G,'RAW_유기농_9월'!$D:$D,$C15,'RAW_유기농_9월'!$A:$A,$E15),SUMIFS('RAW_유기농_10월'!$G:$G,'RAW_유기농_10월'!$D:$D,$C15,'RAW_유기농_10월'!$A:$A,$E15),SUMIFS('RAW_유기농_11-12월'!$G:$G,'RAW_유기농_11-12월'!$D:$D,$C15,'RAW_유기농_11-12월'!$A:$A,$E15))))</f>
        <v>0</v>
      </c>
      <c r="H15" s="7">
        <f>IF($C15="","",IF('설정'!$B$4=0,"",CHOOSE('설정'!$B$4,SUMIFS('RAW_유기농_7월'!$H:$H,'RAW_유기농_7월'!$D:$D,$C15,'RAW_유기농_7월'!$A:$A,$E15),SUMIFS('RAW_유기농_8월'!$H:$H,'RAW_유기농_8월'!$D:$D,$C15,'RAW_유기농_8월'!$A:$A,$E15),SUMIFS('RAW_유기농_9월'!$H:$H,'RAW_유기농_9월'!$D:$D,$C15,'RAW_유기농_9월'!$A:$A,$E15),SUMIFS('RAW_유기농_10월'!$H:$H,'RAW_유기농_10월'!$D:$D,$C15,'RAW_유기농_10월'!$A:$A,$E15),SUMIFS('RAW_유기농_11-12월'!$H:$H,'RAW_유기농_11-12월'!$D:$D,$C15,'RAW_유기농_11-12월'!$A:$A,$E15))))</f>
        <v>0</v>
      </c>
      <c r="I15" s="17" t="str">
        <f>IF($C15="","",IF(COUNTIFS('RAW_유기농_7월'!$D:$D,$C15,'RAW_유기농_7월'!$A:$A,$E15)&gt;0,"O",""))</f>
        <v/>
      </c>
      <c r="J15" s="17" t="str">
        <f>IF($C15="","",IF(COUNTIFS('RAW_유기농_8월'!$D:$D,$C15,'RAW_유기농_8월'!$A:$A,$E15)&gt;0,"O",""))</f>
        <v/>
      </c>
      <c r="K15" s="17" t="str">
        <f>IF($C15="","",IF(COUNTIFS('RAW_유기농_9월'!$D:$D,$C15,'RAW_유기농_9월'!$A:$A,$E15)&gt;0,"O",""))</f>
        <v/>
      </c>
      <c r="L15" s="17" t="str">
        <f>IF($C15="","",IF(COUNTIFS('RAW_유기농_10월'!$D:$D,$C15,'RAW_유기농_10월'!$A:$A,$E15)&gt;0,"O",""))</f>
        <v/>
      </c>
      <c r="M15" s="17" t="str">
        <f>IF($C15="","",IF(COUNTIFS('RAW_유기농_11-12월'!$D:$D,$C15,'RAW_유기농_11-12월'!$A:$A,$E15)&gt;0,"O",""))</f>
        <v/>
      </c>
      <c r="N15" s="7">
        <f>IF($C15="","",IF(COUNTA('RAW_유기농_7월'!$A:$A)&lt;=1,"",SUMIFS('RAW_유기농_7월'!$H:$H,'RAW_유기농_7월'!$D:$D,$C15,'RAW_유기농_7월'!$A:$A,$E15)))</f>
        <v>0</v>
      </c>
      <c r="O15" s="7">
        <f>IF($C15="","",IF(COUNTA('RAW_유기농_8월'!$A:$A)&lt;=1,"",SUMIFS('RAW_유기농_8월'!$H:$H,'RAW_유기농_8월'!$D:$D,$C15,'RAW_유기농_8월'!$A:$A,$E15)-SUMIFS('RAW_유기농_7월'!$H:$H,'RAW_유기농_7월'!$D:$D,$C15,'RAW_유기농_7월'!$A:$A,$E15)))</f>
        <v>0</v>
      </c>
      <c r="P15" s="7" t="str">
        <f>IF($C15="","",IF(COUNTA('RAW_유기농_9월'!$A:$A)&lt;=1,"",SUMIFS('RAW_유기농_9월'!$H:$H,'RAW_유기농_9월'!$D:$D,$C15,'RAW_유기농_9월'!$A:$A,$E15)-SUMIFS('RAW_유기농_8월'!$H:$H,'RAW_유기농_8월'!$D:$D,$C15,'RAW_유기농_8월'!$A:$A,$E15)))</f>
        <v/>
      </c>
      <c r="Q15" s="7" t="str">
        <f>IF($C15="","",IF(COUNTA('RAW_유기농_10월'!$A:$A)&lt;=1,"",SUMIFS('RAW_유기농_10월'!$H:$H,'RAW_유기농_10월'!$D:$D,$C15,'RAW_유기농_10월'!$A:$A,$E15)-SUMIFS('RAW_유기농_9월'!$H:$H,'RAW_유기농_9월'!$D:$D,$C15,'RAW_유기농_9월'!$A:$A,$E15)))</f>
        <v/>
      </c>
      <c r="R15" s="7" t="str">
        <f>IF($C15="","",IF(COUNTA('RAW_유기농_11-12월'!$A:$A)&lt;=1,"",SUMIFS('RAW_유기농_11-12월'!$H:$H,'RAW_유기농_11-12월'!$D:$D,$C15,'RAW_유기농_11-12월'!$A:$A,$E15)-SUMIFS('RAW_유기농_10월'!$H:$H,'RAW_유기농_10월'!$D:$D,$C15,'RAW_유기농_10월'!$A:$A,$E15)))</f>
        <v/>
      </c>
      <c r="S15" s="17" t="str">
        <f t="shared" si="4"/>
        <v/>
      </c>
      <c r="T15" s="17" t="str">
        <f t="shared" si="5"/>
        <v>미사용</v>
      </c>
      <c r="U15" s="7">
        <f>IF($C15="",0,IF('설정'!$B$4=0,0,CHOOSE('설정'!$B$4,COUNTIFS('RAW_유기농_7월'!$D:$D,$C15,'RAW_유기농_7월'!$A:$A,$E15),COUNTIFS('RAW_유기농_8월'!$D:$D,$C15,'RAW_유기농_8월'!$A:$A,$E15),COUNTIFS('RAW_유기농_9월'!$D:$D,$C15,'RAW_유기농_9월'!$A:$A,$E15),COUNTIFS('RAW_유기농_10월'!$D:$D,$C15,'RAW_유기농_10월'!$A:$A,$E15),COUNTIFS('RAW_유기농_11-12월'!$D:$D,$C15,'RAW_유기농_11-12월'!$A:$A,$E15))))</f>
        <v>0</v>
      </c>
    </row>
    <row r="16">
      <c r="A16" s="5">
        <v>14.0</v>
      </c>
      <c r="B16" s="5" t="s">
        <v>25</v>
      </c>
      <c r="C16" s="5" t="s">
        <v>244</v>
      </c>
      <c r="D16" s="6" t="s">
        <v>245</v>
      </c>
      <c r="E16" s="5" t="s">
        <v>31</v>
      </c>
      <c r="F16" s="7">
        <f>IF($C16="","",IF('설정'!$B$4=0,"",CHOOSE('설정'!$B$4,SUMIFS('RAW_유기농_7월'!$F:$F,'RAW_유기농_7월'!$D:$D,$C16,'RAW_유기농_7월'!$A:$A,$E16),SUMIFS('RAW_유기농_8월'!$F:$F,'RAW_유기농_8월'!$D:$D,$C16,'RAW_유기농_8월'!$A:$A,$E16),SUMIFS('RAW_유기농_9월'!$F:$F,'RAW_유기농_9월'!$D:$D,$C16,'RAW_유기농_9월'!$A:$A,$E16),SUMIFS('RAW_유기농_10월'!$F:$F,'RAW_유기농_10월'!$D:$D,$C16,'RAW_유기농_10월'!$A:$A,$E16),SUMIFS('RAW_유기농_11-12월'!$F:$F,'RAW_유기농_11-12월'!$D:$D,$C16,'RAW_유기농_11-12월'!$A:$A,$E16))))</f>
        <v>21696</v>
      </c>
      <c r="G16" s="7">
        <f>IF($C16="","",IF('설정'!$B$4=0,"",CHOOSE('설정'!$B$4,SUMIFS('RAW_유기농_7월'!$G:$G,'RAW_유기농_7월'!$D:$D,$C16,'RAW_유기농_7월'!$A:$A,$E16),SUMIFS('RAW_유기농_8월'!$G:$G,'RAW_유기농_8월'!$D:$D,$C16,'RAW_유기농_8월'!$A:$A,$E16),SUMIFS('RAW_유기농_9월'!$G:$G,'RAW_유기농_9월'!$D:$D,$C16,'RAW_유기농_9월'!$A:$A,$E16),SUMIFS('RAW_유기농_10월'!$G:$G,'RAW_유기농_10월'!$D:$D,$C16,'RAW_유기농_10월'!$A:$A,$E16),SUMIFS('RAW_유기농_11-12월'!$G:$G,'RAW_유기농_11-12월'!$D:$D,$C16,'RAW_유기농_11-12월'!$A:$A,$E16))))</f>
        <v>45354130</v>
      </c>
      <c r="H16" s="7">
        <f>IF($C16="","",IF('설정'!$B$4=0,"",CHOOSE('설정'!$B$4,SUMIFS('RAW_유기농_7월'!$H:$H,'RAW_유기농_7월'!$D:$D,$C16,'RAW_유기농_7월'!$A:$A,$E16),SUMIFS('RAW_유기농_8월'!$H:$H,'RAW_유기농_8월'!$D:$D,$C16,'RAW_유기농_8월'!$A:$A,$E16),SUMIFS('RAW_유기농_9월'!$H:$H,'RAW_유기농_9월'!$D:$D,$C16,'RAW_유기농_9월'!$A:$A,$E16),SUMIFS('RAW_유기농_10월'!$H:$H,'RAW_유기농_10월'!$D:$D,$C16,'RAW_유기농_10월'!$A:$A,$E16),SUMIFS('RAW_유기농_11-12월'!$H:$H,'RAW_유기농_11-12월'!$D:$D,$C16,'RAW_유기농_11-12월'!$A:$A,$E16))))</f>
        <v>2157497</v>
      </c>
      <c r="I16" s="17" t="str">
        <f>IF($C16="","",IF(COUNTIFS('RAW_유기농_7월'!$D:$D,$C16,'RAW_유기농_7월'!$A:$A,$E16)&gt;0,"O",""))</f>
        <v>O</v>
      </c>
      <c r="J16" s="17" t="str">
        <f>IF($C16="","",IF(COUNTIFS('RAW_유기농_8월'!$D:$D,$C16,'RAW_유기농_8월'!$A:$A,$E16)&gt;0,"O",""))</f>
        <v>O</v>
      </c>
      <c r="K16" s="17" t="str">
        <f>IF($C16="","",IF(COUNTIFS('RAW_유기농_9월'!$D:$D,$C16,'RAW_유기농_9월'!$A:$A,$E16)&gt;0,"O",""))</f>
        <v/>
      </c>
      <c r="L16" s="17" t="str">
        <f>IF($C16="","",IF(COUNTIFS('RAW_유기농_10월'!$D:$D,$C16,'RAW_유기농_10월'!$A:$A,$E16)&gt;0,"O",""))</f>
        <v/>
      </c>
      <c r="M16" s="17" t="str">
        <f>IF($C16="","",IF(COUNTIFS('RAW_유기농_11-12월'!$D:$D,$C16,'RAW_유기농_11-12월'!$A:$A,$E16)&gt;0,"O",""))</f>
        <v/>
      </c>
      <c r="N16" s="7">
        <f>IF($C16="","",IF(COUNTA('RAW_유기농_7월'!$A:$A)&lt;=1,"",SUMIFS('RAW_유기농_7월'!$H:$H,'RAW_유기농_7월'!$D:$D,$C16,'RAW_유기농_7월'!$A:$A,$E16)))</f>
        <v>1078686</v>
      </c>
      <c r="O16" s="7">
        <f>IF($C16="","",IF(COUNTA('RAW_유기농_8월'!$A:$A)&lt;=1,"",SUMIFS('RAW_유기농_8월'!$H:$H,'RAW_유기농_8월'!$D:$D,$C16,'RAW_유기농_8월'!$A:$A,$E16)-SUMIFS('RAW_유기농_7월'!$H:$H,'RAW_유기농_7월'!$D:$D,$C16,'RAW_유기농_7월'!$A:$A,$E16)))</f>
        <v>1078811</v>
      </c>
      <c r="P16" s="7" t="str">
        <f>IF($C16="","",IF(COUNTA('RAW_유기농_9월'!$A:$A)&lt;=1,"",SUMIFS('RAW_유기농_9월'!$H:$H,'RAW_유기농_9월'!$D:$D,$C16,'RAW_유기농_9월'!$A:$A,$E16)-SUMIFS('RAW_유기농_8월'!$H:$H,'RAW_유기농_8월'!$D:$D,$C16,'RAW_유기농_8월'!$A:$A,$E16)))</f>
        <v/>
      </c>
      <c r="Q16" s="7" t="str">
        <f>IF($C16="","",IF(COUNTA('RAW_유기농_10월'!$A:$A)&lt;=1,"",SUMIFS('RAW_유기농_10월'!$H:$H,'RAW_유기농_10월'!$D:$D,$C16,'RAW_유기농_10월'!$A:$A,$E16)-SUMIFS('RAW_유기농_9월'!$H:$H,'RAW_유기농_9월'!$D:$D,$C16,'RAW_유기농_9월'!$A:$A,$E16)))</f>
        <v/>
      </c>
      <c r="R16" s="7" t="str">
        <f>IF($C16="","",IF(COUNTA('RAW_유기농_11-12월'!$A:$A)&lt;=1,"",SUMIFS('RAW_유기농_11-12월'!$H:$H,'RAW_유기농_11-12월'!$D:$D,$C16,'RAW_유기농_11-12월'!$A:$A,$E16)-SUMIFS('RAW_유기농_10월'!$H:$H,'RAW_유기농_10월'!$D:$D,$C16,'RAW_유기농_10월'!$A:$A,$E16)))</f>
        <v/>
      </c>
      <c r="S16" s="17" t="str">
        <f t="shared" si="4"/>
        <v>O</v>
      </c>
      <c r="T16" s="17" t="str">
        <f t="shared" si="5"/>
        <v>300만원 미만</v>
      </c>
      <c r="U16" s="7">
        <f>IF($C16="",0,IF('설정'!$B$4=0,0,CHOOSE('설정'!$B$4,COUNTIFS('RAW_유기농_7월'!$D:$D,$C16,'RAW_유기농_7월'!$A:$A,$E16),COUNTIFS('RAW_유기농_8월'!$D:$D,$C16,'RAW_유기농_8월'!$A:$A,$E16),COUNTIFS('RAW_유기농_9월'!$D:$D,$C16,'RAW_유기농_9월'!$A:$A,$E16),COUNTIFS('RAW_유기농_10월'!$D:$D,$C16,'RAW_유기농_10월'!$A:$A,$E16),COUNTIFS('RAW_유기농_11-12월'!$D:$D,$C16,'RAW_유기농_11-12월'!$A:$A,$E16))))</f>
        <v>4</v>
      </c>
    </row>
    <row r="17">
      <c r="A17" s="5">
        <v>15.0</v>
      </c>
      <c r="B17" s="5" t="s">
        <v>25</v>
      </c>
      <c r="C17" s="5" t="s">
        <v>255</v>
      </c>
      <c r="D17" s="6" t="s">
        <v>256</v>
      </c>
      <c r="E17" s="5" t="s">
        <v>92</v>
      </c>
      <c r="F17" s="7">
        <f>IF($C17="","",IF('설정'!$B$4=0,"",CHOOSE('설정'!$B$4,SUMIFS('RAW_유기농_7월'!$F:$F,'RAW_유기농_7월'!$D:$D,$C17,'RAW_유기농_7월'!$A:$A,$E17),SUMIFS('RAW_유기농_8월'!$F:$F,'RAW_유기농_8월'!$D:$D,$C17,'RAW_유기농_8월'!$A:$A,$E17),SUMIFS('RAW_유기농_9월'!$F:$F,'RAW_유기농_9월'!$D:$D,$C17,'RAW_유기농_9월'!$A:$A,$E17),SUMIFS('RAW_유기농_10월'!$F:$F,'RAW_유기농_10월'!$D:$D,$C17,'RAW_유기농_10월'!$A:$A,$E17),SUMIFS('RAW_유기농_11-12월'!$F:$F,'RAW_유기농_11-12월'!$D:$D,$C17,'RAW_유기농_11-12월'!$A:$A,$E17))))</f>
        <v>547</v>
      </c>
      <c r="G17" s="7">
        <f>IF($C17="","",IF('설정'!$B$4=0,"",CHOOSE('설정'!$B$4,SUMIFS('RAW_유기농_7월'!$G:$G,'RAW_유기농_7월'!$D:$D,$C17,'RAW_유기농_7월'!$A:$A,$E17),SUMIFS('RAW_유기농_8월'!$G:$G,'RAW_유기농_8월'!$D:$D,$C17,'RAW_유기농_8월'!$A:$A,$E17),SUMIFS('RAW_유기농_9월'!$G:$G,'RAW_유기농_9월'!$D:$D,$C17,'RAW_유기농_9월'!$A:$A,$E17),SUMIFS('RAW_유기농_10월'!$G:$G,'RAW_유기농_10월'!$D:$D,$C17,'RAW_유기농_10월'!$A:$A,$E17),SUMIFS('RAW_유기농_11-12월'!$G:$G,'RAW_유기농_11-12월'!$D:$D,$C17,'RAW_유기농_11-12월'!$A:$A,$E17))))</f>
        <v>14845800</v>
      </c>
      <c r="H17" s="7">
        <f>IF($C17="","",IF('설정'!$B$4=0,"",CHOOSE('설정'!$B$4,SUMIFS('RAW_유기농_7월'!$H:$H,'RAW_유기농_7월'!$D:$D,$C17,'RAW_유기농_7월'!$A:$A,$E17),SUMIFS('RAW_유기농_8월'!$H:$H,'RAW_유기농_8월'!$D:$D,$C17,'RAW_유기농_8월'!$A:$A,$E17),SUMIFS('RAW_유기농_9월'!$H:$H,'RAW_유기농_9월'!$D:$D,$C17,'RAW_유기농_9월'!$A:$A,$E17),SUMIFS('RAW_유기농_10월'!$H:$H,'RAW_유기농_10월'!$D:$D,$C17,'RAW_유기농_10월'!$A:$A,$E17),SUMIFS('RAW_유기농_11-12월'!$H:$H,'RAW_유기농_11-12월'!$D:$D,$C17,'RAW_유기농_11-12월'!$A:$A,$E17))))</f>
        <v>1669930</v>
      </c>
      <c r="I17" s="17" t="str">
        <f>IF($C17="","",IF(COUNTIFS('RAW_유기농_7월'!$D:$D,$C17,'RAW_유기농_7월'!$A:$A,$E17)&gt;0,"O",""))</f>
        <v>O</v>
      </c>
      <c r="J17" s="17" t="str">
        <f>IF($C17="","",IF(COUNTIFS('RAW_유기농_8월'!$D:$D,$C17,'RAW_유기농_8월'!$A:$A,$E17)&gt;0,"O",""))</f>
        <v>O</v>
      </c>
      <c r="K17" s="17" t="str">
        <f>IF($C17="","",IF(COUNTIFS('RAW_유기농_9월'!$D:$D,$C17,'RAW_유기농_9월'!$A:$A,$E17)&gt;0,"O",""))</f>
        <v/>
      </c>
      <c r="L17" s="17" t="str">
        <f>IF($C17="","",IF(COUNTIFS('RAW_유기농_10월'!$D:$D,$C17,'RAW_유기농_10월'!$A:$A,$E17)&gt;0,"O",""))</f>
        <v/>
      </c>
      <c r="M17" s="17" t="str">
        <f>IF($C17="","",IF(COUNTIFS('RAW_유기농_11-12월'!$D:$D,$C17,'RAW_유기농_11-12월'!$A:$A,$E17)&gt;0,"O",""))</f>
        <v/>
      </c>
      <c r="N17" s="7">
        <f>IF($C17="","",IF(COUNTA('RAW_유기농_7월'!$A:$A)&lt;=1,"",SUMIFS('RAW_유기농_7월'!$H:$H,'RAW_유기농_7월'!$D:$D,$C17,'RAW_유기농_7월'!$A:$A,$E17)))</f>
        <v>880230</v>
      </c>
      <c r="O17" s="7">
        <f>IF($C17="","",IF(COUNTA('RAW_유기농_8월'!$A:$A)&lt;=1,"",SUMIFS('RAW_유기농_8월'!$H:$H,'RAW_유기농_8월'!$D:$D,$C17,'RAW_유기농_8월'!$A:$A,$E17)-SUMIFS('RAW_유기농_7월'!$H:$H,'RAW_유기농_7월'!$D:$D,$C17,'RAW_유기농_7월'!$A:$A,$E17)))</f>
        <v>789700</v>
      </c>
      <c r="P17" s="7" t="str">
        <f>IF($C17="","",IF(COUNTA('RAW_유기농_9월'!$A:$A)&lt;=1,"",SUMIFS('RAW_유기농_9월'!$H:$H,'RAW_유기농_9월'!$D:$D,$C17,'RAW_유기농_9월'!$A:$A,$E17)-SUMIFS('RAW_유기농_8월'!$H:$H,'RAW_유기농_8월'!$D:$D,$C17,'RAW_유기농_8월'!$A:$A,$E17)))</f>
        <v/>
      </c>
      <c r="Q17" s="7" t="str">
        <f>IF($C17="","",IF(COUNTA('RAW_유기농_10월'!$A:$A)&lt;=1,"",SUMIFS('RAW_유기농_10월'!$H:$H,'RAW_유기농_10월'!$D:$D,$C17,'RAW_유기농_10월'!$A:$A,$E17)-SUMIFS('RAW_유기농_9월'!$H:$H,'RAW_유기농_9월'!$D:$D,$C17,'RAW_유기농_9월'!$A:$A,$E17)))</f>
        <v/>
      </c>
      <c r="R17" s="7" t="str">
        <f>IF($C17="","",IF(COUNTA('RAW_유기농_11-12월'!$A:$A)&lt;=1,"",SUMIFS('RAW_유기농_11-12월'!$H:$H,'RAW_유기농_11-12월'!$D:$D,$C17,'RAW_유기농_11-12월'!$A:$A,$E17)-SUMIFS('RAW_유기농_10월'!$H:$H,'RAW_유기농_10월'!$D:$D,$C17,'RAW_유기농_10월'!$A:$A,$E17)))</f>
        <v/>
      </c>
      <c r="S17" s="17" t="str">
        <f t="shared" si="4"/>
        <v>O</v>
      </c>
      <c r="T17" s="17" t="str">
        <f t="shared" si="5"/>
        <v>200만원 미만</v>
      </c>
      <c r="U17" s="7">
        <f>IF($C17="",0,IF('설정'!$B$4=0,0,CHOOSE('설정'!$B$4,COUNTIFS('RAW_유기농_7월'!$D:$D,$C17,'RAW_유기농_7월'!$A:$A,$E17),COUNTIFS('RAW_유기농_8월'!$D:$D,$C17,'RAW_유기농_8월'!$A:$A,$E17),COUNTIFS('RAW_유기농_9월'!$D:$D,$C17,'RAW_유기농_9월'!$A:$A,$E17),COUNTIFS('RAW_유기농_10월'!$D:$D,$C17,'RAW_유기농_10월'!$A:$A,$E17),COUNTIFS('RAW_유기농_11-12월'!$D:$D,$C17,'RAW_유기농_11-12월'!$A:$A,$E17))))</f>
        <v>11</v>
      </c>
    </row>
    <row r="18">
      <c r="A18" s="5">
        <v>16.0</v>
      </c>
      <c r="B18" s="5" t="s">
        <v>108</v>
      </c>
      <c r="C18" s="5" t="s">
        <v>263</v>
      </c>
      <c r="D18" s="6" t="s">
        <v>264</v>
      </c>
      <c r="E18" s="5" t="s">
        <v>31</v>
      </c>
      <c r="F18" s="7">
        <f>IF($C18="","",IF('설정'!$B$4=0,"",CHOOSE('설정'!$B$4,SUMIFS('RAW_유기농_7월'!$F:$F,'RAW_유기농_7월'!$D:$D,$C18,'RAW_유기농_7월'!$A:$A,$E18),SUMIFS('RAW_유기농_8월'!$F:$F,'RAW_유기농_8월'!$D:$D,$C18,'RAW_유기농_8월'!$A:$A,$E18),SUMIFS('RAW_유기농_9월'!$F:$F,'RAW_유기농_9월'!$D:$D,$C18,'RAW_유기농_9월'!$A:$A,$E18),SUMIFS('RAW_유기농_10월'!$F:$F,'RAW_유기농_10월'!$D:$D,$C18,'RAW_유기농_10월'!$A:$A,$E18),SUMIFS('RAW_유기농_11-12월'!$F:$F,'RAW_유기농_11-12월'!$D:$D,$C18,'RAW_유기농_11-12월'!$A:$A,$E18))))</f>
        <v>0</v>
      </c>
      <c r="G18" s="7">
        <f>IF($C18="","",IF('설정'!$B$4=0,"",CHOOSE('설정'!$B$4,SUMIFS('RAW_유기농_7월'!$G:$G,'RAW_유기농_7월'!$D:$D,$C18,'RAW_유기농_7월'!$A:$A,$E18),SUMIFS('RAW_유기농_8월'!$G:$G,'RAW_유기농_8월'!$D:$D,$C18,'RAW_유기농_8월'!$A:$A,$E18),SUMIFS('RAW_유기농_9월'!$G:$G,'RAW_유기농_9월'!$D:$D,$C18,'RAW_유기농_9월'!$A:$A,$E18),SUMIFS('RAW_유기농_10월'!$G:$G,'RAW_유기농_10월'!$D:$D,$C18,'RAW_유기농_10월'!$A:$A,$E18),SUMIFS('RAW_유기농_11-12월'!$G:$G,'RAW_유기농_11-12월'!$D:$D,$C18,'RAW_유기농_11-12월'!$A:$A,$E18))))</f>
        <v>0</v>
      </c>
      <c r="H18" s="7">
        <f>IF($C18="","",IF('설정'!$B$4=0,"",CHOOSE('설정'!$B$4,SUMIFS('RAW_유기농_7월'!$H:$H,'RAW_유기농_7월'!$D:$D,$C18,'RAW_유기농_7월'!$A:$A,$E18),SUMIFS('RAW_유기농_8월'!$H:$H,'RAW_유기농_8월'!$D:$D,$C18,'RAW_유기농_8월'!$A:$A,$E18),SUMIFS('RAW_유기농_9월'!$H:$H,'RAW_유기농_9월'!$D:$D,$C18,'RAW_유기농_9월'!$A:$A,$E18),SUMIFS('RAW_유기농_10월'!$H:$H,'RAW_유기농_10월'!$D:$D,$C18,'RAW_유기농_10월'!$A:$A,$E18),SUMIFS('RAW_유기농_11-12월'!$H:$H,'RAW_유기농_11-12월'!$D:$D,$C18,'RAW_유기농_11-12월'!$A:$A,$E18))))</f>
        <v>0</v>
      </c>
      <c r="I18" s="17" t="str">
        <f>IF($C18="","",IF(COUNTIFS('RAW_유기농_7월'!$D:$D,$C18,'RAW_유기농_7월'!$A:$A,$E18)&gt;0,"O",""))</f>
        <v/>
      </c>
      <c r="J18" s="17" t="str">
        <f>IF($C18="","",IF(COUNTIFS('RAW_유기농_8월'!$D:$D,$C18,'RAW_유기농_8월'!$A:$A,$E18)&gt;0,"O",""))</f>
        <v/>
      </c>
      <c r="K18" s="17" t="str">
        <f>IF($C18="","",IF(COUNTIFS('RAW_유기농_9월'!$D:$D,$C18,'RAW_유기농_9월'!$A:$A,$E18)&gt;0,"O",""))</f>
        <v/>
      </c>
      <c r="L18" s="17" t="str">
        <f>IF($C18="","",IF(COUNTIFS('RAW_유기농_10월'!$D:$D,$C18,'RAW_유기농_10월'!$A:$A,$E18)&gt;0,"O",""))</f>
        <v/>
      </c>
      <c r="M18" s="17" t="str">
        <f>IF($C18="","",IF(COUNTIFS('RAW_유기농_11-12월'!$D:$D,$C18,'RAW_유기농_11-12월'!$A:$A,$E18)&gt;0,"O",""))</f>
        <v/>
      </c>
      <c r="N18" s="7">
        <f>IF($C18="","",IF(COUNTA('RAW_유기농_7월'!$A:$A)&lt;=1,"",SUMIFS('RAW_유기농_7월'!$H:$H,'RAW_유기농_7월'!$D:$D,$C18,'RAW_유기농_7월'!$A:$A,$E18)))</f>
        <v>0</v>
      </c>
      <c r="O18" s="7">
        <f>IF($C18="","",IF(COUNTA('RAW_유기농_8월'!$A:$A)&lt;=1,"",SUMIFS('RAW_유기농_8월'!$H:$H,'RAW_유기농_8월'!$D:$D,$C18,'RAW_유기농_8월'!$A:$A,$E18)-SUMIFS('RAW_유기농_7월'!$H:$H,'RAW_유기농_7월'!$D:$D,$C18,'RAW_유기농_7월'!$A:$A,$E18)))</f>
        <v>0</v>
      </c>
      <c r="P18" s="7" t="str">
        <f>IF($C18="","",IF(COUNTA('RAW_유기농_9월'!$A:$A)&lt;=1,"",SUMIFS('RAW_유기농_9월'!$H:$H,'RAW_유기농_9월'!$D:$D,$C18,'RAW_유기농_9월'!$A:$A,$E18)-SUMIFS('RAW_유기농_8월'!$H:$H,'RAW_유기농_8월'!$D:$D,$C18,'RAW_유기농_8월'!$A:$A,$E18)))</f>
        <v/>
      </c>
      <c r="Q18" s="7" t="str">
        <f>IF($C18="","",IF(COUNTA('RAW_유기농_10월'!$A:$A)&lt;=1,"",SUMIFS('RAW_유기농_10월'!$H:$H,'RAW_유기농_10월'!$D:$D,$C18,'RAW_유기농_10월'!$A:$A,$E18)-SUMIFS('RAW_유기농_9월'!$H:$H,'RAW_유기농_9월'!$D:$D,$C18,'RAW_유기농_9월'!$A:$A,$E18)))</f>
        <v/>
      </c>
      <c r="R18" s="7" t="str">
        <f>IF($C18="","",IF(COUNTA('RAW_유기농_11-12월'!$A:$A)&lt;=1,"",SUMIFS('RAW_유기농_11-12월'!$H:$H,'RAW_유기농_11-12월'!$D:$D,$C18,'RAW_유기농_11-12월'!$A:$A,$E18)-SUMIFS('RAW_유기농_10월'!$H:$H,'RAW_유기농_10월'!$D:$D,$C18,'RAW_유기농_10월'!$A:$A,$E18)))</f>
        <v/>
      </c>
      <c r="S18" s="17" t="str">
        <f t="shared" si="4"/>
        <v/>
      </c>
      <c r="T18" s="17" t="str">
        <f t="shared" si="5"/>
        <v>미사용</v>
      </c>
      <c r="U18" s="7">
        <f>IF($C18="",0,IF('설정'!$B$4=0,0,CHOOSE('설정'!$B$4,COUNTIFS('RAW_유기농_7월'!$D:$D,$C18,'RAW_유기농_7월'!$A:$A,$E18),COUNTIFS('RAW_유기농_8월'!$D:$D,$C18,'RAW_유기농_8월'!$A:$A,$E18),COUNTIFS('RAW_유기농_9월'!$D:$D,$C18,'RAW_유기농_9월'!$A:$A,$E18),COUNTIFS('RAW_유기농_10월'!$D:$D,$C18,'RAW_유기농_10월'!$A:$A,$E18),COUNTIFS('RAW_유기농_11-12월'!$D:$D,$C18,'RAW_유기농_11-12월'!$A:$A,$E18))))</f>
        <v>0</v>
      </c>
    </row>
    <row r="19">
      <c r="A19" s="5">
        <v>17.0</v>
      </c>
      <c r="B19" s="5" t="s">
        <v>145</v>
      </c>
      <c r="C19" s="5" t="s">
        <v>267</v>
      </c>
      <c r="D19" s="6" t="s">
        <v>268</v>
      </c>
      <c r="E19" s="5" t="s">
        <v>92</v>
      </c>
      <c r="F19" s="7">
        <f>IF($C19="","",IF('설정'!$B$4=0,"",CHOOSE('설정'!$B$4,SUMIFS('RAW_유기농_7월'!$F:$F,'RAW_유기농_7월'!$D:$D,$C19,'RAW_유기농_7월'!$A:$A,$E19),SUMIFS('RAW_유기농_8월'!$F:$F,'RAW_유기농_8월'!$D:$D,$C19,'RAW_유기농_8월'!$A:$A,$E19),SUMIFS('RAW_유기농_9월'!$F:$F,'RAW_유기농_9월'!$D:$D,$C19,'RAW_유기농_9월'!$A:$A,$E19),SUMIFS('RAW_유기농_10월'!$F:$F,'RAW_유기농_10월'!$D:$D,$C19,'RAW_유기농_10월'!$A:$A,$E19),SUMIFS('RAW_유기농_11-12월'!$F:$F,'RAW_유기농_11-12월'!$D:$D,$C19,'RAW_유기농_11-12월'!$A:$A,$E19))))</f>
        <v>258</v>
      </c>
      <c r="G19" s="7">
        <f>IF($C19="","",IF('설정'!$B$4=0,"",CHOOSE('설정'!$B$4,SUMIFS('RAW_유기농_7월'!$G:$G,'RAW_유기농_7월'!$D:$D,$C19,'RAW_유기농_7월'!$A:$A,$E19),SUMIFS('RAW_유기농_8월'!$G:$G,'RAW_유기농_8월'!$D:$D,$C19,'RAW_유기농_8월'!$A:$A,$E19),SUMIFS('RAW_유기농_9월'!$G:$G,'RAW_유기농_9월'!$D:$D,$C19,'RAW_유기농_9월'!$A:$A,$E19),SUMIFS('RAW_유기농_10월'!$G:$G,'RAW_유기농_10월'!$D:$D,$C19,'RAW_유기농_10월'!$A:$A,$E19),SUMIFS('RAW_유기농_11-12월'!$G:$G,'RAW_유기농_11-12월'!$D:$D,$C19,'RAW_유기농_11-12월'!$A:$A,$E19))))</f>
        <v>5728190</v>
      </c>
      <c r="H19" s="7">
        <f>IF($C19="","",IF('설정'!$B$4=0,"",CHOOSE('설정'!$B$4,SUMIFS('RAW_유기농_7월'!$H:$H,'RAW_유기농_7월'!$D:$D,$C19,'RAW_유기농_7월'!$A:$A,$E19),SUMIFS('RAW_유기농_8월'!$H:$H,'RAW_유기농_8월'!$D:$D,$C19,'RAW_유기농_8월'!$A:$A,$E19),SUMIFS('RAW_유기농_9월'!$H:$H,'RAW_유기농_9월'!$D:$D,$C19,'RAW_유기농_9월'!$A:$A,$E19),SUMIFS('RAW_유기농_10월'!$H:$H,'RAW_유기농_10월'!$D:$D,$C19,'RAW_유기농_10월'!$A:$A,$E19),SUMIFS('RAW_유기농_11-12월'!$H:$H,'RAW_유기농_11-12월'!$D:$D,$C19,'RAW_유기농_11-12월'!$A:$A,$E19))))</f>
        <v>669670</v>
      </c>
      <c r="I19" s="17" t="str">
        <f>IF($C19="","",IF(COUNTIFS('RAW_유기농_7월'!$D:$D,$C19,'RAW_유기농_7월'!$A:$A,$E19)&gt;0,"O",""))</f>
        <v>O</v>
      </c>
      <c r="J19" s="17" t="str">
        <f>IF($C19="","",IF(COUNTIFS('RAW_유기농_8월'!$D:$D,$C19,'RAW_유기농_8월'!$A:$A,$E19)&gt;0,"O",""))</f>
        <v>O</v>
      </c>
      <c r="K19" s="17" t="str">
        <f>IF($C19="","",IF(COUNTIFS('RAW_유기농_9월'!$D:$D,$C19,'RAW_유기농_9월'!$A:$A,$E19)&gt;0,"O",""))</f>
        <v/>
      </c>
      <c r="L19" s="17" t="str">
        <f>IF($C19="","",IF(COUNTIFS('RAW_유기농_10월'!$D:$D,$C19,'RAW_유기농_10월'!$A:$A,$E19)&gt;0,"O",""))</f>
        <v/>
      </c>
      <c r="M19" s="17" t="str">
        <f>IF($C19="","",IF(COUNTIFS('RAW_유기농_11-12월'!$D:$D,$C19,'RAW_유기농_11-12월'!$A:$A,$E19)&gt;0,"O",""))</f>
        <v/>
      </c>
      <c r="N19" s="7">
        <f>IF($C19="","",IF(COUNTA('RAW_유기농_7월'!$A:$A)&lt;=1,"",SUMIFS('RAW_유기농_7월'!$H:$H,'RAW_유기농_7월'!$D:$D,$C19,'RAW_유기농_7월'!$A:$A,$E19)))</f>
        <v>315770</v>
      </c>
      <c r="O19" s="7">
        <f>IF($C19="","",IF(COUNTA('RAW_유기농_8월'!$A:$A)&lt;=1,"",SUMIFS('RAW_유기농_8월'!$H:$H,'RAW_유기농_8월'!$D:$D,$C19,'RAW_유기농_8월'!$A:$A,$E19)-SUMIFS('RAW_유기농_7월'!$H:$H,'RAW_유기농_7월'!$D:$D,$C19,'RAW_유기농_7월'!$A:$A,$E19)))</f>
        <v>353900</v>
      </c>
      <c r="P19" s="7" t="str">
        <f>IF($C19="","",IF(COUNTA('RAW_유기농_9월'!$A:$A)&lt;=1,"",SUMIFS('RAW_유기농_9월'!$H:$H,'RAW_유기농_9월'!$D:$D,$C19,'RAW_유기농_9월'!$A:$A,$E19)-SUMIFS('RAW_유기농_8월'!$H:$H,'RAW_유기농_8월'!$D:$D,$C19,'RAW_유기농_8월'!$A:$A,$E19)))</f>
        <v/>
      </c>
      <c r="Q19" s="7" t="str">
        <f>IF($C19="","",IF(COUNTA('RAW_유기농_10월'!$A:$A)&lt;=1,"",SUMIFS('RAW_유기농_10월'!$H:$H,'RAW_유기농_10월'!$D:$D,$C19,'RAW_유기농_10월'!$A:$A,$E19)-SUMIFS('RAW_유기농_9월'!$H:$H,'RAW_유기농_9월'!$D:$D,$C19,'RAW_유기농_9월'!$A:$A,$E19)))</f>
        <v/>
      </c>
      <c r="R19" s="7" t="str">
        <f>IF($C19="","",IF(COUNTA('RAW_유기농_11-12월'!$A:$A)&lt;=1,"",SUMIFS('RAW_유기농_11-12월'!$H:$H,'RAW_유기농_11-12월'!$D:$D,$C19,'RAW_유기농_11-12월'!$A:$A,$E19)-SUMIFS('RAW_유기농_10월'!$H:$H,'RAW_유기농_10월'!$D:$D,$C19,'RAW_유기농_10월'!$A:$A,$E19)))</f>
        <v/>
      </c>
      <c r="S19" s="17" t="str">
        <f t="shared" si="4"/>
        <v>O</v>
      </c>
      <c r="T19" s="17" t="str">
        <f t="shared" si="5"/>
        <v>100만원 미만</v>
      </c>
      <c r="U19" s="7">
        <f>IF($C19="",0,IF('설정'!$B$4=0,0,CHOOSE('설정'!$B$4,COUNTIFS('RAW_유기농_7월'!$D:$D,$C19,'RAW_유기농_7월'!$A:$A,$E19),COUNTIFS('RAW_유기농_8월'!$D:$D,$C19,'RAW_유기농_8월'!$A:$A,$E19),COUNTIFS('RAW_유기농_9월'!$D:$D,$C19,'RAW_유기농_9월'!$A:$A,$E19),COUNTIFS('RAW_유기농_10월'!$D:$D,$C19,'RAW_유기농_10월'!$A:$A,$E19),COUNTIFS('RAW_유기농_11-12월'!$D:$D,$C19,'RAW_유기농_11-12월'!$A:$A,$E19))))</f>
        <v>8</v>
      </c>
    </row>
    <row r="20">
      <c r="A20" s="5">
        <v>18.0</v>
      </c>
      <c r="B20" s="5" t="s">
        <v>25</v>
      </c>
      <c r="C20" s="5" t="s">
        <v>279</v>
      </c>
      <c r="D20" s="6" t="s">
        <v>280</v>
      </c>
      <c r="E20" s="5" t="s">
        <v>92</v>
      </c>
      <c r="F20" s="7">
        <f>IF($C20="","",IF('설정'!$B$4=0,"",CHOOSE('설정'!$B$4,SUMIFS('RAW_유기농_7월'!$F:$F,'RAW_유기농_7월'!$D:$D,$C20,'RAW_유기농_7월'!$A:$A,$E20),SUMIFS('RAW_유기농_8월'!$F:$F,'RAW_유기농_8월'!$D:$D,$C20,'RAW_유기농_8월'!$A:$A,$E20),SUMIFS('RAW_유기농_9월'!$F:$F,'RAW_유기농_9월'!$D:$D,$C20,'RAW_유기농_9월'!$A:$A,$E20),SUMIFS('RAW_유기농_10월'!$F:$F,'RAW_유기농_10월'!$D:$D,$C20,'RAW_유기농_10월'!$A:$A,$E20),SUMIFS('RAW_유기농_11-12월'!$F:$F,'RAW_유기농_11-12월'!$D:$D,$C20,'RAW_유기농_11-12월'!$A:$A,$E20))))</f>
        <v>4513</v>
      </c>
      <c r="G20" s="7">
        <f>IF($C20="","",IF('설정'!$B$4=0,"",CHOOSE('설정'!$B$4,SUMIFS('RAW_유기농_7월'!$G:$G,'RAW_유기농_7월'!$D:$D,$C20,'RAW_유기농_7월'!$A:$A,$E20),SUMIFS('RAW_유기농_8월'!$G:$G,'RAW_유기농_8월'!$D:$D,$C20,'RAW_유기농_8월'!$A:$A,$E20),SUMIFS('RAW_유기농_9월'!$G:$G,'RAW_유기농_9월'!$D:$D,$C20,'RAW_유기농_9월'!$A:$A,$E20),SUMIFS('RAW_유기농_10월'!$G:$G,'RAW_유기농_10월'!$D:$D,$C20,'RAW_유기농_10월'!$A:$A,$E20),SUMIFS('RAW_유기농_11-12월'!$G:$G,'RAW_유기농_11-12월'!$D:$D,$C20,'RAW_유기농_11-12월'!$A:$A,$E20))))</f>
        <v>81437410</v>
      </c>
      <c r="H20" s="7">
        <f>IF($C20="","",IF('설정'!$B$4=0,"",CHOOSE('설정'!$B$4,SUMIFS('RAW_유기농_7월'!$H:$H,'RAW_유기농_7월'!$D:$D,$C20,'RAW_유기농_7월'!$A:$A,$E20),SUMIFS('RAW_유기농_8월'!$H:$H,'RAW_유기농_8월'!$D:$D,$C20,'RAW_유기농_8월'!$A:$A,$E20),SUMIFS('RAW_유기농_9월'!$H:$H,'RAW_유기농_9월'!$D:$D,$C20,'RAW_유기농_9월'!$A:$A,$E20),SUMIFS('RAW_유기농_10월'!$H:$H,'RAW_유기농_10월'!$D:$D,$C20,'RAW_유기농_10월'!$A:$A,$E20),SUMIFS('RAW_유기농_11-12월'!$H:$H,'RAW_유기농_11-12월'!$D:$D,$C20,'RAW_유기농_11-12월'!$A:$A,$E20))))</f>
        <v>4726320</v>
      </c>
      <c r="I20" s="17" t="str">
        <f>IF($C20="","",IF(COUNTIFS('RAW_유기농_7월'!$D:$D,$C20,'RAW_유기농_7월'!$A:$A,$E20)&gt;0,"O",""))</f>
        <v>O</v>
      </c>
      <c r="J20" s="17" t="str">
        <f>IF($C20="","",IF(COUNTIFS('RAW_유기농_8월'!$D:$D,$C20,'RAW_유기농_8월'!$A:$A,$E20)&gt;0,"O",""))</f>
        <v>O</v>
      </c>
      <c r="K20" s="17" t="str">
        <f>IF($C20="","",IF(COUNTIFS('RAW_유기농_9월'!$D:$D,$C20,'RAW_유기농_9월'!$A:$A,$E20)&gt;0,"O",""))</f>
        <v/>
      </c>
      <c r="L20" s="17" t="str">
        <f>IF($C20="","",IF(COUNTIFS('RAW_유기농_10월'!$D:$D,$C20,'RAW_유기농_10월'!$A:$A,$E20)&gt;0,"O",""))</f>
        <v/>
      </c>
      <c r="M20" s="17" t="str">
        <f>IF($C20="","",IF(COUNTIFS('RAW_유기농_11-12월'!$D:$D,$C20,'RAW_유기농_11-12월'!$A:$A,$E20)&gt;0,"O",""))</f>
        <v/>
      </c>
      <c r="N20" s="7">
        <f>IF($C20="","",IF(COUNTA('RAW_유기농_7월'!$A:$A)&lt;=1,"",SUMIFS('RAW_유기농_7월'!$H:$H,'RAW_유기농_7월'!$D:$D,$C20,'RAW_유기농_7월'!$A:$A,$E20)))</f>
        <v>4246920</v>
      </c>
      <c r="O20" s="7">
        <f>IF($C20="","",IF(COUNTA('RAW_유기농_8월'!$A:$A)&lt;=1,"",SUMIFS('RAW_유기농_8월'!$H:$H,'RAW_유기농_8월'!$D:$D,$C20,'RAW_유기농_8월'!$A:$A,$E20)-SUMIFS('RAW_유기농_7월'!$H:$H,'RAW_유기농_7월'!$D:$D,$C20,'RAW_유기농_7월'!$A:$A,$E20)))</f>
        <v>479400</v>
      </c>
      <c r="P20" s="7" t="str">
        <f>IF($C20="","",IF(COUNTA('RAW_유기농_9월'!$A:$A)&lt;=1,"",SUMIFS('RAW_유기농_9월'!$H:$H,'RAW_유기농_9월'!$D:$D,$C20,'RAW_유기농_9월'!$A:$A,$E20)-SUMIFS('RAW_유기농_8월'!$H:$H,'RAW_유기농_8월'!$D:$D,$C20,'RAW_유기농_8월'!$A:$A,$E20)))</f>
        <v/>
      </c>
      <c r="Q20" s="7" t="str">
        <f>IF($C20="","",IF(COUNTA('RAW_유기농_10월'!$A:$A)&lt;=1,"",SUMIFS('RAW_유기농_10월'!$H:$H,'RAW_유기농_10월'!$D:$D,$C20,'RAW_유기농_10월'!$A:$A,$E20)-SUMIFS('RAW_유기농_9월'!$H:$H,'RAW_유기농_9월'!$D:$D,$C20,'RAW_유기농_9월'!$A:$A,$E20)))</f>
        <v/>
      </c>
      <c r="R20" s="7" t="str">
        <f>IF($C20="","",IF(COUNTA('RAW_유기농_11-12월'!$A:$A)&lt;=1,"",SUMIFS('RAW_유기농_11-12월'!$H:$H,'RAW_유기농_11-12월'!$D:$D,$C20,'RAW_유기농_11-12월'!$A:$A,$E20)-SUMIFS('RAW_유기농_10월'!$H:$H,'RAW_유기농_10월'!$D:$D,$C20,'RAW_유기농_10월'!$A:$A,$E20)))</f>
        <v/>
      </c>
      <c r="S20" s="17" t="str">
        <f t="shared" si="4"/>
        <v>O</v>
      </c>
      <c r="T20" s="17" t="str">
        <f t="shared" si="5"/>
        <v>500만원 미만</v>
      </c>
      <c r="U20" s="7">
        <f>IF($C20="",0,IF('설정'!$B$4=0,0,CHOOSE('설정'!$B$4,COUNTIFS('RAW_유기농_7월'!$D:$D,$C20,'RAW_유기농_7월'!$A:$A,$E20),COUNTIFS('RAW_유기농_8월'!$D:$D,$C20,'RAW_유기농_8월'!$A:$A,$E20),COUNTIFS('RAW_유기농_9월'!$D:$D,$C20,'RAW_유기농_9월'!$A:$A,$E20),COUNTIFS('RAW_유기농_10월'!$D:$D,$C20,'RAW_유기농_10월'!$A:$A,$E20),COUNTIFS('RAW_유기농_11-12월'!$D:$D,$C20,'RAW_유기농_11-12월'!$A:$A,$E20))))</f>
        <v>33</v>
      </c>
    </row>
    <row r="21" ht="15.75" customHeight="1">
      <c r="A21" s="5">
        <v>19.0</v>
      </c>
      <c r="B21" s="5" t="s">
        <v>108</v>
      </c>
      <c r="C21" s="5" t="s">
        <v>439</v>
      </c>
      <c r="D21" s="6" t="s">
        <v>441</v>
      </c>
      <c r="E21" s="5" t="s">
        <v>92</v>
      </c>
      <c r="F21" s="7">
        <f>IF($C21="","",IF('설정'!$B$4=0,"",CHOOSE('설정'!$B$4,SUMIFS('RAW_유기농_7월'!$F:$F,'RAW_유기농_7월'!$D:$D,$C21,'RAW_유기농_7월'!$A:$A,$E21),SUMIFS('RAW_유기농_8월'!$F:$F,'RAW_유기농_8월'!$D:$D,$C21,'RAW_유기농_8월'!$A:$A,$E21),SUMIFS('RAW_유기농_9월'!$F:$F,'RAW_유기농_9월'!$D:$D,$C21,'RAW_유기농_9월'!$A:$A,$E21),SUMIFS('RAW_유기농_10월'!$F:$F,'RAW_유기농_10월'!$D:$D,$C21,'RAW_유기농_10월'!$A:$A,$E21),SUMIFS('RAW_유기농_11-12월'!$F:$F,'RAW_유기농_11-12월'!$D:$D,$C21,'RAW_유기농_11-12월'!$A:$A,$E21))))</f>
        <v>0</v>
      </c>
      <c r="G21" s="7">
        <f>IF($C21="","",IF('설정'!$B$4=0,"",CHOOSE('설정'!$B$4,SUMIFS('RAW_유기농_7월'!$G:$G,'RAW_유기농_7월'!$D:$D,$C21,'RAW_유기농_7월'!$A:$A,$E21),SUMIFS('RAW_유기농_8월'!$G:$G,'RAW_유기농_8월'!$D:$D,$C21,'RAW_유기농_8월'!$A:$A,$E21),SUMIFS('RAW_유기농_9월'!$G:$G,'RAW_유기농_9월'!$D:$D,$C21,'RAW_유기농_9월'!$A:$A,$E21),SUMIFS('RAW_유기농_10월'!$G:$G,'RAW_유기농_10월'!$D:$D,$C21,'RAW_유기농_10월'!$A:$A,$E21),SUMIFS('RAW_유기농_11-12월'!$G:$G,'RAW_유기농_11-12월'!$D:$D,$C21,'RAW_유기농_11-12월'!$A:$A,$E21))))</f>
        <v>0</v>
      </c>
      <c r="H21" s="7">
        <f>IF($C21="","",IF('설정'!$B$4=0,"",CHOOSE('설정'!$B$4,SUMIFS('RAW_유기농_7월'!$H:$H,'RAW_유기농_7월'!$D:$D,$C21,'RAW_유기농_7월'!$A:$A,$E21),SUMIFS('RAW_유기농_8월'!$H:$H,'RAW_유기농_8월'!$D:$D,$C21,'RAW_유기농_8월'!$A:$A,$E21),SUMIFS('RAW_유기농_9월'!$H:$H,'RAW_유기농_9월'!$D:$D,$C21,'RAW_유기농_9월'!$A:$A,$E21),SUMIFS('RAW_유기농_10월'!$H:$H,'RAW_유기농_10월'!$D:$D,$C21,'RAW_유기농_10월'!$A:$A,$E21),SUMIFS('RAW_유기농_11-12월'!$H:$H,'RAW_유기농_11-12월'!$D:$D,$C21,'RAW_유기농_11-12월'!$A:$A,$E21))))</f>
        <v>0</v>
      </c>
      <c r="I21" s="17" t="str">
        <f>IF($C21="","",IF(COUNTIFS('RAW_유기농_7월'!$D:$D,$C21,'RAW_유기농_7월'!$A:$A,$E21)&gt;0,"O",""))</f>
        <v/>
      </c>
      <c r="J21" s="17" t="str">
        <f>IF($C21="","",IF(COUNTIFS('RAW_유기농_8월'!$D:$D,$C21,'RAW_유기농_8월'!$A:$A,$E21)&gt;0,"O",""))</f>
        <v/>
      </c>
      <c r="K21" s="17" t="str">
        <f>IF($C21="","",IF(COUNTIFS('RAW_유기농_9월'!$D:$D,$C21,'RAW_유기농_9월'!$A:$A,$E21)&gt;0,"O",""))</f>
        <v/>
      </c>
      <c r="L21" s="17" t="str">
        <f>IF($C21="","",IF(COUNTIFS('RAW_유기농_10월'!$D:$D,$C21,'RAW_유기농_10월'!$A:$A,$E21)&gt;0,"O",""))</f>
        <v/>
      </c>
      <c r="M21" s="17" t="str">
        <f>IF($C21="","",IF(COUNTIFS('RAW_유기농_11-12월'!$D:$D,$C21,'RAW_유기농_11-12월'!$A:$A,$E21)&gt;0,"O",""))</f>
        <v/>
      </c>
      <c r="N21" s="7">
        <f>IF($C21="","",IF(COUNTA('RAW_유기농_7월'!$A:$A)&lt;=1,"",SUMIFS('RAW_유기농_7월'!$H:$H,'RAW_유기농_7월'!$D:$D,$C21,'RAW_유기농_7월'!$A:$A,$E21)))</f>
        <v>0</v>
      </c>
      <c r="O21" s="7">
        <f>IF($C21="","",IF(COUNTA('RAW_유기농_8월'!$A:$A)&lt;=1,"",SUMIFS('RAW_유기농_8월'!$H:$H,'RAW_유기농_8월'!$D:$D,$C21,'RAW_유기농_8월'!$A:$A,$E21)-SUMIFS('RAW_유기농_7월'!$H:$H,'RAW_유기농_7월'!$D:$D,$C21,'RAW_유기농_7월'!$A:$A,$E21)))</f>
        <v>0</v>
      </c>
      <c r="P21" s="7" t="str">
        <f>IF($C21="","",IF(COUNTA('RAW_유기농_9월'!$A:$A)&lt;=1,"",SUMIFS('RAW_유기농_9월'!$H:$H,'RAW_유기농_9월'!$D:$D,$C21,'RAW_유기농_9월'!$A:$A,$E21)-SUMIFS('RAW_유기농_8월'!$H:$H,'RAW_유기농_8월'!$D:$D,$C21,'RAW_유기농_8월'!$A:$A,$E21)))</f>
        <v/>
      </c>
      <c r="Q21" s="7" t="str">
        <f>IF($C21="","",IF(COUNTA('RAW_유기농_10월'!$A:$A)&lt;=1,"",SUMIFS('RAW_유기농_10월'!$H:$H,'RAW_유기농_10월'!$D:$D,$C21,'RAW_유기농_10월'!$A:$A,$E21)-SUMIFS('RAW_유기농_9월'!$H:$H,'RAW_유기농_9월'!$D:$D,$C21,'RAW_유기농_9월'!$A:$A,$E21)))</f>
        <v/>
      </c>
      <c r="R21" s="7" t="str">
        <f>IF($C21="","",IF(COUNTA('RAW_유기농_11-12월'!$A:$A)&lt;=1,"",SUMIFS('RAW_유기농_11-12월'!$H:$H,'RAW_유기농_11-12월'!$D:$D,$C21,'RAW_유기농_11-12월'!$A:$A,$E21)-SUMIFS('RAW_유기농_10월'!$H:$H,'RAW_유기농_10월'!$D:$D,$C21,'RAW_유기농_10월'!$A:$A,$E21)))</f>
        <v/>
      </c>
      <c r="S21" s="17" t="str">
        <f t="shared" si="4"/>
        <v/>
      </c>
      <c r="T21" s="17" t="str">
        <f t="shared" si="5"/>
        <v>미사용</v>
      </c>
      <c r="U21" s="7">
        <f>IF($C21="",0,IF('설정'!$B$4=0,0,CHOOSE('설정'!$B$4,COUNTIFS('RAW_유기농_7월'!$D:$D,$C21,'RAW_유기농_7월'!$A:$A,$E21),COUNTIFS('RAW_유기농_8월'!$D:$D,$C21,'RAW_유기농_8월'!$A:$A,$E21),COUNTIFS('RAW_유기농_9월'!$D:$D,$C21,'RAW_유기농_9월'!$A:$A,$E21),COUNTIFS('RAW_유기농_10월'!$D:$D,$C21,'RAW_유기농_10월'!$A:$A,$E21),COUNTIFS('RAW_유기농_11-12월'!$D:$D,$C21,'RAW_유기농_11-12월'!$A:$A,$E21))))</f>
        <v>0</v>
      </c>
    </row>
    <row r="22" ht="15.75" customHeight="1">
      <c r="A22" s="5">
        <v>20.0</v>
      </c>
      <c r="B22" s="5" t="s">
        <v>25</v>
      </c>
      <c r="C22" s="5" t="s">
        <v>541</v>
      </c>
      <c r="D22" s="6" t="s">
        <v>542</v>
      </c>
      <c r="E22" s="5" t="s">
        <v>31</v>
      </c>
      <c r="F22" s="7">
        <f>IF($C22="","",IF('설정'!$B$4=0,"",CHOOSE('설정'!$B$4,SUMIFS('RAW_유기농_7월'!$F:$F,'RAW_유기농_7월'!$D:$D,$C22,'RAW_유기농_7월'!$A:$A,$E22),SUMIFS('RAW_유기농_8월'!$F:$F,'RAW_유기농_8월'!$D:$D,$C22,'RAW_유기농_8월'!$A:$A,$E22),SUMIFS('RAW_유기농_9월'!$F:$F,'RAW_유기농_9월'!$D:$D,$C22,'RAW_유기농_9월'!$A:$A,$E22),SUMIFS('RAW_유기농_10월'!$F:$F,'RAW_유기농_10월'!$D:$D,$C22,'RAW_유기농_10월'!$A:$A,$E22),SUMIFS('RAW_유기농_11-12월'!$F:$F,'RAW_유기농_11-12월'!$D:$D,$C22,'RAW_유기농_11-12월'!$A:$A,$E22))))</f>
        <v>4106</v>
      </c>
      <c r="G22" s="7">
        <f>IF($C22="","",IF('설정'!$B$4=0,"",CHOOSE('설정'!$B$4,SUMIFS('RAW_유기농_7월'!$G:$G,'RAW_유기농_7월'!$D:$D,$C22,'RAW_유기농_7월'!$A:$A,$E22),SUMIFS('RAW_유기농_8월'!$G:$G,'RAW_유기농_8월'!$D:$D,$C22,'RAW_유기농_8월'!$A:$A,$E22),SUMIFS('RAW_유기농_9월'!$G:$G,'RAW_유기농_9월'!$D:$D,$C22,'RAW_유기농_9월'!$A:$A,$E22),SUMIFS('RAW_유기농_10월'!$G:$G,'RAW_유기농_10월'!$D:$D,$C22,'RAW_유기농_10월'!$A:$A,$E22),SUMIFS('RAW_유기농_11-12월'!$G:$G,'RAW_유기농_11-12월'!$D:$D,$C22,'RAW_유기농_11-12월'!$A:$A,$E22))))</f>
        <v>44964220</v>
      </c>
      <c r="H22" s="7">
        <f>IF($C22="","",IF('설정'!$B$4=0,"",CHOOSE('설정'!$B$4,SUMIFS('RAW_유기농_7월'!$H:$H,'RAW_유기농_7월'!$D:$D,$C22,'RAW_유기농_7월'!$A:$A,$E22),SUMIFS('RAW_유기농_8월'!$H:$H,'RAW_유기농_8월'!$D:$D,$C22,'RAW_유기농_8월'!$A:$A,$E22),SUMIFS('RAW_유기농_9월'!$H:$H,'RAW_유기농_9월'!$D:$D,$C22,'RAW_유기농_9월'!$A:$A,$E22),SUMIFS('RAW_유기농_10월'!$H:$H,'RAW_유기농_10월'!$D:$D,$C22,'RAW_유기농_10월'!$A:$A,$E22),SUMIFS('RAW_유기농_11-12월'!$H:$H,'RAW_유기농_11-12월'!$D:$D,$C22,'RAW_유기농_11-12월'!$A:$A,$E22))))</f>
        <v>1981384</v>
      </c>
      <c r="I22" s="17" t="str">
        <f>IF($C22="","",IF(COUNTIFS('RAW_유기농_7월'!$D:$D,$C22,'RAW_유기농_7월'!$A:$A,$E22)&gt;0,"O",""))</f>
        <v>O</v>
      </c>
      <c r="J22" s="17" t="str">
        <f>IF($C22="","",IF(COUNTIFS('RAW_유기농_8월'!$D:$D,$C22,'RAW_유기농_8월'!$A:$A,$E22)&gt;0,"O",""))</f>
        <v>O</v>
      </c>
      <c r="K22" s="17" t="str">
        <f>IF($C22="","",IF(COUNTIFS('RAW_유기농_9월'!$D:$D,$C22,'RAW_유기농_9월'!$A:$A,$E22)&gt;0,"O",""))</f>
        <v/>
      </c>
      <c r="L22" s="17" t="str">
        <f>IF($C22="","",IF(COUNTIFS('RAW_유기농_10월'!$D:$D,$C22,'RAW_유기농_10월'!$A:$A,$E22)&gt;0,"O",""))</f>
        <v/>
      </c>
      <c r="M22" s="17" t="str">
        <f>IF($C22="","",IF(COUNTIFS('RAW_유기농_11-12월'!$D:$D,$C22,'RAW_유기농_11-12월'!$A:$A,$E22)&gt;0,"O",""))</f>
        <v/>
      </c>
      <c r="N22" s="7">
        <f>IF($C22="","",IF(COUNTA('RAW_유기농_7월'!$A:$A)&lt;=1,"",SUMIFS('RAW_유기농_7월'!$H:$H,'RAW_유기농_7월'!$D:$D,$C22,'RAW_유기농_7월'!$A:$A,$E22)))</f>
        <v>1072130</v>
      </c>
      <c r="O22" s="7">
        <f>IF($C22="","",IF(COUNTA('RAW_유기농_8월'!$A:$A)&lt;=1,"",SUMIFS('RAW_유기농_8월'!$H:$H,'RAW_유기농_8월'!$D:$D,$C22,'RAW_유기농_8월'!$A:$A,$E22)-SUMIFS('RAW_유기농_7월'!$H:$H,'RAW_유기농_7월'!$D:$D,$C22,'RAW_유기농_7월'!$A:$A,$E22)))</f>
        <v>909254</v>
      </c>
      <c r="P22" s="7" t="str">
        <f>IF($C22="","",IF(COUNTA('RAW_유기농_9월'!$A:$A)&lt;=1,"",SUMIFS('RAW_유기농_9월'!$H:$H,'RAW_유기농_9월'!$D:$D,$C22,'RAW_유기농_9월'!$A:$A,$E22)-SUMIFS('RAW_유기농_8월'!$H:$H,'RAW_유기농_8월'!$D:$D,$C22,'RAW_유기농_8월'!$A:$A,$E22)))</f>
        <v/>
      </c>
      <c r="Q22" s="7" t="str">
        <f>IF($C22="","",IF(COUNTA('RAW_유기농_10월'!$A:$A)&lt;=1,"",SUMIFS('RAW_유기농_10월'!$H:$H,'RAW_유기농_10월'!$D:$D,$C22,'RAW_유기농_10월'!$A:$A,$E22)-SUMIFS('RAW_유기농_9월'!$H:$H,'RAW_유기농_9월'!$D:$D,$C22,'RAW_유기농_9월'!$A:$A,$E22)))</f>
        <v/>
      </c>
      <c r="R22" s="7" t="str">
        <f>IF($C22="","",IF(COUNTA('RAW_유기농_11-12월'!$A:$A)&lt;=1,"",SUMIFS('RAW_유기농_11-12월'!$H:$H,'RAW_유기농_11-12월'!$D:$D,$C22,'RAW_유기농_11-12월'!$A:$A,$E22)-SUMIFS('RAW_유기농_10월'!$H:$H,'RAW_유기농_10월'!$D:$D,$C22,'RAW_유기농_10월'!$A:$A,$E22)))</f>
        <v/>
      </c>
      <c r="S22" s="17" t="str">
        <f t="shared" si="4"/>
        <v>O</v>
      </c>
      <c r="T22" s="17" t="str">
        <f t="shared" si="5"/>
        <v>200만원 미만</v>
      </c>
      <c r="U22" s="7">
        <f>IF($C22="",0,IF('설정'!$B$4=0,0,CHOOSE('설정'!$B$4,COUNTIFS('RAW_유기농_7월'!$D:$D,$C22,'RAW_유기농_7월'!$A:$A,$E22),COUNTIFS('RAW_유기농_8월'!$D:$D,$C22,'RAW_유기농_8월'!$A:$A,$E22),COUNTIFS('RAW_유기농_9월'!$D:$D,$C22,'RAW_유기농_9월'!$A:$A,$E22),COUNTIFS('RAW_유기농_10월'!$D:$D,$C22,'RAW_유기농_10월'!$A:$A,$E22),COUNTIFS('RAW_유기농_11-12월'!$D:$D,$C22,'RAW_유기농_11-12월'!$A:$A,$E22))))</f>
        <v>3</v>
      </c>
    </row>
    <row r="23" ht="15.75" customHeight="1">
      <c r="A23" s="5">
        <v>21.0</v>
      </c>
      <c r="B23" s="5" t="s">
        <v>25</v>
      </c>
      <c r="C23" s="5" t="s">
        <v>635</v>
      </c>
      <c r="D23" s="6" t="s">
        <v>636</v>
      </c>
      <c r="E23" s="5" t="s">
        <v>31</v>
      </c>
      <c r="F23" s="7">
        <f>IF($C23="","",IF('설정'!$B$4=0,"",CHOOSE('설정'!$B$4,SUMIFS('RAW_유기농_7월'!$F:$F,'RAW_유기농_7월'!$D:$D,$C23,'RAW_유기농_7월'!$A:$A,$E23),SUMIFS('RAW_유기농_8월'!$F:$F,'RAW_유기농_8월'!$D:$D,$C23,'RAW_유기농_8월'!$A:$A,$E23),SUMIFS('RAW_유기농_9월'!$F:$F,'RAW_유기농_9월'!$D:$D,$C23,'RAW_유기농_9월'!$A:$A,$E23),SUMIFS('RAW_유기농_10월'!$F:$F,'RAW_유기농_10월'!$D:$D,$C23,'RAW_유기농_10월'!$A:$A,$E23),SUMIFS('RAW_유기농_11-12월'!$F:$F,'RAW_유기농_11-12월'!$D:$D,$C23,'RAW_유기농_11-12월'!$A:$A,$E23))))</f>
        <v>1567</v>
      </c>
      <c r="G23" s="7">
        <f>IF($C23="","",IF('설정'!$B$4=0,"",CHOOSE('설정'!$B$4,SUMIFS('RAW_유기농_7월'!$G:$G,'RAW_유기농_7월'!$D:$D,$C23,'RAW_유기농_7월'!$A:$A,$E23),SUMIFS('RAW_유기농_8월'!$G:$G,'RAW_유기농_8월'!$D:$D,$C23,'RAW_유기농_8월'!$A:$A,$E23),SUMIFS('RAW_유기농_9월'!$G:$G,'RAW_유기농_9월'!$D:$D,$C23,'RAW_유기농_9월'!$A:$A,$E23),SUMIFS('RAW_유기농_10월'!$G:$G,'RAW_유기농_10월'!$D:$D,$C23,'RAW_유기농_10월'!$A:$A,$E23),SUMIFS('RAW_유기농_11-12월'!$G:$G,'RAW_유기농_11-12월'!$D:$D,$C23,'RAW_유기농_11-12월'!$A:$A,$E23))))</f>
        <v>7314600</v>
      </c>
      <c r="H23" s="7">
        <f>IF($C23="","",IF('설정'!$B$4=0,"",CHOOSE('설정'!$B$4,SUMIFS('RAW_유기농_7월'!$H:$H,'RAW_유기농_7월'!$D:$D,$C23,'RAW_유기농_7월'!$A:$A,$E23),SUMIFS('RAW_유기농_8월'!$H:$H,'RAW_유기농_8월'!$D:$D,$C23,'RAW_유기농_8월'!$A:$A,$E23),SUMIFS('RAW_유기농_9월'!$H:$H,'RAW_유기농_9월'!$D:$D,$C23,'RAW_유기농_9월'!$A:$A,$E23),SUMIFS('RAW_유기농_10월'!$H:$H,'RAW_유기농_10월'!$D:$D,$C23,'RAW_유기농_10월'!$A:$A,$E23),SUMIFS('RAW_유기농_11-12월'!$H:$H,'RAW_유기농_11-12월'!$D:$D,$C23,'RAW_유기농_11-12월'!$A:$A,$E23))))</f>
        <v>353700</v>
      </c>
      <c r="I23" s="17" t="str">
        <f>IF($C23="","",IF(COUNTIFS('RAW_유기농_7월'!$D:$D,$C23,'RAW_유기농_7월'!$A:$A,$E23)&gt;0,"O",""))</f>
        <v>O</v>
      </c>
      <c r="J23" s="17" t="str">
        <f>IF($C23="","",IF(COUNTIFS('RAW_유기농_8월'!$D:$D,$C23,'RAW_유기농_8월'!$A:$A,$E23)&gt;0,"O",""))</f>
        <v>O</v>
      </c>
      <c r="K23" s="17" t="str">
        <f>IF($C23="","",IF(COUNTIFS('RAW_유기농_9월'!$D:$D,$C23,'RAW_유기농_9월'!$A:$A,$E23)&gt;0,"O",""))</f>
        <v/>
      </c>
      <c r="L23" s="17" t="str">
        <f>IF($C23="","",IF(COUNTIFS('RAW_유기농_10월'!$D:$D,$C23,'RAW_유기농_10월'!$A:$A,$E23)&gt;0,"O",""))</f>
        <v/>
      </c>
      <c r="M23" s="17" t="str">
        <f>IF($C23="","",IF(COUNTIFS('RAW_유기농_11-12월'!$D:$D,$C23,'RAW_유기농_11-12월'!$A:$A,$E23)&gt;0,"O",""))</f>
        <v/>
      </c>
      <c r="N23" s="7">
        <f>IF($C23="","",IF(COUNTA('RAW_유기농_7월'!$A:$A)&lt;=1,"",SUMIFS('RAW_유기농_7월'!$H:$H,'RAW_유기농_7월'!$D:$D,$C23,'RAW_유기농_7월'!$A:$A,$E23)))</f>
        <v>0</v>
      </c>
      <c r="O23" s="7">
        <f>IF($C23="","",IF(COUNTA('RAW_유기농_8월'!$A:$A)&lt;=1,"",SUMIFS('RAW_유기농_8월'!$H:$H,'RAW_유기농_8월'!$D:$D,$C23,'RAW_유기농_8월'!$A:$A,$E23)-SUMIFS('RAW_유기농_7월'!$H:$H,'RAW_유기농_7월'!$D:$D,$C23,'RAW_유기농_7월'!$A:$A,$E23)))</f>
        <v>353700</v>
      </c>
      <c r="P23" s="7" t="str">
        <f>IF($C23="","",IF(COUNTA('RAW_유기농_9월'!$A:$A)&lt;=1,"",SUMIFS('RAW_유기농_9월'!$H:$H,'RAW_유기농_9월'!$D:$D,$C23,'RAW_유기농_9월'!$A:$A,$E23)-SUMIFS('RAW_유기농_8월'!$H:$H,'RAW_유기농_8월'!$D:$D,$C23,'RAW_유기농_8월'!$A:$A,$E23)))</f>
        <v/>
      </c>
      <c r="Q23" s="7" t="str">
        <f>IF($C23="","",IF(COUNTA('RAW_유기농_10월'!$A:$A)&lt;=1,"",SUMIFS('RAW_유기농_10월'!$H:$H,'RAW_유기농_10월'!$D:$D,$C23,'RAW_유기농_10월'!$A:$A,$E23)-SUMIFS('RAW_유기농_9월'!$H:$H,'RAW_유기농_9월'!$D:$D,$C23,'RAW_유기농_9월'!$A:$A,$E23)))</f>
        <v/>
      </c>
      <c r="R23" s="7" t="str">
        <f>IF($C23="","",IF(COUNTA('RAW_유기농_11-12월'!$A:$A)&lt;=1,"",SUMIFS('RAW_유기농_11-12월'!$H:$H,'RAW_유기농_11-12월'!$D:$D,$C23,'RAW_유기농_11-12월'!$A:$A,$E23)-SUMIFS('RAW_유기농_10월'!$H:$H,'RAW_유기농_10월'!$D:$D,$C23,'RAW_유기농_10월'!$A:$A,$E23)))</f>
        <v/>
      </c>
      <c r="S23" s="17" t="str">
        <f t="shared" si="4"/>
        <v>O</v>
      </c>
      <c r="T23" s="17" t="str">
        <f t="shared" si="5"/>
        <v>50만원 미만</v>
      </c>
      <c r="U23" s="7">
        <f>IF($C23="",0,IF('설정'!$B$4=0,0,CHOOSE('설정'!$B$4,COUNTIFS('RAW_유기농_7월'!$D:$D,$C23,'RAW_유기농_7월'!$A:$A,$E23),COUNTIFS('RAW_유기농_8월'!$D:$D,$C23,'RAW_유기농_8월'!$A:$A,$E23),COUNTIFS('RAW_유기농_9월'!$D:$D,$C23,'RAW_유기농_9월'!$A:$A,$E23),COUNTIFS('RAW_유기농_10월'!$D:$D,$C23,'RAW_유기농_10월'!$A:$A,$E23),COUNTIFS('RAW_유기농_11-12월'!$D:$D,$C23,'RAW_유기농_11-12월'!$A:$A,$E23))))</f>
        <v>1</v>
      </c>
    </row>
    <row r="24" ht="15.75" customHeight="1">
      <c r="A24" s="5">
        <v>22.0</v>
      </c>
      <c r="B24" s="5" t="s">
        <v>25</v>
      </c>
      <c r="C24" s="5" t="s">
        <v>731</v>
      </c>
      <c r="D24" s="6" t="s">
        <v>732</v>
      </c>
      <c r="E24" s="5" t="s">
        <v>92</v>
      </c>
      <c r="F24" s="7">
        <f>IF($C24="","",IF('설정'!$B$4=0,"",CHOOSE('설정'!$B$4,SUMIFS('RAW_유기농_7월'!$F:$F,'RAW_유기농_7월'!$D:$D,$C24,'RAW_유기농_7월'!$A:$A,$E24),SUMIFS('RAW_유기농_8월'!$F:$F,'RAW_유기농_8월'!$D:$D,$C24,'RAW_유기농_8월'!$A:$A,$E24),SUMIFS('RAW_유기농_9월'!$F:$F,'RAW_유기농_9월'!$D:$D,$C24,'RAW_유기농_9월'!$A:$A,$E24),SUMIFS('RAW_유기농_10월'!$F:$F,'RAW_유기농_10월'!$D:$D,$C24,'RAW_유기농_10월'!$A:$A,$E24),SUMIFS('RAW_유기농_11-12월'!$F:$F,'RAW_유기농_11-12월'!$D:$D,$C24,'RAW_유기농_11-12월'!$A:$A,$E24))))</f>
        <v>283</v>
      </c>
      <c r="G24" s="7">
        <f>IF($C24="","",IF('설정'!$B$4=0,"",CHOOSE('설정'!$B$4,SUMIFS('RAW_유기농_7월'!$G:$G,'RAW_유기농_7월'!$D:$D,$C24,'RAW_유기농_7월'!$A:$A,$E24),SUMIFS('RAW_유기농_8월'!$G:$G,'RAW_유기농_8월'!$D:$D,$C24,'RAW_유기농_8월'!$A:$A,$E24),SUMIFS('RAW_유기농_9월'!$G:$G,'RAW_유기농_9월'!$D:$D,$C24,'RAW_유기농_9월'!$A:$A,$E24),SUMIFS('RAW_유기농_10월'!$G:$G,'RAW_유기농_10월'!$D:$D,$C24,'RAW_유기농_10월'!$A:$A,$E24),SUMIFS('RAW_유기농_11-12월'!$G:$G,'RAW_유기농_11-12월'!$D:$D,$C24,'RAW_유기농_11-12월'!$A:$A,$E24))))</f>
        <v>5837350</v>
      </c>
      <c r="H24" s="7">
        <f>IF($C24="","",IF('설정'!$B$4=0,"",CHOOSE('설정'!$B$4,SUMIFS('RAW_유기농_7월'!$H:$H,'RAW_유기농_7월'!$D:$D,$C24,'RAW_유기농_7월'!$A:$A,$E24),SUMIFS('RAW_유기농_8월'!$H:$H,'RAW_유기농_8월'!$D:$D,$C24,'RAW_유기농_8월'!$A:$A,$E24),SUMIFS('RAW_유기농_9월'!$H:$H,'RAW_유기농_9월'!$D:$D,$C24,'RAW_유기농_9월'!$A:$A,$E24),SUMIFS('RAW_유기농_10월'!$H:$H,'RAW_유기농_10월'!$D:$D,$C24,'RAW_유기농_10월'!$A:$A,$E24),SUMIFS('RAW_유기농_11-12월'!$H:$H,'RAW_유기농_11-12월'!$D:$D,$C24,'RAW_유기농_11-12월'!$A:$A,$E24))))</f>
        <v>609310</v>
      </c>
      <c r="I24" s="17" t="str">
        <f>IF($C24="","",IF(COUNTIFS('RAW_유기농_7월'!$D:$D,$C24,'RAW_유기농_7월'!$A:$A,$E24)&gt;0,"O",""))</f>
        <v>O</v>
      </c>
      <c r="J24" s="17" t="str">
        <f>IF($C24="","",IF(COUNTIFS('RAW_유기농_8월'!$D:$D,$C24,'RAW_유기농_8월'!$A:$A,$E24)&gt;0,"O",""))</f>
        <v>O</v>
      </c>
      <c r="K24" s="17" t="str">
        <f>IF($C24="","",IF(COUNTIFS('RAW_유기농_9월'!$D:$D,$C24,'RAW_유기농_9월'!$A:$A,$E24)&gt;0,"O",""))</f>
        <v/>
      </c>
      <c r="L24" s="17" t="str">
        <f>IF($C24="","",IF(COUNTIFS('RAW_유기농_10월'!$D:$D,$C24,'RAW_유기농_10월'!$A:$A,$E24)&gt;0,"O",""))</f>
        <v/>
      </c>
      <c r="M24" s="17" t="str">
        <f>IF($C24="","",IF(COUNTIFS('RAW_유기농_11-12월'!$D:$D,$C24,'RAW_유기농_11-12월'!$A:$A,$E24)&gt;0,"O",""))</f>
        <v/>
      </c>
      <c r="N24" s="7">
        <f>IF($C24="","",IF(COUNTA('RAW_유기농_7월'!$A:$A)&lt;=1,"",SUMIFS('RAW_유기농_7월'!$H:$H,'RAW_유기농_7월'!$D:$D,$C24,'RAW_유기농_7월'!$A:$A,$E24)))</f>
        <v>365550</v>
      </c>
      <c r="O24" s="7">
        <f>IF($C24="","",IF(COUNTA('RAW_유기농_8월'!$A:$A)&lt;=1,"",SUMIFS('RAW_유기농_8월'!$H:$H,'RAW_유기농_8월'!$D:$D,$C24,'RAW_유기농_8월'!$A:$A,$E24)-SUMIFS('RAW_유기농_7월'!$H:$H,'RAW_유기농_7월'!$D:$D,$C24,'RAW_유기농_7월'!$A:$A,$E24)))</f>
        <v>243760</v>
      </c>
      <c r="P24" s="7" t="str">
        <f>IF($C24="","",IF(COUNTA('RAW_유기농_9월'!$A:$A)&lt;=1,"",SUMIFS('RAW_유기농_9월'!$H:$H,'RAW_유기농_9월'!$D:$D,$C24,'RAW_유기농_9월'!$A:$A,$E24)-SUMIFS('RAW_유기농_8월'!$H:$H,'RAW_유기농_8월'!$D:$D,$C24,'RAW_유기농_8월'!$A:$A,$E24)))</f>
        <v/>
      </c>
      <c r="Q24" s="7" t="str">
        <f>IF($C24="","",IF(COUNTA('RAW_유기농_10월'!$A:$A)&lt;=1,"",SUMIFS('RAW_유기농_10월'!$H:$H,'RAW_유기농_10월'!$D:$D,$C24,'RAW_유기농_10월'!$A:$A,$E24)-SUMIFS('RAW_유기농_9월'!$H:$H,'RAW_유기농_9월'!$D:$D,$C24,'RAW_유기농_9월'!$A:$A,$E24)))</f>
        <v/>
      </c>
      <c r="R24" s="7" t="str">
        <f>IF($C24="","",IF(COUNTA('RAW_유기농_11-12월'!$A:$A)&lt;=1,"",SUMIFS('RAW_유기농_11-12월'!$H:$H,'RAW_유기농_11-12월'!$D:$D,$C24,'RAW_유기농_11-12월'!$A:$A,$E24)-SUMIFS('RAW_유기농_10월'!$H:$H,'RAW_유기농_10월'!$D:$D,$C24,'RAW_유기농_10월'!$A:$A,$E24)))</f>
        <v/>
      </c>
      <c r="S24" s="17" t="str">
        <f t="shared" si="4"/>
        <v>O</v>
      </c>
      <c r="T24" s="17" t="str">
        <f t="shared" si="5"/>
        <v>100만원 미만</v>
      </c>
      <c r="U24" s="7">
        <f>IF($C24="",0,IF('설정'!$B$4=0,0,CHOOSE('설정'!$B$4,COUNTIFS('RAW_유기농_7월'!$D:$D,$C24,'RAW_유기농_7월'!$A:$A,$E24),COUNTIFS('RAW_유기농_8월'!$D:$D,$C24,'RAW_유기농_8월'!$A:$A,$E24),COUNTIFS('RAW_유기농_9월'!$D:$D,$C24,'RAW_유기농_9월'!$A:$A,$E24),COUNTIFS('RAW_유기농_10월'!$D:$D,$C24,'RAW_유기농_10월'!$A:$A,$E24),COUNTIFS('RAW_유기농_11-12월'!$D:$D,$C24,'RAW_유기농_11-12월'!$A:$A,$E24))))</f>
        <v>9</v>
      </c>
    </row>
    <row r="25" ht="15.75" customHeight="1">
      <c r="A25" s="5">
        <v>23.0</v>
      </c>
      <c r="B25" s="5" t="s">
        <v>25</v>
      </c>
      <c r="C25" s="5" t="s">
        <v>829</v>
      </c>
      <c r="D25" s="6" t="s">
        <v>830</v>
      </c>
      <c r="E25" s="5" t="s">
        <v>31</v>
      </c>
      <c r="F25" s="7">
        <f>IF($C25="","",IF('설정'!$B$4=0,"",CHOOSE('설정'!$B$4,SUMIFS('RAW_유기농_7월'!$F:$F,'RAW_유기농_7월'!$D:$D,$C25,'RAW_유기농_7월'!$A:$A,$E25),SUMIFS('RAW_유기농_8월'!$F:$F,'RAW_유기농_8월'!$D:$D,$C25,'RAW_유기농_8월'!$A:$A,$E25),SUMIFS('RAW_유기농_9월'!$F:$F,'RAW_유기농_9월'!$D:$D,$C25,'RAW_유기농_9월'!$A:$A,$E25),SUMIFS('RAW_유기농_10월'!$F:$F,'RAW_유기농_10월'!$D:$D,$C25,'RAW_유기농_10월'!$A:$A,$E25),SUMIFS('RAW_유기농_11-12월'!$F:$F,'RAW_유기농_11-12월'!$D:$D,$C25,'RAW_유기농_11-12월'!$A:$A,$E25))))</f>
        <v>3243</v>
      </c>
      <c r="G25" s="7">
        <f>IF($C25="","",IF('설정'!$B$4=0,"",CHOOSE('설정'!$B$4,SUMIFS('RAW_유기농_7월'!$G:$G,'RAW_유기농_7월'!$D:$D,$C25,'RAW_유기농_7월'!$A:$A,$E25),SUMIFS('RAW_유기농_8월'!$G:$G,'RAW_유기농_8월'!$D:$D,$C25,'RAW_유기농_8월'!$A:$A,$E25),SUMIFS('RAW_유기농_9월'!$G:$G,'RAW_유기농_9월'!$D:$D,$C25,'RAW_유기농_9월'!$A:$A,$E25),SUMIFS('RAW_유기농_10월'!$G:$G,'RAW_유기농_10월'!$D:$D,$C25,'RAW_유기농_10월'!$A:$A,$E25),SUMIFS('RAW_유기농_11-12월'!$G:$G,'RAW_유기농_11-12월'!$D:$D,$C25,'RAW_유기농_11-12월'!$A:$A,$E25))))</f>
        <v>7528400</v>
      </c>
      <c r="H25" s="7">
        <f>IF($C25="","",IF('설정'!$B$4=0,"",CHOOSE('설정'!$B$4,SUMIFS('RAW_유기농_7월'!$H:$H,'RAW_유기농_7월'!$D:$D,$C25,'RAW_유기농_7월'!$A:$A,$E25),SUMIFS('RAW_유기농_8월'!$H:$H,'RAW_유기농_8월'!$D:$D,$C25,'RAW_유기농_8월'!$A:$A,$E25),SUMIFS('RAW_유기농_9월'!$H:$H,'RAW_유기농_9월'!$D:$D,$C25,'RAW_유기농_9월'!$A:$A,$E25),SUMIFS('RAW_유기농_10월'!$H:$H,'RAW_유기농_10월'!$D:$D,$C25,'RAW_유기농_10월'!$A:$A,$E25),SUMIFS('RAW_유기농_11-12월'!$H:$H,'RAW_유기농_11-12월'!$D:$D,$C25,'RAW_유기농_11-12월'!$A:$A,$E25))))</f>
        <v>612556</v>
      </c>
      <c r="I25" s="17" t="str">
        <f>IF($C25="","",IF(COUNTIFS('RAW_유기농_7월'!$D:$D,$C25,'RAW_유기농_7월'!$A:$A,$E25)&gt;0,"O",""))</f>
        <v>O</v>
      </c>
      <c r="J25" s="17" t="str">
        <f>IF($C25="","",IF(COUNTIFS('RAW_유기농_8월'!$D:$D,$C25,'RAW_유기농_8월'!$A:$A,$E25)&gt;0,"O",""))</f>
        <v>O</v>
      </c>
      <c r="K25" s="17" t="str">
        <f>IF($C25="","",IF(COUNTIFS('RAW_유기농_9월'!$D:$D,$C25,'RAW_유기농_9월'!$A:$A,$E25)&gt;0,"O",""))</f>
        <v/>
      </c>
      <c r="L25" s="17" t="str">
        <f>IF($C25="","",IF(COUNTIFS('RAW_유기농_10월'!$D:$D,$C25,'RAW_유기농_10월'!$A:$A,$E25)&gt;0,"O",""))</f>
        <v/>
      </c>
      <c r="M25" s="17" t="str">
        <f>IF($C25="","",IF(COUNTIFS('RAW_유기농_11-12월'!$D:$D,$C25,'RAW_유기농_11-12월'!$A:$A,$E25)&gt;0,"O",""))</f>
        <v/>
      </c>
      <c r="N25" s="7">
        <f>IF($C25="","",IF(COUNTA('RAW_유기농_7월'!$A:$A)&lt;=1,"",SUMIFS('RAW_유기농_7월'!$H:$H,'RAW_유기농_7월'!$D:$D,$C25,'RAW_유기농_7월'!$A:$A,$E25)))</f>
        <v>260996</v>
      </c>
      <c r="O25" s="7">
        <f>IF($C25="","",IF(COUNTA('RAW_유기농_8월'!$A:$A)&lt;=1,"",SUMIFS('RAW_유기농_8월'!$H:$H,'RAW_유기농_8월'!$D:$D,$C25,'RAW_유기농_8월'!$A:$A,$E25)-SUMIFS('RAW_유기농_7월'!$H:$H,'RAW_유기농_7월'!$D:$D,$C25,'RAW_유기농_7월'!$A:$A,$E25)))</f>
        <v>351560</v>
      </c>
      <c r="P25" s="7" t="str">
        <f>IF($C25="","",IF(COUNTA('RAW_유기농_9월'!$A:$A)&lt;=1,"",SUMIFS('RAW_유기농_9월'!$H:$H,'RAW_유기농_9월'!$D:$D,$C25,'RAW_유기농_9월'!$A:$A,$E25)-SUMIFS('RAW_유기농_8월'!$H:$H,'RAW_유기농_8월'!$D:$D,$C25,'RAW_유기농_8월'!$A:$A,$E25)))</f>
        <v/>
      </c>
      <c r="Q25" s="7" t="str">
        <f>IF($C25="","",IF(COUNTA('RAW_유기농_10월'!$A:$A)&lt;=1,"",SUMIFS('RAW_유기농_10월'!$H:$H,'RAW_유기농_10월'!$D:$D,$C25,'RAW_유기농_10월'!$A:$A,$E25)-SUMIFS('RAW_유기농_9월'!$H:$H,'RAW_유기농_9월'!$D:$D,$C25,'RAW_유기농_9월'!$A:$A,$E25)))</f>
        <v/>
      </c>
      <c r="R25" s="7" t="str">
        <f>IF($C25="","",IF(COUNTA('RAW_유기농_11-12월'!$A:$A)&lt;=1,"",SUMIFS('RAW_유기농_11-12월'!$H:$H,'RAW_유기농_11-12월'!$D:$D,$C25,'RAW_유기농_11-12월'!$A:$A,$E25)-SUMIFS('RAW_유기농_10월'!$H:$H,'RAW_유기농_10월'!$D:$D,$C25,'RAW_유기농_10월'!$A:$A,$E25)))</f>
        <v/>
      </c>
      <c r="S25" s="17" t="str">
        <f t="shared" si="4"/>
        <v>O</v>
      </c>
      <c r="T25" s="17" t="str">
        <f t="shared" si="5"/>
        <v>100만원 미만</v>
      </c>
      <c r="U25" s="7">
        <f>IF($C25="",0,IF('설정'!$B$4=0,0,CHOOSE('설정'!$B$4,COUNTIFS('RAW_유기농_7월'!$D:$D,$C25,'RAW_유기농_7월'!$A:$A,$E25),COUNTIFS('RAW_유기농_8월'!$D:$D,$C25,'RAW_유기농_8월'!$A:$A,$E25),COUNTIFS('RAW_유기농_9월'!$D:$D,$C25,'RAW_유기농_9월'!$A:$A,$E25),COUNTIFS('RAW_유기농_10월'!$D:$D,$C25,'RAW_유기농_10월'!$A:$A,$E25),COUNTIFS('RAW_유기농_11-12월'!$D:$D,$C25,'RAW_유기농_11-12월'!$A:$A,$E25))))</f>
        <v>4</v>
      </c>
    </row>
    <row r="26" ht="15.75" customHeight="1">
      <c r="A26" s="5">
        <v>24.0</v>
      </c>
      <c r="B26" s="5" t="s">
        <v>25</v>
      </c>
      <c r="C26" s="5" t="s">
        <v>948</v>
      </c>
      <c r="D26" s="6" t="s">
        <v>949</v>
      </c>
      <c r="E26" s="5" t="s">
        <v>31</v>
      </c>
      <c r="F26" s="7">
        <f>IF($C26="","",IF('설정'!$B$4=0,"",CHOOSE('설정'!$B$4,SUMIFS('RAW_유기농_7월'!$F:$F,'RAW_유기농_7월'!$D:$D,$C26,'RAW_유기농_7월'!$A:$A,$E26),SUMIFS('RAW_유기농_8월'!$F:$F,'RAW_유기농_8월'!$D:$D,$C26,'RAW_유기농_8월'!$A:$A,$E26),SUMIFS('RAW_유기농_9월'!$F:$F,'RAW_유기농_9월'!$D:$D,$C26,'RAW_유기농_9월'!$A:$A,$E26),SUMIFS('RAW_유기농_10월'!$F:$F,'RAW_유기농_10월'!$D:$D,$C26,'RAW_유기농_10월'!$A:$A,$E26),SUMIFS('RAW_유기농_11-12월'!$F:$F,'RAW_유기농_11-12월'!$D:$D,$C26,'RAW_유기농_11-12월'!$A:$A,$E26))))</f>
        <v>14326</v>
      </c>
      <c r="G26" s="7">
        <f>IF($C26="","",IF('설정'!$B$4=0,"",CHOOSE('설정'!$B$4,SUMIFS('RAW_유기농_7월'!$G:$G,'RAW_유기농_7월'!$D:$D,$C26,'RAW_유기농_7월'!$A:$A,$E26),SUMIFS('RAW_유기농_8월'!$G:$G,'RAW_유기농_8월'!$D:$D,$C26,'RAW_유기농_8월'!$A:$A,$E26),SUMIFS('RAW_유기농_9월'!$G:$G,'RAW_유기농_9월'!$D:$D,$C26,'RAW_유기농_9월'!$A:$A,$E26),SUMIFS('RAW_유기농_10월'!$G:$G,'RAW_유기농_10월'!$D:$D,$C26,'RAW_유기농_10월'!$A:$A,$E26),SUMIFS('RAW_유기농_11-12월'!$G:$G,'RAW_유기농_11-12월'!$D:$D,$C26,'RAW_유기농_11-12월'!$A:$A,$E26))))</f>
        <v>41928380</v>
      </c>
      <c r="H26" s="7">
        <f>IF($C26="","",IF('설정'!$B$4=0,"",CHOOSE('설정'!$B$4,SUMIFS('RAW_유기농_7월'!$H:$H,'RAW_유기농_7월'!$D:$D,$C26,'RAW_유기농_7월'!$A:$A,$E26),SUMIFS('RAW_유기농_8월'!$H:$H,'RAW_유기농_8월'!$D:$D,$C26,'RAW_유기농_8월'!$A:$A,$E26),SUMIFS('RAW_유기농_9월'!$H:$H,'RAW_유기농_9월'!$D:$D,$C26,'RAW_유기농_9월'!$A:$A,$E26),SUMIFS('RAW_유기농_10월'!$H:$H,'RAW_유기농_10월'!$D:$D,$C26,'RAW_유기농_10월'!$A:$A,$E26),SUMIFS('RAW_유기농_11-12월'!$H:$H,'RAW_유기농_11-12월'!$D:$D,$C26,'RAW_유기농_11-12월'!$A:$A,$E26))))</f>
        <v>2130483</v>
      </c>
      <c r="I26" s="17" t="str">
        <f>IF($C26="","",IF(COUNTIFS('RAW_유기농_7월'!$D:$D,$C26,'RAW_유기농_7월'!$A:$A,$E26)&gt;0,"O",""))</f>
        <v>O</v>
      </c>
      <c r="J26" s="17" t="str">
        <f>IF($C26="","",IF(COUNTIFS('RAW_유기농_8월'!$D:$D,$C26,'RAW_유기농_8월'!$A:$A,$E26)&gt;0,"O",""))</f>
        <v>O</v>
      </c>
      <c r="K26" s="17" t="str">
        <f>IF($C26="","",IF(COUNTIFS('RAW_유기농_9월'!$D:$D,$C26,'RAW_유기농_9월'!$A:$A,$E26)&gt;0,"O",""))</f>
        <v/>
      </c>
      <c r="L26" s="17" t="str">
        <f>IF($C26="","",IF(COUNTIFS('RAW_유기농_10월'!$D:$D,$C26,'RAW_유기농_10월'!$A:$A,$E26)&gt;0,"O",""))</f>
        <v/>
      </c>
      <c r="M26" s="17" t="str">
        <f>IF($C26="","",IF(COUNTIFS('RAW_유기농_11-12월'!$D:$D,$C26,'RAW_유기농_11-12월'!$A:$A,$E26)&gt;0,"O",""))</f>
        <v/>
      </c>
      <c r="N26" s="7">
        <f>IF($C26="","",IF(COUNTA('RAW_유기농_7월'!$A:$A)&lt;=1,"",SUMIFS('RAW_유기농_7월'!$H:$H,'RAW_유기농_7월'!$D:$D,$C26,'RAW_유기농_7월'!$A:$A,$E26)))</f>
        <v>1117281</v>
      </c>
      <c r="O26" s="7">
        <f>IF($C26="","",IF(COUNTA('RAW_유기농_8월'!$A:$A)&lt;=1,"",SUMIFS('RAW_유기농_8월'!$H:$H,'RAW_유기농_8월'!$D:$D,$C26,'RAW_유기농_8월'!$A:$A,$E26)-SUMIFS('RAW_유기농_7월'!$H:$H,'RAW_유기농_7월'!$D:$D,$C26,'RAW_유기농_7월'!$A:$A,$E26)))</f>
        <v>1013202</v>
      </c>
      <c r="P26" s="7" t="str">
        <f>IF($C26="","",IF(COUNTA('RAW_유기농_9월'!$A:$A)&lt;=1,"",SUMIFS('RAW_유기농_9월'!$H:$H,'RAW_유기농_9월'!$D:$D,$C26,'RAW_유기농_9월'!$A:$A,$E26)-SUMIFS('RAW_유기농_8월'!$H:$H,'RAW_유기농_8월'!$D:$D,$C26,'RAW_유기농_8월'!$A:$A,$E26)))</f>
        <v/>
      </c>
      <c r="Q26" s="7" t="str">
        <f>IF($C26="","",IF(COUNTA('RAW_유기농_10월'!$A:$A)&lt;=1,"",SUMIFS('RAW_유기농_10월'!$H:$H,'RAW_유기농_10월'!$D:$D,$C26,'RAW_유기농_10월'!$A:$A,$E26)-SUMIFS('RAW_유기농_9월'!$H:$H,'RAW_유기농_9월'!$D:$D,$C26,'RAW_유기농_9월'!$A:$A,$E26)))</f>
        <v/>
      </c>
      <c r="R26" s="7" t="str">
        <f>IF($C26="","",IF(COUNTA('RAW_유기농_11-12월'!$A:$A)&lt;=1,"",SUMIFS('RAW_유기농_11-12월'!$H:$H,'RAW_유기농_11-12월'!$D:$D,$C26,'RAW_유기농_11-12월'!$A:$A,$E26)-SUMIFS('RAW_유기농_10월'!$H:$H,'RAW_유기농_10월'!$D:$D,$C26,'RAW_유기농_10월'!$A:$A,$E26)))</f>
        <v/>
      </c>
      <c r="S26" s="17" t="str">
        <f t="shared" si="4"/>
        <v>O</v>
      </c>
      <c r="T26" s="17" t="str">
        <f t="shared" si="5"/>
        <v>300만원 미만</v>
      </c>
      <c r="U26" s="7">
        <f>IF($C26="",0,IF('설정'!$B$4=0,0,CHOOSE('설정'!$B$4,COUNTIFS('RAW_유기농_7월'!$D:$D,$C26,'RAW_유기농_7월'!$A:$A,$E26),COUNTIFS('RAW_유기농_8월'!$D:$D,$C26,'RAW_유기농_8월'!$A:$A,$E26),COUNTIFS('RAW_유기농_9월'!$D:$D,$C26,'RAW_유기농_9월'!$A:$A,$E26),COUNTIFS('RAW_유기농_10월'!$D:$D,$C26,'RAW_유기농_10월'!$A:$A,$E26),COUNTIFS('RAW_유기농_11-12월'!$D:$D,$C26,'RAW_유기농_11-12월'!$A:$A,$E26))))</f>
        <v>12</v>
      </c>
    </row>
    <row r="27" ht="15.75" customHeight="1">
      <c r="A27" s="5">
        <v>25.0</v>
      </c>
      <c r="B27" s="5" t="s">
        <v>25</v>
      </c>
      <c r="C27" s="5" t="s">
        <v>1053</v>
      </c>
      <c r="D27" s="6" t="s">
        <v>1054</v>
      </c>
      <c r="E27" s="5" t="s">
        <v>92</v>
      </c>
      <c r="F27" s="7">
        <f>IF($C27="","",IF('설정'!$B$4=0,"",CHOOSE('설정'!$B$4,SUMIFS('RAW_유기농_7월'!$F:$F,'RAW_유기농_7월'!$D:$D,$C27,'RAW_유기농_7월'!$A:$A,$E27),SUMIFS('RAW_유기농_8월'!$F:$F,'RAW_유기농_8월'!$D:$D,$C27,'RAW_유기농_8월'!$A:$A,$E27),SUMIFS('RAW_유기농_9월'!$F:$F,'RAW_유기농_9월'!$D:$D,$C27,'RAW_유기농_9월'!$A:$A,$E27),SUMIFS('RAW_유기농_10월'!$F:$F,'RAW_유기농_10월'!$D:$D,$C27,'RAW_유기농_10월'!$A:$A,$E27),SUMIFS('RAW_유기농_11-12월'!$F:$F,'RAW_유기농_11-12월'!$D:$D,$C27,'RAW_유기농_11-12월'!$A:$A,$E27))))</f>
        <v>82</v>
      </c>
      <c r="G27" s="7">
        <f>IF($C27="","",IF('설정'!$B$4=0,"",CHOOSE('설정'!$B$4,SUMIFS('RAW_유기농_7월'!$G:$G,'RAW_유기농_7월'!$D:$D,$C27,'RAW_유기농_7월'!$A:$A,$E27),SUMIFS('RAW_유기농_8월'!$G:$G,'RAW_유기농_8월'!$D:$D,$C27,'RAW_유기농_8월'!$A:$A,$E27),SUMIFS('RAW_유기농_9월'!$G:$G,'RAW_유기농_9월'!$D:$D,$C27,'RAW_유기농_9월'!$A:$A,$E27),SUMIFS('RAW_유기농_10월'!$G:$G,'RAW_유기농_10월'!$D:$D,$C27,'RAW_유기농_10월'!$A:$A,$E27),SUMIFS('RAW_유기농_11-12월'!$G:$G,'RAW_유기농_11-12월'!$D:$D,$C27,'RAW_유기농_11-12월'!$A:$A,$E27))))</f>
        <v>4760000</v>
      </c>
      <c r="H27" s="7">
        <f>IF($C27="","",IF('설정'!$B$4=0,"",CHOOSE('설정'!$B$4,SUMIFS('RAW_유기농_7월'!$H:$H,'RAW_유기농_7월'!$D:$D,$C27,'RAW_유기농_7월'!$A:$A,$E27),SUMIFS('RAW_유기농_8월'!$H:$H,'RAW_유기농_8월'!$D:$D,$C27,'RAW_유기농_8월'!$A:$A,$E27),SUMIFS('RAW_유기농_9월'!$H:$H,'RAW_유기농_9월'!$D:$D,$C27,'RAW_유기농_9월'!$A:$A,$E27),SUMIFS('RAW_유기농_10월'!$H:$H,'RAW_유기농_10월'!$D:$D,$C27,'RAW_유기농_10월'!$A:$A,$E27),SUMIFS('RAW_유기농_11-12월'!$H:$H,'RAW_유기농_11-12월'!$D:$D,$C27,'RAW_유기농_11-12월'!$A:$A,$E27))))</f>
        <v>720000</v>
      </c>
      <c r="I27" s="17" t="str">
        <f>IF($C27="","",IF(COUNTIFS('RAW_유기농_7월'!$D:$D,$C27,'RAW_유기농_7월'!$A:$A,$E27)&gt;0,"O",""))</f>
        <v>O</v>
      </c>
      <c r="J27" s="17" t="str">
        <f>IF($C27="","",IF(COUNTIFS('RAW_유기농_8월'!$D:$D,$C27,'RAW_유기농_8월'!$A:$A,$E27)&gt;0,"O",""))</f>
        <v>O</v>
      </c>
      <c r="K27" s="17" t="str">
        <f>IF($C27="","",IF(COUNTIFS('RAW_유기농_9월'!$D:$D,$C27,'RAW_유기농_9월'!$A:$A,$E27)&gt;0,"O",""))</f>
        <v/>
      </c>
      <c r="L27" s="17" t="str">
        <f>IF($C27="","",IF(COUNTIFS('RAW_유기농_10월'!$D:$D,$C27,'RAW_유기농_10월'!$A:$A,$E27)&gt;0,"O",""))</f>
        <v/>
      </c>
      <c r="M27" s="17" t="str">
        <f>IF($C27="","",IF(COUNTIFS('RAW_유기농_11-12월'!$D:$D,$C27,'RAW_유기농_11-12월'!$A:$A,$E27)&gt;0,"O",""))</f>
        <v/>
      </c>
      <c r="N27" s="7">
        <f>IF($C27="","",IF(COUNTA('RAW_유기농_7월'!$A:$A)&lt;=1,"",SUMIFS('RAW_유기농_7월'!$H:$H,'RAW_유기농_7월'!$D:$D,$C27,'RAW_유기농_7월'!$A:$A,$E27)))</f>
        <v>550000</v>
      </c>
      <c r="O27" s="7">
        <f>IF($C27="","",IF(COUNTA('RAW_유기농_8월'!$A:$A)&lt;=1,"",SUMIFS('RAW_유기농_8월'!$H:$H,'RAW_유기농_8월'!$D:$D,$C27,'RAW_유기농_8월'!$A:$A,$E27)-SUMIFS('RAW_유기농_7월'!$H:$H,'RAW_유기농_7월'!$D:$D,$C27,'RAW_유기농_7월'!$A:$A,$E27)))</f>
        <v>170000</v>
      </c>
      <c r="P27" s="7" t="str">
        <f>IF($C27="","",IF(COUNTA('RAW_유기농_9월'!$A:$A)&lt;=1,"",SUMIFS('RAW_유기농_9월'!$H:$H,'RAW_유기농_9월'!$D:$D,$C27,'RAW_유기농_9월'!$A:$A,$E27)-SUMIFS('RAW_유기농_8월'!$H:$H,'RAW_유기농_8월'!$D:$D,$C27,'RAW_유기농_8월'!$A:$A,$E27)))</f>
        <v/>
      </c>
      <c r="Q27" s="7" t="str">
        <f>IF($C27="","",IF(COUNTA('RAW_유기농_10월'!$A:$A)&lt;=1,"",SUMIFS('RAW_유기농_10월'!$H:$H,'RAW_유기농_10월'!$D:$D,$C27,'RAW_유기농_10월'!$A:$A,$E27)-SUMIFS('RAW_유기농_9월'!$H:$H,'RAW_유기농_9월'!$D:$D,$C27,'RAW_유기농_9월'!$A:$A,$E27)))</f>
        <v/>
      </c>
      <c r="R27" s="7" t="str">
        <f>IF($C27="","",IF(COUNTA('RAW_유기농_11-12월'!$A:$A)&lt;=1,"",SUMIFS('RAW_유기농_11-12월'!$H:$H,'RAW_유기농_11-12월'!$D:$D,$C27,'RAW_유기농_11-12월'!$A:$A,$E27)-SUMIFS('RAW_유기농_10월'!$H:$H,'RAW_유기농_10월'!$D:$D,$C27,'RAW_유기농_10월'!$A:$A,$E27)))</f>
        <v/>
      </c>
      <c r="S27" s="17" t="str">
        <f t="shared" si="4"/>
        <v>O</v>
      </c>
      <c r="T27" s="17" t="str">
        <f t="shared" si="5"/>
        <v>100만원 미만</v>
      </c>
      <c r="U27" s="7">
        <f>IF($C27="",0,IF('설정'!$B$4=0,0,CHOOSE('설정'!$B$4,COUNTIFS('RAW_유기농_7월'!$D:$D,$C27,'RAW_유기농_7월'!$A:$A,$E27),COUNTIFS('RAW_유기농_8월'!$D:$D,$C27,'RAW_유기농_8월'!$A:$A,$E27),COUNTIFS('RAW_유기농_9월'!$D:$D,$C27,'RAW_유기농_9월'!$A:$A,$E27),COUNTIFS('RAW_유기농_10월'!$D:$D,$C27,'RAW_유기농_10월'!$A:$A,$E27),COUNTIFS('RAW_유기농_11-12월'!$D:$D,$C27,'RAW_유기농_11-12월'!$A:$A,$E27))))</f>
        <v>1</v>
      </c>
    </row>
    <row r="28" ht="15.75" customHeight="1">
      <c r="A28" s="5">
        <v>26.0</v>
      </c>
      <c r="B28" s="5" t="s">
        <v>108</v>
      </c>
      <c r="C28" s="5" t="s">
        <v>1168</v>
      </c>
      <c r="D28" s="6" t="s">
        <v>1170</v>
      </c>
      <c r="E28" s="5" t="s">
        <v>92</v>
      </c>
      <c r="F28" s="7">
        <f>IF($C28="","",IF('설정'!$B$4=0,"",CHOOSE('설정'!$B$4,SUMIFS('RAW_유기농_7월'!$F:$F,'RAW_유기농_7월'!$D:$D,$C28,'RAW_유기농_7월'!$A:$A,$E28),SUMIFS('RAW_유기농_8월'!$F:$F,'RAW_유기농_8월'!$D:$D,$C28,'RAW_유기농_8월'!$A:$A,$E28),SUMIFS('RAW_유기농_9월'!$F:$F,'RAW_유기농_9월'!$D:$D,$C28,'RAW_유기농_9월'!$A:$A,$E28),SUMIFS('RAW_유기농_10월'!$F:$F,'RAW_유기농_10월'!$D:$D,$C28,'RAW_유기농_10월'!$A:$A,$E28),SUMIFS('RAW_유기농_11-12월'!$F:$F,'RAW_유기농_11-12월'!$D:$D,$C28,'RAW_유기농_11-12월'!$A:$A,$E28))))</f>
        <v>0</v>
      </c>
      <c r="G28" s="7">
        <f>IF($C28="","",IF('설정'!$B$4=0,"",CHOOSE('설정'!$B$4,SUMIFS('RAW_유기농_7월'!$G:$G,'RAW_유기농_7월'!$D:$D,$C28,'RAW_유기농_7월'!$A:$A,$E28),SUMIFS('RAW_유기농_8월'!$G:$G,'RAW_유기농_8월'!$D:$D,$C28,'RAW_유기농_8월'!$A:$A,$E28),SUMIFS('RAW_유기농_9월'!$G:$G,'RAW_유기농_9월'!$D:$D,$C28,'RAW_유기농_9월'!$A:$A,$E28),SUMIFS('RAW_유기농_10월'!$G:$G,'RAW_유기농_10월'!$D:$D,$C28,'RAW_유기농_10월'!$A:$A,$E28),SUMIFS('RAW_유기농_11-12월'!$G:$G,'RAW_유기농_11-12월'!$D:$D,$C28,'RAW_유기농_11-12월'!$A:$A,$E28))))</f>
        <v>0</v>
      </c>
      <c r="H28" s="7">
        <f>IF($C28="","",IF('설정'!$B$4=0,"",CHOOSE('설정'!$B$4,SUMIFS('RAW_유기농_7월'!$H:$H,'RAW_유기농_7월'!$D:$D,$C28,'RAW_유기농_7월'!$A:$A,$E28),SUMIFS('RAW_유기농_8월'!$H:$H,'RAW_유기농_8월'!$D:$D,$C28,'RAW_유기농_8월'!$A:$A,$E28),SUMIFS('RAW_유기농_9월'!$H:$H,'RAW_유기농_9월'!$D:$D,$C28,'RAW_유기농_9월'!$A:$A,$E28),SUMIFS('RAW_유기농_10월'!$H:$H,'RAW_유기농_10월'!$D:$D,$C28,'RAW_유기농_10월'!$A:$A,$E28),SUMIFS('RAW_유기농_11-12월'!$H:$H,'RAW_유기농_11-12월'!$D:$D,$C28,'RAW_유기농_11-12월'!$A:$A,$E28))))</f>
        <v>0</v>
      </c>
      <c r="I28" s="17" t="str">
        <f>IF($C28="","",IF(COUNTIFS('RAW_유기농_7월'!$D:$D,$C28,'RAW_유기농_7월'!$A:$A,$E28)&gt;0,"O",""))</f>
        <v/>
      </c>
      <c r="J28" s="17" t="str">
        <f>IF($C28="","",IF(COUNTIFS('RAW_유기농_8월'!$D:$D,$C28,'RAW_유기농_8월'!$A:$A,$E28)&gt;0,"O",""))</f>
        <v/>
      </c>
      <c r="K28" s="17" t="str">
        <f>IF($C28="","",IF(COUNTIFS('RAW_유기농_9월'!$D:$D,$C28,'RAW_유기농_9월'!$A:$A,$E28)&gt;0,"O",""))</f>
        <v/>
      </c>
      <c r="L28" s="17" t="str">
        <f>IF($C28="","",IF(COUNTIFS('RAW_유기농_10월'!$D:$D,$C28,'RAW_유기농_10월'!$A:$A,$E28)&gt;0,"O",""))</f>
        <v/>
      </c>
      <c r="M28" s="17" t="str">
        <f>IF($C28="","",IF(COUNTIFS('RAW_유기농_11-12월'!$D:$D,$C28,'RAW_유기농_11-12월'!$A:$A,$E28)&gt;0,"O",""))</f>
        <v/>
      </c>
      <c r="N28" s="7">
        <f>IF($C28="","",IF(COUNTA('RAW_유기농_7월'!$A:$A)&lt;=1,"",SUMIFS('RAW_유기농_7월'!$H:$H,'RAW_유기농_7월'!$D:$D,$C28,'RAW_유기농_7월'!$A:$A,$E28)))</f>
        <v>0</v>
      </c>
      <c r="O28" s="7">
        <f>IF($C28="","",IF(COUNTA('RAW_유기농_8월'!$A:$A)&lt;=1,"",SUMIFS('RAW_유기농_8월'!$H:$H,'RAW_유기농_8월'!$D:$D,$C28,'RAW_유기농_8월'!$A:$A,$E28)-SUMIFS('RAW_유기농_7월'!$H:$H,'RAW_유기농_7월'!$D:$D,$C28,'RAW_유기농_7월'!$A:$A,$E28)))</f>
        <v>0</v>
      </c>
      <c r="P28" s="7" t="str">
        <f>IF($C28="","",IF(COUNTA('RAW_유기농_9월'!$A:$A)&lt;=1,"",SUMIFS('RAW_유기농_9월'!$H:$H,'RAW_유기농_9월'!$D:$D,$C28,'RAW_유기농_9월'!$A:$A,$E28)-SUMIFS('RAW_유기농_8월'!$H:$H,'RAW_유기농_8월'!$D:$D,$C28,'RAW_유기농_8월'!$A:$A,$E28)))</f>
        <v/>
      </c>
      <c r="Q28" s="7" t="str">
        <f>IF($C28="","",IF(COUNTA('RAW_유기농_10월'!$A:$A)&lt;=1,"",SUMIFS('RAW_유기농_10월'!$H:$H,'RAW_유기농_10월'!$D:$D,$C28,'RAW_유기농_10월'!$A:$A,$E28)-SUMIFS('RAW_유기농_9월'!$H:$H,'RAW_유기농_9월'!$D:$D,$C28,'RAW_유기농_9월'!$A:$A,$E28)))</f>
        <v/>
      </c>
      <c r="R28" s="7" t="str">
        <f>IF($C28="","",IF(COUNTA('RAW_유기농_11-12월'!$A:$A)&lt;=1,"",SUMIFS('RAW_유기농_11-12월'!$H:$H,'RAW_유기농_11-12월'!$D:$D,$C28,'RAW_유기농_11-12월'!$A:$A,$E28)-SUMIFS('RAW_유기농_10월'!$H:$H,'RAW_유기농_10월'!$D:$D,$C28,'RAW_유기농_10월'!$A:$A,$E28)))</f>
        <v/>
      </c>
      <c r="S28" s="17" t="str">
        <f t="shared" si="4"/>
        <v/>
      </c>
      <c r="T28" s="17" t="str">
        <f t="shared" si="5"/>
        <v>미사용</v>
      </c>
      <c r="U28" s="7">
        <f>IF($C28="",0,IF('설정'!$B$4=0,0,CHOOSE('설정'!$B$4,COUNTIFS('RAW_유기농_7월'!$D:$D,$C28,'RAW_유기농_7월'!$A:$A,$E28),COUNTIFS('RAW_유기농_8월'!$D:$D,$C28,'RAW_유기농_8월'!$A:$A,$E28),COUNTIFS('RAW_유기농_9월'!$D:$D,$C28,'RAW_유기농_9월'!$A:$A,$E28),COUNTIFS('RAW_유기농_10월'!$D:$D,$C28,'RAW_유기농_10월'!$A:$A,$E28),COUNTIFS('RAW_유기농_11-12월'!$D:$D,$C28,'RAW_유기농_11-12월'!$A:$A,$E28))))</f>
        <v>0</v>
      </c>
    </row>
    <row r="29" ht="15.75" customHeight="1">
      <c r="A29" s="5">
        <v>27.0</v>
      </c>
      <c r="B29" s="5" t="s">
        <v>145</v>
      </c>
      <c r="C29" s="5" t="s">
        <v>1293</v>
      </c>
      <c r="D29" s="6" t="s">
        <v>1294</v>
      </c>
      <c r="E29" s="5" t="s">
        <v>92</v>
      </c>
      <c r="F29" s="7">
        <f>IF($C29="","",IF('설정'!$B$4=0,"",CHOOSE('설정'!$B$4,SUMIFS('RAW_유기농_7월'!$F:$F,'RAW_유기농_7월'!$D:$D,$C29,'RAW_유기농_7월'!$A:$A,$E29),SUMIFS('RAW_유기농_8월'!$F:$F,'RAW_유기농_8월'!$D:$D,$C29,'RAW_유기농_8월'!$A:$A,$E29),SUMIFS('RAW_유기농_9월'!$F:$F,'RAW_유기농_9월'!$D:$D,$C29,'RAW_유기농_9월'!$A:$A,$E29),SUMIFS('RAW_유기농_10월'!$F:$F,'RAW_유기농_10월'!$D:$D,$C29,'RAW_유기농_10월'!$A:$A,$E29),SUMIFS('RAW_유기농_11-12월'!$F:$F,'RAW_유기농_11-12월'!$D:$D,$C29,'RAW_유기농_11-12월'!$A:$A,$E29))))</f>
        <v>520</v>
      </c>
      <c r="G29" s="7">
        <f>IF($C29="","",IF('설정'!$B$4=0,"",CHOOSE('설정'!$B$4,SUMIFS('RAW_유기농_7월'!$G:$G,'RAW_유기농_7월'!$D:$D,$C29,'RAW_유기농_7월'!$A:$A,$E29),SUMIFS('RAW_유기농_8월'!$G:$G,'RAW_유기농_8월'!$D:$D,$C29,'RAW_유기농_8월'!$A:$A,$E29),SUMIFS('RAW_유기농_9월'!$G:$G,'RAW_유기농_9월'!$D:$D,$C29,'RAW_유기농_9월'!$A:$A,$E29),SUMIFS('RAW_유기농_10월'!$G:$G,'RAW_유기농_10월'!$D:$D,$C29,'RAW_유기농_10월'!$A:$A,$E29),SUMIFS('RAW_유기농_11-12월'!$G:$G,'RAW_유기농_11-12월'!$D:$D,$C29,'RAW_유기농_11-12월'!$A:$A,$E29))))</f>
        <v>13123000</v>
      </c>
      <c r="H29" s="7">
        <f>IF($C29="","",IF('설정'!$B$4=0,"",CHOOSE('설정'!$B$4,SUMIFS('RAW_유기농_7월'!$H:$H,'RAW_유기농_7월'!$D:$D,$C29,'RAW_유기농_7월'!$A:$A,$E29),SUMIFS('RAW_유기농_8월'!$H:$H,'RAW_유기농_8월'!$D:$D,$C29,'RAW_유기농_8월'!$A:$A,$E29),SUMIFS('RAW_유기농_9월'!$H:$H,'RAW_유기농_9월'!$D:$D,$C29,'RAW_유기농_9월'!$A:$A,$E29),SUMIFS('RAW_유기농_10월'!$H:$H,'RAW_유기농_10월'!$D:$D,$C29,'RAW_유기농_10월'!$A:$A,$E29),SUMIFS('RAW_유기농_11-12월'!$H:$H,'RAW_유기농_11-12월'!$D:$D,$C29,'RAW_유기농_11-12월'!$A:$A,$E29))))</f>
        <v>1043580</v>
      </c>
      <c r="I29" s="17" t="str">
        <f>IF($C29="","",IF(COUNTIFS('RAW_유기농_7월'!$D:$D,$C29,'RAW_유기농_7월'!$A:$A,$E29)&gt;0,"O",""))</f>
        <v>O</v>
      </c>
      <c r="J29" s="17" t="str">
        <f>IF($C29="","",IF(COUNTIFS('RAW_유기농_8월'!$D:$D,$C29,'RAW_유기농_8월'!$A:$A,$E29)&gt;0,"O",""))</f>
        <v>O</v>
      </c>
      <c r="K29" s="17" t="str">
        <f>IF($C29="","",IF(COUNTIFS('RAW_유기농_9월'!$D:$D,$C29,'RAW_유기농_9월'!$A:$A,$E29)&gt;0,"O",""))</f>
        <v/>
      </c>
      <c r="L29" s="17" t="str">
        <f>IF($C29="","",IF(COUNTIFS('RAW_유기농_10월'!$D:$D,$C29,'RAW_유기농_10월'!$A:$A,$E29)&gt;0,"O",""))</f>
        <v/>
      </c>
      <c r="M29" s="17" t="str">
        <f>IF($C29="","",IF(COUNTIFS('RAW_유기농_11-12월'!$D:$D,$C29,'RAW_유기농_11-12월'!$A:$A,$E29)&gt;0,"O",""))</f>
        <v/>
      </c>
      <c r="N29" s="7">
        <f>IF($C29="","",IF(COUNTA('RAW_유기농_7월'!$A:$A)&lt;=1,"",SUMIFS('RAW_유기농_7월'!$H:$H,'RAW_유기농_7월'!$D:$D,$C29,'RAW_유기농_7월'!$A:$A,$E29)))</f>
        <v>0</v>
      </c>
      <c r="O29" s="7">
        <f>IF($C29="","",IF(COUNTA('RAW_유기농_8월'!$A:$A)&lt;=1,"",SUMIFS('RAW_유기농_8월'!$H:$H,'RAW_유기농_8월'!$D:$D,$C29,'RAW_유기농_8월'!$A:$A,$E29)-SUMIFS('RAW_유기농_7월'!$H:$H,'RAW_유기농_7월'!$D:$D,$C29,'RAW_유기농_7월'!$A:$A,$E29)))</f>
        <v>1043580</v>
      </c>
      <c r="P29" s="7" t="str">
        <f>IF($C29="","",IF(COUNTA('RAW_유기농_9월'!$A:$A)&lt;=1,"",SUMIFS('RAW_유기농_9월'!$H:$H,'RAW_유기농_9월'!$D:$D,$C29,'RAW_유기농_9월'!$A:$A,$E29)-SUMIFS('RAW_유기농_8월'!$H:$H,'RAW_유기농_8월'!$D:$D,$C29,'RAW_유기농_8월'!$A:$A,$E29)))</f>
        <v/>
      </c>
      <c r="Q29" s="7" t="str">
        <f>IF($C29="","",IF(COUNTA('RAW_유기농_10월'!$A:$A)&lt;=1,"",SUMIFS('RAW_유기농_10월'!$H:$H,'RAW_유기농_10월'!$D:$D,$C29,'RAW_유기농_10월'!$A:$A,$E29)-SUMIFS('RAW_유기농_9월'!$H:$H,'RAW_유기농_9월'!$D:$D,$C29,'RAW_유기농_9월'!$A:$A,$E29)))</f>
        <v/>
      </c>
      <c r="R29" s="7" t="str">
        <f>IF($C29="","",IF(COUNTA('RAW_유기농_11-12월'!$A:$A)&lt;=1,"",SUMIFS('RAW_유기농_11-12월'!$H:$H,'RAW_유기농_11-12월'!$D:$D,$C29,'RAW_유기농_11-12월'!$A:$A,$E29)-SUMIFS('RAW_유기농_10월'!$H:$H,'RAW_유기농_10월'!$D:$D,$C29,'RAW_유기농_10월'!$A:$A,$E29)))</f>
        <v/>
      </c>
      <c r="S29" s="17" t="str">
        <f t="shared" si="4"/>
        <v>O</v>
      </c>
      <c r="T29" s="17" t="str">
        <f t="shared" si="5"/>
        <v>200만원 미만</v>
      </c>
      <c r="U29" s="7">
        <f>IF($C29="",0,IF('설정'!$B$4=0,0,CHOOSE('설정'!$B$4,COUNTIFS('RAW_유기농_7월'!$D:$D,$C29,'RAW_유기농_7월'!$A:$A,$E29),COUNTIFS('RAW_유기농_8월'!$D:$D,$C29,'RAW_유기농_8월'!$A:$A,$E29),COUNTIFS('RAW_유기농_9월'!$D:$D,$C29,'RAW_유기농_9월'!$A:$A,$E29),COUNTIFS('RAW_유기농_10월'!$D:$D,$C29,'RAW_유기농_10월'!$A:$A,$E29),COUNTIFS('RAW_유기농_11-12월'!$D:$D,$C29,'RAW_유기농_11-12월'!$A:$A,$E29))))</f>
        <v>1</v>
      </c>
    </row>
    <row r="30" ht="15.75" customHeight="1">
      <c r="A30" s="5">
        <v>28.0</v>
      </c>
      <c r="B30" s="5" t="s">
        <v>25</v>
      </c>
      <c r="C30" s="5" t="s">
        <v>1391</v>
      </c>
      <c r="D30" s="6" t="s">
        <v>1392</v>
      </c>
      <c r="E30" s="5" t="s">
        <v>92</v>
      </c>
      <c r="F30" s="7">
        <f>IF($C30="","",IF('설정'!$B$4=0,"",CHOOSE('설정'!$B$4,SUMIFS('RAW_유기농_7월'!$F:$F,'RAW_유기농_7월'!$D:$D,$C30,'RAW_유기농_7월'!$A:$A,$E30),SUMIFS('RAW_유기농_8월'!$F:$F,'RAW_유기농_8월'!$D:$D,$C30,'RAW_유기농_8월'!$A:$A,$E30),SUMIFS('RAW_유기농_9월'!$F:$F,'RAW_유기농_9월'!$D:$D,$C30,'RAW_유기농_9월'!$A:$A,$E30),SUMIFS('RAW_유기농_10월'!$F:$F,'RAW_유기농_10월'!$D:$D,$C30,'RAW_유기농_10월'!$A:$A,$E30),SUMIFS('RAW_유기농_11-12월'!$F:$F,'RAW_유기농_11-12월'!$D:$D,$C30,'RAW_유기농_11-12월'!$A:$A,$E30))))</f>
        <v>0</v>
      </c>
      <c r="G30" s="7">
        <f>IF($C30="","",IF('설정'!$B$4=0,"",CHOOSE('설정'!$B$4,SUMIFS('RAW_유기농_7월'!$G:$G,'RAW_유기농_7월'!$D:$D,$C30,'RAW_유기농_7월'!$A:$A,$E30),SUMIFS('RAW_유기농_8월'!$G:$G,'RAW_유기농_8월'!$D:$D,$C30,'RAW_유기농_8월'!$A:$A,$E30),SUMIFS('RAW_유기농_9월'!$G:$G,'RAW_유기농_9월'!$D:$D,$C30,'RAW_유기농_9월'!$A:$A,$E30),SUMIFS('RAW_유기농_10월'!$G:$G,'RAW_유기농_10월'!$D:$D,$C30,'RAW_유기농_10월'!$A:$A,$E30),SUMIFS('RAW_유기농_11-12월'!$G:$G,'RAW_유기농_11-12월'!$D:$D,$C30,'RAW_유기농_11-12월'!$A:$A,$E30))))</f>
        <v>0</v>
      </c>
      <c r="H30" s="7">
        <f>IF($C30="","",IF('설정'!$B$4=0,"",CHOOSE('설정'!$B$4,SUMIFS('RAW_유기농_7월'!$H:$H,'RAW_유기농_7월'!$D:$D,$C30,'RAW_유기농_7월'!$A:$A,$E30),SUMIFS('RAW_유기농_8월'!$H:$H,'RAW_유기농_8월'!$D:$D,$C30,'RAW_유기농_8월'!$A:$A,$E30),SUMIFS('RAW_유기농_9월'!$H:$H,'RAW_유기농_9월'!$D:$D,$C30,'RAW_유기농_9월'!$A:$A,$E30),SUMIFS('RAW_유기농_10월'!$H:$H,'RAW_유기농_10월'!$D:$D,$C30,'RAW_유기농_10월'!$A:$A,$E30),SUMIFS('RAW_유기농_11-12월'!$H:$H,'RAW_유기농_11-12월'!$D:$D,$C30,'RAW_유기농_11-12월'!$A:$A,$E30))))</f>
        <v>0</v>
      </c>
      <c r="I30" s="17" t="str">
        <f>IF($C30="","",IF(COUNTIFS('RAW_유기농_7월'!$D:$D,$C30,'RAW_유기농_7월'!$A:$A,$E30)&gt;0,"O",""))</f>
        <v/>
      </c>
      <c r="J30" s="17" t="str">
        <f>IF($C30="","",IF(COUNTIFS('RAW_유기농_8월'!$D:$D,$C30,'RAW_유기농_8월'!$A:$A,$E30)&gt;0,"O",""))</f>
        <v/>
      </c>
      <c r="K30" s="17" t="str">
        <f>IF($C30="","",IF(COUNTIFS('RAW_유기농_9월'!$D:$D,$C30,'RAW_유기농_9월'!$A:$A,$E30)&gt;0,"O",""))</f>
        <v/>
      </c>
      <c r="L30" s="17" t="str">
        <f>IF($C30="","",IF(COUNTIFS('RAW_유기농_10월'!$D:$D,$C30,'RAW_유기농_10월'!$A:$A,$E30)&gt;0,"O",""))</f>
        <v/>
      </c>
      <c r="M30" s="17" t="str">
        <f>IF($C30="","",IF(COUNTIFS('RAW_유기농_11-12월'!$D:$D,$C30,'RAW_유기농_11-12월'!$A:$A,$E30)&gt;0,"O",""))</f>
        <v/>
      </c>
      <c r="N30" s="7">
        <f>IF($C30="","",IF(COUNTA('RAW_유기농_7월'!$A:$A)&lt;=1,"",SUMIFS('RAW_유기농_7월'!$H:$H,'RAW_유기농_7월'!$D:$D,$C30,'RAW_유기농_7월'!$A:$A,$E30)))</f>
        <v>0</v>
      </c>
      <c r="O30" s="7">
        <f>IF($C30="","",IF(COUNTA('RAW_유기농_8월'!$A:$A)&lt;=1,"",SUMIFS('RAW_유기농_8월'!$H:$H,'RAW_유기농_8월'!$D:$D,$C30,'RAW_유기농_8월'!$A:$A,$E30)-SUMIFS('RAW_유기농_7월'!$H:$H,'RAW_유기농_7월'!$D:$D,$C30,'RAW_유기농_7월'!$A:$A,$E30)))</f>
        <v>0</v>
      </c>
      <c r="P30" s="7" t="str">
        <f>IF($C30="","",IF(COUNTA('RAW_유기농_9월'!$A:$A)&lt;=1,"",SUMIFS('RAW_유기농_9월'!$H:$H,'RAW_유기농_9월'!$D:$D,$C30,'RAW_유기농_9월'!$A:$A,$E30)-SUMIFS('RAW_유기농_8월'!$H:$H,'RAW_유기농_8월'!$D:$D,$C30,'RAW_유기농_8월'!$A:$A,$E30)))</f>
        <v/>
      </c>
      <c r="Q30" s="7" t="str">
        <f>IF($C30="","",IF(COUNTA('RAW_유기농_10월'!$A:$A)&lt;=1,"",SUMIFS('RAW_유기농_10월'!$H:$H,'RAW_유기농_10월'!$D:$D,$C30,'RAW_유기농_10월'!$A:$A,$E30)-SUMIFS('RAW_유기농_9월'!$H:$H,'RAW_유기농_9월'!$D:$D,$C30,'RAW_유기농_9월'!$A:$A,$E30)))</f>
        <v/>
      </c>
      <c r="R30" s="7" t="str">
        <f>IF($C30="","",IF(COUNTA('RAW_유기농_11-12월'!$A:$A)&lt;=1,"",SUMIFS('RAW_유기농_11-12월'!$H:$H,'RAW_유기농_11-12월'!$D:$D,$C30,'RAW_유기농_11-12월'!$A:$A,$E30)-SUMIFS('RAW_유기농_10월'!$H:$H,'RAW_유기농_10월'!$D:$D,$C30,'RAW_유기농_10월'!$A:$A,$E30)))</f>
        <v/>
      </c>
      <c r="S30" s="17" t="str">
        <f t="shared" si="4"/>
        <v/>
      </c>
      <c r="T30" s="17" t="str">
        <f t="shared" si="5"/>
        <v>미사용</v>
      </c>
      <c r="U30" s="7">
        <f>IF($C30="",0,IF('설정'!$B$4=0,0,CHOOSE('설정'!$B$4,COUNTIFS('RAW_유기농_7월'!$D:$D,$C30,'RAW_유기농_7월'!$A:$A,$E30),COUNTIFS('RAW_유기농_8월'!$D:$D,$C30,'RAW_유기농_8월'!$A:$A,$E30),COUNTIFS('RAW_유기농_9월'!$D:$D,$C30,'RAW_유기농_9월'!$A:$A,$E30),COUNTIFS('RAW_유기농_10월'!$D:$D,$C30,'RAW_유기농_10월'!$A:$A,$E30),COUNTIFS('RAW_유기농_11-12월'!$D:$D,$C30,'RAW_유기농_11-12월'!$A:$A,$E30))))</f>
        <v>0</v>
      </c>
    </row>
    <row r="31" ht="15.75" customHeight="1">
      <c r="A31" s="5">
        <v>29.0</v>
      </c>
      <c r="B31" s="5" t="s">
        <v>145</v>
      </c>
      <c r="C31" s="5" t="s">
        <v>1491</v>
      </c>
      <c r="D31" s="6" t="s">
        <v>1492</v>
      </c>
      <c r="E31" s="5" t="s">
        <v>31</v>
      </c>
      <c r="F31" s="7">
        <f>IF($C31="","",IF('설정'!$B$4=0,"",CHOOSE('설정'!$B$4,SUMIFS('RAW_유기농_7월'!$F:$F,'RAW_유기농_7월'!$D:$D,$C31,'RAW_유기농_7월'!$A:$A,$E31),SUMIFS('RAW_유기농_8월'!$F:$F,'RAW_유기농_8월'!$D:$D,$C31,'RAW_유기농_8월'!$A:$A,$E31),SUMIFS('RAW_유기농_9월'!$F:$F,'RAW_유기농_9월'!$D:$D,$C31,'RAW_유기농_9월'!$A:$A,$E31),SUMIFS('RAW_유기농_10월'!$F:$F,'RAW_유기농_10월'!$D:$D,$C31,'RAW_유기농_10월'!$A:$A,$E31),SUMIFS('RAW_유기농_11-12월'!$F:$F,'RAW_유기농_11-12월'!$D:$D,$C31,'RAW_유기농_11-12월'!$A:$A,$E31))))</f>
        <v>13</v>
      </c>
      <c r="G31" s="7">
        <f>IF($C31="","",IF('설정'!$B$4=0,"",CHOOSE('설정'!$B$4,SUMIFS('RAW_유기농_7월'!$G:$G,'RAW_유기농_7월'!$D:$D,$C31,'RAW_유기농_7월'!$A:$A,$E31),SUMIFS('RAW_유기농_8월'!$G:$G,'RAW_유기농_8월'!$D:$D,$C31,'RAW_유기농_8월'!$A:$A,$E31),SUMIFS('RAW_유기농_9월'!$G:$G,'RAW_유기농_9월'!$D:$D,$C31,'RAW_유기농_9월'!$A:$A,$E31),SUMIFS('RAW_유기농_10월'!$G:$G,'RAW_유기농_10월'!$D:$D,$C31,'RAW_유기농_10월'!$A:$A,$E31),SUMIFS('RAW_유기농_11-12월'!$G:$G,'RAW_유기농_11-12월'!$D:$D,$C31,'RAW_유기농_11-12월'!$A:$A,$E31))))</f>
        <v>249500</v>
      </c>
      <c r="H31" s="7">
        <f>IF($C31="","",IF('설정'!$B$4=0,"",CHOOSE('설정'!$B$4,SUMIFS('RAW_유기농_7월'!$H:$H,'RAW_유기농_7월'!$D:$D,$C31,'RAW_유기농_7월'!$A:$A,$E31),SUMIFS('RAW_유기농_8월'!$H:$H,'RAW_유기농_8월'!$D:$D,$C31,'RAW_유기농_8월'!$A:$A,$E31),SUMIFS('RAW_유기농_9월'!$H:$H,'RAW_유기농_9월'!$D:$D,$C31,'RAW_유기농_9월'!$A:$A,$E31),SUMIFS('RAW_유기농_10월'!$H:$H,'RAW_유기농_10월'!$D:$D,$C31,'RAW_유기농_10월'!$A:$A,$E31),SUMIFS('RAW_유기농_11-12월'!$H:$H,'RAW_유기농_11-12월'!$D:$D,$C31,'RAW_유기농_11-12월'!$A:$A,$E31))))</f>
        <v>36600</v>
      </c>
      <c r="I31" s="17" t="str">
        <f>IF($C31="","",IF(COUNTIFS('RAW_유기농_7월'!$D:$D,$C31,'RAW_유기농_7월'!$A:$A,$E31)&gt;0,"O",""))</f>
        <v>O</v>
      </c>
      <c r="J31" s="17" t="str">
        <f>IF($C31="","",IF(COUNTIFS('RAW_유기농_8월'!$D:$D,$C31,'RAW_유기농_8월'!$A:$A,$E31)&gt;0,"O",""))</f>
        <v>O</v>
      </c>
      <c r="K31" s="17" t="str">
        <f>IF($C31="","",IF(COUNTIFS('RAW_유기농_9월'!$D:$D,$C31,'RAW_유기농_9월'!$A:$A,$E31)&gt;0,"O",""))</f>
        <v/>
      </c>
      <c r="L31" s="17" t="str">
        <f>IF($C31="","",IF(COUNTIFS('RAW_유기농_10월'!$D:$D,$C31,'RAW_유기농_10월'!$A:$A,$E31)&gt;0,"O",""))</f>
        <v/>
      </c>
      <c r="M31" s="17" t="str">
        <f>IF($C31="","",IF(COUNTIFS('RAW_유기농_11-12월'!$D:$D,$C31,'RAW_유기농_11-12월'!$A:$A,$E31)&gt;0,"O",""))</f>
        <v/>
      </c>
      <c r="N31" s="7">
        <f>IF($C31="","",IF(COUNTA('RAW_유기농_7월'!$A:$A)&lt;=1,"",SUMIFS('RAW_유기농_7월'!$H:$H,'RAW_유기농_7월'!$D:$D,$C31,'RAW_유기농_7월'!$A:$A,$E31)))</f>
        <v>3700</v>
      </c>
      <c r="O31" s="7">
        <f>IF($C31="","",IF(COUNTA('RAW_유기농_8월'!$A:$A)&lt;=1,"",SUMIFS('RAW_유기농_8월'!$H:$H,'RAW_유기농_8월'!$D:$D,$C31,'RAW_유기농_8월'!$A:$A,$E31)-SUMIFS('RAW_유기농_7월'!$H:$H,'RAW_유기농_7월'!$D:$D,$C31,'RAW_유기농_7월'!$A:$A,$E31)))</f>
        <v>32900</v>
      </c>
      <c r="P31" s="7" t="str">
        <f>IF($C31="","",IF(COUNTA('RAW_유기농_9월'!$A:$A)&lt;=1,"",SUMIFS('RAW_유기농_9월'!$H:$H,'RAW_유기농_9월'!$D:$D,$C31,'RAW_유기농_9월'!$A:$A,$E31)-SUMIFS('RAW_유기농_8월'!$H:$H,'RAW_유기농_8월'!$D:$D,$C31,'RAW_유기농_8월'!$A:$A,$E31)))</f>
        <v/>
      </c>
      <c r="Q31" s="7" t="str">
        <f>IF($C31="","",IF(COUNTA('RAW_유기농_10월'!$A:$A)&lt;=1,"",SUMIFS('RAW_유기농_10월'!$H:$H,'RAW_유기농_10월'!$D:$D,$C31,'RAW_유기농_10월'!$A:$A,$E31)-SUMIFS('RAW_유기농_9월'!$H:$H,'RAW_유기농_9월'!$D:$D,$C31,'RAW_유기농_9월'!$A:$A,$E31)))</f>
        <v/>
      </c>
      <c r="R31" s="7" t="str">
        <f>IF($C31="","",IF(COUNTA('RAW_유기농_11-12월'!$A:$A)&lt;=1,"",SUMIFS('RAW_유기농_11-12월'!$H:$H,'RAW_유기농_11-12월'!$D:$D,$C31,'RAW_유기농_11-12월'!$A:$A,$E31)-SUMIFS('RAW_유기농_10월'!$H:$H,'RAW_유기농_10월'!$D:$D,$C31,'RAW_유기농_10월'!$A:$A,$E31)))</f>
        <v/>
      </c>
      <c r="S31" s="17" t="str">
        <f t="shared" si="4"/>
        <v>O</v>
      </c>
      <c r="T31" s="17" t="str">
        <f t="shared" si="5"/>
        <v>50만원 미만</v>
      </c>
      <c r="U31" s="7">
        <f>IF($C31="",0,IF('설정'!$B$4=0,0,CHOOSE('설정'!$B$4,COUNTIFS('RAW_유기농_7월'!$D:$D,$C31,'RAW_유기농_7월'!$A:$A,$E31),COUNTIFS('RAW_유기농_8월'!$D:$D,$C31,'RAW_유기농_8월'!$A:$A,$E31),COUNTIFS('RAW_유기농_9월'!$D:$D,$C31,'RAW_유기농_9월'!$A:$A,$E31),COUNTIFS('RAW_유기농_10월'!$D:$D,$C31,'RAW_유기농_10월'!$A:$A,$E31),COUNTIFS('RAW_유기농_11-12월'!$D:$D,$C31,'RAW_유기농_11-12월'!$A:$A,$E31))))</f>
        <v>6</v>
      </c>
    </row>
    <row r="32" ht="15.75" customHeight="1">
      <c r="A32" s="5">
        <v>30.0</v>
      </c>
      <c r="B32" s="5" t="s">
        <v>25</v>
      </c>
      <c r="C32" s="5" t="s">
        <v>1590</v>
      </c>
      <c r="D32" s="6" t="s">
        <v>1591</v>
      </c>
      <c r="E32" s="5" t="s">
        <v>31</v>
      </c>
      <c r="F32" s="7">
        <f>IF($C32="","",IF('설정'!$B$4=0,"",CHOOSE('설정'!$B$4,SUMIFS('RAW_유기농_7월'!$F:$F,'RAW_유기농_7월'!$D:$D,$C32,'RAW_유기농_7월'!$A:$A,$E32),SUMIFS('RAW_유기농_8월'!$F:$F,'RAW_유기농_8월'!$D:$D,$C32,'RAW_유기농_8월'!$A:$A,$E32),SUMIFS('RAW_유기농_9월'!$F:$F,'RAW_유기농_9월'!$D:$D,$C32,'RAW_유기농_9월'!$A:$A,$E32),SUMIFS('RAW_유기농_10월'!$F:$F,'RAW_유기농_10월'!$D:$D,$C32,'RAW_유기농_10월'!$A:$A,$E32),SUMIFS('RAW_유기농_11-12월'!$F:$F,'RAW_유기농_11-12월'!$D:$D,$C32,'RAW_유기농_11-12월'!$A:$A,$E32))))</f>
        <v>37</v>
      </c>
      <c r="G32" s="7">
        <f>IF($C32="","",IF('설정'!$B$4=0,"",CHOOSE('설정'!$B$4,SUMIFS('RAW_유기농_7월'!$G:$G,'RAW_유기농_7월'!$D:$D,$C32,'RAW_유기농_7월'!$A:$A,$E32),SUMIFS('RAW_유기농_8월'!$G:$G,'RAW_유기농_8월'!$D:$D,$C32,'RAW_유기농_8월'!$A:$A,$E32),SUMIFS('RAW_유기농_9월'!$G:$G,'RAW_유기농_9월'!$D:$D,$C32,'RAW_유기농_9월'!$A:$A,$E32),SUMIFS('RAW_유기농_10월'!$G:$G,'RAW_유기농_10월'!$D:$D,$C32,'RAW_유기농_10월'!$A:$A,$E32),SUMIFS('RAW_유기농_11-12월'!$G:$G,'RAW_유기농_11-12월'!$D:$D,$C32,'RAW_유기농_11-12월'!$A:$A,$E32))))</f>
        <v>555000</v>
      </c>
      <c r="H32" s="7">
        <f>IF($C32="","",IF('설정'!$B$4=0,"",CHOOSE('설정'!$B$4,SUMIFS('RAW_유기농_7월'!$H:$H,'RAW_유기농_7월'!$D:$D,$C32,'RAW_유기농_7월'!$A:$A,$E32),SUMIFS('RAW_유기농_8월'!$H:$H,'RAW_유기농_8월'!$D:$D,$C32,'RAW_유기농_8월'!$A:$A,$E32),SUMIFS('RAW_유기농_9월'!$H:$H,'RAW_유기농_9월'!$D:$D,$C32,'RAW_유기농_9월'!$A:$A,$E32),SUMIFS('RAW_유기농_10월'!$H:$H,'RAW_유기농_10월'!$D:$D,$C32,'RAW_유기농_10월'!$A:$A,$E32),SUMIFS('RAW_유기농_11-12월'!$H:$H,'RAW_유기농_11-12월'!$D:$D,$C32,'RAW_유기농_11-12월'!$A:$A,$E32))))</f>
        <v>103000</v>
      </c>
      <c r="I32" s="17" t="str">
        <f>IF($C32="","",IF(COUNTIFS('RAW_유기농_7월'!$D:$D,$C32,'RAW_유기농_7월'!$A:$A,$E32)&gt;0,"O",""))</f>
        <v>O</v>
      </c>
      <c r="J32" s="17" t="str">
        <f>IF($C32="","",IF(COUNTIFS('RAW_유기농_8월'!$D:$D,$C32,'RAW_유기농_8월'!$A:$A,$E32)&gt;0,"O",""))</f>
        <v>O</v>
      </c>
      <c r="K32" s="17" t="str">
        <f>IF($C32="","",IF(COUNTIFS('RAW_유기농_9월'!$D:$D,$C32,'RAW_유기농_9월'!$A:$A,$E32)&gt;0,"O",""))</f>
        <v/>
      </c>
      <c r="L32" s="17" t="str">
        <f>IF($C32="","",IF(COUNTIFS('RAW_유기농_10월'!$D:$D,$C32,'RAW_유기농_10월'!$A:$A,$E32)&gt;0,"O",""))</f>
        <v/>
      </c>
      <c r="M32" s="17" t="str">
        <f>IF($C32="","",IF(COUNTIFS('RAW_유기농_11-12월'!$D:$D,$C32,'RAW_유기농_11-12월'!$A:$A,$E32)&gt;0,"O",""))</f>
        <v/>
      </c>
      <c r="N32" s="7">
        <f>IF($C32="","",IF(COUNTA('RAW_유기농_7월'!$A:$A)&lt;=1,"",SUMIFS('RAW_유기농_7월'!$H:$H,'RAW_유기농_7월'!$D:$D,$C32,'RAW_유기농_7월'!$A:$A,$E32)))</f>
        <v>90000</v>
      </c>
      <c r="O32" s="7">
        <f>IF($C32="","",IF(COUNTA('RAW_유기농_8월'!$A:$A)&lt;=1,"",SUMIFS('RAW_유기농_8월'!$H:$H,'RAW_유기농_8월'!$D:$D,$C32,'RAW_유기농_8월'!$A:$A,$E32)-SUMIFS('RAW_유기농_7월'!$H:$H,'RAW_유기농_7월'!$D:$D,$C32,'RAW_유기농_7월'!$A:$A,$E32)))</f>
        <v>13000</v>
      </c>
      <c r="P32" s="7" t="str">
        <f>IF($C32="","",IF(COUNTA('RAW_유기농_9월'!$A:$A)&lt;=1,"",SUMIFS('RAW_유기농_9월'!$H:$H,'RAW_유기농_9월'!$D:$D,$C32,'RAW_유기농_9월'!$A:$A,$E32)-SUMIFS('RAW_유기농_8월'!$H:$H,'RAW_유기농_8월'!$D:$D,$C32,'RAW_유기농_8월'!$A:$A,$E32)))</f>
        <v/>
      </c>
      <c r="Q32" s="7" t="str">
        <f>IF($C32="","",IF(COUNTA('RAW_유기농_10월'!$A:$A)&lt;=1,"",SUMIFS('RAW_유기농_10월'!$H:$H,'RAW_유기농_10월'!$D:$D,$C32,'RAW_유기농_10월'!$A:$A,$E32)-SUMIFS('RAW_유기농_9월'!$H:$H,'RAW_유기농_9월'!$D:$D,$C32,'RAW_유기농_9월'!$A:$A,$E32)))</f>
        <v/>
      </c>
      <c r="R32" s="7" t="str">
        <f>IF($C32="","",IF(COUNTA('RAW_유기농_11-12월'!$A:$A)&lt;=1,"",SUMIFS('RAW_유기농_11-12월'!$H:$H,'RAW_유기농_11-12월'!$D:$D,$C32,'RAW_유기농_11-12월'!$A:$A,$E32)-SUMIFS('RAW_유기농_10월'!$H:$H,'RAW_유기농_10월'!$D:$D,$C32,'RAW_유기농_10월'!$A:$A,$E32)))</f>
        <v/>
      </c>
      <c r="S32" s="17" t="str">
        <f t="shared" si="4"/>
        <v>O</v>
      </c>
      <c r="T32" s="17" t="str">
        <f t="shared" si="5"/>
        <v>50만원 미만</v>
      </c>
      <c r="U32" s="7">
        <f>IF($C32="",0,IF('설정'!$B$4=0,0,CHOOSE('설정'!$B$4,COUNTIFS('RAW_유기농_7월'!$D:$D,$C32,'RAW_유기농_7월'!$A:$A,$E32),COUNTIFS('RAW_유기농_8월'!$D:$D,$C32,'RAW_유기농_8월'!$A:$A,$E32),COUNTIFS('RAW_유기농_9월'!$D:$D,$C32,'RAW_유기농_9월'!$A:$A,$E32),COUNTIFS('RAW_유기농_10월'!$D:$D,$C32,'RAW_유기농_10월'!$A:$A,$E32),COUNTIFS('RAW_유기농_11-12월'!$D:$D,$C32,'RAW_유기농_11-12월'!$A:$A,$E32))))</f>
        <v>2</v>
      </c>
    </row>
    <row r="33" ht="15.75" customHeight="1">
      <c r="A33" s="5">
        <v>31.0</v>
      </c>
      <c r="B33" s="5" t="s">
        <v>25</v>
      </c>
      <c r="C33" s="5" t="s">
        <v>1703</v>
      </c>
      <c r="D33" s="6" t="s">
        <v>1704</v>
      </c>
      <c r="E33" s="5" t="s">
        <v>31</v>
      </c>
      <c r="F33" s="7">
        <f>IF($C33="","",IF('설정'!$B$4=0,"",CHOOSE('설정'!$B$4,SUMIFS('RAW_유기농_7월'!$F:$F,'RAW_유기농_7월'!$D:$D,$C33,'RAW_유기농_7월'!$A:$A,$E33),SUMIFS('RAW_유기농_8월'!$F:$F,'RAW_유기농_8월'!$D:$D,$C33,'RAW_유기농_8월'!$A:$A,$E33),SUMIFS('RAW_유기농_9월'!$F:$F,'RAW_유기농_9월'!$D:$D,$C33,'RAW_유기농_9월'!$A:$A,$E33),SUMIFS('RAW_유기농_10월'!$F:$F,'RAW_유기농_10월'!$D:$D,$C33,'RAW_유기농_10월'!$A:$A,$E33),SUMIFS('RAW_유기농_11-12월'!$F:$F,'RAW_유기농_11-12월'!$D:$D,$C33,'RAW_유기농_11-12월'!$A:$A,$E33))))</f>
        <v>0</v>
      </c>
      <c r="G33" s="7">
        <f>IF($C33="","",IF('설정'!$B$4=0,"",CHOOSE('설정'!$B$4,SUMIFS('RAW_유기농_7월'!$G:$G,'RAW_유기농_7월'!$D:$D,$C33,'RAW_유기농_7월'!$A:$A,$E33),SUMIFS('RAW_유기농_8월'!$G:$G,'RAW_유기농_8월'!$D:$D,$C33,'RAW_유기농_8월'!$A:$A,$E33),SUMIFS('RAW_유기농_9월'!$G:$G,'RAW_유기농_9월'!$D:$D,$C33,'RAW_유기농_9월'!$A:$A,$E33),SUMIFS('RAW_유기농_10월'!$G:$G,'RAW_유기농_10월'!$D:$D,$C33,'RAW_유기농_10월'!$A:$A,$E33),SUMIFS('RAW_유기농_11-12월'!$G:$G,'RAW_유기농_11-12월'!$D:$D,$C33,'RAW_유기농_11-12월'!$A:$A,$E33))))</f>
        <v>0</v>
      </c>
      <c r="H33" s="7">
        <f>IF($C33="","",IF('설정'!$B$4=0,"",CHOOSE('설정'!$B$4,SUMIFS('RAW_유기농_7월'!$H:$H,'RAW_유기농_7월'!$D:$D,$C33,'RAW_유기농_7월'!$A:$A,$E33),SUMIFS('RAW_유기농_8월'!$H:$H,'RAW_유기농_8월'!$D:$D,$C33,'RAW_유기농_8월'!$A:$A,$E33),SUMIFS('RAW_유기농_9월'!$H:$H,'RAW_유기농_9월'!$D:$D,$C33,'RAW_유기농_9월'!$A:$A,$E33),SUMIFS('RAW_유기농_10월'!$H:$H,'RAW_유기농_10월'!$D:$D,$C33,'RAW_유기농_10월'!$A:$A,$E33),SUMIFS('RAW_유기농_11-12월'!$H:$H,'RAW_유기농_11-12월'!$D:$D,$C33,'RAW_유기농_11-12월'!$A:$A,$E33))))</f>
        <v>0</v>
      </c>
      <c r="I33" s="17" t="str">
        <f>IF($C33="","",IF(COUNTIFS('RAW_유기농_7월'!$D:$D,$C33,'RAW_유기농_7월'!$A:$A,$E33)&gt;0,"O",""))</f>
        <v/>
      </c>
      <c r="J33" s="17" t="str">
        <f>IF($C33="","",IF(COUNTIFS('RAW_유기농_8월'!$D:$D,$C33,'RAW_유기농_8월'!$A:$A,$E33)&gt;0,"O",""))</f>
        <v/>
      </c>
      <c r="K33" s="17" t="str">
        <f>IF($C33="","",IF(COUNTIFS('RAW_유기농_9월'!$D:$D,$C33,'RAW_유기농_9월'!$A:$A,$E33)&gt;0,"O",""))</f>
        <v/>
      </c>
      <c r="L33" s="17" t="str">
        <f>IF($C33="","",IF(COUNTIFS('RAW_유기농_10월'!$D:$D,$C33,'RAW_유기농_10월'!$A:$A,$E33)&gt;0,"O",""))</f>
        <v/>
      </c>
      <c r="M33" s="17" t="str">
        <f>IF($C33="","",IF(COUNTIFS('RAW_유기농_11-12월'!$D:$D,$C33,'RAW_유기농_11-12월'!$A:$A,$E33)&gt;0,"O",""))</f>
        <v/>
      </c>
      <c r="N33" s="7">
        <f>IF($C33="","",IF(COUNTA('RAW_유기농_7월'!$A:$A)&lt;=1,"",SUMIFS('RAW_유기농_7월'!$H:$H,'RAW_유기농_7월'!$D:$D,$C33,'RAW_유기농_7월'!$A:$A,$E33)))</f>
        <v>0</v>
      </c>
      <c r="O33" s="7">
        <f>IF($C33="","",IF(COUNTA('RAW_유기농_8월'!$A:$A)&lt;=1,"",SUMIFS('RAW_유기농_8월'!$H:$H,'RAW_유기농_8월'!$D:$D,$C33,'RAW_유기농_8월'!$A:$A,$E33)-SUMIFS('RAW_유기농_7월'!$H:$H,'RAW_유기농_7월'!$D:$D,$C33,'RAW_유기농_7월'!$A:$A,$E33)))</f>
        <v>0</v>
      </c>
      <c r="P33" s="7" t="str">
        <f>IF($C33="","",IF(COUNTA('RAW_유기농_9월'!$A:$A)&lt;=1,"",SUMIFS('RAW_유기농_9월'!$H:$H,'RAW_유기농_9월'!$D:$D,$C33,'RAW_유기농_9월'!$A:$A,$E33)-SUMIFS('RAW_유기농_8월'!$H:$H,'RAW_유기농_8월'!$D:$D,$C33,'RAW_유기농_8월'!$A:$A,$E33)))</f>
        <v/>
      </c>
      <c r="Q33" s="7" t="str">
        <f>IF($C33="","",IF(COUNTA('RAW_유기농_10월'!$A:$A)&lt;=1,"",SUMIFS('RAW_유기농_10월'!$H:$H,'RAW_유기농_10월'!$D:$D,$C33,'RAW_유기농_10월'!$A:$A,$E33)-SUMIFS('RAW_유기농_9월'!$H:$H,'RAW_유기농_9월'!$D:$D,$C33,'RAW_유기농_9월'!$A:$A,$E33)))</f>
        <v/>
      </c>
      <c r="R33" s="7" t="str">
        <f>IF($C33="","",IF(COUNTA('RAW_유기농_11-12월'!$A:$A)&lt;=1,"",SUMIFS('RAW_유기농_11-12월'!$H:$H,'RAW_유기농_11-12월'!$D:$D,$C33,'RAW_유기농_11-12월'!$A:$A,$E33)-SUMIFS('RAW_유기농_10월'!$H:$H,'RAW_유기농_10월'!$D:$D,$C33,'RAW_유기농_10월'!$A:$A,$E33)))</f>
        <v/>
      </c>
      <c r="S33" s="17" t="str">
        <f t="shared" si="4"/>
        <v/>
      </c>
      <c r="T33" s="17" t="str">
        <f t="shared" si="5"/>
        <v>미사용</v>
      </c>
      <c r="U33" s="7">
        <f>IF($C33="",0,IF('설정'!$B$4=0,0,CHOOSE('설정'!$B$4,COUNTIFS('RAW_유기농_7월'!$D:$D,$C33,'RAW_유기농_7월'!$A:$A,$E33),COUNTIFS('RAW_유기농_8월'!$D:$D,$C33,'RAW_유기농_8월'!$A:$A,$E33),COUNTIFS('RAW_유기농_9월'!$D:$D,$C33,'RAW_유기농_9월'!$A:$A,$E33),COUNTIFS('RAW_유기농_10월'!$D:$D,$C33,'RAW_유기농_10월'!$A:$A,$E33),COUNTIFS('RAW_유기농_11-12월'!$D:$D,$C33,'RAW_유기농_11-12월'!$A:$A,$E33))))</f>
        <v>0</v>
      </c>
    </row>
    <row r="34" ht="15.75" customHeight="1">
      <c r="A34" s="5">
        <v>32.0</v>
      </c>
      <c r="B34" s="5" t="s">
        <v>25</v>
      </c>
      <c r="C34" s="5" t="s">
        <v>1798</v>
      </c>
      <c r="D34" s="6" t="s">
        <v>1799</v>
      </c>
      <c r="E34" s="5" t="s">
        <v>31</v>
      </c>
      <c r="F34" s="7">
        <f>IF($C34="","",IF('설정'!$B$4=0,"",CHOOSE('설정'!$B$4,SUMIFS('RAW_유기농_7월'!$F:$F,'RAW_유기농_7월'!$D:$D,$C34,'RAW_유기농_7월'!$A:$A,$E34),SUMIFS('RAW_유기농_8월'!$F:$F,'RAW_유기농_8월'!$D:$D,$C34,'RAW_유기농_8월'!$A:$A,$E34),SUMIFS('RAW_유기농_9월'!$F:$F,'RAW_유기농_9월'!$D:$D,$C34,'RAW_유기농_9월'!$A:$A,$E34),SUMIFS('RAW_유기농_10월'!$F:$F,'RAW_유기농_10월'!$D:$D,$C34,'RAW_유기농_10월'!$A:$A,$E34),SUMIFS('RAW_유기농_11-12월'!$F:$F,'RAW_유기농_11-12월'!$D:$D,$C34,'RAW_유기농_11-12월'!$A:$A,$E34))))</f>
        <v>162090</v>
      </c>
      <c r="G34" s="7">
        <f>IF($C34="","",IF('설정'!$B$4=0,"",CHOOSE('설정'!$B$4,SUMIFS('RAW_유기농_7월'!$G:$G,'RAW_유기농_7월'!$D:$D,$C34,'RAW_유기농_7월'!$A:$A,$E34),SUMIFS('RAW_유기농_8월'!$G:$G,'RAW_유기농_8월'!$D:$D,$C34,'RAW_유기농_8월'!$A:$A,$E34),SUMIFS('RAW_유기농_9월'!$G:$G,'RAW_유기농_9월'!$D:$D,$C34,'RAW_유기농_9월'!$A:$A,$E34),SUMIFS('RAW_유기농_10월'!$G:$G,'RAW_유기농_10월'!$D:$D,$C34,'RAW_유기농_10월'!$A:$A,$E34),SUMIFS('RAW_유기농_11-12월'!$G:$G,'RAW_유기농_11-12월'!$D:$D,$C34,'RAW_유기농_11-12월'!$A:$A,$E34))))</f>
        <v>121036230</v>
      </c>
      <c r="H34" s="7">
        <f>IF($C34="","",IF('설정'!$B$4=0,"",CHOOSE('설정'!$B$4,SUMIFS('RAW_유기농_7월'!$H:$H,'RAW_유기농_7월'!$D:$D,$C34,'RAW_유기농_7월'!$A:$A,$E34),SUMIFS('RAW_유기농_8월'!$H:$H,'RAW_유기농_8월'!$D:$D,$C34,'RAW_유기농_8월'!$A:$A,$E34),SUMIFS('RAW_유기농_9월'!$H:$H,'RAW_유기농_9월'!$D:$D,$C34,'RAW_유기농_9월'!$A:$A,$E34),SUMIFS('RAW_유기농_10월'!$H:$H,'RAW_유기농_10월'!$D:$D,$C34,'RAW_유기농_10월'!$A:$A,$E34),SUMIFS('RAW_유기농_11-12월'!$H:$H,'RAW_유기농_11-12월'!$D:$D,$C34,'RAW_유기농_11-12월'!$A:$A,$E34))))</f>
        <v>2211447</v>
      </c>
      <c r="I34" s="17" t="str">
        <f>IF($C34="","",IF(COUNTIFS('RAW_유기농_7월'!$D:$D,$C34,'RAW_유기농_7월'!$A:$A,$E34)&gt;0,"O",""))</f>
        <v>O</v>
      </c>
      <c r="J34" s="17" t="str">
        <f>IF($C34="","",IF(COUNTIFS('RAW_유기농_8월'!$D:$D,$C34,'RAW_유기농_8월'!$A:$A,$E34)&gt;0,"O",""))</f>
        <v>O</v>
      </c>
      <c r="K34" s="17" t="str">
        <f>IF($C34="","",IF(COUNTIFS('RAW_유기농_9월'!$D:$D,$C34,'RAW_유기농_9월'!$A:$A,$E34)&gt;0,"O",""))</f>
        <v/>
      </c>
      <c r="L34" s="17" t="str">
        <f>IF($C34="","",IF(COUNTIFS('RAW_유기농_10월'!$D:$D,$C34,'RAW_유기농_10월'!$A:$A,$E34)&gt;0,"O",""))</f>
        <v/>
      </c>
      <c r="M34" s="17" t="str">
        <f>IF($C34="","",IF(COUNTIFS('RAW_유기농_11-12월'!$D:$D,$C34,'RAW_유기농_11-12월'!$A:$A,$E34)&gt;0,"O",""))</f>
        <v/>
      </c>
      <c r="N34" s="7">
        <f>IF($C34="","",IF(COUNTA('RAW_유기농_7월'!$A:$A)&lt;=1,"",SUMIFS('RAW_유기농_7월'!$H:$H,'RAW_유기농_7월'!$D:$D,$C34,'RAW_유기농_7월'!$A:$A,$E34)))</f>
        <v>1006927</v>
      </c>
      <c r="O34" s="7">
        <f>IF($C34="","",IF(COUNTA('RAW_유기농_8월'!$A:$A)&lt;=1,"",SUMIFS('RAW_유기농_8월'!$H:$H,'RAW_유기농_8월'!$D:$D,$C34,'RAW_유기농_8월'!$A:$A,$E34)-SUMIFS('RAW_유기농_7월'!$H:$H,'RAW_유기농_7월'!$D:$D,$C34,'RAW_유기농_7월'!$A:$A,$E34)))</f>
        <v>1204520</v>
      </c>
      <c r="P34" s="7" t="str">
        <f>IF($C34="","",IF(COUNTA('RAW_유기농_9월'!$A:$A)&lt;=1,"",SUMIFS('RAW_유기농_9월'!$H:$H,'RAW_유기농_9월'!$D:$D,$C34,'RAW_유기농_9월'!$A:$A,$E34)-SUMIFS('RAW_유기농_8월'!$H:$H,'RAW_유기농_8월'!$D:$D,$C34,'RAW_유기농_8월'!$A:$A,$E34)))</f>
        <v/>
      </c>
      <c r="Q34" s="7" t="str">
        <f>IF($C34="","",IF(COUNTA('RAW_유기농_10월'!$A:$A)&lt;=1,"",SUMIFS('RAW_유기농_10월'!$H:$H,'RAW_유기농_10월'!$D:$D,$C34,'RAW_유기농_10월'!$A:$A,$E34)-SUMIFS('RAW_유기농_9월'!$H:$H,'RAW_유기농_9월'!$D:$D,$C34,'RAW_유기농_9월'!$A:$A,$E34)))</f>
        <v/>
      </c>
      <c r="R34" s="7" t="str">
        <f>IF($C34="","",IF(COUNTA('RAW_유기농_11-12월'!$A:$A)&lt;=1,"",SUMIFS('RAW_유기농_11-12월'!$H:$H,'RAW_유기농_11-12월'!$D:$D,$C34,'RAW_유기농_11-12월'!$A:$A,$E34)-SUMIFS('RAW_유기농_10월'!$H:$H,'RAW_유기농_10월'!$D:$D,$C34,'RAW_유기농_10월'!$A:$A,$E34)))</f>
        <v/>
      </c>
      <c r="S34" s="17" t="str">
        <f t="shared" si="4"/>
        <v>O</v>
      </c>
      <c r="T34" s="17" t="str">
        <f t="shared" si="5"/>
        <v>300만원 미만</v>
      </c>
      <c r="U34" s="7">
        <f>IF($C34="",0,IF('설정'!$B$4=0,0,CHOOSE('설정'!$B$4,COUNTIFS('RAW_유기농_7월'!$D:$D,$C34,'RAW_유기농_7월'!$A:$A,$E34),COUNTIFS('RAW_유기농_8월'!$D:$D,$C34,'RAW_유기농_8월'!$A:$A,$E34),COUNTIFS('RAW_유기농_9월'!$D:$D,$C34,'RAW_유기농_9월'!$A:$A,$E34),COUNTIFS('RAW_유기농_10월'!$D:$D,$C34,'RAW_유기농_10월'!$A:$A,$E34),COUNTIFS('RAW_유기농_11-12월'!$D:$D,$C34,'RAW_유기농_11-12월'!$A:$A,$E34))))</f>
        <v>3</v>
      </c>
    </row>
    <row r="35" ht="15.75" customHeight="1">
      <c r="A35" s="5">
        <v>33.0</v>
      </c>
      <c r="B35" s="5" t="s">
        <v>145</v>
      </c>
      <c r="C35" s="5" t="s">
        <v>1801</v>
      </c>
      <c r="D35" s="6" t="s">
        <v>1802</v>
      </c>
      <c r="E35" s="5" t="s">
        <v>92</v>
      </c>
      <c r="F35" s="7">
        <f>IF($C35="","",IF('설정'!$B$4=0,"",CHOOSE('설정'!$B$4,SUMIFS('RAW_유기농_7월'!$F:$F,'RAW_유기농_7월'!$D:$D,$C35,'RAW_유기농_7월'!$A:$A,$E35),SUMIFS('RAW_유기농_8월'!$F:$F,'RAW_유기농_8월'!$D:$D,$C35,'RAW_유기농_8월'!$A:$A,$E35),SUMIFS('RAW_유기농_9월'!$F:$F,'RAW_유기농_9월'!$D:$D,$C35,'RAW_유기농_9월'!$A:$A,$E35),SUMIFS('RAW_유기농_10월'!$F:$F,'RAW_유기농_10월'!$D:$D,$C35,'RAW_유기농_10월'!$A:$A,$E35),SUMIFS('RAW_유기농_11-12월'!$F:$F,'RAW_유기농_11-12월'!$D:$D,$C35,'RAW_유기농_11-12월'!$A:$A,$E35))))</f>
        <v>0</v>
      </c>
      <c r="G35" s="7">
        <f>IF($C35="","",IF('설정'!$B$4=0,"",CHOOSE('설정'!$B$4,SUMIFS('RAW_유기농_7월'!$G:$G,'RAW_유기농_7월'!$D:$D,$C35,'RAW_유기농_7월'!$A:$A,$E35),SUMIFS('RAW_유기농_8월'!$G:$G,'RAW_유기농_8월'!$D:$D,$C35,'RAW_유기농_8월'!$A:$A,$E35),SUMIFS('RAW_유기농_9월'!$G:$G,'RAW_유기농_9월'!$D:$D,$C35,'RAW_유기농_9월'!$A:$A,$E35),SUMIFS('RAW_유기농_10월'!$G:$G,'RAW_유기농_10월'!$D:$D,$C35,'RAW_유기농_10월'!$A:$A,$E35),SUMIFS('RAW_유기농_11-12월'!$G:$G,'RAW_유기농_11-12월'!$D:$D,$C35,'RAW_유기농_11-12월'!$A:$A,$E35))))</f>
        <v>0</v>
      </c>
      <c r="H35" s="7">
        <f>IF($C35="","",IF('설정'!$B$4=0,"",CHOOSE('설정'!$B$4,SUMIFS('RAW_유기농_7월'!$H:$H,'RAW_유기농_7월'!$D:$D,$C35,'RAW_유기농_7월'!$A:$A,$E35),SUMIFS('RAW_유기농_8월'!$H:$H,'RAW_유기농_8월'!$D:$D,$C35,'RAW_유기농_8월'!$A:$A,$E35),SUMIFS('RAW_유기농_9월'!$H:$H,'RAW_유기농_9월'!$D:$D,$C35,'RAW_유기농_9월'!$A:$A,$E35),SUMIFS('RAW_유기농_10월'!$H:$H,'RAW_유기농_10월'!$D:$D,$C35,'RAW_유기농_10월'!$A:$A,$E35),SUMIFS('RAW_유기농_11-12월'!$H:$H,'RAW_유기농_11-12월'!$D:$D,$C35,'RAW_유기농_11-12월'!$A:$A,$E35))))</f>
        <v>0</v>
      </c>
      <c r="I35" s="17" t="str">
        <f>IF($C35="","",IF(COUNTIFS('RAW_유기농_7월'!$D:$D,$C35,'RAW_유기농_7월'!$A:$A,$E35)&gt;0,"O",""))</f>
        <v/>
      </c>
      <c r="J35" s="17" t="str">
        <f>IF($C35="","",IF(COUNTIFS('RAW_유기농_8월'!$D:$D,$C35,'RAW_유기농_8월'!$A:$A,$E35)&gt;0,"O",""))</f>
        <v/>
      </c>
      <c r="K35" s="17" t="str">
        <f>IF($C35="","",IF(COUNTIFS('RAW_유기농_9월'!$D:$D,$C35,'RAW_유기농_9월'!$A:$A,$E35)&gt;0,"O",""))</f>
        <v/>
      </c>
      <c r="L35" s="17" t="str">
        <f>IF($C35="","",IF(COUNTIFS('RAW_유기농_10월'!$D:$D,$C35,'RAW_유기농_10월'!$A:$A,$E35)&gt;0,"O",""))</f>
        <v/>
      </c>
      <c r="M35" s="17" t="str">
        <f>IF($C35="","",IF(COUNTIFS('RAW_유기농_11-12월'!$D:$D,$C35,'RAW_유기농_11-12월'!$A:$A,$E35)&gt;0,"O",""))</f>
        <v/>
      </c>
      <c r="N35" s="7">
        <f>IF($C35="","",IF(COUNTA('RAW_유기농_7월'!$A:$A)&lt;=1,"",SUMIFS('RAW_유기농_7월'!$H:$H,'RAW_유기농_7월'!$D:$D,$C35,'RAW_유기농_7월'!$A:$A,$E35)))</f>
        <v>0</v>
      </c>
      <c r="O35" s="7">
        <f>IF($C35="","",IF(COUNTA('RAW_유기농_8월'!$A:$A)&lt;=1,"",SUMIFS('RAW_유기농_8월'!$H:$H,'RAW_유기농_8월'!$D:$D,$C35,'RAW_유기농_8월'!$A:$A,$E35)-SUMIFS('RAW_유기농_7월'!$H:$H,'RAW_유기농_7월'!$D:$D,$C35,'RAW_유기농_7월'!$A:$A,$E35)))</f>
        <v>0</v>
      </c>
      <c r="P35" s="7" t="str">
        <f>IF($C35="","",IF(COUNTA('RAW_유기농_9월'!$A:$A)&lt;=1,"",SUMIFS('RAW_유기농_9월'!$H:$H,'RAW_유기농_9월'!$D:$D,$C35,'RAW_유기농_9월'!$A:$A,$E35)-SUMIFS('RAW_유기농_8월'!$H:$H,'RAW_유기농_8월'!$D:$D,$C35,'RAW_유기농_8월'!$A:$A,$E35)))</f>
        <v/>
      </c>
      <c r="Q35" s="7" t="str">
        <f>IF($C35="","",IF(COUNTA('RAW_유기농_10월'!$A:$A)&lt;=1,"",SUMIFS('RAW_유기농_10월'!$H:$H,'RAW_유기농_10월'!$D:$D,$C35,'RAW_유기농_10월'!$A:$A,$E35)-SUMIFS('RAW_유기농_9월'!$H:$H,'RAW_유기농_9월'!$D:$D,$C35,'RAW_유기농_9월'!$A:$A,$E35)))</f>
        <v/>
      </c>
      <c r="R35" s="7" t="str">
        <f>IF($C35="","",IF(COUNTA('RAW_유기농_11-12월'!$A:$A)&lt;=1,"",SUMIFS('RAW_유기농_11-12월'!$H:$H,'RAW_유기농_11-12월'!$D:$D,$C35,'RAW_유기농_11-12월'!$A:$A,$E35)-SUMIFS('RAW_유기농_10월'!$H:$H,'RAW_유기농_10월'!$D:$D,$C35,'RAW_유기농_10월'!$A:$A,$E35)))</f>
        <v/>
      </c>
      <c r="S35" s="17" t="str">
        <f t="shared" si="4"/>
        <v/>
      </c>
      <c r="T35" s="17" t="str">
        <f t="shared" si="5"/>
        <v>미사용</v>
      </c>
      <c r="U35" s="7">
        <f>IF($C35="",0,IF('설정'!$B$4=0,0,CHOOSE('설정'!$B$4,COUNTIFS('RAW_유기농_7월'!$D:$D,$C35,'RAW_유기농_7월'!$A:$A,$E35),COUNTIFS('RAW_유기농_8월'!$D:$D,$C35,'RAW_유기농_8월'!$A:$A,$E35),COUNTIFS('RAW_유기농_9월'!$D:$D,$C35,'RAW_유기농_9월'!$A:$A,$E35),COUNTIFS('RAW_유기농_10월'!$D:$D,$C35,'RAW_유기농_10월'!$A:$A,$E35),COUNTIFS('RAW_유기농_11-12월'!$D:$D,$C35,'RAW_유기농_11-12월'!$A:$A,$E35))))</f>
        <v>0</v>
      </c>
    </row>
    <row r="36" ht="15.75" customHeight="1">
      <c r="A36" s="5">
        <v>34.0</v>
      </c>
      <c r="B36" s="5" t="s">
        <v>25</v>
      </c>
      <c r="C36" s="5" t="s">
        <v>1803</v>
      </c>
      <c r="D36" s="6" t="s">
        <v>1804</v>
      </c>
      <c r="E36" s="5" t="s">
        <v>31</v>
      </c>
      <c r="F36" s="7">
        <f>IF($C36="","",IF('설정'!$B$4=0,"",CHOOSE('설정'!$B$4,SUMIFS('RAW_유기농_7월'!$F:$F,'RAW_유기농_7월'!$D:$D,$C36,'RAW_유기농_7월'!$A:$A,$E36),SUMIFS('RAW_유기농_8월'!$F:$F,'RAW_유기농_8월'!$D:$D,$C36,'RAW_유기농_8월'!$A:$A,$E36),SUMIFS('RAW_유기농_9월'!$F:$F,'RAW_유기농_9월'!$D:$D,$C36,'RAW_유기농_9월'!$A:$A,$E36),SUMIFS('RAW_유기농_10월'!$F:$F,'RAW_유기농_10월'!$D:$D,$C36,'RAW_유기농_10월'!$A:$A,$E36),SUMIFS('RAW_유기농_11-12월'!$F:$F,'RAW_유기농_11-12월'!$D:$D,$C36,'RAW_유기농_11-12월'!$A:$A,$E36))))</f>
        <v>8</v>
      </c>
      <c r="G36" s="7">
        <f>IF($C36="","",IF('설정'!$B$4=0,"",CHOOSE('설정'!$B$4,SUMIFS('RAW_유기농_7월'!$G:$G,'RAW_유기농_7월'!$D:$D,$C36,'RAW_유기농_7월'!$A:$A,$E36),SUMIFS('RAW_유기농_8월'!$G:$G,'RAW_유기농_8월'!$D:$D,$C36,'RAW_유기농_8월'!$A:$A,$E36),SUMIFS('RAW_유기농_9월'!$G:$G,'RAW_유기농_9월'!$D:$D,$C36,'RAW_유기농_9월'!$A:$A,$E36),SUMIFS('RAW_유기농_10월'!$G:$G,'RAW_유기농_10월'!$D:$D,$C36,'RAW_유기농_10월'!$A:$A,$E36),SUMIFS('RAW_유기농_11-12월'!$G:$G,'RAW_유기농_11-12월'!$D:$D,$C36,'RAW_유기농_11-12월'!$A:$A,$E36))))</f>
        <v>218000</v>
      </c>
      <c r="H36" s="7">
        <f>IF($C36="","",IF('설정'!$B$4=0,"",CHOOSE('설정'!$B$4,SUMIFS('RAW_유기농_7월'!$H:$H,'RAW_유기농_7월'!$D:$D,$C36,'RAW_유기농_7월'!$A:$A,$E36),SUMIFS('RAW_유기농_8월'!$H:$H,'RAW_유기농_8월'!$D:$D,$C36,'RAW_유기농_8월'!$A:$A,$E36),SUMIFS('RAW_유기농_9월'!$H:$H,'RAW_유기농_9월'!$D:$D,$C36,'RAW_유기농_9월'!$A:$A,$E36),SUMIFS('RAW_유기농_10월'!$H:$H,'RAW_유기농_10월'!$D:$D,$C36,'RAW_유기농_10월'!$A:$A,$E36),SUMIFS('RAW_유기농_11-12월'!$H:$H,'RAW_유기농_11-12월'!$D:$D,$C36,'RAW_유기농_11-12월'!$A:$A,$E36))))</f>
        <v>43600</v>
      </c>
      <c r="I36" s="17" t="str">
        <f>IF($C36="","",IF(COUNTIFS('RAW_유기농_7월'!$D:$D,$C36,'RAW_유기농_7월'!$A:$A,$E36)&gt;0,"O",""))</f>
        <v>O</v>
      </c>
      <c r="J36" s="17" t="str">
        <f>IF($C36="","",IF(COUNTIFS('RAW_유기농_8월'!$D:$D,$C36,'RAW_유기농_8월'!$A:$A,$E36)&gt;0,"O",""))</f>
        <v>O</v>
      </c>
      <c r="K36" s="17" t="str">
        <f>IF($C36="","",IF(COUNTIFS('RAW_유기농_9월'!$D:$D,$C36,'RAW_유기농_9월'!$A:$A,$E36)&gt;0,"O",""))</f>
        <v/>
      </c>
      <c r="L36" s="17" t="str">
        <f>IF($C36="","",IF(COUNTIFS('RAW_유기농_10월'!$D:$D,$C36,'RAW_유기농_10월'!$A:$A,$E36)&gt;0,"O",""))</f>
        <v/>
      </c>
      <c r="M36" s="17" t="str">
        <f>IF($C36="","",IF(COUNTIFS('RAW_유기농_11-12월'!$D:$D,$C36,'RAW_유기농_11-12월'!$A:$A,$E36)&gt;0,"O",""))</f>
        <v/>
      </c>
      <c r="N36" s="7">
        <f>IF($C36="","",IF(COUNTA('RAW_유기농_7월'!$A:$A)&lt;=1,"",SUMIFS('RAW_유기농_7월'!$H:$H,'RAW_유기농_7월'!$D:$D,$C36,'RAW_유기농_7월'!$A:$A,$E36)))</f>
        <v>31200</v>
      </c>
      <c r="O36" s="7">
        <f>IF($C36="","",IF(COUNTA('RAW_유기농_8월'!$A:$A)&lt;=1,"",SUMIFS('RAW_유기농_8월'!$H:$H,'RAW_유기농_8월'!$D:$D,$C36,'RAW_유기농_8월'!$A:$A,$E36)-SUMIFS('RAW_유기농_7월'!$H:$H,'RAW_유기농_7월'!$D:$D,$C36,'RAW_유기농_7월'!$A:$A,$E36)))</f>
        <v>12400</v>
      </c>
      <c r="P36" s="7" t="str">
        <f>IF($C36="","",IF(COUNTA('RAW_유기농_9월'!$A:$A)&lt;=1,"",SUMIFS('RAW_유기농_9월'!$H:$H,'RAW_유기농_9월'!$D:$D,$C36,'RAW_유기농_9월'!$A:$A,$E36)-SUMIFS('RAW_유기농_8월'!$H:$H,'RAW_유기농_8월'!$D:$D,$C36,'RAW_유기농_8월'!$A:$A,$E36)))</f>
        <v/>
      </c>
      <c r="Q36" s="7" t="str">
        <f>IF($C36="","",IF(COUNTA('RAW_유기농_10월'!$A:$A)&lt;=1,"",SUMIFS('RAW_유기농_10월'!$H:$H,'RAW_유기농_10월'!$D:$D,$C36,'RAW_유기농_10월'!$A:$A,$E36)-SUMIFS('RAW_유기농_9월'!$H:$H,'RAW_유기농_9월'!$D:$D,$C36,'RAW_유기농_9월'!$A:$A,$E36)))</f>
        <v/>
      </c>
      <c r="R36" s="7" t="str">
        <f>IF($C36="","",IF(COUNTA('RAW_유기농_11-12월'!$A:$A)&lt;=1,"",SUMIFS('RAW_유기농_11-12월'!$H:$H,'RAW_유기농_11-12월'!$D:$D,$C36,'RAW_유기농_11-12월'!$A:$A,$E36)-SUMIFS('RAW_유기농_10월'!$H:$H,'RAW_유기농_10월'!$D:$D,$C36,'RAW_유기농_10월'!$A:$A,$E36)))</f>
        <v/>
      </c>
      <c r="S36" s="17" t="str">
        <f t="shared" si="4"/>
        <v>O</v>
      </c>
      <c r="T36" s="17" t="str">
        <f t="shared" si="5"/>
        <v>50만원 미만</v>
      </c>
      <c r="U36" s="7">
        <f>IF($C36="",0,IF('설정'!$B$4=0,0,CHOOSE('설정'!$B$4,COUNTIFS('RAW_유기농_7월'!$D:$D,$C36,'RAW_유기농_7월'!$A:$A,$E36),COUNTIFS('RAW_유기농_8월'!$D:$D,$C36,'RAW_유기농_8월'!$A:$A,$E36),COUNTIFS('RAW_유기농_9월'!$D:$D,$C36,'RAW_유기농_9월'!$A:$A,$E36),COUNTIFS('RAW_유기농_10월'!$D:$D,$C36,'RAW_유기농_10월'!$A:$A,$E36),COUNTIFS('RAW_유기농_11-12월'!$D:$D,$C36,'RAW_유기농_11-12월'!$A:$A,$E36))))</f>
        <v>1</v>
      </c>
    </row>
    <row r="37" ht="15.75" customHeight="1">
      <c r="A37" s="5">
        <v>35.0</v>
      </c>
      <c r="B37" s="5" t="s">
        <v>145</v>
      </c>
      <c r="C37" s="5" t="s">
        <v>1806</v>
      </c>
      <c r="D37" s="6" t="s">
        <v>1807</v>
      </c>
      <c r="E37" s="5" t="s">
        <v>92</v>
      </c>
      <c r="F37" s="7">
        <f>IF($C37="","",IF('설정'!$B$4=0,"",CHOOSE('설정'!$B$4,SUMIFS('RAW_유기농_7월'!$F:$F,'RAW_유기농_7월'!$D:$D,$C37,'RAW_유기농_7월'!$A:$A,$E37),SUMIFS('RAW_유기농_8월'!$F:$F,'RAW_유기농_8월'!$D:$D,$C37,'RAW_유기농_8월'!$A:$A,$E37),SUMIFS('RAW_유기농_9월'!$F:$F,'RAW_유기농_9월'!$D:$D,$C37,'RAW_유기농_9월'!$A:$A,$E37),SUMIFS('RAW_유기농_10월'!$F:$F,'RAW_유기농_10월'!$D:$D,$C37,'RAW_유기농_10월'!$A:$A,$E37),SUMIFS('RAW_유기농_11-12월'!$F:$F,'RAW_유기농_11-12월'!$D:$D,$C37,'RAW_유기농_11-12월'!$A:$A,$E37))))</f>
        <v>0</v>
      </c>
      <c r="G37" s="7">
        <f>IF($C37="","",IF('설정'!$B$4=0,"",CHOOSE('설정'!$B$4,SUMIFS('RAW_유기농_7월'!$G:$G,'RAW_유기농_7월'!$D:$D,$C37,'RAW_유기농_7월'!$A:$A,$E37),SUMIFS('RAW_유기농_8월'!$G:$G,'RAW_유기농_8월'!$D:$D,$C37,'RAW_유기농_8월'!$A:$A,$E37),SUMIFS('RAW_유기농_9월'!$G:$G,'RAW_유기농_9월'!$D:$D,$C37,'RAW_유기농_9월'!$A:$A,$E37),SUMIFS('RAW_유기농_10월'!$G:$G,'RAW_유기농_10월'!$D:$D,$C37,'RAW_유기농_10월'!$A:$A,$E37),SUMIFS('RAW_유기농_11-12월'!$G:$G,'RAW_유기농_11-12월'!$D:$D,$C37,'RAW_유기농_11-12월'!$A:$A,$E37))))</f>
        <v>0</v>
      </c>
      <c r="H37" s="7">
        <f>IF($C37="","",IF('설정'!$B$4=0,"",CHOOSE('설정'!$B$4,SUMIFS('RAW_유기농_7월'!$H:$H,'RAW_유기농_7월'!$D:$D,$C37,'RAW_유기농_7월'!$A:$A,$E37),SUMIFS('RAW_유기농_8월'!$H:$H,'RAW_유기농_8월'!$D:$D,$C37,'RAW_유기농_8월'!$A:$A,$E37),SUMIFS('RAW_유기농_9월'!$H:$H,'RAW_유기농_9월'!$D:$D,$C37,'RAW_유기농_9월'!$A:$A,$E37),SUMIFS('RAW_유기농_10월'!$H:$H,'RAW_유기농_10월'!$D:$D,$C37,'RAW_유기농_10월'!$A:$A,$E37),SUMIFS('RAW_유기농_11-12월'!$H:$H,'RAW_유기농_11-12월'!$D:$D,$C37,'RAW_유기농_11-12월'!$A:$A,$E37))))</f>
        <v>0</v>
      </c>
      <c r="I37" s="17" t="str">
        <f>IF($C37="","",IF(COUNTIFS('RAW_유기농_7월'!$D:$D,$C37,'RAW_유기농_7월'!$A:$A,$E37)&gt;0,"O",""))</f>
        <v/>
      </c>
      <c r="J37" s="17" t="str">
        <f>IF($C37="","",IF(COUNTIFS('RAW_유기농_8월'!$D:$D,$C37,'RAW_유기농_8월'!$A:$A,$E37)&gt;0,"O",""))</f>
        <v/>
      </c>
      <c r="K37" s="17" t="str">
        <f>IF($C37="","",IF(COUNTIFS('RAW_유기농_9월'!$D:$D,$C37,'RAW_유기농_9월'!$A:$A,$E37)&gt;0,"O",""))</f>
        <v/>
      </c>
      <c r="L37" s="17" t="str">
        <f>IF($C37="","",IF(COUNTIFS('RAW_유기농_10월'!$D:$D,$C37,'RAW_유기농_10월'!$A:$A,$E37)&gt;0,"O",""))</f>
        <v/>
      </c>
      <c r="M37" s="17" t="str">
        <f>IF($C37="","",IF(COUNTIFS('RAW_유기농_11-12월'!$D:$D,$C37,'RAW_유기농_11-12월'!$A:$A,$E37)&gt;0,"O",""))</f>
        <v/>
      </c>
      <c r="N37" s="7">
        <f>IF($C37="","",IF(COUNTA('RAW_유기농_7월'!$A:$A)&lt;=1,"",SUMIFS('RAW_유기농_7월'!$H:$H,'RAW_유기농_7월'!$D:$D,$C37,'RAW_유기농_7월'!$A:$A,$E37)))</f>
        <v>0</v>
      </c>
      <c r="O37" s="7">
        <f>IF($C37="","",IF(COUNTA('RAW_유기농_8월'!$A:$A)&lt;=1,"",SUMIFS('RAW_유기농_8월'!$H:$H,'RAW_유기농_8월'!$D:$D,$C37,'RAW_유기농_8월'!$A:$A,$E37)-SUMIFS('RAW_유기농_7월'!$H:$H,'RAW_유기농_7월'!$D:$D,$C37,'RAW_유기농_7월'!$A:$A,$E37)))</f>
        <v>0</v>
      </c>
      <c r="P37" s="7" t="str">
        <f>IF($C37="","",IF(COUNTA('RAW_유기농_9월'!$A:$A)&lt;=1,"",SUMIFS('RAW_유기농_9월'!$H:$H,'RAW_유기농_9월'!$D:$D,$C37,'RAW_유기농_9월'!$A:$A,$E37)-SUMIFS('RAW_유기농_8월'!$H:$H,'RAW_유기농_8월'!$D:$D,$C37,'RAW_유기농_8월'!$A:$A,$E37)))</f>
        <v/>
      </c>
      <c r="Q37" s="7" t="str">
        <f>IF($C37="","",IF(COUNTA('RAW_유기농_10월'!$A:$A)&lt;=1,"",SUMIFS('RAW_유기농_10월'!$H:$H,'RAW_유기농_10월'!$D:$D,$C37,'RAW_유기농_10월'!$A:$A,$E37)-SUMIFS('RAW_유기농_9월'!$H:$H,'RAW_유기농_9월'!$D:$D,$C37,'RAW_유기농_9월'!$A:$A,$E37)))</f>
        <v/>
      </c>
      <c r="R37" s="7" t="str">
        <f>IF($C37="","",IF(COUNTA('RAW_유기농_11-12월'!$A:$A)&lt;=1,"",SUMIFS('RAW_유기농_11-12월'!$H:$H,'RAW_유기농_11-12월'!$D:$D,$C37,'RAW_유기농_11-12월'!$A:$A,$E37)-SUMIFS('RAW_유기농_10월'!$H:$H,'RAW_유기농_10월'!$D:$D,$C37,'RAW_유기농_10월'!$A:$A,$E37)))</f>
        <v/>
      </c>
      <c r="S37" s="17" t="str">
        <f t="shared" si="4"/>
        <v/>
      </c>
      <c r="T37" s="17" t="str">
        <f t="shared" si="5"/>
        <v>미사용</v>
      </c>
      <c r="U37" s="7">
        <f>IF($C37="",0,IF('설정'!$B$4=0,0,CHOOSE('설정'!$B$4,COUNTIFS('RAW_유기농_7월'!$D:$D,$C37,'RAW_유기농_7월'!$A:$A,$E37),COUNTIFS('RAW_유기농_8월'!$D:$D,$C37,'RAW_유기농_8월'!$A:$A,$E37),COUNTIFS('RAW_유기농_9월'!$D:$D,$C37,'RAW_유기농_9월'!$A:$A,$E37),COUNTIFS('RAW_유기농_10월'!$D:$D,$C37,'RAW_유기농_10월'!$A:$A,$E37),COUNTIFS('RAW_유기농_11-12월'!$D:$D,$C37,'RAW_유기농_11-12월'!$A:$A,$E37))))</f>
        <v>0</v>
      </c>
    </row>
    <row r="38" ht="15.75" customHeight="1">
      <c r="A38" s="5">
        <v>36.0</v>
      </c>
      <c r="B38" s="5" t="s">
        <v>145</v>
      </c>
      <c r="C38" s="5" t="s">
        <v>1861</v>
      </c>
      <c r="D38" s="6" t="s">
        <v>1862</v>
      </c>
      <c r="E38" s="5" t="s">
        <v>31</v>
      </c>
      <c r="F38" s="7">
        <f>IF($C38="","",IF('설정'!$B$4=0,"",CHOOSE('설정'!$B$4,SUMIFS('RAW_유기농_7월'!$F:$F,'RAW_유기농_7월'!$D:$D,$C38,'RAW_유기농_7월'!$A:$A,$E38),SUMIFS('RAW_유기농_8월'!$F:$F,'RAW_유기농_8월'!$D:$D,$C38,'RAW_유기농_8월'!$A:$A,$E38),SUMIFS('RAW_유기농_9월'!$F:$F,'RAW_유기농_9월'!$D:$D,$C38,'RAW_유기농_9월'!$A:$A,$E38),SUMIFS('RAW_유기농_10월'!$F:$F,'RAW_유기농_10월'!$D:$D,$C38,'RAW_유기농_10월'!$A:$A,$E38),SUMIFS('RAW_유기농_11-12월'!$F:$F,'RAW_유기농_11-12월'!$D:$D,$C38,'RAW_유기농_11-12월'!$A:$A,$E38))))</f>
        <v>0</v>
      </c>
      <c r="G38" s="7">
        <f>IF($C38="","",IF('설정'!$B$4=0,"",CHOOSE('설정'!$B$4,SUMIFS('RAW_유기농_7월'!$G:$G,'RAW_유기농_7월'!$D:$D,$C38,'RAW_유기농_7월'!$A:$A,$E38),SUMIFS('RAW_유기농_8월'!$G:$G,'RAW_유기농_8월'!$D:$D,$C38,'RAW_유기농_8월'!$A:$A,$E38),SUMIFS('RAW_유기농_9월'!$G:$G,'RAW_유기농_9월'!$D:$D,$C38,'RAW_유기농_9월'!$A:$A,$E38),SUMIFS('RAW_유기농_10월'!$G:$G,'RAW_유기농_10월'!$D:$D,$C38,'RAW_유기농_10월'!$A:$A,$E38),SUMIFS('RAW_유기농_11-12월'!$G:$G,'RAW_유기농_11-12월'!$D:$D,$C38,'RAW_유기농_11-12월'!$A:$A,$E38))))</f>
        <v>0</v>
      </c>
      <c r="H38" s="7">
        <f>IF($C38="","",IF('설정'!$B$4=0,"",CHOOSE('설정'!$B$4,SUMIFS('RAW_유기농_7월'!$H:$H,'RAW_유기농_7월'!$D:$D,$C38,'RAW_유기농_7월'!$A:$A,$E38),SUMIFS('RAW_유기농_8월'!$H:$H,'RAW_유기농_8월'!$D:$D,$C38,'RAW_유기농_8월'!$A:$A,$E38),SUMIFS('RAW_유기농_9월'!$H:$H,'RAW_유기농_9월'!$D:$D,$C38,'RAW_유기농_9월'!$A:$A,$E38),SUMIFS('RAW_유기농_10월'!$H:$H,'RAW_유기농_10월'!$D:$D,$C38,'RAW_유기농_10월'!$A:$A,$E38),SUMIFS('RAW_유기농_11-12월'!$H:$H,'RAW_유기농_11-12월'!$D:$D,$C38,'RAW_유기농_11-12월'!$A:$A,$E38))))</f>
        <v>0</v>
      </c>
      <c r="I38" s="17" t="str">
        <f>IF($C38="","",IF(COUNTIFS('RAW_유기농_7월'!$D:$D,$C38,'RAW_유기농_7월'!$A:$A,$E38)&gt;0,"O",""))</f>
        <v/>
      </c>
      <c r="J38" s="17" t="str">
        <f>IF($C38="","",IF(COUNTIFS('RAW_유기농_8월'!$D:$D,$C38,'RAW_유기농_8월'!$A:$A,$E38)&gt;0,"O",""))</f>
        <v/>
      </c>
      <c r="K38" s="17" t="str">
        <f>IF($C38="","",IF(COUNTIFS('RAW_유기농_9월'!$D:$D,$C38,'RAW_유기농_9월'!$A:$A,$E38)&gt;0,"O",""))</f>
        <v/>
      </c>
      <c r="L38" s="17" t="str">
        <f>IF($C38="","",IF(COUNTIFS('RAW_유기농_10월'!$D:$D,$C38,'RAW_유기농_10월'!$A:$A,$E38)&gt;0,"O",""))</f>
        <v/>
      </c>
      <c r="M38" s="17" t="str">
        <f>IF($C38="","",IF(COUNTIFS('RAW_유기농_11-12월'!$D:$D,$C38,'RAW_유기농_11-12월'!$A:$A,$E38)&gt;0,"O",""))</f>
        <v/>
      </c>
      <c r="N38" s="7">
        <f>IF($C38="","",IF(COUNTA('RAW_유기농_7월'!$A:$A)&lt;=1,"",SUMIFS('RAW_유기농_7월'!$H:$H,'RAW_유기농_7월'!$D:$D,$C38,'RAW_유기농_7월'!$A:$A,$E38)))</f>
        <v>0</v>
      </c>
      <c r="O38" s="7">
        <f>IF($C38="","",IF(COUNTA('RAW_유기농_8월'!$A:$A)&lt;=1,"",SUMIFS('RAW_유기농_8월'!$H:$H,'RAW_유기농_8월'!$D:$D,$C38,'RAW_유기농_8월'!$A:$A,$E38)-SUMIFS('RAW_유기농_7월'!$H:$H,'RAW_유기농_7월'!$D:$D,$C38,'RAW_유기농_7월'!$A:$A,$E38)))</f>
        <v>0</v>
      </c>
      <c r="P38" s="7" t="str">
        <f>IF($C38="","",IF(COUNTA('RAW_유기농_9월'!$A:$A)&lt;=1,"",SUMIFS('RAW_유기농_9월'!$H:$H,'RAW_유기농_9월'!$D:$D,$C38,'RAW_유기농_9월'!$A:$A,$E38)-SUMIFS('RAW_유기농_8월'!$H:$H,'RAW_유기농_8월'!$D:$D,$C38,'RAW_유기농_8월'!$A:$A,$E38)))</f>
        <v/>
      </c>
      <c r="Q38" s="7" t="str">
        <f>IF($C38="","",IF(COUNTA('RAW_유기농_10월'!$A:$A)&lt;=1,"",SUMIFS('RAW_유기농_10월'!$H:$H,'RAW_유기농_10월'!$D:$D,$C38,'RAW_유기농_10월'!$A:$A,$E38)-SUMIFS('RAW_유기농_9월'!$H:$H,'RAW_유기농_9월'!$D:$D,$C38,'RAW_유기농_9월'!$A:$A,$E38)))</f>
        <v/>
      </c>
      <c r="R38" s="7" t="str">
        <f>IF($C38="","",IF(COUNTA('RAW_유기농_11-12월'!$A:$A)&lt;=1,"",SUMIFS('RAW_유기농_11-12월'!$H:$H,'RAW_유기농_11-12월'!$D:$D,$C38,'RAW_유기농_11-12월'!$A:$A,$E38)-SUMIFS('RAW_유기농_10월'!$H:$H,'RAW_유기농_10월'!$D:$D,$C38,'RAW_유기농_10월'!$A:$A,$E38)))</f>
        <v/>
      </c>
      <c r="S38" s="17" t="str">
        <f t="shared" si="4"/>
        <v/>
      </c>
      <c r="T38" s="17" t="str">
        <f t="shared" si="5"/>
        <v>미사용</v>
      </c>
      <c r="U38" s="7">
        <f>IF($C38="",0,IF('설정'!$B$4=0,0,CHOOSE('설정'!$B$4,COUNTIFS('RAW_유기농_7월'!$D:$D,$C38,'RAW_유기농_7월'!$A:$A,$E38),COUNTIFS('RAW_유기농_8월'!$D:$D,$C38,'RAW_유기농_8월'!$A:$A,$E38),COUNTIFS('RAW_유기농_9월'!$D:$D,$C38,'RAW_유기농_9월'!$A:$A,$E38),COUNTIFS('RAW_유기농_10월'!$D:$D,$C38,'RAW_유기농_10월'!$A:$A,$E38),COUNTIFS('RAW_유기농_11-12월'!$D:$D,$C38,'RAW_유기농_11-12월'!$A:$A,$E38))))</f>
        <v>0</v>
      </c>
    </row>
    <row r="39" ht="15.75" customHeight="1">
      <c r="A39" s="5">
        <v>37.0</v>
      </c>
      <c r="B39" s="5" t="s">
        <v>25</v>
      </c>
      <c r="C39" s="5" t="s">
        <v>1864</v>
      </c>
      <c r="D39" s="6" t="s">
        <v>1865</v>
      </c>
      <c r="E39" s="5" t="s">
        <v>31</v>
      </c>
      <c r="F39" s="7">
        <f>IF($C39="","",IF('설정'!$B$4=0,"",CHOOSE('설정'!$B$4,SUMIFS('RAW_유기농_7월'!$F:$F,'RAW_유기농_7월'!$D:$D,$C39,'RAW_유기농_7월'!$A:$A,$E39),SUMIFS('RAW_유기농_8월'!$F:$F,'RAW_유기농_8월'!$D:$D,$C39,'RAW_유기농_8월'!$A:$A,$E39),SUMIFS('RAW_유기농_9월'!$F:$F,'RAW_유기농_9월'!$D:$D,$C39,'RAW_유기농_9월'!$A:$A,$E39),SUMIFS('RAW_유기농_10월'!$F:$F,'RAW_유기농_10월'!$D:$D,$C39,'RAW_유기농_10월'!$A:$A,$E39),SUMIFS('RAW_유기농_11-12월'!$F:$F,'RAW_유기농_11-12월'!$D:$D,$C39,'RAW_유기농_11-12월'!$A:$A,$E39))))</f>
        <v>26055</v>
      </c>
      <c r="G39" s="7">
        <f>IF($C39="","",IF('설정'!$B$4=0,"",CHOOSE('설정'!$B$4,SUMIFS('RAW_유기농_7월'!$G:$G,'RAW_유기농_7월'!$D:$D,$C39,'RAW_유기농_7월'!$A:$A,$E39),SUMIFS('RAW_유기농_8월'!$G:$G,'RAW_유기농_8월'!$D:$D,$C39,'RAW_유기농_8월'!$A:$A,$E39),SUMIFS('RAW_유기농_9월'!$G:$G,'RAW_유기농_9월'!$D:$D,$C39,'RAW_유기농_9월'!$A:$A,$E39),SUMIFS('RAW_유기농_10월'!$G:$G,'RAW_유기농_10월'!$D:$D,$C39,'RAW_유기농_10월'!$A:$A,$E39),SUMIFS('RAW_유기농_11-12월'!$G:$G,'RAW_유기농_11-12월'!$D:$D,$C39,'RAW_유기농_11-12월'!$A:$A,$E39))))</f>
        <v>681718500</v>
      </c>
      <c r="H39" s="7">
        <f>IF($C39="","",IF('설정'!$B$4=0,"",CHOOSE('설정'!$B$4,SUMIFS('RAW_유기농_7월'!$H:$H,'RAW_유기농_7월'!$D:$D,$C39,'RAW_유기농_7월'!$A:$A,$E39),SUMIFS('RAW_유기농_8월'!$H:$H,'RAW_유기농_8월'!$D:$D,$C39,'RAW_유기농_8월'!$A:$A,$E39),SUMIFS('RAW_유기농_9월'!$H:$H,'RAW_유기농_9월'!$D:$D,$C39,'RAW_유기농_9월'!$A:$A,$E39),SUMIFS('RAW_유기농_10월'!$H:$H,'RAW_유기농_10월'!$D:$D,$C39,'RAW_유기농_10월'!$A:$A,$E39),SUMIFS('RAW_유기농_11-12월'!$H:$H,'RAW_유기농_11-12월'!$D:$D,$C39,'RAW_유기농_11-12월'!$A:$A,$E39))))</f>
        <v>2748795</v>
      </c>
      <c r="I39" s="17" t="str">
        <f>IF($C39="","",IF(COUNTIFS('RAW_유기농_7월'!$D:$D,$C39,'RAW_유기농_7월'!$A:$A,$E39)&gt;0,"O",""))</f>
        <v>O</v>
      </c>
      <c r="J39" s="17" t="str">
        <f>IF($C39="","",IF(COUNTIFS('RAW_유기농_8월'!$D:$D,$C39,'RAW_유기농_8월'!$A:$A,$E39)&gt;0,"O",""))</f>
        <v>O</v>
      </c>
      <c r="K39" s="17" t="str">
        <f>IF($C39="","",IF(COUNTIFS('RAW_유기농_9월'!$D:$D,$C39,'RAW_유기농_9월'!$A:$A,$E39)&gt;0,"O",""))</f>
        <v/>
      </c>
      <c r="L39" s="17" t="str">
        <f>IF($C39="","",IF(COUNTIFS('RAW_유기농_10월'!$D:$D,$C39,'RAW_유기농_10월'!$A:$A,$E39)&gt;0,"O",""))</f>
        <v/>
      </c>
      <c r="M39" s="17" t="str">
        <f>IF($C39="","",IF(COUNTIFS('RAW_유기농_11-12월'!$D:$D,$C39,'RAW_유기농_11-12월'!$A:$A,$E39)&gt;0,"O",""))</f>
        <v/>
      </c>
      <c r="N39" s="7">
        <f>IF($C39="","",IF(COUNTA('RAW_유기농_7월'!$A:$A)&lt;=1,"",SUMIFS('RAW_유기농_7월'!$H:$H,'RAW_유기농_7월'!$D:$D,$C39,'RAW_유기농_7월'!$A:$A,$E39)))</f>
        <v>1185849</v>
      </c>
      <c r="O39" s="7">
        <f>IF($C39="","",IF(COUNTA('RAW_유기농_8월'!$A:$A)&lt;=1,"",SUMIFS('RAW_유기농_8월'!$H:$H,'RAW_유기농_8월'!$D:$D,$C39,'RAW_유기농_8월'!$A:$A,$E39)-SUMIFS('RAW_유기농_7월'!$H:$H,'RAW_유기농_7월'!$D:$D,$C39,'RAW_유기농_7월'!$A:$A,$E39)))</f>
        <v>1562946</v>
      </c>
      <c r="P39" s="7" t="str">
        <f>IF($C39="","",IF(COUNTA('RAW_유기농_9월'!$A:$A)&lt;=1,"",SUMIFS('RAW_유기농_9월'!$H:$H,'RAW_유기농_9월'!$D:$D,$C39,'RAW_유기농_9월'!$A:$A,$E39)-SUMIFS('RAW_유기농_8월'!$H:$H,'RAW_유기농_8월'!$D:$D,$C39,'RAW_유기농_8월'!$A:$A,$E39)))</f>
        <v/>
      </c>
      <c r="Q39" s="7" t="str">
        <f>IF($C39="","",IF(COUNTA('RAW_유기농_10월'!$A:$A)&lt;=1,"",SUMIFS('RAW_유기농_10월'!$H:$H,'RAW_유기농_10월'!$D:$D,$C39,'RAW_유기농_10월'!$A:$A,$E39)-SUMIFS('RAW_유기농_9월'!$H:$H,'RAW_유기농_9월'!$D:$D,$C39,'RAW_유기농_9월'!$A:$A,$E39)))</f>
        <v/>
      </c>
      <c r="R39" s="7" t="str">
        <f>IF($C39="","",IF(COUNTA('RAW_유기농_11-12월'!$A:$A)&lt;=1,"",SUMIFS('RAW_유기농_11-12월'!$H:$H,'RAW_유기농_11-12월'!$D:$D,$C39,'RAW_유기농_11-12월'!$A:$A,$E39)-SUMIFS('RAW_유기농_10월'!$H:$H,'RAW_유기농_10월'!$D:$D,$C39,'RAW_유기농_10월'!$A:$A,$E39)))</f>
        <v/>
      </c>
      <c r="S39" s="17" t="str">
        <f t="shared" si="4"/>
        <v>O</v>
      </c>
      <c r="T39" s="17" t="str">
        <f t="shared" si="5"/>
        <v>300만원 미만</v>
      </c>
      <c r="U39" s="7">
        <f>IF($C39="",0,IF('설정'!$B$4=0,0,CHOOSE('설정'!$B$4,COUNTIFS('RAW_유기농_7월'!$D:$D,$C39,'RAW_유기농_7월'!$A:$A,$E39),COUNTIFS('RAW_유기농_8월'!$D:$D,$C39,'RAW_유기농_8월'!$A:$A,$E39),COUNTIFS('RAW_유기농_9월'!$D:$D,$C39,'RAW_유기농_9월'!$A:$A,$E39),COUNTIFS('RAW_유기농_10월'!$D:$D,$C39,'RAW_유기농_10월'!$A:$A,$E39),COUNTIFS('RAW_유기농_11-12월'!$D:$D,$C39,'RAW_유기농_11-12월'!$A:$A,$E39))))</f>
        <v>11</v>
      </c>
    </row>
    <row r="40" ht="15.75" customHeight="1">
      <c r="A40" s="5">
        <v>38.0</v>
      </c>
      <c r="B40" s="5" t="s">
        <v>108</v>
      </c>
      <c r="C40" s="5" t="s">
        <v>1867</v>
      </c>
      <c r="D40" s="6" t="s">
        <v>1868</v>
      </c>
      <c r="E40" s="5" t="s">
        <v>31</v>
      </c>
      <c r="F40" s="7">
        <f>IF($C40="","",IF('설정'!$B$4=0,"",CHOOSE('설정'!$B$4,SUMIFS('RAW_유기농_7월'!$F:$F,'RAW_유기농_7월'!$D:$D,$C40,'RAW_유기농_7월'!$A:$A,$E40),SUMIFS('RAW_유기농_8월'!$F:$F,'RAW_유기농_8월'!$D:$D,$C40,'RAW_유기농_8월'!$A:$A,$E40),SUMIFS('RAW_유기농_9월'!$F:$F,'RAW_유기농_9월'!$D:$D,$C40,'RAW_유기농_9월'!$A:$A,$E40),SUMIFS('RAW_유기농_10월'!$F:$F,'RAW_유기농_10월'!$D:$D,$C40,'RAW_유기농_10월'!$A:$A,$E40),SUMIFS('RAW_유기농_11-12월'!$F:$F,'RAW_유기농_11-12월'!$D:$D,$C40,'RAW_유기농_11-12월'!$A:$A,$E40))))</f>
        <v>544</v>
      </c>
      <c r="G40" s="7">
        <f>IF($C40="","",IF('설정'!$B$4=0,"",CHOOSE('설정'!$B$4,SUMIFS('RAW_유기농_7월'!$G:$G,'RAW_유기농_7월'!$D:$D,$C40,'RAW_유기농_7월'!$A:$A,$E40),SUMIFS('RAW_유기농_8월'!$G:$G,'RAW_유기농_8월'!$D:$D,$C40,'RAW_유기농_8월'!$A:$A,$E40),SUMIFS('RAW_유기농_9월'!$G:$G,'RAW_유기농_9월'!$D:$D,$C40,'RAW_유기농_9월'!$A:$A,$E40),SUMIFS('RAW_유기농_10월'!$G:$G,'RAW_유기농_10월'!$D:$D,$C40,'RAW_유기농_10월'!$A:$A,$E40),SUMIFS('RAW_유기농_11-12월'!$G:$G,'RAW_유기농_11-12월'!$D:$D,$C40,'RAW_유기농_11-12월'!$A:$A,$E40))))</f>
        <v>13688860</v>
      </c>
      <c r="H40" s="7">
        <f>IF($C40="","",IF('설정'!$B$4=0,"",CHOOSE('설정'!$B$4,SUMIFS('RAW_유기농_7월'!$H:$H,'RAW_유기농_7월'!$D:$D,$C40,'RAW_유기농_7월'!$A:$A,$E40),SUMIFS('RAW_유기농_8월'!$H:$H,'RAW_유기농_8월'!$D:$D,$C40,'RAW_유기농_8월'!$A:$A,$E40),SUMIFS('RAW_유기농_9월'!$H:$H,'RAW_유기농_9월'!$D:$D,$C40,'RAW_유기농_9월'!$A:$A,$E40),SUMIFS('RAW_유기농_10월'!$H:$H,'RAW_유기농_10월'!$D:$D,$C40,'RAW_유기농_10월'!$A:$A,$E40),SUMIFS('RAW_유기농_11-12월'!$H:$H,'RAW_유기농_11-12월'!$D:$D,$C40,'RAW_유기농_11-12월'!$A:$A,$E40))))</f>
        <v>1457959</v>
      </c>
      <c r="I40" s="17" t="str">
        <f>IF($C40="","",IF(COUNTIFS('RAW_유기농_7월'!$D:$D,$C40,'RAW_유기농_7월'!$A:$A,$E40)&gt;0,"O",""))</f>
        <v>O</v>
      </c>
      <c r="J40" s="17" t="str">
        <f>IF($C40="","",IF(COUNTIFS('RAW_유기농_8월'!$D:$D,$C40,'RAW_유기농_8월'!$A:$A,$E40)&gt;0,"O",""))</f>
        <v>O</v>
      </c>
      <c r="K40" s="17" t="str">
        <f>IF($C40="","",IF(COUNTIFS('RAW_유기농_9월'!$D:$D,$C40,'RAW_유기농_9월'!$A:$A,$E40)&gt;0,"O",""))</f>
        <v/>
      </c>
      <c r="L40" s="17" t="str">
        <f>IF($C40="","",IF(COUNTIFS('RAW_유기농_10월'!$D:$D,$C40,'RAW_유기농_10월'!$A:$A,$E40)&gt;0,"O",""))</f>
        <v/>
      </c>
      <c r="M40" s="17" t="str">
        <f>IF($C40="","",IF(COUNTIFS('RAW_유기농_11-12월'!$D:$D,$C40,'RAW_유기농_11-12월'!$A:$A,$E40)&gt;0,"O",""))</f>
        <v/>
      </c>
      <c r="N40" s="7">
        <f>IF($C40="","",IF(COUNTA('RAW_유기농_7월'!$A:$A)&lt;=1,"",SUMIFS('RAW_유기농_7월'!$H:$H,'RAW_유기농_7월'!$D:$D,$C40,'RAW_유기농_7월'!$A:$A,$E40)))</f>
        <v>739046</v>
      </c>
      <c r="O40" s="7">
        <f>IF($C40="","",IF(COUNTA('RAW_유기농_8월'!$A:$A)&lt;=1,"",SUMIFS('RAW_유기농_8월'!$H:$H,'RAW_유기농_8월'!$D:$D,$C40,'RAW_유기농_8월'!$A:$A,$E40)-SUMIFS('RAW_유기농_7월'!$H:$H,'RAW_유기농_7월'!$D:$D,$C40,'RAW_유기농_7월'!$A:$A,$E40)))</f>
        <v>718913</v>
      </c>
      <c r="P40" s="7" t="str">
        <f>IF($C40="","",IF(COUNTA('RAW_유기농_9월'!$A:$A)&lt;=1,"",SUMIFS('RAW_유기농_9월'!$H:$H,'RAW_유기농_9월'!$D:$D,$C40,'RAW_유기농_9월'!$A:$A,$E40)-SUMIFS('RAW_유기농_8월'!$H:$H,'RAW_유기농_8월'!$D:$D,$C40,'RAW_유기농_8월'!$A:$A,$E40)))</f>
        <v/>
      </c>
      <c r="Q40" s="7" t="str">
        <f>IF($C40="","",IF(COUNTA('RAW_유기농_10월'!$A:$A)&lt;=1,"",SUMIFS('RAW_유기농_10월'!$H:$H,'RAW_유기농_10월'!$D:$D,$C40,'RAW_유기농_10월'!$A:$A,$E40)-SUMIFS('RAW_유기농_9월'!$H:$H,'RAW_유기농_9월'!$D:$D,$C40,'RAW_유기농_9월'!$A:$A,$E40)))</f>
        <v/>
      </c>
      <c r="R40" s="7" t="str">
        <f>IF($C40="","",IF(COUNTA('RAW_유기농_11-12월'!$A:$A)&lt;=1,"",SUMIFS('RAW_유기농_11-12월'!$H:$H,'RAW_유기농_11-12월'!$D:$D,$C40,'RAW_유기농_11-12월'!$A:$A,$E40)-SUMIFS('RAW_유기농_10월'!$H:$H,'RAW_유기농_10월'!$D:$D,$C40,'RAW_유기농_10월'!$A:$A,$E40)))</f>
        <v/>
      </c>
      <c r="S40" s="17" t="str">
        <f t="shared" si="4"/>
        <v>O</v>
      </c>
      <c r="T40" s="17" t="str">
        <f t="shared" si="5"/>
        <v>200만원 미만</v>
      </c>
      <c r="U40" s="7">
        <f>IF($C40="",0,IF('설정'!$B$4=0,0,CHOOSE('설정'!$B$4,COUNTIFS('RAW_유기농_7월'!$D:$D,$C40,'RAW_유기농_7월'!$A:$A,$E40),COUNTIFS('RAW_유기농_8월'!$D:$D,$C40,'RAW_유기농_8월'!$A:$A,$E40),COUNTIFS('RAW_유기농_9월'!$D:$D,$C40,'RAW_유기농_9월'!$A:$A,$E40),COUNTIFS('RAW_유기농_10월'!$D:$D,$C40,'RAW_유기농_10월'!$A:$A,$E40),COUNTIFS('RAW_유기농_11-12월'!$D:$D,$C40,'RAW_유기농_11-12월'!$A:$A,$E40))))</f>
        <v>6</v>
      </c>
    </row>
    <row r="41" ht="15.75" customHeight="1">
      <c r="A41" s="5">
        <v>39.0</v>
      </c>
      <c r="B41" s="5" t="s">
        <v>145</v>
      </c>
      <c r="C41" s="5" t="s">
        <v>1869</v>
      </c>
      <c r="D41" s="6" t="s">
        <v>1870</v>
      </c>
      <c r="E41" s="5" t="s">
        <v>92</v>
      </c>
      <c r="F41" s="7">
        <f>IF($C41="","",IF('설정'!$B$4=0,"",CHOOSE('설정'!$B$4,SUMIFS('RAW_유기농_7월'!$F:$F,'RAW_유기농_7월'!$D:$D,$C41,'RAW_유기농_7월'!$A:$A,$E41),SUMIFS('RAW_유기농_8월'!$F:$F,'RAW_유기농_8월'!$D:$D,$C41,'RAW_유기농_8월'!$A:$A,$E41),SUMIFS('RAW_유기농_9월'!$F:$F,'RAW_유기농_9월'!$D:$D,$C41,'RAW_유기농_9월'!$A:$A,$E41),SUMIFS('RAW_유기농_10월'!$F:$F,'RAW_유기농_10월'!$D:$D,$C41,'RAW_유기농_10월'!$A:$A,$E41),SUMIFS('RAW_유기농_11-12월'!$F:$F,'RAW_유기농_11-12월'!$D:$D,$C41,'RAW_유기농_11-12월'!$A:$A,$E41))))</f>
        <v>174</v>
      </c>
      <c r="G41" s="7">
        <f>IF($C41="","",IF('설정'!$B$4=0,"",CHOOSE('설정'!$B$4,SUMIFS('RAW_유기농_7월'!$G:$G,'RAW_유기농_7월'!$D:$D,$C41,'RAW_유기농_7월'!$A:$A,$E41),SUMIFS('RAW_유기농_8월'!$G:$G,'RAW_유기농_8월'!$D:$D,$C41,'RAW_유기농_8월'!$A:$A,$E41),SUMIFS('RAW_유기농_9월'!$G:$G,'RAW_유기농_9월'!$D:$D,$C41,'RAW_유기농_9월'!$A:$A,$E41),SUMIFS('RAW_유기농_10월'!$G:$G,'RAW_유기농_10월'!$D:$D,$C41,'RAW_유기농_10월'!$A:$A,$E41),SUMIFS('RAW_유기농_11-12월'!$G:$G,'RAW_유기농_11-12월'!$D:$D,$C41,'RAW_유기농_11-12월'!$A:$A,$E41))))</f>
        <v>4674000</v>
      </c>
      <c r="H41" s="7">
        <f>IF($C41="","",IF('설정'!$B$4=0,"",CHOOSE('설정'!$B$4,SUMIFS('RAW_유기농_7월'!$H:$H,'RAW_유기농_7월'!$D:$D,$C41,'RAW_유기농_7월'!$A:$A,$E41),SUMIFS('RAW_유기농_8월'!$H:$H,'RAW_유기농_8월'!$D:$D,$C41,'RAW_유기농_8월'!$A:$A,$E41),SUMIFS('RAW_유기농_9월'!$H:$H,'RAW_유기농_9월'!$D:$D,$C41,'RAW_유기농_9월'!$A:$A,$E41),SUMIFS('RAW_유기농_10월'!$H:$H,'RAW_유기농_10월'!$D:$D,$C41,'RAW_유기농_10월'!$A:$A,$E41),SUMIFS('RAW_유기농_11-12월'!$H:$H,'RAW_유기농_11-12월'!$D:$D,$C41,'RAW_유기농_11-12월'!$A:$A,$E41))))</f>
        <v>575800</v>
      </c>
      <c r="I41" s="17" t="str">
        <f>IF($C41="","",IF(COUNTIFS('RAW_유기농_7월'!$D:$D,$C41,'RAW_유기농_7월'!$A:$A,$E41)&gt;0,"O",""))</f>
        <v>O</v>
      </c>
      <c r="J41" s="17" t="str">
        <f>IF($C41="","",IF(COUNTIFS('RAW_유기농_8월'!$D:$D,$C41,'RAW_유기농_8월'!$A:$A,$E41)&gt;0,"O",""))</f>
        <v>O</v>
      </c>
      <c r="K41" s="17" t="str">
        <f>IF($C41="","",IF(COUNTIFS('RAW_유기농_9월'!$D:$D,$C41,'RAW_유기농_9월'!$A:$A,$E41)&gt;0,"O",""))</f>
        <v/>
      </c>
      <c r="L41" s="17" t="str">
        <f>IF($C41="","",IF(COUNTIFS('RAW_유기농_10월'!$D:$D,$C41,'RAW_유기농_10월'!$A:$A,$E41)&gt;0,"O",""))</f>
        <v/>
      </c>
      <c r="M41" s="17" t="str">
        <f>IF($C41="","",IF(COUNTIFS('RAW_유기농_11-12월'!$D:$D,$C41,'RAW_유기농_11-12월'!$A:$A,$E41)&gt;0,"O",""))</f>
        <v/>
      </c>
      <c r="N41" s="7">
        <f>IF($C41="","",IF(COUNTA('RAW_유기농_7월'!$A:$A)&lt;=1,"",SUMIFS('RAW_유기농_7월'!$H:$H,'RAW_유기농_7월'!$D:$D,$C41,'RAW_유기농_7월'!$A:$A,$E41)))</f>
        <v>261400</v>
      </c>
      <c r="O41" s="7">
        <f>IF($C41="","",IF(COUNTA('RAW_유기농_8월'!$A:$A)&lt;=1,"",SUMIFS('RAW_유기농_8월'!$H:$H,'RAW_유기농_8월'!$D:$D,$C41,'RAW_유기농_8월'!$A:$A,$E41)-SUMIFS('RAW_유기농_7월'!$H:$H,'RAW_유기농_7월'!$D:$D,$C41,'RAW_유기농_7월'!$A:$A,$E41)))</f>
        <v>314400</v>
      </c>
      <c r="P41" s="7" t="str">
        <f>IF($C41="","",IF(COUNTA('RAW_유기농_9월'!$A:$A)&lt;=1,"",SUMIFS('RAW_유기농_9월'!$H:$H,'RAW_유기농_9월'!$D:$D,$C41,'RAW_유기농_9월'!$A:$A,$E41)-SUMIFS('RAW_유기농_8월'!$H:$H,'RAW_유기농_8월'!$D:$D,$C41,'RAW_유기농_8월'!$A:$A,$E41)))</f>
        <v/>
      </c>
      <c r="Q41" s="7" t="str">
        <f>IF($C41="","",IF(COUNTA('RAW_유기농_10월'!$A:$A)&lt;=1,"",SUMIFS('RAW_유기농_10월'!$H:$H,'RAW_유기농_10월'!$D:$D,$C41,'RAW_유기농_10월'!$A:$A,$E41)-SUMIFS('RAW_유기농_9월'!$H:$H,'RAW_유기농_9월'!$D:$D,$C41,'RAW_유기농_9월'!$A:$A,$E41)))</f>
        <v/>
      </c>
      <c r="R41" s="7" t="str">
        <f>IF($C41="","",IF(COUNTA('RAW_유기농_11-12월'!$A:$A)&lt;=1,"",SUMIFS('RAW_유기농_11-12월'!$H:$H,'RAW_유기농_11-12월'!$D:$D,$C41,'RAW_유기농_11-12월'!$A:$A,$E41)-SUMIFS('RAW_유기농_10월'!$H:$H,'RAW_유기농_10월'!$D:$D,$C41,'RAW_유기농_10월'!$A:$A,$E41)))</f>
        <v/>
      </c>
      <c r="S41" s="17" t="str">
        <f t="shared" si="4"/>
        <v>O</v>
      </c>
      <c r="T41" s="17" t="str">
        <f t="shared" si="5"/>
        <v>100만원 미만</v>
      </c>
      <c r="U41" s="7">
        <f>IF($C41="",0,IF('설정'!$B$4=0,0,CHOOSE('설정'!$B$4,COUNTIFS('RAW_유기농_7월'!$D:$D,$C41,'RAW_유기농_7월'!$A:$A,$E41),COUNTIFS('RAW_유기농_8월'!$D:$D,$C41,'RAW_유기농_8월'!$A:$A,$E41),COUNTIFS('RAW_유기농_9월'!$D:$D,$C41,'RAW_유기농_9월'!$A:$A,$E41),COUNTIFS('RAW_유기농_10월'!$D:$D,$C41,'RAW_유기농_10월'!$A:$A,$E41),COUNTIFS('RAW_유기농_11-12월'!$D:$D,$C41,'RAW_유기농_11-12월'!$A:$A,$E41))))</f>
        <v>7</v>
      </c>
    </row>
    <row r="42" ht="15.75" customHeight="1">
      <c r="A42" s="5">
        <v>40.0</v>
      </c>
      <c r="B42" s="5" t="s">
        <v>25</v>
      </c>
      <c r="C42" s="5" t="s">
        <v>1909</v>
      </c>
      <c r="D42" s="6" t="s">
        <v>1910</v>
      </c>
      <c r="E42" s="5" t="s">
        <v>31</v>
      </c>
      <c r="F42" s="7">
        <f>IF($C42="","",IF('설정'!$B$4=0,"",CHOOSE('설정'!$B$4,SUMIFS('RAW_유기농_7월'!$F:$F,'RAW_유기농_7월'!$D:$D,$C42,'RAW_유기농_7월'!$A:$A,$E42),SUMIFS('RAW_유기농_8월'!$F:$F,'RAW_유기농_8월'!$D:$D,$C42,'RAW_유기농_8월'!$A:$A,$E42),SUMIFS('RAW_유기농_9월'!$F:$F,'RAW_유기농_9월'!$D:$D,$C42,'RAW_유기농_9월'!$A:$A,$E42),SUMIFS('RAW_유기농_10월'!$F:$F,'RAW_유기농_10월'!$D:$D,$C42,'RAW_유기농_10월'!$A:$A,$E42),SUMIFS('RAW_유기농_11-12월'!$F:$F,'RAW_유기농_11-12월'!$D:$D,$C42,'RAW_유기농_11-12월'!$A:$A,$E42))))</f>
        <v>0</v>
      </c>
      <c r="G42" s="7">
        <f>IF($C42="","",IF('설정'!$B$4=0,"",CHOOSE('설정'!$B$4,SUMIFS('RAW_유기농_7월'!$G:$G,'RAW_유기농_7월'!$D:$D,$C42,'RAW_유기농_7월'!$A:$A,$E42),SUMIFS('RAW_유기농_8월'!$G:$G,'RAW_유기농_8월'!$D:$D,$C42,'RAW_유기농_8월'!$A:$A,$E42),SUMIFS('RAW_유기농_9월'!$G:$G,'RAW_유기농_9월'!$D:$D,$C42,'RAW_유기농_9월'!$A:$A,$E42),SUMIFS('RAW_유기농_10월'!$G:$G,'RAW_유기농_10월'!$D:$D,$C42,'RAW_유기농_10월'!$A:$A,$E42),SUMIFS('RAW_유기농_11-12월'!$G:$G,'RAW_유기농_11-12월'!$D:$D,$C42,'RAW_유기농_11-12월'!$A:$A,$E42))))</f>
        <v>0</v>
      </c>
      <c r="H42" s="7">
        <f>IF($C42="","",IF('설정'!$B$4=0,"",CHOOSE('설정'!$B$4,SUMIFS('RAW_유기농_7월'!$H:$H,'RAW_유기농_7월'!$D:$D,$C42,'RAW_유기농_7월'!$A:$A,$E42),SUMIFS('RAW_유기농_8월'!$H:$H,'RAW_유기농_8월'!$D:$D,$C42,'RAW_유기농_8월'!$A:$A,$E42),SUMIFS('RAW_유기농_9월'!$H:$H,'RAW_유기농_9월'!$D:$D,$C42,'RAW_유기농_9월'!$A:$A,$E42),SUMIFS('RAW_유기농_10월'!$H:$H,'RAW_유기농_10월'!$D:$D,$C42,'RAW_유기농_10월'!$A:$A,$E42),SUMIFS('RAW_유기농_11-12월'!$H:$H,'RAW_유기농_11-12월'!$D:$D,$C42,'RAW_유기농_11-12월'!$A:$A,$E42))))</f>
        <v>0</v>
      </c>
      <c r="I42" s="17" t="str">
        <f>IF($C42="","",IF(COUNTIFS('RAW_유기농_7월'!$D:$D,$C42,'RAW_유기농_7월'!$A:$A,$E42)&gt;0,"O",""))</f>
        <v/>
      </c>
      <c r="J42" s="17" t="str">
        <f>IF($C42="","",IF(COUNTIFS('RAW_유기농_8월'!$D:$D,$C42,'RAW_유기농_8월'!$A:$A,$E42)&gt;0,"O",""))</f>
        <v/>
      </c>
      <c r="K42" s="17" t="str">
        <f>IF($C42="","",IF(COUNTIFS('RAW_유기농_9월'!$D:$D,$C42,'RAW_유기농_9월'!$A:$A,$E42)&gt;0,"O",""))</f>
        <v/>
      </c>
      <c r="L42" s="17" t="str">
        <f>IF($C42="","",IF(COUNTIFS('RAW_유기농_10월'!$D:$D,$C42,'RAW_유기농_10월'!$A:$A,$E42)&gt;0,"O",""))</f>
        <v/>
      </c>
      <c r="M42" s="17" t="str">
        <f>IF($C42="","",IF(COUNTIFS('RAW_유기농_11-12월'!$D:$D,$C42,'RAW_유기농_11-12월'!$A:$A,$E42)&gt;0,"O",""))</f>
        <v/>
      </c>
      <c r="N42" s="7">
        <f>IF($C42="","",IF(COUNTA('RAW_유기농_7월'!$A:$A)&lt;=1,"",SUMIFS('RAW_유기농_7월'!$H:$H,'RAW_유기농_7월'!$D:$D,$C42,'RAW_유기농_7월'!$A:$A,$E42)))</f>
        <v>0</v>
      </c>
      <c r="O42" s="7">
        <f>IF($C42="","",IF(COUNTA('RAW_유기농_8월'!$A:$A)&lt;=1,"",SUMIFS('RAW_유기농_8월'!$H:$H,'RAW_유기농_8월'!$D:$D,$C42,'RAW_유기농_8월'!$A:$A,$E42)-SUMIFS('RAW_유기농_7월'!$H:$H,'RAW_유기농_7월'!$D:$D,$C42,'RAW_유기농_7월'!$A:$A,$E42)))</f>
        <v>0</v>
      </c>
      <c r="P42" s="7" t="str">
        <f>IF($C42="","",IF(COUNTA('RAW_유기농_9월'!$A:$A)&lt;=1,"",SUMIFS('RAW_유기농_9월'!$H:$H,'RAW_유기농_9월'!$D:$D,$C42,'RAW_유기농_9월'!$A:$A,$E42)-SUMIFS('RAW_유기농_8월'!$H:$H,'RAW_유기농_8월'!$D:$D,$C42,'RAW_유기농_8월'!$A:$A,$E42)))</f>
        <v/>
      </c>
      <c r="Q42" s="7" t="str">
        <f>IF($C42="","",IF(COUNTA('RAW_유기농_10월'!$A:$A)&lt;=1,"",SUMIFS('RAW_유기농_10월'!$H:$H,'RAW_유기농_10월'!$D:$D,$C42,'RAW_유기농_10월'!$A:$A,$E42)-SUMIFS('RAW_유기농_9월'!$H:$H,'RAW_유기농_9월'!$D:$D,$C42,'RAW_유기농_9월'!$A:$A,$E42)))</f>
        <v/>
      </c>
      <c r="R42" s="7" t="str">
        <f>IF($C42="","",IF(COUNTA('RAW_유기농_11-12월'!$A:$A)&lt;=1,"",SUMIFS('RAW_유기농_11-12월'!$H:$H,'RAW_유기농_11-12월'!$D:$D,$C42,'RAW_유기농_11-12월'!$A:$A,$E42)-SUMIFS('RAW_유기농_10월'!$H:$H,'RAW_유기농_10월'!$D:$D,$C42,'RAW_유기농_10월'!$A:$A,$E42)))</f>
        <v/>
      </c>
      <c r="S42" s="17" t="str">
        <f t="shared" si="4"/>
        <v/>
      </c>
      <c r="T42" s="17" t="str">
        <f t="shared" si="5"/>
        <v>미사용</v>
      </c>
      <c r="U42" s="7">
        <f>IF($C42="",0,IF('설정'!$B$4=0,0,CHOOSE('설정'!$B$4,COUNTIFS('RAW_유기농_7월'!$D:$D,$C42,'RAW_유기농_7월'!$A:$A,$E42),COUNTIFS('RAW_유기농_8월'!$D:$D,$C42,'RAW_유기농_8월'!$A:$A,$E42),COUNTIFS('RAW_유기농_9월'!$D:$D,$C42,'RAW_유기농_9월'!$A:$A,$E42),COUNTIFS('RAW_유기농_10월'!$D:$D,$C42,'RAW_유기농_10월'!$A:$A,$E42),COUNTIFS('RAW_유기농_11-12월'!$D:$D,$C42,'RAW_유기농_11-12월'!$A:$A,$E42))))</f>
        <v>0</v>
      </c>
    </row>
    <row r="43" ht="15.75" customHeight="1">
      <c r="A43" s="5">
        <v>41.0</v>
      </c>
      <c r="B43" s="5" t="s">
        <v>25</v>
      </c>
      <c r="C43" s="5" t="s">
        <v>1911</v>
      </c>
      <c r="D43" s="6" t="s">
        <v>1912</v>
      </c>
      <c r="E43" s="5" t="s">
        <v>92</v>
      </c>
      <c r="F43" s="7">
        <f>IF($C43="","",IF('설정'!$B$4=0,"",CHOOSE('설정'!$B$4,SUMIFS('RAW_유기농_7월'!$F:$F,'RAW_유기농_7월'!$D:$D,$C43,'RAW_유기농_7월'!$A:$A,$E43),SUMIFS('RAW_유기농_8월'!$F:$F,'RAW_유기농_8월'!$D:$D,$C43,'RAW_유기농_8월'!$A:$A,$E43),SUMIFS('RAW_유기농_9월'!$F:$F,'RAW_유기농_9월'!$D:$D,$C43,'RAW_유기농_9월'!$A:$A,$E43),SUMIFS('RAW_유기농_10월'!$F:$F,'RAW_유기농_10월'!$D:$D,$C43,'RAW_유기농_10월'!$A:$A,$E43),SUMIFS('RAW_유기농_11-12월'!$F:$F,'RAW_유기농_11-12월'!$D:$D,$C43,'RAW_유기농_11-12월'!$A:$A,$E43))))</f>
        <v>2047</v>
      </c>
      <c r="G43" s="7">
        <f>IF($C43="","",IF('설정'!$B$4=0,"",CHOOSE('설정'!$B$4,SUMIFS('RAW_유기농_7월'!$G:$G,'RAW_유기농_7월'!$D:$D,$C43,'RAW_유기농_7월'!$A:$A,$E43),SUMIFS('RAW_유기농_8월'!$G:$G,'RAW_유기농_8월'!$D:$D,$C43,'RAW_유기농_8월'!$A:$A,$E43),SUMIFS('RAW_유기농_9월'!$G:$G,'RAW_유기농_9월'!$D:$D,$C43,'RAW_유기농_9월'!$A:$A,$E43),SUMIFS('RAW_유기농_10월'!$G:$G,'RAW_유기농_10월'!$D:$D,$C43,'RAW_유기농_10월'!$A:$A,$E43),SUMIFS('RAW_유기농_11-12월'!$G:$G,'RAW_유기농_11-12월'!$D:$D,$C43,'RAW_유기농_11-12월'!$A:$A,$E43))))</f>
        <v>63191000</v>
      </c>
      <c r="H43" s="7">
        <f>IF($C43="","",IF('설정'!$B$4=0,"",CHOOSE('설정'!$B$4,SUMIFS('RAW_유기농_7월'!$H:$H,'RAW_유기농_7월'!$D:$D,$C43,'RAW_유기농_7월'!$A:$A,$E43),SUMIFS('RAW_유기농_8월'!$H:$H,'RAW_유기농_8월'!$D:$D,$C43,'RAW_유기농_8월'!$A:$A,$E43),SUMIFS('RAW_유기농_9월'!$H:$H,'RAW_유기농_9월'!$D:$D,$C43,'RAW_유기농_9월'!$A:$A,$E43),SUMIFS('RAW_유기농_10월'!$H:$H,'RAW_유기농_10월'!$D:$D,$C43,'RAW_유기농_10월'!$A:$A,$E43),SUMIFS('RAW_유기농_11-12월'!$H:$H,'RAW_유기농_11-12월'!$D:$D,$C43,'RAW_유기농_11-12월'!$A:$A,$E43))))</f>
        <v>7617120</v>
      </c>
      <c r="I43" s="17" t="str">
        <f>IF($C43="","",IF(COUNTIFS('RAW_유기농_7월'!$D:$D,$C43,'RAW_유기농_7월'!$A:$A,$E43)&gt;0,"O",""))</f>
        <v>O</v>
      </c>
      <c r="J43" s="17" t="str">
        <f>IF($C43="","",IF(COUNTIFS('RAW_유기농_8월'!$D:$D,$C43,'RAW_유기농_8월'!$A:$A,$E43)&gt;0,"O",""))</f>
        <v>O</v>
      </c>
      <c r="K43" s="17" t="str">
        <f>IF($C43="","",IF(COUNTIFS('RAW_유기농_9월'!$D:$D,$C43,'RAW_유기농_9월'!$A:$A,$E43)&gt;0,"O",""))</f>
        <v/>
      </c>
      <c r="L43" s="17" t="str">
        <f>IF($C43="","",IF(COUNTIFS('RAW_유기농_10월'!$D:$D,$C43,'RAW_유기농_10월'!$A:$A,$E43)&gt;0,"O",""))</f>
        <v/>
      </c>
      <c r="M43" s="17" t="str">
        <f>IF($C43="","",IF(COUNTIFS('RAW_유기농_11-12월'!$D:$D,$C43,'RAW_유기농_11-12월'!$A:$A,$E43)&gt;0,"O",""))</f>
        <v/>
      </c>
      <c r="N43" s="7">
        <f>IF($C43="","",IF(COUNTA('RAW_유기농_7월'!$A:$A)&lt;=1,"",SUMIFS('RAW_유기농_7월'!$H:$H,'RAW_유기농_7월'!$D:$D,$C43,'RAW_유기농_7월'!$A:$A,$E43)))</f>
        <v>0</v>
      </c>
      <c r="O43" s="7">
        <f>IF($C43="","",IF(COUNTA('RAW_유기농_8월'!$A:$A)&lt;=1,"",SUMIFS('RAW_유기농_8월'!$H:$H,'RAW_유기농_8월'!$D:$D,$C43,'RAW_유기농_8월'!$A:$A,$E43)-SUMIFS('RAW_유기농_7월'!$H:$H,'RAW_유기농_7월'!$D:$D,$C43,'RAW_유기농_7월'!$A:$A,$E43)))</f>
        <v>7617120</v>
      </c>
      <c r="P43" s="7" t="str">
        <f>IF($C43="","",IF(COUNTA('RAW_유기농_9월'!$A:$A)&lt;=1,"",SUMIFS('RAW_유기농_9월'!$H:$H,'RAW_유기농_9월'!$D:$D,$C43,'RAW_유기농_9월'!$A:$A,$E43)-SUMIFS('RAW_유기농_8월'!$H:$H,'RAW_유기농_8월'!$D:$D,$C43,'RAW_유기농_8월'!$A:$A,$E43)))</f>
        <v/>
      </c>
      <c r="Q43" s="7" t="str">
        <f>IF($C43="","",IF(COUNTA('RAW_유기농_10월'!$A:$A)&lt;=1,"",SUMIFS('RAW_유기농_10월'!$H:$H,'RAW_유기농_10월'!$D:$D,$C43,'RAW_유기농_10월'!$A:$A,$E43)-SUMIFS('RAW_유기농_9월'!$H:$H,'RAW_유기농_9월'!$D:$D,$C43,'RAW_유기농_9월'!$A:$A,$E43)))</f>
        <v/>
      </c>
      <c r="R43" s="7" t="str">
        <f>IF($C43="","",IF(COUNTA('RAW_유기농_11-12월'!$A:$A)&lt;=1,"",SUMIFS('RAW_유기농_11-12월'!$H:$H,'RAW_유기농_11-12월'!$D:$D,$C43,'RAW_유기농_11-12월'!$A:$A,$E43)-SUMIFS('RAW_유기농_10월'!$H:$H,'RAW_유기농_10월'!$D:$D,$C43,'RAW_유기농_10월'!$A:$A,$E43)))</f>
        <v/>
      </c>
      <c r="S43" s="17" t="str">
        <f t="shared" si="4"/>
        <v>O</v>
      </c>
      <c r="T43" s="17" t="str">
        <f t="shared" si="5"/>
        <v>800만원 미만</v>
      </c>
      <c r="U43" s="7">
        <f>IF($C43="",0,IF('설정'!$B$4=0,0,CHOOSE('설정'!$B$4,COUNTIFS('RAW_유기농_7월'!$D:$D,$C43,'RAW_유기농_7월'!$A:$A,$E43),COUNTIFS('RAW_유기농_8월'!$D:$D,$C43,'RAW_유기농_8월'!$A:$A,$E43),COUNTIFS('RAW_유기농_9월'!$D:$D,$C43,'RAW_유기농_9월'!$A:$A,$E43),COUNTIFS('RAW_유기농_10월'!$D:$D,$C43,'RAW_유기농_10월'!$A:$A,$E43),COUNTIFS('RAW_유기농_11-12월'!$D:$D,$C43,'RAW_유기농_11-12월'!$A:$A,$E43))))</f>
        <v>4</v>
      </c>
    </row>
    <row r="44" ht="15.75" customHeight="1">
      <c r="A44" s="5">
        <v>42.0</v>
      </c>
      <c r="B44" s="5" t="s">
        <v>25</v>
      </c>
      <c r="C44" s="5" t="s">
        <v>1913</v>
      </c>
      <c r="D44" s="6" t="s">
        <v>1914</v>
      </c>
      <c r="E44" s="5" t="s">
        <v>92</v>
      </c>
      <c r="F44" s="7">
        <f>IF($C44="","",IF('설정'!$B$4=0,"",CHOOSE('설정'!$B$4,SUMIFS('RAW_유기농_7월'!$F:$F,'RAW_유기농_7월'!$D:$D,$C44,'RAW_유기농_7월'!$A:$A,$E44),SUMIFS('RAW_유기농_8월'!$F:$F,'RAW_유기농_8월'!$D:$D,$C44,'RAW_유기농_8월'!$A:$A,$E44),SUMIFS('RAW_유기농_9월'!$F:$F,'RAW_유기농_9월'!$D:$D,$C44,'RAW_유기농_9월'!$A:$A,$E44),SUMIFS('RAW_유기농_10월'!$F:$F,'RAW_유기농_10월'!$D:$D,$C44,'RAW_유기농_10월'!$A:$A,$E44),SUMIFS('RAW_유기농_11-12월'!$F:$F,'RAW_유기농_11-12월'!$D:$D,$C44,'RAW_유기농_11-12월'!$A:$A,$E44))))</f>
        <v>59</v>
      </c>
      <c r="G44" s="7">
        <f>IF($C44="","",IF('설정'!$B$4=0,"",CHOOSE('설정'!$B$4,SUMIFS('RAW_유기농_7월'!$G:$G,'RAW_유기농_7월'!$D:$D,$C44,'RAW_유기농_7월'!$A:$A,$E44),SUMIFS('RAW_유기농_8월'!$G:$G,'RAW_유기농_8월'!$D:$D,$C44,'RAW_유기농_8월'!$A:$A,$E44),SUMIFS('RAW_유기농_9월'!$G:$G,'RAW_유기농_9월'!$D:$D,$C44,'RAW_유기농_9월'!$A:$A,$E44),SUMIFS('RAW_유기농_10월'!$G:$G,'RAW_유기농_10월'!$D:$D,$C44,'RAW_유기농_10월'!$A:$A,$E44),SUMIFS('RAW_유기농_11-12월'!$G:$G,'RAW_유기농_11-12월'!$D:$D,$C44,'RAW_유기농_11-12월'!$A:$A,$E44))))</f>
        <v>2502300</v>
      </c>
      <c r="H44" s="7">
        <f>IF($C44="","",IF('설정'!$B$4=0,"",CHOOSE('설정'!$B$4,SUMIFS('RAW_유기농_7월'!$H:$H,'RAW_유기농_7월'!$D:$D,$C44,'RAW_유기농_7월'!$A:$A,$E44),SUMIFS('RAW_유기농_8월'!$H:$H,'RAW_유기농_8월'!$D:$D,$C44,'RAW_유기농_8월'!$A:$A,$E44),SUMIFS('RAW_유기농_9월'!$H:$H,'RAW_유기농_9월'!$D:$D,$C44,'RAW_유기농_9월'!$A:$A,$E44),SUMIFS('RAW_유기농_10월'!$H:$H,'RAW_유기농_10월'!$D:$D,$C44,'RAW_유기농_10월'!$A:$A,$E44),SUMIFS('RAW_유기농_11-12월'!$H:$H,'RAW_유기농_11-12월'!$D:$D,$C44,'RAW_유기농_11-12월'!$A:$A,$E44))))</f>
        <v>253260</v>
      </c>
      <c r="I44" s="17" t="str">
        <f>IF($C44="","",IF(COUNTIFS('RAW_유기농_7월'!$D:$D,$C44,'RAW_유기농_7월'!$A:$A,$E44)&gt;0,"O",""))</f>
        <v>O</v>
      </c>
      <c r="J44" s="17" t="str">
        <f>IF($C44="","",IF(COUNTIFS('RAW_유기농_8월'!$D:$D,$C44,'RAW_유기농_8월'!$A:$A,$E44)&gt;0,"O",""))</f>
        <v>O</v>
      </c>
      <c r="K44" s="17" t="str">
        <f>IF($C44="","",IF(COUNTIFS('RAW_유기농_9월'!$D:$D,$C44,'RAW_유기농_9월'!$A:$A,$E44)&gt;0,"O",""))</f>
        <v/>
      </c>
      <c r="L44" s="17" t="str">
        <f>IF($C44="","",IF(COUNTIFS('RAW_유기농_10월'!$D:$D,$C44,'RAW_유기농_10월'!$A:$A,$E44)&gt;0,"O",""))</f>
        <v/>
      </c>
      <c r="M44" s="17" t="str">
        <f>IF($C44="","",IF(COUNTIFS('RAW_유기농_11-12월'!$D:$D,$C44,'RAW_유기농_11-12월'!$A:$A,$E44)&gt;0,"O",""))</f>
        <v/>
      </c>
      <c r="N44" s="7">
        <f>IF($C44="","",IF(COUNTA('RAW_유기농_7월'!$A:$A)&lt;=1,"",SUMIFS('RAW_유기농_7월'!$H:$H,'RAW_유기농_7월'!$D:$D,$C44,'RAW_유기농_7월'!$A:$A,$E44)))</f>
        <v>194500</v>
      </c>
      <c r="O44" s="7">
        <f>IF($C44="","",IF(COUNTA('RAW_유기농_8월'!$A:$A)&lt;=1,"",SUMIFS('RAW_유기농_8월'!$H:$H,'RAW_유기농_8월'!$D:$D,$C44,'RAW_유기농_8월'!$A:$A,$E44)-SUMIFS('RAW_유기농_7월'!$H:$H,'RAW_유기농_7월'!$D:$D,$C44,'RAW_유기농_7월'!$A:$A,$E44)))</f>
        <v>58760</v>
      </c>
      <c r="P44" s="7" t="str">
        <f>IF($C44="","",IF(COUNTA('RAW_유기농_9월'!$A:$A)&lt;=1,"",SUMIFS('RAW_유기농_9월'!$H:$H,'RAW_유기농_9월'!$D:$D,$C44,'RAW_유기농_9월'!$A:$A,$E44)-SUMIFS('RAW_유기농_8월'!$H:$H,'RAW_유기농_8월'!$D:$D,$C44,'RAW_유기농_8월'!$A:$A,$E44)))</f>
        <v/>
      </c>
      <c r="Q44" s="7" t="str">
        <f>IF($C44="","",IF(COUNTA('RAW_유기농_10월'!$A:$A)&lt;=1,"",SUMIFS('RAW_유기농_10월'!$H:$H,'RAW_유기농_10월'!$D:$D,$C44,'RAW_유기농_10월'!$A:$A,$E44)-SUMIFS('RAW_유기농_9월'!$H:$H,'RAW_유기농_9월'!$D:$D,$C44,'RAW_유기농_9월'!$A:$A,$E44)))</f>
        <v/>
      </c>
      <c r="R44" s="7" t="str">
        <f>IF($C44="","",IF(COUNTA('RAW_유기농_11-12월'!$A:$A)&lt;=1,"",SUMIFS('RAW_유기농_11-12월'!$H:$H,'RAW_유기농_11-12월'!$D:$D,$C44,'RAW_유기농_11-12월'!$A:$A,$E44)-SUMIFS('RAW_유기농_10월'!$H:$H,'RAW_유기농_10월'!$D:$D,$C44,'RAW_유기농_10월'!$A:$A,$E44)))</f>
        <v/>
      </c>
      <c r="S44" s="17" t="str">
        <f t="shared" si="4"/>
        <v>O</v>
      </c>
      <c r="T44" s="17" t="str">
        <f t="shared" si="5"/>
        <v>50만원 미만</v>
      </c>
      <c r="U44" s="7">
        <f>IF($C44="",0,IF('설정'!$B$4=0,0,CHOOSE('설정'!$B$4,COUNTIFS('RAW_유기농_7월'!$D:$D,$C44,'RAW_유기농_7월'!$A:$A,$E44),COUNTIFS('RAW_유기농_8월'!$D:$D,$C44,'RAW_유기농_8월'!$A:$A,$E44),COUNTIFS('RAW_유기농_9월'!$D:$D,$C44,'RAW_유기농_9월'!$A:$A,$E44),COUNTIFS('RAW_유기농_10월'!$D:$D,$C44,'RAW_유기농_10월'!$A:$A,$E44),COUNTIFS('RAW_유기농_11-12월'!$D:$D,$C44,'RAW_유기농_11-12월'!$A:$A,$E44))))</f>
        <v>1</v>
      </c>
    </row>
    <row r="45" ht="15.75" customHeight="1">
      <c r="A45" s="5">
        <v>43.0</v>
      </c>
      <c r="B45" s="5" t="s">
        <v>108</v>
      </c>
      <c r="C45" s="5" t="s">
        <v>1956</v>
      </c>
      <c r="D45" s="6" t="s">
        <v>1957</v>
      </c>
      <c r="E45" s="5" t="s">
        <v>92</v>
      </c>
      <c r="F45" s="7">
        <f>IF($C45="","",IF('설정'!$B$4=0,"",CHOOSE('설정'!$B$4,SUMIFS('RAW_유기농_7월'!$F:$F,'RAW_유기농_7월'!$D:$D,$C45,'RAW_유기농_7월'!$A:$A,$E45),SUMIFS('RAW_유기농_8월'!$F:$F,'RAW_유기농_8월'!$D:$D,$C45,'RAW_유기농_8월'!$A:$A,$E45),SUMIFS('RAW_유기농_9월'!$F:$F,'RAW_유기농_9월'!$D:$D,$C45,'RAW_유기농_9월'!$A:$A,$E45),SUMIFS('RAW_유기농_10월'!$F:$F,'RAW_유기농_10월'!$D:$D,$C45,'RAW_유기농_10월'!$A:$A,$E45),SUMIFS('RAW_유기농_11-12월'!$F:$F,'RAW_유기농_11-12월'!$D:$D,$C45,'RAW_유기농_11-12월'!$A:$A,$E45))))</f>
        <v>0</v>
      </c>
      <c r="G45" s="7">
        <f>IF($C45="","",IF('설정'!$B$4=0,"",CHOOSE('설정'!$B$4,SUMIFS('RAW_유기농_7월'!$G:$G,'RAW_유기농_7월'!$D:$D,$C45,'RAW_유기농_7월'!$A:$A,$E45),SUMIFS('RAW_유기농_8월'!$G:$G,'RAW_유기농_8월'!$D:$D,$C45,'RAW_유기농_8월'!$A:$A,$E45),SUMIFS('RAW_유기농_9월'!$G:$G,'RAW_유기농_9월'!$D:$D,$C45,'RAW_유기농_9월'!$A:$A,$E45),SUMIFS('RAW_유기농_10월'!$G:$G,'RAW_유기농_10월'!$D:$D,$C45,'RAW_유기농_10월'!$A:$A,$E45),SUMIFS('RAW_유기농_11-12월'!$G:$G,'RAW_유기농_11-12월'!$D:$D,$C45,'RAW_유기농_11-12월'!$A:$A,$E45))))</f>
        <v>0</v>
      </c>
      <c r="H45" s="7">
        <f>IF($C45="","",IF('설정'!$B$4=0,"",CHOOSE('설정'!$B$4,SUMIFS('RAW_유기농_7월'!$H:$H,'RAW_유기농_7월'!$D:$D,$C45,'RAW_유기농_7월'!$A:$A,$E45),SUMIFS('RAW_유기농_8월'!$H:$H,'RAW_유기농_8월'!$D:$D,$C45,'RAW_유기농_8월'!$A:$A,$E45),SUMIFS('RAW_유기농_9월'!$H:$H,'RAW_유기농_9월'!$D:$D,$C45,'RAW_유기농_9월'!$A:$A,$E45),SUMIFS('RAW_유기농_10월'!$H:$H,'RAW_유기농_10월'!$D:$D,$C45,'RAW_유기농_10월'!$A:$A,$E45),SUMIFS('RAW_유기농_11-12월'!$H:$H,'RAW_유기농_11-12월'!$D:$D,$C45,'RAW_유기농_11-12월'!$A:$A,$E45))))</f>
        <v>0</v>
      </c>
      <c r="I45" s="17" t="str">
        <f>IF($C45="","",IF(COUNTIFS('RAW_유기농_7월'!$D:$D,$C45,'RAW_유기농_7월'!$A:$A,$E45)&gt;0,"O",""))</f>
        <v/>
      </c>
      <c r="J45" s="17" t="str">
        <f>IF($C45="","",IF(COUNTIFS('RAW_유기농_8월'!$D:$D,$C45,'RAW_유기농_8월'!$A:$A,$E45)&gt;0,"O",""))</f>
        <v/>
      </c>
      <c r="K45" s="17" t="str">
        <f>IF($C45="","",IF(COUNTIFS('RAW_유기농_9월'!$D:$D,$C45,'RAW_유기농_9월'!$A:$A,$E45)&gt;0,"O",""))</f>
        <v/>
      </c>
      <c r="L45" s="17" t="str">
        <f>IF($C45="","",IF(COUNTIFS('RAW_유기농_10월'!$D:$D,$C45,'RAW_유기농_10월'!$A:$A,$E45)&gt;0,"O",""))</f>
        <v/>
      </c>
      <c r="M45" s="17" t="str">
        <f>IF($C45="","",IF(COUNTIFS('RAW_유기농_11-12월'!$D:$D,$C45,'RAW_유기농_11-12월'!$A:$A,$E45)&gt;0,"O",""))</f>
        <v/>
      </c>
      <c r="N45" s="7">
        <f>IF($C45="","",IF(COUNTA('RAW_유기농_7월'!$A:$A)&lt;=1,"",SUMIFS('RAW_유기농_7월'!$H:$H,'RAW_유기농_7월'!$D:$D,$C45,'RAW_유기농_7월'!$A:$A,$E45)))</f>
        <v>0</v>
      </c>
      <c r="O45" s="7">
        <f>IF($C45="","",IF(COUNTA('RAW_유기농_8월'!$A:$A)&lt;=1,"",SUMIFS('RAW_유기농_8월'!$H:$H,'RAW_유기농_8월'!$D:$D,$C45,'RAW_유기농_8월'!$A:$A,$E45)-SUMIFS('RAW_유기농_7월'!$H:$H,'RAW_유기농_7월'!$D:$D,$C45,'RAW_유기농_7월'!$A:$A,$E45)))</f>
        <v>0</v>
      </c>
      <c r="P45" s="7" t="str">
        <f>IF($C45="","",IF(COUNTA('RAW_유기농_9월'!$A:$A)&lt;=1,"",SUMIFS('RAW_유기농_9월'!$H:$H,'RAW_유기농_9월'!$D:$D,$C45,'RAW_유기농_9월'!$A:$A,$E45)-SUMIFS('RAW_유기농_8월'!$H:$H,'RAW_유기농_8월'!$D:$D,$C45,'RAW_유기농_8월'!$A:$A,$E45)))</f>
        <v/>
      </c>
      <c r="Q45" s="7" t="str">
        <f>IF($C45="","",IF(COUNTA('RAW_유기농_10월'!$A:$A)&lt;=1,"",SUMIFS('RAW_유기농_10월'!$H:$H,'RAW_유기농_10월'!$D:$D,$C45,'RAW_유기농_10월'!$A:$A,$E45)-SUMIFS('RAW_유기농_9월'!$H:$H,'RAW_유기농_9월'!$D:$D,$C45,'RAW_유기농_9월'!$A:$A,$E45)))</f>
        <v/>
      </c>
      <c r="R45" s="7" t="str">
        <f>IF($C45="","",IF(COUNTA('RAW_유기농_11-12월'!$A:$A)&lt;=1,"",SUMIFS('RAW_유기농_11-12월'!$H:$H,'RAW_유기농_11-12월'!$D:$D,$C45,'RAW_유기농_11-12월'!$A:$A,$E45)-SUMIFS('RAW_유기농_10월'!$H:$H,'RAW_유기농_10월'!$D:$D,$C45,'RAW_유기농_10월'!$A:$A,$E45)))</f>
        <v/>
      </c>
      <c r="S45" s="17" t="str">
        <f t="shared" si="4"/>
        <v/>
      </c>
      <c r="T45" s="17" t="str">
        <f t="shared" si="5"/>
        <v>미사용</v>
      </c>
      <c r="U45" s="7">
        <f>IF($C45="",0,IF('설정'!$B$4=0,0,CHOOSE('설정'!$B$4,COUNTIFS('RAW_유기농_7월'!$D:$D,$C45,'RAW_유기농_7월'!$A:$A,$E45),COUNTIFS('RAW_유기농_8월'!$D:$D,$C45,'RAW_유기농_8월'!$A:$A,$E45),COUNTIFS('RAW_유기농_9월'!$D:$D,$C45,'RAW_유기농_9월'!$A:$A,$E45),COUNTIFS('RAW_유기농_10월'!$D:$D,$C45,'RAW_유기농_10월'!$A:$A,$E45),COUNTIFS('RAW_유기농_11-12월'!$D:$D,$C45,'RAW_유기농_11-12월'!$A:$A,$E45))))</f>
        <v>0</v>
      </c>
    </row>
    <row r="46" ht="15.75" customHeight="1">
      <c r="A46" s="5">
        <v>44.0</v>
      </c>
      <c r="B46" s="5" t="s">
        <v>145</v>
      </c>
      <c r="C46" s="5" t="s">
        <v>2037</v>
      </c>
      <c r="D46" s="6" t="s">
        <v>2038</v>
      </c>
      <c r="E46" s="5" t="s">
        <v>31</v>
      </c>
      <c r="F46" s="7">
        <f>IF($C46="","",IF('설정'!$B$4=0,"",CHOOSE('설정'!$B$4,SUMIFS('RAW_유기농_7월'!$F:$F,'RAW_유기농_7월'!$D:$D,$C46,'RAW_유기농_7월'!$A:$A,$E46),SUMIFS('RAW_유기농_8월'!$F:$F,'RAW_유기농_8월'!$D:$D,$C46,'RAW_유기농_8월'!$A:$A,$E46),SUMIFS('RAW_유기농_9월'!$F:$F,'RAW_유기농_9월'!$D:$D,$C46,'RAW_유기농_9월'!$A:$A,$E46),SUMIFS('RAW_유기농_10월'!$F:$F,'RAW_유기농_10월'!$D:$D,$C46,'RAW_유기농_10월'!$A:$A,$E46),SUMIFS('RAW_유기농_11-12월'!$F:$F,'RAW_유기농_11-12월'!$D:$D,$C46,'RAW_유기농_11-12월'!$A:$A,$E46))))</f>
        <v>0</v>
      </c>
      <c r="G46" s="7">
        <f>IF($C46="","",IF('설정'!$B$4=0,"",CHOOSE('설정'!$B$4,SUMIFS('RAW_유기농_7월'!$G:$G,'RAW_유기농_7월'!$D:$D,$C46,'RAW_유기농_7월'!$A:$A,$E46),SUMIFS('RAW_유기농_8월'!$G:$G,'RAW_유기농_8월'!$D:$D,$C46,'RAW_유기농_8월'!$A:$A,$E46),SUMIFS('RAW_유기농_9월'!$G:$G,'RAW_유기농_9월'!$D:$D,$C46,'RAW_유기농_9월'!$A:$A,$E46),SUMIFS('RAW_유기농_10월'!$G:$G,'RAW_유기농_10월'!$D:$D,$C46,'RAW_유기농_10월'!$A:$A,$E46),SUMIFS('RAW_유기농_11-12월'!$G:$G,'RAW_유기농_11-12월'!$D:$D,$C46,'RAW_유기농_11-12월'!$A:$A,$E46))))</f>
        <v>0</v>
      </c>
      <c r="H46" s="7">
        <f>IF($C46="","",IF('설정'!$B$4=0,"",CHOOSE('설정'!$B$4,SUMIFS('RAW_유기농_7월'!$H:$H,'RAW_유기농_7월'!$D:$D,$C46,'RAW_유기농_7월'!$A:$A,$E46),SUMIFS('RAW_유기농_8월'!$H:$H,'RAW_유기농_8월'!$D:$D,$C46,'RAW_유기농_8월'!$A:$A,$E46),SUMIFS('RAW_유기농_9월'!$H:$H,'RAW_유기농_9월'!$D:$D,$C46,'RAW_유기농_9월'!$A:$A,$E46),SUMIFS('RAW_유기농_10월'!$H:$H,'RAW_유기농_10월'!$D:$D,$C46,'RAW_유기농_10월'!$A:$A,$E46),SUMIFS('RAW_유기농_11-12월'!$H:$H,'RAW_유기농_11-12월'!$D:$D,$C46,'RAW_유기농_11-12월'!$A:$A,$E46))))</f>
        <v>0</v>
      </c>
      <c r="I46" s="17" t="str">
        <f>IF($C46="","",IF(COUNTIFS('RAW_유기농_7월'!$D:$D,$C46,'RAW_유기농_7월'!$A:$A,$E46)&gt;0,"O",""))</f>
        <v/>
      </c>
      <c r="J46" s="17" t="str">
        <f>IF($C46="","",IF(COUNTIFS('RAW_유기농_8월'!$D:$D,$C46,'RAW_유기농_8월'!$A:$A,$E46)&gt;0,"O",""))</f>
        <v/>
      </c>
      <c r="K46" s="17" t="str">
        <f>IF($C46="","",IF(COUNTIFS('RAW_유기농_9월'!$D:$D,$C46,'RAW_유기농_9월'!$A:$A,$E46)&gt;0,"O",""))</f>
        <v/>
      </c>
      <c r="L46" s="17" t="str">
        <f>IF($C46="","",IF(COUNTIFS('RAW_유기농_10월'!$D:$D,$C46,'RAW_유기농_10월'!$A:$A,$E46)&gt;0,"O",""))</f>
        <v/>
      </c>
      <c r="M46" s="17" t="str">
        <f>IF($C46="","",IF(COUNTIFS('RAW_유기농_11-12월'!$D:$D,$C46,'RAW_유기농_11-12월'!$A:$A,$E46)&gt;0,"O",""))</f>
        <v/>
      </c>
      <c r="N46" s="7">
        <f>IF($C46="","",IF(COUNTA('RAW_유기농_7월'!$A:$A)&lt;=1,"",SUMIFS('RAW_유기농_7월'!$H:$H,'RAW_유기농_7월'!$D:$D,$C46,'RAW_유기농_7월'!$A:$A,$E46)))</f>
        <v>0</v>
      </c>
      <c r="O46" s="7">
        <f>IF($C46="","",IF(COUNTA('RAW_유기농_8월'!$A:$A)&lt;=1,"",SUMIFS('RAW_유기농_8월'!$H:$H,'RAW_유기농_8월'!$D:$D,$C46,'RAW_유기농_8월'!$A:$A,$E46)-SUMIFS('RAW_유기농_7월'!$H:$H,'RAW_유기농_7월'!$D:$D,$C46,'RAW_유기농_7월'!$A:$A,$E46)))</f>
        <v>0</v>
      </c>
      <c r="P46" s="7" t="str">
        <f>IF($C46="","",IF(COUNTA('RAW_유기농_9월'!$A:$A)&lt;=1,"",SUMIFS('RAW_유기농_9월'!$H:$H,'RAW_유기농_9월'!$D:$D,$C46,'RAW_유기농_9월'!$A:$A,$E46)-SUMIFS('RAW_유기농_8월'!$H:$H,'RAW_유기농_8월'!$D:$D,$C46,'RAW_유기농_8월'!$A:$A,$E46)))</f>
        <v/>
      </c>
      <c r="Q46" s="7" t="str">
        <f>IF($C46="","",IF(COUNTA('RAW_유기농_10월'!$A:$A)&lt;=1,"",SUMIFS('RAW_유기농_10월'!$H:$H,'RAW_유기농_10월'!$D:$D,$C46,'RAW_유기농_10월'!$A:$A,$E46)-SUMIFS('RAW_유기농_9월'!$H:$H,'RAW_유기농_9월'!$D:$D,$C46,'RAW_유기농_9월'!$A:$A,$E46)))</f>
        <v/>
      </c>
      <c r="R46" s="7" t="str">
        <f>IF($C46="","",IF(COUNTA('RAW_유기농_11-12월'!$A:$A)&lt;=1,"",SUMIFS('RAW_유기농_11-12월'!$H:$H,'RAW_유기농_11-12월'!$D:$D,$C46,'RAW_유기농_11-12월'!$A:$A,$E46)-SUMIFS('RAW_유기농_10월'!$H:$H,'RAW_유기농_10월'!$D:$D,$C46,'RAW_유기농_10월'!$A:$A,$E46)))</f>
        <v/>
      </c>
      <c r="S46" s="17" t="str">
        <f t="shared" si="4"/>
        <v/>
      </c>
      <c r="T46" s="17" t="str">
        <f t="shared" si="5"/>
        <v>미사용</v>
      </c>
      <c r="U46" s="7">
        <f>IF($C46="",0,IF('설정'!$B$4=0,0,CHOOSE('설정'!$B$4,COUNTIFS('RAW_유기농_7월'!$D:$D,$C46,'RAW_유기농_7월'!$A:$A,$E46),COUNTIFS('RAW_유기농_8월'!$D:$D,$C46,'RAW_유기농_8월'!$A:$A,$E46),COUNTIFS('RAW_유기농_9월'!$D:$D,$C46,'RAW_유기농_9월'!$A:$A,$E46),COUNTIFS('RAW_유기농_10월'!$D:$D,$C46,'RAW_유기농_10월'!$A:$A,$E46),COUNTIFS('RAW_유기농_11-12월'!$D:$D,$C46,'RAW_유기농_11-12월'!$A:$A,$E46))))</f>
        <v>0</v>
      </c>
    </row>
    <row r="47" ht="15.75" customHeight="1">
      <c r="A47" s="5">
        <v>45.0</v>
      </c>
      <c r="B47" s="5" t="s">
        <v>25</v>
      </c>
      <c r="C47" s="5" t="s">
        <v>2123</v>
      </c>
      <c r="D47" s="6" t="s">
        <v>2124</v>
      </c>
      <c r="E47" s="5" t="s">
        <v>31</v>
      </c>
      <c r="F47" s="7">
        <f>IF($C47="","",IF('설정'!$B$4=0,"",CHOOSE('설정'!$B$4,SUMIFS('RAW_유기농_7월'!$F:$F,'RAW_유기농_7월'!$D:$D,$C47,'RAW_유기농_7월'!$A:$A,$E47),SUMIFS('RAW_유기농_8월'!$F:$F,'RAW_유기농_8월'!$D:$D,$C47,'RAW_유기농_8월'!$A:$A,$E47),SUMIFS('RAW_유기농_9월'!$F:$F,'RAW_유기농_9월'!$D:$D,$C47,'RAW_유기농_9월'!$A:$A,$E47),SUMIFS('RAW_유기농_10월'!$F:$F,'RAW_유기농_10월'!$D:$D,$C47,'RAW_유기농_10월'!$A:$A,$E47),SUMIFS('RAW_유기농_11-12월'!$F:$F,'RAW_유기농_11-12월'!$D:$D,$C47,'RAW_유기농_11-12월'!$A:$A,$E47))))</f>
        <v>2172</v>
      </c>
      <c r="G47" s="7">
        <f>IF($C47="","",IF('설정'!$B$4=0,"",CHOOSE('설정'!$B$4,SUMIFS('RAW_유기농_7월'!$G:$G,'RAW_유기농_7월'!$D:$D,$C47,'RAW_유기농_7월'!$A:$A,$E47),SUMIFS('RAW_유기농_8월'!$G:$G,'RAW_유기농_8월'!$D:$D,$C47,'RAW_유기농_8월'!$A:$A,$E47),SUMIFS('RAW_유기농_9월'!$G:$G,'RAW_유기농_9월'!$D:$D,$C47,'RAW_유기농_9월'!$A:$A,$E47),SUMIFS('RAW_유기농_10월'!$G:$G,'RAW_유기농_10월'!$D:$D,$C47,'RAW_유기농_10월'!$A:$A,$E47),SUMIFS('RAW_유기농_11-12월'!$G:$G,'RAW_유기농_11-12월'!$D:$D,$C47,'RAW_유기농_11-12월'!$A:$A,$E47))))</f>
        <v>16996050</v>
      </c>
      <c r="H47" s="7">
        <f>IF($C47="","",IF('설정'!$B$4=0,"",CHOOSE('설정'!$B$4,SUMIFS('RAW_유기농_7월'!$H:$H,'RAW_유기농_7월'!$D:$D,$C47,'RAW_유기농_7월'!$A:$A,$E47),SUMIFS('RAW_유기농_8월'!$H:$H,'RAW_유기농_8월'!$D:$D,$C47,'RAW_유기농_8월'!$A:$A,$E47),SUMIFS('RAW_유기농_9월'!$H:$H,'RAW_유기농_9월'!$D:$D,$C47,'RAW_유기농_9월'!$A:$A,$E47),SUMIFS('RAW_유기농_10월'!$H:$H,'RAW_유기농_10월'!$D:$D,$C47,'RAW_유기농_10월'!$A:$A,$E47),SUMIFS('RAW_유기농_11-12월'!$H:$H,'RAW_유기농_11-12월'!$D:$D,$C47,'RAW_유기농_11-12월'!$A:$A,$E47))))</f>
        <v>1827293</v>
      </c>
      <c r="I47" s="17" t="str">
        <f>IF($C47="","",IF(COUNTIFS('RAW_유기농_7월'!$D:$D,$C47,'RAW_유기농_7월'!$A:$A,$E47)&gt;0,"O",""))</f>
        <v>O</v>
      </c>
      <c r="J47" s="17" t="str">
        <f>IF($C47="","",IF(COUNTIFS('RAW_유기농_8월'!$D:$D,$C47,'RAW_유기농_8월'!$A:$A,$E47)&gt;0,"O",""))</f>
        <v>O</v>
      </c>
      <c r="K47" s="17" t="str">
        <f>IF($C47="","",IF(COUNTIFS('RAW_유기농_9월'!$D:$D,$C47,'RAW_유기농_9월'!$A:$A,$E47)&gt;0,"O",""))</f>
        <v/>
      </c>
      <c r="L47" s="17" t="str">
        <f>IF($C47="","",IF(COUNTIFS('RAW_유기농_10월'!$D:$D,$C47,'RAW_유기농_10월'!$A:$A,$E47)&gt;0,"O",""))</f>
        <v/>
      </c>
      <c r="M47" s="17" t="str">
        <f>IF($C47="","",IF(COUNTIFS('RAW_유기농_11-12월'!$D:$D,$C47,'RAW_유기농_11-12월'!$A:$A,$E47)&gt;0,"O",""))</f>
        <v/>
      </c>
      <c r="N47" s="7">
        <f>IF($C47="","",IF(COUNTA('RAW_유기농_7월'!$A:$A)&lt;=1,"",SUMIFS('RAW_유기농_7월'!$H:$H,'RAW_유기농_7월'!$D:$D,$C47,'RAW_유기농_7월'!$A:$A,$E47)))</f>
        <v>924643</v>
      </c>
      <c r="O47" s="7">
        <f>IF($C47="","",IF(COUNTA('RAW_유기농_8월'!$A:$A)&lt;=1,"",SUMIFS('RAW_유기농_8월'!$H:$H,'RAW_유기농_8월'!$D:$D,$C47,'RAW_유기농_8월'!$A:$A,$E47)-SUMIFS('RAW_유기농_7월'!$H:$H,'RAW_유기농_7월'!$D:$D,$C47,'RAW_유기농_7월'!$A:$A,$E47)))</f>
        <v>902650</v>
      </c>
      <c r="P47" s="7" t="str">
        <f>IF($C47="","",IF(COUNTA('RAW_유기농_9월'!$A:$A)&lt;=1,"",SUMIFS('RAW_유기농_9월'!$H:$H,'RAW_유기농_9월'!$D:$D,$C47,'RAW_유기농_9월'!$A:$A,$E47)-SUMIFS('RAW_유기농_8월'!$H:$H,'RAW_유기농_8월'!$D:$D,$C47,'RAW_유기농_8월'!$A:$A,$E47)))</f>
        <v/>
      </c>
      <c r="Q47" s="7" t="str">
        <f>IF($C47="","",IF(COUNTA('RAW_유기농_10월'!$A:$A)&lt;=1,"",SUMIFS('RAW_유기농_10월'!$H:$H,'RAW_유기농_10월'!$D:$D,$C47,'RAW_유기농_10월'!$A:$A,$E47)-SUMIFS('RAW_유기농_9월'!$H:$H,'RAW_유기농_9월'!$D:$D,$C47,'RAW_유기농_9월'!$A:$A,$E47)))</f>
        <v/>
      </c>
      <c r="R47" s="7" t="str">
        <f>IF($C47="","",IF(COUNTA('RAW_유기농_11-12월'!$A:$A)&lt;=1,"",SUMIFS('RAW_유기농_11-12월'!$H:$H,'RAW_유기농_11-12월'!$D:$D,$C47,'RAW_유기농_11-12월'!$A:$A,$E47)-SUMIFS('RAW_유기농_10월'!$H:$H,'RAW_유기농_10월'!$D:$D,$C47,'RAW_유기농_10월'!$A:$A,$E47)))</f>
        <v/>
      </c>
      <c r="S47" s="17" t="str">
        <f t="shared" si="4"/>
        <v>O</v>
      </c>
      <c r="T47" s="17" t="str">
        <f t="shared" si="5"/>
        <v>200만원 미만</v>
      </c>
      <c r="U47" s="7">
        <f>IF($C47="",0,IF('설정'!$B$4=0,0,CHOOSE('설정'!$B$4,COUNTIFS('RAW_유기농_7월'!$D:$D,$C47,'RAW_유기농_7월'!$A:$A,$E47),COUNTIFS('RAW_유기농_8월'!$D:$D,$C47,'RAW_유기농_8월'!$A:$A,$E47),COUNTIFS('RAW_유기농_9월'!$D:$D,$C47,'RAW_유기농_9월'!$A:$A,$E47),COUNTIFS('RAW_유기농_10월'!$D:$D,$C47,'RAW_유기농_10월'!$A:$A,$E47),COUNTIFS('RAW_유기농_11-12월'!$D:$D,$C47,'RAW_유기농_11-12월'!$A:$A,$E47))))</f>
        <v>3</v>
      </c>
    </row>
    <row r="48" ht="15.75" customHeight="1">
      <c r="A48" s="5">
        <v>46.0</v>
      </c>
      <c r="B48" s="5" t="s">
        <v>25</v>
      </c>
      <c r="C48" s="5" t="s">
        <v>2214</v>
      </c>
      <c r="D48" s="6" t="s">
        <v>2215</v>
      </c>
      <c r="E48" s="5" t="s">
        <v>92</v>
      </c>
      <c r="F48" s="7">
        <f>IF($C48="","",IF('설정'!$B$4=0,"",CHOOSE('설정'!$B$4,SUMIFS('RAW_유기농_7월'!$F:$F,'RAW_유기농_7월'!$D:$D,$C48,'RAW_유기농_7월'!$A:$A,$E48),SUMIFS('RAW_유기농_8월'!$F:$F,'RAW_유기농_8월'!$D:$D,$C48,'RAW_유기농_8월'!$A:$A,$E48),SUMIFS('RAW_유기농_9월'!$F:$F,'RAW_유기농_9월'!$D:$D,$C48,'RAW_유기농_9월'!$A:$A,$E48),SUMIFS('RAW_유기농_10월'!$F:$F,'RAW_유기농_10월'!$D:$D,$C48,'RAW_유기농_10월'!$A:$A,$E48),SUMIFS('RAW_유기농_11-12월'!$F:$F,'RAW_유기농_11-12월'!$D:$D,$C48,'RAW_유기농_11-12월'!$A:$A,$E48))))</f>
        <v>892</v>
      </c>
      <c r="G48" s="7">
        <f>IF($C48="","",IF('설정'!$B$4=0,"",CHOOSE('설정'!$B$4,SUMIFS('RAW_유기농_7월'!$G:$G,'RAW_유기농_7월'!$D:$D,$C48,'RAW_유기농_7월'!$A:$A,$E48),SUMIFS('RAW_유기농_8월'!$G:$G,'RAW_유기농_8월'!$D:$D,$C48,'RAW_유기농_8월'!$A:$A,$E48),SUMIFS('RAW_유기농_9월'!$G:$G,'RAW_유기농_9월'!$D:$D,$C48,'RAW_유기농_9월'!$A:$A,$E48),SUMIFS('RAW_유기농_10월'!$G:$G,'RAW_유기농_10월'!$D:$D,$C48,'RAW_유기농_10월'!$A:$A,$E48),SUMIFS('RAW_유기농_11-12월'!$G:$G,'RAW_유기농_11-12월'!$D:$D,$C48,'RAW_유기농_11-12월'!$A:$A,$E48))))</f>
        <v>30263600</v>
      </c>
      <c r="H48" s="7">
        <f>IF($C48="","",IF('설정'!$B$4=0,"",CHOOSE('설정'!$B$4,SUMIFS('RAW_유기농_7월'!$H:$H,'RAW_유기농_7월'!$D:$D,$C48,'RAW_유기농_7월'!$A:$A,$E48),SUMIFS('RAW_유기농_8월'!$H:$H,'RAW_유기농_8월'!$D:$D,$C48,'RAW_유기농_8월'!$A:$A,$E48),SUMIFS('RAW_유기농_9월'!$H:$H,'RAW_유기농_9월'!$D:$D,$C48,'RAW_유기농_9월'!$A:$A,$E48),SUMIFS('RAW_유기농_10월'!$H:$H,'RAW_유기농_10월'!$D:$D,$C48,'RAW_유기농_10월'!$A:$A,$E48),SUMIFS('RAW_유기농_11-12월'!$H:$H,'RAW_유기농_11-12월'!$D:$D,$C48,'RAW_유기농_11-12월'!$A:$A,$E48))))</f>
        <v>2593180</v>
      </c>
      <c r="I48" s="17" t="str">
        <f>IF($C48="","",IF(COUNTIFS('RAW_유기농_7월'!$D:$D,$C48,'RAW_유기농_7월'!$A:$A,$E48)&gt;0,"O",""))</f>
        <v>O</v>
      </c>
      <c r="J48" s="17" t="str">
        <f>IF($C48="","",IF(COUNTIFS('RAW_유기농_8월'!$D:$D,$C48,'RAW_유기농_8월'!$A:$A,$E48)&gt;0,"O",""))</f>
        <v>O</v>
      </c>
      <c r="K48" s="17" t="str">
        <f>IF($C48="","",IF(COUNTIFS('RAW_유기농_9월'!$D:$D,$C48,'RAW_유기농_9월'!$A:$A,$E48)&gt;0,"O",""))</f>
        <v/>
      </c>
      <c r="L48" s="17" t="str">
        <f>IF($C48="","",IF(COUNTIFS('RAW_유기농_10월'!$D:$D,$C48,'RAW_유기농_10월'!$A:$A,$E48)&gt;0,"O",""))</f>
        <v/>
      </c>
      <c r="M48" s="17" t="str">
        <f>IF($C48="","",IF(COUNTIFS('RAW_유기농_11-12월'!$D:$D,$C48,'RAW_유기농_11-12월'!$A:$A,$E48)&gt;0,"O",""))</f>
        <v/>
      </c>
      <c r="N48" s="7">
        <f>IF($C48="","",IF(COUNTA('RAW_유기농_7월'!$A:$A)&lt;=1,"",SUMIFS('RAW_유기농_7월'!$H:$H,'RAW_유기농_7월'!$D:$D,$C48,'RAW_유기농_7월'!$A:$A,$E48)))</f>
        <v>2139120</v>
      </c>
      <c r="O48" s="7">
        <f>IF($C48="","",IF(COUNTA('RAW_유기농_8월'!$A:$A)&lt;=1,"",SUMIFS('RAW_유기농_8월'!$H:$H,'RAW_유기농_8월'!$D:$D,$C48,'RAW_유기농_8월'!$A:$A,$E48)-SUMIFS('RAW_유기농_7월'!$H:$H,'RAW_유기농_7월'!$D:$D,$C48,'RAW_유기농_7월'!$A:$A,$E48)))</f>
        <v>454060</v>
      </c>
      <c r="P48" s="7" t="str">
        <f>IF($C48="","",IF(COUNTA('RAW_유기농_9월'!$A:$A)&lt;=1,"",SUMIFS('RAW_유기농_9월'!$H:$H,'RAW_유기농_9월'!$D:$D,$C48,'RAW_유기농_9월'!$A:$A,$E48)-SUMIFS('RAW_유기농_8월'!$H:$H,'RAW_유기농_8월'!$D:$D,$C48,'RAW_유기농_8월'!$A:$A,$E48)))</f>
        <v/>
      </c>
      <c r="Q48" s="7" t="str">
        <f>IF($C48="","",IF(COUNTA('RAW_유기농_10월'!$A:$A)&lt;=1,"",SUMIFS('RAW_유기농_10월'!$H:$H,'RAW_유기농_10월'!$D:$D,$C48,'RAW_유기농_10월'!$A:$A,$E48)-SUMIFS('RAW_유기농_9월'!$H:$H,'RAW_유기농_9월'!$D:$D,$C48,'RAW_유기농_9월'!$A:$A,$E48)))</f>
        <v/>
      </c>
      <c r="R48" s="7" t="str">
        <f>IF($C48="","",IF(COUNTA('RAW_유기농_11-12월'!$A:$A)&lt;=1,"",SUMIFS('RAW_유기농_11-12월'!$H:$H,'RAW_유기농_11-12월'!$D:$D,$C48,'RAW_유기농_11-12월'!$A:$A,$E48)-SUMIFS('RAW_유기농_10월'!$H:$H,'RAW_유기농_10월'!$D:$D,$C48,'RAW_유기농_10월'!$A:$A,$E48)))</f>
        <v/>
      </c>
      <c r="S48" s="17" t="str">
        <f t="shared" si="4"/>
        <v>O</v>
      </c>
      <c r="T48" s="17" t="str">
        <f t="shared" si="5"/>
        <v>300만원 미만</v>
      </c>
      <c r="U48" s="7">
        <f>IF($C48="",0,IF('설정'!$B$4=0,0,CHOOSE('설정'!$B$4,COUNTIFS('RAW_유기농_7월'!$D:$D,$C48,'RAW_유기농_7월'!$A:$A,$E48),COUNTIFS('RAW_유기농_8월'!$D:$D,$C48,'RAW_유기농_8월'!$A:$A,$E48),COUNTIFS('RAW_유기농_9월'!$D:$D,$C48,'RAW_유기농_9월'!$A:$A,$E48),COUNTIFS('RAW_유기농_10월'!$D:$D,$C48,'RAW_유기농_10월'!$A:$A,$E48),COUNTIFS('RAW_유기농_11-12월'!$D:$D,$C48,'RAW_유기농_11-12월'!$A:$A,$E48))))</f>
        <v>1</v>
      </c>
    </row>
    <row r="49" ht="15.75" customHeight="1">
      <c r="A49" s="5">
        <v>47.0</v>
      </c>
      <c r="B49" s="5" t="s">
        <v>108</v>
      </c>
      <c r="C49" s="5" t="s">
        <v>2291</v>
      </c>
      <c r="D49" s="6" t="s">
        <v>2292</v>
      </c>
      <c r="E49" s="5" t="s">
        <v>92</v>
      </c>
      <c r="F49" s="7">
        <f>IF($C49="","",IF('설정'!$B$4=0,"",CHOOSE('설정'!$B$4,SUMIFS('RAW_유기농_7월'!$F:$F,'RAW_유기농_7월'!$D:$D,$C49,'RAW_유기농_7월'!$A:$A,$E49),SUMIFS('RAW_유기농_8월'!$F:$F,'RAW_유기농_8월'!$D:$D,$C49,'RAW_유기농_8월'!$A:$A,$E49),SUMIFS('RAW_유기농_9월'!$F:$F,'RAW_유기농_9월'!$D:$D,$C49,'RAW_유기농_9월'!$A:$A,$E49),SUMIFS('RAW_유기농_10월'!$F:$F,'RAW_유기농_10월'!$D:$D,$C49,'RAW_유기농_10월'!$A:$A,$E49),SUMIFS('RAW_유기농_11-12월'!$F:$F,'RAW_유기농_11-12월'!$D:$D,$C49,'RAW_유기농_11-12월'!$A:$A,$E49))))</f>
        <v>8</v>
      </c>
      <c r="G49" s="7">
        <f>IF($C49="","",IF('설정'!$B$4=0,"",CHOOSE('설정'!$B$4,SUMIFS('RAW_유기농_7월'!$G:$G,'RAW_유기농_7월'!$D:$D,$C49,'RAW_유기농_7월'!$A:$A,$E49),SUMIFS('RAW_유기농_8월'!$G:$G,'RAW_유기농_8월'!$D:$D,$C49,'RAW_유기농_8월'!$A:$A,$E49),SUMIFS('RAW_유기농_9월'!$G:$G,'RAW_유기농_9월'!$D:$D,$C49,'RAW_유기농_9월'!$A:$A,$E49),SUMIFS('RAW_유기농_10월'!$G:$G,'RAW_유기농_10월'!$D:$D,$C49,'RAW_유기농_10월'!$A:$A,$E49),SUMIFS('RAW_유기농_11-12월'!$G:$G,'RAW_유기농_11-12월'!$D:$D,$C49,'RAW_유기농_11-12월'!$A:$A,$E49))))</f>
        <v>347000</v>
      </c>
      <c r="H49" s="7">
        <f>IF($C49="","",IF('설정'!$B$4=0,"",CHOOSE('설정'!$B$4,SUMIFS('RAW_유기농_7월'!$H:$H,'RAW_유기농_7월'!$D:$D,$C49,'RAW_유기농_7월'!$A:$A,$E49),SUMIFS('RAW_유기농_8월'!$H:$H,'RAW_유기농_8월'!$D:$D,$C49,'RAW_유기농_8월'!$A:$A,$E49),SUMIFS('RAW_유기농_9월'!$H:$H,'RAW_유기농_9월'!$D:$D,$C49,'RAW_유기농_9월'!$A:$A,$E49),SUMIFS('RAW_유기농_10월'!$H:$H,'RAW_유기농_10월'!$D:$D,$C49,'RAW_유기농_10월'!$A:$A,$E49),SUMIFS('RAW_유기농_11-12월'!$H:$H,'RAW_유기농_11-12월'!$D:$D,$C49,'RAW_유기농_11-12월'!$A:$A,$E49))))</f>
        <v>26000</v>
      </c>
      <c r="I49" s="17" t="str">
        <f>IF($C49="","",IF(COUNTIFS('RAW_유기농_7월'!$D:$D,$C49,'RAW_유기농_7월'!$A:$A,$E49)&gt;0,"O",""))</f>
        <v>O</v>
      </c>
      <c r="J49" s="17" t="str">
        <f>IF($C49="","",IF(COUNTIFS('RAW_유기농_8월'!$D:$D,$C49,'RAW_유기농_8월'!$A:$A,$E49)&gt;0,"O",""))</f>
        <v>O</v>
      </c>
      <c r="K49" s="17" t="str">
        <f>IF($C49="","",IF(COUNTIFS('RAW_유기농_9월'!$D:$D,$C49,'RAW_유기농_9월'!$A:$A,$E49)&gt;0,"O",""))</f>
        <v/>
      </c>
      <c r="L49" s="17" t="str">
        <f>IF($C49="","",IF(COUNTIFS('RAW_유기농_10월'!$D:$D,$C49,'RAW_유기농_10월'!$A:$A,$E49)&gt;0,"O",""))</f>
        <v/>
      </c>
      <c r="M49" s="17" t="str">
        <f>IF($C49="","",IF(COUNTIFS('RAW_유기농_11-12월'!$D:$D,$C49,'RAW_유기농_11-12월'!$A:$A,$E49)&gt;0,"O",""))</f>
        <v/>
      </c>
      <c r="N49" s="7">
        <f>IF($C49="","",IF(COUNTA('RAW_유기농_7월'!$A:$A)&lt;=1,"",SUMIFS('RAW_유기농_7월'!$H:$H,'RAW_유기농_7월'!$D:$D,$C49,'RAW_유기농_7월'!$A:$A,$E49)))</f>
        <v>0</v>
      </c>
      <c r="O49" s="7">
        <f>IF($C49="","",IF(COUNTA('RAW_유기농_8월'!$A:$A)&lt;=1,"",SUMIFS('RAW_유기농_8월'!$H:$H,'RAW_유기농_8월'!$D:$D,$C49,'RAW_유기농_8월'!$A:$A,$E49)-SUMIFS('RAW_유기농_7월'!$H:$H,'RAW_유기농_7월'!$D:$D,$C49,'RAW_유기농_7월'!$A:$A,$E49)))</f>
        <v>26000</v>
      </c>
      <c r="P49" s="7" t="str">
        <f>IF($C49="","",IF(COUNTA('RAW_유기농_9월'!$A:$A)&lt;=1,"",SUMIFS('RAW_유기농_9월'!$H:$H,'RAW_유기농_9월'!$D:$D,$C49,'RAW_유기농_9월'!$A:$A,$E49)-SUMIFS('RAW_유기농_8월'!$H:$H,'RAW_유기농_8월'!$D:$D,$C49,'RAW_유기농_8월'!$A:$A,$E49)))</f>
        <v/>
      </c>
      <c r="Q49" s="7" t="str">
        <f>IF($C49="","",IF(COUNTA('RAW_유기농_10월'!$A:$A)&lt;=1,"",SUMIFS('RAW_유기농_10월'!$H:$H,'RAW_유기농_10월'!$D:$D,$C49,'RAW_유기농_10월'!$A:$A,$E49)-SUMIFS('RAW_유기농_9월'!$H:$H,'RAW_유기농_9월'!$D:$D,$C49,'RAW_유기농_9월'!$A:$A,$E49)))</f>
        <v/>
      </c>
      <c r="R49" s="7" t="str">
        <f>IF($C49="","",IF(COUNTA('RAW_유기농_11-12월'!$A:$A)&lt;=1,"",SUMIFS('RAW_유기농_11-12월'!$H:$H,'RAW_유기농_11-12월'!$D:$D,$C49,'RAW_유기농_11-12월'!$A:$A,$E49)-SUMIFS('RAW_유기농_10월'!$H:$H,'RAW_유기농_10월'!$D:$D,$C49,'RAW_유기농_10월'!$A:$A,$E49)))</f>
        <v/>
      </c>
      <c r="S49" s="17" t="str">
        <f t="shared" si="4"/>
        <v>O</v>
      </c>
      <c r="T49" s="17" t="str">
        <f t="shared" si="5"/>
        <v>50만원 미만</v>
      </c>
      <c r="U49" s="7">
        <f>IF($C49="",0,IF('설정'!$B$4=0,0,CHOOSE('설정'!$B$4,COUNTIFS('RAW_유기농_7월'!$D:$D,$C49,'RAW_유기농_7월'!$A:$A,$E49),COUNTIFS('RAW_유기농_8월'!$D:$D,$C49,'RAW_유기농_8월'!$A:$A,$E49),COUNTIFS('RAW_유기농_9월'!$D:$D,$C49,'RAW_유기농_9월'!$A:$A,$E49),COUNTIFS('RAW_유기농_10월'!$D:$D,$C49,'RAW_유기농_10월'!$A:$A,$E49),COUNTIFS('RAW_유기농_11-12월'!$D:$D,$C49,'RAW_유기농_11-12월'!$A:$A,$E49))))</f>
        <v>3</v>
      </c>
    </row>
    <row r="50" ht="15.75" customHeight="1">
      <c r="A50" s="5">
        <v>48.0</v>
      </c>
      <c r="B50" s="5" t="s">
        <v>25</v>
      </c>
      <c r="C50" s="5" t="s">
        <v>2387</v>
      </c>
      <c r="D50" s="6" t="s">
        <v>2388</v>
      </c>
      <c r="E50" s="5" t="s">
        <v>31</v>
      </c>
      <c r="F50" s="7">
        <f>IF($C50="","",IF('설정'!$B$4=0,"",CHOOSE('설정'!$B$4,SUMIFS('RAW_유기농_7월'!$F:$F,'RAW_유기농_7월'!$D:$D,$C50,'RAW_유기농_7월'!$A:$A,$E50),SUMIFS('RAW_유기농_8월'!$F:$F,'RAW_유기농_8월'!$D:$D,$C50,'RAW_유기농_8월'!$A:$A,$E50),SUMIFS('RAW_유기농_9월'!$F:$F,'RAW_유기농_9월'!$D:$D,$C50,'RAW_유기농_9월'!$A:$A,$E50),SUMIFS('RAW_유기농_10월'!$F:$F,'RAW_유기농_10월'!$D:$D,$C50,'RAW_유기농_10월'!$A:$A,$E50),SUMIFS('RAW_유기농_11-12월'!$F:$F,'RAW_유기농_11-12월'!$D:$D,$C50,'RAW_유기농_11-12월'!$A:$A,$E50))))</f>
        <v>0</v>
      </c>
      <c r="G50" s="7">
        <f>IF($C50="","",IF('설정'!$B$4=0,"",CHOOSE('설정'!$B$4,SUMIFS('RAW_유기농_7월'!$G:$G,'RAW_유기농_7월'!$D:$D,$C50,'RAW_유기농_7월'!$A:$A,$E50),SUMIFS('RAW_유기농_8월'!$G:$G,'RAW_유기농_8월'!$D:$D,$C50,'RAW_유기농_8월'!$A:$A,$E50),SUMIFS('RAW_유기농_9월'!$G:$G,'RAW_유기농_9월'!$D:$D,$C50,'RAW_유기농_9월'!$A:$A,$E50),SUMIFS('RAW_유기농_10월'!$G:$G,'RAW_유기농_10월'!$D:$D,$C50,'RAW_유기농_10월'!$A:$A,$E50),SUMIFS('RAW_유기농_11-12월'!$G:$G,'RAW_유기농_11-12월'!$D:$D,$C50,'RAW_유기농_11-12월'!$A:$A,$E50))))</f>
        <v>0</v>
      </c>
      <c r="H50" s="7">
        <f>IF($C50="","",IF('설정'!$B$4=0,"",CHOOSE('설정'!$B$4,SUMIFS('RAW_유기농_7월'!$H:$H,'RAW_유기농_7월'!$D:$D,$C50,'RAW_유기농_7월'!$A:$A,$E50),SUMIFS('RAW_유기농_8월'!$H:$H,'RAW_유기농_8월'!$D:$D,$C50,'RAW_유기농_8월'!$A:$A,$E50),SUMIFS('RAW_유기농_9월'!$H:$H,'RAW_유기농_9월'!$D:$D,$C50,'RAW_유기농_9월'!$A:$A,$E50),SUMIFS('RAW_유기농_10월'!$H:$H,'RAW_유기농_10월'!$D:$D,$C50,'RAW_유기농_10월'!$A:$A,$E50),SUMIFS('RAW_유기농_11-12월'!$H:$H,'RAW_유기농_11-12월'!$D:$D,$C50,'RAW_유기농_11-12월'!$A:$A,$E50))))</f>
        <v>0</v>
      </c>
      <c r="I50" s="17" t="str">
        <f>IF($C50="","",IF(COUNTIFS('RAW_유기농_7월'!$D:$D,$C50,'RAW_유기농_7월'!$A:$A,$E50)&gt;0,"O",""))</f>
        <v/>
      </c>
      <c r="J50" s="17" t="str">
        <f>IF($C50="","",IF(COUNTIFS('RAW_유기농_8월'!$D:$D,$C50,'RAW_유기농_8월'!$A:$A,$E50)&gt;0,"O",""))</f>
        <v/>
      </c>
      <c r="K50" s="17" t="str">
        <f>IF($C50="","",IF(COUNTIFS('RAW_유기농_9월'!$D:$D,$C50,'RAW_유기농_9월'!$A:$A,$E50)&gt;0,"O",""))</f>
        <v/>
      </c>
      <c r="L50" s="17" t="str">
        <f>IF($C50="","",IF(COUNTIFS('RAW_유기농_10월'!$D:$D,$C50,'RAW_유기농_10월'!$A:$A,$E50)&gt;0,"O",""))</f>
        <v/>
      </c>
      <c r="M50" s="17" t="str">
        <f>IF($C50="","",IF(COUNTIFS('RAW_유기농_11-12월'!$D:$D,$C50,'RAW_유기농_11-12월'!$A:$A,$E50)&gt;0,"O",""))</f>
        <v/>
      </c>
      <c r="N50" s="7">
        <f>IF($C50="","",IF(COUNTA('RAW_유기농_7월'!$A:$A)&lt;=1,"",SUMIFS('RAW_유기농_7월'!$H:$H,'RAW_유기농_7월'!$D:$D,$C50,'RAW_유기농_7월'!$A:$A,$E50)))</f>
        <v>0</v>
      </c>
      <c r="O50" s="7">
        <f>IF($C50="","",IF(COUNTA('RAW_유기농_8월'!$A:$A)&lt;=1,"",SUMIFS('RAW_유기농_8월'!$H:$H,'RAW_유기농_8월'!$D:$D,$C50,'RAW_유기농_8월'!$A:$A,$E50)-SUMIFS('RAW_유기농_7월'!$H:$H,'RAW_유기농_7월'!$D:$D,$C50,'RAW_유기농_7월'!$A:$A,$E50)))</f>
        <v>0</v>
      </c>
      <c r="P50" s="7" t="str">
        <f>IF($C50="","",IF(COUNTA('RAW_유기농_9월'!$A:$A)&lt;=1,"",SUMIFS('RAW_유기농_9월'!$H:$H,'RAW_유기농_9월'!$D:$D,$C50,'RAW_유기농_9월'!$A:$A,$E50)-SUMIFS('RAW_유기농_8월'!$H:$H,'RAW_유기농_8월'!$D:$D,$C50,'RAW_유기농_8월'!$A:$A,$E50)))</f>
        <v/>
      </c>
      <c r="Q50" s="7" t="str">
        <f>IF($C50="","",IF(COUNTA('RAW_유기농_10월'!$A:$A)&lt;=1,"",SUMIFS('RAW_유기농_10월'!$H:$H,'RAW_유기농_10월'!$D:$D,$C50,'RAW_유기농_10월'!$A:$A,$E50)-SUMIFS('RAW_유기농_9월'!$H:$H,'RAW_유기농_9월'!$D:$D,$C50,'RAW_유기농_9월'!$A:$A,$E50)))</f>
        <v/>
      </c>
      <c r="R50" s="7" t="str">
        <f>IF($C50="","",IF(COUNTA('RAW_유기농_11-12월'!$A:$A)&lt;=1,"",SUMIFS('RAW_유기농_11-12월'!$H:$H,'RAW_유기농_11-12월'!$D:$D,$C50,'RAW_유기농_11-12월'!$A:$A,$E50)-SUMIFS('RAW_유기농_10월'!$H:$H,'RAW_유기농_10월'!$D:$D,$C50,'RAW_유기농_10월'!$A:$A,$E50)))</f>
        <v/>
      </c>
      <c r="S50" s="17" t="str">
        <f t="shared" si="4"/>
        <v/>
      </c>
      <c r="T50" s="17" t="str">
        <f t="shared" si="5"/>
        <v>미사용</v>
      </c>
      <c r="U50" s="7">
        <f>IF($C50="",0,IF('설정'!$B$4=0,0,CHOOSE('설정'!$B$4,COUNTIFS('RAW_유기농_7월'!$D:$D,$C50,'RAW_유기농_7월'!$A:$A,$E50),COUNTIFS('RAW_유기농_8월'!$D:$D,$C50,'RAW_유기농_8월'!$A:$A,$E50),COUNTIFS('RAW_유기농_9월'!$D:$D,$C50,'RAW_유기농_9월'!$A:$A,$E50),COUNTIFS('RAW_유기농_10월'!$D:$D,$C50,'RAW_유기농_10월'!$A:$A,$E50),COUNTIFS('RAW_유기농_11-12월'!$D:$D,$C50,'RAW_유기농_11-12월'!$A:$A,$E50))))</f>
        <v>0</v>
      </c>
    </row>
    <row r="51" ht="15.75" customHeight="1">
      <c r="A51" s="5">
        <v>49.0</v>
      </c>
      <c r="B51" s="5" t="s">
        <v>145</v>
      </c>
      <c r="C51" s="5" t="s">
        <v>2482</v>
      </c>
      <c r="D51" s="6" t="s">
        <v>2483</v>
      </c>
      <c r="E51" s="5" t="s">
        <v>92</v>
      </c>
      <c r="F51" s="7">
        <f>IF($C51="","",IF('설정'!$B$4=0,"",CHOOSE('설정'!$B$4,SUMIFS('RAW_유기농_7월'!$F:$F,'RAW_유기농_7월'!$D:$D,$C51,'RAW_유기농_7월'!$A:$A,$E51),SUMIFS('RAW_유기농_8월'!$F:$F,'RAW_유기농_8월'!$D:$D,$C51,'RAW_유기농_8월'!$A:$A,$E51),SUMIFS('RAW_유기농_9월'!$F:$F,'RAW_유기농_9월'!$D:$D,$C51,'RAW_유기농_9월'!$A:$A,$E51),SUMIFS('RAW_유기농_10월'!$F:$F,'RAW_유기농_10월'!$D:$D,$C51,'RAW_유기농_10월'!$A:$A,$E51),SUMIFS('RAW_유기농_11-12월'!$F:$F,'RAW_유기농_11-12월'!$D:$D,$C51,'RAW_유기농_11-12월'!$A:$A,$E51))))</f>
        <v>206</v>
      </c>
      <c r="G51" s="7">
        <f>IF($C51="","",IF('설정'!$B$4=0,"",CHOOSE('설정'!$B$4,SUMIFS('RAW_유기농_7월'!$G:$G,'RAW_유기농_7월'!$D:$D,$C51,'RAW_유기농_7월'!$A:$A,$E51),SUMIFS('RAW_유기농_8월'!$G:$G,'RAW_유기농_8월'!$D:$D,$C51,'RAW_유기농_8월'!$A:$A,$E51),SUMIFS('RAW_유기농_9월'!$G:$G,'RAW_유기농_9월'!$D:$D,$C51,'RAW_유기농_9월'!$A:$A,$E51),SUMIFS('RAW_유기농_10월'!$G:$G,'RAW_유기농_10월'!$D:$D,$C51,'RAW_유기농_10월'!$A:$A,$E51),SUMIFS('RAW_유기농_11-12월'!$G:$G,'RAW_유기농_11-12월'!$D:$D,$C51,'RAW_유기농_11-12월'!$A:$A,$E51))))</f>
        <v>4424250</v>
      </c>
      <c r="H51" s="7">
        <f>IF($C51="","",IF('설정'!$B$4=0,"",CHOOSE('설정'!$B$4,SUMIFS('RAW_유기농_7월'!$H:$H,'RAW_유기농_7월'!$D:$D,$C51,'RAW_유기농_7월'!$A:$A,$E51),SUMIFS('RAW_유기농_8월'!$H:$H,'RAW_유기농_8월'!$D:$D,$C51,'RAW_유기농_8월'!$A:$A,$E51),SUMIFS('RAW_유기농_9월'!$H:$H,'RAW_유기농_9월'!$D:$D,$C51,'RAW_유기농_9월'!$A:$A,$E51),SUMIFS('RAW_유기농_10월'!$H:$H,'RAW_유기농_10월'!$D:$D,$C51,'RAW_유기농_10월'!$A:$A,$E51),SUMIFS('RAW_유기농_11-12월'!$H:$H,'RAW_유기농_11-12월'!$D:$D,$C51,'RAW_유기농_11-12월'!$A:$A,$E51))))</f>
        <v>703630</v>
      </c>
      <c r="I51" s="17" t="str">
        <f>IF($C51="","",IF(COUNTIFS('RAW_유기농_7월'!$D:$D,$C51,'RAW_유기농_7월'!$A:$A,$E51)&gt;0,"O",""))</f>
        <v/>
      </c>
      <c r="J51" s="17" t="str">
        <f>IF($C51="","",IF(COUNTIFS('RAW_유기농_8월'!$D:$D,$C51,'RAW_유기농_8월'!$A:$A,$E51)&gt;0,"O",""))</f>
        <v>O</v>
      </c>
      <c r="K51" s="17" t="str">
        <f>IF($C51="","",IF(COUNTIFS('RAW_유기농_9월'!$D:$D,$C51,'RAW_유기농_9월'!$A:$A,$E51)&gt;0,"O",""))</f>
        <v/>
      </c>
      <c r="L51" s="17" t="str">
        <f>IF($C51="","",IF(COUNTIFS('RAW_유기농_10월'!$D:$D,$C51,'RAW_유기농_10월'!$A:$A,$E51)&gt;0,"O",""))</f>
        <v/>
      </c>
      <c r="M51" s="17" t="str">
        <f>IF($C51="","",IF(COUNTIFS('RAW_유기농_11-12월'!$D:$D,$C51,'RAW_유기농_11-12월'!$A:$A,$E51)&gt;0,"O",""))</f>
        <v/>
      </c>
      <c r="N51" s="7">
        <f>IF($C51="","",IF(COUNTA('RAW_유기농_7월'!$A:$A)&lt;=1,"",SUMIFS('RAW_유기농_7월'!$H:$H,'RAW_유기농_7월'!$D:$D,$C51,'RAW_유기농_7월'!$A:$A,$E51)))</f>
        <v>0</v>
      </c>
      <c r="O51" s="7">
        <f>IF($C51="","",IF(COUNTA('RAW_유기농_8월'!$A:$A)&lt;=1,"",SUMIFS('RAW_유기농_8월'!$H:$H,'RAW_유기농_8월'!$D:$D,$C51,'RAW_유기농_8월'!$A:$A,$E51)-SUMIFS('RAW_유기농_7월'!$H:$H,'RAW_유기농_7월'!$D:$D,$C51,'RAW_유기농_7월'!$A:$A,$E51)))</f>
        <v>703630</v>
      </c>
      <c r="P51" s="7" t="str">
        <f>IF($C51="","",IF(COUNTA('RAW_유기농_9월'!$A:$A)&lt;=1,"",SUMIFS('RAW_유기농_9월'!$H:$H,'RAW_유기농_9월'!$D:$D,$C51,'RAW_유기농_9월'!$A:$A,$E51)-SUMIFS('RAW_유기농_8월'!$H:$H,'RAW_유기농_8월'!$D:$D,$C51,'RAW_유기농_8월'!$A:$A,$E51)))</f>
        <v/>
      </c>
      <c r="Q51" s="7" t="str">
        <f>IF($C51="","",IF(COUNTA('RAW_유기농_10월'!$A:$A)&lt;=1,"",SUMIFS('RAW_유기농_10월'!$H:$H,'RAW_유기농_10월'!$D:$D,$C51,'RAW_유기농_10월'!$A:$A,$E51)-SUMIFS('RAW_유기농_9월'!$H:$H,'RAW_유기농_9월'!$D:$D,$C51,'RAW_유기농_9월'!$A:$A,$E51)))</f>
        <v/>
      </c>
      <c r="R51" s="7" t="str">
        <f>IF($C51="","",IF(COUNTA('RAW_유기농_11-12월'!$A:$A)&lt;=1,"",SUMIFS('RAW_유기농_11-12월'!$H:$H,'RAW_유기농_11-12월'!$D:$D,$C51,'RAW_유기농_11-12월'!$A:$A,$E51)-SUMIFS('RAW_유기농_10월'!$H:$H,'RAW_유기농_10월'!$D:$D,$C51,'RAW_유기농_10월'!$A:$A,$E51)))</f>
        <v/>
      </c>
      <c r="S51" s="17" t="str">
        <f t="shared" si="4"/>
        <v>O</v>
      </c>
      <c r="T51" s="17" t="str">
        <f t="shared" si="5"/>
        <v>100만원 미만</v>
      </c>
      <c r="U51" s="7">
        <f>IF($C51="",0,IF('설정'!$B$4=0,0,CHOOSE('설정'!$B$4,COUNTIFS('RAW_유기농_7월'!$D:$D,$C51,'RAW_유기농_7월'!$A:$A,$E51),COUNTIFS('RAW_유기농_8월'!$D:$D,$C51,'RAW_유기농_8월'!$A:$A,$E51),COUNTIFS('RAW_유기농_9월'!$D:$D,$C51,'RAW_유기농_9월'!$A:$A,$E51),COUNTIFS('RAW_유기농_10월'!$D:$D,$C51,'RAW_유기농_10월'!$A:$A,$E51),COUNTIFS('RAW_유기농_11-12월'!$D:$D,$C51,'RAW_유기농_11-12월'!$A:$A,$E51))))</f>
        <v>1</v>
      </c>
    </row>
    <row r="52" ht="15.75" customHeight="1">
      <c r="A52" s="5">
        <v>50.0</v>
      </c>
      <c r="B52" s="5" t="s">
        <v>108</v>
      </c>
      <c r="C52" s="5" t="s">
        <v>2582</v>
      </c>
      <c r="D52" s="6" t="s">
        <v>2583</v>
      </c>
      <c r="E52" s="5" t="s">
        <v>92</v>
      </c>
      <c r="F52" s="7">
        <f>IF($C52="","",IF('설정'!$B$4=0,"",CHOOSE('설정'!$B$4,SUMIFS('RAW_유기농_7월'!$F:$F,'RAW_유기농_7월'!$D:$D,$C52,'RAW_유기농_7월'!$A:$A,$E52),SUMIFS('RAW_유기농_8월'!$F:$F,'RAW_유기농_8월'!$D:$D,$C52,'RAW_유기농_8월'!$A:$A,$E52),SUMIFS('RAW_유기농_9월'!$F:$F,'RAW_유기농_9월'!$D:$D,$C52,'RAW_유기농_9월'!$A:$A,$E52),SUMIFS('RAW_유기농_10월'!$F:$F,'RAW_유기농_10월'!$D:$D,$C52,'RAW_유기농_10월'!$A:$A,$E52),SUMIFS('RAW_유기농_11-12월'!$F:$F,'RAW_유기농_11-12월'!$D:$D,$C52,'RAW_유기농_11-12월'!$A:$A,$E52))))</f>
        <v>0</v>
      </c>
      <c r="G52" s="7">
        <f>IF($C52="","",IF('설정'!$B$4=0,"",CHOOSE('설정'!$B$4,SUMIFS('RAW_유기농_7월'!$G:$G,'RAW_유기농_7월'!$D:$D,$C52,'RAW_유기농_7월'!$A:$A,$E52),SUMIFS('RAW_유기농_8월'!$G:$G,'RAW_유기농_8월'!$D:$D,$C52,'RAW_유기농_8월'!$A:$A,$E52),SUMIFS('RAW_유기농_9월'!$G:$G,'RAW_유기농_9월'!$D:$D,$C52,'RAW_유기농_9월'!$A:$A,$E52),SUMIFS('RAW_유기농_10월'!$G:$G,'RAW_유기농_10월'!$D:$D,$C52,'RAW_유기농_10월'!$A:$A,$E52),SUMIFS('RAW_유기농_11-12월'!$G:$G,'RAW_유기농_11-12월'!$D:$D,$C52,'RAW_유기농_11-12월'!$A:$A,$E52))))</f>
        <v>0</v>
      </c>
      <c r="H52" s="7">
        <f>IF($C52="","",IF('설정'!$B$4=0,"",CHOOSE('설정'!$B$4,SUMIFS('RAW_유기농_7월'!$H:$H,'RAW_유기농_7월'!$D:$D,$C52,'RAW_유기농_7월'!$A:$A,$E52),SUMIFS('RAW_유기농_8월'!$H:$H,'RAW_유기농_8월'!$D:$D,$C52,'RAW_유기농_8월'!$A:$A,$E52),SUMIFS('RAW_유기농_9월'!$H:$H,'RAW_유기농_9월'!$D:$D,$C52,'RAW_유기농_9월'!$A:$A,$E52),SUMIFS('RAW_유기농_10월'!$H:$H,'RAW_유기농_10월'!$D:$D,$C52,'RAW_유기농_10월'!$A:$A,$E52),SUMIFS('RAW_유기농_11-12월'!$H:$H,'RAW_유기농_11-12월'!$D:$D,$C52,'RAW_유기농_11-12월'!$A:$A,$E52))))</f>
        <v>0</v>
      </c>
      <c r="I52" s="17" t="str">
        <f>IF($C52="","",IF(COUNTIFS('RAW_유기농_7월'!$D:$D,$C52,'RAW_유기농_7월'!$A:$A,$E52)&gt;0,"O",""))</f>
        <v/>
      </c>
      <c r="J52" s="17" t="str">
        <f>IF($C52="","",IF(COUNTIFS('RAW_유기농_8월'!$D:$D,$C52,'RAW_유기농_8월'!$A:$A,$E52)&gt;0,"O",""))</f>
        <v/>
      </c>
      <c r="K52" s="17" t="str">
        <f>IF($C52="","",IF(COUNTIFS('RAW_유기농_9월'!$D:$D,$C52,'RAW_유기농_9월'!$A:$A,$E52)&gt;0,"O",""))</f>
        <v/>
      </c>
      <c r="L52" s="17" t="str">
        <f>IF($C52="","",IF(COUNTIFS('RAW_유기농_10월'!$D:$D,$C52,'RAW_유기농_10월'!$A:$A,$E52)&gt;0,"O",""))</f>
        <v/>
      </c>
      <c r="M52" s="17" t="str">
        <f>IF($C52="","",IF(COUNTIFS('RAW_유기농_11-12월'!$D:$D,$C52,'RAW_유기농_11-12월'!$A:$A,$E52)&gt;0,"O",""))</f>
        <v/>
      </c>
      <c r="N52" s="7">
        <f>IF($C52="","",IF(COUNTA('RAW_유기농_7월'!$A:$A)&lt;=1,"",SUMIFS('RAW_유기농_7월'!$H:$H,'RAW_유기농_7월'!$D:$D,$C52,'RAW_유기농_7월'!$A:$A,$E52)))</f>
        <v>0</v>
      </c>
      <c r="O52" s="7">
        <f>IF($C52="","",IF(COUNTA('RAW_유기농_8월'!$A:$A)&lt;=1,"",SUMIFS('RAW_유기농_8월'!$H:$H,'RAW_유기농_8월'!$D:$D,$C52,'RAW_유기농_8월'!$A:$A,$E52)-SUMIFS('RAW_유기농_7월'!$H:$H,'RAW_유기농_7월'!$D:$D,$C52,'RAW_유기농_7월'!$A:$A,$E52)))</f>
        <v>0</v>
      </c>
      <c r="P52" s="7" t="str">
        <f>IF($C52="","",IF(COUNTA('RAW_유기농_9월'!$A:$A)&lt;=1,"",SUMIFS('RAW_유기농_9월'!$H:$H,'RAW_유기농_9월'!$D:$D,$C52,'RAW_유기농_9월'!$A:$A,$E52)-SUMIFS('RAW_유기농_8월'!$H:$H,'RAW_유기농_8월'!$D:$D,$C52,'RAW_유기농_8월'!$A:$A,$E52)))</f>
        <v/>
      </c>
      <c r="Q52" s="7" t="str">
        <f>IF($C52="","",IF(COUNTA('RAW_유기농_10월'!$A:$A)&lt;=1,"",SUMIFS('RAW_유기농_10월'!$H:$H,'RAW_유기농_10월'!$D:$D,$C52,'RAW_유기농_10월'!$A:$A,$E52)-SUMIFS('RAW_유기농_9월'!$H:$H,'RAW_유기농_9월'!$D:$D,$C52,'RAW_유기농_9월'!$A:$A,$E52)))</f>
        <v/>
      </c>
      <c r="R52" s="7" t="str">
        <f>IF($C52="","",IF(COUNTA('RAW_유기농_11-12월'!$A:$A)&lt;=1,"",SUMIFS('RAW_유기농_11-12월'!$H:$H,'RAW_유기농_11-12월'!$D:$D,$C52,'RAW_유기농_11-12월'!$A:$A,$E52)-SUMIFS('RAW_유기농_10월'!$H:$H,'RAW_유기농_10월'!$D:$D,$C52,'RAW_유기농_10월'!$A:$A,$E52)))</f>
        <v/>
      </c>
      <c r="S52" s="17" t="str">
        <f t="shared" si="4"/>
        <v/>
      </c>
      <c r="T52" s="17" t="str">
        <f t="shared" si="5"/>
        <v>미사용</v>
      </c>
      <c r="U52" s="7">
        <f>IF($C52="",0,IF('설정'!$B$4=0,0,CHOOSE('설정'!$B$4,COUNTIFS('RAW_유기농_7월'!$D:$D,$C52,'RAW_유기농_7월'!$A:$A,$E52),COUNTIFS('RAW_유기농_8월'!$D:$D,$C52,'RAW_유기농_8월'!$A:$A,$E52),COUNTIFS('RAW_유기농_9월'!$D:$D,$C52,'RAW_유기농_9월'!$A:$A,$E52),COUNTIFS('RAW_유기농_10월'!$D:$D,$C52,'RAW_유기농_10월'!$A:$A,$E52),COUNTIFS('RAW_유기농_11-12월'!$D:$D,$C52,'RAW_유기농_11-12월'!$A:$A,$E52))))</f>
        <v>0</v>
      </c>
    </row>
    <row r="53" ht="15.75" customHeight="1">
      <c r="A53" s="5">
        <v>51.0</v>
      </c>
      <c r="B53" s="5" t="s">
        <v>25</v>
      </c>
      <c r="C53" s="5" t="s">
        <v>2599</v>
      </c>
      <c r="D53" s="6" t="s">
        <v>2600</v>
      </c>
      <c r="E53" s="5" t="s">
        <v>31</v>
      </c>
      <c r="F53" s="7">
        <f>IF($C53="","",IF('설정'!$B$4=0,"",CHOOSE('설정'!$B$4,SUMIFS('RAW_유기농_7월'!$F:$F,'RAW_유기농_7월'!$D:$D,$C53,'RAW_유기농_7월'!$A:$A,$E53),SUMIFS('RAW_유기농_8월'!$F:$F,'RAW_유기농_8월'!$D:$D,$C53,'RAW_유기농_8월'!$A:$A,$E53),SUMIFS('RAW_유기농_9월'!$F:$F,'RAW_유기농_9월'!$D:$D,$C53,'RAW_유기농_9월'!$A:$A,$E53),SUMIFS('RAW_유기농_10월'!$F:$F,'RAW_유기농_10월'!$D:$D,$C53,'RAW_유기농_10월'!$A:$A,$E53),SUMIFS('RAW_유기농_11-12월'!$F:$F,'RAW_유기농_11-12월'!$D:$D,$C53,'RAW_유기농_11-12월'!$A:$A,$E53))))</f>
        <v>6722</v>
      </c>
      <c r="G53" s="7">
        <f>IF($C53="","",IF('설정'!$B$4=0,"",CHOOSE('설정'!$B$4,SUMIFS('RAW_유기농_7월'!$G:$G,'RAW_유기농_7월'!$D:$D,$C53,'RAW_유기농_7월'!$A:$A,$E53),SUMIFS('RAW_유기농_8월'!$G:$G,'RAW_유기농_8월'!$D:$D,$C53,'RAW_유기농_8월'!$A:$A,$E53),SUMIFS('RAW_유기농_9월'!$G:$G,'RAW_유기농_9월'!$D:$D,$C53,'RAW_유기농_9월'!$A:$A,$E53),SUMIFS('RAW_유기농_10월'!$G:$G,'RAW_유기농_10월'!$D:$D,$C53,'RAW_유기농_10월'!$A:$A,$E53),SUMIFS('RAW_유기농_11-12월'!$G:$G,'RAW_유기농_11-12월'!$D:$D,$C53,'RAW_유기농_11-12월'!$A:$A,$E53))))</f>
        <v>25131030</v>
      </c>
      <c r="H53" s="7">
        <f>IF($C53="","",IF('설정'!$B$4=0,"",CHOOSE('설정'!$B$4,SUMIFS('RAW_유기농_7월'!$H:$H,'RAW_유기농_7월'!$D:$D,$C53,'RAW_유기농_7월'!$A:$A,$E53),SUMIFS('RAW_유기농_8월'!$H:$H,'RAW_유기농_8월'!$D:$D,$C53,'RAW_유기농_8월'!$A:$A,$E53),SUMIFS('RAW_유기농_9월'!$H:$H,'RAW_유기농_9월'!$D:$D,$C53,'RAW_유기농_9월'!$A:$A,$E53),SUMIFS('RAW_유기농_10월'!$H:$H,'RAW_유기농_10월'!$D:$D,$C53,'RAW_유기농_10월'!$A:$A,$E53),SUMIFS('RAW_유기농_11-12월'!$H:$H,'RAW_유기농_11-12월'!$D:$D,$C53,'RAW_유기농_11-12월'!$A:$A,$E53))))</f>
        <v>2082921</v>
      </c>
      <c r="I53" s="17" t="str">
        <f>IF($C53="","",IF(COUNTIFS('RAW_유기농_7월'!$D:$D,$C53,'RAW_유기농_7월'!$A:$A,$E53)&gt;0,"O",""))</f>
        <v>O</v>
      </c>
      <c r="J53" s="17" t="str">
        <f>IF($C53="","",IF(COUNTIFS('RAW_유기농_8월'!$D:$D,$C53,'RAW_유기농_8월'!$A:$A,$E53)&gt;0,"O",""))</f>
        <v>O</v>
      </c>
      <c r="K53" s="17" t="str">
        <f>IF($C53="","",IF(COUNTIFS('RAW_유기농_9월'!$D:$D,$C53,'RAW_유기농_9월'!$A:$A,$E53)&gt;0,"O",""))</f>
        <v/>
      </c>
      <c r="L53" s="17" t="str">
        <f>IF($C53="","",IF(COUNTIFS('RAW_유기농_10월'!$D:$D,$C53,'RAW_유기농_10월'!$A:$A,$E53)&gt;0,"O",""))</f>
        <v/>
      </c>
      <c r="M53" s="17" t="str">
        <f>IF($C53="","",IF(COUNTIFS('RAW_유기농_11-12월'!$D:$D,$C53,'RAW_유기농_11-12월'!$A:$A,$E53)&gt;0,"O",""))</f>
        <v/>
      </c>
      <c r="N53" s="7">
        <f>IF($C53="","",IF(COUNTA('RAW_유기농_7월'!$A:$A)&lt;=1,"",SUMIFS('RAW_유기농_7월'!$H:$H,'RAW_유기농_7월'!$D:$D,$C53,'RAW_유기농_7월'!$A:$A,$E53)))</f>
        <v>1023407</v>
      </c>
      <c r="O53" s="7">
        <f>IF($C53="","",IF(COUNTA('RAW_유기농_8월'!$A:$A)&lt;=1,"",SUMIFS('RAW_유기농_8월'!$H:$H,'RAW_유기농_8월'!$D:$D,$C53,'RAW_유기농_8월'!$A:$A,$E53)-SUMIFS('RAW_유기농_7월'!$H:$H,'RAW_유기농_7월'!$D:$D,$C53,'RAW_유기농_7월'!$A:$A,$E53)))</f>
        <v>1059514</v>
      </c>
      <c r="P53" s="7" t="str">
        <f>IF($C53="","",IF(COUNTA('RAW_유기농_9월'!$A:$A)&lt;=1,"",SUMIFS('RAW_유기농_9월'!$H:$H,'RAW_유기농_9월'!$D:$D,$C53,'RAW_유기농_9월'!$A:$A,$E53)-SUMIFS('RAW_유기농_8월'!$H:$H,'RAW_유기농_8월'!$D:$D,$C53,'RAW_유기농_8월'!$A:$A,$E53)))</f>
        <v/>
      </c>
      <c r="Q53" s="7" t="str">
        <f>IF($C53="","",IF(COUNTA('RAW_유기농_10월'!$A:$A)&lt;=1,"",SUMIFS('RAW_유기농_10월'!$H:$H,'RAW_유기농_10월'!$D:$D,$C53,'RAW_유기농_10월'!$A:$A,$E53)-SUMIFS('RAW_유기농_9월'!$H:$H,'RAW_유기농_9월'!$D:$D,$C53,'RAW_유기농_9월'!$A:$A,$E53)))</f>
        <v/>
      </c>
      <c r="R53" s="7" t="str">
        <f>IF($C53="","",IF(COUNTA('RAW_유기농_11-12월'!$A:$A)&lt;=1,"",SUMIFS('RAW_유기농_11-12월'!$H:$H,'RAW_유기농_11-12월'!$D:$D,$C53,'RAW_유기농_11-12월'!$A:$A,$E53)-SUMIFS('RAW_유기농_10월'!$H:$H,'RAW_유기농_10월'!$D:$D,$C53,'RAW_유기농_10월'!$A:$A,$E53)))</f>
        <v/>
      </c>
      <c r="S53" s="17" t="str">
        <f t="shared" si="4"/>
        <v>O</v>
      </c>
      <c r="T53" s="17" t="str">
        <f t="shared" si="5"/>
        <v>300만원 미만</v>
      </c>
      <c r="U53" s="7">
        <f>IF($C53="",0,IF('설정'!$B$4=0,0,CHOOSE('설정'!$B$4,COUNTIFS('RAW_유기농_7월'!$D:$D,$C53,'RAW_유기농_7월'!$A:$A,$E53),COUNTIFS('RAW_유기농_8월'!$D:$D,$C53,'RAW_유기농_8월'!$A:$A,$E53),COUNTIFS('RAW_유기농_9월'!$D:$D,$C53,'RAW_유기농_9월'!$A:$A,$E53),COUNTIFS('RAW_유기농_10월'!$D:$D,$C53,'RAW_유기농_10월'!$A:$A,$E53),COUNTIFS('RAW_유기농_11-12월'!$D:$D,$C53,'RAW_유기농_11-12월'!$A:$A,$E53))))</f>
        <v>9</v>
      </c>
    </row>
    <row r="54" ht="15.75" customHeight="1">
      <c r="A54" s="5">
        <v>52.0</v>
      </c>
      <c r="B54" s="5" t="s">
        <v>25</v>
      </c>
      <c r="C54" s="5" t="s">
        <v>2604</v>
      </c>
      <c r="D54" s="6" t="s">
        <v>2605</v>
      </c>
      <c r="E54" s="5" t="s">
        <v>92</v>
      </c>
      <c r="F54" s="7">
        <f>IF($C54="","",IF('설정'!$B$4=0,"",CHOOSE('설정'!$B$4,SUMIFS('RAW_유기농_7월'!$F:$F,'RAW_유기농_7월'!$D:$D,$C54,'RAW_유기농_7월'!$A:$A,$E54),SUMIFS('RAW_유기농_8월'!$F:$F,'RAW_유기농_8월'!$D:$D,$C54,'RAW_유기농_8월'!$A:$A,$E54),SUMIFS('RAW_유기농_9월'!$F:$F,'RAW_유기농_9월'!$D:$D,$C54,'RAW_유기농_9월'!$A:$A,$E54),SUMIFS('RAW_유기농_10월'!$F:$F,'RAW_유기농_10월'!$D:$D,$C54,'RAW_유기농_10월'!$A:$A,$E54),SUMIFS('RAW_유기농_11-12월'!$F:$F,'RAW_유기농_11-12월'!$D:$D,$C54,'RAW_유기농_11-12월'!$A:$A,$E54))))</f>
        <v>544</v>
      </c>
      <c r="G54" s="7">
        <f>IF($C54="","",IF('설정'!$B$4=0,"",CHOOSE('설정'!$B$4,SUMIFS('RAW_유기농_7월'!$G:$G,'RAW_유기농_7월'!$D:$D,$C54,'RAW_유기농_7월'!$A:$A,$E54),SUMIFS('RAW_유기농_8월'!$G:$G,'RAW_유기농_8월'!$D:$D,$C54,'RAW_유기농_8월'!$A:$A,$E54),SUMIFS('RAW_유기농_9월'!$G:$G,'RAW_유기농_9월'!$D:$D,$C54,'RAW_유기농_9월'!$A:$A,$E54),SUMIFS('RAW_유기농_10월'!$G:$G,'RAW_유기농_10월'!$D:$D,$C54,'RAW_유기농_10월'!$A:$A,$E54),SUMIFS('RAW_유기농_11-12월'!$G:$G,'RAW_유기농_11-12월'!$D:$D,$C54,'RAW_유기농_11-12월'!$A:$A,$E54))))</f>
        <v>13693470</v>
      </c>
      <c r="H54" s="7">
        <f>IF($C54="","",IF('설정'!$B$4=0,"",CHOOSE('설정'!$B$4,SUMIFS('RAW_유기농_7월'!$H:$H,'RAW_유기농_7월'!$D:$D,$C54,'RAW_유기농_7월'!$A:$A,$E54),SUMIFS('RAW_유기농_8월'!$H:$H,'RAW_유기농_8월'!$D:$D,$C54,'RAW_유기농_8월'!$A:$A,$E54),SUMIFS('RAW_유기농_9월'!$H:$H,'RAW_유기농_9월'!$D:$D,$C54,'RAW_유기농_9월'!$A:$A,$E54),SUMIFS('RAW_유기농_10월'!$H:$H,'RAW_유기농_10월'!$D:$D,$C54,'RAW_유기농_10월'!$A:$A,$E54),SUMIFS('RAW_유기농_11-12월'!$H:$H,'RAW_유기농_11-12월'!$D:$D,$C54,'RAW_유기농_11-12월'!$A:$A,$E54))))</f>
        <v>0</v>
      </c>
      <c r="I54" s="17" t="str">
        <f>IF($C54="","",IF(COUNTIFS('RAW_유기농_7월'!$D:$D,$C54,'RAW_유기농_7월'!$A:$A,$E54)&gt;0,"O",""))</f>
        <v>O</v>
      </c>
      <c r="J54" s="17" t="str">
        <f>IF($C54="","",IF(COUNTIFS('RAW_유기농_8월'!$D:$D,$C54,'RAW_유기농_8월'!$A:$A,$E54)&gt;0,"O",""))</f>
        <v>O</v>
      </c>
      <c r="K54" s="17" t="str">
        <f>IF($C54="","",IF(COUNTIFS('RAW_유기농_9월'!$D:$D,$C54,'RAW_유기농_9월'!$A:$A,$E54)&gt;0,"O",""))</f>
        <v/>
      </c>
      <c r="L54" s="17" t="str">
        <f>IF($C54="","",IF(COUNTIFS('RAW_유기농_10월'!$D:$D,$C54,'RAW_유기농_10월'!$A:$A,$E54)&gt;0,"O",""))</f>
        <v/>
      </c>
      <c r="M54" s="17" t="str">
        <f>IF($C54="","",IF(COUNTIFS('RAW_유기농_11-12월'!$D:$D,$C54,'RAW_유기농_11-12월'!$A:$A,$E54)&gt;0,"O",""))</f>
        <v/>
      </c>
      <c r="N54" s="7">
        <f>IF($C54="","",IF(COUNTA('RAW_유기농_7월'!$A:$A)&lt;=1,"",SUMIFS('RAW_유기농_7월'!$H:$H,'RAW_유기농_7월'!$D:$D,$C54,'RAW_유기농_7월'!$A:$A,$E54)))</f>
        <v>0</v>
      </c>
      <c r="O54" s="7">
        <f>IF($C54="","",IF(COUNTA('RAW_유기농_8월'!$A:$A)&lt;=1,"",SUMIFS('RAW_유기농_8월'!$H:$H,'RAW_유기농_8월'!$D:$D,$C54,'RAW_유기농_8월'!$A:$A,$E54)-SUMIFS('RAW_유기농_7월'!$H:$H,'RAW_유기농_7월'!$D:$D,$C54,'RAW_유기농_7월'!$A:$A,$E54)))</f>
        <v>0</v>
      </c>
      <c r="P54" s="7" t="str">
        <f>IF($C54="","",IF(COUNTA('RAW_유기농_9월'!$A:$A)&lt;=1,"",SUMIFS('RAW_유기농_9월'!$H:$H,'RAW_유기농_9월'!$D:$D,$C54,'RAW_유기농_9월'!$A:$A,$E54)-SUMIFS('RAW_유기농_8월'!$H:$H,'RAW_유기농_8월'!$D:$D,$C54,'RAW_유기농_8월'!$A:$A,$E54)))</f>
        <v/>
      </c>
      <c r="Q54" s="7" t="str">
        <f>IF($C54="","",IF(COUNTA('RAW_유기농_10월'!$A:$A)&lt;=1,"",SUMIFS('RAW_유기농_10월'!$H:$H,'RAW_유기농_10월'!$D:$D,$C54,'RAW_유기농_10월'!$A:$A,$E54)-SUMIFS('RAW_유기농_9월'!$H:$H,'RAW_유기농_9월'!$D:$D,$C54,'RAW_유기농_9월'!$A:$A,$E54)))</f>
        <v/>
      </c>
      <c r="R54" s="7" t="str">
        <f>IF($C54="","",IF(COUNTA('RAW_유기농_11-12월'!$A:$A)&lt;=1,"",SUMIFS('RAW_유기농_11-12월'!$H:$H,'RAW_유기농_11-12월'!$D:$D,$C54,'RAW_유기농_11-12월'!$A:$A,$E54)-SUMIFS('RAW_유기농_10월'!$H:$H,'RAW_유기농_10월'!$D:$D,$C54,'RAW_유기농_10월'!$A:$A,$E54)))</f>
        <v/>
      </c>
      <c r="S54" s="17" t="str">
        <f t="shared" si="4"/>
        <v>O</v>
      </c>
      <c r="T54" s="17" t="str">
        <f t="shared" si="5"/>
        <v>미사용</v>
      </c>
      <c r="U54" s="7">
        <f>IF($C54="",0,IF('설정'!$B$4=0,0,CHOOSE('설정'!$B$4,COUNTIFS('RAW_유기농_7월'!$D:$D,$C54,'RAW_유기농_7월'!$A:$A,$E54),COUNTIFS('RAW_유기농_8월'!$D:$D,$C54,'RAW_유기농_8월'!$A:$A,$E54),COUNTIFS('RAW_유기농_9월'!$D:$D,$C54,'RAW_유기농_9월'!$A:$A,$E54),COUNTIFS('RAW_유기농_10월'!$D:$D,$C54,'RAW_유기농_10월'!$A:$A,$E54),COUNTIFS('RAW_유기농_11-12월'!$D:$D,$C54,'RAW_유기농_11-12월'!$A:$A,$E54))))</f>
        <v>7</v>
      </c>
    </row>
    <row r="55" ht="15.75" customHeight="1">
      <c r="A55" s="5">
        <v>53.0</v>
      </c>
      <c r="B55" s="5" t="s">
        <v>108</v>
      </c>
      <c r="C55" s="5" t="s">
        <v>2606</v>
      </c>
      <c r="D55" s="6" t="s">
        <v>2607</v>
      </c>
      <c r="E55" s="5" t="s">
        <v>92</v>
      </c>
      <c r="F55" s="7">
        <f>IF($C55="","",IF('설정'!$B$4=0,"",CHOOSE('설정'!$B$4,SUMIFS('RAW_유기농_7월'!$F:$F,'RAW_유기농_7월'!$D:$D,$C55,'RAW_유기농_7월'!$A:$A,$E55),SUMIFS('RAW_유기농_8월'!$F:$F,'RAW_유기농_8월'!$D:$D,$C55,'RAW_유기농_8월'!$A:$A,$E55),SUMIFS('RAW_유기농_9월'!$F:$F,'RAW_유기농_9월'!$D:$D,$C55,'RAW_유기농_9월'!$A:$A,$E55),SUMIFS('RAW_유기농_10월'!$F:$F,'RAW_유기농_10월'!$D:$D,$C55,'RAW_유기농_10월'!$A:$A,$E55),SUMIFS('RAW_유기농_11-12월'!$F:$F,'RAW_유기농_11-12월'!$D:$D,$C55,'RAW_유기농_11-12월'!$A:$A,$E55))))</f>
        <v>7</v>
      </c>
      <c r="G55" s="7">
        <f>IF($C55="","",IF('설정'!$B$4=0,"",CHOOSE('설정'!$B$4,SUMIFS('RAW_유기농_7월'!$G:$G,'RAW_유기농_7월'!$D:$D,$C55,'RAW_유기농_7월'!$A:$A,$E55),SUMIFS('RAW_유기농_8월'!$G:$G,'RAW_유기농_8월'!$D:$D,$C55,'RAW_유기농_8월'!$A:$A,$E55),SUMIFS('RAW_유기농_9월'!$G:$G,'RAW_유기농_9월'!$D:$D,$C55,'RAW_유기농_9월'!$A:$A,$E55),SUMIFS('RAW_유기농_10월'!$G:$G,'RAW_유기농_10월'!$D:$D,$C55,'RAW_유기농_10월'!$A:$A,$E55),SUMIFS('RAW_유기농_11-12월'!$G:$G,'RAW_유기농_11-12월'!$D:$D,$C55,'RAW_유기농_11-12월'!$A:$A,$E55))))</f>
        <v>198000</v>
      </c>
      <c r="H55" s="7">
        <f>IF($C55="","",IF('설정'!$B$4=0,"",CHOOSE('설정'!$B$4,SUMIFS('RAW_유기농_7월'!$H:$H,'RAW_유기농_7월'!$D:$D,$C55,'RAW_유기농_7월'!$A:$A,$E55),SUMIFS('RAW_유기농_8월'!$H:$H,'RAW_유기농_8월'!$D:$D,$C55,'RAW_유기농_8월'!$A:$A,$E55),SUMIFS('RAW_유기농_9월'!$H:$H,'RAW_유기농_9월'!$D:$D,$C55,'RAW_유기농_9월'!$A:$A,$E55),SUMIFS('RAW_유기농_10월'!$H:$H,'RAW_유기농_10월'!$D:$D,$C55,'RAW_유기농_10월'!$A:$A,$E55),SUMIFS('RAW_유기농_11-12월'!$H:$H,'RAW_유기농_11-12월'!$D:$D,$C55,'RAW_유기농_11-12월'!$A:$A,$E55))))</f>
        <v>0</v>
      </c>
      <c r="I55" s="17" t="str">
        <f>IF($C55="","",IF(COUNTIFS('RAW_유기농_7월'!$D:$D,$C55,'RAW_유기농_7월'!$A:$A,$E55)&gt;0,"O",""))</f>
        <v/>
      </c>
      <c r="J55" s="17" t="str">
        <f>IF($C55="","",IF(COUNTIFS('RAW_유기농_8월'!$D:$D,$C55,'RAW_유기농_8월'!$A:$A,$E55)&gt;0,"O",""))</f>
        <v>O</v>
      </c>
      <c r="K55" s="17" t="str">
        <f>IF($C55="","",IF(COUNTIFS('RAW_유기농_9월'!$D:$D,$C55,'RAW_유기농_9월'!$A:$A,$E55)&gt;0,"O",""))</f>
        <v/>
      </c>
      <c r="L55" s="17" t="str">
        <f>IF($C55="","",IF(COUNTIFS('RAW_유기농_10월'!$D:$D,$C55,'RAW_유기농_10월'!$A:$A,$E55)&gt;0,"O",""))</f>
        <v/>
      </c>
      <c r="M55" s="17" t="str">
        <f>IF($C55="","",IF(COUNTIFS('RAW_유기농_11-12월'!$D:$D,$C55,'RAW_유기농_11-12월'!$A:$A,$E55)&gt;0,"O",""))</f>
        <v/>
      </c>
      <c r="N55" s="7">
        <f>IF($C55="","",IF(COUNTA('RAW_유기농_7월'!$A:$A)&lt;=1,"",SUMIFS('RAW_유기농_7월'!$H:$H,'RAW_유기농_7월'!$D:$D,$C55,'RAW_유기농_7월'!$A:$A,$E55)))</f>
        <v>0</v>
      </c>
      <c r="O55" s="7">
        <f>IF($C55="","",IF(COUNTA('RAW_유기농_8월'!$A:$A)&lt;=1,"",SUMIFS('RAW_유기농_8월'!$H:$H,'RAW_유기농_8월'!$D:$D,$C55,'RAW_유기농_8월'!$A:$A,$E55)-SUMIFS('RAW_유기농_7월'!$H:$H,'RAW_유기농_7월'!$D:$D,$C55,'RAW_유기농_7월'!$A:$A,$E55)))</f>
        <v>0</v>
      </c>
      <c r="P55" s="7" t="str">
        <f>IF($C55="","",IF(COUNTA('RAW_유기농_9월'!$A:$A)&lt;=1,"",SUMIFS('RAW_유기농_9월'!$H:$H,'RAW_유기농_9월'!$D:$D,$C55,'RAW_유기농_9월'!$A:$A,$E55)-SUMIFS('RAW_유기농_8월'!$H:$H,'RAW_유기농_8월'!$D:$D,$C55,'RAW_유기농_8월'!$A:$A,$E55)))</f>
        <v/>
      </c>
      <c r="Q55" s="7" t="str">
        <f>IF($C55="","",IF(COUNTA('RAW_유기농_10월'!$A:$A)&lt;=1,"",SUMIFS('RAW_유기농_10월'!$H:$H,'RAW_유기농_10월'!$D:$D,$C55,'RAW_유기농_10월'!$A:$A,$E55)-SUMIFS('RAW_유기농_9월'!$H:$H,'RAW_유기농_9월'!$D:$D,$C55,'RAW_유기농_9월'!$A:$A,$E55)))</f>
        <v/>
      </c>
      <c r="R55" s="7" t="str">
        <f>IF($C55="","",IF(COUNTA('RAW_유기농_11-12월'!$A:$A)&lt;=1,"",SUMIFS('RAW_유기농_11-12월'!$H:$H,'RAW_유기농_11-12월'!$D:$D,$C55,'RAW_유기농_11-12월'!$A:$A,$E55)-SUMIFS('RAW_유기농_10월'!$H:$H,'RAW_유기농_10월'!$D:$D,$C55,'RAW_유기농_10월'!$A:$A,$E55)))</f>
        <v/>
      </c>
      <c r="S55" s="17" t="str">
        <f t="shared" si="4"/>
        <v>O</v>
      </c>
      <c r="T55" s="17" t="str">
        <f t="shared" si="5"/>
        <v>미사용</v>
      </c>
      <c r="U55" s="7">
        <f>IF($C55="",0,IF('설정'!$B$4=0,0,CHOOSE('설정'!$B$4,COUNTIFS('RAW_유기농_7월'!$D:$D,$C55,'RAW_유기농_7월'!$A:$A,$E55),COUNTIFS('RAW_유기농_8월'!$D:$D,$C55,'RAW_유기농_8월'!$A:$A,$E55),COUNTIFS('RAW_유기농_9월'!$D:$D,$C55,'RAW_유기농_9월'!$A:$A,$E55),COUNTIFS('RAW_유기농_10월'!$D:$D,$C55,'RAW_유기농_10월'!$A:$A,$E55),COUNTIFS('RAW_유기농_11-12월'!$D:$D,$C55,'RAW_유기농_11-12월'!$A:$A,$E55))))</f>
        <v>3</v>
      </c>
    </row>
    <row r="56" ht="15.75" customHeight="1">
      <c r="A56" s="5">
        <v>54.0</v>
      </c>
      <c r="B56" s="5" t="s">
        <v>145</v>
      </c>
      <c r="C56" s="5" t="s">
        <v>2608</v>
      </c>
      <c r="D56" s="6" t="s">
        <v>2609</v>
      </c>
      <c r="E56" s="5" t="s">
        <v>92</v>
      </c>
      <c r="F56" s="7">
        <f>IF($C56="","",IF('설정'!$B$4=0,"",CHOOSE('설정'!$B$4,SUMIFS('RAW_유기농_7월'!$F:$F,'RAW_유기농_7월'!$D:$D,$C56,'RAW_유기농_7월'!$A:$A,$E56),SUMIFS('RAW_유기농_8월'!$F:$F,'RAW_유기농_8월'!$D:$D,$C56,'RAW_유기농_8월'!$A:$A,$E56),SUMIFS('RAW_유기농_9월'!$F:$F,'RAW_유기농_9월'!$D:$D,$C56,'RAW_유기농_9월'!$A:$A,$E56),SUMIFS('RAW_유기농_10월'!$F:$F,'RAW_유기농_10월'!$D:$D,$C56,'RAW_유기농_10월'!$A:$A,$E56),SUMIFS('RAW_유기농_11-12월'!$F:$F,'RAW_유기농_11-12월'!$D:$D,$C56,'RAW_유기농_11-12월'!$A:$A,$E56))))</f>
        <v>0</v>
      </c>
      <c r="G56" s="7">
        <f>IF($C56="","",IF('설정'!$B$4=0,"",CHOOSE('설정'!$B$4,SUMIFS('RAW_유기농_7월'!$G:$G,'RAW_유기농_7월'!$D:$D,$C56,'RAW_유기농_7월'!$A:$A,$E56),SUMIFS('RAW_유기농_8월'!$G:$G,'RAW_유기농_8월'!$D:$D,$C56,'RAW_유기농_8월'!$A:$A,$E56),SUMIFS('RAW_유기농_9월'!$G:$G,'RAW_유기농_9월'!$D:$D,$C56,'RAW_유기농_9월'!$A:$A,$E56),SUMIFS('RAW_유기농_10월'!$G:$G,'RAW_유기농_10월'!$D:$D,$C56,'RAW_유기농_10월'!$A:$A,$E56),SUMIFS('RAW_유기농_11-12월'!$G:$G,'RAW_유기농_11-12월'!$D:$D,$C56,'RAW_유기농_11-12월'!$A:$A,$E56))))</f>
        <v>0</v>
      </c>
      <c r="H56" s="7">
        <f>IF($C56="","",IF('설정'!$B$4=0,"",CHOOSE('설정'!$B$4,SUMIFS('RAW_유기농_7월'!$H:$H,'RAW_유기농_7월'!$D:$D,$C56,'RAW_유기농_7월'!$A:$A,$E56),SUMIFS('RAW_유기농_8월'!$H:$H,'RAW_유기농_8월'!$D:$D,$C56,'RAW_유기농_8월'!$A:$A,$E56),SUMIFS('RAW_유기농_9월'!$H:$H,'RAW_유기농_9월'!$D:$D,$C56,'RAW_유기농_9월'!$A:$A,$E56),SUMIFS('RAW_유기농_10월'!$H:$H,'RAW_유기농_10월'!$D:$D,$C56,'RAW_유기농_10월'!$A:$A,$E56),SUMIFS('RAW_유기농_11-12월'!$H:$H,'RAW_유기농_11-12월'!$D:$D,$C56,'RAW_유기농_11-12월'!$A:$A,$E56))))</f>
        <v>0</v>
      </c>
      <c r="I56" s="17" t="str">
        <f>IF($C56="","",IF(COUNTIFS('RAW_유기농_7월'!$D:$D,$C56,'RAW_유기농_7월'!$A:$A,$E56)&gt;0,"O",""))</f>
        <v/>
      </c>
      <c r="J56" s="17" t="str">
        <f>IF($C56="","",IF(COUNTIFS('RAW_유기농_8월'!$D:$D,$C56,'RAW_유기농_8월'!$A:$A,$E56)&gt;0,"O",""))</f>
        <v/>
      </c>
      <c r="K56" s="17" t="str">
        <f>IF($C56="","",IF(COUNTIFS('RAW_유기농_9월'!$D:$D,$C56,'RAW_유기농_9월'!$A:$A,$E56)&gt;0,"O",""))</f>
        <v/>
      </c>
      <c r="L56" s="17" t="str">
        <f>IF($C56="","",IF(COUNTIFS('RAW_유기농_10월'!$D:$D,$C56,'RAW_유기농_10월'!$A:$A,$E56)&gt;0,"O",""))</f>
        <v/>
      </c>
      <c r="M56" s="17" t="str">
        <f>IF($C56="","",IF(COUNTIFS('RAW_유기농_11-12월'!$D:$D,$C56,'RAW_유기농_11-12월'!$A:$A,$E56)&gt;0,"O",""))</f>
        <v/>
      </c>
      <c r="N56" s="7">
        <f>IF($C56="","",IF(COUNTA('RAW_유기농_7월'!$A:$A)&lt;=1,"",SUMIFS('RAW_유기농_7월'!$H:$H,'RAW_유기농_7월'!$D:$D,$C56,'RAW_유기농_7월'!$A:$A,$E56)))</f>
        <v>0</v>
      </c>
      <c r="O56" s="7">
        <f>IF($C56="","",IF(COUNTA('RAW_유기농_8월'!$A:$A)&lt;=1,"",SUMIFS('RAW_유기농_8월'!$H:$H,'RAW_유기농_8월'!$D:$D,$C56,'RAW_유기농_8월'!$A:$A,$E56)-SUMIFS('RAW_유기농_7월'!$H:$H,'RAW_유기농_7월'!$D:$D,$C56,'RAW_유기농_7월'!$A:$A,$E56)))</f>
        <v>0</v>
      </c>
      <c r="P56" s="7" t="str">
        <f>IF($C56="","",IF(COUNTA('RAW_유기농_9월'!$A:$A)&lt;=1,"",SUMIFS('RAW_유기농_9월'!$H:$H,'RAW_유기농_9월'!$D:$D,$C56,'RAW_유기농_9월'!$A:$A,$E56)-SUMIFS('RAW_유기농_8월'!$H:$H,'RAW_유기농_8월'!$D:$D,$C56,'RAW_유기농_8월'!$A:$A,$E56)))</f>
        <v/>
      </c>
      <c r="Q56" s="7" t="str">
        <f>IF($C56="","",IF(COUNTA('RAW_유기농_10월'!$A:$A)&lt;=1,"",SUMIFS('RAW_유기농_10월'!$H:$H,'RAW_유기농_10월'!$D:$D,$C56,'RAW_유기농_10월'!$A:$A,$E56)-SUMIFS('RAW_유기농_9월'!$H:$H,'RAW_유기농_9월'!$D:$D,$C56,'RAW_유기농_9월'!$A:$A,$E56)))</f>
        <v/>
      </c>
      <c r="R56" s="7" t="str">
        <f>IF($C56="","",IF(COUNTA('RAW_유기농_11-12월'!$A:$A)&lt;=1,"",SUMIFS('RAW_유기농_11-12월'!$H:$H,'RAW_유기농_11-12월'!$D:$D,$C56,'RAW_유기농_11-12월'!$A:$A,$E56)-SUMIFS('RAW_유기농_10월'!$H:$H,'RAW_유기농_10월'!$D:$D,$C56,'RAW_유기농_10월'!$A:$A,$E56)))</f>
        <v/>
      </c>
      <c r="S56" s="17" t="str">
        <f t="shared" si="4"/>
        <v/>
      </c>
      <c r="T56" s="17" t="str">
        <f t="shared" si="5"/>
        <v>미사용</v>
      </c>
      <c r="U56" s="7">
        <f>IF($C56="",0,IF('설정'!$B$4=0,0,CHOOSE('설정'!$B$4,COUNTIFS('RAW_유기농_7월'!$D:$D,$C56,'RAW_유기농_7월'!$A:$A,$E56),COUNTIFS('RAW_유기농_8월'!$D:$D,$C56,'RAW_유기농_8월'!$A:$A,$E56),COUNTIFS('RAW_유기농_9월'!$D:$D,$C56,'RAW_유기농_9월'!$A:$A,$E56),COUNTIFS('RAW_유기농_10월'!$D:$D,$C56,'RAW_유기농_10월'!$A:$A,$E56),COUNTIFS('RAW_유기농_11-12월'!$D:$D,$C56,'RAW_유기농_11-12월'!$A:$A,$E56))))</f>
        <v>0</v>
      </c>
    </row>
    <row r="57" ht="15.75" customHeight="1">
      <c r="A57" s="5">
        <v>55.0</v>
      </c>
      <c r="B57" s="5" t="s">
        <v>108</v>
      </c>
      <c r="C57" s="5" t="s">
        <v>2612</v>
      </c>
      <c r="D57" s="6" t="s">
        <v>2613</v>
      </c>
      <c r="E57" s="5" t="s">
        <v>31</v>
      </c>
      <c r="F57" s="7">
        <f>IF($C57="","",IF('설정'!$B$4=0,"",CHOOSE('설정'!$B$4,SUMIFS('RAW_유기농_7월'!$F:$F,'RAW_유기농_7월'!$D:$D,$C57,'RAW_유기농_7월'!$A:$A,$E57),SUMIFS('RAW_유기농_8월'!$F:$F,'RAW_유기농_8월'!$D:$D,$C57,'RAW_유기농_8월'!$A:$A,$E57),SUMIFS('RAW_유기농_9월'!$F:$F,'RAW_유기농_9월'!$D:$D,$C57,'RAW_유기농_9월'!$A:$A,$E57),SUMIFS('RAW_유기농_10월'!$F:$F,'RAW_유기농_10월'!$D:$D,$C57,'RAW_유기농_10월'!$A:$A,$E57),SUMIFS('RAW_유기농_11-12월'!$F:$F,'RAW_유기농_11-12월'!$D:$D,$C57,'RAW_유기농_11-12월'!$A:$A,$E57))))</f>
        <v>0</v>
      </c>
      <c r="G57" s="7">
        <f>IF($C57="","",IF('설정'!$B$4=0,"",CHOOSE('설정'!$B$4,SUMIFS('RAW_유기농_7월'!$G:$G,'RAW_유기농_7월'!$D:$D,$C57,'RAW_유기농_7월'!$A:$A,$E57),SUMIFS('RAW_유기농_8월'!$G:$G,'RAW_유기농_8월'!$D:$D,$C57,'RAW_유기농_8월'!$A:$A,$E57),SUMIFS('RAW_유기농_9월'!$G:$G,'RAW_유기농_9월'!$D:$D,$C57,'RAW_유기농_9월'!$A:$A,$E57),SUMIFS('RAW_유기농_10월'!$G:$G,'RAW_유기농_10월'!$D:$D,$C57,'RAW_유기농_10월'!$A:$A,$E57),SUMIFS('RAW_유기농_11-12월'!$G:$G,'RAW_유기농_11-12월'!$D:$D,$C57,'RAW_유기농_11-12월'!$A:$A,$E57))))</f>
        <v>0</v>
      </c>
      <c r="H57" s="7">
        <f>IF($C57="","",IF('설정'!$B$4=0,"",CHOOSE('설정'!$B$4,SUMIFS('RAW_유기농_7월'!$H:$H,'RAW_유기농_7월'!$D:$D,$C57,'RAW_유기농_7월'!$A:$A,$E57),SUMIFS('RAW_유기농_8월'!$H:$H,'RAW_유기농_8월'!$D:$D,$C57,'RAW_유기농_8월'!$A:$A,$E57),SUMIFS('RAW_유기농_9월'!$H:$H,'RAW_유기농_9월'!$D:$D,$C57,'RAW_유기농_9월'!$A:$A,$E57),SUMIFS('RAW_유기농_10월'!$H:$H,'RAW_유기농_10월'!$D:$D,$C57,'RAW_유기농_10월'!$A:$A,$E57),SUMIFS('RAW_유기농_11-12월'!$H:$H,'RAW_유기농_11-12월'!$D:$D,$C57,'RAW_유기농_11-12월'!$A:$A,$E57))))</f>
        <v>0</v>
      </c>
      <c r="I57" s="17" t="str">
        <f>IF($C57="","",IF(COUNTIFS('RAW_유기농_7월'!$D:$D,$C57,'RAW_유기농_7월'!$A:$A,$E57)&gt;0,"O",""))</f>
        <v/>
      </c>
      <c r="J57" s="17" t="str">
        <f>IF($C57="","",IF(COUNTIFS('RAW_유기농_8월'!$D:$D,$C57,'RAW_유기농_8월'!$A:$A,$E57)&gt;0,"O",""))</f>
        <v/>
      </c>
      <c r="K57" s="17" t="str">
        <f>IF($C57="","",IF(COUNTIFS('RAW_유기농_9월'!$D:$D,$C57,'RAW_유기농_9월'!$A:$A,$E57)&gt;0,"O",""))</f>
        <v/>
      </c>
      <c r="L57" s="17" t="str">
        <f>IF($C57="","",IF(COUNTIFS('RAW_유기농_10월'!$D:$D,$C57,'RAW_유기농_10월'!$A:$A,$E57)&gt;0,"O",""))</f>
        <v/>
      </c>
      <c r="M57" s="17" t="str">
        <f>IF($C57="","",IF(COUNTIFS('RAW_유기농_11-12월'!$D:$D,$C57,'RAW_유기농_11-12월'!$A:$A,$E57)&gt;0,"O",""))</f>
        <v/>
      </c>
      <c r="N57" s="7">
        <f>IF($C57="","",IF(COUNTA('RAW_유기농_7월'!$A:$A)&lt;=1,"",SUMIFS('RAW_유기농_7월'!$H:$H,'RAW_유기농_7월'!$D:$D,$C57,'RAW_유기농_7월'!$A:$A,$E57)))</f>
        <v>0</v>
      </c>
      <c r="O57" s="7">
        <f>IF($C57="","",IF(COUNTA('RAW_유기농_8월'!$A:$A)&lt;=1,"",SUMIFS('RAW_유기농_8월'!$H:$H,'RAW_유기농_8월'!$D:$D,$C57,'RAW_유기농_8월'!$A:$A,$E57)-SUMIFS('RAW_유기농_7월'!$H:$H,'RAW_유기농_7월'!$D:$D,$C57,'RAW_유기농_7월'!$A:$A,$E57)))</f>
        <v>0</v>
      </c>
      <c r="P57" s="7" t="str">
        <f>IF($C57="","",IF(COUNTA('RAW_유기농_9월'!$A:$A)&lt;=1,"",SUMIFS('RAW_유기농_9월'!$H:$H,'RAW_유기농_9월'!$D:$D,$C57,'RAW_유기농_9월'!$A:$A,$E57)-SUMIFS('RAW_유기농_8월'!$H:$H,'RAW_유기농_8월'!$D:$D,$C57,'RAW_유기농_8월'!$A:$A,$E57)))</f>
        <v/>
      </c>
      <c r="Q57" s="7" t="str">
        <f>IF($C57="","",IF(COUNTA('RAW_유기농_10월'!$A:$A)&lt;=1,"",SUMIFS('RAW_유기농_10월'!$H:$H,'RAW_유기농_10월'!$D:$D,$C57,'RAW_유기농_10월'!$A:$A,$E57)-SUMIFS('RAW_유기농_9월'!$H:$H,'RAW_유기농_9월'!$D:$D,$C57,'RAW_유기농_9월'!$A:$A,$E57)))</f>
        <v/>
      </c>
      <c r="R57" s="7" t="str">
        <f>IF($C57="","",IF(COUNTA('RAW_유기농_11-12월'!$A:$A)&lt;=1,"",SUMIFS('RAW_유기농_11-12월'!$H:$H,'RAW_유기농_11-12월'!$D:$D,$C57,'RAW_유기농_11-12월'!$A:$A,$E57)-SUMIFS('RAW_유기농_10월'!$H:$H,'RAW_유기농_10월'!$D:$D,$C57,'RAW_유기농_10월'!$A:$A,$E57)))</f>
        <v/>
      </c>
      <c r="S57" s="17" t="str">
        <f t="shared" si="4"/>
        <v/>
      </c>
      <c r="T57" s="17" t="str">
        <f t="shared" si="5"/>
        <v>미사용</v>
      </c>
      <c r="U57" s="7">
        <f>IF($C57="",0,IF('설정'!$B$4=0,0,CHOOSE('설정'!$B$4,COUNTIFS('RAW_유기농_7월'!$D:$D,$C57,'RAW_유기농_7월'!$A:$A,$E57),COUNTIFS('RAW_유기농_8월'!$D:$D,$C57,'RAW_유기농_8월'!$A:$A,$E57),COUNTIFS('RAW_유기농_9월'!$D:$D,$C57,'RAW_유기농_9월'!$A:$A,$E57),COUNTIFS('RAW_유기농_10월'!$D:$D,$C57,'RAW_유기농_10월'!$A:$A,$E57),COUNTIFS('RAW_유기농_11-12월'!$D:$D,$C57,'RAW_유기농_11-12월'!$A:$A,$E57))))</f>
        <v>0</v>
      </c>
    </row>
    <row r="58" ht="15.75" customHeight="1">
      <c r="A58" s="5"/>
      <c r="B58" s="5"/>
      <c r="C58" s="5"/>
      <c r="D58" s="6"/>
      <c r="E58" s="5"/>
      <c r="F58" s="7" t="str">
        <f>IF($C58="","",IF('설정'!$B$4=0,"",CHOOSE('설정'!$B$4,SUMIFS('RAW_유기농_7월'!$F:$F,'RAW_유기농_7월'!$D:$D,$C58,'RAW_유기농_7월'!$A:$A,$E58),SUMIFS('RAW_유기농_8월'!$F:$F,'RAW_유기농_8월'!$D:$D,$C58,'RAW_유기농_8월'!$A:$A,$E58),SUMIFS('RAW_유기농_9월'!$F:$F,'RAW_유기농_9월'!$D:$D,$C58,'RAW_유기농_9월'!$A:$A,$E58),SUMIFS('RAW_유기농_10월'!$F:$F,'RAW_유기농_10월'!$D:$D,$C58,'RAW_유기농_10월'!$A:$A,$E58),SUMIFS('RAW_유기농_11-12월'!$F:$F,'RAW_유기농_11-12월'!$D:$D,$C58,'RAW_유기농_11-12월'!$A:$A,$E58))))</f>
        <v/>
      </c>
      <c r="G58" s="7" t="str">
        <f>IF($C58="","",IF('설정'!$B$4=0,"",CHOOSE('설정'!$B$4,SUMIFS('RAW_유기농_7월'!$G:$G,'RAW_유기농_7월'!$D:$D,$C58,'RAW_유기농_7월'!$A:$A,$E58),SUMIFS('RAW_유기농_8월'!$G:$G,'RAW_유기농_8월'!$D:$D,$C58,'RAW_유기농_8월'!$A:$A,$E58),SUMIFS('RAW_유기농_9월'!$G:$G,'RAW_유기농_9월'!$D:$D,$C58,'RAW_유기농_9월'!$A:$A,$E58),SUMIFS('RAW_유기농_10월'!$G:$G,'RAW_유기농_10월'!$D:$D,$C58,'RAW_유기농_10월'!$A:$A,$E58),SUMIFS('RAW_유기농_11-12월'!$G:$G,'RAW_유기농_11-12월'!$D:$D,$C58,'RAW_유기농_11-12월'!$A:$A,$E58))))</f>
        <v/>
      </c>
      <c r="H58" s="7" t="str">
        <f>IF($C58="","",IF('설정'!$B$4=0,"",CHOOSE('설정'!$B$4,SUMIFS('RAW_유기농_7월'!$H:$H,'RAW_유기농_7월'!$D:$D,$C58,'RAW_유기농_7월'!$A:$A,$E58),SUMIFS('RAW_유기농_8월'!$H:$H,'RAW_유기농_8월'!$D:$D,$C58,'RAW_유기농_8월'!$A:$A,$E58),SUMIFS('RAW_유기농_9월'!$H:$H,'RAW_유기농_9월'!$D:$D,$C58,'RAW_유기농_9월'!$A:$A,$E58),SUMIFS('RAW_유기농_10월'!$H:$H,'RAW_유기농_10월'!$D:$D,$C58,'RAW_유기농_10월'!$A:$A,$E58),SUMIFS('RAW_유기농_11-12월'!$H:$H,'RAW_유기농_11-12월'!$D:$D,$C58,'RAW_유기농_11-12월'!$A:$A,$E58))))</f>
        <v/>
      </c>
      <c r="I58" s="17" t="str">
        <f>IF($C58="","",IF(COUNTIFS('RAW_유기농_7월'!$D:$D,$C58,'RAW_유기농_7월'!$A:$A,$E58)&gt;0,"O",""))</f>
        <v/>
      </c>
      <c r="J58" s="17" t="str">
        <f>IF($C58="","",IF(COUNTIFS('RAW_유기농_8월'!$D:$D,$C58,'RAW_유기농_8월'!$A:$A,$E58)&gt;0,"O",""))</f>
        <v/>
      </c>
      <c r="K58" s="17" t="str">
        <f>IF($C58="","",IF(COUNTIFS('RAW_유기농_9월'!$D:$D,$C58,'RAW_유기농_9월'!$A:$A,$E58)&gt;0,"O",""))</f>
        <v/>
      </c>
      <c r="L58" s="17" t="str">
        <f>IF($C58="","",IF(COUNTIFS('RAW_유기농_10월'!$D:$D,$C58,'RAW_유기농_10월'!$A:$A,$E58)&gt;0,"O",""))</f>
        <v/>
      </c>
      <c r="M58" s="17" t="str">
        <f>IF($C58="","",IF(COUNTIFS('RAW_유기농_11-12월'!$D:$D,$C58,'RAW_유기농_11-12월'!$A:$A,$E58)&gt;0,"O",""))</f>
        <v/>
      </c>
      <c r="N58" s="7" t="str">
        <f>IF($C58="","",IF(COUNTA('RAW_유기농_7월'!$A:$A)&lt;=1,"",SUMIFS('RAW_유기농_7월'!$H:$H,'RAW_유기농_7월'!$D:$D,$C58,'RAW_유기농_7월'!$A:$A,$E58)))</f>
        <v/>
      </c>
      <c r="O58" s="7" t="str">
        <f>IF($C58="","",IF(COUNTA('RAW_유기농_8월'!$A:$A)&lt;=1,"",SUMIFS('RAW_유기농_8월'!$H:$H,'RAW_유기농_8월'!$D:$D,$C58,'RAW_유기농_8월'!$A:$A,$E58)-SUMIFS('RAW_유기농_7월'!$H:$H,'RAW_유기농_7월'!$D:$D,$C58,'RAW_유기농_7월'!$A:$A,$E58)))</f>
        <v/>
      </c>
      <c r="P58" s="7" t="str">
        <f>IF($C58="","",IF(COUNTA('RAW_유기농_9월'!$A:$A)&lt;=1,"",SUMIFS('RAW_유기농_9월'!$H:$H,'RAW_유기농_9월'!$D:$D,$C58,'RAW_유기농_9월'!$A:$A,$E58)-SUMIFS('RAW_유기농_8월'!$H:$H,'RAW_유기농_8월'!$D:$D,$C58,'RAW_유기농_8월'!$A:$A,$E58)))</f>
        <v/>
      </c>
      <c r="Q58" s="7" t="str">
        <f>IF($C58="","",IF(COUNTA('RAW_유기농_10월'!$A:$A)&lt;=1,"",SUMIFS('RAW_유기농_10월'!$H:$H,'RAW_유기농_10월'!$D:$D,$C58,'RAW_유기농_10월'!$A:$A,$E58)-SUMIFS('RAW_유기농_9월'!$H:$H,'RAW_유기농_9월'!$D:$D,$C58,'RAW_유기농_9월'!$A:$A,$E58)))</f>
        <v/>
      </c>
      <c r="R58" s="7" t="str">
        <f>IF($C58="","",IF(COUNTA('RAW_유기농_11-12월'!$A:$A)&lt;=1,"",SUMIFS('RAW_유기농_11-12월'!$H:$H,'RAW_유기농_11-12월'!$D:$D,$C58,'RAW_유기농_11-12월'!$A:$A,$E58)-SUMIFS('RAW_유기농_10월'!$H:$H,'RAW_유기농_10월'!$D:$D,$C58,'RAW_유기농_10월'!$A:$A,$E58)))</f>
        <v/>
      </c>
      <c r="S58" s="17" t="str">
        <f t="shared" si="4"/>
        <v/>
      </c>
      <c r="T58" s="17" t="str">
        <f t="shared" si="5"/>
        <v/>
      </c>
      <c r="U58" s="7">
        <f>IF($C58="",0,IF('설정'!$B$4=0,0,CHOOSE('설정'!$B$4,COUNTIFS('RAW_유기농_7월'!$D:$D,$C58,'RAW_유기농_7월'!$A:$A,$E58),COUNTIFS('RAW_유기농_8월'!$D:$D,$C58,'RAW_유기농_8월'!$A:$A,$E58),COUNTIFS('RAW_유기농_9월'!$D:$D,$C58,'RAW_유기농_9월'!$A:$A,$E58),COUNTIFS('RAW_유기농_10월'!$D:$D,$C58,'RAW_유기농_10월'!$A:$A,$E58),COUNTIFS('RAW_유기농_11-12월'!$D:$D,$C58,'RAW_유기농_11-12월'!$A:$A,$E58))))</f>
        <v>0</v>
      </c>
    </row>
    <row r="59" ht="15.75" customHeight="1">
      <c r="A59" s="5"/>
      <c r="B59" s="5"/>
      <c r="C59" s="5"/>
      <c r="D59" s="6"/>
      <c r="E59" s="5"/>
      <c r="F59" s="7" t="str">
        <f>IF($C59="","",IF('설정'!$B$4=0,"",CHOOSE('설정'!$B$4,SUMIFS('RAW_유기농_7월'!$F:$F,'RAW_유기농_7월'!$D:$D,$C59,'RAW_유기농_7월'!$A:$A,$E59),SUMIFS('RAW_유기농_8월'!$F:$F,'RAW_유기농_8월'!$D:$D,$C59,'RAW_유기농_8월'!$A:$A,$E59),SUMIFS('RAW_유기농_9월'!$F:$F,'RAW_유기농_9월'!$D:$D,$C59,'RAW_유기농_9월'!$A:$A,$E59),SUMIFS('RAW_유기농_10월'!$F:$F,'RAW_유기농_10월'!$D:$D,$C59,'RAW_유기농_10월'!$A:$A,$E59),SUMIFS('RAW_유기농_11-12월'!$F:$F,'RAW_유기농_11-12월'!$D:$D,$C59,'RAW_유기농_11-12월'!$A:$A,$E59))))</f>
        <v/>
      </c>
      <c r="G59" s="7" t="str">
        <f>IF($C59="","",IF('설정'!$B$4=0,"",CHOOSE('설정'!$B$4,SUMIFS('RAW_유기농_7월'!$G:$G,'RAW_유기농_7월'!$D:$D,$C59,'RAW_유기농_7월'!$A:$A,$E59),SUMIFS('RAW_유기농_8월'!$G:$G,'RAW_유기농_8월'!$D:$D,$C59,'RAW_유기농_8월'!$A:$A,$E59),SUMIFS('RAW_유기농_9월'!$G:$G,'RAW_유기농_9월'!$D:$D,$C59,'RAW_유기농_9월'!$A:$A,$E59),SUMIFS('RAW_유기농_10월'!$G:$G,'RAW_유기농_10월'!$D:$D,$C59,'RAW_유기농_10월'!$A:$A,$E59),SUMIFS('RAW_유기농_11-12월'!$G:$G,'RAW_유기농_11-12월'!$D:$D,$C59,'RAW_유기농_11-12월'!$A:$A,$E59))))</f>
        <v/>
      </c>
      <c r="H59" s="7" t="str">
        <f>IF($C59="","",IF('설정'!$B$4=0,"",CHOOSE('설정'!$B$4,SUMIFS('RAW_유기농_7월'!$H:$H,'RAW_유기농_7월'!$D:$D,$C59,'RAW_유기농_7월'!$A:$A,$E59),SUMIFS('RAW_유기농_8월'!$H:$H,'RAW_유기농_8월'!$D:$D,$C59,'RAW_유기농_8월'!$A:$A,$E59),SUMIFS('RAW_유기농_9월'!$H:$H,'RAW_유기농_9월'!$D:$D,$C59,'RAW_유기농_9월'!$A:$A,$E59),SUMIFS('RAW_유기농_10월'!$H:$H,'RAW_유기농_10월'!$D:$D,$C59,'RAW_유기농_10월'!$A:$A,$E59),SUMIFS('RAW_유기농_11-12월'!$H:$H,'RAW_유기농_11-12월'!$D:$D,$C59,'RAW_유기농_11-12월'!$A:$A,$E59))))</f>
        <v/>
      </c>
      <c r="I59" s="17" t="str">
        <f>IF($C59="","",IF(COUNTIFS('RAW_유기농_7월'!$D:$D,$C59,'RAW_유기농_7월'!$A:$A,$E59)&gt;0,"O",""))</f>
        <v/>
      </c>
      <c r="J59" s="17" t="str">
        <f>IF($C59="","",IF(COUNTIFS('RAW_유기농_8월'!$D:$D,$C59,'RAW_유기농_8월'!$A:$A,$E59)&gt;0,"O",""))</f>
        <v/>
      </c>
      <c r="K59" s="17" t="str">
        <f>IF($C59="","",IF(COUNTIFS('RAW_유기농_9월'!$D:$D,$C59,'RAW_유기농_9월'!$A:$A,$E59)&gt;0,"O",""))</f>
        <v/>
      </c>
      <c r="L59" s="17" t="str">
        <f>IF($C59="","",IF(COUNTIFS('RAW_유기농_10월'!$D:$D,$C59,'RAW_유기농_10월'!$A:$A,$E59)&gt;0,"O",""))</f>
        <v/>
      </c>
      <c r="M59" s="17" t="str">
        <f>IF($C59="","",IF(COUNTIFS('RAW_유기농_11-12월'!$D:$D,$C59,'RAW_유기농_11-12월'!$A:$A,$E59)&gt;0,"O",""))</f>
        <v/>
      </c>
      <c r="N59" s="7" t="str">
        <f>IF($C59="","",IF(COUNTA('RAW_유기농_7월'!$A:$A)&lt;=1,"",SUMIFS('RAW_유기농_7월'!$H:$H,'RAW_유기농_7월'!$D:$D,$C59,'RAW_유기농_7월'!$A:$A,$E59)))</f>
        <v/>
      </c>
      <c r="O59" s="7" t="str">
        <f>IF($C59="","",IF(COUNTA('RAW_유기농_8월'!$A:$A)&lt;=1,"",SUMIFS('RAW_유기농_8월'!$H:$H,'RAW_유기농_8월'!$D:$D,$C59,'RAW_유기농_8월'!$A:$A,$E59)-SUMIFS('RAW_유기농_7월'!$H:$H,'RAW_유기농_7월'!$D:$D,$C59,'RAW_유기농_7월'!$A:$A,$E59)))</f>
        <v/>
      </c>
      <c r="P59" s="7" t="str">
        <f>IF($C59="","",IF(COUNTA('RAW_유기농_9월'!$A:$A)&lt;=1,"",SUMIFS('RAW_유기농_9월'!$H:$H,'RAW_유기농_9월'!$D:$D,$C59,'RAW_유기농_9월'!$A:$A,$E59)-SUMIFS('RAW_유기농_8월'!$H:$H,'RAW_유기농_8월'!$D:$D,$C59,'RAW_유기농_8월'!$A:$A,$E59)))</f>
        <v/>
      </c>
      <c r="Q59" s="7" t="str">
        <f>IF($C59="","",IF(COUNTA('RAW_유기농_10월'!$A:$A)&lt;=1,"",SUMIFS('RAW_유기농_10월'!$H:$H,'RAW_유기농_10월'!$D:$D,$C59,'RAW_유기농_10월'!$A:$A,$E59)-SUMIFS('RAW_유기농_9월'!$H:$H,'RAW_유기농_9월'!$D:$D,$C59,'RAW_유기농_9월'!$A:$A,$E59)))</f>
        <v/>
      </c>
      <c r="R59" s="7" t="str">
        <f>IF($C59="","",IF(COUNTA('RAW_유기농_11-12월'!$A:$A)&lt;=1,"",SUMIFS('RAW_유기농_11-12월'!$H:$H,'RAW_유기농_11-12월'!$D:$D,$C59,'RAW_유기농_11-12월'!$A:$A,$E59)-SUMIFS('RAW_유기농_10월'!$H:$H,'RAW_유기농_10월'!$D:$D,$C59,'RAW_유기농_10월'!$A:$A,$E59)))</f>
        <v/>
      </c>
      <c r="S59" s="17" t="str">
        <f t="shared" si="4"/>
        <v/>
      </c>
      <c r="T59" s="17" t="str">
        <f t="shared" si="5"/>
        <v/>
      </c>
      <c r="U59" s="7">
        <f>IF($C59="",0,IF('설정'!$B$4=0,0,CHOOSE('설정'!$B$4,COUNTIFS('RAW_유기농_7월'!$D:$D,$C59,'RAW_유기농_7월'!$A:$A,$E59),COUNTIFS('RAW_유기농_8월'!$D:$D,$C59,'RAW_유기농_8월'!$A:$A,$E59),COUNTIFS('RAW_유기농_9월'!$D:$D,$C59,'RAW_유기농_9월'!$A:$A,$E59),COUNTIFS('RAW_유기농_10월'!$D:$D,$C59,'RAW_유기농_10월'!$A:$A,$E59),COUNTIFS('RAW_유기농_11-12월'!$D:$D,$C59,'RAW_유기농_11-12월'!$A:$A,$E59))))</f>
        <v>0</v>
      </c>
    </row>
    <row r="60" ht="15.75" customHeight="1">
      <c r="A60" s="5"/>
      <c r="B60" s="5"/>
      <c r="C60" s="5"/>
      <c r="D60" s="6"/>
      <c r="E60" s="5"/>
      <c r="F60" s="7" t="str">
        <f>IF($C60="","",IF('설정'!$B$4=0,"",CHOOSE('설정'!$B$4,SUMIFS('RAW_유기농_7월'!$F:$F,'RAW_유기농_7월'!$D:$D,$C60,'RAW_유기농_7월'!$A:$A,$E60),SUMIFS('RAW_유기농_8월'!$F:$F,'RAW_유기농_8월'!$D:$D,$C60,'RAW_유기농_8월'!$A:$A,$E60),SUMIFS('RAW_유기농_9월'!$F:$F,'RAW_유기농_9월'!$D:$D,$C60,'RAW_유기농_9월'!$A:$A,$E60),SUMIFS('RAW_유기농_10월'!$F:$F,'RAW_유기농_10월'!$D:$D,$C60,'RAW_유기농_10월'!$A:$A,$E60),SUMIFS('RAW_유기농_11-12월'!$F:$F,'RAW_유기농_11-12월'!$D:$D,$C60,'RAW_유기농_11-12월'!$A:$A,$E60))))</f>
        <v/>
      </c>
      <c r="G60" s="7" t="str">
        <f>IF($C60="","",IF('설정'!$B$4=0,"",CHOOSE('설정'!$B$4,SUMIFS('RAW_유기농_7월'!$G:$G,'RAW_유기농_7월'!$D:$D,$C60,'RAW_유기농_7월'!$A:$A,$E60),SUMIFS('RAW_유기농_8월'!$G:$G,'RAW_유기농_8월'!$D:$D,$C60,'RAW_유기농_8월'!$A:$A,$E60),SUMIFS('RAW_유기농_9월'!$G:$G,'RAW_유기농_9월'!$D:$D,$C60,'RAW_유기농_9월'!$A:$A,$E60),SUMIFS('RAW_유기농_10월'!$G:$G,'RAW_유기농_10월'!$D:$D,$C60,'RAW_유기농_10월'!$A:$A,$E60),SUMIFS('RAW_유기농_11-12월'!$G:$G,'RAW_유기농_11-12월'!$D:$D,$C60,'RAW_유기농_11-12월'!$A:$A,$E60))))</f>
        <v/>
      </c>
      <c r="H60" s="7" t="str">
        <f>IF($C60="","",IF('설정'!$B$4=0,"",CHOOSE('설정'!$B$4,SUMIFS('RAW_유기농_7월'!$H:$H,'RAW_유기농_7월'!$D:$D,$C60,'RAW_유기농_7월'!$A:$A,$E60),SUMIFS('RAW_유기농_8월'!$H:$H,'RAW_유기농_8월'!$D:$D,$C60,'RAW_유기농_8월'!$A:$A,$E60),SUMIFS('RAW_유기농_9월'!$H:$H,'RAW_유기농_9월'!$D:$D,$C60,'RAW_유기농_9월'!$A:$A,$E60),SUMIFS('RAW_유기농_10월'!$H:$H,'RAW_유기농_10월'!$D:$D,$C60,'RAW_유기농_10월'!$A:$A,$E60),SUMIFS('RAW_유기농_11-12월'!$H:$H,'RAW_유기농_11-12월'!$D:$D,$C60,'RAW_유기농_11-12월'!$A:$A,$E60))))</f>
        <v/>
      </c>
      <c r="I60" s="17" t="str">
        <f>IF($C60="","",IF(COUNTIFS('RAW_유기농_7월'!$D:$D,$C60,'RAW_유기농_7월'!$A:$A,$E60)&gt;0,"O",""))</f>
        <v/>
      </c>
      <c r="J60" s="17" t="str">
        <f>IF($C60="","",IF(COUNTIFS('RAW_유기농_8월'!$D:$D,$C60,'RAW_유기농_8월'!$A:$A,$E60)&gt;0,"O",""))</f>
        <v/>
      </c>
      <c r="K60" s="17" t="str">
        <f>IF($C60="","",IF(COUNTIFS('RAW_유기농_9월'!$D:$D,$C60,'RAW_유기농_9월'!$A:$A,$E60)&gt;0,"O",""))</f>
        <v/>
      </c>
      <c r="L60" s="17" t="str">
        <f>IF($C60="","",IF(COUNTIFS('RAW_유기농_10월'!$D:$D,$C60,'RAW_유기농_10월'!$A:$A,$E60)&gt;0,"O",""))</f>
        <v/>
      </c>
      <c r="M60" s="17" t="str">
        <f>IF($C60="","",IF(COUNTIFS('RAW_유기농_11-12월'!$D:$D,$C60,'RAW_유기농_11-12월'!$A:$A,$E60)&gt;0,"O",""))</f>
        <v/>
      </c>
      <c r="N60" s="7" t="str">
        <f>IF($C60="","",IF(COUNTA('RAW_유기농_7월'!$A:$A)&lt;=1,"",SUMIFS('RAW_유기농_7월'!$H:$H,'RAW_유기농_7월'!$D:$D,$C60,'RAW_유기농_7월'!$A:$A,$E60)))</f>
        <v/>
      </c>
      <c r="O60" s="7" t="str">
        <f>IF($C60="","",IF(COUNTA('RAW_유기농_8월'!$A:$A)&lt;=1,"",SUMIFS('RAW_유기농_8월'!$H:$H,'RAW_유기농_8월'!$D:$D,$C60,'RAW_유기농_8월'!$A:$A,$E60)-SUMIFS('RAW_유기농_7월'!$H:$H,'RAW_유기농_7월'!$D:$D,$C60,'RAW_유기농_7월'!$A:$A,$E60)))</f>
        <v/>
      </c>
      <c r="P60" s="7" t="str">
        <f>IF($C60="","",IF(COUNTA('RAW_유기농_9월'!$A:$A)&lt;=1,"",SUMIFS('RAW_유기농_9월'!$H:$H,'RAW_유기농_9월'!$D:$D,$C60,'RAW_유기농_9월'!$A:$A,$E60)-SUMIFS('RAW_유기농_8월'!$H:$H,'RAW_유기농_8월'!$D:$D,$C60,'RAW_유기농_8월'!$A:$A,$E60)))</f>
        <v/>
      </c>
      <c r="Q60" s="7" t="str">
        <f>IF($C60="","",IF(COUNTA('RAW_유기농_10월'!$A:$A)&lt;=1,"",SUMIFS('RAW_유기농_10월'!$H:$H,'RAW_유기농_10월'!$D:$D,$C60,'RAW_유기농_10월'!$A:$A,$E60)-SUMIFS('RAW_유기농_9월'!$H:$H,'RAW_유기농_9월'!$D:$D,$C60,'RAW_유기농_9월'!$A:$A,$E60)))</f>
        <v/>
      </c>
      <c r="R60" s="7" t="str">
        <f>IF($C60="","",IF(COUNTA('RAW_유기농_11-12월'!$A:$A)&lt;=1,"",SUMIFS('RAW_유기농_11-12월'!$H:$H,'RAW_유기농_11-12월'!$D:$D,$C60,'RAW_유기농_11-12월'!$A:$A,$E60)-SUMIFS('RAW_유기농_10월'!$H:$H,'RAW_유기농_10월'!$D:$D,$C60,'RAW_유기농_10월'!$A:$A,$E60)))</f>
        <v/>
      </c>
      <c r="S60" s="17" t="str">
        <f t="shared" si="4"/>
        <v/>
      </c>
      <c r="T60" s="17" t="str">
        <f t="shared" si="5"/>
        <v/>
      </c>
      <c r="U60" s="7">
        <f>IF($C60="",0,IF('설정'!$B$4=0,0,CHOOSE('설정'!$B$4,COUNTIFS('RAW_유기농_7월'!$D:$D,$C60,'RAW_유기농_7월'!$A:$A,$E60),COUNTIFS('RAW_유기농_8월'!$D:$D,$C60,'RAW_유기농_8월'!$A:$A,$E60),COUNTIFS('RAW_유기농_9월'!$D:$D,$C60,'RAW_유기농_9월'!$A:$A,$E60),COUNTIFS('RAW_유기농_10월'!$D:$D,$C60,'RAW_유기농_10월'!$A:$A,$E60),COUNTIFS('RAW_유기농_11-12월'!$D:$D,$C60,'RAW_유기농_11-12월'!$A:$A,$E60))))</f>
        <v>0</v>
      </c>
    </row>
    <row r="61" ht="15.75" customHeight="1">
      <c r="A61" s="5"/>
      <c r="B61" s="5"/>
      <c r="C61" s="5"/>
      <c r="D61" s="6"/>
      <c r="E61" s="5"/>
      <c r="F61" s="7" t="str">
        <f>IF($C61="","",IF('설정'!$B$4=0,"",CHOOSE('설정'!$B$4,SUMIFS('RAW_유기농_7월'!$F:$F,'RAW_유기농_7월'!$D:$D,$C61,'RAW_유기농_7월'!$A:$A,$E61),SUMIFS('RAW_유기농_8월'!$F:$F,'RAW_유기농_8월'!$D:$D,$C61,'RAW_유기농_8월'!$A:$A,$E61),SUMIFS('RAW_유기농_9월'!$F:$F,'RAW_유기농_9월'!$D:$D,$C61,'RAW_유기농_9월'!$A:$A,$E61),SUMIFS('RAW_유기농_10월'!$F:$F,'RAW_유기농_10월'!$D:$D,$C61,'RAW_유기농_10월'!$A:$A,$E61),SUMIFS('RAW_유기농_11-12월'!$F:$F,'RAW_유기농_11-12월'!$D:$D,$C61,'RAW_유기농_11-12월'!$A:$A,$E61))))</f>
        <v/>
      </c>
      <c r="G61" s="7" t="str">
        <f>IF($C61="","",IF('설정'!$B$4=0,"",CHOOSE('설정'!$B$4,SUMIFS('RAW_유기농_7월'!$G:$G,'RAW_유기농_7월'!$D:$D,$C61,'RAW_유기농_7월'!$A:$A,$E61),SUMIFS('RAW_유기농_8월'!$G:$G,'RAW_유기농_8월'!$D:$D,$C61,'RAW_유기농_8월'!$A:$A,$E61),SUMIFS('RAW_유기농_9월'!$G:$G,'RAW_유기농_9월'!$D:$D,$C61,'RAW_유기농_9월'!$A:$A,$E61),SUMIFS('RAW_유기농_10월'!$G:$G,'RAW_유기농_10월'!$D:$D,$C61,'RAW_유기농_10월'!$A:$A,$E61),SUMIFS('RAW_유기농_11-12월'!$G:$G,'RAW_유기농_11-12월'!$D:$D,$C61,'RAW_유기농_11-12월'!$A:$A,$E61))))</f>
        <v/>
      </c>
      <c r="H61" s="7" t="str">
        <f>IF($C61="","",IF('설정'!$B$4=0,"",CHOOSE('설정'!$B$4,SUMIFS('RAW_유기농_7월'!$H:$H,'RAW_유기농_7월'!$D:$D,$C61,'RAW_유기농_7월'!$A:$A,$E61),SUMIFS('RAW_유기농_8월'!$H:$H,'RAW_유기농_8월'!$D:$D,$C61,'RAW_유기농_8월'!$A:$A,$E61),SUMIFS('RAW_유기농_9월'!$H:$H,'RAW_유기농_9월'!$D:$D,$C61,'RAW_유기농_9월'!$A:$A,$E61),SUMIFS('RAW_유기농_10월'!$H:$H,'RAW_유기농_10월'!$D:$D,$C61,'RAW_유기농_10월'!$A:$A,$E61),SUMIFS('RAW_유기농_11-12월'!$H:$H,'RAW_유기농_11-12월'!$D:$D,$C61,'RAW_유기농_11-12월'!$A:$A,$E61))))</f>
        <v/>
      </c>
      <c r="I61" s="17" t="str">
        <f>IF($C61="","",IF(COUNTIFS('RAW_유기농_7월'!$D:$D,$C61,'RAW_유기농_7월'!$A:$A,$E61)&gt;0,"O",""))</f>
        <v/>
      </c>
      <c r="J61" s="17" t="str">
        <f>IF($C61="","",IF(COUNTIFS('RAW_유기농_8월'!$D:$D,$C61,'RAW_유기농_8월'!$A:$A,$E61)&gt;0,"O",""))</f>
        <v/>
      </c>
      <c r="K61" s="17" t="str">
        <f>IF($C61="","",IF(COUNTIFS('RAW_유기농_9월'!$D:$D,$C61,'RAW_유기농_9월'!$A:$A,$E61)&gt;0,"O",""))</f>
        <v/>
      </c>
      <c r="L61" s="17" t="str">
        <f>IF($C61="","",IF(COUNTIFS('RAW_유기농_10월'!$D:$D,$C61,'RAW_유기농_10월'!$A:$A,$E61)&gt;0,"O",""))</f>
        <v/>
      </c>
      <c r="M61" s="17" t="str">
        <f>IF($C61="","",IF(COUNTIFS('RAW_유기농_11-12월'!$D:$D,$C61,'RAW_유기농_11-12월'!$A:$A,$E61)&gt;0,"O",""))</f>
        <v/>
      </c>
      <c r="N61" s="7" t="str">
        <f>IF($C61="","",IF(COUNTA('RAW_유기농_7월'!$A:$A)&lt;=1,"",SUMIFS('RAW_유기농_7월'!$H:$H,'RAW_유기농_7월'!$D:$D,$C61,'RAW_유기농_7월'!$A:$A,$E61)))</f>
        <v/>
      </c>
      <c r="O61" s="7" t="str">
        <f>IF($C61="","",IF(COUNTA('RAW_유기농_8월'!$A:$A)&lt;=1,"",SUMIFS('RAW_유기농_8월'!$H:$H,'RAW_유기농_8월'!$D:$D,$C61,'RAW_유기농_8월'!$A:$A,$E61)-SUMIFS('RAW_유기농_7월'!$H:$H,'RAW_유기농_7월'!$D:$D,$C61,'RAW_유기농_7월'!$A:$A,$E61)))</f>
        <v/>
      </c>
      <c r="P61" s="7" t="str">
        <f>IF($C61="","",IF(COUNTA('RAW_유기농_9월'!$A:$A)&lt;=1,"",SUMIFS('RAW_유기농_9월'!$H:$H,'RAW_유기농_9월'!$D:$D,$C61,'RAW_유기농_9월'!$A:$A,$E61)-SUMIFS('RAW_유기농_8월'!$H:$H,'RAW_유기농_8월'!$D:$D,$C61,'RAW_유기농_8월'!$A:$A,$E61)))</f>
        <v/>
      </c>
      <c r="Q61" s="7" t="str">
        <f>IF($C61="","",IF(COUNTA('RAW_유기농_10월'!$A:$A)&lt;=1,"",SUMIFS('RAW_유기농_10월'!$H:$H,'RAW_유기농_10월'!$D:$D,$C61,'RAW_유기농_10월'!$A:$A,$E61)-SUMIFS('RAW_유기농_9월'!$H:$H,'RAW_유기농_9월'!$D:$D,$C61,'RAW_유기농_9월'!$A:$A,$E61)))</f>
        <v/>
      </c>
      <c r="R61" s="7" t="str">
        <f>IF($C61="","",IF(COUNTA('RAW_유기농_11-12월'!$A:$A)&lt;=1,"",SUMIFS('RAW_유기농_11-12월'!$H:$H,'RAW_유기농_11-12월'!$D:$D,$C61,'RAW_유기농_11-12월'!$A:$A,$E61)-SUMIFS('RAW_유기농_10월'!$H:$H,'RAW_유기농_10월'!$D:$D,$C61,'RAW_유기농_10월'!$A:$A,$E61)))</f>
        <v/>
      </c>
      <c r="S61" s="17" t="str">
        <f t="shared" si="4"/>
        <v/>
      </c>
      <c r="T61" s="17" t="str">
        <f t="shared" si="5"/>
        <v/>
      </c>
      <c r="U61" s="7">
        <f>IF($C61="",0,IF('설정'!$B$4=0,0,CHOOSE('설정'!$B$4,COUNTIFS('RAW_유기농_7월'!$D:$D,$C61,'RAW_유기농_7월'!$A:$A,$E61),COUNTIFS('RAW_유기농_8월'!$D:$D,$C61,'RAW_유기농_8월'!$A:$A,$E61),COUNTIFS('RAW_유기농_9월'!$D:$D,$C61,'RAW_유기농_9월'!$A:$A,$E61),COUNTIFS('RAW_유기농_10월'!$D:$D,$C61,'RAW_유기농_10월'!$A:$A,$E61),COUNTIFS('RAW_유기농_11-12월'!$D:$D,$C61,'RAW_유기농_11-12월'!$A:$A,$E61))))</f>
        <v>0</v>
      </c>
    </row>
    <row r="62" ht="15.75" customHeight="1">
      <c r="A62" s="5"/>
      <c r="B62" s="5"/>
      <c r="C62" s="5"/>
      <c r="D62" s="6"/>
      <c r="E62" s="5"/>
      <c r="F62" s="7" t="str">
        <f>IF($C62="","",IF('설정'!$B$4=0,"",CHOOSE('설정'!$B$4,SUMIFS('RAW_유기농_7월'!$F:$F,'RAW_유기농_7월'!$D:$D,$C62,'RAW_유기농_7월'!$A:$A,$E62),SUMIFS('RAW_유기농_8월'!$F:$F,'RAW_유기농_8월'!$D:$D,$C62,'RAW_유기농_8월'!$A:$A,$E62),SUMIFS('RAW_유기농_9월'!$F:$F,'RAW_유기농_9월'!$D:$D,$C62,'RAW_유기농_9월'!$A:$A,$E62),SUMIFS('RAW_유기농_10월'!$F:$F,'RAW_유기농_10월'!$D:$D,$C62,'RAW_유기농_10월'!$A:$A,$E62),SUMIFS('RAW_유기농_11-12월'!$F:$F,'RAW_유기농_11-12월'!$D:$D,$C62,'RAW_유기농_11-12월'!$A:$A,$E62))))</f>
        <v/>
      </c>
      <c r="G62" s="7" t="str">
        <f>IF($C62="","",IF('설정'!$B$4=0,"",CHOOSE('설정'!$B$4,SUMIFS('RAW_유기농_7월'!$G:$G,'RAW_유기농_7월'!$D:$D,$C62,'RAW_유기농_7월'!$A:$A,$E62),SUMIFS('RAW_유기농_8월'!$G:$G,'RAW_유기농_8월'!$D:$D,$C62,'RAW_유기농_8월'!$A:$A,$E62),SUMIFS('RAW_유기농_9월'!$G:$G,'RAW_유기농_9월'!$D:$D,$C62,'RAW_유기농_9월'!$A:$A,$E62),SUMIFS('RAW_유기농_10월'!$G:$G,'RAW_유기농_10월'!$D:$D,$C62,'RAW_유기농_10월'!$A:$A,$E62),SUMIFS('RAW_유기농_11-12월'!$G:$G,'RAW_유기농_11-12월'!$D:$D,$C62,'RAW_유기농_11-12월'!$A:$A,$E62))))</f>
        <v/>
      </c>
      <c r="H62" s="7" t="str">
        <f>IF($C62="","",IF('설정'!$B$4=0,"",CHOOSE('설정'!$B$4,SUMIFS('RAW_유기농_7월'!$H:$H,'RAW_유기농_7월'!$D:$D,$C62,'RAW_유기농_7월'!$A:$A,$E62),SUMIFS('RAW_유기농_8월'!$H:$H,'RAW_유기농_8월'!$D:$D,$C62,'RAW_유기농_8월'!$A:$A,$E62),SUMIFS('RAW_유기농_9월'!$H:$H,'RAW_유기농_9월'!$D:$D,$C62,'RAW_유기농_9월'!$A:$A,$E62),SUMIFS('RAW_유기농_10월'!$H:$H,'RAW_유기농_10월'!$D:$D,$C62,'RAW_유기농_10월'!$A:$A,$E62),SUMIFS('RAW_유기농_11-12월'!$H:$H,'RAW_유기농_11-12월'!$D:$D,$C62,'RAW_유기농_11-12월'!$A:$A,$E62))))</f>
        <v/>
      </c>
      <c r="I62" s="17" t="str">
        <f>IF($C62="","",IF(COUNTIFS('RAW_유기농_7월'!$D:$D,$C62,'RAW_유기농_7월'!$A:$A,$E62)&gt;0,"O",""))</f>
        <v/>
      </c>
      <c r="J62" s="17" t="str">
        <f>IF($C62="","",IF(COUNTIFS('RAW_유기농_8월'!$D:$D,$C62,'RAW_유기농_8월'!$A:$A,$E62)&gt;0,"O",""))</f>
        <v/>
      </c>
      <c r="K62" s="17" t="str">
        <f>IF($C62="","",IF(COUNTIFS('RAW_유기농_9월'!$D:$D,$C62,'RAW_유기농_9월'!$A:$A,$E62)&gt;0,"O",""))</f>
        <v/>
      </c>
      <c r="L62" s="17" t="str">
        <f>IF($C62="","",IF(COUNTIFS('RAW_유기농_10월'!$D:$D,$C62,'RAW_유기농_10월'!$A:$A,$E62)&gt;0,"O",""))</f>
        <v/>
      </c>
      <c r="M62" s="17" t="str">
        <f>IF($C62="","",IF(COUNTIFS('RAW_유기농_11-12월'!$D:$D,$C62,'RAW_유기농_11-12월'!$A:$A,$E62)&gt;0,"O",""))</f>
        <v/>
      </c>
      <c r="N62" s="7" t="str">
        <f>IF($C62="","",IF(COUNTA('RAW_유기농_7월'!$A:$A)&lt;=1,"",SUMIFS('RAW_유기농_7월'!$H:$H,'RAW_유기농_7월'!$D:$D,$C62,'RAW_유기농_7월'!$A:$A,$E62)))</f>
        <v/>
      </c>
      <c r="O62" s="7" t="str">
        <f>IF($C62="","",IF(COUNTA('RAW_유기농_8월'!$A:$A)&lt;=1,"",SUMIFS('RAW_유기농_8월'!$H:$H,'RAW_유기농_8월'!$D:$D,$C62,'RAW_유기농_8월'!$A:$A,$E62)-SUMIFS('RAW_유기농_7월'!$H:$H,'RAW_유기농_7월'!$D:$D,$C62,'RAW_유기농_7월'!$A:$A,$E62)))</f>
        <v/>
      </c>
      <c r="P62" s="7" t="str">
        <f>IF($C62="","",IF(COUNTA('RAW_유기농_9월'!$A:$A)&lt;=1,"",SUMIFS('RAW_유기농_9월'!$H:$H,'RAW_유기농_9월'!$D:$D,$C62,'RAW_유기농_9월'!$A:$A,$E62)-SUMIFS('RAW_유기농_8월'!$H:$H,'RAW_유기농_8월'!$D:$D,$C62,'RAW_유기농_8월'!$A:$A,$E62)))</f>
        <v/>
      </c>
      <c r="Q62" s="7" t="str">
        <f>IF($C62="","",IF(COUNTA('RAW_유기농_10월'!$A:$A)&lt;=1,"",SUMIFS('RAW_유기농_10월'!$H:$H,'RAW_유기농_10월'!$D:$D,$C62,'RAW_유기농_10월'!$A:$A,$E62)-SUMIFS('RAW_유기농_9월'!$H:$H,'RAW_유기농_9월'!$D:$D,$C62,'RAW_유기농_9월'!$A:$A,$E62)))</f>
        <v/>
      </c>
      <c r="R62" s="7" t="str">
        <f>IF($C62="","",IF(COUNTA('RAW_유기농_11-12월'!$A:$A)&lt;=1,"",SUMIFS('RAW_유기농_11-12월'!$H:$H,'RAW_유기농_11-12월'!$D:$D,$C62,'RAW_유기농_11-12월'!$A:$A,$E62)-SUMIFS('RAW_유기농_10월'!$H:$H,'RAW_유기농_10월'!$D:$D,$C62,'RAW_유기농_10월'!$A:$A,$E62)))</f>
        <v/>
      </c>
      <c r="S62" s="17" t="str">
        <f t="shared" si="4"/>
        <v/>
      </c>
      <c r="T62" s="17" t="str">
        <f t="shared" si="5"/>
        <v/>
      </c>
      <c r="U62" s="7">
        <f>IF($C62="",0,IF('설정'!$B$4=0,0,CHOOSE('설정'!$B$4,COUNTIFS('RAW_유기농_7월'!$D:$D,$C62,'RAW_유기농_7월'!$A:$A,$E62),COUNTIFS('RAW_유기농_8월'!$D:$D,$C62,'RAW_유기농_8월'!$A:$A,$E62),COUNTIFS('RAW_유기농_9월'!$D:$D,$C62,'RAW_유기농_9월'!$A:$A,$E62),COUNTIFS('RAW_유기농_10월'!$D:$D,$C62,'RAW_유기농_10월'!$A:$A,$E62),COUNTIFS('RAW_유기농_11-12월'!$D:$D,$C62,'RAW_유기농_11-12월'!$A:$A,$E62))))</f>
        <v>0</v>
      </c>
    </row>
    <row r="63" ht="15.75" customHeight="1">
      <c r="A63" s="5"/>
      <c r="B63" s="5"/>
      <c r="C63" s="5"/>
      <c r="D63" s="6"/>
      <c r="E63" s="5"/>
      <c r="F63" s="7" t="str">
        <f>IF($C63="","",IF('설정'!$B$4=0,"",CHOOSE('설정'!$B$4,SUMIFS('RAW_유기농_7월'!$F:$F,'RAW_유기농_7월'!$D:$D,$C63,'RAW_유기농_7월'!$A:$A,$E63),SUMIFS('RAW_유기농_8월'!$F:$F,'RAW_유기농_8월'!$D:$D,$C63,'RAW_유기농_8월'!$A:$A,$E63),SUMIFS('RAW_유기농_9월'!$F:$F,'RAW_유기농_9월'!$D:$D,$C63,'RAW_유기농_9월'!$A:$A,$E63),SUMIFS('RAW_유기농_10월'!$F:$F,'RAW_유기농_10월'!$D:$D,$C63,'RAW_유기농_10월'!$A:$A,$E63),SUMIFS('RAW_유기농_11-12월'!$F:$F,'RAW_유기농_11-12월'!$D:$D,$C63,'RAW_유기농_11-12월'!$A:$A,$E63))))</f>
        <v/>
      </c>
      <c r="G63" s="7" t="str">
        <f>IF($C63="","",IF('설정'!$B$4=0,"",CHOOSE('설정'!$B$4,SUMIFS('RAW_유기농_7월'!$G:$G,'RAW_유기농_7월'!$D:$D,$C63,'RAW_유기농_7월'!$A:$A,$E63),SUMIFS('RAW_유기농_8월'!$G:$G,'RAW_유기농_8월'!$D:$D,$C63,'RAW_유기농_8월'!$A:$A,$E63),SUMIFS('RAW_유기농_9월'!$G:$G,'RAW_유기농_9월'!$D:$D,$C63,'RAW_유기농_9월'!$A:$A,$E63),SUMIFS('RAW_유기농_10월'!$G:$G,'RAW_유기농_10월'!$D:$D,$C63,'RAW_유기농_10월'!$A:$A,$E63),SUMIFS('RAW_유기농_11-12월'!$G:$G,'RAW_유기농_11-12월'!$D:$D,$C63,'RAW_유기농_11-12월'!$A:$A,$E63))))</f>
        <v/>
      </c>
      <c r="H63" s="7" t="str">
        <f>IF($C63="","",IF('설정'!$B$4=0,"",CHOOSE('설정'!$B$4,SUMIFS('RAW_유기농_7월'!$H:$H,'RAW_유기농_7월'!$D:$D,$C63,'RAW_유기농_7월'!$A:$A,$E63),SUMIFS('RAW_유기농_8월'!$H:$H,'RAW_유기농_8월'!$D:$D,$C63,'RAW_유기농_8월'!$A:$A,$E63),SUMIFS('RAW_유기농_9월'!$H:$H,'RAW_유기농_9월'!$D:$D,$C63,'RAW_유기농_9월'!$A:$A,$E63),SUMIFS('RAW_유기농_10월'!$H:$H,'RAW_유기농_10월'!$D:$D,$C63,'RAW_유기농_10월'!$A:$A,$E63),SUMIFS('RAW_유기농_11-12월'!$H:$H,'RAW_유기농_11-12월'!$D:$D,$C63,'RAW_유기농_11-12월'!$A:$A,$E63))))</f>
        <v/>
      </c>
      <c r="I63" s="17" t="str">
        <f>IF($C63="","",IF(COUNTIFS('RAW_유기농_7월'!$D:$D,$C63,'RAW_유기농_7월'!$A:$A,$E63)&gt;0,"O",""))</f>
        <v/>
      </c>
      <c r="J63" s="17" t="str">
        <f>IF($C63="","",IF(COUNTIFS('RAW_유기농_8월'!$D:$D,$C63,'RAW_유기농_8월'!$A:$A,$E63)&gt;0,"O",""))</f>
        <v/>
      </c>
      <c r="K63" s="17" t="str">
        <f>IF($C63="","",IF(COUNTIFS('RAW_유기농_9월'!$D:$D,$C63,'RAW_유기농_9월'!$A:$A,$E63)&gt;0,"O",""))</f>
        <v/>
      </c>
      <c r="L63" s="17" t="str">
        <f>IF($C63="","",IF(COUNTIFS('RAW_유기농_10월'!$D:$D,$C63,'RAW_유기농_10월'!$A:$A,$E63)&gt;0,"O",""))</f>
        <v/>
      </c>
      <c r="M63" s="17" t="str">
        <f>IF($C63="","",IF(COUNTIFS('RAW_유기농_11-12월'!$D:$D,$C63,'RAW_유기농_11-12월'!$A:$A,$E63)&gt;0,"O",""))</f>
        <v/>
      </c>
      <c r="N63" s="7" t="str">
        <f>IF($C63="","",IF(COUNTA('RAW_유기농_7월'!$A:$A)&lt;=1,"",SUMIFS('RAW_유기농_7월'!$H:$H,'RAW_유기농_7월'!$D:$D,$C63,'RAW_유기농_7월'!$A:$A,$E63)))</f>
        <v/>
      </c>
      <c r="O63" s="7" t="str">
        <f>IF($C63="","",IF(COUNTA('RAW_유기농_8월'!$A:$A)&lt;=1,"",SUMIFS('RAW_유기농_8월'!$H:$H,'RAW_유기농_8월'!$D:$D,$C63,'RAW_유기농_8월'!$A:$A,$E63)-SUMIFS('RAW_유기농_7월'!$H:$H,'RAW_유기농_7월'!$D:$D,$C63,'RAW_유기농_7월'!$A:$A,$E63)))</f>
        <v/>
      </c>
      <c r="P63" s="7" t="str">
        <f>IF($C63="","",IF(COUNTA('RAW_유기농_9월'!$A:$A)&lt;=1,"",SUMIFS('RAW_유기농_9월'!$H:$H,'RAW_유기농_9월'!$D:$D,$C63,'RAW_유기농_9월'!$A:$A,$E63)-SUMIFS('RAW_유기농_8월'!$H:$H,'RAW_유기농_8월'!$D:$D,$C63,'RAW_유기농_8월'!$A:$A,$E63)))</f>
        <v/>
      </c>
      <c r="Q63" s="7" t="str">
        <f>IF($C63="","",IF(COUNTA('RAW_유기농_10월'!$A:$A)&lt;=1,"",SUMIFS('RAW_유기농_10월'!$H:$H,'RAW_유기농_10월'!$D:$D,$C63,'RAW_유기농_10월'!$A:$A,$E63)-SUMIFS('RAW_유기농_9월'!$H:$H,'RAW_유기농_9월'!$D:$D,$C63,'RAW_유기농_9월'!$A:$A,$E63)))</f>
        <v/>
      </c>
      <c r="R63" s="7" t="str">
        <f>IF($C63="","",IF(COUNTA('RAW_유기농_11-12월'!$A:$A)&lt;=1,"",SUMIFS('RAW_유기농_11-12월'!$H:$H,'RAW_유기농_11-12월'!$D:$D,$C63,'RAW_유기농_11-12월'!$A:$A,$E63)-SUMIFS('RAW_유기농_10월'!$H:$H,'RAW_유기농_10월'!$D:$D,$C63,'RAW_유기농_10월'!$A:$A,$E63)))</f>
        <v/>
      </c>
      <c r="S63" s="17" t="str">
        <f t="shared" si="4"/>
        <v/>
      </c>
      <c r="T63" s="17" t="str">
        <f t="shared" si="5"/>
        <v/>
      </c>
      <c r="U63" s="7">
        <f>IF($C63="",0,IF('설정'!$B$4=0,0,CHOOSE('설정'!$B$4,COUNTIFS('RAW_유기농_7월'!$D:$D,$C63,'RAW_유기농_7월'!$A:$A,$E63),COUNTIFS('RAW_유기농_8월'!$D:$D,$C63,'RAW_유기농_8월'!$A:$A,$E63),COUNTIFS('RAW_유기농_9월'!$D:$D,$C63,'RAW_유기농_9월'!$A:$A,$E63),COUNTIFS('RAW_유기농_10월'!$D:$D,$C63,'RAW_유기농_10월'!$A:$A,$E63),COUNTIFS('RAW_유기농_11-12월'!$D:$D,$C63,'RAW_유기농_11-12월'!$A:$A,$E63))))</f>
        <v>0</v>
      </c>
    </row>
    <row r="64" ht="15.75" customHeight="1">
      <c r="A64" s="5"/>
      <c r="B64" s="5"/>
      <c r="C64" s="5"/>
      <c r="D64" s="6"/>
      <c r="E64" s="5"/>
      <c r="F64" s="7" t="str">
        <f>IF($C64="","",IF('설정'!$B$4=0,"",CHOOSE('설정'!$B$4,SUMIFS('RAW_유기농_7월'!$F:$F,'RAW_유기농_7월'!$D:$D,$C64,'RAW_유기농_7월'!$A:$A,$E64),SUMIFS('RAW_유기농_8월'!$F:$F,'RAW_유기농_8월'!$D:$D,$C64,'RAW_유기농_8월'!$A:$A,$E64),SUMIFS('RAW_유기농_9월'!$F:$F,'RAW_유기농_9월'!$D:$D,$C64,'RAW_유기농_9월'!$A:$A,$E64),SUMIFS('RAW_유기농_10월'!$F:$F,'RAW_유기농_10월'!$D:$D,$C64,'RAW_유기농_10월'!$A:$A,$E64),SUMIFS('RAW_유기농_11-12월'!$F:$F,'RAW_유기농_11-12월'!$D:$D,$C64,'RAW_유기농_11-12월'!$A:$A,$E64))))</f>
        <v/>
      </c>
      <c r="G64" s="7" t="str">
        <f>IF($C64="","",IF('설정'!$B$4=0,"",CHOOSE('설정'!$B$4,SUMIFS('RAW_유기농_7월'!$G:$G,'RAW_유기농_7월'!$D:$D,$C64,'RAW_유기농_7월'!$A:$A,$E64),SUMIFS('RAW_유기농_8월'!$G:$G,'RAW_유기농_8월'!$D:$D,$C64,'RAW_유기농_8월'!$A:$A,$E64),SUMIFS('RAW_유기농_9월'!$G:$G,'RAW_유기농_9월'!$D:$D,$C64,'RAW_유기농_9월'!$A:$A,$E64),SUMIFS('RAW_유기농_10월'!$G:$G,'RAW_유기농_10월'!$D:$D,$C64,'RAW_유기농_10월'!$A:$A,$E64),SUMIFS('RAW_유기농_11-12월'!$G:$G,'RAW_유기농_11-12월'!$D:$D,$C64,'RAW_유기농_11-12월'!$A:$A,$E64))))</f>
        <v/>
      </c>
      <c r="H64" s="7" t="str">
        <f>IF($C64="","",IF('설정'!$B$4=0,"",CHOOSE('설정'!$B$4,SUMIFS('RAW_유기농_7월'!$H:$H,'RAW_유기농_7월'!$D:$D,$C64,'RAW_유기농_7월'!$A:$A,$E64),SUMIFS('RAW_유기농_8월'!$H:$H,'RAW_유기농_8월'!$D:$D,$C64,'RAW_유기농_8월'!$A:$A,$E64),SUMIFS('RAW_유기농_9월'!$H:$H,'RAW_유기농_9월'!$D:$D,$C64,'RAW_유기농_9월'!$A:$A,$E64),SUMIFS('RAW_유기농_10월'!$H:$H,'RAW_유기농_10월'!$D:$D,$C64,'RAW_유기농_10월'!$A:$A,$E64),SUMIFS('RAW_유기농_11-12월'!$H:$H,'RAW_유기농_11-12월'!$D:$D,$C64,'RAW_유기농_11-12월'!$A:$A,$E64))))</f>
        <v/>
      </c>
      <c r="I64" s="17" t="str">
        <f>IF($C64="","",IF(COUNTIFS('RAW_유기농_7월'!$D:$D,$C64,'RAW_유기농_7월'!$A:$A,$E64)&gt;0,"O",""))</f>
        <v/>
      </c>
      <c r="J64" s="17" t="str">
        <f>IF($C64="","",IF(COUNTIFS('RAW_유기농_8월'!$D:$D,$C64,'RAW_유기농_8월'!$A:$A,$E64)&gt;0,"O",""))</f>
        <v/>
      </c>
      <c r="K64" s="17" t="str">
        <f>IF($C64="","",IF(COUNTIFS('RAW_유기농_9월'!$D:$D,$C64,'RAW_유기농_9월'!$A:$A,$E64)&gt;0,"O",""))</f>
        <v/>
      </c>
      <c r="L64" s="17" t="str">
        <f>IF($C64="","",IF(COUNTIFS('RAW_유기농_10월'!$D:$D,$C64,'RAW_유기농_10월'!$A:$A,$E64)&gt;0,"O",""))</f>
        <v/>
      </c>
      <c r="M64" s="17" t="str">
        <f>IF($C64="","",IF(COUNTIFS('RAW_유기농_11-12월'!$D:$D,$C64,'RAW_유기농_11-12월'!$A:$A,$E64)&gt;0,"O",""))</f>
        <v/>
      </c>
      <c r="N64" s="7" t="str">
        <f>IF($C64="","",IF(COUNTA('RAW_유기농_7월'!$A:$A)&lt;=1,"",SUMIFS('RAW_유기농_7월'!$H:$H,'RAW_유기농_7월'!$D:$D,$C64,'RAW_유기농_7월'!$A:$A,$E64)))</f>
        <v/>
      </c>
      <c r="O64" s="7" t="str">
        <f>IF($C64="","",IF(COUNTA('RAW_유기농_8월'!$A:$A)&lt;=1,"",SUMIFS('RAW_유기농_8월'!$H:$H,'RAW_유기농_8월'!$D:$D,$C64,'RAW_유기농_8월'!$A:$A,$E64)-SUMIFS('RAW_유기농_7월'!$H:$H,'RAW_유기농_7월'!$D:$D,$C64,'RAW_유기농_7월'!$A:$A,$E64)))</f>
        <v/>
      </c>
      <c r="P64" s="7" t="str">
        <f>IF($C64="","",IF(COUNTA('RAW_유기농_9월'!$A:$A)&lt;=1,"",SUMIFS('RAW_유기농_9월'!$H:$H,'RAW_유기농_9월'!$D:$D,$C64,'RAW_유기농_9월'!$A:$A,$E64)-SUMIFS('RAW_유기농_8월'!$H:$H,'RAW_유기농_8월'!$D:$D,$C64,'RAW_유기농_8월'!$A:$A,$E64)))</f>
        <v/>
      </c>
      <c r="Q64" s="7" t="str">
        <f>IF($C64="","",IF(COUNTA('RAW_유기농_10월'!$A:$A)&lt;=1,"",SUMIFS('RAW_유기농_10월'!$H:$H,'RAW_유기농_10월'!$D:$D,$C64,'RAW_유기농_10월'!$A:$A,$E64)-SUMIFS('RAW_유기농_9월'!$H:$H,'RAW_유기농_9월'!$D:$D,$C64,'RAW_유기농_9월'!$A:$A,$E64)))</f>
        <v/>
      </c>
      <c r="R64" s="7" t="str">
        <f>IF($C64="","",IF(COUNTA('RAW_유기농_11-12월'!$A:$A)&lt;=1,"",SUMIFS('RAW_유기농_11-12월'!$H:$H,'RAW_유기농_11-12월'!$D:$D,$C64,'RAW_유기농_11-12월'!$A:$A,$E64)-SUMIFS('RAW_유기농_10월'!$H:$H,'RAW_유기농_10월'!$D:$D,$C64,'RAW_유기농_10월'!$A:$A,$E64)))</f>
        <v/>
      </c>
      <c r="S64" s="17" t="str">
        <f t="shared" si="4"/>
        <v/>
      </c>
      <c r="T64" s="17" t="str">
        <f t="shared" si="5"/>
        <v/>
      </c>
      <c r="U64" s="7">
        <f>IF($C64="",0,IF('설정'!$B$4=0,0,CHOOSE('설정'!$B$4,COUNTIFS('RAW_유기농_7월'!$D:$D,$C64,'RAW_유기농_7월'!$A:$A,$E64),COUNTIFS('RAW_유기농_8월'!$D:$D,$C64,'RAW_유기농_8월'!$A:$A,$E64),COUNTIFS('RAW_유기농_9월'!$D:$D,$C64,'RAW_유기농_9월'!$A:$A,$E64),COUNTIFS('RAW_유기농_10월'!$D:$D,$C64,'RAW_유기농_10월'!$A:$A,$E64),COUNTIFS('RAW_유기농_11-12월'!$D:$D,$C64,'RAW_유기농_11-12월'!$A:$A,$E64))))</f>
        <v>0</v>
      </c>
    </row>
    <row r="65" ht="15.75" customHeight="1">
      <c r="A65" s="5"/>
      <c r="B65" s="5"/>
      <c r="C65" s="5"/>
      <c r="D65" s="6"/>
      <c r="E65" s="5"/>
      <c r="F65" s="7" t="str">
        <f>IF($C65="","",IF('설정'!$B$4=0,"",CHOOSE('설정'!$B$4,SUMIFS('RAW_유기농_7월'!$F:$F,'RAW_유기농_7월'!$D:$D,$C65,'RAW_유기농_7월'!$A:$A,$E65),SUMIFS('RAW_유기농_8월'!$F:$F,'RAW_유기농_8월'!$D:$D,$C65,'RAW_유기농_8월'!$A:$A,$E65),SUMIFS('RAW_유기농_9월'!$F:$F,'RAW_유기농_9월'!$D:$D,$C65,'RAW_유기농_9월'!$A:$A,$E65),SUMIFS('RAW_유기농_10월'!$F:$F,'RAW_유기농_10월'!$D:$D,$C65,'RAW_유기농_10월'!$A:$A,$E65),SUMIFS('RAW_유기농_11-12월'!$F:$F,'RAW_유기농_11-12월'!$D:$D,$C65,'RAW_유기농_11-12월'!$A:$A,$E65))))</f>
        <v/>
      </c>
      <c r="G65" s="7" t="str">
        <f>IF($C65="","",IF('설정'!$B$4=0,"",CHOOSE('설정'!$B$4,SUMIFS('RAW_유기농_7월'!$G:$G,'RAW_유기농_7월'!$D:$D,$C65,'RAW_유기농_7월'!$A:$A,$E65),SUMIFS('RAW_유기농_8월'!$G:$G,'RAW_유기농_8월'!$D:$D,$C65,'RAW_유기농_8월'!$A:$A,$E65),SUMIFS('RAW_유기농_9월'!$G:$G,'RAW_유기농_9월'!$D:$D,$C65,'RAW_유기농_9월'!$A:$A,$E65),SUMIFS('RAW_유기농_10월'!$G:$G,'RAW_유기농_10월'!$D:$D,$C65,'RAW_유기농_10월'!$A:$A,$E65),SUMIFS('RAW_유기농_11-12월'!$G:$G,'RAW_유기농_11-12월'!$D:$D,$C65,'RAW_유기농_11-12월'!$A:$A,$E65))))</f>
        <v/>
      </c>
      <c r="H65" s="7" t="str">
        <f>IF($C65="","",IF('설정'!$B$4=0,"",CHOOSE('설정'!$B$4,SUMIFS('RAW_유기농_7월'!$H:$H,'RAW_유기농_7월'!$D:$D,$C65,'RAW_유기농_7월'!$A:$A,$E65),SUMIFS('RAW_유기농_8월'!$H:$H,'RAW_유기농_8월'!$D:$D,$C65,'RAW_유기농_8월'!$A:$A,$E65),SUMIFS('RAW_유기농_9월'!$H:$H,'RAW_유기농_9월'!$D:$D,$C65,'RAW_유기농_9월'!$A:$A,$E65),SUMIFS('RAW_유기농_10월'!$H:$H,'RAW_유기농_10월'!$D:$D,$C65,'RAW_유기농_10월'!$A:$A,$E65),SUMIFS('RAW_유기농_11-12월'!$H:$H,'RAW_유기농_11-12월'!$D:$D,$C65,'RAW_유기농_11-12월'!$A:$A,$E65))))</f>
        <v/>
      </c>
      <c r="I65" s="17" t="str">
        <f>IF($C65="","",IF(COUNTIFS('RAW_유기농_7월'!$D:$D,$C65,'RAW_유기농_7월'!$A:$A,$E65)&gt;0,"O",""))</f>
        <v/>
      </c>
      <c r="J65" s="17" t="str">
        <f>IF($C65="","",IF(COUNTIFS('RAW_유기농_8월'!$D:$D,$C65,'RAW_유기농_8월'!$A:$A,$E65)&gt;0,"O",""))</f>
        <v/>
      </c>
      <c r="K65" s="17" t="str">
        <f>IF($C65="","",IF(COUNTIFS('RAW_유기농_9월'!$D:$D,$C65,'RAW_유기농_9월'!$A:$A,$E65)&gt;0,"O",""))</f>
        <v/>
      </c>
      <c r="L65" s="17" t="str">
        <f>IF($C65="","",IF(COUNTIFS('RAW_유기농_10월'!$D:$D,$C65,'RAW_유기농_10월'!$A:$A,$E65)&gt;0,"O",""))</f>
        <v/>
      </c>
      <c r="M65" s="17" t="str">
        <f>IF($C65="","",IF(COUNTIFS('RAW_유기농_11-12월'!$D:$D,$C65,'RAW_유기농_11-12월'!$A:$A,$E65)&gt;0,"O",""))</f>
        <v/>
      </c>
      <c r="N65" s="7" t="str">
        <f>IF($C65="","",IF(COUNTA('RAW_유기농_7월'!$A:$A)&lt;=1,"",SUMIFS('RAW_유기농_7월'!$H:$H,'RAW_유기농_7월'!$D:$D,$C65,'RAW_유기농_7월'!$A:$A,$E65)))</f>
        <v/>
      </c>
      <c r="O65" s="7" t="str">
        <f>IF($C65="","",IF(COUNTA('RAW_유기농_8월'!$A:$A)&lt;=1,"",SUMIFS('RAW_유기농_8월'!$H:$H,'RAW_유기농_8월'!$D:$D,$C65,'RAW_유기농_8월'!$A:$A,$E65)-SUMIFS('RAW_유기농_7월'!$H:$H,'RAW_유기농_7월'!$D:$D,$C65,'RAW_유기농_7월'!$A:$A,$E65)))</f>
        <v/>
      </c>
      <c r="P65" s="7" t="str">
        <f>IF($C65="","",IF(COUNTA('RAW_유기농_9월'!$A:$A)&lt;=1,"",SUMIFS('RAW_유기농_9월'!$H:$H,'RAW_유기농_9월'!$D:$D,$C65,'RAW_유기농_9월'!$A:$A,$E65)-SUMIFS('RAW_유기농_8월'!$H:$H,'RAW_유기농_8월'!$D:$D,$C65,'RAW_유기농_8월'!$A:$A,$E65)))</f>
        <v/>
      </c>
      <c r="Q65" s="7" t="str">
        <f>IF($C65="","",IF(COUNTA('RAW_유기농_10월'!$A:$A)&lt;=1,"",SUMIFS('RAW_유기농_10월'!$H:$H,'RAW_유기농_10월'!$D:$D,$C65,'RAW_유기농_10월'!$A:$A,$E65)-SUMIFS('RAW_유기농_9월'!$H:$H,'RAW_유기농_9월'!$D:$D,$C65,'RAW_유기농_9월'!$A:$A,$E65)))</f>
        <v/>
      </c>
      <c r="R65" s="7" t="str">
        <f>IF($C65="","",IF(COUNTA('RAW_유기농_11-12월'!$A:$A)&lt;=1,"",SUMIFS('RAW_유기농_11-12월'!$H:$H,'RAW_유기농_11-12월'!$D:$D,$C65,'RAW_유기농_11-12월'!$A:$A,$E65)-SUMIFS('RAW_유기농_10월'!$H:$H,'RAW_유기농_10월'!$D:$D,$C65,'RAW_유기농_10월'!$A:$A,$E65)))</f>
        <v/>
      </c>
      <c r="S65" s="17" t="str">
        <f t="shared" si="4"/>
        <v/>
      </c>
      <c r="T65" s="17" t="str">
        <f t="shared" si="5"/>
        <v/>
      </c>
      <c r="U65" s="7">
        <f>IF($C65="",0,IF('설정'!$B$4=0,0,CHOOSE('설정'!$B$4,COUNTIFS('RAW_유기농_7월'!$D:$D,$C65,'RAW_유기농_7월'!$A:$A,$E65),COUNTIFS('RAW_유기농_8월'!$D:$D,$C65,'RAW_유기농_8월'!$A:$A,$E65),COUNTIFS('RAW_유기농_9월'!$D:$D,$C65,'RAW_유기농_9월'!$A:$A,$E65),COUNTIFS('RAW_유기농_10월'!$D:$D,$C65,'RAW_유기농_10월'!$A:$A,$E65),COUNTIFS('RAW_유기농_11-12월'!$D:$D,$C65,'RAW_유기농_11-12월'!$A:$A,$E65))))</f>
        <v>0</v>
      </c>
    </row>
    <row r="66" ht="15.75" customHeight="1">
      <c r="A66" s="5"/>
      <c r="B66" s="5"/>
      <c r="C66" s="5"/>
      <c r="D66" s="6"/>
      <c r="E66" s="5"/>
      <c r="F66" s="7" t="str">
        <f>IF($C66="","",IF('설정'!$B$4=0,"",CHOOSE('설정'!$B$4,SUMIFS('RAW_유기농_7월'!$F:$F,'RAW_유기농_7월'!$D:$D,$C66,'RAW_유기농_7월'!$A:$A,$E66),SUMIFS('RAW_유기농_8월'!$F:$F,'RAW_유기농_8월'!$D:$D,$C66,'RAW_유기농_8월'!$A:$A,$E66),SUMIFS('RAW_유기농_9월'!$F:$F,'RAW_유기농_9월'!$D:$D,$C66,'RAW_유기농_9월'!$A:$A,$E66),SUMIFS('RAW_유기농_10월'!$F:$F,'RAW_유기농_10월'!$D:$D,$C66,'RAW_유기농_10월'!$A:$A,$E66),SUMIFS('RAW_유기농_11-12월'!$F:$F,'RAW_유기농_11-12월'!$D:$D,$C66,'RAW_유기농_11-12월'!$A:$A,$E66))))</f>
        <v/>
      </c>
      <c r="G66" s="7" t="str">
        <f>IF($C66="","",IF('설정'!$B$4=0,"",CHOOSE('설정'!$B$4,SUMIFS('RAW_유기농_7월'!$G:$G,'RAW_유기농_7월'!$D:$D,$C66,'RAW_유기농_7월'!$A:$A,$E66),SUMIFS('RAW_유기농_8월'!$G:$G,'RAW_유기농_8월'!$D:$D,$C66,'RAW_유기농_8월'!$A:$A,$E66),SUMIFS('RAW_유기농_9월'!$G:$G,'RAW_유기농_9월'!$D:$D,$C66,'RAW_유기농_9월'!$A:$A,$E66),SUMIFS('RAW_유기농_10월'!$G:$G,'RAW_유기농_10월'!$D:$D,$C66,'RAW_유기농_10월'!$A:$A,$E66),SUMIFS('RAW_유기농_11-12월'!$G:$G,'RAW_유기농_11-12월'!$D:$D,$C66,'RAW_유기농_11-12월'!$A:$A,$E66))))</f>
        <v/>
      </c>
      <c r="H66" s="7" t="str">
        <f>IF($C66="","",IF('설정'!$B$4=0,"",CHOOSE('설정'!$B$4,SUMIFS('RAW_유기농_7월'!$H:$H,'RAW_유기농_7월'!$D:$D,$C66,'RAW_유기농_7월'!$A:$A,$E66),SUMIFS('RAW_유기농_8월'!$H:$H,'RAW_유기농_8월'!$D:$D,$C66,'RAW_유기농_8월'!$A:$A,$E66),SUMIFS('RAW_유기농_9월'!$H:$H,'RAW_유기농_9월'!$D:$D,$C66,'RAW_유기농_9월'!$A:$A,$E66),SUMIFS('RAW_유기농_10월'!$H:$H,'RAW_유기농_10월'!$D:$D,$C66,'RAW_유기농_10월'!$A:$A,$E66),SUMIFS('RAW_유기농_11-12월'!$H:$H,'RAW_유기농_11-12월'!$D:$D,$C66,'RAW_유기농_11-12월'!$A:$A,$E66))))</f>
        <v/>
      </c>
      <c r="I66" s="17" t="str">
        <f>IF($C66="","",IF(COUNTIFS('RAW_유기농_7월'!$D:$D,$C66,'RAW_유기농_7월'!$A:$A,$E66)&gt;0,"O",""))</f>
        <v/>
      </c>
      <c r="J66" s="17" t="str">
        <f>IF($C66="","",IF(COUNTIFS('RAW_유기농_8월'!$D:$D,$C66,'RAW_유기농_8월'!$A:$A,$E66)&gt;0,"O",""))</f>
        <v/>
      </c>
      <c r="K66" s="17" t="str">
        <f>IF($C66="","",IF(COUNTIFS('RAW_유기농_9월'!$D:$D,$C66,'RAW_유기농_9월'!$A:$A,$E66)&gt;0,"O",""))</f>
        <v/>
      </c>
      <c r="L66" s="17" t="str">
        <f>IF($C66="","",IF(COUNTIFS('RAW_유기농_10월'!$D:$D,$C66,'RAW_유기농_10월'!$A:$A,$E66)&gt;0,"O",""))</f>
        <v/>
      </c>
      <c r="M66" s="17" t="str">
        <f>IF($C66="","",IF(COUNTIFS('RAW_유기농_11-12월'!$D:$D,$C66,'RAW_유기농_11-12월'!$A:$A,$E66)&gt;0,"O",""))</f>
        <v/>
      </c>
      <c r="N66" s="7" t="str">
        <f>IF($C66="","",IF(COUNTA('RAW_유기농_7월'!$A:$A)&lt;=1,"",SUMIFS('RAW_유기농_7월'!$H:$H,'RAW_유기농_7월'!$D:$D,$C66,'RAW_유기농_7월'!$A:$A,$E66)))</f>
        <v/>
      </c>
      <c r="O66" s="7" t="str">
        <f>IF($C66="","",IF(COUNTA('RAW_유기농_8월'!$A:$A)&lt;=1,"",SUMIFS('RAW_유기농_8월'!$H:$H,'RAW_유기농_8월'!$D:$D,$C66,'RAW_유기농_8월'!$A:$A,$E66)-SUMIFS('RAW_유기농_7월'!$H:$H,'RAW_유기농_7월'!$D:$D,$C66,'RAW_유기농_7월'!$A:$A,$E66)))</f>
        <v/>
      </c>
      <c r="P66" s="7" t="str">
        <f>IF($C66="","",IF(COUNTA('RAW_유기농_9월'!$A:$A)&lt;=1,"",SUMIFS('RAW_유기농_9월'!$H:$H,'RAW_유기농_9월'!$D:$D,$C66,'RAW_유기농_9월'!$A:$A,$E66)-SUMIFS('RAW_유기농_8월'!$H:$H,'RAW_유기농_8월'!$D:$D,$C66,'RAW_유기농_8월'!$A:$A,$E66)))</f>
        <v/>
      </c>
      <c r="Q66" s="7" t="str">
        <f>IF($C66="","",IF(COUNTA('RAW_유기농_10월'!$A:$A)&lt;=1,"",SUMIFS('RAW_유기농_10월'!$H:$H,'RAW_유기농_10월'!$D:$D,$C66,'RAW_유기농_10월'!$A:$A,$E66)-SUMIFS('RAW_유기농_9월'!$H:$H,'RAW_유기농_9월'!$D:$D,$C66,'RAW_유기농_9월'!$A:$A,$E66)))</f>
        <v/>
      </c>
      <c r="R66" s="7" t="str">
        <f>IF($C66="","",IF(COUNTA('RAW_유기농_11-12월'!$A:$A)&lt;=1,"",SUMIFS('RAW_유기농_11-12월'!$H:$H,'RAW_유기농_11-12월'!$D:$D,$C66,'RAW_유기농_11-12월'!$A:$A,$E66)-SUMIFS('RAW_유기농_10월'!$H:$H,'RAW_유기농_10월'!$D:$D,$C66,'RAW_유기농_10월'!$A:$A,$E66)))</f>
        <v/>
      </c>
      <c r="S66" s="17" t="str">
        <f t="shared" si="4"/>
        <v/>
      </c>
      <c r="T66" s="17" t="str">
        <f t="shared" si="5"/>
        <v/>
      </c>
      <c r="U66" s="7">
        <f>IF($C66="",0,IF('설정'!$B$4=0,0,CHOOSE('설정'!$B$4,COUNTIFS('RAW_유기농_7월'!$D:$D,$C66,'RAW_유기농_7월'!$A:$A,$E66),COUNTIFS('RAW_유기농_8월'!$D:$D,$C66,'RAW_유기농_8월'!$A:$A,$E66),COUNTIFS('RAW_유기농_9월'!$D:$D,$C66,'RAW_유기농_9월'!$A:$A,$E66),COUNTIFS('RAW_유기농_10월'!$D:$D,$C66,'RAW_유기농_10월'!$A:$A,$E66),COUNTIFS('RAW_유기농_11-12월'!$D:$D,$C66,'RAW_유기농_11-12월'!$A:$A,$E66))))</f>
        <v>0</v>
      </c>
    </row>
    <row r="67" ht="15.75" customHeight="1">
      <c r="A67" s="5"/>
      <c r="B67" s="5"/>
      <c r="C67" s="5"/>
      <c r="D67" s="6"/>
      <c r="E67" s="5"/>
      <c r="F67" s="7" t="str">
        <f>IF($C67="","",IF('설정'!$B$4=0,"",CHOOSE('설정'!$B$4,SUMIFS('RAW_유기농_7월'!$F:$F,'RAW_유기농_7월'!$D:$D,$C67,'RAW_유기농_7월'!$A:$A,$E67),SUMIFS('RAW_유기농_8월'!$F:$F,'RAW_유기농_8월'!$D:$D,$C67,'RAW_유기농_8월'!$A:$A,$E67),SUMIFS('RAW_유기농_9월'!$F:$F,'RAW_유기농_9월'!$D:$D,$C67,'RAW_유기농_9월'!$A:$A,$E67),SUMIFS('RAW_유기농_10월'!$F:$F,'RAW_유기농_10월'!$D:$D,$C67,'RAW_유기농_10월'!$A:$A,$E67),SUMIFS('RAW_유기농_11-12월'!$F:$F,'RAW_유기농_11-12월'!$D:$D,$C67,'RAW_유기농_11-12월'!$A:$A,$E67))))</f>
        <v/>
      </c>
      <c r="G67" s="7" t="str">
        <f>IF($C67="","",IF('설정'!$B$4=0,"",CHOOSE('설정'!$B$4,SUMIFS('RAW_유기농_7월'!$G:$G,'RAW_유기농_7월'!$D:$D,$C67,'RAW_유기농_7월'!$A:$A,$E67),SUMIFS('RAW_유기농_8월'!$G:$G,'RAW_유기농_8월'!$D:$D,$C67,'RAW_유기농_8월'!$A:$A,$E67),SUMIFS('RAW_유기농_9월'!$G:$G,'RAW_유기농_9월'!$D:$D,$C67,'RAW_유기농_9월'!$A:$A,$E67),SUMIFS('RAW_유기농_10월'!$G:$G,'RAW_유기농_10월'!$D:$D,$C67,'RAW_유기농_10월'!$A:$A,$E67),SUMIFS('RAW_유기농_11-12월'!$G:$G,'RAW_유기농_11-12월'!$D:$D,$C67,'RAW_유기농_11-12월'!$A:$A,$E67))))</f>
        <v/>
      </c>
      <c r="H67" s="7" t="str">
        <f>IF($C67="","",IF('설정'!$B$4=0,"",CHOOSE('설정'!$B$4,SUMIFS('RAW_유기농_7월'!$H:$H,'RAW_유기농_7월'!$D:$D,$C67,'RAW_유기농_7월'!$A:$A,$E67),SUMIFS('RAW_유기농_8월'!$H:$H,'RAW_유기농_8월'!$D:$D,$C67,'RAW_유기농_8월'!$A:$A,$E67),SUMIFS('RAW_유기농_9월'!$H:$H,'RAW_유기농_9월'!$D:$D,$C67,'RAW_유기농_9월'!$A:$A,$E67),SUMIFS('RAW_유기농_10월'!$H:$H,'RAW_유기농_10월'!$D:$D,$C67,'RAW_유기농_10월'!$A:$A,$E67),SUMIFS('RAW_유기농_11-12월'!$H:$H,'RAW_유기농_11-12월'!$D:$D,$C67,'RAW_유기농_11-12월'!$A:$A,$E67))))</f>
        <v/>
      </c>
      <c r="I67" s="17" t="str">
        <f>IF($C67="","",IF(COUNTIFS('RAW_유기농_7월'!$D:$D,$C67,'RAW_유기농_7월'!$A:$A,$E67)&gt;0,"O",""))</f>
        <v/>
      </c>
      <c r="J67" s="17" t="str">
        <f>IF($C67="","",IF(COUNTIFS('RAW_유기농_8월'!$D:$D,$C67,'RAW_유기농_8월'!$A:$A,$E67)&gt;0,"O",""))</f>
        <v/>
      </c>
      <c r="K67" s="17" t="str">
        <f>IF($C67="","",IF(COUNTIFS('RAW_유기농_9월'!$D:$D,$C67,'RAW_유기농_9월'!$A:$A,$E67)&gt;0,"O",""))</f>
        <v/>
      </c>
      <c r="L67" s="17" t="str">
        <f>IF($C67="","",IF(COUNTIFS('RAW_유기농_10월'!$D:$D,$C67,'RAW_유기농_10월'!$A:$A,$E67)&gt;0,"O",""))</f>
        <v/>
      </c>
      <c r="M67" s="17" t="str">
        <f>IF($C67="","",IF(COUNTIFS('RAW_유기농_11-12월'!$D:$D,$C67,'RAW_유기농_11-12월'!$A:$A,$E67)&gt;0,"O",""))</f>
        <v/>
      </c>
      <c r="N67" s="7" t="str">
        <f>IF($C67="","",IF(COUNTA('RAW_유기농_7월'!$A:$A)&lt;=1,"",SUMIFS('RAW_유기농_7월'!$H:$H,'RAW_유기농_7월'!$D:$D,$C67,'RAW_유기농_7월'!$A:$A,$E67)))</f>
        <v/>
      </c>
      <c r="O67" s="7" t="str">
        <f>IF($C67="","",IF(COUNTA('RAW_유기농_8월'!$A:$A)&lt;=1,"",SUMIFS('RAW_유기농_8월'!$H:$H,'RAW_유기농_8월'!$D:$D,$C67,'RAW_유기농_8월'!$A:$A,$E67)-SUMIFS('RAW_유기농_7월'!$H:$H,'RAW_유기농_7월'!$D:$D,$C67,'RAW_유기농_7월'!$A:$A,$E67)))</f>
        <v/>
      </c>
      <c r="P67" s="7" t="str">
        <f>IF($C67="","",IF(COUNTA('RAW_유기농_9월'!$A:$A)&lt;=1,"",SUMIFS('RAW_유기농_9월'!$H:$H,'RAW_유기농_9월'!$D:$D,$C67,'RAW_유기농_9월'!$A:$A,$E67)-SUMIFS('RAW_유기농_8월'!$H:$H,'RAW_유기농_8월'!$D:$D,$C67,'RAW_유기농_8월'!$A:$A,$E67)))</f>
        <v/>
      </c>
      <c r="Q67" s="7" t="str">
        <f>IF($C67="","",IF(COUNTA('RAW_유기농_10월'!$A:$A)&lt;=1,"",SUMIFS('RAW_유기농_10월'!$H:$H,'RAW_유기농_10월'!$D:$D,$C67,'RAW_유기농_10월'!$A:$A,$E67)-SUMIFS('RAW_유기농_9월'!$H:$H,'RAW_유기농_9월'!$D:$D,$C67,'RAW_유기농_9월'!$A:$A,$E67)))</f>
        <v/>
      </c>
      <c r="R67" s="7" t="str">
        <f>IF($C67="","",IF(COUNTA('RAW_유기농_11-12월'!$A:$A)&lt;=1,"",SUMIFS('RAW_유기농_11-12월'!$H:$H,'RAW_유기농_11-12월'!$D:$D,$C67,'RAW_유기농_11-12월'!$A:$A,$E67)-SUMIFS('RAW_유기농_10월'!$H:$H,'RAW_유기농_10월'!$D:$D,$C67,'RAW_유기농_10월'!$A:$A,$E67)))</f>
        <v/>
      </c>
      <c r="S67" s="17" t="str">
        <f t="shared" si="4"/>
        <v/>
      </c>
      <c r="T67" s="17" t="str">
        <f t="shared" si="5"/>
        <v/>
      </c>
      <c r="U67" s="7">
        <f>IF($C67="",0,IF('설정'!$B$4=0,0,CHOOSE('설정'!$B$4,COUNTIFS('RAW_유기농_7월'!$D:$D,$C67,'RAW_유기농_7월'!$A:$A,$E67),COUNTIFS('RAW_유기농_8월'!$D:$D,$C67,'RAW_유기농_8월'!$A:$A,$E67),COUNTIFS('RAW_유기농_9월'!$D:$D,$C67,'RAW_유기농_9월'!$A:$A,$E67),COUNTIFS('RAW_유기농_10월'!$D:$D,$C67,'RAW_유기농_10월'!$A:$A,$E67),COUNTIFS('RAW_유기농_11-12월'!$D:$D,$C67,'RAW_유기농_11-12월'!$A:$A,$E67))))</f>
        <v>0</v>
      </c>
    </row>
    <row r="68" ht="15.75" customHeight="1">
      <c r="A68" s="5"/>
      <c r="B68" s="5"/>
      <c r="C68" s="5"/>
      <c r="D68" s="6"/>
      <c r="E68" s="5"/>
      <c r="F68" s="7" t="str">
        <f>IF($C68="","",IF('설정'!$B$4=0,"",CHOOSE('설정'!$B$4,SUMIFS('RAW_유기농_7월'!$F:$F,'RAW_유기농_7월'!$D:$D,$C68,'RAW_유기농_7월'!$A:$A,$E68),SUMIFS('RAW_유기농_8월'!$F:$F,'RAW_유기농_8월'!$D:$D,$C68,'RAW_유기농_8월'!$A:$A,$E68),SUMIFS('RAW_유기농_9월'!$F:$F,'RAW_유기농_9월'!$D:$D,$C68,'RAW_유기농_9월'!$A:$A,$E68),SUMIFS('RAW_유기농_10월'!$F:$F,'RAW_유기농_10월'!$D:$D,$C68,'RAW_유기농_10월'!$A:$A,$E68),SUMIFS('RAW_유기농_11-12월'!$F:$F,'RAW_유기농_11-12월'!$D:$D,$C68,'RAW_유기농_11-12월'!$A:$A,$E68))))</f>
        <v/>
      </c>
      <c r="G68" s="7" t="str">
        <f>IF($C68="","",IF('설정'!$B$4=0,"",CHOOSE('설정'!$B$4,SUMIFS('RAW_유기농_7월'!$G:$G,'RAW_유기농_7월'!$D:$D,$C68,'RAW_유기농_7월'!$A:$A,$E68),SUMIFS('RAW_유기농_8월'!$G:$G,'RAW_유기농_8월'!$D:$D,$C68,'RAW_유기농_8월'!$A:$A,$E68),SUMIFS('RAW_유기농_9월'!$G:$G,'RAW_유기농_9월'!$D:$D,$C68,'RAW_유기농_9월'!$A:$A,$E68),SUMIFS('RAW_유기농_10월'!$G:$G,'RAW_유기농_10월'!$D:$D,$C68,'RAW_유기농_10월'!$A:$A,$E68),SUMIFS('RAW_유기농_11-12월'!$G:$G,'RAW_유기농_11-12월'!$D:$D,$C68,'RAW_유기농_11-12월'!$A:$A,$E68))))</f>
        <v/>
      </c>
      <c r="H68" s="7" t="str">
        <f>IF($C68="","",IF('설정'!$B$4=0,"",CHOOSE('설정'!$B$4,SUMIFS('RAW_유기농_7월'!$H:$H,'RAW_유기농_7월'!$D:$D,$C68,'RAW_유기농_7월'!$A:$A,$E68),SUMIFS('RAW_유기농_8월'!$H:$H,'RAW_유기농_8월'!$D:$D,$C68,'RAW_유기농_8월'!$A:$A,$E68),SUMIFS('RAW_유기농_9월'!$H:$H,'RAW_유기농_9월'!$D:$D,$C68,'RAW_유기농_9월'!$A:$A,$E68),SUMIFS('RAW_유기농_10월'!$H:$H,'RAW_유기농_10월'!$D:$D,$C68,'RAW_유기농_10월'!$A:$A,$E68),SUMIFS('RAW_유기농_11-12월'!$H:$H,'RAW_유기농_11-12월'!$D:$D,$C68,'RAW_유기농_11-12월'!$A:$A,$E68))))</f>
        <v/>
      </c>
      <c r="I68" s="17" t="str">
        <f>IF($C68="","",IF(COUNTIFS('RAW_유기농_7월'!$D:$D,$C68,'RAW_유기농_7월'!$A:$A,$E68)&gt;0,"O",""))</f>
        <v/>
      </c>
      <c r="J68" s="17" t="str">
        <f>IF($C68="","",IF(COUNTIFS('RAW_유기농_8월'!$D:$D,$C68,'RAW_유기농_8월'!$A:$A,$E68)&gt;0,"O",""))</f>
        <v/>
      </c>
      <c r="K68" s="17" t="str">
        <f>IF($C68="","",IF(COUNTIFS('RAW_유기농_9월'!$D:$D,$C68,'RAW_유기농_9월'!$A:$A,$E68)&gt;0,"O",""))</f>
        <v/>
      </c>
      <c r="L68" s="17" t="str">
        <f>IF($C68="","",IF(COUNTIFS('RAW_유기농_10월'!$D:$D,$C68,'RAW_유기농_10월'!$A:$A,$E68)&gt;0,"O",""))</f>
        <v/>
      </c>
      <c r="M68" s="17" t="str">
        <f>IF($C68="","",IF(COUNTIFS('RAW_유기농_11-12월'!$D:$D,$C68,'RAW_유기농_11-12월'!$A:$A,$E68)&gt;0,"O",""))</f>
        <v/>
      </c>
      <c r="N68" s="7" t="str">
        <f>IF($C68="","",IF(COUNTA('RAW_유기농_7월'!$A:$A)&lt;=1,"",SUMIFS('RAW_유기농_7월'!$H:$H,'RAW_유기농_7월'!$D:$D,$C68,'RAW_유기농_7월'!$A:$A,$E68)))</f>
        <v/>
      </c>
      <c r="O68" s="7" t="str">
        <f>IF($C68="","",IF(COUNTA('RAW_유기농_8월'!$A:$A)&lt;=1,"",SUMIFS('RAW_유기농_8월'!$H:$H,'RAW_유기농_8월'!$D:$D,$C68,'RAW_유기농_8월'!$A:$A,$E68)-SUMIFS('RAW_유기농_7월'!$H:$H,'RAW_유기농_7월'!$D:$D,$C68,'RAW_유기농_7월'!$A:$A,$E68)))</f>
        <v/>
      </c>
      <c r="P68" s="7" t="str">
        <f>IF($C68="","",IF(COUNTA('RAW_유기농_9월'!$A:$A)&lt;=1,"",SUMIFS('RAW_유기농_9월'!$H:$H,'RAW_유기농_9월'!$D:$D,$C68,'RAW_유기농_9월'!$A:$A,$E68)-SUMIFS('RAW_유기농_8월'!$H:$H,'RAW_유기농_8월'!$D:$D,$C68,'RAW_유기농_8월'!$A:$A,$E68)))</f>
        <v/>
      </c>
      <c r="Q68" s="7" t="str">
        <f>IF($C68="","",IF(COUNTA('RAW_유기농_10월'!$A:$A)&lt;=1,"",SUMIFS('RAW_유기농_10월'!$H:$H,'RAW_유기농_10월'!$D:$D,$C68,'RAW_유기농_10월'!$A:$A,$E68)-SUMIFS('RAW_유기농_9월'!$H:$H,'RAW_유기농_9월'!$D:$D,$C68,'RAW_유기농_9월'!$A:$A,$E68)))</f>
        <v/>
      </c>
      <c r="R68" s="7" t="str">
        <f>IF($C68="","",IF(COUNTA('RAW_유기농_11-12월'!$A:$A)&lt;=1,"",SUMIFS('RAW_유기농_11-12월'!$H:$H,'RAW_유기농_11-12월'!$D:$D,$C68,'RAW_유기농_11-12월'!$A:$A,$E68)-SUMIFS('RAW_유기농_10월'!$H:$H,'RAW_유기농_10월'!$D:$D,$C68,'RAW_유기농_10월'!$A:$A,$E68)))</f>
        <v/>
      </c>
      <c r="S68" s="17" t="str">
        <f t="shared" si="4"/>
        <v/>
      </c>
      <c r="T68" s="17" t="str">
        <f t="shared" si="5"/>
        <v/>
      </c>
      <c r="U68" s="7">
        <f>IF($C68="",0,IF('설정'!$B$4=0,0,CHOOSE('설정'!$B$4,COUNTIFS('RAW_유기농_7월'!$D:$D,$C68,'RAW_유기농_7월'!$A:$A,$E68),COUNTIFS('RAW_유기농_8월'!$D:$D,$C68,'RAW_유기농_8월'!$A:$A,$E68),COUNTIFS('RAW_유기농_9월'!$D:$D,$C68,'RAW_유기농_9월'!$A:$A,$E68),COUNTIFS('RAW_유기농_10월'!$D:$D,$C68,'RAW_유기농_10월'!$A:$A,$E68),COUNTIFS('RAW_유기농_11-12월'!$D:$D,$C68,'RAW_유기농_11-12월'!$A:$A,$E68))))</f>
        <v>0</v>
      </c>
    </row>
    <row r="69" ht="15.75" customHeight="1">
      <c r="A69" s="5"/>
      <c r="B69" s="5"/>
      <c r="C69" s="5"/>
      <c r="D69" s="6"/>
      <c r="E69" s="5"/>
      <c r="F69" s="7" t="str">
        <f>IF($C69="","",IF('설정'!$B$4=0,"",CHOOSE('설정'!$B$4,SUMIFS('RAW_유기농_7월'!$F:$F,'RAW_유기농_7월'!$D:$D,$C69,'RAW_유기농_7월'!$A:$A,$E69),SUMIFS('RAW_유기농_8월'!$F:$F,'RAW_유기농_8월'!$D:$D,$C69,'RAW_유기농_8월'!$A:$A,$E69),SUMIFS('RAW_유기농_9월'!$F:$F,'RAW_유기농_9월'!$D:$D,$C69,'RAW_유기농_9월'!$A:$A,$E69),SUMIFS('RAW_유기농_10월'!$F:$F,'RAW_유기농_10월'!$D:$D,$C69,'RAW_유기농_10월'!$A:$A,$E69),SUMIFS('RAW_유기농_11-12월'!$F:$F,'RAW_유기농_11-12월'!$D:$D,$C69,'RAW_유기농_11-12월'!$A:$A,$E69))))</f>
        <v/>
      </c>
      <c r="G69" s="7" t="str">
        <f>IF($C69="","",IF('설정'!$B$4=0,"",CHOOSE('설정'!$B$4,SUMIFS('RAW_유기농_7월'!$G:$G,'RAW_유기농_7월'!$D:$D,$C69,'RAW_유기농_7월'!$A:$A,$E69),SUMIFS('RAW_유기농_8월'!$G:$G,'RAW_유기농_8월'!$D:$D,$C69,'RAW_유기농_8월'!$A:$A,$E69),SUMIFS('RAW_유기농_9월'!$G:$G,'RAW_유기농_9월'!$D:$D,$C69,'RAW_유기농_9월'!$A:$A,$E69),SUMIFS('RAW_유기농_10월'!$G:$G,'RAW_유기농_10월'!$D:$D,$C69,'RAW_유기농_10월'!$A:$A,$E69),SUMIFS('RAW_유기농_11-12월'!$G:$G,'RAW_유기농_11-12월'!$D:$D,$C69,'RAW_유기농_11-12월'!$A:$A,$E69))))</f>
        <v/>
      </c>
      <c r="H69" s="7" t="str">
        <f>IF($C69="","",IF('설정'!$B$4=0,"",CHOOSE('설정'!$B$4,SUMIFS('RAW_유기농_7월'!$H:$H,'RAW_유기농_7월'!$D:$D,$C69,'RAW_유기농_7월'!$A:$A,$E69),SUMIFS('RAW_유기농_8월'!$H:$H,'RAW_유기농_8월'!$D:$D,$C69,'RAW_유기농_8월'!$A:$A,$E69),SUMIFS('RAW_유기농_9월'!$H:$H,'RAW_유기농_9월'!$D:$D,$C69,'RAW_유기농_9월'!$A:$A,$E69),SUMIFS('RAW_유기농_10월'!$H:$H,'RAW_유기농_10월'!$D:$D,$C69,'RAW_유기농_10월'!$A:$A,$E69),SUMIFS('RAW_유기농_11-12월'!$H:$H,'RAW_유기농_11-12월'!$D:$D,$C69,'RAW_유기농_11-12월'!$A:$A,$E69))))</f>
        <v/>
      </c>
      <c r="I69" s="17" t="str">
        <f>IF($C69="","",IF(COUNTIFS('RAW_유기농_7월'!$D:$D,$C69,'RAW_유기농_7월'!$A:$A,$E69)&gt;0,"O",""))</f>
        <v/>
      </c>
      <c r="J69" s="17" t="str">
        <f>IF($C69="","",IF(COUNTIFS('RAW_유기농_8월'!$D:$D,$C69,'RAW_유기농_8월'!$A:$A,$E69)&gt;0,"O",""))</f>
        <v/>
      </c>
      <c r="K69" s="17" t="str">
        <f>IF($C69="","",IF(COUNTIFS('RAW_유기농_9월'!$D:$D,$C69,'RAW_유기농_9월'!$A:$A,$E69)&gt;0,"O",""))</f>
        <v/>
      </c>
      <c r="L69" s="17" t="str">
        <f>IF($C69="","",IF(COUNTIFS('RAW_유기농_10월'!$D:$D,$C69,'RAW_유기농_10월'!$A:$A,$E69)&gt;0,"O",""))</f>
        <v/>
      </c>
      <c r="M69" s="17" t="str">
        <f>IF($C69="","",IF(COUNTIFS('RAW_유기농_11-12월'!$D:$D,$C69,'RAW_유기농_11-12월'!$A:$A,$E69)&gt;0,"O",""))</f>
        <v/>
      </c>
      <c r="N69" s="7" t="str">
        <f>IF($C69="","",IF(COUNTA('RAW_유기농_7월'!$A:$A)&lt;=1,"",SUMIFS('RAW_유기농_7월'!$H:$H,'RAW_유기농_7월'!$D:$D,$C69,'RAW_유기농_7월'!$A:$A,$E69)))</f>
        <v/>
      </c>
      <c r="O69" s="7" t="str">
        <f>IF($C69="","",IF(COUNTA('RAW_유기농_8월'!$A:$A)&lt;=1,"",SUMIFS('RAW_유기농_8월'!$H:$H,'RAW_유기농_8월'!$D:$D,$C69,'RAW_유기농_8월'!$A:$A,$E69)-SUMIFS('RAW_유기농_7월'!$H:$H,'RAW_유기농_7월'!$D:$D,$C69,'RAW_유기농_7월'!$A:$A,$E69)))</f>
        <v/>
      </c>
      <c r="P69" s="7" t="str">
        <f>IF($C69="","",IF(COUNTA('RAW_유기농_9월'!$A:$A)&lt;=1,"",SUMIFS('RAW_유기농_9월'!$H:$H,'RAW_유기농_9월'!$D:$D,$C69,'RAW_유기농_9월'!$A:$A,$E69)-SUMIFS('RAW_유기농_8월'!$H:$H,'RAW_유기농_8월'!$D:$D,$C69,'RAW_유기농_8월'!$A:$A,$E69)))</f>
        <v/>
      </c>
      <c r="Q69" s="7" t="str">
        <f>IF($C69="","",IF(COUNTA('RAW_유기농_10월'!$A:$A)&lt;=1,"",SUMIFS('RAW_유기농_10월'!$H:$H,'RAW_유기농_10월'!$D:$D,$C69,'RAW_유기농_10월'!$A:$A,$E69)-SUMIFS('RAW_유기농_9월'!$H:$H,'RAW_유기농_9월'!$D:$D,$C69,'RAW_유기농_9월'!$A:$A,$E69)))</f>
        <v/>
      </c>
      <c r="R69" s="7" t="str">
        <f>IF($C69="","",IF(COUNTA('RAW_유기농_11-12월'!$A:$A)&lt;=1,"",SUMIFS('RAW_유기농_11-12월'!$H:$H,'RAW_유기농_11-12월'!$D:$D,$C69,'RAW_유기농_11-12월'!$A:$A,$E69)-SUMIFS('RAW_유기농_10월'!$H:$H,'RAW_유기농_10월'!$D:$D,$C69,'RAW_유기농_10월'!$A:$A,$E69)))</f>
        <v/>
      </c>
      <c r="S69" s="17" t="str">
        <f t="shared" si="4"/>
        <v/>
      </c>
      <c r="T69" s="17" t="str">
        <f t="shared" si="5"/>
        <v/>
      </c>
      <c r="U69" s="7">
        <f>IF($C69="",0,IF('설정'!$B$4=0,0,CHOOSE('설정'!$B$4,COUNTIFS('RAW_유기농_7월'!$D:$D,$C69,'RAW_유기농_7월'!$A:$A,$E69),COUNTIFS('RAW_유기농_8월'!$D:$D,$C69,'RAW_유기농_8월'!$A:$A,$E69),COUNTIFS('RAW_유기농_9월'!$D:$D,$C69,'RAW_유기농_9월'!$A:$A,$E69),COUNTIFS('RAW_유기농_10월'!$D:$D,$C69,'RAW_유기농_10월'!$A:$A,$E69),COUNTIFS('RAW_유기농_11-12월'!$D:$D,$C69,'RAW_유기농_11-12월'!$A:$A,$E69))))</f>
        <v>0</v>
      </c>
    </row>
    <row r="70" ht="15.75" customHeight="1">
      <c r="A70" s="5"/>
      <c r="B70" s="5"/>
      <c r="C70" s="5"/>
      <c r="D70" s="6"/>
      <c r="E70" s="5"/>
      <c r="F70" s="7" t="str">
        <f>IF($C70="","",IF('설정'!$B$4=0,"",CHOOSE('설정'!$B$4,SUMIFS('RAW_유기농_7월'!$F:$F,'RAW_유기농_7월'!$D:$D,$C70,'RAW_유기농_7월'!$A:$A,$E70),SUMIFS('RAW_유기농_8월'!$F:$F,'RAW_유기농_8월'!$D:$D,$C70,'RAW_유기농_8월'!$A:$A,$E70),SUMIFS('RAW_유기농_9월'!$F:$F,'RAW_유기농_9월'!$D:$D,$C70,'RAW_유기농_9월'!$A:$A,$E70),SUMIFS('RAW_유기농_10월'!$F:$F,'RAW_유기농_10월'!$D:$D,$C70,'RAW_유기농_10월'!$A:$A,$E70),SUMIFS('RAW_유기농_11-12월'!$F:$F,'RAW_유기농_11-12월'!$D:$D,$C70,'RAW_유기농_11-12월'!$A:$A,$E70))))</f>
        <v/>
      </c>
      <c r="G70" s="7" t="str">
        <f>IF($C70="","",IF('설정'!$B$4=0,"",CHOOSE('설정'!$B$4,SUMIFS('RAW_유기농_7월'!$G:$G,'RAW_유기농_7월'!$D:$D,$C70,'RAW_유기농_7월'!$A:$A,$E70),SUMIFS('RAW_유기농_8월'!$G:$G,'RAW_유기농_8월'!$D:$D,$C70,'RAW_유기농_8월'!$A:$A,$E70),SUMIFS('RAW_유기농_9월'!$G:$G,'RAW_유기농_9월'!$D:$D,$C70,'RAW_유기농_9월'!$A:$A,$E70),SUMIFS('RAW_유기농_10월'!$G:$G,'RAW_유기농_10월'!$D:$D,$C70,'RAW_유기농_10월'!$A:$A,$E70),SUMIFS('RAW_유기농_11-12월'!$G:$G,'RAW_유기농_11-12월'!$D:$D,$C70,'RAW_유기농_11-12월'!$A:$A,$E70))))</f>
        <v/>
      </c>
      <c r="H70" s="7" t="str">
        <f>IF($C70="","",IF('설정'!$B$4=0,"",CHOOSE('설정'!$B$4,SUMIFS('RAW_유기농_7월'!$H:$H,'RAW_유기농_7월'!$D:$D,$C70,'RAW_유기농_7월'!$A:$A,$E70),SUMIFS('RAW_유기농_8월'!$H:$H,'RAW_유기농_8월'!$D:$D,$C70,'RAW_유기농_8월'!$A:$A,$E70),SUMIFS('RAW_유기농_9월'!$H:$H,'RAW_유기농_9월'!$D:$D,$C70,'RAW_유기농_9월'!$A:$A,$E70),SUMIFS('RAW_유기농_10월'!$H:$H,'RAW_유기농_10월'!$D:$D,$C70,'RAW_유기농_10월'!$A:$A,$E70),SUMIFS('RAW_유기농_11-12월'!$H:$H,'RAW_유기농_11-12월'!$D:$D,$C70,'RAW_유기농_11-12월'!$A:$A,$E70))))</f>
        <v/>
      </c>
      <c r="I70" s="17" t="str">
        <f>IF($C70="","",IF(COUNTIFS('RAW_유기농_7월'!$D:$D,$C70,'RAW_유기농_7월'!$A:$A,$E70)&gt;0,"O",""))</f>
        <v/>
      </c>
      <c r="J70" s="17" t="str">
        <f>IF($C70="","",IF(COUNTIFS('RAW_유기농_8월'!$D:$D,$C70,'RAW_유기농_8월'!$A:$A,$E70)&gt;0,"O",""))</f>
        <v/>
      </c>
      <c r="K70" s="17" t="str">
        <f>IF($C70="","",IF(COUNTIFS('RAW_유기농_9월'!$D:$D,$C70,'RAW_유기농_9월'!$A:$A,$E70)&gt;0,"O",""))</f>
        <v/>
      </c>
      <c r="L70" s="17" t="str">
        <f>IF($C70="","",IF(COUNTIFS('RAW_유기농_10월'!$D:$D,$C70,'RAW_유기농_10월'!$A:$A,$E70)&gt;0,"O",""))</f>
        <v/>
      </c>
      <c r="M70" s="17" t="str">
        <f>IF($C70="","",IF(COUNTIFS('RAW_유기농_11-12월'!$D:$D,$C70,'RAW_유기농_11-12월'!$A:$A,$E70)&gt;0,"O",""))</f>
        <v/>
      </c>
      <c r="N70" s="7" t="str">
        <f>IF($C70="","",IF(COUNTA('RAW_유기농_7월'!$A:$A)&lt;=1,"",SUMIFS('RAW_유기농_7월'!$H:$H,'RAW_유기농_7월'!$D:$D,$C70,'RAW_유기농_7월'!$A:$A,$E70)))</f>
        <v/>
      </c>
      <c r="O70" s="7" t="str">
        <f>IF($C70="","",IF(COUNTA('RAW_유기농_8월'!$A:$A)&lt;=1,"",SUMIFS('RAW_유기농_8월'!$H:$H,'RAW_유기농_8월'!$D:$D,$C70,'RAW_유기농_8월'!$A:$A,$E70)-SUMIFS('RAW_유기농_7월'!$H:$H,'RAW_유기농_7월'!$D:$D,$C70,'RAW_유기농_7월'!$A:$A,$E70)))</f>
        <v/>
      </c>
      <c r="P70" s="7" t="str">
        <f>IF($C70="","",IF(COUNTA('RAW_유기농_9월'!$A:$A)&lt;=1,"",SUMIFS('RAW_유기농_9월'!$H:$H,'RAW_유기농_9월'!$D:$D,$C70,'RAW_유기농_9월'!$A:$A,$E70)-SUMIFS('RAW_유기농_8월'!$H:$H,'RAW_유기농_8월'!$D:$D,$C70,'RAW_유기농_8월'!$A:$A,$E70)))</f>
        <v/>
      </c>
      <c r="Q70" s="7" t="str">
        <f>IF($C70="","",IF(COUNTA('RAW_유기농_10월'!$A:$A)&lt;=1,"",SUMIFS('RAW_유기농_10월'!$H:$H,'RAW_유기농_10월'!$D:$D,$C70,'RAW_유기농_10월'!$A:$A,$E70)-SUMIFS('RAW_유기농_9월'!$H:$H,'RAW_유기농_9월'!$D:$D,$C70,'RAW_유기농_9월'!$A:$A,$E70)))</f>
        <v/>
      </c>
      <c r="R70" s="7" t="str">
        <f>IF($C70="","",IF(COUNTA('RAW_유기농_11-12월'!$A:$A)&lt;=1,"",SUMIFS('RAW_유기농_11-12월'!$H:$H,'RAW_유기농_11-12월'!$D:$D,$C70,'RAW_유기농_11-12월'!$A:$A,$E70)-SUMIFS('RAW_유기농_10월'!$H:$H,'RAW_유기농_10월'!$D:$D,$C70,'RAW_유기농_10월'!$A:$A,$E70)))</f>
        <v/>
      </c>
      <c r="S70" s="17" t="str">
        <f t="shared" si="4"/>
        <v/>
      </c>
      <c r="T70" s="17" t="str">
        <f t="shared" si="5"/>
        <v/>
      </c>
      <c r="U70" s="7">
        <f>IF($C70="",0,IF('설정'!$B$4=0,0,CHOOSE('설정'!$B$4,COUNTIFS('RAW_유기농_7월'!$D:$D,$C70,'RAW_유기농_7월'!$A:$A,$E70),COUNTIFS('RAW_유기농_8월'!$D:$D,$C70,'RAW_유기농_8월'!$A:$A,$E70),COUNTIFS('RAW_유기농_9월'!$D:$D,$C70,'RAW_유기농_9월'!$A:$A,$E70),COUNTIFS('RAW_유기농_10월'!$D:$D,$C70,'RAW_유기농_10월'!$A:$A,$E70),COUNTIFS('RAW_유기농_11-12월'!$D:$D,$C70,'RAW_유기농_11-12월'!$A:$A,$E70))))</f>
        <v>0</v>
      </c>
    </row>
    <row r="71" ht="15.75" customHeight="1">
      <c r="A71" s="5"/>
      <c r="B71" s="5"/>
      <c r="C71" s="5"/>
      <c r="D71" s="6"/>
      <c r="E71" s="5"/>
      <c r="F71" s="7" t="str">
        <f>IF($C71="","",IF('설정'!$B$4=0,"",CHOOSE('설정'!$B$4,SUMIFS('RAW_유기농_7월'!$F:$F,'RAW_유기농_7월'!$D:$D,$C71,'RAW_유기농_7월'!$A:$A,$E71),SUMIFS('RAW_유기농_8월'!$F:$F,'RAW_유기농_8월'!$D:$D,$C71,'RAW_유기농_8월'!$A:$A,$E71),SUMIFS('RAW_유기농_9월'!$F:$F,'RAW_유기농_9월'!$D:$D,$C71,'RAW_유기농_9월'!$A:$A,$E71),SUMIFS('RAW_유기농_10월'!$F:$F,'RAW_유기농_10월'!$D:$D,$C71,'RAW_유기농_10월'!$A:$A,$E71),SUMIFS('RAW_유기농_11-12월'!$F:$F,'RAW_유기농_11-12월'!$D:$D,$C71,'RAW_유기농_11-12월'!$A:$A,$E71))))</f>
        <v/>
      </c>
      <c r="G71" s="7" t="str">
        <f>IF($C71="","",IF('설정'!$B$4=0,"",CHOOSE('설정'!$B$4,SUMIFS('RAW_유기농_7월'!$G:$G,'RAW_유기농_7월'!$D:$D,$C71,'RAW_유기농_7월'!$A:$A,$E71),SUMIFS('RAW_유기농_8월'!$G:$G,'RAW_유기농_8월'!$D:$D,$C71,'RAW_유기농_8월'!$A:$A,$E71),SUMIFS('RAW_유기농_9월'!$G:$G,'RAW_유기농_9월'!$D:$D,$C71,'RAW_유기농_9월'!$A:$A,$E71),SUMIFS('RAW_유기농_10월'!$G:$G,'RAW_유기농_10월'!$D:$D,$C71,'RAW_유기농_10월'!$A:$A,$E71),SUMIFS('RAW_유기농_11-12월'!$G:$G,'RAW_유기농_11-12월'!$D:$D,$C71,'RAW_유기농_11-12월'!$A:$A,$E71))))</f>
        <v/>
      </c>
      <c r="H71" s="7" t="str">
        <f>IF($C71="","",IF('설정'!$B$4=0,"",CHOOSE('설정'!$B$4,SUMIFS('RAW_유기농_7월'!$H:$H,'RAW_유기농_7월'!$D:$D,$C71,'RAW_유기농_7월'!$A:$A,$E71),SUMIFS('RAW_유기농_8월'!$H:$H,'RAW_유기농_8월'!$D:$D,$C71,'RAW_유기농_8월'!$A:$A,$E71),SUMIFS('RAW_유기농_9월'!$H:$H,'RAW_유기농_9월'!$D:$D,$C71,'RAW_유기농_9월'!$A:$A,$E71),SUMIFS('RAW_유기농_10월'!$H:$H,'RAW_유기농_10월'!$D:$D,$C71,'RAW_유기농_10월'!$A:$A,$E71),SUMIFS('RAW_유기농_11-12월'!$H:$H,'RAW_유기농_11-12월'!$D:$D,$C71,'RAW_유기농_11-12월'!$A:$A,$E71))))</f>
        <v/>
      </c>
      <c r="I71" s="17" t="str">
        <f>IF($C71="","",IF(COUNTIFS('RAW_유기농_7월'!$D:$D,$C71,'RAW_유기농_7월'!$A:$A,$E71)&gt;0,"O",""))</f>
        <v/>
      </c>
      <c r="J71" s="17" t="str">
        <f>IF($C71="","",IF(COUNTIFS('RAW_유기농_8월'!$D:$D,$C71,'RAW_유기농_8월'!$A:$A,$E71)&gt;0,"O",""))</f>
        <v/>
      </c>
      <c r="K71" s="17" t="str">
        <f>IF($C71="","",IF(COUNTIFS('RAW_유기농_9월'!$D:$D,$C71,'RAW_유기농_9월'!$A:$A,$E71)&gt;0,"O",""))</f>
        <v/>
      </c>
      <c r="L71" s="17" t="str">
        <f>IF($C71="","",IF(COUNTIFS('RAW_유기농_10월'!$D:$D,$C71,'RAW_유기농_10월'!$A:$A,$E71)&gt;0,"O",""))</f>
        <v/>
      </c>
      <c r="M71" s="17" t="str">
        <f>IF($C71="","",IF(COUNTIFS('RAW_유기농_11-12월'!$D:$D,$C71,'RAW_유기농_11-12월'!$A:$A,$E71)&gt;0,"O",""))</f>
        <v/>
      </c>
      <c r="N71" s="7" t="str">
        <f>IF($C71="","",IF(COUNTA('RAW_유기농_7월'!$A:$A)&lt;=1,"",SUMIFS('RAW_유기농_7월'!$H:$H,'RAW_유기농_7월'!$D:$D,$C71,'RAW_유기농_7월'!$A:$A,$E71)))</f>
        <v/>
      </c>
      <c r="O71" s="7" t="str">
        <f>IF($C71="","",IF(COUNTA('RAW_유기농_8월'!$A:$A)&lt;=1,"",SUMIFS('RAW_유기농_8월'!$H:$H,'RAW_유기농_8월'!$D:$D,$C71,'RAW_유기농_8월'!$A:$A,$E71)-SUMIFS('RAW_유기농_7월'!$H:$H,'RAW_유기농_7월'!$D:$D,$C71,'RAW_유기농_7월'!$A:$A,$E71)))</f>
        <v/>
      </c>
      <c r="P71" s="7" t="str">
        <f>IF($C71="","",IF(COUNTA('RAW_유기농_9월'!$A:$A)&lt;=1,"",SUMIFS('RAW_유기농_9월'!$H:$H,'RAW_유기농_9월'!$D:$D,$C71,'RAW_유기농_9월'!$A:$A,$E71)-SUMIFS('RAW_유기농_8월'!$H:$H,'RAW_유기농_8월'!$D:$D,$C71,'RAW_유기농_8월'!$A:$A,$E71)))</f>
        <v/>
      </c>
      <c r="Q71" s="7" t="str">
        <f>IF($C71="","",IF(COUNTA('RAW_유기농_10월'!$A:$A)&lt;=1,"",SUMIFS('RAW_유기농_10월'!$H:$H,'RAW_유기농_10월'!$D:$D,$C71,'RAW_유기농_10월'!$A:$A,$E71)-SUMIFS('RAW_유기농_9월'!$H:$H,'RAW_유기농_9월'!$D:$D,$C71,'RAW_유기농_9월'!$A:$A,$E71)))</f>
        <v/>
      </c>
      <c r="R71" s="7" t="str">
        <f>IF($C71="","",IF(COUNTA('RAW_유기농_11-12월'!$A:$A)&lt;=1,"",SUMIFS('RAW_유기농_11-12월'!$H:$H,'RAW_유기농_11-12월'!$D:$D,$C71,'RAW_유기농_11-12월'!$A:$A,$E71)-SUMIFS('RAW_유기농_10월'!$H:$H,'RAW_유기농_10월'!$D:$D,$C71,'RAW_유기농_10월'!$A:$A,$E71)))</f>
        <v/>
      </c>
      <c r="S71" s="17" t="str">
        <f t="shared" si="4"/>
        <v/>
      </c>
      <c r="T71" s="17" t="str">
        <f t="shared" si="5"/>
        <v/>
      </c>
      <c r="U71" s="7">
        <f>IF($C71="",0,IF('설정'!$B$4=0,0,CHOOSE('설정'!$B$4,COUNTIFS('RAW_유기농_7월'!$D:$D,$C71,'RAW_유기농_7월'!$A:$A,$E71),COUNTIFS('RAW_유기농_8월'!$D:$D,$C71,'RAW_유기농_8월'!$A:$A,$E71),COUNTIFS('RAW_유기농_9월'!$D:$D,$C71,'RAW_유기농_9월'!$A:$A,$E71),COUNTIFS('RAW_유기농_10월'!$D:$D,$C71,'RAW_유기농_10월'!$A:$A,$E71),COUNTIFS('RAW_유기농_11-12월'!$D:$D,$C71,'RAW_유기농_11-12월'!$A:$A,$E71))))</f>
        <v>0</v>
      </c>
    </row>
    <row r="72" ht="15.75" customHeight="1">
      <c r="A72" s="5"/>
      <c r="B72" s="5"/>
      <c r="C72" s="5"/>
      <c r="D72" s="6"/>
      <c r="E72" s="5"/>
      <c r="F72" s="7" t="str">
        <f>IF($C72="","",IF('설정'!$B$4=0,"",CHOOSE('설정'!$B$4,SUMIFS('RAW_유기농_7월'!$F:$F,'RAW_유기농_7월'!$D:$D,$C72,'RAW_유기농_7월'!$A:$A,$E72),SUMIFS('RAW_유기농_8월'!$F:$F,'RAW_유기농_8월'!$D:$D,$C72,'RAW_유기농_8월'!$A:$A,$E72),SUMIFS('RAW_유기농_9월'!$F:$F,'RAW_유기농_9월'!$D:$D,$C72,'RAW_유기농_9월'!$A:$A,$E72),SUMIFS('RAW_유기농_10월'!$F:$F,'RAW_유기농_10월'!$D:$D,$C72,'RAW_유기농_10월'!$A:$A,$E72),SUMIFS('RAW_유기농_11-12월'!$F:$F,'RAW_유기농_11-12월'!$D:$D,$C72,'RAW_유기농_11-12월'!$A:$A,$E72))))</f>
        <v/>
      </c>
      <c r="G72" s="7" t="str">
        <f>IF($C72="","",IF('설정'!$B$4=0,"",CHOOSE('설정'!$B$4,SUMIFS('RAW_유기농_7월'!$G:$G,'RAW_유기농_7월'!$D:$D,$C72,'RAW_유기농_7월'!$A:$A,$E72),SUMIFS('RAW_유기농_8월'!$G:$G,'RAW_유기농_8월'!$D:$D,$C72,'RAW_유기농_8월'!$A:$A,$E72),SUMIFS('RAW_유기농_9월'!$G:$G,'RAW_유기농_9월'!$D:$D,$C72,'RAW_유기농_9월'!$A:$A,$E72),SUMIFS('RAW_유기농_10월'!$G:$G,'RAW_유기농_10월'!$D:$D,$C72,'RAW_유기농_10월'!$A:$A,$E72),SUMIFS('RAW_유기농_11-12월'!$G:$G,'RAW_유기농_11-12월'!$D:$D,$C72,'RAW_유기농_11-12월'!$A:$A,$E72))))</f>
        <v/>
      </c>
      <c r="H72" s="7" t="str">
        <f>IF($C72="","",IF('설정'!$B$4=0,"",CHOOSE('설정'!$B$4,SUMIFS('RAW_유기농_7월'!$H:$H,'RAW_유기농_7월'!$D:$D,$C72,'RAW_유기농_7월'!$A:$A,$E72),SUMIFS('RAW_유기농_8월'!$H:$H,'RAW_유기농_8월'!$D:$D,$C72,'RAW_유기농_8월'!$A:$A,$E72),SUMIFS('RAW_유기농_9월'!$H:$H,'RAW_유기농_9월'!$D:$D,$C72,'RAW_유기농_9월'!$A:$A,$E72),SUMIFS('RAW_유기농_10월'!$H:$H,'RAW_유기농_10월'!$D:$D,$C72,'RAW_유기농_10월'!$A:$A,$E72),SUMIFS('RAW_유기농_11-12월'!$H:$H,'RAW_유기농_11-12월'!$D:$D,$C72,'RAW_유기농_11-12월'!$A:$A,$E72))))</f>
        <v/>
      </c>
      <c r="I72" s="17" t="str">
        <f>IF($C72="","",IF(COUNTIFS('RAW_유기농_7월'!$D:$D,$C72,'RAW_유기농_7월'!$A:$A,$E72)&gt;0,"O",""))</f>
        <v/>
      </c>
      <c r="J72" s="17" t="str">
        <f>IF($C72="","",IF(COUNTIFS('RAW_유기농_8월'!$D:$D,$C72,'RAW_유기농_8월'!$A:$A,$E72)&gt;0,"O",""))</f>
        <v/>
      </c>
      <c r="K72" s="17" t="str">
        <f>IF($C72="","",IF(COUNTIFS('RAW_유기농_9월'!$D:$D,$C72,'RAW_유기농_9월'!$A:$A,$E72)&gt;0,"O",""))</f>
        <v/>
      </c>
      <c r="L72" s="17" t="str">
        <f>IF($C72="","",IF(COUNTIFS('RAW_유기농_10월'!$D:$D,$C72,'RAW_유기농_10월'!$A:$A,$E72)&gt;0,"O",""))</f>
        <v/>
      </c>
      <c r="M72" s="17" t="str">
        <f>IF($C72="","",IF(COUNTIFS('RAW_유기농_11-12월'!$D:$D,$C72,'RAW_유기농_11-12월'!$A:$A,$E72)&gt;0,"O",""))</f>
        <v/>
      </c>
      <c r="N72" s="7" t="str">
        <f>IF($C72="","",IF(COUNTA('RAW_유기농_7월'!$A:$A)&lt;=1,"",SUMIFS('RAW_유기농_7월'!$H:$H,'RAW_유기농_7월'!$D:$D,$C72,'RAW_유기농_7월'!$A:$A,$E72)))</f>
        <v/>
      </c>
      <c r="O72" s="7" t="str">
        <f>IF($C72="","",IF(COUNTA('RAW_유기농_8월'!$A:$A)&lt;=1,"",SUMIFS('RAW_유기농_8월'!$H:$H,'RAW_유기농_8월'!$D:$D,$C72,'RAW_유기농_8월'!$A:$A,$E72)-SUMIFS('RAW_유기농_7월'!$H:$H,'RAW_유기농_7월'!$D:$D,$C72,'RAW_유기농_7월'!$A:$A,$E72)))</f>
        <v/>
      </c>
      <c r="P72" s="7" t="str">
        <f>IF($C72="","",IF(COUNTA('RAW_유기농_9월'!$A:$A)&lt;=1,"",SUMIFS('RAW_유기농_9월'!$H:$H,'RAW_유기농_9월'!$D:$D,$C72,'RAW_유기농_9월'!$A:$A,$E72)-SUMIFS('RAW_유기농_8월'!$H:$H,'RAW_유기농_8월'!$D:$D,$C72,'RAW_유기농_8월'!$A:$A,$E72)))</f>
        <v/>
      </c>
      <c r="Q72" s="7" t="str">
        <f>IF($C72="","",IF(COUNTA('RAW_유기농_10월'!$A:$A)&lt;=1,"",SUMIFS('RAW_유기농_10월'!$H:$H,'RAW_유기농_10월'!$D:$D,$C72,'RAW_유기농_10월'!$A:$A,$E72)-SUMIFS('RAW_유기농_9월'!$H:$H,'RAW_유기농_9월'!$D:$D,$C72,'RAW_유기농_9월'!$A:$A,$E72)))</f>
        <v/>
      </c>
      <c r="R72" s="7" t="str">
        <f>IF($C72="","",IF(COUNTA('RAW_유기농_11-12월'!$A:$A)&lt;=1,"",SUMIFS('RAW_유기농_11-12월'!$H:$H,'RAW_유기농_11-12월'!$D:$D,$C72,'RAW_유기농_11-12월'!$A:$A,$E72)-SUMIFS('RAW_유기농_10월'!$H:$H,'RAW_유기농_10월'!$D:$D,$C72,'RAW_유기농_10월'!$A:$A,$E72)))</f>
        <v/>
      </c>
      <c r="S72" s="17" t="str">
        <f t="shared" si="4"/>
        <v/>
      </c>
      <c r="T72" s="17" t="str">
        <f t="shared" si="5"/>
        <v/>
      </c>
      <c r="U72" s="7">
        <f>IF($C72="",0,IF('설정'!$B$4=0,0,CHOOSE('설정'!$B$4,COUNTIFS('RAW_유기농_7월'!$D:$D,$C72,'RAW_유기농_7월'!$A:$A,$E72),COUNTIFS('RAW_유기농_8월'!$D:$D,$C72,'RAW_유기농_8월'!$A:$A,$E72),COUNTIFS('RAW_유기농_9월'!$D:$D,$C72,'RAW_유기농_9월'!$A:$A,$E72),COUNTIFS('RAW_유기농_10월'!$D:$D,$C72,'RAW_유기농_10월'!$A:$A,$E72),COUNTIFS('RAW_유기농_11-12월'!$D:$D,$C72,'RAW_유기농_11-12월'!$A:$A,$E72))))</f>
        <v>0</v>
      </c>
    </row>
    <row r="73" ht="15.75" customHeight="1">
      <c r="A73" s="5"/>
      <c r="B73" s="5"/>
      <c r="C73" s="5"/>
      <c r="D73" s="6"/>
      <c r="E73" s="5"/>
      <c r="F73" s="7" t="str">
        <f>IF($C73="","",IF('설정'!$B$4=0,"",CHOOSE('설정'!$B$4,SUMIFS('RAW_유기농_7월'!$F:$F,'RAW_유기농_7월'!$D:$D,$C73,'RAW_유기농_7월'!$A:$A,$E73),SUMIFS('RAW_유기농_8월'!$F:$F,'RAW_유기농_8월'!$D:$D,$C73,'RAW_유기농_8월'!$A:$A,$E73),SUMIFS('RAW_유기농_9월'!$F:$F,'RAW_유기농_9월'!$D:$D,$C73,'RAW_유기농_9월'!$A:$A,$E73),SUMIFS('RAW_유기농_10월'!$F:$F,'RAW_유기농_10월'!$D:$D,$C73,'RAW_유기농_10월'!$A:$A,$E73),SUMIFS('RAW_유기농_11-12월'!$F:$F,'RAW_유기농_11-12월'!$D:$D,$C73,'RAW_유기농_11-12월'!$A:$A,$E73))))</f>
        <v/>
      </c>
      <c r="G73" s="7" t="str">
        <f>IF($C73="","",IF('설정'!$B$4=0,"",CHOOSE('설정'!$B$4,SUMIFS('RAW_유기농_7월'!$G:$G,'RAW_유기농_7월'!$D:$D,$C73,'RAW_유기농_7월'!$A:$A,$E73),SUMIFS('RAW_유기농_8월'!$G:$G,'RAW_유기농_8월'!$D:$D,$C73,'RAW_유기농_8월'!$A:$A,$E73),SUMIFS('RAW_유기농_9월'!$G:$G,'RAW_유기농_9월'!$D:$D,$C73,'RAW_유기농_9월'!$A:$A,$E73),SUMIFS('RAW_유기농_10월'!$G:$G,'RAW_유기농_10월'!$D:$D,$C73,'RAW_유기농_10월'!$A:$A,$E73),SUMIFS('RAW_유기농_11-12월'!$G:$G,'RAW_유기농_11-12월'!$D:$D,$C73,'RAW_유기농_11-12월'!$A:$A,$E73))))</f>
        <v/>
      </c>
      <c r="H73" s="7" t="str">
        <f>IF($C73="","",IF('설정'!$B$4=0,"",CHOOSE('설정'!$B$4,SUMIFS('RAW_유기농_7월'!$H:$H,'RAW_유기농_7월'!$D:$D,$C73,'RAW_유기농_7월'!$A:$A,$E73),SUMIFS('RAW_유기농_8월'!$H:$H,'RAW_유기농_8월'!$D:$D,$C73,'RAW_유기농_8월'!$A:$A,$E73),SUMIFS('RAW_유기농_9월'!$H:$H,'RAW_유기농_9월'!$D:$D,$C73,'RAW_유기농_9월'!$A:$A,$E73),SUMIFS('RAW_유기농_10월'!$H:$H,'RAW_유기농_10월'!$D:$D,$C73,'RAW_유기농_10월'!$A:$A,$E73),SUMIFS('RAW_유기농_11-12월'!$H:$H,'RAW_유기농_11-12월'!$D:$D,$C73,'RAW_유기농_11-12월'!$A:$A,$E73))))</f>
        <v/>
      </c>
      <c r="I73" s="17" t="str">
        <f>IF($C73="","",IF(COUNTIFS('RAW_유기농_7월'!$D:$D,$C73,'RAW_유기농_7월'!$A:$A,$E73)&gt;0,"O",""))</f>
        <v/>
      </c>
      <c r="J73" s="17" t="str">
        <f>IF($C73="","",IF(COUNTIFS('RAW_유기농_8월'!$D:$D,$C73,'RAW_유기농_8월'!$A:$A,$E73)&gt;0,"O",""))</f>
        <v/>
      </c>
      <c r="K73" s="17" t="str">
        <f>IF($C73="","",IF(COUNTIFS('RAW_유기농_9월'!$D:$D,$C73,'RAW_유기농_9월'!$A:$A,$E73)&gt;0,"O",""))</f>
        <v/>
      </c>
      <c r="L73" s="17" t="str">
        <f>IF($C73="","",IF(COUNTIFS('RAW_유기농_10월'!$D:$D,$C73,'RAW_유기농_10월'!$A:$A,$E73)&gt;0,"O",""))</f>
        <v/>
      </c>
      <c r="M73" s="17" t="str">
        <f>IF($C73="","",IF(COUNTIFS('RAW_유기농_11-12월'!$D:$D,$C73,'RAW_유기농_11-12월'!$A:$A,$E73)&gt;0,"O",""))</f>
        <v/>
      </c>
      <c r="N73" s="7" t="str">
        <f>IF($C73="","",IF(COUNTA('RAW_유기농_7월'!$A:$A)&lt;=1,"",SUMIFS('RAW_유기농_7월'!$H:$H,'RAW_유기농_7월'!$D:$D,$C73,'RAW_유기농_7월'!$A:$A,$E73)))</f>
        <v/>
      </c>
      <c r="O73" s="7" t="str">
        <f>IF($C73="","",IF(COUNTA('RAW_유기농_8월'!$A:$A)&lt;=1,"",SUMIFS('RAW_유기농_8월'!$H:$H,'RAW_유기농_8월'!$D:$D,$C73,'RAW_유기농_8월'!$A:$A,$E73)-SUMIFS('RAW_유기농_7월'!$H:$H,'RAW_유기농_7월'!$D:$D,$C73,'RAW_유기농_7월'!$A:$A,$E73)))</f>
        <v/>
      </c>
      <c r="P73" s="7" t="str">
        <f>IF($C73="","",IF(COUNTA('RAW_유기농_9월'!$A:$A)&lt;=1,"",SUMIFS('RAW_유기농_9월'!$H:$H,'RAW_유기농_9월'!$D:$D,$C73,'RAW_유기농_9월'!$A:$A,$E73)-SUMIFS('RAW_유기농_8월'!$H:$H,'RAW_유기농_8월'!$D:$D,$C73,'RAW_유기농_8월'!$A:$A,$E73)))</f>
        <v/>
      </c>
      <c r="Q73" s="7" t="str">
        <f>IF($C73="","",IF(COUNTA('RAW_유기농_10월'!$A:$A)&lt;=1,"",SUMIFS('RAW_유기농_10월'!$H:$H,'RAW_유기농_10월'!$D:$D,$C73,'RAW_유기농_10월'!$A:$A,$E73)-SUMIFS('RAW_유기농_9월'!$H:$H,'RAW_유기농_9월'!$D:$D,$C73,'RAW_유기농_9월'!$A:$A,$E73)))</f>
        <v/>
      </c>
      <c r="R73" s="7" t="str">
        <f>IF($C73="","",IF(COUNTA('RAW_유기농_11-12월'!$A:$A)&lt;=1,"",SUMIFS('RAW_유기농_11-12월'!$H:$H,'RAW_유기농_11-12월'!$D:$D,$C73,'RAW_유기농_11-12월'!$A:$A,$E73)-SUMIFS('RAW_유기농_10월'!$H:$H,'RAW_유기농_10월'!$D:$D,$C73,'RAW_유기농_10월'!$A:$A,$E73)))</f>
        <v/>
      </c>
      <c r="S73" s="17" t="str">
        <f t="shared" si="4"/>
        <v/>
      </c>
      <c r="T73" s="17" t="str">
        <f t="shared" si="5"/>
        <v/>
      </c>
      <c r="U73" s="7">
        <f>IF($C73="",0,IF('설정'!$B$4=0,0,CHOOSE('설정'!$B$4,COUNTIFS('RAW_유기농_7월'!$D:$D,$C73,'RAW_유기농_7월'!$A:$A,$E73),COUNTIFS('RAW_유기농_8월'!$D:$D,$C73,'RAW_유기농_8월'!$A:$A,$E73),COUNTIFS('RAW_유기농_9월'!$D:$D,$C73,'RAW_유기농_9월'!$A:$A,$E73),COUNTIFS('RAW_유기농_10월'!$D:$D,$C73,'RAW_유기농_10월'!$A:$A,$E73),COUNTIFS('RAW_유기농_11-12월'!$D:$D,$C73,'RAW_유기농_11-12월'!$A:$A,$E73))))</f>
        <v>0</v>
      </c>
    </row>
    <row r="74" ht="15.75" customHeight="1">
      <c r="A74" s="5"/>
      <c r="B74" s="5"/>
      <c r="C74" s="5"/>
      <c r="D74" s="6"/>
      <c r="E74" s="5"/>
      <c r="F74" s="7" t="str">
        <f>IF($C74="","",IF('설정'!$B$4=0,"",CHOOSE('설정'!$B$4,SUMIFS('RAW_유기농_7월'!$F:$F,'RAW_유기농_7월'!$D:$D,$C74,'RAW_유기농_7월'!$A:$A,$E74),SUMIFS('RAW_유기농_8월'!$F:$F,'RAW_유기농_8월'!$D:$D,$C74,'RAW_유기농_8월'!$A:$A,$E74),SUMIFS('RAW_유기농_9월'!$F:$F,'RAW_유기농_9월'!$D:$D,$C74,'RAW_유기농_9월'!$A:$A,$E74),SUMIFS('RAW_유기농_10월'!$F:$F,'RAW_유기농_10월'!$D:$D,$C74,'RAW_유기농_10월'!$A:$A,$E74),SUMIFS('RAW_유기농_11-12월'!$F:$F,'RAW_유기농_11-12월'!$D:$D,$C74,'RAW_유기농_11-12월'!$A:$A,$E74))))</f>
        <v/>
      </c>
      <c r="G74" s="7" t="str">
        <f>IF($C74="","",IF('설정'!$B$4=0,"",CHOOSE('설정'!$B$4,SUMIFS('RAW_유기농_7월'!$G:$G,'RAW_유기농_7월'!$D:$D,$C74,'RAW_유기농_7월'!$A:$A,$E74),SUMIFS('RAW_유기농_8월'!$G:$G,'RAW_유기농_8월'!$D:$D,$C74,'RAW_유기농_8월'!$A:$A,$E74),SUMIFS('RAW_유기농_9월'!$G:$G,'RAW_유기농_9월'!$D:$D,$C74,'RAW_유기농_9월'!$A:$A,$E74),SUMIFS('RAW_유기농_10월'!$G:$G,'RAW_유기농_10월'!$D:$D,$C74,'RAW_유기농_10월'!$A:$A,$E74),SUMIFS('RAW_유기농_11-12월'!$G:$G,'RAW_유기농_11-12월'!$D:$D,$C74,'RAW_유기농_11-12월'!$A:$A,$E74))))</f>
        <v/>
      </c>
      <c r="H74" s="7" t="str">
        <f>IF($C74="","",IF('설정'!$B$4=0,"",CHOOSE('설정'!$B$4,SUMIFS('RAW_유기농_7월'!$H:$H,'RAW_유기농_7월'!$D:$D,$C74,'RAW_유기농_7월'!$A:$A,$E74),SUMIFS('RAW_유기농_8월'!$H:$H,'RAW_유기농_8월'!$D:$D,$C74,'RAW_유기농_8월'!$A:$A,$E74),SUMIFS('RAW_유기농_9월'!$H:$H,'RAW_유기농_9월'!$D:$D,$C74,'RAW_유기농_9월'!$A:$A,$E74),SUMIFS('RAW_유기농_10월'!$H:$H,'RAW_유기농_10월'!$D:$D,$C74,'RAW_유기농_10월'!$A:$A,$E74),SUMIFS('RAW_유기농_11-12월'!$H:$H,'RAW_유기농_11-12월'!$D:$D,$C74,'RAW_유기농_11-12월'!$A:$A,$E74))))</f>
        <v/>
      </c>
      <c r="I74" s="17" t="str">
        <f>IF($C74="","",IF(COUNTIFS('RAW_유기농_7월'!$D:$D,$C74,'RAW_유기농_7월'!$A:$A,$E74)&gt;0,"O",""))</f>
        <v/>
      </c>
      <c r="J74" s="17" t="str">
        <f>IF($C74="","",IF(COUNTIFS('RAW_유기농_8월'!$D:$D,$C74,'RAW_유기농_8월'!$A:$A,$E74)&gt;0,"O",""))</f>
        <v/>
      </c>
      <c r="K74" s="17" t="str">
        <f>IF($C74="","",IF(COUNTIFS('RAW_유기농_9월'!$D:$D,$C74,'RAW_유기농_9월'!$A:$A,$E74)&gt;0,"O",""))</f>
        <v/>
      </c>
      <c r="L74" s="17" t="str">
        <f>IF($C74="","",IF(COUNTIFS('RAW_유기농_10월'!$D:$D,$C74,'RAW_유기농_10월'!$A:$A,$E74)&gt;0,"O",""))</f>
        <v/>
      </c>
      <c r="M74" s="17" t="str">
        <f>IF($C74="","",IF(COUNTIFS('RAW_유기농_11-12월'!$D:$D,$C74,'RAW_유기농_11-12월'!$A:$A,$E74)&gt;0,"O",""))</f>
        <v/>
      </c>
      <c r="N74" s="7" t="str">
        <f>IF($C74="","",IF(COUNTA('RAW_유기농_7월'!$A:$A)&lt;=1,"",SUMIFS('RAW_유기농_7월'!$H:$H,'RAW_유기농_7월'!$D:$D,$C74,'RAW_유기농_7월'!$A:$A,$E74)))</f>
        <v/>
      </c>
      <c r="O74" s="7" t="str">
        <f>IF($C74="","",IF(COUNTA('RAW_유기농_8월'!$A:$A)&lt;=1,"",SUMIFS('RAW_유기농_8월'!$H:$H,'RAW_유기농_8월'!$D:$D,$C74,'RAW_유기농_8월'!$A:$A,$E74)-SUMIFS('RAW_유기농_7월'!$H:$H,'RAW_유기농_7월'!$D:$D,$C74,'RAW_유기농_7월'!$A:$A,$E74)))</f>
        <v/>
      </c>
      <c r="P74" s="7" t="str">
        <f>IF($C74="","",IF(COUNTA('RAW_유기농_9월'!$A:$A)&lt;=1,"",SUMIFS('RAW_유기농_9월'!$H:$H,'RAW_유기농_9월'!$D:$D,$C74,'RAW_유기농_9월'!$A:$A,$E74)-SUMIFS('RAW_유기농_8월'!$H:$H,'RAW_유기농_8월'!$D:$D,$C74,'RAW_유기농_8월'!$A:$A,$E74)))</f>
        <v/>
      </c>
      <c r="Q74" s="7" t="str">
        <f>IF($C74="","",IF(COUNTA('RAW_유기농_10월'!$A:$A)&lt;=1,"",SUMIFS('RAW_유기농_10월'!$H:$H,'RAW_유기농_10월'!$D:$D,$C74,'RAW_유기농_10월'!$A:$A,$E74)-SUMIFS('RAW_유기농_9월'!$H:$H,'RAW_유기농_9월'!$D:$D,$C74,'RAW_유기농_9월'!$A:$A,$E74)))</f>
        <v/>
      </c>
      <c r="R74" s="7" t="str">
        <f>IF($C74="","",IF(COUNTA('RAW_유기농_11-12월'!$A:$A)&lt;=1,"",SUMIFS('RAW_유기농_11-12월'!$H:$H,'RAW_유기농_11-12월'!$D:$D,$C74,'RAW_유기농_11-12월'!$A:$A,$E74)-SUMIFS('RAW_유기농_10월'!$H:$H,'RAW_유기농_10월'!$D:$D,$C74,'RAW_유기농_10월'!$A:$A,$E74)))</f>
        <v/>
      </c>
      <c r="S74" s="17" t="str">
        <f t="shared" si="4"/>
        <v/>
      </c>
      <c r="T74" s="17" t="str">
        <f t="shared" si="5"/>
        <v/>
      </c>
      <c r="U74" s="7">
        <f>IF($C74="",0,IF('설정'!$B$4=0,0,CHOOSE('설정'!$B$4,COUNTIFS('RAW_유기농_7월'!$D:$D,$C74,'RAW_유기농_7월'!$A:$A,$E74),COUNTIFS('RAW_유기농_8월'!$D:$D,$C74,'RAW_유기농_8월'!$A:$A,$E74),COUNTIFS('RAW_유기농_9월'!$D:$D,$C74,'RAW_유기농_9월'!$A:$A,$E74),COUNTIFS('RAW_유기농_10월'!$D:$D,$C74,'RAW_유기농_10월'!$A:$A,$E74),COUNTIFS('RAW_유기농_11-12월'!$D:$D,$C74,'RAW_유기농_11-12월'!$A:$A,$E74))))</f>
        <v>0</v>
      </c>
    </row>
    <row r="75" ht="15.75" customHeight="1">
      <c r="A75" s="5"/>
      <c r="B75" s="5"/>
      <c r="C75" s="5"/>
      <c r="D75" s="6"/>
      <c r="E75" s="5"/>
      <c r="F75" s="7" t="str">
        <f>IF($C75="","",IF('설정'!$B$4=0,"",CHOOSE('설정'!$B$4,SUMIFS('RAW_유기농_7월'!$F:$F,'RAW_유기농_7월'!$D:$D,$C75,'RAW_유기농_7월'!$A:$A,$E75),SUMIFS('RAW_유기농_8월'!$F:$F,'RAW_유기농_8월'!$D:$D,$C75,'RAW_유기농_8월'!$A:$A,$E75),SUMIFS('RAW_유기농_9월'!$F:$F,'RAW_유기농_9월'!$D:$D,$C75,'RAW_유기농_9월'!$A:$A,$E75),SUMIFS('RAW_유기농_10월'!$F:$F,'RAW_유기농_10월'!$D:$D,$C75,'RAW_유기농_10월'!$A:$A,$E75),SUMIFS('RAW_유기농_11-12월'!$F:$F,'RAW_유기농_11-12월'!$D:$D,$C75,'RAW_유기농_11-12월'!$A:$A,$E75))))</f>
        <v/>
      </c>
      <c r="G75" s="7" t="str">
        <f>IF($C75="","",IF('설정'!$B$4=0,"",CHOOSE('설정'!$B$4,SUMIFS('RAW_유기농_7월'!$G:$G,'RAW_유기농_7월'!$D:$D,$C75,'RAW_유기농_7월'!$A:$A,$E75),SUMIFS('RAW_유기농_8월'!$G:$G,'RAW_유기농_8월'!$D:$D,$C75,'RAW_유기농_8월'!$A:$A,$E75),SUMIFS('RAW_유기농_9월'!$G:$G,'RAW_유기농_9월'!$D:$D,$C75,'RAW_유기농_9월'!$A:$A,$E75),SUMIFS('RAW_유기농_10월'!$G:$G,'RAW_유기농_10월'!$D:$D,$C75,'RAW_유기농_10월'!$A:$A,$E75),SUMIFS('RAW_유기농_11-12월'!$G:$G,'RAW_유기농_11-12월'!$D:$D,$C75,'RAW_유기농_11-12월'!$A:$A,$E75))))</f>
        <v/>
      </c>
      <c r="H75" s="7" t="str">
        <f>IF($C75="","",IF('설정'!$B$4=0,"",CHOOSE('설정'!$B$4,SUMIFS('RAW_유기농_7월'!$H:$H,'RAW_유기농_7월'!$D:$D,$C75,'RAW_유기농_7월'!$A:$A,$E75),SUMIFS('RAW_유기농_8월'!$H:$H,'RAW_유기농_8월'!$D:$D,$C75,'RAW_유기농_8월'!$A:$A,$E75),SUMIFS('RAW_유기농_9월'!$H:$H,'RAW_유기농_9월'!$D:$D,$C75,'RAW_유기농_9월'!$A:$A,$E75),SUMIFS('RAW_유기농_10월'!$H:$H,'RAW_유기농_10월'!$D:$D,$C75,'RAW_유기농_10월'!$A:$A,$E75),SUMIFS('RAW_유기농_11-12월'!$H:$H,'RAW_유기농_11-12월'!$D:$D,$C75,'RAW_유기농_11-12월'!$A:$A,$E75))))</f>
        <v/>
      </c>
      <c r="I75" s="17" t="str">
        <f>IF($C75="","",IF(COUNTIFS('RAW_유기농_7월'!$D:$D,$C75,'RAW_유기농_7월'!$A:$A,$E75)&gt;0,"O",""))</f>
        <v/>
      </c>
      <c r="J75" s="17" t="str">
        <f>IF($C75="","",IF(COUNTIFS('RAW_유기농_8월'!$D:$D,$C75,'RAW_유기농_8월'!$A:$A,$E75)&gt;0,"O",""))</f>
        <v/>
      </c>
      <c r="K75" s="17" t="str">
        <f>IF($C75="","",IF(COUNTIFS('RAW_유기농_9월'!$D:$D,$C75,'RAW_유기농_9월'!$A:$A,$E75)&gt;0,"O",""))</f>
        <v/>
      </c>
      <c r="L75" s="17" t="str">
        <f>IF($C75="","",IF(COUNTIFS('RAW_유기농_10월'!$D:$D,$C75,'RAW_유기농_10월'!$A:$A,$E75)&gt;0,"O",""))</f>
        <v/>
      </c>
      <c r="M75" s="17" t="str">
        <f>IF($C75="","",IF(COUNTIFS('RAW_유기농_11-12월'!$D:$D,$C75,'RAW_유기농_11-12월'!$A:$A,$E75)&gt;0,"O",""))</f>
        <v/>
      </c>
      <c r="N75" s="7" t="str">
        <f>IF($C75="","",IF(COUNTA('RAW_유기농_7월'!$A:$A)&lt;=1,"",SUMIFS('RAW_유기농_7월'!$H:$H,'RAW_유기농_7월'!$D:$D,$C75,'RAW_유기농_7월'!$A:$A,$E75)))</f>
        <v/>
      </c>
      <c r="O75" s="7" t="str">
        <f>IF($C75="","",IF(COUNTA('RAW_유기농_8월'!$A:$A)&lt;=1,"",SUMIFS('RAW_유기농_8월'!$H:$H,'RAW_유기농_8월'!$D:$D,$C75,'RAW_유기농_8월'!$A:$A,$E75)-SUMIFS('RAW_유기농_7월'!$H:$H,'RAW_유기농_7월'!$D:$D,$C75,'RAW_유기농_7월'!$A:$A,$E75)))</f>
        <v/>
      </c>
      <c r="P75" s="7" t="str">
        <f>IF($C75="","",IF(COUNTA('RAW_유기농_9월'!$A:$A)&lt;=1,"",SUMIFS('RAW_유기농_9월'!$H:$H,'RAW_유기농_9월'!$D:$D,$C75,'RAW_유기농_9월'!$A:$A,$E75)-SUMIFS('RAW_유기농_8월'!$H:$H,'RAW_유기농_8월'!$D:$D,$C75,'RAW_유기농_8월'!$A:$A,$E75)))</f>
        <v/>
      </c>
      <c r="Q75" s="7" t="str">
        <f>IF($C75="","",IF(COUNTA('RAW_유기농_10월'!$A:$A)&lt;=1,"",SUMIFS('RAW_유기농_10월'!$H:$H,'RAW_유기농_10월'!$D:$D,$C75,'RAW_유기농_10월'!$A:$A,$E75)-SUMIFS('RAW_유기농_9월'!$H:$H,'RAW_유기농_9월'!$D:$D,$C75,'RAW_유기농_9월'!$A:$A,$E75)))</f>
        <v/>
      </c>
      <c r="R75" s="7" t="str">
        <f>IF($C75="","",IF(COUNTA('RAW_유기농_11-12월'!$A:$A)&lt;=1,"",SUMIFS('RAW_유기농_11-12월'!$H:$H,'RAW_유기농_11-12월'!$D:$D,$C75,'RAW_유기농_11-12월'!$A:$A,$E75)-SUMIFS('RAW_유기농_10월'!$H:$H,'RAW_유기농_10월'!$D:$D,$C75,'RAW_유기농_10월'!$A:$A,$E75)))</f>
        <v/>
      </c>
      <c r="S75" s="17" t="str">
        <f t="shared" si="4"/>
        <v/>
      </c>
      <c r="T75" s="17" t="str">
        <f t="shared" si="5"/>
        <v/>
      </c>
      <c r="U75" s="7">
        <f>IF($C75="",0,IF('설정'!$B$4=0,0,CHOOSE('설정'!$B$4,COUNTIFS('RAW_유기농_7월'!$D:$D,$C75,'RAW_유기농_7월'!$A:$A,$E75),COUNTIFS('RAW_유기농_8월'!$D:$D,$C75,'RAW_유기농_8월'!$A:$A,$E75),COUNTIFS('RAW_유기농_9월'!$D:$D,$C75,'RAW_유기농_9월'!$A:$A,$E75),COUNTIFS('RAW_유기농_10월'!$D:$D,$C75,'RAW_유기농_10월'!$A:$A,$E75),COUNTIFS('RAW_유기농_11-12월'!$D:$D,$C75,'RAW_유기농_11-12월'!$A:$A,$E75))))</f>
        <v>0</v>
      </c>
    </row>
    <row r="76" ht="15.75" customHeight="1">
      <c r="A76" s="5"/>
      <c r="B76" s="5"/>
      <c r="C76" s="5"/>
      <c r="D76" s="6"/>
      <c r="E76" s="5"/>
      <c r="F76" s="7" t="str">
        <f>IF($C76="","",IF('설정'!$B$4=0,"",CHOOSE('설정'!$B$4,SUMIFS('RAW_유기농_7월'!$F:$F,'RAW_유기농_7월'!$D:$D,$C76,'RAW_유기농_7월'!$A:$A,$E76),SUMIFS('RAW_유기농_8월'!$F:$F,'RAW_유기농_8월'!$D:$D,$C76,'RAW_유기농_8월'!$A:$A,$E76),SUMIFS('RAW_유기농_9월'!$F:$F,'RAW_유기농_9월'!$D:$D,$C76,'RAW_유기농_9월'!$A:$A,$E76),SUMIFS('RAW_유기농_10월'!$F:$F,'RAW_유기농_10월'!$D:$D,$C76,'RAW_유기농_10월'!$A:$A,$E76),SUMIFS('RAW_유기농_11-12월'!$F:$F,'RAW_유기농_11-12월'!$D:$D,$C76,'RAW_유기농_11-12월'!$A:$A,$E76))))</f>
        <v/>
      </c>
      <c r="G76" s="7" t="str">
        <f>IF($C76="","",IF('설정'!$B$4=0,"",CHOOSE('설정'!$B$4,SUMIFS('RAW_유기농_7월'!$G:$G,'RAW_유기농_7월'!$D:$D,$C76,'RAW_유기농_7월'!$A:$A,$E76),SUMIFS('RAW_유기농_8월'!$G:$G,'RAW_유기농_8월'!$D:$D,$C76,'RAW_유기농_8월'!$A:$A,$E76),SUMIFS('RAW_유기농_9월'!$G:$G,'RAW_유기농_9월'!$D:$D,$C76,'RAW_유기농_9월'!$A:$A,$E76),SUMIFS('RAW_유기농_10월'!$G:$G,'RAW_유기농_10월'!$D:$D,$C76,'RAW_유기농_10월'!$A:$A,$E76),SUMIFS('RAW_유기농_11-12월'!$G:$G,'RAW_유기농_11-12월'!$D:$D,$C76,'RAW_유기농_11-12월'!$A:$A,$E76))))</f>
        <v/>
      </c>
      <c r="H76" s="7" t="str">
        <f>IF($C76="","",IF('설정'!$B$4=0,"",CHOOSE('설정'!$B$4,SUMIFS('RAW_유기농_7월'!$H:$H,'RAW_유기농_7월'!$D:$D,$C76,'RAW_유기농_7월'!$A:$A,$E76),SUMIFS('RAW_유기농_8월'!$H:$H,'RAW_유기농_8월'!$D:$D,$C76,'RAW_유기농_8월'!$A:$A,$E76),SUMIFS('RAW_유기농_9월'!$H:$H,'RAW_유기농_9월'!$D:$D,$C76,'RAW_유기농_9월'!$A:$A,$E76),SUMIFS('RAW_유기농_10월'!$H:$H,'RAW_유기농_10월'!$D:$D,$C76,'RAW_유기농_10월'!$A:$A,$E76),SUMIFS('RAW_유기농_11-12월'!$H:$H,'RAW_유기농_11-12월'!$D:$D,$C76,'RAW_유기농_11-12월'!$A:$A,$E76))))</f>
        <v/>
      </c>
      <c r="I76" s="17" t="str">
        <f>IF($C76="","",IF(COUNTIFS('RAW_유기농_7월'!$D:$D,$C76,'RAW_유기농_7월'!$A:$A,$E76)&gt;0,"O",""))</f>
        <v/>
      </c>
      <c r="J76" s="17" t="str">
        <f>IF($C76="","",IF(COUNTIFS('RAW_유기농_8월'!$D:$D,$C76,'RAW_유기농_8월'!$A:$A,$E76)&gt;0,"O",""))</f>
        <v/>
      </c>
      <c r="K76" s="17" t="str">
        <f>IF($C76="","",IF(COUNTIFS('RAW_유기농_9월'!$D:$D,$C76,'RAW_유기농_9월'!$A:$A,$E76)&gt;0,"O",""))</f>
        <v/>
      </c>
      <c r="L76" s="17" t="str">
        <f>IF($C76="","",IF(COUNTIFS('RAW_유기농_10월'!$D:$D,$C76,'RAW_유기농_10월'!$A:$A,$E76)&gt;0,"O",""))</f>
        <v/>
      </c>
      <c r="M76" s="17" t="str">
        <f>IF($C76="","",IF(COUNTIFS('RAW_유기농_11-12월'!$D:$D,$C76,'RAW_유기농_11-12월'!$A:$A,$E76)&gt;0,"O",""))</f>
        <v/>
      </c>
      <c r="N76" s="7" t="str">
        <f>IF($C76="","",IF(COUNTA('RAW_유기농_7월'!$A:$A)&lt;=1,"",SUMIFS('RAW_유기농_7월'!$H:$H,'RAW_유기농_7월'!$D:$D,$C76,'RAW_유기농_7월'!$A:$A,$E76)))</f>
        <v/>
      </c>
      <c r="O76" s="7" t="str">
        <f>IF($C76="","",IF(COUNTA('RAW_유기농_8월'!$A:$A)&lt;=1,"",SUMIFS('RAW_유기농_8월'!$H:$H,'RAW_유기농_8월'!$D:$D,$C76,'RAW_유기농_8월'!$A:$A,$E76)-SUMIFS('RAW_유기농_7월'!$H:$H,'RAW_유기농_7월'!$D:$D,$C76,'RAW_유기농_7월'!$A:$A,$E76)))</f>
        <v/>
      </c>
      <c r="P76" s="7" t="str">
        <f>IF($C76="","",IF(COUNTA('RAW_유기농_9월'!$A:$A)&lt;=1,"",SUMIFS('RAW_유기농_9월'!$H:$H,'RAW_유기농_9월'!$D:$D,$C76,'RAW_유기농_9월'!$A:$A,$E76)-SUMIFS('RAW_유기농_8월'!$H:$H,'RAW_유기농_8월'!$D:$D,$C76,'RAW_유기농_8월'!$A:$A,$E76)))</f>
        <v/>
      </c>
      <c r="Q76" s="7" t="str">
        <f>IF($C76="","",IF(COUNTA('RAW_유기농_10월'!$A:$A)&lt;=1,"",SUMIFS('RAW_유기농_10월'!$H:$H,'RAW_유기농_10월'!$D:$D,$C76,'RAW_유기농_10월'!$A:$A,$E76)-SUMIFS('RAW_유기농_9월'!$H:$H,'RAW_유기농_9월'!$D:$D,$C76,'RAW_유기농_9월'!$A:$A,$E76)))</f>
        <v/>
      </c>
      <c r="R76" s="7" t="str">
        <f>IF($C76="","",IF(COUNTA('RAW_유기농_11-12월'!$A:$A)&lt;=1,"",SUMIFS('RAW_유기농_11-12월'!$H:$H,'RAW_유기농_11-12월'!$D:$D,$C76,'RAW_유기농_11-12월'!$A:$A,$E76)-SUMIFS('RAW_유기농_10월'!$H:$H,'RAW_유기농_10월'!$D:$D,$C76,'RAW_유기농_10월'!$A:$A,$E76)))</f>
        <v/>
      </c>
      <c r="S76" s="17" t="str">
        <f t="shared" si="4"/>
        <v/>
      </c>
      <c r="T76" s="17" t="str">
        <f t="shared" si="5"/>
        <v/>
      </c>
      <c r="U76" s="7">
        <f>IF($C76="",0,IF('설정'!$B$4=0,0,CHOOSE('설정'!$B$4,COUNTIFS('RAW_유기농_7월'!$D:$D,$C76,'RAW_유기농_7월'!$A:$A,$E76),COUNTIFS('RAW_유기농_8월'!$D:$D,$C76,'RAW_유기농_8월'!$A:$A,$E76),COUNTIFS('RAW_유기농_9월'!$D:$D,$C76,'RAW_유기농_9월'!$A:$A,$E76),COUNTIFS('RAW_유기농_10월'!$D:$D,$C76,'RAW_유기농_10월'!$A:$A,$E76),COUNTIFS('RAW_유기농_11-12월'!$D:$D,$C76,'RAW_유기농_11-12월'!$A:$A,$E76))))</f>
        <v>0</v>
      </c>
    </row>
    <row r="77" ht="15.75" customHeight="1">
      <c r="A77" s="5"/>
      <c r="B77" s="5"/>
      <c r="C77" s="5"/>
      <c r="D77" s="6"/>
      <c r="E77" s="5"/>
      <c r="F77" s="7" t="str">
        <f>IF($C77="","",IF('설정'!$B$4=0,"",CHOOSE('설정'!$B$4,SUMIFS('RAW_유기농_7월'!$F:$F,'RAW_유기농_7월'!$D:$D,$C77,'RAW_유기농_7월'!$A:$A,$E77),SUMIFS('RAW_유기농_8월'!$F:$F,'RAW_유기농_8월'!$D:$D,$C77,'RAW_유기농_8월'!$A:$A,$E77),SUMIFS('RAW_유기농_9월'!$F:$F,'RAW_유기농_9월'!$D:$D,$C77,'RAW_유기농_9월'!$A:$A,$E77),SUMIFS('RAW_유기농_10월'!$F:$F,'RAW_유기농_10월'!$D:$D,$C77,'RAW_유기농_10월'!$A:$A,$E77),SUMIFS('RAW_유기농_11-12월'!$F:$F,'RAW_유기농_11-12월'!$D:$D,$C77,'RAW_유기농_11-12월'!$A:$A,$E77))))</f>
        <v/>
      </c>
      <c r="G77" s="7" t="str">
        <f>IF($C77="","",IF('설정'!$B$4=0,"",CHOOSE('설정'!$B$4,SUMIFS('RAW_유기농_7월'!$G:$G,'RAW_유기농_7월'!$D:$D,$C77,'RAW_유기농_7월'!$A:$A,$E77),SUMIFS('RAW_유기농_8월'!$G:$G,'RAW_유기농_8월'!$D:$D,$C77,'RAW_유기농_8월'!$A:$A,$E77),SUMIFS('RAW_유기농_9월'!$G:$G,'RAW_유기농_9월'!$D:$D,$C77,'RAW_유기농_9월'!$A:$A,$E77),SUMIFS('RAW_유기농_10월'!$G:$G,'RAW_유기농_10월'!$D:$D,$C77,'RAW_유기농_10월'!$A:$A,$E77),SUMIFS('RAW_유기농_11-12월'!$G:$G,'RAW_유기농_11-12월'!$D:$D,$C77,'RAW_유기농_11-12월'!$A:$A,$E77))))</f>
        <v/>
      </c>
      <c r="H77" s="7" t="str">
        <f>IF($C77="","",IF('설정'!$B$4=0,"",CHOOSE('설정'!$B$4,SUMIFS('RAW_유기농_7월'!$H:$H,'RAW_유기농_7월'!$D:$D,$C77,'RAW_유기농_7월'!$A:$A,$E77),SUMIFS('RAW_유기농_8월'!$H:$H,'RAW_유기농_8월'!$D:$D,$C77,'RAW_유기농_8월'!$A:$A,$E77),SUMIFS('RAW_유기농_9월'!$H:$H,'RAW_유기농_9월'!$D:$D,$C77,'RAW_유기농_9월'!$A:$A,$E77),SUMIFS('RAW_유기농_10월'!$H:$H,'RAW_유기농_10월'!$D:$D,$C77,'RAW_유기농_10월'!$A:$A,$E77),SUMIFS('RAW_유기농_11-12월'!$H:$H,'RAW_유기농_11-12월'!$D:$D,$C77,'RAW_유기농_11-12월'!$A:$A,$E77))))</f>
        <v/>
      </c>
      <c r="I77" s="17" t="str">
        <f>IF($C77="","",IF(COUNTIFS('RAW_유기농_7월'!$D:$D,$C77,'RAW_유기농_7월'!$A:$A,$E77)&gt;0,"O",""))</f>
        <v/>
      </c>
      <c r="J77" s="17" t="str">
        <f>IF($C77="","",IF(COUNTIFS('RAW_유기농_8월'!$D:$D,$C77,'RAW_유기농_8월'!$A:$A,$E77)&gt;0,"O",""))</f>
        <v/>
      </c>
      <c r="K77" s="17" t="str">
        <f>IF($C77="","",IF(COUNTIFS('RAW_유기농_9월'!$D:$D,$C77,'RAW_유기농_9월'!$A:$A,$E77)&gt;0,"O",""))</f>
        <v/>
      </c>
      <c r="L77" s="17" t="str">
        <f>IF($C77="","",IF(COUNTIFS('RAW_유기농_10월'!$D:$D,$C77,'RAW_유기농_10월'!$A:$A,$E77)&gt;0,"O",""))</f>
        <v/>
      </c>
      <c r="M77" s="17" t="str">
        <f>IF($C77="","",IF(COUNTIFS('RAW_유기농_11-12월'!$D:$D,$C77,'RAW_유기농_11-12월'!$A:$A,$E77)&gt;0,"O",""))</f>
        <v/>
      </c>
      <c r="N77" s="7" t="str">
        <f>IF($C77="","",IF(COUNTA('RAW_유기농_7월'!$A:$A)&lt;=1,"",SUMIFS('RAW_유기농_7월'!$H:$H,'RAW_유기농_7월'!$D:$D,$C77,'RAW_유기농_7월'!$A:$A,$E77)))</f>
        <v/>
      </c>
      <c r="O77" s="7" t="str">
        <f>IF($C77="","",IF(COUNTA('RAW_유기농_8월'!$A:$A)&lt;=1,"",SUMIFS('RAW_유기농_8월'!$H:$H,'RAW_유기농_8월'!$D:$D,$C77,'RAW_유기농_8월'!$A:$A,$E77)-SUMIFS('RAW_유기농_7월'!$H:$H,'RAW_유기농_7월'!$D:$D,$C77,'RAW_유기농_7월'!$A:$A,$E77)))</f>
        <v/>
      </c>
      <c r="P77" s="7" t="str">
        <f>IF($C77="","",IF(COUNTA('RAW_유기농_9월'!$A:$A)&lt;=1,"",SUMIFS('RAW_유기농_9월'!$H:$H,'RAW_유기농_9월'!$D:$D,$C77,'RAW_유기농_9월'!$A:$A,$E77)-SUMIFS('RAW_유기농_8월'!$H:$H,'RAW_유기농_8월'!$D:$D,$C77,'RAW_유기농_8월'!$A:$A,$E77)))</f>
        <v/>
      </c>
      <c r="Q77" s="7" t="str">
        <f>IF($C77="","",IF(COUNTA('RAW_유기농_10월'!$A:$A)&lt;=1,"",SUMIFS('RAW_유기농_10월'!$H:$H,'RAW_유기농_10월'!$D:$D,$C77,'RAW_유기농_10월'!$A:$A,$E77)-SUMIFS('RAW_유기농_9월'!$H:$H,'RAW_유기농_9월'!$D:$D,$C77,'RAW_유기농_9월'!$A:$A,$E77)))</f>
        <v/>
      </c>
      <c r="R77" s="7" t="str">
        <f>IF($C77="","",IF(COUNTA('RAW_유기농_11-12월'!$A:$A)&lt;=1,"",SUMIFS('RAW_유기농_11-12월'!$H:$H,'RAW_유기농_11-12월'!$D:$D,$C77,'RAW_유기농_11-12월'!$A:$A,$E77)-SUMIFS('RAW_유기농_10월'!$H:$H,'RAW_유기농_10월'!$D:$D,$C77,'RAW_유기농_10월'!$A:$A,$E77)))</f>
        <v/>
      </c>
      <c r="S77" s="17" t="str">
        <f t="shared" si="4"/>
        <v/>
      </c>
      <c r="T77" s="17" t="str">
        <f t="shared" si="5"/>
        <v/>
      </c>
      <c r="U77" s="7">
        <f>IF($C77="",0,IF('설정'!$B$4=0,0,CHOOSE('설정'!$B$4,COUNTIFS('RAW_유기농_7월'!$D:$D,$C77,'RAW_유기농_7월'!$A:$A,$E77),COUNTIFS('RAW_유기농_8월'!$D:$D,$C77,'RAW_유기농_8월'!$A:$A,$E77),COUNTIFS('RAW_유기농_9월'!$D:$D,$C77,'RAW_유기농_9월'!$A:$A,$E77),COUNTIFS('RAW_유기농_10월'!$D:$D,$C77,'RAW_유기농_10월'!$A:$A,$E77),COUNTIFS('RAW_유기농_11-12월'!$D:$D,$C77,'RAW_유기농_11-12월'!$A:$A,$E77))))</f>
        <v>0</v>
      </c>
    </row>
    <row r="78" ht="15.75" customHeight="1">
      <c r="A78" s="5"/>
      <c r="B78" s="5"/>
      <c r="C78" s="5"/>
      <c r="D78" s="6"/>
      <c r="E78" s="5"/>
      <c r="F78" s="7" t="str">
        <f>IF($C78="","",IF('설정'!$B$4=0,"",CHOOSE('설정'!$B$4,SUMIFS('RAW_유기농_7월'!$F:$F,'RAW_유기농_7월'!$D:$D,$C78,'RAW_유기농_7월'!$A:$A,$E78),SUMIFS('RAW_유기농_8월'!$F:$F,'RAW_유기농_8월'!$D:$D,$C78,'RAW_유기농_8월'!$A:$A,$E78),SUMIFS('RAW_유기농_9월'!$F:$F,'RAW_유기농_9월'!$D:$D,$C78,'RAW_유기농_9월'!$A:$A,$E78),SUMIFS('RAW_유기농_10월'!$F:$F,'RAW_유기농_10월'!$D:$D,$C78,'RAW_유기농_10월'!$A:$A,$E78),SUMIFS('RAW_유기농_11-12월'!$F:$F,'RAW_유기농_11-12월'!$D:$D,$C78,'RAW_유기농_11-12월'!$A:$A,$E78))))</f>
        <v/>
      </c>
      <c r="G78" s="7" t="str">
        <f>IF($C78="","",IF('설정'!$B$4=0,"",CHOOSE('설정'!$B$4,SUMIFS('RAW_유기농_7월'!$G:$G,'RAW_유기농_7월'!$D:$D,$C78,'RAW_유기농_7월'!$A:$A,$E78),SUMIFS('RAW_유기농_8월'!$G:$G,'RAW_유기농_8월'!$D:$D,$C78,'RAW_유기농_8월'!$A:$A,$E78),SUMIFS('RAW_유기농_9월'!$G:$G,'RAW_유기농_9월'!$D:$D,$C78,'RAW_유기농_9월'!$A:$A,$E78),SUMIFS('RAW_유기농_10월'!$G:$G,'RAW_유기농_10월'!$D:$D,$C78,'RAW_유기농_10월'!$A:$A,$E78),SUMIFS('RAW_유기농_11-12월'!$G:$G,'RAW_유기농_11-12월'!$D:$D,$C78,'RAW_유기농_11-12월'!$A:$A,$E78))))</f>
        <v/>
      </c>
      <c r="H78" s="7" t="str">
        <f>IF($C78="","",IF('설정'!$B$4=0,"",CHOOSE('설정'!$B$4,SUMIFS('RAW_유기농_7월'!$H:$H,'RAW_유기농_7월'!$D:$D,$C78,'RAW_유기농_7월'!$A:$A,$E78),SUMIFS('RAW_유기농_8월'!$H:$H,'RAW_유기농_8월'!$D:$D,$C78,'RAW_유기농_8월'!$A:$A,$E78),SUMIFS('RAW_유기농_9월'!$H:$H,'RAW_유기농_9월'!$D:$D,$C78,'RAW_유기농_9월'!$A:$A,$E78),SUMIFS('RAW_유기농_10월'!$H:$H,'RAW_유기농_10월'!$D:$D,$C78,'RAW_유기농_10월'!$A:$A,$E78),SUMIFS('RAW_유기농_11-12월'!$H:$H,'RAW_유기농_11-12월'!$D:$D,$C78,'RAW_유기농_11-12월'!$A:$A,$E78))))</f>
        <v/>
      </c>
      <c r="I78" s="17" t="str">
        <f>IF($C78="","",IF(COUNTIFS('RAW_유기농_7월'!$D:$D,$C78,'RAW_유기농_7월'!$A:$A,$E78)&gt;0,"O",""))</f>
        <v/>
      </c>
      <c r="J78" s="17" t="str">
        <f>IF($C78="","",IF(COUNTIFS('RAW_유기농_8월'!$D:$D,$C78,'RAW_유기농_8월'!$A:$A,$E78)&gt;0,"O",""))</f>
        <v/>
      </c>
      <c r="K78" s="17" t="str">
        <f>IF($C78="","",IF(COUNTIFS('RAW_유기농_9월'!$D:$D,$C78,'RAW_유기농_9월'!$A:$A,$E78)&gt;0,"O",""))</f>
        <v/>
      </c>
      <c r="L78" s="17" t="str">
        <f>IF($C78="","",IF(COUNTIFS('RAW_유기농_10월'!$D:$D,$C78,'RAW_유기농_10월'!$A:$A,$E78)&gt;0,"O",""))</f>
        <v/>
      </c>
      <c r="M78" s="17" t="str">
        <f>IF($C78="","",IF(COUNTIFS('RAW_유기농_11-12월'!$D:$D,$C78,'RAW_유기농_11-12월'!$A:$A,$E78)&gt;0,"O",""))</f>
        <v/>
      </c>
      <c r="N78" s="7" t="str">
        <f>IF($C78="","",IF(COUNTA('RAW_유기농_7월'!$A:$A)&lt;=1,"",SUMIFS('RAW_유기농_7월'!$H:$H,'RAW_유기농_7월'!$D:$D,$C78,'RAW_유기농_7월'!$A:$A,$E78)))</f>
        <v/>
      </c>
      <c r="O78" s="7" t="str">
        <f>IF($C78="","",IF(COUNTA('RAW_유기농_8월'!$A:$A)&lt;=1,"",SUMIFS('RAW_유기농_8월'!$H:$H,'RAW_유기농_8월'!$D:$D,$C78,'RAW_유기농_8월'!$A:$A,$E78)-SUMIFS('RAW_유기농_7월'!$H:$H,'RAW_유기농_7월'!$D:$D,$C78,'RAW_유기농_7월'!$A:$A,$E78)))</f>
        <v/>
      </c>
      <c r="P78" s="7" t="str">
        <f>IF($C78="","",IF(COUNTA('RAW_유기농_9월'!$A:$A)&lt;=1,"",SUMIFS('RAW_유기농_9월'!$H:$H,'RAW_유기농_9월'!$D:$D,$C78,'RAW_유기농_9월'!$A:$A,$E78)-SUMIFS('RAW_유기농_8월'!$H:$H,'RAW_유기농_8월'!$D:$D,$C78,'RAW_유기농_8월'!$A:$A,$E78)))</f>
        <v/>
      </c>
      <c r="Q78" s="7" t="str">
        <f>IF($C78="","",IF(COUNTA('RAW_유기농_10월'!$A:$A)&lt;=1,"",SUMIFS('RAW_유기농_10월'!$H:$H,'RAW_유기농_10월'!$D:$D,$C78,'RAW_유기농_10월'!$A:$A,$E78)-SUMIFS('RAW_유기농_9월'!$H:$H,'RAW_유기농_9월'!$D:$D,$C78,'RAW_유기농_9월'!$A:$A,$E78)))</f>
        <v/>
      </c>
      <c r="R78" s="7" t="str">
        <f>IF($C78="","",IF(COUNTA('RAW_유기농_11-12월'!$A:$A)&lt;=1,"",SUMIFS('RAW_유기농_11-12월'!$H:$H,'RAW_유기농_11-12월'!$D:$D,$C78,'RAW_유기농_11-12월'!$A:$A,$E78)-SUMIFS('RAW_유기농_10월'!$H:$H,'RAW_유기농_10월'!$D:$D,$C78,'RAW_유기농_10월'!$A:$A,$E78)))</f>
        <v/>
      </c>
      <c r="S78" s="17" t="str">
        <f t="shared" si="4"/>
        <v/>
      </c>
      <c r="T78" s="17" t="str">
        <f t="shared" si="5"/>
        <v/>
      </c>
      <c r="U78" s="7">
        <f>IF($C78="",0,IF('설정'!$B$4=0,0,CHOOSE('설정'!$B$4,COUNTIFS('RAW_유기농_7월'!$D:$D,$C78,'RAW_유기농_7월'!$A:$A,$E78),COUNTIFS('RAW_유기농_8월'!$D:$D,$C78,'RAW_유기농_8월'!$A:$A,$E78),COUNTIFS('RAW_유기농_9월'!$D:$D,$C78,'RAW_유기농_9월'!$A:$A,$E78),COUNTIFS('RAW_유기농_10월'!$D:$D,$C78,'RAW_유기농_10월'!$A:$A,$E78),COUNTIFS('RAW_유기농_11-12월'!$D:$D,$C78,'RAW_유기농_11-12월'!$A:$A,$E78))))</f>
        <v>0</v>
      </c>
    </row>
    <row r="79" ht="15.75" customHeight="1">
      <c r="A79" s="5"/>
      <c r="B79" s="5"/>
      <c r="C79" s="5"/>
      <c r="D79" s="6"/>
      <c r="E79" s="5"/>
      <c r="F79" s="7" t="str">
        <f>IF($C79="","",IF('설정'!$B$4=0,"",CHOOSE('설정'!$B$4,SUMIFS('RAW_유기농_7월'!$F:$F,'RAW_유기농_7월'!$D:$D,$C79,'RAW_유기농_7월'!$A:$A,$E79),SUMIFS('RAW_유기농_8월'!$F:$F,'RAW_유기농_8월'!$D:$D,$C79,'RAW_유기농_8월'!$A:$A,$E79),SUMIFS('RAW_유기농_9월'!$F:$F,'RAW_유기농_9월'!$D:$D,$C79,'RAW_유기농_9월'!$A:$A,$E79),SUMIFS('RAW_유기농_10월'!$F:$F,'RAW_유기농_10월'!$D:$D,$C79,'RAW_유기농_10월'!$A:$A,$E79),SUMIFS('RAW_유기농_11-12월'!$F:$F,'RAW_유기농_11-12월'!$D:$D,$C79,'RAW_유기농_11-12월'!$A:$A,$E79))))</f>
        <v/>
      </c>
      <c r="G79" s="7" t="str">
        <f>IF($C79="","",IF('설정'!$B$4=0,"",CHOOSE('설정'!$B$4,SUMIFS('RAW_유기농_7월'!$G:$G,'RAW_유기농_7월'!$D:$D,$C79,'RAW_유기농_7월'!$A:$A,$E79),SUMIFS('RAW_유기농_8월'!$G:$G,'RAW_유기농_8월'!$D:$D,$C79,'RAW_유기농_8월'!$A:$A,$E79),SUMIFS('RAW_유기농_9월'!$G:$G,'RAW_유기농_9월'!$D:$D,$C79,'RAW_유기농_9월'!$A:$A,$E79),SUMIFS('RAW_유기농_10월'!$G:$G,'RAW_유기농_10월'!$D:$D,$C79,'RAW_유기농_10월'!$A:$A,$E79),SUMIFS('RAW_유기농_11-12월'!$G:$G,'RAW_유기농_11-12월'!$D:$D,$C79,'RAW_유기농_11-12월'!$A:$A,$E79))))</f>
        <v/>
      </c>
      <c r="H79" s="7" t="str">
        <f>IF($C79="","",IF('설정'!$B$4=0,"",CHOOSE('설정'!$B$4,SUMIFS('RAW_유기농_7월'!$H:$H,'RAW_유기농_7월'!$D:$D,$C79,'RAW_유기농_7월'!$A:$A,$E79),SUMIFS('RAW_유기농_8월'!$H:$H,'RAW_유기농_8월'!$D:$D,$C79,'RAW_유기농_8월'!$A:$A,$E79),SUMIFS('RAW_유기농_9월'!$H:$H,'RAW_유기농_9월'!$D:$D,$C79,'RAW_유기농_9월'!$A:$A,$E79),SUMIFS('RAW_유기농_10월'!$H:$H,'RAW_유기농_10월'!$D:$D,$C79,'RAW_유기농_10월'!$A:$A,$E79),SUMIFS('RAW_유기농_11-12월'!$H:$H,'RAW_유기농_11-12월'!$D:$D,$C79,'RAW_유기농_11-12월'!$A:$A,$E79))))</f>
        <v/>
      </c>
      <c r="I79" s="17" t="str">
        <f>IF($C79="","",IF(COUNTIFS('RAW_유기농_7월'!$D:$D,$C79,'RAW_유기농_7월'!$A:$A,$E79)&gt;0,"O",""))</f>
        <v/>
      </c>
      <c r="J79" s="17" t="str">
        <f>IF($C79="","",IF(COUNTIFS('RAW_유기농_8월'!$D:$D,$C79,'RAW_유기농_8월'!$A:$A,$E79)&gt;0,"O",""))</f>
        <v/>
      </c>
      <c r="K79" s="17" t="str">
        <f>IF($C79="","",IF(COUNTIFS('RAW_유기농_9월'!$D:$D,$C79,'RAW_유기농_9월'!$A:$A,$E79)&gt;0,"O",""))</f>
        <v/>
      </c>
      <c r="L79" s="17" t="str">
        <f>IF($C79="","",IF(COUNTIFS('RAW_유기농_10월'!$D:$D,$C79,'RAW_유기농_10월'!$A:$A,$E79)&gt;0,"O",""))</f>
        <v/>
      </c>
      <c r="M79" s="17" t="str">
        <f>IF($C79="","",IF(COUNTIFS('RAW_유기농_11-12월'!$D:$D,$C79,'RAW_유기농_11-12월'!$A:$A,$E79)&gt;0,"O",""))</f>
        <v/>
      </c>
      <c r="N79" s="7" t="str">
        <f>IF($C79="","",IF(COUNTA('RAW_유기농_7월'!$A:$A)&lt;=1,"",SUMIFS('RAW_유기농_7월'!$H:$H,'RAW_유기농_7월'!$D:$D,$C79,'RAW_유기농_7월'!$A:$A,$E79)))</f>
        <v/>
      </c>
      <c r="O79" s="7" t="str">
        <f>IF($C79="","",IF(COUNTA('RAW_유기농_8월'!$A:$A)&lt;=1,"",SUMIFS('RAW_유기농_8월'!$H:$H,'RAW_유기농_8월'!$D:$D,$C79,'RAW_유기농_8월'!$A:$A,$E79)-SUMIFS('RAW_유기농_7월'!$H:$H,'RAW_유기농_7월'!$D:$D,$C79,'RAW_유기농_7월'!$A:$A,$E79)))</f>
        <v/>
      </c>
      <c r="P79" s="7" t="str">
        <f>IF($C79="","",IF(COUNTA('RAW_유기농_9월'!$A:$A)&lt;=1,"",SUMIFS('RAW_유기농_9월'!$H:$H,'RAW_유기농_9월'!$D:$D,$C79,'RAW_유기농_9월'!$A:$A,$E79)-SUMIFS('RAW_유기농_8월'!$H:$H,'RAW_유기농_8월'!$D:$D,$C79,'RAW_유기농_8월'!$A:$A,$E79)))</f>
        <v/>
      </c>
      <c r="Q79" s="7" t="str">
        <f>IF($C79="","",IF(COUNTA('RAW_유기농_10월'!$A:$A)&lt;=1,"",SUMIFS('RAW_유기농_10월'!$H:$H,'RAW_유기농_10월'!$D:$D,$C79,'RAW_유기농_10월'!$A:$A,$E79)-SUMIFS('RAW_유기농_9월'!$H:$H,'RAW_유기농_9월'!$D:$D,$C79,'RAW_유기농_9월'!$A:$A,$E79)))</f>
        <v/>
      </c>
      <c r="R79" s="7" t="str">
        <f>IF($C79="","",IF(COUNTA('RAW_유기농_11-12월'!$A:$A)&lt;=1,"",SUMIFS('RAW_유기농_11-12월'!$H:$H,'RAW_유기농_11-12월'!$D:$D,$C79,'RAW_유기농_11-12월'!$A:$A,$E79)-SUMIFS('RAW_유기농_10월'!$H:$H,'RAW_유기농_10월'!$D:$D,$C79,'RAW_유기농_10월'!$A:$A,$E79)))</f>
        <v/>
      </c>
      <c r="S79" s="17" t="str">
        <f t="shared" si="4"/>
        <v/>
      </c>
      <c r="T79" s="17" t="str">
        <f t="shared" si="5"/>
        <v/>
      </c>
      <c r="U79" s="7">
        <f>IF($C79="",0,IF('설정'!$B$4=0,0,CHOOSE('설정'!$B$4,COUNTIFS('RAW_유기농_7월'!$D:$D,$C79,'RAW_유기농_7월'!$A:$A,$E79),COUNTIFS('RAW_유기농_8월'!$D:$D,$C79,'RAW_유기농_8월'!$A:$A,$E79),COUNTIFS('RAW_유기농_9월'!$D:$D,$C79,'RAW_유기농_9월'!$A:$A,$E79),COUNTIFS('RAW_유기농_10월'!$D:$D,$C79,'RAW_유기농_10월'!$A:$A,$E79),COUNTIFS('RAW_유기농_11-12월'!$D:$D,$C79,'RAW_유기농_11-12월'!$A:$A,$E79))))</f>
        <v>0</v>
      </c>
    </row>
    <row r="80" ht="15.75" customHeight="1">
      <c r="A80" s="5"/>
      <c r="B80" s="5"/>
      <c r="C80" s="5"/>
      <c r="D80" s="6"/>
      <c r="E80" s="5"/>
      <c r="F80" s="7" t="str">
        <f>IF($C80="","",IF('설정'!$B$4=0,"",CHOOSE('설정'!$B$4,SUMIFS('RAW_유기농_7월'!$F:$F,'RAW_유기농_7월'!$D:$D,$C80,'RAW_유기농_7월'!$A:$A,$E80),SUMIFS('RAW_유기농_8월'!$F:$F,'RAW_유기농_8월'!$D:$D,$C80,'RAW_유기농_8월'!$A:$A,$E80),SUMIFS('RAW_유기농_9월'!$F:$F,'RAW_유기농_9월'!$D:$D,$C80,'RAW_유기농_9월'!$A:$A,$E80),SUMIFS('RAW_유기농_10월'!$F:$F,'RAW_유기농_10월'!$D:$D,$C80,'RAW_유기농_10월'!$A:$A,$E80),SUMIFS('RAW_유기농_11-12월'!$F:$F,'RAW_유기농_11-12월'!$D:$D,$C80,'RAW_유기농_11-12월'!$A:$A,$E80))))</f>
        <v/>
      </c>
      <c r="G80" s="7" t="str">
        <f>IF($C80="","",IF('설정'!$B$4=0,"",CHOOSE('설정'!$B$4,SUMIFS('RAW_유기농_7월'!$G:$G,'RAW_유기농_7월'!$D:$D,$C80,'RAW_유기농_7월'!$A:$A,$E80),SUMIFS('RAW_유기농_8월'!$G:$G,'RAW_유기농_8월'!$D:$D,$C80,'RAW_유기농_8월'!$A:$A,$E80),SUMIFS('RAW_유기농_9월'!$G:$G,'RAW_유기농_9월'!$D:$D,$C80,'RAW_유기농_9월'!$A:$A,$E80),SUMIFS('RAW_유기농_10월'!$G:$G,'RAW_유기농_10월'!$D:$D,$C80,'RAW_유기농_10월'!$A:$A,$E80),SUMIFS('RAW_유기농_11-12월'!$G:$G,'RAW_유기농_11-12월'!$D:$D,$C80,'RAW_유기농_11-12월'!$A:$A,$E80))))</f>
        <v/>
      </c>
      <c r="H80" s="7" t="str">
        <f>IF($C80="","",IF('설정'!$B$4=0,"",CHOOSE('설정'!$B$4,SUMIFS('RAW_유기농_7월'!$H:$H,'RAW_유기농_7월'!$D:$D,$C80,'RAW_유기농_7월'!$A:$A,$E80),SUMIFS('RAW_유기농_8월'!$H:$H,'RAW_유기농_8월'!$D:$D,$C80,'RAW_유기농_8월'!$A:$A,$E80),SUMIFS('RAW_유기농_9월'!$H:$H,'RAW_유기농_9월'!$D:$D,$C80,'RAW_유기농_9월'!$A:$A,$E80),SUMIFS('RAW_유기농_10월'!$H:$H,'RAW_유기농_10월'!$D:$D,$C80,'RAW_유기농_10월'!$A:$A,$E80),SUMIFS('RAW_유기농_11-12월'!$H:$H,'RAW_유기농_11-12월'!$D:$D,$C80,'RAW_유기농_11-12월'!$A:$A,$E80))))</f>
        <v/>
      </c>
      <c r="I80" s="17" t="str">
        <f>IF($C80="","",IF(COUNTIFS('RAW_유기농_7월'!$D:$D,$C80,'RAW_유기농_7월'!$A:$A,$E80)&gt;0,"O",""))</f>
        <v/>
      </c>
      <c r="J80" s="17" t="str">
        <f>IF($C80="","",IF(COUNTIFS('RAW_유기농_8월'!$D:$D,$C80,'RAW_유기농_8월'!$A:$A,$E80)&gt;0,"O",""))</f>
        <v/>
      </c>
      <c r="K80" s="17" t="str">
        <f>IF($C80="","",IF(COUNTIFS('RAW_유기농_9월'!$D:$D,$C80,'RAW_유기농_9월'!$A:$A,$E80)&gt;0,"O",""))</f>
        <v/>
      </c>
      <c r="L80" s="17" t="str">
        <f>IF($C80="","",IF(COUNTIFS('RAW_유기농_10월'!$D:$D,$C80,'RAW_유기농_10월'!$A:$A,$E80)&gt;0,"O",""))</f>
        <v/>
      </c>
      <c r="M80" s="17" t="str">
        <f>IF($C80="","",IF(COUNTIFS('RAW_유기농_11-12월'!$D:$D,$C80,'RAW_유기농_11-12월'!$A:$A,$E80)&gt;0,"O",""))</f>
        <v/>
      </c>
      <c r="N80" s="7" t="str">
        <f>IF($C80="","",IF(COUNTA('RAW_유기농_7월'!$A:$A)&lt;=1,"",SUMIFS('RAW_유기농_7월'!$H:$H,'RAW_유기농_7월'!$D:$D,$C80,'RAW_유기농_7월'!$A:$A,$E80)))</f>
        <v/>
      </c>
      <c r="O80" s="7" t="str">
        <f>IF($C80="","",IF(COUNTA('RAW_유기농_8월'!$A:$A)&lt;=1,"",SUMIFS('RAW_유기농_8월'!$H:$H,'RAW_유기농_8월'!$D:$D,$C80,'RAW_유기농_8월'!$A:$A,$E80)-SUMIFS('RAW_유기농_7월'!$H:$H,'RAW_유기농_7월'!$D:$D,$C80,'RAW_유기농_7월'!$A:$A,$E80)))</f>
        <v/>
      </c>
      <c r="P80" s="7" t="str">
        <f>IF($C80="","",IF(COUNTA('RAW_유기농_9월'!$A:$A)&lt;=1,"",SUMIFS('RAW_유기농_9월'!$H:$H,'RAW_유기농_9월'!$D:$D,$C80,'RAW_유기농_9월'!$A:$A,$E80)-SUMIFS('RAW_유기농_8월'!$H:$H,'RAW_유기농_8월'!$D:$D,$C80,'RAW_유기농_8월'!$A:$A,$E80)))</f>
        <v/>
      </c>
      <c r="Q80" s="7" t="str">
        <f>IF($C80="","",IF(COUNTA('RAW_유기농_10월'!$A:$A)&lt;=1,"",SUMIFS('RAW_유기농_10월'!$H:$H,'RAW_유기농_10월'!$D:$D,$C80,'RAW_유기농_10월'!$A:$A,$E80)-SUMIFS('RAW_유기농_9월'!$H:$H,'RAW_유기농_9월'!$D:$D,$C80,'RAW_유기농_9월'!$A:$A,$E80)))</f>
        <v/>
      </c>
      <c r="R80" s="7" t="str">
        <f>IF($C80="","",IF(COUNTA('RAW_유기농_11-12월'!$A:$A)&lt;=1,"",SUMIFS('RAW_유기농_11-12월'!$H:$H,'RAW_유기농_11-12월'!$D:$D,$C80,'RAW_유기농_11-12월'!$A:$A,$E80)-SUMIFS('RAW_유기농_10월'!$H:$H,'RAW_유기농_10월'!$D:$D,$C80,'RAW_유기농_10월'!$A:$A,$E80)))</f>
        <v/>
      </c>
      <c r="S80" s="17" t="str">
        <f t="shared" si="4"/>
        <v/>
      </c>
      <c r="T80" s="17" t="str">
        <f t="shared" si="5"/>
        <v/>
      </c>
      <c r="U80" s="7">
        <f>IF($C80="",0,IF('설정'!$B$4=0,0,CHOOSE('설정'!$B$4,COUNTIFS('RAW_유기농_7월'!$D:$D,$C80,'RAW_유기농_7월'!$A:$A,$E80),COUNTIFS('RAW_유기농_8월'!$D:$D,$C80,'RAW_유기농_8월'!$A:$A,$E80),COUNTIFS('RAW_유기농_9월'!$D:$D,$C80,'RAW_유기농_9월'!$A:$A,$E80),COUNTIFS('RAW_유기농_10월'!$D:$D,$C80,'RAW_유기농_10월'!$A:$A,$E80),COUNTIFS('RAW_유기농_11-12월'!$D:$D,$C80,'RAW_유기농_11-12월'!$A:$A,$E80))))</f>
        <v>0</v>
      </c>
    </row>
    <row r="81" ht="15.75" customHeight="1">
      <c r="A81" s="5"/>
      <c r="B81" s="5"/>
      <c r="C81" s="5"/>
      <c r="D81" s="6"/>
      <c r="E81" s="5"/>
      <c r="F81" s="7" t="str">
        <f>IF($C81="","",IF('설정'!$B$4=0,"",CHOOSE('설정'!$B$4,SUMIFS('RAW_유기농_7월'!$F:$F,'RAW_유기농_7월'!$D:$D,$C81,'RAW_유기농_7월'!$A:$A,$E81),SUMIFS('RAW_유기농_8월'!$F:$F,'RAW_유기농_8월'!$D:$D,$C81,'RAW_유기농_8월'!$A:$A,$E81),SUMIFS('RAW_유기농_9월'!$F:$F,'RAW_유기농_9월'!$D:$D,$C81,'RAW_유기농_9월'!$A:$A,$E81),SUMIFS('RAW_유기농_10월'!$F:$F,'RAW_유기농_10월'!$D:$D,$C81,'RAW_유기농_10월'!$A:$A,$E81),SUMIFS('RAW_유기농_11-12월'!$F:$F,'RAW_유기농_11-12월'!$D:$D,$C81,'RAW_유기농_11-12월'!$A:$A,$E81))))</f>
        <v/>
      </c>
      <c r="G81" s="7" t="str">
        <f>IF($C81="","",IF('설정'!$B$4=0,"",CHOOSE('설정'!$B$4,SUMIFS('RAW_유기농_7월'!$G:$G,'RAW_유기농_7월'!$D:$D,$C81,'RAW_유기농_7월'!$A:$A,$E81),SUMIFS('RAW_유기농_8월'!$G:$G,'RAW_유기농_8월'!$D:$D,$C81,'RAW_유기농_8월'!$A:$A,$E81),SUMIFS('RAW_유기농_9월'!$G:$G,'RAW_유기농_9월'!$D:$D,$C81,'RAW_유기농_9월'!$A:$A,$E81),SUMIFS('RAW_유기농_10월'!$G:$G,'RAW_유기농_10월'!$D:$D,$C81,'RAW_유기농_10월'!$A:$A,$E81),SUMIFS('RAW_유기농_11-12월'!$G:$G,'RAW_유기농_11-12월'!$D:$D,$C81,'RAW_유기농_11-12월'!$A:$A,$E81))))</f>
        <v/>
      </c>
      <c r="H81" s="7" t="str">
        <f>IF($C81="","",IF('설정'!$B$4=0,"",CHOOSE('설정'!$B$4,SUMIFS('RAW_유기농_7월'!$H:$H,'RAW_유기농_7월'!$D:$D,$C81,'RAW_유기농_7월'!$A:$A,$E81),SUMIFS('RAW_유기농_8월'!$H:$H,'RAW_유기농_8월'!$D:$D,$C81,'RAW_유기농_8월'!$A:$A,$E81),SUMIFS('RAW_유기농_9월'!$H:$H,'RAW_유기농_9월'!$D:$D,$C81,'RAW_유기농_9월'!$A:$A,$E81),SUMIFS('RAW_유기농_10월'!$H:$H,'RAW_유기농_10월'!$D:$D,$C81,'RAW_유기농_10월'!$A:$A,$E81),SUMIFS('RAW_유기농_11-12월'!$H:$H,'RAW_유기농_11-12월'!$D:$D,$C81,'RAW_유기농_11-12월'!$A:$A,$E81))))</f>
        <v/>
      </c>
      <c r="I81" s="17" t="str">
        <f>IF($C81="","",IF(COUNTIFS('RAW_유기농_7월'!$D:$D,$C81,'RAW_유기농_7월'!$A:$A,$E81)&gt;0,"O",""))</f>
        <v/>
      </c>
      <c r="J81" s="17" t="str">
        <f>IF($C81="","",IF(COUNTIFS('RAW_유기농_8월'!$D:$D,$C81,'RAW_유기농_8월'!$A:$A,$E81)&gt;0,"O",""))</f>
        <v/>
      </c>
      <c r="K81" s="17" t="str">
        <f>IF($C81="","",IF(COUNTIFS('RAW_유기농_9월'!$D:$D,$C81,'RAW_유기농_9월'!$A:$A,$E81)&gt;0,"O",""))</f>
        <v/>
      </c>
      <c r="L81" s="17" t="str">
        <f>IF($C81="","",IF(COUNTIFS('RAW_유기농_10월'!$D:$D,$C81,'RAW_유기농_10월'!$A:$A,$E81)&gt;0,"O",""))</f>
        <v/>
      </c>
      <c r="M81" s="17" t="str">
        <f>IF($C81="","",IF(COUNTIFS('RAW_유기농_11-12월'!$D:$D,$C81,'RAW_유기농_11-12월'!$A:$A,$E81)&gt;0,"O",""))</f>
        <v/>
      </c>
      <c r="N81" s="7" t="str">
        <f>IF($C81="","",IF(COUNTA('RAW_유기농_7월'!$A:$A)&lt;=1,"",SUMIFS('RAW_유기농_7월'!$H:$H,'RAW_유기농_7월'!$D:$D,$C81,'RAW_유기농_7월'!$A:$A,$E81)))</f>
        <v/>
      </c>
      <c r="O81" s="7" t="str">
        <f>IF($C81="","",IF(COUNTA('RAW_유기농_8월'!$A:$A)&lt;=1,"",SUMIFS('RAW_유기농_8월'!$H:$H,'RAW_유기농_8월'!$D:$D,$C81,'RAW_유기농_8월'!$A:$A,$E81)-SUMIFS('RAW_유기농_7월'!$H:$H,'RAW_유기농_7월'!$D:$D,$C81,'RAW_유기농_7월'!$A:$A,$E81)))</f>
        <v/>
      </c>
      <c r="P81" s="7" t="str">
        <f>IF($C81="","",IF(COUNTA('RAW_유기농_9월'!$A:$A)&lt;=1,"",SUMIFS('RAW_유기농_9월'!$H:$H,'RAW_유기농_9월'!$D:$D,$C81,'RAW_유기농_9월'!$A:$A,$E81)-SUMIFS('RAW_유기농_8월'!$H:$H,'RAW_유기농_8월'!$D:$D,$C81,'RAW_유기농_8월'!$A:$A,$E81)))</f>
        <v/>
      </c>
      <c r="Q81" s="7" t="str">
        <f>IF($C81="","",IF(COUNTA('RAW_유기농_10월'!$A:$A)&lt;=1,"",SUMIFS('RAW_유기농_10월'!$H:$H,'RAW_유기농_10월'!$D:$D,$C81,'RAW_유기농_10월'!$A:$A,$E81)-SUMIFS('RAW_유기농_9월'!$H:$H,'RAW_유기농_9월'!$D:$D,$C81,'RAW_유기농_9월'!$A:$A,$E81)))</f>
        <v/>
      </c>
      <c r="R81" s="7" t="str">
        <f>IF($C81="","",IF(COUNTA('RAW_유기농_11-12월'!$A:$A)&lt;=1,"",SUMIFS('RAW_유기농_11-12월'!$H:$H,'RAW_유기농_11-12월'!$D:$D,$C81,'RAW_유기농_11-12월'!$A:$A,$E81)-SUMIFS('RAW_유기농_10월'!$H:$H,'RAW_유기농_10월'!$D:$D,$C81,'RAW_유기농_10월'!$A:$A,$E81)))</f>
        <v/>
      </c>
      <c r="S81" s="17" t="str">
        <f t="shared" si="4"/>
        <v/>
      </c>
      <c r="T81" s="17" t="str">
        <f t="shared" si="5"/>
        <v/>
      </c>
      <c r="U81" s="7">
        <f>IF($C81="",0,IF('설정'!$B$4=0,0,CHOOSE('설정'!$B$4,COUNTIFS('RAW_유기농_7월'!$D:$D,$C81,'RAW_유기농_7월'!$A:$A,$E81),COUNTIFS('RAW_유기농_8월'!$D:$D,$C81,'RAW_유기농_8월'!$A:$A,$E81),COUNTIFS('RAW_유기농_9월'!$D:$D,$C81,'RAW_유기농_9월'!$A:$A,$E81),COUNTIFS('RAW_유기농_10월'!$D:$D,$C81,'RAW_유기농_10월'!$A:$A,$E81),COUNTIFS('RAW_유기농_11-12월'!$D:$D,$C81,'RAW_유기농_11-12월'!$A:$A,$E81))))</f>
        <v>0</v>
      </c>
    </row>
    <row r="82" ht="15.75" customHeight="1">
      <c r="A82" s="5"/>
      <c r="B82" s="5"/>
      <c r="C82" s="5"/>
      <c r="D82" s="6"/>
      <c r="E82" s="5"/>
      <c r="F82" s="7" t="str">
        <f>IF($C82="","",IF('설정'!$B$4=0,"",CHOOSE('설정'!$B$4,SUMIFS('RAW_유기농_7월'!$F:$F,'RAW_유기농_7월'!$D:$D,$C82,'RAW_유기농_7월'!$A:$A,$E82),SUMIFS('RAW_유기농_8월'!$F:$F,'RAW_유기농_8월'!$D:$D,$C82,'RAW_유기농_8월'!$A:$A,$E82),SUMIFS('RAW_유기농_9월'!$F:$F,'RAW_유기농_9월'!$D:$D,$C82,'RAW_유기농_9월'!$A:$A,$E82),SUMIFS('RAW_유기농_10월'!$F:$F,'RAW_유기농_10월'!$D:$D,$C82,'RAW_유기농_10월'!$A:$A,$E82),SUMIFS('RAW_유기농_11-12월'!$F:$F,'RAW_유기농_11-12월'!$D:$D,$C82,'RAW_유기농_11-12월'!$A:$A,$E82))))</f>
        <v/>
      </c>
      <c r="G82" s="7" t="str">
        <f>IF($C82="","",IF('설정'!$B$4=0,"",CHOOSE('설정'!$B$4,SUMIFS('RAW_유기농_7월'!$G:$G,'RAW_유기농_7월'!$D:$D,$C82,'RAW_유기농_7월'!$A:$A,$E82),SUMIFS('RAW_유기농_8월'!$G:$G,'RAW_유기농_8월'!$D:$D,$C82,'RAW_유기농_8월'!$A:$A,$E82),SUMIFS('RAW_유기농_9월'!$G:$G,'RAW_유기농_9월'!$D:$D,$C82,'RAW_유기농_9월'!$A:$A,$E82),SUMIFS('RAW_유기농_10월'!$G:$G,'RAW_유기농_10월'!$D:$D,$C82,'RAW_유기농_10월'!$A:$A,$E82),SUMIFS('RAW_유기농_11-12월'!$G:$G,'RAW_유기농_11-12월'!$D:$D,$C82,'RAW_유기농_11-12월'!$A:$A,$E82))))</f>
        <v/>
      </c>
      <c r="H82" s="7" t="str">
        <f>IF($C82="","",IF('설정'!$B$4=0,"",CHOOSE('설정'!$B$4,SUMIFS('RAW_유기농_7월'!$H:$H,'RAW_유기농_7월'!$D:$D,$C82,'RAW_유기농_7월'!$A:$A,$E82),SUMIFS('RAW_유기농_8월'!$H:$H,'RAW_유기농_8월'!$D:$D,$C82,'RAW_유기농_8월'!$A:$A,$E82),SUMIFS('RAW_유기농_9월'!$H:$H,'RAW_유기농_9월'!$D:$D,$C82,'RAW_유기농_9월'!$A:$A,$E82),SUMIFS('RAW_유기농_10월'!$H:$H,'RAW_유기농_10월'!$D:$D,$C82,'RAW_유기농_10월'!$A:$A,$E82),SUMIFS('RAW_유기농_11-12월'!$H:$H,'RAW_유기농_11-12월'!$D:$D,$C82,'RAW_유기농_11-12월'!$A:$A,$E82))))</f>
        <v/>
      </c>
      <c r="I82" s="17" t="str">
        <f>IF($C82="","",IF(COUNTIFS('RAW_유기농_7월'!$D:$D,$C82,'RAW_유기농_7월'!$A:$A,$E82)&gt;0,"O",""))</f>
        <v/>
      </c>
      <c r="J82" s="17" t="str">
        <f>IF($C82="","",IF(COUNTIFS('RAW_유기농_8월'!$D:$D,$C82,'RAW_유기농_8월'!$A:$A,$E82)&gt;0,"O",""))</f>
        <v/>
      </c>
      <c r="K82" s="17" t="str">
        <f>IF($C82="","",IF(COUNTIFS('RAW_유기농_9월'!$D:$D,$C82,'RAW_유기농_9월'!$A:$A,$E82)&gt;0,"O",""))</f>
        <v/>
      </c>
      <c r="L82" s="17" t="str">
        <f>IF($C82="","",IF(COUNTIFS('RAW_유기농_10월'!$D:$D,$C82,'RAW_유기농_10월'!$A:$A,$E82)&gt;0,"O",""))</f>
        <v/>
      </c>
      <c r="M82" s="17" t="str">
        <f>IF($C82="","",IF(COUNTIFS('RAW_유기농_11-12월'!$D:$D,$C82,'RAW_유기농_11-12월'!$A:$A,$E82)&gt;0,"O",""))</f>
        <v/>
      </c>
      <c r="N82" s="7" t="str">
        <f>IF($C82="","",IF(COUNTA('RAW_유기농_7월'!$A:$A)&lt;=1,"",SUMIFS('RAW_유기농_7월'!$H:$H,'RAW_유기농_7월'!$D:$D,$C82,'RAW_유기농_7월'!$A:$A,$E82)))</f>
        <v/>
      </c>
      <c r="O82" s="7" t="str">
        <f>IF($C82="","",IF(COUNTA('RAW_유기농_8월'!$A:$A)&lt;=1,"",SUMIFS('RAW_유기농_8월'!$H:$H,'RAW_유기농_8월'!$D:$D,$C82,'RAW_유기농_8월'!$A:$A,$E82)-SUMIFS('RAW_유기농_7월'!$H:$H,'RAW_유기농_7월'!$D:$D,$C82,'RAW_유기농_7월'!$A:$A,$E82)))</f>
        <v/>
      </c>
      <c r="P82" s="7" t="str">
        <f>IF($C82="","",IF(COUNTA('RAW_유기농_9월'!$A:$A)&lt;=1,"",SUMIFS('RAW_유기농_9월'!$H:$H,'RAW_유기농_9월'!$D:$D,$C82,'RAW_유기농_9월'!$A:$A,$E82)-SUMIFS('RAW_유기농_8월'!$H:$H,'RAW_유기농_8월'!$D:$D,$C82,'RAW_유기농_8월'!$A:$A,$E82)))</f>
        <v/>
      </c>
      <c r="Q82" s="7" t="str">
        <f>IF($C82="","",IF(COUNTA('RAW_유기농_10월'!$A:$A)&lt;=1,"",SUMIFS('RAW_유기농_10월'!$H:$H,'RAW_유기농_10월'!$D:$D,$C82,'RAW_유기농_10월'!$A:$A,$E82)-SUMIFS('RAW_유기농_9월'!$H:$H,'RAW_유기농_9월'!$D:$D,$C82,'RAW_유기농_9월'!$A:$A,$E82)))</f>
        <v/>
      </c>
      <c r="R82" s="7" t="str">
        <f>IF($C82="","",IF(COUNTA('RAW_유기농_11-12월'!$A:$A)&lt;=1,"",SUMIFS('RAW_유기농_11-12월'!$H:$H,'RAW_유기농_11-12월'!$D:$D,$C82,'RAW_유기농_11-12월'!$A:$A,$E82)-SUMIFS('RAW_유기농_10월'!$H:$H,'RAW_유기농_10월'!$D:$D,$C82,'RAW_유기농_10월'!$A:$A,$E82)))</f>
        <v/>
      </c>
      <c r="S82" s="17" t="str">
        <f t="shared" si="4"/>
        <v/>
      </c>
      <c r="T82" s="17" t="str">
        <f t="shared" si="5"/>
        <v/>
      </c>
      <c r="U82" s="7">
        <f>IF($C82="",0,IF('설정'!$B$4=0,0,CHOOSE('설정'!$B$4,COUNTIFS('RAW_유기농_7월'!$D:$D,$C82,'RAW_유기농_7월'!$A:$A,$E82),COUNTIFS('RAW_유기농_8월'!$D:$D,$C82,'RAW_유기농_8월'!$A:$A,$E82),COUNTIFS('RAW_유기농_9월'!$D:$D,$C82,'RAW_유기농_9월'!$A:$A,$E82),COUNTIFS('RAW_유기농_10월'!$D:$D,$C82,'RAW_유기농_10월'!$A:$A,$E82),COUNTIFS('RAW_유기농_11-12월'!$D:$D,$C82,'RAW_유기농_11-12월'!$A:$A,$E82))))</f>
        <v>0</v>
      </c>
    </row>
    <row r="83" ht="15.75" customHeight="1">
      <c r="A83" s="5"/>
      <c r="B83" s="5"/>
      <c r="C83" s="5"/>
      <c r="D83" s="6"/>
      <c r="E83" s="5"/>
      <c r="F83" s="7" t="str">
        <f>IF($C83="","",IF('설정'!$B$4=0,"",CHOOSE('설정'!$B$4,SUMIFS('RAW_유기농_7월'!$F:$F,'RAW_유기농_7월'!$D:$D,$C83,'RAW_유기농_7월'!$A:$A,$E83),SUMIFS('RAW_유기농_8월'!$F:$F,'RAW_유기농_8월'!$D:$D,$C83,'RAW_유기농_8월'!$A:$A,$E83),SUMIFS('RAW_유기농_9월'!$F:$F,'RAW_유기농_9월'!$D:$D,$C83,'RAW_유기농_9월'!$A:$A,$E83),SUMIFS('RAW_유기농_10월'!$F:$F,'RAW_유기농_10월'!$D:$D,$C83,'RAW_유기농_10월'!$A:$A,$E83),SUMIFS('RAW_유기농_11-12월'!$F:$F,'RAW_유기농_11-12월'!$D:$D,$C83,'RAW_유기농_11-12월'!$A:$A,$E83))))</f>
        <v/>
      </c>
      <c r="G83" s="7" t="str">
        <f>IF($C83="","",IF('설정'!$B$4=0,"",CHOOSE('설정'!$B$4,SUMIFS('RAW_유기농_7월'!$G:$G,'RAW_유기농_7월'!$D:$D,$C83,'RAW_유기농_7월'!$A:$A,$E83),SUMIFS('RAW_유기농_8월'!$G:$G,'RAW_유기농_8월'!$D:$D,$C83,'RAW_유기농_8월'!$A:$A,$E83),SUMIFS('RAW_유기농_9월'!$G:$G,'RAW_유기농_9월'!$D:$D,$C83,'RAW_유기농_9월'!$A:$A,$E83),SUMIFS('RAW_유기농_10월'!$G:$G,'RAW_유기농_10월'!$D:$D,$C83,'RAW_유기농_10월'!$A:$A,$E83),SUMIFS('RAW_유기농_11-12월'!$G:$G,'RAW_유기농_11-12월'!$D:$D,$C83,'RAW_유기농_11-12월'!$A:$A,$E83))))</f>
        <v/>
      </c>
      <c r="H83" s="7" t="str">
        <f>IF($C83="","",IF('설정'!$B$4=0,"",CHOOSE('설정'!$B$4,SUMIFS('RAW_유기농_7월'!$H:$H,'RAW_유기농_7월'!$D:$D,$C83,'RAW_유기농_7월'!$A:$A,$E83),SUMIFS('RAW_유기농_8월'!$H:$H,'RAW_유기농_8월'!$D:$D,$C83,'RAW_유기농_8월'!$A:$A,$E83),SUMIFS('RAW_유기농_9월'!$H:$H,'RAW_유기농_9월'!$D:$D,$C83,'RAW_유기농_9월'!$A:$A,$E83),SUMIFS('RAW_유기농_10월'!$H:$H,'RAW_유기농_10월'!$D:$D,$C83,'RAW_유기농_10월'!$A:$A,$E83),SUMIFS('RAW_유기농_11-12월'!$H:$H,'RAW_유기농_11-12월'!$D:$D,$C83,'RAW_유기농_11-12월'!$A:$A,$E83))))</f>
        <v/>
      </c>
      <c r="I83" s="17" t="str">
        <f>IF($C83="","",IF(COUNTIFS('RAW_유기농_7월'!$D:$D,$C83,'RAW_유기농_7월'!$A:$A,$E83)&gt;0,"O",""))</f>
        <v/>
      </c>
      <c r="J83" s="17" t="str">
        <f>IF($C83="","",IF(COUNTIFS('RAW_유기농_8월'!$D:$D,$C83,'RAW_유기농_8월'!$A:$A,$E83)&gt;0,"O",""))</f>
        <v/>
      </c>
      <c r="K83" s="17" t="str">
        <f>IF($C83="","",IF(COUNTIFS('RAW_유기농_9월'!$D:$D,$C83,'RAW_유기농_9월'!$A:$A,$E83)&gt;0,"O",""))</f>
        <v/>
      </c>
      <c r="L83" s="17" t="str">
        <f>IF($C83="","",IF(COUNTIFS('RAW_유기농_10월'!$D:$D,$C83,'RAW_유기농_10월'!$A:$A,$E83)&gt;0,"O",""))</f>
        <v/>
      </c>
      <c r="M83" s="17" t="str">
        <f>IF($C83="","",IF(COUNTIFS('RAW_유기농_11-12월'!$D:$D,$C83,'RAW_유기농_11-12월'!$A:$A,$E83)&gt;0,"O",""))</f>
        <v/>
      </c>
      <c r="N83" s="7" t="str">
        <f>IF($C83="","",IF(COUNTA('RAW_유기농_7월'!$A:$A)&lt;=1,"",SUMIFS('RAW_유기농_7월'!$H:$H,'RAW_유기농_7월'!$D:$D,$C83,'RAW_유기농_7월'!$A:$A,$E83)))</f>
        <v/>
      </c>
      <c r="O83" s="7" t="str">
        <f>IF($C83="","",IF(COUNTA('RAW_유기농_8월'!$A:$A)&lt;=1,"",SUMIFS('RAW_유기농_8월'!$H:$H,'RAW_유기농_8월'!$D:$D,$C83,'RAW_유기농_8월'!$A:$A,$E83)-SUMIFS('RAW_유기농_7월'!$H:$H,'RAW_유기농_7월'!$D:$D,$C83,'RAW_유기농_7월'!$A:$A,$E83)))</f>
        <v/>
      </c>
      <c r="P83" s="7" t="str">
        <f>IF($C83="","",IF(COUNTA('RAW_유기농_9월'!$A:$A)&lt;=1,"",SUMIFS('RAW_유기농_9월'!$H:$H,'RAW_유기농_9월'!$D:$D,$C83,'RAW_유기농_9월'!$A:$A,$E83)-SUMIFS('RAW_유기농_8월'!$H:$H,'RAW_유기농_8월'!$D:$D,$C83,'RAW_유기농_8월'!$A:$A,$E83)))</f>
        <v/>
      </c>
      <c r="Q83" s="7" t="str">
        <f>IF($C83="","",IF(COUNTA('RAW_유기농_10월'!$A:$A)&lt;=1,"",SUMIFS('RAW_유기농_10월'!$H:$H,'RAW_유기농_10월'!$D:$D,$C83,'RAW_유기농_10월'!$A:$A,$E83)-SUMIFS('RAW_유기농_9월'!$H:$H,'RAW_유기농_9월'!$D:$D,$C83,'RAW_유기농_9월'!$A:$A,$E83)))</f>
        <v/>
      </c>
      <c r="R83" s="7" t="str">
        <f>IF($C83="","",IF(COUNTA('RAW_유기농_11-12월'!$A:$A)&lt;=1,"",SUMIFS('RAW_유기농_11-12월'!$H:$H,'RAW_유기농_11-12월'!$D:$D,$C83,'RAW_유기농_11-12월'!$A:$A,$E83)-SUMIFS('RAW_유기농_10월'!$H:$H,'RAW_유기농_10월'!$D:$D,$C83,'RAW_유기농_10월'!$A:$A,$E83)))</f>
        <v/>
      </c>
      <c r="S83" s="17" t="str">
        <f t="shared" si="4"/>
        <v/>
      </c>
      <c r="T83" s="17" t="str">
        <f t="shared" si="5"/>
        <v/>
      </c>
      <c r="U83" s="7">
        <f>IF($C83="",0,IF('설정'!$B$4=0,0,CHOOSE('설정'!$B$4,COUNTIFS('RAW_유기농_7월'!$D:$D,$C83,'RAW_유기농_7월'!$A:$A,$E83),COUNTIFS('RAW_유기농_8월'!$D:$D,$C83,'RAW_유기농_8월'!$A:$A,$E83),COUNTIFS('RAW_유기농_9월'!$D:$D,$C83,'RAW_유기농_9월'!$A:$A,$E83),COUNTIFS('RAW_유기농_10월'!$D:$D,$C83,'RAW_유기농_10월'!$A:$A,$E83),COUNTIFS('RAW_유기농_11-12월'!$D:$D,$C83,'RAW_유기농_11-12월'!$A:$A,$E83))))</f>
        <v>0</v>
      </c>
    </row>
    <row r="84" ht="15.75" customHeight="1">
      <c r="A84" s="5"/>
      <c r="B84" s="5"/>
      <c r="C84" s="5"/>
      <c r="D84" s="6"/>
      <c r="E84" s="5"/>
      <c r="F84" s="7" t="str">
        <f>IF($C84="","",IF('설정'!$B$4=0,"",CHOOSE('설정'!$B$4,SUMIFS('RAW_유기농_7월'!$F:$F,'RAW_유기농_7월'!$D:$D,$C84,'RAW_유기농_7월'!$A:$A,$E84),SUMIFS('RAW_유기농_8월'!$F:$F,'RAW_유기농_8월'!$D:$D,$C84,'RAW_유기농_8월'!$A:$A,$E84),SUMIFS('RAW_유기농_9월'!$F:$F,'RAW_유기농_9월'!$D:$D,$C84,'RAW_유기농_9월'!$A:$A,$E84),SUMIFS('RAW_유기농_10월'!$F:$F,'RAW_유기농_10월'!$D:$D,$C84,'RAW_유기농_10월'!$A:$A,$E84),SUMIFS('RAW_유기농_11-12월'!$F:$F,'RAW_유기농_11-12월'!$D:$D,$C84,'RAW_유기농_11-12월'!$A:$A,$E84))))</f>
        <v/>
      </c>
      <c r="G84" s="7" t="str">
        <f>IF($C84="","",IF('설정'!$B$4=0,"",CHOOSE('설정'!$B$4,SUMIFS('RAW_유기농_7월'!$G:$G,'RAW_유기농_7월'!$D:$D,$C84,'RAW_유기농_7월'!$A:$A,$E84),SUMIFS('RAW_유기농_8월'!$G:$G,'RAW_유기농_8월'!$D:$D,$C84,'RAW_유기농_8월'!$A:$A,$E84),SUMIFS('RAW_유기농_9월'!$G:$G,'RAW_유기농_9월'!$D:$D,$C84,'RAW_유기농_9월'!$A:$A,$E84),SUMIFS('RAW_유기농_10월'!$G:$G,'RAW_유기농_10월'!$D:$D,$C84,'RAW_유기농_10월'!$A:$A,$E84),SUMIFS('RAW_유기농_11-12월'!$G:$G,'RAW_유기농_11-12월'!$D:$D,$C84,'RAW_유기농_11-12월'!$A:$A,$E84))))</f>
        <v/>
      </c>
      <c r="H84" s="7" t="str">
        <f>IF($C84="","",IF('설정'!$B$4=0,"",CHOOSE('설정'!$B$4,SUMIFS('RAW_유기농_7월'!$H:$H,'RAW_유기농_7월'!$D:$D,$C84,'RAW_유기농_7월'!$A:$A,$E84),SUMIFS('RAW_유기농_8월'!$H:$H,'RAW_유기농_8월'!$D:$D,$C84,'RAW_유기농_8월'!$A:$A,$E84),SUMIFS('RAW_유기농_9월'!$H:$H,'RAW_유기농_9월'!$D:$D,$C84,'RAW_유기농_9월'!$A:$A,$E84),SUMIFS('RAW_유기농_10월'!$H:$H,'RAW_유기농_10월'!$D:$D,$C84,'RAW_유기농_10월'!$A:$A,$E84),SUMIFS('RAW_유기농_11-12월'!$H:$H,'RAW_유기농_11-12월'!$D:$D,$C84,'RAW_유기농_11-12월'!$A:$A,$E84))))</f>
        <v/>
      </c>
      <c r="I84" s="17" t="str">
        <f>IF($C84="","",IF(COUNTIFS('RAW_유기농_7월'!$D:$D,$C84,'RAW_유기농_7월'!$A:$A,$E84)&gt;0,"O",""))</f>
        <v/>
      </c>
      <c r="J84" s="17" t="str">
        <f>IF($C84="","",IF(COUNTIFS('RAW_유기농_8월'!$D:$D,$C84,'RAW_유기농_8월'!$A:$A,$E84)&gt;0,"O",""))</f>
        <v/>
      </c>
      <c r="K84" s="17" t="str">
        <f>IF($C84="","",IF(COUNTIFS('RAW_유기농_9월'!$D:$D,$C84,'RAW_유기농_9월'!$A:$A,$E84)&gt;0,"O",""))</f>
        <v/>
      </c>
      <c r="L84" s="17" t="str">
        <f>IF($C84="","",IF(COUNTIFS('RAW_유기농_10월'!$D:$D,$C84,'RAW_유기농_10월'!$A:$A,$E84)&gt;0,"O",""))</f>
        <v/>
      </c>
      <c r="M84" s="17" t="str">
        <f>IF($C84="","",IF(COUNTIFS('RAW_유기농_11-12월'!$D:$D,$C84,'RAW_유기농_11-12월'!$A:$A,$E84)&gt;0,"O",""))</f>
        <v/>
      </c>
      <c r="N84" s="7" t="str">
        <f>IF($C84="","",IF(COUNTA('RAW_유기농_7월'!$A:$A)&lt;=1,"",SUMIFS('RAW_유기농_7월'!$H:$H,'RAW_유기농_7월'!$D:$D,$C84,'RAW_유기농_7월'!$A:$A,$E84)))</f>
        <v/>
      </c>
      <c r="O84" s="7" t="str">
        <f>IF($C84="","",IF(COUNTA('RAW_유기농_8월'!$A:$A)&lt;=1,"",SUMIFS('RAW_유기농_8월'!$H:$H,'RAW_유기농_8월'!$D:$D,$C84,'RAW_유기농_8월'!$A:$A,$E84)-SUMIFS('RAW_유기농_7월'!$H:$H,'RAW_유기농_7월'!$D:$D,$C84,'RAW_유기농_7월'!$A:$A,$E84)))</f>
        <v/>
      </c>
      <c r="P84" s="7" t="str">
        <f>IF($C84="","",IF(COUNTA('RAW_유기농_9월'!$A:$A)&lt;=1,"",SUMIFS('RAW_유기농_9월'!$H:$H,'RAW_유기농_9월'!$D:$D,$C84,'RAW_유기농_9월'!$A:$A,$E84)-SUMIFS('RAW_유기농_8월'!$H:$H,'RAW_유기농_8월'!$D:$D,$C84,'RAW_유기농_8월'!$A:$A,$E84)))</f>
        <v/>
      </c>
      <c r="Q84" s="7" t="str">
        <f>IF($C84="","",IF(COUNTA('RAW_유기농_10월'!$A:$A)&lt;=1,"",SUMIFS('RAW_유기농_10월'!$H:$H,'RAW_유기농_10월'!$D:$D,$C84,'RAW_유기농_10월'!$A:$A,$E84)-SUMIFS('RAW_유기농_9월'!$H:$H,'RAW_유기농_9월'!$D:$D,$C84,'RAW_유기농_9월'!$A:$A,$E84)))</f>
        <v/>
      </c>
      <c r="R84" s="7" t="str">
        <f>IF($C84="","",IF(COUNTA('RAW_유기농_11-12월'!$A:$A)&lt;=1,"",SUMIFS('RAW_유기농_11-12월'!$H:$H,'RAW_유기농_11-12월'!$D:$D,$C84,'RAW_유기농_11-12월'!$A:$A,$E84)-SUMIFS('RAW_유기농_10월'!$H:$H,'RAW_유기농_10월'!$D:$D,$C84,'RAW_유기농_10월'!$A:$A,$E84)))</f>
        <v/>
      </c>
      <c r="S84" s="17" t="str">
        <f t="shared" si="4"/>
        <v/>
      </c>
      <c r="T84" s="17" t="str">
        <f t="shared" si="5"/>
        <v/>
      </c>
      <c r="U84" s="7">
        <f>IF($C84="",0,IF('설정'!$B$4=0,0,CHOOSE('설정'!$B$4,COUNTIFS('RAW_유기농_7월'!$D:$D,$C84,'RAW_유기농_7월'!$A:$A,$E84),COUNTIFS('RAW_유기농_8월'!$D:$D,$C84,'RAW_유기농_8월'!$A:$A,$E84),COUNTIFS('RAW_유기농_9월'!$D:$D,$C84,'RAW_유기농_9월'!$A:$A,$E84),COUNTIFS('RAW_유기농_10월'!$D:$D,$C84,'RAW_유기농_10월'!$A:$A,$E84),COUNTIFS('RAW_유기농_11-12월'!$D:$D,$C84,'RAW_유기농_11-12월'!$A:$A,$E84))))</f>
        <v>0</v>
      </c>
    </row>
    <row r="85" ht="15.75" customHeight="1">
      <c r="A85" s="5"/>
      <c r="B85" s="5"/>
      <c r="C85" s="5"/>
      <c r="D85" s="6"/>
      <c r="E85" s="5"/>
      <c r="F85" s="7" t="str">
        <f>IF($C85="","",IF('설정'!$B$4=0,"",CHOOSE('설정'!$B$4,SUMIFS('RAW_유기농_7월'!$F:$F,'RAW_유기농_7월'!$D:$D,$C85,'RAW_유기농_7월'!$A:$A,$E85),SUMIFS('RAW_유기농_8월'!$F:$F,'RAW_유기농_8월'!$D:$D,$C85,'RAW_유기농_8월'!$A:$A,$E85),SUMIFS('RAW_유기농_9월'!$F:$F,'RAW_유기농_9월'!$D:$D,$C85,'RAW_유기농_9월'!$A:$A,$E85),SUMIFS('RAW_유기농_10월'!$F:$F,'RAW_유기농_10월'!$D:$D,$C85,'RAW_유기농_10월'!$A:$A,$E85),SUMIFS('RAW_유기농_11-12월'!$F:$F,'RAW_유기농_11-12월'!$D:$D,$C85,'RAW_유기농_11-12월'!$A:$A,$E85))))</f>
        <v/>
      </c>
      <c r="G85" s="7" t="str">
        <f>IF($C85="","",IF('설정'!$B$4=0,"",CHOOSE('설정'!$B$4,SUMIFS('RAW_유기농_7월'!$G:$G,'RAW_유기농_7월'!$D:$D,$C85,'RAW_유기농_7월'!$A:$A,$E85),SUMIFS('RAW_유기농_8월'!$G:$G,'RAW_유기농_8월'!$D:$D,$C85,'RAW_유기농_8월'!$A:$A,$E85),SUMIFS('RAW_유기농_9월'!$G:$G,'RAW_유기농_9월'!$D:$D,$C85,'RAW_유기농_9월'!$A:$A,$E85),SUMIFS('RAW_유기농_10월'!$G:$G,'RAW_유기농_10월'!$D:$D,$C85,'RAW_유기농_10월'!$A:$A,$E85),SUMIFS('RAW_유기농_11-12월'!$G:$G,'RAW_유기농_11-12월'!$D:$D,$C85,'RAW_유기농_11-12월'!$A:$A,$E85))))</f>
        <v/>
      </c>
      <c r="H85" s="7" t="str">
        <f>IF($C85="","",IF('설정'!$B$4=0,"",CHOOSE('설정'!$B$4,SUMIFS('RAW_유기농_7월'!$H:$H,'RAW_유기농_7월'!$D:$D,$C85,'RAW_유기농_7월'!$A:$A,$E85),SUMIFS('RAW_유기농_8월'!$H:$H,'RAW_유기농_8월'!$D:$D,$C85,'RAW_유기농_8월'!$A:$A,$E85),SUMIFS('RAW_유기농_9월'!$H:$H,'RAW_유기농_9월'!$D:$D,$C85,'RAW_유기농_9월'!$A:$A,$E85),SUMIFS('RAW_유기농_10월'!$H:$H,'RAW_유기농_10월'!$D:$D,$C85,'RAW_유기농_10월'!$A:$A,$E85),SUMIFS('RAW_유기농_11-12월'!$H:$H,'RAW_유기농_11-12월'!$D:$D,$C85,'RAW_유기농_11-12월'!$A:$A,$E85))))</f>
        <v/>
      </c>
      <c r="I85" s="17" t="str">
        <f>IF($C85="","",IF(COUNTIFS('RAW_유기농_7월'!$D:$D,$C85,'RAW_유기농_7월'!$A:$A,$E85)&gt;0,"O",""))</f>
        <v/>
      </c>
      <c r="J85" s="17" t="str">
        <f>IF($C85="","",IF(COUNTIFS('RAW_유기농_8월'!$D:$D,$C85,'RAW_유기농_8월'!$A:$A,$E85)&gt;0,"O",""))</f>
        <v/>
      </c>
      <c r="K85" s="17" t="str">
        <f>IF($C85="","",IF(COUNTIFS('RAW_유기농_9월'!$D:$D,$C85,'RAW_유기농_9월'!$A:$A,$E85)&gt;0,"O",""))</f>
        <v/>
      </c>
      <c r="L85" s="17" t="str">
        <f>IF($C85="","",IF(COUNTIFS('RAW_유기농_10월'!$D:$D,$C85,'RAW_유기농_10월'!$A:$A,$E85)&gt;0,"O",""))</f>
        <v/>
      </c>
      <c r="M85" s="17" t="str">
        <f>IF($C85="","",IF(COUNTIFS('RAW_유기농_11-12월'!$D:$D,$C85,'RAW_유기농_11-12월'!$A:$A,$E85)&gt;0,"O",""))</f>
        <v/>
      </c>
      <c r="N85" s="7" t="str">
        <f>IF($C85="","",IF(COUNTA('RAW_유기농_7월'!$A:$A)&lt;=1,"",SUMIFS('RAW_유기농_7월'!$H:$H,'RAW_유기농_7월'!$D:$D,$C85,'RAW_유기농_7월'!$A:$A,$E85)))</f>
        <v/>
      </c>
      <c r="O85" s="7" t="str">
        <f>IF($C85="","",IF(COUNTA('RAW_유기농_8월'!$A:$A)&lt;=1,"",SUMIFS('RAW_유기농_8월'!$H:$H,'RAW_유기농_8월'!$D:$D,$C85,'RAW_유기농_8월'!$A:$A,$E85)-SUMIFS('RAW_유기농_7월'!$H:$H,'RAW_유기농_7월'!$D:$D,$C85,'RAW_유기농_7월'!$A:$A,$E85)))</f>
        <v/>
      </c>
      <c r="P85" s="7" t="str">
        <f>IF($C85="","",IF(COUNTA('RAW_유기농_9월'!$A:$A)&lt;=1,"",SUMIFS('RAW_유기농_9월'!$H:$H,'RAW_유기농_9월'!$D:$D,$C85,'RAW_유기농_9월'!$A:$A,$E85)-SUMIFS('RAW_유기농_8월'!$H:$H,'RAW_유기농_8월'!$D:$D,$C85,'RAW_유기농_8월'!$A:$A,$E85)))</f>
        <v/>
      </c>
      <c r="Q85" s="7" t="str">
        <f>IF($C85="","",IF(COUNTA('RAW_유기농_10월'!$A:$A)&lt;=1,"",SUMIFS('RAW_유기농_10월'!$H:$H,'RAW_유기농_10월'!$D:$D,$C85,'RAW_유기농_10월'!$A:$A,$E85)-SUMIFS('RAW_유기농_9월'!$H:$H,'RAW_유기농_9월'!$D:$D,$C85,'RAW_유기농_9월'!$A:$A,$E85)))</f>
        <v/>
      </c>
      <c r="R85" s="7" t="str">
        <f>IF($C85="","",IF(COUNTA('RAW_유기농_11-12월'!$A:$A)&lt;=1,"",SUMIFS('RAW_유기농_11-12월'!$H:$H,'RAW_유기농_11-12월'!$D:$D,$C85,'RAW_유기농_11-12월'!$A:$A,$E85)-SUMIFS('RAW_유기농_10월'!$H:$H,'RAW_유기농_10월'!$D:$D,$C85,'RAW_유기농_10월'!$A:$A,$E85)))</f>
        <v/>
      </c>
      <c r="S85" s="17" t="str">
        <f t="shared" si="4"/>
        <v/>
      </c>
      <c r="T85" s="17" t="str">
        <f t="shared" si="5"/>
        <v/>
      </c>
      <c r="U85" s="7">
        <f>IF($C85="",0,IF('설정'!$B$4=0,0,CHOOSE('설정'!$B$4,COUNTIFS('RAW_유기농_7월'!$D:$D,$C85,'RAW_유기농_7월'!$A:$A,$E85),COUNTIFS('RAW_유기농_8월'!$D:$D,$C85,'RAW_유기농_8월'!$A:$A,$E85),COUNTIFS('RAW_유기농_9월'!$D:$D,$C85,'RAW_유기농_9월'!$A:$A,$E85),COUNTIFS('RAW_유기농_10월'!$D:$D,$C85,'RAW_유기농_10월'!$A:$A,$E85),COUNTIFS('RAW_유기농_11-12월'!$D:$D,$C85,'RAW_유기농_11-12월'!$A:$A,$E85))))</f>
        <v>0</v>
      </c>
    </row>
    <row r="86" ht="15.75" customHeight="1">
      <c r="A86" s="5"/>
      <c r="B86" s="5"/>
      <c r="C86" s="5"/>
      <c r="D86" s="6"/>
      <c r="E86" s="5"/>
      <c r="F86" s="7" t="str">
        <f>IF($C86="","",IF('설정'!$B$4=0,"",CHOOSE('설정'!$B$4,SUMIFS('RAW_유기농_7월'!$F:$F,'RAW_유기농_7월'!$D:$D,$C86,'RAW_유기농_7월'!$A:$A,$E86),SUMIFS('RAW_유기농_8월'!$F:$F,'RAW_유기농_8월'!$D:$D,$C86,'RAW_유기농_8월'!$A:$A,$E86),SUMIFS('RAW_유기농_9월'!$F:$F,'RAW_유기농_9월'!$D:$D,$C86,'RAW_유기농_9월'!$A:$A,$E86),SUMIFS('RAW_유기농_10월'!$F:$F,'RAW_유기농_10월'!$D:$D,$C86,'RAW_유기농_10월'!$A:$A,$E86),SUMIFS('RAW_유기농_11-12월'!$F:$F,'RAW_유기농_11-12월'!$D:$D,$C86,'RAW_유기농_11-12월'!$A:$A,$E86))))</f>
        <v/>
      </c>
      <c r="G86" s="7" t="str">
        <f>IF($C86="","",IF('설정'!$B$4=0,"",CHOOSE('설정'!$B$4,SUMIFS('RAW_유기농_7월'!$G:$G,'RAW_유기농_7월'!$D:$D,$C86,'RAW_유기농_7월'!$A:$A,$E86),SUMIFS('RAW_유기농_8월'!$G:$G,'RAW_유기농_8월'!$D:$D,$C86,'RAW_유기농_8월'!$A:$A,$E86),SUMIFS('RAW_유기농_9월'!$G:$G,'RAW_유기농_9월'!$D:$D,$C86,'RAW_유기농_9월'!$A:$A,$E86),SUMIFS('RAW_유기농_10월'!$G:$G,'RAW_유기농_10월'!$D:$D,$C86,'RAW_유기농_10월'!$A:$A,$E86),SUMIFS('RAW_유기농_11-12월'!$G:$G,'RAW_유기농_11-12월'!$D:$D,$C86,'RAW_유기농_11-12월'!$A:$A,$E86))))</f>
        <v/>
      </c>
      <c r="H86" s="7" t="str">
        <f>IF($C86="","",IF('설정'!$B$4=0,"",CHOOSE('설정'!$B$4,SUMIFS('RAW_유기농_7월'!$H:$H,'RAW_유기농_7월'!$D:$D,$C86,'RAW_유기농_7월'!$A:$A,$E86),SUMIFS('RAW_유기농_8월'!$H:$H,'RAW_유기농_8월'!$D:$D,$C86,'RAW_유기농_8월'!$A:$A,$E86),SUMIFS('RAW_유기농_9월'!$H:$H,'RAW_유기농_9월'!$D:$D,$C86,'RAW_유기농_9월'!$A:$A,$E86),SUMIFS('RAW_유기농_10월'!$H:$H,'RAW_유기농_10월'!$D:$D,$C86,'RAW_유기농_10월'!$A:$A,$E86),SUMIFS('RAW_유기농_11-12월'!$H:$H,'RAW_유기농_11-12월'!$D:$D,$C86,'RAW_유기농_11-12월'!$A:$A,$E86))))</f>
        <v/>
      </c>
      <c r="I86" s="17" t="str">
        <f>IF($C86="","",IF(COUNTIFS('RAW_유기농_7월'!$D:$D,$C86,'RAW_유기농_7월'!$A:$A,$E86)&gt;0,"O",""))</f>
        <v/>
      </c>
      <c r="J86" s="17" t="str">
        <f>IF($C86="","",IF(COUNTIFS('RAW_유기농_8월'!$D:$D,$C86,'RAW_유기농_8월'!$A:$A,$E86)&gt;0,"O",""))</f>
        <v/>
      </c>
      <c r="K86" s="17" t="str">
        <f>IF($C86="","",IF(COUNTIFS('RAW_유기농_9월'!$D:$D,$C86,'RAW_유기농_9월'!$A:$A,$E86)&gt;0,"O",""))</f>
        <v/>
      </c>
      <c r="L86" s="17" t="str">
        <f>IF($C86="","",IF(COUNTIFS('RAW_유기농_10월'!$D:$D,$C86,'RAW_유기농_10월'!$A:$A,$E86)&gt;0,"O",""))</f>
        <v/>
      </c>
      <c r="M86" s="17" t="str">
        <f>IF($C86="","",IF(COUNTIFS('RAW_유기농_11-12월'!$D:$D,$C86,'RAW_유기농_11-12월'!$A:$A,$E86)&gt;0,"O",""))</f>
        <v/>
      </c>
      <c r="N86" s="7" t="str">
        <f>IF($C86="","",IF(COUNTA('RAW_유기농_7월'!$A:$A)&lt;=1,"",SUMIFS('RAW_유기농_7월'!$H:$H,'RAW_유기농_7월'!$D:$D,$C86,'RAW_유기농_7월'!$A:$A,$E86)))</f>
        <v/>
      </c>
      <c r="O86" s="7" t="str">
        <f>IF($C86="","",IF(COUNTA('RAW_유기농_8월'!$A:$A)&lt;=1,"",SUMIFS('RAW_유기농_8월'!$H:$H,'RAW_유기농_8월'!$D:$D,$C86,'RAW_유기농_8월'!$A:$A,$E86)-SUMIFS('RAW_유기농_7월'!$H:$H,'RAW_유기농_7월'!$D:$D,$C86,'RAW_유기농_7월'!$A:$A,$E86)))</f>
        <v/>
      </c>
      <c r="P86" s="7" t="str">
        <f>IF($C86="","",IF(COUNTA('RAW_유기농_9월'!$A:$A)&lt;=1,"",SUMIFS('RAW_유기농_9월'!$H:$H,'RAW_유기농_9월'!$D:$D,$C86,'RAW_유기농_9월'!$A:$A,$E86)-SUMIFS('RAW_유기농_8월'!$H:$H,'RAW_유기농_8월'!$D:$D,$C86,'RAW_유기농_8월'!$A:$A,$E86)))</f>
        <v/>
      </c>
      <c r="Q86" s="7" t="str">
        <f>IF($C86="","",IF(COUNTA('RAW_유기농_10월'!$A:$A)&lt;=1,"",SUMIFS('RAW_유기농_10월'!$H:$H,'RAW_유기농_10월'!$D:$D,$C86,'RAW_유기농_10월'!$A:$A,$E86)-SUMIFS('RAW_유기농_9월'!$H:$H,'RAW_유기농_9월'!$D:$D,$C86,'RAW_유기농_9월'!$A:$A,$E86)))</f>
        <v/>
      </c>
      <c r="R86" s="7" t="str">
        <f>IF($C86="","",IF(COUNTA('RAW_유기농_11-12월'!$A:$A)&lt;=1,"",SUMIFS('RAW_유기농_11-12월'!$H:$H,'RAW_유기농_11-12월'!$D:$D,$C86,'RAW_유기농_11-12월'!$A:$A,$E86)-SUMIFS('RAW_유기농_10월'!$H:$H,'RAW_유기농_10월'!$D:$D,$C86,'RAW_유기농_10월'!$A:$A,$E86)))</f>
        <v/>
      </c>
      <c r="S86" s="17" t="str">
        <f t="shared" si="4"/>
        <v/>
      </c>
      <c r="T86" s="17" t="str">
        <f t="shared" si="5"/>
        <v/>
      </c>
      <c r="U86" s="7">
        <f>IF($C86="",0,IF('설정'!$B$4=0,0,CHOOSE('설정'!$B$4,COUNTIFS('RAW_유기농_7월'!$D:$D,$C86,'RAW_유기농_7월'!$A:$A,$E86),COUNTIFS('RAW_유기농_8월'!$D:$D,$C86,'RAW_유기농_8월'!$A:$A,$E86),COUNTIFS('RAW_유기농_9월'!$D:$D,$C86,'RAW_유기농_9월'!$A:$A,$E86),COUNTIFS('RAW_유기농_10월'!$D:$D,$C86,'RAW_유기농_10월'!$A:$A,$E86),COUNTIFS('RAW_유기농_11-12월'!$D:$D,$C86,'RAW_유기농_11-12월'!$A:$A,$E86))))</f>
        <v>0</v>
      </c>
    </row>
    <row r="87" ht="15.75" customHeight="1">
      <c r="A87" s="5"/>
      <c r="B87" s="5"/>
      <c r="C87" s="5"/>
      <c r="D87" s="6"/>
      <c r="E87" s="5"/>
      <c r="F87" s="7" t="str">
        <f>IF($C87="","",IF('설정'!$B$4=0,"",CHOOSE('설정'!$B$4,SUMIFS('RAW_유기농_7월'!$F:$F,'RAW_유기농_7월'!$D:$D,$C87,'RAW_유기농_7월'!$A:$A,$E87),SUMIFS('RAW_유기농_8월'!$F:$F,'RAW_유기농_8월'!$D:$D,$C87,'RAW_유기농_8월'!$A:$A,$E87),SUMIFS('RAW_유기농_9월'!$F:$F,'RAW_유기농_9월'!$D:$D,$C87,'RAW_유기농_9월'!$A:$A,$E87),SUMIFS('RAW_유기농_10월'!$F:$F,'RAW_유기농_10월'!$D:$D,$C87,'RAW_유기농_10월'!$A:$A,$E87),SUMIFS('RAW_유기농_11-12월'!$F:$F,'RAW_유기농_11-12월'!$D:$D,$C87,'RAW_유기농_11-12월'!$A:$A,$E87))))</f>
        <v/>
      </c>
      <c r="G87" s="7" t="str">
        <f>IF($C87="","",IF('설정'!$B$4=0,"",CHOOSE('설정'!$B$4,SUMIFS('RAW_유기농_7월'!$G:$G,'RAW_유기농_7월'!$D:$D,$C87,'RAW_유기농_7월'!$A:$A,$E87),SUMIFS('RAW_유기농_8월'!$G:$G,'RAW_유기농_8월'!$D:$D,$C87,'RAW_유기농_8월'!$A:$A,$E87),SUMIFS('RAW_유기농_9월'!$G:$G,'RAW_유기농_9월'!$D:$D,$C87,'RAW_유기농_9월'!$A:$A,$E87),SUMIFS('RAW_유기농_10월'!$G:$G,'RAW_유기농_10월'!$D:$D,$C87,'RAW_유기농_10월'!$A:$A,$E87),SUMIFS('RAW_유기농_11-12월'!$G:$G,'RAW_유기농_11-12월'!$D:$D,$C87,'RAW_유기농_11-12월'!$A:$A,$E87))))</f>
        <v/>
      </c>
      <c r="H87" s="7" t="str">
        <f>IF($C87="","",IF('설정'!$B$4=0,"",CHOOSE('설정'!$B$4,SUMIFS('RAW_유기농_7월'!$H:$H,'RAW_유기농_7월'!$D:$D,$C87,'RAW_유기농_7월'!$A:$A,$E87),SUMIFS('RAW_유기농_8월'!$H:$H,'RAW_유기농_8월'!$D:$D,$C87,'RAW_유기농_8월'!$A:$A,$E87),SUMIFS('RAW_유기농_9월'!$H:$H,'RAW_유기농_9월'!$D:$D,$C87,'RAW_유기농_9월'!$A:$A,$E87),SUMIFS('RAW_유기농_10월'!$H:$H,'RAW_유기농_10월'!$D:$D,$C87,'RAW_유기농_10월'!$A:$A,$E87),SUMIFS('RAW_유기농_11-12월'!$H:$H,'RAW_유기농_11-12월'!$D:$D,$C87,'RAW_유기농_11-12월'!$A:$A,$E87))))</f>
        <v/>
      </c>
      <c r="I87" s="17" t="str">
        <f>IF($C87="","",IF(COUNTIFS('RAW_유기농_7월'!$D:$D,$C87,'RAW_유기농_7월'!$A:$A,$E87)&gt;0,"O",""))</f>
        <v/>
      </c>
      <c r="J87" s="17" t="str">
        <f>IF($C87="","",IF(COUNTIFS('RAW_유기농_8월'!$D:$D,$C87,'RAW_유기농_8월'!$A:$A,$E87)&gt;0,"O",""))</f>
        <v/>
      </c>
      <c r="K87" s="17" t="str">
        <f>IF($C87="","",IF(COUNTIFS('RAW_유기농_9월'!$D:$D,$C87,'RAW_유기농_9월'!$A:$A,$E87)&gt;0,"O",""))</f>
        <v/>
      </c>
      <c r="L87" s="17" t="str">
        <f>IF($C87="","",IF(COUNTIFS('RAW_유기농_10월'!$D:$D,$C87,'RAW_유기농_10월'!$A:$A,$E87)&gt;0,"O",""))</f>
        <v/>
      </c>
      <c r="M87" s="17" t="str">
        <f>IF($C87="","",IF(COUNTIFS('RAW_유기농_11-12월'!$D:$D,$C87,'RAW_유기농_11-12월'!$A:$A,$E87)&gt;0,"O",""))</f>
        <v/>
      </c>
      <c r="N87" s="7" t="str">
        <f>IF($C87="","",IF(COUNTA('RAW_유기농_7월'!$A:$A)&lt;=1,"",SUMIFS('RAW_유기농_7월'!$H:$H,'RAW_유기농_7월'!$D:$D,$C87,'RAW_유기농_7월'!$A:$A,$E87)))</f>
        <v/>
      </c>
      <c r="O87" s="7" t="str">
        <f>IF($C87="","",IF(COUNTA('RAW_유기농_8월'!$A:$A)&lt;=1,"",SUMIFS('RAW_유기농_8월'!$H:$H,'RAW_유기농_8월'!$D:$D,$C87,'RAW_유기농_8월'!$A:$A,$E87)-SUMIFS('RAW_유기농_7월'!$H:$H,'RAW_유기농_7월'!$D:$D,$C87,'RAW_유기농_7월'!$A:$A,$E87)))</f>
        <v/>
      </c>
      <c r="P87" s="7" t="str">
        <f>IF($C87="","",IF(COUNTA('RAW_유기농_9월'!$A:$A)&lt;=1,"",SUMIFS('RAW_유기농_9월'!$H:$H,'RAW_유기농_9월'!$D:$D,$C87,'RAW_유기농_9월'!$A:$A,$E87)-SUMIFS('RAW_유기농_8월'!$H:$H,'RAW_유기농_8월'!$D:$D,$C87,'RAW_유기농_8월'!$A:$A,$E87)))</f>
        <v/>
      </c>
      <c r="Q87" s="7" t="str">
        <f>IF($C87="","",IF(COUNTA('RAW_유기농_10월'!$A:$A)&lt;=1,"",SUMIFS('RAW_유기농_10월'!$H:$H,'RAW_유기농_10월'!$D:$D,$C87,'RAW_유기농_10월'!$A:$A,$E87)-SUMIFS('RAW_유기농_9월'!$H:$H,'RAW_유기농_9월'!$D:$D,$C87,'RAW_유기농_9월'!$A:$A,$E87)))</f>
        <v/>
      </c>
      <c r="R87" s="7" t="str">
        <f>IF($C87="","",IF(COUNTA('RAW_유기농_11-12월'!$A:$A)&lt;=1,"",SUMIFS('RAW_유기농_11-12월'!$H:$H,'RAW_유기농_11-12월'!$D:$D,$C87,'RAW_유기농_11-12월'!$A:$A,$E87)-SUMIFS('RAW_유기농_10월'!$H:$H,'RAW_유기농_10월'!$D:$D,$C87,'RAW_유기농_10월'!$A:$A,$E87)))</f>
        <v/>
      </c>
      <c r="S87" s="17" t="str">
        <f t="shared" si="4"/>
        <v/>
      </c>
      <c r="T87" s="17" t="str">
        <f t="shared" si="5"/>
        <v/>
      </c>
      <c r="U87" s="7">
        <f>IF($C87="",0,IF('설정'!$B$4=0,0,CHOOSE('설정'!$B$4,COUNTIFS('RAW_유기농_7월'!$D:$D,$C87,'RAW_유기농_7월'!$A:$A,$E87),COUNTIFS('RAW_유기농_8월'!$D:$D,$C87,'RAW_유기농_8월'!$A:$A,$E87),COUNTIFS('RAW_유기농_9월'!$D:$D,$C87,'RAW_유기농_9월'!$A:$A,$E87),COUNTIFS('RAW_유기농_10월'!$D:$D,$C87,'RAW_유기농_10월'!$A:$A,$E87),COUNTIFS('RAW_유기농_11-12월'!$D:$D,$C87,'RAW_유기농_11-12월'!$A:$A,$E87))))</f>
        <v>0</v>
      </c>
    </row>
    <row r="88" ht="15.75" customHeight="1">
      <c r="A88" s="5"/>
      <c r="B88" s="5"/>
      <c r="C88" s="5"/>
      <c r="D88" s="6"/>
      <c r="E88" s="5"/>
      <c r="F88" s="7" t="str">
        <f>IF($C88="","",IF('설정'!$B$4=0,"",CHOOSE('설정'!$B$4,SUMIFS('RAW_유기농_7월'!$F:$F,'RAW_유기농_7월'!$D:$D,$C88,'RAW_유기농_7월'!$A:$A,$E88),SUMIFS('RAW_유기농_8월'!$F:$F,'RAW_유기농_8월'!$D:$D,$C88,'RAW_유기농_8월'!$A:$A,$E88),SUMIFS('RAW_유기농_9월'!$F:$F,'RAW_유기농_9월'!$D:$D,$C88,'RAW_유기농_9월'!$A:$A,$E88),SUMIFS('RAW_유기농_10월'!$F:$F,'RAW_유기농_10월'!$D:$D,$C88,'RAW_유기농_10월'!$A:$A,$E88),SUMIFS('RAW_유기농_11-12월'!$F:$F,'RAW_유기농_11-12월'!$D:$D,$C88,'RAW_유기농_11-12월'!$A:$A,$E88))))</f>
        <v/>
      </c>
      <c r="G88" s="7" t="str">
        <f>IF($C88="","",IF('설정'!$B$4=0,"",CHOOSE('설정'!$B$4,SUMIFS('RAW_유기농_7월'!$G:$G,'RAW_유기농_7월'!$D:$D,$C88,'RAW_유기농_7월'!$A:$A,$E88),SUMIFS('RAW_유기농_8월'!$G:$G,'RAW_유기농_8월'!$D:$D,$C88,'RAW_유기농_8월'!$A:$A,$E88),SUMIFS('RAW_유기농_9월'!$G:$G,'RAW_유기농_9월'!$D:$D,$C88,'RAW_유기농_9월'!$A:$A,$E88),SUMIFS('RAW_유기농_10월'!$G:$G,'RAW_유기농_10월'!$D:$D,$C88,'RAW_유기농_10월'!$A:$A,$E88),SUMIFS('RAW_유기농_11-12월'!$G:$G,'RAW_유기농_11-12월'!$D:$D,$C88,'RAW_유기농_11-12월'!$A:$A,$E88))))</f>
        <v/>
      </c>
      <c r="H88" s="7" t="str">
        <f>IF($C88="","",IF('설정'!$B$4=0,"",CHOOSE('설정'!$B$4,SUMIFS('RAW_유기농_7월'!$H:$H,'RAW_유기농_7월'!$D:$D,$C88,'RAW_유기농_7월'!$A:$A,$E88),SUMIFS('RAW_유기농_8월'!$H:$H,'RAW_유기농_8월'!$D:$D,$C88,'RAW_유기농_8월'!$A:$A,$E88),SUMIFS('RAW_유기농_9월'!$H:$H,'RAW_유기농_9월'!$D:$D,$C88,'RAW_유기농_9월'!$A:$A,$E88),SUMIFS('RAW_유기농_10월'!$H:$H,'RAW_유기농_10월'!$D:$D,$C88,'RAW_유기농_10월'!$A:$A,$E88),SUMIFS('RAW_유기농_11-12월'!$H:$H,'RAW_유기농_11-12월'!$D:$D,$C88,'RAW_유기농_11-12월'!$A:$A,$E88))))</f>
        <v/>
      </c>
      <c r="I88" s="17" t="str">
        <f>IF($C88="","",IF(COUNTIFS('RAW_유기농_7월'!$D:$D,$C88,'RAW_유기농_7월'!$A:$A,$E88)&gt;0,"O",""))</f>
        <v/>
      </c>
      <c r="J88" s="17" t="str">
        <f>IF($C88="","",IF(COUNTIFS('RAW_유기농_8월'!$D:$D,$C88,'RAW_유기농_8월'!$A:$A,$E88)&gt;0,"O",""))</f>
        <v/>
      </c>
      <c r="K88" s="17" t="str">
        <f>IF($C88="","",IF(COUNTIFS('RAW_유기농_9월'!$D:$D,$C88,'RAW_유기농_9월'!$A:$A,$E88)&gt;0,"O",""))</f>
        <v/>
      </c>
      <c r="L88" s="17" t="str">
        <f>IF($C88="","",IF(COUNTIFS('RAW_유기농_10월'!$D:$D,$C88,'RAW_유기농_10월'!$A:$A,$E88)&gt;0,"O",""))</f>
        <v/>
      </c>
      <c r="M88" s="17" t="str">
        <f>IF($C88="","",IF(COUNTIFS('RAW_유기농_11-12월'!$D:$D,$C88,'RAW_유기농_11-12월'!$A:$A,$E88)&gt;0,"O",""))</f>
        <v/>
      </c>
      <c r="N88" s="7" t="str">
        <f>IF($C88="","",IF(COUNTA('RAW_유기농_7월'!$A:$A)&lt;=1,"",SUMIFS('RAW_유기농_7월'!$H:$H,'RAW_유기농_7월'!$D:$D,$C88,'RAW_유기농_7월'!$A:$A,$E88)))</f>
        <v/>
      </c>
      <c r="O88" s="7" t="str">
        <f>IF($C88="","",IF(COUNTA('RAW_유기농_8월'!$A:$A)&lt;=1,"",SUMIFS('RAW_유기농_8월'!$H:$H,'RAW_유기농_8월'!$D:$D,$C88,'RAW_유기농_8월'!$A:$A,$E88)-SUMIFS('RAW_유기농_7월'!$H:$H,'RAW_유기농_7월'!$D:$D,$C88,'RAW_유기농_7월'!$A:$A,$E88)))</f>
        <v/>
      </c>
      <c r="P88" s="7" t="str">
        <f>IF($C88="","",IF(COUNTA('RAW_유기농_9월'!$A:$A)&lt;=1,"",SUMIFS('RAW_유기농_9월'!$H:$H,'RAW_유기농_9월'!$D:$D,$C88,'RAW_유기농_9월'!$A:$A,$E88)-SUMIFS('RAW_유기농_8월'!$H:$H,'RAW_유기농_8월'!$D:$D,$C88,'RAW_유기농_8월'!$A:$A,$E88)))</f>
        <v/>
      </c>
      <c r="Q88" s="7" t="str">
        <f>IF($C88="","",IF(COUNTA('RAW_유기농_10월'!$A:$A)&lt;=1,"",SUMIFS('RAW_유기농_10월'!$H:$H,'RAW_유기농_10월'!$D:$D,$C88,'RAW_유기농_10월'!$A:$A,$E88)-SUMIFS('RAW_유기농_9월'!$H:$H,'RAW_유기농_9월'!$D:$D,$C88,'RAW_유기농_9월'!$A:$A,$E88)))</f>
        <v/>
      </c>
      <c r="R88" s="7" t="str">
        <f>IF($C88="","",IF(COUNTA('RAW_유기농_11-12월'!$A:$A)&lt;=1,"",SUMIFS('RAW_유기농_11-12월'!$H:$H,'RAW_유기농_11-12월'!$D:$D,$C88,'RAW_유기농_11-12월'!$A:$A,$E88)-SUMIFS('RAW_유기농_10월'!$H:$H,'RAW_유기농_10월'!$D:$D,$C88,'RAW_유기농_10월'!$A:$A,$E88)))</f>
        <v/>
      </c>
      <c r="S88" s="17" t="str">
        <f t="shared" si="4"/>
        <v/>
      </c>
      <c r="T88" s="17" t="str">
        <f t="shared" si="5"/>
        <v/>
      </c>
      <c r="U88" s="7">
        <f>IF($C88="",0,IF('설정'!$B$4=0,0,CHOOSE('설정'!$B$4,COUNTIFS('RAW_유기농_7월'!$D:$D,$C88,'RAW_유기농_7월'!$A:$A,$E88),COUNTIFS('RAW_유기농_8월'!$D:$D,$C88,'RAW_유기농_8월'!$A:$A,$E88),COUNTIFS('RAW_유기농_9월'!$D:$D,$C88,'RAW_유기농_9월'!$A:$A,$E88),COUNTIFS('RAW_유기농_10월'!$D:$D,$C88,'RAW_유기농_10월'!$A:$A,$E88),COUNTIFS('RAW_유기농_11-12월'!$D:$D,$C88,'RAW_유기농_11-12월'!$A:$A,$E88))))</f>
        <v>0</v>
      </c>
    </row>
    <row r="89" ht="15.75" customHeight="1">
      <c r="A89" s="5"/>
      <c r="B89" s="5"/>
      <c r="C89" s="5"/>
      <c r="D89" s="6"/>
      <c r="E89" s="5"/>
      <c r="F89" s="7" t="str">
        <f>IF($C89="","",IF('설정'!$B$4=0,"",CHOOSE('설정'!$B$4,SUMIFS('RAW_유기농_7월'!$F:$F,'RAW_유기농_7월'!$D:$D,$C89,'RAW_유기농_7월'!$A:$A,$E89),SUMIFS('RAW_유기농_8월'!$F:$F,'RAW_유기농_8월'!$D:$D,$C89,'RAW_유기농_8월'!$A:$A,$E89),SUMIFS('RAW_유기농_9월'!$F:$F,'RAW_유기농_9월'!$D:$D,$C89,'RAW_유기농_9월'!$A:$A,$E89),SUMIFS('RAW_유기농_10월'!$F:$F,'RAW_유기농_10월'!$D:$D,$C89,'RAW_유기농_10월'!$A:$A,$E89),SUMIFS('RAW_유기농_11-12월'!$F:$F,'RAW_유기농_11-12월'!$D:$D,$C89,'RAW_유기농_11-12월'!$A:$A,$E89))))</f>
        <v/>
      </c>
      <c r="G89" s="7" t="str">
        <f>IF($C89="","",IF('설정'!$B$4=0,"",CHOOSE('설정'!$B$4,SUMIFS('RAW_유기농_7월'!$G:$G,'RAW_유기농_7월'!$D:$D,$C89,'RAW_유기농_7월'!$A:$A,$E89),SUMIFS('RAW_유기농_8월'!$G:$G,'RAW_유기농_8월'!$D:$D,$C89,'RAW_유기농_8월'!$A:$A,$E89),SUMIFS('RAW_유기농_9월'!$G:$G,'RAW_유기농_9월'!$D:$D,$C89,'RAW_유기농_9월'!$A:$A,$E89),SUMIFS('RAW_유기농_10월'!$G:$G,'RAW_유기농_10월'!$D:$D,$C89,'RAW_유기농_10월'!$A:$A,$E89),SUMIFS('RAW_유기농_11-12월'!$G:$G,'RAW_유기농_11-12월'!$D:$D,$C89,'RAW_유기농_11-12월'!$A:$A,$E89))))</f>
        <v/>
      </c>
      <c r="H89" s="7" t="str">
        <f>IF($C89="","",IF('설정'!$B$4=0,"",CHOOSE('설정'!$B$4,SUMIFS('RAW_유기농_7월'!$H:$H,'RAW_유기농_7월'!$D:$D,$C89,'RAW_유기농_7월'!$A:$A,$E89),SUMIFS('RAW_유기농_8월'!$H:$H,'RAW_유기농_8월'!$D:$D,$C89,'RAW_유기농_8월'!$A:$A,$E89),SUMIFS('RAW_유기농_9월'!$H:$H,'RAW_유기농_9월'!$D:$D,$C89,'RAW_유기농_9월'!$A:$A,$E89),SUMIFS('RAW_유기농_10월'!$H:$H,'RAW_유기농_10월'!$D:$D,$C89,'RAW_유기농_10월'!$A:$A,$E89),SUMIFS('RAW_유기농_11-12월'!$H:$H,'RAW_유기농_11-12월'!$D:$D,$C89,'RAW_유기농_11-12월'!$A:$A,$E89))))</f>
        <v/>
      </c>
      <c r="I89" s="17" t="str">
        <f>IF($C89="","",IF(COUNTIFS('RAW_유기농_7월'!$D:$D,$C89,'RAW_유기농_7월'!$A:$A,$E89)&gt;0,"O",""))</f>
        <v/>
      </c>
      <c r="J89" s="17" t="str">
        <f>IF($C89="","",IF(COUNTIFS('RAW_유기농_8월'!$D:$D,$C89,'RAW_유기농_8월'!$A:$A,$E89)&gt;0,"O",""))</f>
        <v/>
      </c>
      <c r="K89" s="17" t="str">
        <f>IF($C89="","",IF(COUNTIFS('RAW_유기농_9월'!$D:$D,$C89,'RAW_유기농_9월'!$A:$A,$E89)&gt;0,"O",""))</f>
        <v/>
      </c>
      <c r="L89" s="17" t="str">
        <f>IF($C89="","",IF(COUNTIFS('RAW_유기농_10월'!$D:$D,$C89,'RAW_유기농_10월'!$A:$A,$E89)&gt;0,"O",""))</f>
        <v/>
      </c>
      <c r="M89" s="17" t="str">
        <f>IF($C89="","",IF(COUNTIFS('RAW_유기농_11-12월'!$D:$D,$C89,'RAW_유기농_11-12월'!$A:$A,$E89)&gt;0,"O",""))</f>
        <v/>
      </c>
      <c r="N89" s="7" t="str">
        <f>IF($C89="","",IF(COUNTA('RAW_유기농_7월'!$A:$A)&lt;=1,"",SUMIFS('RAW_유기농_7월'!$H:$H,'RAW_유기농_7월'!$D:$D,$C89,'RAW_유기농_7월'!$A:$A,$E89)))</f>
        <v/>
      </c>
      <c r="O89" s="7" t="str">
        <f>IF($C89="","",IF(COUNTA('RAW_유기농_8월'!$A:$A)&lt;=1,"",SUMIFS('RAW_유기농_8월'!$H:$H,'RAW_유기농_8월'!$D:$D,$C89,'RAW_유기농_8월'!$A:$A,$E89)-SUMIFS('RAW_유기농_7월'!$H:$H,'RAW_유기농_7월'!$D:$D,$C89,'RAW_유기농_7월'!$A:$A,$E89)))</f>
        <v/>
      </c>
      <c r="P89" s="7" t="str">
        <f>IF($C89="","",IF(COUNTA('RAW_유기농_9월'!$A:$A)&lt;=1,"",SUMIFS('RAW_유기농_9월'!$H:$H,'RAW_유기농_9월'!$D:$D,$C89,'RAW_유기농_9월'!$A:$A,$E89)-SUMIFS('RAW_유기농_8월'!$H:$H,'RAW_유기농_8월'!$D:$D,$C89,'RAW_유기농_8월'!$A:$A,$E89)))</f>
        <v/>
      </c>
      <c r="Q89" s="7" t="str">
        <f>IF($C89="","",IF(COUNTA('RAW_유기농_10월'!$A:$A)&lt;=1,"",SUMIFS('RAW_유기농_10월'!$H:$H,'RAW_유기농_10월'!$D:$D,$C89,'RAW_유기농_10월'!$A:$A,$E89)-SUMIFS('RAW_유기농_9월'!$H:$H,'RAW_유기농_9월'!$D:$D,$C89,'RAW_유기농_9월'!$A:$A,$E89)))</f>
        <v/>
      </c>
      <c r="R89" s="7" t="str">
        <f>IF($C89="","",IF(COUNTA('RAW_유기농_11-12월'!$A:$A)&lt;=1,"",SUMIFS('RAW_유기농_11-12월'!$H:$H,'RAW_유기농_11-12월'!$D:$D,$C89,'RAW_유기농_11-12월'!$A:$A,$E89)-SUMIFS('RAW_유기농_10월'!$H:$H,'RAW_유기농_10월'!$D:$D,$C89,'RAW_유기농_10월'!$A:$A,$E89)))</f>
        <v/>
      </c>
      <c r="S89" s="17" t="str">
        <f t="shared" si="4"/>
        <v/>
      </c>
      <c r="T89" s="17" t="str">
        <f t="shared" si="5"/>
        <v/>
      </c>
      <c r="U89" s="7">
        <f>IF($C89="",0,IF('설정'!$B$4=0,0,CHOOSE('설정'!$B$4,COUNTIFS('RAW_유기농_7월'!$D:$D,$C89,'RAW_유기농_7월'!$A:$A,$E89),COUNTIFS('RAW_유기농_8월'!$D:$D,$C89,'RAW_유기농_8월'!$A:$A,$E89),COUNTIFS('RAW_유기농_9월'!$D:$D,$C89,'RAW_유기농_9월'!$A:$A,$E89),COUNTIFS('RAW_유기농_10월'!$D:$D,$C89,'RAW_유기농_10월'!$A:$A,$E89),COUNTIFS('RAW_유기농_11-12월'!$D:$D,$C89,'RAW_유기농_11-12월'!$A:$A,$E89))))</f>
        <v>0</v>
      </c>
    </row>
    <row r="90" ht="15.75" customHeight="1">
      <c r="A90" s="5"/>
      <c r="B90" s="5"/>
      <c r="C90" s="5"/>
      <c r="D90" s="6"/>
      <c r="E90" s="5"/>
      <c r="F90" s="7" t="str">
        <f>IF($C90="","",IF('설정'!$B$4=0,"",CHOOSE('설정'!$B$4,SUMIFS('RAW_유기농_7월'!$F:$F,'RAW_유기농_7월'!$D:$D,$C90,'RAW_유기농_7월'!$A:$A,$E90),SUMIFS('RAW_유기농_8월'!$F:$F,'RAW_유기농_8월'!$D:$D,$C90,'RAW_유기농_8월'!$A:$A,$E90),SUMIFS('RAW_유기농_9월'!$F:$F,'RAW_유기농_9월'!$D:$D,$C90,'RAW_유기농_9월'!$A:$A,$E90),SUMIFS('RAW_유기농_10월'!$F:$F,'RAW_유기농_10월'!$D:$D,$C90,'RAW_유기농_10월'!$A:$A,$E90),SUMIFS('RAW_유기농_11-12월'!$F:$F,'RAW_유기농_11-12월'!$D:$D,$C90,'RAW_유기농_11-12월'!$A:$A,$E90))))</f>
        <v/>
      </c>
      <c r="G90" s="7" t="str">
        <f>IF($C90="","",IF('설정'!$B$4=0,"",CHOOSE('설정'!$B$4,SUMIFS('RAW_유기농_7월'!$G:$G,'RAW_유기농_7월'!$D:$D,$C90,'RAW_유기농_7월'!$A:$A,$E90),SUMIFS('RAW_유기농_8월'!$G:$G,'RAW_유기농_8월'!$D:$D,$C90,'RAW_유기농_8월'!$A:$A,$E90),SUMIFS('RAW_유기농_9월'!$G:$G,'RAW_유기농_9월'!$D:$D,$C90,'RAW_유기농_9월'!$A:$A,$E90),SUMIFS('RAW_유기농_10월'!$G:$G,'RAW_유기농_10월'!$D:$D,$C90,'RAW_유기농_10월'!$A:$A,$E90),SUMIFS('RAW_유기농_11-12월'!$G:$G,'RAW_유기농_11-12월'!$D:$D,$C90,'RAW_유기농_11-12월'!$A:$A,$E90))))</f>
        <v/>
      </c>
      <c r="H90" s="7" t="str">
        <f>IF($C90="","",IF('설정'!$B$4=0,"",CHOOSE('설정'!$B$4,SUMIFS('RAW_유기농_7월'!$H:$H,'RAW_유기농_7월'!$D:$D,$C90,'RAW_유기농_7월'!$A:$A,$E90),SUMIFS('RAW_유기농_8월'!$H:$H,'RAW_유기농_8월'!$D:$D,$C90,'RAW_유기농_8월'!$A:$A,$E90),SUMIFS('RAW_유기농_9월'!$H:$H,'RAW_유기농_9월'!$D:$D,$C90,'RAW_유기농_9월'!$A:$A,$E90),SUMIFS('RAW_유기농_10월'!$H:$H,'RAW_유기농_10월'!$D:$D,$C90,'RAW_유기농_10월'!$A:$A,$E90),SUMIFS('RAW_유기농_11-12월'!$H:$H,'RAW_유기농_11-12월'!$D:$D,$C90,'RAW_유기농_11-12월'!$A:$A,$E90))))</f>
        <v/>
      </c>
      <c r="I90" s="17" t="str">
        <f>IF($C90="","",IF(COUNTIFS('RAW_유기농_7월'!$D:$D,$C90,'RAW_유기농_7월'!$A:$A,$E90)&gt;0,"O",""))</f>
        <v/>
      </c>
      <c r="J90" s="17" t="str">
        <f>IF($C90="","",IF(COUNTIFS('RAW_유기농_8월'!$D:$D,$C90,'RAW_유기농_8월'!$A:$A,$E90)&gt;0,"O",""))</f>
        <v/>
      </c>
      <c r="K90" s="17" t="str">
        <f>IF($C90="","",IF(COUNTIFS('RAW_유기농_9월'!$D:$D,$C90,'RAW_유기농_9월'!$A:$A,$E90)&gt;0,"O",""))</f>
        <v/>
      </c>
      <c r="L90" s="17" t="str">
        <f>IF($C90="","",IF(COUNTIFS('RAW_유기농_10월'!$D:$D,$C90,'RAW_유기농_10월'!$A:$A,$E90)&gt;0,"O",""))</f>
        <v/>
      </c>
      <c r="M90" s="17" t="str">
        <f>IF($C90="","",IF(COUNTIFS('RAW_유기농_11-12월'!$D:$D,$C90,'RAW_유기농_11-12월'!$A:$A,$E90)&gt;0,"O",""))</f>
        <v/>
      </c>
      <c r="N90" s="7" t="str">
        <f>IF($C90="","",IF(COUNTA('RAW_유기농_7월'!$A:$A)&lt;=1,"",SUMIFS('RAW_유기농_7월'!$H:$H,'RAW_유기농_7월'!$D:$D,$C90,'RAW_유기농_7월'!$A:$A,$E90)))</f>
        <v/>
      </c>
      <c r="O90" s="7" t="str">
        <f>IF($C90="","",IF(COUNTA('RAW_유기농_8월'!$A:$A)&lt;=1,"",SUMIFS('RAW_유기농_8월'!$H:$H,'RAW_유기농_8월'!$D:$D,$C90,'RAW_유기농_8월'!$A:$A,$E90)-SUMIFS('RAW_유기농_7월'!$H:$H,'RAW_유기농_7월'!$D:$D,$C90,'RAW_유기농_7월'!$A:$A,$E90)))</f>
        <v/>
      </c>
      <c r="P90" s="7" t="str">
        <f>IF($C90="","",IF(COUNTA('RAW_유기농_9월'!$A:$A)&lt;=1,"",SUMIFS('RAW_유기농_9월'!$H:$H,'RAW_유기농_9월'!$D:$D,$C90,'RAW_유기농_9월'!$A:$A,$E90)-SUMIFS('RAW_유기농_8월'!$H:$H,'RAW_유기농_8월'!$D:$D,$C90,'RAW_유기농_8월'!$A:$A,$E90)))</f>
        <v/>
      </c>
      <c r="Q90" s="7" t="str">
        <f>IF($C90="","",IF(COUNTA('RAW_유기농_10월'!$A:$A)&lt;=1,"",SUMIFS('RAW_유기농_10월'!$H:$H,'RAW_유기농_10월'!$D:$D,$C90,'RAW_유기농_10월'!$A:$A,$E90)-SUMIFS('RAW_유기농_9월'!$H:$H,'RAW_유기농_9월'!$D:$D,$C90,'RAW_유기농_9월'!$A:$A,$E90)))</f>
        <v/>
      </c>
      <c r="R90" s="7" t="str">
        <f>IF($C90="","",IF(COUNTA('RAW_유기농_11-12월'!$A:$A)&lt;=1,"",SUMIFS('RAW_유기농_11-12월'!$H:$H,'RAW_유기농_11-12월'!$D:$D,$C90,'RAW_유기농_11-12월'!$A:$A,$E90)-SUMIFS('RAW_유기농_10월'!$H:$H,'RAW_유기농_10월'!$D:$D,$C90,'RAW_유기농_10월'!$A:$A,$E90)))</f>
        <v/>
      </c>
      <c r="S90" s="17" t="str">
        <f t="shared" si="4"/>
        <v/>
      </c>
      <c r="T90" s="17" t="str">
        <f t="shared" si="5"/>
        <v/>
      </c>
      <c r="U90" s="7">
        <f>IF($C90="",0,IF('설정'!$B$4=0,0,CHOOSE('설정'!$B$4,COUNTIFS('RAW_유기농_7월'!$D:$D,$C90,'RAW_유기농_7월'!$A:$A,$E90),COUNTIFS('RAW_유기농_8월'!$D:$D,$C90,'RAW_유기농_8월'!$A:$A,$E90),COUNTIFS('RAW_유기농_9월'!$D:$D,$C90,'RAW_유기농_9월'!$A:$A,$E90),COUNTIFS('RAW_유기농_10월'!$D:$D,$C90,'RAW_유기농_10월'!$A:$A,$E90),COUNTIFS('RAW_유기농_11-12월'!$D:$D,$C90,'RAW_유기농_11-12월'!$A:$A,$E90))))</f>
        <v>0</v>
      </c>
    </row>
    <row r="91" ht="15.75" customHeight="1">
      <c r="A91" s="5"/>
      <c r="B91" s="5"/>
      <c r="C91" s="5"/>
      <c r="D91" s="6"/>
      <c r="E91" s="5"/>
      <c r="F91" s="7" t="str">
        <f>IF($C91="","",IF('설정'!$B$4=0,"",CHOOSE('설정'!$B$4,SUMIFS('RAW_유기농_7월'!$F:$F,'RAW_유기농_7월'!$D:$D,$C91,'RAW_유기농_7월'!$A:$A,$E91),SUMIFS('RAW_유기농_8월'!$F:$F,'RAW_유기농_8월'!$D:$D,$C91,'RAW_유기농_8월'!$A:$A,$E91),SUMIFS('RAW_유기농_9월'!$F:$F,'RAW_유기농_9월'!$D:$D,$C91,'RAW_유기농_9월'!$A:$A,$E91),SUMIFS('RAW_유기농_10월'!$F:$F,'RAW_유기농_10월'!$D:$D,$C91,'RAW_유기농_10월'!$A:$A,$E91),SUMIFS('RAW_유기농_11-12월'!$F:$F,'RAW_유기농_11-12월'!$D:$D,$C91,'RAW_유기농_11-12월'!$A:$A,$E91))))</f>
        <v/>
      </c>
      <c r="G91" s="7" t="str">
        <f>IF($C91="","",IF('설정'!$B$4=0,"",CHOOSE('설정'!$B$4,SUMIFS('RAW_유기농_7월'!$G:$G,'RAW_유기농_7월'!$D:$D,$C91,'RAW_유기농_7월'!$A:$A,$E91),SUMIFS('RAW_유기농_8월'!$G:$G,'RAW_유기농_8월'!$D:$D,$C91,'RAW_유기농_8월'!$A:$A,$E91),SUMIFS('RAW_유기농_9월'!$G:$G,'RAW_유기농_9월'!$D:$D,$C91,'RAW_유기농_9월'!$A:$A,$E91),SUMIFS('RAW_유기농_10월'!$G:$G,'RAW_유기농_10월'!$D:$D,$C91,'RAW_유기농_10월'!$A:$A,$E91),SUMIFS('RAW_유기농_11-12월'!$G:$G,'RAW_유기농_11-12월'!$D:$D,$C91,'RAW_유기농_11-12월'!$A:$A,$E91))))</f>
        <v/>
      </c>
      <c r="H91" s="7" t="str">
        <f>IF($C91="","",IF('설정'!$B$4=0,"",CHOOSE('설정'!$B$4,SUMIFS('RAW_유기농_7월'!$H:$H,'RAW_유기농_7월'!$D:$D,$C91,'RAW_유기농_7월'!$A:$A,$E91),SUMIFS('RAW_유기농_8월'!$H:$H,'RAW_유기농_8월'!$D:$D,$C91,'RAW_유기농_8월'!$A:$A,$E91),SUMIFS('RAW_유기농_9월'!$H:$H,'RAW_유기농_9월'!$D:$D,$C91,'RAW_유기농_9월'!$A:$A,$E91),SUMIFS('RAW_유기농_10월'!$H:$H,'RAW_유기농_10월'!$D:$D,$C91,'RAW_유기농_10월'!$A:$A,$E91),SUMIFS('RAW_유기농_11-12월'!$H:$H,'RAW_유기농_11-12월'!$D:$D,$C91,'RAW_유기농_11-12월'!$A:$A,$E91))))</f>
        <v/>
      </c>
      <c r="I91" s="17" t="str">
        <f>IF($C91="","",IF(COUNTIFS('RAW_유기농_7월'!$D:$D,$C91,'RAW_유기농_7월'!$A:$A,$E91)&gt;0,"O",""))</f>
        <v/>
      </c>
      <c r="J91" s="17" t="str">
        <f>IF($C91="","",IF(COUNTIFS('RAW_유기농_8월'!$D:$D,$C91,'RAW_유기농_8월'!$A:$A,$E91)&gt;0,"O",""))</f>
        <v/>
      </c>
      <c r="K91" s="17" t="str">
        <f>IF($C91="","",IF(COUNTIFS('RAW_유기농_9월'!$D:$D,$C91,'RAW_유기농_9월'!$A:$A,$E91)&gt;0,"O",""))</f>
        <v/>
      </c>
      <c r="L91" s="17" t="str">
        <f>IF($C91="","",IF(COUNTIFS('RAW_유기농_10월'!$D:$D,$C91,'RAW_유기농_10월'!$A:$A,$E91)&gt;0,"O",""))</f>
        <v/>
      </c>
      <c r="M91" s="17" t="str">
        <f>IF($C91="","",IF(COUNTIFS('RAW_유기농_11-12월'!$D:$D,$C91,'RAW_유기농_11-12월'!$A:$A,$E91)&gt;0,"O",""))</f>
        <v/>
      </c>
      <c r="N91" s="7" t="str">
        <f>IF($C91="","",IF(COUNTA('RAW_유기농_7월'!$A:$A)&lt;=1,"",SUMIFS('RAW_유기농_7월'!$H:$H,'RAW_유기농_7월'!$D:$D,$C91,'RAW_유기농_7월'!$A:$A,$E91)))</f>
        <v/>
      </c>
      <c r="O91" s="7" t="str">
        <f>IF($C91="","",IF(COUNTA('RAW_유기농_8월'!$A:$A)&lt;=1,"",SUMIFS('RAW_유기농_8월'!$H:$H,'RAW_유기농_8월'!$D:$D,$C91,'RAW_유기농_8월'!$A:$A,$E91)-SUMIFS('RAW_유기농_7월'!$H:$H,'RAW_유기농_7월'!$D:$D,$C91,'RAW_유기농_7월'!$A:$A,$E91)))</f>
        <v/>
      </c>
      <c r="P91" s="7" t="str">
        <f>IF($C91="","",IF(COUNTA('RAW_유기농_9월'!$A:$A)&lt;=1,"",SUMIFS('RAW_유기농_9월'!$H:$H,'RAW_유기농_9월'!$D:$D,$C91,'RAW_유기농_9월'!$A:$A,$E91)-SUMIFS('RAW_유기농_8월'!$H:$H,'RAW_유기농_8월'!$D:$D,$C91,'RAW_유기농_8월'!$A:$A,$E91)))</f>
        <v/>
      </c>
      <c r="Q91" s="7" t="str">
        <f>IF($C91="","",IF(COUNTA('RAW_유기농_10월'!$A:$A)&lt;=1,"",SUMIFS('RAW_유기농_10월'!$H:$H,'RAW_유기농_10월'!$D:$D,$C91,'RAW_유기농_10월'!$A:$A,$E91)-SUMIFS('RAW_유기농_9월'!$H:$H,'RAW_유기농_9월'!$D:$D,$C91,'RAW_유기농_9월'!$A:$A,$E91)))</f>
        <v/>
      </c>
      <c r="R91" s="7" t="str">
        <f>IF($C91="","",IF(COUNTA('RAW_유기농_11-12월'!$A:$A)&lt;=1,"",SUMIFS('RAW_유기농_11-12월'!$H:$H,'RAW_유기농_11-12월'!$D:$D,$C91,'RAW_유기농_11-12월'!$A:$A,$E91)-SUMIFS('RAW_유기농_10월'!$H:$H,'RAW_유기농_10월'!$D:$D,$C91,'RAW_유기농_10월'!$A:$A,$E91)))</f>
        <v/>
      </c>
      <c r="S91" s="17" t="str">
        <f t="shared" si="4"/>
        <v/>
      </c>
      <c r="T91" s="17" t="str">
        <f t="shared" si="5"/>
        <v/>
      </c>
      <c r="U91" s="7">
        <f>IF($C91="",0,IF('설정'!$B$4=0,0,CHOOSE('설정'!$B$4,COUNTIFS('RAW_유기농_7월'!$D:$D,$C91,'RAW_유기농_7월'!$A:$A,$E91),COUNTIFS('RAW_유기농_8월'!$D:$D,$C91,'RAW_유기농_8월'!$A:$A,$E91),COUNTIFS('RAW_유기농_9월'!$D:$D,$C91,'RAW_유기농_9월'!$A:$A,$E91),COUNTIFS('RAW_유기농_10월'!$D:$D,$C91,'RAW_유기농_10월'!$A:$A,$E91),COUNTIFS('RAW_유기농_11-12월'!$D:$D,$C91,'RAW_유기농_11-12월'!$A:$A,$E91))))</f>
        <v>0</v>
      </c>
    </row>
    <row r="92" ht="15.75" customHeight="1">
      <c r="A92" s="5"/>
      <c r="B92" s="5"/>
      <c r="C92" s="5"/>
      <c r="D92" s="6"/>
      <c r="E92" s="5"/>
      <c r="F92" s="7" t="str">
        <f>IF($C92="","",IF('설정'!$B$4=0,"",CHOOSE('설정'!$B$4,SUMIFS('RAW_유기농_7월'!$F:$F,'RAW_유기농_7월'!$D:$D,$C92,'RAW_유기농_7월'!$A:$A,$E92),SUMIFS('RAW_유기농_8월'!$F:$F,'RAW_유기농_8월'!$D:$D,$C92,'RAW_유기농_8월'!$A:$A,$E92),SUMIFS('RAW_유기농_9월'!$F:$F,'RAW_유기농_9월'!$D:$D,$C92,'RAW_유기농_9월'!$A:$A,$E92),SUMIFS('RAW_유기농_10월'!$F:$F,'RAW_유기농_10월'!$D:$D,$C92,'RAW_유기농_10월'!$A:$A,$E92),SUMIFS('RAW_유기농_11-12월'!$F:$F,'RAW_유기농_11-12월'!$D:$D,$C92,'RAW_유기농_11-12월'!$A:$A,$E92))))</f>
        <v/>
      </c>
      <c r="G92" s="7" t="str">
        <f>IF($C92="","",IF('설정'!$B$4=0,"",CHOOSE('설정'!$B$4,SUMIFS('RAW_유기농_7월'!$G:$G,'RAW_유기농_7월'!$D:$D,$C92,'RAW_유기농_7월'!$A:$A,$E92),SUMIFS('RAW_유기농_8월'!$G:$G,'RAW_유기농_8월'!$D:$D,$C92,'RAW_유기농_8월'!$A:$A,$E92),SUMIFS('RAW_유기농_9월'!$G:$G,'RAW_유기농_9월'!$D:$D,$C92,'RAW_유기농_9월'!$A:$A,$E92),SUMIFS('RAW_유기농_10월'!$G:$G,'RAW_유기농_10월'!$D:$D,$C92,'RAW_유기농_10월'!$A:$A,$E92),SUMIFS('RAW_유기농_11-12월'!$G:$G,'RAW_유기농_11-12월'!$D:$D,$C92,'RAW_유기농_11-12월'!$A:$A,$E92))))</f>
        <v/>
      </c>
      <c r="H92" s="7" t="str">
        <f>IF($C92="","",IF('설정'!$B$4=0,"",CHOOSE('설정'!$B$4,SUMIFS('RAW_유기농_7월'!$H:$H,'RAW_유기농_7월'!$D:$D,$C92,'RAW_유기농_7월'!$A:$A,$E92),SUMIFS('RAW_유기농_8월'!$H:$H,'RAW_유기농_8월'!$D:$D,$C92,'RAW_유기농_8월'!$A:$A,$E92),SUMIFS('RAW_유기농_9월'!$H:$H,'RAW_유기농_9월'!$D:$D,$C92,'RAW_유기농_9월'!$A:$A,$E92),SUMIFS('RAW_유기농_10월'!$H:$H,'RAW_유기농_10월'!$D:$D,$C92,'RAW_유기농_10월'!$A:$A,$E92),SUMIFS('RAW_유기농_11-12월'!$H:$H,'RAW_유기농_11-12월'!$D:$D,$C92,'RAW_유기농_11-12월'!$A:$A,$E92))))</f>
        <v/>
      </c>
      <c r="I92" s="17" t="str">
        <f>IF($C92="","",IF(COUNTIFS('RAW_유기농_7월'!$D:$D,$C92,'RAW_유기농_7월'!$A:$A,$E92)&gt;0,"O",""))</f>
        <v/>
      </c>
      <c r="J92" s="17" t="str">
        <f>IF($C92="","",IF(COUNTIFS('RAW_유기농_8월'!$D:$D,$C92,'RAW_유기농_8월'!$A:$A,$E92)&gt;0,"O",""))</f>
        <v/>
      </c>
      <c r="K92" s="17" t="str">
        <f>IF($C92="","",IF(COUNTIFS('RAW_유기농_9월'!$D:$D,$C92,'RAW_유기농_9월'!$A:$A,$E92)&gt;0,"O",""))</f>
        <v/>
      </c>
      <c r="L92" s="17" t="str">
        <f>IF($C92="","",IF(COUNTIFS('RAW_유기농_10월'!$D:$D,$C92,'RAW_유기농_10월'!$A:$A,$E92)&gt;0,"O",""))</f>
        <v/>
      </c>
      <c r="M92" s="17" t="str">
        <f>IF($C92="","",IF(COUNTIFS('RAW_유기농_11-12월'!$D:$D,$C92,'RAW_유기농_11-12월'!$A:$A,$E92)&gt;0,"O",""))</f>
        <v/>
      </c>
      <c r="N92" s="7" t="str">
        <f>IF($C92="","",IF(COUNTA('RAW_유기농_7월'!$A:$A)&lt;=1,"",SUMIFS('RAW_유기농_7월'!$H:$H,'RAW_유기농_7월'!$D:$D,$C92,'RAW_유기농_7월'!$A:$A,$E92)))</f>
        <v/>
      </c>
      <c r="O92" s="7" t="str">
        <f>IF($C92="","",IF(COUNTA('RAW_유기농_8월'!$A:$A)&lt;=1,"",SUMIFS('RAW_유기농_8월'!$H:$H,'RAW_유기농_8월'!$D:$D,$C92,'RAW_유기농_8월'!$A:$A,$E92)-SUMIFS('RAW_유기농_7월'!$H:$H,'RAW_유기농_7월'!$D:$D,$C92,'RAW_유기농_7월'!$A:$A,$E92)))</f>
        <v/>
      </c>
      <c r="P92" s="7" t="str">
        <f>IF($C92="","",IF(COUNTA('RAW_유기농_9월'!$A:$A)&lt;=1,"",SUMIFS('RAW_유기농_9월'!$H:$H,'RAW_유기농_9월'!$D:$D,$C92,'RAW_유기농_9월'!$A:$A,$E92)-SUMIFS('RAW_유기농_8월'!$H:$H,'RAW_유기농_8월'!$D:$D,$C92,'RAW_유기농_8월'!$A:$A,$E92)))</f>
        <v/>
      </c>
      <c r="Q92" s="7" t="str">
        <f>IF($C92="","",IF(COUNTA('RAW_유기농_10월'!$A:$A)&lt;=1,"",SUMIFS('RAW_유기농_10월'!$H:$H,'RAW_유기농_10월'!$D:$D,$C92,'RAW_유기농_10월'!$A:$A,$E92)-SUMIFS('RAW_유기농_9월'!$H:$H,'RAW_유기농_9월'!$D:$D,$C92,'RAW_유기농_9월'!$A:$A,$E92)))</f>
        <v/>
      </c>
      <c r="R92" s="7" t="str">
        <f>IF($C92="","",IF(COUNTA('RAW_유기농_11-12월'!$A:$A)&lt;=1,"",SUMIFS('RAW_유기농_11-12월'!$H:$H,'RAW_유기농_11-12월'!$D:$D,$C92,'RAW_유기농_11-12월'!$A:$A,$E92)-SUMIFS('RAW_유기농_10월'!$H:$H,'RAW_유기농_10월'!$D:$D,$C92,'RAW_유기농_10월'!$A:$A,$E92)))</f>
        <v/>
      </c>
      <c r="S92" s="17" t="str">
        <f t="shared" si="4"/>
        <v/>
      </c>
      <c r="T92" s="17" t="str">
        <f t="shared" si="5"/>
        <v/>
      </c>
      <c r="U92" s="7">
        <f>IF($C92="",0,IF('설정'!$B$4=0,0,CHOOSE('설정'!$B$4,COUNTIFS('RAW_유기농_7월'!$D:$D,$C92,'RAW_유기농_7월'!$A:$A,$E92),COUNTIFS('RAW_유기농_8월'!$D:$D,$C92,'RAW_유기농_8월'!$A:$A,$E92),COUNTIFS('RAW_유기농_9월'!$D:$D,$C92,'RAW_유기농_9월'!$A:$A,$E92),COUNTIFS('RAW_유기농_10월'!$D:$D,$C92,'RAW_유기농_10월'!$A:$A,$E92),COUNTIFS('RAW_유기농_11-12월'!$D:$D,$C92,'RAW_유기농_11-12월'!$A:$A,$E92))))</f>
        <v>0</v>
      </c>
    </row>
    <row r="93" ht="15.75" customHeight="1">
      <c r="A93" s="5"/>
      <c r="B93" s="5"/>
      <c r="C93" s="5"/>
      <c r="D93" s="6"/>
      <c r="E93" s="5"/>
      <c r="F93" s="7" t="str">
        <f>IF($C93="","",IF('설정'!$B$4=0,"",CHOOSE('설정'!$B$4,SUMIFS('RAW_유기농_7월'!$F:$F,'RAW_유기농_7월'!$D:$D,$C93,'RAW_유기농_7월'!$A:$A,$E93),SUMIFS('RAW_유기농_8월'!$F:$F,'RAW_유기농_8월'!$D:$D,$C93,'RAW_유기농_8월'!$A:$A,$E93),SUMIFS('RAW_유기농_9월'!$F:$F,'RAW_유기농_9월'!$D:$D,$C93,'RAW_유기농_9월'!$A:$A,$E93),SUMIFS('RAW_유기농_10월'!$F:$F,'RAW_유기농_10월'!$D:$D,$C93,'RAW_유기농_10월'!$A:$A,$E93),SUMIFS('RAW_유기농_11-12월'!$F:$F,'RAW_유기농_11-12월'!$D:$D,$C93,'RAW_유기농_11-12월'!$A:$A,$E93))))</f>
        <v/>
      </c>
      <c r="G93" s="7" t="str">
        <f>IF($C93="","",IF('설정'!$B$4=0,"",CHOOSE('설정'!$B$4,SUMIFS('RAW_유기농_7월'!$G:$G,'RAW_유기농_7월'!$D:$D,$C93,'RAW_유기농_7월'!$A:$A,$E93),SUMIFS('RAW_유기농_8월'!$G:$G,'RAW_유기농_8월'!$D:$D,$C93,'RAW_유기농_8월'!$A:$A,$E93),SUMIFS('RAW_유기농_9월'!$G:$G,'RAW_유기농_9월'!$D:$D,$C93,'RAW_유기농_9월'!$A:$A,$E93),SUMIFS('RAW_유기농_10월'!$G:$G,'RAW_유기농_10월'!$D:$D,$C93,'RAW_유기농_10월'!$A:$A,$E93),SUMIFS('RAW_유기농_11-12월'!$G:$G,'RAW_유기농_11-12월'!$D:$D,$C93,'RAW_유기농_11-12월'!$A:$A,$E93))))</f>
        <v/>
      </c>
      <c r="H93" s="7" t="str">
        <f>IF($C93="","",IF('설정'!$B$4=0,"",CHOOSE('설정'!$B$4,SUMIFS('RAW_유기농_7월'!$H:$H,'RAW_유기농_7월'!$D:$D,$C93,'RAW_유기농_7월'!$A:$A,$E93),SUMIFS('RAW_유기농_8월'!$H:$H,'RAW_유기농_8월'!$D:$D,$C93,'RAW_유기농_8월'!$A:$A,$E93),SUMIFS('RAW_유기농_9월'!$H:$H,'RAW_유기농_9월'!$D:$D,$C93,'RAW_유기농_9월'!$A:$A,$E93),SUMIFS('RAW_유기농_10월'!$H:$H,'RAW_유기농_10월'!$D:$D,$C93,'RAW_유기농_10월'!$A:$A,$E93),SUMIFS('RAW_유기농_11-12월'!$H:$H,'RAW_유기농_11-12월'!$D:$D,$C93,'RAW_유기농_11-12월'!$A:$A,$E93))))</f>
        <v/>
      </c>
      <c r="I93" s="17" t="str">
        <f>IF($C93="","",IF(COUNTIFS('RAW_유기농_7월'!$D:$D,$C93,'RAW_유기농_7월'!$A:$A,$E93)&gt;0,"O",""))</f>
        <v/>
      </c>
      <c r="J93" s="17" t="str">
        <f>IF($C93="","",IF(COUNTIFS('RAW_유기농_8월'!$D:$D,$C93,'RAW_유기농_8월'!$A:$A,$E93)&gt;0,"O",""))</f>
        <v/>
      </c>
      <c r="K93" s="17" t="str">
        <f>IF($C93="","",IF(COUNTIFS('RAW_유기농_9월'!$D:$D,$C93,'RAW_유기농_9월'!$A:$A,$E93)&gt;0,"O",""))</f>
        <v/>
      </c>
      <c r="L93" s="17" t="str">
        <f>IF($C93="","",IF(COUNTIFS('RAW_유기농_10월'!$D:$D,$C93,'RAW_유기농_10월'!$A:$A,$E93)&gt;0,"O",""))</f>
        <v/>
      </c>
      <c r="M93" s="17" t="str">
        <f>IF($C93="","",IF(COUNTIFS('RAW_유기농_11-12월'!$D:$D,$C93,'RAW_유기농_11-12월'!$A:$A,$E93)&gt;0,"O",""))</f>
        <v/>
      </c>
      <c r="N93" s="7" t="str">
        <f>IF($C93="","",IF(COUNTA('RAW_유기농_7월'!$A:$A)&lt;=1,"",SUMIFS('RAW_유기농_7월'!$H:$H,'RAW_유기농_7월'!$D:$D,$C93,'RAW_유기농_7월'!$A:$A,$E93)))</f>
        <v/>
      </c>
      <c r="O93" s="7" t="str">
        <f>IF($C93="","",IF(COUNTA('RAW_유기농_8월'!$A:$A)&lt;=1,"",SUMIFS('RAW_유기농_8월'!$H:$H,'RAW_유기농_8월'!$D:$D,$C93,'RAW_유기농_8월'!$A:$A,$E93)-SUMIFS('RAW_유기농_7월'!$H:$H,'RAW_유기농_7월'!$D:$D,$C93,'RAW_유기농_7월'!$A:$A,$E93)))</f>
        <v/>
      </c>
      <c r="P93" s="7" t="str">
        <f>IF($C93="","",IF(COUNTA('RAW_유기농_9월'!$A:$A)&lt;=1,"",SUMIFS('RAW_유기농_9월'!$H:$H,'RAW_유기농_9월'!$D:$D,$C93,'RAW_유기농_9월'!$A:$A,$E93)-SUMIFS('RAW_유기농_8월'!$H:$H,'RAW_유기농_8월'!$D:$D,$C93,'RAW_유기농_8월'!$A:$A,$E93)))</f>
        <v/>
      </c>
      <c r="Q93" s="7" t="str">
        <f>IF($C93="","",IF(COUNTA('RAW_유기농_10월'!$A:$A)&lt;=1,"",SUMIFS('RAW_유기농_10월'!$H:$H,'RAW_유기농_10월'!$D:$D,$C93,'RAW_유기농_10월'!$A:$A,$E93)-SUMIFS('RAW_유기농_9월'!$H:$H,'RAW_유기농_9월'!$D:$D,$C93,'RAW_유기농_9월'!$A:$A,$E93)))</f>
        <v/>
      </c>
      <c r="R93" s="7" t="str">
        <f>IF($C93="","",IF(COUNTA('RAW_유기농_11-12월'!$A:$A)&lt;=1,"",SUMIFS('RAW_유기농_11-12월'!$H:$H,'RAW_유기농_11-12월'!$D:$D,$C93,'RAW_유기농_11-12월'!$A:$A,$E93)-SUMIFS('RAW_유기농_10월'!$H:$H,'RAW_유기농_10월'!$D:$D,$C93,'RAW_유기농_10월'!$A:$A,$E93)))</f>
        <v/>
      </c>
      <c r="S93" s="17" t="str">
        <f t="shared" si="4"/>
        <v/>
      </c>
      <c r="T93" s="17" t="str">
        <f t="shared" si="5"/>
        <v/>
      </c>
      <c r="U93" s="7">
        <f>IF($C93="",0,IF('설정'!$B$4=0,0,CHOOSE('설정'!$B$4,COUNTIFS('RAW_유기농_7월'!$D:$D,$C93,'RAW_유기농_7월'!$A:$A,$E93),COUNTIFS('RAW_유기농_8월'!$D:$D,$C93,'RAW_유기농_8월'!$A:$A,$E93),COUNTIFS('RAW_유기농_9월'!$D:$D,$C93,'RAW_유기농_9월'!$A:$A,$E93),COUNTIFS('RAW_유기농_10월'!$D:$D,$C93,'RAW_유기농_10월'!$A:$A,$E93),COUNTIFS('RAW_유기농_11-12월'!$D:$D,$C93,'RAW_유기농_11-12월'!$A:$A,$E93))))</f>
        <v>0</v>
      </c>
    </row>
    <row r="94" ht="15.75" customHeight="1">
      <c r="A94" s="5"/>
      <c r="B94" s="5"/>
      <c r="C94" s="5"/>
      <c r="D94" s="6"/>
      <c r="E94" s="5"/>
      <c r="F94" s="7" t="str">
        <f>IF($C94="","",IF('설정'!$B$4=0,"",CHOOSE('설정'!$B$4,SUMIFS('RAW_유기농_7월'!$F:$F,'RAW_유기농_7월'!$D:$D,$C94,'RAW_유기농_7월'!$A:$A,$E94),SUMIFS('RAW_유기농_8월'!$F:$F,'RAW_유기농_8월'!$D:$D,$C94,'RAW_유기농_8월'!$A:$A,$E94),SUMIFS('RAW_유기농_9월'!$F:$F,'RAW_유기농_9월'!$D:$D,$C94,'RAW_유기농_9월'!$A:$A,$E94),SUMIFS('RAW_유기농_10월'!$F:$F,'RAW_유기농_10월'!$D:$D,$C94,'RAW_유기농_10월'!$A:$A,$E94),SUMIFS('RAW_유기농_11-12월'!$F:$F,'RAW_유기농_11-12월'!$D:$D,$C94,'RAW_유기농_11-12월'!$A:$A,$E94))))</f>
        <v/>
      </c>
      <c r="G94" s="7" t="str">
        <f>IF($C94="","",IF('설정'!$B$4=0,"",CHOOSE('설정'!$B$4,SUMIFS('RAW_유기농_7월'!$G:$G,'RAW_유기농_7월'!$D:$D,$C94,'RAW_유기농_7월'!$A:$A,$E94),SUMIFS('RAW_유기농_8월'!$G:$G,'RAW_유기농_8월'!$D:$D,$C94,'RAW_유기농_8월'!$A:$A,$E94),SUMIFS('RAW_유기농_9월'!$G:$G,'RAW_유기농_9월'!$D:$D,$C94,'RAW_유기농_9월'!$A:$A,$E94),SUMIFS('RAW_유기농_10월'!$G:$G,'RAW_유기농_10월'!$D:$D,$C94,'RAW_유기농_10월'!$A:$A,$E94),SUMIFS('RAW_유기농_11-12월'!$G:$G,'RAW_유기농_11-12월'!$D:$D,$C94,'RAW_유기농_11-12월'!$A:$A,$E94))))</f>
        <v/>
      </c>
      <c r="H94" s="7" t="str">
        <f>IF($C94="","",IF('설정'!$B$4=0,"",CHOOSE('설정'!$B$4,SUMIFS('RAW_유기농_7월'!$H:$H,'RAW_유기농_7월'!$D:$D,$C94,'RAW_유기농_7월'!$A:$A,$E94),SUMIFS('RAW_유기농_8월'!$H:$H,'RAW_유기농_8월'!$D:$D,$C94,'RAW_유기농_8월'!$A:$A,$E94),SUMIFS('RAW_유기농_9월'!$H:$H,'RAW_유기농_9월'!$D:$D,$C94,'RAW_유기농_9월'!$A:$A,$E94),SUMIFS('RAW_유기농_10월'!$H:$H,'RAW_유기농_10월'!$D:$D,$C94,'RAW_유기농_10월'!$A:$A,$E94),SUMIFS('RAW_유기농_11-12월'!$H:$H,'RAW_유기농_11-12월'!$D:$D,$C94,'RAW_유기농_11-12월'!$A:$A,$E94))))</f>
        <v/>
      </c>
      <c r="I94" s="17" t="str">
        <f>IF($C94="","",IF(COUNTIFS('RAW_유기농_7월'!$D:$D,$C94,'RAW_유기농_7월'!$A:$A,$E94)&gt;0,"O",""))</f>
        <v/>
      </c>
      <c r="J94" s="17" t="str">
        <f>IF($C94="","",IF(COUNTIFS('RAW_유기농_8월'!$D:$D,$C94,'RAW_유기농_8월'!$A:$A,$E94)&gt;0,"O",""))</f>
        <v/>
      </c>
      <c r="K94" s="17" t="str">
        <f>IF($C94="","",IF(COUNTIFS('RAW_유기농_9월'!$D:$D,$C94,'RAW_유기농_9월'!$A:$A,$E94)&gt;0,"O",""))</f>
        <v/>
      </c>
      <c r="L94" s="17" t="str">
        <f>IF($C94="","",IF(COUNTIFS('RAW_유기농_10월'!$D:$D,$C94,'RAW_유기농_10월'!$A:$A,$E94)&gt;0,"O",""))</f>
        <v/>
      </c>
      <c r="M94" s="17" t="str">
        <f>IF($C94="","",IF(COUNTIFS('RAW_유기농_11-12월'!$D:$D,$C94,'RAW_유기농_11-12월'!$A:$A,$E94)&gt;0,"O",""))</f>
        <v/>
      </c>
      <c r="N94" s="7" t="str">
        <f>IF($C94="","",IF(COUNTA('RAW_유기농_7월'!$A:$A)&lt;=1,"",SUMIFS('RAW_유기농_7월'!$H:$H,'RAW_유기농_7월'!$D:$D,$C94,'RAW_유기농_7월'!$A:$A,$E94)))</f>
        <v/>
      </c>
      <c r="O94" s="7" t="str">
        <f>IF($C94="","",IF(COUNTA('RAW_유기농_8월'!$A:$A)&lt;=1,"",SUMIFS('RAW_유기농_8월'!$H:$H,'RAW_유기농_8월'!$D:$D,$C94,'RAW_유기농_8월'!$A:$A,$E94)-SUMIFS('RAW_유기농_7월'!$H:$H,'RAW_유기농_7월'!$D:$D,$C94,'RAW_유기농_7월'!$A:$A,$E94)))</f>
        <v/>
      </c>
      <c r="P94" s="7" t="str">
        <f>IF($C94="","",IF(COUNTA('RAW_유기농_9월'!$A:$A)&lt;=1,"",SUMIFS('RAW_유기농_9월'!$H:$H,'RAW_유기농_9월'!$D:$D,$C94,'RAW_유기농_9월'!$A:$A,$E94)-SUMIFS('RAW_유기농_8월'!$H:$H,'RAW_유기농_8월'!$D:$D,$C94,'RAW_유기농_8월'!$A:$A,$E94)))</f>
        <v/>
      </c>
      <c r="Q94" s="7" t="str">
        <f>IF($C94="","",IF(COUNTA('RAW_유기농_10월'!$A:$A)&lt;=1,"",SUMIFS('RAW_유기농_10월'!$H:$H,'RAW_유기농_10월'!$D:$D,$C94,'RAW_유기농_10월'!$A:$A,$E94)-SUMIFS('RAW_유기농_9월'!$H:$H,'RAW_유기농_9월'!$D:$D,$C94,'RAW_유기농_9월'!$A:$A,$E94)))</f>
        <v/>
      </c>
      <c r="R94" s="7" t="str">
        <f>IF($C94="","",IF(COUNTA('RAW_유기농_11-12월'!$A:$A)&lt;=1,"",SUMIFS('RAW_유기농_11-12월'!$H:$H,'RAW_유기농_11-12월'!$D:$D,$C94,'RAW_유기농_11-12월'!$A:$A,$E94)-SUMIFS('RAW_유기농_10월'!$H:$H,'RAW_유기농_10월'!$D:$D,$C94,'RAW_유기농_10월'!$A:$A,$E94)))</f>
        <v/>
      </c>
      <c r="S94" s="17" t="str">
        <f t="shared" si="4"/>
        <v/>
      </c>
      <c r="T94" s="17" t="str">
        <f t="shared" si="5"/>
        <v/>
      </c>
      <c r="U94" s="7">
        <f>IF($C94="",0,IF('설정'!$B$4=0,0,CHOOSE('설정'!$B$4,COUNTIFS('RAW_유기농_7월'!$D:$D,$C94,'RAW_유기농_7월'!$A:$A,$E94),COUNTIFS('RAW_유기농_8월'!$D:$D,$C94,'RAW_유기농_8월'!$A:$A,$E94),COUNTIFS('RAW_유기농_9월'!$D:$D,$C94,'RAW_유기농_9월'!$A:$A,$E94),COUNTIFS('RAW_유기농_10월'!$D:$D,$C94,'RAW_유기농_10월'!$A:$A,$E94),COUNTIFS('RAW_유기농_11-12월'!$D:$D,$C94,'RAW_유기농_11-12월'!$A:$A,$E94))))</f>
        <v>0</v>
      </c>
    </row>
    <row r="95" ht="15.75" customHeight="1">
      <c r="A95" s="5"/>
      <c r="B95" s="5"/>
      <c r="C95" s="5"/>
      <c r="D95" s="6"/>
      <c r="E95" s="5"/>
      <c r="F95" s="7" t="str">
        <f>IF($C95="","",IF('설정'!$B$4=0,"",CHOOSE('설정'!$B$4,SUMIFS('RAW_유기농_7월'!$F:$F,'RAW_유기농_7월'!$D:$D,$C95,'RAW_유기농_7월'!$A:$A,$E95),SUMIFS('RAW_유기농_8월'!$F:$F,'RAW_유기농_8월'!$D:$D,$C95,'RAW_유기농_8월'!$A:$A,$E95),SUMIFS('RAW_유기농_9월'!$F:$F,'RAW_유기농_9월'!$D:$D,$C95,'RAW_유기농_9월'!$A:$A,$E95),SUMIFS('RAW_유기농_10월'!$F:$F,'RAW_유기농_10월'!$D:$D,$C95,'RAW_유기농_10월'!$A:$A,$E95),SUMIFS('RAW_유기농_11-12월'!$F:$F,'RAW_유기농_11-12월'!$D:$D,$C95,'RAW_유기농_11-12월'!$A:$A,$E95))))</f>
        <v/>
      </c>
      <c r="G95" s="7" t="str">
        <f>IF($C95="","",IF('설정'!$B$4=0,"",CHOOSE('설정'!$B$4,SUMIFS('RAW_유기농_7월'!$G:$G,'RAW_유기농_7월'!$D:$D,$C95,'RAW_유기농_7월'!$A:$A,$E95),SUMIFS('RAW_유기농_8월'!$G:$G,'RAW_유기농_8월'!$D:$D,$C95,'RAW_유기농_8월'!$A:$A,$E95),SUMIFS('RAW_유기농_9월'!$G:$G,'RAW_유기농_9월'!$D:$D,$C95,'RAW_유기농_9월'!$A:$A,$E95),SUMIFS('RAW_유기농_10월'!$G:$G,'RAW_유기농_10월'!$D:$D,$C95,'RAW_유기농_10월'!$A:$A,$E95),SUMIFS('RAW_유기농_11-12월'!$G:$G,'RAW_유기농_11-12월'!$D:$D,$C95,'RAW_유기농_11-12월'!$A:$A,$E95))))</f>
        <v/>
      </c>
      <c r="H95" s="7" t="str">
        <f>IF($C95="","",IF('설정'!$B$4=0,"",CHOOSE('설정'!$B$4,SUMIFS('RAW_유기농_7월'!$H:$H,'RAW_유기농_7월'!$D:$D,$C95,'RAW_유기농_7월'!$A:$A,$E95),SUMIFS('RAW_유기농_8월'!$H:$H,'RAW_유기농_8월'!$D:$D,$C95,'RAW_유기농_8월'!$A:$A,$E95),SUMIFS('RAW_유기농_9월'!$H:$H,'RAW_유기농_9월'!$D:$D,$C95,'RAW_유기농_9월'!$A:$A,$E95),SUMIFS('RAW_유기농_10월'!$H:$H,'RAW_유기농_10월'!$D:$D,$C95,'RAW_유기농_10월'!$A:$A,$E95),SUMIFS('RAW_유기농_11-12월'!$H:$H,'RAW_유기농_11-12월'!$D:$D,$C95,'RAW_유기농_11-12월'!$A:$A,$E95))))</f>
        <v/>
      </c>
      <c r="I95" s="17" t="str">
        <f>IF($C95="","",IF(COUNTIFS('RAW_유기농_7월'!$D:$D,$C95,'RAW_유기농_7월'!$A:$A,$E95)&gt;0,"O",""))</f>
        <v/>
      </c>
      <c r="J95" s="17" t="str">
        <f>IF($C95="","",IF(COUNTIFS('RAW_유기농_8월'!$D:$D,$C95,'RAW_유기농_8월'!$A:$A,$E95)&gt;0,"O",""))</f>
        <v/>
      </c>
      <c r="K95" s="17" t="str">
        <f>IF($C95="","",IF(COUNTIFS('RAW_유기농_9월'!$D:$D,$C95,'RAW_유기농_9월'!$A:$A,$E95)&gt;0,"O",""))</f>
        <v/>
      </c>
      <c r="L95" s="17" t="str">
        <f>IF($C95="","",IF(COUNTIFS('RAW_유기농_10월'!$D:$D,$C95,'RAW_유기농_10월'!$A:$A,$E95)&gt;0,"O",""))</f>
        <v/>
      </c>
      <c r="M95" s="17" t="str">
        <f>IF($C95="","",IF(COUNTIFS('RAW_유기농_11-12월'!$D:$D,$C95,'RAW_유기농_11-12월'!$A:$A,$E95)&gt;0,"O",""))</f>
        <v/>
      </c>
      <c r="N95" s="7" t="str">
        <f>IF($C95="","",IF(COUNTA('RAW_유기농_7월'!$A:$A)&lt;=1,"",SUMIFS('RAW_유기농_7월'!$H:$H,'RAW_유기농_7월'!$D:$D,$C95,'RAW_유기농_7월'!$A:$A,$E95)))</f>
        <v/>
      </c>
      <c r="O95" s="7" t="str">
        <f>IF($C95="","",IF(COUNTA('RAW_유기농_8월'!$A:$A)&lt;=1,"",SUMIFS('RAW_유기농_8월'!$H:$H,'RAW_유기농_8월'!$D:$D,$C95,'RAW_유기농_8월'!$A:$A,$E95)-SUMIFS('RAW_유기농_7월'!$H:$H,'RAW_유기농_7월'!$D:$D,$C95,'RAW_유기농_7월'!$A:$A,$E95)))</f>
        <v/>
      </c>
      <c r="P95" s="7" t="str">
        <f>IF($C95="","",IF(COUNTA('RAW_유기농_9월'!$A:$A)&lt;=1,"",SUMIFS('RAW_유기농_9월'!$H:$H,'RAW_유기농_9월'!$D:$D,$C95,'RAW_유기농_9월'!$A:$A,$E95)-SUMIFS('RAW_유기농_8월'!$H:$H,'RAW_유기농_8월'!$D:$D,$C95,'RAW_유기농_8월'!$A:$A,$E95)))</f>
        <v/>
      </c>
      <c r="Q95" s="7" t="str">
        <f>IF($C95="","",IF(COUNTA('RAW_유기농_10월'!$A:$A)&lt;=1,"",SUMIFS('RAW_유기농_10월'!$H:$H,'RAW_유기농_10월'!$D:$D,$C95,'RAW_유기농_10월'!$A:$A,$E95)-SUMIFS('RAW_유기농_9월'!$H:$H,'RAW_유기농_9월'!$D:$D,$C95,'RAW_유기농_9월'!$A:$A,$E95)))</f>
        <v/>
      </c>
      <c r="R95" s="7" t="str">
        <f>IF($C95="","",IF(COUNTA('RAW_유기농_11-12월'!$A:$A)&lt;=1,"",SUMIFS('RAW_유기농_11-12월'!$H:$H,'RAW_유기농_11-12월'!$D:$D,$C95,'RAW_유기농_11-12월'!$A:$A,$E95)-SUMIFS('RAW_유기농_10월'!$H:$H,'RAW_유기농_10월'!$D:$D,$C95,'RAW_유기농_10월'!$A:$A,$E95)))</f>
        <v/>
      </c>
      <c r="S95" s="17" t="str">
        <f t="shared" si="4"/>
        <v/>
      </c>
      <c r="T95" s="17" t="str">
        <f t="shared" si="5"/>
        <v/>
      </c>
      <c r="U95" s="7">
        <f>IF($C95="",0,IF('설정'!$B$4=0,0,CHOOSE('설정'!$B$4,COUNTIFS('RAW_유기농_7월'!$D:$D,$C95,'RAW_유기농_7월'!$A:$A,$E95),COUNTIFS('RAW_유기농_8월'!$D:$D,$C95,'RAW_유기농_8월'!$A:$A,$E95),COUNTIFS('RAW_유기농_9월'!$D:$D,$C95,'RAW_유기농_9월'!$A:$A,$E95),COUNTIFS('RAW_유기농_10월'!$D:$D,$C95,'RAW_유기농_10월'!$A:$A,$E95),COUNTIFS('RAW_유기농_11-12월'!$D:$D,$C95,'RAW_유기농_11-12월'!$A:$A,$E95))))</f>
        <v>0</v>
      </c>
    </row>
    <row r="96" ht="15.75" customHeight="1">
      <c r="A96" s="5"/>
      <c r="B96" s="5"/>
      <c r="C96" s="5"/>
      <c r="D96" s="6"/>
      <c r="E96" s="5"/>
      <c r="F96" s="7" t="str">
        <f>IF($C96="","",IF('설정'!$B$4=0,"",CHOOSE('설정'!$B$4,SUMIFS('RAW_유기농_7월'!$F:$F,'RAW_유기농_7월'!$D:$D,$C96,'RAW_유기농_7월'!$A:$A,$E96),SUMIFS('RAW_유기농_8월'!$F:$F,'RAW_유기농_8월'!$D:$D,$C96,'RAW_유기농_8월'!$A:$A,$E96),SUMIFS('RAW_유기농_9월'!$F:$F,'RAW_유기농_9월'!$D:$D,$C96,'RAW_유기농_9월'!$A:$A,$E96),SUMIFS('RAW_유기농_10월'!$F:$F,'RAW_유기농_10월'!$D:$D,$C96,'RAW_유기농_10월'!$A:$A,$E96),SUMIFS('RAW_유기농_11-12월'!$F:$F,'RAW_유기농_11-12월'!$D:$D,$C96,'RAW_유기농_11-12월'!$A:$A,$E96))))</f>
        <v/>
      </c>
      <c r="G96" s="7" t="str">
        <f>IF($C96="","",IF('설정'!$B$4=0,"",CHOOSE('설정'!$B$4,SUMIFS('RAW_유기농_7월'!$G:$G,'RAW_유기농_7월'!$D:$D,$C96,'RAW_유기농_7월'!$A:$A,$E96),SUMIFS('RAW_유기농_8월'!$G:$G,'RAW_유기농_8월'!$D:$D,$C96,'RAW_유기농_8월'!$A:$A,$E96),SUMIFS('RAW_유기농_9월'!$G:$G,'RAW_유기농_9월'!$D:$D,$C96,'RAW_유기농_9월'!$A:$A,$E96),SUMIFS('RAW_유기농_10월'!$G:$G,'RAW_유기농_10월'!$D:$D,$C96,'RAW_유기농_10월'!$A:$A,$E96),SUMIFS('RAW_유기농_11-12월'!$G:$G,'RAW_유기농_11-12월'!$D:$D,$C96,'RAW_유기농_11-12월'!$A:$A,$E96))))</f>
        <v/>
      </c>
      <c r="H96" s="7" t="str">
        <f>IF($C96="","",IF('설정'!$B$4=0,"",CHOOSE('설정'!$B$4,SUMIFS('RAW_유기농_7월'!$H:$H,'RAW_유기농_7월'!$D:$D,$C96,'RAW_유기농_7월'!$A:$A,$E96),SUMIFS('RAW_유기농_8월'!$H:$H,'RAW_유기농_8월'!$D:$D,$C96,'RAW_유기농_8월'!$A:$A,$E96),SUMIFS('RAW_유기농_9월'!$H:$H,'RAW_유기농_9월'!$D:$D,$C96,'RAW_유기농_9월'!$A:$A,$E96),SUMIFS('RAW_유기농_10월'!$H:$H,'RAW_유기농_10월'!$D:$D,$C96,'RAW_유기농_10월'!$A:$A,$E96),SUMIFS('RAW_유기농_11-12월'!$H:$H,'RAW_유기농_11-12월'!$D:$D,$C96,'RAW_유기농_11-12월'!$A:$A,$E96))))</f>
        <v/>
      </c>
      <c r="I96" s="17" t="str">
        <f>IF($C96="","",IF(COUNTIFS('RAW_유기농_7월'!$D:$D,$C96,'RAW_유기농_7월'!$A:$A,$E96)&gt;0,"O",""))</f>
        <v/>
      </c>
      <c r="J96" s="17" t="str">
        <f>IF($C96="","",IF(COUNTIFS('RAW_유기농_8월'!$D:$D,$C96,'RAW_유기농_8월'!$A:$A,$E96)&gt;0,"O",""))</f>
        <v/>
      </c>
      <c r="K96" s="17" t="str">
        <f>IF($C96="","",IF(COUNTIFS('RAW_유기농_9월'!$D:$D,$C96,'RAW_유기농_9월'!$A:$A,$E96)&gt;0,"O",""))</f>
        <v/>
      </c>
      <c r="L96" s="17" t="str">
        <f>IF($C96="","",IF(COUNTIFS('RAW_유기농_10월'!$D:$D,$C96,'RAW_유기농_10월'!$A:$A,$E96)&gt;0,"O",""))</f>
        <v/>
      </c>
      <c r="M96" s="17" t="str">
        <f>IF($C96="","",IF(COUNTIFS('RAW_유기농_11-12월'!$D:$D,$C96,'RAW_유기농_11-12월'!$A:$A,$E96)&gt;0,"O",""))</f>
        <v/>
      </c>
      <c r="N96" s="7" t="str">
        <f>IF($C96="","",IF(COUNTA('RAW_유기농_7월'!$A:$A)&lt;=1,"",SUMIFS('RAW_유기농_7월'!$H:$H,'RAW_유기농_7월'!$D:$D,$C96,'RAW_유기농_7월'!$A:$A,$E96)))</f>
        <v/>
      </c>
      <c r="O96" s="7" t="str">
        <f>IF($C96="","",IF(COUNTA('RAW_유기농_8월'!$A:$A)&lt;=1,"",SUMIFS('RAW_유기농_8월'!$H:$H,'RAW_유기농_8월'!$D:$D,$C96,'RAW_유기농_8월'!$A:$A,$E96)-SUMIFS('RAW_유기농_7월'!$H:$H,'RAW_유기농_7월'!$D:$D,$C96,'RAW_유기농_7월'!$A:$A,$E96)))</f>
        <v/>
      </c>
      <c r="P96" s="7" t="str">
        <f>IF($C96="","",IF(COUNTA('RAW_유기농_9월'!$A:$A)&lt;=1,"",SUMIFS('RAW_유기농_9월'!$H:$H,'RAW_유기농_9월'!$D:$D,$C96,'RAW_유기농_9월'!$A:$A,$E96)-SUMIFS('RAW_유기농_8월'!$H:$H,'RAW_유기농_8월'!$D:$D,$C96,'RAW_유기농_8월'!$A:$A,$E96)))</f>
        <v/>
      </c>
      <c r="Q96" s="7" t="str">
        <f>IF($C96="","",IF(COUNTA('RAW_유기농_10월'!$A:$A)&lt;=1,"",SUMIFS('RAW_유기농_10월'!$H:$H,'RAW_유기농_10월'!$D:$D,$C96,'RAW_유기농_10월'!$A:$A,$E96)-SUMIFS('RAW_유기농_9월'!$H:$H,'RAW_유기농_9월'!$D:$D,$C96,'RAW_유기농_9월'!$A:$A,$E96)))</f>
        <v/>
      </c>
      <c r="R96" s="7" t="str">
        <f>IF($C96="","",IF(COUNTA('RAW_유기농_11-12월'!$A:$A)&lt;=1,"",SUMIFS('RAW_유기농_11-12월'!$H:$H,'RAW_유기농_11-12월'!$D:$D,$C96,'RAW_유기농_11-12월'!$A:$A,$E96)-SUMIFS('RAW_유기농_10월'!$H:$H,'RAW_유기농_10월'!$D:$D,$C96,'RAW_유기농_10월'!$A:$A,$E96)))</f>
        <v/>
      </c>
      <c r="S96" s="17" t="str">
        <f t="shared" si="4"/>
        <v/>
      </c>
      <c r="T96" s="17" t="str">
        <f t="shared" si="5"/>
        <v/>
      </c>
      <c r="U96" s="7">
        <f>IF($C96="",0,IF('설정'!$B$4=0,0,CHOOSE('설정'!$B$4,COUNTIFS('RAW_유기농_7월'!$D:$D,$C96,'RAW_유기농_7월'!$A:$A,$E96),COUNTIFS('RAW_유기농_8월'!$D:$D,$C96,'RAW_유기농_8월'!$A:$A,$E96),COUNTIFS('RAW_유기농_9월'!$D:$D,$C96,'RAW_유기농_9월'!$A:$A,$E96),COUNTIFS('RAW_유기농_10월'!$D:$D,$C96,'RAW_유기농_10월'!$A:$A,$E96),COUNTIFS('RAW_유기농_11-12월'!$D:$D,$C96,'RAW_유기농_11-12월'!$A:$A,$E96))))</f>
        <v>0</v>
      </c>
    </row>
    <row r="97" ht="15.75" customHeight="1">
      <c r="A97" s="5"/>
      <c r="B97" s="5"/>
      <c r="C97" s="5"/>
      <c r="D97" s="6"/>
      <c r="E97" s="5"/>
      <c r="F97" s="7" t="str">
        <f>IF($C97="","",IF('설정'!$B$4=0,"",CHOOSE('설정'!$B$4,SUMIFS('RAW_유기농_7월'!$F:$F,'RAW_유기농_7월'!$D:$D,$C97,'RAW_유기농_7월'!$A:$A,$E97),SUMIFS('RAW_유기농_8월'!$F:$F,'RAW_유기농_8월'!$D:$D,$C97,'RAW_유기농_8월'!$A:$A,$E97),SUMIFS('RAW_유기농_9월'!$F:$F,'RAW_유기농_9월'!$D:$D,$C97,'RAW_유기농_9월'!$A:$A,$E97),SUMIFS('RAW_유기농_10월'!$F:$F,'RAW_유기농_10월'!$D:$D,$C97,'RAW_유기농_10월'!$A:$A,$E97),SUMIFS('RAW_유기농_11-12월'!$F:$F,'RAW_유기농_11-12월'!$D:$D,$C97,'RAW_유기농_11-12월'!$A:$A,$E97))))</f>
        <v/>
      </c>
      <c r="G97" s="7" t="str">
        <f>IF($C97="","",IF('설정'!$B$4=0,"",CHOOSE('설정'!$B$4,SUMIFS('RAW_유기농_7월'!$G:$G,'RAW_유기농_7월'!$D:$D,$C97,'RAW_유기농_7월'!$A:$A,$E97),SUMIFS('RAW_유기농_8월'!$G:$G,'RAW_유기농_8월'!$D:$D,$C97,'RAW_유기농_8월'!$A:$A,$E97),SUMIFS('RAW_유기농_9월'!$G:$G,'RAW_유기농_9월'!$D:$D,$C97,'RAW_유기농_9월'!$A:$A,$E97),SUMIFS('RAW_유기농_10월'!$G:$G,'RAW_유기농_10월'!$D:$D,$C97,'RAW_유기농_10월'!$A:$A,$E97),SUMIFS('RAW_유기농_11-12월'!$G:$G,'RAW_유기농_11-12월'!$D:$D,$C97,'RAW_유기농_11-12월'!$A:$A,$E97))))</f>
        <v/>
      </c>
      <c r="H97" s="7" t="str">
        <f>IF($C97="","",IF('설정'!$B$4=0,"",CHOOSE('설정'!$B$4,SUMIFS('RAW_유기농_7월'!$H:$H,'RAW_유기농_7월'!$D:$D,$C97,'RAW_유기농_7월'!$A:$A,$E97),SUMIFS('RAW_유기농_8월'!$H:$H,'RAW_유기농_8월'!$D:$D,$C97,'RAW_유기농_8월'!$A:$A,$E97),SUMIFS('RAW_유기농_9월'!$H:$H,'RAW_유기농_9월'!$D:$D,$C97,'RAW_유기농_9월'!$A:$A,$E97),SUMIFS('RAW_유기농_10월'!$H:$H,'RAW_유기농_10월'!$D:$D,$C97,'RAW_유기농_10월'!$A:$A,$E97),SUMIFS('RAW_유기농_11-12월'!$H:$H,'RAW_유기농_11-12월'!$D:$D,$C97,'RAW_유기농_11-12월'!$A:$A,$E97))))</f>
        <v/>
      </c>
      <c r="I97" s="17" t="str">
        <f>IF($C97="","",IF(COUNTIFS('RAW_유기농_7월'!$D:$D,$C97,'RAW_유기농_7월'!$A:$A,$E97)&gt;0,"O",""))</f>
        <v/>
      </c>
      <c r="J97" s="17" t="str">
        <f>IF($C97="","",IF(COUNTIFS('RAW_유기농_8월'!$D:$D,$C97,'RAW_유기농_8월'!$A:$A,$E97)&gt;0,"O",""))</f>
        <v/>
      </c>
      <c r="K97" s="17" t="str">
        <f>IF($C97="","",IF(COUNTIFS('RAW_유기농_9월'!$D:$D,$C97,'RAW_유기농_9월'!$A:$A,$E97)&gt;0,"O",""))</f>
        <v/>
      </c>
      <c r="L97" s="17" t="str">
        <f>IF($C97="","",IF(COUNTIFS('RAW_유기농_10월'!$D:$D,$C97,'RAW_유기농_10월'!$A:$A,$E97)&gt;0,"O",""))</f>
        <v/>
      </c>
      <c r="M97" s="17" t="str">
        <f>IF($C97="","",IF(COUNTIFS('RAW_유기농_11-12월'!$D:$D,$C97,'RAW_유기농_11-12월'!$A:$A,$E97)&gt;0,"O",""))</f>
        <v/>
      </c>
      <c r="N97" s="7" t="str">
        <f>IF($C97="","",IF(COUNTA('RAW_유기농_7월'!$A:$A)&lt;=1,"",SUMIFS('RAW_유기농_7월'!$H:$H,'RAW_유기농_7월'!$D:$D,$C97,'RAW_유기농_7월'!$A:$A,$E97)))</f>
        <v/>
      </c>
      <c r="O97" s="7" t="str">
        <f>IF($C97="","",IF(COUNTA('RAW_유기농_8월'!$A:$A)&lt;=1,"",SUMIFS('RAW_유기농_8월'!$H:$H,'RAW_유기농_8월'!$D:$D,$C97,'RAW_유기농_8월'!$A:$A,$E97)-SUMIFS('RAW_유기농_7월'!$H:$H,'RAW_유기농_7월'!$D:$D,$C97,'RAW_유기농_7월'!$A:$A,$E97)))</f>
        <v/>
      </c>
      <c r="P97" s="7" t="str">
        <f>IF($C97="","",IF(COUNTA('RAW_유기농_9월'!$A:$A)&lt;=1,"",SUMIFS('RAW_유기농_9월'!$H:$H,'RAW_유기농_9월'!$D:$D,$C97,'RAW_유기농_9월'!$A:$A,$E97)-SUMIFS('RAW_유기농_8월'!$H:$H,'RAW_유기농_8월'!$D:$D,$C97,'RAW_유기농_8월'!$A:$A,$E97)))</f>
        <v/>
      </c>
      <c r="Q97" s="7" t="str">
        <f>IF($C97="","",IF(COUNTA('RAW_유기농_10월'!$A:$A)&lt;=1,"",SUMIFS('RAW_유기농_10월'!$H:$H,'RAW_유기농_10월'!$D:$D,$C97,'RAW_유기농_10월'!$A:$A,$E97)-SUMIFS('RAW_유기농_9월'!$H:$H,'RAW_유기농_9월'!$D:$D,$C97,'RAW_유기농_9월'!$A:$A,$E97)))</f>
        <v/>
      </c>
      <c r="R97" s="7" t="str">
        <f>IF($C97="","",IF(COUNTA('RAW_유기농_11-12월'!$A:$A)&lt;=1,"",SUMIFS('RAW_유기농_11-12월'!$H:$H,'RAW_유기농_11-12월'!$D:$D,$C97,'RAW_유기농_11-12월'!$A:$A,$E97)-SUMIFS('RAW_유기농_10월'!$H:$H,'RAW_유기농_10월'!$D:$D,$C97,'RAW_유기농_10월'!$A:$A,$E97)))</f>
        <v/>
      </c>
      <c r="S97" s="17" t="str">
        <f t="shared" si="4"/>
        <v/>
      </c>
      <c r="T97" s="17" t="str">
        <f t="shared" si="5"/>
        <v/>
      </c>
      <c r="U97" s="7">
        <f>IF($C97="",0,IF('설정'!$B$4=0,0,CHOOSE('설정'!$B$4,COUNTIFS('RAW_유기농_7월'!$D:$D,$C97,'RAW_유기농_7월'!$A:$A,$E97),COUNTIFS('RAW_유기농_8월'!$D:$D,$C97,'RAW_유기농_8월'!$A:$A,$E97),COUNTIFS('RAW_유기농_9월'!$D:$D,$C97,'RAW_유기농_9월'!$A:$A,$E97),COUNTIFS('RAW_유기농_10월'!$D:$D,$C97,'RAW_유기농_10월'!$A:$A,$E97),COUNTIFS('RAW_유기농_11-12월'!$D:$D,$C97,'RAW_유기농_11-12월'!$A:$A,$E97))))</f>
        <v>0</v>
      </c>
    </row>
    <row r="98" ht="15.75" customHeight="1">
      <c r="A98" s="5"/>
      <c r="B98" s="5"/>
      <c r="C98" s="5"/>
      <c r="D98" s="6"/>
      <c r="E98" s="5"/>
      <c r="F98" s="7" t="str">
        <f>IF($C98="","",IF('설정'!$B$4=0,"",CHOOSE('설정'!$B$4,SUMIFS('RAW_유기농_7월'!$F:$F,'RAW_유기농_7월'!$D:$D,$C98,'RAW_유기농_7월'!$A:$A,$E98),SUMIFS('RAW_유기농_8월'!$F:$F,'RAW_유기농_8월'!$D:$D,$C98,'RAW_유기농_8월'!$A:$A,$E98),SUMIFS('RAW_유기농_9월'!$F:$F,'RAW_유기농_9월'!$D:$D,$C98,'RAW_유기농_9월'!$A:$A,$E98),SUMIFS('RAW_유기농_10월'!$F:$F,'RAW_유기농_10월'!$D:$D,$C98,'RAW_유기농_10월'!$A:$A,$E98),SUMIFS('RAW_유기농_11-12월'!$F:$F,'RAW_유기농_11-12월'!$D:$D,$C98,'RAW_유기농_11-12월'!$A:$A,$E98))))</f>
        <v/>
      </c>
      <c r="G98" s="7" t="str">
        <f>IF($C98="","",IF('설정'!$B$4=0,"",CHOOSE('설정'!$B$4,SUMIFS('RAW_유기농_7월'!$G:$G,'RAW_유기농_7월'!$D:$D,$C98,'RAW_유기농_7월'!$A:$A,$E98),SUMIFS('RAW_유기농_8월'!$G:$G,'RAW_유기농_8월'!$D:$D,$C98,'RAW_유기농_8월'!$A:$A,$E98),SUMIFS('RAW_유기농_9월'!$G:$G,'RAW_유기농_9월'!$D:$D,$C98,'RAW_유기농_9월'!$A:$A,$E98),SUMIFS('RAW_유기농_10월'!$G:$G,'RAW_유기농_10월'!$D:$D,$C98,'RAW_유기농_10월'!$A:$A,$E98),SUMIFS('RAW_유기농_11-12월'!$G:$G,'RAW_유기농_11-12월'!$D:$D,$C98,'RAW_유기농_11-12월'!$A:$A,$E98))))</f>
        <v/>
      </c>
      <c r="H98" s="7" t="str">
        <f>IF($C98="","",IF('설정'!$B$4=0,"",CHOOSE('설정'!$B$4,SUMIFS('RAW_유기농_7월'!$H:$H,'RAW_유기농_7월'!$D:$D,$C98,'RAW_유기농_7월'!$A:$A,$E98),SUMIFS('RAW_유기농_8월'!$H:$H,'RAW_유기농_8월'!$D:$D,$C98,'RAW_유기농_8월'!$A:$A,$E98),SUMIFS('RAW_유기농_9월'!$H:$H,'RAW_유기농_9월'!$D:$D,$C98,'RAW_유기농_9월'!$A:$A,$E98),SUMIFS('RAW_유기농_10월'!$H:$H,'RAW_유기농_10월'!$D:$D,$C98,'RAW_유기농_10월'!$A:$A,$E98),SUMIFS('RAW_유기농_11-12월'!$H:$H,'RAW_유기농_11-12월'!$D:$D,$C98,'RAW_유기농_11-12월'!$A:$A,$E98))))</f>
        <v/>
      </c>
      <c r="I98" s="17" t="str">
        <f>IF($C98="","",IF(COUNTIFS('RAW_유기농_7월'!$D:$D,$C98,'RAW_유기농_7월'!$A:$A,$E98)&gt;0,"O",""))</f>
        <v/>
      </c>
      <c r="J98" s="17" t="str">
        <f>IF($C98="","",IF(COUNTIFS('RAW_유기농_8월'!$D:$D,$C98,'RAW_유기농_8월'!$A:$A,$E98)&gt;0,"O",""))</f>
        <v/>
      </c>
      <c r="K98" s="17" t="str">
        <f>IF($C98="","",IF(COUNTIFS('RAW_유기농_9월'!$D:$D,$C98,'RAW_유기농_9월'!$A:$A,$E98)&gt;0,"O",""))</f>
        <v/>
      </c>
      <c r="L98" s="17" t="str">
        <f>IF($C98="","",IF(COUNTIFS('RAW_유기농_10월'!$D:$D,$C98,'RAW_유기농_10월'!$A:$A,$E98)&gt;0,"O",""))</f>
        <v/>
      </c>
      <c r="M98" s="17" t="str">
        <f>IF($C98="","",IF(COUNTIFS('RAW_유기농_11-12월'!$D:$D,$C98,'RAW_유기농_11-12월'!$A:$A,$E98)&gt;0,"O",""))</f>
        <v/>
      </c>
      <c r="N98" s="7" t="str">
        <f>IF($C98="","",IF(COUNTA('RAW_유기농_7월'!$A:$A)&lt;=1,"",SUMIFS('RAW_유기농_7월'!$H:$H,'RAW_유기농_7월'!$D:$D,$C98,'RAW_유기농_7월'!$A:$A,$E98)))</f>
        <v/>
      </c>
      <c r="O98" s="7" t="str">
        <f>IF($C98="","",IF(COUNTA('RAW_유기농_8월'!$A:$A)&lt;=1,"",SUMIFS('RAW_유기농_8월'!$H:$H,'RAW_유기농_8월'!$D:$D,$C98,'RAW_유기농_8월'!$A:$A,$E98)-SUMIFS('RAW_유기농_7월'!$H:$H,'RAW_유기농_7월'!$D:$D,$C98,'RAW_유기농_7월'!$A:$A,$E98)))</f>
        <v/>
      </c>
      <c r="P98" s="7" t="str">
        <f>IF($C98="","",IF(COUNTA('RAW_유기농_9월'!$A:$A)&lt;=1,"",SUMIFS('RAW_유기농_9월'!$H:$H,'RAW_유기농_9월'!$D:$D,$C98,'RAW_유기농_9월'!$A:$A,$E98)-SUMIFS('RAW_유기농_8월'!$H:$H,'RAW_유기농_8월'!$D:$D,$C98,'RAW_유기농_8월'!$A:$A,$E98)))</f>
        <v/>
      </c>
      <c r="Q98" s="7" t="str">
        <f>IF($C98="","",IF(COUNTA('RAW_유기농_10월'!$A:$A)&lt;=1,"",SUMIFS('RAW_유기농_10월'!$H:$H,'RAW_유기농_10월'!$D:$D,$C98,'RAW_유기농_10월'!$A:$A,$E98)-SUMIFS('RAW_유기농_9월'!$H:$H,'RAW_유기농_9월'!$D:$D,$C98,'RAW_유기농_9월'!$A:$A,$E98)))</f>
        <v/>
      </c>
      <c r="R98" s="7" t="str">
        <f>IF($C98="","",IF(COUNTA('RAW_유기농_11-12월'!$A:$A)&lt;=1,"",SUMIFS('RAW_유기농_11-12월'!$H:$H,'RAW_유기농_11-12월'!$D:$D,$C98,'RAW_유기농_11-12월'!$A:$A,$E98)-SUMIFS('RAW_유기농_10월'!$H:$H,'RAW_유기농_10월'!$D:$D,$C98,'RAW_유기농_10월'!$A:$A,$E98)))</f>
        <v/>
      </c>
      <c r="S98" s="17" t="str">
        <f t="shared" si="4"/>
        <v/>
      </c>
      <c r="T98" s="17" t="str">
        <f t="shared" si="5"/>
        <v/>
      </c>
      <c r="U98" s="7">
        <f>IF($C98="",0,IF('설정'!$B$4=0,0,CHOOSE('설정'!$B$4,COUNTIFS('RAW_유기농_7월'!$D:$D,$C98,'RAW_유기농_7월'!$A:$A,$E98),COUNTIFS('RAW_유기농_8월'!$D:$D,$C98,'RAW_유기농_8월'!$A:$A,$E98),COUNTIFS('RAW_유기농_9월'!$D:$D,$C98,'RAW_유기농_9월'!$A:$A,$E98),COUNTIFS('RAW_유기농_10월'!$D:$D,$C98,'RAW_유기농_10월'!$A:$A,$E98),COUNTIFS('RAW_유기농_11-12월'!$D:$D,$C98,'RAW_유기농_11-12월'!$A:$A,$E98))))</f>
        <v>0</v>
      </c>
    </row>
    <row r="99" ht="15.75" customHeight="1">
      <c r="A99" s="5"/>
      <c r="B99" s="5"/>
      <c r="C99" s="5"/>
      <c r="D99" s="6"/>
      <c r="E99" s="5"/>
      <c r="F99" s="7" t="str">
        <f>IF($C99="","",IF('설정'!$B$4=0,"",CHOOSE('설정'!$B$4,SUMIFS('RAW_유기농_7월'!$F:$F,'RAW_유기농_7월'!$D:$D,$C99,'RAW_유기농_7월'!$A:$A,$E99),SUMIFS('RAW_유기농_8월'!$F:$F,'RAW_유기농_8월'!$D:$D,$C99,'RAW_유기농_8월'!$A:$A,$E99),SUMIFS('RAW_유기농_9월'!$F:$F,'RAW_유기농_9월'!$D:$D,$C99,'RAW_유기농_9월'!$A:$A,$E99),SUMIFS('RAW_유기농_10월'!$F:$F,'RAW_유기농_10월'!$D:$D,$C99,'RAW_유기농_10월'!$A:$A,$E99),SUMIFS('RAW_유기농_11-12월'!$F:$F,'RAW_유기농_11-12월'!$D:$D,$C99,'RAW_유기농_11-12월'!$A:$A,$E99))))</f>
        <v/>
      </c>
      <c r="G99" s="7" t="str">
        <f>IF($C99="","",IF('설정'!$B$4=0,"",CHOOSE('설정'!$B$4,SUMIFS('RAW_유기농_7월'!$G:$G,'RAW_유기농_7월'!$D:$D,$C99,'RAW_유기농_7월'!$A:$A,$E99),SUMIFS('RAW_유기농_8월'!$G:$G,'RAW_유기농_8월'!$D:$D,$C99,'RAW_유기농_8월'!$A:$A,$E99),SUMIFS('RAW_유기농_9월'!$G:$G,'RAW_유기농_9월'!$D:$D,$C99,'RAW_유기농_9월'!$A:$A,$E99),SUMIFS('RAW_유기농_10월'!$G:$G,'RAW_유기농_10월'!$D:$D,$C99,'RAW_유기농_10월'!$A:$A,$E99),SUMIFS('RAW_유기농_11-12월'!$G:$G,'RAW_유기농_11-12월'!$D:$D,$C99,'RAW_유기농_11-12월'!$A:$A,$E99))))</f>
        <v/>
      </c>
      <c r="H99" s="7" t="str">
        <f>IF($C99="","",IF('설정'!$B$4=0,"",CHOOSE('설정'!$B$4,SUMIFS('RAW_유기농_7월'!$H:$H,'RAW_유기농_7월'!$D:$D,$C99,'RAW_유기농_7월'!$A:$A,$E99),SUMIFS('RAW_유기농_8월'!$H:$H,'RAW_유기농_8월'!$D:$D,$C99,'RAW_유기농_8월'!$A:$A,$E99),SUMIFS('RAW_유기농_9월'!$H:$H,'RAW_유기농_9월'!$D:$D,$C99,'RAW_유기농_9월'!$A:$A,$E99),SUMIFS('RAW_유기농_10월'!$H:$H,'RAW_유기농_10월'!$D:$D,$C99,'RAW_유기농_10월'!$A:$A,$E99),SUMIFS('RAW_유기농_11-12월'!$H:$H,'RAW_유기농_11-12월'!$D:$D,$C99,'RAW_유기농_11-12월'!$A:$A,$E99))))</f>
        <v/>
      </c>
      <c r="I99" s="17" t="str">
        <f>IF($C99="","",IF(COUNTIFS('RAW_유기농_7월'!$D:$D,$C99,'RAW_유기농_7월'!$A:$A,$E99)&gt;0,"O",""))</f>
        <v/>
      </c>
      <c r="J99" s="17" t="str">
        <f>IF($C99="","",IF(COUNTIFS('RAW_유기농_8월'!$D:$D,$C99,'RAW_유기농_8월'!$A:$A,$E99)&gt;0,"O",""))</f>
        <v/>
      </c>
      <c r="K99" s="17" t="str">
        <f>IF($C99="","",IF(COUNTIFS('RAW_유기농_9월'!$D:$D,$C99,'RAW_유기농_9월'!$A:$A,$E99)&gt;0,"O",""))</f>
        <v/>
      </c>
      <c r="L99" s="17" t="str">
        <f>IF($C99="","",IF(COUNTIFS('RAW_유기농_10월'!$D:$D,$C99,'RAW_유기농_10월'!$A:$A,$E99)&gt;0,"O",""))</f>
        <v/>
      </c>
      <c r="M99" s="17" t="str">
        <f>IF($C99="","",IF(COUNTIFS('RAW_유기농_11-12월'!$D:$D,$C99,'RAW_유기농_11-12월'!$A:$A,$E99)&gt;0,"O",""))</f>
        <v/>
      </c>
      <c r="N99" s="7" t="str">
        <f>IF($C99="","",IF(COUNTA('RAW_유기농_7월'!$A:$A)&lt;=1,"",SUMIFS('RAW_유기농_7월'!$H:$H,'RAW_유기농_7월'!$D:$D,$C99,'RAW_유기농_7월'!$A:$A,$E99)))</f>
        <v/>
      </c>
      <c r="O99" s="7" t="str">
        <f>IF($C99="","",IF(COUNTA('RAW_유기농_8월'!$A:$A)&lt;=1,"",SUMIFS('RAW_유기농_8월'!$H:$H,'RAW_유기농_8월'!$D:$D,$C99,'RAW_유기농_8월'!$A:$A,$E99)-SUMIFS('RAW_유기농_7월'!$H:$H,'RAW_유기농_7월'!$D:$D,$C99,'RAW_유기농_7월'!$A:$A,$E99)))</f>
        <v/>
      </c>
      <c r="P99" s="7" t="str">
        <f>IF($C99="","",IF(COUNTA('RAW_유기농_9월'!$A:$A)&lt;=1,"",SUMIFS('RAW_유기농_9월'!$H:$H,'RAW_유기농_9월'!$D:$D,$C99,'RAW_유기농_9월'!$A:$A,$E99)-SUMIFS('RAW_유기농_8월'!$H:$H,'RAW_유기농_8월'!$D:$D,$C99,'RAW_유기농_8월'!$A:$A,$E99)))</f>
        <v/>
      </c>
      <c r="Q99" s="7" t="str">
        <f>IF($C99="","",IF(COUNTA('RAW_유기농_10월'!$A:$A)&lt;=1,"",SUMIFS('RAW_유기농_10월'!$H:$H,'RAW_유기농_10월'!$D:$D,$C99,'RAW_유기농_10월'!$A:$A,$E99)-SUMIFS('RAW_유기농_9월'!$H:$H,'RAW_유기농_9월'!$D:$D,$C99,'RAW_유기농_9월'!$A:$A,$E99)))</f>
        <v/>
      </c>
      <c r="R99" s="7" t="str">
        <f>IF($C99="","",IF(COUNTA('RAW_유기농_11-12월'!$A:$A)&lt;=1,"",SUMIFS('RAW_유기농_11-12월'!$H:$H,'RAW_유기농_11-12월'!$D:$D,$C99,'RAW_유기농_11-12월'!$A:$A,$E99)-SUMIFS('RAW_유기농_10월'!$H:$H,'RAW_유기농_10월'!$D:$D,$C99,'RAW_유기농_10월'!$A:$A,$E99)))</f>
        <v/>
      </c>
      <c r="S99" s="17" t="str">
        <f t="shared" si="4"/>
        <v/>
      </c>
      <c r="T99" s="17" t="str">
        <f t="shared" si="5"/>
        <v/>
      </c>
      <c r="U99" s="7">
        <f>IF($C99="",0,IF('설정'!$B$4=0,0,CHOOSE('설정'!$B$4,COUNTIFS('RAW_유기농_7월'!$D:$D,$C99,'RAW_유기농_7월'!$A:$A,$E99),COUNTIFS('RAW_유기농_8월'!$D:$D,$C99,'RAW_유기농_8월'!$A:$A,$E99),COUNTIFS('RAW_유기농_9월'!$D:$D,$C99,'RAW_유기농_9월'!$A:$A,$E99),COUNTIFS('RAW_유기농_10월'!$D:$D,$C99,'RAW_유기농_10월'!$A:$A,$E99),COUNTIFS('RAW_유기농_11-12월'!$D:$D,$C99,'RAW_유기농_11-12월'!$A:$A,$E99))))</f>
        <v>0</v>
      </c>
    </row>
    <row r="100" ht="15.75" customHeight="1">
      <c r="A100" s="5"/>
      <c r="B100" s="5"/>
      <c r="C100" s="5"/>
      <c r="D100" s="6"/>
      <c r="E100" s="5"/>
      <c r="F100" s="7" t="str">
        <f>IF($C100="","",IF('설정'!$B$4=0,"",CHOOSE('설정'!$B$4,SUMIFS('RAW_유기농_7월'!$F:$F,'RAW_유기농_7월'!$D:$D,$C100,'RAW_유기농_7월'!$A:$A,$E100),SUMIFS('RAW_유기농_8월'!$F:$F,'RAW_유기농_8월'!$D:$D,$C100,'RAW_유기농_8월'!$A:$A,$E100),SUMIFS('RAW_유기농_9월'!$F:$F,'RAW_유기농_9월'!$D:$D,$C100,'RAW_유기농_9월'!$A:$A,$E100),SUMIFS('RAW_유기농_10월'!$F:$F,'RAW_유기농_10월'!$D:$D,$C100,'RAW_유기농_10월'!$A:$A,$E100),SUMIFS('RAW_유기농_11-12월'!$F:$F,'RAW_유기농_11-12월'!$D:$D,$C100,'RAW_유기농_11-12월'!$A:$A,$E100))))</f>
        <v/>
      </c>
      <c r="G100" s="7" t="str">
        <f>IF($C100="","",IF('설정'!$B$4=0,"",CHOOSE('설정'!$B$4,SUMIFS('RAW_유기농_7월'!$G:$G,'RAW_유기농_7월'!$D:$D,$C100,'RAW_유기농_7월'!$A:$A,$E100),SUMIFS('RAW_유기농_8월'!$G:$G,'RAW_유기농_8월'!$D:$D,$C100,'RAW_유기농_8월'!$A:$A,$E100),SUMIFS('RAW_유기농_9월'!$G:$G,'RAW_유기농_9월'!$D:$D,$C100,'RAW_유기농_9월'!$A:$A,$E100),SUMIFS('RAW_유기농_10월'!$G:$G,'RAW_유기농_10월'!$D:$D,$C100,'RAW_유기농_10월'!$A:$A,$E100),SUMIFS('RAW_유기농_11-12월'!$G:$G,'RAW_유기농_11-12월'!$D:$D,$C100,'RAW_유기농_11-12월'!$A:$A,$E100))))</f>
        <v/>
      </c>
      <c r="H100" s="7" t="str">
        <f>IF($C100="","",IF('설정'!$B$4=0,"",CHOOSE('설정'!$B$4,SUMIFS('RAW_유기농_7월'!$H:$H,'RAW_유기농_7월'!$D:$D,$C100,'RAW_유기농_7월'!$A:$A,$E100),SUMIFS('RAW_유기농_8월'!$H:$H,'RAW_유기농_8월'!$D:$D,$C100,'RAW_유기농_8월'!$A:$A,$E100),SUMIFS('RAW_유기농_9월'!$H:$H,'RAW_유기농_9월'!$D:$D,$C100,'RAW_유기농_9월'!$A:$A,$E100),SUMIFS('RAW_유기농_10월'!$H:$H,'RAW_유기농_10월'!$D:$D,$C100,'RAW_유기농_10월'!$A:$A,$E100),SUMIFS('RAW_유기농_11-12월'!$H:$H,'RAW_유기농_11-12월'!$D:$D,$C100,'RAW_유기농_11-12월'!$A:$A,$E100))))</f>
        <v/>
      </c>
      <c r="I100" s="17" t="str">
        <f>IF($C100="","",IF(COUNTIFS('RAW_유기농_7월'!$D:$D,$C100,'RAW_유기농_7월'!$A:$A,$E100)&gt;0,"O",""))</f>
        <v/>
      </c>
      <c r="J100" s="17" t="str">
        <f>IF($C100="","",IF(COUNTIFS('RAW_유기농_8월'!$D:$D,$C100,'RAW_유기농_8월'!$A:$A,$E100)&gt;0,"O",""))</f>
        <v/>
      </c>
      <c r="K100" s="17" t="str">
        <f>IF($C100="","",IF(COUNTIFS('RAW_유기농_9월'!$D:$D,$C100,'RAW_유기농_9월'!$A:$A,$E100)&gt;0,"O",""))</f>
        <v/>
      </c>
      <c r="L100" s="17" t="str">
        <f>IF($C100="","",IF(COUNTIFS('RAW_유기농_10월'!$D:$D,$C100,'RAW_유기농_10월'!$A:$A,$E100)&gt;0,"O",""))</f>
        <v/>
      </c>
      <c r="M100" s="17" t="str">
        <f>IF($C100="","",IF(COUNTIFS('RAW_유기농_11-12월'!$D:$D,$C100,'RAW_유기농_11-12월'!$A:$A,$E100)&gt;0,"O",""))</f>
        <v/>
      </c>
      <c r="N100" s="7" t="str">
        <f>IF($C100="","",IF(COUNTA('RAW_유기농_7월'!$A:$A)&lt;=1,"",SUMIFS('RAW_유기농_7월'!$H:$H,'RAW_유기농_7월'!$D:$D,$C100,'RAW_유기농_7월'!$A:$A,$E100)))</f>
        <v/>
      </c>
      <c r="O100" s="7" t="str">
        <f>IF($C100="","",IF(COUNTA('RAW_유기농_8월'!$A:$A)&lt;=1,"",SUMIFS('RAW_유기농_8월'!$H:$H,'RAW_유기농_8월'!$D:$D,$C100,'RAW_유기농_8월'!$A:$A,$E100)-SUMIFS('RAW_유기농_7월'!$H:$H,'RAW_유기농_7월'!$D:$D,$C100,'RAW_유기농_7월'!$A:$A,$E100)))</f>
        <v/>
      </c>
      <c r="P100" s="7" t="str">
        <f>IF($C100="","",IF(COUNTA('RAW_유기농_9월'!$A:$A)&lt;=1,"",SUMIFS('RAW_유기농_9월'!$H:$H,'RAW_유기농_9월'!$D:$D,$C100,'RAW_유기농_9월'!$A:$A,$E100)-SUMIFS('RAW_유기농_8월'!$H:$H,'RAW_유기농_8월'!$D:$D,$C100,'RAW_유기농_8월'!$A:$A,$E100)))</f>
        <v/>
      </c>
      <c r="Q100" s="7" t="str">
        <f>IF($C100="","",IF(COUNTA('RAW_유기농_10월'!$A:$A)&lt;=1,"",SUMIFS('RAW_유기농_10월'!$H:$H,'RAW_유기농_10월'!$D:$D,$C100,'RAW_유기농_10월'!$A:$A,$E100)-SUMIFS('RAW_유기농_9월'!$H:$H,'RAW_유기농_9월'!$D:$D,$C100,'RAW_유기농_9월'!$A:$A,$E100)))</f>
        <v/>
      </c>
      <c r="R100" s="7" t="str">
        <f>IF($C100="","",IF(COUNTA('RAW_유기농_11-12월'!$A:$A)&lt;=1,"",SUMIFS('RAW_유기농_11-12월'!$H:$H,'RAW_유기농_11-12월'!$D:$D,$C100,'RAW_유기농_11-12월'!$A:$A,$E100)-SUMIFS('RAW_유기농_10월'!$H:$H,'RAW_유기농_10월'!$D:$D,$C100,'RAW_유기농_10월'!$A:$A,$E100)))</f>
        <v/>
      </c>
      <c r="S100" s="17" t="str">
        <f t="shared" si="4"/>
        <v/>
      </c>
      <c r="T100" s="17" t="str">
        <f t="shared" si="5"/>
        <v/>
      </c>
      <c r="U100" s="7">
        <f>IF($C100="",0,IF('설정'!$B$4=0,0,CHOOSE('설정'!$B$4,COUNTIFS('RAW_유기농_7월'!$D:$D,$C100,'RAW_유기농_7월'!$A:$A,$E100),COUNTIFS('RAW_유기농_8월'!$D:$D,$C100,'RAW_유기농_8월'!$A:$A,$E100),COUNTIFS('RAW_유기농_9월'!$D:$D,$C100,'RAW_유기농_9월'!$A:$A,$E100),COUNTIFS('RAW_유기농_10월'!$D:$D,$C100,'RAW_유기농_10월'!$A:$A,$E100),COUNTIFS('RAW_유기농_11-12월'!$D:$D,$C100,'RAW_유기농_11-12월'!$A:$A,$E100))))</f>
        <v>0</v>
      </c>
    </row>
    <row r="101" ht="15.75" customHeight="1">
      <c r="A101" s="5"/>
      <c r="B101" s="5"/>
      <c r="C101" s="5"/>
      <c r="D101" s="6"/>
      <c r="E101" s="5"/>
      <c r="F101" s="7" t="str">
        <f>IF($C101="","",IF('설정'!$B$4=0,"",CHOOSE('설정'!$B$4,SUMIFS('RAW_유기농_7월'!$F:$F,'RAW_유기농_7월'!$D:$D,$C101,'RAW_유기농_7월'!$A:$A,$E101),SUMIFS('RAW_유기농_8월'!$F:$F,'RAW_유기농_8월'!$D:$D,$C101,'RAW_유기농_8월'!$A:$A,$E101),SUMIFS('RAW_유기농_9월'!$F:$F,'RAW_유기농_9월'!$D:$D,$C101,'RAW_유기농_9월'!$A:$A,$E101),SUMIFS('RAW_유기농_10월'!$F:$F,'RAW_유기농_10월'!$D:$D,$C101,'RAW_유기농_10월'!$A:$A,$E101),SUMIFS('RAW_유기농_11-12월'!$F:$F,'RAW_유기농_11-12월'!$D:$D,$C101,'RAW_유기농_11-12월'!$A:$A,$E101))))</f>
        <v/>
      </c>
      <c r="G101" s="7" t="str">
        <f>IF($C101="","",IF('설정'!$B$4=0,"",CHOOSE('설정'!$B$4,SUMIFS('RAW_유기농_7월'!$G:$G,'RAW_유기농_7월'!$D:$D,$C101,'RAW_유기농_7월'!$A:$A,$E101),SUMIFS('RAW_유기농_8월'!$G:$G,'RAW_유기농_8월'!$D:$D,$C101,'RAW_유기농_8월'!$A:$A,$E101),SUMIFS('RAW_유기농_9월'!$G:$G,'RAW_유기농_9월'!$D:$D,$C101,'RAW_유기농_9월'!$A:$A,$E101),SUMIFS('RAW_유기농_10월'!$G:$G,'RAW_유기농_10월'!$D:$D,$C101,'RAW_유기농_10월'!$A:$A,$E101),SUMIFS('RAW_유기농_11-12월'!$G:$G,'RAW_유기농_11-12월'!$D:$D,$C101,'RAW_유기농_11-12월'!$A:$A,$E101))))</f>
        <v/>
      </c>
      <c r="H101" s="7" t="str">
        <f>IF($C101="","",IF('설정'!$B$4=0,"",CHOOSE('설정'!$B$4,SUMIFS('RAW_유기농_7월'!$H:$H,'RAW_유기농_7월'!$D:$D,$C101,'RAW_유기농_7월'!$A:$A,$E101),SUMIFS('RAW_유기농_8월'!$H:$H,'RAW_유기농_8월'!$D:$D,$C101,'RAW_유기농_8월'!$A:$A,$E101),SUMIFS('RAW_유기농_9월'!$H:$H,'RAW_유기농_9월'!$D:$D,$C101,'RAW_유기농_9월'!$A:$A,$E101),SUMIFS('RAW_유기농_10월'!$H:$H,'RAW_유기농_10월'!$D:$D,$C101,'RAW_유기농_10월'!$A:$A,$E101),SUMIFS('RAW_유기농_11-12월'!$H:$H,'RAW_유기농_11-12월'!$D:$D,$C101,'RAW_유기농_11-12월'!$A:$A,$E101))))</f>
        <v/>
      </c>
      <c r="I101" s="17" t="str">
        <f>IF($C101="","",IF(COUNTIFS('RAW_유기농_7월'!$D:$D,$C101,'RAW_유기농_7월'!$A:$A,$E101)&gt;0,"O",""))</f>
        <v/>
      </c>
      <c r="J101" s="17" t="str">
        <f>IF($C101="","",IF(COUNTIFS('RAW_유기농_8월'!$D:$D,$C101,'RAW_유기농_8월'!$A:$A,$E101)&gt;0,"O",""))</f>
        <v/>
      </c>
      <c r="K101" s="17" t="str">
        <f>IF($C101="","",IF(COUNTIFS('RAW_유기농_9월'!$D:$D,$C101,'RAW_유기농_9월'!$A:$A,$E101)&gt;0,"O",""))</f>
        <v/>
      </c>
      <c r="L101" s="17" t="str">
        <f>IF($C101="","",IF(COUNTIFS('RAW_유기농_10월'!$D:$D,$C101,'RAW_유기농_10월'!$A:$A,$E101)&gt;0,"O",""))</f>
        <v/>
      </c>
      <c r="M101" s="17" t="str">
        <f>IF($C101="","",IF(COUNTIFS('RAW_유기농_11-12월'!$D:$D,$C101,'RAW_유기농_11-12월'!$A:$A,$E101)&gt;0,"O",""))</f>
        <v/>
      </c>
      <c r="N101" s="7" t="str">
        <f>IF($C101="","",IF(COUNTA('RAW_유기농_7월'!$A:$A)&lt;=1,"",SUMIFS('RAW_유기농_7월'!$H:$H,'RAW_유기농_7월'!$D:$D,$C101,'RAW_유기농_7월'!$A:$A,$E101)))</f>
        <v/>
      </c>
      <c r="O101" s="7" t="str">
        <f>IF($C101="","",IF(COUNTA('RAW_유기농_8월'!$A:$A)&lt;=1,"",SUMIFS('RAW_유기농_8월'!$H:$H,'RAW_유기농_8월'!$D:$D,$C101,'RAW_유기농_8월'!$A:$A,$E101)-SUMIFS('RAW_유기농_7월'!$H:$H,'RAW_유기농_7월'!$D:$D,$C101,'RAW_유기농_7월'!$A:$A,$E101)))</f>
        <v/>
      </c>
      <c r="P101" s="7" t="str">
        <f>IF($C101="","",IF(COUNTA('RAW_유기농_9월'!$A:$A)&lt;=1,"",SUMIFS('RAW_유기농_9월'!$H:$H,'RAW_유기농_9월'!$D:$D,$C101,'RAW_유기농_9월'!$A:$A,$E101)-SUMIFS('RAW_유기농_8월'!$H:$H,'RAW_유기농_8월'!$D:$D,$C101,'RAW_유기농_8월'!$A:$A,$E101)))</f>
        <v/>
      </c>
      <c r="Q101" s="7" t="str">
        <f>IF($C101="","",IF(COUNTA('RAW_유기농_10월'!$A:$A)&lt;=1,"",SUMIFS('RAW_유기농_10월'!$H:$H,'RAW_유기농_10월'!$D:$D,$C101,'RAW_유기농_10월'!$A:$A,$E101)-SUMIFS('RAW_유기농_9월'!$H:$H,'RAW_유기농_9월'!$D:$D,$C101,'RAW_유기농_9월'!$A:$A,$E101)))</f>
        <v/>
      </c>
      <c r="R101" s="7" t="str">
        <f>IF($C101="","",IF(COUNTA('RAW_유기농_11-12월'!$A:$A)&lt;=1,"",SUMIFS('RAW_유기농_11-12월'!$H:$H,'RAW_유기농_11-12월'!$D:$D,$C101,'RAW_유기농_11-12월'!$A:$A,$E101)-SUMIFS('RAW_유기농_10월'!$H:$H,'RAW_유기농_10월'!$D:$D,$C101,'RAW_유기농_10월'!$A:$A,$E101)))</f>
        <v/>
      </c>
      <c r="S101" s="17" t="str">
        <f t="shared" si="4"/>
        <v/>
      </c>
      <c r="T101" s="17" t="str">
        <f t="shared" si="5"/>
        <v/>
      </c>
      <c r="U101" s="7">
        <f>IF($C101="",0,IF('설정'!$B$4=0,0,CHOOSE('설정'!$B$4,COUNTIFS('RAW_유기농_7월'!$D:$D,$C101,'RAW_유기농_7월'!$A:$A,$E101),COUNTIFS('RAW_유기농_8월'!$D:$D,$C101,'RAW_유기농_8월'!$A:$A,$E101),COUNTIFS('RAW_유기농_9월'!$D:$D,$C101,'RAW_유기농_9월'!$A:$A,$E101),COUNTIFS('RAW_유기농_10월'!$D:$D,$C101,'RAW_유기농_10월'!$A:$A,$E101),COUNTIFS('RAW_유기농_11-12월'!$D:$D,$C101,'RAW_유기농_11-12월'!$A:$A,$E101))))</f>
        <v>0</v>
      </c>
    </row>
    <row r="102" ht="15.75" customHeight="1">
      <c r="A102" s="5"/>
      <c r="B102" s="5"/>
      <c r="C102" s="5"/>
      <c r="D102" s="6"/>
      <c r="E102" s="5"/>
      <c r="F102" s="7" t="str">
        <f>IF($C102="","",IF('설정'!$B$4=0,"",CHOOSE('설정'!$B$4,SUMIFS('RAW_유기농_7월'!$F:$F,'RAW_유기농_7월'!$D:$D,$C102,'RAW_유기농_7월'!$A:$A,$E102),SUMIFS('RAW_유기농_8월'!$F:$F,'RAW_유기농_8월'!$D:$D,$C102,'RAW_유기농_8월'!$A:$A,$E102),SUMIFS('RAW_유기농_9월'!$F:$F,'RAW_유기농_9월'!$D:$D,$C102,'RAW_유기농_9월'!$A:$A,$E102),SUMIFS('RAW_유기농_10월'!$F:$F,'RAW_유기농_10월'!$D:$D,$C102,'RAW_유기농_10월'!$A:$A,$E102),SUMIFS('RAW_유기농_11-12월'!$F:$F,'RAW_유기농_11-12월'!$D:$D,$C102,'RAW_유기농_11-12월'!$A:$A,$E102))))</f>
        <v/>
      </c>
      <c r="G102" s="7" t="str">
        <f>IF($C102="","",IF('설정'!$B$4=0,"",CHOOSE('설정'!$B$4,SUMIFS('RAW_유기농_7월'!$G:$G,'RAW_유기농_7월'!$D:$D,$C102,'RAW_유기농_7월'!$A:$A,$E102),SUMIFS('RAW_유기농_8월'!$G:$G,'RAW_유기농_8월'!$D:$D,$C102,'RAW_유기농_8월'!$A:$A,$E102),SUMIFS('RAW_유기농_9월'!$G:$G,'RAW_유기농_9월'!$D:$D,$C102,'RAW_유기농_9월'!$A:$A,$E102),SUMIFS('RAW_유기농_10월'!$G:$G,'RAW_유기농_10월'!$D:$D,$C102,'RAW_유기농_10월'!$A:$A,$E102),SUMIFS('RAW_유기농_11-12월'!$G:$G,'RAW_유기농_11-12월'!$D:$D,$C102,'RAW_유기농_11-12월'!$A:$A,$E102))))</f>
        <v/>
      </c>
      <c r="H102" s="7" t="str">
        <f>IF($C102="","",IF('설정'!$B$4=0,"",CHOOSE('설정'!$B$4,SUMIFS('RAW_유기농_7월'!$H:$H,'RAW_유기농_7월'!$D:$D,$C102,'RAW_유기농_7월'!$A:$A,$E102),SUMIFS('RAW_유기농_8월'!$H:$H,'RAW_유기농_8월'!$D:$D,$C102,'RAW_유기농_8월'!$A:$A,$E102),SUMIFS('RAW_유기농_9월'!$H:$H,'RAW_유기농_9월'!$D:$D,$C102,'RAW_유기농_9월'!$A:$A,$E102),SUMIFS('RAW_유기농_10월'!$H:$H,'RAW_유기농_10월'!$D:$D,$C102,'RAW_유기농_10월'!$A:$A,$E102),SUMIFS('RAW_유기농_11-12월'!$H:$H,'RAW_유기농_11-12월'!$D:$D,$C102,'RAW_유기농_11-12월'!$A:$A,$E102))))</f>
        <v/>
      </c>
      <c r="I102" s="17" t="str">
        <f>IF($C102="","",IF(COUNTIFS('RAW_유기농_7월'!$D:$D,$C102,'RAW_유기농_7월'!$A:$A,$E102)&gt;0,"O",""))</f>
        <v/>
      </c>
      <c r="J102" s="17" t="str">
        <f>IF($C102="","",IF(COUNTIFS('RAW_유기농_8월'!$D:$D,$C102,'RAW_유기농_8월'!$A:$A,$E102)&gt;0,"O",""))</f>
        <v/>
      </c>
      <c r="K102" s="17" t="str">
        <f>IF($C102="","",IF(COUNTIFS('RAW_유기농_9월'!$D:$D,$C102,'RAW_유기농_9월'!$A:$A,$E102)&gt;0,"O",""))</f>
        <v/>
      </c>
      <c r="L102" s="17" t="str">
        <f>IF($C102="","",IF(COUNTIFS('RAW_유기농_10월'!$D:$D,$C102,'RAW_유기농_10월'!$A:$A,$E102)&gt;0,"O",""))</f>
        <v/>
      </c>
      <c r="M102" s="17" t="str">
        <f>IF($C102="","",IF(COUNTIFS('RAW_유기농_11-12월'!$D:$D,$C102,'RAW_유기농_11-12월'!$A:$A,$E102)&gt;0,"O",""))</f>
        <v/>
      </c>
      <c r="N102" s="7" t="str">
        <f>IF($C102="","",IF(COUNTA('RAW_유기농_7월'!$A:$A)&lt;=1,"",SUMIFS('RAW_유기농_7월'!$H:$H,'RAW_유기농_7월'!$D:$D,$C102,'RAW_유기농_7월'!$A:$A,$E102)))</f>
        <v/>
      </c>
      <c r="O102" s="7" t="str">
        <f>IF($C102="","",IF(COUNTA('RAW_유기농_8월'!$A:$A)&lt;=1,"",SUMIFS('RAW_유기농_8월'!$H:$H,'RAW_유기농_8월'!$D:$D,$C102,'RAW_유기농_8월'!$A:$A,$E102)-SUMIFS('RAW_유기농_7월'!$H:$H,'RAW_유기농_7월'!$D:$D,$C102,'RAW_유기농_7월'!$A:$A,$E102)))</f>
        <v/>
      </c>
      <c r="P102" s="7" t="str">
        <f>IF($C102="","",IF(COUNTA('RAW_유기농_9월'!$A:$A)&lt;=1,"",SUMIFS('RAW_유기농_9월'!$H:$H,'RAW_유기농_9월'!$D:$D,$C102,'RAW_유기농_9월'!$A:$A,$E102)-SUMIFS('RAW_유기농_8월'!$H:$H,'RAW_유기농_8월'!$D:$D,$C102,'RAW_유기농_8월'!$A:$A,$E102)))</f>
        <v/>
      </c>
      <c r="Q102" s="7" t="str">
        <f>IF($C102="","",IF(COUNTA('RAW_유기농_10월'!$A:$A)&lt;=1,"",SUMIFS('RAW_유기농_10월'!$H:$H,'RAW_유기농_10월'!$D:$D,$C102,'RAW_유기농_10월'!$A:$A,$E102)-SUMIFS('RAW_유기농_9월'!$H:$H,'RAW_유기농_9월'!$D:$D,$C102,'RAW_유기농_9월'!$A:$A,$E102)))</f>
        <v/>
      </c>
      <c r="R102" s="7" t="str">
        <f>IF($C102="","",IF(COUNTA('RAW_유기농_11-12월'!$A:$A)&lt;=1,"",SUMIFS('RAW_유기농_11-12월'!$H:$H,'RAW_유기농_11-12월'!$D:$D,$C102,'RAW_유기농_11-12월'!$A:$A,$E102)-SUMIFS('RAW_유기농_10월'!$H:$H,'RAW_유기농_10월'!$D:$D,$C102,'RAW_유기농_10월'!$A:$A,$E102)))</f>
        <v/>
      </c>
      <c r="S102" s="17" t="str">
        <f t="shared" si="4"/>
        <v/>
      </c>
      <c r="T102" s="17" t="str">
        <f t="shared" si="5"/>
        <v/>
      </c>
      <c r="U102" s="7">
        <f>IF($C102="",0,IF('설정'!$B$4=0,0,CHOOSE('설정'!$B$4,COUNTIFS('RAW_유기농_7월'!$D:$D,$C102,'RAW_유기농_7월'!$A:$A,$E102),COUNTIFS('RAW_유기농_8월'!$D:$D,$C102,'RAW_유기농_8월'!$A:$A,$E102),COUNTIFS('RAW_유기농_9월'!$D:$D,$C102,'RAW_유기농_9월'!$A:$A,$E102),COUNTIFS('RAW_유기농_10월'!$D:$D,$C102,'RAW_유기농_10월'!$A:$A,$E102),COUNTIFS('RAW_유기농_11-12월'!$D:$D,$C102,'RAW_유기농_11-12월'!$A:$A,$E102))))</f>
        <v>0</v>
      </c>
    </row>
    <row r="103" ht="15.75" customHeight="1">
      <c r="A103" s="5"/>
      <c r="B103" s="5"/>
      <c r="C103" s="5"/>
      <c r="D103" s="6"/>
      <c r="E103" s="5"/>
      <c r="F103" s="7" t="str">
        <f>IF($C103="","",IF('설정'!$B$4=0,"",CHOOSE('설정'!$B$4,SUMIFS('RAW_유기농_7월'!$F:$F,'RAW_유기농_7월'!$D:$D,$C103,'RAW_유기농_7월'!$A:$A,$E103),SUMIFS('RAW_유기농_8월'!$F:$F,'RAW_유기농_8월'!$D:$D,$C103,'RAW_유기농_8월'!$A:$A,$E103),SUMIFS('RAW_유기농_9월'!$F:$F,'RAW_유기농_9월'!$D:$D,$C103,'RAW_유기농_9월'!$A:$A,$E103),SUMIFS('RAW_유기농_10월'!$F:$F,'RAW_유기농_10월'!$D:$D,$C103,'RAW_유기농_10월'!$A:$A,$E103),SUMIFS('RAW_유기농_11-12월'!$F:$F,'RAW_유기농_11-12월'!$D:$D,$C103,'RAW_유기농_11-12월'!$A:$A,$E103))))</f>
        <v/>
      </c>
      <c r="G103" s="7" t="str">
        <f>IF($C103="","",IF('설정'!$B$4=0,"",CHOOSE('설정'!$B$4,SUMIFS('RAW_유기농_7월'!$G:$G,'RAW_유기농_7월'!$D:$D,$C103,'RAW_유기농_7월'!$A:$A,$E103),SUMIFS('RAW_유기농_8월'!$G:$G,'RAW_유기농_8월'!$D:$D,$C103,'RAW_유기농_8월'!$A:$A,$E103),SUMIFS('RAW_유기농_9월'!$G:$G,'RAW_유기농_9월'!$D:$D,$C103,'RAW_유기농_9월'!$A:$A,$E103),SUMIFS('RAW_유기농_10월'!$G:$G,'RAW_유기농_10월'!$D:$D,$C103,'RAW_유기농_10월'!$A:$A,$E103),SUMIFS('RAW_유기농_11-12월'!$G:$G,'RAW_유기농_11-12월'!$D:$D,$C103,'RAW_유기농_11-12월'!$A:$A,$E103))))</f>
        <v/>
      </c>
      <c r="H103" s="7" t="str">
        <f>IF($C103="","",IF('설정'!$B$4=0,"",CHOOSE('설정'!$B$4,SUMIFS('RAW_유기농_7월'!$H:$H,'RAW_유기농_7월'!$D:$D,$C103,'RAW_유기농_7월'!$A:$A,$E103),SUMIFS('RAW_유기농_8월'!$H:$H,'RAW_유기농_8월'!$D:$D,$C103,'RAW_유기농_8월'!$A:$A,$E103),SUMIFS('RAW_유기농_9월'!$H:$H,'RAW_유기농_9월'!$D:$D,$C103,'RAW_유기농_9월'!$A:$A,$E103),SUMIFS('RAW_유기농_10월'!$H:$H,'RAW_유기농_10월'!$D:$D,$C103,'RAW_유기농_10월'!$A:$A,$E103),SUMIFS('RAW_유기농_11-12월'!$H:$H,'RAW_유기농_11-12월'!$D:$D,$C103,'RAW_유기농_11-12월'!$A:$A,$E103))))</f>
        <v/>
      </c>
      <c r="I103" s="17" t="str">
        <f>IF($C103="","",IF(COUNTIFS('RAW_유기농_7월'!$D:$D,$C103,'RAW_유기농_7월'!$A:$A,$E103)&gt;0,"O",""))</f>
        <v/>
      </c>
      <c r="J103" s="17" t="str">
        <f>IF($C103="","",IF(COUNTIFS('RAW_유기농_8월'!$D:$D,$C103,'RAW_유기농_8월'!$A:$A,$E103)&gt;0,"O",""))</f>
        <v/>
      </c>
      <c r="K103" s="17" t="str">
        <f>IF($C103="","",IF(COUNTIFS('RAW_유기농_9월'!$D:$D,$C103,'RAW_유기농_9월'!$A:$A,$E103)&gt;0,"O",""))</f>
        <v/>
      </c>
      <c r="L103" s="17" t="str">
        <f>IF($C103="","",IF(COUNTIFS('RAW_유기농_10월'!$D:$D,$C103,'RAW_유기농_10월'!$A:$A,$E103)&gt;0,"O",""))</f>
        <v/>
      </c>
      <c r="M103" s="17" t="str">
        <f>IF($C103="","",IF(COUNTIFS('RAW_유기농_11-12월'!$D:$D,$C103,'RAW_유기농_11-12월'!$A:$A,$E103)&gt;0,"O",""))</f>
        <v/>
      </c>
      <c r="N103" s="7" t="str">
        <f>IF($C103="","",IF(COUNTA('RAW_유기농_7월'!$A:$A)&lt;=1,"",SUMIFS('RAW_유기농_7월'!$H:$H,'RAW_유기농_7월'!$D:$D,$C103,'RAW_유기농_7월'!$A:$A,$E103)))</f>
        <v/>
      </c>
      <c r="O103" s="7" t="str">
        <f>IF($C103="","",IF(COUNTA('RAW_유기농_8월'!$A:$A)&lt;=1,"",SUMIFS('RAW_유기농_8월'!$H:$H,'RAW_유기농_8월'!$D:$D,$C103,'RAW_유기농_8월'!$A:$A,$E103)-SUMIFS('RAW_유기농_7월'!$H:$H,'RAW_유기농_7월'!$D:$D,$C103,'RAW_유기농_7월'!$A:$A,$E103)))</f>
        <v/>
      </c>
      <c r="P103" s="7" t="str">
        <f>IF($C103="","",IF(COUNTA('RAW_유기농_9월'!$A:$A)&lt;=1,"",SUMIFS('RAW_유기농_9월'!$H:$H,'RAW_유기농_9월'!$D:$D,$C103,'RAW_유기농_9월'!$A:$A,$E103)-SUMIFS('RAW_유기농_8월'!$H:$H,'RAW_유기농_8월'!$D:$D,$C103,'RAW_유기농_8월'!$A:$A,$E103)))</f>
        <v/>
      </c>
      <c r="Q103" s="7" t="str">
        <f>IF($C103="","",IF(COUNTA('RAW_유기농_10월'!$A:$A)&lt;=1,"",SUMIFS('RAW_유기농_10월'!$H:$H,'RAW_유기농_10월'!$D:$D,$C103,'RAW_유기농_10월'!$A:$A,$E103)-SUMIFS('RAW_유기농_9월'!$H:$H,'RAW_유기농_9월'!$D:$D,$C103,'RAW_유기농_9월'!$A:$A,$E103)))</f>
        <v/>
      </c>
      <c r="R103" s="7" t="str">
        <f>IF($C103="","",IF(COUNTA('RAW_유기농_11-12월'!$A:$A)&lt;=1,"",SUMIFS('RAW_유기농_11-12월'!$H:$H,'RAW_유기농_11-12월'!$D:$D,$C103,'RAW_유기농_11-12월'!$A:$A,$E103)-SUMIFS('RAW_유기농_10월'!$H:$H,'RAW_유기농_10월'!$D:$D,$C103,'RAW_유기농_10월'!$A:$A,$E103)))</f>
        <v/>
      </c>
      <c r="S103" s="17" t="str">
        <f t="shared" si="4"/>
        <v/>
      </c>
      <c r="T103" s="17" t="str">
        <f t="shared" si="5"/>
        <v/>
      </c>
      <c r="U103" s="7">
        <f>IF($C103="",0,IF('설정'!$B$4=0,0,CHOOSE('설정'!$B$4,COUNTIFS('RAW_유기농_7월'!$D:$D,$C103,'RAW_유기농_7월'!$A:$A,$E103),COUNTIFS('RAW_유기농_8월'!$D:$D,$C103,'RAW_유기농_8월'!$A:$A,$E103),COUNTIFS('RAW_유기농_9월'!$D:$D,$C103,'RAW_유기농_9월'!$A:$A,$E103),COUNTIFS('RAW_유기농_10월'!$D:$D,$C103,'RAW_유기농_10월'!$A:$A,$E103),COUNTIFS('RAW_유기농_11-12월'!$D:$D,$C103,'RAW_유기농_11-12월'!$A:$A,$E103))))</f>
        <v>0</v>
      </c>
    </row>
    <row r="104" ht="15.75" customHeight="1">
      <c r="A104" s="5"/>
      <c r="B104" s="5"/>
      <c r="C104" s="5"/>
      <c r="D104" s="6"/>
      <c r="E104" s="5"/>
      <c r="F104" s="7" t="str">
        <f>IF($C104="","",IF('설정'!$B$4=0,"",CHOOSE('설정'!$B$4,SUMIFS('RAW_유기농_7월'!$F:$F,'RAW_유기농_7월'!$D:$D,$C104,'RAW_유기농_7월'!$A:$A,$E104),SUMIFS('RAW_유기농_8월'!$F:$F,'RAW_유기농_8월'!$D:$D,$C104,'RAW_유기농_8월'!$A:$A,$E104),SUMIFS('RAW_유기농_9월'!$F:$F,'RAW_유기농_9월'!$D:$D,$C104,'RAW_유기농_9월'!$A:$A,$E104),SUMIFS('RAW_유기농_10월'!$F:$F,'RAW_유기농_10월'!$D:$D,$C104,'RAW_유기농_10월'!$A:$A,$E104),SUMIFS('RAW_유기농_11-12월'!$F:$F,'RAW_유기농_11-12월'!$D:$D,$C104,'RAW_유기농_11-12월'!$A:$A,$E104))))</f>
        <v/>
      </c>
      <c r="G104" s="7" t="str">
        <f>IF($C104="","",IF('설정'!$B$4=0,"",CHOOSE('설정'!$B$4,SUMIFS('RAW_유기농_7월'!$G:$G,'RAW_유기농_7월'!$D:$D,$C104,'RAW_유기농_7월'!$A:$A,$E104),SUMIFS('RAW_유기농_8월'!$G:$G,'RAW_유기농_8월'!$D:$D,$C104,'RAW_유기농_8월'!$A:$A,$E104),SUMIFS('RAW_유기농_9월'!$G:$G,'RAW_유기농_9월'!$D:$D,$C104,'RAW_유기농_9월'!$A:$A,$E104),SUMIFS('RAW_유기농_10월'!$G:$G,'RAW_유기농_10월'!$D:$D,$C104,'RAW_유기농_10월'!$A:$A,$E104),SUMIFS('RAW_유기농_11-12월'!$G:$G,'RAW_유기농_11-12월'!$D:$D,$C104,'RAW_유기농_11-12월'!$A:$A,$E104))))</f>
        <v/>
      </c>
      <c r="H104" s="7" t="str">
        <f>IF($C104="","",IF('설정'!$B$4=0,"",CHOOSE('설정'!$B$4,SUMIFS('RAW_유기농_7월'!$H:$H,'RAW_유기농_7월'!$D:$D,$C104,'RAW_유기농_7월'!$A:$A,$E104),SUMIFS('RAW_유기농_8월'!$H:$H,'RAW_유기농_8월'!$D:$D,$C104,'RAW_유기농_8월'!$A:$A,$E104),SUMIFS('RAW_유기농_9월'!$H:$H,'RAW_유기농_9월'!$D:$D,$C104,'RAW_유기농_9월'!$A:$A,$E104),SUMIFS('RAW_유기농_10월'!$H:$H,'RAW_유기농_10월'!$D:$D,$C104,'RAW_유기농_10월'!$A:$A,$E104),SUMIFS('RAW_유기농_11-12월'!$H:$H,'RAW_유기농_11-12월'!$D:$D,$C104,'RAW_유기농_11-12월'!$A:$A,$E104))))</f>
        <v/>
      </c>
      <c r="I104" s="17" t="str">
        <f>IF($C104="","",IF(COUNTIFS('RAW_유기농_7월'!$D:$D,$C104,'RAW_유기농_7월'!$A:$A,$E104)&gt;0,"O",""))</f>
        <v/>
      </c>
      <c r="J104" s="17" t="str">
        <f>IF($C104="","",IF(COUNTIFS('RAW_유기농_8월'!$D:$D,$C104,'RAW_유기농_8월'!$A:$A,$E104)&gt;0,"O",""))</f>
        <v/>
      </c>
      <c r="K104" s="17" t="str">
        <f>IF($C104="","",IF(COUNTIFS('RAW_유기농_9월'!$D:$D,$C104,'RAW_유기농_9월'!$A:$A,$E104)&gt;0,"O",""))</f>
        <v/>
      </c>
      <c r="L104" s="17" t="str">
        <f>IF($C104="","",IF(COUNTIFS('RAW_유기농_10월'!$D:$D,$C104,'RAW_유기농_10월'!$A:$A,$E104)&gt;0,"O",""))</f>
        <v/>
      </c>
      <c r="M104" s="17" t="str">
        <f>IF($C104="","",IF(COUNTIFS('RAW_유기농_11-12월'!$D:$D,$C104,'RAW_유기농_11-12월'!$A:$A,$E104)&gt;0,"O",""))</f>
        <v/>
      </c>
      <c r="N104" s="7" t="str">
        <f>IF($C104="","",IF(COUNTA('RAW_유기농_7월'!$A:$A)&lt;=1,"",SUMIFS('RAW_유기농_7월'!$H:$H,'RAW_유기농_7월'!$D:$D,$C104,'RAW_유기농_7월'!$A:$A,$E104)))</f>
        <v/>
      </c>
      <c r="O104" s="7" t="str">
        <f>IF($C104="","",IF(COUNTA('RAW_유기농_8월'!$A:$A)&lt;=1,"",SUMIFS('RAW_유기농_8월'!$H:$H,'RAW_유기농_8월'!$D:$D,$C104,'RAW_유기농_8월'!$A:$A,$E104)-SUMIFS('RAW_유기농_7월'!$H:$H,'RAW_유기농_7월'!$D:$D,$C104,'RAW_유기농_7월'!$A:$A,$E104)))</f>
        <v/>
      </c>
      <c r="P104" s="7" t="str">
        <f>IF($C104="","",IF(COUNTA('RAW_유기농_9월'!$A:$A)&lt;=1,"",SUMIFS('RAW_유기농_9월'!$H:$H,'RAW_유기농_9월'!$D:$D,$C104,'RAW_유기농_9월'!$A:$A,$E104)-SUMIFS('RAW_유기농_8월'!$H:$H,'RAW_유기농_8월'!$D:$D,$C104,'RAW_유기농_8월'!$A:$A,$E104)))</f>
        <v/>
      </c>
      <c r="Q104" s="7" t="str">
        <f>IF($C104="","",IF(COUNTA('RAW_유기농_10월'!$A:$A)&lt;=1,"",SUMIFS('RAW_유기농_10월'!$H:$H,'RAW_유기농_10월'!$D:$D,$C104,'RAW_유기농_10월'!$A:$A,$E104)-SUMIFS('RAW_유기농_9월'!$H:$H,'RAW_유기농_9월'!$D:$D,$C104,'RAW_유기농_9월'!$A:$A,$E104)))</f>
        <v/>
      </c>
      <c r="R104" s="7" t="str">
        <f>IF($C104="","",IF(COUNTA('RAW_유기농_11-12월'!$A:$A)&lt;=1,"",SUMIFS('RAW_유기농_11-12월'!$H:$H,'RAW_유기농_11-12월'!$D:$D,$C104,'RAW_유기농_11-12월'!$A:$A,$E104)-SUMIFS('RAW_유기농_10월'!$H:$H,'RAW_유기농_10월'!$D:$D,$C104,'RAW_유기농_10월'!$A:$A,$E104)))</f>
        <v/>
      </c>
      <c r="S104" s="17" t="str">
        <f t="shared" si="4"/>
        <v/>
      </c>
      <c r="T104" s="17" t="str">
        <f t="shared" si="5"/>
        <v/>
      </c>
      <c r="U104" s="7">
        <f>IF($C104="",0,IF('설정'!$B$4=0,0,CHOOSE('설정'!$B$4,COUNTIFS('RAW_유기농_7월'!$D:$D,$C104,'RAW_유기농_7월'!$A:$A,$E104),COUNTIFS('RAW_유기농_8월'!$D:$D,$C104,'RAW_유기농_8월'!$A:$A,$E104),COUNTIFS('RAW_유기농_9월'!$D:$D,$C104,'RAW_유기농_9월'!$A:$A,$E104),COUNTIFS('RAW_유기농_10월'!$D:$D,$C104,'RAW_유기농_10월'!$A:$A,$E104),COUNTIFS('RAW_유기농_11-12월'!$D:$D,$C104,'RAW_유기농_11-12월'!$A:$A,$E104))))</f>
        <v>0</v>
      </c>
    </row>
    <row r="105" ht="15.75" customHeight="1">
      <c r="A105" s="5"/>
      <c r="B105" s="5"/>
      <c r="C105" s="5"/>
      <c r="D105" s="6"/>
      <c r="E105" s="5"/>
      <c r="F105" s="7" t="str">
        <f>IF($C105="","",IF('설정'!$B$4=0,"",CHOOSE('설정'!$B$4,SUMIFS('RAW_유기농_7월'!$F:$F,'RAW_유기농_7월'!$D:$D,$C105,'RAW_유기농_7월'!$A:$A,$E105),SUMIFS('RAW_유기농_8월'!$F:$F,'RAW_유기농_8월'!$D:$D,$C105,'RAW_유기농_8월'!$A:$A,$E105),SUMIFS('RAW_유기농_9월'!$F:$F,'RAW_유기농_9월'!$D:$D,$C105,'RAW_유기농_9월'!$A:$A,$E105),SUMIFS('RAW_유기농_10월'!$F:$F,'RAW_유기농_10월'!$D:$D,$C105,'RAW_유기농_10월'!$A:$A,$E105),SUMIFS('RAW_유기농_11-12월'!$F:$F,'RAW_유기농_11-12월'!$D:$D,$C105,'RAW_유기농_11-12월'!$A:$A,$E105))))</f>
        <v/>
      </c>
      <c r="G105" s="7" t="str">
        <f>IF($C105="","",IF('설정'!$B$4=0,"",CHOOSE('설정'!$B$4,SUMIFS('RAW_유기농_7월'!$G:$G,'RAW_유기농_7월'!$D:$D,$C105,'RAW_유기농_7월'!$A:$A,$E105),SUMIFS('RAW_유기농_8월'!$G:$G,'RAW_유기농_8월'!$D:$D,$C105,'RAW_유기농_8월'!$A:$A,$E105),SUMIFS('RAW_유기농_9월'!$G:$G,'RAW_유기농_9월'!$D:$D,$C105,'RAW_유기농_9월'!$A:$A,$E105),SUMIFS('RAW_유기농_10월'!$G:$G,'RAW_유기농_10월'!$D:$D,$C105,'RAW_유기농_10월'!$A:$A,$E105),SUMIFS('RAW_유기농_11-12월'!$G:$G,'RAW_유기농_11-12월'!$D:$D,$C105,'RAW_유기농_11-12월'!$A:$A,$E105))))</f>
        <v/>
      </c>
      <c r="H105" s="7" t="str">
        <f>IF($C105="","",IF('설정'!$B$4=0,"",CHOOSE('설정'!$B$4,SUMIFS('RAW_유기농_7월'!$H:$H,'RAW_유기농_7월'!$D:$D,$C105,'RAW_유기농_7월'!$A:$A,$E105),SUMIFS('RAW_유기농_8월'!$H:$H,'RAW_유기농_8월'!$D:$D,$C105,'RAW_유기농_8월'!$A:$A,$E105),SUMIFS('RAW_유기농_9월'!$H:$H,'RAW_유기농_9월'!$D:$D,$C105,'RAW_유기농_9월'!$A:$A,$E105),SUMIFS('RAW_유기농_10월'!$H:$H,'RAW_유기농_10월'!$D:$D,$C105,'RAW_유기농_10월'!$A:$A,$E105),SUMIFS('RAW_유기농_11-12월'!$H:$H,'RAW_유기농_11-12월'!$D:$D,$C105,'RAW_유기농_11-12월'!$A:$A,$E105))))</f>
        <v/>
      </c>
      <c r="I105" s="17" t="str">
        <f>IF($C105="","",IF(COUNTIFS('RAW_유기농_7월'!$D:$D,$C105,'RAW_유기농_7월'!$A:$A,$E105)&gt;0,"O",""))</f>
        <v/>
      </c>
      <c r="J105" s="17" t="str">
        <f>IF($C105="","",IF(COUNTIFS('RAW_유기농_8월'!$D:$D,$C105,'RAW_유기농_8월'!$A:$A,$E105)&gt;0,"O",""))</f>
        <v/>
      </c>
      <c r="K105" s="17" t="str">
        <f>IF($C105="","",IF(COUNTIFS('RAW_유기농_9월'!$D:$D,$C105,'RAW_유기농_9월'!$A:$A,$E105)&gt;0,"O",""))</f>
        <v/>
      </c>
      <c r="L105" s="17" t="str">
        <f>IF($C105="","",IF(COUNTIFS('RAW_유기농_10월'!$D:$D,$C105,'RAW_유기농_10월'!$A:$A,$E105)&gt;0,"O",""))</f>
        <v/>
      </c>
      <c r="M105" s="17" t="str">
        <f>IF($C105="","",IF(COUNTIFS('RAW_유기농_11-12월'!$D:$D,$C105,'RAW_유기농_11-12월'!$A:$A,$E105)&gt;0,"O",""))</f>
        <v/>
      </c>
      <c r="N105" s="7" t="str">
        <f>IF($C105="","",IF(COUNTA('RAW_유기농_7월'!$A:$A)&lt;=1,"",SUMIFS('RAW_유기농_7월'!$H:$H,'RAW_유기농_7월'!$D:$D,$C105,'RAW_유기농_7월'!$A:$A,$E105)))</f>
        <v/>
      </c>
      <c r="O105" s="7" t="str">
        <f>IF($C105="","",IF(COUNTA('RAW_유기농_8월'!$A:$A)&lt;=1,"",SUMIFS('RAW_유기농_8월'!$H:$H,'RAW_유기농_8월'!$D:$D,$C105,'RAW_유기농_8월'!$A:$A,$E105)-SUMIFS('RAW_유기농_7월'!$H:$H,'RAW_유기농_7월'!$D:$D,$C105,'RAW_유기농_7월'!$A:$A,$E105)))</f>
        <v/>
      </c>
      <c r="P105" s="7" t="str">
        <f>IF($C105="","",IF(COUNTA('RAW_유기농_9월'!$A:$A)&lt;=1,"",SUMIFS('RAW_유기농_9월'!$H:$H,'RAW_유기농_9월'!$D:$D,$C105,'RAW_유기농_9월'!$A:$A,$E105)-SUMIFS('RAW_유기농_8월'!$H:$H,'RAW_유기농_8월'!$D:$D,$C105,'RAW_유기농_8월'!$A:$A,$E105)))</f>
        <v/>
      </c>
      <c r="Q105" s="7" t="str">
        <f>IF($C105="","",IF(COUNTA('RAW_유기농_10월'!$A:$A)&lt;=1,"",SUMIFS('RAW_유기농_10월'!$H:$H,'RAW_유기농_10월'!$D:$D,$C105,'RAW_유기농_10월'!$A:$A,$E105)-SUMIFS('RAW_유기농_9월'!$H:$H,'RAW_유기농_9월'!$D:$D,$C105,'RAW_유기농_9월'!$A:$A,$E105)))</f>
        <v/>
      </c>
      <c r="R105" s="7" t="str">
        <f>IF($C105="","",IF(COUNTA('RAW_유기농_11-12월'!$A:$A)&lt;=1,"",SUMIFS('RAW_유기농_11-12월'!$H:$H,'RAW_유기농_11-12월'!$D:$D,$C105,'RAW_유기농_11-12월'!$A:$A,$E105)-SUMIFS('RAW_유기농_10월'!$H:$H,'RAW_유기농_10월'!$D:$D,$C105,'RAW_유기농_10월'!$A:$A,$E105)))</f>
        <v/>
      </c>
      <c r="S105" s="17" t="str">
        <f t="shared" si="4"/>
        <v/>
      </c>
      <c r="T105" s="17" t="str">
        <f t="shared" si="5"/>
        <v/>
      </c>
      <c r="U105" s="7">
        <f>IF($C105="",0,IF('설정'!$B$4=0,0,CHOOSE('설정'!$B$4,COUNTIFS('RAW_유기농_7월'!$D:$D,$C105,'RAW_유기농_7월'!$A:$A,$E105),COUNTIFS('RAW_유기농_8월'!$D:$D,$C105,'RAW_유기농_8월'!$A:$A,$E105),COUNTIFS('RAW_유기농_9월'!$D:$D,$C105,'RAW_유기농_9월'!$A:$A,$E105),COUNTIFS('RAW_유기농_10월'!$D:$D,$C105,'RAW_유기농_10월'!$A:$A,$E105),COUNTIFS('RAW_유기농_11-12월'!$D:$D,$C105,'RAW_유기농_11-12월'!$A:$A,$E105))))</f>
        <v>0</v>
      </c>
    </row>
    <row r="106" ht="15.75" customHeight="1">
      <c r="A106" s="5"/>
      <c r="B106" s="5"/>
      <c r="C106" s="5"/>
      <c r="D106" s="6"/>
      <c r="E106" s="5"/>
      <c r="F106" s="7" t="str">
        <f>IF($C106="","",IF('설정'!$B$4=0,"",CHOOSE('설정'!$B$4,SUMIFS('RAW_유기농_7월'!$F:$F,'RAW_유기농_7월'!$D:$D,$C106,'RAW_유기농_7월'!$A:$A,$E106),SUMIFS('RAW_유기농_8월'!$F:$F,'RAW_유기농_8월'!$D:$D,$C106,'RAW_유기농_8월'!$A:$A,$E106),SUMIFS('RAW_유기농_9월'!$F:$F,'RAW_유기농_9월'!$D:$D,$C106,'RAW_유기농_9월'!$A:$A,$E106),SUMIFS('RAW_유기농_10월'!$F:$F,'RAW_유기농_10월'!$D:$D,$C106,'RAW_유기농_10월'!$A:$A,$E106),SUMIFS('RAW_유기농_11-12월'!$F:$F,'RAW_유기농_11-12월'!$D:$D,$C106,'RAW_유기농_11-12월'!$A:$A,$E106))))</f>
        <v/>
      </c>
      <c r="G106" s="7" t="str">
        <f>IF($C106="","",IF('설정'!$B$4=0,"",CHOOSE('설정'!$B$4,SUMIFS('RAW_유기농_7월'!$G:$G,'RAW_유기농_7월'!$D:$D,$C106,'RAW_유기농_7월'!$A:$A,$E106),SUMIFS('RAW_유기농_8월'!$G:$G,'RAW_유기농_8월'!$D:$D,$C106,'RAW_유기농_8월'!$A:$A,$E106),SUMIFS('RAW_유기농_9월'!$G:$G,'RAW_유기농_9월'!$D:$D,$C106,'RAW_유기농_9월'!$A:$A,$E106),SUMIFS('RAW_유기농_10월'!$G:$G,'RAW_유기농_10월'!$D:$D,$C106,'RAW_유기농_10월'!$A:$A,$E106),SUMIFS('RAW_유기농_11-12월'!$G:$G,'RAW_유기농_11-12월'!$D:$D,$C106,'RAW_유기농_11-12월'!$A:$A,$E106))))</f>
        <v/>
      </c>
      <c r="H106" s="7" t="str">
        <f>IF($C106="","",IF('설정'!$B$4=0,"",CHOOSE('설정'!$B$4,SUMIFS('RAW_유기농_7월'!$H:$H,'RAW_유기농_7월'!$D:$D,$C106,'RAW_유기농_7월'!$A:$A,$E106),SUMIFS('RAW_유기농_8월'!$H:$H,'RAW_유기농_8월'!$D:$D,$C106,'RAW_유기농_8월'!$A:$A,$E106),SUMIFS('RAW_유기농_9월'!$H:$H,'RAW_유기농_9월'!$D:$D,$C106,'RAW_유기농_9월'!$A:$A,$E106),SUMIFS('RAW_유기농_10월'!$H:$H,'RAW_유기농_10월'!$D:$D,$C106,'RAW_유기농_10월'!$A:$A,$E106),SUMIFS('RAW_유기농_11-12월'!$H:$H,'RAW_유기농_11-12월'!$D:$D,$C106,'RAW_유기농_11-12월'!$A:$A,$E106))))</f>
        <v/>
      </c>
      <c r="I106" s="17" t="str">
        <f>IF($C106="","",IF(COUNTIFS('RAW_유기농_7월'!$D:$D,$C106,'RAW_유기농_7월'!$A:$A,$E106)&gt;0,"O",""))</f>
        <v/>
      </c>
      <c r="J106" s="17" t="str">
        <f>IF($C106="","",IF(COUNTIFS('RAW_유기농_8월'!$D:$D,$C106,'RAW_유기농_8월'!$A:$A,$E106)&gt;0,"O",""))</f>
        <v/>
      </c>
      <c r="K106" s="17" t="str">
        <f>IF($C106="","",IF(COUNTIFS('RAW_유기농_9월'!$D:$D,$C106,'RAW_유기농_9월'!$A:$A,$E106)&gt;0,"O",""))</f>
        <v/>
      </c>
      <c r="L106" s="17" t="str">
        <f>IF($C106="","",IF(COUNTIFS('RAW_유기농_10월'!$D:$D,$C106,'RAW_유기농_10월'!$A:$A,$E106)&gt;0,"O",""))</f>
        <v/>
      </c>
      <c r="M106" s="17" t="str">
        <f>IF($C106="","",IF(COUNTIFS('RAW_유기농_11-12월'!$D:$D,$C106,'RAW_유기농_11-12월'!$A:$A,$E106)&gt;0,"O",""))</f>
        <v/>
      </c>
      <c r="N106" s="7" t="str">
        <f>IF($C106="","",IF(COUNTA('RAW_유기농_7월'!$A:$A)&lt;=1,"",SUMIFS('RAW_유기농_7월'!$H:$H,'RAW_유기농_7월'!$D:$D,$C106,'RAW_유기농_7월'!$A:$A,$E106)))</f>
        <v/>
      </c>
      <c r="O106" s="7" t="str">
        <f>IF($C106="","",IF(COUNTA('RAW_유기농_8월'!$A:$A)&lt;=1,"",SUMIFS('RAW_유기농_8월'!$H:$H,'RAW_유기농_8월'!$D:$D,$C106,'RAW_유기농_8월'!$A:$A,$E106)-SUMIFS('RAW_유기농_7월'!$H:$H,'RAW_유기농_7월'!$D:$D,$C106,'RAW_유기농_7월'!$A:$A,$E106)))</f>
        <v/>
      </c>
      <c r="P106" s="7" t="str">
        <f>IF($C106="","",IF(COUNTA('RAW_유기농_9월'!$A:$A)&lt;=1,"",SUMIFS('RAW_유기농_9월'!$H:$H,'RAW_유기농_9월'!$D:$D,$C106,'RAW_유기농_9월'!$A:$A,$E106)-SUMIFS('RAW_유기농_8월'!$H:$H,'RAW_유기농_8월'!$D:$D,$C106,'RAW_유기농_8월'!$A:$A,$E106)))</f>
        <v/>
      </c>
      <c r="Q106" s="7" t="str">
        <f>IF($C106="","",IF(COUNTA('RAW_유기농_10월'!$A:$A)&lt;=1,"",SUMIFS('RAW_유기농_10월'!$H:$H,'RAW_유기농_10월'!$D:$D,$C106,'RAW_유기농_10월'!$A:$A,$E106)-SUMIFS('RAW_유기농_9월'!$H:$H,'RAW_유기농_9월'!$D:$D,$C106,'RAW_유기농_9월'!$A:$A,$E106)))</f>
        <v/>
      </c>
      <c r="R106" s="7" t="str">
        <f>IF($C106="","",IF(COUNTA('RAW_유기농_11-12월'!$A:$A)&lt;=1,"",SUMIFS('RAW_유기농_11-12월'!$H:$H,'RAW_유기농_11-12월'!$D:$D,$C106,'RAW_유기농_11-12월'!$A:$A,$E106)-SUMIFS('RAW_유기농_10월'!$H:$H,'RAW_유기농_10월'!$D:$D,$C106,'RAW_유기농_10월'!$A:$A,$E106)))</f>
        <v/>
      </c>
      <c r="S106" s="17" t="str">
        <f t="shared" si="4"/>
        <v/>
      </c>
      <c r="T106" s="17" t="str">
        <f t="shared" si="5"/>
        <v/>
      </c>
      <c r="U106" s="7">
        <f>IF($C106="",0,IF('설정'!$B$4=0,0,CHOOSE('설정'!$B$4,COUNTIFS('RAW_유기농_7월'!$D:$D,$C106,'RAW_유기농_7월'!$A:$A,$E106),COUNTIFS('RAW_유기농_8월'!$D:$D,$C106,'RAW_유기농_8월'!$A:$A,$E106),COUNTIFS('RAW_유기농_9월'!$D:$D,$C106,'RAW_유기농_9월'!$A:$A,$E106),COUNTIFS('RAW_유기농_10월'!$D:$D,$C106,'RAW_유기농_10월'!$A:$A,$E106),COUNTIFS('RAW_유기농_11-12월'!$D:$D,$C106,'RAW_유기농_11-12월'!$A:$A,$E106))))</f>
        <v>0</v>
      </c>
    </row>
    <row r="107" ht="15.75" customHeight="1">
      <c r="A107" s="5"/>
      <c r="B107" s="5"/>
      <c r="C107" s="5"/>
      <c r="D107" s="6"/>
      <c r="E107" s="5"/>
      <c r="F107" s="7" t="str">
        <f>IF($C107="","",IF('설정'!$B$4=0,"",CHOOSE('설정'!$B$4,SUMIFS('RAW_유기농_7월'!$F:$F,'RAW_유기농_7월'!$D:$D,$C107,'RAW_유기농_7월'!$A:$A,$E107),SUMIFS('RAW_유기농_8월'!$F:$F,'RAW_유기농_8월'!$D:$D,$C107,'RAW_유기농_8월'!$A:$A,$E107),SUMIFS('RAW_유기농_9월'!$F:$F,'RAW_유기농_9월'!$D:$D,$C107,'RAW_유기농_9월'!$A:$A,$E107),SUMIFS('RAW_유기농_10월'!$F:$F,'RAW_유기농_10월'!$D:$D,$C107,'RAW_유기농_10월'!$A:$A,$E107),SUMIFS('RAW_유기농_11-12월'!$F:$F,'RAW_유기농_11-12월'!$D:$D,$C107,'RAW_유기농_11-12월'!$A:$A,$E107))))</f>
        <v/>
      </c>
      <c r="G107" s="7" t="str">
        <f>IF($C107="","",IF('설정'!$B$4=0,"",CHOOSE('설정'!$B$4,SUMIFS('RAW_유기농_7월'!$G:$G,'RAW_유기농_7월'!$D:$D,$C107,'RAW_유기농_7월'!$A:$A,$E107),SUMIFS('RAW_유기농_8월'!$G:$G,'RAW_유기농_8월'!$D:$D,$C107,'RAW_유기농_8월'!$A:$A,$E107),SUMIFS('RAW_유기농_9월'!$G:$G,'RAW_유기농_9월'!$D:$D,$C107,'RAW_유기농_9월'!$A:$A,$E107),SUMIFS('RAW_유기농_10월'!$G:$G,'RAW_유기농_10월'!$D:$D,$C107,'RAW_유기농_10월'!$A:$A,$E107),SUMIFS('RAW_유기농_11-12월'!$G:$G,'RAW_유기농_11-12월'!$D:$D,$C107,'RAW_유기농_11-12월'!$A:$A,$E107))))</f>
        <v/>
      </c>
      <c r="H107" s="7" t="str">
        <f>IF($C107="","",IF('설정'!$B$4=0,"",CHOOSE('설정'!$B$4,SUMIFS('RAW_유기농_7월'!$H:$H,'RAW_유기농_7월'!$D:$D,$C107,'RAW_유기농_7월'!$A:$A,$E107),SUMIFS('RAW_유기농_8월'!$H:$H,'RAW_유기농_8월'!$D:$D,$C107,'RAW_유기농_8월'!$A:$A,$E107),SUMIFS('RAW_유기농_9월'!$H:$H,'RAW_유기농_9월'!$D:$D,$C107,'RAW_유기농_9월'!$A:$A,$E107),SUMIFS('RAW_유기농_10월'!$H:$H,'RAW_유기농_10월'!$D:$D,$C107,'RAW_유기농_10월'!$A:$A,$E107),SUMIFS('RAW_유기농_11-12월'!$H:$H,'RAW_유기농_11-12월'!$D:$D,$C107,'RAW_유기농_11-12월'!$A:$A,$E107))))</f>
        <v/>
      </c>
      <c r="I107" s="17" t="str">
        <f>IF($C107="","",IF(COUNTIFS('RAW_유기농_7월'!$D:$D,$C107,'RAW_유기농_7월'!$A:$A,$E107)&gt;0,"O",""))</f>
        <v/>
      </c>
      <c r="J107" s="17" t="str">
        <f>IF($C107="","",IF(COUNTIFS('RAW_유기농_8월'!$D:$D,$C107,'RAW_유기농_8월'!$A:$A,$E107)&gt;0,"O",""))</f>
        <v/>
      </c>
      <c r="K107" s="17" t="str">
        <f>IF($C107="","",IF(COUNTIFS('RAW_유기농_9월'!$D:$D,$C107,'RAW_유기농_9월'!$A:$A,$E107)&gt;0,"O",""))</f>
        <v/>
      </c>
      <c r="L107" s="17" t="str">
        <f>IF($C107="","",IF(COUNTIFS('RAW_유기농_10월'!$D:$D,$C107,'RAW_유기농_10월'!$A:$A,$E107)&gt;0,"O",""))</f>
        <v/>
      </c>
      <c r="M107" s="17" t="str">
        <f>IF($C107="","",IF(COUNTIFS('RAW_유기농_11-12월'!$D:$D,$C107,'RAW_유기농_11-12월'!$A:$A,$E107)&gt;0,"O",""))</f>
        <v/>
      </c>
      <c r="N107" s="7" t="str">
        <f>IF($C107="","",IF(COUNTA('RAW_유기농_7월'!$A:$A)&lt;=1,"",SUMIFS('RAW_유기농_7월'!$H:$H,'RAW_유기농_7월'!$D:$D,$C107,'RAW_유기농_7월'!$A:$A,$E107)))</f>
        <v/>
      </c>
      <c r="O107" s="7" t="str">
        <f>IF($C107="","",IF(COUNTA('RAW_유기농_8월'!$A:$A)&lt;=1,"",SUMIFS('RAW_유기농_8월'!$H:$H,'RAW_유기농_8월'!$D:$D,$C107,'RAW_유기농_8월'!$A:$A,$E107)-SUMIFS('RAW_유기농_7월'!$H:$H,'RAW_유기농_7월'!$D:$D,$C107,'RAW_유기농_7월'!$A:$A,$E107)))</f>
        <v/>
      </c>
      <c r="P107" s="7" t="str">
        <f>IF($C107="","",IF(COUNTA('RAW_유기농_9월'!$A:$A)&lt;=1,"",SUMIFS('RAW_유기농_9월'!$H:$H,'RAW_유기농_9월'!$D:$D,$C107,'RAW_유기농_9월'!$A:$A,$E107)-SUMIFS('RAW_유기농_8월'!$H:$H,'RAW_유기농_8월'!$D:$D,$C107,'RAW_유기농_8월'!$A:$A,$E107)))</f>
        <v/>
      </c>
      <c r="Q107" s="7" t="str">
        <f>IF($C107="","",IF(COUNTA('RAW_유기농_10월'!$A:$A)&lt;=1,"",SUMIFS('RAW_유기농_10월'!$H:$H,'RAW_유기농_10월'!$D:$D,$C107,'RAW_유기농_10월'!$A:$A,$E107)-SUMIFS('RAW_유기농_9월'!$H:$H,'RAW_유기농_9월'!$D:$D,$C107,'RAW_유기농_9월'!$A:$A,$E107)))</f>
        <v/>
      </c>
      <c r="R107" s="7" t="str">
        <f>IF($C107="","",IF(COUNTA('RAW_유기농_11-12월'!$A:$A)&lt;=1,"",SUMIFS('RAW_유기농_11-12월'!$H:$H,'RAW_유기농_11-12월'!$D:$D,$C107,'RAW_유기농_11-12월'!$A:$A,$E107)-SUMIFS('RAW_유기농_10월'!$H:$H,'RAW_유기농_10월'!$D:$D,$C107,'RAW_유기농_10월'!$A:$A,$E107)))</f>
        <v/>
      </c>
      <c r="S107" s="17" t="str">
        <f t="shared" si="4"/>
        <v/>
      </c>
      <c r="T107" s="17" t="str">
        <f t="shared" si="5"/>
        <v/>
      </c>
      <c r="U107" s="7">
        <f>IF($C107="",0,IF('설정'!$B$4=0,0,CHOOSE('설정'!$B$4,COUNTIFS('RAW_유기농_7월'!$D:$D,$C107,'RAW_유기농_7월'!$A:$A,$E107),COUNTIFS('RAW_유기농_8월'!$D:$D,$C107,'RAW_유기농_8월'!$A:$A,$E107),COUNTIFS('RAW_유기농_9월'!$D:$D,$C107,'RAW_유기농_9월'!$A:$A,$E107),COUNTIFS('RAW_유기농_10월'!$D:$D,$C107,'RAW_유기농_10월'!$A:$A,$E107),COUNTIFS('RAW_유기농_11-12월'!$D:$D,$C107,'RAW_유기농_11-12월'!$A:$A,$E107))))</f>
        <v>0</v>
      </c>
    </row>
    <row r="108" ht="15.75" customHeight="1">
      <c r="A108" s="5"/>
      <c r="B108" s="5"/>
      <c r="C108" s="5"/>
      <c r="D108" s="6"/>
      <c r="E108" s="5"/>
      <c r="F108" s="7" t="str">
        <f>IF($C108="","",IF('설정'!$B$4=0,"",CHOOSE('설정'!$B$4,SUMIFS('RAW_유기농_7월'!$F:$F,'RAW_유기농_7월'!$D:$D,$C108,'RAW_유기농_7월'!$A:$A,$E108),SUMIFS('RAW_유기농_8월'!$F:$F,'RAW_유기농_8월'!$D:$D,$C108,'RAW_유기농_8월'!$A:$A,$E108),SUMIFS('RAW_유기농_9월'!$F:$F,'RAW_유기농_9월'!$D:$D,$C108,'RAW_유기농_9월'!$A:$A,$E108),SUMIFS('RAW_유기농_10월'!$F:$F,'RAW_유기농_10월'!$D:$D,$C108,'RAW_유기농_10월'!$A:$A,$E108),SUMIFS('RAW_유기농_11-12월'!$F:$F,'RAW_유기농_11-12월'!$D:$D,$C108,'RAW_유기농_11-12월'!$A:$A,$E108))))</f>
        <v/>
      </c>
      <c r="G108" s="7" t="str">
        <f>IF($C108="","",IF('설정'!$B$4=0,"",CHOOSE('설정'!$B$4,SUMIFS('RAW_유기농_7월'!$G:$G,'RAW_유기농_7월'!$D:$D,$C108,'RAW_유기농_7월'!$A:$A,$E108),SUMIFS('RAW_유기농_8월'!$G:$G,'RAW_유기농_8월'!$D:$D,$C108,'RAW_유기농_8월'!$A:$A,$E108),SUMIFS('RAW_유기농_9월'!$G:$G,'RAW_유기농_9월'!$D:$D,$C108,'RAW_유기농_9월'!$A:$A,$E108),SUMIFS('RAW_유기농_10월'!$G:$G,'RAW_유기농_10월'!$D:$D,$C108,'RAW_유기농_10월'!$A:$A,$E108),SUMIFS('RAW_유기농_11-12월'!$G:$G,'RAW_유기농_11-12월'!$D:$D,$C108,'RAW_유기농_11-12월'!$A:$A,$E108))))</f>
        <v/>
      </c>
      <c r="H108" s="7" t="str">
        <f>IF($C108="","",IF('설정'!$B$4=0,"",CHOOSE('설정'!$B$4,SUMIFS('RAW_유기농_7월'!$H:$H,'RAW_유기농_7월'!$D:$D,$C108,'RAW_유기농_7월'!$A:$A,$E108),SUMIFS('RAW_유기농_8월'!$H:$H,'RAW_유기농_8월'!$D:$D,$C108,'RAW_유기농_8월'!$A:$A,$E108),SUMIFS('RAW_유기농_9월'!$H:$H,'RAW_유기농_9월'!$D:$D,$C108,'RAW_유기농_9월'!$A:$A,$E108),SUMIFS('RAW_유기농_10월'!$H:$H,'RAW_유기농_10월'!$D:$D,$C108,'RAW_유기농_10월'!$A:$A,$E108),SUMIFS('RAW_유기농_11-12월'!$H:$H,'RAW_유기농_11-12월'!$D:$D,$C108,'RAW_유기농_11-12월'!$A:$A,$E108))))</f>
        <v/>
      </c>
      <c r="I108" s="17" t="str">
        <f>IF($C108="","",IF(COUNTIFS('RAW_유기농_7월'!$D:$D,$C108,'RAW_유기농_7월'!$A:$A,$E108)&gt;0,"O",""))</f>
        <v/>
      </c>
      <c r="J108" s="17" t="str">
        <f>IF($C108="","",IF(COUNTIFS('RAW_유기농_8월'!$D:$D,$C108,'RAW_유기농_8월'!$A:$A,$E108)&gt;0,"O",""))</f>
        <v/>
      </c>
      <c r="K108" s="17" t="str">
        <f>IF($C108="","",IF(COUNTIFS('RAW_유기농_9월'!$D:$D,$C108,'RAW_유기농_9월'!$A:$A,$E108)&gt;0,"O",""))</f>
        <v/>
      </c>
      <c r="L108" s="17" t="str">
        <f>IF($C108="","",IF(COUNTIFS('RAW_유기농_10월'!$D:$D,$C108,'RAW_유기농_10월'!$A:$A,$E108)&gt;0,"O",""))</f>
        <v/>
      </c>
      <c r="M108" s="17" t="str">
        <f>IF($C108="","",IF(COUNTIFS('RAW_유기농_11-12월'!$D:$D,$C108,'RAW_유기농_11-12월'!$A:$A,$E108)&gt;0,"O",""))</f>
        <v/>
      </c>
      <c r="N108" s="7" t="str">
        <f>IF($C108="","",IF(COUNTA('RAW_유기농_7월'!$A:$A)&lt;=1,"",SUMIFS('RAW_유기농_7월'!$H:$H,'RAW_유기농_7월'!$D:$D,$C108,'RAW_유기농_7월'!$A:$A,$E108)))</f>
        <v/>
      </c>
      <c r="O108" s="7" t="str">
        <f>IF($C108="","",IF(COUNTA('RAW_유기농_8월'!$A:$A)&lt;=1,"",SUMIFS('RAW_유기농_8월'!$H:$H,'RAW_유기농_8월'!$D:$D,$C108,'RAW_유기농_8월'!$A:$A,$E108)-SUMIFS('RAW_유기농_7월'!$H:$H,'RAW_유기농_7월'!$D:$D,$C108,'RAW_유기농_7월'!$A:$A,$E108)))</f>
        <v/>
      </c>
      <c r="P108" s="7" t="str">
        <f>IF($C108="","",IF(COUNTA('RAW_유기농_9월'!$A:$A)&lt;=1,"",SUMIFS('RAW_유기농_9월'!$H:$H,'RAW_유기농_9월'!$D:$D,$C108,'RAW_유기농_9월'!$A:$A,$E108)-SUMIFS('RAW_유기농_8월'!$H:$H,'RAW_유기농_8월'!$D:$D,$C108,'RAW_유기농_8월'!$A:$A,$E108)))</f>
        <v/>
      </c>
      <c r="Q108" s="7" t="str">
        <f>IF($C108="","",IF(COUNTA('RAW_유기농_10월'!$A:$A)&lt;=1,"",SUMIFS('RAW_유기농_10월'!$H:$H,'RAW_유기농_10월'!$D:$D,$C108,'RAW_유기농_10월'!$A:$A,$E108)-SUMIFS('RAW_유기농_9월'!$H:$H,'RAW_유기농_9월'!$D:$D,$C108,'RAW_유기농_9월'!$A:$A,$E108)))</f>
        <v/>
      </c>
      <c r="R108" s="7" t="str">
        <f>IF($C108="","",IF(COUNTA('RAW_유기농_11-12월'!$A:$A)&lt;=1,"",SUMIFS('RAW_유기농_11-12월'!$H:$H,'RAW_유기농_11-12월'!$D:$D,$C108,'RAW_유기농_11-12월'!$A:$A,$E108)-SUMIFS('RAW_유기농_10월'!$H:$H,'RAW_유기농_10월'!$D:$D,$C108,'RAW_유기농_10월'!$A:$A,$E108)))</f>
        <v/>
      </c>
      <c r="S108" s="17" t="str">
        <f t="shared" si="4"/>
        <v/>
      </c>
      <c r="T108" s="17" t="str">
        <f t="shared" si="5"/>
        <v/>
      </c>
      <c r="U108" s="7">
        <f>IF($C108="",0,IF('설정'!$B$4=0,0,CHOOSE('설정'!$B$4,COUNTIFS('RAW_유기농_7월'!$D:$D,$C108,'RAW_유기농_7월'!$A:$A,$E108),COUNTIFS('RAW_유기농_8월'!$D:$D,$C108,'RAW_유기농_8월'!$A:$A,$E108),COUNTIFS('RAW_유기농_9월'!$D:$D,$C108,'RAW_유기농_9월'!$A:$A,$E108),COUNTIFS('RAW_유기농_10월'!$D:$D,$C108,'RAW_유기농_10월'!$A:$A,$E108),COUNTIFS('RAW_유기농_11-12월'!$D:$D,$C108,'RAW_유기농_11-12월'!$A:$A,$E108))))</f>
        <v>0</v>
      </c>
    </row>
    <row r="109" ht="15.75" customHeight="1">
      <c r="A109" s="5"/>
      <c r="B109" s="5"/>
      <c r="C109" s="5"/>
      <c r="D109" s="6"/>
      <c r="E109" s="5"/>
      <c r="F109" s="7" t="str">
        <f>IF($C109="","",IF('설정'!$B$4=0,"",CHOOSE('설정'!$B$4,SUMIFS('RAW_유기농_7월'!$F:$F,'RAW_유기농_7월'!$D:$D,$C109,'RAW_유기농_7월'!$A:$A,$E109),SUMIFS('RAW_유기농_8월'!$F:$F,'RAW_유기농_8월'!$D:$D,$C109,'RAW_유기농_8월'!$A:$A,$E109),SUMIFS('RAW_유기농_9월'!$F:$F,'RAW_유기농_9월'!$D:$D,$C109,'RAW_유기농_9월'!$A:$A,$E109),SUMIFS('RAW_유기농_10월'!$F:$F,'RAW_유기농_10월'!$D:$D,$C109,'RAW_유기농_10월'!$A:$A,$E109),SUMIFS('RAW_유기농_11-12월'!$F:$F,'RAW_유기농_11-12월'!$D:$D,$C109,'RAW_유기농_11-12월'!$A:$A,$E109))))</f>
        <v/>
      </c>
      <c r="G109" s="7" t="str">
        <f>IF($C109="","",IF('설정'!$B$4=0,"",CHOOSE('설정'!$B$4,SUMIFS('RAW_유기농_7월'!$G:$G,'RAW_유기농_7월'!$D:$D,$C109,'RAW_유기농_7월'!$A:$A,$E109),SUMIFS('RAW_유기농_8월'!$G:$G,'RAW_유기농_8월'!$D:$D,$C109,'RAW_유기농_8월'!$A:$A,$E109),SUMIFS('RAW_유기농_9월'!$G:$G,'RAW_유기농_9월'!$D:$D,$C109,'RAW_유기농_9월'!$A:$A,$E109),SUMIFS('RAW_유기농_10월'!$G:$G,'RAW_유기농_10월'!$D:$D,$C109,'RAW_유기농_10월'!$A:$A,$E109),SUMIFS('RAW_유기농_11-12월'!$G:$G,'RAW_유기농_11-12월'!$D:$D,$C109,'RAW_유기농_11-12월'!$A:$A,$E109))))</f>
        <v/>
      </c>
      <c r="H109" s="7" t="str">
        <f>IF($C109="","",IF('설정'!$B$4=0,"",CHOOSE('설정'!$B$4,SUMIFS('RAW_유기농_7월'!$H:$H,'RAW_유기농_7월'!$D:$D,$C109,'RAW_유기농_7월'!$A:$A,$E109),SUMIFS('RAW_유기농_8월'!$H:$H,'RAW_유기농_8월'!$D:$D,$C109,'RAW_유기농_8월'!$A:$A,$E109),SUMIFS('RAW_유기농_9월'!$H:$H,'RAW_유기농_9월'!$D:$D,$C109,'RAW_유기농_9월'!$A:$A,$E109),SUMIFS('RAW_유기농_10월'!$H:$H,'RAW_유기농_10월'!$D:$D,$C109,'RAW_유기농_10월'!$A:$A,$E109),SUMIFS('RAW_유기농_11-12월'!$H:$H,'RAW_유기농_11-12월'!$D:$D,$C109,'RAW_유기농_11-12월'!$A:$A,$E109))))</f>
        <v/>
      </c>
      <c r="I109" s="17" t="str">
        <f>IF($C109="","",IF(COUNTIFS('RAW_유기농_7월'!$D:$D,$C109,'RAW_유기농_7월'!$A:$A,$E109)&gt;0,"O",""))</f>
        <v/>
      </c>
      <c r="J109" s="17" t="str">
        <f>IF($C109="","",IF(COUNTIFS('RAW_유기농_8월'!$D:$D,$C109,'RAW_유기농_8월'!$A:$A,$E109)&gt;0,"O",""))</f>
        <v/>
      </c>
      <c r="K109" s="17" t="str">
        <f>IF($C109="","",IF(COUNTIFS('RAW_유기농_9월'!$D:$D,$C109,'RAW_유기농_9월'!$A:$A,$E109)&gt;0,"O",""))</f>
        <v/>
      </c>
      <c r="L109" s="17" t="str">
        <f>IF($C109="","",IF(COUNTIFS('RAW_유기농_10월'!$D:$D,$C109,'RAW_유기농_10월'!$A:$A,$E109)&gt;0,"O",""))</f>
        <v/>
      </c>
      <c r="M109" s="17" t="str">
        <f>IF($C109="","",IF(COUNTIFS('RAW_유기농_11-12월'!$D:$D,$C109,'RAW_유기농_11-12월'!$A:$A,$E109)&gt;0,"O",""))</f>
        <v/>
      </c>
      <c r="N109" s="7" t="str">
        <f>IF($C109="","",IF(COUNTA('RAW_유기농_7월'!$A:$A)&lt;=1,"",SUMIFS('RAW_유기농_7월'!$H:$H,'RAW_유기농_7월'!$D:$D,$C109,'RAW_유기농_7월'!$A:$A,$E109)))</f>
        <v/>
      </c>
      <c r="O109" s="7" t="str">
        <f>IF($C109="","",IF(COUNTA('RAW_유기농_8월'!$A:$A)&lt;=1,"",SUMIFS('RAW_유기농_8월'!$H:$H,'RAW_유기농_8월'!$D:$D,$C109,'RAW_유기농_8월'!$A:$A,$E109)-SUMIFS('RAW_유기농_7월'!$H:$H,'RAW_유기농_7월'!$D:$D,$C109,'RAW_유기농_7월'!$A:$A,$E109)))</f>
        <v/>
      </c>
      <c r="P109" s="7" t="str">
        <f>IF($C109="","",IF(COUNTA('RAW_유기농_9월'!$A:$A)&lt;=1,"",SUMIFS('RAW_유기농_9월'!$H:$H,'RAW_유기농_9월'!$D:$D,$C109,'RAW_유기농_9월'!$A:$A,$E109)-SUMIFS('RAW_유기농_8월'!$H:$H,'RAW_유기농_8월'!$D:$D,$C109,'RAW_유기농_8월'!$A:$A,$E109)))</f>
        <v/>
      </c>
      <c r="Q109" s="7" t="str">
        <f>IF($C109="","",IF(COUNTA('RAW_유기농_10월'!$A:$A)&lt;=1,"",SUMIFS('RAW_유기농_10월'!$H:$H,'RAW_유기농_10월'!$D:$D,$C109,'RAW_유기농_10월'!$A:$A,$E109)-SUMIFS('RAW_유기농_9월'!$H:$H,'RAW_유기농_9월'!$D:$D,$C109,'RAW_유기농_9월'!$A:$A,$E109)))</f>
        <v/>
      </c>
      <c r="R109" s="7" t="str">
        <f>IF($C109="","",IF(COUNTA('RAW_유기농_11-12월'!$A:$A)&lt;=1,"",SUMIFS('RAW_유기농_11-12월'!$H:$H,'RAW_유기농_11-12월'!$D:$D,$C109,'RAW_유기농_11-12월'!$A:$A,$E109)-SUMIFS('RAW_유기농_10월'!$H:$H,'RAW_유기농_10월'!$D:$D,$C109,'RAW_유기농_10월'!$A:$A,$E109)))</f>
        <v/>
      </c>
      <c r="S109" s="17" t="str">
        <f t="shared" si="4"/>
        <v/>
      </c>
      <c r="T109" s="17" t="str">
        <f t="shared" si="5"/>
        <v/>
      </c>
      <c r="U109" s="7">
        <f>IF($C109="",0,IF('설정'!$B$4=0,0,CHOOSE('설정'!$B$4,COUNTIFS('RAW_유기농_7월'!$D:$D,$C109,'RAW_유기농_7월'!$A:$A,$E109),COUNTIFS('RAW_유기농_8월'!$D:$D,$C109,'RAW_유기농_8월'!$A:$A,$E109),COUNTIFS('RAW_유기농_9월'!$D:$D,$C109,'RAW_유기농_9월'!$A:$A,$E109),COUNTIFS('RAW_유기농_10월'!$D:$D,$C109,'RAW_유기농_10월'!$A:$A,$E109),COUNTIFS('RAW_유기농_11-12월'!$D:$D,$C109,'RAW_유기농_11-12월'!$A:$A,$E109))))</f>
        <v>0</v>
      </c>
    </row>
    <row r="110" ht="15.75" customHeight="1">
      <c r="A110" s="5"/>
      <c r="B110" s="5"/>
      <c r="C110" s="5"/>
      <c r="D110" s="6"/>
      <c r="E110" s="5"/>
      <c r="F110" s="7" t="str">
        <f>IF($C110="","",IF('설정'!$B$4=0,"",CHOOSE('설정'!$B$4,SUMIFS('RAW_유기농_7월'!$F:$F,'RAW_유기농_7월'!$D:$D,$C110,'RAW_유기농_7월'!$A:$A,$E110),SUMIFS('RAW_유기농_8월'!$F:$F,'RAW_유기농_8월'!$D:$D,$C110,'RAW_유기농_8월'!$A:$A,$E110),SUMIFS('RAW_유기농_9월'!$F:$F,'RAW_유기농_9월'!$D:$D,$C110,'RAW_유기농_9월'!$A:$A,$E110),SUMIFS('RAW_유기농_10월'!$F:$F,'RAW_유기농_10월'!$D:$D,$C110,'RAW_유기농_10월'!$A:$A,$E110),SUMIFS('RAW_유기농_11-12월'!$F:$F,'RAW_유기농_11-12월'!$D:$D,$C110,'RAW_유기농_11-12월'!$A:$A,$E110))))</f>
        <v/>
      </c>
      <c r="G110" s="7" t="str">
        <f>IF($C110="","",IF('설정'!$B$4=0,"",CHOOSE('설정'!$B$4,SUMIFS('RAW_유기농_7월'!$G:$G,'RAW_유기농_7월'!$D:$D,$C110,'RAW_유기농_7월'!$A:$A,$E110),SUMIFS('RAW_유기농_8월'!$G:$G,'RAW_유기농_8월'!$D:$D,$C110,'RAW_유기농_8월'!$A:$A,$E110),SUMIFS('RAW_유기농_9월'!$G:$G,'RAW_유기농_9월'!$D:$D,$C110,'RAW_유기농_9월'!$A:$A,$E110),SUMIFS('RAW_유기농_10월'!$G:$G,'RAW_유기농_10월'!$D:$D,$C110,'RAW_유기농_10월'!$A:$A,$E110),SUMIFS('RAW_유기농_11-12월'!$G:$G,'RAW_유기농_11-12월'!$D:$D,$C110,'RAW_유기농_11-12월'!$A:$A,$E110))))</f>
        <v/>
      </c>
      <c r="H110" s="7" t="str">
        <f>IF($C110="","",IF('설정'!$B$4=0,"",CHOOSE('설정'!$B$4,SUMIFS('RAW_유기농_7월'!$H:$H,'RAW_유기농_7월'!$D:$D,$C110,'RAW_유기농_7월'!$A:$A,$E110),SUMIFS('RAW_유기농_8월'!$H:$H,'RAW_유기농_8월'!$D:$D,$C110,'RAW_유기농_8월'!$A:$A,$E110),SUMIFS('RAW_유기농_9월'!$H:$H,'RAW_유기농_9월'!$D:$D,$C110,'RAW_유기농_9월'!$A:$A,$E110),SUMIFS('RAW_유기농_10월'!$H:$H,'RAW_유기농_10월'!$D:$D,$C110,'RAW_유기농_10월'!$A:$A,$E110),SUMIFS('RAW_유기농_11-12월'!$H:$H,'RAW_유기농_11-12월'!$D:$D,$C110,'RAW_유기농_11-12월'!$A:$A,$E110))))</f>
        <v/>
      </c>
      <c r="I110" s="17" t="str">
        <f>IF($C110="","",IF(COUNTIFS('RAW_유기농_7월'!$D:$D,$C110,'RAW_유기농_7월'!$A:$A,$E110)&gt;0,"O",""))</f>
        <v/>
      </c>
      <c r="J110" s="17" t="str">
        <f>IF($C110="","",IF(COUNTIFS('RAW_유기농_8월'!$D:$D,$C110,'RAW_유기농_8월'!$A:$A,$E110)&gt;0,"O",""))</f>
        <v/>
      </c>
      <c r="K110" s="17" t="str">
        <f>IF($C110="","",IF(COUNTIFS('RAW_유기농_9월'!$D:$D,$C110,'RAW_유기농_9월'!$A:$A,$E110)&gt;0,"O",""))</f>
        <v/>
      </c>
      <c r="L110" s="17" t="str">
        <f>IF($C110="","",IF(COUNTIFS('RAW_유기농_10월'!$D:$D,$C110,'RAW_유기농_10월'!$A:$A,$E110)&gt;0,"O",""))</f>
        <v/>
      </c>
      <c r="M110" s="17" t="str">
        <f>IF($C110="","",IF(COUNTIFS('RAW_유기농_11-12월'!$D:$D,$C110,'RAW_유기농_11-12월'!$A:$A,$E110)&gt;0,"O",""))</f>
        <v/>
      </c>
      <c r="N110" s="7" t="str">
        <f>IF($C110="","",IF(COUNTA('RAW_유기농_7월'!$A:$A)&lt;=1,"",SUMIFS('RAW_유기농_7월'!$H:$H,'RAW_유기농_7월'!$D:$D,$C110,'RAW_유기농_7월'!$A:$A,$E110)))</f>
        <v/>
      </c>
      <c r="O110" s="7" t="str">
        <f>IF($C110="","",IF(COUNTA('RAW_유기농_8월'!$A:$A)&lt;=1,"",SUMIFS('RAW_유기농_8월'!$H:$H,'RAW_유기농_8월'!$D:$D,$C110,'RAW_유기농_8월'!$A:$A,$E110)-SUMIFS('RAW_유기농_7월'!$H:$H,'RAW_유기농_7월'!$D:$D,$C110,'RAW_유기농_7월'!$A:$A,$E110)))</f>
        <v/>
      </c>
      <c r="P110" s="7" t="str">
        <f>IF($C110="","",IF(COUNTA('RAW_유기농_9월'!$A:$A)&lt;=1,"",SUMIFS('RAW_유기농_9월'!$H:$H,'RAW_유기농_9월'!$D:$D,$C110,'RAW_유기농_9월'!$A:$A,$E110)-SUMIFS('RAW_유기농_8월'!$H:$H,'RAW_유기농_8월'!$D:$D,$C110,'RAW_유기농_8월'!$A:$A,$E110)))</f>
        <v/>
      </c>
      <c r="Q110" s="7" t="str">
        <f>IF($C110="","",IF(COUNTA('RAW_유기농_10월'!$A:$A)&lt;=1,"",SUMIFS('RAW_유기농_10월'!$H:$H,'RAW_유기농_10월'!$D:$D,$C110,'RAW_유기농_10월'!$A:$A,$E110)-SUMIFS('RAW_유기농_9월'!$H:$H,'RAW_유기농_9월'!$D:$D,$C110,'RAW_유기농_9월'!$A:$A,$E110)))</f>
        <v/>
      </c>
      <c r="R110" s="7" t="str">
        <f>IF($C110="","",IF(COUNTA('RAW_유기농_11-12월'!$A:$A)&lt;=1,"",SUMIFS('RAW_유기농_11-12월'!$H:$H,'RAW_유기농_11-12월'!$D:$D,$C110,'RAW_유기농_11-12월'!$A:$A,$E110)-SUMIFS('RAW_유기농_10월'!$H:$H,'RAW_유기농_10월'!$D:$D,$C110,'RAW_유기농_10월'!$A:$A,$E110)))</f>
        <v/>
      </c>
      <c r="S110" s="17" t="str">
        <f t="shared" si="4"/>
        <v/>
      </c>
      <c r="T110" s="17" t="str">
        <f t="shared" si="5"/>
        <v/>
      </c>
      <c r="U110" s="7">
        <f>IF($C110="",0,IF('설정'!$B$4=0,0,CHOOSE('설정'!$B$4,COUNTIFS('RAW_유기농_7월'!$D:$D,$C110,'RAW_유기농_7월'!$A:$A,$E110),COUNTIFS('RAW_유기농_8월'!$D:$D,$C110,'RAW_유기농_8월'!$A:$A,$E110),COUNTIFS('RAW_유기농_9월'!$D:$D,$C110,'RAW_유기농_9월'!$A:$A,$E110),COUNTIFS('RAW_유기농_10월'!$D:$D,$C110,'RAW_유기농_10월'!$A:$A,$E110),COUNTIFS('RAW_유기농_11-12월'!$D:$D,$C110,'RAW_유기농_11-12월'!$A:$A,$E110))))</f>
        <v>0</v>
      </c>
    </row>
    <row r="111" ht="15.75" customHeight="1">
      <c r="A111" s="5"/>
      <c r="B111" s="5"/>
      <c r="C111" s="5"/>
      <c r="D111" s="6"/>
      <c r="E111" s="5"/>
      <c r="F111" s="7" t="str">
        <f>IF($C111="","",IF('설정'!$B$4=0,"",CHOOSE('설정'!$B$4,SUMIFS('RAW_유기농_7월'!$F:$F,'RAW_유기농_7월'!$D:$D,$C111,'RAW_유기농_7월'!$A:$A,$E111),SUMIFS('RAW_유기농_8월'!$F:$F,'RAW_유기농_8월'!$D:$D,$C111,'RAW_유기농_8월'!$A:$A,$E111),SUMIFS('RAW_유기농_9월'!$F:$F,'RAW_유기농_9월'!$D:$D,$C111,'RAW_유기농_9월'!$A:$A,$E111),SUMIFS('RAW_유기농_10월'!$F:$F,'RAW_유기농_10월'!$D:$D,$C111,'RAW_유기농_10월'!$A:$A,$E111),SUMIFS('RAW_유기농_11-12월'!$F:$F,'RAW_유기농_11-12월'!$D:$D,$C111,'RAW_유기농_11-12월'!$A:$A,$E111))))</f>
        <v/>
      </c>
      <c r="G111" s="7" t="str">
        <f>IF($C111="","",IF('설정'!$B$4=0,"",CHOOSE('설정'!$B$4,SUMIFS('RAW_유기농_7월'!$G:$G,'RAW_유기농_7월'!$D:$D,$C111,'RAW_유기농_7월'!$A:$A,$E111),SUMIFS('RAW_유기농_8월'!$G:$G,'RAW_유기농_8월'!$D:$D,$C111,'RAW_유기농_8월'!$A:$A,$E111),SUMIFS('RAW_유기농_9월'!$G:$G,'RAW_유기농_9월'!$D:$D,$C111,'RAW_유기농_9월'!$A:$A,$E111),SUMIFS('RAW_유기농_10월'!$G:$G,'RAW_유기농_10월'!$D:$D,$C111,'RAW_유기농_10월'!$A:$A,$E111),SUMIFS('RAW_유기농_11-12월'!$G:$G,'RAW_유기농_11-12월'!$D:$D,$C111,'RAW_유기농_11-12월'!$A:$A,$E111))))</f>
        <v/>
      </c>
      <c r="H111" s="7" t="str">
        <f>IF($C111="","",IF('설정'!$B$4=0,"",CHOOSE('설정'!$B$4,SUMIFS('RAW_유기농_7월'!$H:$H,'RAW_유기농_7월'!$D:$D,$C111,'RAW_유기농_7월'!$A:$A,$E111),SUMIFS('RAW_유기농_8월'!$H:$H,'RAW_유기농_8월'!$D:$D,$C111,'RAW_유기농_8월'!$A:$A,$E111),SUMIFS('RAW_유기농_9월'!$H:$H,'RAW_유기농_9월'!$D:$D,$C111,'RAW_유기농_9월'!$A:$A,$E111),SUMIFS('RAW_유기농_10월'!$H:$H,'RAW_유기농_10월'!$D:$D,$C111,'RAW_유기농_10월'!$A:$A,$E111),SUMIFS('RAW_유기농_11-12월'!$H:$H,'RAW_유기농_11-12월'!$D:$D,$C111,'RAW_유기농_11-12월'!$A:$A,$E111))))</f>
        <v/>
      </c>
      <c r="I111" s="17" t="str">
        <f>IF($C111="","",IF(COUNTIFS('RAW_유기농_7월'!$D:$D,$C111,'RAW_유기농_7월'!$A:$A,$E111)&gt;0,"O",""))</f>
        <v/>
      </c>
      <c r="J111" s="17" t="str">
        <f>IF($C111="","",IF(COUNTIFS('RAW_유기농_8월'!$D:$D,$C111,'RAW_유기농_8월'!$A:$A,$E111)&gt;0,"O",""))</f>
        <v/>
      </c>
      <c r="K111" s="17" t="str">
        <f>IF($C111="","",IF(COUNTIFS('RAW_유기농_9월'!$D:$D,$C111,'RAW_유기농_9월'!$A:$A,$E111)&gt;0,"O",""))</f>
        <v/>
      </c>
      <c r="L111" s="17" t="str">
        <f>IF($C111="","",IF(COUNTIFS('RAW_유기농_10월'!$D:$D,$C111,'RAW_유기농_10월'!$A:$A,$E111)&gt;0,"O",""))</f>
        <v/>
      </c>
      <c r="M111" s="17" t="str">
        <f>IF($C111="","",IF(COUNTIFS('RAW_유기농_11-12월'!$D:$D,$C111,'RAW_유기농_11-12월'!$A:$A,$E111)&gt;0,"O",""))</f>
        <v/>
      </c>
      <c r="N111" s="7" t="str">
        <f>IF($C111="","",IF(COUNTA('RAW_유기농_7월'!$A:$A)&lt;=1,"",SUMIFS('RAW_유기농_7월'!$H:$H,'RAW_유기농_7월'!$D:$D,$C111,'RAW_유기농_7월'!$A:$A,$E111)))</f>
        <v/>
      </c>
      <c r="O111" s="7" t="str">
        <f>IF($C111="","",IF(COUNTA('RAW_유기농_8월'!$A:$A)&lt;=1,"",SUMIFS('RAW_유기농_8월'!$H:$H,'RAW_유기농_8월'!$D:$D,$C111,'RAW_유기농_8월'!$A:$A,$E111)-SUMIFS('RAW_유기농_7월'!$H:$H,'RAW_유기농_7월'!$D:$D,$C111,'RAW_유기농_7월'!$A:$A,$E111)))</f>
        <v/>
      </c>
      <c r="P111" s="7" t="str">
        <f>IF($C111="","",IF(COUNTA('RAW_유기농_9월'!$A:$A)&lt;=1,"",SUMIFS('RAW_유기농_9월'!$H:$H,'RAW_유기농_9월'!$D:$D,$C111,'RAW_유기농_9월'!$A:$A,$E111)-SUMIFS('RAW_유기농_8월'!$H:$H,'RAW_유기농_8월'!$D:$D,$C111,'RAW_유기농_8월'!$A:$A,$E111)))</f>
        <v/>
      </c>
      <c r="Q111" s="7" t="str">
        <f>IF($C111="","",IF(COUNTA('RAW_유기농_10월'!$A:$A)&lt;=1,"",SUMIFS('RAW_유기농_10월'!$H:$H,'RAW_유기농_10월'!$D:$D,$C111,'RAW_유기농_10월'!$A:$A,$E111)-SUMIFS('RAW_유기농_9월'!$H:$H,'RAW_유기농_9월'!$D:$D,$C111,'RAW_유기농_9월'!$A:$A,$E111)))</f>
        <v/>
      </c>
      <c r="R111" s="7" t="str">
        <f>IF($C111="","",IF(COUNTA('RAW_유기농_11-12월'!$A:$A)&lt;=1,"",SUMIFS('RAW_유기농_11-12월'!$H:$H,'RAW_유기농_11-12월'!$D:$D,$C111,'RAW_유기농_11-12월'!$A:$A,$E111)-SUMIFS('RAW_유기농_10월'!$H:$H,'RAW_유기농_10월'!$D:$D,$C111,'RAW_유기농_10월'!$A:$A,$E111)))</f>
        <v/>
      </c>
      <c r="S111" s="17" t="str">
        <f t="shared" si="4"/>
        <v/>
      </c>
      <c r="T111" s="17" t="str">
        <f t="shared" si="5"/>
        <v/>
      </c>
      <c r="U111" s="7">
        <f>IF($C111="",0,IF('설정'!$B$4=0,0,CHOOSE('설정'!$B$4,COUNTIFS('RAW_유기농_7월'!$D:$D,$C111,'RAW_유기농_7월'!$A:$A,$E111),COUNTIFS('RAW_유기농_8월'!$D:$D,$C111,'RAW_유기농_8월'!$A:$A,$E111),COUNTIFS('RAW_유기농_9월'!$D:$D,$C111,'RAW_유기농_9월'!$A:$A,$E111),COUNTIFS('RAW_유기농_10월'!$D:$D,$C111,'RAW_유기농_10월'!$A:$A,$E111),COUNTIFS('RAW_유기농_11-12월'!$D:$D,$C111,'RAW_유기농_11-12월'!$A:$A,$E111))))</f>
        <v>0</v>
      </c>
    </row>
    <row r="112" ht="15.75" customHeight="1">
      <c r="A112" s="5"/>
      <c r="B112" s="5"/>
      <c r="C112" s="5"/>
      <c r="D112" s="6"/>
      <c r="E112" s="5"/>
      <c r="F112" s="7" t="str">
        <f>IF($C112="","",IF('설정'!$B$4=0,"",CHOOSE('설정'!$B$4,SUMIFS('RAW_유기농_7월'!$F:$F,'RAW_유기농_7월'!$D:$D,$C112,'RAW_유기농_7월'!$A:$A,$E112),SUMIFS('RAW_유기농_8월'!$F:$F,'RAW_유기농_8월'!$D:$D,$C112,'RAW_유기농_8월'!$A:$A,$E112),SUMIFS('RAW_유기농_9월'!$F:$F,'RAW_유기농_9월'!$D:$D,$C112,'RAW_유기농_9월'!$A:$A,$E112),SUMIFS('RAW_유기농_10월'!$F:$F,'RAW_유기농_10월'!$D:$D,$C112,'RAW_유기농_10월'!$A:$A,$E112),SUMIFS('RAW_유기농_11-12월'!$F:$F,'RAW_유기농_11-12월'!$D:$D,$C112,'RAW_유기농_11-12월'!$A:$A,$E112))))</f>
        <v/>
      </c>
      <c r="G112" s="7" t="str">
        <f>IF($C112="","",IF('설정'!$B$4=0,"",CHOOSE('설정'!$B$4,SUMIFS('RAW_유기농_7월'!$G:$G,'RAW_유기농_7월'!$D:$D,$C112,'RAW_유기농_7월'!$A:$A,$E112),SUMIFS('RAW_유기농_8월'!$G:$G,'RAW_유기농_8월'!$D:$D,$C112,'RAW_유기농_8월'!$A:$A,$E112),SUMIFS('RAW_유기농_9월'!$G:$G,'RAW_유기농_9월'!$D:$D,$C112,'RAW_유기농_9월'!$A:$A,$E112),SUMIFS('RAW_유기농_10월'!$G:$G,'RAW_유기농_10월'!$D:$D,$C112,'RAW_유기농_10월'!$A:$A,$E112),SUMIFS('RAW_유기농_11-12월'!$G:$G,'RAW_유기농_11-12월'!$D:$D,$C112,'RAW_유기농_11-12월'!$A:$A,$E112))))</f>
        <v/>
      </c>
      <c r="H112" s="7" t="str">
        <f>IF($C112="","",IF('설정'!$B$4=0,"",CHOOSE('설정'!$B$4,SUMIFS('RAW_유기농_7월'!$H:$H,'RAW_유기농_7월'!$D:$D,$C112,'RAW_유기농_7월'!$A:$A,$E112),SUMIFS('RAW_유기농_8월'!$H:$H,'RAW_유기농_8월'!$D:$D,$C112,'RAW_유기농_8월'!$A:$A,$E112),SUMIFS('RAW_유기농_9월'!$H:$H,'RAW_유기농_9월'!$D:$D,$C112,'RAW_유기농_9월'!$A:$A,$E112),SUMIFS('RAW_유기농_10월'!$H:$H,'RAW_유기농_10월'!$D:$D,$C112,'RAW_유기농_10월'!$A:$A,$E112),SUMIFS('RAW_유기농_11-12월'!$H:$H,'RAW_유기농_11-12월'!$D:$D,$C112,'RAW_유기농_11-12월'!$A:$A,$E112))))</f>
        <v/>
      </c>
      <c r="I112" s="17" t="str">
        <f>IF($C112="","",IF(COUNTIFS('RAW_유기농_7월'!$D:$D,$C112,'RAW_유기농_7월'!$A:$A,$E112)&gt;0,"O",""))</f>
        <v/>
      </c>
      <c r="J112" s="17" t="str">
        <f>IF($C112="","",IF(COUNTIFS('RAW_유기농_8월'!$D:$D,$C112,'RAW_유기농_8월'!$A:$A,$E112)&gt;0,"O",""))</f>
        <v/>
      </c>
      <c r="K112" s="17" t="str">
        <f>IF($C112="","",IF(COUNTIFS('RAW_유기농_9월'!$D:$D,$C112,'RAW_유기농_9월'!$A:$A,$E112)&gt;0,"O",""))</f>
        <v/>
      </c>
      <c r="L112" s="17" t="str">
        <f>IF($C112="","",IF(COUNTIFS('RAW_유기농_10월'!$D:$D,$C112,'RAW_유기농_10월'!$A:$A,$E112)&gt;0,"O",""))</f>
        <v/>
      </c>
      <c r="M112" s="17" t="str">
        <f>IF($C112="","",IF(COUNTIFS('RAW_유기농_11-12월'!$D:$D,$C112,'RAW_유기농_11-12월'!$A:$A,$E112)&gt;0,"O",""))</f>
        <v/>
      </c>
      <c r="N112" s="7" t="str">
        <f>IF($C112="","",IF(COUNTA('RAW_유기농_7월'!$A:$A)&lt;=1,"",SUMIFS('RAW_유기농_7월'!$H:$H,'RAW_유기농_7월'!$D:$D,$C112,'RAW_유기농_7월'!$A:$A,$E112)))</f>
        <v/>
      </c>
      <c r="O112" s="7" t="str">
        <f>IF($C112="","",IF(COUNTA('RAW_유기농_8월'!$A:$A)&lt;=1,"",SUMIFS('RAW_유기농_8월'!$H:$H,'RAW_유기농_8월'!$D:$D,$C112,'RAW_유기농_8월'!$A:$A,$E112)-SUMIFS('RAW_유기농_7월'!$H:$H,'RAW_유기농_7월'!$D:$D,$C112,'RAW_유기농_7월'!$A:$A,$E112)))</f>
        <v/>
      </c>
      <c r="P112" s="7" t="str">
        <f>IF($C112="","",IF(COUNTA('RAW_유기농_9월'!$A:$A)&lt;=1,"",SUMIFS('RAW_유기농_9월'!$H:$H,'RAW_유기농_9월'!$D:$D,$C112,'RAW_유기농_9월'!$A:$A,$E112)-SUMIFS('RAW_유기농_8월'!$H:$H,'RAW_유기농_8월'!$D:$D,$C112,'RAW_유기농_8월'!$A:$A,$E112)))</f>
        <v/>
      </c>
      <c r="Q112" s="7" t="str">
        <f>IF($C112="","",IF(COUNTA('RAW_유기농_10월'!$A:$A)&lt;=1,"",SUMIFS('RAW_유기농_10월'!$H:$H,'RAW_유기농_10월'!$D:$D,$C112,'RAW_유기농_10월'!$A:$A,$E112)-SUMIFS('RAW_유기농_9월'!$H:$H,'RAW_유기농_9월'!$D:$D,$C112,'RAW_유기농_9월'!$A:$A,$E112)))</f>
        <v/>
      </c>
      <c r="R112" s="7" t="str">
        <f>IF($C112="","",IF(COUNTA('RAW_유기농_11-12월'!$A:$A)&lt;=1,"",SUMIFS('RAW_유기농_11-12월'!$H:$H,'RAW_유기농_11-12월'!$D:$D,$C112,'RAW_유기농_11-12월'!$A:$A,$E112)-SUMIFS('RAW_유기농_10월'!$H:$H,'RAW_유기농_10월'!$D:$D,$C112,'RAW_유기농_10월'!$A:$A,$E112)))</f>
        <v/>
      </c>
      <c r="S112" s="17" t="str">
        <f t="shared" si="4"/>
        <v/>
      </c>
      <c r="T112" s="17" t="str">
        <f t="shared" si="5"/>
        <v/>
      </c>
      <c r="U112" s="7">
        <f>IF($C112="",0,IF('설정'!$B$4=0,0,CHOOSE('설정'!$B$4,COUNTIFS('RAW_유기농_7월'!$D:$D,$C112,'RAW_유기농_7월'!$A:$A,$E112),COUNTIFS('RAW_유기농_8월'!$D:$D,$C112,'RAW_유기농_8월'!$A:$A,$E112),COUNTIFS('RAW_유기농_9월'!$D:$D,$C112,'RAW_유기농_9월'!$A:$A,$E112),COUNTIFS('RAW_유기농_10월'!$D:$D,$C112,'RAW_유기농_10월'!$A:$A,$E112),COUNTIFS('RAW_유기농_11-12월'!$D:$D,$C112,'RAW_유기농_11-12월'!$A:$A,$E112))))</f>
        <v>0</v>
      </c>
    </row>
    <row r="113" ht="15.75" customHeight="1">
      <c r="A113" s="5"/>
      <c r="B113" s="5"/>
      <c r="C113" s="5"/>
      <c r="D113" s="6"/>
      <c r="E113" s="5"/>
      <c r="F113" s="7" t="str">
        <f>IF($C113="","",IF('설정'!$B$4=0,"",CHOOSE('설정'!$B$4,SUMIFS('RAW_유기농_7월'!$F:$F,'RAW_유기농_7월'!$D:$D,$C113,'RAW_유기농_7월'!$A:$A,$E113),SUMIFS('RAW_유기농_8월'!$F:$F,'RAW_유기농_8월'!$D:$D,$C113,'RAW_유기농_8월'!$A:$A,$E113),SUMIFS('RAW_유기농_9월'!$F:$F,'RAW_유기농_9월'!$D:$D,$C113,'RAW_유기농_9월'!$A:$A,$E113),SUMIFS('RAW_유기농_10월'!$F:$F,'RAW_유기농_10월'!$D:$D,$C113,'RAW_유기농_10월'!$A:$A,$E113),SUMIFS('RAW_유기농_11-12월'!$F:$F,'RAW_유기농_11-12월'!$D:$D,$C113,'RAW_유기농_11-12월'!$A:$A,$E113))))</f>
        <v/>
      </c>
      <c r="G113" s="7" t="str">
        <f>IF($C113="","",IF('설정'!$B$4=0,"",CHOOSE('설정'!$B$4,SUMIFS('RAW_유기농_7월'!$G:$G,'RAW_유기농_7월'!$D:$D,$C113,'RAW_유기농_7월'!$A:$A,$E113),SUMIFS('RAW_유기농_8월'!$G:$G,'RAW_유기농_8월'!$D:$D,$C113,'RAW_유기농_8월'!$A:$A,$E113),SUMIFS('RAW_유기농_9월'!$G:$G,'RAW_유기농_9월'!$D:$D,$C113,'RAW_유기농_9월'!$A:$A,$E113),SUMIFS('RAW_유기농_10월'!$G:$G,'RAW_유기농_10월'!$D:$D,$C113,'RAW_유기농_10월'!$A:$A,$E113),SUMIFS('RAW_유기농_11-12월'!$G:$G,'RAW_유기농_11-12월'!$D:$D,$C113,'RAW_유기농_11-12월'!$A:$A,$E113))))</f>
        <v/>
      </c>
      <c r="H113" s="7" t="str">
        <f>IF($C113="","",IF('설정'!$B$4=0,"",CHOOSE('설정'!$B$4,SUMIFS('RAW_유기농_7월'!$H:$H,'RAW_유기농_7월'!$D:$D,$C113,'RAW_유기농_7월'!$A:$A,$E113),SUMIFS('RAW_유기농_8월'!$H:$H,'RAW_유기농_8월'!$D:$D,$C113,'RAW_유기농_8월'!$A:$A,$E113),SUMIFS('RAW_유기농_9월'!$H:$H,'RAW_유기농_9월'!$D:$D,$C113,'RAW_유기농_9월'!$A:$A,$E113),SUMIFS('RAW_유기농_10월'!$H:$H,'RAW_유기농_10월'!$D:$D,$C113,'RAW_유기농_10월'!$A:$A,$E113),SUMIFS('RAW_유기농_11-12월'!$H:$H,'RAW_유기농_11-12월'!$D:$D,$C113,'RAW_유기농_11-12월'!$A:$A,$E113))))</f>
        <v/>
      </c>
      <c r="I113" s="17" t="str">
        <f>IF($C113="","",IF(COUNTIFS('RAW_유기농_7월'!$D:$D,$C113,'RAW_유기농_7월'!$A:$A,$E113)&gt;0,"O",""))</f>
        <v/>
      </c>
      <c r="J113" s="17" t="str">
        <f>IF($C113="","",IF(COUNTIFS('RAW_유기농_8월'!$D:$D,$C113,'RAW_유기농_8월'!$A:$A,$E113)&gt;0,"O",""))</f>
        <v/>
      </c>
      <c r="K113" s="17" t="str">
        <f>IF($C113="","",IF(COUNTIFS('RAW_유기농_9월'!$D:$D,$C113,'RAW_유기농_9월'!$A:$A,$E113)&gt;0,"O",""))</f>
        <v/>
      </c>
      <c r="L113" s="17" t="str">
        <f>IF($C113="","",IF(COUNTIFS('RAW_유기농_10월'!$D:$D,$C113,'RAW_유기농_10월'!$A:$A,$E113)&gt;0,"O",""))</f>
        <v/>
      </c>
      <c r="M113" s="17" t="str">
        <f>IF($C113="","",IF(COUNTIFS('RAW_유기농_11-12월'!$D:$D,$C113,'RAW_유기농_11-12월'!$A:$A,$E113)&gt;0,"O",""))</f>
        <v/>
      </c>
      <c r="N113" s="7" t="str">
        <f>IF($C113="","",IF(COUNTA('RAW_유기농_7월'!$A:$A)&lt;=1,"",SUMIFS('RAW_유기농_7월'!$H:$H,'RAW_유기농_7월'!$D:$D,$C113,'RAW_유기농_7월'!$A:$A,$E113)))</f>
        <v/>
      </c>
      <c r="O113" s="7" t="str">
        <f>IF($C113="","",IF(COUNTA('RAW_유기농_8월'!$A:$A)&lt;=1,"",SUMIFS('RAW_유기농_8월'!$H:$H,'RAW_유기농_8월'!$D:$D,$C113,'RAW_유기농_8월'!$A:$A,$E113)-SUMIFS('RAW_유기농_7월'!$H:$H,'RAW_유기농_7월'!$D:$D,$C113,'RAW_유기농_7월'!$A:$A,$E113)))</f>
        <v/>
      </c>
      <c r="P113" s="7" t="str">
        <f>IF($C113="","",IF(COUNTA('RAW_유기농_9월'!$A:$A)&lt;=1,"",SUMIFS('RAW_유기농_9월'!$H:$H,'RAW_유기농_9월'!$D:$D,$C113,'RAW_유기농_9월'!$A:$A,$E113)-SUMIFS('RAW_유기농_8월'!$H:$H,'RAW_유기농_8월'!$D:$D,$C113,'RAW_유기농_8월'!$A:$A,$E113)))</f>
        <v/>
      </c>
      <c r="Q113" s="7" t="str">
        <f>IF($C113="","",IF(COUNTA('RAW_유기농_10월'!$A:$A)&lt;=1,"",SUMIFS('RAW_유기농_10월'!$H:$H,'RAW_유기농_10월'!$D:$D,$C113,'RAW_유기농_10월'!$A:$A,$E113)-SUMIFS('RAW_유기농_9월'!$H:$H,'RAW_유기농_9월'!$D:$D,$C113,'RAW_유기농_9월'!$A:$A,$E113)))</f>
        <v/>
      </c>
      <c r="R113" s="7" t="str">
        <f>IF($C113="","",IF(COUNTA('RAW_유기농_11-12월'!$A:$A)&lt;=1,"",SUMIFS('RAW_유기농_11-12월'!$H:$H,'RAW_유기농_11-12월'!$D:$D,$C113,'RAW_유기농_11-12월'!$A:$A,$E113)-SUMIFS('RAW_유기농_10월'!$H:$H,'RAW_유기농_10월'!$D:$D,$C113,'RAW_유기농_10월'!$A:$A,$E113)))</f>
        <v/>
      </c>
      <c r="S113" s="17" t="str">
        <f t="shared" si="4"/>
        <v/>
      </c>
      <c r="T113" s="17" t="str">
        <f t="shared" si="5"/>
        <v/>
      </c>
      <c r="U113" s="7">
        <f>IF($C113="",0,IF('설정'!$B$4=0,0,CHOOSE('설정'!$B$4,COUNTIFS('RAW_유기농_7월'!$D:$D,$C113,'RAW_유기농_7월'!$A:$A,$E113),COUNTIFS('RAW_유기농_8월'!$D:$D,$C113,'RAW_유기농_8월'!$A:$A,$E113),COUNTIFS('RAW_유기농_9월'!$D:$D,$C113,'RAW_유기농_9월'!$A:$A,$E113),COUNTIFS('RAW_유기농_10월'!$D:$D,$C113,'RAW_유기농_10월'!$A:$A,$E113),COUNTIFS('RAW_유기농_11-12월'!$D:$D,$C113,'RAW_유기농_11-12월'!$A:$A,$E113))))</f>
        <v>0</v>
      </c>
    </row>
    <row r="114" ht="15.75" customHeight="1">
      <c r="A114" s="5"/>
      <c r="B114" s="5"/>
      <c r="C114" s="5"/>
      <c r="D114" s="6"/>
      <c r="E114" s="5"/>
      <c r="F114" s="7" t="str">
        <f>IF($C114="","",IF('설정'!$B$4=0,"",CHOOSE('설정'!$B$4,SUMIFS('RAW_유기농_7월'!$F:$F,'RAW_유기농_7월'!$D:$D,$C114,'RAW_유기농_7월'!$A:$A,$E114),SUMIFS('RAW_유기농_8월'!$F:$F,'RAW_유기농_8월'!$D:$D,$C114,'RAW_유기농_8월'!$A:$A,$E114),SUMIFS('RAW_유기농_9월'!$F:$F,'RAW_유기농_9월'!$D:$D,$C114,'RAW_유기농_9월'!$A:$A,$E114),SUMIFS('RAW_유기농_10월'!$F:$F,'RAW_유기농_10월'!$D:$D,$C114,'RAW_유기농_10월'!$A:$A,$E114),SUMIFS('RAW_유기농_11-12월'!$F:$F,'RAW_유기농_11-12월'!$D:$D,$C114,'RAW_유기농_11-12월'!$A:$A,$E114))))</f>
        <v/>
      </c>
      <c r="G114" s="7" t="str">
        <f>IF($C114="","",IF('설정'!$B$4=0,"",CHOOSE('설정'!$B$4,SUMIFS('RAW_유기농_7월'!$G:$G,'RAW_유기농_7월'!$D:$D,$C114,'RAW_유기농_7월'!$A:$A,$E114),SUMIFS('RAW_유기농_8월'!$G:$G,'RAW_유기농_8월'!$D:$D,$C114,'RAW_유기농_8월'!$A:$A,$E114),SUMIFS('RAW_유기농_9월'!$G:$G,'RAW_유기농_9월'!$D:$D,$C114,'RAW_유기농_9월'!$A:$A,$E114),SUMIFS('RAW_유기농_10월'!$G:$G,'RAW_유기농_10월'!$D:$D,$C114,'RAW_유기농_10월'!$A:$A,$E114),SUMIFS('RAW_유기농_11-12월'!$G:$G,'RAW_유기농_11-12월'!$D:$D,$C114,'RAW_유기농_11-12월'!$A:$A,$E114))))</f>
        <v/>
      </c>
      <c r="H114" s="7" t="str">
        <f>IF($C114="","",IF('설정'!$B$4=0,"",CHOOSE('설정'!$B$4,SUMIFS('RAW_유기농_7월'!$H:$H,'RAW_유기농_7월'!$D:$D,$C114,'RAW_유기농_7월'!$A:$A,$E114),SUMIFS('RAW_유기농_8월'!$H:$H,'RAW_유기농_8월'!$D:$D,$C114,'RAW_유기농_8월'!$A:$A,$E114),SUMIFS('RAW_유기농_9월'!$H:$H,'RAW_유기농_9월'!$D:$D,$C114,'RAW_유기농_9월'!$A:$A,$E114),SUMIFS('RAW_유기농_10월'!$H:$H,'RAW_유기농_10월'!$D:$D,$C114,'RAW_유기농_10월'!$A:$A,$E114),SUMIFS('RAW_유기농_11-12월'!$H:$H,'RAW_유기농_11-12월'!$D:$D,$C114,'RAW_유기농_11-12월'!$A:$A,$E114))))</f>
        <v/>
      </c>
      <c r="I114" s="17" t="str">
        <f>IF($C114="","",IF(COUNTIFS('RAW_유기농_7월'!$D:$D,$C114,'RAW_유기농_7월'!$A:$A,$E114)&gt;0,"O",""))</f>
        <v/>
      </c>
      <c r="J114" s="17" t="str">
        <f>IF($C114="","",IF(COUNTIFS('RAW_유기농_8월'!$D:$D,$C114,'RAW_유기농_8월'!$A:$A,$E114)&gt;0,"O",""))</f>
        <v/>
      </c>
      <c r="K114" s="17" t="str">
        <f>IF($C114="","",IF(COUNTIFS('RAW_유기농_9월'!$D:$D,$C114,'RAW_유기농_9월'!$A:$A,$E114)&gt;0,"O",""))</f>
        <v/>
      </c>
      <c r="L114" s="17" t="str">
        <f>IF($C114="","",IF(COUNTIFS('RAW_유기농_10월'!$D:$D,$C114,'RAW_유기농_10월'!$A:$A,$E114)&gt;0,"O",""))</f>
        <v/>
      </c>
      <c r="M114" s="17" t="str">
        <f>IF($C114="","",IF(COUNTIFS('RAW_유기농_11-12월'!$D:$D,$C114,'RAW_유기농_11-12월'!$A:$A,$E114)&gt;0,"O",""))</f>
        <v/>
      </c>
      <c r="N114" s="7" t="str">
        <f>IF($C114="","",IF(COUNTA('RAW_유기농_7월'!$A:$A)&lt;=1,"",SUMIFS('RAW_유기농_7월'!$H:$H,'RAW_유기농_7월'!$D:$D,$C114,'RAW_유기농_7월'!$A:$A,$E114)))</f>
        <v/>
      </c>
      <c r="O114" s="7" t="str">
        <f>IF($C114="","",IF(COUNTA('RAW_유기농_8월'!$A:$A)&lt;=1,"",SUMIFS('RAW_유기농_8월'!$H:$H,'RAW_유기농_8월'!$D:$D,$C114,'RAW_유기농_8월'!$A:$A,$E114)-SUMIFS('RAW_유기농_7월'!$H:$H,'RAW_유기농_7월'!$D:$D,$C114,'RAW_유기농_7월'!$A:$A,$E114)))</f>
        <v/>
      </c>
      <c r="P114" s="7" t="str">
        <f>IF($C114="","",IF(COUNTA('RAW_유기농_9월'!$A:$A)&lt;=1,"",SUMIFS('RAW_유기농_9월'!$H:$H,'RAW_유기농_9월'!$D:$D,$C114,'RAW_유기농_9월'!$A:$A,$E114)-SUMIFS('RAW_유기농_8월'!$H:$H,'RAW_유기농_8월'!$D:$D,$C114,'RAW_유기농_8월'!$A:$A,$E114)))</f>
        <v/>
      </c>
      <c r="Q114" s="7" t="str">
        <f>IF($C114="","",IF(COUNTA('RAW_유기농_10월'!$A:$A)&lt;=1,"",SUMIFS('RAW_유기농_10월'!$H:$H,'RAW_유기농_10월'!$D:$D,$C114,'RAW_유기농_10월'!$A:$A,$E114)-SUMIFS('RAW_유기농_9월'!$H:$H,'RAW_유기농_9월'!$D:$D,$C114,'RAW_유기농_9월'!$A:$A,$E114)))</f>
        <v/>
      </c>
      <c r="R114" s="7" t="str">
        <f>IF($C114="","",IF(COUNTA('RAW_유기농_11-12월'!$A:$A)&lt;=1,"",SUMIFS('RAW_유기농_11-12월'!$H:$H,'RAW_유기농_11-12월'!$D:$D,$C114,'RAW_유기농_11-12월'!$A:$A,$E114)-SUMIFS('RAW_유기농_10월'!$H:$H,'RAW_유기농_10월'!$D:$D,$C114,'RAW_유기농_10월'!$A:$A,$E114)))</f>
        <v/>
      </c>
      <c r="S114" s="17" t="str">
        <f t="shared" si="4"/>
        <v/>
      </c>
      <c r="T114" s="17" t="str">
        <f t="shared" si="5"/>
        <v/>
      </c>
      <c r="U114" s="7">
        <f>IF($C114="",0,IF('설정'!$B$4=0,0,CHOOSE('설정'!$B$4,COUNTIFS('RAW_유기농_7월'!$D:$D,$C114,'RAW_유기농_7월'!$A:$A,$E114),COUNTIFS('RAW_유기농_8월'!$D:$D,$C114,'RAW_유기농_8월'!$A:$A,$E114),COUNTIFS('RAW_유기농_9월'!$D:$D,$C114,'RAW_유기농_9월'!$A:$A,$E114),COUNTIFS('RAW_유기농_10월'!$D:$D,$C114,'RAW_유기농_10월'!$A:$A,$E114),COUNTIFS('RAW_유기농_11-12월'!$D:$D,$C114,'RAW_유기농_11-12월'!$A:$A,$E114))))</f>
        <v>0</v>
      </c>
    </row>
    <row r="115" ht="15.75" customHeight="1">
      <c r="A115" s="5"/>
      <c r="B115" s="5"/>
      <c r="C115" s="5"/>
      <c r="D115" s="6"/>
      <c r="E115" s="5"/>
      <c r="F115" s="7" t="str">
        <f>IF($C115="","",IF('설정'!$B$4=0,"",CHOOSE('설정'!$B$4,SUMIFS('RAW_유기농_7월'!$F:$F,'RAW_유기농_7월'!$D:$D,$C115,'RAW_유기농_7월'!$A:$A,$E115),SUMIFS('RAW_유기농_8월'!$F:$F,'RAW_유기농_8월'!$D:$D,$C115,'RAW_유기농_8월'!$A:$A,$E115),SUMIFS('RAW_유기농_9월'!$F:$F,'RAW_유기농_9월'!$D:$D,$C115,'RAW_유기농_9월'!$A:$A,$E115),SUMIFS('RAW_유기농_10월'!$F:$F,'RAW_유기농_10월'!$D:$D,$C115,'RAW_유기농_10월'!$A:$A,$E115),SUMIFS('RAW_유기농_11-12월'!$F:$F,'RAW_유기농_11-12월'!$D:$D,$C115,'RAW_유기농_11-12월'!$A:$A,$E115))))</f>
        <v/>
      </c>
      <c r="G115" s="7" t="str">
        <f>IF($C115="","",IF('설정'!$B$4=0,"",CHOOSE('설정'!$B$4,SUMIFS('RAW_유기농_7월'!$G:$G,'RAW_유기농_7월'!$D:$D,$C115,'RAW_유기농_7월'!$A:$A,$E115),SUMIFS('RAW_유기농_8월'!$G:$G,'RAW_유기농_8월'!$D:$D,$C115,'RAW_유기농_8월'!$A:$A,$E115),SUMIFS('RAW_유기농_9월'!$G:$G,'RAW_유기농_9월'!$D:$D,$C115,'RAW_유기농_9월'!$A:$A,$E115),SUMIFS('RAW_유기농_10월'!$G:$G,'RAW_유기농_10월'!$D:$D,$C115,'RAW_유기농_10월'!$A:$A,$E115),SUMIFS('RAW_유기농_11-12월'!$G:$G,'RAW_유기농_11-12월'!$D:$D,$C115,'RAW_유기농_11-12월'!$A:$A,$E115))))</f>
        <v/>
      </c>
      <c r="H115" s="7" t="str">
        <f>IF($C115="","",IF('설정'!$B$4=0,"",CHOOSE('설정'!$B$4,SUMIFS('RAW_유기농_7월'!$H:$H,'RAW_유기농_7월'!$D:$D,$C115,'RAW_유기농_7월'!$A:$A,$E115),SUMIFS('RAW_유기농_8월'!$H:$H,'RAW_유기농_8월'!$D:$D,$C115,'RAW_유기농_8월'!$A:$A,$E115),SUMIFS('RAW_유기농_9월'!$H:$H,'RAW_유기농_9월'!$D:$D,$C115,'RAW_유기농_9월'!$A:$A,$E115),SUMIFS('RAW_유기농_10월'!$H:$H,'RAW_유기농_10월'!$D:$D,$C115,'RAW_유기농_10월'!$A:$A,$E115),SUMIFS('RAW_유기농_11-12월'!$H:$H,'RAW_유기농_11-12월'!$D:$D,$C115,'RAW_유기농_11-12월'!$A:$A,$E115))))</f>
        <v/>
      </c>
      <c r="I115" s="17" t="str">
        <f>IF($C115="","",IF(COUNTIFS('RAW_유기농_7월'!$D:$D,$C115,'RAW_유기농_7월'!$A:$A,$E115)&gt;0,"O",""))</f>
        <v/>
      </c>
      <c r="J115" s="17" t="str">
        <f>IF($C115="","",IF(COUNTIFS('RAW_유기농_8월'!$D:$D,$C115,'RAW_유기농_8월'!$A:$A,$E115)&gt;0,"O",""))</f>
        <v/>
      </c>
      <c r="K115" s="17" t="str">
        <f>IF($C115="","",IF(COUNTIFS('RAW_유기농_9월'!$D:$D,$C115,'RAW_유기농_9월'!$A:$A,$E115)&gt;0,"O",""))</f>
        <v/>
      </c>
      <c r="L115" s="17" t="str">
        <f>IF($C115="","",IF(COUNTIFS('RAW_유기농_10월'!$D:$D,$C115,'RAW_유기농_10월'!$A:$A,$E115)&gt;0,"O",""))</f>
        <v/>
      </c>
      <c r="M115" s="17" t="str">
        <f>IF($C115="","",IF(COUNTIFS('RAW_유기농_11-12월'!$D:$D,$C115,'RAW_유기농_11-12월'!$A:$A,$E115)&gt;0,"O",""))</f>
        <v/>
      </c>
      <c r="N115" s="7" t="str">
        <f>IF($C115="","",IF(COUNTA('RAW_유기농_7월'!$A:$A)&lt;=1,"",SUMIFS('RAW_유기농_7월'!$H:$H,'RAW_유기농_7월'!$D:$D,$C115,'RAW_유기농_7월'!$A:$A,$E115)))</f>
        <v/>
      </c>
      <c r="O115" s="7" t="str">
        <f>IF($C115="","",IF(COUNTA('RAW_유기농_8월'!$A:$A)&lt;=1,"",SUMIFS('RAW_유기농_8월'!$H:$H,'RAW_유기농_8월'!$D:$D,$C115,'RAW_유기농_8월'!$A:$A,$E115)-SUMIFS('RAW_유기농_7월'!$H:$H,'RAW_유기농_7월'!$D:$D,$C115,'RAW_유기농_7월'!$A:$A,$E115)))</f>
        <v/>
      </c>
      <c r="P115" s="7" t="str">
        <f>IF($C115="","",IF(COUNTA('RAW_유기농_9월'!$A:$A)&lt;=1,"",SUMIFS('RAW_유기농_9월'!$H:$H,'RAW_유기농_9월'!$D:$D,$C115,'RAW_유기농_9월'!$A:$A,$E115)-SUMIFS('RAW_유기농_8월'!$H:$H,'RAW_유기농_8월'!$D:$D,$C115,'RAW_유기농_8월'!$A:$A,$E115)))</f>
        <v/>
      </c>
      <c r="Q115" s="7" t="str">
        <f>IF($C115="","",IF(COUNTA('RAW_유기농_10월'!$A:$A)&lt;=1,"",SUMIFS('RAW_유기농_10월'!$H:$H,'RAW_유기농_10월'!$D:$D,$C115,'RAW_유기농_10월'!$A:$A,$E115)-SUMIFS('RAW_유기농_9월'!$H:$H,'RAW_유기농_9월'!$D:$D,$C115,'RAW_유기농_9월'!$A:$A,$E115)))</f>
        <v/>
      </c>
      <c r="R115" s="7" t="str">
        <f>IF($C115="","",IF(COUNTA('RAW_유기농_11-12월'!$A:$A)&lt;=1,"",SUMIFS('RAW_유기농_11-12월'!$H:$H,'RAW_유기농_11-12월'!$D:$D,$C115,'RAW_유기농_11-12월'!$A:$A,$E115)-SUMIFS('RAW_유기농_10월'!$H:$H,'RAW_유기농_10월'!$D:$D,$C115,'RAW_유기농_10월'!$A:$A,$E115)))</f>
        <v/>
      </c>
      <c r="S115" s="17" t="str">
        <f t="shared" si="4"/>
        <v/>
      </c>
      <c r="T115" s="17" t="str">
        <f t="shared" si="5"/>
        <v/>
      </c>
      <c r="U115" s="7">
        <f>IF($C115="",0,IF('설정'!$B$4=0,0,CHOOSE('설정'!$B$4,COUNTIFS('RAW_유기농_7월'!$D:$D,$C115,'RAW_유기농_7월'!$A:$A,$E115),COUNTIFS('RAW_유기농_8월'!$D:$D,$C115,'RAW_유기농_8월'!$A:$A,$E115),COUNTIFS('RAW_유기농_9월'!$D:$D,$C115,'RAW_유기농_9월'!$A:$A,$E115),COUNTIFS('RAW_유기농_10월'!$D:$D,$C115,'RAW_유기농_10월'!$A:$A,$E115),COUNTIFS('RAW_유기농_11-12월'!$D:$D,$C115,'RAW_유기농_11-12월'!$A:$A,$E115))))</f>
        <v>0</v>
      </c>
    </row>
    <row r="116" ht="15.75" customHeight="1">
      <c r="A116" s="5"/>
      <c r="B116" s="5"/>
      <c r="C116" s="5"/>
      <c r="D116" s="6"/>
      <c r="E116" s="5"/>
      <c r="F116" s="7" t="str">
        <f>IF($C116="","",IF('설정'!$B$4=0,"",CHOOSE('설정'!$B$4,SUMIFS('RAW_유기농_7월'!$F:$F,'RAW_유기농_7월'!$D:$D,$C116,'RAW_유기농_7월'!$A:$A,$E116),SUMIFS('RAW_유기농_8월'!$F:$F,'RAW_유기농_8월'!$D:$D,$C116,'RAW_유기농_8월'!$A:$A,$E116),SUMIFS('RAW_유기농_9월'!$F:$F,'RAW_유기농_9월'!$D:$D,$C116,'RAW_유기농_9월'!$A:$A,$E116),SUMIFS('RAW_유기농_10월'!$F:$F,'RAW_유기농_10월'!$D:$D,$C116,'RAW_유기농_10월'!$A:$A,$E116),SUMIFS('RAW_유기농_11-12월'!$F:$F,'RAW_유기농_11-12월'!$D:$D,$C116,'RAW_유기농_11-12월'!$A:$A,$E116))))</f>
        <v/>
      </c>
      <c r="G116" s="7" t="str">
        <f>IF($C116="","",IF('설정'!$B$4=0,"",CHOOSE('설정'!$B$4,SUMIFS('RAW_유기농_7월'!$G:$G,'RAW_유기농_7월'!$D:$D,$C116,'RAW_유기농_7월'!$A:$A,$E116),SUMIFS('RAW_유기농_8월'!$G:$G,'RAW_유기농_8월'!$D:$D,$C116,'RAW_유기농_8월'!$A:$A,$E116),SUMIFS('RAW_유기농_9월'!$G:$G,'RAW_유기농_9월'!$D:$D,$C116,'RAW_유기농_9월'!$A:$A,$E116),SUMIFS('RAW_유기농_10월'!$G:$G,'RAW_유기농_10월'!$D:$D,$C116,'RAW_유기농_10월'!$A:$A,$E116),SUMIFS('RAW_유기농_11-12월'!$G:$G,'RAW_유기농_11-12월'!$D:$D,$C116,'RAW_유기농_11-12월'!$A:$A,$E116))))</f>
        <v/>
      </c>
      <c r="H116" s="7" t="str">
        <f>IF($C116="","",IF('설정'!$B$4=0,"",CHOOSE('설정'!$B$4,SUMIFS('RAW_유기농_7월'!$H:$H,'RAW_유기농_7월'!$D:$D,$C116,'RAW_유기농_7월'!$A:$A,$E116),SUMIFS('RAW_유기농_8월'!$H:$H,'RAW_유기농_8월'!$D:$D,$C116,'RAW_유기농_8월'!$A:$A,$E116),SUMIFS('RAW_유기농_9월'!$H:$H,'RAW_유기농_9월'!$D:$D,$C116,'RAW_유기농_9월'!$A:$A,$E116),SUMIFS('RAW_유기농_10월'!$H:$H,'RAW_유기농_10월'!$D:$D,$C116,'RAW_유기농_10월'!$A:$A,$E116),SUMIFS('RAW_유기농_11-12월'!$H:$H,'RAW_유기농_11-12월'!$D:$D,$C116,'RAW_유기농_11-12월'!$A:$A,$E116))))</f>
        <v/>
      </c>
      <c r="I116" s="17" t="str">
        <f>IF($C116="","",IF(COUNTIFS('RAW_유기농_7월'!$D:$D,$C116,'RAW_유기농_7월'!$A:$A,$E116)&gt;0,"O",""))</f>
        <v/>
      </c>
      <c r="J116" s="17" t="str">
        <f>IF($C116="","",IF(COUNTIFS('RAW_유기농_8월'!$D:$D,$C116,'RAW_유기농_8월'!$A:$A,$E116)&gt;0,"O",""))</f>
        <v/>
      </c>
      <c r="K116" s="17" t="str">
        <f>IF($C116="","",IF(COUNTIFS('RAW_유기농_9월'!$D:$D,$C116,'RAW_유기농_9월'!$A:$A,$E116)&gt;0,"O",""))</f>
        <v/>
      </c>
      <c r="L116" s="17" t="str">
        <f>IF($C116="","",IF(COUNTIFS('RAW_유기농_10월'!$D:$D,$C116,'RAW_유기농_10월'!$A:$A,$E116)&gt;0,"O",""))</f>
        <v/>
      </c>
      <c r="M116" s="17" t="str">
        <f>IF($C116="","",IF(COUNTIFS('RAW_유기농_11-12월'!$D:$D,$C116,'RAW_유기농_11-12월'!$A:$A,$E116)&gt;0,"O",""))</f>
        <v/>
      </c>
      <c r="N116" s="7" t="str">
        <f>IF($C116="","",IF(COUNTA('RAW_유기농_7월'!$A:$A)&lt;=1,"",SUMIFS('RAW_유기농_7월'!$H:$H,'RAW_유기농_7월'!$D:$D,$C116,'RAW_유기농_7월'!$A:$A,$E116)))</f>
        <v/>
      </c>
      <c r="O116" s="7" t="str">
        <f>IF($C116="","",IF(COUNTA('RAW_유기농_8월'!$A:$A)&lt;=1,"",SUMIFS('RAW_유기농_8월'!$H:$H,'RAW_유기농_8월'!$D:$D,$C116,'RAW_유기농_8월'!$A:$A,$E116)-SUMIFS('RAW_유기농_7월'!$H:$H,'RAW_유기농_7월'!$D:$D,$C116,'RAW_유기농_7월'!$A:$A,$E116)))</f>
        <v/>
      </c>
      <c r="P116" s="7" t="str">
        <f>IF($C116="","",IF(COUNTA('RAW_유기농_9월'!$A:$A)&lt;=1,"",SUMIFS('RAW_유기농_9월'!$H:$H,'RAW_유기농_9월'!$D:$D,$C116,'RAW_유기농_9월'!$A:$A,$E116)-SUMIFS('RAW_유기농_8월'!$H:$H,'RAW_유기농_8월'!$D:$D,$C116,'RAW_유기농_8월'!$A:$A,$E116)))</f>
        <v/>
      </c>
      <c r="Q116" s="7" t="str">
        <f>IF($C116="","",IF(COUNTA('RAW_유기농_10월'!$A:$A)&lt;=1,"",SUMIFS('RAW_유기농_10월'!$H:$H,'RAW_유기농_10월'!$D:$D,$C116,'RAW_유기농_10월'!$A:$A,$E116)-SUMIFS('RAW_유기농_9월'!$H:$H,'RAW_유기농_9월'!$D:$D,$C116,'RAW_유기농_9월'!$A:$A,$E116)))</f>
        <v/>
      </c>
      <c r="R116" s="7" t="str">
        <f>IF($C116="","",IF(COUNTA('RAW_유기농_11-12월'!$A:$A)&lt;=1,"",SUMIFS('RAW_유기농_11-12월'!$H:$H,'RAW_유기농_11-12월'!$D:$D,$C116,'RAW_유기농_11-12월'!$A:$A,$E116)-SUMIFS('RAW_유기농_10월'!$H:$H,'RAW_유기농_10월'!$D:$D,$C116,'RAW_유기농_10월'!$A:$A,$E116)))</f>
        <v/>
      </c>
      <c r="S116" s="17" t="str">
        <f t="shared" si="4"/>
        <v/>
      </c>
      <c r="T116" s="17" t="str">
        <f t="shared" si="5"/>
        <v/>
      </c>
      <c r="U116" s="7">
        <f>IF($C116="",0,IF('설정'!$B$4=0,0,CHOOSE('설정'!$B$4,COUNTIFS('RAW_유기농_7월'!$D:$D,$C116,'RAW_유기농_7월'!$A:$A,$E116),COUNTIFS('RAW_유기농_8월'!$D:$D,$C116,'RAW_유기농_8월'!$A:$A,$E116),COUNTIFS('RAW_유기농_9월'!$D:$D,$C116,'RAW_유기농_9월'!$A:$A,$E116),COUNTIFS('RAW_유기농_10월'!$D:$D,$C116,'RAW_유기농_10월'!$A:$A,$E116),COUNTIFS('RAW_유기농_11-12월'!$D:$D,$C116,'RAW_유기농_11-12월'!$A:$A,$E116))))</f>
        <v>0</v>
      </c>
    </row>
    <row r="117" ht="15.75" customHeight="1">
      <c r="A117" s="5"/>
      <c r="B117" s="5"/>
      <c r="C117" s="5"/>
      <c r="D117" s="6"/>
      <c r="E117" s="5"/>
      <c r="F117" s="7" t="str">
        <f>IF($C117="","",IF('설정'!$B$4=0,"",CHOOSE('설정'!$B$4,SUMIFS('RAW_유기농_7월'!$F:$F,'RAW_유기농_7월'!$D:$D,$C117,'RAW_유기농_7월'!$A:$A,$E117),SUMIFS('RAW_유기농_8월'!$F:$F,'RAW_유기농_8월'!$D:$D,$C117,'RAW_유기농_8월'!$A:$A,$E117),SUMIFS('RAW_유기농_9월'!$F:$F,'RAW_유기농_9월'!$D:$D,$C117,'RAW_유기농_9월'!$A:$A,$E117),SUMIFS('RAW_유기농_10월'!$F:$F,'RAW_유기농_10월'!$D:$D,$C117,'RAW_유기농_10월'!$A:$A,$E117),SUMIFS('RAW_유기농_11-12월'!$F:$F,'RAW_유기농_11-12월'!$D:$D,$C117,'RAW_유기농_11-12월'!$A:$A,$E117))))</f>
        <v/>
      </c>
      <c r="G117" s="7" t="str">
        <f>IF($C117="","",IF('설정'!$B$4=0,"",CHOOSE('설정'!$B$4,SUMIFS('RAW_유기농_7월'!$G:$G,'RAW_유기농_7월'!$D:$D,$C117,'RAW_유기농_7월'!$A:$A,$E117),SUMIFS('RAW_유기농_8월'!$G:$G,'RAW_유기농_8월'!$D:$D,$C117,'RAW_유기농_8월'!$A:$A,$E117),SUMIFS('RAW_유기농_9월'!$G:$G,'RAW_유기농_9월'!$D:$D,$C117,'RAW_유기농_9월'!$A:$A,$E117),SUMIFS('RAW_유기농_10월'!$G:$G,'RAW_유기농_10월'!$D:$D,$C117,'RAW_유기농_10월'!$A:$A,$E117),SUMIFS('RAW_유기농_11-12월'!$G:$G,'RAW_유기농_11-12월'!$D:$D,$C117,'RAW_유기농_11-12월'!$A:$A,$E117))))</f>
        <v/>
      </c>
      <c r="H117" s="7" t="str">
        <f>IF($C117="","",IF('설정'!$B$4=0,"",CHOOSE('설정'!$B$4,SUMIFS('RAW_유기농_7월'!$H:$H,'RAW_유기농_7월'!$D:$D,$C117,'RAW_유기농_7월'!$A:$A,$E117),SUMIFS('RAW_유기농_8월'!$H:$H,'RAW_유기농_8월'!$D:$D,$C117,'RAW_유기농_8월'!$A:$A,$E117),SUMIFS('RAW_유기농_9월'!$H:$H,'RAW_유기농_9월'!$D:$D,$C117,'RAW_유기농_9월'!$A:$A,$E117),SUMIFS('RAW_유기농_10월'!$H:$H,'RAW_유기농_10월'!$D:$D,$C117,'RAW_유기농_10월'!$A:$A,$E117),SUMIFS('RAW_유기농_11-12월'!$H:$H,'RAW_유기농_11-12월'!$D:$D,$C117,'RAW_유기농_11-12월'!$A:$A,$E117))))</f>
        <v/>
      </c>
      <c r="I117" s="17" t="str">
        <f>IF($C117="","",IF(COUNTIFS('RAW_유기농_7월'!$D:$D,$C117,'RAW_유기농_7월'!$A:$A,$E117)&gt;0,"O",""))</f>
        <v/>
      </c>
      <c r="J117" s="17" t="str">
        <f>IF($C117="","",IF(COUNTIFS('RAW_유기농_8월'!$D:$D,$C117,'RAW_유기농_8월'!$A:$A,$E117)&gt;0,"O",""))</f>
        <v/>
      </c>
      <c r="K117" s="17" t="str">
        <f>IF($C117="","",IF(COUNTIFS('RAW_유기농_9월'!$D:$D,$C117,'RAW_유기농_9월'!$A:$A,$E117)&gt;0,"O",""))</f>
        <v/>
      </c>
      <c r="L117" s="17" t="str">
        <f>IF($C117="","",IF(COUNTIFS('RAW_유기농_10월'!$D:$D,$C117,'RAW_유기농_10월'!$A:$A,$E117)&gt;0,"O",""))</f>
        <v/>
      </c>
      <c r="M117" s="17" t="str">
        <f>IF($C117="","",IF(COUNTIFS('RAW_유기농_11-12월'!$D:$D,$C117,'RAW_유기농_11-12월'!$A:$A,$E117)&gt;0,"O",""))</f>
        <v/>
      </c>
      <c r="N117" s="7" t="str">
        <f>IF($C117="","",IF(COUNTA('RAW_유기농_7월'!$A:$A)&lt;=1,"",SUMIFS('RAW_유기농_7월'!$H:$H,'RAW_유기농_7월'!$D:$D,$C117,'RAW_유기농_7월'!$A:$A,$E117)))</f>
        <v/>
      </c>
      <c r="O117" s="7" t="str">
        <f>IF($C117="","",IF(COUNTA('RAW_유기농_8월'!$A:$A)&lt;=1,"",SUMIFS('RAW_유기농_8월'!$H:$H,'RAW_유기농_8월'!$D:$D,$C117,'RAW_유기농_8월'!$A:$A,$E117)-SUMIFS('RAW_유기농_7월'!$H:$H,'RAW_유기농_7월'!$D:$D,$C117,'RAW_유기농_7월'!$A:$A,$E117)))</f>
        <v/>
      </c>
      <c r="P117" s="7" t="str">
        <f>IF($C117="","",IF(COUNTA('RAW_유기농_9월'!$A:$A)&lt;=1,"",SUMIFS('RAW_유기농_9월'!$H:$H,'RAW_유기농_9월'!$D:$D,$C117,'RAW_유기농_9월'!$A:$A,$E117)-SUMIFS('RAW_유기농_8월'!$H:$H,'RAW_유기농_8월'!$D:$D,$C117,'RAW_유기농_8월'!$A:$A,$E117)))</f>
        <v/>
      </c>
      <c r="Q117" s="7" t="str">
        <f>IF($C117="","",IF(COUNTA('RAW_유기농_10월'!$A:$A)&lt;=1,"",SUMIFS('RAW_유기농_10월'!$H:$H,'RAW_유기농_10월'!$D:$D,$C117,'RAW_유기농_10월'!$A:$A,$E117)-SUMIFS('RAW_유기농_9월'!$H:$H,'RAW_유기농_9월'!$D:$D,$C117,'RAW_유기농_9월'!$A:$A,$E117)))</f>
        <v/>
      </c>
      <c r="R117" s="7" t="str">
        <f>IF($C117="","",IF(COUNTA('RAW_유기농_11-12월'!$A:$A)&lt;=1,"",SUMIFS('RAW_유기농_11-12월'!$H:$H,'RAW_유기농_11-12월'!$D:$D,$C117,'RAW_유기농_11-12월'!$A:$A,$E117)-SUMIFS('RAW_유기농_10월'!$H:$H,'RAW_유기농_10월'!$D:$D,$C117,'RAW_유기농_10월'!$A:$A,$E117)))</f>
        <v/>
      </c>
      <c r="S117" s="17" t="str">
        <f t="shared" si="4"/>
        <v/>
      </c>
      <c r="T117" s="17" t="str">
        <f t="shared" si="5"/>
        <v/>
      </c>
      <c r="U117" s="7">
        <f>IF($C117="",0,IF('설정'!$B$4=0,0,CHOOSE('설정'!$B$4,COUNTIFS('RAW_유기농_7월'!$D:$D,$C117,'RAW_유기농_7월'!$A:$A,$E117),COUNTIFS('RAW_유기농_8월'!$D:$D,$C117,'RAW_유기농_8월'!$A:$A,$E117),COUNTIFS('RAW_유기농_9월'!$D:$D,$C117,'RAW_유기농_9월'!$A:$A,$E117),COUNTIFS('RAW_유기농_10월'!$D:$D,$C117,'RAW_유기농_10월'!$A:$A,$E117),COUNTIFS('RAW_유기농_11-12월'!$D:$D,$C117,'RAW_유기농_11-12월'!$A:$A,$E117))))</f>
        <v>0</v>
      </c>
    </row>
    <row r="118" ht="15.75" customHeight="1">
      <c r="A118" s="5"/>
      <c r="B118" s="5"/>
      <c r="C118" s="5"/>
      <c r="D118" s="6"/>
      <c r="E118" s="5"/>
      <c r="F118" s="7" t="str">
        <f>IF($C118="","",IF('설정'!$B$4=0,"",CHOOSE('설정'!$B$4,SUMIFS('RAW_유기농_7월'!$F:$F,'RAW_유기농_7월'!$D:$D,$C118,'RAW_유기농_7월'!$A:$A,$E118),SUMIFS('RAW_유기농_8월'!$F:$F,'RAW_유기농_8월'!$D:$D,$C118,'RAW_유기농_8월'!$A:$A,$E118),SUMIFS('RAW_유기농_9월'!$F:$F,'RAW_유기농_9월'!$D:$D,$C118,'RAW_유기농_9월'!$A:$A,$E118),SUMIFS('RAW_유기농_10월'!$F:$F,'RAW_유기농_10월'!$D:$D,$C118,'RAW_유기농_10월'!$A:$A,$E118),SUMIFS('RAW_유기농_11-12월'!$F:$F,'RAW_유기농_11-12월'!$D:$D,$C118,'RAW_유기농_11-12월'!$A:$A,$E118))))</f>
        <v/>
      </c>
      <c r="G118" s="7" t="str">
        <f>IF($C118="","",IF('설정'!$B$4=0,"",CHOOSE('설정'!$B$4,SUMIFS('RAW_유기농_7월'!$G:$G,'RAW_유기농_7월'!$D:$D,$C118,'RAW_유기농_7월'!$A:$A,$E118),SUMIFS('RAW_유기농_8월'!$G:$G,'RAW_유기농_8월'!$D:$D,$C118,'RAW_유기농_8월'!$A:$A,$E118),SUMIFS('RAW_유기농_9월'!$G:$G,'RAW_유기농_9월'!$D:$D,$C118,'RAW_유기농_9월'!$A:$A,$E118),SUMIFS('RAW_유기농_10월'!$G:$G,'RAW_유기농_10월'!$D:$D,$C118,'RAW_유기농_10월'!$A:$A,$E118),SUMIFS('RAW_유기농_11-12월'!$G:$G,'RAW_유기농_11-12월'!$D:$D,$C118,'RAW_유기농_11-12월'!$A:$A,$E118))))</f>
        <v/>
      </c>
      <c r="H118" s="7" t="str">
        <f>IF($C118="","",IF('설정'!$B$4=0,"",CHOOSE('설정'!$B$4,SUMIFS('RAW_유기농_7월'!$H:$H,'RAW_유기농_7월'!$D:$D,$C118,'RAW_유기농_7월'!$A:$A,$E118),SUMIFS('RAW_유기농_8월'!$H:$H,'RAW_유기농_8월'!$D:$D,$C118,'RAW_유기농_8월'!$A:$A,$E118),SUMIFS('RAW_유기농_9월'!$H:$H,'RAW_유기농_9월'!$D:$D,$C118,'RAW_유기농_9월'!$A:$A,$E118),SUMIFS('RAW_유기농_10월'!$H:$H,'RAW_유기농_10월'!$D:$D,$C118,'RAW_유기농_10월'!$A:$A,$E118),SUMIFS('RAW_유기농_11-12월'!$H:$H,'RAW_유기농_11-12월'!$D:$D,$C118,'RAW_유기농_11-12월'!$A:$A,$E118))))</f>
        <v/>
      </c>
      <c r="I118" s="17" t="str">
        <f>IF($C118="","",IF(COUNTIFS('RAW_유기농_7월'!$D:$D,$C118,'RAW_유기농_7월'!$A:$A,$E118)&gt;0,"O",""))</f>
        <v/>
      </c>
      <c r="J118" s="17" t="str">
        <f>IF($C118="","",IF(COUNTIFS('RAW_유기농_8월'!$D:$D,$C118,'RAW_유기농_8월'!$A:$A,$E118)&gt;0,"O",""))</f>
        <v/>
      </c>
      <c r="K118" s="17" t="str">
        <f>IF($C118="","",IF(COUNTIFS('RAW_유기농_9월'!$D:$D,$C118,'RAW_유기농_9월'!$A:$A,$E118)&gt;0,"O",""))</f>
        <v/>
      </c>
      <c r="L118" s="17" t="str">
        <f>IF($C118="","",IF(COUNTIFS('RAW_유기농_10월'!$D:$D,$C118,'RAW_유기농_10월'!$A:$A,$E118)&gt;0,"O",""))</f>
        <v/>
      </c>
      <c r="M118" s="17" t="str">
        <f>IF($C118="","",IF(COUNTIFS('RAW_유기농_11-12월'!$D:$D,$C118,'RAW_유기농_11-12월'!$A:$A,$E118)&gt;0,"O",""))</f>
        <v/>
      </c>
      <c r="N118" s="7" t="str">
        <f>IF($C118="","",IF(COUNTA('RAW_유기농_7월'!$A:$A)&lt;=1,"",SUMIFS('RAW_유기농_7월'!$H:$H,'RAW_유기농_7월'!$D:$D,$C118,'RAW_유기농_7월'!$A:$A,$E118)))</f>
        <v/>
      </c>
      <c r="O118" s="7" t="str">
        <f>IF($C118="","",IF(COUNTA('RAW_유기농_8월'!$A:$A)&lt;=1,"",SUMIFS('RAW_유기농_8월'!$H:$H,'RAW_유기농_8월'!$D:$D,$C118,'RAW_유기농_8월'!$A:$A,$E118)-SUMIFS('RAW_유기농_7월'!$H:$H,'RAW_유기농_7월'!$D:$D,$C118,'RAW_유기농_7월'!$A:$A,$E118)))</f>
        <v/>
      </c>
      <c r="P118" s="7" t="str">
        <f>IF($C118="","",IF(COUNTA('RAW_유기농_9월'!$A:$A)&lt;=1,"",SUMIFS('RAW_유기농_9월'!$H:$H,'RAW_유기농_9월'!$D:$D,$C118,'RAW_유기농_9월'!$A:$A,$E118)-SUMIFS('RAW_유기농_8월'!$H:$H,'RAW_유기농_8월'!$D:$D,$C118,'RAW_유기농_8월'!$A:$A,$E118)))</f>
        <v/>
      </c>
      <c r="Q118" s="7" t="str">
        <f>IF($C118="","",IF(COUNTA('RAW_유기농_10월'!$A:$A)&lt;=1,"",SUMIFS('RAW_유기농_10월'!$H:$H,'RAW_유기농_10월'!$D:$D,$C118,'RAW_유기농_10월'!$A:$A,$E118)-SUMIFS('RAW_유기농_9월'!$H:$H,'RAW_유기농_9월'!$D:$D,$C118,'RAW_유기농_9월'!$A:$A,$E118)))</f>
        <v/>
      </c>
      <c r="R118" s="7" t="str">
        <f>IF($C118="","",IF(COUNTA('RAW_유기농_11-12월'!$A:$A)&lt;=1,"",SUMIFS('RAW_유기농_11-12월'!$H:$H,'RAW_유기농_11-12월'!$D:$D,$C118,'RAW_유기농_11-12월'!$A:$A,$E118)-SUMIFS('RAW_유기농_10월'!$H:$H,'RAW_유기농_10월'!$D:$D,$C118,'RAW_유기농_10월'!$A:$A,$E118)))</f>
        <v/>
      </c>
      <c r="S118" s="17" t="str">
        <f t="shared" si="4"/>
        <v/>
      </c>
      <c r="T118" s="17" t="str">
        <f t="shared" si="5"/>
        <v/>
      </c>
      <c r="U118" s="7">
        <f>IF($C118="",0,IF('설정'!$B$4=0,0,CHOOSE('설정'!$B$4,COUNTIFS('RAW_유기농_7월'!$D:$D,$C118,'RAW_유기농_7월'!$A:$A,$E118),COUNTIFS('RAW_유기농_8월'!$D:$D,$C118,'RAW_유기농_8월'!$A:$A,$E118),COUNTIFS('RAW_유기농_9월'!$D:$D,$C118,'RAW_유기농_9월'!$A:$A,$E118),COUNTIFS('RAW_유기농_10월'!$D:$D,$C118,'RAW_유기농_10월'!$A:$A,$E118),COUNTIFS('RAW_유기농_11-12월'!$D:$D,$C118,'RAW_유기농_11-12월'!$A:$A,$E118))))</f>
        <v>0</v>
      </c>
    </row>
    <row r="119" ht="15.75" customHeight="1">
      <c r="A119" s="5"/>
      <c r="B119" s="5"/>
      <c r="C119" s="5"/>
      <c r="D119" s="6"/>
      <c r="E119" s="5"/>
      <c r="F119" s="7" t="str">
        <f>IF($C119="","",IF('설정'!$B$4=0,"",CHOOSE('설정'!$B$4,SUMIFS('RAW_유기농_7월'!$F:$F,'RAW_유기농_7월'!$D:$D,$C119,'RAW_유기농_7월'!$A:$A,$E119),SUMIFS('RAW_유기농_8월'!$F:$F,'RAW_유기농_8월'!$D:$D,$C119,'RAW_유기농_8월'!$A:$A,$E119),SUMIFS('RAW_유기농_9월'!$F:$F,'RAW_유기농_9월'!$D:$D,$C119,'RAW_유기농_9월'!$A:$A,$E119),SUMIFS('RAW_유기농_10월'!$F:$F,'RAW_유기농_10월'!$D:$D,$C119,'RAW_유기농_10월'!$A:$A,$E119),SUMIFS('RAW_유기농_11-12월'!$F:$F,'RAW_유기농_11-12월'!$D:$D,$C119,'RAW_유기농_11-12월'!$A:$A,$E119))))</f>
        <v/>
      </c>
      <c r="G119" s="7" t="str">
        <f>IF($C119="","",IF('설정'!$B$4=0,"",CHOOSE('설정'!$B$4,SUMIFS('RAW_유기농_7월'!$G:$G,'RAW_유기농_7월'!$D:$D,$C119,'RAW_유기농_7월'!$A:$A,$E119),SUMIFS('RAW_유기농_8월'!$G:$G,'RAW_유기농_8월'!$D:$D,$C119,'RAW_유기농_8월'!$A:$A,$E119),SUMIFS('RAW_유기농_9월'!$G:$G,'RAW_유기농_9월'!$D:$D,$C119,'RAW_유기농_9월'!$A:$A,$E119),SUMIFS('RAW_유기농_10월'!$G:$G,'RAW_유기농_10월'!$D:$D,$C119,'RAW_유기농_10월'!$A:$A,$E119),SUMIFS('RAW_유기농_11-12월'!$G:$G,'RAW_유기농_11-12월'!$D:$D,$C119,'RAW_유기농_11-12월'!$A:$A,$E119))))</f>
        <v/>
      </c>
      <c r="H119" s="7" t="str">
        <f>IF($C119="","",IF('설정'!$B$4=0,"",CHOOSE('설정'!$B$4,SUMIFS('RAW_유기농_7월'!$H:$H,'RAW_유기농_7월'!$D:$D,$C119,'RAW_유기농_7월'!$A:$A,$E119),SUMIFS('RAW_유기농_8월'!$H:$H,'RAW_유기농_8월'!$D:$D,$C119,'RAW_유기농_8월'!$A:$A,$E119),SUMIFS('RAW_유기농_9월'!$H:$H,'RAW_유기농_9월'!$D:$D,$C119,'RAW_유기농_9월'!$A:$A,$E119),SUMIFS('RAW_유기농_10월'!$H:$H,'RAW_유기농_10월'!$D:$D,$C119,'RAW_유기농_10월'!$A:$A,$E119),SUMIFS('RAW_유기농_11-12월'!$H:$H,'RAW_유기농_11-12월'!$D:$D,$C119,'RAW_유기농_11-12월'!$A:$A,$E119))))</f>
        <v/>
      </c>
      <c r="I119" s="17" t="str">
        <f>IF($C119="","",IF(COUNTIFS('RAW_유기농_7월'!$D:$D,$C119,'RAW_유기농_7월'!$A:$A,$E119)&gt;0,"O",""))</f>
        <v/>
      </c>
      <c r="J119" s="17" t="str">
        <f>IF($C119="","",IF(COUNTIFS('RAW_유기농_8월'!$D:$D,$C119,'RAW_유기농_8월'!$A:$A,$E119)&gt;0,"O",""))</f>
        <v/>
      </c>
      <c r="K119" s="17" t="str">
        <f>IF($C119="","",IF(COUNTIFS('RAW_유기농_9월'!$D:$D,$C119,'RAW_유기농_9월'!$A:$A,$E119)&gt;0,"O",""))</f>
        <v/>
      </c>
      <c r="L119" s="17" t="str">
        <f>IF($C119="","",IF(COUNTIFS('RAW_유기농_10월'!$D:$D,$C119,'RAW_유기농_10월'!$A:$A,$E119)&gt;0,"O",""))</f>
        <v/>
      </c>
      <c r="M119" s="17" t="str">
        <f>IF($C119="","",IF(COUNTIFS('RAW_유기농_11-12월'!$D:$D,$C119,'RAW_유기농_11-12월'!$A:$A,$E119)&gt;0,"O",""))</f>
        <v/>
      </c>
      <c r="N119" s="7" t="str">
        <f>IF($C119="","",IF(COUNTA('RAW_유기농_7월'!$A:$A)&lt;=1,"",SUMIFS('RAW_유기농_7월'!$H:$H,'RAW_유기농_7월'!$D:$D,$C119,'RAW_유기농_7월'!$A:$A,$E119)))</f>
        <v/>
      </c>
      <c r="O119" s="7" t="str">
        <f>IF($C119="","",IF(COUNTA('RAW_유기농_8월'!$A:$A)&lt;=1,"",SUMIFS('RAW_유기농_8월'!$H:$H,'RAW_유기농_8월'!$D:$D,$C119,'RAW_유기농_8월'!$A:$A,$E119)-SUMIFS('RAW_유기농_7월'!$H:$H,'RAW_유기농_7월'!$D:$D,$C119,'RAW_유기농_7월'!$A:$A,$E119)))</f>
        <v/>
      </c>
      <c r="P119" s="7" t="str">
        <f>IF($C119="","",IF(COUNTA('RAW_유기농_9월'!$A:$A)&lt;=1,"",SUMIFS('RAW_유기농_9월'!$H:$H,'RAW_유기농_9월'!$D:$D,$C119,'RAW_유기농_9월'!$A:$A,$E119)-SUMIFS('RAW_유기농_8월'!$H:$H,'RAW_유기농_8월'!$D:$D,$C119,'RAW_유기농_8월'!$A:$A,$E119)))</f>
        <v/>
      </c>
      <c r="Q119" s="7" t="str">
        <f>IF($C119="","",IF(COUNTA('RAW_유기농_10월'!$A:$A)&lt;=1,"",SUMIFS('RAW_유기농_10월'!$H:$H,'RAW_유기농_10월'!$D:$D,$C119,'RAW_유기농_10월'!$A:$A,$E119)-SUMIFS('RAW_유기농_9월'!$H:$H,'RAW_유기농_9월'!$D:$D,$C119,'RAW_유기농_9월'!$A:$A,$E119)))</f>
        <v/>
      </c>
      <c r="R119" s="7" t="str">
        <f>IF($C119="","",IF(COUNTA('RAW_유기농_11-12월'!$A:$A)&lt;=1,"",SUMIFS('RAW_유기농_11-12월'!$H:$H,'RAW_유기농_11-12월'!$D:$D,$C119,'RAW_유기농_11-12월'!$A:$A,$E119)-SUMIFS('RAW_유기농_10월'!$H:$H,'RAW_유기농_10월'!$D:$D,$C119,'RAW_유기농_10월'!$A:$A,$E119)))</f>
        <v/>
      </c>
      <c r="S119" s="17" t="str">
        <f t="shared" si="4"/>
        <v/>
      </c>
      <c r="T119" s="17" t="str">
        <f t="shared" si="5"/>
        <v/>
      </c>
      <c r="U119" s="7">
        <f>IF($C119="",0,IF('설정'!$B$4=0,0,CHOOSE('설정'!$B$4,COUNTIFS('RAW_유기농_7월'!$D:$D,$C119,'RAW_유기농_7월'!$A:$A,$E119),COUNTIFS('RAW_유기농_8월'!$D:$D,$C119,'RAW_유기농_8월'!$A:$A,$E119),COUNTIFS('RAW_유기농_9월'!$D:$D,$C119,'RAW_유기농_9월'!$A:$A,$E119),COUNTIFS('RAW_유기농_10월'!$D:$D,$C119,'RAW_유기농_10월'!$A:$A,$E119),COUNTIFS('RAW_유기농_11-12월'!$D:$D,$C119,'RAW_유기농_11-12월'!$A:$A,$E119))))</f>
        <v>0</v>
      </c>
    </row>
    <row r="120" ht="15.75" customHeight="1">
      <c r="A120" s="5"/>
      <c r="B120" s="5"/>
      <c r="C120" s="5"/>
      <c r="D120" s="6"/>
      <c r="E120" s="5"/>
      <c r="F120" s="7" t="str">
        <f>IF($C120="","",IF('설정'!$B$4=0,"",CHOOSE('설정'!$B$4,SUMIFS('RAW_유기농_7월'!$F:$F,'RAW_유기농_7월'!$D:$D,$C120,'RAW_유기농_7월'!$A:$A,$E120),SUMIFS('RAW_유기농_8월'!$F:$F,'RAW_유기농_8월'!$D:$D,$C120,'RAW_유기농_8월'!$A:$A,$E120),SUMIFS('RAW_유기농_9월'!$F:$F,'RAW_유기농_9월'!$D:$D,$C120,'RAW_유기농_9월'!$A:$A,$E120),SUMIFS('RAW_유기농_10월'!$F:$F,'RAW_유기농_10월'!$D:$D,$C120,'RAW_유기농_10월'!$A:$A,$E120),SUMIFS('RAW_유기농_11-12월'!$F:$F,'RAW_유기농_11-12월'!$D:$D,$C120,'RAW_유기농_11-12월'!$A:$A,$E120))))</f>
        <v/>
      </c>
      <c r="G120" s="7" t="str">
        <f>IF($C120="","",IF('설정'!$B$4=0,"",CHOOSE('설정'!$B$4,SUMIFS('RAW_유기농_7월'!$G:$G,'RAW_유기농_7월'!$D:$D,$C120,'RAW_유기농_7월'!$A:$A,$E120),SUMIFS('RAW_유기농_8월'!$G:$G,'RAW_유기농_8월'!$D:$D,$C120,'RAW_유기농_8월'!$A:$A,$E120),SUMIFS('RAW_유기농_9월'!$G:$G,'RAW_유기농_9월'!$D:$D,$C120,'RAW_유기농_9월'!$A:$A,$E120),SUMIFS('RAW_유기농_10월'!$G:$G,'RAW_유기농_10월'!$D:$D,$C120,'RAW_유기농_10월'!$A:$A,$E120),SUMIFS('RAW_유기농_11-12월'!$G:$G,'RAW_유기농_11-12월'!$D:$D,$C120,'RAW_유기농_11-12월'!$A:$A,$E120))))</f>
        <v/>
      </c>
      <c r="H120" s="7" t="str">
        <f>IF($C120="","",IF('설정'!$B$4=0,"",CHOOSE('설정'!$B$4,SUMIFS('RAW_유기농_7월'!$H:$H,'RAW_유기농_7월'!$D:$D,$C120,'RAW_유기농_7월'!$A:$A,$E120),SUMIFS('RAW_유기농_8월'!$H:$H,'RAW_유기농_8월'!$D:$D,$C120,'RAW_유기농_8월'!$A:$A,$E120),SUMIFS('RAW_유기농_9월'!$H:$H,'RAW_유기농_9월'!$D:$D,$C120,'RAW_유기농_9월'!$A:$A,$E120),SUMIFS('RAW_유기농_10월'!$H:$H,'RAW_유기농_10월'!$D:$D,$C120,'RAW_유기농_10월'!$A:$A,$E120),SUMIFS('RAW_유기농_11-12월'!$H:$H,'RAW_유기농_11-12월'!$D:$D,$C120,'RAW_유기농_11-12월'!$A:$A,$E120))))</f>
        <v/>
      </c>
      <c r="I120" s="17" t="str">
        <f>IF($C120="","",IF(COUNTIFS('RAW_유기농_7월'!$D:$D,$C120,'RAW_유기농_7월'!$A:$A,$E120)&gt;0,"O",""))</f>
        <v/>
      </c>
      <c r="J120" s="17" t="str">
        <f>IF($C120="","",IF(COUNTIFS('RAW_유기농_8월'!$D:$D,$C120,'RAW_유기농_8월'!$A:$A,$E120)&gt;0,"O",""))</f>
        <v/>
      </c>
      <c r="K120" s="17" t="str">
        <f>IF($C120="","",IF(COUNTIFS('RAW_유기농_9월'!$D:$D,$C120,'RAW_유기농_9월'!$A:$A,$E120)&gt;0,"O",""))</f>
        <v/>
      </c>
      <c r="L120" s="17" t="str">
        <f>IF($C120="","",IF(COUNTIFS('RAW_유기농_10월'!$D:$D,$C120,'RAW_유기농_10월'!$A:$A,$E120)&gt;0,"O",""))</f>
        <v/>
      </c>
      <c r="M120" s="17" t="str">
        <f>IF($C120="","",IF(COUNTIFS('RAW_유기농_11-12월'!$D:$D,$C120,'RAW_유기농_11-12월'!$A:$A,$E120)&gt;0,"O",""))</f>
        <v/>
      </c>
      <c r="N120" s="7" t="str">
        <f>IF($C120="","",IF(COUNTA('RAW_유기농_7월'!$A:$A)&lt;=1,"",SUMIFS('RAW_유기농_7월'!$H:$H,'RAW_유기농_7월'!$D:$D,$C120,'RAW_유기농_7월'!$A:$A,$E120)))</f>
        <v/>
      </c>
      <c r="O120" s="7" t="str">
        <f>IF($C120="","",IF(COUNTA('RAW_유기농_8월'!$A:$A)&lt;=1,"",SUMIFS('RAW_유기농_8월'!$H:$H,'RAW_유기농_8월'!$D:$D,$C120,'RAW_유기농_8월'!$A:$A,$E120)-SUMIFS('RAW_유기농_7월'!$H:$H,'RAW_유기농_7월'!$D:$D,$C120,'RAW_유기농_7월'!$A:$A,$E120)))</f>
        <v/>
      </c>
      <c r="P120" s="7" t="str">
        <f>IF($C120="","",IF(COUNTA('RAW_유기농_9월'!$A:$A)&lt;=1,"",SUMIFS('RAW_유기농_9월'!$H:$H,'RAW_유기농_9월'!$D:$D,$C120,'RAW_유기농_9월'!$A:$A,$E120)-SUMIFS('RAW_유기농_8월'!$H:$H,'RAW_유기농_8월'!$D:$D,$C120,'RAW_유기농_8월'!$A:$A,$E120)))</f>
        <v/>
      </c>
      <c r="Q120" s="7" t="str">
        <f>IF($C120="","",IF(COUNTA('RAW_유기농_10월'!$A:$A)&lt;=1,"",SUMIFS('RAW_유기농_10월'!$H:$H,'RAW_유기농_10월'!$D:$D,$C120,'RAW_유기농_10월'!$A:$A,$E120)-SUMIFS('RAW_유기농_9월'!$H:$H,'RAW_유기농_9월'!$D:$D,$C120,'RAW_유기농_9월'!$A:$A,$E120)))</f>
        <v/>
      </c>
      <c r="R120" s="7" t="str">
        <f>IF($C120="","",IF(COUNTA('RAW_유기농_11-12월'!$A:$A)&lt;=1,"",SUMIFS('RAW_유기농_11-12월'!$H:$H,'RAW_유기농_11-12월'!$D:$D,$C120,'RAW_유기농_11-12월'!$A:$A,$E120)-SUMIFS('RAW_유기농_10월'!$H:$H,'RAW_유기농_10월'!$D:$D,$C120,'RAW_유기농_10월'!$A:$A,$E120)))</f>
        <v/>
      </c>
      <c r="S120" s="17" t="str">
        <f t="shared" si="4"/>
        <v/>
      </c>
      <c r="T120" s="17" t="str">
        <f t="shared" si="5"/>
        <v/>
      </c>
      <c r="U120" s="7">
        <f>IF($C120="",0,IF('설정'!$B$4=0,0,CHOOSE('설정'!$B$4,COUNTIFS('RAW_유기농_7월'!$D:$D,$C120,'RAW_유기농_7월'!$A:$A,$E120),COUNTIFS('RAW_유기농_8월'!$D:$D,$C120,'RAW_유기농_8월'!$A:$A,$E120),COUNTIFS('RAW_유기농_9월'!$D:$D,$C120,'RAW_유기농_9월'!$A:$A,$E120),COUNTIFS('RAW_유기농_10월'!$D:$D,$C120,'RAW_유기농_10월'!$A:$A,$E120),COUNTIFS('RAW_유기농_11-12월'!$D:$D,$C120,'RAW_유기농_11-12월'!$A:$A,$E120))))</f>
        <v>0</v>
      </c>
    </row>
    <row r="121" ht="15.75" customHeight="1">
      <c r="A121" s="5"/>
      <c r="B121" s="5"/>
      <c r="C121" s="5"/>
      <c r="D121" s="6"/>
      <c r="E121" s="5"/>
      <c r="F121" s="7" t="str">
        <f>IF($C121="","",IF('설정'!$B$4=0,"",CHOOSE('설정'!$B$4,SUMIFS('RAW_유기농_7월'!$F:$F,'RAW_유기농_7월'!$D:$D,$C121,'RAW_유기농_7월'!$A:$A,$E121),SUMIFS('RAW_유기농_8월'!$F:$F,'RAW_유기농_8월'!$D:$D,$C121,'RAW_유기농_8월'!$A:$A,$E121),SUMIFS('RAW_유기농_9월'!$F:$F,'RAW_유기농_9월'!$D:$D,$C121,'RAW_유기농_9월'!$A:$A,$E121),SUMIFS('RAW_유기농_10월'!$F:$F,'RAW_유기농_10월'!$D:$D,$C121,'RAW_유기농_10월'!$A:$A,$E121),SUMIFS('RAW_유기농_11-12월'!$F:$F,'RAW_유기농_11-12월'!$D:$D,$C121,'RAW_유기농_11-12월'!$A:$A,$E121))))</f>
        <v/>
      </c>
      <c r="G121" s="7" t="str">
        <f>IF($C121="","",IF('설정'!$B$4=0,"",CHOOSE('설정'!$B$4,SUMIFS('RAW_유기농_7월'!$G:$G,'RAW_유기농_7월'!$D:$D,$C121,'RAW_유기농_7월'!$A:$A,$E121),SUMIFS('RAW_유기농_8월'!$G:$G,'RAW_유기농_8월'!$D:$D,$C121,'RAW_유기농_8월'!$A:$A,$E121),SUMIFS('RAW_유기농_9월'!$G:$G,'RAW_유기농_9월'!$D:$D,$C121,'RAW_유기농_9월'!$A:$A,$E121),SUMIFS('RAW_유기농_10월'!$G:$G,'RAW_유기농_10월'!$D:$D,$C121,'RAW_유기농_10월'!$A:$A,$E121),SUMIFS('RAW_유기농_11-12월'!$G:$G,'RAW_유기농_11-12월'!$D:$D,$C121,'RAW_유기농_11-12월'!$A:$A,$E121))))</f>
        <v/>
      </c>
      <c r="H121" s="7" t="str">
        <f>IF($C121="","",IF('설정'!$B$4=0,"",CHOOSE('설정'!$B$4,SUMIFS('RAW_유기농_7월'!$H:$H,'RAW_유기농_7월'!$D:$D,$C121,'RAW_유기농_7월'!$A:$A,$E121),SUMIFS('RAW_유기농_8월'!$H:$H,'RAW_유기농_8월'!$D:$D,$C121,'RAW_유기농_8월'!$A:$A,$E121),SUMIFS('RAW_유기농_9월'!$H:$H,'RAW_유기농_9월'!$D:$D,$C121,'RAW_유기농_9월'!$A:$A,$E121),SUMIFS('RAW_유기농_10월'!$H:$H,'RAW_유기농_10월'!$D:$D,$C121,'RAW_유기농_10월'!$A:$A,$E121),SUMIFS('RAW_유기농_11-12월'!$H:$H,'RAW_유기농_11-12월'!$D:$D,$C121,'RAW_유기농_11-12월'!$A:$A,$E121))))</f>
        <v/>
      </c>
      <c r="I121" s="17" t="str">
        <f>IF($C121="","",IF(COUNTIFS('RAW_유기농_7월'!$D:$D,$C121,'RAW_유기농_7월'!$A:$A,$E121)&gt;0,"O",""))</f>
        <v/>
      </c>
      <c r="J121" s="17" t="str">
        <f>IF($C121="","",IF(COUNTIFS('RAW_유기농_8월'!$D:$D,$C121,'RAW_유기농_8월'!$A:$A,$E121)&gt;0,"O",""))</f>
        <v/>
      </c>
      <c r="K121" s="17" t="str">
        <f>IF($C121="","",IF(COUNTIFS('RAW_유기농_9월'!$D:$D,$C121,'RAW_유기농_9월'!$A:$A,$E121)&gt;0,"O",""))</f>
        <v/>
      </c>
      <c r="L121" s="17" t="str">
        <f>IF($C121="","",IF(COUNTIFS('RAW_유기농_10월'!$D:$D,$C121,'RAW_유기농_10월'!$A:$A,$E121)&gt;0,"O",""))</f>
        <v/>
      </c>
      <c r="M121" s="17" t="str">
        <f>IF($C121="","",IF(COUNTIFS('RAW_유기농_11-12월'!$D:$D,$C121,'RAW_유기농_11-12월'!$A:$A,$E121)&gt;0,"O",""))</f>
        <v/>
      </c>
      <c r="N121" s="7" t="str">
        <f>IF($C121="","",IF(COUNTA('RAW_유기농_7월'!$A:$A)&lt;=1,"",SUMIFS('RAW_유기농_7월'!$H:$H,'RAW_유기농_7월'!$D:$D,$C121,'RAW_유기농_7월'!$A:$A,$E121)))</f>
        <v/>
      </c>
      <c r="O121" s="7" t="str">
        <f>IF($C121="","",IF(COUNTA('RAW_유기농_8월'!$A:$A)&lt;=1,"",SUMIFS('RAW_유기농_8월'!$H:$H,'RAW_유기농_8월'!$D:$D,$C121,'RAW_유기농_8월'!$A:$A,$E121)-SUMIFS('RAW_유기농_7월'!$H:$H,'RAW_유기농_7월'!$D:$D,$C121,'RAW_유기농_7월'!$A:$A,$E121)))</f>
        <v/>
      </c>
      <c r="P121" s="7" t="str">
        <f>IF($C121="","",IF(COUNTA('RAW_유기농_9월'!$A:$A)&lt;=1,"",SUMIFS('RAW_유기농_9월'!$H:$H,'RAW_유기농_9월'!$D:$D,$C121,'RAW_유기농_9월'!$A:$A,$E121)-SUMIFS('RAW_유기농_8월'!$H:$H,'RAW_유기농_8월'!$D:$D,$C121,'RAW_유기농_8월'!$A:$A,$E121)))</f>
        <v/>
      </c>
      <c r="Q121" s="7" t="str">
        <f>IF($C121="","",IF(COUNTA('RAW_유기농_10월'!$A:$A)&lt;=1,"",SUMIFS('RAW_유기농_10월'!$H:$H,'RAW_유기농_10월'!$D:$D,$C121,'RAW_유기농_10월'!$A:$A,$E121)-SUMIFS('RAW_유기농_9월'!$H:$H,'RAW_유기농_9월'!$D:$D,$C121,'RAW_유기농_9월'!$A:$A,$E121)))</f>
        <v/>
      </c>
      <c r="R121" s="7" t="str">
        <f>IF($C121="","",IF(COUNTA('RAW_유기농_11-12월'!$A:$A)&lt;=1,"",SUMIFS('RAW_유기농_11-12월'!$H:$H,'RAW_유기농_11-12월'!$D:$D,$C121,'RAW_유기농_11-12월'!$A:$A,$E121)-SUMIFS('RAW_유기농_10월'!$H:$H,'RAW_유기농_10월'!$D:$D,$C121,'RAW_유기농_10월'!$A:$A,$E121)))</f>
        <v/>
      </c>
      <c r="S121" s="17" t="str">
        <f t="shared" si="4"/>
        <v/>
      </c>
      <c r="T121" s="17" t="str">
        <f t="shared" si="5"/>
        <v/>
      </c>
      <c r="U121" s="7">
        <f>IF($C121="",0,IF('설정'!$B$4=0,0,CHOOSE('설정'!$B$4,COUNTIFS('RAW_유기농_7월'!$D:$D,$C121,'RAW_유기농_7월'!$A:$A,$E121),COUNTIFS('RAW_유기농_8월'!$D:$D,$C121,'RAW_유기농_8월'!$A:$A,$E121),COUNTIFS('RAW_유기농_9월'!$D:$D,$C121,'RAW_유기농_9월'!$A:$A,$E121),COUNTIFS('RAW_유기농_10월'!$D:$D,$C121,'RAW_유기농_10월'!$A:$A,$E121),COUNTIFS('RAW_유기농_11-12월'!$D:$D,$C121,'RAW_유기농_11-12월'!$A:$A,$E121))))</f>
        <v>0</v>
      </c>
    </row>
    <row r="122" ht="15.75" customHeight="1">
      <c r="A122" s="5"/>
      <c r="B122" s="5"/>
      <c r="C122" s="5"/>
      <c r="D122" s="6"/>
      <c r="E122" s="5"/>
      <c r="F122" s="7" t="str">
        <f>IF($C122="","",IF('설정'!$B$4=0,"",CHOOSE('설정'!$B$4,SUMIFS('RAW_유기농_7월'!$F:$F,'RAW_유기농_7월'!$D:$D,$C122,'RAW_유기농_7월'!$A:$A,$E122),SUMIFS('RAW_유기농_8월'!$F:$F,'RAW_유기농_8월'!$D:$D,$C122,'RAW_유기농_8월'!$A:$A,$E122),SUMIFS('RAW_유기농_9월'!$F:$F,'RAW_유기농_9월'!$D:$D,$C122,'RAW_유기농_9월'!$A:$A,$E122),SUMIFS('RAW_유기농_10월'!$F:$F,'RAW_유기농_10월'!$D:$D,$C122,'RAW_유기농_10월'!$A:$A,$E122),SUMIFS('RAW_유기농_11-12월'!$F:$F,'RAW_유기농_11-12월'!$D:$D,$C122,'RAW_유기농_11-12월'!$A:$A,$E122))))</f>
        <v/>
      </c>
      <c r="G122" s="7" t="str">
        <f>IF($C122="","",IF('설정'!$B$4=0,"",CHOOSE('설정'!$B$4,SUMIFS('RAW_유기농_7월'!$G:$G,'RAW_유기농_7월'!$D:$D,$C122,'RAW_유기농_7월'!$A:$A,$E122),SUMIFS('RAW_유기농_8월'!$G:$G,'RAW_유기농_8월'!$D:$D,$C122,'RAW_유기농_8월'!$A:$A,$E122),SUMIFS('RAW_유기농_9월'!$G:$G,'RAW_유기농_9월'!$D:$D,$C122,'RAW_유기농_9월'!$A:$A,$E122),SUMIFS('RAW_유기농_10월'!$G:$G,'RAW_유기농_10월'!$D:$D,$C122,'RAW_유기농_10월'!$A:$A,$E122),SUMIFS('RAW_유기농_11-12월'!$G:$G,'RAW_유기농_11-12월'!$D:$D,$C122,'RAW_유기농_11-12월'!$A:$A,$E122))))</f>
        <v/>
      </c>
      <c r="H122" s="7" t="str">
        <f>IF($C122="","",IF('설정'!$B$4=0,"",CHOOSE('설정'!$B$4,SUMIFS('RAW_유기농_7월'!$H:$H,'RAW_유기농_7월'!$D:$D,$C122,'RAW_유기농_7월'!$A:$A,$E122),SUMIFS('RAW_유기농_8월'!$H:$H,'RAW_유기농_8월'!$D:$D,$C122,'RAW_유기농_8월'!$A:$A,$E122),SUMIFS('RAW_유기농_9월'!$H:$H,'RAW_유기농_9월'!$D:$D,$C122,'RAW_유기농_9월'!$A:$A,$E122),SUMIFS('RAW_유기농_10월'!$H:$H,'RAW_유기농_10월'!$D:$D,$C122,'RAW_유기농_10월'!$A:$A,$E122),SUMIFS('RAW_유기농_11-12월'!$H:$H,'RAW_유기농_11-12월'!$D:$D,$C122,'RAW_유기농_11-12월'!$A:$A,$E122))))</f>
        <v/>
      </c>
      <c r="I122" s="17" t="str">
        <f>IF($C122="","",IF(COUNTIFS('RAW_유기농_7월'!$D:$D,$C122,'RAW_유기농_7월'!$A:$A,$E122)&gt;0,"O",""))</f>
        <v/>
      </c>
      <c r="J122" s="17" t="str">
        <f>IF($C122="","",IF(COUNTIFS('RAW_유기농_8월'!$D:$D,$C122,'RAW_유기농_8월'!$A:$A,$E122)&gt;0,"O",""))</f>
        <v/>
      </c>
      <c r="K122" s="17" t="str">
        <f>IF($C122="","",IF(COUNTIFS('RAW_유기농_9월'!$D:$D,$C122,'RAW_유기농_9월'!$A:$A,$E122)&gt;0,"O",""))</f>
        <v/>
      </c>
      <c r="L122" s="17" t="str">
        <f>IF($C122="","",IF(COUNTIFS('RAW_유기농_10월'!$D:$D,$C122,'RAW_유기농_10월'!$A:$A,$E122)&gt;0,"O",""))</f>
        <v/>
      </c>
      <c r="M122" s="17" t="str">
        <f>IF($C122="","",IF(COUNTIFS('RAW_유기농_11-12월'!$D:$D,$C122,'RAW_유기농_11-12월'!$A:$A,$E122)&gt;0,"O",""))</f>
        <v/>
      </c>
      <c r="N122" s="7" t="str">
        <f>IF($C122="","",IF(COUNTA('RAW_유기농_7월'!$A:$A)&lt;=1,"",SUMIFS('RAW_유기농_7월'!$H:$H,'RAW_유기농_7월'!$D:$D,$C122,'RAW_유기농_7월'!$A:$A,$E122)))</f>
        <v/>
      </c>
      <c r="O122" s="7" t="str">
        <f>IF($C122="","",IF(COUNTA('RAW_유기농_8월'!$A:$A)&lt;=1,"",SUMIFS('RAW_유기농_8월'!$H:$H,'RAW_유기농_8월'!$D:$D,$C122,'RAW_유기농_8월'!$A:$A,$E122)-SUMIFS('RAW_유기농_7월'!$H:$H,'RAW_유기농_7월'!$D:$D,$C122,'RAW_유기농_7월'!$A:$A,$E122)))</f>
        <v/>
      </c>
      <c r="P122" s="7" t="str">
        <f>IF($C122="","",IF(COUNTA('RAW_유기농_9월'!$A:$A)&lt;=1,"",SUMIFS('RAW_유기농_9월'!$H:$H,'RAW_유기농_9월'!$D:$D,$C122,'RAW_유기농_9월'!$A:$A,$E122)-SUMIFS('RAW_유기농_8월'!$H:$H,'RAW_유기농_8월'!$D:$D,$C122,'RAW_유기농_8월'!$A:$A,$E122)))</f>
        <v/>
      </c>
      <c r="Q122" s="7" t="str">
        <f>IF($C122="","",IF(COUNTA('RAW_유기농_10월'!$A:$A)&lt;=1,"",SUMIFS('RAW_유기농_10월'!$H:$H,'RAW_유기농_10월'!$D:$D,$C122,'RAW_유기농_10월'!$A:$A,$E122)-SUMIFS('RAW_유기농_9월'!$H:$H,'RAW_유기농_9월'!$D:$D,$C122,'RAW_유기농_9월'!$A:$A,$E122)))</f>
        <v/>
      </c>
      <c r="R122" s="7" t="str">
        <f>IF($C122="","",IF(COUNTA('RAW_유기농_11-12월'!$A:$A)&lt;=1,"",SUMIFS('RAW_유기농_11-12월'!$H:$H,'RAW_유기농_11-12월'!$D:$D,$C122,'RAW_유기농_11-12월'!$A:$A,$E122)-SUMIFS('RAW_유기농_10월'!$H:$H,'RAW_유기농_10월'!$D:$D,$C122,'RAW_유기농_10월'!$A:$A,$E122)))</f>
        <v/>
      </c>
      <c r="S122" s="17" t="str">
        <f t="shared" si="4"/>
        <v/>
      </c>
      <c r="T122" s="17" t="str">
        <f t="shared" si="5"/>
        <v/>
      </c>
      <c r="U122" s="7">
        <f>IF($C122="",0,IF('설정'!$B$4=0,0,CHOOSE('설정'!$B$4,COUNTIFS('RAW_유기농_7월'!$D:$D,$C122,'RAW_유기농_7월'!$A:$A,$E122),COUNTIFS('RAW_유기농_8월'!$D:$D,$C122,'RAW_유기농_8월'!$A:$A,$E122),COUNTIFS('RAW_유기농_9월'!$D:$D,$C122,'RAW_유기농_9월'!$A:$A,$E122),COUNTIFS('RAW_유기농_10월'!$D:$D,$C122,'RAW_유기농_10월'!$A:$A,$E122),COUNTIFS('RAW_유기농_11-12월'!$D:$D,$C122,'RAW_유기농_11-12월'!$A:$A,$E122))))</f>
        <v>0</v>
      </c>
    </row>
    <row r="123" ht="15.75" customHeight="1">
      <c r="A123" s="5"/>
      <c r="B123" s="5"/>
      <c r="C123" s="5"/>
      <c r="D123" s="6"/>
      <c r="E123" s="5"/>
      <c r="F123" s="7" t="str">
        <f>IF($C123="","",IF('설정'!$B$4=0,"",CHOOSE('설정'!$B$4,SUMIFS('RAW_유기농_7월'!$F:$F,'RAW_유기농_7월'!$D:$D,$C123,'RAW_유기농_7월'!$A:$A,$E123),SUMIFS('RAW_유기농_8월'!$F:$F,'RAW_유기농_8월'!$D:$D,$C123,'RAW_유기농_8월'!$A:$A,$E123),SUMIFS('RAW_유기농_9월'!$F:$F,'RAW_유기농_9월'!$D:$D,$C123,'RAW_유기농_9월'!$A:$A,$E123),SUMIFS('RAW_유기농_10월'!$F:$F,'RAW_유기농_10월'!$D:$D,$C123,'RAW_유기농_10월'!$A:$A,$E123),SUMIFS('RAW_유기농_11-12월'!$F:$F,'RAW_유기농_11-12월'!$D:$D,$C123,'RAW_유기농_11-12월'!$A:$A,$E123))))</f>
        <v/>
      </c>
      <c r="G123" s="7" t="str">
        <f>IF($C123="","",IF('설정'!$B$4=0,"",CHOOSE('설정'!$B$4,SUMIFS('RAW_유기농_7월'!$G:$G,'RAW_유기농_7월'!$D:$D,$C123,'RAW_유기농_7월'!$A:$A,$E123),SUMIFS('RAW_유기농_8월'!$G:$G,'RAW_유기농_8월'!$D:$D,$C123,'RAW_유기농_8월'!$A:$A,$E123),SUMIFS('RAW_유기농_9월'!$G:$G,'RAW_유기농_9월'!$D:$D,$C123,'RAW_유기농_9월'!$A:$A,$E123),SUMIFS('RAW_유기농_10월'!$G:$G,'RAW_유기농_10월'!$D:$D,$C123,'RAW_유기농_10월'!$A:$A,$E123),SUMIFS('RAW_유기농_11-12월'!$G:$G,'RAW_유기농_11-12월'!$D:$D,$C123,'RAW_유기농_11-12월'!$A:$A,$E123))))</f>
        <v/>
      </c>
      <c r="H123" s="7" t="str">
        <f>IF($C123="","",IF('설정'!$B$4=0,"",CHOOSE('설정'!$B$4,SUMIFS('RAW_유기농_7월'!$H:$H,'RAW_유기농_7월'!$D:$D,$C123,'RAW_유기농_7월'!$A:$A,$E123),SUMIFS('RAW_유기농_8월'!$H:$H,'RAW_유기농_8월'!$D:$D,$C123,'RAW_유기농_8월'!$A:$A,$E123),SUMIFS('RAW_유기농_9월'!$H:$H,'RAW_유기농_9월'!$D:$D,$C123,'RAW_유기농_9월'!$A:$A,$E123),SUMIFS('RAW_유기농_10월'!$H:$H,'RAW_유기농_10월'!$D:$D,$C123,'RAW_유기농_10월'!$A:$A,$E123),SUMIFS('RAW_유기농_11-12월'!$H:$H,'RAW_유기농_11-12월'!$D:$D,$C123,'RAW_유기농_11-12월'!$A:$A,$E123))))</f>
        <v/>
      </c>
      <c r="I123" s="17" t="str">
        <f>IF($C123="","",IF(COUNTIFS('RAW_유기농_7월'!$D:$D,$C123,'RAW_유기농_7월'!$A:$A,$E123)&gt;0,"O",""))</f>
        <v/>
      </c>
      <c r="J123" s="17" t="str">
        <f>IF($C123="","",IF(COUNTIFS('RAW_유기농_8월'!$D:$D,$C123,'RAW_유기농_8월'!$A:$A,$E123)&gt;0,"O",""))</f>
        <v/>
      </c>
      <c r="K123" s="17" t="str">
        <f>IF($C123="","",IF(COUNTIFS('RAW_유기농_9월'!$D:$D,$C123,'RAW_유기농_9월'!$A:$A,$E123)&gt;0,"O",""))</f>
        <v/>
      </c>
      <c r="L123" s="17" t="str">
        <f>IF($C123="","",IF(COUNTIFS('RAW_유기농_10월'!$D:$D,$C123,'RAW_유기농_10월'!$A:$A,$E123)&gt;0,"O",""))</f>
        <v/>
      </c>
      <c r="M123" s="17" t="str">
        <f>IF($C123="","",IF(COUNTIFS('RAW_유기농_11-12월'!$D:$D,$C123,'RAW_유기농_11-12월'!$A:$A,$E123)&gt;0,"O",""))</f>
        <v/>
      </c>
      <c r="N123" s="7" t="str">
        <f>IF($C123="","",IF(COUNTA('RAW_유기농_7월'!$A:$A)&lt;=1,"",SUMIFS('RAW_유기농_7월'!$H:$H,'RAW_유기농_7월'!$D:$D,$C123,'RAW_유기농_7월'!$A:$A,$E123)))</f>
        <v/>
      </c>
      <c r="O123" s="7" t="str">
        <f>IF($C123="","",IF(COUNTA('RAW_유기농_8월'!$A:$A)&lt;=1,"",SUMIFS('RAW_유기농_8월'!$H:$H,'RAW_유기농_8월'!$D:$D,$C123,'RAW_유기농_8월'!$A:$A,$E123)-SUMIFS('RAW_유기농_7월'!$H:$H,'RAW_유기농_7월'!$D:$D,$C123,'RAW_유기농_7월'!$A:$A,$E123)))</f>
        <v/>
      </c>
      <c r="P123" s="7" t="str">
        <f>IF($C123="","",IF(COUNTA('RAW_유기농_9월'!$A:$A)&lt;=1,"",SUMIFS('RAW_유기농_9월'!$H:$H,'RAW_유기농_9월'!$D:$D,$C123,'RAW_유기농_9월'!$A:$A,$E123)-SUMIFS('RAW_유기농_8월'!$H:$H,'RAW_유기농_8월'!$D:$D,$C123,'RAW_유기농_8월'!$A:$A,$E123)))</f>
        <v/>
      </c>
      <c r="Q123" s="7" t="str">
        <f>IF($C123="","",IF(COUNTA('RAW_유기농_10월'!$A:$A)&lt;=1,"",SUMIFS('RAW_유기농_10월'!$H:$H,'RAW_유기농_10월'!$D:$D,$C123,'RAW_유기농_10월'!$A:$A,$E123)-SUMIFS('RAW_유기농_9월'!$H:$H,'RAW_유기농_9월'!$D:$D,$C123,'RAW_유기농_9월'!$A:$A,$E123)))</f>
        <v/>
      </c>
      <c r="R123" s="7" t="str">
        <f>IF($C123="","",IF(COUNTA('RAW_유기농_11-12월'!$A:$A)&lt;=1,"",SUMIFS('RAW_유기농_11-12월'!$H:$H,'RAW_유기농_11-12월'!$D:$D,$C123,'RAW_유기농_11-12월'!$A:$A,$E123)-SUMIFS('RAW_유기농_10월'!$H:$H,'RAW_유기농_10월'!$D:$D,$C123,'RAW_유기농_10월'!$A:$A,$E123)))</f>
        <v/>
      </c>
      <c r="S123" s="17" t="str">
        <f t="shared" si="4"/>
        <v/>
      </c>
      <c r="T123" s="17" t="str">
        <f t="shared" si="5"/>
        <v/>
      </c>
      <c r="U123" s="7">
        <f>IF($C123="",0,IF('설정'!$B$4=0,0,CHOOSE('설정'!$B$4,COUNTIFS('RAW_유기농_7월'!$D:$D,$C123,'RAW_유기농_7월'!$A:$A,$E123),COUNTIFS('RAW_유기농_8월'!$D:$D,$C123,'RAW_유기농_8월'!$A:$A,$E123),COUNTIFS('RAW_유기농_9월'!$D:$D,$C123,'RAW_유기농_9월'!$A:$A,$E123),COUNTIFS('RAW_유기농_10월'!$D:$D,$C123,'RAW_유기농_10월'!$A:$A,$E123),COUNTIFS('RAW_유기농_11-12월'!$D:$D,$C123,'RAW_유기농_11-12월'!$A:$A,$E123))))</f>
        <v>0</v>
      </c>
    </row>
    <row r="124" ht="15.75" customHeight="1">
      <c r="A124" s="5"/>
      <c r="B124" s="5"/>
      <c r="C124" s="5"/>
      <c r="D124" s="6"/>
      <c r="E124" s="5"/>
      <c r="F124" s="7" t="str">
        <f>IF($C124="","",IF('설정'!$B$4=0,"",CHOOSE('설정'!$B$4,SUMIFS('RAW_유기농_7월'!$F:$F,'RAW_유기농_7월'!$D:$D,$C124,'RAW_유기농_7월'!$A:$A,$E124),SUMIFS('RAW_유기농_8월'!$F:$F,'RAW_유기농_8월'!$D:$D,$C124,'RAW_유기농_8월'!$A:$A,$E124),SUMIFS('RAW_유기농_9월'!$F:$F,'RAW_유기농_9월'!$D:$D,$C124,'RAW_유기농_9월'!$A:$A,$E124),SUMIFS('RAW_유기농_10월'!$F:$F,'RAW_유기농_10월'!$D:$D,$C124,'RAW_유기농_10월'!$A:$A,$E124),SUMIFS('RAW_유기농_11-12월'!$F:$F,'RAW_유기농_11-12월'!$D:$D,$C124,'RAW_유기농_11-12월'!$A:$A,$E124))))</f>
        <v/>
      </c>
      <c r="G124" s="7" t="str">
        <f>IF($C124="","",IF('설정'!$B$4=0,"",CHOOSE('설정'!$B$4,SUMIFS('RAW_유기농_7월'!$G:$G,'RAW_유기농_7월'!$D:$D,$C124,'RAW_유기농_7월'!$A:$A,$E124),SUMIFS('RAW_유기농_8월'!$G:$G,'RAW_유기농_8월'!$D:$D,$C124,'RAW_유기농_8월'!$A:$A,$E124),SUMIFS('RAW_유기농_9월'!$G:$G,'RAW_유기농_9월'!$D:$D,$C124,'RAW_유기농_9월'!$A:$A,$E124),SUMIFS('RAW_유기농_10월'!$G:$G,'RAW_유기농_10월'!$D:$D,$C124,'RAW_유기농_10월'!$A:$A,$E124),SUMIFS('RAW_유기농_11-12월'!$G:$G,'RAW_유기농_11-12월'!$D:$D,$C124,'RAW_유기농_11-12월'!$A:$A,$E124))))</f>
        <v/>
      </c>
      <c r="H124" s="7" t="str">
        <f>IF($C124="","",IF('설정'!$B$4=0,"",CHOOSE('설정'!$B$4,SUMIFS('RAW_유기농_7월'!$H:$H,'RAW_유기농_7월'!$D:$D,$C124,'RAW_유기농_7월'!$A:$A,$E124),SUMIFS('RAW_유기농_8월'!$H:$H,'RAW_유기농_8월'!$D:$D,$C124,'RAW_유기농_8월'!$A:$A,$E124),SUMIFS('RAW_유기농_9월'!$H:$H,'RAW_유기농_9월'!$D:$D,$C124,'RAW_유기농_9월'!$A:$A,$E124),SUMIFS('RAW_유기농_10월'!$H:$H,'RAW_유기농_10월'!$D:$D,$C124,'RAW_유기농_10월'!$A:$A,$E124),SUMIFS('RAW_유기농_11-12월'!$H:$H,'RAW_유기농_11-12월'!$D:$D,$C124,'RAW_유기농_11-12월'!$A:$A,$E124))))</f>
        <v/>
      </c>
      <c r="I124" s="17" t="str">
        <f>IF($C124="","",IF(COUNTIFS('RAW_유기농_7월'!$D:$D,$C124,'RAW_유기농_7월'!$A:$A,$E124)&gt;0,"O",""))</f>
        <v/>
      </c>
      <c r="J124" s="17" t="str">
        <f>IF($C124="","",IF(COUNTIFS('RAW_유기농_8월'!$D:$D,$C124,'RAW_유기농_8월'!$A:$A,$E124)&gt;0,"O",""))</f>
        <v/>
      </c>
      <c r="K124" s="17" t="str">
        <f>IF($C124="","",IF(COUNTIFS('RAW_유기농_9월'!$D:$D,$C124,'RAW_유기농_9월'!$A:$A,$E124)&gt;0,"O",""))</f>
        <v/>
      </c>
      <c r="L124" s="17" t="str">
        <f>IF($C124="","",IF(COUNTIFS('RAW_유기농_10월'!$D:$D,$C124,'RAW_유기농_10월'!$A:$A,$E124)&gt;0,"O",""))</f>
        <v/>
      </c>
      <c r="M124" s="17" t="str">
        <f>IF($C124="","",IF(COUNTIFS('RAW_유기농_11-12월'!$D:$D,$C124,'RAW_유기농_11-12월'!$A:$A,$E124)&gt;0,"O",""))</f>
        <v/>
      </c>
      <c r="N124" s="7" t="str">
        <f>IF($C124="","",IF(COUNTA('RAW_유기농_7월'!$A:$A)&lt;=1,"",SUMIFS('RAW_유기농_7월'!$H:$H,'RAW_유기농_7월'!$D:$D,$C124,'RAW_유기농_7월'!$A:$A,$E124)))</f>
        <v/>
      </c>
      <c r="O124" s="7" t="str">
        <f>IF($C124="","",IF(COUNTA('RAW_유기농_8월'!$A:$A)&lt;=1,"",SUMIFS('RAW_유기농_8월'!$H:$H,'RAW_유기농_8월'!$D:$D,$C124,'RAW_유기농_8월'!$A:$A,$E124)-SUMIFS('RAW_유기농_7월'!$H:$H,'RAW_유기농_7월'!$D:$D,$C124,'RAW_유기농_7월'!$A:$A,$E124)))</f>
        <v/>
      </c>
      <c r="P124" s="7" t="str">
        <f>IF($C124="","",IF(COUNTA('RAW_유기농_9월'!$A:$A)&lt;=1,"",SUMIFS('RAW_유기농_9월'!$H:$H,'RAW_유기농_9월'!$D:$D,$C124,'RAW_유기농_9월'!$A:$A,$E124)-SUMIFS('RAW_유기농_8월'!$H:$H,'RAW_유기농_8월'!$D:$D,$C124,'RAW_유기농_8월'!$A:$A,$E124)))</f>
        <v/>
      </c>
      <c r="Q124" s="7" t="str">
        <f>IF($C124="","",IF(COUNTA('RAW_유기농_10월'!$A:$A)&lt;=1,"",SUMIFS('RAW_유기농_10월'!$H:$H,'RAW_유기농_10월'!$D:$D,$C124,'RAW_유기농_10월'!$A:$A,$E124)-SUMIFS('RAW_유기농_9월'!$H:$H,'RAW_유기농_9월'!$D:$D,$C124,'RAW_유기농_9월'!$A:$A,$E124)))</f>
        <v/>
      </c>
      <c r="R124" s="7" t="str">
        <f>IF($C124="","",IF(COUNTA('RAW_유기농_11-12월'!$A:$A)&lt;=1,"",SUMIFS('RAW_유기농_11-12월'!$H:$H,'RAW_유기농_11-12월'!$D:$D,$C124,'RAW_유기농_11-12월'!$A:$A,$E124)-SUMIFS('RAW_유기농_10월'!$H:$H,'RAW_유기농_10월'!$D:$D,$C124,'RAW_유기농_10월'!$A:$A,$E124)))</f>
        <v/>
      </c>
      <c r="S124" s="17" t="str">
        <f t="shared" si="4"/>
        <v/>
      </c>
      <c r="T124" s="17" t="str">
        <f t="shared" si="5"/>
        <v/>
      </c>
      <c r="U124" s="7">
        <f>IF($C124="",0,IF('설정'!$B$4=0,0,CHOOSE('설정'!$B$4,COUNTIFS('RAW_유기농_7월'!$D:$D,$C124,'RAW_유기농_7월'!$A:$A,$E124),COUNTIFS('RAW_유기농_8월'!$D:$D,$C124,'RAW_유기농_8월'!$A:$A,$E124),COUNTIFS('RAW_유기농_9월'!$D:$D,$C124,'RAW_유기농_9월'!$A:$A,$E124),COUNTIFS('RAW_유기농_10월'!$D:$D,$C124,'RAW_유기농_10월'!$A:$A,$E124),COUNTIFS('RAW_유기농_11-12월'!$D:$D,$C124,'RAW_유기농_11-12월'!$A:$A,$E124))))</f>
        <v>0</v>
      </c>
    </row>
    <row r="125" ht="15.75" customHeight="1">
      <c r="A125" s="5"/>
      <c r="B125" s="5"/>
      <c r="C125" s="5"/>
      <c r="D125" s="6"/>
      <c r="E125" s="5"/>
      <c r="F125" s="7" t="str">
        <f>IF($C125="","",IF('설정'!$B$4=0,"",CHOOSE('설정'!$B$4,SUMIFS('RAW_유기농_7월'!$F:$F,'RAW_유기농_7월'!$D:$D,$C125,'RAW_유기농_7월'!$A:$A,$E125),SUMIFS('RAW_유기농_8월'!$F:$F,'RAW_유기농_8월'!$D:$D,$C125,'RAW_유기농_8월'!$A:$A,$E125),SUMIFS('RAW_유기농_9월'!$F:$F,'RAW_유기농_9월'!$D:$D,$C125,'RAW_유기농_9월'!$A:$A,$E125),SUMIFS('RAW_유기농_10월'!$F:$F,'RAW_유기농_10월'!$D:$D,$C125,'RAW_유기농_10월'!$A:$A,$E125),SUMIFS('RAW_유기농_11-12월'!$F:$F,'RAW_유기농_11-12월'!$D:$D,$C125,'RAW_유기농_11-12월'!$A:$A,$E125))))</f>
        <v/>
      </c>
      <c r="G125" s="7" t="str">
        <f>IF($C125="","",IF('설정'!$B$4=0,"",CHOOSE('설정'!$B$4,SUMIFS('RAW_유기농_7월'!$G:$G,'RAW_유기농_7월'!$D:$D,$C125,'RAW_유기농_7월'!$A:$A,$E125),SUMIFS('RAW_유기농_8월'!$G:$G,'RAW_유기농_8월'!$D:$D,$C125,'RAW_유기농_8월'!$A:$A,$E125),SUMIFS('RAW_유기농_9월'!$G:$G,'RAW_유기농_9월'!$D:$D,$C125,'RAW_유기농_9월'!$A:$A,$E125),SUMIFS('RAW_유기농_10월'!$G:$G,'RAW_유기농_10월'!$D:$D,$C125,'RAW_유기농_10월'!$A:$A,$E125),SUMIFS('RAW_유기농_11-12월'!$G:$G,'RAW_유기농_11-12월'!$D:$D,$C125,'RAW_유기농_11-12월'!$A:$A,$E125))))</f>
        <v/>
      </c>
      <c r="H125" s="7" t="str">
        <f>IF($C125="","",IF('설정'!$B$4=0,"",CHOOSE('설정'!$B$4,SUMIFS('RAW_유기농_7월'!$H:$H,'RAW_유기농_7월'!$D:$D,$C125,'RAW_유기농_7월'!$A:$A,$E125),SUMIFS('RAW_유기농_8월'!$H:$H,'RAW_유기농_8월'!$D:$D,$C125,'RAW_유기농_8월'!$A:$A,$E125),SUMIFS('RAW_유기농_9월'!$H:$H,'RAW_유기농_9월'!$D:$D,$C125,'RAW_유기농_9월'!$A:$A,$E125),SUMIFS('RAW_유기농_10월'!$H:$H,'RAW_유기농_10월'!$D:$D,$C125,'RAW_유기농_10월'!$A:$A,$E125),SUMIFS('RAW_유기농_11-12월'!$H:$H,'RAW_유기농_11-12월'!$D:$D,$C125,'RAW_유기농_11-12월'!$A:$A,$E125))))</f>
        <v/>
      </c>
      <c r="I125" s="17" t="str">
        <f>IF($C125="","",IF(COUNTIFS('RAW_유기농_7월'!$D:$D,$C125,'RAW_유기농_7월'!$A:$A,$E125)&gt;0,"O",""))</f>
        <v/>
      </c>
      <c r="J125" s="17" t="str">
        <f>IF($C125="","",IF(COUNTIFS('RAW_유기농_8월'!$D:$D,$C125,'RAW_유기농_8월'!$A:$A,$E125)&gt;0,"O",""))</f>
        <v/>
      </c>
      <c r="K125" s="17" t="str">
        <f>IF($C125="","",IF(COUNTIFS('RAW_유기농_9월'!$D:$D,$C125,'RAW_유기농_9월'!$A:$A,$E125)&gt;0,"O",""))</f>
        <v/>
      </c>
      <c r="L125" s="17" t="str">
        <f>IF($C125="","",IF(COUNTIFS('RAW_유기농_10월'!$D:$D,$C125,'RAW_유기농_10월'!$A:$A,$E125)&gt;0,"O",""))</f>
        <v/>
      </c>
      <c r="M125" s="17" t="str">
        <f>IF($C125="","",IF(COUNTIFS('RAW_유기농_11-12월'!$D:$D,$C125,'RAW_유기농_11-12월'!$A:$A,$E125)&gt;0,"O",""))</f>
        <v/>
      </c>
      <c r="N125" s="7" t="str">
        <f>IF($C125="","",IF(COUNTA('RAW_유기농_7월'!$A:$A)&lt;=1,"",SUMIFS('RAW_유기농_7월'!$H:$H,'RAW_유기농_7월'!$D:$D,$C125,'RAW_유기농_7월'!$A:$A,$E125)))</f>
        <v/>
      </c>
      <c r="O125" s="7" t="str">
        <f>IF($C125="","",IF(COUNTA('RAW_유기농_8월'!$A:$A)&lt;=1,"",SUMIFS('RAW_유기농_8월'!$H:$H,'RAW_유기농_8월'!$D:$D,$C125,'RAW_유기농_8월'!$A:$A,$E125)-SUMIFS('RAW_유기농_7월'!$H:$H,'RAW_유기농_7월'!$D:$D,$C125,'RAW_유기농_7월'!$A:$A,$E125)))</f>
        <v/>
      </c>
      <c r="P125" s="7" t="str">
        <f>IF($C125="","",IF(COUNTA('RAW_유기농_9월'!$A:$A)&lt;=1,"",SUMIFS('RAW_유기농_9월'!$H:$H,'RAW_유기농_9월'!$D:$D,$C125,'RAW_유기농_9월'!$A:$A,$E125)-SUMIFS('RAW_유기농_8월'!$H:$H,'RAW_유기농_8월'!$D:$D,$C125,'RAW_유기농_8월'!$A:$A,$E125)))</f>
        <v/>
      </c>
      <c r="Q125" s="7" t="str">
        <f>IF($C125="","",IF(COUNTA('RAW_유기농_10월'!$A:$A)&lt;=1,"",SUMIFS('RAW_유기농_10월'!$H:$H,'RAW_유기농_10월'!$D:$D,$C125,'RAW_유기농_10월'!$A:$A,$E125)-SUMIFS('RAW_유기농_9월'!$H:$H,'RAW_유기농_9월'!$D:$D,$C125,'RAW_유기농_9월'!$A:$A,$E125)))</f>
        <v/>
      </c>
      <c r="R125" s="7" t="str">
        <f>IF($C125="","",IF(COUNTA('RAW_유기농_11-12월'!$A:$A)&lt;=1,"",SUMIFS('RAW_유기농_11-12월'!$H:$H,'RAW_유기농_11-12월'!$D:$D,$C125,'RAW_유기농_11-12월'!$A:$A,$E125)-SUMIFS('RAW_유기농_10월'!$H:$H,'RAW_유기농_10월'!$D:$D,$C125,'RAW_유기농_10월'!$A:$A,$E125)))</f>
        <v/>
      </c>
      <c r="S125" s="17" t="str">
        <f t="shared" si="4"/>
        <v/>
      </c>
      <c r="T125" s="17" t="str">
        <f t="shared" si="5"/>
        <v/>
      </c>
      <c r="U125" s="7">
        <f>IF($C125="",0,IF('설정'!$B$4=0,0,CHOOSE('설정'!$B$4,COUNTIFS('RAW_유기농_7월'!$D:$D,$C125,'RAW_유기농_7월'!$A:$A,$E125),COUNTIFS('RAW_유기농_8월'!$D:$D,$C125,'RAW_유기농_8월'!$A:$A,$E125),COUNTIFS('RAW_유기농_9월'!$D:$D,$C125,'RAW_유기농_9월'!$A:$A,$E125),COUNTIFS('RAW_유기농_10월'!$D:$D,$C125,'RAW_유기농_10월'!$A:$A,$E125),COUNTIFS('RAW_유기농_11-12월'!$D:$D,$C125,'RAW_유기농_11-12월'!$A:$A,$E125))))</f>
        <v>0</v>
      </c>
    </row>
    <row r="126" ht="15.75" customHeight="1">
      <c r="A126" s="5"/>
      <c r="B126" s="5"/>
      <c r="C126" s="5"/>
      <c r="D126" s="6"/>
      <c r="E126" s="5"/>
      <c r="F126" s="7" t="str">
        <f>IF($C126="","",IF('설정'!$B$4=0,"",CHOOSE('설정'!$B$4,SUMIFS('RAW_유기농_7월'!$F:$F,'RAW_유기농_7월'!$D:$D,$C126,'RAW_유기농_7월'!$A:$A,$E126),SUMIFS('RAW_유기농_8월'!$F:$F,'RAW_유기농_8월'!$D:$D,$C126,'RAW_유기농_8월'!$A:$A,$E126),SUMIFS('RAW_유기농_9월'!$F:$F,'RAW_유기농_9월'!$D:$D,$C126,'RAW_유기농_9월'!$A:$A,$E126),SUMIFS('RAW_유기농_10월'!$F:$F,'RAW_유기농_10월'!$D:$D,$C126,'RAW_유기농_10월'!$A:$A,$E126),SUMIFS('RAW_유기농_11-12월'!$F:$F,'RAW_유기농_11-12월'!$D:$D,$C126,'RAW_유기농_11-12월'!$A:$A,$E126))))</f>
        <v/>
      </c>
      <c r="G126" s="7" t="str">
        <f>IF($C126="","",IF('설정'!$B$4=0,"",CHOOSE('설정'!$B$4,SUMIFS('RAW_유기농_7월'!$G:$G,'RAW_유기농_7월'!$D:$D,$C126,'RAW_유기농_7월'!$A:$A,$E126),SUMIFS('RAW_유기농_8월'!$G:$G,'RAW_유기농_8월'!$D:$D,$C126,'RAW_유기농_8월'!$A:$A,$E126),SUMIFS('RAW_유기농_9월'!$G:$G,'RAW_유기농_9월'!$D:$D,$C126,'RAW_유기농_9월'!$A:$A,$E126),SUMIFS('RAW_유기농_10월'!$G:$G,'RAW_유기농_10월'!$D:$D,$C126,'RAW_유기농_10월'!$A:$A,$E126),SUMIFS('RAW_유기농_11-12월'!$G:$G,'RAW_유기농_11-12월'!$D:$D,$C126,'RAW_유기농_11-12월'!$A:$A,$E126))))</f>
        <v/>
      </c>
      <c r="H126" s="7" t="str">
        <f>IF($C126="","",IF('설정'!$B$4=0,"",CHOOSE('설정'!$B$4,SUMIFS('RAW_유기농_7월'!$H:$H,'RAW_유기농_7월'!$D:$D,$C126,'RAW_유기농_7월'!$A:$A,$E126),SUMIFS('RAW_유기농_8월'!$H:$H,'RAW_유기농_8월'!$D:$D,$C126,'RAW_유기농_8월'!$A:$A,$E126),SUMIFS('RAW_유기농_9월'!$H:$H,'RAW_유기농_9월'!$D:$D,$C126,'RAW_유기농_9월'!$A:$A,$E126),SUMIFS('RAW_유기농_10월'!$H:$H,'RAW_유기농_10월'!$D:$D,$C126,'RAW_유기농_10월'!$A:$A,$E126),SUMIFS('RAW_유기농_11-12월'!$H:$H,'RAW_유기농_11-12월'!$D:$D,$C126,'RAW_유기농_11-12월'!$A:$A,$E126))))</f>
        <v/>
      </c>
      <c r="I126" s="17" t="str">
        <f>IF($C126="","",IF(COUNTIFS('RAW_유기농_7월'!$D:$D,$C126,'RAW_유기농_7월'!$A:$A,$E126)&gt;0,"O",""))</f>
        <v/>
      </c>
      <c r="J126" s="17" t="str">
        <f>IF($C126="","",IF(COUNTIFS('RAW_유기농_8월'!$D:$D,$C126,'RAW_유기농_8월'!$A:$A,$E126)&gt;0,"O",""))</f>
        <v/>
      </c>
      <c r="K126" s="17" t="str">
        <f>IF($C126="","",IF(COUNTIFS('RAW_유기농_9월'!$D:$D,$C126,'RAW_유기농_9월'!$A:$A,$E126)&gt;0,"O",""))</f>
        <v/>
      </c>
      <c r="L126" s="17" t="str">
        <f>IF($C126="","",IF(COUNTIFS('RAW_유기농_10월'!$D:$D,$C126,'RAW_유기농_10월'!$A:$A,$E126)&gt;0,"O",""))</f>
        <v/>
      </c>
      <c r="M126" s="17" t="str">
        <f>IF($C126="","",IF(COUNTIFS('RAW_유기농_11-12월'!$D:$D,$C126,'RAW_유기농_11-12월'!$A:$A,$E126)&gt;0,"O",""))</f>
        <v/>
      </c>
      <c r="N126" s="7" t="str">
        <f>IF($C126="","",IF(COUNTA('RAW_유기농_7월'!$A:$A)&lt;=1,"",SUMIFS('RAW_유기농_7월'!$H:$H,'RAW_유기농_7월'!$D:$D,$C126,'RAW_유기농_7월'!$A:$A,$E126)))</f>
        <v/>
      </c>
      <c r="O126" s="7" t="str">
        <f>IF($C126="","",IF(COUNTA('RAW_유기농_8월'!$A:$A)&lt;=1,"",SUMIFS('RAW_유기농_8월'!$H:$H,'RAW_유기농_8월'!$D:$D,$C126,'RAW_유기농_8월'!$A:$A,$E126)-SUMIFS('RAW_유기농_7월'!$H:$H,'RAW_유기농_7월'!$D:$D,$C126,'RAW_유기농_7월'!$A:$A,$E126)))</f>
        <v/>
      </c>
      <c r="P126" s="7" t="str">
        <f>IF($C126="","",IF(COUNTA('RAW_유기농_9월'!$A:$A)&lt;=1,"",SUMIFS('RAW_유기농_9월'!$H:$H,'RAW_유기농_9월'!$D:$D,$C126,'RAW_유기농_9월'!$A:$A,$E126)-SUMIFS('RAW_유기농_8월'!$H:$H,'RAW_유기농_8월'!$D:$D,$C126,'RAW_유기농_8월'!$A:$A,$E126)))</f>
        <v/>
      </c>
      <c r="Q126" s="7" t="str">
        <f>IF($C126="","",IF(COUNTA('RAW_유기농_10월'!$A:$A)&lt;=1,"",SUMIFS('RAW_유기농_10월'!$H:$H,'RAW_유기농_10월'!$D:$D,$C126,'RAW_유기농_10월'!$A:$A,$E126)-SUMIFS('RAW_유기농_9월'!$H:$H,'RAW_유기농_9월'!$D:$D,$C126,'RAW_유기농_9월'!$A:$A,$E126)))</f>
        <v/>
      </c>
      <c r="R126" s="7" t="str">
        <f>IF($C126="","",IF(COUNTA('RAW_유기농_11-12월'!$A:$A)&lt;=1,"",SUMIFS('RAW_유기농_11-12월'!$H:$H,'RAW_유기농_11-12월'!$D:$D,$C126,'RAW_유기농_11-12월'!$A:$A,$E126)-SUMIFS('RAW_유기농_10월'!$H:$H,'RAW_유기농_10월'!$D:$D,$C126,'RAW_유기농_10월'!$A:$A,$E126)))</f>
        <v/>
      </c>
      <c r="S126" s="17" t="str">
        <f t="shared" si="4"/>
        <v/>
      </c>
      <c r="T126" s="17" t="str">
        <f t="shared" si="5"/>
        <v/>
      </c>
      <c r="U126" s="7">
        <f>IF($C126="",0,IF('설정'!$B$4=0,0,CHOOSE('설정'!$B$4,COUNTIFS('RAW_유기농_7월'!$D:$D,$C126,'RAW_유기농_7월'!$A:$A,$E126),COUNTIFS('RAW_유기농_8월'!$D:$D,$C126,'RAW_유기농_8월'!$A:$A,$E126),COUNTIFS('RAW_유기농_9월'!$D:$D,$C126,'RAW_유기농_9월'!$A:$A,$E126),COUNTIFS('RAW_유기농_10월'!$D:$D,$C126,'RAW_유기농_10월'!$A:$A,$E126),COUNTIFS('RAW_유기농_11-12월'!$D:$D,$C126,'RAW_유기농_11-12월'!$A:$A,$E126))))</f>
        <v>0</v>
      </c>
    </row>
    <row r="127" ht="15.75" customHeight="1">
      <c r="A127" s="5"/>
      <c r="B127" s="5"/>
      <c r="C127" s="5"/>
      <c r="D127" s="6"/>
      <c r="E127" s="5"/>
      <c r="F127" s="7" t="str">
        <f>IF($C127="","",IF('설정'!$B$4=0,"",CHOOSE('설정'!$B$4,SUMIFS('RAW_유기농_7월'!$F:$F,'RAW_유기농_7월'!$D:$D,$C127,'RAW_유기농_7월'!$A:$A,$E127),SUMIFS('RAW_유기농_8월'!$F:$F,'RAW_유기농_8월'!$D:$D,$C127,'RAW_유기농_8월'!$A:$A,$E127),SUMIFS('RAW_유기농_9월'!$F:$F,'RAW_유기농_9월'!$D:$D,$C127,'RAW_유기농_9월'!$A:$A,$E127),SUMIFS('RAW_유기농_10월'!$F:$F,'RAW_유기농_10월'!$D:$D,$C127,'RAW_유기농_10월'!$A:$A,$E127),SUMIFS('RAW_유기농_11-12월'!$F:$F,'RAW_유기농_11-12월'!$D:$D,$C127,'RAW_유기농_11-12월'!$A:$A,$E127))))</f>
        <v/>
      </c>
      <c r="G127" s="7" t="str">
        <f>IF($C127="","",IF('설정'!$B$4=0,"",CHOOSE('설정'!$B$4,SUMIFS('RAW_유기농_7월'!$G:$G,'RAW_유기농_7월'!$D:$D,$C127,'RAW_유기농_7월'!$A:$A,$E127),SUMIFS('RAW_유기농_8월'!$G:$G,'RAW_유기농_8월'!$D:$D,$C127,'RAW_유기농_8월'!$A:$A,$E127),SUMIFS('RAW_유기농_9월'!$G:$G,'RAW_유기농_9월'!$D:$D,$C127,'RAW_유기농_9월'!$A:$A,$E127),SUMIFS('RAW_유기농_10월'!$G:$G,'RAW_유기농_10월'!$D:$D,$C127,'RAW_유기농_10월'!$A:$A,$E127),SUMIFS('RAW_유기농_11-12월'!$G:$G,'RAW_유기농_11-12월'!$D:$D,$C127,'RAW_유기농_11-12월'!$A:$A,$E127))))</f>
        <v/>
      </c>
      <c r="H127" s="7" t="str">
        <f>IF($C127="","",IF('설정'!$B$4=0,"",CHOOSE('설정'!$B$4,SUMIFS('RAW_유기농_7월'!$H:$H,'RAW_유기농_7월'!$D:$D,$C127,'RAW_유기농_7월'!$A:$A,$E127),SUMIFS('RAW_유기농_8월'!$H:$H,'RAW_유기농_8월'!$D:$D,$C127,'RAW_유기농_8월'!$A:$A,$E127),SUMIFS('RAW_유기농_9월'!$H:$H,'RAW_유기농_9월'!$D:$D,$C127,'RAW_유기농_9월'!$A:$A,$E127),SUMIFS('RAW_유기농_10월'!$H:$H,'RAW_유기농_10월'!$D:$D,$C127,'RAW_유기농_10월'!$A:$A,$E127),SUMIFS('RAW_유기농_11-12월'!$H:$H,'RAW_유기농_11-12월'!$D:$D,$C127,'RAW_유기농_11-12월'!$A:$A,$E127))))</f>
        <v/>
      </c>
      <c r="I127" s="17" t="str">
        <f>IF($C127="","",IF(COUNTIFS('RAW_유기농_7월'!$D:$D,$C127,'RAW_유기농_7월'!$A:$A,$E127)&gt;0,"O",""))</f>
        <v/>
      </c>
      <c r="J127" s="17" t="str">
        <f>IF($C127="","",IF(COUNTIFS('RAW_유기농_8월'!$D:$D,$C127,'RAW_유기농_8월'!$A:$A,$E127)&gt;0,"O",""))</f>
        <v/>
      </c>
      <c r="K127" s="17" t="str">
        <f>IF($C127="","",IF(COUNTIFS('RAW_유기농_9월'!$D:$D,$C127,'RAW_유기농_9월'!$A:$A,$E127)&gt;0,"O",""))</f>
        <v/>
      </c>
      <c r="L127" s="17" t="str">
        <f>IF($C127="","",IF(COUNTIFS('RAW_유기농_10월'!$D:$D,$C127,'RAW_유기농_10월'!$A:$A,$E127)&gt;0,"O",""))</f>
        <v/>
      </c>
      <c r="M127" s="17" t="str">
        <f>IF($C127="","",IF(COUNTIFS('RAW_유기농_11-12월'!$D:$D,$C127,'RAW_유기농_11-12월'!$A:$A,$E127)&gt;0,"O",""))</f>
        <v/>
      </c>
      <c r="N127" s="7" t="str">
        <f>IF($C127="","",IF(COUNTA('RAW_유기농_7월'!$A:$A)&lt;=1,"",SUMIFS('RAW_유기농_7월'!$H:$H,'RAW_유기농_7월'!$D:$D,$C127,'RAW_유기농_7월'!$A:$A,$E127)))</f>
        <v/>
      </c>
      <c r="O127" s="7" t="str">
        <f>IF($C127="","",IF(COUNTA('RAW_유기농_8월'!$A:$A)&lt;=1,"",SUMIFS('RAW_유기농_8월'!$H:$H,'RAW_유기농_8월'!$D:$D,$C127,'RAW_유기농_8월'!$A:$A,$E127)-SUMIFS('RAW_유기농_7월'!$H:$H,'RAW_유기농_7월'!$D:$D,$C127,'RAW_유기농_7월'!$A:$A,$E127)))</f>
        <v/>
      </c>
      <c r="P127" s="7" t="str">
        <f>IF($C127="","",IF(COUNTA('RAW_유기농_9월'!$A:$A)&lt;=1,"",SUMIFS('RAW_유기농_9월'!$H:$H,'RAW_유기농_9월'!$D:$D,$C127,'RAW_유기농_9월'!$A:$A,$E127)-SUMIFS('RAW_유기농_8월'!$H:$H,'RAW_유기농_8월'!$D:$D,$C127,'RAW_유기농_8월'!$A:$A,$E127)))</f>
        <v/>
      </c>
      <c r="Q127" s="7" t="str">
        <f>IF($C127="","",IF(COUNTA('RAW_유기농_10월'!$A:$A)&lt;=1,"",SUMIFS('RAW_유기농_10월'!$H:$H,'RAW_유기농_10월'!$D:$D,$C127,'RAW_유기농_10월'!$A:$A,$E127)-SUMIFS('RAW_유기농_9월'!$H:$H,'RAW_유기농_9월'!$D:$D,$C127,'RAW_유기농_9월'!$A:$A,$E127)))</f>
        <v/>
      </c>
      <c r="R127" s="7" t="str">
        <f>IF($C127="","",IF(COUNTA('RAW_유기농_11-12월'!$A:$A)&lt;=1,"",SUMIFS('RAW_유기농_11-12월'!$H:$H,'RAW_유기농_11-12월'!$D:$D,$C127,'RAW_유기농_11-12월'!$A:$A,$E127)-SUMIFS('RAW_유기농_10월'!$H:$H,'RAW_유기농_10월'!$D:$D,$C127,'RAW_유기농_10월'!$A:$A,$E127)))</f>
        <v/>
      </c>
      <c r="S127" s="17" t="str">
        <f t="shared" si="4"/>
        <v/>
      </c>
      <c r="T127" s="17" t="str">
        <f t="shared" si="5"/>
        <v/>
      </c>
      <c r="U127" s="7">
        <f>IF($C127="",0,IF('설정'!$B$4=0,0,CHOOSE('설정'!$B$4,COUNTIFS('RAW_유기농_7월'!$D:$D,$C127,'RAW_유기농_7월'!$A:$A,$E127),COUNTIFS('RAW_유기농_8월'!$D:$D,$C127,'RAW_유기농_8월'!$A:$A,$E127),COUNTIFS('RAW_유기농_9월'!$D:$D,$C127,'RAW_유기농_9월'!$A:$A,$E127),COUNTIFS('RAW_유기농_10월'!$D:$D,$C127,'RAW_유기농_10월'!$A:$A,$E127),COUNTIFS('RAW_유기농_11-12월'!$D:$D,$C127,'RAW_유기농_11-12월'!$A:$A,$E127))))</f>
        <v>0</v>
      </c>
    </row>
    <row r="128" ht="15.75" customHeight="1">
      <c r="A128" s="5"/>
      <c r="B128" s="5"/>
      <c r="C128" s="5"/>
      <c r="D128" s="6"/>
      <c r="E128" s="5"/>
      <c r="F128" s="7" t="str">
        <f>IF($C128="","",IF('설정'!$B$4=0,"",CHOOSE('설정'!$B$4,SUMIFS('RAW_유기농_7월'!$F:$F,'RAW_유기농_7월'!$D:$D,$C128,'RAW_유기농_7월'!$A:$A,$E128),SUMIFS('RAW_유기농_8월'!$F:$F,'RAW_유기농_8월'!$D:$D,$C128,'RAW_유기농_8월'!$A:$A,$E128),SUMIFS('RAW_유기농_9월'!$F:$F,'RAW_유기농_9월'!$D:$D,$C128,'RAW_유기농_9월'!$A:$A,$E128),SUMIFS('RAW_유기농_10월'!$F:$F,'RAW_유기농_10월'!$D:$D,$C128,'RAW_유기농_10월'!$A:$A,$E128),SUMIFS('RAW_유기농_11-12월'!$F:$F,'RAW_유기농_11-12월'!$D:$D,$C128,'RAW_유기농_11-12월'!$A:$A,$E128))))</f>
        <v/>
      </c>
      <c r="G128" s="7" t="str">
        <f>IF($C128="","",IF('설정'!$B$4=0,"",CHOOSE('설정'!$B$4,SUMIFS('RAW_유기농_7월'!$G:$G,'RAW_유기농_7월'!$D:$D,$C128,'RAW_유기농_7월'!$A:$A,$E128),SUMIFS('RAW_유기농_8월'!$G:$G,'RAW_유기농_8월'!$D:$D,$C128,'RAW_유기농_8월'!$A:$A,$E128),SUMIFS('RAW_유기농_9월'!$G:$G,'RAW_유기농_9월'!$D:$D,$C128,'RAW_유기농_9월'!$A:$A,$E128),SUMIFS('RAW_유기농_10월'!$G:$G,'RAW_유기농_10월'!$D:$D,$C128,'RAW_유기농_10월'!$A:$A,$E128),SUMIFS('RAW_유기농_11-12월'!$G:$G,'RAW_유기농_11-12월'!$D:$D,$C128,'RAW_유기농_11-12월'!$A:$A,$E128))))</f>
        <v/>
      </c>
      <c r="H128" s="7" t="str">
        <f>IF($C128="","",IF('설정'!$B$4=0,"",CHOOSE('설정'!$B$4,SUMIFS('RAW_유기농_7월'!$H:$H,'RAW_유기농_7월'!$D:$D,$C128,'RAW_유기농_7월'!$A:$A,$E128),SUMIFS('RAW_유기농_8월'!$H:$H,'RAW_유기농_8월'!$D:$D,$C128,'RAW_유기농_8월'!$A:$A,$E128),SUMIFS('RAW_유기농_9월'!$H:$H,'RAW_유기농_9월'!$D:$D,$C128,'RAW_유기농_9월'!$A:$A,$E128),SUMIFS('RAW_유기농_10월'!$H:$H,'RAW_유기농_10월'!$D:$D,$C128,'RAW_유기농_10월'!$A:$A,$E128),SUMIFS('RAW_유기농_11-12월'!$H:$H,'RAW_유기농_11-12월'!$D:$D,$C128,'RAW_유기농_11-12월'!$A:$A,$E128))))</f>
        <v/>
      </c>
      <c r="I128" s="17" t="str">
        <f>IF($C128="","",IF(COUNTIFS('RAW_유기농_7월'!$D:$D,$C128,'RAW_유기농_7월'!$A:$A,$E128)&gt;0,"O",""))</f>
        <v/>
      </c>
      <c r="J128" s="17" t="str">
        <f>IF($C128="","",IF(COUNTIFS('RAW_유기농_8월'!$D:$D,$C128,'RAW_유기농_8월'!$A:$A,$E128)&gt;0,"O",""))</f>
        <v/>
      </c>
      <c r="K128" s="17" t="str">
        <f>IF($C128="","",IF(COUNTIFS('RAW_유기농_9월'!$D:$D,$C128,'RAW_유기농_9월'!$A:$A,$E128)&gt;0,"O",""))</f>
        <v/>
      </c>
      <c r="L128" s="17" t="str">
        <f>IF($C128="","",IF(COUNTIFS('RAW_유기농_10월'!$D:$D,$C128,'RAW_유기농_10월'!$A:$A,$E128)&gt;0,"O",""))</f>
        <v/>
      </c>
      <c r="M128" s="17" t="str">
        <f>IF($C128="","",IF(COUNTIFS('RAW_유기농_11-12월'!$D:$D,$C128,'RAW_유기농_11-12월'!$A:$A,$E128)&gt;0,"O",""))</f>
        <v/>
      </c>
      <c r="N128" s="7" t="str">
        <f>IF($C128="","",IF(COUNTA('RAW_유기농_7월'!$A:$A)&lt;=1,"",SUMIFS('RAW_유기농_7월'!$H:$H,'RAW_유기농_7월'!$D:$D,$C128,'RAW_유기농_7월'!$A:$A,$E128)))</f>
        <v/>
      </c>
      <c r="O128" s="7" t="str">
        <f>IF($C128="","",IF(COUNTA('RAW_유기농_8월'!$A:$A)&lt;=1,"",SUMIFS('RAW_유기농_8월'!$H:$H,'RAW_유기농_8월'!$D:$D,$C128,'RAW_유기농_8월'!$A:$A,$E128)-SUMIFS('RAW_유기농_7월'!$H:$H,'RAW_유기농_7월'!$D:$D,$C128,'RAW_유기농_7월'!$A:$A,$E128)))</f>
        <v/>
      </c>
      <c r="P128" s="7" t="str">
        <f>IF($C128="","",IF(COUNTA('RAW_유기농_9월'!$A:$A)&lt;=1,"",SUMIFS('RAW_유기농_9월'!$H:$H,'RAW_유기농_9월'!$D:$D,$C128,'RAW_유기농_9월'!$A:$A,$E128)-SUMIFS('RAW_유기농_8월'!$H:$H,'RAW_유기농_8월'!$D:$D,$C128,'RAW_유기농_8월'!$A:$A,$E128)))</f>
        <v/>
      </c>
      <c r="Q128" s="7" t="str">
        <f>IF($C128="","",IF(COUNTA('RAW_유기농_10월'!$A:$A)&lt;=1,"",SUMIFS('RAW_유기농_10월'!$H:$H,'RAW_유기농_10월'!$D:$D,$C128,'RAW_유기농_10월'!$A:$A,$E128)-SUMIFS('RAW_유기농_9월'!$H:$H,'RAW_유기농_9월'!$D:$D,$C128,'RAW_유기농_9월'!$A:$A,$E128)))</f>
        <v/>
      </c>
      <c r="R128" s="7" t="str">
        <f>IF($C128="","",IF(COUNTA('RAW_유기농_11-12월'!$A:$A)&lt;=1,"",SUMIFS('RAW_유기농_11-12월'!$H:$H,'RAW_유기농_11-12월'!$D:$D,$C128,'RAW_유기농_11-12월'!$A:$A,$E128)-SUMIFS('RAW_유기농_10월'!$H:$H,'RAW_유기농_10월'!$D:$D,$C128,'RAW_유기농_10월'!$A:$A,$E128)))</f>
        <v/>
      </c>
      <c r="S128" s="17" t="str">
        <f t="shared" si="4"/>
        <v/>
      </c>
      <c r="T128" s="17" t="str">
        <f t="shared" si="5"/>
        <v/>
      </c>
      <c r="U128" s="7">
        <f>IF($C128="",0,IF('설정'!$B$4=0,0,CHOOSE('설정'!$B$4,COUNTIFS('RAW_유기농_7월'!$D:$D,$C128,'RAW_유기농_7월'!$A:$A,$E128),COUNTIFS('RAW_유기농_8월'!$D:$D,$C128,'RAW_유기농_8월'!$A:$A,$E128),COUNTIFS('RAW_유기농_9월'!$D:$D,$C128,'RAW_유기농_9월'!$A:$A,$E128),COUNTIFS('RAW_유기농_10월'!$D:$D,$C128,'RAW_유기농_10월'!$A:$A,$E128),COUNTIFS('RAW_유기농_11-12월'!$D:$D,$C128,'RAW_유기농_11-12월'!$A:$A,$E128))))</f>
        <v>0</v>
      </c>
    </row>
    <row r="129" ht="15.75" customHeight="1">
      <c r="A129" s="5"/>
      <c r="B129" s="5"/>
      <c r="C129" s="5"/>
      <c r="D129" s="6"/>
      <c r="E129" s="5"/>
      <c r="F129" s="7" t="str">
        <f>IF($C129="","",IF('설정'!$B$4=0,"",CHOOSE('설정'!$B$4,SUMIFS('RAW_유기농_7월'!$F:$F,'RAW_유기농_7월'!$D:$D,$C129,'RAW_유기농_7월'!$A:$A,$E129),SUMIFS('RAW_유기농_8월'!$F:$F,'RAW_유기농_8월'!$D:$D,$C129,'RAW_유기농_8월'!$A:$A,$E129),SUMIFS('RAW_유기농_9월'!$F:$F,'RAW_유기농_9월'!$D:$D,$C129,'RAW_유기농_9월'!$A:$A,$E129),SUMIFS('RAW_유기농_10월'!$F:$F,'RAW_유기농_10월'!$D:$D,$C129,'RAW_유기농_10월'!$A:$A,$E129),SUMIFS('RAW_유기농_11-12월'!$F:$F,'RAW_유기농_11-12월'!$D:$D,$C129,'RAW_유기농_11-12월'!$A:$A,$E129))))</f>
        <v/>
      </c>
      <c r="G129" s="7" t="str">
        <f>IF($C129="","",IF('설정'!$B$4=0,"",CHOOSE('설정'!$B$4,SUMIFS('RAW_유기농_7월'!$G:$G,'RAW_유기농_7월'!$D:$D,$C129,'RAW_유기농_7월'!$A:$A,$E129),SUMIFS('RAW_유기농_8월'!$G:$G,'RAW_유기농_8월'!$D:$D,$C129,'RAW_유기농_8월'!$A:$A,$E129),SUMIFS('RAW_유기농_9월'!$G:$G,'RAW_유기농_9월'!$D:$D,$C129,'RAW_유기농_9월'!$A:$A,$E129),SUMIFS('RAW_유기농_10월'!$G:$G,'RAW_유기농_10월'!$D:$D,$C129,'RAW_유기농_10월'!$A:$A,$E129),SUMIFS('RAW_유기농_11-12월'!$G:$G,'RAW_유기농_11-12월'!$D:$D,$C129,'RAW_유기농_11-12월'!$A:$A,$E129))))</f>
        <v/>
      </c>
      <c r="H129" s="7" t="str">
        <f>IF($C129="","",IF('설정'!$B$4=0,"",CHOOSE('설정'!$B$4,SUMIFS('RAW_유기농_7월'!$H:$H,'RAW_유기농_7월'!$D:$D,$C129,'RAW_유기농_7월'!$A:$A,$E129),SUMIFS('RAW_유기농_8월'!$H:$H,'RAW_유기농_8월'!$D:$D,$C129,'RAW_유기농_8월'!$A:$A,$E129),SUMIFS('RAW_유기농_9월'!$H:$H,'RAW_유기농_9월'!$D:$D,$C129,'RAW_유기농_9월'!$A:$A,$E129),SUMIFS('RAW_유기농_10월'!$H:$H,'RAW_유기농_10월'!$D:$D,$C129,'RAW_유기농_10월'!$A:$A,$E129),SUMIFS('RAW_유기농_11-12월'!$H:$H,'RAW_유기농_11-12월'!$D:$D,$C129,'RAW_유기농_11-12월'!$A:$A,$E129))))</f>
        <v/>
      </c>
      <c r="I129" s="17" t="str">
        <f>IF($C129="","",IF(COUNTIFS('RAW_유기농_7월'!$D:$D,$C129,'RAW_유기농_7월'!$A:$A,$E129)&gt;0,"O",""))</f>
        <v/>
      </c>
      <c r="J129" s="17" t="str">
        <f>IF($C129="","",IF(COUNTIFS('RAW_유기농_8월'!$D:$D,$C129,'RAW_유기농_8월'!$A:$A,$E129)&gt;0,"O",""))</f>
        <v/>
      </c>
      <c r="K129" s="17" t="str">
        <f>IF($C129="","",IF(COUNTIFS('RAW_유기농_9월'!$D:$D,$C129,'RAW_유기농_9월'!$A:$A,$E129)&gt;0,"O",""))</f>
        <v/>
      </c>
      <c r="L129" s="17" t="str">
        <f>IF($C129="","",IF(COUNTIFS('RAW_유기농_10월'!$D:$D,$C129,'RAW_유기농_10월'!$A:$A,$E129)&gt;0,"O",""))</f>
        <v/>
      </c>
      <c r="M129" s="17" t="str">
        <f>IF($C129="","",IF(COUNTIFS('RAW_유기농_11-12월'!$D:$D,$C129,'RAW_유기농_11-12월'!$A:$A,$E129)&gt;0,"O",""))</f>
        <v/>
      </c>
      <c r="N129" s="7" t="str">
        <f>IF($C129="","",IF(COUNTA('RAW_유기농_7월'!$A:$A)&lt;=1,"",SUMIFS('RAW_유기농_7월'!$H:$H,'RAW_유기농_7월'!$D:$D,$C129,'RAW_유기농_7월'!$A:$A,$E129)))</f>
        <v/>
      </c>
      <c r="O129" s="7" t="str">
        <f>IF($C129="","",IF(COUNTA('RAW_유기농_8월'!$A:$A)&lt;=1,"",SUMIFS('RAW_유기농_8월'!$H:$H,'RAW_유기농_8월'!$D:$D,$C129,'RAW_유기농_8월'!$A:$A,$E129)-SUMIFS('RAW_유기농_7월'!$H:$H,'RAW_유기농_7월'!$D:$D,$C129,'RAW_유기농_7월'!$A:$A,$E129)))</f>
        <v/>
      </c>
      <c r="P129" s="7" t="str">
        <f>IF($C129="","",IF(COUNTA('RAW_유기농_9월'!$A:$A)&lt;=1,"",SUMIFS('RAW_유기농_9월'!$H:$H,'RAW_유기농_9월'!$D:$D,$C129,'RAW_유기농_9월'!$A:$A,$E129)-SUMIFS('RAW_유기농_8월'!$H:$H,'RAW_유기농_8월'!$D:$D,$C129,'RAW_유기농_8월'!$A:$A,$E129)))</f>
        <v/>
      </c>
      <c r="Q129" s="7" t="str">
        <f>IF($C129="","",IF(COUNTA('RAW_유기농_10월'!$A:$A)&lt;=1,"",SUMIFS('RAW_유기농_10월'!$H:$H,'RAW_유기농_10월'!$D:$D,$C129,'RAW_유기농_10월'!$A:$A,$E129)-SUMIFS('RAW_유기농_9월'!$H:$H,'RAW_유기농_9월'!$D:$D,$C129,'RAW_유기농_9월'!$A:$A,$E129)))</f>
        <v/>
      </c>
      <c r="R129" s="7" t="str">
        <f>IF($C129="","",IF(COUNTA('RAW_유기농_11-12월'!$A:$A)&lt;=1,"",SUMIFS('RAW_유기농_11-12월'!$H:$H,'RAW_유기농_11-12월'!$D:$D,$C129,'RAW_유기농_11-12월'!$A:$A,$E129)-SUMIFS('RAW_유기농_10월'!$H:$H,'RAW_유기농_10월'!$D:$D,$C129,'RAW_유기농_10월'!$A:$A,$E129)))</f>
        <v/>
      </c>
      <c r="S129" s="17" t="str">
        <f t="shared" si="4"/>
        <v/>
      </c>
      <c r="T129" s="17" t="str">
        <f t="shared" si="5"/>
        <v/>
      </c>
      <c r="U129" s="7">
        <f>IF($C129="",0,IF('설정'!$B$4=0,0,CHOOSE('설정'!$B$4,COUNTIFS('RAW_유기농_7월'!$D:$D,$C129,'RAW_유기농_7월'!$A:$A,$E129),COUNTIFS('RAW_유기농_8월'!$D:$D,$C129,'RAW_유기농_8월'!$A:$A,$E129),COUNTIFS('RAW_유기농_9월'!$D:$D,$C129,'RAW_유기농_9월'!$A:$A,$E129),COUNTIFS('RAW_유기농_10월'!$D:$D,$C129,'RAW_유기농_10월'!$A:$A,$E129),COUNTIFS('RAW_유기농_11-12월'!$D:$D,$C129,'RAW_유기농_11-12월'!$A:$A,$E129))))</f>
        <v>0</v>
      </c>
    </row>
    <row r="130" ht="15.75" customHeight="1">
      <c r="A130" s="5"/>
      <c r="B130" s="5"/>
      <c r="C130" s="5"/>
      <c r="D130" s="6"/>
      <c r="E130" s="5"/>
      <c r="F130" s="7" t="str">
        <f>IF($C130="","",IF('설정'!$B$4=0,"",CHOOSE('설정'!$B$4,SUMIFS('RAW_유기농_7월'!$F:$F,'RAW_유기농_7월'!$D:$D,$C130,'RAW_유기농_7월'!$A:$A,$E130),SUMIFS('RAW_유기농_8월'!$F:$F,'RAW_유기농_8월'!$D:$D,$C130,'RAW_유기농_8월'!$A:$A,$E130),SUMIFS('RAW_유기농_9월'!$F:$F,'RAW_유기농_9월'!$D:$D,$C130,'RAW_유기농_9월'!$A:$A,$E130),SUMIFS('RAW_유기농_10월'!$F:$F,'RAW_유기농_10월'!$D:$D,$C130,'RAW_유기농_10월'!$A:$A,$E130),SUMIFS('RAW_유기농_11-12월'!$F:$F,'RAW_유기농_11-12월'!$D:$D,$C130,'RAW_유기농_11-12월'!$A:$A,$E130))))</f>
        <v/>
      </c>
      <c r="G130" s="7" t="str">
        <f>IF($C130="","",IF('설정'!$B$4=0,"",CHOOSE('설정'!$B$4,SUMIFS('RAW_유기농_7월'!$G:$G,'RAW_유기농_7월'!$D:$D,$C130,'RAW_유기농_7월'!$A:$A,$E130),SUMIFS('RAW_유기농_8월'!$G:$G,'RAW_유기농_8월'!$D:$D,$C130,'RAW_유기농_8월'!$A:$A,$E130),SUMIFS('RAW_유기농_9월'!$G:$G,'RAW_유기농_9월'!$D:$D,$C130,'RAW_유기농_9월'!$A:$A,$E130),SUMIFS('RAW_유기농_10월'!$G:$G,'RAW_유기농_10월'!$D:$D,$C130,'RAW_유기농_10월'!$A:$A,$E130),SUMIFS('RAW_유기농_11-12월'!$G:$G,'RAW_유기농_11-12월'!$D:$D,$C130,'RAW_유기농_11-12월'!$A:$A,$E130))))</f>
        <v/>
      </c>
      <c r="H130" s="7" t="str">
        <f>IF($C130="","",IF('설정'!$B$4=0,"",CHOOSE('설정'!$B$4,SUMIFS('RAW_유기농_7월'!$H:$H,'RAW_유기농_7월'!$D:$D,$C130,'RAW_유기농_7월'!$A:$A,$E130),SUMIFS('RAW_유기농_8월'!$H:$H,'RAW_유기농_8월'!$D:$D,$C130,'RAW_유기농_8월'!$A:$A,$E130),SUMIFS('RAW_유기농_9월'!$H:$H,'RAW_유기농_9월'!$D:$D,$C130,'RAW_유기농_9월'!$A:$A,$E130),SUMIFS('RAW_유기농_10월'!$H:$H,'RAW_유기농_10월'!$D:$D,$C130,'RAW_유기농_10월'!$A:$A,$E130),SUMIFS('RAW_유기농_11-12월'!$H:$H,'RAW_유기농_11-12월'!$D:$D,$C130,'RAW_유기농_11-12월'!$A:$A,$E130))))</f>
        <v/>
      </c>
      <c r="I130" s="17" t="str">
        <f>IF($C130="","",IF(COUNTIFS('RAW_유기농_7월'!$D:$D,$C130,'RAW_유기농_7월'!$A:$A,$E130)&gt;0,"O",""))</f>
        <v/>
      </c>
      <c r="J130" s="17" t="str">
        <f>IF($C130="","",IF(COUNTIFS('RAW_유기농_8월'!$D:$D,$C130,'RAW_유기농_8월'!$A:$A,$E130)&gt;0,"O",""))</f>
        <v/>
      </c>
      <c r="K130" s="17" t="str">
        <f>IF($C130="","",IF(COUNTIFS('RAW_유기농_9월'!$D:$D,$C130,'RAW_유기농_9월'!$A:$A,$E130)&gt;0,"O",""))</f>
        <v/>
      </c>
      <c r="L130" s="17" t="str">
        <f>IF($C130="","",IF(COUNTIFS('RAW_유기농_10월'!$D:$D,$C130,'RAW_유기농_10월'!$A:$A,$E130)&gt;0,"O",""))</f>
        <v/>
      </c>
      <c r="M130" s="17" t="str">
        <f>IF($C130="","",IF(COUNTIFS('RAW_유기농_11-12월'!$D:$D,$C130,'RAW_유기농_11-12월'!$A:$A,$E130)&gt;0,"O",""))</f>
        <v/>
      </c>
      <c r="N130" s="7" t="str">
        <f>IF($C130="","",IF(COUNTA('RAW_유기농_7월'!$A:$A)&lt;=1,"",SUMIFS('RAW_유기농_7월'!$H:$H,'RAW_유기농_7월'!$D:$D,$C130,'RAW_유기농_7월'!$A:$A,$E130)))</f>
        <v/>
      </c>
      <c r="O130" s="7" t="str">
        <f>IF($C130="","",IF(COUNTA('RAW_유기농_8월'!$A:$A)&lt;=1,"",SUMIFS('RAW_유기농_8월'!$H:$H,'RAW_유기농_8월'!$D:$D,$C130,'RAW_유기농_8월'!$A:$A,$E130)-SUMIFS('RAW_유기농_7월'!$H:$H,'RAW_유기농_7월'!$D:$D,$C130,'RAW_유기농_7월'!$A:$A,$E130)))</f>
        <v/>
      </c>
      <c r="P130" s="7" t="str">
        <f>IF($C130="","",IF(COUNTA('RAW_유기농_9월'!$A:$A)&lt;=1,"",SUMIFS('RAW_유기농_9월'!$H:$H,'RAW_유기농_9월'!$D:$D,$C130,'RAW_유기농_9월'!$A:$A,$E130)-SUMIFS('RAW_유기농_8월'!$H:$H,'RAW_유기농_8월'!$D:$D,$C130,'RAW_유기농_8월'!$A:$A,$E130)))</f>
        <v/>
      </c>
      <c r="Q130" s="7" t="str">
        <f>IF($C130="","",IF(COUNTA('RAW_유기농_10월'!$A:$A)&lt;=1,"",SUMIFS('RAW_유기농_10월'!$H:$H,'RAW_유기농_10월'!$D:$D,$C130,'RAW_유기농_10월'!$A:$A,$E130)-SUMIFS('RAW_유기농_9월'!$H:$H,'RAW_유기농_9월'!$D:$D,$C130,'RAW_유기농_9월'!$A:$A,$E130)))</f>
        <v/>
      </c>
      <c r="R130" s="7" t="str">
        <f>IF($C130="","",IF(COUNTA('RAW_유기농_11-12월'!$A:$A)&lt;=1,"",SUMIFS('RAW_유기농_11-12월'!$H:$H,'RAW_유기농_11-12월'!$D:$D,$C130,'RAW_유기농_11-12월'!$A:$A,$E130)-SUMIFS('RAW_유기농_10월'!$H:$H,'RAW_유기농_10월'!$D:$D,$C130,'RAW_유기농_10월'!$A:$A,$E130)))</f>
        <v/>
      </c>
      <c r="S130" s="17" t="str">
        <f t="shared" si="4"/>
        <v/>
      </c>
      <c r="T130" s="17" t="str">
        <f t="shared" si="5"/>
        <v/>
      </c>
      <c r="U130" s="7">
        <f>IF($C130="",0,IF('설정'!$B$4=0,0,CHOOSE('설정'!$B$4,COUNTIFS('RAW_유기농_7월'!$D:$D,$C130,'RAW_유기농_7월'!$A:$A,$E130),COUNTIFS('RAW_유기농_8월'!$D:$D,$C130,'RAW_유기농_8월'!$A:$A,$E130),COUNTIFS('RAW_유기농_9월'!$D:$D,$C130,'RAW_유기농_9월'!$A:$A,$E130),COUNTIFS('RAW_유기농_10월'!$D:$D,$C130,'RAW_유기농_10월'!$A:$A,$E130),COUNTIFS('RAW_유기농_11-12월'!$D:$D,$C130,'RAW_유기농_11-12월'!$A:$A,$E130))))</f>
        <v>0</v>
      </c>
    </row>
    <row r="131" ht="15.75" customHeight="1">
      <c r="A131" s="5"/>
      <c r="B131" s="5"/>
      <c r="C131" s="5"/>
      <c r="D131" s="6"/>
      <c r="E131" s="5"/>
      <c r="F131" s="7" t="str">
        <f>IF($C131="","",IF('설정'!$B$4=0,"",CHOOSE('설정'!$B$4,SUMIFS('RAW_유기농_7월'!$F:$F,'RAW_유기농_7월'!$D:$D,$C131,'RAW_유기농_7월'!$A:$A,$E131),SUMIFS('RAW_유기농_8월'!$F:$F,'RAW_유기농_8월'!$D:$D,$C131,'RAW_유기농_8월'!$A:$A,$E131),SUMIFS('RAW_유기농_9월'!$F:$F,'RAW_유기농_9월'!$D:$D,$C131,'RAW_유기농_9월'!$A:$A,$E131),SUMIFS('RAW_유기농_10월'!$F:$F,'RAW_유기농_10월'!$D:$D,$C131,'RAW_유기농_10월'!$A:$A,$E131),SUMIFS('RAW_유기농_11-12월'!$F:$F,'RAW_유기농_11-12월'!$D:$D,$C131,'RAW_유기농_11-12월'!$A:$A,$E131))))</f>
        <v/>
      </c>
      <c r="G131" s="7" t="str">
        <f>IF($C131="","",IF('설정'!$B$4=0,"",CHOOSE('설정'!$B$4,SUMIFS('RAW_유기농_7월'!$G:$G,'RAW_유기농_7월'!$D:$D,$C131,'RAW_유기농_7월'!$A:$A,$E131),SUMIFS('RAW_유기농_8월'!$G:$G,'RAW_유기농_8월'!$D:$D,$C131,'RAW_유기농_8월'!$A:$A,$E131),SUMIFS('RAW_유기농_9월'!$G:$G,'RAW_유기농_9월'!$D:$D,$C131,'RAW_유기농_9월'!$A:$A,$E131),SUMIFS('RAW_유기농_10월'!$G:$G,'RAW_유기농_10월'!$D:$D,$C131,'RAW_유기농_10월'!$A:$A,$E131),SUMIFS('RAW_유기농_11-12월'!$G:$G,'RAW_유기농_11-12월'!$D:$D,$C131,'RAW_유기농_11-12월'!$A:$A,$E131))))</f>
        <v/>
      </c>
      <c r="H131" s="7" t="str">
        <f>IF($C131="","",IF('설정'!$B$4=0,"",CHOOSE('설정'!$B$4,SUMIFS('RAW_유기농_7월'!$H:$H,'RAW_유기농_7월'!$D:$D,$C131,'RAW_유기농_7월'!$A:$A,$E131),SUMIFS('RAW_유기농_8월'!$H:$H,'RAW_유기농_8월'!$D:$D,$C131,'RAW_유기농_8월'!$A:$A,$E131),SUMIFS('RAW_유기농_9월'!$H:$H,'RAW_유기농_9월'!$D:$D,$C131,'RAW_유기농_9월'!$A:$A,$E131),SUMIFS('RAW_유기농_10월'!$H:$H,'RAW_유기농_10월'!$D:$D,$C131,'RAW_유기농_10월'!$A:$A,$E131),SUMIFS('RAW_유기농_11-12월'!$H:$H,'RAW_유기농_11-12월'!$D:$D,$C131,'RAW_유기농_11-12월'!$A:$A,$E131))))</f>
        <v/>
      </c>
      <c r="I131" s="17" t="str">
        <f>IF($C131="","",IF(COUNTIFS('RAW_유기농_7월'!$D:$D,$C131,'RAW_유기농_7월'!$A:$A,$E131)&gt;0,"O",""))</f>
        <v/>
      </c>
      <c r="J131" s="17" t="str">
        <f>IF($C131="","",IF(COUNTIFS('RAW_유기농_8월'!$D:$D,$C131,'RAW_유기농_8월'!$A:$A,$E131)&gt;0,"O",""))</f>
        <v/>
      </c>
      <c r="K131" s="17" t="str">
        <f>IF($C131="","",IF(COUNTIFS('RAW_유기농_9월'!$D:$D,$C131,'RAW_유기농_9월'!$A:$A,$E131)&gt;0,"O",""))</f>
        <v/>
      </c>
      <c r="L131" s="17" t="str">
        <f>IF($C131="","",IF(COUNTIFS('RAW_유기농_10월'!$D:$D,$C131,'RAW_유기농_10월'!$A:$A,$E131)&gt;0,"O",""))</f>
        <v/>
      </c>
      <c r="M131" s="17" t="str">
        <f>IF($C131="","",IF(COUNTIFS('RAW_유기농_11-12월'!$D:$D,$C131,'RAW_유기농_11-12월'!$A:$A,$E131)&gt;0,"O",""))</f>
        <v/>
      </c>
      <c r="N131" s="7" t="str">
        <f>IF($C131="","",IF(COUNTA('RAW_유기농_7월'!$A:$A)&lt;=1,"",SUMIFS('RAW_유기농_7월'!$H:$H,'RAW_유기농_7월'!$D:$D,$C131,'RAW_유기농_7월'!$A:$A,$E131)))</f>
        <v/>
      </c>
      <c r="O131" s="7" t="str">
        <f>IF($C131="","",IF(COUNTA('RAW_유기농_8월'!$A:$A)&lt;=1,"",SUMIFS('RAW_유기농_8월'!$H:$H,'RAW_유기농_8월'!$D:$D,$C131,'RAW_유기농_8월'!$A:$A,$E131)-SUMIFS('RAW_유기농_7월'!$H:$H,'RAW_유기농_7월'!$D:$D,$C131,'RAW_유기농_7월'!$A:$A,$E131)))</f>
        <v/>
      </c>
      <c r="P131" s="7" t="str">
        <f>IF($C131="","",IF(COUNTA('RAW_유기농_9월'!$A:$A)&lt;=1,"",SUMIFS('RAW_유기농_9월'!$H:$H,'RAW_유기농_9월'!$D:$D,$C131,'RAW_유기농_9월'!$A:$A,$E131)-SUMIFS('RAW_유기농_8월'!$H:$H,'RAW_유기농_8월'!$D:$D,$C131,'RAW_유기농_8월'!$A:$A,$E131)))</f>
        <v/>
      </c>
      <c r="Q131" s="7" t="str">
        <f>IF($C131="","",IF(COUNTA('RAW_유기농_10월'!$A:$A)&lt;=1,"",SUMIFS('RAW_유기농_10월'!$H:$H,'RAW_유기농_10월'!$D:$D,$C131,'RAW_유기농_10월'!$A:$A,$E131)-SUMIFS('RAW_유기농_9월'!$H:$H,'RAW_유기농_9월'!$D:$D,$C131,'RAW_유기농_9월'!$A:$A,$E131)))</f>
        <v/>
      </c>
      <c r="R131" s="7" t="str">
        <f>IF($C131="","",IF(COUNTA('RAW_유기농_11-12월'!$A:$A)&lt;=1,"",SUMIFS('RAW_유기농_11-12월'!$H:$H,'RAW_유기농_11-12월'!$D:$D,$C131,'RAW_유기농_11-12월'!$A:$A,$E131)-SUMIFS('RAW_유기농_10월'!$H:$H,'RAW_유기농_10월'!$D:$D,$C131,'RAW_유기농_10월'!$A:$A,$E131)))</f>
        <v/>
      </c>
      <c r="S131" s="17" t="str">
        <f t="shared" si="4"/>
        <v/>
      </c>
      <c r="T131" s="17" t="str">
        <f t="shared" si="5"/>
        <v/>
      </c>
      <c r="U131" s="7">
        <f>IF($C131="",0,IF('설정'!$B$4=0,0,CHOOSE('설정'!$B$4,COUNTIFS('RAW_유기농_7월'!$D:$D,$C131,'RAW_유기농_7월'!$A:$A,$E131),COUNTIFS('RAW_유기농_8월'!$D:$D,$C131,'RAW_유기농_8월'!$A:$A,$E131),COUNTIFS('RAW_유기농_9월'!$D:$D,$C131,'RAW_유기농_9월'!$A:$A,$E131),COUNTIFS('RAW_유기농_10월'!$D:$D,$C131,'RAW_유기농_10월'!$A:$A,$E131),COUNTIFS('RAW_유기농_11-12월'!$D:$D,$C131,'RAW_유기농_11-12월'!$A:$A,$E131))))</f>
        <v>0</v>
      </c>
    </row>
    <row r="132" ht="15.75" customHeight="1">
      <c r="A132" s="5"/>
      <c r="B132" s="5"/>
      <c r="C132" s="5"/>
      <c r="D132" s="6"/>
      <c r="E132" s="5"/>
      <c r="F132" s="7" t="str">
        <f>IF($C132="","",IF('설정'!$B$4=0,"",CHOOSE('설정'!$B$4,SUMIFS('RAW_유기농_7월'!$F:$F,'RAW_유기농_7월'!$D:$D,$C132,'RAW_유기농_7월'!$A:$A,$E132),SUMIFS('RAW_유기농_8월'!$F:$F,'RAW_유기농_8월'!$D:$D,$C132,'RAW_유기농_8월'!$A:$A,$E132),SUMIFS('RAW_유기농_9월'!$F:$F,'RAW_유기농_9월'!$D:$D,$C132,'RAW_유기농_9월'!$A:$A,$E132),SUMIFS('RAW_유기농_10월'!$F:$F,'RAW_유기농_10월'!$D:$D,$C132,'RAW_유기농_10월'!$A:$A,$E132),SUMIFS('RAW_유기농_11-12월'!$F:$F,'RAW_유기농_11-12월'!$D:$D,$C132,'RAW_유기농_11-12월'!$A:$A,$E132))))</f>
        <v/>
      </c>
      <c r="G132" s="7" t="str">
        <f>IF($C132="","",IF('설정'!$B$4=0,"",CHOOSE('설정'!$B$4,SUMIFS('RAW_유기농_7월'!$G:$G,'RAW_유기농_7월'!$D:$D,$C132,'RAW_유기농_7월'!$A:$A,$E132),SUMIFS('RAW_유기농_8월'!$G:$G,'RAW_유기농_8월'!$D:$D,$C132,'RAW_유기농_8월'!$A:$A,$E132),SUMIFS('RAW_유기농_9월'!$G:$G,'RAW_유기농_9월'!$D:$D,$C132,'RAW_유기농_9월'!$A:$A,$E132),SUMIFS('RAW_유기농_10월'!$G:$G,'RAW_유기농_10월'!$D:$D,$C132,'RAW_유기농_10월'!$A:$A,$E132),SUMIFS('RAW_유기농_11-12월'!$G:$G,'RAW_유기농_11-12월'!$D:$D,$C132,'RAW_유기농_11-12월'!$A:$A,$E132))))</f>
        <v/>
      </c>
      <c r="H132" s="7" t="str">
        <f>IF($C132="","",IF('설정'!$B$4=0,"",CHOOSE('설정'!$B$4,SUMIFS('RAW_유기농_7월'!$H:$H,'RAW_유기농_7월'!$D:$D,$C132,'RAW_유기농_7월'!$A:$A,$E132),SUMIFS('RAW_유기농_8월'!$H:$H,'RAW_유기농_8월'!$D:$D,$C132,'RAW_유기농_8월'!$A:$A,$E132),SUMIFS('RAW_유기농_9월'!$H:$H,'RAW_유기농_9월'!$D:$D,$C132,'RAW_유기농_9월'!$A:$A,$E132),SUMIFS('RAW_유기농_10월'!$H:$H,'RAW_유기농_10월'!$D:$D,$C132,'RAW_유기농_10월'!$A:$A,$E132),SUMIFS('RAW_유기농_11-12월'!$H:$H,'RAW_유기농_11-12월'!$D:$D,$C132,'RAW_유기농_11-12월'!$A:$A,$E132))))</f>
        <v/>
      </c>
      <c r="I132" s="17" t="str">
        <f>IF($C132="","",IF(COUNTIFS('RAW_유기농_7월'!$D:$D,$C132,'RAW_유기농_7월'!$A:$A,$E132)&gt;0,"O",""))</f>
        <v/>
      </c>
      <c r="J132" s="17" t="str">
        <f>IF($C132="","",IF(COUNTIFS('RAW_유기농_8월'!$D:$D,$C132,'RAW_유기농_8월'!$A:$A,$E132)&gt;0,"O",""))</f>
        <v/>
      </c>
      <c r="K132" s="17" t="str">
        <f>IF($C132="","",IF(COUNTIFS('RAW_유기농_9월'!$D:$D,$C132,'RAW_유기농_9월'!$A:$A,$E132)&gt;0,"O",""))</f>
        <v/>
      </c>
      <c r="L132" s="17" t="str">
        <f>IF($C132="","",IF(COUNTIFS('RAW_유기농_10월'!$D:$D,$C132,'RAW_유기농_10월'!$A:$A,$E132)&gt;0,"O",""))</f>
        <v/>
      </c>
      <c r="M132" s="17" t="str">
        <f>IF($C132="","",IF(COUNTIFS('RAW_유기농_11-12월'!$D:$D,$C132,'RAW_유기농_11-12월'!$A:$A,$E132)&gt;0,"O",""))</f>
        <v/>
      </c>
      <c r="N132" s="7" t="str">
        <f>IF($C132="","",IF(COUNTA('RAW_유기농_7월'!$A:$A)&lt;=1,"",SUMIFS('RAW_유기농_7월'!$H:$H,'RAW_유기농_7월'!$D:$D,$C132,'RAW_유기농_7월'!$A:$A,$E132)))</f>
        <v/>
      </c>
      <c r="O132" s="7" t="str">
        <f>IF($C132="","",IF(COUNTA('RAW_유기농_8월'!$A:$A)&lt;=1,"",SUMIFS('RAW_유기농_8월'!$H:$H,'RAW_유기농_8월'!$D:$D,$C132,'RAW_유기농_8월'!$A:$A,$E132)-SUMIFS('RAW_유기농_7월'!$H:$H,'RAW_유기농_7월'!$D:$D,$C132,'RAW_유기농_7월'!$A:$A,$E132)))</f>
        <v/>
      </c>
      <c r="P132" s="7" t="str">
        <f>IF($C132="","",IF(COUNTA('RAW_유기농_9월'!$A:$A)&lt;=1,"",SUMIFS('RAW_유기농_9월'!$H:$H,'RAW_유기농_9월'!$D:$D,$C132,'RAW_유기농_9월'!$A:$A,$E132)-SUMIFS('RAW_유기농_8월'!$H:$H,'RAW_유기농_8월'!$D:$D,$C132,'RAW_유기농_8월'!$A:$A,$E132)))</f>
        <v/>
      </c>
      <c r="Q132" s="7" t="str">
        <f>IF($C132="","",IF(COUNTA('RAW_유기농_10월'!$A:$A)&lt;=1,"",SUMIFS('RAW_유기농_10월'!$H:$H,'RAW_유기농_10월'!$D:$D,$C132,'RAW_유기농_10월'!$A:$A,$E132)-SUMIFS('RAW_유기농_9월'!$H:$H,'RAW_유기농_9월'!$D:$D,$C132,'RAW_유기농_9월'!$A:$A,$E132)))</f>
        <v/>
      </c>
      <c r="R132" s="7" t="str">
        <f>IF($C132="","",IF(COUNTA('RAW_유기농_11-12월'!$A:$A)&lt;=1,"",SUMIFS('RAW_유기농_11-12월'!$H:$H,'RAW_유기농_11-12월'!$D:$D,$C132,'RAW_유기농_11-12월'!$A:$A,$E132)-SUMIFS('RAW_유기농_10월'!$H:$H,'RAW_유기농_10월'!$D:$D,$C132,'RAW_유기농_10월'!$A:$A,$E132)))</f>
        <v/>
      </c>
      <c r="S132" s="17" t="str">
        <f t="shared" si="4"/>
        <v/>
      </c>
      <c r="T132" s="17" t="str">
        <f t="shared" si="5"/>
        <v/>
      </c>
      <c r="U132" s="7">
        <f>IF($C132="",0,IF('설정'!$B$4=0,0,CHOOSE('설정'!$B$4,COUNTIFS('RAW_유기농_7월'!$D:$D,$C132,'RAW_유기농_7월'!$A:$A,$E132),COUNTIFS('RAW_유기농_8월'!$D:$D,$C132,'RAW_유기농_8월'!$A:$A,$E132),COUNTIFS('RAW_유기농_9월'!$D:$D,$C132,'RAW_유기농_9월'!$A:$A,$E132),COUNTIFS('RAW_유기농_10월'!$D:$D,$C132,'RAW_유기농_10월'!$A:$A,$E132),COUNTIFS('RAW_유기농_11-12월'!$D:$D,$C132,'RAW_유기농_11-12월'!$A:$A,$E132))))</f>
        <v>0</v>
      </c>
    </row>
    <row r="133" ht="15.75" customHeight="1">
      <c r="A133" s="5"/>
      <c r="B133" s="5"/>
      <c r="C133" s="5"/>
      <c r="D133" s="6"/>
      <c r="E133" s="5"/>
      <c r="F133" s="7" t="str">
        <f>IF($C133="","",IF('설정'!$B$4=0,"",CHOOSE('설정'!$B$4,SUMIFS('RAW_유기농_7월'!$F:$F,'RAW_유기농_7월'!$D:$D,$C133,'RAW_유기농_7월'!$A:$A,$E133),SUMIFS('RAW_유기농_8월'!$F:$F,'RAW_유기농_8월'!$D:$D,$C133,'RAW_유기농_8월'!$A:$A,$E133),SUMIFS('RAW_유기농_9월'!$F:$F,'RAW_유기농_9월'!$D:$D,$C133,'RAW_유기농_9월'!$A:$A,$E133),SUMIFS('RAW_유기농_10월'!$F:$F,'RAW_유기농_10월'!$D:$D,$C133,'RAW_유기농_10월'!$A:$A,$E133),SUMIFS('RAW_유기농_11-12월'!$F:$F,'RAW_유기농_11-12월'!$D:$D,$C133,'RAW_유기농_11-12월'!$A:$A,$E133))))</f>
        <v/>
      </c>
      <c r="G133" s="7" t="str">
        <f>IF($C133="","",IF('설정'!$B$4=0,"",CHOOSE('설정'!$B$4,SUMIFS('RAW_유기농_7월'!$G:$G,'RAW_유기농_7월'!$D:$D,$C133,'RAW_유기농_7월'!$A:$A,$E133),SUMIFS('RAW_유기농_8월'!$G:$G,'RAW_유기농_8월'!$D:$D,$C133,'RAW_유기농_8월'!$A:$A,$E133),SUMIFS('RAW_유기농_9월'!$G:$G,'RAW_유기농_9월'!$D:$D,$C133,'RAW_유기농_9월'!$A:$A,$E133),SUMIFS('RAW_유기농_10월'!$G:$G,'RAW_유기농_10월'!$D:$D,$C133,'RAW_유기농_10월'!$A:$A,$E133),SUMIFS('RAW_유기농_11-12월'!$G:$G,'RAW_유기농_11-12월'!$D:$D,$C133,'RAW_유기농_11-12월'!$A:$A,$E133))))</f>
        <v/>
      </c>
      <c r="H133" s="7" t="str">
        <f>IF($C133="","",IF('설정'!$B$4=0,"",CHOOSE('설정'!$B$4,SUMIFS('RAW_유기농_7월'!$H:$H,'RAW_유기농_7월'!$D:$D,$C133,'RAW_유기농_7월'!$A:$A,$E133),SUMIFS('RAW_유기농_8월'!$H:$H,'RAW_유기농_8월'!$D:$D,$C133,'RAW_유기농_8월'!$A:$A,$E133),SUMIFS('RAW_유기농_9월'!$H:$H,'RAW_유기농_9월'!$D:$D,$C133,'RAW_유기농_9월'!$A:$A,$E133),SUMIFS('RAW_유기농_10월'!$H:$H,'RAW_유기농_10월'!$D:$D,$C133,'RAW_유기농_10월'!$A:$A,$E133),SUMIFS('RAW_유기농_11-12월'!$H:$H,'RAW_유기농_11-12월'!$D:$D,$C133,'RAW_유기농_11-12월'!$A:$A,$E133))))</f>
        <v/>
      </c>
      <c r="I133" s="17" t="str">
        <f>IF($C133="","",IF(COUNTIFS('RAW_유기농_7월'!$D:$D,$C133,'RAW_유기농_7월'!$A:$A,$E133)&gt;0,"O",""))</f>
        <v/>
      </c>
      <c r="J133" s="17" t="str">
        <f>IF($C133="","",IF(COUNTIFS('RAW_유기농_8월'!$D:$D,$C133,'RAW_유기농_8월'!$A:$A,$E133)&gt;0,"O",""))</f>
        <v/>
      </c>
      <c r="K133" s="17" t="str">
        <f>IF($C133="","",IF(COUNTIFS('RAW_유기농_9월'!$D:$D,$C133,'RAW_유기농_9월'!$A:$A,$E133)&gt;0,"O",""))</f>
        <v/>
      </c>
      <c r="L133" s="17" t="str">
        <f>IF($C133="","",IF(COUNTIFS('RAW_유기농_10월'!$D:$D,$C133,'RAW_유기농_10월'!$A:$A,$E133)&gt;0,"O",""))</f>
        <v/>
      </c>
      <c r="M133" s="17" t="str">
        <f>IF($C133="","",IF(COUNTIFS('RAW_유기농_11-12월'!$D:$D,$C133,'RAW_유기농_11-12월'!$A:$A,$E133)&gt;0,"O",""))</f>
        <v/>
      </c>
      <c r="N133" s="7" t="str">
        <f>IF($C133="","",IF(COUNTA('RAW_유기농_7월'!$A:$A)&lt;=1,"",SUMIFS('RAW_유기농_7월'!$H:$H,'RAW_유기농_7월'!$D:$D,$C133,'RAW_유기농_7월'!$A:$A,$E133)))</f>
        <v/>
      </c>
      <c r="O133" s="7" t="str">
        <f>IF($C133="","",IF(COUNTA('RAW_유기농_8월'!$A:$A)&lt;=1,"",SUMIFS('RAW_유기농_8월'!$H:$H,'RAW_유기농_8월'!$D:$D,$C133,'RAW_유기농_8월'!$A:$A,$E133)-SUMIFS('RAW_유기농_7월'!$H:$H,'RAW_유기농_7월'!$D:$D,$C133,'RAW_유기농_7월'!$A:$A,$E133)))</f>
        <v/>
      </c>
      <c r="P133" s="7" t="str">
        <f>IF($C133="","",IF(COUNTA('RAW_유기농_9월'!$A:$A)&lt;=1,"",SUMIFS('RAW_유기농_9월'!$H:$H,'RAW_유기농_9월'!$D:$D,$C133,'RAW_유기농_9월'!$A:$A,$E133)-SUMIFS('RAW_유기농_8월'!$H:$H,'RAW_유기농_8월'!$D:$D,$C133,'RAW_유기농_8월'!$A:$A,$E133)))</f>
        <v/>
      </c>
      <c r="Q133" s="7" t="str">
        <f>IF($C133="","",IF(COUNTA('RAW_유기농_10월'!$A:$A)&lt;=1,"",SUMIFS('RAW_유기농_10월'!$H:$H,'RAW_유기농_10월'!$D:$D,$C133,'RAW_유기농_10월'!$A:$A,$E133)-SUMIFS('RAW_유기농_9월'!$H:$H,'RAW_유기농_9월'!$D:$D,$C133,'RAW_유기농_9월'!$A:$A,$E133)))</f>
        <v/>
      </c>
      <c r="R133" s="7" t="str">
        <f>IF($C133="","",IF(COUNTA('RAW_유기농_11-12월'!$A:$A)&lt;=1,"",SUMIFS('RAW_유기농_11-12월'!$H:$H,'RAW_유기농_11-12월'!$D:$D,$C133,'RAW_유기농_11-12월'!$A:$A,$E133)-SUMIFS('RAW_유기농_10월'!$H:$H,'RAW_유기농_10월'!$D:$D,$C133,'RAW_유기농_10월'!$A:$A,$E133)))</f>
        <v/>
      </c>
      <c r="S133" s="17" t="str">
        <f t="shared" si="4"/>
        <v/>
      </c>
      <c r="T133" s="17" t="str">
        <f t="shared" si="5"/>
        <v/>
      </c>
      <c r="U133" s="7">
        <f>IF($C133="",0,IF('설정'!$B$4=0,0,CHOOSE('설정'!$B$4,COUNTIFS('RAW_유기농_7월'!$D:$D,$C133,'RAW_유기농_7월'!$A:$A,$E133),COUNTIFS('RAW_유기농_8월'!$D:$D,$C133,'RAW_유기농_8월'!$A:$A,$E133),COUNTIFS('RAW_유기농_9월'!$D:$D,$C133,'RAW_유기농_9월'!$A:$A,$E133),COUNTIFS('RAW_유기농_10월'!$D:$D,$C133,'RAW_유기농_10월'!$A:$A,$E133),COUNTIFS('RAW_유기농_11-12월'!$D:$D,$C133,'RAW_유기농_11-12월'!$A:$A,$E133))))</f>
        <v>0</v>
      </c>
    </row>
    <row r="134" ht="15.75" customHeight="1">
      <c r="A134" s="5"/>
      <c r="B134" s="5"/>
      <c r="C134" s="5"/>
      <c r="D134" s="6"/>
      <c r="E134" s="5"/>
      <c r="F134" s="7" t="str">
        <f>IF($C134="","",IF('설정'!$B$4=0,"",CHOOSE('설정'!$B$4,SUMIFS('RAW_유기농_7월'!$F:$F,'RAW_유기농_7월'!$D:$D,$C134,'RAW_유기농_7월'!$A:$A,$E134),SUMIFS('RAW_유기농_8월'!$F:$F,'RAW_유기농_8월'!$D:$D,$C134,'RAW_유기농_8월'!$A:$A,$E134),SUMIFS('RAW_유기농_9월'!$F:$F,'RAW_유기농_9월'!$D:$D,$C134,'RAW_유기농_9월'!$A:$A,$E134),SUMIFS('RAW_유기농_10월'!$F:$F,'RAW_유기농_10월'!$D:$D,$C134,'RAW_유기농_10월'!$A:$A,$E134),SUMIFS('RAW_유기농_11-12월'!$F:$F,'RAW_유기농_11-12월'!$D:$D,$C134,'RAW_유기농_11-12월'!$A:$A,$E134))))</f>
        <v/>
      </c>
      <c r="G134" s="7" t="str">
        <f>IF($C134="","",IF('설정'!$B$4=0,"",CHOOSE('설정'!$B$4,SUMIFS('RAW_유기농_7월'!$G:$G,'RAW_유기농_7월'!$D:$D,$C134,'RAW_유기농_7월'!$A:$A,$E134),SUMIFS('RAW_유기농_8월'!$G:$G,'RAW_유기농_8월'!$D:$D,$C134,'RAW_유기농_8월'!$A:$A,$E134),SUMIFS('RAW_유기농_9월'!$G:$G,'RAW_유기농_9월'!$D:$D,$C134,'RAW_유기농_9월'!$A:$A,$E134),SUMIFS('RAW_유기농_10월'!$G:$G,'RAW_유기농_10월'!$D:$D,$C134,'RAW_유기농_10월'!$A:$A,$E134),SUMIFS('RAW_유기농_11-12월'!$G:$G,'RAW_유기농_11-12월'!$D:$D,$C134,'RAW_유기농_11-12월'!$A:$A,$E134))))</f>
        <v/>
      </c>
      <c r="H134" s="7" t="str">
        <f>IF($C134="","",IF('설정'!$B$4=0,"",CHOOSE('설정'!$B$4,SUMIFS('RAW_유기농_7월'!$H:$H,'RAW_유기농_7월'!$D:$D,$C134,'RAW_유기농_7월'!$A:$A,$E134),SUMIFS('RAW_유기농_8월'!$H:$H,'RAW_유기농_8월'!$D:$D,$C134,'RAW_유기농_8월'!$A:$A,$E134),SUMIFS('RAW_유기농_9월'!$H:$H,'RAW_유기농_9월'!$D:$D,$C134,'RAW_유기농_9월'!$A:$A,$E134),SUMIFS('RAW_유기농_10월'!$H:$H,'RAW_유기농_10월'!$D:$D,$C134,'RAW_유기농_10월'!$A:$A,$E134),SUMIFS('RAW_유기농_11-12월'!$H:$H,'RAW_유기농_11-12월'!$D:$D,$C134,'RAW_유기농_11-12월'!$A:$A,$E134))))</f>
        <v/>
      </c>
      <c r="I134" s="17" t="str">
        <f>IF($C134="","",IF(COUNTIFS('RAW_유기농_7월'!$D:$D,$C134,'RAW_유기농_7월'!$A:$A,$E134)&gt;0,"O",""))</f>
        <v/>
      </c>
      <c r="J134" s="17" t="str">
        <f>IF($C134="","",IF(COUNTIFS('RAW_유기농_8월'!$D:$D,$C134,'RAW_유기농_8월'!$A:$A,$E134)&gt;0,"O",""))</f>
        <v/>
      </c>
      <c r="K134" s="17" t="str">
        <f>IF($C134="","",IF(COUNTIFS('RAW_유기농_9월'!$D:$D,$C134,'RAW_유기농_9월'!$A:$A,$E134)&gt;0,"O",""))</f>
        <v/>
      </c>
      <c r="L134" s="17" t="str">
        <f>IF($C134="","",IF(COUNTIFS('RAW_유기농_10월'!$D:$D,$C134,'RAW_유기농_10월'!$A:$A,$E134)&gt;0,"O",""))</f>
        <v/>
      </c>
      <c r="M134" s="17" t="str">
        <f>IF($C134="","",IF(COUNTIFS('RAW_유기농_11-12월'!$D:$D,$C134,'RAW_유기농_11-12월'!$A:$A,$E134)&gt;0,"O",""))</f>
        <v/>
      </c>
      <c r="N134" s="7" t="str">
        <f>IF($C134="","",IF(COUNTA('RAW_유기농_7월'!$A:$A)&lt;=1,"",SUMIFS('RAW_유기농_7월'!$H:$H,'RAW_유기농_7월'!$D:$D,$C134,'RAW_유기농_7월'!$A:$A,$E134)))</f>
        <v/>
      </c>
      <c r="O134" s="7" t="str">
        <f>IF($C134="","",IF(COUNTA('RAW_유기농_8월'!$A:$A)&lt;=1,"",SUMIFS('RAW_유기농_8월'!$H:$H,'RAW_유기농_8월'!$D:$D,$C134,'RAW_유기농_8월'!$A:$A,$E134)-SUMIFS('RAW_유기농_7월'!$H:$H,'RAW_유기농_7월'!$D:$D,$C134,'RAW_유기농_7월'!$A:$A,$E134)))</f>
        <v/>
      </c>
      <c r="P134" s="7" t="str">
        <f>IF($C134="","",IF(COUNTA('RAW_유기농_9월'!$A:$A)&lt;=1,"",SUMIFS('RAW_유기농_9월'!$H:$H,'RAW_유기농_9월'!$D:$D,$C134,'RAW_유기농_9월'!$A:$A,$E134)-SUMIFS('RAW_유기농_8월'!$H:$H,'RAW_유기농_8월'!$D:$D,$C134,'RAW_유기농_8월'!$A:$A,$E134)))</f>
        <v/>
      </c>
      <c r="Q134" s="7" t="str">
        <f>IF($C134="","",IF(COUNTA('RAW_유기농_10월'!$A:$A)&lt;=1,"",SUMIFS('RAW_유기농_10월'!$H:$H,'RAW_유기농_10월'!$D:$D,$C134,'RAW_유기농_10월'!$A:$A,$E134)-SUMIFS('RAW_유기농_9월'!$H:$H,'RAW_유기농_9월'!$D:$D,$C134,'RAW_유기농_9월'!$A:$A,$E134)))</f>
        <v/>
      </c>
      <c r="R134" s="7" t="str">
        <f>IF($C134="","",IF(COUNTA('RAW_유기농_11-12월'!$A:$A)&lt;=1,"",SUMIFS('RAW_유기농_11-12월'!$H:$H,'RAW_유기농_11-12월'!$D:$D,$C134,'RAW_유기농_11-12월'!$A:$A,$E134)-SUMIFS('RAW_유기농_10월'!$H:$H,'RAW_유기농_10월'!$D:$D,$C134,'RAW_유기농_10월'!$A:$A,$E134)))</f>
        <v/>
      </c>
      <c r="S134" s="17" t="str">
        <f t="shared" si="4"/>
        <v/>
      </c>
      <c r="T134" s="17" t="str">
        <f t="shared" si="5"/>
        <v/>
      </c>
      <c r="U134" s="7">
        <f>IF($C134="",0,IF('설정'!$B$4=0,0,CHOOSE('설정'!$B$4,COUNTIFS('RAW_유기농_7월'!$D:$D,$C134,'RAW_유기농_7월'!$A:$A,$E134),COUNTIFS('RAW_유기농_8월'!$D:$D,$C134,'RAW_유기농_8월'!$A:$A,$E134),COUNTIFS('RAW_유기농_9월'!$D:$D,$C134,'RAW_유기농_9월'!$A:$A,$E134),COUNTIFS('RAW_유기농_10월'!$D:$D,$C134,'RAW_유기농_10월'!$A:$A,$E134),COUNTIFS('RAW_유기농_11-12월'!$D:$D,$C134,'RAW_유기농_11-12월'!$A:$A,$E134))))</f>
        <v>0</v>
      </c>
    </row>
    <row r="135" ht="15.75" customHeight="1">
      <c r="A135" s="5"/>
      <c r="B135" s="5"/>
      <c r="C135" s="5"/>
      <c r="D135" s="6"/>
      <c r="E135" s="5"/>
      <c r="F135" s="7" t="str">
        <f>IF($C135="","",IF('설정'!$B$4=0,"",CHOOSE('설정'!$B$4,SUMIFS('RAW_유기농_7월'!$F:$F,'RAW_유기농_7월'!$D:$D,$C135,'RAW_유기농_7월'!$A:$A,$E135),SUMIFS('RAW_유기농_8월'!$F:$F,'RAW_유기농_8월'!$D:$D,$C135,'RAW_유기농_8월'!$A:$A,$E135),SUMIFS('RAW_유기농_9월'!$F:$F,'RAW_유기농_9월'!$D:$D,$C135,'RAW_유기농_9월'!$A:$A,$E135),SUMIFS('RAW_유기농_10월'!$F:$F,'RAW_유기농_10월'!$D:$D,$C135,'RAW_유기농_10월'!$A:$A,$E135),SUMIFS('RAW_유기농_11-12월'!$F:$F,'RAW_유기농_11-12월'!$D:$D,$C135,'RAW_유기농_11-12월'!$A:$A,$E135))))</f>
        <v/>
      </c>
      <c r="G135" s="7" t="str">
        <f>IF($C135="","",IF('설정'!$B$4=0,"",CHOOSE('설정'!$B$4,SUMIFS('RAW_유기농_7월'!$G:$G,'RAW_유기농_7월'!$D:$D,$C135,'RAW_유기농_7월'!$A:$A,$E135),SUMIFS('RAW_유기농_8월'!$G:$G,'RAW_유기농_8월'!$D:$D,$C135,'RAW_유기농_8월'!$A:$A,$E135),SUMIFS('RAW_유기농_9월'!$G:$G,'RAW_유기농_9월'!$D:$D,$C135,'RAW_유기농_9월'!$A:$A,$E135),SUMIFS('RAW_유기농_10월'!$G:$G,'RAW_유기농_10월'!$D:$D,$C135,'RAW_유기농_10월'!$A:$A,$E135),SUMIFS('RAW_유기농_11-12월'!$G:$G,'RAW_유기농_11-12월'!$D:$D,$C135,'RAW_유기농_11-12월'!$A:$A,$E135))))</f>
        <v/>
      </c>
      <c r="H135" s="7" t="str">
        <f>IF($C135="","",IF('설정'!$B$4=0,"",CHOOSE('설정'!$B$4,SUMIFS('RAW_유기농_7월'!$H:$H,'RAW_유기농_7월'!$D:$D,$C135,'RAW_유기농_7월'!$A:$A,$E135),SUMIFS('RAW_유기농_8월'!$H:$H,'RAW_유기농_8월'!$D:$D,$C135,'RAW_유기농_8월'!$A:$A,$E135),SUMIFS('RAW_유기농_9월'!$H:$H,'RAW_유기농_9월'!$D:$D,$C135,'RAW_유기농_9월'!$A:$A,$E135),SUMIFS('RAW_유기농_10월'!$H:$H,'RAW_유기농_10월'!$D:$D,$C135,'RAW_유기농_10월'!$A:$A,$E135),SUMIFS('RAW_유기농_11-12월'!$H:$H,'RAW_유기농_11-12월'!$D:$D,$C135,'RAW_유기농_11-12월'!$A:$A,$E135))))</f>
        <v/>
      </c>
      <c r="I135" s="17" t="str">
        <f>IF($C135="","",IF(COUNTIFS('RAW_유기농_7월'!$D:$D,$C135,'RAW_유기농_7월'!$A:$A,$E135)&gt;0,"O",""))</f>
        <v/>
      </c>
      <c r="J135" s="17" t="str">
        <f>IF($C135="","",IF(COUNTIFS('RAW_유기농_8월'!$D:$D,$C135,'RAW_유기농_8월'!$A:$A,$E135)&gt;0,"O",""))</f>
        <v/>
      </c>
      <c r="K135" s="17" t="str">
        <f>IF($C135="","",IF(COUNTIFS('RAW_유기농_9월'!$D:$D,$C135,'RAW_유기농_9월'!$A:$A,$E135)&gt;0,"O",""))</f>
        <v/>
      </c>
      <c r="L135" s="17" t="str">
        <f>IF($C135="","",IF(COUNTIFS('RAW_유기농_10월'!$D:$D,$C135,'RAW_유기농_10월'!$A:$A,$E135)&gt;0,"O",""))</f>
        <v/>
      </c>
      <c r="M135" s="17" t="str">
        <f>IF($C135="","",IF(COUNTIFS('RAW_유기농_11-12월'!$D:$D,$C135,'RAW_유기농_11-12월'!$A:$A,$E135)&gt;0,"O",""))</f>
        <v/>
      </c>
      <c r="N135" s="7" t="str">
        <f>IF($C135="","",IF(COUNTA('RAW_유기농_7월'!$A:$A)&lt;=1,"",SUMIFS('RAW_유기농_7월'!$H:$H,'RAW_유기농_7월'!$D:$D,$C135,'RAW_유기농_7월'!$A:$A,$E135)))</f>
        <v/>
      </c>
      <c r="O135" s="7" t="str">
        <f>IF($C135="","",IF(COUNTA('RAW_유기농_8월'!$A:$A)&lt;=1,"",SUMIFS('RAW_유기농_8월'!$H:$H,'RAW_유기농_8월'!$D:$D,$C135,'RAW_유기농_8월'!$A:$A,$E135)-SUMIFS('RAW_유기농_7월'!$H:$H,'RAW_유기농_7월'!$D:$D,$C135,'RAW_유기농_7월'!$A:$A,$E135)))</f>
        <v/>
      </c>
      <c r="P135" s="7" t="str">
        <f>IF($C135="","",IF(COUNTA('RAW_유기농_9월'!$A:$A)&lt;=1,"",SUMIFS('RAW_유기농_9월'!$H:$H,'RAW_유기농_9월'!$D:$D,$C135,'RAW_유기농_9월'!$A:$A,$E135)-SUMIFS('RAW_유기농_8월'!$H:$H,'RAW_유기농_8월'!$D:$D,$C135,'RAW_유기농_8월'!$A:$A,$E135)))</f>
        <v/>
      </c>
      <c r="Q135" s="7" t="str">
        <f>IF($C135="","",IF(COUNTA('RAW_유기농_10월'!$A:$A)&lt;=1,"",SUMIFS('RAW_유기농_10월'!$H:$H,'RAW_유기농_10월'!$D:$D,$C135,'RAW_유기농_10월'!$A:$A,$E135)-SUMIFS('RAW_유기농_9월'!$H:$H,'RAW_유기농_9월'!$D:$D,$C135,'RAW_유기농_9월'!$A:$A,$E135)))</f>
        <v/>
      </c>
      <c r="R135" s="7" t="str">
        <f>IF($C135="","",IF(COUNTA('RAW_유기농_11-12월'!$A:$A)&lt;=1,"",SUMIFS('RAW_유기농_11-12월'!$H:$H,'RAW_유기농_11-12월'!$D:$D,$C135,'RAW_유기농_11-12월'!$A:$A,$E135)-SUMIFS('RAW_유기농_10월'!$H:$H,'RAW_유기농_10월'!$D:$D,$C135,'RAW_유기농_10월'!$A:$A,$E135)))</f>
        <v/>
      </c>
      <c r="S135" s="17" t="str">
        <f t="shared" si="4"/>
        <v/>
      </c>
      <c r="T135" s="17" t="str">
        <f t="shared" si="5"/>
        <v/>
      </c>
      <c r="U135" s="7">
        <f>IF($C135="",0,IF('설정'!$B$4=0,0,CHOOSE('설정'!$B$4,COUNTIFS('RAW_유기농_7월'!$D:$D,$C135,'RAW_유기농_7월'!$A:$A,$E135),COUNTIFS('RAW_유기농_8월'!$D:$D,$C135,'RAW_유기농_8월'!$A:$A,$E135),COUNTIFS('RAW_유기농_9월'!$D:$D,$C135,'RAW_유기농_9월'!$A:$A,$E135),COUNTIFS('RAW_유기농_10월'!$D:$D,$C135,'RAW_유기농_10월'!$A:$A,$E135),COUNTIFS('RAW_유기농_11-12월'!$D:$D,$C135,'RAW_유기농_11-12월'!$A:$A,$E135))))</f>
        <v>0</v>
      </c>
    </row>
    <row r="136" ht="15.75" customHeight="1">
      <c r="A136" s="5"/>
      <c r="B136" s="5"/>
      <c r="C136" s="5"/>
      <c r="D136" s="6"/>
      <c r="E136" s="5"/>
      <c r="F136" s="7" t="str">
        <f>IF($C136="","",IF('설정'!$B$4=0,"",CHOOSE('설정'!$B$4,SUMIFS('RAW_유기농_7월'!$F:$F,'RAW_유기농_7월'!$D:$D,$C136,'RAW_유기농_7월'!$A:$A,$E136),SUMIFS('RAW_유기농_8월'!$F:$F,'RAW_유기농_8월'!$D:$D,$C136,'RAW_유기농_8월'!$A:$A,$E136),SUMIFS('RAW_유기농_9월'!$F:$F,'RAW_유기농_9월'!$D:$D,$C136,'RAW_유기농_9월'!$A:$A,$E136),SUMIFS('RAW_유기농_10월'!$F:$F,'RAW_유기농_10월'!$D:$D,$C136,'RAW_유기농_10월'!$A:$A,$E136),SUMIFS('RAW_유기농_11-12월'!$F:$F,'RAW_유기농_11-12월'!$D:$D,$C136,'RAW_유기농_11-12월'!$A:$A,$E136))))</f>
        <v/>
      </c>
      <c r="G136" s="7" t="str">
        <f>IF($C136="","",IF('설정'!$B$4=0,"",CHOOSE('설정'!$B$4,SUMIFS('RAW_유기농_7월'!$G:$G,'RAW_유기농_7월'!$D:$D,$C136,'RAW_유기농_7월'!$A:$A,$E136),SUMIFS('RAW_유기농_8월'!$G:$G,'RAW_유기농_8월'!$D:$D,$C136,'RAW_유기농_8월'!$A:$A,$E136),SUMIFS('RAW_유기농_9월'!$G:$G,'RAW_유기농_9월'!$D:$D,$C136,'RAW_유기농_9월'!$A:$A,$E136),SUMIFS('RAW_유기농_10월'!$G:$G,'RAW_유기농_10월'!$D:$D,$C136,'RAW_유기농_10월'!$A:$A,$E136),SUMIFS('RAW_유기농_11-12월'!$G:$G,'RAW_유기농_11-12월'!$D:$D,$C136,'RAW_유기농_11-12월'!$A:$A,$E136))))</f>
        <v/>
      </c>
      <c r="H136" s="7" t="str">
        <f>IF($C136="","",IF('설정'!$B$4=0,"",CHOOSE('설정'!$B$4,SUMIFS('RAW_유기농_7월'!$H:$H,'RAW_유기농_7월'!$D:$D,$C136,'RAW_유기농_7월'!$A:$A,$E136),SUMIFS('RAW_유기농_8월'!$H:$H,'RAW_유기농_8월'!$D:$D,$C136,'RAW_유기농_8월'!$A:$A,$E136),SUMIFS('RAW_유기농_9월'!$H:$H,'RAW_유기농_9월'!$D:$D,$C136,'RAW_유기농_9월'!$A:$A,$E136),SUMIFS('RAW_유기농_10월'!$H:$H,'RAW_유기농_10월'!$D:$D,$C136,'RAW_유기농_10월'!$A:$A,$E136),SUMIFS('RAW_유기농_11-12월'!$H:$H,'RAW_유기농_11-12월'!$D:$D,$C136,'RAW_유기농_11-12월'!$A:$A,$E136))))</f>
        <v/>
      </c>
      <c r="I136" s="17" t="str">
        <f>IF($C136="","",IF(COUNTIFS('RAW_유기농_7월'!$D:$D,$C136,'RAW_유기농_7월'!$A:$A,$E136)&gt;0,"O",""))</f>
        <v/>
      </c>
      <c r="J136" s="17" t="str">
        <f>IF($C136="","",IF(COUNTIFS('RAW_유기농_8월'!$D:$D,$C136,'RAW_유기농_8월'!$A:$A,$E136)&gt;0,"O",""))</f>
        <v/>
      </c>
      <c r="K136" s="17" t="str">
        <f>IF($C136="","",IF(COUNTIFS('RAW_유기농_9월'!$D:$D,$C136,'RAW_유기농_9월'!$A:$A,$E136)&gt;0,"O",""))</f>
        <v/>
      </c>
      <c r="L136" s="17" t="str">
        <f>IF($C136="","",IF(COUNTIFS('RAW_유기농_10월'!$D:$D,$C136,'RAW_유기농_10월'!$A:$A,$E136)&gt;0,"O",""))</f>
        <v/>
      </c>
      <c r="M136" s="17" t="str">
        <f>IF($C136="","",IF(COUNTIFS('RAW_유기농_11-12월'!$D:$D,$C136,'RAW_유기농_11-12월'!$A:$A,$E136)&gt;0,"O",""))</f>
        <v/>
      </c>
      <c r="N136" s="7" t="str">
        <f>IF($C136="","",IF(COUNTA('RAW_유기농_7월'!$A:$A)&lt;=1,"",SUMIFS('RAW_유기농_7월'!$H:$H,'RAW_유기농_7월'!$D:$D,$C136,'RAW_유기농_7월'!$A:$A,$E136)))</f>
        <v/>
      </c>
      <c r="O136" s="7" t="str">
        <f>IF($C136="","",IF(COUNTA('RAW_유기농_8월'!$A:$A)&lt;=1,"",SUMIFS('RAW_유기농_8월'!$H:$H,'RAW_유기농_8월'!$D:$D,$C136,'RAW_유기농_8월'!$A:$A,$E136)-SUMIFS('RAW_유기농_7월'!$H:$H,'RAW_유기농_7월'!$D:$D,$C136,'RAW_유기농_7월'!$A:$A,$E136)))</f>
        <v/>
      </c>
      <c r="P136" s="7" t="str">
        <f>IF($C136="","",IF(COUNTA('RAW_유기농_9월'!$A:$A)&lt;=1,"",SUMIFS('RAW_유기농_9월'!$H:$H,'RAW_유기농_9월'!$D:$D,$C136,'RAW_유기농_9월'!$A:$A,$E136)-SUMIFS('RAW_유기농_8월'!$H:$H,'RAW_유기농_8월'!$D:$D,$C136,'RAW_유기농_8월'!$A:$A,$E136)))</f>
        <v/>
      </c>
      <c r="Q136" s="7" t="str">
        <f>IF($C136="","",IF(COUNTA('RAW_유기농_10월'!$A:$A)&lt;=1,"",SUMIFS('RAW_유기농_10월'!$H:$H,'RAW_유기농_10월'!$D:$D,$C136,'RAW_유기농_10월'!$A:$A,$E136)-SUMIFS('RAW_유기농_9월'!$H:$H,'RAW_유기농_9월'!$D:$D,$C136,'RAW_유기농_9월'!$A:$A,$E136)))</f>
        <v/>
      </c>
      <c r="R136" s="7" t="str">
        <f>IF($C136="","",IF(COUNTA('RAW_유기농_11-12월'!$A:$A)&lt;=1,"",SUMIFS('RAW_유기농_11-12월'!$H:$H,'RAW_유기농_11-12월'!$D:$D,$C136,'RAW_유기농_11-12월'!$A:$A,$E136)-SUMIFS('RAW_유기농_10월'!$H:$H,'RAW_유기농_10월'!$D:$D,$C136,'RAW_유기농_10월'!$A:$A,$E136)))</f>
        <v/>
      </c>
      <c r="S136" s="17" t="str">
        <f t="shared" si="4"/>
        <v/>
      </c>
      <c r="T136" s="17" t="str">
        <f t="shared" si="5"/>
        <v/>
      </c>
      <c r="U136" s="7">
        <f>IF($C136="",0,IF('설정'!$B$4=0,0,CHOOSE('설정'!$B$4,COUNTIFS('RAW_유기농_7월'!$D:$D,$C136,'RAW_유기농_7월'!$A:$A,$E136),COUNTIFS('RAW_유기농_8월'!$D:$D,$C136,'RAW_유기농_8월'!$A:$A,$E136),COUNTIFS('RAW_유기농_9월'!$D:$D,$C136,'RAW_유기농_9월'!$A:$A,$E136),COUNTIFS('RAW_유기농_10월'!$D:$D,$C136,'RAW_유기농_10월'!$A:$A,$E136),COUNTIFS('RAW_유기농_11-12월'!$D:$D,$C136,'RAW_유기농_11-12월'!$A:$A,$E136))))</f>
        <v>0</v>
      </c>
    </row>
    <row r="137" ht="15.75" customHeight="1">
      <c r="A137" s="5"/>
      <c r="B137" s="5"/>
      <c r="C137" s="5"/>
      <c r="D137" s="6"/>
      <c r="E137" s="5"/>
      <c r="F137" s="7" t="str">
        <f>IF($C137="","",IF('설정'!$B$4=0,"",CHOOSE('설정'!$B$4,SUMIFS('RAW_유기농_7월'!$F:$F,'RAW_유기농_7월'!$D:$D,$C137,'RAW_유기농_7월'!$A:$A,$E137),SUMIFS('RAW_유기농_8월'!$F:$F,'RAW_유기농_8월'!$D:$D,$C137,'RAW_유기농_8월'!$A:$A,$E137),SUMIFS('RAW_유기농_9월'!$F:$F,'RAW_유기농_9월'!$D:$D,$C137,'RAW_유기농_9월'!$A:$A,$E137),SUMIFS('RAW_유기농_10월'!$F:$F,'RAW_유기농_10월'!$D:$D,$C137,'RAW_유기농_10월'!$A:$A,$E137),SUMIFS('RAW_유기농_11-12월'!$F:$F,'RAW_유기농_11-12월'!$D:$D,$C137,'RAW_유기농_11-12월'!$A:$A,$E137))))</f>
        <v/>
      </c>
      <c r="G137" s="7" t="str">
        <f>IF($C137="","",IF('설정'!$B$4=0,"",CHOOSE('설정'!$B$4,SUMIFS('RAW_유기농_7월'!$G:$G,'RAW_유기농_7월'!$D:$D,$C137,'RAW_유기농_7월'!$A:$A,$E137),SUMIFS('RAW_유기농_8월'!$G:$G,'RAW_유기농_8월'!$D:$D,$C137,'RAW_유기농_8월'!$A:$A,$E137),SUMIFS('RAW_유기농_9월'!$G:$G,'RAW_유기농_9월'!$D:$D,$C137,'RAW_유기농_9월'!$A:$A,$E137),SUMIFS('RAW_유기농_10월'!$G:$G,'RAW_유기농_10월'!$D:$D,$C137,'RAW_유기농_10월'!$A:$A,$E137),SUMIFS('RAW_유기농_11-12월'!$G:$G,'RAW_유기농_11-12월'!$D:$D,$C137,'RAW_유기농_11-12월'!$A:$A,$E137))))</f>
        <v/>
      </c>
      <c r="H137" s="7" t="str">
        <f>IF($C137="","",IF('설정'!$B$4=0,"",CHOOSE('설정'!$B$4,SUMIFS('RAW_유기농_7월'!$H:$H,'RAW_유기농_7월'!$D:$D,$C137,'RAW_유기농_7월'!$A:$A,$E137),SUMIFS('RAW_유기농_8월'!$H:$H,'RAW_유기농_8월'!$D:$D,$C137,'RAW_유기농_8월'!$A:$A,$E137),SUMIFS('RAW_유기농_9월'!$H:$H,'RAW_유기농_9월'!$D:$D,$C137,'RAW_유기농_9월'!$A:$A,$E137),SUMIFS('RAW_유기농_10월'!$H:$H,'RAW_유기농_10월'!$D:$D,$C137,'RAW_유기농_10월'!$A:$A,$E137),SUMIFS('RAW_유기농_11-12월'!$H:$H,'RAW_유기농_11-12월'!$D:$D,$C137,'RAW_유기농_11-12월'!$A:$A,$E137))))</f>
        <v/>
      </c>
      <c r="I137" s="17" t="str">
        <f>IF($C137="","",IF(COUNTIFS('RAW_유기농_7월'!$D:$D,$C137,'RAW_유기농_7월'!$A:$A,$E137)&gt;0,"O",""))</f>
        <v/>
      </c>
      <c r="J137" s="17" t="str">
        <f>IF($C137="","",IF(COUNTIFS('RAW_유기농_8월'!$D:$D,$C137,'RAW_유기농_8월'!$A:$A,$E137)&gt;0,"O",""))</f>
        <v/>
      </c>
      <c r="K137" s="17" t="str">
        <f>IF($C137="","",IF(COUNTIFS('RAW_유기농_9월'!$D:$D,$C137,'RAW_유기농_9월'!$A:$A,$E137)&gt;0,"O",""))</f>
        <v/>
      </c>
      <c r="L137" s="17" t="str">
        <f>IF($C137="","",IF(COUNTIFS('RAW_유기농_10월'!$D:$D,$C137,'RAW_유기농_10월'!$A:$A,$E137)&gt;0,"O",""))</f>
        <v/>
      </c>
      <c r="M137" s="17" t="str">
        <f>IF($C137="","",IF(COUNTIFS('RAW_유기농_11-12월'!$D:$D,$C137,'RAW_유기농_11-12월'!$A:$A,$E137)&gt;0,"O",""))</f>
        <v/>
      </c>
      <c r="N137" s="7" t="str">
        <f>IF($C137="","",IF(COUNTA('RAW_유기농_7월'!$A:$A)&lt;=1,"",SUMIFS('RAW_유기농_7월'!$H:$H,'RAW_유기농_7월'!$D:$D,$C137,'RAW_유기농_7월'!$A:$A,$E137)))</f>
        <v/>
      </c>
      <c r="O137" s="7" t="str">
        <f>IF($C137="","",IF(COUNTA('RAW_유기농_8월'!$A:$A)&lt;=1,"",SUMIFS('RAW_유기농_8월'!$H:$H,'RAW_유기농_8월'!$D:$D,$C137,'RAW_유기농_8월'!$A:$A,$E137)-SUMIFS('RAW_유기농_7월'!$H:$H,'RAW_유기농_7월'!$D:$D,$C137,'RAW_유기농_7월'!$A:$A,$E137)))</f>
        <v/>
      </c>
      <c r="P137" s="7" t="str">
        <f>IF($C137="","",IF(COUNTA('RAW_유기농_9월'!$A:$A)&lt;=1,"",SUMIFS('RAW_유기농_9월'!$H:$H,'RAW_유기농_9월'!$D:$D,$C137,'RAW_유기농_9월'!$A:$A,$E137)-SUMIFS('RAW_유기농_8월'!$H:$H,'RAW_유기농_8월'!$D:$D,$C137,'RAW_유기농_8월'!$A:$A,$E137)))</f>
        <v/>
      </c>
      <c r="Q137" s="7" t="str">
        <f>IF($C137="","",IF(COUNTA('RAW_유기농_10월'!$A:$A)&lt;=1,"",SUMIFS('RAW_유기농_10월'!$H:$H,'RAW_유기농_10월'!$D:$D,$C137,'RAW_유기농_10월'!$A:$A,$E137)-SUMIFS('RAW_유기농_9월'!$H:$H,'RAW_유기농_9월'!$D:$D,$C137,'RAW_유기농_9월'!$A:$A,$E137)))</f>
        <v/>
      </c>
      <c r="R137" s="7" t="str">
        <f>IF($C137="","",IF(COUNTA('RAW_유기농_11-12월'!$A:$A)&lt;=1,"",SUMIFS('RAW_유기농_11-12월'!$H:$H,'RAW_유기농_11-12월'!$D:$D,$C137,'RAW_유기농_11-12월'!$A:$A,$E137)-SUMIFS('RAW_유기농_10월'!$H:$H,'RAW_유기농_10월'!$D:$D,$C137,'RAW_유기농_10월'!$A:$A,$E137)))</f>
        <v/>
      </c>
      <c r="S137" s="17" t="str">
        <f t="shared" si="4"/>
        <v/>
      </c>
      <c r="T137" s="17" t="str">
        <f t="shared" si="5"/>
        <v/>
      </c>
      <c r="U137" s="7">
        <f>IF($C137="",0,IF('설정'!$B$4=0,0,CHOOSE('설정'!$B$4,COUNTIFS('RAW_유기농_7월'!$D:$D,$C137,'RAW_유기농_7월'!$A:$A,$E137),COUNTIFS('RAW_유기농_8월'!$D:$D,$C137,'RAW_유기농_8월'!$A:$A,$E137),COUNTIFS('RAW_유기농_9월'!$D:$D,$C137,'RAW_유기농_9월'!$A:$A,$E137),COUNTIFS('RAW_유기농_10월'!$D:$D,$C137,'RAW_유기농_10월'!$A:$A,$E137),COUNTIFS('RAW_유기농_11-12월'!$D:$D,$C137,'RAW_유기농_11-12월'!$A:$A,$E137))))</f>
        <v>0</v>
      </c>
    </row>
    <row r="138" ht="15.75" customHeight="1">
      <c r="A138" s="5"/>
      <c r="B138" s="5"/>
      <c r="C138" s="5"/>
      <c r="D138" s="6"/>
      <c r="E138" s="5"/>
      <c r="F138" s="7" t="str">
        <f>IF($C138="","",IF('설정'!$B$4=0,"",CHOOSE('설정'!$B$4,SUMIFS('RAW_유기농_7월'!$F:$F,'RAW_유기농_7월'!$D:$D,$C138,'RAW_유기농_7월'!$A:$A,$E138),SUMIFS('RAW_유기농_8월'!$F:$F,'RAW_유기농_8월'!$D:$D,$C138,'RAW_유기농_8월'!$A:$A,$E138),SUMIFS('RAW_유기농_9월'!$F:$F,'RAW_유기농_9월'!$D:$D,$C138,'RAW_유기농_9월'!$A:$A,$E138),SUMIFS('RAW_유기농_10월'!$F:$F,'RAW_유기농_10월'!$D:$D,$C138,'RAW_유기농_10월'!$A:$A,$E138),SUMIFS('RAW_유기농_11-12월'!$F:$F,'RAW_유기농_11-12월'!$D:$D,$C138,'RAW_유기농_11-12월'!$A:$A,$E138))))</f>
        <v/>
      </c>
      <c r="G138" s="7" t="str">
        <f>IF($C138="","",IF('설정'!$B$4=0,"",CHOOSE('설정'!$B$4,SUMIFS('RAW_유기농_7월'!$G:$G,'RAW_유기농_7월'!$D:$D,$C138,'RAW_유기농_7월'!$A:$A,$E138),SUMIFS('RAW_유기농_8월'!$G:$G,'RAW_유기농_8월'!$D:$D,$C138,'RAW_유기농_8월'!$A:$A,$E138),SUMIFS('RAW_유기농_9월'!$G:$G,'RAW_유기농_9월'!$D:$D,$C138,'RAW_유기농_9월'!$A:$A,$E138),SUMIFS('RAW_유기농_10월'!$G:$G,'RAW_유기농_10월'!$D:$D,$C138,'RAW_유기농_10월'!$A:$A,$E138),SUMIFS('RAW_유기농_11-12월'!$G:$G,'RAW_유기농_11-12월'!$D:$D,$C138,'RAW_유기농_11-12월'!$A:$A,$E138))))</f>
        <v/>
      </c>
      <c r="H138" s="7" t="str">
        <f>IF($C138="","",IF('설정'!$B$4=0,"",CHOOSE('설정'!$B$4,SUMIFS('RAW_유기농_7월'!$H:$H,'RAW_유기농_7월'!$D:$D,$C138,'RAW_유기농_7월'!$A:$A,$E138),SUMIFS('RAW_유기농_8월'!$H:$H,'RAW_유기농_8월'!$D:$D,$C138,'RAW_유기농_8월'!$A:$A,$E138),SUMIFS('RAW_유기농_9월'!$H:$H,'RAW_유기농_9월'!$D:$D,$C138,'RAW_유기농_9월'!$A:$A,$E138),SUMIFS('RAW_유기농_10월'!$H:$H,'RAW_유기농_10월'!$D:$D,$C138,'RAW_유기농_10월'!$A:$A,$E138),SUMIFS('RAW_유기농_11-12월'!$H:$H,'RAW_유기농_11-12월'!$D:$D,$C138,'RAW_유기농_11-12월'!$A:$A,$E138))))</f>
        <v/>
      </c>
      <c r="I138" s="17" t="str">
        <f>IF($C138="","",IF(COUNTIFS('RAW_유기농_7월'!$D:$D,$C138,'RAW_유기농_7월'!$A:$A,$E138)&gt;0,"O",""))</f>
        <v/>
      </c>
      <c r="J138" s="17" t="str">
        <f>IF($C138="","",IF(COUNTIFS('RAW_유기농_8월'!$D:$D,$C138,'RAW_유기농_8월'!$A:$A,$E138)&gt;0,"O",""))</f>
        <v/>
      </c>
      <c r="K138" s="17" t="str">
        <f>IF($C138="","",IF(COUNTIFS('RAW_유기농_9월'!$D:$D,$C138,'RAW_유기농_9월'!$A:$A,$E138)&gt;0,"O",""))</f>
        <v/>
      </c>
      <c r="L138" s="17" t="str">
        <f>IF($C138="","",IF(COUNTIFS('RAW_유기농_10월'!$D:$D,$C138,'RAW_유기농_10월'!$A:$A,$E138)&gt;0,"O",""))</f>
        <v/>
      </c>
      <c r="M138" s="17" t="str">
        <f>IF($C138="","",IF(COUNTIFS('RAW_유기농_11-12월'!$D:$D,$C138,'RAW_유기농_11-12월'!$A:$A,$E138)&gt;0,"O",""))</f>
        <v/>
      </c>
      <c r="N138" s="7" t="str">
        <f>IF($C138="","",IF(COUNTA('RAW_유기농_7월'!$A:$A)&lt;=1,"",SUMIFS('RAW_유기농_7월'!$H:$H,'RAW_유기농_7월'!$D:$D,$C138,'RAW_유기농_7월'!$A:$A,$E138)))</f>
        <v/>
      </c>
      <c r="O138" s="7" t="str">
        <f>IF($C138="","",IF(COUNTA('RAW_유기농_8월'!$A:$A)&lt;=1,"",SUMIFS('RAW_유기농_8월'!$H:$H,'RAW_유기농_8월'!$D:$D,$C138,'RAW_유기농_8월'!$A:$A,$E138)-SUMIFS('RAW_유기농_7월'!$H:$H,'RAW_유기농_7월'!$D:$D,$C138,'RAW_유기농_7월'!$A:$A,$E138)))</f>
        <v/>
      </c>
      <c r="P138" s="7" t="str">
        <f>IF($C138="","",IF(COUNTA('RAW_유기농_9월'!$A:$A)&lt;=1,"",SUMIFS('RAW_유기농_9월'!$H:$H,'RAW_유기농_9월'!$D:$D,$C138,'RAW_유기농_9월'!$A:$A,$E138)-SUMIFS('RAW_유기농_8월'!$H:$H,'RAW_유기농_8월'!$D:$D,$C138,'RAW_유기농_8월'!$A:$A,$E138)))</f>
        <v/>
      </c>
      <c r="Q138" s="7" t="str">
        <f>IF($C138="","",IF(COUNTA('RAW_유기농_10월'!$A:$A)&lt;=1,"",SUMIFS('RAW_유기농_10월'!$H:$H,'RAW_유기농_10월'!$D:$D,$C138,'RAW_유기농_10월'!$A:$A,$E138)-SUMIFS('RAW_유기농_9월'!$H:$H,'RAW_유기농_9월'!$D:$D,$C138,'RAW_유기농_9월'!$A:$A,$E138)))</f>
        <v/>
      </c>
      <c r="R138" s="7" t="str">
        <f>IF($C138="","",IF(COUNTA('RAW_유기농_11-12월'!$A:$A)&lt;=1,"",SUMIFS('RAW_유기농_11-12월'!$H:$H,'RAW_유기농_11-12월'!$D:$D,$C138,'RAW_유기농_11-12월'!$A:$A,$E138)-SUMIFS('RAW_유기농_10월'!$H:$H,'RAW_유기농_10월'!$D:$D,$C138,'RAW_유기농_10월'!$A:$A,$E138)))</f>
        <v/>
      </c>
      <c r="S138" s="17" t="str">
        <f t="shared" si="4"/>
        <v/>
      </c>
      <c r="T138" s="17" t="str">
        <f t="shared" si="5"/>
        <v/>
      </c>
      <c r="U138" s="7">
        <f>IF($C138="",0,IF('설정'!$B$4=0,0,CHOOSE('설정'!$B$4,COUNTIFS('RAW_유기농_7월'!$D:$D,$C138,'RAW_유기농_7월'!$A:$A,$E138),COUNTIFS('RAW_유기농_8월'!$D:$D,$C138,'RAW_유기농_8월'!$A:$A,$E138),COUNTIFS('RAW_유기농_9월'!$D:$D,$C138,'RAW_유기농_9월'!$A:$A,$E138),COUNTIFS('RAW_유기농_10월'!$D:$D,$C138,'RAW_유기농_10월'!$A:$A,$E138),COUNTIFS('RAW_유기농_11-12월'!$D:$D,$C138,'RAW_유기농_11-12월'!$A:$A,$E138))))</f>
        <v>0</v>
      </c>
    </row>
    <row r="139" ht="15.75" customHeight="1">
      <c r="A139" s="5"/>
      <c r="B139" s="5"/>
      <c r="C139" s="5"/>
      <c r="D139" s="6"/>
      <c r="E139" s="5"/>
      <c r="F139" s="7" t="str">
        <f>IF($C139="","",IF('설정'!$B$4=0,"",CHOOSE('설정'!$B$4,SUMIFS('RAW_유기농_7월'!$F:$F,'RAW_유기농_7월'!$D:$D,$C139,'RAW_유기농_7월'!$A:$A,$E139),SUMIFS('RAW_유기농_8월'!$F:$F,'RAW_유기농_8월'!$D:$D,$C139,'RAW_유기농_8월'!$A:$A,$E139),SUMIFS('RAW_유기농_9월'!$F:$F,'RAW_유기농_9월'!$D:$D,$C139,'RAW_유기농_9월'!$A:$A,$E139),SUMIFS('RAW_유기농_10월'!$F:$F,'RAW_유기농_10월'!$D:$D,$C139,'RAW_유기농_10월'!$A:$A,$E139),SUMIFS('RAW_유기농_11-12월'!$F:$F,'RAW_유기농_11-12월'!$D:$D,$C139,'RAW_유기농_11-12월'!$A:$A,$E139))))</f>
        <v/>
      </c>
      <c r="G139" s="7" t="str">
        <f>IF($C139="","",IF('설정'!$B$4=0,"",CHOOSE('설정'!$B$4,SUMIFS('RAW_유기농_7월'!$G:$G,'RAW_유기농_7월'!$D:$D,$C139,'RAW_유기농_7월'!$A:$A,$E139),SUMIFS('RAW_유기농_8월'!$G:$G,'RAW_유기농_8월'!$D:$D,$C139,'RAW_유기농_8월'!$A:$A,$E139),SUMIFS('RAW_유기농_9월'!$G:$G,'RAW_유기농_9월'!$D:$D,$C139,'RAW_유기농_9월'!$A:$A,$E139),SUMIFS('RAW_유기농_10월'!$G:$G,'RAW_유기농_10월'!$D:$D,$C139,'RAW_유기농_10월'!$A:$A,$E139),SUMIFS('RAW_유기농_11-12월'!$G:$G,'RAW_유기농_11-12월'!$D:$D,$C139,'RAW_유기농_11-12월'!$A:$A,$E139))))</f>
        <v/>
      </c>
      <c r="H139" s="7" t="str">
        <f>IF($C139="","",IF('설정'!$B$4=0,"",CHOOSE('설정'!$B$4,SUMIFS('RAW_유기농_7월'!$H:$H,'RAW_유기농_7월'!$D:$D,$C139,'RAW_유기농_7월'!$A:$A,$E139),SUMIFS('RAW_유기농_8월'!$H:$H,'RAW_유기농_8월'!$D:$D,$C139,'RAW_유기농_8월'!$A:$A,$E139),SUMIFS('RAW_유기농_9월'!$H:$H,'RAW_유기농_9월'!$D:$D,$C139,'RAW_유기농_9월'!$A:$A,$E139),SUMIFS('RAW_유기농_10월'!$H:$H,'RAW_유기농_10월'!$D:$D,$C139,'RAW_유기농_10월'!$A:$A,$E139),SUMIFS('RAW_유기농_11-12월'!$H:$H,'RAW_유기농_11-12월'!$D:$D,$C139,'RAW_유기농_11-12월'!$A:$A,$E139))))</f>
        <v/>
      </c>
      <c r="I139" s="17" t="str">
        <f>IF($C139="","",IF(COUNTIFS('RAW_유기농_7월'!$D:$D,$C139,'RAW_유기농_7월'!$A:$A,$E139)&gt;0,"O",""))</f>
        <v/>
      </c>
      <c r="J139" s="17" t="str">
        <f>IF($C139="","",IF(COUNTIFS('RAW_유기농_8월'!$D:$D,$C139,'RAW_유기농_8월'!$A:$A,$E139)&gt;0,"O",""))</f>
        <v/>
      </c>
      <c r="K139" s="17" t="str">
        <f>IF($C139="","",IF(COUNTIFS('RAW_유기농_9월'!$D:$D,$C139,'RAW_유기농_9월'!$A:$A,$E139)&gt;0,"O",""))</f>
        <v/>
      </c>
      <c r="L139" s="17" t="str">
        <f>IF($C139="","",IF(COUNTIFS('RAW_유기농_10월'!$D:$D,$C139,'RAW_유기농_10월'!$A:$A,$E139)&gt;0,"O",""))</f>
        <v/>
      </c>
      <c r="M139" s="17" t="str">
        <f>IF($C139="","",IF(COUNTIFS('RAW_유기농_11-12월'!$D:$D,$C139,'RAW_유기농_11-12월'!$A:$A,$E139)&gt;0,"O",""))</f>
        <v/>
      </c>
      <c r="N139" s="7" t="str">
        <f>IF($C139="","",IF(COUNTA('RAW_유기농_7월'!$A:$A)&lt;=1,"",SUMIFS('RAW_유기농_7월'!$H:$H,'RAW_유기농_7월'!$D:$D,$C139,'RAW_유기농_7월'!$A:$A,$E139)))</f>
        <v/>
      </c>
      <c r="O139" s="7" t="str">
        <f>IF($C139="","",IF(COUNTA('RAW_유기농_8월'!$A:$A)&lt;=1,"",SUMIFS('RAW_유기농_8월'!$H:$H,'RAW_유기농_8월'!$D:$D,$C139,'RAW_유기농_8월'!$A:$A,$E139)-SUMIFS('RAW_유기농_7월'!$H:$H,'RAW_유기농_7월'!$D:$D,$C139,'RAW_유기농_7월'!$A:$A,$E139)))</f>
        <v/>
      </c>
      <c r="P139" s="7" t="str">
        <f>IF($C139="","",IF(COUNTA('RAW_유기농_9월'!$A:$A)&lt;=1,"",SUMIFS('RAW_유기농_9월'!$H:$H,'RAW_유기농_9월'!$D:$D,$C139,'RAW_유기농_9월'!$A:$A,$E139)-SUMIFS('RAW_유기농_8월'!$H:$H,'RAW_유기농_8월'!$D:$D,$C139,'RAW_유기농_8월'!$A:$A,$E139)))</f>
        <v/>
      </c>
      <c r="Q139" s="7" t="str">
        <f>IF($C139="","",IF(COUNTA('RAW_유기농_10월'!$A:$A)&lt;=1,"",SUMIFS('RAW_유기농_10월'!$H:$H,'RAW_유기농_10월'!$D:$D,$C139,'RAW_유기농_10월'!$A:$A,$E139)-SUMIFS('RAW_유기농_9월'!$H:$H,'RAW_유기농_9월'!$D:$D,$C139,'RAW_유기농_9월'!$A:$A,$E139)))</f>
        <v/>
      </c>
      <c r="R139" s="7" t="str">
        <f>IF($C139="","",IF(COUNTA('RAW_유기농_11-12월'!$A:$A)&lt;=1,"",SUMIFS('RAW_유기농_11-12월'!$H:$H,'RAW_유기농_11-12월'!$D:$D,$C139,'RAW_유기농_11-12월'!$A:$A,$E139)-SUMIFS('RAW_유기농_10월'!$H:$H,'RAW_유기농_10월'!$D:$D,$C139,'RAW_유기농_10월'!$A:$A,$E139)))</f>
        <v/>
      </c>
      <c r="S139" s="17" t="str">
        <f t="shared" si="4"/>
        <v/>
      </c>
      <c r="T139" s="17" t="str">
        <f t="shared" si="5"/>
        <v/>
      </c>
      <c r="U139" s="7">
        <f>IF($C139="",0,IF('설정'!$B$4=0,0,CHOOSE('설정'!$B$4,COUNTIFS('RAW_유기농_7월'!$D:$D,$C139,'RAW_유기농_7월'!$A:$A,$E139),COUNTIFS('RAW_유기농_8월'!$D:$D,$C139,'RAW_유기농_8월'!$A:$A,$E139),COUNTIFS('RAW_유기농_9월'!$D:$D,$C139,'RAW_유기농_9월'!$A:$A,$E139),COUNTIFS('RAW_유기농_10월'!$D:$D,$C139,'RAW_유기농_10월'!$A:$A,$E139),COUNTIFS('RAW_유기농_11-12월'!$D:$D,$C139,'RAW_유기농_11-12월'!$A:$A,$E139))))</f>
        <v>0</v>
      </c>
    </row>
    <row r="140" ht="15.75" customHeight="1">
      <c r="A140" s="5"/>
      <c r="B140" s="5"/>
      <c r="C140" s="5"/>
      <c r="D140" s="6"/>
      <c r="E140" s="5"/>
      <c r="F140" s="7" t="str">
        <f>IF($C140="","",IF('설정'!$B$4=0,"",CHOOSE('설정'!$B$4,SUMIFS('RAW_유기농_7월'!$F:$F,'RAW_유기농_7월'!$D:$D,$C140,'RAW_유기농_7월'!$A:$A,$E140),SUMIFS('RAW_유기농_8월'!$F:$F,'RAW_유기농_8월'!$D:$D,$C140,'RAW_유기농_8월'!$A:$A,$E140),SUMIFS('RAW_유기농_9월'!$F:$F,'RAW_유기농_9월'!$D:$D,$C140,'RAW_유기농_9월'!$A:$A,$E140),SUMIFS('RAW_유기농_10월'!$F:$F,'RAW_유기농_10월'!$D:$D,$C140,'RAW_유기농_10월'!$A:$A,$E140),SUMIFS('RAW_유기농_11-12월'!$F:$F,'RAW_유기농_11-12월'!$D:$D,$C140,'RAW_유기농_11-12월'!$A:$A,$E140))))</f>
        <v/>
      </c>
      <c r="G140" s="7" t="str">
        <f>IF($C140="","",IF('설정'!$B$4=0,"",CHOOSE('설정'!$B$4,SUMIFS('RAW_유기농_7월'!$G:$G,'RAW_유기농_7월'!$D:$D,$C140,'RAW_유기농_7월'!$A:$A,$E140),SUMIFS('RAW_유기농_8월'!$G:$G,'RAW_유기농_8월'!$D:$D,$C140,'RAW_유기농_8월'!$A:$A,$E140),SUMIFS('RAW_유기농_9월'!$G:$G,'RAW_유기농_9월'!$D:$D,$C140,'RAW_유기농_9월'!$A:$A,$E140),SUMIFS('RAW_유기농_10월'!$G:$G,'RAW_유기농_10월'!$D:$D,$C140,'RAW_유기농_10월'!$A:$A,$E140),SUMIFS('RAW_유기농_11-12월'!$G:$G,'RAW_유기농_11-12월'!$D:$D,$C140,'RAW_유기농_11-12월'!$A:$A,$E140))))</f>
        <v/>
      </c>
      <c r="H140" s="7" t="str">
        <f>IF($C140="","",IF('설정'!$B$4=0,"",CHOOSE('설정'!$B$4,SUMIFS('RAW_유기농_7월'!$H:$H,'RAW_유기농_7월'!$D:$D,$C140,'RAW_유기농_7월'!$A:$A,$E140),SUMIFS('RAW_유기농_8월'!$H:$H,'RAW_유기농_8월'!$D:$D,$C140,'RAW_유기농_8월'!$A:$A,$E140),SUMIFS('RAW_유기농_9월'!$H:$H,'RAW_유기농_9월'!$D:$D,$C140,'RAW_유기농_9월'!$A:$A,$E140),SUMIFS('RAW_유기농_10월'!$H:$H,'RAW_유기농_10월'!$D:$D,$C140,'RAW_유기농_10월'!$A:$A,$E140),SUMIFS('RAW_유기농_11-12월'!$H:$H,'RAW_유기농_11-12월'!$D:$D,$C140,'RAW_유기농_11-12월'!$A:$A,$E140))))</f>
        <v/>
      </c>
      <c r="I140" s="17" t="str">
        <f>IF($C140="","",IF(COUNTIFS('RAW_유기농_7월'!$D:$D,$C140,'RAW_유기농_7월'!$A:$A,$E140)&gt;0,"O",""))</f>
        <v/>
      </c>
      <c r="J140" s="17" t="str">
        <f>IF($C140="","",IF(COUNTIFS('RAW_유기농_8월'!$D:$D,$C140,'RAW_유기농_8월'!$A:$A,$E140)&gt;0,"O",""))</f>
        <v/>
      </c>
      <c r="K140" s="17" t="str">
        <f>IF($C140="","",IF(COUNTIFS('RAW_유기농_9월'!$D:$D,$C140,'RAW_유기농_9월'!$A:$A,$E140)&gt;0,"O",""))</f>
        <v/>
      </c>
      <c r="L140" s="17" t="str">
        <f>IF($C140="","",IF(COUNTIFS('RAW_유기농_10월'!$D:$D,$C140,'RAW_유기농_10월'!$A:$A,$E140)&gt;0,"O",""))</f>
        <v/>
      </c>
      <c r="M140" s="17" t="str">
        <f>IF($C140="","",IF(COUNTIFS('RAW_유기농_11-12월'!$D:$D,$C140,'RAW_유기농_11-12월'!$A:$A,$E140)&gt;0,"O",""))</f>
        <v/>
      </c>
      <c r="N140" s="7" t="str">
        <f>IF($C140="","",IF(COUNTA('RAW_유기농_7월'!$A:$A)&lt;=1,"",SUMIFS('RAW_유기농_7월'!$H:$H,'RAW_유기농_7월'!$D:$D,$C140,'RAW_유기농_7월'!$A:$A,$E140)))</f>
        <v/>
      </c>
      <c r="O140" s="7" t="str">
        <f>IF($C140="","",IF(COUNTA('RAW_유기농_8월'!$A:$A)&lt;=1,"",SUMIFS('RAW_유기농_8월'!$H:$H,'RAW_유기농_8월'!$D:$D,$C140,'RAW_유기농_8월'!$A:$A,$E140)-SUMIFS('RAW_유기농_7월'!$H:$H,'RAW_유기농_7월'!$D:$D,$C140,'RAW_유기농_7월'!$A:$A,$E140)))</f>
        <v/>
      </c>
      <c r="P140" s="7" t="str">
        <f>IF($C140="","",IF(COUNTA('RAW_유기농_9월'!$A:$A)&lt;=1,"",SUMIFS('RAW_유기농_9월'!$H:$H,'RAW_유기농_9월'!$D:$D,$C140,'RAW_유기농_9월'!$A:$A,$E140)-SUMIFS('RAW_유기농_8월'!$H:$H,'RAW_유기농_8월'!$D:$D,$C140,'RAW_유기농_8월'!$A:$A,$E140)))</f>
        <v/>
      </c>
      <c r="Q140" s="7" t="str">
        <f>IF($C140="","",IF(COUNTA('RAW_유기농_10월'!$A:$A)&lt;=1,"",SUMIFS('RAW_유기농_10월'!$H:$H,'RAW_유기농_10월'!$D:$D,$C140,'RAW_유기농_10월'!$A:$A,$E140)-SUMIFS('RAW_유기농_9월'!$H:$H,'RAW_유기농_9월'!$D:$D,$C140,'RAW_유기농_9월'!$A:$A,$E140)))</f>
        <v/>
      </c>
      <c r="R140" s="7" t="str">
        <f>IF($C140="","",IF(COUNTA('RAW_유기농_11-12월'!$A:$A)&lt;=1,"",SUMIFS('RAW_유기농_11-12월'!$H:$H,'RAW_유기농_11-12월'!$D:$D,$C140,'RAW_유기농_11-12월'!$A:$A,$E140)-SUMIFS('RAW_유기농_10월'!$H:$H,'RAW_유기농_10월'!$D:$D,$C140,'RAW_유기농_10월'!$A:$A,$E140)))</f>
        <v/>
      </c>
      <c r="S140" s="17" t="str">
        <f t="shared" si="4"/>
        <v/>
      </c>
      <c r="T140" s="17" t="str">
        <f t="shared" si="5"/>
        <v/>
      </c>
      <c r="U140" s="7">
        <f>IF($C140="",0,IF('설정'!$B$4=0,0,CHOOSE('설정'!$B$4,COUNTIFS('RAW_유기농_7월'!$D:$D,$C140,'RAW_유기농_7월'!$A:$A,$E140),COUNTIFS('RAW_유기농_8월'!$D:$D,$C140,'RAW_유기농_8월'!$A:$A,$E140),COUNTIFS('RAW_유기농_9월'!$D:$D,$C140,'RAW_유기농_9월'!$A:$A,$E140),COUNTIFS('RAW_유기농_10월'!$D:$D,$C140,'RAW_유기농_10월'!$A:$A,$E140),COUNTIFS('RAW_유기농_11-12월'!$D:$D,$C140,'RAW_유기농_11-12월'!$A:$A,$E140))))</f>
        <v>0</v>
      </c>
    </row>
    <row r="141" ht="15.75" customHeight="1">
      <c r="A141" s="5"/>
      <c r="B141" s="5"/>
      <c r="C141" s="5"/>
      <c r="D141" s="6"/>
      <c r="E141" s="5"/>
      <c r="F141" s="7" t="str">
        <f>IF($C141="","",IF('설정'!$B$4=0,"",CHOOSE('설정'!$B$4,SUMIFS('RAW_유기농_7월'!$F:$F,'RAW_유기농_7월'!$D:$D,$C141,'RAW_유기농_7월'!$A:$A,$E141),SUMIFS('RAW_유기농_8월'!$F:$F,'RAW_유기농_8월'!$D:$D,$C141,'RAW_유기농_8월'!$A:$A,$E141),SUMIFS('RAW_유기농_9월'!$F:$F,'RAW_유기농_9월'!$D:$D,$C141,'RAW_유기농_9월'!$A:$A,$E141),SUMIFS('RAW_유기농_10월'!$F:$F,'RAW_유기농_10월'!$D:$D,$C141,'RAW_유기농_10월'!$A:$A,$E141),SUMIFS('RAW_유기농_11-12월'!$F:$F,'RAW_유기농_11-12월'!$D:$D,$C141,'RAW_유기농_11-12월'!$A:$A,$E141))))</f>
        <v/>
      </c>
      <c r="G141" s="7" t="str">
        <f>IF($C141="","",IF('설정'!$B$4=0,"",CHOOSE('설정'!$B$4,SUMIFS('RAW_유기농_7월'!$G:$G,'RAW_유기농_7월'!$D:$D,$C141,'RAW_유기농_7월'!$A:$A,$E141),SUMIFS('RAW_유기농_8월'!$G:$G,'RAW_유기농_8월'!$D:$D,$C141,'RAW_유기농_8월'!$A:$A,$E141),SUMIFS('RAW_유기농_9월'!$G:$G,'RAW_유기농_9월'!$D:$D,$C141,'RAW_유기농_9월'!$A:$A,$E141),SUMIFS('RAW_유기농_10월'!$G:$G,'RAW_유기농_10월'!$D:$D,$C141,'RAW_유기농_10월'!$A:$A,$E141),SUMIFS('RAW_유기농_11-12월'!$G:$G,'RAW_유기농_11-12월'!$D:$D,$C141,'RAW_유기농_11-12월'!$A:$A,$E141))))</f>
        <v/>
      </c>
      <c r="H141" s="7" t="str">
        <f>IF($C141="","",IF('설정'!$B$4=0,"",CHOOSE('설정'!$B$4,SUMIFS('RAW_유기농_7월'!$H:$H,'RAW_유기농_7월'!$D:$D,$C141,'RAW_유기농_7월'!$A:$A,$E141),SUMIFS('RAW_유기농_8월'!$H:$H,'RAW_유기농_8월'!$D:$D,$C141,'RAW_유기농_8월'!$A:$A,$E141),SUMIFS('RAW_유기농_9월'!$H:$H,'RAW_유기농_9월'!$D:$D,$C141,'RAW_유기농_9월'!$A:$A,$E141),SUMIFS('RAW_유기농_10월'!$H:$H,'RAW_유기농_10월'!$D:$D,$C141,'RAW_유기농_10월'!$A:$A,$E141),SUMIFS('RAW_유기농_11-12월'!$H:$H,'RAW_유기농_11-12월'!$D:$D,$C141,'RAW_유기농_11-12월'!$A:$A,$E141))))</f>
        <v/>
      </c>
      <c r="I141" s="17" t="str">
        <f>IF($C141="","",IF(COUNTIFS('RAW_유기농_7월'!$D:$D,$C141,'RAW_유기농_7월'!$A:$A,$E141)&gt;0,"O",""))</f>
        <v/>
      </c>
      <c r="J141" s="17" t="str">
        <f>IF($C141="","",IF(COUNTIFS('RAW_유기농_8월'!$D:$D,$C141,'RAW_유기농_8월'!$A:$A,$E141)&gt;0,"O",""))</f>
        <v/>
      </c>
      <c r="K141" s="17" t="str">
        <f>IF($C141="","",IF(COUNTIFS('RAW_유기농_9월'!$D:$D,$C141,'RAW_유기농_9월'!$A:$A,$E141)&gt;0,"O",""))</f>
        <v/>
      </c>
      <c r="L141" s="17" t="str">
        <f>IF($C141="","",IF(COUNTIFS('RAW_유기농_10월'!$D:$D,$C141,'RAW_유기농_10월'!$A:$A,$E141)&gt;0,"O",""))</f>
        <v/>
      </c>
      <c r="M141" s="17" t="str">
        <f>IF($C141="","",IF(COUNTIFS('RAW_유기농_11-12월'!$D:$D,$C141,'RAW_유기농_11-12월'!$A:$A,$E141)&gt;0,"O",""))</f>
        <v/>
      </c>
      <c r="N141" s="7" t="str">
        <f>IF($C141="","",IF(COUNTA('RAW_유기농_7월'!$A:$A)&lt;=1,"",SUMIFS('RAW_유기농_7월'!$H:$H,'RAW_유기농_7월'!$D:$D,$C141,'RAW_유기농_7월'!$A:$A,$E141)))</f>
        <v/>
      </c>
      <c r="O141" s="7" t="str">
        <f>IF($C141="","",IF(COUNTA('RAW_유기농_8월'!$A:$A)&lt;=1,"",SUMIFS('RAW_유기농_8월'!$H:$H,'RAW_유기농_8월'!$D:$D,$C141,'RAW_유기농_8월'!$A:$A,$E141)-SUMIFS('RAW_유기농_7월'!$H:$H,'RAW_유기농_7월'!$D:$D,$C141,'RAW_유기농_7월'!$A:$A,$E141)))</f>
        <v/>
      </c>
      <c r="P141" s="7" t="str">
        <f>IF($C141="","",IF(COUNTA('RAW_유기농_9월'!$A:$A)&lt;=1,"",SUMIFS('RAW_유기농_9월'!$H:$H,'RAW_유기농_9월'!$D:$D,$C141,'RAW_유기농_9월'!$A:$A,$E141)-SUMIFS('RAW_유기농_8월'!$H:$H,'RAW_유기농_8월'!$D:$D,$C141,'RAW_유기농_8월'!$A:$A,$E141)))</f>
        <v/>
      </c>
      <c r="Q141" s="7" t="str">
        <f>IF($C141="","",IF(COUNTA('RAW_유기농_10월'!$A:$A)&lt;=1,"",SUMIFS('RAW_유기농_10월'!$H:$H,'RAW_유기농_10월'!$D:$D,$C141,'RAW_유기농_10월'!$A:$A,$E141)-SUMIFS('RAW_유기농_9월'!$H:$H,'RAW_유기농_9월'!$D:$D,$C141,'RAW_유기농_9월'!$A:$A,$E141)))</f>
        <v/>
      </c>
      <c r="R141" s="7" t="str">
        <f>IF($C141="","",IF(COUNTA('RAW_유기농_11-12월'!$A:$A)&lt;=1,"",SUMIFS('RAW_유기농_11-12월'!$H:$H,'RAW_유기농_11-12월'!$D:$D,$C141,'RAW_유기농_11-12월'!$A:$A,$E141)-SUMIFS('RAW_유기농_10월'!$H:$H,'RAW_유기농_10월'!$D:$D,$C141,'RAW_유기농_10월'!$A:$A,$E141)))</f>
        <v/>
      </c>
      <c r="S141" s="17" t="str">
        <f t="shared" si="4"/>
        <v/>
      </c>
      <c r="T141" s="17" t="str">
        <f t="shared" si="5"/>
        <v/>
      </c>
      <c r="U141" s="7">
        <f>IF($C141="",0,IF('설정'!$B$4=0,0,CHOOSE('설정'!$B$4,COUNTIFS('RAW_유기농_7월'!$D:$D,$C141,'RAW_유기농_7월'!$A:$A,$E141),COUNTIFS('RAW_유기농_8월'!$D:$D,$C141,'RAW_유기농_8월'!$A:$A,$E141),COUNTIFS('RAW_유기농_9월'!$D:$D,$C141,'RAW_유기농_9월'!$A:$A,$E141),COUNTIFS('RAW_유기농_10월'!$D:$D,$C141,'RAW_유기농_10월'!$A:$A,$E141),COUNTIFS('RAW_유기농_11-12월'!$D:$D,$C141,'RAW_유기농_11-12월'!$A:$A,$E141))))</f>
        <v>0</v>
      </c>
    </row>
    <row r="142" ht="15.75" customHeight="1">
      <c r="A142" s="5"/>
      <c r="B142" s="5"/>
      <c r="C142" s="5"/>
      <c r="D142" s="6"/>
      <c r="E142" s="5"/>
      <c r="F142" s="7" t="str">
        <f>IF($C142="","",IF('설정'!$B$4=0,"",CHOOSE('설정'!$B$4,SUMIFS('RAW_유기농_7월'!$F:$F,'RAW_유기농_7월'!$D:$D,$C142,'RAW_유기농_7월'!$A:$A,$E142),SUMIFS('RAW_유기농_8월'!$F:$F,'RAW_유기농_8월'!$D:$D,$C142,'RAW_유기농_8월'!$A:$A,$E142),SUMIFS('RAW_유기농_9월'!$F:$F,'RAW_유기농_9월'!$D:$D,$C142,'RAW_유기농_9월'!$A:$A,$E142),SUMIFS('RAW_유기농_10월'!$F:$F,'RAW_유기농_10월'!$D:$D,$C142,'RAW_유기농_10월'!$A:$A,$E142),SUMIFS('RAW_유기농_11-12월'!$F:$F,'RAW_유기농_11-12월'!$D:$D,$C142,'RAW_유기농_11-12월'!$A:$A,$E142))))</f>
        <v/>
      </c>
      <c r="G142" s="7" t="str">
        <f>IF($C142="","",IF('설정'!$B$4=0,"",CHOOSE('설정'!$B$4,SUMIFS('RAW_유기농_7월'!$G:$G,'RAW_유기농_7월'!$D:$D,$C142,'RAW_유기농_7월'!$A:$A,$E142),SUMIFS('RAW_유기농_8월'!$G:$G,'RAW_유기농_8월'!$D:$D,$C142,'RAW_유기농_8월'!$A:$A,$E142),SUMIFS('RAW_유기농_9월'!$G:$G,'RAW_유기농_9월'!$D:$D,$C142,'RAW_유기농_9월'!$A:$A,$E142),SUMIFS('RAW_유기농_10월'!$G:$G,'RAW_유기농_10월'!$D:$D,$C142,'RAW_유기농_10월'!$A:$A,$E142),SUMIFS('RAW_유기농_11-12월'!$G:$G,'RAW_유기농_11-12월'!$D:$D,$C142,'RAW_유기농_11-12월'!$A:$A,$E142))))</f>
        <v/>
      </c>
      <c r="H142" s="7" t="str">
        <f>IF($C142="","",IF('설정'!$B$4=0,"",CHOOSE('설정'!$B$4,SUMIFS('RAW_유기농_7월'!$H:$H,'RAW_유기농_7월'!$D:$D,$C142,'RAW_유기농_7월'!$A:$A,$E142),SUMIFS('RAW_유기농_8월'!$H:$H,'RAW_유기농_8월'!$D:$D,$C142,'RAW_유기농_8월'!$A:$A,$E142),SUMIFS('RAW_유기농_9월'!$H:$H,'RAW_유기농_9월'!$D:$D,$C142,'RAW_유기농_9월'!$A:$A,$E142),SUMIFS('RAW_유기농_10월'!$H:$H,'RAW_유기농_10월'!$D:$D,$C142,'RAW_유기농_10월'!$A:$A,$E142),SUMIFS('RAW_유기농_11-12월'!$H:$H,'RAW_유기농_11-12월'!$D:$D,$C142,'RAW_유기농_11-12월'!$A:$A,$E142))))</f>
        <v/>
      </c>
      <c r="I142" s="17" t="str">
        <f>IF($C142="","",IF(COUNTIFS('RAW_유기농_7월'!$D:$D,$C142,'RAW_유기농_7월'!$A:$A,$E142)&gt;0,"O",""))</f>
        <v/>
      </c>
      <c r="J142" s="17" t="str">
        <f>IF($C142="","",IF(COUNTIFS('RAW_유기농_8월'!$D:$D,$C142,'RAW_유기농_8월'!$A:$A,$E142)&gt;0,"O",""))</f>
        <v/>
      </c>
      <c r="K142" s="17" t="str">
        <f>IF($C142="","",IF(COUNTIFS('RAW_유기농_9월'!$D:$D,$C142,'RAW_유기농_9월'!$A:$A,$E142)&gt;0,"O",""))</f>
        <v/>
      </c>
      <c r="L142" s="17" t="str">
        <f>IF($C142="","",IF(COUNTIFS('RAW_유기농_10월'!$D:$D,$C142,'RAW_유기농_10월'!$A:$A,$E142)&gt;0,"O",""))</f>
        <v/>
      </c>
      <c r="M142" s="17" t="str">
        <f>IF($C142="","",IF(COUNTIFS('RAW_유기농_11-12월'!$D:$D,$C142,'RAW_유기농_11-12월'!$A:$A,$E142)&gt;0,"O",""))</f>
        <v/>
      </c>
      <c r="N142" s="7" t="str">
        <f>IF($C142="","",IF(COUNTA('RAW_유기농_7월'!$A:$A)&lt;=1,"",SUMIFS('RAW_유기농_7월'!$H:$H,'RAW_유기농_7월'!$D:$D,$C142,'RAW_유기농_7월'!$A:$A,$E142)))</f>
        <v/>
      </c>
      <c r="O142" s="7" t="str">
        <f>IF($C142="","",IF(COUNTA('RAW_유기농_8월'!$A:$A)&lt;=1,"",SUMIFS('RAW_유기농_8월'!$H:$H,'RAW_유기농_8월'!$D:$D,$C142,'RAW_유기농_8월'!$A:$A,$E142)-SUMIFS('RAW_유기농_7월'!$H:$H,'RAW_유기농_7월'!$D:$D,$C142,'RAW_유기농_7월'!$A:$A,$E142)))</f>
        <v/>
      </c>
      <c r="P142" s="7" t="str">
        <f>IF($C142="","",IF(COUNTA('RAW_유기농_9월'!$A:$A)&lt;=1,"",SUMIFS('RAW_유기농_9월'!$H:$H,'RAW_유기농_9월'!$D:$D,$C142,'RAW_유기농_9월'!$A:$A,$E142)-SUMIFS('RAW_유기농_8월'!$H:$H,'RAW_유기농_8월'!$D:$D,$C142,'RAW_유기농_8월'!$A:$A,$E142)))</f>
        <v/>
      </c>
      <c r="Q142" s="7" t="str">
        <f>IF($C142="","",IF(COUNTA('RAW_유기농_10월'!$A:$A)&lt;=1,"",SUMIFS('RAW_유기농_10월'!$H:$H,'RAW_유기농_10월'!$D:$D,$C142,'RAW_유기농_10월'!$A:$A,$E142)-SUMIFS('RAW_유기농_9월'!$H:$H,'RAW_유기농_9월'!$D:$D,$C142,'RAW_유기농_9월'!$A:$A,$E142)))</f>
        <v/>
      </c>
      <c r="R142" s="7" t="str">
        <f>IF($C142="","",IF(COUNTA('RAW_유기농_11-12월'!$A:$A)&lt;=1,"",SUMIFS('RAW_유기농_11-12월'!$H:$H,'RAW_유기농_11-12월'!$D:$D,$C142,'RAW_유기농_11-12월'!$A:$A,$E142)-SUMIFS('RAW_유기농_10월'!$H:$H,'RAW_유기농_10월'!$D:$D,$C142,'RAW_유기농_10월'!$A:$A,$E142)))</f>
        <v/>
      </c>
      <c r="S142" s="17" t="str">
        <f t="shared" si="4"/>
        <v/>
      </c>
      <c r="T142" s="17" t="str">
        <f t="shared" si="5"/>
        <v/>
      </c>
      <c r="U142" s="7">
        <f>IF($C142="",0,IF('설정'!$B$4=0,0,CHOOSE('설정'!$B$4,COUNTIFS('RAW_유기농_7월'!$D:$D,$C142,'RAW_유기농_7월'!$A:$A,$E142),COUNTIFS('RAW_유기농_8월'!$D:$D,$C142,'RAW_유기농_8월'!$A:$A,$E142),COUNTIFS('RAW_유기농_9월'!$D:$D,$C142,'RAW_유기농_9월'!$A:$A,$E142),COUNTIFS('RAW_유기농_10월'!$D:$D,$C142,'RAW_유기농_10월'!$A:$A,$E142),COUNTIFS('RAW_유기농_11-12월'!$D:$D,$C142,'RAW_유기농_11-12월'!$A:$A,$E142))))</f>
        <v>0</v>
      </c>
    </row>
    <row r="143" ht="15.75" customHeight="1">
      <c r="A143" s="5"/>
      <c r="B143" s="5"/>
      <c r="C143" s="5"/>
      <c r="D143" s="6"/>
      <c r="E143" s="5"/>
      <c r="F143" s="7" t="str">
        <f>IF($C143="","",IF('설정'!$B$4=0,"",CHOOSE('설정'!$B$4,SUMIFS('RAW_유기농_7월'!$F:$F,'RAW_유기농_7월'!$D:$D,$C143,'RAW_유기농_7월'!$A:$A,$E143),SUMIFS('RAW_유기농_8월'!$F:$F,'RAW_유기농_8월'!$D:$D,$C143,'RAW_유기농_8월'!$A:$A,$E143),SUMIFS('RAW_유기농_9월'!$F:$F,'RAW_유기농_9월'!$D:$D,$C143,'RAW_유기농_9월'!$A:$A,$E143),SUMIFS('RAW_유기농_10월'!$F:$F,'RAW_유기농_10월'!$D:$D,$C143,'RAW_유기농_10월'!$A:$A,$E143),SUMIFS('RAW_유기농_11-12월'!$F:$F,'RAW_유기농_11-12월'!$D:$D,$C143,'RAW_유기농_11-12월'!$A:$A,$E143))))</f>
        <v/>
      </c>
      <c r="G143" s="7" t="str">
        <f>IF($C143="","",IF('설정'!$B$4=0,"",CHOOSE('설정'!$B$4,SUMIFS('RAW_유기농_7월'!$G:$G,'RAW_유기농_7월'!$D:$D,$C143,'RAW_유기농_7월'!$A:$A,$E143),SUMIFS('RAW_유기농_8월'!$G:$G,'RAW_유기농_8월'!$D:$D,$C143,'RAW_유기농_8월'!$A:$A,$E143),SUMIFS('RAW_유기농_9월'!$G:$G,'RAW_유기농_9월'!$D:$D,$C143,'RAW_유기농_9월'!$A:$A,$E143),SUMIFS('RAW_유기농_10월'!$G:$G,'RAW_유기농_10월'!$D:$D,$C143,'RAW_유기농_10월'!$A:$A,$E143),SUMIFS('RAW_유기농_11-12월'!$G:$G,'RAW_유기농_11-12월'!$D:$D,$C143,'RAW_유기농_11-12월'!$A:$A,$E143))))</f>
        <v/>
      </c>
      <c r="H143" s="7" t="str">
        <f>IF($C143="","",IF('설정'!$B$4=0,"",CHOOSE('설정'!$B$4,SUMIFS('RAW_유기농_7월'!$H:$H,'RAW_유기농_7월'!$D:$D,$C143,'RAW_유기농_7월'!$A:$A,$E143),SUMIFS('RAW_유기농_8월'!$H:$H,'RAW_유기농_8월'!$D:$D,$C143,'RAW_유기농_8월'!$A:$A,$E143),SUMIFS('RAW_유기농_9월'!$H:$H,'RAW_유기농_9월'!$D:$D,$C143,'RAW_유기농_9월'!$A:$A,$E143),SUMIFS('RAW_유기농_10월'!$H:$H,'RAW_유기농_10월'!$D:$D,$C143,'RAW_유기농_10월'!$A:$A,$E143),SUMIFS('RAW_유기농_11-12월'!$H:$H,'RAW_유기농_11-12월'!$D:$D,$C143,'RAW_유기농_11-12월'!$A:$A,$E143))))</f>
        <v/>
      </c>
      <c r="I143" s="17" t="str">
        <f>IF($C143="","",IF(COUNTIFS('RAW_유기농_7월'!$D:$D,$C143,'RAW_유기농_7월'!$A:$A,$E143)&gt;0,"O",""))</f>
        <v/>
      </c>
      <c r="J143" s="17" t="str">
        <f>IF($C143="","",IF(COUNTIFS('RAW_유기농_8월'!$D:$D,$C143,'RAW_유기농_8월'!$A:$A,$E143)&gt;0,"O",""))</f>
        <v/>
      </c>
      <c r="K143" s="17" t="str">
        <f>IF($C143="","",IF(COUNTIFS('RAW_유기농_9월'!$D:$D,$C143,'RAW_유기농_9월'!$A:$A,$E143)&gt;0,"O",""))</f>
        <v/>
      </c>
      <c r="L143" s="17" t="str">
        <f>IF($C143="","",IF(COUNTIFS('RAW_유기농_10월'!$D:$D,$C143,'RAW_유기농_10월'!$A:$A,$E143)&gt;0,"O",""))</f>
        <v/>
      </c>
      <c r="M143" s="17" t="str">
        <f>IF($C143="","",IF(COUNTIFS('RAW_유기농_11-12월'!$D:$D,$C143,'RAW_유기농_11-12월'!$A:$A,$E143)&gt;0,"O",""))</f>
        <v/>
      </c>
      <c r="N143" s="7" t="str">
        <f>IF($C143="","",IF(COUNTA('RAW_유기농_7월'!$A:$A)&lt;=1,"",SUMIFS('RAW_유기농_7월'!$H:$H,'RAW_유기농_7월'!$D:$D,$C143,'RAW_유기농_7월'!$A:$A,$E143)))</f>
        <v/>
      </c>
      <c r="O143" s="7" t="str">
        <f>IF($C143="","",IF(COUNTA('RAW_유기농_8월'!$A:$A)&lt;=1,"",SUMIFS('RAW_유기농_8월'!$H:$H,'RAW_유기농_8월'!$D:$D,$C143,'RAW_유기농_8월'!$A:$A,$E143)-SUMIFS('RAW_유기농_7월'!$H:$H,'RAW_유기농_7월'!$D:$D,$C143,'RAW_유기농_7월'!$A:$A,$E143)))</f>
        <v/>
      </c>
      <c r="P143" s="7" t="str">
        <f>IF($C143="","",IF(COUNTA('RAW_유기농_9월'!$A:$A)&lt;=1,"",SUMIFS('RAW_유기농_9월'!$H:$H,'RAW_유기농_9월'!$D:$D,$C143,'RAW_유기농_9월'!$A:$A,$E143)-SUMIFS('RAW_유기농_8월'!$H:$H,'RAW_유기농_8월'!$D:$D,$C143,'RAW_유기농_8월'!$A:$A,$E143)))</f>
        <v/>
      </c>
      <c r="Q143" s="7" t="str">
        <f>IF($C143="","",IF(COUNTA('RAW_유기농_10월'!$A:$A)&lt;=1,"",SUMIFS('RAW_유기농_10월'!$H:$H,'RAW_유기농_10월'!$D:$D,$C143,'RAW_유기농_10월'!$A:$A,$E143)-SUMIFS('RAW_유기농_9월'!$H:$H,'RAW_유기농_9월'!$D:$D,$C143,'RAW_유기농_9월'!$A:$A,$E143)))</f>
        <v/>
      </c>
      <c r="R143" s="7" t="str">
        <f>IF($C143="","",IF(COUNTA('RAW_유기농_11-12월'!$A:$A)&lt;=1,"",SUMIFS('RAW_유기농_11-12월'!$H:$H,'RAW_유기농_11-12월'!$D:$D,$C143,'RAW_유기농_11-12월'!$A:$A,$E143)-SUMIFS('RAW_유기농_10월'!$H:$H,'RAW_유기농_10월'!$D:$D,$C143,'RAW_유기농_10월'!$A:$A,$E143)))</f>
        <v/>
      </c>
      <c r="S143" s="17" t="str">
        <f t="shared" si="4"/>
        <v/>
      </c>
      <c r="T143" s="17" t="str">
        <f t="shared" si="5"/>
        <v/>
      </c>
      <c r="U143" s="7">
        <f>IF($C143="",0,IF('설정'!$B$4=0,0,CHOOSE('설정'!$B$4,COUNTIFS('RAW_유기농_7월'!$D:$D,$C143,'RAW_유기농_7월'!$A:$A,$E143),COUNTIFS('RAW_유기농_8월'!$D:$D,$C143,'RAW_유기농_8월'!$A:$A,$E143),COUNTIFS('RAW_유기농_9월'!$D:$D,$C143,'RAW_유기농_9월'!$A:$A,$E143),COUNTIFS('RAW_유기농_10월'!$D:$D,$C143,'RAW_유기농_10월'!$A:$A,$E143),COUNTIFS('RAW_유기농_11-12월'!$D:$D,$C143,'RAW_유기농_11-12월'!$A:$A,$E143))))</f>
        <v>0</v>
      </c>
    </row>
    <row r="144" ht="15.75" customHeight="1">
      <c r="A144" s="5"/>
      <c r="B144" s="5"/>
      <c r="C144" s="5"/>
      <c r="D144" s="6"/>
      <c r="E144" s="5"/>
      <c r="F144" s="7" t="str">
        <f>IF($C144="","",IF('설정'!$B$4=0,"",CHOOSE('설정'!$B$4,SUMIFS('RAW_유기농_7월'!$F:$F,'RAW_유기농_7월'!$D:$D,$C144,'RAW_유기농_7월'!$A:$A,$E144),SUMIFS('RAW_유기농_8월'!$F:$F,'RAW_유기농_8월'!$D:$D,$C144,'RAW_유기농_8월'!$A:$A,$E144),SUMIFS('RAW_유기농_9월'!$F:$F,'RAW_유기농_9월'!$D:$D,$C144,'RAW_유기농_9월'!$A:$A,$E144),SUMIFS('RAW_유기농_10월'!$F:$F,'RAW_유기농_10월'!$D:$D,$C144,'RAW_유기농_10월'!$A:$A,$E144),SUMIFS('RAW_유기농_11-12월'!$F:$F,'RAW_유기농_11-12월'!$D:$D,$C144,'RAW_유기농_11-12월'!$A:$A,$E144))))</f>
        <v/>
      </c>
      <c r="G144" s="7" t="str">
        <f>IF($C144="","",IF('설정'!$B$4=0,"",CHOOSE('설정'!$B$4,SUMIFS('RAW_유기농_7월'!$G:$G,'RAW_유기농_7월'!$D:$D,$C144,'RAW_유기농_7월'!$A:$A,$E144),SUMIFS('RAW_유기농_8월'!$G:$G,'RAW_유기농_8월'!$D:$D,$C144,'RAW_유기농_8월'!$A:$A,$E144),SUMIFS('RAW_유기농_9월'!$G:$G,'RAW_유기농_9월'!$D:$D,$C144,'RAW_유기농_9월'!$A:$A,$E144),SUMIFS('RAW_유기농_10월'!$G:$G,'RAW_유기농_10월'!$D:$D,$C144,'RAW_유기농_10월'!$A:$A,$E144),SUMIFS('RAW_유기농_11-12월'!$G:$G,'RAW_유기농_11-12월'!$D:$D,$C144,'RAW_유기농_11-12월'!$A:$A,$E144))))</f>
        <v/>
      </c>
      <c r="H144" s="7" t="str">
        <f>IF($C144="","",IF('설정'!$B$4=0,"",CHOOSE('설정'!$B$4,SUMIFS('RAW_유기농_7월'!$H:$H,'RAW_유기농_7월'!$D:$D,$C144,'RAW_유기농_7월'!$A:$A,$E144),SUMIFS('RAW_유기농_8월'!$H:$H,'RAW_유기농_8월'!$D:$D,$C144,'RAW_유기농_8월'!$A:$A,$E144),SUMIFS('RAW_유기농_9월'!$H:$H,'RAW_유기농_9월'!$D:$D,$C144,'RAW_유기농_9월'!$A:$A,$E144),SUMIFS('RAW_유기농_10월'!$H:$H,'RAW_유기농_10월'!$D:$D,$C144,'RAW_유기농_10월'!$A:$A,$E144),SUMIFS('RAW_유기농_11-12월'!$H:$H,'RAW_유기농_11-12월'!$D:$D,$C144,'RAW_유기농_11-12월'!$A:$A,$E144))))</f>
        <v/>
      </c>
      <c r="I144" s="17" t="str">
        <f>IF($C144="","",IF(COUNTIFS('RAW_유기농_7월'!$D:$D,$C144,'RAW_유기농_7월'!$A:$A,$E144)&gt;0,"O",""))</f>
        <v/>
      </c>
      <c r="J144" s="17" t="str">
        <f>IF($C144="","",IF(COUNTIFS('RAW_유기농_8월'!$D:$D,$C144,'RAW_유기농_8월'!$A:$A,$E144)&gt;0,"O",""))</f>
        <v/>
      </c>
      <c r="K144" s="17" t="str">
        <f>IF($C144="","",IF(COUNTIFS('RAW_유기농_9월'!$D:$D,$C144,'RAW_유기농_9월'!$A:$A,$E144)&gt;0,"O",""))</f>
        <v/>
      </c>
      <c r="L144" s="17" t="str">
        <f>IF($C144="","",IF(COUNTIFS('RAW_유기농_10월'!$D:$D,$C144,'RAW_유기농_10월'!$A:$A,$E144)&gt;0,"O",""))</f>
        <v/>
      </c>
      <c r="M144" s="17" t="str">
        <f>IF($C144="","",IF(COUNTIFS('RAW_유기농_11-12월'!$D:$D,$C144,'RAW_유기농_11-12월'!$A:$A,$E144)&gt;0,"O",""))</f>
        <v/>
      </c>
      <c r="N144" s="7" t="str">
        <f>IF($C144="","",IF(COUNTA('RAW_유기농_7월'!$A:$A)&lt;=1,"",SUMIFS('RAW_유기농_7월'!$H:$H,'RAW_유기농_7월'!$D:$D,$C144,'RAW_유기농_7월'!$A:$A,$E144)))</f>
        <v/>
      </c>
      <c r="O144" s="7" t="str">
        <f>IF($C144="","",IF(COUNTA('RAW_유기농_8월'!$A:$A)&lt;=1,"",SUMIFS('RAW_유기농_8월'!$H:$H,'RAW_유기농_8월'!$D:$D,$C144,'RAW_유기농_8월'!$A:$A,$E144)-SUMIFS('RAW_유기농_7월'!$H:$H,'RAW_유기농_7월'!$D:$D,$C144,'RAW_유기농_7월'!$A:$A,$E144)))</f>
        <v/>
      </c>
      <c r="P144" s="7" t="str">
        <f>IF($C144="","",IF(COUNTA('RAW_유기농_9월'!$A:$A)&lt;=1,"",SUMIFS('RAW_유기농_9월'!$H:$H,'RAW_유기농_9월'!$D:$D,$C144,'RAW_유기농_9월'!$A:$A,$E144)-SUMIFS('RAW_유기농_8월'!$H:$H,'RAW_유기농_8월'!$D:$D,$C144,'RAW_유기농_8월'!$A:$A,$E144)))</f>
        <v/>
      </c>
      <c r="Q144" s="7" t="str">
        <f>IF($C144="","",IF(COUNTA('RAW_유기농_10월'!$A:$A)&lt;=1,"",SUMIFS('RAW_유기농_10월'!$H:$H,'RAW_유기농_10월'!$D:$D,$C144,'RAW_유기농_10월'!$A:$A,$E144)-SUMIFS('RAW_유기농_9월'!$H:$H,'RAW_유기농_9월'!$D:$D,$C144,'RAW_유기농_9월'!$A:$A,$E144)))</f>
        <v/>
      </c>
      <c r="R144" s="7" t="str">
        <f>IF($C144="","",IF(COUNTA('RAW_유기농_11-12월'!$A:$A)&lt;=1,"",SUMIFS('RAW_유기농_11-12월'!$H:$H,'RAW_유기농_11-12월'!$D:$D,$C144,'RAW_유기농_11-12월'!$A:$A,$E144)-SUMIFS('RAW_유기농_10월'!$H:$H,'RAW_유기농_10월'!$D:$D,$C144,'RAW_유기농_10월'!$A:$A,$E144)))</f>
        <v/>
      </c>
      <c r="S144" s="17" t="str">
        <f t="shared" si="4"/>
        <v/>
      </c>
      <c r="T144" s="17" t="str">
        <f t="shared" si="5"/>
        <v/>
      </c>
      <c r="U144" s="7">
        <f>IF($C144="",0,IF('설정'!$B$4=0,0,CHOOSE('설정'!$B$4,COUNTIFS('RAW_유기농_7월'!$D:$D,$C144,'RAW_유기농_7월'!$A:$A,$E144),COUNTIFS('RAW_유기농_8월'!$D:$D,$C144,'RAW_유기농_8월'!$A:$A,$E144),COUNTIFS('RAW_유기농_9월'!$D:$D,$C144,'RAW_유기농_9월'!$A:$A,$E144),COUNTIFS('RAW_유기농_10월'!$D:$D,$C144,'RAW_유기농_10월'!$A:$A,$E144),COUNTIFS('RAW_유기농_11-12월'!$D:$D,$C144,'RAW_유기농_11-12월'!$A:$A,$E144))))</f>
        <v>0</v>
      </c>
    </row>
    <row r="145" ht="15.75" customHeight="1">
      <c r="A145" s="5"/>
      <c r="B145" s="5"/>
      <c r="C145" s="5"/>
      <c r="D145" s="6"/>
      <c r="E145" s="5"/>
      <c r="F145" s="7" t="str">
        <f>IF($C145="","",IF('설정'!$B$4=0,"",CHOOSE('설정'!$B$4,SUMIFS('RAW_유기농_7월'!$F:$F,'RAW_유기농_7월'!$D:$D,$C145,'RAW_유기농_7월'!$A:$A,$E145),SUMIFS('RAW_유기농_8월'!$F:$F,'RAW_유기농_8월'!$D:$D,$C145,'RAW_유기농_8월'!$A:$A,$E145),SUMIFS('RAW_유기농_9월'!$F:$F,'RAW_유기농_9월'!$D:$D,$C145,'RAW_유기농_9월'!$A:$A,$E145),SUMIFS('RAW_유기농_10월'!$F:$F,'RAW_유기농_10월'!$D:$D,$C145,'RAW_유기농_10월'!$A:$A,$E145),SUMIFS('RAW_유기농_11-12월'!$F:$F,'RAW_유기농_11-12월'!$D:$D,$C145,'RAW_유기농_11-12월'!$A:$A,$E145))))</f>
        <v/>
      </c>
      <c r="G145" s="7" t="str">
        <f>IF($C145="","",IF('설정'!$B$4=0,"",CHOOSE('설정'!$B$4,SUMIFS('RAW_유기농_7월'!$G:$G,'RAW_유기농_7월'!$D:$D,$C145,'RAW_유기농_7월'!$A:$A,$E145),SUMIFS('RAW_유기농_8월'!$G:$G,'RAW_유기농_8월'!$D:$D,$C145,'RAW_유기농_8월'!$A:$A,$E145),SUMIFS('RAW_유기농_9월'!$G:$G,'RAW_유기농_9월'!$D:$D,$C145,'RAW_유기농_9월'!$A:$A,$E145),SUMIFS('RAW_유기농_10월'!$G:$G,'RAW_유기농_10월'!$D:$D,$C145,'RAW_유기농_10월'!$A:$A,$E145),SUMIFS('RAW_유기농_11-12월'!$G:$G,'RAW_유기농_11-12월'!$D:$D,$C145,'RAW_유기농_11-12월'!$A:$A,$E145))))</f>
        <v/>
      </c>
      <c r="H145" s="7" t="str">
        <f>IF($C145="","",IF('설정'!$B$4=0,"",CHOOSE('설정'!$B$4,SUMIFS('RAW_유기농_7월'!$H:$H,'RAW_유기농_7월'!$D:$D,$C145,'RAW_유기농_7월'!$A:$A,$E145),SUMIFS('RAW_유기농_8월'!$H:$H,'RAW_유기농_8월'!$D:$D,$C145,'RAW_유기농_8월'!$A:$A,$E145),SUMIFS('RAW_유기농_9월'!$H:$H,'RAW_유기농_9월'!$D:$D,$C145,'RAW_유기농_9월'!$A:$A,$E145),SUMIFS('RAW_유기농_10월'!$H:$H,'RAW_유기농_10월'!$D:$D,$C145,'RAW_유기농_10월'!$A:$A,$E145),SUMIFS('RAW_유기농_11-12월'!$H:$H,'RAW_유기농_11-12월'!$D:$D,$C145,'RAW_유기농_11-12월'!$A:$A,$E145))))</f>
        <v/>
      </c>
      <c r="I145" s="17" t="str">
        <f>IF($C145="","",IF(COUNTIFS('RAW_유기농_7월'!$D:$D,$C145,'RAW_유기농_7월'!$A:$A,$E145)&gt;0,"O",""))</f>
        <v/>
      </c>
      <c r="J145" s="17" t="str">
        <f>IF($C145="","",IF(COUNTIFS('RAW_유기농_8월'!$D:$D,$C145,'RAW_유기농_8월'!$A:$A,$E145)&gt;0,"O",""))</f>
        <v/>
      </c>
      <c r="K145" s="17" t="str">
        <f>IF($C145="","",IF(COUNTIFS('RAW_유기농_9월'!$D:$D,$C145,'RAW_유기농_9월'!$A:$A,$E145)&gt;0,"O",""))</f>
        <v/>
      </c>
      <c r="L145" s="17" t="str">
        <f>IF($C145="","",IF(COUNTIFS('RAW_유기농_10월'!$D:$D,$C145,'RAW_유기농_10월'!$A:$A,$E145)&gt;0,"O",""))</f>
        <v/>
      </c>
      <c r="M145" s="17" t="str">
        <f>IF($C145="","",IF(COUNTIFS('RAW_유기농_11-12월'!$D:$D,$C145,'RAW_유기농_11-12월'!$A:$A,$E145)&gt;0,"O",""))</f>
        <v/>
      </c>
      <c r="N145" s="7" t="str">
        <f>IF($C145="","",IF(COUNTA('RAW_유기농_7월'!$A:$A)&lt;=1,"",SUMIFS('RAW_유기농_7월'!$H:$H,'RAW_유기농_7월'!$D:$D,$C145,'RAW_유기농_7월'!$A:$A,$E145)))</f>
        <v/>
      </c>
      <c r="O145" s="7" t="str">
        <f>IF($C145="","",IF(COUNTA('RAW_유기농_8월'!$A:$A)&lt;=1,"",SUMIFS('RAW_유기농_8월'!$H:$H,'RAW_유기농_8월'!$D:$D,$C145,'RAW_유기농_8월'!$A:$A,$E145)-SUMIFS('RAW_유기농_7월'!$H:$H,'RAW_유기농_7월'!$D:$D,$C145,'RAW_유기농_7월'!$A:$A,$E145)))</f>
        <v/>
      </c>
      <c r="P145" s="7" t="str">
        <f>IF($C145="","",IF(COUNTA('RAW_유기농_9월'!$A:$A)&lt;=1,"",SUMIFS('RAW_유기농_9월'!$H:$H,'RAW_유기농_9월'!$D:$D,$C145,'RAW_유기농_9월'!$A:$A,$E145)-SUMIFS('RAW_유기농_8월'!$H:$H,'RAW_유기농_8월'!$D:$D,$C145,'RAW_유기농_8월'!$A:$A,$E145)))</f>
        <v/>
      </c>
      <c r="Q145" s="7" t="str">
        <f>IF($C145="","",IF(COUNTA('RAW_유기농_10월'!$A:$A)&lt;=1,"",SUMIFS('RAW_유기농_10월'!$H:$H,'RAW_유기농_10월'!$D:$D,$C145,'RAW_유기농_10월'!$A:$A,$E145)-SUMIFS('RAW_유기농_9월'!$H:$H,'RAW_유기농_9월'!$D:$D,$C145,'RAW_유기농_9월'!$A:$A,$E145)))</f>
        <v/>
      </c>
      <c r="R145" s="7" t="str">
        <f>IF($C145="","",IF(COUNTA('RAW_유기농_11-12월'!$A:$A)&lt;=1,"",SUMIFS('RAW_유기농_11-12월'!$H:$H,'RAW_유기농_11-12월'!$D:$D,$C145,'RAW_유기농_11-12월'!$A:$A,$E145)-SUMIFS('RAW_유기농_10월'!$H:$H,'RAW_유기농_10월'!$D:$D,$C145,'RAW_유기농_10월'!$A:$A,$E145)))</f>
        <v/>
      </c>
      <c r="S145" s="17" t="str">
        <f t="shared" si="4"/>
        <v/>
      </c>
      <c r="T145" s="17" t="str">
        <f t="shared" si="5"/>
        <v/>
      </c>
      <c r="U145" s="7">
        <f>IF($C145="",0,IF('설정'!$B$4=0,0,CHOOSE('설정'!$B$4,COUNTIFS('RAW_유기농_7월'!$D:$D,$C145,'RAW_유기농_7월'!$A:$A,$E145),COUNTIFS('RAW_유기농_8월'!$D:$D,$C145,'RAW_유기농_8월'!$A:$A,$E145),COUNTIFS('RAW_유기농_9월'!$D:$D,$C145,'RAW_유기농_9월'!$A:$A,$E145),COUNTIFS('RAW_유기농_10월'!$D:$D,$C145,'RAW_유기농_10월'!$A:$A,$E145),COUNTIFS('RAW_유기농_11-12월'!$D:$D,$C145,'RAW_유기농_11-12월'!$A:$A,$E145))))</f>
        <v>0</v>
      </c>
    </row>
    <row r="146" ht="15.75" customHeight="1">
      <c r="A146" s="5"/>
      <c r="B146" s="5"/>
      <c r="C146" s="5"/>
      <c r="D146" s="6"/>
      <c r="E146" s="5"/>
      <c r="F146" s="7" t="str">
        <f>IF($C146="","",IF('설정'!$B$4=0,"",CHOOSE('설정'!$B$4,SUMIFS('RAW_유기농_7월'!$F:$F,'RAW_유기농_7월'!$D:$D,$C146,'RAW_유기농_7월'!$A:$A,$E146),SUMIFS('RAW_유기농_8월'!$F:$F,'RAW_유기농_8월'!$D:$D,$C146,'RAW_유기농_8월'!$A:$A,$E146),SUMIFS('RAW_유기농_9월'!$F:$F,'RAW_유기농_9월'!$D:$D,$C146,'RAW_유기농_9월'!$A:$A,$E146),SUMIFS('RAW_유기농_10월'!$F:$F,'RAW_유기농_10월'!$D:$D,$C146,'RAW_유기농_10월'!$A:$A,$E146),SUMIFS('RAW_유기농_11-12월'!$F:$F,'RAW_유기농_11-12월'!$D:$D,$C146,'RAW_유기농_11-12월'!$A:$A,$E146))))</f>
        <v/>
      </c>
      <c r="G146" s="7" t="str">
        <f>IF($C146="","",IF('설정'!$B$4=0,"",CHOOSE('설정'!$B$4,SUMIFS('RAW_유기농_7월'!$G:$G,'RAW_유기농_7월'!$D:$D,$C146,'RAW_유기농_7월'!$A:$A,$E146),SUMIFS('RAW_유기농_8월'!$G:$G,'RAW_유기농_8월'!$D:$D,$C146,'RAW_유기농_8월'!$A:$A,$E146),SUMIFS('RAW_유기농_9월'!$G:$G,'RAW_유기농_9월'!$D:$D,$C146,'RAW_유기농_9월'!$A:$A,$E146),SUMIFS('RAW_유기농_10월'!$G:$G,'RAW_유기농_10월'!$D:$D,$C146,'RAW_유기농_10월'!$A:$A,$E146),SUMIFS('RAW_유기농_11-12월'!$G:$G,'RAW_유기농_11-12월'!$D:$D,$C146,'RAW_유기농_11-12월'!$A:$A,$E146))))</f>
        <v/>
      </c>
      <c r="H146" s="7" t="str">
        <f>IF($C146="","",IF('설정'!$B$4=0,"",CHOOSE('설정'!$B$4,SUMIFS('RAW_유기농_7월'!$H:$H,'RAW_유기농_7월'!$D:$D,$C146,'RAW_유기농_7월'!$A:$A,$E146),SUMIFS('RAW_유기농_8월'!$H:$H,'RAW_유기농_8월'!$D:$D,$C146,'RAW_유기농_8월'!$A:$A,$E146),SUMIFS('RAW_유기농_9월'!$H:$H,'RAW_유기농_9월'!$D:$D,$C146,'RAW_유기농_9월'!$A:$A,$E146),SUMIFS('RAW_유기농_10월'!$H:$H,'RAW_유기농_10월'!$D:$D,$C146,'RAW_유기농_10월'!$A:$A,$E146),SUMIFS('RAW_유기농_11-12월'!$H:$H,'RAW_유기농_11-12월'!$D:$D,$C146,'RAW_유기농_11-12월'!$A:$A,$E146))))</f>
        <v/>
      </c>
      <c r="I146" s="17" t="str">
        <f>IF($C146="","",IF(COUNTIFS('RAW_유기농_7월'!$D:$D,$C146,'RAW_유기농_7월'!$A:$A,$E146)&gt;0,"O",""))</f>
        <v/>
      </c>
      <c r="J146" s="17" t="str">
        <f>IF($C146="","",IF(COUNTIFS('RAW_유기농_8월'!$D:$D,$C146,'RAW_유기농_8월'!$A:$A,$E146)&gt;0,"O",""))</f>
        <v/>
      </c>
      <c r="K146" s="17" t="str">
        <f>IF($C146="","",IF(COUNTIFS('RAW_유기농_9월'!$D:$D,$C146,'RAW_유기농_9월'!$A:$A,$E146)&gt;0,"O",""))</f>
        <v/>
      </c>
      <c r="L146" s="17" t="str">
        <f>IF($C146="","",IF(COUNTIFS('RAW_유기농_10월'!$D:$D,$C146,'RAW_유기농_10월'!$A:$A,$E146)&gt;0,"O",""))</f>
        <v/>
      </c>
      <c r="M146" s="17" t="str">
        <f>IF($C146="","",IF(COUNTIFS('RAW_유기농_11-12월'!$D:$D,$C146,'RAW_유기농_11-12월'!$A:$A,$E146)&gt;0,"O",""))</f>
        <v/>
      </c>
      <c r="N146" s="7" t="str">
        <f>IF($C146="","",IF(COUNTA('RAW_유기농_7월'!$A:$A)&lt;=1,"",SUMIFS('RAW_유기농_7월'!$H:$H,'RAW_유기농_7월'!$D:$D,$C146,'RAW_유기농_7월'!$A:$A,$E146)))</f>
        <v/>
      </c>
      <c r="O146" s="7" t="str">
        <f>IF($C146="","",IF(COUNTA('RAW_유기농_8월'!$A:$A)&lt;=1,"",SUMIFS('RAW_유기농_8월'!$H:$H,'RAW_유기농_8월'!$D:$D,$C146,'RAW_유기농_8월'!$A:$A,$E146)-SUMIFS('RAW_유기농_7월'!$H:$H,'RAW_유기농_7월'!$D:$D,$C146,'RAW_유기농_7월'!$A:$A,$E146)))</f>
        <v/>
      </c>
      <c r="P146" s="7" t="str">
        <f>IF($C146="","",IF(COUNTA('RAW_유기농_9월'!$A:$A)&lt;=1,"",SUMIFS('RAW_유기농_9월'!$H:$H,'RAW_유기농_9월'!$D:$D,$C146,'RAW_유기농_9월'!$A:$A,$E146)-SUMIFS('RAW_유기농_8월'!$H:$H,'RAW_유기농_8월'!$D:$D,$C146,'RAW_유기농_8월'!$A:$A,$E146)))</f>
        <v/>
      </c>
      <c r="Q146" s="7" t="str">
        <f>IF($C146="","",IF(COUNTA('RAW_유기농_10월'!$A:$A)&lt;=1,"",SUMIFS('RAW_유기농_10월'!$H:$H,'RAW_유기농_10월'!$D:$D,$C146,'RAW_유기농_10월'!$A:$A,$E146)-SUMIFS('RAW_유기농_9월'!$H:$H,'RAW_유기농_9월'!$D:$D,$C146,'RAW_유기농_9월'!$A:$A,$E146)))</f>
        <v/>
      </c>
      <c r="R146" s="7" t="str">
        <f>IF($C146="","",IF(COUNTA('RAW_유기농_11-12월'!$A:$A)&lt;=1,"",SUMIFS('RAW_유기농_11-12월'!$H:$H,'RAW_유기농_11-12월'!$D:$D,$C146,'RAW_유기농_11-12월'!$A:$A,$E146)-SUMIFS('RAW_유기농_10월'!$H:$H,'RAW_유기농_10월'!$D:$D,$C146,'RAW_유기농_10월'!$A:$A,$E146)))</f>
        <v/>
      </c>
      <c r="S146" s="17" t="str">
        <f t="shared" si="4"/>
        <v/>
      </c>
      <c r="T146" s="17" t="str">
        <f t="shared" si="5"/>
        <v/>
      </c>
      <c r="U146" s="7">
        <f>IF($C146="",0,IF('설정'!$B$4=0,0,CHOOSE('설정'!$B$4,COUNTIFS('RAW_유기농_7월'!$D:$D,$C146,'RAW_유기농_7월'!$A:$A,$E146),COUNTIFS('RAW_유기농_8월'!$D:$D,$C146,'RAW_유기농_8월'!$A:$A,$E146),COUNTIFS('RAW_유기농_9월'!$D:$D,$C146,'RAW_유기농_9월'!$A:$A,$E146),COUNTIFS('RAW_유기농_10월'!$D:$D,$C146,'RAW_유기농_10월'!$A:$A,$E146),COUNTIFS('RAW_유기농_11-12월'!$D:$D,$C146,'RAW_유기농_11-12월'!$A:$A,$E146))))</f>
        <v>0</v>
      </c>
    </row>
    <row r="147" ht="15.75" customHeight="1">
      <c r="A147" s="5"/>
      <c r="B147" s="5"/>
      <c r="C147" s="5"/>
      <c r="D147" s="6"/>
      <c r="E147" s="5"/>
      <c r="F147" s="7" t="str">
        <f>IF($C147="","",IF('설정'!$B$4=0,"",CHOOSE('설정'!$B$4,SUMIFS('RAW_유기농_7월'!$F:$F,'RAW_유기농_7월'!$D:$D,$C147,'RAW_유기농_7월'!$A:$A,$E147),SUMIFS('RAW_유기농_8월'!$F:$F,'RAW_유기농_8월'!$D:$D,$C147,'RAW_유기농_8월'!$A:$A,$E147),SUMIFS('RAW_유기농_9월'!$F:$F,'RAW_유기농_9월'!$D:$D,$C147,'RAW_유기농_9월'!$A:$A,$E147),SUMIFS('RAW_유기농_10월'!$F:$F,'RAW_유기농_10월'!$D:$D,$C147,'RAW_유기농_10월'!$A:$A,$E147),SUMIFS('RAW_유기농_11-12월'!$F:$F,'RAW_유기농_11-12월'!$D:$D,$C147,'RAW_유기농_11-12월'!$A:$A,$E147))))</f>
        <v/>
      </c>
      <c r="G147" s="7" t="str">
        <f>IF($C147="","",IF('설정'!$B$4=0,"",CHOOSE('설정'!$B$4,SUMIFS('RAW_유기농_7월'!$G:$G,'RAW_유기농_7월'!$D:$D,$C147,'RAW_유기농_7월'!$A:$A,$E147),SUMIFS('RAW_유기농_8월'!$G:$G,'RAW_유기농_8월'!$D:$D,$C147,'RAW_유기농_8월'!$A:$A,$E147),SUMIFS('RAW_유기농_9월'!$G:$G,'RAW_유기농_9월'!$D:$D,$C147,'RAW_유기농_9월'!$A:$A,$E147),SUMIFS('RAW_유기농_10월'!$G:$G,'RAW_유기농_10월'!$D:$D,$C147,'RAW_유기농_10월'!$A:$A,$E147),SUMIFS('RAW_유기농_11-12월'!$G:$G,'RAW_유기농_11-12월'!$D:$D,$C147,'RAW_유기농_11-12월'!$A:$A,$E147))))</f>
        <v/>
      </c>
      <c r="H147" s="7" t="str">
        <f>IF($C147="","",IF('설정'!$B$4=0,"",CHOOSE('설정'!$B$4,SUMIFS('RAW_유기농_7월'!$H:$H,'RAW_유기농_7월'!$D:$D,$C147,'RAW_유기농_7월'!$A:$A,$E147),SUMIFS('RAW_유기농_8월'!$H:$H,'RAW_유기농_8월'!$D:$D,$C147,'RAW_유기농_8월'!$A:$A,$E147),SUMIFS('RAW_유기농_9월'!$H:$H,'RAW_유기농_9월'!$D:$D,$C147,'RAW_유기농_9월'!$A:$A,$E147),SUMIFS('RAW_유기농_10월'!$H:$H,'RAW_유기농_10월'!$D:$D,$C147,'RAW_유기농_10월'!$A:$A,$E147),SUMIFS('RAW_유기농_11-12월'!$H:$H,'RAW_유기농_11-12월'!$D:$D,$C147,'RAW_유기농_11-12월'!$A:$A,$E147))))</f>
        <v/>
      </c>
      <c r="I147" s="17" t="str">
        <f>IF($C147="","",IF(COUNTIFS('RAW_유기농_7월'!$D:$D,$C147,'RAW_유기농_7월'!$A:$A,$E147)&gt;0,"O",""))</f>
        <v/>
      </c>
      <c r="J147" s="17" t="str">
        <f>IF($C147="","",IF(COUNTIFS('RAW_유기농_8월'!$D:$D,$C147,'RAW_유기농_8월'!$A:$A,$E147)&gt;0,"O",""))</f>
        <v/>
      </c>
      <c r="K147" s="17" t="str">
        <f>IF($C147="","",IF(COUNTIFS('RAW_유기농_9월'!$D:$D,$C147,'RAW_유기농_9월'!$A:$A,$E147)&gt;0,"O",""))</f>
        <v/>
      </c>
      <c r="L147" s="17" t="str">
        <f>IF($C147="","",IF(COUNTIFS('RAW_유기농_10월'!$D:$D,$C147,'RAW_유기농_10월'!$A:$A,$E147)&gt;0,"O",""))</f>
        <v/>
      </c>
      <c r="M147" s="17" t="str">
        <f>IF($C147="","",IF(COUNTIFS('RAW_유기농_11-12월'!$D:$D,$C147,'RAW_유기농_11-12월'!$A:$A,$E147)&gt;0,"O",""))</f>
        <v/>
      </c>
      <c r="N147" s="7" t="str">
        <f>IF($C147="","",IF(COUNTA('RAW_유기농_7월'!$A:$A)&lt;=1,"",SUMIFS('RAW_유기농_7월'!$H:$H,'RAW_유기농_7월'!$D:$D,$C147,'RAW_유기농_7월'!$A:$A,$E147)))</f>
        <v/>
      </c>
      <c r="O147" s="7" t="str">
        <f>IF($C147="","",IF(COUNTA('RAW_유기농_8월'!$A:$A)&lt;=1,"",SUMIFS('RAW_유기농_8월'!$H:$H,'RAW_유기농_8월'!$D:$D,$C147,'RAW_유기농_8월'!$A:$A,$E147)-SUMIFS('RAW_유기농_7월'!$H:$H,'RAW_유기농_7월'!$D:$D,$C147,'RAW_유기농_7월'!$A:$A,$E147)))</f>
        <v/>
      </c>
      <c r="P147" s="7" t="str">
        <f>IF($C147="","",IF(COUNTA('RAW_유기농_9월'!$A:$A)&lt;=1,"",SUMIFS('RAW_유기농_9월'!$H:$H,'RAW_유기농_9월'!$D:$D,$C147,'RAW_유기농_9월'!$A:$A,$E147)-SUMIFS('RAW_유기농_8월'!$H:$H,'RAW_유기농_8월'!$D:$D,$C147,'RAW_유기농_8월'!$A:$A,$E147)))</f>
        <v/>
      </c>
      <c r="Q147" s="7" t="str">
        <f>IF($C147="","",IF(COUNTA('RAW_유기농_10월'!$A:$A)&lt;=1,"",SUMIFS('RAW_유기농_10월'!$H:$H,'RAW_유기농_10월'!$D:$D,$C147,'RAW_유기농_10월'!$A:$A,$E147)-SUMIFS('RAW_유기농_9월'!$H:$H,'RAW_유기농_9월'!$D:$D,$C147,'RAW_유기농_9월'!$A:$A,$E147)))</f>
        <v/>
      </c>
      <c r="R147" s="7" t="str">
        <f>IF($C147="","",IF(COUNTA('RAW_유기농_11-12월'!$A:$A)&lt;=1,"",SUMIFS('RAW_유기농_11-12월'!$H:$H,'RAW_유기농_11-12월'!$D:$D,$C147,'RAW_유기농_11-12월'!$A:$A,$E147)-SUMIFS('RAW_유기농_10월'!$H:$H,'RAW_유기농_10월'!$D:$D,$C147,'RAW_유기농_10월'!$A:$A,$E147)))</f>
        <v/>
      </c>
      <c r="S147" s="17" t="str">
        <f t="shared" si="4"/>
        <v/>
      </c>
      <c r="T147" s="17" t="str">
        <f t="shared" si="5"/>
        <v/>
      </c>
      <c r="U147" s="7">
        <f>IF($C147="",0,IF('설정'!$B$4=0,0,CHOOSE('설정'!$B$4,COUNTIFS('RAW_유기농_7월'!$D:$D,$C147,'RAW_유기농_7월'!$A:$A,$E147),COUNTIFS('RAW_유기농_8월'!$D:$D,$C147,'RAW_유기농_8월'!$A:$A,$E147),COUNTIFS('RAW_유기농_9월'!$D:$D,$C147,'RAW_유기농_9월'!$A:$A,$E147),COUNTIFS('RAW_유기농_10월'!$D:$D,$C147,'RAW_유기농_10월'!$A:$A,$E147),COUNTIFS('RAW_유기농_11-12월'!$D:$D,$C147,'RAW_유기농_11-12월'!$A:$A,$E147))))</f>
        <v>0</v>
      </c>
    </row>
    <row r="148" ht="15.75" customHeight="1">
      <c r="A148" s="5"/>
      <c r="B148" s="5"/>
      <c r="C148" s="5"/>
      <c r="D148" s="6"/>
      <c r="E148" s="5"/>
      <c r="F148" s="7" t="str">
        <f>IF($C148="","",IF('설정'!$B$4=0,"",CHOOSE('설정'!$B$4,SUMIFS('RAW_유기농_7월'!$F:$F,'RAW_유기농_7월'!$D:$D,$C148,'RAW_유기농_7월'!$A:$A,$E148),SUMIFS('RAW_유기농_8월'!$F:$F,'RAW_유기농_8월'!$D:$D,$C148,'RAW_유기농_8월'!$A:$A,$E148),SUMIFS('RAW_유기농_9월'!$F:$F,'RAW_유기농_9월'!$D:$D,$C148,'RAW_유기농_9월'!$A:$A,$E148),SUMIFS('RAW_유기농_10월'!$F:$F,'RAW_유기농_10월'!$D:$D,$C148,'RAW_유기농_10월'!$A:$A,$E148),SUMIFS('RAW_유기농_11-12월'!$F:$F,'RAW_유기농_11-12월'!$D:$D,$C148,'RAW_유기농_11-12월'!$A:$A,$E148))))</f>
        <v/>
      </c>
      <c r="G148" s="7" t="str">
        <f>IF($C148="","",IF('설정'!$B$4=0,"",CHOOSE('설정'!$B$4,SUMIFS('RAW_유기농_7월'!$G:$G,'RAW_유기농_7월'!$D:$D,$C148,'RAW_유기농_7월'!$A:$A,$E148),SUMIFS('RAW_유기농_8월'!$G:$G,'RAW_유기농_8월'!$D:$D,$C148,'RAW_유기농_8월'!$A:$A,$E148),SUMIFS('RAW_유기농_9월'!$G:$G,'RAW_유기농_9월'!$D:$D,$C148,'RAW_유기농_9월'!$A:$A,$E148),SUMIFS('RAW_유기농_10월'!$G:$G,'RAW_유기농_10월'!$D:$D,$C148,'RAW_유기농_10월'!$A:$A,$E148),SUMIFS('RAW_유기농_11-12월'!$G:$G,'RAW_유기농_11-12월'!$D:$D,$C148,'RAW_유기농_11-12월'!$A:$A,$E148))))</f>
        <v/>
      </c>
      <c r="H148" s="7" t="str">
        <f>IF($C148="","",IF('설정'!$B$4=0,"",CHOOSE('설정'!$B$4,SUMIFS('RAW_유기농_7월'!$H:$H,'RAW_유기농_7월'!$D:$D,$C148,'RAW_유기농_7월'!$A:$A,$E148),SUMIFS('RAW_유기농_8월'!$H:$H,'RAW_유기농_8월'!$D:$D,$C148,'RAW_유기농_8월'!$A:$A,$E148),SUMIFS('RAW_유기농_9월'!$H:$H,'RAW_유기농_9월'!$D:$D,$C148,'RAW_유기농_9월'!$A:$A,$E148),SUMIFS('RAW_유기농_10월'!$H:$H,'RAW_유기농_10월'!$D:$D,$C148,'RAW_유기농_10월'!$A:$A,$E148),SUMIFS('RAW_유기농_11-12월'!$H:$H,'RAW_유기농_11-12월'!$D:$D,$C148,'RAW_유기농_11-12월'!$A:$A,$E148))))</f>
        <v/>
      </c>
      <c r="I148" s="17" t="str">
        <f>IF($C148="","",IF(COUNTIFS('RAW_유기농_7월'!$D:$D,$C148,'RAW_유기농_7월'!$A:$A,$E148)&gt;0,"O",""))</f>
        <v/>
      </c>
      <c r="J148" s="17" t="str">
        <f>IF($C148="","",IF(COUNTIFS('RAW_유기농_8월'!$D:$D,$C148,'RAW_유기농_8월'!$A:$A,$E148)&gt;0,"O",""))</f>
        <v/>
      </c>
      <c r="K148" s="17" t="str">
        <f>IF($C148="","",IF(COUNTIFS('RAW_유기농_9월'!$D:$D,$C148,'RAW_유기농_9월'!$A:$A,$E148)&gt;0,"O",""))</f>
        <v/>
      </c>
      <c r="L148" s="17" t="str">
        <f>IF($C148="","",IF(COUNTIFS('RAW_유기농_10월'!$D:$D,$C148,'RAW_유기농_10월'!$A:$A,$E148)&gt;0,"O",""))</f>
        <v/>
      </c>
      <c r="M148" s="17" t="str">
        <f>IF($C148="","",IF(COUNTIFS('RAW_유기농_11-12월'!$D:$D,$C148,'RAW_유기농_11-12월'!$A:$A,$E148)&gt;0,"O",""))</f>
        <v/>
      </c>
      <c r="N148" s="7" t="str">
        <f>IF($C148="","",IF(COUNTA('RAW_유기농_7월'!$A:$A)&lt;=1,"",SUMIFS('RAW_유기농_7월'!$H:$H,'RAW_유기농_7월'!$D:$D,$C148,'RAW_유기농_7월'!$A:$A,$E148)))</f>
        <v/>
      </c>
      <c r="O148" s="7" t="str">
        <f>IF($C148="","",IF(COUNTA('RAW_유기농_8월'!$A:$A)&lt;=1,"",SUMIFS('RAW_유기농_8월'!$H:$H,'RAW_유기농_8월'!$D:$D,$C148,'RAW_유기농_8월'!$A:$A,$E148)-SUMIFS('RAW_유기농_7월'!$H:$H,'RAW_유기농_7월'!$D:$D,$C148,'RAW_유기농_7월'!$A:$A,$E148)))</f>
        <v/>
      </c>
      <c r="P148" s="7" t="str">
        <f>IF($C148="","",IF(COUNTA('RAW_유기농_9월'!$A:$A)&lt;=1,"",SUMIFS('RAW_유기농_9월'!$H:$H,'RAW_유기농_9월'!$D:$D,$C148,'RAW_유기농_9월'!$A:$A,$E148)-SUMIFS('RAW_유기농_8월'!$H:$H,'RAW_유기농_8월'!$D:$D,$C148,'RAW_유기농_8월'!$A:$A,$E148)))</f>
        <v/>
      </c>
      <c r="Q148" s="7" t="str">
        <f>IF($C148="","",IF(COUNTA('RAW_유기농_10월'!$A:$A)&lt;=1,"",SUMIFS('RAW_유기농_10월'!$H:$H,'RAW_유기농_10월'!$D:$D,$C148,'RAW_유기농_10월'!$A:$A,$E148)-SUMIFS('RAW_유기농_9월'!$H:$H,'RAW_유기농_9월'!$D:$D,$C148,'RAW_유기농_9월'!$A:$A,$E148)))</f>
        <v/>
      </c>
      <c r="R148" s="7" t="str">
        <f>IF($C148="","",IF(COUNTA('RAW_유기농_11-12월'!$A:$A)&lt;=1,"",SUMIFS('RAW_유기농_11-12월'!$H:$H,'RAW_유기농_11-12월'!$D:$D,$C148,'RAW_유기농_11-12월'!$A:$A,$E148)-SUMIFS('RAW_유기농_10월'!$H:$H,'RAW_유기농_10월'!$D:$D,$C148,'RAW_유기농_10월'!$A:$A,$E148)))</f>
        <v/>
      </c>
      <c r="S148" s="17" t="str">
        <f t="shared" si="4"/>
        <v/>
      </c>
      <c r="T148" s="17" t="str">
        <f t="shared" si="5"/>
        <v/>
      </c>
      <c r="U148" s="7">
        <f>IF($C148="",0,IF('설정'!$B$4=0,0,CHOOSE('설정'!$B$4,COUNTIFS('RAW_유기농_7월'!$D:$D,$C148,'RAW_유기농_7월'!$A:$A,$E148),COUNTIFS('RAW_유기농_8월'!$D:$D,$C148,'RAW_유기농_8월'!$A:$A,$E148),COUNTIFS('RAW_유기농_9월'!$D:$D,$C148,'RAW_유기농_9월'!$A:$A,$E148),COUNTIFS('RAW_유기농_10월'!$D:$D,$C148,'RAW_유기농_10월'!$A:$A,$E148),COUNTIFS('RAW_유기농_11-12월'!$D:$D,$C148,'RAW_유기농_11-12월'!$A:$A,$E148))))</f>
        <v>0</v>
      </c>
    </row>
    <row r="149" ht="15.75" customHeight="1">
      <c r="A149" s="5"/>
      <c r="B149" s="5"/>
      <c r="C149" s="5"/>
      <c r="D149" s="6"/>
      <c r="E149" s="5"/>
      <c r="F149" s="7" t="str">
        <f>IF($C149="","",IF('설정'!$B$4=0,"",CHOOSE('설정'!$B$4,SUMIFS('RAW_유기농_7월'!$F:$F,'RAW_유기농_7월'!$D:$D,$C149,'RAW_유기농_7월'!$A:$A,$E149),SUMIFS('RAW_유기농_8월'!$F:$F,'RAW_유기농_8월'!$D:$D,$C149,'RAW_유기농_8월'!$A:$A,$E149),SUMIFS('RAW_유기농_9월'!$F:$F,'RAW_유기농_9월'!$D:$D,$C149,'RAW_유기농_9월'!$A:$A,$E149),SUMIFS('RAW_유기농_10월'!$F:$F,'RAW_유기농_10월'!$D:$D,$C149,'RAW_유기농_10월'!$A:$A,$E149),SUMIFS('RAW_유기농_11-12월'!$F:$F,'RAW_유기농_11-12월'!$D:$D,$C149,'RAW_유기농_11-12월'!$A:$A,$E149))))</f>
        <v/>
      </c>
      <c r="G149" s="7" t="str">
        <f>IF($C149="","",IF('설정'!$B$4=0,"",CHOOSE('설정'!$B$4,SUMIFS('RAW_유기농_7월'!$G:$G,'RAW_유기농_7월'!$D:$D,$C149,'RAW_유기농_7월'!$A:$A,$E149),SUMIFS('RAW_유기농_8월'!$G:$G,'RAW_유기농_8월'!$D:$D,$C149,'RAW_유기농_8월'!$A:$A,$E149),SUMIFS('RAW_유기농_9월'!$G:$G,'RAW_유기농_9월'!$D:$D,$C149,'RAW_유기농_9월'!$A:$A,$E149),SUMIFS('RAW_유기농_10월'!$G:$G,'RAW_유기농_10월'!$D:$D,$C149,'RAW_유기농_10월'!$A:$A,$E149),SUMIFS('RAW_유기농_11-12월'!$G:$G,'RAW_유기농_11-12월'!$D:$D,$C149,'RAW_유기농_11-12월'!$A:$A,$E149))))</f>
        <v/>
      </c>
      <c r="H149" s="7" t="str">
        <f>IF($C149="","",IF('설정'!$B$4=0,"",CHOOSE('설정'!$B$4,SUMIFS('RAW_유기농_7월'!$H:$H,'RAW_유기농_7월'!$D:$D,$C149,'RAW_유기농_7월'!$A:$A,$E149),SUMIFS('RAW_유기농_8월'!$H:$H,'RAW_유기농_8월'!$D:$D,$C149,'RAW_유기농_8월'!$A:$A,$E149),SUMIFS('RAW_유기농_9월'!$H:$H,'RAW_유기농_9월'!$D:$D,$C149,'RAW_유기농_9월'!$A:$A,$E149),SUMIFS('RAW_유기농_10월'!$H:$H,'RAW_유기농_10월'!$D:$D,$C149,'RAW_유기농_10월'!$A:$A,$E149),SUMIFS('RAW_유기농_11-12월'!$H:$H,'RAW_유기농_11-12월'!$D:$D,$C149,'RAW_유기농_11-12월'!$A:$A,$E149))))</f>
        <v/>
      </c>
      <c r="I149" s="17" t="str">
        <f>IF($C149="","",IF(COUNTIFS('RAW_유기농_7월'!$D:$D,$C149,'RAW_유기농_7월'!$A:$A,$E149)&gt;0,"O",""))</f>
        <v/>
      </c>
      <c r="J149" s="17" t="str">
        <f>IF($C149="","",IF(COUNTIFS('RAW_유기농_8월'!$D:$D,$C149,'RAW_유기농_8월'!$A:$A,$E149)&gt;0,"O",""))</f>
        <v/>
      </c>
      <c r="K149" s="17" t="str">
        <f>IF($C149="","",IF(COUNTIFS('RAW_유기농_9월'!$D:$D,$C149,'RAW_유기농_9월'!$A:$A,$E149)&gt;0,"O",""))</f>
        <v/>
      </c>
      <c r="L149" s="17" t="str">
        <f>IF($C149="","",IF(COUNTIFS('RAW_유기농_10월'!$D:$D,$C149,'RAW_유기농_10월'!$A:$A,$E149)&gt;0,"O",""))</f>
        <v/>
      </c>
      <c r="M149" s="17" t="str">
        <f>IF($C149="","",IF(COUNTIFS('RAW_유기농_11-12월'!$D:$D,$C149,'RAW_유기농_11-12월'!$A:$A,$E149)&gt;0,"O",""))</f>
        <v/>
      </c>
      <c r="N149" s="7" t="str">
        <f>IF($C149="","",IF(COUNTA('RAW_유기농_7월'!$A:$A)&lt;=1,"",SUMIFS('RAW_유기농_7월'!$H:$H,'RAW_유기농_7월'!$D:$D,$C149,'RAW_유기농_7월'!$A:$A,$E149)))</f>
        <v/>
      </c>
      <c r="O149" s="7" t="str">
        <f>IF($C149="","",IF(COUNTA('RAW_유기농_8월'!$A:$A)&lt;=1,"",SUMIFS('RAW_유기농_8월'!$H:$H,'RAW_유기농_8월'!$D:$D,$C149,'RAW_유기농_8월'!$A:$A,$E149)-SUMIFS('RAW_유기농_7월'!$H:$H,'RAW_유기농_7월'!$D:$D,$C149,'RAW_유기농_7월'!$A:$A,$E149)))</f>
        <v/>
      </c>
      <c r="P149" s="7" t="str">
        <f>IF($C149="","",IF(COUNTA('RAW_유기농_9월'!$A:$A)&lt;=1,"",SUMIFS('RAW_유기농_9월'!$H:$H,'RAW_유기농_9월'!$D:$D,$C149,'RAW_유기농_9월'!$A:$A,$E149)-SUMIFS('RAW_유기농_8월'!$H:$H,'RAW_유기농_8월'!$D:$D,$C149,'RAW_유기농_8월'!$A:$A,$E149)))</f>
        <v/>
      </c>
      <c r="Q149" s="7" t="str">
        <f>IF($C149="","",IF(COUNTA('RAW_유기농_10월'!$A:$A)&lt;=1,"",SUMIFS('RAW_유기농_10월'!$H:$H,'RAW_유기농_10월'!$D:$D,$C149,'RAW_유기농_10월'!$A:$A,$E149)-SUMIFS('RAW_유기농_9월'!$H:$H,'RAW_유기농_9월'!$D:$D,$C149,'RAW_유기농_9월'!$A:$A,$E149)))</f>
        <v/>
      </c>
      <c r="R149" s="7" t="str">
        <f>IF($C149="","",IF(COUNTA('RAW_유기농_11-12월'!$A:$A)&lt;=1,"",SUMIFS('RAW_유기농_11-12월'!$H:$H,'RAW_유기농_11-12월'!$D:$D,$C149,'RAW_유기농_11-12월'!$A:$A,$E149)-SUMIFS('RAW_유기농_10월'!$H:$H,'RAW_유기농_10월'!$D:$D,$C149,'RAW_유기농_10월'!$A:$A,$E149)))</f>
        <v/>
      </c>
      <c r="S149" s="17" t="str">
        <f t="shared" si="4"/>
        <v/>
      </c>
      <c r="T149" s="17" t="str">
        <f t="shared" si="5"/>
        <v/>
      </c>
      <c r="U149" s="7">
        <f>IF($C149="",0,IF('설정'!$B$4=0,0,CHOOSE('설정'!$B$4,COUNTIFS('RAW_유기농_7월'!$D:$D,$C149,'RAW_유기농_7월'!$A:$A,$E149),COUNTIFS('RAW_유기농_8월'!$D:$D,$C149,'RAW_유기농_8월'!$A:$A,$E149),COUNTIFS('RAW_유기농_9월'!$D:$D,$C149,'RAW_유기농_9월'!$A:$A,$E149),COUNTIFS('RAW_유기농_10월'!$D:$D,$C149,'RAW_유기농_10월'!$A:$A,$E149),COUNTIFS('RAW_유기농_11-12월'!$D:$D,$C149,'RAW_유기농_11-12월'!$A:$A,$E149))))</f>
        <v>0</v>
      </c>
    </row>
    <row r="150" ht="15.75" customHeight="1">
      <c r="A150" s="5"/>
      <c r="B150" s="5"/>
      <c r="C150" s="5"/>
      <c r="D150" s="6"/>
      <c r="E150" s="5"/>
      <c r="F150" s="7" t="str">
        <f>IF($C150="","",IF('설정'!$B$4=0,"",CHOOSE('설정'!$B$4,SUMIFS('RAW_유기농_7월'!$F:$F,'RAW_유기농_7월'!$D:$D,$C150,'RAW_유기농_7월'!$A:$A,$E150),SUMIFS('RAW_유기농_8월'!$F:$F,'RAW_유기농_8월'!$D:$D,$C150,'RAW_유기농_8월'!$A:$A,$E150),SUMIFS('RAW_유기농_9월'!$F:$F,'RAW_유기농_9월'!$D:$D,$C150,'RAW_유기농_9월'!$A:$A,$E150),SUMIFS('RAW_유기농_10월'!$F:$F,'RAW_유기농_10월'!$D:$D,$C150,'RAW_유기농_10월'!$A:$A,$E150),SUMIFS('RAW_유기농_11-12월'!$F:$F,'RAW_유기농_11-12월'!$D:$D,$C150,'RAW_유기농_11-12월'!$A:$A,$E150))))</f>
        <v/>
      </c>
      <c r="G150" s="7" t="str">
        <f>IF($C150="","",IF('설정'!$B$4=0,"",CHOOSE('설정'!$B$4,SUMIFS('RAW_유기농_7월'!$G:$G,'RAW_유기농_7월'!$D:$D,$C150,'RAW_유기농_7월'!$A:$A,$E150),SUMIFS('RAW_유기농_8월'!$G:$G,'RAW_유기농_8월'!$D:$D,$C150,'RAW_유기농_8월'!$A:$A,$E150),SUMIFS('RAW_유기농_9월'!$G:$G,'RAW_유기농_9월'!$D:$D,$C150,'RAW_유기농_9월'!$A:$A,$E150),SUMIFS('RAW_유기농_10월'!$G:$G,'RAW_유기농_10월'!$D:$D,$C150,'RAW_유기농_10월'!$A:$A,$E150),SUMIFS('RAW_유기농_11-12월'!$G:$G,'RAW_유기농_11-12월'!$D:$D,$C150,'RAW_유기농_11-12월'!$A:$A,$E150))))</f>
        <v/>
      </c>
      <c r="H150" s="7" t="str">
        <f>IF($C150="","",IF('설정'!$B$4=0,"",CHOOSE('설정'!$B$4,SUMIFS('RAW_유기농_7월'!$H:$H,'RAW_유기농_7월'!$D:$D,$C150,'RAW_유기농_7월'!$A:$A,$E150),SUMIFS('RAW_유기농_8월'!$H:$H,'RAW_유기농_8월'!$D:$D,$C150,'RAW_유기농_8월'!$A:$A,$E150),SUMIFS('RAW_유기농_9월'!$H:$H,'RAW_유기농_9월'!$D:$D,$C150,'RAW_유기농_9월'!$A:$A,$E150),SUMIFS('RAW_유기농_10월'!$H:$H,'RAW_유기농_10월'!$D:$D,$C150,'RAW_유기농_10월'!$A:$A,$E150),SUMIFS('RAW_유기농_11-12월'!$H:$H,'RAW_유기농_11-12월'!$D:$D,$C150,'RAW_유기농_11-12월'!$A:$A,$E150))))</f>
        <v/>
      </c>
      <c r="I150" s="17" t="str">
        <f>IF($C150="","",IF(COUNTIFS('RAW_유기농_7월'!$D:$D,$C150,'RAW_유기농_7월'!$A:$A,$E150)&gt;0,"O",""))</f>
        <v/>
      </c>
      <c r="J150" s="17" t="str">
        <f>IF($C150="","",IF(COUNTIFS('RAW_유기농_8월'!$D:$D,$C150,'RAW_유기농_8월'!$A:$A,$E150)&gt;0,"O",""))</f>
        <v/>
      </c>
      <c r="K150" s="17" t="str">
        <f>IF($C150="","",IF(COUNTIFS('RAW_유기농_9월'!$D:$D,$C150,'RAW_유기농_9월'!$A:$A,$E150)&gt;0,"O",""))</f>
        <v/>
      </c>
      <c r="L150" s="17" t="str">
        <f>IF($C150="","",IF(COUNTIFS('RAW_유기농_10월'!$D:$D,$C150,'RAW_유기농_10월'!$A:$A,$E150)&gt;0,"O",""))</f>
        <v/>
      </c>
      <c r="M150" s="17" t="str">
        <f>IF($C150="","",IF(COUNTIFS('RAW_유기농_11-12월'!$D:$D,$C150,'RAW_유기농_11-12월'!$A:$A,$E150)&gt;0,"O",""))</f>
        <v/>
      </c>
      <c r="N150" s="7" t="str">
        <f>IF($C150="","",IF(COUNTA('RAW_유기농_7월'!$A:$A)&lt;=1,"",SUMIFS('RAW_유기농_7월'!$H:$H,'RAW_유기농_7월'!$D:$D,$C150,'RAW_유기농_7월'!$A:$A,$E150)))</f>
        <v/>
      </c>
      <c r="O150" s="7" t="str">
        <f>IF($C150="","",IF(COUNTA('RAW_유기농_8월'!$A:$A)&lt;=1,"",SUMIFS('RAW_유기농_8월'!$H:$H,'RAW_유기농_8월'!$D:$D,$C150,'RAW_유기농_8월'!$A:$A,$E150)-SUMIFS('RAW_유기농_7월'!$H:$H,'RAW_유기농_7월'!$D:$D,$C150,'RAW_유기농_7월'!$A:$A,$E150)))</f>
        <v/>
      </c>
      <c r="P150" s="7" t="str">
        <f>IF($C150="","",IF(COUNTA('RAW_유기농_9월'!$A:$A)&lt;=1,"",SUMIFS('RAW_유기농_9월'!$H:$H,'RAW_유기농_9월'!$D:$D,$C150,'RAW_유기농_9월'!$A:$A,$E150)-SUMIFS('RAW_유기농_8월'!$H:$H,'RAW_유기농_8월'!$D:$D,$C150,'RAW_유기농_8월'!$A:$A,$E150)))</f>
        <v/>
      </c>
      <c r="Q150" s="7" t="str">
        <f>IF($C150="","",IF(COUNTA('RAW_유기농_10월'!$A:$A)&lt;=1,"",SUMIFS('RAW_유기농_10월'!$H:$H,'RAW_유기농_10월'!$D:$D,$C150,'RAW_유기농_10월'!$A:$A,$E150)-SUMIFS('RAW_유기농_9월'!$H:$H,'RAW_유기농_9월'!$D:$D,$C150,'RAW_유기농_9월'!$A:$A,$E150)))</f>
        <v/>
      </c>
      <c r="R150" s="7" t="str">
        <f>IF($C150="","",IF(COUNTA('RAW_유기농_11-12월'!$A:$A)&lt;=1,"",SUMIFS('RAW_유기농_11-12월'!$H:$H,'RAW_유기농_11-12월'!$D:$D,$C150,'RAW_유기농_11-12월'!$A:$A,$E150)-SUMIFS('RAW_유기농_10월'!$H:$H,'RAW_유기농_10월'!$D:$D,$C150,'RAW_유기농_10월'!$A:$A,$E150)))</f>
        <v/>
      </c>
      <c r="S150" s="17" t="str">
        <f t="shared" si="4"/>
        <v/>
      </c>
      <c r="T150" s="17" t="str">
        <f t="shared" si="5"/>
        <v/>
      </c>
      <c r="U150" s="7">
        <f>IF($C150="",0,IF('설정'!$B$4=0,0,CHOOSE('설정'!$B$4,COUNTIFS('RAW_유기농_7월'!$D:$D,$C150,'RAW_유기농_7월'!$A:$A,$E150),COUNTIFS('RAW_유기농_8월'!$D:$D,$C150,'RAW_유기농_8월'!$A:$A,$E150),COUNTIFS('RAW_유기농_9월'!$D:$D,$C150,'RAW_유기농_9월'!$A:$A,$E150),COUNTIFS('RAW_유기농_10월'!$D:$D,$C150,'RAW_유기농_10월'!$A:$A,$E150),COUNTIFS('RAW_유기농_11-12월'!$D:$D,$C150,'RAW_유기농_11-12월'!$A:$A,$E150))))</f>
        <v>0</v>
      </c>
    </row>
    <row r="151" ht="15.75" customHeight="1">
      <c r="A151" s="5"/>
      <c r="B151" s="5"/>
      <c r="C151" s="5"/>
      <c r="D151" s="6"/>
      <c r="E151" s="5"/>
      <c r="F151" s="7" t="str">
        <f>IF($C151="","",IF('설정'!$B$4=0,"",CHOOSE('설정'!$B$4,SUMIFS('RAW_유기농_7월'!$F:$F,'RAW_유기농_7월'!$D:$D,$C151,'RAW_유기농_7월'!$A:$A,$E151),SUMIFS('RAW_유기농_8월'!$F:$F,'RAW_유기농_8월'!$D:$D,$C151,'RAW_유기농_8월'!$A:$A,$E151),SUMIFS('RAW_유기농_9월'!$F:$F,'RAW_유기농_9월'!$D:$D,$C151,'RAW_유기농_9월'!$A:$A,$E151),SUMIFS('RAW_유기농_10월'!$F:$F,'RAW_유기농_10월'!$D:$D,$C151,'RAW_유기농_10월'!$A:$A,$E151),SUMIFS('RAW_유기농_11-12월'!$F:$F,'RAW_유기농_11-12월'!$D:$D,$C151,'RAW_유기농_11-12월'!$A:$A,$E151))))</f>
        <v/>
      </c>
      <c r="G151" s="7" t="str">
        <f>IF($C151="","",IF('설정'!$B$4=0,"",CHOOSE('설정'!$B$4,SUMIFS('RAW_유기농_7월'!$G:$G,'RAW_유기농_7월'!$D:$D,$C151,'RAW_유기농_7월'!$A:$A,$E151),SUMIFS('RAW_유기농_8월'!$G:$G,'RAW_유기농_8월'!$D:$D,$C151,'RAW_유기농_8월'!$A:$A,$E151),SUMIFS('RAW_유기농_9월'!$G:$G,'RAW_유기농_9월'!$D:$D,$C151,'RAW_유기농_9월'!$A:$A,$E151),SUMIFS('RAW_유기농_10월'!$G:$G,'RAW_유기농_10월'!$D:$D,$C151,'RAW_유기농_10월'!$A:$A,$E151),SUMIFS('RAW_유기농_11-12월'!$G:$G,'RAW_유기농_11-12월'!$D:$D,$C151,'RAW_유기농_11-12월'!$A:$A,$E151))))</f>
        <v/>
      </c>
      <c r="H151" s="7" t="str">
        <f>IF($C151="","",IF('설정'!$B$4=0,"",CHOOSE('설정'!$B$4,SUMIFS('RAW_유기농_7월'!$H:$H,'RAW_유기농_7월'!$D:$D,$C151,'RAW_유기농_7월'!$A:$A,$E151),SUMIFS('RAW_유기농_8월'!$H:$H,'RAW_유기농_8월'!$D:$D,$C151,'RAW_유기농_8월'!$A:$A,$E151),SUMIFS('RAW_유기농_9월'!$H:$H,'RAW_유기농_9월'!$D:$D,$C151,'RAW_유기농_9월'!$A:$A,$E151),SUMIFS('RAW_유기농_10월'!$H:$H,'RAW_유기농_10월'!$D:$D,$C151,'RAW_유기농_10월'!$A:$A,$E151),SUMIFS('RAW_유기농_11-12월'!$H:$H,'RAW_유기농_11-12월'!$D:$D,$C151,'RAW_유기농_11-12월'!$A:$A,$E151))))</f>
        <v/>
      </c>
      <c r="I151" s="17" t="str">
        <f>IF($C151="","",IF(COUNTIFS('RAW_유기농_7월'!$D:$D,$C151,'RAW_유기농_7월'!$A:$A,$E151)&gt;0,"O",""))</f>
        <v/>
      </c>
      <c r="J151" s="17" t="str">
        <f>IF($C151="","",IF(COUNTIFS('RAW_유기농_8월'!$D:$D,$C151,'RAW_유기농_8월'!$A:$A,$E151)&gt;0,"O",""))</f>
        <v/>
      </c>
      <c r="K151" s="17" t="str">
        <f>IF($C151="","",IF(COUNTIFS('RAW_유기농_9월'!$D:$D,$C151,'RAW_유기농_9월'!$A:$A,$E151)&gt;0,"O",""))</f>
        <v/>
      </c>
      <c r="L151" s="17" t="str">
        <f>IF($C151="","",IF(COUNTIFS('RAW_유기농_10월'!$D:$D,$C151,'RAW_유기농_10월'!$A:$A,$E151)&gt;0,"O",""))</f>
        <v/>
      </c>
      <c r="M151" s="17" t="str">
        <f>IF($C151="","",IF(COUNTIFS('RAW_유기농_11-12월'!$D:$D,$C151,'RAW_유기농_11-12월'!$A:$A,$E151)&gt;0,"O",""))</f>
        <v/>
      </c>
      <c r="N151" s="7" t="str">
        <f>IF($C151="","",IF(COUNTA('RAW_유기농_7월'!$A:$A)&lt;=1,"",SUMIFS('RAW_유기농_7월'!$H:$H,'RAW_유기농_7월'!$D:$D,$C151,'RAW_유기농_7월'!$A:$A,$E151)))</f>
        <v/>
      </c>
      <c r="O151" s="7" t="str">
        <f>IF($C151="","",IF(COUNTA('RAW_유기농_8월'!$A:$A)&lt;=1,"",SUMIFS('RAW_유기농_8월'!$H:$H,'RAW_유기농_8월'!$D:$D,$C151,'RAW_유기농_8월'!$A:$A,$E151)-SUMIFS('RAW_유기농_7월'!$H:$H,'RAW_유기농_7월'!$D:$D,$C151,'RAW_유기농_7월'!$A:$A,$E151)))</f>
        <v/>
      </c>
      <c r="P151" s="7" t="str">
        <f>IF($C151="","",IF(COUNTA('RAW_유기농_9월'!$A:$A)&lt;=1,"",SUMIFS('RAW_유기농_9월'!$H:$H,'RAW_유기농_9월'!$D:$D,$C151,'RAW_유기농_9월'!$A:$A,$E151)-SUMIFS('RAW_유기농_8월'!$H:$H,'RAW_유기농_8월'!$D:$D,$C151,'RAW_유기농_8월'!$A:$A,$E151)))</f>
        <v/>
      </c>
      <c r="Q151" s="7" t="str">
        <f>IF($C151="","",IF(COUNTA('RAW_유기농_10월'!$A:$A)&lt;=1,"",SUMIFS('RAW_유기농_10월'!$H:$H,'RAW_유기농_10월'!$D:$D,$C151,'RAW_유기농_10월'!$A:$A,$E151)-SUMIFS('RAW_유기농_9월'!$H:$H,'RAW_유기농_9월'!$D:$D,$C151,'RAW_유기농_9월'!$A:$A,$E151)))</f>
        <v/>
      </c>
      <c r="R151" s="7" t="str">
        <f>IF($C151="","",IF(COUNTA('RAW_유기농_11-12월'!$A:$A)&lt;=1,"",SUMIFS('RAW_유기농_11-12월'!$H:$H,'RAW_유기농_11-12월'!$D:$D,$C151,'RAW_유기농_11-12월'!$A:$A,$E151)-SUMIFS('RAW_유기농_10월'!$H:$H,'RAW_유기농_10월'!$D:$D,$C151,'RAW_유기농_10월'!$A:$A,$E151)))</f>
        <v/>
      </c>
      <c r="S151" s="17" t="str">
        <f t="shared" si="4"/>
        <v/>
      </c>
      <c r="T151" s="17" t="str">
        <f t="shared" si="5"/>
        <v/>
      </c>
      <c r="U151" s="7">
        <f>IF($C151="",0,IF('설정'!$B$4=0,0,CHOOSE('설정'!$B$4,COUNTIFS('RAW_유기농_7월'!$D:$D,$C151,'RAW_유기농_7월'!$A:$A,$E151),COUNTIFS('RAW_유기농_8월'!$D:$D,$C151,'RAW_유기농_8월'!$A:$A,$E151),COUNTIFS('RAW_유기농_9월'!$D:$D,$C151,'RAW_유기농_9월'!$A:$A,$E151),COUNTIFS('RAW_유기농_10월'!$D:$D,$C151,'RAW_유기농_10월'!$A:$A,$E151),COUNTIFS('RAW_유기농_11-12월'!$D:$D,$C151,'RAW_유기농_11-12월'!$A:$A,$E151))))</f>
        <v>0</v>
      </c>
    </row>
    <row r="152" ht="15.75" customHeight="1">
      <c r="A152" s="5"/>
      <c r="B152" s="5"/>
      <c r="C152" s="5"/>
      <c r="D152" s="6"/>
      <c r="E152" s="5"/>
      <c r="F152" s="7" t="str">
        <f>IF($C152="","",IF('설정'!$B$4=0,"",CHOOSE('설정'!$B$4,SUMIFS('RAW_유기농_7월'!$F:$F,'RAW_유기농_7월'!$D:$D,$C152,'RAW_유기농_7월'!$A:$A,$E152),SUMIFS('RAW_유기농_8월'!$F:$F,'RAW_유기농_8월'!$D:$D,$C152,'RAW_유기농_8월'!$A:$A,$E152),SUMIFS('RAW_유기농_9월'!$F:$F,'RAW_유기농_9월'!$D:$D,$C152,'RAW_유기농_9월'!$A:$A,$E152),SUMIFS('RAW_유기농_10월'!$F:$F,'RAW_유기농_10월'!$D:$D,$C152,'RAW_유기농_10월'!$A:$A,$E152),SUMIFS('RAW_유기농_11-12월'!$F:$F,'RAW_유기농_11-12월'!$D:$D,$C152,'RAW_유기농_11-12월'!$A:$A,$E152))))</f>
        <v/>
      </c>
      <c r="G152" s="7" t="str">
        <f>IF($C152="","",IF('설정'!$B$4=0,"",CHOOSE('설정'!$B$4,SUMIFS('RAW_유기농_7월'!$G:$G,'RAW_유기농_7월'!$D:$D,$C152,'RAW_유기농_7월'!$A:$A,$E152),SUMIFS('RAW_유기농_8월'!$G:$G,'RAW_유기농_8월'!$D:$D,$C152,'RAW_유기농_8월'!$A:$A,$E152),SUMIFS('RAW_유기농_9월'!$G:$G,'RAW_유기농_9월'!$D:$D,$C152,'RAW_유기농_9월'!$A:$A,$E152),SUMIFS('RAW_유기농_10월'!$G:$G,'RAW_유기농_10월'!$D:$D,$C152,'RAW_유기농_10월'!$A:$A,$E152),SUMIFS('RAW_유기농_11-12월'!$G:$G,'RAW_유기농_11-12월'!$D:$D,$C152,'RAW_유기농_11-12월'!$A:$A,$E152))))</f>
        <v/>
      </c>
      <c r="H152" s="7" t="str">
        <f>IF($C152="","",IF('설정'!$B$4=0,"",CHOOSE('설정'!$B$4,SUMIFS('RAW_유기농_7월'!$H:$H,'RAW_유기농_7월'!$D:$D,$C152,'RAW_유기농_7월'!$A:$A,$E152),SUMIFS('RAW_유기농_8월'!$H:$H,'RAW_유기농_8월'!$D:$D,$C152,'RAW_유기농_8월'!$A:$A,$E152),SUMIFS('RAW_유기농_9월'!$H:$H,'RAW_유기농_9월'!$D:$D,$C152,'RAW_유기농_9월'!$A:$A,$E152),SUMIFS('RAW_유기농_10월'!$H:$H,'RAW_유기농_10월'!$D:$D,$C152,'RAW_유기농_10월'!$A:$A,$E152),SUMIFS('RAW_유기농_11-12월'!$H:$H,'RAW_유기농_11-12월'!$D:$D,$C152,'RAW_유기농_11-12월'!$A:$A,$E152))))</f>
        <v/>
      </c>
      <c r="I152" s="17" t="str">
        <f>IF($C152="","",IF(COUNTIFS('RAW_유기농_7월'!$D:$D,$C152,'RAW_유기농_7월'!$A:$A,$E152)&gt;0,"O",""))</f>
        <v/>
      </c>
      <c r="J152" s="17" t="str">
        <f>IF($C152="","",IF(COUNTIFS('RAW_유기농_8월'!$D:$D,$C152,'RAW_유기농_8월'!$A:$A,$E152)&gt;0,"O",""))</f>
        <v/>
      </c>
      <c r="K152" s="17" t="str">
        <f>IF($C152="","",IF(COUNTIFS('RAW_유기농_9월'!$D:$D,$C152,'RAW_유기농_9월'!$A:$A,$E152)&gt;0,"O",""))</f>
        <v/>
      </c>
      <c r="L152" s="17" t="str">
        <f>IF($C152="","",IF(COUNTIFS('RAW_유기농_10월'!$D:$D,$C152,'RAW_유기농_10월'!$A:$A,$E152)&gt;0,"O",""))</f>
        <v/>
      </c>
      <c r="M152" s="17" t="str">
        <f>IF($C152="","",IF(COUNTIFS('RAW_유기농_11-12월'!$D:$D,$C152,'RAW_유기농_11-12월'!$A:$A,$E152)&gt;0,"O",""))</f>
        <v/>
      </c>
      <c r="N152" s="7" t="str">
        <f>IF($C152="","",IF(COUNTA('RAW_유기농_7월'!$A:$A)&lt;=1,"",SUMIFS('RAW_유기농_7월'!$H:$H,'RAW_유기농_7월'!$D:$D,$C152,'RAW_유기농_7월'!$A:$A,$E152)))</f>
        <v/>
      </c>
      <c r="O152" s="7" t="str">
        <f>IF($C152="","",IF(COUNTA('RAW_유기농_8월'!$A:$A)&lt;=1,"",SUMIFS('RAW_유기농_8월'!$H:$H,'RAW_유기농_8월'!$D:$D,$C152,'RAW_유기농_8월'!$A:$A,$E152)-SUMIFS('RAW_유기농_7월'!$H:$H,'RAW_유기농_7월'!$D:$D,$C152,'RAW_유기농_7월'!$A:$A,$E152)))</f>
        <v/>
      </c>
      <c r="P152" s="7" t="str">
        <f>IF($C152="","",IF(COUNTA('RAW_유기농_9월'!$A:$A)&lt;=1,"",SUMIFS('RAW_유기농_9월'!$H:$H,'RAW_유기농_9월'!$D:$D,$C152,'RAW_유기농_9월'!$A:$A,$E152)-SUMIFS('RAW_유기농_8월'!$H:$H,'RAW_유기농_8월'!$D:$D,$C152,'RAW_유기농_8월'!$A:$A,$E152)))</f>
        <v/>
      </c>
      <c r="Q152" s="7" t="str">
        <f>IF($C152="","",IF(COUNTA('RAW_유기농_10월'!$A:$A)&lt;=1,"",SUMIFS('RAW_유기농_10월'!$H:$H,'RAW_유기농_10월'!$D:$D,$C152,'RAW_유기농_10월'!$A:$A,$E152)-SUMIFS('RAW_유기농_9월'!$H:$H,'RAW_유기농_9월'!$D:$D,$C152,'RAW_유기농_9월'!$A:$A,$E152)))</f>
        <v/>
      </c>
      <c r="R152" s="7" t="str">
        <f>IF($C152="","",IF(COUNTA('RAW_유기농_11-12월'!$A:$A)&lt;=1,"",SUMIFS('RAW_유기농_11-12월'!$H:$H,'RAW_유기농_11-12월'!$D:$D,$C152,'RAW_유기농_11-12월'!$A:$A,$E152)-SUMIFS('RAW_유기농_10월'!$H:$H,'RAW_유기농_10월'!$D:$D,$C152,'RAW_유기농_10월'!$A:$A,$E152)))</f>
        <v/>
      </c>
      <c r="S152" s="17" t="str">
        <f t="shared" si="4"/>
        <v/>
      </c>
      <c r="T152" s="17" t="str">
        <f t="shared" si="5"/>
        <v/>
      </c>
      <c r="U152" s="7">
        <f>IF($C152="",0,IF('설정'!$B$4=0,0,CHOOSE('설정'!$B$4,COUNTIFS('RAW_유기농_7월'!$D:$D,$C152,'RAW_유기농_7월'!$A:$A,$E152),COUNTIFS('RAW_유기농_8월'!$D:$D,$C152,'RAW_유기농_8월'!$A:$A,$E152),COUNTIFS('RAW_유기농_9월'!$D:$D,$C152,'RAW_유기농_9월'!$A:$A,$E152),COUNTIFS('RAW_유기농_10월'!$D:$D,$C152,'RAW_유기농_10월'!$A:$A,$E152),COUNTIFS('RAW_유기농_11-12월'!$D:$D,$C152,'RAW_유기농_11-12월'!$A:$A,$E152))))</f>
        <v>0</v>
      </c>
    </row>
    <row r="153" ht="15.75" customHeight="1">
      <c r="A153" s="5"/>
      <c r="B153" s="5"/>
      <c r="C153" s="5"/>
      <c r="D153" s="6"/>
      <c r="E153" s="5"/>
      <c r="F153" s="7" t="str">
        <f>IF($C153="","",IF('설정'!$B$4=0,"",CHOOSE('설정'!$B$4,SUMIFS('RAW_유기농_7월'!$F:$F,'RAW_유기농_7월'!$D:$D,$C153,'RAW_유기농_7월'!$A:$A,$E153),SUMIFS('RAW_유기농_8월'!$F:$F,'RAW_유기농_8월'!$D:$D,$C153,'RAW_유기농_8월'!$A:$A,$E153),SUMIFS('RAW_유기농_9월'!$F:$F,'RAW_유기농_9월'!$D:$D,$C153,'RAW_유기농_9월'!$A:$A,$E153),SUMIFS('RAW_유기농_10월'!$F:$F,'RAW_유기농_10월'!$D:$D,$C153,'RAW_유기농_10월'!$A:$A,$E153),SUMIFS('RAW_유기농_11-12월'!$F:$F,'RAW_유기농_11-12월'!$D:$D,$C153,'RAW_유기농_11-12월'!$A:$A,$E153))))</f>
        <v/>
      </c>
      <c r="G153" s="7" t="str">
        <f>IF($C153="","",IF('설정'!$B$4=0,"",CHOOSE('설정'!$B$4,SUMIFS('RAW_유기농_7월'!$G:$G,'RAW_유기농_7월'!$D:$D,$C153,'RAW_유기농_7월'!$A:$A,$E153),SUMIFS('RAW_유기농_8월'!$G:$G,'RAW_유기농_8월'!$D:$D,$C153,'RAW_유기농_8월'!$A:$A,$E153),SUMIFS('RAW_유기농_9월'!$G:$G,'RAW_유기농_9월'!$D:$D,$C153,'RAW_유기농_9월'!$A:$A,$E153),SUMIFS('RAW_유기농_10월'!$G:$G,'RAW_유기농_10월'!$D:$D,$C153,'RAW_유기농_10월'!$A:$A,$E153),SUMIFS('RAW_유기농_11-12월'!$G:$G,'RAW_유기농_11-12월'!$D:$D,$C153,'RAW_유기농_11-12월'!$A:$A,$E153))))</f>
        <v/>
      </c>
      <c r="H153" s="7" t="str">
        <f>IF($C153="","",IF('설정'!$B$4=0,"",CHOOSE('설정'!$B$4,SUMIFS('RAW_유기농_7월'!$H:$H,'RAW_유기농_7월'!$D:$D,$C153,'RAW_유기농_7월'!$A:$A,$E153),SUMIFS('RAW_유기농_8월'!$H:$H,'RAW_유기농_8월'!$D:$D,$C153,'RAW_유기농_8월'!$A:$A,$E153),SUMIFS('RAW_유기농_9월'!$H:$H,'RAW_유기농_9월'!$D:$D,$C153,'RAW_유기농_9월'!$A:$A,$E153),SUMIFS('RAW_유기농_10월'!$H:$H,'RAW_유기농_10월'!$D:$D,$C153,'RAW_유기농_10월'!$A:$A,$E153),SUMIFS('RAW_유기농_11-12월'!$H:$H,'RAW_유기농_11-12월'!$D:$D,$C153,'RAW_유기농_11-12월'!$A:$A,$E153))))</f>
        <v/>
      </c>
      <c r="I153" s="17" t="str">
        <f>IF($C153="","",IF(COUNTIFS('RAW_유기농_7월'!$D:$D,$C153,'RAW_유기농_7월'!$A:$A,$E153)&gt;0,"O",""))</f>
        <v/>
      </c>
      <c r="J153" s="17" t="str">
        <f>IF($C153="","",IF(COUNTIFS('RAW_유기농_8월'!$D:$D,$C153,'RAW_유기농_8월'!$A:$A,$E153)&gt;0,"O",""))</f>
        <v/>
      </c>
      <c r="K153" s="17" t="str">
        <f>IF($C153="","",IF(COUNTIFS('RAW_유기농_9월'!$D:$D,$C153,'RAW_유기농_9월'!$A:$A,$E153)&gt;0,"O",""))</f>
        <v/>
      </c>
      <c r="L153" s="17" t="str">
        <f>IF($C153="","",IF(COUNTIFS('RAW_유기농_10월'!$D:$D,$C153,'RAW_유기농_10월'!$A:$A,$E153)&gt;0,"O",""))</f>
        <v/>
      </c>
      <c r="M153" s="17" t="str">
        <f>IF($C153="","",IF(COUNTIFS('RAW_유기농_11-12월'!$D:$D,$C153,'RAW_유기농_11-12월'!$A:$A,$E153)&gt;0,"O",""))</f>
        <v/>
      </c>
      <c r="N153" s="7" t="str">
        <f>IF($C153="","",IF(COUNTA('RAW_유기농_7월'!$A:$A)&lt;=1,"",SUMIFS('RAW_유기농_7월'!$H:$H,'RAW_유기농_7월'!$D:$D,$C153,'RAW_유기농_7월'!$A:$A,$E153)))</f>
        <v/>
      </c>
      <c r="O153" s="7" t="str">
        <f>IF($C153="","",IF(COUNTA('RAW_유기농_8월'!$A:$A)&lt;=1,"",SUMIFS('RAW_유기농_8월'!$H:$H,'RAW_유기농_8월'!$D:$D,$C153,'RAW_유기농_8월'!$A:$A,$E153)-SUMIFS('RAW_유기농_7월'!$H:$H,'RAW_유기농_7월'!$D:$D,$C153,'RAW_유기농_7월'!$A:$A,$E153)))</f>
        <v/>
      </c>
      <c r="P153" s="7" t="str">
        <f>IF($C153="","",IF(COUNTA('RAW_유기농_9월'!$A:$A)&lt;=1,"",SUMIFS('RAW_유기농_9월'!$H:$H,'RAW_유기농_9월'!$D:$D,$C153,'RAW_유기농_9월'!$A:$A,$E153)-SUMIFS('RAW_유기농_8월'!$H:$H,'RAW_유기농_8월'!$D:$D,$C153,'RAW_유기농_8월'!$A:$A,$E153)))</f>
        <v/>
      </c>
      <c r="Q153" s="7" t="str">
        <f>IF($C153="","",IF(COUNTA('RAW_유기농_10월'!$A:$A)&lt;=1,"",SUMIFS('RAW_유기농_10월'!$H:$H,'RAW_유기농_10월'!$D:$D,$C153,'RAW_유기농_10월'!$A:$A,$E153)-SUMIFS('RAW_유기농_9월'!$H:$H,'RAW_유기농_9월'!$D:$D,$C153,'RAW_유기농_9월'!$A:$A,$E153)))</f>
        <v/>
      </c>
      <c r="R153" s="7" t="str">
        <f>IF($C153="","",IF(COUNTA('RAW_유기농_11-12월'!$A:$A)&lt;=1,"",SUMIFS('RAW_유기농_11-12월'!$H:$H,'RAW_유기농_11-12월'!$D:$D,$C153,'RAW_유기농_11-12월'!$A:$A,$E153)-SUMIFS('RAW_유기농_10월'!$H:$H,'RAW_유기농_10월'!$D:$D,$C153,'RAW_유기농_10월'!$A:$A,$E153)))</f>
        <v/>
      </c>
      <c r="S153" s="17" t="str">
        <f t="shared" si="4"/>
        <v/>
      </c>
      <c r="T153" s="17" t="str">
        <f t="shared" si="5"/>
        <v/>
      </c>
      <c r="U153" s="7">
        <f>IF($C153="",0,IF('설정'!$B$4=0,0,CHOOSE('설정'!$B$4,COUNTIFS('RAW_유기농_7월'!$D:$D,$C153,'RAW_유기농_7월'!$A:$A,$E153),COUNTIFS('RAW_유기농_8월'!$D:$D,$C153,'RAW_유기농_8월'!$A:$A,$E153),COUNTIFS('RAW_유기농_9월'!$D:$D,$C153,'RAW_유기농_9월'!$A:$A,$E153),COUNTIFS('RAW_유기농_10월'!$D:$D,$C153,'RAW_유기농_10월'!$A:$A,$E153),COUNTIFS('RAW_유기농_11-12월'!$D:$D,$C153,'RAW_유기농_11-12월'!$A:$A,$E153))))</f>
        <v>0</v>
      </c>
    </row>
    <row r="154" ht="15.75" customHeight="1">
      <c r="A154" s="5"/>
      <c r="B154" s="5"/>
      <c r="C154" s="5"/>
      <c r="D154" s="6"/>
      <c r="E154" s="5"/>
      <c r="F154" s="7" t="str">
        <f>IF($C154="","",IF('설정'!$B$4=0,"",CHOOSE('설정'!$B$4,SUMIFS('RAW_유기농_7월'!$F:$F,'RAW_유기농_7월'!$D:$D,$C154,'RAW_유기농_7월'!$A:$A,$E154),SUMIFS('RAW_유기농_8월'!$F:$F,'RAW_유기농_8월'!$D:$D,$C154,'RAW_유기농_8월'!$A:$A,$E154),SUMIFS('RAW_유기농_9월'!$F:$F,'RAW_유기농_9월'!$D:$D,$C154,'RAW_유기농_9월'!$A:$A,$E154),SUMIFS('RAW_유기농_10월'!$F:$F,'RAW_유기농_10월'!$D:$D,$C154,'RAW_유기농_10월'!$A:$A,$E154),SUMIFS('RAW_유기농_11-12월'!$F:$F,'RAW_유기농_11-12월'!$D:$D,$C154,'RAW_유기농_11-12월'!$A:$A,$E154))))</f>
        <v/>
      </c>
      <c r="G154" s="7" t="str">
        <f>IF($C154="","",IF('설정'!$B$4=0,"",CHOOSE('설정'!$B$4,SUMIFS('RAW_유기농_7월'!$G:$G,'RAW_유기농_7월'!$D:$D,$C154,'RAW_유기농_7월'!$A:$A,$E154),SUMIFS('RAW_유기농_8월'!$G:$G,'RAW_유기농_8월'!$D:$D,$C154,'RAW_유기농_8월'!$A:$A,$E154),SUMIFS('RAW_유기농_9월'!$G:$G,'RAW_유기농_9월'!$D:$D,$C154,'RAW_유기농_9월'!$A:$A,$E154),SUMIFS('RAW_유기농_10월'!$G:$G,'RAW_유기농_10월'!$D:$D,$C154,'RAW_유기농_10월'!$A:$A,$E154),SUMIFS('RAW_유기농_11-12월'!$G:$G,'RAW_유기농_11-12월'!$D:$D,$C154,'RAW_유기농_11-12월'!$A:$A,$E154))))</f>
        <v/>
      </c>
      <c r="H154" s="7" t="str">
        <f>IF($C154="","",IF('설정'!$B$4=0,"",CHOOSE('설정'!$B$4,SUMIFS('RAW_유기농_7월'!$H:$H,'RAW_유기농_7월'!$D:$D,$C154,'RAW_유기농_7월'!$A:$A,$E154),SUMIFS('RAW_유기농_8월'!$H:$H,'RAW_유기농_8월'!$D:$D,$C154,'RAW_유기농_8월'!$A:$A,$E154),SUMIFS('RAW_유기농_9월'!$H:$H,'RAW_유기농_9월'!$D:$D,$C154,'RAW_유기농_9월'!$A:$A,$E154),SUMIFS('RAW_유기농_10월'!$H:$H,'RAW_유기농_10월'!$D:$D,$C154,'RAW_유기농_10월'!$A:$A,$E154),SUMIFS('RAW_유기농_11-12월'!$H:$H,'RAW_유기농_11-12월'!$D:$D,$C154,'RAW_유기농_11-12월'!$A:$A,$E154))))</f>
        <v/>
      </c>
      <c r="I154" s="17" t="str">
        <f>IF($C154="","",IF(COUNTIFS('RAW_유기농_7월'!$D:$D,$C154,'RAW_유기농_7월'!$A:$A,$E154)&gt;0,"O",""))</f>
        <v/>
      </c>
      <c r="J154" s="17" t="str">
        <f>IF($C154="","",IF(COUNTIFS('RAW_유기농_8월'!$D:$D,$C154,'RAW_유기농_8월'!$A:$A,$E154)&gt;0,"O",""))</f>
        <v/>
      </c>
      <c r="K154" s="17" t="str">
        <f>IF($C154="","",IF(COUNTIFS('RAW_유기농_9월'!$D:$D,$C154,'RAW_유기농_9월'!$A:$A,$E154)&gt;0,"O",""))</f>
        <v/>
      </c>
      <c r="L154" s="17" t="str">
        <f>IF($C154="","",IF(COUNTIFS('RAW_유기농_10월'!$D:$D,$C154,'RAW_유기농_10월'!$A:$A,$E154)&gt;0,"O",""))</f>
        <v/>
      </c>
      <c r="M154" s="17" t="str">
        <f>IF($C154="","",IF(COUNTIFS('RAW_유기농_11-12월'!$D:$D,$C154,'RAW_유기농_11-12월'!$A:$A,$E154)&gt;0,"O",""))</f>
        <v/>
      </c>
      <c r="N154" s="7" t="str">
        <f>IF($C154="","",IF(COUNTA('RAW_유기농_7월'!$A:$A)&lt;=1,"",SUMIFS('RAW_유기농_7월'!$H:$H,'RAW_유기농_7월'!$D:$D,$C154,'RAW_유기농_7월'!$A:$A,$E154)))</f>
        <v/>
      </c>
      <c r="O154" s="7" t="str">
        <f>IF($C154="","",IF(COUNTA('RAW_유기농_8월'!$A:$A)&lt;=1,"",SUMIFS('RAW_유기농_8월'!$H:$H,'RAW_유기농_8월'!$D:$D,$C154,'RAW_유기농_8월'!$A:$A,$E154)-SUMIFS('RAW_유기농_7월'!$H:$H,'RAW_유기농_7월'!$D:$D,$C154,'RAW_유기농_7월'!$A:$A,$E154)))</f>
        <v/>
      </c>
      <c r="P154" s="7" t="str">
        <f>IF($C154="","",IF(COUNTA('RAW_유기농_9월'!$A:$A)&lt;=1,"",SUMIFS('RAW_유기농_9월'!$H:$H,'RAW_유기농_9월'!$D:$D,$C154,'RAW_유기농_9월'!$A:$A,$E154)-SUMIFS('RAW_유기농_8월'!$H:$H,'RAW_유기농_8월'!$D:$D,$C154,'RAW_유기농_8월'!$A:$A,$E154)))</f>
        <v/>
      </c>
      <c r="Q154" s="7" t="str">
        <f>IF($C154="","",IF(COUNTA('RAW_유기농_10월'!$A:$A)&lt;=1,"",SUMIFS('RAW_유기농_10월'!$H:$H,'RAW_유기농_10월'!$D:$D,$C154,'RAW_유기농_10월'!$A:$A,$E154)-SUMIFS('RAW_유기농_9월'!$H:$H,'RAW_유기농_9월'!$D:$D,$C154,'RAW_유기농_9월'!$A:$A,$E154)))</f>
        <v/>
      </c>
      <c r="R154" s="7" t="str">
        <f>IF($C154="","",IF(COUNTA('RAW_유기농_11-12월'!$A:$A)&lt;=1,"",SUMIFS('RAW_유기농_11-12월'!$H:$H,'RAW_유기농_11-12월'!$D:$D,$C154,'RAW_유기농_11-12월'!$A:$A,$E154)-SUMIFS('RAW_유기농_10월'!$H:$H,'RAW_유기농_10월'!$D:$D,$C154,'RAW_유기농_10월'!$A:$A,$E154)))</f>
        <v/>
      </c>
      <c r="S154" s="17" t="str">
        <f t="shared" si="4"/>
        <v/>
      </c>
      <c r="T154" s="17" t="str">
        <f t="shared" si="5"/>
        <v/>
      </c>
      <c r="U154" s="7">
        <f>IF($C154="",0,IF('설정'!$B$4=0,0,CHOOSE('설정'!$B$4,COUNTIFS('RAW_유기농_7월'!$D:$D,$C154,'RAW_유기농_7월'!$A:$A,$E154),COUNTIFS('RAW_유기농_8월'!$D:$D,$C154,'RAW_유기농_8월'!$A:$A,$E154),COUNTIFS('RAW_유기농_9월'!$D:$D,$C154,'RAW_유기농_9월'!$A:$A,$E154),COUNTIFS('RAW_유기농_10월'!$D:$D,$C154,'RAW_유기농_10월'!$A:$A,$E154),COUNTIFS('RAW_유기농_11-12월'!$D:$D,$C154,'RAW_유기농_11-12월'!$A:$A,$E154))))</f>
        <v>0</v>
      </c>
    </row>
    <row r="155" ht="15.75" customHeight="1">
      <c r="A155" s="5"/>
      <c r="B155" s="5"/>
      <c r="C155" s="5"/>
      <c r="D155" s="6"/>
      <c r="E155" s="5"/>
      <c r="F155" s="7" t="str">
        <f>IF($C155="","",IF('설정'!$B$4=0,"",CHOOSE('설정'!$B$4,SUMIFS('RAW_유기농_7월'!$F:$F,'RAW_유기농_7월'!$D:$D,$C155,'RAW_유기농_7월'!$A:$A,$E155),SUMIFS('RAW_유기농_8월'!$F:$F,'RAW_유기농_8월'!$D:$D,$C155,'RAW_유기농_8월'!$A:$A,$E155),SUMIFS('RAW_유기농_9월'!$F:$F,'RAW_유기농_9월'!$D:$D,$C155,'RAW_유기농_9월'!$A:$A,$E155),SUMIFS('RAW_유기농_10월'!$F:$F,'RAW_유기농_10월'!$D:$D,$C155,'RAW_유기농_10월'!$A:$A,$E155),SUMIFS('RAW_유기농_11-12월'!$F:$F,'RAW_유기농_11-12월'!$D:$D,$C155,'RAW_유기농_11-12월'!$A:$A,$E155))))</f>
        <v/>
      </c>
      <c r="G155" s="7" t="str">
        <f>IF($C155="","",IF('설정'!$B$4=0,"",CHOOSE('설정'!$B$4,SUMIFS('RAW_유기농_7월'!$G:$G,'RAW_유기농_7월'!$D:$D,$C155,'RAW_유기농_7월'!$A:$A,$E155),SUMIFS('RAW_유기농_8월'!$G:$G,'RAW_유기농_8월'!$D:$D,$C155,'RAW_유기농_8월'!$A:$A,$E155),SUMIFS('RAW_유기농_9월'!$G:$G,'RAW_유기농_9월'!$D:$D,$C155,'RAW_유기농_9월'!$A:$A,$E155),SUMIFS('RAW_유기농_10월'!$G:$G,'RAW_유기농_10월'!$D:$D,$C155,'RAW_유기농_10월'!$A:$A,$E155),SUMIFS('RAW_유기농_11-12월'!$G:$G,'RAW_유기농_11-12월'!$D:$D,$C155,'RAW_유기농_11-12월'!$A:$A,$E155))))</f>
        <v/>
      </c>
      <c r="H155" s="7" t="str">
        <f>IF($C155="","",IF('설정'!$B$4=0,"",CHOOSE('설정'!$B$4,SUMIFS('RAW_유기농_7월'!$H:$H,'RAW_유기농_7월'!$D:$D,$C155,'RAW_유기농_7월'!$A:$A,$E155),SUMIFS('RAW_유기농_8월'!$H:$H,'RAW_유기농_8월'!$D:$D,$C155,'RAW_유기농_8월'!$A:$A,$E155),SUMIFS('RAW_유기농_9월'!$H:$H,'RAW_유기농_9월'!$D:$D,$C155,'RAW_유기농_9월'!$A:$A,$E155),SUMIFS('RAW_유기농_10월'!$H:$H,'RAW_유기농_10월'!$D:$D,$C155,'RAW_유기농_10월'!$A:$A,$E155),SUMIFS('RAW_유기농_11-12월'!$H:$H,'RAW_유기농_11-12월'!$D:$D,$C155,'RAW_유기농_11-12월'!$A:$A,$E155))))</f>
        <v/>
      </c>
      <c r="I155" s="17" t="str">
        <f>IF($C155="","",IF(COUNTIFS('RAW_유기농_7월'!$D:$D,$C155,'RAW_유기농_7월'!$A:$A,$E155)&gt;0,"O",""))</f>
        <v/>
      </c>
      <c r="J155" s="17" t="str">
        <f>IF($C155="","",IF(COUNTIFS('RAW_유기농_8월'!$D:$D,$C155,'RAW_유기농_8월'!$A:$A,$E155)&gt;0,"O",""))</f>
        <v/>
      </c>
      <c r="K155" s="17" t="str">
        <f>IF($C155="","",IF(COUNTIFS('RAW_유기농_9월'!$D:$D,$C155,'RAW_유기농_9월'!$A:$A,$E155)&gt;0,"O",""))</f>
        <v/>
      </c>
      <c r="L155" s="17" t="str">
        <f>IF($C155="","",IF(COUNTIFS('RAW_유기농_10월'!$D:$D,$C155,'RAW_유기농_10월'!$A:$A,$E155)&gt;0,"O",""))</f>
        <v/>
      </c>
      <c r="M155" s="17" t="str">
        <f>IF($C155="","",IF(COUNTIFS('RAW_유기농_11-12월'!$D:$D,$C155,'RAW_유기농_11-12월'!$A:$A,$E155)&gt;0,"O",""))</f>
        <v/>
      </c>
      <c r="N155" s="7" t="str">
        <f>IF($C155="","",IF(COUNTA('RAW_유기농_7월'!$A:$A)&lt;=1,"",SUMIFS('RAW_유기농_7월'!$H:$H,'RAW_유기농_7월'!$D:$D,$C155,'RAW_유기농_7월'!$A:$A,$E155)))</f>
        <v/>
      </c>
      <c r="O155" s="7" t="str">
        <f>IF($C155="","",IF(COUNTA('RAW_유기농_8월'!$A:$A)&lt;=1,"",SUMIFS('RAW_유기농_8월'!$H:$H,'RAW_유기농_8월'!$D:$D,$C155,'RAW_유기농_8월'!$A:$A,$E155)-SUMIFS('RAW_유기농_7월'!$H:$H,'RAW_유기농_7월'!$D:$D,$C155,'RAW_유기농_7월'!$A:$A,$E155)))</f>
        <v/>
      </c>
      <c r="P155" s="7" t="str">
        <f>IF($C155="","",IF(COUNTA('RAW_유기농_9월'!$A:$A)&lt;=1,"",SUMIFS('RAW_유기농_9월'!$H:$H,'RAW_유기농_9월'!$D:$D,$C155,'RAW_유기농_9월'!$A:$A,$E155)-SUMIFS('RAW_유기농_8월'!$H:$H,'RAW_유기농_8월'!$D:$D,$C155,'RAW_유기농_8월'!$A:$A,$E155)))</f>
        <v/>
      </c>
      <c r="Q155" s="7" t="str">
        <f>IF($C155="","",IF(COUNTA('RAW_유기농_10월'!$A:$A)&lt;=1,"",SUMIFS('RAW_유기농_10월'!$H:$H,'RAW_유기농_10월'!$D:$D,$C155,'RAW_유기농_10월'!$A:$A,$E155)-SUMIFS('RAW_유기농_9월'!$H:$H,'RAW_유기농_9월'!$D:$D,$C155,'RAW_유기농_9월'!$A:$A,$E155)))</f>
        <v/>
      </c>
      <c r="R155" s="7" t="str">
        <f>IF($C155="","",IF(COUNTA('RAW_유기농_11-12월'!$A:$A)&lt;=1,"",SUMIFS('RAW_유기농_11-12월'!$H:$H,'RAW_유기농_11-12월'!$D:$D,$C155,'RAW_유기농_11-12월'!$A:$A,$E155)-SUMIFS('RAW_유기농_10월'!$H:$H,'RAW_유기농_10월'!$D:$D,$C155,'RAW_유기농_10월'!$A:$A,$E155)))</f>
        <v/>
      </c>
      <c r="S155" s="17" t="str">
        <f t="shared" si="4"/>
        <v/>
      </c>
      <c r="T155" s="17" t="str">
        <f t="shared" si="5"/>
        <v/>
      </c>
      <c r="U155" s="7">
        <f>IF($C155="",0,IF('설정'!$B$4=0,0,CHOOSE('설정'!$B$4,COUNTIFS('RAW_유기농_7월'!$D:$D,$C155,'RAW_유기농_7월'!$A:$A,$E155),COUNTIFS('RAW_유기농_8월'!$D:$D,$C155,'RAW_유기농_8월'!$A:$A,$E155),COUNTIFS('RAW_유기농_9월'!$D:$D,$C155,'RAW_유기농_9월'!$A:$A,$E155),COUNTIFS('RAW_유기농_10월'!$D:$D,$C155,'RAW_유기농_10월'!$A:$A,$E155),COUNTIFS('RAW_유기농_11-12월'!$D:$D,$C155,'RAW_유기농_11-12월'!$A:$A,$E155))))</f>
        <v>0</v>
      </c>
    </row>
    <row r="156" ht="15.75" customHeight="1">
      <c r="A156" s="5"/>
      <c r="B156" s="5"/>
      <c r="C156" s="5"/>
      <c r="D156" s="6"/>
      <c r="E156" s="5"/>
      <c r="F156" s="7" t="str">
        <f>IF($C156="","",IF('설정'!$B$4=0,"",CHOOSE('설정'!$B$4,SUMIFS('RAW_유기농_7월'!$F:$F,'RAW_유기농_7월'!$D:$D,$C156,'RAW_유기농_7월'!$A:$A,$E156),SUMIFS('RAW_유기농_8월'!$F:$F,'RAW_유기농_8월'!$D:$D,$C156,'RAW_유기농_8월'!$A:$A,$E156),SUMIFS('RAW_유기농_9월'!$F:$F,'RAW_유기농_9월'!$D:$D,$C156,'RAW_유기농_9월'!$A:$A,$E156),SUMIFS('RAW_유기농_10월'!$F:$F,'RAW_유기농_10월'!$D:$D,$C156,'RAW_유기농_10월'!$A:$A,$E156),SUMIFS('RAW_유기농_11-12월'!$F:$F,'RAW_유기농_11-12월'!$D:$D,$C156,'RAW_유기농_11-12월'!$A:$A,$E156))))</f>
        <v/>
      </c>
      <c r="G156" s="7" t="str">
        <f>IF($C156="","",IF('설정'!$B$4=0,"",CHOOSE('설정'!$B$4,SUMIFS('RAW_유기농_7월'!$G:$G,'RAW_유기농_7월'!$D:$D,$C156,'RAW_유기농_7월'!$A:$A,$E156),SUMIFS('RAW_유기농_8월'!$G:$G,'RAW_유기농_8월'!$D:$D,$C156,'RAW_유기농_8월'!$A:$A,$E156),SUMIFS('RAW_유기농_9월'!$G:$G,'RAW_유기농_9월'!$D:$D,$C156,'RAW_유기농_9월'!$A:$A,$E156),SUMIFS('RAW_유기농_10월'!$G:$G,'RAW_유기농_10월'!$D:$D,$C156,'RAW_유기농_10월'!$A:$A,$E156),SUMIFS('RAW_유기농_11-12월'!$G:$G,'RAW_유기농_11-12월'!$D:$D,$C156,'RAW_유기농_11-12월'!$A:$A,$E156))))</f>
        <v/>
      </c>
      <c r="H156" s="7" t="str">
        <f>IF($C156="","",IF('설정'!$B$4=0,"",CHOOSE('설정'!$B$4,SUMIFS('RAW_유기농_7월'!$H:$H,'RAW_유기농_7월'!$D:$D,$C156,'RAW_유기농_7월'!$A:$A,$E156),SUMIFS('RAW_유기농_8월'!$H:$H,'RAW_유기농_8월'!$D:$D,$C156,'RAW_유기농_8월'!$A:$A,$E156),SUMIFS('RAW_유기농_9월'!$H:$H,'RAW_유기농_9월'!$D:$D,$C156,'RAW_유기농_9월'!$A:$A,$E156),SUMIFS('RAW_유기농_10월'!$H:$H,'RAW_유기농_10월'!$D:$D,$C156,'RAW_유기농_10월'!$A:$A,$E156),SUMIFS('RAW_유기농_11-12월'!$H:$H,'RAW_유기농_11-12월'!$D:$D,$C156,'RAW_유기농_11-12월'!$A:$A,$E156))))</f>
        <v/>
      </c>
      <c r="I156" s="17" t="str">
        <f>IF($C156="","",IF(COUNTIFS('RAW_유기농_7월'!$D:$D,$C156,'RAW_유기농_7월'!$A:$A,$E156)&gt;0,"O",""))</f>
        <v/>
      </c>
      <c r="J156" s="17" t="str">
        <f>IF($C156="","",IF(COUNTIFS('RAW_유기농_8월'!$D:$D,$C156,'RAW_유기농_8월'!$A:$A,$E156)&gt;0,"O",""))</f>
        <v/>
      </c>
      <c r="K156" s="17" t="str">
        <f>IF($C156="","",IF(COUNTIFS('RAW_유기농_9월'!$D:$D,$C156,'RAW_유기농_9월'!$A:$A,$E156)&gt;0,"O",""))</f>
        <v/>
      </c>
      <c r="L156" s="17" t="str">
        <f>IF($C156="","",IF(COUNTIFS('RAW_유기농_10월'!$D:$D,$C156,'RAW_유기농_10월'!$A:$A,$E156)&gt;0,"O",""))</f>
        <v/>
      </c>
      <c r="M156" s="17" t="str">
        <f>IF($C156="","",IF(COUNTIFS('RAW_유기농_11-12월'!$D:$D,$C156,'RAW_유기농_11-12월'!$A:$A,$E156)&gt;0,"O",""))</f>
        <v/>
      </c>
      <c r="N156" s="7" t="str">
        <f>IF($C156="","",IF(COUNTA('RAW_유기농_7월'!$A:$A)&lt;=1,"",SUMIFS('RAW_유기농_7월'!$H:$H,'RAW_유기농_7월'!$D:$D,$C156,'RAW_유기농_7월'!$A:$A,$E156)))</f>
        <v/>
      </c>
      <c r="O156" s="7" t="str">
        <f>IF($C156="","",IF(COUNTA('RAW_유기농_8월'!$A:$A)&lt;=1,"",SUMIFS('RAW_유기농_8월'!$H:$H,'RAW_유기농_8월'!$D:$D,$C156,'RAW_유기농_8월'!$A:$A,$E156)-SUMIFS('RAW_유기농_7월'!$H:$H,'RAW_유기농_7월'!$D:$D,$C156,'RAW_유기농_7월'!$A:$A,$E156)))</f>
        <v/>
      </c>
      <c r="P156" s="7" t="str">
        <f>IF($C156="","",IF(COUNTA('RAW_유기농_9월'!$A:$A)&lt;=1,"",SUMIFS('RAW_유기농_9월'!$H:$H,'RAW_유기농_9월'!$D:$D,$C156,'RAW_유기농_9월'!$A:$A,$E156)-SUMIFS('RAW_유기농_8월'!$H:$H,'RAW_유기농_8월'!$D:$D,$C156,'RAW_유기농_8월'!$A:$A,$E156)))</f>
        <v/>
      </c>
      <c r="Q156" s="7" t="str">
        <f>IF($C156="","",IF(COUNTA('RAW_유기농_10월'!$A:$A)&lt;=1,"",SUMIFS('RAW_유기농_10월'!$H:$H,'RAW_유기농_10월'!$D:$D,$C156,'RAW_유기농_10월'!$A:$A,$E156)-SUMIFS('RAW_유기농_9월'!$H:$H,'RAW_유기농_9월'!$D:$D,$C156,'RAW_유기농_9월'!$A:$A,$E156)))</f>
        <v/>
      </c>
      <c r="R156" s="7" t="str">
        <f>IF($C156="","",IF(COUNTA('RAW_유기농_11-12월'!$A:$A)&lt;=1,"",SUMIFS('RAW_유기농_11-12월'!$H:$H,'RAW_유기농_11-12월'!$D:$D,$C156,'RAW_유기농_11-12월'!$A:$A,$E156)-SUMIFS('RAW_유기농_10월'!$H:$H,'RAW_유기농_10월'!$D:$D,$C156,'RAW_유기농_10월'!$A:$A,$E156)))</f>
        <v/>
      </c>
      <c r="S156" s="17" t="str">
        <f t="shared" si="4"/>
        <v/>
      </c>
      <c r="T156" s="17" t="str">
        <f t="shared" si="5"/>
        <v/>
      </c>
      <c r="U156" s="7">
        <f>IF($C156="",0,IF('설정'!$B$4=0,0,CHOOSE('설정'!$B$4,COUNTIFS('RAW_유기농_7월'!$D:$D,$C156,'RAW_유기농_7월'!$A:$A,$E156),COUNTIFS('RAW_유기농_8월'!$D:$D,$C156,'RAW_유기농_8월'!$A:$A,$E156),COUNTIFS('RAW_유기농_9월'!$D:$D,$C156,'RAW_유기농_9월'!$A:$A,$E156),COUNTIFS('RAW_유기농_10월'!$D:$D,$C156,'RAW_유기농_10월'!$A:$A,$E156),COUNTIFS('RAW_유기농_11-12월'!$D:$D,$C156,'RAW_유기농_11-12월'!$A:$A,$E156))))</f>
        <v>0</v>
      </c>
    </row>
    <row r="157" ht="15.75" customHeight="1">
      <c r="A157" s="5"/>
      <c r="B157" s="5"/>
      <c r="C157" s="5"/>
      <c r="D157" s="6"/>
      <c r="E157" s="5"/>
      <c r="F157" s="7" t="str">
        <f>IF($C157="","",IF('설정'!$B$4=0,"",CHOOSE('설정'!$B$4,SUMIFS('RAW_유기농_7월'!$F:$F,'RAW_유기농_7월'!$D:$D,$C157,'RAW_유기농_7월'!$A:$A,$E157),SUMIFS('RAW_유기농_8월'!$F:$F,'RAW_유기농_8월'!$D:$D,$C157,'RAW_유기농_8월'!$A:$A,$E157),SUMIFS('RAW_유기농_9월'!$F:$F,'RAW_유기농_9월'!$D:$D,$C157,'RAW_유기농_9월'!$A:$A,$E157),SUMIFS('RAW_유기농_10월'!$F:$F,'RAW_유기농_10월'!$D:$D,$C157,'RAW_유기농_10월'!$A:$A,$E157),SUMIFS('RAW_유기농_11-12월'!$F:$F,'RAW_유기농_11-12월'!$D:$D,$C157,'RAW_유기농_11-12월'!$A:$A,$E157))))</f>
        <v/>
      </c>
      <c r="G157" s="7" t="str">
        <f>IF($C157="","",IF('설정'!$B$4=0,"",CHOOSE('설정'!$B$4,SUMIFS('RAW_유기농_7월'!$G:$G,'RAW_유기농_7월'!$D:$D,$C157,'RAW_유기농_7월'!$A:$A,$E157),SUMIFS('RAW_유기농_8월'!$G:$G,'RAW_유기농_8월'!$D:$D,$C157,'RAW_유기농_8월'!$A:$A,$E157),SUMIFS('RAW_유기농_9월'!$G:$G,'RAW_유기농_9월'!$D:$D,$C157,'RAW_유기농_9월'!$A:$A,$E157),SUMIFS('RAW_유기농_10월'!$G:$G,'RAW_유기농_10월'!$D:$D,$C157,'RAW_유기농_10월'!$A:$A,$E157),SUMIFS('RAW_유기농_11-12월'!$G:$G,'RAW_유기농_11-12월'!$D:$D,$C157,'RAW_유기농_11-12월'!$A:$A,$E157))))</f>
        <v/>
      </c>
      <c r="H157" s="7" t="str">
        <f>IF($C157="","",IF('설정'!$B$4=0,"",CHOOSE('설정'!$B$4,SUMIFS('RAW_유기농_7월'!$H:$H,'RAW_유기농_7월'!$D:$D,$C157,'RAW_유기농_7월'!$A:$A,$E157),SUMIFS('RAW_유기농_8월'!$H:$H,'RAW_유기농_8월'!$D:$D,$C157,'RAW_유기농_8월'!$A:$A,$E157),SUMIFS('RAW_유기농_9월'!$H:$H,'RAW_유기농_9월'!$D:$D,$C157,'RAW_유기농_9월'!$A:$A,$E157),SUMIFS('RAW_유기농_10월'!$H:$H,'RAW_유기농_10월'!$D:$D,$C157,'RAW_유기농_10월'!$A:$A,$E157),SUMIFS('RAW_유기농_11-12월'!$H:$H,'RAW_유기농_11-12월'!$D:$D,$C157,'RAW_유기농_11-12월'!$A:$A,$E157))))</f>
        <v/>
      </c>
      <c r="I157" s="17" t="str">
        <f>IF($C157="","",IF(COUNTIFS('RAW_유기농_7월'!$D:$D,$C157,'RAW_유기농_7월'!$A:$A,$E157)&gt;0,"O",""))</f>
        <v/>
      </c>
      <c r="J157" s="17" t="str">
        <f>IF($C157="","",IF(COUNTIFS('RAW_유기농_8월'!$D:$D,$C157,'RAW_유기농_8월'!$A:$A,$E157)&gt;0,"O",""))</f>
        <v/>
      </c>
      <c r="K157" s="17" t="str">
        <f>IF($C157="","",IF(COUNTIFS('RAW_유기농_9월'!$D:$D,$C157,'RAW_유기농_9월'!$A:$A,$E157)&gt;0,"O",""))</f>
        <v/>
      </c>
      <c r="L157" s="17" t="str">
        <f>IF($C157="","",IF(COUNTIFS('RAW_유기농_10월'!$D:$D,$C157,'RAW_유기농_10월'!$A:$A,$E157)&gt;0,"O",""))</f>
        <v/>
      </c>
      <c r="M157" s="17" t="str">
        <f>IF($C157="","",IF(COUNTIFS('RAW_유기농_11-12월'!$D:$D,$C157,'RAW_유기농_11-12월'!$A:$A,$E157)&gt;0,"O",""))</f>
        <v/>
      </c>
      <c r="N157" s="7" t="str">
        <f>IF($C157="","",IF(COUNTA('RAW_유기농_7월'!$A:$A)&lt;=1,"",SUMIFS('RAW_유기농_7월'!$H:$H,'RAW_유기농_7월'!$D:$D,$C157,'RAW_유기농_7월'!$A:$A,$E157)))</f>
        <v/>
      </c>
      <c r="O157" s="7" t="str">
        <f>IF($C157="","",IF(COUNTA('RAW_유기농_8월'!$A:$A)&lt;=1,"",SUMIFS('RAW_유기농_8월'!$H:$H,'RAW_유기농_8월'!$D:$D,$C157,'RAW_유기농_8월'!$A:$A,$E157)-SUMIFS('RAW_유기농_7월'!$H:$H,'RAW_유기농_7월'!$D:$D,$C157,'RAW_유기농_7월'!$A:$A,$E157)))</f>
        <v/>
      </c>
      <c r="P157" s="7" t="str">
        <f>IF($C157="","",IF(COUNTA('RAW_유기농_9월'!$A:$A)&lt;=1,"",SUMIFS('RAW_유기농_9월'!$H:$H,'RAW_유기농_9월'!$D:$D,$C157,'RAW_유기농_9월'!$A:$A,$E157)-SUMIFS('RAW_유기농_8월'!$H:$H,'RAW_유기농_8월'!$D:$D,$C157,'RAW_유기농_8월'!$A:$A,$E157)))</f>
        <v/>
      </c>
      <c r="Q157" s="7" t="str">
        <f>IF($C157="","",IF(COUNTA('RAW_유기농_10월'!$A:$A)&lt;=1,"",SUMIFS('RAW_유기농_10월'!$H:$H,'RAW_유기농_10월'!$D:$D,$C157,'RAW_유기농_10월'!$A:$A,$E157)-SUMIFS('RAW_유기농_9월'!$H:$H,'RAW_유기농_9월'!$D:$D,$C157,'RAW_유기농_9월'!$A:$A,$E157)))</f>
        <v/>
      </c>
      <c r="R157" s="7" t="str">
        <f>IF($C157="","",IF(COUNTA('RAW_유기농_11-12월'!$A:$A)&lt;=1,"",SUMIFS('RAW_유기농_11-12월'!$H:$H,'RAW_유기농_11-12월'!$D:$D,$C157,'RAW_유기농_11-12월'!$A:$A,$E157)-SUMIFS('RAW_유기농_10월'!$H:$H,'RAW_유기농_10월'!$D:$D,$C157,'RAW_유기농_10월'!$A:$A,$E157)))</f>
        <v/>
      </c>
      <c r="S157" s="17" t="str">
        <f t="shared" si="4"/>
        <v/>
      </c>
      <c r="T157" s="17" t="str">
        <f t="shared" si="5"/>
        <v/>
      </c>
      <c r="U157" s="7">
        <f>IF($C157="",0,IF('설정'!$B$4=0,0,CHOOSE('설정'!$B$4,COUNTIFS('RAW_유기농_7월'!$D:$D,$C157,'RAW_유기농_7월'!$A:$A,$E157),COUNTIFS('RAW_유기농_8월'!$D:$D,$C157,'RAW_유기농_8월'!$A:$A,$E157),COUNTIFS('RAW_유기농_9월'!$D:$D,$C157,'RAW_유기농_9월'!$A:$A,$E157),COUNTIFS('RAW_유기농_10월'!$D:$D,$C157,'RAW_유기농_10월'!$A:$A,$E157),COUNTIFS('RAW_유기농_11-12월'!$D:$D,$C157,'RAW_유기농_11-12월'!$A:$A,$E157))))</f>
        <v>0</v>
      </c>
    </row>
    <row r="158" ht="15.75" customHeight="1">
      <c r="A158" s="5"/>
      <c r="B158" s="5"/>
      <c r="C158" s="5"/>
      <c r="D158" s="6"/>
      <c r="E158" s="5"/>
      <c r="F158" s="7" t="str">
        <f>IF($C158="","",IF('설정'!$B$4=0,"",CHOOSE('설정'!$B$4,SUMIFS('RAW_유기농_7월'!$F:$F,'RAW_유기농_7월'!$D:$D,$C158,'RAW_유기농_7월'!$A:$A,$E158),SUMIFS('RAW_유기농_8월'!$F:$F,'RAW_유기농_8월'!$D:$D,$C158,'RAW_유기농_8월'!$A:$A,$E158),SUMIFS('RAW_유기농_9월'!$F:$F,'RAW_유기농_9월'!$D:$D,$C158,'RAW_유기농_9월'!$A:$A,$E158),SUMIFS('RAW_유기농_10월'!$F:$F,'RAW_유기농_10월'!$D:$D,$C158,'RAW_유기농_10월'!$A:$A,$E158),SUMIFS('RAW_유기농_11-12월'!$F:$F,'RAW_유기농_11-12월'!$D:$D,$C158,'RAW_유기농_11-12월'!$A:$A,$E158))))</f>
        <v/>
      </c>
      <c r="G158" s="7" t="str">
        <f>IF($C158="","",IF('설정'!$B$4=0,"",CHOOSE('설정'!$B$4,SUMIFS('RAW_유기농_7월'!$G:$G,'RAW_유기농_7월'!$D:$D,$C158,'RAW_유기농_7월'!$A:$A,$E158),SUMIFS('RAW_유기농_8월'!$G:$G,'RAW_유기농_8월'!$D:$D,$C158,'RAW_유기농_8월'!$A:$A,$E158),SUMIFS('RAW_유기농_9월'!$G:$G,'RAW_유기농_9월'!$D:$D,$C158,'RAW_유기농_9월'!$A:$A,$E158),SUMIFS('RAW_유기농_10월'!$G:$G,'RAW_유기농_10월'!$D:$D,$C158,'RAW_유기농_10월'!$A:$A,$E158),SUMIFS('RAW_유기농_11-12월'!$G:$G,'RAW_유기농_11-12월'!$D:$D,$C158,'RAW_유기농_11-12월'!$A:$A,$E158))))</f>
        <v/>
      </c>
      <c r="H158" s="7" t="str">
        <f>IF($C158="","",IF('설정'!$B$4=0,"",CHOOSE('설정'!$B$4,SUMIFS('RAW_유기농_7월'!$H:$H,'RAW_유기농_7월'!$D:$D,$C158,'RAW_유기농_7월'!$A:$A,$E158),SUMIFS('RAW_유기농_8월'!$H:$H,'RAW_유기농_8월'!$D:$D,$C158,'RAW_유기농_8월'!$A:$A,$E158),SUMIFS('RAW_유기농_9월'!$H:$H,'RAW_유기농_9월'!$D:$D,$C158,'RAW_유기농_9월'!$A:$A,$E158),SUMIFS('RAW_유기농_10월'!$H:$H,'RAW_유기농_10월'!$D:$D,$C158,'RAW_유기농_10월'!$A:$A,$E158),SUMIFS('RAW_유기농_11-12월'!$H:$H,'RAW_유기농_11-12월'!$D:$D,$C158,'RAW_유기농_11-12월'!$A:$A,$E158))))</f>
        <v/>
      </c>
      <c r="I158" s="17" t="str">
        <f>IF($C158="","",IF(COUNTIFS('RAW_유기농_7월'!$D:$D,$C158,'RAW_유기농_7월'!$A:$A,$E158)&gt;0,"O",""))</f>
        <v/>
      </c>
      <c r="J158" s="17" t="str">
        <f>IF($C158="","",IF(COUNTIFS('RAW_유기농_8월'!$D:$D,$C158,'RAW_유기농_8월'!$A:$A,$E158)&gt;0,"O",""))</f>
        <v/>
      </c>
      <c r="K158" s="17" t="str">
        <f>IF($C158="","",IF(COUNTIFS('RAW_유기농_9월'!$D:$D,$C158,'RAW_유기농_9월'!$A:$A,$E158)&gt;0,"O",""))</f>
        <v/>
      </c>
      <c r="L158" s="17" t="str">
        <f>IF($C158="","",IF(COUNTIFS('RAW_유기농_10월'!$D:$D,$C158,'RAW_유기농_10월'!$A:$A,$E158)&gt;0,"O",""))</f>
        <v/>
      </c>
      <c r="M158" s="17" t="str">
        <f>IF($C158="","",IF(COUNTIFS('RAW_유기농_11-12월'!$D:$D,$C158,'RAW_유기농_11-12월'!$A:$A,$E158)&gt;0,"O",""))</f>
        <v/>
      </c>
      <c r="N158" s="7" t="str">
        <f>IF($C158="","",IF(COUNTA('RAW_유기농_7월'!$A:$A)&lt;=1,"",SUMIFS('RAW_유기농_7월'!$H:$H,'RAW_유기농_7월'!$D:$D,$C158,'RAW_유기농_7월'!$A:$A,$E158)))</f>
        <v/>
      </c>
      <c r="O158" s="7" t="str">
        <f>IF($C158="","",IF(COUNTA('RAW_유기농_8월'!$A:$A)&lt;=1,"",SUMIFS('RAW_유기농_8월'!$H:$H,'RAW_유기농_8월'!$D:$D,$C158,'RAW_유기농_8월'!$A:$A,$E158)-SUMIFS('RAW_유기농_7월'!$H:$H,'RAW_유기농_7월'!$D:$D,$C158,'RAW_유기농_7월'!$A:$A,$E158)))</f>
        <v/>
      </c>
      <c r="P158" s="7" t="str">
        <f>IF($C158="","",IF(COUNTA('RAW_유기농_9월'!$A:$A)&lt;=1,"",SUMIFS('RAW_유기농_9월'!$H:$H,'RAW_유기농_9월'!$D:$D,$C158,'RAW_유기농_9월'!$A:$A,$E158)-SUMIFS('RAW_유기농_8월'!$H:$H,'RAW_유기농_8월'!$D:$D,$C158,'RAW_유기농_8월'!$A:$A,$E158)))</f>
        <v/>
      </c>
      <c r="Q158" s="7" t="str">
        <f>IF($C158="","",IF(COUNTA('RAW_유기농_10월'!$A:$A)&lt;=1,"",SUMIFS('RAW_유기농_10월'!$H:$H,'RAW_유기농_10월'!$D:$D,$C158,'RAW_유기농_10월'!$A:$A,$E158)-SUMIFS('RAW_유기농_9월'!$H:$H,'RAW_유기농_9월'!$D:$D,$C158,'RAW_유기농_9월'!$A:$A,$E158)))</f>
        <v/>
      </c>
      <c r="R158" s="7" t="str">
        <f>IF($C158="","",IF(COUNTA('RAW_유기농_11-12월'!$A:$A)&lt;=1,"",SUMIFS('RAW_유기농_11-12월'!$H:$H,'RAW_유기농_11-12월'!$D:$D,$C158,'RAW_유기농_11-12월'!$A:$A,$E158)-SUMIFS('RAW_유기농_10월'!$H:$H,'RAW_유기농_10월'!$D:$D,$C158,'RAW_유기농_10월'!$A:$A,$E158)))</f>
        <v/>
      </c>
      <c r="S158" s="17" t="str">
        <f t="shared" si="4"/>
        <v/>
      </c>
      <c r="T158" s="17" t="str">
        <f t="shared" si="5"/>
        <v/>
      </c>
      <c r="U158" s="7">
        <f>IF($C158="",0,IF('설정'!$B$4=0,0,CHOOSE('설정'!$B$4,COUNTIFS('RAW_유기농_7월'!$D:$D,$C158,'RAW_유기농_7월'!$A:$A,$E158),COUNTIFS('RAW_유기농_8월'!$D:$D,$C158,'RAW_유기농_8월'!$A:$A,$E158),COUNTIFS('RAW_유기농_9월'!$D:$D,$C158,'RAW_유기농_9월'!$A:$A,$E158),COUNTIFS('RAW_유기농_10월'!$D:$D,$C158,'RAW_유기농_10월'!$A:$A,$E158),COUNTIFS('RAW_유기농_11-12월'!$D:$D,$C158,'RAW_유기농_11-12월'!$A:$A,$E158))))</f>
        <v>0</v>
      </c>
    </row>
    <row r="159" ht="15.75" customHeight="1">
      <c r="A159" s="5"/>
      <c r="B159" s="5"/>
      <c r="C159" s="5"/>
      <c r="D159" s="6"/>
      <c r="E159" s="5"/>
      <c r="F159" s="7" t="str">
        <f>IF($C159="","",IF('설정'!$B$4=0,"",CHOOSE('설정'!$B$4,SUMIFS('RAW_유기농_7월'!$F:$F,'RAW_유기농_7월'!$D:$D,$C159,'RAW_유기농_7월'!$A:$A,$E159),SUMIFS('RAW_유기농_8월'!$F:$F,'RAW_유기농_8월'!$D:$D,$C159,'RAW_유기농_8월'!$A:$A,$E159),SUMIFS('RAW_유기농_9월'!$F:$F,'RAW_유기농_9월'!$D:$D,$C159,'RAW_유기농_9월'!$A:$A,$E159),SUMIFS('RAW_유기농_10월'!$F:$F,'RAW_유기농_10월'!$D:$D,$C159,'RAW_유기농_10월'!$A:$A,$E159),SUMIFS('RAW_유기농_11-12월'!$F:$F,'RAW_유기농_11-12월'!$D:$D,$C159,'RAW_유기농_11-12월'!$A:$A,$E159))))</f>
        <v/>
      </c>
      <c r="G159" s="7" t="str">
        <f>IF($C159="","",IF('설정'!$B$4=0,"",CHOOSE('설정'!$B$4,SUMIFS('RAW_유기농_7월'!$G:$G,'RAW_유기농_7월'!$D:$D,$C159,'RAW_유기농_7월'!$A:$A,$E159),SUMIFS('RAW_유기농_8월'!$G:$G,'RAW_유기농_8월'!$D:$D,$C159,'RAW_유기농_8월'!$A:$A,$E159),SUMIFS('RAW_유기농_9월'!$G:$G,'RAW_유기농_9월'!$D:$D,$C159,'RAW_유기농_9월'!$A:$A,$E159),SUMIFS('RAW_유기농_10월'!$G:$G,'RAW_유기농_10월'!$D:$D,$C159,'RAW_유기농_10월'!$A:$A,$E159),SUMIFS('RAW_유기농_11-12월'!$G:$G,'RAW_유기농_11-12월'!$D:$D,$C159,'RAW_유기농_11-12월'!$A:$A,$E159))))</f>
        <v/>
      </c>
      <c r="H159" s="7" t="str">
        <f>IF($C159="","",IF('설정'!$B$4=0,"",CHOOSE('설정'!$B$4,SUMIFS('RAW_유기농_7월'!$H:$H,'RAW_유기농_7월'!$D:$D,$C159,'RAW_유기농_7월'!$A:$A,$E159),SUMIFS('RAW_유기농_8월'!$H:$H,'RAW_유기농_8월'!$D:$D,$C159,'RAW_유기농_8월'!$A:$A,$E159),SUMIFS('RAW_유기농_9월'!$H:$H,'RAW_유기농_9월'!$D:$D,$C159,'RAW_유기농_9월'!$A:$A,$E159),SUMIFS('RAW_유기농_10월'!$H:$H,'RAW_유기농_10월'!$D:$D,$C159,'RAW_유기농_10월'!$A:$A,$E159),SUMIFS('RAW_유기농_11-12월'!$H:$H,'RAW_유기농_11-12월'!$D:$D,$C159,'RAW_유기농_11-12월'!$A:$A,$E159))))</f>
        <v/>
      </c>
      <c r="I159" s="17" t="str">
        <f>IF($C159="","",IF(COUNTIFS('RAW_유기농_7월'!$D:$D,$C159,'RAW_유기농_7월'!$A:$A,$E159)&gt;0,"O",""))</f>
        <v/>
      </c>
      <c r="J159" s="17" t="str">
        <f>IF($C159="","",IF(COUNTIFS('RAW_유기농_8월'!$D:$D,$C159,'RAW_유기농_8월'!$A:$A,$E159)&gt;0,"O",""))</f>
        <v/>
      </c>
      <c r="K159" s="17" t="str">
        <f>IF($C159="","",IF(COUNTIFS('RAW_유기농_9월'!$D:$D,$C159,'RAW_유기농_9월'!$A:$A,$E159)&gt;0,"O",""))</f>
        <v/>
      </c>
      <c r="L159" s="17" t="str">
        <f>IF($C159="","",IF(COUNTIFS('RAW_유기농_10월'!$D:$D,$C159,'RAW_유기농_10월'!$A:$A,$E159)&gt;0,"O",""))</f>
        <v/>
      </c>
      <c r="M159" s="17" t="str">
        <f>IF($C159="","",IF(COUNTIFS('RAW_유기농_11-12월'!$D:$D,$C159,'RAW_유기농_11-12월'!$A:$A,$E159)&gt;0,"O",""))</f>
        <v/>
      </c>
      <c r="N159" s="7" t="str">
        <f>IF($C159="","",IF(COUNTA('RAW_유기농_7월'!$A:$A)&lt;=1,"",SUMIFS('RAW_유기농_7월'!$H:$H,'RAW_유기농_7월'!$D:$D,$C159,'RAW_유기농_7월'!$A:$A,$E159)))</f>
        <v/>
      </c>
      <c r="O159" s="7" t="str">
        <f>IF($C159="","",IF(COUNTA('RAW_유기농_8월'!$A:$A)&lt;=1,"",SUMIFS('RAW_유기농_8월'!$H:$H,'RAW_유기농_8월'!$D:$D,$C159,'RAW_유기농_8월'!$A:$A,$E159)-SUMIFS('RAW_유기농_7월'!$H:$H,'RAW_유기농_7월'!$D:$D,$C159,'RAW_유기농_7월'!$A:$A,$E159)))</f>
        <v/>
      </c>
      <c r="P159" s="7" t="str">
        <f>IF($C159="","",IF(COUNTA('RAW_유기농_9월'!$A:$A)&lt;=1,"",SUMIFS('RAW_유기농_9월'!$H:$H,'RAW_유기농_9월'!$D:$D,$C159,'RAW_유기농_9월'!$A:$A,$E159)-SUMIFS('RAW_유기농_8월'!$H:$H,'RAW_유기농_8월'!$D:$D,$C159,'RAW_유기농_8월'!$A:$A,$E159)))</f>
        <v/>
      </c>
      <c r="Q159" s="7" t="str">
        <f>IF($C159="","",IF(COUNTA('RAW_유기농_10월'!$A:$A)&lt;=1,"",SUMIFS('RAW_유기농_10월'!$H:$H,'RAW_유기농_10월'!$D:$D,$C159,'RAW_유기농_10월'!$A:$A,$E159)-SUMIFS('RAW_유기농_9월'!$H:$H,'RAW_유기농_9월'!$D:$D,$C159,'RAW_유기농_9월'!$A:$A,$E159)))</f>
        <v/>
      </c>
      <c r="R159" s="7" t="str">
        <f>IF($C159="","",IF(COUNTA('RAW_유기농_11-12월'!$A:$A)&lt;=1,"",SUMIFS('RAW_유기농_11-12월'!$H:$H,'RAW_유기농_11-12월'!$D:$D,$C159,'RAW_유기농_11-12월'!$A:$A,$E159)-SUMIFS('RAW_유기농_10월'!$H:$H,'RAW_유기농_10월'!$D:$D,$C159,'RAW_유기농_10월'!$A:$A,$E159)))</f>
        <v/>
      </c>
      <c r="S159" s="17" t="str">
        <f t="shared" si="4"/>
        <v/>
      </c>
      <c r="T159" s="17" t="str">
        <f t="shared" si="5"/>
        <v/>
      </c>
      <c r="U159" s="7">
        <f>IF($C159="",0,IF('설정'!$B$4=0,0,CHOOSE('설정'!$B$4,COUNTIFS('RAW_유기농_7월'!$D:$D,$C159,'RAW_유기농_7월'!$A:$A,$E159),COUNTIFS('RAW_유기농_8월'!$D:$D,$C159,'RAW_유기농_8월'!$A:$A,$E159),COUNTIFS('RAW_유기농_9월'!$D:$D,$C159,'RAW_유기농_9월'!$A:$A,$E159),COUNTIFS('RAW_유기농_10월'!$D:$D,$C159,'RAW_유기농_10월'!$A:$A,$E159),COUNTIFS('RAW_유기농_11-12월'!$D:$D,$C159,'RAW_유기농_11-12월'!$A:$A,$E159))))</f>
        <v>0</v>
      </c>
    </row>
    <row r="160" ht="15.75" customHeight="1">
      <c r="A160" s="5"/>
      <c r="B160" s="5"/>
      <c r="C160" s="5"/>
      <c r="D160" s="6"/>
      <c r="E160" s="5"/>
      <c r="F160" s="7" t="str">
        <f>IF($C160="","",IF('설정'!$B$4=0,"",CHOOSE('설정'!$B$4,SUMIFS('RAW_유기농_7월'!$F:$F,'RAW_유기농_7월'!$D:$D,$C160,'RAW_유기농_7월'!$A:$A,$E160),SUMIFS('RAW_유기농_8월'!$F:$F,'RAW_유기농_8월'!$D:$D,$C160,'RAW_유기농_8월'!$A:$A,$E160),SUMIFS('RAW_유기농_9월'!$F:$F,'RAW_유기농_9월'!$D:$D,$C160,'RAW_유기농_9월'!$A:$A,$E160),SUMIFS('RAW_유기농_10월'!$F:$F,'RAW_유기농_10월'!$D:$D,$C160,'RAW_유기농_10월'!$A:$A,$E160),SUMIFS('RAW_유기농_11-12월'!$F:$F,'RAW_유기농_11-12월'!$D:$D,$C160,'RAW_유기농_11-12월'!$A:$A,$E160))))</f>
        <v/>
      </c>
      <c r="G160" s="7" t="str">
        <f>IF($C160="","",IF('설정'!$B$4=0,"",CHOOSE('설정'!$B$4,SUMIFS('RAW_유기농_7월'!$G:$G,'RAW_유기농_7월'!$D:$D,$C160,'RAW_유기농_7월'!$A:$A,$E160),SUMIFS('RAW_유기농_8월'!$G:$G,'RAW_유기농_8월'!$D:$D,$C160,'RAW_유기농_8월'!$A:$A,$E160),SUMIFS('RAW_유기농_9월'!$G:$G,'RAW_유기농_9월'!$D:$D,$C160,'RAW_유기농_9월'!$A:$A,$E160),SUMIFS('RAW_유기농_10월'!$G:$G,'RAW_유기농_10월'!$D:$D,$C160,'RAW_유기농_10월'!$A:$A,$E160),SUMIFS('RAW_유기농_11-12월'!$G:$G,'RAW_유기농_11-12월'!$D:$D,$C160,'RAW_유기농_11-12월'!$A:$A,$E160))))</f>
        <v/>
      </c>
      <c r="H160" s="7" t="str">
        <f>IF($C160="","",IF('설정'!$B$4=0,"",CHOOSE('설정'!$B$4,SUMIFS('RAW_유기농_7월'!$H:$H,'RAW_유기농_7월'!$D:$D,$C160,'RAW_유기농_7월'!$A:$A,$E160),SUMIFS('RAW_유기농_8월'!$H:$H,'RAW_유기농_8월'!$D:$D,$C160,'RAW_유기농_8월'!$A:$A,$E160),SUMIFS('RAW_유기농_9월'!$H:$H,'RAW_유기농_9월'!$D:$D,$C160,'RAW_유기농_9월'!$A:$A,$E160),SUMIFS('RAW_유기농_10월'!$H:$H,'RAW_유기농_10월'!$D:$D,$C160,'RAW_유기농_10월'!$A:$A,$E160),SUMIFS('RAW_유기농_11-12월'!$H:$H,'RAW_유기농_11-12월'!$D:$D,$C160,'RAW_유기농_11-12월'!$A:$A,$E160))))</f>
        <v/>
      </c>
      <c r="I160" s="17" t="str">
        <f>IF($C160="","",IF(COUNTIFS('RAW_유기농_7월'!$D:$D,$C160,'RAW_유기농_7월'!$A:$A,$E160)&gt;0,"O",""))</f>
        <v/>
      </c>
      <c r="J160" s="17" t="str">
        <f>IF($C160="","",IF(COUNTIFS('RAW_유기농_8월'!$D:$D,$C160,'RAW_유기농_8월'!$A:$A,$E160)&gt;0,"O",""))</f>
        <v/>
      </c>
      <c r="K160" s="17" t="str">
        <f>IF($C160="","",IF(COUNTIFS('RAW_유기농_9월'!$D:$D,$C160,'RAW_유기농_9월'!$A:$A,$E160)&gt;0,"O",""))</f>
        <v/>
      </c>
      <c r="L160" s="17" t="str">
        <f>IF($C160="","",IF(COUNTIFS('RAW_유기농_10월'!$D:$D,$C160,'RAW_유기농_10월'!$A:$A,$E160)&gt;0,"O",""))</f>
        <v/>
      </c>
      <c r="M160" s="17" t="str">
        <f>IF($C160="","",IF(COUNTIFS('RAW_유기농_11-12월'!$D:$D,$C160,'RAW_유기농_11-12월'!$A:$A,$E160)&gt;0,"O",""))</f>
        <v/>
      </c>
      <c r="N160" s="7" t="str">
        <f>IF($C160="","",IF(COUNTA('RAW_유기농_7월'!$A:$A)&lt;=1,"",SUMIFS('RAW_유기농_7월'!$H:$H,'RAW_유기농_7월'!$D:$D,$C160,'RAW_유기농_7월'!$A:$A,$E160)))</f>
        <v/>
      </c>
      <c r="O160" s="7" t="str">
        <f>IF($C160="","",IF(COUNTA('RAW_유기농_8월'!$A:$A)&lt;=1,"",SUMIFS('RAW_유기농_8월'!$H:$H,'RAW_유기농_8월'!$D:$D,$C160,'RAW_유기농_8월'!$A:$A,$E160)-SUMIFS('RAW_유기농_7월'!$H:$H,'RAW_유기농_7월'!$D:$D,$C160,'RAW_유기농_7월'!$A:$A,$E160)))</f>
        <v/>
      </c>
      <c r="P160" s="7" t="str">
        <f>IF($C160="","",IF(COUNTA('RAW_유기농_9월'!$A:$A)&lt;=1,"",SUMIFS('RAW_유기농_9월'!$H:$H,'RAW_유기농_9월'!$D:$D,$C160,'RAW_유기농_9월'!$A:$A,$E160)-SUMIFS('RAW_유기농_8월'!$H:$H,'RAW_유기농_8월'!$D:$D,$C160,'RAW_유기농_8월'!$A:$A,$E160)))</f>
        <v/>
      </c>
      <c r="Q160" s="7" t="str">
        <f>IF($C160="","",IF(COUNTA('RAW_유기농_10월'!$A:$A)&lt;=1,"",SUMIFS('RAW_유기농_10월'!$H:$H,'RAW_유기농_10월'!$D:$D,$C160,'RAW_유기농_10월'!$A:$A,$E160)-SUMIFS('RAW_유기농_9월'!$H:$H,'RAW_유기농_9월'!$D:$D,$C160,'RAW_유기농_9월'!$A:$A,$E160)))</f>
        <v/>
      </c>
      <c r="R160" s="7" t="str">
        <f>IF($C160="","",IF(COUNTA('RAW_유기농_11-12월'!$A:$A)&lt;=1,"",SUMIFS('RAW_유기농_11-12월'!$H:$H,'RAW_유기농_11-12월'!$D:$D,$C160,'RAW_유기농_11-12월'!$A:$A,$E160)-SUMIFS('RAW_유기농_10월'!$H:$H,'RAW_유기농_10월'!$D:$D,$C160,'RAW_유기농_10월'!$A:$A,$E160)))</f>
        <v/>
      </c>
      <c r="S160" s="17" t="str">
        <f t="shared" si="4"/>
        <v/>
      </c>
      <c r="T160" s="17" t="str">
        <f t="shared" si="5"/>
        <v/>
      </c>
      <c r="U160" s="7">
        <f>IF($C160="",0,IF('설정'!$B$4=0,0,CHOOSE('설정'!$B$4,COUNTIFS('RAW_유기농_7월'!$D:$D,$C160,'RAW_유기농_7월'!$A:$A,$E160),COUNTIFS('RAW_유기농_8월'!$D:$D,$C160,'RAW_유기농_8월'!$A:$A,$E160),COUNTIFS('RAW_유기농_9월'!$D:$D,$C160,'RAW_유기농_9월'!$A:$A,$E160),COUNTIFS('RAW_유기농_10월'!$D:$D,$C160,'RAW_유기농_10월'!$A:$A,$E160),COUNTIFS('RAW_유기농_11-12월'!$D:$D,$C160,'RAW_유기농_11-12월'!$A:$A,$E160))))</f>
        <v>0</v>
      </c>
    </row>
    <row r="161" ht="15.75" customHeight="1">
      <c r="A161" s="5"/>
      <c r="B161" s="5"/>
      <c r="C161" s="5"/>
      <c r="D161" s="6"/>
      <c r="E161" s="5"/>
      <c r="F161" s="7" t="str">
        <f>IF($C161="","",IF('설정'!$B$4=0,"",CHOOSE('설정'!$B$4,SUMIFS('RAW_유기농_7월'!$F:$F,'RAW_유기농_7월'!$D:$D,$C161,'RAW_유기농_7월'!$A:$A,$E161),SUMIFS('RAW_유기농_8월'!$F:$F,'RAW_유기농_8월'!$D:$D,$C161,'RAW_유기농_8월'!$A:$A,$E161),SUMIFS('RAW_유기농_9월'!$F:$F,'RAW_유기농_9월'!$D:$D,$C161,'RAW_유기농_9월'!$A:$A,$E161),SUMIFS('RAW_유기농_10월'!$F:$F,'RAW_유기농_10월'!$D:$D,$C161,'RAW_유기농_10월'!$A:$A,$E161),SUMIFS('RAW_유기농_11-12월'!$F:$F,'RAW_유기농_11-12월'!$D:$D,$C161,'RAW_유기농_11-12월'!$A:$A,$E161))))</f>
        <v/>
      </c>
      <c r="G161" s="7" t="str">
        <f>IF($C161="","",IF('설정'!$B$4=0,"",CHOOSE('설정'!$B$4,SUMIFS('RAW_유기농_7월'!$G:$G,'RAW_유기농_7월'!$D:$D,$C161,'RAW_유기농_7월'!$A:$A,$E161),SUMIFS('RAW_유기농_8월'!$G:$G,'RAW_유기농_8월'!$D:$D,$C161,'RAW_유기농_8월'!$A:$A,$E161),SUMIFS('RAW_유기농_9월'!$G:$G,'RAW_유기농_9월'!$D:$D,$C161,'RAW_유기농_9월'!$A:$A,$E161),SUMIFS('RAW_유기농_10월'!$G:$G,'RAW_유기농_10월'!$D:$D,$C161,'RAW_유기농_10월'!$A:$A,$E161),SUMIFS('RAW_유기농_11-12월'!$G:$G,'RAW_유기농_11-12월'!$D:$D,$C161,'RAW_유기농_11-12월'!$A:$A,$E161))))</f>
        <v/>
      </c>
      <c r="H161" s="7" t="str">
        <f>IF($C161="","",IF('설정'!$B$4=0,"",CHOOSE('설정'!$B$4,SUMIFS('RAW_유기농_7월'!$H:$H,'RAW_유기농_7월'!$D:$D,$C161,'RAW_유기농_7월'!$A:$A,$E161),SUMIFS('RAW_유기농_8월'!$H:$H,'RAW_유기농_8월'!$D:$D,$C161,'RAW_유기농_8월'!$A:$A,$E161),SUMIFS('RAW_유기농_9월'!$H:$H,'RAW_유기농_9월'!$D:$D,$C161,'RAW_유기농_9월'!$A:$A,$E161),SUMIFS('RAW_유기농_10월'!$H:$H,'RAW_유기농_10월'!$D:$D,$C161,'RAW_유기농_10월'!$A:$A,$E161),SUMIFS('RAW_유기농_11-12월'!$H:$H,'RAW_유기농_11-12월'!$D:$D,$C161,'RAW_유기농_11-12월'!$A:$A,$E161))))</f>
        <v/>
      </c>
      <c r="I161" s="17" t="str">
        <f>IF($C161="","",IF(COUNTIFS('RAW_유기농_7월'!$D:$D,$C161,'RAW_유기농_7월'!$A:$A,$E161)&gt;0,"O",""))</f>
        <v/>
      </c>
      <c r="J161" s="17" t="str">
        <f>IF($C161="","",IF(COUNTIFS('RAW_유기농_8월'!$D:$D,$C161,'RAW_유기농_8월'!$A:$A,$E161)&gt;0,"O",""))</f>
        <v/>
      </c>
      <c r="K161" s="17" t="str">
        <f>IF($C161="","",IF(COUNTIFS('RAW_유기농_9월'!$D:$D,$C161,'RAW_유기농_9월'!$A:$A,$E161)&gt;0,"O",""))</f>
        <v/>
      </c>
      <c r="L161" s="17" t="str">
        <f>IF($C161="","",IF(COUNTIFS('RAW_유기농_10월'!$D:$D,$C161,'RAW_유기농_10월'!$A:$A,$E161)&gt;0,"O",""))</f>
        <v/>
      </c>
      <c r="M161" s="17" t="str">
        <f>IF($C161="","",IF(COUNTIFS('RAW_유기농_11-12월'!$D:$D,$C161,'RAW_유기농_11-12월'!$A:$A,$E161)&gt;0,"O",""))</f>
        <v/>
      </c>
      <c r="N161" s="7" t="str">
        <f>IF($C161="","",IF(COUNTA('RAW_유기농_7월'!$A:$A)&lt;=1,"",SUMIFS('RAW_유기농_7월'!$H:$H,'RAW_유기농_7월'!$D:$D,$C161,'RAW_유기농_7월'!$A:$A,$E161)))</f>
        <v/>
      </c>
      <c r="O161" s="7" t="str">
        <f>IF($C161="","",IF(COUNTA('RAW_유기농_8월'!$A:$A)&lt;=1,"",SUMIFS('RAW_유기농_8월'!$H:$H,'RAW_유기농_8월'!$D:$D,$C161,'RAW_유기농_8월'!$A:$A,$E161)-SUMIFS('RAW_유기농_7월'!$H:$H,'RAW_유기농_7월'!$D:$D,$C161,'RAW_유기농_7월'!$A:$A,$E161)))</f>
        <v/>
      </c>
      <c r="P161" s="7" t="str">
        <f>IF($C161="","",IF(COUNTA('RAW_유기농_9월'!$A:$A)&lt;=1,"",SUMIFS('RAW_유기농_9월'!$H:$H,'RAW_유기농_9월'!$D:$D,$C161,'RAW_유기농_9월'!$A:$A,$E161)-SUMIFS('RAW_유기농_8월'!$H:$H,'RAW_유기농_8월'!$D:$D,$C161,'RAW_유기농_8월'!$A:$A,$E161)))</f>
        <v/>
      </c>
      <c r="Q161" s="7" t="str">
        <f>IF($C161="","",IF(COUNTA('RAW_유기농_10월'!$A:$A)&lt;=1,"",SUMIFS('RAW_유기농_10월'!$H:$H,'RAW_유기농_10월'!$D:$D,$C161,'RAW_유기농_10월'!$A:$A,$E161)-SUMIFS('RAW_유기농_9월'!$H:$H,'RAW_유기농_9월'!$D:$D,$C161,'RAW_유기농_9월'!$A:$A,$E161)))</f>
        <v/>
      </c>
      <c r="R161" s="7" t="str">
        <f>IF($C161="","",IF(COUNTA('RAW_유기농_11-12월'!$A:$A)&lt;=1,"",SUMIFS('RAW_유기농_11-12월'!$H:$H,'RAW_유기농_11-12월'!$D:$D,$C161,'RAW_유기농_11-12월'!$A:$A,$E161)-SUMIFS('RAW_유기농_10월'!$H:$H,'RAW_유기농_10월'!$D:$D,$C161,'RAW_유기농_10월'!$A:$A,$E161)))</f>
        <v/>
      </c>
      <c r="S161" s="17" t="str">
        <f t="shared" si="4"/>
        <v/>
      </c>
      <c r="T161" s="17" t="str">
        <f t="shared" si="5"/>
        <v/>
      </c>
      <c r="U161" s="7">
        <f>IF($C161="",0,IF('설정'!$B$4=0,0,CHOOSE('설정'!$B$4,COUNTIFS('RAW_유기농_7월'!$D:$D,$C161,'RAW_유기농_7월'!$A:$A,$E161),COUNTIFS('RAW_유기농_8월'!$D:$D,$C161,'RAW_유기농_8월'!$A:$A,$E161),COUNTIFS('RAW_유기농_9월'!$D:$D,$C161,'RAW_유기농_9월'!$A:$A,$E161),COUNTIFS('RAW_유기농_10월'!$D:$D,$C161,'RAW_유기농_10월'!$A:$A,$E161),COUNTIFS('RAW_유기농_11-12월'!$D:$D,$C161,'RAW_유기농_11-12월'!$A:$A,$E161))))</f>
        <v>0</v>
      </c>
    </row>
    <row r="162" ht="15.75" customHeight="1">
      <c r="A162" s="5"/>
      <c r="B162" s="5"/>
      <c r="C162" s="5"/>
      <c r="D162" s="6"/>
      <c r="E162" s="5"/>
      <c r="F162" s="7" t="str">
        <f>IF($C162="","",IF('설정'!$B$4=0,"",CHOOSE('설정'!$B$4,SUMIFS('RAW_유기농_7월'!$F:$F,'RAW_유기농_7월'!$D:$D,$C162,'RAW_유기농_7월'!$A:$A,$E162),SUMIFS('RAW_유기농_8월'!$F:$F,'RAW_유기농_8월'!$D:$D,$C162,'RAW_유기농_8월'!$A:$A,$E162),SUMIFS('RAW_유기농_9월'!$F:$F,'RAW_유기농_9월'!$D:$D,$C162,'RAW_유기농_9월'!$A:$A,$E162),SUMIFS('RAW_유기농_10월'!$F:$F,'RAW_유기농_10월'!$D:$D,$C162,'RAW_유기농_10월'!$A:$A,$E162),SUMIFS('RAW_유기농_11-12월'!$F:$F,'RAW_유기농_11-12월'!$D:$D,$C162,'RAW_유기농_11-12월'!$A:$A,$E162))))</f>
        <v/>
      </c>
      <c r="G162" s="7" t="str">
        <f>IF($C162="","",IF('설정'!$B$4=0,"",CHOOSE('설정'!$B$4,SUMIFS('RAW_유기농_7월'!$G:$G,'RAW_유기농_7월'!$D:$D,$C162,'RAW_유기농_7월'!$A:$A,$E162),SUMIFS('RAW_유기농_8월'!$G:$G,'RAW_유기농_8월'!$D:$D,$C162,'RAW_유기농_8월'!$A:$A,$E162),SUMIFS('RAW_유기농_9월'!$G:$G,'RAW_유기농_9월'!$D:$D,$C162,'RAW_유기농_9월'!$A:$A,$E162),SUMIFS('RAW_유기농_10월'!$G:$G,'RAW_유기농_10월'!$D:$D,$C162,'RAW_유기농_10월'!$A:$A,$E162),SUMIFS('RAW_유기농_11-12월'!$G:$G,'RAW_유기농_11-12월'!$D:$D,$C162,'RAW_유기농_11-12월'!$A:$A,$E162))))</f>
        <v/>
      </c>
      <c r="H162" s="7" t="str">
        <f>IF($C162="","",IF('설정'!$B$4=0,"",CHOOSE('설정'!$B$4,SUMIFS('RAW_유기농_7월'!$H:$H,'RAW_유기농_7월'!$D:$D,$C162,'RAW_유기농_7월'!$A:$A,$E162),SUMIFS('RAW_유기농_8월'!$H:$H,'RAW_유기농_8월'!$D:$D,$C162,'RAW_유기농_8월'!$A:$A,$E162),SUMIFS('RAW_유기농_9월'!$H:$H,'RAW_유기농_9월'!$D:$D,$C162,'RAW_유기농_9월'!$A:$A,$E162),SUMIFS('RAW_유기농_10월'!$H:$H,'RAW_유기농_10월'!$D:$D,$C162,'RAW_유기농_10월'!$A:$A,$E162),SUMIFS('RAW_유기농_11-12월'!$H:$H,'RAW_유기농_11-12월'!$D:$D,$C162,'RAW_유기농_11-12월'!$A:$A,$E162))))</f>
        <v/>
      </c>
      <c r="I162" s="17" t="str">
        <f>IF($C162="","",IF(COUNTIFS('RAW_유기농_7월'!$D:$D,$C162,'RAW_유기농_7월'!$A:$A,$E162)&gt;0,"O",""))</f>
        <v/>
      </c>
      <c r="J162" s="17" t="str">
        <f>IF($C162="","",IF(COUNTIFS('RAW_유기농_8월'!$D:$D,$C162,'RAW_유기농_8월'!$A:$A,$E162)&gt;0,"O",""))</f>
        <v/>
      </c>
      <c r="K162" s="17" t="str">
        <f>IF($C162="","",IF(COUNTIFS('RAW_유기농_9월'!$D:$D,$C162,'RAW_유기농_9월'!$A:$A,$E162)&gt;0,"O",""))</f>
        <v/>
      </c>
      <c r="L162" s="17" t="str">
        <f>IF($C162="","",IF(COUNTIFS('RAW_유기농_10월'!$D:$D,$C162,'RAW_유기농_10월'!$A:$A,$E162)&gt;0,"O",""))</f>
        <v/>
      </c>
      <c r="M162" s="17" t="str">
        <f>IF($C162="","",IF(COUNTIFS('RAW_유기농_11-12월'!$D:$D,$C162,'RAW_유기농_11-12월'!$A:$A,$E162)&gt;0,"O",""))</f>
        <v/>
      </c>
      <c r="N162" s="7" t="str">
        <f>IF($C162="","",IF(COUNTA('RAW_유기농_7월'!$A:$A)&lt;=1,"",SUMIFS('RAW_유기농_7월'!$H:$H,'RAW_유기농_7월'!$D:$D,$C162,'RAW_유기농_7월'!$A:$A,$E162)))</f>
        <v/>
      </c>
      <c r="O162" s="7" t="str">
        <f>IF($C162="","",IF(COUNTA('RAW_유기농_8월'!$A:$A)&lt;=1,"",SUMIFS('RAW_유기농_8월'!$H:$H,'RAW_유기농_8월'!$D:$D,$C162,'RAW_유기농_8월'!$A:$A,$E162)-SUMIFS('RAW_유기농_7월'!$H:$H,'RAW_유기농_7월'!$D:$D,$C162,'RAW_유기농_7월'!$A:$A,$E162)))</f>
        <v/>
      </c>
      <c r="P162" s="7" t="str">
        <f>IF($C162="","",IF(COUNTA('RAW_유기농_9월'!$A:$A)&lt;=1,"",SUMIFS('RAW_유기농_9월'!$H:$H,'RAW_유기농_9월'!$D:$D,$C162,'RAW_유기농_9월'!$A:$A,$E162)-SUMIFS('RAW_유기농_8월'!$H:$H,'RAW_유기농_8월'!$D:$D,$C162,'RAW_유기농_8월'!$A:$A,$E162)))</f>
        <v/>
      </c>
      <c r="Q162" s="7" t="str">
        <f>IF($C162="","",IF(COUNTA('RAW_유기농_10월'!$A:$A)&lt;=1,"",SUMIFS('RAW_유기농_10월'!$H:$H,'RAW_유기농_10월'!$D:$D,$C162,'RAW_유기농_10월'!$A:$A,$E162)-SUMIFS('RAW_유기농_9월'!$H:$H,'RAW_유기농_9월'!$D:$D,$C162,'RAW_유기농_9월'!$A:$A,$E162)))</f>
        <v/>
      </c>
      <c r="R162" s="7" t="str">
        <f>IF($C162="","",IF(COUNTA('RAW_유기농_11-12월'!$A:$A)&lt;=1,"",SUMIFS('RAW_유기농_11-12월'!$H:$H,'RAW_유기농_11-12월'!$D:$D,$C162,'RAW_유기농_11-12월'!$A:$A,$E162)-SUMIFS('RAW_유기농_10월'!$H:$H,'RAW_유기농_10월'!$D:$D,$C162,'RAW_유기농_10월'!$A:$A,$E162)))</f>
        <v/>
      </c>
      <c r="S162" s="17" t="str">
        <f t="shared" si="4"/>
        <v/>
      </c>
      <c r="T162" s="17" t="str">
        <f t="shared" si="5"/>
        <v/>
      </c>
      <c r="U162" s="7">
        <f>IF($C162="",0,IF('설정'!$B$4=0,0,CHOOSE('설정'!$B$4,COUNTIFS('RAW_유기농_7월'!$D:$D,$C162,'RAW_유기농_7월'!$A:$A,$E162),COUNTIFS('RAW_유기농_8월'!$D:$D,$C162,'RAW_유기농_8월'!$A:$A,$E162),COUNTIFS('RAW_유기농_9월'!$D:$D,$C162,'RAW_유기농_9월'!$A:$A,$E162),COUNTIFS('RAW_유기농_10월'!$D:$D,$C162,'RAW_유기농_10월'!$A:$A,$E162),COUNTIFS('RAW_유기농_11-12월'!$D:$D,$C162,'RAW_유기농_11-12월'!$A:$A,$E162))))</f>
        <v>0</v>
      </c>
    </row>
    <row r="163" ht="15.75" customHeight="1">
      <c r="A163" s="5"/>
      <c r="B163" s="5"/>
      <c r="C163" s="5"/>
      <c r="D163" s="6"/>
      <c r="E163" s="5"/>
      <c r="F163" s="7" t="str">
        <f>IF($C163="","",IF('설정'!$B$4=0,"",CHOOSE('설정'!$B$4,SUMIFS('RAW_유기농_7월'!$F:$F,'RAW_유기농_7월'!$D:$D,$C163,'RAW_유기농_7월'!$A:$A,$E163),SUMIFS('RAW_유기농_8월'!$F:$F,'RAW_유기농_8월'!$D:$D,$C163,'RAW_유기농_8월'!$A:$A,$E163),SUMIFS('RAW_유기농_9월'!$F:$F,'RAW_유기농_9월'!$D:$D,$C163,'RAW_유기농_9월'!$A:$A,$E163),SUMIFS('RAW_유기농_10월'!$F:$F,'RAW_유기농_10월'!$D:$D,$C163,'RAW_유기농_10월'!$A:$A,$E163),SUMIFS('RAW_유기농_11-12월'!$F:$F,'RAW_유기농_11-12월'!$D:$D,$C163,'RAW_유기농_11-12월'!$A:$A,$E163))))</f>
        <v/>
      </c>
      <c r="G163" s="7" t="str">
        <f>IF($C163="","",IF('설정'!$B$4=0,"",CHOOSE('설정'!$B$4,SUMIFS('RAW_유기농_7월'!$G:$G,'RAW_유기농_7월'!$D:$D,$C163,'RAW_유기농_7월'!$A:$A,$E163),SUMIFS('RAW_유기농_8월'!$G:$G,'RAW_유기농_8월'!$D:$D,$C163,'RAW_유기농_8월'!$A:$A,$E163),SUMIFS('RAW_유기농_9월'!$G:$G,'RAW_유기농_9월'!$D:$D,$C163,'RAW_유기농_9월'!$A:$A,$E163),SUMIFS('RAW_유기농_10월'!$G:$G,'RAW_유기농_10월'!$D:$D,$C163,'RAW_유기농_10월'!$A:$A,$E163),SUMIFS('RAW_유기농_11-12월'!$G:$G,'RAW_유기농_11-12월'!$D:$D,$C163,'RAW_유기농_11-12월'!$A:$A,$E163))))</f>
        <v/>
      </c>
      <c r="H163" s="7" t="str">
        <f>IF($C163="","",IF('설정'!$B$4=0,"",CHOOSE('설정'!$B$4,SUMIFS('RAW_유기농_7월'!$H:$H,'RAW_유기농_7월'!$D:$D,$C163,'RAW_유기농_7월'!$A:$A,$E163),SUMIFS('RAW_유기농_8월'!$H:$H,'RAW_유기농_8월'!$D:$D,$C163,'RAW_유기농_8월'!$A:$A,$E163),SUMIFS('RAW_유기농_9월'!$H:$H,'RAW_유기농_9월'!$D:$D,$C163,'RAW_유기농_9월'!$A:$A,$E163),SUMIFS('RAW_유기농_10월'!$H:$H,'RAW_유기농_10월'!$D:$D,$C163,'RAW_유기농_10월'!$A:$A,$E163),SUMIFS('RAW_유기농_11-12월'!$H:$H,'RAW_유기농_11-12월'!$D:$D,$C163,'RAW_유기농_11-12월'!$A:$A,$E163))))</f>
        <v/>
      </c>
      <c r="I163" s="17" t="str">
        <f>IF($C163="","",IF(COUNTIFS('RAW_유기농_7월'!$D:$D,$C163,'RAW_유기농_7월'!$A:$A,$E163)&gt;0,"O",""))</f>
        <v/>
      </c>
      <c r="J163" s="17" t="str">
        <f>IF($C163="","",IF(COUNTIFS('RAW_유기농_8월'!$D:$D,$C163,'RAW_유기농_8월'!$A:$A,$E163)&gt;0,"O",""))</f>
        <v/>
      </c>
      <c r="K163" s="17" t="str">
        <f>IF($C163="","",IF(COUNTIFS('RAW_유기농_9월'!$D:$D,$C163,'RAW_유기농_9월'!$A:$A,$E163)&gt;0,"O",""))</f>
        <v/>
      </c>
      <c r="L163" s="17" t="str">
        <f>IF($C163="","",IF(COUNTIFS('RAW_유기농_10월'!$D:$D,$C163,'RAW_유기농_10월'!$A:$A,$E163)&gt;0,"O",""))</f>
        <v/>
      </c>
      <c r="M163" s="17" t="str">
        <f>IF($C163="","",IF(COUNTIFS('RAW_유기농_11-12월'!$D:$D,$C163,'RAW_유기농_11-12월'!$A:$A,$E163)&gt;0,"O",""))</f>
        <v/>
      </c>
      <c r="N163" s="7" t="str">
        <f>IF($C163="","",IF(COUNTA('RAW_유기농_7월'!$A:$A)&lt;=1,"",SUMIFS('RAW_유기농_7월'!$H:$H,'RAW_유기농_7월'!$D:$D,$C163,'RAW_유기농_7월'!$A:$A,$E163)))</f>
        <v/>
      </c>
      <c r="O163" s="7" t="str">
        <f>IF($C163="","",IF(COUNTA('RAW_유기농_8월'!$A:$A)&lt;=1,"",SUMIFS('RAW_유기농_8월'!$H:$H,'RAW_유기농_8월'!$D:$D,$C163,'RAW_유기농_8월'!$A:$A,$E163)-SUMIFS('RAW_유기농_7월'!$H:$H,'RAW_유기농_7월'!$D:$D,$C163,'RAW_유기농_7월'!$A:$A,$E163)))</f>
        <v/>
      </c>
      <c r="P163" s="7" t="str">
        <f>IF($C163="","",IF(COUNTA('RAW_유기농_9월'!$A:$A)&lt;=1,"",SUMIFS('RAW_유기농_9월'!$H:$H,'RAW_유기농_9월'!$D:$D,$C163,'RAW_유기농_9월'!$A:$A,$E163)-SUMIFS('RAW_유기농_8월'!$H:$H,'RAW_유기농_8월'!$D:$D,$C163,'RAW_유기농_8월'!$A:$A,$E163)))</f>
        <v/>
      </c>
      <c r="Q163" s="7" t="str">
        <f>IF($C163="","",IF(COUNTA('RAW_유기농_10월'!$A:$A)&lt;=1,"",SUMIFS('RAW_유기농_10월'!$H:$H,'RAW_유기농_10월'!$D:$D,$C163,'RAW_유기농_10월'!$A:$A,$E163)-SUMIFS('RAW_유기농_9월'!$H:$H,'RAW_유기농_9월'!$D:$D,$C163,'RAW_유기농_9월'!$A:$A,$E163)))</f>
        <v/>
      </c>
      <c r="R163" s="7" t="str">
        <f>IF($C163="","",IF(COUNTA('RAW_유기농_11-12월'!$A:$A)&lt;=1,"",SUMIFS('RAW_유기농_11-12월'!$H:$H,'RAW_유기농_11-12월'!$D:$D,$C163,'RAW_유기농_11-12월'!$A:$A,$E163)-SUMIFS('RAW_유기농_10월'!$H:$H,'RAW_유기농_10월'!$D:$D,$C163,'RAW_유기농_10월'!$A:$A,$E163)))</f>
        <v/>
      </c>
      <c r="S163" s="17" t="str">
        <f t="shared" si="4"/>
        <v/>
      </c>
      <c r="T163" s="17" t="str">
        <f t="shared" si="5"/>
        <v/>
      </c>
      <c r="U163" s="7">
        <f>IF($C163="",0,IF('설정'!$B$4=0,0,CHOOSE('설정'!$B$4,COUNTIFS('RAW_유기농_7월'!$D:$D,$C163,'RAW_유기농_7월'!$A:$A,$E163),COUNTIFS('RAW_유기농_8월'!$D:$D,$C163,'RAW_유기농_8월'!$A:$A,$E163),COUNTIFS('RAW_유기농_9월'!$D:$D,$C163,'RAW_유기농_9월'!$A:$A,$E163),COUNTIFS('RAW_유기농_10월'!$D:$D,$C163,'RAW_유기농_10월'!$A:$A,$E163),COUNTIFS('RAW_유기농_11-12월'!$D:$D,$C163,'RAW_유기농_11-12월'!$A:$A,$E163))))</f>
        <v>0</v>
      </c>
    </row>
    <row r="164" ht="15.75" customHeight="1">
      <c r="A164" s="5"/>
      <c r="B164" s="5"/>
      <c r="C164" s="5"/>
      <c r="D164" s="6"/>
      <c r="E164" s="5"/>
      <c r="F164" s="7" t="str">
        <f>IF($C164="","",IF('설정'!$B$4=0,"",CHOOSE('설정'!$B$4,SUMIFS('RAW_유기농_7월'!$F:$F,'RAW_유기농_7월'!$D:$D,$C164,'RAW_유기농_7월'!$A:$A,$E164),SUMIFS('RAW_유기농_8월'!$F:$F,'RAW_유기농_8월'!$D:$D,$C164,'RAW_유기농_8월'!$A:$A,$E164),SUMIFS('RAW_유기농_9월'!$F:$F,'RAW_유기농_9월'!$D:$D,$C164,'RAW_유기농_9월'!$A:$A,$E164),SUMIFS('RAW_유기농_10월'!$F:$F,'RAW_유기농_10월'!$D:$D,$C164,'RAW_유기농_10월'!$A:$A,$E164),SUMIFS('RAW_유기농_11-12월'!$F:$F,'RAW_유기농_11-12월'!$D:$D,$C164,'RAW_유기농_11-12월'!$A:$A,$E164))))</f>
        <v/>
      </c>
      <c r="G164" s="7" t="str">
        <f>IF($C164="","",IF('설정'!$B$4=0,"",CHOOSE('설정'!$B$4,SUMIFS('RAW_유기농_7월'!$G:$G,'RAW_유기농_7월'!$D:$D,$C164,'RAW_유기농_7월'!$A:$A,$E164),SUMIFS('RAW_유기농_8월'!$G:$G,'RAW_유기농_8월'!$D:$D,$C164,'RAW_유기농_8월'!$A:$A,$E164),SUMIFS('RAW_유기농_9월'!$G:$G,'RAW_유기농_9월'!$D:$D,$C164,'RAW_유기농_9월'!$A:$A,$E164),SUMIFS('RAW_유기농_10월'!$G:$G,'RAW_유기농_10월'!$D:$D,$C164,'RAW_유기농_10월'!$A:$A,$E164),SUMIFS('RAW_유기농_11-12월'!$G:$G,'RAW_유기농_11-12월'!$D:$D,$C164,'RAW_유기농_11-12월'!$A:$A,$E164))))</f>
        <v/>
      </c>
      <c r="H164" s="7" t="str">
        <f>IF($C164="","",IF('설정'!$B$4=0,"",CHOOSE('설정'!$B$4,SUMIFS('RAW_유기농_7월'!$H:$H,'RAW_유기농_7월'!$D:$D,$C164,'RAW_유기농_7월'!$A:$A,$E164),SUMIFS('RAW_유기농_8월'!$H:$H,'RAW_유기농_8월'!$D:$D,$C164,'RAW_유기농_8월'!$A:$A,$E164),SUMIFS('RAW_유기농_9월'!$H:$H,'RAW_유기농_9월'!$D:$D,$C164,'RAW_유기농_9월'!$A:$A,$E164),SUMIFS('RAW_유기농_10월'!$H:$H,'RAW_유기농_10월'!$D:$D,$C164,'RAW_유기농_10월'!$A:$A,$E164),SUMIFS('RAW_유기농_11-12월'!$H:$H,'RAW_유기농_11-12월'!$D:$D,$C164,'RAW_유기농_11-12월'!$A:$A,$E164))))</f>
        <v/>
      </c>
      <c r="I164" s="17" t="str">
        <f>IF($C164="","",IF(COUNTIFS('RAW_유기농_7월'!$D:$D,$C164,'RAW_유기농_7월'!$A:$A,$E164)&gt;0,"O",""))</f>
        <v/>
      </c>
      <c r="J164" s="17" t="str">
        <f>IF($C164="","",IF(COUNTIFS('RAW_유기농_8월'!$D:$D,$C164,'RAW_유기농_8월'!$A:$A,$E164)&gt;0,"O",""))</f>
        <v/>
      </c>
      <c r="K164" s="17" t="str">
        <f>IF($C164="","",IF(COUNTIFS('RAW_유기농_9월'!$D:$D,$C164,'RAW_유기농_9월'!$A:$A,$E164)&gt;0,"O",""))</f>
        <v/>
      </c>
      <c r="L164" s="17" t="str">
        <f>IF($C164="","",IF(COUNTIFS('RAW_유기농_10월'!$D:$D,$C164,'RAW_유기농_10월'!$A:$A,$E164)&gt;0,"O",""))</f>
        <v/>
      </c>
      <c r="M164" s="17" t="str">
        <f>IF($C164="","",IF(COUNTIFS('RAW_유기농_11-12월'!$D:$D,$C164,'RAW_유기농_11-12월'!$A:$A,$E164)&gt;0,"O",""))</f>
        <v/>
      </c>
      <c r="N164" s="7" t="str">
        <f>IF($C164="","",IF(COUNTA('RAW_유기농_7월'!$A:$A)&lt;=1,"",SUMIFS('RAW_유기농_7월'!$H:$H,'RAW_유기농_7월'!$D:$D,$C164,'RAW_유기농_7월'!$A:$A,$E164)))</f>
        <v/>
      </c>
      <c r="O164" s="7" t="str">
        <f>IF($C164="","",IF(COUNTA('RAW_유기농_8월'!$A:$A)&lt;=1,"",SUMIFS('RAW_유기농_8월'!$H:$H,'RAW_유기농_8월'!$D:$D,$C164,'RAW_유기농_8월'!$A:$A,$E164)-SUMIFS('RAW_유기농_7월'!$H:$H,'RAW_유기농_7월'!$D:$D,$C164,'RAW_유기농_7월'!$A:$A,$E164)))</f>
        <v/>
      </c>
      <c r="P164" s="7" t="str">
        <f>IF($C164="","",IF(COUNTA('RAW_유기농_9월'!$A:$A)&lt;=1,"",SUMIFS('RAW_유기농_9월'!$H:$H,'RAW_유기농_9월'!$D:$D,$C164,'RAW_유기농_9월'!$A:$A,$E164)-SUMIFS('RAW_유기농_8월'!$H:$H,'RAW_유기농_8월'!$D:$D,$C164,'RAW_유기농_8월'!$A:$A,$E164)))</f>
        <v/>
      </c>
      <c r="Q164" s="7" t="str">
        <f>IF($C164="","",IF(COUNTA('RAW_유기농_10월'!$A:$A)&lt;=1,"",SUMIFS('RAW_유기농_10월'!$H:$H,'RAW_유기농_10월'!$D:$D,$C164,'RAW_유기농_10월'!$A:$A,$E164)-SUMIFS('RAW_유기농_9월'!$H:$H,'RAW_유기농_9월'!$D:$D,$C164,'RAW_유기농_9월'!$A:$A,$E164)))</f>
        <v/>
      </c>
      <c r="R164" s="7" t="str">
        <f>IF($C164="","",IF(COUNTA('RAW_유기농_11-12월'!$A:$A)&lt;=1,"",SUMIFS('RAW_유기농_11-12월'!$H:$H,'RAW_유기농_11-12월'!$D:$D,$C164,'RAW_유기농_11-12월'!$A:$A,$E164)-SUMIFS('RAW_유기농_10월'!$H:$H,'RAW_유기농_10월'!$D:$D,$C164,'RAW_유기농_10월'!$A:$A,$E164)))</f>
        <v/>
      </c>
      <c r="S164" s="17" t="str">
        <f t="shared" si="4"/>
        <v/>
      </c>
      <c r="T164" s="17" t="str">
        <f t="shared" si="5"/>
        <v/>
      </c>
      <c r="U164" s="7">
        <f>IF($C164="",0,IF('설정'!$B$4=0,0,CHOOSE('설정'!$B$4,COUNTIFS('RAW_유기농_7월'!$D:$D,$C164,'RAW_유기농_7월'!$A:$A,$E164),COUNTIFS('RAW_유기농_8월'!$D:$D,$C164,'RAW_유기농_8월'!$A:$A,$E164),COUNTIFS('RAW_유기농_9월'!$D:$D,$C164,'RAW_유기농_9월'!$A:$A,$E164),COUNTIFS('RAW_유기농_10월'!$D:$D,$C164,'RAW_유기농_10월'!$A:$A,$E164),COUNTIFS('RAW_유기농_11-12월'!$D:$D,$C164,'RAW_유기농_11-12월'!$A:$A,$E164))))</f>
        <v>0</v>
      </c>
    </row>
    <row r="165" ht="15.75" customHeight="1">
      <c r="A165" s="5"/>
      <c r="B165" s="5"/>
      <c r="C165" s="5"/>
      <c r="D165" s="6"/>
      <c r="E165" s="5"/>
      <c r="F165" s="7" t="str">
        <f>IF($C165="","",IF('설정'!$B$4=0,"",CHOOSE('설정'!$B$4,SUMIFS('RAW_유기농_7월'!$F:$F,'RAW_유기농_7월'!$D:$D,$C165,'RAW_유기농_7월'!$A:$A,$E165),SUMIFS('RAW_유기농_8월'!$F:$F,'RAW_유기농_8월'!$D:$D,$C165,'RAW_유기농_8월'!$A:$A,$E165),SUMIFS('RAW_유기농_9월'!$F:$F,'RAW_유기농_9월'!$D:$D,$C165,'RAW_유기농_9월'!$A:$A,$E165),SUMIFS('RAW_유기농_10월'!$F:$F,'RAW_유기농_10월'!$D:$D,$C165,'RAW_유기농_10월'!$A:$A,$E165),SUMIFS('RAW_유기농_11-12월'!$F:$F,'RAW_유기농_11-12월'!$D:$D,$C165,'RAW_유기농_11-12월'!$A:$A,$E165))))</f>
        <v/>
      </c>
      <c r="G165" s="7" t="str">
        <f>IF($C165="","",IF('설정'!$B$4=0,"",CHOOSE('설정'!$B$4,SUMIFS('RAW_유기농_7월'!$G:$G,'RAW_유기농_7월'!$D:$D,$C165,'RAW_유기농_7월'!$A:$A,$E165),SUMIFS('RAW_유기농_8월'!$G:$G,'RAW_유기농_8월'!$D:$D,$C165,'RAW_유기농_8월'!$A:$A,$E165),SUMIFS('RAW_유기농_9월'!$G:$G,'RAW_유기농_9월'!$D:$D,$C165,'RAW_유기농_9월'!$A:$A,$E165),SUMIFS('RAW_유기농_10월'!$G:$G,'RAW_유기농_10월'!$D:$D,$C165,'RAW_유기농_10월'!$A:$A,$E165),SUMIFS('RAW_유기농_11-12월'!$G:$G,'RAW_유기농_11-12월'!$D:$D,$C165,'RAW_유기농_11-12월'!$A:$A,$E165))))</f>
        <v/>
      </c>
      <c r="H165" s="7" t="str">
        <f>IF($C165="","",IF('설정'!$B$4=0,"",CHOOSE('설정'!$B$4,SUMIFS('RAW_유기농_7월'!$H:$H,'RAW_유기농_7월'!$D:$D,$C165,'RAW_유기농_7월'!$A:$A,$E165),SUMIFS('RAW_유기농_8월'!$H:$H,'RAW_유기농_8월'!$D:$D,$C165,'RAW_유기농_8월'!$A:$A,$E165),SUMIFS('RAW_유기농_9월'!$H:$H,'RAW_유기농_9월'!$D:$D,$C165,'RAW_유기농_9월'!$A:$A,$E165),SUMIFS('RAW_유기농_10월'!$H:$H,'RAW_유기농_10월'!$D:$D,$C165,'RAW_유기농_10월'!$A:$A,$E165),SUMIFS('RAW_유기농_11-12월'!$H:$H,'RAW_유기농_11-12월'!$D:$D,$C165,'RAW_유기농_11-12월'!$A:$A,$E165))))</f>
        <v/>
      </c>
      <c r="I165" s="17" t="str">
        <f>IF($C165="","",IF(COUNTIFS('RAW_유기농_7월'!$D:$D,$C165,'RAW_유기농_7월'!$A:$A,$E165)&gt;0,"O",""))</f>
        <v/>
      </c>
      <c r="J165" s="17" t="str">
        <f>IF($C165="","",IF(COUNTIFS('RAW_유기농_8월'!$D:$D,$C165,'RAW_유기농_8월'!$A:$A,$E165)&gt;0,"O",""))</f>
        <v/>
      </c>
      <c r="K165" s="17" t="str">
        <f>IF($C165="","",IF(COUNTIFS('RAW_유기농_9월'!$D:$D,$C165,'RAW_유기농_9월'!$A:$A,$E165)&gt;0,"O",""))</f>
        <v/>
      </c>
      <c r="L165" s="17" t="str">
        <f>IF($C165="","",IF(COUNTIFS('RAW_유기농_10월'!$D:$D,$C165,'RAW_유기농_10월'!$A:$A,$E165)&gt;0,"O",""))</f>
        <v/>
      </c>
      <c r="M165" s="17" t="str">
        <f>IF($C165="","",IF(COUNTIFS('RAW_유기농_11-12월'!$D:$D,$C165,'RAW_유기농_11-12월'!$A:$A,$E165)&gt;0,"O",""))</f>
        <v/>
      </c>
      <c r="N165" s="7" t="str">
        <f>IF($C165="","",IF(COUNTA('RAW_유기농_7월'!$A:$A)&lt;=1,"",SUMIFS('RAW_유기농_7월'!$H:$H,'RAW_유기농_7월'!$D:$D,$C165,'RAW_유기농_7월'!$A:$A,$E165)))</f>
        <v/>
      </c>
      <c r="O165" s="7" t="str">
        <f>IF($C165="","",IF(COUNTA('RAW_유기농_8월'!$A:$A)&lt;=1,"",SUMIFS('RAW_유기농_8월'!$H:$H,'RAW_유기농_8월'!$D:$D,$C165,'RAW_유기농_8월'!$A:$A,$E165)-SUMIFS('RAW_유기농_7월'!$H:$H,'RAW_유기농_7월'!$D:$D,$C165,'RAW_유기농_7월'!$A:$A,$E165)))</f>
        <v/>
      </c>
      <c r="P165" s="7" t="str">
        <f>IF($C165="","",IF(COUNTA('RAW_유기농_9월'!$A:$A)&lt;=1,"",SUMIFS('RAW_유기농_9월'!$H:$H,'RAW_유기농_9월'!$D:$D,$C165,'RAW_유기농_9월'!$A:$A,$E165)-SUMIFS('RAW_유기농_8월'!$H:$H,'RAW_유기농_8월'!$D:$D,$C165,'RAW_유기농_8월'!$A:$A,$E165)))</f>
        <v/>
      </c>
      <c r="Q165" s="7" t="str">
        <f>IF($C165="","",IF(COUNTA('RAW_유기농_10월'!$A:$A)&lt;=1,"",SUMIFS('RAW_유기농_10월'!$H:$H,'RAW_유기농_10월'!$D:$D,$C165,'RAW_유기농_10월'!$A:$A,$E165)-SUMIFS('RAW_유기농_9월'!$H:$H,'RAW_유기농_9월'!$D:$D,$C165,'RAW_유기농_9월'!$A:$A,$E165)))</f>
        <v/>
      </c>
      <c r="R165" s="7" t="str">
        <f>IF($C165="","",IF(COUNTA('RAW_유기농_11-12월'!$A:$A)&lt;=1,"",SUMIFS('RAW_유기농_11-12월'!$H:$H,'RAW_유기농_11-12월'!$D:$D,$C165,'RAW_유기농_11-12월'!$A:$A,$E165)-SUMIFS('RAW_유기농_10월'!$H:$H,'RAW_유기농_10월'!$D:$D,$C165,'RAW_유기농_10월'!$A:$A,$E165)))</f>
        <v/>
      </c>
      <c r="S165" s="17" t="str">
        <f t="shared" si="4"/>
        <v/>
      </c>
      <c r="T165" s="17" t="str">
        <f t="shared" si="5"/>
        <v/>
      </c>
      <c r="U165" s="7">
        <f>IF($C165="",0,IF('설정'!$B$4=0,0,CHOOSE('설정'!$B$4,COUNTIFS('RAW_유기농_7월'!$D:$D,$C165,'RAW_유기농_7월'!$A:$A,$E165),COUNTIFS('RAW_유기농_8월'!$D:$D,$C165,'RAW_유기농_8월'!$A:$A,$E165),COUNTIFS('RAW_유기농_9월'!$D:$D,$C165,'RAW_유기농_9월'!$A:$A,$E165),COUNTIFS('RAW_유기농_10월'!$D:$D,$C165,'RAW_유기농_10월'!$A:$A,$E165),COUNTIFS('RAW_유기농_11-12월'!$D:$D,$C165,'RAW_유기농_11-12월'!$A:$A,$E165))))</f>
        <v>0</v>
      </c>
    </row>
    <row r="166" ht="15.75" customHeight="1">
      <c r="A166" s="5"/>
      <c r="B166" s="5"/>
      <c r="C166" s="5"/>
      <c r="D166" s="6"/>
      <c r="E166" s="5"/>
      <c r="F166" s="7" t="str">
        <f>IF($C166="","",IF('설정'!$B$4=0,"",CHOOSE('설정'!$B$4,SUMIFS('RAW_유기농_7월'!$F:$F,'RAW_유기농_7월'!$D:$D,$C166,'RAW_유기농_7월'!$A:$A,$E166),SUMIFS('RAW_유기농_8월'!$F:$F,'RAW_유기농_8월'!$D:$D,$C166,'RAW_유기농_8월'!$A:$A,$E166),SUMIFS('RAW_유기농_9월'!$F:$F,'RAW_유기농_9월'!$D:$D,$C166,'RAW_유기농_9월'!$A:$A,$E166),SUMIFS('RAW_유기농_10월'!$F:$F,'RAW_유기농_10월'!$D:$D,$C166,'RAW_유기농_10월'!$A:$A,$E166),SUMIFS('RAW_유기농_11-12월'!$F:$F,'RAW_유기농_11-12월'!$D:$D,$C166,'RAW_유기농_11-12월'!$A:$A,$E166))))</f>
        <v/>
      </c>
      <c r="G166" s="7" t="str">
        <f>IF($C166="","",IF('설정'!$B$4=0,"",CHOOSE('설정'!$B$4,SUMIFS('RAW_유기농_7월'!$G:$G,'RAW_유기농_7월'!$D:$D,$C166,'RAW_유기농_7월'!$A:$A,$E166),SUMIFS('RAW_유기농_8월'!$G:$G,'RAW_유기농_8월'!$D:$D,$C166,'RAW_유기농_8월'!$A:$A,$E166),SUMIFS('RAW_유기농_9월'!$G:$G,'RAW_유기농_9월'!$D:$D,$C166,'RAW_유기농_9월'!$A:$A,$E166),SUMIFS('RAW_유기농_10월'!$G:$G,'RAW_유기농_10월'!$D:$D,$C166,'RAW_유기농_10월'!$A:$A,$E166),SUMIFS('RAW_유기농_11-12월'!$G:$G,'RAW_유기농_11-12월'!$D:$D,$C166,'RAW_유기농_11-12월'!$A:$A,$E166))))</f>
        <v/>
      </c>
      <c r="H166" s="7" t="str">
        <f>IF($C166="","",IF('설정'!$B$4=0,"",CHOOSE('설정'!$B$4,SUMIFS('RAW_유기농_7월'!$H:$H,'RAW_유기농_7월'!$D:$D,$C166,'RAW_유기농_7월'!$A:$A,$E166),SUMIFS('RAW_유기농_8월'!$H:$H,'RAW_유기농_8월'!$D:$D,$C166,'RAW_유기농_8월'!$A:$A,$E166),SUMIFS('RAW_유기농_9월'!$H:$H,'RAW_유기농_9월'!$D:$D,$C166,'RAW_유기농_9월'!$A:$A,$E166),SUMIFS('RAW_유기농_10월'!$H:$H,'RAW_유기농_10월'!$D:$D,$C166,'RAW_유기농_10월'!$A:$A,$E166),SUMIFS('RAW_유기농_11-12월'!$H:$H,'RAW_유기농_11-12월'!$D:$D,$C166,'RAW_유기농_11-12월'!$A:$A,$E166))))</f>
        <v/>
      </c>
      <c r="I166" s="17" t="str">
        <f>IF($C166="","",IF(COUNTIFS('RAW_유기농_7월'!$D:$D,$C166,'RAW_유기농_7월'!$A:$A,$E166)&gt;0,"O",""))</f>
        <v/>
      </c>
      <c r="J166" s="17" t="str">
        <f>IF($C166="","",IF(COUNTIFS('RAW_유기농_8월'!$D:$D,$C166,'RAW_유기농_8월'!$A:$A,$E166)&gt;0,"O",""))</f>
        <v/>
      </c>
      <c r="K166" s="17" t="str">
        <f>IF($C166="","",IF(COUNTIFS('RAW_유기농_9월'!$D:$D,$C166,'RAW_유기농_9월'!$A:$A,$E166)&gt;0,"O",""))</f>
        <v/>
      </c>
      <c r="L166" s="17" t="str">
        <f>IF($C166="","",IF(COUNTIFS('RAW_유기농_10월'!$D:$D,$C166,'RAW_유기농_10월'!$A:$A,$E166)&gt;0,"O",""))</f>
        <v/>
      </c>
      <c r="M166" s="17" t="str">
        <f>IF($C166="","",IF(COUNTIFS('RAW_유기농_11-12월'!$D:$D,$C166,'RAW_유기농_11-12월'!$A:$A,$E166)&gt;0,"O",""))</f>
        <v/>
      </c>
      <c r="N166" s="7" t="str">
        <f>IF($C166="","",IF(COUNTA('RAW_유기농_7월'!$A:$A)&lt;=1,"",SUMIFS('RAW_유기농_7월'!$H:$H,'RAW_유기농_7월'!$D:$D,$C166,'RAW_유기농_7월'!$A:$A,$E166)))</f>
        <v/>
      </c>
      <c r="O166" s="7" t="str">
        <f>IF($C166="","",IF(COUNTA('RAW_유기농_8월'!$A:$A)&lt;=1,"",SUMIFS('RAW_유기농_8월'!$H:$H,'RAW_유기농_8월'!$D:$D,$C166,'RAW_유기농_8월'!$A:$A,$E166)-SUMIFS('RAW_유기농_7월'!$H:$H,'RAW_유기농_7월'!$D:$D,$C166,'RAW_유기농_7월'!$A:$A,$E166)))</f>
        <v/>
      </c>
      <c r="P166" s="7" t="str">
        <f>IF($C166="","",IF(COUNTA('RAW_유기농_9월'!$A:$A)&lt;=1,"",SUMIFS('RAW_유기농_9월'!$H:$H,'RAW_유기농_9월'!$D:$D,$C166,'RAW_유기농_9월'!$A:$A,$E166)-SUMIFS('RAW_유기농_8월'!$H:$H,'RAW_유기농_8월'!$D:$D,$C166,'RAW_유기농_8월'!$A:$A,$E166)))</f>
        <v/>
      </c>
      <c r="Q166" s="7" t="str">
        <f>IF($C166="","",IF(COUNTA('RAW_유기농_10월'!$A:$A)&lt;=1,"",SUMIFS('RAW_유기농_10월'!$H:$H,'RAW_유기농_10월'!$D:$D,$C166,'RAW_유기농_10월'!$A:$A,$E166)-SUMIFS('RAW_유기농_9월'!$H:$H,'RAW_유기농_9월'!$D:$D,$C166,'RAW_유기농_9월'!$A:$A,$E166)))</f>
        <v/>
      </c>
      <c r="R166" s="7" t="str">
        <f>IF($C166="","",IF(COUNTA('RAW_유기농_11-12월'!$A:$A)&lt;=1,"",SUMIFS('RAW_유기농_11-12월'!$H:$H,'RAW_유기농_11-12월'!$D:$D,$C166,'RAW_유기농_11-12월'!$A:$A,$E166)-SUMIFS('RAW_유기농_10월'!$H:$H,'RAW_유기농_10월'!$D:$D,$C166,'RAW_유기농_10월'!$A:$A,$E166)))</f>
        <v/>
      </c>
      <c r="S166" s="17" t="str">
        <f t="shared" si="4"/>
        <v/>
      </c>
      <c r="T166" s="17" t="str">
        <f t="shared" si="5"/>
        <v/>
      </c>
      <c r="U166" s="7">
        <f>IF($C166="",0,IF('설정'!$B$4=0,0,CHOOSE('설정'!$B$4,COUNTIFS('RAW_유기농_7월'!$D:$D,$C166,'RAW_유기농_7월'!$A:$A,$E166),COUNTIFS('RAW_유기농_8월'!$D:$D,$C166,'RAW_유기농_8월'!$A:$A,$E166),COUNTIFS('RAW_유기농_9월'!$D:$D,$C166,'RAW_유기농_9월'!$A:$A,$E166),COUNTIFS('RAW_유기농_10월'!$D:$D,$C166,'RAW_유기농_10월'!$A:$A,$E166),COUNTIFS('RAW_유기농_11-12월'!$D:$D,$C166,'RAW_유기농_11-12월'!$A:$A,$E166))))</f>
        <v>0</v>
      </c>
    </row>
    <row r="167" ht="15.75" customHeight="1">
      <c r="A167" s="5"/>
      <c r="B167" s="5"/>
      <c r="C167" s="5"/>
      <c r="D167" s="6"/>
      <c r="E167" s="5"/>
      <c r="F167" s="7" t="str">
        <f>IF($C167="","",IF('설정'!$B$4=0,"",CHOOSE('설정'!$B$4,SUMIFS('RAW_유기농_7월'!$F:$F,'RAW_유기농_7월'!$D:$D,$C167,'RAW_유기농_7월'!$A:$A,$E167),SUMIFS('RAW_유기농_8월'!$F:$F,'RAW_유기농_8월'!$D:$D,$C167,'RAW_유기농_8월'!$A:$A,$E167),SUMIFS('RAW_유기농_9월'!$F:$F,'RAW_유기농_9월'!$D:$D,$C167,'RAW_유기농_9월'!$A:$A,$E167),SUMIFS('RAW_유기농_10월'!$F:$F,'RAW_유기농_10월'!$D:$D,$C167,'RAW_유기농_10월'!$A:$A,$E167),SUMIFS('RAW_유기농_11-12월'!$F:$F,'RAW_유기농_11-12월'!$D:$D,$C167,'RAW_유기농_11-12월'!$A:$A,$E167))))</f>
        <v/>
      </c>
      <c r="G167" s="7" t="str">
        <f>IF($C167="","",IF('설정'!$B$4=0,"",CHOOSE('설정'!$B$4,SUMIFS('RAW_유기농_7월'!$G:$G,'RAW_유기농_7월'!$D:$D,$C167,'RAW_유기농_7월'!$A:$A,$E167),SUMIFS('RAW_유기농_8월'!$G:$G,'RAW_유기농_8월'!$D:$D,$C167,'RAW_유기농_8월'!$A:$A,$E167),SUMIFS('RAW_유기농_9월'!$G:$G,'RAW_유기농_9월'!$D:$D,$C167,'RAW_유기농_9월'!$A:$A,$E167),SUMIFS('RAW_유기농_10월'!$G:$G,'RAW_유기농_10월'!$D:$D,$C167,'RAW_유기농_10월'!$A:$A,$E167),SUMIFS('RAW_유기농_11-12월'!$G:$G,'RAW_유기농_11-12월'!$D:$D,$C167,'RAW_유기농_11-12월'!$A:$A,$E167))))</f>
        <v/>
      </c>
      <c r="H167" s="7" t="str">
        <f>IF($C167="","",IF('설정'!$B$4=0,"",CHOOSE('설정'!$B$4,SUMIFS('RAW_유기농_7월'!$H:$H,'RAW_유기농_7월'!$D:$D,$C167,'RAW_유기농_7월'!$A:$A,$E167),SUMIFS('RAW_유기농_8월'!$H:$H,'RAW_유기농_8월'!$D:$D,$C167,'RAW_유기농_8월'!$A:$A,$E167),SUMIFS('RAW_유기농_9월'!$H:$H,'RAW_유기농_9월'!$D:$D,$C167,'RAW_유기농_9월'!$A:$A,$E167),SUMIFS('RAW_유기농_10월'!$H:$H,'RAW_유기농_10월'!$D:$D,$C167,'RAW_유기농_10월'!$A:$A,$E167),SUMIFS('RAW_유기농_11-12월'!$H:$H,'RAW_유기농_11-12월'!$D:$D,$C167,'RAW_유기농_11-12월'!$A:$A,$E167))))</f>
        <v/>
      </c>
      <c r="I167" s="17" t="str">
        <f>IF($C167="","",IF(COUNTIFS('RAW_유기농_7월'!$D:$D,$C167,'RAW_유기농_7월'!$A:$A,$E167)&gt;0,"O",""))</f>
        <v/>
      </c>
      <c r="J167" s="17" t="str">
        <f>IF($C167="","",IF(COUNTIFS('RAW_유기농_8월'!$D:$D,$C167,'RAW_유기농_8월'!$A:$A,$E167)&gt;0,"O",""))</f>
        <v/>
      </c>
      <c r="K167" s="17" t="str">
        <f>IF($C167="","",IF(COUNTIFS('RAW_유기농_9월'!$D:$D,$C167,'RAW_유기농_9월'!$A:$A,$E167)&gt;0,"O",""))</f>
        <v/>
      </c>
      <c r="L167" s="17" t="str">
        <f>IF($C167="","",IF(COUNTIFS('RAW_유기농_10월'!$D:$D,$C167,'RAW_유기농_10월'!$A:$A,$E167)&gt;0,"O",""))</f>
        <v/>
      </c>
      <c r="M167" s="17" t="str">
        <f>IF($C167="","",IF(COUNTIFS('RAW_유기농_11-12월'!$D:$D,$C167,'RAW_유기농_11-12월'!$A:$A,$E167)&gt;0,"O",""))</f>
        <v/>
      </c>
      <c r="N167" s="7" t="str">
        <f>IF($C167="","",IF(COUNTA('RAW_유기농_7월'!$A:$A)&lt;=1,"",SUMIFS('RAW_유기농_7월'!$H:$H,'RAW_유기농_7월'!$D:$D,$C167,'RAW_유기농_7월'!$A:$A,$E167)))</f>
        <v/>
      </c>
      <c r="O167" s="7" t="str">
        <f>IF($C167="","",IF(COUNTA('RAW_유기농_8월'!$A:$A)&lt;=1,"",SUMIFS('RAW_유기농_8월'!$H:$H,'RAW_유기농_8월'!$D:$D,$C167,'RAW_유기농_8월'!$A:$A,$E167)-SUMIFS('RAW_유기농_7월'!$H:$H,'RAW_유기농_7월'!$D:$D,$C167,'RAW_유기농_7월'!$A:$A,$E167)))</f>
        <v/>
      </c>
      <c r="P167" s="7" t="str">
        <f>IF($C167="","",IF(COUNTA('RAW_유기농_9월'!$A:$A)&lt;=1,"",SUMIFS('RAW_유기농_9월'!$H:$H,'RAW_유기농_9월'!$D:$D,$C167,'RAW_유기농_9월'!$A:$A,$E167)-SUMIFS('RAW_유기농_8월'!$H:$H,'RAW_유기농_8월'!$D:$D,$C167,'RAW_유기농_8월'!$A:$A,$E167)))</f>
        <v/>
      </c>
      <c r="Q167" s="7" t="str">
        <f>IF($C167="","",IF(COUNTA('RAW_유기농_10월'!$A:$A)&lt;=1,"",SUMIFS('RAW_유기농_10월'!$H:$H,'RAW_유기농_10월'!$D:$D,$C167,'RAW_유기농_10월'!$A:$A,$E167)-SUMIFS('RAW_유기농_9월'!$H:$H,'RAW_유기농_9월'!$D:$D,$C167,'RAW_유기농_9월'!$A:$A,$E167)))</f>
        <v/>
      </c>
      <c r="R167" s="7" t="str">
        <f>IF($C167="","",IF(COUNTA('RAW_유기농_11-12월'!$A:$A)&lt;=1,"",SUMIFS('RAW_유기농_11-12월'!$H:$H,'RAW_유기농_11-12월'!$D:$D,$C167,'RAW_유기농_11-12월'!$A:$A,$E167)-SUMIFS('RAW_유기농_10월'!$H:$H,'RAW_유기농_10월'!$D:$D,$C167,'RAW_유기농_10월'!$A:$A,$E167)))</f>
        <v/>
      </c>
      <c r="S167" s="17" t="str">
        <f t="shared" si="4"/>
        <v/>
      </c>
      <c r="T167" s="17" t="str">
        <f t="shared" si="5"/>
        <v/>
      </c>
      <c r="U167" s="7">
        <f>IF($C167="",0,IF('설정'!$B$4=0,0,CHOOSE('설정'!$B$4,COUNTIFS('RAW_유기농_7월'!$D:$D,$C167,'RAW_유기농_7월'!$A:$A,$E167),COUNTIFS('RAW_유기농_8월'!$D:$D,$C167,'RAW_유기농_8월'!$A:$A,$E167),COUNTIFS('RAW_유기농_9월'!$D:$D,$C167,'RAW_유기농_9월'!$A:$A,$E167),COUNTIFS('RAW_유기농_10월'!$D:$D,$C167,'RAW_유기농_10월'!$A:$A,$E167),COUNTIFS('RAW_유기농_11-12월'!$D:$D,$C167,'RAW_유기농_11-12월'!$A:$A,$E167))))</f>
        <v>0</v>
      </c>
    </row>
    <row r="168" ht="15.75" customHeight="1">
      <c r="A168" s="5"/>
      <c r="B168" s="5"/>
      <c r="C168" s="5"/>
      <c r="D168" s="6"/>
      <c r="E168" s="5"/>
      <c r="F168" s="7" t="str">
        <f>IF($C168="","",IF('설정'!$B$4=0,"",CHOOSE('설정'!$B$4,SUMIFS('RAW_유기농_7월'!$F:$F,'RAW_유기농_7월'!$D:$D,$C168,'RAW_유기농_7월'!$A:$A,$E168),SUMIFS('RAW_유기농_8월'!$F:$F,'RAW_유기농_8월'!$D:$D,$C168,'RAW_유기농_8월'!$A:$A,$E168),SUMIFS('RAW_유기농_9월'!$F:$F,'RAW_유기농_9월'!$D:$D,$C168,'RAW_유기농_9월'!$A:$A,$E168),SUMIFS('RAW_유기농_10월'!$F:$F,'RAW_유기농_10월'!$D:$D,$C168,'RAW_유기농_10월'!$A:$A,$E168),SUMIFS('RAW_유기농_11-12월'!$F:$F,'RAW_유기농_11-12월'!$D:$D,$C168,'RAW_유기농_11-12월'!$A:$A,$E168))))</f>
        <v/>
      </c>
      <c r="G168" s="7" t="str">
        <f>IF($C168="","",IF('설정'!$B$4=0,"",CHOOSE('설정'!$B$4,SUMIFS('RAW_유기농_7월'!$G:$G,'RAW_유기농_7월'!$D:$D,$C168,'RAW_유기농_7월'!$A:$A,$E168),SUMIFS('RAW_유기농_8월'!$G:$G,'RAW_유기농_8월'!$D:$D,$C168,'RAW_유기농_8월'!$A:$A,$E168),SUMIFS('RAW_유기농_9월'!$G:$G,'RAW_유기농_9월'!$D:$D,$C168,'RAW_유기농_9월'!$A:$A,$E168),SUMIFS('RAW_유기농_10월'!$G:$G,'RAW_유기농_10월'!$D:$D,$C168,'RAW_유기농_10월'!$A:$A,$E168),SUMIFS('RAW_유기농_11-12월'!$G:$G,'RAW_유기농_11-12월'!$D:$D,$C168,'RAW_유기농_11-12월'!$A:$A,$E168))))</f>
        <v/>
      </c>
      <c r="H168" s="7" t="str">
        <f>IF($C168="","",IF('설정'!$B$4=0,"",CHOOSE('설정'!$B$4,SUMIFS('RAW_유기농_7월'!$H:$H,'RAW_유기농_7월'!$D:$D,$C168,'RAW_유기농_7월'!$A:$A,$E168),SUMIFS('RAW_유기농_8월'!$H:$H,'RAW_유기농_8월'!$D:$D,$C168,'RAW_유기농_8월'!$A:$A,$E168),SUMIFS('RAW_유기농_9월'!$H:$H,'RAW_유기농_9월'!$D:$D,$C168,'RAW_유기농_9월'!$A:$A,$E168),SUMIFS('RAW_유기농_10월'!$H:$H,'RAW_유기농_10월'!$D:$D,$C168,'RAW_유기농_10월'!$A:$A,$E168),SUMIFS('RAW_유기농_11-12월'!$H:$H,'RAW_유기농_11-12월'!$D:$D,$C168,'RAW_유기농_11-12월'!$A:$A,$E168))))</f>
        <v/>
      </c>
      <c r="I168" s="17" t="str">
        <f>IF($C168="","",IF(COUNTIFS('RAW_유기농_7월'!$D:$D,$C168,'RAW_유기농_7월'!$A:$A,$E168)&gt;0,"O",""))</f>
        <v/>
      </c>
      <c r="J168" s="17" t="str">
        <f>IF($C168="","",IF(COUNTIFS('RAW_유기농_8월'!$D:$D,$C168,'RAW_유기농_8월'!$A:$A,$E168)&gt;0,"O",""))</f>
        <v/>
      </c>
      <c r="K168" s="17" t="str">
        <f>IF($C168="","",IF(COUNTIFS('RAW_유기농_9월'!$D:$D,$C168,'RAW_유기농_9월'!$A:$A,$E168)&gt;0,"O",""))</f>
        <v/>
      </c>
      <c r="L168" s="17" t="str">
        <f>IF($C168="","",IF(COUNTIFS('RAW_유기농_10월'!$D:$D,$C168,'RAW_유기농_10월'!$A:$A,$E168)&gt;0,"O",""))</f>
        <v/>
      </c>
      <c r="M168" s="17" t="str">
        <f>IF($C168="","",IF(COUNTIFS('RAW_유기농_11-12월'!$D:$D,$C168,'RAW_유기농_11-12월'!$A:$A,$E168)&gt;0,"O",""))</f>
        <v/>
      </c>
      <c r="N168" s="7" t="str">
        <f>IF($C168="","",IF(COUNTA('RAW_유기농_7월'!$A:$A)&lt;=1,"",SUMIFS('RAW_유기농_7월'!$H:$H,'RAW_유기농_7월'!$D:$D,$C168,'RAW_유기농_7월'!$A:$A,$E168)))</f>
        <v/>
      </c>
      <c r="O168" s="7" t="str">
        <f>IF($C168="","",IF(COUNTA('RAW_유기농_8월'!$A:$A)&lt;=1,"",SUMIFS('RAW_유기농_8월'!$H:$H,'RAW_유기농_8월'!$D:$D,$C168,'RAW_유기농_8월'!$A:$A,$E168)-SUMIFS('RAW_유기농_7월'!$H:$H,'RAW_유기농_7월'!$D:$D,$C168,'RAW_유기농_7월'!$A:$A,$E168)))</f>
        <v/>
      </c>
      <c r="P168" s="7" t="str">
        <f>IF($C168="","",IF(COUNTA('RAW_유기농_9월'!$A:$A)&lt;=1,"",SUMIFS('RAW_유기농_9월'!$H:$H,'RAW_유기농_9월'!$D:$D,$C168,'RAW_유기농_9월'!$A:$A,$E168)-SUMIFS('RAW_유기농_8월'!$H:$H,'RAW_유기농_8월'!$D:$D,$C168,'RAW_유기농_8월'!$A:$A,$E168)))</f>
        <v/>
      </c>
      <c r="Q168" s="7" t="str">
        <f>IF($C168="","",IF(COUNTA('RAW_유기농_10월'!$A:$A)&lt;=1,"",SUMIFS('RAW_유기농_10월'!$H:$H,'RAW_유기농_10월'!$D:$D,$C168,'RAW_유기농_10월'!$A:$A,$E168)-SUMIFS('RAW_유기농_9월'!$H:$H,'RAW_유기농_9월'!$D:$D,$C168,'RAW_유기농_9월'!$A:$A,$E168)))</f>
        <v/>
      </c>
      <c r="R168" s="7" t="str">
        <f>IF($C168="","",IF(COUNTA('RAW_유기농_11-12월'!$A:$A)&lt;=1,"",SUMIFS('RAW_유기농_11-12월'!$H:$H,'RAW_유기농_11-12월'!$D:$D,$C168,'RAW_유기농_11-12월'!$A:$A,$E168)-SUMIFS('RAW_유기농_10월'!$H:$H,'RAW_유기농_10월'!$D:$D,$C168,'RAW_유기농_10월'!$A:$A,$E168)))</f>
        <v/>
      </c>
      <c r="S168" s="17" t="str">
        <f t="shared" si="4"/>
        <v/>
      </c>
      <c r="T168" s="17" t="str">
        <f t="shared" si="5"/>
        <v/>
      </c>
      <c r="U168" s="7">
        <f>IF($C168="",0,IF('설정'!$B$4=0,0,CHOOSE('설정'!$B$4,COUNTIFS('RAW_유기농_7월'!$D:$D,$C168,'RAW_유기농_7월'!$A:$A,$E168),COUNTIFS('RAW_유기농_8월'!$D:$D,$C168,'RAW_유기농_8월'!$A:$A,$E168),COUNTIFS('RAW_유기농_9월'!$D:$D,$C168,'RAW_유기농_9월'!$A:$A,$E168),COUNTIFS('RAW_유기농_10월'!$D:$D,$C168,'RAW_유기농_10월'!$A:$A,$E168),COUNTIFS('RAW_유기농_11-12월'!$D:$D,$C168,'RAW_유기농_11-12월'!$A:$A,$E168))))</f>
        <v>0</v>
      </c>
    </row>
    <row r="169" ht="15.75" customHeight="1">
      <c r="A169" s="5"/>
      <c r="B169" s="5"/>
      <c r="C169" s="5"/>
      <c r="D169" s="6"/>
      <c r="E169" s="5"/>
      <c r="F169" s="7" t="str">
        <f>IF($C169="","",IF('설정'!$B$4=0,"",CHOOSE('설정'!$B$4,SUMIFS('RAW_유기농_7월'!$F:$F,'RAW_유기농_7월'!$D:$D,$C169,'RAW_유기농_7월'!$A:$A,$E169),SUMIFS('RAW_유기농_8월'!$F:$F,'RAW_유기농_8월'!$D:$D,$C169,'RAW_유기농_8월'!$A:$A,$E169),SUMIFS('RAW_유기농_9월'!$F:$F,'RAW_유기농_9월'!$D:$D,$C169,'RAW_유기농_9월'!$A:$A,$E169),SUMIFS('RAW_유기농_10월'!$F:$F,'RAW_유기농_10월'!$D:$D,$C169,'RAW_유기농_10월'!$A:$A,$E169),SUMIFS('RAW_유기농_11-12월'!$F:$F,'RAW_유기농_11-12월'!$D:$D,$C169,'RAW_유기농_11-12월'!$A:$A,$E169))))</f>
        <v/>
      </c>
      <c r="G169" s="7" t="str">
        <f>IF($C169="","",IF('설정'!$B$4=0,"",CHOOSE('설정'!$B$4,SUMIFS('RAW_유기농_7월'!$G:$G,'RAW_유기농_7월'!$D:$D,$C169,'RAW_유기농_7월'!$A:$A,$E169),SUMIFS('RAW_유기농_8월'!$G:$G,'RAW_유기농_8월'!$D:$D,$C169,'RAW_유기농_8월'!$A:$A,$E169),SUMIFS('RAW_유기농_9월'!$G:$G,'RAW_유기농_9월'!$D:$D,$C169,'RAW_유기농_9월'!$A:$A,$E169),SUMIFS('RAW_유기농_10월'!$G:$G,'RAW_유기농_10월'!$D:$D,$C169,'RAW_유기농_10월'!$A:$A,$E169),SUMIFS('RAW_유기농_11-12월'!$G:$G,'RAW_유기농_11-12월'!$D:$D,$C169,'RAW_유기농_11-12월'!$A:$A,$E169))))</f>
        <v/>
      </c>
      <c r="H169" s="7" t="str">
        <f>IF($C169="","",IF('설정'!$B$4=0,"",CHOOSE('설정'!$B$4,SUMIFS('RAW_유기농_7월'!$H:$H,'RAW_유기농_7월'!$D:$D,$C169,'RAW_유기농_7월'!$A:$A,$E169),SUMIFS('RAW_유기농_8월'!$H:$H,'RAW_유기농_8월'!$D:$D,$C169,'RAW_유기농_8월'!$A:$A,$E169),SUMIFS('RAW_유기농_9월'!$H:$H,'RAW_유기농_9월'!$D:$D,$C169,'RAW_유기농_9월'!$A:$A,$E169),SUMIFS('RAW_유기농_10월'!$H:$H,'RAW_유기농_10월'!$D:$D,$C169,'RAW_유기농_10월'!$A:$A,$E169),SUMIFS('RAW_유기농_11-12월'!$H:$H,'RAW_유기농_11-12월'!$D:$D,$C169,'RAW_유기농_11-12월'!$A:$A,$E169))))</f>
        <v/>
      </c>
      <c r="I169" s="17" t="str">
        <f>IF($C169="","",IF(COUNTIFS('RAW_유기농_7월'!$D:$D,$C169,'RAW_유기농_7월'!$A:$A,$E169)&gt;0,"O",""))</f>
        <v/>
      </c>
      <c r="J169" s="17" t="str">
        <f>IF($C169="","",IF(COUNTIFS('RAW_유기농_8월'!$D:$D,$C169,'RAW_유기농_8월'!$A:$A,$E169)&gt;0,"O",""))</f>
        <v/>
      </c>
      <c r="K169" s="17" t="str">
        <f>IF($C169="","",IF(COUNTIFS('RAW_유기농_9월'!$D:$D,$C169,'RAW_유기농_9월'!$A:$A,$E169)&gt;0,"O",""))</f>
        <v/>
      </c>
      <c r="L169" s="17" t="str">
        <f>IF($C169="","",IF(COUNTIFS('RAW_유기농_10월'!$D:$D,$C169,'RAW_유기농_10월'!$A:$A,$E169)&gt;0,"O",""))</f>
        <v/>
      </c>
      <c r="M169" s="17" t="str">
        <f>IF($C169="","",IF(COUNTIFS('RAW_유기농_11-12월'!$D:$D,$C169,'RAW_유기농_11-12월'!$A:$A,$E169)&gt;0,"O",""))</f>
        <v/>
      </c>
      <c r="N169" s="7" t="str">
        <f>IF($C169="","",IF(COUNTA('RAW_유기농_7월'!$A:$A)&lt;=1,"",SUMIFS('RAW_유기농_7월'!$H:$H,'RAW_유기농_7월'!$D:$D,$C169,'RAW_유기농_7월'!$A:$A,$E169)))</f>
        <v/>
      </c>
      <c r="O169" s="7" t="str">
        <f>IF($C169="","",IF(COUNTA('RAW_유기농_8월'!$A:$A)&lt;=1,"",SUMIFS('RAW_유기농_8월'!$H:$H,'RAW_유기농_8월'!$D:$D,$C169,'RAW_유기농_8월'!$A:$A,$E169)-SUMIFS('RAW_유기농_7월'!$H:$H,'RAW_유기농_7월'!$D:$D,$C169,'RAW_유기농_7월'!$A:$A,$E169)))</f>
        <v/>
      </c>
      <c r="P169" s="7" t="str">
        <f>IF($C169="","",IF(COUNTA('RAW_유기농_9월'!$A:$A)&lt;=1,"",SUMIFS('RAW_유기농_9월'!$H:$H,'RAW_유기농_9월'!$D:$D,$C169,'RAW_유기농_9월'!$A:$A,$E169)-SUMIFS('RAW_유기농_8월'!$H:$H,'RAW_유기농_8월'!$D:$D,$C169,'RAW_유기농_8월'!$A:$A,$E169)))</f>
        <v/>
      </c>
      <c r="Q169" s="7" t="str">
        <f>IF($C169="","",IF(COUNTA('RAW_유기농_10월'!$A:$A)&lt;=1,"",SUMIFS('RAW_유기농_10월'!$H:$H,'RAW_유기농_10월'!$D:$D,$C169,'RAW_유기농_10월'!$A:$A,$E169)-SUMIFS('RAW_유기농_9월'!$H:$H,'RAW_유기농_9월'!$D:$D,$C169,'RAW_유기농_9월'!$A:$A,$E169)))</f>
        <v/>
      </c>
      <c r="R169" s="7" t="str">
        <f>IF($C169="","",IF(COUNTA('RAW_유기농_11-12월'!$A:$A)&lt;=1,"",SUMIFS('RAW_유기농_11-12월'!$H:$H,'RAW_유기농_11-12월'!$D:$D,$C169,'RAW_유기농_11-12월'!$A:$A,$E169)-SUMIFS('RAW_유기농_10월'!$H:$H,'RAW_유기농_10월'!$D:$D,$C169,'RAW_유기농_10월'!$A:$A,$E169)))</f>
        <v/>
      </c>
      <c r="S169" s="17" t="str">
        <f t="shared" si="4"/>
        <v/>
      </c>
      <c r="T169" s="17" t="str">
        <f t="shared" si="5"/>
        <v/>
      </c>
      <c r="U169" s="7">
        <f>IF($C169="",0,IF('설정'!$B$4=0,0,CHOOSE('설정'!$B$4,COUNTIFS('RAW_유기농_7월'!$D:$D,$C169,'RAW_유기농_7월'!$A:$A,$E169),COUNTIFS('RAW_유기농_8월'!$D:$D,$C169,'RAW_유기농_8월'!$A:$A,$E169),COUNTIFS('RAW_유기농_9월'!$D:$D,$C169,'RAW_유기농_9월'!$A:$A,$E169),COUNTIFS('RAW_유기농_10월'!$D:$D,$C169,'RAW_유기농_10월'!$A:$A,$E169),COUNTIFS('RAW_유기농_11-12월'!$D:$D,$C169,'RAW_유기농_11-12월'!$A:$A,$E169))))</f>
        <v>0</v>
      </c>
    </row>
    <row r="170" ht="15.75" customHeight="1">
      <c r="A170" s="5"/>
      <c r="B170" s="5"/>
      <c r="C170" s="5"/>
      <c r="D170" s="6"/>
      <c r="E170" s="5"/>
      <c r="F170" s="7" t="str">
        <f>IF($C170="","",IF('설정'!$B$4=0,"",CHOOSE('설정'!$B$4,SUMIFS('RAW_유기농_7월'!$F:$F,'RAW_유기농_7월'!$D:$D,$C170,'RAW_유기농_7월'!$A:$A,$E170),SUMIFS('RAW_유기농_8월'!$F:$F,'RAW_유기농_8월'!$D:$D,$C170,'RAW_유기농_8월'!$A:$A,$E170),SUMIFS('RAW_유기농_9월'!$F:$F,'RAW_유기농_9월'!$D:$D,$C170,'RAW_유기농_9월'!$A:$A,$E170),SUMIFS('RAW_유기농_10월'!$F:$F,'RAW_유기농_10월'!$D:$D,$C170,'RAW_유기농_10월'!$A:$A,$E170),SUMIFS('RAW_유기농_11-12월'!$F:$F,'RAW_유기농_11-12월'!$D:$D,$C170,'RAW_유기농_11-12월'!$A:$A,$E170))))</f>
        <v/>
      </c>
      <c r="G170" s="7" t="str">
        <f>IF($C170="","",IF('설정'!$B$4=0,"",CHOOSE('설정'!$B$4,SUMIFS('RAW_유기농_7월'!$G:$G,'RAW_유기농_7월'!$D:$D,$C170,'RAW_유기농_7월'!$A:$A,$E170),SUMIFS('RAW_유기농_8월'!$G:$G,'RAW_유기농_8월'!$D:$D,$C170,'RAW_유기농_8월'!$A:$A,$E170),SUMIFS('RAW_유기농_9월'!$G:$G,'RAW_유기농_9월'!$D:$D,$C170,'RAW_유기농_9월'!$A:$A,$E170),SUMIFS('RAW_유기농_10월'!$G:$G,'RAW_유기농_10월'!$D:$D,$C170,'RAW_유기농_10월'!$A:$A,$E170),SUMIFS('RAW_유기농_11-12월'!$G:$G,'RAW_유기농_11-12월'!$D:$D,$C170,'RAW_유기농_11-12월'!$A:$A,$E170))))</f>
        <v/>
      </c>
      <c r="H170" s="7" t="str">
        <f>IF($C170="","",IF('설정'!$B$4=0,"",CHOOSE('설정'!$B$4,SUMIFS('RAW_유기농_7월'!$H:$H,'RAW_유기농_7월'!$D:$D,$C170,'RAW_유기농_7월'!$A:$A,$E170),SUMIFS('RAW_유기농_8월'!$H:$H,'RAW_유기농_8월'!$D:$D,$C170,'RAW_유기농_8월'!$A:$A,$E170),SUMIFS('RAW_유기농_9월'!$H:$H,'RAW_유기농_9월'!$D:$D,$C170,'RAW_유기농_9월'!$A:$A,$E170),SUMIFS('RAW_유기농_10월'!$H:$H,'RAW_유기농_10월'!$D:$D,$C170,'RAW_유기농_10월'!$A:$A,$E170),SUMIFS('RAW_유기농_11-12월'!$H:$H,'RAW_유기농_11-12월'!$D:$D,$C170,'RAW_유기농_11-12월'!$A:$A,$E170))))</f>
        <v/>
      </c>
      <c r="I170" s="17" t="str">
        <f>IF($C170="","",IF(COUNTIFS('RAW_유기농_7월'!$D:$D,$C170,'RAW_유기농_7월'!$A:$A,$E170)&gt;0,"O",""))</f>
        <v/>
      </c>
      <c r="J170" s="17" t="str">
        <f>IF($C170="","",IF(COUNTIFS('RAW_유기농_8월'!$D:$D,$C170,'RAW_유기농_8월'!$A:$A,$E170)&gt;0,"O",""))</f>
        <v/>
      </c>
      <c r="K170" s="17" t="str">
        <f>IF($C170="","",IF(COUNTIFS('RAW_유기농_9월'!$D:$D,$C170,'RAW_유기농_9월'!$A:$A,$E170)&gt;0,"O",""))</f>
        <v/>
      </c>
      <c r="L170" s="17" t="str">
        <f>IF($C170="","",IF(COUNTIFS('RAW_유기농_10월'!$D:$D,$C170,'RAW_유기농_10월'!$A:$A,$E170)&gt;0,"O",""))</f>
        <v/>
      </c>
      <c r="M170" s="17" t="str">
        <f>IF($C170="","",IF(COUNTIFS('RAW_유기농_11-12월'!$D:$D,$C170,'RAW_유기농_11-12월'!$A:$A,$E170)&gt;0,"O",""))</f>
        <v/>
      </c>
      <c r="N170" s="7" t="str">
        <f>IF($C170="","",IF(COUNTA('RAW_유기농_7월'!$A:$A)&lt;=1,"",SUMIFS('RAW_유기농_7월'!$H:$H,'RAW_유기농_7월'!$D:$D,$C170,'RAW_유기농_7월'!$A:$A,$E170)))</f>
        <v/>
      </c>
      <c r="O170" s="7" t="str">
        <f>IF($C170="","",IF(COUNTA('RAW_유기농_8월'!$A:$A)&lt;=1,"",SUMIFS('RAW_유기농_8월'!$H:$H,'RAW_유기농_8월'!$D:$D,$C170,'RAW_유기농_8월'!$A:$A,$E170)-SUMIFS('RAW_유기농_7월'!$H:$H,'RAW_유기농_7월'!$D:$D,$C170,'RAW_유기농_7월'!$A:$A,$E170)))</f>
        <v/>
      </c>
      <c r="P170" s="7" t="str">
        <f>IF($C170="","",IF(COUNTA('RAW_유기농_9월'!$A:$A)&lt;=1,"",SUMIFS('RAW_유기농_9월'!$H:$H,'RAW_유기농_9월'!$D:$D,$C170,'RAW_유기농_9월'!$A:$A,$E170)-SUMIFS('RAW_유기농_8월'!$H:$H,'RAW_유기농_8월'!$D:$D,$C170,'RAW_유기농_8월'!$A:$A,$E170)))</f>
        <v/>
      </c>
      <c r="Q170" s="7" t="str">
        <f>IF($C170="","",IF(COUNTA('RAW_유기농_10월'!$A:$A)&lt;=1,"",SUMIFS('RAW_유기농_10월'!$H:$H,'RAW_유기농_10월'!$D:$D,$C170,'RAW_유기농_10월'!$A:$A,$E170)-SUMIFS('RAW_유기농_9월'!$H:$H,'RAW_유기농_9월'!$D:$D,$C170,'RAW_유기농_9월'!$A:$A,$E170)))</f>
        <v/>
      </c>
      <c r="R170" s="7" t="str">
        <f>IF($C170="","",IF(COUNTA('RAW_유기농_11-12월'!$A:$A)&lt;=1,"",SUMIFS('RAW_유기농_11-12월'!$H:$H,'RAW_유기농_11-12월'!$D:$D,$C170,'RAW_유기농_11-12월'!$A:$A,$E170)-SUMIFS('RAW_유기농_10월'!$H:$H,'RAW_유기농_10월'!$D:$D,$C170,'RAW_유기농_10월'!$A:$A,$E170)))</f>
        <v/>
      </c>
      <c r="S170" s="17" t="str">
        <f t="shared" si="4"/>
        <v/>
      </c>
      <c r="T170" s="17" t="str">
        <f t="shared" si="5"/>
        <v/>
      </c>
      <c r="U170" s="7">
        <f>IF($C170="",0,IF('설정'!$B$4=0,0,CHOOSE('설정'!$B$4,COUNTIFS('RAW_유기농_7월'!$D:$D,$C170,'RAW_유기농_7월'!$A:$A,$E170),COUNTIFS('RAW_유기농_8월'!$D:$D,$C170,'RAW_유기농_8월'!$A:$A,$E170),COUNTIFS('RAW_유기농_9월'!$D:$D,$C170,'RAW_유기농_9월'!$A:$A,$E170),COUNTIFS('RAW_유기농_10월'!$D:$D,$C170,'RAW_유기농_10월'!$A:$A,$E170),COUNTIFS('RAW_유기농_11-12월'!$D:$D,$C170,'RAW_유기농_11-12월'!$A:$A,$E170))))</f>
        <v>0</v>
      </c>
    </row>
    <row r="171" ht="15.75" customHeight="1">
      <c r="A171" s="5"/>
      <c r="B171" s="5"/>
      <c r="C171" s="5"/>
      <c r="D171" s="6"/>
      <c r="E171" s="5"/>
      <c r="F171" s="7" t="str">
        <f>IF($C171="","",IF('설정'!$B$4=0,"",CHOOSE('설정'!$B$4,SUMIFS('RAW_유기농_7월'!$F:$F,'RAW_유기농_7월'!$D:$D,$C171,'RAW_유기농_7월'!$A:$A,$E171),SUMIFS('RAW_유기농_8월'!$F:$F,'RAW_유기농_8월'!$D:$D,$C171,'RAW_유기농_8월'!$A:$A,$E171),SUMIFS('RAW_유기농_9월'!$F:$F,'RAW_유기농_9월'!$D:$D,$C171,'RAW_유기농_9월'!$A:$A,$E171),SUMIFS('RAW_유기농_10월'!$F:$F,'RAW_유기농_10월'!$D:$D,$C171,'RAW_유기농_10월'!$A:$A,$E171),SUMIFS('RAW_유기농_11-12월'!$F:$F,'RAW_유기농_11-12월'!$D:$D,$C171,'RAW_유기농_11-12월'!$A:$A,$E171))))</f>
        <v/>
      </c>
      <c r="G171" s="7" t="str">
        <f>IF($C171="","",IF('설정'!$B$4=0,"",CHOOSE('설정'!$B$4,SUMIFS('RAW_유기농_7월'!$G:$G,'RAW_유기농_7월'!$D:$D,$C171,'RAW_유기농_7월'!$A:$A,$E171),SUMIFS('RAW_유기농_8월'!$G:$G,'RAW_유기농_8월'!$D:$D,$C171,'RAW_유기농_8월'!$A:$A,$E171),SUMIFS('RAW_유기농_9월'!$G:$G,'RAW_유기농_9월'!$D:$D,$C171,'RAW_유기농_9월'!$A:$A,$E171),SUMIFS('RAW_유기농_10월'!$G:$G,'RAW_유기농_10월'!$D:$D,$C171,'RAW_유기농_10월'!$A:$A,$E171),SUMIFS('RAW_유기농_11-12월'!$G:$G,'RAW_유기농_11-12월'!$D:$D,$C171,'RAW_유기농_11-12월'!$A:$A,$E171))))</f>
        <v/>
      </c>
      <c r="H171" s="7" t="str">
        <f>IF($C171="","",IF('설정'!$B$4=0,"",CHOOSE('설정'!$B$4,SUMIFS('RAW_유기농_7월'!$H:$H,'RAW_유기농_7월'!$D:$D,$C171,'RAW_유기농_7월'!$A:$A,$E171),SUMIFS('RAW_유기농_8월'!$H:$H,'RAW_유기농_8월'!$D:$D,$C171,'RAW_유기농_8월'!$A:$A,$E171),SUMIFS('RAW_유기농_9월'!$H:$H,'RAW_유기농_9월'!$D:$D,$C171,'RAW_유기농_9월'!$A:$A,$E171),SUMIFS('RAW_유기농_10월'!$H:$H,'RAW_유기농_10월'!$D:$D,$C171,'RAW_유기농_10월'!$A:$A,$E171),SUMIFS('RAW_유기농_11-12월'!$H:$H,'RAW_유기농_11-12월'!$D:$D,$C171,'RAW_유기농_11-12월'!$A:$A,$E171))))</f>
        <v/>
      </c>
      <c r="I171" s="17" t="str">
        <f>IF($C171="","",IF(COUNTIFS('RAW_유기농_7월'!$D:$D,$C171,'RAW_유기농_7월'!$A:$A,$E171)&gt;0,"O",""))</f>
        <v/>
      </c>
      <c r="J171" s="17" t="str">
        <f>IF($C171="","",IF(COUNTIFS('RAW_유기농_8월'!$D:$D,$C171,'RAW_유기농_8월'!$A:$A,$E171)&gt;0,"O",""))</f>
        <v/>
      </c>
      <c r="K171" s="17" t="str">
        <f>IF($C171="","",IF(COUNTIFS('RAW_유기농_9월'!$D:$D,$C171,'RAW_유기농_9월'!$A:$A,$E171)&gt;0,"O",""))</f>
        <v/>
      </c>
      <c r="L171" s="17" t="str">
        <f>IF($C171="","",IF(COUNTIFS('RAW_유기농_10월'!$D:$D,$C171,'RAW_유기농_10월'!$A:$A,$E171)&gt;0,"O",""))</f>
        <v/>
      </c>
      <c r="M171" s="17" t="str">
        <f>IF($C171="","",IF(COUNTIFS('RAW_유기농_11-12월'!$D:$D,$C171,'RAW_유기농_11-12월'!$A:$A,$E171)&gt;0,"O",""))</f>
        <v/>
      </c>
      <c r="N171" s="7" t="str">
        <f>IF($C171="","",IF(COUNTA('RAW_유기농_7월'!$A:$A)&lt;=1,"",SUMIFS('RAW_유기농_7월'!$H:$H,'RAW_유기농_7월'!$D:$D,$C171,'RAW_유기농_7월'!$A:$A,$E171)))</f>
        <v/>
      </c>
      <c r="O171" s="7" t="str">
        <f>IF($C171="","",IF(COUNTA('RAW_유기농_8월'!$A:$A)&lt;=1,"",SUMIFS('RAW_유기농_8월'!$H:$H,'RAW_유기농_8월'!$D:$D,$C171,'RAW_유기농_8월'!$A:$A,$E171)-SUMIFS('RAW_유기농_7월'!$H:$H,'RAW_유기농_7월'!$D:$D,$C171,'RAW_유기농_7월'!$A:$A,$E171)))</f>
        <v/>
      </c>
      <c r="P171" s="7" t="str">
        <f>IF($C171="","",IF(COUNTA('RAW_유기농_9월'!$A:$A)&lt;=1,"",SUMIFS('RAW_유기농_9월'!$H:$H,'RAW_유기농_9월'!$D:$D,$C171,'RAW_유기농_9월'!$A:$A,$E171)-SUMIFS('RAW_유기농_8월'!$H:$H,'RAW_유기농_8월'!$D:$D,$C171,'RAW_유기농_8월'!$A:$A,$E171)))</f>
        <v/>
      </c>
      <c r="Q171" s="7" t="str">
        <f>IF($C171="","",IF(COUNTA('RAW_유기농_10월'!$A:$A)&lt;=1,"",SUMIFS('RAW_유기농_10월'!$H:$H,'RAW_유기농_10월'!$D:$D,$C171,'RAW_유기농_10월'!$A:$A,$E171)-SUMIFS('RAW_유기농_9월'!$H:$H,'RAW_유기농_9월'!$D:$D,$C171,'RAW_유기농_9월'!$A:$A,$E171)))</f>
        <v/>
      </c>
      <c r="R171" s="7" t="str">
        <f>IF($C171="","",IF(COUNTA('RAW_유기농_11-12월'!$A:$A)&lt;=1,"",SUMIFS('RAW_유기농_11-12월'!$H:$H,'RAW_유기농_11-12월'!$D:$D,$C171,'RAW_유기농_11-12월'!$A:$A,$E171)-SUMIFS('RAW_유기농_10월'!$H:$H,'RAW_유기농_10월'!$D:$D,$C171,'RAW_유기농_10월'!$A:$A,$E171)))</f>
        <v/>
      </c>
      <c r="S171" s="17" t="str">
        <f t="shared" si="4"/>
        <v/>
      </c>
      <c r="T171" s="17" t="str">
        <f t="shared" si="5"/>
        <v/>
      </c>
      <c r="U171" s="7">
        <f>IF($C171="",0,IF('설정'!$B$4=0,0,CHOOSE('설정'!$B$4,COUNTIFS('RAW_유기농_7월'!$D:$D,$C171,'RAW_유기농_7월'!$A:$A,$E171),COUNTIFS('RAW_유기농_8월'!$D:$D,$C171,'RAW_유기농_8월'!$A:$A,$E171),COUNTIFS('RAW_유기농_9월'!$D:$D,$C171,'RAW_유기농_9월'!$A:$A,$E171),COUNTIFS('RAW_유기농_10월'!$D:$D,$C171,'RAW_유기농_10월'!$A:$A,$E171),COUNTIFS('RAW_유기농_11-12월'!$D:$D,$C171,'RAW_유기농_11-12월'!$A:$A,$E171))))</f>
        <v>0</v>
      </c>
    </row>
    <row r="172" ht="15.75" customHeight="1">
      <c r="A172" s="5"/>
      <c r="B172" s="5"/>
      <c r="C172" s="5"/>
      <c r="D172" s="6"/>
      <c r="E172" s="5"/>
      <c r="F172" s="7" t="str">
        <f>IF($C172="","",IF('설정'!$B$4=0,"",CHOOSE('설정'!$B$4,SUMIFS('RAW_유기농_7월'!$F:$F,'RAW_유기농_7월'!$D:$D,$C172,'RAW_유기농_7월'!$A:$A,$E172),SUMIFS('RAW_유기농_8월'!$F:$F,'RAW_유기농_8월'!$D:$D,$C172,'RAW_유기농_8월'!$A:$A,$E172),SUMIFS('RAW_유기농_9월'!$F:$F,'RAW_유기농_9월'!$D:$D,$C172,'RAW_유기농_9월'!$A:$A,$E172),SUMIFS('RAW_유기농_10월'!$F:$F,'RAW_유기농_10월'!$D:$D,$C172,'RAW_유기농_10월'!$A:$A,$E172),SUMIFS('RAW_유기농_11-12월'!$F:$F,'RAW_유기농_11-12월'!$D:$D,$C172,'RAW_유기농_11-12월'!$A:$A,$E172))))</f>
        <v/>
      </c>
      <c r="G172" s="7" t="str">
        <f>IF($C172="","",IF('설정'!$B$4=0,"",CHOOSE('설정'!$B$4,SUMIFS('RAW_유기농_7월'!$G:$G,'RAW_유기농_7월'!$D:$D,$C172,'RAW_유기농_7월'!$A:$A,$E172),SUMIFS('RAW_유기농_8월'!$G:$G,'RAW_유기농_8월'!$D:$D,$C172,'RAW_유기농_8월'!$A:$A,$E172),SUMIFS('RAW_유기농_9월'!$G:$G,'RAW_유기농_9월'!$D:$D,$C172,'RAW_유기농_9월'!$A:$A,$E172),SUMIFS('RAW_유기농_10월'!$G:$G,'RAW_유기농_10월'!$D:$D,$C172,'RAW_유기농_10월'!$A:$A,$E172),SUMIFS('RAW_유기농_11-12월'!$G:$G,'RAW_유기농_11-12월'!$D:$D,$C172,'RAW_유기농_11-12월'!$A:$A,$E172))))</f>
        <v/>
      </c>
      <c r="H172" s="7" t="str">
        <f>IF($C172="","",IF('설정'!$B$4=0,"",CHOOSE('설정'!$B$4,SUMIFS('RAW_유기농_7월'!$H:$H,'RAW_유기농_7월'!$D:$D,$C172,'RAW_유기농_7월'!$A:$A,$E172),SUMIFS('RAW_유기농_8월'!$H:$H,'RAW_유기농_8월'!$D:$D,$C172,'RAW_유기농_8월'!$A:$A,$E172),SUMIFS('RAW_유기농_9월'!$H:$H,'RAW_유기농_9월'!$D:$D,$C172,'RAW_유기농_9월'!$A:$A,$E172),SUMIFS('RAW_유기농_10월'!$H:$H,'RAW_유기농_10월'!$D:$D,$C172,'RAW_유기농_10월'!$A:$A,$E172),SUMIFS('RAW_유기농_11-12월'!$H:$H,'RAW_유기농_11-12월'!$D:$D,$C172,'RAW_유기농_11-12월'!$A:$A,$E172))))</f>
        <v/>
      </c>
      <c r="I172" s="17" t="str">
        <f>IF($C172="","",IF(COUNTIFS('RAW_유기농_7월'!$D:$D,$C172,'RAW_유기농_7월'!$A:$A,$E172)&gt;0,"O",""))</f>
        <v/>
      </c>
      <c r="J172" s="17" t="str">
        <f>IF($C172="","",IF(COUNTIFS('RAW_유기농_8월'!$D:$D,$C172,'RAW_유기농_8월'!$A:$A,$E172)&gt;0,"O",""))</f>
        <v/>
      </c>
      <c r="K172" s="17" t="str">
        <f>IF($C172="","",IF(COUNTIFS('RAW_유기농_9월'!$D:$D,$C172,'RAW_유기농_9월'!$A:$A,$E172)&gt;0,"O",""))</f>
        <v/>
      </c>
      <c r="L172" s="17" t="str">
        <f>IF($C172="","",IF(COUNTIFS('RAW_유기농_10월'!$D:$D,$C172,'RAW_유기농_10월'!$A:$A,$E172)&gt;0,"O",""))</f>
        <v/>
      </c>
      <c r="M172" s="17" t="str">
        <f>IF($C172="","",IF(COUNTIFS('RAW_유기농_11-12월'!$D:$D,$C172,'RAW_유기농_11-12월'!$A:$A,$E172)&gt;0,"O",""))</f>
        <v/>
      </c>
      <c r="N172" s="7" t="str">
        <f>IF($C172="","",IF(COUNTA('RAW_유기농_7월'!$A:$A)&lt;=1,"",SUMIFS('RAW_유기농_7월'!$H:$H,'RAW_유기농_7월'!$D:$D,$C172,'RAW_유기농_7월'!$A:$A,$E172)))</f>
        <v/>
      </c>
      <c r="O172" s="7" t="str">
        <f>IF($C172="","",IF(COUNTA('RAW_유기농_8월'!$A:$A)&lt;=1,"",SUMIFS('RAW_유기농_8월'!$H:$H,'RAW_유기농_8월'!$D:$D,$C172,'RAW_유기농_8월'!$A:$A,$E172)-SUMIFS('RAW_유기농_7월'!$H:$H,'RAW_유기농_7월'!$D:$D,$C172,'RAW_유기농_7월'!$A:$A,$E172)))</f>
        <v/>
      </c>
      <c r="P172" s="7" t="str">
        <f>IF($C172="","",IF(COUNTA('RAW_유기농_9월'!$A:$A)&lt;=1,"",SUMIFS('RAW_유기농_9월'!$H:$H,'RAW_유기농_9월'!$D:$D,$C172,'RAW_유기농_9월'!$A:$A,$E172)-SUMIFS('RAW_유기농_8월'!$H:$H,'RAW_유기농_8월'!$D:$D,$C172,'RAW_유기농_8월'!$A:$A,$E172)))</f>
        <v/>
      </c>
      <c r="Q172" s="7" t="str">
        <f>IF($C172="","",IF(COUNTA('RAW_유기농_10월'!$A:$A)&lt;=1,"",SUMIFS('RAW_유기농_10월'!$H:$H,'RAW_유기농_10월'!$D:$D,$C172,'RAW_유기농_10월'!$A:$A,$E172)-SUMIFS('RAW_유기농_9월'!$H:$H,'RAW_유기농_9월'!$D:$D,$C172,'RAW_유기농_9월'!$A:$A,$E172)))</f>
        <v/>
      </c>
      <c r="R172" s="7" t="str">
        <f>IF($C172="","",IF(COUNTA('RAW_유기농_11-12월'!$A:$A)&lt;=1,"",SUMIFS('RAW_유기농_11-12월'!$H:$H,'RAW_유기농_11-12월'!$D:$D,$C172,'RAW_유기농_11-12월'!$A:$A,$E172)-SUMIFS('RAW_유기농_10월'!$H:$H,'RAW_유기농_10월'!$D:$D,$C172,'RAW_유기농_10월'!$A:$A,$E172)))</f>
        <v/>
      </c>
      <c r="S172" s="17" t="str">
        <f t="shared" si="4"/>
        <v/>
      </c>
      <c r="T172" s="17" t="str">
        <f t="shared" si="5"/>
        <v/>
      </c>
      <c r="U172" s="7">
        <f>IF($C172="",0,IF('설정'!$B$4=0,0,CHOOSE('설정'!$B$4,COUNTIFS('RAW_유기농_7월'!$D:$D,$C172,'RAW_유기농_7월'!$A:$A,$E172),COUNTIFS('RAW_유기농_8월'!$D:$D,$C172,'RAW_유기농_8월'!$A:$A,$E172),COUNTIFS('RAW_유기농_9월'!$D:$D,$C172,'RAW_유기농_9월'!$A:$A,$E172),COUNTIFS('RAW_유기농_10월'!$D:$D,$C172,'RAW_유기농_10월'!$A:$A,$E172),COUNTIFS('RAW_유기농_11-12월'!$D:$D,$C172,'RAW_유기농_11-12월'!$A:$A,$E172))))</f>
        <v>0</v>
      </c>
    </row>
    <row r="173" ht="15.75" customHeight="1">
      <c r="A173" s="5"/>
      <c r="B173" s="5"/>
      <c r="C173" s="5"/>
      <c r="D173" s="6"/>
      <c r="E173" s="5"/>
      <c r="F173" s="7" t="str">
        <f>IF($C173="","",IF('설정'!$B$4=0,"",CHOOSE('설정'!$B$4,SUMIFS('RAW_유기농_7월'!$F:$F,'RAW_유기농_7월'!$D:$D,$C173,'RAW_유기농_7월'!$A:$A,$E173),SUMIFS('RAW_유기농_8월'!$F:$F,'RAW_유기농_8월'!$D:$D,$C173,'RAW_유기농_8월'!$A:$A,$E173),SUMIFS('RAW_유기농_9월'!$F:$F,'RAW_유기농_9월'!$D:$D,$C173,'RAW_유기농_9월'!$A:$A,$E173),SUMIFS('RAW_유기농_10월'!$F:$F,'RAW_유기농_10월'!$D:$D,$C173,'RAW_유기농_10월'!$A:$A,$E173),SUMIFS('RAW_유기농_11-12월'!$F:$F,'RAW_유기농_11-12월'!$D:$D,$C173,'RAW_유기농_11-12월'!$A:$A,$E173))))</f>
        <v/>
      </c>
      <c r="G173" s="7" t="str">
        <f>IF($C173="","",IF('설정'!$B$4=0,"",CHOOSE('설정'!$B$4,SUMIFS('RAW_유기농_7월'!$G:$G,'RAW_유기농_7월'!$D:$D,$C173,'RAW_유기농_7월'!$A:$A,$E173),SUMIFS('RAW_유기농_8월'!$G:$G,'RAW_유기농_8월'!$D:$D,$C173,'RAW_유기농_8월'!$A:$A,$E173),SUMIFS('RAW_유기농_9월'!$G:$G,'RAW_유기농_9월'!$D:$D,$C173,'RAW_유기농_9월'!$A:$A,$E173),SUMIFS('RAW_유기농_10월'!$G:$G,'RAW_유기농_10월'!$D:$D,$C173,'RAW_유기농_10월'!$A:$A,$E173),SUMIFS('RAW_유기농_11-12월'!$G:$G,'RAW_유기농_11-12월'!$D:$D,$C173,'RAW_유기농_11-12월'!$A:$A,$E173))))</f>
        <v/>
      </c>
      <c r="H173" s="7" t="str">
        <f>IF($C173="","",IF('설정'!$B$4=0,"",CHOOSE('설정'!$B$4,SUMIFS('RAW_유기농_7월'!$H:$H,'RAW_유기농_7월'!$D:$D,$C173,'RAW_유기농_7월'!$A:$A,$E173),SUMIFS('RAW_유기농_8월'!$H:$H,'RAW_유기농_8월'!$D:$D,$C173,'RAW_유기농_8월'!$A:$A,$E173),SUMIFS('RAW_유기농_9월'!$H:$H,'RAW_유기농_9월'!$D:$D,$C173,'RAW_유기농_9월'!$A:$A,$E173),SUMIFS('RAW_유기농_10월'!$H:$H,'RAW_유기농_10월'!$D:$D,$C173,'RAW_유기농_10월'!$A:$A,$E173),SUMIFS('RAW_유기농_11-12월'!$H:$H,'RAW_유기농_11-12월'!$D:$D,$C173,'RAW_유기농_11-12월'!$A:$A,$E173))))</f>
        <v/>
      </c>
      <c r="I173" s="17" t="str">
        <f>IF($C173="","",IF(COUNTIFS('RAW_유기농_7월'!$D:$D,$C173,'RAW_유기농_7월'!$A:$A,$E173)&gt;0,"O",""))</f>
        <v/>
      </c>
      <c r="J173" s="17" t="str">
        <f>IF($C173="","",IF(COUNTIFS('RAW_유기농_8월'!$D:$D,$C173,'RAW_유기농_8월'!$A:$A,$E173)&gt;0,"O",""))</f>
        <v/>
      </c>
      <c r="K173" s="17" t="str">
        <f>IF($C173="","",IF(COUNTIFS('RAW_유기농_9월'!$D:$D,$C173,'RAW_유기농_9월'!$A:$A,$E173)&gt;0,"O",""))</f>
        <v/>
      </c>
      <c r="L173" s="17" t="str">
        <f>IF($C173="","",IF(COUNTIFS('RAW_유기농_10월'!$D:$D,$C173,'RAW_유기농_10월'!$A:$A,$E173)&gt;0,"O",""))</f>
        <v/>
      </c>
      <c r="M173" s="17" t="str">
        <f>IF($C173="","",IF(COUNTIFS('RAW_유기농_11-12월'!$D:$D,$C173,'RAW_유기농_11-12월'!$A:$A,$E173)&gt;0,"O",""))</f>
        <v/>
      </c>
      <c r="N173" s="7" t="str">
        <f>IF($C173="","",IF(COUNTA('RAW_유기농_7월'!$A:$A)&lt;=1,"",SUMIFS('RAW_유기농_7월'!$H:$H,'RAW_유기농_7월'!$D:$D,$C173,'RAW_유기농_7월'!$A:$A,$E173)))</f>
        <v/>
      </c>
      <c r="O173" s="7" t="str">
        <f>IF($C173="","",IF(COUNTA('RAW_유기농_8월'!$A:$A)&lt;=1,"",SUMIFS('RAW_유기농_8월'!$H:$H,'RAW_유기농_8월'!$D:$D,$C173,'RAW_유기농_8월'!$A:$A,$E173)-SUMIFS('RAW_유기농_7월'!$H:$H,'RAW_유기농_7월'!$D:$D,$C173,'RAW_유기농_7월'!$A:$A,$E173)))</f>
        <v/>
      </c>
      <c r="P173" s="7" t="str">
        <f>IF($C173="","",IF(COUNTA('RAW_유기농_9월'!$A:$A)&lt;=1,"",SUMIFS('RAW_유기농_9월'!$H:$H,'RAW_유기농_9월'!$D:$D,$C173,'RAW_유기농_9월'!$A:$A,$E173)-SUMIFS('RAW_유기농_8월'!$H:$H,'RAW_유기농_8월'!$D:$D,$C173,'RAW_유기농_8월'!$A:$A,$E173)))</f>
        <v/>
      </c>
      <c r="Q173" s="7" t="str">
        <f>IF($C173="","",IF(COUNTA('RAW_유기농_10월'!$A:$A)&lt;=1,"",SUMIFS('RAW_유기농_10월'!$H:$H,'RAW_유기농_10월'!$D:$D,$C173,'RAW_유기농_10월'!$A:$A,$E173)-SUMIFS('RAW_유기농_9월'!$H:$H,'RAW_유기농_9월'!$D:$D,$C173,'RAW_유기농_9월'!$A:$A,$E173)))</f>
        <v/>
      </c>
      <c r="R173" s="7" t="str">
        <f>IF($C173="","",IF(COUNTA('RAW_유기농_11-12월'!$A:$A)&lt;=1,"",SUMIFS('RAW_유기농_11-12월'!$H:$H,'RAW_유기농_11-12월'!$D:$D,$C173,'RAW_유기농_11-12월'!$A:$A,$E173)-SUMIFS('RAW_유기농_10월'!$H:$H,'RAW_유기농_10월'!$D:$D,$C173,'RAW_유기농_10월'!$A:$A,$E173)))</f>
        <v/>
      </c>
      <c r="S173" s="17" t="str">
        <f t="shared" si="4"/>
        <v/>
      </c>
      <c r="T173" s="17" t="str">
        <f t="shared" si="5"/>
        <v/>
      </c>
      <c r="U173" s="7">
        <f>IF($C173="",0,IF('설정'!$B$4=0,0,CHOOSE('설정'!$B$4,COUNTIFS('RAW_유기농_7월'!$D:$D,$C173,'RAW_유기농_7월'!$A:$A,$E173),COUNTIFS('RAW_유기농_8월'!$D:$D,$C173,'RAW_유기농_8월'!$A:$A,$E173),COUNTIFS('RAW_유기농_9월'!$D:$D,$C173,'RAW_유기농_9월'!$A:$A,$E173),COUNTIFS('RAW_유기농_10월'!$D:$D,$C173,'RAW_유기농_10월'!$A:$A,$E173),COUNTIFS('RAW_유기농_11-12월'!$D:$D,$C173,'RAW_유기농_11-12월'!$A:$A,$E173))))</f>
        <v>0</v>
      </c>
    </row>
    <row r="174" ht="15.75" customHeight="1">
      <c r="A174" s="5"/>
      <c r="B174" s="5"/>
      <c r="C174" s="5"/>
      <c r="D174" s="6"/>
      <c r="E174" s="5"/>
      <c r="F174" s="7" t="str">
        <f>IF($C174="","",IF('설정'!$B$4=0,"",CHOOSE('설정'!$B$4,SUMIFS('RAW_유기농_7월'!$F:$F,'RAW_유기농_7월'!$D:$D,$C174,'RAW_유기농_7월'!$A:$A,$E174),SUMIFS('RAW_유기농_8월'!$F:$F,'RAW_유기농_8월'!$D:$D,$C174,'RAW_유기농_8월'!$A:$A,$E174),SUMIFS('RAW_유기농_9월'!$F:$F,'RAW_유기농_9월'!$D:$D,$C174,'RAW_유기농_9월'!$A:$A,$E174),SUMIFS('RAW_유기농_10월'!$F:$F,'RAW_유기농_10월'!$D:$D,$C174,'RAW_유기농_10월'!$A:$A,$E174),SUMIFS('RAW_유기농_11-12월'!$F:$F,'RAW_유기농_11-12월'!$D:$D,$C174,'RAW_유기농_11-12월'!$A:$A,$E174))))</f>
        <v/>
      </c>
      <c r="G174" s="7" t="str">
        <f>IF($C174="","",IF('설정'!$B$4=0,"",CHOOSE('설정'!$B$4,SUMIFS('RAW_유기농_7월'!$G:$G,'RAW_유기농_7월'!$D:$D,$C174,'RAW_유기농_7월'!$A:$A,$E174),SUMIFS('RAW_유기농_8월'!$G:$G,'RAW_유기농_8월'!$D:$D,$C174,'RAW_유기농_8월'!$A:$A,$E174),SUMIFS('RAW_유기농_9월'!$G:$G,'RAW_유기농_9월'!$D:$D,$C174,'RAW_유기농_9월'!$A:$A,$E174),SUMIFS('RAW_유기농_10월'!$G:$G,'RAW_유기농_10월'!$D:$D,$C174,'RAW_유기농_10월'!$A:$A,$E174),SUMIFS('RAW_유기농_11-12월'!$G:$G,'RAW_유기농_11-12월'!$D:$D,$C174,'RAW_유기농_11-12월'!$A:$A,$E174))))</f>
        <v/>
      </c>
      <c r="H174" s="7" t="str">
        <f>IF($C174="","",IF('설정'!$B$4=0,"",CHOOSE('설정'!$B$4,SUMIFS('RAW_유기농_7월'!$H:$H,'RAW_유기농_7월'!$D:$D,$C174,'RAW_유기농_7월'!$A:$A,$E174),SUMIFS('RAW_유기농_8월'!$H:$H,'RAW_유기농_8월'!$D:$D,$C174,'RAW_유기농_8월'!$A:$A,$E174),SUMIFS('RAW_유기농_9월'!$H:$H,'RAW_유기농_9월'!$D:$D,$C174,'RAW_유기농_9월'!$A:$A,$E174),SUMIFS('RAW_유기농_10월'!$H:$H,'RAW_유기농_10월'!$D:$D,$C174,'RAW_유기농_10월'!$A:$A,$E174),SUMIFS('RAW_유기농_11-12월'!$H:$H,'RAW_유기농_11-12월'!$D:$D,$C174,'RAW_유기농_11-12월'!$A:$A,$E174))))</f>
        <v/>
      </c>
      <c r="I174" s="17" t="str">
        <f>IF($C174="","",IF(COUNTIFS('RAW_유기농_7월'!$D:$D,$C174,'RAW_유기농_7월'!$A:$A,$E174)&gt;0,"O",""))</f>
        <v/>
      </c>
      <c r="J174" s="17" t="str">
        <f>IF($C174="","",IF(COUNTIFS('RAW_유기농_8월'!$D:$D,$C174,'RAW_유기농_8월'!$A:$A,$E174)&gt;0,"O",""))</f>
        <v/>
      </c>
      <c r="K174" s="17" t="str">
        <f>IF($C174="","",IF(COUNTIFS('RAW_유기농_9월'!$D:$D,$C174,'RAW_유기농_9월'!$A:$A,$E174)&gt;0,"O",""))</f>
        <v/>
      </c>
      <c r="L174" s="17" t="str">
        <f>IF($C174="","",IF(COUNTIFS('RAW_유기농_10월'!$D:$D,$C174,'RAW_유기농_10월'!$A:$A,$E174)&gt;0,"O",""))</f>
        <v/>
      </c>
      <c r="M174" s="17" t="str">
        <f>IF($C174="","",IF(COUNTIFS('RAW_유기농_11-12월'!$D:$D,$C174,'RAW_유기농_11-12월'!$A:$A,$E174)&gt;0,"O",""))</f>
        <v/>
      </c>
      <c r="N174" s="7" t="str">
        <f>IF($C174="","",IF(COUNTA('RAW_유기농_7월'!$A:$A)&lt;=1,"",SUMIFS('RAW_유기농_7월'!$H:$H,'RAW_유기농_7월'!$D:$D,$C174,'RAW_유기농_7월'!$A:$A,$E174)))</f>
        <v/>
      </c>
      <c r="O174" s="7" t="str">
        <f>IF($C174="","",IF(COUNTA('RAW_유기농_8월'!$A:$A)&lt;=1,"",SUMIFS('RAW_유기농_8월'!$H:$H,'RAW_유기농_8월'!$D:$D,$C174,'RAW_유기농_8월'!$A:$A,$E174)-SUMIFS('RAW_유기농_7월'!$H:$H,'RAW_유기농_7월'!$D:$D,$C174,'RAW_유기농_7월'!$A:$A,$E174)))</f>
        <v/>
      </c>
      <c r="P174" s="7" t="str">
        <f>IF($C174="","",IF(COUNTA('RAW_유기농_9월'!$A:$A)&lt;=1,"",SUMIFS('RAW_유기농_9월'!$H:$H,'RAW_유기농_9월'!$D:$D,$C174,'RAW_유기농_9월'!$A:$A,$E174)-SUMIFS('RAW_유기농_8월'!$H:$H,'RAW_유기농_8월'!$D:$D,$C174,'RAW_유기농_8월'!$A:$A,$E174)))</f>
        <v/>
      </c>
      <c r="Q174" s="7" t="str">
        <f>IF($C174="","",IF(COUNTA('RAW_유기농_10월'!$A:$A)&lt;=1,"",SUMIFS('RAW_유기농_10월'!$H:$H,'RAW_유기농_10월'!$D:$D,$C174,'RAW_유기농_10월'!$A:$A,$E174)-SUMIFS('RAW_유기농_9월'!$H:$H,'RAW_유기농_9월'!$D:$D,$C174,'RAW_유기농_9월'!$A:$A,$E174)))</f>
        <v/>
      </c>
      <c r="R174" s="7" t="str">
        <f>IF($C174="","",IF(COUNTA('RAW_유기농_11-12월'!$A:$A)&lt;=1,"",SUMIFS('RAW_유기농_11-12월'!$H:$H,'RAW_유기농_11-12월'!$D:$D,$C174,'RAW_유기농_11-12월'!$A:$A,$E174)-SUMIFS('RAW_유기농_10월'!$H:$H,'RAW_유기농_10월'!$D:$D,$C174,'RAW_유기농_10월'!$A:$A,$E174)))</f>
        <v/>
      </c>
      <c r="S174" s="17" t="str">
        <f t="shared" si="4"/>
        <v/>
      </c>
      <c r="T174" s="17" t="str">
        <f t="shared" si="5"/>
        <v/>
      </c>
      <c r="U174" s="7">
        <f>IF($C174="",0,IF('설정'!$B$4=0,0,CHOOSE('설정'!$B$4,COUNTIFS('RAW_유기농_7월'!$D:$D,$C174,'RAW_유기농_7월'!$A:$A,$E174),COUNTIFS('RAW_유기농_8월'!$D:$D,$C174,'RAW_유기농_8월'!$A:$A,$E174),COUNTIFS('RAW_유기농_9월'!$D:$D,$C174,'RAW_유기농_9월'!$A:$A,$E174),COUNTIFS('RAW_유기농_10월'!$D:$D,$C174,'RAW_유기농_10월'!$A:$A,$E174),COUNTIFS('RAW_유기농_11-12월'!$D:$D,$C174,'RAW_유기농_11-12월'!$A:$A,$E174))))</f>
        <v>0</v>
      </c>
    </row>
    <row r="175" ht="15.75" customHeight="1">
      <c r="A175" s="5"/>
      <c r="B175" s="5"/>
      <c r="C175" s="5"/>
      <c r="D175" s="6"/>
      <c r="E175" s="5"/>
      <c r="F175" s="7" t="str">
        <f>IF($C175="","",IF('설정'!$B$4=0,"",CHOOSE('설정'!$B$4,SUMIFS('RAW_유기농_7월'!$F:$F,'RAW_유기농_7월'!$D:$D,$C175,'RAW_유기농_7월'!$A:$A,$E175),SUMIFS('RAW_유기농_8월'!$F:$F,'RAW_유기농_8월'!$D:$D,$C175,'RAW_유기농_8월'!$A:$A,$E175),SUMIFS('RAW_유기농_9월'!$F:$F,'RAW_유기농_9월'!$D:$D,$C175,'RAW_유기농_9월'!$A:$A,$E175),SUMIFS('RAW_유기농_10월'!$F:$F,'RAW_유기농_10월'!$D:$D,$C175,'RAW_유기농_10월'!$A:$A,$E175),SUMIFS('RAW_유기농_11-12월'!$F:$F,'RAW_유기농_11-12월'!$D:$D,$C175,'RAW_유기농_11-12월'!$A:$A,$E175))))</f>
        <v/>
      </c>
      <c r="G175" s="7" t="str">
        <f>IF($C175="","",IF('설정'!$B$4=0,"",CHOOSE('설정'!$B$4,SUMIFS('RAW_유기농_7월'!$G:$G,'RAW_유기농_7월'!$D:$D,$C175,'RAW_유기농_7월'!$A:$A,$E175),SUMIFS('RAW_유기농_8월'!$G:$G,'RAW_유기농_8월'!$D:$D,$C175,'RAW_유기농_8월'!$A:$A,$E175),SUMIFS('RAW_유기농_9월'!$G:$G,'RAW_유기농_9월'!$D:$D,$C175,'RAW_유기농_9월'!$A:$A,$E175),SUMIFS('RAW_유기농_10월'!$G:$G,'RAW_유기농_10월'!$D:$D,$C175,'RAW_유기농_10월'!$A:$A,$E175),SUMIFS('RAW_유기농_11-12월'!$G:$G,'RAW_유기농_11-12월'!$D:$D,$C175,'RAW_유기농_11-12월'!$A:$A,$E175))))</f>
        <v/>
      </c>
      <c r="H175" s="7" t="str">
        <f>IF($C175="","",IF('설정'!$B$4=0,"",CHOOSE('설정'!$B$4,SUMIFS('RAW_유기농_7월'!$H:$H,'RAW_유기농_7월'!$D:$D,$C175,'RAW_유기농_7월'!$A:$A,$E175),SUMIFS('RAW_유기농_8월'!$H:$H,'RAW_유기농_8월'!$D:$D,$C175,'RAW_유기농_8월'!$A:$A,$E175),SUMIFS('RAW_유기농_9월'!$H:$H,'RAW_유기농_9월'!$D:$D,$C175,'RAW_유기농_9월'!$A:$A,$E175),SUMIFS('RAW_유기농_10월'!$H:$H,'RAW_유기농_10월'!$D:$D,$C175,'RAW_유기농_10월'!$A:$A,$E175),SUMIFS('RAW_유기농_11-12월'!$H:$H,'RAW_유기농_11-12월'!$D:$D,$C175,'RAW_유기농_11-12월'!$A:$A,$E175))))</f>
        <v/>
      </c>
      <c r="I175" s="17" t="str">
        <f>IF($C175="","",IF(COUNTIFS('RAW_유기농_7월'!$D:$D,$C175,'RAW_유기농_7월'!$A:$A,$E175)&gt;0,"O",""))</f>
        <v/>
      </c>
      <c r="J175" s="17" t="str">
        <f>IF($C175="","",IF(COUNTIFS('RAW_유기농_8월'!$D:$D,$C175,'RAW_유기농_8월'!$A:$A,$E175)&gt;0,"O",""))</f>
        <v/>
      </c>
      <c r="K175" s="17" t="str">
        <f>IF($C175="","",IF(COUNTIFS('RAW_유기농_9월'!$D:$D,$C175,'RAW_유기농_9월'!$A:$A,$E175)&gt;0,"O",""))</f>
        <v/>
      </c>
      <c r="L175" s="17" t="str">
        <f>IF($C175="","",IF(COUNTIFS('RAW_유기농_10월'!$D:$D,$C175,'RAW_유기농_10월'!$A:$A,$E175)&gt;0,"O",""))</f>
        <v/>
      </c>
      <c r="M175" s="17" t="str">
        <f>IF($C175="","",IF(COUNTIFS('RAW_유기농_11-12월'!$D:$D,$C175,'RAW_유기농_11-12월'!$A:$A,$E175)&gt;0,"O",""))</f>
        <v/>
      </c>
      <c r="N175" s="7" t="str">
        <f>IF($C175="","",IF(COUNTA('RAW_유기농_7월'!$A:$A)&lt;=1,"",SUMIFS('RAW_유기농_7월'!$H:$H,'RAW_유기농_7월'!$D:$D,$C175,'RAW_유기농_7월'!$A:$A,$E175)))</f>
        <v/>
      </c>
      <c r="O175" s="7" t="str">
        <f>IF($C175="","",IF(COUNTA('RAW_유기농_8월'!$A:$A)&lt;=1,"",SUMIFS('RAW_유기농_8월'!$H:$H,'RAW_유기농_8월'!$D:$D,$C175,'RAW_유기농_8월'!$A:$A,$E175)-SUMIFS('RAW_유기농_7월'!$H:$H,'RAW_유기농_7월'!$D:$D,$C175,'RAW_유기농_7월'!$A:$A,$E175)))</f>
        <v/>
      </c>
      <c r="P175" s="7" t="str">
        <f>IF($C175="","",IF(COUNTA('RAW_유기농_9월'!$A:$A)&lt;=1,"",SUMIFS('RAW_유기농_9월'!$H:$H,'RAW_유기농_9월'!$D:$D,$C175,'RAW_유기농_9월'!$A:$A,$E175)-SUMIFS('RAW_유기농_8월'!$H:$H,'RAW_유기농_8월'!$D:$D,$C175,'RAW_유기농_8월'!$A:$A,$E175)))</f>
        <v/>
      </c>
      <c r="Q175" s="7" t="str">
        <f>IF($C175="","",IF(COUNTA('RAW_유기농_10월'!$A:$A)&lt;=1,"",SUMIFS('RAW_유기농_10월'!$H:$H,'RAW_유기농_10월'!$D:$D,$C175,'RAW_유기농_10월'!$A:$A,$E175)-SUMIFS('RAW_유기농_9월'!$H:$H,'RAW_유기농_9월'!$D:$D,$C175,'RAW_유기농_9월'!$A:$A,$E175)))</f>
        <v/>
      </c>
      <c r="R175" s="7" t="str">
        <f>IF($C175="","",IF(COUNTA('RAW_유기농_11-12월'!$A:$A)&lt;=1,"",SUMIFS('RAW_유기농_11-12월'!$H:$H,'RAW_유기농_11-12월'!$D:$D,$C175,'RAW_유기농_11-12월'!$A:$A,$E175)-SUMIFS('RAW_유기농_10월'!$H:$H,'RAW_유기농_10월'!$D:$D,$C175,'RAW_유기농_10월'!$A:$A,$E175)))</f>
        <v/>
      </c>
      <c r="S175" s="17" t="str">
        <f t="shared" si="4"/>
        <v/>
      </c>
      <c r="T175" s="17" t="str">
        <f t="shared" si="5"/>
        <v/>
      </c>
      <c r="U175" s="7">
        <f>IF($C175="",0,IF('설정'!$B$4=0,0,CHOOSE('설정'!$B$4,COUNTIFS('RAW_유기농_7월'!$D:$D,$C175,'RAW_유기농_7월'!$A:$A,$E175),COUNTIFS('RAW_유기농_8월'!$D:$D,$C175,'RAW_유기농_8월'!$A:$A,$E175),COUNTIFS('RAW_유기농_9월'!$D:$D,$C175,'RAW_유기농_9월'!$A:$A,$E175),COUNTIFS('RAW_유기농_10월'!$D:$D,$C175,'RAW_유기농_10월'!$A:$A,$E175),COUNTIFS('RAW_유기농_11-12월'!$D:$D,$C175,'RAW_유기농_11-12월'!$A:$A,$E175))))</f>
        <v>0</v>
      </c>
    </row>
    <row r="176" ht="15.75" customHeight="1">
      <c r="A176" s="5"/>
      <c r="B176" s="5"/>
      <c r="C176" s="5"/>
      <c r="D176" s="6"/>
      <c r="E176" s="5"/>
      <c r="F176" s="7" t="str">
        <f>IF($C176="","",IF('설정'!$B$4=0,"",CHOOSE('설정'!$B$4,SUMIFS('RAW_유기농_7월'!$F:$F,'RAW_유기농_7월'!$D:$D,$C176,'RAW_유기농_7월'!$A:$A,$E176),SUMIFS('RAW_유기농_8월'!$F:$F,'RAW_유기농_8월'!$D:$D,$C176,'RAW_유기농_8월'!$A:$A,$E176),SUMIFS('RAW_유기농_9월'!$F:$F,'RAW_유기농_9월'!$D:$D,$C176,'RAW_유기농_9월'!$A:$A,$E176),SUMIFS('RAW_유기농_10월'!$F:$F,'RAW_유기농_10월'!$D:$D,$C176,'RAW_유기농_10월'!$A:$A,$E176),SUMIFS('RAW_유기농_11-12월'!$F:$F,'RAW_유기농_11-12월'!$D:$D,$C176,'RAW_유기농_11-12월'!$A:$A,$E176))))</f>
        <v/>
      </c>
      <c r="G176" s="7" t="str">
        <f>IF($C176="","",IF('설정'!$B$4=0,"",CHOOSE('설정'!$B$4,SUMIFS('RAW_유기농_7월'!$G:$G,'RAW_유기농_7월'!$D:$D,$C176,'RAW_유기농_7월'!$A:$A,$E176),SUMIFS('RAW_유기농_8월'!$G:$G,'RAW_유기농_8월'!$D:$D,$C176,'RAW_유기농_8월'!$A:$A,$E176),SUMIFS('RAW_유기농_9월'!$G:$G,'RAW_유기농_9월'!$D:$D,$C176,'RAW_유기농_9월'!$A:$A,$E176),SUMIFS('RAW_유기농_10월'!$G:$G,'RAW_유기농_10월'!$D:$D,$C176,'RAW_유기농_10월'!$A:$A,$E176),SUMIFS('RAW_유기농_11-12월'!$G:$G,'RAW_유기농_11-12월'!$D:$D,$C176,'RAW_유기농_11-12월'!$A:$A,$E176))))</f>
        <v/>
      </c>
      <c r="H176" s="7" t="str">
        <f>IF($C176="","",IF('설정'!$B$4=0,"",CHOOSE('설정'!$B$4,SUMIFS('RAW_유기농_7월'!$H:$H,'RAW_유기농_7월'!$D:$D,$C176,'RAW_유기농_7월'!$A:$A,$E176),SUMIFS('RAW_유기농_8월'!$H:$H,'RAW_유기농_8월'!$D:$D,$C176,'RAW_유기농_8월'!$A:$A,$E176),SUMIFS('RAW_유기농_9월'!$H:$H,'RAW_유기농_9월'!$D:$D,$C176,'RAW_유기농_9월'!$A:$A,$E176),SUMIFS('RAW_유기농_10월'!$H:$H,'RAW_유기농_10월'!$D:$D,$C176,'RAW_유기농_10월'!$A:$A,$E176),SUMIFS('RAW_유기농_11-12월'!$H:$H,'RAW_유기농_11-12월'!$D:$D,$C176,'RAW_유기농_11-12월'!$A:$A,$E176))))</f>
        <v/>
      </c>
      <c r="I176" s="17" t="str">
        <f>IF($C176="","",IF(COUNTIFS('RAW_유기농_7월'!$D:$D,$C176,'RAW_유기농_7월'!$A:$A,$E176)&gt;0,"O",""))</f>
        <v/>
      </c>
      <c r="J176" s="17" t="str">
        <f>IF($C176="","",IF(COUNTIFS('RAW_유기농_8월'!$D:$D,$C176,'RAW_유기농_8월'!$A:$A,$E176)&gt;0,"O",""))</f>
        <v/>
      </c>
      <c r="K176" s="17" t="str">
        <f>IF($C176="","",IF(COUNTIFS('RAW_유기농_9월'!$D:$D,$C176,'RAW_유기농_9월'!$A:$A,$E176)&gt;0,"O",""))</f>
        <v/>
      </c>
      <c r="L176" s="17" t="str">
        <f>IF($C176="","",IF(COUNTIFS('RAW_유기농_10월'!$D:$D,$C176,'RAW_유기농_10월'!$A:$A,$E176)&gt;0,"O",""))</f>
        <v/>
      </c>
      <c r="M176" s="17" t="str">
        <f>IF($C176="","",IF(COUNTIFS('RAW_유기농_11-12월'!$D:$D,$C176,'RAW_유기농_11-12월'!$A:$A,$E176)&gt;0,"O",""))</f>
        <v/>
      </c>
      <c r="N176" s="7" t="str">
        <f>IF($C176="","",IF(COUNTA('RAW_유기농_7월'!$A:$A)&lt;=1,"",SUMIFS('RAW_유기농_7월'!$H:$H,'RAW_유기농_7월'!$D:$D,$C176,'RAW_유기농_7월'!$A:$A,$E176)))</f>
        <v/>
      </c>
      <c r="O176" s="7" t="str">
        <f>IF($C176="","",IF(COUNTA('RAW_유기농_8월'!$A:$A)&lt;=1,"",SUMIFS('RAW_유기농_8월'!$H:$H,'RAW_유기농_8월'!$D:$D,$C176,'RAW_유기농_8월'!$A:$A,$E176)-SUMIFS('RAW_유기농_7월'!$H:$H,'RAW_유기농_7월'!$D:$D,$C176,'RAW_유기농_7월'!$A:$A,$E176)))</f>
        <v/>
      </c>
      <c r="P176" s="7" t="str">
        <f>IF($C176="","",IF(COUNTA('RAW_유기농_9월'!$A:$A)&lt;=1,"",SUMIFS('RAW_유기농_9월'!$H:$H,'RAW_유기농_9월'!$D:$D,$C176,'RAW_유기농_9월'!$A:$A,$E176)-SUMIFS('RAW_유기농_8월'!$H:$H,'RAW_유기농_8월'!$D:$D,$C176,'RAW_유기농_8월'!$A:$A,$E176)))</f>
        <v/>
      </c>
      <c r="Q176" s="7" t="str">
        <f>IF($C176="","",IF(COUNTA('RAW_유기농_10월'!$A:$A)&lt;=1,"",SUMIFS('RAW_유기농_10월'!$H:$H,'RAW_유기농_10월'!$D:$D,$C176,'RAW_유기농_10월'!$A:$A,$E176)-SUMIFS('RAW_유기농_9월'!$H:$H,'RAW_유기농_9월'!$D:$D,$C176,'RAW_유기농_9월'!$A:$A,$E176)))</f>
        <v/>
      </c>
      <c r="R176" s="7" t="str">
        <f>IF($C176="","",IF(COUNTA('RAW_유기농_11-12월'!$A:$A)&lt;=1,"",SUMIFS('RAW_유기농_11-12월'!$H:$H,'RAW_유기농_11-12월'!$D:$D,$C176,'RAW_유기농_11-12월'!$A:$A,$E176)-SUMIFS('RAW_유기농_10월'!$H:$H,'RAW_유기농_10월'!$D:$D,$C176,'RAW_유기농_10월'!$A:$A,$E176)))</f>
        <v/>
      </c>
      <c r="S176" s="17" t="str">
        <f t="shared" si="4"/>
        <v/>
      </c>
      <c r="T176" s="17" t="str">
        <f t="shared" si="5"/>
        <v/>
      </c>
      <c r="U176" s="7">
        <f>IF($C176="",0,IF('설정'!$B$4=0,0,CHOOSE('설정'!$B$4,COUNTIFS('RAW_유기농_7월'!$D:$D,$C176,'RAW_유기농_7월'!$A:$A,$E176),COUNTIFS('RAW_유기농_8월'!$D:$D,$C176,'RAW_유기농_8월'!$A:$A,$E176),COUNTIFS('RAW_유기농_9월'!$D:$D,$C176,'RAW_유기농_9월'!$A:$A,$E176),COUNTIFS('RAW_유기농_10월'!$D:$D,$C176,'RAW_유기농_10월'!$A:$A,$E176),COUNTIFS('RAW_유기농_11-12월'!$D:$D,$C176,'RAW_유기농_11-12월'!$A:$A,$E176))))</f>
        <v>0</v>
      </c>
    </row>
    <row r="177" ht="15.75" customHeight="1">
      <c r="A177" s="5"/>
      <c r="B177" s="5"/>
      <c r="C177" s="5"/>
      <c r="D177" s="6"/>
      <c r="E177" s="5"/>
      <c r="F177" s="7" t="str">
        <f>IF($C177="","",IF('설정'!$B$4=0,"",CHOOSE('설정'!$B$4,SUMIFS('RAW_유기농_7월'!$F:$F,'RAW_유기농_7월'!$D:$D,$C177,'RAW_유기농_7월'!$A:$A,$E177),SUMIFS('RAW_유기농_8월'!$F:$F,'RAW_유기농_8월'!$D:$D,$C177,'RAW_유기농_8월'!$A:$A,$E177),SUMIFS('RAW_유기농_9월'!$F:$F,'RAW_유기농_9월'!$D:$D,$C177,'RAW_유기농_9월'!$A:$A,$E177),SUMIFS('RAW_유기농_10월'!$F:$F,'RAW_유기농_10월'!$D:$D,$C177,'RAW_유기농_10월'!$A:$A,$E177),SUMIFS('RAW_유기농_11-12월'!$F:$F,'RAW_유기농_11-12월'!$D:$D,$C177,'RAW_유기농_11-12월'!$A:$A,$E177))))</f>
        <v/>
      </c>
      <c r="G177" s="7" t="str">
        <f>IF($C177="","",IF('설정'!$B$4=0,"",CHOOSE('설정'!$B$4,SUMIFS('RAW_유기농_7월'!$G:$G,'RAW_유기농_7월'!$D:$D,$C177,'RAW_유기농_7월'!$A:$A,$E177),SUMIFS('RAW_유기농_8월'!$G:$G,'RAW_유기농_8월'!$D:$D,$C177,'RAW_유기농_8월'!$A:$A,$E177),SUMIFS('RAW_유기농_9월'!$G:$G,'RAW_유기농_9월'!$D:$D,$C177,'RAW_유기농_9월'!$A:$A,$E177),SUMIFS('RAW_유기농_10월'!$G:$G,'RAW_유기농_10월'!$D:$D,$C177,'RAW_유기농_10월'!$A:$A,$E177),SUMIFS('RAW_유기농_11-12월'!$G:$G,'RAW_유기농_11-12월'!$D:$D,$C177,'RAW_유기농_11-12월'!$A:$A,$E177))))</f>
        <v/>
      </c>
      <c r="H177" s="7" t="str">
        <f>IF($C177="","",IF('설정'!$B$4=0,"",CHOOSE('설정'!$B$4,SUMIFS('RAW_유기농_7월'!$H:$H,'RAW_유기농_7월'!$D:$D,$C177,'RAW_유기농_7월'!$A:$A,$E177),SUMIFS('RAW_유기농_8월'!$H:$H,'RAW_유기농_8월'!$D:$D,$C177,'RAW_유기농_8월'!$A:$A,$E177),SUMIFS('RAW_유기농_9월'!$H:$H,'RAW_유기농_9월'!$D:$D,$C177,'RAW_유기농_9월'!$A:$A,$E177),SUMIFS('RAW_유기농_10월'!$H:$H,'RAW_유기농_10월'!$D:$D,$C177,'RAW_유기농_10월'!$A:$A,$E177),SUMIFS('RAW_유기농_11-12월'!$H:$H,'RAW_유기농_11-12월'!$D:$D,$C177,'RAW_유기농_11-12월'!$A:$A,$E177))))</f>
        <v/>
      </c>
      <c r="I177" s="17" t="str">
        <f>IF($C177="","",IF(COUNTIFS('RAW_유기농_7월'!$D:$D,$C177,'RAW_유기농_7월'!$A:$A,$E177)&gt;0,"O",""))</f>
        <v/>
      </c>
      <c r="J177" s="17" t="str">
        <f>IF($C177="","",IF(COUNTIFS('RAW_유기농_8월'!$D:$D,$C177,'RAW_유기농_8월'!$A:$A,$E177)&gt;0,"O",""))</f>
        <v/>
      </c>
      <c r="K177" s="17" t="str">
        <f>IF($C177="","",IF(COUNTIFS('RAW_유기농_9월'!$D:$D,$C177,'RAW_유기농_9월'!$A:$A,$E177)&gt;0,"O",""))</f>
        <v/>
      </c>
      <c r="L177" s="17" t="str">
        <f>IF($C177="","",IF(COUNTIFS('RAW_유기농_10월'!$D:$D,$C177,'RAW_유기농_10월'!$A:$A,$E177)&gt;0,"O",""))</f>
        <v/>
      </c>
      <c r="M177" s="17" t="str">
        <f>IF($C177="","",IF(COUNTIFS('RAW_유기농_11-12월'!$D:$D,$C177,'RAW_유기농_11-12월'!$A:$A,$E177)&gt;0,"O",""))</f>
        <v/>
      </c>
      <c r="N177" s="7" t="str">
        <f>IF($C177="","",IF(COUNTA('RAW_유기농_7월'!$A:$A)&lt;=1,"",SUMIFS('RAW_유기농_7월'!$H:$H,'RAW_유기농_7월'!$D:$D,$C177,'RAW_유기농_7월'!$A:$A,$E177)))</f>
        <v/>
      </c>
      <c r="O177" s="7" t="str">
        <f>IF($C177="","",IF(COUNTA('RAW_유기농_8월'!$A:$A)&lt;=1,"",SUMIFS('RAW_유기농_8월'!$H:$H,'RAW_유기농_8월'!$D:$D,$C177,'RAW_유기농_8월'!$A:$A,$E177)-SUMIFS('RAW_유기농_7월'!$H:$H,'RAW_유기농_7월'!$D:$D,$C177,'RAW_유기농_7월'!$A:$A,$E177)))</f>
        <v/>
      </c>
      <c r="P177" s="7" t="str">
        <f>IF($C177="","",IF(COUNTA('RAW_유기농_9월'!$A:$A)&lt;=1,"",SUMIFS('RAW_유기농_9월'!$H:$H,'RAW_유기농_9월'!$D:$D,$C177,'RAW_유기농_9월'!$A:$A,$E177)-SUMIFS('RAW_유기농_8월'!$H:$H,'RAW_유기농_8월'!$D:$D,$C177,'RAW_유기농_8월'!$A:$A,$E177)))</f>
        <v/>
      </c>
      <c r="Q177" s="7" t="str">
        <f>IF($C177="","",IF(COUNTA('RAW_유기농_10월'!$A:$A)&lt;=1,"",SUMIFS('RAW_유기농_10월'!$H:$H,'RAW_유기농_10월'!$D:$D,$C177,'RAW_유기농_10월'!$A:$A,$E177)-SUMIFS('RAW_유기농_9월'!$H:$H,'RAW_유기농_9월'!$D:$D,$C177,'RAW_유기농_9월'!$A:$A,$E177)))</f>
        <v/>
      </c>
      <c r="R177" s="7" t="str">
        <f>IF($C177="","",IF(COUNTA('RAW_유기농_11-12월'!$A:$A)&lt;=1,"",SUMIFS('RAW_유기농_11-12월'!$H:$H,'RAW_유기농_11-12월'!$D:$D,$C177,'RAW_유기농_11-12월'!$A:$A,$E177)-SUMIFS('RAW_유기농_10월'!$H:$H,'RAW_유기농_10월'!$D:$D,$C177,'RAW_유기농_10월'!$A:$A,$E177)))</f>
        <v/>
      </c>
      <c r="S177" s="17" t="str">
        <f t="shared" si="4"/>
        <v/>
      </c>
      <c r="T177" s="17" t="str">
        <f t="shared" si="5"/>
        <v/>
      </c>
      <c r="U177" s="7">
        <f>IF($C177="",0,IF('설정'!$B$4=0,0,CHOOSE('설정'!$B$4,COUNTIFS('RAW_유기농_7월'!$D:$D,$C177,'RAW_유기농_7월'!$A:$A,$E177),COUNTIFS('RAW_유기농_8월'!$D:$D,$C177,'RAW_유기농_8월'!$A:$A,$E177),COUNTIFS('RAW_유기농_9월'!$D:$D,$C177,'RAW_유기농_9월'!$A:$A,$E177),COUNTIFS('RAW_유기농_10월'!$D:$D,$C177,'RAW_유기농_10월'!$A:$A,$E177),COUNTIFS('RAW_유기농_11-12월'!$D:$D,$C177,'RAW_유기농_11-12월'!$A:$A,$E177))))</f>
        <v>0</v>
      </c>
    </row>
    <row r="178" ht="15.75" customHeight="1">
      <c r="A178" s="5"/>
      <c r="B178" s="5"/>
      <c r="C178" s="5"/>
      <c r="D178" s="6"/>
      <c r="E178" s="5"/>
      <c r="F178" s="7" t="str">
        <f>IF($C178="","",IF('설정'!$B$4=0,"",CHOOSE('설정'!$B$4,SUMIFS('RAW_유기농_7월'!$F:$F,'RAW_유기농_7월'!$D:$D,$C178,'RAW_유기농_7월'!$A:$A,$E178),SUMIFS('RAW_유기농_8월'!$F:$F,'RAW_유기농_8월'!$D:$D,$C178,'RAW_유기농_8월'!$A:$A,$E178),SUMIFS('RAW_유기농_9월'!$F:$F,'RAW_유기농_9월'!$D:$D,$C178,'RAW_유기농_9월'!$A:$A,$E178),SUMIFS('RAW_유기농_10월'!$F:$F,'RAW_유기농_10월'!$D:$D,$C178,'RAW_유기농_10월'!$A:$A,$E178),SUMIFS('RAW_유기농_11-12월'!$F:$F,'RAW_유기농_11-12월'!$D:$D,$C178,'RAW_유기농_11-12월'!$A:$A,$E178))))</f>
        <v/>
      </c>
      <c r="G178" s="7" t="str">
        <f>IF($C178="","",IF('설정'!$B$4=0,"",CHOOSE('설정'!$B$4,SUMIFS('RAW_유기농_7월'!$G:$G,'RAW_유기농_7월'!$D:$D,$C178,'RAW_유기농_7월'!$A:$A,$E178),SUMIFS('RAW_유기농_8월'!$G:$G,'RAW_유기농_8월'!$D:$D,$C178,'RAW_유기농_8월'!$A:$A,$E178),SUMIFS('RAW_유기농_9월'!$G:$G,'RAW_유기농_9월'!$D:$D,$C178,'RAW_유기농_9월'!$A:$A,$E178),SUMIFS('RAW_유기농_10월'!$G:$G,'RAW_유기농_10월'!$D:$D,$C178,'RAW_유기농_10월'!$A:$A,$E178),SUMIFS('RAW_유기농_11-12월'!$G:$G,'RAW_유기농_11-12월'!$D:$D,$C178,'RAW_유기농_11-12월'!$A:$A,$E178))))</f>
        <v/>
      </c>
      <c r="H178" s="7" t="str">
        <f>IF($C178="","",IF('설정'!$B$4=0,"",CHOOSE('설정'!$B$4,SUMIFS('RAW_유기농_7월'!$H:$H,'RAW_유기농_7월'!$D:$D,$C178,'RAW_유기농_7월'!$A:$A,$E178),SUMIFS('RAW_유기농_8월'!$H:$H,'RAW_유기농_8월'!$D:$D,$C178,'RAW_유기농_8월'!$A:$A,$E178),SUMIFS('RAW_유기농_9월'!$H:$H,'RAW_유기농_9월'!$D:$D,$C178,'RAW_유기농_9월'!$A:$A,$E178),SUMIFS('RAW_유기농_10월'!$H:$H,'RAW_유기농_10월'!$D:$D,$C178,'RAW_유기농_10월'!$A:$A,$E178),SUMIFS('RAW_유기농_11-12월'!$H:$H,'RAW_유기농_11-12월'!$D:$D,$C178,'RAW_유기농_11-12월'!$A:$A,$E178))))</f>
        <v/>
      </c>
      <c r="I178" s="17" t="str">
        <f>IF($C178="","",IF(COUNTIFS('RAW_유기농_7월'!$D:$D,$C178,'RAW_유기농_7월'!$A:$A,$E178)&gt;0,"O",""))</f>
        <v/>
      </c>
      <c r="J178" s="17" t="str">
        <f>IF($C178="","",IF(COUNTIFS('RAW_유기농_8월'!$D:$D,$C178,'RAW_유기농_8월'!$A:$A,$E178)&gt;0,"O",""))</f>
        <v/>
      </c>
      <c r="K178" s="17" t="str">
        <f>IF($C178="","",IF(COUNTIFS('RAW_유기농_9월'!$D:$D,$C178,'RAW_유기농_9월'!$A:$A,$E178)&gt;0,"O",""))</f>
        <v/>
      </c>
      <c r="L178" s="17" t="str">
        <f>IF($C178="","",IF(COUNTIFS('RAW_유기농_10월'!$D:$D,$C178,'RAW_유기농_10월'!$A:$A,$E178)&gt;0,"O",""))</f>
        <v/>
      </c>
      <c r="M178" s="17" t="str">
        <f>IF($C178="","",IF(COUNTIFS('RAW_유기농_11-12월'!$D:$D,$C178,'RAW_유기농_11-12월'!$A:$A,$E178)&gt;0,"O",""))</f>
        <v/>
      </c>
      <c r="N178" s="7" t="str">
        <f>IF($C178="","",IF(COUNTA('RAW_유기농_7월'!$A:$A)&lt;=1,"",SUMIFS('RAW_유기농_7월'!$H:$H,'RAW_유기농_7월'!$D:$D,$C178,'RAW_유기농_7월'!$A:$A,$E178)))</f>
        <v/>
      </c>
      <c r="O178" s="7" t="str">
        <f>IF($C178="","",IF(COUNTA('RAW_유기농_8월'!$A:$A)&lt;=1,"",SUMIFS('RAW_유기농_8월'!$H:$H,'RAW_유기농_8월'!$D:$D,$C178,'RAW_유기농_8월'!$A:$A,$E178)-SUMIFS('RAW_유기농_7월'!$H:$H,'RAW_유기농_7월'!$D:$D,$C178,'RAW_유기농_7월'!$A:$A,$E178)))</f>
        <v/>
      </c>
      <c r="P178" s="7" t="str">
        <f>IF($C178="","",IF(COUNTA('RAW_유기농_9월'!$A:$A)&lt;=1,"",SUMIFS('RAW_유기농_9월'!$H:$H,'RAW_유기농_9월'!$D:$D,$C178,'RAW_유기농_9월'!$A:$A,$E178)-SUMIFS('RAW_유기농_8월'!$H:$H,'RAW_유기농_8월'!$D:$D,$C178,'RAW_유기농_8월'!$A:$A,$E178)))</f>
        <v/>
      </c>
      <c r="Q178" s="7" t="str">
        <f>IF($C178="","",IF(COUNTA('RAW_유기농_10월'!$A:$A)&lt;=1,"",SUMIFS('RAW_유기농_10월'!$H:$H,'RAW_유기농_10월'!$D:$D,$C178,'RAW_유기농_10월'!$A:$A,$E178)-SUMIFS('RAW_유기농_9월'!$H:$H,'RAW_유기농_9월'!$D:$D,$C178,'RAW_유기농_9월'!$A:$A,$E178)))</f>
        <v/>
      </c>
      <c r="R178" s="7" t="str">
        <f>IF($C178="","",IF(COUNTA('RAW_유기농_11-12월'!$A:$A)&lt;=1,"",SUMIFS('RAW_유기농_11-12월'!$H:$H,'RAW_유기농_11-12월'!$D:$D,$C178,'RAW_유기농_11-12월'!$A:$A,$E178)-SUMIFS('RAW_유기농_10월'!$H:$H,'RAW_유기농_10월'!$D:$D,$C178,'RAW_유기농_10월'!$A:$A,$E178)))</f>
        <v/>
      </c>
      <c r="S178" s="17" t="str">
        <f t="shared" si="4"/>
        <v/>
      </c>
      <c r="T178" s="17" t="str">
        <f t="shared" si="5"/>
        <v/>
      </c>
      <c r="U178" s="7">
        <f>IF($C178="",0,IF('설정'!$B$4=0,0,CHOOSE('설정'!$B$4,COUNTIFS('RAW_유기농_7월'!$D:$D,$C178,'RAW_유기농_7월'!$A:$A,$E178),COUNTIFS('RAW_유기농_8월'!$D:$D,$C178,'RAW_유기농_8월'!$A:$A,$E178),COUNTIFS('RAW_유기농_9월'!$D:$D,$C178,'RAW_유기농_9월'!$A:$A,$E178),COUNTIFS('RAW_유기농_10월'!$D:$D,$C178,'RAW_유기농_10월'!$A:$A,$E178),COUNTIFS('RAW_유기농_11-12월'!$D:$D,$C178,'RAW_유기농_11-12월'!$A:$A,$E178))))</f>
        <v>0</v>
      </c>
    </row>
    <row r="179" ht="15.75" customHeight="1">
      <c r="A179" s="5"/>
      <c r="B179" s="5"/>
      <c r="C179" s="5"/>
      <c r="D179" s="6"/>
      <c r="E179" s="5"/>
      <c r="F179" s="7" t="str">
        <f>IF($C179="","",IF('설정'!$B$4=0,"",CHOOSE('설정'!$B$4,SUMIFS('RAW_유기농_7월'!$F:$F,'RAW_유기농_7월'!$D:$D,$C179,'RAW_유기농_7월'!$A:$A,$E179),SUMIFS('RAW_유기농_8월'!$F:$F,'RAW_유기농_8월'!$D:$D,$C179,'RAW_유기농_8월'!$A:$A,$E179),SUMIFS('RAW_유기농_9월'!$F:$F,'RAW_유기농_9월'!$D:$D,$C179,'RAW_유기농_9월'!$A:$A,$E179),SUMIFS('RAW_유기농_10월'!$F:$F,'RAW_유기농_10월'!$D:$D,$C179,'RAW_유기농_10월'!$A:$A,$E179),SUMIFS('RAW_유기농_11-12월'!$F:$F,'RAW_유기농_11-12월'!$D:$D,$C179,'RAW_유기농_11-12월'!$A:$A,$E179))))</f>
        <v/>
      </c>
      <c r="G179" s="7" t="str">
        <f>IF($C179="","",IF('설정'!$B$4=0,"",CHOOSE('설정'!$B$4,SUMIFS('RAW_유기농_7월'!$G:$G,'RAW_유기농_7월'!$D:$D,$C179,'RAW_유기농_7월'!$A:$A,$E179),SUMIFS('RAW_유기농_8월'!$G:$G,'RAW_유기농_8월'!$D:$D,$C179,'RAW_유기농_8월'!$A:$A,$E179),SUMIFS('RAW_유기농_9월'!$G:$G,'RAW_유기농_9월'!$D:$D,$C179,'RAW_유기농_9월'!$A:$A,$E179),SUMIFS('RAW_유기농_10월'!$G:$G,'RAW_유기농_10월'!$D:$D,$C179,'RAW_유기농_10월'!$A:$A,$E179),SUMIFS('RAW_유기농_11-12월'!$G:$G,'RAW_유기농_11-12월'!$D:$D,$C179,'RAW_유기농_11-12월'!$A:$A,$E179))))</f>
        <v/>
      </c>
      <c r="H179" s="7" t="str">
        <f>IF($C179="","",IF('설정'!$B$4=0,"",CHOOSE('설정'!$B$4,SUMIFS('RAW_유기농_7월'!$H:$H,'RAW_유기농_7월'!$D:$D,$C179,'RAW_유기농_7월'!$A:$A,$E179),SUMIFS('RAW_유기농_8월'!$H:$H,'RAW_유기농_8월'!$D:$D,$C179,'RAW_유기농_8월'!$A:$A,$E179),SUMIFS('RAW_유기농_9월'!$H:$H,'RAW_유기농_9월'!$D:$D,$C179,'RAW_유기농_9월'!$A:$A,$E179),SUMIFS('RAW_유기농_10월'!$H:$H,'RAW_유기농_10월'!$D:$D,$C179,'RAW_유기농_10월'!$A:$A,$E179),SUMIFS('RAW_유기농_11-12월'!$H:$H,'RAW_유기농_11-12월'!$D:$D,$C179,'RAW_유기농_11-12월'!$A:$A,$E179))))</f>
        <v/>
      </c>
      <c r="I179" s="17" t="str">
        <f>IF($C179="","",IF(COUNTIFS('RAW_유기농_7월'!$D:$D,$C179,'RAW_유기농_7월'!$A:$A,$E179)&gt;0,"O",""))</f>
        <v/>
      </c>
      <c r="J179" s="17" t="str">
        <f>IF($C179="","",IF(COUNTIFS('RAW_유기농_8월'!$D:$D,$C179,'RAW_유기농_8월'!$A:$A,$E179)&gt;0,"O",""))</f>
        <v/>
      </c>
      <c r="K179" s="17" t="str">
        <f>IF($C179="","",IF(COUNTIFS('RAW_유기농_9월'!$D:$D,$C179,'RAW_유기농_9월'!$A:$A,$E179)&gt;0,"O",""))</f>
        <v/>
      </c>
      <c r="L179" s="17" t="str">
        <f>IF($C179="","",IF(COUNTIFS('RAW_유기농_10월'!$D:$D,$C179,'RAW_유기농_10월'!$A:$A,$E179)&gt;0,"O",""))</f>
        <v/>
      </c>
      <c r="M179" s="17" t="str">
        <f>IF($C179="","",IF(COUNTIFS('RAW_유기농_11-12월'!$D:$D,$C179,'RAW_유기농_11-12월'!$A:$A,$E179)&gt;0,"O",""))</f>
        <v/>
      </c>
      <c r="N179" s="7" t="str">
        <f>IF($C179="","",IF(COUNTA('RAW_유기농_7월'!$A:$A)&lt;=1,"",SUMIFS('RAW_유기농_7월'!$H:$H,'RAW_유기농_7월'!$D:$D,$C179,'RAW_유기농_7월'!$A:$A,$E179)))</f>
        <v/>
      </c>
      <c r="O179" s="7" t="str">
        <f>IF($C179="","",IF(COUNTA('RAW_유기농_8월'!$A:$A)&lt;=1,"",SUMIFS('RAW_유기농_8월'!$H:$H,'RAW_유기농_8월'!$D:$D,$C179,'RAW_유기농_8월'!$A:$A,$E179)-SUMIFS('RAW_유기농_7월'!$H:$H,'RAW_유기농_7월'!$D:$D,$C179,'RAW_유기농_7월'!$A:$A,$E179)))</f>
        <v/>
      </c>
      <c r="P179" s="7" t="str">
        <f>IF($C179="","",IF(COUNTA('RAW_유기농_9월'!$A:$A)&lt;=1,"",SUMIFS('RAW_유기농_9월'!$H:$H,'RAW_유기농_9월'!$D:$D,$C179,'RAW_유기농_9월'!$A:$A,$E179)-SUMIFS('RAW_유기농_8월'!$H:$H,'RAW_유기농_8월'!$D:$D,$C179,'RAW_유기농_8월'!$A:$A,$E179)))</f>
        <v/>
      </c>
      <c r="Q179" s="7" t="str">
        <f>IF($C179="","",IF(COUNTA('RAW_유기농_10월'!$A:$A)&lt;=1,"",SUMIFS('RAW_유기농_10월'!$H:$H,'RAW_유기농_10월'!$D:$D,$C179,'RAW_유기농_10월'!$A:$A,$E179)-SUMIFS('RAW_유기농_9월'!$H:$H,'RAW_유기농_9월'!$D:$D,$C179,'RAW_유기농_9월'!$A:$A,$E179)))</f>
        <v/>
      </c>
      <c r="R179" s="7" t="str">
        <f>IF($C179="","",IF(COUNTA('RAW_유기농_11-12월'!$A:$A)&lt;=1,"",SUMIFS('RAW_유기농_11-12월'!$H:$H,'RAW_유기농_11-12월'!$D:$D,$C179,'RAW_유기농_11-12월'!$A:$A,$E179)-SUMIFS('RAW_유기농_10월'!$H:$H,'RAW_유기농_10월'!$D:$D,$C179,'RAW_유기농_10월'!$A:$A,$E179)))</f>
        <v/>
      </c>
      <c r="S179" s="17" t="str">
        <f t="shared" si="4"/>
        <v/>
      </c>
      <c r="T179" s="17" t="str">
        <f t="shared" si="5"/>
        <v/>
      </c>
      <c r="U179" s="7">
        <f>IF($C179="",0,IF('설정'!$B$4=0,0,CHOOSE('설정'!$B$4,COUNTIFS('RAW_유기농_7월'!$D:$D,$C179,'RAW_유기농_7월'!$A:$A,$E179),COUNTIFS('RAW_유기농_8월'!$D:$D,$C179,'RAW_유기농_8월'!$A:$A,$E179),COUNTIFS('RAW_유기농_9월'!$D:$D,$C179,'RAW_유기농_9월'!$A:$A,$E179),COUNTIFS('RAW_유기농_10월'!$D:$D,$C179,'RAW_유기농_10월'!$A:$A,$E179),COUNTIFS('RAW_유기농_11-12월'!$D:$D,$C179,'RAW_유기농_11-12월'!$A:$A,$E179))))</f>
        <v>0</v>
      </c>
    </row>
    <row r="180" ht="15.75" customHeight="1">
      <c r="A180" s="5"/>
      <c r="B180" s="5"/>
      <c r="C180" s="5"/>
      <c r="D180" s="6"/>
      <c r="E180" s="5"/>
      <c r="F180" s="7" t="str">
        <f>IF($C180="","",IF('설정'!$B$4=0,"",CHOOSE('설정'!$B$4,SUMIFS('RAW_유기농_7월'!$F:$F,'RAW_유기농_7월'!$D:$D,$C180,'RAW_유기농_7월'!$A:$A,$E180),SUMIFS('RAW_유기농_8월'!$F:$F,'RAW_유기농_8월'!$D:$D,$C180,'RAW_유기농_8월'!$A:$A,$E180),SUMIFS('RAW_유기농_9월'!$F:$F,'RAW_유기농_9월'!$D:$D,$C180,'RAW_유기농_9월'!$A:$A,$E180),SUMIFS('RAW_유기농_10월'!$F:$F,'RAW_유기농_10월'!$D:$D,$C180,'RAW_유기농_10월'!$A:$A,$E180),SUMIFS('RAW_유기농_11-12월'!$F:$F,'RAW_유기농_11-12월'!$D:$D,$C180,'RAW_유기농_11-12월'!$A:$A,$E180))))</f>
        <v/>
      </c>
      <c r="G180" s="7" t="str">
        <f>IF($C180="","",IF('설정'!$B$4=0,"",CHOOSE('설정'!$B$4,SUMIFS('RAW_유기농_7월'!$G:$G,'RAW_유기농_7월'!$D:$D,$C180,'RAW_유기농_7월'!$A:$A,$E180),SUMIFS('RAW_유기농_8월'!$G:$G,'RAW_유기농_8월'!$D:$D,$C180,'RAW_유기농_8월'!$A:$A,$E180),SUMIFS('RAW_유기농_9월'!$G:$G,'RAW_유기농_9월'!$D:$D,$C180,'RAW_유기농_9월'!$A:$A,$E180),SUMIFS('RAW_유기농_10월'!$G:$G,'RAW_유기농_10월'!$D:$D,$C180,'RAW_유기농_10월'!$A:$A,$E180),SUMIFS('RAW_유기농_11-12월'!$G:$G,'RAW_유기농_11-12월'!$D:$D,$C180,'RAW_유기농_11-12월'!$A:$A,$E180))))</f>
        <v/>
      </c>
      <c r="H180" s="7" t="str">
        <f>IF($C180="","",IF('설정'!$B$4=0,"",CHOOSE('설정'!$B$4,SUMIFS('RAW_유기농_7월'!$H:$H,'RAW_유기농_7월'!$D:$D,$C180,'RAW_유기농_7월'!$A:$A,$E180),SUMIFS('RAW_유기농_8월'!$H:$H,'RAW_유기농_8월'!$D:$D,$C180,'RAW_유기농_8월'!$A:$A,$E180),SUMIFS('RAW_유기농_9월'!$H:$H,'RAW_유기농_9월'!$D:$D,$C180,'RAW_유기농_9월'!$A:$A,$E180),SUMIFS('RAW_유기농_10월'!$H:$H,'RAW_유기농_10월'!$D:$D,$C180,'RAW_유기농_10월'!$A:$A,$E180),SUMIFS('RAW_유기농_11-12월'!$H:$H,'RAW_유기농_11-12월'!$D:$D,$C180,'RAW_유기농_11-12월'!$A:$A,$E180))))</f>
        <v/>
      </c>
      <c r="I180" s="17" t="str">
        <f>IF($C180="","",IF(COUNTIFS('RAW_유기농_7월'!$D:$D,$C180,'RAW_유기농_7월'!$A:$A,$E180)&gt;0,"O",""))</f>
        <v/>
      </c>
      <c r="J180" s="17" t="str">
        <f>IF($C180="","",IF(COUNTIFS('RAW_유기농_8월'!$D:$D,$C180,'RAW_유기농_8월'!$A:$A,$E180)&gt;0,"O",""))</f>
        <v/>
      </c>
      <c r="K180" s="17" t="str">
        <f>IF($C180="","",IF(COUNTIFS('RAW_유기농_9월'!$D:$D,$C180,'RAW_유기농_9월'!$A:$A,$E180)&gt;0,"O",""))</f>
        <v/>
      </c>
      <c r="L180" s="17" t="str">
        <f>IF($C180="","",IF(COUNTIFS('RAW_유기농_10월'!$D:$D,$C180,'RAW_유기농_10월'!$A:$A,$E180)&gt;0,"O",""))</f>
        <v/>
      </c>
      <c r="M180" s="17" t="str">
        <f>IF($C180="","",IF(COUNTIFS('RAW_유기농_11-12월'!$D:$D,$C180,'RAW_유기농_11-12월'!$A:$A,$E180)&gt;0,"O",""))</f>
        <v/>
      </c>
      <c r="N180" s="7" t="str">
        <f>IF($C180="","",IF(COUNTA('RAW_유기농_7월'!$A:$A)&lt;=1,"",SUMIFS('RAW_유기농_7월'!$H:$H,'RAW_유기농_7월'!$D:$D,$C180,'RAW_유기농_7월'!$A:$A,$E180)))</f>
        <v/>
      </c>
      <c r="O180" s="7" t="str">
        <f>IF($C180="","",IF(COUNTA('RAW_유기농_8월'!$A:$A)&lt;=1,"",SUMIFS('RAW_유기농_8월'!$H:$H,'RAW_유기농_8월'!$D:$D,$C180,'RAW_유기농_8월'!$A:$A,$E180)-SUMIFS('RAW_유기농_7월'!$H:$H,'RAW_유기농_7월'!$D:$D,$C180,'RAW_유기농_7월'!$A:$A,$E180)))</f>
        <v/>
      </c>
      <c r="P180" s="7" t="str">
        <f>IF($C180="","",IF(COUNTA('RAW_유기농_9월'!$A:$A)&lt;=1,"",SUMIFS('RAW_유기농_9월'!$H:$H,'RAW_유기농_9월'!$D:$D,$C180,'RAW_유기농_9월'!$A:$A,$E180)-SUMIFS('RAW_유기농_8월'!$H:$H,'RAW_유기농_8월'!$D:$D,$C180,'RAW_유기농_8월'!$A:$A,$E180)))</f>
        <v/>
      </c>
      <c r="Q180" s="7" t="str">
        <f>IF($C180="","",IF(COUNTA('RAW_유기농_10월'!$A:$A)&lt;=1,"",SUMIFS('RAW_유기농_10월'!$H:$H,'RAW_유기농_10월'!$D:$D,$C180,'RAW_유기농_10월'!$A:$A,$E180)-SUMIFS('RAW_유기농_9월'!$H:$H,'RAW_유기농_9월'!$D:$D,$C180,'RAW_유기농_9월'!$A:$A,$E180)))</f>
        <v/>
      </c>
      <c r="R180" s="7" t="str">
        <f>IF($C180="","",IF(COUNTA('RAW_유기농_11-12월'!$A:$A)&lt;=1,"",SUMIFS('RAW_유기농_11-12월'!$H:$H,'RAW_유기농_11-12월'!$D:$D,$C180,'RAW_유기농_11-12월'!$A:$A,$E180)-SUMIFS('RAW_유기농_10월'!$H:$H,'RAW_유기농_10월'!$D:$D,$C180,'RAW_유기농_10월'!$A:$A,$E180)))</f>
        <v/>
      </c>
      <c r="S180" s="17" t="str">
        <f t="shared" si="4"/>
        <v/>
      </c>
      <c r="T180" s="17" t="str">
        <f t="shared" si="5"/>
        <v/>
      </c>
      <c r="U180" s="7">
        <f>IF($C180="",0,IF('설정'!$B$4=0,0,CHOOSE('설정'!$B$4,COUNTIFS('RAW_유기농_7월'!$D:$D,$C180,'RAW_유기농_7월'!$A:$A,$E180),COUNTIFS('RAW_유기농_8월'!$D:$D,$C180,'RAW_유기농_8월'!$A:$A,$E180),COUNTIFS('RAW_유기농_9월'!$D:$D,$C180,'RAW_유기농_9월'!$A:$A,$E180),COUNTIFS('RAW_유기농_10월'!$D:$D,$C180,'RAW_유기농_10월'!$A:$A,$E180),COUNTIFS('RAW_유기농_11-12월'!$D:$D,$C180,'RAW_유기농_11-12월'!$A:$A,$E180))))</f>
        <v>0</v>
      </c>
    </row>
    <row r="181" ht="15.75" customHeight="1">
      <c r="A181" s="5"/>
      <c r="B181" s="5"/>
      <c r="C181" s="5"/>
      <c r="D181" s="6"/>
      <c r="E181" s="5"/>
      <c r="F181" s="7" t="str">
        <f>IF($C181="","",IF('설정'!$B$4=0,"",CHOOSE('설정'!$B$4,SUMIFS('RAW_유기농_7월'!$F:$F,'RAW_유기농_7월'!$D:$D,$C181,'RAW_유기농_7월'!$A:$A,$E181),SUMIFS('RAW_유기농_8월'!$F:$F,'RAW_유기농_8월'!$D:$D,$C181,'RAW_유기농_8월'!$A:$A,$E181),SUMIFS('RAW_유기농_9월'!$F:$F,'RAW_유기농_9월'!$D:$D,$C181,'RAW_유기농_9월'!$A:$A,$E181),SUMIFS('RAW_유기농_10월'!$F:$F,'RAW_유기농_10월'!$D:$D,$C181,'RAW_유기농_10월'!$A:$A,$E181),SUMIFS('RAW_유기농_11-12월'!$F:$F,'RAW_유기농_11-12월'!$D:$D,$C181,'RAW_유기농_11-12월'!$A:$A,$E181))))</f>
        <v/>
      </c>
      <c r="G181" s="7" t="str">
        <f>IF($C181="","",IF('설정'!$B$4=0,"",CHOOSE('설정'!$B$4,SUMIFS('RAW_유기농_7월'!$G:$G,'RAW_유기농_7월'!$D:$D,$C181,'RAW_유기농_7월'!$A:$A,$E181),SUMIFS('RAW_유기농_8월'!$G:$G,'RAW_유기농_8월'!$D:$D,$C181,'RAW_유기농_8월'!$A:$A,$E181),SUMIFS('RAW_유기농_9월'!$G:$G,'RAW_유기농_9월'!$D:$D,$C181,'RAW_유기농_9월'!$A:$A,$E181),SUMIFS('RAW_유기농_10월'!$G:$G,'RAW_유기농_10월'!$D:$D,$C181,'RAW_유기농_10월'!$A:$A,$E181),SUMIFS('RAW_유기농_11-12월'!$G:$G,'RAW_유기농_11-12월'!$D:$D,$C181,'RAW_유기농_11-12월'!$A:$A,$E181))))</f>
        <v/>
      </c>
      <c r="H181" s="7" t="str">
        <f>IF($C181="","",IF('설정'!$B$4=0,"",CHOOSE('설정'!$B$4,SUMIFS('RAW_유기농_7월'!$H:$H,'RAW_유기농_7월'!$D:$D,$C181,'RAW_유기농_7월'!$A:$A,$E181),SUMIFS('RAW_유기농_8월'!$H:$H,'RAW_유기농_8월'!$D:$D,$C181,'RAW_유기농_8월'!$A:$A,$E181),SUMIFS('RAW_유기농_9월'!$H:$H,'RAW_유기농_9월'!$D:$D,$C181,'RAW_유기농_9월'!$A:$A,$E181),SUMIFS('RAW_유기농_10월'!$H:$H,'RAW_유기농_10월'!$D:$D,$C181,'RAW_유기농_10월'!$A:$A,$E181),SUMIFS('RAW_유기농_11-12월'!$H:$H,'RAW_유기농_11-12월'!$D:$D,$C181,'RAW_유기농_11-12월'!$A:$A,$E181))))</f>
        <v/>
      </c>
      <c r="I181" s="17" t="str">
        <f>IF($C181="","",IF(COUNTIFS('RAW_유기농_7월'!$D:$D,$C181,'RAW_유기농_7월'!$A:$A,$E181)&gt;0,"O",""))</f>
        <v/>
      </c>
      <c r="J181" s="17" t="str">
        <f>IF($C181="","",IF(COUNTIFS('RAW_유기농_8월'!$D:$D,$C181,'RAW_유기농_8월'!$A:$A,$E181)&gt;0,"O",""))</f>
        <v/>
      </c>
      <c r="K181" s="17" t="str">
        <f>IF($C181="","",IF(COUNTIFS('RAW_유기농_9월'!$D:$D,$C181,'RAW_유기농_9월'!$A:$A,$E181)&gt;0,"O",""))</f>
        <v/>
      </c>
      <c r="L181" s="17" t="str">
        <f>IF($C181="","",IF(COUNTIFS('RAW_유기농_10월'!$D:$D,$C181,'RAW_유기농_10월'!$A:$A,$E181)&gt;0,"O",""))</f>
        <v/>
      </c>
      <c r="M181" s="17" t="str">
        <f>IF($C181="","",IF(COUNTIFS('RAW_유기농_11-12월'!$D:$D,$C181,'RAW_유기농_11-12월'!$A:$A,$E181)&gt;0,"O",""))</f>
        <v/>
      </c>
      <c r="N181" s="7" t="str">
        <f>IF($C181="","",IF(COUNTA('RAW_유기농_7월'!$A:$A)&lt;=1,"",SUMIFS('RAW_유기농_7월'!$H:$H,'RAW_유기농_7월'!$D:$D,$C181,'RAW_유기농_7월'!$A:$A,$E181)))</f>
        <v/>
      </c>
      <c r="O181" s="7" t="str">
        <f>IF($C181="","",IF(COUNTA('RAW_유기농_8월'!$A:$A)&lt;=1,"",SUMIFS('RAW_유기농_8월'!$H:$H,'RAW_유기농_8월'!$D:$D,$C181,'RAW_유기농_8월'!$A:$A,$E181)-SUMIFS('RAW_유기농_7월'!$H:$H,'RAW_유기농_7월'!$D:$D,$C181,'RAW_유기농_7월'!$A:$A,$E181)))</f>
        <v/>
      </c>
      <c r="P181" s="7" t="str">
        <f>IF($C181="","",IF(COUNTA('RAW_유기농_9월'!$A:$A)&lt;=1,"",SUMIFS('RAW_유기농_9월'!$H:$H,'RAW_유기농_9월'!$D:$D,$C181,'RAW_유기농_9월'!$A:$A,$E181)-SUMIFS('RAW_유기농_8월'!$H:$H,'RAW_유기농_8월'!$D:$D,$C181,'RAW_유기농_8월'!$A:$A,$E181)))</f>
        <v/>
      </c>
      <c r="Q181" s="7" t="str">
        <f>IF($C181="","",IF(COUNTA('RAW_유기농_10월'!$A:$A)&lt;=1,"",SUMIFS('RAW_유기농_10월'!$H:$H,'RAW_유기농_10월'!$D:$D,$C181,'RAW_유기농_10월'!$A:$A,$E181)-SUMIFS('RAW_유기농_9월'!$H:$H,'RAW_유기농_9월'!$D:$D,$C181,'RAW_유기농_9월'!$A:$A,$E181)))</f>
        <v/>
      </c>
      <c r="R181" s="7" t="str">
        <f>IF($C181="","",IF(COUNTA('RAW_유기농_11-12월'!$A:$A)&lt;=1,"",SUMIFS('RAW_유기농_11-12월'!$H:$H,'RAW_유기농_11-12월'!$D:$D,$C181,'RAW_유기농_11-12월'!$A:$A,$E181)-SUMIFS('RAW_유기농_10월'!$H:$H,'RAW_유기농_10월'!$D:$D,$C181,'RAW_유기농_10월'!$A:$A,$E181)))</f>
        <v/>
      </c>
      <c r="S181" s="17" t="str">
        <f t="shared" si="4"/>
        <v/>
      </c>
      <c r="T181" s="17" t="str">
        <f t="shared" si="5"/>
        <v/>
      </c>
      <c r="U181" s="7">
        <f>IF($C181="",0,IF('설정'!$B$4=0,0,CHOOSE('설정'!$B$4,COUNTIFS('RAW_유기농_7월'!$D:$D,$C181,'RAW_유기농_7월'!$A:$A,$E181),COUNTIFS('RAW_유기농_8월'!$D:$D,$C181,'RAW_유기농_8월'!$A:$A,$E181),COUNTIFS('RAW_유기농_9월'!$D:$D,$C181,'RAW_유기농_9월'!$A:$A,$E181),COUNTIFS('RAW_유기농_10월'!$D:$D,$C181,'RAW_유기농_10월'!$A:$A,$E181),COUNTIFS('RAW_유기농_11-12월'!$D:$D,$C181,'RAW_유기농_11-12월'!$A:$A,$E181))))</f>
        <v>0</v>
      </c>
    </row>
    <row r="182" ht="15.75" customHeight="1">
      <c r="A182" s="5"/>
      <c r="B182" s="5"/>
      <c r="C182" s="5"/>
      <c r="D182" s="6"/>
      <c r="E182" s="5"/>
      <c r="F182" s="7" t="str">
        <f>IF($C182="","",IF('설정'!$B$4=0,"",CHOOSE('설정'!$B$4,SUMIFS('RAW_유기농_7월'!$F:$F,'RAW_유기농_7월'!$D:$D,$C182,'RAW_유기농_7월'!$A:$A,$E182),SUMIFS('RAW_유기농_8월'!$F:$F,'RAW_유기농_8월'!$D:$D,$C182,'RAW_유기농_8월'!$A:$A,$E182),SUMIFS('RAW_유기농_9월'!$F:$F,'RAW_유기농_9월'!$D:$D,$C182,'RAW_유기농_9월'!$A:$A,$E182),SUMIFS('RAW_유기농_10월'!$F:$F,'RAW_유기농_10월'!$D:$D,$C182,'RAW_유기농_10월'!$A:$A,$E182),SUMIFS('RAW_유기농_11-12월'!$F:$F,'RAW_유기농_11-12월'!$D:$D,$C182,'RAW_유기농_11-12월'!$A:$A,$E182))))</f>
        <v/>
      </c>
      <c r="G182" s="7" t="str">
        <f>IF($C182="","",IF('설정'!$B$4=0,"",CHOOSE('설정'!$B$4,SUMIFS('RAW_유기농_7월'!$G:$G,'RAW_유기농_7월'!$D:$D,$C182,'RAW_유기농_7월'!$A:$A,$E182),SUMIFS('RAW_유기농_8월'!$G:$G,'RAW_유기농_8월'!$D:$D,$C182,'RAW_유기농_8월'!$A:$A,$E182),SUMIFS('RAW_유기농_9월'!$G:$G,'RAW_유기농_9월'!$D:$D,$C182,'RAW_유기농_9월'!$A:$A,$E182),SUMIFS('RAW_유기농_10월'!$G:$G,'RAW_유기농_10월'!$D:$D,$C182,'RAW_유기농_10월'!$A:$A,$E182),SUMIFS('RAW_유기농_11-12월'!$G:$G,'RAW_유기농_11-12월'!$D:$D,$C182,'RAW_유기농_11-12월'!$A:$A,$E182))))</f>
        <v/>
      </c>
      <c r="H182" s="7" t="str">
        <f>IF($C182="","",IF('설정'!$B$4=0,"",CHOOSE('설정'!$B$4,SUMIFS('RAW_유기농_7월'!$H:$H,'RAW_유기농_7월'!$D:$D,$C182,'RAW_유기농_7월'!$A:$A,$E182),SUMIFS('RAW_유기농_8월'!$H:$H,'RAW_유기농_8월'!$D:$D,$C182,'RAW_유기농_8월'!$A:$A,$E182),SUMIFS('RAW_유기농_9월'!$H:$H,'RAW_유기농_9월'!$D:$D,$C182,'RAW_유기농_9월'!$A:$A,$E182),SUMIFS('RAW_유기농_10월'!$H:$H,'RAW_유기농_10월'!$D:$D,$C182,'RAW_유기농_10월'!$A:$A,$E182),SUMIFS('RAW_유기농_11-12월'!$H:$H,'RAW_유기농_11-12월'!$D:$D,$C182,'RAW_유기농_11-12월'!$A:$A,$E182))))</f>
        <v/>
      </c>
      <c r="I182" s="17" t="str">
        <f>IF($C182="","",IF(COUNTIFS('RAW_유기농_7월'!$D:$D,$C182,'RAW_유기농_7월'!$A:$A,$E182)&gt;0,"O",""))</f>
        <v/>
      </c>
      <c r="J182" s="17" t="str">
        <f>IF($C182="","",IF(COUNTIFS('RAW_유기농_8월'!$D:$D,$C182,'RAW_유기농_8월'!$A:$A,$E182)&gt;0,"O",""))</f>
        <v/>
      </c>
      <c r="K182" s="17" t="str">
        <f>IF($C182="","",IF(COUNTIFS('RAW_유기농_9월'!$D:$D,$C182,'RAW_유기농_9월'!$A:$A,$E182)&gt;0,"O",""))</f>
        <v/>
      </c>
      <c r="L182" s="17" t="str">
        <f>IF($C182="","",IF(COUNTIFS('RAW_유기농_10월'!$D:$D,$C182,'RAW_유기농_10월'!$A:$A,$E182)&gt;0,"O",""))</f>
        <v/>
      </c>
      <c r="M182" s="17" t="str">
        <f>IF($C182="","",IF(COUNTIFS('RAW_유기농_11-12월'!$D:$D,$C182,'RAW_유기농_11-12월'!$A:$A,$E182)&gt;0,"O",""))</f>
        <v/>
      </c>
      <c r="N182" s="7" t="str">
        <f>IF($C182="","",IF(COUNTA('RAW_유기농_7월'!$A:$A)&lt;=1,"",SUMIFS('RAW_유기농_7월'!$H:$H,'RAW_유기농_7월'!$D:$D,$C182,'RAW_유기농_7월'!$A:$A,$E182)))</f>
        <v/>
      </c>
      <c r="O182" s="7" t="str">
        <f>IF($C182="","",IF(COUNTA('RAW_유기농_8월'!$A:$A)&lt;=1,"",SUMIFS('RAW_유기농_8월'!$H:$H,'RAW_유기농_8월'!$D:$D,$C182,'RAW_유기농_8월'!$A:$A,$E182)-SUMIFS('RAW_유기농_7월'!$H:$H,'RAW_유기농_7월'!$D:$D,$C182,'RAW_유기농_7월'!$A:$A,$E182)))</f>
        <v/>
      </c>
      <c r="P182" s="7" t="str">
        <f>IF($C182="","",IF(COUNTA('RAW_유기농_9월'!$A:$A)&lt;=1,"",SUMIFS('RAW_유기농_9월'!$H:$H,'RAW_유기농_9월'!$D:$D,$C182,'RAW_유기농_9월'!$A:$A,$E182)-SUMIFS('RAW_유기농_8월'!$H:$H,'RAW_유기농_8월'!$D:$D,$C182,'RAW_유기농_8월'!$A:$A,$E182)))</f>
        <v/>
      </c>
      <c r="Q182" s="7" t="str">
        <f>IF($C182="","",IF(COUNTA('RAW_유기농_10월'!$A:$A)&lt;=1,"",SUMIFS('RAW_유기농_10월'!$H:$H,'RAW_유기농_10월'!$D:$D,$C182,'RAW_유기농_10월'!$A:$A,$E182)-SUMIFS('RAW_유기농_9월'!$H:$H,'RAW_유기농_9월'!$D:$D,$C182,'RAW_유기농_9월'!$A:$A,$E182)))</f>
        <v/>
      </c>
      <c r="R182" s="7" t="str">
        <f>IF($C182="","",IF(COUNTA('RAW_유기농_11-12월'!$A:$A)&lt;=1,"",SUMIFS('RAW_유기농_11-12월'!$H:$H,'RAW_유기농_11-12월'!$D:$D,$C182,'RAW_유기농_11-12월'!$A:$A,$E182)-SUMIFS('RAW_유기농_10월'!$H:$H,'RAW_유기농_10월'!$D:$D,$C182,'RAW_유기농_10월'!$A:$A,$E182)))</f>
        <v/>
      </c>
      <c r="S182" s="17" t="str">
        <f t="shared" si="4"/>
        <v/>
      </c>
      <c r="T182" s="17" t="str">
        <f t="shared" si="5"/>
        <v/>
      </c>
      <c r="U182" s="7">
        <f>IF($C182="",0,IF('설정'!$B$4=0,0,CHOOSE('설정'!$B$4,COUNTIFS('RAW_유기농_7월'!$D:$D,$C182,'RAW_유기농_7월'!$A:$A,$E182),COUNTIFS('RAW_유기농_8월'!$D:$D,$C182,'RAW_유기농_8월'!$A:$A,$E182),COUNTIFS('RAW_유기농_9월'!$D:$D,$C182,'RAW_유기농_9월'!$A:$A,$E182),COUNTIFS('RAW_유기농_10월'!$D:$D,$C182,'RAW_유기농_10월'!$A:$A,$E182),COUNTIFS('RAW_유기농_11-12월'!$D:$D,$C182,'RAW_유기농_11-12월'!$A:$A,$E182))))</f>
        <v>0</v>
      </c>
    </row>
    <row r="183" ht="15.75" customHeight="1">
      <c r="A183" s="5"/>
      <c r="B183" s="5"/>
      <c r="C183" s="5"/>
      <c r="D183" s="6"/>
      <c r="E183" s="5"/>
      <c r="F183" s="7" t="str">
        <f>IF($C183="","",IF('설정'!$B$4=0,"",CHOOSE('설정'!$B$4,SUMIFS('RAW_유기농_7월'!$F:$F,'RAW_유기농_7월'!$D:$D,$C183,'RAW_유기농_7월'!$A:$A,$E183),SUMIFS('RAW_유기농_8월'!$F:$F,'RAW_유기농_8월'!$D:$D,$C183,'RAW_유기농_8월'!$A:$A,$E183),SUMIFS('RAW_유기농_9월'!$F:$F,'RAW_유기농_9월'!$D:$D,$C183,'RAW_유기농_9월'!$A:$A,$E183),SUMIFS('RAW_유기농_10월'!$F:$F,'RAW_유기농_10월'!$D:$D,$C183,'RAW_유기농_10월'!$A:$A,$E183),SUMIFS('RAW_유기농_11-12월'!$F:$F,'RAW_유기농_11-12월'!$D:$D,$C183,'RAW_유기농_11-12월'!$A:$A,$E183))))</f>
        <v/>
      </c>
      <c r="G183" s="7" t="str">
        <f>IF($C183="","",IF('설정'!$B$4=0,"",CHOOSE('설정'!$B$4,SUMIFS('RAW_유기농_7월'!$G:$G,'RAW_유기농_7월'!$D:$D,$C183,'RAW_유기농_7월'!$A:$A,$E183),SUMIFS('RAW_유기농_8월'!$G:$G,'RAW_유기농_8월'!$D:$D,$C183,'RAW_유기농_8월'!$A:$A,$E183),SUMIFS('RAW_유기농_9월'!$G:$G,'RAW_유기농_9월'!$D:$D,$C183,'RAW_유기농_9월'!$A:$A,$E183),SUMIFS('RAW_유기농_10월'!$G:$G,'RAW_유기농_10월'!$D:$D,$C183,'RAW_유기농_10월'!$A:$A,$E183),SUMIFS('RAW_유기농_11-12월'!$G:$G,'RAW_유기농_11-12월'!$D:$D,$C183,'RAW_유기농_11-12월'!$A:$A,$E183))))</f>
        <v/>
      </c>
      <c r="H183" s="7" t="str">
        <f>IF($C183="","",IF('설정'!$B$4=0,"",CHOOSE('설정'!$B$4,SUMIFS('RAW_유기농_7월'!$H:$H,'RAW_유기농_7월'!$D:$D,$C183,'RAW_유기농_7월'!$A:$A,$E183),SUMIFS('RAW_유기농_8월'!$H:$H,'RAW_유기농_8월'!$D:$D,$C183,'RAW_유기농_8월'!$A:$A,$E183),SUMIFS('RAW_유기농_9월'!$H:$H,'RAW_유기농_9월'!$D:$D,$C183,'RAW_유기농_9월'!$A:$A,$E183),SUMIFS('RAW_유기농_10월'!$H:$H,'RAW_유기농_10월'!$D:$D,$C183,'RAW_유기농_10월'!$A:$A,$E183),SUMIFS('RAW_유기농_11-12월'!$H:$H,'RAW_유기농_11-12월'!$D:$D,$C183,'RAW_유기농_11-12월'!$A:$A,$E183))))</f>
        <v/>
      </c>
      <c r="I183" s="17" t="str">
        <f>IF($C183="","",IF(COUNTIFS('RAW_유기농_7월'!$D:$D,$C183,'RAW_유기농_7월'!$A:$A,$E183)&gt;0,"O",""))</f>
        <v/>
      </c>
      <c r="J183" s="17" t="str">
        <f>IF($C183="","",IF(COUNTIFS('RAW_유기농_8월'!$D:$D,$C183,'RAW_유기농_8월'!$A:$A,$E183)&gt;0,"O",""))</f>
        <v/>
      </c>
      <c r="K183" s="17" t="str">
        <f>IF($C183="","",IF(COUNTIFS('RAW_유기농_9월'!$D:$D,$C183,'RAW_유기농_9월'!$A:$A,$E183)&gt;0,"O",""))</f>
        <v/>
      </c>
      <c r="L183" s="17" t="str">
        <f>IF($C183="","",IF(COUNTIFS('RAW_유기농_10월'!$D:$D,$C183,'RAW_유기농_10월'!$A:$A,$E183)&gt;0,"O",""))</f>
        <v/>
      </c>
      <c r="M183" s="17" t="str">
        <f>IF($C183="","",IF(COUNTIFS('RAW_유기농_11-12월'!$D:$D,$C183,'RAW_유기농_11-12월'!$A:$A,$E183)&gt;0,"O",""))</f>
        <v/>
      </c>
      <c r="N183" s="7" t="str">
        <f>IF($C183="","",IF(COUNTA('RAW_유기농_7월'!$A:$A)&lt;=1,"",SUMIFS('RAW_유기농_7월'!$H:$H,'RAW_유기농_7월'!$D:$D,$C183,'RAW_유기농_7월'!$A:$A,$E183)))</f>
        <v/>
      </c>
      <c r="O183" s="7" t="str">
        <f>IF($C183="","",IF(COUNTA('RAW_유기농_8월'!$A:$A)&lt;=1,"",SUMIFS('RAW_유기농_8월'!$H:$H,'RAW_유기농_8월'!$D:$D,$C183,'RAW_유기농_8월'!$A:$A,$E183)-SUMIFS('RAW_유기농_7월'!$H:$H,'RAW_유기농_7월'!$D:$D,$C183,'RAW_유기농_7월'!$A:$A,$E183)))</f>
        <v/>
      </c>
      <c r="P183" s="7" t="str">
        <f>IF($C183="","",IF(COUNTA('RAW_유기농_9월'!$A:$A)&lt;=1,"",SUMIFS('RAW_유기농_9월'!$H:$H,'RAW_유기농_9월'!$D:$D,$C183,'RAW_유기농_9월'!$A:$A,$E183)-SUMIFS('RAW_유기농_8월'!$H:$H,'RAW_유기농_8월'!$D:$D,$C183,'RAW_유기농_8월'!$A:$A,$E183)))</f>
        <v/>
      </c>
      <c r="Q183" s="7" t="str">
        <f>IF($C183="","",IF(COUNTA('RAW_유기농_10월'!$A:$A)&lt;=1,"",SUMIFS('RAW_유기농_10월'!$H:$H,'RAW_유기농_10월'!$D:$D,$C183,'RAW_유기농_10월'!$A:$A,$E183)-SUMIFS('RAW_유기농_9월'!$H:$H,'RAW_유기농_9월'!$D:$D,$C183,'RAW_유기농_9월'!$A:$A,$E183)))</f>
        <v/>
      </c>
      <c r="R183" s="7" t="str">
        <f>IF($C183="","",IF(COUNTA('RAW_유기농_11-12월'!$A:$A)&lt;=1,"",SUMIFS('RAW_유기농_11-12월'!$H:$H,'RAW_유기농_11-12월'!$D:$D,$C183,'RAW_유기농_11-12월'!$A:$A,$E183)-SUMIFS('RAW_유기농_10월'!$H:$H,'RAW_유기농_10월'!$D:$D,$C183,'RAW_유기농_10월'!$A:$A,$E183)))</f>
        <v/>
      </c>
      <c r="S183" s="17" t="str">
        <f t="shared" si="4"/>
        <v/>
      </c>
      <c r="T183" s="17" t="str">
        <f t="shared" si="5"/>
        <v/>
      </c>
      <c r="U183" s="7">
        <f>IF($C183="",0,IF('설정'!$B$4=0,0,CHOOSE('설정'!$B$4,COUNTIFS('RAW_유기농_7월'!$D:$D,$C183,'RAW_유기농_7월'!$A:$A,$E183),COUNTIFS('RAW_유기농_8월'!$D:$D,$C183,'RAW_유기농_8월'!$A:$A,$E183),COUNTIFS('RAW_유기농_9월'!$D:$D,$C183,'RAW_유기농_9월'!$A:$A,$E183),COUNTIFS('RAW_유기농_10월'!$D:$D,$C183,'RAW_유기농_10월'!$A:$A,$E183),COUNTIFS('RAW_유기농_11-12월'!$D:$D,$C183,'RAW_유기농_11-12월'!$A:$A,$E183))))</f>
        <v>0</v>
      </c>
    </row>
    <row r="184" ht="15.75" customHeight="1">
      <c r="A184" s="5"/>
      <c r="B184" s="5"/>
      <c r="C184" s="5"/>
      <c r="D184" s="6"/>
      <c r="E184" s="5"/>
      <c r="F184" s="7" t="str">
        <f>IF($C184="","",IF('설정'!$B$4=0,"",CHOOSE('설정'!$B$4,SUMIFS('RAW_유기농_7월'!$F:$F,'RAW_유기농_7월'!$D:$D,$C184,'RAW_유기농_7월'!$A:$A,$E184),SUMIFS('RAW_유기농_8월'!$F:$F,'RAW_유기농_8월'!$D:$D,$C184,'RAW_유기농_8월'!$A:$A,$E184),SUMIFS('RAW_유기농_9월'!$F:$F,'RAW_유기농_9월'!$D:$D,$C184,'RAW_유기농_9월'!$A:$A,$E184),SUMIFS('RAW_유기농_10월'!$F:$F,'RAW_유기농_10월'!$D:$D,$C184,'RAW_유기농_10월'!$A:$A,$E184),SUMIFS('RAW_유기농_11-12월'!$F:$F,'RAW_유기농_11-12월'!$D:$D,$C184,'RAW_유기농_11-12월'!$A:$A,$E184))))</f>
        <v/>
      </c>
      <c r="G184" s="7" t="str">
        <f>IF($C184="","",IF('설정'!$B$4=0,"",CHOOSE('설정'!$B$4,SUMIFS('RAW_유기농_7월'!$G:$G,'RAW_유기농_7월'!$D:$D,$C184,'RAW_유기농_7월'!$A:$A,$E184),SUMIFS('RAW_유기농_8월'!$G:$G,'RAW_유기농_8월'!$D:$D,$C184,'RAW_유기농_8월'!$A:$A,$E184),SUMIFS('RAW_유기농_9월'!$G:$G,'RAW_유기농_9월'!$D:$D,$C184,'RAW_유기농_9월'!$A:$A,$E184),SUMIFS('RAW_유기농_10월'!$G:$G,'RAW_유기농_10월'!$D:$D,$C184,'RAW_유기농_10월'!$A:$A,$E184),SUMIFS('RAW_유기농_11-12월'!$G:$G,'RAW_유기농_11-12월'!$D:$D,$C184,'RAW_유기농_11-12월'!$A:$A,$E184))))</f>
        <v/>
      </c>
      <c r="H184" s="7" t="str">
        <f>IF($C184="","",IF('설정'!$B$4=0,"",CHOOSE('설정'!$B$4,SUMIFS('RAW_유기농_7월'!$H:$H,'RAW_유기농_7월'!$D:$D,$C184,'RAW_유기농_7월'!$A:$A,$E184),SUMIFS('RAW_유기농_8월'!$H:$H,'RAW_유기농_8월'!$D:$D,$C184,'RAW_유기농_8월'!$A:$A,$E184),SUMIFS('RAW_유기농_9월'!$H:$H,'RAW_유기농_9월'!$D:$D,$C184,'RAW_유기농_9월'!$A:$A,$E184),SUMIFS('RAW_유기농_10월'!$H:$H,'RAW_유기농_10월'!$D:$D,$C184,'RAW_유기농_10월'!$A:$A,$E184),SUMIFS('RAW_유기농_11-12월'!$H:$H,'RAW_유기농_11-12월'!$D:$D,$C184,'RAW_유기농_11-12월'!$A:$A,$E184))))</f>
        <v/>
      </c>
      <c r="I184" s="17" t="str">
        <f>IF($C184="","",IF(COUNTIFS('RAW_유기농_7월'!$D:$D,$C184,'RAW_유기농_7월'!$A:$A,$E184)&gt;0,"O",""))</f>
        <v/>
      </c>
      <c r="J184" s="17" t="str">
        <f>IF($C184="","",IF(COUNTIFS('RAW_유기농_8월'!$D:$D,$C184,'RAW_유기농_8월'!$A:$A,$E184)&gt;0,"O",""))</f>
        <v/>
      </c>
      <c r="K184" s="17" t="str">
        <f>IF($C184="","",IF(COUNTIFS('RAW_유기농_9월'!$D:$D,$C184,'RAW_유기농_9월'!$A:$A,$E184)&gt;0,"O",""))</f>
        <v/>
      </c>
      <c r="L184" s="17" t="str">
        <f>IF($C184="","",IF(COUNTIFS('RAW_유기농_10월'!$D:$D,$C184,'RAW_유기농_10월'!$A:$A,$E184)&gt;0,"O",""))</f>
        <v/>
      </c>
      <c r="M184" s="17" t="str">
        <f>IF($C184="","",IF(COUNTIFS('RAW_유기농_11-12월'!$D:$D,$C184,'RAW_유기농_11-12월'!$A:$A,$E184)&gt;0,"O",""))</f>
        <v/>
      </c>
      <c r="N184" s="7" t="str">
        <f>IF($C184="","",IF(COUNTA('RAW_유기농_7월'!$A:$A)&lt;=1,"",SUMIFS('RAW_유기농_7월'!$H:$H,'RAW_유기농_7월'!$D:$D,$C184,'RAW_유기농_7월'!$A:$A,$E184)))</f>
        <v/>
      </c>
      <c r="O184" s="7" t="str">
        <f>IF($C184="","",IF(COUNTA('RAW_유기농_8월'!$A:$A)&lt;=1,"",SUMIFS('RAW_유기농_8월'!$H:$H,'RAW_유기농_8월'!$D:$D,$C184,'RAW_유기농_8월'!$A:$A,$E184)-SUMIFS('RAW_유기농_7월'!$H:$H,'RAW_유기농_7월'!$D:$D,$C184,'RAW_유기농_7월'!$A:$A,$E184)))</f>
        <v/>
      </c>
      <c r="P184" s="7" t="str">
        <f>IF($C184="","",IF(COUNTA('RAW_유기농_9월'!$A:$A)&lt;=1,"",SUMIFS('RAW_유기농_9월'!$H:$H,'RAW_유기농_9월'!$D:$D,$C184,'RAW_유기농_9월'!$A:$A,$E184)-SUMIFS('RAW_유기농_8월'!$H:$H,'RAW_유기농_8월'!$D:$D,$C184,'RAW_유기농_8월'!$A:$A,$E184)))</f>
        <v/>
      </c>
      <c r="Q184" s="7" t="str">
        <f>IF($C184="","",IF(COUNTA('RAW_유기농_10월'!$A:$A)&lt;=1,"",SUMIFS('RAW_유기농_10월'!$H:$H,'RAW_유기농_10월'!$D:$D,$C184,'RAW_유기농_10월'!$A:$A,$E184)-SUMIFS('RAW_유기농_9월'!$H:$H,'RAW_유기농_9월'!$D:$D,$C184,'RAW_유기농_9월'!$A:$A,$E184)))</f>
        <v/>
      </c>
      <c r="R184" s="7" t="str">
        <f>IF($C184="","",IF(COUNTA('RAW_유기농_11-12월'!$A:$A)&lt;=1,"",SUMIFS('RAW_유기농_11-12월'!$H:$H,'RAW_유기농_11-12월'!$D:$D,$C184,'RAW_유기농_11-12월'!$A:$A,$E184)-SUMIFS('RAW_유기농_10월'!$H:$H,'RAW_유기농_10월'!$D:$D,$C184,'RAW_유기농_10월'!$A:$A,$E184)))</f>
        <v/>
      </c>
      <c r="S184" s="17" t="str">
        <f t="shared" si="4"/>
        <v/>
      </c>
      <c r="T184" s="17" t="str">
        <f t="shared" si="5"/>
        <v/>
      </c>
      <c r="U184" s="7">
        <f>IF($C184="",0,IF('설정'!$B$4=0,0,CHOOSE('설정'!$B$4,COUNTIFS('RAW_유기농_7월'!$D:$D,$C184,'RAW_유기농_7월'!$A:$A,$E184),COUNTIFS('RAW_유기농_8월'!$D:$D,$C184,'RAW_유기농_8월'!$A:$A,$E184),COUNTIFS('RAW_유기농_9월'!$D:$D,$C184,'RAW_유기농_9월'!$A:$A,$E184),COUNTIFS('RAW_유기농_10월'!$D:$D,$C184,'RAW_유기농_10월'!$A:$A,$E184),COUNTIFS('RAW_유기농_11-12월'!$D:$D,$C184,'RAW_유기농_11-12월'!$A:$A,$E184))))</f>
        <v>0</v>
      </c>
    </row>
    <row r="185" ht="15.75" customHeight="1">
      <c r="A185" s="5"/>
      <c r="B185" s="5"/>
      <c r="C185" s="5"/>
      <c r="D185" s="6"/>
      <c r="E185" s="5"/>
      <c r="F185" s="7" t="str">
        <f>IF($C185="","",IF('설정'!$B$4=0,"",CHOOSE('설정'!$B$4,SUMIFS('RAW_유기농_7월'!$F:$F,'RAW_유기농_7월'!$D:$D,$C185,'RAW_유기농_7월'!$A:$A,$E185),SUMIFS('RAW_유기농_8월'!$F:$F,'RAW_유기농_8월'!$D:$D,$C185,'RAW_유기농_8월'!$A:$A,$E185),SUMIFS('RAW_유기농_9월'!$F:$F,'RAW_유기농_9월'!$D:$D,$C185,'RAW_유기농_9월'!$A:$A,$E185),SUMIFS('RAW_유기농_10월'!$F:$F,'RAW_유기농_10월'!$D:$D,$C185,'RAW_유기농_10월'!$A:$A,$E185),SUMIFS('RAW_유기농_11-12월'!$F:$F,'RAW_유기농_11-12월'!$D:$D,$C185,'RAW_유기농_11-12월'!$A:$A,$E185))))</f>
        <v/>
      </c>
      <c r="G185" s="7" t="str">
        <f>IF($C185="","",IF('설정'!$B$4=0,"",CHOOSE('설정'!$B$4,SUMIFS('RAW_유기농_7월'!$G:$G,'RAW_유기농_7월'!$D:$D,$C185,'RAW_유기농_7월'!$A:$A,$E185),SUMIFS('RAW_유기농_8월'!$G:$G,'RAW_유기농_8월'!$D:$D,$C185,'RAW_유기농_8월'!$A:$A,$E185),SUMIFS('RAW_유기농_9월'!$G:$G,'RAW_유기농_9월'!$D:$D,$C185,'RAW_유기농_9월'!$A:$A,$E185),SUMIFS('RAW_유기농_10월'!$G:$G,'RAW_유기농_10월'!$D:$D,$C185,'RAW_유기농_10월'!$A:$A,$E185),SUMIFS('RAW_유기농_11-12월'!$G:$G,'RAW_유기농_11-12월'!$D:$D,$C185,'RAW_유기농_11-12월'!$A:$A,$E185))))</f>
        <v/>
      </c>
      <c r="H185" s="7" t="str">
        <f>IF($C185="","",IF('설정'!$B$4=0,"",CHOOSE('설정'!$B$4,SUMIFS('RAW_유기농_7월'!$H:$H,'RAW_유기농_7월'!$D:$D,$C185,'RAW_유기농_7월'!$A:$A,$E185),SUMIFS('RAW_유기농_8월'!$H:$H,'RAW_유기농_8월'!$D:$D,$C185,'RAW_유기농_8월'!$A:$A,$E185),SUMIFS('RAW_유기농_9월'!$H:$H,'RAW_유기농_9월'!$D:$D,$C185,'RAW_유기농_9월'!$A:$A,$E185),SUMIFS('RAW_유기농_10월'!$H:$H,'RAW_유기농_10월'!$D:$D,$C185,'RAW_유기농_10월'!$A:$A,$E185),SUMIFS('RAW_유기농_11-12월'!$H:$H,'RAW_유기농_11-12월'!$D:$D,$C185,'RAW_유기농_11-12월'!$A:$A,$E185))))</f>
        <v/>
      </c>
      <c r="I185" s="17" t="str">
        <f>IF($C185="","",IF(COUNTIFS('RAW_유기농_7월'!$D:$D,$C185,'RAW_유기농_7월'!$A:$A,$E185)&gt;0,"O",""))</f>
        <v/>
      </c>
      <c r="J185" s="17" t="str">
        <f>IF($C185="","",IF(COUNTIFS('RAW_유기농_8월'!$D:$D,$C185,'RAW_유기농_8월'!$A:$A,$E185)&gt;0,"O",""))</f>
        <v/>
      </c>
      <c r="K185" s="17" t="str">
        <f>IF($C185="","",IF(COUNTIFS('RAW_유기농_9월'!$D:$D,$C185,'RAW_유기농_9월'!$A:$A,$E185)&gt;0,"O",""))</f>
        <v/>
      </c>
      <c r="L185" s="17" t="str">
        <f>IF($C185="","",IF(COUNTIFS('RAW_유기농_10월'!$D:$D,$C185,'RAW_유기농_10월'!$A:$A,$E185)&gt;0,"O",""))</f>
        <v/>
      </c>
      <c r="M185" s="17" t="str">
        <f>IF($C185="","",IF(COUNTIFS('RAW_유기농_11-12월'!$D:$D,$C185,'RAW_유기농_11-12월'!$A:$A,$E185)&gt;0,"O",""))</f>
        <v/>
      </c>
      <c r="N185" s="7" t="str">
        <f>IF($C185="","",IF(COUNTA('RAW_유기농_7월'!$A:$A)&lt;=1,"",SUMIFS('RAW_유기농_7월'!$H:$H,'RAW_유기농_7월'!$D:$D,$C185,'RAW_유기농_7월'!$A:$A,$E185)))</f>
        <v/>
      </c>
      <c r="O185" s="7" t="str">
        <f>IF($C185="","",IF(COUNTA('RAW_유기농_8월'!$A:$A)&lt;=1,"",SUMIFS('RAW_유기농_8월'!$H:$H,'RAW_유기농_8월'!$D:$D,$C185,'RAW_유기농_8월'!$A:$A,$E185)-SUMIFS('RAW_유기농_7월'!$H:$H,'RAW_유기농_7월'!$D:$D,$C185,'RAW_유기농_7월'!$A:$A,$E185)))</f>
        <v/>
      </c>
      <c r="P185" s="7" t="str">
        <f>IF($C185="","",IF(COUNTA('RAW_유기농_9월'!$A:$A)&lt;=1,"",SUMIFS('RAW_유기농_9월'!$H:$H,'RAW_유기농_9월'!$D:$D,$C185,'RAW_유기농_9월'!$A:$A,$E185)-SUMIFS('RAW_유기농_8월'!$H:$H,'RAW_유기농_8월'!$D:$D,$C185,'RAW_유기농_8월'!$A:$A,$E185)))</f>
        <v/>
      </c>
      <c r="Q185" s="7" t="str">
        <f>IF($C185="","",IF(COUNTA('RAW_유기농_10월'!$A:$A)&lt;=1,"",SUMIFS('RAW_유기농_10월'!$H:$H,'RAW_유기농_10월'!$D:$D,$C185,'RAW_유기농_10월'!$A:$A,$E185)-SUMIFS('RAW_유기농_9월'!$H:$H,'RAW_유기농_9월'!$D:$D,$C185,'RAW_유기농_9월'!$A:$A,$E185)))</f>
        <v/>
      </c>
      <c r="R185" s="7" t="str">
        <f>IF($C185="","",IF(COUNTA('RAW_유기농_11-12월'!$A:$A)&lt;=1,"",SUMIFS('RAW_유기농_11-12월'!$H:$H,'RAW_유기농_11-12월'!$D:$D,$C185,'RAW_유기농_11-12월'!$A:$A,$E185)-SUMIFS('RAW_유기농_10월'!$H:$H,'RAW_유기농_10월'!$D:$D,$C185,'RAW_유기농_10월'!$A:$A,$E185)))</f>
        <v/>
      </c>
      <c r="S185" s="17" t="str">
        <f t="shared" si="4"/>
        <v/>
      </c>
      <c r="T185" s="17" t="str">
        <f t="shared" si="5"/>
        <v/>
      </c>
      <c r="U185" s="7">
        <f>IF($C185="",0,IF('설정'!$B$4=0,0,CHOOSE('설정'!$B$4,COUNTIFS('RAW_유기농_7월'!$D:$D,$C185,'RAW_유기농_7월'!$A:$A,$E185),COUNTIFS('RAW_유기농_8월'!$D:$D,$C185,'RAW_유기농_8월'!$A:$A,$E185),COUNTIFS('RAW_유기농_9월'!$D:$D,$C185,'RAW_유기농_9월'!$A:$A,$E185),COUNTIFS('RAW_유기농_10월'!$D:$D,$C185,'RAW_유기농_10월'!$A:$A,$E185),COUNTIFS('RAW_유기농_11-12월'!$D:$D,$C185,'RAW_유기농_11-12월'!$A:$A,$E185))))</f>
        <v>0</v>
      </c>
    </row>
    <row r="186" ht="15.75" customHeight="1">
      <c r="A186" s="5"/>
      <c r="B186" s="5"/>
      <c r="C186" s="5"/>
      <c r="D186" s="6"/>
      <c r="E186" s="5"/>
      <c r="F186" s="7" t="str">
        <f>IF($C186="","",IF('설정'!$B$4=0,"",CHOOSE('설정'!$B$4,SUMIFS('RAW_유기농_7월'!$F:$F,'RAW_유기농_7월'!$D:$D,$C186,'RAW_유기농_7월'!$A:$A,$E186),SUMIFS('RAW_유기농_8월'!$F:$F,'RAW_유기농_8월'!$D:$D,$C186,'RAW_유기농_8월'!$A:$A,$E186),SUMIFS('RAW_유기농_9월'!$F:$F,'RAW_유기농_9월'!$D:$D,$C186,'RAW_유기농_9월'!$A:$A,$E186),SUMIFS('RAW_유기농_10월'!$F:$F,'RAW_유기농_10월'!$D:$D,$C186,'RAW_유기농_10월'!$A:$A,$E186),SUMIFS('RAW_유기농_11-12월'!$F:$F,'RAW_유기농_11-12월'!$D:$D,$C186,'RAW_유기농_11-12월'!$A:$A,$E186))))</f>
        <v/>
      </c>
      <c r="G186" s="7" t="str">
        <f>IF($C186="","",IF('설정'!$B$4=0,"",CHOOSE('설정'!$B$4,SUMIFS('RAW_유기농_7월'!$G:$G,'RAW_유기농_7월'!$D:$D,$C186,'RAW_유기농_7월'!$A:$A,$E186),SUMIFS('RAW_유기농_8월'!$G:$G,'RAW_유기농_8월'!$D:$D,$C186,'RAW_유기농_8월'!$A:$A,$E186),SUMIFS('RAW_유기농_9월'!$G:$G,'RAW_유기농_9월'!$D:$D,$C186,'RAW_유기농_9월'!$A:$A,$E186),SUMIFS('RAW_유기농_10월'!$G:$G,'RAW_유기농_10월'!$D:$D,$C186,'RAW_유기농_10월'!$A:$A,$E186),SUMIFS('RAW_유기농_11-12월'!$G:$G,'RAW_유기농_11-12월'!$D:$D,$C186,'RAW_유기농_11-12월'!$A:$A,$E186))))</f>
        <v/>
      </c>
      <c r="H186" s="7" t="str">
        <f>IF($C186="","",IF('설정'!$B$4=0,"",CHOOSE('설정'!$B$4,SUMIFS('RAW_유기농_7월'!$H:$H,'RAW_유기농_7월'!$D:$D,$C186,'RAW_유기농_7월'!$A:$A,$E186),SUMIFS('RAW_유기농_8월'!$H:$H,'RAW_유기농_8월'!$D:$D,$C186,'RAW_유기농_8월'!$A:$A,$E186),SUMIFS('RAW_유기농_9월'!$H:$H,'RAW_유기농_9월'!$D:$D,$C186,'RAW_유기농_9월'!$A:$A,$E186),SUMIFS('RAW_유기농_10월'!$H:$H,'RAW_유기농_10월'!$D:$D,$C186,'RAW_유기농_10월'!$A:$A,$E186),SUMIFS('RAW_유기농_11-12월'!$H:$H,'RAW_유기농_11-12월'!$D:$D,$C186,'RAW_유기농_11-12월'!$A:$A,$E186))))</f>
        <v/>
      </c>
      <c r="I186" s="17" t="str">
        <f>IF($C186="","",IF(COUNTIFS('RAW_유기농_7월'!$D:$D,$C186,'RAW_유기농_7월'!$A:$A,$E186)&gt;0,"O",""))</f>
        <v/>
      </c>
      <c r="J186" s="17" t="str">
        <f>IF($C186="","",IF(COUNTIFS('RAW_유기농_8월'!$D:$D,$C186,'RAW_유기농_8월'!$A:$A,$E186)&gt;0,"O",""))</f>
        <v/>
      </c>
      <c r="K186" s="17" t="str">
        <f>IF($C186="","",IF(COUNTIFS('RAW_유기농_9월'!$D:$D,$C186,'RAW_유기농_9월'!$A:$A,$E186)&gt;0,"O",""))</f>
        <v/>
      </c>
      <c r="L186" s="17" t="str">
        <f>IF($C186="","",IF(COUNTIFS('RAW_유기농_10월'!$D:$D,$C186,'RAW_유기농_10월'!$A:$A,$E186)&gt;0,"O",""))</f>
        <v/>
      </c>
      <c r="M186" s="17" t="str">
        <f>IF($C186="","",IF(COUNTIFS('RAW_유기농_11-12월'!$D:$D,$C186,'RAW_유기농_11-12월'!$A:$A,$E186)&gt;0,"O",""))</f>
        <v/>
      </c>
      <c r="N186" s="7" t="str">
        <f>IF($C186="","",IF(COUNTA('RAW_유기농_7월'!$A:$A)&lt;=1,"",SUMIFS('RAW_유기농_7월'!$H:$H,'RAW_유기농_7월'!$D:$D,$C186,'RAW_유기농_7월'!$A:$A,$E186)))</f>
        <v/>
      </c>
      <c r="O186" s="7" t="str">
        <f>IF($C186="","",IF(COUNTA('RAW_유기농_8월'!$A:$A)&lt;=1,"",SUMIFS('RAW_유기농_8월'!$H:$H,'RAW_유기농_8월'!$D:$D,$C186,'RAW_유기농_8월'!$A:$A,$E186)-SUMIFS('RAW_유기농_7월'!$H:$H,'RAW_유기농_7월'!$D:$D,$C186,'RAW_유기농_7월'!$A:$A,$E186)))</f>
        <v/>
      </c>
      <c r="P186" s="7" t="str">
        <f>IF($C186="","",IF(COUNTA('RAW_유기농_9월'!$A:$A)&lt;=1,"",SUMIFS('RAW_유기농_9월'!$H:$H,'RAW_유기농_9월'!$D:$D,$C186,'RAW_유기농_9월'!$A:$A,$E186)-SUMIFS('RAW_유기농_8월'!$H:$H,'RAW_유기농_8월'!$D:$D,$C186,'RAW_유기농_8월'!$A:$A,$E186)))</f>
        <v/>
      </c>
      <c r="Q186" s="7" t="str">
        <f>IF($C186="","",IF(COUNTA('RAW_유기농_10월'!$A:$A)&lt;=1,"",SUMIFS('RAW_유기농_10월'!$H:$H,'RAW_유기농_10월'!$D:$D,$C186,'RAW_유기농_10월'!$A:$A,$E186)-SUMIFS('RAW_유기농_9월'!$H:$H,'RAW_유기농_9월'!$D:$D,$C186,'RAW_유기농_9월'!$A:$A,$E186)))</f>
        <v/>
      </c>
      <c r="R186" s="7" t="str">
        <f>IF($C186="","",IF(COUNTA('RAW_유기농_11-12월'!$A:$A)&lt;=1,"",SUMIFS('RAW_유기농_11-12월'!$H:$H,'RAW_유기농_11-12월'!$D:$D,$C186,'RAW_유기농_11-12월'!$A:$A,$E186)-SUMIFS('RAW_유기농_10월'!$H:$H,'RAW_유기농_10월'!$D:$D,$C186,'RAW_유기농_10월'!$A:$A,$E186)))</f>
        <v/>
      </c>
      <c r="S186" s="17" t="str">
        <f t="shared" si="4"/>
        <v/>
      </c>
      <c r="T186" s="17" t="str">
        <f t="shared" si="5"/>
        <v/>
      </c>
      <c r="U186" s="7">
        <f>IF($C186="",0,IF('설정'!$B$4=0,0,CHOOSE('설정'!$B$4,COUNTIFS('RAW_유기농_7월'!$D:$D,$C186,'RAW_유기농_7월'!$A:$A,$E186),COUNTIFS('RAW_유기농_8월'!$D:$D,$C186,'RAW_유기농_8월'!$A:$A,$E186),COUNTIFS('RAW_유기농_9월'!$D:$D,$C186,'RAW_유기농_9월'!$A:$A,$E186),COUNTIFS('RAW_유기농_10월'!$D:$D,$C186,'RAW_유기농_10월'!$A:$A,$E186),COUNTIFS('RAW_유기농_11-12월'!$D:$D,$C186,'RAW_유기농_11-12월'!$A:$A,$E186))))</f>
        <v>0</v>
      </c>
    </row>
    <row r="187" ht="15.75" customHeight="1">
      <c r="A187" s="5"/>
      <c r="B187" s="5"/>
      <c r="C187" s="5"/>
      <c r="D187" s="6"/>
      <c r="E187" s="5"/>
      <c r="F187" s="7" t="str">
        <f>IF($C187="","",IF('설정'!$B$4=0,"",CHOOSE('설정'!$B$4,SUMIFS('RAW_유기농_7월'!$F:$F,'RAW_유기농_7월'!$D:$D,$C187,'RAW_유기농_7월'!$A:$A,$E187),SUMIFS('RAW_유기농_8월'!$F:$F,'RAW_유기농_8월'!$D:$D,$C187,'RAW_유기농_8월'!$A:$A,$E187),SUMIFS('RAW_유기농_9월'!$F:$F,'RAW_유기농_9월'!$D:$D,$C187,'RAW_유기농_9월'!$A:$A,$E187),SUMIFS('RAW_유기농_10월'!$F:$F,'RAW_유기농_10월'!$D:$D,$C187,'RAW_유기농_10월'!$A:$A,$E187),SUMIFS('RAW_유기농_11-12월'!$F:$F,'RAW_유기농_11-12월'!$D:$D,$C187,'RAW_유기농_11-12월'!$A:$A,$E187))))</f>
        <v/>
      </c>
      <c r="G187" s="7" t="str">
        <f>IF($C187="","",IF('설정'!$B$4=0,"",CHOOSE('설정'!$B$4,SUMIFS('RAW_유기농_7월'!$G:$G,'RAW_유기농_7월'!$D:$D,$C187,'RAW_유기농_7월'!$A:$A,$E187),SUMIFS('RAW_유기농_8월'!$G:$G,'RAW_유기농_8월'!$D:$D,$C187,'RAW_유기농_8월'!$A:$A,$E187),SUMIFS('RAW_유기농_9월'!$G:$G,'RAW_유기농_9월'!$D:$D,$C187,'RAW_유기농_9월'!$A:$A,$E187),SUMIFS('RAW_유기농_10월'!$G:$G,'RAW_유기농_10월'!$D:$D,$C187,'RAW_유기농_10월'!$A:$A,$E187),SUMIFS('RAW_유기농_11-12월'!$G:$G,'RAW_유기농_11-12월'!$D:$D,$C187,'RAW_유기농_11-12월'!$A:$A,$E187))))</f>
        <v/>
      </c>
      <c r="H187" s="7" t="str">
        <f>IF($C187="","",IF('설정'!$B$4=0,"",CHOOSE('설정'!$B$4,SUMIFS('RAW_유기농_7월'!$H:$H,'RAW_유기농_7월'!$D:$D,$C187,'RAW_유기농_7월'!$A:$A,$E187),SUMIFS('RAW_유기농_8월'!$H:$H,'RAW_유기농_8월'!$D:$D,$C187,'RAW_유기농_8월'!$A:$A,$E187),SUMIFS('RAW_유기농_9월'!$H:$H,'RAW_유기농_9월'!$D:$D,$C187,'RAW_유기농_9월'!$A:$A,$E187),SUMIFS('RAW_유기농_10월'!$H:$H,'RAW_유기농_10월'!$D:$D,$C187,'RAW_유기농_10월'!$A:$A,$E187),SUMIFS('RAW_유기농_11-12월'!$H:$H,'RAW_유기농_11-12월'!$D:$D,$C187,'RAW_유기농_11-12월'!$A:$A,$E187))))</f>
        <v/>
      </c>
      <c r="I187" s="17" t="str">
        <f>IF($C187="","",IF(COUNTIFS('RAW_유기농_7월'!$D:$D,$C187,'RAW_유기농_7월'!$A:$A,$E187)&gt;0,"O",""))</f>
        <v/>
      </c>
      <c r="J187" s="17" t="str">
        <f>IF($C187="","",IF(COUNTIFS('RAW_유기농_8월'!$D:$D,$C187,'RAW_유기농_8월'!$A:$A,$E187)&gt;0,"O",""))</f>
        <v/>
      </c>
      <c r="K187" s="17" t="str">
        <f>IF($C187="","",IF(COUNTIFS('RAW_유기농_9월'!$D:$D,$C187,'RAW_유기농_9월'!$A:$A,$E187)&gt;0,"O",""))</f>
        <v/>
      </c>
      <c r="L187" s="17" t="str">
        <f>IF($C187="","",IF(COUNTIFS('RAW_유기농_10월'!$D:$D,$C187,'RAW_유기농_10월'!$A:$A,$E187)&gt;0,"O",""))</f>
        <v/>
      </c>
      <c r="M187" s="17" t="str">
        <f>IF($C187="","",IF(COUNTIFS('RAW_유기농_11-12월'!$D:$D,$C187,'RAW_유기농_11-12월'!$A:$A,$E187)&gt;0,"O",""))</f>
        <v/>
      </c>
      <c r="N187" s="7" t="str">
        <f>IF($C187="","",IF(COUNTA('RAW_유기농_7월'!$A:$A)&lt;=1,"",SUMIFS('RAW_유기농_7월'!$H:$H,'RAW_유기농_7월'!$D:$D,$C187,'RAW_유기농_7월'!$A:$A,$E187)))</f>
        <v/>
      </c>
      <c r="O187" s="7" t="str">
        <f>IF($C187="","",IF(COUNTA('RAW_유기농_8월'!$A:$A)&lt;=1,"",SUMIFS('RAW_유기농_8월'!$H:$H,'RAW_유기농_8월'!$D:$D,$C187,'RAW_유기농_8월'!$A:$A,$E187)-SUMIFS('RAW_유기농_7월'!$H:$H,'RAW_유기농_7월'!$D:$D,$C187,'RAW_유기농_7월'!$A:$A,$E187)))</f>
        <v/>
      </c>
      <c r="P187" s="7" t="str">
        <f>IF($C187="","",IF(COUNTA('RAW_유기농_9월'!$A:$A)&lt;=1,"",SUMIFS('RAW_유기농_9월'!$H:$H,'RAW_유기농_9월'!$D:$D,$C187,'RAW_유기농_9월'!$A:$A,$E187)-SUMIFS('RAW_유기농_8월'!$H:$H,'RAW_유기농_8월'!$D:$D,$C187,'RAW_유기농_8월'!$A:$A,$E187)))</f>
        <v/>
      </c>
      <c r="Q187" s="7" t="str">
        <f>IF($C187="","",IF(COUNTA('RAW_유기농_10월'!$A:$A)&lt;=1,"",SUMIFS('RAW_유기농_10월'!$H:$H,'RAW_유기농_10월'!$D:$D,$C187,'RAW_유기농_10월'!$A:$A,$E187)-SUMIFS('RAW_유기농_9월'!$H:$H,'RAW_유기농_9월'!$D:$D,$C187,'RAW_유기농_9월'!$A:$A,$E187)))</f>
        <v/>
      </c>
      <c r="R187" s="7" t="str">
        <f>IF($C187="","",IF(COUNTA('RAW_유기농_11-12월'!$A:$A)&lt;=1,"",SUMIFS('RAW_유기농_11-12월'!$H:$H,'RAW_유기농_11-12월'!$D:$D,$C187,'RAW_유기농_11-12월'!$A:$A,$E187)-SUMIFS('RAW_유기농_10월'!$H:$H,'RAW_유기농_10월'!$D:$D,$C187,'RAW_유기농_10월'!$A:$A,$E187)))</f>
        <v/>
      </c>
      <c r="S187" s="17" t="str">
        <f t="shared" si="4"/>
        <v/>
      </c>
      <c r="T187" s="17" t="str">
        <f t="shared" si="5"/>
        <v/>
      </c>
      <c r="U187" s="7">
        <f>IF($C187="",0,IF('설정'!$B$4=0,0,CHOOSE('설정'!$B$4,COUNTIFS('RAW_유기농_7월'!$D:$D,$C187,'RAW_유기농_7월'!$A:$A,$E187),COUNTIFS('RAW_유기농_8월'!$D:$D,$C187,'RAW_유기농_8월'!$A:$A,$E187),COUNTIFS('RAW_유기농_9월'!$D:$D,$C187,'RAW_유기농_9월'!$A:$A,$E187),COUNTIFS('RAW_유기농_10월'!$D:$D,$C187,'RAW_유기농_10월'!$A:$A,$E187),COUNTIFS('RAW_유기농_11-12월'!$D:$D,$C187,'RAW_유기농_11-12월'!$A:$A,$E187))))</f>
        <v>0</v>
      </c>
    </row>
    <row r="188" ht="15.75" customHeight="1">
      <c r="A188" s="5"/>
      <c r="B188" s="5"/>
      <c r="C188" s="5"/>
      <c r="D188" s="6"/>
      <c r="E188" s="5"/>
      <c r="F188" s="7" t="str">
        <f>IF($C188="","",IF('설정'!$B$4=0,"",CHOOSE('설정'!$B$4,SUMIFS('RAW_유기농_7월'!$F:$F,'RAW_유기농_7월'!$D:$D,$C188,'RAW_유기농_7월'!$A:$A,$E188),SUMIFS('RAW_유기농_8월'!$F:$F,'RAW_유기농_8월'!$D:$D,$C188,'RAW_유기농_8월'!$A:$A,$E188),SUMIFS('RAW_유기농_9월'!$F:$F,'RAW_유기농_9월'!$D:$D,$C188,'RAW_유기농_9월'!$A:$A,$E188),SUMIFS('RAW_유기농_10월'!$F:$F,'RAW_유기농_10월'!$D:$D,$C188,'RAW_유기농_10월'!$A:$A,$E188),SUMIFS('RAW_유기농_11-12월'!$F:$F,'RAW_유기농_11-12월'!$D:$D,$C188,'RAW_유기농_11-12월'!$A:$A,$E188))))</f>
        <v/>
      </c>
      <c r="G188" s="7" t="str">
        <f>IF($C188="","",IF('설정'!$B$4=0,"",CHOOSE('설정'!$B$4,SUMIFS('RAW_유기농_7월'!$G:$G,'RAW_유기농_7월'!$D:$D,$C188,'RAW_유기농_7월'!$A:$A,$E188),SUMIFS('RAW_유기농_8월'!$G:$G,'RAW_유기농_8월'!$D:$D,$C188,'RAW_유기농_8월'!$A:$A,$E188),SUMIFS('RAW_유기농_9월'!$G:$G,'RAW_유기농_9월'!$D:$D,$C188,'RAW_유기농_9월'!$A:$A,$E188),SUMIFS('RAW_유기농_10월'!$G:$G,'RAW_유기농_10월'!$D:$D,$C188,'RAW_유기농_10월'!$A:$A,$E188),SUMIFS('RAW_유기농_11-12월'!$G:$G,'RAW_유기농_11-12월'!$D:$D,$C188,'RAW_유기농_11-12월'!$A:$A,$E188))))</f>
        <v/>
      </c>
      <c r="H188" s="7" t="str">
        <f>IF($C188="","",IF('설정'!$B$4=0,"",CHOOSE('설정'!$B$4,SUMIFS('RAW_유기농_7월'!$H:$H,'RAW_유기농_7월'!$D:$D,$C188,'RAW_유기농_7월'!$A:$A,$E188),SUMIFS('RAW_유기농_8월'!$H:$H,'RAW_유기농_8월'!$D:$D,$C188,'RAW_유기농_8월'!$A:$A,$E188),SUMIFS('RAW_유기농_9월'!$H:$H,'RAW_유기농_9월'!$D:$D,$C188,'RAW_유기농_9월'!$A:$A,$E188),SUMIFS('RAW_유기농_10월'!$H:$H,'RAW_유기농_10월'!$D:$D,$C188,'RAW_유기농_10월'!$A:$A,$E188),SUMIFS('RAW_유기농_11-12월'!$H:$H,'RAW_유기농_11-12월'!$D:$D,$C188,'RAW_유기농_11-12월'!$A:$A,$E188))))</f>
        <v/>
      </c>
      <c r="I188" s="17" t="str">
        <f>IF($C188="","",IF(COUNTIFS('RAW_유기농_7월'!$D:$D,$C188,'RAW_유기농_7월'!$A:$A,$E188)&gt;0,"O",""))</f>
        <v/>
      </c>
      <c r="J188" s="17" t="str">
        <f>IF($C188="","",IF(COUNTIFS('RAW_유기농_8월'!$D:$D,$C188,'RAW_유기농_8월'!$A:$A,$E188)&gt;0,"O",""))</f>
        <v/>
      </c>
      <c r="K188" s="17" t="str">
        <f>IF($C188="","",IF(COUNTIFS('RAW_유기농_9월'!$D:$D,$C188,'RAW_유기농_9월'!$A:$A,$E188)&gt;0,"O",""))</f>
        <v/>
      </c>
      <c r="L188" s="17" t="str">
        <f>IF($C188="","",IF(COUNTIFS('RAW_유기농_10월'!$D:$D,$C188,'RAW_유기농_10월'!$A:$A,$E188)&gt;0,"O",""))</f>
        <v/>
      </c>
      <c r="M188" s="17" t="str">
        <f>IF($C188="","",IF(COUNTIFS('RAW_유기농_11-12월'!$D:$D,$C188,'RAW_유기농_11-12월'!$A:$A,$E188)&gt;0,"O",""))</f>
        <v/>
      </c>
      <c r="N188" s="7" t="str">
        <f>IF($C188="","",IF(COUNTA('RAW_유기농_7월'!$A:$A)&lt;=1,"",SUMIFS('RAW_유기농_7월'!$H:$H,'RAW_유기농_7월'!$D:$D,$C188,'RAW_유기농_7월'!$A:$A,$E188)))</f>
        <v/>
      </c>
      <c r="O188" s="7" t="str">
        <f>IF($C188="","",IF(COUNTA('RAW_유기농_8월'!$A:$A)&lt;=1,"",SUMIFS('RAW_유기농_8월'!$H:$H,'RAW_유기농_8월'!$D:$D,$C188,'RAW_유기농_8월'!$A:$A,$E188)-SUMIFS('RAW_유기농_7월'!$H:$H,'RAW_유기농_7월'!$D:$D,$C188,'RAW_유기농_7월'!$A:$A,$E188)))</f>
        <v/>
      </c>
      <c r="P188" s="7" t="str">
        <f>IF($C188="","",IF(COUNTA('RAW_유기농_9월'!$A:$A)&lt;=1,"",SUMIFS('RAW_유기농_9월'!$H:$H,'RAW_유기농_9월'!$D:$D,$C188,'RAW_유기농_9월'!$A:$A,$E188)-SUMIFS('RAW_유기농_8월'!$H:$H,'RAW_유기농_8월'!$D:$D,$C188,'RAW_유기농_8월'!$A:$A,$E188)))</f>
        <v/>
      </c>
      <c r="Q188" s="7" t="str">
        <f>IF($C188="","",IF(COUNTA('RAW_유기농_10월'!$A:$A)&lt;=1,"",SUMIFS('RAW_유기농_10월'!$H:$H,'RAW_유기농_10월'!$D:$D,$C188,'RAW_유기농_10월'!$A:$A,$E188)-SUMIFS('RAW_유기농_9월'!$H:$H,'RAW_유기농_9월'!$D:$D,$C188,'RAW_유기농_9월'!$A:$A,$E188)))</f>
        <v/>
      </c>
      <c r="R188" s="7" t="str">
        <f>IF($C188="","",IF(COUNTA('RAW_유기농_11-12월'!$A:$A)&lt;=1,"",SUMIFS('RAW_유기농_11-12월'!$H:$H,'RAW_유기농_11-12월'!$D:$D,$C188,'RAW_유기농_11-12월'!$A:$A,$E188)-SUMIFS('RAW_유기농_10월'!$H:$H,'RAW_유기농_10월'!$D:$D,$C188,'RAW_유기농_10월'!$A:$A,$E188)))</f>
        <v/>
      </c>
      <c r="S188" s="17" t="str">
        <f t="shared" si="4"/>
        <v/>
      </c>
      <c r="T188" s="17" t="str">
        <f t="shared" si="5"/>
        <v/>
      </c>
      <c r="U188" s="7">
        <f>IF($C188="",0,IF('설정'!$B$4=0,0,CHOOSE('설정'!$B$4,COUNTIFS('RAW_유기농_7월'!$D:$D,$C188,'RAW_유기농_7월'!$A:$A,$E188),COUNTIFS('RAW_유기농_8월'!$D:$D,$C188,'RAW_유기농_8월'!$A:$A,$E188),COUNTIFS('RAW_유기농_9월'!$D:$D,$C188,'RAW_유기농_9월'!$A:$A,$E188),COUNTIFS('RAW_유기농_10월'!$D:$D,$C188,'RAW_유기농_10월'!$A:$A,$E188),COUNTIFS('RAW_유기농_11-12월'!$D:$D,$C188,'RAW_유기농_11-12월'!$A:$A,$E188))))</f>
        <v>0</v>
      </c>
    </row>
    <row r="189" ht="15.75" customHeight="1">
      <c r="A189" s="5"/>
      <c r="B189" s="5"/>
      <c r="C189" s="5"/>
      <c r="D189" s="6"/>
      <c r="E189" s="5"/>
      <c r="F189" s="7" t="str">
        <f>IF($C189="","",IF('설정'!$B$4=0,"",CHOOSE('설정'!$B$4,SUMIFS('RAW_유기농_7월'!$F:$F,'RAW_유기농_7월'!$D:$D,$C189,'RAW_유기농_7월'!$A:$A,$E189),SUMIFS('RAW_유기농_8월'!$F:$F,'RAW_유기농_8월'!$D:$D,$C189,'RAW_유기농_8월'!$A:$A,$E189),SUMIFS('RAW_유기농_9월'!$F:$F,'RAW_유기농_9월'!$D:$D,$C189,'RAW_유기농_9월'!$A:$A,$E189),SUMIFS('RAW_유기농_10월'!$F:$F,'RAW_유기농_10월'!$D:$D,$C189,'RAW_유기농_10월'!$A:$A,$E189),SUMIFS('RAW_유기농_11-12월'!$F:$F,'RAW_유기농_11-12월'!$D:$D,$C189,'RAW_유기농_11-12월'!$A:$A,$E189))))</f>
        <v/>
      </c>
      <c r="G189" s="7" t="str">
        <f>IF($C189="","",IF('설정'!$B$4=0,"",CHOOSE('설정'!$B$4,SUMIFS('RAW_유기농_7월'!$G:$G,'RAW_유기농_7월'!$D:$D,$C189,'RAW_유기농_7월'!$A:$A,$E189),SUMIFS('RAW_유기농_8월'!$G:$G,'RAW_유기농_8월'!$D:$D,$C189,'RAW_유기농_8월'!$A:$A,$E189),SUMIFS('RAW_유기농_9월'!$G:$G,'RAW_유기농_9월'!$D:$D,$C189,'RAW_유기농_9월'!$A:$A,$E189),SUMIFS('RAW_유기농_10월'!$G:$G,'RAW_유기농_10월'!$D:$D,$C189,'RAW_유기농_10월'!$A:$A,$E189),SUMIFS('RAW_유기농_11-12월'!$G:$G,'RAW_유기농_11-12월'!$D:$D,$C189,'RAW_유기농_11-12월'!$A:$A,$E189))))</f>
        <v/>
      </c>
      <c r="H189" s="7" t="str">
        <f>IF($C189="","",IF('설정'!$B$4=0,"",CHOOSE('설정'!$B$4,SUMIFS('RAW_유기농_7월'!$H:$H,'RAW_유기농_7월'!$D:$D,$C189,'RAW_유기농_7월'!$A:$A,$E189),SUMIFS('RAW_유기농_8월'!$H:$H,'RAW_유기농_8월'!$D:$D,$C189,'RAW_유기농_8월'!$A:$A,$E189),SUMIFS('RAW_유기농_9월'!$H:$H,'RAW_유기농_9월'!$D:$D,$C189,'RAW_유기농_9월'!$A:$A,$E189),SUMIFS('RAW_유기농_10월'!$H:$H,'RAW_유기농_10월'!$D:$D,$C189,'RAW_유기농_10월'!$A:$A,$E189),SUMIFS('RAW_유기농_11-12월'!$H:$H,'RAW_유기농_11-12월'!$D:$D,$C189,'RAW_유기농_11-12월'!$A:$A,$E189))))</f>
        <v/>
      </c>
      <c r="I189" s="17" t="str">
        <f>IF($C189="","",IF(COUNTIFS('RAW_유기농_7월'!$D:$D,$C189,'RAW_유기농_7월'!$A:$A,$E189)&gt;0,"O",""))</f>
        <v/>
      </c>
      <c r="J189" s="17" t="str">
        <f>IF($C189="","",IF(COUNTIFS('RAW_유기농_8월'!$D:$D,$C189,'RAW_유기농_8월'!$A:$A,$E189)&gt;0,"O",""))</f>
        <v/>
      </c>
      <c r="K189" s="17" t="str">
        <f>IF($C189="","",IF(COUNTIFS('RAW_유기농_9월'!$D:$D,$C189,'RAW_유기농_9월'!$A:$A,$E189)&gt;0,"O",""))</f>
        <v/>
      </c>
      <c r="L189" s="17" t="str">
        <f>IF($C189="","",IF(COUNTIFS('RAW_유기농_10월'!$D:$D,$C189,'RAW_유기농_10월'!$A:$A,$E189)&gt;0,"O",""))</f>
        <v/>
      </c>
      <c r="M189" s="17" t="str">
        <f>IF($C189="","",IF(COUNTIFS('RAW_유기농_11-12월'!$D:$D,$C189,'RAW_유기농_11-12월'!$A:$A,$E189)&gt;0,"O",""))</f>
        <v/>
      </c>
      <c r="N189" s="7" t="str">
        <f>IF($C189="","",IF(COUNTA('RAW_유기농_7월'!$A:$A)&lt;=1,"",SUMIFS('RAW_유기농_7월'!$H:$H,'RAW_유기농_7월'!$D:$D,$C189,'RAW_유기농_7월'!$A:$A,$E189)))</f>
        <v/>
      </c>
      <c r="O189" s="7" t="str">
        <f>IF($C189="","",IF(COUNTA('RAW_유기농_8월'!$A:$A)&lt;=1,"",SUMIFS('RAW_유기농_8월'!$H:$H,'RAW_유기농_8월'!$D:$D,$C189,'RAW_유기농_8월'!$A:$A,$E189)-SUMIFS('RAW_유기농_7월'!$H:$H,'RAW_유기농_7월'!$D:$D,$C189,'RAW_유기농_7월'!$A:$A,$E189)))</f>
        <v/>
      </c>
      <c r="P189" s="7" t="str">
        <f>IF($C189="","",IF(COUNTA('RAW_유기농_9월'!$A:$A)&lt;=1,"",SUMIFS('RAW_유기농_9월'!$H:$H,'RAW_유기농_9월'!$D:$D,$C189,'RAW_유기농_9월'!$A:$A,$E189)-SUMIFS('RAW_유기농_8월'!$H:$H,'RAW_유기농_8월'!$D:$D,$C189,'RAW_유기농_8월'!$A:$A,$E189)))</f>
        <v/>
      </c>
      <c r="Q189" s="7" t="str">
        <f>IF($C189="","",IF(COUNTA('RAW_유기농_10월'!$A:$A)&lt;=1,"",SUMIFS('RAW_유기농_10월'!$H:$H,'RAW_유기농_10월'!$D:$D,$C189,'RAW_유기농_10월'!$A:$A,$E189)-SUMIFS('RAW_유기농_9월'!$H:$H,'RAW_유기농_9월'!$D:$D,$C189,'RAW_유기농_9월'!$A:$A,$E189)))</f>
        <v/>
      </c>
      <c r="R189" s="7" t="str">
        <f>IF($C189="","",IF(COUNTA('RAW_유기농_11-12월'!$A:$A)&lt;=1,"",SUMIFS('RAW_유기농_11-12월'!$H:$H,'RAW_유기농_11-12월'!$D:$D,$C189,'RAW_유기농_11-12월'!$A:$A,$E189)-SUMIFS('RAW_유기농_10월'!$H:$H,'RAW_유기농_10월'!$D:$D,$C189,'RAW_유기농_10월'!$A:$A,$E189)))</f>
        <v/>
      </c>
      <c r="S189" s="17" t="str">
        <f t="shared" si="4"/>
        <v/>
      </c>
      <c r="T189" s="17" t="str">
        <f t="shared" si="5"/>
        <v/>
      </c>
      <c r="U189" s="7">
        <f>IF($C189="",0,IF('설정'!$B$4=0,0,CHOOSE('설정'!$B$4,COUNTIFS('RAW_유기농_7월'!$D:$D,$C189,'RAW_유기농_7월'!$A:$A,$E189),COUNTIFS('RAW_유기농_8월'!$D:$D,$C189,'RAW_유기농_8월'!$A:$A,$E189),COUNTIFS('RAW_유기농_9월'!$D:$D,$C189,'RAW_유기농_9월'!$A:$A,$E189),COUNTIFS('RAW_유기농_10월'!$D:$D,$C189,'RAW_유기농_10월'!$A:$A,$E189),COUNTIFS('RAW_유기농_11-12월'!$D:$D,$C189,'RAW_유기농_11-12월'!$A:$A,$E189))))</f>
        <v>0</v>
      </c>
    </row>
    <row r="190" ht="15.75" customHeight="1">
      <c r="A190" s="5"/>
      <c r="B190" s="5"/>
      <c r="C190" s="5"/>
      <c r="D190" s="6"/>
      <c r="E190" s="5"/>
      <c r="F190" s="7" t="str">
        <f>IF($C190="","",IF('설정'!$B$4=0,"",CHOOSE('설정'!$B$4,SUMIFS('RAW_유기농_7월'!$F:$F,'RAW_유기농_7월'!$D:$D,$C190,'RAW_유기농_7월'!$A:$A,$E190),SUMIFS('RAW_유기농_8월'!$F:$F,'RAW_유기농_8월'!$D:$D,$C190,'RAW_유기농_8월'!$A:$A,$E190),SUMIFS('RAW_유기농_9월'!$F:$F,'RAW_유기농_9월'!$D:$D,$C190,'RAW_유기농_9월'!$A:$A,$E190),SUMIFS('RAW_유기농_10월'!$F:$F,'RAW_유기농_10월'!$D:$D,$C190,'RAW_유기농_10월'!$A:$A,$E190),SUMIFS('RAW_유기농_11-12월'!$F:$F,'RAW_유기농_11-12월'!$D:$D,$C190,'RAW_유기농_11-12월'!$A:$A,$E190))))</f>
        <v/>
      </c>
      <c r="G190" s="7" t="str">
        <f>IF($C190="","",IF('설정'!$B$4=0,"",CHOOSE('설정'!$B$4,SUMIFS('RAW_유기농_7월'!$G:$G,'RAW_유기농_7월'!$D:$D,$C190,'RAW_유기농_7월'!$A:$A,$E190),SUMIFS('RAW_유기농_8월'!$G:$G,'RAW_유기농_8월'!$D:$D,$C190,'RAW_유기농_8월'!$A:$A,$E190),SUMIFS('RAW_유기농_9월'!$G:$G,'RAW_유기농_9월'!$D:$D,$C190,'RAW_유기농_9월'!$A:$A,$E190),SUMIFS('RAW_유기농_10월'!$G:$G,'RAW_유기농_10월'!$D:$D,$C190,'RAW_유기농_10월'!$A:$A,$E190),SUMIFS('RAW_유기농_11-12월'!$G:$G,'RAW_유기농_11-12월'!$D:$D,$C190,'RAW_유기농_11-12월'!$A:$A,$E190))))</f>
        <v/>
      </c>
      <c r="H190" s="7" t="str">
        <f>IF($C190="","",IF('설정'!$B$4=0,"",CHOOSE('설정'!$B$4,SUMIFS('RAW_유기농_7월'!$H:$H,'RAW_유기농_7월'!$D:$D,$C190,'RAW_유기농_7월'!$A:$A,$E190),SUMIFS('RAW_유기농_8월'!$H:$H,'RAW_유기농_8월'!$D:$D,$C190,'RAW_유기농_8월'!$A:$A,$E190),SUMIFS('RAW_유기농_9월'!$H:$H,'RAW_유기농_9월'!$D:$D,$C190,'RAW_유기농_9월'!$A:$A,$E190),SUMIFS('RAW_유기농_10월'!$H:$H,'RAW_유기농_10월'!$D:$D,$C190,'RAW_유기농_10월'!$A:$A,$E190),SUMIFS('RAW_유기농_11-12월'!$H:$H,'RAW_유기농_11-12월'!$D:$D,$C190,'RAW_유기농_11-12월'!$A:$A,$E190))))</f>
        <v/>
      </c>
      <c r="I190" s="17" t="str">
        <f>IF($C190="","",IF(COUNTIFS('RAW_유기농_7월'!$D:$D,$C190,'RAW_유기농_7월'!$A:$A,$E190)&gt;0,"O",""))</f>
        <v/>
      </c>
      <c r="J190" s="17" t="str">
        <f>IF($C190="","",IF(COUNTIFS('RAW_유기농_8월'!$D:$D,$C190,'RAW_유기농_8월'!$A:$A,$E190)&gt;0,"O",""))</f>
        <v/>
      </c>
      <c r="K190" s="17" t="str">
        <f>IF($C190="","",IF(COUNTIFS('RAW_유기농_9월'!$D:$D,$C190,'RAW_유기농_9월'!$A:$A,$E190)&gt;0,"O",""))</f>
        <v/>
      </c>
      <c r="L190" s="17" t="str">
        <f>IF($C190="","",IF(COUNTIFS('RAW_유기농_10월'!$D:$D,$C190,'RAW_유기농_10월'!$A:$A,$E190)&gt;0,"O",""))</f>
        <v/>
      </c>
      <c r="M190" s="17" t="str">
        <f>IF($C190="","",IF(COUNTIFS('RAW_유기농_11-12월'!$D:$D,$C190,'RAW_유기농_11-12월'!$A:$A,$E190)&gt;0,"O",""))</f>
        <v/>
      </c>
      <c r="N190" s="7" t="str">
        <f>IF($C190="","",IF(COUNTA('RAW_유기농_7월'!$A:$A)&lt;=1,"",SUMIFS('RAW_유기농_7월'!$H:$H,'RAW_유기농_7월'!$D:$D,$C190,'RAW_유기농_7월'!$A:$A,$E190)))</f>
        <v/>
      </c>
      <c r="O190" s="7" t="str">
        <f>IF($C190="","",IF(COUNTA('RAW_유기농_8월'!$A:$A)&lt;=1,"",SUMIFS('RAW_유기농_8월'!$H:$H,'RAW_유기농_8월'!$D:$D,$C190,'RAW_유기농_8월'!$A:$A,$E190)-SUMIFS('RAW_유기농_7월'!$H:$H,'RAW_유기농_7월'!$D:$D,$C190,'RAW_유기농_7월'!$A:$A,$E190)))</f>
        <v/>
      </c>
      <c r="P190" s="7" t="str">
        <f>IF($C190="","",IF(COUNTA('RAW_유기농_9월'!$A:$A)&lt;=1,"",SUMIFS('RAW_유기농_9월'!$H:$H,'RAW_유기농_9월'!$D:$D,$C190,'RAW_유기농_9월'!$A:$A,$E190)-SUMIFS('RAW_유기농_8월'!$H:$H,'RAW_유기농_8월'!$D:$D,$C190,'RAW_유기농_8월'!$A:$A,$E190)))</f>
        <v/>
      </c>
      <c r="Q190" s="7" t="str">
        <f>IF($C190="","",IF(COUNTA('RAW_유기농_10월'!$A:$A)&lt;=1,"",SUMIFS('RAW_유기농_10월'!$H:$H,'RAW_유기농_10월'!$D:$D,$C190,'RAW_유기농_10월'!$A:$A,$E190)-SUMIFS('RAW_유기농_9월'!$H:$H,'RAW_유기농_9월'!$D:$D,$C190,'RAW_유기농_9월'!$A:$A,$E190)))</f>
        <v/>
      </c>
      <c r="R190" s="7" t="str">
        <f>IF($C190="","",IF(COUNTA('RAW_유기농_11-12월'!$A:$A)&lt;=1,"",SUMIFS('RAW_유기농_11-12월'!$H:$H,'RAW_유기농_11-12월'!$D:$D,$C190,'RAW_유기농_11-12월'!$A:$A,$E190)-SUMIFS('RAW_유기농_10월'!$H:$H,'RAW_유기농_10월'!$D:$D,$C190,'RAW_유기농_10월'!$A:$A,$E190)))</f>
        <v/>
      </c>
      <c r="S190" s="17" t="str">
        <f t="shared" si="4"/>
        <v/>
      </c>
      <c r="T190" s="17" t="str">
        <f t="shared" si="5"/>
        <v/>
      </c>
      <c r="U190" s="7">
        <f>IF($C190="",0,IF('설정'!$B$4=0,0,CHOOSE('설정'!$B$4,COUNTIFS('RAW_유기농_7월'!$D:$D,$C190,'RAW_유기농_7월'!$A:$A,$E190),COUNTIFS('RAW_유기농_8월'!$D:$D,$C190,'RAW_유기농_8월'!$A:$A,$E190),COUNTIFS('RAW_유기농_9월'!$D:$D,$C190,'RAW_유기농_9월'!$A:$A,$E190),COUNTIFS('RAW_유기농_10월'!$D:$D,$C190,'RAW_유기농_10월'!$A:$A,$E190),COUNTIFS('RAW_유기농_11-12월'!$D:$D,$C190,'RAW_유기농_11-12월'!$A:$A,$E190))))</f>
        <v>0</v>
      </c>
    </row>
    <row r="191" ht="15.75" customHeight="1">
      <c r="A191" s="5"/>
      <c r="B191" s="5"/>
      <c r="C191" s="5"/>
      <c r="D191" s="6"/>
      <c r="E191" s="5"/>
      <c r="F191" s="7" t="str">
        <f>IF($C191="","",IF('설정'!$B$4=0,"",CHOOSE('설정'!$B$4,SUMIFS('RAW_유기농_7월'!$F:$F,'RAW_유기농_7월'!$D:$D,$C191,'RAW_유기농_7월'!$A:$A,$E191),SUMIFS('RAW_유기농_8월'!$F:$F,'RAW_유기농_8월'!$D:$D,$C191,'RAW_유기농_8월'!$A:$A,$E191),SUMIFS('RAW_유기농_9월'!$F:$F,'RAW_유기농_9월'!$D:$D,$C191,'RAW_유기농_9월'!$A:$A,$E191),SUMIFS('RAW_유기농_10월'!$F:$F,'RAW_유기농_10월'!$D:$D,$C191,'RAW_유기농_10월'!$A:$A,$E191),SUMIFS('RAW_유기농_11-12월'!$F:$F,'RAW_유기농_11-12월'!$D:$D,$C191,'RAW_유기농_11-12월'!$A:$A,$E191))))</f>
        <v/>
      </c>
      <c r="G191" s="7" t="str">
        <f>IF($C191="","",IF('설정'!$B$4=0,"",CHOOSE('설정'!$B$4,SUMIFS('RAW_유기농_7월'!$G:$G,'RAW_유기농_7월'!$D:$D,$C191,'RAW_유기농_7월'!$A:$A,$E191),SUMIFS('RAW_유기농_8월'!$G:$G,'RAW_유기농_8월'!$D:$D,$C191,'RAW_유기농_8월'!$A:$A,$E191),SUMIFS('RAW_유기농_9월'!$G:$G,'RAW_유기농_9월'!$D:$D,$C191,'RAW_유기농_9월'!$A:$A,$E191),SUMIFS('RAW_유기농_10월'!$G:$G,'RAW_유기농_10월'!$D:$D,$C191,'RAW_유기농_10월'!$A:$A,$E191),SUMIFS('RAW_유기농_11-12월'!$G:$G,'RAW_유기농_11-12월'!$D:$D,$C191,'RAW_유기농_11-12월'!$A:$A,$E191))))</f>
        <v/>
      </c>
      <c r="H191" s="7" t="str">
        <f>IF($C191="","",IF('설정'!$B$4=0,"",CHOOSE('설정'!$B$4,SUMIFS('RAW_유기농_7월'!$H:$H,'RAW_유기농_7월'!$D:$D,$C191,'RAW_유기농_7월'!$A:$A,$E191),SUMIFS('RAW_유기농_8월'!$H:$H,'RAW_유기농_8월'!$D:$D,$C191,'RAW_유기농_8월'!$A:$A,$E191),SUMIFS('RAW_유기농_9월'!$H:$H,'RAW_유기농_9월'!$D:$D,$C191,'RAW_유기농_9월'!$A:$A,$E191),SUMIFS('RAW_유기농_10월'!$H:$H,'RAW_유기농_10월'!$D:$D,$C191,'RAW_유기농_10월'!$A:$A,$E191),SUMIFS('RAW_유기농_11-12월'!$H:$H,'RAW_유기농_11-12월'!$D:$D,$C191,'RAW_유기농_11-12월'!$A:$A,$E191))))</f>
        <v/>
      </c>
      <c r="I191" s="17" t="str">
        <f>IF($C191="","",IF(COUNTIFS('RAW_유기농_7월'!$D:$D,$C191,'RAW_유기농_7월'!$A:$A,$E191)&gt;0,"O",""))</f>
        <v/>
      </c>
      <c r="J191" s="17" t="str">
        <f>IF($C191="","",IF(COUNTIFS('RAW_유기농_8월'!$D:$D,$C191,'RAW_유기농_8월'!$A:$A,$E191)&gt;0,"O",""))</f>
        <v/>
      </c>
      <c r="K191" s="17" t="str">
        <f>IF($C191="","",IF(COUNTIFS('RAW_유기농_9월'!$D:$D,$C191,'RAW_유기농_9월'!$A:$A,$E191)&gt;0,"O",""))</f>
        <v/>
      </c>
      <c r="L191" s="17" t="str">
        <f>IF($C191="","",IF(COUNTIFS('RAW_유기농_10월'!$D:$D,$C191,'RAW_유기농_10월'!$A:$A,$E191)&gt;0,"O",""))</f>
        <v/>
      </c>
      <c r="M191" s="17" t="str">
        <f>IF($C191="","",IF(COUNTIFS('RAW_유기농_11-12월'!$D:$D,$C191,'RAW_유기농_11-12월'!$A:$A,$E191)&gt;0,"O",""))</f>
        <v/>
      </c>
      <c r="N191" s="7" t="str">
        <f>IF($C191="","",IF(COUNTA('RAW_유기농_7월'!$A:$A)&lt;=1,"",SUMIFS('RAW_유기농_7월'!$H:$H,'RAW_유기농_7월'!$D:$D,$C191,'RAW_유기농_7월'!$A:$A,$E191)))</f>
        <v/>
      </c>
      <c r="O191" s="7" t="str">
        <f>IF($C191="","",IF(COUNTA('RAW_유기농_8월'!$A:$A)&lt;=1,"",SUMIFS('RAW_유기농_8월'!$H:$H,'RAW_유기농_8월'!$D:$D,$C191,'RAW_유기농_8월'!$A:$A,$E191)-SUMIFS('RAW_유기농_7월'!$H:$H,'RAW_유기농_7월'!$D:$D,$C191,'RAW_유기농_7월'!$A:$A,$E191)))</f>
        <v/>
      </c>
      <c r="P191" s="7" t="str">
        <f>IF($C191="","",IF(COUNTA('RAW_유기농_9월'!$A:$A)&lt;=1,"",SUMIFS('RAW_유기농_9월'!$H:$H,'RAW_유기농_9월'!$D:$D,$C191,'RAW_유기농_9월'!$A:$A,$E191)-SUMIFS('RAW_유기농_8월'!$H:$H,'RAW_유기농_8월'!$D:$D,$C191,'RAW_유기농_8월'!$A:$A,$E191)))</f>
        <v/>
      </c>
      <c r="Q191" s="7" t="str">
        <f>IF($C191="","",IF(COUNTA('RAW_유기농_10월'!$A:$A)&lt;=1,"",SUMIFS('RAW_유기농_10월'!$H:$H,'RAW_유기농_10월'!$D:$D,$C191,'RAW_유기농_10월'!$A:$A,$E191)-SUMIFS('RAW_유기농_9월'!$H:$H,'RAW_유기농_9월'!$D:$D,$C191,'RAW_유기농_9월'!$A:$A,$E191)))</f>
        <v/>
      </c>
      <c r="R191" s="7" t="str">
        <f>IF($C191="","",IF(COUNTA('RAW_유기농_11-12월'!$A:$A)&lt;=1,"",SUMIFS('RAW_유기농_11-12월'!$H:$H,'RAW_유기농_11-12월'!$D:$D,$C191,'RAW_유기농_11-12월'!$A:$A,$E191)-SUMIFS('RAW_유기농_10월'!$H:$H,'RAW_유기농_10월'!$D:$D,$C191,'RAW_유기농_10월'!$A:$A,$E191)))</f>
        <v/>
      </c>
      <c r="S191" s="17" t="str">
        <f t="shared" si="4"/>
        <v/>
      </c>
      <c r="T191" s="17" t="str">
        <f t="shared" si="5"/>
        <v/>
      </c>
      <c r="U191" s="7">
        <f>IF($C191="",0,IF('설정'!$B$4=0,0,CHOOSE('설정'!$B$4,COUNTIFS('RAW_유기농_7월'!$D:$D,$C191,'RAW_유기농_7월'!$A:$A,$E191),COUNTIFS('RAW_유기농_8월'!$D:$D,$C191,'RAW_유기농_8월'!$A:$A,$E191),COUNTIFS('RAW_유기농_9월'!$D:$D,$C191,'RAW_유기농_9월'!$A:$A,$E191),COUNTIFS('RAW_유기농_10월'!$D:$D,$C191,'RAW_유기농_10월'!$A:$A,$E191),COUNTIFS('RAW_유기농_11-12월'!$D:$D,$C191,'RAW_유기농_11-12월'!$A:$A,$E191))))</f>
        <v>0</v>
      </c>
    </row>
    <row r="192" ht="15.75" customHeight="1">
      <c r="A192" s="5"/>
      <c r="B192" s="5"/>
      <c r="C192" s="5"/>
      <c r="D192" s="6"/>
      <c r="E192" s="5"/>
      <c r="F192" s="7" t="str">
        <f>IF($C192="","",IF('설정'!$B$4=0,"",CHOOSE('설정'!$B$4,SUMIFS('RAW_유기농_7월'!$F:$F,'RAW_유기농_7월'!$D:$D,$C192,'RAW_유기농_7월'!$A:$A,$E192),SUMIFS('RAW_유기농_8월'!$F:$F,'RAW_유기농_8월'!$D:$D,$C192,'RAW_유기농_8월'!$A:$A,$E192),SUMIFS('RAW_유기농_9월'!$F:$F,'RAW_유기농_9월'!$D:$D,$C192,'RAW_유기농_9월'!$A:$A,$E192),SUMIFS('RAW_유기농_10월'!$F:$F,'RAW_유기농_10월'!$D:$D,$C192,'RAW_유기농_10월'!$A:$A,$E192),SUMIFS('RAW_유기농_11-12월'!$F:$F,'RAW_유기농_11-12월'!$D:$D,$C192,'RAW_유기농_11-12월'!$A:$A,$E192))))</f>
        <v/>
      </c>
      <c r="G192" s="7" t="str">
        <f>IF($C192="","",IF('설정'!$B$4=0,"",CHOOSE('설정'!$B$4,SUMIFS('RAW_유기농_7월'!$G:$G,'RAW_유기농_7월'!$D:$D,$C192,'RAW_유기농_7월'!$A:$A,$E192),SUMIFS('RAW_유기농_8월'!$G:$G,'RAW_유기농_8월'!$D:$D,$C192,'RAW_유기농_8월'!$A:$A,$E192),SUMIFS('RAW_유기농_9월'!$G:$G,'RAW_유기농_9월'!$D:$D,$C192,'RAW_유기농_9월'!$A:$A,$E192),SUMIFS('RAW_유기농_10월'!$G:$G,'RAW_유기농_10월'!$D:$D,$C192,'RAW_유기농_10월'!$A:$A,$E192),SUMIFS('RAW_유기농_11-12월'!$G:$G,'RAW_유기농_11-12월'!$D:$D,$C192,'RAW_유기농_11-12월'!$A:$A,$E192))))</f>
        <v/>
      </c>
      <c r="H192" s="7" t="str">
        <f>IF($C192="","",IF('설정'!$B$4=0,"",CHOOSE('설정'!$B$4,SUMIFS('RAW_유기농_7월'!$H:$H,'RAW_유기농_7월'!$D:$D,$C192,'RAW_유기농_7월'!$A:$A,$E192),SUMIFS('RAW_유기농_8월'!$H:$H,'RAW_유기농_8월'!$D:$D,$C192,'RAW_유기농_8월'!$A:$A,$E192),SUMIFS('RAW_유기농_9월'!$H:$H,'RAW_유기농_9월'!$D:$D,$C192,'RAW_유기농_9월'!$A:$A,$E192),SUMIFS('RAW_유기농_10월'!$H:$H,'RAW_유기농_10월'!$D:$D,$C192,'RAW_유기농_10월'!$A:$A,$E192),SUMIFS('RAW_유기농_11-12월'!$H:$H,'RAW_유기농_11-12월'!$D:$D,$C192,'RAW_유기농_11-12월'!$A:$A,$E192))))</f>
        <v/>
      </c>
      <c r="I192" s="17" t="str">
        <f>IF($C192="","",IF(COUNTIFS('RAW_유기농_7월'!$D:$D,$C192,'RAW_유기농_7월'!$A:$A,$E192)&gt;0,"O",""))</f>
        <v/>
      </c>
      <c r="J192" s="17" t="str">
        <f>IF($C192="","",IF(COUNTIFS('RAW_유기농_8월'!$D:$D,$C192,'RAW_유기농_8월'!$A:$A,$E192)&gt;0,"O",""))</f>
        <v/>
      </c>
      <c r="K192" s="17" t="str">
        <f>IF($C192="","",IF(COUNTIFS('RAW_유기농_9월'!$D:$D,$C192,'RAW_유기농_9월'!$A:$A,$E192)&gt;0,"O",""))</f>
        <v/>
      </c>
      <c r="L192" s="17" t="str">
        <f>IF($C192="","",IF(COUNTIFS('RAW_유기농_10월'!$D:$D,$C192,'RAW_유기농_10월'!$A:$A,$E192)&gt;0,"O",""))</f>
        <v/>
      </c>
      <c r="M192" s="17" t="str">
        <f>IF($C192="","",IF(COUNTIFS('RAW_유기농_11-12월'!$D:$D,$C192,'RAW_유기농_11-12월'!$A:$A,$E192)&gt;0,"O",""))</f>
        <v/>
      </c>
      <c r="N192" s="7" t="str">
        <f>IF($C192="","",IF(COUNTA('RAW_유기농_7월'!$A:$A)&lt;=1,"",SUMIFS('RAW_유기농_7월'!$H:$H,'RAW_유기농_7월'!$D:$D,$C192,'RAW_유기농_7월'!$A:$A,$E192)))</f>
        <v/>
      </c>
      <c r="O192" s="7" t="str">
        <f>IF($C192="","",IF(COUNTA('RAW_유기농_8월'!$A:$A)&lt;=1,"",SUMIFS('RAW_유기농_8월'!$H:$H,'RAW_유기농_8월'!$D:$D,$C192,'RAW_유기농_8월'!$A:$A,$E192)-SUMIFS('RAW_유기농_7월'!$H:$H,'RAW_유기농_7월'!$D:$D,$C192,'RAW_유기농_7월'!$A:$A,$E192)))</f>
        <v/>
      </c>
      <c r="P192" s="7" t="str">
        <f>IF($C192="","",IF(COUNTA('RAW_유기농_9월'!$A:$A)&lt;=1,"",SUMIFS('RAW_유기농_9월'!$H:$H,'RAW_유기농_9월'!$D:$D,$C192,'RAW_유기농_9월'!$A:$A,$E192)-SUMIFS('RAW_유기농_8월'!$H:$H,'RAW_유기농_8월'!$D:$D,$C192,'RAW_유기농_8월'!$A:$A,$E192)))</f>
        <v/>
      </c>
      <c r="Q192" s="7" t="str">
        <f>IF($C192="","",IF(COUNTA('RAW_유기농_10월'!$A:$A)&lt;=1,"",SUMIFS('RAW_유기농_10월'!$H:$H,'RAW_유기농_10월'!$D:$D,$C192,'RAW_유기농_10월'!$A:$A,$E192)-SUMIFS('RAW_유기농_9월'!$H:$H,'RAW_유기농_9월'!$D:$D,$C192,'RAW_유기농_9월'!$A:$A,$E192)))</f>
        <v/>
      </c>
      <c r="R192" s="7" t="str">
        <f>IF($C192="","",IF(COUNTA('RAW_유기농_11-12월'!$A:$A)&lt;=1,"",SUMIFS('RAW_유기농_11-12월'!$H:$H,'RAW_유기농_11-12월'!$D:$D,$C192,'RAW_유기농_11-12월'!$A:$A,$E192)-SUMIFS('RAW_유기농_10월'!$H:$H,'RAW_유기농_10월'!$D:$D,$C192,'RAW_유기농_10월'!$A:$A,$E192)))</f>
        <v/>
      </c>
      <c r="S192" s="17" t="str">
        <f t="shared" si="4"/>
        <v/>
      </c>
      <c r="T192" s="17" t="str">
        <f t="shared" si="5"/>
        <v/>
      </c>
      <c r="U192" s="7">
        <f>IF($C192="",0,IF('설정'!$B$4=0,0,CHOOSE('설정'!$B$4,COUNTIFS('RAW_유기농_7월'!$D:$D,$C192,'RAW_유기농_7월'!$A:$A,$E192),COUNTIFS('RAW_유기농_8월'!$D:$D,$C192,'RAW_유기농_8월'!$A:$A,$E192),COUNTIFS('RAW_유기농_9월'!$D:$D,$C192,'RAW_유기농_9월'!$A:$A,$E192),COUNTIFS('RAW_유기농_10월'!$D:$D,$C192,'RAW_유기농_10월'!$A:$A,$E192),COUNTIFS('RAW_유기농_11-12월'!$D:$D,$C192,'RAW_유기농_11-12월'!$A:$A,$E192))))</f>
        <v>0</v>
      </c>
    </row>
    <row r="193" ht="15.75" customHeight="1">
      <c r="A193" s="5"/>
      <c r="B193" s="5"/>
      <c r="C193" s="5"/>
      <c r="D193" s="6"/>
      <c r="E193" s="5"/>
      <c r="F193" s="7" t="str">
        <f>IF($C193="","",IF('설정'!$B$4=0,"",CHOOSE('설정'!$B$4,SUMIFS('RAW_유기농_7월'!$F:$F,'RAW_유기농_7월'!$D:$D,$C193,'RAW_유기농_7월'!$A:$A,$E193),SUMIFS('RAW_유기농_8월'!$F:$F,'RAW_유기농_8월'!$D:$D,$C193,'RAW_유기농_8월'!$A:$A,$E193),SUMIFS('RAW_유기농_9월'!$F:$F,'RAW_유기농_9월'!$D:$D,$C193,'RAW_유기농_9월'!$A:$A,$E193),SUMIFS('RAW_유기농_10월'!$F:$F,'RAW_유기농_10월'!$D:$D,$C193,'RAW_유기농_10월'!$A:$A,$E193),SUMIFS('RAW_유기농_11-12월'!$F:$F,'RAW_유기농_11-12월'!$D:$D,$C193,'RAW_유기농_11-12월'!$A:$A,$E193))))</f>
        <v/>
      </c>
      <c r="G193" s="7" t="str">
        <f>IF($C193="","",IF('설정'!$B$4=0,"",CHOOSE('설정'!$B$4,SUMIFS('RAW_유기농_7월'!$G:$G,'RAW_유기농_7월'!$D:$D,$C193,'RAW_유기농_7월'!$A:$A,$E193),SUMIFS('RAW_유기농_8월'!$G:$G,'RAW_유기농_8월'!$D:$D,$C193,'RAW_유기농_8월'!$A:$A,$E193),SUMIFS('RAW_유기농_9월'!$G:$G,'RAW_유기농_9월'!$D:$D,$C193,'RAW_유기농_9월'!$A:$A,$E193),SUMIFS('RAW_유기농_10월'!$G:$G,'RAW_유기농_10월'!$D:$D,$C193,'RAW_유기농_10월'!$A:$A,$E193),SUMIFS('RAW_유기농_11-12월'!$G:$G,'RAW_유기농_11-12월'!$D:$D,$C193,'RAW_유기농_11-12월'!$A:$A,$E193))))</f>
        <v/>
      </c>
      <c r="H193" s="7" t="str">
        <f>IF($C193="","",IF('설정'!$B$4=0,"",CHOOSE('설정'!$B$4,SUMIFS('RAW_유기농_7월'!$H:$H,'RAW_유기농_7월'!$D:$D,$C193,'RAW_유기농_7월'!$A:$A,$E193),SUMIFS('RAW_유기농_8월'!$H:$H,'RAW_유기농_8월'!$D:$D,$C193,'RAW_유기농_8월'!$A:$A,$E193),SUMIFS('RAW_유기농_9월'!$H:$H,'RAW_유기농_9월'!$D:$D,$C193,'RAW_유기농_9월'!$A:$A,$E193),SUMIFS('RAW_유기농_10월'!$H:$H,'RAW_유기농_10월'!$D:$D,$C193,'RAW_유기농_10월'!$A:$A,$E193),SUMIFS('RAW_유기농_11-12월'!$H:$H,'RAW_유기농_11-12월'!$D:$D,$C193,'RAW_유기농_11-12월'!$A:$A,$E193))))</f>
        <v/>
      </c>
      <c r="I193" s="17" t="str">
        <f>IF($C193="","",IF(COUNTIFS('RAW_유기농_7월'!$D:$D,$C193,'RAW_유기농_7월'!$A:$A,$E193)&gt;0,"O",""))</f>
        <v/>
      </c>
      <c r="J193" s="17" t="str">
        <f>IF($C193="","",IF(COUNTIFS('RAW_유기농_8월'!$D:$D,$C193,'RAW_유기농_8월'!$A:$A,$E193)&gt;0,"O",""))</f>
        <v/>
      </c>
      <c r="K193" s="17" t="str">
        <f>IF($C193="","",IF(COUNTIFS('RAW_유기농_9월'!$D:$D,$C193,'RAW_유기농_9월'!$A:$A,$E193)&gt;0,"O",""))</f>
        <v/>
      </c>
      <c r="L193" s="17" t="str">
        <f>IF($C193="","",IF(COUNTIFS('RAW_유기농_10월'!$D:$D,$C193,'RAW_유기농_10월'!$A:$A,$E193)&gt;0,"O",""))</f>
        <v/>
      </c>
      <c r="M193" s="17" t="str">
        <f>IF($C193="","",IF(COUNTIFS('RAW_유기농_11-12월'!$D:$D,$C193,'RAW_유기농_11-12월'!$A:$A,$E193)&gt;0,"O",""))</f>
        <v/>
      </c>
      <c r="N193" s="7" t="str">
        <f>IF($C193="","",IF(COUNTA('RAW_유기농_7월'!$A:$A)&lt;=1,"",SUMIFS('RAW_유기농_7월'!$H:$H,'RAW_유기농_7월'!$D:$D,$C193,'RAW_유기농_7월'!$A:$A,$E193)))</f>
        <v/>
      </c>
      <c r="O193" s="7" t="str">
        <f>IF($C193="","",IF(COUNTA('RAW_유기농_8월'!$A:$A)&lt;=1,"",SUMIFS('RAW_유기농_8월'!$H:$H,'RAW_유기농_8월'!$D:$D,$C193,'RAW_유기농_8월'!$A:$A,$E193)-SUMIFS('RAW_유기농_7월'!$H:$H,'RAW_유기농_7월'!$D:$D,$C193,'RAW_유기농_7월'!$A:$A,$E193)))</f>
        <v/>
      </c>
      <c r="P193" s="7" t="str">
        <f>IF($C193="","",IF(COUNTA('RAW_유기농_9월'!$A:$A)&lt;=1,"",SUMIFS('RAW_유기농_9월'!$H:$H,'RAW_유기농_9월'!$D:$D,$C193,'RAW_유기농_9월'!$A:$A,$E193)-SUMIFS('RAW_유기농_8월'!$H:$H,'RAW_유기농_8월'!$D:$D,$C193,'RAW_유기농_8월'!$A:$A,$E193)))</f>
        <v/>
      </c>
      <c r="Q193" s="7" t="str">
        <f>IF($C193="","",IF(COUNTA('RAW_유기농_10월'!$A:$A)&lt;=1,"",SUMIFS('RAW_유기농_10월'!$H:$H,'RAW_유기농_10월'!$D:$D,$C193,'RAW_유기농_10월'!$A:$A,$E193)-SUMIFS('RAW_유기농_9월'!$H:$H,'RAW_유기농_9월'!$D:$D,$C193,'RAW_유기농_9월'!$A:$A,$E193)))</f>
        <v/>
      </c>
      <c r="R193" s="7" t="str">
        <f>IF($C193="","",IF(COUNTA('RAW_유기농_11-12월'!$A:$A)&lt;=1,"",SUMIFS('RAW_유기농_11-12월'!$H:$H,'RAW_유기농_11-12월'!$D:$D,$C193,'RAW_유기농_11-12월'!$A:$A,$E193)-SUMIFS('RAW_유기농_10월'!$H:$H,'RAW_유기농_10월'!$D:$D,$C193,'RAW_유기농_10월'!$A:$A,$E193)))</f>
        <v/>
      </c>
      <c r="S193" s="17" t="str">
        <f t="shared" si="4"/>
        <v/>
      </c>
      <c r="T193" s="17" t="str">
        <f t="shared" si="5"/>
        <v/>
      </c>
      <c r="U193" s="7">
        <f>IF($C193="",0,IF('설정'!$B$4=0,0,CHOOSE('설정'!$B$4,COUNTIFS('RAW_유기농_7월'!$D:$D,$C193,'RAW_유기농_7월'!$A:$A,$E193),COUNTIFS('RAW_유기농_8월'!$D:$D,$C193,'RAW_유기농_8월'!$A:$A,$E193),COUNTIFS('RAW_유기농_9월'!$D:$D,$C193,'RAW_유기농_9월'!$A:$A,$E193),COUNTIFS('RAW_유기농_10월'!$D:$D,$C193,'RAW_유기농_10월'!$A:$A,$E193),COUNTIFS('RAW_유기농_11-12월'!$D:$D,$C193,'RAW_유기농_11-12월'!$A:$A,$E193))))</f>
        <v>0</v>
      </c>
    </row>
    <row r="194" ht="15.75" customHeight="1">
      <c r="A194" s="5"/>
      <c r="B194" s="5"/>
      <c r="C194" s="5"/>
      <c r="D194" s="6"/>
      <c r="E194" s="5"/>
      <c r="F194" s="7" t="str">
        <f>IF($C194="","",IF('설정'!$B$4=0,"",CHOOSE('설정'!$B$4,SUMIFS('RAW_유기농_7월'!$F:$F,'RAW_유기농_7월'!$D:$D,$C194,'RAW_유기농_7월'!$A:$A,$E194),SUMIFS('RAW_유기농_8월'!$F:$F,'RAW_유기농_8월'!$D:$D,$C194,'RAW_유기농_8월'!$A:$A,$E194),SUMIFS('RAW_유기농_9월'!$F:$F,'RAW_유기농_9월'!$D:$D,$C194,'RAW_유기농_9월'!$A:$A,$E194),SUMIFS('RAW_유기농_10월'!$F:$F,'RAW_유기농_10월'!$D:$D,$C194,'RAW_유기농_10월'!$A:$A,$E194),SUMIFS('RAW_유기농_11-12월'!$F:$F,'RAW_유기농_11-12월'!$D:$D,$C194,'RAW_유기농_11-12월'!$A:$A,$E194))))</f>
        <v/>
      </c>
      <c r="G194" s="7" t="str">
        <f>IF($C194="","",IF('설정'!$B$4=0,"",CHOOSE('설정'!$B$4,SUMIFS('RAW_유기농_7월'!$G:$G,'RAW_유기농_7월'!$D:$D,$C194,'RAW_유기농_7월'!$A:$A,$E194),SUMIFS('RAW_유기농_8월'!$G:$G,'RAW_유기농_8월'!$D:$D,$C194,'RAW_유기농_8월'!$A:$A,$E194),SUMIFS('RAW_유기농_9월'!$G:$G,'RAW_유기농_9월'!$D:$D,$C194,'RAW_유기농_9월'!$A:$A,$E194),SUMIFS('RAW_유기농_10월'!$G:$G,'RAW_유기농_10월'!$D:$D,$C194,'RAW_유기농_10월'!$A:$A,$E194),SUMIFS('RAW_유기농_11-12월'!$G:$G,'RAW_유기농_11-12월'!$D:$D,$C194,'RAW_유기농_11-12월'!$A:$A,$E194))))</f>
        <v/>
      </c>
      <c r="H194" s="7" t="str">
        <f>IF($C194="","",IF('설정'!$B$4=0,"",CHOOSE('설정'!$B$4,SUMIFS('RAW_유기농_7월'!$H:$H,'RAW_유기농_7월'!$D:$D,$C194,'RAW_유기농_7월'!$A:$A,$E194),SUMIFS('RAW_유기농_8월'!$H:$H,'RAW_유기농_8월'!$D:$D,$C194,'RAW_유기농_8월'!$A:$A,$E194),SUMIFS('RAW_유기농_9월'!$H:$H,'RAW_유기농_9월'!$D:$D,$C194,'RAW_유기농_9월'!$A:$A,$E194),SUMIFS('RAW_유기농_10월'!$H:$H,'RAW_유기농_10월'!$D:$D,$C194,'RAW_유기농_10월'!$A:$A,$E194),SUMIFS('RAW_유기농_11-12월'!$H:$H,'RAW_유기농_11-12월'!$D:$D,$C194,'RAW_유기농_11-12월'!$A:$A,$E194))))</f>
        <v/>
      </c>
      <c r="I194" s="17" t="str">
        <f>IF($C194="","",IF(COUNTIFS('RAW_유기농_7월'!$D:$D,$C194,'RAW_유기농_7월'!$A:$A,$E194)&gt;0,"O",""))</f>
        <v/>
      </c>
      <c r="J194" s="17" t="str">
        <f>IF($C194="","",IF(COUNTIFS('RAW_유기농_8월'!$D:$D,$C194,'RAW_유기농_8월'!$A:$A,$E194)&gt;0,"O",""))</f>
        <v/>
      </c>
      <c r="K194" s="17" t="str">
        <f>IF($C194="","",IF(COUNTIFS('RAW_유기농_9월'!$D:$D,$C194,'RAW_유기농_9월'!$A:$A,$E194)&gt;0,"O",""))</f>
        <v/>
      </c>
      <c r="L194" s="17" t="str">
        <f>IF($C194="","",IF(COUNTIFS('RAW_유기농_10월'!$D:$D,$C194,'RAW_유기농_10월'!$A:$A,$E194)&gt;0,"O",""))</f>
        <v/>
      </c>
      <c r="M194" s="17" t="str">
        <f>IF($C194="","",IF(COUNTIFS('RAW_유기농_11-12월'!$D:$D,$C194,'RAW_유기농_11-12월'!$A:$A,$E194)&gt;0,"O",""))</f>
        <v/>
      </c>
      <c r="N194" s="7" t="str">
        <f>IF($C194="","",IF(COUNTA('RAW_유기농_7월'!$A:$A)&lt;=1,"",SUMIFS('RAW_유기농_7월'!$H:$H,'RAW_유기농_7월'!$D:$D,$C194,'RAW_유기농_7월'!$A:$A,$E194)))</f>
        <v/>
      </c>
      <c r="O194" s="7" t="str">
        <f>IF($C194="","",IF(COUNTA('RAW_유기농_8월'!$A:$A)&lt;=1,"",SUMIFS('RAW_유기농_8월'!$H:$H,'RAW_유기농_8월'!$D:$D,$C194,'RAW_유기농_8월'!$A:$A,$E194)-SUMIFS('RAW_유기농_7월'!$H:$H,'RAW_유기농_7월'!$D:$D,$C194,'RAW_유기농_7월'!$A:$A,$E194)))</f>
        <v/>
      </c>
      <c r="P194" s="7" t="str">
        <f>IF($C194="","",IF(COUNTA('RAW_유기농_9월'!$A:$A)&lt;=1,"",SUMIFS('RAW_유기농_9월'!$H:$H,'RAW_유기농_9월'!$D:$D,$C194,'RAW_유기농_9월'!$A:$A,$E194)-SUMIFS('RAW_유기농_8월'!$H:$H,'RAW_유기농_8월'!$D:$D,$C194,'RAW_유기농_8월'!$A:$A,$E194)))</f>
        <v/>
      </c>
      <c r="Q194" s="7" t="str">
        <f>IF($C194="","",IF(COUNTA('RAW_유기농_10월'!$A:$A)&lt;=1,"",SUMIFS('RAW_유기농_10월'!$H:$H,'RAW_유기농_10월'!$D:$D,$C194,'RAW_유기농_10월'!$A:$A,$E194)-SUMIFS('RAW_유기농_9월'!$H:$H,'RAW_유기농_9월'!$D:$D,$C194,'RAW_유기농_9월'!$A:$A,$E194)))</f>
        <v/>
      </c>
      <c r="R194" s="7" t="str">
        <f>IF($C194="","",IF(COUNTA('RAW_유기농_11-12월'!$A:$A)&lt;=1,"",SUMIFS('RAW_유기농_11-12월'!$H:$H,'RAW_유기농_11-12월'!$D:$D,$C194,'RAW_유기농_11-12월'!$A:$A,$E194)-SUMIFS('RAW_유기농_10월'!$H:$H,'RAW_유기농_10월'!$D:$D,$C194,'RAW_유기농_10월'!$A:$A,$E194)))</f>
        <v/>
      </c>
      <c r="S194" s="17" t="str">
        <f t="shared" si="4"/>
        <v/>
      </c>
      <c r="T194" s="17" t="str">
        <f t="shared" si="5"/>
        <v/>
      </c>
      <c r="U194" s="7">
        <f>IF($C194="",0,IF('설정'!$B$4=0,0,CHOOSE('설정'!$B$4,COUNTIFS('RAW_유기농_7월'!$D:$D,$C194,'RAW_유기농_7월'!$A:$A,$E194),COUNTIFS('RAW_유기농_8월'!$D:$D,$C194,'RAW_유기농_8월'!$A:$A,$E194),COUNTIFS('RAW_유기농_9월'!$D:$D,$C194,'RAW_유기농_9월'!$A:$A,$E194),COUNTIFS('RAW_유기농_10월'!$D:$D,$C194,'RAW_유기농_10월'!$A:$A,$E194),COUNTIFS('RAW_유기농_11-12월'!$D:$D,$C194,'RAW_유기농_11-12월'!$A:$A,$E194))))</f>
        <v>0</v>
      </c>
    </row>
    <row r="195" ht="15.75" customHeight="1">
      <c r="A195" s="5"/>
      <c r="B195" s="5"/>
      <c r="C195" s="5"/>
      <c r="D195" s="6"/>
      <c r="E195" s="5"/>
      <c r="F195" s="7" t="str">
        <f>IF($C195="","",IF('설정'!$B$4=0,"",CHOOSE('설정'!$B$4,SUMIFS('RAW_유기농_7월'!$F:$F,'RAW_유기농_7월'!$D:$D,$C195,'RAW_유기농_7월'!$A:$A,$E195),SUMIFS('RAW_유기농_8월'!$F:$F,'RAW_유기농_8월'!$D:$D,$C195,'RAW_유기농_8월'!$A:$A,$E195),SUMIFS('RAW_유기농_9월'!$F:$F,'RAW_유기농_9월'!$D:$D,$C195,'RAW_유기농_9월'!$A:$A,$E195),SUMIFS('RAW_유기농_10월'!$F:$F,'RAW_유기농_10월'!$D:$D,$C195,'RAW_유기농_10월'!$A:$A,$E195),SUMIFS('RAW_유기농_11-12월'!$F:$F,'RAW_유기농_11-12월'!$D:$D,$C195,'RAW_유기농_11-12월'!$A:$A,$E195))))</f>
        <v/>
      </c>
      <c r="G195" s="7" t="str">
        <f>IF($C195="","",IF('설정'!$B$4=0,"",CHOOSE('설정'!$B$4,SUMIFS('RAW_유기농_7월'!$G:$G,'RAW_유기농_7월'!$D:$D,$C195,'RAW_유기농_7월'!$A:$A,$E195),SUMIFS('RAW_유기농_8월'!$G:$G,'RAW_유기농_8월'!$D:$D,$C195,'RAW_유기농_8월'!$A:$A,$E195),SUMIFS('RAW_유기농_9월'!$G:$G,'RAW_유기농_9월'!$D:$D,$C195,'RAW_유기농_9월'!$A:$A,$E195),SUMIFS('RAW_유기농_10월'!$G:$G,'RAW_유기농_10월'!$D:$D,$C195,'RAW_유기농_10월'!$A:$A,$E195),SUMIFS('RAW_유기농_11-12월'!$G:$G,'RAW_유기농_11-12월'!$D:$D,$C195,'RAW_유기농_11-12월'!$A:$A,$E195))))</f>
        <v/>
      </c>
      <c r="H195" s="7" t="str">
        <f>IF($C195="","",IF('설정'!$B$4=0,"",CHOOSE('설정'!$B$4,SUMIFS('RAW_유기농_7월'!$H:$H,'RAW_유기농_7월'!$D:$D,$C195,'RAW_유기농_7월'!$A:$A,$E195),SUMIFS('RAW_유기농_8월'!$H:$H,'RAW_유기농_8월'!$D:$D,$C195,'RAW_유기농_8월'!$A:$A,$E195),SUMIFS('RAW_유기농_9월'!$H:$H,'RAW_유기농_9월'!$D:$D,$C195,'RAW_유기농_9월'!$A:$A,$E195),SUMIFS('RAW_유기농_10월'!$H:$H,'RAW_유기농_10월'!$D:$D,$C195,'RAW_유기농_10월'!$A:$A,$E195),SUMIFS('RAW_유기농_11-12월'!$H:$H,'RAW_유기농_11-12월'!$D:$D,$C195,'RAW_유기농_11-12월'!$A:$A,$E195))))</f>
        <v/>
      </c>
      <c r="I195" s="17" t="str">
        <f>IF($C195="","",IF(COUNTIFS('RAW_유기농_7월'!$D:$D,$C195,'RAW_유기농_7월'!$A:$A,$E195)&gt;0,"O",""))</f>
        <v/>
      </c>
      <c r="J195" s="17" t="str">
        <f>IF($C195="","",IF(COUNTIFS('RAW_유기농_8월'!$D:$D,$C195,'RAW_유기농_8월'!$A:$A,$E195)&gt;0,"O",""))</f>
        <v/>
      </c>
      <c r="K195" s="17" t="str">
        <f>IF($C195="","",IF(COUNTIFS('RAW_유기농_9월'!$D:$D,$C195,'RAW_유기농_9월'!$A:$A,$E195)&gt;0,"O",""))</f>
        <v/>
      </c>
      <c r="L195" s="17" t="str">
        <f>IF($C195="","",IF(COUNTIFS('RAW_유기농_10월'!$D:$D,$C195,'RAW_유기농_10월'!$A:$A,$E195)&gt;0,"O",""))</f>
        <v/>
      </c>
      <c r="M195" s="17" t="str">
        <f>IF($C195="","",IF(COUNTIFS('RAW_유기농_11-12월'!$D:$D,$C195,'RAW_유기농_11-12월'!$A:$A,$E195)&gt;0,"O",""))</f>
        <v/>
      </c>
      <c r="N195" s="7" t="str">
        <f>IF($C195="","",IF(COUNTA('RAW_유기농_7월'!$A:$A)&lt;=1,"",SUMIFS('RAW_유기농_7월'!$H:$H,'RAW_유기농_7월'!$D:$D,$C195,'RAW_유기농_7월'!$A:$A,$E195)))</f>
        <v/>
      </c>
      <c r="O195" s="7" t="str">
        <f>IF($C195="","",IF(COUNTA('RAW_유기농_8월'!$A:$A)&lt;=1,"",SUMIFS('RAW_유기농_8월'!$H:$H,'RAW_유기농_8월'!$D:$D,$C195,'RAW_유기농_8월'!$A:$A,$E195)-SUMIFS('RAW_유기농_7월'!$H:$H,'RAW_유기농_7월'!$D:$D,$C195,'RAW_유기농_7월'!$A:$A,$E195)))</f>
        <v/>
      </c>
      <c r="P195" s="7" t="str">
        <f>IF($C195="","",IF(COUNTA('RAW_유기농_9월'!$A:$A)&lt;=1,"",SUMIFS('RAW_유기농_9월'!$H:$H,'RAW_유기농_9월'!$D:$D,$C195,'RAW_유기농_9월'!$A:$A,$E195)-SUMIFS('RAW_유기농_8월'!$H:$H,'RAW_유기농_8월'!$D:$D,$C195,'RAW_유기농_8월'!$A:$A,$E195)))</f>
        <v/>
      </c>
      <c r="Q195" s="7" t="str">
        <f>IF($C195="","",IF(COUNTA('RAW_유기농_10월'!$A:$A)&lt;=1,"",SUMIFS('RAW_유기농_10월'!$H:$H,'RAW_유기농_10월'!$D:$D,$C195,'RAW_유기농_10월'!$A:$A,$E195)-SUMIFS('RAW_유기농_9월'!$H:$H,'RAW_유기농_9월'!$D:$D,$C195,'RAW_유기농_9월'!$A:$A,$E195)))</f>
        <v/>
      </c>
      <c r="R195" s="7" t="str">
        <f>IF($C195="","",IF(COUNTA('RAW_유기농_11-12월'!$A:$A)&lt;=1,"",SUMIFS('RAW_유기농_11-12월'!$H:$H,'RAW_유기농_11-12월'!$D:$D,$C195,'RAW_유기농_11-12월'!$A:$A,$E195)-SUMIFS('RAW_유기농_10월'!$H:$H,'RAW_유기농_10월'!$D:$D,$C195,'RAW_유기농_10월'!$A:$A,$E195)))</f>
        <v/>
      </c>
      <c r="S195" s="17" t="str">
        <f t="shared" si="4"/>
        <v/>
      </c>
      <c r="T195" s="17" t="str">
        <f t="shared" si="5"/>
        <v/>
      </c>
      <c r="U195" s="7">
        <f>IF($C195="",0,IF('설정'!$B$4=0,0,CHOOSE('설정'!$B$4,COUNTIFS('RAW_유기농_7월'!$D:$D,$C195,'RAW_유기농_7월'!$A:$A,$E195),COUNTIFS('RAW_유기농_8월'!$D:$D,$C195,'RAW_유기농_8월'!$A:$A,$E195),COUNTIFS('RAW_유기농_9월'!$D:$D,$C195,'RAW_유기농_9월'!$A:$A,$E195),COUNTIFS('RAW_유기농_10월'!$D:$D,$C195,'RAW_유기농_10월'!$A:$A,$E195),COUNTIFS('RAW_유기농_11-12월'!$D:$D,$C195,'RAW_유기농_11-12월'!$A:$A,$E195))))</f>
        <v>0</v>
      </c>
    </row>
    <row r="196" ht="15.75" customHeight="1">
      <c r="A196" s="5"/>
      <c r="B196" s="5"/>
      <c r="C196" s="5"/>
      <c r="D196" s="6"/>
      <c r="E196" s="5"/>
      <c r="F196" s="7" t="str">
        <f>IF($C196="","",IF('설정'!$B$4=0,"",CHOOSE('설정'!$B$4,SUMIFS('RAW_유기농_7월'!$F:$F,'RAW_유기농_7월'!$D:$D,$C196,'RAW_유기농_7월'!$A:$A,$E196),SUMIFS('RAW_유기농_8월'!$F:$F,'RAW_유기농_8월'!$D:$D,$C196,'RAW_유기농_8월'!$A:$A,$E196),SUMIFS('RAW_유기농_9월'!$F:$F,'RAW_유기농_9월'!$D:$D,$C196,'RAW_유기농_9월'!$A:$A,$E196),SUMIFS('RAW_유기농_10월'!$F:$F,'RAW_유기농_10월'!$D:$D,$C196,'RAW_유기농_10월'!$A:$A,$E196),SUMIFS('RAW_유기농_11-12월'!$F:$F,'RAW_유기농_11-12월'!$D:$D,$C196,'RAW_유기농_11-12월'!$A:$A,$E196))))</f>
        <v/>
      </c>
      <c r="G196" s="7" t="str">
        <f>IF($C196="","",IF('설정'!$B$4=0,"",CHOOSE('설정'!$B$4,SUMIFS('RAW_유기농_7월'!$G:$G,'RAW_유기농_7월'!$D:$D,$C196,'RAW_유기농_7월'!$A:$A,$E196),SUMIFS('RAW_유기농_8월'!$G:$G,'RAW_유기농_8월'!$D:$D,$C196,'RAW_유기농_8월'!$A:$A,$E196),SUMIFS('RAW_유기농_9월'!$G:$G,'RAW_유기농_9월'!$D:$D,$C196,'RAW_유기농_9월'!$A:$A,$E196),SUMIFS('RAW_유기농_10월'!$G:$G,'RAW_유기농_10월'!$D:$D,$C196,'RAW_유기농_10월'!$A:$A,$E196),SUMIFS('RAW_유기농_11-12월'!$G:$G,'RAW_유기농_11-12월'!$D:$D,$C196,'RAW_유기농_11-12월'!$A:$A,$E196))))</f>
        <v/>
      </c>
      <c r="H196" s="7" t="str">
        <f>IF($C196="","",IF('설정'!$B$4=0,"",CHOOSE('설정'!$B$4,SUMIFS('RAW_유기농_7월'!$H:$H,'RAW_유기농_7월'!$D:$D,$C196,'RAW_유기농_7월'!$A:$A,$E196),SUMIFS('RAW_유기농_8월'!$H:$H,'RAW_유기농_8월'!$D:$D,$C196,'RAW_유기농_8월'!$A:$A,$E196),SUMIFS('RAW_유기농_9월'!$H:$H,'RAW_유기농_9월'!$D:$D,$C196,'RAW_유기농_9월'!$A:$A,$E196),SUMIFS('RAW_유기농_10월'!$H:$H,'RAW_유기농_10월'!$D:$D,$C196,'RAW_유기농_10월'!$A:$A,$E196),SUMIFS('RAW_유기농_11-12월'!$H:$H,'RAW_유기농_11-12월'!$D:$D,$C196,'RAW_유기농_11-12월'!$A:$A,$E196))))</f>
        <v/>
      </c>
      <c r="I196" s="17" t="str">
        <f>IF($C196="","",IF(COUNTIFS('RAW_유기농_7월'!$D:$D,$C196,'RAW_유기농_7월'!$A:$A,$E196)&gt;0,"O",""))</f>
        <v/>
      </c>
      <c r="J196" s="17" t="str">
        <f>IF($C196="","",IF(COUNTIFS('RAW_유기농_8월'!$D:$D,$C196,'RAW_유기농_8월'!$A:$A,$E196)&gt;0,"O",""))</f>
        <v/>
      </c>
      <c r="K196" s="17" t="str">
        <f>IF($C196="","",IF(COUNTIFS('RAW_유기농_9월'!$D:$D,$C196,'RAW_유기농_9월'!$A:$A,$E196)&gt;0,"O",""))</f>
        <v/>
      </c>
      <c r="L196" s="17" t="str">
        <f>IF($C196="","",IF(COUNTIFS('RAW_유기농_10월'!$D:$D,$C196,'RAW_유기농_10월'!$A:$A,$E196)&gt;0,"O",""))</f>
        <v/>
      </c>
      <c r="M196" s="17" t="str">
        <f>IF($C196="","",IF(COUNTIFS('RAW_유기농_11-12월'!$D:$D,$C196,'RAW_유기농_11-12월'!$A:$A,$E196)&gt;0,"O",""))</f>
        <v/>
      </c>
      <c r="N196" s="7" t="str">
        <f>IF($C196="","",IF(COUNTA('RAW_유기농_7월'!$A:$A)&lt;=1,"",SUMIFS('RAW_유기농_7월'!$H:$H,'RAW_유기농_7월'!$D:$D,$C196,'RAW_유기농_7월'!$A:$A,$E196)))</f>
        <v/>
      </c>
      <c r="O196" s="7" t="str">
        <f>IF($C196="","",IF(COUNTA('RAW_유기농_8월'!$A:$A)&lt;=1,"",SUMIFS('RAW_유기농_8월'!$H:$H,'RAW_유기농_8월'!$D:$D,$C196,'RAW_유기농_8월'!$A:$A,$E196)-SUMIFS('RAW_유기농_7월'!$H:$H,'RAW_유기농_7월'!$D:$D,$C196,'RAW_유기농_7월'!$A:$A,$E196)))</f>
        <v/>
      </c>
      <c r="P196" s="7" t="str">
        <f>IF($C196="","",IF(COUNTA('RAW_유기농_9월'!$A:$A)&lt;=1,"",SUMIFS('RAW_유기농_9월'!$H:$H,'RAW_유기농_9월'!$D:$D,$C196,'RAW_유기농_9월'!$A:$A,$E196)-SUMIFS('RAW_유기농_8월'!$H:$H,'RAW_유기농_8월'!$D:$D,$C196,'RAW_유기농_8월'!$A:$A,$E196)))</f>
        <v/>
      </c>
      <c r="Q196" s="7" t="str">
        <f>IF($C196="","",IF(COUNTA('RAW_유기농_10월'!$A:$A)&lt;=1,"",SUMIFS('RAW_유기농_10월'!$H:$H,'RAW_유기농_10월'!$D:$D,$C196,'RAW_유기농_10월'!$A:$A,$E196)-SUMIFS('RAW_유기농_9월'!$H:$H,'RAW_유기농_9월'!$D:$D,$C196,'RAW_유기농_9월'!$A:$A,$E196)))</f>
        <v/>
      </c>
      <c r="R196" s="7" t="str">
        <f>IF($C196="","",IF(COUNTA('RAW_유기농_11-12월'!$A:$A)&lt;=1,"",SUMIFS('RAW_유기농_11-12월'!$H:$H,'RAW_유기농_11-12월'!$D:$D,$C196,'RAW_유기농_11-12월'!$A:$A,$E196)-SUMIFS('RAW_유기농_10월'!$H:$H,'RAW_유기농_10월'!$D:$D,$C196,'RAW_유기농_10월'!$A:$A,$E196)))</f>
        <v/>
      </c>
      <c r="S196" s="17" t="str">
        <f t="shared" si="4"/>
        <v/>
      </c>
      <c r="T196" s="17" t="str">
        <f t="shared" si="5"/>
        <v/>
      </c>
      <c r="U196" s="7">
        <f>IF($C196="",0,IF('설정'!$B$4=0,0,CHOOSE('설정'!$B$4,COUNTIFS('RAW_유기농_7월'!$D:$D,$C196,'RAW_유기농_7월'!$A:$A,$E196),COUNTIFS('RAW_유기농_8월'!$D:$D,$C196,'RAW_유기농_8월'!$A:$A,$E196),COUNTIFS('RAW_유기농_9월'!$D:$D,$C196,'RAW_유기농_9월'!$A:$A,$E196),COUNTIFS('RAW_유기농_10월'!$D:$D,$C196,'RAW_유기농_10월'!$A:$A,$E196),COUNTIFS('RAW_유기농_11-12월'!$D:$D,$C196,'RAW_유기농_11-12월'!$A:$A,$E196))))</f>
        <v>0</v>
      </c>
    </row>
    <row r="197" ht="15.75" customHeight="1">
      <c r="A197" s="5"/>
      <c r="B197" s="5"/>
      <c r="C197" s="5"/>
      <c r="D197" s="6"/>
      <c r="E197" s="5"/>
      <c r="F197" s="7" t="str">
        <f>IF($C197="","",IF('설정'!$B$4=0,"",CHOOSE('설정'!$B$4,SUMIFS('RAW_유기농_7월'!$F:$F,'RAW_유기농_7월'!$D:$D,$C197,'RAW_유기농_7월'!$A:$A,$E197),SUMIFS('RAW_유기농_8월'!$F:$F,'RAW_유기농_8월'!$D:$D,$C197,'RAW_유기농_8월'!$A:$A,$E197),SUMIFS('RAW_유기농_9월'!$F:$F,'RAW_유기농_9월'!$D:$D,$C197,'RAW_유기농_9월'!$A:$A,$E197),SUMIFS('RAW_유기농_10월'!$F:$F,'RAW_유기농_10월'!$D:$D,$C197,'RAW_유기농_10월'!$A:$A,$E197),SUMIFS('RAW_유기농_11-12월'!$F:$F,'RAW_유기농_11-12월'!$D:$D,$C197,'RAW_유기농_11-12월'!$A:$A,$E197))))</f>
        <v/>
      </c>
      <c r="G197" s="7" t="str">
        <f>IF($C197="","",IF('설정'!$B$4=0,"",CHOOSE('설정'!$B$4,SUMIFS('RAW_유기농_7월'!$G:$G,'RAW_유기농_7월'!$D:$D,$C197,'RAW_유기농_7월'!$A:$A,$E197),SUMIFS('RAW_유기농_8월'!$G:$G,'RAW_유기농_8월'!$D:$D,$C197,'RAW_유기농_8월'!$A:$A,$E197),SUMIFS('RAW_유기농_9월'!$G:$G,'RAW_유기농_9월'!$D:$D,$C197,'RAW_유기농_9월'!$A:$A,$E197),SUMIFS('RAW_유기농_10월'!$G:$G,'RAW_유기농_10월'!$D:$D,$C197,'RAW_유기농_10월'!$A:$A,$E197),SUMIFS('RAW_유기농_11-12월'!$G:$G,'RAW_유기농_11-12월'!$D:$D,$C197,'RAW_유기농_11-12월'!$A:$A,$E197))))</f>
        <v/>
      </c>
      <c r="H197" s="7" t="str">
        <f>IF($C197="","",IF('설정'!$B$4=0,"",CHOOSE('설정'!$B$4,SUMIFS('RAW_유기농_7월'!$H:$H,'RAW_유기농_7월'!$D:$D,$C197,'RAW_유기농_7월'!$A:$A,$E197),SUMIFS('RAW_유기농_8월'!$H:$H,'RAW_유기농_8월'!$D:$D,$C197,'RAW_유기농_8월'!$A:$A,$E197),SUMIFS('RAW_유기농_9월'!$H:$H,'RAW_유기농_9월'!$D:$D,$C197,'RAW_유기농_9월'!$A:$A,$E197),SUMIFS('RAW_유기농_10월'!$H:$H,'RAW_유기농_10월'!$D:$D,$C197,'RAW_유기농_10월'!$A:$A,$E197),SUMIFS('RAW_유기농_11-12월'!$H:$H,'RAW_유기농_11-12월'!$D:$D,$C197,'RAW_유기농_11-12월'!$A:$A,$E197))))</f>
        <v/>
      </c>
      <c r="I197" s="17" t="str">
        <f>IF($C197="","",IF(COUNTIFS('RAW_유기농_7월'!$D:$D,$C197,'RAW_유기농_7월'!$A:$A,$E197)&gt;0,"O",""))</f>
        <v/>
      </c>
      <c r="J197" s="17" t="str">
        <f>IF($C197="","",IF(COUNTIFS('RAW_유기농_8월'!$D:$D,$C197,'RAW_유기농_8월'!$A:$A,$E197)&gt;0,"O",""))</f>
        <v/>
      </c>
      <c r="K197" s="17" t="str">
        <f>IF($C197="","",IF(COUNTIFS('RAW_유기농_9월'!$D:$D,$C197,'RAW_유기농_9월'!$A:$A,$E197)&gt;0,"O",""))</f>
        <v/>
      </c>
      <c r="L197" s="17" t="str">
        <f>IF($C197="","",IF(COUNTIFS('RAW_유기농_10월'!$D:$D,$C197,'RAW_유기농_10월'!$A:$A,$E197)&gt;0,"O",""))</f>
        <v/>
      </c>
      <c r="M197" s="17" t="str">
        <f>IF($C197="","",IF(COUNTIFS('RAW_유기농_11-12월'!$D:$D,$C197,'RAW_유기농_11-12월'!$A:$A,$E197)&gt;0,"O",""))</f>
        <v/>
      </c>
      <c r="N197" s="7" t="str">
        <f>IF($C197="","",IF(COUNTA('RAW_유기농_7월'!$A:$A)&lt;=1,"",SUMIFS('RAW_유기농_7월'!$H:$H,'RAW_유기농_7월'!$D:$D,$C197,'RAW_유기농_7월'!$A:$A,$E197)))</f>
        <v/>
      </c>
      <c r="O197" s="7" t="str">
        <f>IF($C197="","",IF(COUNTA('RAW_유기농_8월'!$A:$A)&lt;=1,"",SUMIFS('RAW_유기농_8월'!$H:$H,'RAW_유기농_8월'!$D:$D,$C197,'RAW_유기농_8월'!$A:$A,$E197)-SUMIFS('RAW_유기농_7월'!$H:$H,'RAW_유기농_7월'!$D:$D,$C197,'RAW_유기농_7월'!$A:$A,$E197)))</f>
        <v/>
      </c>
      <c r="P197" s="7" t="str">
        <f>IF($C197="","",IF(COUNTA('RAW_유기농_9월'!$A:$A)&lt;=1,"",SUMIFS('RAW_유기농_9월'!$H:$H,'RAW_유기농_9월'!$D:$D,$C197,'RAW_유기농_9월'!$A:$A,$E197)-SUMIFS('RAW_유기농_8월'!$H:$H,'RAW_유기농_8월'!$D:$D,$C197,'RAW_유기농_8월'!$A:$A,$E197)))</f>
        <v/>
      </c>
      <c r="Q197" s="7" t="str">
        <f>IF($C197="","",IF(COUNTA('RAW_유기농_10월'!$A:$A)&lt;=1,"",SUMIFS('RAW_유기농_10월'!$H:$H,'RAW_유기농_10월'!$D:$D,$C197,'RAW_유기농_10월'!$A:$A,$E197)-SUMIFS('RAW_유기농_9월'!$H:$H,'RAW_유기농_9월'!$D:$D,$C197,'RAW_유기농_9월'!$A:$A,$E197)))</f>
        <v/>
      </c>
      <c r="R197" s="7" t="str">
        <f>IF($C197="","",IF(COUNTA('RAW_유기농_11-12월'!$A:$A)&lt;=1,"",SUMIFS('RAW_유기농_11-12월'!$H:$H,'RAW_유기농_11-12월'!$D:$D,$C197,'RAW_유기농_11-12월'!$A:$A,$E197)-SUMIFS('RAW_유기농_10월'!$H:$H,'RAW_유기농_10월'!$D:$D,$C197,'RAW_유기농_10월'!$A:$A,$E197)))</f>
        <v/>
      </c>
      <c r="S197" s="17" t="str">
        <f t="shared" si="4"/>
        <v/>
      </c>
      <c r="T197" s="17" t="str">
        <f t="shared" si="5"/>
        <v/>
      </c>
      <c r="U197" s="7">
        <f>IF($C197="",0,IF('설정'!$B$4=0,0,CHOOSE('설정'!$B$4,COUNTIFS('RAW_유기농_7월'!$D:$D,$C197,'RAW_유기농_7월'!$A:$A,$E197),COUNTIFS('RAW_유기농_8월'!$D:$D,$C197,'RAW_유기농_8월'!$A:$A,$E197),COUNTIFS('RAW_유기농_9월'!$D:$D,$C197,'RAW_유기농_9월'!$A:$A,$E197),COUNTIFS('RAW_유기농_10월'!$D:$D,$C197,'RAW_유기농_10월'!$A:$A,$E197),COUNTIFS('RAW_유기농_11-12월'!$D:$D,$C197,'RAW_유기농_11-12월'!$A:$A,$E197))))</f>
        <v>0</v>
      </c>
    </row>
    <row r="198" ht="15.75" customHeight="1">
      <c r="A198" s="5"/>
      <c r="B198" s="5"/>
      <c r="C198" s="5"/>
      <c r="D198" s="6"/>
      <c r="E198" s="5"/>
      <c r="F198" s="7" t="str">
        <f>IF($C198="","",IF('설정'!$B$4=0,"",CHOOSE('설정'!$B$4,SUMIFS('RAW_유기농_7월'!$F:$F,'RAW_유기농_7월'!$D:$D,$C198,'RAW_유기농_7월'!$A:$A,$E198),SUMIFS('RAW_유기농_8월'!$F:$F,'RAW_유기농_8월'!$D:$D,$C198,'RAW_유기농_8월'!$A:$A,$E198),SUMIFS('RAW_유기농_9월'!$F:$F,'RAW_유기농_9월'!$D:$D,$C198,'RAW_유기농_9월'!$A:$A,$E198),SUMIFS('RAW_유기농_10월'!$F:$F,'RAW_유기농_10월'!$D:$D,$C198,'RAW_유기농_10월'!$A:$A,$E198),SUMIFS('RAW_유기농_11-12월'!$F:$F,'RAW_유기농_11-12월'!$D:$D,$C198,'RAW_유기농_11-12월'!$A:$A,$E198))))</f>
        <v/>
      </c>
      <c r="G198" s="7" t="str">
        <f>IF($C198="","",IF('설정'!$B$4=0,"",CHOOSE('설정'!$B$4,SUMIFS('RAW_유기농_7월'!$G:$G,'RAW_유기농_7월'!$D:$D,$C198,'RAW_유기농_7월'!$A:$A,$E198),SUMIFS('RAW_유기농_8월'!$G:$G,'RAW_유기농_8월'!$D:$D,$C198,'RAW_유기농_8월'!$A:$A,$E198),SUMIFS('RAW_유기농_9월'!$G:$G,'RAW_유기농_9월'!$D:$D,$C198,'RAW_유기농_9월'!$A:$A,$E198),SUMIFS('RAW_유기농_10월'!$G:$G,'RAW_유기농_10월'!$D:$D,$C198,'RAW_유기농_10월'!$A:$A,$E198),SUMIFS('RAW_유기농_11-12월'!$G:$G,'RAW_유기농_11-12월'!$D:$D,$C198,'RAW_유기농_11-12월'!$A:$A,$E198))))</f>
        <v/>
      </c>
      <c r="H198" s="7" t="str">
        <f>IF($C198="","",IF('설정'!$B$4=0,"",CHOOSE('설정'!$B$4,SUMIFS('RAW_유기농_7월'!$H:$H,'RAW_유기농_7월'!$D:$D,$C198,'RAW_유기농_7월'!$A:$A,$E198),SUMIFS('RAW_유기농_8월'!$H:$H,'RAW_유기농_8월'!$D:$D,$C198,'RAW_유기농_8월'!$A:$A,$E198),SUMIFS('RAW_유기농_9월'!$H:$H,'RAW_유기농_9월'!$D:$D,$C198,'RAW_유기농_9월'!$A:$A,$E198),SUMIFS('RAW_유기농_10월'!$H:$H,'RAW_유기농_10월'!$D:$D,$C198,'RAW_유기농_10월'!$A:$A,$E198),SUMIFS('RAW_유기농_11-12월'!$H:$H,'RAW_유기농_11-12월'!$D:$D,$C198,'RAW_유기농_11-12월'!$A:$A,$E198))))</f>
        <v/>
      </c>
      <c r="I198" s="17" t="str">
        <f>IF($C198="","",IF(COUNTIFS('RAW_유기농_7월'!$D:$D,$C198,'RAW_유기농_7월'!$A:$A,$E198)&gt;0,"O",""))</f>
        <v/>
      </c>
      <c r="J198" s="17" t="str">
        <f>IF($C198="","",IF(COUNTIFS('RAW_유기농_8월'!$D:$D,$C198,'RAW_유기농_8월'!$A:$A,$E198)&gt;0,"O",""))</f>
        <v/>
      </c>
      <c r="K198" s="17" t="str">
        <f>IF($C198="","",IF(COUNTIFS('RAW_유기농_9월'!$D:$D,$C198,'RAW_유기농_9월'!$A:$A,$E198)&gt;0,"O",""))</f>
        <v/>
      </c>
      <c r="L198" s="17" t="str">
        <f>IF($C198="","",IF(COUNTIFS('RAW_유기농_10월'!$D:$D,$C198,'RAW_유기농_10월'!$A:$A,$E198)&gt;0,"O",""))</f>
        <v/>
      </c>
      <c r="M198" s="17" t="str">
        <f>IF($C198="","",IF(COUNTIFS('RAW_유기농_11-12월'!$D:$D,$C198,'RAW_유기농_11-12월'!$A:$A,$E198)&gt;0,"O",""))</f>
        <v/>
      </c>
      <c r="N198" s="7" t="str">
        <f>IF($C198="","",IF(COUNTA('RAW_유기농_7월'!$A:$A)&lt;=1,"",SUMIFS('RAW_유기농_7월'!$H:$H,'RAW_유기농_7월'!$D:$D,$C198,'RAW_유기농_7월'!$A:$A,$E198)))</f>
        <v/>
      </c>
      <c r="O198" s="7" t="str">
        <f>IF($C198="","",IF(COUNTA('RAW_유기농_8월'!$A:$A)&lt;=1,"",SUMIFS('RAW_유기농_8월'!$H:$H,'RAW_유기농_8월'!$D:$D,$C198,'RAW_유기농_8월'!$A:$A,$E198)-SUMIFS('RAW_유기농_7월'!$H:$H,'RAW_유기농_7월'!$D:$D,$C198,'RAW_유기농_7월'!$A:$A,$E198)))</f>
        <v/>
      </c>
      <c r="P198" s="7" t="str">
        <f>IF($C198="","",IF(COUNTA('RAW_유기농_9월'!$A:$A)&lt;=1,"",SUMIFS('RAW_유기농_9월'!$H:$H,'RAW_유기농_9월'!$D:$D,$C198,'RAW_유기농_9월'!$A:$A,$E198)-SUMIFS('RAW_유기농_8월'!$H:$H,'RAW_유기농_8월'!$D:$D,$C198,'RAW_유기농_8월'!$A:$A,$E198)))</f>
        <v/>
      </c>
      <c r="Q198" s="7" t="str">
        <f>IF($C198="","",IF(COUNTA('RAW_유기농_10월'!$A:$A)&lt;=1,"",SUMIFS('RAW_유기농_10월'!$H:$H,'RAW_유기농_10월'!$D:$D,$C198,'RAW_유기농_10월'!$A:$A,$E198)-SUMIFS('RAW_유기농_9월'!$H:$H,'RAW_유기농_9월'!$D:$D,$C198,'RAW_유기농_9월'!$A:$A,$E198)))</f>
        <v/>
      </c>
      <c r="R198" s="7" t="str">
        <f>IF($C198="","",IF(COUNTA('RAW_유기농_11-12월'!$A:$A)&lt;=1,"",SUMIFS('RAW_유기농_11-12월'!$H:$H,'RAW_유기농_11-12월'!$D:$D,$C198,'RAW_유기농_11-12월'!$A:$A,$E198)-SUMIFS('RAW_유기농_10월'!$H:$H,'RAW_유기농_10월'!$D:$D,$C198,'RAW_유기농_10월'!$A:$A,$E198)))</f>
        <v/>
      </c>
      <c r="S198" s="17" t="str">
        <f t="shared" si="4"/>
        <v/>
      </c>
      <c r="T198" s="17" t="str">
        <f t="shared" si="5"/>
        <v/>
      </c>
      <c r="U198" s="7">
        <f>IF($C198="",0,IF('설정'!$B$4=0,0,CHOOSE('설정'!$B$4,COUNTIFS('RAW_유기농_7월'!$D:$D,$C198,'RAW_유기농_7월'!$A:$A,$E198),COUNTIFS('RAW_유기농_8월'!$D:$D,$C198,'RAW_유기농_8월'!$A:$A,$E198),COUNTIFS('RAW_유기농_9월'!$D:$D,$C198,'RAW_유기농_9월'!$A:$A,$E198),COUNTIFS('RAW_유기농_10월'!$D:$D,$C198,'RAW_유기농_10월'!$A:$A,$E198),COUNTIFS('RAW_유기농_11-12월'!$D:$D,$C198,'RAW_유기농_11-12월'!$A:$A,$E198))))</f>
        <v>0</v>
      </c>
    </row>
    <row r="199" ht="15.75" customHeight="1">
      <c r="A199" s="5"/>
      <c r="B199" s="5"/>
      <c r="C199" s="5"/>
      <c r="D199" s="6"/>
      <c r="E199" s="5"/>
      <c r="F199" s="7" t="str">
        <f>IF($C199="","",IF('설정'!$B$4=0,"",CHOOSE('설정'!$B$4,SUMIFS('RAW_유기농_7월'!$F:$F,'RAW_유기농_7월'!$D:$D,$C199,'RAW_유기농_7월'!$A:$A,$E199),SUMIFS('RAW_유기농_8월'!$F:$F,'RAW_유기농_8월'!$D:$D,$C199,'RAW_유기농_8월'!$A:$A,$E199),SUMIFS('RAW_유기농_9월'!$F:$F,'RAW_유기농_9월'!$D:$D,$C199,'RAW_유기농_9월'!$A:$A,$E199),SUMIFS('RAW_유기농_10월'!$F:$F,'RAW_유기농_10월'!$D:$D,$C199,'RAW_유기농_10월'!$A:$A,$E199),SUMIFS('RAW_유기농_11-12월'!$F:$F,'RAW_유기농_11-12월'!$D:$D,$C199,'RAW_유기농_11-12월'!$A:$A,$E199))))</f>
        <v/>
      </c>
      <c r="G199" s="7" t="str">
        <f>IF($C199="","",IF('설정'!$B$4=0,"",CHOOSE('설정'!$B$4,SUMIFS('RAW_유기농_7월'!$G:$G,'RAW_유기농_7월'!$D:$D,$C199,'RAW_유기농_7월'!$A:$A,$E199),SUMIFS('RAW_유기농_8월'!$G:$G,'RAW_유기농_8월'!$D:$D,$C199,'RAW_유기농_8월'!$A:$A,$E199),SUMIFS('RAW_유기농_9월'!$G:$G,'RAW_유기농_9월'!$D:$D,$C199,'RAW_유기농_9월'!$A:$A,$E199),SUMIFS('RAW_유기농_10월'!$G:$G,'RAW_유기농_10월'!$D:$D,$C199,'RAW_유기농_10월'!$A:$A,$E199),SUMIFS('RAW_유기농_11-12월'!$G:$G,'RAW_유기농_11-12월'!$D:$D,$C199,'RAW_유기농_11-12월'!$A:$A,$E199))))</f>
        <v/>
      </c>
      <c r="H199" s="7" t="str">
        <f>IF($C199="","",IF('설정'!$B$4=0,"",CHOOSE('설정'!$B$4,SUMIFS('RAW_유기농_7월'!$H:$H,'RAW_유기농_7월'!$D:$D,$C199,'RAW_유기농_7월'!$A:$A,$E199),SUMIFS('RAW_유기농_8월'!$H:$H,'RAW_유기농_8월'!$D:$D,$C199,'RAW_유기농_8월'!$A:$A,$E199),SUMIFS('RAW_유기농_9월'!$H:$H,'RAW_유기농_9월'!$D:$D,$C199,'RAW_유기농_9월'!$A:$A,$E199),SUMIFS('RAW_유기농_10월'!$H:$H,'RAW_유기농_10월'!$D:$D,$C199,'RAW_유기농_10월'!$A:$A,$E199),SUMIFS('RAW_유기농_11-12월'!$H:$H,'RAW_유기농_11-12월'!$D:$D,$C199,'RAW_유기농_11-12월'!$A:$A,$E199))))</f>
        <v/>
      </c>
      <c r="I199" s="17" t="str">
        <f>IF($C199="","",IF(COUNTIFS('RAW_유기농_7월'!$D:$D,$C199,'RAW_유기농_7월'!$A:$A,$E199)&gt;0,"O",""))</f>
        <v/>
      </c>
      <c r="J199" s="17" t="str">
        <f>IF($C199="","",IF(COUNTIFS('RAW_유기농_8월'!$D:$D,$C199,'RAW_유기농_8월'!$A:$A,$E199)&gt;0,"O",""))</f>
        <v/>
      </c>
      <c r="K199" s="17" t="str">
        <f>IF($C199="","",IF(COUNTIFS('RAW_유기농_9월'!$D:$D,$C199,'RAW_유기농_9월'!$A:$A,$E199)&gt;0,"O",""))</f>
        <v/>
      </c>
      <c r="L199" s="17" t="str">
        <f>IF($C199="","",IF(COUNTIFS('RAW_유기농_10월'!$D:$D,$C199,'RAW_유기농_10월'!$A:$A,$E199)&gt;0,"O",""))</f>
        <v/>
      </c>
      <c r="M199" s="17" t="str">
        <f>IF($C199="","",IF(COUNTIFS('RAW_유기농_11-12월'!$D:$D,$C199,'RAW_유기농_11-12월'!$A:$A,$E199)&gt;0,"O",""))</f>
        <v/>
      </c>
      <c r="N199" s="7" t="str">
        <f>IF($C199="","",IF(COUNTA('RAW_유기농_7월'!$A:$A)&lt;=1,"",SUMIFS('RAW_유기농_7월'!$H:$H,'RAW_유기농_7월'!$D:$D,$C199,'RAW_유기농_7월'!$A:$A,$E199)))</f>
        <v/>
      </c>
      <c r="O199" s="7" t="str">
        <f>IF($C199="","",IF(COUNTA('RAW_유기농_8월'!$A:$A)&lt;=1,"",SUMIFS('RAW_유기농_8월'!$H:$H,'RAW_유기농_8월'!$D:$D,$C199,'RAW_유기농_8월'!$A:$A,$E199)-SUMIFS('RAW_유기농_7월'!$H:$H,'RAW_유기농_7월'!$D:$D,$C199,'RAW_유기농_7월'!$A:$A,$E199)))</f>
        <v/>
      </c>
      <c r="P199" s="7" t="str">
        <f>IF($C199="","",IF(COUNTA('RAW_유기농_9월'!$A:$A)&lt;=1,"",SUMIFS('RAW_유기농_9월'!$H:$H,'RAW_유기농_9월'!$D:$D,$C199,'RAW_유기농_9월'!$A:$A,$E199)-SUMIFS('RAW_유기농_8월'!$H:$H,'RAW_유기농_8월'!$D:$D,$C199,'RAW_유기농_8월'!$A:$A,$E199)))</f>
        <v/>
      </c>
      <c r="Q199" s="7" t="str">
        <f>IF($C199="","",IF(COUNTA('RAW_유기농_10월'!$A:$A)&lt;=1,"",SUMIFS('RAW_유기농_10월'!$H:$H,'RAW_유기농_10월'!$D:$D,$C199,'RAW_유기농_10월'!$A:$A,$E199)-SUMIFS('RAW_유기농_9월'!$H:$H,'RAW_유기농_9월'!$D:$D,$C199,'RAW_유기농_9월'!$A:$A,$E199)))</f>
        <v/>
      </c>
      <c r="R199" s="7" t="str">
        <f>IF($C199="","",IF(COUNTA('RAW_유기농_11-12월'!$A:$A)&lt;=1,"",SUMIFS('RAW_유기농_11-12월'!$H:$H,'RAW_유기농_11-12월'!$D:$D,$C199,'RAW_유기농_11-12월'!$A:$A,$E199)-SUMIFS('RAW_유기농_10월'!$H:$H,'RAW_유기농_10월'!$D:$D,$C199,'RAW_유기농_10월'!$A:$A,$E199)))</f>
        <v/>
      </c>
      <c r="S199" s="17" t="str">
        <f t="shared" si="4"/>
        <v/>
      </c>
      <c r="T199" s="17" t="str">
        <f t="shared" si="5"/>
        <v/>
      </c>
      <c r="U199" s="7">
        <f>IF($C199="",0,IF('설정'!$B$4=0,0,CHOOSE('설정'!$B$4,COUNTIFS('RAW_유기농_7월'!$D:$D,$C199,'RAW_유기농_7월'!$A:$A,$E199),COUNTIFS('RAW_유기농_8월'!$D:$D,$C199,'RAW_유기농_8월'!$A:$A,$E199),COUNTIFS('RAW_유기농_9월'!$D:$D,$C199,'RAW_유기농_9월'!$A:$A,$E199),COUNTIFS('RAW_유기농_10월'!$D:$D,$C199,'RAW_유기농_10월'!$A:$A,$E199),COUNTIFS('RAW_유기농_11-12월'!$D:$D,$C199,'RAW_유기농_11-12월'!$A:$A,$E199))))</f>
        <v>0</v>
      </c>
    </row>
    <row r="200" ht="15.75" customHeight="1">
      <c r="A200" s="5"/>
      <c r="B200" s="5"/>
      <c r="C200" s="5"/>
      <c r="D200" s="6"/>
      <c r="E200" s="5"/>
      <c r="F200" s="7" t="str">
        <f>IF($C200="","",IF('설정'!$B$4=0,"",CHOOSE('설정'!$B$4,SUMIFS('RAW_유기농_7월'!$F:$F,'RAW_유기농_7월'!$D:$D,$C200,'RAW_유기농_7월'!$A:$A,$E200),SUMIFS('RAW_유기농_8월'!$F:$F,'RAW_유기농_8월'!$D:$D,$C200,'RAW_유기농_8월'!$A:$A,$E200),SUMIFS('RAW_유기농_9월'!$F:$F,'RAW_유기농_9월'!$D:$D,$C200,'RAW_유기농_9월'!$A:$A,$E200),SUMIFS('RAW_유기농_10월'!$F:$F,'RAW_유기농_10월'!$D:$D,$C200,'RAW_유기농_10월'!$A:$A,$E200),SUMIFS('RAW_유기농_11-12월'!$F:$F,'RAW_유기농_11-12월'!$D:$D,$C200,'RAW_유기농_11-12월'!$A:$A,$E200))))</f>
        <v/>
      </c>
      <c r="G200" s="7" t="str">
        <f>IF($C200="","",IF('설정'!$B$4=0,"",CHOOSE('설정'!$B$4,SUMIFS('RAW_유기농_7월'!$G:$G,'RAW_유기농_7월'!$D:$D,$C200,'RAW_유기농_7월'!$A:$A,$E200),SUMIFS('RAW_유기농_8월'!$G:$G,'RAW_유기농_8월'!$D:$D,$C200,'RAW_유기농_8월'!$A:$A,$E200),SUMIFS('RAW_유기농_9월'!$G:$G,'RAW_유기농_9월'!$D:$D,$C200,'RAW_유기농_9월'!$A:$A,$E200),SUMIFS('RAW_유기농_10월'!$G:$G,'RAW_유기농_10월'!$D:$D,$C200,'RAW_유기농_10월'!$A:$A,$E200),SUMIFS('RAW_유기농_11-12월'!$G:$G,'RAW_유기농_11-12월'!$D:$D,$C200,'RAW_유기농_11-12월'!$A:$A,$E200))))</f>
        <v/>
      </c>
      <c r="H200" s="7" t="str">
        <f>IF($C200="","",IF('설정'!$B$4=0,"",CHOOSE('설정'!$B$4,SUMIFS('RAW_유기농_7월'!$H:$H,'RAW_유기농_7월'!$D:$D,$C200,'RAW_유기농_7월'!$A:$A,$E200),SUMIFS('RAW_유기농_8월'!$H:$H,'RAW_유기농_8월'!$D:$D,$C200,'RAW_유기농_8월'!$A:$A,$E200),SUMIFS('RAW_유기농_9월'!$H:$H,'RAW_유기농_9월'!$D:$D,$C200,'RAW_유기농_9월'!$A:$A,$E200),SUMIFS('RAW_유기농_10월'!$H:$H,'RAW_유기농_10월'!$D:$D,$C200,'RAW_유기농_10월'!$A:$A,$E200),SUMIFS('RAW_유기농_11-12월'!$H:$H,'RAW_유기농_11-12월'!$D:$D,$C200,'RAW_유기농_11-12월'!$A:$A,$E200))))</f>
        <v/>
      </c>
      <c r="I200" s="17" t="str">
        <f>IF($C200="","",IF(COUNTIFS('RAW_유기농_7월'!$D:$D,$C200,'RAW_유기농_7월'!$A:$A,$E200)&gt;0,"O",""))</f>
        <v/>
      </c>
      <c r="J200" s="17" t="str">
        <f>IF($C200="","",IF(COUNTIFS('RAW_유기농_8월'!$D:$D,$C200,'RAW_유기농_8월'!$A:$A,$E200)&gt;0,"O",""))</f>
        <v/>
      </c>
      <c r="K200" s="17" t="str">
        <f>IF($C200="","",IF(COUNTIFS('RAW_유기농_9월'!$D:$D,$C200,'RAW_유기농_9월'!$A:$A,$E200)&gt;0,"O",""))</f>
        <v/>
      </c>
      <c r="L200" s="17" t="str">
        <f>IF($C200="","",IF(COUNTIFS('RAW_유기농_10월'!$D:$D,$C200,'RAW_유기농_10월'!$A:$A,$E200)&gt;0,"O",""))</f>
        <v/>
      </c>
      <c r="M200" s="17" t="str">
        <f>IF($C200="","",IF(COUNTIFS('RAW_유기농_11-12월'!$D:$D,$C200,'RAW_유기농_11-12월'!$A:$A,$E200)&gt;0,"O",""))</f>
        <v/>
      </c>
      <c r="N200" s="7" t="str">
        <f>IF($C200="","",IF(COUNTA('RAW_유기농_7월'!$A:$A)&lt;=1,"",SUMIFS('RAW_유기농_7월'!$H:$H,'RAW_유기농_7월'!$D:$D,$C200,'RAW_유기농_7월'!$A:$A,$E200)))</f>
        <v/>
      </c>
      <c r="O200" s="7" t="str">
        <f>IF($C200="","",IF(COUNTA('RAW_유기농_8월'!$A:$A)&lt;=1,"",SUMIFS('RAW_유기농_8월'!$H:$H,'RAW_유기농_8월'!$D:$D,$C200,'RAW_유기농_8월'!$A:$A,$E200)-SUMIFS('RAW_유기농_7월'!$H:$H,'RAW_유기농_7월'!$D:$D,$C200,'RAW_유기농_7월'!$A:$A,$E200)))</f>
        <v/>
      </c>
      <c r="P200" s="7" t="str">
        <f>IF($C200="","",IF(COUNTA('RAW_유기농_9월'!$A:$A)&lt;=1,"",SUMIFS('RAW_유기농_9월'!$H:$H,'RAW_유기농_9월'!$D:$D,$C200,'RAW_유기농_9월'!$A:$A,$E200)-SUMIFS('RAW_유기농_8월'!$H:$H,'RAW_유기농_8월'!$D:$D,$C200,'RAW_유기농_8월'!$A:$A,$E200)))</f>
        <v/>
      </c>
      <c r="Q200" s="7" t="str">
        <f>IF($C200="","",IF(COUNTA('RAW_유기농_10월'!$A:$A)&lt;=1,"",SUMIFS('RAW_유기농_10월'!$H:$H,'RAW_유기농_10월'!$D:$D,$C200,'RAW_유기농_10월'!$A:$A,$E200)-SUMIFS('RAW_유기농_9월'!$H:$H,'RAW_유기농_9월'!$D:$D,$C200,'RAW_유기농_9월'!$A:$A,$E200)))</f>
        <v/>
      </c>
      <c r="R200" s="7" t="str">
        <f>IF($C200="","",IF(COUNTA('RAW_유기농_11-12월'!$A:$A)&lt;=1,"",SUMIFS('RAW_유기농_11-12월'!$H:$H,'RAW_유기농_11-12월'!$D:$D,$C200,'RAW_유기농_11-12월'!$A:$A,$E200)-SUMIFS('RAW_유기농_10월'!$H:$H,'RAW_유기농_10월'!$D:$D,$C200,'RAW_유기농_10월'!$A:$A,$E200)))</f>
        <v/>
      </c>
      <c r="S200" s="17" t="str">
        <f t="shared" si="4"/>
        <v/>
      </c>
      <c r="T200" s="17" t="str">
        <f t="shared" si="5"/>
        <v/>
      </c>
      <c r="U200" s="7">
        <f>IF($C200="",0,IF('설정'!$B$4=0,0,CHOOSE('설정'!$B$4,COUNTIFS('RAW_유기농_7월'!$D:$D,$C200,'RAW_유기농_7월'!$A:$A,$E200),COUNTIFS('RAW_유기농_8월'!$D:$D,$C200,'RAW_유기농_8월'!$A:$A,$E200),COUNTIFS('RAW_유기농_9월'!$D:$D,$C200,'RAW_유기농_9월'!$A:$A,$E200),COUNTIFS('RAW_유기농_10월'!$D:$D,$C200,'RAW_유기농_10월'!$A:$A,$E200),COUNTIFS('RAW_유기농_11-12월'!$D:$D,$C200,'RAW_유기농_11-12월'!$A:$A,$E200))))</f>
        <v>0</v>
      </c>
    </row>
    <row r="201" ht="15.75" customHeight="1">
      <c r="A201" s="5"/>
      <c r="B201" s="5"/>
      <c r="C201" s="5"/>
      <c r="D201" s="6"/>
      <c r="E201" s="5"/>
      <c r="F201" s="7" t="str">
        <f>IF($C201="","",IF('설정'!$B$4=0,"",CHOOSE('설정'!$B$4,SUMIFS('RAW_유기농_7월'!$F:$F,'RAW_유기농_7월'!$D:$D,$C201,'RAW_유기농_7월'!$A:$A,$E201),SUMIFS('RAW_유기농_8월'!$F:$F,'RAW_유기농_8월'!$D:$D,$C201,'RAW_유기농_8월'!$A:$A,$E201),SUMIFS('RAW_유기농_9월'!$F:$F,'RAW_유기농_9월'!$D:$D,$C201,'RAW_유기농_9월'!$A:$A,$E201),SUMIFS('RAW_유기농_10월'!$F:$F,'RAW_유기농_10월'!$D:$D,$C201,'RAW_유기농_10월'!$A:$A,$E201),SUMIFS('RAW_유기농_11-12월'!$F:$F,'RAW_유기농_11-12월'!$D:$D,$C201,'RAW_유기농_11-12월'!$A:$A,$E201))))</f>
        <v/>
      </c>
      <c r="G201" s="7" t="str">
        <f>IF($C201="","",IF('설정'!$B$4=0,"",CHOOSE('설정'!$B$4,SUMIFS('RAW_유기농_7월'!$G:$G,'RAW_유기농_7월'!$D:$D,$C201,'RAW_유기농_7월'!$A:$A,$E201),SUMIFS('RAW_유기농_8월'!$G:$G,'RAW_유기농_8월'!$D:$D,$C201,'RAW_유기농_8월'!$A:$A,$E201),SUMIFS('RAW_유기농_9월'!$G:$G,'RAW_유기농_9월'!$D:$D,$C201,'RAW_유기농_9월'!$A:$A,$E201),SUMIFS('RAW_유기농_10월'!$G:$G,'RAW_유기농_10월'!$D:$D,$C201,'RAW_유기농_10월'!$A:$A,$E201),SUMIFS('RAW_유기농_11-12월'!$G:$G,'RAW_유기농_11-12월'!$D:$D,$C201,'RAW_유기농_11-12월'!$A:$A,$E201))))</f>
        <v/>
      </c>
      <c r="H201" s="7" t="str">
        <f>IF($C201="","",IF('설정'!$B$4=0,"",CHOOSE('설정'!$B$4,SUMIFS('RAW_유기농_7월'!$H:$H,'RAW_유기농_7월'!$D:$D,$C201,'RAW_유기농_7월'!$A:$A,$E201),SUMIFS('RAW_유기농_8월'!$H:$H,'RAW_유기농_8월'!$D:$D,$C201,'RAW_유기농_8월'!$A:$A,$E201),SUMIFS('RAW_유기농_9월'!$H:$H,'RAW_유기농_9월'!$D:$D,$C201,'RAW_유기농_9월'!$A:$A,$E201),SUMIFS('RAW_유기농_10월'!$H:$H,'RAW_유기농_10월'!$D:$D,$C201,'RAW_유기농_10월'!$A:$A,$E201),SUMIFS('RAW_유기농_11-12월'!$H:$H,'RAW_유기농_11-12월'!$D:$D,$C201,'RAW_유기농_11-12월'!$A:$A,$E201))))</f>
        <v/>
      </c>
      <c r="I201" s="17" t="str">
        <f>IF($C201="","",IF(COUNTIFS('RAW_유기농_7월'!$D:$D,$C201,'RAW_유기농_7월'!$A:$A,$E201)&gt;0,"O",""))</f>
        <v/>
      </c>
      <c r="J201" s="17" t="str">
        <f>IF($C201="","",IF(COUNTIFS('RAW_유기농_8월'!$D:$D,$C201,'RAW_유기농_8월'!$A:$A,$E201)&gt;0,"O",""))</f>
        <v/>
      </c>
      <c r="K201" s="17" t="str">
        <f>IF($C201="","",IF(COUNTIFS('RAW_유기농_9월'!$D:$D,$C201,'RAW_유기농_9월'!$A:$A,$E201)&gt;0,"O",""))</f>
        <v/>
      </c>
      <c r="L201" s="17" t="str">
        <f>IF($C201="","",IF(COUNTIFS('RAW_유기농_10월'!$D:$D,$C201,'RAW_유기농_10월'!$A:$A,$E201)&gt;0,"O",""))</f>
        <v/>
      </c>
      <c r="M201" s="17" t="str">
        <f>IF($C201="","",IF(COUNTIFS('RAW_유기농_11-12월'!$D:$D,$C201,'RAW_유기농_11-12월'!$A:$A,$E201)&gt;0,"O",""))</f>
        <v/>
      </c>
      <c r="N201" s="7" t="str">
        <f>IF($C201="","",IF(COUNTA('RAW_유기농_7월'!$A:$A)&lt;=1,"",SUMIFS('RAW_유기농_7월'!$H:$H,'RAW_유기농_7월'!$D:$D,$C201,'RAW_유기농_7월'!$A:$A,$E201)))</f>
        <v/>
      </c>
      <c r="O201" s="7" t="str">
        <f>IF($C201="","",IF(COUNTA('RAW_유기농_8월'!$A:$A)&lt;=1,"",SUMIFS('RAW_유기농_8월'!$H:$H,'RAW_유기농_8월'!$D:$D,$C201,'RAW_유기농_8월'!$A:$A,$E201)-SUMIFS('RAW_유기농_7월'!$H:$H,'RAW_유기농_7월'!$D:$D,$C201,'RAW_유기농_7월'!$A:$A,$E201)))</f>
        <v/>
      </c>
      <c r="P201" s="7" t="str">
        <f>IF($C201="","",IF(COUNTA('RAW_유기농_9월'!$A:$A)&lt;=1,"",SUMIFS('RAW_유기농_9월'!$H:$H,'RAW_유기농_9월'!$D:$D,$C201,'RAW_유기농_9월'!$A:$A,$E201)-SUMIFS('RAW_유기농_8월'!$H:$H,'RAW_유기농_8월'!$D:$D,$C201,'RAW_유기농_8월'!$A:$A,$E201)))</f>
        <v/>
      </c>
      <c r="Q201" s="7" t="str">
        <f>IF($C201="","",IF(COUNTA('RAW_유기농_10월'!$A:$A)&lt;=1,"",SUMIFS('RAW_유기농_10월'!$H:$H,'RAW_유기농_10월'!$D:$D,$C201,'RAW_유기농_10월'!$A:$A,$E201)-SUMIFS('RAW_유기농_9월'!$H:$H,'RAW_유기농_9월'!$D:$D,$C201,'RAW_유기농_9월'!$A:$A,$E201)))</f>
        <v/>
      </c>
      <c r="R201" s="7" t="str">
        <f>IF($C201="","",IF(COUNTA('RAW_유기농_11-12월'!$A:$A)&lt;=1,"",SUMIFS('RAW_유기농_11-12월'!$H:$H,'RAW_유기농_11-12월'!$D:$D,$C201,'RAW_유기농_11-12월'!$A:$A,$E201)-SUMIFS('RAW_유기농_10월'!$H:$H,'RAW_유기농_10월'!$D:$D,$C201,'RAW_유기농_10월'!$A:$A,$E201)))</f>
        <v/>
      </c>
      <c r="S201" s="17" t="str">
        <f t="shared" si="4"/>
        <v/>
      </c>
      <c r="T201" s="17" t="str">
        <f t="shared" si="5"/>
        <v/>
      </c>
      <c r="U201" s="7">
        <f>IF($C201="",0,IF('설정'!$B$4=0,0,CHOOSE('설정'!$B$4,COUNTIFS('RAW_유기농_7월'!$D:$D,$C201,'RAW_유기농_7월'!$A:$A,$E201),COUNTIFS('RAW_유기농_8월'!$D:$D,$C201,'RAW_유기농_8월'!$A:$A,$E201),COUNTIFS('RAW_유기농_9월'!$D:$D,$C201,'RAW_유기농_9월'!$A:$A,$E201),COUNTIFS('RAW_유기농_10월'!$D:$D,$C201,'RAW_유기농_10월'!$A:$A,$E201),COUNTIFS('RAW_유기농_11-12월'!$D:$D,$C201,'RAW_유기농_11-12월'!$A:$A,$E201))))</f>
        <v>0</v>
      </c>
    </row>
    <row r="202" ht="15.75" customHeight="1">
      <c r="A202" s="5"/>
      <c r="B202" s="5"/>
      <c r="C202" s="5"/>
      <c r="D202" s="6"/>
      <c r="E202" s="5"/>
      <c r="F202" s="7" t="str">
        <f>IF($C202="","",IF('설정'!$B$4=0,"",CHOOSE('설정'!$B$4,SUMIFS('RAW_유기농_7월'!$F:$F,'RAW_유기농_7월'!$D:$D,$C202,'RAW_유기농_7월'!$A:$A,$E202),SUMIFS('RAW_유기농_8월'!$F:$F,'RAW_유기농_8월'!$D:$D,$C202,'RAW_유기농_8월'!$A:$A,$E202),SUMIFS('RAW_유기농_9월'!$F:$F,'RAW_유기농_9월'!$D:$D,$C202,'RAW_유기농_9월'!$A:$A,$E202),SUMIFS('RAW_유기농_10월'!$F:$F,'RAW_유기농_10월'!$D:$D,$C202,'RAW_유기농_10월'!$A:$A,$E202),SUMIFS('RAW_유기농_11-12월'!$F:$F,'RAW_유기농_11-12월'!$D:$D,$C202,'RAW_유기농_11-12월'!$A:$A,$E202))))</f>
        <v/>
      </c>
      <c r="G202" s="7" t="str">
        <f>IF($C202="","",IF('설정'!$B$4=0,"",CHOOSE('설정'!$B$4,SUMIFS('RAW_유기농_7월'!$G:$G,'RAW_유기농_7월'!$D:$D,$C202,'RAW_유기농_7월'!$A:$A,$E202),SUMIFS('RAW_유기농_8월'!$G:$G,'RAW_유기농_8월'!$D:$D,$C202,'RAW_유기농_8월'!$A:$A,$E202),SUMIFS('RAW_유기농_9월'!$G:$G,'RAW_유기농_9월'!$D:$D,$C202,'RAW_유기농_9월'!$A:$A,$E202),SUMIFS('RAW_유기농_10월'!$G:$G,'RAW_유기농_10월'!$D:$D,$C202,'RAW_유기농_10월'!$A:$A,$E202),SUMIFS('RAW_유기농_11-12월'!$G:$G,'RAW_유기농_11-12월'!$D:$D,$C202,'RAW_유기농_11-12월'!$A:$A,$E202))))</f>
        <v/>
      </c>
      <c r="H202" s="7" t="str">
        <f>IF($C202="","",IF('설정'!$B$4=0,"",CHOOSE('설정'!$B$4,SUMIFS('RAW_유기농_7월'!$H:$H,'RAW_유기농_7월'!$D:$D,$C202,'RAW_유기농_7월'!$A:$A,$E202),SUMIFS('RAW_유기농_8월'!$H:$H,'RAW_유기농_8월'!$D:$D,$C202,'RAW_유기농_8월'!$A:$A,$E202),SUMIFS('RAW_유기농_9월'!$H:$H,'RAW_유기농_9월'!$D:$D,$C202,'RAW_유기농_9월'!$A:$A,$E202),SUMIFS('RAW_유기농_10월'!$H:$H,'RAW_유기농_10월'!$D:$D,$C202,'RAW_유기농_10월'!$A:$A,$E202),SUMIFS('RAW_유기농_11-12월'!$H:$H,'RAW_유기농_11-12월'!$D:$D,$C202,'RAW_유기농_11-12월'!$A:$A,$E202))))</f>
        <v/>
      </c>
      <c r="I202" s="17" t="str">
        <f>IF($C202="","",IF(COUNTIFS('RAW_유기농_7월'!$D:$D,$C202,'RAW_유기농_7월'!$A:$A,$E202)&gt;0,"O",""))</f>
        <v/>
      </c>
      <c r="J202" s="17" t="str">
        <f>IF($C202="","",IF(COUNTIFS('RAW_유기농_8월'!$D:$D,$C202,'RAW_유기농_8월'!$A:$A,$E202)&gt;0,"O",""))</f>
        <v/>
      </c>
      <c r="K202" s="17" t="str">
        <f>IF($C202="","",IF(COUNTIFS('RAW_유기농_9월'!$D:$D,$C202,'RAW_유기농_9월'!$A:$A,$E202)&gt;0,"O",""))</f>
        <v/>
      </c>
      <c r="L202" s="17" t="str">
        <f>IF($C202="","",IF(COUNTIFS('RAW_유기농_10월'!$D:$D,$C202,'RAW_유기농_10월'!$A:$A,$E202)&gt;0,"O",""))</f>
        <v/>
      </c>
      <c r="M202" s="17" t="str">
        <f>IF($C202="","",IF(COUNTIFS('RAW_유기농_11-12월'!$D:$D,$C202,'RAW_유기농_11-12월'!$A:$A,$E202)&gt;0,"O",""))</f>
        <v/>
      </c>
      <c r="N202" s="7" t="str">
        <f>IF($C202="","",IF(COUNTA('RAW_유기농_7월'!$A:$A)&lt;=1,"",SUMIFS('RAW_유기농_7월'!$H:$H,'RAW_유기농_7월'!$D:$D,$C202,'RAW_유기농_7월'!$A:$A,$E202)))</f>
        <v/>
      </c>
      <c r="O202" s="7" t="str">
        <f>IF($C202="","",IF(COUNTA('RAW_유기농_8월'!$A:$A)&lt;=1,"",SUMIFS('RAW_유기농_8월'!$H:$H,'RAW_유기농_8월'!$D:$D,$C202,'RAW_유기농_8월'!$A:$A,$E202)-SUMIFS('RAW_유기농_7월'!$H:$H,'RAW_유기농_7월'!$D:$D,$C202,'RAW_유기농_7월'!$A:$A,$E202)))</f>
        <v/>
      </c>
      <c r="P202" s="7" t="str">
        <f>IF($C202="","",IF(COUNTA('RAW_유기농_9월'!$A:$A)&lt;=1,"",SUMIFS('RAW_유기농_9월'!$H:$H,'RAW_유기농_9월'!$D:$D,$C202,'RAW_유기농_9월'!$A:$A,$E202)-SUMIFS('RAW_유기농_8월'!$H:$H,'RAW_유기농_8월'!$D:$D,$C202,'RAW_유기농_8월'!$A:$A,$E202)))</f>
        <v/>
      </c>
      <c r="Q202" s="7" t="str">
        <f>IF($C202="","",IF(COUNTA('RAW_유기농_10월'!$A:$A)&lt;=1,"",SUMIFS('RAW_유기농_10월'!$H:$H,'RAW_유기농_10월'!$D:$D,$C202,'RAW_유기농_10월'!$A:$A,$E202)-SUMIFS('RAW_유기농_9월'!$H:$H,'RAW_유기농_9월'!$D:$D,$C202,'RAW_유기농_9월'!$A:$A,$E202)))</f>
        <v/>
      </c>
      <c r="R202" s="7" t="str">
        <f>IF($C202="","",IF(COUNTA('RAW_유기농_11-12월'!$A:$A)&lt;=1,"",SUMIFS('RAW_유기농_11-12월'!$H:$H,'RAW_유기농_11-12월'!$D:$D,$C202,'RAW_유기농_11-12월'!$A:$A,$E202)-SUMIFS('RAW_유기농_10월'!$H:$H,'RAW_유기농_10월'!$D:$D,$C202,'RAW_유기농_10월'!$A:$A,$E202)))</f>
        <v/>
      </c>
      <c r="S202" s="17" t="str">
        <f t="shared" si="4"/>
        <v/>
      </c>
      <c r="T202" s="17" t="str">
        <f t="shared" si="5"/>
        <v/>
      </c>
      <c r="U202" s="7">
        <f>IF($C202="",0,IF('설정'!$B$4=0,0,CHOOSE('설정'!$B$4,COUNTIFS('RAW_유기농_7월'!$D:$D,$C202,'RAW_유기농_7월'!$A:$A,$E202),COUNTIFS('RAW_유기농_8월'!$D:$D,$C202,'RAW_유기농_8월'!$A:$A,$E202),COUNTIFS('RAW_유기농_9월'!$D:$D,$C202,'RAW_유기농_9월'!$A:$A,$E202),COUNTIFS('RAW_유기농_10월'!$D:$D,$C202,'RAW_유기농_10월'!$A:$A,$E202),COUNTIFS('RAW_유기농_11-12월'!$D:$D,$C202,'RAW_유기농_11-12월'!$A:$A,$E202))))</f>
        <v>0</v>
      </c>
    </row>
    <row r="203" ht="15.75" customHeight="1">
      <c r="A203" s="5"/>
      <c r="B203" s="5"/>
      <c r="C203" s="5"/>
      <c r="D203" s="6"/>
      <c r="E203" s="5"/>
      <c r="F203" s="7" t="str">
        <f>IF($C203="","",IF('설정'!$B$4=0,"",CHOOSE('설정'!$B$4,SUMIFS('RAW_유기농_7월'!$F:$F,'RAW_유기농_7월'!$D:$D,$C203,'RAW_유기농_7월'!$A:$A,$E203),SUMIFS('RAW_유기농_8월'!$F:$F,'RAW_유기농_8월'!$D:$D,$C203,'RAW_유기농_8월'!$A:$A,$E203),SUMIFS('RAW_유기농_9월'!$F:$F,'RAW_유기농_9월'!$D:$D,$C203,'RAW_유기농_9월'!$A:$A,$E203),SUMIFS('RAW_유기농_10월'!$F:$F,'RAW_유기농_10월'!$D:$D,$C203,'RAW_유기농_10월'!$A:$A,$E203),SUMIFS('RAW_유기농_11-12월'!$F:$F,'RAW_유기농_11-12월'!$D:$D,$C203,'RAW_유기농_11-12월'!$A:$A,$E203))))</f>
        <v/>
      </c>
      <c r="G203" s="7" t="str">
        <f>IF($C203="","",IF('설정'!$B$4=0,"",CHOOSE('설정'!$B$4,SUMIFS('RAW_유기농_7월'!$G:$G,'RAW_유기농_7월'!$D:$D,$C203,'RAW_유기농_7월'!$A:$A,$E203),SUMIFS('RAW_유기농_8월'!$G:$G,'RAW_유기농_8월'!$D:$D,$C203,'RAW_유기농_8월'!$A:$A,$E203),SUMIFS('RAW_유기농_9월'!$G:$G,'RAW_유기농_9월'!$D:$D,$C203,'RAW_유기농_9월'!$A:$A,$E203),SUMIFS('RAW_유기농_10월'!$G:$G,'RAW_유기농_10월'!$D:$D,$C203,'RAW_유기농_10월'!$A:$A,$E203),SUMIFS('RAW_유기농_11-12월'!$G:$G,'RAW_유기농_11-12월'!$D:$D,$C203,'RAW_유기농_11-12월'!$A:$A,$E203))))</f>
        <v/>
      </c>
      <c r="H203" s="7" t="str">
        <f>IF($C203="","",IF('설정'!$B$4=0,"",CHOOSE('설정'!$B$4,SUMIFS('RAW_유기농_7월'!$H:$H,'RAW_유기농_7월'!$D:$D,$C203,'RAW_유기농_7월'!$A:$A,$E203),SUMIFS('RAW_유기농_8월'!$H:$H,'RAW_유기농_8월'!$D:$D,$C203,'RAW_유기농_8월'!$A:$A,$E203),SUMIFS('RAW_유기농_9월'!$H:$H,'RAW_유기농_9월'!$D:$D,$C203,'RAW_유기농_9월'!$A:$A,$E203),SUMIFS('RAW_유기농_10월'!$H:$H,'RAW_유기농_10월'!$D:$D,$C203,'RAW_유기농_10월'!$A:$A,$E203),SUMIFS('RAW_유기농_11-12월'!$H:$H,'RAW_유기농_11-12월'!$D:$D,$C203,'RAW_유기농_11-12월'!$A:$A,$E203))))</f>
        <v/>
      </c>
      <c r="I203" s="17" t="str">
        <f>IF($C203="","",IF(COUNTIFS('RAW_유기농_7월'!$D:$D,$C203,'RAW_유기농_7월'!$A:$A,$E203)&gt;0,"O",""))</f>
        <v/>
      </c>
      <c r="J203" s="17" t="str">
        <f>IF($C203="","",IF(COUNTIFS('RAW_유기농_8월'!$D:$D,$C203,'RAW_유기농_8월'!$A:$A,$E203)&gt;0,"O",""))</f>
        <v/>
      </c>
      <c r="K203" s="17" t="str">
        <f>IF($C203="","",IF(COUNTIFS('RAW_유기농_9월'!$D:$D,$C203,'RAW_유기농_9월'!$A:$A,$E203)&gt;0,"O",""))</f>
        <v/>
      </c>
      <c r="L203" s="17" t="str">
        <f>IF($C203="","",IF(COUNTIFS('RAW_유기농_10월'!$D:$D,$C203,'RAW_유기농_10월'!$A:$A,$E203)&gt;0,"O",""))</f>
        <v/>
      </c>
      <c r="M203" s="17" t="str">
        <f>IF($C203="","",IF(COUNTIFS('RAW_유기농_11-12월'!$D:$D,$C203,'RAW_유기농_11-12월'!$A:$A,$E203)&gt;0,"O",""))</f>
        <v/>
      </c>
      <c r="N203" s="7" t="str">
        <f>IF($C203="","",IF(COUNTA('RAW_유기농_7월'!$A:$A)&lt;=1,"",SUMIFS('RAW_유기농_7월'!$H:$H,'RAW_유기농_7월'!$D:$D,$C203,'RAW_유기농_7월'!$A:$A,$E203)))</f>
        <v/>
      </c>
      <c r="O203" s="7" t="str">
        <f>IF($C203="","",IF(COUNTA('RAW_유기농_8월'!$A:$A)&lt;=1,"",SUMIFS('RAW_유기농_8월'!$H:$H,'RAW_유기농_8월'!$D:$D,$C203,'RAW_유기농_8월'!$A:$A,$E203)-SUMIFS('RAW_유기농_7월'!$H:$H,'RAW_유기농_7월'!$D:$D,$C203,'RAW_유기농_7월'!$A:$A,$E203)))</f>
        <v/>
      </c>
      <c r="P203" s="7" t="str">
        <f>IF($C203="","",IF(COUNTA('RAW_유기농_9월'!$A:$A)&lt;=1,"",SUMIFS('RAW_유기농_9월'!$H:$H,'RAW_유기농_9월'!$D:$D,$C203,'RAW_유기농_9월'!$A:$A,$E203)-SUMIFS('RAW_유기농_8월'!$H:$H,'RAW_유기농_8월'!$D:$D,$C203,'RAW_유기농_8월'!$A:$A,$E203)))</f>
        <v/>
      </c>
      <c r="Q203" s="7" t="str">
        <f>IF($C203="","",IF(COUNTA('RAW_유기농_10월'!$A:$A)&lt;=1,"",SUMIFS('RAW_유기농_10월'!$H:$H,'RAW_유기농_10월'!$D:$D,$C203,'RAW_유기농_10월'!$A:$A,$E203)-SUMIFS('RAW_유기농_9월'!$H:$H,'RAW_유기농_9월'!$D:$D,$C203,'RAW_유기농_9월'!$A:$A,$E203)))</f>
        <v/>
      </c>
      <c r="R203" s="7" t="str">
        <f>IF($C203="","",IF(COUNTA('RAW_유기농_11-12월'!$A:$A)&lt;=1,"",SUMIFS('RAW_유기농_11-12월'!$H:$H,'RAW_유기농_11-12월'!$D:$D,$C203,'RAW_유기농_11-12월'!$A:$A,$E203)-SUMIFS('RAW_유기농_10월'!$H:$H,'RAW_유기농_10월'!$D:$D,$C203,'RAW_유기농_10월'!$A:$A,$E203)))</f>
        <v/>
      </c>
      <c r="S203" s="17" t="str">
        <f t="shared" si="4"/>
        <v/>
      </c>
      <c r="T203" s="17" t="str">
        <f t="shared" si="5"/>
        <v/>
      </c>
      <c r="U203" s="7">
        <f>IF($C203="",0,IF('설정'!$B$4=0,0,CHOOSE('설정'!$B$4,COUNTIFS('RAW_유기농_7월'!$D:$D,$C203,'RAW_유기농_7월'!$A:$A,$E203),COUNTIFS('RAW_유기농_8월'!$D:$D,$C203,'RAW_유기농_8월'!$A:$A,$E203),COUNTIFS('RAW_유기농_9월'!$D:$D,$C203,'RAW_유기농_9월'!$A:$A,$E203),COUNTIFS('RAW_유기농_10월'!$D:$D,$C203,'RAW_유기농_10월'!$A:$A,$E203),COUNTIFS('RAW_유기농_11-12월'!$D:$D,$C203,'RAW_유기농_11-12월'!$A:$A,$E203))))</f>
        <v>0</v>
      </c>
    </row>
    <row r="204" ht="15.75" customHeight="1">
      <c r="A204" s="5"/>
      <c r="B204" s="5"/>
      <c r="C204" s="5"/>
      <c r="D204" s="6"/>
      <c r="E204" s="5"/>
      <c r="F204" s="7" t="str">
        <f>IF($C204="","",IF('설정'!$B$4=0,"",CHOOSE('설정'!$B$4,SUMIFS('RAW_유기농_7월'!$F:$F,'RAW_유기농_7월'!$D:$D,$C204,'RAW_유기농_7월'!$A:$A,$E204),SUMIFS('RAW_유기농_8월'!$F:$F,'RAW_유기농_8월'!$D:$D,$C204,'RAW_유기농_8월'!$A:$A,$E204),SUMIFS('RAW_유기농_9월'!$F:$F,'RAW_유기농_9월'!$D:$D,$C204,'RAW_유기농_9월'!$A:$A,$E204),SUMIFS('RAW_유기농_10월'!$F:$F,'RAW_유기농_10월'!$D:$D,$C204,'RAW_유기농_10월'!$A:$A,$E204),SUMIFS('RAW_유기농_11-12월'!$F:$F,'RAW_유기농_11-12월'!$D:$D,$C204,'RAW_유기농_11-12월'!$A:$A,$E204))))</f>
        <v/>
      </c>
      <c r="G204" s="7" t="str">
        <f>IF($C204="","",IF('설정'!$B$4=0,"",CHOOSE('설정'!$B$4,SUMIFS('RAW_유기농_7월'!$G:$G,'RAW_유기농_7월'!$D:$D,$C204,'RAW_유기농_7월'!$A:$A,$E204),SUMIFS('RAW_유기농_8월'!$G:$G,'RAW_유기농_8월'!$D:$D,$C204,'RAW_유기농_8월'!$A:$A,$E204),SUMIFS('RAW_유기농_9월'!$G:$G,'RAW_유기농_9월'!$D:$D,$C204,'RAW_유기농_9월'!$A:$A,$E204),SUMIFS('RAW_유기농_10월'!$G:$G,'RAW_유기농_10월'!$D:$D,$C204,'RAW_유기농_10월'!$A:$A,$E204),SUMIFS('RAW_유기농_11-12월'!$G:$G,'RAW_유기농_11-12월'!$D:$D,$C204,'RAW_유기농_11-12월'!$A:$A,$E204))))</f>
        <v/>
      </c>
      <c r="H204" s="7" t="str">
        <f>IF($C204="","",IF('설정'!$B$4=0,"",CHOOSE('설정'!$B$4,SUMIFS('RAW_유기농_7월'!$H:$H,'RAW_유기농_7월'!$D:$D,$C204,'RAW_유기농_7월'!$A:$A,$E204),SUMIFS('RAW_유기농_8월'!$H:$H,'RAW_유기농_8월'!$D:$D,$C204,'RAW_유기농_8월'!$A:$A,$E204),SUMIFS('RAW_유기농_9월'!$H:$H,'RAW_유기농_9월'!$D:$D,$C204,'RAW_유기농_9월'!$A:$A,$E204),SUMIFS('RAW_유기농_10월'!$H:$H,'RAW_유기농_10월'!$D:$D,$C204,'RAW_유기농_10월'!$A:$A,$E204),SUMIFS('RAW_유기농_11-12월'!$H:$H,'RAW_유기농_11-12월'!$D:$D,$C204,'RAW_유기농_11-12월'!$A:$A,$E204))))</f>
        <v/>
      </c>
      <c r="I204" s="17" t="str">
        <f>IF($C204="","",IF(COUNTIFS('RAW_유기농_7월'!$D:$D,$C204,'RAW_유기농_7월'!$A:$A,$E204)&gt;0,"O",""))</f>
        <v/>
      </c>
      <c r="J204" s="17" t="str">
        <f>IF($C204="","",IF(COUNTIFS('RAW_유기농_8월'!$D:$D,$C204,'RAW_유기농_8월'!$A:$A,$E204)&gt;0,"O",""))</f>
        <v/>
      </c>
      <c r="K204" s="17" t="str">
        <f>IF($C204="","",IF(COUNTIFS('RAW_유기농_9월'!$D:$D,$C204,'RAW_유기농_9월'!$A:$A,$E204)&gt;0,"O",""))</f>
        <v/>
      </c>
      <c r="L204" s="17" t="str">
        <f>IF($C204="","",IF(COUNTIFS('RAW_유기농_10월'!$D:$D,$C204,'RAW_유기농_10월'!$A:$A,$E204)&gt;0,"O",""))</f>
        <v/>
      </c>
      <c r="M204" s="17" t="str">
        <f>IF($C204="","",IF(COUNTIFS('RAW_유기농_11-12월'!$D:$D,$C204,'RAW_유기농_11-12월'!$A:$A,$E204)&gt;0,"O",""))</f>
        <v/>
      </c>
      <c r="N204" s="7" t="str">
        <f>IF($C204="","",IF(COUNTA('RAW_유기농_7월'!$A:$A)&lt;=1,"",SUMIFS('RAW_유기농_7월'!$H:$H,'RAW_유기농_7월'!$D:$D,$C204,'RAW_유기농_7월'!$A:$A,$E204)))</f>
        <v/>
      </c>
      <c r="O204" s="7" t="str">
        <f>IF($C204="","",IF(COUNTA('RAW_유기농_8월'!$A:$A)&lt;=1,"",SUMIFS('RAW_유기농_8월'!$H:$H,'RAW_유기농_8월'!$D:$D,$C204,'RAW_유기농_8월'!$A:$A,$E204)-SUMIFS('RAW_유기농_7월'!$H:$H,'RAW_유기농_7월'!$D:$D,$C204,'RAW_유기농_7월'!$A:$A,$E204)))</f>
        <v/>
      </c>
      <c r="P204" s="7" t="str">
        <f>IF($C204="","",IF(COUNTA('RAW_유기농_9월'!$A:$A)&lt;=1,"",SUMIFS('RAW_유기농_9월'!$H:$H,'RAW_유기농_9월'!$D:$D,$C204,'RAW_유기농_9월'!$A:$A,$E204)-SUMIFS('RAW_유기농_8월'!$H:$H,'RAW_유기농_8월'!$D:$D,$C204,'RAW_유기농_8월'!$A:$A,$E204)))</f>
        <v/>
      </c>
      <c r="Q204" s="7" t="str">
        <f>IF($C204="","",IF(COUNTA('RAW_유기농_10월'!$A:$A)&lt;=1,"",SUMIFS('RAW_유기농_10월'!$H:$H,'RAW_유기농_10월'!$D:$D,$C204,'RAW_유기농_10월'!$A:$A,$E204)-SUMIFS('RAW_유기농_9월'!$H:$H,'RAW_유기농_9월'!$D:$D,$C204,'RAW_유기농_9월'!$A:$A,$E204)))</f>
        <v/>
      </c>
      <c r="R204" s="7" t="str">
        <f>IF($C204="","",IF(COUNTA('RAW_유기농_11-12월'!$A:$A)&lt;=1,"",SUMIFS('RAW_유기농_11-12월'!$H:$H,'RAW_유기농_11-12월'!$D:$D,$C204,'RAW_유기농_11-12월'!$A:$A,$E204)-SUMIFS('RAW_유기농_10월'!$H:$H,'RAW_유기농_10월'!$D:$D,$C204,'RAW_유기농_10월'!$A:$A,$E204)))</f>
        <v/>
      </c>
      <c r="S204" s="17" t="str">
        <f t="shared" si="4"/>
        <v/>
      </c>
      <c r="T204" s="17" t="str">
        <f t="shared" si="5"/>
        <v/>
      </c>
      <c r="U204" s="7">
        <f>IF($C204="",0,IF('설정'!$B$4=0,0,CHOOSE('설정'!$B$4,COUNTIFS('RAW_유기농_7월'!$D:$D,$C204,'RAW_유기농_7월'!$A:$A,$E204),COUNTIFS('RAW_유기농_8월'!$D:$D,$C204,'RAW_유기농_8월'!$A:$A,$E204),COUNTIFS('RAW_유기농_9월'!$D:$D,$C204,'RAW_유기농_9월'!$A:$A,$E204),COUNTIFS('RAW_유기농_10월'!$D:$D,$C204,'RAW_유기농_10월'!$A:$A,$E204),COUNTIFS('RAW_유기농_11-12월'!$D:$D,$C204,'RAW_유기농_11-12월'!$A:$A,$E204))))</f>
        <v>0</v>
      </c>
    </row>
    <row r="205" ht="15.75" customHeight="1">
      <c r="A205" s="5"/>
      <c r="B205" s="5"/>
      <c r="C205" s="5"/>
      <c r="D205" s="6"/>
      <c r="E205" s="5"/>
      <c r="F205" s="7" t="str">
        <f>IF($C205="","",IF('설정'!$B$4=0,"",CHOOSE('설정'!$B$4,SUMIFS('RAW_유기농_7월'!$F:$F,'RAW_유기농_7월'!$D:$D,$C205,'RAW_유기농_7월'!$A:$A,$E205),SUMIFS('RAW_유기농_8월'!$F:$F,'RAW_유기농_8월'!$D:$D,$C205,'RAW_유기농_8월'!$A:$A,$E205),SUMIFS('RAW_유기농_9월'!$F:$F,'RAW_유기농_9월'!$D:$D,$C205,'RAW_유기농_9월'!$A:$A,$E205),SUMIFS('RAW_유기농_10월'!$F:$F,'RAW_유기농_10월'!$D:$D,$C205,'RAW_유기농_10월'!$A:$A,$E205),SUMIFS('RAW_유기농_11-12월'!$F:$F,'RAW_유기농_11-12월'!$D:$D,$C205,'RAW_유기농_11-12월'!$A:$A,$E205))))</f>
        <v/>
      </c>
      <c r="G205" s="7" t="str">
        <f>IF($C205="","",IF('설정'!$B$4=0,"",CHOOSE('설정'!$B$4,SUMIFS('RAW_유기농_7월'!$G:$G,'RAW_유기농_7월'!$D:$D,$C205,'RAW_유기농_7월'!$A:$A,$E205),SUMIFS('RAW_유기농_8월'!$G:$G,'RAW_유기농_8월'!$D:$D,$C205,'RAW_유기농_8월'!$A:$A,$E205),SUMIFS('RAW_유기농_9월'!$G:$G,'RAW_유기농_9월'!$D:$D,$C205,'RAW_유기농_9월'!$A:$A,$E205),SUMIFS('RAW_유기농_10월'!$G:$G,'RAW_유기농_10월'!$D:$D,$C205,'RAW_유기농_10월'!$A:$A,$E205),SUMIFS('RAW_유기농_11-12월'!$G:$G,'RAW_유기농_11-12월'!$D:$D,$C205,'RAW_유기농_11-12월'!$A:$A,$E205))))</f>
        <v/>
      </c>
      <c r="H205" s="7" t="str">
        <f>IF($C205="","",IF('설정'!$B$4=0,"",CHOOSE('설정'!$B$4,SUMIFS('RAW_유기농_7월'!$H:$H,'RAW_유기농_7월'!$D:$D,$C205,'RAW_유기농_7월'!$A:$A,$E205),SUMIFS('RAW_유기농_8월'!$H:$H,'RAW_유기농_8월'!$D:$D,$C205,'RAW_유기농_8월'!$A:$A,$E205),SUMIFS('RAW_유기농_9월'!$H:$H,'RAW_유기농_9월'!$D:$D,$C205,'RAW_유기농_9월'!$A:$A,$E205),SUMIFS('RAW_유기농_10월'!$H:$H,'RAW_유기농_10월'!$D:$D,$C205,'RAW_유기농_10월'!$A:$A,$E205),SUMIFS('RAW_유기농_11-12월'!$H:$H,'RAW_유기농_11-12월'!$D:$D,$C205,'RAW_유기농_11-12월'!$A:$A,$E205))))</f>
        <v/>
      </c>
      <c r="I205" s="17" t="str">
        <f>IF($C205="","",IF(COUNTIFS('RAW_유기농_7월'!$D:$D,$C205,'RAW_유기농_7월'!$A:$A,$E205)&gt;0,"O",""))</f>
        <v/>
      </c>
      <c r="J205" s="17" t="str">
        <f>IF($C205="","",IF(COUNTIFS('RAW_유기농_8월'!$D:$D,$C205,'RAW_유기농_8월'!$A:$A,$E205)&gt;0,"O",""))</f>
        <v/>
      </c>
      <c r="K205" s="17" t="str">
        <f>IF($C205="","",IF(COUNTIFS('RAW_유기농_9월'!$D:$D,$C205,'RAW_유기농_9월'!$A:$A,$E205)&gt;0,"O",""))</f>
        <v/>
      </c>
      <c r="L205" s="17" t="str">
        <f>IF($C205="","",IF(COUNTIFS('RAW_유기농_10월'!$D:$D,$C205,'RAW_유기농_10월'!$A:$A,$E205)&gt;0,"O",""))</f>
        <v/>
      </c>
      <c r="M205" s="17" t="str">
        <f>IF($C205="","",IF(COUNTIFS('RAW_유기농_11-12월'!$D:$D,$C205,'RAW_유기농_11-12월'!$A:$A,$E205)&gt;0,"O",""))</f>
        <v/>
      </c>
      <c r="N205" s="7" t="str">
        <f>IF($C205="","",IF(COUNTA('RAW_유기농_7월'!$A:$A)&lt;=1,"",SUMIFS('RAW_유기농_7월'!$H:$H,'RAW_유기농_7월'!$D:$D,$C205,'RAW_유기농_7월'!$A:$A,$E205)))</f>
        <v/>
      </c>
      <c r="O205" s="7" t="str">
        <f>IF($C205="","",IF(COUNTA('RAW_유기농_8월'!$A:$A)&lt;=1,"",SUMIFS('RAW_유기농_8월'!$H:$H,'RAW_유기농_8월'!$D:$D,$C205,'RAW_유기농_8월'!$A:$A,$E205)-SUMIFS('RAW_유기농_7월'!$H:$H,'RAW_유기농_7월'!$D:$D,$C205,'RAW_유기농_7월'!$A:$A,$E205)))</f>
        <v/>
      </c>
      <c r="P205" s="7" t="str">
        <f>IF($C205="","",IF(COUNTA('RAW_유기농_9월'!$A:$A)&lt;=1,"",SUMIFS('RAW_유기농_9월'!$H:$H,'RAW_유기농_9월'!$D:$D,$C205,'RAW_유기농_9월'!$A:$A,$E205)-SUMIFS('RAW_유기농_8월'!$H:$H,'RAW_유기농_8월'!$D:$D,$C205,'RAW_유기농_8월'!$A:$A,$E205)))</f>
        <v/>
      </c>
      <c r="Q205" s="7" t="str">
        <f>IF($C205="","",IF(COUNTA('RAW_유기농_10월'!$A:$A)&lt;=1,"",SUMIFS('RAW_유기농_10월'!$H:$H,'RAW_유기농_10월'!$D:$D,$C205,'RAW_유기농_10월'!$A:$A,$E205)-SUMIFS('RAW_유기농_9월'!$H:$H,'RAW_유기농_9월'!$D:$D,$C205,'RAW_유기농_9월'!$A:$A,$E205)))</f>
        <v/>
      </c>
      <c r="R205" s="7" t="str">
        <f>IF($C205="","",IF(COUNTA('RAW_유기농_11-12월'!$A:$A)&lt;=1,"",SUMIFS('RAW_유기농_11-12월'!$H:$H,'RAW_유기농_11-12월'!$D:$D,$C205,'RAW_유기농_11-12월'!$A:$A,$E205)-SUMIFS('RAW_유기농_10월'!$H:$H,'RAW_유기농_10월'!$D:$D,$C205,'RAW_유기농_10월'!$A:$A,$E205)))</f>
        <v/>
      </c>
      <c r="S205" s="17" t="str">
        <f t="shared" si="4"/>
        <v/>
      </c>
      <c r="T205" s="17" t="str">
        <f t="shared" si="5"/>
        <v/>
      </c>
      <c r="U205" s="7">
        <f>IF($C205="",0,IF('설정'!$B$4=0,0,CHOOSE('설정'!$B$4,COUNTIFS('RAW_유기농_7월'!$D:$D,$C205,'RAW_유기농_7월'!$A:$A,$E205),COUNTIFS('RAW_유기농_8월'!$D:$D,$C205,'RAW_유기농_8월'!$A:$A,$E205),COUNTIFS('RAW_유기농_9월'!$D:$D,$C205,'RAW_유기농_9월'!$A:$A,$E205),COUNTIFS('RAW_유기농_10월'!$D:$D,$C205,'RAW_유기농_10월'!$A:$A,$E205),COUNTIFS('RAW_유기농_11-12월'!$D:$D,$C205,'RAW_유기농_11-12월'!$A:$A,$E205))))</f>
        <v>0</v>
      </c>
    </row>
    <row r="206" ht="15.75" customHeight="1">
      <c r="A206" s="5"/>
      <c r="B206" s="5"/>
      <c r="C206" s="5"/>
      <c r="D206" s="6"/>
      <c r="E206" s="5"/>
      <c r="F206" s="7" t="str">
        <f>IF($C206="","",IF('설정'!$B$4=0,"",CHOOSE('설정'!$B$4,SUMIFS('RAW_유기농_7월'!$F:$F,'RAW_유기농_7월'!$D:$D,$C206,'RAW_유기농_7월'!$A:$A,$E206),SUMIFS('RAW_유기농_8월'!$F:$F,'RAW_유기농_8월'!$D:$D,$C206,'RAW_유기농_8월'!$A:$A,$E206),SUMIFS('RAW_유기농_9월'!$F:$F,'RAW_유기농_9월'!$D:$D,$C206,'RAW_유기농_9월'!$A:$A,$E206),SUMIFS('RAW_유기농_10월'!$F:$F,'RAW_유기농_10월'!$D:$D,$C206,'RAW_유기농_10월'!$A:$A,$E206),SUMIFS('RAW_유기농_11-12월'!$F:$F,'RAW_유기농_11-12월'!$D:$D,$C206,'RAW_유기농_11-12월'!$A:$A,$E206))))</f>
        <v/>
      </c>
      <c r="G206" s="7" t="str">
        <f>IF($C206="","",IF('설정'!$B$4=0,"",CHOOSE('설정'!$B$4,SUMIFS('RAW_유기농_7월'!$G:$G,'RAW_유기농_7월'!$D:$D,$C206,'RAW_유기농_7월'!$A:$A,$E206),SUMIFS('RAW_유기농_8월'!$G:$G,'RAW_유기농_8월'!$D:$D,$C206,'RAW_유기농_8월'!$A:$A,$E206),SUMIFS('RAW_유기농_9월'!$G:$G,'RAW_유기농_9월'!$D:$D,$C206,'RAW_유기농_9월'!$A:$A,$E206),SUMIFS('RAW_유기농_10월'!$G:$G,'RAW_유기농_10월'!$D:$D,$C206,'RAW_유기농_10월'!$A:$A,$E206),SUMIFS('RAW_유기농_11-12월'!$G:$G,'RAW_유기농_11-12월'!$D:$D,$C206,'RAW_유기농_11-12월'!$A:$A,$E206))))</f>
        <v/>
      </c>
      <c r="H206" s="7" t="str">
        <f>IF($C206="","",IF('설정'!$B$4=0,"",CHOOSE('설정'!$B$4,SUMIFS('RAW_유기농_7월'!$H:$H,'RAW_유기농_7월'!$D:$D,$C206,'RAW_유기농_7월'!$A:$A,$E206),SUMIFS('RAW_유기농_8월'!$H:$H,'RAW_유기농_8월'!$D:$D,$C206,'RAW_유기농_8월'!$A:$A,$E206),SUMIFS('RAW_유기농_9월'!$H:$H,'RAW_유기농_9월'!$D:$D,$C206,'RAW_유기농_9월'!$A:$A,$E206),SUMIFS('RAW_유기농_10월'!$H:$H,'RAW_유기농_10월'!$D:$D,$C206,'RAW_유기농_10월'!$A:$A,$E206),SUMIFS('RAW_유기농_11-12월'!$H:$H,'RAW_유기농_11-12월'!$D:$D,$C206,'RAW_유기농_11-12월'!$A:$A,$E206))))</f>
        <v/>
      </c>
      <c r="I206" s="17" t="str">
        <f>IF($C206="","",IF(COUNTIFS('RAW_유기농_7월'!$D:$D,$C206,'RAW_유기농_7월'!$A:$A,$E206)&gt;0,"O",""))</f>
        <v/>
      </c>
      <c r="J206" s="17" t="str">
        <f>IF($C206="","",IF(COUNTIFS('RAW_유기농_8월'!$D:$D,$C206,'RAW_유기농_8월'!$A:$A,$E206)&gt;0,"O",""))</f>
        <v/>
      </c>
      <c r="K206" s="17" t="str">
        <f>IF($C206="","",IF(COUNTIFS('RAW_유기농_9월'!$D:$D,$C206,'RAW_유기농_9월'!$A:$A,$E206)&gt;0,"O",""))</f>
        <v/>
      </c>
      <c r="L206" s="17" t="str">
        <f>IF($C206="","",IF(COUNTIFS('RAW_유기농_10월'!$D:$D,$C206,'RAW_유기농_10월'!$A:$A,$E206)&gt;0,"O",""))</f>
        <v/>
      </c>
      <c r="M206" s="17" t="str">
        <f>IF($C206="","",IF(COUNTIFS('RAW_유기농_11-12월'!$D:$D,$C206,'RAW_유기농_11-12월'!$A:$A,$E206)&gt;0,"O",""))</f>
        <v/>
      </c>
      <c r="N206" s="7" t="str">
        <f>IF($C206="","",IF(COUNTA('RAW_유기농_7월'!$A:$A)&lt;=1,"",SUMIFS('RAW_유기농_7월'!$H:$H,'RAW_유기농_7월'!$D:$D,$C206,'RAW_유기농_7월'!$A:$A,$E206)))</f>
        <v/>
      </c>
      <c r="O206" s="7" t="str">
        <f>IF($C206="","",IF(COUNTA('RAW_유기농_8월'!$A:$A)&lt;=1,"",SUMIFS('RAW_유기농_8월'!$H:$H,'RAW_유기농_8월'!$D:$D,$C206,'RAW_유기농_8월'!$A:$A,$E206)-SUMIFS('RAW_유기농_7월'!$H:$H,'RAW_유기농_7월'!$D:$D,$C206,'RAW_유기농_7월'!$A:$A,$E206)))</f>
        <v/>
      </c>
      <c r="P206" s="7" t="str">
        <f>IF($C206="","",IF(COUNTA('RAW_유기농_9월'!$A:$A)&lt;=1,"",SUMIFS('RAW_유기농_9월'!$H:$H,'RAW_유기농_9월'!$D:$D,$C206,'RAW_유기농_9월'!$A:$A,$E206)-SUMIFS('RAW_유기농_8월'!$H:$H,'RAW_유기농_8월'!$D:$D,$C206,'RAW_유기농_8월'!$A:$A,$E206)))</f>
        <v/>
      </c>
      <c r="Q206" s="7" t="str">
        <f>IF($C206="","",IF(COUNTA('RAW_유기농_10월'!$A:$A)&lt;=1,"",SUMIFS('RAW_유기농_10월'!$H:$H,'RAW_유기농_10월'!$D:$D,$C206,'RAW_유기농_10월'!$A:$A,$E206)-SUMIFS('RAW_유기농_9월'!$H:$H,'RAW_유기농_9월'!$D:$D,$C206,'RAW_유기농_9월'!$A:$A,$E206)))</f>
        <v/>
      </c>
      <c r="R206" s="7" t="str">
        <f>IF($C206="","",IF(COUNTA('RAW_유기농_11-12월'!$A:$A)&lt;=1,"",SUMIFS('RAW_유기농_11-12월'!$H:$H,'RAW_유기농_11-12월'!$D:$D,$C206,'RAW_유기농_11-12월'!$A:$A,$E206)-SUMIFS('RAW_유기농_10월'!$H:$H,'RAW_유기농_10월'!$D:$D,$C206,'RAW_유기농_10월'!$A:$A,$E206)))</f>
        <v/>
      </c>
      <c r="S206" s="17" t="str">
        <f t="shared" si="4"/>
        <v/>
      </c>
      <c r="T206" s="17" t="str">
        <f t="shared" si="5"/>
        <v/>
      </c>
      <c r="U206" s="7">
        <f>IF($C206="",0,IF('설정'!$B$4=0,0,CHOOSE('설정'!$B$4,COUNTIFS('RAW_유기농_7월'!$D:$D,$C206,'RAW_유기농_7월'!$A:$A,$E206),COUNTIFS('RAW_유기농_8월'!$D:$D,$C206,'RAW_유기농_8월'!$A:$A,$E206),COUNTIFS('RAW_유기농_9월'!$D:$D,$C206,'RAW_유기농_9월'!$A:$A,$E206),COUNTIFS('RAW_유기농_10월'!$D:$D,$C206,'RAW_유기농_10월'!$A:$A,$E206),COUNTIFS('RAW_유기농_11-12월'!$D:$D,$C206,'RAW_유기농_11-12월'!$A:$A,$E206))))</f>
        <v>0</v>
      </c>
    </row>
    <row r="207" ht="15.75" customHeight="1">
      <c r="A207" s="5"/>
      <c r="B207" s="5"/>
      <c r="C207" s="5"/>
      <c r="D207" s="6"/>
      <c r="E207" s="5"/>
      <c r="F207" s="7" t="str">
        <f>IF($C207="","",IF('설정'!$B$4=0,"",CHOOSE('설정'!$B$4,SUMIFS('RAW_유기농_7월'!$F:$F,'RAW_유기농_7월'!$D:$D,$C207,'RAW_유기농_7월'!$A:$A,$E207),SUMIFS('RAW_유기농_8월'!$F:$F,'RAW_유기농_8월'!$D:$D,$C207,'RAW_유기농_8월'!$A:$A,$E207),SUMIFS('RAW_유기농_9월'!$F:$F,'RAW_유기농_9월'!$D:$D,$C207,'RAW_유기농_9월'!$A:$A,$E207),SUMIFS('RAW_유기농_10월'!$F:$F,'RAW_유기농_10월'!$D:$D,$C207,'RAW_유기농_10월'!$A:$A,$E207),SUMIFS('RAW_유기농_11-12월'!$F:$F,'RAW_유기농_11-12월'!$D:$D,$C207,'RAW_유기농_11-12월'!$A:$A,$E207))))</f>
        <v/>
      </c>
      <c r="G207" s="7" t="str">
        <f>IF($C207="","",IF('설정'!$B$4=0,"",CHOOSE('설정'!$B$4,SUMIFS('RAW_유기농_7월'!$G:$G,'RAW_유기농_7월'!$D:$D,$C207,'RAW_유기농_7월'!$A:$A,$E207),SUMIFS('RAW_유기농_8월'!$G:$G,'RAW_유기농_8월'!$D:$D,$C207,'RAW_유기농_8월'!$A:$A,$E207),SUMIFS('RAW_유기농_9월'!$G:$G,'RAW_유기농_9월'!$D:$D,$C207,'RAW_유기농_9월'!$A:$A,$E207),SUMIFS('RAW_유기농_10월'!$G:$G,'RAW_유기농_10월'!$D:$D,$C207,'RAW_유기농_10월'!$A:$A,$E207),SUMIFS('RAW_유기농_11-12월'!$G:$G,'RAW_유기농_11-12월'!$D:$D,$C207,'RAW_유기농_11-12월'!$A:$A,$E207))))</f>
        <v/>
      </c>
      <c r="H207" s="7" t="str">
        <f>IF($C207="","",IF('설정'!$B$4=0,"",CHOOSE('설정'!$B$4,SUMIFS('RAW_유기농_7월'!$H:$H,'RAW_유기농_7월'!$D:$D,$C207,'RAW_유기농_7월'!$A:$A,$E207),SUMIFS('RAW_유기농_8월'!$H:$H,'RAW_유기농_8월'!$D:$D,$C207,'RAW_유기농_8월'!$A:$A,$E207),SUMIFS('RAW_유기농_9월'!$H:$H,'RAW_유기농_9월'!$D:$D,$C207,'RAW_유기농_9월'!$A:$A,$E207),SUMIFS('RAW_유기농_10월'!$H:$H,'RAW_유기농_10월'!$D:$D,$C207,'RAW_유기농_10월'!$A:$A,$E207),SUMIFS('RAW_유기농_11-12월'!$H:$H,'RAW_유기농_11-12월'!$D:$D,$C207,'RAW_유기농_11-12월'!$A:$A,$E207))))</f>
        <v/>
      </c>
      <c r="I207" s="17" t="str">
        <f>IF($C207="","",IF(COUNTIFS('RAW_유기농_7월'!$D:$D,$C207,'RAW_유기농_7월'!$A:$A,$E207)&gt;0,"O",""))</f>
        <v/>
      </c>
      <c r="J207" s="17" t="str">
        <f>IF($C207="","",IF(COUNTIFS('RAW_유기농_8월'!$D:$D,$C207,'RAW_유기농_8월'!$A:$A,$E207)&gt;0,"O",""))</f>
        <v/>
      </c>
      <c r="K207" s="17" t="str">
        <f>IF($C207="","",IF(COUNTIFS('RAW_유기농_9월'!$D:$D,$C207,'RAW_유기농_9월'!$A:$A,$E207)&gt;0,"O",""))</f>
        <v/>
      </c>
      <c r="L207" s="17" t="str">
        <f>IF($C207="","",IF(COUNTIFS('RAW_유기농_10월'!$D:$D,$C207,'RAW_유기농_10월'!$A:$A,$E207)&gt;0,"O",""))</f>
        <v/>
      </c>
      <c r="M207" s="17" t="str">
        <f>IF($C207="","",IF(COUNTIFS('RAW_유기농_11-12월'!$D:$D,$C207,'RAW_유기농_11-12월'!$A:$A,$E207)&gt;0,"O",""))</f>
        <v/>
      </c>
      <c r="N207" s="7" t="str">
        <f>IF($C207="","",IF(COUNTA('RAW_유기농_7월'!$A:$A)&lt;=1,"",SUMIFS('RAW_유기농_7월'!$H:$H,'RAW_유기농_7월'!$D:$D,$C207,'RAW_유기농_7월'!$A:$A,$E207)))</f>
        <v/>
      </c>
      <c r="O207" s="7" t="str">
        <f>IF($C207="","",IF(COUNTA('RAW_유기농_8월'!$A:$A)&lt;=1,"",SUMIFS('RAW_유기농_8월'!$H:$H,'RAW_유기농_8월'!$D:$D,$C207,'RAW_유기농_8월'!$A:$A,$E207)-SUMIFS('RAW_유기농_7월'!$H:$H,'RAW_유기농_7월'!$D:$D,$C207,'RAW_유기농_7월'!$A:$A,$E207)))</f>
        <v/>
      </c>
      <c r="P207" s="7" t="str">
        <f>IF($C207="","",IF(COUNTA('RAW_유기농_9월'!$A:$A)&lt;=1,"",SUMIFS('RAW_유기농_9월'!$H:$H,'RAW_유기농_9월'!$D:$D,$C207,'RAW_유기농_9월'!$A:$A,$E207)-SUMIFS('RAW_유기농_8월'!$H:$H,'RAW_유기농_8월'!$D:$D,$C207,'RAW_유기농_8월'!$A:$A,$E207)))</f>
        <v/>
      </c>
      <c r="Q207" s="7" t="str">
        <f>IF($C207="","",IF(COUNTA('RAW_유기농_10월'!$A:$A)&lt;=1,"",SUMIFS('RAW_유기농_10월'!$H:$H,'RAW_유기농_10월'!$D:$D,$C207,'RAW_유기농_10월'!$A:$A,$E207)-SUMIFS('RAW_유기농_9월'!$H:$H,'RAW_유기농_9월'!$D:$D,$C207,'RAW_유기농_9월'!$A:$A,$E207)))</f>
        <v/>
      </c>
      <c r="R207" s="7" t="str">
        <f>IF($C207="","",IF(COUNTA('RAW_유기농_11-12월'!$A:$A)&lt;=1,"",SUMIFS('RAW_유기농_11-12월'!$H:$H,'RAW_유기농_11-12월'!$D:$D,$C207,'RAW_유기농_11-12월'!$A:$A,$E207)-SUMIFS('RAW_유기농_10월'!$H:$H,'RAW_유기농_10월'!$D:$D,$C207,'RAW_유기농_10월'!$A:$A,$E207)))</f>
        <v/>
      </c>
      <c r="S207" s="17" t="str">
        <f t="shared" si="4"/>
        <v/>
      </c>
      <c r="T207" s="17" t="str">
        <f t="shared" si="5"/>
        <v/>
      </c>
      <c r="U207" s="7">
        <f>IF($C207="",0,IF('설정'!$B$4=0,0,CHOOSE('설정'!$B$4,COUNTIFS('RAW_유기농_7월'!$D:$D,$C207,'RAW_유기농_7월'!$A:$A,$E207),COUNTIFS('RAW_유기농_8월'!$D:$D,$C207,'RAW_유기농_8월'!$A:$A,$E207),COUNTIFS('RAW_유기농_9월'!$D:$D,$C207,'RAW_유기농_9월'!$A:$A,$E207),COUNTIFS('RAW_유기농_10월'!$D:$D,$C207,'RAW_유기농_10월'!$A:$A,$E207),COUNTIFS('RAW_유기농_11-12월'!$D:$D,$C207,'RAW_유기농_11-12월'!$A:$A,$E207))))</f>
        <v>0</v>
      </c>
    </row>
    <row r="208" ht="15.75" customHeight="1">
      <c r="A208" s="5"/>
      <c r="B208" s="5"/>
      <c r="C208" s="5"/>
      <c r="D208" s="6"/>
      <c r="E208" s="5"/>
      <c r="F208" s="7" t="str">
        <f>IF($C208="","",IF('설정'!$B$4=0,"",CHOOSE('설정'!$B$4,SUMIFS('RAW_유기농_7월'!$F:$F,'RAW_유기농_7월'!$D:$D,$C208,'RAW_유기농_7월'!$A:$A,$E208),SUMIFS('RAW_유기농_8월'!$F:$F,'RAW_유기농_8월'!$D:$D,$C208,'RAW_유기농_8월'!$A:$A,$E208),SUMIFS('RAW_유기농_9월'!$F:$F,'RAW_유기농_9월'!$D:$D,$C208,'RAW_유기농_9월'!$A:$A,$E208),SUMIFS('RAW_유기농_10월'!$F:$F,'RAW_유기농_10월'!$D:$D,$C208,'RAW_유기농_10월'!$A:$A,$E208),SUMIFS('RAW_유기농_11-12월'!$F:$F,'RAW_유기농_11-12월'!$D:$D,$C208,'RAW_유기농_11-12월'!$A:$A,$E208))))</f>
        <v/>
      </c>
      <c r="G208" s="7" t="str">
        <f>IF($C208="","",IF('설정'!$B$4=0,"",CHOOSE('설정'!$B$4,SUMIFS('RAW_유기농_7월'!$G:$G,'RAW_유기농_7월'!$D:$D,$C208,'RAW_유기농_7월'!$A:$A,$E208),SUMIFS('RAW_유기농_8월'!$G:$G,'RAW_유기농_8월'!$D:$D,$C208,'RAW_유기농_8월'!$A:$A,$E208),SUMIFS('RAW_유기농_9월'!$G:$G,'RAW_유기농_9월'!$D:$D,$C208,'RAW_유기농_9월'!$A:$A,$E208),SUMIFS('RAW_유기농_10월'!$G:$G,'RAW_유기농_10월'!$D:$D,$C208,'RAW_유기농_10월'!$A:$A,$E208),SUMIFS('RAW_유기농_11-12월'!$G:$G,'RAW_유기농_11-12월'!$D:$D,$C208,'RAW_유기농_11-12월'!$A:$A,$E208))))</f>
        <v/>
      </c>
      <c r="H208" s="7" t="str">
        <f>IF($C208="","",IF('설정'!$B$4=0,"",CHOOSE('설정'!$B$4,SUMIFS('RAW_유기농_7월'!$H:$H,'RAW_유기농_7월'!$D:$D,$C208,'RAW_유기농_7월'!$A:$A,$E208),SUMIFS('RAW_유기농_8월'!$H:$H,'RAW_유기농_8월'!$D:$D,$C208,'RAW_유기농_8월'!$A:$A,$E208),SUMIFS('RAW_유기농_9월'!$H:$H,'RAW_유기농_9월'!$D:$D,$C208,'RAW_유기농_9월'!$A:$A,$E208),SUMIFS('RAW_유기농_10월'!$H:$H,'RAW_유기농_10월'!$D:$D,$C208,'RAW_유기농_10월'!$A:$A,$E208),SUMIFS('RAW_유기농_11-12월'!$H:$H,'RAW_유기농_11-12월'!$D:$D,$C208,'RAW_유기농_11-12월'!$A:$A,$E208))))</f>
        <v/>
      </c>
      <c r="I208" s="17" t="str">
        <f>IF($C208="","",IF(COUNTIFS('RAW_유기농_7월'!$D:$D,$C208,'RAW_유기농_7월'!$A:$A,$E208)&gt;0,"O",""))</f>
        <v/>
      </c>
      <c r="J208" s="17" t="str">
        <f>IF($C208="","",IF(COUNTIFS('RAW_유기농_8월'!$D:$D,$C208,'RAW_유기농_8월'!$A:$A,$E208)&gt;0,"O",""))</f>
        <v/>
      </c>
      <c r="K208" s="17" t="str">
        <f>IF($C208="","",IF(COUNTIFS('RAW_유기농_9월'!$D:$D,$C208,'RAW_유기농_9월'!$A:$A,$E208)&gt;0,"O",""))</f>
        <v/>
      </c>
      <c r="L208" s="17" t="str">
        <f>IF($C208="","",IF(COUNTIFS('RAW_유기농_10월'!$D:$D,$C208,'RAW_유기농_10월'!$A:$A,$E208)&gt;0,"O",""))</f>
        <v/>
      </c>
      <c r="M208" s="17" t="str">
        <f>IF($C208="","",IF(COUNTIFS('RAW_유기농_11-12월'!$D:$D,$C208,'RAW_유기농_11-12월'!$A:$A,$E208)&gt;0,"O",""))</f>
        <v/>
      </c>
      <c r="N208" s="7" t="str">
        <f>IF($C208="","",IF(COUNTA('RAW_유기농_7월'!$A:$A)&lt;=1,"",SUMIFS('RAW_유기농_7월'!$H:$H,'RAW_유기농_7월'!$D:$D,$C208,'RAW_유기농_7월'!$A:$A,$E208)))</f>
        <v/>
      </c>
      <c r="O208" s="7" t="str">
        <f>IF($C208="","",IF(COUNTA('RAW_유기농_8월'!$A:$A)&lt;=1,"",SUMIFS('RAW_유기농_8월'!$H:$H,'RAW_유기농_8월'!$D:$D,$C208,'RAW_유기농_8월'!$A:$A,$E208)-SUMIFS('RAW_유기농_7월'!$H:$H,'RAW_유기농_7월'!$D:$D,$C208,'RAW_유기농_7월'!$A:$A,$E208)))</f>
        <v/>
      </c>
      <c r="P208" s="7" t="str">
        <f>IF($C208="","",IF(COUNTA('RAW_유기농_9월'!$A:$A)&lt;=1,"",SUMIFS('RAW_유기농_9월'!$H:$H,'RAW_유기농_9월'!$D:$D,$C208,'RAW_유기농_9월'!$A:$A,$E208)-SUMIFS('RAW_유기농_8월'!$H:$H,'RAW_유기농_8월'!$D:$D,$C208,'RAW_유기농_8월'!$A:$A,$E208)))</f>
        <v/>
      </c>
      <c r="Q208" s="7" t="str">
        <f>IF($C208="","",IF(COUNTA('RAW_유기농_10월'!$A:$A)&lt;=1,"",SUMIFS('RAW_유기농_10월'!$H:$H,'RAW_유기농_10월'!$D:$D,$C208,'RAW_유기농_10월'!$A:$A,$E208)-SUMIFS('RAW_유기농_9월'!$H:$H,'RAW_유기농_9월'!$D:$D,$C208,'RAW_유기농_9월'!$A:$A,$E208)))</f>
        <v/>
      </c>
      <c r="R208" s="7" t="str">
        <f>IF($C208="","",IF(COUNTA('RAW_유기농_11-12월'!$A:$A)&lt;=1,"",SUMIFS('RAW_유기농_11-12월'!$H:$H,'RAW_유기농_11-12월'!$D:$D,$C208,'RAW_유기농_11-12월'!$A:$A,$E208)-SUMIFS('RAW_유기농_10월'!$H:$H,'RAW_유기농_10월'!$D:$D,$C208,'RAW_유기농_10월'!$A:$A,$E208)))</f>
        <v/>
      </c>
      <c r="S208" s="17" t="str">
        <f t="shared" si="4"/>
        <v/>
      </c>
      <c r="T208" s="17" t="str">
        <f t="shared" si="5"/>
        <v/>
      </c>
      <c r="U208" s="7">
        <f>IF($C208="",0,IF('설정'!$B$4=0,0,CHOOSE('설정'!$B$4,COUNTIFS('RAW_유기농_7월'!$D:$D,$C208,'RAW_유기농_7월'!$A:$A,$E208),COUNTIFS('RAW_유기농_8월'!$D:$D,$C208,'RAW_유기농_8월'!$A:$A,$E208),COUNTIFS('RAW_유기농_9월'!$D:$D,$C208,'RAW_유기농_9월'!$A:$A,$E208),COUNTIFS('RAW_유기농_10월'!$D:$D,$C208,'RAW_유기농_10월'!$A:$A,$E208),COUNTIFS('RAW_유기농_11-12월'!$D:$D,$C208,'RAW_유기농_11-12월'!$A:$A,$E208))))</f>
        <v>0</v>
      </c>
    </row>
    <row r="209" ht="15.75" customHeight="1">
      <c r="A209" s="5"/>
      <c r="B209" s="5"/>
      <c r="C209" s="5"/>
      <c r="D209" s="6"/>
      <c r="E209" s="5"/>
      <c r="F209" s="7" t="str">
        <f>IF($C209="","",IF('설정'!$B$4=0,"",CHOOSE('설정'!$B$4,SUMIFS('RAW_유기농_7월'!$F:$F,'RAW_유기농_7월'!$D:$D,$C209,'RAW_유기농_7월'!$A:$A,$E209),SUMIFS('RAW_유기농_8월'!$F:$F,'RAW_유기농_8월'!$D:$D,$C209,'RAW_유기농_8월'!$A:$A,$E209),SUMIFS('RAW_유기농_9월'!$F:$F,'RAW_유기농_9월'!$D:$D,$C209,'RAW_유기농_9월'!$A:$A,$E209),SUMIFS('RAW_유기농_10월'!$F:$F,'RAW_유기농_10월'!$D:$D,$C209,'RAW_유기농_10월'!$A:$A,$E209),SUMIFS('RAW_유기농_11-12월'!$F:$F,'RAW_유기농_11-12월'!$D:$D,$C209,'RAW_유기농_11-12월'!$A:$A,$E209))))</f>
        <v/>
      </c>
      <c r="G209" s="7" t="str">
        <f>IF($C209="","",IF('설정'!$B$4=0,"",CHOOSE('설정'!$B$4,SUMIFS('RAW_유기농_7월'!$G:$G,'RAW_유기농_7월'!$D:$D,$C209,'RAW_유기농_7월'!$A:$A,$E209),SUMIFS('RAW_유기농_8월'!$G:$G,'RAW_유기농_8월'!$D:$D,$C209,'RAW_유기농_8월'!$A:$A,$E209),SUMIFS('RAW_유기농_9월'!$G:$G,'RAW_유기농_9월'!$D:$D,$C209,'RAW_유기농_9월'!$A:$A,$E209),SUMIFS('RAW_유기농_10월'!$G:$G,'RAW_유기농_10월'!$D:$D,$C209,'RAW_유기농_10월'!$A:$A,$E209),SUMIFS('RAW_유기농_11-12월'!$G:$G,'RAW_유기농_11-12월'!$D:$D,$C209,'RAW_유기농_11-12월'!$A:$A,$E209))))</f>
        <v/>
      </c>
      <c r="H209" s="7" t="str">
        <f>IF($C209="","",IF('설정'!$B$4=0,"",CHOOSE('설정'!$B$4,SUMIFS('RAW_유기농_7월'!$H:$H,'RAW_유기농_7월'!$D:$D,$C209,'RAW_유기농_7월'!$A:$A,$E209),SUMIFS('RAW_유기농_8월'!$H:$H,'RAW_유기농_8월'!$D:$D,$C209,'RAW_유기농_8월'!$A:$A,$E209),SUMIFS('RAW_유기농_9월'!$H:$H,'RAW_유기농_9월'!$D:$D,$C209,'RAW_유기농_9월'!$A:$A,$E209),SUMIFS('RAW_유기농_10월'!$H:$H,'RAW_유기농_10월'!$D:$D,$C209,'RAW_유기농_10월'!$A:$A,$E209),SUMIFS('RAW_유기농_11-12월'!$H:$H,'RAW_유기농_11-12월'!$D:$D,$C209,'RAW_유기농_11-12월'!$A:$A,$E209))))</f>
        <v/>
      </c>
      <c r="I209" s="17" t="str">
        <f>IF($C209="","",IF(COUNTIFS('RAW_유기농_7월'!$D:$D,$C209,'RAW_유기농_7월'!$A:$A,$E209)&gt;0,"O",""))</f>
        <v/>
      </c>
      <c r="J209" s="17" t="str">
        <f>IF($C209="","",IF(COUNTIFS('RAW_유기농_8월'!$D:$D,$C209,'RAW_유기농_8월'!$A:$A,$E209)&gt;0,"O",""))</f>
        <v/>
      </c>
      <c r="K209" s="17" t="str">
        <f>IF($C209="","",IF(COUNTIFS('RAW_유기농_9월'!$D:$D,$C209,'RAW_유기농_9월'!$A:$A,$E209)&gt;0,"O",""))</f>
        <v/>
      </c>
      <c r="L209" s="17" t="str">
        <f>IF($C209="","",IF(COUNTIFS('RAW_유기농_10월'!$D:$D,$C209,'RAW_유기농_10월'!$A:$A,$E209)&gt;0,"O",""))</f>
        <v/>
      </c>
      <c r="M209" s="17" t="str">
        <f>IF($C209="","",IF(COUNTIFS('RAW_유기농_11-12월'!$D:$D,$C209,'RAW_유기농_11-12월'!$A:$A,$E209)&gt;0,"O",""))</f>
        <v/>
      </c>
      <c r="N209" s="7" t="str">
        <f>IF($C209="","",IF(COUNTA('RAW_유기농_7월'!$A:$A)&lt;=1,"",SUMIFS('RAW_유기농_7월'!$H:$H,'RAW_유기농_7월'!$D:$D,$C209,'RAW_유기농_7월'!$A:$A,$E209)))</f>
        <v/>
      </c>
      <c r="O209" s="7" t="str">
        <f>IF($C209="","",IF(COUNTA('RAW_유기농_8월'!$A:$A)&lt;=1,"",SUMIFS('RAW_유기농_8월'!$H:$H,'RAW_유기농_8월'!$D:$D,$C209,'RAW_유기농_8월'!$A:$A,$E209)-SUMIFS('RAW_유기농_7월'!$H:$H,'RAW_유기농_7월'!$D:$D,$C209,'RAW_유기농_7월'!$A:$A,$E209)))</f>
        <v/>
      </c>
      <c r="P209" s="7" t="str">
        <f>IF($C209="","",IF(COUNTA('RAW_유기농_9월'!$A:$A)&lt;=1,"",SUMIFS('RAW_유기농_9월'!$H:$H,'RAW_유기농_9월'!$D:$D,$C209,'RAW_유기농_9월'!$A:$A,$E209)-SUMIFS('RAW_유기농_8월'!$H:$H,'RAW_유기농_8월'!$D:$D,$C209,'RAW_유기농_8월'!$A:$A,$E209)))</f>
        <v/>
      </c>
      <c r="Q209" s="7" t="str">
        <f>IF($C209="","",IF(COUNTA('RAW_유기농_10월'!$A:$A)&lt;=1,"",SUMIFS('RAW_유기농_10월'!$H:$H,'RAW_유기농_10월'!$D:$D,$C209,'RAW_유기농_10월'!$A:$A,$E209)-SUMIFS('RAW_유기농_9월'!$H:$H,'RAW_유기농_9월'!$D:$D,$C209,'RAW_유기농_9월'!$A:$A,$E209)))</f>
        <v/>
      </c>
      <c r="R209" s="7" t="str">
        <f>IF($C209="","",IF(COUNTA('RAW_유기농_11-12월'!$A:$A)&lt;=1,"",SUMIFS('RAW_유기농_11-12월'!$H:$H,'RAW_유기농_11-12월'!$D:$D,$C209,'RAW_유기농_11-12월'!$A:$A,$E209)-SUMIFS('RAW_유기농_10월'!$H:$H,'RAW_유기농_10월'!$D:$D,$C209,'RAW_유기농_10월'!$A:$A,$E209)))</f>
        <v/>
      </c>
      <c r="S209" s="17" t="str">
        <f t="shared" si="4"/>
        <v/>
      </c>
      <c r="T209" s="17" t="str">
        <f t="shared" si="5"/>
        <v/>
      </c>
      <c r="U209" s="7">
        <f>IF($C209="",0,IF('설정'!$B$4=0,0,CHOOSE('설정'!$B$4,COUNTIFS('RAW_유기농_7월'!$D:$D,$C209,'RAW_유기농_7월'!$A:$A,$E209),COUNTIFS('RAW_유기농_8월'!$D:$D,$C209,'RAW_유기농_8월'!$A:$A,$E209),COUNTIFS('RAW_유기농_9월'!$D:$D,$C209,'RAW_유기농_9월'!$A:$A,$E209),COUNTIFS('RAW_유기농_10월'!$D:$D,$C209,'RAW_유기농_10월'!$A:$A,$E209),COUNTIFS('RAW_유기농_11-12월'!$D:$D,$C209,'RAW_유기농_11-12월'!$A:$A,$E209))))</f>
        <v>0</v>
      </c>
    </row>
    <row r="210" ht="15.75" customHeight="1">
      <c r="A210" s="5"/>
      <c r="B210" s="5"/>
      <c r="C210" s="5"/>
      <c r="D210" s="6"/>
      <c r="E210" s="5"/>
      <c r="F210" s="7" t="str">
        <f>IF($C210="","",IF('설정'!$B$4=0,"",CHOOSE('설정'!$B$4,SUMIFS('RAW_유기농_7월'!$F:$F,'RAW_유기농_7월'!$D:$D,$C210,'RAW_유기농_7월'!$A:$A,$E210),SUMIFS('RAW_유기농_8월'!$F:$F,'RAW_유기농_8월'!$D:$D,$C210,'RAW_유기농_8월'!$A:$A,$E210),SUMIFS('RAW_유기농_9월'!$F:$F,'RAW_유기농_9월'!$D:$D,$C210,'RAW_유기농_9월'!$A:$A,$E210),SUMIFS('RAW_유기농_10월'!$F:$F,'RAW_유기농_10월'!$D:$D,$C210,'RAW_유기농_10월'!$A:$A,$E210),SUMIFS('RAW_유기농_11-12월'!$F:$F,'RAW_유기농_11-12월'!$D:$D,$C210,'RAW_유기농_11-12월'!$A:$A,$E210))))</f>
        <v/>
      </c>
      <c r="G210" s="7" t="str">
        <f>IF($C210="","",IF('설정'!$B$4=0,"",CHOOSE('설정'!$B$4,SUMIFS('RAW_유기농_7월'!$G:$G,'RAW_유기농_7월'!$D:$D,$C210,'RAW_유기농_7월'!$A:$A,$E210),SUMIFS('RAW_유기농_8월'!$G:$G,'RAW_유기농_8월'!$D:$D,$C210,'RAW_유기농_8월'!$A:$A,$E210),SUMIFS('RAW_유기농_9월'!$G:$G,'RAW_유기농_9월'!$D:$D,$C210,'RAW_유기농_9월'!$A:$A,$E210),SUMIFS('RAW_유기농_10월'!$G:$G,'RAW_유기농_10월'!$D:$D,$C210,'RAW_유기농_10월'!$A:$A,$E210),SUMIFS('RAW_유기농_11-12월'!$G:$G,'RAW_유기농_11-12월'!$D:$D,$C210,'RAW_유기농_11-12월'!$A:$A,$E210))))</f>
        <v/>
      </c>
      <c r="H210" s="7" t="str">
        <f>IF($C210="","",IF('설정'!$B$4=0,"",CHOOSE('설정'!$B$4,SUMIFS('RAW_유기농_7월'!$H:$H,'RAW_유기농_7월'!$D:$D,$C210,'RAW_유기농_7월'!$A:$A,$E210),SUMIFS('RAW_유기농_8월'!$H:$H,'RAW_유기농_8월'!$D:$D,$C210,'RAW_유기농_8월'!$A:$A,$E210),SUMIFS('RAW_유기농_9월'!$H:$H,'RAW_유기농_9월'!$D:$D,$C210,'RAW_유기농_9월'!$A:$A,$E210),SUMIFS('RAW_유기농_10월'!$H:$H,'RAW_유기농_10월'!$D:$D,$C210,'RAW_유기농_10월'!$A:$A,$E210),SUMIFS('RAW_유기농_11-12월'!$H:$H,'RAW_유기농_11-12월'!$D:$D,$C210,'RAW_유기농_11-12월'!$A:$A,$E210))))</f>
        <v/>
      </c>
      <c r="I210" s="17" t="str">
        <f>IF($C210="","",IF(COUNTIFS('RAW_유기농_7월'!$D:$D,$C210,'RAW_유기농_7월'!$A:$A,$E210)&gt;0,"O",""))</f>
        <v/>
      </c>
      <c r="J210" s="17" t="str">
        <f>IF($C210="","",IF(COUNTIFS('RAW_유기농_8월'!$D:$D,$C210,'RAW_유기농_8월'!$A:$A,$E210)&gt;0,"O",""))</f>
        <v/>
      </c>
      <c r="K210" s="17" t="str">
        <f>IF($C210="","",IF(COUNTIFS('RAW_유기농_9월'!$D:$D,$C210,'RAW_유기농_9월'!$A:$A,$E210)&gt;0,"O",""))</f>
        <v/>
      </c>
      <c r="L210" s="17" t="str">
        <f>IF($C210="","",IF(COUNTIFS('RAW_유기농_10월'!$D:$D,$C210,'RAW_유기농_10월'!$A:$A,$E210)&gt;0,"O",""))</f>
        <v/>
      </c>
      <c r="M210" s="17" t="str">
        <f>IF($C210="","",IF(COUNTIFS('RAW_유기농_11-12월'!$D:$D,$C210,'RAW_유기농_11-12월'!$A:$A,$E210)&gt;0,"O",""))</f>
        <v/>
      </c>
      <c r="N210" s="7" t="str">
        <f>IF($C210="","",IF(COUNTA('RAW_유기농_7월'!$A:$A)&lt;=1,"",SUMIFS('RAW_유기농_7월'!$H:$H,'RAW_유기농_7월'!$D:$D,$C210,'RAW_유기농_7월'!$A:$A,$E210)))</f>
        <v/>
      </c>
      <c r="O210" s="7" t="str">
        <f>IF($C210="","",IF(COUNTA('RAW_유기농_8월'!$A:$A)&lt;=1,"",SUMIFS('RAW_유기농_8월'!$H:$H,'RAW_유기농_8월'!$D:$D,$C210,'RAW_유기농_8월'!$A:$A,$E210)-SUMIFS('RAW_유기농_7월'!$H:$H,'RAW_유기농_7월'!$D:$D,$C210,'RAW_유기농_7월'!$A:$A,$E210)))</f>
        <v/>
      </c>
      <c r="P210" s="7" t="str">
        <f>IF($C210="","",IF(COUNTA('RAW_유기농_9월'!$A:$A)&lt;=1,"",SUMIFS('RAW_유기농_9월'!$H:$H,'RAW_유기농_9월'!$D:$D,$C210,'RAW_유기농_9월'!$A:$A,$E210)-SUMIFS('RAW_유기농_8월'!$H:$H,'RAW_유기농_8월'!$D:$D,$C210,'RAW_유기농_8월'!$A:$A,$E210)))</f>
        <v/>
      </c>
      <c r="Q210" s="7" t="str">
        <f>IF($C210="","",IF(COUNTA('RAW_유기농_10월'!$A:$A)&lt;=1,"",SUMIFS('RAW_유기농_10월'!$H:$H,'RAW_유기농_10월'!$D:$D,$C210,'RAW_유기농_10월'!$A:$A,$E210)-SUMIFS('RAW_유기농_9월'!$H:$H,'RAW_유기농_9월'!$D:$D,$C210,'RAW_유기농_9월'!$A:$A,$E210)))</f>
        <v/>
      </c>
      <c r="R210" s="7" t="str">
        <f>IF($C210="","",IF(COUNTA('RAW_유기농_11-12월'!$A:$A)&lt;=1,"",SUMIFS('RAW_유기농_11-12월'!$H:$H,'RAW_유기농_11-12월'!$D:$D,$C210,'RAW_유기농_11-12월'!$A:$A,$E210)-SUMIFS('RAW_유기농_10월'!$H:$H,'RAW_유기농_10월'!$D:$D,$C210,'RAW_유기농_10월'!$A:$A,$E210)))</f>
        <v/>
      </c>
      <c r="S210" s="17" t="str">
        <f t="shared" si="4"/>
        <v/>
      </c>
      <c r="T210" s="17" t="str">
        <f t="shared" si="5"/>
        <v/>
      </c>
      <c r="U210" s="7">
        <f>IF($C210="",0,IF('설정'!$B$4=0,0,CHOOSE('설정'!$B$4,COUNTIFS('RAW_유기농_7월'!$D:$D,$C210,'RAW_유기농_7월'!$A:$A,$E210),COUNTIFS('RAW_유기농_8월'!$D:$D,$C210,'RAW_유기농_8월'!$A:$A,$E210),COUNTIFS('RAW_유기농_9월'!$D:$D,$C210,'RAW_유기농_9월'!$A:$A,$E210),COUNTIFS('RAW_유기농_10월'!$D:$D,$C210,'RAW_유기농_10월'!$A:$A,$E210),COUNTIFS('RAW_유기농_11-12월'!$D:$D,$C210,'RAW_유기농_11-12월'!$A:$A,$E210))))</f>
        <v>0</v>
      </c>
    </row>
    <row r="211" ht="15.75" customHeight="1">
      <c r="A211" s="5"/>
      <c r="B211" s="5"/>
      <c r="C211" s="5"/>
      <c r="D211" s="6"/>
      <c r="E211" s="5"/>
      <c r="F211" s="7" t="str">
        <f>IF($C211="","",IF('설정'!$B$4=0,"",CHOOSE('설정'!$B$4,SUMIFS('RAW_유기농_7월'!$F:$F,'RAW_유기농_7월'!$D:$D,$C211,'RAW_유기농_7월'!$A:$A,$E211),SUMIFS('RAW_유기농_8월'!$F:$F,'RAW_유기농_8월'!$D:$D,$C211,'RAW_유기농_8월'!$A:$A,$E211),SUMIFS('RAW_유기농_9월'!$F:$F,'RAW_유기농_9월'!$D:$D,$C211,'RAW_유기농_9월'!$A:$A,$E211),SUMIFS('RAW_유기농_10월'!$F:$F,'RAW_유기농_10월'!$D:$D,$C211,'RAW_유기농_10월'!$A:$A,$E211),SUMIFS('RAW_유기농_11-12월'!$F:$F,'RAW_유기농_11-12월'!$D:$D,$C211,'RAW_유기농_11-12월'!$A:$A,$E211))))</f>
        <v/>
      </c>
      <c r="G211" s="7" t="str">
        <f>IF($C211="","",IF('설정'!$B$4=0,"",CHOOSE('설정'!$B$4,SUMIFS('RAW_유기농_7월'!$G:$G,'RAW_유기농_7월'!$D:$D,$C211,'RAW_유기농_7월'!$A:$A,$E211),SUMIFS('RAW_유기농_8월'!$G:$G,'RAW_유기농_8월'!$D:$D,$C211,'RAW_유기농_8월'!$A:$A,$E211),SUMIFS('RAW_유기농_9월'!$G:$G,'RAW_유기농_9월'!$D:$D,$C211,'RAW_유기농_9월'!$A:$A,$E211),SUMIFS('RAW_유기농_10월'!$G:$G,'RAW_유기농_10월'!$D:$D,$C211,'RAW_유기농_10월'!$A:$A,$E211),SUMIFS('RAW_유기농_11-12월'!$G:$G,'RAW_유기농_11-12월'!$D:$D,$C211,'RAW_유기농_11-12월'!$A:$A,$E211))))</f>
        <v/>
      </c>
      <c r="H211" s="7" t="str">
        <f>IF($C211="","",IF('설정'!$B$4=0,"",CHOOSE('설정'!$B$4,SUMIFS('RAW_유기농_7월'!$H:$H,'RAW_유기농_7월'!$D:$D,$C211,'RAW_유기농_7월'!$A:$A,$E211),SUMIFS('RAW_유기농_8월'!$H:$H,'RAW_유기농_8월'!$D:$D,$C211,'RAW_유기농_8월'!$A:$A,$E211),SUMIFS('RAW_유기농_9월'!$H:$H,'RAW_유기농_9월'!$D:$D,$C211,'RAW_유기농_9월'!$A:$A,$E211),SUMIFS('RAW_유기농_10월'!$H:$H,'RAW_유기농_10월'!$D:$D,$C211,'RAW_유기농_10월'!$A:$A,$E211),SUMIFS('RAW_유기농_11-12월'!$H:$H,'RAW_유기농_11-12월'!$D:$D,$C211,'RAW_유기농_11-12월'!$A:$A,$E211))))</f>
        <v/>
      </c>
      <c r="I211" s="17" t="str">
        <f>IF($C211="","",IF(COUNTIFS('RAW_유기농_7월'!$D:$D,$C211,'RAW_유기농_7월'!$A:$A,$E211)&gt;0,"O",""))</f>
        <v/>
      </c>
      <c r="J211" s="17" t="str">
        <f>IF($C211="","",IF(COUNTIFS('RAW_유기농_8월'!$D:$D,$C211,'RAW_유기농_8월'!$A:$A,$E211)&gt;0,"O",""))</f>
        <v/>
      </c>
      <c r="K211" s="17" t="str">
        <f>IF($C211="","",IF(COUNTIFS('RAW_유기농_9월'!$D:$D,$C211,'RAW_유기농_9월'!$A:$A,$E211)&gt;0,"O",""))</f>
        <v/>
      </c>
      <c r="L211" s="17" t="str">
        <f>IF($C211="","",IF(COUNTIFS('RAW_유기농_10월'!$D:$D,$C211,'RAW_유기농_10월'!$A:$A,$E211)&gt;0,"O",""))</f>
        <v/>
      </c>
      <c r="M211" s="17" t="str">
        <f>IF($C211="","",IF(COUNTIFS('RAW_유기농_11-12월'!$D:$D,$C211,'RAW_유기농_11-12월'!$A:$A,$E211)&gt;0,"O",""))</f>
        <v/>
      </c>
      <c r="N211" s="7" t="str">
        <f>IF($C211="","",IF(COUNTA('RAW_유기농_7월'!$A:$A)&lt;=1,"",SUMIFS('RAW_유기농_7월'!$H:$H,'RAW_유기농_7월'!$D:$D,$C211,'RAW_유기농_7월'!$A:$A,$E211)))</f>
        <v/>
      </c>
      <c r="O211" s="7" t="str">
        <f>IF($C211="","",IF(COUNTA('RAW_유기농_8월'!$A:$A)&lt;=1,"",SUMIFS('RAW_유기농_8월'!$H:$H,'RAW_유기농_8월'!$D:$D,$C211,'RAW_유기농_8월'!$A:$A,$E211)-SUMIFS('RAW_유기농_7월'!$H:$H,'RAW_유기농_7월'!$D:$D,$C211,'RAW_유기농_7월'!$A:$A,$E211)))</f>
        <v/>
      </c>
      <c r="P211" s="7" t="str">
        <f>IF($C211="","",IF(COUNTA('RAW_유기농_9월'!$A:$A)&lt;=1,"",SUMIFS('RAW_유기농_9월'!$H:$H,'RAW_유기농_9월'!$D:$D,$C211,'RAW_유기농_9월'!$A:$A,$E211)-SUMIFS('RAW_유기농_8월'!$H:$H,'RAW_유기농_8월'!$D:$D,$C211,'RAW_유기농_8월'!$A:$A,$E211)))</f>
        <v/>
      </c>
      <c r="Q211" s="7" t="str">
        <f>IF($C211="","",IF(COUNTA('RAW_유기농_10월'!$A:$A)&lt;=1,"",SUMIFS('RAW_유기농_10월'!$H:$H,'RAW_유기농_10월'!$D:$D,$C211,'RAW_유기농_10월'!$A:$A,$E211)-SUMIFS('RAW_유기농_9월'!$H:$H,'RAW_유기농_9월'!$D:$D,$C211,'RAW_유기농_9월'!$A:$A,$E211)))</f>
        <v/>
      </c>
      <c r="R211" s="7" t="str">
        <f>IF($C211="","",IF(COUNTA('RAW_유기농_11-12월'!$A:$A)&lt;=1,"",SUMIFS('RAW_유기농_11-12월'!$H:$H,'RAW_유기농_11-12월'!$D:$D,$C211,'RAW_유기농_11-12월'!$A:$A,$E211)-SUMIFS('RAW_유기농_10월'!$H:$H,'RAW_유기농_10월'!$D:$D,$C211,'RAW_유기농_10월'!$A:$A,$E211)))</f>
        <v/>
      </c>
      <c r="S211" s="17" t="str">
        <f t="shared" si="4"/>
        <v/>
      </c>
      <c r="T211" s="17" t="str">
        <f t="shared" si="5"/>
        <v/>
      </c>
      <c r="U211" s="7">
        <f>IF($C211="",0,IF('설정'!$B$4=0,0,CHOOSE('설정'!$B$4,COUNTIFS('RAW_유기농_7월'!$D:$D,$C211,'RAW_유기농_7월'!$A:$A,$E211),COUNTIFS('RAW_유기농_8월'!$D:$D,$C211,'RAW_유기농_8월'!$A:$A,$E211),COUNTIFS('RAW_유기농_9월'!$D:$D,$C211,'RAW_유기농_9월'!$A:$A,$E211),COUNTIFS('RAW_유기농_10월'!$D:$D,$C211,'RAW_유기농_10월'!$A:$A,$E211),COUNTIFS('RAW_유기농_11-12월'!$D:$D,$C211,'RAW_유기농_11-12월'!$A:$A,$E211))))</f>
        <v>0</v>
      </c>
    </row>
    <row r="212" ht="15.75" customHeight="1">
      <c r="A212" s="5"/>
      <c r="B212" s="5"/>
      <c r="C212" s="5"/>
      <c r="D212" s="6"/>
      <c r="E212" s="5"/>
      <c r="F212" s="7" t="str">
        <f>IF($C212="","",IF('설정'!$B$4=0,"",CHOOSE('설정'!$B$4,SUMIFS('RAW_유기농_7월'!$F:$F,'RAW_유기농_7월'!$D:$D,$C212,'RAW_유기농_7월'!$A:$A,$E212),SUMIFS('RAW_유기농_8월'!$F:$F,'RAW_유기농_8월'!$D:$D,$C212,'RAW_유기농_8월'!$A:$A,$E212),SUMIFS('RAW_유기농_9월'!$F:$F,'RAW_유기농_9월'!$D:$D,$C212,'RAW_유기농_9월'!$A:$A,$E212),SUMIFS('RAW_유기농_10월'!$F:$F,'RAW_유기농_10월'!$D:$D,$C212,'RAW_유기농_10월'!$A:$A,$E212),SUMIFS('RAW_유기농_11-12월'!$F:$F,'RAW_유기농_11-12월'!$D:$D,$C212,'RAW_유기농_11-12월'!$A:$A,$E212))))</f>
        <v/>
      </c>
      <c r="G212" s="7" t="str">
        <f>IF($C212="","",IF('설정'!$B$4=0,"",CHOOSE('설정'!$B$4,SUMIFS('RAW_유기농_7월'!$G:$G,'RAW_유기농_7월'!$D:$D,$C212,'RAW_유기농_7월'!$A:$A,$E212),SUMIFS('RAW_유기농_8월'!$G:$G,'RAW_유기농_8월'!$D:$D,$C212,'RAW_유기농_8월'!$A:$A,$E212),SUMIFS('RAW_유기농_9월'!$G:$G,'RAW_유기농_9월'!$D:$D,$C212,'RAW_유기농_9월'!$A:$A,$E212),SUMIFS('RAW_유기농_10월'!$G:$G,'RAW_유기농_10월'!$D:$D,$C212,'RAW_유기농_10월'!$A:$A,$E212),SUMIFS('RAW_유기농_11-12월'!$G:$G,'RAW_유기농_11-12월'!$D:$D,$C212,'RAW_유기농_11-12월'!$A:$A,$E212))))</f>
        <v/>
      </c>
      <c r="H212" s="7" t="str">
        <f>IF($C212="","",IF('설정'!$B$4=0,"",CHOOSE('설정'!$B$4,SUMIFS('RAW_유기농_7월'!$H:$H,'RAW_유기농_7월'!$D:$D,$C212,'RAW_유기농_7월'!$A:$A,$E212),SUMIFS('RAW_유기농_8월'!$H:$H,'RAW_유기농_8월'!$D:$D,$C212,'RAW_유기농_8월'!$A:$A,$E212),SUMIFS('RAW_유기농_9월'!$H:$H,'RAW_유기농_9월'!$D:$D,$C212,'RAW_유기농_9월'!$A:$A,$E212),SUMIFS('RAW_유기농_10월'!$H:$H,'RAW_유기농_10월'!$D:$D,$C212,'RAW_유기농_10월'!$A:$A,$E212),SUMIFS('RAW_유기농_11-12월'!$H:$H,'RAW_유기농_11-12월'!$D:$D,$C212,'RAW_유기농_11-12월'!$A:$A,$E212))))</f>
        <v/>
      </c>
      <c r="I212" s="17" t="str">
        <f>IF($C212="","",IF(COUNTIFS('RAW_유기농_7월'!$D:$D,$C212,'RAW_유기농_7월'!$A:$A,$E212)&gt;0,"O",""))</f>
        <v/>
      </c>
      <c r="J212" s="17" t="str">
        <f>IF($C212="","",IF(COUNTIFS('RAW_유기농_8월'!$D:$D,$C212,'RAW_유기농_8월'!$A:$A,$E212)&gt;0,"O",""))</f>
        <v/>
      </c>
      <c r="K212" s="17" t="str">
        <f>IF($C212="","",IF(COUNTIFS('RAW_유기농_9월'!$D:$D,$C212,'RAW_유기농_9월'!$A:$A,$E212)&gt;0,"O",""))</f>
        <v/>
      </c>
      <c r="L212" s="17" t="str">
        <f>IF($C212="","",IF(COUNTIFS('RAW_유기농_10월'!$D:$D,$C212,'RAW_유기농_10월'!$A:$A,$E212)&gt;0,"O",""))</f>
        <v/>
      </c>
      <c r="M212" s="17" t="str">
        <f>IF($C212="","",IF(COUNTIFS('RAW_유기농_11-12월'!$D:$D,$C212,'RAW_유기농_11-12월'!$A:$A,$E212)&gt;0,"O",""))</f>
        <v/>
      </c>
      <c r="N212" s="7" t="str">
        <f>IF($C212="","",IF(COUNTA('RAW_유기농_7월'!$A:$A)&lt;=1,"",SUMIFS('RAW_유기농_7월'!$H:$H,'RAW_유기농_7월'!$D:$D,$C212,'RAW_유기농_7월'!$A:$A,$E212)))</f>
        <v/>
      </c>
      <c r="O212" s="7" t="str">
        <f>IF($C212="","",IF(COUNTA('RAW_유기농_8월'!$A:$A)&lt;=1,"",SUMIFS('RAW_유기농_8월'!$H:$H,'RAW_유기농_8월'!$D:$D,$C212,'RAW_유기농_8월'!$A:$A,$E212)-SUMIFS('RAW_유기농_7월'!$H:$H,'RAW_유기농_7월'!$D:$D,$C212,'RAW_유기농_7월'!$A:$A,$E212)))</f>
        <v/>
      </c>
      <c r="P212" s="7" t="str">
        <f>IF($C212="","",IF(COUNTA('RAW_유기농_9월'!$A:$A)&lt;=1,"",SUMIFS('RAW_유기농_9월'!$H:$H,'RAW_유기농_9월'!$D:$D,$C212,'RAW_유기농_9월'!$A:$A,$E212)-SUMIFS('RAW_유기농_8월'!$H:$H,'RAW_유기농_8월'!$D:$D,$C212,'RAW_유기농_8월'!$A:$A,$E212)))</f>
        <v/>
      </c>
      <c r="Q212" s="7" t="str">
        <f>IF($C212="","",IF(COUNTA('RAW_유기농_10월'!$A:$A)&lt;=1,"",SUMIFS('RAW_유기농_10월'!$H:$H,'RAW_유기농_10월'!$D:$D,$C212,'RAW_유기농_10월'!$A:$A,$E212)-SUMIFS('RAW_유기농_9월'!$H:$H,'RAW_유기농_9월'!$D:$D,$C212,'RAW_유기농_9월'!$A:$A,$E212)))</f>
        <v/>
      </c>
      <c r="R212" s="7" t="str">
        <f>IF($C212="","",IF(COUNTA('RAW_유기농_11-12월'!$A:$A)&lt;=1,"",SUMIFS('RAW_유기농_11-12월'!$H:$H,'RAW_유기농_11-12월'!$D:$D,$C212,'RAW_유기농_11-12월'!$A:$A,$E212)-SUMIFS('RAW_유기농_10월'!$H:$H,'RAW_유기농_10월'!$D:$D,$C212,'RAW_유기농_10월'!$A:$A,$E212)))</f>
        <v/>
      </c>
      <c r="S212" s="17" t="str">
        <f t="shared" si="4"/>
        <v/>
      </c>
      <c r="T212" s="17" t="str">
        <f t="shared" si="5"/>
        <v/>
      </c>
      <c r="U212" s="7">
        <f>IF($C212="",0,IF('설정'!$B$4=0,0,CHOOSE('설정'!$B$4,COUNTIFS('RAW_유기농_7월'!$D:$D,$C212,'RAW_유기농_7월'!$A:$A,$E212),COUNTIFS('RAW_유기농_8월'!$D:$D,$C212,'RAW_유기농_8월'!$A:$A,$E212),COUNTIFS('RAW_유기농_9월'!$D:$D,$C212,'RAW_유기농_9월'!$A:$A,$E212),COUNTIFS('RAW_유기농_10월'!$D:$D,$C212,'RAW_유기농_10월'!$A:$A,$E212),COUNTIFS('RAW_유기농_11-12월'!$D:$D,$C212,'RAW_유기농_11-12월'!$A:$A,$E212))))</f>
        <v>0</v>
      </c>
    </row>
    <row r="213" ht="15.75" customHeight="1">
      <c r="A213" s="5"/>
      <c r="B213" s="5"/>
      <c r="C213" s="5"/>
      <c r="D213" s="6"/>
      <c r="E213" s="5"/>
      <c r="F213" s="7" t="str">
        <f>IF($C213="","",IF('설정'!$B$4=0,"",CHOOSE('설정'!$B$4,SUMIFS('RAW_유기농_7월'!$F:$F,'RAW_유기농_7월'!$D:$D,$C213,'RAW_유기농_7월'!$A:$A,$E213),SUMIFS('RAW_유기농_8월'!$F:$F,'RAW_유기농_8월'!$D:$D,$C213,'RAW_유기농_8월'!$A:$A,$E213),SUMIFS('RAW_유기농_9월'!$F:$F,'RAW_유기농_9월'!$D:$D,$C213,'RAW_유기농_9월'!$A:$A,$E213),SUMIFS('RAW_유기농_10월'!$F:$F,'RAW_유기농_10월'!$D:$D,$C213,'RAW_유기농_10월'!$A:$A,$E213),SUMIFS('RAW_유기농_11-12월'!$F:$F,'RAW_유기농_11-12월'!$D:$D,$C213,'RAW_유기농_11-12월'!$A:$A,$E213))))</f>
        <v/>
      </c>
      <c r="G213" s="7" t="str">
        <f>IF($C213="","",IF('설정'!$B$4=0,"",CHOOSE('설정'!$B$4,SUMIFS('RAW_유기농_7월'!$G:$G,'RAW_유기농_7월'!$D:$D,$C213,'RAW_유기농_7월'!$A:$A,$E213),SUMIFS('RAW_유기농_8월'!$G:$G,'RAW_유기농_8월'!$D:$D,$C213,'RAW_유기농_8월'!$A:$A,$E213),SUMIFS('RAW_유기농_9월'!$G:$G,'RAW_유기농_9월'!$D:$D,$C213,'RAW_유기농_9월'!$A:$A,$E213),SUMIFS('RAW_유기농_10월'!$G:$G,'RAW_유기농_10월'!$D:$D,$C213,'RAW_유기농_10월'!$A:$A,$E213),SUMIFS('RAW_유기농_11-12월'!$G:$G,'RAW_유기농_11-12월'!$D:$D,$C213,'RAW_유기농_11-12월'!$A:$A,$E213))))</f>
        <v/>
      </c>
      <c r="H213" s="7" t="str">
        <f>IF($C213="","",IF('설정'!$B$4=0,"",CHOOSE('설정'!$B$4,SUMIFS('RAW_유기농_7월'!$H:$H,'RAW_유기농_7월'!$D:$D,$C213,'RAW_유기농_7월'!$A:$A,$E213),SUMIFS('RAW_유기농_8월'!$H:$H,'RAW_유기농_8월'!$D:$D,$C213,'RAW_유기농_8월'!$A:$A,$E213),SUMIFS('RAW_유기농_9월'!$H:$H,'RAW_유기농_9월'!$D:$D,$C213,'RAW_유기농_9월'!$A:$A,$E213),SUMIFS('RAW_유기농_10월'!$H:$H,'RAW_유기농_10월'!$D:$D,$C213,'RAW_유기농_10월'!$A:$A,$E213),SUMIFS('RAW_유기농_11-12월'!$H:$H,'RAW_유기농_11-12월'!$D:$D,$C213,'RAW_유기농_11-12월'!$A:$A,$E213))))</f>
        <v/>
      </c>
      <c r="I213" s="17" t="str">
        <f>IF($C213="","",IF(COUNTIFS('RAW_유기농_7월'!$D:$D,$C213,'RAW_유기농_7월'!$A:$A,$E213)&gt;0,"O",""))</f>
        <v/>
      </c>
      <c r="J213" s="17" t="str">
        <f>IF($C213="","",IF(COUNTIFS('RAW_유기농_8월'!$D:$D,$C213,'RAW_유기농_8월'!$A:$A,$E213)&gt;0,"O",""))</f>
        <v/>
      </c>
      <c r="K213" s="17" t="str">
        <f>IF($C213="","",IF(COUNTIFS('RAW_유기농_9월'!$D:$D,$C213,'RAW_유기농_9월'!$A:$A,$E213)&gt;0,"O",""))</f>
        <v/>
      </c>
      <c r="L213" s="17" t="str">
        <f>IF($C213="","",IF(COUNTIFS('RAW_유기농_10월'!$D:$D,$C213,'RAW_유기농_10월'!$A:$A,$E213)&gt;0,"O",""))</f>
        <v/>
      </c>
      <c r="M213" s="17" t="str">
        <f>IF($C213="","",IF(COUNTIFS('RAW_유기농_11-12월'!$D:$D,$C213,'RAW_유기농_11-12월'!$A:$A,$E213)&gt;0,"O",""))</f>
        <v/>
      </c>
      <c r="N213" s="7" t="str">
        <f>IF($C213="","",IF(COUNTA('RAW_유기농_7월'!$A:$A)&lt;=1,"",SUMIFS('RAW_유기농_7월'!$H:$H,'RAW_유기농_7월'!$D:$D,$C213,'RAW_유기농_7월'!$A:$A,$E213)))</f>
        <v/>
      </c>
      <c r="O213" s="7" t="str">
        <f>IF($C213="","",IF(COUNTA('RAW_유기농_8월'!$A:$A)&lt;=1,"",SUMIFS('RAW_유기농_8월'!$H:$H,'RAW_유기농_8월'!$D:$D,$C213,'RAW_유기농_8월'!$A:$A,$E213)-SUMIFS('RAW_유기농_7월'!$H:$H,'RAW_유기농_7월'!$D:$D,$C213,'RAW_유기농_7월'!$A:$A,$E213)))</f>
        <v/>
      </c>
      <c r="P213" s="7" t="str">
        <f>IF($C213="","",IF(COUNTA('RAW_유기농_9월'!$A:$A)&lt;=1,"",SUMIFS('RAW_유기농_9월'!$H:$H,'RAW_유기농_9월'!$D:$D,$C213,'RAW_유기농_9월'!$A:$A,$E213)-SUMIFS('RAW_유기농_8월'!$H:$H,'RAW_유기농_8월'!$D:$D,$C213,'RAW_유기농_8월'!$A:$A,$E213)))</f>
        <v/>
      </c>
      <c r="Q213" s="7" t="str">
        <f>IF($C213="","",IF(COUNTA('RAW_유기농_10월'!$A:$A)&lt;=1,"",SUMIFS('RAW_유기농_10월'!$H:$H,'RAW_유기농_10월'!$D:$D,$C213,'RAW_유기농_10월'!$A:$A,$E213)-SUMIFS('RAW_유기농_9월'!$H:$H,'RAW_유기농_9월'!$D:$D,$C213,'RAW_유기농_9월'!$A:$A,$E213)))</f>
        <v/>
      </c>
      <c r="R213" s="7" t="str">
        <f>IF($C213="","",IF(COUNTA('RAW_유기농_11-12월'!$A:$A)&lt;=1,"",SUMIFS('RAW_유기농_11-12월'!$H:$H,'RAW_유기농_11-12월'!$D:$D,$C213,'RAW_유기농_11-12월'!$A:$A,$E213)-SUMIFS('RAW_유기농_10월'!$H:$H,'RAW_유기농_10월'!$D:$D,$C213,'RAW_유기농_10월'!$A:$A,$E213)))</f>
        <v/>
      </c>
      <c r="S213" s="17" t="str">
        <f t="shared" si="4"/>
        <v/>
      </c>
      <c r="T213" s="17" t="str">
        <f t="shared" si="5"/>
        <v/>
      </c>
      <c r="U213" s="7">
        <f>IF($C213="",0,IF('설정'!$B$4=0,0,CHOOSE('설정'!$B$4,COUNTIFS('RAW_유기농_7월'!$D:$D,$C213,'RAW_유기농_7월'!$A:$A,$E213),COUNTIFS('RAW_유기농_8월'!$D:$D,$C213,'RAW_유기농_8월'!$A:$A,$E213),COUNTIFS('RAW_유기농_9월'!$D:$D,$C213,'RAW_유기농_9월'!$A:$A,$E213),COUNTIFS('RAW_유기농_10월'!$D:$D,$C213,'RAW_유기농_10월'!$A:$A,$E213),COUNTIFS('RAW_유기농_11-12월'!$D:$D,$C213,'RAW_유기농_11-12월'!$A:$A,$E213))))</f>
        <v>0</v>
      </c>
    </row>
    <row r="214" ht="15.75" customHeight="1">
      <c r="A214" s="5"/>
      <c r="B214" s="5"/>
      <c r="C214" s="5"/>
      <c r="D214" s="6"/>
      <c r="E214" s="5"/>
      <c r="F214" s="7" t="str">
        <f>IF($C214="","",IF('설정'!$B$4=0,"",CHOOSE('설정'!$B$4,SUMIFS('RAW_유기농_7월'!$F:$F,'RAW_유기농_7월'!$D:$D,$C214,'RAW_유기농_7월'!$A:$A,$E214),SUMIFS('RAW_유기농_8월'!$F:$F,'RAW_유기농_8월'!$D:$D,$C214,'RAW_유기농_8월'!$A:$A,$E214),SUMIFS('RAW_유기농_9월'!$F:$F,'RAW_유기농_9월'!$D:$D,$C214,'RAW_유기농_9월'!$A:$A,$E214),SUMIFS('RAW_유기농_10월'!$F:$F,'RAW_유기농_10월'!$D:$D,$C214,'RAW_유기농_10월'!$A:$A,$E214),SUMIFS('RAW_유기농_11-12월'!$F:$F,'RAW_유기농_11-12월'!$D:$D,$C214,'RAW_유기농_11-12월'!$A:$A,$E214))))</f>
        <v/>
      </c>
      <c r="G214" s="7" t="str">
        <f>IF($C214="","",IF('설정'!$B$4=0,"",CHOOSE('설정'!$B$4,SUMIFS('RAW_유기농_7월'!$G:$G,'RAW_유기농_7월'!$D:$D,$C214,'RAW_유기농_7월'!$A:$A,$E214),SUMIFS('RAW_유기농_8월'!$G:$G,'RAW_유기농_8월'!$D:$D,$C214,'RAW_유기농_8월'!$A:$A,$E214),SUMIFS('RAW_유기농_9월'!$G:$G,'RAW_유기농_9월'!$D:$D,$C214,'RAW_유기농_9월'!$A:$A,$E214),SUMIFS('RAW_유기농_10월'!$G:$G,'RAW_유기농_10월'!$D:$D,$C214,'RAW_유기농_10월'!$A:$A,$E214),SUMIFS('RAW_유기농_11-12월'!$G:$G,'RAW_유기농_11-12월'!$D:$D,$C214,'RAW_유기농_11-12월'!$A:$A,$E214))))</f>
        <v/>
      </c>
      <c r="H214" s="7" t="str">
        <f>IF($C214="","",IF('설정'!$B$4=0,"",CHOOSE('설정'!$B$4,SUMIFS('RAW_유기농_7월'!$H:$H,'RAW_유기농_7월'!$D:$D,$C214,'RAW_유기농_7월'!$A:$A,$E214),SUMIFS('RAW_유기농_8월'!$H:$H,'RAW_유기농_8월'!$D:$D,$C214,'RAW_유기농_8월'!$A:$A,$E214),SUMIFS('RAW_유기농_9월'!$H:$H,'RAW_유기농_9월'!$D:$D,$C214,'RAW_유기농_9월'!$A:$A,$E214),SUMIFS('RAW_유기농_10월'!$H:$H,'RAW_유기농_10월'!$D:$D,$C214,'RAW_유기농_10월'!$A:$A,$E214),SUMIFS('RAW_유기농_11-12월'!$H:$H,'RAW_유기농_11-12월'!$D:$D,$C214,'RAW_유기농_11-12월'!$A:$A,$E214))))</f>
        <v/>
      </c>
      <c r="I214" s="17" t="str">
        <f>IF($C214="","",IF(COUNTIFS('RAW_유기농_7월'!$D:$D,$C214,'RAW_유기농_7월'!$A:$A,$E214)&gt;0,"O",""))</f>
        <v/>
      </c>
      <c r="J214" s="17" t="str">
        <f>IF($C214="","",IF(COUNTIFS('RAW_유기농_8월'!$D:$D,$C214,'RAW_유기농_8월'!$A:$A,$E214)&gt;0,"O",""))</f>
        <v/>
      </c>
      <c r="K214" s="17" t="str">
        <f>IF($C214="","",IF(COUNTIFS('RAW_유기농_9월'!$D:$D,$C214,'RAW_유기농_9월'!$A:$A,$E214)&gt;0,"O",""))</f>
        <v/>
      </c>
      <c r="L214" s="17" t="str">
        <f>IF($C214="","",IF(COUNTIFS('RAW_유기농_10월'!$D:$D,$C214,'RAW_유기농_10월'!$A:$A,$E214)&gt;0,"O",""))</f>
        <v/>
      </c>
      <c r="M214" s="17" t="str">
        <f>IF($C214="","",IF(COUNTIFS('RAW_유기농_11-12월'!$D:$D,$C214,'RAW_유기농_11-12월'!$A:$A,$E214)&gt;0,"O",""))</f>
        <v/>
      </c>
      <c r="N214" s="7" t="str">
        <f>IF($C214="","",IF(COUNTA('RAW_유기농_7월'!$A:$A)&lt;=1,"",SUMIFS('RAW_유기농_7월'!$H:$H,'RAW_유기농_7월'!$D:$D,$C214,'RAW_유기농_7월'!$A:$A,$E214)))</f>
        <v/>
      </c>
      <c r="O214" s="7" t="str">
        <f>IF($C214="","",IF(COUNTA('RAW_유기농_8월'!$A:$A)&lt;=1,"",SUMIFS('RAW_유기농_8월'!$H:$H,'RAW_유기농_8월'!$D:$D,$C214,'RAW_유기농_8월'!$A:$A,$E214)-SUMIFS('RAW_유기농_7월'!$H:$H,'RAW_유기농_7월'!$D:$D,$C214,'RAW_유기농_7월'!$A:$A,$E214)))</f>
        <v/>
      </c>
      <c r="P214" s="7" t="str">
        <f>IF($C214="","",IF(COUNTA('RAW_유기농_9월'!$A:$A)&lt;=1,"",SUMIFS('RAW_유기농_9월'!$H:$H,'RAW_유기농_9월'!$D:$D,$C214,'RAW_유기농_9월'!$A:$A,$E214)-SUMIFS('RAW_유기농_8월'!$H:$H,'RAW_유기농_8월'!$D:$D,$C214,'RAW_유기농_8월'!$A:$A,$E214)))</f>
        <v/>
      </c>
      <c r="Q214" s="7" t="str">
        <f>IF($C214="","",IF(COUNTA('RAW_유기농_10월'!$A:$A)&lt;=1,"",SUMIFS('RAW_유기농_10월'!$H:$H,'RAW_유기농_10월'!$D:$D,$C214,'RAW_유기농_10월'!$A:$A,$E214)-SUMIFS('RAW_유기농_9월'!$H:$H,'RAW_유기농_9월'!$D:$D,$C214,'RAW_유기농_9월'!$A:$A,$E214)))</f>
        <v/>
      </c>
      <c r="R214" s="7" t="str">
        <f>IF($C214="","",IF(COUNTA('RAW_유기농_11-12월'!$A:$A)&lt;=1,"",SUMIFS('RAW_유기농_11-12월'!$H:$H,'RAW_유기농_11-12월'!$D:$D,$C214,'RAW_유기농_11-12월'!$A:$A,$E214)-SUMIFS('RAW_유기농_10월'!$H:$H,'RAW_유기농_10월'!$D:$D,$C214,'RAW_유기농_10월'!$A:$A,$E214)))</f>
        <v/>
      </c>
      <c r="S214" s="17" t="str">
        <f t="shared" si="4"/>
        <v/>
      </c>
      <c r="T214" s="17" t="str">
        <f t="shared" si="5"/>
        <v/>
      </c>
      <c r="U214" s="7">
        <f>IF($C214="",0,IF('설정'!$B$4=0,0,CHOOSE('설정'!$B$4,COUNTIFS('RAW_유기농_7월'!$D:$D,$C214,'RAW_유기농_7월'!$A:$A,$E214),COUNTIFS('RAW_유기농_8월'!$D:$D,$C214,'RAW_유기농_8월'!$A:$A,$E214),COUNTIFS('RAW_유기농_9월'!$D:$D,$C214,'RAW_유기농_9월'!$A:$A,$E214),COUNTIFS('RAW_유기농_10월'!$D:$D,$C214,'RAW_유기농_10월'!$A:$A,$E214),COUNTIFS('RAW_유기농_11-12월'!$D:$D,$C214,'RAW_유기농_11-12월'!$A:$A,$E214))))</f>
        <v>0</v>
      </c>
    </row>
    <row r="215" ht="15.75" customHeight="1">
      <c r="A215" s="5"/>
      <c r="B215" s="5"/>
      <c r="C215" s="5"/>
      <c r="D215" s="6"/>
      <c r="E215" s="5"/>
      <c r="F215" s="7" t="str">
        <f>IF($C215="","",IF('설정'!$B$4=0,"",CHOOSE('설정'!$B$4,SUMIFS('RAW_유기농_7월'!$F:$F,'RAW_유기농_7월'!$D:$D,$C215,'RAW_유기농_7월'!$A:$A,$E215),SUMIFS('RAW_유기농_8월'!$F:$F,'RAW_유기농_8월'!$D:$D,$C215,'RAW_유기농_8월'!$A:$A,$E215),SUMIFS('RAW_유기농_9월'!$F:$F,'RAW_유기농_9월'!$D:$D,$C215,'RAW_유기농_9월'!$A:$A,$E215),SUMIFS('RAW_유기농_10월'!$F:$F,'RAW_유기농_10월'!$D:$D,$C215,'RAW_유기농_10월'!$A:$A,$E215),SUMIFS('RAW_유기농_11-12월'!$F:$F,'RAW_유기농_11-12월'!$D:$D,$C215,'RAW_유기농_11-12월'!$A:$A,$E215))))</f>
        <v/>
      </c>
      <c r="G215" s="7" t="str">
        <f>IF($C215="","",IF('설정'!$B$4=0,"",CHOOSE('설정'!$B$4,SUMIFS('RAW_유기농_7월'!$G:$G,'RAW_유기농_7월'!$D:$D,$C215,'RAW_유기농_7월'!$A:$A,$E215),SUMIFS('RAW_유기농_8월'!$G:$G,'RAW_유기농_8월'!$D:$D,$C215,'RAW_유기농_8월'!$A:$A,$E215),SUMIFS('RAW_유기농_9월'!$G:$G,'RAW_유기농_9월'!$D:$D,$C215,'RAW_유기농_9월'!$A:$A,$E215),SUMIFS('RAW_유기농_10월'!$G:$G,'RAW_유기농_10월'!$D:$D,$C215,'RAW_유기농_10월'!$A:$A,$E215),SUMIFS('RAW_유기농_11-12월'!$G:$G,'RAW_유기농_11-12월'!$D:$D,$C215,'RAW_유기농_11-12월'!$A:$A,$E215))))</f>
        <v/>
      </c>
      <c r="H215" s="7" t="str">
        <f>IF($C215="","",IF('설정'!$B$4=0,"",CHOOSE('설정'!$B$4,SUMIFS('RAW_유기농_7월'!$H:$H,'RAW_유기농_7월'!$D:$D,$C215,'RAW_유기농_7월'!$A:$A,$E215),SUMIFS('RAW_유기농_8월'!$H:$H,'RAW_유기농_8월'!$D:$D,$C215,'RAW_유기농_8월'!$A:$A,$E215),SUMIFS('RAW_유기농_9월'!$H:$H,'RAW_유기농_9월'!$D:$D,$C215,'RAW_유기농_9월'!$A:$A,$E215),SUMIFS('RAW_유기농_10월'!$H:$H,'RAW_유기농_10월'!$D:$D,$C215,'RAW_유기농_10월'!$A:$A,$E215),SUMIFS('RAW_유기농_11-12월'!$H:$H,'RAW_유기농_11-12월'!$D:$D,$C215,'RAW_유기농_11-12월'!$A:$A,$E215))))</f>
        <v/>
      </c>
      <c r="I215" s="17" t="str">
        <f>IF($C215="","",IF(COUNTIFS('RAW_유기농_7월'!$D:$D,$C215,'RAW_유기농_7월'!$A:$A,$E215)&gt;0,"O",""))</f>
        <v/>
      </c>
      <c r="J215" s="17" t="str">
        <f>IF($C215="","",IF(COUNTIFS('RAW_유기농_8월'!$D:$D,$C215,'RAW_유기농_8월'!$A:$A,$E215)&gt;0,"O",""))</f>
        <v/>
      </c>
      <c r="K215" s="17" t="str">
        <f>IF($C215="","",IF(COUNTIFS('RAW_유기농_9월'!$D:$D,$C215,'RAW_유기농_9월'!$A:$A,$E215)&gt;0,"O",""))</f>
        <v/>
      </c>
      <c r="L215" s="17" t="str">
        <f>IF($C215="","",IF(COUNTIFS('RAW_유기농_10월'!$D:$D,$C215,'RAW_유기농_10월'!$A:$A,$E215)&gt;0,"O",""))</f>
        <v/>
      </c>
      <c r="M215" s="17" t="str">
        <f>IF($C215="","",IF(COUNTIFS('RAW_유기농_11-12월'!$D:$D,$C215,'RAW_유기농_11-12월'!$A:$A,$E215)&gt;0,"O",""))</f>
        <v/>
      </c>
      <c r="N215" s="7" t="str">
        <f>IF($C215="","",IF(COUNTA('RAW_유기농_7월'!$A:$A)&lt;=1,"",SUMIFS('RAW_유기농_7월'!$H:$H,'RAW_유기농_7월'!$D:$D,$C215,'RAW_유기농_7월'!$A:$A,$E215)))</f>
        <v/>
      </c>
      <c r="O215" s="7" t="str">
        <f>IF($C215="","",IF(COUNTA('RAW_유기농_8월'!$A:$A)&lt;=1,"",SUMIFS('RAW_유기농_8월'!$H:$H,'RAW_유기농_8월'!$D:$D,$C215,'RAW_유기농_8월'!$A:$A,$E215)-SUMIFS('RAW_유기농_7월'!$H:$H,'RAW_유기농_7월'!$D:$D,$C215,'RAW_유기농_7월'!$A:$A,$E215)))</f>
        <v/>
      </c>
      <c r="P215" s="7" t="str">
        <f>IF($C215="","",IF(COUNTA('RAW_유기농_9월'!$A:$A)&lt;=1,"",SUMIFS('RAW_유기농_9월'!$H:$H,'RAW_유기농_9월'!$D:$D,$C215,'RAW_유기농_9월'!$A:$A,$E215)-SUMIFS('RAW_유기농_8월'!$H:$H,'RAW_유기농_8월'!$D:$D,$C215,'RAW_유기농_8월'!$A:$A,$E215)))</f>
        <v/>
      </c>
      <c r="Q215" s="7" t="str">
        <f>IF($C215="","",IF(COUNTA('RAW_유기농_10월'!$A:$A)&lt;=1,"",SUMIFS('RAW_유기농_10월'!$H:$H,'RAW_유기농_10월'!$D:$D,$C215,'RAW_유기농_10월'!$A:$A,$E215)-SUMIFS('RAW_유기농_9월'!$H:$H,'RAW_유기농_9월'!$D:$D,$C215,'RAW_유기농_9월'!$A:$A,$E215)))</f>
        <v/>
      </c>
      <c r="R215" s="7" t="str">
        <f>IF($C215="","",IF(COUNTA('RAW_유기농_11-12월'!$A:$A)&lt;=1,"",SUMIFS('RAW_유기농_11-12월'!$H:$H,'RAW_유기농_11-12월'!$D:$D,$C215,'RAW_유기농_11-12월'!$A:$A,$E215)-SUMIFS('RAW_유기농_10월'!$H:$H,'RAW_유기농_10월'!$D:$D,$C215,'RAW_유기농_10월'!$A:$A,$E215)))</f>
        <v/>
      </c>
      <c r="S215" s="17" t="str">
        <f t="shared" si="4"/>
        <v/>
      </c>
      <c r="T215" s="17" t="str">
        <f t="shared" si="5"/>
        <v/>
      </c>
      <c r="U215" s="7">
        <f>IF($C215="",0,IF('설정'!$B$4=0,0,CHOOSE('설정'!$B$4,COUNTIFS('RAW_유기농_7월'!$D:$D,$C215,'RAW_유기농_7월'!$A:$A,$E215),COUNTIFS('RAW_유기농_8월'!$D:$D,$C215,'RAW_유기농_8월'!$A:$A,$E215),COUNTIFS('RAW_유기농_9월'!$D:$D,$C215,'RAW_유기농_9월'!$A:$A,$E215),COUNTIFS('RAW_유기농_10월'!$D:$D,$C215,'RAW_유기농_10월'!$A:$A,$E215),COUNTIFS('RAW_유기농_11-12월'!$D:$D,$C215,'RAW_유기농_11-12월'!$A:$A,$E215))))</f>
        <v>0</v>
      </c>
    </row>
    <row r="216" ht="15.75" customHeight="1">
      <c r="A216" s="5"/>
      <c r="B216" s="5"/>
      <c r="C216" s="5"/>
      <c r="D216" s="6"/>
      <c r="E216" s="5"/>
      <c r="F216" s="7" t="str">
        <f>IF($C216="","",IF('설정'!$B$4=0,"",CHOOSE('설정'!$B$4,SUMIFS('RAW_유기농_7월'!$F:$F,'RAW_유기농_7월'!$D:$D,$C216,'RAW_유기농_7월'!$A:$A,$E216),SUMIFS('RAW_유기농_8월'!$F:$F,'RAW_유기농_8월'!$D:$D,$C216,'RAW_유기농_8월'!$A:$A,$E216),SUMIFS('RAW_유기농_9월'!$F:$F,'RAW_유기농_9월'!$D:$D,$C216,'RAW_유기농_9월'!$A:$A,$E216),SUMIFS('RAW_유기농_10월'!$F:$F,'RAW_유기농_10월'!$D:$D,$C216,'RAW_유기농_10월'!$A:$A,$E216),SUMIFS('RAW_유기농_11-12월'!$F:$F,'RAW_유기농_11-12월'!$D:$D,$C216,'RAW_유기농_11-12월'!$A:$A,$E216))))</f>
        <v/>
      </c>
      <c r="G216" s="7" t="str">
        <f>IF($C216="","",IF('설정'!$B$4=0,"",CHOOSE('설정'!$B$4,SUMIFS('RAW_유기농_7월'!$G:$G,'RAW_유기농_7월'!$D:$D,$C216,'RAW_유기농_7월'!$A:$A,$E216),SUMIFS('RAW_유기농_8월'!$G:$G,'RAW_유기농_8월'!$D:$D,$C216,'RAW_유기농_8월'!$A:$A,$E216),SUMIFS('RAW_유기농_9월'!$G:$G,'RAW_유기농_9월'!$D:$D,$C216,'RAW_유기농_9월'!$A:$A,$E216),SUMIFS('RAW_유기농_10월'!$G:$G,'RAW_유기농_10월'!$D:$D,$C216,'RAW_유기농_10월'!$A:$A,$E216),SUMIFS('RAW_유기농_11-12월'!$G:$G,'RAW_유기농_11-12월'!$D:$D,$C216,'RAW_유기농_11-12월'!$A:$A,$E216))))</f>
        <v/>
      </c>
      <c r="H216" s="7" t="str">
        <f>IF($C216="","",IF('설정'!$B$4=0,"",CHOOSE('설정'!$B$4,SUMIFS('RAW_유기농_7월'!$H:$H,'RAW_유기농_7월'!$D:$D,$C216,'RAW_유기농_7월'!$A:$A,$E216),SUMIFS('RAW_유기농_8월'!$H:$H,'RAW_유기농_8월'!$D:$D,$C216,'RAW_유기농_8월'!$A:$A,$E216),SUMIFS('RAW_유기농_9월'!$H:$H,'RAW_유기농_9월'!$D:$D,$C216,'RAW_유기농_9월'!$A:$A,$E216),SUMIFS('RAW_유기농_10월'!$H:$H,'RAW_유기농_10월'!$D:$D,$C216,'RAW_유기농_10월'!$A:$A,$E216),SUMIFS('RAW_유기농_11-12월'!$H:$H,'RAW_유기농_11-12월'!$D:$D,$C216,'RAW_유기농_11-12월'!$A:$A,$E216))))</f>
        <v/>
      </c>
      <c r="I216" s="17" t="str">
        <f>IF($C216="","",IF(COUNTIFS('RAW_유기농_7월'!$D:$D,$C216,'RAW_유기농_7월'!$A:$A,$E216)&gt;0,"O",""))</f>
        <v/>
      </c>
      <c r="J216" s="17" t="str">
        <f>IF($C216="","",IF(COUNTIFS('RAW_유기농_8월'!$D:$D,$C216,'RAW_유기농_8월'!$A:$A,$E216)&gt;0,"O",""))</f>
        <v/>
      </c>
      <c r="K216" s="17" t="str">
        <f>IF($C216="","",IF(COUNTIFS('RAW_유기농_9월'!$D:$D,$C216,'RAW_유기농_9월'!$A:$A,$E216)&gt;0,"O",""))</f>
        <v/>
      </c>
      <c r="L216" s="17" t="str">
        <f>IF($C216="","",IF(COUNTIFS('RAW_유기농_10월'!$D:$D,$C216,'RAW_유기농_10월'!$A:$A,$E216)&gt;0,"O",""))</f>
        <v/>
      </c>
      <c r="M216" s="17" t="str">
        <f>IF($C216="","",IF(COUNTIFS('RAW_유기농_11-12월'!$D:$D,$C216,'RAW_유기농_11-12월'!$A:$A,$E216)&gt;0,"O",""))</f>
        <v/>
      </c>
      <c r="N216" s="7" t="str">
        <f>IF($C216="","",IF(COUNTA('RAW_유기농_7월'!$A:$A)&lt;=1,"",SUMIFS('RAW_유기농_7월'!$H:$H,'RAW_유기농_7월'!$D:$D,$C216,'RAW_유기농_7월'!$A:$A,$E216)))</f>
        <v/>
      </c>
      <c r="O216" s="7" t="str">
        <f>IF($C216="","",IF(COUNTA('RAW_유기농_8월'!$A:$A)&lt;=1,"",SUMIFS('RAW_유기농_8월'!$H:$H,'RAW_유기농_8월'!$D:$D,$C216,'RAW_유기농_8월'!$A:$A,$E216)-SUMIFS('RAW_유기농_7월'!$H:$H,'RAW_유기농_7월'!$D:$D,$C216,'RAW_유기농_7월'!$A:$A,$E216)))</f>
        <v/>
      </c>
      <c r="P216" s="7" t="str">
        <f>IF($C216="","",IF(COUNTA('RAW_유기농_9월'!$A:$A)&lt;=1,"",SUMIFS('RAW_유기농_9월'!$H:$H,'RAW_유기농_9월'!$D:$D,$C216,'RAW_유기농_9월'!$A:$A,$E216)-SUMIFS('RAW_유기농_8월'!$H:$H,'RAW_유기농_8월'!$D:$D,$C216,'RAW_유기농_8월'!$A:$A,$E216)))</f>
        <v/>
      </c>
      <c r="Q216" s="7" t="str">
        <f>IF($C216="","",IF(COUNTA('RAW_유기농_10월'!$A:$A)&lt;=1,"",SUMIFS('RAW_유기농_10월'!$H:$H,'RAW_유기농_10월'!$D:$D,$C216,'RAW_유기농_10월'!$A:$A,$E216)-SUMIFS('RAW_유기농_9월'!$H:$H,'RAW_유기농_9월'!$D:$D,$C216,'RAW_유기농_9월'!$A:$A,$E216)))</f>
        <v/>
      </c>
      <c r="R216" s="7" t="str">
        <f>IF($C216="","",IF(COUNTA('RAW_유기농_11-12월'!$A:$A)&lt;=1,"",SUMIFS('RAW_유기농_11-12월'!$H:$H,'RAW_유기농_11-12월'!$D:$D,$C216,'RAW_유기농_11-12월'!$A:$A,$E216)-SUMIFS('RAW_유기농_10월'!$H:$H,'RAW_유기농_10월'!$D:$D,$C216,'RAW_유기농_10월'!$A:$A,$E216)))</f>
        <v/>
      </c>
      <c r="S216" s="17" t="str">
        <f t="shared" si="4"/>
        <v/>
      </c>
      <c r="T216" s="17" t="str">
        <f t="shared" si="5"/>
        <v/>
      </c>
      <c r="U216" s="7">
        <f>IF($C216="",0,IF('설정'!$B$4=0,0,CHOOSE('설정'!$B$4,COUNTIFS('RAW_유기농_7월'!$D:$D,$C216,'RAW_유기농_7월'!$A:$A,$E216),COUNTIFS('RAW_유기농_8월'!$D:$D,$C216,'RAW_유기농_8월'!$A:$A,$E216),COUNTIFS('RAW_유기농_9월'!$D:$D,$C216,'RAW_유기농_9월'!$A:$A,$E216),COUNTIFS('RAW_유기농_10월'!$D:$D,$C216,'RAW_유기농_10월'!$A:$A,$E216),COUNTIFS('RAW_유기농_11-12월'!$D:$D,$C216,'RAW_유기농_11-12월'!$A:$A,$E216))))</f>
        <v>0</v>
      </c>
    </row>
    <row r="217" ht="15.75" customHeight="1">
      <c r="A217" s="5"/>
      <c r="B217" s="5"/>
      <c r="C217" s="5"/>
      <c r="D217" s="6"/>
      <c r="E217" s="5"/>
      <c r="F217" s="7" t="str">
        <f>IF($C217="","",IF('설정'!$B$4=0,"",CHOOSE('설정'!$B$4,SUMIFS('RAW_유기농_7월'!$F:$F,'RAW_유기농_7월'!$D:$D,$C217,'RAW_유기농_7월'!$A:$A,$E217),SUMIFS('RAW_유기농_8월'!$F:$F,'RAW_유기농_8월'!$D:$D,$C217,'RAW_유기농_8월'!$A:$A,$E217),SUMIFS('RAW_유기농_9월'!$F:$F,'RAW_유기농_9월'!$D:$D,$C217,'RAW_유기농_9월'!$A:$A,$E217),SUMIFS('RAW_유기농_10월'!$F:$F,'RAW_유기농_10월'!$D:$D,$C217,'RAW_유기농_10월'!$A:$A,$E217),SUMIFS('RAW_유기농_11-12월'!$F:$F,'RAW_유기농_11-12월'!$D:$D,$C217,'RAW_유기농_11-12월'!$A:$A,$E217))))</f>
        <v/>
      </c>
      <c r="G217" s="7" t="str">
        <f>IF($C217="","",IF('설정'!$B$4=0,"",CHOOSE('설정'!$B$4,SUMIFS('RAW_유기농_7월'!$G:$G,'RAW_유기농_7월'!$D:$D,$C217,'RAW_유기농_7월'!$A:$A,$E217),SUMIFS('RAW_유기농_8월'!$G:$G,'RAW_유기농_8월'!$D:$D,$C217,'RAW_유기농_8월'!$A:$A,$E217),SUMIFS('RAW_유기농_9월'!$G:$G,'RAW_유기농_9월'!$D:$D,$C217,'RAW_유기농_9월'!$A:$A,$E217),SUMIFS('RAW_유기농_10월'!$G:$G,'RAW_유기농_10월'!$D:$D,$C217,'RAW_유기농_10월'!$A:$A,$E217),SUMIFS('RAW_유기농_11-12월'!$G:$G,'RAW_유기농_11-12월'!$D:$D,$C217,'RAW_유기농_11-12월'!$A:$A,$E217))))</f>
        <v/>
      </c>
      <c r="H217" s="7" t="str">
        <f>IF($C217="","",IF('설정'!$B$4=0,"",CHOOSE('설정'!$B$4,SUMIFS('RAW_유기농_7월'!$H:$H,'RAW_유기농_7월'!$D:$D,$C217,'RAW_유기농_7월'!$A:$A,$E217),SUMIFS('RAW_유기농_8월'!$H:$H,'RAW_유기농_8월'!$D:$D,$C217,'RAW_유기농_8월'!$A:$A,$E217),SUMIFS('RAW_유기농_9월'!$H:$H,'RAW_유기농_9월'!$D:$D,$C217,'RAW_유기농_9월'!$A:$A,$E217),SUMIFS('RAW_유기농_10월'!$H:$H,'RAW_유기농_10월'!$D:$D,$C217,'RAW_유기농_10월'!$A:$A,$E217),SUMIFS('RAW_유기농_11-12월'!$H:$H,'RAW_유기농_11-12월'!$D:$D,$C217,'RAW_유기농_11-12월'!$A:$A,$E217))))</f>
        <v/>
      </c>
      <c r="I217" s="17" t="str">
        <f>IF($C217="","",IF(COUNTIFS('RAW_유기농_7월'!$D:$D,$C217,'RAW_유기농_7월'!$A:$A,$E217)&gt;0,"O",""))</f>
        <v/>
      </c>
      <c r="J217" s="17" t="str">
        <f>IF($C217="","",IF(COUNTIFS('RAW_유기농_8월'!$D:$D,$C217,'RAW_유기농_8월'!$A:$A,$E217)&gt;0,"O",""))</f>
        <v/>
      </c>
      <c r="K217" s="17" t="str">
        <f>IF($C217="","",IF(COUNTIFS('RAW_유기농_9월'!$D:$D,$C217,'RAW_유기농_9월'!$A:$A,$E217)&gt;0,"O",""))</f>
        <v/>
      </c>
      <c r="L217" s="17" t="str">
        <f>IF($C217="","",IF(COUNTIFS('RAW_유기농_10월'!$D:$D,$C217,'RAW_유기농_10월'!$A:$A,$E217)&gt;0,"O",""))</f>
        <v/>
      </c>
      <c r="M217" s="17" t="str">
        <f>IF($C217="","",IF(COUNTIFS('RAW_유기농_11-12월'!$D:$D,$C217,'RAW_유기농_11-12월'!$A:$A,$E217)&gt;0,"O",""))</f>
        <v/>
      </c>
      <c r="N217" s="7" t="str">
        <f>IF($C217="","",IF(COUNTA('RAW_유기농_7월'!$A:$A)&lt;=1,"",SUMIFS('RAW_유기농_7월'!$H:$H,'RAW_유기농_7월'!$D:$D,$C217,'RAW_유기농_7월'!$A:$A,$E217)))</f>
        <v/>
      </c>
      <c r="O217" s="7" t="str">
        <f>IF($C217="","",IF(COUNTA('RAW_유기농_8월'!$A:$A)&lt;=1,"",SUMIFS('RAW_유기농_8월'!$H:$H,'RAW_유기농_8월'!$D:$D,$C217,'RAW_유기농_8월'!$A:$A,$E217)-SUMIFS('RAW_유기농_7월'!$H:$H,'RAW_유기농_7월'!$D:$D,$C217,'RAW_유기농_7월'!$A:$A,$E217)))</f>
        <v/>
      </c>
      <c r="P217" s="7" t="str">
        <f>IF($C217="","",IF(COUNTA('RAW_유기농_9월'!$A:$A)&lt;=1,"",SUMIFS('RAW_유기농_9월'!$H:$H,'RAW_유기농_9월'!$D:$D,$C217,'RAW_유기농_9월'!$A:$A,$E217)-SUMIFS('RAW_유기농_8월'!$H:$H,'RAW_유기농_8월'!$D:$D,$C217,'RAW_유기농_8월'!$A:$A,$E217)))</f>
        <v/>
      </c>
      <c r="Q217" s="7" t="str">
        <f>IF($C217="","",IF(COUNTA('RAW_유기농_10월'!$A:$A)&lt;=1,"",SUMIFS('RAW_유기농_10월'!$H:$H,'RAW_유기농_10월'!$D:$D,$C217,'RAW_유기농_10월'!$A:$A,$E217)-SUMIFS('RAW_유기농_9월'!$H:$H,'RAW_유기농_9월'!$D:$D,$C217,'RAW_유기농_9월'!$A:$A,$E217)))</f>
        <v/>
      </c>
      <c r="R217" s="7" t="str">
        <f>IF($C217="","",IF(COUNTA('RAW_유기농_11-12월'!$A:$A)&lt;=1,"",SUMIFS('RAW_유기농_11-12월'!$H:$H,'RAW_유기농_11-12월'!$D:$D,$C217,'RAW_유기농_11-12월'!$A:$A,$E217)-SUMIFS('RAW_유기농_10월'!$H:$H,'RAW_유기농_10월'!$D:$D,$C217,'RAW_유기농_10월'!$A:$A,$E217)))</f>
        <v/>
      </c>
      <c r="S217" s="17" t="str">
        <f t="shared" si="4"/>
        <v/>
      </c>
      <c r="T217" s="17" t="str">
        <f t="shared" si="5"/>
        <v/>
      </c>
      <c r="U217" s="7">
        <f>IF($C217="",0,IF('설정'!$B$4=0,0,CHOOSE('설정'!$B$4,COUNTIFS('RAW_유기농_7월'!$D:$D,$C217,'RAW_유기농_7월'!$A:$A,$E217),COUNTIFS('RAW_유기농_8월'!$D:$D,$C217,'RAW_유기농_8월'!$A:$A,$E217),COUNTIFS('RAW_유기농_9월'!$D:$D,$C217,'RAW_유기농_9월'!$A:$A,$E217),COUNTIFS('RAW_유기농_10월'!$D:$D,$C217,'RAW_유기농_10월'!$A:$A,$E217),COUNTIFS('RAW_유기농_11-12월'!$D:$D,$C217,'RAW_유기농_11-12월'!$A:$A,$E217))))</f>
        <v>0</v>
      </c>
    </row>
    <row r="218" ht="15.75" customHeight="1">
      <c r="A218" s="5"/>
      <c r="B218" s="5"/>
      <c r="C218" s="5"/>
      <c r="D218" s="6"/>
      <c r="E218" s="5"/>
      <c r="F218" s="7" t="str">
        <f>IF($C218="","",IF('설정'!$B$4=0,"",CHOOSE('설정'!$B$4,SUMIFS('RAW_유기농_7월'!$F:$F,'RAW_유기농_7월'!$D:$D,$C218,'RAW_유기농_7월'!$A:$A,$E218),SUMIFS('RAW_유기농_8월'!$F:$F,'RAW_유기농_8월'!$D:$D,$C218,'RAW_유기농_8월'!$A:$A,$E218),SUMIFS('RAW_유기농_9월'!$F:$F,'RAW_유기농_9월'!$D:$D,$C218,'RAW_유기농_9월'!$A:$A,$E218),SUMIFS('RAW_유기농_10월'!$F:$F,'RAW_유기농_10월'!$D:$D,$C218,'RAW_유기농_10월'!$A:$A,$E218),SUMIFS('RAW_유기농_11-12월'!$F:$F,'RAW_유기농_11-12월'!$D:$D,$C218,'RAW_유기농_11-12월'!$A:$A,$E218))))</f>
        <v/>
      </c>
      <c r="G218" s="7" t="str">
        <f>IF($C218="","",IF('설정'!$B$4=0,"",CHOOSE('설정'!$B$4,SUMIFS('RAW_유기농_7월'!$G:$G,'RAW_유기농_7월'!$D:$D,$C218,'RAW_유기농_7월'!$A:$A,$E218),SUMIFS('RAW_유기농_8월'!$G:$G,'RAW_유기농_8월'!$D:$D,$C218,'RAW_유기농_8월'!$A:$A,$E218),SUMIFS('RAW_유기농_9월'!$G:$G,'RAW_유기농_9월'!$D:$D,$C218,'RAW_유기농_9월'!$A:$A,$E218),SUMIFS('RAW_유기농_10월'!$G:$G,'RAW_유기농_10월'!$D:$D,$C218,'RAW_유기농_10월'!$A:$A,$E218),SUMIFS('RAW_유기농_11-12월'!$G:$G,'RAW_유기농_11-12월'!$D:$D,$C218,'RAW_유기농_11-12월'!$A:$A,$E218))))</f>
        <v/>
      </c>
      <c r="H218" s="7" t="str">
        <f>IF($C218="","",IF('설정'!$B$4=0,"",CHOOSE('설정'!$B$4,SUMIFS('RAW_유기농_7월'!$H:$H,'RAW_유기농_7월'!$D:$D,$C218,'RAW_유기농_7월'!$A:$A,$E218),SUMIFS('RAW_유기농_8월'!$H:$H,'RAW_유기농_8월'!$D:$D,$C218,'RAW_유기농_8월'!$A:$A,$E218),SUMIFS('RAW_유기농_9월'!$H:$H,'RAW_유기농_9월'!$D:$D,$C218,'RAW_유기농_9월'!$A:$A,$E218),SUMIFS('RAW_유기농_10월'!$H:$H,'RAW_유기농_10월'!$D:$D,$C218,'RAW_유기농_10월'!$A:$A,$E218),SUMIFS('RAW_유기농_11-12월'!$H:$H,'RAW_유기농_11-12월'!$D:$D,$C218,'RAW_유기농_11-12월'!$A:$A,$E218))))</f>
        <v/>
      </c>
      <c r="I218" s="17" t="str">
        <f>IF($C218="","",IF(COUNTIFS('RAW_유기농_7월'!$D:$D,$C218,'RAW_유기농_7월'!$A:$A,$E218)&gt;0,"O",""))</f>
        <v/>
      </c>
      <c r="J218" s="17" t="str">
        <f>IF($C218="","",IF(COUNTIFS('RAW_유기농_8월'!$D:$D,$C218,'RAW_유기농_8월'!$A:$A,$E218)&gt;0,"O",""))</f>
        <v/>
      </c>
      <c r="K218" s="17" t="str">
        <f>IF($C218="","",IF(COUNTIFS('RAW_유기농_9월'!$D:$D,$C218,'RAW_유기농_9월'!$A:$A,$E218)&gt;0,"O",""))</f>
        <v/>
      </c>
      <c r="L218" s="17" t="str">
        <f>IF($C218="","",IF(COUNTIFS('RAW_유기농_10월'!$D:$D,$C218,'RAW_유기농_10월'!$A:$A,$E218)&gt;0,"O",""))</f>
        <v/>
      </c>
      <c r="M218" s="17" t="str">
        <f>IF($C218="","",IF(COUNTIFS('RAW_유기농_11-12월'!$D:$D,$C218,'RAW_유기농_11-12월'!$A:$A,$E218)&gt;0,"O",""))</f>
        <v/>
      </c>
      <c r="N218" s="7" t="str">
        <f>IF($C218="","",IF(COUNTA('RAW_유기농_7월'!$A:$A)&lt;=1,"",SUMIFS('RAW_유기농_7월'!$H:$H,'RAW_유기농_7월'!$D:$D,$C218,'RAW_유기농_7월'!$A:$A,$E218)))</f>
        <v/>
      </c>
      <c r="O218" s="7" t="str">
        <f>IF($C218="","",IF(COUNTA('RAW_유기농_8월'!$A:$A)&lt;=1,"",SUMIFS('RAW_유기농_8월'!$H:$H,'RAW_유기농_8월'!$D:$D,$C218,'RAW_유기농_8월'!$A:$A,$E218)-SUMIFS('RAW_유기농_7월'!$H:$H,'RAW_유기농_7월'!$D:$D,$C218,'RAW_유기농_7월'!$A:$A,$E218)))</f>
        <v/>
      </c>
      <c r="P218" s="7" t="str">
        <f>IF($C218="","",IF(COUNTA('RAW_유기농_9월'!$A:$A)&lt;=1,"",SUMIFS('RAW_유기농_9월'!$H:$H,'RAW_유기농_9월'!$D:$D,$C218,'RAW_유기농_9월'!$A:$A,$E218)-SUMIFS('RAW_유기농_8월'!$H:$H,'RAW_유기농_8월'!$D:$D,$C218,'RAW_유기농_8월'!$A:$A,$E218)))</f>
        <v/>
      </c>
      <c r="Q218" s="7" t="str">
        <f>IF($C218="","",IF(COUNTA('RAW_유기농_10월'!$A:$A)&lt;=1,"",SUMIFS('RAW_유기농_10월'!$H:$H,'RAW_유기농_10월'!$D:$D,$C218,'RAW_유기농_10월'!$A:$A,$E218)-SUMIFS('RAW_유기농_9월'!$H:$H,'RAW_유기농_9월'!$D:$D,$C218,'RAW_유기농_9월'!$A:$A,$E218)))</f>
        <v/>
      </c>
      <c r="R218" s="7" t="str">
        <f>IF($C218="","",IF(COUNTA('RAW_유기농_11-12월'!$A:$A)&lt;=1,"",SUMIFS('RAW_유기농_11-12월'!$H:$H,'RAW_유기농_11-12월'!$D:$D,$C218,'RAW_유기농_11-12월'!$A:$A,$E218)-SUMIFS('RAW_유기농_10월'!$H:$H,'RAW_유기농_10월'!$D:$D,$C218,'RAW_유기농_10월'!$A:$A,$E218)))</f>
        <v/>
      </c>
      <c r="S218" s="17" t="str">
        <f t="shared" si="4"/>
        <v/>
      </c>
      <c r="T218" s="17" t="str">
        <f t="shared" si="5"/>
        <v/>
      </c>
      <c r="U218" s="7">
        <f>IF($C218="",0,IF('설정'!$B$4=0,0,CHOOSE('설정'!$B$4,COUNTIFS('RAW_유기농_7월'!$D:$D,$C218,'RAW_유기농_7월'!$A:$A,$E218),COUNTIFS('RAW_유기농_8월'!$D:$D,$C218,'RAW_유기농_8월'!$A:$A,$E218),COUNTIFS('RAW_유기농_9월'!$D:$D,$C218,'RAW_유기농_9월'!$A:$A,$E218),COUNTIFS('RAW_유기농_10월'!$D:$D,$C218,'RAW_유기농_10월'!$A:$A,$E218),COUNTIFS('RAW_유기농_11-12월'!$D:$D,$C218,'RAW_유기농_11-12월'!$A:$A,$E218))))</f>
        <v>0</v>
      </c>
    </row>
    <row r="219" ht="15.75" customHeight="1">
      <c r="A219" s="5"/>
      <c r="B219" s="5"/>
      <c r="C219" s="5"/>
      <c r="D219" s="6"/>
      <c r="E219" s="5"/>
      <c r="F219" s="7" t="str">
        <f>IF($C219="","",IF('설정'!$B$4=0,"",CHOOSE('설정'!$B$4,SUMIFS('RAW_유기농_7월'!$F:$F,'RAW_유기농_7월'!$D:$D,$C219,'RAW_유기농_7월'!$A:$A,$E219),SUMIFS('RAW_유기농_8월'!$F:$F,'RAW_유기농_8월'!$D:$D,$C219,'RAW_유기농_8월'!$A:$A,$E219),SUMIFS('RAW_유기농_9월'!$F:$F,'RAW_유기농_9월'!$D:$D,$C219,'RAW_유기농_9월'!$A:$A,$E219),SUMIFS('RAW_유기농_10월'!$F:$F,'RAW_유기농_10월'!$D:$D,$C219,'RAW_유기농_10월'!$A:$A,$E219),SUMIFS('RAW_유기농_11-12월'!$F:$F,'RAW_유기농_11-12월'!$D:$D,$C219,'RAW_유기농_11-12월'!$A:$A,$E219))))</f>
        <v/>
      </c>
      <c r="G219" s="7" t="str">
        <f>IF($C219="","",IF('설정'!$B$4=0,"",CHOOSE('설정'!$B$4,SUMIFS('RAW_유기농_7월'!$G:$G,'RAW_유기농_7월'!$D:$D,$C219,'RAW_유기농_7월'!$A:$A,$E219),SUMIFS('RAW_유기농_8월'!$G:$G,'RAW_유기농_8월'!$D:$D,$C219,'RAW_유기농_8월'!$A:$A,$E219),SUMIFS('RAW_유기농_9월'!$G:$G,'RAW_유기농_9월'!$D:$D,$C219,'RAW_유기농_9월'!$A:$A,$E219),SUMIFS('RAW_유기농_10월'!$G:$G,'RAW_유기농_10월'!$D:$D,$C219,'RAW_유기농_10월'!$A:$A,$E219),SUMIFS('RAW_유기농_11-12월'!$G:$G,'RAW_유기농_11-12월'!$D:$D,$C219,'RAW_유기농_11-12월'!$A:$A,$E219))))</f>
        <v/>
      </c>
      <c r="H219" s="7" t="str">
        <f>IF($C219="","",IF('설정'!$B$4=0,"",CHOOSE('설정'!$B$4,SUMIFS('RAW_유기농_7월'!$H:$H,'RAW_유기농_7월'!$D:$D,$C219,'RAW_유기농_7월'!$A:$A,$E219),SUMIFS('RAW_유기농_8월'!$H:$H,'RAW_유기농_8월'!$D:$D,$C219,'RAW_유기농_8월'!$A:$A,$E219),SUMIFS('RAW_유기농_9월'!$H:$H,'RAW_유기농_9월'!$D:$D,$C219,'RAW_유기농_9월'!$A:$A,$E219),SUMIFS('RAW_유기농_10월'!$H:$H,'RAW_유기농_10월'!$D:$D,$C219,'RAW_유기농_10월'!$A:$A,$E219),SUMIFS('RAW_유기농_11-12월'!$H:$H,'RAW_유기농_11-12월'!$D:$D,$C219,'RAW_유기농_11-12월'!$A:$A,$E219))))</f>
        <v/>
      </c>
      <c r="I219" s="17" t="str">
        <f>IF($C219="","",IF(COUNTIFS('RAW_유기농_7월'!$D:$D,$C219,'RAW_유기농_7월'!$A:$A,$E219)&gt;0,"O",""))</f>
        <v/>
      </c>
      <c r="J219" s="17" t="str">
        <f>IF($C219="","",IF(COUNTIFS('RAW_유기농_8월'!$D:$D,$C219,'RAW_유기농_8월'!$A:$A,$E219)&gt;0,"O",""))</f>
        <v/>
      </c>
      <c r="K219" s="17" t="str">
        <f>IF($C219="","",IF(COUNTIFS('RAW_유기농_9월'!$D:$D,$C219,'RAW_유기농_9월'!$A:$A,$E219)&gt;0,"O",""))</f>
        <v/>
      </c>
      <c r="L219" s="17" t="str">
        <f>IF($C219="","",IF(COUNTIFS('RAW_유기농_10월'!$D:$D,$C219,'RAW_유기농_10월'!$A:$A,$E219)&gt;0,"O",""))</f>
        <v/>
      </c>
      <c r="M219" s="17" t="str">
        <f>IF($C219="","",IF(COUNTIFS('RAW_유기농_11-12월'!$D:$D,$C219,'RAW_유기농_11-12월'!$A:$A,$E219)&gt;0,"O",""))</f>
        <v/>
      </c>
      <c r="N219" s="7" t="str">
        <f>IF($C219="","",IF(COUNTA('RAW_유기농_7월'!$A:$A)&lt;=1,"",SUMIFS('RAW_유기농_7월'!$H:$H,'RAW_유기농_7월'!$D:$D,$C219,'RAW_유기농_7월'!$A:$A,$E219)))</f>
        <v/>
      </c>
      <c r="O219" s="7" t="str">
        <f>IF($C219="","",IF(COUNTA('RAW_유기농_8월'!$A:$A)&lt;=1,"",SUMIFS('RAW_유기농_8월'!$H:$H,'RAW_유기농_8월'!$D:$D,$C219,'RAW_유기농_8월'!$A:$A,$E219)-SUMIFS('RAW_유기농_7월'!$H:$H,'RAW_유기농_7월'!$D:$D,$C219,'RAW_유기농_7월'!$A:$A,$E219)))</f>
        <v/>
      </c>
      <c r="P219" s="7" t="str">
        <f>IF($C219="","",IF(COUNTA('RAW_유기농_9월'!$A:$A)&lt;=1,"",SUMIFS('RAW_유기농_9월'!$H:$H,'RAW_유기농_9월'!$D:$D,$C219,'RAW_유기농_9월'!$A:$A,$E219)-SUMIFS('RAW_유기농_8월'!$H:$H,'RAW_유기농_8월'!$D:$D,$C219,'RAW_유기농_8월'!$A:$A,$E219)))</f>
        <v/>
      </c>
      <c r="Q219" s="7" t="str">
        <f>IF($C219="","",IF(COUNTA('RAW_유기농_10월'!$A:$A)&lt;=1,"",SUMIFS('RAW_유기농_10월'!$H:$H,'RAW_유기농_10월'!$D:$D,$C219,'RAW_유기농_10월'!$A:$A,$E219)-SUMIFS('RAW_유기농_9월'!$H:$H,'RAW_유기농_9월'!$D:$D,$C219,'RAW_유기농_9월'!$A:$A,$E219)))</f>
        <v/>
      </c>
      <c r="R219" s="7" t="str">
        <f>IF($C219="","",IF(COUNTA('RAW_유기농_11-12월'!$A:$A)&lt;=1,"",SUMIFS('RAW_유기농_11-12월'!$H:$H,'RAW_유기농_11-12월'!$D:$D,$C219,'RAW_유기농_11-12월'!$A:$A,$E219)-SUMIFS('RAW_유기농_10월'!$H:$H,'RAW_유기농_10월'!$D:$D,$C219,'RAW_유기농_10월'!$A:$A,$E219)))</f>
        <v/>
      </c>
      <c r="S219" s="17" t="str">
        <f t="shared" si="4"/>
        <v/>
      </c>
      <c r="T219" s="17" t="str">
        <f t="shared" si="5"/>
        <v/>
      </c>
      <c r="U219" s="7">
        <f>IF($C219="",0,IF('설정'!$B$4=0,0,CHOOSE('설정'!$B$4,COUNTIFS('RAW_유기농_7월'!$D:$D,$C219,'RAW_유기농_7월'!$A:$A,$E219),COUNTIFS('RAW_유기농_8월'!$D:$D,$C219,'RAW_유기농_8월'!$A:$A,$E219),COUNTIFS('RAW_유기농_9월'!$D:$D,$C219,'RAW_유기농_9월'!$A:$A,$E219),COUNTIFS('RAW_유기농_10월'!$D:$D,$C219,'RAW_유기농_10월'!$A:$A,$E219),COUNTIFS('RAW_유기농_11-12월'!$D:$D,$C219,'RAW_유기농_11-12월'!$A:$A,$E219))))</f>
        <v>0</v>
      </c>
    </row>
    <row r="220" ht="15.75" customHeight="1">
      <c r="A220" s="5"/>
      <c r="B220" s="5"/>
      <c r="C220" s="5"/>
      <c r="D220" s="6"/>
      <c r="E220" s="5"/>
      <c r="F220" s="7" t="str">
        <f>IF($C220="","",IF('설정'!$B$4=0,"",CHOOSE('설정'!$B$4,SUMIFS('RAW_유기농_7월'!$F:$F,'RAW_유기농_7월'!$D:$D,$C220,'RAW_유기농_7월'!$A:$A,$E220),SUMIFS('RAW_유기농_8월'!$F:$F,'RAW_유기농_8월'!$D:$D,$C220,'RAW_유기농_8월'!$A:$A,$E220),SUMIFS('RAW_유기농_9월'!$F:$F,'RAW_유기농_9월'!$D:$D,$C220,'RAW_유기농_9월'!$A:$A,$E220),SUMIFS('RAW_유기농_10월'!$F:$F,'RAW_유기농_10월'!$D:$D,$C220,'RAW_유기농_10월'!$A:$A,$E220),SUMIFS('RAW_유기농_11-12월'!$F:$F,'RAW_유기농_11-12월'!$D:$D,$C220,'RAW_유기농_11-12월'!$A:$A,$E220))))</f>
        <v/>
      </c>
      <c r="G220" s="7" t="str">
        <f>IF($C220="","",IF('설정'!$B$4=0,"",CHOOSE('설정'!$B$4,SUMIFS('RAW_유기농_7월'!$G:$G,'RAW_유기농_7월'!$D:$D,$C220,'RAW_유기농_7월'!$A:$A,$E220),SUMIFS('RAW_유기농_8월'!$G:$G,'RAW_유기농_8월'!$D:$D,$C220,'RAW_유기농_8월'!$A:$A,$E220),SUMIFS('RAW_유기농_9월'!$G:$G,'RAW_유기농_9월'!$D:$D,$C220,'RAW_유기농_9월'!$A:$A,$E220),SUMIFS('RAW_유기농_10월'!$G:$G,'RAW_유기농_10월'!$D:$D,$C220,'RAW_유기농_10월'!$A:$A,$E220),SUMIFS('RAW_유기농_11-12월'!$G:$G,'RAW_유기농_11-12월'!$D:$D,$C220,'RAW_유기농_11-12월'!$A:$A,$E220))))</f>
        <v/>
      </c>
      <c r="H220" s="7" t="str">
        <f>IF($C220="","",IF('설정'!$B$4=0,"",CHOOSE('설정'!$B$4,SUMIFS('RAW_유기농_7월'!$H:$H,'RAW_유기농_7월'!$D:$D,$C220,'RAW_유기농_7월'!$A:$A,$E220),SUMIFS('RAW_유기농_8월'!$H:$H,'RAW_유기농_8월'!$D:$D,$C220,'RAW_유기농_8월'!$A:$A,$E220),SUMIFS('RAW_유기농_9월'!$H:$H,'RAW_유기농_9월'!$D:$D,$C220,'RAW_유기농_9월'!$A:$A,$E220),SUMIFS('RAW_유기농_10월'!$H:$H,'RAW_유기농_10월'!$D:$D,$C220,'RAW_유기농_10월'!$A:$A,$E220),SUMIFS('RAW_유기농_11-12월'!$H:$H,'RAW_유기농_11-12월'!$D:$D,$C220,'RAW_유기농_11-12월'!$A:$A,$E220))))</f>
        <v/>
      </c>
      <c r="I220" s="17" t="str">
        <f>IF($C220="","",IF(COUNTIFS('RAW_유기농_7월'!$D:$D,$C220,'RAW_유기농_7월'!$A:$A,$E220)&gt;0,"O",""))</f>
        <v/>
      </c>
      <c r="J220" s="17" t="str">
        <f>IF($C220="","",IF(COUNTIFS('RAW_유기농_8월'!$D:$D,$C220,'RAW_유기농_8월'!$A:$A,$E220)&gt;0,"O",""))</f>
        <v/>
      </c>
      <c r="K220" s="17" t="str">
        <f>IF($C220="","",IF(COUNTIFS('RAW_유기농_9월'!$D:$D,$C220,'RAW_유기농_9월'!$A:$A,$E220)&gt;0,"O",""))</f>
        <v/>
      </c>
      <c r="L220" s="17" t="str">
        <f>IF($C220="","",IF(COUNTIFS('RAW_유기농_10월'!$D:$D,$C220,'RAW_유기농_10월'!$A:$A,$E220)&gt;0,"O",""))</f>
        <v/>
      </c>
      <c r="M220" s="17" t="str">
        <f>IF($C220="","",IF(COUNTIFS('RAW_유기농_11-12월'!$D:$D,$C220,'RAW_유기농_11-12월'!$A:$A,$E220)&gt;0,"O",""))</f>
        <v/>
      </c>
      <c r="N220" s="7" t="str">
        <f>IF($C220="","",IF(COUNTA('RAW_유기농_7월'!$A:$A)&lt;=1,"",SUMIFS('RAW_유기농_7월'!$H:$H,'RAW_유기농_7월'!$D:$D,$C220,'RAW_유기농_7월'!$A:$A,$E220)))</f>
        <v/>
      </c>
      <c r="O220" s="7" t="str">
        <f>IF($C220="","",IF(COUNTA('RAW_유기농_8월'!$A:$A)&lt;=1,"",SUMIFS('RAW_유기농_8월'!$H:$H,'RAW_유기농_8월'!$D:$D,$C220,'RAW_유기농_8월'!$A:$A,$E220)-SUMIFS('RAW_유기농_7월'!$H:$H,'RAW_유기농_7월'!$D:$D,$C220,'RAW_유기농_7월'!$A:$A,$E220)))</f>
        <v/>
      </c>
      <c r="P220" s="7" t="str">
        <f>IF($C220="","",IF(COUNTA('RAW_유기농_9월'!$A:$A)&lt;=1,"",SUMIFS('RAW_유기농_9월'!$H:$H,'RAW_유기농_9월'!$D:$D,$C220,'RAW_유기농_9월'!$A:$A,$E220)-SUMIFS('RAW_유기농_8월'!$H:$H,'RAW_유기농_8월'!$D:$D,$C220,'RAW_유기농_8월'!$A:$A,$E220)))</f>
        <v/>
      </c>
      <c r="Q220" s="7" t="str">
        <f>IF($C220="","",IF(COUNTA('RAW_유기농_10월'!$A:$A)&lt;=1,"",SUMIFS('RAW_유기농_10월'!$H:$H,'RAW_유기농_10월'!$D:$D,$C220,'RAW_유기농_10월'!$A:$A,$E220)-SUMIFS('RAW_유기농_9월'!$H:$H,'RAW_유기농_9월'!$D:$D,$C220,'RAW_유기농_9월'!$A:$A,$E220)))</f>
        <v/>
      </c>
      <c r="R220" s="7" t="str">
        <f>IF($C220="","",IF(COUNTA('RAW_유기농_11-12월'!$A:$A)&lt;=1,"",SUMIFS('RAW_유기농_11-12월'!$H:$H,'RAW_유기농_11-12월'!$D:$D,$C220,'RAW_유기농_11-12월'!$A:$A,$E220)-SUMIFS('RAW_유기농_10월'!$H:$H,'RAW_유기농_10월'!$D:$D,$C220,'RAW_유기농_10월'!$A:$A,$E220)))</f>
        <v/>
      </c>
      <c r="S220" s="17" t="str">
        <f t="shared" si="4"/>
        <v/>
      </c>
      <c r="T220" s="17" t="str">
        <f t="shared" si="5"/>
        <v/>
      </c>
      <c r="U220" s="7">
        <f>IF($C220="",0,IF('설정'!$B$4=0,0,CHOOSE('설정'!$B$4,COUNTIFS('RAW_유기농_7월'!$D:$D,$C220,'RAW_유기농_7월'!$A:$A,$E220),COUNTIFS('RAW_유기농_8월'!$D:$D,$C220,'RAW_유기농_8월'!$A:$A,$E220),COUNTIFS('RAW_유기농_9월'!$D:$D,$C220,'RAW_유기농_9월'!$A:$A,$E220),COUNTIFS('RAW_유기농_10월'!$D:$D,$C220,'RAW_유기농_10월'!$A:$A,$E220),COUNTIFS('RAW_유기농_11-12월'!$D:$D,$C220,'RAW_유기농_11-12월'!$A:$A,$E220))))</f>
        <v>0</v>
      </c>
    </row>
    <row r="221" ht="15.75" customHeight="1">
      <c r="A221" s="5"/>
      <c r="B221" s="5"/>
      <c r="C221" s="5"/>
      <c r="D221" s="6"/>
      <c r="E221" s="5"/>
      <c r="F221" s="7" t="str">
        <f>IF($C221="","",IF('설정'!$B$4=0,"",CHOOSE('설정'!$B$4,SUMIFS('RAW_유기농_7월'!$F:$F,'RAW_유기농_7월'!$D:$D,$C221,'RAW_유기농_7월'!$A:$A,$E221),SUMIFS('RAW_유기농_8월'!$F:$F,'RAW_유기농_8월'!$D:$D,$C221,'RAW_유기농_8월'!$A:$A,$E221),SUMIFS('RAW_유기농_9월'!$F:$F,'RAW_유기농_9월'!$D:$D,$C221,'RAW_유기농_9월'!$A:$A,$E221),SUMIFS('RAW_유기농_10월'!$F:$F,'RAW_유기농_10월'!$D:$D,$C221,'RAW_유기농_10월'!$A:$A,$E221),SUMIFS('RAW_유기농_11-12월'!$F:$F,'RAW_유기농_11-12월'!$D:$D,$C221,'RAW_유기농_11-12월'!$A:$A,$E221))))</f>
        <v/>
      </c>
      <c r="G221" s="7" t="str">
        <f>IF($C221="","",IF('설정'!$B$4=0,"",CHOOSE('설정'!$B$4,SUMIFS('RAW_유기농_7월'!$G:$G,'RAW_유기농_7월'!$D:$D,$C221,'RAW_유기농_7월'!$A:$A,$E221),SUMIFS('RAW_유기농_8월'!$G:$G,'RAW_유기농_8월'!$D:$D,$C221,'RAW_유기농_8월'!$A:$A,$E221),SUMIFS('RAW_유기농_9월'!$G:$G,'RAW_유기농_9월'!$D:$D,$C221,'RAW_유기농_9월'!$A:$A,$E221),SUMIFS('RAW_유기농_10월'!$G:$G,'RAW_유기농_10월'!$D:$D,$C221,'RAW_유기농_10월'!$A:$A,$E221),SUMIFS('RAW_유기농_11-12월'!$G:$G,'RAW_유기농_11-12월'!$D:$D,$C221,'RAW_유기농_11-12월'!$A:$A,$E221))))</f>
        <v/>
      </c>
      <c r="H221" s="7" t="str">
        <f>IF($C221="","",IF('설정'!$B$4=0,"",CHOOSE('설정'!$B$4,SUMIFS('RAW_유기농_7월'!$H:$H,'RAW_유기농_7월'!$D:$D,$C221,'RAW_유기농_7월'!$A:$A,$E221),SUMIFS('RAW_유기농_8월'!$H:$H,'RAW_유기농_8월'!$D:$D,$C221,'RAW_유기농_8월'!$A:$A,$E221),SUMIFS('RAW_유기농_9월'!$H:$H,'RAW_유기농_9월'!$D:$D,$C221,'RAW_유기농_9월'!$A:$A,$E221),SUMIFS('RAW_유기농_10월'!$H:$H,'RAW_유기농_10월'!$D:$D,$C221,'RAW_유기농_10월'!$A:$A,$E221),SUMIFS('RAW_유기농_11-12월'!$H:$H,'RAW_유기농_11-12월'!$D:$D,$C221,'RAW_유기농_11-12월'!$A:$A,$E221))))</f>
        <v/>
      </c>
      <c r="I221" s="17" t="str">
        <f>IF($C221="","",IF(COUNTIFS('RAW_유기농_7월'!$D:$D,$C221,'RAW_유기농_7월'!$A:$A,$E221)&gt;0,"O",""))</f>
        <v/>
      </c>
      <c r="J221" s="17" t="str">
        <f>IF($C221="","",IF(COUNTIFS('RAW_유기농_8월'!$D:$D,$C221,'RAW_유기농_8월'!$A:$A,$E221)&gt;0,"O",""))</f>
        <v/>
      </c>
      <c r="K221" s="17" t="str">
        <f>IF($C221="","",IF(COUNTIFS('RAW_유기농_9월'!$D:$D,$C221,'RAW_유기농_9월'!$A:$A,$E221)&gt;0,"O",""))</f>
        <v/>
      </c>
      <c r="L221" s="17" t="str">
        <f>IF($C221="","",IF(COUNTIFS('RAW_유기농_10월'!$D:$D,$C221,'RAW_유기농_10월'!$A:$A,$E221)&gt;0,"O",""))</f>
        <v/>
      </c>
      <c r="M221" s="17" t="str">
        <f>IF($C221="","",IF(COUNTIFS('RAW_유기농_11-12월'!$D:$D,$C221,'RAW_유기농_11-12월'!$A:$A,$E221)&gt;0,"O",""))</f>
        <v/>
      </c>
      <c r="N221" s="7" t="str">
        <f>IF($C221="","",IF(COUNTA('RAW_유기농_7월'!$A:$A)&lt;=1,"",SUMIFS('RAW_유기농_7월'!$H:$H,'RAW_유기농_7월'!$D:$D,$C221,'RAW_유기농_7월'!$A:$A,$E221)))</f>
        <v/>
      </c>
      <c r="O221" s="7" t="str">
        <f>IF($C221="","",IF(COUNTA('RAW_유기농_8월'!$A:$A)&lt;=1,"",SUMIFS('RAW_유기농_8월'!$H:$H,'RAW_유기농_8월'!$D:$D,$C221,'RAW_유기농_8월'!$A:$A,$E221)-SUMIFS('RAW_유기농_7월'!$H:$H,'RAW_유기농_7월'!$D:$D,$C221,'RAW_유기농_7월'!$A:$A,$E221)))</f>
        <v/>
      </c>
      <c r="P221" s="7" t="str">
        <f>IF($C221="","",IF(COUNTA('RAW_유기농_9월'!$A:$A)&lt;=1,"",SUMIFS('RAW_유기농_9월'!$H:$H,'RAW_유기농_9월'!$D:$D,$C221,'RAW_유기농_9월'!$A:$A,$E221)-SUMIFS('RAW_유기농_8월'!$H:$H,'RAW_유기농_8월'!$D:$D,$C221,'RAW_유기농_8월'!$A:$A,$E221)))</f>
        <v/>
      </c>
      <c r="Q221" s="7" t="str">
        <f>IF($C221="","",IF(COUNTA('RAW_유기농_10월'!$A:$A)&lt;=1,"",SUMIFS('RAW_유기농_10월'!$H:$H,'RAW_유기농_10월'!$D:$D,$C221,'RAW_유기농_10월'!$A:$A,$E221)-SUMIFS('RAW_유기농_9월'!$H:$H,'RAW_유기농_9월'!$D:$D,$C221,'RAW_유기농_9월'!$A:$A,$E221)))</f>
        <v/>
      </c>
      <c r="R221" s="7" t="str">
        <f>IF($C221="","",IF(COUNTA('RAW_유기농_11-12월'!$A:$A)&lt;=1,"",SUMIFS('RAW_유기농_11-12월'!$H:$H,'RAW_유기농_11-12월'!$D:$D,$C221,'RAW_유기농_11-12월'!$A:$A,$E221)-SUMIFS('RAW_유기농_10월'!$H:$H,'RAW_유기농_10월'!$D:$D,$C221,'RAW_유기농_10월'!$A:$A,$E221)))</f>
        <v/>
      </c>
      <c r="S221" s="17" t="str">
        <f t="shared" si="4"/>
        <v/>
      </c>
      <c r="T221" s="17" t="str">
        <f t="shared" si="5"/>
        <v/>
      </c>
      <c r="U221" s="7">
        <f>IF($C221="",0,IF('설정'!$B$4=0,0,CHOOSE('설정'!$B$4,COUNTIFS('RAW_유기농_7월'!$D:$D,$C221,'RAW_유기농_7월'!$A:$A,$E221),COUNTIFS('RAW_유기농_8월'!$D:$D,$C221,'RAW_유기농_8월'!$A:$A,$E221),COUNTIFS('RAW_유기농_9월'!$D:$D,$C221,'RAW_유기농_9월'!$A:$A,$E221),COUNTIFS('RAW_유기농_10월'!$D:$D,$C221,'RAW_유기농_10월'!$A:$A,$E221),COUNTIFS('RAW_유기농_11-12월'!$D:$D,$C221,'RAW_유기농_11-12월'!$A:$A,$E221))))</f>
        <v>0</v>
      </c>
    </row>
    <row r="222" ht="15.75" customHeight="1">
      <c r="A222" s="5"/>
      <c r="B222" s="5"/>
      <c r="C222" s="5"/>
      <c r="D222" s="6"/>
      <c r="E222" s="5"/>
      <c r="F222" s="7" t="str">
        <f>IF($C222="","",IF('설정'!$B$4=0,"",CHOOSE('설정'!$B$4,SUMIFS('RAW_유기농_7월'!$F:$F,'RAW_유기농_7월'!$D:$D,$C222,'RAW_유기농_7월'!$A:$A,$E222),SUMIFS('RAW_유기농_8월'!$F:$F,'RAW_유기농_8월'!$D:$D,$C222,'RAW_유기농_8월'!$A:$A,$E222),SUMIFS('RAW_유기농_9월'!$F:$F,'RAW_유기농_9월'!$D:$D,$C222,'RAW_유기농_9월'!$A:$A,$E222),SUMIFS('RAW_유기농_10월'!$F:$F,'RAW_유기농_10월'!$D:$D,$C222,'RAW_유기농_10월'!$A:$A,$E222),SUMIFS('RAW_유기농_11-12월'!$F:$F,'RAW_유기농_11-12월'!$D:$D,$C222,'RAW_유기농_11-12월'!$A:$A,$E222))))</f>
        <v/>
      </c>
      <c r="G222" s="7" t="str">
        <f>IF($C222="","",IF('설정'!$B$4=0,"",CHOOSE('설정'!$B$4,SUMIFS('RAW_유기농_7월'!$G:$G,'RAW_유기농_7월'!$D:$D,$C222,'RAW_유기농_7월'!$A:$A,$E222),SUMIFS('RAW_유기농_8월'!$G:$G,'RAW_유기농_8월'!$D:$D,$C222,'RAW_유기농_8월'!$A:$A,$E222),SUMIFS('RAW_유기농_9월'!$G:$G,'RAW_유기농_9월'!$D:$D,$C222,'RAW_유기농_9월'!$A:$A,$E222),SUMIFS('RAW_유기농_10월'!$G:$G,'RAW_유기농_10월'!$D:$D,$C222,'RAW_유기농_10월'!$A:$A,$E222),SUMIFS('RAW_유기농_11-12월'!$G:$G,'RAW_유기농_11-12월'!$D:$D,$C222,'RAW_유기농_11-12월'!$A:$A,$E222))))</f>
        <v/>
      </c>
      <c r="H222" s="7" t="str">
        <f>IF($C222="","",IF('설정'!$B$4=0,"",CHOOSE('설정'!$B$4,SUMIFS('RAW_유기농_7월'!$H:$H,'RAW_유기농_7월'!$D:$D,$C222,'RAW_유기농_7월'!$A:$A,$E222),SUMIFS('RAW_유기농_8월'!$H:$H,'RAW_유기농_8월'!$D:$D,$C222,'RAW_유기농_8월'!$A:$A,$E222),SUMIFS('RAW_유기농_9월'!$H:$H,'RAW_유기농_9월'!$D:$D,$C222,'RAW_유기농_9월'!$A:$A,$E222),SUMIFS('RAW_유기농_10월'!$H:$H,'RAW_유기농_10월'!$D:$D,$C222,'RAW_유기농_10월'!$A:$A,$E222),SUMIFS('RAW_유기농_11-12월'!$H:$H,'RAW_유기농_11-12월'!$D:$D,$C222,'RAW_유기농_11-12월'!$A:$A,$E222))))</f>
        <v/>
      </c>
      <c r="I222" s="17" t="str">
        <f>IF($C222="","",IF(COUNTIFS('RAW_유기농_7월'!$D:$D,$C222,'RAW_유기농_7월'!$A:$A,$E222)&gt;0,"O",""))</f>
        <v/>
      </c>
      <c r="J222" s="17" t="str">
        <f>IF($C222="","",IF(COUNTIFS('RAW_유기농_8월'!$D:$D,$C222,'RAW_유기농_8월'!$A:$A,$E222)&gt;0,"O",""))</f>
        <v/>
      </c>
      <c r="K222" s="17" t="str">
        <f>IF($C222="","",IF(COUNTIFS('RAW_유기농_9월'!$D:$D,$C222,'RAW_유기농_9월'!$A:$A,$E222)&gt;0,"O",""))</f>
        <v/>
      </c>
      <c r="L222" s="17" t="str">
        <f>IF($C222="","",IF(COUNTIFS('RAW_유기농_10월'!$D:$D,$C222,'RAW_유기농_10월'!$A:$A,$E222)&gt;0,"O",""))</f>
        <v/>
      </c>
      <c r="M222" s="17" t="str">
        <f>IF($C222="","",IF(COUNTIFS('RAW_유기농_11-12월'!$D:$D,$C222,'RAW_유기농_11-12월'!$A:$A,$E222)&gt;0,"O",""))</f>
        <v/>
      </c>
      <c r="N222" s="7" t="str">
        <f>IF($C222="","",IF(COUNTA('RAW_유기농_7월'!$A:$A)&lt;=1,"",SUMIFS('RAW_유기농_7월'!$H:$H,'RAW_유기농_7월'!$D:$D,$C222,'RAW_유기농_7월'!$A:$A,$E222)))</f>
        <v/>
      </c>
      <c r="O222" s="7" t="str">
        <f>IF($C222="","",IF(COUNTA('RAW_유기농_8월'!$A:$A)&lt;=1,"",SUMIFS('RAW_유기농_8월'!$H:$H,'RAW_유기농_8월'!$D:$D,$C222,'RAW_유기농_8월'!$A:$A,$E222)-SUMIFS('RAW_유기농_7월'!$H:$H,'RAW_유기농_7월'!$D:$D,$C222,'RAW_유기농_7월'!$A:$A,$E222)))</f>
        <v/>
      </c>
      <c r="P222" s="7" t="str">
        <f>IF($C222="","",IF(COUNTA('RAW_유기농_9월'!$A:$A)&lt;=1,"",SUMIFS('RAW_유기농_9월'!$H:$H,'RAW_유기농_9월'!$D:$D,$C222,'RAW_유기농_9월'!$A:$A,$E222)-SUMIFS('RAW_유기농_8월'!$H:$H,'RAW_유기농_8월'!$D:$D,$C222,'RAW_유기농_8월'!$A:$A,$E222)))</f>
        <v/>
      </c>
      <c r="Q222" s="7" t="str">
        <f>IF($C222="","",IF(COUNTA('RAW_유기농_10월'!$A:$A)&lt;=1,"",SUMIFS('RAW_유기농_10월'!$H:$H,'RAW_유기농_10월'!$D:$D,$C222,'RAW_유기농_10월'!$A:$A,$E222)-SUMIFS('RAW_유기농_9월'!$H:$H,'RAW_유기농_9월'!$D:$D,$C222,'RAW_유기농_9월'!$A:$A,$E222)))</f>
        <v/>
      </c>
      <c r="R222" s="7" t="str">
        <f>IF($C222="","",IF(COUNTA('RAW_유기농_11-12월'!$A:$A)&lt;=1,"",SUMIFS('RAW_유기농_11-12월'!$H:$H,'RAW_유기농_11-12월'!$D:$D,$C222,'RAW_유기농_11-12월'!$A:$A,$E222)-SUMIFS('RAW_유기농_10월'!$H:$H,'RAW_유기농_10월'!$D:$D,$C222,'RAW_유기농_10월'!$A:$A,$E222)))</f>
        <v/>
      </c>
      <c r="S222" s="17" t="str">
        <f t="shared" si="4"/>
        <v/>
      </c>
      <c r="T222" s="17" t="str">
        <f t="shared" si="5"/>
        <v/>
      </c>
      <c r="U222" s="7">
        <f>IF($C222="",0,IF('설정'!$B$4=0,0,CHOOSE('설정'!$B$4,COUNTIFS('RAW_유기농_7월'!$D:$D,$C222,'RAW_유기농_7월'!$A:$A,$E222),COUNTIFS('RAW_유기농_8월'!$D:$D,$C222,'RAW_유기농_8월'!$A:$A,$E222),COUNTIFS('RAW_유기농_9월'!$D:$D,$C222,'RAW_유기농_9월'!$A:$A,$E222),COUNTIFS('RAW_유기농_10월'!$D:$D,$C222,'RAW_유기농_10월'!$A:$A,$E222),COUNTIFS('RAW_유기농_11-12월'!$D:$D,$C222,'RAW_유기농_11-12월'!$A:$A,$E222))))</f>
        <v>0</v>
      </c>
    </row>
    <row r="223" ht="15.75" customHeight="1">
      <c r="A223" s="5"/>
      <c r="B223" s="5"/>
      <c r="C223" s="5"/>
      <c r="D223" s="6"/>
      <c r="E223" s="5"/>
      <c r="F223" s="7" t="str">
        <f>IF($C223="","",IF('설정'!$B$4=0,"",CHOOSE('설정'!$B$4,SUMIFS('RAW_유기농_7월'!$F:$F,'RAW_유기농_7월'!$D:$D,$C223,'RAW_유기농_7월'!$A:$A,$E223),SUMIFS('RAW_유기농_8월'!$F:$F,'RAW_유기농_8월'!$D:$D,$C223,'RAW_유기농_8월'!$A:$A,$E223),SUMIFS('RAW_유기농_9월'!$F:$F,'RAW_유기농_9월'!$D:$D,$C223,'RAW_유기농_9월'!$A:$A,$E223),SUMIFS('RAW_유기농_10월'!$F:$F,'RAW_유기농_10월'!$D:$D,$C223,'RAW_유기농_10월'!$A:$A,$E223),SUMIFS('RAW_유기농_11-12월'!$F:$F,'RAW_유기농_11-12월'!$D:$D,$C223,'RAW_유기농_11-12월'!$A:$A,$E223))))</f>
        <v/>
      </c>
      <c r="G223" s="7" t="str">
        <f>IF($C223="","",IF('설정'!$B$4=0,"",CHOOSE('설정'!$B$4,SUMIFS('RAW_유기농_7월'!$G:$G,'RAW_유기농_7월'!$D:$D,$C223,'RAW_유기농_7월'!$A:$A,$E223),SUMIFS('RAW_유기농_8월'!$G:$G,'RAW_유기농_8월'!$D:$D,$C223,'RAW_유기농_8월'!$A:$A,$E223),SUMIFS('RAW_유기농_9월'!$G:$G,'RAW_유기농_9월'!$D:$D,$C223,'RAW_유기농_9월'!$A:$A,$E223),SUMIFS('RAW_유기농_10월'!$G:$G,'RAW_유기농_10월'!$D:$D,$C223,'RAW_유기농_10월'!$A:$A,$E223),SUMIFS('RAW_유기농_11-12월'!$G:$G,'RAW_유기농_11-12월'!$D:$D,$C223,'RAW_유기농_11-12월'!$A:$A,$E223))))</f>
        <v/>
      </c>
      <c r="H223" s="7" t="str">
        <f>IF($C223="","",IF('설정'!$B$4=0,"",CHOOSE('설정'!$B$4,SUMIFS('RAW_유기농_7월'!$H:$H,'RAW_유기농_7월'!$D:$D,$C223,'RAW_유기농_7월'!$A:$A,$E223),SUMIFS('RAW_유기농_8월'!$H:$H,'RAW_유기농_8월'!$D:$D,$C223,'RAW_유기농_8월'!$A:$A,$E223),SUMIFS('RAW_유기농_9월'!$H:$H,'RAW_유기농_9월'!$D:$D,$C223,'RAW_유기농_9월'!$A:$A,$E223),SUMIFS('RAW_유기농_10월'!$H:$H,'RAW_유기농_10월'!$D:$D,$C223,'RAW_유기농_10월'!$A:$A,$E223),SUMIFS('RAW_유기농_11-12월'!$H:$H,'RAW_유기농_11-12월'!$D:$D,$C223,'RAW_유기농_11-12월'!$A:$A,$E223))))</f>
        <v/>
      </c>
      <c r="I223" s="17" t="str">
        <f>IF($C223="","",IF(COUNTIFS('RAW_유기농_7월'!$D:$D,$C223,'RAW_유기농_7월'!$A:$A,$E223)&gt;0,"O",""))</f>
        <v/>
      </c>
      <c r="J223" s="17" t="str">
        <f>IF($C223="","",IF(COUNTIFS('RAW_유기농_8월'!$D:$D,$C223,'RAW_유기농_8월'!$A:$A,$E223)&gt;0,"O",""))</f>
        <v/>
      </c>
      <c r="K223" s="17" t="str">
        <f>IF($C223="","",IF(COUNTIFS('RAW_유기농_9월'!$D:$D,$C223,'RAW_유기농_9월'!$A:$A,$E223)&gt;0,"O",""))</f>
        <v/>
      </c>
      <c r="L223" s="17" t="str">
        <f>IF($C223="","",IF(COUNTIFS('RAW_유기농_10월'!$D:$D,$C223,'RAW_유기농_10월'!$A:$A,$E223)&gt;0,"O",""))</f>
        <v/>
      </c>
      <c r="M223" s="17" t="str">
        <f>IF($C223="","",IF(COUNTIFS('RAW_유기농_11-12월'!$D:$D,$C223,'RAW_유기농_11-12월'!$A:$A,$E223)&gt;0,"O",""))</f>
        <v/>
      </c>
      <c r="N223" s="7" t="str">
        <f>IF($C223="","",IF(COUNTA('RAW_유기농_7월'!$A:$A)&lt;=1,"",SUMIFS('RAW_유기농_7월'!$H:$H,'RAW_유기농_7월'!$D:$D,$C223,'RAW_유기농_7월'!$A:$A,$E223)))</f>
        <v/>
      </c>
      <c r="O223" s="7" t="str">
        <f>IF($C223="","",IF(COUNTA('RAW_유기농_8월'!$A:$A)&lt;=1,"",SUMIFS('RAW_유기농_8월'!$H:$H,'RAW_유기농_8월'!$D:$D,$C223,'RAW_유기농_8월'!$A:$A,$E223)-SUMIFS('RAW_유기농_7월'!$H:$H,'RAW_유기농_7월'!$D:$D,$C223,'RAW_유기농_7월'!$A:$A,$E223)))</f>
        <v/>
      </c>
      <c r="P223" s="7" t="str">
        <f>IF($C223="","",IF(COUNTA('RAW_유기농_9월'!$A:$A)&lt;=1,"",SUMIFS('RAW_유기농_9월'!$H:$H,'RAW_유기농_9월'!$D:$D,$C223,'RAW_유기농_9월'!$A:$A,$E223)-SUMIFS('RAW_유기농_8월'!$H:$H,'RAW_유기농_8월'!$D:$D,$C223,'RAW_유기농_8월'!$A:$A,$E223)))</f>
        <v/>
      </c>
      <c r="Q223" s="7" t="str">
        <f>IF($C223="","",IF(COUNTA('RAW_유기농_10월'!$A:$A)&lt;=1,"",SUMIFS('RAW_유기농_10월'!$H:$H,'RAW_유기농_10월'!$D:$D,$C223,'RAW_유기농_10월'!$A:$A,$E223)-SUMIFS('RAW_유기농_9월'!$H:$H,'RAW_유기농_9월'!$D:$D,$C223,'RAW_유기농_9월'!$A:$A,$E223)))</f>
        <v/>
      </c>
      <c r="R223" s="7" t="str">
        <f>IF($C223="","",IF(COUNTA('RAW_유기농_11-12월'!$A:$A)&lt;=1,"",SUMIFS('RAW_유기농_11-12월'!$H:$H,'RAW_유기농_11-12월'!$D:$D,$C223,'RAW_유기농_11-12월'!$A:$A,$E223)-SUMIFS('RAW_유기농_10월'!$H:$H,'RAW_유기농_10월'!$D:$D,$C223,'RAW_유기농_10월'!$A:$A,$E223)))</f>
        <v/>
      </c>
      <c r="S223" s="17" t="str">
        <f t="shared" si="4"/>
        <v/>
      </c>
      <c r="T223" s="17" t="str">
        <f t="shared" si="5"/>
        <v/>
      </c>
      <c r="U223" s="7">
        <f>IF($C223="",0,IF('설정'!$B$4=0,0,CHOOSE('설정'!$B$4,COUNTIFS('RAW_유기농_7월'!$D:$D,$C223,'RAW_유기농_7월'!$A:$A,$E223),COUNTIFS('RAW_유기농_8월'!$D:$D,$C223,'RAW_유기농_8월'!$A:$A,$E223),COUNTIFS('RAW_유기농_9월'!$D:$D,$C223,'RAW_유기농_9월'!$A:$A,$E223),COUNTIFS('RAW_유기농_10월'!$D:$D,$C223,'RAW_유기농_10월'!$A:$A,$E223),COUNTIFS('RAW_유기농_11-12월'!$D:$D,$C223,'RAW_유기농_11-12월'!$A:$A,$E223))))</f>
        <v>0</v>
      </c>
    </row>
    <row r="224" ht="15.75" customHeight="1">
      <c r="A224" s="5"/>
      <c r="B224" s="5"/>
      <c r="C224" s="5"/>
      <c r="D224" s="6"/>
      <c r="E224" s="5"/>
      <c r="F224" s="7" t="str">
        <f>IF($C224="","",IF('설정'!$B$4=0,"",CHOOSE('설정'!$B$4,SUMIFS('RAW_유기농_7월'!$F:$F,'RAW_유기농_7월'!$D:$D,$C224,'RAW_유기농_7월'!$A:$A,$E224),SUMIFS('RAW_유기농_8월'!$F:$F,'RAW_유기농_8월'!$D:$D,$C224,'RAW_유기농_8월'!$A:$A,$E224),SUMIFS('RAW_유기농_9월'!$F:$F,'RAW_유기농_9월'!$D:$D,$C224,'RAW_유기농_9월'!$A:$A,$E224),SUMIFS('RAW_유기농_10월'!$F:$F,'RAW_유기농_10월'!$D:$D,$C224,'RAW_유기농_10월'!$A:$A,$E224),SUMIFS('RAW_유기농_11-12월'!$F:$F,'RAW_유기농_11-12월'!$D:$D,$C224,'RAW_유기농_11-12월'!$A:$A,$E224))))</f>
        <v/>
      </c>
      <c r="G224" s="7" t="str">
        <f>IF($C224="","",IF('설정'!$B$4=0,"",CHOOSE('설정'!$B$4,SUMIFS('RAW_유기농_7월'!$G:$G,'RAW_유기농_7월'!$D:$D,$C224,'RAW_유기농_7월'!$A:$A,$E224),SUMIFS('RAW_유기농_8월'!$G:$G,'RAW_유기농_8월'!$D:$D,$C224,'RAW_유기농_8월'!$A:$A,$E224),SUMIFS('RAW_유기농_9월'!$G:$G,'RAW_유기농_9월'!$D:$D,$C224,'RAW_유기농_9월'!$A:$A,$E224),SUMIFS('RAW_유기농_10월'!$G:$G,'RAW_유기농_10월'!$D:$D,$C224,'RAW_유기농_10월'!$A:$A,$E224),SUMIFS('RAW_유기농_11-12월'!$G:$G,'RAW_유기농_11-12월'!$D:$D,$C224,'RAW_유기농_11-12월'!$A:$A,$E224))))</f>
        <v/>
      </c>
      <c r="H224" s="7" t="str">
        <f>IF($C224="","",IF('설정'!$B$4=0,"",CHOOSE('설정'!$B$4,SUMIFS('RAW_유기농_7월'!$H:$H,'RAW_유기농_7월'!$D:$D,$C224,'RAW_유기농_7월'!$A:$A,$E224),SUMIFS('RAW_유기농_8월'!$H:$H,'RAW_유기농_8월'!$D:$D,$C224,'RAW_유기농_8월'!$A:$A,$E224),SUMIFS('RAW_유기농_9월'!$H:$H,'RAW_유기농_9월'!$D:$D,$C224,'RAW_유기농_9월'!$A:$A,$E224),SUMIFS('RAW_유기농_10월'!$H:$H,'RAW_유기농_10월'!$D:$D,$C224,'RAW_유기농_10월'!$A:$A,$E224),SUMIFS('RAW_유기농_11-12월'!$H:$H,'RAW_유기농_11-12월'!$D:$D,$C224,'RAW_유기농_11-12월'!$A:$A,$E224))))</f>
        <v/>
      </c>
      <c r="I224" s="17" t="str">
        <f>IF($C224="","",IF(COUNTIFS('RAW_유기농_7월'!$D:$D,$C224,'RAW_유기농_7월'!$A:$A,$E224)&gt;0,"O",""))</f>
        <v/>
      </c>
      <c r="J224" s="17" t="str">
        <f>IF($C224="","",IF(COUNTIFS('RAW_유기농_8월'!$D:$D,$C224,'RAW_유기농_8월'!$A:$A,$E224)&gt;0,"O",""))</f>
        <v/>
      </c>
      <c r="K224" s="17" t="str">
        <f>IF($C224="","",IF(COUNTIFS('RAW_유기농_9월'!$D:$D,$C224,'RAW_유기농_9월'!$A:$A,$E224)&gt;0,"O",""))</f>
        <v/>
      </c>
      <c r="L224" s="17" t="str">
        <f>IF($C224="","",IF(COUNTIFS('RAW_유기농_10월'!$D:$D,$C224,'RAW_유기농_10월'!$A:$A,$E224)&gt;0,"O",""))</f>
        <v/>
      </c>
      <c r="M224" s="17" t="str">
        <f>IF($C224="","",IF(COUNTIFS('RAW_유기농_11-12월'!$D:$D,$C224,'RAW_유기농_11-12월'!$A:$A,$E224)&gt;0,"O",""))</f>
        <v/>
      </c>
      <c r="N224" s="7" t="str">
        <f>IF($C224="","",IF(COUNTA('RAW_유기농_7월'!$A:$A)&lt;=1,"",SUMIFS('RAW_유기농_7월'!$H:$H,'RAW_유기농_7월'!$D:$D,$C224,'RAW_유기농_7월'!$A:$A,$E224)))</f>
        <v/>
      </c>
      <c r="O224" s="7" t="str">
        <f>IF($C224="","",IF(COUNTA('RAW_유기농_8월'!$A:$A)&lt;=1,"",SUMIFS('RAW_유기농_8월'!$H:$H,'RAW_유기농_8월'!$D:$D,$C224,'RAW_유기농_8월'!$A:$A,$E224)-SUMIFS('RAW_유기농_7월'!$H:$H,'RAW_유기농_7월'!$D:$D,$C224,'RAW_유기농_7월'!$A:$A,$E224)))</f>
        <v/>
      </c>
      <c r="P224" s="7" t="str">
        <f>IF($C224="","",IF(COUNTA('RAW_유기농_9월'!$A:$A)&lt;=1,"",SUMIFS('RAW_유기농_9월'!$H:$H,'RAW_유기농_9월'!$D:$D,$C224,'RAW_유기농_9월'!$A:$A,$E224)-SUMIFS('RAW_유기농_8월'!$H:$H,'RAW_유기농_8월'!$D:$D,$C224,'RAW_유기농_8월'!$A:$A,$E224)))</f>
        <v/>
      </c>
      <c r="Q224" s="7" t="str">
        <f>IF($C224="","",IF(COUNTA('RAW_유기농_10월'!$A:$A)&lt;=1,"",SUMIFS('RAW_유기농_10월'!$H:$H,'RAW_유기농_10월'!$D:$D,$C224,'RAW_유기농_10월'!$A:$A,$E224)-SUMIFS('RAW_유기농_9월'!$H:$H,'RAW_유기농_9월'!$D:$D,$C224,'RAW_유기농_9월'!$A:$A,$E224)))</f>
        <v/>
      </c>
      <c r="R224" s="7" t="str">
        <f>IF($C224="","",IF(COUNTA('RAW_유기농_11-12월'!$A:$A)&lt;=1,"",SUMIFS('RAW_유기농_11-12월'!$H:$H,'RAW_유기농_11-12월'!$D:$D,$C224,'RAW_유기농_11-12월'!$A:$A,$E224)-SUMIFS('RAW_유기농_10월'!$H:$H,'RAW_유기농_10월'!$D:$D,$C224,'RAW_유기농_10월'!$A:$A,$E224)))</f>
        <v/>
      </c>
      <c r="S224" s="17" t="str">
        <f t="shared" si="4"/>
        <v/>
      </c>
      <c r="T224" s="17" t="str">
        <f t="shared" si="5"/>
        <v/>
      </c>
      <c r="U224" s="7">
        <f>IF($C224="",0,IF('설정'!$B$4=0,0,CHOOSE('설정'!$B$4,COUNTIFS('RAW_유기농_7월'!$D:$D,$C224,'RAW_유기농_7월'!$A:$A,$E224),COUNTIFS('RAW_유기농_8월'!$D:$D,$C224,'RAW_유기농_8월'!$A:$A,$E224),COUNTIFS('RAW_유기농_9월'!$D:$D,$C224,'RAW_유기농_9월'!$A:$A,$E224),COUNTIFS('RAW_유기농_10월'!$D:$D,$C224,'RAW_유기농_10월'!$A:$A,$E224),COUNTIFS('RAW_유기농_11-12월'!$D:$D,$C224,'RAW_유기농_11-12월'!$A:$A,$E224))))</f>
        <v>0</v>
      </c>
    </row>
    <row r="225" ht="15.75" customHeight="1">
      <c r="A225" s="5"/>
      <c r="B225" s="5"/>
      <c r="C225" s="5"/>
      <c r="D225" s="6"/>
      <c r="E225" s="5"/>
      <c r="F225" s="7" t="str">
        <f>IF($C225="","",IF('설정'!$B$4=0,"",CHOOSE('설정'!$B$4,SUMIFS('RAW_유기농_7월'!$F:$F,'RAW_유기농_7월'!$D:$D,$C225,'RAW_유기농_7월'!$A:$A,$E225),SUMIFS('RAW_유기농_8월'!$F:$F,'RAW_유기농_8월'!$D:$D,$C225,'RAW_유기농_8월'!$A:$A,$E225),SUMIFS('RAW_유기농_9월'!$F:$F,'RAW_유기농_9월'!$D:$D,$C225,'RAW_유기농_9월'!$A:$A,$E225),SUMIFS('RAW_유기농_10월'!$F:$F,'RAW_유기농_10월'!$D:$D,$C225,'RAW_유기농_10월'!$A:$A,$E225),SUMIFS('RAW_유기농_11-12월'!$F:$F,'RAW_유기농_11-12월'!$D:$D,$C225,'RAW_유기농_11-12월'!$A:$A,$E225))))</f>
        <v/>
      </c>
      <c r="G225" s="7" t="str">
        <f>IF($C225="","",IF('설정'!$B$4=0,"",CHOOSE('설정'!$B$4,SUMIFS('RAW_유기농_7월'!$G:$G,'RAW_유기농_7월'!$D:$D,$C225,'RAW_유기농_7월'!$A:$A,$E225),SUMIFS('RAW_유기농_8월'!$G:$G,'RAW_유기농_8월'!$D:$D,$C225,'RAW_유기농_8월'!$A:$A,$E225),SUMIFS('RAW_유기농_9월'!$G:$G,'RAW_유기농_9월'!$D:$D,$C225,'RAW_유기농_9월'!$A:$A,$E225),SUMIFS('RAW_유기농_10월'!$G:$G,'RAW_유기농_10월'!$D:$D,$C225,'RAW_유기농_10월'!$A:$A,$E225),SUMIFS('RAW_유기농_11-12월'!$G:$G,'RAW_유기농_11-12월'!$D:$D,$C225,'RAW_유기농_11-12월'!$A:$A,$E225))))</f>
        <v/>
      </c>
      <c r="H225" s="7" t="str">
        <f>IF($C225="","",IF('설정'!$B$4=0,"",CHOOSE('설정'!$B$4,SUMIFS('RAW_유기농_7월'!$H:$H,'RAW_유기농_7월'!$D:$D,$C225,'RAW_유기농_7월'!$A:$A,$E225),SUMIFS('RAW_유기농_8월'!$H:$H,'RAW_유기농_8월'!$D:$D,$C225,'RAW_유기농_8월'!$A:$A,$E225),SUMIFS('RAW_유기농_9월'!$H:$H,'RAW_유기농_9월'!$D:$D,$C225,'RAW_유기농_9월'!$A:$A,$E225),SUMIFS('RAW_유기농_10월'!$H:$H,'RAW_유기농_10월'!$D:$D,$C225,'RAW_유기농_10월'!$A:$A,$E225),SUMIFS('RAW_유기농_11-12월'!$H:$H,'RAW_유기농_11-12월'!$D:$D,$C225,'RAW_유기농_11-12월'!$A:$A,$E225))))</f>
        <v/>
      </c>
      <c r="I225" s="17" t="str">
        <f>IF($C225="","",IF(COUNTIFS('RAW_유기농_7월'!$D:$D,$C225,'RAW_유기농_7월'!$A:$A,$E225)&gt;0,"O",""))</f>
        <v/>
      </c>
      <c r="J225" s="17" t="str">
        <f>IF($C225="","",IF(COUNTIFS('RAW_유기농_8월'!$D:$D,$C225,'RAW_유기농_8월'!$A:$A,$E225)&gt;0,"O",""))</f>
        <v/>
      </c>
      <c r="K225" s="17" t="str">
        <f>IF($C225="","",IF(COUNTIFS('RAW_유기농_9월'!$D:$D,$C225,'RAW_유기농_9월'!$A:$A,$E225)&gt;0,"O",""))</f>
        <v/>
      </c>
      <c r="L225" s="17" t="str">
        <f>IF($C225="","",IF(COUNTIFS('RAW_유기농_10월'!$D:$D,$C225,'RAW_유기농_10월'!$A:$A,$E225)&gt;0,"O",""))</f>
        <v/>
      </c>
      <c r="M225" s="17" t="str">
        <f>IF($C225="","",IF(COUNTIFS('RAW_유기농_11-12월'!$D:$D,$C225,'RAW_유기농_11-12월'!$A:$A,$E225)&gt;0,"O",""))</f>
        <v/>
      </c>
      <c r="N225" s="7" t="str">
        <f>IF($C225="","",IF(COUNTA('RAW_유기농_7월'!$A:$A)&lt;=1,"",SUMIFS('RAW_유기농_7월'!$H:$H,'RAW_유기농_7월'!$D:$D,$C225,'RAW_유기농_7월'!$A:$A,$E225)))</f>
        <v/>
      </c>
      <c r="O225" s="7" t="str">
        <f>IF($C225="","",IF(COUNTA('RAW_유기농_8월'!$A:$A)&lt;=1,"",SUMIFS('RAW_유기농_8월'!$H:$H,'RAW_유기농_8월'!$D:$D,$C225,'RAW_유기농_8월'!$A:$A,$E225)-SUMIFS('RAW_유기농_7월'!$H:$H,'RAW_유기농_7월'!$D:$D,$C225,'RAW_유기농_7월'!$A:$A,$E225)))</f>
        <v/>
      </c>
      <c r="P225" s="7" t="str">
        <f>IF($C225="","",IF(COUNTA('RAW_유기농_9월'!$A:$A)&lt;=1,"",SUMIFS('RAW_유기농_9월'!$H:$H,'RAW_유기농_9월'!$D:$D,$C225,'RAW_유기농_9월'!$A:$A,$E225)-SUMIFS('RAW_유기농_8월'!$H:$H,'RAW_유기농_8월'!$D:$D,$C225,'RAW_유기농_8월'!$A:$A,$E225)))</f>
        <v/>
      </c>
      <c r="Q225" s="7" t="str">
        <f>IF($C225="","",IF(COUNTA('RAW_유기농_10월'!$A:$A)&lt;=1,"",SUMIFS('RAW_유기농_10월'!$H:$H,'RAW_유기농_10월'!$D:$D,$C225,'RAW_유기농_10월'!$A:$A,$E225)-SUMIFS('RAW_유기농_9월'!$H:$H,'RAW_유기농_9월'!$D:$D,$C225,'RAW_유기농_9월'!$A:$A,$E225)))</f>
        <v/>
      </c>
      <c r="R225" s="7" t="str">
        <f>IF($C225="","",IF(COUNTA('RAW_유기농_11-12월'!$A:$A)&lt;=1,"",SUMIFS('RAW_유기농_11-12월'!$H:$H,'RAW_유기농_11-12월'!$D:$D,$C225,'RAW_유기농_11-12월'!$A:$A,$E225)-SUMIFS('RAW_유기농_10월'!$H:$H,'RAW_유기농_10월'!$D:$D,$C225,'RAW_유기농_10월'!$A:$A,$E225)))</f>
        <v/>
      </c>
      <c r="S225" s="17" t="str">
        <f t="shared" si="4"/>
        <v/>
      </c>
      <c r="T225" s="17" t="str">
        <f t="shared" si="5"/>
        <v/>
      </c>
      <c r="U225" s="7">
        <f>IF($C225="",0,IF('설정'!$B$4=0,0,CHOOSE('설정'!$B$4,COUNTIFS('RAW_유기농_7월'!$D:$D,$C225,'RAW_유기농_7월'!$A:$A,$E225),COUNTIFS('RAW_유기농_8월'!$D:$D,$C225,'RAW_유기농_8월'!$A:$A,$E225),COUNTIFS('RAW_유기농_9월'!$D:$D,$C225,'RAW_유기농_9월'!$A:$A,$E225),COUNTIFS('RAW_유기농_10월'!$D:$D,$C225,'RAW_유기농_10월'!$A:$A,$E225),COUNTIFS('RAW_유기농_11-12월'!$D:$D,$C225,'RAW_유기농_11-12월'!$A:$A,$E225))))</f>
        <v>0</v>
      </c>
    </row>
    <row r="226" ht="15.75" customHeight="1">
      <c r="A226" s="5"/>
      <c r="B226" s="5"/>
      <c r="C226" s="5"/>
      <c r="D226" s="6"/>
      <c r="E226" s="5"/>
      <c r="F226" s="7" t="str">
        <f>IF($C226="","",IF('설정'!$B$4=0,"",CHOOSE('설정'!$B$4,SUMIFS('RAW_유기농_7월'!$F:$F,'RAW_유기농_7월'!$D:$D,$C226,'RAW_유기농_7월'!$A:$A,$E226),SUMIFS('RAW_유기농_8월'!$F:$F,'RAW_유기농_8월'!$D:$D,$C226,'RAW_유기농_8월'!$A:$A,$E226),SUMIFS('RAW_유기농_9월'!$F:$F,'RAW_유기농_9월'!$D:$D,$C226,'RAW_유기농_9월'!$A:$A,$E226),SUMIFS('RAW_유기농_10월'!$F:$F,'RAW_유기농_10월'!$D:$D,$C226,'RAW_유기농_10월'!$A:$A,$E226),SUMIFS('RAW_유기농_11-12월'!$F:$F,'RAW_유기농_11-12월'!$D:$D,$C226,'RAW_유기농_11-12월'!$A:$A,$E226))))</f>
        <v/>
      </c>
      <c r="G226" s="7" t="str">
        <f>IF($C226="","",IF('설정'!$B$4=0,"",CHOOSE('설정'!$B$4,SUMIFS('RAW_유기농_7월'!$G:$G,'RAW_유기농_7월'!$D:$D,$C226,'RAW_유기농_7월'!$A:$A,$E226),SUMIFS('RAW_유기농_8월'!$G:$G,'RAW_유기농_8월'!$D:$D,$C226,'RAW_유기농_8월'!$A:$A,$E226),SUMIFS('RAW_유기농_9월'!$G:$G,'RAW_유기농_9월'!$D:$D,$C226,'RAW_유기농_9월'!$A:$A,$E226),SUMIFS('RAW_유기농_10월'!$G:$G,'RAW_유기농_10월'!$D:$D,$C226,'RAW_유기농_10월'!$A:$A,$E226),SUMIFS('RAW_유기농_11-12월'!$G:$G,'RAW_유기농_11-12월'!$D:$D,$C226,'RAW_유기농_11-12월'!$A:$A,$E226))))</f>
        <v/>
      </c>
      <c r="H226" s="7" t="str">
        <f>IF($C226="","",IF('설정'!$B$4=0,"",CHOOSE('설정'!$B$4,SUMIFS('RAW_유기농_7월'!$H:$H,'RAW_유기농_7월'!$D:$D,$C226,'RAW_유기농_7월'!$A:$A,$E226),SUMIFS('RAW_유기농_8월'!$H:$H,'RAW_유기농_8월'!$D:$D,$C226,'RAW_유기농_8월'!$A:$A,$E226),SUMIFS('RAW_유기농_9월'!$H:$H,'RAW_유기농_9월'!$D:$D,$C226,'RAW_유기농_9월'!$A:$A,$E226),SUMIFS('RAW_유기농_10월'!$H:$H,'RAW_유기농_10월'!$D:$D,$C226,'RAW_유기농_10월'!$A:$A,$E226),SUMIFS('RAW_유기농_11-12월'!$H:$H,'RAW_유기농_11-12월'!$D:$D,$C226,'RAW_유기농_11-12월'!$A:$A,$E226))))</f>
        <v/>
      </c>
      <c r="I226" s="17" t="str">
        <f>IF($C226="","",IF(COUNTIFS('RAW_유기농_7월'!$D:$D,$C226,'RAW_유기농_7월'!$A:$A,$E226)&gt;0,"O",""))</f>
        <v/>
      </c>
      <c r="J226" s="17" t="str">
        <f>IF($C226="","",IF(COUNTIFS('RAW_유기농_8월'!$D:$D,$C226,'RAW_유기농_8월'!$A:$A,$E226)&gt;0,"O",""))</f>
        <v/>
      </c>
      <c r="K226" s="17" t="str">
        <f>IF($C226="","",IF(COUNTIFS('RAW_유기농_9월'!$D:$D,$C226,'RAW_유기농_9월'!$A:$A,$E226)&gt;0,"O",""))</f>
        <v/>
      </c>
      <c r="L226" s="17" t="str">
        <f>IF($C226="","",IF(COUNTIFS('RAW_유기농_10월'!$D:$D,$C226,'RAW_유기농_10월'!$A:$A,$E226)&gt;0,"O",""))</f>
        <v/>
      </c>
      <c r="M226" s="17" t="str">
        <f>IF($C226="","",IF(COUNTIFS('RAW_유기농_11-12월'!$D:$D,$C226,'RAW_유기농_11-12월'!$A:$A,$E226)&gt;0,"O",""))</f>
        <v/>
      </c>
      <c r="N226" s="7" t="str">
        <f>IF($C226="","",IF(COUNTA('RAW_유기농_7월'!$A:$A)&lt;=1,"",SUMIFS('RAW_유기농_7월'!$H:$H,'RAW_유기농_7월'!$D:$D,$C226,'RAW_유기농_7월'!$A:$A,$E226)))</f>
        <v/>
      </c>
      <c r="O226" s="7" t="str">
        <f>IF($C226="","",IF(COUNTA('RAW_유기농_8월'!$A:$A)&lt;=1,"",SUMIFS('RAW_유기농_8월'!$H:$H,'RAW_유기농_8월'!$D:$D,$C226,'RAW_유기농_8월'!$A:$A,$E226)-SUMIFS('RAW_유기농_7월'!$H:$H,'RAW_유기농_7월'!$D:$D,$C226,'RAW_유기농_7월'!$A:$A,$E226)))</f>
        <v/>
      </c>
      <c r="P226" s="7" t="str">
        <f>IF($C226="","",IF(COUNTA('RAW_유기농_9월'!$A:$A)&lt;=1,"",SUMIFS('RAW_유기농_9월'!$H:$H,'RAW_유기농_9월'!$D:$D,$C226,'RAW_유기농_9월'!$A:$A,$E226)-SUMIFS('RAW_유기농_8월'!$H:$H,'RAW_유기농_8월'!$D:$D,$C226,'RAW_유기농_8월'!$A:$A,$E226)))</f>
        <v/>
      </c>
      <c r="Q226" s="7" t="str">
        <f>IF($C226="","",IF(COUNTA('RAW_유기농_10월'!$A:$A)&lt;=1,"",SUMIFS('RAW_유기농_10월'!$H:$H,'RAW_유기농_10월'!$D:$D,$C226,'RAW_유기농_10월'!$A:$A,$E226)-SUMIFS('RAW_유기농_9월'!$H:$H,'RAW_유기농_9월'!$D:$D,$C226,'RAW_유기농_9월'!$A:$A,$E226)))</f>
        <v/>
      </c>
      <c r="R226" s="7" t="str">
        <f>IF($C226="","",IF(COUNTA('RAW_유기농_11-12월'!$A:$A)&lt;=1,"",SUMIFS('RAW_유기농_11-12월'!$H:$H,'RAW_유기농_11-12월'!$D:$D,$C226,'RAW_유기농_11-12월'!$A:$A,$E226)-SUMIFS('RAW_유기농_10월'!$H:$H,'RAW_유기농_10월'!$D:$D,$C226,'RAW_유기농_10월'!$A:$A,$E226)))</f>
        <v/>
      </c>
      <c r="S226" s="17" t="str">
        <f t="shared" si="4"/>
        <v/>
      </c>
      <c r="T226" s="17" t="str">
        <f t="shared" si="5"/>
        <v/>
      </c>
      <c r="U226" s="7">
        <f>IF($C226="",0,IF('설정'!$B$4=0,0,CHOOSE('설정'!$B$4,COUNTIFS('RAW_유기농_7월'!$D:$D,$C226,'RAW_유기농_7월'!$A:$A,$E226),COUNTIFS('RAW_유기농_8월'!$D:$D,$C226,'RAW_유기농_8월'!$A:$A,$E226),COUNTIFS('RAW_유기농_9월'!$D:$D,$C226,'RAW_유기농_9월'!$A:$A,$E226),COUNTIFS('RAW_유기농_10월'!$D:$D,$C226,'RAW_유기농_10월'!$A:$A,$E226),COUNTIFS('RAW_유기농_11-12월'!$D:$D,$C226,'RAW_유기농_11-12월'!$A:$A,$E226))))</f>
        <v>0</v>
      </c>
    </row>
    <row r="227" ht="15.75" customHeight="1">
      <c r="A227" s="5"/>
      <c r="B227" s="5"/>
      <c r="C227" s="5"/>
      <c r="D227" s="6"/>
      <c r="E227" s="5"/>
      <c r="F227" s="7" t="str">
        <f>IF($C227="","",IF('설정'!$B$4=0,"",CHOOSE('설정'!$B$4,SUMIFS('RAW_유기농_7월'!$F:$F,'RAW_유기농_7월'!$D:$D,$C227,'RAW_유기농_7월'!$A:$A,$E227),SUMIFS('RAW_유기농_8월'!$F:$F,'RAW_유기농_8월'!$D:$D,$C227,'RAW_유기농_8월'!$A:$A,$E227),SUMIFS('RAW_유기농_9월'!$F:$F,'RAW_유기농_9월'!$D:$D,$C227,'RAW_유기농_9월'!$A:$A,$E227),SUMIFS('RAW_유기농_10월'!$F:$F,'RAW_유기농_10월'!$D:$D,$C227,'RAW_유기농_10월'!$A:$A,$E227),SUMIFS('RAW_유기농_11-12월'!$F:$F,'RAW_유기농_11-12월'!$D:$D,$C227,'RAW_유기농_11-12월'!$A:$A,$E227))))</f>
        <v/>
      </c>
      <c r="G227" s="7" t="str">
        <f>IF($C227="","",IF('설정'!$B$4=0,"",CHOOSE('설정'!$B$4,SUMIFS('RAW_유기농_7월'!$G:$G,'RAW_유기농_7월'!$D:$D,$C227,'RAW_유기농_7월'!$A:$A,$E227),SUMIFS('RAW_유기농_8월'!$G:$G,'RAW_유기농_8월'!$D:$D,$C227,'RAW_유기농_8월'!$A:$A,$E227),SUMIFS('RAW_유기농_9월'!$G:$G,'RAW_유기농_9월'!$D:$D,$C227,'RAW_유기농_9월'!$A:$A,$E227),SUMIFS('RAW_유기농_10월'!$G:$G,'RAW_유기농_10월'!$D:$D,$C227,'RAW_유기농_10월'!$A:$A,$E227),SUMIFS('RAW_유기농_11-12월'!$G:$G,'RAW_유기농_11-12월'!$D:$D,$C227,'RAW_유기농_11-12월'!$A:$A,$E227))))</f>
        <v/>
      </c>
      <c r="H227" s="7" t="str">
        <f>IF($C227="","",IF('설정'!$B$4=0,"",CHOOSE('설정'!$B$4,SUMIFS('RAW_유기농_7월'!$H:$H,'RAW_유기농_7월'!$D:$D,$C227,'RAW_유기농_7월'!$A:$A,$E227),SUMIFS('RAW_유기농_8월'!$H:$H,'RAW_유기농_8월'!$D:$D,$C227,'RAW_유기농_8월'!$A:$A,$E227),SUMIFS('RAW_유기농_9월'!$H:$H,'RAW_유기농_9월'!$D:$D,$C227,'RAW_유기농_9월'!$A:$A,$E227),SUMIFS('RAW_유기농_10월'!$H:$H,'RAW_유기농_10월'!$D:$D,$C227,'RAW_유기농_10월'!$A:$A,$E227),SUMIFS('RAW_유기농_11-12월'!$H:$H,'RAW_유기농_11-12월'!$D:$D,$C227,'RAW_유기농_11-12월'!$A:$A,$E227))))</f>
        <v/>
      </c>
      <c r="I227" s="17" t="str">
        <f>IF($C227="","",IF(COUNTIFS('RAW_유기농_7월'!$D:$D,$C227,'RAW_유기농_7월'!$A:$A,$E227)&gt;0,"O",""))</f>
        <v/>
      </c>
      <c r="J227" s="17" t="str">
        <f>IF($C227="","",IF(COUNTIFS('RAW_유기농_8월'!$D:$D,$C227,'RAW_유기농_8월'!$A:$A,$E227)&gt;0,"O",""))</f>
        <v/>
      </c>
      <c r="K227" s="17" t="str">
        <f>IF($C227="","",IF(COUNTIFS('RAW_유기농_9월'!$D:$D,$C227,'RAW_유기농_9월'!$A:$A,$E227)&gt;0,"O",""))</f>
        <v/>
      </c>
      <c r="L227" s="17" t="str">
        <f>IF($C227="","",IF(COUNTIFS('RAW_유기농_10월'!$D:$D,$C227,'RAW_유기농_10월'!$A:$A,$E227)&gt;0,"O",""))</f>
        <v/>
      </c>
      <c r="M227" s="17" t="str">
        <f>IF($C227="","",IF(COUNTIFS('RAW_유기농_11-12월'!$D:$D,$C227,'RAW_유기농_11-12월'!$A:$A,$E227)&gt;0,"O",""))</f>
        <v/>
      </c>
      <c r="N227" s="7" t="str">
        <f>IF($C227="","",IF(COUNTA('RAW_유기농_7월'!$A:$A)&lt;=1,"",SUMIFS('RAW_유기농_7월'!$H:$H,'RAW_유기농_7월'!$D:$D,$C227,'RAW_유기농_7월'!$A:$A,$E227)))</f>
        <v/>
      </c>
      <c r="O227" s="7" t="str">
        <f>IF($C227="","",IF(COUNTA('RAW_유기농_8월'!$A:$A)&lt;=1,"",SUMIFS('RAW_유기농_8월'!$H:$H,'RAW_유기농_8월'!$D:$D,$C227,'RAW_유기농_8월'!$A:$A,$E227)-SUMIFS('RAW_유기농_7월'!$H:$H,'RAW_유기농_7월'!$D:$D,$C227,'RAW_유기농_7월'!$A:$A,$E227)))</f>
        <v/>
      </c>
      <c r="P227" s="7" t="str">
        <f>IF($C227="","",IF(COUNTA('RAW_유기농_9월'!$A:$A)&lt;=1,"",SUMIFS('RAW_유기농_9월'!$H:$H,'RAW_유기농_9월'!$D:$D,$C227,'RAW_유기농_9월'!$A:$A,$E227)-SUMIFS('RAW_유기농_8월'!$H:$H,'RAW_유기농_8월'!$D:$D,$C227,'RAW_유기농_8월'!$A:$A,$E227)))</f>
        <v/>
      </c>
      <c r="Q227" s="7" t="str">
        <f>IF($C227="","",IF(COUNTA('RAW_유기농_10월'!$A:$A)&lt;=1,"",SUMIFS('RAW_유기농_10월'!$H:$H,'RAW_유기농_10월'!$D:$D,$C227,'RAW_유기농_10월'!$A:$A,$E227)-SUMIFS('RAW_유기농_9월'!$H:$H,'RAW_유기농_9월'!$D:$D,$C227,'RAW_유기농_9월'!$A:$A,$E227)))</f>
        <v/>
      </c>
      <c r="R227" s="7" t="str">
        <f>IF($C227="","",IF(COUNTA('RAW_유기농_11-12월'!$A:$A)&lt;=1,"",SUMIFS('RAW_유기농_11-12월'!$H:$H,'RAW_유기농_11-12월'!$D:$D,$C227,'RAW_유기농_11-12월'!$A:$A,$E227)-SUMIFS('RAW_유기농_10월'!$H:$H,'RAW_유기농_10월'!$D:$D,$C227,'RAW_유기농_10월'!$A:$A,$E227)))</f>
        <v/>
      </c>
      <c r="S227" s="17" t="str">
        <f t="shared" si="4"/>
        <v/>
      </c>
      <c r="T227" s="17" t="str">
        <f t="shared" si="5"/>
        <v/>
      </c>
      <c r="U227" s="7">
        <f>IF($C227="",0,IF('설정'!$B$4=0,0,CHOOSE('설정'!$B$4,COUNTIFS('RAW_유기농_7월'!$D:$D,$C227,'RAW_유기농_7월'!$A:$A,$E227),COUNTIFS('RAW_유기농_8월'!$D:$D,$C227,'RAW_유기농_8월'!$A:$A,$E227),COUNTIFS('RAW_유기농_9월'!$D:$D,$C227,'RAW_유기농_9월'!$A:$A,$E227),COUNTIFS('RAW_유기농_10월'!$D:$D,$C227,'RAW_유기농_10월'!$A:$A,$E227),COUNTIFS('RAW_유기농_11-12월'!$D:$D,$C227,'RAW_유기농_11-12월'!$A:$A,$E227))))</f>
        <v>0</v>
      </c>
    </row>
    <row r="228" ht="15.75" customHeight="1">
      <c r="A228" s="5"/>
      <c r="B228" s="5"/>
      <c r="C228" s="5"/>
      <c r="D228" s="6"/>
      <c r="E228" s="5"/>
      <c r="F228" s="7" t="str">
        <f>IF($C228="","",IF('설정'!$B$4=0,"",CHOOSE('설정'!$B$4,SUMIFS('RAW_유기농_7월'!$F:$F,'RAW_유기농_7월'!$D:$D,$C228,'RAW_유기농_7월'!$A:$A,$E228),SUMIFS('RAW_유기농_8월'!$F:$F,'RAW_유기농_8월'!$D:$D,$C228,'RAW_유기농_8월'!$A:$A,$E228),SUMIFS('RAW_유기농_9월'!$F:$F,'RAW_유기농_9월'!$D:$D,$C228,'RAW_유기농_9월'!$A:$A,$E228),SUMIFS('RAW_유기농_10월'!$F:$F,'RAW_유기농_10월'!$D:$D,$C228,'RAW_유기농_10월'!$A:$A,$E228),SUMIFS('RAW_유기농_11-12월'!$F:$F,'RAW_유기농_11-12월'!$D:$D,$C228,'RAW_유기농_11-12월'!$A:$A,$E228))))</f>
        <v/>
      </c>
      <c r="G228" s="7" t="str">
        <f>IF($C228="","",IF('설정'!$B$4=0,"",CHOOSE('설정'!$B$4,SUMIFS('RAW_유기농_7월'!$G:$G,'RAW_유기농_7월'!$D:$D,$C228,'RAW_유기농_7월'!$A:$A,$E228),SUMIFS('RAW_유기농_8월'!$G:$G,'RAW_유기농_8월'!$D:$D,$C228,'RAW_유기농_8월'!$A:$A,$E228),SUMIFS('RAW_유기농_9월'!$G:$G,'RAW_유기농_9월'!$D:$D,$C228,'RAW_유기농_9월'!$A:$A,$E228),SUMIFS('RAW_유기농_10월'!$G:$G,'RAW_유기농_10월'!$D:$D,$C228,'RAW_유기농_10월'!$A:$A,$E228),SUMIFS('RAW_유기농_11-12월'!$G:$G,'RAW_유기농_11-12월'!$D:$D,$C228,'RAW_유기농_11-12월'!$A:$A,$E228))))</f>
        <v/>
      </c>
      <c r="H228" s="7" t="str">
        <f>IF($C228="","",IF('설정'!$B$4=0,"",CHOOSE('설정'!$B$4,SUMIFS('RAW_유기농_7월'!$H:$H,'RAW_유기농_7월'!$D:$D,$C228,'RAW_유기농_7월'!$A:$A,$E228),SUMIFS('RAW_유기농_8월'!$H:$H,'RAW_유기농_8월'!$D:$D,$C228,'RAW_유기농_8월'!$A:$A,$E228),SUMIFS('RAW_유기농_9월'!$H:$H,'RAW_유기농_9월'!$D:$D,$C228,'RAW_유기농_9월'!$A:$A,$E228),SUMIFS('RAW_유기농_10월'!$H:$H,'RAW_유기농_10월'!$D:$D,$C228,'RAW_유기농_10월'!$A:$A,$E228),SUMIFS('RAW_유기농_11-12월'!$H:$H,'RAW_유기농_11-12월'!$D:$D,$C228,'RAW_유기농_11-12월'!$A:$A,$E228))))</f>
        <v/>
      </c>
      <c r="I228" s="17" t="str">
        <f>IF($C228="","",IF(COUNTIFS('RAW_유기농_7월'!$D:$D,$C228,'RAW_유기농_7월'!$A:$A,$E228)&gt;0,"O",""))</f>
        <v/>
      </c>
      <c r="J228" s="17" t="str">
        <f>IF($C228="","",IF(COUNTIFS('RAW_유기농_8월'!$D:$D,$C228,'RAW_유기농_8월'!$A:$A,$E228)&gt;0,"O",""))</f>
        <v/>
      </c>
      <c r="K228" s="17" t="str">
        <f>IF($C228="","",IF(COUNTIFS('RAW_유기농_9월'!$D:$D,$C228,'RAW_유기농_9월'!$A:$A,$E228)&gt;0,"O",""))</f>
        <v/>
      </c>
      <c r="L228" s="17" t="str">
        <f>IF($C228="","",IF(COUNTIFS('RAW_유기농_10월'!$D:$D,$C228,'RAW_유기농_10월'!$A:$A,$E228)&gt;0,"O",""))</f>
        <v/>
      </c>
      <c r="M228" s="17" t="str">
        <f>IF($C228="","",IF(COUNTIFS('RAW_유기농_11-12월'!$D:$D,$C228,'RAW_유기농_11-12월'!$A:$A,$E228)&gt;0,"O",""))</f>
        <v/>
      </c>
      <c r="N228" s="7" t="str">
        <f>IF($C228="","",IF(COUNTA('RAW_유기농_7월'!$A:$A)&lt;=1,"",SUMIFS('RAW_유기농_7월'!$H:$H,'RAW_유기농_7월'!$D:$D,$C228,'RAW_유기농_7월'!$A:$A,$E228)))</f>
        <v/>
      </c>
      <c r="O228" s="7" t="str">
        <f>IF($C228="","",IF(COUNTA('RAW_유기농_8월'!$A:$A)&lt;=1,"",SUMIFS('RAW_유기농_8월'!$H:$H,'RAW_유기농_8월'!$D:$D,$C228,'RAW_유기농_8월'!$A:$A,$E228)-SUMIFS('RAW_유기농_7월'!$H:$H,'RAW_유기농_7월'!$D:$D,$C228,'RAW_유기농_7월'!$A:$A,$E228)))</f>
        <v/>
      </c>
      <c r="P228" s="7" t="str">
        <f>IF($C228="","",IF(COUNTA('RAW_유기농_9월'!$A:$A)&lt;=1,"",SUMIFS('RAW_유기농_9월'!$H:$H,'RAW_유기농_9월'!$D:$D,$C228,'RAW_유기농_9월'!$A:$A,$E228)-SUMIFS('RAW_유기농_8월'!$H:$H,'RAW_유기농_8월'!$D:$D,$C228,'RAW_유기농_8월'!$A:$A,$E228)))</f>
        <v/>
      </c>
      <c r="Q228" s="7" t="str">
        <f>IF($C228="","",IF(COUNTA('RAW_유기농_10월'!$A:$A)&lt;=1,"",SUMIFS('RAW_유기농_10월'!$H:$H,'RAW_유기농_10월'!$D:$D,$C228,'RAW_유기농_10월'!$A:$A,$E228)-SUMIFS('RAW_유기농_9월'!$H:$H,'RAW_유기농_9월'!$D:$D,$C228,'RAW_유기농_9월'!$A:$A,$E228)))</f>
        <v/>
      </c>
      <c r="R228" s="7" t="str">
        <f>IF($C228="","",IF(COUNTA('RAW_유기농_11-12월'!$A:$A)&lt;=1,"",SUMIFS('RAW_유기농_11-12월'!$H:$H,'RAW_유기농_11-12월'!$D:$D,$C228,'RAW_유기농_11-12월'!$A:$A,$E228)-SUMIFS('RAW_유기농_10월'!$H:$H,'RAW_유기농_10월'!$D:$D,$C228,'RAW_유기농_10월'!$A:$A,$E228)))</f>
        <v/>
      </c>
      <c r="S228" s="17" t="str">
        <f t="shared" si="4"/>
        <v/>
      </c>
      <c r="T228" s="17" t="str">
        <f t="shared" si="5"/>
        <v/>
      </c>
      <c r="U228" s="7">
        <f>IF($C228="",0,IF('설정'!$B$4=0,0,CHOOSE('설정'!$B$4,COUNTIFS('RAW_유기농_7월'!$D:$D,$C228,'RAW_유기농_7월'!$A:$A,$E228),COUNTIFS('RAW_유기농_8월'!$D:$D,$C228,'RAW_유기농_8월'!$A:$A,$E228),COUNTIFS('RAW_유기농_9월'!$D:$D,$C228,'RAW_유기농_9월'!$A:$A,$E228),COUNTIFS('RAW_유기농_10월'!$D:$D,$C228,'RAW_유기농_10월'!$A:$A,$E228),COUNTIFS('RAW_유기농_11-12월'!$D:$D,$C228,'RAW_유기농_11-12월'!$A:$A,$E228))))</f>
        <v>0</v>
      </c>
    </row>
    <row r="229" ht="15.75" customHeight="1">
      <c r="A229" s="5"/>
      <c r="B229" s="5"/>
      <c r="C229" s="5"/>
      <c r="D229" s="6"/>
      <c r="E229" s="5"/>
      <c r="F229" s="7" t="str">
        <f>IF($C229="","",IF('설정'!$B$4=0,"",CHOOSE('설정'!$B$4,SUMIFS('RAW_유기농_7월'!$F:$F,'RAW_유기농_7월'!$D:$D,$C229,'RAW_유기농_7월'!$A:$A,$E229),SUMIFS('RAW_유기농_8월'!$F:$F,'RAW_유기농_8월'!$D:$D,$C229,'RAW_유기농_8월'!$A:$A,$E229),SUMIFS('RAW_유기농_9월'!$F:$F,'RAW_유기농_9월'!$D:$D,$C229,'RAW_유기농_9월'!$A:$A,$E229),SUMIFS('RAW_유기농_10월'!$F:$F,'RAW_유기농_10월'!$D:$D,$C229,'RAW_유기농_10월'!$A:$A,$E229),SUMIFS('RAW_유기농_11-12월'!$F:$F,'RAW_유기농_11-12월'!$D:$D,$C229,'RAW_유기농_11-12월'!$A:$A,$E229))))</f>
        <v/>
      </c>
      <c r="G229" s="7" t="str">
        <f>IF($C229="","",IF('설정'!$B$4=0,"",CHOOSE('설정'!$B$4,SUMIFS('RAW_유기농_7월'!$G:$G,'RAW_유기농_7월'!$D:$D,$C229,'RAW_유기농_7월'!$A:$A,$E229),SUMIFS('RAW_유기농_8월'!$G:$G,'RAW_유기농_8월'!$D:$D,$C229,'RAW_유기농_8월'!$A:$A,$E229),SUMIFS('RAW_유기농_9월'!$G:$G,'RAW_유기농_9월'!$D:$D,$C229,'RAW_유기농_9월'!$A:$A,$E229),SUMIFS('RAW_유기농_10월'!$G:$G,'RAW_유기농_10월'!$D:$D,$C229,'RAW_유기농_10월'!$A:$A,$E229),SUMIFS('RAW_유기농_11-12월'!$G:$G,'RAW_유기농_11-12월'!$D:$D,$C229,'RAW_유기농_11-12월'!$A:$A,$E229))))</f>
        <v/>
      </c>
      <c r="H229" s="7" t="str">
        <f>IF($C229="","",IF('설정'!$B$4=0,"",CHOOSE('설정'!$B$4,SUMIFS('RAW_유기농_7월'!$H:$H,'RAW_유기농_7월'!$D:$D,$C229,'RAW_유기농_7월'!$A:$A,$E229),SUMIFS('RAW_유기농_8월'!$H:$H,'RAW_유기농_8월'!$D:$D,$C229,'RAW_유기농_8월'!$A:$A,$E229),SUMIFS('RAW_유기농_9월'!$H:$H,'RAW_유기농_9월'!$D:$D,$C229,'RAW_유기농_9월'!$A:$A,$E229),SUMIFS('RAW_유기농_10월'!$H:$H,'RAW_유기농_10월'!$D:$D,$C229,'RAW_유기농_10월'!$A:$A,$E229),SUMIFS('RAW_유기농_11-12월'!$H:$H,'RAW_유기농_11-12월'!$D:$D,$C229,'RAW_유기농_11-12월'!$A:$A,$E229))))</f>
        <v/>
      </c>
      <c r="I229" s="17" t="str">
        <f>IF($C229="","",IF(COUNTIFS('RAW_유기농_7월'!$D:$D,$C229,'RAW_유기농_7월'!$A:$A,$E229)&gt;0,"O",""))</f>
        <v/>
      </c>
      <c r="J229" s="17" t="str">
        <f>IF($C229="","",IF(COUNTIFS('RAW_유기농_8월'!$D:$D,$C229,'RAW_유기농_8월'!$A:$A,$E229)&gt;0,"O",""))</f>
        <v/>
      </c>
      <c r="K229" s="17" t="str">
        <f>IF($C229="","",IF(COUNTIFS('RAW_유기농_9월'!$D:$D,$C229,'RAW_유기농_9월'!$A:$A,$E229)&gt;0,"O",""))</f>
        <v/>
      </c>
      <c r="L229" s="17" t="str">
        <f>IF($C229="","",IF(COUNTIFS('RAW_유기농_10월'!$D:$D,$C229,'RAW_유기농_10월'!$A:$A,$E229)&gt;0,"O",""))</f>
        <v/>
      </c>
      <c r="M229" s="17" t="str">
        <f>IF($C229="","",IF(COUNTIFS('RAW_유기농_11-12월'!$D:$D,$C229,'RAW_유기농_11-12월'!$A:$A,$E229)&gt;0,"O",""))</f>
        <v/>
      </c>
      <c r="N229" s="7" t="str">
        <f>IF($C229="","",IF(COUNTA('RAW_유기농_7월'!$A:$A)&lt;=1,"",SUMIFS('RAW_유기농_7월'!$H:$H,'RAW_유기농_7월'!$D:$D,$C229,'RAW_유기농_7월'!$A:$A,$E229)))</f>
        <v/>
      </c>
      <c r="O229" s="7" t="str">
        <f>IF($C229="","",IF(COUNTA('RAW_유기농_8월'!$A:$A)&lt;=1,"",SUMIFS('RAW_유기농_8월'!$H:$H,'RAW_유기농_8월'!$D:$D,$C229,'RAW_유기농_8월'!$A:$A,$E229)-SUMIFS('RAW_유기농_7월'!$H:$H,'RAW_유기농_7월'!$D:$D,$C229,'RAW_유기농_7월'!$A:$A,$E229)))</f>
        <v/>
      </c>
      <c r="P229" s="7" t="str">
        <f>IF($C229="","",IF(COUNTA('RAW_유기농_9월'!$A:$A)&lt;=1,"",SUMIFS('RAW_유기농_9월'!$H:$H,'RAW_유기농_9월'!$D:$D,$C229,'RAW_유기농_9월'!$A:$A,$E229)-SUMIFS('RAW_유기농_8월'!$H:$H,'RAW_유기농_8월'!$D:$D,$C229,'RAW_유기농_8월'!$A:$A,$E229)))</f>
        <v/>
      </c>
      <c r="Q229" s="7" t="str">
        <f>IF($C229="","",IF(COUNTA('RAW_유기농_10월'!$A:$A)&lt;=1,"",SUMIFS('RAW_유기농_10월'!$H:$H,'RAW_유기농_10월'!$D:$D,$C229,'RAW_유기농_10월'!$A:$A,$E229)-SUMIFS('RAW_유기농_9월'!$H:$H,'RAW_유기농_9월'!$D:$D,$C229,'RAW_유기농_9월'!$A:$A,$E229)))</f>
        <v/>
      </c>
      <c r="R229" s="7" t="str">
        <f>IF($C229="","",IF(COUNTA('RAW_유기농_11-12월'!$A:$A)&lt;=1,"",SUMIFS('RAW_유기농_11-12월'!$H:$H,'RAW_유기농_11-12월'!$D:$D,$C229,'RAW_유기농_11-12월'!$A:$A,$E229)-SUMIFS('RAW_유기농_10월'!$H:$H,'RAW_유기농_10월'!$D:$D,$C229,'RAW_유기농_10월'!$A:$A,$E229)))</f>
        <v/>
      </c>
      <c r="S229" s="17" t="str">
        <f t="shared" si="4"/>
        <v/>
      </c>
      <c r="T229" s="17" t="str">
        <f t="shared" si="5"/>
        <v/>
      </c>
      <c r="U229" s="7">
        <f>IF($C229="",0,IF('설정'!$B$4=0,0,CHOOSE('설정'!$B$4,COUNTIFS('RAW_유기농_7월'!$D:$D,$C229,'RAW_유기농_7월'!$A:$A,$E229),COUNTIFS('RAW_유기농_8월'!$D:$D,$C229,'RAW_유기농_8월'!$A:$A,$E229),COUNTIFS('RAW_유기농_9월'!$D:$D,$C229,'RAW_유기농_9월'!$A:$A,$E229),COUNTIFS('RAW_유기농_10월'!$D:$D,$C229,'RAW_유기농_10월'!$A:$A,$E229),COUNTIFS('RAW_유기농_11-12월'!$D:$D,$C229,'RAW_유기농_11-12월'!$A:$A,$E229))))</f>
        <v>0</v>
      </c>
    </row>
    <row r="230" ht="15.75" customHeight="1">
      <c r="A230" s="5"/>
      <c r="B230" s="5"/>
      <c r="C230" s="5"/>
      <c r="D230" s="6"/>
      <c r="E230" s="5"/>
      <c r="F230" s="7" t="str">
        <f>IF($C230="","",IF('설정'!$B$4=0,"",CHOOSE('설정'!$B$4,SUMIFS('RAW_유기농_7월'!$F:$F,'RAW_유기농_7월'!$D:$D,$C230,'RAW_유기농_7월'!$A:$A,$E230),SUMIFS('RAW_유기농_8월'!$F:$F,'RAW_유기농_8월'!$D:$D,$C230,'RAW_유기농_8월'!$A:$A,$E230),SUMIFS('RAW_유기농_9월'!$F:$F,'RAW_유기농_9월'!$D:$D,$C230,'RAW_유기농_9월'!$A:$A,$E230),SUMIFS('RAW_유기농_10월'!$F:$F,'RAW_유기농_10월'!$D:$D,$C230,'RAW_유기농_10월'!$A:$A,$E230),SUMIFS('RAW_유기농_11-12월'!$F:$F,'RAW_유기농_11-12월'!$D:$D,$C230,'RAW_유기농_11-12월'!$A:$A,$E230))))</f>
        <v/>
      </c>
      <c r="G230" s="7" t="str">
        <f>IF($C230="","",IF('설정'!$B$4=0,"",CHOOSE('설정'!$B$4,SUMIFS('RAW_유기농_7월'!$G:$G,'RAW_유기농_7월'!$D:$D,$C230,'RAW_유기농_7월'!$A:$A,$E230),SUMIFS('RAW_유기농_8월'!$G:$G,'RAW_유기농_8월'!$D:$D,$C230,'RAW_유기농_8월'!$A:$A,$E230),SUMIFS('RAW_유기농_9월'!$G:$G,'RAW_유기농_9월'!$D:$D,$C230,'RAW_유기농_9월'!$A:$A,$E230),SUMIFS('RAW_유기농_10월'!$G:$G,'RAW_유기농_10월'!$D:$D,$C230,'RAW_유기농_10월'!$A:$A,$E230),SUMIFS('RAW_유기농_11-12월'!$G:$G,'RAW_유기농_11-12월'!$D:$D,$C230,'RAW_유기농_11-12월'!$A:$A,$E230))))</f>
        <v/>
      </c>
      <c r="H230" s="7" t="str">
        <f>IF($C230="","",IF('설정'!$B$4=0,"",CHOOSE('설정'!$B$4,SUMIFS('RAW_유기농_7월'!$H:$H,'RAW_유기농_7월'!$D:$D,$C230,'RAW_유기농_7월'!$A:$A,$E230),SUMIFS('RAW_유기농_8월'!$H:$H,'RAW_유기농_8월'!$D:$D,$C230,'RAW_유기농_8월'!$A:$A,$E230),SUMIFS('RAW_유기농_9월'!$H:$H,'RAW_유기농_9월'!$D:$D,$C230,'RAW_유기농_9월'!$A:$A,$E230),SUMIFS('RAW_유기농_10월'!$H:$H,'RAW_유기농_10월'!$D:$D,$C230,'RAW_유기농_10월'!$A:$A,$E230),SUMIFS('RAW_유기농_11-12월'!$H:$H,'RAW_유기농_11-12월'!$D:$D,$C230,'RAW_유기농_11-12월'!$A:$A,$E230))))</f>
        <v/>
      </c>
      <c r="I230" s="17" t="str">
        <f>IF($C230="","",IF(COUNTIFS('RAW_유기농_7월'!$D:$D,$C230,'RAW_유기농_7월'!$A:$A,$E230)&gt;0,"O",""))</f>
        <v/>
      </c>
      <c r="J230" s="17" t="str">
        <f>IF($C230="","",IF(COUNTIFS('RAW_유기농_8월'!$D:$D,$C230,'RAW_유기농_8월'!$A:$A,$E230)&gt;0,"O",""))</f>
        <v/>
      </c>
      <c r="K230" s="17" t="str">
        <f>IF($C230="","",IF(COUNTIFS('RAW_유기농_9월'!$D:$D,$C230,'RAW_유기농_9월'!$A:$A,$E230)&gt;0,"O",""))</f>
        <v/>
      </c>
      <c r="L230" s="17" t="str">
        <f>IF($C230="","",IF(COUNTIFS('RAW_유기농_10월'!$D:$D,$C230,'RAW_유기농_10월'!$A:$A,$E230)&gt;0,"O",""))</f>
        <v/>
      </c>
      <c r="M230" s="17" t="str">
        <f>IF($C230="","",IF(COUNTIFS('RAW_유기농_11-12월'!$D:$D,$C230,'RAW_유기농_11-12월'!$A:$A,$E230)&gt;0,"O",""))</f>
        <v/>
      </c>
      <c r="N230" s="7" t="str">
        <f>IF($C230="","",IF(COUNTA('RAW_유기농_7월'!$A:$A)&lt;=1,"",SUMIFS('RAW_유기농_7월'!$H:$H,'RAW_유기농_7월'!$D:$D,$C230,'RAW_유기농_7월'!$A:$A,$E230)))</f>
        <v/>
      </c>
      <c r="O230" s="7" t="str">
        <f>IF($C230="","",IF(COUNTA('RAW_유기농_8월'!$A:$A)&lt;=1,"",SUMIFS('RAW_유기농_8월'!$H:$H,'RAW_유기농_8월'!$D:$D,$C230,'RAW_유기농_8월'!$A:$A,$E230)-SUMIFS('RAW_유기농_7월'!$H:$H,'RAW_유기농_7월'!$D:$D,$C230,'RAW_유기농_7월'!$A:$A,$E230)))</f>
        <v/>
      </c>
      <c r="P230" s="7" t="str">
        <f>IF($C230="","",IF(COUNTA('RAW_유기농_9월'!$A:$A)&lt;=1,"",SUMIFS('RAW_유기농_9월'!$H:$H,'RAW_유기농_9월'!$D:$D,$C230,'RAW_유기농_9월'!$A:$A,$E230)-SUMIFS('RAW_유기농_8월'!$H:$H,'RAW_유기농_8월'!$D:$D,$C230,'RAW_유기농_8월'!$A:$A,$E230)))</f>
        <v/>
      </c>
      <c r="Q230" s="7" t="str">
        <f>IF($C230="","",IF(COUNTA('RAW_유기농_10월'!$A:$A)&lt;=1,"",SUMIFS('RAW_유기농_10월'!$H:$H,'RAW_유기농_10월'!$D:$D,$C230,'RAW_유기농_10월'!$A:$A,$E230)-SUMIFS('RAW_유기농_9월'!$H:$H,'RAW_유기농_9월'!$D:$D,$C230,'RAW_유기농_9월'!$A:$A,$E230)))</f>
        <v/>
      </c>
      <c r="R230" s="7" t="str">
        <f>IF($C230="","",IF(COUNTA('RAW_유기농_11-12월'!$A:$A)&lt;=1,"",SUMIFS('RAW_유기농_11-12월'!$H:$H,'RAW_유기농_11-12월'!$D:$D,$C230,'RAW_유기농_11-12월'!$A:$A,$E230)-SUMIFS('RAW_유기농_10월'!$H:$H,'RAW_유기농_10월'!$D:$D,$C230,'RAW_유기농_10월'!$A:$A,$E230)))</f>
        <v/>
      </c>
      <c r="S230" s="17" t="str">
        <f t="shared" si="4"/>
        <v/>
      </c>
      <c r="T230" s="17" t="str">
        <f t="shared" si="5"/>
        <v/>
      </c>
      <c r="U230" s="7">
        <f>IF($C230="",0,IF('설정'!$B$4=0,0,CHOOSE('설정'!$B$4,COUNTIFS('RAW_유기농_7월'!$D:$D,$C230,'RAW_유기농_7월'!$A:$A,$E230),COUNTIFS('RAW_유기농_8월'!$D:$D,$C230,'RAW_유기농_8월'!$A:$A,$E230),COUNTIFS('RAW_유기농_9월'!$D:$D,$C230,'RAW_유기농_9월'!$A:$A,$E230),COUNTIFS('RAW_유기농_10월'!$D:$D,$C230,'RAW_유기농_10월'!$A:$A,$E230),COUNTIFS('RAW_유기농_11-12월'!$D:$D,$C230,'RAW_유기농_11-12월'!$A:$A,$E230))))</f>
        <v>0</v>
      </c>
    </row>
    <row r="231" ht="15.75" customHeight="1">
      <c r="A231" s="5"/>
      <c r="B231" s="5"/>
      <c r="C231" s="5"/>
      <c r="D231" s="6"/>
      <c r="E231" s="5"/>
      <c r="F231" s="7" t="str">
        <f>IF($C231="","",IF('설정'!$B$4=0,"",CHOOSE('설정'!$B$4,SUMIFS('RAW_유기농_7월'!$F:$F,'RAW_유기농_7월'!$D:$D,$C231,'RAW_유기농_7월'!$A:$A,$E231),SUMIFS('RAW_유기농_8월'!$F:$F,'RAW_유기농_8월'!$D:$D,$C231,'RAW_유기농_8월'!$A:$A,$E231),SUMIFS('RAW_유기농_9월'!$F:$F,'RAW_유기농_9월'!$D:$D,$C231,'RAW_유기농_9월'!$A:$A,$E231),SUMIFS('RAW_유기농_10월'!$F:$F,'RAW_유기농_10월'!$D:$D,$C231,'RAW_유기농_10월'!$A:$A,$E231),SUMIFS('RAW_유기농_11-12월'!$F:$F,'RAW_유기농_11-12월'!$D:$D,$C231,'RAW_유기농_11-12월'!$A:$A,$E231))))</f>
        <v/>
      </c>
      <c r="G231" s="7" t="str">
        <f>IF($C231="","",IF('설정'!$B$4=0,"",CHOOSE('설정'!$B$4,SUMIFS('RAW_유기농_7월'!$G:$G,'RAW_유기농_7월'!$D:$D,$C231,'RAW_유기농_7월'!$A:$A,$E231),SUMIFS('RAW_유기농_8월'!$G:$G,'RAW_유기농_8월'!$D:$D,$C231,'RAW_유기농_8월'!$A:$A,$E231),SUMIFS('RAW_유기농_9월'!$G:$G,'RAW_유기농_9월'!$D:$D,$C231,'RAW_유기농_9월'!$A:$A,$E231),SUMIFS('RAW_유기농_10월'!$G:$G,'RAW_유기농_10월'!$D:$D,$C231,'RAW_유기농_10월'!$A:$A,$E231),SUMIFS('RAW_유기농_11-12월'!$G:$G,'RAW_유기농_11-12월'!$D:$D,$C231,'RAW_유기농_11-12월'!$A:$A,$E231))))</f>
        <v/>
      </c>
      <c r="H231" s="7" t="str">
        <f>IF($C231="","",IF('설정'!$B$4=0,"",CHOOSE('설정'!$B$4,SUMIFS('RAW_유기농_7월'!$H:$H,'RAW_유기농_7월'!$D:$D,$C231,'RAW_유기농_7월'!$A:$A,$E231),SUMIFS('RAW_유기농_8월'!$H:$H,'RAW_유기농_8월'!$D:$D,$C231,'RAW_유기농_8월'!$A:$A,$E231),SUMIFS('RAW_유기농_9월'!$H:$H,'RAW_유기농_9월'!$D:$D,$C231,'RAW_유기농_9월'!$A:$A,$E231),SUMIFS('RAW_유기농_10월'!$H:$H,'RAW_유기농_10월'!$D:$D,$C231,'RAW_유기농_10월'!$A:$A,$E231),SUMIFS('RAW_유기농_11-12월'!$H:$H,'RAW_유기농_11-12월'!$D:$D,$C231,'RAW_유기농_11-12월'!$A:$A,$E231))))</f>
        <v/>
      </c>
      <c r="I231" s="17" t="str">
        <f>IF($C231="","",IF(COUNTIFS('RAW_유기농_7월'!$D:$D,$C231,'RAW_유기농_7월'!$A:$A,$E231)&gt;0,"O",""))</f>
        <v/>
      </c>
      <c r="J231" s="17" t="str">
        <f>IF($C231="","",IF(COUNTIFS('RAW_유기농_8월'!$D:$D,$C231,'RAW_유기농_8월'!$A:$A,$E231)&gt;0,"O",""))</f>
        <v/>
      </c>
      <c r="K231" s="17" t="str">
        <f>IF($C231="","",IF(COUNTIFS('RAW_유기농_9월'!$D:$D,$C231,'RAW_유기농_9월'!$A:$A,$E231)&gt;0,"O",""))</f>
        <v/>
      </c>
      <c r="L231" s="17" t="str">
        <f>IF($C231="","",IF(COUNTIFS('RAW_유기농_10월'!$D:$D,$C231,'RAW_유기농_10월'!$A:$A,$E231)&gt;0,"O",""))</f>
        <v/>
      </c>
      <c r="M231" s="17" t="str">
        <f>IF($C231="","",IF(COUNTIFS('RAW_유기농_11-12월'!$D:$D,$C231,'RAW_유기농_11-12월'!$A:$A,$E231)&gt;0,"O",""))</f>
        <v/>
      </c>
      <c r="N231" s="7" t="str">
        <f>IF($C231="","",IF(COUNTA('RAW_유기농_7월'!$A:$A)&lt;=1,"",SUMIFS('RAW_유기농_7월'!$H:$H,'RAW_유기농_7월'!$D:$D,$C231,'RAW_유기농_7월'!$A:$A,$E231)))</f>
        <v/>
      </c>
      <c r="O231" s="7" t="str">
        <f>IF($C231="","",IF(COUNTA('RAW_유기농_8월'!$A:$A)&lt;=1,"",SUMIFS('RAW_유기농_8월'!$H:$H,'RAW_유기농_8월'!$D:$D,$C231,'RAW_유기농_8월'!$A:$A,$E231)-SUMIFS('RAW_유기농_7월'!$H:$H,'RAW_유기농_7월'!$D:$D,$C231,'RAW_유기농_7월'!$A:$A,$E231)))</f>
        <v/>
      </c>
      <c r="P231" s="7" t="str">
        <f>IF($C231="","",IF(COUNTA('RAW_유기농_9월'!$A:$A)&lt;=1,"",SUMIFS('RAW_유기농_9월'!$H:$H,'RAW_유기농_9월'!$D:$D,$C231,'RAW_유기농_9월'!$A:$A,$E231)-SUMIFS('RAW_유기농_8월'!$H:$H,'RAW_유기농_8월'!$D:$D,$C231,'RAW_유기농_8월'!$A:$A,$E231)))</f>
        <v/>
      </c>
      <c r="Q231" s="7" t="str">
        <f>IF($C231="","",IF(COUNTA('RAW_유기농_10월'!$A:$A)&lt;=1,"",SUMIFS('RAW_유기농_10월'!$H:$H,'RAW_유기농_10월'!$D:$D,$C231,'RAW_유기농_10월'!$A:$A,$E231)-SUMIFS('RAW_유기농_9월'!$H:$H,'RAW_유기농_9월'!$D:$D,$C231,'RAW_유기농_9월'!$A:$A,$E231)))</f>
        <v/>
      </c>
      <c r="R231" s="7" t="str">
        <f>IF($C231="","",IF(COUNTA('RAW_유기농_11-12월'!$A:$A)&lt;=1,"",SUMIFS('RAW_유기농_11-12월'!$H:$H,'RAW_유기농_11-12월'!$D:$D,$C231,'RAW_유기농_11-12월'!$A:$A,$E231)-SUMIFS('RAW_유기농_10월'!$H:$H,'RAW_유기농_10월'!$D:$D,$C231,'RAW_유기농_10월'!$A:$A,$E231)))</f>
        <v/>
      </c>
      <c r="S231" s="17" t="str">
        <f t="shared" si="4"/>
        <v/>
      </c>
      <c r="T231" s="17" t="str">
        <f t="shared" si="5"/>
        <v/>
      </c>
      <c r="U231" s="7">
        <f>IF($C231="",0,IF('설정'!$B$4=0,0,CHOOSE('설정'!$B$4,COUNTIFS('RAW_유기농_7월'!$D:$D,$C231,'RAW_유기농_7월'!$A:$A,$E231),COUNTIFS('RAW_유기농_8월'!$D:$D,$C231,'RAW_유기농_8월'!$A:$A,$E231),COUNTIFS('RAW_유기농_9월'!$D:$D,$C231,'RAW_유기농_9월'!$A:$A,$E231),COUNTIFS('RAW_유기농_10월'!$D:$D,$C231,'RAW_유기농_10월'!$A:$A,$E231),COUNTIFS('RAW_유기농_11-12월'!$D:$D,$C231,'RAW_유기농_11-12월'!$A:$A,$E231))))</f>
        <v>0</v>
      </c>
    </row>
    <row r="232" ht="15.75" customHeight="1">
      <c r="A232" s="5"/>
      <c r="B232" s="5"/>
      <c r="C232" s="5"/>
      <c r="D232" s="6"/>
      <c r="E232" s="5"/>
      <c r="F232" s="7" t="str">
        <f>IF($C232="","",IF('설정'!$B$4=0,"",CHOOSE('설정'!$B$4,SUMIFS('RAW_유기농_7월'!$F:$F,'RAW_유기농_7월'!$D:$D,$C232,'RAW_유기농_7월'!$A:$A,$E232),SUMIFS('RAW_유기농_8월'!$F:$F,'RAW_유기농_8월'!$D:$D,$C232,'RAW_유기농_8월'!$A:$A,$E232),SUMIFS('RAW_유기농_9월'!$F:$F,'RAW_유기농_9월'!$D:$D,$C232,'RAW_유기농_9월'!$A:$A,$E232),SUMIFS('RAW_유기농_10월'!$F:$F,'RAW_유기농_10월'!$D:$D,$C232,'RAW_유기농_10월'!$A:$A,$E232),SUMIFS('RAW_유기농_11-12월'!$F:$F,'RAW_유기농_11-12월'!$D:$D,$C232,'RAW_유기농_11-12월'!$A:$A,$E232))))</f>
        <v/>
      </c>
      <c r="G232" s="7" t="str">
        <f>IF($C232="","",IF('설정'!$B$4=0,"",CHOOSE('설정'!$B$4,SUMIFS('RAW_유기농_7월'!$G:$G,'RAW_유기농_7월'!$D:$D,$C232,'RAW_유기농_7월'!$A:$A,$E232),SUMIFS('RAW_유기농_8월'!$G:$G,'RAW_유기농_8월'!$D:$D,$C232,'RAW_유기농_8월'!$A:$A,$E232),SUMIFS('RAW_유기농_9월'!$G:$G,'RAW_유기농_9월'!$D:$D,$C232,'RAW_유기농_9월'!$A:$A,$E232),SUMIFS('RAW_유기농_10월'!$G:$G,'RAW_유기농_10월'!$D:$D,$C232,'RAW_유기농_10월'!$A:$A,$E232),SUMIFS('RAW_유기농_11-12월'!$G:$G,'RAW_유기농_11-12월'!$D:$D,$C232,'RAW_유기농_11-12월'!$A:$A,$E232))))</f>
        <v/>
      </c>
      <c r="H232" s="7" t="str">
        <f>IF($C232="","",IF('설정'!$B$4=0,"",CHOOSE('설정'!$B$4,SUMIFS('RAW_유기농_7월'!$H:$H,'RAW_유기농_7월'!$D:$D,$C232,'RAW_유기농_7월'!$A:$A,$E232),SUMIFS('RAW_유기농_8월'!$H:$H,'RAW_유기농_8월'!$D:$D,$C232,'RAW_유기농_8월'!$A:$A,$E232),SUMIFS('RAW_유기농_9월'!$H:$H,'RAW_유기농_9월'!$D:$D,$C232,'RAW_유기농_9월'!$A:$A,$E232),SUMIFS('RAW_유기농_10월'!$H:$H,'RAW_유기농_10월'!$D:$D,$C232,'RAW_유기농_10월'!$A:$A,$E232),SUMIFS('RAW_유기농_11-12월'!$H:$H,'RAW_유기농_11-12월'!$D:$D,$C232,'RAW_유기농_11-12월'!$A:$A,$E232))))</f>
        <v/>
      </c>
      <c r="I232" s="17" t="str">
        <f>IF($C232="","",IF(COUNTIFS('RAW_유기농_7월'!$D:$D,$C232,'RAW_유기농_7월'!$A:$A,$E232)&gt;0,"O",""))</f>
        <v/>
      </c>
      <c r="J232" s="17" t="str">
        <f>IF($C232="","",IF(COUNTIFS('RAW_유기농_8월'!$D:$D,$C232,'RAW_유기농_8월'!$A:$A,$E232)&gt;0,"O",""))</f>
        <v/>
      </c>
      <c r="K232" s="17" t="str">
        <f>IF($C232="","",IF(COUNTIFS('RAW_유기농_9월'!$D:$D,$C232,'RAW_유기농_9월'!$A:$A,$E232)&gt;0,"O",""))</f>
        <v/>
      </c>
      <c r="L232" s="17" t="str">
        <f>IF($C232="","",IF(COUNTIFS('RAW_유기농_10월'!$D:$D,$C232,'RAW_유기농_10월'!$A:$A,$E232)&gt;0,"O",""))</f>
        <v/>
      </c>
      <c r="M232" s="17" t="str">
        <f>IF($C232="","",IF(COUNTIFS('RAW_유기농_11-12월'!$D:$D,$C232,'RAW_유기농_11-12월'!$A:$A,$E232)&gt;0,"O",""))</f>
        <v/>
      </c>
      <c r="N232" s="7" t="str">
        <f>IF($C232="","",IF(COUNTA('RAW_유기농_7월'!$A:$A)&lt;=1,"",SUMIFS('RAW_유기농_7월'!$H:$H,'RAW_유기농_7월'!$D:$D,$C232,'RAW_유기농_7월'!$A:$A,$E232)))</f>
        <v/>
      </c>
      <c r="O232" s="7" t="str">
        <f>IF($C232="","",IF(COUNTA('RAW_유기농_8월'!$A:$A)&lt;=1,"",SUMIFS('RAW_유기농_8월'!$H:$H,'RAW_유기농_8월'!$D:$D,$C232,'RAW_유기농_8월'!$A:$A,$E232)-SUMIFS('RAW_유기농_7월'!$H:$H,'RAW_유기농_7월'!$D:$D,$C232,'RAW_유기농_7월'!$A:$A,$E232)))</f>
        <v/>
      </c>
      <c r="P232" s="7" t="str">
        <f>IF($C232="","",IF(COUNTA('RAW_유기농_9월'!$A:$A)&lt;=1,"",SUMIFS('RAW_유기농_9월'!$H:$H,'RAW_유기농_9월'!$D:$D,$C232,'RAW_유기농_9월'!$A:$A,$E232)-SUMIFS('RAW_유기농_8월'!$H:$H,'RAW_유기농_8월'!$D:$D,$C232,'RAW_유기농_8월'!$A:$A,$E232)))</f>
        <v/>
      </c>
      <c r="Q232" s="7" t="str">
        <f>IF($C232="","",IF(COUNTA('RAW_유기농_10월'!$A:$A)&lt;=1,"",SUMIFS('RAW_유기농_10월'!$H:$H,'RAW_유기농_10월'!$D:$D,$C232,'RAW_유기농_10월'!$A:$A,$E232)-SUMIFS('RAW_유기농_9월'!$H:$H,'RAW_유기농_9월'!$D:$D,$C232,'RAW_유기농_9월'!$A:$A,$E232)))</f>
        <v/>
      </c>
      <c r="R232" s="7" t="str">
        <f>IF($C232="","",IF(COUNTA('RAW_유기농_11-12월'!$A:$A)&lt;=1,"",SUMIFS('RAW_유기농_11-12월'!$H:$H,'RAW_유기농_11-12월'!$D:$D,$C232,'RAW_유기농_11-12월'!$A:$A,$E232)-SUMIFS('RAW_유기농_10월'!$H:$H,'RAW_유기농_10월'!$D:$D,$C232,'RAW_유기농_10월'!$A:$A,$E232)))</f>
        <v/>
      </c>
      <c r="S232" s="17" t="str">
        <f t="shared" si="4"/>
        <v/>
      </c>
      <c r="T232" s="17" t="str">
        <f t="shared" si="5"/>
        <v/>
      </c>
      <c r="U232" s="7">
        <f>IF($C232="",0,IF('설정'!$B$4=0,0,CHOOSE('설정'!$B$4,COUNTIFS('RAW_유기농_7월'!$D:$D,$C232,'RAW_유기농_7월'!$A:$A,$E232),COUNTIFS('RAW_유기농_8월'!$D:$D,$C232,'RAW_유기농_8월'!$A:$A,$E232),COUNTIFS('RAW_유기농_9월'!$D:$D,$C232,'RAW_유기농_9월'!$A:$A,$E232),COUNTIFS('RAW_유기농_10월'!$D:$D,$C232,'RAW_유기농_10월'!$A:$A,$E232),COUNTIFS('RAW_유기농_11-12월'!$D:$D,$C232,'RAW_유기농_11-12월'!$A:$A,$E232))))</f>
        <v>0</v>
      </c>
    </row>
    <row r="233" ht="15.75" customHeight="1">
      <c r="A233" s="5"/>
      <c r="B233" s="5"/>
      <c r="C233" s="5"/>
      <c r="D233" s="6"/>
      <c r="E233" s="5"/>
      <c r="F233" s="7" t="str">
        <f>IF($C233="","",IF('설정'!$B$4=0,"",CHOOSE('설정'!$B$4,SUMIFS('RAW_유기농_7월'!$F:$F,'RAW_유기농_7월'!$D:$D,$C233,'RAW_유기농_7월'!$A:$A,$E233),SUMIFS('RAW_유기농_8월'!$F:$F,'RAW_유기농_8월'!$D:$D,$C233,'RAW_유기농_8월'!$A:$A,$E233),SUMIFS('RAW_유기농_9월'!$F:$F,'RAW_유기농_9월'!$D:$D,$C233,'RAW_유기농_9월'!$A:$A,$E233),SUMIFS('RAW_유기농_10월'!$F:$F,'RAW_유기농_10월'!$D:$D,$C233,'RAW_유기농_10월'!$A:$A,$E233),SUMIFS('RAW_유기농_11-12월'!$F:$F,'RAW_유기농_11-12월'!$D:$D,$C233,'RAW_유기농_11-12월'!$A:$A,$E233))))</f>
        <v/>
      </c>
      <c r="G233" s="7" t="str">
        <f>IF($C233="","",IF('설정'!$B$4=0,"",CHOOSE('설정'!$B$4,SUMIFS('RAW_유기농_7월'!$G:$G,'RAW_유기농_7월'!$D:$D,$C233,'RAW_유기농_7월'!$A:$A,$E233),SUMIFS('RAW_유기농_8월'!$G:$G,'RAW_유기농_8월'!$D:$D,$C233,'RAW_유기농_8월'!$A:$A,$E233),SUMIFS('RAW_유기농_9월'!$G:$G,'RAW_유기농_9월'!$D:$D,$C233,'RAW_유기농_9월'!$A:$A,$E233),SUMIFS('RAW_유기농_10월'!$G:$G,'RAW_유기농_10월'!$D:$D,$C233,'RAW_유기농_10월'!$A:$A,$E233),SUMIFS('RAW_유기농_11-12월'!$G:$G,'RAW_유기농_11-12월'!$D:$D,$C233,'RAW_유기농_11-12월'!$A:$A,$E233))))</f>
        <v/>
      </c>
      <c r="H233" s="7" t="str">
        <f>IF($C233="","",IF('설정'!$B$4=0,"",CHOOSE('설정'!$B$4,SUMIFS('RAW_유기농_7월'!$H:$H,'RAW_유기농_7월'!$D:$D,$C233,'RAW_유기농_7월'!$A:$A,$E233),SUMIFS('RAW_유기농_8월'!$H:$H,'RAW_유기농_8월'!$D:$D,$C233,'RAW_유기농_8월'!$A:$A,$E233),SUMIFS('RAW_유기농_9월'!$H:$H,'RAW_유기농_9월'!$D:$D,$C233,'RAW_유기농_9월'!$A:$A,$E233),SUMIFS('RAW_유기농_10월'!$H:$H,'RAW_유기농_10월'!$D:$D,$C233,'RAW_유기농_10월'!$A:$A,$E233),SUMIFS('RAW_유기농_11-12월'!$H:$H,'RAW_유기농_11-12월'!$D:$D,$C233,'RAW_유기농_11-12월'!$A:$A,$E233))))</f>
        <v/>
      </c>
      <c r="I233" s="17" t="str">
        <f>IF($C233="","",IF(COUNTIFS('RAW_유기농_7월'!$D:$D,$C233,'RAW_유기농_7월'!$A:$A,$E233)&gt;0,"O",""))</f>
        <v/>
      </c>
      <c r="J233" s="17" t="str">
        <f>IF($C233="","",IF(COUNTIFS('RAW_유기농_8월'!$D:$D,$C233,'RAW_유기농_8월'!$A:$A,$E233)&gt;0,"O",""))</f>
        <v/>
      </c>
      <c r="K233" s="17" t="str">
        <f>IF($C233="","",IF(COUNTIFS('RAW_유기농_9월'!$D:$D,$C233,'RAW_유기농_9월'!$A:$A,$E233)&gt;0,"O",""))</f>
        <v/>
      </c>
      <c r="L233" s="17" t="str">
        <f>IF($C233="","",IF(COUNTIFS('RAW_유기농_10월'!$D:$D,$C233,'RAW_유기농_10월'!$A:$A,$E233)&gt;0,"O",""))</f>
        <v/>
      </c>
      <c r="M233" s="17" t="str">
        <f>IF($C233="","",IF(COUNTIFS('RAW_유기농_11-12월'!$D:$D,$C233,'RAW_유기농_11-12월'!$A:$A,$E233)&gt;0,"O",""))</f>
        <v/>
      </c>
      <c r="N233" s="7" t="str">
        <f>IF($C233="","",IF(COUNTA('RAW_유기농_7월'!$A:$A)&lt;=1,"",SUMIFS('RAW_유기농_7월'!$H:$H,'RAW_유기농_7월'!$D:$D,$C233,'RAW_유기농_7월'!$A:$A,$E233)))</f>
        <v/>
      </c>
      <c r="O233" s="7" t="str">
        <f>IF($C233="","",IF(COUNTA('RAW_유기농_8월'!$A:$A)&lt;=1,"",SUMIFS('RAW_유기농_8월'!$H:$H,'RAW_유기농_8월'!$D:$D,$C233,'RAW_유기농_8월'!$A:$A,$E233)-SUMIFS('RAW_유기농_7월'!$H:$H,'RAW_유기농_7월'!$D:$D,$C233,'RAW_유기농_7월'!$A:$A,$E233)))</f>
        <v/>
      </c>
      <c r="P233" s="7" t="str">
        <f>IF($C233="","",IF(COUNTA('RAW_유기농_9월'!$A:$A)&lt;=1,"",SUMIFS('RAW_유기농_9월'!$H:$H,'RAW_유기농_9월'!$D:$D,$C233,'RAW_유기농_9월'!$A:$A,$E233)-SUMIFS('RAW_유기농_8월'!$H:$H,'RAW_유기농_8월'!$D:$D,$C233,'RAW_유기농_8월'!$A:$A,$E233)))</f>
        <v/>
      </c>
      <c r="Q233" s="7" t="str">
        <f>IF($C233="","",IF(COUNTA('RAW_유기농_10월'!$A:$A)&lt;=1,"",SUMIFS('RAW_유기농_10월'!$H:$H,'RAW_유기농_10월'!$D:$D,$C233,'RAW_유기농_10월'!$A:$A,$E233)-SUMIFS('RAW_유기농_9월'!$H:$H,'RAW_유기농_9월'!$D:$D,$C233,'RAW_유기농_9월'!$A:$A,$E233)))</f>
        <v/>
      </c>
      <c r="R233" s="7" t="str">
        <f>IF($C233="","",IF(COUNTA('RAW_유기농_11-12월'!$A:$A)&lt;=1,"",SUMIFS('RAW_유기농_11-12월'!$H:$H,'RAW_유기농_11-12월'!$D:$D,$C233,'RAW_유기농_11-12월'!$A:$A,$E233)-SUMIFS('RAW_유기농_10월'!$H:$H,'RAW_유기농_10월'!$D:$D,$C233,'RAW_유기농_10월'!$A:$A,$E233)))</f>
        <v/>
      </c>
      <c r="S233" s="17" t="str">
        <f t="shared" si="4"/>
        <v/>
      </c>
      <c r="T233" s="17" t="str">
        <f t="shared" si="5"/>
        <v/>
      </c>
      <c r="U233" s="7">
        <f>IF($C233="",0,IF('설정'!$B$4=0,0,CHOOSE('설정'!$B$4,COUNTIFS('RAW_유기농_7월'!$D:$D,$C233,'RAW_유기농_7월'!$A:$A,$E233),COUNTIFS('RAW_유기농_8월'!$D:$D,$C233,'RAW_유기농_8월'!$A:$A,$E233),COUNTIFS('RAW_유기농_9월'!$D:$D,$C233,'RAW_유기농_9월'!$A:$A,$E233),COUNTIFS('RAW_유기농_10월'!$D:$D,$C233,'RAW_유기농_10월'!$A:$A,$E233),COUNTIFS('RAW_유기농_11-12월'!$D:$D,$C233,'RAW_유기농_11-12월'!$A:$A,$E233))))</f>
        <v>0</v>
      </c>
    </row>
    <row r="234" ht="15.75" customHeight="1">
      <c r="A234" s="5"/>
      <c r="B234" s="5"/>
      <c r="C234" s="5"/>
      <c r="D234" s="6"/>
      <c r="E234" s="5"/>
      <c r="F234" s="7" t="str">
        <f>IF($C234="","",IF('설정'!$B$4=0,"",CHOOSE('설정'!$B$4,SUMIFS('RAW_유기농_7월'!$F:$F,'RAW_유기농_7월'!$D:$D,$C234,'RAW_유기농_7월'!$A:$A,$E234),SUMIFS('RAW_유기농_8월'!$F:$F,'RAW_유기농_8월'!$D:$D,$C234,'RAW_유기농_8월'!$A:$A,$E234),SUMIFS('RAW_유기농_9월'!$F:$F,'RAW_유기농_9월'!$D:$D,$C234,'RAW_유기농_9월'!$A:$A,$E234),SUMIFS('RAW_유기농_10월'!$F:$F,'RAW_유기농_10월'!$D:$D,$C234,'RAW_유기농_10월'!$A:$A,$E234),SUMIFS('RAW_유기농_11-12월'!$F:$F,'RAW_유기농_11-12월'!$D:$D,$C234,'RAW_유기농_11-12월'!$A:$A,$E234))))</f>
        <v/>
      </c>
      <c r="G234" s="7" t="str">
        <f>IF($C234="","",IF('설정'!$B$4=0,"",CHOOSE('설정'!$B$4,SUMIFS('RAW_유기농_7월'!$G:$G,'RAW_유기농_7월'!$D:$D,$C234,'RAW_유기농_7월'!$A:$A,$E234),SUMIFS('RAW_유기농_8월'!$G:$G,'RAW_유기농_8월'!$D:$D,$C234,'RAW_유기농_8월'!$A:$A,$E234),SUMIFS('RAW_유기농_9월'!$G:$G,'RAW_유기농_9월'!$D:$D,$C234,'RAW_유기농_9월'!$A:$A,$E234),SUMIFS('RAW_유기농_10월'!$G:$G,'RAW_유기농_10월'!$D:$D,$C234,'RAW_유기농_10월'!$A:$A,$E234),SUMIFS('RAW_유기농_11-12월'!$G:$G,'RAW_유기농_11-12월'!$D:$D,$C234,'RAW_유기농_11-12월'!$A:$A,$E234))))</f>
        <v/>
      </c>
      <c r="H234" s="7" t="str">
        <f>IF($C234="","",IF('설정'!$B$4=0,"",CHOOSE('설정'!$B$4,SUMIFS('RAW_유기농_7월'!$H:$H,'RAW_유기농_7월'!$D:$D,$C234,'RAW_유기농_7월'!$A:$A,$E234),SUMIFS('RAW_유기농_8월'!$H:$H,'RAW_유기농_8월'!$D:$D,$C234,'RAW_유기농_8월'!$A:$A,$E234),SUMIFS('RAW_유기농_9월'!$H:$H,'RAW_유기농_9월'!$D:$D,$C234,'RAW_유기농_9월'!$A:$A,$E234),SUMIFS('RAW_유기농_10월'!$H:$H,'RAW_유기농_10월'!$D:$D,$C234,'RAW_유기농_10월'!$A:$A,$E234),SUMIFS('RAW_유기농_11-12월'!$H:$H,'RAW_유기농_11-12월'!$D:$D,$C234,'RAW_유기농_11-12월'!$A:$A,$E234))))</f>
        <v/>
      </c>
      <c r="I234" s="17" t="str">
        <f>IF($C234="","",IF(COUNTIFS('RAW_유기농_7월'!$D:$D,$C234,'RAW_유기농_7월'!$A:$A,$E234)&gt;0,"O",""))</f>
        <v/>
      </c>
      <c r="J234" s="17" t="str">
        <f>IF($C234="","",IF(COUNTIFS('RAW_유기농_8월'!$D:$D,$C234,'RAW_유기농_8월'!$A:$A,$E234)&gt;0,"O",""))</f>
        <v/>
      </c>
      <c r="K234" s="17" t="str">
        <f>IF($C234="","",IF(COUNTIFS('RAW_유기농_9월'!$D:$D,$C234,'RAW_유기농_9월'!$A:$A,$E234)&gt;0,"O",""))</f>
        <v/>
      </c>
      <c r="L234" s="17" t="str">
        <f>IF($C234="","",IF(COUNTIFS('RAW_유기농_10월'!$D:$D,$C234,'RAW_유기농_10월'!$A:$A,$E234)&gt;0,"O",""))</f>
        <v/>
      </c>
      <c r="M234" s="17" t="str">
        <f>IF($C234="","",IF(COUNTIFS('RAW_유기농_11-12월'!$D:$D,$C234,'RAW_유기농_11-12월'!$A:$A,$E234)&gt;0,"O",""))</f>
        <v/>
      </c>
      <c r="N234" s="7" t="str">
        <f>IF($C234="","",IF(COUNTA('RAW_유기농_7월'!$A:$A)&lt;=1,"",SUMIFS('RAW_유기농_7월'!$H:$H,'RAW_유기농_7월'!$D:$D,$C234,'RAW_유기농_7월'!$A:$A,$E234)))</f>
        <v/>
      </c>
      <c r="O234" s="7" t="str">
        <f>IF($C234="","",IF(COUNTA('RAW_유기농_8월'!$A:$A)&lt;=1,"",SUMIFS('RAW_유기농_8월'!$H:$H,'RAW_유기농_8월'!$D:$D,$C234,'RAW_유기농_8월'!$A:$A,$E234)-SUMIFS('RAW_유기농_7월'!$H:$H,'RAW_유기농_7월'!$D:$D,$C234,'RAW_유기농_7월'!$A:$A,$E234)))</f>
        <v/>
      </c>
      <c r="P234" s="7" t="str">
        <f>IF($C234="","",IF(COUNTA('RAW_유기농_9월'!$A:$A)&lt;=1,"",SUMIFS('RAW_유기농_9월'!$H:$H,'RAW_유기농_9월'!$D:$D,$C234,'RAW_유기농_9월'!$A:$A,$E234)-SUMIFS('RAW_유기농_8월'!$H:$H,'RAW_유기농_8월'!$D:$D,$C234,'RAW_유기농_8월'!$A:$A,$E234)))</f>
        <v/>
      </c>
      <c r="Q234" s="7" t="str">
        <f>IF($C234="","",IF(COUNTA('RAW_유기농_10월'!$A:$A)&lt;=1,"",SUMIFS('RAW_유기농_10월'!$H:$H,'RAW_유기농_10월'!$D:$D,$C234,'RAW_유기농_10월'!$A:$A,$E234)-SUMIFS('RAW_유기농_9월'!$H:$H,'RAW_유기농_9월'!$D:$D,$C234,'RAW_유기농_9월'!$A:$A,$E234)))</f>
        <v/>
      </c>
      <c r="R234" s="7" t="str">
        <f>IF($C234="","",IF(COUNTA('RAW_유기농_11-12월'!$A:$A)&lt;=1,"",SUMIFS('RAW_유기농_11-12월'!$H:$H,'RAW_유기농_11-12월'!$D:$D,$C234,'RAW_유기농_11-12월'!$A:$A,$E234)-SUMIFS('RAW_유기농_10월'!$H:$H,'RAW_유기농_10월'!$D:$D,$C234,'RAW_유기농_10월'!$A:$A,$E234)))</f>
        <v/>
      </c>
      <c r="S234" s="17" t="str">
        <f t="shared" si="4"/>
        <v/>
      </c>
      <c r="T234" s="17" t="str">
        <f t="shared" si="5"/>
        <v/>
      </c>
      <c r="U234" s="7">
        <f>IF($C234="",0,IF('설정'!$B$4=0,0,CHOOSE('설정'!$B$4,COUNTIFS('RAW_유기농_7월'!$D:$D,$C234,'RAW_유기농_7월'!$A:$A,$E234),COUNTIFS('RAW_유기농_8월'!$D:$D,$C234,'RAW_유기농_8월'!$A:$A,$E234),COUNTIFS('RAW_유기농_9월'!$D:$D,$C234,'RAW_유기농_9월'!$A:$A,$E234),COUNTIFS('RAW_유기농_10월'!$D:$D,$C234,'RAW_유기농_10월'!$A:$A,$E234),COUNTIFS('RAW_유기농_11-12월'!$D:$D,$C234,'RAW_유기농_11-12월'!$A:$A,$E234))))</f>
        <v>0</v>
      </c>
    </row>
    <row r="235" ht="15.75" customHeight="1">
      <c r="A235" s="5"/>
      <c r="B235" s="5"/>
      <c r="C235" s="5"/>
      <c r="D235" s="6"/>
      <c r="E235" s="5"/>
      <c r="F235" s="7" t="str">
        <f>IF($C235="","",IF('설정'!$B$4=0,"",CHOOSE('설정'!$B$4,SUMIFS('RAW_유기농_7월'!$F:$F,'RAW_유기농_7월'!$D:$D,$C235,'RAW_유기농_7월'!$A:$A,$E235),SUMIFS('RAW_유기농_8월'!$F:$F,'RAW_유기농_8월'!$D:$D,$C235,'RAW_유기농_8월'!$A:$A,$E235),SUMIFS('RAW_유기농_9월'!$F:$F,'RAW_유기농_9월'!$D:$D,$C235,'RAW_유기농_9월'!$A:$A,$E235),SUMIFS('RAW_유기농_10월'!$F:$F,'RAW_유기농_10월'!$D:$D,$C235,'RAW_유기농_10월'!$A:$A,$E235),SUMIFS('RAW_유기농_11-12월'!$F:$F,'RAW_유기농_11-12월'!$D:$D,$C235,'RAW_유기농_11-12월'!$A:$A,$E235))))</f>
        <v/>
      </c>
      <c r="G235" s="7" t="str">
        <f>IF($C235="","",IF('설정'!$B$4=0,"",CHOOSE('설정'!$B$4,SUMIFS('RAW_유기농_7월'!$G:$G,'RAW_유기농_7월'!$D:$D,$C235,'RAW_유기농_7월'!$A:$A,$E235),SUMIFS('RAW_유기농_8월'!$G:$G,'RAW_유기농_8월'!$D:$D,$C235,'RAW_유기농_8월'!$A:$A,$E235),SUMIFS('RAW_유기농_9월'!$G:$G,'RAW_유기농_9월'!$D:$D,$C235,'RAW_유기농_9월'!$A:$A,$E235),SUMIFS('RAW_유기농_10월'!$G:$G,'RAW_유기농_10월'!$D:$D,$C235,'RAW_유기농_10월'!$A:$A,$E235),SUMIFS('RAW_유기농_11-12월'!$G:$G,'RAW_유기농_11-12월'!$D:$D,$C235,'RAW_유기농_11-12월'!$A:$A,$E235))))</f>
        <v/>
      </c>
      <c r="H235" s="7" t="str">
        <f>IF($C235="","",IF('설정'!$B$4=0,"",CHOOSE('설정'!$B$4,SUMIFS('RAW_유기농_7월'!$H:$H,'RAW_유기농_7월'!$D:$D,$C235,'RAW_유기농_7월'!$A:$A,$E235),SUMIFS('RAW_유기농_8월'!$H:$H,'RAW_유기농_8월'!$D:$D,$C235,'RAW_유기농_8월'!$A:$A,$E235),SUMIFS('RAW_유기농_9월'!$H:$H,'RAW_유기농_9월'!$D:$D,$C235,'RAW_유기농_9월'!$A:$A,$E235),SUMIFS('RAW_유기농_10월'!$H:$H,'RAW_유기농_10월'!$D:$D,$C235,'RAW_유기농_10월'!$A:$A,$E235),SUMIFS('RAW_유기농_11-12월'!$H:$H,'RAW_유기농_11-12월'!$D:$D,$C235,'RAW_유기농_11-12월'!$A:$A,$E235))))</f>
        <v/>
      </c>
      <c r="I235" s="17" t="str">
        <f>IF($C235="","",IF(COUNTIFS('RAW_유기농_7월'!$D:$D,$C235,'RAW_유기농_7월'!$A:$A,$E235)&gt;0,"O",""))</f>
        <v/>
      </c>
      <c r="J235" s="17" t="str">
        <f>IF($C235="","",IF(COUNTIFS('RAW_유기농_8월'!$D:$D,$C235,'RAW_유기농_8월'!$A:$A,$E235)&gt;0,"O",""))</f>
        <v/>
      </c>
      <c r="K235" s="17" t="str">
        <f>IF($C235="","",IF(COUNTIFS('RAW_유기농_9월'!$D:$D,$C235,'RAW_유기농_9월'!$A:$A,$E235)&gt;0,"O",""))</f>
        <v/>
      </c>
      <c r="L235" s="17" t="str">
        <f>IF($C235="","",IF(COUNTIFS('RAW_유기농_10월'!$D:$D,$C235,'RAW_유기농_10월'!$A:$A,$E235)&gt;0,"O",""))</f>
        <v/>
      </c>
      <c r="M235" s="17" t="str">
        <f>IF($C235="","",IF(COUNTIFS('RAW_유기농_11-12월'!$D:$D,$C235,'RAW_유기농_11-12월'!$A:$A,$E235)&gt;0,"O",""))</f>
        <v/>
      </c>
      <c r="N235" s="7" t="str">
        <f>IF($C235="","",IF(COUNTA('RAW_유기농_7월'!$A:$A)&lt;=1,"",SUMIFS('RAW_유기농_7월'!$H:$H,'RAW_유기농_7월'!$D:$D,$C235,'RAW_유기농_7월'!$A:$A,$E235)))</f>
        <v/>
      </c>
      <c r="O235" s="7" t="str">
        <f>IF($C235="","",IF(COUNTA('RAW_유기농_8월'!$A:$A)&lt;=1,"",SUMIFS('RAW_유기농_8월'!$H:$H,'RAW_유기농_8월'!$D:$D,$C235,'RAW_유기농_8월'!$A:$A,$E235)-SUMIFS('RAW_유기농_7월'!$H:$H,'RAW_유기농_7월'!$D:$D,$C235,'RAW_유기농_7월'!$A:$A,$E235)))</f>
        <v/>
      </c>
      <c r="P235" s="7" t="str">
        <f>IF($C235="","",IF(COUNTA('RAW_유기농_9월'!$A:$A)&lt;=1,"",SUMIFS('RAW_유기농_9월'!$H:$H,'RAW_유기농_9월'!$D:$D,$C235,'RAW_유기농_9월'!$A:$A,$E235)-SUMIFS('RAW_유기농_8월'!$H:$H,'RAW_유기농_8월'!$D:$D,$C235,'RAW_유기농_8월'!$A:$A,$E235)))</f>
        <v/>
      </c>
      <c r="Q235" s="7" t="str">
        <f>IF($C235="","",IF(COUNTA('RAW_유기농_10월'!$A:$A)&lt;=1,"",SUMIFS('RAW_유기농_10월'!$H:$H,'RAW_유기농_10월'!$D:$D,$C235,'RAW_유기농_10월'!$A:$A,$E235)-SUMIFS('RAW_유기농_9월'!$H:$H,'RAW_유기농_9월'!$D:$D,$C235,'RAW_유기농_9월'!$A:$A,$E235)))</f>
        <v/>
      </c>
      <c r="R235" s="7" t="str">
        <f>IF($C235="","",IF(COUNTA('RAW_유기농_11-12월'!$A:$A)&lt;=1,"",SUMIFS('RAW_유기농_11-12월'!$H:$H,'RAW_유기농_11-12월'!$D:$D,$C235,'RAW_유기농_11-12월'!$A:$A,$E235)-SUMIFS('RAW_유기농_10월'!$H:$H,'RAW_유기농_10월'!$D:$D,$C235,'RAW_유기농_10월'!$A:$A,$E235)))</f>
        <v/>
      </c>
      <c r="S235" s="17" t="str">
        <f t="shared" si="4"/>
        <v/>
      </c>
      <c r="T235" s="17" t="str">
        <f t="shared" si="5"/>
        <v/>
      </c>
      <c r="U235" s="7">
        <f>IF($C235="",0,IF('설정'!$B$4=0,0,CHOOSE('설정'!$B$4,COUNTIFS('RAW_유기농_7월'!$D:$D,$C235,'RAW_유기농_7월'!$A:$A,$E235),COUNTIFS('RAW_유기농_8월'!$D:$D,$C235,'RAW_유기농_8월'!$A:$A,$E235),COUNTIFS('RAW_유기농_9월'!$D:$D,$C235,'RAW_유기농_9월'!$A:$A,$E235),COUNTIFS('RAW_유기농_10월'!$D:$D,$C235,'RAW_유기농_10월'!$A:$A,$E235),COUNTIFS('RAW_유기농_11-12월'!$D:$D,$C235,'RAW_유기농_11-12월'!$A:$A,$E235))))</f>
        <v>0</v>
      </c>
    </row>
    <row r="236" ht="15.75" customHeight="1">
      <c r="A236" s="5"/>
      <c r="B236" s="5"/>
      <c r="C236" s="5"/>
      <c r="D236" s="6"/>
      <c r="E236" s="5"/>
      <c r="F236" s="7" t="str">
        <f>IF($C236="","",IF('설정'!$B$4=0,"",CHOOSE('설정'!$B$4,SUMIFS('RAW_유기농_7월'!$F:$F,'RAW_유기농_7월'!$D:$D,$C236,'RAW_유기농_7월'!$A:$A,$E236),SUMIFS('RAW_유기농_8월'!$F:$F,'RAW_유기농_8월'!$D:$D,$C236,'RAW_유기농_8월'!$A:$A,$E236),SUMIFS('RAW_유기농_9월'!$F:$F,'RAW_유기농_9월'!$D:$D,$C236,'RAW_유기농_9월'!$A:$A,$E236),SUMIFS('RAW_유기농_10월'!$F:$F,'RAW_유기농_10월'!$D:$D,$C236,'RAW_유기농_10월'!$A:$A,$E236),SUMIFS('RAW_유기농_11-12월'!$F:$F,'RAW_유기농_11-12월'!$D:$D,$C236,'RAW_유기농_11-12월'!$A:$A,$E236))))</f>
        <v/>
      </c>
      <c r="G236" s="7" t="str">
        <f>IF($C236="","",IF('설정'!$B$4=0,"",CHOOSE('설정'!$B$4,SUMIFS('RAW_유기농_7월'!$G:$G,'RAW_유기농_7월'!$D:$D,$C236,'RAW_유기농_7월'!$A:$A,$E236),SUMIFS('RAW_유기농_8월'!$G:$G,'RAW_유기농_8월'!$D:$D,$C236,'RAW_유기농_8월'!$A:$A,$E236),SUMIFS('RAW_유기농_9월'!$G:$G,'RAW_유기농_9월'!$D:$D,$C236,'RAW_유기농_9월'!$A:$A,$E236),SUMIFS('RAW_유기농_10월'!$G:$G,'RAW_유기농_10월'!$D:$D,$C236,'RAW_유기농_10월'!$A:$A,$E236),SUMIFS('RAW_유기농_11-12월'!$G:$G,'RAW_유기농_11-12월'!$D:$D,$C236,'RAW_유기농_11-12월'!$A:$A,$E236))))</f>
        <v/>
      </c>
      <c r="H236" s="7" t="str">
        <f>IF($C236="","",IF('설정'!$B$4=0,"",CHOOSE('설정'!$B$4,SUMIFS('RAW_유기농_7월'!$H:$H,'RAW_유기농_7월'!$D:$D,$C236,'RAW_유기농_7월'!$A:$A,$E236),SUMIFS('RAW_유기농_8월'!$H:$H,'RAW_유기농_8월'!$D:$D,$C236,'RAW_유기농_8월'!$A:$A,$E236),SUMIFS('RAW_유기농_9월'!$H:$H,'RAW_유기농_9월'!$D:$D,$C236,'RAW_유기농_9월'!$A:$A,$E236),SUMIFS('RAW_유기농_10월'!$H:$H,'RAW_유기농_10월'!$D:$D,$C236,'RAW_유기농_10월'!$A:$A,$E236),SUMIFS('RAW_유기농_11-12월'!$H:$H,'RAW_유기농_11-12월'!$D:$D,$C236,'RAW_유기농_11-12월'!$A:$A,$E236))))</f>
        <v/>
      </c>
      <c r="I236" s="17" t="str">
        <f>IF($C236="","",IF(COUNTIFS('RAW_유기농_7월'!$D:$D,$C236,'RAW_유기농_7월'!$A:$A,$E236)&gt;0,"O",""))</f>
        <v/>
      </c>
      <c r="J236" s="17" t="str">
        <f>IF($C236="","",IF(COUNTIFS('RAW_유기농_8월'!$D:$D,$C236,'RAW_유기농_8월'!$A:$A,$E236)&gt;0,"O",""))</f>
        <v/>
      </c>
      <c r="K236" s="17" t="str">
        <f>IF($C236="","",IF(COUNTIFS('RAW_유기농_9월'!$D:$D,$C236,'RAW_유기농_9월'!$A:$A,$E236)&gt;0,"O",""))</f>
        <v/>
      </c>
      <c r="L236" s="17" t="str">
        <f>IF($C236="","",IF(COUNTIFS('RAW_유기농_10월'!$D:$D,$C236,'RAW_유기농_10월'!$A:$A,$E236)&gt;0,"O",""))</f>
        <v/>
      </c>
      <c r="M236" s="17" t="str">
        <f>IF($C236="","",IF(COUNTIFS('RAW_유기농_11-12월'!$D:$D,$C236,'RAW_유기농_11-12월'!$A:$A,$E236)&gt;0,"O",""))</f>
        <v/>
      </c>
      <c r="N236" s="7" t="str">
        <f>IF($C236="","",IF(COUNTA('RAW_유기농_7월'!$A:$A)&lt;=1,"",SUMIFS('RAW_유기농_7월'!$H:$H,'RAW_유기농_7월'!$D:$D,$C236,'RAW_유기농_7월'!$A:$A,$E236)))</f>
        <v/>
      </c>
      <c r="O236" s="7" t="str">
        <f>IF($C236="","",IF(COUNTA('RAW_유기농_8월'!$A:$A)&lt;=1,"",SUMIFS('RAW_유기농_8월'!$H:$H,'RAW_유기농_8월'!$D:$D,$C236,'RAW_유기농_8월'!$A:$A,$E236)-SUMIFS('RAW_유기농_7월'!$H:$H,'RAW_유기농_7월'!$D:$D,$C236,'RAW_유기농_7월'!$A:$A,$E236)))</f>
        <v/>
      </c>
      <c r="P236" s="7" t="str">
        <f>IF($C236="","",IF(COUNTA('RAW_유기농_9월'!$A:$A)&lt;=1,"",SUMIFS('RAW_유기농_9월'!$H:$H,'RAW_유기농_9월'!$D:$D,$C236,'RAW_유기농_9월'!$A:$A,$E236)-SUMIFS('RAW_유기농_8월'!$H:$H,'RAW_유기농_8월'!$D:$D,$C236,'RAW_유기농_8월'!$A:$A,$E236)))</f>
        <v/>
      </c>
      <c r="Q236" s="7" t="str">
        <f>IF($C236="","",IF(COUNTA('RAW_유기농_10월'!$A:$A)&lt;=1,"",SUMIFS('RAW_유기농_10월'!$H:$H,'RAW_유기농_10월'!$D:$D,$C236,'RAW_유기농_10월'!$A:$A,$E236)-SUMIFS('RAW_유기농_9월'!$H:$H,'RAW_유기농_9월'!$D:$D,$C236,'RAW_유기농_9월'!$A:$A,$E236)))</f>
        <v/>
      </c>
      <c r="R236" s="7" t="str">
        <f>IF($C236="","",IF(COUNTA('RAW_유기농_11-12월'!$A:$A)&lt;=1,"",SUMIFS('RAW_유기농_11-12월'!$H:$H,'RAW_유기농_11-12월'!$D:$D,$C236,'RAW_유기농_11-12월'!$A:$A,$E236)-SUMIFS('RAW_유기농_10월'!$H:$H,'RAW_유기농_10월'!$D:$D,$C236,'RAW_유기농_10월'!$A:$A,$E236)))</f>
        <v/>
      </c>
      <c r="S236" s="17" t="str">
        <f t="shared" si="4"/>
        <v/>
      </c>
      <c r="T236" s="17" t="str">
        <f t="shared" si="5"/>
        <v/>
      </c>
      <c r="U236" s="7">
        <f>IF($C236="",0,IF('설정'!$B$4=0,0,CHOOSE('설정'!$B$4,COUNTIFS('RAW_유기농_7월'!$D:$D,$C236,'RAW_유기농_7월'!$A:$A,$E236),COUNTIFS('RAW_유기농_8월'!$D:$D,$C236,'RAW_유기농_8월'!$A:$A,$E236),COUNTIFS('RAW_유기농_9월'!$D:$D,$C236,'RAW_유기농_9월'!$A:$A,$E236),COUNTIFS('RAW_유기농_10월'!$D:$D,$C236,'RAW_유기농_10월'!$A:$A,$E236),COUNTIFS('RAW_유기농_11-12월'!$D:$D,$C236,'RAW_유기농_11-12월'!$A:$A,$E236))))</f>
        <v>0</v>
      </c>
    </row>
    <row r="237" ht="15.75" customHeight="1">
      <c r="A237" s="5"/>
      <c r="B237" s="5"/>
      <c r="C237" s="5"/>
      <c r="D237" s="6"/>
      <c r="E237" s="5"/>
      <c r="F237" s="7" t="str">
        <f>IF($C237="","",IF('설정'!$B$4=0,"",CHOOSE('설정'!$B$4,SUMIFS('RAW_유기농_7월'!$F:$F,'RAW_유기농_7월'!$D:$D,$C237,'RAW_유기농_7월'!$A:$A,$E237),SUMIFS('RAW_유기농_8월'!$F:$F,'RAW_유기농_8월'!$D:$D,$C237,'RAW_유기농_8월'!$A:$A,$E237),SUMIFS('RAW_유기농_9월'!$F:$F,'RAW_유기농_9월'!$D:$D,$C237,'RAW_유기농_9월'!$A:$A,$E237),SUMIFS('RAW_유기농_10월'!$F:$F,'RAW_유기농_10월'!$D:$D,$C237,'RAW_유기농_10월'!$A:$A,$E237),SUMIFS('RAW_유기농_11-12월'!$F:$F,'RAW_유기농_11-12월'!$D:$D,$C237,'RAW_유기농_11-12월'!$A:$A,$E237))))</f>
        <v/>
      </c>
      <c r="G237" s="7" t="str">
        <f>IF($C237="","",IF('설정'!$B$4=0,"",CHOOSE('설정'!$B$4,SUMIFS('RAW_유기농_7월'!$G:$G,'RAW_유기농_7월'!$D:$D,$C237,'RAW_유기농_7월'!$A:$A,$E237),SUMIFS('RAW_유기농_8월'!$G:$G,'RAW_유기농_8월'!$D:$D,$C237,'RAW_유기농_8월'!$A:$A,$E237),SUMIFS('RAW_유기농_9월'!$G:$G,'RAW_유기농_9월'!$D:$D,$C237,'RAW_유기농_9월'!$A:$A,$E237),SUMIFS('RAW_유기농_10월'!$G:$G,'RAW_유기농_10월'!$D:$D,$C237,'RAW_유기농_10월'!$A:$A,$E237),SUMIFS('RAW_유기농_11-12월'!$G:$G,'RAW_유기농_11-12월'!$D:$D,$C237,'RAW_유기농_11-12월'!$A:$A,$E237))))</f>
        <v/>
      </c>
      <c r="H237" s="7" t="str">
        <f>IF($C237="","",IF('설정'!$B$4=0,"",CHOOSE('설정'!$B$4,SUMIFS('RAW_유기농_7월'!$H:$H,'RAW_유기농_7월'!$D:$D,$C237,'RAW_유기농_7월'!$A:$A,$E237),SUMIFS('RAW_유기농_8월'!$H:$H,'RAW_유기농_8월'!$D:$D,$C237,'RAW_유기농_8월'!$A:$A,$E237),SUMIFS('RAW_유기농_9월'!$H:$H,'RAW_유기농_9월'!$D:$D,$C237,'RAW_유기농_9월'!$A:$A,$E237),SUMIFS('RAW_유기농_10월'!$H:$H,'RAW_유기농_10월'!$D:$D,$C237,'RAW_유기농_10월'!$A:$A,$E237),SUMIFS('RAW_유기농_11-12월'!$H:$H,'RAW_유기농_11-12월'!$D:$D,$C237,'RAW_유기농_11-12월'!$A:$A,$E237))))</f>
        <v/>
      </c>
      <c r="I237" s="17" t="str">
        <f>IF($C237="","",IF(COUNTIFS('RAW_유기농_7월'!$D:$D,$C237,'RAW_유기농_7월'!$A:$A,$E237)&gt;0,"O",""))</f>
        <v/>
      </c>
      <c r="J237" s="17" t="str">
        <f>IF($C237="","",IF(COUNTIFS('RAW_유기농_8월'!$D:$D,$C237,'RAW_유기농_8월'!$A:$A,$E237)&gt;0,"O",""))</f>
        <v/>
      </c>
      <c r="K237" s="17" t="str">
        <f>IF($C237="","",IF(COUNTIFS('RAW_유기농_9월'!$D:$D,$C237,'RAW_유기농_9월'!$A:$A,$E237)&gt;0,"O",""))</f>
        <v/>
      </c>
      <c r="L237" s="17" t="str">
        <f>IF($C237="","",IF(COUNTIFS('RAW_유기농_10월'!$D:$D,$C237,'RAW_유기농_10월'!$A:$A,$E237)&gt;0,"O",""))</f>
        <v/>
      </c>
      <c r="M237" s="17" t="str">
        <f>IF($C237="","",IF(COUNTIFS('RAW_유기농_11-12월'!$D:$D,$C237,'RAW_유기농_11-12월'!$A:$A,$E237)&gt;0,"O",""))</f>
        <v/>
      </c>
      <c r="N237" s="7" t="str">
        <f>IF($C237="","",IF(COUNTA('RAW_유기농_7월'!$A:$A)&lt;=1,"",SUMIFS('RAW_유기농_7월'!$H:$H,'RAW_유기농_7월'!$D:$D,$C237,'RAW_유기농_7월'!$A:$A,$E237)))</f>
        <v/>
      </c>
      <c r="O237" s="7" t="str">
        <f>IF($C237="","",IF(COUNTA('RAW_유기농_8월'!$A:$A)&lt;=1,"",SUMIFS('RAW_유기농_8월'!$H:$H,'RAW_유기농_8월'!$D:$D,$C237,'RAW_유기농_8월'!$A:$A,$E237)-SUMIFS('RAW_유기농_7월'!$H:$H,'RAW_유기농_7월'!$D:$D,$C237,'RAW_유기농_7월'!$A:$A,$E237)))</f>
        <v/>
      </c>
      <c r="P237" s="7" t="str">
        <f>IF($C237="","",IF(COUNTA('RAW_유기농_9월'!$A:$A)&lt;=1,"",SUMIFS('RAW_유기농_9월'!$H:$H,'RAW_유기농_9월'!$D:$D,$C237,'RAW_유기농_9월'!$A:$A,$E237)-SUMIFS('RAW_유기농_8월'!$H:$H,'RAW_유기농_8월'!$D:$D,$C237,'RAW_유기농_8월'!$A:$A,$E237)))</f>
        <v/>
      </c>
      <c r="Q237" s="7" t="str">
        <f>IF($C237="","",IF(COUNTA('RAW_유기농_10월'!$A:$A)&lt;=1,"",SUMIFS('RAW_유기농_10월'!$H:$H,'RAW_유기농_10월'!$D:$D,$C237,'RAW_유기농_10월'!$A:$A,$E237)-SUMIFS('RAW_유기농_9월'!$H:$H,'RAW_유기농_9월'!$D:$D,$C237,'RAW_유기농_9월'!$A:$A,$E237)))</f>
        <v/>
      </c>
      <c r="R237" s="7" t="str">
        <f>IF($C237="","",IF(COUNTA('RAW_유기농_11-12월'!$A:$A)&lt;=1,"",SUMIFS('RAW_유기농_11-12월'!$H:$H,'RAW_유기농_11-12월'!$D:$D,$C237,'RAW_유기농_11-12월'!$A:$A,$E237)-SUMIFS('RAW_유기농_10월'!$H:$H,'RAW_유기농_10월'!$D:$D,$C237,'RAW_유기농_10월'!$A:$A,$E237)))</f>
        <v/>
      </c>
      <c r="S237" s="17" t="str">
        <f t="shared" si="4"/>
        <v/>
      </c>
      <c r="T237" s="17" t="str">
        <f t="shared" si="5"/>
        <v/>
      </c>
      <c r="U237" s="7">
        <f>IF($C237="",0,IF('설정'!$B$4=0,0,CHOOSE('설정'!$B$4,COUNTIFS('RAW_유기농_7월'!$D:$D,$C237,'RAW_유기농_7월'!$A:$A,$E237),COUNTIFS('RAW_유기농_8월'!$D:$D,$C237,'RAW_유기농_8월'!$A:$A,$E237),COUNTIFS('RAW_유기농_9월'!$D:$D,$C237,'RAW_유기농_9월'!$A:$A,$E237),COUNTIFS('RAW_유기농_10월'!$D:$D,$C237,'RAW_유기농_10월'!$A:$A,$E237),COUNTIFS('RAW_유기농_11-12월'!$D:$D,$C237,'RAW_유기농_11-12월'!$A:$A,$E237))))</f>
        <v>0</v>
      </c>
    </row>
    <row r="238" ht="15.75" customHeight="1">
      <c r="A238" s="5"/>
      <c r="B238" s="5"/>
      <c r="C238" s="5"/>
      <c r="D238" s="6"/>
      <c r="E238" s="5"/>
      <c r="F238" s="7" t="str">
        <f>IF($C238="","",IF('설정'!$B$4=0,"",CHOOSE('설정'!$B$4,SUMIFS('RAW_유기농_7월'!$F:$F,'RAW_유기농_7월'!$D:$D,$C238,'RAW_유기농_7월'!$A:$A,$E238),SUMIFS('RAW_유기농_8월'!$F:$F,'RAW_유기농_8월'!$D:$D,$C238,'RAW_유기농_8월'!$A:$A,$E238),SUMIFS('RAW_유기농_9월'!$F:$F,'RAW_유기농_9월'!$D:$D,$C238,'RAW_유기농_9월'!$A:$A,$E238),SUMIFS('RAW_유기농_10월'!$F:$F,'RAW_유기농_10월'!$D:$D,$C238,'RAW_유기농_10월'!$A:$A,$E238),SUMIFS('RAW_유기농_11-12월'!$F:$F,'RAW_유기농_11-12월'!$D:$D,$C238,'RAW_유기농_11-12월'!$A:$A,$E238))))</f>
        <v/>
      </c>
      <c r="G238" s="7" t="str">
        <f>IF($C238="","",IF('설정'!$B$4=0,"",CHOOSE('설정'!$B$4,SUMIFS('RAW_유기농_7월'!$G:$G,'RAW_유기농_7월'!$D:$D,$C238,'RAW_유기농_7월'!$A:$A,$E238),SUMIFS('RAW_유기농_8월'!$G:$G,'RAW_유기농_8월'!$D:$D,$C238,'RAW_유기농_8월'!$A:$A,$E238),SUMIFS('RAW_유기농_9월'!$G:$G,'RAW_유기농_9월'!$D:$D,$C238,'RAW_유기농_9월'!$A:$A,$E238),SUMIFS('RAW_유기농_10월'!$G:$G,'RAW_유기농_10월'!$D:$D,$C238,'RAW_유기농_10월'!$A:$A,$E238),SUMIFS('RAW_유기농_11-12월'!$G:$G,'RAW_유기농_11-12월'!$D:$D,$C238,'RAW_유기농_11-12월'!$A:$A,$E238))))</f>
        <v/>
      </c>
      <c r="H238" s="7" t="str">
        <f>IF($C238="","",IF('설정'!$B$4=0,"",CHOOSE('설정'!$B$4,SUMIFS('RAW_유기농_7월'!$H:$H,'RAW_유기농_7월'!$D:$D,$C238,'RAW_유기농_7월'!$A:$A,$E238),SUMIFS('RAW_유기농_8월'!$H:$H,'RAW_유기농_8월'!$D:$D,$C238,'RAW_유기농_8월'!$A:$A,$E238),SUMIFS('RAW_유기농_9월'!$H:$H,'RAW_유기농_9월'!$D:$D,$C238,'RAW_유기농_9월'!$A:$A,$E238),SUMIFS('RAW_유기농_10월'!$H:$H,'RAW_유기농_10월'!$D:$D,$C238,'RAW_유기농_10월'!$A:$A,$E238),SUMIFS('RAW_유기농_11-12월'!$H:$H,'RAW_유기농_11-12월'!$D:$D,$C238,'RAW_유기농_11-12월'!$A:$A,$E238))))</f>
        <v/>
      </c>
      <c r="I238" s="17" t="str">
        <f>IF($C238="","",IF(COUNTIFS('RAW_유기농_7월'!$D:$D,$C238,'RAW_유기농_7월'!$A:$A,$E238)&gt;0,"O",""))</f>
        <v/>
      </c>
      <c r="J238" s="17" t="str">
        <f>IF($C238="","",IF(COUNTIFS('RAW_유기농_8월'!$D:$D,$C238,'RAW_유기농_8월'!$A:$A,$E238)&gt;0,"O",""))</f>
        <v/>
      </c>
      <c r="K238" s="17" t="str">
        <f>IF($C238="","",IF(COUNTIFS('RAW_유기농_9월'!$D:$D,$C238,'RAW_유기농_9월'!$A:$A,$E238)&gt;0,"O",""))</f>
        <v/>
      </c>
      <c r="L238" s="17" t="str">
        <f>IF($C238="","",IF(COUNTIFS('RAW_유기농_10월'!$D:$D,$C238,'RAW_유기농_10월'!$A:$A,$E238)&gt;0,"O",""))</f>
        <v/>
      </c>
      <c r="M238" s="17" t="str">
        <f>IF($C238="","",IF(COUNTIFS('RAW_유기농_11-12월'!$D:$D,$C238,'RAW_유기농_11-12월'!$A:$A,$E238)&gt;0,"O",""))</f>
        <v/>
      </c>
      <c r="N238" s="7" t="str">
        <f>IF($C238="","",IF(COUNTA('RAW_유기농_7월'!$A:$A)&lt;=1,"",SUMIFS('RAW_유기농_7월'!$H:$H,'RAW_유기농_7월'!$D:$D,$C238,'RAW_유기농_7월'!$A:$A,$E238)))</f>
        <v/>
      </c>
      <c r="O238" s="7" t="str">
        <f>IF($C238="","",IF(COUNTA('RAW_유기농_8월'!$A:$A)&lt;=1,"",SUMIFS('RAW_유기농_8월'!$H:$H,'RAW_유기농_8월'!$D:$D,$C238,'RAW_유기농_8월'!$A:$A,$E238)-SUMIFS('RAW_유기농_7월'!$H:$H,'RAW_유기농_7월'!$D:$D,$C238,'RAW_유기농_7월'!$A:$A,$E238)))</f>
        <v/>
      </c>
      <c r="P238" s="7" t="str">
        <f>IF($C238="","",IF(COUNTA('RAW_유기농_9월'!$A:$A)&lt;=1,"",SUMIFS('RAW_유기농_9월'!$H:$H,'RAW_유기농_9월'!$D:$D,$C238,'RAW_유기농_9월'!$A:$A,$E238)-SUMIFS('RAW_유기농_8월'!$H:$H,'RAW_유기농_8월'!$D:$D,$C238,'RAW_유기농_8월'!$A:$A,$E238)))</f>
        <v/>
      </c>
      <c r="Q238" s="7" t="str">
        <f>IF($C238="","",IF(COUNTA('RAW_유기농_10월'!$A:$A)&lt;=1,"",SUMIFS('RAW_유기농_10월'!$H:$H,'RAW_유기농_10월'!$D:$D,$C238,'RAW_유기농_10월'!$A:$A,$E238)-SUMIFS('RAW_유기농_9월'!$H:$H,'RAW_유기농_9월'!$D:$D,$C238,'RAW_유기농_9월'!$A:$A,$E238)))</f>
        <v/>
      </c>
      <c r="R238" s="7" t="str">
        <f>IF($C238="","",IF(COUNTA('RAW_유기농_11-12월'!$A:$A)&lt;=1,"",SUMIFS('RAW_유기농_11-12월'!$H:$H,'RAW_유기농_11-12월'!$D:$D,$C238,'RAW_유기농_11-12월'!$A:$A,$E238)-SUMIFS('RAW_유기농_10월'!$H:$H,'RAW_유기농_10월'!$D:$D,$C238,'RAW_유기농_10월'!$A:$A,$E238)))</f>
        <v/>
      </c>
      <c r="S238" s="17" t="str">
        <f t="shared" si="4"/>
        <v/>
      </c>
      <c r="T238" s="17" t="str">
        <f t="shared" si="5"/>
        <v/>
      </c>
      <c r="U238" s="7">
        <f>IF($C238="",0,IF('설정'!$B$4=0,0,CHOOSE('설정'!$B$4,COUNTIFS('RAW_유기농_7월'!$D:$D,$C238,'RAW_유기농_7월'!$A:$A,$E238),COUNTIFS('RAW_유기농_8월'!$D:$D,$C238,'RAW_유기농_8월'!$A:$A,$E238),COUNTIFS('RAW_유기농_9월'!$D:$D,$C238,'RAW_유기농_9월'!$A:$A,$E238),COUNTIFS('RAW_유기농_10월'!$D:$D,$C238,'RAW_유기농_10월'!$A:$A,$E238),COUNTIFS('RAW_유기농_11-12월'!$D:$D,$C238,'RAW_유기농_11-12월'!$A:$A,$E238))))</f>
        <v>0</v>
      </c>
    </row>
    <row r="239" ht="15.75" customHeight="1">
      <c r="A239" s="5"/>
      <c r="B239" s="5"/>
      <c r="C239" s="5"/>
      <c r="D239" s="6"/>
      <c r="E239" s="5"/>
      <c r="F239" s="7" t="str">
        <f>IF($C239="","",IF('설정'!$B$4=0,"",CHOOSE('설정'!$B$4,SUMIFS('RAW_유기농_7월'!$F:$F,'RAW_유기농_7월'!$D:$D,$C239,'RAW_유기농_7월'!$A:$A,$E239),SUMIFS('RAW_유기농_8월'!$F:$F,'RAW_유기농_8월'!$D:$D,$C239,'RAW_유기농_8월'!$A:$A,$E239),SUMIFS('RAW_유기농_9월'!$F:$F,'RAW_유기농_9월'!$D:$D,$C239,'RAW_유기농_9월'!$A:$A,$E239),SUMIFS('RAW_유기농_10월'!$F:$F,'RAW_유기농_10월'!$D:$D,$C239,'RAW_유기농_10월'!$A:$A,$E239),SUMIFS('RAW_유기농_11-12월'!$F:$F,'RAW_유기농_11-12월'!$D:$D,$C239,'RAW_유기농_11-12월'!$A:$A,$E239))))</f>
        <v/>
      </c>
      <c r="G239" s="7" t="str">
        <f>IF($C239="","",IF('설정'!$B$4=0,"",CHOOSE('설정'!$B$4,SUMIFS('RAW_유기농_7월'!$G:$G,'RAW_유기농_7월'!$D:$D,$C239,'RAW_유기농_7월'!$A:$A,$E239),SUMIFS('RAW_유기농_8월'!$G:$G,'RAW_유기농_8월'!$D:$D,$C239,'RAW_유기농_8월'!$A:$A,$E239),SUMIFS('RAW_유기농_9월'!$G:$G,'RAW_유기농_9월'!$D:$D,$C239,'RAW_유기농_9월'!$A:$A,$E239),SUMIFS('RAW_유기농_10월'!$G:$G,'RAW_유기농_10월'!$D:$D,$C239,'RAW_유기농_10월'!$A:$A,$E239),SUMIFS('RAW_유기농_11-12월'!$G:$G,'RAW_유기농_11-12월'!$D:$D,$C239,'RAW_유기농_11-12월'!$A:$A,$E239))))</f>
        <v/>
      </c>
      <c r="H239" s="7" t="str">
        <f>IF($C239="","",IF('설정'!$B$4=0,"",CHOOSE('설정'!$B$4,SUMIFS('RAW_유기농_7월'!$H:$H,'RAW_유기농_7월'!$D:$D,$C239,'RAW_유기농_7월'!$A:$A,$E239),SUMIFS('RAW_유기농_8월'!$H:$H,'RAW_유기농_8월'!$D:$D,$C239,'RAW_유기농_8월'!$A:$A,$E239),SUMIFS('RAW_유기농_9월'!$H:$H,'RAW_유기농_9월'!$D:$D,$C239,'RAW_유기농_9월'!$A:$A,$E239),SUMIFS('RAW_유기농_10월'!$H:$H,'RAW_유기농_10월'!$D:$D,$C239,'RAW_유기농_10월'!$A:$A,$E239),SUMIFS('RAW_유기농_11-12월'!$H:$H,'RAW_유기농_11-12월'!$D:$D,$C239,'RAW_유기농_11-12월'!$A:$A,$E239))))</f>
        <v/>
      </c>
      <c r="I239" s="17" t="str">
        <f>IF($C239="","",IF(COUNTIFS('RAW_유기농_7월'!$D:$D,$C239,'RAW_유기농_7월'!$A:$A,$E239)&gt;0,"O",""))</f>
        <v/>
      </c>
      <c r="J239" s="17" t="str">
        <f>IF($C239="","",IF(COUNTIFS('RAW_유기농_8월'!$D:$D,$C239,'RAW_유기농_8월'!$A:$A,$E239)&gt;0,"O",""))</f>
        <v/>
      </c>
      <c r="K239" s="17" t="str">
        <f>IF($C239="","",IF(COUNTIFS('RAW_유기농_9월'!$D:$D,$C239,'RAW_유기농_9월'!$A:$A,$E239)&gt;0,"O",""))</f>
        <v/>
      </c>
      <c r="L239" s="17" t="str">
        <f>IF($C239="","",IF(COUNTIFS('RAW_유기농_10월'!$D:$D,$C239,'RAW_유기농_10월'!$A:$A,$E239)&gt;0,"O",""))</f>
        <v/>
      </c>
      <c r="M239" s="17" t="str">
        <f>IF($C239="","",IF(COUNTIFS('RAW_유기농_11-12월'!$D:$D,$C239,'RAW_유기농_11-12월'!$A:$A,$E239)&gt;0,"O",""))</f>
        <v/>
      </c>
      <c r="N239" s="7" t="str">
        <f>IF($C239="","",IF(COUNTA('RAW_유기농_7월'!$A:$A)&lt;=1,"",SUMIFS('RAW_유기농_7월'!$H:$H,'RAW_유기농_7월'!$D:$D,$C239,'RAW_유기농_7월'!$A:$A,$E239)))</f>
        <v/>
      </c>
      <c r="O239" s="7" t="str">
        <f>IF($C239="","",IF(COUNTA('RAW_유기농_8월'!$A:$A)&lt;=1,"",SUMIFS('RAW_유기농_8월'!$H:$H,'RAW_유기농_8월'!$D:$D,$C239,'RAW_유기농_8월'!$A:$A,$E239)-SUMIFS('RAW_유기농_7월'!$H:$H,'RAW_유기농_7월'!$D:$D,$C239,'RAW_유기농_7월'!$A:$A,$E239)))</f>
        <v/>
      </c>
      <c r="P239" s="7" t="str">
        <f>IF($C239="","",IF(COUNTA('RAW_유기농_9월'!$A:$A)&lt;=1,"",SUMIFS('RAW_유기농_9월'!$H:$H,'RAW_유기농_9월'!$D:$D,$C239,'RAW_유기농_9월'!$A:$A,$E239)-SUMIFS('RAW_유기농_8월'!$H:$H,'RAW_유기농_8월'!$D:$D,$C239,'RAW_유기농_8월'!$A:$A,$E239)))</f>
        <v/>
      </c>
      <c r="Q239" s="7" t="str">
        <f>IF($C239="","",IF(COUNTA('RAW_유기농_10월'!$A:$A)&lt;=1,"",SUMIFS('RAW_유기농_10월'!$H:$H,'RAW_유기농_10월'!$D:$D,$C239,'RAW_유기농_10월'!$A:$A,$E239)-SUMIFS('RAW_유기농_9월'!$H:$H,'RAW_유기농_9월'!$D:$D,$C239,'RAW_유기농_9월'!$A:$A,$E239)))</f>
        <v/>
      </c>
      <c r="R239" s="7" t="str">
        <f>IF($C239="","",IF(COUNTA('RAW_유기농_11-12월'!$A:$A)&lt;=1,"",SUMIFS('RAW_유기농_11-12월'!$H:$H,'RAW_유기농_11-12월'!$D:$D,$C239,'RAW_유기농_11-12월'!$A:$A,$E239)-SUMIFS('RAW_유기농_10월'!$H:$H,'RAW_유기농_10월'!$D:$D,$C239,'RAW_유기농_10월'!$A:$A,$E239)))</f>
        <v/>
      </c>
      <c r="S239" s="17" t="str">
        <f t="shared" si="4"/>
        <v/>
      </c>
      <c r="T239" s="17" t="str">
        <f t="shared" si="5"/>
        <v/>
      </c>
      <c r="U239" s="7">
        <f>IF($C239="",0,IF('설정'!$B$4=0,0,CHOOSE('설정'!$B$4,COUNTIFS('RAW_유기농_7월'!$D:$D,$C239,'RAW_유기농_7월'!$A:$A,$E239),COUNTIFS('RAW_유기농_8월'!$D:$D,$C239,'RAW_유기농_8월'!$A:$A,$E239),COUNTIFS('RAW_유기농_9월'!$D:$D,$C239,'RAW_유기농_9월'!$A:$A,$E239),COUNTIFS('RAW_유기농_10월'!$D:$D,$C239,'RAW_유기농_10월'!$A:$A,$E239),COUNTIFS('RAW_유기농_11-12월'!$D:$D,$C239,'RAW_유기농_11-12월'!$A:$A,$E239))))</f>
        <v>0</v>
      </c>
    </row>
    <row r="240" ht="15.75" customHeight="1">
      <c r="A240" s="5"/>
      <c r="B240" s="5"/>
      <c r="C240" s="5"/>
      <c r="D240" s="6"/>
      <c r="E240" s="5"/>
      <c r="F240" s="7" t="str">
        <f>IF($C240="","",IF('설정'!$B$4=0,"",CHOOSE('설정'!$B$4,SUMIFS('RAW_유기농_7월'!$F:$F,'RAW_유기농_7월'!$D:$D,$C240,'RAW_유기농_7월'!$A:$A,$E240),SUMIFS('RAW_유기농_8월'!$F:$F,'RAW_유기농_8월'!$D:$D,$C240,'RAW_유기농_8월'!$A:$A,$E240),SUMIFS('RAW_유기농_9월'!$F:$F,'RAW_유기농_9월'!$D:$D,$C240,'RAW_유기농_9월'!$A:$A,$E240),SUMIFS('RAW_유기농_10월'!$F:$F,'RAW_유기농_10월'!$D:$D,$C240,'RAW_유기농_10월'!$A:$A,$E240),SUMIFS('RAW_유기농_11-12월'!$F:$F,'RAW_유기농_11-12월'!$D:$D,$C240,'RAW_유기농_11-12월'!$A:$A,$E240))))</f>
        <v/>
      </c>
      <c r="G240" s="7" t="str">
        <f>IF($C240="","",IF('설정'!$B$4=0,"",CHOOSE('설정'!$B$4,SUMIFS('RAW_유기농_7월'!$G:$G,'RAW_유기농_7월'!$D:$D,$C240,'RAW_유기농_7월'!$A:$A,$E240),SUMIFS('RAW_유기농_8월'!$G:$G,'RAW_유기농_8월'!$D:$D,$C240,'RAW_유기농_8월'!$A:$A,$E240),SUMIFS('RAW_유기농_9월'!$G:$G,'RAW_유기농_9월'!$D:$D,$C240,'RAW_유기농_9월'!$A:$A,$E240),SUMIFS('RAW_유기농_10월'!$G:$G,'RAW_유기농_10월'!$D:$D,$C240,'RAW_유기농_10월'!$A:$A,$E240),SUMIFS('RAW_유기농_11-12월'!$G:$G,'RAW_유기농_11-12월'!$D:$D,$C240,'RAW_유기농_11-12월'!$A:$A,$E240))))</f>
        <v/>
      </c>
      <c r="H240" s="7" t="str">
        <f>IF($C240="","",IF('설정'!$B$4=0,"",CHOOSE('설정'!$B$4,SUMIFS('RAW_유기농_7월'!$H:$H,'RAW_유기농_7월'!$D:$D,$C240,'RAW_유기농_7월'!$A:$A,$E240),SUMIFS('RAW_유기농_8월'!$H:$H,'RAW_유기농_8월'!$D:$D,$C240,'RAW_유기농_8월'!$A:$A,$E240),SUMIFS('RAW_유기농_9월'!$H:$H,'RAW_유기농_9월'!$D:$D,$C240,'RAW_유기농_9월'!$A:$A,$E240),SUMIFS('RAW_유기농_10월'!$H:$H,'RAW_유기농_10월'!$D:$D,$C240,'RAW_유기농_10월'!$A:$A,$E240),SUMIFS('RAW_유기농_11-12월'!$H:$H,'RAW_유기농_11-12월'!$D:$D,$C240,'RAW_유기농_11-12월'!$A:$A,$E240))))</f>
        <v/>
      </c>
      <c r="I240" s="17" t="str">
        <f>IF($C240="","",IF(COUNTIFS('RAW_유기농_7월'!$D:$D,$C240,'RAW_유기농_7월'!$A:$A,$E240)&gt;0,"O",""))</f>
        <v/>
      </c>
      <c r="J240" s="17" t="str">
        <f>IF($C240="","",IF(COUNTIFS('RAW_유기농_8월'!$D:$D,$C240,'RAW_유기농_8월'!$A:$A,$E240)&gt;0,"O",""))</f>
        <v/>
      </c>
      <c r="K240" s="17" t="str">
        <f>IF($C240="","",IF(COUNTIFS('RAW_유기농_9월'!$D:$D,$C240,'RAW_유기농_9월'!$A:$A,$E240)&gt;0,"O",""))</f>
        <v/>
      </c>
      <c r="L240" s="17" t="str">
        <f>IF($C240="","",IF(COUNTIFS('RAW_유기농_10월'!$D:$D,$C240,'RAW_유기농_10월'!$A:$A,$E240)&gt;0,"O",""))</f>
        <v/>
      </c>
      <c r="M240" s="17" t="str">
        <f>IF($C240="","",IF(COUNTIFS('RAW_유기농_11-12월'!$D:$D,$C240,'RAW_유기농_11-12월'!$A:$A,$E240)&gt;0,"O",""))</f>
        <v/>
      </c>
      <c r="N240" s="7" t="str">
        <f>IF($C240="","",IF(COUNTA('RAW_유기농_7월'!$A:$A)&lt;=1,"",SUMIFS('RAW_유기농_7월'!$H:$H,'RAW_유기농_7월'!$D:$D,$C240,'RAW_유기농_7월'!$A:$A,$E240)))</f>
        <v/>
      </c>
      <c r="O240" s="7" t="str">
        <f>IF($C240="","",IF(COUNTA('RAW_유기농_8월'!$A:$A)&lt;=1,"",SUMIFS('RAW_유기농_8월'!$H:$H,'RAW_유기농_8월'!$D:$D,$C240,'RAW_유기농_8월'!$A:$A,$E240)-SUMIFS('RAW_유기농_7월'!$H:$H,'RAW_유기농_7월'!$D:$D,$C240,'RAW_유기농_7월'!$A:$A,$E240)))</f>
        <v/>
      </c>
      <c r="P240" s="7" t="str">
        <f>IF($C240="","",IF(COUNTA('RAW_유기농_9월'!$A:$A)&lt;=1,"",SUMIFS('RAW_유기농_9월'!$H:$H,'RAW_유기농_9월'!$D:$D,$C240,'RAW_유기농_9월'!$A:$A,$E240)-SUMIFS('RAW_유기농_8월'!$H:$H,'RAW_유기농_8월'!$D:$D,$C240,'RAW_유기농_8월'!$A:$A,$E240)))</f>
        <v/>
      </c>
      <c r="Q240" s="7" t="str">
        <f>IF($C240="","",IF(COUNTA('RAW_유기농_10월'!$A:$A)&lt;=1,"",SUMIFS('RAW_유기농_10월'!$H:$H,'RAW_유기농_10월'!$D:$D,$C240,'RAW_유기농_10월'!$A:$A,$E240)-SUMIFS('RAW_유기농_9월'!$H:$H,'RAW_유기농_9월'!$D:$D,$C240,'RAW_유기농_9월'!$A:$A,$E240)))</f>
        <v/>
      </c>
      <c r="R240" s="7" t="str">
        <f>IF($C240="","",IF(COUNTA('RAW_유기농_11-12월'!$A:$A)&lt;=1,"",SUMIFS('RAW_유기농_11-12월'!$H:$H,'RAW_유기농_11-12월'!$D:$D,$C240,'RAW_유기농_11-12월'!$A:$A,$E240)-SUMIFS('RAW_유기농_10월'!$H:$H,'RAW_유기농_10월'!$D:$D,$C240,'RAW_유기농_10월'!$A:$A,$E240)))</f>
        <v/>
      </c>
      <c r="S240" s="17" t="str">
        <f t="shared" si="4"/>
        <v/>
      </c>
      <c r="T240" s="17" t="str">
        <f t="shared" si="5"/>
        <v/>
      </c>
      <c r="U240" s="7">
        <f>IF($C240="",0,IF('설정'!$B$4=0,0,CHOOSE('설정'!$B$4,COUNTIFS('RAW_유기농_7월'!$D:$D,$C240,'RAW_유기농_7월'!$A:$A,$E240),COUNTIFS('RAW_유기농_8월'!$D:$D,$C240,'RAW_유기농_8월'!$A:$A,$E240),COUNTIFS('RAW_유기농_9월'!$D:$D,$C240,'RAW_유기농_9월'!$A:$A,$E240),COUNTIFS('RAW_유기농_10월'!$D:$D,$C240,'RAW_유기농_10월'!$A:$A,$E240),COUNTIFS('RAW_유기농_11-12월'!$D:$D,$C240,'RAW_유기농_11-12월'!$A:$A,$E240))))</f>
        <v>0</v>
      </c>
    </row>
    <row r="241" ht="15.75" customHeight="1">
      <c r="A241" s="5"/>
      <c r="B241" s="5"/>
      <c r="C241" s="5"/>
      <c r="D241" s="6"/>
      <c r="E241" s="5"/>
      <c r="F241" s="7" t="str">
        <f>IF($C241="","",IF('설정'!$B$4=0,"",CHOOSE('설정'!$B$4,SUMIFS('RAW_유기농_7월'!$F:$F,'RAW_유기농_7월'!$D:$D,$C241,'RAW_유기농_7월'!$A:$A,$E241),SUMIFS('RAW_유기농_8월'!$F:$F,'RAW_유기농_8월'!$D:$D,$C241,'RAW_유기농_8월'!$A:$A,$E241),SUMIFS('RAW_유기농_9월'!$F:$F,'RAW_유기농_9월'!$D:$D,$C241,'RAW_유기농_9월'!$A:$A,$E241),SUMIFS('RAW_유기농_10월'!$F:$F,'RAW_유기농_10월'!$D:$D,$C241,'RAW_유기농_10월'!$A:$A,$E241),SUMIFS('RAW_유기농_11-12월'!$F:$F,'RAW_유기농_11-12월'!$D:$D,$C241,'RAW_유기농_11-12월'!$A:$A,$E241))))</f>
        <v/>
      </c>
      <c r="G241" s="7" t="str">
        <f>IF($C241="","",IF('설정'!$B$4=0,"",CHOOSE('설정'!$B$4,SUMIFS('RAW_유기농_7월'!$G:$G,'RAW_유기농_7월'!$D:$D,$C241,'RAW_유기농_7월'!$A:$A,$E241),SUMIFS('RAW_유기농_8월'!$G:$G,'RAW_유기농_8월'!$D:$D,$C241,'RAW_유기농_8월'!$A:$A,$E241),SUMIFS('RAW_유기농_9월'!$G:$G,'RAW_유기농_9월'!$D:$D,$C241,'RAW_유기농_9월'!$A:$A,$E241),SUMIFS('RAW_유기농_10월'!$G:$G,'RAW_유기농_10월'!$D:$D,$C241,'RAW_유기농_10월'!$A:$A,$E241),SUMIFS('RAW_유기농_11-12월'!$G:$G,'RAW_유기농_11-12월'!$D:$D,$C241,'RAW_유기농_11-12월'!$A:$A,$E241))))</f>
        <v/>
      </c>
      <c r="H241" s="7" t="str">
        <f>IF($C241="","",IF('설정'!$B$4=0,"",CHOOSE('설정'!$B$4,SUMIFS('RAW_유기농_7월'!$H:$H,'RAW_유기농_7월'!$D:$D,$C241,'RAW_유기농_7월'!$A:$A,$E241),SUMIFS('RAW_유기농_8월'!$H:$H,'RAW_유기농_8월'!$D:$D,$C241,'RAW_유기농_8월'!$A:$A,$E241),SUMIFS('RAW_유기농_9월'!$H:$H,'RAW_유기농_9월'!$D:$D,$C241,'RAW_유기농_9월'!$A:$A,$E241),SUMIFS('RAW_유기농_10월'!$H:$H,'RAW_유기농_10월'!$D:$D,$C241,'RAW_유기농_10월'!$A:$A,$E241),SUMIFS('RAW_유기농_11-12월'!$H:$H,'RAW_유기농_11-12월'!$D:$D,$C241,'RAW_유기농_11-12월'!$A:$A,$E241))))</f>
        <v/>
      </c>
      <c r="I241" s="17" t="str">
        <f>IF($C241="","",IF(COUNTIFS('RAW_유기농_7월'!$D:$D,$C241,'RAW_유기농_7월'!$A:$A,$E241)&gt;0,"O",""))</f>
        <v/>
      </c>
      <c r="J241" s="17" t="str">
        <f>IF($C241="","",IF(COUNTIFS('RAW_유기농_8월'!$D:$D,$C241,'RAW_유기농_8월'!$A:$A,$E241)&gt;0,"O",""))</f>
        <v/>
      </c>
      <c r="K241" s="17" t="str">
        <f>IF($C241="","",IF(COUNTIFS('RAW_유기농_9월'!$D:$D,$C241,'RAW_유기농_9월'!$A:$A,$E241)&gt;0,"O",""))</f>
        <v/>
      </c>
      <c r="L241" s="17" t="str">
        <f>IF($C241="","",IF(COUNTIFS('RAW_유기농_10월'!$D:$D,$C241,'RAW_유기농_10월'!$A:$A,$E241)&gt;0,"O",""))</f>
        <v/>
      </c>
      <c r="M241" s="17" t="str">
        <f>IF($C241="","",IF(COUNTIFS('RAW_유기농_11-12월'!$D:$D,$C241,'RAW_유기농_11-12월'!$A:$A,$E241)&gt;0,"O",""))</f>
        <v/>
      </c>
      <c r="N241" s="7" t="str">
        <f>IF($C241="","",IF(COUNTA('RAW_유기농_7월'!$A:$A)&lt;=1,"",SUMIFS('RAW_유기농_7월'!$H:$H,'RAW_유기농_7월'!$D:$D,$C241,'RAW_유기농_7월'!$A:$A,$E241)))</f>
        <v/>
      </c>
      <c r="O241" s="7" t="str">
        <f>IF($C241="","",IF(COUNTA('RAW_유기농_8월'!$A:$A)&lt;=1,"",SUMIFS('RAW_유기농_8월'!$H:$H,'RAW_유기농_8월'!$D:$D,$C241,'RAW_유기농_8월'!$A:$A,$E241)-SUMIFS('RAW_유기농_7월'!$H:$H,'RAW_유기농_7월'!$D:$D,$C241,'RAW_유기농_7월'!$A:$A,$E241)))</f>
        <v/>
      </c>
      <c r="P241" s="7" t="str">
        <f>IF($C241="","",IF(COUNTA('RAW_유기농_9월'!$A:$A)&lt;=1,"",SUMIFS('RAW_유기농_9월'!$H:$H,'RAW_유기농_9월'!$D:$D,$C241,'RAW_유기농_9월'!$A:$A,$E241)-SUMIFS('RAW_유기농_8월'!$H:$H,'RAW_유기농_8월'!$D:$D,$C241,'RAW_유기농_8월'!$A:$A,$E241)))</f>
        <v/>
      </c>
      <c r="Q241" s="7" t="str">
        <f>IF($C241="","",IF(COUNTA('RAW_유기농_10월'!$A:$A)&lt;=1,"",SUMIFS('RAW_유기농_10월'!$H:$H,'RAW_유기농_10월'!$D:$D,$C241,'RAW_유기농_10월'!$A:$A,$E241)-SUMIFS('RAW_유기농_9월'!$H:$H,'RAW_유기농_9월'!$D:$D,$C241,'RAW_유기농_9월'!$A:$A,$E241)))</f>
        <v/>
      </c>
      <c r="R241" s="7" t="str">
        <f>IF($C241="","",IF(COUNTA('RAW_유기농_11-12월'!$A:$A)&lt;=1,"",SUMIFS('RAW_유기농_11-12월'!$H:$H,'RAW_유기농_11-12월'!$D:$D,$C241,'RAW_유기농_11-12월'!$A:$A,$E241)-SUMIFS('RAW_유기농_10월'!$H:$H,'RAW_유기농_10월'!$D:$D,$C241,'RAW_유기농_10월'!$A:$A,$E241)))</f>
        <v/>
      </c>
      <c r="S241" s="17" t="str">
        <f t="shared" si="4"/>
        <v/>
      </c>
      <c r="T241" s="17" t="str">
        <f t="shared" si="5"/>
        <v/>
      </c>
      <c r="U241" s="7">
        <f>IF($C241="",0,IF('설정'!$B$4=0,0,CHOOSE('설정'!$B$4,COUNTIFS('RAW_유기농_7월'!$D:$D,$C241,'RAW_유기농_7월'!$A:$A,$E241),COUNTIFS('RAW_유기농_8월'!$D:$D,$C241,'RAW_유기농_8월'!$A:$A,$E241),COUNTIFS('RAW_유기농_9월'!$D:$D,$C241,'RAW_유기농_9월'!$A:$A,$E241),COUNTIFS('RAW_유기농_10월'!$D:$D,$C241,'RAW_유기농_10월'!$A:$A,$E241),COUNTIFS('RAW_유기농_11-12월'!$D:$D,$C241,'RAW_유기농_11-12월'!$A:$A,$E241))))</f>
        <v>0</v>
      </c>
    </row>
    <row r="242" ht="15.75" customHeight="1">
      <c r="A242" s="5"/>
      <c r="B242" s="5"/>
      <c r="C242" s="5"/>
      <c r="D242" s="6"/>
      <c r="E242" s="5"/>
      <c r="F242" s="7" t="str">
        <f>IF($C242="","",IF('설정'!$B$4=0,"",CHOOSE('설정'!$B$4,SUMIFS('RAW_유기농_7월'!$F:$F,'RAW_유기농_7월'!$D:$D,$C242,'RAW_유기농_7월'!$A:$A,$E242),SUMIFS('RAW_유기농_8월'!$F:$F,'RAW_유기농_8월'!$D:$D,$C242,'RAW_유기농_8월'!$A:$A,$E242),SUMIFS('RAW_유기농_9월'!$F:$F,'RAW_유기농_9월'!$D:$D,$C242,'RAW_유기농_9월'!$A:$A,$E242),SUMIFS('RAW_유기농_10월'!$F:$F,'RAW_유기농_10월'!$D:$D,$C242,'RAW_유기농_10월'!$A:$A,$E242),SUMIFS('RAW_유기농_11-12월'!$F:$F,'RAW_유기농_11-12월'!$D:$D,$C242,'RAW_유기농_11-12월'!$A:$A,$E242))))</f>
        <v/>
      </c>
      <c r="G242" s="7" t="str">
        <f>IF($C242="","",IF('설정'!$B$4=0,"",CHOOSE('설정'!$B$4,SUMIFS('RAW_유기농_7월'!$G:$G,'RAW_유기농_7월'!$D:$D,$C242,'RAW_유기농_7월'!$A:$A,$E242),SUMIFS('RAW_유기농_8월'!$G:$G,'RAW_유기농_8월'!$D:$D,$C242,'RAW_유기농_8월'!$A:$A,$E242),SUMIFS('RAW_유기농_9월'!$G:$G,'RAW_유기농_9월'!$D:$D,$C242,'RAW_유기농_9월'!$A:$A,$E242),SUMIFS('RAW_유기농_10월'!$G:$G,'RAW_유기농_10월'!$D:$D,$C242,'RAW_유기농_10월'!$A:$A,$E242),SUMIFS('RAW_유기농_11-12월'!$G:$G,'RAW_유기농_11-12월'!$D:$D,$C242,'RAW_유기농_11-12월'!$A:$A,$E242))))</f>
        <v/>
      </c>
      <c r="H242" s="7" t="str">
        <f>IF($C242="","",IF('설정'!$B$4=0,"",CHOOSE('설정'!$B$4,SUMIFS('RAW_유기농_7월'!$H:$H,'RAW_유기농_7월'!$D:$D,$C242,'RAW_유기농_7월'!$A:$A,$E242),SUMIFS('RAW_유기농_8월'!$H:$H,'RAW_유기농_8월'!$D:$D,$C242,'RAW_유기농_8월'!$A:$A,$E242),SUMIFS('RAW_유기농_9월'!$H:$H,'RAW_유기농_9월'!$D:$D,$C242,'RAW_유기농_9월'!$A:$A,$E242),SUMIFS('RAW_유기농_10월'!$H:$H,'RAW_유기농_10월'!$D:$D,$C242,'RAW_유기농_10월'!$A:$A,$E242),SUMIFS('RAW_유기농_11-12월'!$H:$H,'RAW_유기농_11-12월'!$D:$D,$C242,'RAW_유기농_11-12월'!$A:$A,$E242))))</f>
        <v/>
      </c>
      <c r="I242" s="17" t="str">
        <f>IF($C242="","",IF(COUNTIFS('RAW_유기농_7월'!$D:$D,$C242,'RAW_유기농_7월'!$A:$A,$E242)&gt;0,"O",""))</f>
        <v/>
      </c>
      <c r="J242" s="17" t="str">
        <f>IF($C242="","",IF(COUNTIFS('RAW_유기농_8월'!$D:$D,$C242,'RAW_유기농_8월'!$A:$A,$E242)&gt;0,"O",""))</f>
        <v/>
      </c>
      <c r="K242" s="17" t="str">
        <f>IF($C242="","",IF(COUNTIFS('RAW_유기농_9월'!$D:$D,$C242,'RAW_유기농_9월'!$A:$A,$E242)&gt;0,"O",""))</f>
        <v/>
      </c>
      <c r="L242" s="17" t="str">
        <f>IF($C242="","",IF(COUNTIFS('RAW_유기농_10월'!$D:$D,$C242,'RAW_유기농_10월'!$A:$A,$E242)&gt;0,"O",""))</f>
        <v/>
      </c>
      <c r="M242" s="17" t="str">
        <f>IF($C242="","",IF(COUNTIFS('RAW_유기농_11-12월'!$D:$D,$C242,'RAW_유기농_11-12월'!$A:$A,$E242)&gt;0,"O",""))</f>
        <v/>
      </c>
      <c r="N242" s="7" t="str">
        <f>IF($C242="","",IF(COUNTA('RAW_유기농_7월'!$A:$A)&lt;=1,"",SUMIFS('RAW_유기농_7월'!$H:$H,'RAW_유기농_7월'!$D:$D,$C242,'RAW_유기농_7월'!$A:$A,$E242)))</f>
        <v/>
      </c>
      <c r="O242" s="7" t="str">
        <f>IF($C242="","",IF(COUNTA('RAW_유기농_8월'!$A:$A)&lt;=1,"",SUMIFS('RAW_유기농_8월'!$H:$H,'RAW_유기농_8월'!$D:$D,$C242,'RAW_유기농_8월'!$A:$A,$E242)-SUMIFS('RAW_유기농_7월'!$H:$H,'RAW_유기농_7월'!$D:$D,$C242,'RAW_유기농_7월'!$A:$A,$E242)))</f>
        <v/>
      </c>
      <c r="P242" s="7" t="str">
        <f>IF($C242="","",IF(COUNTA('RAW_유기농_9월'!$A:$A)&lt;=1,"",SUMIFS('RAW_유기농_9월'!$H:$H,'RAW_유기농_9월'!$D:$D,$C242,'RAW_유기농_9월'!$A:$A,$E242)-SUMIFS('RAW_유기농_8월'!$H:$H,'RAW_유기농_8월'!$D:$D,$C242,'RAW_유기농_8월'!$A:$A,$E242)))</f>
        <v/>
      </c>
      <c r="Q242" s="7" t="str">
        <f>IF($C242="","",IF(COUNTA('RAW_유기농_10월'!$A:$A)&lt;=1,"",SUMIFS('RAW_유기농_10월'!$H:$H,'RAW_유기농_10월'!$D:$D,$C242,'RAW_유기농_10월'!$A:$A,$E242)-SUMIFS('RAW_유기농_9월'!$H:$H,'RAW_유기농_9월'!$D:$D,$C242,'RAW_유기농_9월'!$A:$A,$E242)))</f>
        <v/>
      </c>
      <c r="R242" s="7" t="str">
        <f>IF($C242="","",IF(COUNTA('RAW_유기농_11-12월'!$A:$A)&lt;=1,"",SUMIFS('RAW_유기농_11-12월'!$H:$H,'RAW_유기농_11-12월'!$D:$D,$C242,'RAW_유기농_11-12월'!$A:$A,$E242)-SUMIFS('RAW_유기농_10월'!$H:$H,'RAW_유기농_10월'!$D:$D,$C242,'RAW_유기농_10월'!$A:$A,$E242)))</f>
        <v/>
      </c>
      <c r="S242" s="17" t="str">
        <f t="shared" si="4"/>
        <v/>
      </c>
      <c r="T242" s="17" t="str">
        <f t="shared" si="5"/>
        <v/>
      </c>
      <c r="U242" s="7">
        <f>IF($C242="",0,IF('설정'!$B$4=0,0,CHOOSE('설정'!$B$4,COUNTIFS('RAW_유기농_7월'!$D:$D,$C242,'RAW_유기농_7월'!$A:$A,$E242),COUNTIFS('RAW_유기농_8월'!$D:$D,$C242,'RAW_유기농_8월'!$A:$A,$E242),COUNTIFS('RAW_유기농_9월'!$D:$D,$C242,'RAW_유기농_9월'!$A:$A,$E242),COUNTIFS('RAW_유기농_10월'!$D:$D,$C242,'RAW_유기농_10월'!$A:$A,$E242),COUNTIFS('RAW_유기농_11-12월'!$D:$D,$C242,'RAW_유기농_11-12월'!$A:$A,$E242))))</f>
        <v>0</v>
      </c>
    </row>
    <row r="243" ht="15.75" customHeight="1">
      <c r="A243" s="5"/>
      <c r="B243" s="5"/>
      <c r="C243" s="5"/>
      <c r="D243" s="6"/>
      <c r="E243" s="5"/>
      <c r="F243" s="7" t="str">
        <f>IF($C243="","",IF('설정'!$B$4=0,"",CHOOSE('설정'!$B$4,SUMIFS('RAW_유기농_7월'!$F:$F,'RAW_유기농_7월'!$D:$D,$C243,'RAW_유기농_7월'!$A:$A,$E243),SUMIFS('RAW_유기농_8월'!$F:$F,'RAW_유기농_8월'!$D:$D,$C243,'RAW_유기농_8월'!$A:$A,$E243),SUMIFS('RAW_유기농_9월'!$F:$F,'RAW_유기농_9월'!$D:$D,$C243,'RAW_유기농_9월'!$A:$A,$E243),SUMIFS('RAW_유기농_10월'!$F:$F,'RAW_유기농_10월'!$D:$D,$C243,'RAW_유기농_10월'!$A:$A,$E243),SUMIFS('RAW_유기농_11-12월'!$F:$F,'RAW_유기농_11-12월'!$D:$D,$C243,'RAW_유기농_11-12월'!$A:$A,$E243))))</f>
        <v/>
      </c>
      <c r="G243" s="7" t="str">
        <f>IF($C243="","",IF('설정'!$B$4=0,"",CHOOSE('설정'!$B$4,SUMIFS('RAW_유기농_7월'!$G:$G,'RAW_유기농_7월'!$D:$D,$C243,'RAW_유기농_7월'!$A:$A,$E243),SUMIFS('RAW_유기농_8월'!$G:$G,'RAW_유기농_8월'!$D:$D,$C243,'RAW_유기농_8월'!$A:$A,$E243),SUMIFS('RAW_유기농_9월'!$G:$G,'RAW_유기농_9월'!$D:$D,$C243,'RAW_유기농_9월'!$A:$A,$E243),SUMIFS('RAW_유기농_10월'!$G:$G,'RAW_유기농_10월'!$D:$D,$C243,'RAW_유기농_10월'!$A:$A,$E243),SUMIFS('RAW_유기농_11-12월'!$G:$G,'RAW_유기농_11-12월'!$D:$D,$C243,'RAW_유기농_11-12월'!$A:$A,$E243))))</f>
        <v/>
      </c>
      <c r="H243" s="7" t="str">
        <f>IF($C243="","",IF('설정'!$B$4=0,"",CHOOSE('설정'!$B$4,SUMIFS('RAW_유기농_7월'!$H:$H,'RAW_유기농_7월'!$D:$D,$C243,'RAW_유기농_7월'!$A:$A,$E243),SUMIFS('RAW_유기농_8월'!$H:$H,'RAW_유기농_8월'!$D:$D,$C243,'RAW_유기농_8월'!$A:$A,$E243),SUMIFS('RAW_유기농_9월'!$H:$H,'RAW_유기농_9월'!$D:$D,$C243,'RAW_유기농_9월'!$A:$A,$E243),SUMIFS('RAW_유기농_10월'!$H:$H,'RAW_유기농_10월'!$D:$D,$C243,'RAW_유기농_10월'!$A:$A,$E243),SUMIFS('RAW_유기농_11-12월'!$H:$H,'RAW_유기농_11-12월'!$D:$D,$C243,'RAW_유기농_11-12월'!$A:$A,$E243))))</f>
        <v/>
      </c>
      <c r="I243" s="17" t="str">
        <f>IF($C243="","",IF(COUNTIFS('RAW_유기농_7월'!$D:$D,$C243,'RAW_유기농_7월'!$A:$A,$E243)&gt;0,"O",""))</f>
        <v/>
      </c>
      <c r="J243" s="17" t="str">
        <f>IF($C243="","",IF(COUNTIFS('RAW_유기농_8월'!$D:$D,$C243,'RAW_유기농_8월'!$A:$A,$E243)&gt;0,"O",""))</f>
        <v/>
      </c>
      <c r="K243" s="17" t="str">
        <f>IF($C243="","",IF(COUNTIFS('RAW_유기농_9월'!$D:$D,$C243,'RAW_유기농_9월'!$A:$A,$E243)&gt;0,"O",""))</f>
        <v/>
      </c>
      <c r="L243" s="17" t="str">
        <f>IF($C243="","",IF(COUNTIFS('RAW_유기농_10월'!$D:$D,$C243,'RAW_유기농_10월'!$A:$A,$E243)&gt;0,"O",""))</f>
        <v/>
      </c>
      <c r="M243" s="17" t="str">
        <f>IF($C243="","",IF(COUNTIFS('RAW_유기농_11-12월'!$D:$D,$C243,'RAW_유기농_11-12월'!$A:$A,$E243)&gt;0,"O",""))</f>
        <v/>
      </c>
      <c r="N243" s="7" t="str">
        <f>IF($C243="","",IF(COUNTA('RAW_유기농_7월'!$A:$A)&lt;=1,"",SUMIFS('RAW_유기농_7월'!$H:$H,'RAW_유기농_7월'!$D:$D,$C243,'RAW_유기농_7월'!$A:$A,$E243)))</f>
        <v/>
      </c>
      <c r="O243" s="7" t="str">
        <f>IF($C243="","",IF(COUNTA('RAW_유기농_8월'!$A:$A)&lt;=1,"",SUMIFS('RAW_유기농_8월'!$H:$H,'RAW_유기농_8월'!$D:$D,$C243,'RAW_유기농_8월'!$A:$A,$E243)-SUMIFS('RAW_유기농_7월'!$H:$H,'RAW_유기농_7월'!$D:$D,$C243,'RAW_유기농_7월'!$A:$A,$E243)))</f>
        <v/>
      </c>
      <c r="P243" s="7" t="str">
        <f>IF($C243="","",IF(COUNTA('RAW_유기농_9월'!$A:$A)&lt;=1,"",SUMIFS('RAW_유기농_9월'!$H:$H,'RAW_유기농_9월'!$D:$D,$C243,'RAW_유기농_9월'!$A:$A,$E243)-SUMIFS('RAW_유기농_8월'!$H:$H,'RAW_유기농_8월'!$D:$D,$C243,'RAW_유기농_8월'!$A:$A,$E243)))</f>
        <v/>
      </c>
      <c r="Q243" s="7" t="str">
        <f>IF($C243="","",IF(COUNTA('RAW_유기농_10월'!$A:$A)&lt;=1,"",SUMIFS('RAW_유기농_10월'!$H:$H,'RAW_유기농_10월'!$D:$D,$C243,'RAW_유기농_10월'!$A:$A,$E243)-SUMIFS('RAW_유기농_9월'!$H:$H,'RAW_유기농_9월'!$D:$D,$C243,'RAW_유기농_9월'!$A:$A,$E243)))</f>
        <v/>
      </c>
      <c r="R243" s="7" t="str">
        <f>IF($C243="","",IF(COUNTA('RAW_유기농_11-12월'!$A:$A)&lt;=1,"",SUMIFS('RAW_유기농_11-12월'!$H:$H,'RAW_유기농_11-12월'!$D:$D,$C243,'RAW_유기농_11-12월'!$A:$A,$E243)-SUMIFS('RAW_유기농_10월'!$H:$H,'RAW_유기농_10월'!$D:$D,$C243,'RAW_유기농_10월'!$A:$A,$E243)))</f>
        <v/>
      </c>
      <c r="S243" s="17" t="str">
        <f t="shared" si="4"/>
        <v/>
      </c>
      <c r="T243" s="17" t="str">
        <f t="shared" si="5"/>
        <v/>
      </c>
      <c r="U243" s="7">
        <f>IF($C243="",0,IF('설정'!$B$4=0,0,CHOOSE('설정'!$B$4,COUNTIFS('RAW_유기농_7월'!$D:$D,$C243,'RAW_유기농_7월'!$A:$A,$E243),COUNTIFS('RAW_유기농_8월'!$D:$D,$C243,'RAW_유기농_8월'!$A:$A,$E243),COUNTIFS('RAW_유기농_9월'!$D:$D,$C243,'RAW_유기농_9월'!$A:$A,$E243),COUNTIFS('RAW_유기농_10월'!$D:$D,$C243,'RAW_유기농_10월'!$A:$A,$E243),COUNTIFS('RAW_유기농_11-12월'!$D:$D,$C243,'RAW_유기농_11-12월'!$A:$A,$E243))))</f>
        <v>0</v>
      </c>
    </row>
    <row r="244" ht="15.75" customHeight="1">
      <c r="A244" s="5"/>
      <c r="B244" s="5"/>
      <c r="C244" s="5"/>
      <c r="D244" s="6"/>
      <c r="E244" s="5"/>
      <c r="F244" s="7" t="str">
        <f>IF($C244="","",IF('설정'!$B$4=0,"",CHOOSE('설정'!$B$4,SUMIFS('RAW_유기농_7월'!$F:$F,'RAW_유기농_7월'!$D:$D,$C244,'RAW_유기농_7월'!$A:$A,$E244),SUMIFS('RAW_유기농_8월'!$F:$F,'RAW_유기농_8월'!$D:$D,$C244,'RAW_유기농_8월'!$A:$A,$E244),SUMIFS('RAW_유기농_9월'!$F:$F,'RAW_유기농_9월'!$D:$D,$C244,'RAW_유기농_9월'!$A:$A,$E244),SUMIFS('RAW_유기농_10월'!$F:$F,'RAW_유기농_10월'!$D:$D,$C244,'RAW_유기농_10월'!$A:$A,$E244),SUMIFS('RAW_유기농_11-12월'!$F:$F,'RAW_유기농_11-12월'!$D:$D,$C244,'RAW_유기농_11-12월'!$A:$A,$E244))))</f>
        <v/>
      </c>
      <c r="G244" s="7" t="str">
        <f>IF($C244="","",IF('설정'!$B$4=0,"",CHOOSE('설정'!$B$4,SUMIFS('RAW_유기농_7월'!$G:$G,'RAW_유기농_7월'!$D:$D,$C244,'RAW_유기농_7월'!$A:$A,$E244),SUMIFS('RAW_유기농_8월'!$G:$G,'RAW_유기농_8월'!$D:$D,$C244,'RAW_유기농_8월'!$A:$A,$E244),SUMIFS('RAW_유기농_9월'!$G:$G,'RAW_유기농_9월'!$D:$D,$C244,'RAW_유기농_9월'!$A:$A,$E244),SUMIFS('RAW_유기농_10월'!$G:$G,'RAW_유기농_10월'!$D:$D,$C244,'RAW_유기농_10월'!$A:$A,$E244),SUMIFS('RAW_유기농_11-12월'!$G:$G,'RAW_유기농_11-12월'!$D:$D,$C244,'RAW_유기농_11-12월'!$A:$A,$E244))))</f>
        <v/>
      </c>
      <c r="H244" s="7" t="str">
        <f>IF($C244="","",IF('설정'!$B$4=0,"",CHOOSE('설정'!$B$4,SUMIFS('RAW_유기농_7월'!$H:$H,'RAW_유기농_7월'!$D:$D,$C244,'RAW_유기농_7월'!$A:$A,$E244),SUMIFS('RAW_유기농_8월'!$H:$H,'RAW_유기농_8월'!$D:$D,$C244,'RAW_유기농_8월'!$A:$A,$E244),SUMIFS('RAW_유기농_9월'!$H:$H,'RAW_유기농_9월'!$D:$D,$C244,'RAW_유기농_9월'!$A:$A,$E244),SUMIFS('RAW_유기농_10월'!$H:$H,'RAW_유기농_10월'!$D:$D,$C244,'RAW_유기농_10월'!$A:$A,$E244),SUMIFS('RAW_유기농_11-12월'!$H:$H,'RAW_유기농_11-12월'!$D:$D,$C244,'RAW_유기농_11-12월'!$A:$A,$E244))))</f>
        <v/>
      </c>
      <c r="I244" s="17" t="str">
        <f>IF($C244="","",IF(COUNTIFS('RAW_유기농_7월'!$D:$D,$C244,'RAW_유기농_7월'!$A:$A,$E244)&gt;0,"O",""))</f>
        <v/>
      </c>
      <c r="J244" s="17" t="str">
        <f>IF($C244="","",IF(COUNTIFS('RAW_유기농_8월'!$D:$D,$C244,'RAW_유기농_8월'!$A:$A,$E244)&gt;0,"O",""))</f>
        <v/>
      </c>
      <c r="K244" s="17" t="str">
        <f>IF($C244="","",IF(COUNTIFS('RAW_유기농_9월'!$D:$D,$C244,'RAW_유기농_9월'!$A:$A,$E244)&gt;0,"O",""))</f>
        <v/>
      </c>
      <c r="L244" s="17" t="str">
        <f>IF($C244="","",IF(COUNTIFS('RAW_유기농_10월'!$D:$D,$C244,'RAW_유기농_10월'!$A:$A,$E244)&gt;0,"O",""))</f>
        <v/>
      </c>
      <c r="M244" s="17" t="str">
        <f>IF($C244="","",IF(COUNTIFS('RAW_유기농_11-12월'!$D:$D,$C244,'RAW_유기농_11-12월'!$A:$A,$E244)&gt;0,"O",""))</f>
        <v/>
      </c>
      <c r="N244" s="7" t="str">
        <f>IF($C244="","",IF(COUNTA('RAW_유기농_7월'!$A:$A)&lt;=1,"",SUMIFS('RAW_유기농_7월'!$H:$H,'RAW_유기농_7월'!$D:$D,$C244,'RAW_유기농_7월'!$A:$A,$E244)))</f>
        <v/>
      </c>
      <c r="O244" s="7" t="str">
        <f>IF($C244="","",IF(COUNTA('RAW_유기농_8월'!$A:$A)&lt;=1,"",SUMIFS('RAW_유기농_8월'!$H:$H,'RAW_유기농_8월'!$D:$D,$C244,'RAW_유기농_8월'!$A:$A,$E244)-SUMIFS('RAW_유기농_7월'!$H:$H,'RAW_유기농_7월'!$D:$D,$C244,'RAW_유기농_7월'!$A:$A,$E244)))</f>
        <v/>
      </c>
      <c r="P244" s="7" t="str">
        <f>IF($C244="","",IF(COUNTA('RAW_유기농_9월'!$A:$A)&lt;=1,"",SUMIFS('RAW_유기농_9월'!$H:$H,'RAW_유기농_9월'!$D:$D,$C244,'RAW_유기농_9월'!$A:$A,$E244)-SUMIFS('RAW_유기농_8월'!$H:$H,'RAW_유기농_8월'!$D:$D,$C244,'RAW_유기농_8월'!$A:$A,$E244)))</f>
        <v/>
      </c>
      <c r="Q244" s="7" t="str">
        <f>IF($C244="","",IF(COUNTA('RAW_유기농_10월'!$A:$A)&lt;=1,"",SUMIFS('RAW_유기농_10월'!$H:$H,'RAW_유기농_10월'!$D:$D,$C244,'RAW_유기농_10월'!$A:$A,$E244)-SUMIFS('RAW_유기농_9월'!$H:$H,'RAW_유기농_9월'!$D:$D,$C244,'RAW_유기농_9월'!$A:$A,$E244)))</f>
        <v/>
      </c>
      <c r="R244" s="7" t="str">
        <f>IF($C244="","",IF(COUNTA('RAW_유기농_11-12월'!$A:$A)&lt;=1,"",SUMIFS('RAW_유기농_11-12월'!$H:$H,'RAW_유기농_11-12월'!$D:$D,$C244,'RAW_유기농_11-12월'!$A:$A,$E244)-SUMIFS('RAW_유기농_10월'!$H:$H,'RAW_유기농_10월'!$D:$D,$C244,'RAW_유기농_10월'!$A:$A,$E244)))</f>
        <v/>
      </c>
      <c r="S244" s="17" t="str">
        <f t="shared" si="4"/>
        <v/>
      </c>
      <c r="T244" s="17" t="str">
        <f t="shared" si="5"/>
        <v/>
      </c>
      <c r="U244" s="7">
        <f>IF($C244="",0,IF('설정'!$B$4=0,0,CHOOSE('설정'!$B$4,COUNTIFS('RAW_유기농_7월'!$D:$D,$C244,'RAW_유기농_7월'!$A:$A,$E244),COUNTIFS('RAW_유기농_8월'!$D:$D,$C244,'RAW_유기농_8월'!$A:$A,$E244),COUNTIFS('RAW_유기농_9월'!$D:$D,$C244,'RAW_유기농_9월'!$A:$A,$E244),COUNTIFS('RAW_유기농_10월'!$D:$D,$C244,'RAW_유기농_10월'!$A:$A,$E244),COUNTIFS('RAW_유기농_11-12월'!$D:$D,$C244,'RAW_유기농_11-12월'!$A:$A,$E244))))</f>
        <v>0</v>
      </c>
    </row>
    <row r="245" ht="15.75" customHeight="1">
      <c r="A245" s="5"/>
      <c r="B245" s="5"/>
      <c r="C245" s="5"/>
      <c r="D245" s="6"/>
      <c r="E245" s="5"/>
      <c r="F245" s="7" t="str">
        <f>IF($C245="","",IF('설정'!$B$4=0,"",CHOOSE('설정'!$B$4,SUMIFS('RAW_유기농_7월'!$F:$F,'RAW_유기농_7월'!$D:$D,$C245,'RAW_유기농_7월'!$A:$A,$E245),SUMIFS('RAW_유기농_8월'!$F:$F,'RAW_유기농_8월'!$D:$D,$C245,'RAW_유기농_8월'!$A:$A,$E245),SUMIFS('RAW_유기농_9월'!$F:$F,'RAW_유기농_9월'!$D:$D,$C245,'RAW_유기농_9월'!$A:$A,$E245),SUMIFS('RAW_유기농_10월'!$F:$F,'RAW_유기농_10월'!$D:$D,$C245,'RAW_유기농_10월'!$A:$A,$E245),SUMIFS('RAW_유기농_11-12월'!$F:$F,'RAW_유기농_11-12월'!$D:$D,$C245,'RAW_유기농_11-12월'!$A:$A,$E245))))</f>
        <v/>
      </c>
      <c r="G245" s="7" t="str">
        <f>IF($C245="","",IF('설정'!$B$4=0,"",CHOOSE('설정'!$B$4,SUMIFS('RAW_유기농_7월'!$G:$G,'RAW_유기농_7월'!$D:$D,$C245,'RAW_유기농_7월'!$A:$A,$E245),SUMIFS('RAW_유기농_8월'!$G:$G,'RAW_유기농_8월'!$D:$D,$C245,'RAW_유기농_8월'!$A:$A,$E245),SUMIFS('RAW_유기농_9월'!$G:$G,'RAW_유기농_9월'!$D:$D,$C245,'RAW_유기농_9월'!$A:$A,$E245),SUMIFS('RAW_유기농_10월'!$G:$G,'RAW_유기농_10월'!$D:$D,$C245,'RAW_유기농_10월'!$A:$A,$E245),SUMIFS('RAW_유기농_11-12월'!$G:$G,'RAW_유기농_11-12월'!$D:$D,$C245,'RAW_유기농_11-12월'!$A:$A,$E245))))</f>
        <v/>
      </c>
      <c r="H245" s="7" t="str">
        <f>IF($C245="","",IF('설정'!$B$4=0,"",CHOOSE('설정'!$B$4,SUMIFS('RAW_유기농_7월'!$H:$H,'RAW_유기농_7월'!$D:$D,$C245,'RAW_유기농_7월'!$A:$A,$E245),SUMIFS('RAW_유기농_8월'!$H:$H,'RAW_유기농_8월'!$D:$D,$C245,'RAW_유기농_8월'!$A:$A,$E245),SUMIFS('RAW_유기농_9월'!$H:$H,'RAW_유기농_9월'!$D:$D,$C245,'RAW_유기농_9월'!$A:$A,$E245),SUMIFS('RAW_유기농_10월'!$H:$H,'RAW_유기농_10월'!$D:$D,$C245,'RAW_유기농_10월'!$A:$A,$E245),SUMIFS('RAW_유기농_11-12월'!$H:$H,'RAW_유기농_11-12월'!$D:$D,$C245,'RAW_유기농_11-12월'!$A:$A,$E245))))</f>
        <v/>
      </c>
      <c r="I245" s="17" t="str">
        <f>IF($C245="","",IF(COUNTIFS('RAW_유기농_7월'!$D:$D,$C245,'RAW_유기농_7월'!$A:$A,$E245)&gt;0,"O",""))</f>
        <v/>
      </c>
      <c r="J245" s="17" t="str">
        <f>IF($C245="","",IF(COUNTIFS('RAW_유기농_8월'!$D:$D,$C245,'RAW_유기농_8월'!$A:$A,$E245)&gt;0,"O",""))</f>
        <v/>
      </c>
      <c r="K245" s="17" t="str">
        <f>IF($C245="","",IF(COUNTIFS('RAW_유기농_9월'!$D:$D,$C245,'RAW_유기농_9월'!$A:$A,$E245)&gt;0,"O",""))</f>
        <v/>
      </c>
      <c r="L245" s="17" t="str">
        <f>IF($C245="","",IF(COUNTIFS('RAW_유기농_10월'!$D:$D,$C245,'RAW_유기농_10월'!$A:$A,$E245)&gt;0,"O",""))</f>
        <v/>
      </c>
      <c r="M245" s="17" t="str">
        <f>IF($C245="","",IF(COUNTIFS('RAW_유기농_11-12월'!$D:$D,$C245,'RAW_유기농_11-12월'!$A:$A,$E245)&gt;0,"O",""))</f>
        <v/>
      </c>
      <c r="N245" s="7" t="str">
        <f>IF($C245="","",IF(COUNTA('RAW_유기농_7월'!$A:$A)&lt;=1,"",SUMIFS('RAW_유기농_7월'!$H:$H,'RAW_유기농_7월'!$D:$D,$C245,'RAW_유기농_7월'!$A:$A,$E245)))</f>
        <v/>
      </c>
      <c r="O245" s="7" t="str">
        <f>IF($C245="","",IF(COUNTA('RAW_유기농_8월'!$A:$A)&lt;=1,"",SUMIFS('RAW_유기농_8월'!$H:$H,'RAW_유기농_8월'!$D:$D,$C245,'RAW_유기농_8월'!$A:$A,$E245)-SUMIFS('RAW_유기농_7월'!$H:$H,'RAW_유기농_7월'!$D:$D,$C245,'RAW_유기농_7월'!$A:$A,$E245)))</f>
        <v/>
      </c>
      <c r="P245" s="7" t="str">
        <f>IF($C245="","",IF(COUNTA('RAW_유기농_9월'!$A:$A)&lt;=1,"",SUMIFS('RAW_유기농_9월'!$H:$H,'RAW_유기농_9월'!$D:$D,$C245,'RAW_유기농_9월'!$A:$A,$E245)-SUMIFS('RAW_유기농_8월'!$H:$H,'RAW_유기농_8월'!$D:$D,$C245,'RAW_유기농_8월'!$A:$A,$E245)))</f>
        <v/>
      </c>
      <c r="Q245" s="7" t="str">
        <f>IF($C245="","",IF(COUNTA('RAW_유기농_10월'!$A:$A)&lt;=1,"",SUMIFS('RAW_유기농_10월'!$H:$H,'RAW_유기농_10월'!$D:$D,$C245,'RAW_유기농_10월'!$A:$A,$E245)-SUMIFS('RAW_유기농_9월'!$H:$H,'RAW_유기농_9월'!$D:$D,$C245,'RAW_유기농_9월'!$A:$A,$E245)))</f>
        <v/>
      </c>
      <c r="R245" s="7" t="str">
        <f>IF($C245="","",IF(COUNTA('RAW_유기농_11-12월'!$A:$A)&lt;=1,"",SUMIFS('RAW_유기농_11-12월'!$H:$H,'RAW_유기농_11-12월'!$D:$D,$C245,'RAW_유기농_11-12월'!$A:$A,$E245)-SUMIFS('RAW_유기농_10월'!$H:$H,'RAW_유기농_10월'!$D:$D,$C245,'RAW_유기농_10월'!$A:$A,$E245)))</f>
        <v/>
      </c>
      <c r="S245" s="17" t="str">
        <f t="shared" si="4"/>
        <v/>
      </c>
      <c r="T245" s="17" t="str">
        <f t="shared" si="5"/>
        <v/>
      </c>
      <c r="U245" s="7">
        <f>IF($C245="",0,IF('설정'!$B$4=0,0,CHOOSE('설정'!$B$4,COUNTIFS('RAW_유기농_7월'!$D:$D,$C245,'RAW_유기농_7월'!$A:$A,$E245),COUNTIFS('RAW_유기농_8월'!$D:$D,$C245,'RAW_유기농_8월'!$A:$A,$E245),COUNTIFS('RAW_유기농_9월'!$D:$D,$C245,'RAW_유기농_9월'!$A:$A,$E245),COUNTIFS('RAW_유기농_10월'!$D:$D,$C245,'RAW_유기농_10월'!$A:$A,$E245),COUNTIFS('RAW_유기농_11-12월'!$D:$D,$C245,'RAW_유기농_11-12월'!$A:$A,$E245))))</f>
        <v>0</v>
      </c>
    </row>
    <row r="246" ht="15.75" customHeight="1">
      <c r="A246" s="5"/>
      <c r="B246" s="5"/>
      <c r="C246" s="5"/>
      <c r="D246" s="6"/>
      <c r="E246" s="5"/>
      <c r="F246" s="7" t="str">
        <f>IF($C246="","",IF('설정'!$B$4=0,"",CHOOSE('설정'!$B$4,SUMIFS('RAW_유기농_7월'!$F:$F,'RAW_유기농_7월'!$D:$D,$C246,'RAW_유기농_7월'!$A:$A,$E246),SUMIFS('RAW_유기농_8월'!$F:$F,'RAW_유기농_8월'!$D:$D,$C246,'RAW_유기농_8월'!$A:$A,$E246),SUMIFS('RAW_유기농_9월'!$F:$F,'RAW_유기농_9월'!$D:$D,$C246,'RAW_유기농_9월'!$A:$A,$E246),SUMIFS('RAW_유기농_10월'!$F:$F,'RAW_유기농_10월'!$D:$D,$C246,'RAW_유기농_10월'!$A:$A,$E246),SUMIFS('RAW_유기농_11-12월'!$F:$F,'RAW_유기농_11-12월'!$D:$D,$C246,'RAW_유기농_11-12월'!$A:$A,$E246))))</f>
        <v/>
      </c>
      <c r="G246" s="7" t="str">
        <f>IF($C246="","",IF('설정'!$B$4=0,"",CHOOSE('설정'!$B$4,SUMIFS('RAW_유기농_7월'!$G:$G,'RAW_유기농_7월'!$D:$D,$C246,'RAW_유기농_7월'!$A:$A,$E246),SUMIFS('RAW_유기농_8월'!$G:$G,'RAW_유기농_8월'!$D:$D,$C246,'RAW_유기농_8월'!$A:$A,$E246),SUMIFS('RAW_유기농_9월'!$G:$G,'RAW_유기농_9월'!$D:$D,$C246,'RAW_유기농_9월'!$A:$A,$E246),SUMIFS('RAW_유기농_10월'!$G:$G,'RAW_유기농_10월'!$D:$D,$C246,'RAW_유기농_10월'!$A:$A,$E246),SUMIFS('RAW_유기농_11-12월'!$G:$G,'RAW_유기농_11-12월'!$D:$D,$C246,'RAW_유기농_11-12월'!$A:$A,$E246))))</f>
        <v/>
      </c>
      <c r="H246" s="7" t="str">
        <f>IF($C246="","",IF('설정'!$B$4=0,"",CHOOSE('설정'!$B$4,SUMIFS('RAW_유기농_7월'!$H:$H,'RAW_유기농_7월'!$D:$D,$C246,'RAW_유기농_7월'!$A:$A,$E246),SUMIFS('RAW_유기농_8월'!$H:$H,'RAW_유기농_8월'!$D:$D,$C246,'RAW_유기농_8월'!$A:$A,$E246),SUMIFS('RAW_유기농_9월'!$H:$H,'RAW_유기농_9월'!$D:$D,$C246,'RAW_유기농_9월'!$A:$A,$E246),SUMIFS('RAW_유기농_10월'!$H:$H,'RAW_유기농_10월'!$D:$D,$C246,'RAW_유기농_10월'!$A:$A,$E246),SUMIFS('RAW_유기농_11-12월'!$H:$H,'RAW_유기농_11-12월'!$D:$D,$C246,'RAW_유기농_11-12월'!$A:$A,$E246))))</f>
        <v/>
      </c>
      <c r="I246" s="17" t="str">
        <f>IF($C246="","",IF(COUNTIFS('RAW_유기농_7월'!$D:$D,$C246,'RAW_유기농_7월'!$A:$A,$E246)&gt;0,"O",""))</f>
        <v/>
      </c>
      <c r="J246" s="17" t="str">
        <f>IF($C246="","",IF(COUNTIFS('RAW_유기농_8월'!$D:$D,$C246,'RAW_유기농_8월'!$A:$A,$E246)&gt;0,"O",""))</f>
        <v/>
      </c>
      <c r="K246" s="17" t="str">
        <f>IF($C246="","",IF(COUNTIFS('RAW_유기농_9월'!$D:$D,$C246,'RAW_유기농_9월'!$A:$A,$E246)&gt;0,"O",""))</f>
        <v/>
      </c>
      <c r="L246" s="17" t="str">
        <f>IF($C246="","",IF(COUNTIFS('RAW_유기농_10월'!$D:$D,$C246,'RAW_유기농_10월'!$A:$A,$E246)&gt;0,"O",""))</f>
        <v/>
      </c>
      <c r="M246" s="17" t="str">
        <f>IF($C246="","",IF(COUNTIFS('RAW_유기농_11-12월'!$D:$D,$C246,'RAW_유기농_11-12월'!$A:$A,$E246)&gt;0,"O",""))</f>
        <v/>
      </c>
      <c r="N246" s="7" t="str">
        <f>IF($C246="","",IF(COUNTA('RAW_유기농_7월'!$A:$A)&lt;=1,"",SUMIFS('RAW_유기농_7월'!$H:$H,'RAW_유기농_7월'!$D:$D,$C246,'RAW_유기농_7월'!$A:$A,$E246)))</f>
        <v/>
      </c>
      <c r="O246" s="7" t="str">
        <f>IF($C246="","",IF(COUNTA('RAW_유기농_8월'!$A:$A)&lt;=1,"",SUMIFS('RAW_유기농_8월'!$H:$H,'RAW_유기농_8월'!$D:$D,$C246,'RAW_유기농_8월'!$A:$A,$E246)-SUMIFS('RAW_유기농_7월'!$H:$H,'RAW_유기농_7월'!$D:$D,$C246,'RAW_유기농_7월'!$A:$A,$E246)))</f>
        <v/>
      </c>
      <c r="P246" s="7" t="str">
        <f>IF($C246="","",IF(COUNTA('RAW_유기농_9월'!$A:$A)&lt;=1,"",SUMIFS('RAW_유기농_9월'!$H:$H,'RAW_유기농_9월'!$D:$D,$C246,'RAW_유기농_9월'!$A:$A,$E246)-SUMIFS('RAW_유기농_8월'!$H:$H,'RAW_유기농_8월'!$D:$D,$C246,'RAW_유기농_8월'!$A:$A,$E246)))</f>
        <v/>
      </c>
      <c r="Q246" s="7" t="str">
        <f>IF($C246="","",IF(COUNTA('RAW_유기농_10월'!$A:$A)&lt;=1,"",SUMIFS('RAW_유기농_10월'!$H:$H,'RAW_유기농_10월'!$D:$D,$C246,'RAW_유기농_10월'!$A:$A,$E246)-SUMIFS('RAW_유기농_9월'!$H:$H,'RAW_유기농_9월'!$D:$D,$C246,'RAW_유기농_9월'!$A:$A,$E246)))</f>
        <v/>
      </c>
      <c r="R246" s="7" t="str">
        <f>IF($C246="","",IF(COUNTA('RAW_유기농_11-12월'!$A:$A)&lt;=1,"",SUMIFS('RAW_유기농_11-12월'!$H:$H,'RAW_유기농_11-12월'!$D:$D,$C246,'RAW_유기농_11-12월'!$A:$A,$E246)-SUMIFS('RAW_유기농_10월'!$H:$H,'RAW_유기농_10월'!$D:$D,$C246,'RAW_유기농_10월'!$A:$A,$E246)))</f>
        <v/>
      </c>
      <c r="S246" s="17" t="str">
        <f t="shared" si="4"/>
        <v/>
      </c>
      <c r="T246" s="17" t="str">
        <f t="shared" si="5"/>
        <v/>
      </c>
      <c r="U246" s="7">
        <f>IF($C246="",0,IF('설정'!$B$4=0,0,CHOOSE('설정'!$B$4,COUNTIFS('RAW_유기농_7월'!$D:$D,$C246,'RAW_유기농_7월'!$A:$A,$E246),COUNTIFS('RAW_유기농_8월'!$D:$D,$C246,'RAW_유기농_8월'!$A:$A,$E246),COUNTIFS('RAW_유기농_9월'!$D:$D,$C246,'RAW_유기농_9월'!$A:$A,$E246),COUNTIFS('RAW_유기농_10월'!$D:$D,$C246,'RAW_유기농_10월'!$A:$A,$E246),COUNTIFS('RAW_유기농_11-12월'!$D:$D,$C246,'RAW_유기농_11-12월'!$A:$A,$E246))))</f>
        <v>0</v>
      </c>
    </row>
    <row r="247" ht="15.75" customHeight="1">
      <c r="A247" s="5"/>
      <c r="B247" s="5"/>
      <c r="C247" s="5"/>
      <c r="D247" s="6"/>
      <c r="E247" s="5"/>
      <c r="F247" s="7" t="str">
        <f>IF($C247="","",IF('설정'!$B$4=0,"",CHOOSE('설정'!$B$4,SUMIFS('RAW_유기농_7월'!$F:$F,'RAW_유기농_7월'!$D:$D,$C247,'RAW_유기농_7월'!$A:$A,$E247),SUMIFS('RAW_유기농_8월'!$F:$F,'RAW_유기농_8월'!$D:$D,$C247,'RAW_유기농_8월'!$A:$A,$E247),SUMIFS('RAW_유기농_9월'!$F:$F,'RAW_유기농_9월'!$D:$D,$C247,'RAW_유기농_9월'!$A:$A,$E247),SUMIFS('RAW_유기농_10월'!$F:$F,'RAW_유기농_10월'!$D:$D,$C247,'RAW_유기농_10월'!$A:$A,$E247),SUMIFS('RAW_유기농_11-12월'!$F:$F,'RAW_유기농_11-12월'!$D:$D,$C247,'RAW_유기농_11-12월'!$A:$A,$E247))))</f>
        <v/>
      </c>
      <c r="G247" s="7" t="str">
        <f>IF($C247="","",IF('설정'!$B$4=0,"",CHOOSE('설정'!$B$4,SUMIFS('RAW_유기농_7월'!$G:$G,'RAW_유기농_7월'!$D:$D,$C247,'RAW_유기농_7월'!$A:$A,$E247),SUMIFS('RAW_유기농_8월'!$G:$G,'RAW_유기농_8월'!$D:$D,$C247,'RAW_유기농_8월'!$A:$A,$E247),SUMIFS('RAW_유기농_9월'!$G:$G,'RAW_유기농_9월'!$D:$D,$C247,'RAW_유기농_9월'!$A:$A,$E247),SUMIFS('RAW_유기농_10월'!$G:$G,'RAW_유기농_10월'!$D:$D,$C247,'RAW_유기농_10월'!$A:$A,$E247),SUMIFS('RAW_유기농_11-12월'!$G:$G,'RAW_유기농_11-12월'!$D:$D,$C247,'RAW_유기농_11-12월'!$A:$A,$E247))))</f>
        <v/>
      </c>
      <c r="H247" s="7" t="str">
        <f>IF($C247="","",IF('설정'!$B$4=0,"",CHOOSE('설정'!$B$4,SUMIFS('RAW_유기농_7월'!$H:$H,'RAW_유기농_7월'!$D:$D,$C247,'RAW_유기농_7월'!$A:$A,$E247),SUMIFS('RAW_유기농_8월'!$H:$H,'RAW_유기농_8월'!$D:$D,$C247,'RAW_유기농_8월'!$A:$A,$E247),SUMIFS('RAW_유기농_9월'!$H:$H,'RAW_유기농_9월'!$D:$D,$C247,'RAW_유기농_9월'!$A:$A,$E247),SUMIFS('RAW_유기농_10월'!$H:$H,'RAW_유기농_10월'!$D:$D,$C247,'RAW_유기농_10월'!$A:$A,$E247),SUMIFS('RAW_유기농_11-12월'!$H:$H,'RAW_유기농_11-12월'!$D:$D,$C247,'RAW_유기농_11-12월'!$A:$A,$E247))))</f>
        <v/>
      </c>
      <c r="I247" s="17" t="str">
        <f>IF($C247="","",IF(COUNTIFS('RAW_유기농_7월'!$D:$D,$C247,'RAW_유기농_7월'!$A:$A,$E247)&gt;0,"O",""))</f>
        <v/>
      </c>
      <c r="J247" s="17" t="str">
        <f>IF($C247="","",IF(COUNTIFS('RAW_유기농_8월'!$D:$D,$C247,'RAW_유기농_8월'!$A:$A,$E247)&gt;0,"O",""))</f>
        <v/>
      </c>
      <c r="K247" s="17" t="str">
        <f>IF($C247="","",IF(COUNTIFS('RAW_유기농_9월'!$D:$D,$C247,'RAW_유기농_9월'!$A:$A,$E247)&gt;0,"O",""))</f>
        <v/>
      </c>
      <c r="L247" s="17" t="str">
        <f>IF($C247="","",IF(COUNTIFS('RAW_유기농_10월'!$D:$D,$C247,'RAW_유기농_10월'!$A:$A,$E247)&gt;0,"O",""))</f>
        <v/>
      </c>
      <c r="M247" s="17" t="str">
        <f>IF($C247="","",IF(COUNTIFS('RAW_유기농_11-12월'!$D:$D,$C247,'RAW_유기농_11-12월'!$A:$A,$E247)&gt;0,"O",""))</f>
        <v/>
      </c>
      <c r="N247" s="7" t="str">
        <f>IF($C247="","",IF(COUNTA('RAW_유기농_7월'!$A:$A)&lt;=1,"",SUMIFS('RAW_유기농_7월'!$H:$H,'RAW_유기농_7월'!$D:$D,$C247,'RAW_유기농_7월'!$A:$A,$E247)))</f>
        <v/>
      </c>
      <c r="O247" s="7" t="str">
        <f>IF($C247="","",IF(COUNTA('RAW_유기농_8월'!$A:$A)&lt;=1,"",SUMIFS('RAW_유기농_8월'!$H:$H,'RAW_유기농_8월'!$D:$D,$C247,'RAW_유기농_8월'!$A:$A,$E247)-SUMIFS('RAW_유기농_7월'!$H:$H,'RAW_유기농_7월'!$D:$D,$C247,'RAW_유기농_7월'!$A:$A,$E247)))</f>
        <v/>
      </c>
      <c r="P247" s="7" t="str">
        <f>IF($C247="","",IF(COUNTA('RAW_유기농_9월'!$A:$A)&lt;=1,"",SUMIFS('RAW_유기농_9월'!$H:$H,'RAW_유기농_9월'!$D:$D,$C247,'RAW_유기농_9월'!$A:$A,$E247)-SUMIFS('RAW_유기농_8월'!$H:$H,'RAW_유기농_8월'!$D:$D,$C247,'RAW_유기농_8월'!$A:$A,$E247)))</f>
        <v/>
      </c>
      <c r="Q247" s="7" t="str">
        <f>IF($C247="","",IF(COUNTA('RAW_유기농_10월'!$A:$A)&lt;=1,"",SUMIFS('RAW_유기농_10월'!$H:$H,'RAW_유기농_10월'!$D:$D,$C247,'RAW_유기농_10월'!$A:$A,$E247)-SUMIFS('RAW_유기농_9월'!$H:$H,'RAW_유기농_9월'!$D:$D,$C247,'RAW_유기농_9월'!$A:$A,$E247)))</f>
        <v/>
      </c>
      <c r="R247" s="7" t="str">
        <f>IF($C247="","",IF(COUNTA('RAW_유기농_11-12월'!$A:$A)&lt;=1,"",SUMIFS('RAW_유기농_11-12월'!$H:$H,'RAW_유기농_11-12월'!$D:$D,$C247,'RAW_유기농_11-12월'!$A:$A,$E247)-SUMIFS('RAW_유기농_10월'!$H:$H,'RAW_유기농_10월'!$D:$D,$C247,'RAW_유기농_10월'!$A:$A,$E247)))</f>
        <v/>
      </c>
      <c r="S247" s="17" t="str">
        <f t="shared" si="4"/>
        <v/>
      </c>
      <c r="T247" s="17" t="str">
        <f t="shared" si="5"/>
        <v/>
      </c>
      <c r="U247" s="7">
        <f>IF($C247="",0,IF('설정'!$B$4=0,0,CHOOSE('설정'!$B$4,COUNTIFS('RAW_유기농_7월'!$D:$D,$C247,'RAW_유기농_7월'!$A:$A,$E247),COUNTIFS('RAW_유기농_8월'!$D:$D,$C247,'RAW_유기농_8월'!$A:$A,$E247),COUNTIFS('RAW_유기농_9월'!$D:$D,$C247,'RAW_유기농_9월'!$A:$A,$E247),COUNTIFS('RAW_유기농_10월'!$D:$D,$C247,'RAW_유기농_10월'!$A:$A,$E247),COUNTIFS('RAW_유기농_11-12월'!$D:$D,$C247,'RAW_유기농_11-12월'!$A:$A,$E247))))</f>
        <v>0</v>
      </c>
    </row>
    <row r="248" ht="15.75" customHeight="1">
      <c r="A248" s="5"/>
      <c r="B248" s="5"/>
      <c r="C248" s="5"/>
      <c r="D248" s="6"/>
      <c r="E248" s="5"/>
      <c r="F248" s="7" t="str">
        <f>IF($C248="","",IF('설정'!$B$4=0,"",CHOOSE('설정'!$B$4,SUMIFS('RAW_유기농_7월'!$F:$F,'RAW_유기농_7월'!$D:$D,$C248,'RAW_유기농_7월'!$A:$A,$E248),SUMIFS('RAW_유기농_8월'!$F:$F,'RAW_유기농_8월'!$D:$D,$C248,'RAW_유기농_8월'!$A:$A,$E248),SUMIFS('RAW_유기농_9월'!$F:$F,'RAW_유기농_9월'!$D:$D,$C248,'RAW_유기농_9월'!$A:$A,$E248),SUMIFS('RAW_유기농_10월'!$F:$F,'RAW_유기농_10월'!$D:$D,$C248,'RAW_유기농_10월'!$A:$A,$E248),SUMIFS('RAW_유기농_11-12월'!$F:$F,'RAW_유기농_11-12월'!$D:$D,$C248,'RAW_유기농_11-12월'!$A:$A,$E248))))</f>
        <v/>
      </c>
      <c r="G248" s="7" t="str">
        <f>IF($C248="","",IF('설정'!$B$4=0,"",CHOOSE('설정'!$B$4,SUMIFS('RAW_유기농_7월'!$G:$G,'RAW_유기농_7월'!$D:$D,$C248,'RAW_유기농_7월'!$A:$A,$E248),SUMIFS('RAW_유기농_8월'!$G:$G,'RAW_유기농_8월'!$D:$D,$C248,'RAW_유기농_8월'!$A:$A,$E248),SUMIFS('RAW_유기농_9월'!$G:$G,'RAW_유기농_9월'!$D:$D,$C248,'RAW_유기농_9월'!$A:$A,$E248),SUMIFS('RAW_유기농_10월'!$G:$G,'RAW_유기농_10월'!$D:$D,$C248,'RAW_유기농_10월'!$A:$A,$E248),SUMIFS('RAW_유기농_11-12월'!$G:$G,'RAW_유기농_11-12월'!$D:$D,$C248,'RAW_유기농_11-12월'!$A:$A,$E248))))</f>
        <v/>
      </c>
      <c r="H248" s="7" t="str">
        <f>IF($C248="","",IF('설정'!$B$4=0,"",CHOOSE('설정'!$B$4,SUMIFS('RAW_유기농_7월'!$H:$H,'RAW_유기농_7월'!$D:$D,$C248,'RAW_유기농_7월'!$A:$A,$E248),SUMIFS('RAW_유기농_8월'!$H:$H,'RAW_유기농_8월'!$D:$D,$C248,'RAW_유기농_8월'!$A:$A,$E248),SUMIFS('RAW_유기농_9월'!$H:$H,'RAW_유기농_9월'!$D:$D,$C248,'RAW_유기농_9월'!$A:$A,$E248),SUMIFS('RAW_유기농_10월'!$H:$H,'RAW_유기농_10월'!$D:$D,$C248,'RAW_유기농_10월'!$A:$A,$E248),SUMIFS('RAW_유기농_11-12월'!$H:$H,'RAW_유기농_11-12월'!$D:$D,$C248,'RAW_유기농_11-12월'!$A:$A,$E248))))</f>
        <v/>
      </c>
      <c r="I248" s="17" t="str">
        <f>IF($C248="","",IF(COUNTIFS('RAW_유기농_7월'!$D:$D,$C248,'RAW_유기농_7월'!$A:$A,$E248)&gt;0,"O",""))</f>
        <v/>
      </c>
      <c r="J248" s="17" t="str">
        <f>IF($C248="","",IF(COUNTIFS('RAW_유기농_8월'!$D:$D,$C248,'RAW_유기농_8월'!$A:$A,$E248)&gt;0,"O",""))</f>
        <v/>
      </c>
      <c r="K248" s="17" t="str">
        <f>IF($C248="","",IF(COUNTIFS('RAW_유기농_9월'!$D:$D,$C248,'RAW_유기농_9월'!$A:$A,$E248)&gt;0,"O",""))</f>
        <v/>
      </c>
      <c r="L248" s="17" t="str">
        <f>IF($C248="","",IF(COUNTIFS('RAW_유기농_10월'!$D:$D,$C248,'RAW_유기농_10월'!$A:$A,$E248)&gt;0,"O",""))</f>
        <v/>
      </c>
      <c r="M248" s="17" t="str">
        <f>IF($C248="","",IF(COUNTIFS('RAW_유기농_11-12월'!$D:$D,$C248,'RAW_유기농_11-12월'!$A:$A,$E248)&gt;0,"O",""))</f>
        <v/>
      </c>
      <c r="N248" s="7" t="str">
        <f>IF($C248="","",IF(COUNTA('RAW_유기농_7월'!$A:$A)&lt;=1,"",SUMIFS('RAW_유기농_7월'!$H:$H,'RAW_유기농_7월'!$D:$D,$C248,'RAW_유기농_7월'!$A:$A,$E248)))</f>
        <v/>
      </c>
      <c r="O248" s="7" t="str">
        <f>IF($C248="","",IF(COUNTA('RAW_유기농_8월'!$A:$A)&lt;=1,"",SUMIFS('RAW_유기농_8월'!$H:$H,'RAW_유기농_8월'!$D:$D,$C248,'RAW_유기농_8월'!$A:$A,$E248)-SUMIFS('RAW_유기농_7월'!$H:$H,'RAW_유기농_7월'!$D:$D,$C248,'RAW_유기농_7월'!$A:$A,$E248)))</f>
        <v/>
      </c>
      <c r="P248" s="7" t="str">
        <f>IF($C248="","",IF(COUNTA('RAW_유기농_9월'!$A:$A)&lt;=1,"",SUMIFS('RAW_유기농_9월'!$H:$H,'RAW_유기농_9월'!$D:$D,$C248,'RAW_유기농_9월'!$A:$A,$E248)-SUMIFS('RAW_유기농_8월'!$H:$H,'RAW_유기농_8월'!$D:$D,$C248,'RAW_유기농_8월'!$A:$A,$E248)))</f>
        <v/>
      </c>
      <c r="Q248" s="7" t="str">
        <f>IF($C248="","",IF(COUNTA('RAW_유기농_10월'!$A:$A)&lt;=1,"",SUMIFS('RAW_유기농_10월'!$H:$H,'RAW_유기농_10월'!$D:$D,$C248,'RAW_유기농_10월'!$A:$A,$E248)-SUMIFS('RAW_유기농_9월'!$H:$H,'RAW_유기농_9월'!$D:$D,$C248,'RAW_유기농_9월'!$A:$A,$E248)))</f>
        <v/>
      </c>
      <c r="R248" s="7" t="str">
        <f>IF($C248="","",IF(COUNTA('RAW_유기농_11-12월'!$A:$A)&lt;=1,"",SUMIFS('RAW_유기농_11-12월'!$H:$H,'RAW_유기농_11-12월'!$D:$D,$C248,'RAW_유기농_11-12월'!$A:$A,$E248)-SUMIFS('RAW_유기농_10월'!$H:$H,'RAW_유기농_10월'!$D:$D,$C248,'RAW_유기농_10월'!$A:$A,$E248)))</f>
        <v/>
      </c>
      <c r="S248" s="17" t="str">
        <f t="shared" si="4"/>
        <v/>
      </c>
      <c r="T248" s="17" t="str">
        <f t="shared" si="5"/>
        <v/>
      </c>
      <c r="U248" s="7">
        <f>IF($C248="",0,IF('설정'!$B$4=0,0,CHOOSE('설정'!$B$4,COUNTIFS('RAW_유기농_7월'!$D:$D,$C248,'RAW_유기농_7월'!$A:$A,$E248),COUNTIFS('RAW_유기농_8월'!$D:$D,$C248,'RAW_유기농_8월'!$A:$A,$E248),COUNTIFS('RAW_유기농_9월'!$D:$D,$C248,'RAW_유기농_9월'!$A:$A,$E248),COUNTIFS('RAW_유기농_10월'!$D:$D,$C248,'RAW_유기농_10월'!$A:$A,$E248),COUNTIFS('RAW_유기농_11-12월'!$D:$D,$C248,'RAW_유기농_11-12월'!$A:$A,$E248))))</f>
        <v>0</v>
      </c>
    </row>
    <row r="249" ht="15.75" customHeight="1">
      <c r="A249" s="5"/>
      <c r="B249" s="5"/>
      <c r="C249" s="5"/>
      <c r="D249" s="6"/>
      <c r="E249" s="5"/>
      <c r="F249" s="7" t="str">
        <f>IF($C249="","",IF('설정'!$B$4=0,"",CHOOSE('설정'!$B$4,SUMIFS('RAW_유기농_7월'!$F:$F,'RAW_유기농_7월'!$D:$D,$C249,'RAW_유기농_7월'!$A:$A,$E249),SUMIFS('RAW_유기농_8월'!$F:$F,'RAW_유기농_8월'!$D:$D,$C249,'RAW_유기농_8월'!$A:$A,$E249),SUMIFS('RAW_유기농_9월'!$F:$F,'RAW_유기농_9월'!$D:$D,$C249,'RAW_유기농_9월'!$A:$A,$E249),SUMIFS('RAW_유기농_10월'!$F:$F,'RAW_유기농_10월'!$D:$D,$C249,'RAW_유기농_10월'!$A:$A,$E249),SUMIFS('RAW_유기농_11-12월'!$F:$F,'RAW_유기농_11-12월'!$D:$D,$C249,'RAW_유기농_11-12월'!$A:$A,$E249))))</f>
        <v/>
      </c>
      <c r="G249" s="7" t="str">
        <f>IF($C249="","",IF('설정'!$B$4=0,"",CHOOSE('설정'!$B$4,SUMIFS('RAW_유기농_7월'!$G:$G,'RAW_유기농_7월'!$D:$D,$C249,'RAW_유기농_7월'!$A:$A,$E249),SUMIFS('RAW_유기농_8월'!$G:$G,'RAW_유기농_8월'!$D:$D,$C249,'RAW_유기농_8월'!$A:$A,$E249),SUMIFS('RAW_유기농_9월'!$G:$G,'RAW_유기농_9월'!$D:$D,$C249,'RAW_유기농_9월'!$A:$A,$E249),SUMIFS('RAW_유기농_10월'!$G:$G,'RAW_유기농_10월'!$D:$D,$C249,'RAW_유기농_10월'!$A:$A,$E249),SUMIFS('RAW_유기농_11-12월'!$G:$G,'RAW_유기농_11-12월'!$D:$D,$C249,'RAW_유기농_11-12월'!$A:$A,$E249))))</f>
        <v/>
      </c>
      <c r="H249" s="7" t="str">
        <f>IF($C249="","",IF('설정'!$B$4=0,"",CHOOSE('설정'!$B$4,SUMIFS('RAW_유기농_7월'!$H:$H,'RAW_유기농_7월'!$D:$D,$C249,'RAW_유기농_7월'!$A:$A,$E249),SUMIFS('RAW_유기농_8월'!$H:$H,'RAW_유기농_8월'!$D:$D,$C249,'RAW_유기농_8월'!$A:$A,$E249),SUMIFS('RAW_유기농_9월'!$H:$H,'RAW_유기농_9월'!$D:$D,$C249,'RAW_유기농_9월'!$A:$A,$E249),SUMIFS('RAW_유기농_10월'!$H:$H,'RAW_유기농_10월'!$D:$D,$C249,'RAW_유기농_10월'!$A:$A,$E249),SUMIFS('RAW_유기농_11-12월'!$H:$H,'RAW_유기농_11-12월'!$D:$D,$C249,'RAW_유기농_11-12월'!$A:$A,$E249))))</f>
        <v/>
      </c>
      <c r="I249" s="17" t="str">
        <f>IF($C249="","",IF(COUNTIFS('RAW_유기농_7월'!$D:$D,$C249,'RAW_유기농_7월'!$A:$A,$E249)&gt;0,"O",""))</f>
        <v/>
      </c>
      <c r="J249" s="17" t="str">
        <f>IF($C249="","",IF(COUNTIFS('RAW_유기농_8월'!$D:$D,$C249,'RAW_유기농_8월'!$A:$A,$E249)&gt;0,"O",""))</f>
        <v/>
      </c>
      <c r="K249" s="17" t="str">
        <f>IF($C249="","",IF(COUNTIFS('RAW_유기농_9월'!$D:$D,$C249,'RAW_유기농_9월'!$A:$A,$E249)&gt;0,"O",""))</f>
        <v/>
      </c>
      <c r="L249" s="17" t="str">
        <f>IF($C249="","",IF(COUNTIFS('RAW_유기농_10월'!$D:$D,$C249,'RAW_유기농_10월'!$A:$A,$E249)&gt;0,"O",""))</f>
        <v/>
      </c>
      <c r="M249" s="17" t="str">
        <f>IF($C249="","",IF(COUNTIFS('RAW_유기농_11-12월'!$D:$D,$C249,'RAW_유기농_11-12월'!$A:$A,$E249)&gt;0,"O",""))</f>
        <v/>
      </c>
      <c r="N249" s="7" t="str">
        <f>IF($C249="","",IF(COUNTA('RAW_유기농_7월'!$A:$A)&lt;=1,"",SUMIFS('RAW_유기농_7월'!$H:$H,'RAW_유기농_7월'!$D:$D,$C249,'RAW_유기농_7월'!$A:$A,$E249)))</f>
        <v/>
      </c>
      <c r="O249" s="7" t="str">
        <f>IF($C249="","",IF(COUNTA('RAW_유기농_8월'!$A:$A)&lt;=1,"",SUMIFS('RAW_유기농_8월'!$H:$H,'RAW_유기농_8월'!$D:$D,$C249,'RAW_유기농_8월'!$A:$A,$E249)-SUMIFS('RAW_유기농_7월'!$H:$H,'RAW_유기농_7월'!$D:$D,$C249,'RAW_유기농_7월'!$A:$A,$E249)))</f>
        <v/>
      </c>
      <c r="P249" s="7" t="str">
        <f>IF($C249="","",IF(COUNTA('RAW_유기농_9월'!$A:$A)&lt;=1,"",SUMIFS('RAW_유기농_9월'!$H:$H,'RAW_유기농_9월'!$D:$D,$C249,'RAW_유기농_9월'!$A:$A,$E249)-SUMIFS('RAW_유기농_8월'!$H:$H,'RAW_유기농_8월'!$D:$D,$C249,'RAW_유기농_8월'!$A:$A,$E249)))</f>
        <v/>
      </c>
      <c r="Q249" s="7" t="str">
        <f>IF($C249="","",IF(COUNTA('RAW_유기농_10월'!$A:$A)&lt;=1,"",SUMIFS('RAW_유기농_10월'!$H:$H,'RAW_유기농_10월'!$D:$D,$C249,'RAW_유기농_10월'!$A:$A,$E249)-SUMIFS('RAW_유기농_9월'!$H:$H,'RAW_유기농_9월'!$D:$D,$C249,'RAW_유기농_9월'!$A:$A,$E249)))</f>
        <v/>
      </c>
      <c r="R249" s="7" t="str">
        <f>IF($C249="","",IF(COUNTA('RAW_유기농_11-12월'!$A:$A)&lt;=1,"",SUMIFS('RAW_유기농_11-12월'!$H:$H,'RAW_유기농_11-12월'!$D:$D,$C249,'RAW_유기농_11-12월'!$A:$A,$E249)-SUMIFS('RAW_유기농_10월'!$H:$H,'RAW_유기농_10월'!$D:$D,$C249,'RAW_유기농_10월'!$A:$A,$E249)))</f>
        <v/>
      </c>
      <c r="S249" s="17" t="str">
        <f t="shared" si="4"/>
        <v/>
      </c>
      <c r="T249" s="17" t="str">
        <f t="shared" si="5"/>
        <v/>
      </c>
      <c r="U249" s="7">
        <f>IF($C249="",0,IF('설정'!$B$4=0,0,CHOOSE('설정'!$B$4,COUNTIFS('RAW_유기농_7월'!$D:$D,$C249,'RAW_유기농_7월'!$A:$A,$E249),COUNTIFS('RAW_유기농_8월'!$D:$D,$C249,'RAW_유기농_8월'!$A:$A,$E249),COUNTIFS('RAW_유기농_9월'!$D:$D,$C249,'RAW_유기농_9월'!$A:$A,$E249),COUNTIFS('RAW_유기농_10월'!$D:$D,$C249,'RAW_유기농_10월'!$A:$A,$E249),COUNTIFS('RAW_유기농_11-12월'!$D:$D,$C249,'RAW_유기농_11-12월'!$A:$A,$E249))))</f>
        <v>0</v>
      </c>
    </row>
    <row r="250" ht="15.75" customHeight="1">
      <c r="A250" s="5"/>
      <c r="B250" s="5"/>
      <c r="C250" s="5"/>
      <c r="D250" s="6"/>
      <c r="E250" s="5"/>
      <c r="F250" s="7" t="str">
        <f>IF($C250="","",IF('설정'!$B$4=0,"",CHOOSE('설정'!$B$4,SUMIFS('RAW_유기농_7월'!$F:$F,'RAW_유기농_7월'!$D:$D,$C250,'RAW_유기농_7월'!$A:$A,$E250),SUMIFS('RAW_유기농_8월'!$F:$F,'RAW_유기농_8월'!$D:$D,$C250,'RAW_유기농_8월'!$A:$A,$E250),SUMIFS('RAW_유기농_9월'!$F:$F,'RAW_유기농_9월'!$D:$D,$C250,'RAW_유기농_9월'!$A:$A,$E250),SUMIFS('RAW_유기농_10월'!$F:$F,'RAW_유기농_10월'!$D:$D,$C250,'RAW_유기농_10월'!$A:$A,$E250),SUMIFS('RAW_유기농_11-12월'!$F:$F,'RAW_유기농_11-12월'!$D:$D,$C250,'RAW_유기농_11-12월'!$A:$A,$E250))))</f>
        <v/>
      </c>
      <c r="G250" s="7" t="str">
        <f>IF($C250="","",IF('설정'!$B$4=0,"",CHOOSE('설정'!$B$4,SUMIFS('RAW_유기농_7월'!$G:$G,'RAW_유기농_7월'!$D:$D,$C250,'RAW_유기농_7월'!$A:$A,$E250),SUMIFS('RAW_유기농_8월'!$G:$G,'RAW_유기농_8월'!$D:$D,$C250,'RAW_유기농_8월'!$A:$A,$E250),SUMIFS('RAW_유기농_9월'!$G:$G,'RAW_유기농_9월'!$D:$D,$C250,'RAW_유기농_9월'!$A:$A,$E250),SUMIFS('RAW_유기농_10월'!$G:$G,'RAW_유기농_10월'!$D:$D,$C250,'RAW_유기농_10월'!$A:$A,$E250),SUMIFS('RAW_유기농_11-12월'!$G:$G,'RAW_유기농_11-12월'!$D:$D,$C250,'RAW_유기농_11-12월'!$A:$A,$E250))))</f>
        <v/>
      </c>
      <c r="H250" s="7" t="str">
        <f>IF($C250="","",IF('설정'!$B$4=0,"",CHOOSE('설정'!$B$4,SUMIFS('RAW_유기농_7월'!$H:$H,'RAW_유기농_7월'!$D:$D,$C250,'RAW_유기농_7월'!$A:$A,$E250),SUMIFS('RAW_유기농_8월'!$H:$H,'RAW_유기농_8월'!$D:$D,$C250,'RAW_유기농_8월'!$A:$A,$E250),SUMIFS('RAW_유기농_9월'!$H:$H,'RAW_유기농_9월'!$D:$D,$C250,'RAW_유기농_9월'!$A:$A,$E250),SUMIFS('RAW_유기농_10월'!$H:$H,'RAW_유기농_10월'!$D:$D,$C250,'RAW_유기농_10월'!$A:$A,$E250),SUMIFS('RAW_유기농_11-12월'!$H:$H,'RAW_유기농_11-12월'!$D:$D,$C250,'RAW_유기농_11-12월'!$A:$A,$E250))))</f>
        <v/>
      </c>
      <c r="I250" s="17" t="str">
        <f>IF($C250="","",IF(COUNTIFS('RAW_유기농_7월'!$D:$D,$C250,'RAW_유기농_7월'!$A:$A,$E250)&gt;0,"O",""))</f>
        <v/>
      </c>
      <c r="J250" s="17" t="str">
        <f>IF($C250="","",IF(COUNTIFS('RAW_유기농_8월'!$D:$D,$C250,'RAW_유기농_8월'!$A:$A,$E250)&gt;0,"O",""))</f>
        <v/>
      </c>
      <c r="K250" s="17" t="str">
        <f>IF($C250="","",IF(COUNTIFS('RAW_유기농_9월'!$D:$D,$C250,'RAW_유기농_9월'!$A:$A,$E250)&gt;0,"O",""))</f>
        <v/>
      </c>
      <c r="L250" s="17" t="str">
        <f>IF($C250="","",IF(COUNTIFS('RAW_유기농_10월'!$D:$D,$C250,'RAW_유기농_10월'!$A:$A,$E250)&gt;0,"O",""))</f>
        <v/>
      </c>
      <c r="M250" s="17" t="str">
        <f>IF($C250="","",IF(COUNTIFS('RAW_유기농_11-12월'!$D:$D,$C250,'RAW_유기농_11-12월'!$A:$A,$E250)&gt;0,"O",""))</f>
        <v/>
      </c>
      <c r="N250" s="7" t="str">
        <f>IF($C250="","",IF(COUNTA('RAW_유기농_7월'!$A:$A)&lt;=1,"",SUMIFS('RAW_유기농_7월'!$H:$H,'RAW_유기농_7월'!$D:$D,$C250,'RAW_유기농_7월'!$A:$A,$E250)))</f>
        <v/>
      </c>
      <c r="O250" s="7" t="str">
        <f>IF($C250="","",IF(COUNTA('RAW_유기농_8월'!$A:$A)&lt;=1,"",SUMIFS('RAW_유기농_8월'!$H:$H,'RAW_유기농_8월'!$D:$D,$C250,'RAW_유기농_8월'!$A:$A,$E250)-SUMIFS('RAW_유기농_7월'!$H:$H,'RAW_유기농_7월'!$D:$D,$C250,'RAW_유기농_7월'!$A:$A,$E250)))</f>
        <v/>
      </c>
      <c r="P250" s="7" t="str">
        <f>IF($C250="","",IF(COUNTA('RAW_유기농_9월'!$A:$A)&lt;=1,"",SUMIFS('RAW_유기농_9월'!$H:$H,'RAW_유기농_9월'!$D:$D,$C250,'RAW_유기농_9월'!$A:$A,$E250)-SUMIFS('RAW_유기농_8월'!$H:$H,'RAW_유기농_8월'!$D:$D,$C250,'RAW_유기농_8월'!$A:$A,$E250)))</f>
        <v/>
      </c>
      <c r="Q250" s="7" t="str">
        <f>IF($C250="","",IF(COUNTA('RAW_유기농_10월'!$A:$A)&lt;=1,"",SUMIFS('RAW_유기농_10월'!$H:$H,'RAW_유기농_10월'!$D:$D,$C250,'RAW_유기농_10월'!$A:$A,$E250)-SUMIFS('RAW_유기농_9월'!$H:$H,'RAW_유기농_9월'!$D:$D,$C250,'RAW_유기농_9월'!$A:$A,$E250)))</f>
        <v/>
      </c>
      <c r="R250" s="7" t="str">
        <f>IF($C250="","",IF(COUNTA('RAW_유기농_11-12월'!$A:$A)&lt;=1,"",SUMIFS('RAW_유기농_11-12월'!$H:$H,'RAW_유기농_11-12월'!$D:$D,$C250,'RAW_유기농_11-12월'!$A:$A,$E250)-SUMIFS('RAW_유기농_10월'!$H:$H,'RAW_유기농_10월'!$D:$D,$C250,'RAW_유기농_10월'!$A:$A,$E250)))</f>
        <v/>
      </c>
      <c r="S250" s="17" t="str">
        <f t="shared" si="4"/>
        <v/>
      </c>
      <c r="T250" s="17" t="str">
        <f t="shared" si="5"/>
        <v/>
      </c>
      <c r="U250" s="7">
        <f>IF($C250="",0,IF('설정'!$B$4=0,0,CHOOSE('설정'!$B$4,COUNTIFS('RAW_유기농_7월'!$D:$D,$C250,'RAW_유기농_7월'!$A:$A,$E250),COUNTIFS('RAW_유기농_8월'!$D:$D,$C250,'RAW_유기농_8월'!$A:$A,$E250),COUNTIFS('RAW_유기농_9월'!$D:$D,$C250,'RAW_유기농_9월'!$A:$A,$E250),COUNTIFS('RAW_유기농_10월'!$D:$D,$C250,'RAW_유기농_10월'!$A:$A,$E250),COUNTIFS('RAW_유기농_11-12월'!$D:$D,$C250,'RAW_유기농_11-12월'!$A:$A,$E250))))</f>
        <v>0</v>
      </c>
    </row>
    <row r="251" ht="15.75" customHeight="1">
      <c r="A251" s="5"/>
      <c r="B251" s="5"/>
      <c r="C251" s="5"/>
      <c r="D251" s="6"/>
      <c r="E251" s="5"/>
      <c r="F251" s="7" t="str">
        <f>IF($C251="","",IF('설정'!$B$4=0,"",CHOOSE('설정'!$B$4,SUMIFS('RAW_유기농_7월'!$F:$F,'RAW_유기농_7월'!$D:$D,$C251,'RAW_유기농_7월'!$A:$A,$E251),SUMIFS('RAW_유기농_8월'!$F:$F,'RAW_유기농_8월'!$D:$D,$C251,'RAW_유기농_8월'!$A:$A,$E251),SUMIFS('RAW_유기농_9월'!$F:$F,'RAW_유기농_9월'!$D:$D,$C251,'RAW_유기농_9월'!$A:$A,$E251),SUMIFS('RAW_유기농_10월'!$F:$F,'RAW_유기농_10월'!$D:$D,$C251,'RAW_유기농_10월'!$A:$A,$E251),SUMIFS('RAW_유기농_11-12월'!$F:$F,'RAW_유기농_11-12월'!$D:$D,$C251,'RAW_유기농_11-12월'!$A:$A,$E251))))</f>
        <v/>
      </c>
      <c r="G251" s="7" t="str">
        <f>IF($C251="","",IF('설정'!$B$4=0,"",CHOOSE('설정'!$B$4,SUMIFS('RAW_유기농_7월'!$G:$G,'RAW_유기농_7월'!$D:$D,$C251,'RAW_유기농_7월'!$A:$A,$E251),SUMIFS('RAW_유기농_8월'!$G:$G,'RAW_유기농_8월'!$D:$D,$C251,'RAW_유기농_8월'!$A:$A,$E251),SUMIFS('RAW_유기농_9월'!$G:$G,'RAW_유기농_9월'!$D:$D,$C251,'RAW_유기농_9월'!$A:$A,$E251),SUMIFS('RAW_유기농_10월'!$G:$G,'RAW_유기농_10월'!$D:$D,$C251,'RAW_유기농_10월'!$A:$A,$E251),SUMIFS('RAW_유기농_11-12월'!$G:$G,'RAW_유기농_11-12월'!$D:$D,$C251,'RAW_유기농_11-12월'!$A:$A,$E251))))</f>
        <v/>
      </c>
      <c r="H251" s="7" t="str">
        <f>IF($C251="","",IF('설정'!$B$4=0,"",CHOOSE('설정'!$B$4,SUMIFS('RAW_유기농_7월'!$H:$H,'RAW_유기농_7월'!$D:$D,$C251,'RAW_유기농_7월'!$A:$A,$E251),SUMIFS('RAW_유기농_8월'!$H:$H,'RAW_유기농_8월'!$D:$D,$C251,'RAW_유기농_8월'!$A:$A,$E251),SUMIFS('RAW_유기농_9월'!$H:$H,'RAW_유기농_9월'!$D:$D,$C251,'RAW_유기농_9월'!$A:$A,$E251),SUMIFS('RAW_유기농_10월'!$H:$H,'RAW_유기농_10월'!$D:$D,$C251,'RAW_유기농_10월'!$A:$A,$E251),SUMIFS('RAW_유기농_11-12월'!$H:$H,'RAW_유기농_11-12월'!$D:$D,$C251,'RAW_유기농_11-12월'!$A:$A,$E251))))</f>
        <v/>
      </c>
      <c r="I251" s="17" t="str">
        <f>IF($C251="","",IF(COUNTIFS('RAW_유기농_7월'!$D:$D,$C251,'RAW_유기농_7월'!$A:$A,$E251)&gt;0,"O",""))</f>
        <v/>
      </c>
      <c r="J251" s="17" t="str">
        <f>IF($C251="","",IF(COUNTIFS('RAW_유기농_8월'!$D:$D,$C251,'RAW_유기농_8월'!$A:$A,$E251)&gt;0,"O",""))</f>
        <v/>
      </c>
      <c r="K251" s="17" t="str">
        <f>IF($C251="","",IF(COUNTIFS('RAW_유기농_9월'!$D:$D,$C251,'RAW_유기농_9월'!$A:$A,$E251)&gt;0,"O",""))</f>
        <v/>
      </c>
      <c r="L251" s="17" t="str">
        <f>IF($C251="","",IF(COUNTIFS('RAW_유기농_10월'!$D:$D,$C251,'RAW_유기농_10월'!$A:$A,$E251)&gt;0,"O",""))</f>
        <v/>
      </c>
      <c r="M251" s="17" t="str">
        <f>IF($C251="","",IF(COUNTIFS('RAW_유기농_11-12월'!$D:$D,$C251,'RAW_유기농_11-12월'!$A:$A,$E251)&gt;0,"O",""))</f>
        <v/>
      </c>
      <c r="N251" s="7" t="str">
        <f>IF($C251="","",IF(COUNTA('RAW_유기농_7월'!$A:$A)&lt;=1,"",SUMIFS('RAW_유기농_7월'!$H:$H,'RAW_유기농_7월'!$D:$D,$C251,'RAW_유기농_7월'!$A:$A,$E251)))</f>
        <v/>
      </c>
      <c r="O251" s="7" t="str">
        <f>IF($C251="","",IF(COUNTA('RAW_유기농_8월'!$A:$A)&lt;=1,"",SUMIFS('RAW_유기농_8월'!$H:$H,'RAW_유기농_8월'!$D:$D,$C251,'RAW_유기농_8월'!$A:$A,$E251)-SUMIFS('RAW_유기농_7월'!$H:$H,'RAW_유기농_7월'!$D:$D,$C251,'RAW_유기농_7월'!$A:$A,$E251)))</f>
        <v/>
      </c>
      <c r="P251" s="7" t="str">
        <f>IF($C251="","",IF(COUNTA('RAW_유기농_9월'!$A:$A)&lt;=1,"",SUMIFS('RAW_유기농_9월'!$H:$H,'RAW_유기농_9월'!$D:$D,$C251,'RAW_유기농_9월'!$A:$A,$E251)-SUMIFS('RAW_유기농_8월'!$H:$H,'RAW_유기농_8월'!$D:$D,$C251,'RAW_유기농_8월'!$A:$A,$E251)))</f>
        <v/>
      </c>
      <c r="Q251" s="7" t="str">
        <f>IF($C251="","",IF(COUNTA('RAW_유기농_10월'!$A:$A)&lt;=1,"",SUMIFS('RAW_유기농_10월'!$H:$H,'RAW_유기농_10월'!$D:$D,$C251,'RAW_유기농_10월'!$A:$A,$E251)-SUMIFS('RAW_유기농_9월'!$H:$H,'RAW_유기농_9월'!$D:$D,$C251,'RAW_유기농_9월'!$A:$A,$E251)))</f>
        <v/>
      </c>
      <c r="R251" s="7" t="str">
        <f>IF($C251="","",IF(COUNTA('RAW_유기농_11-12월'!$A:$A)&lt;=1,"",SUMIFS('RAW_유기농_11-12월'!$H:$H,'RAW_유기농_11-12월'!$D:$D,$C251,'RAW_유기농_11-12월'!$A:$A,$E251)-SUMIFS('RAW_유기농_10월'!$H:$H,'RAW_유기농_10월'!$D:$D,$C251,'RAW_유기농_10월'!$A:$A,$E251)))</f>
        <v/>
      </c>
      <c r="S251" s="17" t="str">
        <f t="shared" si="4"/>
        <v/>
      </c>
      <c r="T251" s="17" t="str">
        <f t="shared" si="5"/>
        <v/>
      </c>
      <c r="U251" s="7">
        <f>IF($C251="",0,IF('설정'!$B$4=0,0,CHOOSE('설정'!$B$4,COUNTIFS('RAW_유기농_7월'!$D:$D,$C251,'RAW_유기농_7월'!$A:$A,$E251),COUNTIFS('RAW_유기농_8월'!$D:$D,$C251,'RAW_유기농_8월'!$A:$A,$E251),COUNTIFS('RAW_유기농_9월'!$D:$D,$C251,'RAW_유기농_9월'!$A:$A,$E251),COUNTIFS('RAW_유기농_10월'!$D:$D,$C251,'RAW_유기농_10월'!$A:$A,$E251),COUNTIFS('RAW_유기농_11-12월'!$D:$D,$C251,'RAW_유기농_11-12월'!$A:$A,$E251))))</f>
        <v>0</v>
      </c>
    </row>
    <row r="252" ht="15.75" customHeight="1">
      <c r="A252" s="5"/>
      <c r="B252" s="5"/>
      <c r="C252" s="5"/>
      <c r="D252" s="6"/>
      <c r="E252" s="5"/>
      <c r="F252" s="7" t="str">
        <f>IF($C252="","",IF('설정'!$B$4=0,"",CHOOSE('설정'!$B$4,SUMIFS('RAW_유기농_7월'!$F:$F,'RAW_유기농_7월'!$D:$D,$C252,'RAW_유기농_7월'!$A:$A,$E252),SUMIFS('RAW_유기농_8월'!$F:$F,'RAW_유기농_8월'!$D:$D,$C252,'RAW_유기농_8월'!$A:$A,$E252),SUMIFS('RAW_유기농_9월'!$F:$F,'RAW_유기농_9월'!$D:$D,$C252,'RAW_유기농_9월'!$A:$A,$E252),SUMIFS('RAW_유기농_10월'!$F:$F,'RAW_유기농_10월'!$D:$D,$C252,'RAW_유기농_10월'!$A:$A,$E252),SUMIFS('RAW_유기농_11-12월'!$F:$F,'RAW_유기농_11-12월'!$D:$D,$C252,'RAW_유기농_11-12월'!$A:$A,$E252))))</f>
        <v/>
      </c>
      <c r="G252" s="7" t="str">
        <f>IF($C252="","",IF('설정'!$B$4=0,"",CHOOSE('설정'!$B$4,SUMIFS('RAW_유기농_7월'!$G:$G,'RAW_유기농_7월'!$D:$D,$C252,'RAW_유기농_7월'!$A:$A,$E252),SUMIFS('RAW_유기농_8월'!$G:$G,'RAW_유기농_8월'!$D:$D,$C252,'RAW_유기농_8월'!$A:$A,$E252),SUMIFS('RAW_유기농_9월'!$G:$G,'RAW_유기농_9월'!$D:$D,$C252,'RAW_유기농_9월'!$A:$A,$E252),SUMIFS('RAW_유기농_10월'!$G:$G,'RAW_유기농_10월'!$D:$D,$C252,'RAW_유기농_10월'!$A:$A,$E252),SUMIFS('RAW_유기농_11-12월'!$G:$G,'RAW_유기농_11-12월'!$D:$D,$C252,'RAW_유기농_11-12월'!$A:$A,$E252))))</f>
        <v/>
      </c>
      <c r="H252" s="7" t="str">
        <f>IF($C252="","",IF('설정'!$B$4=0,"",CHOOSE('설정'!$B$4,SUMIFS('RAW_유기농_7월'!$H:$H,'RAW_유기농_7월'!$D:$D,$C252,'RAW_유기농_7월'!$A:$A,$E252),SUMIFS('RAW_유기농_8월'!$H:$H,'RAW_유기농_8월'!$D:$D,$C252,'RAW_유기농_8월'!$A:$A,$E252),SUMIFS('RAW_유기농_9월'!$H:$H,'RAW_유기농_9월'!$D:$D,$C252,'RAW_유기농_9월'!$A:$A,$E252),SUMIFS('RAW_유기농_10월'!$H:$H,'RAW_유기농_10월'!$D:$D,$C252,'RAW_유기농_10월'!$A:$A,$E252),SUMIFS('RAW_유기농_11-12월'!$H:$H,'RAW_유기농_11-12월'!$D:$D,$C252,'RAW_유기농_11-12월'!$A:$A,$E252))))</f>
        <v/>
      </c>
      <c r="I252" s="17" t="str">
        <f>IF($C252="","",IF(COUNTIFS('RAW_유기농_7월'!$D:$D,$C252,'RAW_유기농_7월'!$A:$A,$E252)&gt;0,"O",""))</f>
        <v/>
      </c>
      <c r="J252" s="17" t="str">
        <f>IF($C252="","",IF(COUNTIFS('RAW_유기농_8월'!$D:$D,$C252,'RAW_유기농_8월'!$A:$A,$E252)&gt;0,"O",""))</f>
        <v/>
      </c>
      <c r="K252" s="17" t="str">
        <f>IF($C252="","",IF(COUNTIFS('RAW_유기농_9월'!$D:$D,$C252,'RAW_유기농_9월'!$A:$A,$E252)&gt;0,"O",""))</f>
        <v/>
      </c>
      <c r="L252" s="17" t="str">
        <f>IF($C252="","",IF(COUNTIFS('RAW_유기농_10월'!$D:$D,$C252,'RAW_유기농_10월'!$A:$A,$E252)&gt;0,"O",""))</f>
        <v/>
      </c>
      <c r="M252" s="17" t="str">
        <f>IF($C252="","",IF(COUNTIFS('RAW_유기농_11-12월'!$D:$D,$C252,'RAW_유기농_11-12월'!$A:$A,$E252)&gt;0,"O",""))</f>
        <v/>
      </c>
      <c r="N252" s="7" t="str">
        <f>IF($C252="","",IF(COUNTA('RAW_유기농_7월'!$A:$A)&lt;=1,"",SUMIFS('RAW_유기농_7월'!$H:$H,'RAW_유기농_7월'!$D:$D,$C252,'RAW_유기농_7월'!$A:$A,$E252)))</f>
        <v/>
      </c>
      <c r="O252" s="7" t="str">
        <f>IF($C252="","",IF(COUNTA('RAW_유기농_8월'!$A:$A)&lt;=1,"",SUMIFS('RAW_유기농_8월'!$H:$H,'RAW_유기농_8월'!$D:$D,$C252,'RAW_유기농_8월'!$A:$A,$E252)-SUMIFS('RAW_유기농_7월'!$H:$H,'RAW_유기농_7월'!$D:$D,$C252,'RAW_유기농_7월'!$A:$A,$E252)))</f>
        <v/>
      </c>
      <c r="P252" s="7" t="str">
        <f>IF($C252="","",IF(COUNTA('RAW_유기농_9월'!$A:$A)&lt;=1,"",SUMIFS('RAW_유기농_9월'!$H:$H,'RAW_유기농_9월'!$D:$D,$C252,'RAW_유기농_9월'!$A:$A,$E252)-SUMIFS('RAW_유기농_8월'!$H:$H,'RAW_유기농_8월'!$D:$D,$C252,'RAW_유기농_8월'!$A:$A,$E252)))</f>
        <v/>
      </c>
      <c r="Q252" s="7" t="str">
        <f>IF($C252="","",IF(COUNTA('RAW_유기농_10월'!$A:$A)&lt;=1,"",SUMIFS('RAW_유기농_10월'!$H:$H,'RAW_유기농_10월'!$D:$D,$C252,'RAW_유기농_10월'!$A:$A,$E252)-SUMIFS('RAW_유기농_9월'!$H:$H,'RAW_유기농_9월'!$D:$D,$C252,'RAW_유기농_9월'!$A:$A,$E252)))</f>
        <v/>
      </c>
      <c r="R252" s="7" t="str">
        <f>IF($C252="","",IF(COUNTA('RAW_유기농_11-12월'!$A:$A)&lt;=1,"",SUMIFS('RAW_유기농_11-12월'!$H:$H,'RAW_유기농_11-12월'!$D:$D,$C252,'RAW_유기농_11-12월'!$A:$A,$E252)-SUMIFS('RAW_유기농_10월'!$H:$H,'RAW_유기농_10월'!$D:$D,$C252,'RAW_유기농_10월'!$A:$A,$E252)))</f>
        <v/>
      </c>
      <c r="S252" s="17" t="str">
        <f t="shared" si="4"/>
        <v/>
      </c>
      <c r="T252" s="17" t="str">
        <f t="shared" si="5"/>
        <v/>
      </c>
      <c r="U252" s="7">
        <f>IF($C252="",0,IF('설정'!$B$4=0,0,CHOOSE('설정'!$B$4,COUNTIFS('RAW_유기농_7월'!$D:$D,$C252,'RAW_유기농_7월'!$A:$A,$E252),COUNTIFS('RAW_유기농_8월'!$D:$D,$C252,'RAW_유기농_8월'!$A:$A,$E252),COUNTIFS('RAW_유기농_9월'!$D:$D,$C252,'RAW_유기농_9월'!$A:$A,$E252),COUNTIFS('RAW_유기농_10월'!$D:$D,$C252,'RAW_유기농_10월'!$A:$A,$E252),COUNTIFS('RAW_유기농_11-12월'!$D:$D,$C252,'RAW_유기농_11-12월'!$A:$A,$E252))))</f>
        <v>0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11" width="12.0"/>
    <col customWidth="1" min="12" max="26" width="8.71"/>
  </cols>
  <sheetData>
    <row r="1">
      <c r="B1" s="8" t="s">
        <v>111</v>
      </c>
    </row>
    <row r="2">
      <c r="B2" s="20" t="s">
        <v>112</v>
      </c>
    </row>
    <row r="4">
      <c r="B4" s="21" t="s">
        <v>113</v>
      </c>
    </row>
    <row r="5">
      <c r="B5" s="4" t="s">
        <v>114</v>
      </c>
      <c r="C5" s="4" t="s">
        <v>115</v>
      </c>
      <c r="D5" s="4" t="s">
        <v>116</v>
      </c>
      <c r="E5" s="4" t="s">
        <v>117</v>
      </c>
      <c r="F5" s="4" t="s">
        <v>116</v>
      </c>
      <c r="G5" s="4" t="s">
        <v>90</v>
      </c>
      <c r="H5" s="4" t="s">
        <v>116</v>
      </c>
    </row>
    <row r="6">
      <c r="B6" s="2" t="s">
        <v>118</v>
      </c>
      <c r="C6" s="3">
        <f t="shared" ref="C6:C19" si="1">E6+G6</f>
        <v>340</v>
      </c>
      <c r="D6" s="29">
        <v>1.0</v>
      </c>
      <c r="E6" s="3">
        <f>COUNTA('농산물업체'!$C$3:$C$702)</f>
        <v>285</v>
      </c>
      <c r="F6" s="29">
        <v>1.0</v>
      </c>
      <c r="G6" s="3">
        <f>COUNTA('유기농업체'!$C$3:$C$252)</f>
        <v>55</v>
      </c>
      <c r="H6" s="29">
        <v>1.0</v>
      </c>
    </row>
    <row r="7">
      <c r="B7" s="30" t="s">
        <v>119</v>
      </c>
      <c r="C7" s="7">
        <f t="shared" si="1"/>
        <v>120</v>
      </c>
      <c r="D7" s="31">
        <f t="shared" ref="D7:D19" si="2">IF($C$6=0,"",C7/$C$6)</f>
        <v>0.3529411765</v>
      </c>
      <c r="E7" s="7">
        <f>COUNTIFS('농산물업체'!$T$3:$T$702,"미사용")</f>
        <v>98</v>
      </c>
      <c r="F7" s="31">
        <f t="shared" ref="F7:F19" si="3">IF($E$6=0,"",E7/$E$6)</f>
        <v>0.3438596491</v>
      </c>
      <c r="G7" s="7">
        <f>COUNTIFS('유기농업체'!$T$3:$T$252,"미사용")</f>
        <v>22</v>
      </c>
      <c r="H7" s="31">
        <f t="shared" ref="H7:H19" si="4">IF($G$6=0,"",G7/$G$6)</f>
        <v>0.4</v>
      </c>
    </row>
    <row r="8">
      <c r="B8" s="28" t="s">
        <v>120</v>
      </c>
      <c r="C8" s="14">
        <f t="shared" si="1"/>
        <v>220</v>
      </c>
      <c r="D8" s="32">
        <f t="shared" si="2"/>
        <v>0.6470588235</v>
      </c>
      <c r="E8" s="14">
        <f>SUM(E9:E19)</f>
        <v>187</v>
      </c>
      <c r="F8" s="32">
        <f t="shared" si="3"/>
        <v>0.6561403509</v>
      </c>
      <c r="G8" s="14">
        <f>SUM(G9:G19)</f>
        <v>33</v>
      </c>
      <c r="H8" s="32">
        <f t="shared" si="4"/>
        <v>0.6</v>
      </c>
    </row>
    <row r="9">
      <c r="B9" s="30" t="s">
        <v>121</v>
      </c>
      <c r="C9" s="7">
        <f t="shared" si="1"/>
        <v>113</v>
      </c>
      <c r="D9" s="31">
        <f t="shared" si="2"/>
        <v>0.3323529412</v>
      </c>
      <c r="E9" s="7">
        <f>COUNTIFS('농산물업체'!$T$3:$T$702,"50만원 미만")</f>
        <v>102</v>
      </c>
      <c r="F9" s="31">
        <f t="shared" si="3"/>
        <v>0.3578947368</v>
      </c>
      <c r="G9" s="7">
        <f>COUNTIFS('유기농업체'!$T$3:$T$252,"50만원 미만")</f>
        <v>11</v>
      </c>
      <c r="H9" s="31">
        <f t="shared" si="4"/>
        <v>0.2</v>
      </c>
    </row>
    <row r="10">
      <c r="B10" s="30" t="s">
        <v>124</v>
      </c>
      <c r="C10" s="7">
        <f t="shared" si="1"/>
        <v>24</v>
      </c>
      <c r="D10" s="31">
        <f t="shared" si="2"/>
        <v>0.07058823529</v>
      </c>
      <c r="E10" s="7">
        <f>COUNTIFS('농산물업체'!$T$3:$T$702,"100만원 미만")</f>
        <v>18</v>
      </c>
      <c r="F10" s="31">
        <f t="shared" si="3"/>
        <v>0.06315789474</v>
      </c>
      <c r="G10" s="7">
        <f>COUNTIFS('유기농업체'!$T$3:$T$252,"100만원 미만")</f>
        <v>6</v>
      </c>
      <c r="H10" s="31">
        <f t="shared" si="4"/>
        <v>0.1090909091</v>
      </c>
    </row>
    <row r="11">
      <c r="B11" s="30" t="s">
        <v>125</v>
      </c>
      <c r="C11" s="7">
        <f t="shared" si="1"/>
        <v>24</v>
      </c>
      <c r="D11" s="31">
        <f t="shared" si="2"/>
        <v>0.07058823529</v>
      </c>
      <c r="E11" s="7">
        <f>COUNTIFS('농산물업체'!$T$3:$T$702,"200만원 미만")</f>
        <v>17</v>
      </c>
      <c r="F11" s="31">
        <f t="shared" si="3"/>
        <v>0.05964912281</v>
      </c>
      <c r="G11" s="7">
        <f>COUNTIFS('유기농업체'!$T$3:$T$252,"200만원 미만")</f>
        <v>7</v>
      </c>
      <c r="H11" s="31">
        <f t="shared" si="4"/>
        <v>0.1272727273</v>
      </c>
    </row>
    <row r="12">
      <c r="B12" s="30" t="s">
        <v>127</v>
      </c>
      <c r="C12" s="7">
        <f t="shared" si="1"/>
        <v>17</v>
      </c>
      <c r="D12" s="31">
        <f t="shared" si="2"/>
        <v>0.05</v>
      </c>
      <c r="E12" s="7">
        <f>COUNTIFS('농산물업체'!$T$3:$T$702,"300만원 미만")</f>
        <v>10</v>
      </c>
      <c r="F12" s="31">
        <f t="shared" si="3"/>
        <v>0.0350877193</v>
      </c>
      <c r="G12" s="7">
        <f>COUNTIFS('유기농업체'!$T$3:$T$252,"300만원 미만")</f>
        <v>7</v>
      </c>
      <c r="H12" s="31">
        <f t="shared" si="4"/>
        <v>0.1272727273</v>
      </c>
    </row>
    <row r="13">
      <c r="B13" s="30" t="s">
        <v>128</v>
      </c>
      <c r="C13" s="7">
        <f t="shared" si="1"/>
        <v>5</v>
      </c>
      <c r="D13" s="31">
        <f t="shared" si="2"/>
        <v>0.01470588235</v>
      </c>
      <c r="E13" s="7">
        <f>COUNTIFS('농산물업체'!$T$3:$T$702,"400만원 미만")</f>
        <v>5</v>
      </c>
      <c r="F13" s="31">
        <f t="shared" si="3"/>
        <v>0.01754385965</v>
      </c>
      <c r="G13" s="7">
        <f>COUNTIFS('유기농업체'!$T$3:$T$252,"400만원 미만")</f>
        <v>0</v>
      </c>
      <c r="H13" s="31">
        <f t="shared" si="4"/>
        <v>0</v>
      </c>
    </row>
    <row r="14">
      <c r="B14" s="30" t="s">
        <v>130</v>
      </c>
      <c r="C14" s="7">
        <f t="shared" si="1"/>
        <v>23</v>
      </c>
      <c r="D14" s="31">
        <f t="shared" si="2"/>
        <v>0.06764705882</v>
      </c>
      <c r="E14" s="7">
        <f>COUNTIFS('농산물업체'!$T$3:$T$702,"500만원 미만")</f>
        <v>22</v>
      </c>
      <c r="F14" s="31">
        <f t="shared" si="3"/>
        <v>0.07719298246</v>
      </c>
      <c r="G14" s="7">
        <f>COUNTIFS('유기농업체'!$T$3:$T$252,"500만원 미만")</f>
        <v>1</v>
      </c>
      <c r="H14" s="31">
        <f t="shared" si="4"/>
        <v>0.01818181818</v>
      </c>
    </row>
    <row r="15">
      <c r="B15" s="30" t="s">
        <v>133</v>
      </c>
      <c r="C15" s="7">
        <f t="shared" si="1"/>
        <v>12</v>
      </c>
      <c r="D15" s="31">
        <f t="shared" si="2"/>
        <v>0.03529411765</v>
      </c>
      <c r="E15" s="7">
        <f>COUNTIFS('농산물업체'!$T$3:$T$702,"600만원 미만")</f>
        <v>12</v>
      </c>
      <c r="F15" s="31">
        <f t="shared" si="3"/>
        <v>0.04210526316</v>
      </c>
      <c r="G15" s="7">
        <f>COUNTIFS('유기농업체'!$T$3:$T$252,"600만원 미만")</f>
        <v>0</v>
      </c>
      <c r="H15" s="31">
        <f t="shared" si="4"/>
        <v>0</v>
      </c>
    </row>
    <row r="16">
      <c r="B16" s="30" t="s">
        <v>134</v>
      </c>
      <c r="C16" s="7">
        <f t="shared" si="1"/>
        <v>1</v>
      </c>
      <c r="D16" s="31">
        <f t="shared" si="2"/>
        <v>0.002941176471</v>
      </c>
      <c r="E16" s="7">
        <f>COUNTIFS('농산물업체'!$T$3:$T$702,"700만원 미만")</f>
        <v>1</v>
      </c>
      <c r="F16" s="31">
        <f t="shared" si="3"/>
        <v>0.00350877193</v>
      </c>
      <c r="G16" s="7">
        <f>COUNTIFS('유기농업체'!$T$3:$T$252,"700만원 미만")</f>
        <v>0</v>
      </c>
      <c r="H16" s="31">
        <f t="shared" si="4"/>
        <v>0</v>
      </c>
    </row>
    <row r="17">
      <c r="B17" s="30" t="s">
        <v>135</v>
      </c>
      <c r="C17" s="7">
        <f t="shared" si="1"/>
        <v>1</v>
      </c>
      <c r="D17" s="31">
        <f t="shared" si="2"/>
        <v>0.002941176471</v>
      </c>
      <c r="E17" s="7">
        <f>COUNTIFS('농산물업체'!$T$3:$T$702,"800만원 미만")</f>
        <v>0</v>
      </c>
      <c r="F17" s="31">
        <f t="shared" si="3"/>
        <v>0</v>
      </c>
      <c r="G17" s="7">
        <f>COUNTIFS('유기농업체'!$T$3:$T$252,"800만원 미만")</f>
        <v>1</v>
      </c>
      <c r="H17" s="31">
        <f t="shared" si="4"/>
        <v>0.01818181818</v>
      </c>
    </row>
    <row r="18">
      <c r="B18" s="30" t="s">
        <v>136</v>
      </c>
      <c r="C18" s="7">
        <f t="shared" si="1"/>
        <v>0</v>
      </c>
      <c r="D18" s="31">
        <f t="shared" si="2"/>
        <v>0</v>
      </c>
      <c r="E18" s="7">
        <f>COUNTIFS('농산물업체'!$T$3:$T$702,"1000만원 미만")</f>
        <v>0</v>
      </c>
      <c r="F18" s="31">
        <f t="shared" si="3"/>
        <v>0</v>
      </c>
      <c r="G18" s="7">
        <f>COUNTIFS('유기농업체'!$T$3:$T$252,"1000만원 미만")</f>
        <v>0</v>
      </c>
      <c r="H18" s="31">
        <f t="shared" si="4"/>
        <v>0</v>
      </c>
    </row>
    <row r="19">
      <c r="B19" s="30" t="s">
        <v>137</v>
      </c>
      <c r="C19" s="7">
        <f t="shared" si="1"/>
        <v>0</v>
      </c>
      <c r="D19" s="31">
        <f t="shared" si="2"/>
        <v>0</v>
      </c>
      <c r="E19" s="7">
        <f>COUNTIFS('농산물업체'!$T$3:$T$702,"1000만원 이상")</f>
        <v>0</v>
      </c>
      <c r="F19" s="31">
        <f t="shared" si="3"/>
        <v>0</v>
      </c>
      <c r="G19" s="7">
        <f>COUNTIFS('유기농업체'!$T$3:$T$252,"1000만원 이상")</f>
        <v>0</v>
      </c>
      <c r="H19" s="31">
        <f t="shared" si="4"/>
        <v>0</v>
      </c>
    </row>
    <row r="20">
      <c r="B20" s="20" t="s">
        <v>138</v>
      </c>
    </row>
    <row r="21" ht="15.75" customHeight="1"/>
    <row r="22" ht="15.75" customHeight="1">
      <c r="B22" s="21" t="s">
        <v>139</v>
      </c>
    </row>
    <row r="23" ht="15.75" customHeight="1">
      <c r="B23" s="4" t="s">
        <v>5</v>
      </c>
      <c r="C23" s="4" t="s">
        <v>115</v>
      </c>
      <c r="D23" s="4" t="s">
        <v>116</v>
      </c>
      <c r="E23" s="4" t="s">
        <v>117</v>
      </c>
      <c r="F23" s="4" t="s">
        <v>116</v>
      </c>
      <c r="G23" s="4" t="s">
        <v>90</v>
      </c>
      <c r="H23" s="4" t="s">
        <v>116</v>
      </c>
    </row>
    <row r="24" ht="15.75" customHeight="1">
      <c r="B24" s="30" t="s">
        <v>140</v>
      </c>
      <c r="C24" s="7">
        <f t="shared" ref="C24:C26" si="5">E24+G24</f>
        <v>22</v>
      </c>
      <c r="D24" s="31">
        <f t="shared" ref="D24:D26" si="6">IF($C$26=0,"",C24/$C$26)</f>
        <v>0.1833333333</v>
      </c>
      <c r="E24" s="7">
        <f>COUNTIFS('농산물업체'!$T$3:$T$702,"미사용",'농산물업체'!$S$3:$S$702,"O")</f>
        <v>20</v>
      </c>
      <c r="F24" s="31">
        <f t="shared" ref="F24:F26" si="7">IF(E$26=0,"",E24/E$26)</f>
        <v>0.2040816327</v>
      </c>
      <c r="G24" s="7">
        <f>COUNTIFS('유기농업체'!$T$3:$T$252,"미사용",'유기농업체'!$S$3:$S$252,"O")</f>
        <v>2</v>
      </c>
      <c r="H24" s="31">
        <f t="shared" ref="H24:H26" si="8">IF(G$26=0,"",G24/G$26)</f>
        <v>0.09090909091</v>
      </c>
    </row>
    <row r="25" ht="15.75" customHeight="1">
      <c r="B25" s="30" t="s">
        <v>141</v>
      </c>
      <c r="C25" s="7">
        <f t="shared" si="5"/>
        <v>98</v>
      </c>
      <c r="D25" s="31">
        <f t="shared" si="6"/>
        <v>0.8166666667</v>
      </c>
      <c r="E25" s="7">
        <f>COUNTIFS('농산물업체'!$T$3:$T$702,"미사용")-E24</f>
        <v>78</v>
      </c>
      <c r="F25" s="31">
        <f t="shared" si="7"/>
        <v>0.7959183673</v>
      </c>
      <c r="G25" s="7">
        <f>COUNTIFS('유기농업체'!$T$3:$T$252,"미사용")-G24</f>
        <v>20</v>
      </c>
      <c r="H25" s="31">
        <f t="shared" si="8"/>
        <v>0.9090909091</v>
      </c>
    </row>
    <row r="26" ht="15.75" customHeight="1">
      <c r="B26" s="2" t="s">
        <v>91</v>
      </c>
      <c r="C26" s="14">
        <f t="shared" si="5"/>
        <v>120</v>
      </c>
      <c r="D26" s="31">
        <f t="shared" si="6"/>
        <v>1</v>
      </c>
      <c r="E26" s="3">
        <f>SUM(E24:E25)</f>
        <v>98</v>
      </c>
      <c r="F26" s="31">
        <f t="shared" si="7"/>
        <v>1</v>
      </c>
      <c r="G26" s="3">
        <f>SUM(G24:G25)</f>
        <v>22</v>
      </c>
      <c r="H26" s="31">
        <f t="shared" si="8"/>
        <v>1</v>
      </c>
    </row>
    <row r="27" ht="15.75" customHeight="1">
      <c r="B27" s="20" t="s">
        <v>142</v>
      </c>
    </row>
    <row r="28" ht="15.75" customHeight="1"/>
    <row r="29" ht="15.75" customHeight="1">
      <c r="B29" s="21" t="s">
        <v>143</v>
      </c>
    </row>
    <row r="30" ht="15.75" customHeight="1">
      <c r="B30" s="4" t="s">
        <v>5</v>
      </c>
      <c r="C30" s="4" t="s">
        <v>115</v>
      </c>
      <c r="D30" s="4" t="s">
        <v>144</v>
      </c>
      <c r="E30" s="4" t="s">
        <v>116</v>
      </c>
      <c r="F30" s="4" t="s">
        <v>117</v>
      </c>
      <c r="G30" s="4" t="s">
        <v>144</v>
      </c>
      <c r="H30" s="4" t="s">
        <v>116</v>
      </c>
      <c r="I30" s="4" t="s">
        <v>90</v>
      </c>
      <c r="J30" s="4" t="s">
        <v>144</v>
      </c>
      <c r="K30" s="4" t="s">
        <v>116</v>
      </c>
    </row>
    <row r="31" ht="15.75" customHeight="1">
      <c r="B31" s="30" t="s">
        <v>108</v>
      </c>
      <c r="C31" s="7">
        <f t="shared" ref="C31:D31" si="9">F31+I31</f>
        <v>85</v>
      </c>
      <c r="D31" s="7">
        <f t="shared" si="9"/>
        <v>41</v>
      </c>
      <c r="E31" s="31">
        <f t="shared" ref="E31:E34" si="11">IF(C31=0,"",D31/C31)</f>
        <v>0.4823529412</v>
      </c>
      <c r="F31" s="7">
        <f>COUNTIFS('농산물업체'!$B$3:$B$702,"시작")</f>
        <v>73</v>
      </c>
      <c r="G31" s="7">
        <f>COUNTIFS('농산물업체'!$B$3:$B$702,"시작",'농산물업체'!$H$3:$H$702,"&gt;0")</f>
        <v>37</v>
      </c>
      <c r="H31" s="31">
        <f t="shared" ref="H31:H34" si="12">IF(F31=0,"",G31/F31)</f>
        <v>0.5068493151</v>
      </c>
      <c r="I31" s="7">
        <f>COUNTIFS('유기농업체'!$B$3:$B$252,"시작")</f>
        <v>12</v>
      </c>
      <c r="J31" s="7">
        <f>COUNTIFS('유기농업체'!$B$3:$B$252,"시작",'유기농업체'!$H$3:$H$252,"&gt;0")</f>
        <v>4</v>
      </c>
      <c r="K31" s="31">
        <f t="shared" ref="K31:K34" si="13">IF(I31=0,"",J31/I31)</f>
        <v>0.3333333333</v>
      </c>
    </row>
    <row r="32" ht="15.75" customHeight="1">
      <c r="B32" s="30" t="s">
        <v>145</v>
      </c>
      <c r="C32" s="7">
        <f t="shared" ref="C32:D32" si="10">F32+I32</f>
        <v>65</v>
      </c>
      <c r="D32" s="7">
        <f t="shared" si="10"/>
        <v>43</v>
      </c>
      <c r="E32" s="31">
        <f t="shared" si="11"/>
        <v>0.6615384615</v>
      </c>
      <c r="F32" s="7">
        <f>COUNTIFS('농산물업체'!$B$3:$B$702,"성장")</f>
        <v>54</v>
      </c>
      <c r="G32" s="7">
        <f>COUNTIFS('농산물업체'!$B$3:$B$702,"성장",'농산물업체'!$H$3:$H$702,"&gt;0")</f>
        <v>37</v>
      </c>
      <c r="H32" s="31">
        <f t="shared" si="12"/>
        <v>0.6851851852</v>
      </c>
      <c r="I32" s="7">
        <f>COUNTIFS('유기농업체'!$B$3:$B$252,"성장")</f>
        <v>11</v>
      </c>
      <c r="J32" s="7">
        <f>COUNTIFS('유기농업체'!$B$3:$B$252,"성장",'유기농업체'!$H$3:$H$252,"&gt;0")</f>
        <v>6</v>
      </c>
      <c r="K32" s="31">
        <f t="shared" si="13"/>
        <v>0.5454545455</v>
      </c>
    </row>
    <row r="33" ht="15.75" customHeight="1">
      <c r="B33" s="30" t="s">
        <v>25</v>
      </c>
      <c r="C33" s="7">
        <f t="shared" ref="C33:D33" si="14">F33+I33</f>
        <v>190</v>
      </c>
      <c r="D33" s="7">
        <f t="shared" si="14"/>
        <v>136</v>
      </c>
      <c r="E33" s="31">
        <f t="shared" si="11"/>
        <v>0.7157894737</v>
      </c>
      <c r="F33" s="7">
        <f>COUNTIFS('농산물업체'!$B$3:$B$702,"도약")</f>
        <v>158</v>
      </c>
      <c r="G33" s="7">
        <f>COUNTIFS('농산물업체'!$B$3:$B$702,"도약",'농산물업체'!$H$3:$H$702,"&gt;0")</f>
        <v>113</v>
      </c>
      <c r="H33" s="31">
        <f t="shared" si="12"/>
        <v>0.7151898734</v>
      </c>
      <c r="I33" s="7">
        <f>COUNTIFS('유기농업체'!$B$3:$B$252,"도약")</f>
        <v>32</v>
      </c>
      <c r="J33" s="7">
        <f>COUNTIFS('유기농업체'!$B$3:$B$252,"도약",'유기농업체'!$H$3:$H$252,"&gt;0")</f>
        <v>23</v>
      </c>
      <c r="K33" s="31">
        <f t="shared" si="13"/>
        <v>0.71875</v>
      </c>
    </row>
    <row r="34" ht="15.75" customHeight="1">
      <c r="B34" s="2" t="s">
        <v>91</v>
      </c>
      <c r="C34" s="14">
        <f t="shared" ref="C34:D34" si="15">F34+I34</f>
        <v>340</v>
      </c>
      <c r="D34" s="14">
        <f t="shared" si="15"/>
        <v>220</v>
      </c>
      <c r="E34" s="32">
        <f t="shared" si="11"/>
        <v>0.6470588235</v>
      </c>
      <c r="F34" s="3">
        <f t="shared" ref="F34:G34" si="16">SUM(F31:F33)</f>
        <v>285</v>
      </c>
      <c r="G34" s="3">
        <f t="shared" si="16"/>
        <v>187</v>
      </c>
      <c r="H34" s="32">
        <f t="shared" si="12"/>
        <v>0.6561403509</v>
      </c>
      <c r="I34" s="3">
        <f t="shared" ref="I34:J34" si="17">SUM(I31:I33)</f>
        <v>55</v>
      </c>
      <c r="J34" s="3">
        <f t="shared" si="17"/>
        <v>33</v>
      </c>
      <c r="K34" s="32">
        <f t="shared" si="13"/>
        <v>0.6</v>
      </c>
    </row>
    <row r="35" ht="15.75" customHeight="1">
      <c r="B35" s="20" t="s">
        <v>152</v>
      </c>
    </row>
    <row r="36" ht="15.75" customHeight="1"/>
    <row r="37" ht="15.75" customHeight="1">
      <c r="B37" s="21" t="s">
        <v>153</v>
      </c>
    </row>
    <row r="38" ht="15.75" customHeight="1">
      <c r="B38" s="33" t="s">
        <v>154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4" width="16.0"/>
    <col customWidth="1" min="5" max="5" width="71.0"/>
    <col customWidth="1" min="6" max="7" width="16.0"/>
    <col customWidth="1" min="8" max="26" width="8.71"/>
  </cols>
  <sheetData>
    <row r="1">
      <c r="B1" s="8" t="s">
        <v>164</v>
      </c>
    </row>
    <row r="2">
      <c r="B2" s="20" t="s">
        <v>165</v>
      </c>
    </row>
    <row r="3">
      <c r="B3" s="21" t="s">
        <v>166</v>
      </c>
    </row>
    <row r="4">
      <c r="B4" s="4" t="s">
        <v>167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</row>
    <row r="5">
      <c r="B5" s="30" t="s">
        <v>173</v>
      </c>
      <c r="C5" s="7">
        <f>COUNTA('RAW_농산물_7월'!$A:$A)-1</f>
        <v>1130</v>
      </c>
      <c r="D5" s="7">
        <f>IF(C5=0,"",SUM('RAW_농산물_7월'!$F:$F))</f>
        <v>226559</v>
      </c>
      <c r="E5" s="7">
        <f>IF(C5=0,"",SUM('RAW_농산물_7월'!$G:$G))</f>
        <v>2936214433</v>
      </c>
      <c r="F5" s="7">
        <f>IF(C5=0,"",SUM('RAW_농산물_7월'!$H:$H))</f>
        <v>163578655</v>
      </c>
      <c r="G5" s="14">
        <f>IF(C5=0,"",F5)</f>
        <v>163578655</v>
      </c>
    </row>
    <row r="6">
      <c r="B6" s="30" t="s">
        <v>175</v>
      </c>
      <c r="C6" s="7">
        <f>COUNTA('RAW_농산물_8월'!$A:$A)-1</f>
        <v>1449</v>
      </c>
      <c r="D6" s="7">
        <f>IF(C6=0,"",SUM('RAW_농산물_8월'!$F:$F))</f>
        <v>475218</v>
      </c>
      <c r="E6" s="7">
        <f>IF(C6=0,"",SUM('RAW_농산물_8월'!$G:$G))</f>
        <v>6227333500</v>
      </c>
      <c r="F6" s="7">
        <f>IF(C6=0,"",SUM('RAW_농산물_8월'!$H:$H))</f>
        <v>266369319</v>
      </c>
      <c r="G6" s="14">
        <f t="shared" ref="G6:G9" si="1">IF(C6=0,"",F6-F5)</f>
        <v>102790664</v>
      </c>
    </row>
    <row r="7">
      <c r="B7" s="30" t="s">
        <v>180</v>
      </c>
      <c r="C7" s="7">
        <f>COUNTA('RAW_농산물_9월'!$A:$A)-1</f>
        <v>0</v>
      </c>
      <c r="D7" s="7" t="str">
        <f>IF(C7=0,"",SUM('RAW_농산물_9월'!$F:$F))</f>
        <v/>
      </c>
      <c r="E7" s="7" t="str">
        <f>IF(C7=0,"",SUM('RAW_농산물_9월'!$G:$G))</f>
        <v/>
      </c>
      <c r="F7" s="7" t="str">
        <f>IF(C7=0,"",SUM('RAW_농산물_9월'!$H:$H))</f>
        <v/>
      </c>
      <c r="G7" s="14" t="str">
        <f t="shared" si="1"/>
        <v/>
      </c>
    </row>
    <row r="8">
      <c r="B8" s="30" t="s">
        <v>181</v>
      </c>
      <c r="C8" s="7">
        <f>COUNTA('RAW_농산물_10월'!$A:$A)-1</f>
        <v>0</v>
      </c>
      <c r="D8" s="7" t="str">
        <f>IF(C8=0,"",SUM('RAW_농산물_10월'!$F:$F))</f>
        <v/>
      </c>
      <c r="E8" s="7" t="str">
        <f>IF(C8=0,"",SUM('RAW_농산물_10월'!$G:$G))</f>
        <v/>
      </c>
      <c r="F8" s="7" t="str">
        <f>IF(C8=0,"",SUM('RAW_농산물_10월'!$H:$H))</f>
        <v/>
      </c>
      <c r="G8" s="14" t="str">
        <f t="shared" si="1"/>
        <v/>
      </c>
    </row>
    <row r="9">
      <c r="B9" s="30" t="s">
        <v>182</v>
      </c>
      <c r="C9" s="7">
        <f>COUNTA('RAW_농산물_11-12월'!$A:$A)-1</f>
        <v>0</v>
      </c>
      <c r="D9" s="7" t="str">
        <f>IF(C9=0,"",SUM('RAW_농산물_11-12월'!$F:$F))</f>
        <v/>
      </c>
      <c r="E9" s="7" t="str">
        <f>IF(C9=0,"",SUM('RAW_농산물_11-12월'!$G:$G))</f>
        <v/>
      </c>
      <c r="F9" s="7" t="str">
        <f>IF(C9=0,"",SUM('RAW_농산물_11-12월'!$H:$H))</f>
        <v/>
      </c>
      <c r="G9" s="14" t="str">
        <f t="shared" si="1"/>
        <v/>
      </c>
    </row>
    <row r="11">
      <c r="B11" s="21" t="s">
        <v>183</v>
      </c>
    </row>
    <row r="12">
      <c r="B12" s="4" t="s">
        <v>167</v>
      </c>
      <c r="C12" s="4" t="s">
        <v>168</v>
      </c>
      <c r="D12" s="4" t="s">
        <v>169</v>
      </c>
      <c r="E12" s="4" t="s">
        <v>170</v>
      </c>
      <c r="F12" s="4" t="s">
        <v>171</v>
      </c>
      <c r="G12" s="4" t="s">
        <v>172</v>
      </c>
    </row>
    <row r="13">
      <c r="B13" s="30" t="s">
        <v>173</v>
      </c>
      <c r="C13" s="7">
        <f>COUNTA('RAW_유기농_7월'!$A:$A)-1</f>
        <v>175</v>
      </c>
      <c r="D13" s="7">
        <f>IF(C13=0,"",SUM('RAW_유기농_7월'!$F:$F))</f>
        <v>127651</v>
      </c>
      <c r="E13" s="7">
        <f>IF(C13=0,"",SUM('RAW_유기농_7월'!$G:$G))</f>
        <v>646574890</v>
      </c>
      <c r="F13" s="7">
        <f>IF(C13=0,"",SUM('RAW_유기농_7월'!$H:$H))</f>
        <v>20033931</v>
      </c>
      <c r="G13" s="14">
        <f>IF(C13=0,"",F13)</f>
        <v>20033931</v>
      </c>
    </row>
    <row r="14">
      <c r="B14" s="30" t="s">
        <v>175</v>
      </c>
      <c r="C14" s="7">
        <f>COUNTA('RAW_유기농_8월'!$A:$A)-1</f>
        <v>202</v>
      </c>
      <c r="D14" s="7">
        <f>IF(C14=0,"",SUM('RAW_유기농_8월'!$F:$F))</f>
        <v>280907</v>
      </c>
      <c r="E14" s="7">
        <f>IF(C14=0,"",SUM('RAW_유기농_8월'!$G:$G))</f>
        <v>1453132570</v>
      </c>
      <c r="F14" s="7">
        <f>IF(C14=0,"",SUM('RAW_유기농_8월'!$H:$H))</f>
        <v>44341569</v>
      </c>
      <c r="G14" s="14">
        <f t="shared" ref="G14:G17" si="2">IF(C14=0,"",F14-F13)</f>
        <v>24307638</v>
      </c>
    </row>
    <row r="15">
      <c r="B15" s="30" t="s">
        <v>180</v>
      </c>
      <c r="C15" s="7">
        <f>COUNTA('RAW_유기농_9월'!$A:$A)-1</f>
        <v>0</v>
      </c>
      <c r="D15" s="7" t="str">
        <f>IF(C15=0,"",SUM('RAW_유기농_9월'!$F:$F))</f>
        <v/>
      </c>
      <c r="E15" s="7" t="str">
        <f>IF(C15=0,"",SUM('RAW_유기농_9월'!$G:$G))</f>
        <v/>
      </c>
      <c r="F15" s="7" t="str">
        <f>IF(C15=0,"",SUM('RAW_유기농_9월'!$H:$H))</f>
        <v/>
      </c>
      <c r="G15" s="14" t="str">
        <f t="shared" si="2"/>
        <v/>
      </c>
    </row>
    <row r="16">
      <c r="B16" s="30" t="s">
        <v>181</v>
      </c>
      <c r="C16" s="7">
        <f>COUNTA('RAW_유기농_10월'!$A:$A)-1</f>
        <v>0</v>
      </c>
      <c r="D16" s="7" t="str">
        <f>IF(C16=0,"",SUM('RAW_유기농_10월'!$F:$F))</f>
        <v/>
      </c>
      <c r="E16" s="7" t="str">
        <f>IF(C16=0,"",SUM('RAW_유기농_10월'!$G:$G))</f>
        <v/>
      </c>
      <c r="F16" s="7" t="str">
        <f>IF(C16=0,"",SUM('RAW_유기농_10월'!$H:$H))</f>
        <v/>
      </c>
      <c r="G16" s="14" t="str">
        <f t="shared" si="2"/>
        <v/>
      </c>
    </row>
    <row r="17">
      <c r="B17" s="30" t="s">
        <v>182</v>
      </c>
      <c r="C17" s="7">
        <f>COUNTA('RAW_유기농_11-12월'!$A:$A)-1</f>
        <v>0</v>
      </c>
      <c r="D17" s="7" t="str">
        <f>IF(C17=0,"",SUM('RAW_유기농_11-12월'!$F:$F))</f>
        <v/>
      </c>
      <c r="E17" s="7" t="str">
        <f>IF(C17=0,"",SUM('RAW_유기농_11-12월'!$G:$G))</f>
        <v/>
      </c>
      <c r="F17" s="7" t="str">
        <f>IF(C17=0,"",SUM('RAW_유기농_11-12월'!$H:$H))</f>
        <v/>
      </c>
      <c r="G17" s="14" t="str">
        <f t="shared" si="2"/>
        <v/>
      </c>
    </row>
    <row r="19">
      <c r="B19" s="21" t="s">
        <v>187</v>
      </c>
    </row>
    <row r="20">
      <c r="B20" s="4" t="s">
        <v>190</v>
      </c>
      <c r="C20" s="4" t="s">
        <v>191</v>
      </c>
      <c r="D20" s="4" t="s">
        <v>192</v>
      </c>
      <c r="E20" s="4" t="s">
        <v>193</v>
      </c>
    </row>
    <row r="21" ht="27.75" customHeight="1">
      <c r="B21" s="34" t="s">
        <v>194</v>
      </c>
      <c r="C21" s="7">
        <f>IF('설정'!$B$3=0,"",MAX(C5:C9)-'농산물업체'!$U$1)</f>
        <v>0</v>
      </c>
      <c r="D21" s="16" t="str">
        <f t="shared" ref="D21:D22" si="3">IF(C21="","-",IF(C21=0,"✅ 정상","🔴 즉시 조치"))</f>
        <v>✅ 정상</v>
      </c>
      <c r="E21" s="35" t="s">
        <v>195</v>
      </c>
    </row>
    <row r="22" ht="27.75" customHeight="1">
      <c r="B22" s="34" t="s">
        <v>196</v>
      </c>
      <c r="C22" s="7">
        <f>IF('설정'!$B$4=0,"",MAX(C13:C17)-'유기농업체'!$U$1)</f>
        <v>0</v>
      </c>
      <c r="D22" s="16" t="str">
        <f t="shared" si="3"/>
        <v>✅ 정상</v>
      </c>
      <c r="E22" s="35" t="s">
        <v>197</v>
      </c>
    </row>
    <row r="23" ht="27.75" customHeight="1">
      <c r="B23" s="34" t="s">
        <v>198</v>
      </c>
      <c r="C23" s="7">
        <f>SUMPRODUCT(--(C6:C9&gt;0),--(F6:F9&lt;F5:F8))</f>
        <v>0</v>
      </c>
      <c r="D23" s="16" t="str">
        <f t="shared" ref="D23:D26" si="4">IF(C23=0,"✅ 정상","⚠️ 확인 필요")</f>
        <v>✅ 정상</v>
      </c>
      <c r="E23" s="35" t="s">
        <v>199</v>
      </c>
    </row>
    <row r="24" ht="27.75" customHeight="1">
      <c r="B24" s="34" t="s">
        <v>200</v>
      </c>
      <c r="C24" s="7">
        <f>SUMPRODUCT(--(C14:C17&gt;0),--(F14:F17&lt;F13:F16))</f>
        <v>0</v>
      </c>
      <c r="D24" s="16" t="str">
        <f t="shared" si="4"/>
        <v>✅ 정상</v>
      </c>
      <c r="E24" s="35" t="s">
        <v>197</v>
      </c>
    </row>
    <row r="25" ht="27.75" customHeight="1">
      <c r="B25" s="34" t="s">
        <v>201</v>
      </c>
      <c r="C25" s="7">
        <f>COUNTIF(G5:G9,"&lt;0")</f>
        <v>0</v>
      </c>
      <c r="D25" s="16" t="str">
        <f t="shared" si="4"/>
        <v>✅ 정상</v>
      </c>
      <c r="E25" s="35" t="s">
        <v>202</v>
      </c>
    </row>
    <row r="26" ht="27.75" customHeight="1">
      <c r="B26" s="34" t="s">
        <v>203</v>
      </c>
      <c r="C26" s="7">
        <f>COUNTIF(G13:G17,"&lt;0")</f>
        <v>0</v>
      </c>
      <c r="D26" s="16" t="str">
        <f t="shared" si="4"/>
        <v>✅ 정상</v>
      </c>
      <c r="E26" s="35" t="s">
        <v>197</v>
      </c>
    </row>
    <row r="27" ht="27.75" customHeight="1">
      <c r="B27" s="34" t="s">
        <v>204</v>
      </c>
      <c r="C27" s="7">
        <f>IF('설정'!$B$3=0,"",'농산물업체'!$H$1-IF('설정'!$B$3=0,"",CHOOSE('설정'!$B$3,SUM('RAW_농산물_7월'!$H:$H),SUM('RAW_농산물_8월'!$H:$H),SUM('RAW_농산물_9월'!$H:$H),SUM('RAW_농산물_10월'!$H:$H),SUM('RAW_농산물_11-12월'!$H:$H))))</f>
        <v>0</v>
      </c>
      <c r="D27" s="16" t="str">
        <f t="shared" ref="D27:D30" si="5">IF(C27="","-",IF(ABS(C27)&lt;1,"✅ 정상","⚠️ 확인 필요"))</f>
        <v>✅ 정상</v>
      </c>
      <c r="E27" s="35" t="s">
        <v>205</v>
      </c>
    </row>
    <row r="28" ht="27.75" customHeight="1">
      <c r="B28" s="34" t="s">
        <v>206</v>
      </c>
      <c r="C28" s="7">
        <f>IF('설정'!$B$4=0,"",'유기농업체'!$H$1-IF('설정'!$B$4=0,"",CHOOSE('설정'!$B$4,SUM('RAW_유기농_7월'!$H:$H),SUM('RAW_유기농_8월'!$H:$H),SUM('RAW_유기농_9월'!$H:$H),SUM('RAW_유기농_10월'!$H:$H),SUM('RAW_유기농_11-12월'!$H:$H))))</f>
        <v>0</v>
      </c>
      <c r="D28" s="16" t="str">
        <f t="shared" si="5"/>
        <v>✅ 정상</v>
      </c>
      <c r="E28" s="35" t="s">
        <v>197</v>
      </c>
    </row>
    <row r="29" ht="27.75" customHeight="1">
      <c r="B29" s="34" t="s">
        <v>209</v>
      </c>
      <c r="C29" s="7">
        <f>IF('설정'!$B$3=0,"",'분석'!$D$15-IF('설정'!$B$3=0,"",CHOOSE('설정'!$B$3,SUM('RAW_농산물_7월'!$H:$H),SUM('RAW_농산물_8월'!$H:$H),SUM('RAW_농산물_9월'!$H:$H),SUM('RAW_농산물_10월'!$H:$H),SUM('RAW_농산물_11-12월'!$H:$H))))</f>
        <v>0</v>
      </c>
      <c r="D29" s="16" t="str">
        <f t="shared" si="5"/>
        <v>✅ 정상</v>
      </c>
      <c r="E29" s="35" t="s">
        <v>210</v>
      </c>
    </row>
    <row r="30" ht="27.75" customHeight="1">
      <c r="B30" s="34" t="s">
        <v>211</v>
      </c>
      <c r="C30" s="7">
        <f>IF('설정'!$B$3=0,"",'분석'!$D$30-IF('설정'!$B$3=0,"",CHOOSE('설정'!$B$3,SUM('RAW_농산물_7월'!$H:$H),SUM('RAW_농산물_8월'!$H:$H),SUM('RAW_농산물_9월'!$H:$H),SUM('RAW_농산물_10월'!$H:$H),SUM('RAW_농산물_11-12월'!$H:$H))))</f>
        <v>0</v>
      </c>
      <c r="D30" s="16" t="str">
        <f t="shared" si="5"/>
        <v>✅ 정상</v>
      </c>
      <c r="E30" s="35" t="s">
        <v>212</v>
      </c>
    </row>
    <row r="31" ht="27.75" customHeight="1">
      <c r="B31" s="34" t="s">
        <v>213</v>
      </c>
      <c r="C31" s="7">
        <f>SUMPRODUCT(('농산물업체'!$E$3:$E$702&lt;&gt;"")*('농산물업체'!$C$3:$C$702=""))+SUMPRODUCT(('유기농업체'!$E$3:$E$252&lt;&gt;"")*('유기농업체'!$C$3:$C$252=""))</f>
        <v>0</v>
      </c>
      <c r="D31" s="16" t="str">
        <f t="shared" ref="D31:D33" si="6">IF(C31=0,"✅ 정상","⚠️ 확인 필요")</f>
        <v>✅ 정상</v>
      </c>
      <c r="E31" s="35" t="s">
        <v>214</v>
      </c>
    </row>
    <row r="32" ht="27.75" customHeight="1">
      <c r="B32" s="34" t="s">
        <v>215</v>
      </c>
      <c r="C32" s="7">
        <f t="array" ref="C32">SUMPRODUCT(('농산물업체'!$C$3:$C$702&lt;&gt;"")*(COUNTIFS('농산물업체'!$C$3:$C$702,'농산물업체'!$C$3:$C$702,'농산물업체'!$E$3:$E$702,'농산물업체'!$E$3:$E$702)&gt;1))+SUMPRODUCT(('유기농업체'!$C$3:$C$252&lt;&gt;"")*(COUNTIFS('유기농업체'!$C$3:$C$252,'유기농업체'!$C$3:$C$252,'유기농업체'!$E$3:$E$252,'유기농업체'!$E$3:$E$252)&gt;1))</f>
        <v>0</v>
      </c>
      <c r="D32" s="16" t="str">
        <f t="shared" si="6"/>
        <v>✅ 정상</v>
      </c>
      <c r="E32" s="35" t="s">
        <v>221</v>
      </c>
    </row>
    <row r="33" ht="27.75" customHeight="1">
      <c r="B33" s="34" t="s">
        <v>222</v>
      </c>
      <c r="C33" s="7">
        <f t="array" ref="C33">SUMPRODUCT(('농산물업체'!$E$3:$E$702&lt;&gt;"")*(COUNTIF('설정'!$B$36:$B$41,'농산물업체'!$E$3:$E$702)=0))+SUMPRODUCT(('유기농업체'!$E$3:$E$252&lt;&gt;"")*(COUNTIF('설정'!$C$36:$C$37,'유기농업체'!$E$3:$E$252)=0))</f>
        <v>0</v>
      </c>
      <c r="D33" s="16" t="str">
        <f t="shared" si="6"/>
        <v>✅ 정상</v>
      </c>
      <c r="E33" s="35" t="s">
        <v>223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1:D33">
    <cfRule type="expression" dxfId="0" priority="1">
      <formula>ISNUMBER(SEARCH("조치",D21))</formula>
    </cfRule>
  </conditionalFormatting>
  <conditionalFormatting sqref="D21:D33">
    <cfRule type="expression" dxfId="1" priority="2">
      <formula>ISNUMBER(SEARCH("확인",D21))</formula>
    </cfRule>
  </conditionalFormatting>
  <conditionalFormatting sqref="D21:D33">
    <cfRule type="expression" dxfId="2" priority="3">
      <formula>ISNUMBER(SEARCH("정상",D21))</formula>
    </cfRule>
  </conditionalFormatting>
  <conditionalFormatting sqref="D21:D33">
    <cfRule type="expression" dxfId="3" priority="4">
      <formula>ISNUMBER(SEARCH("임박",D21))</formula>
    </cfRule>
  </conditionalFormatting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0"/>
    <col customWidth="1" min="3" max="6" width="16.0"/>
    <col customWidth="1" min="7" max="26" width="8.71"/>
  </cols>
  <sheetData>
    <row r="1">
      <c r="B1" s="8" t="s">
        <v>234</v>
      </c>
    </row>
    <row r="2">
      <c r="B2" s="20" t="s">
        <v>235</v>
      </c>
      <c r="C2" s="20" t="s">
        <v>236</v>
      </c>
    </row>
    <row r="3">
      <c r="B3" s="16">
        <f>MAX((D10&gt;0)*1,(D11&gt;0)*2,(D12&gt;0)*3,(D13&gt;0)*4,(D14&gt;0)*5)</f>
        <v>2</v>
      </c>
      <c r="C3" s="16" t="str">
        <f t="array" ref="C3">IF($B$3=0,"입력 없음",INDEX($C$10:$C$14,$B$3))</f>
        <v>8월</v>
      </c>
      <c r="D3" s="20" t="s">
        <v>237</v>
      </c>
    </row>
    <row r="4">
      <c r="B4" s="16">
        <f>MAX((E10&gt;0)*1,(E11&gt;0)*2,(E12&gt;0)*3,(E13&gt;0)*4,(E14&gt;0)*5)</f>
        <v>2</v>
      </c>
      <c r="C4" s="16" t="str">
        <f t="array" ref="C4">IF($B$4=0,"입력 없음",INDEX($C$10:$C$14,$B$4))</f>
        <v>8월</v>
      </c>
      <c r="D4" s="20" t="s">
        <v>238</v>
      </c>
    </row>
    <row r="5">
      <c r="B5" s="20" t="s">
        <v>239</v>
      </c>
    </row>
    <row r="8">
      <c r="B8" s="21" t="s">
        <v>240</v>
      </c>
    </row>
    <row r="9">
      <c r="B9" s="4" t="s">
        <v>241</v>
      </c>
      <c r="C9" s="4" t="s">
        <v>167</v>
      </c>
      <c r="D9" s="4" t="s">
        <v>242</v>
      </c>
      <c r="E9" s="4" t="s">
        <v>243</v>
      </c>
    </row>
    <row r="10">
      <c r="B10" s="17">
        <v>1.0</v>
      </c>
      <c r="C10" s="17" t="s">
        <v>173</v>
      </c>
      <c r="D10" s="7">
        <f>COUNTA('RAW_농산물_7월'!$A:$A)-1</f>
        <v>1130</v>
      </c>
      <c r="E10" s="7">
        <f>COUNTA('RAW_유기농_7월'!$A:$A)-1</f>
        <v>175</v>
      </c>
    </row>
    <row r="11">
      <c r="B11" s="17">
        <v>2.0</v>
      </c>
      <c r="C11" s="17" t="s">
        <v>175</v>
      </c>
      <c r="D11" s="7">
        <f>COUNTA('RAW_농산물_8월'!$A:$A)-1</f>
        <v>1449</v>
      </c>
      <c r="E11" s="7">
        <f>COUNTA('RAW_유기농_8월'!$A:$A)-1</f>
        <v>202</v>
      </c>
    </row>
    <row r="12">
      <c r="B12" s="17">
        <v>3.0</v>
      </c>
      <c r="C12" s="17" t="s">
        <v>180</v>
      </c>
      <c r="D12" s="7">
        <f>COUNTA('RAW_농산물_9월'!$A:$A)-1</f>
        <v>0</v>
      </c>
      <c r="E12" s="7">
        <f>COUNTA('RAW_유기농_9월'!$A:$A)-1</f>
        <v>0</v>
      </c>
    </row>
    <row r="13">
      <c r="B13" s="17">
        <v>4.0</v>
      </c>
      <c r="C13" s="17" t="s">
        <v>181</v>
      </c>
      <c r="D13" s="7">
        <f>COUNTA('RAW_농산물_10월'!$A:$A)-1</f>
        <v>0</v>
      </c>
      <c r="E13" s="7">
        <f>COUNTA('RAW_유기농_10월'!$A:$A)-1</f>
        <v>0</v>
      </c>
    </row>
    <row r="14">
      <c r="B14" s="17">
        <v>5.0</v>
      </c>
      <c r="C14" s="17" t="s">
        <v>182</v>
      </c>
      <c r="D14" s="7">
        <f>COUNTA('RAW_농산물_11-12월'!$A:$A)-1</f>
        <v>0</v>
      </c>
      <c r="E14" s="7">
        <f>COUNTA('RAW_유기농_11-12월'!$A:$A)-1</f>
        <v>0</v>
      </c>
    </row>
    <row r="16">
      <c r="B16" s="21" t="s">
        <v>246</v>
      </c>
    </row>
    <row r="17">
      <c r="B17" s="4" t="s">
        <v>247</v>
      </c>
      <c r="C17" s="4" t="s">
        <v>248</v>
      </c>
      <c r="D17" s="4" t="s">
        <v>249</v>
      </c>
      <c r="E17" s="4" t="s">
        <v>250</v>
      </c>
      <c r="F17" s="4" t="s">
        <v>251</v>
      </c>
    </row>
    <row r="18">
      <c r="B18" s="17" t="s">
        <v>92</v>
      </c>
      <c r="C18" s="36">
        <v>2.5E8</v>
      </c>
      <c r="D18" s="7">
        <f>IF('설정'!$B$3=0,"",CHOOSE('설정'!$B$3,SUMIFS('RAW_농산물_7월'!$H:$H,'RAW_농산물_7월'!$A:$A,$B18),SUMIFS('RAW_농산물_8월'!$H:$H,'RAW_농산물_8월'!$A:$A,$B18),SUMIFS('RAW_농산물_9월'!$H:$H,'RAW_농산물_9월'!$A:$A,$B18),SUMIFS('RAW_농산물_10월'!$H:$H,'RAW_농산물_10월'!$A:$A,$B18),SUMIFS('RAW_농산물_11-12월'!$H:$H,'RAW_농산물_11-12월'!$A:$A,$B18)))</f>
        <v>90643090</v>
      </c>
      <c r="E18" s="7">
        <f t="shared" ref="E18:E23" si="1">IF($D18="","",$C18-$D18)</f>
        <v>159356910</v>
      </c>
      <c r="F18" s="31">
        <f t="shared" ref="F18:F23" si="2">IF(OR($D18="",$C18=0),"",$D18/$C18)</f>
        <v>0.36257236</v>
      </c>
    </row>
    <row r="19">
      <c r="B19" s="17" t="s">
        <v>93</v>
      </c>
      <c r="C19" s="36">
        <v>1.75E8</v>
      </c>
      <c r="D19" s="7">
        <f>IF('설정'!$B$3=0,"",CHOOSE('설정'!$B$3,SUMIFS('RAW_농산물_7월'!$H:$H,'RAW_농산물_7월'!$A:$A,$B19),SUMIFS('RAW_농산물_8월'!$H:$H,'RAW_농산물_8월'!$A:$A,$B19),SUMIFS('RAW_농산물_9월'!$H:$H,'RAW_농산물_9월'!$A:$A,$B19),SUMIFS('RAW_농산물_10월'!$H:$H,'RAW_농산물_10월'!$A:$A,$B19),SUMIFS('RAW_농산물_11-12월'!$H:$H,'RAW_농산물_11-12월'!$A:$A,$B19)))</f>
        <v>76647920</v>
      </c>
      <c r="E19" s="7">
        <f t="shared" si="1"/>
        <v>98352080</v>
      </c>
      <c r="F19" s="31">
        <f t="shared" si="2"/>
        <v>0.4379881143</v>
      </c>
    </row>
    <row r="20">
      <c r="B20" s="17" t="s">
        <v>28</v>
      </c>
      <c r="C20" s="36">
        <v>1.15E8</v>
      </c>
      <c r="D20" s="7">
        <f>IF('설정'!$B$3=0,"",CHOOSE('설정'!$B$3,SUMIFS('RAW_농산물_7월'!$H:$H,'RAW_농산물_7월'!$A:$A,$B20),SUMIFS('RAW_농산물_8월'!$H:$H,'RAW_농산물_8월'!$A:$A,$B20),SUMIFS('RAW_농산물_9월'!$H:$H,'RAW_농산물_9월'!$A:$A,$B20),SUMIFS('RAW_농산물_10월'!$H:$H,'RAW_농산물_10월'!$A:$A,$B20),SUMIFS('RAW_농산물_11-12월'!$H:$H,'RAW_농산물_11-12월'!$A:$A,$B20)))</f>
        <v>52129220</v>
      </c>
      <c r="E20" s="7">
        <f t="shared" si="1"/>
        <v>62870780</v>
      </c>
      <c r="F20" s="31">
        <f t="shared" si="2"/>
        <v>0.4532975652</v>
      </c>
    </row>
    <row r="21" ht="15.75" customHeight="1">
      <c r="B21" s="17" t="s">
        <v>94</v>
      </c>
      <c r="C21" s="37">
        <v>6.0E7</v>
      </c>
      <c r="D21" s="7">
        <f>IF('설정'!$B$3=0,"",CHOOSE('설정'!$B$3,SUMIFS('RAW_농산물_7월'!$H:$H,'RAW_농산물_7월'!$A:$A,$B21),SUMIFS('RAW_농산물_8월'!$H:$H,'RAW_농산물_8월'!$A:$A,$B21),SUMIFS('RAW_농산물_9월'!$H:$H,'RAW_농산물_9월'!$A:$A,$B21),SUMIFS('RAW_농산물_10월'!$H:$H,'RAW_농산물_10월'!$A:$A,$B21),SUMIFS('RAW_농산물_11-12월'!$H:$H,'RAW_농산물_11-12월'!$A:$A,$B21)))</f>
        <v>15501100</v>
      </c>
      <c r="E21" s="7">
        <f t="shared" si="1"/>
        <v>44498900</v>
      </c>
      <c r="F21" s="31">
        <f t="shared" si="2"/>
        <v>0.2583516667</v>
      </c>
    </row>
    <row r="22" ht="15.75" customHeight="1">
      <c r="B22" s="17" t="s">
        <v>95</v>
      </c>
      <c r="C22" s="36">
        <v>4.0E7</v>
      </c>
      <c r="D22" s="7">
        <f>IF('설정'!$B$3=0,"",CHOOSE('설정'!$B$3,SUMIFS('RAW_농산물_7월'!$H:$H,'RAW_농산물_7월'!$A:$A,$B22),SUMIFS('RAW_농산물_8월'!$H:$H,'RAW_농산물_8월'!$A:$A,$B22),SUMIFS('RAW_농산물_9월'!$H:$H,'RAW_농산물_9월'!$A:$A,$B22),SUMIFS('RAW_농산물_10월'!$H:$H,'RAW_농산물_10월'!$A:$A,$B22),SUMIFS('RAW_농산물_11-12월'!$H:$H,'RAW_농산물_11-12월'!$A:$A,$B22)))</f>
        <v>15599960</v>
      </c>
      <c r="E22" s="7">
        <f t="shared" si="1"/>
        <v>24400040</v>
      </c>
      <c r="F22" s="31">
        <f t="shared" si="2"/>
        <v>0.389999</v>
      </c>
    </row>
    <row r="23" ht="15.75" customHeight="1">
      <c r="B23" s="17" t="s">
        <v>31</v>
      </c>
      <c r="C23" s="36">
        <v>6.0E7</v>
      </c>
      <c r="D23" s="7">
        <f>IF('설정'!$B$3=0,"",CHOOSE('설정'!$B$3,SUMIFS('RAW_농산물_7월'!$H:$H,'RAW_농산물_7월'!$A:$A,$B23),SUMIFS('RAW_농산물_8월'!$H:$H,'RAW_농산물_8월'!$A:$A,$B23),SUMIFS('RAW_농산물_9월'!$H:$H,'RAW_농산물_9월'!$A:$A,$B23),SUMIFS('RAW_농산물_10월'!$H:$H,'RAW_농산물_10월'!$A:$A,$B23),SUMIFS('RAW_농산물_11-12월'!$H:$H,'RAW_농산물_11-12월'!$A:$A,$B23)))</f>
        <v>15848029</v>
      </c>
      <c r="E23" s="7">
        <f t="shared" si="1"/>
        <v>44151971</v>
      </c>
      <c r="F23" s="31">
        <f t="shared" si="2"/>
        <v>0.2641338167</v>
      </c>
    </row>
    <row r="24" ht="15.75" customHeight="1">
      <c r="B24" s="2" t="s">
        <v>257</v>
      </c>
      <c r="C24" s="3">
        <f t="shared" ref="C24:E24" si="3">SUM(C18:C23)</f>
        <v>700000000</v>
      </c>
      <c r="D24" s="3">
        <f t="shared" si="3"/>
        <v>266369319</v>
      </c>
      <c r="E24" s="3">
        <f t="shared" si="3"/>
        <v>433630681</v>
      </c>
      <c r="F24" s="29">
        <f>IF(C24=0,"",D24/C24)</f>
        <v>0.3805275986</v>
      </c>
    </row>
    <row r="25" ht="15.75" customHeight="1"/>
    <row r="26" ht="15.75" customHeight="1"/>
    <row r="27" ht="15.75" customHeight="1">
      <c r="B27" s="21" t="s">
        <v>258</v>
      </c>
    </row>
    <row r="28" ht="15.75" customHeight="1">
      <c r="B28" s="4" t="s">
        <v>247</v>
      </c>
      <c r="C28" s="4" t="s">
        <v>248</v>
      </c>
      <c r="D28" s="4" t="s">
        <v>249</v>
      </c>
      <c r="E28" s="4" t="s">
        <v>250</v>
      </c>
      <c r="F28" s="4" t="s">
        <v>251</v>
      </c>
    </row>
    <row r="29" ht="15.75" customHeight="1">
      <c r="B29" s="17" t="s">
        <v>92</v>
      </c>
      <c r="C29" s="37">
        <v>5.0E7</v>
      </c>
      <c r="D29" s="7">
        <f>IF('설정'!$B$4=0,"",CHOOSE('설정'!$B$4,SUMIFS('RAW_유기농_7월'!$H:$H,'RAW_유기농_7월'!$A:$A,$B29),SUMIFS('RAW_유기농_8월'!$H:$H,'RAW_유기농_8월'!$A:$A,$B29),SUMIFS('RAW_유기농_9월'!$H:$H,'RAW_유기농_9월'!$A:$A,$B29),SUMIFS('RAW_유기농_10월'!$H:$H,'RAW_유기농_10월'!$A:$A,$B29),SUMIFS('RAW_유기농_11-12월'!$H:$H,'RAW_유기농_11-12월'!$A:$A,$B29)))</f>
        <v>24308290</v>
      </c>
      <c r="E29" s="7">
        <f t="shared" ref="E29:E30" si="4">IF($D29="","",$C29-$D29)</f>
        <v>25691710</v>
      </c>
      <c r="F29" s="31">
        <f t="shared" ref="F29:F30" si="5">IF(OR($D29="",$C29=0),"",$D29/$C29)</f>
        <v>0.4861658</v>
      </c>
    </row>
    <row r="30" ht="15.75" customHeight="1">
      <c r="B30" s="17" t="s">
        <v>31</v>
      </c>
      <c r="C30" s="37">
        <v>5.0E7</v>
      </c>
      <c r="D30" s="7">
        <f>IF('설정'!$B$4=0,"",CHOOSE('설정'!$B$4,SUMIFS('RAW_유기농_7월'!$H:$H,'RAW_유기농_7월'!$A:$A,$B30),SUMIFS('RAW_유기농_8월'!$H:$H,'RAW_유기농_8월'!$A:$A,$B30),SUMIFS('RAW_유기농_9월'!$H:$H,'RAW_유기농_9월'!$A:$A,$B30),SUMIFS('RAW_유기농_10월'!$H:$H,'RAW_유기농_10월'!$A:$A,$B30),SUMIFS('RAW_유기농_11-12월'!$H:$H,'RAW_유기농_11-12월'!$A:$A,$B30)))</f>
        <v>20033279</v>
      </c>
      <c r="E30" s="7">
        <f t="shared" si="4"/>
        <v>29966721</v>
      </c>
      <c r="F30" s="31">
        <f t="shared" si="5"/>
        <v>0.40066558</v>
      </c>
    </row>
    <row r="31" ht="15.75" customHeight="1">
      <c r="B31" s="2" t="s">
        <v>257</v>
      </c>
      <c r="C31" s="3">
        <f t="shared" ref="C31:E31" si="6">SUM(C29:C30)</f>
        <v>100000000</v>
      </c>
      <c r="D31" s="3">
        <f t="shared" si="6"/>
        <v>44341569</v>
      </c>
      <c r="E31" s="3">
        <f t="shared" si="6"/>
        <v>55658431</v>
      </c>
      <c r="F31" s="29">
        <f>IF(C31=0,"",D31/C31)</f>
        <v>0.44341569</v>
      </c>
    </row>
    <row r="32" ht="15.75" customHeight="1"/>
    <row r="33" ht="15.75" customHeight="1"/>
    <row r="34" ht="15.75" customHeight="1">
      <c r="B34" s="21" t="s">
        <v>261</v>
      </c>
    </row>
    <row r="35" ht="15.75" customHeight="1">
      <c r="B35" s="4" t="s">
        <v>117</v>
      </c>
      <c r="C35" s="4" t="s">
        <v>262</v>
      </c>
    </row>
    <row r="36" ht="15.75" customHeight="1">
      <c r="B36" s="17" t="s">
        <v>92</v>
      </c>
      <c r="C36" s="17" t="s">
        <v>92</v>
      </c>
    </row>
    <row r="37" ht="15.75" customHeight="1">
      <c r="B37" s="17" t="s">
        <v>93</v>
      </c>
      <c r="C37" s="17" t="s">
        <v>31</v>
      </c>
    </row>
    <row r="38" ht="15.75" customHeight="1">
      <c r="B38" s="17" t="s">
        <v>28</v>
      </c>
    </row>
    <row r="39" ht="15.75" customHeight="1">
      <c r="B39" s="17" t="s">
        <v>94</v>
      </c>
    </row>
    <row r="40" ht="15.75" customHeight="1">
      <c r="B40" s="17" t="s">
        <v>95</v>
      </c>
    </row>
    <row r="41" ht="15.75" customHeight="1">
      <c r="B41" s="17" t="s">
        <v>31</v>
      </c>
    </row>
    <row r="42" ht="15.75" customHeight="1"/>
    <row r="43" ht="15.75" customHeight="1">
      <c r="B43" s="4" t="s">
        <v>5</v>
      </c>
    </row>
    <row r="44" ht="15.75" customHeight="1">
      <c r="B44" s="17" t="s">
        <v>108</v>
      </c>
    </row>
    <row r="45" ht="15.75" customHeight="1">
      <c r="B45" s="17" t="s">
        <v>145</v>
      </c>
    </row>
    <row r="46" ht="15.75" customHeight="1">
      <c r="B46" s="17" t="s">
        <v>25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9" width="8.71"/>
    <col customWidth="1" min="10" max="10" width="18.0"/>
    <col customWidth="1" min="11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  <c r="J1" s="38" t="s">
        <v>278</v>
      </c>
      <c r="M1" s="39"/>
    </row>
    <row r="2">
      <c r="A2" s="40" t="s">
        <v>92</v>
      </c>
      <c r="B2" s="40" t="s">
        <v>186</v>
      </c>
      <c r="C2" s="40" t="s">
        <v>281</v>
      </c>
      <c r="D2" s="40" t="s">
        <v>282</v>
      </c>
      <c r="E2" s="40" t="s">
        <v>283</v>
      </c>
      <c r="F2" s="41">
        <v>2297.0</v>
      </c>
      <c r="G2" s="41">
        <v>1.104595E8</v>
      </c>
      <c r="H2" s="41">
        <v>2090900.0</v>
      </c>
    </row>
    <row r="3">
      <c r="A3" s="40" t="s">
        <v>92</v>
      </c>
      <c r="B3" s="40" t="s">
        <v>117</v>
      </c>
      <c r="C3" s="40" t="s">
        <v>284</v>
      </c>
      <c r="D3" s="40" t="s">
        <v>285</v>
      </c>
      <c r="E3" s="40" t="s">
        <v>286</v>
      </c>
      <c r="F3" s="41">
        <v>2393.0</v>
      </c>
      <c r="G3" s="41">
        <v>1.049545E8</v>
      </c>
      <c r="H3" s="41">
        <v>4684290.0</v>
      </c>
    </row>
    <row r="4">
      <c r="A4" s="40" t="s">
        <v>92</v>
      </c>
      <c r="B4" s="40" t="s">
        <v>117</v>
      </c>
      <c r="C4" s="40" t="s">
        <v>287</v>
      </c>
      <c r="D4" s="40" t="s">
        <v>288</v>
      </c>
      <c r="E4" s="40" t="s">
        <v>289</v>
      </c>
      <c r="F4" s="41">
        <v>2057.0</v>
      </c>
      <c r="G4" s="41">
        <v>8.676967E7</v>
      </c>
      <c r="H4" s="41">
        <v>4883600.0</v>
      </c>
    </row>
    <row r="5">
      <c r="A5" s="40" t="s">
        <v>92</v>
      </c>
      <c r="B5" s="40" t="s">
        <v>117</v>
      </c>
      <c r="C5" s="40" t="s">
        <v>290</v>
      </c>
      <c r="D5" s="40" t="s">
        <v>291</v>
      </c>
      <c r="E5" s="40" t="s">
        <v>292</v>
      </c>
      <c r="F5" s="41">
        <v>1842.0</v>
      </c>
      <c r="G5" s="41">
        <v>6.23228E7</v>
      </c>
      <c r="H5" s="41">
        <v>1478320.0</v>
      </c>
    </row>
    <row r="6">
      <c r="A6" s="40" t="s">
        <v>92</v>
      </c>
      <c r="B6" s="40" t="s">
        <v>174</v>
      </c>
      <c r="C6" s="40" t="s">
        <v>293</v>
      </c>
      <c r="D6" s="40" t="s">
        <v>294</v>
      </c>
      <c r="E6" s="40" t="s">
        <v>295</v>
      </c>
      <c r="F6" s="41">
        <v>2416.0</v>
      </c>
      <c r="G6" s="41">
        <v>5.334236E7</v>
      </c>
      <c r="H6" s="41">
        <v>3359880.0</v>
      </c>
    </row>
    <row r="7">
      <c r="A7" s="40" t="s">
        <v>92</v>
      </c>
      <c r="B7" s="40" t="s">
        <v>186</v>
      </c>
      <c r="C7" s="40" t="s">
        <v>281</v>
      </c>
      <c r="D7" s="40" t="s">
        <v>282</v>
      </c>
      <c r="E7" s="40" t="s">
        <v>296</v>
      </c>
      <c r="F7" s="41">
        <v>2743.0</v>
      </c>
      <c r="G7" s="41">
        <v>5.26668E7</v>
      </c>
      <c r="H7" s="41">
        <v>164960.0</v>
      </c>
    </row>
    <row r="8">
      <c r="A8" s="40" t="s">
        <v>92</v>
      </c>
      <c r="B8" s="40" t="s">
        <v>117</v>
      </c>
      <c r="C8" s="40" t="s">
        <v>290</v>
      </c>
      <c r="D8" s="40" t="s">
        <v>291</v>
      </c>
      <c r="E8" s="40" t="s">
        <v>297</v>
      </c>
      <c r="F8" s="41">
        <v>5425.0</v>
      </c>
      <c r="G8" s="41">
        <v>5.00805E7</v>
      </c>
      <c r="H8" s="41">
        <v>2364250.0</v>
      </c>
    </row>
    <row r="9">
      <c r="A9" s="40" t="s">
        <v>92</v>
      </c>
      <c r="B9" s="40" t="s">
        <v>186</v>
      </c>
      <c r="C9" s="40" t="s">
        <v>281</v>
      </c>
      <c r="D9" s="40" t="s">
        <v>282</v>
      </c>
      <c r="E9" s="40" t="s">
        <v>298</v>
      </c>
      <c r="F9" s="41">
        <v>2199.0</v>
      </c>
      <c r="G9" s="41">
        <v>4.75912E7</v>
      </c>
      <c r="H9" s="41">
        <v>251360.0</v>
      </c>
    </row>
    <row r="10">
      <c r="A10" s="40" t="s">
        <v>92</v>
      </c>
      <c r="B10" s="40" t="s">
        <v>174</v>
      </c>
      <c r="C10" s="40" t="s">
        <v>299</v>
      </c>
      <c r="D10" s="40" t="s">
        <v>300</v>
      </c>
      <c r="E10" s="40" t="s">
        <v>301</v>
      </c>
      <c r="F10" s="41">
        <v>761.0</v>
      </c>
      <c r="G10" s="41">
        <v>4.69992E7</v>
      </c>
      <c r="H10" s="41">
        <v>3566200.0</v>
      </c>
    </row>
    <row r="11">
      <c r="A11" s="40" t="s">
        <v>92</v>
      </c>
      <c r="B11" s="40" t="s">
        <v>186</v>
      </c>
      <c r="C11" s="40" t="s">
        <v>281</v>
      </c>
      <c r="D11" s="40" t="s">
        <v>282</v>
      </c>
      <c r="E11" s="40" t="s">
        <v>302</v>
      </c>
      <c r="F11" s="41">
        <v>2217.0</v>
      </c>
      <c r="G11" s="41">
        <v>4.56571E7</v>
      </c>
      <c r="H11" s="41">
        <v>191600.0</v>
      </c>
    </row>
    <row r="12">
      <c r="A12" s="40" t="s">
        <v>92</v>
      </c>
      <c r="B12" s="40" t="s">
        <v>117</v>
      </c>
      <c r="C12" s="40" t="s">
        <v>284</v>
      </c>
      <c r="D12" s="40" t="s">
        <v>285</v>
      </c>
      <c r="E12" s="40" t="s">
        <v>303</v>
      </c>
      <c r="F12" s="41">
        <v>338.0</v>
      </c>
      <c r="G12" s="41">
        <v>4.4247E7</v>
      </c>
      <c r="H12" s="41">
        <v>350000.0</v>
      </c>
    </row>
    <row r="13">
      <c r="A13" s="40" t="s">
        <v>92</v>
      </c>
      <c r="B13" s="40" t="s">
        <v>186</v>
      </c>
      <c r="C13" s="40" t="s">
        <v>304</v>
      </c>
      <c r="D13" s="40" t="s">
        <v>305</v>
      </c>
      <c r="E13" s="40" t="s">
        <v>306</v>
      </c>
      <c r="F13" s="41">
        <v>1648.0</v>
      </c>
      <c r="G13" s="41">
        <v>4.248496E7</v>
      </c>
      <c r="H13" s="41">
        <v>2608170.0</v>
      </c>
    </row>
    <row r="14">
      <c r="A14" s="40" t="s">
        <v>92</v>
      </c>
      <c r="B14" s="40" t="s">
        <v>117</v>
      </c>
      <c r="C14" s="40" t="s">
        <v>231</v>
      </c>
      <c r="D14" s="40" t="s">
        <v>230</v>
      </c>
      <c r="E14" s="40" t="s">
        <v>307</v>
      </c>
      <c r="F14" s="41">
        <v>991.0</v>
      </c>
      <c r="G14" s="41">
        <v>3.96413E7</v>
      </c>
      <c r="H14" s="41">
        <v>4488490.0</v>
      </c>
    </row>
    <row r="15">
      <c r="A15" s="40" t="s">
        <v>92</v>
      </c>
      <c r="B15" s="40" t="s">
        <v>117</v>
      </c>
      <c r="C15" s="40" t="s">
        <v>308</v>
      </c>
      <c r="D15" s="40" t="s">
        <v>309</v>
      </c>
      <c r="E15" s="40" t="s">
        <v>310</v>
      </c>
      <c r="F15" s="41">
        <v>881.0</v>
      </c>
      <c r="G15" s="41">
        <v>2.487781E7</v>
      </c>
      <c r="H15" s="41">
        <v>716960.0</v>
      </c>
    </row>
    <row r="16">
      <c r="A16" s="40" t="s">
        <v>92</v>
      </c>
      <c r="B16" s="40" t="s">
        <v>174</v>
      </c>
      <c r="C16" s="40" t="s">
        <v>311</v>
      </c>
      <c r="D16" s="40" t="s">
        <v>312</v>
      </c>
      <c r="E16" s="40" t="s">
        <v>313</v>
      </c>
      <c r="F16" s="41">
        <v>879.0</v>
      </c>
      <c r="G16" s="41">
        <v>2.40896E7</v>
      </c>
      <c r="H16" s="41">
        <v>2273230.0</v>
      </c>
    </row>
    <row r="17">
      <c r="A17" s="42" t="s">
        <v>92</v>
      </c>
      <c r="B17" s="42" t="s">
        <v>174</v>
      </c>
      <c r="C17" s="42" t="s">
        <v>311</v>
      </c>
      <c r="D17" s="42" t="s">
        <v>312</v>
      </c>
      <c r="E17" s="42" t="s">
        <v>314</v>
      </c>
      <c r="F17" s="43">
        <v>681.0</v>
      </c>
      <c r="G17" s="43">
        <v>1.93341E7</v>
      </c>
      <c r="H17" s="43">
        <v>363740.0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0" t="s">
        <v>92</v>
      </c>
      <c r="B18" s="40" t="s">
        <v>186</v>
      </c>
      <c r="C18" s="40" t="s">
        <v>227</v>
      </c>
      <c r="D18" s="40" t="s">
        <v>226</v>
      </c>
      <c r="E18" s="40" t="s">
        <v>315</v>
      </c>
      <c r="F18" s="41">
        <v>333.0</v>
      </c>
      <c r="G18" s="41">
        <v>1.55345E7</v>
      </c>
      <c r="H18" s="41">
        <v>1024620.0</v>
      </c>
    </row>
    <row r="19">
      <c r="A19" s="40" t="s">
        <v>92</v>
      </c>
      <c r="B19" s="40" t="s">
        <v>117</v>
      </c>
      <c r="C19" s="40" t="s">
        <v>316</v>
      </c>
      <c r="D19" s="40" t="s">
        <v>317</v>
      </c>
      <c r="E19" s="40" t="s">
        <v>318</v>
      </c>
      <c r="F19" s="41">
        <v>356.0</v>
      </c>
      <c r="G19" s="41">
        <v>1.527926E7</v>
      </c>
      <c r="H19" s="41">
        <v>1160980.0</v>
      </c>
    </row>
    <row r="20">
      <c r="A20" s="40" t="s">
        <v>92</v>
      </c>
      <c r="B20" s="40" t="s">
        <v>117</v>
      </c>
      <c r="C20" s="40" t="s">
        <v>319</v>
      </c>
      <c r="D20" s="40" t="s">
        <v>320</v>
      </c>
      <c r="E20" s="40" t="s">
        <v>321</v>
      </c>
      <c r="F20" s="41">
        <v>265.0</v>
      </c>
      <c r="G20" s="41">
        <v>1.158884E7</v>
      </c>
      <c r="H20" s="41">
        <v>621520.0</v>
      </c>
    </row>
    <row r="21" ht="15.75" customHeight="1">
      <c r="A21" s="40" t="s">
        <v>92</v>
      </c>
      <c r="B21" s="40" t="s">
        <v>186</v>
      </c>
      <c r="C21" s="40" t="s">
        <v>322</v>
      </c>
      <c r="D21" s="40" t="s">
        <v>323</v>
      </c>
      <c r="E21" s="40" t="s">
        <v>324</v>
      </c>
      <c r="F21" s="41">
        <v>90.0</v>
      </c>
      <c r="G21" s="41">
        <v>1.049345E7</v>
      </c>
      <c r="H21" s="41">
        <v>0.0</v>
      </c>
    </row>
    <row r="22" ht="15.75" customHeight="1">
      <c r="A22" s="40" t="s">
        <v>92</v>
      </c>
      <c r="B22" s="40" t="s">
        <v>117</v>
      </c>
      <c r="C22" s="40" t="s">
        <v>325</v>
      </c>
      <c r="D22" s="40" t="s">
        <v>326</v>
      </c>
      <c r="E22" s="40" t="s">
        <v>327</v>
      </c>
      <c r="F22" s="41">
        <v>426.0</v>
      </c>
      <c r="G22" s="41">
        <v>8812400.0</v>
      </c>
      <c r="H22" s="41">
        <v>101200.0</v>
      </c>
    </row>
    <row r="23" ht="15.75" customHeight="1">
      <c r="A23" s="40" t="s">
        <v>92</v>
      </c>
      <c r="B23" s="40" t="s">
        <v>186</v>
      </c>
      <c r="C23" s="40" t="s">
        <v>253</v>
      </c>
      <c r="D23" s="40" t="s">
        <v>252</v>
      </c>
      <c r="E23" s="40" t="s">
        <v>328</v>
      </c>
      <c r="F23" s="41">
        <v>261.0</v>
      </c>
      <c r="G23" s="41">
        <v>8275000.0</v>
      </c>
      <c r="H23" s="41">
        <v>310000.0</v>
      </c>
    </row>
    <row r="24" ht="15.75" customHeight="1">
      <c r="A24" s="40" t="s">
        <v>92</v>
      </c>
      <c r="B24" s="40" t="s">
        <v>117</v>
      </c>
      <c r="C24" s="40" t="s">
        <v>316</v>
      </c>
      <c r="D24" s="40" t="s">
        <v>317</v>
      </c>
      <c r="E24" s="40" t="s">
        <v>329</v>
      </c>
      <c r="F24" s="41">
        <v>238.0</v>
      </c>
      <c r="G24" s="41">
        <v>8152930.0</v>
      </c>
      <c r="H24" s="41">
        <v>669540.0</v>
      </c>
    </row>
    <row r="25" ht="15.75" customHeight="1">
      <c r="A25" s="40" t="s">
        <v>92</v>
      </c>
      <c r="B25" s="40" t="s">
        <v>117</v>
      </c>
      <c r="C25" s="40" t="s">
        <v>231</v>
      </c>
      <c r="D25" s="40" t="s">
        <v>230</v>
      </c>
      <c r="E25" s="40" t="s">
        <v>330</v>
      </c>
      <c r="F25" s="41">
        <v>217.0</v>
      </c>
      <c r="G25" s="41">
        <v>7669100.0</v>
      </c>
      <c r="H25" s="41">
        <v>203450.0</v>
      </c>
    </row>
    <row r="26" ht="15.75" customHeight="1">
      <c r="A26" s="40" t="s">
        <v>92</v>
      </c>
      <c r="B26" s="40" t="s">
        <v>186</v>
      </c>
      <c r="C26" s="40" t="s">
        <v>331</v>
      </c>
      <c r="D26" s="40" t="s">
        <v>332</v>
      </c>
      <c r="E26" s="40" t="s">
        <v>333</v>
      </c>
      <c r="F26" s="41">
        <v>247.0</v>
      </c>
      <c r="G26" s="41">
        <v>7443000.0</v>
      </c>
      <c r="H26" s="41">
        <v>729090.0</v>
      </c>
    </row>
    <row r="27" ht="15.75" customHeight="1">
      <c r="A27" s="40" t="s">
        <v>92</v>
      </c>
      <c r="B27" s="40" t="s">
        <v>174</v>
      </c>
      <c r="C27" s="40" t="s">
        <v>311</v>
      </c>
      <c r="D27" s="40" t="s">
        <v>312</v>
      </c>
      <c r="E27" s="40" t="s">
        <v>334</v>
      </c>
      <c r="F27" s="41">
        <v>198.0</v>
      </c>
      <c r="G27" s="41">
        <v>5924200.0</v>
      </c>
      <c r="H27" s="41">
        <v>171480.0</v>
      </c>
    </row>
    <row r="28" ht="15.75" customHeight="1">
      <c r="A28" s="40" t="s">
        <v>92</v>
      </c>
      <c r="B28" s="40" t="s">
        <v>186</v>
      </c>
      <c r="C28" s="40" t="s">
        <v>304</v>
      </c>
      <c r="D28" s="40" t="s">
        <v>305</v>
      </c>
      <c r="E28" s="40" t="s">
        <v>335</v>
      </c>
      <c r="F28" s="41">
        <v>293.0</v>
      </c>
      <c r="G28" s="41">
        <v>5887200.0</v>
      </c>
      <c r="H28" s="41">
        <v>394960.0</v>
      </c>
    </row>
    <row r="29" ht="15.75" customHeight="1">
      <c r="A29" s="40" t="s">
        <v>92</v>
      </c>
      <c r="B29" s="40" t="s">
        <v>174</v>
      </c>
      <c r="C29" s="40" t="s">
        <v>336</v>
      </c>
      <c r="D29" s="40" t="s">
        <v>337</v>
      </c>
      <c r="E29" s="40" t="s">
        <v>338</v>
      </c>
      <c r="F29" s="41">
        <v>145.0</v>
      </c>
      <c r="G29" s="41">
        <v>5408020.0</v>
      </c>
      <c r="H29" s="41">
        <v>796330.0</v>
      </c>
    </row>
    <row r="30" ht="15.75" customHeight="1">
      <c r="A30" s="40" t="s">
        <v>92</v>
      </c>
      <c r="B30" s="40" t="s">
        <v>186</v>
      </c>
      <c r="C30" s="40" t="s">
        <v>304</v>
      </c>
      <c r="D30" s="40" t="s">
        <v>305</v>
      </c>
      <c r="E30" s="40" t="s">
        <v>339</v>
      </c>
      <c r="F30" s="41">
        <v>367.0</v>
      </c>
      <c r="G30" s="41">
        <v>5219500.0</v>
      </c>
      <c r="H30" s="41">
        <v>333680.0</v>
      </c>
    </row>
    <row r="31" ht="15.75" customHeight="1">
      <c r="A31" s="40" t="s">
        <v>92</v>
      </c>
      <c r="B31" s="40" t="s">
        <v>117</v>
      </c>
      <c r="C31" s="40" t="s">
        <v>231</v>
      </c>
      <c r="D31" s="40" t="s">
        <v>230</v>
      </c>
      <c r="E31" s="40" t="s">
        <v>340</v>
      </c>
      <c r="F31" s="41">
        <v>129.0</v>
      </c>
      <c r="G31" s="41">
        <v>5105500.0</v>
      </c>
      <c r="H31" s="41">
        <v>175120.0</v>
      </c>
    </row>
    <row r="32" ht="15.75" customHeight="1">
      <c r="A32" s="40" t="s">
        <v>92</v>
      </c>
      <c r="B32" s="40" t="s">
        <v>117</v>
      </c>
      <c r="C32" s="40" t="s">
        <v>341</v>
      </c>
      <c r="D32" s="40" t="s">
        <v>342</v>
      </c>
      <c r="E32" s="40" t="s">
        <v>343</v>
      </c>
      <c r="F32" s="41">
        <v>146.0</v>
      </c>
      <c r="G32" s="41">
        <v>5099300.0</v>
      </c>
      <c r="H32" s="41">
        <v>331200.0</v>
      </c>
    </row>
    <row r="33" ht="15.75" customHeight="1">
      <c r="A33" s="40" t="s">
        <v>92</v>
      </c>
      <c r="B33" s="40" t="s">
        <v>117</v>
      </c>
      <c r="C33" s="40" t="s">
        <v>344</v>
      </c>
      <c r="D33" s="40" t="s">
        <v>345</v>
      </c>
      <c r="E33" s="40" t="s">
        <v>346</v>
      </c>
      <c r="F33" s="41">
        <v>171.0</v>
      </c>
      <c r="G33" s="41">
        <v>4380900.0</v>
      </c>
      <c r="H33" s="41">
        <v>248440.0</v>
      </c>
    </row>
    <row r="34" ht="15.75" customHeight="1">
      <c r="A34" s="40" t="s">
        <v>92</v>
      </c>
      <c r="B34" s="40" t="s">
        <v>117</v>
      </c>
      <c r="C34" s="40" t="s">
        <v>347</v>
      </c>
      <c r="D34" s="40" t="s">
        <v>348</v>
      </c>
      <c r="E34" s="40" t="s">
        <v>349</v>
      </c>
      <c r="F34" s="41">
        <v>164.0</v>
      </c>
      <c r="G34" s="41">
        <v>4300400.0</v>
      </c>
      <c r="H34" s="41">
        <v>0.0</v>
      </c>
    </row>
    <row r="35" ht="15.75" customHeight="1">
      <c r="A35" s="40" t="s">
        <v>92</v>
      </c>
      <c r="B35" s="40" t="s">
        <v>117</v>
      </c>
      <c r="C35" s="40" t="s">
        <v>350</v>
      </c>
      <c r="D35" s="40" t="s">
        <v>351</v>
      </c>
      <c r="E35" s="40" t="s">
        <v>352</v>
      </c>
      <c r="F35" s="41">
        <v>199.0</v>
      </c>
      <c r="G35" s="41">
        <v>3671410.0</v>
      </c>
      <c r="H35" s="41">
        <v>382980.0</v>
      </c>
    </row>
    <row r="36" ht="15.75" customHeight="1">
      <c r="A36" s="40" t="s">
        <v>92</v>
      </c>
      <c r="B36" s="40" t="s">
        <v>117</v>
      </c>
      <c r="C36" s="40" t="s">
        <v>284</v>
      </c>
      <c r="D36" s="40" t="s">
        <v>285</v>
      </c>
      <c r="E36" s="40" t="s">
        <v>353</v>
      </c>
      <c r="F36" s="41">
        <v>80.0</v>
      </c>
      <c r="G36" s="41">
        <v>3433500.0</v>
      </c>
      <c r="H36" s="41">
        <v>51600.0</v>
      </c>
    </row>
    <row r="37" ht="15.75" customHeight="1">
      <c r="A37" s="40" t="s">
        <v>92</v>
      </c>
      <c r="B37" s="40" t="s">
        <v>117</v>
      </c>
      <c r="C37" s="40" t="s">
        <v>354</v>
      </c>
      <c r="D37" s="40" t="s">
        <v>355</v>
      </c>
      <c r="E37" s="40" t="s">
        <v>356</v>
      </c>
      <c r="F37" s="41">
        <v>90.0</v>
      </c>
      <c r="G37" s="41">
        <v>3151400.0</v>
      </c>
      <c r="H37" s="41">
        <v>191470.0</v>
      </c>
    </row>
    <row r="38" ht="15.75" customHeight="1">
      <c r="A38" s="40" t="s">
        <v>92</v>
      </c>
      <c r="B38" s="40" t="s">
        <v>117</v>
      </c>
      <c r="C38" s="40" t="s">
        <v>147</v>
      </c>
      <c r="D38" s="40" t="s">
        <v>146</v>
      </c>
      <c r="E38" s="40" t="s">
        <v>359</v>
      </c>
      <c r="F38" s="41">
        <v>68.0</v>
      </c>
      <c r="G38" s="41">
        <v>2967200.0</v>
      </c>
      <c r="H38" s="41">
        <v>206920.0</v>
      </c>
    </row>
    <row r="39" ht="15.75" customHeight="1">
      <c r="A39" s="40" t="s">
        <v>92</v>
      </c>
      <c r="B39" s="40" t="s">
        <v>117</v>
      </c>
      <c r="C39" s="40" t="s">
        <v>360</v>
      </c>
      <c r="D39" s="40" t="s">
        <v>361</v>
      </c>
      <c r="E39" s="40" t="s">
        <v>362</v>
      </c>
      <c r="F39" s="41">
        <v>65.0</v>
      </c>
      <c r="G39" s="41">
        <v>2828000.0</v>
      </c>
      <c r="H39" s="41">
        <v>373030.0</v>
      </c>
    </row>
    <row r="40" ht="15.75" customHeight="1">
      <c r="A40" s="40" t="s">
        <v>92</v>
      </c>
      <c r="B40" s="40" t="s">
        <v>117</v>
      </c>
      <c r="C40" s="40" t="s">
        <v>363</v>
      </c>
      <c r="D40" s="40" t="s">
        <v>364</v>
      </c>
      <c r="E40" s="40" t="s">
        <v>365</v>
      </c>
      <c r="F40" s="41">
        <v>53.0</v>
      </c>
      <c r="G40" s="41">
        <v>2534500.0</v>
      </c>
      <c r="H40" s="41">
        <v>145340.0</v>
      </c>
    </row>
    <row r="41" ht="15.75" customHeight="1">
      <c r="A41" s="40" t="s">
        <v>92</v>
      </c>
      <c r="B41" s="40" t="s">
        <v>186</v>
      </c>
      <c r="C41" s="40" t="s">
        <v>366</v>
      </c>
      <c r="D41" s="40" t="s">
        <v>367</v>
      </c>
      <c r="E41" s="40" t="s">
        <v>368</v>
      </c>
      <c r="F41" s="41">
        <v>59.0</v>
      </c>
      <c r="G41" s="41">
        <v>2527000.0</v>
      </c>
      <c r="H41" s="41">
        <v>30000.0</v>
      </c>
    </row>
    <row r="42" ht="15.75" customHeight="1">
      <c r="A42" s="40" t="s">
        <v>92</v>
      </c>
      <c r="B42" s="40" t="s">
        <v>186</v>
      </c>
      <c r="C42" s="40" t="s">
        <v>360</v>
      </c>
      <c r="D42" s="40" t="s">
        <v>361</v>
      </c>
      <c r="E42" s="40" t="s">
        <v>369</v>
      </c>
      <c r="F42" s="41">
        <v>87.0</v>
      </c>
      <c r="G42" s="41">
        <v>2492000.0</v>
      </c>
      <c r="H42" s="41">
        <v>183550.0</v>
      </c>
    </row>
    <row r="43" ht="15.75" customHeight="1">
      <c r="A43" s="40" t="s">
        <v>92</v>
      </c>
      <c r="B43" s="40" t="s">
        <v>186</v>
      </c>
      <c r="C43" s="40" t="s">
        <v>322</v>
      </c>
      <c r="D43" s="40" t="s">
        <v>323</v>
      </c>
      <c r="E43" s="40" t="s">
        <v>371</v>
      </c>
      <c r="F43" s="41">
        <v>16.0</v>
      </c>
      <c r="G43" s="41">
        <v>2425000.0</v>
      </c>
      <c r="H43" s="41">
        <v>0.0</v>
      </c>
    </row>
    <row r="44" ht="15.75" customHeight="1">
      <c r="A44" s="40" t="s">
        <v>92</v>
      </c>
      <c r="B44" s="40" t="s">
        <v>174</v>
      </c>
      <c r="C44" s="40" t="s">
        <v>373</v>
      </c>
      <c r="D44" s="40" t="s">
        <v>374</v>
      </c>
      <c r="E44" s="40" t="s">
        <v>375</v>
      </c>
      <c r="F44" s="41">
        <v>104.0</v>
      </c>
      <c r="G44" s="41">
        <v>2269370.0</v>
      </c>
      <c r="H44" s="41">
        <v>394640.0</v>
      </c>
    </row>
    <row r="45" ht="15.75" customHeight="1">
      <c r="A45" s="40" t="s">
        <v>92</v>
      </c>
      <c r="B45" s="40" t="s">
        <v>186</v>
      </c>
      <c r="C45" s="40" t="s">
        <v>377</v>
      </c>
      <c r="D45" s="40" t="s">
        <v>378</v>
      </c>
      <c r="E45" s="40" t="s">
        <v>379</v>
      </c>
      <c r="F45" s="41">
        <v>79.0</v>
      </c>
      <c r="G45" s="41">
        <v>2228000.0</v>
      </c>
      <c r="H45" s="41">
        <v>193800.0</v>
      </c>
    </row>
    <row r="46" ht="15.75" customHeight="1">
      <c r="A46" s="40" t="s">
        <v>92</v>
      </c>
      <c r="B46" s="40" t="s">
        <v>186</v>
      </c>
      <c r="C46" s="40" t="s">
        <v>380</v>
      </c>
      <c r="D46" s="40" t="s">
        <v>381</v>
      </c>
      <c r="E46" s="40" t="s">
        <v>382</v>
      </c>
      <c r="F46" s="41">
        <v>39.0</v>
      </c>
      <c r="G46" s="41">
        <v>2183000.0</v>
      </c>
      <c r="H46" s="41">
        <v>84800.0</v>
      </c>
    </row>
    <row r="47" ht="15.75" customHeight="1">
      <c r="A47" s="40" t="s">
        <v>92</v>
      </c>
      <c r="B47" s="40" t="s">
        <v>186</v>
      </c>
      <c r="C47" s="40" t="s">
        <v>383</v>
      </c>
      <c r="D47" s="40" t="s">
        <v>384</v>
      </c>
      <c r="E47" s="40" t="s">
        <v>385</v>
      </c>
      <c r="F47" s="41">
        <v>80.0</v>
      </c>
      <c r="G47" s="41">
        <v>2122000.0</v>
      </c>
      <c r="H47" s="41">
        <v>175800.0</v>
      </c>
    </row>
    <row r="48" ht="15.75" customHeight="1">
      <c r="A48" s="40" t="s">
        <v>92</v>
      </c>
      <c r="B48" s="40" t="s">
        <v>174</v>
      </c>
      <c r="C48" s="40" t="s">
        <v>373</v>
      </c>
      <c r="D48" s="40" t="s">
        <v>374</v>
      </c>
      <c r="E48" s="40" t="s">
        <v>386</v>
      </c>
      <c r="F48" s="41">
        <v>65.0</v>
      </c>
      <c r="G48" s="41">
        <v>2090970.0</v>
      </c>
      <c r="H48" s="41">
        <v>174310.0</v>
      </c>
    </row>
    <row r="49" ht="15.75" customHeight="1">
      <c r="A49" s="40" t="s">
        <v>92</v>
      </c>
      <c r="B49" s="40" t="s">
        <v>186</v>
      </c>
      <c r="C49" s="40" t="s">
        <v>387</v>
      </c>
      <c r="D49" s="40" t="s">
        <v>388</v>
      </c>
      <c r="E49" s="40" t="s">
        <v>389</v>
      </c>
      <c r="F49" s="41">
        <v>39.0</v>
      </c>
      <c r="G49" s="41">
        <v>2081000.0</v>
      </c>
      <c r="H49" s="41">
        <v>224400.0</v>
      </c>
    </row>
    <row r="50" ht="15.75" customHeight="1">
      <c r="A50" s="40" t="s">
        <v>92</v>
      </c>
      <c r="B50" s="40" t="s">
        <v>117</v>
      </c>
      <c r="C50" s="40" t="s">
        <v>390</v>
      </c>
      <c r="D50" s="40" t="s">
        <v>391</v>
      </c>
      <c r="E50" s="40" t="s">
        <v>392</v>
      </c>
      <c r="F50" s="41">
        <v>110.0</v>
      </c>
      <c r="G50" s="41">
        <v>2074590.0</v>
      </c>
      <c r="H50" s="41">
        <v>88920.0</v>
      </c>
    </row>
    <row r="51" ht="15.75" customHeight="1">
      <c r="A51" s="40" t="s">
        <v>92</v>
      </c>
      <c r="B51" s="40" t="s">
        <v>174</v>
      </c>
      <c r="C51" s="40" t="s">
        <v>311</v>
      </c>
      <c r="D51" s="40" t="s">
        <v>312</v>
      </c>
      <c r="E51" s="40" t="s">
        <v>394</v>
      </c>
      <c r="F51" s="41">
        <v>154.0</v>
      </c>
      <c r="G51" s="41">
        <v>2060300.0</v>
      </c>
      <c r="H51" s="41">
        <v>116740.0</v>
      </c>
    </row>
    <row r="52" ht="15.75" customHeight="1">
      <c r="A52" s="40" t="s">
        <v>92</v>
      </c>
      <c r="B52" s="40" t="s">
        <v>117</v>
      </c>
      <c r="C52" s="40" t="s">
        <v>395</v>
      </c>
      <c r="D52" s="40" t="s">
        <v>396</v>
      </c>
      <c r="E52" s="40" t="s">
        <v>397</v>
      </c>
      <c r="F52" s="41">
        <v>66.0</v>
      </c>
      <c r="G52" s="41">
        <v>2028200.0</v>
      </c>
      <c r="H52" s="41">
        <v>16940.0</v>
      </c>
    </row>
    <row r="53" ht="15.75" customHeight="1">
      <c r="A53" s="40" t="s">
        <v>92</v>
      </c>
      <c r="B53" s="40" t="s">
        <v>117</v>
      </c>
      <c r="C53" s="40" t="s">
        <v>398</v>
      </c>
      <c r="D53" s="40" t="s">
        <v>399</v>
      </c>
      <c r="E53" s="40" t="s">
        <v>400</v>
      </c>
      <c r="F53" s="41">
        <v>26.0</v>
      </c>
      <c r="G53" s="41">
        <v>1969100.0</v>
      </c>
      <c r="H53" s="41">
        <v>80000.0</v>
      </c>
    </row>
    <row r="54" ht="15.75" customHeight="1">
      <c r="A54" s="40" t="s">
        <v>92</v>
      </c>
      <c r="B54" s="40" t="s">
        <v>186</v>
      </c>
      <c r="C54" s="40" t="s">
        <v>401</v>
      </c>
      <c r="D54" s="40" t="s">
        <v>402</v>
      </c>
      <c r="E54" s="40" t="s">
        <v>403</v>
      </c>
      <c r="F54" s="41">
        <v>71.0</v>
      </c>
      <c r="G54" s="41">
        <v>1911240.0</v>
      </c>
      <c r="H54" s="41">
        <v>49220.0</v>
      </c>
    </row>
    <row r="55" ht="15.75" customHeight="1">
      <c r="A55" s="40" t="s">
        <v>92</v>
      </c>
      <c r="B55" s="40" t="s">
        <v>117</v>
      </c>
      <c r="C55" s="40" t="s">
        <v>347</v>
      </c>
      <c r="D55" s="40" t="s">
        <v>348</v>
      </c>
      <c r="E55" s="40" t="s">
        <v>404</v>
      </c>
      <c r="F55" s="41">
        <v>74.0</v>
      </c>
      <c r="G55" s="41">
        <v>1901600.0</v>
      </c>
      <c r="H55" s="41">
        <v>116480.0</v>
      </c>
    </row>
    <row r="56" ht="15.75" customHeight="1">
      <c r="A56" s="40" t="s">
        <v>92</v>
      </c>
      <c r="B56" s="40" t="s">
        <v>174</v>
      </c>
      <c r="C56" s="40" t="s">
        <v>293</v>
      </c>
      <c r="D56" s="40" t="s">
        <v>294</v>
      </c>
      <c r="E56" s="40" t="s">
        <v>405</v>
      </c>
      <c r="F56" s="41">
        <v>96.0</v>
      </c>
      <c r="G56" s="41">
        <v>1874050.0</v>
      </c>
      <c r="H56" s="41">
        <v>96660.0</v>
      </c>
    </row>
    <row r="57" ht="15.75" customHeight="1">
      <c r="A57" s="40" t="s">
        <v>92</v>
      </c>
      <c r="B57" s="40" t="s">
        <v>117</v>
      </c>
      <c r="C57" s="40" t="s">
        <v>406</v>
      </c>
      <c r="D57" s="40" t="s">
        <v>407</v>
      </c>
      <c r="E57" s="40" t="s">
        <v>408</v>
      </c>
      <c r="F57" s="41">
        <v>51.0</v>
      </c>
      <c r="G57" s="41">
        <v>1826300.0</v>
      </c>
      <c r="H57" s="41">
        <v>36180.0</v>
      </c>
    </row>
    <row r="58" ht="15.75" customHeight="1">
      <c r="A58" s="40" t="s">
        <v>92</v>
      </c>
      <c r="B58" s="40" t="s">
        <v>186</v>
      </c>
      <c r="C58" s="40" t="s">
        <v>409</v>
      </c>
      <c r="D58" s="40" t="s">
        <v>410</v>
      </c>
      <c r="E58" s="40" t="s">
        <v>411</v>
      </c>
      <c r="F58" s="41">
        <v>52.0</v>
      </c>
      <c r="G58" s="41">
        <v>1806000.0</v>
      </c>
      <c r="H58" s="41">
        <v>204000.0</v>
      </c>
    </row>
    <row r="59" ht="15.75" customHeight="1">
      <c r="A59" s="40" t="s">
        <v>92</v>
      </c>
      <c r="B59" s="40" t="s">
        <v>186</v>
      </c>
      <c r="C59" s="40" t="s">
        <v>304</v>
      </c>
      <c r="D59" s="40" t="s">
        <v>305</v>
      </c>
      <c r="E59" s="40" t="s">
        <v>412</v>
      </c>
      <c r="F59" s="41">
        <v>138.0</v>
      </c>
      <c r="G59" s="41">
        <v>1752100.0</v>
      </c>
      <c r="H59" s="41">
        <v>96430.0</v>
      </c>
    </row>
    <row r="60" ht="15.75" customHeight="1">
      <c r="A60" s="40" t="s">
        <v>92</v>
      </c>
      <c r="B60" s="40" t="s">
        <v>186</v>
      </c>
      <c r="C60" s="40" t="s">
        <v>413</v>
      </c>
      <c r="D60" s="40" t="s">
        <v>414</v>
      </c>
      <c r="E60" s="40" t="s">
        <v>415</v>
      </c>
      <c r="F60" s="41">
        <v>51.0</v>
      </c>
      <c r="G60" s="41">
        <v>1711410.0</v>
      </c>
      <c r="H60" s="41">
        <v>72680.0</v>
      </c>
    </row>
    <row r="61" ht="15.75" customHeight="1">
      <c r="A61" s="40" t="s">
        <v>92</v>
      </c>
      <c r="B61" s="40" t="s">
        <v>117</v>
      </c>
      <c r="C61" s="40" t="s">
        <v>416</v>
      </c>
      <c r="D61" s="40" t="s">
        <v>417</v>
      </c>
      <c r="E61" s="40" t="s">
        <v>418</v>
      </c>
      <c r="F61" s="41">
        <v>47.0</v>
      </c>
      <c r="G61" s="41">
        <v>1704600.0</v>
      </c>
      <c r="H61" s="41">
        <v>80240.0</v>
      </c>
    </row>
    <row r="62" ht="15.75" customHeight="1">
      <c r="A62" s="40" t="s">
        <v>92</v>
      </c>
      <c r="B62" s="40" t="s">
        <v>174</v>
      </c>
      <c r="C62" s="40" t="s">
        <v>311</v>
      </c>
      <c r="D62" s="40" t="s">
        <v>312</v>
      </c>
      <c r="E62" s="40" t="s">
        <v>419</v>
      </c>
      <c r="F62" s="41">
        <v>94.0</v>
      </c>
      <c r="G62" s="41">
        <v>1687100.0</v>
      </c>
      <c r="H62" s="41">
        <v>114470.0</v>
      </c>
    </row>
    <row r="63" ht="15.75" customHeight="1">
      <c r="A63" s="40" t="s">
        <v>92</v>
      </c>
      <c r="B63" s="40" t="s">
        <v>117</v>
      </c>
      <c r="C63" s="40" t="s">
        <v>420</v>
      </c>
      <c r="D63" s="40" t="s">
        <v>421</v>
      </c>
      <c r="E63" s="40" t="s">
        <v>422</v>
      </c>
      <c r="F63" s="41">
        <v>48.0</v>
      </c>
      <c r="G63" s="41">
        <v>1673000.0</v>
      </c>
      <c r="H63" s="41">
        <v>82000.0</v>
      </c>
    </row>
    <row r="64" ht="15.75" customHeight="1">
      <c r="A64" s="40" t="s">
        <v>92</v>
      </c>
      <c r="B64" s="40" t="s">
        <v>186</v>
      </c>
      <c r="C64" s="40" t="s">
        <v>253</v>
      </c>
      <c r="D64" s="40" t="s">
        <v>252</v>
      </c>
      <c r="E64" s="40" t="s">
        <v>423</v>
      </c>
      <c r="F64" s="41">
        <v>8.0</v>
      </c>
      <c r="G64" s="41">
        <v>1656000.0</v>
      </c>
      <c r="H64" s="41">
        <v>10000.0</v>
      </c>
    </row>
    <row r="65" ht="15.75" customHeight="1">
      <c r="A65" s="40" t="s">
        <v>92</v>
      </c>
      <c r="B65" s="40" t="s">
        <v>186</v>
      </c>
      <c r="C65" s="40" t="s">
        <v>304</v>
      </c>
      <c r="D65" s="40" t="s">
        <v>305</v>
      </c>
      <c r="E65" s="40" t="s">
        <v>424</v>
      </c>
      <c r="F65" s="41">
        <v>133.0</v>
      </c>
      <c r="G65" s="41">
        <v>1604300.0</v>
      </c>
      <c r="H65" s="41">
        <v>65960.0</v>
      </c>
    </row>
    <row r="66" ht="15.75" customHeight="1">
      <c r="A66" s="40" t="s">
        <v>92</v>
      </c>
      <c r="B66" s="40" t="s">
        <v>117</v>
      </c>
      <c r="C66" s="40" t="s">
        <v>325</v>
      </c>
      <c r="D66" s="40" t="s">
        <v>326</v>
      </c>
      <c r="E66" s="40" t="s">
        <v>425</v>
      </c>
      <c r="F66" s="41">
        <v>144.0</v>
      </c>
      <c r="G66" s="41">
        <v>1586600.0</v>
      </c>
      <c r="H66" s="41">
        <v>30050.0</v>
      </c>
    </row>
    <row r="67" ht="15.75" customHeight="1">
      <c r="A67" s="40" t="s">
        <v>92</v>
      </c>
      <c r="B67" s="40" t="s">
        <v>174</v>
      </c>
      <c r="C67" s="40" t="s">
        <v>426</v>
      </c>
      <c r="D67" s="40" t="s">
        <v>427</v>
      </c>
      <c r="E67" s="40" t="s">
        <v>428</v>
      </c>
      <c r="F67" s="41">
        <v>46.0</v>
      </c>
      <c r="G67" s="41">
        <v>1556900.0</v>
      </c>
      <c r="H67" s="41">
        <v>81520.0</v>
      </c>
    </row>
    <row r="68" ht="15.75" customHeight="1">
      <c r="A68" s="40" t="s">
        <v>92</v>
      </c>
      <c r="B68" s="40" t="s">
        <v>186</v>
      </c>
      <c r="C68" s="40" t="s">
        <v>366</v>
      </c>
      <c r="D68" s="40" t="s">
        <v>367</v>
      </c>
      <c r="E68" s="40" t="s">
        <v>429</v>
      </c>
      <c r="F68" s="41">
        <v>50.0</v>
      </c>
      <c r="G68" s="41">
        <v>1522000.0</v>
      </c>
      <c r="H68" s="41">
        <v>21400.0</v>
      </c>
    </row>
    <row r="69" ht="15.75" customHeight="1">
      <c r="A69" s="40" t="s">
        <v>92</v>
      </c>
      <c r="B69" s="40" t="s">
        <v>117</v>
      </c>
      <c r="C69" s="40" t="s">
        <v>430</v>
      </c>
      <c r="D69" s="40" t="s">
        <v>431</v>
      </c>
      <c r="E69" s="40" t="s">
        <v>432</v>
      </c>
      <c r="F69" s="41">
        <v>53.0</v>
      </c>
      <c r="G69" s="41">
        <v>1450100.0</v>
      </c>
      <c r="H69" s="41">
        <v>144400.0</v>
      </c>
    </row>
    <row r="70" ht="15.75" customHeight="1">
      <c r="A70" s="40" t="s">
        <v>92</v>
      </c>
      <c r="B70" s="40" t="s">
        <v>186</v>
      </c>
      <c r="C70" s="40" t="s">
        <v>433</v>
      </c>
      <c r="D70" s="40" t="s">
        <v>434</v>
      </c>
      <c r="E70" s="40" t="s">
        <v>435</v>
      </c>
      <c r="F70" s="41">
        <v>51.0</v>
      </c>
      <c r="G70" s="41">
        <v>1407100.0</v>
      </c>
      <c r="H70" s="41">
        <v>0.0</v>
      </c>
    </row>
    <row r="71" ht="15.75" customHeight="1">
      <c r="A71" s="40" t="s">
        <v>92</v>
      </c>
      <c r="B71" s="40" t="s">
        <v>117</v>
      </c>
      <c r="C71" s="40" t="s">
        <v>401</v>
      </c>
      <c r="D71" s="40" t="s">
        <v>402</v>
      </c>
      <c r="E71" s="40" t="s">
        <v>436</v>
      </c>
      <c r="F71" s="41">
        <v>93.0</v>
      </c>
      <c r="G71" s="41">
        <v>1406900.0</v>
      </c>
      <c r="H71" s="41">
        <v>214060.0</v>
      </c>
    </row>
    <row r="72" ht="15.75" customHeight="1">
      <c r="A72" s="40" t="s">
        <v>92</v>
      </c>
      <c r="B72" s="40" t="s">
        <v>117</v>
      </c>
      <c r="C72" s="40" t="s">
        <v>437</v>
      </c>
      <c r="D72" s="40" t="s">
        <v>438</v>
      </c>
      <c r="E72" s="40" t="s">
        <v>440</v>
      </c>
      <c r="F72" s="41">
        <v>35.0</v>
      </c>
      <c r="G72" s="41">
        <v>1393000.0</v>
      </c>
      <c r="H72" s="41">
        <v>94720.0</v>
      </c>
    </row>
    <row r="73" ht="15.75" customHeight="1">
      <c r="A73" s="40" t="s">
        <v>92</v>
      </c>
      <c r="B73" s="40" t="s">
        <v>117</v>
      </c>
      <c r="C73" s="40" t="s">
        <v>442</v>
      </c>
      <c r="D73" s="40" t="s">
        <v>443</v>
      </c>
      <c r="E73" s="40" t="s">
        <v>444</v>
      </c>
      <c r="F73" s="41">
        <v>55.0</v>
      </c>
      <c r="G73" s="41">
        <v>1348000.0</v>
      </c>
      <c r="H73" s="41">
        <v>46770.0</v>
      </c>
    </row>
    <row r="74" ht="15.75" customHeight="1">
      <c r="A74" s="40" t="s">
        <v>92</v>
      </c>
      <c r="B74" s="40" t="s">
        <v>117</v>
      </c>
      <c r="C74" s="40" t="s">
        <v>347</v>
      </c>
      <c r="D74" s="40" t="s">
        <v>348</v>
      </c>
      <c r="E74" s="40" t="s">
        <v>445</v>
      </c>
      <c r="F74" s="41">
        <v>45.0</v>
      </c>
      <c r="G74" s="41">
        <v>1330700.0</v>
      </c>
      <c r="H74" s="41">
        <v>0.0</v>
      </c>
    </row>
    <row r="75" ht="15.75" customHeight="1">
      <c r="A75" s="40" t="s">
        <v>92</v>
      </c>
      <c r="B75" s="40" t="s">
        <v>117</v>
      </c>
      <c r="C75" s="40" t="s">
        <v>446</v>
      </c>
      <c r="D75" s="40" t="s">
        <v>447</v>
      </c>
      <c r="E75" s="40" t="s">
        <v>448</v>
      </c>
      <c r="F75" s="41">
        <v>66.0</v>
      </c>
      <c r="G75" s="41">
        <v>1297570.0</v>
      </c>
      <c r="H75" s="41">
        <v>252920.0</v>
      </c>
    </row>
    <row r="76" ht="15.75" customHeight="1">
      <c r="A76" s="40" t="s">
        <v>92</v>
      </c>
      <c r="B76" s="40" t="s">
        <v>117</v>
      </c>
      <c r="C76" s="40" t="s">
        <v>390</v>
      </c>
      <c r="D76" s="40" t="s">
        <v>391</v>
      </c>
      <c r="E76" s="40" t="s">
        <v>449</v>
      </c>
      <c r="F76" s="41">
        <v>62.0</v>
      </c>
      <c r="G76" s="41">
        <v>1239820.0</v>
      </c>
      <c r="H76" s="41">
        <v>23760.0</v>
      </c>
    </row>
    <row r="77" ht="15.75" customHeight="1">
      <c r="A77" s="40" t="s">
        <v>92</v>
      </c>
      <c r="B77" s="40" t="s">
        <v>117</v>
      </c>
      <c r="C77" s="40" t="s">
        <v>398</v>
      </c>
      <c r="D77" s="40" t="s">
        <v>399</v>
      </c>
      <c r="E77" s="40" t="s">
        <v>450</v>
      </c>
      <c r="F77" s="41">
        <v>33.0</v>
      </c>
      <c r="G77" s="41">
        <v>1238400.0</v>
      </c>
      <c r="H77" s="41">
        <v>136030.0</v>
      </c>
    </row>
    <row r="78" ht="15.75" customHeight="1">
      <c r="A78" s="40" t="s">
        <v>92</v>
      </c>
      <c r="B78" s="40" t="s">
        <v>186</v>
      </c>
      <c r="C78" s="40" t="s">
        <v>380</v>
      </c>
      <c r="D78" s="40" t="s">
        <v>381</v>
      </c>
      <c r="E78" s="40" t="s">
        <v>451</v>
      </c>
      <c r="F78" s="41">
        <v>37.0</v>
      </c>
      <c r="G78" s="41">
        <v>1210000.0</v>
      </c>
      <c r="H78" s="41">
        <v>35200.0</v>
      </c>
    </row>
    <row r="79" ht="15.75" customHeight="1">
      <c r="A79" s="40" t="s">
        <v>92</v>
      </c>
      <c r="B79" s="40" t="s">
        <v>117</v>
      </c>
      <c r="C79" s="40" t="s">
        <v>452</v>
      </c>
      <c r="D79" s="40" t="s">
        <v>453</v>
      </c>
      <c r="E79" s="40" t="s">
        <v>454</v>
      </c>
      <c r="F79" s="41">
        <v>21.0</v>
      </c>
      <c r="G79" s="41">
        <v>1209800.0</v>
      </c>
      <c r="H79" s="41">
        <v>0.0</v>
      </c>
    </row>
    <row r="80" ht="15.75" customHeight="1">
      <c r="A80" s="40" t="s">
        <v>92</v>
      </c>
      <c r="B80" s="40" t="s">
        <v>117</v>
      </c>
      <c r="C80" s="40" t="s">
        <v>231</v>
      </c>
      <c r="D80" s="40" t="s">
        <v>230</v>
      </c>
      <c r="E80" s="40" t="s">
        <v>455</v>
      </c>
      <c r="F80" s="41">
        <v>19.0</v>
      </c>
      <c r="G80" s="41">
        <v>1201000.0</v>
      </c>
      <c r="H80" s="41">
        <v>16400.0</v>
      </c>
    </row>
    <row r="81" ht="15.75" customHeight="1">
      <c r="A81" s="40" t="s">
        <v>92</v>
      </c>
      <c r="B81" s="40" t="s">
        <v>117</v>
      </c>
      <c r="C81" s="40" t="s">
        <v>406</v>
      </c>
      <c r="D81" s="40" t="s">
        <v>407</v>
      </c>
      <c r="E81" s="40" t="s">
        <v>456</v>
      </c>
      <c r="F81" s="41">
        <v>19.0</v>
      </c>
      <c r="G81" s="41">
        <v>1178600.0</v>
      </c>
      <c r="H81" s="41">
        <v>68560.0</v>
      </c>
    </row>
    <row r="82" ht="15.75" customHeight="1">
      <c r="A82" s="40" t="s">
        <v>92</v>
      </c>
      <c r="B82" s="40" t="s">
        <v>186</v>
      </c>
      <c r="C82" s="40" t="s">
        <v>253</v>
      </c>
      <c r="D82" s="40" t="s">
        <v>252</v>
      </c>
      <c r="E82" s="40" t="s">
        <v>457</v>
      </c>
      <c r="F82" s="41">
        <v>12.0</v>
      </c>
      <c r="G82" s="41">
        <v>1152000.0</v>
      </c>
      <c r="H82" s="41">
        <v>40000.0</v>
      </c>
    </row>
    <row r="83" ht="15.75" customHeight="1">
      <c r="A83" s="40" t="s">
        <v>92</v>
      </c>
      <c r="B83" s="46" t="s">
        <v>186</v>
      </c>
      <c r="C83" s="40" t="s">
        <v>458</v>
      </c>
      <c r="D83" s="40" t="s">
        <v>459</v>
      </c>
      <c r="E83" s="40" t="s">
        <v>460</v>
      </c>
      <c r="F83" s="41">
        <v>62.0</v>
      </c>
      <c r="G83" s="41">
        <v>1143000.0</v>
      </c>
      <c r="H83" s="41">
        <v>40800.0</v>
      </c>
    </row>
    <row r="84" ht="15.75" customHeight="1">
      <c r="A84" s="40" t="s">
        <v>92</v>
      </c>
      <c r="B84" s="40" t="s">
        <v>117</v>
      </c>
      <c r="C84" s="40" t="s">
        <v>401</v>
      </c>
      <c r="D84" s="40" t="s">
        <v>402</v>
      </c>
      <c r="E84" s="40" t="s">
        <v>461</v>
      </c>
      <c r="F84" s="41">
        <v>20.0</v>
      </c>
      <c r="G84" s="41">
        <v>1099620.0</v>
      </c>
      <c r="H84" s="41">
        <v>54840.0</v>
      </c>
    </row>
    <row r="85" ht="15.75" customHeight="1">
      <c r="A85" s="40" t="s">
        <v>92</v>
      </c>
      <c r="B85" s="40" t="s">
        <v>186</v>
      </c>
      <c r="C85" s="40" t="s">
        <v>304</v>
      </c>
      <c r="D85" s="40" t="s">
        <v>305</v>
      </c>
      <c r="E85" s="40" t="s">
        <v>462</v>
      </c>
      <c r="F85" s="41">
        <v>86.0</v>
      </c>
      <c r="G85" s="41">
        <v>1071850.0</v>
      </c>
      <c r="H85" s="41">
        <v>44800.0</v>
      </c>
    </row>
    <row r="86" ht="15.75" customHeight="1">
      <c r="A86" s="40" t="s">
        <v>92</v>
      </c>
      <c r="B86" s="40" t="s">
        <v>186</v>
      </c>
      <c r="C86" s="40" t="s">
        <v>331</v>
      </c>
      <c r="D86" s="40" t="s">
        <v>332</v>
      </c>
      <c r="E86" s="40" t="s">
        <v>463</v>
      </c>
      <c r="F86" s="41">
        <v>76.0</v>
      </c>
      <c r="G86" s="41">
        <v>1038000.0</v>
      </c>
      <c r="H86" s="41">
        <v>27000.0</v>
      </c>
    </row>
    <row r="87" ht="15.75" customHeight="1">
      <c r="A87" s="40" t="s">
        <v>92</v>
      </c>
      <c r="B87" s="40" t="s">
        <v>117</v>
      </c>
      <c r="C87" s="40" t="s">
        <v>107</v>
      </c>
      <c r="D87" s="40" t="s">
        <v>106</v>
      </c>
      <c r="E87" s="40" t="s">
        <v>464</v>
      </c>
      <c r="F87" s="41">
        <v>40.0</v>
      </c>
      <c r="G87" s="41">
        <v>1031000.0</v>
      </c>
      <c r="H87" s="41">
        <v>43900.0</v>
      </c>
    </row>
    <row r="88" ht="15.75" customHeight="1">
      <c r="A88" s="40" t="s">
        <v>92</v>
      </c>
      <c r="B88" s="40" t="s">
        <v>186</v>
      </c>
      <c r="C88" s="40" t="s">
        <v>413</v>
      </c>
      <c r="D88" s="40" t="s">
        <v>414</v>
      </c>
      <c r="E88" s="40" t="s">
        <v>465</v>
      </c>
      <c r="F88" s="41">
        <v>60.0</v>
      </c>
      <c r="G88" s="41">
        <v>1023000.0</v>
      </c>
      <c r="H88" s="41">
        <v>29560.0</v>
      </c>
    </row>
    <row r="89" ht="15.75" customHeight="1">
      <c r="A89" s="40" t="s">
        <v>92</v>
      </c>
      <c r="B89" s="40" t="s">
        <v>117</v>
      </c>
      <c r="C89" s="40" t="s">
        <v>231</v>
      </c>
      <c r="D89" s="40" t="s">
        <v>230</v>
      </c>
      <c r="E89" s="40" t="s">
        <v>466</v>
      </c>
      <c r="F89" s="41">
        <v>55.0</v>
      </c>
      <c r="G89" s="41">
        <v>1014100.0</v>
      </c>
      <c r="H89" s="41">
        <v>27680.0</v>
      </c>
    </row>
    <row r="90" ht="15.75" customHeight="1">
      <c r="A90" s="40" t="s">
        <v>92</v>
      </c>
      <c r="B90" s="40" t="s">
        <v>117</v>
      </c>
      <c r="C90" s="40" t="s">
        <v>467</v>
      </c>
      <c r="D90" s="40" t="s">
        <v>468</v>
      </c>
      <c r="E90" s="40" t="s">
        <v>469</v>
      </c>
      <c r="F90" s="41">
        <v>107.0</v>
      </c>
      <c r="G90" s="41">
        <v>944800.0</v>
      </c>
      <c r="H90" s="41">
        <v>26000.0</v>
      </c>
    </row>
    <row r="91" ht="15.75" customHeight="1">
      <c r="A91" s="40" t="s">
        <v>92</v>
      </c>
      <c r="B91" s="40" t="s">
        <v>117</v>
      </c>
      <c r="C91" s="40" t="s">
        <v>452</v>
      </c>
      <c r="D91" s="40" t="s">
        <v>453</v>
      </c>
      <c r="E91" s="40" t="s">
        <v>470</v>
      </c>
      <c r="F91" s="41">
        <v>16.0</v>
      </c>
      <c r="G91" s="41">
        <v>940300.0</v>
      </c>
      <c r="H91" s="41">
        <v>110000.0</v>
      </c>
    </row>
    <row r="92" ht="15.75" customHeight="1">
      <c r="A92" s="40" t="s">
        <v>92</v>
      </c>
      <c r="B92" s="40" t="s">
        <v>186</v>
      </c>
      <c r="C92" s="40" t="s">
        <v>331</v>
      </c>
      <c r="D92" s="40" t="s">
        <v>332</v>
      </c>
      <c r="E92" s="40" t="s">
        <v>471</v>
      </c>
      <c r="F92" s="41">
        <v>79.0</v>
      </c>
      <c r="G92" s="41">
        <v>927500.0</v>
      </c>
      <c r="H92" s="41">
        <v>9900.0</v>
      </c>
    </row>
    <row r="93" ht="15.75" customHeight="1">
      <c r="A93" s="40" t="s">
        <v>92</v>
      </c>
      <c r="B93" s="40" t="s">
        <v>174</v>
      </c>
      <c r="C93" s="40" t="s">
        <v>293</v>
      </c>
      <c r="D93" s="40" t="s">
        <v>294</v>
      </c>
      <c r="E93" s="40" t="s">
        <v>472</v>
      </c>
      <c r="F93" s="41">
        <v>65.0</v>
      </c>
      <c r="G93" s="41">
        <v>927300.0</v>
      </c>
      <c r="H93" s="41">
        <v>16720.0</v>
      </c>
    </row>
    <row r="94" ht="15.75" customHeight="1">
      <c r="A94" s="40" t="s">
        <v>92</v>
      </c>
      <c r="B94" s="46" t="s">
        <v>186</v>
      </c>
      <c r="C94" s="40" t="s">
        <v>458</v>
      </c>
      <c r="D94" s="40" t="s">
        <v>459</v>
      </c>
      <c r="E94" s="40" t="s">
        <v>473</v>
      </c>
      <c r="F94" s="41">
        <v>22.0</v>
      </c>
      <c r="G94" s="41">
        <v>900500.0</v>
      </c>
      <c r="H94" s="41">
        <v>44800.0</v>
      </c>
    </row>
    <row r="95" ht="15.75" customHeight="1">
      <c r="A95" s="40" t="s">
        <v>92</v>
      </c>
      <c r="B95" s="40" t="s">
        <v>186</v>
      </c>
      <c r="C95" s="40" t="s">
        <v>322</v>
      </c>
      <c r="D95" s="40" t="s">
        <v>323</v>
      </c>
      <c r="E95" s="40" t="s">
        <v>474</v>
      </c>
      <c r="F95" s="41">
        <v>17.0</v>
      </c>
      <c r="G95" s="41">
        <v>894140.0</v>
      </c>
      <c r="H95" s="41">
        <v>0.0</v>
      </c>
    </row>
    <row r="96" ht="15.75" customHeight="1">
      <c r="A96" s="40" t="s">
        <v>92</v>
      </c>
      <c r="B96" s="40" t="s">
        <v>117</v>
      </c>
      <c r="C96" s="40" t="s">
        <v>475</v>
      </c>
      <c r="D96" s="40" t="s">
        <v>476</v>
      </c>
      <c r="E96" s="40" t="s">
        <v>477</v>
      </c>
      <c r="F96" s="41">
        <v>50.0</v>
      </c>
      <c r="G96" s="41">
        <v>886340.0</v>
      </c>
      <c r="H96" s="41">
        <v>30780.0</v>
      </c>
    </row>
    <row r="97" ht="15.75" customHeight="1">
      <c r="A97" s="40" t="s">
        <v>92</v>
      </c>
      <c r="B97" s="40" t="s">
        <v>174</v>
      </c>
      <c r="C97" s="40" t="s">
        <v>293</v>
      </c>
      <c r="D97" s="40" t="s">
        <v>294</v>
      </c>
      <c r="E97" s="40" t="s">
        <v>478</v>
      </c>
      <c r="F97" s="41">
        <v>32.0</v>
      </c>
      <c r="G97" s="41">
        <v>875300.0</v>
      </c>
      <c r="H97" s="41">
        <v>98710.0</v>
      </c>
    </row>
    <row r="98" ht="15.75" customHeight="1">
      <c r="A98" s="40" t="s">
        <v>92</v>
      </c>
      <c r="B98" s="40" t="s">
        <v>117</v>
      </c>
      <c r="C98" s="40" t="s">
        <v>341</v>
      </c>
      <c r="D98" s="40" t="s">
        <v>342</v>
      </c>
      <c r="E98" s="40" t="s">
        <v>479</v>
      </c>
      <c r="F98" s="41">
        <v>17.0</v>
      </c>
      <c r="G98" s="41">
        <v>859000.0</v>
      </c>
      <c r="H98" s="41">
        <v>103000.0</v>
      </c>
    </row>
    <row r="99" ht="15.75" customHeight="1">
      <c r="A99" s="40" t="s">
        <v>92</v>
      </c>
      <c r="B99" s="40" t="s">
        <v>117</v>
      </c>
      <c r="C99" s="40" t="s">
        <v>480</v>
      </c>
      <c r="D99" s="40" t="s">
        <v>481</v>
      </c>
      <c r="E99" s="40" t="s">
        <v>482</v>
      </c>
      <c r="F99" s="41">
        <v>17.0</v>
      </c>
      <c r="G99" s="41">
        <v>835000.0</v>
      </c>
      <c r="H99" s="41">
        <v>65000.0</v>
      </c>
    </row>
    <row r="100" ht="15.75" customHeight="1">
      <c r="A100" s="40" t="s">
        <v>92</v>
      </c>
      <c r="B100" s="40" t="s">
        <v>117</v>
      </c>
      <c r="C100" s="40" t="s">
        <v>480</v>
      </c>
      <c r="D100" s="40" t="s">
        <v>481</v>
      </c>
      <c r="E100" s="40" t="s">
        <v>483</v>
      </c>
      <c r="F100" s="41">
        <v>48.0</v>
      </c>
      <c r="G100" s="41">
        <v>834000.0</v>
      </c>
      <c r="H100" s="41">
        <v>53200.0</v>
      </c>
    </row>
    <row r="101" ht="15.75" customHeight="1">
      <c r="A101" s="40" t="s">
        <v>92</v>
      </c>
      <c r="B101" s="40" t="s">
        <v>117</v>
      </c>
      <c r="C101" s="40" t="s">
        <v>452</v>
      </c>
      <c r="D101" s="40" t="s">
        <v>453</v>
      </c>
      <c r="E101" s="40" t="s">
        <v>484</v>
      </c>
      <c r="F101" s="41">
        <v>13.0</v>
      </c>
      <c r="G101" s="41">
        <v>830500.0</v>
      </c>
      <c r="H101" s="41">
        <v>80000.0</v>
      </c>
    </row>
    <row r="102" ht="15.75" customHeight="1">
      <c r="A102" s="40" t="s">
        <v>92</v>
      </c>
      <c r="B102" s="40" t="s">
        <v>186</v>
      </c>
      <c r="C102" s="40" t="s">
        <v>485</v>
      </c>
      <c r="D102" s="40" t="s">
        <v>486</v>
      </c>
      <c r="E102" s="40" t="s">
        <v>487</v>
      </c>
      <c r="F102" s="41">
        <v>23.0</v>
      </c>
      <c r="G102" s="41">
        <v>826500.0</v>
      </c>
      <c r="H102" s="41">
        <v>115800.0</v>
      </c>
    </row>
    <row r="103" ht="15.75" customHeight="1">
      <c r="A103" s="40" t="s">
        <v>92</v>
      </c>
      <c r="B103" s="40" t="s">
        <v>186</v>
      </c>
      <c r="C103" s="40" t="s">
        <v>488</v>
      </c>
      <c r="D103" s="40" t="s">
        <v>489</v>
      </c>
      <c r="E103" s="40" t="s">
        <v>490</v>
      </c>
      <c r="F103" s="41">
        <v>38.0</v>
      </c>
      <c r="G103" s="41">
        <v>792000.0</v>
      </c>
      <c r="H103" s="41">
        <v>14600.0</v>
      </c>
    </row>
    <row r="104" ht="15.75" customHeight="1">
      <c r="A104" s="40" t="s">
        <v>92</v>
      </c>
      <c r="B104" s="46" t="s">
        <v>186</v>
      </c>
      <c r="C104" s="40" t="s">
        <v>458</v>
      </c>
      <c r="D104" s="40" t="s">
        <v>459</v>
      </c>
      <c r="E104" s="40" t="s">
        <v>491</v>
      </c>
      <c r="F104" s="41">
        <v>12.0</v>
      </c>
      <c r="G104" s="41">
        <v>770500.0</v>
      </c>
      <c r="H104" s="41">
        <v>7400.0</v>
      </c>
    </row>
    <row r="105" ht="15.75" customHeight="1">
      <c r="A105" s="40" t="s">
        <v>92</v>
      </c>
      <c r="B105" s="40" t="s">
        <v>117</v>
      </c>
      <c r="C105" s="40" t="s">
        <v>316</v>
      </c>
      <c r="D105" s="40" t="s">
        <v>317</v>
      </c>
      <c r="E105" s="40" t="s">
        <v>492</v>
      </c>
      <c r="F105" s="41">
        <v>19.0</v>
      </c>
      <c r="G105" s="41">
        <v>750000.0</v>
      </c>
      <c r="H105" s="41">
        <v>90580.0</v>
      </c>
    </row>
    <row r="106" ht="15.75" customHeight="1">
      <c r="A106" s="40" t="s">
        <v>92</v>
      </c>
      <c r="B106" s="40" t="s">
        <v>174</v>
      </c>
      <c r="C106" s="40" t="s">
        <v>336</v>
      </c>
      <c r="D106" s="40" t="s">
        <v>337</v>
      </c>
      <c r="E106" s="40" t="s">
        <v>493</v>
      </c>
      <c r="F106" s="41">
        <v>20.0</v>
      </c>
      <c r="G106" s="41">
        <v>722300.0</v>
      </c>
      <c r="H106" s="41">
        <v>17800.0</v>
      </c>
    </row>
    <row r="107" ht="15.75" customHeight="1">
      <c r="A107" s="40" t="s">
        <v>92</v>
      </c>
      <c r="B107" s="40" t="s">
        <v>117</v>
      </c>
      <c r="C107" s="40" t="s">
        <v>360</v>
      </c>
      <c r="D107" s="40" t="s">
        <v>361</v>
      </c>
      <c r="E107" s="40" t="s">
        <v>494</v>
      </c>
      <c r="F107" s="41">
        <v>30.0</v>
      </c>
      <c r="G107" s="41">
        <v>693000.0</v>
      </c>
      <c r="H107" s="41">
        <v>41580.0</v>
      </c>
    </row>
    <row r="108" ht="15.75" customHeight="1">
      <c r="A108" s="40" t="s">
        <v>92</v>
      </c>
      <c r="B108" s="40" t="s">
        <v>117</v>
      </c>
      <c r="C108" s="40" t="s">
        <v>430</v>
      </c>
      <c r="D108" s="40" t="s">
        <v>431</v>
      </c>
      <c r="E108" s="40" t="s">
        <v>495</v>
      </c>
      <c r="F108" s="41">
        <v>26.0</v>
      </c>
      <c r="G108" s="41">
        <v>692980.0</v>
      </c>
      <c r="H108" s="41">
        <v>47980.0</v>
      </c>
    </row>
    <row r="109" ht="15.75" customHeight="1">
      <c r="A109" s="40" t="s">
        <v>92</v>
      </c>
      <c r="B109" s="40" t="s">
        <v>117</v>
      </c>
      <c r="C109" s="40" t="s">
        <v>354</v>
      </c>
      <c r="D109" s="40" t="s">
        <v>355</v>
      </c>
      <c r="E109" s="40" t="s">
        <v>496</v>
      </c>
      <c r="F109" s="41">
        <v>32.0</v>
      </c>
      <c r="G109" s="41">
        <v>691100.0</v>
      </c>
      <c r="H109" s="41">
        <v>79080.0</v>
      </c>
    </row>
    <row r="110" ht="15.75" customHeight="1">
      <c r="A110" s="40" t="s">
        <v>92</v>
      </c>
      <c r="B110" s="40" t="s">
        <v>186</v>
      </c>
      <c r="C110" s="40" t="s">
        <v>497</v>
      </c>
      <c r="D110" s="40" t="s">
        <v>498</v>
      </c>
      <c r="E110" s="40" t="s">
        <v>499</v>
      </c>
      <c r="F110" s="41">
        <v>35.0</v>
      </c>
      <c r="G110" s="41">
        <v>687000.0</v>
      </c>
      <c r="H110" s="41">
        <v>9000.0</v>
      </c>
    </row>
    <row r="111" ht="15.75" customHeight="1">
      <c r="A111" s="40" t="s">
        <v>92</v>
      </c>
      <c r="B111" s="40" t="s">
        <v>174</v>
      </c>
      <c r="C111" s="40" t="s">
        <v>336</v>
      </c>
      <c r="D111" s="40" t="s">
        <v>337</v>
      </c>
      <c r="E111" s="40" t="s">
        <v>500</v>
      </c>
      <c r="F111" s="41">
        <v>21.0</v>
      </c>
      <c r="G111" s="41">
        <v>641000.0</v>
      </c>
      <c r="H111" s="41">
        <v>36550.0</v>
      </c>
    </row>
    <row r="112" ht="15.75" customHeight="1">
      <c r="A112" s="40" t="s">
        <v>92</v>
      </c>
      <c r="B112" s="40" t="s">
        <v>117</v>
      </c>
      <c r="C112" s="40" t="s">
        <v>360</v>
      </c>
      <c r="D112" s="40" t="s">
        <v>361</v>
      </c>
      <c r="E112" s="40" t="s">
        <v>501</v>
      </c>
      <c r="F112" s="41">
        <v>25.0</v>
      </c>
      <c r="G112" s="41">
        <v>636200.0</v>
      </c>
      <c r="H112" s="41">
        <v>82680.0</v>
      </c>
    </row>
    <row r="113" ht="15.75" customHeight="1">
      <c r="A113" s="40" t="s">
        <v>92</v>
      </c>
      <c r="B113" s="40" t="s">
        <v>117</v>
      </c>
      <c r="C113" s="40" t="s">
        <v>480</v>
      </c>
      <c r="D113" s="40" t="s">
        <v>481</v>
      </c>
      <c r="E113" s="40" t="s">
        <v>502</v>
      </c>
      <c r="F113" s="41">
        <v>15.0</v>
      </c>
      <c r="G113" s="41">
        <v>635000.0</v>
      </c>
      <c r="H113" s="41">
        <v>97200.0</v>
      </c>
    </row>
    <row r="114" ht="15.75" customHeight="1">
      <c r="A114" s="40" t="s">
        <v>92</v>
      </c>
      <c r="B114" s="40" t="s">
        <v>117</v>
      </c>
      <c r="C114" s="40" t="s">
        <v>480</v>
      </c>
      <c r="D114" s="40" t="s">
        <v>481</v>
      </c>
      <c r="E114" s="40" t="s">
        <v>505</v>
      </c>
      <c r="F114" s="41">
        <v>19.0</v>
      </c>
      <c r="G114" s="41">
        <v>611000.0</v>
      </c>
      <c r="H114" s="41">
        <v>85700.0</v>
      </c>
    </row>
    <row r="115" ht="15.75" customHeight="1">
      <c r="A115" s="40" t="s">
        <v>92</v>
      </c>
      <c r="B115" s="40" t="s">
        <v>117</v>
      </c>
      <c r="C115" s="40" t="s">
        <v>480</v>
      </c>
      <c r="D115" s="40" t="s">
        <v>481</v>
      </c>
      <c r="E115" s="40" t="s">
        <v>506</v>
      </c>
      <c r="F115" s="41">
        <v>20.0</v>
      </c>
      <c r="G115" s="41">
        <v>609000.0</v>
      </c>
      <c r="H115" s="41">
        <v>88600.0</v>
      </c>
    </row>
    <row r="116" ht="15.75" customHeight="1">
      <c r="A116" s="40" t="s">
        <v>92</v>
      </c>
      <c r="B116" s="40" t="s">
        <v>117</v>
      </c>
      <c r="C116" s="40" t="s">
        <v>507</v>
      </c>
      <c r="D116" s="40" t="s">
        <v>508</v>
      </c>
      <c r="E116" s="40" t="s">
        <v>509</v>
      </c>
      <c r="F116" s="41">
        <v>66.0</v>
      </c>
      <c r="G116" s="41">
        <v>607380.0</v>
      </c>
      <c r="H116" s="41">
        <v>105420.0</v>
      </c>
    </row>
    <row r="117" ht="15.75" customHeight="1">
      <c r="A117" s="40" t="s">
        <v>92</v>
      </c>
      <c r="B117" s="40" t="s">
        <v>186</v>
      </c>
      <c r="C117" s="40" t="s">
        <v>253</v>
      </c>
      <c r="D117" s="40" t="s">
        <v>252</v>
      </c>
      <c r="E117" s="40" t="s">
        <v>510</v>
      </c>
      <c r="F117" s="41">
        <v>25.0</v>
      </c>
      <c r="G117" s="41">
        <v>600000.0</v>
      </c>
      <c r="H117" s="41">
        <v>47800.0</v>
      </c>
    </row>
    <row r="118" ht="15.75" customHeight="1">
      <c r="A118" s="40" t="s">
        <v>92</v>
      </c>
      <c r="B118" s="40" t="s">
        <v>117</v>
      </c>
      <c r="C118" s="40" t="s">
        <v>260</v>
      </c>
      <c r="D118" s="40" t="s">
        <v>259</v>
      </c>
      <c r="E118" s="40" t="s">
        <v>511</v>
      </c>
      <c r="F118" s="41">
        <v>30.0</v>
      </c>
      <c r="G118" s="41">
        <v>599700.0</v>
      </c>
      <c r="H118" s="41">
        <v>33980.0</v>
      </c>
    </row>
    <row r="119" ht="15.75" customHeight="1">
      <c r="A119" s="40" t="s">
        <v>92</v>
      </c>
      <c r="B119" s="40" t="s">
        <v>117</v>
      </c>
      <c r="C119" s="40" t="s">
        <v>380</v>
      </c>
      <c r="D119" s="40" t="s">
        <v>381</v>
      </c>
      <c r="E119" s="40" t="s">
        <v>512</v>
      </c>
      <c r="F119" s="41">
        <v>12.0</v>
      </c>
      <c r="G119" s="41">
        <v>592000.0</v>
      </c>
      <c r="H119" s="41">
        <v>20000.0</v>
      </c>
    </row>
    <row r="120" ht="15.75" customHeight="1">
      <c r="A120" s="40" t="s">
        <v>92</v>
      </c>
      <c r="B120" s="40" t="s">
        <v>186</v>
      </c>
      <c r="C120" s="40" t="s">
        <v>485</v>
      </c>
      <c r="D120" s="40" t="s">
        <v>486</v>
      </c>
      <c r="E120" s="40" t="s">
        <v>513</v>
      </c>
      <c r="F120" s="41">
        <v>10.0</v>
      </c>
      <c r="G120" s="41">
        <v>586500.0</v>
      </c>
      <c r="H120" s="41">
        <v>70000.0</v>
      </c>
    </row>
    <row r="121" ht="15.75" customHeight="1">
      <c r="A121" s="40" t="s">
        <v>92</v>
      </c>
      <c r="B121" s="40" t="s">
        <v>117</v>
      </c>
      <c r="C121" s="40" t="s">
        <v>231</v>
      </c>
      <c r="D121" s="40" t="s">
        <v>230</v>
      </c>
      <c r="E121" s="40" t="s">
        <v>514</v>
      </c>
      <c r="F121" s="41">
        <v>15.0</v>
      </c>
      <c r="G121" s="41">
        <v>551000.0</v>
      </c>
      <c r="H121" s="41">
        <v>12560.0</v>
      </c>
    </row>
    <row r="122" ht="15.75" customHeight="1">
      <c r="A122" s="40" t="s">
        <v>92</v>
      </c>
      <c r="B122" s="46" t="s">
        <v>186</v>
      </c>
      <c r="C122" s="40" t="s">
        <v>458</v>
      </c>
      <c r="D122" s="40" t="s">
        <v>459</v>
      </c>
      <c r="E122" s="40" t="s">
        <v>515</v>
      </c>
      <c r="F122" s="41">
        <v>15.0</v>
      </c>
      <c r="G122" s="41">
        <v>547910.0</v>
      </c>
      <c r="H122" s="41">
        <v>14800.0</v>
      </c>
    </row>
    <row r="123" ht="15.75" customHeight="1">
      <c r="A123" s="40" t="s">
        <v>92</v>
      </c>
      <c r="B123" s="40" t="s">
        <v>117</v>
      </c>
      <c r="C123" s="40" t="s">
        <v>344</v>
      </c>
      <c r="D123" s="40" t="s">
        <v>345</v>
      </c>
      <c r="E123" s="40" t="s">
        <v>516</v>
      </c>
      <c r="F123" s="41">
        <v>24.0</v>
      </c>
      <c r="G123" s="41">
        <v>536500.0</v>
      </c>
      <c r="H123" s="41">
        <v>30260.0</v>
      </c>
    </row>
    <row r="124" ht="15.75" customHeight="1">
      <c r="A124" s="40" t="s">
        <v>92</v>
      </c>
      <c r="B124" s="40" t="s">
        <v>186</v>
      </c>
      <c r="C124" s="40" t="s">
        <v>485</v>
      </c>
      <c r="D124" s="40" t="s">
        <v>486</v>
      </c>
      <c r="E124" s="40" t="s">
        <v>517</v>
      </c>
      <c r="F124" s="41">
        <v>12.0</v>
      </c>
      <c r="G124" s="41">
        <v>524000.0</v>
      </c>
      <c r="H124" s="41">
        <v>79000.0</v>
      </c>
    </row>
    <row r="125" ht="15.75" customHeight="1">
      <c r="A125" s="40" t="s">
        <v>92</v>
      </c>
      <c r="B125" s="40" t="s">
        <v>117</v>
      </c>
      <c r="C125" s="40" t="s">
        <v>452</v>
      </c>
      <c r="D125" s="40" t="s">
        <v>453</v>
      </c>
      <c r="E125" s="40" t="s">
        <v>518</v>
      </c>
      <c r="F125" s="41">
        <v>12.0</v>
      </c>
      <c r="G125" s="41">
        <v>515800.0</v>
      </c>
      <c r="H125" s="41">
        <v>0.0</v>
      </c>
    </row>
    <row r="126" ht="15.75" customHeight="1">
      <c r="A126" s="40" t="s">
        <v>92</v>
      </c>
      <c r="B126" s="40" t="s">
        <v>117</v>
      </c>
      <c r="C126" s="40" t="s">
        <v>420</v>
      </c>
      <c r="D126" s="40" t="s">
        <v>421</v>
      </c>
      <c r="E126" s="40" t="s">
        <v>519</v>
      </c>
      <c r="F126" s="41">
        <v>10.0</v>
      </c>
      <c r="G126" s="41">
        <v>514000.0</v>
      </c>
      <c r="H126" s="41">
        <v>17600.0</v>
      </c>
    </row>
    <row r="127" ht="15.75" customHeight="1">
      <c r="A127" s="40" t="s">
        <v>92</v>
      </c>
      <c r="B127" s="40" t="s">
        <v>174</v>
      </c>
      <c r="C127" s="40" t="s">
        <v>293</v>
      </c>
      <c r="D127" s="40" t="s">
        <v>294</v>
      </c>
      <c r="E127" s="40" t="s">
        <v>520</v>
      </c>
      <c r="F127" s="41">
        <v>17.0</v>
      </c>
      <c r="G127" s="41">
        <v>511650.0</v>
      </c>
      <c r="H127" s="41">
        <v>8760.0</v>
      </c>
    </row>
    <row r="128" ht="15.75" customHeight="1">
      <c r="A128" s="40" t="s">
        <v>92</v>
      </c>
      <c r="B128" s="40" t="s">
        <v>186</v>
      </c>
      <c r="C128" s="40" t="s">
        <v>322</v>
      </c>
      <c r="D128" s="40" t="s">
        <v>323</v>
      </c>
      <c r="E128" s="40" t="s">
        <v>521</v>
      </c>
      <c r="F128" s="41">
        <v>4.0</v>
      </c>
      <c r="G128" s="41">
        <v>511450.0</v>
      </c>
      <c r="H128" s="41">
        <v>0.0</v>
      </c>
    </row>
    <row r="129" ht="15.75" customHeight="1">
      <c r="A129" s="40" t="s">
        <v>92</v>
      </c>
      <c r="B129" s="40" t="s">
        <v>174</v>
      </c>
      <c r="C129" s="40" t="s">
        <v>293</v>
      </c>
      <c r="D129" s="40" t="s">
        <v>294</v>
      </c>
      <c r="E129" s="40" t="s">
        <v>522</v>
      </c>
      <c r="F129" s="41">
        <v>24.0</v>
      </c>
      <c r="G129" s="41">
        <v>500100.0</v>
      </c>
      <c r="H129" s="41">
        <v>4180.0</v>
      </c>
    </row>
    <row r="130" ht="15.75" customHeight="1">
      <c r="A130" s="40" t="s">
        <v>92</v>
      </c>
      <c r="B130" s="40" t="s">
        <v>186</v>
      </c>
      <c r="C130" s="40" t="s">
        <v>523</v>
      </c>
      <c r="D130" s="40" t="s">
        <v>524</v>
      </c>
      <c r="E130" s="40" t="s">
        <v>525</v>
      </c>
      <c r="F130" s="41">
        <v>16.0</v>
      </c>
      <c r="G130" s="41">
        <v>496900.0</v>
      </c>
      <c r="H130" s="41">
        <v>26240.0</v>
      </c>
    </row>
    <row r="131" ht="15.75" customHeight="1">
      <c r="A131" s="40" t="s">
        <v>92</v>
      </c>
      <c r="B131" s="40" t="s">
        <v>186</v>
      </c>
      <c r="C131" s="40" t="s">
        <v>526</v>
      </c>
      <c r="D131" s="40" t="s">
        <v>527</v>
      </c>
      <c r="E131" s="40" t="s">
        <v>528</v>
      </c>
      <c r="F131" s="41">
        <v>8.0</v>
      </c>
      <c r="G131" s="41">
        <v>480000.0</v>
      </c>
      <c r="H131" s="41">
        <v>0.0</v>
      </c>
    </row>
    <row r="132" ht="15.75" customHeight="1">
      <c r="A132" s="40" t="s">
        <v>92</v>
      </c>
      <c r="B132" s="40" t="s">
        <v>186</v>
      </c>
      <c r="C132" s="40" t="s">
        <v>322</v>
      </c>
      <c r="D132" s="40" t="s">
        <v>323</v>
      </c>
      <c r="E132" s="40" t="s">
        <v>529</v>
      </c>
      <c r="F132" s="41">
        <v>7.0</v>
      </c>
      <c r="G132" s="41">
        <v>478000.0</v>
      </c>
      <c r="H132" s="41">
        <v>0.0</v>
      </c>
    </row>
    <row r="133" ht="15.75" customHeight="1">
      <c r="A133" s="40" t="s">
        <v>92</v>
      </c>
      <c r="B133" s="40" t="s">
        <v>186</v>
      </c>
      <c r="C133" s="40" t="s">
        <v>497</v>
      </c>
      <c r="D133" s="40" t="s">
        <v>498</v>
      </c>
      <c r="E133" s="40" t="s">
        <v>530</v>
      </c>
      <c r="F133" s="41">
        <v>17.0</v>
      </c>
      <c r="G133" s="41">
        <v>477000.0</v>
      </c>
      <c r="H133" s="41">
        <v>9000.0</v>
      </c>
    </row>
    <row r="134" ht="15.75" customHeight="1">
      <c r="A134" s="40" t="s">
        <v>92</v>
      </c>
      <c r="B134" s="40" t="s">
        <v>186</v>
      </c>
      <c r="C134" s="40" t="s">
        <v>322</v>
      </c>
      <c r="D134" s="40" t="s">
        <v>323</v>
      </c>
      <c r="E134" s="40" t="s">
        <v>531</v>
      </c>
      <c r="F134" s="41">
        <v>7.0</v>
      </c>
      <c r="G134" s="41">
        <v>476000.0</v>
      </c>
      <c r="H134" s="41">
        <v>0.0</v>
      </c>
    </row>
    <row r="135" ht="15.75" customHeight="1">
      <c r="A135" s="40" t="s">
        <v>92</v>
      </c>
      <c r="B135" s="40" t="s">
        <v>186</v>
      </c>
      <c r="C135" s="40" t="s">
        <v>497</v>
      </c>
      <c r="D135" s="40" t="s">
        <v>498</v>
      </c>
      <c r="E135" s="40" t="s">
        <v>532</v>
      </c>
      <c r="F135" s="41">
        <v>27.0</v>
      </c>
      <c r="G135" s="41">
        <v>461800.0</v>
      </c>
      <c r="H135" s="41">
        <v>10000.0</v>
      </c>
    </row>
    <row r="136" ht="15.75" customHeight="1">
      <c r="A136" s="40" t="s">
        <v>92</v>
      </c>
      <c r="B136" s="40" t="s">
        <v>117</v>
      </c>
      <c r="C136" s="40" t="s">
        <v>401</v>
      </c>
      <c r="D136" s="40" t="s">
        <v>402</v>
      </c>
      <c r="E136" s="40" t="s">
        <v>533</v>
      </c>
      <c r="F136" s="41">
        <v>13.0</v>
      </c>
      <c r="G136" s="41">
        <v>450600.0</v>
      </c>
      <c r="H136" s="41">
        <v>38680.0</v>
      </c>
    </row>
    <row r="137" ht="15.75" customHeight="1">
      <c r="A137" s="40" t="s">
        <v>92</v>
      </c>
      <c r="B137" s="40" t="s">
        <v>186</v>
      </c>
      <c r="C137" s="40" t="s">
        <v>366</v>
      </c>
      <c r="D137" s="40" t="s">
        <v>367</v>
      </c>
      <c r="E137" s="40" t="s">
        <v>534</v>
      </c>
      <c r="F137" s="41">
        <v>15.0</v>
      </c>
      <c r="G137" s="41">
        <v>431000.0</v>
      </c>
      <c r="H137" s="41">
        <v>21600.0</v>
      </c>
    </row>
    <row r="138" ht="15.75" customHeight="1">
      <c r="A138" s="40" t="s">
        <v>92</v>
      </c>
      <c r="B138" s="40" t="s">
        <v>174</v>
      </c>
      <c r="C138" s="40" t="s">
        <v>373</v>
      </c>
      <c r="D138" s="40" t="s">
        <v>374</v>
      </c>
      <c r="E138" s="40" t="s">
        <v>535</v>
      </c>
      <c r="F138" s="41">
        <v>5.0</v>
      </c>
      <c r="G138" s="41">
        <v>417400.0</v>
      </c>
      <c r="H138" s="41">
        <v>10000.0</v>
      </c>
    </row>
    <row r="139" ht="15.75" customHeight="1">
      <c r="A139" s="40" t="s">
        <v>92</v>
      </c>
      <c r="B139" s="40" t="s">
        <v>186</v>
      </c>
      <c r="C139" s="40" t="s">
        <v>227</v>
      </c>
      <c r="D139" s="40" t="s">
        <v>226</v>
      </c>
      <c r="E139" s="40" t="s">
        <v>536</v>
      </c>
      <c r="F139" s="41">
        <v>7.0</v>
      </c>
      <c r="G139" s="41">
        <v>415500.0</v>
      </c>
      <c r="H139" s="41">
        <v>14000.0</v>
      </c>
    </row>
    <row r="140" ht="15.75" customHeight="1">
      <c r="A140" s="40" t="s">
        <v>92</v>
      </c>
      <c r="B140" s="40" t="s">
        <v>186</v>
      </c>
      <c r="C140" s="40" t="s">
        <v>322</v>
      </c>
      <c r="D140" s="40" t="s">
        <v>323</v>
      </c>
      <c r="E140" s="40" t="s">
        <v>537</v>
      </c>
      <c r="F140" s="41">
        <v>4.0</v>
      </c>
      <c r="G140" s="41">
        <v>399560.0</v>
      </c>
      <c r="H140" s="41">
        <v>0.0</v>
      </c>
    </row>
    <row r="141" ht="15.75" customHeight="1">
      <c r="A141" s="40" t="s">
        <v>92</v>
      </c>
      <c r="B141" s="40" t="s">
        <v>117</v>
      </c>
      <c r="C141" s="40" t="s">
        <v>231</v>
      </c>
      <c r="D141" s="40" t="s">
        <v>230</v>
      </c>
      <c r="E141" s="40" t="s">
        <v>538</v>
      </c>
      <c r="F141" s="41">
        <v>13.0</v>
      </c>
      <c r="G141" s="41">
        <v>396100.0</v>
      </c>
      <c r="H141" s="41">
        <v>0.0</v>
      </c>
    </row>
    <row r="142" ht="15.75" customHeight="1">
      <c r="A142" s="40" t="s">
        <v>92</v>
      </c>
      <c r="B142" s="40" t="s">
        <v>186</v>
      </c>
      <c r="C142" s="40" t="s">
        <v>322</v>
      </c>
      <c r="D142" s="40" t="s">
        <v>323</v>
      </c>
      <c r="E142" s="40" t="s">
        <v>539</v>
      </c>
      <c r="F142" s="41">
        <v>1.0</v>
      </c>
      <c r="G142" s="41">
        <v>396000.0</v>
      </c>
      <c r="H142" s="41">
        <v>0.0</v>
      </c>
    </row>
    <row r="143" ht="15.75" customHeight="1">
      <c r="A143" s="40" t="s">
        <v>92</v>
      </c>
      <c r="B143" s="40" t="s">
        <v>186</v>
      </c>
      <c r="C143" s="40" t="s">
        <v>383</v>
      </c>
      <c r="D143" s="40" t="s">
        <v>384</v>
      </c>
      <c r="E143" s="40" t="s">
        <v>540</v>
      </c>
      <c r="F143" s="41">
        <v>13.0</v>
      </c>
      <c r="G143" s="41">
        <v>392200.0</v>
      </c>
      <c r="H143" s="41">
        <v>13000.0</v>
      </c>
    </row>
    <row r="144" ht="15.75" customHeight="1">
      <c r="A144" s="40" t="s">
        <v>92</v>
      </c>
      <c r="B144" s="40" t="s">
        <v>174</v>
      </c>
      <c r="C144" s="40" t="s">
        <v>373</v>
      </c>
      <c r="D144" s="40" t="s">
        <v>374</v>
      </c>
      <c r="E144" s="40" t="s">
        <v>543</v>
      </c>
      <c r="F144" s="41">
        <v>6.0</v>
      </c>
      <c r="G144" s="41">
        <v>391500.0</v>
      </c>
      <c r="H144" s="41">
        <v>30000.0</v>
      </c>
    </row>
    <row r="145" ht="15.75" customHeight="1">
      <c r="A145" s="40" t="s">
        <v>92</v>
      </c>
      <c r="B145" s="40" t="s">
        <v>117</v>
      </c>
      <c r="C145" s="40" t="s">
        <v>480</v>
      </c>
      <c r="D145" s="40" t="s">
        <v>481</v>
      </c>
      <c r="E145" s="40" t="s">
        <v>544</v>
      </c>
      <c r="F145" s="41">
        <v>9.0</v>
      </c>
      <c r="G145" s="41">
        <v>390000.0</v>
      </c>
      <c r="H145" s="41">
        <v>66000.0</v>
      </c>
    </row>
    <row r="146" ht="15.75" customHeight="1">
      <c r="A146" s="40" t="s">
        <v>92</v>
      </c>
      <c r="B146" s="40" t="s">
        <v>117</v>
      </c>
      <c r="C146" s="40" t="s">
        <v>545</v>
      </c>
      <c r="D146" s="40" t="s">
        <v>546</v>
      </c>
      <c r="E146" s="40" t="s">
        <v>547</v>
      </c>
      <c r="F146" s="41">
        <v>23.0</v>
      </c>
      <c r="G146" s="41">
        <v>383400.0</v>
      </c>
      <c r="H146" s="41">
        <v>26080.0</v>
      </c>
    </row>
    <row r="147" ht="15.75" customHeight="1">
      <c r="A147" s="40" t="s">
        <v>92</v>
      </c>
      <c r="B147" s="40" t="s">
        <v>174</v>
      </c>
      <c r="C147" s="40" t="s">
        <v>373</v>
      </c>
      <c r="D147" s="40" t="s">
        <v>374</v>
      </c>
      <c r="E147" s="40" t="s">
        <v>548</v>
      </c>
      <c r="F147" s="41">
        <v>6.0</v>
      </c>
      <c r="G147" s="41">
        <v>365590.0</v>
      </c>
      <c r="H147" s="41">
        <v>12590.0</v>
      </c>
    </row>
    <row r="148" ht="15.75" customHeight="1">
      <c r="A148" s="40" t="s">
        <v>92</v>
      </c>
      <c r="B148" s="40" t="s">
        <v>117</v>
      </c>
      <c r="C148" s="40" t="s">
        <v>231</v>
      </c>
      <c r="D148" s="40" t="s">
        <v>230</v>
      </c>
      <c r="E148" s="40" t="s">
        <v>549</v>
      </c>
      <c r="F148" s="41">
        <v>12.0</v>
      </c>
      <c r="G148" s="41">
        <v>362500.0</v>
      </c>
      <c r="H148" s="41">
        <v>8020.0</v>
      </c>
    </row>
    <row r="149" ht="15.75" customHeight="1">
      <c r="A149" s="40" t="s">
        <v>92</v>
      </c>
      <c r="B149" s="40" t="s">
        <v>117</v>
      </c>
      <c r="C149" s="40" t="s">
        <v>446</v>
      </c>
      <c r="D149" s="40" t="s">
        <v>447</v>
      </c>
      <c r="E149" s="40" t="s">
        <v>550</v>
      </c>
      <c r="F149" s="41">
        <v>13.0</v>
      </c>
      <c r="G149" s="41">
        <v>362300.0</v>
      </c>
      <c r="H149" s="41">
        <v>12540.0</v>
      </c>
    </row>
    <row r="150" ht="15.75" customHeight="1">
      <c r="A150" s="40" t="s">
        <v>92</v>
      </c>
      <c r="B150" s="40" t="s">
        <v>117</v>
      </c>
      <c r="C150" s="40" t="s">
        <v>430</v>
      </c>
      <c r="D150" s="40" t="s">
        <v>431</v>
      </c>
      <c r="E150" s="40" t="s">
        <v>551</v>
      </c>
      <c r="F150" s="41">
        <v>8.0</v>
      </c>
      <c r="G150" s="41">
        <v>361930.0</v>
      </c>
      <c r="H150" s="41">
        <v>18240.0</v>
      </c>
    </row>
    <row r="151" ht="15.75" customHeight="1">
      <c r="A151" s="40" t="s">
        <v>92</v>
      </c>
      <c r="B151" s="40" t="s">
        <v>174</v>
      </c>
      <c r="C151" s="40" t="s">
        <v>373</v>
      </c>
      <c r="D151" s="40" t="s">
        <v>374</v>
      </c>
      <c r="E151" s="40" t="s">
        <v>552</v>
      </c>
      <c r="F151" s="41">
        <v>4.0</v>
      </c>
      <c r="G151" s="41">
        <v>357600.0</v>
      </c>
      <c r="H151" s="41">
        <v>11920.0</v>
      </c>
    </row>
    <row r="152" ht="15.75" customHeight="1">
      <c r="A152" s="40" t="s">
        <v>92</v>
      </c>
      <c r="B152" s="40" t="s">
        <v>186</v>
      </c>
      <c r="C152" s="40" t="s">
        <v>401</v>
      </c>
      <c r="D152" s="40" t="s">
        <v>402</v>
      </c>
      <c r="E152" s="40" t="s">
        <v>553</v>
      </c>
      <c r="F152" s="41">
        <v>11.0</v>
      </c>
      <c r="G152" s="41">
        <v>356800.0</v>
      </c>
      <c r="H152" s="41">
        <v>20620.0</v>
      </c>
    </row>
    <row r="153" ht="15.75" customHeight="1">
      <c r="A153" s="40" t="s">
        <v>92</v>
      </c>
      <c r="B153" s="40" t="s">
        <v>174</v>
      </c>
      <c r="C153" s="40" t="s">
        <v>311</v>
      </c>
      <c r="D153" s="40" t="s">
        <v>312</v>
      </c>
      <c r="E153" s="40" t="s">
        <v>554</v>
      </c>
      <c r="F153" s="41">
        <v>20.0</v>
      </c>
      <c r="G153" s="41">
        <v>349400.0</v>
      </c>
      <c r="H153" s="41">
        <v>26680.0</v>
      </c>
    </row>
    <row r="154" ht="15.75" customHeight="1">
      <c r="A154" s="40" t="s">
        <v>92</v>
      </c>
      <c r="B154" s="40" t="s">
        <v>186</v>
      </c>
      <c r="C154" s="40" t="s">
        <v>555</v>
      </c>
      <c r="D154" s="40" t="s">
        <v>556</v>
      </c>
      <c r="E154" s="40" t="s">
        <v>557</v>
      </c>
      <c r="F154" s="41">
        <v>3.0</v>
      </c>
      <c r="G154" s="41">
        <v>340000.0</v>
      </c>
      <c r="H154" s="41">
        <v>0.0</v>
      </c>
    </row>
    <row r="155" ht="15.75" customHeight="1">
      <c r="A155" s="40" t="s">
        <v>92</v>
      </c>
      <c r="B155" s="40" t="s">
        <v>174</v>
      </c>
      <c r="C155" s="40" t="s">
        <v>373</v>
      </c>
      <c r="D155" s="40" t="s">
        <v>374</v>
      </c>
      <c r="E155" s="40" t="s">
        <v>558</v>
      </c>
      <c r="F155" s="41">
        <v>11.0</v>
      </c>
      <c r="G155" s="41">
        <v>335000.0</v>
      </c>
      <c r="H155" s="41">
        <v>12640.0</v>
      </c>
    </row>
    <row r="156" ht="15.75" customHeight="1">
      <c r="A156" s="40" t="s">
        <v>92</v>
      </c>
      <c r="B156" s="40" t="s">
        <v>174</v>
      </c>
      <c r="C156" s="40" t="s">
        <v>373</v>
      </c>
      <c r="D156" s="40" t="s">
        <v>374</v>
      </c>
      <c r="E156" s="40" t="s">
        <v>559</v>
      </c>
      <c r="F156" s="41">
        <v>5.0</v>
      </c>
      <c r="G156" s="41">
        <v>334100.0</v>
      </c>
      <c r="H156" s="41">
        <v>9210.0</v>
      </c>
    </row>
    <row r="157" ht="15.75" customHeight="1">
      <c r="A157" s="40" t="s">
        <v>92</v>
      </c>
      <c r="B157" s="40" t="s">
        <v>117</v>
      </c>
      <c r="C157" s="40" t="s">
        <v>452</v>
      </c>
      <c r="D157" s="40" t="s">
        <v>453</v>
      </c>
      <c r="E157" s="40" t="s">
        <v>560</v>
      </c>
      <c r="F157" s="41">
        <v>6.0</v>
      </c>
      <c r="G157" s="41">
        <v>321400.0</v>
      </c>
      <c r="H157" s="41">
        <v>30000.0</v>
      </c>
    </row>
    <row r="158" ht="15.75" customHeight="1">
      <c r="A158" s="40" t="s">
        <v>92</v>
      </c>
      <c r="B158" s="40" t="s">
        <v>186</v>
      </c>
      <c r="C158" s="40" t="s">
        <v>485</v>
      </c>
      <c r="D158" s="40" t="s">
        <v>486</v>
      </c>
      <c r="E158" s="40" t="s">
        <v>561</v>
      </c>
      <c r="F158" s="41">
        <v>3.0</v>
      </c>
      <c r="G158" s="41">
        <v>320000.0</v>
      </c>
      <c r="H158" s="41">
        <v>8000.0</v>
      </c>
    </row>
    <row r="159" ht="15.75" customHeight="1">
      <c r="A159" s="40" t="s">
        <v>92</v>
      </c>
      <c r="B159" s="40" t="s">
        <v>186</v>
      </c>
      <c r="C159" s="40" t="s">
        <v>322</v>
      </c>
      <c r="D159" s="40" t="s">
        <v>323</v>
      </c>
      <c r="E159" s="40" t="s">
        <v>562</v>
      </c>
      <c r="F159" s="41">
        <v>7.0</v>
      </c>
      <c r="G159" s="41">
        <v>315230.0</v>
      </c>
      <c r="H159" s="41">
        <v>0.0</v>
      </c>
    </row>
    <row r="160" ht="15.75" customHeight="1">
      <c r="A160" s="40" t="s">
        <v>92</v>
      </c>
      <c r="B160" s="40" t="s">
        <v>117</v>
      </c>
      <c r="C160" s="40" t="s">
        <v>319</v>
      </c>
      <c r="D160" s="40" t="s">
        <v>320</v>
      </c>
      <c r="E160" s="40" t="s">
        <v>563</v>
      </c>
      <c r="F160" s="41">
        <v>4.0</v>
      </c>
      <c r="G160" s="41">
        <v>299400.0</v>
      </c>
      <c r="H160" s="41">
        <v>10000.0</v>
      </c>
    </row>
    <row r="161" ht="15.75" customHeight="1">
      <c r="A161" s="40" t="s">
        <v>92</v>
      </c>
      <c r="B161" s="40" t="s">
        <v>186</v>
      </c>
      <c r="C161" s="40" t="s">
        <v>564</v>
      </c>
      <c r="D161" s="40" t="s">
        <v>565</v>
      </c>
      <c r="E161" s="40" t="s">
        <v>566</v>
      </c>
      <c r="F161" s="41">
        <v>8.0</v>
      </c>
      <c r="G161" s="41">
        <v>299000.0</v>
      </c>
      <c r="H161" s="41">
        <v>23000.0</v>
      </c>
    </row>
    <row r="162" ht="15.75" customHeight="1">
      <c r="A162" s="40" t="s">
        <v>92</v>
      </c>
      <c r="B162" s="40" t="s">
        <v>174</v>
      </c>
      <c r="C162" s="40" t="s">
        <v>336</v>
      </c>
      <c r="D162" s="40" t="s">
        <v>337</v>
      </c>
      <c r="E162" s="40" t="s">
        <v>567</v>
      </c>
      <c r="F162" s="41">
        <v>12.0</v>
      </c>
      <c r="G162" s="41">
        <v>291800.0</v>
      </c>
      <c r="H162" s="41">
        <v>8080.0</v>
      </c>
    </row>
    <row r="163" ht="15.75" customHeight="1">
      <c r="A163" s="40" t="s">
        <v>92</v>
      </c>
      <c r="B163" s="40" t="s">
        <v>117</v>
      </c>
      <c r="C163" s="40" t="s">
        <v>480</v>
      </c>
      <c r="D163" s="40" t="s">
        <v>481</v>
      </c>
      <c r="E163" s="40" t="s">
        <v>568</v>
      </c>
      <c r="F163" s="41">
        <v>24.0</v>
      </c>
      <c r="G163" s="41">
        <v>276500.0</v>
      </c>
      <c r="H163" s="41">
        <v>3600.0</v>
      </c>
    </row>
    <row r="164" ht="15.75" customHeight="1">
      <c r="A164" s="40" t="s">
        <v>92</v>
      </c>
      <c r="B164" s="40" t="s">
        <v>186</v>
      </c>
      <c r="C164" s="40" t="s">
        <v>485</v>
      </c>
      <c r="D164" s="40" t="s">
        <v>486</v>
      </c>
      <c r="E164" s="40" t="s">
        <v>569</v>
      </c>
      <c r="F164" s="41">
        <v>2.0</v>
      </c>
      <c r="G164" s="41">
        <v>267000.0</v>
      </c>
      <c r="H164" s="41">
        <v>0.0</v>
      </c>
    </row>
    <row r="165" ht="15.75" customHeight="1">
      <c r="A165" s="40" t="s">
        <v>92</v>
      </c>
      <c r="B165" s="40" t="s">
        <v>186</v>
      </c>
      <c r="C165" s="40" t="s">
        <v>304</v>
      </c>
      <c r="D165" s="40" t="s">
        <v>305</v>
      </c>
      <c r="E165" s="40" t="s">
        <v>570</v>
      </c>
      <c r="F165" s="41">
        <v>18.0</v>
      </c>
      <c r="G165" s="41">
        <v>260500.0</v>
      </c>
      <c r="H165" s="41">
        <v>6660.0</v>
      </c>
    </row>
    <row r="166" ht="15.75" customHeight="1">
      <c r="A166" s="40" t="s">
        <v>92</v>
      </c>
      <c r="B166" s="40" t="s">
        <v>117</v>
      </c>
      <c r="C166" s="40" t="s">
        <v>437</v>
      </c>
      <c r="D166" s="40" t="s">
        <v>438</v>
      </c>
      <c r="E166" s="40" t="s">
        <v>571</v>
      </c>
      <c r="F166" s="41">
        <v>8.0</v>
      </c>
      <c r="G166" s="41">
        <v>259800.0</v>
      </c>
      <c r="H166" s="41">
        <v>0.0</v>
      </c>
    </row>
    <row r="167" ht="15.75" customHeight="1">
      <c r="A167" s="40" t="s">
        <v>92</v>
      </c>
      <c r="B167" s="40" t="s">
        <v>186</v>
      </c>
      <c r="C167" s="40" t="s">
        <v>485</v>
      </c>
      <c r="D167" s="40" t="s">
        <v>486</v>
      </c>
      <c r="E167" s="40" t="s">
        <v>572</v>
      </c>
      <c r="F167" s="41">
        <v>6.0</v>
      </c>
      <c r="G167" s="41">
        <v>245400.0</v>
      </c>
      <c r="H167" s="41">
        <v>30000.0</v>
      </c>
    </row>
    <row r="168" ht="15.75" customHeight="1">
      <c r="A168" s="40" t="s">
        <v>92</v>
      </c>
      <c r="B168" s="40" t="s">
        <v>117</v>
      </c>
      <c r="C168" s="40" t="s">
        <v>284</v>
      </c>
      <c r="D168" s="40" t="s">
        <v>285</v>
      </c>
      <c r="E168" s="40" t="s">
        <v>573</v>
      </c>
      <c r="F168" s="41">
        <v>3.0</v>
      </c>
      <c r="G168" s="41">
        <v>242000.0</v>
      </c>
      <c r="H168" s="41">
        <v>0.0</v>
      </c>
    </row>
    <row r="169" ht="15.75" customHeight="1">
      <c r="A169" s="40" t="s">
        <v>92</v>
      </c>
      <c r="B169" s="40" t="s">
        <v>186</v>
      </c>
      <c r="C169" s="40" t="s">
        <v>497</v>
      </c>
      <c r="D169" s="40" t="s">
        <v>498</v>
      </c>
      <c r="E169" s="40" t="s">
        <v>574</v>
      </c>
      <c r="F169" s="41">
        <v>8.0</v>
      </c>
      <c r="G169" s="41">
        <v>240500.0</v>
      </c>
      <c r="H169" s="41">
        <v>18400.0</v>
      </c>
    </row>
    <row r="170" ht="15.75" customHeight="1">
      <c r="A170" s="40" t="s">
        <v>92</v>
      </c>
      <c r="B170" s="40" t="s">
        <v>186</v>
      </c>
      <c r="C170" s="40" t="s">
        <v>360</v>
      </c>
      <c r="D170" s="40" t="s">
        <v>361</v>
      </c>
      <c r="E170" s="40" t="s">
        <v>575</v>
      </c>
      <c r="F170" s="41">
        <v>20.0</v>
      </c>
      <c r="G170" s="41">
        <v>240000.0</v>
      </c>
      <c r="H170" s="41">
        <v>12000.0</v>
      </c>
    </row>
    <row r="171" ht="15.75" customHeight="1">
      <c r="A171" s="40" t="s">
        <v>92</v>
      </c>
      <c r="B171" s="40" t="s">
        <v>174</v>
      </c>
      <c r="C171" s="40" t="s">
        <v>373</v>
      </c>
      <c r="D171" s="40" t="s">
        <v>374</v>
      </c>
      <c r="E171" s="40" t="s">
        <v>576</v>
      </c>
      <c r="F171" s="41">
        <v>3.0</v>
      </c>
      <c r="G171" s="41">
        <v>230000.0</v>
      </c>
      <c r="H171" s="41">
        <v>0.0</v>
      </c>
    </row>
    <row r="172" ht="15.75" customHeight="1">
      <c r="A172" s="40" t="s">
        <v>92</v>
      </c>
      <c r="B172" s="40" t="s">
        <v>186</v>
      </c>
      <c r="C172" s="40" t="s">
        <v>253</v>
      </c>
      <c r="D172" s="40" t="s">
        <v>252</v>
      </c>
      <c r="E172" s="40" t="s">
        <v>577</v>
      </c>
      <c r="F172" s="41">
        <v>3.0</v>
      </c>
      <c r="G172" s="41">
        <v>228000.0</v>
      </c>
      <c r="H172" s="41">
        <v>20000.0</v>
      </c>
    </row>
    <row r="173" ht="15.75" customHeight="1">
      <c r="A173" s="40" t="s">
        <v>92</v>
      </c>
      <c r="B173" s="40" t="s">
        <v>186</v>
      </c>
      <c r="C173" s="40" t="s">
        <v>227</v>
      </c>
      <c r="D173" s="40" t="s">
        <v>226</v>
      </c>
      <c r="E173" s="40" t="s">
        <v>578</v>
      </c>
      <c r="F173" s="41">
        <v>9.0</v>
      </c>
      <c r="G173" s="41">
        <v>224000.0</v>
      </c>
      <c r="H173" s="41">
        <v>21000.0</v>
      </c>
    </row>
    <row r="174" ht="15.75" customHeight="1">
      <c r="A174" s="40" t="s">
        <v>92</v>
      </c>
      <c r="B174" s="40" t="s">
        <v>186</v>
      </c>
      <c r="C174" s="40" t="s">
        <v>579</v>
      </c>
      <c r="D174" s="40" t="s">
        <v>580</v>
      </c>
      <c r="E174" s="40" t="s">
        <v>581</v>
      </c>
      <c r="F174" s="41">
        <v>20.0</v>
      </c>
      <c r="G174" s="41">
        <v>223500.0</v>
      </c>
      <c r="H174" s="41">
        <v>2340.0</v>
      </c>
    </row>
    <row r="175" ht="15.75" customHeight="1">
      <c r="A175" s="40" t="s">
        <v>92</v>
      </c>
      <c r="B175" s="40" t="s">
        <v>174</v>
      </c>
      <c r="C175" s="40" t="s">
        <v>373</v>
      </c>
      <c r="D175" s="40" t="s">
        <v>374</v>
      </c>
      <c r="E175" s="40" t="s">
        <v>582</v>
      </c>
      <c r="F175" s="41">
        <v>1.0</v>
      </c>
      <c r="G175" s="41">
        <v>222300.0</v>
      </c>
      <c r="H175" s="41">
        <v>0.0</v>
      </c>
    </row>
    <row r="176" ht="15.75" customHeight="1">
      <c r="A176" s="40" t="s">
        <v>92</v>
      </c>
      <c r="B176" s="40" t="s">
        <v>186</v>
      </c>
      <c r="C176" s="40" t="s">
        <v>485</v>
      </c>
      <c r="D176" s="40" t="s">
        <v>486</v>
      </c>
      <c r="E176" s="40" t="s">
        <v>583</v>
      </c>
      <c r="F176" s="41">
        <v>1.0</v>
      </c>
      <c r="G176" s="41">
        <v>221400.0</v>
      </c>
      <c r="H176" s="41">
        <v>0.0</v>
      </c>
    </row>
    <row r="177" ht="15.75" customHeight="1">
      <c r="A177" s="40" t="s">
        <v>92</v>
      </c>
      <c r="B177" s="40" t="s">
        <v>117</v>
      </c>
      <c r="C177" s="40" t="s">
        <v>406</v>
      </c>
      <c r="D177" s="40" t="s">
        <v>407</v>
      </c>
      <c r="E177" s="40" t="s">
        <v>584</v>
      </c>
      <c r="F177" s="41">
        <v>4.0</v>
      </c>
      <c r="G177" s="41">
        <v>220000.0</v>
      </c>
      <c r="H177" s="41">
        <v>10000.0</v>
      </c>
    </row>
    <row r="178" ht="15.75" customHeight="1">
      <c r="A178" s="40" t="s">
        <v>92</v>
      </c>
      <c r="B178" s="40" t="s">
        <v>117</v>
      </c>
      <c r="C178" s="40" t="s">
        <v>350</v>
      </c>
      <c r="D178" s="40" t="s">
        <v>351</v>
      </c>
      <c r="E178" s="40" t="s">
        <v>585</v>
      </c>
      <c r="F178" s="41">
        <v>9.0</v>
      </c>
      <c r="G178" s="41">
        <v>215500.0</v>
      </c>
      <c r="H178" s="41">
        <v>19200.0</v>
      </c>
    </row>
    <row r="179" ht="15.75" customHeight="1">
      <c r="A179" s="40" t="s">
        <v>92</v>
      </c>
      <c r="B179" s="40" t="s">
        <v>117</v>
      </c>
      <c r="C179" s="40" t="s">
        <v>406</v>
      </c>
      <c r="D179" s="40" t="s">
        <v>407</v>
      </c>
      <c r="E179" s="40" t="s">
        <v>586</v>
      </c>
      <c r="F179" s="41">
        <v>7.0</v>
      </c>
      <c r="G179" s="41">
        <v>213800.0</v>
      </c>
      <c r="H179" s="41">
        <v>11920.0</v>
      </c>
    </row>
    <row r="180" ht="15.75" customHeight="1">
      <c r="A180" s="40" t="s">
        <v>92</v>
      </c>
      <c r="B180" s="40" t="s">
        <v>186</v>
      </c>
      <c r="C180" s="40" t="s">
        <v>322</v>
      </c>
      <c r="D180" s="40" t="s">
        <v>323</v>
      </c>
      <c r="E180" s="40" t="s">
        <v>587</v>
      </c>
      <c r="F180" s="41">
        <v>2.0</v>
      </c>
      <c r="G180" s="41">
        <v>210000.0</v>
      </c>
      <c r="H180" s="41">
        <v>0.0</v>
      </c>
    </row>
    <row r="181" ht="15.75" customHeight="1">
      <c r="A181" s="40" t="s">
        <v>92</v>
      </c>
      <c r="B181" s="40" t="s">
        <v>186</v>
      </c>
      <c r="C181" s="40" t="s">
        <v>523</v>
      </c>
      <c r="D181" s="40" t="s">
        <v>524</v>
      </c>
      <c r="E181" s="40" t="s">
        <v>588</v>
      </c>
      <c r="F181" s="41">
        <v>8.0</v>
      </c>
      <c r="G181" s="41">
        <v>204000.0</v>
      </c>
      <c r="H181" s="41">
        <v>20960.0</v>
      </c>
    </row>
    <row r="182" ht="15.75" customHeight="1">
      <c r="A182" s="40" t="s">
        <v>92</v>
      </c>
      <c r="B182" s="40" t="s">
        <v>117</v>
      </c>
      <c r="C182" s="40" t="s">
        <v>589</v>
      </c>
      <c r="D182" s="40" t="s">
        <v>590</v>
      </c>
      <c r="E182" s="40" t="s">
        <v>591</v>
      </c>
      <c r="F182" s="41">
        <v>10.0</v>
      </c>
      <c r="G182" s="41">
        <v>201000.0</v>
      </c>
      <c r="H182" s="41">
        <v>4200.0</v>
      </c>
    </row>
    <row r="183" ht="15.75" customHeight="1">
      <c r="A183" s="40" t="s">
        <v>92</v>
      </c>
      <c r="B183" s="40" t="s">
        <v>117</v>
      </c>
      <c r="C183" s="40" t="s">
        <v>592</v>
      </c>
      <c r="D183" s="40" t="s">
        <v>593</v>
      </c>
      <c r="E183" s="40" t="s">
        <v>594</v>
      </c>
      <c r="F183" s="41">
        <v>2.0</v>
      </c>
      <c r="G183" s="41">
        <v>200000.0</v>
      </c>
      <c r="H183" s="41">
        <v>10000.0</v>
      </c>
    </row>
    <row r="184" ht="15.75" customHeight="1">
      <c r="A184" s="40" t="s">
        <v>92</v>
      </c>
      <c r="B184" s="40" t="s">
        <v>186</v>
      </c>
      <c r="C184" s="40" t="s">
        <v>595</v>
      </c>
      <c r="D184" s="40" t="s">
        <v>596</v>
      </c>
      <c r="E184" s="40" t="s">
        <v>597</v>
      </c>
      <c r="F184" s="41">
        <v>3.0</v>
      </c>
      <c r="G184" s="41">
        <v>198000.0</v>
      </c>
      <c r="H184" s="41">
        <v>30000.0</v>
      </c>
    </row>
    <row r="185" ht="15.75" customHeight="1">
      <c r="A185" s="40" t="s">
        <v>92</v>
      </c>
      <c r="B185" s="40" t="s">
        <v>186</v>
      </c>
      <c r="C185" s="40" t="s">
        <v>598</v>
      </c>
      <c r="D185" s="40" t="s">
        <v>599</v>
      </c>
      <c r="E185" s="40" t="s">
        <v>600</v>
      </c>
      <c r="F185" s="41">
        <v>6.0</v>
      </c>
      <c r="G185" s="41">
        <v>195000.0</v>
      </c>
      <c r="H185" s="41">
        <v>15000.0</v>
      </c>
    </row>
    <row r="186" ht="15.75" customHeight="1">
      <c r="A186" s="40" t="s">
        <v>92</v>
      </c>
      <c r="B186" s="40" t="s">
        <v>186</v>
      </c>
      <c r="C186" s="40" t="s">
        <v>485</v>
      </c>
      <c r="D186" s="40" t="s">
        <v>486</v>
      </c>
      <c r="E186" s="40" t="s">
        <v>603</v>
      </c>
      <c r="F186" s="41">
        <v>3.0</v>
      </c>
      <c r="G186" s="41">
        <v>187000.0</v>
      </c>
      <c r="H186" s="41">
        <v>19800.0</v>
      </c>
    </row>
    <row r="187" ht="15.75" customHeight="1">
      <c r="A187" s="40" t="s">
        <v>92</v>
      </c>
      <c r="B187" s="40" t="s">
        <v>186</v>
      </c>
      <c r="C187" s="40" t="s">
        <v>604</v>
      </c>
      <c r="D187" s="40" t="s">
        <v>605</v>
      </c>
      <c r="E187" s="40" t="s">
        <v>606</v>
      </c>
      <c r="F187" s="41">
        <v>10.0</v>
      </c>
      <c r="G187" s="41">
        <v>180500.0</v>
      </c>
      <c r="H187" s="41">
        <v>6600.0</v>
      </c>
    </row>
    <row r="188" ht="15.75" customHeight="1">
      <c r="A188" s="40" t="s">
        <v>92</v>
      </c>
      <c r="B188" s="40" t="s">
        <v>117</v>
      </c>
      <c r="C188" s="40" t="s">
        <v>607</v>
      </c>
      <c r="D188" s="40" t="s">
        <v>608</v>
      </c>
      <c r="E188" s="40" t="s">
        <v>609</v>
      </c>
      <c r="F188" s="41">
        <v>5.0</v>
      </c>
      <c r="G188" s="41">
        <v>179500.0</v>
      </c>
      <c r="H188" s="41">
        <v>0.0</v>
      </c>
      <c r="J188" s="47" t="s">
        <v>186</v>
      </c>
      <c r="M188" s="48"/>
    </row>
    <row r="189" ht="15.75" customHeight="1">
      <c r="A189" s="40" t="s">
        <v>92</v>
      </c>
      <c r="B189" s="40" t="s">
        <v>186</v>
      </c>
      <c r="C189" s="40" t="s">
        <v>523</v>
      </c>
      <c r="D189" s="40" t="s">
        <v>524</v>
      </c>
      <c r="E189" s="40" t="s">
        <v>610</v>
      </c>
      <c r="F189" s="41">
        <v>11.0</v>
      </c>
      <c r="G189" s="41">
        <v>177400.0</v>
      </c>
      <c r="H189" s="41">
        <v>11840.0</v>
      </c>
    </row>
    <row r="190" ht="15.75" customHeight="1">
      <c r="A190" s="40" t="s">
        <v>92</v>
      </c>
      <c r="B190" s="40" t="s">
        <v>117</v>
      </c>
      <c r="C190" s="40" t="s">
        <v>602</v>
      </c>
      <c r="D190" s="40" t="s">
        <v>601</v>
      </c>
      <c r="E190" s="40" t="s">
        <v>611</v>
      </c>
      <c r="F190" s="41">
        <v>3.0</v>
      </c>
      <c r="G190" s="41">
        <v>175000.0</v>
      </c>
      <c r="H190" s="41">
        <v>0.0</v>
      </c>
    </row>
    <row r="191" ht="15.75" customHeight="1">
      <c r="A191" s="40" t="s">
        <v>92</v>
      </c>
      <c r="B191" s="40" t="s">
        <v>186</v>
      </c>
      <c r="C191" s="40" t="s">
        <v>433</v>
      </c>
      <c r="D191" s="40" t="s">
        <v>434</v>
      </c>
      <c r="E191" s="40" t="s">
        <v>612</v>
      </c>
      <c r="F191" s="41">
        <v>2.0</v>
      </c>
      <c r="G191" s="41">
        <v>165000.0</v>
      </c>
      <c r="H191" s="41">
        <v>20000.0</v>
      </c>
    </row>
    <row r="192" ht="15.75" customHeight="1">
      <c r="A192" s="40" t="s">
        <v>92</v>
      </c>
      <c r="B192" s="40" t="s">
        <v>117</v>
      </c>
      <c r="C192" s="40" t="s">
        <v>437</v>
      </c>
      <c r="D192" s="40" t="s">
        <v>438</v>
      </c>
      <c r="E192" s="40" t="s">
        <v>613</v>
      </c>
      <c r="F192" s="41">
        <v>9.0</v>
      </c>
      <c r="G192" s="41">
        <v>164700.0</v>
      </c>
      <c r="H192" s="41">
        <v>12640.0</v>
      </c>
    </row>
    <row r="193" ht="15.75" customHeight="1">
      <c r="A193" s="40" t="s">
        <v>92</v>
      </c>
      <c r="B193" s="40" t="s">
        <v>186</v>
      </c>
      <c r="C193" s="40" t="s">
        <v>485</v>
      </c>
      <c r="D193" s="40" t="s">
        <v>486</v>
      </c>
      <c r="E193" s="40" t="s">
        <v>614</v>
      </c>
      <c r="F193" s="41">
        <v>2.0</v>
      </c>
      <c r="G193" s="41">
        <v>164000.0</v>
      </c>
      <c r="H193" s="41">
        <v>0.0</v>
      </c>
    </row>
    <row r="194" ht="15.75" customHeight="1">
      <c r="A194" s="40" t="s">
        <v>92</v>
      </c>
      <c r="B194" s="40" t="s">
        <v>117</v>
      </c>
      <c r="C194" s="40" t="s">
        <v>231</v>
      </c>
      <c r="D194" s="40" t="s">
        <v>230</v>
      </c>
      <c r="E194" s="40" t="s">
        <v>615</v>
      </c>
      <c r="F194" s="41">
        <v>5.0</v>
      </c>
      <c r="G194" s="41">
        <v>162500.0</v>
      </c>
      <c r="H194" s="41">
        <v>6540.0</v>
      </c>
    </row>
    <row r="195" ht="15.75" customHeight="1">
      <c r="A195" s="40" t="s">
        <v>92</v>
      </c>
      <c r="B195" s="40" t="s">
        <v>174</v>
      </c>
      <c r="C195" s="40" t="s">
        <v>373</v>
      </c>
      <c r="D195" s="40" t="s">
        <v>374</v>
      </c>
      <c r="E195" s="40" t="s">
        <v>616</v>
      </c>
      <c r="F195" s="41">
        <v>3.0</v>
      </c>
      <c r="G195" s="41">
        <v>160240.0</v>
      </c>
      <c r="H195" s="41">
        <v>16040.0</v>
      </c>
    </row>
    <row r="196" ht="15.75" customHeight="1">
      <c r="A196" s="40" t="s">
        <v>92</v>
      </c>
      <c r="B196" s="40" t="s">
        <v>117</v>
      </c>
      <c r="C196" s="40" t="s">
        <v>480</v>
      </c>
      <c r="D196" s="40" t="s">
        <v>481</v>
      </c>
      <c r="E196" s="40" t="s">
        <v>617</v>
      </c>
      <c r="F196" s="41">
        <v>7.0</v>
      </c>
      <c r="G196" s="41">
        <v>160000.0</v>
      </c>
      <c r="H196" s="41">
        <v>19200.0</v>
      </c>
    </row>
    <row r="197" ht="15.75" customHeight="1">
      <c r="A197" s="40" t="s">
        <v>92</v>
      </c>
      <c r="B197" s="40" t="s">
        <v>117</v>
      </c>
      <c r="C197" s="40" t="s">
        <v>437</v>
      </c>
      <c r="D197" s="40" t="s">
        <v>438</v>
      </c>
      <c r="E197" s="40" t="s">
        <v>618</v>
      </c>
      <c r="F197" s="41">
        <v>2.0</v>
      </c>
      <c r="G197" s="41">
        <v>159200.0</v>
      </c>
      <c r="H197" s="41">
        <v>0.0</v>
      </c>
    </row>
    <row r="198" ht="15.75" customHeight="1">
      <c r="A198" s="40" t="s">
        <v>92</v>
      </c>
      <c r="B198" s="40" t="s">
        <v>117</v>
      </c>
      <c r="C198" s="40" t="s">
        <v>480</v>
      </c>
      <c r="D198" s="40" t="s">
        <v>481</v>
      </c>
      <c r="E198" s="40" t="s">
        <v>619</v>
      </c>
      <c r="F198" s="41">
        <v>5.0</v>
      </c>
      <c r="G198" s="41">
        <v>155000.0</v>
      </c>
      <c r="H198" s="41">
        <v>25000.0</v>
      </c>
    </row>
    <row r="199" ht="15.75" customHeight="1">
      <c r="A199" s="40" t="s">
        <v>92</v>
      </c>
      <c r="B199" s="40" t="s">
        <v>186</v>
      </c>
      <c r="C199" s="40" t="s">
        <v>366</v>
      </c>
      <c r="D199" s="40" t="s">
        <v>367</v>
      </c>
      <c r="E199" s="40" t="s">
        <v>620</v>
      </c>
      <c r="F199" s="41">
        <v>5.0</v>
      </c>
      <c r="G199" s="41">
        <v>155000.0</v>
      </c>
      <c r="H199" s="41">
        <v>7800.0</v>
      </c>
    </row>
    <row r="200" ht="15.75" customHeight="1">
      <c r="A200" s="40" t="s">
        <v>92</v>
      </c>
      <c r="B200" s="40" t="s">
        <v>117</v>
      </c>
      <c r="C200" s="40" t="s">
        <v>480</v>
      </c>
      <c r="D200" s="40" t="s">
        <v>481</v>
      </c>
      <c r="E200" s="40" t="s">
        <v>621</v>
      </c>
      <c r="F200" s="41">
        <v>8.0</v>
      </c>
      <c r="G200" s="41">
        <v>151000.0</v>
      </c>
      <c r="H200" s="41">
        <v>20000.0</v>
      </c>
    </row>
    <row r="201" ht="15.75" customHeight="1">
      <c r="A201" s="40" t="s">
        <v>92</v>
      </c>
      <c r="B201" s="40" t="s">
        <v>117</v>
      </c>
      <c r="C201" s="40" t="s">
        <v>507</v>
      </c>
      <c r="D201" s="40" t="s">
        <v>508</v>
      </c>
      <c r="E201" s="40" t="s">
        <v>622</v>
      </c>
      <c r="F201" s="41">
        <v>14.0</v>
      </c>
      <c r="G201" s="41">
        <v>149600.0</v>
      </c>
      <c r="H201" s="41">
        <v>12320.0</v>
      </c>
    </row>
    <row r="202" ht="15.75" customHeight="1">
      <c r="A202" s="40" t="s">
        <v>92</v>
      </c>
      <c r="B202" s="40" t="s">
        <v>174</v>
      </c>
      <c r="C202" s="40" t="s">
        <v>373</v>
      </c>
      <c r="D202" s="40" t="s">
        <v>374</v>
      </c>
      <c r="E202" s="40" t="s">
        <v>623</v>
      </c>
      <c r="F202" s="41">
        <v>6.0</v>
      </c>
      <c r="G202" s="41">
        <v>149400.0</v>
      </c>
      <c r="H202" s="41">
        <v>4740.0</v>
      </c>
    </row>
    <row r="203" ht="15.75" customHeight="1">
      <c r="A203" s="40" t="s">
        <v>92</v>
      </c>
      <c r="B203" s="40" t="s">
        <v>117</v>
      </c>
      <c r="C203" s="40" t="s">
        <v>354</v>
      </c>
      <c r="D203" s="40" t="s">
        <v>355</v>
      </c>
      <c r="E203" s="40" t="s">
        <v>624</v>
      </c>
      <c r="F203" s="41">
        <v>6.0</v>
      </c>
      <c r="G203" s="41">
        <v>148800.0</v>
      </c>
      <c r="H203" s="41">
        <v>0.0</v>
      </c>
    </row>
    <row r="204" ht="15.75" customHeight="1">
      <c r="A204" s="40" t="s">
        <v>92</v>
      </c>
      <c r="B204" s="40" t="s">
        <v>117</v>
      </c>
      <c r="C204" s="40" t="s">
        <v>607</v>
      </c>
      <c r="D204" s="40" t="s">
        <v>608</v>
      </c>
      <c r="E204" s="40" t="s">
        <v>625</v>
      </c>
      <c r="F204" s="41">
        <v>4.0</v>
      </c>
      <c r="G204" s="41">
        <v>146120.0</v>
      </c>
      <c r="H204" s="41">
        <v>3780.0</v>
      </c>
    </row>
    <row r="205" ht="15.75" customHeight="1">
      <c r="A205" s="40" t="s">
        <v>92</v>
      </c>
      <c r="B205" s="40" t="s">
        <v>117</v>
      </c>
      <c r="C205" s="40" t="s">
        <v>480</v>
      </c>
      <c r="D205" s="40" t="s">
        <v>481</v>
      </c>
      <c r="E205" s="40" t="s">
        <v>626</v>
      </c>
      <c r="F205" s="41">
        <v>11.0</v>
      </c>
      <c r="G205" s="41">
        <v>138000.0</v>
      </c>
      <c r="H205" s="41">
        <v>10000.0</v>
      </c>
    </row>
    <row r="206" ht="15.75" customHeight="1">
      <c r="A206" s="40" t="s">
        <v>92</v>
      </c>
      <c r="B206" s="40" t="s">
        <v>186</v>
      </c>
      <c r="C206" s="40" t="s">
        <v>475</v>
      </c>
      <c r="D206" s="40" t="s">
        <v>476</v>
      </c>
      <c r="E206" s="40" t="s">
        <v>627</v>
      </c>
      <c r="F206" s="41">
        <v>10.0</v>
      </c>
      <c r="G206" s="41">
        <v>136800.0</v>
      </c>
      <c r="H206" s="41">
        <v>0.0</v>
      </c>
    </row>
    <row r="207" ht="15.75" customHeight="1">
      <c r="A207" s="40" t="s">
        <v>92</v>
      </c>
      <c r="B207" s="40" t="s">
        <v>186</v>
      </c>
      <c r="C207" s="40" t="s">
        <v>304</v>
      </c>
      <c r="D207" s="40" t="s">
        <v>305</v>
      </c>
      <c r="E207" s="40" t="s">
        <v>628</v>
      </c>
      <c r="F207" s="41">
        <v>10.0</v>
      </c>
      <c r="G207" s="41">
        <v>136600.0</v>
      </c>
      <c r="H207" s="41">
        <v>12540.0</v>
      </c>
    </row>
    <row r="208" ht="15.75" customHeight="1">
      <c r="A208" s="40" t="s">
        <v>92</v>
      </c>
      <c r="B208" s="40" t="s">
        <v>117</v>
      </c>
      <c r="C208" s="40" t="s">
        <v>363</v>
      </c>
      <c r="D208" s="40" t="s">
        <v>364</v>
      </c>
      <c r="E208" s="40" t="s">
        <v>629</v>
      </c>
      <c r="F208" s="41">
        <v>2.0</v>
      </c>
      <c r="G208" s="41">
        <v>136000.0</v>
      </c>
      <c r="H208" s="41">
        <v>20000.0</v>
      </c>
    </row>
    <row r="209" ht="15.75" customHeight="1">
      <c r="A209" s="40" t="s">
        <v>92</v>
      </c>
      <c r="B209" s="40" t="s">
        <v>117</v>
      </c>
      <c r="C209" s="40" t="s">
        <v>231</v>
      </c>
      <c r="D209" s="40" t="s">
        <v>230</v>
      </c>
      <c r="E209" s="40" t="s">
        <v>630</v>
      </c>
      <c r="F209" s="41">
        <v>19.0</v>
      </c>
      <c r="G209" s="41">
        <v>135800.0</v>
      </c>
      <c r="H209" s="41">
        <v>0.0</v>
      </c>
    </row>
    <row r="210" ht="15.75" customHeight="1">
      <c r="A210" s="40" t="s">
        <v>92</v>
      </c>
      <c r="B210" s="40" t="s">
        <v>117</v>
      </c>
      <c r="C210" s="40" t="s">
        <v>452</v>
      </c>
      <c r="D210" s="40" t="s">
        <v>453</v>
      </c>
      <c r="E210" s="40" t="s">
        <v>631</v>
      </c>
      <c r="F210" s="41">
        <v>3.0</v>
      </c>
      <c r="G210" s="41">
        <v>134700.0</v>
      </c>
      <c r="H210" s="41">
        <v>17960.0</v>
      </c>
    </row>
    <row r="211" ht="15.75" customHeight="1">
      <c r="A211" s="40" t="s">
        <v>92</v>
      </c>
      <c r="B211" s="40" t="s">
        <v>117</v>
      </c>
      <c r="C211" s="40" t="s">
        <v>231</v>
      </c>
      <c r="D211" s="40" t="s">
        <v>230</v>
      </c>
      <c r="E211" s="40" t="s">
        <v>632</v>
      </c>
      <c r="F211" s="41">
        <v>3.0</v>
      </c>
      <c r="G211" s="41">
        <v>130200.0</v>
      </c>
      <c r="H211" s="41">
        <v>14760.0</v>
      </c>
    </row>
    <row r="212" ht="15.75" customHeight="1">
      <c r="A212" s="40" t="s">
        <v>92</v>
      </c>
      <c r="B212" s="40" t="s">
        <v>174</v>
      </c>
      <c r="C212" s="40" t="s">
        <v>373</v>
      </c>
      <c r="D212" s="40" t="s">
        <v>374</v>
      </c>
      <c r="E212" s="40" t="s">
        <v>633</v>
      </c>
      <c r="F212" s="41">
        <v>2.0</v>
      </c>
      <c r="G212" s="41">
        <v>127980.0</v>
      </c>
      <c r="H212" s="41">
        <v>0.0</v>
      </c>
    </row>
    <row r="213" ht="15.75" customHeight="1">
      <c r="A213" s="40" t="s">
        <v>92</v>
      </c>
      <c r="B213" s="40" t="s">
        <v>174</v>
      </c>
      <c r="C213" s="40" t="s">
        <v>336</v>
      </c>
      <c r="D213" s="40" t="s">
        <v>337</v>
      </c>
      <c r="E213" s="40" t="s">
        <v>634</v>
      </c>
      <c r="F213" s="41">
        <v>4.0</v>
      </c>
      <c r="G213" s="41">
        <v>125500.0</v>
      </c>
      <c r="H213" s="41">
        <v>6060.0</v>
      </c>
    </row>
    <row r="214" ht="15.75" customHeight="1">
      <c r="A214" s="40" t="s">
        <v>92</v>
      </c>
      <c r="B214" s="40" t="s">
        <v>117</v>
      </c>
      <c r="C214" s="40" t="s">
        <v>437</v>
      </c>
      <c r="D214" s="40" t="s">
        <v>438</v>
      </c>
      <c r="E214" s="40" t="s">
        <v>637</v>
      </c>
      <c r="F214" s="41">
        <v>5.0</v>
      </c>
      <c r="G214" s="41">
        <v>124500.0</v>
      </c>
      <c r="H214" s="41">
        <v>0.0</v>
      </c>
    </row>
    <row r="215" ht="15.75" customHeight="1">
      <c r="A215" s="40" t="s">
        <v>92</v>
      </c>
      <c r="B215" s="40" t="s">
        <v>117</v>
      </c>
      <c r="C215" s="40" t="s">
        <v>480</v>
      </c>
      <c r="D215" s="40" t="s">
        <v>481</v>
      </c>
      <c r="E215" s="40" t="s">
        <v>638</v>
      </c>
      <c r="F215" s="41">
        <v>5.0</v>
      </c>
      <c r="G215" s="41">
        <v>122000.0</v>
      </c>
      <c r="H215" s="41">
        <v>5400.0</v>
      </c>
    </row>
    <row r="216" ht="15.75" customHeight="1">
      <c r="A216" s="40" t="s">
        <v>92</v>
      </c>
      <c r="B216" s="40" t="s">
        <v>174</v>
      </c>
      <c r="C216" s="40" t="s">
        <v>336</v>
      </c>
      <c r="D216" s="40" t="s">
        <v>337</v>
      </c>
      <c r="E216" s="40" t="s">
        <v>639</v>
      </c>
      <c r="F216" s="41">
        <v>3.0</v>
      </c>
      <c r="G216" s="41">
        <v>121000.0</v>
      </c>
      <c r="H216" s="41">
        <v>6280.0</v>
      </c>
    </row>
    <row r="217" ht="15.75" customHeight="1">
      <c r="A217" s="40" t="s">
        <v>92</v>
      </c>
      <c r="B217" s="40" t="s">
        <v>186</v>
      </c>
      <c r="C217" s="40" t="s">
        <v>485</v>
      </c>
      <c r="D217" s="40" t="s">
        <v>486</v>
      </c>
      <c r="E217" s="40" t="s">
        <v>640</v>
      </c>
      <c r="F217" s="41">
        <v>2.0</v>
      </c>
      <c r="G217" s="41">
        <v>121000.0</v>
      </c>
      <c r="H217" s="41">
        <v>9000.0</v>
      </c>
    </row>
    <row r="218" ht="15.75" customHeight="1">
      <c r="A218" s="40" t="s">
        <v>92</v>
      </c>
      <c r="B218" s="40" t="s">
        <v>186</v>
      </c>
      <c r="C218" s="40" t="s">
        <v>366</v>
      </c>
      <c r="D218" s="40" t="s">
        <v>367</v>
      </c>
      <c r="E218" s="40" t="s">
        <v>641</v>
      </c>
      <c r="F218" s="41">
        <v>7.0</v>
      </c>
      <c r="G218" s="41">
        <v>120000.0</v>
      </c>
      <c r="H218" s="41">
        <v>0.0</v>
      </c>
    </row>
    <row r="219" ht="15.75" customHeight="1">
      <c r="A219" s="40" t="s">
        <v>92</v>
      </c>
      <c r="B219" s="40" t="s">
        <v>186</v>
      </c>
      <c r="C219" s="40" t="s">
        <v>642</v>
      </c>
      <c r="D219" s="40" t="s">
        <v>643</v>
      </c>
      <c r="E219" s="40" t="s">
        <v>644</v>
      </c>
      <c r="F219" s="41">
        <v>4.0</v>
      </c>
      <c r="G219" s="41">
        <v>120000.0</v>
      </c>
      <c r="H219" s="41">
        <v>22800.0</v>
      </c>
    </row>
    <row r="220" ht="15.75" customHeight="1">
      <c r="A220" s="40" t="s">
        <v>92</v>
      </c>
      <c r="B220" s="40" t="s">
        <v>117</v>
      </c>
      <c r="C220" s="40" t="s">
        <v>458</v>
      </c>
      <c r="D220" s="40" t="s">
        <v>459</v>
      </c>
      <c r="E220" s="40" t="s">
        <v>645</v>
      </c>
      <c r="F220" s="41">
        <v>3.0</v>
      </c>
      <c r="G220" s="41">
        <v>119600.0</v>
      </c>
      <c r="H220" s="41">
        <v>15980.0</v>
      </c>
    </row>
    <row r="221" ht="15.75" customHeight="1">
      <c r="A221" s="40" t="s">
        <v>92</v>
      </c>
      <c r="B221" s="40" t="s">
        <v>186</v>
      </c>
      <c r="C221" s="40" t="s">
        <v>485</v>
      </c>
      <c r="D221" s="40" t="s">
        <v>486</v>
      </c>
      <c r="E221" s="40" t="s">
        <v>646</v>
      </c>
      <c r="F221" s="41">
        <v>2.0</v>
      </c>
      <c r="G221" s="41">
        <v>119000.0</v>
      </c>
      <c r="H221" s="41">
        <v>20000.0</v>
      </c>
    </row>
    <row r="222" ht="15.75" customHeight="1">
      <c r="A222" s="40" t="s">
        <v>92</v>
      </c>
      <c r="B222" s="40" t="s">
        <v>117</v>
      </c>
      <c r="C222" s="40" t="s">
        <v>360</v>
      </c>
      <c r="D222" s="40" t="s">
        <v>361</v>
      </c>
      <c r="E222" s="40" t="s">
        <v>647</v>
      </c>
      <c r="F222" s="41">
        <v>9.0</v>
      </c>
      <c r="G222" s="41">
        <v>118800.0</v>
      </c>
      <c r="H222" s="41">
        <v>3960.0</v>
      </c>
    </row>
    <row r="223" ht="15.75" customHeight="1">
      <c r="A223" s="40" t="s">
        <v>92</v>
      </c>
      <c r="B223" s="40" t="s">
        <v>117</v>
      </c>
      <c r="C223" s="40" t="s">
        <v>480</v>
      </c>
      <c r="D223" s="40" t="s">
        <v>481</v>
      </c>
      <c r="E223" s="40" t="s">
        <v>648</v>
      </c>
      <c r="F223" s="41">
        <v>5.0</v>
      </c>
      <c r="G223" s="41">
        <v>117000.0</v>
      </c>
      <c r="H223" s="41">
        <v>12800.0</v>
      </c>
    </row>
    <row r="224" ht="15.75" customHeight="1">
      <c r="A224" s="40" t="s">
        <v>92</v>
      </c>
      <c r="B224" s="40" t="s">
        <v>117</v>
      </c>
      <c r="C224" s="40" t="s">
        <v>231</v>
      </c>
      <c r="D224" s="40" t="s">
        <v>230</v>
      </c>
      <c r="E224" s="40" t="s">
        <v>649</v>
      </c>
      <c r="F224" s="41">
        <v>4.0</v>
      </c>
      <c r="G224" s="41">
        <v>113400.0</v>
      </c>
      <c r="H224" s="41">
        <v>0.0</v>
      </c>
    </row>
    <row r="225" ht="15.75" customHeight="1">
      <c r="A225" s="40" t="s">
        <v>92</v>
      </c>
      <c r="B225" s="40" t="s">
        <v>186</v>
      </c>
      <c r="C225" s="40" t="s">
        <v>523</v>
      </c>
      <c r="D225" s="40" t="s">
        <v>524</v>
      </c>
      <c r="E225" s="40" t="s">
        <v>650</v>
      </c>
      <c r="F225" s="41">
        <v>11.0</v>
      </c>
      <c r="G225" s="41">
        <v>111800.0</v>
      </c>
      <c r="H225" s="41">
        <v>4320.0</v>
      </c>
    </row>
    <row r="226" ht="15.75" customHeight="1">
      <c r="A226" s="40" t="s">
        <v>92</v>
      </c>
      <c r="B226" s="40" t="s">
        <v>117</v>
      </c>
      <c r="C226" s="40" t="s">
        <v>350</v>
      </c>
      <c r="D226" s="40" t="s">
        <v>351</v>
      </c>
      <c r="E226" s="40" t="s">
        <v>651</v>
      </c>
      <c r="F226" s="41">
        <v>10.0</v>
      </c>
      <c r="G226" s="41">
        <v>111300.0</v>
      </c>
      <c r="H226" s="41">
        <v>6680.0</v>
      </c>
    </row>
    <row r="227" ht="15.75" customHeight="1">
      <c r="A227" s="40" t="s">
        <v>92</v>
      </c>
      <c r="B227" s="40" t="s">
        <v>117</v>
      </c>
      <c r="C227" s="40" t="s">
        <v>480</v>
      </c>
      <c r="D227" s="40" t="s">
        <v>481</v>
      </c>
      <c r="E227" s="40" t="s">
        <v>652</v>
      </c>
      <c r="F227" s="41">
        <v>7.0</v>
      </c>
      <c r="G227" s="41">
        <v>111000.0</v>
      </c>
      <c r="H227" s="41">
        <v>6000.0</v>
      </c>
    </row>
    <row r="228" ht="15.75" customHeight="1">
      <c r="A228" s="40" t="s">
        <v>92</v>
      </c>
      <c r="B228" s="40" t="s">
        <v>186</v>
      </c>
      <c r="C228" s="40" t="s">
        <v>480</v>
      </c>
      <c r="D228" s="40" t="s">
        <v>481</v>
      </c>
      <c r="E228" s="40" t="s">
        <v>653</v>
      </c>
      <c r="F228" s="41">
        <v>12.0</v>
      </c>
      <c r="G228" s="41">
        <v>111000.0</v>
      </c>
      <c r="H228" s="41">
        <v>1600.0</v>
      </c>
    </row>
    <row r="229" ht="15.75" customHeight="1">
      <c r="A229" s="40" t="s">
        <v>92</v>
      </c>
      <c r="B229" s="40" t="s">
        <v>186</v>
      </c>
      <c r="C229" s="40" t="s">
        <v>227</v>
      </c>
      <c r="D229" s="40" t="s">
        <v>226</v>
      </c>
      <c r="E229" s="40" t="s">
        <v>654</v>
      </c>
      <c r="F229" s="41">
        <v>4.0</v>
      </c>
      <c r="G229" s="41">
        <v>108000.0</v>
      </c>
      <c r="H229" s="41">
        <v>14400.0</v>
      </c>
    </row>
    <row r="230" ht="15.75" customHeight="1">
      <c r="A230" s="40" t="s">
        <v>92</v>
      </c>
      <c r="B230" s="40" t="s">
        <v>186</v>
      </c>
      <c r="C230" s="40" t="s">
        <v>322</v>
      </c>
      <c r="D230" s="40" t="s">
        <v>323</v>
      </c>
      <c r="E230" s="40" t="s">
        <v>655</v>
      </c>
      <c r="F230" s="41">
        <v>1.0</v>
      </c>
      <c r="G230" s="41">
        <v>105000.0</v>
      </c>
      <c r="H230" s="41">
        <v>0.0</v>
      </c>
    </row>
    <row r="231" ht="15.75" customHeight="1">
      <c r="A231" s="40" t="s">
        <v>92</v>
      </c>
      <c r="B231" s="40" t="s">
        <v>186</v>
      </c>
      <c r="C231" s="40" t="s">
        <v>497</v>
      </c>
      <c r="D231" s="40" t="s">
        <v>498</v>
      </c>
      <c r="E231" s="40" t="s">
        <v>656</v>
      </c>
      <c r="F231" s="41">
        <v>2.0</v>
      </c>
      <c r="G231" s="41">
        <v>105000.0</v>
      </c>
      <c r="H231" s="41">
        <v>7000.0</v>
      </c>
    </row>
    <row r="232" ht="15.75" customHeight="1">
      <c r="A232" s="40" t="s">
        <v>92</v>
      </c>
      <c r="B232" s="40" t="s">
        <v>117</v>
      </c>
      <c r="C232" s="40" t="s">
        <v>437</v>
      </c>
      <c r="D232" s="40" t="s">
        <v>438</v>
      </c>
      <c r="E232" s="40" t="s">
        <v>657</v>
      </c>
      <c r="F232" s="41">
        <v>4.0</v>
      </c>
      <c r="G232" s="41">
        <v>103600.0</v>
      </c>
      <c r="H232" s="41">
        <v>4180.0</v>
      </c>
    </row>
    <row r="233" ht="15.75" customHeight="1">
      <c r="A233" s="40" t="s">
        <v>92</v>
      </c>
      <c r="B233" s="40" t="s">
        <v>117</v>
      </c>
      <c r="C233" s="40" t="s">
        <v>480</v>
      </c>
      <c r="D233" s="40" t="s">
        <v>481</v>
      </c>
      <c r="E233" s="40" t="s">
        <v>658</v>
      </c>
      <c r="F233" s="41">
        <v>5.0</v>
      </c>
      <c r="G233" s="41">
        <v>103000.0</v>
      </c>
      <c r="H233" s="41">
        <v>10000.0</v>
      </c>
    </row>
    <row r="234" ht="15.75" customHeight="1">
      <c r="A234" s="40" t="s">
        <v>92</v>
      </c>
      <c r="B234" s="40" t="s">
        <v>186</v>
      </c>
      <c r="C234" s="40" t="s">
        <v>322</v>
      </c>
      <c r="D234" s="40" t="s">
        <v>323</v>
      </c>
      <c r="E234" s="40" t="s">
        <v>659</v>
      </c>
      <c r="F234" s="41">
        <v>3.0</v>
      </c>
      <c r="G234" s="41">
        <v>98670.0</v>
      </c>
      <c r="H234" s="41">
        <v>0.0</v>
      </c>
    </row>
    <row r="235" ht="15.75" customHeight="1">
      <c r="A235" s="40" t="s">
        <v>92</v>
      </c>
      <c r="B235" s="40" t="s">
        <v>186</v>
      </c>
      <c r="C235" s="40" t="s">
        <v>555</v>
      </c>
      <c r="D235" s="40" t="s">
        <v>556</v>
      </c>
      <c r="E235" s="40" t="s">
        <v>660</v>
      </c>
      <c r="F235" s="41">
        <v>1.0</v>
      </c>
      <c r="G235" s="41">
        <v>98500.0</v>
      </c>
      <c r="H235" s="41">
        <v>0.0</v>
      </c>
    </row>
    <row r="236" ht="15.75" customHeight="1">
      <c r="A236" s="40" t="s">
        <v>92</v>
      </c>
      <c r="B236" s="40" t="s">
        <v>117</v>
      </c>
      <c r="C236" s="40" t="s">
        <v>377</v>
      </c>
      <c r="D236" s="40" t="s">
        <v>378</v>
      </c>
      <c r="E236" s="40" t="s">
        <v>661</v>
      </c>
      <c r="F236" s="41">
        <v>2.0</v>
      </c>
      <c r="G236" s="41">
        <v>97800.0</v>
      </c>
      <c r="H236" s="41">
        <v>0.0</v>
      </c>
    </row>
    <row r="237" ht="15.75" customHeight="1">
      <c r="A237" s="40" t="s">
        <v>92</v>
      </c>
      <c r="B237" s="40" t="s">
        <v>117</v>
      </c>
      <c r="C237" s="40" t="s">
        <v>383</v>
      </c>
      <c r="D237" s="40" t="s">
        <v>384</v>
      </c>
      <c r="E237" s="40" t="s">
        <v>662</v>
      </c>
      <c r="F237" s="41">
        <v>2.0</v>
      </c>
      <c r="G237" s="41">
        <v>96200.0</v>
      </c>
      <c r="H237" s="41">
        <v>0.0</v>
      </c>
    </row>
    <row r="238" ht="15.75" customHeight="1">
      <c r="A238" s="40" t="s">
        <v>92</v>
      </c>
      <c r="B238" s="40" t="s">
        <v>186</v>
      </c>
      <c r="C238" s="40" t="s">
        <v>663</v>
      </c>
      <c r="D238" s="40" t="s">
        <v>664</v>
      </c>
      <c r="E238" s="40" t="s">
        <v>665</v>
      </c>
      <c r="F238" s="41">
        <v>5.0</v>
      </c>
      <c r="G238" s="41">
        <v>95400.0</v>
      </c>
      <c r="H238" s="41">
        <v>0.0</v>
      </c>
    </row>
    <row r="239" ht="15.75" customHeight="1">
      <c r="A239" s="40" t="s">
        <v>92</v>
      </c>
      <c r="B239" s="40" t="s">
        <v>117</v>
      </c>
      <c r="C239" s="40" t="s">
        <v>452</v>
      </c>
      <c r="D239" s="40" t="s">
        <v>453</v>
      </c>
      <c r="E239" s="40" t="s">
        <v>666</v>
      </c>
      <c r="F239" s="41">
        <v>2.0</v>
      </c>
      <c r="G239" s="41">
        <v>93800.0</v>
      </c>
      <c r="H239" s="41">
        <v>9380.0</v>
      </c>
    </row>
    <row r="240" ht="15.75" customHeight="1">
      <c r="A240" s="40" t="s">
        <v>92</v>
      </c>
      <c r="B240" s="40" t="s">
        <v>117</v>
      </c>
      <c r="C240" s="40" t="s">
        <v>437</v>
      </c>
      <c r="D240" s="40" t="s">
        <v>438</v>
      </c>
      <c r="E240" s="40" t="s">
        <v>667</v>
      </c>
      <c r="F240" s="41">
        <v>5.0</v>
      </c>
      <c r="G240" s="41">
        <v>91500.0</v>
      </c>
      <c r="H240" s="41">
        <v>3660.0</v>
      </c>
    </row>
    <row r="241" ht="15.75" customHeight="1">
      <c r="A241" s="40" t="s">
        <v>92</v>
      </c>
      <c r="B241" s="40" t="s">
        <v>186</v>
      </c>
      <c r="C241" s="40" t="s">
        <v>433</v>
      </c>
      <c r="D241" s="40" t="s">
        <v>434</v>
      </c>
      <c r="E241" s="40" t="s">
        <v>668</v>
      </c>
      <c r="F241" s="41">
        <v>2.0</v>
      </c>
      <c r="G241" s="41">
        <v>90000.0</v>
      </c>
      <c r="H241" s="41">
        <v>9000.0</v>
      </c>
    </row>
    <row r="242" ht="15.75" customHeight="1">
      <c r="A242" s="40" t="s">
        <v>92</v>
      </c>
      <c r="B242" s="40" t="s">
        <v>186</v>
      </c>
      <c r="C242" s="40" t="s">
        <v>497</v>
      </c>
      <c r="D242" s="40" t="s">
        <v>498</v>
      </c>
      <c r="E242" s="40" t="s">
        <v>669</v>
      </c>
      <c r="F242" s="41">
        <v>4.0</v>
      </c>
      <c r="G242" s="41">
        <v>90000.0</v>
      </c>
      <c r="H242" s="41">
        <v>0.0</v>
      </c>
    </row>
    <row r="243" ht="15.75" customHeight="1">
      <c r="A243" s="40" t="s">
        <v>92</v>
      </c>
      <c r="B243" s="40" t="s">
        <v>186</v>
      </c>
      <c r="C243" s="40" t="s">
        <v>485</v>
      </c>
      <c r="D243" s="40" t="s">
        <v>486</v>
      </c>
      <c r="E243" s="40" t="s">
        <v>670</v>
      </c>
      <c r="F243" s="41">
        <v>1.0</v>
      </c>
      <c r="G243" s="41">
        <v>89100.0</v>
      </c>
      <c r="H243" s="41">
        <v>0.0</v>
      </c>
    </row>
    <row r="244" ht="15.75" customHeight="1">
      <c r="A244" s="40" t="s">
        <v>92</v>
      </c>
      <c r="B244" s="40" t="s">
        <v>186</v>
      </c>
      <c r="C244" s="40" t="s">
        <v>564</v>
      </c>
      <c r="D244" s="40" t="s">
        <v>565</v>
      </c>
      <c r="E244" s="40" t="s">
        <v>671</v>
      </c>
      <c r="F244" s="41">
        <v>4.0</v>
      </c>
      <c r="G244" s="41">
        <v>89100.0</v>
      </c>
      <c r="H244" s="41">
        <v>13860.0</v>
      </c>
    </row>
    <row r="245" ht="15.75" customHeight="1">
      <c r="A245" s="40" t="s">
        <v>92</v>
      </c>
      <c r="B245" s="40" t="s">
        <v>186</v>
      </c>
      <c r="C245" s="40" t="s">
        <v>564</v>
      </c>
      <c r="D245" s="40" t="s">
        <v>565</v>
      </c>
      <c r="E245" s="40" t="s">
        <v>672</v>
      </c>
      <c r="F245" s="41">
        <v>2.0</v>
      </c>
      <c r="G245" s="41">
        <v>88700.0</v>
      </c>
      <c r="H245" s="41">
        <v>10000.0</v>
      </c>
    </row>
    <row r="246" ht="15.75" customHeight="1">
      <c r="A246" s="40" t="s">
        <v>92</v>
      </c>
      <c r="B246" s="40" t="s">
        <v>186</v>
      </c>
      <c r="C246" s="40" t="s">
        <v>485</v>
      </c>
      <c r="D246" s="40" t="s">
        <v>486</v>
      </c>
      <c r="E246" s="40" t="s">
        <v>673</v>
      </c>
      <c r="F246" s="41">
        <v>4.0</v>
      </c>
      <c r="G246" s="41">
        <v>88000.0</v>
      </c>
      <c r="H246" s="41">
        <v>13200.0</v>
      </c>
    </row>
    <row r="247" ht="15.75" customHeight="1">
      <c r="A247" s="40" t="s">
        <v>92</v>
      </c>
      <c r="B247" s="40" t="s">
        <v>117</v>
      </c>
      <c r="C247" s="40" t="s">
        <v>398</v>
      </c>
      <c r="D247" s="40" t="s">
        <v>399</v>
      </c>
      <c r="E247" s="40" t="s">
        <v>674</v>
      </c>
      <c r="F247" s="41">
        <v>2.0</v>
      </c>
      <c r="G247" s="41">
        <v>87800.0</v>
      </c>
      <c r="H247" s="41">
        <v>8780.0</v>
      </c>
    </row>
    <row r="248" ht="15.75" customHeight="1">
      <c r="A248" s="40" t="s">
        <v>92</v>
      </c>
      <c r="B248" s="40" t="s">
        <v>186</v>
      </c>
      <c r="C248" s="40" t="s">
        <v>642</v>
      </c>
      <c r="D248" s="40" t="s">
        <v>643</v>
      </c>
      <c r="E248" s="40" t="s">
        <v>675</v>
      </c>
      <c r="F248" s="41">
        <v>3.0</v>
      </c>
      <c r="G248" s="41">
        <v>87200.0</v>
      </c>
      <c r="H248" s="41">
        <v>10000.0</v>
      </c>
    </row>
    <row r="249" ht="15.75" customHeight="1">
      <c r="A249" s="40" t="s">
        <v>92</v>
      </c>
      <c r="B249" s="40" t="s">
        <v>186</v>
      </c>
      <c r="C249" s="40" t="s">
        <v>555</v>
      </c>
      <c r="D249" s="40" t="s">
        <v>556</v>
      </c>
      <c r="E249" s="40" t="s">
        <v>676</v>
      </c>
      <c r="F249" s="41">
        <v>3.0</v>
      </c>
      <c r="G249" s="41">
        <v>87000.0</v>
      </c>
      <c r="H249" s="41">
        <v>0.0</v>
      </c>
    </row>
    <row r="250" ht="15.75" customHeight="1">
      <c r="A250" s="40" t="s">
        <v>92</v>
      </c>
      <c r="B250" s="40" t="s">
        <v>186</v>
      </c>
      <c r="C250" s="40" t="s">
        <v>677</v>
      </c>
      <c r="D250" s="40" t="s">
        <v>678</v>
      </c>
      <c r="E250" s="40" t="s">
        <v>679</v>
      </c>
      <c r="F250" s="41">
        <v>2.0</v>
      </c>
      <c r="G250" s="41">
        <v>85260.0</v>
      </c>
      <c r="H250" s="41">
        <v>0.0</v>
      </c>
    </row>
    <row r="251" ht="15.75" customHeight="1">
      <c r="A251" s="40" t="s">
        <v>92</v>
      </c>
      <c r="B251" s="40" t="s">
        <v>117</v>
      </c>
      <c r="C251" s="40" t="s">
        <v>480</v>
      </c>
      <c r="D251" s="40" t="s">
        <v>481</v>
      </c>
      <c r="E251" s="40" t="s">
        <v>680</v>
      </c>
      <c r="F251" s="41">
        <v>3.0</v>
      </c>
      <c r="G251" s="41">
        <v>85000.0</v>
      </c>
      <c r="H251" s="41">
        <v>10000.0</v>
      </c>
    </row>
    <row r="252" ht="15.75" customHeight="1">
      <c r="A252" s="40" t="s">
        <v>92</v>
      </c>
      <c r="B252" s="40" t="s">
        <v>117</v>
      </c>
      <c r="C252" s="40" t="s">
        <v>437</v>
      </c>
      <c r="D252" s="40" t="s">
        <v>438</v>
      </c>
      <c r="E252" s="40" t="s">
        <v>681</v>
      </c>
      <c r="F252" s="41">
        <v>4.0</v>
      </c>
      <c r="G252" s="41">
        <v>83600.0</v>
      </c>
      <c r="H252" s="41">
        <v>4180.0</v>
      </c>
    </row>
    <row r="253" ht="15.75" customHeight="1">
      <c r="A253" s="40" t="s">
        <v>92</v>
      </c>
      <c r="B253" s="40" t="s">
        <v>186</v>
      </c>
      <c r="C253" s="40" t="s">
        <v>366</v>
      </c>
      <c r="D253" s="40" t="s">
        <v>367</v>
      </c>
      <c r="E253" s="40" t="s">
        <v>682</v>
      </c>
      <c r="F253" s="41">
        <v>6.0</v>
      </c>
      <c r="G253" s="41">
        <v>83000.0</v>
      </c>
      <c r="H253" s="41">
        <v>3000.0</v>
      </c>
    </row>
    <row r="254" ht="15.75" customHeight="1">
      <c r="A254" s="40" t="s">
        <v>92</v>
      </c>
      <c r="B254" s="40" t="s">
        <v>186</v>
      </c>
      <c r="C254" s="40" t="s">
        <v>485</v>
      </c>
      <c r="D254" s="40" t="s">
        <v>486</v>
      </c>
      <c r="E254" s="40" t="s">
        <v>683</v>
      </c>
      <c r="F254" s="41">
        <v>4.0</v>
      </c>
      <c r="G254" s="41">
        <v>83000.0</v>
      </c>
      <c r="H254" s="41">
        <v>12000.0</v>
      </c>
    </row>
    <row r="255" ht="15.75" customHeight="1">
      <c r="A255" s="40" t="s">
        <v>92</v>
      </c>
      <c r="B255" s="40" t="s">
        <v>186</v>
      </c>
      <c r="C255" s="40" t="s">
        <v>497</v>
      </c>
      <c r="D255" s="40" t="s">
        <v>498</v>
      </c>
      <c r="E255" s="40" t="s">
        <v>684</v>
      </c>
      <c r="F255" s="41">
        <v>2.0</v>
      </c>
      <c r="G255" s="41">
        <v>80000.0</v>
      </c>
      <c r="H255" s="41">
        <v>10000.0</v>
      </c>
    </row>
    <row r="256" ht="15.75" customHeight="1">
      <c r="A256" s="40" t="s">
        <v>92</v>
      </c>
      <c r="B256" s="40" t="s">
        <v>186</v>
      </c>
      <c r="C256" s="40" t="s">
        <v>604</v>
      </c>
      <c r="D256" s="40" t="s">
        <v>605</v>
      </c>
      <c r="E256" s="40" t="s">
        <v>685</v>
      </c>
      <c r="F256" s="41">
        <v>1.0</v>
      </c>
      <c r="G256" s="41">
        <v>80000.0</v>
      </c>
      <c r="H256" s="41">
        <v>0.0</v>
      </c>
    </row>
    <row r="257" ht="15.75" customHeight="1">
      <c r="A257" s="40" t="s">
        <v>92</v>
      </c>
      <c r="B257" s="40" t="s">
        <v>186</v>
      </c>
      <c r="C257" s="40" t="s">
        <v>485</v>
      </c>
      <c r="D257" s="40" t="s">
        <v>486</v>
      </c>
      <c r="E257" s="40" t="s">
        <v>686</v>
      </c>
      <c r="F257" s="41">
        <v>1.0</v>
      </c>
      <c r="G257" s="41">
        <v>80000.0</v>
      </c>
      <c r="H257" s="41">
        <v>0.0</v>
      </c>
    </row>
    <row r="258" ht="15.75" customHeight="1">
      <c r="A258" s="40" t="s">
        <v>92</v>
      </c>
      <c r="B258" s="40" t="s">
        <v>117</v>
      </c>
      <c r="C258" s="40" t="s">
        <v>406</v>
      </c>
      <c r="D258" s="40" t="s">
        <v>407</v>
      </c>
      <c r="E258" s="40" t="s">
        <v>687</v>
      </c>
      <c r="F258" s="41">
        <v>1.0</v>
      </c>
      <c r="G258" s="41">
        <v>79000.0</v>
      </c>
      <c r="H258" s="41">
        <v>0.0</v>
      </c>
    </row>
    <row r="259" ht="15.75" customHeight="1">
      <c r="A259" s="40" t="s">
        <v>92</v>
      </c>
      <c r="B259" s="40" t="s">
        <v>117</v>
      </c>
      <c r="C259" s="40" t="s">
        <v>406</v>
      </c>
      <c r="D259" s="40" t="s">
        <v>407</v>
      </c>
      <c r="E259" s="40" t="s">
        <v>688</v>
      </c>
      <c r="F259" s="41">
        <v>1.0</v>
      </c>
      <c r="G259" s="41">
        <v>78500.0</v>
      </c>
      <c r="H259" s="41">
        <v>0.0</v>
      </c>
    </row>
    <row r="260" ht="15.75" customHeight="1">
      <c r="A260" s="40" t="s">
        <v>92</v>
      </c>
      <c r="B260" s="40" t="s">
        <v>186</v>
      </c>
      <c r="C260" s="40" t="s">
        <v>366</v>
      </c>
      <c r="D260" s="40" t="s">
        <v>367</v>
      </c>
      <c r="E260" s="40" t="s">
        <v>689</v>
      </c>
      <c r="F260" s="41">
        <v>5.0</v>
      </c>
      <c r="G260" s="41">
        <v>78000.0</v>
      </c>
      <c r="H260" s="41">
        <v>0.0</v>
      </c>
    </row>
    <row r="261" ht="15.75" customHeight="1">
      <c r="A261" s="40" t="s">
        <v>92</v>
      </c>
      <c r="B261" s="40" t="s">
        <v>117</v>
      </c>
      <c r="C261" s="40" t="s">
        <v>598</v>
      </c>
      <c r="D261" s="40" t="s">
        <v>599</v>
      </c>
      <c r="E261" s="40" t="s">
        <v>690</v>
      </c>
      <c r="F261" s="41">
        <v>2.0</v>
      </c>
      <c r="G261" s="41">
        <v>77000.0</v>
      </c>
      <c r="H261" s="41">
        <v>10000.0</v>
      </c>
    </row>
    <row r="262" ht="15.75" customHeight="1">
      <c r="A262" s="40" t="s">
        <v>92</v>
      </c>
      <c r="B262" s="40" t="s">
        <v>117</v>
      </c>
      <c r="C262" s="40" t="s">
        <v>231</v>
      </c>
      <c r="D262" s="40" t="s">
        <v>230</v>
      </c>
      <c r="E262" s="40" t="s">
        <v>691</v>
      </c>
      <c r="F262" s="41">
        <v>4.0</v>
      </c>
      <c r="G262" s="41">
        <v>76500.0</v>
      </c>
      <c r="H262" s="41">
        <v>0.0</v>
      </c>
    </row>
    <row r="263" ht="15.75" customHeight="1">
      <c r="A263" s="40" t="s">
        <v>92</v>
      </c>
      <c r="B263" s="40" t="s">
        <v>117</v>
      </c>
      <c r="C263" s="40" t="s">
        <v>480</v>
      </c>
      <c r="D263" s="40" t="s">
        <v>481</v>
      </c>
      <c r="E263" s="40" t="s">
        <v>692</v>
      </c>
      <c r="F263" s="41">
        <v>4.0</v>
      </c>
      <c r="G263" s="41">
        <v>76000.0</v>
      </c>
      <c r="H263" s="41">
        <v>9600.0</v>
      </c>
    </row>
    <row r="264" ht="15.75" customHeight="1">
      <c r="A264" s="40" t="s">
        <v>92</v>
      </c>
      <c r="B264" s="40" t="s">
        <v>186</v>
      </c>
      <c r="C264" s="40" t="s">
        <v>485</v>
      </c>
      <c r="D264" s="40" t="s">
        <v>486</v>
      </c>
      <c r="E264" s="40" t="s">
        <v>695</v>
      </c>
      <c r="F264" s="41">
        <v>1.0</v>
      </c>
      <c r="G264" s="41">
        <v>76000.0</v>
      </c>
      <c r="H264" s="41">
        <v>0.0</v>
      </c>
    </row>
    <row r="265" ht="15.75" customHeight="1">
      <c r="A265" s="40" t="s">
        <v>92</v>
      </c>
      <c r="B265" s="40" t="s">
        <v>174</v>
      </c>
      <c r="C265" s="40" t="s">
        <v>373</v>
      </c>
      <c r="D265" s="40" t="s">
        <v>374</v>
      </c>
      <c r="E265" s="40" t="s">
        <v>696</v>
      </c>
      <c r="F265" s="41">
        <v>3.0</v>
      </c>
      <c r="G265" s="41">
        <v>75620.0</v>
      </c>
      <c r="H265" s="41">
        <v>5170.0</v>
      </c>
    </row>
    <row r="266" ht="15.75" customHeight="1">
      <c r="A266" s="40" t="s">
        <v>92</v>
      </c>
      <c r="B266" s="40" t="s">
        <v>186</v>
      </c>
      <c r="C266" s="40" t="s">
        <v>697</v>
      </c>
      <c r="D266" s="40" t="s">
        <v>698</v>
      </c>
      <c r="E266" s="40" t="s">
        <v>699</v>
      </c>
      <c r="F266" s="41">
        <v>1.0</v>
      </c>
      <c r="G266" s="41">
        <v>75000.0</v>
      </c>
      <c r="H266" s="41">
        <v>0.0</v>
      </c>
    </row>
    <row r="267" ht="15.75" customHeight="1">
      <c r="A267" s="40" t="s">
        <v>92</v>
      </c>
      <c r="B267" s="40" t="s">
        <v>186</v>
      </c>
      <c r="C267" s="40" t="s">
        <v>485</v>
      </c>
      <c r="D267" s="40" t="s">
        <v>486</v>
      </c>
      <c r="E267" s="40" t="s">
        <v>700</v>
      </c>
      <c r="F267" s="41">
        <v>2.0</v>
      </c>
      <c r="G267" s="41">
        <v>75000.0</v>
      </c>
      <c r="H267" s="41">
        <v>15000.0</v>
      </c>
    </row>
    <row r="268" ht="15.75" customHeight="1">
      <c r="A268" s="40" t="s">
        <v>92</v>
      </c>
      <c r="B268" s="40" t="s">
        <v>117</v>
      </c>
      <c r="C268" s="40" t="s">
        <v>406</v>
      </c>
      <c r="D268" s="40" t="s">
        <v>407</v>
      </c>
      <c r="E268" s="40" t="s">
        <v>701</v>
      </c>
      <c r="F268" s="41">
        <v>1.0</v>
      </c>
      <c r="G268" s="41">
        <v>74500.0</v>
      </c>
      <c r="H268" s="41">
        <v>0.0</v>
      </c>
    </row>
    <row r="269" ht="15.75" customHeight="1">
      <c r="A269" s="40" t="s">
        <v>92</v>
      </c>
      <c r="B269" s="40" t="s">
        <v>174</v>
      </c>
      <c r="C269" s="40" t="s">
        <v>373</v>
      </c>
      <c r="D269" s="40" t="s">
        <v>374</v>
      </c>
      <c r="E269" s="40" t="s">
        <v>702</v>
      </c>
      <c r="F269" s="41">
        <v>5.0</v>
      </c>
      <c r="G269" s="41">
        <v>73800.0</v>
      </c>
      <c r="H269" s="41">
        <v>3000.0</v>
      </c>
    </row>
    <row r="270" ht="15.75" customHeight="1">
      <c r="A270" s="40" t="s">
        <v>92</v>
      </c>
      <c r="B270" s="40" t="s">
        <v>186</v>
      </c>
      <c r="C270" s="40" t="s">
        <v>663</v>
      </c>
      <c r="D270" s="40" t="s">
        <v>664</v>
      </c>
      <c r="E270" s="40" t="s">
        <v>703</v>
      </c>
      <c r="F270" s="41">
        <v>4.0</v>
      </c>
      <c r="G270" s="41">
        <v>73000.0</v>
      </c>
      <c r="H270" s="41">
        <v>0.0</v>
      </c>
    </row>
    <row r="271" ht="15.75" customHeight="1">
      <c r="A271" s="40" t="s">
        <v>92</v>
      </c>
      <c r="B271" s="40" t="s">
        <v>174</v>
      </c>
      <c r="C271" s="40" t="s">
        <v>373</v>
      </c>
      <c r="D271" s="40" t="s">
        <v>374</v>
      </c>
      <c r="E271" s="40" t="s">
        <v>704</v>
      </c>
      <c r="F271" s="41">
        <v>3.0</v>
      </c>
      <c r="G271" s="41">
        <v>72900.0</v>
      </c>
      <c r="H271" s="41">
        <v>11120.0</v>
      </c>
    </row>
    <row r="272" ht="15.75" customHeight="1">
      <c r="A272" s="40" t="s">
        <v>92</v>
      </c>
      <c r="B272" s="40" t="s">
        <v>117</v>
      </c>
      <c r="C272" s="40" t="s">
        <v>446</v>
      </c>
      <c r="D272" s="40" t="s">
        <v>447</v>
      </c>
      <c r="E272" s="40" t="s">
        <v>705</v>
      </c>
      <c r="F272" s="41">
        <v>2.0</v>
      </c>
      <c r="G272" s="41">
        <v>71980.0</v>
      </c>
      <c r="H272" s="41">
        <v>7200.0</v>
      </c>
    </row>
    <row r="273" ht="15.75" customHeight="1">
      <c r="A273" s="40" t="s">
        <v>92</v>
      </c>
      <c r="B273" s="40" t="s">
        <v>186</v>
      </c>
      <c r="C273" s="40" t="s">
        <v>523</v>
      </c>
      <c r="D273" s="40" t="s">
        <v>524</v>
      </c>
      <c r="E273" s="40" t="s">
        <v>706</v>
      </c>
      <c r="F273" s="41">
        <v>5.0</v>
      </c>
      <c r="G273" s="41">
        <v>71180.0</v>
      </c>
      <c r="H273" s="41">
        <v>3570.0</v>
      </c>
    </row>
    <row r="274" ht="15.75" customHeight="1">
      <c r="A274" s="40" t="s">
        <v>92</v>
      </c>
      <c r="B274" s="40" t="s">
        <v>186</v>
      </c>
      <c r="C274" s="40" t="s">
        <v>475</v>
      </c>
      <c r="D274" s="40" t="s">
        <v>476</v>
      </c>
      <c r="E274" s="40" t="s">
        <v>707</v>
      </c>
      <c r="F274" s="41">
        <v>3.0</v>
      </c>
      <c r="G274" s="41">
        <v>70000.0</v>
      </c>
      <c r="H274" s="41">
        <v>11200.0</v>
      </c>
    </row>
    <row r="275" ht="15.75" customHeight="1">
      <c r="A275" s="40" t="s">
        <v>92</v>
      </c>
      <c r="B275" s="40" t="s">
        <v>186</v>
      </c>
      <c r="C275" s="40" t="s">
        <v>697</v>
      </c>
      <c r="D275" s="40" t="s">
        <v>698</v>
      </c>
      <c r="E275" s="40" t="s">
        <v>708</v>
      </c>
      <c r="F275" s="41">
        <v>2.0</v>
      </c>
      <c r="G275" s="41">
        <v>70000.0</v>
      </c>
      <c r="H275" s="41">
        <v>13860.0</v>
      </c>
    </row>
    <row r="276" ht="15.75" customHeight="1">
      <c r="A276" s="40" t="s">
        <v>92</v>
      </c>
      <c r="B276" s="40" t="s">
        <v>186</v>
      </c>
      <c r="C276" s="40" t="s">
        <v>564</v>
      </c>
      <c r="D276" s="40" t="s">
        <v>565</v>
      </c>
      <c r="E276" s="40" t="s">
        <v>709</v>
      </c>
      <c r="F276" s="41">
        <v>4.0</v>
      </c>
      <c r="G276" s="41">
        <v>67600.0</v>
      </c>
      <c r="H276" s="41">
        <v>10140.0</v>
      </c>
    </row>
    <row r="277" ht="15.75" customHeight="1">
      <c r="A277" s="40" t="s">
        <v>92</v>
      </c>
      <c r="B277" s="40" t="s">
        <v>174</v>
      </c>
      <c r="C277" s="40" t="s">
        <v>336</v>
      </c>
      <c r="D277" s="40" t="s">
        <v>337</v>
      </c>
      <c r="E277" s="40" t="s">
        <v>710</v>
      </c>
      <c r="F277" s="41">
        <v>3.0</v>
      </c>
      <c r="G277" s="41">
        <v>67500.0</v>
      </c>
      <c r="H277" s="41">
        <v>0.0</v>
      </c>
    </row>
    <row r="278" ht="15.75" customHeight="1">
      <c r="A278" s="40" t="s">
        <v>92</v>
      </c>
      <c r="B278" s="40" t="s">
        <v>186</v>
      </c>
      <c r="C278" s="40" t="s">
        <v>663</v>
      </c>
      <c r="D278" s="40" t="s">
        <v>664</v>
      </c>
      <c r="E278" s="40" t="s">
        <v>711</v>
      </c>
      <c r="F278" s="41">
        <v>1.0</v>
      </c>
      <c r="G278" s="41">
        <v>66000.0</v>
      </c>
      <c r="H278" s="41">
        <v>0.0</v>
      </c>
    </row>
    <row r="279" ht="15.75" customHeight="1">
      <c r="A279" s="40" t="s">
        <v>92</v>
      </c>
      <c r="B279" s="46" t="s">
        <v>186</v>
      </c>
      <c r="C279" s="40" t="s">
        <v>458</v>
      </c>
      <c r="D279" s="40" t="s">
        <v>459</v>
      </c>
      <c r="E279" s="40" t="s">
        <v>712</v>
      </c>
      <c r="F279" s="41">
        <v>4.0</v>
      </c>
      <c r="G279" s="41">
        <v>65500.0</v>
      </c>
      <c r="H279" s="41">
        <v>0.0</v>
      </c>
    </row>
    <row r="280" ht="15.75" customHeight="1">
      <c r="A280" s="40" t="s">
        <v>92</v>
      </c>
      <c r="B280" s="40" t="s">
        <v>174</v>
      </c>
      <c r="C280" s="40" t="s">
        <v>713</v>
      </c>
      <c r="D280" s="40" t="s">
        <v>714</v>
      </c>
      <c r="E280" s="40" t="s">
        <v>715</v>
      </c>
      <c r="F280" s="41">
        <v>2.0</v>
      </c>
      <c r="G280" s="41">
        <v>65400.0</v>
      </c>
      <c r="H280" s="41">
        <v>8720.0</v>
      </c>
    </row>
    <row r="281" ht="15.75" customHeight="1">
      <c r="A281" s="40" t="s">
        <v>92</v>
      </c>
      <c r="B281" s="40" t="s">
        <v>186</v>
      </c>
      <c r="C281" s="40" t="s">
        <v>564</v>
      </c>
      <c r="D281" s="40" t="s">
        <v>565</v>
      </c>
      <c r="E281" s="40" t="s">
        <v>716</v>
      </c>
      <c r="F281" s="41">
        <v>3.0</v>
      </c>
      <c r="G281" s="41">
        <v>65200.0</v>
      </c>
      <c r="H281" s="41">
        <v>10000.0</v>
      </c>
    </row>
    <row r="282" ht="15.75" customHeight="1">
      <c r="A282" s="40" t="s">
        <v>92</v>
      </c>
      <c r="B282" s="40" t="s">
        <v>186</v>
      </c>
      <c r="C282" s="40" t="s">
        <v>523</v>
      </c>
      <c r="D282" s="40" t="s">
        <v>524</v>
      </c>
      <c r="E282" s="40" t="s">
        <v>717</v>
      </c>
      <c r="F282" s="41">
        <v>4.0</v>
      </c>
      <c r="G282" s="41">
        <v>64700.0</v>
      </c>
      <c r="H282" s="41">
        <v>6480.0</v>
      </c>
    </row>
    <row r="283" ht="15.75" customHeight="1">
      <c r="A283" s="40" t="s">
        <v>92</v>
      </c>
      <c r="B283" s="40" t="s">
        <v>186</v>
      </c>
      <c r="C283" s="40" t="s">
        <v>564</v>
      </c>
      <c r="D283" s="40" t="s">
        <v>565</v>
      </c>
      <c r="E283" s="40" t="s">
        <v>719</v>
      </c>
      <c r="F283" s="41">
        <v>1.0</v>
      </c>
      <c r="G283" s="41">
        <v>64000.0</v>
      </c>
      <c r="H283" s="41">
        <v>10000.0</v>
      </c>
    </row>
    <row r="284" ht="15.75" customHeight="1">
      <c r="A284" s="40" t="s">
        <v>92</v>
      </c>
      <c r="B284" s="40" t="s">
        <v>186</v>
      </c>
      <c r="C284" s="40" t="s">
        <v>523</v>
      </c>
      <c r="D284" s="40" t="s">
        <v>524</v>
      </c>
      <c r="E284" s="40" t="s">
        <v>721</v>
      </c>
      <c r="F284" s="41">
        <v>3.0</v>
      </c>
      <c r="G284" s="41">
        <v>63900.0</v>
      </c>
      <c r="H284" s="41">
        <v>10220.0</v>
      </c>
    </row>
    <row r="285" ht="15.75" customHeight="1">
      <c r="A285" s="40" t="s">
        <v>92</v>
      </c>
      <c r="B285" s="40" t="s">
        <v>186</v>
      </c>
      <c r="C285" s="40" t="s">
        <v>485</v>
      </c>
      <c r="D285" s="40" t="s">
        <v>486</v>
      </c>
      <c r="E285" s="40" t="s">
        <v>722</v>
      </c>
      <c r="F285" s="41">
        <v>1.0</v>
      </c>
      <c r="G285" s="41">
        <v>62700.0</v>
      </c>
      <c r="H285" s="41">
        <v>0.0</v>
      </c>
    </row>
    <row r="286" ht="15.75" customHeight="1">
      <c r="A286" s="40" t="s">
        <v>92</v>
      </c>
      <c r="B286" s="40" t="s">
        <v>186</v>
      </c>
      <c r="C286" s="40" t="s">
        <v>409</v>
      </c>
      <c r="D286" s="40" t="s">
        <v>410</v>
      </c>
      <c r="E286" s="40" t="s">
        <v>723</v>
      </c>
      <c r="F286" s="41">
        <v>3.0</v>
      </c>
      <c r="G286" s="41">
        <v>62000.0</v>
      </c>
      <c r="H286" s="41">
        <v>8800.0</v>
      </c>
    </row>
    <row r="287" ht="15.75" customHeight="1">
      <c r="A287" s="40" t="s">
        <v>92</v>
      </c>
      <c r="B287" s="40" t="s">
        <v>117</v>
      </c>
      <c r="C287" s="40" t="s">
        <v>231</v>
      </c>
      <c r="D287" s="40" t="s">
        <v>230</v>
      </c>
      <c r="E287" s="40" t="s">
        <v>724</v>
      </c>
      <c r="F287" s="41">
        <v>2.0</v>
      </c>
      <c r="G287" s="41">
        <v>61100.0</v>
      </c>
      <c r="H287" s="41">
        <v>2740.0</v>
      </c>
    </row>
    <row r="288" ht="15.75" customHeight="1">
      <c r="A288" s="40" t="s">
        <v>92</v>
      </c>
      <c r="B288" s="40" t="s">
        <v>117</v>
      </c>
      <c r="C288" s="40" t="s">
        <v>507</v>
      </c>
      <c r="D288" s="40" t="s">
        <v>508</v>
      </c>
      <c r="E288" s="40" t="s">
        <v>725</v>
      </c>
      <c r="F288" s="41">
        <v>2.0</v>
      </c>
      <c r="G288" s="41">
        <v>60300.0</v>
      </c>
      <c r="H288" s="41">
        <v>12060.0</v>
      </c>
    </row>
    <row r="289" ht="15.75" customHeight="1">
      <c r="A289" s="40" t="s">
        <v>92</v>
      </c>
      <c r="B289" s="40" t="s">
        <v>117</v>
      </c>
      <c r="C289" s="40" t="s">
        <v>406</v>
      </c>
      <c r="D289" s="40" t="s">
        <v>407</v>
      </c>
      <c r="E289" s="40" t="s">
        <v>726</v>
      </c>
      <c r="F289" s="41">
        <v>1.0</v>
      </c>
      <c r="G289" s="41">
        <v>60000.0</v>
      </c>
      <c r="H289" s="41">
        <v>0.0</v>
      </c>
    </row>
    <row r="290" ht="15.75" customHeight="1">
      <c r="A290" s="40" t="s">
        <v>92</v>
      </c>
      <c r="B290" s="46" t="s">
        <v>186</v>
      </c>
      <c r="C290" s="40" t="s">
        <v>727</v>
      </c>
      <c r="D290" s="40" t="s">
        <v>728</v>
      </c>
      <c r="E290" s="40" t="s">
        <v>729</v>
      </c>
      <c r="F290" s="41">
        <v>3.0</v>
      </c>
      <c r="G290" s="41">
        <v>60000.0</v>
      </c>
      <c r="H290" s="41">
        <v>0.0</v>
      </c>
    </row>
    <row r="291" ht="15.75" customHeight="1">
      <c r="A291" s="40" t="s">
        <v>92</v>
      </c>
      <c r="B291" s="40" t="s">
        <v>186</v>
      </c>
      <c r="C291" s="40" t="s">
        <v>413</v>
      </c>
      <c r="D291" s="40" t="s">
        <v>414</v>
      </c>
      <c r="E291" s="40" t="s">
        <v>730</v>
      </c>
      <c r="F291" s="41">
        <v>1.0</v>
      </c>
      <c r="G291" s="41">
        <v>60000.0</v>
      </c>
      <c r="H291" s="41">
        <v>10000.0</v>
      </c>
    </row>
    <row r="292" ht="15.75" customHeight="1">
      <c r="A292" s="40" t="s">
        <v>92</v>
      </c>
      <c r="B292" s="40" t="s">
        <v>117</v>
      </c>
      <c r="C292" s="40" t="s">
        <v>437</v>
      </c>
      <c r="D292" s="40" t="s">
        <v>438</v>
      </c>
      <c r="E292" s="40" t="s">
        <v>733</v>
      </c>
      <c r="F292" s="41">
        <v>2.0</v>
      </c>
      <c r="G292" s="41">
        <v>59000.0</v>
      </c>
      <c r="H292" s="41">
        <v>0.0</v>
      </c>
    </row>
    <row r="293" ht="15.75" customHeight="1">
      <c r="A293" s="40" t="s">
        <v>92</v>
      </c>
      <c r="B293" s="40" t="s">
        <v>186</v>
      </c>
      <c r="C293" s="40" t="s">
        <v>555</v>
      </c>
      <c r="D293" s="40" t="s">
        <v>556</v>
      </c>
      <c r="E293" s="40" t="s">
        <v>734</v>
      </c>
      <c r="F293" s="41">
        <v>2.0</v>
      </c>
      <c r="G293" s="41">
        <v>58000.0</v>
      </c>
      <c r="H293" s="41">
        <v>0.0</v>
      </c>
    </row>
    <row r="294" ht="15.75" customHeight="1">
      <c r="A294" s="40" t="s">
        <v>92</v>
      </c>
      <c r="B294" s="40" t="s">
        <v>186</v>
      </c>
      <c r="C294" s="40" t="s">
        <v>526</v>
      </c>
      <c r="D294" s="40" t="s">
        <v>527</v>
      </c>
      <c r="E294" s="40" t="s">
        <v>735</v>
      </c>
      <c r="F294" s="41">
        <v>2.0</v>
      </c>
      <c r="G294" s="41">
        <v>58000.0</v>
      </c>
      <c r="H294" s="41">
        <v>0.0</v>
      </c>
    </row>
    <row r="295" ht="15.75" customHeight="1">
      <c r="A295" s="40" t="s">
        <v>92</v>
      </c>
      <c r="B295" s="40" t="s">
        <v>117</v>
      </c>
      <c r="C295" s="40" t="s">
        <v>507</v>
      </c>
      <c r="D295" s="40" t="s">
        <v>508</v>
      </c>
      <c r="E295" s="40" t="s">
        <v>736</v>
      </c>
      <c r="F295" s="41">
        <v>4.0</v>
      </c>
      <c r="G295" s="41">
        <v>57140.0</v>
      </c>
      <c r="H295" s="41">
        <v>9270.0</v>
      </c>
    </row>
    <row r="296" ht="15.75" customHeight="1">
      <c r="A296" s="40" t="s">
        <v>92</v>
      </c>
      <c r="B296" s="40" t="s">
        <v>174</v>
      </c>
      <c r="C296" s="40" t="s">
        <v>373</v>
      </c>
      <c r="D296" s="40" t="s">
        <v>374</v>
      </c>
      <c r="E296" s="40" t="s">
        <v>737</v>
      </c>
      <c r="F296" s="41">
        <v>4.0</v>
      </c>
      <c r="G296" s="41">
        <v>56600.0</v>
      </c>
      <c r="H296" s="41">
        <v>9260.0</v>
      </c>
    </row>
    <row r="297" ht="15.75" customHeight="1">
      <c r="A297" s="40" t="s">
        <v>92</v>
      </c>
      <c r="B297" s="40" t="s">
        <v>186</v>
      </c>
      <c r="C297" s="40" t="s">
        <v>523</v>
      </c>
      <c r="D297" s="40" t="s">
        <v>524</v>
      </c>
      <c r="E297" s="40" t="s">
        <v>738</v>
      </c>
      <c r="F297" s="41">
        <v>4.0</v>
      </c>
      <c r="G297" s="41">
        <v>55000.0</v>
      </c>
      <c r="H297" s="41">
        <v>0.0</v>
      </c>
    </row>
    <row r="298" ht="15.75" customHeight="1">
      <c r="A298" s="40" t="s">
        <v>92</v>
      </c>
      <c r="B298" s="40" t="s">
        <v>117</v>
      </c>
      <c r="C298" s="40" t="s">
        <v>406</v>
      </c>
      <c r="D298" s="40" t="s">
        <v>407</v>
      </c>
      <c r="E298" s="40" t="s">
        <v>739</v>
      </c>
      <c r="F298" s="41">
        <v>2.0</v>
      </c>
      <c r="G298" s="41">
        <v>53700.0</v>
      </c>
      <c r="H298" s="41">
        <v>0.0</v>
      </c>
    </row>
    <row r="299" ht="15.75" customHeight="1">
      <c r="A299" s="40" t="s">
        <v>92</v>
      </c>
      <c r="B299" s="40" t="s">
        <v>174</v>
      </c>
      <c r="C299" s="40" t="s">
        <v>373</v>
      </c>
      <c r="D299" s="40" t="s">
        <v>374</v>
      </c>
      <c r="E299" s="40" t="s">
        <v>740</v>
      </c>
      <c r="F299" s="41">
        <v>6.0</v>
      </c>
      <c r="G299" s="41">
        <v>53440.0</v>
      </c>
      <c r="H299" s="41">
        <v>6690.0</v>
      </c>
    </row>
    <row r="300" ht="15.75" customHeight="1">
      <c r="A300" s="40" t="s">
        <v>92</v>
      </c>
      <c r="B300" s="40" t="s">
        <v>186</v>
      </c>
      <c r="C300" s="40" t="s">
        <v>413</v>
      </c>
      <c r="D300" s="40" t="s">
        <v>414</v>
      </c>
      <c r="E300" s="40" t="s">
        <v>741</v>
      </c>
      <c r="F300" s="41">
        <v>1.0</v>
      </c>
      <c r="G300" s="41">
        <v>50000.0</v>
      </c>
      <c r="H300" s="41">
        <v>8500.0</v>
      </c>
    </row>
    <row r="301" ht="15.75" customHeight="1">
      <c r="A301" s="40" t="s">
        <v>92</v>
      </c>
      <c r="B301" s="40" t="s">
        <v>117</v>
      </c>
      <c r="C301" s="40" t="s">
        <v>742</v>
      </c>
      <c r="D301" s="40" t="s">
        <v>743</v>
      </c>
      <c r="E301" s="40" t="s">
        <v>744</v>
      </c>
      <c r="F301" s="41">
        <v>2.0</v>
      </c>
      <c r="G301" s="41">
        <v>50000.0</v>
      </c>
      <c r="H301" s="41">
        <v>5000.0</v>
      </c>
    </row>
    <row r="302" ht="15.75" customHeight="1">
      <c r="A302" s="40" t="s">
        <v>92</v>
      </c>
      <c r="B302" s="40" t="s">
        <v>186</v>
      </c>
      <c r="C302" s="40" t="s">
        <v>485</v>
      </c>
      <c r="D302" s="40" t="s">
        <v>486</v>
      </c>
      <c r="E302" s="40" t="s">
        <v>745</v>
      </c>
      <c r="F302" s="41">
        <v>1.0</v>
      </c>
      <c r="G302" s="41">
        <v>50000.0</v>
      </c>
      <c r="H302" s="41">
        <v>10000.0</v>
      </c>
    </row>
    <row r="303" ht="15.75" customHeight="1">
      <c r="A303" s="40" t="s">
        <v>92</v>
      </c>
      <c r="B303" s="40" t="s">
        <v>186</v>
      </c>
      <c r="C303" s="40" t="s">
        <v>485</v>
      </c>
      <c r="D303" s="40" t="s">
        <v>486</v>
      </c>
      <c r="E303" s="40" t="s">
        <v>746</v>
      </c>
      <c r="F303" s="41">
        <v>1.0</v>
      </c>
      <c r="G303" s="41">
        <v>50000.0</v>
      </c>
      <c r="H303" s="41">
        <v>10000.0</v>
      </c>
    </row>
    <row r="304" ht="15.75" customHeight="1">
      <c r="A304" s="40" t="s">
        <v>92</v>
      </c>
      <c r="B304" s="40" t="s">
        <v>186</v>
      </c>
      <c r="C304" s="40" t="s">
        <v>475</v>
      </c>
      <c r="D304" s="40" t="s">
        <v>476</v>
      </c>
      <c r="E304" s="40" t="s">
        <v>747</v>
      </c>
      <c r="F304" s="41">
        <v>1.0</v>
      </c>
      <c r="G304" s="41">
        <v>49280.0</v>
      </c>
      <c r="H304" s="41">
        <v>0.0</v>
      </c>
    </row>
    <row r="305" ht="15.75" customHeight="1">
      <c r="A305" s="40" t="s">
        <v>92</v>
      </c>
      <c r="B305" s="40" t="s">
        <v>117</v>
      </c>
      <c r="C305" s="40" t="s">
        <v>480</v>
      </c>
      <c r="D305" s="40" t="s">
        <v>481</v>
      </c>
      <c r="E305" s="40" t="s">
        <v>748</v>
      </c>
      <c r="F305" s="41">
        <v>8.0</v>
      </c>
      <c r="G305" s="41">
        <v>48000.0</v>
      </c>
      <c r="H305" s="41">
        <v>1200.0</v>
      </c>
    </row>
    <row r="306" ht="15.75" customHeight="1">
      <c r="A306" s="40" t="s">
        <v>92</v>
      </c>
      <c r="B306" s="40" t="s">
        <v>186</v>
      </c>
      <c r="C306" s="40" t="s">
        <v>749</v>
      </c>
      <c r="D306" s="40" t="s">
        <v>750</v>
      </c>
      <c r="E306" s="40" t="s">
        <v>751</v>
      </c>
      <c r="F306" s="41">
        <v>3.0</v>
      </c>
      <c r="G306" s="41">
        <v>48000.0</v>
      </c>
      <c r="H306" s="41">
        <v>0.0</v>
      </c>
    </row>
    <row r="307" ht="15.75" customHeight="1">
      <c r="A307" s="40" t="s">
        <v>92</v>
      </c>
      <c r="B307" s="40" t="s">
        <v>186</v>
      </c>
      <c r="C307" s="40" t="s">
        <v>413</v>
      </c>
      <c r="D307" s="40" t="s">
        <v>414</v>
      </c>
      <c r="E307" s="40" t="s">
        <v>752</v>
      </c>
      <c r="F307" s="41">
        <v>5.0</v>
      </c>
      <c r="G307" s="41">
        <v>47500.0</v>
      </c>
      <c r="H307" s="41">
        <v>1900.0</v>
      </c>
    </row>
    <row r="308" ht="15.75" customHeight="1">
      <c r="A308" s="40" t="s">
        <v>92</v>
      </c>
      <c r="B308" s="40" t="s">
        <v>117</v>
      </c>
      <c r="C308" s="40" t="s">
        <v>475</v>
      </c>
      <c r="D308" s="40" t="s">
        <v>476</v>
      </c>
      <c r="E308" s="40" t="s">
        <v>753</v>
      </c>
      <c r="F308" s="41">
        <v>3.0</v>
      </c>
      <c r="G308" s="41">
        <v>47400.0</v>
      </c>
      <c r="H308" s="41">
        <v>2350.0</v>
      </c>
    </row>
    <row r="309" ht="15.75" customHeight="1">
      <c r="A309" s="40" t="s">
        <v>92</v>
      </c>
      <c r="B309" s="40" t="s">
        <v>186</v>
      </c>
      <c r="C309" s="40" t="s">
        <v>677</v>
      </c>
      <c r="D309" s="40" t="s">
        <v>678</v>
      </c>
      <c r="E309" s="40" t="s">
        <v>754</v>
      </c>
      <c r="F309" s="41">
        <v>3.0</v>
      </c>
      <c r="G309" s="41">
        <v>47120.0</v>
      </c>
      <c r="H309" s="41">
        <v>0.0</v>
      </c>
    </row>
    <row r="310" ht="15.75" customHeight="1">
      <c r="A310" s="40" t="s">
        <v>92</v>
      </c>
      <c r="B310" s="40" t="s">
        <v>174</v>
      </c>
      <c r="C310" s="40" t="s">
        <v>373</v>
      </c>
      <c r="D310" s="40" t="s">
        <v>374</v>
      </c>
      <c r="E310" s="40" t="s">
        <v>755</v>
      </c>
      <c r="F310" s="41">
        <v>2.0</v>
      </c>
      <c r="G310" s="41">
        <v>44000.0</v>
      </c>
      <c r="H310" s="41">
        <v>0.0</v>
      </c>
    </row>
    <row r="311" ht="15.75" customHeight="1">
      <c r="A311" s="40" t="s">
        <v>92</v>
      </c>
      <c r="B311" s="40" t="s">
        <v>186</v>
      </c>
      <c r="C311" s="40" t="s">
        <v>485</v>
      </c>
      <c r="D311" s="40" t="s">
        <v>486</v>
      </c>
      <c r="E311" s="40" t="s">
        <v>756</v>
      </c>
      <c r="F311" s="41">
        <v>2.0</v>
      </c>
      <c r="G311" s="41">
        <v>44000.0</v>
      </c>
      <c r="H311" s="41">
        <v>8400.0</v>
      </c>
    </row>
    <row r="312" ht="15.75" customHeight="1">
      <c r="A312" s="40" t="s">
        <v>92</v>
      </c>
      <c r="B312" s="40" t="s">
        <v>117</v>
      </c>
      <c r="C312" s="40" t="s">
        <v>406</v>
      </c>
      <c r="D312" s="40" t="s">
        <v>407</v>
      </c>
      <c r="E312" s="40" t="s">
        <v>757</v>
      </c>
      <c r="F312" s="41">
        <v>1.0</v>
      </c>
      <c r="G312" s="41">
        <v>42800.0</v>
      </c>
      <c r="H312" s="41">
        <v>0.0</v>
      </c>
    </row>
    <row r="313" ht="15.75" customHeight="1">
      <c r="A313" s="40" t="s">
        <v>92</v>
      </c>
      <c r="B313" s="40" t="s">
        <v>117</v>
      </c>
      <c r="C313" s="40" t="s">
        <v>406</v>
      </c>
      <c r="D313" s="40" t="s">
        <v>407</v>
      </c>
      <c r="E313" s="40" t="s">
        <v>758</v>
      </c>
      <c r="F313" s="41">
        <v>1.0</v>
      </c>
      <c r="G313" s="41">
        <v>42300.0</v>
      </c>
      <c r="H313" s="41">
        <v>0.0</v>
      </c>
    </row>
    <row r="314" ht="15.75" customHeight="1">
      <c r="A314" s="40" t="s">
        <v>92</v>
      </c>
      <c r="B314" s="40" t="s">
        <v>186</v>
      </c>
      <c r="C314" s="40" t="s">
        <v>497</v>
      </c>
      <c r="D314" s="40" t="s">
        <v>498</v>
      </c>
      <c r="E314" s="40" t="s">
        <v>759</v>
      </c>
      <c r="F314" s="41">
        <v>2.0</v>
      </c>
      <c r="G314" s="41">
        <v>42000.0</v>
      </c>
      <c r="H314" s="41">
        <v>0.0</v>
      </c>
    </row>
    <row r="315" ht="15.75" customHeight="1">
      <c r="A315" s="40" t="s">
        <v>92</v>
      </c>
      <c r="B315" s="40" t="s">
        <v>186</v>
      </c>
      <c r="C315" s="40" t="s">
        <v>642</v>
      </c>
      <c r="D315" s="40" t="s">
        <v>643</v>
      </c>
      <c r="E315" s="40" t="s">
        <v>760</v>
      </c>
      <c r="F315" s="41">
        <v>4.0</v>
      </c>
      <c r="G315" s="41">
        <v>41500.0</v>
      </c>
      <c r="H315" s="41">
        <v>4800.0</v>
      </c>
    </row>
    <row r="316" ht="15.75" customHeight="1">
      <c r="A316" s="40" t="s">
        <v>92</v>
      </c>
      <c r="B316" s="40" t="s">
        <v>117</v>
      </c>
      <c r="C316" s="40" t="s">
        <v>398</v>
      </c>
      <c r="D316" s="40" t="s">
        <v>399</v>
      </c>
      <c r="E316" s="40" t="s">
        <v>761</v>
      </c>
      <c r="F316" s="41">
        <v>1.0</v>
      </c>
      <c r="G316" s="41">
        <v>41000.0</v>
      </c>
      <c r="H316" s="41">
        <v>0.0</v>
      </c>
    </row>
    <row r="317" ht="15.75" customHeight="1">
      <c r="A317" s="40" t="s">
        <v>92</v>
      </c>
      <c r="B317" s="40" t="s">
        <v>117</v>
      </c>
      <c r="C317" s="40" t="s">
        <v>592</v>
      </c>
      <c r="D317" s="40" t="s">
        <v>593</v>
      </c>
      <c r="E317" s="40" t="s">
        <v>762</v>
      </c>
      <c r="F317" s="41">
        <v>1.0</v>
      </c>
      <c r="G317" s="41">
        <v>40000.0</v>
      </c>
      <c r="H317" s="41">
        <v>8000.0</v>
      </c>
    </row>
    <row r="318" ht="15.75" customHeight="1">
      <c r="A318" s="40" t="s">
        <v>92</v>
      </c>
      <c r="B318" s="46" t="s">
        <v>186</v>
      </c>
      <c r="C318" s="40" t="s">
        <v>458</v>
      </c>
      <c r="D318" s="40" t="s">
        <v>459</v>
      </c>
      <c r="E318" s="40" t="s">
        <v>763</v>
      </c>
      <c r="F318" s="41">
        <v>2.0</v>
      </c>
      <c r="G318" s="41">
        <v>39000.0</v>
      </c>
      <c r="H318" s="41">
        <v>0.0</v>
      </c>
    </row>
    <row r="319" ht="15.75" customHeight="1">
      <c r="A319" s="40" t="s">
        <v>92</v>
      </c>
      <c r="B319" s="40" t="s">
        <v>117</v>
      </c>
      <c r="C319" s="40" t="s">
        <v>764</v>
      </c>
      <c r="D319" s="40" t="s">
        <v>765</v>
      </c>
      <c r="E319" s="40" t="s">
        <v>766</v>
      </c>
      <c r="F319" s="41">
        <v>1.0</v>
      </c>
      <c r="G319" s="41">
        <v>36900.0</v>
      </c>
      <c r="H319" s="41">
        <v>0.0</v>
      </c>
    </row>
    <row r="320" ht="15.75" customHeight="1">
      <c r="A320" s="40" t="s">
        <v>92</v>
      </c>
      <c r="B320" s="40" t="s">
        <v>186</v>
      </c>
      <c r="C320" s="40" t="s">
        <v>497</v>
      </c>
      <c r="D320" s="40" t="s">
        <v>498</v>
      </c>
      <c r="E320" s="40" t="s">
        <v>767</v>
      </c>
      <c r="F320" s="41">
        <v>2.0</v>
      </c>
      <c r="G320" s="41">
        <v>36500.0</v>
      </c>
      <c r="H320" s="41">
        <v>0.0</v>
      </c>
    </row>
    <row r="321" ht="15.75" customHeight="1">
      <c r="A321" s="40" t="s">
        <v>92</v>
      </c>
      <c r="B321" s="40" t="s">
        <v>186</v>
      </c>
      <c r="C321" s="40" t="s">
        <v>413</v>
      </c>
      <c r="D321" s="40" t="s">
        <v>414</v>
      </c>
      <c r="E321" s="40" t="s">
        <v>768</v>
      </c>
      <c r="F321" s="41">
        <v>1.0</v>
      </c>
      <c r="G321" s="41">
        <v>36000.0</v>
      </c>
      <c r="H321" s="41">
        <v>6120.0</v>
      </c>
    </row>
    <row r="322" ht="15.75" customHeight="1">
      <c r="A322" s="40" t="s">
        <v>92</v>
      </c>
      <c r="B322" s="40" t="s">
        <v>186</v>
      </c>
      <c r="C322" s="40" t="s">
        <v>727</v>
      </c>
      <c r="D322" s="40" t="s">
        <v>728</v>
      </c>
      <c r="E322" s="40" t="s">
        <v>769</v>
      </c>
      <c r="F322" s="41">
        <v>2.0</v>
      </c>
      <c r="G322" s="41">
        <v>36000.0</v>
      </c>
      <c r="H322" s="41">
        <v>4800.0</v>
      </c>
    </row>
    <row r="323" ht="15.75" customHeight="1">
      <c r="A323" s="40" t="s">
        <v>92</v>
      </c>
      <c r="B323" s="40" t="s">
        <v>186</v>
      </c>
      <c r="C323" s="40" t="s">
        <v>227</v>
      </c>
      <c r="D323" s="40" t="s">
        <v>226</v>
      </c>
      <c r="E323" s="40" t="s">
        <v>770</v>
      </c>
      <c r="F323" s="41">
        <v>1.0</v>
      </c>
      <c r="G323" s="41">
        <v>36000.0</v>
      </c>
      <c r="H323" s="41">
        <v>0.0</v>
      </c>
    </row>
    <row r="324" ht="15.75" customHeight="1">
      <c r="A324" s="40" t="s">
        <v>92</v>
      </c>
      <c r="B324" s="40" t="s">
        <v>117</v>
      </c>
      <c r="C324" s="40" t="s">
        <v>316</v>
      </c>
      <c r="D324" s="40" t="s">
        <v>317</v>
      </c>
      <c r="E324" s="40" t="s">
        <v>771</v>
      </c>
      <c r="F324" s="41">
        <v>1.0</v>
      </c>
      <c r="G324" s="41">
        <v>35900.0</v>
      </c>
      <c r="H324" s="41">
        <v>0.0</v>
      </c>
    </row>
    <row r="325" ht="15.75" customHeight="1">
      <c r="A325" s="40" t="s">
        <v>92</v>
      </c>
      <c r="B325" s="40" t="s">
        <v>117</v>
      </c>
      <c r="C325" s="40" t="s">
        <v>437</v>
      </c>
      <c r="D325" s="40" t="s">
        <v>438</v>
      </c>
      <c r="E325" s="40" t="s">
        <v>772</v>
      </c>
      <c r="F325" s="41">
        <v>2.0</v>
      </c>
      <c r="G325" s="41">
        <v>35800.0</v>
      </c>
      <c r="H325" s="41">
        <v>0.0</v>
      </c>
    </row>
    <row r="326" ht="15.75" customHeight="1">
      <c r="A326" s="40" t="s">
        <v>92</v>
      </c>
      <c r="B326" s="40" t="s">
        <v>117</v>
      </c>
      <c r="C326" s="40" t="s">
        <v>437</v>
      </c>
      <c r="D326" s="40" t="s">
        <v>438</v>
      </c>
      <c r="E326" s="40" t="s">
        <v>773</v>
      </c>
      <c r="F326" s="41">
        <v>2.0</v>
      </c>
      <c r="G326" s="41">
        <v>35800.0</v>
      </c>
      <c r="H326" s="41">
        <v>0.0</v>
      </c>
    </row>
    <row r="327" ht="15.75" customHeight="1">
      <c r="A327" s="40" t="s">
        <v>92</v>
      </c>
      <c r="B327" s="40" t="s">
        <v>117</v>
      </c>
      <c r="C327" s="40" t="s">
        <v>350</v>
      </c>
      <c r="D327" s="40" t="s">
        <v>351</v>
      </c>
      <c r="E327" s="40" t="s">
        <v>774</v>
      </c>
      <c r="F327" s="41">
        <v>3.0</v>
      </c>
      <c r="G327" s="41">
        <v>35500.0</v>
      </c>
      <c r="H327" s="41">
        <v>2400.0</v>
      </c>
    </row>
    <row r="328" ht="15.75" customHeight="1">
      <c r="A328" s="40" t="s">
        <v>92</v>
      </c>
      <c r="B328" s="40" t="s">
        <v>117</v>
      </c>
      <c r="C328" s="40" t="s">
        <v>775</v>
      </c>
      <c r="D328" s="40" t="s">
        <v>776</v>
      </c>
      <c r="E328" s="40" t="s">
        <v>777</v>
      </c>
      <c r="F328" s="41">
        <v>1.0</v>
      </c>
      <c r="G328" s="41">
        <v>35000.0</v>
      </c>
      <c r="H328" s="41">
        <v>0.0</v>
      </c>
    </row>
    <row r="329" ht="15.75" customHeight="1">
      <c r="A329" s="40" t="s">
        <v>92</v>
      </c>
      <c r="B329" s="40" t="s">
        <v>174</v>
      </c>
      <c r="C329" s="40" t="s">
        <v>336</v>
      </c>
      <c r="D329" s="40" t="s">
        <v>337</v>
      </c>
      <c r="E329" s="40" t="s">
        <v>778</v>
      </c>
      <c r="F329" s="41">
        <v>1.0</v>
      </c>
      <c r="G329" s="41">
        <v>35000.0</v>
      </c>
      <c r="H329" s="41">
        <v>7000.0</v>
      </c>
    </row>
    <row r="330" ht="15.75" customHeight="1">
      <c r="A330" s="40" t="s">
        <v>92</v>
      </c>
      <c r="B330" s="40" t="s">
        <v>117</v>
      </c>
      <c r="C330" s="40" t="s">
        <v>452</v>
      </c>
      <c r="D330" s="40" t="s">
        <v>453</v>
      </c>
      <c r="E330" s="40" t="s">
        <v>779</v>
      </c>
      <c r="F330" s="41">
        <v>1.0</v>
      </c>
      <c r="G330" s="41">
        <v>34900.0</v>
      </c>
      <c r="H330" s="41">
        <v>6980.0</v>
      </c>
    </row>
    <row r="331" ht="15.75" customHeight="1">
      <c r="A331" s="40" t="s">
        <v>92</v>
      </c>
      <c r="B331" s="46" t="s">
        <v>186</v>
      </c>
      <c r="C331" s="40" t="s">
        <v>458</v>
      </c>
      <c r="D331" s="40" t="s">
        <v>459</v>
      </c>
      <c r="E331" s="40" t="s">
        <v>780</v>
      </c>
      <c r="F331" s="41">
        <v>3.0</v>
      </c>
      <c r="G331" s="41">
        <v>33000.0</v>
      </c>
      <c r="H331" s="41">
        <v>2200.0</v>
      </c>
    </row>
    <row r="332" ht="15.75" customHeight="1">
      <c r="A332" s="40" t="s">
        <v>92</v>
      </c>
      <c r="B332" s="46" t="s">
        <v>186</v>
      </c>
      <c r="C332" s="40" t="s">
        <v>458</v>
      </c>
      <c r="D332" s="40" t="s">
        <v>459</v>
      </c>
      <c r="E332" s="40" t="s">
        <v>781</v>
      </c>
      <c r="F332" s="41">
        <v>3.0</v>
      </c>
      <c r="G332" s="41">
        <v>33000.0</v>
      </c>
      <c r="H332" s="41">
        <v>0.0</v>
      </c>
    </row>
    <row r="333" ht="15.75" customHeight="1">
      <c r="A333" s="40" t="s">
        <v>92</v>
      </c>
      <c r="B333" s="40" t="s">
        <v>186</v>
      </c>
      <c r="C333" s="40" t="s">
        <v>322</v>
      </c>
      <c r="D333" s="40" t="s">
        <v>323</v>
      </c>
      <c r="E333" s="40" t="s">
        <v>782</v>
      </c>
      <c r="F333" s="41">
        <v>1.0</v>
      </c>
      <c r="G333" s="41">
        <v>32000.0</v>
      </c>
      <c r="H333" s="41">
        <v>0.0</v>
      </c>
    </row>
    <row r="334" ht="15.75" customHeight="1">
      <c r="A334" s="40" t="s">
        <v>92</v>
      </c>
      <c r="B334" s="40" t="s">
        <v>117</v>
      </c>
      <c r="C334" s="40" t="s">
        <v>363</v>
      </c>
      <c r="D334" s="40" t="s">
        <v>364</v>
      </c>
      <c r="E334" s="40" t="s">
        <v>783</v>
      </c>
      <c r="F334" s="41">
        <v>1.0</v>
      </c>
      <c r="G334" s="41">
        <v>32000.0</v>
      </c>
      <c r="H334" s="41">
        <v>6400.0</v>
      </c>
    </row>
    <row r="335" ht="15.75" customHeight="1">
      <c r="A335" s="40" t="s">
        <v>92</v>
      </c>
      <c r="B335" s="40" t="s">
        <v>117</v>
      </c>
      <c r="C335" s="40" t="s">
        <v>347</v>
      </c>
      <c r="D335" s="40" t="s">
        <v>348</v>
      </c>
      <c r="E335" s="40" t="s">
        <v>784</v>
      </c>
      <c r="F335" s="41">
        <v>1.0</v>
      </c>
      <c r="G335" s="41">
        <v>31000.0</v>
      </c>
      <c r="H335" s="41">
        <v>0.0</v>
      </c>
    </row>
    <row r="336" ht="15.75" customHeight="1">
      <c r="A336" s="40" t="s">
        <v>92</v>
      </c>
      <c r="B336" s="40" t="s">
        <v>186</v>
      </c>
      <c r="C336" s="40" t="s">
        <v>564</v>
      </c>
      <c r="D336" s="40" t="s">
        <v>565</v>
      </c>
      <c r="E336" s="40" t="s">
        <v>785</v>
      </c>
      <c r="F336" s="41">
        <v>1.0</v>
      </c>
      <c r="G336" s="41">
        <v>30000.0</v>
      </c>
      <c r="H336" s="41">
        <v>6000.0</v>
      </c>
    </row>
    <row r="337" ht="15.75" customHeight="1">
      <c r="A337" s="40" t="s">
        <v>92</v>
      </c>
      <c r="B337" s="40" t="s">
        <v>117</v>
      </c>
      <c r="C337" s="40" t="s">
        <v>231</v>
      </c>
      <c r="D337" s="40" t="s">
        <v>230</v>
      </c>
      <c r="E337" s="40" t="s">
        <v>786</v>
      </c>
      <c r="F337" s="41">
        <v>2.0</v>
      </c>
      <c r="G337" s="41">
        <v>30000.0</v>
      </c>
      <c r="H337" s="41">
        <v>0.0</v>
      </c>
    </row>
    <row r="338" ht="15.75" customHeight="1">
      <c r="A338" s="40" t="s">
        <v>92</v>
      </c>
      <c r="B338" s="40" t="s">
        <v>186</v>
      </c>
      <c r="C338" s="40" t="s">
        <v>697</v>
      </c>
      <c r="D338" s="40" t="s">
        <v>698</v>
      </c>
      <c r="E338" s="40" t="s">
        <v>787</v>
      </c>
      <c r="F338" s="41">
        <v>1.0</v>
      </c>
      <c r="G338" s="41">
        <v>30000.0</v>
      </c>
      <c r="H338" s="41">
        <v>0.0</v>
      </c>
    </row>
    <row r="339" ht="15.75" customHeight="1">
      <c r="A339" s="40" t="s">
        <v>92</v>
      </c>
      <c r="B339" s="40" t="s">
        <v>186</v>
      </c>
      <c r="C339" s="40" t="s">
        <v>366</v>
      </c>
      <c r="D339" s="40" t="s">
        <v>367</v>
      </c>
      <c r="E339" s="40" t="s">
        <v>788</v>
      </c>
      <c r="F339" s="41">
        <v>2.0</v>
      </c>
      <c r="G339" s="41">
        <v>30000.0</v>
      </c>
      <c r="H339" s="41">
        <v>2940.0</v>
      </c>
    </row>
    <row r="340" ht="15.75" customHeight="1">
      <c r="A340" s="40" t="s">
        <v>92</v>
      </c>
      <c r="B340" s="40" t="s">
        <v>186</v>
      </c>
      <c r="C340" s="40" t="s">
        <v>366</v>
      </c>
      <c r="D340" s="40" t="s">
        <v>367</v>
      </c>
      <c r="E340" s="40" t="s">
        <v>789</v>
      </c>
      <c r="F340" s="41">
        <v>1.0</v>
      </c>
      <c r="G340" s="41">
        <v>30000.0</v>
      </c>
      <c r="H340" s="41">
        <v>0.0</v>
      </c>
    </row>
    <row r="341" ht="15.75" customHeight="1">
      <c r="A341" s="40" t="s">
        <v>92</v>
      </c>
      <c r="B341" s="40" t="s">
        <v>186</v>
      </c>
      <c r="C341" s="40" t="s">
        <v>523</v>
      </c>
      <c r="D341" s="40" t="s">
        <v>524</v>
      </c>
      <c r="E341" s="40" t="s">
        <v>790</v>
      </c>
      <c r="F341" s="41">
        <v>2.0</v>
      </c>
      <c r="G341" s="41">
        <v>29600.0</v>
      </c>
      <c r="H341" s="41">
        <v>2960.0</v>
      </c>
    </row>
    <row r="342" ht="15.75" customHeight="1">
      <c r="A342" s="40" t="s">
        <v>92</v>
      </c>
      <c r="B342" s="40" t="s">
        <v>186</v>
      </c>
      <c r="C342" s="40" t="s">
        <v>227</v>
      </c>
      <c r="D342" s="40" t="s">
        <v>226</v>
      </c>
      <c r="E342" s="40" t="s">
        <v>578</v>
      </c>
      <c r="F342" s="41">
        <v>1.0</v>
      </c>
      <c r="G342" s="41">
        <v>29500.0</v>
      </c>
      <c r="H342" s="41">
        <v>0.0</v>
      </c>
    </row>
    <row r="343" ht="15.75" customHeight="1">
      <c r="A343" s="40" t="s">
        <v>92</v>
      </c>
      <c r="B343" s="40" t="s">
        <v>186</v>
      </c>
      <c r="C343" s="40" t="s">
        <v>663</v>
      </c>
      <c r="D343" s="40" t="s">
        <v>664</v>
      </c>
      <c r="E343" s="40" t="s">
        <v>791</v>
      </c>
      <c r="F343" s="41">
        <v>1.0</v>
      </c>
      <c r="G343" s="41">
        <v>28400.0</v>
      </c>
      <c r="H343" s="41">
        <v>0.0</v>
      </c>
    </row>
    <row r="344" ht="15.75" customHeight="1">
      <c r="A344" s="40" t="s">
        <v>92</v>
      </c>
      <c r="B344" s="40" t="s">
        <v>186</v>
      </c>
      <c r="C344" s="40" t="s">
        <v>322</v>
      </c>
      <c r="D344" s="40" t="s">
        <v>323</v>
      </c>
      <c r="E344" s="40" t="s">
        <v>792</v>
      </c>
      <c r="F344" s="41">
        <v>1.0</v>
      </c>
      <c r="G344" s="41">
        <v>28000.0</v>
      </c>
      <c r="H344" s="41">
        <v>0.0</v>
      </c>
    </row>
    <row r="345" ht="15.75" customHeight="1">
      <c r="A345" s="40" t="s">
        <v>92</v>
      </c>
      <c r="B345" s="40" t="s">
        <v>186</v>
      </c>
      <c r="C345" s="40" t="s">
        <v>497</v>
      </c>
      <c r="D345" s="40" t="s">
        <v>498</v>
      </c>
      <c r="E345" s="40" t="s">
        <v>793</v>
      </c>
      <c r="F345" s="41">
        <v>2.0</v>
      </c>
      <c r="G345" s="41">
        <v>28000.0</v>
      </c>
      <c r="H345" s="41">
        <v>0.0</v>
      </c>
    </row>
    <row r="346" ht="15.75" customHeight="1">
      <c r="A346" s="40" t="s">
        <v>92</v>
      </c>
      <c r="B346" s="40" t="s">
        <v>186</v>
      </c>
      <c r="C346" s="40" t="s">
        <v>564</v>
      </c>
      <c r="D346" s="40" t="s">
        <v>565</v>
      </c>
      <c r="E346" s="40" t="s">
        <v>794</v>
      </c>
      <c r="F346" s="41">
        <v>1.0</v>
      </c>
      <c r="G346" s="41">
        <v>27900.0</v>
      </c>
      <c r="H346" s="41">
        <v>0.0</v>
      </c>
    </row>
    <row r="347" ht="15.75" customHeight="1">
      <c r="A347" s="40" t="s">
        <v>92</v>
      </c>
      <c r="B347" s="40" t="s">
        <v>174</v>
      </c>
      <c r="C347" s="40" t="s">
        <v>373</v>
      </c>
      <c r="D347" s="40" t="s">
        <v>374</v>
      </c>
      <c r="E347" s="40" t="s">
        <v>795</v>
      </c>
      <c r="F347" s="41">
        <v>1.0</v>
      </c>
      <c r="G347" s="41">
        <v>27230.0</v>
      </c>
      <c r="H347" s="41">
        <v>0.0</v>
      </c>
    </row>
    <row r="348" ht="15.75" customHeight="1">
      <c r="A348" s="40" t="s">
        <v>92</v>
      </c>
      <c r="B348" s="40" t="s">
        <v>117</v>
      </c>
      <c r="C348" s="40" t="s">
        <v>775</v>
      </c>
      <c r="D348" s="40" t="s">
        <v>776</v>
      </c>
      <c r="E348" s="40" t="s">
        <v>796</v>
      </c>
      <c r="F348" s="41">
        <v>1.0</v>
      </c>
      <c r="G348" s="41">
        <v>26900.0</v>
      </c>
      <c r="H348" s="41">
        <v>5380.0</v>
      </c>
    </row>
    <row r="349" ht="15.75" customHeight="1">
      <c r="A349" s="40" t="s">
        <v>92</v>
      </c>
      <c r="B349" s="40" t="s">
        <v>186</v>
      </c>
      <c r="C349" s="40" t="s">
        <v>366</v>
      </c>
      <c r="D349" s="40" t="s">
        <v>367</v>
      </c>
      <c r="E349" s="40" t="s">
        <v>797</v>
      </c>
      <c r="F349" s="41">
        <v>1.0</v>
      </c>
      <c r="G349" s="41">
        <v>26000.0</v>
      </c>
      <c r="H349" s="41">
        <v>5200.0</v>
      </c>
    </row>
    <row r="350" ht="15.75" customHeight="1">
      <c r="A350" s="40" t="s">
        <v>92</v>
      </c>
      <c r="B350" s="40" t="s">
        <v>186</v>
      </c>
      <c r="C350" s="40" t="s">
        <v>564</v>
      </c>
      <c r="D350" s="40" t="s">
        <v>565</v>
      </c>
      <c r="E350" s="40" t="s">
        <v>798</v>
      </c>
      <c r="F350" s="41">
        <v>1.0</v>
      </c>
      <c r="G350" s="41">
        <v>25900.0</v>
      </c>
      <c r="H350" s="41">
        <v>5180.0</v>
      </c>
    </row>
    <row r="351" ht="15.75" customHeight="1">
      <c r="A351" s="40" t="s">
        <v>92</v>
      </c>
      <c r="B351" s="40" t="s">
        <v>174</v>
      </c>
      <c r="C351" s="40" t="s">
        <v>373</v>
      </c>
      <c r="D351" s="40" t="s">
        <v>374</v>
      </c>
      <c r="E351" s="40" t="s">
        <v>799</v>
      </c>
      <c r="F351" s="41">
        <v>2.0</v>
      </c>
      <c r="G351" s="41">
        <v>25800.0</v>
      </c>
      <c r="H351" s="41">
        <v>0.0</v>
      </c>
    </row>
    <row r="352" ht="15.75" customHeight="1">
      <c r="A352" s="40" t="s">
        <v>92</v>
      </c>
      <c r="B352" s="40" t="s">
        <v>117</v>
      </c>
      <c r="C352" s="40" t="s">
        <v>231</v>
      </c>
      <c r="D352" s="40" t="s">
        <v>230</v>
      </c>
      <c r="E352" s="40" t="s">
        <v>800</v>
      </c>
      <c r="F352" s="41">
        <v>2.0</v>
      </c>
      <c r="G352" s="41">
        <v>25700.0</v>
      </c>
      <c r="H352" s="41">
        <v>0.0</v>
      </c>
    </row>
    <row r="353" ht="15.75" customHeight="1">
      <c r="A353" s="40" t="s">
        <v>92</v>
      </c>
      <c r="B353" s="40" t="s">
        <v>186</v>
      </c>
      <c r="C353" s="40" t="s">
        <v>442</v>
      </c>
      <c r="D353" s="40" t="s">
        <v>443</v>
      </c>
      <c r="E353" s="40" t="s">
        <v>801</v>
      </c>
      <c r="F353" s="41">
        <v>1.0</v>
      </c>
      <c r="G353" s="41">
        <v>25000.0</v>
      </c>
      <c r="H353" s="41">
        <v>0.0</v>
      </c>
    </row>
    <row r="354" ht="15.75" customHeight="1">
      <c r="A354" s="40" t="s">
        <v>92</v>
      </c>
      <c r="B354" s="40" t="s">
        <v>174</v>
      </c>
      <c r="C354" s="40" t="s">
        <v>373</v>
      </c>
      <c r="D354" s="40" t="s">
        <v>374</v>
      </c>
      <c r="E354" s="40" t="s">
        <v>802</v>
      </c>
      <c r="F354" s="41">
        <v>3.0</v>
      </c>
      <c r="G354" s="41">
        <v>23700.0</v>
      </c>
      <c r="H354" s="41">
        <v>0.0</v>
      </c>
    </row>
    <row r="355" ht="15.75" customHeight="1">
      <c r="A355" s="40" t="s">
        <v>92</v>
      </c>
      <c r="B355" s="40" t="s">
        <v>174</v>
      </c>
      <c r="C355" s="40" t="s">
        <v>373</v>
      </c>
      <c r="D355" s="40" t="s">
        <v>374</v>
      </c>
      <c r="E355" s="40" t="s">
        <v>803</v>
      </c>
      <c r="F355" s="41">
        <v>1.0</v>
      </c>
      <c r="G355" s="41">
        <v>23500.0</v>
      </c>
      <c r="H355" s="41">
        <v>4700.0</v>
      </c>
    </row>
    <row r="356" ht="15.75" customHeight="1">
      <c r="A356" s="40" t="s">
        <v>92</v>
      </c>
      <c r="B356" s="40" t="s">
        <v>186</v>
      </c>
      <c r="C356" s="40" t="s">
        <v>366</v>
      </c>
      <c r="D356" s="40" t="s">
        <v>367</v>
      </c>
      <c r="E356" s="40" t="s">
        <v>804</v>
      </c>
      <c r="F356" s="41">
        <v>2.0</v>
      </c>
      <c r="G356" s="41">
        <v>23000.0</v>
      </c>
      <c r="H356" s="41">
        <v>0.0</v>
      </c>
    </row>
    <row r="357" ht="15.75" customHeight="1">
      <c r="A357" s="40" t="s">
        <v>92</v>
      </c>
      <c r="B357" s="40" t="s">
        <v>117</v>
      </c>
      <c r="C357" s="40" t="s">
        <v>446</v>
      </c>
      <c r="D357" s="40" t="s">
        <v>447</v>
      </c>
      <c r="E357" s="40" t="s">
        <v>805</v>
      </c>
      <c r="F357" s="41">
        <v>1.0</v>
      </c>
      <c r="G357" s="41">
        <v>22900.0</v>
      </c>
      <c r="H357" s="41">
        <v>4580.0</v>
      </c>
    </row>
    <row r="358" ht="15.75" customHeight="1">
      <c r="A358" s="40" t="s">
        <v>92</v>
      </c>
      <c r="B358" s="40" t="s">
        <v>186</v>
      </c>
      <c r="C358" s="40" t="s">
        <v>663</v>
      </c>
      <c r="D358" s="40" t="s">
        <v>664</v>
      </c>
      <c r="E358" s="40" t="s">
        <v>806</v>
      </c>
      <c r="F358" s="41">
        <v>1.0</v>
      </c>
      <c r="G358" s="41">
        <v>21400.0</v>
      </c>
      <c r="H358" s="41">
        <v>0.0</v>
      </c>
    </row>
    <row r="359" ht="15.75" customHeight="1">
      <c r="A359" s="40" t="s">
        <v>92</v>
      </c>
      <c r="B359" s="40" t="s">
        <v>186</v>
      </c>
      <c r="C359" s="40" t="s">
        <v>807</v>
      </c>
      <c r="D359" s="40" t="s">
        <v>808</v>
      </c>
      <c r="E359" s="40" t="s">
        <v>809</v>
      </c>
      <c r="F359" s="41">
        <v>1.0</v>
      </c>
      <c r="G359" s="41">
        <v>20000.0</v>
      </c>
      <c r="H359" s="41">
        <v>0.0</v>
      </c>
    </row>
    <row r="360" ht="15.75" customHeight="1">
      <c r="A360" s="40" t="s">
        <v>92</v>
      </c>
      <c r="B360" s="40" t="s">
        <v>186</v>
      </c>
      <c r="C360" s="40" t="s">
        <v>749</v>
      </c>
      <c r="D360" s="40" t="s">
        <v>750</v>
      </c>
      <c r="E360" s="40" t="s">
        <v>810</v>
      </c>
      <c r="F360" s="41">
        <v>2.0</v>
      </c>
      <c r="G360" s="41">
        <v>20000.0</v>
      </c>
      <c r="H360" s="41">
        <v>0.0</v>
      </c>
    </row>
    <row r="361" ht="15.75" customHeight="1">
      <c r="A361" s="40" t="s">
        <v>92</v>
      </c>
      <c r="B361" s="40" t="s">
        <v>186</v>
      </c>
      <c r="C361" s="40" t="s">
        <v>442</v>
      </c>
      <c r="D361" s="40" t="s">
        <v>443</v>
      </c>
      <c r="E361" s="40" t="s">
        <v>811</v>
      </c>
      <c r="F361" s="41">
        <v>1.0</v>
      </c>
      <c r="G361" s="41">
        <v>19900.0</v>
      </c>
      <c r="H361" s="41">
        <v>0.0</v>
      </c>
    </row>
    <row r="362" ht="15.75" customHeight="1">
      <c r="A362" s="40" t="s">
        <v>92</v>
      </c>
      <c r="B362" s="40" t="s">
        <v>117</v>
      </c>
      <c r="C362" s="40" t="s">
        <v>480</v>
      </c>
      <c r="D362" s="40" t="s">
        <v>481</v>
      </c>
      <c r="E362" s="40" t="s">
        <v>812</v>
      </c>
      <c r="F362" s="41">
        <v>3.0</v>
      </c>
      <c r="G362" s="41">
        <v>19000.0</v>
      </c>
      <c r="H362" s="41">
        <v>1800.0</v>
      </c>
    </row>
    <row r="363" ht="15.75" customHeight="1">
      <c r="A363" s="40" t="s">
        <v>92</v>
      </c>
      <c r="B363" s="40" t="s">
        <v>186</v>
      </c>
      <c r="C363" s="40" t="s">
        <v>677</v>
      </c>
      <c r="D363" s="40" t="s">
        <v>678</v>
      </c>
      <c r="E363" s="40" t="s">
        <v>813</v>
      </c>
      <c r="F363" s="41">
        <v>3.0</v>
      </c>
      <c r="G363" s="41">
        <v>18360.0</v>
      </c>
      <c r="H363" s="41">
        <v>0.0</v>
      </c>
    </row>
    <row r="364" ht="15.75" customHeight="1">
      <c r="A364" s="40" t="s">
        <v>92</v>
      </c>
      <c r="B364" s="40" t="s">
        <v>186</v>
      </c>
      <c r="C364" s="40" t="s">
        <v>413</v>
      </c>
      <c r="D364" s="40" t="s">
        <v>414</v>
      </c>
      <c r="E364" s="40" t="s">
        <v>814</v>
      </c>
      <c r="F364" s="41">
        <v>1.0</v>
      </c>
      <c r="G364" s="41">
        <v>18000.0</v>
      </c>
      <c r="H364" s="41">
        <v>3060.0</v>
      </c>
    </row>
    <row r="365" ht="15.75" customHeight="1">
      <c r="A365" s="40" t="s">
        <v>92</v>
      </c>
      <c r="B365" s="40" t="s">
        <v>174</v>
      </c>
      <c r="C365" s="40" t="s">
        <v>713</v>
      </c>
      <c r="D365" s="40" t="s">
        <v>714</v>
      </c>
      <c r="E365" s="40" t="s">
        <v>815</v>
      </c>
      <c r="F365" s="41">
        <v>1.0</v>
      </c>
      <c r="G365" s="41">
        <v>17800.0</v>
      </c>
      <c r="H365" s="41">
        <v>3560.0</v>
      </c>
    </row>
    <row r="366" ht="15.75" customHeight="1">
      <c r="A366" s="40" t="s">
        <v>92</v>
      </c>
      <c r="B366" s="40" t="s">
        <v>117</v>
      </c>
      <c r="C366" s="40" t="s">
        <v>480</v>
      </c>
      <c r="D366" s="40" t="s">
        <v>481</v>
      </c>
      <c r="E366" s="40" t="s">
        <v>816</v>
      </c>
      <c r="F366" s="41">
        <v>2.0</v>
      </c>
      <c r="G366" s="41">
        <v>16000.0</v>
      </c>
      <c r="H366" s="41">
        <v>0.0</v>
      </c>
    </row>
    <row r="367" ht="15.75" customHeight="1">
      <c r="A367" s="40" t="s">
        <v>92</v>
      </c>
      <c r="B367" s="40" t="s">
        <v>186</v>
      </c>
      <c r="C367" s="40" t="s">
        <v>697</v>
      </c>
      <c r="D367" s="40" t="s">
        <v>698</v>
      </c>
      <c r="E367" s="40" t="s">
        <v>817</v>
      </c>
      <c r="F367" s="41">
        <v>1.0</v>
      </c>
      <c r="G367" s="41">
        <v>16000.0</v>
      </c>
      <c r="H367" s="41">
        <v>0.0</v>
      </c>
    </row>
    <row r="368" ht="15.75" customHeight="1">
      <c r="A368" s="40" t="s">
        <v>92</v>
      </c>
      <c r="B368" s="40" t="s">
        <v>186</v>
      </c>
      <c r="C368" s="40" t="s">
        <v>564</v>
      </c>
      <c r="D368" s="40" t="s">
        <v>565</v>
      </c>
      <c r="E368" s="40" t="s">
        <v>818</v>
      </c>
      <c r="F368" s="41">
        <v>1.0</v>
      </c>
      <c r="G368" s="41">
        <v>15900.0</v>
      </c>
      <c r="H368" s="41">
        <v>0.0</v>
      </c>
    </row>
    <row r="369" ht="15.75" customHeight="1">
      <c r="A369" s="40" t="s">
        <v>92</v>
      </c>
      <c r="B369" s="40" t="s">
        <v>186</v>
      </c>
      <c r="C369" s="40" t="s">
        <v>366</v>
      </c>
      <c r="D369" s="40" t="s">
        <v>367</v>
      </c>
      <c r="E369" s="40" t="s">
        <v>819</v>
      </c>
      <c r="F369" s="41">
        <v>1.0</v>
      </c>
      <c r="G369" s="41">
        <v>15000.0</v>
      </c>
      <c r="H369" s="41">
        <v>0.0</v>
      </c>
    </row>
    <row r="370" ht="15.75" customHeight="1">
      <c r="A370" s="40" t="s">
        <v>92</v>
      </c>
      <c r="B370" s="40" t="s">
        <v>186</v>
      </c>
      <c r="C370" s="40" t="s">
        <v>366</v>
      </c>
      <c r="D370" s="40" t="s">
        <v>367</v>
      </c>
      <c r="E370" s="40" t="s">
        <v>820</v>
      </c>
      <c r="F370" s="41">
        <v>1.0</v>
      </c>
      <c r="G370" s="41">
        <v>15000.0</v>
      </c>
      <c r="H370" s="41">
        <v>3000.0</v>
      </c>
    </row>
    <row r="371" ht="15.75" customHeight="1">
      <c r="A371" s="40" t="s">
        <v>92</v>
      </c>
      <c r="B371" s="40" t="s">
        <v>174</v>
      </c>
      <c r="C371" s="40" t="s">
        <v>713</v>
      </c>
      <c r="D371" s="40" t="s">
        <v>714</v>
      </c>
      <c r="E371" s="40" t="s">
        <v>821</v>
      </c>
      <c r="F371" s="41">
        <v>1.0</v>
      </c>
      <c r="G371" s="41">
        <v>13800.0</v>
      </c>
      <c r="H371" s="41">
        <v>0.0</v>
      </c>
    </row>
    <row r="372" ht="15.75" customHeight="1">
      <c r="A372" s="40" t="s">
        <v>92</v>
      </c>
      <c r="B372" s="40" t="s">
        <v>117</v>
      </c>
      <c r="C372" s="40" t="s">
        <v>480</v>
      </c>
      <c r="D372" s="40" t="s">
        <v>481</v>
      </c>
      <c r="E372" s="40" t="s">
        <v>822</v>
      </c>
      <c r="F372" s="41">
        <v>2.0</v>
      </c>
      <c r="G372" s="41">
        <v>13000.0</v>
      </c>
      <c r="H372" s="41">
        <v>0.0</v>
      </c>
    </row>
    <row r="373" ht="15.75" customHeight="1">
      <c r="A373" s="40" t="s">
        <v>92</v>
      </c>
      <c r="B373" s="40" t="s">
        <v>186</v>
      </c>
      <c r="C373" s="40" t="s">
        <v>458</v>
      </c>
      <c r="D373" s="40" t="s">
        <v>459</v>
      </c>
      <c r="E373" s="40" t="s">
        <v>823</v>
      </c>
      <c r="F373" s="41">
        <v>1.0</v>
      </c>
      <c r="G373" s="41">
        <v>11000.0</v>
      </c>
      <c r="H373" s="41">
        <v>0.0</v>
      </c>
    </row>
    <row r="374" ht="15.75" customHeight="1">
      <c r="A374" s="40" t="s">
        <v>92</v>
      </c>
      <c r="B374" s="40" t="s">
        <v>186</v>
      </c>
      <c r="C374" s="40" t="s">
        <v>523</v>
      </c>
      <c r="D374" s="40" t="s">
        <v>524</v>
      </c>
      <c r="E374" s="40" t="s">
        <v>824</v>
      </c>
      <c r="F374" s="41">
        <v>1.0</v>
      </c>
      <c r="G374" s="41">
        <v>10800.0</v>
      </c>
      <c r="H374" s="41">
        <v>2160.0</v>
      </c>
    </row>
    <row r="375" ht="15.75" customHeight="1">
      <c r="A375" s="40" t="s">
        <v>92</v>
      </c>
      <c r="B375" s="40" t="s">
        <v>174</v>
      </c>
      <c r="C375" s="40" t="s">
        <v>373</v>
      </c>
      <c r="D375" s="40" t="s">
        <v>374</v>
      </c>
      <c r="E375" s="40" t="s">
        <v>825</v>
      </c>
      <c r="F375" s="41">
        <v>1.0</v>
      </c>
      <c r="G375" s="41">
        <v>10700.0</v>
      </c>
      <c r="H375" s="41">
        <v>0.0</v>
      </c>
    </row>
    <row r="376" ht="15.75" customHeight="1">
      <c r="A376" s="40" t="s">
        <v>92</v>
      </c>
      <c r="B376" s="40" t="s">
        <v>117</v>
      </c>
      <c r="C376" s="40" t="s">
        <v>480</v>
      </c>
      <c r="D376" s="40" t="s">
        <v>481</v>
      </c>
      <c r="E376" s="40" t="s">
        <v>826</v>
      </c>
      <c r="F376" s="41">
        <v>1.0</v>
      </c>
      <c r="G376" s="41">
        <v>9000.0</v>
      </c>
      <c r="H376" s="41">
        <v>0.0</v>
      </c>
    </row>
    <row r="377" ht="15.75" customHeight="1">
      <c r="A377" s="40" t="s">
        <v>92</v>
      </c>
      <c r="B377" s="40" t="s">
        <v>117</v>
      </c>
      <c r="C377" s="40" t="s">
        <v>480</v>
      </c>
      <c r="D377" s="40" t="s">
        <v>481</v>
      </c>
      <c r="E377" s="40" t="s">
        <v>827</v>
      </c>
      <c r="F377" s="41">
        <v>2.0</v>
      </c>
      <c r="G377" s="41">
        <v>9000.0</v>
      </c>
      <c r="H377" s="41">
        <v>0.0</v>
      </c>
    </row>
    <row r="378" ht="15.75" customHeight="1">
      <c r="A378" s="40" t="s">
        <v>92</v>
      </c>
      <c r="B378" s="40" t="s">
        <v>186</v>
      </c>
      <c r="C378" s="40" t="s">
        <v>366</v>
      </c>
      <c r="D378" s="40" t="s">
        <v>367</v>
      </c>
      <c r="E378" s="40" t="s">
        <v>828</v>
      </c>
      <c r="F378" s="41">
        <v>1.0</v>
      </c>
      <c r="G378" s="41">
        <v>8000.0</v>
      </c>
      <c r="H378" s="41">
        <v>0.0</v>
      </c>
    </row>
    <row r="379" ht="15.75" customHeight="1">
      <c r="A379" s="40" t="s">
        <v>92</v>
      </c>
      <c r="B379" s="40" t="s">
        <v>174</v>
      </c>
      <c r="C379" s="40" t="s">
        <v>713</v>
      </c>
      <c r="D379" s="40" t="s">
        <v>714</v>
      </c>
      <c r="E379" s="40" t="s">
        <v>831</v>
      </c>
      <c r="F379" s="41">
        <v>1.0</v>
      </c>
      <c r="G379" s="41">
        <v>6900.0</v>
      </c>
      <c r="H379" s="41">
        <v>0.0</v>
      </c>
    </row>
    <row r="380" ht="15.75" customHeight="1">
      <c r="A380" s="40" t="s">
        <v>92</v>
      </c>
      <c r="B380" s="40" t="s">
        <v>186</v>
      </c>
      <c r="C380" s="40" t="s">
        <v>401</v>
      </c>
      <c r="D380" s="40" t="s">
        <v>402</v>
      </c>
      <c r="E380" s="40" t="s">
        <v>832</v>
      </c>
      <c r="F380" s="41">
        <v>1.0</v>
      </c>
      <c r="G380" s="41">
        <v>6500.0</v>
      </c>
      <c r="H380" s="41">
        <v>0.0</v>
      </c>
    </row>
    <row r="381" ht="15.75" customHeight="1">
      <c r="A381" s="40" t="s">
        <v>92</v>
      </c>
      <c r="B381" s="40" t="s">
        <v>186</v>
      </c>
      <c r="C381" s="40" t="s">
        <v>677</v>
      </c>
      <c r="D381" s="40" t="s">
        <v>678</v>
      </c>
      <c r="E381" s="40" t="s">
        <v>833</v>
      </c>
      <c r="F381" s="41">
        <v>1.0</v>
      </c>
      <c r="G381" s="41">
        <v>6480.0</v>
      </c>
      <c r="H381" s="41">
        <v>0.0</v>
      </c>
    </row>
    <row r="382" ht="15.75" customHeight="1">
      <c r="A382" s="40" t="s">
        <v>92</v>
      </c>
      <c r="B382" s="40" t="s">
        <v>186</v>
      </c>
      <c r="C382" s="40" t="s">
        <v>677</v>
      </c>
      <c r="D382" s="40" t="s">
        <v>678</v>
      </c>
      <c r="E382" s="40" t="s">
        <v>834</v>
      </c>
      <c r="F382" s="41">
        <v>1.0</v>
      </c>
      <c r="G382" s="41">
        <v>6480.0</v>
      </c>
      <c r="H382" s="41">
        <v>0.0</v>
      </c>
    </row>
    <row r="383" ht="15.75" customHeight="1">
      <c r="A383" s="40" t="s">
        <v>92</v>
      </c>
      <c r="B383" s="40" t="s">
        <v>186</v>
      </c>
      <c r="C383" s="40" t="s">
        <v>677</v>
      </c>
      <c r="D383" s="40" t="s">
        <v>678</v>
      </c>
      <c r="E383" s="40" t="s">
        <v>835</v>
      </c>
      <c r="F383" s="41">
        <v>1.0</v>
      </c>
      <c r="G383" s="41">
        <v>6480.0</v>
      </c>
      <c r="H383" s="41">
        <v>0.0</v>
      </c>
    </row>
    <row r="384" ht="15.75" customHeight="1">
      <c r="A384" s="40" t="s">
        <v>92</v>
      </c>
      <c r="B384" s="40" t="s">
        <v>117</v>
      </c>
      <c r="C384" s="40" t="s">
        <v>480</v>
      </c>
      <c r="D384" s="40" t="s">
        <v>481</v>
      </c>
      <c r="E384" s="40" t="s">
        <v>836</v>
      </c>
      <c r="F384" s="41">
        <v>1.0</v>
      </c>
      <c r="G384" s="41">
        <v>5000.0</v>
      </c>
      <c r="H384" s="41">
        <v>0.0</v>
      </c>
    </row>
    <row r="385" ht="15.75" customHeight="1">
      <c r="A385" s="40" t="s">
        <v>92</v>
      </c>
      <c r="B385" s="40" t="s">
        <v>174</v>
      </c>
      <c r="C385" s="40" t="s">
        <v>373</v>
      </c>
      <c r="D385" s="40" t="s">
        <v>374</v>
      </c>
      <c r="E385" s="40" t="s">
        <v>837</v>
      </c>
      <c r="F385" s="41">
        <v>1.0</v>
      </c>
      <c r="G385" s="41">
        <v>4880.0</v>
      </c>
      <c r="H385" s="41">
        <v>0.0</v>
      </c>
    </row>
    <row r="386" ht="15.75" customHeight="1">
      <c r="A386" s="40" t="s">
        <v>92</v>
      </c>
      <c r="B386" s="40" t="s">
        <v>186</v>
      </c>
      <c r="C386" s="40" t="s">
        <v>749</v>
      </c>
      <c r="D386" s="40" t="s">
        <v>750</v>
      </c>
      <c r="E386" s="40" t="s">
        <v>838</v>
      </c>
      <c r="F386" s="41">
        <v>1.0</v>
      </c>
      <c r="G386" s="41">
        <v>4500.0</v>
      </c>
      <c r="H386" s="41">
        <v>0.0</v>
      </c>
    </row>
    <row r="387" ht="15.75" customHeight="1">
      <c r="A387" s="40" t="s">
        <v>92</v>
      </c>
      <c r="B387" s="40" t="s">
        <v>117</v>
      </c>
      <c r="C387" s="40" t="s">
        <v>480</v>
      </c>
      <c r="D387" s="40" t="s">
        <v>481</v>
      </c>
      <c r="E387" s="40" t="s">
        <v>839</v>
      </c>
      <c r="F387" s="41">
        <v>1.0</v>
      </c>
      <c r="G387" s="41">
        <v>4500.0</v>
      </c>
      <c r="H387" s="41">
        <v>0.0</v>
      </c>
    </row>
    <row r="388" ht="15.75" customHeight="1">
      <c r="A388" s="40" t="s">
        <v>92</v>
      </c>
      <c r="B388" s="40" t="s">
        <v>186</v>
      </c>
      <c r="C388" s="40" t="s">
        <v>749</v>
      </c>
      <c r="D388" s="40" t="s">
        <v>750</v>
      </c>
      <c r="E388" s="40" t="s">
        <v>840</v>
      </c>
      <c r="F388" s="41">
        <v>1.0</v>
      </c>
      <c r="G388" s="41">
        <v>4000.0</v>
      </c>
      <c r="H388" s="41">
        <v>0.0</v>
      </c>
    </row>
    <row r="389" ht="15.75" customHeight="1">
      <c r="A389" s="40" t="s">
        <v>92</v>
      </c>
      <c r="B389" s="40" t="s">
        <v>186</v>
      </c>
      <c r="C389" s="40" t="s">
        <v>475</v>
      </c>
      <c r="D389" s="40" t="s">
        <v>476</v>
      </c>
      <c r="E389" s="40" t="s">
        <v>841</v>
      </c>
      <c r="F389" s="41">
        <v>1.0</v>
      </c>
      <c r="G389" s="41">
        <v>3500.0</v>
      </c>
      <c r="H389" s="41">
        <v>0.0</v>
      </c>
    </row>
    <row r="390" ht="15.75" customHeight="1">
      <c r="A390" s="40" t="s">
        <v>28</v>
      </c>
      <c r="B390" s="40" t="s">
        <v>174</v>
      </c>
      <c r="C390" s="40" t="s">
        <v>842</v>
      </c>
      <c r="D390" s="40" t="s">
        <v>843</v>
      </c>
      <c r="E390" s="40" t="s">
        <v>844</v>
      </c>
      <c r="F390" s="41">
        <v>0.0</v>
      </c>
      <c r="G390" s="41">
        <v>0.0</v>
      </c>
      <c r="H390" s="41">
        <v>0.0</v>
      </c>
    </row>
    <row r="391" ht="15.75" customHeight="1">
      <c r="A391" s="40" t="s">
        <v>28</v>
      </c>
      <c r="B391" s="40" t="s">
        <v>174</v>
      </c>
      <c r="C391" s="40" t="s">
        <v>842</v>
      </c>
      <c r="D391" s="40" t="s">
        <v>843</v>
      </c>
      <c r="E391" s="40" t="s">
        <v>845</v>
      </c>
      <c r="F391" s="41">
        <v>729.0</v>
      </c>
      <c r="G391" s="41">
        <v>3.7312E7</v>
      </c>
      <c r="H391" s="41">
        <v>4967600.0</v>
      </c>
    </row>
    <row r="392" ht="15.75" customHeight="1">
      <c r="A392" s="40" t="s">
        <v>28</v>
      </c>
      <c r="B392" s="40" t="s">
        <v>174</v>
      </c>
      <c r="C392" s="40" t="s">
        <v>846</v>
      </c>
      <c r="D392" s="40" t="s">
        <v>847</v>
      </c>
      <c r="E392" s="40" t="s">
        <v>848</v>
      </c>
      <c r="F392" s="41">
        <v>23.0</v>
      </c>
      <c r="G392" s="41">
        <v>724600.0</v>
      </c>
      <c r="H392" s="41">
        <v>142600.0</v>
      </c>
    </row>
    <row r="393" ht="15.75" customHeight="1">
      <c r="A393" s="40" t="s">
        <v>28</v>
      </c>
      <c r="B393" s="40" t="s">
        <v>174</v>
      </c>
      <c r="C393" s="40" t="s">
        <v>846</v>
      </c>
      <c r="D393" s="40" t="s">
        <v>847</v>
      </c>
      <c r="E393" s="40" t="s">
        <v>849</v>
      </c>
      <c r="F393" s="41">
        <v>10.0</v>
      </c>
      <c r="G393" s="41">
        <v>315000.0</v>
      </c>
      <c r="H393" s="41">
        <v>57230.0</v>
      </c>
    </row>
    <row r="394" ht="15.75" customHeight="1">
      <c r="A394" s="40" t="s">
        <v>28</v>
      </c>
      <c r="B394" s="40" t="s">
        <v>117</v>
      </c>
      <c r="C394" s="40" t="s">
        <v>850</v>
      </c>
      <c r="D394" s="40" t="s">
        <v>851</v>
      </c>
      <c r="E394" s="40" t="s">
        <v>852</v>
      </c>
      <c r="F394" s="41">
        <v>699.0</v>
      </c>
      <c r="G394" s="41">
        <v>2.4332E7</v>
      </c>
      <c r="H394" s="41">
        <v>4785490.0</v>
      </c>
    </row>
    <row r="395" ht="15.75" customHeight="1">
      <c r="A395" s="40" t="s">
        <v>28</v>
      </c>
      <c r="B395" s="40" t="s">
        <v>117</v>
      </c>
      <c r="C395" s="40" t="s">
        <v>850</v>
      </c>
      <c r="D395" s="40" t="s">
        <v>851</v>
      </c>
      <c r="E395" s="40" t="s">
        <v>853</v>
      </c>
      <c r="F395" s="41">
        <v>31.0</v>
      </c>
      <c r="G395" s="41">
        <v>2044500.0</v>
      </c>
      <c r="H395" s="41">
        <v>290000.0</v>
      </c>
    </row>
    <row r="396" ht="15.75" customHeight="1">
      <c r="A396" s="40" t="s">
        <v>28</v>
      </c>
      <c r="B396" s="40" t="s">
        <v>117</v>
      </c>
      <c r="C396" s="40" t="s">
        <v>850</v>
      </c>
      <c r="D396" s="40" t="s">
        <v>851</v>
      </c>
      <c r="E396" s="40" t="s">
        <v>854</v>
      </c>
      <c r="F396" s="41">
        <v>4.0</v>
      </c>
      <c r="G396" s="41">
        <v>269200.0</v>
      </c>
      <c r="H396" s="41">
        <v>40000.0</v>
      </c>
    </row>
    <row r="397" ht="15.75" customHeight="1">
      <c r="A397" s="40" t="s">
        <v>28</v>
      </c>
      <c r="B397" s="40" t="s">
        <v>117</v>
      </c>
      <c r="C397" s="40" t="s">
        <v>850</v>
      </c>
      <c r="D397" s="40" t="s">
        <v>851</v>
      </c>
      <c r="E397" s="40" t="s">
        <v>855</v>
      </c>
      <c r="F397" s="41">
        <v>3.0</v>
      </c>
      <c r="G397" s="41">
        <v>106500.0</v>
      </c>
      <c r="H397" s="41">
        <v>21140.0</v>
      </c>
    </row>
    <row r="398" ht="15.75" customHeight="1">
      <c r="A398" s="40" t="s">
        <v>28</v>
      </c>
      <c r="B398" s="40" t="s">
        <v>117</v>
      </c>
      <c r="C398" s="40" t="s">
        <v>850</v>
      </c>
      <c r="D398" s="40" t="s">
        <v>851</v>
      </c>
      <c r="E398" s="40" t="s">
        <v>856</v>
      </c>
      <c r="F398" s="41">
        <v>0.0</v>
      </c>
      <c r="G398" s="41">
        <v>0.0</v>
      </c>
      <c r="H398" s="41">
        <v>0.0</v>
      </c>
    </row>
    <row r="399" ht="15.75" customHeight="1">
      <c r="A399" s="40" t="s">
        <v>28</v>
      </c>
      <c r="B399" s="40" t="s">
        <v>186</v>
      </c>
      <c r="C399" s="40" t="s">
        <v>857</v>
      </c>
      <c r="D399" s="40" t="s">
        <v>858</v>
      </c>
      <c r="E399" s="40" t="s">
        <v>859</v>
      </c>
      <c r="F399" s="41">
        <v>4.0</v>
      </c>
      <c r="G399" s="41">
        <v>118000.0</v>
      </c>
      <c r="H399" s="41">
        <v>22400.0</v>
      </c>
    </row>
    <row r="400" ht="15.75" customHeight="1">
      <c r="A400" s="40" t="s">
        <v>28</v>
      </c>
      <c r="B400" s="40" t="s">
        <v>186</v>
      </c>
      <c r="C400" s="40" t="s">
        <v>857</v>
      </c>
      <c r="D400" s="40" t="s">
        <v>858</v>
      </c>
      <c r="E400" s="40" t="s">
        <v>860</v>
      </c>
      <c r="F400" s="41">
        <v>0.0</v>
      </c>
      <c r="G400" s="41">
        <v>0.0</v>
      </c>
      <c r="H400" s="41">
        <v>0.0</v>
      </c>
    </row>
    <row r="401" ht="15.75" customHeight="1">
      <c r="A401" s="40" t="s">
        <v>28</v>
      </c>
      <c r="B401" s="40" t="s">
        <v>186</v>
      </c>
      <c r="C401" s="40" t="s">
        <v>857</v>
      </c>
      <c r="D401" s="40" t="s">
        <v>858</v>
      </c>
      <c r="E401" s="40" t="s">
        <v>861</v>
      </c>
      <c r="F401" s="41">
        <v>5.0</v>
      </c>
      <c r="G401" s="41">
        <v>101000.0</v>
      </c>
      <c r="H401" s="41">
        <v>19520.0</v>
      </c>
    </row>
    <row r="402" ht="15.75" customHeight="1">
      <c r="A402" s="40" t="s">
        <v>28</v>
      </c>
      <c r="B402" s="40" t="s">
        <v>186</v>
      </c>
      <c r="C402" s="40" t="s">
        <v>857</v>
      </c>
      <c r="D402" s="40" t="s">
        <v>858</v>
      </c>
      <c r="E402" s="40" t="s">
        <v>862</v>
      </c>
      <c r="F402" s="41">
        <v>0.0</v>
      </c>
      <c r="G402" s="41">
        <v>0.0</v>
      </c>
      <c r="H402" s="41">
        <v>0.0</v>
      </c>
    </row>
    <row r="403" ht="15.75" customHeight="1">
      <c r="A403" s="40" t="s">
        <v>28</v>
      </c>
      <c r="B403" s="40" t="s">
        <v>186</v>
      </c>
      <c r="C403" s="40" t="s">
        <v>857</v>
      </c>
      <c r="D403" s="40" t="s">
        <v>858</v>
      </c>
      <c r="E403" s="40" t="s">
        <v>863</v>
      </c>
      <c r="F403" s="41">
        <v>0.0</v>
      </c>
      <c r="G403" s="41">
        <v>0.0</v>
      </c>
      <c r="H403" s="41">
        <v>0.0</v>
      </c>
    </row>
    <row r="404" ht="15.75" customHeight="1">
      <c r="A404" s="40" t="s">
        <v>28</v>
      </c>
      <c r="B404" s="40" t="s">
        <v>186</v>
      </c>
      <c r="C404" s="40" t="s">
        <v>857</v>
      </c>
      <c r="D404" s="40" t="s">
        <v>858</v>
      </c>
      <c r="E404" s="40" t="s">
        <v>864</v>
      </c>
      <c r="F404" s="41">
        <v>2.0</v>
      </c>
      <c r="G404" s="41">
        <v>58000.0</v>
      </c>
      <c r="H404" s="41">
        <v>11010.0</v>
      </c>
    </row>
    <row r="405" ht="15.75" customHeight="1">
      <c r="A405" s="40" t="s">
        <v>28</v>
      </c>
      <c r="B405" s="40" t="s">
        <v>186</v>
      </c>
      <c r="C405" s="40" t="s">
        <v>857</v>
      </c>
      <c r="D405" s="40" t="s">
        <v>858</v>
      </c>
      <c r="E405" s="40" t="s">
        <v>865</v>
      </c>
      <c r="F405" s="41">
        <v>1.0</v>
      </c>
      <c r="G405" s="41">
        <v>27900.0</v>
      </c>
      <c r="H405" s="41">
        <v>5300.0</v>
      </c>
    </row>
    <row r="406" ht="15.75" customHeight="1">
      <c r="A406" s="40" t="s">
        <v>28</v>
      </c>
      <c r="B406" s="40" t="s">
        <v>186</v>
      </c>
      <c r="C406" s="40" t="s">
        <v>857</v>
      </c>
      <c r="D406" s="40" t="s">
        <v>858</v>
      </c>
      <c r="E406" s="40" t="s">
        <v>866</v>
      </c>
      <c r="F406" s="41">
        <v>0.0</v>
      </c>
      <c r="G406" s="41">
        <v>0.0</v>
      </c>
      <c r="H406" s="41">
        <v>0.0</v>
      </c>
    </row>
    <row r="407" ht="15.75" customHeight="1">
      <c r="A407" s="40" t="s">
        <v>28</v>
      </c>
      <c r="B407" s="40" t="s">
        <v>186</v>
      </c>
      <c r="C407" s="40" t="s">
        <v>857</v>
      </c>
      <c r="D407" s="40" t="s">
        <v>858</v>
      </c>
      <c r="E407" s="40" t="s">
        <v>867</v>
      </c>
      <c r="F407" s="41">
        <v>2.0</v>
      </c>
      <c r="G407" s="41">
        <v>71300.0</v>
      </c>
      <c r="H407" s="41">
        <v>13540.0</v>
      </c>
    </row>
    <row r="408" ht="15.75" customHeight="1">
      <c r="A408" s="40" t="s">
        <v>28</v>
      </c>
      <c r="B408" s="40" t="s">
        <v>186</v>
      </c>
      <c r="C408" s="40" t="s">
        <v>857</v>
      </c>
      <c r="D408" s="40" t="s">
        <v>858</v>
      </c>
      <c r="E408" s="40" t="s">
        <v>868</v>
      </c>
      <c r="F408" s="41">
        <v>1.0</v>
      </c>
      <c r="G408" s="41">
        <v>119600.0</v>
      </c>
      <c r="H408" s="41">
        <v>10000.0</v>
      </c>
    </row>
    <row r="409" ht="15.75" customHeight="1">
      <c r="A409" s="40" t="s">
        <v>28</v>
      </c>
      <c r="B409" s="40" t="s">
        <v>186</v>
      </c>
      <c r="C409" s="40" t="s">
        <v>857</v>
      </c>
      <c r="D409" s="40" t="s">
        <v>858</v>
      </c>
      <c r="E409" s="40" t="s">
        <v>869</v>
      </c>
      <c r="F409" s="41">
        <v>0.0</v>
      </c>
      <c r="G409" s="41">
        <v>0.0</v>
      </c>
      <c r="H409" s="41">
        <v>0.0</v>
      </c>
    </row>
    <row r="410" ht="15.75" customHeight="1">
      <c r="A410" s="40" t="s">
        <v>28</v>
      </c>
      <c r="B410" s="40" t="s">
        <v>186</v>
      </c>
      <c r="C410" s="40" t="s">
        <v>857</v>
      </c>
      <c r="D410" s="40" t="s">
        <v>858</v>
      </c>
      <c r="E410" s="40" t="s">
        <v>870</v>
      </c>
      <c r="F410" s="41">
        <v>0.0</v>
      </c>
      <c r="G410" s="41">
        <v>0.0</v>
      </c>
      <c r="H410" s="41">
        <v>0.0</v>
      </c>
    </row>
    <row r="411" ht="15.75" customHeight="1">
      <c r="A411" s="40" t="s">
        <v>28</v>
      </c>
      <c r="B411" s="40" t="s">
        <v>186</v>
      </c>
      <c r="C411" s="40" t="s">
        <v>857</v>
      </c>
      <c r="D411" s="40" t="s">
        <v>858</v>
      </c>
      <c r="E411" s="40" t="s">
        <v>871</v>
      </c>
      <c r="F411" s="41">
        <v>0.0</v>
      </c>
      <c r="G411" s="41">
        <v>0.0</v>
      </c>
      <c r="H411" s="41">
        <v>0.0</v>
      </c>
    </row>
    <row r="412" ht="15.75" customHeight="1">
      <c r="A412" s="40" t="s">
        <v>28</v>
      </c>
      <c r="B412" s="40" t="s">
        <v>186</v>
      </c>
      <c r="C412" s="40" t="s">
        <v>857</v>
      </c>
      <c r="D412" s="40" t="s">
        <v>858</v>
      </c>
      <c r="E412" s="40" t="s">
        <v>872</v>
      </c>
      <c r="F412" s="41">
        <v>0.0</v>
      </c>
      <c r="G412" s="41">
        <v>0.0</v>
      </c>
      <c r="H412" s="41">
        <v>0.0</v>
      </c>
    </row>
    <row r="413" ht="15.75" customHeight="1">
      <c r="A413" s="40" t="s">
        <v>28</v>
      </c>
      <c r="B413" s="40" t="s">
        <v>186</v>
      </c>
      <c r="C413" s="40" t="s">
        <v>857</v>
      </c>
      <c r="D413" s="40" t="s">
        <v>858</v>
      </c>
      <c r="E413" s="40" t="s">
        <v>873</v>
      </c>
      <c r="F413" s="41">
        <v>0.0</v>
      </c>
      <c r="G413" s="41">
        <v>0.0</v>
      </c>
      <c r="H413" s="41">
        <v>0.0</v>
      </c>
    </row>
    <row r="414" ht="15.75" customHeight="1">
      <c r="A414" s="40" t="s">
        <v>28</v>
      </c>
      <c r="B414" s="40" t="s">
        <v>186</v>
      </c>
      <c r="C414" s="40" t="s">
        <v>857</v>
      </c>
      <c r="D414" s="40" t="s">
        <v>858</v>
      </c>
      <c r="E414" s="40" t="s">
        <v>874</v>
      </c>
      <c r="F414" s="41">
        <v>0.0</v>
      </c>
      <c r="G414" s="41">
        <v>0.0</v>
      </c>
      <c r="H414" s="41">
        <v>0.0</v>
      </c>
    </row>
    <row r="415" ht="15.75" customHeight="1">
      <c r="A415" s="40" t="s">
        <v>28</v>
      </c>
      <c r="B415" s="40" t="s">
        <v>186</v>
      </c>
      <c r="C415" s="40" t="s">
        <v>857</v>
      </c>
      <c r="D415" s="40" t="s">
        <v>858</v>
      </c>
      <c r="E415" s="40" t="s">
        <v>875</v>
      </c>
      <c r="F415" s="41">
        <v>0.0</v>
      </c>
      <c r="G415" s="41">
        <v>0.0</v>
      </c>
      <c r="H415" s="41">
        <v>0.0</v>
      </c>
    </row>
    <row r="416" ht="15.75" customHeight="1">
      <c r="A416" s="40" t="s">
        <v>28</v>
      </c>
      <c r="B416" s="40" t="s">
        <v>186</v>
      </c>
      <c r="C416" s="40" t="s">
        <v>857</v>
      </c>
      <c r="D416" s="40" t="s">
        <v>858</v>
      </c>
      <c r="E416" s="40" t="s">
        <v>876</v>
      </c>
      <c r="F416" s="41">
        <v>0.0</v>
      </c>
      <c r="G416" s="41">
        <v>0.0</v>
      </c>
      <c r="H416" s="41">
        <v>0.0</v>
      </c>
    </row>
    <row r="417" ht="15.75" customHeight="1">
      <c r="A417" s="40" t="s">
        <v>28</v>
      </c>
      <c r="B417" s="40" t="s">
        <v>186</v>
      </c>
      <c r="C417" s="40" t="s">
        <v>857</v>
      </c>
      <c r="D417" s="40" t="s">
        <v>858</v>
      </c>
      <c r="E417" s="40" t="s">
        <v>877</v>
      </c>
      <c r="F417" s="41">
        <v>3.0</v>
      </c>
      <c r="G417" s="41">
        <v>94600.0</v>
      </c>
      <c r="H417" s="41">
        <v>18250.0</v>
      </c>
    </row>
    <row r="418" ht="15.75" customHeight="1">
      <c r="A418" s="40" t="s">
        <v>28</v>
      </c>
      <c r="B418" s="40" t="s">
        <v>186</v>
      </c>
      <c r="C418" s="40" t="s">
        <v>878</v>
      </c>
      <c r="D418" s="40" t="s">
        <v>879</v>
      </c>
      <c r="E418" s="40" t="s">
        <v>880</v>
      </c>
      <c r="F418" s="41">
        <v>0.0</v>
      </c>
      <c r="G418" s="41">
        <v>0.0</v>
      </c>
      <c r="H418" s="41">
        <v>0.0</v>
      </c>
    </row>
    <row r="419" ht="15.75" customHeight="1">
      <c r="A419" s="40" t="s">
        <v>28</v>
      </c>
      <c r="B419" s="40" t="s">
        <v>186</v>
      </c>
      <c r="C419" s="40" t="s">
        <v>878</v>
      </c>
      <c r="D419" s="40" t="s">
        <v>879</v>
      </c>
      <c r="E419" s="40" t="s">
        <v>881</v>
      </c>
      <c r="F419" s="41">
        <v>0.0</v>
      </c>
      <c r="G419" s="41">
        <v>0.0</v>
      </c>
      <c r="H419" s="41">
        <v>0.0</v>
      </c>
    </row>
    <row r="420" ht="15.75" customHeight="1">
      <c r="A420" s="40" t="s">
        <v>28</v>
      </c>
      <c r="B420" s="40" t="s">
        <v>186</v>
      </c>
      <c r="C420" s="40" t="s">
        <v>878</v>
      </c>
      <c r="D420" s="40" t="s">
        <v>879</v>
      </c>
      <c r="E420" s="40" t="s">
        <v>882</v>
      </c>
      <c r="F420" s="41">
        <v>0.0</v>
      </c>
      <c r="G420" s="41">
        <v>0.0</v>
      </c>
      <c r="H420" s="41">
        <v>0.0</v>
      </c>
    </row>
    <row r="421" ht="15.75" customHeight="1">
      <c r="A421" s="40" t="s">
        <v>28</v>
      </c>
      <c r="B421" s="40" t="s">
        <v>186</v>
      </c>
      <c r="C421" s="40" t="s">
        <v>878</v>
      </c>
      <c r="D421" s="40" t="s">
        <v>879</v>
      </c>
      <c r="E421" s="40" t="s">
        <v>883</v>
      </c>
      <c r="F421" s="41">
        <v>0.0</v>
      </c>
      <c r="G421" s="41">
        <v>0.0</v>
      </c>
      <c r="H421" s="41">
        <v>0.0</v>
      </c>
    </row>
    <row r="422" ht="15.75" customHeight="1">
      <c r="A422" s="40" t="s">
        <v>28</v>
      </c>
      <c r="B422" s="40" t="s">
        <v>186</v>
      </c>
      <c r="C422" s="40" t="s">
        <v>878</v>
      </c>
      <c r="D422" s="40" t="s">
        <v>879</v>
      </c>
      <c r="E422" s="40" t="s">
        <v>884</v>
      </c>
      <c r="F422" s="41">
        <v>0.0</v>
      </c>
      <c r="G422" s="41">
        <v>0.0</v>
      </c>
      <c r="H422" s="41">
        <v>0.0</v>
      </c>
    </row>
    <row r="423" ht="15.75" customHeight="1">
      <c r="A423" s="40" t="s">
        <v>28</v>
      </c>
      <c r="B423" s="40" t="s">
        <v>186</v>
      </c>
      <c r="C423" s="40" t="s">
        <v>878</v>
      </c>
      <c r="D423" s="40" t="s">
        <v>879</v>
      </c>
      <c r="E423" s="40" t="s">
        <v>885</v>
      </c>
      <c r="F423" s="41">
        <v>1.0</v>
      </c>
      <c r="G423" s="41">
        <v>38000.0</v>
      </c>
      <c r="H423" s="41">
        <v>7220.0</v>
      </c>
    </row>
    <row r="424" ht="15.75" customHeight="1">
      <c r="A424" s="40" t="s">
        <v>28</v>
      </c>
      <c r="B424" s="40" t="s">
        <v>186</v>
      </c>
      <c r="C424" s="40" t="s">
        <v>878</v>
      </c>
      <c r="D424" s="40" t="s">
        <v>879</v>
      </c>
      <c r="E424" s="40" t="s">
        <v>886</v>
      </c>
      <c r="F424" s="41">
        <v>0.0</v>
      </c>
      <c r="G424" s="41">
        <v>0.0</v>
      </c>
      <c r="H424" s="41">
        <v>0.0</v>
      </c>
    </row>
    <row r="425" ht="15.75" customHeight="1">
      <c r="A425" s="40" t="s">
        <v>28</v>
      </c>
      <c r="B425" s="40" t="s">
        <v>186</v>
      </c>
      <c r="C425" s="40" t="s">
        <v>878</v>
      </c>
      <c r="D425" s="40" t="s">
        <v>879</v>
      </c>
      <c r="E425" s="40" t="s">
        <v>887</v>
      </c>
      <c r="F425" s="41">
        <v>0.0</v>
      </c>
      <c r="G425" s="41">
        <v>0.0</v>
      </c>
      <c r="H425" s="41">
        <v>0.0</v>
      </c>
    </row>
    <row r="426" ht="15.75" customHeight="1">
      <c r="A426" s="40" t="s">
        <v>28</v>
      </c>
      <c r="B426" s="40" t="s">
        <v>186</v>
      </c>
      <c r="C426" s="40" t="s">
        <v>878</v>
      </c>
      <c r="D426" s="40" t="s">
        <v>879</v>
      </c>
      <c r="E426" s="40" t="s">
        <v>888</v>
      </c>
      <c r="F426" s="41">
        <v>0.0</v>
      </c>
      <c r="G426" s="41">
        <v>0.0</v>
      </c>
      <c r="H426" s="41">
        <v>0.0</v>
      </c>
    </row>
    <row r="427" ht="15.75" customHeight="1">
      <c r="A427" s="40" t="s">
        <v>28</v>
      </c>
      <c r="B427" s="40" t="s">
        <v>186</v>
      </c>
      <c r="C427" s="40" t="s">
        <v>878</v>
      </c>
      <c r="D427" s="40" t="s">
        <v>879</v>
      </c>
      <c r="E427" s="40" t="s">
        <v>889</v>
      </c>
      <c r="F427" s="41">
        <v>0.0</v>
      </c>
      <c r="G427" s="41">
        <v>0.0</v>
      </c>
      <c r="H427" s="41">
        <v>0.0</v>
      </c>
    </row>
    <row r="428" ht="15.75" customHeight="1">
      <c r="A428" s="40" t="s">
        <v>28</v>
      </c>
      <c r="B428" s="40" t="s">
        <v>186</v>
      </c>
      <c r="C428" s="40" t="s">
        <v>878</v>
      </c>
      <c r="D428" s="40" t="s">
        <v>879</v>
      </c>
      <c r="E428" s="40" t="s">
        <v>890</v>
      </c>
      <c r="F428" s="41">
        <v>0.0</v>
      </c>
      <c r="G428" s="41">
        <v>0.0</v>
      </c>
      <c r="H428" s="41">
        <v>0.0</v>
      </c>
    </row>
    <row r="429" ht="15.75" customHeight="1">
      <c r="A429" s="40" t="s">
        <v>28</v>
      </c>
      <c r="B429" s="40" t="s">
        <v>186</v>
      </c>
      <c r="C429" s="40" t="s">
        <v>878</v>
      </c>
      <c r="D429" s="40" t="s">
        <v>879</v>
      </c>
      <c r="E429" s="40" t="s">
        <v>891</v>
      </c>
      <c r="F429" s="41">
        <v>0.0</v>
      </c>
      <c r="G429" s="41">
        <v>0.0</v>
      </c>
      <c r="H429" s="41">
        <v>0.0</v>
      </c>
    </row>
    <row r="430" ht="15.75" customHeight="1">
      <c r="A430" s="40" t="s">
        <v>28</v>
      </c>
      <c r="B430" s="40" t="s">
        <v>186</v>
      </c>
      <c r="C430" s="40" t="s">
        <v>878</v>
      </c>
      <c r="D430" s="40" t="s">
        <v>879</v>
      </c>
      <c r="E430" s="40" t="s">
        <v>892</v>
      </c>
      <c r="F430" s="41">
        <v>0.0</v>
      </c>
      <c r="G430" s="41">
        <v>0.0</v>
      </c>
      <c r="H430" s="41">
        <v>0.0</v>
      </c>
    </row>
    <row r="431" ht="15.75" customHeight="1">
      <c r="A431" s="40" t="s">
        <v>28</v>
      </c>
      <c r="B431" s="40" t="s">
        <v>186</v>
      </c>
      <c r="C431" s="40" t="s">
        <v>878</v>
      </c>
      <c r="D431" s="40" t="s">
        <v>879</v>
      </c>
      <c r="E431" s="40" t="s">
        <v>893</v>
      </c>
      <c r="F431" s="41">
        <v>0.0</v>
      </c>
      <c r="G431" s="41">
        <v>0.0</v>
      </c>
      <c r="H431" s="41">
        <v>0.0</v>
      </c>
    </row>
    <row r="432" ht="15.75" customHeight="1">
      <c r="A432" s="40" t="s">
        <v>28</v>
      </c>
      <c r="B432" s="40" t="s">
        <v>186</v>
      </c>
      <c r="C432" s="40" t="s">
        <v>878</v>
      </c>
      <c r="D432" s="40" t="s">
        <v>879</v>
      </c>
      <c r="E432" s="40" t="s">
        <v>894</v>
      </c>
      <c r="F432" s="41">
        <v>4.0</v>
      </c>
      <c r="G432" s="41">
        <v>83200.0</v>
      </c>
      <c r="H432" s="41">
        <v>15750.0</v>
      </c>
    </row>
    <row r="433" ht="15.75" customHeight="1">
      <c r="A433" s="40" t="s">
        <v>28</v>
      </c>
      <c r="B433" s="40" t="s">
        <v>186</v>
      </c>
      <c r="C433" s="40" t="s">
        <v>895</v>
      </c>
      <c r="D433" s="40" t="s">
        <v>896</v>
      </c>
      <c r="E433" s="40" t="s">
        <v>897</v>
      </c>
      <c r="F433" s="41">
        <v>2.0</v>
      </c>
      <c r="G433" s="41">
        <v>26400.0</v>
      </c>
      <c r="H433" s="41">
        <v>4880.0</v>
      </c>
    </row>
    <row r="434" ht="15.75" customHeight="1">
      <c r="A434" s="40" t="s">
        <v>28</v>
      </c>
      <c r="B434" s="40" t="s">
        <v>186</v>
      </c>
      <c r="C434" s="40" t="s">
        <v>895</v>
      </c>
      <c r="D434" s="40" t="s">
        <v>896</v>
      </c>
      <c r="E434" s="40" t="s">
        <v>898</v>
      </c>
      <c r="F434" s="41">
        <v>3.0</v>
      </c>
      <c r="G434" s="41">
        <v>68700.0</v>
      </c>
      <c r="H434" s="41">
        <v>12700.0</v>
      </c>
    </row>
    <row r="435" ht="15.75" customHeight="1">
      <c r="A435" s="40" t="s">
        <v>28</v>
      </c>
      <c r="B435" s="40" t="s">
        <v>186</v>
      </c>
      <c r="C435" s="40" t="s">
        <v>895</v>
      </c>
      <c r="D435" s="40" t="s">
        <v>896</v>
      </c>
      <c r="E435" s="40" t="s">
        <v>899</v>
      </c>
      <c r="F435" s="41">
        <v>2.0</v>
      </c>
      <c r="G435" s="41">
        <v>45800.0</v>
      </c>
      <c r="H435" s="41">
        <v>8520.0</v>
      </c>
    </row>
    <row r="436" ht="15.75" customHeight="1">
      <c r="A436" s="40" t="s">
        <v>28</v>
      </c>
      <c r="B436" s="40" t="s">
        <v>186</v>
      </c>
      <c r="C436" s="40" t="s">
        <v>895</v>
      </c>
      <c r="D436" s="40" t="s">
        <v>896</v>
      </c>
      <c r="E436" s="40" t="s">
        <v>900</v>
      </c>
      <c r="F436" s="41">
        <v>0.0</v>
      </c>
      <c r="G436" s="41">
        <v>0.0</v>
      </c>
      <c r="H436" s="41">
        <v>0.0</v>
      </c>
    </row>
    <row r="437" ht="15.75" customHeight="1">
      <c r="A437" s="40" t="s">
        <v>28</v>
      </c>
      <c r="B437" s="40" t="s">
        <v>186</v>
      </c>
      <c r="C437" s="40" t="s">
        <v>895</v>
      </c>
      <c r="D437" s="40" t="s">
        <v>896</v>
      </c>
      <c r="E437" s="40" t="s">
        <v>901</v>
      </c>
      <c r="F437" s="41">
        <v>888.0</v>
      </c>
      <c r="G437" s="41">
        <v>1.31748E7</v>
      </c>
      <c r="H437" s="41">
        <v>2206680.0</v>
      </c>
    </row>
    <row r="438" ht="15.75" customHeight="1">
      <c r="A438" s="40" t="s">
        <v>28</v>
      </c>
      <c r="B438" s="40" t="s">
        <v>186</v>
      </c>
      <c r="C438" s="40" t="s">
        <v>895</v>
      </c>
      <c r="D438" s="40" t="s">
        <v>896</v>
      </c>
      <c r="E438" s="40" t="s">
        <v>902</v>
      </c>
      <c r="F438" s="41">
        <v>13.0</v>
      </c>
      <c r="G438" s="41">
        <v>112300.0</v>
      </c>
      <c r="H438" s="41">
        <v>21240.0</v>
      </c>
    </row>
    <row r="439" ht="15.75" customHeight="1">
      <c r="A439" s="40" t="s">
        <v>28</v>
      </c>
      <c r="B439" s="40" t="s">
        <v>186</v>
      </c>
      <c r="C439" s="40" t="s">
        <v>895</v>
      </c>
      <c r="D439" s="40" t="s">
        <v>896</v>
      </c>
      <c r="E439" s="40" t="s">
        <v>903</v>
      </c>
      <c r="F439" s="41">
        <v>2.0</v>
      </c>
      <c r="G439" s="41">
        <v>29800.0</v>
      </c>
      <c r="H439" s="41">
        <v>5660.0</v>
      </c>
    </row>
    <row r="440" ht="15.75" customHeight="1">
      <c r="A440" s="40" t="s">
        <v>28</v>
      </c>
      <c r="B440" s="40" t="s">
        <v>186</v>
      </c>
      <c r="C440" s="40" t="s">
        <v>895</v>
      </c>
      <c r="D440" s="40" t="s">
        <v>896</v>
      </c>
      <c r="E440" s="40" t="s">
        <v>904</v>
      </c>
      <c r="F440" s="41">
        <v>0.0</v>
      </c>
      <c r="G440" s="41">
        <v>0.0</v>
      </c>
      <c r="H440" s="41">
        <v>0.0</v>
      </c>
    </row>
    <row r="441" ht="15.75" customHeight="1">
      <c r="A441" s="40" t="s">
        <v>28</v>
      </c>
      <c r="B441" s="40" t="s">
        <v>186</v>
      </c>
      <c r="C441" s="40" t="s">
        <v>895</v>
      </c>
      <c r="D441" s="40" t="s">
        <v>896</v>
      </c>
      <c r="E441" s="40" t="s">
        <v>905</v>
      </c>
      <c r="F441" s="41">
        <v>1.0</v>
      </c>
      <c r="G441" s="41">
        <v>25900.0</v>
      </c>
      <c r="H441" s="41">
        <v>4560.0</v>
      </c>
    </row>
    <row r="442" ht="15.75" customHeight="1">
      <c r="A442" s="40" t="s">
        <v>28</v>
      </c>
      <c r="B442" s="40" t="s">
        <v>186</v>
      </c>
      <c r="C442" s="40" t="s">
        <v>895</v>
      </c>
      <c r="D442" s="40" t="s">
        <v>896</v>
      </c>
      <c r="E442" s="40" t="s">
        <v>906</v>
      </c>
      <c r="F442" s="41">
        <v>3.0</v>
      </c>
      <c r="G442" s="41">
        <v>17400.0</v>
      </c>
      <c r="H442" s="41">
        <v>3230.0</v>
      </c>
    </row>
    <row r="443" ht="15.75" customHeight="1">
      <c r="A443" s="40" t="s">
        <v>28</v>
      </c>
      <c r="B443" s="40" t="s">
        <v>186</v>
      </c>
      <c r="C443" s="40" t="s">
        <v>895</v>
      </c>
      <c r="D443" s="40" t="s">
        <v>896</v>
      </c>
      <c r="E443" s="40" t="s">
        <v>907</v>
      </c>
      <c r="F443" s="41">
        <v>13.0</v>
      </c>
      <c r="G443" s="41">
        <v>184000.0</v>
      </c>
      <c r="H443" s="41">
        <v>32870.0</v>
      </c>
    </row>
    <row r="444" ht="15.75" customHeight="1">
      <c r="A444" s="40" t="s">
        <v>28</v>
      </c>
      <c r="B444" s="40" t="s">
        <v>186</v>
      </c>
      <c r="C444" s="40" t="s">
        <v>895</v>
      </c>
      <c r="D444" s="40" t="s">
        <v>896</v>
      </c>
      <c r="E444" s="40" t="s">
        <v>908</v>
      </c>
      <c r="F444" s="41">
        <v>26.0</v>
      </c>
      <c r="G444" s="41">
        <v>331500.0</v>
      </c>
      <c r="H444" s="41">
        <v>59500.0</v>
      </c>
    </row>
    <row r="445" ht="15.75" customHeight="1">
      <c r="A445" s="40" t="s">
        <v>28</v>
      </c>
      <c r="B445" s="40" t="s">
        <v>186</v>
      </c>
      <c r="C445" s="40" t="s">
        <v>895</v>
      </c>
      <c r="D445" s="40" t="s">
        <v>896</v>
      </c>
      <c r="E445" s="40" t="s">
        <v>909</v>
      </c>
      <c r="F445" s="41">
        <v>0.0</v>
      </c>
      <c r="G445" s="41">
        <v>0.0</v>
      </c>
      <c r="H445" s="41">
        <v>0.0</v>
      </c>
    </row>
    <row r="446" ht="15.75" customHeight="1">
      <c r="A446" s="40" t="s">
        <v>28</v>
      </c>
      <c r="B446" s="40" t="s">
        <v>186</v>
      </c>
      <c r="C446" s="40" t="s">
        <v>895</v>
      </c>
      <c r="D446" s="40" t="s">
        <v>896</v>
      </c>
      <c r="E446" s="40" t="s">
        <v>910</v>
      </c>
      <c r="F446" s="41">
        <v>0.0</v>
      </c>
      <c r="G446" s="41">
        <v>0.0</v>
      </c>
      <c r="H446" s="41">
        <v>0.0</v>
      </c>
    </row>
    <row r="447" ht="15.75" customHeight="1">
      <c r="A447" s="40" t="s">
        <v>28</v>
      </c>
      <c r="B447" s="40" t="s">
        <v>186</v>
      </c>
      <c r="C447" s="40" t="s">
        <v>895</v>
      </c>
      <c r="D447" s="40" t="s">
        <v>896</v>
      </c>
      <c r="E447" s="40" t="s">
        <v>911</v>
      </c>
      <c r="F447" s="41">
        <v>1.0</v>
      </c>
      <c r="G447" s="41">
        <v>14400.0</v>
      </c>
      <c r="H447" s="41">
        <v>2700.0</v>
      </c>
    </row>
    <row r="448" ht="15.75" customHeight="1">
      <c r="A448" s="40" t="s">
        <v>28</v>
      </c>
      <c r="B448" s="40" t="s">
        <v>186</v>
      </c>
      <c r="C448" s="40" t="s">
        <v>895</v>
      </c>
      <c r="D448" s="40" t="s">
        <v>896</v>
      </c>
      <c r="E448" s="40" t="s">
        <v>912</v>
      </c>
      <c r="F448" s="41">
        <v>0.0</v>
      </c>
      <c r="G448" s="41">
        <v>0.0</v>
      </c>
      <c r="H448" s="41">
        <v>0.0</v>
      </c>
    </row>
    <row r="449" ht="15.75" customHeight="1">
      <c r="A449" s="40" t="s">
        <v>28</v>
      </c>
      <c r="B449" s="40" t="s">
        <v>186</v>
      </c>
      <c r="C449" s="40" t="s">
        <v>895</v>
      </c>
      <c r="D449" s="40" t="s">
        <v>896</v>
      </c>
      <c r="E449" s="40" t="s">
        <v>913</v>
      </c>
      <c r="F449" s="41">
        <v>2.0</v>
      </c>
      <c r="G449" s="41">
        <v>58200.0</v>
      </c>
      <c r="H449" s="41">
        <v>9640.0</v>
      </c>
    </row>
    <row r="450" ht="15.75" customHeight="1">
      <c r="A450" s="40" t="s">
        <v>28</v>
      </c>
      <c r="B450" s="40" t="s">
        <v>186</v>
      </c>
      <c r="C450" s="40" t="s">
        <v>895</v>
      </c>
      <c r="D450" s="40" t="s">
        <v>896</v>
      </c>
      <c r="E450" s="40" t="s">
        <v>914</v>
      </c>
      <c r="F450" s="41">
        <v>0.0</v>
      </c>
      <c r="G450" s="41">
        <v>0.0</v>
      </c>
      <c r="H450" s="41">
        <v>0.0</v>
      </c>
    </row>
    <row r="451" ht="15.75" customHeight="1">
      <c r="A451" s="40" t="s">
        <v>28</v>
      </c>
      <c r="B451" s="40" t="s">
        <v>186</v>
      </c>
      <c r="C451" s="40" t="s">
        <v>895</v>
      </c>
      <c r="D451" s="40" t="s">
        <v>896</v>
      </c>
      <c r="E451" s="40" t="s">
        <v>915</v>
      </c>
      <c r="F451" s="41">
        <v>3.0</v>
      </c>
      <c r="G451" s="41">
        <v>52200.0</v>
      </c>
      <c r="H451" s="41">
        <v>8340.0</v>
      </c>
    </row>
    <row r="452" ht="15.75" customHeight="1">
      <c r="A452" s="40" t="s">
        <v>28</v>
      </c>
      <c r="B452" s="40" t="s">
        <v>186</v>
      </c>
      <c r="C452" s="40" t="s">
        <v>895</v>
      </c>
      <c r="D452" s="40" t="s">
        <v>896</v>
      </c>
      <c r="E452" s="40" t="s">
        <v>917</v>
      </c>
      <c r="F452" s="41">
        <v>1.0</v>
      </c>
      <c r="G452" s="41">
        <v>26600.0</v>
      </c>
      <c r="H452" s="41">
        <v>4680.0</v>
      </c>
    </row>
    <row r="453" ht="15.75" customHeight="1">
      <c r="A453" s="40" t="s">
        <v>28</v>
      </c>
      <c r="B453" s="40" t="s">
        <v>186</v>
      </c>
      <c r="C453" s="40" t="s">
        <v>895</v>
      </c>
      <c r="D453" s="40" t="s">
        <v>896</v>
      </c>
      <c r="E453" s="40" t="s">
        <v>918</v>
      </c>
      <c r="F453" s="41">
        <v>0.0</v>
      </c>
      <c r="G453" s="41">
        <v>0.0</v>
      </c>
      <c r="H453" s="41">
        <v>0.0</v>
      </c>
    </row>
    <row r="454" ht="15.75" customHeight="1">
      <c r="A454" s="40" t="s">
        <v>28</v>
      </c>
      <c r="B454" s="40" t="s">
        <v>186</v>
      </c>
      <c r="C454" s="40" t="s">
        <v>895</v>
      </c>
      <c r="D454" s="40" t="s">
        <v>896</v>
      </c>
      <c r="E454" s="40" t="s">
        <v>919</v>
      </c>
      <c r="F454" s="41">
        <v>0.0</v>
      </c>
      <c r="G454" s="41">
        <v>0.0</v>
      </c>
      <c r="H454" s="41">
        <v>0.0</v>
      </c>
    </row>
    <row r="455" ht="15.75" customHeight="1">
      <c r="A455" s="40" t="s">
        <v>28</v>
      </c>
      <c r="B455" s="40" t="s">
        <v>186</v>
      </c>
      <c r="C455" s="40" t="s">
        <v>920</v>
      </c>
      <c r="D455" s="40" t="s">
        <v>921</v>
      </c>
      <c r="E455" s="40" t="s">
        <v>922</v>
      </c>
      <c r="F455" s="41">
        <v>0.0</v>
      </c>
      <c r="G455" s="41">
        <v>0.0</v>
      </c>
      <c r="H455" s="41">
        <v>0.0</v>
      </c>
    </row>
    <row r="456" ht="15.75" customHeight="1">
      <c r="A456" s="40" t="s">
        <v>28</v>
      </c>
      <c r="B456" s="40" t="s">
        <v>186</v>
      </c>
      <c r="C456" s="40" t="s">
        <v>920</v>
      </c>
      <c r="D456" s="40" t="s">
        <v>921</v>
      </c>
      <c r="E456" s="40" t="s">
        <v>923</v>
      </c>
      <c r="F456" s="41">
        <v>0.0</v>
      </c>
      <c r="G456" s="41">
        <v>0.0</v>
      </c>
      <c r="H456" s="41">
        <v>0.0</v>
      </c>
    </row>
    <row r="457" ht="15.75" customHeight="1">
      <c r="A457" s="40" t="s">
        <v>28</v>
      </c>
      <c r="B457" s="40" t="s">
        <v>186</v>
      </c>
      <c r="C457" s="40" t="s">
        <v>920</v>
      </c>
      <c r="D457" s="40" t="s">
        <v>921</v>
      </c>
      <c r="E457" s="40" t="s">
        <v>925</v>
      </c>
      <c r="F457" s="41">
        <v>0.0</v>
      </c>
      <c r="G457" s="41">
        <v>0.0</v>
      </c>
      <c r="H457" s="41">
        <v>0.0</v>
      </c>
    </row>
    <row r="458" ht="15.75" customHeight="1">
      <c r="A458" s="40" t="s">
        <v>28</v>
      </c>
      <c r="B458" s="40" t="s">
        <v>186</v>
      </c>
      <c r="C458" s="40" t="s">
        <v>920</v>
      </c>
      <c r="D458" s="40" t="s">
        <v>921</v>
      </c>
      <c r="E458" s="40" t="s">
        <v>926</v>
      </c>
      <c r="F458" s="41">
        <v>0.0</v>
      </c>
      <c r="G458" s="41">
        <v>0.0</v>
      </c>
      <c r="H458" s="41">
        <v>0.0</v>
      </c>
    </row>
    <row r="459" ht="15.75" customHeight="1">
      <c r="A459" s="40" t="s">
        <v>28</v>
      </c>
      <c r="B459" s="40" t="s">
        <v>186</v>
      </c>
      <c r="C459" s="40" t="s">
        <v>920</v>
      </c>
      <c r="D459" s="40" t="s">
        <v>921</v>
      </c>
      <c r="E459" s="40" t="s">
        <v>927</v>
      </c>
      <c r="F459" s="41">
        <v>0.0</v>
      </c>
      <c r="G459" s="41">
        <v>0.0</v>
      </c>
      <c r="H459" s="41">
        <v>0.0</v>
      </c>
    </row>
    <row r="460" ht="15.75" customHeight="1">
      <c r="A460" s="40" t="s">
        <v>28</v>
      </c>
      <c r="B460" s="40" t="s">
        <v>186</v>
      </c>
      <c r="C460" s="40" t="s">
        <v>920</v>
      </c>
      <c r="D460" s="40" t="s">
        <v>921</v>
      </c>
      <c r="E460" s="40" t="s">
        <v>928</v>
      </c>
      <c r="F460" s="41">
        <v>0.0</v>
      </c>
      <c r="G460" s="41">
        <v>0.0</v>
      </c>
      <c r="H460" s="41">
        <v>0.0</v>
      </c>
    </row>
    <row r="461" ht="15.75" customHeight="1">
      <c r="A461" s="40" t="s">
        <v>28</v>
      </c>
      <c r="B461" s="40" t="s">
        <v>186</v>
      </c>
      <c r="C461" s="40" t="s">
        <v>920</v>
      </c>
      <c r="D461" s="40" t="s">
        <v>921</v>
      </c>
      <c r="E461" s="40" t="s">
        <v>929</v>
      </c>
      <c r="F461" s="41">
        <v>0.0</v>
      </c>
      <c r="G461" s="41">
        <v>0.0</v>
      </c>
      <c r="H461" s="41">
        <v>0.0</v>
      </c>
    </row>
    <row r="462" ht="15.75" customHeight="1">
      <c r="A462" s="40" t="s">
        <v>28</v>
      </c>
      <c r="B462" s="40" t="s">
        <v>186</v>
      </c>
      <c r="C462" s="40" t="s">
        <v>920</v>
      </c>
      <c r="D462" s="40" t="s">
        <v>921</v>
      </c>
      <c r="E462" s="40" t="s">
        <v>930</v>
      </c>
      <c r="F462" s="41">
        <v>0.0</v>
      </c>
      <c r="G462" s="41">
        <v>0.0</v>
      </c>
      <c r="H462" s="41">
        <v>0.0</v>
      </c>
    </row>
    <row r="463" ht="15.75" customHeight="1">
      <c r="A463" s="40" t="s">
        <v>28</v>
      </c>
      <c r="B463" s="40" t="s">
        <v>186</v>
      </c>
      <c r="C463" s="40" t="s">
        <v>920</v>
      </c>
      <c r="D463" s="40" t="s">
        <v>921</v>
      </c>
      <c r="E463" s="40" t="s">
        <v>931</v>
      </c>
      <c r="F463" s="41">
        <v>0.0</v>
      </c>
      <c r="G463" s="41">
        <v>0.0</v>
      </c>
      <c r="H463" s="41">
        <v>0.0</v>
      </c>
    </row>
    <row r="464" ht="15.75" customHeight="1">
      <c r="A464" s="40" t="s">
        <v>28</v>
      </c>
      <c r="B464" s="40" t="s">
        <v>186</v>
      </c>
      <c r="C464" s="40" t="s">
        <v>920</v>
      </c>
      <c r="D464" s="40" t="s">
        <v>921</v>
      </c>
      <c r="E464" s="40" t="s">
        <v>932</v>
      </c>
      <c r="F464" s="41">
        <v>0.0</v>
      </c>
      <c r="G464" s="41">
        <v>0.0</v>
      </c>
      <c r="H464" s="41">
        <v>0.0</v>
      </c>
    </row>
    <row r="465" ht="15.75" customHeight="1">
      <c r="A465" s="40" t="s">
        <v>28</v>
      </c>
      <c r="B465" s="40" t="s">
        <v>186</v>
      </c>
      <c r="C465" s="40" t="s">
        <v>920</v>
      </c>
      <c r="D465" s="40" t="s">
        <v>921</v>
      </c>
      <c r="E465" s="40" t="s">
        <v>933</v>
      </c>
      <c r="F465" s="41">
        <v>0.0</v>
      </c>
      <c r="G465" s="41">
        <v>0.0</v>
      </c>
      <c r="H465" s="41">
        <v>0.0</v>
      </c>
    </row>
    <row r="466" ht="15.75" customHeight="1">
      <c r="A466" s="40" t="s">
        <v>28</v>
      </c>
      <c r="B466" s="40" t="s">
        <v>186</v>
      </c>
      <c r="C466" s="40" t="s">
        <v>920</v>
      </c>
      <c r="D466" s="40" t="s">
        <v>921</v>
      </c>
      <c r="E466" s="40" t="s">
        <v>934</v>
      </c>
      <c r="F466" s="41">
        <v>0.0</v>
      </c>
      <c r="G466" s="41">
        <v>0.0</v>
      </c>
      <c r="H466" s="41">
        <v>0.0</v>
      </c>
    </row>
    <row r="467" ht="15.75" customHeight="1">
      <c r="A467" s="40" t="s">
        <v>28</v>
      </c>
      <c r="B467" s="40" t="s">
        <v>186</v>
      </c>
      <c r="C467" s="40" t="s">
        <v>920</v>
      </c>
      <c r="D467" s="40" t="s">
        <v>921</v>
      </c>
      <c r="E467" s="40" t="s">
        <v>935</v>
      </c>
      <c r="F467" s="41">
        <v>0.0</v>
      </c>
      <c r="G467" s="41">
        <v>0.0</v>
      </c>
      <c r="H467" s="41">
        <v>0.0</v>
      </c>
    </row>
    <row r="468" ht="15.75" customHeight="1">
      <c r="A468" s="40" t="s">
        <v>28</v>
      </c>
      <c r="B468" s="40" t="s">
        <v>186</v>
      </c>
      <c r="C468" s="40" t="s">
        <v>920</v>
      </c>
      <c r="D468" s="40" t="s">
        <v>921</v>
      </c>
      <c r="E468" s="40" t="s">
        <v>937</v>
      </c>
      <c r="F468" s="41">
        <v>0.0</v>
      </c>
      <c r="G468" s="41">
        <v>0.0</v>
      </c>
      <c r="H468" s="41">
        <v>0.0</v>
      </c>
    </row>
    <row r="469" ht="15.75" customHeight="1">
      <c r="A469" s="40" t="s">
        <v>28</v>
      </c>
      <c r="B469" s="40" t="s">
        <v>186</v>
      </c>
      <c r="C469" s="40" t="s">
        <v>920</v>
      </c>
      <c r="D469" s="40" t="s">
        <v>921</v>
      </c>
      <c r="E469" s="40" t="s">
        <v>938</v>
      </c>
      <c r="F469" s="41">
        <v>0.0</v>
      </c>
      <c r="G469" s="41">
        <v>0.0</v>
      </c>
      <c r="H469" s="41">
        <v>0.0</v>
      </c>
    </row>
    <row r="470" ht="15.75" customHeight="1">
      <c r="A470" s="40" t="s">
        <v>28</v>
      </c>
      <c r="B470" s="40" t="s">
        <v>186</v>
      </c>
      <c r="C470" s="40" t="s">
        <v>920</v>
      </c>
      <c r="D470" s="40" t="s">
        <v>921</v>
      </c>
      <c r="E470" s="40" t="s">
        <v>939</v>
      </c>
      <c r="F470" s="41">
        <v>0.0</v>
      </c>
      <c r="G470" s="41">
        <v>0.0</v>
      </c>
      <c r="H470" s="41">
        <v>0.0</v>
      </c>
    </row>
    <row r="471" ht="15.75" customHeight="1">
      <c r="A471" s="40" t="s">
        <v>28</v>
      </c>
      <c r="B471" s="40" t="s">
        <v>186</v>
      </c>
      <c r="C471" s="40" t="s">
        <v>920</v>
      </c>
      <c r="D471" s="40" t="s">
        <v>921</v>
      </c>
      <c r="E471" s="40" t="s">
        <v>940</v>
      </c>
      <c r="F471" s="41">
        <v>0.0</v>
      </c>
      <c r="G471" s="41">
        <v>0.0</v>
      </c>
      <c r="H471" s="41">
        <v>0.0</v>
      </c>
    </row>
    <row r="472" ht="15.75" customHeight="1">
      <c r="A472" s="40" t="s">
        <v>28</v>
      </c>
      <c r="B472" s="40" t="s">
        <v>186</v>
      </c>
      <c r="C472" s="40" t="s">
        <v>920</v>
      </c>
      <c r="D472" s="40" t="s">
        <v>921</v>
      </c>
      <c r="E472" s="40" t="s">
        <v>941</v>
      </c>
      <c r="F472" s="41">
        <v>0.0</v>
      </c>
      <c r="G472" s="41">
        <v>0.0</v>
      </c>
      <c r="H472" s="41">
        <v>0.0</v>
      </c>
    </row>
    <row r="473" ht="15.75" customHeight="1">
      <c r="A473" s="40" t="s">
        <v>28</v>
      </c>
      <c r="B473" s="40" t="s">
        <v>186</v>
      </c>
      <c r="C473" s="40" t="s">
        <v>920</v>
      </c>
      <c r="D473" s="40" t="s">
        <v>921</v>
      </c>
      <c r="E473" s="40" t="s">
        <v>942</v>
      </c>
      <c r="F473" s="41">
        <v>0.0</v>
      </c>
      <c r="G473" s="41">
        <v>0.0</v>
      </c>
      <c r="H473" s="41">
        <v>0.0</v>
      </c>
    </row>
    <row r="474" ht="15.75" customHeight="1">
      <c r="A474" s="40" t="s">
        <v>28</v>
      </c>
      <c r="B474" s="40" t="s">
        <v>186</v>
      </c>
      <c r="C474" s="40" t="s">
        <v>920</v>
      </c>
      <c r="D474" s="40" t="s">
        <v>921</v>
      </c>
      <c r="E474" s="40" t="s">
        <v>943</v>
      </c>
      <c r="F474" s="41">
        <v>0.0</v>
      </c>
      <c r="G474" s="41">
        <v>0.0</v>
      </c>
      <c r="H474" s="41">
        <v>0.0</v>
      </c>
    </row>
    <row r="475" ht="15.75" customHeight="1">
      <c r="A475" s="40" t="s">
        <v>28</v>
      </c>
      <c r="B475" s="40" t="s">
        <v>186</v>
      </c>
      <c r="C475" s="40" t="s">
        <v>920</v>
      </c>
      <c r="D475" s="40" t="s">
        <v>921</v>
      </c>
      <c r="E475" s="40" t="s">
        <v>944</v>
      </c>
      <c r="F475" s="41">
        <v>0.0</v>
      </c>
      <c r="G475" s="41">
        <v>0.0</v>
      </c>
      <c r="H475" s="41">
        <v>0.0</v>
      </c>
    </row>
    <row r="476" ht="15.75" customHeight="1">
      <c r="A476" s="40" t="s">
        <v>28</v>
      </c>
      <c r="B476" s="40" t="s">
        <v>186</v>
      </c>
      <c r="C476" s="40" t="s">
        <v>920</v>
      </c>
      <c r="D476" s="40" t="s">
        <v>921</v>
      </c>
      <c r="E476" s="40" t="s">
        <v>945</v>
      </c>
      <c r="F476" s="41">
        <v>0.0</v>
      </c>
      <c r="G476" s="41">
        <v>0.0</v>
      </c>
      <c r="H476" s="41">
        <v>0.0</v>
      </c>
    </row>
    <row r="477" ht="15.75" customHeight="1">
      <c r="A477" s="40" t="s">
        <v>28</v>
      </c>
      <c r="B477" s="40" t="s">
        <v>186</v>
      </c>
      <c r="C477" s="40" t="s">
        <v>920</v>
      </c>
      <c r="D477" s="40" t="s">
        <v>921</v>
      </c>
      <c r="E477" s="40" t="s">
        <v>946</v>
      </c>
      <c r="F477" s="41">
        <v>0.0</v>
      </c>
      <c r="G477" s="41">
        <v>0.0</v>
      </c>
      <c r="H477" s="41">
        <v>0.0</v>
      </c>
    </row>
    <row r="478" ht="15.75" customHeight="1">
      <c r="A478" s="40" t="s">
        <v>28</v>
      </c>
      <c r="B478" s="40" t="s">
        <v>186</v>
      </c>
      <c r="C478" s="40" t="s">
        <v>920</v>
      </c>
      <c r="D478" s="40" t="s">
        <v>921</v>
      </c>
      <c r="E478" s="40" t="s">
        <v>947</v>
      </c>
      <c r="F478" s="41">
        <v>0.0</v>
      </c>
      <c r="G478" s="41">
        <v>0.0</v>
      </c>
      <c r="H478" s="41">
        <v>0.0</v>
      </c>
    </row>
    <row r="479" ht="15.75" customHeight="1">
      <c r="A479" s="40" t="s">
        <v>28</v>
      </c>
      <c r="B479" s="40" t="s">
        <v>186</v>
      </c>
      <c r="C479" s="40" t="s">
        <v>920</v>
      </c>
      <c r="D479" s="40" t="s">
        <v>921</v>
      </c>
      <c r="E479" s="40" t="s">
        <v>950</v>
      </c>
      <c r="F479" s="41">
        <v>0.0</v>
      </c>
      <c r="G479" s="41">
        <v>0.0</v>
      </c>
      <c r="H479" s="41">
        <v>0.0</v>
      </c>
    </row>
    <row r="480" ht="15.75" customHeight="1">
      <c r="A480" s="40" t="s">
        <v>28</v>
      </c>
      <c r="B480" s="40" t="s">
        <v>186</v>
      </c>
      <c r="C480" s="40" t="s">
        <v>920</v>
      </c>
      <c r="D480" s="40" t="s">
        <v>921</v>
      </c>
      <c r="E480" s="40" t="s">
        <v>951</v>
      </c>
      <c r="F480" s="41">
        <v>0.0</v>
      </c>
      <c r="G480" s="41">
        <v>0.0</v>
      </c>
      <c r="H480" s="41">
        <v>0.0</v>
      </c>
    </row>
    <row r="481" ht="15.75" customHeight="1">
      <c r="A481" s="40" t="s">
        <v>28</v>
      </c>
      <c r="B481" s="40" t="s">
        <v>186</v>
      </c>
      <c r="C481" s="40" t="s">
        <v>920</v>
      </c>
      <c r="D481" s="40" t="s">
        <v>921</v>
      </c>
      <c r="E481" s="40" t="s">
        <v>952</v>
      </c>
      <c r="F481" s="41">
        <v>0.0</v>
      </c>
      <c r="G481" s="41">
        <v>0.0</v>
      </c>
      <c r="H481" s="41">
        <v>0.0</v>
      </c>
    </row>
    <row r="482" ht="15.75" customHeight="1">
      <c r="A482" s="40" t="s">
        <v>28</v>
      </c>
      <c r="B482" s="40" t="s">
        <v>186</v>
      </c>
      <c r="C482" s="40" t="s">
        <v>920</v>
      </c>
      <c r="D482" s="40" t="s">
        <v>921</v>
      </c>
      <c r="E482" s="40" t="s">
        <v>953</v>
      </c>
      <c r="F482" s="41">
        <v>0.0</v>
      </c>
      <c r="G482" s="41">
        <v>0.0</v>
      </c>
      <c r="H482" s="41">
        <v>0.0</v>
      </c>
    </row>
    <row r="483" ht="15.75" customHeight="1">
      <c r="A483" s="40" t="s">
        <v>28</v>
      </c>
      <c r="B483" s="40" t="s">
        <v>186</v>
      </c>
      <c r="C483" s="40" t="s">
        <v>920</v>
      </c>
      <c r="D483" s="40" t="s">
        <v>921</v>
      </c>
      <c r="E483" s="40" t="s">
        <v>954</v>
      </c>
      <c r="F483" s="41">
        <v>0.0</v>
      </c>
      <c r="G483" s="41">
        <v>0.0</v>
      </c>
      <c r="H483" s="41">
        <v>0.0</v>
      </c>
    </row>
    <row r="484" ht="15.75" customHeight="1">
      <c r="A484" s="40" t="s">
        <v>28</v>
      </c>
      <c r="B484" s="40" t="s">
        <v>186</v>
      </c>
      <c r="C484" s="40" t="s">
        <v>920</v>
      </c>
      <c r="D484" s="40" t="s">
        <v>921</v>
      </c>
      <c r="E484" s="40" t="s">
        <v>955</v>
      </c>
      <c r="F484" s="41">
        <v>0.0</v>
      </c>
      <c r="G484" s="41">
        <v>0.0</v>
      </c>
      <c r="H484" s="41">
        <v>0.0</v>
      </c>
    </row>
    <row r="485" ht="15.75" customHeight="1">
      <c r="A485" s="40" t="s">
        <v>28</v>
      </c>
      <c r="B485" s="40" t="s">
        <v>186</v>
      </c>
      <c r="C485" s="40" t="s">
        <v>920</v>
      </c>
      <c r="D485" s="40" t="s">
        <v>921</v>
      </c>
      <c r="E485" s="40" t="s">
        <v>956</v>
      </c>
      <c r="F485" s="41">
        <v>0.0</v>
      </c>
      <c r="G485" s="41">
        <v>0.0</v>
      </c>
      <c r="H485" s="41">
        <v>0.0</v>
      </c>
    </row>
    <row r="486" ht="15.75" customHeight="1">
      <c r="A486" s="40" t="s">
        <v>28</v>
      </c>
      <c r="B486" s="40" t="s">
        <v>186</v>
      </c>
      <c r="C486" s="40" t="s">
        <v>920</v>
      </c>
      <c r="D486" s="40" t="s">
        <v>921</v>
      </c>
      <c r="E486" s="40" t="s">
        <v>957</v>
      </c>
      <c r="F486" s="41">
        <v>0.0</v>
      </c>
      <c r="G486" s="41">
        <v>0.0</v>
      </c>
      <c r="H486" s="41">
        <v>0.0</v>
      </c>
    </row>
    <row r="487" ht="15.75" customHeight="1">
      <c r="A487" s="40" t="s">
        <v>28</v>
      </c>
      <c r="B487" s="40" t="s">
        <v>186</v>
      </c>
      <c r="C487" s="40" t="s">
        <v>920</v>
      </c>
      <c r="D487" s="40" t="s">
        <v>921</v>
      </c>
      <c r="E487" s="40" t="s">
        <v>958</v>
      </c>
      <c r="F487" s="41">
        <v>0.0</v>
      </c>
      <c r="G487" s="41">
        <v>0.0</v>
      </c>
      <c r="H487" s="41">
        <v>0.0</v>
      </c>
    </row>
    <row r="488" ht="15.75" customHeight="1">
      <c r="A488" s="40" t="s">
        <v>28</v>
      </c>
      <c r="B488" s="40" t="s">
        <v>186</v>
      </c>
      <c r="C488" s="40" t="s">
        <v>920</v>
      </c>
      <c r="D488" s="40" t="s">
        <v>921</v>
      </c>
      <c r="E488" s="40" t="s">
        <v>959</v>
      </c>
      <c r="F488" s="41">
        <v>0.0</v>
      </c>
      <c r="G488" s="41">
        <v>0.0</v>
      </c>
      <c r="H488" s="41">
        <v>0.0</v>
      </c>
    </row>
    <row r="489" ht="15.75" customHeight="1">
      <c r="A489" s="40" t="s">
        <v>28</v>
      </c>
      <c r="B489" s="40" t="s">
        <v>186</v>
      </c>
      <c r="C489" s="40" t="s">
        <v>920</v>
      </c>
      <c r="D489" s="40" t="s">
        <v>921</v>
      </c>
      <c r="E489" s="40" t="s">
        <v>960</v>
      </c>
      <c r="F489" s="41">
        <v>0.0</v>
      </c>
      <c r="G489" s="41">
        <v>0.0</v>
      </c>
      <c r="H489" s="41">
        <v>0.0</v>
      </c>
    </row>
    <row r="490" ht="15.75" customHeight="1">
      <c r="A490" s="40" t="s">
        <v>28</v>
      </c>
      <c r="B490" s="40" t="s">
        <v>186</v>
      </c>
      <c r="C490" s="40" t="s">
        <v>920</v>
      </c>
      <c r="D490" s="40" t="s">
        <v>921</v>
      </c>
      <c r="E490" s="40" t="s">
        <v>961</v>
      </c>
      <c r="F490" s="41">
        <v>0.0</v>
      </c>
      <c r="G490" s="41">
        <v>0.0</v>
      </c>
      <c r="H490" s="41">
        <v>0.0</v>
      </c>
    </row>
    <row r="491" ht="15.75" customHeight="1">
      <c r="A491" s="40" t="s">
        <v>28</v>
      </c>
      <c r="B491" s="40" t="s">
        <v>186</v>
      </c>
      <c r="C491" s="40" t="s">
        <v>920</v>
      </c>
      <c r="D491" s="40" t="s">
        <v>921</v>
      </c>
      <c r="E491" s="40" t="s">
        <v>962</v>
      </c>
      <c r="F491" s="41">
        <v>0.0</v>
      </c>
      <c r="G491" s="41">
        <v>0.0</v>
      </c>
      <c r="H491" s="41">
        <v>0.0</v>
      </c>
    </row>
    <row r="492" ht="15.75" customHeight="1">
      <c r="A492" s="40" t="s">
        <v>28</v>
      </c>
      <c r="B492" s="40" t="s">
        <v>186</v>
      </c>
      <c r="C492" s="40" t="s">
        <v>920</v>
      </c>
      <c r="D492" s="40" t="s">
        <v>921</v>
      </c>
      <c r="E492" s="40" t="s">
        <v>963</v>
      </c>
      <c r="F492" s="41">
        <v>0.0</v>
      </c>
      <c r="G492" s="41">
        <v>0.0</v>
      </c>
      <c r="H492" s="41">
        <v>0.0</v>
      </c>
    </row>
    <row r="493" ht="15.75" customHeight="1">
      <c r="A493" s="40" t="s">
        <v>28</v>
      </c>
      <c r="B493" s="40" t="s">
        <v>186</v>
      </c>
      <c r="C493" s="40" t="s">
        <v>920</v>
      </c>
      <c r="D493" s="40" t="s">
        <v>921</v>
      </c>
      <c r="E493" s="40" t="s">
        <v>964</v>
      </c>
      <c r="F493" s="41">
        <v>0.0</v>
      </c>
      <c r="G493" s="41">
        <v>0.0</v>
      </c>
      <c r="H493" s="41">
        <v>0.0</v>
      </c>
    </row>
    <row r="494" ht="15.75" customHeight="1">
      <c r="A494" s="40" t="s">
        <v>28</v>
      </c>
      <c r="B494" s="40" t="s">
        <v>186</v>
      </c>
      <c r="C494" s="40" t="s">
        <v>920</v>
      </c>
      <c r="D494" s="40" t="s">
        <v>921</v>
      </c>
      <c r="E494" s="40" t="s">
        <v>965</v>
      </c>
      <c r="F494" s="41">
        <v>0.0</v>
      </c>
      <c r="G494" s="41">
        <v>0.0</v>
      </c>
      <c r="H494" s="41">
        <v>0.0</v>
      </c>
    </row>
    <row r="495" ht="15.75" customHeight="1">
      <c r="A495" s="40" t="s">
        <v>28</v>
      </c>
      <c r="B495" s="40" t="s">
        <v>186</v>
      </c>
      <c r="C495" s="40" t="s">
        <v>920</v>
      </c>
      <c r="D495" s="40" t="s">
        <v>921</v>
      </c>
      <c r="E495" s="40" t="s">
        <v>966</v>
      </c>
      <c r="F495" s="41">
        <v>0.0</v>
      </c>
      <c r="G495" s="41">
        <v>0.0</v>
      </c>
      <c r="H495" s="41">
        <v>0.0</v>
      </c>
    </row>
    <row r="496" ht="15.75" customHeight="1">
      <c r="A496" s="40" t="s">
        <v>28</v>
      </c>
      <c r="B496" s="40" t="s">
        <v>186</v>
      </c>
      <c r="C496" s="40" t="s">
        <v>920</v>
      </c>
      <c r="D496" s="40" t="s">
        <v>921</v>
      </c>
      <c r="E496" s="40" t="s">
        <v>967</v>
      </c>
      <c r="F496" s="41">
        <v>0.0</v>
      </c>
      <c r="G496" s="41">
        <v>0.0</v>
      </c>
      <c r="H496" s="41">
        <v>0.0</v>
      </c>
    </row>
    <row r="497" ht="15.75" customHeight="1">
      <c r="A497" s="40" t="s">
        <v>28</v>
      </c>
      <c r="B497" s="40" t="s">
        <v>186</v>
      </c>
      <c r="C497" s="40" t="s">
        <v>920</v>
      </c>
      <c r="D497" s="40" t="s">
        <v>921</v>
      </c>
      <c r="E497" s="40" t="s">
        <v>968</v>
      </c>
      <c r="F497" s="41">
        <v>0.0</v>
      </c>
      <c r="G497" s="41">
        <v>0.0</v>
      </c>
      <c r="H497" s="41">
        <v>0.0</v>
      </c>
    </row>
    <row r="498" ht="15.75" customHeight="1">
      <c r="A498" s="40" t="s">
        <v>28</v>
      </c>
      <c r="B498" s="40" t="s">
        <v>186</v>
      </c>
      <c r="C498" s="40" t="s">
        <v>920</v>
      </c>
      <c r="D498" s="40" t="s">
        <v>921</v>
      </c>
      <c r="E498" s="40" t="s">
        <v>969</v>
      </c>
      <c r="F498" s="41">
        <v>0.0</v>
      </c>
      <c r="G498" s="41">
        <v>0.0</v>
      </c>
      <c r="H498" s="41">
        <v>0.0</v>
      </c>
    </row>
    <row r="499" ht="15.75" customHeight="1">
      <c r="A499" s="40" t="s">
        <v>28</v>
      </c>
      <c r="B499" s="40" t="s">
        <v>186</v>
      </c>
      <c r="C499" s="40" t="s">
        <v>920</v>
      </c>
      <c r="D499" s="40" t="s">
        <v>921</v>
      </c>
      <c r="E499" s="40" t="s">
        <v>970</v>
      </c>
      <c r="F499" s="41">
        <v>0.0</v>
      </c>
      <c r="G499" s="41">
        <v>0.0</v>
      </c>
      <c r="H499" s="41">
        <v>0.0</v>
      </c>
    </row>
    <row r="500" ht="15.75" customHeight="1">
      <c r="A500" s="40" t="s">
        <v>28</v>
      </c>
      <c r="B500" s="40" t="s">
        <v>186</v>
      </c>
      <c r="C500" s="40" t="s">
        <v>920</v>
      </c>
      <c r="D500" s="40" t="s">
        <v>921</v>
      </c>
      <c r="E500" s="40" t="s">
        <v>971</v>
      </c>
      <c r="F500" s="41">
        <v>0.0</v>
      </c>
      <c r="G500" s="41">
        <v>0.0</v>
      </c>
      <c r="H500" s="41">
        <v>0.0</v>
      </c>
    </row>
    <row r="501" ht="15.75" customHeight="1">
      <c r="A501" s="40" t="s">
        <v>28</v>
      </c>
      <c r="B501" s="40" t="s">
        <v>186</v>
      </c>
      <c r="C501" s="40" t="s">
        <v>920</v>
      </c>
      <c r="D501" s="40" t="s">
        <v>921</v>
      </c>
      <c r="E501" s="40" t="s">
        <v>972</v>
      </c>
      <c r="F501" s="41">
        <v>0.0</v>
      </c>
      <c r="G501" s="41">
        <v>0.0</v>
      </c>
      <c r="H501" s="41">
        <v>0.0</v>
      </c>
    </row>
    <row r="502" ht="15.75" customHeight="1">
      <c r="A502" s="40" t="s">
        <v>28</v>
      </c>
      <c r="B502" s="40" t="s">
        <v>186</v>
      </c>
      <c r="C502" s="40" t="s">
        <v>920</v>
      </c>
      <c r="D502" s="40" t="s">
        <v>921</v>
      </c>
      <c r="E502" s="40" t="s">
        <v>973</v>
      </c>
      <c r="F502" s="41">
        <v>0.0</v>
      </c>
      <c r="G502" s="41">
        <v>0.0</v>
      </c>
      <c r="H502" s="41">
        <v>0.0</v>
      </c>
    </row>
    <row r="503" ht="15.75" customHeight="1">
      <c r="A503" s="40" t="s">
        <v>28</v>
      </c>
      <c r="B503" s="40" t="s">
        <v>186</v>
      </c>
      <c r="C503" s="40" t="s">
        <v>920</v>
      </c>
      <c r="D503" s="40" t="s">
        <v>921</v>
      </c>
      <c r="E503" s="40" t="s">
        <v>974</v>
      </c>
      <c r="F503" s="41">
        <v>0.0</v>
      </c>
      <c r="G503" s="41">
        <v>0.0</v>
      </c>
      <c r="H503" s="41">
        <v>0.0</v>
      </c>
    </row>
    <row r="504" ht="15.75" customHeight="1">
      <c r="A504" s="40" t="s">
        <v>28</v>
      </c>
      <c r="B504" s="40" t="s">
        <v>186</v>
      </c>
      <c r="C504" s="40" t="s">
        <v>920</v>
      </c>
      <c r="D504" s="40" t="s">
        <v>921</v>
      </c>
      <c r="E504" s="40" t="s">
        <v>975</v>
      </c>
      <c r="F504" s="41">
        <v>0.0</v>
      </c>
      <c r="G504" s="41">
        <v>0.0</v>
      </c>
      <c r="H504" s="41">
        <v>0.0</v>
      </c>
    </row>
    <row r="505" ht="15.75" customHeight="1">
      <c r="A505" s="40" t="s">
        <v>28</v>
      </c>
      <c r="B505" s="40" t="s">
        <v>117</v>
      </c>
      <c r="C505" s="40" t="s">
        <v>163</v>
      </c>
      <c r="D505" s="40" t="s">
        <v>162</v>
      </c>
      <c r="E505" s="40" t="s">
        <v>976</v>
      </c>
      <c r="F505" s="41">
        <v>1662.0</v>
      </c>
      <c r="G505" s="41">
        <v>1.88058E7</v>
      </c>
      <c r="H505" s="41">
        <v>3349800.0</v>
      </c>
    </row>
    <row r="506" ht="15.75" customHeight="1">
      <c r="A506" s="40" t="s">
        <v>28</v>
      </c>
      <c r="B506" s="40" t="s">
        <v>117</v>
      </c>
      <c r="C506" s="40" t="s">
        <v>163</v>
      </c>
      <c r="D506" s="40" t="s">
        <v>162</v>
      </c>
      <c r="E506" s="40" t="s">
        <v>977</v>
      </c>
      <c r="F506" s="41">
        <v>0.0</v>
      </c>
      <c r="G506" s="41">
        <v>0.0</v>
      </c>
      <c r="H506" s="41">
        <v>0.0</v>
      </c>
    </row>
    <row r="507" ht="15.75" customHeight="1">
      <c r="A507" s="40" t="s">
        <v>28</v>
      </c>
      <c r="B507" s="40" t="s">
        <v>174</v>
      </c>
      <c r="C507" s="40" t="s">
        <v>978</v>
      </c>
      <c r="D507" s="40" t="s">
        <v>979</v>
      </c>
      <c r="E507" s="40" t="s">
        <v>980</v>
      </c>
      <c r="F507" s="41">
        <v>0.0</v>
      </c>
      <c r="G507" s="41">
        <v>0.0</v>
      </c>
      <c r="H507" s="41">
        <v>0.0</v>
      </c>
    </row>
    <row r="508" ht="15.75" customHeight="1">
      <c r="A508" s="40" t="s">
        <v>28</v>
      </c>
      <c r="B508" s="40" t="s">
        <v>117</v>
      </c>
      <c r="C508" s="40" t="s">
        <v>981</v>
      </c>
      <c r="D508" s="40" t="s">
        <v>982</v>
      </c>
      <c r="E508" s="40" t="s">
        <v>983</v>
      </c>
      <c r="F508" s="41">
        <v>0.0</v>
      </c>
      <c r="G508" s="41">
        <v>0.0</v>
      </c>
      <c r="H508" s="41">
        <v>0.0</v>
      </c>
    </row>
    <row r="509" ht="15.75" customHeight="1">
      <c r="A509" s="40" t="s">
        <v>28</v>
      </c>
      <c r="B509" s="40" t="s">
        <v>117</v>
      </c>
      <c r="C509" s="40" t="s">
        <v>99</v>
      </c>
      <c r="D509" s="40" t="s">
        <v>98</v>
      </c>
      <c r="E509" s="40" t="s">
        <v>984</v>
      </c>
      <c r="F509" s="41">
        <v>0.0</v>
      </c>
      <c r="G509" s="41">
        <v>0.0</v>
      </c>
      <c r="H509" s="41">
        <v>0.0</v>
      </c>
    </row>
    <row r="510" ht="15.75" customHeight="1">
      <c r="A510" s="40" t="s">
        <v>28</v>
      </c>
      <c r="B510" s="40" t="s">
        <v>117</v>
      </c>
      <c r="C510" s="40" t="s">
        <v>99</v>
      </c>
      <c r="D510" s="40" t="s">
        <v>98</v>
      </c>
      <c r="E510" s="40" t="s">
        <v>985</v>
      </c>
      <c r="F510" s="41">
        <v>0.0</v>
      </c>
      <c r="G510" s="41">
        <v>0.0</v>
      </c>
      <c r="H510" s="41">
        <v>0.0</v>
      </c>
    </row>
    <row r="511" ht="15.75" customHeight="1">
      <c r="A511" s="40" t="s">
        <v>28</v>
      </c>
      <c r="B511" s="40" t="s">
        <v>117</v>
      </c>
      <c r="C511" s="40" t="s">
        <v>99</v>
      </c>
      <c r="D511" s="40" t="s">
        <v>98</v>
      </c>
      <c r="E511" s="40" t="s">
        <v>986</v>
      </c>
      <c r="F511" s="41">
        <v>0.0</v>
      </c>
      <c r="G511" s="41">
        <v>0.0</v>
      </c>
      <c r="H511" s="41">
        <v>0.0</v>
      </c>
    </row>
    <row r="512" ht="15.75" customHeight="1">
      <c r="A512" s="40" t="s">
        <v>28</v>
      </c>
      <c r="B512" s="40" t="s">
        <v>117</v>
      </c>
      <c r="C512" s="40" t="s">
        <v>99</v>
      </c>
      <c r="D512" s="40" t="s">
        <v>98</v>
      </c>
      <c r="E512" s="40" t="s">
        <v>987</v>
      </c>
      <c r="F512" s="41">
        <v>0.0</v>
      </c>
      <c r="G512" s="41">
        <v>0.0</v>
      </c>
      <c r="H512" s="41">
        <v>0.0</v>
      </c>
    </row>
    <row r="513" ht="15.75" customHeight="1">
      <c r="A513" s="40" t="s">
        <v>28</v>
      </c>
      <c r="B513" s="40" t="s">
        <v>117</v>
      </c>
      <c r="C513" s="40" t="s">
        <v>99</v>
      </c>
      <c r="D513" s="40" t="s">
        <v>98</v>
      </c>
      <c r="E513" s="40" t="s">
        <v>988</v>
      </c>
      <c r="F513" s="41">
        <v>0.0</v>
      </c>
      <c r="G513" s="41">
        <v>0.0</v>
      </c>
      <c r="H513" s="41">
        <v>0.0</v>
      </c>
    </row>
    <row r="514" ht="15.75" customHeight="1">
      <c r="A514" s="40" t="s">
        <v>28</v>
      </c>
      <c r="B514" s="40" t="s">
        <v>117</v>
      </c>
      <c r="C514" s="40" t="s">
        <v>99</v>
      </c>
      <c r="D514" s="40" t="s">
        <v>98</v>
      </c>
      <c r="E514" s="40" t="s">
        <v>989</v>
      </c>
      <c r="F514" s="41">
        <v>0.0</v>
      </c>
      <c r="G514" s="41">
        <v>0.0</v>
      </c>
      <c r="H514" s="41">
        <v>0.0</v>
      </c>
    </row>
    <row r="515" ht="15.75" customHeight="1">
      <c r="A515" s="40" t="s">
        <v>28</v>
      </c>
      <c r="B515" s="40" t="s">
        <v>117</v>
      </c>
      <c r="C515" s="40" t="s">
        <v>99</v>
      </c>
      <c r="D515" s="40" t="s">
        <v>98</v>
      </c>
      <c r="E515" s="40" t="s">
        <v>990</v>
      </c>
      <c r="F515" s="41">
        <v>0.0</v>
      </c>
      <c r="G515" s="41">
        <v>0.0</v>
      </c>
      <c r="H515" s="41">
        <v>0.0</v>
      </c>
    </row>
    <row r="516" ht="15.75" customHeight="1">
      <c r="A516" s="40" t="s">
        <v>28</v>
      </c>
      <c r="B516" s="40" t="s">
        <v>117</v>
      </c>
      <c r="C516" s="40" t="s">
        <v>99</v>
      </c>
      <c r="D516" s="40" t="s">
        <v>98</v>
      </c>
      <c r="E516" s="40" t="s">
        <v>991</v>
      </c>
      <c r="F516" s="41">
        <v>0.0</v>
      </c>
      <c r="G516" s="41">
        <v>0.0</v>
      </c>
      <c r="H516" s="41">
        <v>0.0</v>
      </c>
    </row>
    <row r="517" ht="15.75" customHeight="1">
      <c r="A517" s="40" t="s">
        <v>28</v>
      </c>
      <c r="B517" s="40" t="s">
        <v>117</v>
      </c>
      <c r="C517" s="40" t="s">
        <v>99</v>
      </c>
      <c r="D517" s="40" t="s">
        <v>98</v>
      </c>
      <c r="E517" s="40" t="s">
        <v>992</v>
      </c>
      <c r="F517" s="41">
        <v>0.0</v>
      </c>
      <c r="G517" s="41">
        <v>0.0</v>
      </c>
      <c r="H517" s="41">
        <v>0.0</v>
      </c>
    </row>
    <row r="518" ht="15.75" customHeight="1">
      <c r="A518" s="40" t="s">
        <v>28</v>
      </c>
      <c r="B518" s="40" t="s">
        <v>117</v>
      </c>
      <c r="C518" s="40" t="s">
        <v>99</v>
      </c>
      <c r="D518" s="40" t="s">
        <v>98</v>
      </c>
      <c r="E518" s="40" t="s">
        <v>993</v>
      </c>
      <c r="F518" s="41">
        <v>0.0</v>
      </c>
      <c r="G518" s="41">
        <v>0.0</v>
      </c>
      <c r="H518" s="41">
        <v>0.0</v>
      </c>
    </row>
    <row r="519" ht="15.75" customHeight="1">
      <c r="A519" s="40" t="s">
        <v>28</v>
      </c>
      <c r="B519" s="40" t="s">
        <v>117</v>
      </c>
      <c r="C519" s="40" t="s">
        <v>994</v>
      </c>
      <c r="D519" s="40" t="s">
        <v>995</v>
      </c>
      <c r="E519" s="40" t="s">
        <v>996</v>
      </c>
      <c r="F519" s="41">
        <v>0.0</v>
      </c>
      <c r="G519" s="41">
        <v>0.0</v>
      </c>
      <c r="H519" s="41">
        <v>0.0</v>
      </c>
    </row>
    <row r="520" ht="15.75" customHeight="1">
      <c r="A520" s="40" t="s">
        <v>28</v>
      </c>
      <c r="B520" s="40" t="s">
        <v>117</v>
      </c>
      <c r="C520" s="40" t="s">
        <v>994</v>
      </c>
      <c r="D520" s="40" t="s">
        <v>995</v>
      </c>
      <c r="E520" s="40" t="s">
        <v>997</v>
      </c>
      <c r="F520" s="41">
        <v>0.0</v>
      </c>
      <c r="G520" s="41">
        <v>0.0</v>
      </c>
      <c r="H520" s="41">
        <v>0.0</v>
      </c>
    </row>
    <row r="521" ht="15.75" customHeight="1">
      <c r="A521" s="40" t="s">
        <v>28</v>
      </c>
      <c r="B521" s="40" t="s">
        <v>117</v>
      </c>
      <c r="C521" s="40" t="s">
        <v>994</v>
      </c>
      <c r="D521" s="40" t="s">
        <v>995</v>
      </c>
      <c r="E521" s="40" t="s">
        <v>998</v>
      </c>
      <c r="F521" s="41">
        <v>0.0</v>
      </c>
      <c r="G521" s="41">
        <v>0.0</v>
      </c>
      <c r="H521" s="41">
        <v>0.0</v>
      </c>
    </row>
    <row r="522" ht="15.75" customHeight="1">
      <c r="A522" s="40" t="s">
        <v>28</v>
      </c>
      <c r="B522" s="40" t="s">
        <v>117</v>
      </c>
      <c r="C522" s="40" t="s">
        <v>994</v>
      </c>
      <c r="D522" s="40" t="s">
        <v>995</v>
      </c>
      <c r="E522" s="40" t="s">
        <v>999</v>
      </c>
      <c r="F522" s="41">
        <v>0.0</v>
      </c>
      <c r="G522" s="41">
        <v>0.0</v>
      </c>
      <c r="H522" s="41">
        <v>0.0</v>
      </c>
    </row>
    <row r="523" ht="15.75" customHeight="1">
      <c r="A523" s="40" t="s">
        <v>28</v>
      </c>
      <c r="B523" s="40" t="s">
        <v>117</v>
      </c>
      <c r="C523" s="40" t="s">
        <v>994</v>
      </c>
      <c r="D523" s="40" t="s">
        <v>995</v>
      </c>
      <c r="E523" s="40" t="s">
        <v>1000</v>
      </c>
      <c r="F523" s="41">
        <v>0.0</v>
      </c>
      <c r="G523" s="41">
        <v>0.0</v>
      </c>
      <c r="H523" s="41">
        <v>0.0</v>
      </c>
    </row>
    <row r="524" ht="15.75" customHeight="1">
      <c r="A524" s="40" t="s">
        <v>28</v>
      </c>
      <c r="B524" s="40" t="s">
        <v>117</v>
      </c>
      <c r="C524" s="40" t="s">
        <v>994</v>
      </c>
      <c r="D524" s="40" t="s">
        <v>995</v>
      </c>
      <c r="E524" s="40" t="s">
        <v>1001</v>
      </c>
      <c r="F524" s="41">
        <v>0.0</v>
      </c>
      <c r="G524" s="41">
        <v>0.0</v>
      </c>
      <c r="H524" s="41">
        <v>0.0</v>
      </c>
    </row>
    <row r="525" ht="15.75" customHeight="1">
      <c r="A525" s="40" t="s">
        <v>28</v>
      </c>
      <c r="B525" s="40" t="s">
        <v>117</v>
      </c>
      <c r="C525" s="40" t="s">
        <v>994</v>
      </c>
      <c r="D525" s="40" t="s">
        <v>995</v>
      </c>
      <c r="E525" s="40" t="s">
        <v>1002</v>
      </c>
      <c r="F525" s="41">
        <v>0.0</v>
      </c>
      <c r="G525" s="41">
        <v>0.0</v>
      </c>
      <c r="H525" s="41">
        <v>0.0</v>
      </c>
    </row>
    <row r="526" ht="15.75" customHeight="1">
      <c r="A526" s="40" t="s">
        <v>28</v>
      </c>
      <c r="B526" s="40" t="s">
        <v>117</v>
      </c>
      <c r="C526" s="40" t="s">
        <v>994</v>
      </c>
      <c r="D526" s="40" t="s">
        <v>995</v>
      </c>
      <c r="E526" s="40" t="s">
        <v>1003</v>
      </c>
      <c r="F526" s="41">
        <v>0.0</v>
      </c>
      <c r="G526" s="41">
        <v>0.0</v>
      </c>
      <c r="H526" s="41">
        <v>0.0</v>
      </c>
    </row>
    <row r="527" ht="15.75" customHeight="1">
      <c r="A527" s="40" t="s">
        <v>28</v>
      </c>
      <c r="B527" s="40" t="s">
        <v>117</v>
      </c>
      <c r="C527" s="40" t="s">
        <v>994</v>
      </c>
      <c r="D527" s="40" t="s">
        <v>995</v>
      </c>
      <c r="E527" s="40" t="s">
        <v>1004</v>
      </c>
      <c r="F527" s="41">
        <v>0.0</v>
      </c>
      <c r="G527" s="41">
        <v>0.0</v>
      </c>
      <c r="H527" s="41">
        <v>0.0</v>
      </c>
    </row>
    <row r="528" ht="15.75" customHeight="1">
      <c r="A528" s="40" t="s">
        <v>28</v>
      </c>
      <c r="B528" s="40" t="s">
        <v>117</v>
      </c>
      <c r="C528" s="40" t="s">
        <v>994</v>
      </c>
      <c r="D528" s="40" t="s">
        <v>995</v>
      </c>
      <c r="E528" s="40" t="s">
        <v>1005</v>
      </c>
      <c r="F528" s="41">
        <v>0.0</v>
      </c>
      <c r="G528" s="41">
        <v>0.0</v>
      </c>
      <c r="H528" s="41">
        <v>0.0</v>
      </c>
    </row>
    <row r="529" ht="15.75" customHeight="1">
      <c r="A529" s="40" t="s">
        <v>28</v>
      </c>
      <c r="B529" s="40" t="s">
        <v>117</v>
      </c>
      <c r="C529" s="40" t="s">
        <v>994</v>
      </c>
      <c r="D529" s="40" t="s">
        <v>995</v>
      </c>
      <c r="E529" s="40" t="s">
        <v>1006</v>
      </c>
      <c r="F529" s="41">
        <v>0.0</v>
      </c>
      <c r="G529" s="41">
        <v>0.0</v>
      </c>
      <c r="H529" s="41">
        <v>0.0</v>
      </c>
    </row>
    <row r="530" ht="15.75" customHeight="1">
      <c r="A530" s="40" t="s">
        <v>28</v>
      </c>
      <c r="B530" s="40" t="s">
        <v>117</v>
      </c>
      <c r="C530" s="40" t="s">
        <v>994</v>
      </c>
      <c r="D530" s="40" t="s">
        <v>995</v>
      </c>
      <c r="E530" s="40" t="s">
        <v>1007</v>
      </c>
      <c r="F530" s="41">
        <v>0.0</v>
      </c>
      <c r="G530" s="41">
        <v>0.0</v>
      </c>
      <c r="H530" s="41">
        <v>0.0</v>
      </c>
    </row>
    <row r="531" ht="15.75" customHeight="1">
      <c r="A531" s="40" t="s">
        <v>28</v>
      </c>
      <c r="B531" s="40" t="s">
        <v>117</v>
      </c>
      <c r="C531" s="40" t="s">
        <v>994</v>
      </c>
      <c r="D531" s="40" t="s">
        <v>995</v>
      </c>
      <c r="E531" s="40" t="s">
        <v>1008</v>
      </c>
      <c r="F531" s="41">
        <v>0.0</v>
      </c>
      <c r="G531" s="41">
        <v>0.0</v>
      </c>
      <c r="H531" s="41">
        <v>0.0</v>
      </c>
    </row>
    <row r="532" ht="15.75" customHeight="1">
      <c r="A532" s="40" t="s">
        <v>28</v>
      </c>
      <c r="B532" s="40" t="s">
        <v>117</v>
      </c>
      <c r="C532" s="40" t="s">
        <v>994</v>
      </c>
      <c r="D532" s="40" t="s">
        <v>995</v>
      </c>
      <c r="E532" s="40" t="s">
        <v>1009</v>
      </c>
      <c r="F532" s="41">
        <v>0.0</v>
      </c>
      <c r="G532" s="41">
        <v>0.0</v>
      </c>
      <c r="H532" s="41">
        <v>0.0</v>
      </c>
    </row>
    <row r="533" ht="15.75" customHeight="1">
      <c r="A533" s="40" t="s">
        <v>28</v>
      </c>
      <c r="B533" s="40" t="s">
        <v>117</v>
      </c>
      <c r="C533" s="40" t="s">
        <v>994</v>
      </c>
      <c r="D533" s="40" t="s">
        <v>995</v>
      </c>
      <c r="E533" s="40" t="s">
        <v>1010</v>
      </c>
      <c r="F533" s="41">
        <v>0.0</v>
      </c>
      <c r="G533" s="41">
        <v>0.0</v>
      </c>
      <c r="H533" s="41">
        <v>0.0</v>
      </c>
    </row>
    <row r="534" ht="15.75" customHeight="1">
      <c r="A534" s="40" t="s">
        <v>28</v>
      </c>
      <c r="B534" s="40" t="s">
        <v>117</v>
      </c>
      <c r="C534" s="40" t="s">
        <v>994</v>
      </c>
      <c r="D534" s="40" t="s">
        <v>995</v>
      </c>
      <c r="E534" s="40" t="s">
        <v>1011</v>
      </c>
      <c r="F534" s="41">
        <v>0.0</v>
      </c>
      <c r="G534" s="41">
        <v>0.0</v>
      </c>
      <c r="H534" s="41">
        <v>0.0</v>
      </c>
    </row>
    <row r="535" ht="15.75" customHeight="1">
      <c r="A535" s="40" t="s">
        <v>28</v>
      </c>
      <c r="B535" s="40" t="s">
        <v>117</v>
      </c>
      <c r="C535" s="40" t="s">
        <v>994</v>
      </c>
      <c r="D535" s="40" t="s">
        <v>995</v>
      </c>
      <c r="E535" s="40" t="s">
        <v>1012</v>
      </c>
      <c r="F535" s="41">
        <v>0.0</v>
      </c>
      <c r="G535" s="41">
        <v>0.0</v>
      </c>
      <c r="H535" s="41">
        <v>0.0</v>
      </c>
    </row>
    <row r="536" ht="15.75" customHeight="1">
      <c r="A536" s="40" t="s">
        <v>28</v>
      </c>
      <c r="B536" s="40" t="s">
        <v>117</v>
      </c>
      <c r="C536" s="40" t="s">
        <v>994</v>
      </c>
      <c r="D536" s="40" t="s">
        <v>995</v>
      </c>
      <c r="E536" s="40" t="s">
        <v>1013</v>
      </c>
      <c r="F536" s="41">
        <v>0.0</v>
      </c>
      <c r="G536" s="41">
        <v>0.0</v>
      </c>
      <c r="H536" s="41">
        <v>0.0</v>
      </c>
    </row>
    <row r="537" ht="15.75" customHeight="1">
      <c r="A537" s="40" t="s">
        <v>28</v>
      </c>
      <c r="B537" s="40" t="s">
        <v>117</v>
      </c>
      <c r="C537" s="40" t="s">
        <v>994</v>
      </c>
      <c r="D537" s="40" t="s">
        <v>995</v>
      </c>
      <c r="E537" s="40" t="s">
        <v>1014</v>
      </c>
      <c r="F537" s="41">
        <v>0.0</v>
      </c>
      <c r="G537" s="41">
        <v>0.0</v>
      </c>
      <c r="H537" s="41">
        <v>0.0</v>
      </c>
    </row>
    <row r="538" ht="15.75" customHeight="1">
      <c r="A538" s="40" t="s">
        <v>28</v>
      </c>
      <c r="B538" s="40" t="s">
        <v>117</v>
      </c>
      <c r="C538" s="40" t="s">
        <v>994</v>
      </c>
      <c r="D538" s="40" t="s">
        <v>995</v>
      </c>
      <c r="E538" s="40" t="s">
        <v>1015</v>
      </c>
      <c r="F538" s="41">
        <v>0.0</v>
      </c>
      <c r="G538" s="41">
        <v>0.0</v>
      </c>
      <c r="H538" s="41">
        <v>0.0</v>
      </c>
    </row>
    <row r="539" ht="15.75" customHeight="1">
      <c r="A539" s="40" t="s">
        <v>28</v>
      </c>
      <c r="B539" s="40" t="s">
        <v>117</v>
      </c>
      <c r="C539" s="40" t="s">
        <v>994</v>
      </c>
      <c r="D539" s="40" t="s">
        <v>995</v>
      </c>
      <c r="E539" s="40" t="s">
        <v>1016</v>
      </c>
      <c r="F539" s="41">
        <v>0.0</v>
      </c>
      <c r="G539" s="41">
        <v>0.0</v>
      </c>
      <c r="H539" s="41">
        <v>0.0</v>
      </c>
    </row>
    <row r="540" ht="15.75" customHeight="1">
      <c r="A540" s="40" t="s">
        <v>28</v>
      </c>
      <c r="B540" s="40" t="s">
        <v>117</v>
      </c>
      <c r="C540" s="40" t="s">
        <v>1017</v>
      </c>
      <c r="D540" s="40" t="s">
        <v>1018</v>
      </c>
      <c r="E540" s="40" t="s">
        <v>1019</v>
      </c>
      <c r="F540" s="41">
        <v>0.0</v>
      </c>
      <c r="G540" s="41">
        <v>0.0</v>
      </c>
      <c r="H540" s="41">
        <v>0.0</v>
      </c>
    </row>
    <row r="541" ht="15.75" customHeight="1">
      <c r="A541" s="40" t="s">
        <v>28</v>
      </c>
      <c r="B541" s="40" t="s">
        <v>117</v>
      </c>
      <c r="C541" s="40" t="s">
        <v>1017</v>
      </c>
      <c r="D541" s="40" t="s">
        <v>1018</v>
      </c>
      <c r="E541" s="40" t="s">
        <v>1020</v>
      </c>
      <c r="F541" s="41">
        <v>0.0</v>
      </c>
      <c r="G541" s="41">
        <v>0.0</v>
      </c>
      <c r="H541" s="41">
        <v>0.0</v>
      </c>
    </row>
    <row r="542" ht="15.75" customHeight="1">
      <c r="A542" s="40" t="s">
        <v>28</v>
      </c>
      <c r="B542" s="40" t="s">
        <v>117</v>
      </c>
      <c r="C542" s="40" t="s">
        <v>1017</v>
      </c>
      <c r="D542" s="40" t="s">
        <v>1018</v>
      </c>
      <c r="E542" s="40" t="s">
        <v>1021</v>
      </c>
      <c r="F542" s="41">
        <v>0.0</v>
      </c>
      <c r="G542" s="41">
        <v>0.0</v>
      </c>
      <c r="H542" s="41">
        <v>0.0</v>
      </c>
    </row>
    <row r="543" ht="15.75" customHeight="1">
      <c r="A543" s="40" t="s">
        <v>28</v>
      </c>
      <c r="B543" s="40" t="s">
        <v>117</v>
      </c>
      <c r="C543" s="40" t="s">
        <v>1017</v>
      </c>
      <c r="D543" s="40" t="s">
        <v>1018</v>
      </c>
      <c r="E543" s="40" t="s">
        <v>1022</v>
      </c>
      <c r="F543" s="41">
        <v>0.0</v>
      </c>
      <c r="G543" s="41">
        <v>0.0</v>
      </c>
      <c r="H543" s="41">
        <v>0.0</v>
      </c>
    </row>
    <row r="544" ht="15.75" customHeight="1">
      <c r="A544" s="40" t="s">
        <v>28</v>
      </c>
      <c r="B544" s="40" t="s">
        <v>186</v>
      </c>
      <c r="C544" s="40" t="s">
        <v>1017</v>
      </c>
      <c r="D544" s="40" t="s">
        <v>1018</v>
      </c>
      <c r="E544" s="40" t="s">
        <v>1023</v>
      </c>
      <c r="F544" s="41">
        <v>0.0</v>
      </c>
      <c r="G544" s="41">
        <v>0.0</v>
      </c>
      <c r="H544" s="41">
        <v>0.0</v>
      </c>
    </row>
    <row r="545" ht="15.75" customHeight="1">
      <c r="A545" s="40" t="s">
        <v>28</v>
      </c>
      <c r="B545" s="40" t="s">
        <v>186</v>
      </c>
      <c r="C545" s="40" t="s">
        <v>1017</v>
      </c>
      <c r="D545" s="40" t="s">
        <v>1018</v>
      </c>
      <c r="E545" s="40" t="s">
        <v>1024</v>
      </c>
      <c r="F545" s="41">
        <v>0.0</v>
      </c>
      <c r="G545" s="41">
        <v>0.0</v>
      </c>
      <c r="H545" s="41">
        <v>0.0</v>
      </c>
    </row>
    <row r="546" ht="15.75" customHeight="1">
      <c r="A546" s="40" t="s">
        <v>28</v>
      </c>
      <c r="B546" s="40" t="s">
        <v>117</v>
      </c>
      <c r="C546" s="40" t="s">
        <v>1017</v>
      </c>
      <c r="D546" s="40" t="s">
        <v>1018</v>
      </c>
      <c r="E546" s="40" t="s">
        <v>1025</v>
      </c>
      <c r="F546" s="41">
        <v>0.0</v>
      </c>
      <c r="G546" s="41">
        <v>0.0</v>
      </c>
      <c r="H546" s="41">
        <v>0.0</v>
      </c>
    </row>
    <row r="547" ht="15.75" customHeight="1">
      <c r="A547" s="40" t="s">
        <v>28</v>
      </c>
      <c r="B547" s="40" t="s">
        <v>117</v>
      </c>
      <c r="C547" s="40" t="s">
        <v>1017</v>
      </c>
      <c r="D547" s="40" t="s">
        <v>1018</v>
      </c>
      <c r="E547" s="40" t="s">
        <v>1026</v>
      </c>
      <c r="F547" s="41">
        <v>0.0</v>
      </c>
      <c r="G547" s="41">
        <v>0.0</v>
      </c>
      <c r="H547" s="41">
        <v>0.0</v>
      </c>
    </row>
    <row r="548" ht="15.75" customHeight="1">
      <c r="A548" s="40" t="s">
        <v>28</v>
      </c>
      <c r="B548" s="40" t="s">
        <v>117</v>
      </c>
      <c r="C548" s="40" t="s">
        <v>1027</v>
      </c>
      <c r="D548" s="40" t="s">
        <v>1028</v>
      </c>
      <c r="E548" s="40" t="s">
        <v>1029</v>
      </c>
      <c r="F548" s="41">
        <v>2244.0</v>
      </c>
      <c r="G548" s="41">
        <v>1.3845E7</v>
      </c>
      <c r="H548" s="41">
        <v>2757960.0</v>
      </c>
    </row>
    <row r="549" ht="15.75" customHeight="1">
      <c r="A549" s="40" t="s">
        <v>28</v>
      </c>
      <c r="B549" s="40" t="s">
        <v>117</v>
      </c>
      <c r="C549" s="40" t="s">
        <v>1030</v>
      </c>
      <c r="D549" s="40" t="s">
        <v>1031</v>
      </c>
      <c r="E549" s="40" t="s">
        <v>1032</v>
      </c>
      <c r="F549" s="41">
        <v>8.0</v>
      </c>
      <c r="G549" s="41">
        <v>107200.0</v>
      </c>
      <c r="H549" s="41">
        <v>20150.0</v>
      </c>
    </row>
    <row r="550" ht="15.75" customHeight="1">
      <c r="A550" s="40" t="s">
        <v>28</v>
      </c>
      <c r="B550" s="40" t="s">
        <v>117</v>
      </c>
      <c r="C550" s="40" t="s">
        <v>1033</v>
      </c>
      <c r="D550" s="40" t="s">
        <v>1034</v>
      </c>
      <c r="E550" s="40" t="s">
        <v>1035</v>
      </c>
      <c r="F550" s="41">
        <v>7.0</v>
      </c>
      <c r="G550" s="41">
        <v>268100.0</v>
      </c>
      <c r="H550" s="41">
        <v>52990.0</v>
      </c>
    </row>
    <row r="551" ht="15.75" customHeight="1">
      <c r="A551" s="40" t="s">
        <v>28</v>
      </c>
      <c r="B551" s="40" t="s">
        <v>117</v>
      </c>
      <c r="C551" s="40" t="s">
        <v>1033</v>
      </c>
      <c r="D551" s="40" t="s">
        <v>1034</v>
      </c>
      <c r="E551" s="40" t="s">
        <v>1036</v>
      </c>
      <c r="F551" s="41">
        <v>716.0</v>
      </c>
      <c r="G551" s="41">
        <v>2.581525E7</v>
      </c>
      <c r="H551" s="41">
        <v>5052290.0</v>
      </c>
    </row>
    <row r="552" ht="15.75" customHeight="1">
      <c r="A552" s="40" t="s">
        <v>28</v>
      </c>
      <c r="B552" s="40" t="s">
        <v>117</v>
      </c>
      <c r="C552" s="40" t="s">
        <v>1033</v>
      </c>
      <c r="D552" s="40" t="s">
        <v>1034</v>
      </c>
      <c r="E552" s="40" t="s">
        <v>1037</v>
      </c>
      <c r="F552" s="41">
        <v>0.0</v>
      </c>
      <c r="G552" s="41">
        <v>0.0</v>
      </c>
      <c r="H552" s="41">
        <v>0.0</v>
      </c>
    </row>
    <row r="553" ht="15.75" customHeight="1">
      <c r="A553" s="40" t="s">
        <v>28</v>
      </c>
      <c r="B553" s="40" t="s">
        <v>117</v>
      </c>
      <c r="C553" s="40" t="s">
        <v>1033</v>
      </c>
      <c r="D553" s="40" t="s">
        <v>1034</v>
      </c>
      <c r="E553" s="40" t="s">
        <v>1038</v>
      </c>
      <c r="F553" s="41">
        <v>0.0</v>
      </c>
      <c r="G553" s="41">
        <v>0.0</v>
      </c>
      <c r="H553" s="41">
        <v>0.0</v>
      </c>
    </row>
    <row r="554" ht="15.75" customHeight="1">
      <c r="A554" s="40" t="s">
        <v>28</v>
      </c>
      <c r="B554" s="40" t="s">
        <v>186</v>
      </c>
      <c r="C554" s="40" t="s">
        <v>1039</v>
      </c>
      <c r="D554" s="40" t="s">
        <v>1040</v>
      </c>
      <c r="E554" s="40" t="s">
        <v>1041</v>
      </c>
      <c r="F554" s="41">
        <v>1.0</v>
      </c>
      <c r="G554" s="41">
        <v>20000.0</v>
      </c>
      <c r="H554" s="41">
        <v>3800.0</v>
      </c>
    </row>
    <row r="555" ht="15.75" customHeight="1">
      <c r="A555" s="40" t="s">
        <v>28</v>
      </c>
      <c r="B555" s="40" t="s">
        <v>186</v>
      </c>
      <c r="C555" s="40" t="s">
        <v>1039</v>
      </c>
      <c r="D555" s="40" t="s">
        <v>1040</v>
      </c>
      <c r="E555" s="40" t="s">
        <v>1042</v>
      </c>
      <c r="F555" s="41">
        <v>0.0</v>
      </c>
      <c r="G555" s="41">
        <v>0.0</v>
      </c>
      <c r="H555" s="41">
        <v>0.0</v>
      </c>
    </row>
    <row r="556" ht="15.75" customHeight="1">
      <c r="A556" s="40" t="s">
        <v>28</v>
      </c>
      <c r="B556" s="40" t="s">
        <v>186</v>
      </c>
      <c r="C556" s="40" t="s">
        <v>1039</v>
      </c>
      <c r="D556" s="40" t="s">
        <v>1040</v>
      </c>
      <c r="E556" s="40" t="s">
        <v>1043</v>
      </c>
      <c r="F556" s="41">
        <v>0.0</v>
      </c>
      <c r="G556" s="41">
        <v>0.0</v>
      </c>
      <c r="H556" s="41">
        <v>0.0</v>
      </c>
    </row>
    <row r="557" ht="15.75" customHeight="1">
      <c r="A557" s="40" t="s">
        <v>28</v>
      </c>
      <c r="B557" s="40" t="s">
        <v>186</v>
      </c>
      <c r="C557" s="40" t="s">
        <v>1039</v>
      </c>
      <c r="D557" s="40" t="s">
        <v>1040</v>
      </c>
      <c r="E557" s="40" t="s">
        <v>1044</v>
      </c>
      <c r="F557" s="41">
        <v>0.0</v>
      </c>
      <c r="G557" s="41">
        <v>0.0</v>
      </c>
      <c r="H557" s="41">
        <v>0.0</v>
      </c>
    </row>
    <row r="558" ht="15.75" customHeight="1">
      <c r="A558" s="40" t="s">
        <v>28</v>
      </c>
      <c r="B558" s="40" t="s">
        <v>186</v>
      </c>
      <c r="C558" s="40" t="s">
        <v>1039</v>
      </c>
      <c r="D558" s="40" t="s">
        <v>1040</v>
      </c>
      <c r="E558" s="40" t="s">
        <v>1045</v>
      </c>
      <c r="F558" s="41">
        <v>0.0</v>
      </c>
      <c r="G558" s="41">
        <v>0.0</v>
      </c>
      <c r="H558" s="41">
        <v>0.0</v>
      </c>
    </row>
    <row r="559" ht="15.75" customHeight="1">
      <c r="A559" s="40" t="s">
        <v>28</v>
      </c>
      <c r="B559" s="40" t="s">
        <v>174</v>
      </c>
      <c r="C559" s="40" t="s">
        <v>1046</v>
      </c>
      <c r="D559" s="40" t="s">
        <v>1047</v>
      </c>
      <c r="E559" s="40" t="s">
        <v>1048</v>
      </c>
      <c r="F559" s="41">
        <v>940.0</v>
      </c>
      <c r="G559" s="41">
        <v>2.01906E7</v>
      </c>
      <c r="H559" s="41">
        <v>2824400.0</v>
      </c>
    </row>
    <row r="560" ht="15.75" customHeight="1">
      <c r="A560" s="40" t="s">
        <v>28</v>
      </c>
      <c r="B560" s="40" t="s">
        <v>174</v>
      </c>
      <c r="C560" s="40" t="s">
        <v>1046</v>
      </c>
      <c r="D560" s="40" t="s">
        <v>1047</v>
      </c>
      <c r="E560" s="40" t="s">
        <v>1049</v>
      </c>
      <c r="F560" s="41">
        <v>0.0</v>
      </c>
      <c r="G560" s="41">
        <v>0.0</v>
      </c>
      <c r="H560" s="41">
        <v>0.0</v>
      </c>
    </row>
    <row r="561" ht="15.75" customHeight="1">
      <c r="A561" s="40" t="s">
        <v>28</v>
      </c>
      <c r="B561" s="40" t="s">
        <v>174</v>
      </c>
      <c r="C561" s="40" t="s">
        <v>1046</v>
      </c>
      <c r="D561" s="40" t="s">
        <v>1047</v>
      </c>
      <c r="E561" s="40" t="s">
        <v>1050</v>
      </c>
      <c r="F561" s="41">
        <v>0.0</v>
      </c>
      <c r="G561" s="41">
        <v>0.0</v>
      </c>
      <c r="H561" s="41">
        <v>0.0</v>
      </c>
    </row>
    <row r="562" ht="15.75" customHeight="1">
      <c r="A562" s="40" t="s">
        <v>28</v>
      </c>
      <c r="B562" s="40" t="s">
        <v>174</v>
      </c>
      <c r="C562" s="40" t="s">
        <v>1046</v>
      </c>
      <c r="D562" s="40" t="s">
        <v>1047</v>
      </c>
      <c r="E562" s="40" t="s">
        <v>1051</v>
      </c>
      <c r="F562" s="41">
        <v>0.0</v>
      </c>
      <c r="G562" s="41">
        <v>0.0</v>
      </c>
      <c r="H562" s="41">
        <v>0.0</v>
      </c>
    </row>
    <row r="563" ht="15.75" customHeight="1">
      <c r="A563" s="40" t="s">
        <v>28</v>
      </c>
      <c r="B563" s="40" t="s">
        <v>174</v>
      </c>
      <c r="C563" s="40" t="s">
        <v>1046</v>
      </c>
      <c r="D563" s="40" t="s">
        <v>1047</v>
      </c>
      <c r="E563" s="40" t="s">
        <v>1052</v>
      </c>
      <c r="F563" s="41">
        <v>0.0</v>
      </c>
      <c r="G563" s="41">
        <v>0.0</v>
      </c>
      <c r="H563" s="41">
        <v>0.0</v>
      </c>
    </row>
    <row r="564" ht="15.75" customHeight="1">
      <c r="A564" s="40" t="s">
        <v>28</v>
      </c>
      <c r="B564" s="40" t="s">
        <v>174</v>
      </c>
      <c r="C564" s="40" t="s">
        <v>1046</v>
      </c>
      <c r="D564" s="40" t="s">
        <v>1047</v>
      </c>
      <c r="E564" s="40" t="s">
        <v>1048</v>
      </c>
      <c r="F564" s="41">
        <v>0.0</v>
      </c>
      <c r="G564" s="41">
        <v>0.0</v>
      </c>
      <c r="H564" s="41">
        <v>0.0</v>
      </c>
    </row>
    <row r="565" ht="15.75" customHeight="1">
      <c r="A565" s="40" t="s">
        <v>28</v>
      </c>
      <c r="B565" s="40" t="s">
        <v>174</v>
      </c>
      <c r="C565" s="40" t="s">
        <v>1046</v>
      </c>
      <c r="D565" s="40" t="s">
        <v>1047</v>
      </c>
      <c r="E565" s="40" t="s">
        <v>1055</v>
      </c>
      <c r="F565" s="41">
        <v>0.0</v>
      </c>
      <c r="G565" s="41">
        <v>0.0</v>
      </c>
      <c r="H565" s="41">
        <v>0.0</v>
      </c>
    </row>
    <row r="566" ht="15.75" customHeight="1">
      <c r="A566" s="40" t="s">
        <v>28</v>
      </c>
      <c r="B566" s="40" t="s">
        <v>186</v>
      </c>
      <c r="C566" s="40" t="s">
        <v>1056</v>
      </c>
      <c r="D566" s="40" t="s">
        <v>1057</v>
      </c>
      <c r="E566" s="40" t="s">
        <v>1058</v>
      </c>
      <c r="F566" s="41">
        <v>3.0</v>
      </c>
      <c r="G566" s="41">
        <v>45000.0</v>
      </c>
      <c r="H566" s="41">
        <v>8520.0</v>
      </c>
    </row>
    <row r="567" ht="15.75" customHeight="1">
      <c r="A567" s="40" t="s">
        <v>28</v>
      </c>
      <c r="B567" s="40" t="s">
        <v>186</v>
      </c>
      <c r="C567" s="40" t="s">
        <v>1056</v>
      </c>
      <c r="D567" s="40" t="s">
        <v>1057</v>
      </c>
      <c r="E567" s="40" t="s">
        <v>1059</v>
      </c>
      <c r="F567" s="41">
        <v>1.0</v>
      </c>
      <c r="G567" s="41">
        <v>19000.0</v>
      </c>
      <c r="H567" s="41">
        <v>3530.0</v>
      </c>
    </row>
    <row r="568" ht="15.75" customHeight="1">
      <c r="A568" s="40" t="s">
        <v>28</v>
      </c>
      <c r="B568" s="40" t="s">
        <v>186</v>
      </c>
      <c r="C568" s="40" t="s">
        <v>1056</v>
      </c>
      <c r="D568" s="40" t="s">
        <v>1057</v>
      </c>
      <c r="E568" s="40" t="s">
        <v>1060</v>
      </c>
      <c r="F568" s="41">
        <v>0.0</v>
      </c>
      <c r="G568" s="41">
        <v>0.0</v>
      </c>
      <c r="H568" s="41">
        <v>0.0</v>
      </c>
    </row>
    <row r="569" ht="15.75" customHeight="1">
      <c r="A569" s="40" t="s">
        <v>28</v>
      </c>
      <c r="B569" s="40" t="s">
        <v>186</v>
      </c>
      <c r="C569" s="40" t="s">
        <v>1056</v>
      </c>
      <c r="D569" s="40" t="s">
        <v>1057</v>
      </c>
      <c r="E569" s="40" t="s">
        <v>1061</v>
      </c>
      <c r="F569" s="41">
        <v>0.0</v>
      </c>
      <c r="G569" s="41">
        <v>0.0</v>
      </c>
      <c r="H569" s="41">
        <v>0.0</v>
      </c>
    </row>
    <row r="570" ht="15.75" customHeight="1">
      <c r="A570" s="40" t="s">
        <v>28</v>
      </c>
      <c r="B570" s="40" t="s">
        <v>186</v>
      </c>
      <c r="C570" s="40" t="s">
        <v>1062</v>
      </c>
      <c r="D570" s="40" t="s">
        <v>1063</v>
      </c>
      <c r="E570" s="40" t="s">
        <v>1064</v>
      </c>
      <c r="F570" s="41">
        <v>4.0</v>
      </c>
      <c r="G570" s="41">
        <v>57600.0</v>
      </c>
      <c r="H570" s="41">
        <v>11360.0</v>
      </c>
    </row>
    <row r="571" ht="15.75" customHeight="1">
      <c r="A571" s="40" t="s">
        <v>28</v>
      </c>
      <c r="B571" s="40" t="s">
        <v>186</v>
      </c>
      <c r="C571" s="40" t="s">
        <v>1062</v>
      </c>
      <c r="D571" s="40" t="s">
        <v>1063</v>
      </c>
      <c r="E571" s="40" t="s">
        <v>1065</v>
      </c>
      <c r="F571" s="41">
        <v>12.0</v>
      </c>
      <c r="G571" s="41">
        <v>174200.0</v>
      </c>
      <c r="H571" s="41">
        <v>33040.0</v>
      </c>
    </row>
    <row r="572" ht="15.75" customHeight="1">
      <c r="A572" s="40" t="s">
        <v>28</v>
      </c>
      <c r="B572" s="40" t="s">
        <v>186</v>
      </c>
      <c r="C572" s="40" t="s">
        <v>1062</v>
      </c>
      <c r="D572" s="40" t="s">
        <v>1063</v>
      </c>
      <c r="E572" s="40" t="s">
        <v>1066</v>
      </c>
      <c r="F572" s="41">
        <v>0.0</v>
      </c>
      <c r="G572" s="41">
        <v>0.0</v>
      </c>
      <c r="H572" s="41">
        <v>0.0</v>
      </c>
    </row>
    <row r="573" ht="15.75" customHeight="1">
      <c r="A573" s="40" t="s">
        <v>28</v>
      </c>
      <c r="B573" s="40" t="s">
        <v>117</v>
      </c>
      <c r="C573" s="40" t="s">
        <v>1067</v>
      </c>
      <c r="D573" s="40" t="s">
        <v>1068</v>
      </c>
      <c r="E573" s="40" t="s">
        <v>1069</v>
      </c>
      <c r="F573" s="41">
        <v>0.0</v>
      </c>
      <c r="G573" s="41">
        <v>0.0</v>
      </c>
      <c r="H573" s="41">
        <v>0.0</v>
      </c>
    </row>
    <row r="574" ht="15.75" customHeight="1">
      <c r="A574" s="40" t="s">
        <v>28</v>
      </c>
      <c r="B574" s="40" t="s">
        <v>186</v>
      </c>
      <c r="C574" s="40" t="s">
        <v>1067</v>
      </c>
      <c r="D574" s="40" t="s">
        <v>1068</v>
      </c>
      <c r="E574" s="40" t="s">
        <v>1070</v>
      </c>
      <c r="F574" s="41">
        <v>0.0</v>
      </c>
      <c r="G574" s="41">
        <v>0.0</v>
      </c>
      <c r="H574" s="41">
        <v>0.0</v>
      </c>
    </row>
    <row r="575" ht="15.75" customHeight="1">
      <c r="A575" s="40" t="s">
        <v>28</v>
      </c>
      <c r="B575" s="40" t="s">
        <v>117</v>
      </c>
      <c r="C575" s="40" t="s">
        <v>1071</v>
      </c>
      <c r="D575" s="40" t="s">
        <v>1072</v>
      </c>
      <c r="E575" s="40" t="s">
        <v>1073</v>
      </c>
      <c r="F575" s="41">
        <v>4.0</v>
      </c>
      <c r="G575" s="41">
        <v>42000.0</v>
      </c>
      <c r="H575" s="41">
        <v>7980.0</v>
      </c>
    </row>
    <row r="576" ht="15.75" customHeight="1">
      <c r="A576" s="40" t="s">
        <v>28</v>
      </c>
      <c r="B576" s="40" t="s">
        <v>117</v>
      </c>
      <c r="C576" s="40" t="s">
        <v>1071</v>
      </c>
      <c r="D576" s="40" t="s">
        <v>1072</v>
      </c>
      <c r="E576" s="40" t="s">
        <v>1074</v>
      </c>
      <c r="F576" s="41">
        <v>0.0</v>
      </c>
      <c r="G576" s="41">
        <v>0.0</v>
      </c>
      <c r="H576" s="41">
        <v>0.0</v>
      </c>
    </row>
    <row r="577" ht="15.75" customHeight="1">
      <c r="A577" s="40" t="s">
        <v>28</v>
      </c>
      <c r="B577" s="40" t="s">
        <v>174</v>
      </c>
      <c r="C577" s="40" t="s">
        <v>1075</v>
      </c>
      <c r="D577" s="40" t="s">
        <v>1076</v>
      </c>
      <c r="E577" s="40" t="s">
        <v>1077</v>
      </c>
      <c r="F577" s="41">
        <v>0.0</v>
      </c>
      <c r="G577" s="41">
        <v>0.0</v>
      </c>
      <c r="H577" s="41">
        <v>0.0</v>
      </c>
    </row>
    <row r="578" ht="15.75" customHeight="1">
      <c r="A578" s="40" t="s">
        <v>28</v>
      </c>
      <c r="B578" s="40" t="s">
        <v>174</v>
      </c>
      <c r="C578" s="40" t="s">
        <v>1075</v>
      </c>
      <c r="D578" s="40" t="s">
        <v>1076</v>
      </c>
      <c r="E578" s="40" t="s">
        <v>1078</v>
      </c>
      <c r="F578" s="41">
        <v>2.0</v>
      </c>
      <c r="G578" s="41">
        <v>0.0</v>
      </c>
      <c r="H578" s="41">
        <v>0.0</v>
      </c>
    </row>
    <row r="579" ht="15.75" customHeight="1">
      <c r="A579" s="40" t="s">
        <v>28</v>
      </c>
      <c r="B579" s="40" t="s">
        <v>174</v>
      </c>
      <c r="C579" s="40" t="s">
        <v>1075</v>
      </c>
      <c r="D579" s="40" t="s">
        <v>1076</v>
      </c>
      <c r="E579" s="40" t="s">
        <v>1079</v>
      </c>
      <c r="F579" s="41">
        <v>0.0</v>
      </c>
      <c r="G579" s="41">
        <v>0.0</v>
      </c>
      <c r="H579" s="41">
        <v>0.0</v>
      </c>
    </row>
    <row r="580" ht="15.75" customHeight="1">
      <c r="A580" s="40" t="s">
        <v>28</v>
      </c>
      <c r="B580" s="40" t="s">
        <v>174</v>
      </c>
      <c r="C580" s="40" t="s">
        <v>1075</v>
      </c>
      <c r="D580" s="40" t="s">
        <v>1076</v>
      </c>
      <c r="E580" s="40" t="s">
        <v>1080</v>
      </c>
      <c r="F580" s="41">
        <v>1.0</v>
      </c>
      <c r="G580" s="41">
        <v>24500.0</v>
      </c>
      <c r="H580" s="41">
        <v>4460.0</v>
      </c>
    </row>
    <row r="581" ht="15.75" customHeight="1">
      <c r="A581" s="40" t="s">
        <v>28</v>
      </c>
      <c r="B581" s="40" t="s">
        <v>174</v>
      </c>
      <c r="C581" s="40" t="s">
        <v>1075</v>
      </c>
      <c r="D581" s="40" t="s">
        <v>1076</v>
      </c>
      <c r="E581" s="40" t="s">
        <v>1081</v>
      </c>
      <c r="F581" s="41">
        <v>0.0</v>
      </c>
      <c r="G581" s="41">
        <v>0.0</v>
      </c>
      <c r="H581" s="41">
        <v>0.0</v>
      </c>
    </row>
    <row r="582" ht="15.75" customHeight="1">
      <c r="A582" s="40" t="s">
        <v>28</v>
      </c>
      <c r="B582" s="40" t="s">
        <v>174</v>
      </c>
      <c r="C582" s="40" t="s">
        <v>1075</v>
      </c>
      <c r="D582" s="40" t="s">
        <v>1076</v>
      </c>
      <c r="E582" s="40" t="s">
        <v>1082</v>
      </c>
      <c r="F582" s="41">
        <v>1.0</v>
      </c>
      <c r="G582" s="41">
        <v>22500.0</v>
      </c>
      <c r="H582" s="41">
        <v>4270.0</v>
      </c>
    </row>
    <row r="583" ht="15.75" customHeight="1">
      <c r="A583" s="40" t="s">
        <v>28</v>
      </c>
      <c r="B583" s="40" t="s">
        <v>174</v>
      </c>
      <c r="C583" s="40" t="s">
        <v>1075</v>
      </c>
      <c r="D583" s="40" t="s">
        <v>1076</v>
      </c>
      <c r="E583" s="40" t="s">
        <v>1083</v>
      </c>
      <c r="F583" s="41">
        <v>1.0</v>
      </c>
      <c r="G583" s="41">
        <v>25800.0</v>
      </c>
      <c r="H583" s="41">
        <v>4760.0</v>
      </c>
    </row>
    <row r="584" ht="15.75" customHeight="1">
      <c r="A584" s="40" t="s">
        <v>28</v>
      </c>
      <c r="B584" s="40" t="s">
        <v>174</v>
      </c>
      <c r="C584" s="40" t="s">
        <v>1075</v>
      </c>
      <c r="D584" s="40" t="s">
        <v>1076</v>
      </c>
      <c r="E584" s="40" t="s">
        <v>1084</v>
      </c>
      <c r="F584" s="41">
        <v>0.0</v>
      </c>
      <c r="G584" s="41">
        <v>0.0</v>
      </c>
      <c r="H584" s="41">
        <v>0.0</v>
      </c>
    </row>
    <row r="585" ht="15.75" customHeight="1">
      <c r="A585" s="40" t="s">
        <v>28</v>
      </c>
      <c r="B585" s="40" t="s">
        <v>174</v>
      </c>
      <c r="C585" s="40" t="s">
        <v>1075</v>
      </c>
      <c r="D585" s="40" t="s">
        <v>1076</v>
      </c>
      <c r="E585" s="40" t="s">
        <v>1085</v>
      </c>
      <c r="F585" s="41">
        <v>0.0</v>
      </c>
      <c r="G585" s="41">
        <v>0.0</v>
      </c>
      <c r="H585" s="41">
        <v>0.0</v>
      </c>
    </row>
    <row r="586" ht="15.75" customHeight="1">
      <c r="A586" s="40" t="s">
        <v>28</v>
      </c>
      <c r="B586" s="40" t="s">
        <v>174</v>
      </c>
      <c r="C586" s="40" t="s">
        <v>1075</v>
      </c>
      <c r="D586" s="40" t="s">
        <v>1076</v>
      </c>
      <c r="E586" s="40" t="s">
        <v>1086</v>
      </c>
      <c r="F586" s="41">
        <v>0.0</v>
      </c>
      <c r="G586" s="41">
        <v>0.0</v>
      </c>
      <c r="H586" s="41">
        <v>0.0</v>
      </c>
    </row>
    <row r="587" ht="15.75" customHeight="1">
      <c r="A587" s="40" t="s">
        <v>28</v>
      </c>
      <c r="B587" s="40" t="s">
        <v>174</v>
      </c>
      <c r="C587" s="40" t="s">
        <v>1075</v>
      </c>
      <c r="D587" s="40" t="s">
        <v>1076</v>
      </c>
      <c r="E587" s="40" t="s">
        <v>1087</v>
      </c>
      <c r="F587" s="41">
        <v>0.0</v>
      </c>
      <c r="G587" s="41">
        <v>0.0</v>
      </c>
      <c r="H587" s="41">
        <v>0.0</v>
      </c>
    </row>
    <row r="588" ht="15.75" customHeight="1">
      <c r="A588" s="40" t="s">
        <v>28</v>
      </c>
      <c r="B588" s="40" t="s">
        <v>174</v>
      </c>
      <c r="C588" s="40" t="s">
        <v>1075</v>
      </c>
      <c r="D588" s="40" t="s">
        <v>1076</v>
      </c>
      <c r="E588" s="40" t="s">
        <v>1088</v>
      </c>
      <c r="F588" s="41">
        <v>0.0</v>
      </c>
      <c r="G588" s="41">
        <v>0.0</v>
      </c>
      <c r="H588" s="41">
        <v>0.0</v>
      </c>
    </row>
    <row r="589" ht="15.75" customHeight="1">
      <c r="A589" s="40" t="s">
        <v>28</v>
      </c>
      <c r="B589" s="40" t="s">
        <v>186</v>
      </c>
      <c r="C589" s="40" t="s">
        <v>1089</v>
      </c>
      <c r="D589" s="40" t="s">
        <v>1090</v>
      </c>
      <c r="E589" s="40" t="s">
        <v>1091</v>
      </c>
      <c r="F589" s="41">
        <v>0.0</v>
      </c>
      <c r="G589" s="41">
        <v>0.0</v>
      </c>
      <c r="H589" s="41">
        <v>0.0</v>
      </c>
    </row>
    <row r="590" ht="15.75" customHeight="1">
      <c r="A590" s="40" t="s">
        <v>28</v>
      </c>
      <c r="B590" s="40" t="s">
        <v>186</v>
      </c>
      <c r="C590" s="40" t="s">
        <v>1089</v>
      </c>
      <c r="D590" s="40" t="s">
        <v>1090</v>
      </c>
      <c r="E590" s="40" t="s">
        <v>1092</v>
      </c>
      <c r="F590" s="41">
        <v>0.0</v>
      </c>
      <c r="G590" s="41">
        <v>0.0</v>
      </c>
      <c r="H590" s="41">
        <v>0.0</v>
      </c>
    </row>
    <row r="591" ht="15.75" customHeight="1">
      <c r="A591" s="40" t="s">
        <v>28</v>
      </c>
      <c r="B591" s="40" t="s">
        <v>186</v>
      </c>
      <c r="C591" s="40" t="s">
        <v>1089</v>
      </c>
      <c r="D591" s="40" t="s">
        <v>1090</v>
      </c>
      <c r="E591" s="40" t="s">
        <v>1093</v>
      </c>
      <c r="F591" s="41">
        <v>0.0</v>
      </c>
      <c r="G591" s="41">
        <v>0.0</v>
      </c>
      <c r="H591" s="41">
        <v>0.0</v>
      </c>
    </row>
    <row r="592" ht="15.75" customHeight="1">
      <c r="A592" s="40" t="s">
        <v>28</v>
      </c>
      <c r="B592" s="40" t="s">
        <v>186</v>
      </c>
      <c r="C592" s="40" t="s">
        <v>1089</v>
      </c>
      <c r="D592" s="40" t="s">
        <v>1090</v>
      </c>
      <c r="E592" s="40" t="s">
        <v>1094</v>
      </c>
      <c r="F592" s="41">
        <v>0.0</v>
      </c>
      <c r="G592" s="41">
        <v>0.0</v>
      </c>
      <c r="H592" s="41">
        <v>0.0</v>
      </c>
    </row>
    <row r="593" ht="15.75" customHeight="1">
      <c r="A593" s="40" t="s">
        <v>28</v>
      </c>
      <c r="B593" s="40" t="s">
        <v>186</v>
      </c>
      <c r="C593" s="40" t="s">
        <v>1089</v>
      </c>
      <c r="D593" s="40" t="s">
        <v>1090</v>
      </c>
      <c r="E593" s="40" t="s">
        <v>1094</v>
      </c>
      <c r="F593" s="41">
        <v>0.0</v>
      </c>
      <c r="G593" s="41">
        <v>0.0</v>
      </c>
      <c r="H593" s="41">
        <v>0.0</v>
      </c>
    </row>
    <row r="594" ht="15.75" customHeight="1">
      <c r="A594" s="40" t="s">
        <v>28</v>
      </c>
      <c r="B594" s="40" t="s">
        <v>186</v>
      </c>
      <c r="C594" s="40" t="s">
        <v>1089</v>
      </c>
      <c r="D594" s="40" t="s">
        <v>1090</v>
      </c>
      <c r="E594" s="40" t="s">
        <v>1095</v>
      </c>
      <c r="F594" s="41">
        <v>0.0</v>
      </c>
      <c r="G594" s="41">
        <v>0.0</v>
      </c>
      <c r="H594" s="41">
        <v>0.0</v>
      </c>
    </row>
    <row r="595" ht="15.75" customHeight="1">
      <c r="A595" s="40" t="s">
        <v>28</v>
      </c>
      <c r="B595" s="40" t="s">
        <v>186</v>
      </c>
      <c r="C595" s="40" t="s">
        <v>1089</v>
      </c>
      <c r="D595" s="40" t="s">
        <v>1090</v>
      </c>
      <c r="E595" s="40" t="s">
        <v>1096</v>
      </c>
      <c r="F595" s="41">
        <v>0.0</v>
      </c>
      <c r="G595" s="41">
        <v>0.0</v>
      </c>
      <c r="H595" s="41">
        <v>0.0</v>
      </c>
    </row>
    <row r="596" ht="15.75" customHeight="1">
      <c r="A596" s="40" t="s">
        <v>28</v>
      </c>
      <c r="B596" s="40" t="s">
        <v>186</v>
      </c>
      <c r="C596" s="40" t="s">
        <v>1097</v>
      </c>
      <c r="D596" s="40" t="s">
        <v>1098</v>
      </c>
      <c r="E596" s="40" t="s">
        <v>1099</v>
      </c>
      <c r="F596" s="41">
        <v>1.0</v>
      </c>
      <c r="G596" s="41">
        <v>30000.0</v>
      </c>
      <c r="H596" s="41">
        <v>5700.0</v>
      </c>
    </row>
    <row r="597" ht="15.75" customHeight="1">
      <c r="A597" s="40" t="s">
        <v>28</v>
      </c>
      <c r="B597" s="40" t="s">
        <v>186</v>
      </c>
      <c r="C597" s="40" t="s">
        <v>1097</v>
      </c>
      <c r="D597" s="40" t="s">
        <v>1098</v>
      </c>
      <c r="E597" s="40" t="s">
        <v>1100</v>
      </c>
      <c r="F597" s="41">
        <v>1.0</v>
      </c>
      <c r="G597" s="41">
        <v>30000.0</v>
      </c>
      <c r="H597" s="41">
        <v>5700.0</v>
      </c>
    </row>
    <row r="598" ht="15.75" customHeight="1">
      <c r="A598" s="40" t="s">
        <v>28</v>
      </c>
      <c r="B598" s="40" t="s">
        <v>186</v>
      </c>
      <c r="C598" s="40" t="s">
        <v>1097</v>
      </c>
      <c r="D598" s="40" t="s">
        <v>1098</v>
      </c>
      <c r="E598" s="40" t="s">
        <v>1101</v>
      </c>
      <c r="F598" s="41">
        <v>0.0</v>
      </c>
      <c r="G598" s="41">
        <v>0.0</v>
      </c>
      <c r="H598" s="41">
        <v>0.0</v>
      </c>
    </row>
    <row r="599" ht="15.75" customHeight="1">
      <c r="A599" s="40" t="s">
        <v>28</v>
      </c>
      <c r="B599" s="40" t="s">
        <v>186</v>
      </c>
      <c r="C599" s="40" t="s">
        <v>1097</v>
      </c>
      <c r="D599" s="40" t="s">
        <v>1098</v>
      </c>
      <c r="E599" s="40" t="s">
        <v>1102</v>
      </c>
      <c r="F599" s="41">
        <v>0.0</v>
      </c>
      <c r="G599" s="41">
        <v>0.0</v>
      </c>
      <c r="H599" s="41">
        <v>0.0</v>
      </c>
    </row>
    <row r="600" ht="15.75" customHeight="1">
      <c r="A600" s="40" t="s">
        <v>28</v>
      </c>
      <c r="B600" s="40" t="s">
        <v>186</v>
      </c>
      <c r="C600" s="40" t="s">
        <v>1097</v>
      </c>
      <c r="D600" s="40" t="s">
        <v>1098</v>
      </c>
      <c r="E600" s="40" t="s">
        <v>1103</v>
      </c>
      <c r="F600" s="41">
        <v>0.0</v>
      </c>
      <c r="G600" s="41">
        <v>0.0</v>
      </c>
      <c r="H600" s="41">
        <v>0.0</v>
      </c>
    </row>
    <row r="601" ht="15.75" customHeight="1">
      <c r="A601" s="40" t="s">
        <v>28</v>
      </c>
      <c r="B601" s="40" t="s">
        <v>186</v>
      </c>
      <c r="C601" s="40" t="s">
        <v>1097</v>
      </c>
      <c r="D601" s="40" t="s">
        <v>1098</v>
      </c>
      <c r="E601" s="40" t="s">
        <v>1104</v>
      </c>
      <c r="F601" s="41">
        <v>0.0</v>
      </c>
      <c r="G601" s="41">
        <v>0.0</v>
      </c>
      <c r="H601" s="41">
        <v>0.0</v>
      </c>
    </row>
    <row r="602" ht="15.75" customHeight="1">
      <c r="A602" s="40" t="s">
        <v>28</v>
      </c>
      <c r="B602" s="40" t="s">
        <v>186</v>
      </c>
      <c r="C602" s="40" t="s">
        <v>1097</v>
      </c>
      <c r="D602" s="40" t="s">
        <v>1098</v>
      </c>
      <c r="E602" s="40" t="s">
        <v>1105</v>
      </c>
      <c r="F602" s="41">
        <v>0.0</v>
      </c>
      <c r="G602" s="41">
        <v>0.0</v>
      </c>
      <c r="H602" s="41">
        <v>0.0</v>
      </c>
    </row>
    <row r="603" ht="15.75" customHeight="1">
      <c r="A603" s="40" t="s">
        <v>28</v>
      </c>
      <c r="B603" s="40" t="s">
        <v>186</v>
      </c>
      <c r="C603" s="40" t="s">
        <v>1097</v>
      </c>
      <c r="D603" s="40" t="s">
        <v>1098</v>
      </c>
      <c r="E603" s="40" t="s">
        <v>1106</v>
      </c>
      <c r="F603" s="41">
        <v>1.0</v>
      </c>
      <c r="G603" s="41">
        <v>15000.0</v>
      </c>
      <c r="H603" s="41">
        <v>2400.0</v>
      </c>
    </row>
    <row r="604" ht="15.75" customHeight="1">
      <c r="A604" s="40" t="s">
        <v>28</v>
      </c>
      <c r="B604" s="40" t="s">
        <v>186</v>
      </c>
      <c r="C604" s="40" t="s">
        <v>1097</v>
      </c>
      <c r="D604" s="40" t="s">
        <v>1098</v>
      </c>
      <c r="E604" s="40" t="s">
        <v>1107</v>
      </c>
      <c r="F604" s="41">
        <v>0.0</v>
      </c>
      <c r="G604" s="41">
        <v>0.0</v>
      </c>
      <c r="H604" s="41">
        <v>0.0</v>
      </c>
    </row>
    <row r="605" ht="15.75" customHeight="1">
      <c r="A605" s="40" t="s">
        <v>28</v>
      </c>
      <c r="B605" s="40" t="s">
        <v>186</v>
      </c>
      <c r="C605" s="40" t="s">
        <v>1097</v>
      </c>
      <c r="D605" s="40" t="s">
        <v>1098</v>
      </c>
      <c r="E605" s="40" t="s">
        <v>1108</v>
      </c>
      <c r="F605" s="41">
        <v>2.0</v>
      </c>
      <c r="G605" s="41">
        <v>140000.0</v>
      </c>
      <c r="H605" s="41">
        <v>20000.0</v>
      </c>
    </row>
    <row r="606" ht="15.75" customHeight="1">
      <c r="A606" s="40" t="s">
        <v>28</v>
      </c>
      <c r="B606" s="40" t="s">
        <v>186</v>
      </c>
      <c r="C606" s="40" t="s">
        <v>1109</v>
      </c>
      <c r="D606" s="40" t="s">
        <v>1110</v>
      </c>
      <c r="E606" s="40" t="s">
        <v>1111</v>
      </c>
      <c r="F606" s="41">
        <v>0.0</v>
      </c>
      <c r="G606" s="41">
        <v>0.0</v>
      </c>
      <c r="H606" s="41">
        <v>0.0</v>
      </c>
    </row>
    <row r="607" ht="15.75" customHeight="1">
      <c r="A607" s="40" t="s">
        <v>28</v>
      </c>
      <c r="B607" s="40" t="s">
        <v>186</v>
      </c>
      <c r="C607" s="40" t="s">
        <v>1109</v>
      </c>
      <c r="D607" s="40" t="s">
        <v>1110</v>
      </c>
      <c r="E607" s="40" t="s">
        <v>1112</v>
      </c>
      <c r="F607" s="41">
        <v>0.0</v>
      </c>
      <c r="G607" s="41">
        <v>0.0</v>
      </c>
      <c r="H607" s="41">
        <v>0.0</v>
      </c>
    </row>
    <row r="608" ht="15.75" customHeight="1">
      <c r="A608" s="40" t="s">
        <v>28</v>
      </c>
      <c r="B608" s="40" t="s">
        <v>186</v>
      </c>
      <c r="C608" s="40" t="s">
        <v>1109</v>
      </c>
      <c r="D608" s="40" t="s">
        <v>1110</v>
      </c>
      <c r="E608" s="40" t="s">
        <v>1113</v>
      </c>
      <c r="F608" s="41">
        <v>0.0</v>
      </c>
      <c r="G608" s="41">
        <v>0.0</v>
      </c>
      <c r="H608" s="41">
        <v>0.0</v>
      </c>
    </row>
    <row r="609" ht="15.75" customHeight="1">
      <c r="A609" s="40" t="s">
        <v>28</v>
      </c>
      <c r="B609" s="40" t="s">
        <v>186</v>
      </c>
      <c r="C609" s="40" t="s">
        <v>1109</v>
      </c>
      <c r="D609" s="40" t="s">
        <v>1110</v>
      </c>
      <c r="E609" s="40" t="s">
        <v>1114</v>
      </c>
      <c r="F609" s="41">
        <v>0.0</v>
      </c>
      <c r="G609" s="41">
        <v>0.0</v>
      </c>
      <c r="H609" s="41">
        <v>0.0</v>
      </c>
    </row>
    <row r="610" ht="15.75" customHeight="1">
      <c r="A610" s="40" t="s">
        <v>28</v>
      </c>
      <c r="B610" s="40" t="s">
        <v>186</v>
      </c>
      <c r="C610" s="40" t="s">
        <v>1109</v>
      </c>
      <c r="D610" s="40" t="s">
        <v>1110</v>
      </c>
      <c r="E610" s="40" t="s">
        <v>1115</v>
      </c>
      <c r="F610" s="41">
        <v>0.0</v>
      </c>
      <c r="G610" s="41">
        <v>0.0</v>
      </c>
      <c r="H610" s="41">
        <v>0.0</v>
      </c>
    </row>
    <row r="611" ht="15.75" customHeight="1">
      <c r="A611" s="40" t="s">
        <v>28</v>
      </c>
      <c r="B611" s="40" t="s">
        <v>186</v>
      </c>
      <c r="C611" s="40" t="s">
        <v>1109</v>
      </c>
      <c r="D611" s="40" t="s">
        <v>1110</v>
      </c>
      <c r="E611" s="40" t="s">
        <v>1116</v>
      </c>
      <c r="F611" s="41">
        <v>0.0</v>
      </c>
      <c r="G611" s="41">
        <v>0.0</v>
      </c>
      <c r="H611" s="41">
        <v>0.0</v>
      </c>
    </row>
    <row r="612" ht="15.75" customHeight="1">
      <c r="A612" s="40" t="s">
        <v>28</v>
      </c>
      <c r="B612" s="40" t="s">
        <v>186</v>
      </c>
      <c r="C612" s="40" t="s">
        <v>1109</v>
      </c>
      <c r="D612" s="40" t="s">
        <v>1110</v>
      </c>
      <c r="E612" s="40" t="s">
        <v>1118</v>
      </c>
      <c r="F612" s="41">
        <v>0.0</v>
      </c>
      <c r="G612" s="41">
        <v>0.0</v>
      </c>
      <c r="H612" s="41">
        <v>0.0</v>
      </c>
    </row>
    <row r="613" ht="15.75" customHeight="1">
      <c r="A613" s="40" t="s">
        <v>28</v>
      </c>
      <c r="B613" s="40" t="s">
        <v>186</v>
      </c>
      <c r="C613" s="40" t="s">
        <v>1109</v>
      </c>
      <c r="D613" s="40" t="s">
        <v>1110</v>
      </c>
      <c r="E613" s="40" t="s">
        <v>1119</v>
      </c>
      <c r="F613" s="41">
        <v>0.0</v>
      </c>
      <c r="G613" s="41">
        <v>0.0</v>
      </c>
      <c r="H613" s="41">
        <v>0.0</v>
      </c>
    </row>
    <row r="614" ht="15.75" customHeight="1">
      <c r="A614" s="40" t="s">
        <v>28</v>
      </c>
      <c r="B614" s="40" t="s">
        <v>186</v>
      </c>
      <c r="C614" s="40" t="s">
        <v>1109</v>
      </c>
      <c r="D614" s="40" t="s">
        <v>1110</v>
      </c>
      <c r="E614" s="40" t="s">
        <v>1120</v>
      </c>
      <c r="F614" s="41">
        <v>0.0</v>
      </c>
      <c r="G614" s="41">
        <v>0.0</v>
      </c>
      <c r="H614" s="41">
        <v>0.0</v>
      </c>
    </row>
    <row r="615" ht="15.75" customHeight="1">
      <c r="A615" s="40" t="s">
        <v>28</v>
      </c>
      <c r="B615" s="40" t="s">
        <v>186</v>
      </c>
      <c r="C615" s="40" t="s">
        <v>1109</v>
      </c>
      <c r="D615" s="40" t="s">
        <v>1110</v>
      </c>
      <c r="E615" s="40" t="s">
        <v>1121</v>
      </c>
      <c r="F615" s="41">
        <v>0.0</v>
      </c>
      <c r="G615" s="41">
        <v>0.0</v>
      </c>
      <c r="H615" s="41">
        <v>0.0</v>
      </c>
    </row>
    <row r="616" ht="15.75" customHeight="1">
      <c r="A616" s="40" t="s">
        <v>28</v>
      </c>
      <c r="B616" s="40" t="s">
        <v>186</v>
      </c>
      <c r="C616" s="40" t="s">
        <v>1109</v>
      </c>
      <c r="D616" s="40" t="s">
        <v>1110</v>
      </c>
      <c r="E616" s="40" t="s">
        <v>1122</v>
      </c>
      <c r="F616" s="41">
        <v>0.0</v>
      </c>
      <c r="G616" s="41">
        <v>0.0</v>
      </c>
      <c r="H616" s="41">
        <v>0.0</v>
      </c>
    </row>
    <row r="617" ht="15.75" customHeight="1">
      <c r="A617" s="40" t="s">
        <v>28</v>
      </c>
      <c r="B617" s="40" t="s">
        <v>186</v>
      </c>
      <c r="C617" s="40" t="s">
        <v>1109</v>
      </c>
      <c r="D617" s="40" t="s">
        <v>1110</v>
      </c>
      <c r="E617" s="40" t="s">
        <v>1123</v>
      </c>
      <c r="F617" s="41">
        <v>0.0</v>
      </c>
      <c r="G617" s="41">
        <v>0.0</v>
      </c>
      <c r="H617" s="41">
        <v>0.0</v>
      </c>
    </row>
    <row r="618" ht="15.75" customHeight="1">
      <c r="A618" s="40" t="s">
        <v>28</v>
      </c>
      <c r="B618" s="40" t="s">
        <v>186</v>
      </c>
      <c r="C618" s="40" t="s">
        <v>1109</v>
      </c>
      <c r="D618" s="40" t="s">
        <v>1110</v>
      </c>
      <c r="E618" s="40" t="s">
        <v>1124</v>
      </c>
      <c r="F618" s="41">
        <v>0.0</v>
      </c>
      <c r="G618" s="41">
        <v>0.0</v>
      </c>
      <c r="H618" s="41">
        <v>0.0</v>
      </c>
    </row>
    <row r="619" ht="15.75" customHeight="1">
      <c r="A619" s="40" t="s">
        <v>28</v>
      </c>
      <c r="B619" s="40" t="s">
        <v>186</v>
      </c>
      <c r="C619" s="40" t="s">
        <v>1109</v>
      </c>
      <c r="D619" s="40" t="s">
        <v>1110</v>
      </c>
      <c r="E619" s="40" t="s">
        <v>1125</v>
      </c>
      <c r="F619" s="41">
        <v>0.0</v>
      </c>
      <c r="G619" s="41">
        <v>0.0</v>
      </c>
      <c r="H619" s="41">
        <v>0.0</v>
      </c>
    </row>
    <row r="620" ht="15.75" customHeight="1">
      <c r="A620" s="40" t="s">
        <v>28</v>
      </c>
      <c r="B620" s="40" t="s">
        <v>186</v>
      </c>
      <c r="C620" s="40" t="s">
        <v>1109</v>
      </c>
      <c r="D620" s="40" t="s">
        <v>1110</v>
      </c>
      <c r="E620" s="40" t="s">
        <v>1126</v>
      </c>
      <c r="F620" s="41">
        <v>0.0</v>
      </c>
      <c r="G620" s="41">
        <v>0.0</v>
      </c>
      <c r="H620" s="41">
        <v>0.0</v>
      </c>
    </row>
    <row r="621" ht="15.75" customHeight="1">
      <c r="A621" s="40" t="s">
        <v>28</v>
      </c>
      <c r="B621" s="40" t="s">
        <v>186</v>
      </c>
      <c r="C621" s="40" t="s">
        <v>1109</v>
      </c>
      <c r="D621" s="40" t="s">
        <v>1110</v>
      </c>
      <c r="E621" s="40" t="s">
        <v>1127</v>
      </c>
      <c r="F621" s="41">
        <v>0.0</v>
      </c>
      <c r="G621" s="41">
        <v>0.0</v>
      </c>
      <c r="H621" s="41">
        <v>0.0</v>
      </c>
    </row>
    <row r="622" ht="15.75" customHeight="1">
      <c r="A622" s="40" t="s">
        <v>28</v>
      </c>
      <c r="B622" s="40" t="s">
        <v>186</v>
      </c>
      <c r="C622" s="40" t="s">
        <v>1109</v>
      </c>
      <c r="D622" s="40" t="s">
        <v>1110</v>
      </c>
      <c r="E622" s="40" t="s">
        <v>1128</v>
      </c>
      <c r="F622" s="41">
        <v>0.0</v>
      </c>
      <c r="G622" s="41">
        <v>0.0</v>
      </c>
      <c r="H622" s="41">
        <v>0.0</v>
      </c>
    </row>
    <row r="623" ht="15.75" customHeight="1">
      <c r="A623" s="40" t="s">
        <v>28</v>
      </c>
      <c r="B623" s="40" t="s">
        <v>186</v>
      </c>
      <c r="C623" s="40" t="s">
        <v>1109</v>
      </c>
      <c r="D623" s="40" t="s">
        <v>1110</v>
      </c>
      <c r="E623" s="40" t="s">
        <v>1129</v>
      </c>
      <c r="F623" s="41">
        <v>0.0</v>
      </c>
      <c r="G623" s="41">
        <v>0.0</v>
      </c>
      <c r="H623" s="41">
        <v>0.0</v>
      </c>
    </row>
    <row r="624" ht="15.75" customHeight="1">
      <c r="A624" s="40" t="s">
        <v>28</v>
      </c>
      <c r="B624" s="40" t="s">
        <v>186</v>
      </c>
      <c r="C624" s="40" t="s">
        <v>1109</v>
      </c>
      <c r="D624" s="40" t="s">
        <v>1110</v>
      </c>
      <c r="E624" s="40" t="s">
        <v>1130</v>
      </c>
      <c r="F624" s="41">
        <v>0.0</v>
      </c>
      <c r="G624" s="41">
        <v>0.0</v>
      </c>
      <c r="H624" s="41">
        <v>0.0</v>
      </c>
    </row>
    <row r="625" ht="15.75" customHeight="1">
      <c r="A625" s="40" t="s">
        <v>28</v>
      </c>
      <c r="B625" s="40" t="s">
        <v>186</v>
      </c>
      <c r="C625" s="40" t="s">
        <v>1109</v>
      </c>
      <c r="D625" s="40" t="s">
        <v>1110</v>
      </c>
      <c r="E625" s="40" t="s">
        <v>1131</v>
      </c>
      <c r="F625" s="41">
        <v>0.0</v>
      </c>
      <c r="G625" s="41">
        <v>0.0</v>
      </c>
      <c r="H625" s="41">
        <v>0.0</v>
      </c>
    </row>
    <row r="626" ht="15.75" customHeight="1">
      <c r="A626" s="40" t="s">
        <v>28</v>
      </c>
      <c r="B626" s="40" t="s">
        <v>186</v>
      </c>
      <c r="C626" s="40" t="s">
        <v>1109</v>
      </c>
      <c r="D626" s="40" t="s">
        <v>1110</v>
      </c>
      <c r="E626" s="40" t="s">
        <v>1132</v>
      </c>
      <c r="F626" s="41">
        <v>0.0</v>
      </c>
      <c r="G626" s="41">
        <v>0.0</v>
      </c>
      <c r="H626" s="41">
        <v>0.0</v>
      </c>
    </row>
    <row r="627" ht="15.75" customHeight="1">
      <c r="A627" s="40" t="s">
        <v>28</v>
      </c>
      <c r="B627" s="40" t="s">
        <v>186</v>
      </c>
      <c r="C627" s="40" t="s">
        <v>1109</v>
      </c>
      <c r="D627" s="40" t="s">
        <v>1110</v>
      </c>
      <c r="E627" s="40" t="s">
        <v>1133</v>
      </c>
      <c r="F627" s="41">
        <v>0.0</v>
      </c>
      <c r="G627" s="41">
        <v>0.0</v>
      </c>
      <c r="H627" s="41">
        <v>0.0</v>
      </c>
    </row>
    <row r="628" ht="15.75" customHeight="1">
      <c r="A628" s="40" t="s">
        <v>28</v>
      </c>
      <c r="B628" s="40" t="s">
        <v>186</v>
      </c>
      <c r="C628" s="40" t="s">
        <v>1109</v>
      </c>
      <c r="D628" s="40" t="s">
        <v>1110</v>
      </c>
      <c r="E628" s="40" t="s">
        <v>1134</v>
      </c>
      <c r="F628" s="41">
        <v>0.0</v>
      </c>
      <c r="G628" s="41">
        <v>0.0</v>
      </c>
      <c r="H628" s="41">
        <v>0.0</v>
      </c>
    </row>
    <row r="629" ht="15.75" customHeight="1">
      <c r="A629" s="40" t="s">
        <v>28</v>
      </c>
      <c r="B629" s="40" t="s">
        <v>186</v>
      </c>
      <c r="C629" s="40" t="s">
        <v>1109</v>
      </c>
      <c r="D629" s="40" t="s">
        <v>1110</v>
      </c>
      <c r="E629" s="40" t="s">
        <v>1135</v>
      </c>
      <c r="F629" s="41">
        <v>0.0</v>
      </c>
      <c r="G629" s="41">
        <v>0.0</v>
      </c>
      <c r="H629" s="41">
        <v>0.0</v>
      </c>
    </row>
    <row r="630" ht="15.75" customHeight="1">
      <c r="A630" s="40" t="s">
        <v>28</v>
      </c>
      <c r="B630" s="40" t="s">
        <v>186</v>
      </c>
      <c r="C630" s="40" t="s">
        <v>1109</v>
      </c>
      <c r="D630" s="40" t="s">
        <v>1110</v>
      </c>
      <c r="E630" s="40" t="s">
        <v>1136</v>
      </c>
      <c r="F630" s="41">
        <v>0.0</v>
      </c>
      <c r="G630" s="41">
        <v>0.0</v>
      </c>
      <c r="H630" s="41">
        <v>0.0</v>
      </c>
    </row>
    <row r="631" ht="15.75" customHeight="1">
      <c r="A631" s="40" t="s">
        <v>28</v>
      </c>
      <c r="B631" s="40" t="s">
        <v>186</v>
      </c>
      <c r="C631" s="40" t="s">
        <v>1109</v>
      </c>
      <c r="D631" s="40" t="s">
        <v>1110</v>
      </c>
      <c r="E631" s="40" t="s">
        <v>1137</v>
      </c>
      <c r="F631" s="41">
        <v>0.0</v>
      </c>
      <c r="G631" s="41">
        <v>0.0</v>
      </c>
      <c r="H631" s="41">
        <v>0.0</v>
      </c>
    </row>
    <row r="632" ht="15.75" customHeight="1">
      <c r="A632" s="40" t="s">
        <v>28</v>
      </c>
      <c r="B632" s="40" t="s">
        <v>186</v>
      </c>
      <c r="C632" s="40" t="s">
        <v>1109</v>
      </c>
      <c r="D632" s="40" t="s">
        <v>1110</v>
      </c>
      <c r="E632" s="40" t="s">
        <v>1140</v>
      </c>
      <c r="F632" s="41">
        <v>1.0</v>
      </c>
      <c r="G632" s="41">
        <v>38800.0</v>
      </c>
      <c r="H632" s="41">
        <v>7210.0</v>
      </c>
    </row>
    <row r="633" ht="15.75" customHeight="1">
      <c r="A633" s="40" t="s">
        <v>28</v>
      </c>
      <c r="B633" s="40" t="s">
        <v>186</v>
      </c>
      <c r="C633" s="40" t="s">
        <v>1109</v>
      </c>
      <c r="D633" s="40" t="s">
        <v>1110</v>
      </c>
      <c r="E633" s="40" t="s">
        <v>1141</v>
      </c>
      <c r="F633" s="41">
        <v>0.0</v>
      </c>
      <c r="G633" s="41">
        <v>0.0</v>
      </c>
      <c r="H633" s="41">
        <v>0.0</v>
      </c>
    </row>
    <row r="634" ht="15.75" customHeight="1">
      <c r="A634" s="40" t="s">
        <v>28</v>
      </c>
      <c r="B634" s="40" t="s">
        <v>186</v>
      </c>
      <c r="C634" s="40" t="s">
        <v>1109</v>
      </c>
      <c r="D634" s="40" t="s">
        <v>1110</v>
      </c>
      <c r="E634" s="40" t="s">
        <v>1142</v>
      </c>
      <c r="F634" s="41">
        <v>0.0</v>
      </c>
      <c r="G634" s="41">
        <v>0.0</v>
      </c>
      <c r="H634" s="41">
        <v>0.0</v>
      </c>
    </row>
    <row r="635" ht="15.75" customHeight="1">
      <c r="A635" s="40" t="s">
        <v>28</v>
      </c>
      <c r="B635" s="40" t="s">
        <v>186</v>
      </c>
      <c r="C635" s="40" t="s">
        <v>1109</v>
      </c>
      <c r="D635" s="40" t="s">
        <v>1110</v>
      </c>
      <c r="E635" s="40" t="s">
        <v>1143</v>
      </c>
      <c r="F635" s="41">
        <v>1.0</v>
      </c>
      <c r="G635" s="41">
        <v>28500.0</v>
      </c>
      <c r="H635" s="41">
        <v>5350.0</v>
      </c>
    </row>
    <row r="636" ht="15.75" customHeight="1">
      <c r="A636" s="40" t="s">
        <v>28</v>
      </c>
      <c r="B636" s="40" t="s">
        <v>186</v>
      </c>
      <c r="C636" s="40" t="s">
        <v>1109</v>
      </c>
      <c r="D636" s="40" t="s">
        <v>1110</v>
      </c>
      <c r="E636" s="40" t="s">
        <v>1144</v>
      </c>
      <c r="F636" s="41">
        <v>0.0</v>
      </c>
      <c r="G636" s="41">
        <v>0.0</v>
      </c>
      <c r="H636" s="41">
        <v>0.0</v>
      </c>
    </row>
    <row r="637" ht="15.75" customHeight="1">
      <c r="A637" s="40" t="s">
        <v>28</v>
      </c>
      <c r="B637" s="40" t="s">
        <v>186</v>
      </c>
      <c r="C637" s="40" t="s">
        <v>1109</v>
      </c>
      <c r="D637" s="40" t="s">
        <v>1110</v>
      </c>
      <c r="E637" s="40" t="s">
        <v>1145</v>
      </c>
      <c r="F637" s="41">
        <v>0.0</v>
      </c>
      <c r="G637" s="41">
        <v>0.0</v>
      </c>
      <c r="H637" s="41">
        <v>0.0</v>
      </c>
    </row>
    <row r="638" ht="15.75" customHeight="1">
      <c r="A638" s="40" t="s">
        <v>28</v>
      </c>
      <c r="B638" s="40" t="s">
        <v>186</v>
      </c>
      <c r="C638" s="40" t="s">
        <v>1109</v>
      </c>
      <c r="D638" s="40" t="s">
        <v>1110</v>
      </c>
      <c r="E638" s="40" t="s">
        <v>1146</v>
      </c>
      <c r="F638" s="41">
        <v>0.0</v>
      </c>
      <c r="G638" s="41">
        <v>0.0</v>
      </c>
      <c r="H638" s="41">
        <v>0.0</v>
      </c>
    </row>
    <row r="639" ht="15.75" customHeight="1">
      <c r="A639" s="40" t="s">
        <v>28</v>
      </c>
      <c r="B639" s="40" t="s">
        <v>186</v>
      </c>
      <c r="C639" s="40" t="s">
        <v>1109</v>
      </c>
      <c r="D639" s="40" t="s">
        <v>1110</v>
      </c>
      <c r="E639" s="40" t="s">
        <v>1147</v>
      </c>
      <c r="F639" s="41">
        <v>0.0</v>
      </c>
      <c r="G639" s="41">
        <v>0.0</v>
      </c>
      <c r="H639" s="41">
        <v>0.0</v>
      </c>
    </row>
    <row r="640" ht="15.75" customHeight="1">
      <c r="A640" s="40" t="s">
        <v>28</v>
      </c>
      <c r="B640" s="40" t="s">
        <v>186</v>
      </c>
      <c r="C640" s="40" t="s">
        <v>1109</v>
      </c>
      <c r="D640" s="40" t="s">
        <v>1110</v>
      </c>
      <c r="E640" s="40" t="s">
        <v>1148</v>
      </c>
      <c r="F640" s="41">
        <v>0.0</v>
      </c>
      <c r="G640" s="41">
        <v>0.0</v>
      </c>
      <c r="H640" s="41">
        <v>0.0</v>
      </c>
    </row>
    <row r="641" ht="15.75" customHeight="1">
      <c r="A641" s="40" t="s">
        <v>28</v>
      </c>
      <c r="B641" s="40" t="s">
        <v>186</v>
      </c>
      <c r="C641" s="40" t="s">
        <v>1109</v>
      </c>
      <c r="D641" s="40" t="s">
        <v>1110</v>
      </c>
      <c r="E641" s="40" t="s">
        <v>1149</v>
      </c>
      <c r="F641" s="41">
        <v>0.0</v>
      </c>
      <c r="G641" s="41">
        <v>0.0</v>
      </c>
      <c r="H641" s="41">
        <v>0.0</v>
      </c>
    </row>
    <row r="642" ht="15.75" customHeight="1">
      <c r="A642" s="40" t="s">
        <v>28</v>
      </c>
      <c r="B642" s="40" t="s">
        <v>186</v>
      </c>
      <c r="C642" s="40" t="s">
        <v>1109</v>
      </c>
      <c r="D642" s="40" t="s">
        <v>1110</v>
      </c>
      <c r="E642" s="40" t="s">
        <v>1150</v>
      </c>
      <c r="F642" s="41">
        <v>0.0</v>
      </c>
      <c r="G642" s="41">
        <v>0.0</v>
      </c>
      <c r="H642" s="41">
        <v>0.0</v>
      </c>
    </row>
    <row r="643" ht="15.75" customHeight="1">
      <c r="A643" s="40" t="s">
        <v>28</v>
      </c>
      <c r="B643" s="40" t="s">
        <v>186</v>
      </c>
      <c r="C643" s="40" t="s">
        <v>1109</v>
      </c>
      <c r="D643" s="40" t="s">
        <v>1110</v>
      </c>
      <c r="E643" s="40" t="s">
        <v>1151</v>
      </c>
      <c r="F643" s="41">
        <v>0.0</v>
      </c>
      <c r="G643" s="41">
        <v>0.0</v>
      </c>
      <c r="H643" s="41">
        <v>0.0</v>
      </c>
    </row>
    <row r="644" ht="15.75" customHeight="1">
      <c r="A644" s="40" t="s">
        <v>28</v>
      </c>
      <c r="B644" s="40" t="s">
        <v>186</v>
      </c>
      <c r="C644" s="40" t="s">
        <v>1109</v>
      </c>
      <c r="D644" s="40" t="s">
        <v>1110</v>
      </c>
      <c r="E644" s="40" t="s">
        <v>1152</v>
      </c>
      <c r="F644" s="41">
        <v>0.0</v>
      </c>
      <c r="G644" s="41">
        <v>0.0</v>
      </c>
      <c r="H644" s="41">
        <v>0.0</v>
      </c>
    </row>
    <row r="645" ht="15.75" customHeight="1">
      <c r="A645" s="40" t="s">
        <v>28</v>
      </c>
      <c r="B645" s="40" t="s">
        <v>186</v>
      </c>
      <c r="C645" s="40" t="s">
        <v>1109</v>
      </c>
      <c r="D645" s="40" t="s">
        <v>1110</v>
      </c>
      <c r="E645" s="40" t="s">
        <v>1153</v>
      </c>
      <c r="F645" s="41">
        <v>0.0</v>
      </c>
      <c r="G645" s="41">
        <v>0.0</v>
      </c>
      <c r="H645" s="41">
        <v>0.0</v>
      </c>
    </row>
    <row r="646" ht="15.75" customHeight="1">
      <c r="A646" s="40" t="s">
        <v>28</v>
      </c>
      <c r="B646" s="40" t="s">
        <v>186</v>
      </c>
      <c r="C646" s="40" t="s">
        <v>1109</v>
      </c>
      <c r="D646" s="40" t="s">
        <v>1110</v>
      </c>
      <c r="E646" s="40" t="s">
        <v>1154</v>
      </c>
      <c r="F646" s="41">
        <v>0.0</v>
      </c>
      <c r="G646" s="41">
        <v>0.0</v>
      </c>
      <c r="H646" s="41">
        <v>0.0</v>
      </c>
    </row>
    <row r="647" ht="15.75" customHeight="1">
      <c r="A647" s="40" t="s">
        <v>28</v>
      </c>
      <c r="B647" s="40" t="s">
        <v>186</v>
      </c>
      <c r="C647" s="40" t="s">
        <v>1109</v>
      </c>
      <c r="D647" s="40" t="s">
        <v>1110</v>
      </c>
      <c r="E647" s="40" t="s">
        <v>1155</v>
      </c>
      <c r="F647" s="41">
        <v>0.0</v>
      </c>
      <c r="G647" s="41">
        <v>0.0</v>
      </c>
      <c r="H647" s="41">
        <v>0.0</v>
      </c>
    </row>
    <row r="648" ht="15.75" customHeight="1">
      <c r="A648" s="40" t="s">
        <v>28</v>
      </c>
      <c r="B648" s="40" t="s">
        <v>186</v>
      </c>
      <c r="C648" s="40" t="s">
        <v>1109</v>
      </c>
      <c r="D648" s="40" t="s">
        <v>1110</v>
      </c>
      <c r="E648" s="40" t="s">
        <v>1156</v>
      </c>
      <c r="F648" s="41">
        <v>1.0</v>
      </c>
      <c r="G648" s="41">
        <v>14700.0</v>
      </c>
      <c r="H648" s="41">
        <v>2770.0</v>
      </c>
    </row>
    <row r="649" ht="15.75" customHeight="1">
      <c r="A649" s="40" t="s">
        <v>28</v>
      </c>
      <c r="B649" s="40" t="s">
        <v>186</v>
      </c>
      <c r="C649" s="40" t="s">
        <v>1109</v>
      </c>
      <c r="D649" s="40" t="s">
        <v>1110</v>
      </c>
      <c r="E649" s="40" t="s">
        <v>1157</v>
      </c>
      <c r="F649" s="41">
        <v>0.0</v>
      </c>
      <c r="G649" s="41">
        <v>0.0</v>
      </c>
      <c r="H649" s="41">
        <v>0.0</v>
      </c>
    </row>
    <row r="650" ht="15.75" customHeight="1">
      <c r="A650" s="40" t="s">
        <v>28</v>
      </c>
      <c r="B650" s="40" t="s">
        <v>186</v>
      </c>
      <c r="C650" s="40" t="s">
        <v>1109</v>
      </c>
      <c r="D650" s="40" t="s">
        <v>1110</v>
      </c>
      <c r="E650" s="40" t="s">
        <v>1158</v>
      </c>
      <c r="F650" s="41">
        <v>0.0</v>
      </c>
      <c r="G650" s="41">
        <v>0.0</v>
      </c>
      <c r="H650" s="41">
        <v>0.0</v>
      </c>
    </row>
    <row r="651" ht="15.75" customHeight="1">
      <c r="A651" s="40" t="s">
        <v>28</v>
      </c>
      <c r="B651" s="40" t="s">
        <v>186</v>
      </c>
      <c r="C651" s="40" t="s">
        <v>1109</v>
      </c>
      <c r="D651" s="40" t="s">
        <v>1110</v>
      </c>
      <c r="E651" s="40" t="s">
        <v>1159</v>
      </c>
      <c r="F651" s="41">
        <v>0.0</v>
      </c>
      <c r="G651" s="41">
        <v>0.0</v>
      </c>
      <c r="H651" s="41">
        <v>0.0</v>
      </c>
    </row>
    <row r="652" ht="15.75" customHeight="1">
      <c r="A652" s="40" t="s">
        <v>28</v>
      </c>
      <c r="B652" s="40" t="s">
        <v>186</v>
      </c>
      <c r="C652" s="40" t="s">
        <v>1109</v>
      </c>
      <c r="D652" s="40" t="s">
        <v>1110</v>
      </c>
      <c r="E652" s="40" t="s">
        <v>1160</v>
      </c>
      <c r="F652" s="41">
        <v>0.0</v>
      </c>
      <c r="G652" s="41">
        <v>0.0</v>
      </c>
      <c r="H652" s="41">
        <v>0.0</v>
      </c>
    </row>
    <row r="653" ht="15.75" customHeight="1">
      <c r="A653" s="40" t="s">
        <v>28</v>
      </c>
      <c r="B653" s="40" t="s">
        <v>186</v>
      </c>
      <c r="C653" s="40" t="s">
        <v>1109</v>
      </c>
      <c r="D653" s="40" t="s">
        <v>1110</v>
      </c>
      <c r="E653" s="40" t="s">
        <v>1161</v>
      </c>
      <c r="F653" s="41">
        <v>0.0</v>
      </c>
      <c r="G653" s="41">
        <v>0.0</v>
      </c>
      <c r="H653" s="41">
        <v>0.0</v>
      </c>
    </row>
    <row r="654" ht="15.75" customHeight="1">
      <c r="A654" s="40" t="s">
        <v>28</v>
      </c>
      <c r="B654" s="40" t="s">
        <v>186</v>
      </c>
      <c r="C654" s="40" t="s">
        <v>1109</v>
      </c>
      <c r="D654" s="40" t="s">
        <v>1110</v>
      </c>
      <c r="E654" s="40" t="s">
        <v>1162</v>
      </c>
      <c r="F654" s="41">
        <v>0.0</v>
      </c>
      <c r="G654" s="41">
        <v>0.0</v>
      </c>
      <c r="H654" s="41">
        <v>0.0</v>
      </c>
    </row>
    <row r="655" ht="15.75" customHeight="1">
      <c r="A655" s="40" t="s">
        <v>28</v>
      </c>
      <c r="B655" s="40" t="s">
        <v>186</v>
      </c>
      <c r="C655" s="40" t="s">
        <v>1109</v>
      </c>
      <c r="D655" s="40" t="s">
        <v>1110</v>
      </c>
      <c r="E655" s="40" t="s">
        <v>1163</v>
      </c>
      <c r="F655" s="41">
        <v>0.0</v>
      </c>
      <c r="G655" s="41">
        <v>0.0</v>
      </c>
      <c r="H655" s="41">
        <v>0.0</v>
      </c>
    </row>
    <row r="656" ht="15.75" customHeight="1">
      <c r="A656" s="40" t="s">
        <v>28</v>
      </c>
      <c r="B656" s="40" t="s">
        <v>186</v>
      </c>
      <c r="C656" s="40" t="s">
        <v>1109</v>
      </c>
      <c r="D656" s="40" t="s">
        <v>1110</v>
      </c>
      <c r="E656" s="40" t="s">
        <v>1164</v>
      </c>
      <c r="F656" s="41">
        <v>0.0</v>
      </c>
      <c r="G656" s="41">
        <v>0.0</v>
      </c>
      <c r="H656" s="41">
        <v>0.0</v>
      </c>
    </row>
    <row r="657" ht="15.75" customHeight="1">
      <c r="A657" s="40" t="s">
        <v>28</v>
      </c>
      <c r="B657" s="40" t="s">
        <v>186</v>
      </c>
      <c r="C657" s="40" t="s">
        <v>1109</v>
      </c>
      <c r="D657" s="40" t="s">
        <v>1110</v>
      </c>
      <c r="E657" s="40" t="s">
        <v>1165</v>
      </c>
      <c r="F657" s="41">
        <v>0.0</v>
      </c>
      <c r="G657" s="41">
        <v>0.0</v>
      </c>
      <c r="H657" s="41">
        <v>0.0</v>
      </c>
    </row>
    <row r="658" ht="15.75" customHeight="1">
      <c r="A658" s="40" t="s">
        <v>28</v>
      </c>
      <c r="B658" s="40" t="s">
        <v>186</v>
      </c>
      <c r="C658" s="40" t="s">
        <v>1109</v>
      </c>
      <c r="D658" s="40" t="s">
        <v>1110</v>
      </c>
      <c r="E658" s="40" t="s">
        <v>1166</v>
      </c>
      <c r="F658" s="41">
        <v>0.0</v>
      </c>
      <c r="G658" s="41">
        <v>0.0</v>
      </c>
      <c r="H658" s="41">
        <v>0.0</v>
      </c>
    </row>
    <row r="659" ht="15.75" customHeight="1">
      <c r="A659" s="40" t="s">
        <v>28</v>
      </c>
      <c r="B659" s="40" t="s">
        <v>186</v>
      </c>
      <c r="C659" s="40" t="s">
        <v>1109</v>
      </c>
      <c r="D659" s="40" t="s">
        <v>1110</v>
      </c>
      <c r="E659" s="40" t="s">
        <v>1167</v>
      </c>
      <c r="F659" s="41">
        <v>0.0</v>
      </c>
      <c r="G659" s="41">
        <v>0.0</v>
      </c>
      <c r="H659" s="41">
        <v>0.0</v>
      </c>
    </row>
    <row r="660" ht="15.75" customHeight="1">
      <c r="A660" s="40" t="s">
        <v>28</v>
      </c>
      <c r="B660" s="40" t="s">
        <v>186</v>
      </c>
      <c r="C660" s="40" t="s">
        <v>1109</v>
      </c>
      <c r="D660" s="40" t="s">
        <v>1110</v>
      </c>
      <c r="E660" s="40" t="s">
        <v>1169</v>
      </c>
      <c r="F660" s="41">
        <v>0.0</v>
      </c>
      <c r="G660" s="41">
        <v>0.0</v>
      </c>
      <c r="H660" s="41">
        <v>0.0</v>
      </c>
    </row>
    <row r="661" ht="15.75" customHeight="1">
      <c r="A661" s="40" t="s">
        <v>28</v>
      </c>
      <c r="B661" s="40" t="s">
        <v>186</v>
      </c>
      <c r="C661" s="40" t="s">
        <v>1109</v>
      </c>
      <c r="D661" s="40" t="s">
        <v>1110</v>
      </c>
      <c r="E661" s="40" t="s">
        <v>1171</v>
      </c>
      <c r="F661" s="41">
        <v>0.0</v>
      </c>
      <c r="G661" s="41">
        <v>0.0</v>
      </c>
      <c r="H661" s="41">
        <v>0.0</v>
      </c>
    </row>
    <row r="662" ht="15.75" customHeight="1">
      <c r="A662" s="40" t="s">
        <v>28</v>
      </c>
      <c r="B662" s="40" t="s">
        <v>186</v>
      </c>
      <c r="C662" s="40" t="s">
        <v>1109</v>
      </c>
      <c r="D662" s="40" t="s">
        <v>1110</v>
      </c>
      <c r="E662" s="40" t="s">
        <v>1172</v>
      </c>
      <c r="F662" s="41">
        <v>0.0</v>
      </c>
      <c r="G662" s="41">
        <v>0.0</v>
      </c>
      <c r="H662" s="41">
        <v>0.0</v>
      </c>
    </row>
    <row r="663" ht="15.75" customHeight="1">
      <c r="A663" s="40" t="s">
        <v>28</v>
      </c>
      <c r="B663" s="40" t="s">
        <v>186</v>
      </c>
      <c r="C663" s="40" t="s">
        <v>1109</v>
      </c>
      <c r="D663" s="40" t="s">
        <v>1110</v>
      </c>
      <c r="E663" s="40" t="s">
        <v>1173</v>
      </c>
      <c r="F663" s="41">
        <v>0.0</v>
      </c>
      <c r="G663" s="41">
        <v>0.0</v>
      </c>
      <c r="H663" s="41">
        <v>0.0</v>
      </c>
    </row>
    <row r="664" ht="15.75" customHeight="1">
      <c r="A664" s="40" t="s">
        <v>28</v>
      </c>
      <c r="B664" s="40" t="s">
        <v>186</v>
      </c>
      <c r="C664" s="40" t="s">
        <v>1109</v>
      </c>
      <c r="D664" s="40" t="s">
        <v>1110</v>
      </c>
      <c r="E664" s="40" t="s">
        <v>1174</v>
      </c>
      <c r="F664" s="41">
        <v>0.0</v>
      </c>
      <c r="G664" s="41">
        <v>0.0</v>
      </c>
      <c r="H664" s="41">
        <v>0.0</v>
      </c>
    </row>
    <row r="665" ht="15.75" customHeight="1">
      <c r="A665" s="40" t="s">
        <v>28</v>
      </c>
      <c r="B665" s="40" t="s">
        <v>186</v>
      </c>
      <c r="C665" s="40" t="s">
        <v>1109</v>
      </c>
      <c r="D665" s="40" t="s">
        <v>1110</v>
      </c>
      <c r="E665" s="40" t="s">
        <v>1175</v>
      </c>
      <c r="F665" s="41">
        <v>0.0</v>
      </c>
      <c r="G665" s="41">
        <v>0.0</v>
      </c>
      <c r="H665" s="41">
        <v>0.0</v>
      </c>
    </row>
    <row r="666" ht="15.75" customHeight="1">
      <c r="A666" s="40" t="s">
        <v>28</v>
      </c>
      <c r="B666" s="40" t="s">
        <v>186</v>
      </c>
      <c r="C666" s="40" t="s">
        <v>1109</v>
      </c>
      <c r="D666" s="40" t="s">
        <v>1110</v>
      </c>
      <c r="E666" s="40" t="s">
        <v>1176</v>
      </c>
      <c r="F666" s="41">
        <v>0.0</v>
      </c>
      <c r="G666" s="41">
        <v>0.0</v>
      </c>
      <c r="H666" s="41">
        <v>0.0</v>
      </c>
    </row>
    <row r="667" ht="15.75" customHeight="1">
      <c r="A667" s="40" t="s">
        <v>28</v>
      </c>
      <c r="B667" s="40" t="s">
        <v>186</v>
      </c>
      <c r="C667" s="40" t="s">
        <v>1109</v>
      </c>
      <c r="D667" s="40" t="s">
        <v>1110</v>
      </c>
      <c r="E667" s="40" t="s">
        <v>1177</v>
      </c>
      <c r="F667" s="41">
        <v>0.0</v>
      </c>
      <c r="G667" s="41">
        <v>0.0</v>
      </c>
      <c r="H667" s="41">
        <v>0.0</v>
      </c>
    </row>
    <row r="668" ht="15.75" customHeight="1">
      <c r="A668" s="40" t="s">
        <v>28</v>
      </c>
      <c r="B668" s="40" t="s">
        <v>186</v>
      </c>
      <c r="C668" s="40" t="s">
        <v>1109</v>
      </c>
      <c r="D668" s="40" t="s">
        <v>1110</v>
      </c>
      <c r="E668" s="40" t="s">
        <v>1178</v>
      </c>
      <c r="F668" s="41">
        <v>0.0</v>
      </c>
      <c r="G668" s="41">
        <v>0.0</v>
      </c>
      <c r="H668" s="41">
        <v>0.0</v>
      </c>
    </row>
    <row r="669" ht="15.75" customHeight="1">
      <c r="A669" s="40" t="s">
        <v>28</v>
      </c>
      <c r="B669" s="40" t="s">
        <v>186</v>
      </c>
      <c r="C669" s="40" t="s">
        <v>1109</v>
      </c>
      <c r="D669" s="40" t="s">
        <v>1110</v>
      </c>
      <c r="E669" s="40" t="s">
        <v>1179</v>
      </c>
      <c r="F669" s="41">
        <v>0.0</v>
      </c>
      <c r="G669" s="41">
        <v>0.0</v>
      </c>
      <c r="H669" s="41">
        <v>0.0</v>
      </c>
    </row>
    <row r="670" ht="15.75" customHeight="1">
      <c r="A670" s="40" t="s">
        <v>28</v>
      </c>
      <c r="B670" s="40" t="s">
        <v>186</v>
      </c>
      <c r="C670" s="40" t="s">
        <v>1109</v>
      </c>
      <c r="D670" s="40" t="s">
        <v>1110</v>
      </c>
      <c r="E670" s="40" t="s">
        <v>1180</v>
      </c>
      <c r="F670" s="41">
        <v>0.0</v>
      </c>
      <c r="G670" s="41">
        <v>0.0</v>
      </c>
      <c r="H670" s="41">
        <v>0.0</v>
      </c>
    </row>
    <row r="671" ht="15.75" customHeight="1">
      <c r="A671" s="40" t="s">
        <v>28</v>
      </c>
      <c r="B671" s="40" t="s">
        <v>186</v>
      </c>
      <c r="C671" s="40" t="s">
        <v>1109</v>
      </c>
      <c r="D671" s="40" t="s">
        <v>1110</v>
      </c>
      <c r="E671" s="40" t="s">
        <v>1181</v>
      </c>
      <c r="F671" s="41">
        <v>0.0</v>
      </c>
      <c r="G671" s="41">
        <v>0.0</v>
      </c>
      <c r="H671" s="41">
        <v>0.0</v>
      </c>
    </row>
    <row r="672" ht="15.75" customHeight="1">
      <c r="A672" s="40" t="s">
        <v>28</v>
      </c>
      <c r="B672" s="40" t="s">
        <v>186</v>
      </c>
      <c r="C672" s="40" t="s">
        <v>1062</v>
      </c>
      <c r="D672" s="40" t="s">
        <v>1063</v>
      </c>
      <c r="E672" s="40" t="s">
        <v>1182</v>
      </c>
      <c r="F672" s="41">
        <v>2.0</v>
      </c>
      <c r="G672" s="41">
        <v>29700.0</v>
      </c>
      <c r="H672" s="41">
        <v>5820.0</v>
      </c>
    </row>
    <row r="673" ht="15.75" customHeight="1">
      <c r="A673" s="40" t="s">
        <v>28</v>
      </c>
      <c r="B673" s="40" t="s">
        <v>186</v>
      </c>
      <c r="C673" s="40" t="s">
        <v>1062</v>
      </c>
      <c r="D673" s="40" t="s">
        <v>1063</v>
      </c>
      <c r="E673" s="40" t="s">
        <v>1183</v>
      </c>
      <c r="F673" s="41">
        <v>4.0</v>
      </c>
      <c r="G673" s="41">
        <v>81600.0</v>
      </c>
      <c r="H673" s="41">
        <v>16030.0</v>
      </c>
    </row>
    <row r="674" ht="15.75" customHeight="1">
      <c r="A674" s="40" t="s">
        <v>28</v>
      </c>
      <c r="B674" s="40" t="s">
        <v>186</v>
      </c>
      <c r="C674" s="40" t="s">
        <v>1062</v>
      </c>
      <c r="D674" s="40" t="s">
        <v>1063</v>
      </c>
      <c r="E674" s="40" t="s">
        <v>1184</v>
      </c>
      <c r="F674" s="41">
        <v>0.0</v>
      </c>
      <c r="G674" s="41">
        <v>0.0</v>
      </c>
      <c r="H674" s="41">
        <v>0.0</v>
      </c>
    </row>
    <row r="675" ht="15.75" customHeight="1">
      <c r="A675" s="40" t="s">
        <v>28</v>
      </c>
      <c r="B675" s="40" t="s">
        <v>186</v>
      </c>
      <c r="C675" s="40" t="s">
        <v>1062</v>
      </c>
      <c r="D675" s="40" t="s">
        <v>1063</v>
      </c>
      <c r="E675" s="40" t="s">
        <v>1185</v>
      </c>
      <c r="F675" s="41">
        <v>0.0</v>
      </c>
      <c r="G675" s="41">
        <v>0.0</v>
      </c>
      <c r="H675" s="41">
        <v>0.0</v>
      </c>
    </row>
    <row r="676" ht="15.75" customHeight="1">
      <c r="A676" s="40" t="s">
        <v>28</v>
      </c>
      <c r="B676" s="40" t="s">
        <v>186</v>
      </c>
      <c r="C676" s="40" t="s">
        <v>1062</v>
      </c>
      <c r="D676" s="40" t="s">
        <v>1063</v>
      </c>
      <c r="E676" s="40" t="s">
        <v>1186</v>
      </c>
      <c r="F676" s="41">
        <v>1.0</v>
      </c>
      <c r="G676" s="41">
        <v>49900.0</v>
      </c>
      <c r="H676" s="41">
        <v>9480.0</v>
      </c>
    </row>
    <row r="677" ht="15.75" customHeight="1">
      <c r="A677" s="40" t="s">
        <v>28</v>
      </c>
      <c r="B677" s="40" t="s">
        <v>186</v>
      </c>
      <c r="C677" s="40" t="s">
        <v>1062</v>
      </c>
      <c r="D677" s="40" t="s">
        <v>1063</v>
      </c>
      <c r="E677" s="40" t="s">
        <v>1187</v>
      </c>
      <c r="F677" s="41">
        <v>5.0</v>
      </c>
      <c r="G677" s="41">
        <v>122500.0</v>
      </c>
      <c r="H677" s="41">
        <v>23270.0</v>
      </c>
    </row>
    <row r="678" ht="15.75" customHeight="1">
      <c r="A678" s="40" t="s">
        <v>28</v>
      </c>
      <c r="B678" s="40" t="s">
        <v>186</v>
      </c>
      <c r="C678" s="40" t="s">
        <v>1062</v>
      </c>
      <c r="D678" s="40" t="s">
        <v>1063</v>
      </c>
      <c r="E678" s="40" t="s">
        <v>1188</v>
      </c>
      <c r="F678" s="41">
        <v>15.0</v>
      </c>
      <c r="G678" s="41">
        <v>669300.0</v>
      </c>
      <c r="H678" s="41">
        <v>116830.0</v>
      </c>
    </row>
    <row r="679" ht="15.75" customHeight="1">
      <c r="A679" s="40" t="s">
        <v>28</v>
      </c>
      <c r="B679" s="40" t="s">
        <v>117</v>
      </c>
      <c r="C679" s="40" t="s">
        <v>1189</v>
      </c>
      <c r="D679" s="40" t="s">
        <v>1190</v>
      </c>
      <c r="E679" s="40" t="s">
        <v>1191</v>
      </c>
      <c r="F679" s="41">
        <v>1.0</v>
      </c>
      <c r="G679" s="41">
        <v>8300.0</v>
      </c>
      <c r="H679" s="41">
        <v>1540.0</v>
      </c>
    </row>
    <row r="680" ht="15.75" customHeight="1">
      <c r="A680" s="40" t="s">
        <v>28</v>
      </c>
      <c r="B680" s="40" t="s">
        <v>174</v>
      </c>
      <c r="C680" s="40" t="s">
        <v>1192</v>
      </c>
      <c r="D680" s="40" t="s">
        <v>1193</v>
      </c>
      <c r="E680" s="40" t="s">
        <v>1194</v>
      </c>
      <c r="F680" s="41">
        <v>1310.0</v>
      </c>
      <c r="G680" s="41">
        <v>3.5409E7</v>
      </c>
      <c r="H680" s="41">
        <v>4691220.0</v>
      </c>
    </row>
    <row r="681" ht="15.75" customHeight="1">
      <c r="A681" s="40" t="s">
        <v>28</v>
      </c>
      <c r="B681" s="40" t="s">
        <v>174</v>
      </c>
      <c r="C681" s="40" t="s">
        <v>1192</v>
      </c>
      <c r="D681" s="40" t="s">
        <v>1193</v>
      </c>
      <c r="E681" s="40" t="s">
        <v>1195</v>
      </c>
      <c r="F681" s="41">
        <v>22.0</v>
      </c>
      <c r="G681" s="41">
        <v>493000.0</v>
      </c>
      <c r="H681" s="41">
        <v>65540.0</v>
      </c>
    </row>
    <row r="682" ht="15.75" customHeight="1">
      <c r="A682" s="40" t="s">
        <v>28</v>
      </c>
      <c r="B682" s="40" t="s">
        <v>174</v>
      </c>
      <c r="C682" s="40" t="s">
        <v>1192</v>
      </c>
      <c r="D682" s="40" t="s">
        <v>1193</v>
      </c>
      <c r="E682" s="40" t="s">
        <v>1196</v>
      </c>
      <c r="F682" s="41">
        <v>6.0</v>
      </c>
      <c r="G682" s="41">
        <v>223320.0</v>
      </c>
      <c r="H682" s="41">
        <v>29700.0</v>
      </c>
    </row>
    <row r="683" ht="15.75" customHeight="1">
      <c r="A683" s="40" t="s">
        <v>28</v>
      </c>
      <c r="B683" s="40" t="s">
        <v>174</v>
      </c>
      <c r="C683" s="40" t="s">
        <v>1192</v>
      </c>
      <c r="D683" s="40" t="s">
        <v>1193</v>
      </c>
      <c r="E683" s="40" t="s">
        <v>1197</v>
      </c>
      <c r="F683" s="41">
        <v>0.0</v>
      </c>
      <c r="G683" s="41">
        <v>0.0</v>
      </c>
      <c r="H683" s="41">
        <v>0.0</v>
      </c>
    </row>
    <row r="684" ht="15.75" customHeight="1">
      <c r="A684" s="40" t="s">
        <v>28</v>
      </c>
      <c r="B684" s="40" t="s">
        <v>174</v>
      </c>
      <c r="C684" s="40" t="s">
        <v>1192</v>
      </c>
      <c r="D684" s="40" t="s">
        <v>1193</v>
      </c>
      <c r="E684" s="40" t="s">
        <v>1198</v>
      </c>
      <c r="F684" s="41">
        <v>0.0</v>
      </c>
      <c r="G684" s="41">
        <v>0.0</v>
      </c>
      <c r="H684" s="41">
        <v>0.0</v>
      </c>
    </row>
    <row r="685" ht="15.75" customHeight="1">
      <c r="A685" s="40" t="s">
        <v>28</v>
      </c>
      <c r="B685" s="40" t="s">
        <v>174</v>
      </c>
      <c r="C685" s="40" t="s">
        <v>1192</v>
      </c>
      <c r="D685" s="40" t="s">
        <v>1193</v>
      </c>
      <c r="E685" s="40" t="s">
        <v>1199</v>
      </c>
      <c r="F685" s="41">
        <v>2.0</v>
      </c>
      <c r="G685" s="41">
        <v>0.0</v>
      </c>
      <c r="H685" s="41">
        <v>0.0</v>
      </c>
    </row>
    <row r="686" ht="15.75" customHeight="1">
      <c r="A686" s="40" t="s">
        <v>28</v>
      </c>
      <c r="B686" s="40" t="s">
        <v>174</v>
      </c>
      <c r="C686" s="40" t="s">
        <v>1192</v>
      </c>
      <c r="D686" s="40" t="s">
        <v>1193</v>
      </c>
      <c r="E686" s="40" t="s">
        <v>1200</v>
      </c>
      <c r="F686" s="41">
        <v>0.0</v>
      </c>
      <c r="G686" s="41">
        <v>0.0</v>
      </c>
      <c r="H686" s="41">
        <v>0.0</v>
      </c>
    </row>
    <row r="687" ht="15.75" customHeight="1">
      <c r="A687" s="40" t="s">
        <v>28</v>
      </c>
      <c r="B687" s="40" t="s">
        <v>174</v>
      </c>
      <c r="C687" s="40" t="s">
        <v>1192</v>
      </c>
      <c r="D687" s="40" t="s">
        <v>1193</v>
      </c>
      <c r="E687" s="40" t="s">
        <v>1201</v>
      </c>
      <c r="F687" s="41">
        <v>11.0</v>
      </c>
      <c r="G687" s="41">
        <v>132600.0</v>
      </c>
      <c r="H687" s="41">
        <v>18360.0</v>
      </c>
    </row>
    <row r="688" ht="15.75" customHeight="1">
      <c r="A688" s="40" t="s">
        <v>28</v>
      </c>
      <c r="B688" s="40" t="s">
        <v>174</v>
      </c>
      <c r="C688" s="40" t="s">
        <v>978</v>
      </c>
      <c r="D688" s="40" t="s">
        <v>979</v>
      </c>
      <c r="E688" s="40" t="s">
        <v>1202</v>
      </c>
      <c r="F688" s="41">
        <v>73.0</v>
      </c>
      <c r="G688" s="41">
        <v>2552440.0</v>
      </c>
      <c r="H688" s="41">
        <v>410540.0</v>
      </c>
    </row>
    <row r="689" ht="15.75" customHeight="1">
      <c r="A689" s="40" t="s">
        <v>28</v>
      </c>
      <c r="B689" s="40" t="s">
        <v>174</v>
      </c>
      <c r="C689" s="40" t="s">
        <v>1203</v>
      </c>
      <c r="D689" s="40" t="s">
        <v>1204</v>
      </c>
      <c r="E689" s="40" t="s">
        <v>1205</v>
      </c>
      <c r="F689" s="41">
        <v>936.0</v>
      </c>
      <c r="G689" s="41">
        <v>4.7358E7</v>
      </c>
      <c r="H689" s="41">
        <v>5003480.0</v>
      </c>
    </row>
    <row r="690" ht="15.75" customHeight="1">
      <c r="A690" s="40" t="s">
        <v>28</v>
      </c>
      <c r="B690" s="40" t="s">
        <v>117</v>
      </c>
      <c r="C690" s="40" t="s">
        <v>1206</v>
      </c>
      <c r="D690" s="40" t="s">
        <v>1207</v>
      </c>
      <c r="E690" s="40" t="s">
        <v>1208</v>
      </c>
      <c r="F690" s="41">
        <v>3.0</v>
      </c>
      <c r="G690" s="41">
        <v>143700.0</v>
      </c>
      <c r="H690" s="41">
        <v>27460.0</v>
      </c>
    </row>
    <row r="691" ht="15.75" customHeight="1">
      <c r="A691" s="40" t="s">
        <v>28</v>
      </c>
      <c r="B691" s="40" t="s">
        <v>117</v>
      </c>
      <c r="C691" s="40" t="s">
        <v>1206</v>
      </c>
      <c r="D691" s="40" t="s">
        <v>1207</v>
      </c>
      <c r="E691" s="40" t="s">
        <v>1209</v>
      </c>
      <c r="F691" s="41">
        <v>0.0</v>
      </c>
      <c r="G691" s="41">
        <v>0.0</v>
      </c>
      <c r="H691" s="41">
        <v>0.0</v>
      </c>
    </row>
    <row r="692" ht="15.75" customHeight="1">
      <c r="A692" s="40" t="s">
        <v>28</v>
      </c>
      <c r="B692" s="40" t="s">
        <v>186</v>
      </c>
      <c r="C692" s="40" t="s">
        <v>1210</v>
      </c>
      <c r="D692" s="40" t="s">
        <v>1211</v>
      </c>
      <c r="E692" s="40" t="s">
        <v>1212</v>
      </c>
      <c r="F692" s="41">
        <v>450.0</v>
      </c>
      <c r="G692" s="41">
        <v>1.1934E7</v>
      </c>
      <c r="H692" s="41">
        <v>2267640.0</v>
      </c>
    </row>
    <row r="693" ht="15.75" customHeight="1">
      <c r="A693" s="40" t="s">
        <v>28</v>
      </c>
      <c r="B693" s="40" t="s">
        <v>186</v>
      </c>
      <c r="C693" s="40" t="s">
        <v>1210</v>
      </c>
      <c r="D693" s="40" t="s">
        <v>1211</v>
      </c>
      <c r="E693" s="40" t="s">
        <v>1213</v>
      </c>
      <c r="F693" s="41">
        <v>3.0</v>
      </c>
      <c r="G693" s="41">
        <v>32400.0</v>
      </c>
      <c r="H693" s="41">
        <v>6150.0</v>
      </c>
    </row>
    <row r="694" ht="15.75" customHeight="1">
      <c r="A694" s="40" t="s">
        <v>28</v>
      </c>
      <c r="B694" s="40" t="s">
        <v>186</v>
      </c>
      <c r="C694" s="40" t="s">
        <v>1210</v>
      </c>
      <c r="D694" s="40" t="s">
        <v>1211</v>
      </c>
      <c r="E694" s="40" t="s">
        <v>1214</v>
      </c>
      <c r="F694" s="41">
        <v>15.0</v>
      </c>
      <c r="G694" s="41">
        <v>292000.0</v>
      </c>
      <c r="H694" s="41">
        <v>56910.0</v>
      </c>
    </row>
    <row r="695" ht="15.75" customHeight="1">
      <c r="A695" s="40" t="s">
        <v>28</v>
      </c>
      <c r="B695" s="40" t="s">
        <v>117</v>
      </c>
      <c r="C695" s="40" t="s">
        <v>1210</v>
      </c>
      <c r="D695" s="40" t="s">
        <v>1211</v>
      </c>
      <c r="E695" s="40" t="s">
        <v>1215</v>
      </c>
      <c r="F695" s="41">
        <v>10.0</v>
      </c>
      <c r="G695" s="41">
        <v>340400.0</v>
      </c>
      <c r="H695" s="41">
        <v>60620.0</v>
      </c>
    </row>
    <row r="696" ht="15.75" customHeight="1">
      <c r="A696" s="40" t="s">
        <v>28</v>
      </c>
      <c r="B696" s="40" t="s">
        <v>186</v>
      </c>
      <c r="C696" s="40" t="s">
        <v>1210</v>
      </c>
      <c r="D696" s="40" t="s">
        <v>1211</v>
      </c>
      <c r="E696" s="40" t="s">
        <v>1216</v>
      </c>
      <c r="F696" s="41">
        <v>1.0</v>
      </c>
      <c r="G696" s="41">
        <v>25600.0</v>
      </c>
      <c r="H696" s="41">
        <v>5020.0</v>
      </c>
      <c r="J696" s="47" t="s">
        <v>117</v>
      </c>
      <c r="M696" s="48"/>
    </row>
    <row r="697" ht="15.75" customHeight="1">
      <c r="A697" s="40" t="s">
        <v>28</v>
      </c>
      <c r="B697" s="40" t="s">
        <v>186</v>
      </c>
      <c r="C697" s="40" t="s">
        <v>1210</v>
      </c>
      <c r="D697" s="40" t="s">
        <v>1211</v>
      </c>
      <c r="E697" s="40" t="s">
        <v>1217</v>
      </c>
      <c r="F697" s="41">
        <v>0.0</v>
      </c>
      <c r="G697" s="41">
        <v>0.0</v>
      </c>
      <c r="H697" s="41">
        <v>0.0</v>
      </c>
    </row>
    <row r="698" ht="15.75" customHeight="1">
      <c r="A698" s="40" t="s">
        <v>28</v>
      </c>
      <c r="B698" s="40" t="s">
        <v>186</v>
      </c>
      <c r="C698" s="40" t="s">
        <v>1210</v>
      </c>
      <c r="D698" s="40" t="s">
        <v>1211</v>
      </c>
      <c r="E698" s="40" t="s">
        <v>1218</v>
      </c>
      <c r="F698" s="41">
        <v>0.0</v>
      </c>
      <c r="G698" s="41">
        <v>0.0</v>
      </c>
      <c r="H698" s="41">
        <v>0.0</v>
      </c>
    </row>
    <row r="699" ht="15.75" customHeight="1">
      <c r="A699" s="40" t="s">
        <v>28</v>
      </c>
      <c r="B699" s="40" t="s">
        <v>186</v>
      </c>
      <c r="C699" s="40" t="s">
        <v>1210</v>
      </c>
      <c r="D699" s="40" t="s">
        <v>1211</v>
      </c>
      <c r="E699" s="40" t="s">
        <v>1219</v>
      </c>
      <c r="F699" s="41">
        <v>0.0</v>
      </c>
      <c r="G699" s="41">
        <v>0.0</v>
      </c>
      <c r="H699" s="41">
        <v>0.0</v>
      </c>
    </row>
    <row r="700" ht="15.75" customHeight="1">
      <c r="A700" s="40" t="s">
        <v>28</v>
      </c>
      <c r="B700" s="40" t="s">
        <v>186</v>
      </c>
      <c r="C700" s="40" t="s">
        <v>1210</v>
      </c>
      <c r="D700" s="40" t="s">
        <v>1211</v>
      </c>
      <c r="E700" s="40" t="s">
        <v>1220</v>
      </c>
      <c r="F700" s="41">
        <v>3.0</v>
      </c>
      <c r="G700" s="41">
        <v>90600.0</v>
      </c>
      <c r="H700" s="41">
        <v>15740.0</v>
      </c>
    </row>
    <row r="701" ht="15.75" customHeight="1">
      <c r="A701" s="40" t="s">
        <v>28</v>
      </c>
      <c r="B701" s="40" t="s">
        <v>186</v>
      </c>
      <c r="C701" s="40" t="s">
        <v>1210</v>
      </c>
      <c r="D701" s="40" t="s">
        <v>1211</v>
      </c>
      <c r="E701" s="40" t="s">
        <v>1221</v>
      </c>
      <c r="F701" s="41">
        <v>0.0</v>
      </c>
      <c r="G701" s="41">
        <v>0.0</v>
      </c>
      <c r="H701" s="41">
        <v>0.0</v>
      </c>
    </row>
    <row r="702" ht="15.75" customHeight="1">
      <c r="A702" s="40" t="s">
        <v>28</v>
      </c>
      <c r="B702" s="40" t="s">
        <v>174</v>
      </c>
      <c r="C702" s="40" t="s">
        <v>1222</v>
      </c>
      <c r="D702" s="40" t="s">
        <v>1223</v>
      </c>
      <c r="E702" s="40" t="s">
        <v>1224</v>
      </c>
      <c r="F702" s="41">
        <v>48.0</v>
      </c>
      <c r="G702" s="41">
        <v>1345900.0</v>
      </c>
      <c r="H702" s="41">
        <v>186620.0</v>
      </c>
    </row>
    <row r="703" ht="15.75" customHeight="1">
      <c r="A703" s="40" t="s">
        <v>94</v>
      </c>
      <c r="B703" s="40" t="s">
        <v>117</v>
      </c>
      <c r="C703" s="40" t="s">
        <v>1225</v>
      </c>
      <c r="D703" s="40" t="s">
        <v>1226</v>
      </c>
      <c r="E703" s="40" t="s">
        <v>1227</v>
      </c>
      <c r="F703" s="41">
        <v>527.0</v>
      </c>
      <c r="G703" s="41">
        <v>2.69785E7</v>
      </c>
      <c r="H703" s="41">
        <v>4508743.0</v>
      </c>
    </row>
    <row r="704" ht="15.75" customHeight="1">
      <c r="A704" s="40" t="s">
        <v>94</v>
      </c>
      <c r="B704" s="40" t="s">
        <v>117</v>
      </c>
      <c r="C704" s="40" t="s">
        <v>1228</v>
      </c>
      <c r="D704" s="40" t="s">
        <v>1229</v>
      </c>
      <c r="E704" s="40" t="s">
        <v>1230</v>
      </c>
      <c r="F704" s="41">
        <v>100.0</v>
      </c>
      <c r="G704" s="41">
        <v>4189500.0</v>
      </c>
      <c r="H704" s="41">
        <v>698614.0</v>
      </c>
    </row>
    <row r="705" ht="15.75" customHeight="1">
      <c r="A705" s="40" t="s">
        <v>94</v>
      </c>
      <c r="B705" s="40" t="s">
        <v>117</v>
      </c>
      <c r="C705" s="40" t="s">
        <v>1231</v>
      </c>
      <c r="D705" s="40" t="s">
        <v>1232</v>
      </c>
      <c r="E705" s="40" t="s">
        <v>1233</v>
      </c>
      <c r="F705" s="41">
        <v>205.0</v>
      </c>
      <c r="G705" s="41">
        <v>4601100.0</v>
      </c>
      <c r="H705" s="41">
        <v>521871.0</v>
      </c>
    </row>
    <row r="706" ht="15.75" customHeight="1">
      <c r="A706" s="40" t="s">
        <v>94</v>
      </c>
      <c r="B706" s="40" t="s">
        <v>117</v>
      </c>
      <c r="C706" s="40" t="s">
        <v>1234</v>
      </c>
      <c r="D706" s="40" t="s">
        <v>1235</v>
      </c>
      <c r="E706" s="40" t="s">
        <v>1236</v>
      </c>
      <c r="F706" s="41">
        <v>43.0</v>
      </c>
      <c r="G706" s="41">
        <v>1422700.0</v>
      </c>
      <c r="H706" s="41">
        <v>220460.0</v>
      </c>
    </row>
    <row r="707" ht="15.75" customHeight="1">
      <c r="A707" s="40" t="s">
        <v>94</v>
      </c>
      <c r="B707" s="40" t="s">
        <v>117</v>
      </c>
      <c r="C707" s="40" t="s">
        <v>1237</v>
      </c>
      <c r="D707" s="40" t="s">
        <v>1238</v>
      </c>
      <c r="E707" s="40" t="s">
        <v>1239</v>
      </c>
      <c r="F707" s="41">
        <v>97.0</v>
      </c>
      <c r="G707" s="41">
        <v>1018300.0</v>
      </c>
      <c r="H707" s="41">
        <v>92982.0</v>
      </c>
    </row>
    <row r="708" ht="15.75" customHeight="1">
      <c r="A708" s="40" t="s">
        <v>94</v>
      </c>
      <c r="B708" s="40" t="s">
        <v>117</v>
      </c>
      <c r="C708" s="40" t="s">
        <v>1234</v>
      </c>
      <c r="D708" s="40" t="s">
        <v>1235</v>
      </c>
      <c r="E708" s="40" t="s">
        <v>1240</v>
      </c>
      <c r="F708" s="41">
        <v>47.0</v>
      </c>
      <c r="G708" s="41">
        <v>997200.0</v>
      </c>
      <c r="H708" s="41">
        <v>90627.0</v>
      </c>
    </row>
    <row r="709" ht="15.75" customHeight="1">
      <c r="A709" s="40" t="s">
        <v>94</v>
      </c>
      <c r="B709" s="40" t="s">
        <v>117</v>
      </c>
      <c r="C709" s="40" t="s">
        <v>1234</v>
      </c>
      <c r="D709" s="40" t="s">
        <v>1235</v>
      </c>
      <c r="E709" s="40" t="s">
        <v>1241</v>
      </c>
      <c r="F709" s="41">
        <v>19.0</v>
      </c>
      <c r="G709" s="41">
        <v>653100.0</v>
      </c>
      <c r="H709" s="41">
        <v>87338.0</v>
      </c>
    </row>
    <row r="710" ht="15.75" customHeight="1">
      <c r="A710" s="40" t="s">
        <v>94</v>
      </c>
      <c r="B710" s="40" t="s">
        <v>117</v>
      </c>
      <c r="C710" s="40" t="s">
        <v>1225</v>
      </c>
      <c r="D710" s="40" t="s">
        <v>1226</v>
      </c>
      <c r="E710" s="40" t="s">
        <v>1242</v>
      </c>
      <c r="F710" s="41">
        <v>10.0</v>
      </c>
      <c r="G710" s="41">
        <v>528000.0</v>
      </c>
      <c r="H710" s="41">
        <v>77530.0</v>
      </c>
    </row>
    <row r="711" ht="15.75" customHeight="1">
      <c r="A711" s="40" t="s">
        <v>94</v>
      </c>
      <c r="B711" s="40" t="s">
        <v>117</v>
      </c>
      <c r="C711" s="40" t="s">
        <v>1225</v>
      </c>
      <c r="D711" s="40" t="s">
        <v>1226</v>
      </c>
      <c r="E711" s="40" t="s">
        <v>1243</v>
      </c>
      <c r="F711" s="41">
        <v>21.0</v>
      </c>
      <c r="G711" s="41">
        <v>525000.0</v>
      </c>
      <c r="H711" s="41">
        <v>70000.0</v>
      </c>
    </row>
    <row r="712" ht="15.75" customHeight="1">
      <c r="A712" s="40" t="s">
        <v>94</v>
      </c>
      <c r="B712" s="40" t="s">
        <v>186</v>
      </c>
      <c r="C712" s="40" t="s">
        <v>1244</v>
      </c>
      <c r="D712" s="40" t="s">
        <v>1245</v>
      </c>
      <c r="E712" s="40" t="s">
        <v>1246</v>
      </c>
      <c r="F712" s="41">
        <v>10.0</v>
      </c>
      <c r="G712" s="41">
        <v>361000.0</v>
      </c>
      <c r="H712" s="41">
        <v>58240.0</v>
      </c>
    </row>
    <row r="713" ht="15.75" customHeight="1">
      <c r="A713" s="40" t="s">
        <v>94</v>
      </c>
      <c r="B713" s="40" t="s">
        <v>186</v>
      </c>
      <c r="C713" s="40" t="s">
        <v>1244</v>
      </c>
      <c r="D713" s="40" t="s">
        <v>1245</v>
      </c>
      <c r="E713" s="40" t="s">
        <v>1247</v>
      </c>
      <c r="F713" s="41">
        <v>11.0</v>
      </c>
      <c r="G713" s="41">
        <v>388900.0</v>
      </c>
      <c r="H713" s="41">
        <v>57740.0</v>
      </c>
    </row>
    <row r="714" ht="15.75" customHeight="1">
      <c r="A714" s="40" t="s">
        <v>94</v>
      </c>
      <c r="B714" s="40" t="s">
        <v>186</v>
      </c>
      <c r="C714" s="40" t="s">
        <v>1244</v>
      </c>
      <c r="D714" s="40" t="s">
        <v>1245</v>
      </c>
      <c r="E714" s="40" t="s">
        <v>1248</v>
      </c>
      <c r="F714" s="41">
        <v>5.0</v>
      </c>
      <c r="G714" s="41">
        <v>349500.0</v>
      </c>
      <c r="H714" s="41">
        <v>50000.0</v>
      </c>
    </row>
    <row r="715" ht="15.75" customHeight="1">
      <c r="A715" s="40" t="s">
        <v>94</v>
      </c>
      <c r="B715" s="40" t="s">
        <v>186</v>
      </c>
      <c r="C715" s="40" t="s">
        <v>1249</v>
      </c>
      <c r="D715" s="40" t="s">
        <v>1250</v>
      </c>
      <c r="E715" s="40" t="s">
        <v>1251</v>
      </c>
      <c r="F715" s="41">
        <v>27.0</v>
      </c>
      <c r="G715" s="41">
        <v>403000.0</v>
      </c>
      <c r="H715" s="41">
        <v>41300.0</v>
      </c>
    </row>
    <row r="716" ht="15.75" customHeight="1">
      <c r="A716" s="40" t="s">
        <v>94</v>
      </c>
      <c r="B716" s="40" t="s">
        <v>186</v>
      </c>
      <c r="C716" s="40" t="s">
        <v>1252</v>
      </c>
      <c r="D716" s="40" t="s">
        <v>1253</v>
      </c>
      <c r="E716" s="40" t="s">
        <v>1254</v>
      </c>
      <c r="F716" s="41">
        <v>8.0</v>
      </c>
      <c r="G716" s="41">
        <v>321000.0</v>
      </c>
      <c r="H716" s="41">
        <v>37740.0</v>
      </c>
    </row>
    <row r="717" ht="15.75" customHeight="1">
      <c r="A717" s="40" t="s">
        <v>94</v>
      </c>
      <c r="B717" s="40" t="s">
        <v>186</v>
      </c>
      <c r="C717" s="40" t="s">
        <v>1244</v>
      </c>
      <c r="D717" s="40" t="s">
        <v>1245</v>
      </c>
      <c r="E717" s="40" t="s">
        <v>1255</v>
      </c>
      <c r="F717" s="41">
        <v>10.0</v>
      </c>
      <c r="G717" s="41">
        <v>354600.0</v>
      </c>
      <c r="H717" s="41">
        <v>37260.0</v>
      </c>
    </row>
    <row r="718" ht="15.75" customHeight="1">
      <c r="A718" s="40" t="s">
        <v>94</v>
      </c>
      <c r="B718" s="40" t="s">
        <v>117</v>
      </c>
      <c r="C718" s="40" t="s">
        <v>1256</v>
      </c>
      <c r="D718" s="40" t="s">
        <v>1257</v>
      </c>
      <c r="E718" s="40" t="s">
        <v>1258</v>
      </c>
      <c r="F718" s="41">
        <v>12.0</v>
      </c>
      <c r="G718" s="41">
        <v>221000.0</v>
      </c>
      <c r="H718" s="41">
        <v>35900.0</v>
      </c>
    </row>
    <row r="719" ht="15.75" customHeight="1">
      <c r="A719" s="40" t="s">
        <v>94</v>
      </c>
      <c r="B719" s="40" t="s">
        <v>117</v>
      </c>
      <c r="C719" s="40" t="s">
        <v>1225</v>
      </c>
      <c r="D719" s="40" t="s">
        <v>1226</v>
      </c>
      <c r="E719" s="40" t="s">
        <v>1259</v>
      </c>
      <c r="F719" s="41">
        <v>4.0</v>
      </c>
      <c r="G719" s="41">
        <v>226400.0</v>
      </c>
      <c r="H719" s="41">
        <v>33709.0</v>
      </c>
    </row>
    <row r="720" ht="15.75" customHeight="1">
      <c r="A720" s="40" t="s">
        <v>94</v>
      </c>
      <c r="B720" s="40" t="s">
        <v>186</v>
      </c>
      <c r="C720" s="40" t="s">
        <v>1244</v>
      </c>
      <c r="D720" s="40" t="s">
        <v>1245</v>
      </c>
      <c r="E720" s="40" t="s">
        <v>1260</v>
      </c>
      <c r="F720" s="41">
        <v>6.0</v>
      </c>
      <c r="G720" s="41">
        <v>211400.0</v>
      </c>
      <c r="H720" s="41">
        <v>27901.0</v>
      </c>
    </row>
    <row r="721" ht="15.75" customHeight="1">
      <c r="A721" s="40" t="s">
        <v>94</v>
      </c>
      <c r="B721" s="40" t="s">
        <v>186</v>
      </c>
      <c r="C721" s="40" t="s">
        <v>1261</v>
      </c>
      <c r="D721" s="40" t="s">
        <v>1262</v>
      </c>
      <c r="E721" s="40" t="s">
        <v>1263</v>
      </c>
      <c r="F721" s="41">
        <v>15.0</v>
      </c>
      <c r="G721" s="41">
        <v>264000.0</v>
      </c>
      <c r="H721" s="41">
        <v>27600.0</v>
      </c>
    </row>
    <row r="722" ht="15.75" customHeight="1">
      <c r="A722" s="40" t="s">
        <v>94</v>
      </c>
      <c r="B722" s="40" t="s">
        <v>117</v>
      </c>
      <c r="C722" s="40" t="s">
        <v>1264</v>
      </c>
      <c r="D722" s="40" t="s">
        <v>1265</v>
      </c>
      <c r="E722" s="40" t="s">
        <v>1266</v>
      </c>
      <c r="F722" s="41">
        <v>16.0</v>
      </c>
      <c r="G722" s="41">
        <v>205400.0</v>
      </c>
      <c r="H722" s="41">
        <v>26060.0</v>
      </c>
    </row>
    <row r="723" ht="15.75" customHeight="1">
      <c r="A723" s="40" t="s">
        <v>94</v>
      </c>
      <c r="B723" s="40" t="s">
        <v>186</v>
      </c>
      <c r="C723" s="40" t="s">
        <v>1244</v>
      </c>
      <c r="D723" s="40" t="s">
        <v>1245</v>
      </c>
      <c r="E723" s="40" t="s">
        <v>1267</v>
      </c>
      <c r="F723" s="41">
        <v>7.0</v>
      </c>
      <c r="G723" s="41">
        <v>178500.0</v>
      </c>
      <c r="H723" s="41">
        <v>25500.0</v>
      </c>
    </row>
    <row r="724" ht="15.75" customHeight="1">
      <c r="A724" s="40" t="s">
        <v>94</v>
      </c>
      <c r="B724" s="40" t="s">
        <v>117</v>
      </c>
      <c r="C724" s="40" t="s">
        <v>1268</v>
      </c>
      <c r="D724" s="40" t="s">
        <v>1269</v>
      </c>
      <c r="E724" s="40" t="s">
        <v>1270</v>
      </c>
      <c r="F724" s="41">
        <v>4.0</v>
      </c>
      <c r="G724" s="41">
        <v>93200.0</v>
      </c>
      <c r="H724" s="41">
        <v>18640.0</v>
      </c>
    </row>
    <row r="725" ht="15.75" customHeight="1">
      <c r="A725" s="40" t="s">
        <v>94</v>
      </c>
      <c r="B725" s="40" t="s">
        <v>186</v>
      </c>
      <c r="C725" s="40" t="s">
        <v>1249</v>
      </c>
      <c r="D725" s="40" t="s">
        <v>1250</v>
      </c>
      <c r="E725" s="40" t="s">
        <v>1271</v>
      </c>
      <c r="F725" s="41">
        <v>7.0</v>
      </c>
      <c r="G725" s="41">
        <v>104000.0</v>
      </c>
      <c r="H725" s="41">
        <v>18200.0</v>
      </c>
    </row>
    <row r="726" ht="15.75" customHeight="1">
      <c r="A726" s="40" t="s">
        <v>94</v>
      </c>
      <c r="B726" s="40" t="s">
        <v>117</v>
      </c>
      <c r="C726" s="40" t="s">
        <v>1272</v>
      </c>
      <c r="D726" s="40" t="s">
        <v>1273</v>
      </c>
      <c r="E726" s="40" t="s">
        <v>1274</v>
      </c>
      <c r="F726" s="41">
        <v>7.0</v>
      </c>
      <c r="G726" s="41">
        <v>175000.0</v>
      </c>
      <c r="H726" s="41">
        <v>17800.0</v>
      </c>
    </row>
    <row r="727" ht="15.75" customHeight="1">
      <c r="A727" s="40" t="s">
        <v>94</v>
      </c>
      <c r="B727" s="40" t="s">
        <v>117</v>
      </c>
      <c r="C727" s="40" t="s">
        <v>1275</v>
      </c>
      <c r="D727" s="40" t="s">
        <v>1276</v>
      </c>
      <c r="E727" s="40" t="s">
        <v>1277</v>
      </c>
      <c r="F727" s="41">
        <v>10.0</v>
      </c>
      <c r="G727" s="41">
        <v>150000.0</v>
      </c>
      <c r="H727" s="41">
        <v>15400.0</v>
      </c>
    </row>
    <row r="728" ht="15.75" customHeight="1">
      <c r="A728" s="40" t="s">
        <v>94</v>
      </c>
      <c r="B728" s="40" t="s">
        <v>117</v>
      </c>
      <c r="C728" s="40" t="s">
        <v>1256</v>
      </c>
      <c r="D728" s="40" t="s">
        <v>1257</v>
      </c>
      <c r="E728" s="40" t="s">
        <v>1278</v>
      </c>
      <c r="F728" s="41">
        <v>2.0</v>
      </c>
      <c r="G728" s="41">
        <v>105000.0</v>
      </c>
      <c r="H728" s="41">
        <v>15000.0</v>
      </c>
    </row>
    <row r="729" ht="15.75" customHeight="1">
      <c r="A729" s="40" t="s">
        <v>94</v>
      </c>
      <c r="B729" s="40" t="s">
        <v>186</v>
      </c>
      <c r="C729" s="40" t="s">
        <v>1280</v>
      </c>
      <c r="D729" s="40" t="s">
        <v>1282</v>
      </c>
      <c r="E729" s="40" t="s">
        <v>1283</v>
      </c>
      <c r="F729" s="41">
        <v>3.0</v>
      </c>
      <c r="G729" s="41">
        <v>69700.0</v>
      </c>
      <c r="H729" s="41">
        <v>13899.0</v>
      </c>
    </row>
    <row r="730" ht="15.75" customHeight="1">
      <c r="A730" s="40" t="s">
        <v>94</v>
      </c>
      <c r="B730" s="40" t="s">
        <v>186</v>
      </c>
      <c r="C730" s="40" t="s">
        <v>1249</v>
      </c>
      <c r="D730" s="40" t="s">
        <v>1250</v>
      </c>
      <c r="E730" s="40" t="s">
        <v>1284</v>
      </c>
      <c r="F730" s="41">
        <v>5.0</v>
      </c>
      <c r="G730" s="41">
        <v>78000.0</v>
      </c>
      <c r="H730" s="41">
        <v>13000.0</v>
      </c>
    </row>
    <row r="731" ht="15.75" customHeight="1">
      <c r="A731" s="40" t="s">
        <v>94</v>
      </c>
      <c r="B731" s="40" t="s">
        <v>186</v>
      </c>
      <c r="C731" s="40" t="s">
        <v>1280</v>
      </c>
      <c r="D731" s="40" t="s">
        <v>1282</v>
      </c>
      <c r="E731" s="40" t="s">
        <v>1285</v>
      </c>
      <c r="F731" s="41">
        <v>2.0</v>
      </c>
      <c r="G731" s="41">
        <v>60800.0</v>
      </c>
      <c r="H731" s="41">
        <v>12160.0</v>
      </c>
    </row>
    <row r="732" ht="15.75" customHeight="1">
      <c r="A732" s="40" t="s">
        <v>94</v>
      </c>
      <c r="B732" s="40" t="s">
        <v>117</v>
      </c>
      <c r="C732" s="40" t="s">
        <v>1264</v>
      </c>
      <c r="D732" s="40" t="s">
        <v>1265</v>
      </c>
      <c r="E732" s="40" t="s">
        <v>1286</v>
      </c>
      <c r="F732" s="41">
        <v>6.0</v>
      </c>
      <c r="G732" s="41">
        <v>142800.0</v>
      </c>
      <c r="H732" s="41">
        <v>11152.0</v>
      </c>
    </row>
    <row r="733" ht="15.75" customHeight="1">
      <c r="A733" s="40" t="s">
        <v>94</v>
      </c>
      <c r="B733" s="40" t="s">
        <v>186</v>
      </c>
      <c r="C733" s="40" t="s">
        <v>1244</v>
      </c>
      <c r="D733" s="40" t="s">
        <v>1245</v>
      </c>
      <c r="E733" s="40" t="s">
        <v>1287</v>
      </c>
      <c r="F733" s="41">
        <v>1.0</v>
      </c>
      <c r="G733" s="41">
        <v>58900.0</v>
      </c>
      <c r="H733" s="41">
        <v>10000.0</v>
      </c>
    </row>
    <row r="734" ht="15.75" customHeight="1">
      <c r="A734" s="40" t="s">
        <v>94</v>
      </c>
      <c r="B734" s="40" t="s">
        <v>117</v>
      </c>
      <c r="C734" s="40" t="s">
        <v>1225</v>
      </c>
      <c r="D734" s="40" t="s">
        <v>1226</v>
      </c>
      <c r="E734" s="40" t="s">
        <v>1288</v>
      </c>
      <c r="F734" s="41">
        <v>1.0</v>
      </c>
      <c r="G734" s="41">
        <v>56600.0</v>
      </c>
      <c r="H734" s="41">
        <v>10000.0</v>
      </c>
    </row>
    <row r="735" ht="15.75" customHeight="1">
      <c r="A735" s="40" t="s">
        <v>94</v>
      </c>
      <c r="B735" s="40" t="s">
        <v>186</v>
      </c>
      <c r="C735" s="40" t="s">
        <v>1244</v>
      </c>
      <c r="D735" s="40" t="s">
        <v>1245</v>
      </c>
      <c r="E735" s="40" t="s">
        <v>1289</v>
      </c>
      <c r="F735" s="41">
        <v>1.0</v>
      </c>
      <c r="G735" s="41">
        <v>47900.0</v>
      </c>
      <c r="H735" s="41">
        <v>9580.0</v>
      </c>
    </row>
    <row r="736" ht="15.75" customHeight="1">
      <c r="A736" s="40" t="s">
        <v>94</v>
      </c>
      <c r="B736" s="40" t="s">
        <v>186</v>
      </c>
      <c r="C736" s="40" t="s">
        <v>1244</v>
      </c>
      <c r="D736" s="40" t="s">
        <v>1245</v>
      </c>
      <c r="E736" s="40" t="s">
        <v>1290</v>
      </c>
      <c r="F736" s="41">
        <v>3.0</v>
      </c>
      <c r="G736" s="41">
        <v>70500.0</v>
      </c>
      <c r="H736" s="41">
        <v>9193.0</v>
      </c>
    </row>
    <row r="737" ht="15.75" customHeight="1">
      <c r="A737" s="40" t="s">
        <v>94</v>
      </c>
      <c r="B737" s="40" t="s">
        <v>186</v>
      </c>
      <c r="C737" s="40" t="s">
        <v>1244</v>
      </c>
      <c r="D737" s="40" t="s">
        <v>1245</v>
      </c>
      <c r="E737" s="40" t="s">
        <v>1291</v>
      </c>
      <c r="F737" s="41">
        <v>1.0</v>
      </c>
      <c r="G737" s="41">
        <v>42900.0</v>
      </c>
      <c r="H737" s="41">
        <v>8580.0</v>
      </c>
    </row>
    <row r="738" ht="15.75" customHeight="1">
      <c r="A738" s="40" t="s">
        <v>94</v>
      </c>
      <c r="B738" s="40" t="s">
        <v>186</v>
      </c>
      <c r="C738" s="40" t="s">
        <v>1244</v>
      </c>
      <c r="D738" s="40" t="s">
        <v>1245</v>
      </c>
      <c r="E738" s="40" t="s">
        <v>1292</v>
      </c>
      <c r="F738" s="41">
        <v>1.0</v>
      </c>
      <c r="G738" s="41">
        <v>40900.0</v>
      </c>
      <c r="H738" s="41">
        <v>8180.0</v>
      </c>
    </row>
    <row r="739" ht="15.75" customHeight="1">
      <c r="A739" s="40" t="s">
        <v>94</v>
      </c>
      <c r="B739" s="40" t="s">
        <v>186</v>
      </c>
      <c r="C739" s="40" t="s">
        <v>1295</v>
      </c>
      <c r="D739" s="40" t="s">
        <v>1296</v>
      </c>
      <c r="E739" s="40" t="s">
        <v>1297</v>
      </c>
      <c r="F739" s="41">
        <v>7.0</v>
      </c>
      <c r="G739" s="41">
        <v>54700.0</v>
      </c>
      <c r="H739" s="41">
        <v>7928.0</v>
      </c>
    </row>
    <row r="740" ht="15.75" customHeight="1">
      <c r="A740" s="40" t="s">
        <v>94</v>
      </c>
      <c r="B740" s="40" t="s">
        <v>186</v>
      </c>
      <c r="C740" s="40" t="s">
        <v>1280</v>
      </c>
      <c r="D740" s="40" t="s">
        <v>1282</v>
      </c>
      <c r="E740" s="40" t="s">
        <v>1298</v>
      </c>
      <c r="F740" s="41">
        <v>4.0</v>
      </c>
      <c r="G740" s="41">
        <v>68600.0</v>
      </c>
      <c r="H740" s="41">
        <v>7840.0</v>
      </c>
    </row>
    <row r="741" ht="15.75" customHeight="1">
      <c r="A741" s="40" t="s">
        <v>94</v>
      </c>
      <c r="B741" s="40" t="s">
        <v>186</v>
      </c>
      <c r="C741" s="40" t="s">
        <v>1249</v>
      </c>
      <c r="D741" s="40" t="s">
        <v>1250</v>
      </c>
      <c r="E741" s="40" t="s">
        <v>1299</v>
      </c>
      <c r="F741" s="41">
        <v>3.0</v>
      </c>
      <c r="G741" s="41">
        <v>65000.0</v>
      </c>
      <c r="H741" s="41">
        <v>7800.0</v>
      </c>
    </row>
    <row r="742" ht="15.75" customHeight="1">
      <c r="A742" s="40" t="s">
        <v>94</v>
      </c>
      <c r="B742" s="40" t="s">
        <v>186</v>
      </c>
      <c r="C742" s="40" t="s">
        <v>1280</v>
      </c>
      <c r="D742" s="40" t="s">
        <v>1282</v>
      </c>
      <c r="E742" s="40" t="s">
        <v>1300</v>
      </c>
      <c r="F742" s="41">
        <v>4.0</v>
      </c>
      <c r="G742" s="41">
        <v>98200.0</v>
      </c>
      <c r="H742" s="41">
        <v>7526.0</v>
      </c>
    </row>
    <row r="743" ht="15.75" customHeight="1">
      <c r="A743" s="40" t="s">
        <v>94</v>
      </c>
      <c r="B743" s="40" t="s">
        <v>186</v>
      </c>
      <c r="C743" s="40" t="s">
        <v>1301</v>
      </c>
      <c r="D743" s="40" t="s">
        <v>1302</v>
      </c>
      <c r="E743" s="40" t="s">
        <v>1303</v>
      </c>
      <c r="F743" s="41">
        <v>3.0</v>
      </c>
      <c r="G743" s="41">
        <v>82500.0</v>
      </c>
      <c r="H743" s="41">
        <v>5500.0</v>
      </c>
    </row>
    <row r="744" ht="15.75" customHeight="1">
      <c r="A744" s="40" t="s">
        <v>94</v>
      </c>
      <c r="B744" s="40" t="s">
        <v>186</v>
      </c>
      <c r="C744" s="40" t="s">
        <v>1280</v>
      </c>
      <c r="D744" s="40" t="s">
        <v>1282</v>
      </c>
      <c r="E744" s="40" t="s">
        <v>1305</v>
      </c>
      <c r="F744" s="41">
        <v>2.0</v>
      </c>
      <c r="G744" s="41">
        <v>25600.0</v>
      </c>
      <c r="H744" s="41">
        <v>5120.0</v>
      </c>
    </row>
    <row r="745" ht="15.75" customHeight="1">
      <c r="A745" s="40" t="s">
        <v>94</v>
      </c>
      <c r="B745" s="40" t="s">
        <v>117</v>
      </c>
      <c r="C745" s="40" t="s">
        <v>1264</v>
      </c>
      <c r="D745" s="40" t="s">
        <v>1265</v>
      </c>
      <c r="E745" s="40" t="s">
        <v>1307</v>
      </c>
      <c r="F745" s="41">
        <v>2.0</v>
      </c>
      <c r="G745" s="41">
        <v>25800.0</v>
      </c>
      <c r="H745" s="41">
        <v>4987.0</v>
      </c>
    </row>
    <row r="746" ht="15.75" customHeight="1">
      <c r="A746" s="40" t="s">
        <v>94</v>
      </c>
      <c r="B746" s="40" t="s">
        <v>186</v>
      </c>
      <c r="C746" s="40" t="s">
        <v>1280</v>
      </c>
      <c r="D746" s="40" t="s">
        <v>1282</v>
      </c>
      <c r="E746" s="40" t="s">
        <v>1308</v>
      </c>
      <c r="F746" s="41">
        <v>2.0</v>
      </c>
      <c r="G746" s="41">
        <v>33600.0</v>
      </c>
      <c r="H746" s="41">
        <v>4160.0</v>
      </c>
    </row>
    <row r="747" ht="15.75" customHeight="1">
      <c r="A747" s="40" t="s">
        <v>94</v>
      </c>
      <c r="B747" s="40" t="s">
        <v>186</v>
      </c>
      <c r="C747" s="40" t="s">
        <v>1301</v>
      </c>
      <c r="D747" s="40" t="s">
        <v>1302</v>
      </c>
      <c r="E747" s="40" t="s">
        <v>1309</v>
      </c>
      <c r="F747" s="41">
        <v>1.0</v>
      </c>
      <c r="G747" s="41">
        <v>19900.0</v>
      </c>
      <c r="H747" s="41">
        <v>3980.0</v>
      </c>
    </row>
    <row r="748" ht="15.75" customHeight="1">
      <c r="A748" s="40" t="s">
        <v>94</v>
      </c>
      <c r="B748" s="40" t="s">
        <v>186</v>
      </c>
      <c r="C748" s="40" t="s">
        <v>1280</v>
      </c>
      <c r="D748" s="40" t="s">
        <v>1282</v>
      </c>
      <c r="E748" s="40" t="s">
        <v>1310</v>
      </c>
      <c r="F748" s="41">
        <v>2.0</v>
      </c>
      <c r="G748" s="41">
        <v>35800.0</v>
      </c>
      <c r="H748" s="41">
        <v>3580.0</v>
      </c>
    </row>
    <row r="749" ht="15.75" customHeight="1">
      <c r="A749" s="40" t="s">
        <v>94</v>
      </c>
      <c r="B749" s="40" t="s">
        <v>186</v>
      </c>
      <c r="C749" s="40" t="s">
        <v>1301</v>
      </c>
      <c r="D749" s="40" t="s">
        <v>1302</v>
      </c>
      <c r="E749" s="40" t="s">
        <v>1311</v>
      </c>
      <c r="F749" s="41">
        <v>1.0</v>
      </c>
      <c r="G749" s="41">
        <v>16000.0</v>
      </c>
      <c r="H749" s="41">
        <v>3200.0</v>
      </c>
    </row>
    <row r="750" ht="15.75" customHeight="1">
      <c r="A750" s="40" t="s">
        <v>94</v>
      </c>
      <c r="B750" s="40" t="s">
        <v>186</v>
      </c>
      <c r="C750" s="40" t="s">
        <v>1280</v>
      </c>
      <c r="D750" s="40" t="s">
        <v>1282</v>
      </c>
      <c r="E750" s="40" t="s">
        <v>1312</v>
      </c>
      <c r="F750" s="41">
        <v>1.0</v>
      </c>
      <c r="G750" s="41">
        <v>15900.0</v>
      </c>
      <c r="H750" s="41">
        <v>3180.0</v>
      </c>
    </row>
    <row r="751" ht="15.75" customHeight="1">
      <c r="A751" s="40" t="s">
        <v>94</v>
      </c>
      <c r="B751" s="40" t="s">
        <v>186</v>
      </c>
      <c r="C751" s="40" t="s">
        <v>1280</v>
      </c>
      <c r="D751" s="40" t="s">
        <v>1282</v>
      </c>
      <c r="E751" s="40" t="s">
        <v>1313</v>
      </c>
      <c r="F751" s="41">
        <v>1.0</v>
      </c>
      <c r="G751" s="41">
        <v>15700.0</v>
      </c>
      <c r="H751" s="41">
        <v>3140.0</v>
      </c>
    </row>
    <row r="752" ht="15.75" customHeight="1">
      <c r="A752" s="40" t="s">
        <v>94</v>
      </c>
      <c r="B752" s="40" t="s">
        <v>186</v>
      </c>
      <c r="C752" s="40" t="s">
        <v>1301</v>
      </c>
      <c r="D752" s="40" t="s">
        <v>1302</v>
      </c>
      <c r="E752" s="40" t="s">
        <v>1314</v>
      </c>
      <c r="F752" s="41">
        <v>1.0</v>
      </c>
      <c r="G752" s="41">
        <v>15500.0</v>
      </c>
      <c r="H752" s="41">
        <v>3100.0</v>
      </c>
    </row>
    <row r="753" ht="15.75" customHeight="1">
      <c r="A753" s="40" t="s">
        <v>94</v>
      </c>
      <c r="B753" s="40" t="s">
        <v>186</v>
      </c>
      <c r="C753" s="40" t="s">
        <v>1280</v>
      </c>
      <c r="D753" s="40" t="s">
        <v>1282</v>
      </c>
      <c r="E753" s="40" t="s">
        <v>1315</v>
      </c>
      <c r="F753" s="41">
        <v>2.0</v>
      </c>
      <c r="G753" s="41">
        <v>31000.0</v>
      </c>
      <c r="H753" s="41">
        <v>3100.0</v>
      </c>
    </row>
    <row r="754" ht="15.75" customHeight="1">
      <c r="A754" s="40" t="s">
        <v>94</v>
      </c>
      <c r="B754" s="40" t="s">
        <v>186</v>
      </c>
      <c r="C754" s="40" t="s">
        <v>1249</v>
      </c>
      <c r="D754" s="40" t="s">
        <v>1250</v>
      </c>
      <c r="E754" s="40" t="s">
        <v>1316</v>
      </c>
      <c r="F754" s="41">
        <v>2.0</v>
      </c>
      <c r="G754" s="41">
        <v>26000.0</v>
      </c>
      <c r="H754" s="41">
        <v>2600.0</v>
      </c>
    </row>
    <row r="755" ht="15.75" customHeight="1">
      <c r="A755" s="40" t="s">
        <v>94</v>
      </c>
      <c r="B755" s="40" t="s">
        <v>186</v>
      </c>
      <c r="C755" s="40" t="s">
        <v>1280</v>
      </c>
      <c r="D755" s="40" t="s">
        <v>1282</v>
      </c>
      <c r="E755" s="40" t="s">
        <v>1317</v>
      </c>
      <c r="F755" s="41">
        <v>1.0</v>
      </c>
      <c r="G755" s="41">
        <v>12500.0</v>
      </c>
      <c r="H755" s="41">
        <v>2500.0</v>
      </c>
    </row>
    <row r="756" ht="15.75" customHeight="1">
      <c r="A756" s="40" t="s">
        <v>94</v>
      </c>
      <c r="B756" s="40" t="s">
        <v>117</v>
      </c>
      <c r="C756" s="40" t="s">
        <v>1264</v>
      </c>
      <c r="D756" s="40" t="s">
        <v>1265</v>
      </c>
      <c r="E756" s="40" t="s">
        <v>1318</v>
      </c>
      <c r="F756" s="41">
        <v>2.0</v>
      </c>
      <c r="G756" s="41">
        <v>23800.0</v>
      </c>
      <c r="H756" s="41">
        <v>2380.0</v>
      </c>
    </row>
    <row r="757" ht="15.75" customHeight="1">
      <c r="A757" s="40" t="s">
        <v>94</v>
      </c>
      <c r="B757" s="40" t="s">
        <v>117</v>
      </c>
      <c r="C757" s="40" t="s">
        <v>1264</v>
      </c>
      <c r="D757" s="40" t="s">
        <v>1265</v>
      </c>
      <c r="E757" s="40" t="s">
        <v>1319</v>
      </c>
      <c r="F757" s="41">
        <v>1.0</v>
      </c>
      <c r="G757" s="41">
        <v>10800.0</v>
      </c>
      <c r="H757" s="41">
        <v>2160.0</v>
      </c>
    </row>
    <row r="758" ht="15.75" customHeight="1">
      <c r="A758" s="40" t="s">
        <v>93</v>
      </c>
      <c r="B758" s="40" t="s">
        <v>174</v>
      </c>
      <c r="C758" s="40" t="s">
        <v>220</v>
      </c>
      <c r="D758" s="40" t="s">
        <v>219</v>
      </c>
      <c r="E758" s="40" t="s">
        <v>1320</v>
      </c>
      <c r="F758" s="41">
        <v>92.0</v>
      </c>
      <c r="G758" s="41">
        <v>1980500.0</v>
      </c>
      <c r="H758" s="41">
        <v>58200.0</v>
      </c>
    </row>
    <row r="759" ht="15.75" customHeight="1">
      <c r="A759" s="40" t="s">
        <v>93</v>
      </c>
      <c r="B759" s="46" t="s">
        <v>117</v>
      </c>
      <c r="C759" s="40" t="s">
        <v>504</v>
      </c>
      <c r="D759" s="40" t="s">
        <v>503</v>
      </c>
      <c r="E759" s="40" t="s">
        <v>1321</v>
      </c>
      <c r="F759" s="41">
        <v>4.0</v>
      </c>
      <c r="G759" s="41">
        <v>187600.0</v>
      </c>
      <c r="H759" s="41">
        <v>0.0</v>
      </c>
    </row>
    <row r="760" ht="15.75" customHeight="1">
      <c r="A760" s="40" t="s">
        <v>93</v>
      </c>
      <c r="B760" s="40" t="s">
        <v>186</v>
      </c>
      <c r="C760" s="40" t="s">
        <v>1322</v>
      </c>
      <c r="D760" s="40" t="s">
        <v>1323</v>
      </c>
      <c r="E760" s="40" t="s">
        <v>1324</v>
      </c>
      <c r="F760" s="41">
        <v>14133.0</v>
      </c>
      <c r="G760" s="41">
        <v>1.8325792E8</v>
      </c>
      <c r="H760" s="41">
        <v>6140240.0</v>
      </c>
    </row>
    <row r="761" ht="15.75" customHeight="1">
      <c r="A761" s="40" t="s">
        <v>93</v>
      </c>
      <c r="B761" s="40" t="s">
        <v>117</v>
      </c>
      <c r="C761" s="40" t="s">
        <v>1325</v>
      </c>
      <c r="D761" s="40" t="s">
        <v>1326</v>
      </c>
      <c r="E761" s="40" t="s">
        <v>1327</v>
      </c>
      <c r="F761" s="41">
        <v>1.0</v>
      </c>
      <c r="G761" s="41">
        <v>27000.0</v>
      </c>
      <c r="H761" s="41">
        <v>0.0</v>
      </c>
    </row>
    <row r="762" ht="15.75" customHeight="1">
      <c r="A762" s="40" t="s">
        <v>93</v>
      </c>
      <c r="B762" s="40" t="s">
        <v>117</v>
      </c>
      <c r="C762" s="40" t="s">
        <v>1325</v>
      </c>
      <c r="D762" s="40" t="s">
        <v>1326</v>
      </c>
      <c r="E762" s="40" t="s">
        <v>1328</v>
      </c>
      <c r="F762" s="41">
        <v>2.0</v>
      </c>
      <c r="G762" s="41">
        <v>23400.0</v>
      </c>
      <c r="H762" s="41">
        <v>0.0</v>
      </c>
    </row>
    <row r="763" ht="15.75" customHeight="1">
      <c r="A763" s="42" t="s">
        <v>93</v>
      </c>
      <c r="B763" s="42" t="s">
        <v>174</v>
      </c>
      <c r="C763" s="42" t="s">
        <v>1329</v>
      </c>
      <c r="D763" s="42" t="s">
        <v>1330</v>
      </c>
      <c r="E763" s="42" t="s">
        <v>1331</v>
      </c>
      <c r="F763" s="43">
        <v>2223.0</v>
      </c>
      <c r="G763" s="43">
        <v>5.17962E7</v>
      </c>
      <c r="H763" s="43">
        <v>4893300.0</v>
      </c>
      <c r="I763" s="44"/>
      <c r="J763" s="49" t="s">
        <v>117</v>
      </c>
      <c r="M763" s="48"/>
    </row>
    <row r="764" ht="15.75" customHeight="1">
      <c r="A764" s="40" t="s">
        <v>93</v>
      </c>
      <c r="B764" s="40" t="s">
        <v>174</v>
      </c>
      <c r="C764" s="40" t="s">
        <v>1329</v>
      </c>
      <c r="D764" s="40" t="s">
        <v>1330</v>
      </c>
      <c r="E764" s="40" t="s">
        <v>1332</v>
      </c>
      <c r="F764" s="41">
        <v>3.0</v>
      </c>
      <c r="G764" s="41">
        <v>44700.0</v>
      </c>
      <c r="H764" s="41">
        <v>0.0</v>
      </c>
    </row>
    <row r="765" ht="15.75" customHeight="1">
      <c r="A765" s="40" t="s">
        <v>93</v>
      </c>
      <c r="B765" s="40" t="s">
        <v>174</v>
      </c>
      <c r="C765" s="40" t="s">
        <v>1329</v>
      </c>
      <c r="D765" s="40" t="s">
        <v>1330</v>
      </c>
      <c r="E765" s="40" t="s">
        <v>1333</v>
      </c>
      <c r="F765" s="41">
        <v>86.0</v>
      </c>
      <c r="G765" s="41">
        <v>1486000.0</v>
      </c>
      <c r="H765" s="41">
        <v>134180.0</v>
      </c>
    </row>
    <row r="766" ht="15.75" customHeight="1">
      <c r="A766" s="40" t="s">
        <v>93</v>
      </c>
      <c r="B766" s="40" t="s">
        <v>174</v>
      </c>
      <c r="C766" s="40" t="s">
        <v>1329</v>
      </c>
      <c r="D766" s="40" t="s">
        <v>1330</v>
      </c>
      <c r="E766" s="40" t="s">
        <v>1334</v>
      </c>
      <c r="F766" s="41">
        <v>6.0</v>
      </c>
      <c r="G766" s="41">
        <v>89400.0</v>
      </c>
      <c r="H766" s="41">
        <v>8940.0</v>
      </c>
    </row>
    <row r="767" ht="15.75" customHeight="1">
      <c r="A767" s="40" t="s">
        <v>93</v>
      </c>
      <c r="B767" s="40" t="s">
        <v>174</v>
      </c>
      <c r="C767" s="40" t="s">
        <v>1329</v>
      </c>
      <c r="D767" s="40" t="s">
        <v>1330</v>
      </c>
      <c r="E767" s="40" t="s">
        <v>1335</v>
      </c>
      <c r="F767" s="41">
        <v>5.0</v>
      </c>
      <c r="G767" s="41">
        <v>94500.0</v>
      </c>
      <c r="H767" s="41">
        <v>7560.0</v>
      </c>
    </row>
    <row r="768" ht="15.75" customHeight="1">
      <c r="A768" s="40" t="s">
        <v>93</v>
      </c>
      <c r="B768" s="40" t="s">
        <v>174</v>
      </c>
      <c r="C768" s="40" t="s">
        <v>1329</v>
      </c>
      <c r="D768" s="40" t="s">
        <v>1330</v>
      </c>
      <c r="E768" s="40" t="s">
        <v>1336</v>
      </c>
      <c r="F768" s="41">
        <v>2.0</v>
      </c>
      <c r="G768" s="41">
        <v>65000.0</v>
      </c>
      <c r="H768" s="41">
        <v>6500.0</v>
      </c>
    </row>
    <row r="769" ht="15.75" customHeight="1">
      <c r="A769" s="40" t="s">
        <v>93</v>
      </c>
      <c r="B769" s="40" t="s">
        <v>174</v>
      </c>
      <c r="C769" s="40" t="s">
        <v>1329</v>
      </c>
      <c r="D769" s="40" t="s">
        <v>1330</v>
      </c>
      <c r="E769" s="40" t="s">
        <v>1337</v>
      </c>
      <c r="F769" s="41">
        <v>9.0</v>
      </c>
      <c r="G769" s="41">
        <v>134100.0</v>
      </c>
      <c r="H769" s="41">
        <v>11920.0</v>
      </c>
    </row>
    <row r="770" ht="15.75" customHeight="1">
      <c r="A770" s="40" t="s">
        <v>93</v>
      </c>
      <c r="B770" s="40" t="s">
        <v>117</v>
      </c>
      <c r="C770" s="40" t="s">
        <v>1338</v>
      </c>
      <c r="D770" s="40" t="s">
        <v>1339</v>
      </c>
      <c r="E770" s="40" t="s">
        <v>1340</v>
      </c>
      <c r="F770" s="41">
        <v>0.0</v>
      </c>
      <c r="G770" s="41">
        <v>0.0</v>
      </c>
      <c r="H770" s="41">
        <v>0.0</v>
      </c>
    </row>
    <row r="771" ht="15.75" customHeight="1">
      <c r="A771" s="40" t="s">
        <v>93</v>
      </c>
      <c r="B771" s="40" t="s">
        <v>117</v>
      </c>
      <c r="C771" s="40" t="s">
        <v>1338</v>
      </c>
      <c r="D771" s="40" t="s">
        <v>1339</v>
      </c>
      <c r="E771" s="40" t="s">
        <v>1341</v>
      </c>
      <c r="F771" s="41">
        <v>0.0</v>
      </c>
      <c r="G771" s="41">
        <v>0.0</v>
      </c>
      <c r="H771" s="41">
        <v>0.0</v>
      </c>
    </row>
    <row r="772" ht="15.75" customHeight="1">
      <c r="A772" s="40" t="s">
        <v>93</v>
      </c>
      <c r="B772" s="40" t="s">
        <v>117</v>
      </c>
      <c r="C772" s="40" t="s">
        <v>1338</v>
      </c>
      <c r="D772" s="40" t="s">
        <v>1339</v>
      </c>
      <c r="E772" s="40" t="s">
        <v>1342</v>
      </c>
      <c r="F772" s="41">
        <v>0.0</v>
      </c>
      <c r="G772" s="41">
        <v>0.0</v>
      </c>
      <c r="H772" s="41">
        <v>0.0</v>
      </c>
    </row>
    <row r="773" ht="15.75" customHeight="1">
      <c r="A773" s="40" t="s">
        <v>93</v>
      </c>
      <c r="B773" s="40" t="s">
        <v>174</v>
      </c>
      <c r="C773" s="40" t="s">
        <v>1343</v>
      </c>
      <c r="D773" s="40" t="s">
        <v>1344</v>
      </c>
      <c r="E773" s="40" t="s">
        <v>1345</v>
      </c>
      <c r="F773" s="41">
        <v>986.0</v>
      </c>
      <c r="G773" s="41">
        <v>2.65234E7</v>
      </c>
      <c r="H773" s="41">
        <v>2009080.0</v>
      </c>
    </row>
    <row r="774" ht="15.75" customHeight="1">
      <c r="A774" s="42" t="s">
        <v>93</v>
      </c>
      <c r="B774" s="42" t="s">
        <v>117</v>
      </c>
      <c r="C774" s="42" t="s">
        <v>1343</v>
      </c>
      <c r="D774" s="42" t="s">
        <v>1344</v>
      </c>
      <c r="E774" s="42" t="s">
        <v>1346</v>
      </c>
      <c r="F774" s="43">
        <v>2.0</v>
      </c>
      <c r="G774" s="43">
        <v>73800.0</v>
      </c>
      <c r="H774" s="43">
        <v>0.0</v>
      </c>
      <c r="I774" s="44"/>
      <c r="J774" s="49" t="s">
        <v>174</v>
      </c>
      <c r="M774" s="48"/>
    </row>
    <row r="775" ht="15.75" customHeight="1">
      <c r="A775" s="40" t="s">
        <v>93</v>
      </c>
      <c r="B775" s="40" t="s">
        <v>117</v>
      </c>
      <c r="C775" s="40" t="s">
        <v>1343</v>
      </c>
      <c r="D775" s="40" t="s">
        <v>1344</v>
      </c>
      <c r="E775" s="40" t="s">
        <v>1347</v>
      </c>
      <c r="F775" s="41">
        <v>0.0</v>
      </c>
      <c r="G775" s="41">
        <v>0.0</v>
      </c>
      <c r="H775" s="41">
        <v>0.0</v>
      </c>
    </row>
    <row r="776" ht="15.75" customHeight="1">
      <c r="A776" s="40" t="s">
        <v>93</v>
      </c>
      <c r="B776" s="40" t="s">
        <v>117</v>
      </c>
      <c r="C776" s="40" t="s">
        <v>1343</v>
      </c>
      <c r="D776" s="40" t="s">
        <v>1344</v>
      </c>
      <c r="E776" s="40" t="s">
        <v>1348</v>
      </c>
      <c r="F776" s="41">
        <v>0.0</v>
      </c>
      <c r="G776" s="41">
        <v>0.0</v>
      </c>
      <c r="H776" s="41">
        <v>0.0</v>
      </c>
    </row>
    <row r="777" ht="15.75" customHeight="1">
      <c r="A777" s="40" t="s">
        <v>93</v>
      </c>
      <c r="B777" s="40" t="s">
        <v>117</v>
      </c>
      <c r="C777" s="40" t="s">
        <v>1343</v>
      </c>
      <c r="D777" s="40" t="s">
        <v>1344</v>
      </c>
      <c r="E777" s="40" t="s">
        <v>1349</v>
      </c>
      <c r="F777" s="41">
        <v>1.0</v>
      </c>
      <c r="G777" s="41">
        <v>18900.0</v>
      </c>
      <c r="H777" s="41">
        <v>0.0</v>
      </c>
    </row>
    <row r="778" ht="15.75" customHeight="1">
      <c r="A778" s="40" t="s">
        <v>93</v>
      </c>
      <c r="B778" s="40" t="s">
        <v>117</v>
      </c>
      <c r="C778" s="40" t="s">
        <v>1343</v>
      </c>
      <c r="D778" s="40" t="s">
        <v>1344</v>
      </c>
      <c r="E778" s="40" t="s">
        <v>1350</v>
      </c>
      <c r="F778" s="41">
        <v>0.0</v>
      </c>
      <c r="G778" s="41">
        <v>0.0</v>
      </c>
      <c r="H778" s="41">
        <v>0.0</v>
      </c>
    </row>
    <row r="779" ht="15.75" customHeight="1">
      <c r="A779" s="40" t="s">
        <v>93</v>
      </c>
      <c r="B779" s="40" t="s">
        <v>117</v>
      </c>
      <c r="C779" s="40" t="s">
        <v>1351</v>
      </c>
      <c r="D779" s="40" t="s">
        <v>1352</v>
      </c>
      <c r="E779" s="40" t="s">
        <v>1353</v>
      </c>
      <c r="F779" s="41">
        <v>0.0</v>
      </c>
      <c r="G779" s="41">
        <v>0.0</v>
      </c>
      <c r="H779" s="41">
        <v>0.0</v>
      </c>
    </row>
    <row r="780" ht="15.75" customHeight="1">
      <c r="A780" s="40" t="s">
        <v>93</v>
      </c>
      <c r="B780" s="40" t="s">
        <v>117</v>
      </c>
      <c r="C780" s="40" t="s">
        <v>1351</v>
      </c>
      <c r="D780" s="40" t="s">
        <v>1352</v>
      </c>
      <c r="E780" s="40" t="s">
        <v>1354</v>
      </c>
      <c r="F780" s="41">
        <v>0.0</v>
      </c>
      <c r="G780" s="41">
        <v>0.0</v>
      </c>
      <c r="H780" s="41">
        <v>0.0</v>
      </c>
    </row>
    <row r="781" ht="15.75" customHeight="1">
      <c r="A781" s="40" t="s">
        <v>93</v>
      </c>
      <c r="B781" s="40" t="s">
        <v>117</v>
      </c>
      <c r="C781" s="40" t="s">
        <v>1351</v>
      </c>
      <c r="D781" s="40" t="s">
        <v>1352</v>
      </c>
      <c r="E781" s="40" t="s">
        <v>1355</v>
      </c>
      <c r="F781" s="41">
        <v>0.0</v>
      </c>
      <c r="G781" s="41">
        <v>0.0</v>
      </c>
      <c r="H781" s="41">
        <v>0.0</v>
      </c>
    </row>
    <row r="782" ht="15.75" customHeight="1">
      <c r="A782" s="40" t="s">
        <v>93</v>
      </c>
      <c r="B782" s="40" t="s">
        <v>117</v>
      </c>
      <c r="C782" s="40" t="s">
        <v>1351</v>
      </c>
      <c r="D782" s="40" t="s">
        <v>1352</v>
      </c>
      <c r="E782" s="40" t="s">
        <v>1356</v>
      </c>
      <c r="F782" s="41">
        <v>0.0</v>
      </c>
      <c r="G782" s="41">
        <v>0.0</v>
      </c>
      <c r="H782" s="41">
        <v>0.0</v>
      </c>
    </row>
    <row r="783" ht="15.75" customHeight="1">
      <c r="A783" s="40" t="s">
        <v>93</v>
      </c>
      <c r="B783" s="40" t="s">
        <v>117</v>
      </c>
      <c r="C783" s="40" t="s">
        <v>1351</v>
      </c>
      <c r="D783" s="40" t="s">
        <v>1352</v>
      </c>
      <c r="E783" s="40" t="s">
        <v>1357</v>
      </c>
      <c r="F783" s="41">
        <v>0.0</v>
      </c>
      <c r="G783" s="41">
        <v>0.0</v>
      </c>
      <c r="H783" s="41">
        <v>0.0</v>
      </c>
    </row>
    <row r="784" ht="15.75" customHeight="1">
      <c r="A784" s="40" t="s">
        <v>93</v>
      </c>
      <c r="B784" s="40" t="s">
        <v>117</v>
      </c>
      <c r="C784" s="40" t="s">
        <v>1351</v>
      </c>
      <c r="D784" s="40" t="s">
        <v>1352</v>
      </c>
      <c r="E784" s="40" t="s">
        <v>1358</v>
      </c>
      <c r="F784" s="41">
        <v>0.0</v>
      </c>
      <c r="G784" s="41">
        <v>0.0</v>
      </c>
      <c r="H784" s="41">
        <v>0.0</v>
      </c>
    </row>
    <row r="785" ht="15.75" customHeight="1">
      <c r="A785" s="40" t="s">
        <v>93</v>
      </c>
      <c r="B785" s="40" t="s">
        <v>117</v>
      </c>
      <c r="C785" s="40" t="s">
        <v>1351</v>
      </c>
      <c r="D785" s="40" t="s">
        <v>1352</v>
      </c>
      <c r="E785" s="40" t="s">
        <v>1359</v>
      </c>
      <c r="F785" s="41">
        <v>0.0</v>
      </c>
      <c r="G785" s="41">
        <v>0.0</v>
      </c>
      <c r="H785" s="41">
        <v>0.0</v>
      </c>
    </row>
    <row r="786" ht="15.75" customHeight="1">
      <c r="A786" s="40" t="s">
        <v>93</v>
      </c>
      <c r="B786" s="40" t="s">
        <v>117</v>
      </c>
      <c r="C786" s="40" t="s">
        <v>1351</v>
      </c>
      <c r="D786" s="40" t="s">
        <v>1352</v>
      </c>
      <c r="E786" s="40" t="s">
        <v>1360</v>
      </c>
      <c r="F786" s="41">
        <v>0.0</v>
      </c>
      <c r="G786" s="41">
        <v>0.0</v>
      </c>
      <c r="H786" s="41">
        <v>0.0</v>
      </c>
    </row>
    <row r="787" ht="15.75" customHeight="1">
      <c r="A787" s="40" t="s">
        <v>93</v>
      </c>
      <c r="B787" s="40" t="s">
        <v>186</v>
      </c>
      <c r="C787" s="40" t="s">
        <v>1351</v>
      </c>
      <c r="D787" s="40" t="s">
        <v>1352</v>
      </c>
      <c r="E787" s="40" t="s">
        <v>1361</v>
      </c>
      <c r="F787" s="41">
        <v>2.0</v>
      </c>
      <c r="G787" s="41">
        <v>74000.0</v>
      </c>
      <c r="H787" s="41">
        <v>7400.0</v>
      </c>
      <c r="J787" s="51" t="s">
        <v>117</v>
      </c>
      <c r="M787" s="48"/>
    </row>
    <row r="788" ht="15.75" customHeight="1">
      <c r="A788" s="40" t="s">
        <v>93</v>
      </c>
      <c r="B788" s="40" t="s">
        <v>186</v>
      </c>
      <c r="C788" s="40" t="s">
        <v>1351</v>
      </c>
      <c r="D788" s="40" t="s">
        <v>1352</v>
      </c>
      <c r="E788" s="40" t="s">
        <v>1361</v>
      </c>
      <c r="F788" s="41">
        <v>0.0</v>
      </c>
      <c r="G788" s="41">
        <v>0.0</v>
      </c>
      <c r="H788" s="41">
        <v>0.0</v>
      </c>
    </row>
    <row r="789" ht="15.75" customHeight="1">
      <c r="A789" s="40" t="s">
        <v>93</v>
      </c>
      <c r="B789" s="40" t="s">
        <v>186</v>
      </c>
      <c r="C789" s="40" t="s">
        <v>1351</v>
      </c>
      <c r="D789" s="40" t="s">
        <v>1352</v>
      </c>
      <c r="E789" s="40" t="s">
        <v>1362</v>
      </c>
      <c r="F789" s="41">
        <v>0.0</v>
      </c>
      <c r="G789" s="41">
        <v>0.0</v>
      </c>
      <c r="H789" s="41">
        <v>0.0</v>
      </c>
    </row>
    <row r="790" ht="15.75" customHeight="1">
      <c r="A790" s="40" t="s">
        <v>93</v>
      </c>
      <c r="B790" s="40" t="s">
        <v>186</v>
      </c>
      <c r="C790" s="40" t="s">
        <v>1351</v>
      </c>
      <c r="D790" s="40" t="s">
        <v>1352</v>
      </c>
      <c r="E790" s="40" t="s">
        <v>1363</v>
      </c>
      <c r="F790" s="41">
        <v>2.0</v>
      </c>
      <c r="G790" s="41">
        <v>64000.0</v>
      </c>
      <c r="H790" s="41">
        <v>6400.0</v>
      </c>
    </row>
    <row r="791" ht="15.75" customHeight="1">
      <c r="A791" s="40" t="s">
        <v>93</v>
      </c>
      <c r="B791" s="40" t="s">
        <v>186</v>
      </c>
      <c r="C791" s="40" t="s">
        <v>1364</v>
      </c>
      <c r="D791" s="40" t="s">
        <v>1365</v>
      </c>
      <c r="E791" s="40" t="s">
        <v>1366</v>
      </c>
      <c r="F791" s="41">
        <v>9.0</v>
      </c>
      <c r="G791" s="41">
        <v>384300.0</v>
      </c>
      <c r="H791" s="41">
        <v>16680.0</v>
      </c>
    </row>
    <row r="792" ht="15.75" customHeight="1">
      <c r="A792" s="40" t="s">
        <v>93</v>
      </c>
      <c r="B792" s="40" t="s">
        <v>117</v>
      </c>
      <c r="C792" s="40" t="s">
        <v>1367</v>
      </c>
      <c r="D792" s="40" t="s">
        <v>1368</v>
      </c>
      <c r="E792" s="40" t="s">
        <v>1369</v>
      </c>
      <c r="F792" s="41">
        <v>459.0</v>
      </c>
      <c r="G792" s="41">
        <v>1.06488E7</v>
      </c>
      <c r="H792" s="41">
        <v>983680.0</v>
      </c>
    </row>
    <row r="793" ht="15.75" customHeight="1">
      <c r="A793" s="40" t="s">
        <v>93</v>
      </c>
      <c r="B793" s="40" t="s">
        <v>117</v>
      </c>
      <c r="C793" s="40" t="s">
        <v>1370</v>
      </c>
      <c r="D793" s="40" t="s">
        <v>1371</v>
      </c>
      <c r="E793" s="40" t="s">
        <v>1372</v>
      </c>
      <c r="F793" s="41">
        <v>9.0</v>
      </c>
      <c r="G793" s="41">
        <v>180900.0</v>
      </c>
      <c r="H793" s="41">
        <v>0.0</v>
      </c>
    </row>
    <row r="794" ht="15.75" customHeight="1">
      <c r="A794" s="40" t="s">
        <v>93</v>
      </c>
      <c r="B794" s="40" t="s">
        <v>117</v>
      </c>
      <c r="C794" s="40" t="s">
        <v>1370</v>
      </c>
      <c r="D794" s="40" t="s">
        <v>1371</v>
      </c>
      <c r="E794" s="40" t="s">
        <v>1373</v>
      </c>
      <c r="F794" s="41">
        <v>1275.0</v>
      </c>
      <c r="G794" s="41">
        <v>5.42677E7</v>
      </c>
      <c r="H794" s="41">
        <v>4836400.0</v>
      </c>
    </row>
    <row r="795" ht="15.75" customHeight="1">
      <c r="A795" s="40" t="s">
        <v>93</v>
      </c>
      <c r="B795" s="40" t="s">
        <v>117</v>
      </c>
      <c r="C795" s="40" t="s">
        <v>1370</v>
      </c>
      <c r="D795" s="40" t="s">
        <v>1371</v>
      </c>
      <c r="E795" s="40" t="s">
        <v>1374</v>
      </c>
      <c r="F795" s="41">
        <v>5.0</v>
      </c>
      <c r="G795" s="41">
        <v>398000.0</v>
      </c>
      <c r="H795" s="41">
        <v>0.0</v>
      </c>
    </row>
    <row r="796" ht="15.75" customHeight="1">
      <c r="A796" s="40" t="s">
        <v>93</v>
      </c>
      <c r="B796" s="40" t="s">
        <v>117</v>
      </c>
      <c r="C796" s="40" t="s">
        <v>1370</v>
      </c>
      <c r="D796" s="40" t="s">
        <v>1371</v>
      </c>
      <c r="E796" s="40" t="s">
        <v>1375</v>
      </c>
      <c r="F796" s="41">
        <v>0.0</v>
      </c>
      <c r="G796" s="41">
        <v>0.0</v>
      </c>
      <c r="H796" s="41">
        <v>0.0</v>
      </c>
    </row>
    <row r="797" ht="15.75" customHeight="1">
      <c r="A797" s="40" t="s">
        <v>93</v>
      </c>
      <c r="B797" s="40" t="s">
        <v>117</v>
      </c>
      <c r="C797" s="40" t="s">
        <v>1370</v>
      </c>
      <c r="D797" s="40" t="s">
        <v>1371</v>
      </c>
      <c r="E797" s="40" t="s">
        <v>1376</v>
      </c>
      <c r="F797" s="41">
        <v>3.0</v>
      </c>
      <c r="G797" s="41">
        <v>73900.0</v>
      </c>
      <c r="H797" s="41">
        <v>0.0</v>
      </c>
    </row>
    <row r="798" ht="15.75" customHeight="1">
      <c r="A798" s="40" t="s">
        <v>93</v>
      </c>
      <c r="B798" s="40" t="s">
        <v>117</v>
      </c>
      <c r="C798" s="40" t="s">
        <v>1370</v>
      </c>
      <c r="D798" s="40" t="s">
        <v>1371</v>
      </c>
      <c r="E798" s="40" t="s">
        <v>1377</v>
      </c>
      <c r="F798" s="41">
        <v>26.0</v>
      </c>
      <c r="G798" s="41">
        <v>1129600.0</v>
      </c>
      <c r="H798" s="41">
        <v>0.0</v>
      </c>
    </row>
    <row r="799" ht="15.75" customHeight="1">
      <c r="A799" s="40" t="s">
        <v>93</v>
      </c>
      <c r="B799" s="40" t="s">
        <v>117</v>
      </c>
      <c r="C799" s="40" t="s">
        <v>1370</v>
      </c>
      <c r="D799" s="40" t="s">
        <v>1371</v>
      </c>
      <c r="E799" s="40" t="s">
        <v>1378</v>
      </c>
      <c r="F799" s="41">
        <v>2.0</v>
      </c>
      <c r="G799" s="41">
        <v>169000.0</v>
      </c>
      <c r="H799" s="41">
        <v>0.0</v>
      </c>
    </row>
    <row r="800" ht="15.75" customHeight="1">
      <c r="A800" s="40" t="s">
        <v>93</v>
      </c>
      <c r="B800" s="40" t="s">
        <v>117</v>
      </c>
      <c r="C800" s="40" t="s">
        <v>1370</v>
      </c>
      <c r="D800" s="40" t="s">
        <v>1371</v>
      </c>
      <c r="E800" s="40" t="s">
        <v>1379</v>
      </c>
      <c r="F800" s="41">
        <v>10.0</v>
      </c>
      <c r="G800" s="41">
        <v>215000.0</v>
      </c>
      <c r="H800" s="41">
        <v>0.0</v>
      </c>
    </row>
    <row r="801" ht="15.75" customHeight="1">
      <c r="A801" s="40" t="s">
        <v>93</v>
      </c>
      <c r="B801" s="40" t="s">
        <v>117</v>
      </c>
      <c r="C801" s="40" t="s">
        <v>1370</v>
      </c>
      <c r="D801" s="40" t="s">
        <v>1371</v>
      </c>
      <c r="E801" s="40" t="s">
        <v>1380</v>
      </c>
      <c r="F801" s="41">
        <v>3.0</v>
      </c>
      <c r="G801" s="41">
        <v>138700.0</v>
      </c>
      <c r="H801" s="41">
        <v>0.0</v>
      </c>
    </row>
    <row r="802" ht="15.75" customHeight="1">
      <c r="A802" s="40" t="s">
        <v>93</v>
      </c>
      <c r="B802" s="40" t="s">
        <v>117</v>
      </c>
      <c r="C802" s="40" t="s">
        <v>1370</v>
      </c>
      <c r="D802" s="40" t="s">
        <v>1371</v>
      </c>
      <c r="E802" s="40" t="s">
        <v>1381</v>
      </c>
      <c r="F802" s="41">
        <v>1.0</v>
      </c>
      <c r="G802" s="41">
        <v>85000.0</v>
      </c>
      <c r="H802" s="41">
        <v>0.0</v>
      </c>
    </row>
    <row r="803" ht="15.75" customHeight="1">
      <c r="A803" s="40" t="s">
        <v>93</v>
      </c>
      <c r="B803" s="40" t="s">
        <v>186</v>
      </c>
      <c r="C803" s="40" t="s">
        <v>1382</v>
      </c>
      <c r="D803" s="40" t="s">
        <v>1383</v>
      </c>
      <c r="E803" s="40" t="s">
        <v>1384</v>
      </c>
      <c r="F803" s="41">
        <v>420.0</v>
      </c>
      <c r="G803" s="41">
        <v>2.18968E7</v>
      </c>
      <c r="H803" s="41">
        <v>1570000.0</v>
      </c>
    </row>
    <row r="804" ht="15.75" customHeight="1">
      <c r="A804" s="40" t="s">
        <v>93</v>
      </c>
      <c r="B804" s="40" t="s">
        <v>186</v>
      </c>
      <c r="C804" s="40" t="s">
        <v>1382</v>
      </c>
      <c r="D804" s="40" t="s">
        <v>1383</v>
      </c>
      <c r="E804" s="40" t="s">
        <v>1385</v>
      </c>
      <c r="F804" s="41">
        <v>60.0</v>
      </c>
      <c r="G804" s="41">
        <v>1951400.0</v>
      </c>
      <c r="H804" s="41">
        <v>6400.0</v>
      </c>
    </row>
    <row r="805" ht="15.75" customHeight="1">
      <c r="A805" s="40" t="s">
        <v>93</v>
      </c>
      <c r="B805" s="40" t="s">
        <v>186</v>
      </c>
      <c r="C805" s="40" t="s">
        <v>1382</v>
      </c>
      <c r="D805" s="40" t="s">
        <v>1383</v>
      </c>
      <c r="E805" s="40" t="s">
        <v>1386</v>
      </c>
      <c r="F805" s="41">
        <v>11.0</v>
      </c>
      <c r="G805" s="41">
        <v>266200.0</v>
      </c>
      <c r="H805" s="41">
        <v>9680.0</v>
      </c>
    </row>
    <row r="806" ht="15.75" customHeight="1">
      <c r="A806" s="40" t="s">
        <v>93</v>
      </c>
      <c r="B806" s="40" t="s">
        <v>186</v>
      </c>
      <c r="C806" s="40" t="s">
        <v>1382</v>
      </c>
      <c r="D806" s="40" t="s">
        <v>1383</v>
      </c>
      <c r="E806" s="40" t="s">
        <v>1387</v>
      </c>
      <c r="F806" s="41">
        <v>31.0</v>
      </c>
      <c r="G806" s="41">
        <v>1329900.0</v>
      </c>
      <c r="H806" s="41">
        <v>25740.0</v>
      </c>
    </row>
    <row r="807" ht="15.75" customHeight="1">
      <c r="A807" s="40" t="s">
        <v>93</v>
      </c>
      <c r="B807" s="40" t="s">
        <v>186</v>
      </c>
      <c r="C807" s="40" t="s">
        <v>1382</v>
      </c>
      <c r="D807" s="40" t="s">
        <v>1383</v>
      </c>
      <c r="E807" s="40" t="s">
        <v>1388</v>
      </c>
      <c r="F807" s="41">
        <v>103.0</v>
      </c>
      <c r="G807" s="41">
        <v>2298100.0</v>
      </c>
      <c r="H807" s="41">
        <v>47300.0</v>
      </c>
    </row>
    <row r="808" ht="15.75" customHeight="1">
      <c r="A808" s="40" t="s">
        <v>93</v>
      </c>
      <c r="B808" s="40" t="s">
        <v>186</v>
      </c>
      <c r="C808" s="40" t="s">
        <v>1382</v>
      </c>
      <c r="D808" s="40" t="s">
        <v>1383</v>
      </c>
      <c r="E808" s="40" t="s">
        <v>1389</v>
      </c>
      <c r="F808" s="41">
        <v>6.0</v>
      </c>
      <c r="G808" s="41">
        <v>120400.0</v>
      </c>
      <c r="H808" s="41">
        <v>8400.0</v>
      </c>
    </row>
    <row r="809" ht="15.75" customHeight="1">
      <c r="A809" s="40" t="s">
        <v>93</v>
      </c>
      <c r="B809" s="40" t="s">
        <v>186</v>
      </c>
      <c r="C809" s="40" t="s">
        <v>1382</v>
      </c>
      <c r="D809" s="40" t="s">
        <v>1383</v>
      </c>
      <c r="E809" s="40" t="s">
        <v>1390</v>
      </c>
      <c r="F809" s="41">
        <v>0.0</v>
      </c>
      <c r="G809" s="41">
        <v>0.0</v>
      </c>
      <c r="H809" s="41">
        <v>0.0</v>
      </c>
    </row>
    <row r="810" ht="15.75" customHeight="1">
      <c r="A810" s="40" t="s">
        <v>93</v>
      </c>
      <c r="B810" s="40" t="s">
        <v>186</v>
      </c>
      <c r="C810" s="40" t="s">
        <v>1382</v>
      </c>
      <c r="D810" s="40" t="s">
        <v>1383</v>
      </c>
      <c r="E810" s="40" t="s">
        <v>1393</v>
      </c>
      <c r="F810" s="41">
        <v>1.0</v>
      </c>
      <c r="G810" s="41">
        <v>35200.0</v>
      </c>
      <c r="H810" s="41">
        <v>0.0</v>
      </c>
    </row>
    <row r="811" ht="15.75" customHeight="1">
      <c r="A811" s="40" t="s">
        <v>93</v>
      </c>
      <c r="B811" s="40" t="s">
        <v>186</v>
      </c>
      <c r="C811" s="40" t="s">
        <v>1382</v>
      </c>
      <c r="D811" s="40" t="s">
        <v>1383</v>
      </c>
      <c r="E811" s="40" t="s">
        <v>1394</v>
      </c>
      <c r="F811" s="41">
        <v>1.0</v>
      </c>
      <c r="G811" s="41">
        <v>26400.0</v>
      </c>
      <c r="H811" s="41">
        <v>0.0</v>
      </c>
    </row>
    <row r="812" ht="15.75" customHeight="1">
      <c r="A812" s="40" t="s">
        <v>93</v>
      </c>
      <c r="B812" s="40" t="s">
        <v>117</v>
      </c>
      <c r="C812" s="40" t="s">
        <v>1395</v>
      </c>
      <c r="D812" s="40" t="s">
        <v>1396</v>
      </c>
      <c r="E812" s="40" t="s">
        <v>1397</v>
      </c>
      <c r="F812" s="41">
        <v>0.0</v>
      </c>
      <c r="G812" s="41">
        <v>0.0</v>
      </c>
      <c r="H812" s="41">
        <v>0.0</v>
      </c>
    </row>
    <row r="813" ht="15.75" customHeight="1">
      <c r="A813" s="40" t="s">
        <v>93</v>
      </c>
      <c r="B813" s="40" t="s">
        <v>117</v>
      </c>
      <c r="C813" s="40" t="s">
        <v>1395</v>
      </c>
      <c r="D813" s="40" t="s">
        <v>1396</v>
      </c>
      <c r="E813" s="40" t="s">
        <v>1398</v>
      </c>
      <c r="F813" s="41">
        <v>9.0</v>
      </c>
      <c r="G813" s="41">
        <v>684000.0</v>
      </c>
      <c r="H813" s="41">
        <v>0.0</v>
      </c>
    </row>
    <row r="814" ht="15.75" customHeight="1">
      <c r="A814" s="40" t="s">
        <v>93</v>
      </c>
      <c r="B814" s="40" t="s">
        <v>117</v>
      </c>
      <c r="C814" s="40" t="s">
        <v>1395</v>
      </c>
      <c r="D814" s="40" t="s">
        <v>1396</v>
      </c>
      <c r="E814" s="40" t="s">
        <v>1399</v>
      </c>
      <c r="F814" s="41">
        <v>44.0</v>
      </c>
      <c r="G814" s="41">
        <v>3339600.0</v>
      </c>
      <c r="H814" s="41">
        <v>30000.0</v>
      </c>
    </row>
    <row r="815" ht="15.75" customHeight="1">
      <c r="A815" s="40" t="s">
        <v>93</v>
      </c>
      <c r="B815" s="40" t="s">
        <v>117</v>
      </c>
      <c r="C815" s="40" t="s">
        <v>1395</v>
      </c>
      <c r="D815" s="40" t="s">
        <v>1396</v>
      </c>
      <c r="E815" s="40" t="s">
        <v>1400</v>
      </c>
      <c r="F815" s="41">
        <v>922.0</v>
      </c>
      <c r="G815" s="41">
        <v>3.6884E7</v>
      </c>
      <c r="H815" s="41">
        <v>3074000.0</v>
      </c>
    </row>
    <row r="816" ht="15.75" customHeight="1">
      <c r="A816" s="40" t="s">
        <v>93</v>
      </c>
      <c r="B816" s="40" t="s">
        <v>117</v>
      </c>
      <c r="C816" s="40" t="s">
        <v>1395</v>
      </c>
      <c r="D816" s="40" t="s">
        <v>1396</v>
      </c>
      <c r="E816" s="40" t="s">
        <v>1401</v>
      </c>
      <c r="F816" s="41">
        <v>15.0</v>
      </c>
      <c r="G816" s="41">
        <v>595500.0</v>
      </c>
      <c r="H816" s="41">
        <v>23820.0</v>
      </c>
    </row>
    <row r="817" ht="15.75" customHeight="1">
      <c r="A817" s="40" t="s">
        <v>93</v>
      </c>
      <c r="B817" s="40" t="s">
        <v>117</v>
      </c>
      <c r="C817" s="40" t="s">
        <v>1395</v>
      </c>
      <c r="D817" s="40" t="s">
        <v>1396</v>
      </c>
      <c r="E817" s="40" t="s">
        <v>1402</v>
      </c>
      <c r="F817" s="41">
        <v>2.0</v>
      </c>
      <c r="G817" s="41">
        <v>149200.0</v>
      </c>
      <c r="H817" s="41">
        <v>0.0</v>
      </c>
    </row>
    <row r="818" ht="15.75" customHeight="1">
      <c r="A818" s="40" t="s">
        <v>93</v>
      </c>
      <c r="B818" s="40" t="s">
        <v>117</v>
      </c>
      <c r="C818" s="40" t="s">
        <v>1395</v>
      </c>
      <c r="D818" s="40" t="s">
        <v>1396</v>
      </c>
      <c r="E818" s="40" t="s">
        <v>1403</v>
      </c>
      <c r="F818" s="41">
        <v>350.0</v>
      </c>
      <c r="G818" s="41">
        <v>2.67041E7</v>
      </c>
      <c r="H818" s="41">
        <v>1590000.0</v>
      </c>
    </row>
    <row r="819" ht="15.75" customHeight="1">
      <c r="A819" s="40" t="s">
        <v>93</v>
      </c>
      <c r="B819" s="40" t="s">
        <v>117</v>
      </c>
      <c r="C819" s="40" t="s">
        <v>1395</v>
      </c>
      <c r="D819" s="40" t="s">
        <v>1396</v>
      </c>
      <c r="E819" s="40" t="s">
        <v>1404</v>
      </c>
      <c r="F819" s="41">
        <v>4.0</v>
      </c>
      <c r="G819" s="41">
        <v>279200.0</v>
      </c>
      <c r="H819" s="41">
        <v>0.0</v>
      </c>
    </row>
    <row r="820" ht="15.75" customHeight="1">
      <c r="A820" s="40" t="s">
        <v>93</v>
      </c>
      <c r="B820" s="40" t="s">
        <v>117</v>
      </c>
      <c r="C820" s="40" t="s">
        <v>1395</v>
      </c>
      <c r="D820" s="40" t="s">
        <v>1396</v>
      </c>
      <c r="E820" s="40" t="s">
        <v>1405</v>
      </c>
      <c r="F820" s="41">
        <v>7.0</v>
      </c>
      <c r="G820" s="41">
        <v>488600.0</v>
      </c>
      <c r="H820" s="41">
        <v>0.0</v>
      </c>
    </row>
    <row r="821" ht="15.75" customHeight="1">
      <c r="A821" s="40" t="s">
        <v>93</v>
      </c>
      <c r="B821" s="40" t="s">
        <v>117</v>
      </c>
      <c r="C821" s="40" t="s">
        <v>1395</v>
      </c>
      <c r="D821" s="40" t="s">
        <v>1396</v>
      </c>
      <c r="E821" s="40" t="s">
        <v>1406</v>
      </c>
      <c r="F821" s="41">
        <v>43.0</v>
      </c>
      <c r="G821" s="41">
        <v>1591000.0</v>
      </c>
      <c r="H821" s="41">
        <v>148000.0</v>
      </c>
    </row>
    <row r="822" ht="15.75" customHeight="1">
      <c r="A822" s="40" t="s">
        <v>93</v>
      </c>
      <c r="B822" s="40" t="s">
        <v>117</v>
      </c>
      <c r="C822" s="40" t="s">
        <v>1395</v>
      </c>
      <c r="D822" s="40" t="s">
        <v>1396</v>
      </c>
      <c r="E822" s="40" t="s">
        <v>1407</v>
      </c>
      <c r="F822" s="41">
        <v>0.0</v>
      </c>
      <c r="G822" s="41">
        <v>0.0</v>
      </c>
      <c r="H822" s="41">
        <v>0.0</v>
      </c>
    </row>
    <row r="823" ht="15.75" customHeight="1">
      <c r="A823" s="40" t="s">
        <v>93</v>
      </c>
      <c r="B823" s="40" t="s">
        <v>117</v>
      </c>
      <c r="C823" s="40" t="s">
        <v>1395</v>
      </c>
      <c r="D823" s="40" t="s">
        <v>1396</v>
      </c>
      <c r="E823" s="40" t="s">
        <v>1408</v>
      </c>
      <c r="F823" s="41">
        <v>20.0</v>
      </c>
      <c r="G823" s="41">
        <v>1420000.0</v>
      </c>
      <c r="H823" s="41">
        <v>90000.0</v>
      </c>
    </row>
    <row r="824" ht="15.75" customHeight="1">
      <c r="A824" s="40" t="s">
        <v>93</v>
      </c>
      <c r="B824" s="40" t="s">
        <v>117</v>
      </c>
      <c r="C824" s="40" t="s">
        <v>1395</v>
      </c>
      <c r="D824" s="40" t="s">
        <v>1396</v>
      </c>
      <c r="E824" s="40" t="s">
        <v>1411</v>
      </c>
      <c r="F824" s="41">
        <v>6.0</v>
      </c>
      <c r="G824" s="41">
        <v>412800.0</v>
      </c>
      <c r="H824" s="41">
        <v>10000.0</v>
      </c>
    </row>
    <row r="825" ht="15.75" customHeight="1">
      <c r="A825" s="40" t="s">
        <v>93</v>
      </c>
      <c r="B825" s="40" t="s">
        <v>117</v>
      </c>
      <c r="C825" s="40" t="s">
        <v>1412</v>
      </c>
      <c r="D825" s="40" t="s">
        <v>1413</v>
      </c>
      <c r="E825" s="40" t="s">
        <v>1414</v>
      </c>
      <c r="F825" s="41">
        <v>7.0</v>
      </c>
      <c r="G825" s="41">
        <v>624900.0</v>
      </c>
      <c r="H825" s="41">
        <v>30000.0</v>
      </c>
    </row>
    <row r="826" ht="15.75" customHeight="1">
      <c r="A826" s="40" t="s">
        <v>93</v>
      </c>
      <c r="B826" s="40" t="s">
        <v>117</v>
      </c>
      <c r="C826" s="40" t="s">
        <v>1412</v>
      </c>
      <c r="D826" s="40" t="s">
        <v>1413</v>
      </c>
      <c r="E826" s="40" t="s">
        <v>1415</v>
      </c>
      <c r="F826" s="41">
        <v>0.0</v>
      </c>
      <c r="G826" s="41">
        <v>0.0</v>
      </c>
      <c r="H826" s="41">
        <v>0.0</v>
      </c>
    </row>
    <row r="827" ht="15.75" customHeight="1">
      <c r="A827" s="40" t="s">
        <v>93</v>
      </c>
      <c r="B827" s="40" t="s">
        <v>117</v>
      </c>
      <c r="C827" s="40" t="s">
        <v>1412</v>
      </c>
      <c r="D827" s="40" t="s">
        <v>1413</v>
      </c>
      <c r="E827" s="40" t="s">
        <v>1416</v>
      </c>
      <c r="F827" s="41">
        <v>6.0</v>
      </c>
      <c r="G827" s="41">
        <v>275000.0</v>
      </c>
      <c r="H827" s="41">
        <v>18080.0</v>
      </c>
    </row>
    <row r="828" ht="15.75" customHeight="1">
      <c r="A828" s="40" t="s">
        <v>93</v>
      </c>
      <c r="B828" s="40" t="s">
        <v>117</v>
      </c>
      <c r="C828" s="40" t="s">
        <v>1412</v>
      </c>
      <c r="D828" s="40" t="s">
        <v>1413</v>
      </c>
      <c r="E828" s="40" t="s">
        <v>1417</v>
      </c>
      <c r="F828" s="41">
        <v>0.0</v>
      </c>
      <c r="G828" s="41">
        <v>0.0</v>
      </c>
      <c r="H828" s="41">
        <v>0.0</v>
      </c>
    </row>
    <row r="829" ht="15.75" customHeight="1">
      <c r="A829" s="40" t="s">
        <v>93</v>
      </c>
      <c r="B829" s="40" t="s">
        <v>117</v>
      </c>
      <c r="C829" s="40" t="s">
        <v>1412</v>
      </c>
      <c r="D829" s="40" t="s">
        <v>1413</v>
      </c>
      <c r="E829" s="40" t="s">
        <v>1418</v>
      </c>
      <c r="F829" s="41">
        <v>0.0</v>
      </c>
      <c r="G829" s="41">
        <v>0.0</v>
      </c>
      <c r="H829" s="41">
        <v>0.0</v>
      </c>
    </row>
    <row r="830" ht="15.75" customHeight="1">
      <c r="A830" s="40" t="s">
        <v>93</v>
      </c>
      <c r="B830" s="40" t="s">
        <v>117</v>
      </c>
      <c r="C830" s="40" t="s">
        <v>1412</v>
      </c>
      <c r="D830" s="40" t="s">
        <v>1413</v>
      </c>
      <c r="E830" s="40" t="s">
        <v>1419</v>
      </c>
      <c r="F830" s="41">
        <v>1.0</v>
      </c>
      <c r="G830" s="41">
        <v>57300.0</v>
      </c>
      <c r="H830" s="41">
        <v>0.0</v>
      </c>
    </row>
    <row r="831" ht="15.75" customHeight="1">
      <c r="A831" s="40" t="s">
        <v>93</v>
      </c>
      <c r="B831" s="40" t="s">
        <v>117</v>
      </c>
      <c r="C831" s="40" t="s">
        <v>1412</v>
      </c>
      <c r="D831" s="40" t="s">
        <v>1413</v>
      </c>
      <c r="E831" s="40" t="s">
        <v>1420</v>
      </c>
      <c r="F831" s="41">
        <v>0.0</v>
      </c>
      <c r="G831" s="41">
        <v>0.0</v>
      </c>
      <c r="H831" s="41">
        <v>0.0</v>
      </c>
    </row>
    <row r="832" ht="15.75" customHeight="1">
      <c r="A832" s="40" t="s">
        <v>93</v>
      </c>
      <c r="B832" s="40" t="s">
        <v>117</v>
      </c>
      <c r="C832" s="40" t="s">
        <v>1412</v>
      </c>
      <c r="D832" s="40" t="s">
        <v>1413</v>
      </c>
      <c r="E832" s="40" t="s">
        <v>1421</v>
      </c>
      <c r="F832" s="41">
        <v>6.0</v>
      </c>
      <c r="G832" s="41">
        <v>225600.0</v>
      </c>
      <c r="H832" s="41">
        <v>22560.0</v>
      </c>
    </row>
    <row r="833" ht="15.75" customHeight="1">
      <c r="A833" s="40" t="s">
        <v>93</v>
      </c>
      <c r="B833" s="40" t="s">
        <v>117</v>
      </c>
      <c r="C833" s="40" t="s">
        <v>1412</v>
      </c>
      <c r="D833" s="40" t="s">
        <v>1413</v>
      </c>
      <c r="E833" s="40" t="s">
        <v>1422</v>
      </c>
      <c r="F833" s="41">
        <v>286.0</v>
      </c>
      <c r="G833" s="41">
        <v>2.04302E7</v>
      </c>
      <c r="H833" s="41">
        <v>1420000.0</v>
      </c>
    </row>
    <row r="834" ht="15.75" customHeight="1">
      <c r="A834" s="40" t="s">
        <v>93</v>
      </c>
      <c r="B834" s="40" t="s">
        <v>117</v>
      </c>
      <c r="C834" s="40" t="s">
        <v>1423</v>
      </c>
      <c r="D834" s="40" t="s">
        <v>1424</v>
      </c>
      <c r="E834" s="40" t="s">
        <v>1425</v>
      </c>
      <c r="F834" s="41">
        <v>351.0</v>
      </c>
      <c r="G834" s="41">
        <v>6401260.0</v>
      </c>
      <c r="H834" s="41">
        <v>580800.0</v>
      </c>
    </row>
    <row r="835" ht="15.75" customHeight="1">
      <c r="A835" s="40" t="s">
        <v>93</v>
      </c>
      <c r="B835" s="40" t="s">
        <v>117</v>
      </c>
      <c r="C835" s="40" t="s">
        <v>1423</v>
      </c>
      <c r="D835" s="40" t="s">
        <v>1424</v>
      </c>
      <c r="E835" s="40" t="s">
        <v>1425</v>
      </c>
      <c r="F835" s="41">
        <v>6.0</v>
      </c>
      <c r="G835" s="41">
        <v>100640.0</v>
      </c>
      <c r="H835" s="41">
        <v>10060.0</v>
      </c>
    </row>
    <row r="836" ht="15.75" customHeight="1">
      <c r="A836" s="40" t="s">
        <v>93</v>
      </c>
      <c r="B836" s="40" t="s">
        <v>117</v>
      </c>
      <c r="C836" s="40" t="s">
        <v>1423</v>
      </c>
      <c r="D836" s="40" t="s">
        <v>1424</v>
      </c>
      <c r="E836" s="40" t="s">
        <v>1426</v>
      </c>
      <c r="F836" s="41">
        <v>0.0</v>
      </c>
      <c r="G836" s="41">
        <v>0.0</v>
      </c>
      <c r="H836" s="41">
        <v>0.0</v>
      </c>
    </row>
    <row r="837" ht="15.75" customHeight="1">
      <c r="A837" s="40" t="s">
        <v>93</v>
      </c>
      <c r="B837" s="40" t="s">
        <v>117</v>
      </c>
      <c r="C837" s="40" t="s">
        <v>1427</v>
      </c>
      <c r="D837" s="40" t="s">
        <v>1428</v>
      </c>
      <c r="E837" s="40" t="s">
        <v>1429</v>
      </c>
      <c r="F837" s="41">
        <v>40.0</v>
      </c>
      <c r="G837" s="41">
        <v>694400.0</v>
      </c>
      <c r="H837" s="41">
        <v>3470.0</v>
      </c>
    </row>
    <row r="838" ht="15.75" customHeight="1">
      <c r="A838" s="40" t="s">
        <v>93</v>
      </c>
      <c r="B838" s="40" t="s">
        <v>186</v>
      </c>
      <c r="C838" s="40" t="s">
        <v>1427</v>
      </c>
      <c r="D838" s="40" t="s">
        <v>1428</v>
      </c>
      <c r="E838" s="40" t="s">
        <v>1430</v>
      </c>
      <c r="F838" s="41">
        <v>4.0</v>
      </c>
      <c r="G838" s="41">
        <v>95200.0</v>
      </c>
      <c r="H838" s="41">
        <v>4760.0</v>
      </c>
    </row>
    <row r="839" ht="15.75" customHeight="1">
      <c r="A839" s="40" t="s">
        <v>93</v>
      </c>
      <c r="B839" s="40" t="s">
        <v>186</v>
      </c>
      <c r="C839" s="40" t="s">
        <v>1427</v>
      </c>
      <c r="D839" s="40" t="s">
        <v>1428</v>
      </c>
      <c r="E839" s="40" t="s">
        <v>1431</v>
      </c>
      <c r="F839" s="41">
        <v>0.0</v>
      </c>
      <c r="G839" s="41">
        <v>0.0</v>
      </c>
      <c r="H839" s="41">
        <v>0.0</v>
      </c>
    </row>
    <row r="840" ht="15.75" customHeight="1">
      <c r="A840" s="40" t="s">
        <v>93</v>
      </c>
      <c r="B840" s="40" t="s">
        <v>117</v>
      </c>
      <c r="C840" s="40" t="s">
        <v>1427</v>
      </c>
      <c r="D840" s="40" t="s">
        <v>1428</v>
      </c>
      <c r="E840" s="40" t="s">
        <v>1432</v>
      </c>
      <c r="F840" s="41">
        <v>12.0</v>
      </c>
      <c r="G840" s="41">
        <v>382920.0</v>
      </c>
      <c r="H840" s="41">
        <v>19140.0</v>
      </c>
    </row>
    <row r="841" ht="15.75" customHeight="1">
      <c r="A841" s="40" t="s">
        <v>93</v>
      </c>
      <c r="B841" s="40" t="s">
        <v>117</v>
      </c>
      <c r="C841" s="40" t="s">
        <v>1427</v>
      </c>
      <c r="D841" s="40" t="s">
        <v>1428</v>
      </c>
      <c r="E841" s="40" t="s">
        <v>1433</v>
      </c>
      <c r="F841" s="41">
        <v>0.0</v>
      </c>
      <c r="G841" s="41">
        <v>0.0</v>
      </c>
      <c r="H841" s="41">
        <v>0.0</v>
      </c>
    </row>
    <row r="842" ht="15.75" customHeight="1">
      <c r="A842" s="40" t="s">
        <v>93</v>
      </c>
      <c r="B842" s="40" t="s">
        <v>117</v>
      </c>
      <c r="C842" s="40" t="s">
        <v>1427</v>
      </c>
      <c r="D842" s="40" t="s">
        <v>1428</v>
      </c>
      <c r="E842" s="40" t="s">
        <v>1434</v>
      </c>
      <c r="F842" s="41">
        <v>16.0</v>
      </c>
      <c r="G842" s="41">
        <v>508960.0</v>
      </c>
      <c r="H842" s="41">
        <v>6360.0</v>
      </c>
    </row>
    <row r="843" ht="15.75" customHeight="1">
      <c r="A843" s="40" t="s">
        <v>93</v>
      </c>
      <c r="B843" s="40" t="s">
        <v>117</v>
      </c>
      <c r="C843" s="40" t="s">
        <v>1427</v>
      </c>
      <c r="D843" s="40" t="s">
        <v>1428</v>
      </c>
      <c r="E843" s="40" t="s">
        <v>1435</v>
      </c>
      <c r="F843" s="41">
        <v>12.0</v>
      </c>
      <c r="G843" s="41">
        <v>357600.0</v>
      </c>
      <c r="H843" s="41">
        <v>27880.0</v>
      </c>
    </row>
    <row r="844" ht="15.75" customHeight="1">
      <c r="A844" s="40" t="s">
        <v>93</v>
      </c>
      <c r="B844" s="40" t="s">
        <v>117</v>
      </c>
      <c r="C844" s="40" t="s">
        <v>1427</v>
      </c>
      <c r="D844" s="40" t="s">
        <v>1428</v>
      </c>
      <c r="E844" s="40" t="s">
        <v>1436</v>
      </c>
      <c r="F844" s="41">
        <v>2.0</v>
      </c>
      <c r="G844" s="41">
        <v>37000.0</v>
      </c>
      <c r="H844" s="41">
        <v>0.0</v>
      </c>
    </row>
    <row r="845" ht="15.75" customHeight="1">
      <c r="A845" s="40" t="s">
        <v>93</v>
      </c>
      <c r="B845" s="40" t="s">
        <v>117</v>
      </c>
      <c r="C845" s="40" t="s">
        <v>1427</v>
      </c>
      <c r="D845" s="40" t="s">
        <v>1428</v>
      </c>
      <c r="E845" s="40" t="s">
        <v>1437</v>
      </c>
      <c r="F845" s="41">
        <v>6.0</v>
      </c>
      <c r="G845" s="41">
        <v>262800.0</v>
      </c>
      <c r="H845" s="41">
        <v>0.0</v>
      </c>
    </row>
    <row r="846" ht="15.75" customHeight="1">
      <c r="A846" s="40" t="s">
        <v>93</v>
      </c>
      <c r="B846" s="40" t="s">
        <v>117</v>
      </c>
      <c r="C846" s="40" t="s">
        <v>1427</v>
      </c>
      <c r="D846" s="40" t="s">
        <v>1428</v>
      </c>
      <c r="E846" s="40" t="s">
        <v>1438</v>
      </c>
      <c r="F846" s="41">
        <v>0.0</v>
      </c>
      <c r="G846" s="41">
        <v>0.0</v>
      </c>
      <c r="H846" s="41">
        <v>0.0</v>
      </c>
    </row>
    <row r="847" ht="15.75" customHeight="1">
      <c r="A847" s="40" t="s">
        <v>93</v>
      </c>
      <c r="B847" s="40" t="s">
        <v>117</v>
      </c>
      <c r="C847" s="40" t="s">
        <v>1427</v>
      </c>
      <c r="D847" s="40" t="s">
        <v>1428</v>
      </c>
      <c r="E847" s="40" t="s">
        <v>1439</v>
      </c>
      <c r="F847" s="41">
        <v>7.0</v>
      </c>
      <c r="G847" s="41">
        <v>107940.0</v>
      </c>
      <c r="H847" s="41">
        <v>6160.0</v>
      </c>
    </row>
    <row r="848" ht="15.75" customHeight="1">
      <c r="A848" s="40" t="s">
        <v>93</v>
      </c>
      <c r="B848" s="40" t="s">
        <v>117</v>
      </c>
      <c r="C848" s="40" t="s">
        <v>1427</v>
      </c>
      <c r="D848" s="40" t="s">
        <v>1428</v>
      </c>
      <c r="E848" s="40" t="s">
        <v>1440</v>
      </c>
      <c r="F848" s="41">
        <v>0.0</v>
      </c>
      <c r="G848" s="41">
        <v>0.0</v>
      </c>
      <c r="H848" s="41">
        <v>0.0</v>
      </c>
    </row>
    <row r="849" ht="15.75" customHeight="1">
      <c r="A849" s="40" t="s">
        <v>93</v>
      </c>
      <c r="B849" s="40" t="s">
        <v>117</v>
      </c>
      <c r="C849" s="40" t="s">
        <v>1427</v>
      </c>
      <c r="D849" s="40" t="s">
        <v>1428</v>
      </c>
      <c r="E849" s="40" t="s">
        <v>1441</v>
      </c>
      <c r="F849" s="41">
        <v>0.0</v>
      </c>
      <c r="G849" s="41">
        <v>0.0</v>
      </c>
      <c r="H849" s="41">
        <v>0.0</v>
      </c>
    </row>
    <row r="850" ht="15.75" customHeight="1">
      <c r="A850" s="40" t="s">
        <v>93</v>
      </c>
      <c r="B850" s="40" t="s">
        <v>117</v>
      </c>
      <c r="C850" s="40" t="s">
        <v>1427</v>
      </c>
      <c r="D850" s="40" t="s">
        <v>1428</v>
      </c>
      <c r="E850" s="40" t="s">
        <v>1442</v>
      </c>
      <c r="F850" s="41">
        <v>0.0</v>
      </c>
      <c r="G850" s="41">
        <v>0.0</v>
      </c>
      <c r="H850" s="41">
        <v>0.0</v>
      </c>
    </row>
    <row r="851" ht="15.75" customHeight="1">
      <c r="A851" s="40" t="s">
        <v>93</v>
      </c>
      <c r="B851" s="40" t="s">
        <v>117</v>
      </c>
      <c r="C851" s="40" t="s">
        <v>1427</v>
      </c>
      <c r="D851" s="40" t="s">
        <v>1428</v>
      </c>
      <c r="E851" s="40" t="s">
        <v>1443</v>
      </c>
      <c r="F851" s="41">
        <v>0.0</v>
      </c>
      <c r="G851" s="41">
        <v>0.0</v>
      </c>
      <c r="H851" s="41">
        <v>0.0</v>
      </c>
    </row>
    <row r="852" ht="15.75" customHeight="1">
      <c r="A852" s="40" t="s">
        <v>93</v>
      </c>
      <c r="B852" s="40" t="s">
        <v>117</v>
      </c>
      <c r="C852" s="40" t="s">
        <v>1427</v>
      </c>
      <c r="D852" s="40" t="s">
        <v>1428</v>
      </c>
      <c r="E852" s="40" t="s">
        <v>1444</v>
      </c>
      <c r="F852" s="41">
        <v>0.0</v>
      </c>
      <c r="G852" s="41">
        <v>0.0</v>
      </c>
      <c r="H852" s="41">
        <v>0.0</v>
      </c>
    </row>
    <row r="853" ht="15.75" customHeight="1">
      <c r="A853" s="40" t="s">
        <v>93</v>
      </c>
      <c r="B853" s="40" t="s">
        <v>117</v>
      </c>
      <c r="C853" s="40" t="s">
        <v>1427</v>
      </c>
      <c r="D853" s="40" t="s">
        <v>1428</v>
      </c>
      <c r="E853" s="40" t="s">
        <v>1445</v>
      </c>
      <c r="F853" s="41">
        <v>0.0</v>
      </c>
      <c r="G853" s="41">
        <v>0.0</v>
      </c>
      <c r="H853" s="41">
        <v>0.0</v>
      </c>
    </row>
    <row r="854" ht="15.75" customHeight="1">
      <c r="A854" s="40" t="s">
        <v>93</v>
      </c>
      <c r="B854" s="40" t="s">
        <v>117</v>
      </c>
      <c r="C854" s="40" t="s">
        <v>1427</v>
      </c>
      <c r="D854" s="40" t="s">
        <v>1428</v>
      </c>
      <c r="E854" s="40" t="s">
        <v>1446</v>
      </c>
      <c r="F854" s="41">
        <v>0.0</v>
      </c>
      <c r="G854" s="41">
        <v>0.0</v>
      </c>
      <c r="H854" s="41">
        <v>0.0</v>
      </c>
    </row>
    <row r="855" ht="15.75" customHeight="1">
      <c r="A855" s="40" t="s">
        <v>93</v>
      </c>
      <c r="B855" s="40" t="s">
        <v>117</v>
      </c>
      <c r="C855" s="40" t="s">
        <v>1427</v>
      </c>
      <c r="D855" s="40" t="s">
        <v>1428</v>
      </c>
      <c r="E855" s="40" t="s">
        <v>1447</v>
      </c>
      <c r="F855" s="41">
        <v>0.0</v>
      </c>
      <c r="G855" s="41">
        <v>0.0</v>
      </c>
      <c r="H855" s="41">
        <v>0.0</v>
      </c>
    </row>
    <row r="856" ht="15.75" customHeight="1">
      <c r="A856" s="40" t="s">
        <v>93</v>
      </c>
      <c r="B856" s="40" t="s">
        <v>117</v>
      </c>
      <c r="C856" s="40" t="s">
        <v>1427</v>
      </c>
      <c r="D856" s="40" t="s">
        <v>1428</v>
      </c>
      <c r="E856" s="40" t="s">
        <v>1448</v>
      </c>
      <c r="F856" s="41">
        <v>0.0</v>
      </c>
      <c r="G856" s="41">
        <v>0.0</v>
      </c>
      <c r="H856" s="41">
        <v>0.0</v>
      </c>
    </row>
    <row r="857" ht="15.75" customHeight="1">
      <c r="A857" s="40" t="s">
        <v>93</v>
      </c>
      <c r="B857" s="40" t="s">
        <v>117</v>
      </c>
      <c r="C857" s="40" t="s">
        <v>1427</v>
      </c>
      <c r="D857" s="40" t="s">
        <v>1428</v>
      </c>
      <c r="E857" s="40" t="s">
        <v>1449</v>
      </c>
      <c r="F857" s="41">
        <v>0.0</v>
      </c>
      <c r="G857" s="41">
        <v>0.0</v>
      </c>
      <c r="H857" s="41">
        <v>0.0</v>
      </c>
    </row>
    <row r="858" ht="15.75" customHeight="1">
      <c r="A858" s="40" t="s">
        <v>93</v>
      </c>
      <c r="B858" s="40" t="s">
        <v>117</v>
      </c>
      <c r="C858" s="40" t="s">
        <v>1427</v>
      </c>
      <c r="D858" s="40" t="s">
        <v>1428</v>
      </c>
      <c r="E858" s="40" t="s">
        <v>1450</v>
      </c>
      <c r="F858" s="41">
        <v>0.0</v>
      </c>
      <c r="G858" s="41">
        <v>0.0</v>
      </c>
      <c r="H858" s="41">
        <v>0.0</v>
      </c>
    </row>
    <row r="859" ht="15.75" customHeight="1">
      <c r="A859" s="40" t="s">
        <v>93</v>
      </c>
      <c r="B859" s="40" t="s">
        <v>117</v>
      </c>
      <c r="C859" s="40" t="s">
        <v>1427</v>
      </c>
      <c r="D859" s="40" t="s">
        <v>1428</v>
      </c>
      <c r="E859" s="40" t="s">
        <v>1451</v>
      </c>
      <c r="F859" s="41">
        <v>0.0</v>
      </c>
      <c r="G859" s="41">
        <v>0.0</v>
      </c>
      <c r="H859" s="41">
        <v>0.0</v>
      </c>
    </row>
    <row r="860" ht="15.75" customHeight="1">
      <c r="A860" s="40" t="s">
        <v>93</v>
      </c>
      <c r="B860" s="40" t="s">
        <v>117</v>
      </c>
      <c r="C860" s="40" t="s">
        <v>1427</v>
      </c>
      <c r="D860" s="40" t="s">
        <v>1428</v>
      </c>
      <c r="E860" s="40" t="s">
        <v>1452</v>
      </c>
      <c r="F860" s="41">
        <v>0.0</v>
      </c>
      <c r="G860" s="41">
        <v>0.0</v>
      </c>
      <c r="H860" s="41">
        <v>0.0</v>
      </c>
    </row>
    <row r="861" ht="15.75" customHeight="1">
      <c r="A861" s="40" t="s">
        <v>93</v>
      </c>
      <c r="B861" s="40" t="s">
        <v>117</v>
      </c>
      <c r="C861" s="40" t="s">
        <v>1427</v>
      </c>
      <c r="D861" s="40" t="s">
        <v>1428</v>
      </c>
      <c r="E861" s="40" t="s">
        <v>1453</v>
      </c>
      <c r="F861" s="41">
        <v>0.0</v>
      </c>
      <c r="G861" s="41">
        <v>0.0</v>
      </c>
      <c r="H861" s="41">
        <v>0.0</v>
      </c>
    </row>
    <row r="862" ht="15.75" customHeight="1">
      <c r="A862" s="40" t="s">
        <v>93</v>
      </c>
      <c r="B862" s="40" t="s">
        <v>117</v>
      </c>
      <c r="C862" s="40" t="s">
        <v>1427</v>
      </c>
      <c r="D862" s="40" t="s">
        <v>1428</v>
      </c>
      <c r="E862" s="40" t="s">
        <v>1454</v>
      </c>
      <c r="F862" s="41">
        <v>0.0</v>
      </c>
      <c r="G862" s="41">
        <v>0.0</v>
      </c>
      <c r="H862" s="41">
        <v>0.0</v>
      </c>
    </row>
    <row r="863" ht="15.75" customHeight="1">
      <c r="A863" s="40" t="s">
        <v>93</v>
      </c>
      <c r="B863" s="40" t="s">
        <v>117</v>
      </c>
      <c r="C863" s="40" t="s">
        <v>1427</v>
      </c>
      <c r="D863" s="40" t="s">
        <v>1428</v>
      </c>
      <c r="E863" s="40" t="s">
        <v>1455</v>
      </c>
      <c r="F863" s="41">
        <v>0.0</v>
      </c>
      <c r="G863" s="41">
        <v>0.0</v>
      </c>
      <c r="H863" s="41">
        <v>0.0</v>
      </c>
    </row>
    <row r="864" ht="15.75" customHeight="1">
      <c r="A864" s="40" t="s">
        <v>93</v>
      </c>
      <c r="B864" s="40" t="s">
        <v>117</v>
      </c>
      <c r="C864" s="40" t="s">
        <v>1427</v>
      </c>
      <c r="D864" s="40" t="s">
        <v>1428</v>
      </c>
      <c r="E864" s="40" t="s">
        <v>1456</v>
      </c>
      <c r="F864" s="41">
        <v>0.0</v>
      </c>
      <c r="G864" s="41">
        <v>0.0</v>
      </c>
      <c r="H864" s="41">
        <v>0.0</v>
      </c>
    </row>
    <row r="865" ht="15.75" customHeight="1">
      <c r="A865" s="40" t="s">
        <v>93</v>
      </c>
      <c r="B865" s="40" t="s">
        <v>117</v>
      </c>
      <c r="C865" s="40" t="s">
        <v>1427</v>
      </c>
      <c r="D865" s="40" t="s">
        <v>1428</v>
      </c>
      <c r="E865" s="40" t="s">
        <v>1457</v>
      </c>
      <c r="F865" s="41">
        <v>0.0</v>
      </c>
      <c r="G865" s="41">
        <v>0.0</v>
      </c>
      <c r="H865" s="41">
        <v>0.0</v>
      </c>
    </row>
    <row r="866" ht="15.75" customHeight="1">
      <c r="A866" s="40" t="s">
        <v>93</v>
      </c>
      <c r="B866" s="40" t="s">
        <v>117</v>
      </c>
      <c r="C866" s="40" t="s">
        <v>1427</v>
      </c>
      <c r="D866" s="40" t="s">
        <v>1428</v>
      </c>
      <c r="E866" s="40" t="s">
        <v>1458</v>
      </c>
      <c r="F866" s="41">
        <v>0.0</v>
      </c>
      <c r="G866" s="41">
        <v>0.0</v>
      </c>
      <c r="H866" s="41">
        <v>0.0</v>
      </c>
    </row>
    <row r="867" ht="15.75" customHeight="1">
      <c r="A867" s="40" t="s">
        <v>93</v>
      </c>
      <c r="B867" s="40" t="s">
        <v>186</v>
      </c>
      <c r="C867" s="40" t="s">
        <v>1459</v>
      </c>
      <c r="D867" s="40" t="s">
        <v>1460</v>
      </c>
      <c r="E867" s="40" t="s">
        <v>1461</v>
      </c>
      <c r="F867" s="41">
        <v>164.0</v>
      </c>
      <c r="G867" s="41">
        <v>5395600.0</v>
      </c>
      <c r="H867" s="41">
        <v>144760.0</v>
      </c>
    </row>
    <row r="868" ht="15.75" customHeight="1">
      <c r="A868" s="40" t="s">
        <v>93</v>
      </c>
      <c r="B868" s="40" t="s">
        <v>186</v>
      </c>
      <c r="C868" s="40" t="s">
        <v>1459</v>
      </c>
      <c r="D868" s="40" t="s">
        <v>1460</v>
      </c>
      <c r="E868" s="40" t="s">
        <v>1462</v>
      </c>
      <c r="F868" s="41">
        <v>55.0</v>
      </c>
      <c r="G868" s="41">
        <v>1644500.0</v>
      </c>
      <c r="H868" s="41">
        <v>39900.0</v>
      </c>
    </row>
    <row r="869" ht="15.75" customHeight="1">
      <c r="A869" s="40" t="s">
        <v>93</v>
      </c>
      <c r="B869" s="40" t="s">
        <v>186</v>
      </c>
      <c r="C869" s="40" t="s">
        <v>1459</v>
      </c>
      <c r="D869" s="40" t="s">
        <v>1460</v>
      </c>
      <c r="E869" s="40" t="s">
        <v>1463</v>
      </c>
      <c r="F869" s="41">
        <v>41.0</v>
      </c>
      <c r="G869" s="41">
        <v>979900.0</v>
      </c>
      <c r="H869" s="41">
        <v>43020.0</v>
      </c>
    </row>
    <row r="870" ht="15.75" customHeight="1">
      <c r="A870" s="40" t="s">
        <v>93</v>
      </c>
      <c r="B870" s="40" t="s">
        <v>186</v>
      </c>
      <c r="C870" s="40" t="s">
        <v>1459</v>
      </c>
      <c r="D870" s="40" t="s">
        <v>1460</v>
      </c>
      <c r="E870" s="40" t="s">
        <v>1464</v>
      </c>
      <c r="F870" s="41">
        <v>39.0</v>
      </c>
      <c r="G870" s="41">
        <v>1595100.0</v>
      </c>
      <c r="H870" s="41">
        <v>98160.0</v>
      </c>
    </row>
    <row r="871" ht="15.75" customHeight="1">
      <c r="A871" s="40" t="s">
        <v>93</v>
      </c>
      <c r="B871" s="40" t="s">
        <v>186</v>
      </c>
      <c r="C871" s="40" t="s">
        <v>1459</v>
      </c>
      <c r="D871" s="40" t="s">
        <v>1460</v>
      </c>
      <c r="E871" s="40" t="s">
        <v>1465</v>
      </c>
      <c r="F871" s="41">
        <v>133.0</v>
      </c>
      <c r="G871" s="41">
        <v>3665300.0</v>
      </c>
      <c r="H871" s="41">
        <v>204380.0</v>
      </c>
    </row>
    <row r="872" ht="15.75" customHeight="1">
      <c r="A872" s="40" t="s">
        <v>93</v>
      </c>
      <c r="B872" s="40" t="s">
        <v>186</v>
      </c>
      <c r="C872" s="40" t="s">
        <v>1459</v>
      </c>
      <c r="D872" s="40" t="s">
        <v>1460</v>
      </c>
      <c r="E872" s="40" t="s">
        <v>1466</v>
      </c>
      <c r="F872" s="41">
        <v>33.0</v>
      </c>
      <c r="G872" s="41">
        <v>683100.0</v>
      </c>
      <c r="H872" s="41">
        <v>16560.0</v>
      </c>
    </row>
    <row r="873" ht="15.75" customHeight="1">
      <c r="A873" s="40" t="s">
        <v>93</v>
      </c>
      <c r="B873" s="40" t="s">
        <v>186</v>
      </c>
      <c r="C873" s="40" t="s">
        <v>1459</v>
      </c>
      <c r="D873" s="40" t="s">
        <v>1460</v>
      </c>
      <c r="E873" s="40" t="s">
        <v>1467</v>
      </c>
      <c r="F873" s="41">
        <v>14.0</v>
      </c>
      <c r="G873" s="41">
        <v>432600.0</v>
      </c>
      <c r="H873" s="41">
        <v>6180.0</v>
      </c>
    </row>
    <row r="874" ht="15.75" customHeight="1">
      <c r="A874" s="40" t="s">
        <v>93</v>
      </c>
      <c r="B874" s="40" t="s">
        <v>186</v>
      </c>
      <c r="C874" s="40" t="s">
        <v>1459</v>
      </c>
      <c r="D874" s="40" t="s">
        <v>1460</v>
      </c>
      <c r="E874" s="40" t="s">
        <v>1468</v>
      </c>
      <c r="F874" s="41">
        <v>10.0</v>
      </c>
      <c r="G874" s="41">
        <v>318000.0</v>
      </c>
      <c r="H874" s="41">
        <v>12360.0</v>
      </c>
    </row>
    <row r="875" ht="15.75" customHeight="1">
      <c r="A875" s="40" t="s">
        <v>93</v>
      </c>
      <c r="B875" s="40" t="s">
        <v>186</v>
      </c>
      <c r="C875" s="40" t="s">
        <v>1459</v>
      </c>
      <c r="D875" s="40" t="s">
        <v>1460</v>
      </c>
      <c r="E875" s="40" t="s">
        <v>1469</v>
      </c>
      <c r="F875" s="41">
        <v>0.0</v>
      </c>
      <c r="G875" s="41">
        <v>0.0</v>
      </c>
      <c r="H875" s="41">
        <v>0.0</v>
      </c>
    </row>
    <row r="876" ht="15.75" customHeight="1">
      <c r="A876" s="40" t="s">
        <v>93</v>
      </c>
      <c r="B876" s="40" t="s">
        <v>186</v>
      </c>
      <c r="C876" s="40" t="s">
        <v>1459</v>
      </c>
      <c r="D876" s="40" t="s">
        <v>1460</v>
      </c>
      <c r="E876" s="40" t="s">
        <v>1470</v>
      </c>
      <c r="F876" s="41">
        <v>0.0</v>
      </c>
      <c r="G876" s="41">
        <v>0.0</v>
      </c>
      <c r="H876" s="41">
        <v>0.0</v>
      </c>
    </row>
    <row r="877" ht="15.75" customHeight="1">
      <c r="A877" s="40" t="s">
        <v>93</v>
      </c>
      <c r="B877" s="40" t="s">
        <v>186</v>
      </c>
      <c r="C877" s="40" t="s">
        <v>1459</v>
      </c>
      <c r="D877" s="40" t="s">
        <v>1460</v>
      </c>
      <c r="E877" s="40" t="s">
        <v>1471</v>
      </c>
      <c r="F877" s="41">
        <v>22.0</v>
      </c>
      <c r="G877" s="41">
        <v>360800.0</v>
      </c>
      <c r="H877" s="41">
        <v>13120.0</v>
      </c>
    </row>
    <row r="878" ht="15.75" customHeight="1">
      <c r="A878" s="40" t="s">
        <v>93</v>
      </c>
      <c r="B878" s="40" t="s">
        <v>186</v>
      </c>
      <c r="C878" s="40" t="s">
        <v>1459</v>
      </c>
      <c r="D878" s="40" t="s">
        <v>1460</v>
      </c>
      <c r="E878" s="40" t="s">
        <v>1472</v>
      </c>
      <c r="F878" s="41">
        <v>1.0</v>
      </c>
      <c r="G878" s="41">
        <v>94700.0</v>
      </c>
      <c r="H878" s="41">
        <v>0.0</v>
      </c>
    </row>
    <row r="879" ht="15.75" customHeight="1">
      <c r="A879" s="40" t="s">
        <v>93</v>
      </c>
      <c r="B879" s="40" t="s">
        <v>186</v>
      </c>
      <c r="C879" s="40" t="s">
        <v>1459</v>
      </c>
      <c r="D879" s="40" t="s">
        <v>1460</v>
      </c>
      <c r="E879" s="40" t="s">
        <v>1473</v>
      </c>
      <c r="F879" s="41">
        <v>4.0</v>
      </c>
      <c r="G879" s="41">
        <v>91600.0</v>
      </c>
      <c r="H879" s="41">
        <v>0.0</v>
      </c>
    </row>
    <row r="880" ht="15.75" customHeight="1">
      <c r="A880" s="40" t="s">
        <v>93</v>
      </c>
      <c r="B880" s="40" t="s">
        <v>186</v>
      </c>
      <c r="C880" s="40" t="s">
        <v>1459</v>
      </c>
      <c r="D880" s="40" t="s">
        <v>1460</v>
      </c>
      <c r="E880" s="40" t="s">
        <v>1474</v>
      </c>
      <c r="F880" s="41">
        <v>3.0</v>
      </c>
      <c r="G880" s="41">
        <v>98700.0</v>
      </c>
      <c r="H880" s="41">
        <v>0.0</v>
      </c>
    </row>
    <row r="881" ht="15.75" customHeight="1">
      <c r="A881" s="40" t="s">
        <v>93</v>
      </c>
      <c r="B881" s="40" t="s">
        <v>186</v>
      </c>
      <c r="C881" s="40" t="s">
        <v>1459</v>
      </c>
      <c r="D881" s="40" t="s">
        <v>1460</v>
      </c>
      <c r="E881" s="40" t="s">
        <v>1475</v>
      </c>
      <c r="F881" s="41">
        <v>0.0</v>
      </c>
      <c r="G881" s="41">
        <v>0.0</v>
      </c>
      <c r="H881" s="41">
        <v>0.0</v>
      </c>
    </row>
    <row r="882" ht="15.75" customHeight="1">
      <c r="A882" s="40" t="s">
        <v>93</v>
      </c>
      <c r="B882" s="40" t="s">
        <v>186</v>
      </c>
      <c r="C882" s="40" t="s">
        <v>1459</v>
      </c>
      <c r="D882" s="40" t="s">
        <v>1460</v>
      </c>
      <c r="E882" s="40" t="s">
        <v>1476</v>
      </c>
      <c r="F882" s="41">
        <v>1.0</v>
      </c>
      <c r="G882" s="41">
        <v>21900.0</v>
      </c>
      <c r="H882" s="41">
        <v>0.0</v>
      </c>
    </row>
    <row r="883" ht="15.75" customHeight="1">
      <c r="A883" s="40" t="s">
        <v>93</v>
      </c>
      <c r="B883" s="40" t="s">
        <v>186</v>
      </c>
      <c r="C883" s="40" t="s">
        <v>1459</v>
      </c>
      <c r="D883" s="40" t="s">
        <v>1460</v>
      </c>
      <c r="E883" s="40" t="s">
        <v>1477</v>
      </c>
      <c r="F883" s="41">
        <v>6.0</v>
      </c>
      <c r="G883" s="41">
        <v>173400.0</v>
      </c>
      <c r="H883" s="41">
        <v>5780.0</v>
      </c>
    </row>
    <row r="884" ht="15.75" customHeight="1">
      <c r="A884" s="40" t="s">
        <v>93</v>
      </c>
      <c r="B884" s="40" t="s">
        <v>186</v>
      </c>
      <c r="C884" s="40" t="s">
        <v>1459</v>
      </c>
      <c r="D884" s="40" t="s">
        <v>1460</v>
      </c>
      <c r="E884" s="40" t="s">
        <v>1478</v>
      </c>
      <c r="F884" s="41">
        <v>1.0</v>
      </c>
      <c r="G884" s="41">
        <v>13900.0</v>
      </c>
      <c r="H884" s="41">
        <v>0.0</v>
      </c>
    </row>
    <row r="885" ht="15.75" customHeight="1">
      <c r="A885" s="40" t="s">
        <v>93</v>
      </c>
      <c r="B885" s="40" t="s">
        <v>186</v>
      </c>
      <c r="C885" s="40" t="s">
        <v>1459</v>
      </c>
      <c r="D885" s="40" t="s">
        <v>1460</v>
      </c>
      <c r="E885" s="40" t="s">
        <v>1479</v>
      </c>
      <c r="F885" s="41">
        <v>10.0</v>
      </c>
      <c r="G885" s="41">
        <v>189000.0</v>
      </c>
      <c r="H885" s="41">
        <v>7560.0</v>
      </c>
    </row>
    <row r="886" ht="15.75" customHeight="1">
      <c r="A886" s="40" t="s">
        <v>93</v>
      </c>
      <c r="B886" s="40" t="s">
        <v>186</v>
      </c>
      <c r="C886" s="40" t="s">
        <v>1459</v>
      </c>
      <c r="D886" s="40" t="s">
        <v>1460</v>
      </c>
      <c r="E886" s="40" t="s">
        <v>1480</v>
      </c>
      <c r="F886" s="41">
        <v>1.0</v>
      </c>
      <c r="G886" s="41">
        <v>13900.0</v>
      </c>
      <c r="H886" s="41">
        <v>0.0</v>
      </c>
    </row>
    <row r="887" ht="15.75" customHeight="1">
      <c r="A887" s="40" t="s">
        <v>93</v>
      </c>
      <c r="B887" s="40" t="s">
        <v>186</v>
      </c>
      <c r="C887" s="40" t="s">
        <v>1459</v>
      </c>
      <c r="D887" s="40" t="s">
        <v>1460</v>
      </c>
      <c r="E887" s="40" t="s">
        <v>1481</v>
      </c>
      <c r="F887" s="41">
        <v>0.0</v>
      </c>
      <c r="G887" s="41">
        <v>0.0</v>
      </c>
      <c r="H887" s="41">
        <v>0.0</v>
      </c>
    </row>
    <row r="888" ht="15.75" customHeight="1">
      <c r="A888" s="40" t="s">
        <v>93</v>
      </c>
      <c r="B888" s="40" t="s">
        <v>186</v>
      </c>
      <c r="C888" s="40" t="s">
        <v>1459</v>
      </c>
      <c r="D888" s="40" t="s">
        <v>1460</v>
      </c>
      <c r="E888" s="40" t="s">
        <v>1482</v>
      </c>
      <c r="F888" s="41">
        <v>0.0</v>
      </c>
      <c r="G888" s="41">
        <v>0.0</v>
      </c>
      <c r="H888" s="41">
        <v>0.0</v>
      </c>
    </row>
    <row r="889" ht="15.75" customHeight="1">
      <c r="A889" s="40" t="s">
        <v>93</v>
      </c>
      <c r="B889" s="40" t="s">
        <v>186</v>
      </c>
      <c r="C889" s="40" t="s">
        <v>1459</v>
      </c>
      <c r="D889" s="40" t="s">
        <v>1460</v>
      </c>
      <c r="E889" s="40" t="s">
        <v>1483</v>
      </c>
      <c r="F889" s="41">
        <v>0.0</v>
      </c>
      <c r="G889" s="41">
        <v>0.0</v>
      </c>
      <c r="H889" s="41">
        <v>0.0</v>
      </c>
    </row>
    <row r="890" ht="15.75" customHeight="1">
      <c r="A890" s="40" t="s">
        <v>93</v>
      </c>
      <c r="B890" s="40" t="s">
        <v>186</v>
      </c>
      <c r="C890" s="40" t="s">
        <v>1459</v>
      </c>
      <c r="D890" s="40" t="s">
        <v>1460</v>
      </c>
      <c r="E890" s="40" t="s">
        <v>1484</v>
      </c>
      <c r="F890" s="41">
        <v>0.0</v>
      </c>
      <c r="G890" s="41">
        <v>0.0</v>
      </c>
      <c r="H890" s="41">
        <v>0.0</v>
      </c>
    </row>
    <row r="891" ht="15.75" customHeight="1">
      <c r="A891" s="40" t="s">
        <v>93</v>
      </c>
      <c r="B891" s="40" t="s">
        <v>186</v>
      </c>
      <c r="C891" s="40" t="s">
        <v>1485</v>
      </c>
      <c r="D891" s="40" t="s">
        <v>1486</v>
      </c>
      <c r="E891" s="40" t="s">
        <v>1487</v>
      </c>
      <c r="F891" s="41">
        <v>220.0</v>
      </c>
      <c r="G891" s="41">
        <v>6556000.0</v>
      </c>
      <c r="H891" s="41">
        <v>242440.0</v>
      </c>
    </row>
    <row r="892" ht="15.75" customHeight="1">
      <c r="A892" s="40" t="s">
        <v>93</v>
      </c>
      <c r="B892" s="40" t="s">
        <v>186</v>
      </c>
      <c r="C892" s="40" t="s">
        <v>1485</v>
      </c>
      <c r="D892" s="40" t="s">
        <v>1486</v>
      </c>
      <c r="E892" s="40" t="s">
        <v>1488</v>
      </c>
      <c r="F892" s="41">
        <v>7.0</v>
      </c>
      <c r="G892" s="41">
        <v>313600.0</v>
      </c>
      <c r="H892" s="41">
        <v>8960.0</v>
      </c>
    </row>
    <row r="893" ht="15.75" customHeight="1">
      <c r="A893" s="40" t="s">
        <v>93</v>
      </c>
      <c r="B893" s="40" t="s">
        <v>186</v>
      </c>
      <c r="C893" s="40" t="s">
        <v>1485</v>
      </c>
      <c r="D893" s="40" t="s">
        <v>1486</v>
      </c>
      <c r="E893" s="40" t="s">
        <v>1489</v>
      </c>
      <c r="F893" s="41">
        <v>0.0</v>
      </c>
      <c r="G893" s="41">
        <v>0.0</v>
      </c>
      <c r="H893" s="41">
        <v>0.0</v>
      </c>
    </row>
    <row r="894" ht="15.75" customHeight="1">
      <c r="A894" s="40" t="s">
        <v>93</v>
      </c>
      <c r="B894" s="40" t="s">
        <v>186</v>
      </c>
      <c r="C894" s="40" t="s">
        <v>1485</v>
      </c>
      <c r="D894" s="40" t="s">
        <v>1486</v>
      </c>
      <c r="E894" s="40" t="s">
        <v>1490</v>
      </c>
      <c r="F894" s="41">
        <v>2.0</v>
      </c>
      <c r="G894" s="41">
        <v>70000.0</v>
      </c>
      <c r="H894" s="41">
        <v>0.0</v>
      </c>
    </row>
    <row r="895" ht="15.75" customHeight="1">
      <c r="A895" s="40" t="s">
        <v>93</v>
      </c>
      <c r="B895" s="40" t="s">
        <v>186</v>
      </c>
      <c r="C895" s="40" t="s">
        <v>1485</v>
      </c>
      <c r="D895" s="40" t="s">
        <v>1486</v>
      </c>
      <c r="E895" s="40" t="s">
        <v>1493</v>
      </c>
      <c r="F895" s="41">
        <v>7.0</v>
      </c>
      <c r="G895" s="41">
        <v>313600.0</v>
      </c>
      <c r="H895" s="41">
        <v>8960.0</v>
      </c>
    </row>
    <row r="896" ht="15.75" customHeight="1">
      <c r="A896" s="40" t="s">
        <v>93</v>
      </c>
      <c r="B896" s="40" t="s">
        <v>186</v>
      </c>
      <c r="C896" s="40" t="s">
        <v>1485</v>
      </c>
      <c r="D896" s="40" t="s">
        <v>1486</v>
      </c>
      <c r="E896" s="40" t="s">
        <v>1494</v>
      </c>
      <c r="F896" s="41">
        <v>1.0</v>
      </c>
      <c r="G896" s="41">
        <v>26800.0</v>
      </c>
      <c r="H896" s="41">
        <v>0.0</v>
      </c>
    </row>
    <row r="897" ht="15.75" customHeight="1">
      <c r="A897" s="40" t="s">
        <v>93</v>
      </c>
      <c r="B897" s="40" t="s">
        <v>186</v>
      </c>
      <c r="C897" s="40" t="s">
        <v>1485</v>
      </c>
      <c r="D897" s="40" t="s">
        <v>1486</v>
      </c>
      <c r="E897" s="40" t="s">
        <v>1495</v>
      </c>
      <c r="F897" s="41">
        <v>0.0</v>
      </c>
      <c r="G897" s="41">
        <v>0.0</v>
      </c>
      <c r="H897" s="41">
        <v>0.0</v>
      </c>
    </row>
    <row r="898" ht="15.75" customHeight="1">
      <c r="A898" s="40" t="s">
        <v>93</v>
      </c>
      <c r="B898" s="40" t="s">
        <v>186</v>
      </c>
      <c r="C898" s="40" t="s">
        <v>1485</v>
      </c>
      <c r="D898" s="40" t="s">
        <v>1486</v>
      </c>
      <c r="E898" s="40" t="s">
        <v>1496</v>
      </c>
      <c r="F898" s="41">
        <v>0.0</v>
      </c>
      <c r="G898" s="41">
        <v>0.0</v>
      </c>
      <c r="H898" s="41">
        <v>0.0</v>
      </c>
    </row>
    <row r="899" ht="15.75" customHeight="1">
      <c r="A899" s="40" t="s">
        <v>93</v>
      </c>
      <c r="B899" s="40" t="s">
        <v>186</v>
      </c>
      <c r="C899" s="40" t="s">
        <v>1485</v>
      </c>
      <c r="D899" s="40" t="s">
        <v>1486</v>
      </c>
      <c r="E899" s="40" t="s">
        <v>1497</v>
      </c>
      <c r="F899" s="41">
        <v>11.0</v>
      </c>
      <c r="G899" s="41">
        <v>382800.0</v>
      </c>
      <c r="H899" s="41">
        <v>20880.0</v>
      </c>
    </row>
    <row r="900" ht="15.75" customHeight="1">
      <c r="A900" s="40" t="s">
        <v>93</v>
      </c>
      <c r="B900" s="40" t="s">
        <v>186</v>
      </c>
      <c r="C900" s="40" t="s">
        <v>1485</v>
      </c>
      <c r="D900" s="40" t="s">
        <v>1486</v>
      </c>
      <c r="E900" s="40" t="s">
        <v>1498</v>
      </c>
      <c r="F900" s="41">
        <v>32.0</v>
      </c>
      <c r="G900" s="41">
        <v>857600.0</v>
      </c>
      <c r="H900" s="41">
        <v>0.0</v>
      </c>
    </row>
    <row r="901" ht="15.75" customHeight="1">
      <c r="A901" s="40" t="s">
        <v>93</v>
      </c>
      <c r="B901" s="40" t="s">
        <v>186</v>
      </c>
      <c r="C901" s="40" t="s">
        <v>1499</v>
      </c>
      <c r="D901" s="40" t="s">
        <v>1500</v>
      </c>
      <c r="E901" s="40" t="s">
        <v>1501</v>
      </c>
      <c r="F901" s="41">
        <v>17.0</v>
      </c>
      <c r="G901" s="41">
        <v>306000.0</v>
      </c>
      <c r="H901" s="41">
        <v>10000.0</v>
      </c>
    </row>
    <row r="902" ht="15.75" customHeight="1">
      <c r="A902" s="40" t="s">
        <v>93</v>
      </c>
      <c r="B902" s="40" t="s">
        <v>186</v>
      </c>
      <c r="C902" s="40" t="s">
        <v>1499</v>
      </c>
      <c r="D902" s="40" t="s">
        <v>1500</v>
      </c>
      <c r="E902" s="40" t="s">
        <v>1502</v>
      </c>
      <c r="F902" s="41">
        <v>0.0</v>
      </c>
      <c r="G902" s="41">
        <v>0.0</v>
      </c>
      <c r="H902" s="41">
        <v>0.0</v>
      </c>
    </row>
    <row r="903" ht="15.75" customHeight="1">
      <c r="A903" s="40" t="s">
        <v>93</v>
      </c>
      <c r="B903" s="40" t="s">
        <v>186</v>
      </c>
      <c r="C903" s="40" t="s">
        <v>1499</v>
      </c>
      <c r="D903" s="40" t="s">
        <v>1500</v>
      </c>
      <c r="E903" s="40" t="s">
        <v>1503</v>
      </c>
      <c r="F903" s="41">
        <v>0.0</v>
      </c>
      <c r="G903" s="41">
        <v>0.0</v>
      </c>
      <c r="H903" s="41">
        <v>0.0</v>
      </c>
    </row>
    <row r="904" ht="15.75" customHeight="1">
      <c r="A904" s="40" t="s">
        <v>93</v>
      </c>
      <c r="B904" s="40" t="s">
        <v>186</v>
      </c>
      <c r="C904" s="40" t="s">
        <v>1499</v>
      </c>
      <c r="D904" s="40" t="s">
        <v>1500</v>
      </c>
      <c r="E904" s="40" t="s">
        <v>1504</v>
      </c>
      <c r="F904" s="41">
        <v>0.0</v>
      </c>
      <c r="G904" s="41">
        <v>0.0</v>
      </c>
      <c r="H904" s="41">
        <v>0.0</v>
      </c>
    </row>
    <row r="905" ht="15.75" customHeight="1">
      <c r="A905" s="40" t="s">
        <v>93</v>
      </c>
      <c r="B905" s="40" t="s">
        <v>186</v>
      </c>
      <c r="C905" s="40" t="s">
        <v>1499</v>
      </c>
      <c r="D905" s="40" t="s">
        <v>1500</v>
      </c>
      <c r="E905" s="40" t="s">
        <v>1505</v>
      </c>
      <c r="F905" s="41">
        <v>0.0</v>
      </c>
      <c r="G905" s="41">
        <v>0.0</v>
      </c>
      <c r="H905" s="41">
        <v>0.0</v>
      </c>
    </row>
    <row r="906" ht="15.75" customHeight="1">
      <c r="A906" s="40" t="s">
        <v>93</v>
      </c>
      <c r="B906" s="40" t="s">
        <v>186</v>
      </c>
      <c r="C906" s="40" t="s">
        <v>1499</v>
      </c>
      <c r="D906" s="40" t="s">
        <v>1500</v>
      </c>
      <c r="E906" s="40" t="s">
        <v>1506</v>
      </c>
      <c r="F906" s="41">
        <v>0.0</v>
      </c>
      <c r="G906" s="41">
        <v>0.0</v>
      </c>
      <c r="H906" s="41">
        <v>0.0</v>
      </c>
    </row>
    <row r="907" ht="15.75" customHeight="1">
      <c r="A907" s="40" t="s">
        <v>93</v>
      </c>
      <c r="B907" s="40" t="s">
        <v>186</v>
      </c>
      <c r="C907" s="40" t="s">
        <v>1499</v>
      </c>
      <c r="D907" s="40" t="s">
        <v>1500</v>
      </c>
      <c r="E907" s="40" t="s">
        <v>1507</v>
      </c>
      <c r="F907" s="41">
        <v>65.0</v>
      </c>
      <c r="G907" s="41">
        <v>195000.0</v>
      </c>
      <c r="H907" s="41">
        <v>10000.0</v>
      </c>
    </row>
    <row r="908" ht="15.75" customHeight="1">
      <c r="A908" s="40" t="s">
        <v>93</v>
      </c>
      <c r="B908" s="40" t="s">
        <v>186</v>
      </c>
      <c r="C908" s="40" t="s">
        <v>1499</v>
      </c>
      <c r="D908" s="40" t="s">
        <v>1500</v>
      </c>
      <c r="E908" s="40" t="s">
        <v>1508</v>
      </c>
      <c r="F908" s="41">
        <v>0.0</v>
      </c>
      <c r="G908" s="41">
        <v>0.0</v>
      </c>
      <c r="H908" s="41">
        <v>0.0</v>
      </c>
    </row>
    <row r="909" ht="15.75" customHeight="1">
      <c r="A909" s="40" t="s">
        <v>93</v>
      </c>
      <c r="B909" s="40" t="s">
        <v>186</v>
      </c>
      <c r="C909" s="40" t="s">
        <v>1499</v>
      </c>
      <c r="D909" s="40" t="s">
        <v>1500</v>
      </c>
      <c r="E909" s="40" t="s">
        <v>1509</v>
      </c>
      <c r="F909" s="41">
        <v>0.0</v>
      </c>
      <c r="G909" s="41">
        <v>0.0</v>
      </c>
      <c r="H909" s="41">
        <v>0.0</v>
      </c>
      <c r="J909" s="47" t="s">
        <v>117</v>
      </c>
      <c r="M909" s="48"/>
    </row>
    <row r="910" ht="15.75" customHeight="1">
      <c r="A910" s="40" t="s">
        <v>93</v>
      </c>
      <c r="B910" s="40" t="s">
        <v>186</v>
      </c>
      <c r="C910" s="40" t="s">
        <v>1499</v>
      </c>
      <c r="D910" s="40" t="s">
        <v>1500</v>
      </c>
      <c r="E910" s="40" t="s">
        <v>1510</v>
      </c>
      <c r="F910" s="41">
        <v>0.0</v>
      </c>
      <c r="G910" s="41">
        <v>0.0</v>
      </c>
      <c r="H910" s="41">
        <v>0.0</v>
      </c>
    </row>
    <row r="911" ht="15.75" customHeight="1">
      <c r="A911" s="40" t="s">
        <v>93</v>
      </c>
      <c r="B911" s="40" t="s">
        <v>186</v>
      </c>
      <c r="C911" s="40" t="s">
        <v>1511</v>
      </c>
      <c r="D911" s="40" t="s">
        <v>1512</v>
      </c>
      <c r="E911" s="40" t="s">
        <v>1513</v>
      </c>
      <c r="F911" s="41">
        <v>50.0</v>
      </c>
      <c r="G911" s="41">
        <v>1480400.0</v>
      </c>
      <c r="H911" s="41">
        <v>132640.0</v>
      </c>
    </row>
    <row r="912" ht="15.75" customHeight="1">
      <c r="A912" s="40" t="s">
        <v>93</v>
      </c>
      <c r="B912" s="40" t="s">
        <v>186</v>
      </c>
      <c r="C912" s="40" t="s">
        <v>1511</v>
      </c>
      <c r="D912" s="40" t="s">
        <v>1512</v>
      </c>
      <c r="E912" s="40" t="s">
        <v>1514</v>
      </c>
      <c r="F912" s="41">
        <v>0.0</v>
      </c>
      <c r="G912" s="41">
        <v>0.0</v>
      </c>
      <c r="H912" s="41">
        <v>0.0</v>
      </c>
    </row>
    <row r="913" ht="15.75" customHeight="1">
      <c r="A913" s="40" t="s">
        <v>93</v>
      </c>
      <c r="B913" s="40" t="s">
        <v>186</v>
      </c>
      <c r="C913" s="40" t="s">
        <v>1511</v>
      </c>
      <c r="D913" s="40" t="s">
        <v>1512</v>
      </c>
      <c r="E913" s="40" t="s">
        <v>1514</v>
      </c>
      <c r="F913" s="41">
        <v>1.0</v>
      </c>
      <c r="G913" s="41">
        <v>60000.0</v>
      </c>
      <c r="H913" s="41">
        <v>0.0</v>
      </c>
    </row>
    <row r="914" ht="15.75" customHeight="1">
      <c r="A914" s="40" t="s">
        <v>93</v>
      </c>
      <c r="B914" s="40" t="s">
        <v>186</v>
      </c>
      <c r="C914" s="40" t="s">
        <v>1511</v>
      </c>
      <c r="D914" s="40" t="s">
        <v>1512</v>
      </c>
      <c r="E914" s="40" t="s">
        <v>1515</v>
      </c>
      <c r="F914" s="41">
        <v>2.0</v>
      </c>
      <c r="G914" s="41">
        <v>66000.0</v>
      </c>
      <c r="H914" s="41">
        <v>0.0</v>
      </c>
    </row>
    <row r="915" ht="15.75" customHeight="1">
      <c r="A915" s="40" t="s">
        <v>93</v>
      </c>
      <c r="B915" s="40" t="s">
        <v>186</v>
      </c>
      <c r="C915" s="40" t="s">
        <v>1511</v>
      </c>
      <c r="D915" s="40" t="s">
        <v>1512</v>
      </c>
      <c r="E915" s="40" t="s">
        <v>1516</v>
      </c>
      <c r="F915" s="41">
        <v>0.0</v>
      </c>
      <c r="G915" s="41">
        <v>0.0</v>
      </c>
      <c r="H915" s="41">
        <v>0.0</v>
      </c>
      <c r="J915" s="47" t="s">
        <v>117</v>
      </c>
      <c r="M915" s="48"/>
    </row>
    <row r="916" ht="15.75" customHeight="1">
      <c r="A916" s="40" t="s">
        <v>93</v>
      </c>
      <c r="B916" s="40" t="s">
        <v>186</v>
      </c>
      <c r="C916" s="40" t="s">
        <v>1511</v>
      </c>
      <c r="D916" s="40" t="s">
        <v>1512</v>
      </c>
      <c r="E916" s="40" t="s">
        <v>1516</v>
      </c>
      <c r="F916" s="41">
        <v>0.0</v>
      </c>
      <c r="G916" s="41">
        <v>0.0</v>
      </c>
      <c r="H916" s="41">
        <v>0.0</v>
      </c>
    </row>
    <row r="917" ht="15.75" customHeight="1">
      <c r="A917" s="40" t="s">
        <v>93</v>
      </c>
      <c r="B917" s="40" t="s">
        <v>186</v>
      </c>
      <c r="C917" s="40" t="s">
        <v>1511</v>
      </c>
      <c r="D917" s="40" t="s">
        <v>1512</v>
      </c>
      <c r="E917" s="40" t="s">
        <v>1517</v>
      </c>
      <c r="F917" s="41">
        <v>0.0</v>
      </c>
      <c r="G917" s="41">
        <v>0.0</v>
      </c>
      <c r="H917" s="41">
        <v>0.0</v>
      </c>
    </row>
    <row r="918" ht="15.75" customHeight="1">
      <c r="A918" s="40" t="s">
        <v>93</v>
      </c>
      <c r="B918" s="40" t="s">
        <v>186</v>
      </c>
      <c r="C918" s="40" t="s">
        <v>1511</v>
      </c>
      <c r="D918" s="40" t="s">
        <v>1512</v>
      </c>
      <c r="E918" s="40" t="s">
        <v>1518</v>
      </c>
      <c r="F918" s="41">
        <v>0.0</v>
      </c>
      <c r="G918" s="41">
        <v>0.0</v>
      </c>
      <c r="H918" s="41">
        <v>0.0</v>
      </c>
    </row>
    <row r="919" ht="15.75" customHeight="1">
      <c r="A919" s="40" t="s">
        <v>93</v>
      </c>
      <c r="B919" s="40" t="s">
        <v>186</v>
      </c>
      <c r="C919" s="40" t="s">
        <v>1511</v>
      </c>
      <c r="D919" s="40" t="s">
        <v>1512</v>
      </c>
      <c r="E919" s="40" t="s">
        <v>1519</v>
      </c>
      <c r="F919" s="41">
        <v>0.0</v>
      </c>
      <c r="G919" s="41">
        <v>0.0</v>
      </c>
      <c r="H919" s="41">
        <v>0.0</v>
      </c>
    </row>
    <row r="920" ht="15.75" customHeight="1">
      <c r="A920" s="40" t="s">
        <v>93</v>
      </c>
      <c r="B920" s="40" t="s">
        <v>186</v>
      </c>
      <c r="C920" s="40" t="s">
        <v>1520</v>
      </c>
      <c r="D920" s="40" t="s">
        <v>1521</v>
      </c>
      <c r="E920" s="40" t="s">
        <v>1522</v>
      </c>
      <c r="F920" s="41">
        <v>0.0</v>
      </c>
      <c r="G920" s="41">
        <v>0.0</v>
      </c>
      <c r="H920" s="41">
        <v>0.0</v>
      </c>
    </row>
    <row r="921" ht="15.75" customHeight="1">
      <c r="A921" s="42" t="s">
        <v>93</v>
      </c>
      <c r="B921" s="42" t="s">
        <v>117</v>
      </c>
      <c r="C921" s="42" t="s">
        <v>1520</v>
      </c>
      <c r="D921" s="42" t="s">
        <v>1521</v>
      </c>
      <c r="E921" s="42" t="s">
        <v>1523</v>
      </c>
      <c r="F921" s="43">
        <v>35.0</v>
      </c>
      <c r="G921" s="43">
        <v>694600.0</v>
      </c>
      <c r="H921" s="43">
        <v>0.0</v>
      </c>
      <c r="I921" s="44"/>
      <c r="J921" s="49" t="s">
        <v>186</v>
      </c>
      <c r="M921" s="48"/>
    </row>
    <row r="922" ht="15.75" customHeight="1">
      <c r="A922" s="40" t="s">
        <v>93</v>
      </c>
      <c r="B922" s="40" t="s">
        <v>117</v>
      </c>
      <c r="C922" s="40" t="s">
        <v>1524</v>
      </c>
      <c r="D922" s="40" t="s">
        <v>1525</v>
      </c>
      <c r="E922" s="40" t="s">
        <v>1526</v>
      </c>
      <c r="F922" s="41">
        <v>100.0</v>
      </c>
      <c r="G922" s="41">
        <v>1200200.0</v>
      </c>
      <c r="H922" s="41">
        <v>2700.0</v>
      </c>
    </row>
    <row r="923" ht="15.75" customHeight="1">
      <c r="A923" s="40" t="s">
        <v>93</v>
      </c>
      <c r="B923" s="40" t="s">
        <v>117</v>
      </c>
      <c r="C923" s="40" t="s">
        <v>1527</v>
      </c>
      <c r="D923" s="40" t="s">
        <v>1528</v>
      </c>
      <c r="E923" s="40" t="s">
        <v>1529</v>
      </c>
      <c r="F923" s="41">
        <v>16.0</v>
      </c>
      <c r="G923" s="41">
        <v>488000.0</v>
      </c>
      <c r="H923" s="41">
        <v>0.0</v>
      </c>
    </row>
    <row r="924" ht="15.75" customHeight="1">
      <c r="A924" s="40" t="s">
        <v>93</v>
      </c>
      <c r="B924" s="40" t="s">
        <v>117</v>
      </c>
      <c r="C924" s="40" t="s">
        <v>1527</v>
      </c>
      <c r="D924" s="40" t="s">
        <v>1528</v>
      </c>
      <c r="E924" s="40" t="s">
        <v>1530</v>
      </c>
      <c r="F924" s="41">
        <v>9.0</v>
      </c>
      <c r="G924" s="41">
        <v>232200.0</v>
      </c>
      <c r="H924" s="41">
        <v>0.0</v>
      </c>
    </row>
    <row r="925" ht="15.75" customHeight="1">
      <c r="A925" s="40" t="s">
        <v>93</v>
      </c>
      <c r="B925" s="40" t="s">
        <v>117</v>
      </c>
      <c r="C925" s="40" t="s">
        <v>1527</v>
      </c>
      <c r="D925" s="40" t="s">
        <v>1528</v>
      </c>
      <c r="E925" s="40" t="s">
        <v>1531</v>
      </c>
      <c r="F925" s="41">
        <v>2944.0</v>
      </c>
      <c r="G925" s="41">
        <v>6.16172E7</v>
      </c>
      <c r="H925" s="41">
        <v>3306380.0</v>
      </c>
    </row>
    <row r="926" ht="15.75" customHeight="1">
      <c r="A926" s="40" t="s">
        <v>93</v>
      </c>
      <c r="B926" s="40" t="s">
        <v>117</v>
      </c>
      <c r="C926" s="40" t="s">
        <v>1527</v>
      </c>
      <c r="D926" s="40" t="s">
        <v>1528</v>
      </c>
      <c r="E926" s="40" t="s">
        <v>1532</v>
      </c>
      <c r="F926" s="41">
        <v>9.0</v>
      </c>
      <c r="G926" s="41">
        <v>272500.0</v>
      </c>
      <c r="H926" s="41">
        <v>0.0</v>
      </c>
    </row>
    <row r="927" ht="15.75" customHeight="1">
      <c r="A927" s="40" t="s">
        <v>93</v>
      </c>
      <c r="B927" s="40" t="s">
        <v>117</v>
      </c>
      <c r="C927" s="40" t="s">
        <v>1527</v>
      </c>
      <c r="D927" s="40" t="s">
        <v>1528</v>
      </c>
      <c r="E927" s="40" t="s">
        <v>1533</v>
      </c>
      <c r="F927" s="41">
        <v>7.0</v>
      </c>
      <c r="G927" s="41">
        <v>232300.0</v>
      </c>
      <c r="H927" s="41">
        <v>0.0</v>
      </c>
    </row>
    <row r="928" ht="15.75" customHeight="1">
      <c r="A928" s="40" t="s">
        <v>93</v>
      </c>
      <c r="B928" s="40" t="s">
        <v>117</v>
      </c>
      <c r="C928" s="40" t="s">
        <v>1527</v>
      </c>
      <c r="D928" s="40" t="s">
        <v>1528</v>
      </c>
      <c r="E928" s="40" t="s">
        <v>1534</v>
      </c>
      <c r="F928" s="41">
        <v>1.0</v>
      </c>
      <c r="G928" s="41">
        <v>37500.0</v>
      </c>
      <c r="H928" s="41">
        <v>0.0</v>
      </c>
    </row>
    <row r="929" ht="15.75" customHeight="1">
      <c r="A929" s="40" t="s">
        <v>93</v>
      </c>
      <c r="B929" s="40" t="s">
        <v>117</v>
      </c>
      <c r="C929" s="40" t="s">
        <v>1527</v>
      </c>
      <c r="D929" s="40" t="s">
        <v>1528</v>
      </c>
      <c r="E929" s="40" t="s">
        <v>1535</v>
      </c>
      <c r="F929" s="41">
        <v>1191.0</v>
      </c>
      <c r="G929" s="41">
        <v>2.80441E7</v>
      </c>
      <c r="H929" s="41">
        <v>1560400.0</v>
      </c>
    </row>
    <row r="930" ht="15.75" customHeight="1">
      <c r="A930" s="40" t="s">
        <v>93</v>
      </c>
      <c r="B930" s="40" t="s">
        <v>117</v>
      </c>
      <c r="C930" s="40" t="s">
        <v>1527</v>
      </c>
      <c r="D930" s="40" t="s">
        <v>1528</v>
      </c>
      <c r="E930" s="40" t="s">
        <v>1536</v>
      </c>
      <c r="F930" s="41">
        <v>0.0</v>
      </c>
      <c r="G930" s="41">
        <v>0.0</v>
      </c>
      <c r="H930" s="41">
        <v>0.0</v>
      </c>
    </row>
    <row r="931" ht="15.75" customHeight="1">
      <c r="A931" s="40" t="s">
        <v>93</v>
      </c>
      <c r="B931" s="40" t="s">
        <v>117</v>
      </c>
      <c r="C931" s="40" t="s">
        <v>1527</v>
      </c>
      <c r="D931" s="40" t="s">
        <v>1528</v>
      </c>
      <c r="E931" s="40" t="s">
        <v>1537</v>
      </c>
      <c r="F931" s="41">
        <v>9.0</v>
      </c>
      <c r="G931" s="41">
        <v>319300.0</v>
      </c>
      <c r="H931" s="41">
        <v>0.0</v>
      </c>
    </row>
    <row r="932" ht="15.75" customHeight="1">
      <c r="A932" s="40" t="s">
        <v>93</v>
      </c>
      <c r="B932" s="40" t="s">
        <v>117</v>
      </c>
      <c r="C932" s="40" t="s">
        <v>1538</v>
      </c>
      <c r="D932" s="40" t="s">
        <v>1539</v>
      </c>
      <c r="E932" s="40" t="s">
        <v>1540</v>
      </c>
      <c r="F932" s="41">
        <v>1299.0</v>
      </c>
      <c r="G932" s="41">
        <v>1.317026E7</v>
      </c>
      <c r="H932" s="41">
        <v>1064450.0</v>
      </c>
    </row>
    <row r="933" ht="15.75" customHeight="1">
      <c r="A933" s="40" t="s">
        <v>93</v>
      </c>
      <c r="B933" s="40" t="s">
        <v>186</v>
      </c>
      <c r="C933" s="40" t="s">
        <v>1541</v>
      </c>
      <c r="D933" s="40" t="s">
        <v>1542</v>
      </c>
      <c r="E933" s="40" t="s">
        <v>1543</v>
      </c>
      <c r="F933" s="41">
        <v>2.0</v>
      </c>
      <c r="G933" s="41">
        <v>52000.0</v>
      </c>
      <c r="H933" s="41">
        <v>5200.0</v>
      </c>
    </row>
    <row r="934" ht="15.75" customHeight="1">
      <c r="A934" s="40" t="s">
        <v>93</v>
      </c>
      <c r="B934" s="40" t="s">
        <v>117</v>
      </c>
      <c r="C934" s="40" t="s">
        <v>1544</v>
      </c>
      <c r="D934" s="40" t="s">
        <v>1545</v>
      </c>
      <c r="E934" s="40" t="s">
        <v>1546</v>
      </c>
      <c r="F934" s="41">
        <v>22.0</v>
      </c>
      <c r="G934" s="41">
        <v>371800.0</v>
      </c>
      <c r="H934" s="41">
        <v>0.0</v>
      </c>
      <c r="J934" s="47" t="s">
        <v>186</v>
      </c>
      <c r="M934" s="48"/>
    </row>
    <row r="935" ht="15.75" customHeight="1">
      <c r="A935" s="40" t="s">
        <v>93</v>
      </c>
      <c r="B935" s="40" t="s">
        <v>117</v>
      </c>
      <c r="C935" s="40" t="s">
        <v>1544</v>
      </c>
      <c r="D935" s="40" t="s">
        <v>1545</v>
      </c>
      <c r="E935" s="40" t="s">
        <v>1547</v>
      </c>
      <c r="F935" s="41">
        <v>64.0</v>
      </c>
      <c r="G935" s="41">
        <v>1209600.0</v>
      </c>
      <c r="H935" s="41">
        <v>0.0</v>
      </c>
    </row>
    <row r="936" ht="15.75" customHeight="1">
      <c r="A936" s="40" t="s">
        <v>93</v>
      </c>
      <c r="B936" s="40" t="s">
        <v>117</v>
      </c>
      <c r="C936" s="40" t="s">
        <v>1544</v>
      </c>
      <c r="D936" s="40" t="s">
        <v>1545</v>
      </c>
      <c r="E936" s="40" t="s">
        <v>1548</v>
      </c>
      <c r="F936" s="41">
        <v>5.0</v>
      </c>
      <c r="G936" s="41">
        <v>194500.0</v>
      </c>
      <c r="H936" s="41">
        <v>0.0</v>
      </c>
    </row>
    <row r="937" ht="15.75" customHeight="1">
      <c r="A937" s="40" t="s">
        <v>93</v>
      </c>
      <c r="B937" s="40" t="s">
        <v>117</v>
      </c>
      <c r="C937" s="40" t="s">
        <v>1544</v>
      </c>
      <c r="D937" s="40" t="s">
        <v>1545</v>
      </c>
      <c r="E937" s="40" t="s">
        <v>1549</v>
      </c>
      <c r="F937" s="41">
        <v>3.0</v>
      </c>
      <c r="G937" s="41">
        <v>59700.0</v>
      </c>
      <c r="H937" s="41">
        <v>0.0</v>
      </c>
    </row>
    <row r="938" ht="15.75" customHeight="1">
      <c r="A938" s="40" t="s">
        <v>93</v>
      </c>
      <c r="B938" s="40" t="s">
        <v>117</v>
      </c>
      <c r="C938" s="40" t="s">
        <v>1544</v>
      </c>
      <c r="D938" s="40" t="s">
        <v>1545</v>
      </c>
      <c r="E938" s="40" t="s">
        <v>1550</v>
      </c>
      <c r="F938" s="41">
        <v>1.0</v>
      </c>
      <c r="G938" s="41">
        <v>19900.0</v>
      </c>
      <c r="H938" s="41">
        <v>0.0</v>
      </c>
    </row>
    <row r="939" ht="15.75" customHeight="1">
      <c r="A939" s="40" t="s">
        <v>93</v>
      </c>
      <c r="B939" s="40" t="s">
        <v>117</v>
      </c>
      <c r="C939" s="40" t="s">
        <v>1544</v>
      </c>
      <c r="D939" s="40" t="s">
        <v>1545</v>
      </c>
      <c r="E939" s="40" t="s">
        <v>1551</v>
      </c>
      <c r="F939" s="41">
        <v>37.0</v>
      </c>
      <c r="G939" s="41">
        <v>625300.0</v>
      </c>
      <c r="H939" s="41">
        <v>0.0</v>
      </c>
    </row>
    <row r="940" ht="15.75" customHeight="1">
      <c r="A940" s="40" t="s">
        <v>93</v>
      </c>
      <c r="B940" s="40" t="s">
        <v>117</v>
      </c>
      <c r="C940" s="40" t="s">
        <v>1544</v>
      </c>
      <c r="D940" s="40" t="s">
        <v>1545</v>
      </c>
      <c r="E940" s="40" t="s">
        <v>1552</v>
      </c>
      <c r="F940" s="41">
        <v>2.0</v>
      </c>
      <c r="G940" s="41">
        <v>39800.0</v>
      </c>
      <c r="H940" s="41">
        <v>0.0</v>
      </c>
    </row>
    <row r="941" ht="15.75" customHeight="1">
      <c r="A941" s="40" t="s">
        <v>93</v>
      </c>
      <c r="B941" s="40" t="s">
        <v>117</v>
      </c>
      <c r="C941" s="40" t="s">
        <v>1544</v>
      </c>
      <c r="D941" s="40" t="s">
        <v>1545</v>
      </c>
      <c r="E941" s="40" t="s">
        <v>1553</v>
      </c>
      <c r="F941" s="41">
        <v>1.0</v>
      </c>
      <c r="G941" s="41">
        <v>12900.0</v>
      </c>
      <c r="H941" s="41">
        <v>0.0</v>
      </c>
    </row>
    <row r="942" ht="15.75" customHeight="1">
      <c r="A942" s="40" t="s">
        <v>93</v>
      </c>
      <c r="B942" s="40" t="s">
        <v>117</v>
      </c>
      <c r="C942" s="40" t="s">
        <v>1544</v>
      </c>
      <c r="D942" s="40" t="s">
        <v>1545</v>
      </c>
      <c r="E942" s="40" t="s">
        <v>1554</v>
      </c>
      <c r="F942" s="41">
        <v>0.0</v>
      </c>
      <c r="G942" s="41">
        <v>0.0</v>
      </c>
      <c r="H942" s="41">
        <v>0.0</v>
      </c>
    </row>
    <row r="943" ht="15.75" customHeight="1">
      <c r="A943" s="40" t="s">
        <v>93</v>
      </c>
      <c r="B943" s="40" t="s">
        <v>117</v>
      </c>
      <c r="C943" s="40" t="s">
        <v>1544</v>
      </c>
      <c r="D943" s="40" t="s">
        <v>1545</v>
      </c>
      <c r="E943" s="40" t="s">
        <v>1555</v>
      </c>
      <c r="F943" s="41">
        <v>409.0</v>
      </c>
      <c r="G943" s="41">
        <v>6503100.0</v>
      </c>
      <c r="H943" s="41">
        <v>0.0</v>
      </c>
    </row>
    <row r="944" ht="15.75" customHeight="1">
      <c r="A944" s="40" t="s">
        <v>93</v>
      </c>
      <c r="B944" s="40" t="s">
        <v>117</v>
      </c>
      <c r="C944" s="40" t="s">
        <v>1544</v>
      </c>
      <c r="D944" s="40" t="s">
        <v>1545</v>
      </c>
      <c r="E944" s="40" t="s">
        <v>1556</v>
      </c>
      <c r="F944" s="41">
        <v>0.0</v>
      </c>
      <c r="G944" s="41">
        <v>0.0</v>
      </c>
      <c r="H944" s="41">
        <v>0.0</v>
      </c>
    </row>
    <row r="945" ht="15.75" customHeight="1">
      <c r="A945" s="40" t="s">
        <v>93</v>
      </c>
      <c r="B945" s="40" t="s">
        <v>117</v>
      </c>
      <c r="C945" s="40" t="s">
        <v>1544</v>
      </c>
      <c r="D945" s="40" t="s">
        <v>1545</v>
      </c>
      <c r="E945" s="40" t="s">
        <v>1557</v>
      </c>
      <c r="F945" s="41">
        <v>0.0</v>
      </c>
      <c r="G945" s="41">
        <v>0.0</v>
      </c>
      <c r="H945" s="41">
        <v>0.0</v>
      </c>
    </row>
    <row r="946" ht="15.75" customHeight="1">
      <c r="A946" s="40" t="s">
        <v>93</v>
      </c>
      <c r="B946" s="40" t="s">
        <v>117</v>
      </c>
      <c r="C946" s="40" t="s">
        <v>1544</v>
      </c>
      <c r="D946" s="40" t="s">
        <v>1545</v>
      </c>
      <c r="E946" s="40" t="s">
        <v>1558</v>
      </c>
      <c r="F946" s="41">
        <v>0.0</v>
      </c>
      <c r="G946" s="41">
        <v>0.0</v>
      </c>
      <c r="H946" s="41">
        <v>0.0</v>
      </c>
    </row>
    <row r="947" ht="15.75" customHeight="1">
      <c r="A947" s="40" t="s">
        <v>93</v>
      </c>
      <c r="B947" s="40" t="s">
        <v>117</v>
      </c>
      <c r="C947" s="40" t="s">
        <v>1544</v>
      </c>
      <c r="D947" s="40" t="s">
        <v>1545</v>
      </c>
      <c r="E947" s="40" t="s">
        <v>1559</v>
      </c>
      <c r="F947" s="41">
        <v>0.0</v>
      </c>
      <c r="G947" s="41">
        <v>0.0</v>
      </c>
      <c r="H947" s="41">
        <v>0.0</v>
      </c>
    </row>
    <row r="948" ht="15.75" customHeight="1">
      <c r="A948" s="40" t="s">
        <v>93</v>
      </c>
      <c r="B948" s="40" t="s">
        <v>117</v>
      </c>
      <c r="C948" s="40" t="s">
        <v>1544</v>
      </c>
      <c r="D948" s="40" t="s">
        <v>1545</v>
      </c>
      <c r="E948" s="40" t="s">
        <v>1560</v>
      </c>
      <c r="F948" s="41">
        <v>202.0</v>
      </c>
      <c r="G948" s="41">
        <v>3211800.0</v>
      </c>
      <c r="H948" s="41">
        <v>0.0</v>
      </c>
    </row>
    <row r="949" ht="15.75" customHeight="1">
      <c r="A949" s="40" t="s">
        <v>93</v>
      </c>
      <c r="B949" s="40" t="s">
        <v>117</v>
      </c>
      <c r="C949" s="40" t="s">
        <v>1544</v>
      </c>
      <c r="D949" s="40" t="s">
        <v>1545</v>
      </c>
      <c r="E949" s="40" t="s">
        <v>1561</v>
      </c>
      <c r="F949" s="41">
        <v>40.0</v>
      </c>
      <c r="G949" s="41">
        <v>482000.0</v>
      </c>
      <c r="H949" s="41">
        <v>0.0</v>
      </c>
    </row>
    <row r="950" ht="15.75" customHeight="1">
      <c r="A950" s="40" t="s">
        <v>93</v>
      </c>
      <c r="B950" s="40" t="s">
        <v>117</v>
      </c>
      <c r="C950" s="40" t="s">
        <v>1544</v>
      </c>
      <c r="D950" s="40" t="s">
        <v>1545</v>
      </c>
      <c r="E950" s="40" t="s">
        <v>1562</v>
      </c>
      <c r="F950" s="41">
        <v>1.0</v>
      </c>
      <c r="G950" s="41">
        <v>37900.0</v>
      </c>
      <c r="H950" s="41">
        <v>0.0</v>
      </c>
    </row>
    <row r="951" ht="15.75" customHeight="1">
      <c r="A951" s="40" t="s">
        <v>93</v>
      </c>
      <c r="B951" s="40" t="s">
        <v>117</v>
      </c>
      <c r="C951" s="40" t="s">
        <v>1544</v>
      </c>
      <c r="D951" s="40" t="s">
        <v>1545</v>
      </c>
      <c r="E951" s="40" t="s">
        <v>1563</v>
      </c>
      <c r="F951" s="41">
        <v>2.0</v>
      </c>
      <c r="G951" s="41">
        <v>71800.0</v>
      </c>
      <c r="H951" s="41">
        <v>0.0</v>
      </c>
    </row>
    <row r="952" ht="15.75" customHeight="1">
      <c r="A952" s="40" t="s">
        <v>93</v>
      </c>
      <c r="B952" s="40" t="s">
        <v>117</v>
      </c>
      <c r="C952" s="40" t="s">
        <v>1544</v>
      </c>
      <c r="D952" s="40" t="s">
        <v>1545</v>
      </c>
      <c r="E952" s="40" t="s">
        <v>1564</v>
      </c>
      <c r="F952" s="41">
        <v>1.0</v>
      </c>
      <c r="G952" s="41">
        <v>22900.0</v>
      </c>
      <c r="H952" s="41">
        <v>0.0</v>
      </c>
    </row>
    <row r="953" ht="15.75" customHeight="1">
      <c r="A953" s="40" t="s">
        <v>93</v>
      </c>
      <c r="B953" s="40" t="s">
        <v>117</v>
      </c>
      <c r="C953" s="40" t="s">
        <v>1544</v>
      </c>
      <c r="D953" s="40" t="s">
        <v>1545</v>
      </c>
      <c r="E953" s="40" t="s">
        <v>1551</v>
      </c>
      <c r="F953" s="41">
        <v>4.0</v>
      </c>
      <c r="G953" s="41">
        <v>79600.0</v>
      </c>
      <c r="H953" s="41">
        <v>0.0</v>
      </c>
    </row>
    <row r="954" ht="15.75" customHeight="1">
      <c r="A954" s="40" t="s">
        <v>93</v>
      </c>
      <c r="B954" s="40" t="s">
        <v>117</v>
      </c>
      <c r="C954" s="40" t="s">
        <v>1544</v>
      </c>
      <c r="D954" s="40" t="s">
        <v>1545</v>
      </c>
      <c r="E954" s="40" t="s">
        <v>1565</v>
      </c>
      <c r="F954" s="41">
        <v>95.0</v>
      </c>
      <c r="G954" s="41">
        <v>1805000.0</v>
      </c>
      <c r="H954" s="41">
        <v>0.0</v>
      </c>
    </row>
    <row r="955" ht="15.75" customHeight="1">
      <c r="A955" s="40" t="s">
        <v>93</v>
      </c>
      <c r="B955" s="40" t="s">
        <v>174</v>
      </c>
      <c r="C955" s="40" t="s">
        <v>1566</v>
      </c>
      <c r="D955" s="40" t="s">
        <v>1567</v>
      </c>
      <c r="E955" s="40" t="s">
        <v>1568</v>
      </c>
      <c r="F955" s="41">
        <v>3.0</v>
      </c>
      <c r="G955" s="41">
        <v>80700.0</v>
      </c>
      <c r="H955" s="41">
        <v>4570.0</v>
      </c>
    </row>
    <row r="956" ht="15.75" customHeight="1">
      <c r="A956" s="40" t="s">
        <v>93</v>
      </c>
      <c r="B956" s="40" t="s">
        <v>186</v>
      </c>
      <c r="C956" s="40" t="s">
        <v>1569</v>
      </c>
      <c r="D956" s="40" t="s">
        <v>1570</v>
      </c>
      <c r="E956" s="40" t="s">
        <v>1571</v>
      </c>
      <c r="F956" s="41">
        <v>0.0</v>
      </c>
      <c r="G956" s="41">
        <v>0.0</v>
      </c>
      <c r="H956" s="41">
        <v>0.0</v>
      </c>
      <c r="J956" s="47" t="s">
        <v>174</v>
      </c>
      <c r="M956" s="48"/>
    </row>
    <row r="957" ht="15.75" customHeight="1">
      <c r="A957" s="40" t="s">
        <v>93</v>
      </c>
      <c r="B957" s="40" t="s">
        <v>186</v>
      </c>
      <c r="C957" s="40" t="s">
        <v>1569</v>
      </c>
      <c r="D957" s="40" t="s">
        <v>1570</v>
      </c>
      <c r="E957" s="40" t="s">
        <v>1572</v>
      </c>
      <c r="F957" s="41">
        <v>0.0</v>
      </c>
      <c r="G957" s="41">
        <v>0.0</v>
      </c>
      <c r="H957" s="41">
        <v>0.0</v>
      </c>
      <c r="J957" s="47" t="s">
        <v>117</v>
      </c>
      <c r="M957" s="48"/>
    </row>
    <row r="958" ht="15.75" customHeight="1">
      <c r="A958" s="40" t="s">
        <v>93</v>
      </c>
      <c r="B958" s="40" t="s">
        <v>186</v>
      </c>
      <c r="C958" s="40" t="s">
        <v>1569</v>
      </c>
      <c r="D958" s="40" t="s">
        <v>1570</v>
      </c>
      <c r="E958" s="40" t="s">
        <v>1573</v>
      </c>
      <c r="F958" s="41">
        <v>0.0</v>
      </c>
      <c r="G958" s="41">
        <v>0.0</v>
      </c>
      <c r="H958" s="41">
        <v>0.0</v>
      </c>
      <c r="J958" s="47" t="s">
        <v>117</v>
      </c>
      <c r="M958" s="48"/>
    </row>
    <row r="959" ht="15.75" customHeight="1">
      <c r="A959" s="40" t="s">
        <v>93</v>
      </c>
      <c r="B959" s="40" t="s">
        <v>186</v>
      </c>
      <c r="C959" s="40" t="s">
        <v>1569</v>
      </c>
      <c r="D959" s="40" t="s">
        <v>1570</v>
      </c>
      <c r="E959" s="40" t="s">
        <v>1574</v>
      </c>
      <c r="F959" s="41">
        <v>0.0</v>
      </c>
      <c r="G959" s="41">
        <v>0.0</v>
      </c>
      <c r="H959" s="41">
        <v>0.0</v>
      </c>
      <c r="J959" s="47" t="s">
        <v>117</v>
      </c>
      <c r="M959" s="48"/>
    </row>
    <row r="960" ht="15.75" customHeight="1">
      <c r="A960" s="40" t="s">
        <v>93</v>
      </c>
      <c r="B960" s="40" t="s">
        <v>186</v>
      </c>
      <c r="C960" s="40" t="s">
        <v>1569</v>
      </c>
      <c r="D960" s="40" t="s">
        <v>1570</v>
      </c>
      <c r="E960" s="40" t="s">
        <v>1575</v>
      </c>
      <c r="F960" s="41">
        <v>0.0</v>
      </c>
      <c r="G960" s="41">
        <v>0.0</v>
      </c>
      <c r="H960" s="41">
        <v>0.0</v>
      </c>
      <c r="J960" s="47" t="s">
        <v>186</v>
      </c>
      <c r="M960" s="48"/>
    </row>
    <row r="961" ht="15.75" customHeight="1">
      <c r="A961" s="40" t="s">
        <v>93</v>
      </c>
      <c r="B961" s="40" t="s">
        <v>117</v>
      </c>
      <c r="C961" s="40" t="s">
        <v>1576</v>
      </c>
      <c r="D961" s="40" t="s">
        <v>1577</v>
      </c>
      <c r="E961" s="40" t="s">
        <v>1578</v>
      </c>
      <c r="F961" s="41">
        <v>4.0</v>
      </c>
      <c r="G961" s="41">
        <v>100000.0</v>
      </c>
      <c r="H961" s="41">
        <v>0.0</v>
      </c>
      <c r="J961" s="47" t="s">
        <v>186</v>
      </c>
      <c r="M961" s="48"/>
    </row>
    <row r="962" ht="15.75" customHeight="1">
      <c r="A962" s="40" t="s">
        <v>93</v>
      </c>
      <c r="B962" s="40" t="s">
        <v>117</v>
      </c>
      <c r="C962" s="40" t="s">
        <v>1576</v>
      </c>
      <c r="D962" s="40" t="s">
        <v>1577</v>
      </c>
      <c r="E962" s="40" t="s">
        <v>1579</v>
      </c>
      <c r="F962" s="41">
        <v>8.0</v>
      </c>
      <c r="G962" s="41">
        <v>120000.0</v>
      </c>
      <c r="H962" s="41">
        <v>4740.0</v>
      </c>
    </row>
    <row r="963" ht="15.75" customHeight="1">
      <c r="A963" s="40" t="s">
        <v>93</v>
      </c>
      <c r="B963" s="40" t="s">
        <v>186</v>
      </c>
      <c r="C963" s="40" t="s">
        <v>1580</v>
      </c>
      <c r="D963" s="40" t="s">
        <v>1581</v>
      </c>
      <c r="E963" s="40" t="s">
        <v>1582</v>
      </c>
      <c r="F963" s="41">
        <v>5.0</v>
      </c>
      <c r="G963" s="41">
        <v>142500.0</v>
      </c>
      <c r="H963" s="41">
        <v>10000.0</v>
      </c>
    </row>
    <row r="964" ht="15.75" customHeight="1">
      <c r="A964" s="40" t="s">
        <v>93</v>
      </c>
      <c r="B964" s="40" t="s">
        <v>186</v>
      </c>
      <c r="C964" s="40" t="s">
        <v>1580</v>
      </c>
      <c r="D964" s="40" t="s">
        <v>1581</v>
      </c>
      <c r="E964" s="40" t="s">
        <v>1583</v>
      </c>
      <c r="F964" s="41">
        <v>0.0</v>
      </c>
      <c r="G964" s="41">
        <v>0.0</v>
      </c>
      <c r="H964" s="41">
        <v>0.0</v>
      </c>
    </row>
    <row r="965" ht="15.75" customHeight="1">
      <c r="A965" s="40" t="s">
        <v>93</v>
      </c>
      <c r="B965" s="40" t="s">
        <v>186</v>
      </c>
      <c r="C965" s="40" t="s">
        <v>1580</v>
      </c>
      <c r="D965" s="40" t="s">
        <v>1581</v>
      </c>
      <c r="E965" s="40" t="s">
        <v>1584</v>
      </c>
      <c r="F965" s="41">
        <v>0.0</v>
      </c>
      <c r="G965" s="41">
        <v>0.0</v>
      </c>
      <c r="H965" s="41">
        <v>0.0</v>
      </c>
    </row>
    <row r="966" ht="15.75" customHeight="1">
      <c r="A966" s="40" t="s">
        <v>93</v>
      </c>
      <c r="B966" s="40" t="s">
        <v>186</v>
      </c>
      <c r="C966" s="40" t="s">
        <v>1580</v>
      </c>
      <c r="D966" s="40" t="s">
        <v>1581</v>
      </c>
      <c r="E966" s="40" t="s">
        <v>1585</v>
      </c>
      <c r="F966" s="41">
        <v>0.0</v>
      </c>
      <c r="G966" s="41">
        <v>0.0</v>
      </c>
      <c r="H966" s="41">
        <v>0.0</v>
      </c>
    </row>
    <row r="967" ht="15.75" customHeight="1">
      <c r="A967" s="40" t="s">
        <v>93</v>
      </c>
      <c r="B967" s="40" t="s">
        <v>186</v>
      </c>
      <c r="C967" s="40" t="s">
        <v>1580</v>
      </c>
      <c r="D967" s="40" t="s">
        <v>1581</v>
      </c>
      <c r="E967" s="40" t="s">
        <v>1586</v>
      </c>
      <c r="F967" s="41">
        <v>0.0</v>
      </c>
      <c r="G967" s="41">
        <v>0.0</v>
      </c>
      <c r="H967" s="41">
        <v>0.0</v>
      </c>
    </row>
    <row r="968" ht="15.75" customHeight="1">
      <c r="A968" s="40" t="s">
        <v>93</v>
      </c>
      <c r="B968" s="40" t="s">
        <v>186</v>
      </c>
      <c r="C968" s="40" t="s">
        <v>1580</v>
      </c>
      <c r="D968" s="40" t="s">
        <v>1581</v>
      </c>
      <c r="E968" s="40" t="s">
        <v>1587</v>
      </c>
      <c r="F968" s="41">
        <v>103.0</v>
      </c>
      <c r="G968" s="41">
        <v>1534700.0</v>
      </c>
      <c r="H968" s="41">
        <v>47260.0</v>
      </c>
    </row>
    <row r="969" ht="15.75" customHeight="1">
      <c r="A969" s="40" t="s">
        <v>93</v>
      </c>
      <c r="B969" s="40" t="s">
        <v>186</v>
      </c>
      <c r="C969" s="40" t="s">
        <v>1580</v>
      </c>
      <c r="D969" s="40" t="s">
        <v>1581</v>
      </c>
      <c r="E969" s="40" t="s">
        <v>1588</v>
      </c>
      <c r="F969" s="41">
        <v>0.0</v>
      </c>
      <c r="G969" s="41">
        <v>0.0</v>
      </c>
      <c r="H969" s="41">
        <v>0.0</v>
      </c>
    </row>
    <row r="970" ht="15.75" customHeight="1">
      <c r="A970" s="40" t="s">
        <v>93</v>
      </c>
      <c r="B970" s="40" t="s">
        <v>186</v>
      </c>
      <c r="C970" s="40" t="s">
        <v>1580</v>
      </c>
      <c r="D970" s="40" t="s">
        <v>1581</v>
      </c>
      <c r="E970" s="40" t="s">
        <v>1589</v>
      </c>
      <c r="F970" s="41">
        <v>0.0</v>
      </c>
      <c r="G970" s="41">
        <v>0.0</v>
      </c>
      <c r="H970" s="41">
        <v>0.0</v>
      </c>
    </row>
    <row r="971" ht="15.75" customHeight="1">
      <c r="A971" s="40" t="s">
        <v>93</v>
      </c>
      <c r="B971" s="40" t="s">
        <v>186</v>
      </c>
      <c r="C971" s="40" t="s">
        <v>1580</v>
      </c>
      <c r="D971" s="40" t="s">
        <v>1581</v>
      </c>
      <c r="E971" s="40" t="s">
        <v>1592</v>
      </c>
      <c r="F971" s="41">
        <v>0.0</v>
      </c>
      <c r="G971" s="41">
        <v>0.0</v>
      </c>
      <c r="H971" s="41">
        <v>0.0</v>
      </c>
    </row>
    <row r="972" ht="15.75" customHeight="1">
      <c r="A972" s="40" t="s">
        <v>93</v>
      </c>
      <c r="B972" s="40" t="s">
        <v>186</v>
      </c>
      <c r="C972" s="40" t="s">
        <v>1580</v>
      </c>
      <c r="D972" s="40" t="s">
        <v>1581</v>
      </c>
      <c r="E972" s="40" t="s">
        <v>1593</v>
      </c>
      <c r="F972" s="41">
        <v>0.0</v>
      </c>
      <c r="G972" s="41">
        <v>0.0</v>
      </c>
      <c r="H972" s="41">
        <v>0.0</v>
      </c>
    </row>
    <row r="973" ht="15.75" customHeight="1">
      <c r="A973" s="40" t="s">
        <v>93</v>
      </c>
      <c r="B973" s="40" t="s">
        <v>186</v>
      </c>
      <c r="C973" s="40" t="s">
        <v>1580</v>
      </c>
      <c r="D973" s="40" t="s">
        <v>1581</v>
      </c>
      <c r="E973" s="40" t="s">
        <v>1594</v>
      </c>
      <c r="F973" s="41">
        <v>0.0</v>
      </c>
      <c r="G973" s="41">
        <v>0.0</v>
      </c>
      <c r="H973" s="41">
        <v>0.0</v>
      </c>
    </row>
    <row r="974" ht="15.75" customHeight="1">
      <c r="A974" s="40" t="s">
        <v>93</v>
      </c>
      <c r="B974" s="40" t="s">
        <v>186</v>
      </c>
      <c r="C974" s="40" t="s">
        <v>1281</v>
      </c>
      <c r="D974" s="40" t="s">
        <v>1279</v>
      </c>
      <c r="E974" s="40" t="s">
        <v>1595</v>
      </c>
      <c r="F974" s="41">
        <v>0.0</v>
      </c>
      <c r="G974" s="41">
        <v>0.0</v>
      </c>
      <c r="H974" s="41">
        <v>0.0</v>
      </c>
    </row>
    <row r="975" ht="15.75" customHeight="1">
      <c r="A975" s="40" t="s">
        <v>93</v>
      </c>
      <c r="B975" s="40" t="s">
        <v>186</v>
      </c>
      <c r="C975" s="40" t="s">
        <v>1281</v>
      </c>
      <c r="D975" s="40" t="s">
        <v>1279</v>
      </c>
      <c r="E975" s="40" t="s">
        <v>1596</v>
      </c>
      <c r="F975" s="41">
        <v>0.0</v>
      </c>
      <c r="G975" s="41">
        <v>0.0</v>
      </c>
      <c r="H975" s="41">
        <v>0.0</v>
      </c>
      <c r="J975" s="47" t="s">
        <v>117</v>
      </c>
      <c r="M975" s="48"/>
    </row>
    <row r="976" ht="15.75" customHeight="1">
      <c r="A976" s="40" t="s">
        <v>93</v>
      </c>
      <c r="B976" s="40" t="s">
        <v>186</v>
      </c>
      <c r="C976" s="40" t="s">
        <v>1281</v>
      </c>
      <c r="D976" s="40" t="s">
        <v>1279</v>
      </c>
      <c r="E976" s="40" t="s">
        <v>1597</v>
      </c>
      <c r="F976" s="41">
        <v>0.0</v>
      </c>
      <c r="G976" s="41">
        <v>0.0</v>
      </c>
      <c r="H976" s="41">
        <v>0.0</v>
      </c>
      <c r="J976" s="47" t="s">
        <v>117</v>
      </c>
      <c r="M976" s="48"/>
    </row>
    <row r="977" ht="15.75" customHeight="1">
      <c r="A977" s="40" t="s">
        <v>93</v>
      </c>
      <c r="B977" s="40" t="s">
        <v>186</v>
      </c>
      <c r="C977" s="40" t="s">
        <v>1281</v>
      </c>
      <c r="D977" s="40" t="s">
        <v>1279</v>
      </c>
      <c r="E977" s="40" t="s">
        <v>1598</v>
      </c>
      <c r="F977" s="41">
        <v>0.0</v>
      </c>
      <c r="G977" s="41">
        <v>0.0</v>
      </c>
      <c r="H977" s="41">
        <v>0.0</v>
      </c>
      <c r="J977" s="47" t="s">
        <v>117</v>
      </c>
      <c r="M977" s="48"/>
    </row>
    <row r="978" ht="15.75" customHeight="1">
      <c r="A978" s="40" t="s">
        <v>93</v>
      </c>
      <c r="B978" s="40" t="s">
        <v>186</v>
      </c>
      <c r="C978" s="40" t="s">
        <v>1599</v>
      </c>
      <c r="D978" s="40" t="s">
        <v>1600</v>
      </c>
      <c r="E978" s="40" t="s">
        <v>1601</v>
      </c>
      <c r="F978" s="41">
        <v>0.0</v>
      </c>
      <c r="G978" s="41">
        <v>0.0</v>
      </c>
      <c r="H978" s="41">
        <v>0.0</v>
      </c>
    </row>
    <row r="979" ht="15.75" customHeight="1">
      <c r="A979" s="40" t="s">
        <v>93</v>
      </c>
      <c r="B979" s="40" t="s">
        <v>186</v>
      </c>
      <c r="C979" s="40" t="s">
        <v>1599</v>
      </c>
      <c r="D979" s="40" t="s">
        <v>1600</v>
      </c>
      <c r="E979" s="40" t="s">
        <v>1602</v>
      </c>
      <c r="F979" s="41">
        <v>1.0</v>
      </c>
      <c r="G979" s="41">
        <v>26900.0</v>
      </c>
      <c r="H979" s="41">
        <v>0.0</v>
      </c>
    </row>
    <row r="980" ht="15.75" customHeight="1">
      <c r="A980" s="40" t="s">
        <v>93</v>
      </c>
      <c r="B980" s="40" t="s">
        <v>186</v>
      </c>
      <c r="C980" s="40" t="s">
        <v>1599</v>
      </c>
      <c r="D980" s="40" t="s">
        <v>1600</v>
      </c>
      <c r="E980" s="40" t="s">
        <v>1603</v>
      </c>
      <c r="F980" s="41">
        <v>17.0</v>
      </c>
      <c r="G980" s="41">
        <v>651300.0</v>
      </c>
      <c r="H980" s="41">
        <v>32140.0</v>
      </c>
    </row>
    <row r="981" ht="15.75" customHeight="1">
      <c r="A981" s="40" t="s">
        <v>93</v>
      </c>
      <c r="B981" s="40" t="s">
        <v>186</v>
      </c>
      <c r="C981" s="40" t="s">
        <v>1599</v>
      </c>
      <c r="D981" s="40" t="s">
        <v>1600</v>
      </c>
      <c r="E981" s="40" t="s">
        <v>1604</v>
      </c>
      <c r="F981" s="41">
        <v>9.0</v>
      </c>
      <c r="G981" s="41">
        <v>398800.0</v>
      </c>
      <c r="H981" s="41">
        <v>0.0</v>
      </c>
    </row>
    <row r="982" ht="15.75" customHeight="1">
      <c r="A982" s="40" t="s">
        <v>93</v>
      </c>
      <c r="B982" s="40" t="s">
        <v>186</v>
      </c>
      <c r="C982" s="40" t="s">
        <v>1599</v>
      </c>
      <c r="D982" s="40" t="s">
        <v>1600</v>
      </c>
      <c r="E982" s="40" t="s">
        <v>1605</v>
      </c>
      <c r="F982" s="41">
        <v>0.0</v>
      </c>
      <c r="G982" s="41">
        <v>0.0</v>
      </c>
      <c r="H982" s="41">
        <v>0.0</v>
      </c>
    </row>
    <row r="983" ht="15.75" customHeight="1">
      <c r="A983" s="40" t="s">
        <v>93</v>
      </c>
      <c r="B983" s="40" t="s">
        <v>186</v>
      </c>
      <c r="C983" s="40" t="s">
        <v>1599</v>
      </c>
      <c r="D983" s="40" t="s">
        <v>1600</v>
      </c>
      <c r="E983" s="40" t="s">
        <v>1606</v>
      </c>
      <c r="F983" s="41">
        <v>0.0</v>
      </c>
      <c r="G983" s="41">
        <v>0.0</v>
      </c>
      <c r="H983" s="41">
        <v>0.0</v>
      </c>
    </row>
    <row r="984" ht="15.75" customHeight="1">
      <c r="A984" s="40" t="s">
        <v>93</v>
      </c>
      <c r="B984" s="40" t="s">
        <v>186</v>
      </c>
      <c r="C984" s="40" t="s">
        <v>1599</v>
      </c>
      <c r="D984" s="40" t="s">
        <v>1600</v>
      </c>
      <c r="E984" s="40" t="s">
        <v>1607</v>
      </c>
      <c r="F984" s="41">
        <v>0.0</v>
      </c>
      <c r="G984" s="41">
        <v>0.0</v>
      </c>
      <c r="H984" s="41">
        <v>0.0</v>
      </c>
    </row>
    <row r="985" ht="15.75" customHeight="1">
      <c r="A985" s="40" t="s">
        <v>93</v>
      </c>
      <c r="B985" s="40" t="s">
        <v>186</v>
      </c>
      <c r="C985" s="40" t="s">
        <v>1599</v>
      </c>
      <c r="D985" s="40" t="s">
        <v>1600</v>
      </c>
      <c r="E985" s="40" t="s">
        <v>1608</v>
      </c>
      <c r="F985" s="41">
        <v>0.0</v>
      </c>
      <c r="G985" s="41">
        <v>0.0</v>
      </c>
      <c r="H985" s="41">
        <v>0.0</v>
      </c>
    </row>
    <row r="986" ht="15.75" customHeight="1">
      <c r="A986" s="40" t="s">
        <v>93</v>
      </c>
      <c r="B986" s="40" t="s">
        <v>186</v>
      </c>
      <c r="C986" s="40" t="s">
        <v>1599</v>
      </c>
      <c r="D986" s="40" t="s">
        <v>1600</v>
      </c>
      <c r="E986" s="40" t="s">
        <v>1609</v>
      </c>
      <c r="F986" s="41">
        <v>0.0</v>
      </c>
      <c r="G986" s="41">
        <v>0.0</v>
      </c>
      <c r="H986" s="41">
        <v>0.0</v>
      </c>
    </row>
    <row r="987" ht="15.75" customHeight="1">
      <c r="A987" s="40" t="s">
        <v>93</v>
      </c>
      <c r="B987" s="40" t="s">
        <v>186</v>
      </c>
      <c r="C987" s="40" t="s">
        <v>1599</v>
      </c>
      <c r="D987" s="40" t="s">
        <v>1600</v>
      </c>
      <c r="E987" s="40" t="s">
        <v>1610</v>
      </c>
      <c r="F987" s="41">
        <v>1.0</v>
      </c>
      <c r="G987" s="41">
        <v>49900.0</v>
      </c>
      <c r="H987" s="41">
        <v>0.0</v>
      </c>
    </row>
    <row r="988" ht="15.75" customHeight="1">
      <c r="A988" s="40" t="s">
        <v>93</v>
      </c>
      <c r="B988" s="40" t="s">
        <v>186</v>
      </c>
      <c r="C988" s="40" t="s">
        <v>1599</v>
      </c>
      <c r="D988" s="40" t="s">
        <v>1600</v>
      </c>
      <c r="E988" s="40" t="s">
        <v>1611</v>
      </c>
      <c r="F988" s="41">
        <v>0.0</v>
      </c>
      <c r="G988" s="41">
        <v>0.0</v>
      </c>
      <c r="H988" s="41">
        <v>0.0</v>
      </c>
    </row>
    <row r="989" ht="15.75" customHeight="1">
      <c r="A989" s="40" t="s">
        <v>93</v>
      </c>
      <c r="B989" s="40" t="s">
        <v>186</v>
      </c>
      <c r="C989" s="40" t="s">
        <v>1599</v>
      </c>
      <c r="D989" s="40" t="s">
        <v>1600</v>
      </c>
      <c r="E989" s="40" t="s">
        <v>1612</v>
      </c>
      <c r="F989" s="41">
        <v>0.0</v>
      </c>
      <c r="G989" s="41">
        <v>0.0</v>
      </c>
      <c r="H989" s="41">
        <v>0.0</v>
      </c>
    </row>
    <row r="990" ht="15.75" customHeight="1">
      <c r="A990" s="40" t="s">
        <v>93</v>
      </c>
      <c r="B990" s="40" t="s">
        <v>186</v>
      </c>
      <c r="C990" s="40" t="s">
        <v>1599</v>
      </c>
      <c r="D990" s="40" t="s">
        <v>1600</v>
      </c>
      <c r="E990" s="40" t="s">
        <v>1613</v>
      </c>
      <c r="F990" s="41">
        <v>0.0</v>
      </c>
      <c r="G990" s="41">
        <v>0.0</v>
      </c>
      <c r="H990" s="41">
        <v>0.0</v>
      </c>
    </row>
    <row r="991" ht="15.75" customHeight="1">
      <c r="A991" s="40" t="s">
        <v>93</v>
      </c>
      <c r="B991" s="40" t="s">
        <v>186</v>
      </c>
      <c r="C991" s="40" t="s">
        <v>1599</v>
      </c>
      <c r="D991" s="40" t="s">
        <v>1600</v>
      </c>
      <c r="E991" s="40" t="s">
        <v>1614</v>
      </c>
      <c r="F991" s="41">
        <v>0.0</v>
      </c>
      <c r="G991" s="41">
        <v>0.0</v>
      </c>
      <c r="H991" s="41">
        <v>0.0</v>
      </c>
    </row>
    <row r="992" ht="15.75" customHeight="1">
      <c r="A992" s="40" t="s">
        <v>93</v>
      </c>
      <c r="B992" s="40" t="s">
        <v>186</v>
      </c>
      <c r="C992" s="40" t="s">
        <v>1599</v>
      </c>
      <c r="D992" s="40" t="s">
        <v>1600</v>
      </c>
      <c r="E992" s="40" t="s">
        <v>1615</v>
      </c>
      <c r="F992" s="41">
        <v>7.0</v>
      </c>
      <c r="G992" s="41">
        <v>125500.0</v>
      </c>
      <c r="H992" s="41">
        <v>3500.0</v>
      </c>
    </row>
    <row r="993" ht="15.75" customHeight="1">
      <c r="A993" s="40" t="s">
        <v>93</v>
      </c>
      <c r="B993" s="40" t="s">
        <v>186</v>
      </c>
      <c r="C993" s="40" t="s">
        <v>1599</v>
      </c>
      <c r="D993" s="40" t="s">
        <v>1600</v>
      </c>
      <c r="E993" s="40" t="s">
        <v>1616</v>
      </c>
      <c r="F993" s="41">
        <v>8.0</v>
      </c>
      <c r="G993" s="41">
        <v>223200.0</v>
      </c>
      <c r="H993" s="41">
        <v>5380.0</v>
      </c>
    </row>
    <row r="994" ht="15.75" customHeight="1">
      <c r="A994" s="40" t="s">
        <v>93</v>
      </c>
      <c r="B994" s="40" t="s">
        <v>186</v>
      </c>
      <c r="C994" s="40" t="s">
        <v>1599</v>
      </c>
      <c r="D994" s="40" t="s">
        <v>1600</v>
      </c>
      <c r="E994" s="40" t="s">
        <v>1617</v>
      </c>
      <c r="F994" s="41">
        <v>26.0</v>
      </c>
      <c r="G994" s="41">
        <v>1031400.0</v>
      </c>
      <c r="H994" s="41">
        <v>0.0</v>
      </c>
    </row>
    <row r="995" ht="15.75" customHeight="1">
      <c r="A995" s="40" t="s">
        <v>93</v>
      </c>
      <c r="B995" s="40" t="s">
        <v>186</v>
      </c>
      <c r="C995" s="40" t="s">
        <v>1599</v>
      </c>
      <c r="D995" s="40" t="s">
        <v>1600</v>
      </c>
      <c r="E995" s="40" t="s">
        <v>1618</v>
      </c>
      <c r="F995" s="41">
        <v>242.0</v>
      </c>
      <c r="G995" s="41">
        <v>1.13498E7</v>
      </c>
      <c r="H995" s="41">
        <v>697380.0</v>
      </c>
    </row>
    <row r="996" ht="15.75" customHeight="1">
      <c r="A996" s="40" t="s">
        <v>93</v>
      </c>
      <c r="B996" s="40" t="s">
        <v>186</v>
      </c>
      <c r="C996" s="40" t="s">
        <v>1599</v>
      </c>
      <c r="D996" s="40" t="s">
        <v>1600</v>
      </c>
      <c r="E996" s="40" t="s">
        <v>1619</v>
      </c>
      <c r="F996" s="41">
        <v>1.0</v>
      </c>
      <c r="G996" s="41">
        <v>38900.0</v>
      </c>
      <c r="H996" s="41">
        <v>0.0</v>
      </c>
    </row>
    <row r="997" ht="15.75" customHeight="1">
      <c r="A997" s="40" t="s">
        <v>93</v>
      </c>
      <c r="B997" s="40" t="s">
        <v>117</v>
      </c>
      <c r="C997" s="40" t="s">
        <v>1620</v>
      </c>
      <c r="D997" s="40" t="s">
        <v>1621</v>
      </c>
      <c r="E997" s="40" t="s">
        <v>1622</v>
      </c>
      <c r="F997" s="41">
        <v>4114.0</v>
      </c>
      <c r="G997" s="41">
        <v>6.192828E7</v>
      </c>
      <c r="H997" s="41">
        <v>4994140.0</v>
      </c>
    </row>
    <row r="998" ht="15.75" customHeight="1">
      <c r="A998" s="40" t="s">
        <v>93</v>
      </c>
      <c r="B998" s="40" t="s">
        <v>186</v>
      </c>
      <c r="C998" s="40" t="s">
        <v>1623</v>
      </c>
      <c r="D998" s="40" t="s">
        <v>1624</v>
      </c>
      <c r="E998" s="40" t="s">
        <v>1625</v>
      </c>
      <c r="F998" s="41">
        <v>13.0</v>
      </c>
      <c r="G998" s="41">
        <v>142870.0</v>
      </c>
      <c r="H998" s="41">
        <v>0.0</v>
      </c>
    </row>
    <row r="999" ht="15.75" customHeight="1">
      <c r="A999" s="40" t="s">
        <v>93</v>
      </c>
      <c r="B999" s="40" t="s">
        <v>186</v>
      </c>
      <c r="C999" s="40" t="s">
        <v>1626</v>
      </c>
      <c r="D999" s="40" t="s">
        <v>1627</v>
      </c>
      <c r="E999" s="40" t="s">
        <v>1628</v>
      </c>
      <c r="F999" s="41">
        <v>959.0</v>
      </c>
      <c r="G999" s="41">
        <v>1.539938E7</v>
      </c>
      <c r="H999" s="41">
        <v>0.0</v>
      </c>
    </row>
    <row r="1000" ht="15.75" customHeight="1">
      <c r="A1000" s="40" t="s">
        <v>93</v>
      </c>
      <c r="B1000" s="40" t="s">
        <v>117</v>
      </c>
      <c r="C1000" s="40" t="s">
        <v>1343</v>
      </c>
      <c r="D1000" s="40" t="s">
        <v>1344</v>
      </c>
      <c r="E1000" s="40" t="s">
        <v>1629</v>
      </c>
      <c r="F1000" s="41">
        <v>0.0</v>
      </c>
      <c r="G1000" s="41">
        <v>0.0</v>
      </c>
      <c r="H1000" s="41">
        <v>0.0</v>
      </c>
    </row>
    <row r="1001" ht="15.75" customHeight="1">
      <c r="A1001" s="40" t="s">
        <v>93</v>
      </c>
      <c r="B1001" s="40" t="s">
        <v>117</v>
      </c>
      <c r="C1001" s="40" t="s">
        <v>1343</v>
      </c>
      <c r="D1001" s="40" t="s">
        <v>1344</v>
      </c>
      <c r="E1001" s="40" t="s">
        <v>1630</v>
      </c>
      <c r="F1001" s="41">
        <v>0.0</v>
      </c>
      <c r="G1001" s="41">
        <v>0.0</v>
      </c>
      <c r="H1001" s="41">
        <v>0.0</v>
      </c>
    </row>
    <row r="1002" ht="15.75" customHeight="1">
      <c r="A1002" s="40" t="s">
        <v>93</v>
      </c>
      <c r="B1002" s="40" t="s">
        <v>117</v>
      </c>
      <c r="C1002" s="40" t="s">
        <v>1343</v>
      </c>
      <c r="D1002" s="40" t="s">
        <v>1344</v>
      </c>
      <c r="E1002" s="40" t="s">
        <v>1631</v>
      </c>
      <c r="F1002" s="41">
        <v>0.0</v>
      </c>
      <c r="G1002" s="41">
        <v>0.0</v>
      </c>
      <c r="H1002" s="41">
        <v>0.0</v>
      </c>
    </row>
    <row r="1003" ht="15.75" customHeight="1">
      <c r="A1003" s="40" t="s">
        <v>93</v>
      </c>
      <c r="B1003" s="40" t="s">
        <v>186</v>
      </c>
      <c r="C1003" s="40" t="s">
        <v>1364</v>
      </c>
      <c r="D1003" s="40" t="s">
        <v>1365</v>
      </c>
      <c r="E1003" s="40" t="s">
        <v>1632</v>
      </c>
      <c r="F1003" s="41">
        <v>136.0</v>
      </c>
      <c r="G1003" s="41">
        <v>5908800.0</v>
      </c>
      <c r="H1003" s="41">
        <v>0.0</v>
      </c>
    </row>
    <row r="1004" ht="15.75" customHeight="1">
      <c r="A1004" s="40" t="s">
        <v>93</v>
      </c>
      <c r="B1004" s="40" t="s">
        <v>186</v>
      </c>
      <c r="C1004" s="40" t="s">
        <v>1541</v>
      </c>
      <c r="D1004" s="40" t="s">
        <v>1542</v>
      </c>
      <c r="E1004" s="40" t="s">
        <v>1633</v>
      </c>
      <c r="F1004" s="41">
        <v>0.0</v>
      </c>
      <c r="G1004" s="41">
        <v>0.0</v>
      </c>
      <c r="H1004" s="41">
        <v>0.0</v>
      </c>
    </row>
    <row r="1005" ht="15.75" customHeight="1">
      <c r="A1005" s="40" t="s">
        <v>93</v>
      </c>
      <c r="B1005" s="40" t="s">
        <v>186</v>
      </c>
      <c r="C1005" s="40" t="s">
        <v>1541</v>
      </c>
      <c r="D1005" s="40" t="s">
        <v>1542</v>
      </c>
      <c r="E1005" s="40" t="s">
        <v>1634</v>
      </c>
      <c r="F1005" s="41">
        <v>0.0</v>
      </c>
      <c r="G1005" s="41">
        <v>0.0</v>
      </c>
      <c r="H1005" s="41">
        <v>0.0</v>
      </c>
    </row>
    <row r="1006" ht="15.75" customHeight="1">
      <c r="A1006" s="40" t="s">
        <v>93</v>
      </c>
      <c r="B1006" s="46" t="s">
        <v>174</v>
      </c>
      <c r="C1006" s="40" t="s">
        <v>1635</v>
      </c>
      <c r="D1006" s="40" t="s">
        <v>1636</v>
      </c>
      <c r="E1006" s="40" t="s">
        <v>1637</v>
      </c>
      <c r="F1006" s="41">
        <v>14.0</v>
      </c>
      <c r="G1006" s="41">
        <v>197000.0</v>
      </c>
      <c r="H1006" s="41">
        <v>0.0</v>
      </c>
    </row>
    <row r="1007" ht="15.75" customHeight="1">
      <c r="A1007" s="40" t="s">
        <v>93</v>
      </c>
      <c r="B1007" s="40" t="s">
        <v>186</v>
      </c>
      <c r="C1007" s="40" t="s">
        <v>1569</v>
      </c>
      <c r="D1007" s="40" t="s">
        <v>1570</v>
      </c>
      <c r="E1007" s="40" t="s">
        <v>1571</v>
      </c>
      <c r="F1007" s="41">
        <v>0.0</v>
      </c>
      <c r="G1007" s="41">
        <v>0.0</v>
      </c>
      <c r="H1007" s="41">
        <v>0.0</v>
      </c>
      <c r="J1007" s="47" t="s">
        <v>117</v>
      </c>
      <c r="M1007" s="48"/>
    </row>
    <row r="1008" ht="15.75" customHeight="1">
      <c r="A1008" s="40" t="s">
        <v>93</v>
      </c>
      <c r="B1008" s="40" t="s">
        <v>186</v>
      </c>
      <c r="C1008" s="40" t="s">
        <v>1569</v>
      </c>
      <c r="D1008" s="40" t="s">
        <v>1570</v>
      </c>
      <c r="E1008" s="40" t="s">
        <v>1574</v>
      </c>
      <c r="F1008" s="41">
        <v>12.0</v>
      </c>
      <c r="G1008" s="41">
        <v>240000.0</v>
      </c>
      <c r="H1008" s="41">
        <v>0.0</v>
      </c>
      <c r="J1008" s="47" t="s">
        <v>117</v>
      </c>
      <c r="M1008" s="48"/>
    </row>
    <row r="1009" ht="15.75" customHeight="1">
      <c r="A1009" s="40" t="s">
        <v>93</v>
      </c>
      <c r="B1009" s="40" t="s">
        <v>186</v>
      </c>
      <c r="C1009" s="40" t="s">
        <v>1569</v>
      </c>
      <c r="D1009" s="40" t="s">
        <v>1570</v>
      </c>
      <c r="E1009" s="40" t="s">
        <v>1575</v>
      </c>
      <c r="F1009" s="41">
        <v>3.0</v>
      </c>
      <c r="G1009" s="41">
        <v>54000.0</v>
      </c>
      <c r="H1009" s="41">
        <v>0.0</v>
      </c>
      <c r="J1009" s="47" t="s">
        <v>117</v>
      </c>
      <c r="M1009" s="48"/>
    </row>
    <row r="1010" ht="15.75" customHeight="1">
      <c r="A1010" s="40" t="s">
        <v>93</v>
      </c>
      <c r="B1010" s="40" t="s">
        <v>117</v>
      </c>
      <c r="C1010" s="40" t="s">
        <v>1524</v>
      </c>
      <c r="D1010" s="40" t="s">
        <v>1525</v>
      </c>
      <c r="E1010" s="40" t="s">
        <v>1638</v>
      </c>
      <c r="F1010" s="41">
        <v>3307.0</v>
      </c>
      <c r="G1010" s="41">
        <v>5.84115E7</v>
      </c>
      <c r="H1010" s="41">
        <v>5725400.0</v>
      </c>
    </row>
    <row r="1011" ht="15.75" customHeight="1">
      <c r="A1011" s="40" t="s">
        <v>93</v>
      </c>
      <c r="B1011" s="40" t="s">
        <v>117</v>
      </c>
      <c r="C1011" s="40" t="s">
        <v>1524</v>
      </c>
      <c r="D1011" s="40" t="s">
        <v>1525</v>
      </c>
      <c r="E1011" s="40" t="s">
        <v>1639</v>
      </c>
      <c r="F1011" s="41">
        <v>0.0</v>
      </c>
      <c r="G1011" s="41">
        <v>0.0</v>
      </c>
      <c r="H1011" s="41">
        <v>0.0</v>
      </c>
    </row>
    <row r="1012" ht="15.75" customHeight="1">
      <c r="A1012" s="40" t="s">
        <v>93</v>
      </c>
      <c r="B1012" s="40" t="s">
        <v>117</v>
      </c>
      <c r="C1012" s="40" t="s">
        <v>1524</v>
      </c>
      <c r="D1012" s="40" t="s">
        <v>1525</v>
      </c>
      <c r="E1012" s="40" t="s">
        <v>1640</v>
      </c>
      <c r="F1012" s="41">
        <v>0.0</v>
      </c>
      <c r="G1012" s="41">
        <v>0.0</v>
      </c>
      <c r="H1012" s="41">
        <v>0.0</v>
      </c>
    </row>
    <row r="1013" ht="15.75" customHeight="1">
      <c r="A1013" s="40" t="s">
        <v>93</v>
      </c>
      <c r="B1013" s="40" t="s">
        <v>117</v>
      </c>
      <c r="C1013" s="40" t="s">
        <v>1524</v>
      </c>
      <c r="D1013" s="40" t="s">
        <v>1525</v>
      </c>
      <c r="E1013" s="40" t="s">
        <v>1641</v>
      </c>
      <c r="F1013" s="41">
        <v>1.0</v>
      </c>
      <c r="G1013" s="41">
        <v>28900.0</v>
      </c>
      <c r="H1013" s="41">
        <v>0.0</v>
      </c>
    </row>
    <row r="1014" ht="15.75" customHeight="1">
      <c r="A1014" s="40" t="s">
        <v>93</v>
      </c>
      <c r="B1014" s="40" t="s">
        <v>117</v>
      </c>
      <c r="C1014" s="40" t="s">
        <v>1524</v>
      </c>
      <c r="D1014" s="40" t="s">
        <v>1525</v>
      </c>
      <c r="E1014" s="40" t="s">
        <v>1642</v>
      </c>
      <c r="F1014" s="41">
        <v>0.0</v>
      </c>
      <c r="G1014" s="41">
        <v>0.0</v>
      </c>
      <c r="H1014" s="41">
        <v>0.0</v>
      </c>
    </row>
    <row r="1015" ht="15.75" customHeight="1">
      <c r="A1015" s="40" t="s">
        <v>93</v>
      </c>
      <c r="B1015" s="40" t="s">
        <v>117</v>
      </c>
      <c r="C1015" s="40" t="s">
        <v>1524</v>
      </c>
      <c r="D1015" s="40" t="s">
        <v>1525</v>
      </c>
      <c r="E1015" s="40" t="s">
        <v>1643</v>
      </c>
      <c r="F1015" s="41">
        <v>4.0</v>
      </c>
      <c r="G1015" s="41">
        <v>63100.0</v>
      </c>
      <c r="H1015" s="41">
        <v>0.0</v>
      </c>
    </row>
    <row r="1016" ht="15.75" customHeight="1">
      <c r="A1016" s="40" t="s">
        <v>95</v>
      </c>
      <c r="B1016" s="40" t="s">
        <v>186</v>
      </c>
      <c r="C1016" s="40" t="s">
        <v>1644</v>
      </c>
      <c r="D1016" s="40" t="s">
        <v>1645</v>
      </c>
      <c r="E1016" s="40" t="s">
        <v>1646</v>
      </c>
      <c r="F1016" s="41">
        <v>544.0</v>
      </c>
      <c r="G1016" s="41">
        <v>6484676.0</v>
      </c>
      <c r="H1016" s="41">
        <v>279860.0</v>
      </c>
    </row>
    <row r="1017" ht="15.75" customHeight="1">
      <c r="A1017" s="40" t="s">
        <v>95</v>
      </c>
      <c r="B1017" s="40" t="s">
        <v>186</v>
      </c>
      <c r="C1017" s="40" t="s">
        <v>1644</v>
      </c>
      <c r="D1017" s="40" t="s">
        <v>1645</v>
      </c>
      <c r="E1017" s="40" t="s">
        <v>1647</v>
      </c>
      <c r="F1017" s="41">
        <v>5370.0</v>
      </c>
      <c r="G1017" s="41">
        <v>8.1070478E7</v>
      </c>
      <c r="H1017" s="41">
        <v>2555860.0</v>
      </c>
    </row>
    <row r="1018" ht="15.75" customHeight="1">
      <c r="A1018" s="40" t="s">
        <v>95</v>
      </c>
      <c r="B1018" s="40" t="s">
        <v>186</v>
      </c>
      <c r="C1018" s="40" t="s">
        <v>1644</v>
      </c>
      <c r="D1018" s="40" t="s">
        <v>1645</v>
      </c>
      <c r="E1018" s="40" t="s">
        <v>1648</v>
      </c>
      <c r="F1018" s="41">
        <v>77.0</v>
      </c>
      <c r="G1018" s="41">
        <v>1502873.0</v>
      </c>
      <c r="H1018" s="41">
        <v>68700.0</v>
      </c>
    </row>
    <row r="1019" ht="15.75" customHeight="1">
      <c r="A1019" s="40" t="s">
        <v>95</v>
      </c>
      <c r="B1019" s="40" t="s">
        <v>186</v>
      </c>
      <c r="C1019" s="40" t="s">
        <v>1644</v>
      </c>
      <c r="D1019" s="40" t="s">
        <v>1645</v>
      </c>
      <c r="E1019" s="40" t="s">
        <v>1649</v>
      </c>
      <c r="F1019" s="41">
        <v>3421.0</v>
      </c>
      <c r="G1019" s="41">
        <v>4.7457092E7</v>
      </c>
      <c r="H1019" s="41">
        <v>1809940.0</v>
      </c>
    </row>
    <row r="1020" ht="15.75" customHeight="1">
      <c r="A1020" s="40" t="s">
        <v>95</v>
      </c>
      <c r="B1020" s="40" t="s">
        <v>186</v>
      </c>
      <c r="C1020" s="40" t="s">
        <v>1644</v>
      </c>
      <c r="D1020" s="40" t="s">
        <v>1645</v>
      </c>
      <c r="E1020" s="40" t="s">
        <v>1650</v>
      </c>
      <c r="F1020" s="41">
        <v>143.0</v>
      </c>
      <c r="G1020" s="41">
        <v>3098369.0</v>
      </c>
      <c r="H1020" s="41">
        <v>148520.0</v>
      </c>
    </row>
    <row r="1021" ht="15.75" customHeight="1">
      <c r="A1021" s="40" t="s">
        <v>95</v>
      </c>
      <c r="B1021" s="40" t="s">
        <v>186</v>
      </c>
      <c r="C1021" s="40" t="s">
        <v>1644</v>
      </c>
      <c r="D1021" s="40" t="s">
        <v>1645</v>
      </c>
      <c r="E1021" s="40" t="s">
        <v>1651</v>
      </c>
      <c r="F1021" s="41">
        <v>75.0</v>
      </c>
      <c r="G1021" s="41">
        <v>977563.0</v>
      </c>
      <c r="H1021" s="41">
        <v>55600.0</v>
      </c>
    </row>
    <row r="1022" ht="15.75" customHeight="1">
      <c r="A1022" s="40" t="s">
        <v>95</v>
      </c>
      <c r="B1022" s="40" t="s">
        <v>186</v>
      </c>
      <c r="C1022" s="40" t="s">
        <v>1644</v>
      </c>
      <c r="D1022" s="40" t="s">
        <v>1645</v>
      </c>
      <c r="E1022" s="40" t="s">
        <v>1652</v>
      </c>
      <c r="F1022" s="41">
        <v>43.0</v>
      </c>
      <c r="G1022" s="41">
        <v>610866.0</v>
      </c>
      <c r="H1022" s="41">
        <v>18880.0</v>
      </c>
    </row>
    <row r="1023" ht="15.75" customHeight="1">
      <c r="A1023" s="40" t="s">
        <v>95</v>
      </c>
      <c r="B1023" s="40" t="s">
        <v>186</v>
      </c>
      <c r="C1023" s="40" t="s">
        <v>1644</v>
      </c>
      <c r="D1023" s="40" t="s">
        <v>1645</v>
      </c>
      <c r="E1023" s="40" t="s">
        <v>1653</v>
      </c>
      <c r="F1023" s="41">
        <v>152.0</v>
      </c>
      <c r="G1023" s="41">
        <v>2120797.0</v>
      </c>
      <c r="H1023" s="41">
        <v>95360.0</v>
      </c>
    </row>
    <row r="1024" ht="15.75" customHeight="1">
      <c r="A1024" s="40" t="s">
        <v>95</v>
      </c>
      <c r="B1024" s="40" t="s">
        <v>186</v>
      </c>
      <c r="C1024" s="40" t="s">
        <v>1644</v>
      </c>
      <c r="D1024" s="40" t="s">
        <v>1645</v>
      </c>
      <c r="E1024" s="40" t="s">
        <v>1654</v>
      </c>
      <c r="F1024" s="41">
        <v>263.0</v>
      </c>
      <c r="G1024" s="41">
        <v>4011094.0</v>
      </c>
      <c r="H1024" s="41">
        <v>253180.0</v>
      </c>
    </row>
    <row r="1025" ht="15.75" customHeight="1">
      <c r="A1025" s="40" t="s">
        <v>95</v>
      </c>
      <c r="B1025" s="40" t="s">
        <v>186</v>
      </c>
      <c r="C1025" s="40" t="s">
        <v>1644</v>
      </c>
      <c r="D1025" s="40" t="s">
        <v>1645</v>
      </c>
      <c r="E1025" s="40" t="s">
        <v>1655</v>
      </c>
      <c r="F1025" s="41">
        <v>319.0</v>
      </c>
      <c r="G1025" s="41">
        <v>5153063.0</v>
      </c>
      <c r="H1025" s="41">
        <v>276140.0</v>
      </c>
    </row>
    <row r="1026" ht="15.75" customHeight="1">
      <c r="A1026" s="40" t="s">
        <v>95</v>
      </c>
      <c r="B1026" s="40" t="s">
        <v>186</v>
      </c>
      <c r="C1026" s="40" t="s">
        <v>1644</v>
      </c>
      <c r="D1026" s="40" t="s">
        <v>1645</v>
      </c>
      <c r="E1026" s="40" t="s">
        <v>1656</v>
      </c>
      <c r="F1026" s="41">
        <v>182.0</v>
      </c>
      <c r="G1026" s="41">
        <v>3963699.0</v>
      </c>
      <c r="H1026" s="41">
        <v>285660.0</v>
      </c>
    </row>
    <row r="1027" ht="15.75" customHeight="1">
      <c r="A1027" s="40" t="s">
        <v>95</v>
      </c>
      <c r="B1027" s="40" t="s">
        <v>186</v>
      </c>
      <c r="C1027" s="40" t="s">
        <v>1657</v>
      </c>
      <c r="D1027" s="40" t="s">
        <v>1658</v>
      </c>
      <c r="E1027" s="40" t="s">
        <v>1659</v>
      </c>
      <c r="F1027" s="41">
        <v>12.0</v>
      </c>
      <c r="G1027" s="41">
        <v>152081.0</v>
      </c>
      <c r="H1027" s="41">
        <v>5560.0</v>
      </c>
    </row>
    <row r="1028" ht="15.75" customHeight="1">
      <c r="A1028" s="40" t="s">
        <v>95</v>
      </c>
      <c r="B1028" s="40" t="s">
        <v>186</v>
      </c>
      <c r="C1028" s="40" t="s">
        <v>1657</v>
      </c>
      <c r="D1028" s="40" t="s">
        <v>1658</v>
      </c>
      <c r="E1028" s="40" t="s">
        <v>1660</v>
      </c>
      <c r="F1028" s="41">
        <v>38.0</v>
      </c>
      <c r="G1028" s="41">
        <v>503603.0</v>
      </c>
      <c r="H1028" s="41">
        <v>37360.0</v>
      </c>
    </row>
    <row r="1029" ht="15.75" customHeight="1">
      <c r="A1029" s="40" t="s">
        <v>95</v>
      </c>
      <c r="B1029" s="40" t="s">
        <v>186</v>
      </c>
      <c r="C1029" s="40" t="s">
        <v>1657</v>
      </c>
      <c r="D1029" s="40" t="s">
        <v>1658</v>
      </c>
      <c r="E1029" s="40" t="s">
        <v>1661</v>
      </c>
      <c r="F1029" s="41">
        <v>229.0</v>
      </c>
      <c r="G1029" s="41">
        <v>4625326.0</v>
      </c>
      <c r="H1029" s="41">
        <v>428380.0</v>
      </c>
    </row>
    <row r="1030" ht="15.75" customHeight="1">
      <c r="A1030" s="40" t="s">
        <v>95</v>
      </c>
      <c r="B1030" s="40" t="s">
        <v>186</v>
      </c>
      <c r="C1030" s="40" t="s">
        <v>1657</v>
      </c>
      <c r="D1030" s="40" t="s">
        <v>1658</v>
      </c>
      <c r="E1030" s="40" t="s">
        <v>1662</v>
      </c>
      <c r="F1030" s="41">
        <v>35.0</v>
      </c>
      <c r="G1030" s="41">
        <v>327609.0</v>
      </c>
      <c r="H1030" s="41">
        <v>13860.0</v>
      </c>
    </row>
    <row r="1031" ht="15.75" customHeight="1">
      <c r="A1031" s="40" t="s">
        <v>95</v>
      </c>
      <c r="B1031" s="40" t="s">
        <v>186</v>
      </c>
      <c r="C1031" s="40" t="s">
        <v>1657</v>
      </c>
      <c r="D1031" s="40" t="s">
        <v>1658</v>
      </c>
      <c r="E1031" s="40" t="s">
        <v>1663</v>
      </c>
      <c r="F1031" s="41">
        <v>466.0</v>
      </c>
      <c r="G1031" s="41">
        <v>6617220.0</v>
      </c>
      <c r="H1031" s="41">
        <v>451000.0</v>
      </c>
    </row>
    <row r="1032" ht="15.75" customHeight="1">
      <c r="A1032" s="40" t="s">
        <v>95</v>
      </c>
      <c r="B1032" s="40" t="s">
        <v>186</v>
      </c>
      <c r="C1032" s="40" t="s">
        <v>1657</v>
      </c>
      <c r="D1032" s="40" t="s">
        <v>1658</v>
      </c>
      <c r="E1032" s="40" t="s">
        <v>1664</v>
      </c>
      <c r="F1032" s="41">
        <v>412.0</v>
      </c>
      <c r="G1032" s="41">
        <v>9050962.0</v>
      </c>
      <c r="H1032" s="41">
        <v>659820.0</v>
      </c>
    </row>
    <row r="1033" ht="15.75" customHeight="1">
      <c r="A1033" s="40" t="s">
        <v>95</v>
      </c>
      <c r="B1033" s="40" t="s">
        <v>186</v>
      </c>
      <c r="C1033" s="40" t="s">
        <v>1657</v>
      </c>
      <c r="D1033" s="40" t="s">
        <v>1658</v>
      </c>
      <c r="E1033" s="40" t="s">
        <v>1665</v>
      </c>
      <c r="F1033" s="41">
        <v>104.0</v>
      </c>
      <c r="G1033" s="41">
        <v>1635999.0</v>
      </c>
      <c r="H1033" s="41">
        <v>148040.0</v>
      </c>
    </row>
    <row r="1034" ht="15.75" customHeight="1">
      <c r="A1034" s="40" t="s">
        <v>95</v>
      </c>
      <c r="B1034" s="40" t="s">
        <v>186</v>
      </c>
      <c r="C1034" s="40" t="s">
        <v>1657</v>
      </c>
      <c r="D1034" s="40" t="s">
        <v>1658</v>
      </c>
      <c r="E1034" s="40" t="s">
        <v>1666</v>
      </c>
      <c r="F1034" s="41">
        <v>58.0</v>
      </c>
      <c r="G1034" s="41">
        <v>921152.0</v>
      </c>
      <c r="H1034" s="41">
        <v>51000.0</v>
      </c>
    </row>
    <row r="1035" ht="15.75" customHeight="1">
      <c r="A1035" s="40" t="s">
        <v>95</v>
      </c>
      <c r="B1035" s="40" t="s">
        <v>186</v>
      </c>
      <c r="C1035" s="40" t="s">
        <v>1657</v>
      </c>
      <c r="D1035" s="40" t="s">
        <v>1658</v>
      </c>
      <c r="E1035" s="40" t="s">
        <v>1667</v>
      </c>
      <c r="F1035" s="41">
        <v>9.0</v>
      </c>
      <c r="G1035" s="41">
        <v>153760.0</v>
      </c>
      <c r="H1035" s="41">
        <v>12340.0</v>
      </c>
    </row>
    <row r="1036" ht="15.75" customHeight="1">
      <c r="A1036" s="40" t="s">
        <v>95</v>
      </c>
      <c r="B1036" s="40" t="s">
        <v>186</v>
      </c>
      <c r="C1036" s="40" t="s">
        <v>1657</v>
      </c>
      <c r="D1036" s="40" t="s">
        <v>1658</v>
      </c>
      <c r="E1036" s="40" t="s">
        <v>1668</v>
      </c>
      <c r="F1036" s="41">
        <v>108.0</v>
      </c>
      <c r="G1036" s="41">
        <v>1679101.0</v>
      </c>
      <c r="H1036" s="41">
        <v>100400.0</v>
      </c>
    </row>
    <row r="1037" ht="15.75" customHeight="1">
      <c r="A1037" s="40" t="s">
        <v>95</v>
      </c>
      <c r="B1037" s="40" t="s">
        <v>117</v>
      </c>
      <c r="C1037" s="40" t="s">
        <v>1669</v>
      </c>
      <c r="D1037" s="40" t="s">
        <v>1670</v>
      </c>
      <c r="E1037" s="40" t="s">
        <v>1671</v>
      </c>
      <c r="F1037" s="41">
        <v>728.0</v>
      </c>
      <c r="G1037" s="41">
        <v>1.046317E7</v>
      </c>
      <c r="H1037" s="41">
        <v>990900.0</v>
      </c>
    </row>
    <row r="1038" ht="15.75" customHeight="1">
      <c r="A1038" s="40" t="s">
        <v>95</v>
      </c>
      <c r="B1038" s="40" t="s">
        <v>117</v>
      </c>
      <c r="C1038" s="40" t="s">
        <v>1669</v>
      </c>
      <c r="D1038" s="40" t="s">
        <v>1670</v>
      </c>
      <c r="E1038" s="40" t="s">
        <v>1672</v>
      </c>
      <c r="F1038" s="41">
        <v>111.0</v>
      </c>
      <c r="G1038" s="41">
        <v>2162755.0</v>
      </c>
      <c r="H1038" s="41">
        <v>298160.0</v>
      </c>
    </row>
    <row r="1039" ht="15.75" customHeight="1">
      <c r="A1039" s="40" t="s">
        <v>95</v>
      </c>
      <c r="B1039" s="40" t="s">
        <v>117</v>
      </c>
      <c r="C1039" s="40" t="s">
        <v>1669</v>
      </c>
      <c r="D1039" s="40" t="s">
        <v>1670</v>
      </c>
      <c r="E1039" s="40" t="s">
        <v>1673</v>
      </c>
      <c r="F1039" s="41">
        <v>1206.0</v>
      </c>
      <c r="G1039" s="41">
        <v>2.0595558E7</v>
      </c>
      <c r="H1039" s="41">
        <v>1732340.0</v>
      </c>
    </row>
    <row r="1040" ht="15.75" customHeight="1">
      <c r="A1040" s="40" t="s">
        <v>95</v>
      </c>
      <c r="B1040" s="40" t="s">
        <v>117</v>
      </c>
      <c r="C1040" s="40" t="s">
        <v>1669</v>
      </c>
      <c r="D1040" s="40" t="s">
        <v>1670</v>
      </c>
      <c r="E1040" s="40" t="s">
        <v>1674</v>
      </c>
      <c r="F1040" s="41">
        <v>184.0</v>
      </c>
      <c r="G1040" s="41">
        <v>2591998.0</v>
      </c>
      <c r="H1040" s="41">
        <v>254700.0</v>
      </c>
    </row>
    <row r="1041" ht="15.75" customHeight="1">
      <c r="A1041" s="40" t="s">
        <v>95</v>
      </c>
      <c r="B1041" s="40" t="s">
        <v>117</v>
      </c>
      <c r="C1041" s="40" t="s">
        <v>1669</v>
      </c>
      <c r="D1041" s="40" t="s">
        <v>1670</v>
      </c>
      <c r="E1041" s="40" t="s">
        <v>1675</v>
      </c>
      <c r="F1041" s="41">
        <v>146.0</v>
      </c>
      <c r="G1041" s="41">
        <v>2355569.0</v>
      </c>
      <c r="H1041" s="41">
        <v>294000.0</v>
      </c>
    </row>
    <row r="1042" ht="15.75" customHeight="1">
      <c r="A1042" s="40" t="s">
        <v>95</v>
      </c>
      <c r="B1042" s="40" t="s">
        <v>117</v>
      </c>
      <c r="C1042" s="40" t="s">
        <v>1676</v>
      </c>
      <c r="D1042" s="40" t="s">
        <v>1677</v>
      </c>
      <c r="E1042" s="40" t="s">
        <v>1678</v>
      </c>
      <c r="F1042" s="41">
        <v>119.0</v>
      </c>
      <c r="G1042" s="41">
        <v>1134714.0</v>
      </c>
      <c r="H1042" s="41">
        <v>42580.0</v>
      </c>
    </row>
    <row r="1043" ht="15.75" customHeight="1">
      <c r="A1043" s="40" t="s">
        <v>95</v>
      </c>
      <c r="B1043" s="40" t="s">
        <v>117</v>
      </c>
      <c r="C1043" s="40" t="s">
        <v>1679</v>
      </c>
      <c r="D1043" s="40" t="s">
        <v>1680</v>
      </c>
      <c r="E1043" s="40" t="s">
        <v>1681</v>
      </c>
      <c r="F1043" s="41">
        <v>3.0</v>
      </c>
      <c r="G1043" s="41">
        <v>134400.0</v>
      </c>
      <c r="H1043" s="41">
        <v>5600.0</v>
      </c>
    </row>
    <row r="1044" ht="15.75" customHeight="1">
      <c r="A1044" s="40" t="s">
        <v>95</v>
      </c>
      <c r="B1044" s="40" t="s">
        <v>117</v>
      </c>
      <c r="C1044" s="40" t="s">
        <v>270</v>
      </c>
      <c r="D1044" s="40" t="s">
        <v>269</v>
      </c>
      <c r="E1044" s="40" t="s">
        <v>1682</v>
      </c>
      <c r="F1044" s="41">
        <v>122.0</v>
      </c>
      <c r="G1044" s="41">
        <v>1749656.0</v>
      </c>
      <c r="H1044" s="41">
        <v>113680.0</v>
      </c>
    </row>
    <row r="1045" ht="15.75" customHeight="1">
      <c r="A1045" s="40" t="s">
        <v>31</v>
      </c>
      <c r="B1045" s="40" t="s">
        <v>117</v>
      </c>
      <c r="C1045" s="40" t="s">
        <v>1683</v>
      </c>
      <c r="D1045" s="40" t="s">
        <v>1684</v>
      </c>
      <c r="E1045" s="40" t="s">
        <v>1685</v>
      </c>
      <c r="F1045" s="41">
        <v>5903.0</v>
      </c>
      <c r="G1045" s="41">
        <v>7.781926E7</v>
      </c>
      <c r="H1045" s="41">
        <v>740624.0</v>
      </c>
    </row>
    <row r="1046" ht="15.75" customHeight="1">
      <c r="A1046" s="40" t="s">
        <v>31</v>
      </c>
      <c r="B1046" s="40" t="s">
        <v>117</v>
      </c>
      <c r="C1046" s="40" t="s">
        <v>1683</v>
      </c>
      <c r="D1046" s="40" t="s">
        <v>1684</v>
      </c>
      <c r="E1046" s="40" t="s">
        <v>1686</v>
      </c>
      <c r="F1046" s="41">
        <v>522.0</v>
      </c>
      <c r="G1046" s="41">
        <v>9828240.0</v>
      </c>
      <c r="H1046" s="41">
        <v>119391.0</v>
      </c>
    </row>
    <row r="1047" ht="15.75" customHeight="1">
      <c r="A1047" s="40" t="s">
        <v>31</v>
      </c>
      <c r="B1047" s="40" t="s">
        <v>117</v>
      </c>
      <c r="C1047" s="40" t="s">
        <v>1683</v>
      </c>
      <c r="D1047" s="40" t="s">
        <v>1684</v>
      </c>
      <c r="E1047" s="40" t="s">
        <v>1687</v>
      </c>
      <c r="F1047" s="41">
        <v>1521.0</v>
      </c>
      <c r="G1047" s="41">
        <v>2.550864E7</v>
      </c>
      <c r="H1047" s="41">
        <v>444860.0</v>
      </c>
    </row>
    <row r="1048" ht="15.75" customHeight="1">
      <c r="A1048" s="40" t="s">
        <v>31</v>
      </c>
      <c r="B1048" s="40" t="s">
        <v>186</v>
      </c>
      <c r="C1048" s="40" t="s">
        <v>1688</v>
      </c>
      <c r="D1048" s="40" t="s">
        <v>1689</v>
      </c>
      <c r="E1048" s="40" t="s">
        <v>1690</v>
      </c>
      <c r="F1048" s="41">
        <v>21.0</v>
      </c>
      <c r="G1048" s="41">
        <v>262500.0</v>
      </c>
      <c r="H1048" s="41">
        <v>17500.0</v>
      </c>
    </row>
    <row r="1049" ht="15.75" customHeight="1">
      <c r="A1049" s="40" t="s">
        <v>31</v>
      </c>
      <c r="B1049" s="40" t="s">
        <v>174</v>
      </c>
      <c r="C1049" s="40" t="s">
        <v>1688</v>
      </c>
      <c r="D1049" s="40" t="s">
        <v>1689</v>
      </c>
      <c r="E1049" s="40" t="s">
        <v>1691</v>
      </c>
      <c r="F1049" s="41">
        <v>7.0</v>
      </c>
      <c r="G1049" s="41">
        <v>99400.0</v>
      </c>
      <c r="H1049" s="41">
        <v>8520.0</v>
      </c>
    </row>
    <row r="1050" ht="15.75" customHeight="1">
      <c r="A1050" s="40" t="s">
        <v>31</v>
      </c>
      <c r="B1050" s="40" t="s">
        <v>186</v>
      </c>
      <c r="C1050" s="40" t="s">
        <v>1692</v>
      </c>
      <c r="D1050" s="40" t="s">
        <v>1693</v>
      </c>
      <c r="E1050" s="40" t="s">
        <v>1694</v>
      </c>
      <c r="F1050" s="41">
        <v>5837.0</v>
      </c>
      <c r="G1050" s="41">
        <v>3.432556E7</v>
      </c>
      <c r="H1050" s="41">
        <v>399180.0</v>
      </c>
    </row>
    <row r="1051" ht="15.75" customHeight="1">
      <c r="A1051" s="40" t="s">
        <v>31</v>
      </c>
      <c r="B1051" s="40" t="s">
        <v>186</v>
      </c>
      <c r="C1051" s="40" t="s">
        <v>1692</v>
      </c>
      <c r="D1051" s="40" t="s">
        <v>1693</v>
      </c>
      <c r="E1051" s="40" t="s">
        <v>1695</v>
      </c>
      <c r="F1051" s="41">
        <v>5846.0</v>
      </c>
      <c r="G1051" s="41">
        <v>2.72266E7</v>
      </c>
      <c r="H1051" s="41">
        <v>313340.0</v>
      </c>
    </row>
    <row r="1052" ht="15.75" customHeight="1">
      <c r="A1052" s="40" t="s">
        <v>31</v>
      </c>
      <c r="B1052" s="40" t="s">
        <v>186</v>
      </c>
      <c r="C1052" s="40" t="s">
        <v>1692</v>
      </c>
      <c r="D1052" s="40" t="s">
        <v>1693</v>
      </c>
      <c r="E1052" s="40" t="s">
        <v>1696</v>
      </c>
      <c r="F1052" s="41">
        <v>5454.0</v>
      </c>
      <c r="G1052" s="41">
        <v>2.19722E7</v>
      </c>
      <c r="H1052" s="41">
        <v>331740.0</v>
      </c>
    </row>
    <row r="1053" ht="15.75" customHeight="1">
      <c r="A1053" s="40" t="s">
        <v>31</v>
      </c>
      <c r="B1053" s="40" t="s">
        <v>186</v>
      </c>
      <c r="C1053" s="40" t="s">
        <v>1692</v>
      </c>
      <c r="D1053" s="40" t="s">
        <v>1693</v>
      </c>
      <c r="E1053" s="40" t="s">
        <v>1697</v>
      </c>
      <c r="F1053" s="41">
        <v>1392.0</v>
      </c>
      <c r="G1053" s="41">
        <v>3062400.0</v>
      </c>
      <c r="H1053" s="41">
        <v>25080.0</v>
      </c>
    </row>
    <row r="1054" ht="15.75" customHeight="1">
      <c r="A1054" s="40" t="s">
        <v>31</v>
      </c>
      <c r="B1054" s="40" t="s">
        <v>186</v>
      </c>
      <c r="C1054" s="40" t="s">
        <v>1692</v>
      </c>
      <c r="D1054" s="40" t="s">
        <v>1693</v>
      </c>
      <c r="E1054" s="40" t="s">
        <v>1698</v>
      </c>
      <c r="F1054" s="41">
        <v>298.0</v>
      </c>
      <c r="G1054" s="41">
        <v>1420500.0</v>
      </c>
      <c r="H1054" s="41">
        <v>15680.0</v>
      </c>
    </row>
    <row r="1055" ht="15.75" customHeight="1">
      <c r="A1055" s="40" t="s">
        <v>31</v>
      </c>
      <c r="B1055" s="40" t="s">
        <v>186</v>
      </c>
      <c r="C1055" s="40" t="s">
        <v>1692</v>
      </c>
      <c r="D1055" s="40" t="s">
        <v>1693</v>
      </c>
      <c r="E1055" s="40" t="s">
        <v>1699</v>
      </c>
      <c r="F1055" s="41">
        <v>266.0</v>
      </c>
      <c r="G1055" s="41">
        <v>1246400.0</v>
      </c>
      <c r="H1055" s="41">
        <v>11760.0</v>
      </c>
    </row>
    <row r="1056" ht="15.75" customHeight="1">
      <c r="A1056" s="40" t="s">
        <v>31</v>
      </c>
      <c r="B1056" s="40" t="s">
        <v>174</v>
      </c>
      <c r="C1056" s="40" t="s">
        <v>1700</v>
      </c>
      <c r="D1056" s="40" t="s">
        <v>1701</v>
      </c>
      <c r="E1056" s="40" t="s">
        <v>1702</v>
      </c>
      <c r="F1056" s="41">
        <v>2079.0</v>
      </c>
      <c r="G1056" s="41">
        <v>2.03051E7</v>
      </c>
      <c r="H1056" s="41">
        <v>422200.0</v>
      </c>
    </row>
    <row r="1057" ht="15.75" customHeight="1">
      <c r="A1057" s="40" t="s">
        <v>31</v>
      </c>
      <c r="B1057" s="40" t="s">
        <v>174</v>
      </c>
      <c r="C1057" s="40" t="s">
        <v>1700</v>
      </c>
      <c r="D1057" s="40" t="s">
        <v>1701</v>
      </c>
      <c r="E1057" s="40" t="s">
        <v>1705</v>
      </c>
      <c r="F1057" s="41">
        <v>1409.0</v>
      </c>
      <c r="G1057" s="41">
        <v>1.60199E7</v>
      </c>
      <c r="H1057" s="41">
        <v>171780.0</v>
      </c>
    </row>
    <row r="1058" ht="15.75" customHeight="1">
      <c r="A1058" s="40" t="s">
        <v>31</v>
      </c>
      <c r="B1058" s="40" t="s">
        <v>174</v>
      </c>
      <c r="C1058" s="40" t="s">
        <v>1700</v>
      </c>
      <c r="D1058" s="40" t="s">
        <v>1701</v>
      </c>
      <c r="E1058" s="40" t="s">
        <v>1706</v>
      </c>
      <c r="F1058" s="41">
        <v>1124.0</v>
      </c>
      <c r="G1058" s="41">
        <v>1.09287E7</v>
      </c>
      <c r="H1058" s="41">
        <v>440620.0</v>
      </c>
    </row>
    <row r="1059" ht="15.75" customHeight="1">
      <c r="A1059" s="40" t="s">
        <v>31</v>
      </c>
      <c r="B1059" s="40" t="s">
        <v>174</v>
      </c>
      <c r="C1059" s="40" t="s">
        <v>1700</v>
      </c>
      <c r="D1059" s="40" t="s">
        <v>1701</v>
      </c>
      <c r="E1059" s="40" t="s">
        <v>1707</v>
      </c>
      <c r="F1059" s="41">
        <v>397.0</v>
      </c>
      <c r="G1059" s="41">
        <v>6922200.0</v>
      </c>
      <c r="H1059" s="41">
        <v>118020.0</v>
      </c>
    </row>
    <row r="1060" ht="15.75" customHeight="1">
      <c r="A1060" s="40" t="s">
        <v>31</v>
      </c>
      <c r="B1060" s="40" t="s">
        <v>117</v>
      </c>
      <c r="C1060" s="40" t="s">
        <v>1708</v>
      </c>
      <c r="D1060" s="40" t="s">
        <v>1709</v>
      </c>
      <c r="E1060" s="40" t="s">
        <v>1710</v>
      </c>
      <c r="F1060" s="41">
        <v>1500.0</v>
      </c>
      <c r="G1060" s="41">
        <v>8087000.0</v>
      </c>
      <c r="H1060" s="41">
        <v>440251.0</v>
      </c>
    </row>
    <row r="1061" ht="15.75" customHeight="1">
      <c r="A1061" s="40" t="s">
        <v>31</v>
      </c>
      <c r="B1061" s="40" t="s">
        <v>186</v>
      </c>
      <c r="C1061" s="40" t="s">
        <v>1711</v>
      </c>
      <c r="D1061" s="40" t="s">
        <v>1712</v>
      </c>
      <c r="E1061" s="40" t="s">
        <v>1713</v>
      </c>
      <c r="F1061" s="41">
        <v>6.0</v>
      </c>
      <c r="G1061" s="41">
        <v>234000.0</v>
      </c>
      <c r="H1061" s="41">
        <v>7222.0</v>
      </c>
    </row>
    <row r="1062" ht="15.75" customHeight="1">
      <c r="A1062" s="40" t="s">
        <v>31</v>
      </c>
      <c r="B1062" s="40" t="s">
        <v>186</v>
      </c>
      <c r="C1062" s="40" t="s">
        <v>1711</v>
      </c>
      <c r="D1062" s="40" t="s">
        <v>1712</v>
      </c>
      <c r="E1062" s="40" t="s">
        <v>1714</v>
      </c>
      <c r="F1062" s="41">
        <v>13.0</v>
      </c>
      <c r="G1062" s="41">
        <v>247000.0</v>
      </c>
      <c r="H1062" s="41">
        <v>15200.0</v>
      </c>
    </row>
    <row r="1063" ht="15.75" customHeight="1">
      <c r="A1063" s="40" t="s">
        <v>31</v>
      </c>
      <c r="B1063" s="40" t="s">
        <v>186</v>
      </c>
      <c r="C1063" s="40" t="s">
        <v>1711</v>
      </c>
      <c r="D1063" s="40" t="s">
        <v>1712</v>
      </c>
      <c r="E1063" s="40" t="s">
        <v>1715</v>
      </c>
      <c r="F1063" s="41">
        <v>5.0</v>
      </c>
      <c r="G1063" s="41">
        <v>55000.0</v>
      </c>
      <c r="H1063" s="41">
        <v>2200.0</v>
      </c>
    </row>
    <row r="1064" ht="15.75" customHeight="1">
      <c r="A1064" s="40" t="s">
        <v>31</v>
      </c>
      <c r="B1064" s="40" t="s">
        <v>186</v>
      </c>
      <c r="C1064" s="40" t="s">
        <v>1711</v>
      </c>
      <c r="D1064" s="40" t="s">
        <v>1712</v>
      </c>
      <c r="E1064" s="40" t="s">
        <v>1716</v>
      </c>
      <c r="F1064" s="41">
        <v>5.0</v>
      </c>
      <c r="G1064" s="41">
        <v>22500.0</v>
      </c>
      <c r="H1064" s="41">
        <v>4500.0</v>
      </c>
    </row>
    <row r="1065" ht="15.75" customHeight="1">
      <c r="A1065" s="40" t="s">
        <v>31</v>
      </c>
      <c r="B1065" s="40" t="s">
        <v>186</v>
      </c>
      <c r="C1065" s="40" t="s">
        <v>1711</v>
      </c>
      <c r="D1065" s="40" t="s">
        <v>1712</v>
      </c>
      <c r="E1065" s="40" t="s">
        <v>1717</v>
      </c>
      <c r="F1065" s="41">
        <v>3.0</v>
      </c>
      <c r="G1065" s="41">
        <v>37500.0</v>
      </c>
      <c r="H1065" s="41">
        <v>7500.0</v>
      </c>
    </row>
    <row r="1066" ht="15.75" customHeight="1">
      <c r="A1066" s="40" t="s">
        <v>31</v>
      </c>
      <c r="B1066" s="40" t="s">
        <v>186</v>
      </c>
      <c r="C1066" s="40" t="s">
        <v>1711</v>
      </c>
      <c r="D1066" s="40" t="s">
        <v>1712</v>
      </c>
      <c r="E1066" s="40" t="s">
        <v>1718</v>
      </c>
      <c r="F1066" s="41">
        <v>0.0</v>
      </c>
      <c r="G1066" s="41">
        <v>0.0</v>
      </c>
      <c r="H1066" s="41">
        <v>0.0</v>
      </c>
    </row>
    <row r="1067" ht="15.75" customHeight="1">
      <c r="A1067" s="40" t="s">
        <v>31</v>
      </c>
      <c r="B1067" s="40" t="s">
        <v>186</v>
      </c>
      <c r="C1067" s="40" t="s">
        <v>1711</v>
      </c>
      <c r="D1067" s="40" t="s">
        <v>1712</v>
      </c>
      <c r="E1067" s="40" t="s">
        <v>1719</v>
      </c>
      <c r="F1067" s="41">
        <v>4.0</v>
      </c>
      <c r="G1067" s="41">
        <v>22000.0</v>
      </c>
      <c r="H1067" s="41">
        <v>2200.0</v>
      </c>
    </row>
    <row r="1068" ht="15.75" customHeight="1">
      <c r="A1068" s="40" t="s">
        <v>31</v>
      </c>
      <c r="B1068" s="40" t="s">
        <v>186</v>
      </c>
      <c r="C1068" s="40" t="s">
        <v>1711</v>
      </c>
      <c r="D1068" s="40" t="s">
        <v>1712</v>
      </c>
      <c r="E1068" s="40" t="s">
        <v>1720</v>
      </c>
      <c r="F1068" s="41">
        <v>7.0</v>
      </c>
      <c r="G1068" s="41">
        <v>80500.0</v>
      </c>
      <c r="H1068" s="41">
        <v>4600.0</v>
      </c>
    </row>
    <row r="1069" ht="15.75" customHeight="1">
      <c r="A1069" s="40" t="s">
        <v>31</v>
      </c>
      <c r="B1069" s="40" t="s">
        <v>186</v>
      </c>
      <c r="C1069" s="40" t="s">
        <v>1711</v>
      </c>
      <c r="D1069" s="40" t="s">
        <v>1712</v>
      </c>
      <c r="E1069" s="40" t="s">
        <v>1721</v>
      </c>
      <c r="F1069" s="41">
        <v>6.0</v>
      </c>
      <c r="G1069" s="41">
        <v>120000.0</v>
      </c>
      <c r="H1069" s="41">
        <v>18289.0</v>
      </c>
    </row>
    <row r="1070" ht="15.75" customHeight="1">
      <c r="A1070" s="40" t="s">
        <v>31</v>
      </c>
      <c r="B1070" s="40" t="s">
        <v>186</v>
      </c>
      <c r="C1070" s="40" t="s">
        <v>1711</v>
      </c>
      <c r="D1070" s="40" t="s">
        <v>1712</v>
      </c>
      <c r="E1070" s="40" t="s">
        <v>1722</v>
      </c>
      <c r="F1070" s="41">
        <v>3.0</v>
      </c>
      <c r="G1070" s="41">
        <v>45000.0</v>
      </c>
      <c r="H1070" s="41">
        <v>8778.0</v>
      </c>
    </row>
    <row r="1071" ht="15.75" customHeight="1">
      <c r="A1071" s="40" t="s">
        <v>31</v>
      </c>
      <c r="B1071" s="40" t="s">
        <v>117</v>
      </c>
      <c r="C1071" s="40" t="s">
        <v>1723</v>
      </c>
      <c r="D1071" s="40" t="s">
        <v>1724</v>
      </c>
      <c r="E1071" s="40" t="s">
        <v>1725</v>
      </c>
      <c r="F1071" s="41">
        <v>7.0</v>
      </c>
      <c r="G1071" s="41">
        <v>111300.0</v>
      </c>
      <c r="H1071" s="41">
        <v>12720.0</v>
      </c>
    </row>
    <row r="1072" ht="15.75" customHeight="1">
      <c r="A1072" s="40" t="s">
        <v>31</v>
      </c>
      <c r="B1072" s="40" t="s">
        <v>117</v>
      </c>
      <c r="C1072" s="40" t="s">
        <v>1723</v>
      </c>
      <c r="D1072" s="40" t="s">
        <v>1724</v>
      </c>
      <c r="E1072" s="40" t="s">
        <v>1726</v>
      </c>
      <c r="F1072" s="41">
        <v>3.0</v>
      </c>
      <c r="G1072" s="41">
        <v>53700.0</v>
      </c>
      <c r="H1072" s="41">
        <v>10740.0</v>
      </c>
    </row>
    <row r="1073" ht="15.75" customHeight="1">
      <c r="A1073" s="40" t="s">
        <v>31</v>
      </c>
      <c r="B1073" s="40" t="s">
        <v>174</v>
      </c>
      <c r="C1073" s="40" t="s">
        <v>1723</v>
      </c>
      <c r="D1073" s="40" t="s">
        <v>1724</v>
      </c>
      <c r="E1073" s="40" t="s">
        <v>1727</v>
      </c>
      <c r="F1073" s="41">
        <v>4.0</v>
      </c>
      <c r="G1073" s="41">
        <v>127200.0</v>
      </c>
      <c r="H1073" s="41">
        <v>19080.0</v>
      </c>
    </row>
    <row r="1074" ht="15.75" customHeight="1">
      <c r="A1074" s="40" t="s">
        <v>31</v>
      </c>
      <c r="B1074" s="40" t="s">
        <v>174</v>
      </c>
      <c r="C1074" s="40" t="s">
        <v>1723</v>
      </c>
      <c r="D1074" s="40" t="s">
        <v>1724</v>
      </c>
      <c r="E1074" s="40" t="s">
        <v>1728</v>
      </c>
      <c r="F1074" s="41">
        <v>1.0</v>
      </c>
      <c r="G1074" s="41">
        <v>29800.0</v>
      </c>
      <c r="H1074" s="41">
        <v>5960.0</v>
      </c>
    </row>
    <row r="1075" ht="15.75" customHeight="1">
      <c r="A1075" s="40" t="s">
        <v>31</v>
      </c>
      <c r="B1075" s="40" t="s">
        <v>174</v>
      </c>
      <c r="C1075" s="40" t="s">
        <v>1723</v>
      </c>
      <c r="D1075" s="40" t="s">
        <v>1724</v>
      </c>
      <c r="E1075" s="40" t="s">
        <v>1729</v>
      </c>
      <c r="F1075" s="41">
        <v>1.0</v>
      </c>
      <c r="G1075" s="41">
        <v>28800.0</v>
      </c>
      <c r="H1075" s="41">
        <v>5760.0</v>
      </c>
    </row>
    <row r="1076" ht="15.75" customHeight="1">
      <c r="A1076" s="40" t="s">
        <v>31</v>
      </c>
      <c r="B1076" s="40" t="s">
        <v>174</v>
      </c>
      <c r="C1076" s="40" t="s">
        <v>1723</v>
      </c>
      <c r="D1076" s="40" t="s">
        <v>1724</v>
      </c>
      <c r="E1076" s="40" t="s">
        <v>1730</v>
      </c>
      <c r="F1076" s="41">
        <v>0.0</v>
      </c>
      <c r="G1076" s="41">
        <v>0.0</v>
      </c>
      <c r="H1076" s="41">
        <v>0.0</v>
      </c>
    </row>
    <row r="1077" ht="15.75" customHeight="1">
      <c r="A1077" s="40" t="s">
        <v>31</v>
      </c>
      <c r="B1077" s="40" t="s">
        <v>117</v>
      </c>
      <c r="C1077" s="40" t="s">
        <v>1731</v>
      </c>
      <c r="D1077" s="40" t="s">
        <v>1732</v>
      </c>
      <c r="E1077" s="40" t="s">
        <v>1733</v>
      </c>
      <c r="F1077" s="41">
        <v>1936.0</v>
      </c>
      <c r="G1077" s="41">
        <v>2552130.0</v>
      </c>
      <c r="H1077" s="41">
        <v>69160.0</v>
      </c>
    </row>
    <row r="1078" ht="15.75" customHeight="1">
      <c r="A1078" s="40" t="s">
        <v>31</v>
      </c>
      <c r="B1078" s="40" t="s">
        <v>117</v>
      </c>
      <c r="C1078" s="40" t="s">
        <v>1731</v>
      </c>
      <c r="D1078" s="40" t="s">
        <v>1732</v>
      </c>
      <c r="E1078" s="40" t="s">
        <v>1734</v>
      </c>
      <c r="F1078" s="41">
        <v>4810.0</v>
      </c>
      <c r="G1078" s="41">
        <v>1.884724E7</v>
      </c>
      <c r="H1078" s="41">
        <v>446260.0</v>
      </c>
    </row>
    <row r="1079" ht="15.75" customHeight="1">
      <c r="A1079" s="40" t="s">
        <v>31</v>
      </c>
      <c r="B1079" s="40" t="s">
        <v>117</v>
      </c>
      <c r="C1079" s="40" t="s">
        <v>1731</v>
      </c>
      <c r="D1079" s="40" t="s">
        <v>1732</v>
      </c>
      <c r="E1079" s="40" t="s">
        <v>1735</v>
      </c>
      <c r="F1079" s="41">
        <v>4329.0</v>
      </c>
      <c r="G1079" s="41">
        <v>6150010.0</v>
      </c>
      <c r="H1079" s="41">
        <v>163936.0</v>
      </c>
    </row>
    <row r="1080" ht="15.75" customHeight="1">
      <c r="A1080" s="40" t="s">
        <v>31</v>
      </c>
      <c r="B1080" s="40" t="s">
        <v>117</v>
      </c>
      <c r="C1080" s="40" t="s">
        <v>1731</v>
      </c>
      <c r="D1080" s="40" t="s">
        <v>1732</v>
      </c>
      <c r="E1080" s="40" t="s">
        <v>1736</v>
      </c>
      <c r="F1080" s="41">
        <v>2965.0</v>
      </c>
      <c r="G1080" s="41">
        <v>1.42272E7</v>
      </c>
      <c r="H1080" s="41">
        <v>706400.0</v>
      </c>
    </row>
    <row r="1081" ht="15.75" customHeight="1">
      <c r="A1081" s="40" t="s">
        <v>31</v>
      </c>
      <c r="B1081" s="40" t="s">
        <v>117</v>
      </c>
      <c r="C1081" s="40" t="s">
        <v>1731</v>
      </c>
      <c r="D1081" s="40" t="s">
        <v>1732</v>
      </c>
      <c r="E1081" s="40" t="s">
        <v>1737</v>
      </c>
      <c r="F1081" s="41">
        <v>0.0</v>
      </c>
      <c r="G1081" s="41">
        <v>0.0</v>
      </c>
      <c r="H1081" s="41">
        <v>0.0</v>
      </c>
    </row>
    <row r="1082" ht="15.75" customHeight="1">
      <c r="A1082" s="40" t="s">
        <v>31</v>
      </c>
      <c r="B1082" s="40" t="s">
        <v>117</v>
      </c>
      <c r="C1082" s="40" t="s">
        <v>1731</v>
      </c>
      <c r="D1082" s="40" t="s">
        <v>1732</v>
      </c>
      <c r="E1082" s="40" t="s">
        <v>1738</v>
      </c>
      <c r="F1082" s="41">
        <v>0.0</v>
      </c>
      <c r="G1082" s="41">
        <v>0.0</v>
      </c>
      <c r="H1082" s="41">
        <v>0.0</v>
      </c>
    </row>
    <row r="1083" ht="15.75" customHeight="1">
      <c r="A1083" s="40" t="s">
        <v>31</v>
      </c>
      <c r="B1083" s="40" t="s">
        <v>117</v>
      </c>
      <c r="C1083" s="40" t="s">
        <v>1731</v>
      </c>
      <c r="D1083" s="40" t="s">
        <v>1732</v>
      </c>
      <c r="E1083" s="40" t="s">
        <v>1739</v>
      </c>
      <c r="F1083" s="41">
        <v>2669.0</v>
      </c>
      <c r="G1083" s="41">
        <v>5447750.0</v>
      </c>
      <c r="H1083" s="41">
        <v>151460.0</v>
      </c>
    </row>
    <row r="1084" ht="15.75" customHeight="1">
      <c r="A1084" s="40" t="s">
        <v>31</v>
      </c>
      <c r="B1084" s="40" t="s">
        <v>117</v>
      </c>
      <c r="C1084" s="40" t="s">
        <v>1731</v>
      </c>
      <c r="D1084" s="40" t="s">
        <v>1732</v>
      </c>
      <c r="E1084" s="40" t="s">
        <v>1740</v>
      </c>
      <c r="F1084" s="41">
        <v>646.0</v>
      </c>
      <c r="G1084" s="41">
        <v>3030160.0</v>
      </c>
      <c r="H1084" s="41">
        <v>126064.0</v>
      </c>
    </row>
    <row r="1085" ht="15.75" customHeight="1">
      <c r="A1085" s="40" t="s">
        <v>31</v>
      </c>
      <c r="B1085" s="40" t="s">
        <v>117</v>
      </c>
      <c r="C1085" s="40" t="s">
        <v>1731</v>
      </c>
      <c r="D1085" s="40" t="s">
        <v>1732</v>
      </c>
      <c r="E1085" s="40" t="s">
        <v>1741</v>
      </c>
      <c r="F1085" s="41">
        <v>1329.0</v>
      </c>
      <c r="G1085" s="41">
        <v>5323500.0</v>
      </c>
      <c r="H1085" s="41">
        <v>160566.0</v>
      </c>
    </row>
    <row r="1086" ht="15.75" customHeight="1">
      <c r="A1086" s="40" t="s">
        <v>31</v>
      </c>
      <c r="B1086" s="40" t="s">
        <v>117</v>
      </c>
      <c r="C1086" s="40" t="s">
        <v>1731</v>
      </c>
      <c r="D1086" s="40" t="s">
        <v>1732</v>
      </c>
      <c r="E1086" s="40" t="s">
        <v>1742</v>
      </c>
      <c r="F1086" s="41">
        <v>0.0</v>
      </c>
      <c r="G1086" s="41">
        <v>0.0</v>
      </c>
      <c r="H1086" s="41">
        <v>0.0</v>
      </c>
    </row>
    <row r="1087" ht="15.75" customHeight="1">
      <c r="A1087" s="40" t="s">
        <v>31</v>
      </c>
      <c r="B1087" s="40" t="s">
        <v>117</v>
      </c>
      <c r="C1087" s="40" t="s">
        <v>1731</v>
      </c>
      <c r="D1087" s="40" t="s">
        <v>1732</v>
      </c>
      <c r="E1087" s="40" t="s">
        <v>1743</v>
      </c>
      <c r="F1087" s="41">
        <v>0.0</v>
      </c>
      <c r="G1087" s="41">
        <v>0.0</v>
      </c>
      <c r="H1087" s="41">
        <v>0.0</v>
      </c>
    </row>
    <row r="1088" ht="15.75" customHeight="1">
      <c r="A1088" s="40" t="s">
        <v>31</v>
      </c>
      <c r="B1088" s="40" t="s">
        <v>117</v>
      </c>
      <c r="C1088" s="40" t="s">
        <v>1731</v>
      </c>
      <c r="D1088" s="40" t="s">
        <v>1732</v>
      </c>
      <c r="E1088" s="40" t="s">
        <v>1744</v>
      </c>
      <c r="F1088" s="41">
        <v>869.0</v>
      </c>
      <c r="G1088" s="41">
        <v>1962520.0</v>
      </c>
      <c r="H1088" s="41">
        <v>0.0</v>
      </c>
    </row>
    <row r="1089" ht="15.75" customHeight="1">
      <c r="A1089" s="40" t="s">
        <v>31</v>
      </c>
      <c r="B1089" s="40" t="s">
        <v>117</v>
      </c>
      <c r="C1089" s="40" t="s">
        <v>1731</v>
      </c>
      <c r="D1089" s="40" t="s">
        <v>1732</v>
      </c>
      <c r="E1089" s="40" t="s">
        <v>1745</v>
      </c>
      <c r="F1089" s="41">
        <v>749.0</v>
      </c>
      <c r="G1089" s="41">
        <v>1460550.0</v>
      </c>
      <c r="H1089" s="41">
        <v>0.0</v>
      </c>
    </row>
    <row r="1090" ht="15.75" customHeight="1">
      <c r="A1090" s="40" t="s">
        <v>31</v>
      </c>
      <c r="B1090" s="40" t="s">
        <v>117</v>
      </c>
      <c r="C1090" s="40" t="s">
        <v>1731</v>
      </c>
      <c r="D1090" s="40" t="s">
        <v>1732</v>
      </c>
      <c r="E1090" s="40" t="s">
        <v>1746</v>
      </c>
      <c r="F1090" s="41">
        <v>10011.0</v>
      </c>
      <c r="G1090" s="41">
        <v>2.738353E7</v>
      </c>
      <c r="H1090" s="41">
        <v>0.0</v>
      </c>
    </row>
    <row r="1091" ht="15.75" customHeight="1">
      <c r="A1091" s="40" t="s">
        <v>31</v>
      </c>
      <c r="B1091" s="40" t="s">
        <v>117</v>
      </c>
      <c r="C1091" s="40" t="s">
        <v>1731</v>
      </c>
      <c r="D1091" s="40" t="s">
        <v>1732</v>
      </c>
      <c r="E1091" s="40" t="s">
        <v>1747</v>
      </c>
      <c r="F1091" s="41">
        <v>0.0</v>
      </c>
      <c r="G1091" s="41">
        <v>0.0</v>
      </c>
      <c r="H1091" s="41">
        <v>0.0</v>
      </c>
    </row>
    <row r="1092" ht="15.75" customHeight="1">
      <c r="A1092" s="40" t="s">
        <v>31</v>
      </c>
      <c r="B1092" s="40" t="s">
        <v>117</v>
      </c>
      <c r="C1092" s="40" t="s">
        <v>1731</v>
      </c>
      <c r="D1092" s="40" t="s">
        <v>1732</v>
      </c>
      <c r="E1092" s="40" t="s">
        <v>1748</v>
      </c>
      <c r="F1092" s="41">
        <v>2527.0</v>
      </c>
      <c r="G1092" s="41">
        <v>4025790.0</v>
      </c>
      <c r="H1092" s="41">
        <v>0.0</v>
      </c>
    </row>
    <row r="1093" ht="15.75" customHeight="1">
      <c r="A1093" s="40" t="s">
        <v>31</v>
      </c>
      <c r="B1093" s="40" t="s">
        <v>117</v>
      </c>
      <c r="C1093" s="40" t="s">
        <v>1731</v>
      </c>
      <c r="D1093" s="40" t="s">
        <v>1732</v>
      </c>
      <c r="E1093" s="40" t="s">
        <v>1749</v>
      </c>
      <c r="F1093" s="41">
        <v>0.0</v>
      </c>
      <c r="G1093" s="41">
        <v>0.0</v>
      </c>
      <c r="H1093" s="41">
        <v>0.0</v>
      </c>
    </row>
    <row r="1094" ht="15.75" customHeight="1">
      <c r="A1094" s="40" t="s">
        <v>31</v>
      </c>
      <c r="B1094" s="40" t="s">
        <v>117</v>
      </c>
      <c r="C1094" s="40" t="s">
        <v>1750</v>
      </c>
      <c r="D1094" s="40" t="s">
        <v>1751</v>
      </c>
      <c r="E1094" s="40" t="s">
        <v>1752</v>
      </c>
      <c r="F1094" s="41">
        <v>11658.0</v>
      </c>
      <c r="G1094" s="41">
        <v>2.059873E7</v>
      </c>
      <c r="H1094" s="41">
        <v>137841.0</v>
      </c>
    </row>
    <row r="1095" ht="15.75" customHeight="1">
      <c r="A1095" s="40" t="s">
        <v>31</v>
      </c>
      <c r="B1095" s="40" t="s">
        <v>117</v>
      </c>
      <c r="C1095" s="40" t="s">
        <v>1750</v>
      </c>
      <c r="D1095" s="40" t="s">
        <v>1751</v>
      </c>
      <c r="E1095" s="40" t="s">
        <v>1753</v>
      </c>
      <c r="F1095" s="41">
        <v>2243.0</v>
      </c>
      <c r="G1095" s="41">
        <v>7808340.0</v>
      </c>
      <c r="H1095" s="41">
        <v>91872.0</v>
      </c>
    </row>
    <row r="1096" ht="15.75" customHeight="1">
      <c r="A1096" s="40" t="s">
        <v>31</v>
      </c>
      <c r="B1096" s="40" t="s">
        <v>117</v>
      </c>
      <c r="C1096" s="40" t="s">
        <v>1750</v>
      </c>
      <c r="D1096" s="40" t="s">
        <v>1751</v>
      </c>
      <c r="E1096" s="40" t="s">
        <v>1754</v>
      </c>
      <c r="F1096" s="41">
        <v>2820.0</v>
      </c>
      <c r="G1096" s="41">
        <v>3964250.0</v>
      </c>
      <c r="H1096" s="41">
        <v>52800.0</v>
      </c>
    </row>
    <row r="1097" ht="15.75" customHeight="1">
      <c r="A1097" s="40" t="s">
        <v>31</v>
      </c>
      <c r="B1097" s="40" t="s">
        <v>117</v>
      </c>
      <c r="C1097" s="40" t="s">
        <v>1750</v>
      </c>
      <c r="D1097" s="40" t="s">
        <v>1751</v>
      </c>
      <c r="E1097" s="40" t="s">
        <v>1755</v>
      </c>
      <c r="F1097" s="41">
        <v>2498.0</v>
      </c>
      <c r="G1097" s="41">
        <v>3517710.0</v>
      </c>
      <c r="H1097" s="41">
        <v>41526.0</v>
      </c>
    </row>
    <row r="1098" ht="15.75" customHeight="1">
      <c r="A1098" s="40" t="s">
        <v>31</v>
      </c>
      <c r="B1098" s="40" t="s">
        <v>117</v>
      </c>
      <c r="C1098" s="40" t="s">
        <v>1750</v>
      </c>
      <c r="D1098" s="40" t="s">
        <v>1751</v>
      </c>
      <c r="E1098" s="40" t="s">
        <v>1756</v>
      </c>
      <c r="F1098" s="41">
        <v>2597.0</v>
      </c>
      <c r="G1098" s="41">
        <v>4848340.0</v>
      </c>
      <c r="H1098" s="41">
        <v>57678.0</v>
      </c>
    </row>
    <row r="1099" ht="15.75" customHeight="1">
      <c r="A1099" s="40" t="s">
        <v>31</v>
      </c>
      <c r="B1099" s="40" t="s">
        <v>117</v>
      </c>
      <c r="C1099" s="40" t="s">
        <v>1750</v>
      </c>
      <c r="D1099" s="40" t="s">
        <v>1751</v>
      </c>
      <c r="E1099" s="40" t="s">
        <v>1757</v>
      </c>
      <c r="F1099" s="41">
        <v>4666.0</v>
      </c>
      <c r="G1099" s="41">
        <v>1.19661E7</v>
      </c>
      <c r="H1099" s="41">
        <v>90354.0</v>
      </c>
    </row>
    <row r="1100" ht="15.75" customHeight="1">
      <c r="A1100" s="40" t="s">
        <v>31</v>
      </c>
      <c r="B1100" s="40" t="s">
        <v>117</v>
      </c>
      <c r="C1100" s="40" t="s">
        <v>1750</v>
      </c>
      <c r="D1100" s="40" t="s">
        <v>1751</v>
      </c>
      <c r="E1100" s="40" t="s">
        <v>1758</v>
      </c>
      <c r="F1100" s="41">
        <v>3965.0</v>
      </c>
      <c r="G1100" s="41">
        <v>1.101369E7</v>
      </c>
      <c r="H1100" s="41">
        <v>72632.0</v>
      </c>
    </row>
    <row r="1101" ht="15.75" customHeight="1">
      <c r="A1101" s="40" t="s">
        <v>31</v>
      </c>
      <c r="B1101" s="40" t="s">
        <v>117</v>
      </c>
      <c r="C1101" s="40" t="s">
        <v>1750</v>
      </c>
      <c r="D1101" s="40" t="s">
        <v>1751</v>
      </c>
      <c r="E1101" s="40" t="s">
        <v>1759</v>
      </c>
      <c r="F1101" s="41">
        <v>889.0</v>
      </c>
      <c r="G1101" s="41">
        <v>2216530.0</v>
      </c>
      <c r="H1101" s="41">
        <v>12450.0</v>
      </c>
    </row>
    <row r="1102" ht="15.75" customHeight="1">
      <c r="A1102" s="40" t="s">
        <v>31</v>
      </c>
      <c r="B1102" s="40" t="s">
        <v>117</v>
      </c>
      <c r="C1102" s="40" t="s">
        <v>1750</v>
      </c>
      <c r="D1102" s="40" t="s">
        <v>1751</v>
      </c>
      <c r="E1102" s="40" t="s">
        <v>1760</v>
      </c>
      <c r="F1102" s="41">
        <v>1260.0</v>
      </c>
      <c r="G1102" s="41">
        <v>3170490.0</v>
      </c>
      <c r="H1102" s="41">
        <v>27120.0</v>
      </c>
    </row>
    <row r="1103" ht="15.75" customHeight="1">
      <c r="A1103" s="40" t="s">
        <v>31</v>
      </c>
      <c r="B1103" s="40" t="s">
        <v>117</v>
      </c>
      <c r="C1103" s="40" t="s">
        <v>1750</v>
      </c>
      <c r="D1103" s="40" t="s">
        <v>1751</v>
      </c>
      <c r="E1103" s="40" t="s">
        <v>1761</v>
      </c>
      <c r="F1103" s="41">
        <v>889.0</v>
      </c>
      <c r="G1103" s="41">
        <v>2162630.0</v>
      </c>
      <c r="H1103" s="41">
        <v>9570.0</v>
      </c>
    </row>
    <row r="1104" ht="15.75" customHeight="1">
      <c r="A1104" s="40" t="s">
        <v>31</v>
      </c>
      <c r="B1104" s="40" t="s">
        <v>117</v>
      </c>
      <c r="C1104" s="40" t="s">
        <v>1750</v>
      </c>
      <c r="D1104" s="40" t="s">
        <v>1751</v>
      </c>
      <c r="E1104" s="40" t="s">
        <v>1762</v>
      </c>
      <c r="F1104" s="41">
        <v>1142.0</v>
      </c>
      <c r="G1104" s="41">
        <v>2883900.0</v>
      </c>
      <c r="H1104" s="41">
        <v>25204.0</v>
      </c>
    </row>
    <row r="1105" ht="15.75" customHeight="1">
      <c r="A1105" s="40" t="s">
        <v>31</v>
      </c>
      <c r="B1105" s="40" t="s">
        <v>117</v>
      </c>
      <c r="C1105" s="40" t="s">
        <v>1750</v>
      </c>
      <c r="D1105" s="40" t="s">
        <v>1751</v>
      </c>
      <c r="E1105" s="40" t="s">
        <v>1763</v>
      </c>
      <c r="F1105" s="41">
        <v>2347.0</v>
      </c>
      <c r="G1105" s="41">
        <v>5953810.0</v>
      </c>
      <c r="H1105" s="41">
        <v>44702.0</v>
      </c>
    </row>
    <row r="1106" ht="15.75" customHeight="1">
      <c r="A1106" s="40" t="s">
        <v>31</v>
      </c>
      <c r="B1106" s="40" t="s">
        <v>117</v>
      </c>
      <c r="C1106" s="40" t="s">
        <v>1750</v>
      </c>
      <c r="D1106" s="40" t="s">
        <v>1751</v>
      </c>
      <c r="E1106" s="40" t="s">
        <v>1764</v>
      </c>
      <c r="F1106" s="41">
        <v>5009.0</v>
      </c>
      <c r="G1106" s="41">
        <v>1.400769E7</v>
      </c>
      <c r="H1106" s="41">
        <v>101626.0</v>
      </c>
    </row>
    <row r="1107" ht="15.75" customHeight="1">
      <c r="A1107" s="40" t="s">
        <v>31</v>
      </c>
      <c r="B1107" s="40" t="s">
        <v>117</v>
      </c>
      <c r="C1107" s="40" t="s">
        <v>1750</v>
      </c>
      <c r="D1107" s="40" t="s">
        <v>1751</v>
      </c>
      <c r="E1107" s="40" t="s">
        <v>1765</v>
      </c>
      <c r="F1107" s="41">
        <v>8592.0</v>
      </c>
      <c r="G1107" s="41">
        <v>9555860.0</v>
      </c>
      <c r="H1107" s="41">
        <v>96180.0</v>
      </c>
    </row>
    <row r="1108" ht="15.75" customHeight="1">
      <c r="A1108" s="40" t="s">
        <v>31</v>
      </c>
      <c r="B1108" s="40" t="s">
        <v>186</v>
      </c>
      <c r="C1108" s="40" t="s">
        <v>1766</v>
      </c>
      <c r="D1108" s="40" t="s">
        <v>1767</v>
      </c>
      <c r="E1108" s="40" t="s">
        <v>1768</v>
      </c>
      <c r="F1108" s="41">
        <v>75.0</v>
      </c>
      <c r="G1108" s="41">
        <v>1155000.0</v>
      </c>
      <c r="H1108" s="41">
        <v>80080.0</v>
      </c>
    </row>
    <row r="1109" ht="15.75" customHeight="1">
      <c r="A1109" s="40" t="s">
        <v>31</v>
      </c>
      <c r="B1109" s="40" t="s">
        <v>186</v>
      </c>
      <c r="C1109" s="40" t="s">
        <v>1766</v>
      </c>
      <c r="D1109" s="40" t="s">
        <v>1767</v>
      </c>
      <c r="E1109" s="40" t="s">
        <v>1769</v>
      </c>
      <c r="F1109" s="41">
        <v>1.0</v>
      </c>
      <c r="G1109" s="41">
        <v>14940.0</v>
      </c>
      <c r="H1109" s="41">
        <v>0.0</v>
      </c>
    </row>
    <row r="1110" ht="15.75" customHeight="1">
      <c r="A1110" s="40" t="s">
        <v>31</v>
      </c>
      <c r="B1110" s="40" t="s">
        <v>186</v>
      </c>
      <c r="C1110" s="40" t="s">
        <v>1766</v>
      </c>
      <c r="D1110" s="40" t="s">
        <v>1767</v>
      </c>
      <c r="E1110" s="40" t="s">
        <v>1770</v>
      </c>
      <c r="F1110" s="41">
        <v>0.0</v>
      </c>
      <c r="G1110" s="41">
        <v>0.0</v>
      </c>
      <c r="H1110" s="41">
        <v>0.0</v>
      </c>
    </row>
    <row r="1111" ht="15.75" customHeight="1">
      <c r="A1111" s="40" t="s">
        <v>31</v>
      </c>
      <c r="B1111" s="40" t="s">
        <v>186</v>
      </c>
      <c r="C1111" s="40" t="s">
        <v>1766</v>
      </c>
      <c r="D1111" s="40" t="s">
        <v>1767</v>
      </c>
      <c r="E1111" s="40" t="s">
        <v>1771</v>
      </c>
      <c r="F1111" s="41">
        <v>0.0</v>
      </c>
      <c r="G1111" s="41">
        <v>0.0</v>
      </c>
      <c r="H1111" s="41">
        <v>0.0</v>
      </c>
    </row>
    <row r="1112" ht="15.75" customHeight="1">
      <c r="A1112" s="40" t="s">
        <v>31</v>
      </c>
      <c r="B1112" s="40" t="s">
        <v>186</v>
      </c>
      <c r="C1112" s="40" t="s">
        <v>1766</v>
      </c>
      <c r="D1112" s="40" t="s">
        <v>1767</v>
      </c>
      <c r="E1112" s="40" t="s">
        <v>1772</v>
      </c>
      <c r="F1112" s="41">
        <v>0.0</v>
      </c>
      <c r="G1112" s="41">
        <v>0.0</v>
      </c>
      <c r="H1112" s="41">
        <v>0.0</v>
      </c>
    </row>
    <row r="1113" ht="15.75" customHeight="1">
      <c r="A1113" s="40" t="s">
        <v>31</v>
      </c>
      <c r="B1113" s="40" t="s">
        <v>186</v>
      </c>
      <c r="C1113" s="40" t="s">
        <v>1773</v>
      </c>
      <c r="D1113" s="40" t="s">
        <v>1774</v>
      </c>
      <c r="E1113" s="40" t="s">
        <v>1775</v>
      </c>
      <c r="F1113" s="41">
        <v>1.0</v>
      </c>
      <c r="G1113" s="41">
        <v>12900.0</v>
      </c>
      <c r="H1113" s="41">
        <v>2580.0</v>
      </c>
    </row>
    <row r="1114" ht="15.75" customHeight="1">
      <c r="A1114" s="40" t="s">
        <v>31</v>
      </c>
      <c r="B1114" s="40" t="s">
        <v>186</v>
      </c>
      <c r="C1114" s="40" t="s">
        <v>1773</v>
      </c>
      <c r="D1114" s="40" t="s">
        <v>1774</v>
      </c>
      <c r="E1114" s="40" t="s">
        <v>1776</v>
      </c>
      <c r="F1114" s="41">
        <v>4.0</v>
      </c>
      <c r="G1114" s="41">
        <v>51600.0</v>
      </c>
      <c r="H1114" s="41">
        <v>2580.0</v>
      </c>
    </row>
    <row r="1115" ht="15.75" customHeight="1">
      <c r="A1115" s="40" t="s">
        <v>31</v>
      </c>
      <c r="B1115" s="40" t="s">
        <v>186</v>
      </c>
      <c r="C1115" s="40" t="s">
        <v>1773</v>
      </c>
      <c r="D1115" s="40" t="s">
        <v>1774</v>
      </c>
      <c r="E1115" s="40" t="s">
        <v>1777</v>
      </c>
      <c r="F1115" s="41">
        <v>207.0</v>
      </c>
      <c r="G1115" s="41">
        <v>2691000.0</v>
      </c>
      <c r="H1115" s="41">
        <v>282058.0</v>
      </c>
    </row>
    <row r="1116" ht="15.75" customHeight="1">
      <c r="A1116" s="40" t="s">
        <v>31</v>
      </c>
      <c r="B1116" s="40" t="s">
        <v>186</v>
      </c>
      <c r="C1116" s="40" t="s">
        <v>1773</v>
      </c>
      <c r="D1116" s="40" t="s">
        <v>1774</v>
      </c>
      <c r="E1116" s="40" t="s">
        <v>1778</v>
      </c>
      <c r="F1116" s="41">
        <v>0.0</v>
      </c>
      <c r="G1116" s="41">
        <v>0.0</v>
      </c>
      <c r="H1116" s="41">
        <v>0.0</v>
      </c>
    </row>
    <row r="1117" ht="15.75" customHeight="1">
      <c r="A1117" s="40" t="s">
        <v>31</v>
      </c>
      <c r="B1117" s="40" t="s">
        <v>186</v>
      </c>
      <c r="C1117" s="40" t="s">
        <v>1773</v>
      </c>
      <c r="D1117" s="40" t="s">
        <v>1774</v>
      </c>
      <c r="E1117" s="40" t="s">
        <v>1779</v>
      </c>
      <c r="F1117" s="41">
        <v>0.0</v>
      </c>
      <c r="G1117" s="41">
        <v>0.0</v>
      </c>
      <c r="H1117" s="41">
        <v>0.0</v>
      </c>
    </row>
    <row r="1118" ht="15.75" customHeight="1">
      <c r="A1118" s="40" t="s">
        <v>31</v>
      </c>
      <c r="B1118" s="40" t="s">
        <v>186</v>
      </c>
      <c r="C1118" s="40" t="s">
        <v>1773</v>
      </c>
      <c r="D1118" s="40" t="s">
        <v>1774</v>
      </c>
      <c r="E1118" s="40" t="s">
        <v>1780</v>
      </c>
      <c r="F1118" s="41">
        <v>1.0</v>
      </c>
      <c r="G1118" s="41">
        <v>6700.0</v>
      </c>
      <c r="H1118" s="41">
        <v>1340.0</v>
      </c>
    </row>
    <row r="1119" ht="15.75" customHeight="1">
      <c r="A1119" s="40" t="s">
        <v>31</v>
      </c>
      <c r="B1119" s="40" t="s">
        <v>186</v>
      </c>
      <c r="C1119" s="40" t="s">
        <v>1773</v>
      </c>
      <c r="D1119" s="40" t="s">
        <v>1774</v>
      </c>
      <c r="E1119" s="40" t="s">
        <v>1781</v>
      </c>
      <c r="F1119" s="41">
        <v>0.0</v>
      </c>
      <c r="G1119" s="41">
        <v>0.0</v>
      </c>
      <c r="H1119" s="41">
        <v>0.0</v>
      </c>
    </row>
    <row r="1120" ht="15.75" customHeight="1">
      <c r="A1120" s="40" t="s">
        <v>31</v>
      </c>
      <c r="B1120" s="40" t="s">
        <v>186</v>
      </c>
      <c r="C1120" s="40" t="s">
        <v>1773</v>
      </c>
      <c r="D1120" s="40" t="s">
        <v>1774</v>
      </c>
      <c r="E1120" s="40" t="s">
        <v>1782</v>
      </c>
      <c r="F1120" s="41">
        <v>175.0</v>
      </c>
      <c r="G1120" s="41">
        <v>2222500.0</v>
      </c>
      <c r="H1120" s="41">
        <v>119082.0</v>
      </c>
    </row>
    <row r="1121" ht="15.75" customHeight="1">
      <c r="A1121" s="40" t="s">
        <v>31</v>
      </c>
      <c r="B1121" s="40" t="s">
        <v>186</v>
      </c>
      <c r="C1121" s="40" t="s">
        <v>1773</v>
      </c>
      <c r="D1121" s="40" t="s">
        <v>1774</v>
      </c>
      <c r="E1121" s="40" t="s">
        <v>1783</v>
      </c>
      <c r="F1121" s="41">
        <v>0.0</v>
      </c>
      <c r="G1121" s="41">
        <v>0.0</v>
      </c>
      <c r="H1121" s="41">
        <v>0.0</v>
      </c>
    </row>
    <row r="1122" ht="15.75" customHeight="1">
      <c r="A1122" s="40" t="s">
        <v>31</v>
      </c>
      <c r="B1122" s="40" t="s">
        <v>186</v>
      </c>
      <c r="C1122" s="40" t="s">
        <v>1773</v>
      </c>
      <c r="D1122" s="40" t="s">
        <v>1774</v>
      </c>
      <c r="E1122" s="40" t="s">
        <v>1784</v>
      </c>
      <c r="F1122" s="41">
        <v>0.0</v>
      </c>
      <c r="G1122" s="41">
        <v>0.0</v>
      </c>
      <c r="H1122" s="41">
        <v>0.0</v>
      </c>
    </row>
    <row r="1123" ht="15.75" customHeight="1">
      <c r="A1123" s="40" t="s">
        <v>31</v>
      </c>
      <c r="B1123" s="40" t="s">
        <v>186</v>
      </c>
      <c r="C1123" s="40" t="s">
        <v>1785</v>
      </c>
      <c r="D1123" s="40" t="s">
        <v>1786</v>
      </c>
      <c r="E1123" s="40" t="s">
        <v>1787</v>
      </c>
      <c r="F1123" s="41">
        <v>1224.0</v>
      </c>
      <c r="G1123" s="41">
        <v>3690000.0</v>
      </c>
      <c r="H1123" s="41">
        <v>174609.0</v>
      </c>
    </row>
    <row r="1124" ht="15.75" customHeight="1">
      <c r="A1124" s="40" t="s">
        <v>31</v>
      </c>
      <c r="B1124" s="40" t="s">
        <v>186</v>
      </c>
      <c r="C1124" s="40" t="s">
        <v>1785</v>
      </c>
      <c r="D1124" s="40" t="s">
        <v>1786</v>
      </c>
      <c r="E1124" s="40" t="s">
        <v>1788</v>
      </c>
      <c r="F1124" s="41">
        <v>1727.0</v>
      </c>
      <c r="G1124" s="41">
        <v>1.34706E7</v>
      </c>
      <c r="H1124" s="41">
        <v>771151.0</v>
      </c>
    </row>
    <row r="1125" ht="15.75" customHeight="1">
      <c r="A1125" s="40" t="s">
        <v>31</v>
      </c>
      <c r="B1125" s="40" t="s">
        <v>186</v>
      </c>
      <c r="C1125" s="40" t="s">
        <v>1785</v>
      </c>
      <c r="D1125" s="40" t="s">
        <v>1786</v>
      </c>
      <c r="E1125" s="40" t="s">
        <v>1789</v>
      </c>
      <c r="F1125" s="41">
        <v>859.0</v>
      </c>
      <c r="G1125" s="41">
        <v>2914100.0</v>
      </c>
      <c r="H1125" s="41">
        <v>98649.0</v>
      </c>
    </row>
    <row r="1126" ht="15.75" customHeight="1">
      <c r="A1126" s="40" t="s">
        <v>31</v>
      </c>
      <c r="B1126" s="40" t="s">
        <v>117</v>
      </c>
      <c r="C1126" s="40" t="s">
        <v>1790</v>
      </c>
      <c r="D1126" s="40" t="s">
        <v>1791</v>
      </c>
      <c r="E1126" s="40" t="s">
        <v>1792</v>
      </c>
      <c r="F1126" s="41">
        <v>0.0</v>
      </c>
      <c r="G1126" s="41">
        <v>0.0</v>
      </c>
      <c r="H1126" s="41">
        <v>0.0</v>
      </c>
    </row>
    <row r="1127" ht="15.75" customHeight="1">
      <c r="A1127" s="40" t="s">
        <v>31</v>
      </c>
      <c r="B1127" s="40" t="s">
        <v>117</v>
      </c>
      <c r="C1127" s="40" t="s">
        <v>1790</v>
      </c>
      <c r="D1127" s="40" t="s">
        <v>1791</v>
      </c>
      <c r="E1127" s="40" t="s">
        <v>1793</v>
      </c>
      <c r="F1127" s="41">
        <v>0.0</v>
      </c>
      <c r="G1127" s="41">
        <v>0.0</v>
      </c>
      <c r="H1127" s="41">
        <v>0.0</v>
      </c>
    </row>
    <row r="1128" ht="15.75" customHeight="1">
      <c r="A1128" s="40" t="s">
        <v>31</v>
      </c>
      <c r="B1128" s="40" t="s">
        <v>117</v>
      </c>
      <c r="C1128" s="40" t="s">
        <v>1790</v>
      </c>
      <c r="D1128" s="40" t="s">
        <v>1791</v>
      </c>
      <c r="E1128" s="40" t="s">
        <v>1794</v>
      </c>
      <c r="F1128" s="41">
        <v>0.0</v>
      </c>
      <c r="G1128" s="41">
        <v>0.0</v>
      </c>
      <c r="H1128" s="41">
        <v>0.0</v>
      </c>
    </row>
    <row r="1129" ht="15.75" customHeight="1">
      <c r="A1129" s="40" t="s">
        <v>31</v>
      </c>
      <c r="B1129" s="40" t="s">
        <v>117</v>
      </c>
      <c r="C1129" s="40" t="s">
        <v>1790</v>
      </c>
      <c r="D1129" s="40" t="s">
        <v>1791</v>
      </c>
      <c r="E1129" s="40" t="s">
        <v>1795</v>
      </c>
      <c r="F1129" s="41">
        <v>0.0</v>
      </c>
      <c r="G1129" s="41">
        <v>0.0</v>
      </c>
      <c r="H1129" s="41">
        <v>0.0</v>
      </c>
    </row>
    <row r="1130" ht="15.75" customHeight="1">
      <c r="A1130" s="40" t="s">
        <v>31</v>
      </c>
      <c r="B1130" s="40" t="s">
        <v>117</v>
      </c>
      <c r="C1130" s="40" t="s">
        <v>1790</v>
      </c>
      <c r="D1130" s="40" t="s">
        <v>1791</v>
      </c>
      <c r="E1130" s="40" t="s">
        <v>1796</v>
      </c>
      <c r="F1130" s="41">
        <v>0.0</v>
      </c>
      <c r="G1130" s="41">
        <v>0.0</v>
      </c>
      <c r="H1130" s="41">
        <v>0.0</v>
      </c>
    </row>
    <row r="1131" ht="15.75" customHeight="1">
      <c r="A1131" s="40" t="s">
        <v>31</v>
      </c>
      <c r="B1131" s="40" t="s">
        <v>117</v>
      </c>
      <c r="C1131" s="40" t="s">
        <v>1790</v>
      </c>
      <c r="D1131" s="40" t="s">
        <v>1791</v>
      </c>
      <c r="E1131" s="40" t="s">
        <v>1797</v>
      </c>
      <c r="F1131" s="41">
        <v>0.0</v>
      </c>
      <c r="G1131" s="41">
        <v>0.0</v>
      </c>
      <c r="H1131" s="41">
        <v>0.0</v>
      </c>
    </row>
  </sheetData>
  <autoFilter ref="$A$1:$Z$113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91.86"/>
    <col customWidth="1" min="6" max="8" width="13.0"/>
    <col customWidth="1" min="9" max="19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  <c r="J1" s="38" t="s">
        <v>278</v>
      </c>
    </row>
    <row r="2" hidden="1">
      <c r="A2" s="38" t="s">
        <v>93</v>
      </c>
      <c r="B2" s="38" t="s">
        <v>174</v>
      </c>
      <c r="C2" s="38" t="s">
        <v>220</v>
      </c>
      <c r="D2" s="38" t="s">
        <v>219</v>
      </c>
      <c r="E2" s="38" t="s">
        <v>1320</v>
      </c>
      <c r="F2" s="52">
        <v>253.0</v>
      </c>
      <c r="G2" s="52">
        <v>5220720.0</v>
      </c>
      <c r="H2" s="52">
        <v>278100.0</v>
      </c>
    </row>
    <row r="3" hidden="1">
      <c r="A3" s="38" t="s">
        <v>93</v>
      </c>
      <c r="B3" s="38" t="s">
        <v>117</v>
      </c>
      <c r="C3" s="38" t="s">
        <v>504</v>
      </c>
      <c r="D3" s="38" t="s">
        <v>503</v>
      </c>
      <c r="E3" s="38" t="s">
        <v>1321</v>
      </c>
      <c r="F3" s="52">
        <v>4.0</v>
      </c>
      <c r="G3" s="52">
        <v>187600.0</v>
      </c>
      <c r="H3" s="52" t="s">
        <v>1800</v>
      </c>
    </row>
    <row r="4" hidden="1">
      <c r="A4" s="38" t="s">
        <v>93</v>
      </c>
      <c r="B4" s="38" t="s">
        <v>186</v>
      </c>
      <c r="C4" s="38" t="s">
        <v>1322</v>
      </c>
      <c r="D4" s="38" t="s">
        <v>1323</v>
      </c>
      <c r="E4" s="38" t="s">
        <v>1324</v>
      </c>
      <c r="F4" s="52">
        <v>21744.0</v>
      </c>
      <c r="G4" s="52">
        <v>2.8753627E8</v>
      </c>
      <c r="H4" s="52">
        <v>6140240.0</v>
      </c>
    </row>
    <row r="5" hidden="1">
      <c r="A5" s="38" t="s">
        <v>93</v>
      </c>
      <c r="B5" s="38" t="s">
        <v>117</v>
      </c>
      <c r="C5" s="38" t="s">
        <v>1325</v>
      </c>
      <c r="D5" s="38" t="s">
        <v>1326</v>
      </c>
      <c r="E5" s="38" t="s">
        <v>1327</v>
      </c>
      <c r="F5" s="52">
        <v>26.0</v>
      </c>
      <c r="G5" s="52">
        <v>621000.0</v>
      </c>
      <c r="H5" s="52">
        <v>57600.0</v>
      </c>
    </row>
    <row r="6" hidden="1">
      <c r="A6" s="38" t="s">
        <v>93</v>
      </c>
      <c r="B6" s="38" t="s">
        <v>117</v>
      </c>
      <c r="C6" s="38" t="s">
        <v>1325</v>
      </c>
      <c r="D6" s="38" t="s">
        <v>1326</v>
      </c>
      <c r="E6" s="38" t="s">
        <v>1328</v>
      </c>
      <c r="F6" s="52">
        <v>32.0</v>
      </c>
      <c r="G6" s="52">
        <v>480900.0</v>
      </c>
      <c r="H6" s="52">
        <v>27500.0</v>
      </c>
    </row>
    <row r="7" hidden="1">
      <c r="A7" s="38" t="s">
        <v>93</v>
      </c>
      <c r="B7" s="38" t="s">
        <v>174</v>
      </c>
      <c r="C7" s="38" t="s">
        <v>1329</v>
      </c>
      <c r="D7" s="38" t="s">
        <v>1330</v>
      </c>
      <c r="E7" s="38" t="s">
        <v>1331</v>
      </c>
      <c r="F7" s="52">
        <v>2382.0</v>
      </c>
      <c r="G7" s="52">
        <v>5.50538E7</v>
      </c>
      <c r="H7" s="52">
        <v>4893300.0</v>
      </c>
    </row>
    <row r="8" hidden="1">
      <c r="A8" s="38" t="s">
        <v>93</v>
      </c>
      <c r="B8" s="38" t="s">
        <v>174</v>
      </c>
      <c r="C8" s="38" t="s">
        <v>1329</v>
      </c>
      <c r="D8" s="38" t="s">
        <v>1330</v>
      </c>
      <c r="E8" s="38" t="s">
        <v>1332</v>
      </c>
      <c r="F8" s="52">
        <v>3.0</v>
      </c>
      <c r="G8" s="52">
        <v>44700.0</v>
      </c>
      <c r="H8" s="52" t="s">
        <v>1800</v>
      </c>
    </row>
    <row r="9" hidden="1">
      <c r="A9" s="38" t="s">
        <v>93</v>
      </c>
      <c r="B9" s="38" t="s">
        <v>174</v>
      </c>
      <c r="C9" s="38" t="s">
        <v>1329</v>
      </c>
      <c r="D9" s="38" t="s">
        <v>1330</v>
      </c>
      <c r="E9" s="38" t="s">
        <v>1333</v>
      </c>
      <c r="F9" s="52">
        <v>100.0</v>
      </c>
      <c r="G9" s="52">
        <v>1718300.0</v>
      </c>
      <c r="H9" s="52">
        <v>134180.0</v>
      </c>
    </row>
    <row r="10" hidden="1">
      <c r="A10" s="38" t="s">
        <v>93</v>
      </c>
      <c r="B10" s="38" t="s">
        <v>174</v>
      </c>
      <c r="C10" s="38" t="s">
        <v>1329</v>
      </c>
      <c r="D10" s="38" t="s">
        <v>1330</v>
      </c>
      <c r="E10" s="38" t="s">
        <v>1334</v>
      </c>
      <c r="F10" s="52">
        <v>10.0</v>
      </c>
      <c r="G10" s="52">
        <v>137000.0</v>
      </c>
      <c r="H10" s="52">
        <v>8940.0</v>
      </c>
    </row>
    <row r="11" hidden="1">
      <c r="A11" s="38" t="s">
        <v>93</v>
      </c>
      <c r="B11" s="38" t="s">
        <v>174</v>
      </c>
      <c r="C11" s="38" t="s">
        <v>1329</v>
      </c>
      <c r="D11" s="38" t="s">
        <v>1330</v>
      </c>
      <c r="E11" s="38" t="s">
        <v>1335</v>
      </c>
      <c r="F11" s="52">
        <v>9.0</v>
      </c>
      <c r="G11" s="52">
        <v>162100.0</v>
      </c>
      <c r="H11" s="52">
        <v>7560.0</v>
      </c>
    </row>
    <row r="12" hidden="1">
      <c r="A12" s="38" t="s">
        <v>93</v>
      </c>
      <c r="B12" s="38" t="s">
        <v>174</v>
      </c>
      <c r="C12" s="38" t="s">
        <v>1329</v>
      </c>
      <c r="D12" s="38" t="s">
        <v>1330</v>
      </c>
      <c r="E12" s="38" t="s">
        <v>1336</v>
      </c>
      <c r="F12" s="52">
        <v>2.0</v>
      </c>
      <c r="G12" s="52">
        <v>65000.0</v>
      </c>
      <c r="H12" s="52">
        <v>6500.0</v>
      </c>
    </row>
    <row r="13" hidden="1">
      <c r="A13" s="38" t="s">
        <v>93</v>
      </c>
      <c r="B13" s="38" t="s">
        <v>174</v>
      </c>
      <c r="C13" s="38" t="s">
        <v>1329</v>
      </c>
      <c r="D13" s="38" t="s">
        <v>1330</v>
      </c>
      <c r="E13" s="38" t="s">
        <v>1337</v>
      </c>
      <c r="F13" s="52">
        <v>11.0</v>
      </c>
      <c r="G13" s="52">
        <v>157900.0</v>
      </c>
      <c r="H13" s="52">
        <v>11920.0</v>
      </c>
    </row>
    <row r="14" hidden="1">
      <c r="A14" s="38" t="s">
        <v>93</v>
      </c>
      <c r="B14" s="38" t="s">
        <v>117</v>
      </c>
      <c r="C14" s="38" t="s">
        <v>1338</v>
      </c>
      <c r="D14" s="38" t="s">
        <v>1339</v>
      </c>
      <c r="E14" s="38" t="s">
        <v>1340</v>
      </c>
      <c r="F14" s="52" t="s">
        <v>1800</v>
      </c>
      <c r="G14" s="52" t="s">
        <v>1800</v>
      </c>
      <c r="H14" s="52" t="s">
        <v>1800</v>
      </c>
    </row>
    <row r="15" hidden="1">
      <c r="A15" s="38" t="s">
        <v>93</v>
      </c>
      <c r="B15" s="38" t="s">
        <v>117</v>
      </c>
      <c r="C15" s="38" t="s">
        <v>1338</v>
      </c>
      <c r="D15" s="38" t="s">
        <v>1339</v>
      </c>
      <c r="E15" s="38" t="s">
        <v>1341</v>
      </c>
      <c r="F15" s="52" t="s">
        <v>1800</v>
      </c>
      <c r="G15" s="52" t="s">
        <v>1800</v>
      </c>
      <c r="H15" s="52" t="s">
        <v>1800</v>
      </c>
    </row>
    <row r="16" hidden="1">
      <c r="A16" s="38" t="s">
        <v>93</v>
      </c>
      <c r="B16" s="38" t="s">
        <v>117</v>
      </c>
      <c r="C16" s="38" t="s">
        <v>1338</v>
      </c>
      <c r="D16" s="38" t="s">
        <v>1339</v>
      </c>
      <c r="E16" s="38" t="s">
        <v>1342</v>
      </c>
      <c r="F16" s="52" t="s">
        <v>1800</v>
      </c>
      <c r="G16" s="52" t="s">
        <v>1800</v>
      </c>
      <c r="H16" s="52" t="s">
        <v>1800</v>
      </c>
    </row>
    <row r="17" hidden="1">
      <c r="A17" s="38" t="s">
        <v>93</v>
      </c>
      <c r="B17" s="38" t="s">
        <v>174</v>
      </c>
      <c r="C17" s="38" t="s">
        <v>1343</v>
      </c>
      <c r="D17" s="38" t="s">
        <v>1344</v>
      </c>
      <c r="E17" s="38" t="s">
        <v>1345</v>
      </c>
      <c r="F17" s="52">
        <v>2123.0</v>
      </c>
      <c r="G17" s="52">
        <v>5.71087E7</v>
      </c>
      <c r="H17" s="52">
        <v>4802120.0</v>
      </c>
    </row>
    <row r="18" hidden="1">
      <c r="A18" s="38" t="s">
        <v>93</v>
      </c>
      <c r="B18" s="38" t="s">
        <v>117</v>
      </c>
      <c r="C18" s="38" t="s">
        <v>1343</v>
      </c>
      <c r="D18" s="38" t="s">
        <v>1344</v>
      </c>
      <c r="E18" s="38" t="s">
        <v>1346</v>
      </c>
      <c r="F18" s="52">
        <v>19.0</v>
      </c>
      <c r="G18" s="52">
        <v>701100.0</v>
      </c>
      <c r="H18" s="52">
        <v>51660.0</v>
      </c>
    </row>
    <row r="19" hidden="1">
      <c r="A19" s="38" t="s">
        <v>93</v>
      </c>
      <c r="B19" s="38" t="s">
        <v>117</v>
      </c>
      <c r="C19" s="38" t="s">
        <v>1343</v>
      </c>
      <c r="D19" s="38" t="s">
        <v>1344</v>
      </c>
      <c r="E19" s="38" t="s">
        <v>1347</v>
      </c>
      <c r="F19" s="52" t="s">
        <v>1800</v>
      </c>
      <c r="G19" s="52" t="s">
        <v>1800</v>
      </c>
      <c r="H19" s="52" t="s">
        <v>1800</v>
      </c>
    </row>
    <row r="20" hidden="1">
      <c r="A20" s="38" t="s">
        <v>93</v>
      </c>
      <c r="B20" s="38" t="s">
        <v>117</v>
      </c>
      <c r="C20" s="38" t="s">
        <v>1343</v>
      </c>
      <c r="D20" s="38" t="s">
        <v>1344</v>
      </c>
      <c r="E20" s="38" t="s">
        <v>1348</v>
      </c>
      <c r="F20" s="52">
        <v>6.0</v>
      </c>
      <c r="G20" s="52">
        <v>107400.0</v>
      </c>
      <c r="H20" s="52">
        <v>10000.0</v>
      </c>
    </row>
    <row r="21" ht="15.75" hidden="1" customHeight="1">
      <c r="A21" s="38" t="s">
        <v>93</v>
      </c>
      <c r="B21" s="38" t="s">
        <v>117</v>
      </c>
      <c r="C21" s="38" t="s">
        <v>1343</v>
      </c>
      <c r="D21" s="38" t="s">
        <v>1344</v>
      </c>
      <c r="E21" s="38" t="s">
        <v>1349</v>
      </c>
      <c r="F21" s="52">
        <v>3.0</v>
      </c>
      <c r="G21" s="52">
        <v>56700.0</v>
      </c>
      <c r="H21" s="52">
        <v>3780.0</v>
      </c>
    </row>
    <row r="22" ht="15.75" hidden="1" customHeight="1">
      <c r="A22" s="38" t="s">
        <v>93</v>
      </c>
      <c r="B22" s="38" t="s">
        <v>117</v>
      </c>
      <c r="C22" s="38" t="s">
        <v>1343</v>
      </c>
      <c r="D22" s="38" t="s">
        <v>1344</v>
      </c>
      <c r="E22" s="38" t="s">
        <v>1350</v>
      </c>
      <c r="F22" s="52" t="s">
        <v>1800</v>
      </c>
      <c r="G22" s="52" t="s">
        <v>1800</v>
      </c>
      <c r="H22" s="52" t="s">
        <v>1800</v>
      </c>
    </row>
    <row r="23" ht="15.75" hidden="1" customHeight="1">
      <c r="A23" s="38" t="s">
        <v>93</v>
      </c>
      <c r="B23" s="38" t="s">
        <v>117</v>
      </c>
      <c r="C23" s="38" t="s">
        <v>1351</v>
      </c>
      <c r="D23" s="38" t="s">
        <v>1352</v>
      </c>
      <c r="E23" s="38" t="s">
        <v>1353</v>
      </c>
      <c r="F23" s="52" t="s">
        <v>1800</v>
      </c>
      <c r="G23" s="52" t="s">
        <v>1800</v>
      </c>
      <c r="H23" s="52" t="s">
        <v>1800</v>
      </c>
    </row>
    <row r="24" ht="15.75" hidden="1" customHeight="1">
      <c r="A24" s="38" t="s">
        <v>93</v>
      </c>
      <c r="B24" s="38" t="s">
        <v>117</v>
      </c>
      <c r="C24" s="38" t="s">
        <v>1351</v>
      </c>
      <c r="D24" s="38" t="s">
        <v>1352</v>
      </c>
      <c r="E24" s="38" t="s">
        <v>1354</v>
      </c>
      <c r="F24" s="52" t="s">
        <v>1800</v>
      </c>
      <c r="G24" s="52" t="s">
        <v>1800</v>
      </c>
      <c r="H24" s="52" t="s">
        <v>1800</v>
      </c>
    </row>
    <row r="25" ht="15.75" hidden="1" customHeight="1">
      <c r="A25" s="38" t="s">
        <v>93</v>
      </c>
      <c r="B25" s="38" t="s">
        <v>117</v>
      </c>
      <c r="C25" s="38" t="s">
        <v>1351</v>
      </c>
      <c r="D25" s="38" t="s">
        <v>1352</v>
      </c>
      <c r="E25" s="38" t="s">
        <v>1355</v>
      </c>
      <c r="F25" s="52" t="s">
        <v>1800</v>
      </c>
      <c r="G25" s="52" t="s">
        <v>1800</v>
      </c>
      <c r="H25" s="52" t="s">
        <v>1800</v>
      </c>
    </row>
    <row r="26" ht="15.75" hidden="1" customHeight="1">
      <c r="A26" s="38" t="s">
        <v>93</v>
      </c>
      <c r="B26" s="38" t="s">
        <v>117</v>
      </c>
      <c r="C26" s="38" t="s">
        <v>1351</v>
      </c>
      <c r="D26" s="38" t="s">
        <v>1352</v>
      </c>
      <c r="E26" s="38" t="s">
        <v>1356</v>
      </c>
      <c r="F26" s="52" t="s">
        <v>1800</v>
      </c>
      <c r="G26" s="52" t="s">
        <v>1800</v>
      </c>
      <c r="H26" s="52" t="s">
        <v>1800</v>
      </c>
    </row>
    <row r="27" ht="15.75" hidden="1" customHeight="1">
      <c r="A27" s="38" t="s">
        <v>93</v>
      </c>
      <c r="B27" s="38" t="s">
        <v>117</v>
      </c>
      <c r="C27" s="38" t="s">
        <v>1351</v>
      </c>
      <c r="D27" s="38" t="s">
        <v>1352</v>
      </c>
      <c r="E27" s="38" t="s">
        <v>1357</v>
      </c>
      <c r="F27" s="52" t="s">
        <v>1800</v>
      </c>
      <c r="G27" s="52" t="s">
        <v>1800</v>
      </c>
      <c r="H27" s="52" t="s">
        <v>1800</v>
      </c>
    </row>
    <row r="28" ht="15.75" hidden="1" customHeight="1">
      <c r="A28" s="38" t="s">
        <v>93</v>
      </c>
      <c r="B28" s="38" t="s">
        <v>117</v>
      </c>
      <c r="C28" s="38" t="s">
        <v>1351</v>
      </c>
      <c r="D28" s="38" t="s">
        <v>1352</v>
      </c>
      <c r="E28" s="38" t="s">
        <v>1358</v>
      </c>
      <c r="F28" s="52" t="s">
        <v>1800</v>
      </c>
      <c r="G28" s="52" t="s">
        <v>1800</v>
      </c>
      <c r="H28" s="52" t="s">
        <v>1800</v>
      </c>
    </row>
    <row r="29" ht="15.75" hidden="1" customHeight="1">
      <c r="A29" s="38" t="s">
        <v>93</v>
      </c>
      <c r="B29" s="38" t="s">
        <v>117</v>
      </c>
      <c r="C29" s="38" t="s">
        <v>1351</v>
      </c>
      <c r="D29" s="38" t="s">
        <v>1352</v>
      </c>
      <c r="E29" s="38" t="s">
        <v>1359</v>
      </c>
      <c r="F29" s="52" t="s">
        <v>1800</v>
      </c>
      <c r="G29" s="52" t="s">
        <v>1800</v>
      </c>
      <c r="H29" s="52" t="s">
        <v>1800</v>
      </c>
    </row>
    <row r="30" ht="15.75" hidden="1" customHeight="1">
      <c r="A30" s="38" t="s">
        <v>93</v>
      </c>
      <c r="B30" s="38" t="s">
        <v>117</v>
      </c>
      <c r="C30" s="38" t="s">
        <v>1351</v>
      </c>
      <c r="D30" s="38" t="s">
        <v>1352</v>
      </c>
      <c r="E30" s="38" t="s">
        <v>1360</v>
      </c>
      <c r="F30" s="52" t="s">
        <v>1800</v>
      </c>
      <c r="G30" s="52" t="s">
        <v>1800</v>
      </c>
      <c r="H30" s="52" t="s">
        <v>1800</v>
      </c>
    </row>
    <row r="31" ht="15.75" hidden="1" customHeight="1">
      <c r="A31" s="38" t="s">
        <v>93</v>
      </c>
      <c r="B31" s="38" t="s">
        <v>186</v>
      </c>
      <c r="C31" s="38" t="s">
        <v>1351</v>
      </c>
      <c r="D31" s="38" t="s">
        <v>1352</v>
      </c>
      <c r="E31" s="38" t="s">
        <v>1361</v>
      </c>
      <c r="F31" s="52">
        <v>6.0</v>
      </c>
      <c r="G31" s="52">
        <v>222000.0</v>
      </c>
      <c r="H31" s="52">
        <v>22200.0</v>
      </c>
    </row>
    <row r="32" ht="15.75" hidden="1" customHeight="1">
      <c r="A32" s="38" t="s">
        <v>93</v>
      </c>
      <c r="B32" s="38" t="s">
        <v>186</v>
      </c>
      <c r="C32" s="38" t="s">
        <v>1351</v>
      </c>
      <c r="D32" s="38" t="s">
        <v>1352</v>
      </c>
      <c r="E32" s="38" t="s">
        <v>1361</v>
      </c>
      <c r="F32" s="52">
        <v>7.0</v>
      </c>
      <c r="G32" s="52">
        <v>259000.0</v>
      </c>
      <c r="H32" s="52">
        <v>22200.0</v>
      </c>
    </row>
    <row r="33" ht="15.75" hidden="1" customHeight="1">
      <c r="A33" s="38" t="s">
        <v>93</v>
      </c>
      <c r="B33" s="38" t="s">
        <v>186</v>
      </c>
      <c r="C33" s="38" t="s">
        <v>1351</v>
      </c>
      <c r="D33" s="38" t="s">
        <v>1352</v>
      </c>
      <c r="E33" s="38" t="s">
        <v>1362</v>
      </c>
      <c r="F33" s="52">
        <v>4.0</v>
      </c>
      <c r="G33" s="52">
        <v>120000.0</v>
      </c>
      <c r="H33" s="52">
        <v>12000.0</v>
      </c>
    </row>
    <row r="34" ht="15.75" hidden="1" customHeight="1">
      <c r="A34" s="38" t="s">
        <v>93</v>
      </c>
      <c r="B34" s="38" t="s">
        <v>186</v>
      </c>
      <c r="C34" s="38" t="s">
        <v>1351</v>
      </c>
      <c r="D34" s="38" t="s">
        <v>1352</v>
      </c>
      <c r="E34" s="38" t="s">
        <v>1363</v>
      </c>
      <c r="F34" s="52">
        <v>6.0</v>
      </c>
      <c r="G34" s="52">
        <v>192000.0</v>
      </c>
      <c r="H34" s="52">
        <v>19200.0</v>
      </c>
    </row>
    <row r="35" ht="15.75" hidden="1" customHeight="1">
      <c r="A35" s="38" t="s">
        <v>93</v>
      </c>
      <c r="B35" s="38" t="s">
        <v>186</v>
      </c>
      <c r="C35" s="38" t="s">
        <v>1364</v>
      </c>
      <c r="D35" s="38" t="s">
        <v>1365</v>
      </c>
      <c r="E35" s="38" t="s">
        <v>1366</v>
      </c>
      <c r="F35" s="52">
        <v>34.0</v>
      </c>
      <c r="G35" s="52">
        <v>1469400.0</v>
      </c>
      <c r="H35" s="52">
        <v>16680.0</v>
      </c>
    </row>
    <row r="36" ht="15.75" hidden="1" customHeight="1">
      <c r="A36" s="38" t="s">
        <v>93</v>
      </c>
      <c r="B36" s="38" t="s">
        <v>117</v>
      </c>
      <c r="C36" s="38" t="s">
        <v>1367</v>
      </c>
      <c r="D36" s="38" t="s">
        <v>1368</v>
      </c>
      <c r="E36" s="38" t="s">
        <v>1369</v>
      </c>
      <c r="F36" s="52">
        <v>2197.0</v>
      </c>
      <c r="G36" s="52">
        <v>5.09704E7</v>
      </c>
      <c r="H36" s="52">
        <v>4673920.0</v>
      </c>
    </row>
    <row r="37" ht="15.75" hidden="1" customHeight="1">
      <c r="A37" s="38" t="s">
        <v>93</v>
      </c>
      <c r="B37" s="38" t="s">
        <v>117</v>
      </c>
      <c r="C37" s="38" t="s">
        <v>1370</v>
      </c>
      <c r="D37" s="38" t="s">
        <v>1371</v>
      </c>
      <c r="E37" s="38" t="s">
        <v>1372</v>
      </c>
      <c r="F37" s="52">
        <v>22.0</v>
      </c>
      <c r="G37" s="52">
        <v>444400.0</v>
      </c>
      <c r="H37" s="52" t="s">
        <v>1800</v>
      </c>
    </row>
    <row r="38" ht="15.75" hidden="1" customHeight="1">
      <c r="A38" s="38" t="s">
        <v>93</v>
      </c>
      <c r="B38" s="38" t="s">
        <v>117</v>
      </c>
      <c r="C38" s="38" t="s">
        <v>1370</v>
      </c>
      <c r="D38" s="38" t="s">
        <v>1371</v>
      </c>
      <c r="E38" s="38" t="s">
        <v>1373</v>
      </c>
      <c r="F38" s="52">
        <v>1505.0</v>
      </c>
      <c r="G38" s="52">
        <v>6.37835E7</v>
      </c>
      <c r="H38" s="52">
        <v>4836400.0</v>
      </c>
    </row>
    <row r="39" ht="15.75" hidden="1" customHeight="1">
      <c r="A39" s="38" t="s">
        <v>93</v>
      </c>
      <c r="B39" s="38" t="s">
        <v>117</v>
      </c>
      <c r="C39" s="38" t="s">
        <v>1370</v>
      </c>
      <c r="D39" s="38" t="s">
        <v>1371</v>
      </c>
      <c r="E39" s="38" t="s">
        <v>1374</v>
      </c>
      <c r="F39" s="52">
        <v>8.0</v>
      </c>
      <c r="G39" s="52">
        <v>644000.0</v>
      </c>
      <c r="H39" s="52" t="s">
        <v>1800</v>
      </c>
    </row>
    <row r="40" ht="15.75" hidden="1" customHeight="1">
      <c r="A40" s="38" t="s">
        <v>93</v>
      </c>
      <c r="B40" s="38" t="s">
        <v>117</v>
      </c>
      <c r="C40" s="38" t="s">
        <v>1370</v>
      </c>
      <c r="D40" s="38" t="s">
        <v>1371</v>
      </c>
      <c r="E40" s="38" t="s">
        <v>1375</v>
      </c>
      <c r="F40" s="52">
        <v>1.0</v>
      </c>
      <c r="G40" s="52">
        <v>12900.0</v>
      </c>
      <c r="H40" s="52" t="s">
        <v>1800</v>
      </c>
    </row>
    <row r="41" ht="15.75" hidden="1" customHeight="1">
      <c r="A41" s="38" t="s">
        <v>93</v>
      </c>
      <c r="B41" s="38" t="s">
        <v>117</v>
      </c>
      <c r="C41" s="38" t="s">
        <v>1370</v>
      </c>
      <c r="D41" s="38" t="s">
        <v>1371</v>
      </c>
      <c r="E41" s="38" t="s">
        <v>1376</v>
      </c>
      <c r="F41" s="52">
        <v>8.0</v>
      </c>
      <c r="G41" s="52">
        <v>196400.0</v>
      </c>
      <c r="H41" s="52" t="s">
        <v>1800</v>
      </c>
    </row>
    <row r="42" ht="15.75" hidden="1" customHeight="1">
      <c r="A42" s="38" t="s">
        <v>93</v>
      </c>
      <c r="B42" s="38" t="s">
        <v>117</v>
      </c>
      <c r="C42" s="38" t="s">
        <v>1370</v>
      </c>
      <c r="D42" s="38" t="s">
        <v>1371</v>
      </c>
      <c r="E42" s="38" t="s">
        <v>1377</v>
      </c>
      <c r="F42" s="52">
        <v>42.0</v>
      </c>
      <c r="G42" s="52">
        <v>1835600.0</v>
      </c>
      <c r="H42" s="52" t="s">
        <v>1800</v>
      </c>
    </row>
    <row r="43" ht="15.75" hidden="1" customHeight="1">
      <c r="A43" s="38" t="s">
        <v>93</v>
      </c>
      <c r="B43" s="38" t="s">
        <v>117</v>
      </c>
      <c r="C43" s="38" t="s">
        <v>1370</v>
      </c>
      <c r="D43" s="38" t="s">
        <v>1371</v>
      </c>
      <c r="E43" s="38" t="s">
        <v>1378</v>
      </c>
      <c r="F43" s="52">
        <v>8.0</v>
      </c>
      <c r="G43" s="52">
        <v>676000.0</v>
      </c>
      <c r="H43" s="52" t="s">
        <v>1800</v>
      </c>
    </row>
    <row r="44" ht="15.75" hidden="1" customHeight="1">
      <c r="A44" s="38" t="s">
        <v>93</v>
      </c>
      <c r="B44" s="38" t="s">
        <v>117</v>
      </c>
      <c r="C44" s="38" t="s">
        <v>1370</v>
      </c>
      <c r="D44" s="38" t="s">
        <v>1371</v>
      </c>
      <c r="E44" s="38" t="s">
        <v>1379</v>
      </c>
      <c r="F44" s="52">
        <v>40.0</v>
      </c>
      <c r="G44" s="52">
        <v>869000.0</v>
      </c>
      <c r="H44" s="52" t="s">
        <v>1800</v>
      </c>
    </row>
    <row r="45" ht="15.75" hidden="1" customHeight="1">
      <c r="A45" s="38" t="s">
        <v>93</v>
      </c>
      <c r="B45" s="38" t="s">
        <v>117</v>
      </c>
      <c r="C45" s="38" t="s">
        <v>1370</v>
      </c>
      <c r="D45" s="38" t="s">
        <v>1371</v>
      </c>
      <c r="E45" s="38" t="s">
        <v>1380</v>
      </c>
      <c r="F45" s="52">
        <v>18.0</v>
      </c>
      <c r="G45" s="52">
        <v>823200.0</v>
      </c>
      <c r="H45" s="52" t="s">
        <v>1800</v>
      </c>
    </row>
    <row r="46" ht="15.75" hidden="1" customHeight="1">
      <c r="A46" s="38" t="s">
        <v>93</v>
      </c>
      <c r="B46" s="38" t="s">
        <v>117</v>
      </c>
      <c r="C46" s="38" t="s">
        <v>1370</v>
      </c>
      <c r="D46" s="38" t="s">
        <v>1371</v>
      </c>
      <c r="E46" s="38" t="s">
        <v>1381</v>
      </c>
      <c r="F46" s="52">
        <v>2.0</v>
      </c>
      <c r="G46" s="52">
        <v>174000.0</v>
      </c>
      <c r="H46" s="52" t="s">
        <v>1800</v>
      </c>
    </row>
    <row r="47" ht="15.75" hidden="1" customHeight="1">
      <c r="A47" s="38" t="s">
        <v>93</v>
      </c>
      <c r="B47" s="38" t="s">
        <v>186</v>
      </c>
      <c r="C47" s="38" t="s">
        <v>1382</v>
      </c>
      <c r="D47" s="38" t="s">
        <v>1383</v>
      </c>
      <c r="E47" s="38" t="s">
        <v>1384</v>
      </c>
      <c r="F47" s="52">
        <v>549.0</v>
      </c>
      <c r="G47" s="52">
        <v>2.85208E7</v>
      </c>
      <c r="H47" s="52">
        <v>1570000.0</v>
      </c>
    </row>
    <row r="48" ht="15.75" hidden="1" customHeight="1">
      <c r="A48" s="38" t="s">
        <v>93</v>
      </c>
      <c r="B48" s="38" t="s">
        <v>186</v>
      </c>
      <c r="C48" s="38" t="s">
        <v>1382</v>
      </c>
      <c r="D48" s="38" t="s">
        <v>1383</v>
      </c>
      <c r="E48" s="38" t="s">
        <v>1385</v>
      </c>
      <c r="F48" s="52">
        <v>146.0</v>
      </c>
      <c r="G48" s="52">
        <v>4569000.0</v>
      </c>
      <c r="H48" s="52">
        <v>6400.0</v>
      </c>
    </row>
    <row r="49" ht="15.75" hidden="1" customHeight="1">
      <c r="A49" s="38" t="s">
        <v>93</v>
      </c>
      <c r="B49" s="38" t="s">
        <v>186</v>
      </c>
      <c r="C49" s="38" t="s">
        <v>1382</v>
      </c>
      <c r="D49" s="38" t="s">
        <v>1383</v>
      </c>
      <c r="E49" s="38" t="s">
        <v>1386</v>
      </c>
      <c r="F49" s="52">
        <v>27.0</v>
      </c>
      <c r="G49" s="52">
        <v>653400.0</v>
      </c>
      <c r="H49" s="52">
        <v>9680.0</v>
      </c>
    </row>
    <row r="50" ht="15.75" hidden="1" customHeight="1">
      <c r="A50" s="38" t="s">
        <v>93</v>
      </c>
      <c r="B50" s="38" t="s">
        <v>186</v>
      </c>
      <c r="C50" s="38" t="s">
        <v>1382</v>
      </c>
      <c r="D50" s="38" t="s">
        <v>1383</v>
      </c>
      <c r="E50" s="38" t="s">
        <v>1387</v>
      </c>
      <c r="F50" s="52">
        <v>52.0</v>
      </c>
      <c r="G50" s="52">
        <v>2272600.0</v>
      </c>
      <c r="H50" s="52">
        <v>25740.0</v>
      </c>
    </row>
    <row r="51" ht="15.75" hidden="1" customHeight="1">
      <c r="A51" s="38" t="s">
        <v>93</v>
      </c>
      <c r="B51" s="38" t="s">
        <v>186</v>
      </c>
      <c r="C51" s="38" t="s">
        <v>1382</v>
      </c>
      <c r="D51" s="38" t="s">
        <v>1383</v>
      </c>
      <c r="E51" s="38" t="s">
        <v>1388</v>
      </c>
      <c r="F51" s="52">
        <v>129.0</v>
      </c>
      <c r="G51" s="52">
        <v>3008700.0</v>
      </c>
      <c r="H51" s="52">
        <v>47300.0</v>
      </c>
    </row>
    <row r="52" ht="15.75" hidden="1" customHeight="1">
      <c r="A52" s="38" t="s">
        <v>93</v>
      </c>
      <c r="B52" s="38" t="s">
        <v>186</v>
      </c>
      <c r="C52" s="38" t="s">
        <v>1382</v>
      </c>
      <c r="D52" s="38" t="s">
        <v>1383</v>
      </c>
      <c r="E52" s="38" t="s">
        <v>1389</v>
      </c>
      <c r="F52" s="52">
        <v>23.0</v>
      </c>
      <c r="G52" s="52">
        <v>420700.0</v>
      </c>
      <c r="H52" s="52">
        <v>8400.0</v>
      </c>
    </row>
    <row r="53" ht="15.75" hidden="1" customHeight="1">
      <c r="A53" s="38" t="s">
        <v>93</v>
      </c>
      <c r="B53" s="38" t="s">
        <v>186</v>
      </c>
      <c r="C53" s="38" t="s">
        <v>1382</v>
      </c>
      <c r="D53" s="38" t="s">
        <v>1383</v>
      </c>
      <c r="E53" s="38" t="s">
        <v>1390</v>
      </c>
      <c r="F53" s="52" t="s">
        <v>1800</v>
      </c>
      <c r="G53" s="52" t="s">
        <v>1800</v>
      </c>
      <c r="H53" s="52" t="s">
        <v>1800</v>
      </c>
    </row>
    <row r="54" ht="15.75" hidden="1" customHeight="1">
      <c r="A54" s="38" t="s">
        <v>93</v>
      </c>
      <c r="B54" s="38" t="s">
        <v>186</v>
      </c>
      <c r="C54" s="38" t="s">
        <v>1382</v>
      </c>
      <c r="D54" s="38" t="s">
        <v>1383</v>
      </c>
      <c r="E54" s="38" t="s">
        <v>1393</v>
      </c>
      <c r="F54" s="52">
        <v>1.0</v>
      </c>
      <c r="G54" s="52">
        <v>35200.0</v>
      </c>
      <c r="H54" s="52" t="s">
        <v>1800</v>
      </c>
    </row>
    <row r="55" ht="15.75" hidden="1" customHeight="1">
      <c r="A55" s="38" t="s">
        <v>93</v>
      </c>
      <c r="B55" s="38" t="s">
        <v>186</v>
      </c>
      <c r="C55" s="38" t="s">
        <v>1382</v>
      </c>
      <c r="D55" s="38" t="s">
        <v>1383</v>
      </c>
      <c r="E55" s="38" t="s">
        <v>1394</v>
      </c>
      <c r="F55" s="52">
        <v>2.0</v>
      </c>
      <c r="G55" s="52">
        <v>52800.0</v>
      </c>
      <c r="H55" s="52" t="s">
        <v>1800</v>
      </c>
    </row>
    <row r="56" ht="15.75" hidden="1" customHeight="1">
      <c r="A56" s="38" t="s">
        <v>93</v>
      </c>
      <c r="B56" s="38" t="s">
        <v>117</v>
      </c>
      <c r="C56" s="38" t="s">
        <v>1395</v>
      </c>
      <c r="D56" s="38" t="s">
        <v>1396</v>
      </c>
      <c r="E56" s="38" t="s">
        <v>1397</v>
      </c>
      <c r="F56" s="52" t="s">
        <v>1800</v>
      </c>
      <c r="G56" s="52" t="s">
        <v>1800</v>
      </c>
      <c r="H56" s="52" t="s">
        <v>1800</v>
      </c>
    </row>
    <row r="57" ht="15.75" hidden="1" customHeight="1">
      <c r="A57" s="38" t="s">
        <v>93</v>
      </c>
      <c r="B57" s="38" t="s">
        <v>117</v>
      </c>
      <c r="C57" s="38" t="s">
        <v>1395</v>
      </c>
      <c r="D57" s="38" t="s">
        <v>1396</v>
      </c>
      <c r="E57" s="38" t="s">
        <v>1398</v>
      </c>
      <c r="F57" s="52">
        <v>19.0</v>
      </c>
      <c r="G57" s="52">
        <v>1420900.0</v>
      </c>
      <c r="H57" s="52" t="s">
        <v>1800</v>
      </c>
    </row>
    <row r="58" ht="15.75" hidden="1" customHeight="1">
      <c r="A58" s="38" t="s">
        <v>93</v>
      </c>
      <c r="B58" s="38" t="s">
        <v>117</v>
      </c>
      <c r="C58" s="38" t="s">
        <v>1395</v>
      </c>
      <c r="D58" s="38" t="s">
        <v>1396</v>
      </c>
      <c r="E58" s="38" t="s">
        <v>1399</v>
      </c>
      <c r="F58" s="52">
        <v>61.0</v>
      </c>
      <c r="G58" s="52">
        <v>4613900.0</v>
      </c>
      <c r="H58" s="52">
        <v>30000.0</v>
      </c>
    </row>
    <row r="59" ht="15.75" hidden="1" customHeight="1">
      <c r="A59" s="38" t="s">
        <v>93</v>
      </c>
      <c r="B59" s="38" t="s">
        <v>117</v>
      </c>
      <c r="C59" s="38" t="s">
        <v>1395</v>
      </c>
      <c r="D59" s="38" t="s">
        <v>1396</v>
      </c>
      <c r="E59" s="38" t="s">
        <v>1400</v>
      </c>
      <c r="F59" s="52">
        <v>1103.0</v>
      </c>
      <c r="G59" s="52">
        <v>4.3956E7</v>
      </c>
      <c r="H59" s="52">
        <v>3074000.0</v>
      </c>
    </row>
    <row r="60" ht="15.75" hidden="1" customHeight="1">
      <c r="A60" s="38" t="s">
        <v>93</v>
      </c>
      <c r="B60" s="38" t="s">
        <v>117</v>
      </c>
      <c r="C60" s="38" t="s">
        <v>1395</v>
      </c>
      <c r="D60" s="38" t="s">
        <v>1396</v>
      </c>
      <c r="E60" s="38" t="s">
        <v>1401</v>
      </c>
      <c r="F60" s="52">
        <v>16.0</v>
      </c>
      <c r="G60" s="52">
        <v>633000.0</v>
      </c>
      <c r="H60" s="52">
        <v>23820.0</v>
      </c>
    </row>
    <row r="61" ht="15.75" hidden="1" customHeight="1">
      <c r="A61" s="38" t="s">
        <v>93</v>
      </c>
      <c r="B61" s="38" t="s">
        <v>117</v>
      </c>
      <c r="C61" s="38" t="s">
        <v>1395</v>
      </c>
      <c r="D61" s="38" t="s">
        <v>1396</v>
      </c>
      <c r="E61" s="38" t="s">
        <v>1402</v>
      </c>
      <c r="F61" s="52">
        <v>3.0</v>
      </c>
      <c r="G61" s="52">
        <v>223800.0</v>
      </c>
      <c r="H61" s="52" t="s">
        <v>1800</v>
      </c>
    </row>
    <row r="62" ht="15.75" hidden="1" customHeight="1">
      <c r="A62" s="38" t="s">
        <v>93</v>
      </c>
      <c r="B62" s="38" t="s">
        <v>117</v>
      </c>
      <c r="C62" s="38" t="s">
        <v>1395</v>
      </c>
      <c r="D62" s="38" t="s">
        <v>1396</v>
      </c>
      <c r="E62" s="38" t="s">
        <v>1403</v>
      </c>
      <c r="F62" s="52">
        <v>394.0</v>
      </c>
      <c r="G62" s="52">
        <v>2.9981E7</v>
      </c>
      <c r="H62" s="52">
        <v>1590000.0</v>
      </c>
    </row>
    <row r="63" ht="15.75" hidden="1" customHeight="1">
      <c r="A63" s="38" t="s">
        <v>93</v>
      </c>
      <c r="B63" s="38" t="s">
        <v>117</v>
      </c>
      <c r="C63" s="38" t="s">
        <v>1395</v>
      </c>
      <c r="D63" s="38" t="s">
        <v>1396</v>
      </c>
      <c r="E63" s="38" t="s">
        <v>1404</v>
      </c>
      <c r="F63" s="52">
        <v>6.0</v>
      </c>
      <c r="G63" s="52">
        <v>415000.0</v>
      </c>
      <c r="H63" s="52" t="s">
        <v>1800</v>
      </c>
    </row>
    <row r="64" ht="15.75" hidden="1" customHeight="1">
      <c r="A64" s="38" t="s">
        <v>93</v>
      </c>
      <c r="B64" s="38" t="s">
        <v>117</v>
      </c>
      <c r="C64" s="38" t="s">
        <v>1395</v>
      </c>
      <c r="D64" s="38" t="s">
        <v>1396</v>
      </c>
      <c r="E64" s="38" t="s">
        <v>1405</v>
      </c>
      <c r="F64" s="52">
        <v>13.0</v>
      </c>
      <c r="G64" s="52">
        <v>892200.0</v>
      </c>
      <c r="H64" s="52" t="s">
        <v>1800</v>
      </c>
    </row>
    <row r="65" ht="15.75" hidden="1" customHeight="1">
      <c r="A65" s="38" t="s">
        <v>93</v>
      </c>
      <c r="B65" s="38" t="s">
        <v>117</v>
      </c>
      <c r="C65" s="38" t="s">
        <v>1395</v>
      </c>
      <c r="D65" s="38" t="s">
        <v>1396</v>
      </c>
      <c r="E65" s="38" t="s">
        <v>1406</v>
      </c>
      <c r="F65" s="52">
        <v>45.0</v>
      </c>
      <c r="G65" s="52">
        <v>1663000.0</v>
      </c>
      <c r="H65" s="52">
        <v>148000.0</v>
      </c>
    </row>
    <row r="66" ht="15.75" hidden="1" customHeight="1">
      <c r="A66" s="38" t="s">
        <v>93</v>
      </c>
      <c r="B66" s="38" t="s">
        <v>117</v>
      </c>
      <c r="C66" s="38" t="s">
        <v>1395</v>
      </c>
      <c r="D66" s="38" t="s">
        <v>1396</v>
      </c>
      <c r="E66" s="38" t="s">
        <v>1407</v>
      </c>
      <c r="F66" s="52" t="s">
        <v>1800</v>
      </c>
      <c r="G66" s="52" t="s">
        <v>1800</v>
      </c>
      <c r="H66" s="52" t="s">
        <v>1800</v>
      </c>
    </row>
    <row r="67" ht="15.75" hidden="1" customHeight="1">
      <c r="A67" s="38" t="s">
        <v>93</v>
      </c>
      <c r="B67" s="38" t="s">
        <v>117</v>
      </c>
      <c r="C67" s="38" t="s">
        <v>1395</v>
      </c>
      <c r="D67" s="38" t="s">
        <v>1396</v>
      </c>
      <c r="E67" s="38" t="s">
        <v>1408</v>
      </c>
      <c r="F67" s="52">
        <v>20.0</v>
      </c>
      <c r="G67" s="52">
        <v>1420000.0</v>
      </c>
      <c r="H67" s="52">
        <v>90000.0</v>
      </c>
    </row>
    <row r="68" ht="15.75" hidden="1" customHeight="1">
      <c r="A68" s="38" t="s">
        <v>93</v>
      </c>
      <c r="B68" s="38" t="s">
        <v>117</v>
      </c>
      <c r="C68" s="38" t="s">
        <v>1395</v>
      </c>
      <c r="D68" s="38" t="s">
        <v>1396</v>
      </c>
      <c r="E68" s="38" t="s">
        <v>1411</v>
      </c>
      <c r="F68" s="52">
        <v>9.0</v>
      </c>
      <c r="G68" s="52">
        <v>619200.0</v>
      </c>
      <c r="H68" s="52">
        <v>10000.0</v>
      </c>
    </row>
    <row r="69" ht="15.75" hidden="1" customHeight="1">
      <c r="A69" s="38" t="s">
        <v>93</v>
      </c>
      <c r="B69" s="38" t="s">
        <v>117</v>
      </c>
      <c r="C69" s="38" t="s">
        <v>1412</v>
      </c>
      <c r="D69" s="38" t="s">
        <v>1413</v>
      </c>
      <c r="E69" s="38" t="s">
        <v>1414</v>
      </c>
      <c r="F69" s="52">
        <v>10.0</v>
      </c>
      <c r="G69" s="52">
        <v>885000.0</v>
      </c>
      <c r="H69" s="52">
        <v>30000.0</v>
      </c>
    </row>
    <row r="70" ht="15.75" hidden="1" customHeight="1">
      <c r="A70" s="38" t="s">
        <v>93</v>
      </c>
      <c r="B70" s="38" t="s">
        <v>117</v>
      </c>
      <c r="C70" s="38" t="s">
        <v>1412</v>
      </c>
      <c r="D70" s="38" t="s">
        <v>1413</v>
      </c>
      <c r="E70" s="38" t="s">
        <v>1415</v>
      </c>
      <c r="F70" s="52" t="s">
        <v>1800</v>
      </c>
      <c r="G70" s="52" t="s">
        <v>1800</v>
      </c>
      <c r="H70" s="52" t="s">
        <v>1800</v>
      </c>
    </row>
    <row r="71" ht="15.75" hidden="1" customHeight="1">
      <c r="A71" s="38" t="s">
        <v>93</v>
      </c>
      <c r="B71" s="38" t="s">
        <v>117</v>
      </c>
      <c r="C71" s="38" t="s">
        <v>1412</v>
      </c>
      <c r="D71" s="38" t="s">
        <v>1413</v>
      </c>
      <c r="E71" s="38" t="s">
        <v>1416</v>
      </c>
      <c r="F71" s="52">
        <v>7.0</v>
      </c>
      <c r="G71" s="52">
        <v>320200.0</v>
      </c>
      <c r="H71" s="52">
        <v>18080.0</v>
      </c>
    </row>
    <row r="72" ht="15.75" hidden="1" customHeight="1">
      <c r="A72" s="38" t="s">
        <v>93</v>
      </c>
      <c r="B72" s="38" t="s">
        <v>117</v>
      </c>
      <c r="C72" s="38" t="s">
        <v>1412</v>
      </c>
      <c r="D72" s="38" t="s">
        <v>1413</v>
      </c>
      <c r="E72" s="38" t="s">
        <v>1417</v>
      </c>
      <c r="F72" s="52" t="s">
        <v>1800</v>
      </c>
      <c r="G72" s="52" t="s">
        <v>1800</v>
      </c>
      <c r="H72" s="52" t="s">
        <v>1800</v>
      </c>
    </row>
    <row r="73" ht="15.75" hidden="1" customHeight="1">
      <c r="A73" s="38" t="s">
        <v>93</v>
      </c>
      <c r="B73" s="38" t="s">
        <v>117</v>
      </c>
      <c r="C73" s="38" t="s">
        <v>1412</v>
      </c>
      <c r="D73" s="38" t="s">
        <v>1413</v>
      </c>
      <c r="E73" s="38" t="s">
        <v>1418</v>
      </c>
      <c r="F73" s="52" t="s">
        <v>1800</v>
      </c>
      <c r="G73" s="52" t="s">
        <v>1800</v>
      </c>
      <c r="H73" s="52" t="s">
        <v>1800</v>
      </c>
    </row>
    <row r="74" ht="15.75" hidden="1" customHeight="1">
      <c r="A74" s="38" t="s">
        <v>93</v>
      </c>
      <c r="B74" s="38" t="s">
        <v>117</v>
      </c>
      <c r="C74" s="38" t="s">
        <v>1412</v>
      </c>
      <c r="D74" s="38" t="s">
        <v>1413</v>
      </c>
      <c r="E74" s="38" t="s">
        <v>1419</v>
      </c>
      <c r="F74" s="52">
        <v>4.0</v>
      </c>
      <c r="G74" s="52">
        <v>219900.0</v>
      </c>
      <c r="H74" s="52" t="s">
        <v>1800</v>
      </c>
    </row>
    <row r="75" ht="15.75" hidden="1" customHeight="1">
      <c r="A75" s="38" t="s">
        <v>93</v>
      </c>
      <c r="B75" s="38" t="s">
        <v>117</v>
      </c>
      <c r="C75" s="38" t="s">
        <v>1412</v>
      </c>
      <c r="D75" s="38" t="s">
        <v>1413</v>
      </c>
      <c r="E75" s="38" t="s">
        <v>1420</v>
      </c>
      <c r="F75" s="52" t="s">
        <v>1800</v>
      </c>
      <c r="G75" s="52" t="s">
        <v>1800</v>
      </c>
      <c r="H75" s="52" t="s">
        <v>1800</v>
      </c>
    </row>
    <row r="76" ht="15.75" hidden="1" customHeight="1">
      <c r="A76" s="38" t="s">
        <v>93</v>
      </c>
      <c r="B76" s="38" t="s">
        <v>117</v>
      </c>
      <c r="C76" s="38" t="s">
        <v>1412</v>
      </c>
      <c r="D76" s="38" t="s">
        <v>1413</v>
      </c>
      <c r="E76" s="38" t="s">
        <v>1421</v>
      </c>
      <c r="F76" s="52">
        <v>7.0</v>
      </c>
      <c r="G76" s="52">
        <v>263200.0</v>
      </c>
      <c r="H76" s="52">
        <v>22560.0</v>
      </c>
    </row>
    <row r="77" ht="15.75" hidden="1" customHeight="1">
      <c r="A77" s="38" t="s">
        <v>93</v>
      </c>
      <c r="B77" s="38" t="s">
        <v>117</v>
      </c>
      <c r="C77" s="38" t="s">
        <v>1412</v>
      </c>
      <c r="D77" s="38" t="s">
        <v>1413</v>
      </c>
      <c r="E77" s="38" t="s">
        <v>1422</v>
      </c>
      <c r="F77" s="52">
        <v>288.0</v>
      </c>
      <c r="G77" s="52">
        <v>2.0572E7</v>
      </c>
      <c r="H77" s="52">
        <v>1420000.0</v>
      </c>
    </row>
    <row r="78" ht="15.75" hidden="1" customHeight="1">
      <c r="A78" s="38" t="s">
        <v>93</v>
      </c>
      <c r="B78" s="38" t="s">
        <v>117</v>
      </c>
      <c r="C78" s="38" t="s">
        <v>1423</v>
      </c>
      <c r="D78" s="38" t="s">
        <v>1424</v>
      </c>
      <c r="E78" s="38" t="s">
        <v>1425</v>
      </c>
      <c r="F78" s="52">
        <v>2032.0</v>
      </c>
      <c r="G78" s="52">
        <v>3.664872E7</v>
      </c>
      <c r="H78" s="52">
        <v>3377180.0</v>
      </c>
    </row>
    <row r="79" ht="15.75" hidden="1" customHeight="1">
      <c r="A79" s="38" t="s">
        <v>93</v>
      </c>
      <c r="B79" s="38" t="s">
        <v>117</v>
      </c>
      <c r="C79" s="38" t="s">
        <v>1423</v>
      </c>
      <c r="D79" s="38" t="s">
        <v>1424</v>
      </c>
      <c r="E79" s="38" t="s">
        <v>1425</v>
      </c>
      <c r="F79" s="52">
        <v>21.0</v>
      </c>
      <c r="G79" s="52">
        <v>393040.0</v>
      </c>
      <c r="H79" s="52">
        <v>10060.0</v>
      </c>
    </row>
    <row r="80" ht="15.75" hidden="1" customHeight="1">
      <c r="A80" s="38" t="s">
        <v>93</v>
      </c>
      <c r="B80" s="38" t="s">
        <v>117</v>
      </c>
      <c r="C80" s="38" t="s">
        <v>1423</v>
      </c>
      <c r="D80" s="38" t="s">
        <v>1424</v>
      </c>
      <c r="E80" s="38" t="s">
        <v>1426</v>
      </c>
      <c r="F80" s="52" t="s">
        <v>1800</v>
      </c>
      <c r="G80" s="52" t="s">
        <v>1800</v>
      </c>
      <c r="H80" s="52" t="s">
        <v>1800</v>
      </c>
    </row>
    <row r="81" ht="15.75" hidden="1" customHeight="1">
      <c r="A81" s="38" t="s">
        <v>93</v>
      </c>
      <c r="B81" s="38" t="s">
        <v>117</v>
      </c>
      <c r="C81" s="38" t="s">
        <v>1427</v>
      </c>
      <c r="D81" s="38" t="s">
        <v>1428</v>
      </c>
      <c r="E81" s="38" t="s">
        <v>1429</v>
      </c>
      <c r="F81" s="52">
        <v>130.0</v>
      </c>
      <c r="G81" s="52">
        <v>2256800.0</v>
      </c>
      <c r="H81" s="52">
        <v>152680.0</v>
      </c>
    </row>
    <row r="82" ht="15.75" hidden="1" customHeight="1">
      <c r="A82" s="38" t="s">
        <v>93</v>
      </c>
      <c r="B82" s="38" t="s">
        <v>186</v>
      </c>
      <c r="C82" s="38" t="s">
        <v>1427</v>
      </c>
      <c r="D82" s="38" t="s">
        <v>1428</v>
      </c>
      <c r="E82" s="38" t="s">
        <v>1430</v>
      </c>
      <c r="F82" s="52">
        <v>19.0</v>
      </c>
      <c r="G82" s="52">
        <v>452200.0</v>
      </c>
      <c r="H82" s="52">
        <v>38080.0</v>
      </c>
    </row>
    <row r="83" ht="15.75" hidden="1" customHeight="1">
      <c r="A83" s="38" t="s">
        <v>93</v>
      </c>
      <c r="B83" s="38" t="s">
        <v>186</v>
      </c>
      <c r="C83" s="38" t="s">
        <v>1427</v>
      </c>
      <c r="D83" s="38" t="s">
        <v>1428</v>
      </c>
      <c r="E83" s="38" t="s">
        <v>1431</v>
      </c>
      <c r="F83" s="52">
        <v>2.0</v>
      </c>
      <c r="G83" s="52">
        <v>31600.0</v>
      </c>
      <c r="H83" s="52">
        <v>3160.0</v>
      </c>
    </row>
    <row r="84" ht="15.75" hidden="1" customHeight="1">
      <c r="A84" s="38" t="s">
        <v>93</v>
      </c>
      <c r="B84" s="38" t="s">
        <v>117</v>
      </c>
      <c r="C84" s="38" t="s">
        <v>1427</v>
      </c>
      <c r="D84" s="38" t="s">
        <v>1428</v>
      </c>
      <c r="E84" s="38" t="s">
        <v>1432</v>
      </c>
      <c r="F84" s="52">
        <v>26.0</v>
      </c>
      <c r="G84" s="52">
        <v>829660.0</v>
      </c>
      <c r="H84" s="52">
        <v>63800.0</v>
      </c>
    </row>
    <row r="85" ht="15.75" hidden="1" customHeight="1">
      <c r="A85" s="38" t="s">
        <v>93</v>
      </c>
      <c r="B85" s="38" t="s">
        <v>117</v>
      </c>
      <c r="C85" s="38" t="s">
        <v>1427</v>
      </c>
      <c r="D85" s="38" t="s">
        <v>1428</v>
      </c>
      <c r="E85" s="38" t="s">
        <v>1433</v>
      </c>
      <c r="F85" s="52" t="s">
        <v>1800</v>
      </c>
      <c r="G85" s="52" t="s">
        <v>1800</v>
      </c>
      <c r="H85" s="52" t="s">
        <v>1800</v>
      </c>
    </row>
    <row r="86" ht="15.75" hidden="1" customHeight="1">
      <c r="A86" s="38" t="s">
        <v>93</v>
      </c>
      <c r="B86" s="38" t="s">
        <v>117</v>
      </c>
      <c r="C86" s="38" t="s">
        <v>1427</v>
      </c>
      <c r="D86" s="38" t="s">
        <v>1428</v>
      </c>
      <c r="E86" s="38" t="s">
        <v>1434</v>
      </c>
      <c r="F86" s="52">
        <v>30.0</v>
      </c>
      <c r="G86" s="52">
        <v>954300.0</v>
      </c>
      <c r="H86" s="52">
        <v>48160.0</v>
      </c>
    </row>
    <row r="87" ht="15.75" hidden="1" customHeight="1">
      <c r="A87" s="38" t="s">
        <v>93</v>
      </c>
      <c r="B87" s="38" t="s">
        <v>117</v>
      </c>
      <c r="C87" s="38" t="s">
        <v>1427</v>
      </c>
      <c r="D87" s="38" t="s">
        <v>1428</v>
      </c>
      <c r="E87" s="38" t="s">
        <v>1435</v>
      </c>
      <c r="F87" s="52">
        <v>19.0</v>
      </c>
      <c r="G87" s="52">
        <v>566200.0</v>
      </c>
      <c r="H87" s="52">
        <v>43840.0</v>
      </c>
    </row>
    <row r="88" ht="15.75" hidden="1" customHeight="1">
      <c r="A88" s="38" t="s">
        <v>93</v>
      </c>
      <c r="B88" s="38" t="s">
        <v>117</v>
      </c>
      <c r="C88" s="38" t="s">
        <v>1427</v>
      </c>
      <c r="D88" s="38" t="s">
        <v>1428</v>
      </c>
      <c r="E88" s="38" t="s">
        <v>1436</v>
      </c>
      <c r="F88" s="52">
        <v>18.0</v>
      </c>
      <c r="G88" s="52">
        <v>333000.0</v>
      </c>
      <c r="H88" s="52">
        <v>29600.0</v>
      </c>
    </row>
    <row r="89" ht="15.75" hidden="1" customHeight="1">
      <c r="A89" s="38" t="s">
        <v>93</v>
      </c>
      <c r="B89" s="38" t="s">
        <v>117</v>
      </c>
      <c r="C89" s="38" t="s">
        <v>1427</v>
      </c>
      <c r="D89" s="38" t="s">
        <v>1428</v>
      </c>
      <c r="E89" s="38" t="s">
        <v>1437</v>
      </c>
      <c r="F89" s="52">
        <v>21.0</v>
      </c>
      <c r="G89" s="52">
        <v>919800.0</v>
      </c>
      <c r="H89" s="52">
        <v>61320.0</v>
      </c>
    </row>
    <row r="90" ht="15.75" hidden="1" customHeight="1">
      <c r="A90" s="38" t="s">
        <v>93</v>
      </c>
      <c r="B90" s="38" t="s">
        <v>117</v>
      </c>
      <c r="C90" s="38" t="s">
        <v>1427</v>
      </c>
      <c r="D90" s="38" t="s">
        <v>1428</v>
      </c>
      <c r="E90" s="38" t="s">
        <v>1438</v>
      </c>
      <c r="F90" s="52">
        <v>10.0</v>
      </c>
      <c r="G90" s="52">
        <v>239000.0</v>
      </c>
      <c r="H90" s="52">
        <v>23900.0</v>
      </c>
    </row>
    <row r="91" ht="15.75" hidden="1" customHeight="1">
      <c r="A91" s="38" t="s">
        <v>93</v>
      </c>
      <c r="B91" s="38" t="s">
        <v>117</v>
      </c>
      <c r="C91" s="38" t="s">
        <v>1427</v>
      </c>
      <c r="D91" s="38" t="s">
        <v>1428</v>
      </c>
      <c r="E91" s="38" t="s">
        <v>1439</v>
      </c>
      <c r="F91" s="52">
        <v>12.0</v>
      </c>
      <c r="G91" s="52">
        <v>185040.0</v>
      </c>
      <c r="H91" s="52">
        <v>12320.0</v>
      </c>
    </row>
    <row r="92" ht="15.75" hidden="1" customHeight="1">
      <c r="A92" s="38" t="s">
        <v>93</v>
      </c>
      <c r="B92" s="38" t="s">
        <v>117</v>
      </c>
      <c r="C92" s="38" t="s">
        <v>1427</v>
      </c>
      <c r="D92" s="38" t="s">
        <v>1428</v>
      </c>
      <c r="E92" s="38" t="s">
        <v>1440</v>
      </c>
      <c r="F92" s="52" t="s">
        <v>1800</v>
      </c>
      <c r="G92" s="52" t="s">
        <v>1800</v>
      </c>
      <c r="H92" s="52" t="s">
        <v>1800</v>
      </c>
    </row>
    <row r="93" ht="15.75" hidden="1" customHeight="1">
      <c r="A93" s="38" t="s">
        <v>93</v>
      </c>
      <c r="B93" s="38" t="s">
        <v>117</v>
      </c>
      <c r="C93" s="38" t="s">
        <v>1427</v>
      </c>
      <c r="D93" s="38" t="s">
        <v>1428</v>
      </c>
      <c r="E93" s="38" t="s">
        <v>1441</v>
      </c>
      <c r="F93" s="52" t="s">
        <v>1800</v>
      </c>
      <c r="G93" s="52" t="s">
        <v>1800</v>
      </c>
      <c r="H93" s="52" t="s">
        <v>1800</v>
      </c>
    </row>
    <row r="94" ht="15.75" hidden="1" customHeight="1">
      <c r="A94" s="38" t="s">
        <v>93</v>
      </c>
      <c r="B94" s="38" t="s">
        <v>117</v>
      </c>
      <c r="C94" s="38" t="s">
        <v>1427</v>
      </c>
      <c r="D94" s="38" t="s">
        <v>1428</v>
      </c>
      <c r="E94" s="38" t="s">
        <v>1442</v>
      </c>
      <c r="F94" s="52" t="s">
        <v>1800</v>
      </c>
      <c r="G94" s="52" t="s">
        <v>1800</v>
      </c>
      <c r="H94" s="52" t="s">
        <v>1800</v>
      </c>
    </row>
    <row r="95" ht="15.75" hidden="1" customHeight="1">
      <c r="A95" s="38" t="s">
        <v>93</v>
      </c>
      <c r="B95" s="38" t="s">
        <v>117</v>
      </c>
      <c r="C95" s="38" t="s">
        <v>1427</v>
      </c>
      <c r="D95" s="38" t="s">
        <v>1428</v>
      </c>
      <c r="E95" s="38" t="s">
        <v>1443</v>
      </c>
      <c r="F95" s="52" t="s">
        <v>1800</v>
      </c>
      <c r="G95" s="52" t="s">
        <v>1800</v>
      </c>
      <c r="H95" s="52" t="s">
        <v>1800</v>
      </c>
    </row>
    <row r="96" ht="15.75" hidden="1" customHeight="1">
      <c r="A96" s="38" t="s">
        <v>93</v>
      </c>
      <c r="B96" s="38" t="s">
        <v>117</v>
      </c>
      <c r="C96" s="38" t="s">
        <v>1427</v>
      </c>
      <c r="D96" s="38" t="s">
        <v>1428</v>
      </c>
      <c r="E96" s="38" t="s">
        <v>1444</v>
      </c>
      <c r="F96" s="52" t="s">
        <v>1800</v>
      </c>
      <c r="G96" s="52" t="s">
        <v>1800</v>
      </c>
      <c r="H96" s="52" t="s">
        <v>1800</v>
      </c>
    </row>
    <row r="97" ht="15.75" hidden="1" customHeight="1">
      <c r="A97" s="38" t="s">
        <v>93</v>
      </c>
      <c r="B97" s="38" t="s">
        <v>117</v>
      </c>
      <c r="C97" s="38" t="s">
        <v>1427</v>
      </c>
      <c r="D97" s="38" t="s">
        <v>1428</v>
      </c>
      <c r="E97" s="38" t="s">
        <v>1445</v>
      </c>
      <c r="F97" s="52" t="s">
        <v>1800</v>
      </c>
      <c r="G97" s="52" t="s">
        <v>1800</v>
      </c>
      <c r="H97" s="52" t="s">
        <v>1800</v>
      </c>
    </row>
    <row r="98" ht="15.75" hidden="1" customHeight="1">
      <c r="A98" s="38" t="s">
        <v>93</v>
      </c>
      <c r="B98" s="38" t="s">
        <v>117</v>
      </c>
      <c r="C98" s="38" t="s">
        <v>1427</v>
      </c>
      <c r="D98" s="38" t="s">
        <v>1428</v>
      </c>
      <c r="E98" s="38" t="s">
        <v>1446</v>
      </c>
      <c r="F98" s="52" t="s">
        <v>1800</v>
      </c>
      <c r="G98" s="52" t="s">
        <v>1800</v>
      </c>
      <c r="H98" s="52" t="s">
        <v>1800</v>
      </c>
    </row>
    <row r="99" ht="15.75" hidden="1" customHeight="1">
      <c r="A99" s="38" t="s">
        <v>93</v>
      </c>
      <c r="B99" s="38" t="s">
        <v>117</v>
      </c>
      <c r="C99" s="38" t="s">
        <v>1427</v>
      </c>
      <c r="D99" s="38" t="s">
        <v>1428</v>
      </c>
      <c r="E99" s="38" t="s">
        <v>1447</v>
      </c>
      <c r="F99" s="52" t="s">
        <v>1800</v>
      </c>
      <c r="G99" s="52" t="s">
        <v>1800</v>
      </c>
      <c r="H99" s="52" t="s">
        <v>1800</v>
      </c>
    </row>
    <row r="100" ht="15.75" hidden="1" customHeight="1">
      <c r="A100" s="38" t="s">
        <v>93</v>
      </c>
      <c r="B100" s="38" t="s">
        <v>117</v>
      </c>
      <c r="C100" s="38" t="s">
        <v>1427</v>
      </c>
      <c r="D100" s="38" t="s">
        <v>1428</v>
      </c>
      <c r="E100" s="38" t="s">
        <v>1448</v>
      </c>
      <c r="F100" s="52" t="s">
        <v>1800</v>
      </c>
      <c r="G100" s="52" t="s">
        <v>1800</v>
      </c>
      <c r="H100" s="52" t="s">
        <v>1800</v>
      </c>
    </row>
    <row r="101" ht="15.75" hidden="1" customHeight="1">
      <c r="A101" s="38" t="s">
        <v>93</v>
      </c>
      <c r="B101" s="38" t="s">
        <v>117</v>
      </c>
      <c r="C101" s="38" t="s">
        <v>1427</v>
      </c>
      <c r="D101" s="38" t="s">
        <v>1428</v>
      </c>
      <c r="E101" s="38" t="s">
        <v>1449</v>
      </c>
      <c r="F101" s="52" t="s">
        <v>1800</v>
      </c>
      <c r="G101" s="52" t="s">
        <v>1800</v>
      </c>
      <c r="H101" s="52" t="s">
        <v>1800</v>
      </c>
    </row>
    <row r="102" ht="15.75" hidden="1" customHeight="1">
      <c r="A102" s="38" t="s">
        <v>93</v>
      </c>
      <c r="B102" s="38" t="s">
        <v>117</v>
      </c>
      <c r="C102" s="38" t="s">
        <v>1427</v>
      </c>
      <c r="D102" s="38" t="s">
        <v>1428</v>
      </c>
      <c r="E102" s="38" t="s">
        <v>1450</v>
      </c>
      <c r="F102" s="52" t="s">
        <v>1800</v>
      </c>
      <c r="G102" s="52" t="s">
        <v>1800</v>
      </c>
      <c r="H102" s="52" t="s">
        <v>1800</v>
      </c>
    </row>
    <row r="103" ht="15.75" hidden="1" customHeight="1">
      <c r="A103" s="38" t="s">
        <v>93</v>
      </c>
      <c r="B103" s="38" t="s">
        <v>117</v>
      </c>
      <c r="C103" s="38" t="s">
        <v>1427</v>
      </c>
      <c r="D103" s="38" t="s">
        <v>1428</v>
      </c>
      <c r="E103" s="38" t="s">
        <v>1451</v>
      </c>
      <c r="F103" s="52" t="s">
        <v>1800</v>
      </c>
      <c r="G103" s="52" t="s">
        <v>1800</v>
      </c>
      <c r="H103" s="52" t="s">
        <v>1800</v>
      </c>
    </row>
    <row r="104" ht="15.75" hidden="1" customHeight="1">
      <c r="A104" s="38" t="s">
        <v>93</v>
      </c>
      <c r="B104" s="38" t="s">
        <v>117</v>
      </c>
      <c r="C104" s="38" t="s">
        <v>1427</v>
      </c>
      <c r="D104" s="38" t="s">
        <v>1428</v>
      </c>
      <c r="E104" s="38" t="s">
        <v>1452</v>
      </c>
      <c r="F104" s="52" t="s">
        <v>1800</v>
      </c>
      <c r="G104" s="52" t="s">
        <v>1800</v>
      </c>
      <c r="H104" s="52" t="s">
        <v>1800</v>
      </c>
    </row>
    <row r="105" ht="15.75" hidden="1" customHeight="1">
      <c r="A105" s="38" t="s">
        <v>93</v>
      </c>
      <c r="B105" s="38" t="s">
        <v>117</v>
      </c>
      <c r="C105" s="38" t="s">
        <v>1427</v>
      </c>
      <c r="D105" s="38" t="s">
        <v>1428</v>
      </c>
      <c r="E105" s="38" t="s">
        <v>1453</v>
      </c>
      <c r="F105" s="52" t="s">
        <v>1800</v>
      </c>
      <c r="G105" s="52" t="s">
        <v>1800</v>
      </c>
      <c r="H105" s="52" t="s">
        <v>1800</v>
      </c>
    </row>
    <row r="106" ht="15.75" hidden="1" customHeight="1">
      <c r="A106" s="38" t="s">
        <v>93</v>
      </c>
      <c r="B106" s="38" t="s">
        <v>117</v>
      </c>
      <c r="C106" s="38" t="s">
        <v>1427</v>
      </c>
      <c r="D106" s="38" t="s">
        <v>1428</v>
      </c>
      <c r="E106" s="38" t="s">
        <v>1454</v>
      </c>
      <c r="F106" s="52" t="s">
        <v>1800</v>
      </c>
      <c r="G106" s="52" t="s">
        <v>1800</v>
      </c>
      <c r="H106" s="52" t="s">
        <v>1800</v>
      </c>
    </row>
    <row r="107" ht="15.75" hidden="1" customHeight="1">
      <c r="A107" s="38" t="s">
        <v>93</v>
      </c>
      <c r="B107" s="38" t="s">
        <v>117</v>
      </c>
      <c r="C107" s="38" t="s">
        <v>1427</v>
      </c>
      <c r="D107" s="38" t="s">
        <v>1428</v>
      </c>
      <c r="E107" s="38" t="s">
        <v>1455</v>
      </c>
      <c r="F107" s="52">
        <v>2.0</v>
      </c>
      <c r="G107" s="52">
        <v>73400.0</v>
      </c>
      <c r="H107" s="52">
        <v>7340.0</v>
      </c>
    </row>
    <row r="108" ht="15.75" hidden="1" customHeight="1">
      <c r="A108" s="38" t="s">
        <v>93</v>
      </c>
      <c r="B108" s="38" t="s">
        <v>117</v>
      </c>
      <c r="C108" s="38" t="s">
        <v>1427</v>
      </c>
      <c r="D108" s="38" t="s">
        <v>1428</v>
      </c>
      <c r="E108" s="38" t="s">
        <v>1456</v>
      </c>
      <c r="F108" s="52">
        <v>8.0</v>
      </c>
      <c r="G108" s="52">
        <v>342720.0</v>
      </c>
      <c r="H108" s="52">
        <v>34240.0</v>
      </c>
    </row>
    <row r="109" ht="15.75" hidden="1" customHeight="1">
      <c r="A109" s="38" t="s">
        <v>93</v>
      </c>
      <c r="B109" s="38" t="s">
        <v>117</v>
      </c>
      <c r="C109" s="38" t="s">
        <v>1427</v>
      </c>
      <c r="D109" s="38" t="s">
        <v>1428</v>
      </c>
      <c r="E109" s="38" t="s">
        <v>1457</v>
      </c>
      <c r="F109" s="52" t="s">
        <v>1800</v>
      </c>
      <c r="G109" s="52" t="s">
        <v>1800</v>
      </c>
      <c r="H109" s="52" t="s">
        <v>1800</v>
      </c>
    </row>
    <row r="110" ht="15.75" hidden="1" customHeight="1">
      <c r="A110" s="38" t="s">
        <v>93</v>
      </c>
      <c r="B110" s="38" t="s">
        <v>117</v>
      </c>
      <c r="C110" s="38" t="s">
        <v>1427</v>
      </c>
      <c r="D110" s="38" t="s">
        <v>1428</v>
      </c>
      <c r="E110" s="38" t="s">
        <v>1458</v>
      </c>
      <c r="F110" s="52">
        <v>2.0</v>
      </c>
      <c r="G110" s="52">
        <v>112180.0</v>
      </c>
      <c r="H110" s="52">
        <v>10000.0</v>
      </c>
    </row>
    <row r="111" ht="15.75" hidden="1" customHeight="1">
      <c r="A111" s="38" t="s">
        <v>93</v>
      </c>
      <c r="B111" s="38" t="s">
        <v>186</v>
      </c>
      <c r="C111" s="38" t="s">
        <v>1459</v>
      </c>
      <c r="D111" s="38" t="s">
        <v>1460</v>
      </c>
      <c r="E111" s="38" t="s">
        <v>1461</v>
      </c>
      <c r="F111" s="52">
        <v>414.0</v>
      </c>
      <c r="G111" s="52">
        <v>1.36206E7</v>
      </c>
      <c r="H111" s="52">
        <v>144760.0</v>
      </c>
    </row>
    <row r="112" ht="15.75" hidden="1" customHeight="1">
      <c r="A112" s="38" t="s">
        <v>93</v>
      </c>
      <c r="B112" s="38" t="s">
        <v>186</v>
      </c>
      <c r="C112" s="38" t="s">
        <v>1459</v>
      </c>
      <c r="D112" s="38" t="s">
        <v>1460</v>
      </c>
      <c r="E112" s="38" t="s">
        <v>1462</v>
      </c>
      <c r="F112" s="52">
        <v>147.0</v>
      </c>
      <c r="G112" s="52">
        <v>4312500.0</v>
      </c>
      <c r="H112" s="52">
        <v>142700.0</v>
      </c>
    </row>
    <row r="113" ht="15.75" hidden="1" customHeight="1">
      <c r="A113" s="38" t="s">
        <v>93</v>
      </c>
      <c r="B113" s="38" t="s">
        <v>186</v>
      </c>
      <c r="C113" s="38" t="s">
        <v>1459</v>
      </c>
      <c r="D113" s="38" t="s">
        <v>1460</v>
      </c>
      <c r="E113" s="38" t="s">
        <v>1463</v>
      </c>
      <c r="F113" s="52">
        <v>96.0</v>
      </c>
      <c r="G113" s="52">
        <v>2294400.0</v>
      </c>
      <c r="H113" s="52">
        <v>43020.0</v>
      </c>
    </row>
    <row r="114" ht="15.75" hidden="1" customHeight="1">
      <c r="A114" s="38" t="s">
        <v>93</v>
      </c>
      <c r="B114" s="38" t="s">
        <v>186</v>
      </c>
      <c r="C114" s="38" t="s">
        <v>1459</v>
      </c>
      <c r="D114" s="38" t="s">
        <v>1460</v>
      </c>
      <c r="E114" s="38" t="s">
        <v>1464</v>
      </c>
      <c r="F114" s="52">
        <v>113.0</v>
      </c>
      <c r="G114" s="52">
        <v>4621700.0</v>
      </c>
      <c r="H114" s="52">
        <v>98160.0</v>
      </c>
    </row>
    <row r="115" ht="15.75" hidden="1" customHeight="1">
      <c r="A115" s="38" t="s">
        <v>93</v>
      </c>
      <c r="B115" s="38" t="s">
        <v>186</v>
      </c>
      <c r="C115" s="38" t="s">
        <v>1459</v>
      </c>
      <c r="D115" s="38" t="s">
        <v>1460</v>
      </c>
      <c r="E115" s="38" t="s">
        <v>1465</v>
      </c>
      <c r="F115" s="52">
        <v>216.0</v>
      </c>
      <c r="G115" s="52">
        <v>6130400.0</v>
      </c>
      <c r="H115" s="52">
        <v>204380.0</v>
      </c>
    </row>
    <row r="116" ht="15.75" hidden="1" customHeight="1">
      <c r="A116" s="38" t="s">
        <v>93</v>
      </c>
      <c r="B116" s="38" t="s">
        <v>186</v>
      </c>
      <c r="C116" s="38" t="s">
        <v>1459</v>
      </c>
      <c r="D116" s="38" t="s">
        <v>1460</v>
      </c>
      <c r="E116" s="38" t="s">
        <v>1466</v>
      </c>
      <c r="F116" s="52">
        <v>65.0</v>
      </c>
      <c r="G116" s="52">
        <v>1345500.0</v>
      </c>
      <c r="H116" s="52">
        <v>16560.0</v>
      </c>
    </row>
    <row r="117" ht="15.75" hidden="1" customHeight="1">
      <c r="A117" s="38" t="s">
        <v>93</v>
      </c>
      <c r="B117" s="38" t="s">
        <v>186</v>
      </c>
      <c r="C117" s="38" t="s">
        <v>1459</v>
      </c>
      <c r="D117" s="38" t="s">
        <v>1460</v>
      </c>
      <c r="E117" s="38" t="s">
        <v>1467</v>
      </c>
      <c r="F117" s="52">
        <v>29.0</v>
      </c>
      <c r="G117" s="52">
        <v>896100.0</v>
      </c>
      <c r="H117" s="52">
        <v>6180.0</v>
      </c>
    </row>
    <row r="118" ht="15.75" hidden="1" customHeight="1">
      <c r="A118" s="38" t="s">
        <v>93</v>
      </c>
      <c r="B118" s="38" t="s">
        <v>186</v>
      </c>
      <c r="C118" s="38" t="s">
        <v>1459</v>
      </c>
      <c r="D118" s="38" t="s">
        <v>1460</v>
      </c>
      <c r="E118" s="38" t="s">
        <v>1468</v>
      </c>
      <c r="F118" s="52">
        <v>19.0</v>
      </c>
      <c r="G118" s="52">
        <v>623100.0</v>
      </c>
      <c r="H118" s="52">
        <v>12360.0</v>
      </c>
    </row>
    <row r="119" ht="15.75" hidden="1" customHeight="1">
      <c r="A119" s="38" t="s">
        <v>93</v>
      </c>
      <c r="B119" s="38" t="s">
        <v>186</v>
      </c>
      <c r="C119" s="38" t="s">
        <v>1459</v>
      </c>
      <c r="D119" s="38" t="s">
        <v>1460</v>
      </c>
      <c r="E119" s="38" t="s">
        <v>1469</v>
      </c>
      <c r="F119" s="52">
        <v>3.0</v>
      </c>
      <c r="G119" s="52">
        <v>62100.0</v>
      </c>
      <c r="H119" s="52" t="s">
        <v>1800</v>
      </c>
    </row>
    <row r="120" ht="15.75" hidden="1" customHeight="1">
      <c r="A120" s="38" t="s">
        <v>93</v>
      </c>
      <c r="B120" s="38" t="s">
        <v>186</v>
      </c>
      <c r="C120" s="38" t="s">
        <v>1459</v>
      </c>
      <c r="D120" s="38" t="s">
        <v>1460</v>
      </c>
      <c r="E120" s="38" t="s">
        <v>1470</v>
      </c>
      <c r="F120" s="52" t="s">
        <v>1800</v>
      </c>
      <c r="G120" s="52" t="s">
        <v>1800</v>
      </c>
      <c r="H120" s="52" t="s">
        <v>1800</v>
      </c>
    </row>
    <row r="121" ht="15.75" hidden="1" customHeight="1">
      <c r="A121" s="38" t="s">
        <v>93</v>
      </c>
      <c r="B121" s="53" t="s">
        <v>186</v>
      </c>
      <c r="C121" s="38" t="s">
        <v>1459</v>
      </c>
      <c r="D121" s="38" t="s">
        <v>1460</v>
      </c>
      <c r="E121" s="38" t="s">
        <v>1471</v>
      </c>
      <c r="F121" s="52">
        <v>67.0</v>
      </c>
      <c r="G121" s="52">
        <v>1098800.0</v>
      </c>
      <c r="H121" s="52">
        <v>13120.0</v>
      </c>
      <c r="J121" s="38" t="s">
        <v>117</v>
      </c>
    </row>
    <row r="122" ht="15.75" hidden="1" customHeight="1">
      <c r="A122" s="38" t="s">
        <v>93</v>
      </c>
      <c r="B122" s="38" t="s">
        <v>186</v>
      </c>
      <c r="C122" s="38" t="s">
        <v>1459</v>
      </c>
      <c r="D122" s="38" t="s">
        <v>1460</v>
      </c>
      <c r="E122" s="38" t="s">
        <v>1472</v>
      </c>
      <c r="F122" s="52">
        <v>4.0</v>
      </c>
      <c r="G122" s="52">
        <v>378800.0</v>
      </c>
      <c r="H122" s="52" t="s">
        <v>1800</v>
      </c>
    </row>
    <row r="123" ht="15.75" hidden="1" customHeight="1">
      <c r="A123" s="38" t="s">
        <v>93</v>
      </c>
      <c r="B123" s="38" t="s">
        <v>186</v>
      </c>
      <c r="C123" s="38" t="s">
        <v>1459</v>
      </c>
      <c r="D123" s="38" t="s">
        <v>1460</v>
      </c>
      <c r="E123" s="38" t="s">
        <v>1473</v>
      </c>
      <c r="F123" s="52">
        <v>10.0</v>
      </c>
      <c r="G123" s="52">
        <v>229000.0</v>
      </c>
      <c r="H123" s="52" t="s">
        <v>1800</v>
      </c>
    </row>
    <row r="124" ht="15.75" hidden="1" customHeight="1">
      <c r="A124" s="38" t="s">
        <v>93</v>
      </c>
      <c r="B124" s="38" t="s">
        <v>186</v>
      </c>
      <c r="C124" s="38" t="s">
        <v>1459</v>
      </c>
      <c r="D124" s="38" t="s">
        <v>1460</v>
      </c>
      <c r="E124" s="38" t="s">
        <v>1474</v>
      </c>
      <c r="F124" s="52">
        <v>6.0</v>
      </c>
      <c r="G124" s="52">
        <v>197400.0</v>
      </c>
      <c r="H124" s="52" t="s">
        <v>1800</v>
      </c>
    </row>
    <row r="125" ht="15.75" hidden="1" customHeight="1">
      <c r="A125" s="38" t="s">
        <v>93</v>
      </c>
      <c r="B125" s="38" t="s">
        <v>186</v>
      </c>
      <c r="C125" s="38" t="s">
        <v>1459</v>
      </c>
      <c r="D125" s="38" t="s">
        <v>1460</v>
      </c>
      <c r="E125" s="38" t="s">
        <v>1475</v>
      </c>
      <c r="F125" s="52">
        <v>1.0</v>
      </c>
      <c r="G125" s="52">
        <v>57900.0</v>
      </c>
      <c r="H125" s="52" t="s">
        <v>1800</v>
      </c>
    </row>
    <row r="126" ht="15.75" hidden="1" customHeight="1">
      <c r="A126" s="38" t="s">
        <v>93</v>
      </c>
      <c r="B126" s="38" t="s">
        <v>186</v>
      </c>
      <c r="C126" s="38" t="s">
        <v>1459</v>
      </c>
      <c r="D126" s="38" t="s">
        <v>1460</v>
      </c>
      <c r="E126" s="38" t="s">
        <v>1476</v>
      </c>
      <c r="F126" s="52">
        <v>1.0</v>
      </c>
      <c r="G126" s="52">
        <v>21900.0</v>
      </c>
      <c r="H126" s="52" t="s">
        <v>1800</v>
      </c>
    </row>
    <row r="127" ht="15.75" hidden="1" customHeight="1">
      <c r="A127" s="38" t="s">
        <v>93</v>
      </c>
      <c r="B127" s="38" t="s">
        <v>186</v>
      </c>
      <c r="C127" s="38" t="s">
        <v>1459</v>
      </c>
      <c r="D127" s="38" t="s">
        <v>1460</v>
      </c>
      <c r="E127" s="38" t="s">
        <v>1477</v>
      </c>
      <c r="F127" s="52">
        <v>7.0</v>
      </c>
      <c r="G127" s="52">
        <v>202300.0</v>
      </c>
      <c r="H127" s="52">
        <v>5780.0</v>
      </c>
    </row>
    <row r="128" ht="15.75" hidden="1" customHeight="1">
      <c r="A128" s="38" t="s">
        <v>93</v>
      </c>
      <c r="B128" s="38" t="s">
        <v>186</v>
      </c>
      <c r="C128" s="38" t="s">
        <v>1459</v>
      </c>
      <c r="D128" s="38" t="s">
        <v>1460</v>
      </c>
      <c r="E128" s="38" t="s">
        <v>1478</v>
      </c>
      <c r="F128" s="52">
        <v>5.0</v>
      </c>
      <c r="G128" s="52">
        <v>69500.0</v>
      </c>
      <c r="H128" s="52" t="s">
        <v>1800</v>
      </c>
    </row>
    <row r="129" ht="15.75" hidden="1" customHeight="1">
      <c r="A129" s="38" t="s">
        <v>93</v>
      </c>
      <c r="B129" s="38" t="s">
        <v>186</v>
      </c>
      <c r="C129" s="38" t="s">
        <v>1459</v>
      </c>
      <c r="D129" s="38" t="s">
        <v>1460</v>
      </c>
      <c r="E129" s="38" t="s">
        <v>1479</v>
      </c>
      <c r="F129" s="52">
        <v>16.0</v>
      </c>
      <c r="G129" s="52">
        <v>302400.0</v>
      </c>
      <c r="H129" s="52">
        <v>7560.0</v>
      </c>
    </row>
    <row r="130" ht="15.75" hidden="1" customHeight="1">
      <c r="A130" s="38" t="s">
        <v>93</v>
      </c>
      <c r="B130" s="54" t="s">
        <v>186</v>
      </c>
      <c r="C130" s="38" t="s">
        <v>1459</v>
      </c>
      <c r="D130" s="38" t="s">
        <v>1460</v>
      </c>
      <c r="E130" s="38" t="s">
        <v>1480</v>
      </c>
      <c r="F130" s="52">
        <v>3.0</v>
      </c>
      <c r="G130" s="52">
        <v>42700.0</v>
      </c>
      <c r="H130" s="52" t="s">
        <v>1800</v>
      </c>
      <c r="J130" s="38" t="s">
        <v>117</v>
      </c>
    </row>
    <row r="131" ht="15.75" hidden="1" customHeight="1">
      <c r="A131" s="38" t="s">
        <v>93</v>
      </c>
      <c r="B131" s="38" t="s">
        <v>186</v>
      </c>
      <c r="C131" s="38" t="s">
        <v>1459</v>
      </c>
      <c r="D131" s="38" t="s">
        <v>1460</v>
      </c>
      <c r="E131" s="38" t="s">
        <v>1481</v>
      </c>
      <c r="F131" s="52" t="s">
        <v>1800</v>
      </c>
      <c r="G131" s="52" t="s">
        <v>1800</v>
      </c>
      <c r="H131" s="52" t="s">
        <v>1800</v>
      </c>
    </row>
    <row r="132" ht="15.75" hidden="1" customHeight="1">
      <c r="A132" s="38" t="s">
        <v>93</v>
      </c>
      <c r="B132" s="38" t="s">
        <v>186</v>
      </c>
      <c r="C132" s="38" t="s">
        <v>1459</v>
      </c>
      <c r="D132" s="38" t="s">
        <v>1460</v>
      </c>
      <c r="E132" s="38" t="s">
        <v>1482</v>
      </c>
      <c r="F132" s="52" t="s">
        <v>1800</v>
      </c>
      <c r="G132" s="52" t="s">
        <v>1800</v>
      </c>
      <c r="H132" s="52" t="s">
        <v>1800</v>
      </c>
    </row>
    <row r="133" ht="15.75" hidden="1" customHeight="1">
      <c r="A133" s="38" t="s">
        <v>93</v>
      </c>
      <c r="B133" s="38" t="s">
        <v>186</v>
      </c>
      <c r="C133" s="38" t="s">
        <v>1459</v>
      </c>
      <c r="D133" s="38" t="s">
        <v>1460</v>
      </c>
      <c r="E133" s="38" t="s">
        <v>1483</v>
      </c>
      <c r="F133" s="52" t="s">
        <v>1800</v>
      </c>
      <c r="G133" s="52" t="s">
        <v>1800</v>
      </c>
      <c r="H133" s="52" t="s">
        <v>1800</v>
      </c>
    </row>
    <row r="134" ht="15.75" hidden="1" customHeight="1">
      <c r="A134" s="38" t="s">
        <v>93</v>
      </c>
      <c r="B134" s="38" t="s">
        <v>186</v>
      </c>
      <c r="C134" s="38" t="s">
        <v>1459</v>
      </c>
      <c r="D134" s="38" t="s">
        <v>1460</v>
      </c>
      <c r="E134" s="38" t="s">
        <v>1484</v>
      </c>
      <c r="F134" s="52" t="s">
        <v>1800</v>
      </c>
      <c r="G134" s="52" t="s">
        <v>1800</v>
      </c>
      <c r="H134" s="52" t="s">
        <v>1800</v>
      </c>
    </row>
    <row r="135" ht="15.75" hidden="1" customHeight="1">
      <c r="A135" s="38" t="s">
        <v>93</v>
      </c>
      <c r="B135" s="38" t="s">
        <v>186</v>
      </c>
      <c r="C135" s="38" t="s">
        <v>1485</v>
      </c>
      <c r="D135" s="38" t="s">
        <v>1486</v>
      </c>
      <c r="E135" s="38" t="s">
        <v>1487</v>
      </c>
      <c r="F135" s="52">
        <v>442.0</v>
      </c>
      <c r="G135" s="52">
        <v>1.31716E7</v>
      </c>
      <c r="H135" s="52">
        <v>242440.0</v>
      </c>
    </row>
    <row r="136" ht="15.75" hidden="1" customHeight="1">
      <c r="A136" s="38" t="s">
        <v>93</v>
      </c>
      <c r="B136" s="38" t="s">
        <v>186</v>
      </c>
      <c r="C136" s="38" t="s">
        <v>1485</v>
      </c>
      <c r="D136" s="38" t="s">
        <v>1486</v>
      </c>
      <c r="E136" s="38" t="s">
        <v>1488</v>
      </c>
      <c r="F136" s="52">
        <v>25.0</v>
      </c>
      <c r="G136" s="52">
        <v>1120000.0</v>
      </c>
      <c r="H136" s="52">
        <v>8960.0</v>
      </c>
    </row>
    <row r="137" ht="15.75" hidden="1" customHeight="1">
      <c r="A137" s="38" t="s">
        <v>93</v>
      </c>
      <c r="B137" s="38" t="s">
        <v>186</v>
      </c>
      <c r="C137" s="38" t="s">
        <v>1485</v>
      </c>
      <c r="D137" s="38" t="s">
        <v>1486</v>
      </c>
      <c r="E137" s="38" t="s">
        <v>1489</v>
      </c>
      <c r="F137" s="52">
        <v>5.0</v>
      </c>
      <c r="G137" s="52">
        <v>150000.0</v>
      </c>
      <c r="H137" s="52" t="s">
        <v>1800</v>
      </c>
    </row>
    <row r="138" ht="15.75" hidden="1" customHeight="1">
      <c r="A138" s="38" t="s">
        <v>93</v>
      </c>
      <c r="B138" s="38" t="s">
        <v>186</v>
      </c>
      <c r="C138" s="38" t="s">
        <v>1485</v>
      </c>
      <c r="D138" s="38" t="s">
        <v>1486</v>
      </c>
      <c r="E138" s="38" t="s">
        <v>1490</v>
      </c>
      <c r="F138" s="52">
        <v>12.0</v>
      </c>
      <c r="G138" s="52">
        <v>420000.0</v>
      </c>
      <c r="H138" s="52" t="s">
        <v>1800</v>
      </c>
    </row>
    <row r="139" ht="15.75" hidden="1" customHeight="1">
      <c r="A139" s="38" t="s">
        <v>93</v>
      </c>
      <c r="B139" s="38" t="s">
        <v>186</v>
      </c>
      <c r="C139" s="38" t="s">
        <v>1485</v>
      </c>
      <c r="D139" s="38" t="s">
        <v>1486</v>
      </c>
      <c r="E139" s="38" t="s">
        <v>1493</v>
      </c>
      <c r="F139" s="52">
        <v>14.0</v>
      </c>
      <c r="G139" s="52">
        <v>627200.0</v>
      </c>
      <c r="H139" s="52">
        <v>8960.0</v>
      </c>
    </row>
    <row r="140" ht="15.75" hidden="1" customHeight="1">
      <c r="A140" s="38" t="s">
        <v>93</v>
      </c>
      <c r="B140" s="38" t="s">
        <v>186</v>
      </c>
      <c r="C140" s="38" t="s">
        <v>1485</v>
      </c>
      <c r="D140" s="38" t="s">
        <v>1486</v>
      </c>
      <c r="E140" s="38" t="s">
        <v>1494</v>
      </c>
      <c r="F140" s="52">
        <v>2.0</v>
      </c>
      <c r="G140" s="52">
        <v>53600.0</v>
      </c>
      <c r="H140" s="52" t="s">
        <v>1800</v>
      </c>
    </row>
    <row r="141" ht="15.75" hidden="1" customHeight="1">
      <c r="A141" s="38" t="s">
        <v>93</v>
      </c>
      <c r="B141" s="38" t="s">
        <v>186</v>
      </c>
      <c r="C141" s="38" t="s">
        <v>1485</v>
      </c>
      <c r="D141" s="38" t="s">
        <v>1486</v>
      </c>
      <c r="E141" s="38" t="s">
        <v>1495</v>
      </c>
      <c r="F141" s="52" t="s">
        <v>1800</v>
      </c>
      <c r="G141" s="52" t="s">
        <v>1800</v>
      </c>
      <c r="H141" s="52" t="s">
        <v>1800</v>
      </c>
    </row>
    <row r="142" ht="15.75" hidden="1" customHeight="1">
      <c r="A142" s="38" t="s">
        <v>93</v>
      </c>
      <c r="B142" s="38" t="s">
        <v>186</v>
      </c>
      <c r="C142" s="38" t="s">
        <v>1485</v>
      </c>
      <c r="D142" s="38" t="s">
        <v>1486</v>
      </c>
      <c r="E142" s="38" t="s">
        <v>1496</v>
      </c>
      <c r="F142" s="52" t="s">
        <v>1800</v>
      </c>
      <c r="G142" s="52" t="s">
        <v>1800</v>
      </c>
      <c r="H142" s="52" t="s">
        <v>1800</v>
      </c>
    </row>
    <row r="143" ht="15.75" hidden="1" customHeight="1">
      <c r="A143" s="38" t="s">
        <v>93</v>
      </c>
      <c r="B143" s="38" t="s">
        <v>186</v>
      </c>
      <c r="C143" s="38" t="s">
        <v>1485</v>
      </c>
      <c r="D143" s="38" t="s">
        <v>1486</v>
      </c>
      <c r="E143" s="38" t="s">
        <v>1497</v>
      </c>
      <c r="F143" s="52">
        <v>29.0</v>
      </c>
      <c r="G143" s="52">
        <v>1009200.0</v>
      </c>
      <c r="H143" s="52">
        <v>20880.0</v>
      </c>
    </row>
    <row r="144" ht="15.75" hidden="1" customHeight="1">
      <c r="A144" s="38" t="s">
        <v>93</v>
      </c>
      <c r="B144" s="38" t="s">
        <v>186</v>
      </c>
      <c r="C144" s="38" t="s">
        <v>1485</v>
      </c>
      <c r="D144" s="38" t="s">
        <v>1486</v>
      </c>
      <c r="E144" s="38" t="s">
        <v>1498</v>
      </c>
      <c r="F144" s="52">
        <v>60.0</v>
      </c>
      <c r="G144" s="52">
        <v>1608000.0</v>
      </c>
      <c r="H144" s="52" t="s">
        <v>1800</v>
      </c>
    </row>
    <row r="145" ht="15.75" hidden="1" customHeight="1">
      <c r="A145" s="38" t="s">
        <v>93</v>
      </c>
      <c r="B145" s="38" t="s">
        <v>186</v>
      </c>
      <c r="C145" s="38" t="s">
        <v>1499</v>
      </c>
      <c r="D145" s="38" t="s">
        <v>1500</v>
      </c>
      <c r="E145" s="38" t="s">
        <v>1501</v>
      </c>
      <c r="F145" s="52">
        <v>59.0</v>
      </c>
      <c r="G145" s="52">
        <v>970800.0</v>
      </c>
      <c r="H145" s="52">
        <v>76480.0</v>
      </c>
    </row>
    <row r="146" ht="15.75" hidden="1" customHeight="1">
      <c r="A146" s="38" t="s">
        <v>93</v>
      </c>
      <c r="B146" s="38" t="s">
        <v>186</v>
      </c>
      <c r="C146" s="38" t="s">
        <v>1499</v>
      </c>
      <c r="D146" s="38" t="s">
        <v>1500</v>
      </c>
      <c r="E146" s="38" t="s">
        <v>1502</v>
      </c>
      <c r="F146" s="52" t="s">
        <v>1800</v>
      </c>
      <c r="G146" s="52" t="s">
        <v>1800</v>
      </c>
      <c r="H146" s="52" t="s">
        <v>1800</v>
      </c>
    </row>
    <row r="147" ht="15.75" hidden="1" customHeight="1">
      <c r="A147" s="38" t="s">
        <v>93</v>
      </c>
      <c r="B147" s="38" t="s">
        <v>186</v>
      </c>
      <c r="C147" s="38" t="s">
        <v>1499</v>
      </c>
      <c r="D147" s="38" t="s">
        <v>1500</v>
      </c>
      <c r="E147" s="38" t="s">
        <v>1503</v>
      </c>
      <c r="F147" s="52">
        <v>4.0</v>
      </c>
      <c r="G147" s="52">
        <v>112000.0</v>
      </c>
      <c r="H147" s="52">
        <v>10000.0</v>
      </c>
    </row>
    <row r="148" ht="15.75" hidden="1" customHeight="1">
      <c r="A148" s="38" t="s">
        <v>93</v>
      </c>
      <c r="B148" s="38" t="s">
        <v>186</v>
      </c>
      <c r="C148" s="38" t="s">
        <v>1499</v>
      </c>
      <c r="D148" s="38" t="s">
        <v>1500</v>
      </c>
      <c r="E148" s="38" t="s">
        <v>1504</v>
      </c>
      <c r="F148" s="52" t="s">
        <v>1800</v>
      </c>
      <c r="G148" s="52" t="s">
        <v>1800</v>
      </c>
      <c r="H148" s="52" t="s">
        <v>1800</v>
      </c>
    </row>
    <row r="149" ht="15.75" hidden="1" customHeight="1">
      <c r="A149" s="38" t="s">
        <v>93</v>
      </c>
      <c r="B149" s="38" t="s">
        <v>186</v>
      </c>
      <c r="C149" s="38" t="s">
        <v>1499</v>
      </c>
      <c r="D149" s="38" t="s">
        <v>1500</v>
      </c>
      <c r="E149" s="38" t="s">
        <v>1505</v>
      </c>
      <c r="F149" s="52">
        <v>2.0</v>
      </c>
      <c r="G149" s="52">
        <v>7000.0</v>
      </c>
      <c r="H149" s="52" t="s">
        <v>1800</v>
      </c>
    </row>
    <row r="150" ht="15.75" hidden="1" customHeight="1">
      <c r="A150" s="38" t="s">
        <v>93</v>
      </c>
      <c r="B150" s="38" t="s">
        <v>186</v>
      </c>
      <c r="C150" s="38" t="s">
        <v>1499</v>
      </c>
      <c r="D150" s="38" t="s">
        <v>1500</v>
      </c>
      <c r="E150" s="38" t="s">
        <v>1506</v>
      </c>
      <c r="F150" s="52">
        <v>2.0</v>
      </c>
      <c r="G150" s="52">
        <v>7000.0</v>
      </c>
      <c r="H150" s="52" t="s">
        <v>1800</v>
      </c>
    </row>
    <row r="151" ht="15.75" hidden="1" customHeight="1">
      <c r="A151" s="38" t="s">
        <v>93</v>
      </c>
      <c r="B151" s="38" t="s">
        <v>186</v>
      </c>
      <c r="C151" s="38" t="s">
        <v>1499</v>
      </c>
      <c r="D151" s="38" t="s">
        <v>1500</v>
      </c>
      <c r="E151" s="38" t="s">
        <v>1507</v>
      </c>
      <c r="F151" s="52">
        <v>163.0</v>
      </c>
      <c r="G151" s="52">
        <v>489000.0</v>
      </c>
      <c r="H151" s="52">
        <v>39400.0</v>
      </c>
    </row>
    <row r="152" ht="15.75" hidden="1" customHeight="1">
      <c r="A152" s="38" t="s">
        <v>93</v>
      </c>
      <c r="B152" s="55" t="s">
        <v>186</v>
      </c>
      <c r="C152" s="38" t="s">
        <v>1499</v>
      </c>
      <c r="D152" s="38" t="s">
        <v>1500</v>
      </c>
      <c r="E152" s="38" t="s">
        <v>1508</v>
      </c>
      <c r="F152" s="52" t="s">
        <v>1800</v>
      </c>
      <c r="G152" s="52" t="s">
        <v>1800</v>
      </c>
      <c r="H152" s="52" t="s">
        <v>1800</v>
      </c>
      <c r="J152" s="38" t="s">
        <v>117</v>
      </c>
    </row>
    <row r="153" ht="15.75" hidden="1" customHeight="1">
      <c r="A153" s="38" t="s">
        <v>93</v>
      </c>
      <c r="B153" s="38" t="s">
        <v>186</v>
      </c>
      <c r="C153" s="38" t="s">
        <v>1499</v>
      </c>
      <c r="D153" s="38" t="s">
        <v>1500</v>
      </c>
      <c r="E153" s="38" t="s">
        <v>1509</v>
      </c>
      <c r="F153" s="52">
        <v>2.0</v>
      </c>
      <c r="G153" s="52">
        <v>23800.0</v>
      </c>
      <c r="H153" s="52">
        <v>2380.0</v>
      </c>
    </row>
    <row r="154" ht="15.75" hidden="1" customHeight="1">
      <c r="A154" s="38" t="s">
        <v>93</v>
      </c>
      <c r="B154" s="38" t="s">
        <v>186</v>
      </c>
      <c r="C154" s="38" t="s">
        <v>1499</v>
      </c>
      <c r="D154" s="38" t="s">
        <v>1500</v>
      </c>
      <c r="E154" s="38" t="s">
        <v>1510</v>
      </c>
      <c r="F154" s="52">
        <v>6.0</v>
      </c>
      <c r="G154" s="52">
        <v>71400.0</v>
      </c>
      <c r="H154" s="52">
        <v>7140.0</v>
      </c>
    </row>
    <row r="155" ht="15.75" hidden="1" customHeight="1">
      <c r="A155" s="38" t="s">
        <v>93</v>
      </c>
      <c r="B155" s="38" t="s">
        <v>186</v>
      </c>
      <c r="C155" s="38" t="s">
        <v>1511</v>
      </c>
      <c r="D155" s="38" t="s">
        <v>1512</v>
      </c>
      <c r="E155" s="38" t="s">
        <v>1513</v>
      </c>
      <c r="F155" s="52">
        <v>116.0</v>
      </c>
      <c r="G155" s="52">
        <v>3483700.0</v>
      </c>
      <c r="H155" s="52">
        <v>321380.0</v>
      </c>
    </row>
    <row r="156" ht="15.75" hidden="1" customHeight="1">
      <c r="A156" s="38" t="s">
        <v>93</v>
      </c>
      <c r="B156" s="38" t="s">
        <v>186</v>
      </c>
      <c r="C156" s="38" t="s">
        <v>1511</v>
      </c>
      <c r="D156" s="38" t="s">
        <v>1512</v>
      </c>
      <c r="E156" s="38" t="s">
        <v>1514</v>
      </c>
      <c r="F156" s="52" t="s">
        <v>1800</v>
      </c>
      <c r="G156" s="52" t="s">
        <v>1800</v>
      </c>
      <c r="H156" s="52" t="s">
        <v>1800</v>
      </c>
    </row>
    <row r="157" ht="15.75" hidden="1" customHeight="1">
      <c r="A157" s="38" t="s">
        <v>93</v>
      </c>
      <c r="B157" s="38" t="s">
        <v>186</v>
      </c>
      <c r="C157" s="38" t="s">
        <v>1511</v>
      </c>
      <c r="D157" s="38" t="s">
        <v>1512</v>
      </c>
      <c r="E157" s="38" t="s">
        <v>1514</v>
      </c>
      <c r="F157" s="52">
        <v>1.0</v>
      </c>
      <c r="G157" s="52">
        <v>60000.0</v>
      </c>
      <c r="H157" s="52" t="s">
        <v>1800</v>
      </c>
    </row>
    <row r="158" ht="15.75" hidden="1" customHeight="1">
      <c r="A158" s="38" t="s">
        <v>93</v>
      </c>
      <c r="B158" s="55" t="s">
        <v>186</v>
      </c>
      <c r="C158" s="38" t="s">
        <v>1511</v>
      </c>
      <c r="D158" s="38" t="s">
        <v>1512</v>
      </c>
      <c r="E158" s="38" t="s">
        <v>1515</v>
      </c>
      <c r="F158" s="52">
        <v>5.0</v>
      </c>
      <c r="G158" s="52">
        <v>165000.0</v>
      </c>
      <c r="H158" s="52" t="s">
        <v>1800</v>
      </c>
      <c r="J158" s="38" t="s">
        <v>117</v>
      </c>
    </row>
    <row r="159" ht="15.75" hidden="1" customHeight="1">
      <c r="A159" s="38" t="s">
        <v>93</v>
      </c>
      <c r="B159" s="38" t="s">
        <v>186</v>
      </c>
      <c r="C159" s="38" t="s">
        <v>1511</v>
      </c>
      <c r="D159" s="38" t="s">
        <v>1512</v>
      </c>
      <c r="E159" s="38" t="s">
        <v>1516</v>
      </c>
      <c r="F159" s="52" t="s">
        <v>1800</v>
      </c>
      <c r="G159" s="52" t="s">
        <v>1800</v>
      </c>
      <c r="H159" s="52" t="s">
        <v>1800</v>
      </c>
    </row>
    <row r="160" ht="15.75" hidden="1" customHeight="1">
      <c r="A160" s="38" t="s">
        <v>93</v>
      </c>
      <c r="B160" s="38" t="s">
        <v>186</v>
      </c>
      <c r="C160" s="38" t="s">
        <v>1511</v>
      </c>
      <c r="D160" s="38" t="s">
        <v>1512</v>
      </c>
      <c r="E160" s="38" t="s">
        <v>1516</v>
      </c>
      <c r="F160" s="52">
        <v>1.0</v>
      </c>
      <c r="G160" s="52">
        <v>43000.0</v>
      </c>
      <c r="H160" s="52" t="s">
        <v>1800</v>
      </c>
    </row>
    <row r="161" ht="15.75" hidden="1" customHeight="1">
      <c r="A161" s="38" t="s">
        <v>93</v>
      </c>
      <c r="B161" s="38" t="s">
        <v>186</v>
      </c>
      <c r="C161" s="38" t="s">
        <v>1511</v>
      </c>
      <c r="D161" s="38" t="s">
        <v>1512</v>
      </c>
      <c r="E161" s="38" t="s">
        <v>1517</v>
      </c>
      <c r="F161" s="52">
        <v>5.0</v>
      </c>
      <c r="G161" s="52">
        <v>400000.0</v>
      </c>
      <c r="H161" s="52" t="s">
        <v>1800</v>
      </c>
    </row>
    <row r="162" ht="15.75" hidden="1" customHeight="1">
      <c r="A162" s="38" t="s">
        <v>93</v>
      </c>
      <c r="B162" s="38" t="s">
        <v>186</v>
      </c>
      <c r="C162" s="38" t="s">
        <v>1511</v>
      </c>
      <c r="D162" s="38" t="s">
        <v>1512</v>
      </c>
      <c r="E162" s="38" t="s">
        <v>1518</v>
      </c>
      <c r="F162" s="52" t="s">
        <v>1800</v>
      </c>
      <c r="G162" s="52" t="s">
        <v>1800</v>
      </c>
      <c r="H162" s="52" t="s">
        <v>1800</v>
      </c>
    </row>
    <row r="163" ht="15.75" hidden="1" customHeight="1">
      <c r="A163" s="38" t="s">
        <v>93</v>
      </c>
      <c r="B163" s="38" t="s">
        <v>186</v>
      </c>
      <c r="C163" s="38" t="s">
        <v>1511</v>
      </c>
      <c r="D163" s="38" t="s">
        <v>1512</v>
      </c>
      <c r="E163" s="38" t="s">
        <v>1519</v>
      </c>
      <c r="F163" s="52" t="s">
        <v>1800</v>
      </c>
      <c r="G163" s="52" t="s">
        <v>1800</v>
      </c>
      <c r="H163" s="52" t="s">
        <v>1800</v>
      </c>
    </row>
    <row r="164" ht="15.75" hidden="1" customHeight="1">
      <c r="A164" s="38" t="s">
        <v>93</v>
      </c>
      <c r="B164" s="38" t="s">
        <v>186</v>
      </c>
      <c r="C164" s="38" t="s">
        <v>1520</v>
      </c>
      <c r="D164" s="38" t="s">
        <v>1521</v>
      </c>
      <c r="E164" s="38" t="s">
        <v>1522</v>
      </c>
      <c r="F164" s="52">
        <v>4.0</v>
      </c>
      <c r="G164" s="52">
        <v>120000.0</v>
      </c>
      <c r="H164" s="52">
        <v>12000.0</v>
      </c>
    </row>
    <row r="165" ht="15.75" hidden="1" customHeight="1">
      <c r="A165" s="38" t="s">
        <v>93</v>
      </c>
      <c r="B165" s="38" t="s">
        <v>117</v>
      </c>
      <c r="C165" s="38" t="s">
        <v>1520</v>
      </c>
      <c r="D165" s="38" t="s">
        <v>1521</v>
      </c>
      <c r="E165" s="38" t="s">
        <v>1523</v>
      </c>
      <c r="F165" s="52">
        <v>320.0</v>
      </c>
      <c r="G165" s="52">
        <v>5967100.0</v>
      </c>
      <c r="H165" s="52">
        <v>464820.0</v>
      </c>
    </row>
    <row r="166" ht="15.75" hidden="1" customHeight="1">
      <c r="A166" s="38" t="s">
        <v>93</v>
      </c>
      <c r="B166" s="38" t="s">
        <v>117</v>
      </c>
      <c r="C166" s="38" t="s">
        <v>1524</v>
      </c>
      <c r="D166" s="38" t="s">
        <v>1525</v>
      </c>
      <c r="E166" s="38" t="s">
        <v>1526</v>
      </c>
      <c r="F166" s="52">
        <v>100.0</v>
      </c>
      <c r="G166" s="52">
        <v>1200200.0</v>
      </c>
      <c r="H166" s="52">
        <v>2700.0</v>
      </c>
    </row>
    <row r="167" ht="15.75" hidden="1" customHeight="1">
      <c r="A167" s="38" t="s">
        <v>93</v>
      </c>
      <c r="B167" s="38" t="s">
        <v>117</v>
      </c>
      <c r="C167" s="38" t="s">
        <v>1527</v>
      </c>
      <c r="D167" s="38" t="s">
        <v>1528</v>
      </c>
      <c r="E167" s="38" t="s">
        <v>1529</v>
      </c>
      <c r="F167" s="52">
        <v>16.0</v>
      </c>
      <c r="G167" s="52">
        <v>488000.0</v>
      </c>
      <c r="H167" s="52" t="s">
        <v>1800</v>
      </c>
    </row>
    <row r="168" ht="15.75" hidden="1" customHeight="1">
      <c r="A168" s="38" t="s">
        <v>93</v>
      </c>
      <c r="B168" s="38" t="s">
        <v>117</v>
      </c>
      <c r="C168" s="38" t="s">
        <v>1527</v>
      </c>
      <c r="D168" s="38" t="s">
        <v>1528</v>
      </c>
      <c r="E168" s="38" t="s">
        <v>1530</v>
      </c>
      <c r="F168" s="52">
        <v>9.0</v>
      </c>
      <c r="G168" s="52">
        <v>232200.0</v>
      </c>
      <c r="H168" s="52" t="s">
        <v>1800</v>
      </c>
    </row>
    <row r="169" ht="15.75" hidden="1" customHeight="1">
      <c r="A169" s="38" t="s">
        <v>93</v>
      </c>
      <c r="B169" s="38" t="s">
        <v>117</v>
      </c>
      <c r="C169" s="38" t="s">
        <v>1527</v>
      </c>
      <c r="D169" s="38" t="s">
        <v>1528</v>
      </c>
      <c r="E169" s="38" t="s">
        <v>1531</v>
      </c>
      <c r="F169" s="52">
        <v>2950.0</v>
      </c>
      <c r="G169" s="52">
        <v>6.17642E7</v>
      </c>
      <c r="H169" s="52">
        <v>3306380.0</v>
      </c>
    </row>
    <row r="170" ht="15.75" hidden="1" customHeight="1">
      <c r="A170" s="38" t="s">
        <v>93</v>
      </c>
      <c r="B170" s="38" t="s">
        <v>117</v>
      </c>
      <c r="C170" s="38" t="s">
        <v>1527</v>
      </c>
      <c r="D170" s="38" t="s">
        <v>1528</v>
      </c>
      <c r="E170" s="38" t="s">
        <v>1532</v>
      </c>
      <c r="F170" s="52">
        <v>9.0</v>
      </c>
      <c r="G170" s="52">
        <v>272500.0</v>
      </c>
      <c r="H170" s="52" t="s">
        <v>1800</v>
      </c>
    </row>
    <row r="171" ht="15.75" hidden="1" customHeight="1">
      <c r="A171" s="38" t="s">
        <v>93</v>
      </c>
      <c r="B171" s="38" t="s">
        <v>117</v>
      </c>
      <c r="C171" s="38" t="s">
        <v>1527</v>
      </c>
      <c r="D171" s="38" t="s">
        <v>1528</v>
      </c>
      <c r="E171" s="38" t="s">
        <v>1533</v>
      </c>
      <c r="F171" s="52">
        <v>7.0</v>
      </c>
      <c r="G171" s="52">
        <v>232300.0</v>
      </c>
      <c r="H171" s="52" t="s">
        <v>1800</v>
      </c>
    </row>
    <row r="172" ht="15.75" hidden="1" customHeight="1">
      <c r="A172" s="38" t="s">
        <v>93</v>
      </c>
      <c r="B172" s="38" t="s">
        <v>117</v>
      </c>
      <c r="C172" s="38" t="s">
        <v>1527</v>
      </c>
      <c r="D172" s="38" t="s">
        <v>1528</v>
      </c>
      <c r="E172" s="38" t="s">
        <v>1534</v>
      </c>
      <c r="F172" s="52">
        <v>1.0</v>
      </c>
      <c r="G172" s="52">
        <v>37500.0</v>
      </c>
      <c r="H172" s="52" t="s">
        <v>1800</v>
      </c>
    </row>
    <row r="173" ht="15.75" hidden="1" customHeight="1">
      <c r="A173" s="38" t="s">
        <v>93</v>
      </c>
      <c r="B173" s="38" t="s">
        <v>117</v>
      </c>
      <c r="C173" s="38" t="s">
        <v>1527</v>
      </c>
      <c r="D173" s="38" t="s">
        <v>1528</v>
      </c>
      <c r="E173" s="38" t="s">
        <v>1535</v>
      </c>
      <c r="F173" s="52">
        <v>1197.0</v>
      </c>
      <c r="G173" s="52">
        <v>2.81911E7</v>
      </c>
      <c r="H173" s="52">
        <v>1560400.0</v>
      </c>
    </row>
    <row r="174" ht="15.75" hidden="1" customHeight="1">
      <c r="A174" s="38" t="s">
        <v>93</v>
      </c>
      <c r="B174" s="38" t="s">
        <v>117</v>
      </c>
      <c r="C174" s="38" t="s">
        <v>1527</v>
      </c>
      <c r="D174" s="38" t="s">
        <v>1528</v>
      </c>
      <c r="E174" s="38" t="s">
        <v>1536</v>
      </c>
      <c r="F174" s="52" t="s">
        <v>1800</v>
      </c>
      <c r="G174" s="52" t="s">
        <v>1800</v>
      </c>
      <c r="H174" s="52" t="s">
        <v>1800</v>
      </c>
    </row>
    <row r="175" ht="15.75" hidden="1" customHeight="1">
      <c r="A175" s="38" t="s">
        <v>93</v>
      </c>
      <c r="B175" s="38" t="s">
        <v>117</v>
      </c>
      <c r="C175" s="38" t="s">
        <v>1527</v>
      </c>
      <c r="D175" s="38" t="s">
        <v>1528</v>
      </c>
      <c r="E175" s="38" t="s">
        <v>1537</v>
      </c>
      <c r="F175" s="52">
        <v>9.0</v>
      </c>
      <c r="G175" s="52">
        <v>319300.0</v>
      </c>
      <c r="H175" s="52" t="s">
        <v>1800</v>
      </c>
    </row>
    <row r="176" ht="15.75" hidden="1" customHeight="1">
      <c r="A176" s="38" t="s">
        <v>93</v>
      </c>
      <c r="B176" s="38" t="s">
        <v>117</v>
      </c>
      <c r="C176" s="38" t="s">
        <v>1538</v>
      </c>
      <c r="D176" s="38" t="s">
        <v>1539</v>
      </c>
      <c r="E176" s="38" t="s">
        <v>1540</v>
      </c>
      <c r="F176" s="52">
        <v>2936.0</v>
      </c>
      <c r="G176" s="52">
        <v>3.451426E7</v>
      </c>
      <c r="H176" s="52">
        <v>3201390.0</v>
      </c>
    </row>
    <row r="177" ht="15.75" hidden="1" customHeight="1">
      <c r="A177" s="38" t="s">
        <v>93</v>
      </c>
      <c r="B177" s="38" t="s">
        <v>186</v>
      </c>
      <c r="C177" s="38" t="s">
        <v>1541</v>
      </c>
      <c r="D177" s="38" t="s">
        <v>1542</v>
      </c>
      <c r="E177" s="38" t="s">
        <v>1543</v>
      </c>
      <c r="F177" s="52">
        <v>14.0</v>
      </c>
      <c r="G177" s="52">
        <v>316000.0</v>
      </c>
      <c r="H177" s="52">
        <v>31600.0</v>
      </c>
    </row>
    <row r="178" ht="15.75" hidden="1" customHeight="1">
      <c r="A178" s="38" t="s">
        <v>93</v>
      </c>
      <c r="B178" s="38" t="s">
        <v>117</v>
      </c>
      <c r="C178" s="38" t="s">
        <v>1544</v>
      </c>
      <c r="D178" s="38" t="s">
        <v>1545</v>
      </c>
      <c r="E178" s="38" t="s">
        <v>1546</v>
      </c>
      <c r="F178" s="52">
        <v>179.0</v>
      </c>
      <c r="G178" s="52">
        <v>2827100.0</v>
      </c>
      <c r="H178" s="52" t="s">
        <v>1800</v>
      </c>
    </row>
    <row r="179" ht="15.75" hidden="1" customHeight="1">
      <c r="A179" s="38" t="s">
        <v>93</v>
      </c>
      <c r="B179" s="38" t="s">
        <v>117</v>
      </c>
      <c r="C179" s="38" t="s">
        <v>1544</v>
      </c>
      <c r="D179" s="38" t="s">
        <v>1545</v>
      </c>
      <c r="E179" s="38" t="s">
        <v>1547</v>
      </c>
      <c r="F179" s="52">
        <v>284.0</v>
      </c>
      <c r="G179" s="52">
        <v>5367600.0</v>
      </c>
      <c r="H179" s="52" t="s">
        <v>1800</v>
      </c>
    </row>
    <row r="180" ht="15.75" hidden="1" customHeight="1">
      <c r="A180" s="38" t="s">
        <v>93</v>
      </c>
      <c r="B180" s="38" t="s">
        <v>117</v>
      </c>
      <c r="C180" s="38" t="s">
        <v>1544</v>
      </c>
      <c r="D180" s="38" t="s">
        <v>1545</v>
      </c>
      <c r="E180" s="38" t="s">
        <v>1548</v>
      </c>
      <c r="F180" s="52">
        <v>16.0</v>
      </c>
      <c r="G180" s="52">
        <v>622400.0</v>
      </c>
      <c r="H180" s="52" t="s">
        <v>1800</v>
      </c>
    </row>
    <row r="181" ht="15.75" hidden="1" customHeight="1">
      <c r="A181" s="38" t="s">
        <v>93</v>
      </c>
      <c r="B181" s="38" t="s">
        <v>117</v>
      </c>
      <c r="C181" s="38" t="s">
        <v>1544</v>
      </c>
      <c r="D181" s="38" t="s">
        <v>1545</v>
      </c>
      <c r="E181" s="38" t="s">
        <v>1549</v>
      </c>
      <c r="F181" s="52">
        <v>6.0</v>
      </c>
      <c r="G181" s="52">
        <v>119400.0</v>
      </c>
      <c r="H181" s="52" t="s">
        <v>1800</v>
      </c>
    </row>
    <row r="182" ht="15.75" hidden="1" customHeight="1">
      <c r="A182" s="38" t="s">
        <v>93</v>
      </c>
      <c r="B182" s="38" t="s">
        <v>117</v>
      </c>
      <c r="C182" s="38" t="s">
        <v>1544</v>
      </c>
      <c r="D182" s="38" t="s">
        <v>1545</v>
      </c>
      <c r="E182" s="38" t="s">
        <v>1550</v>
      </c>
      <c r="F182" s="52">
        <v>2.0</v>
      </c>
      <c r="G182" s="52">
        <v>39800.0</v>
      </c>
      <c r="H182" s="52" t="s">
        <v>1800</v>
      </c>
    </row>
    <row r="183" ht="15.75" hidden="1" customHeight="1">
      <c r="A183" s="38" t="s">
        <v>93</v>
      </c>
      <c r="B183" s="38" t="s">
        <v>117</v>
      </c>
      <c r="C183" s="38" t="s">
        <v>1544</v>
      </c>
      <c r="D183" s="38" t="s">
        <v>1545</v>
      </c>
      <c r="E183" s="38" t="s">
        <v>1551</v>
      </c>
      <c r="F183" s="52">
        <v>119.0</v>
      </c>
      <c r="G183" s="52">
        <v>2011100.0</v>
      </c>
      <c r="H183" s="52" t="s">
        <v>1800</v>
      </c>
    </row>
    <row r="184" ht="15.75" hidden="1" customHeight="1">
      <c r="A184" s="38" t="s">
        <v>93</v>
      </c>
      <c r="B184" s="38" t="s">
        <v>117</v>
      </c>
      <c r="C184" s="38" t="s">
        <v>1544</v>
      </c>
      <c r="D184" s="38" t="s">
        <v>1545</v>
      </c>
      <c r="E184" s="38" t="s">
        <v>1552</v>
      </c>
      <c r="F184" s="52">
        <v>6.0</v>
      </c>
      <c r="G184" s="52">
        <v>119400.0</v>
      </c>
      <c r="H184" s="52" t="s">
        <v>1800</v>
      </c>
    </row>
    <row r="185" ht="15.75" hidden="1" customHeight="1">
      <c r="A185" s="38" t="s">
        <v>93</v>
      </c>
      <c r="B185" s="38" t="s">
        <v>117</v>
      </c>
      <c r="C185" s="38" t="s">
        <v>1544</v>
      </c>
      <c r="D185" s="38" t="s">
        <v>1545</v>
      </c>
      <c r="E185" s="38" t="s">
        <v>1553</v>
      </c>
      <c r="F185" s="52">
        <v>1.0</v>
      </c>
      <c r="G185" s="52">
        <v>12900.0</v>
      </c>
      <c r="H185" s="52" t="s">
        <v>1800</v>
      </c>
    </row>
    <row r="186" ht="15.75" hidden="1" customHeight="1">
      <c r="A186" s="38" t="s">
        <v>93</v>
      </c>
      <c r="B186" s="38" t="s">
        <v>117</v>
      </c>
      <c r="C186" s="38" t="s">
        <v>1544</v>
      </c>
      <c r="D186" s="38" t="s">
        <v>1545</v>
      </c>
      <c r="E186" s="38" t="s">
        <v>1554</v>
      </c>
      <c r="F186" s="52">
        <v>2.0</v>
      </c>
      <c r="G186" s="52">
        <v>27800.0</v>
      </c>
      <c r="H186" s="52" t="s">
        <v>1800</v>
      </c>
    </row>
    <row r="187" ht="15.75" hidden="1" customHeight="1">
      <c r="A187" s="38" t="s">
        <v>93</v>
      </c>
      <c r="B187" s="38" t="s">
        <v>117</v>
      </c>
      <c r="C187" s="38" t="s">
        <v>1544</v>
      </c>
      <c r="D187" s="38" t="s">
        <v>1545</v>
      </c>
      <c r="E187" s="38" t="s">
        <v>1555</v>
      </c>
      <c r="F187" s="52">
        <v>1461.0</v>
      </c>
      <c r="G187" s="52">
        <v>2.31069E7</v>
      </c>
      <c r="H187" s="52" t="s">
        <v>1800</v>
      </c>
    </row>
    <row r="188" ht="15.75" hidden="1" customHeight="1">
      <c r="A188" s="38" t="s">
        <v>93</v>
      </c>
      <c r="B188" s="38" t="s">
        <v>117</v>
      </c>
      <c r="C188" s="38" t="s">
        <v>1544</v>
      </c>
      <c r="D188" s="38" t="s">
        <v>1545</v>
      </c>
      <c r="E188" s="38" t="s">
        <v>1556</v>
      </c>
      <c r="F188" s="52">
        <v>18.0</v>
      </c>
      <c r="G188" s="52">
        <v>592200.0</v>
      </c>
      <c r="H188" s="52" t="s">
        <v>1800</v>
      </c>
    </row>
    <row r="189" ht="15.75" hidden="1" customHeight="1">
      <c r="A189" s="38" t="s">
        <v>93</v>
      </c>
      <c r="B189" s="38" t="s">
        <v>117</v>
      </c>
      <c r="C189" s="38" t="s">
        <v>1544</v>
      </c>
      <c r="D189" s="38" t="s">
        <v>1545</v>
      </c>
      <c r="E189" s="38" t="s">
        <v>1557</v>
      </c>
      <c r="F189" s="52">
        <v>2946.0</v>
      </c>
      <c r="G189" s="52">
        <v>5.397301E7</v>
      </c>
      <c r="H189" s="52">
        <v>5022810.0</v>
      </c>
    </row>
    <row r="190" ht="15.75" hidden="1" customHeight="1">
      <c r="A190" s="38" t="s">
        <v>93</v>
      </c>
      <c r="B190" s="38" t="s">
        <v>117</v>
      </c>
      <c r="C190" s="38" t="s">
        <v>1544</v>
      </c>
      <c r="D190" s="38" t="s">
        <v>1545</v>
      </c>
      <c r="E190" s="38" t="s">
        <v>1558</v>
      </c>
      <c r="F190" s="52">
        <v>1.0</v>
      </c>
      <c r="G190" s="52">
        <v>14900.0</v>
      </c>
      <c r="H190" s="52" t="s">
        <v>1800</v>
      </c>
    </row>
    <row r="191" ht="15.75" hidden="1" customHeight="1">
      <c r="A191" s="38" t="s">
        <v>93</v>
      </c>
      <c r="B191" s="38" t="s">
        <v>117</v>
      </c>
      <c r="C191" s="38" t="s">
        <v>1544</v>
      </c>
      <c r="D191" s="38" t="s">
        <v>1545</v>
      </c>
      <c r="E191" s="38" t="s">
        <v>1559</v>
      </c>
      <c r="F191" s="52">
        <v>2.0</v>
      </c>
      <c r="G191" s="52">
        <v>35800.0</v>
      </c>
      <c r="H191" s="52" t="s">
        <v>1800</v>
      </c>
    </row>
    <row r="192" ht="15.75" hidden="1" customHeight="1">
      <c r="A192" s="38" t="s">
        <v>93</v>
      </c>
      <c r="B192" s="38" t="s">
        <v>117</v>
      </c>
      <c r="C192" s="38" t="s">
        <v>1544</v>
      </c>
      <c r="D192" s="38" t="s">
        <v>1545</v>
      </c>
      <c r="E192" s="38" t="s">
        <v>1560</v>
      </c>
      <c r="F192" s="52">
        <v>519.0</v>
      </c>
      <c r="G192" s="52">
        <v>8180100.0</v>
      </c>
      <c r="H192" s="52" t="s">
        <v>1800</v>
      </c>
    </row>
    <row r="193" ht="15.75" hidden="1" customHeight="1">
      <c r="A193" s="38" t="s">
        <v>93</v>
      </c>
      <c r="B193" s="38" t="s">
        <v>117</v>
      </c>
      <c r="C193" s="38" t="s">
        <v>1544</v>
      </c>
      <c r="D193" s="38" t="s">
        <v>1545</v>
      </c>
      <c r="E193" s="38" t="s">
        <v>1561</v>
      </c>
      <c r="F193" s="52">
        <v>98.0</v>
      </c>
      <c r="G193" s="52">
        <v>1180900.0</v>
      </c>
      <c r="H193" s="52" t="s">
        <v>1800</v>
      </c>
    </row>
    <row r="194" ht="15.75" hidden="1" customHeight="1">
      <c r="A194" s="38" t="s">
        <v>93</v>
      </c>
      <c r="B194" s="38" t="s">
        <v>117</v>
      </c>
      <c r="C194" s="38" t="s">
        <v>1544</v>
      </c>
      <c r="D194" s="38" t="s">
        <v>1545</v>
      </c>
      <c r="E194" s="38" t="s">
        <v>1562</v>
      </c>
      <c r="F194" s="52">
        <v>4.0</v>
      </c>
      <c r="G194" s="52">
        <v>151600.0</v>
      </c>
      <c r="H194" s="52" t="s">
        <v>1800</v>
      </c>
    </row>
    <row r="195" ht="15.75" hidden="1" customHeight="1">
      <c r="A195" s="38" t="s">
        <v>93</v>
      </c>
      <c r="B195" s="38" t="s">
        <v>117</v>
      </c>
      <c r="C195" s="38" t="s">
        <v>1544</v>
      </c>
      <c r="D195" s="38" t="s">
        <v>1545</v>
      </c>
      <c r="E195" s="38" t="s">
        <v>1563</v>
      </c>
      <c r="F195" s="52">
        <v>2.0</v>
      </c>
      <c r="G195" s="52">
        <v>71800.0</v>
      </c>
      <c r="H195" s="52" t="s">
        <v>1800</v>
      </c>
    </row>
    <row r="196" ht="15.75" hidden="1" customHeight="1">
      <c r="A196" s="38" t="s">
        <v>93</v>
      </c>
      <c r="B196" s="38" t="s">
        <v>117</v>
      </c>
      <c r="C196" s="38" t="s">
        <v>1544</v>
      </c>
      <c r="D196" s="38" t="s">
        <v>1545</v>
      </c>
      <c r="E196" s="38" t="s">
        <v>1564</v>
      </c>
      <c r="F196" s="52">
        <v>9.0</v>
      </c>
      <c r="G196" s="52">
        <v>206100.0</v>
      </c>
      <c r="H196" s="52" t="s">
        <v>1800</v>
      </c>
    </row>
    <row r="197" ht="15.75" hidden="1" customHeight="1">
      <c r="A197" s="38" t="s">
        <v>93</v>
      </c>
      <c r="B197" s="38" t="s">
        <v>117</v>
      </c>
      <c r="C197" s="38" t="s">
        <v>1544</v>
      </c>
      <c r="D197" s="38" t="s">
        <v>1545</v>
      </c>
      <c r="E197" s="38" t="s">
        <v>1551</v>
      </c>
      <c r="F197" s="52">
        <v>18.0</v>
      </c>
      <c r="G197" s="52">
        <v>358200.0</v>
      </c>
      <c r="H197" s="52" t="s">
        <v>1800</v>
      </c>
    </row>
    <row r="198" ht="15.75" hidden="1" customHeight="1">
      <c r="A198" s="38" t="s">
        <v>93</v>
      </c>
      <c r="B198" s="38" t="s">
        <v>117</v>
      </c>
      <c r="C198" s="38" t="s">
        <v>1544</v>
      </c>
      <c r="D198" s="38" t="s">
        <v>1545</v>
      </c>
      <c r="E198" s="38" t="s">
        <v>1565</v>
      </c>
      <c r="F198" s="52">
        <v>295.0</v>
      </c>
      <c r="G198" s="52">
        <v>5605000.0</v>
      </c>
      <c r="H198" s="52" t="s">
        <v>1800</v>
      </c>
    </row>
    <row r="199" ht="15.75" hidden="1" customHeight="1">
      <c r="A199" s="38" t="s">
        <v>93</v>
      </c>
      <c r="B199" s="38" t="s">
        <v>174</v>
      </c>
      <c r="C199" s="38" t="s">
        <v>1566</v>
      </c>
      <c r="D199" s="38" t="s">
        <v>1567</v>
      </c>
      <c r="E199" s="38" t="s">
        <v>1568</v>
      </c>
      <c r="F199" s="52">
        <v>24.0</v>
      </c>
      <c r="G199" s="52">
        <v>735600.0</v>
      </c>
      <c r="H199" s="52">
        <v>42210.0</v>
      </c>
    </row>
    <row r="200" ht="15.75" hidden="1" customHeight="1">
      <c r="A200" s="38" t="s">
        <v>93</v>
      </c>
      <c r="B200" s="38" t="s">
        <v>186</v>
      </c>
      <c r="C200" s="38" t="s">
        <v>1569</v>
      </c>
      <c r="D200" s="38" t="s">
        <v>1570</v>
      </c>
      <c r="E200" s="38" t="s">
        <v>1571</v>
      </c>
      <c r="F200" s="52" t="s">
        <v>1800</v>
      </c>
      <c r="G200" s="52" t="s">
        <v>1800</v>
      </c>
      <c r="H200" s="52" t="s">
        <v>1800</v>
      </c>
    </row>
    <row r="201" ht="15.75" hidden="1" customHeight="1">
      <c r="A201" s="38" t="s">
        <v>93</v>
      </c>
      <c r="B201" s="38" t="s">
        <v>186</v>
      </c>
      <c r="C201" s="38" t="s">
        <v>1569</v>
      </c>
      <c r="D201" s="38" t="s">
        <v>1570</v>
      </c>
      <c r="E201" s="38" t="s">
        <v>1572</v>
      </c>
      <c r="F201" s="52" t="s">
        <v>1800</v>
      </c>
      <c r="G201" s="52" t="s">
        <v>1800</v>
      </c>
      <c r="H201" s="52" t="s">
        <v>1800</v>
      </c>
    </row>
    <row r="202" ht="15.75" hidden="1" customHeight="1">
      <c r="A202" s="38" t="s">
        <v>93</v>
      </c>
      <c r="B202" s="38" t="s">
        <v>186</v>
      </c>
      <c r="C202" s="38" t="s">
        <v>1569</v>
      </c>
      <c r="D202" s="38" t="s">
        <v>1570</v>
      </c>
      <c r="E202" s="38" t="s">
        <v>1573</v>
      </c>
      <c r="F202" s="52" t="s">
        <v>1800</v>
      </c>
      <c r="G202" s="52" t="s">
        <v>1800</v>
      </c>
      <c r="H202" s="52" t="s">
        <v>1800</v>
      </c>
    </row>
    <row r="203" ht="15.75" hidden="1" customHeight="1">
      <c r="A203" s="38" t="s">
        <v>93</v>
      </c>
      <c r="B203" s="38" t="s">
        <v>186</v>
      </c>
      <c r="C203" s="38" t="s">
        <v>1569</v>
      </c>
      <c r="D203" s="38" t="s">
        <v>1570</v>
      </c>
      <c r="E203" s="38" t="s">
        <v>1574</v>
      </c>
      <c r="F203" s="52" t="s">
        <v>1800</v>
      </c>
      <c r="G203" s="52" t="s">
        <v>1800</v>
      </c>
      <c r="H203" s="52" t="s">
        <v>1800</v>
      </c>
    </row>
    <row r="204" ht="15.75" hidden="1" customHeight="1">
      <c r="A204" s="38" t="s">
        <v>93</v>
      </c>
      <c r="B204" s="38" t="s">
        <v>186</v>
      </c>
      <c r="C204" s="38" t="s">
        <v>1569</v>
      </c>
      <c r="D204" s="38" t="s">
        <v>1570</v>
      </c>
      <c r="E204" s="38" t="s">
        <v>1575</v>
      </c>
      <c r="F204" s="52" t="s">
        <v>1800</v>
      </c>
      <c r="G204" s="52" t="s">
        <v>1800</v>
      </c>
      <c r="H204" s="52" t="s">
        <v>1800</v>
      </c>
    </row>
    <row r="205" ht="15.75" hidden="1" customHeight="1">
      <c r="A205" s="38" t="s">
        <v>93</v>
      </c>
      <c r="B205" s="38" t="s">
        <v>117</v>
      </c>
      <c r="C205" s="38" t="s">
        <v>1576</v>
      </c>
      <c r="D205" s="38" t="s">
        <v>1577</v>
      </c>
      <c r="E205" s="38" t="s">
        <v>1578</v>
      </c>
      <c r="F205" s="52">
        <v>28.0</v>
      </c>
      <c r="G205" s="52">
        <v>700000.0</v>
      </c>
      <c r="H205" s="52">
        <v>31600.0</v>
      </c>
    </row>
    <row r="206" ht="15.75" hidden="1" customHeight="1">
      <c r="A206" s="38" t="s">
        <v>93</v>
      </c>
      <c r="B206" s="38" t="s">
        <v>117</v>
      </c>
      <c r="C206" s="38" t="s">
        <v>1576</v>
      </c>
      <c r="D206" s="38" t="s">
        <v>1577</v>
      </c>
      <c r="E206" s="38" t="s">
        <v>1579</v>
      </c>
      <c r="F206" s="52">
        <v>11.0</v>
      </c>
      <c r="G206" s="52">
        <v>165000.0</v>
      </c>
      <c r="H206" s="52">
        <v>7110.0</v>
      </c>
    </row>
    <row r="207" ht="15.75" hidden="1" customHeight="1">
      <c r="A207" s="38" t="s">
        <v>93</v>
      </c>
      <c r="B207" s="38" t="s">
        <v>186</v>
      </c>
      <c r="C207" s="38" t="s">
        <v>1580</v>
      </c>
      <c r="D207" s="38" t="s">
        <v>1581</v>
      </c>
      <c r="E207" s="38" t="s">
        <v>1582</v>
      </c>
      <c r="F207" s="52">
        <v>21.0</v>
      </c>
      <c r="G207" s="52">
        <v>598500.0</v>
      </c>
      <c r="H207" s="52">
        <v>54200.0</v>
      </c>
    </row>
    <row r="208" ht="15.75" hidden="1" customHeight="1">
      <c r="A208" s="38" t="s">
        <v>93</v>
      </c>
      <c r="B208" s="38" t="s">
        <v>186</v>
      </c>
      <c r="C208" s="38" t="s">
        <v>1580</v>
      </c>
      <c r="D208" s="38" t="s">
        <v>1581</v>
      </c>
      <c r="E208" s="38" t="s">
        <v>1583</v>
      </c>
      <c r="F208" s="52">
        <v>2.0</v>
      </c>
      <c r="G208" s="52">
        <v>55600.0</v>
      </c>
      <c r="H208" s="52">
        <v>10000.0</v>
      </c>
    </row>
    <row r="209" ht="15.75" hidden="1" customHeight="1">
      <c r="A209" s="38" t="s">
        <v>93</v>
      </c>
      <c r="B209" s="38" t="s">
        <v>186</v>
      </c>
      <c r="C209" s="38" t="s">
        <v>1580</v>
      </c>
      <c r="D209" s="38" t="s">
        <v>1581</v>
      </c>
      <c r="E209" s="38" t="s">
        <v>1584</v>
      </c>
      <c r="F209" s="52">
        <v>4.0</v>
      </c>
      <c r="G209" s="52">
        <v>219600.0</v>
      </c>
      <c r="H209" s="52">
        <v>20000.0</v>
      </c>
    </row>
    <row r="210" ht="15.75" hidden="1" customHeight="1">
      <c r="A210" s="38" t="s">
        <v>93</v>
      </c>
      <c r="B210" s="38" t="s">
        <v>186</v>
      </c>
      <c r="C210" s="38" t="s">
        <v>1580</v>
      </c>
      <c r="D210" s="38" t="s">
        <v>1581</v>
      </c>
      <c r="E210" s="38" t="s">
        <v>1585</v>
      </c>
      <c r="F210" s="52" t="s">
        <v>1800</v>
      </c>
      <c r="G210" s="52" t="s">
        <v>1800</v>
      </c>
      <c r="H210" s="52" t="s">
        <v>1800</v>
      </c>
    </row>
    <row r="211" ht="15.75" hidden="1" customHeight="1">
      <c r="A211" s="38" t="s">
        <v>93</v>
      </c>
      <c r="B211" s="38" t="s">
        <v>186</v>
      </c>
      <c r="C211" s="38" t="s">
        <v>1580</v>
      </c>
      <c r="D211" s="38" t="s">
        <v>1581</v>
      </c>
      <c r="E211" s="38" t="s">
        <v>1586</v>
      </c>
      <c r="F211" s="52">
        <v>2.0</v>
      </c>
      <c r="G211" s="52">
        <v>51800.0</v>
      </c>
      <c r="H211" s="52">
        <v>5180.0</v>
      </c>
    </row>
    <row r="212" ht="15.75" hidden="1" customHeight="1">
      <c r="A212" s="38" t="s">
        <v>93</v>
      </c>
      <c r="B212" s="38" t="s">
        <v>186</v>
      </c>
      <c r="C212" s="38" t="s">
        <v>1580</v>
      </c>
      <c r="D212" s="38" t="s">
        <v>1581</v>
      </c>
      <c r="E212" s="38" t="s">
        <v>1587</v>
      </c>
      <c r="F212" s="52">
        <v>530.0</v>
      </c>
      <c r="G212" s="52">
        <v>7912000.0</v>
      </c>
      <c r="H212" s="52">
        <v>433560.0</v>
      </c>
    </row>
    <row r="213" ht="15.75" hidden="1" customHeight="1">
      <c r="A213" s="38" t="s">
        <v>93</v>
      </c>
      <c r="B213" s="38" t="s">
        <v>186</v>
      </c>
      <c r="C213" s="38" t="s">
        <v>1580</v>
      </c>
      <c r="D213" s="38" t="s">
        <v>1581</v>
      </c>
      <c r="E213" s="38" t="s">
        <v>1588</v>
      </c>
      <c r="F213" s="52" t="s">
        <v>1800</v>
      </c>
      <c r="G213" s="52" t="s">
        <v>1800</v>
      </c>
      <c r="H213" s="52" t="s">
        <v>1800</v>
      </c>
    </row>
    <row r="214" ht="15.75" hidden="1" customHeight="1">
      <c r="A214" s="38" t="s">
        <v>93</v>
      </c>
      <c r="B214" s="38" t="s">
        <v>186</v>
      </c>
      <c r="C214" s="38" t="s">
        <v>1580</v>
      </c>
      <c r="D214" s="38" t="s">
        <v>1581</v>
      </c>
      <c r="E214" s="38" t="s">
        <v>1589</v>
      </c>
      <c r="F214" s="52" t="s">
        <v>1800</v>
      </c>
      <c r="G214" s="52" t="s">
        <v>1800</v>
      </c>
      <c r="H214" s="52" t="s">
        <v>1800</v>
      </c>
    </row>
    <row r="215" ht="15.75" hidden="1" customHeight="1">
      <c r="A215" s="38" t="s">
        <v>93</v>
      </c>
      <c r="B215" s="38" t="s">
        <v>186</v>
      </c>
      <c r="C215" s="38" t="s">
        <v>1580</v>
      </c>
      <c r="D215" s="38" t="s">
        <v>1581</v>
      </c>
      <c r="E215" s="38" t="s">
        <v>1592</v>
      </c>
      <c r="F215" s="52" t="s">
        <v>1800</v>
      </c>
      <c r="G215" s="52" t="s">
        <v>1800</v>
      </c>
      <c r="H215" s="52" t="s">
        <v>1800</v>
      </c>
    </row>
    <row r="216" ht="15.75" hidden="1" customHeight="1">
      <c r="A216" s="38" t="s">
        <v>93</v>
      </c>
      <c r="B216" s="38" t="s">
        <v>186</v>
      </c>
      <c r="C216" s="38" t="s">
        <v>1580</v>
      </c>
      <c r="D216" s="38" t="s">
        <v>1581</v>
      </c>
      <c r="E216" s="38" t="s">
        <v>1593</v>
      </c>
      <c r="F216" s="52">
        <v>1.0</v>
      </c>
      <c r="G216" s="52">
        <v>84900.0</v>
      </c>
      <c r="H216" s="52" t="s">
        <v>1800</v>
      </c>
    </row>
    <row r="217" ht="15.75" hidden="1" customHeight="1">
      <c r="A217" s="38" t="s">
        <v>93</v>
      </c>
      <c r="B217" s="38" t="s">
        <v>186</v>
      </c>
      <c r="C217" s="38" t="s">
        <v>1580</v>
      </c>
      <c r="D217" s="38" t="s">
        <v>1581</v>
      </c>
      <c r="E217" s="38" t="s">
        <v>1594</v>
      </c>
      <c r="F217" s="52" t="s">
        <v>1800</v>
      </c>
      <c r="G217" s="52" t="s">
        <v>1800</v>
      </c>
      <c r="H217" s="52" t="s">
        <v>1800</v>
      </c>
    </row>
    <row r="218" ht="15.75" hidden="1" customHeight="1">
      <c r="A218" s="38" t="s">
        <v>93</v>
      </c>
      <c r="B218" s="38" t="s">
        <v>186</v>
      </c>
      <c r="C218" s="38" t="s">
        <v>1281</v>
      </c>
      <c r="D218" s="38" t="s">
        <v>1279</v>
      </c>
      <c r="E218" s="38" t="s">
        <v>1595</v>
      </c>
      <c r="F218" s="52" t="s">
        <v>1800</v>
      </c>
      <c r="G218" s="52" t="s">
        <v>1800</v>
      </c>
      <c r="H218" s="52" t="s">
        <v>1800</v>
      </c>
    </row>
    <row r="219" ht="15.75" hidden="1" customHeight="1">
      <c r="A219" s="38" t="s">
        <v>93</v>
      </c>
      <c r="B219" s="38" t="s">
        <v>186</v>
      </c>
      <c r="C219" s="38" t="s">
        <v>1281</v>
      </c>
      <c r="D219" s="38" t="s">
        <v>1279</v>
      </c>
      <c r="E219" s="38" t="s">
        <v>1596</v>
      </c>
      <c r="F219" s="52" t="s">
        <v>1800</v>
      </c>
      <c r="G219" s="52" t="s">
        <v>1800</v>
      </c>
      <c r="H219" s="52" t="s">
        <v>1800</v>
      </c>
    </row>
    <row r="220" ht="15.75" hidden="1" customHeight="1">
      <c r="A220" s="38" t="s">
        <v>93</v>
      </c>
      <c r="B220" s="38" t="s">
        <v>186</v>
      </c>
      <c r="C220" s="38" t="s">
        <v>1281</v>
      </c>
      <c r="D220" s="38" t="s">
        <v>1279</v>
      </c>
      <c r="E220" s="38" t="s">
        <v>1597</v>
      </c>
      <c r="F220" s="52">
        <v>30.0</v>
      </c>
      <c r="G220" s="52">
        <v>690000.0</v>
      </c>
      <c r="H220" s="52">
        <v>10000.0</v>
      </c>
    </row>
    <row r="221" ht="15.75" hidden="1" customHeight="1">
      <c r="A221" s="38" t="s">
        <v>93</v>
      </c>
      <c r="B221" s="38" t="s">
        <v>186</v>
      </c>
      <c r="C221" s="38" t="s">
        <v>1281</v>
      </c>
      <c r="D221" s="38" t="s">
        <v>1279</v>
      </c>
      <c r="E221" s="38" t="s">
        <v>1598</v>
      </c>
      <c r="F221" s="52" t="s">
        <v>1800</v>
      </c>
      <c r="G221" s="52" t="s">
        <v>1800</v>
      </c>
      <c r="H221" s="52" t="s">
        <v>1800</v>
      </c>
    </row>
    <row r="222" ht="15.75" hidden="1" customHeight="1">
      <c r="A222" s="38" t="s">
        <v>93</v>
      </c>
      <c r="B222" s="38" t="s">
        <v>186</v>
      </c>
      <c r="C222" s="38" t="s">
        <v>1599</v>
      </c>
      <c r="D222" s="38" t="s">
        <v>1600</v>
      </c>
      <c r="E222" s="38" t="s">
        <v>1601</v>
      </c>
      <c r="F222" s="52" t="s">
        <v>1800</v>
      </c>
      <c r="G222" s="52" t="s">
        <v>1800</v>
      </c>
      <c r="H222" s="52" t="s">
        <v>1800</v>
      </c>
    </row>
    <row r="223" ht="15.75" hidden="1" customHeight="1">
      <c r="A223" s="38" t="s">
        <v>93</v>
      </c>
      <c r="B223" s="38" t="s">
        <v>186</v>
      </c>
      <c r="C223" s="38" t="s">
        <v>1599</v>
      </c>
      <c r="D223" s="38" t="s">
        <v>1600</v>
      </c>
      <c r="E223" s="38" t="s">
        <v>1602</v>
      </c>
      <c r="F223" s="52">
        <v>4.0</v>
      </c>
      <c r="G223" s="52">
        <v>107600.0</v>
      </c>
      <c r="H223" s="52" t="s">
        <v>1800</v>
      </c>
    </row>
    <row r="224" ht="15.75" hidden="1" customHeight="1">
      <c r="A224" s="38" t="s">
        <v>93</v>
      </c>
      <c r="B224" s="38" t="s">
        <v>186</v>
      </c>
      <c r="C224" s="38" t="s">
        <v>1599</v>
      </c>
      <c r="D224" s="38" t="s">
        <v>1600</v>
      </c>
      <c r="E224" s="38" t="s">
        <v>1603</v>
      </c>
      <c r="F224" s="52">
        <v>26.0</v>
      </c>
      <c r="G224" s="52">
        <v>983400.0</v>
      </c>
      <c r="H224" s="52">
        <v>32140.0</v>
      </c>
    </row>
    <row r="225" ht="15.75" hidden="1" customHeight="1">
      <c r="A225" s="38" t="s">
        <v>93</v>
      </c>
      <c r="B225" s="38" t="s">
        <v>186</v>
      </c>
      <c r="C225" s="38" t="s">
        <v>1599</v>
      </c>
      <c r="D225" s="38" t="s">
        <v>1600</v>
      </c>
      <c r="E225" s="38" t="s">
        <v>1604</v>
      </c>
      <c r="F225" s="52">
        <v>68.0</v>
      </c>
      <c r="G225" s="52">
        <v>2752900.0</v>
      </c>
      <c r="H225" s="52">
        <v>70000.0</v>
      </c>
    </row>
    <row r="226" ht="15.75" hidden="1" customHeight="1">
      <c r="A226" s="38" t="s">
        <v>93</v>
      </c>
      <c r="B226" s="38" t="s">
        <v>186</v>
      </c>
      <c r="C226" s="38" t="s">
        <v>1599</v>
      </c>
      <c r="D226" s="38" t="s">
        <v>1600</v>
      </c>
      <c r="E226" s="38" t="s">
        <v>1605</v>
      </c>
      <c r="F226" s="52" t="s">
        <v>1800</v>
      </c>
      <c r="G226" s="52" t="s">
        <v>1800</v>
      </c>
      <c r="H226" s="52" t="s">
        <v>1800</v>
      </c>
    </row>
    <row r="227" ht="15.75" hidden="1" customHeight="1">
      <c r="A227" s="38" t="s">
        <v>93</v>
      </c>
      <c r="B227" s="38" t="s">
        <v>186</v>
      </c>
      <c r="C227" s="38" t="s">
        <v>1599</v>
      </c>
      <c r="D227" s="38" t="s">
        <v>1600</v>
      </c>
      <c r="E227" s="38" t="s">
        <v>1606</v>
      </c>
      <c r="F227" s="52" t="s">
        <v>1800</v>
      </c>
      <c r="G227" s="52" t="s">
        <v>1800</v>
      </c>
      <c r="H227" s="52" t="s">
        <v>1800</v>
      </c>
    </row>
    <row r="228" ht="15.75" hidden="1" customHeight="1">
      <c r="A228" s="38" t="s">
        <v>93</v>
      </c>
      <c r="B228" s="38" t="s">
        <v>186</v>
      </c>
      <c r="C228" s="38" t="s">
        <v>1599</v>
      </c>
      <c r="D228" s="38" t="s">
        <v>1600</v>
      </c>
      <c r="E228" s="38" t="s">
        <v>1607</v>
      </c>
      <c r="F228" s="52">
        <v>1.0</v>
      </c>
      <c r="G228" s="52">
        <v>40900.0</v>
      </c>
      <c r="H228" s="52" t="s">
        <v>1800</v>
      </c>
    </row>
    <row r="229" ht="15.75" hidden="1" customHeight="1">
      <c r="A229" s="38" t="s">
        <v>93</v>
      </c>
      <c r="B229" s="38" t="s">
        <v>186</v>
      </c>
      <c r="C229" s="38" t="s">
        <v>1599</v>
      </c>
      <c r="D229" s="38" t="s">
        <v>1600</v>
      </c>
      <c r="E229" s="38" t="s">
        <v>1608</v>
      </c>
      <c r="F229" s="52" t="s">
        <v>1800</v>
      </c>
      <c r="G229" s="52" t="s">
        <v>1800</v>
      </c>
      <c r="H229" s="52" t="s">
        <v>1800</v>
      </c>
    </row>
    <row r="230" ht="15.75" hidden="1" customHeight="1">
      <c r="A230" s="38" t="s">
        <v>93</v>
      </c>
      <c r="B230" s="38" t="s">
        <v>186</v>
      </c>
      <c r="C230" s="38" t="s">
        <v>1599</v>
      </c>
      <c r="D230" s="38" t="s">
        <v>1600</v>
      </c>
      <c r="E230" s="38" t="s">
        <v>1609</v>
      </c>
      <c r="F230" s="52">
        <v>1.0</v>
      </c>
      <c r="G230" s="52">
        <v>36900.0</v>
      </c>
      <c r="H230" s="52" t="s">
        <v>1800</v>
      </c>
    </row>
    <row r="231" ht="15.75" hidden="1" customHeight="1">
      <c r="A231" s="38" t="s">
        <v>93</v>
      </c>
      <c r="B231" s="38" t="s">
        <v>186</v>
      </c>
      <c r="C231" s="38" t="s">
        <v>1599</v>
      </c>
      <c r="D231" s="38" t="s">
        <v>1600</v>
      </c>
      <c r="E231" s="38" t="s">
        <v>1610</v>
      </c>
      <c r="F231" s="52">
        <v>1.0</v>
      </c>
      <c r="G231" s="52">
        <v>49900.0</v>
      </c>
      <c r="H231" s="52" t="s">
        <v>1800</v>
      </c>
    </row>
    <row r="232" ht="15.75" hidden="1" customHeight="1">
      <c r="A232" s="38" t="s">
        <v>93</v>
      </c>
      <c r="B232" s="38" t="s">
        <v>186</v>
      </c>
      <c r="C232" s="38" t="s">
        <v>1599</v>
      </c>
      <c r="D232" s="38" t="s">
        <v>1600</v>
      </c>
      <c r="E232" s="38" t="s">
        <v>1611</v>
      </c>
      <c r="F232" s="52" t="s">
        <v>1800</v>
      </c>
      <c r="G232" s="52" t="s">
        <v>1800</v>
      </c>
      <c r="H232" s="52" t="s">
        <v>1800</v>
      </c>
    </row>
    <row r="233" ht="15.75" hidden="1" customHeight="1">
      <c r="A233" s="38" t="s">
        <v>93</v>
      </c>
      <c r="B233" s="38" t="s">
        <v>186</v>
      </c>
      <c r="C233" s="38" t="s">
        <v>1599</v>
      </c>
      <c r="D233" s="38" t="s">
        <v>1600</v>
      </c>
      <c r="E233" s="38" t="s">
        <v>1612</v>
      </c>
      <c r="F233" s="52" t="s">
        <v>1800</v>
      </c>
      <c r="G233" s="52" t="s">
        <v>1800</v>
      </c>
      <c r="H233" s="52" t="s">
        <v>1800</v>
      </c>
    </row>
    <row r="234" ht="15.75" hidden="1" customHeight="1">
      <c r="A234" s="38" t="s">
        <v>93</v>
      </c>
      <c r="B234" s="38" t="s">
        <v>186</v>
      </c>
      <c r="C234" s="38" t="s">
        <v>1599</v>
      </c>
      <c r="D234" s="38" t="s">
        <v>1600</v>
      </c>
      <c r="E234" s="38" t="s">
        <v>1613</v>
      </c>
      <c r="F234" s="52">
        <v>1.0</v>
      </c>
      <c r="G234" s="52">
        <v>36900.0</v>
      </c>
      <c r="H234" s="52" t="s">
        <v>1800</v>
      </c>
    </row>
    <row r="235" ht="15.75" hidden="1" customHeight="1">
      <c r="A235" s="38" t="s">
        <v>93</v>
      </c>
      <c r="B235" s="38" t="s">
        <v>186</v>
      </c>
      <c r="C235" s="38" t="s">
        <v>1599</v>
      </c>
      <c r="D235" s="38" t="s">
        <v>1600</v>
      </c>
      <c r="E235" s="38" t="s">
        <v>1614</v>
      </c>
      <c r="F235" s="52" t="s">
        <v>1800</v>
      </c>
      <c r="G235" s="52" t="s">
        <v>1800</v>
      </c>
      <c r="H235" s="52" t="s">
        <v>1800</v>
      </c>
    </row>
    <row r="236" ht="15.75" hidden="1" customHeight="1">
      <c r="A236" s="38" t="s">
        <v>93</v>
      </c>
      <c r="B236" s="38" t="s">
        <v>186</v>
      </c>
      <c r="C236" s="38" t="s">
        <v>1599</v>
      </c>
      <c r="D236" s="38" t="s">
        <v>1600</v>
      </c>
      <c r="E236" s="38" t="s">
        <v>1615</v>
      </c>
      <c r="F236" s="52">
        <v>11.0</v>
      </c>
      <c r="G236" s="52">
        <v>195500.0</v>
      </c>
      <c r="H236" s="52">
        <v>3500.0</v>
      </c>
    </row>
    <row r="237" ht="15.75" hidden="1" customHeight="1">
      <c r="A237" s="38" t="s">
        <v>93</v>
      </c>
      <c r="B237" s="38" t="s">
        <v>186</v>
      </c>
      <c r="C237" s="38" t="s">
        <v>1599</v>
      </c>
      <c r="D237" s="38" t="s">
        <v>1600</v>
      </c>
      <c r="E237" s="38" t="s">
        <v>1616</v>
      </c>
      <c r="F237" s="52">
        <v>11.0</v>
      </c>
      <c r="G237" s="52">
        <v>303900.0</v>
      </c>
      <c r="H237" s="52">
        <v>5380.0</v>
      </c>
    </row>
    <row r="238" ht="15.75" hidden="1" customHeight="1">
      <c r="A238" s="38" t="s">
        <v>93</v>
      </c>
      <c r="B238" s="38" t="s">
        <v>186</v>
      </c>
      <c r="C238" s="38" t="s">
        <v>1599</v>
      </c>
      <c r="D238" s="38" t="s">
        <v>1600</v>
      </c>
      <c r="E238" s="38" t="s">
        <v>1617</v>
      </c>
      <c r="F238" s="52">
        <v>114.0</v>
      </c>
      <c r="G238" s="52">
        <v>4542600.0</v>
      </c>
      <c r="H238" s="52">
        <v>140040.0</v>
      </c>
    </row>
    <row r="239" ht="15.75" hidden="1" customHeight="1">
      <c r="A239" s="38" t="s">
        <v>93</v>
      </c>
      <c r="B239" s="38" t="s">
        <v>186</v>
      </c>
      <c r="C239" s="38" t="s">
        <v>1599</v>
      </c>
      <c r="D239" s="38" t="s">
        <v>1600</v>
      </c>
      <c r="E239" s="38" t="s">
        <v>1618</v>
      </c>
      <c r="F239" s="52">
        <v>242.0</v>
      </c>
      <c r="G239" s="52">
        <v>1.13498E7</v>
      </c>
      <c r="H239" s="52">
        <v>697380.0</v>
      </c>
    </row>
    <row r="240" ht="15.75" hidden="1" customHeight="1">
      <c r="A240" s="38" t="s">
        <v>93</v>
      </c>
      <c r="B240" s="38" t="s">
        <v>186</v>
      </c>
      <c r="C240" s="38" t="s">
        <v>1599</v>
      </c>
      <c r="D240" s="38" t="s">
        <v>1600</v>
      </c>
      <c r="E240" s="38" t="s">
        <v>1619</v>
      </c>
      <c r="F240" s="52">
        <v>6.0</v>
      </c>
      <c r="G240" s="52">
        <v>208400.0</v>
      </c>
      <c r="H240" s="52" t="s">
        <v>1800</v>
      </c>
    </row>
    <row r="241" ht="15.75" hidden="1" customHeight="1">
      <c r="A241" s="38" t="s">
        <v>93</v>
      </c>
      <c r="B241" s="38" t="s">
        <v>117</v>
      </c>
      <c r="C241" s="38" t="s">
        <v>1620</v>
      </c>
      <c r="D241" s="38" t="s">
        <v>1621</v>
      </c>
      <c r="E241" s="38" t="s">
        <v>1622</v>
      </c>
      <c r="F241" s="52">
        <v>4348.0</v>
      </c>
      <c r="G241" s="52">
        <v>6.556058E7</v>
      </c>
      <c r="H241" s="52">
        <v>4994140.0</v>
      </c>
    </row>
    <row r="242" ht="15.75" hidden="1" customHeight="1">
      <c r="A242" s="38" t="s">
        <v>93</v>
      </c>
      <c r="B242" s="38" t="s">
        <v>186</v>
      </c>
      <c r="C242" s="38" t="s">
        <v>1623</v>
      </c>
      <c r="D242" s="38" t="s">
        <v>1624</v>
      </c>
      <c r="E242" s="38" t="s">
        <v>1625</v>
      </c>
      <c r="F242" s="52">
        <v>71.0</v>
      </c>
      <c r="G242" s="52">
        <v>780290.0</v>
      </c>
      <c r="H242" s="52">
        <v>63690.0</v>
      </c>
    </row>
    <row r="243" ht="15.75" hidden="1" customHeight="1">
      <c r="A243" s="38" t="s">
        <v>93</v>
      </c>
      <c r="B243" s="38" t="s">
        <v>186</v>
      </c>
      <c r="C243" s="38" t="s">
        <v>1626</v>
      </c>
      <c r="D243" s="38" t="s">
        <v>1627</v>
      </c>
      <c r="E243" s="38" t="s">
        <v>1628</v>
      </c>
      <c r="F243" s="52">
        <v>4478.0</v>
      </c>
      <c r="G243" s="52">
        <v>7.503638E7</v>
      </c>
      <c r="H243" s="52">
        <v>4887830.0</v>
      </c>
    </row>
    <row r="244" ht="15.75" hidden="1" customHeight="1">
      <c r="A244" s="38" t="s">
        <v>93</v>
      </c>
      <c r="B244" s="38" t="s">
        <v>117</v>
      </c>
      <c r="C244" s="38" t="s">
        <v>1343</v>
      </c>
      <c r="D244" s="38" t="s">
        <v>1344</v>
      </c>
      <c r="E244" s="38" t="s">
        <v>1629</v>
      </c>
      <c r="F244" s="52" t="s">
        <v>1800</v>
      </c>
      <c r="G244" s="52" t="s">
        <v>1800</v>
      </c>
      <c r="H244" s="52" t="s">
        <v>1800</v>
      </c>
    </row>
    <row r="245" ht="15.75" hidden="1" customHeight="1">
      <c r="A245" s="38" t="s">
        <v>93</v>
      </c>
      <c r="B245" s="38" t="s">
        <v>117</v>
      </c>
      <c r="C245" s="38" t="s">
        <v>1343</v>
      </c>
      <c r="D245" s="38" t="s">
        <v>1344</v>
      </c>
      <c r="E245" s="38" t="s">
        <v>1630</v>
      </c>
      <c r="F245" s="52" t="s">
        <v>1800</v>
      </c>
      <c r="G245" s="52" t="s">
        <v>1800</v>
      </c>
      <c r="H245" s="52" t="s">
        <v>1800</v>
      </c>
    </row>
    <row r="246" ht="15.75" hidden="1" customHeight="1">
      <c r="A246" s="38" t="s">
        <v>93</v>
      </c>
      <c r="B246" s="38" t="s">
        <v>117</v>
      </c>
      <c r="C246" s="38" t="s">
        <v>1343</v>
      </c>
      <c r="D246" s="38" t="s">
        <v>1344</v>
      </c>
      <c r="E246" s="38" t="s">
        <v>1631</v>
      </c>
      <c r="F246" s="52" t="s">
        <v>1800</v>
      </c>
      <c r="G246" s="52" t="s">
        <v>1800</v>
      </c>
      <c r="H246" s="52" t="s">
        <v>1800</v>
      </c>
    </row>
    <row r="247" ht="15.75" hidden="1" customHeight="1">
      <c r="A247" s="38" t="s">
        <v>93</v>
      </c>
      <c r="B247" s="38" t="s">
        <v>186</v>
      </c>
      <c r="C247" s="38" t="s">
        <v>1364</v>
      </c>
      <c r="D247" s="38" t="s">
        <v>1365</v>
      </c>
      <c r="E247" s="38" t="s">
        <v>1632</v>
      </c>
      <c r="F247" s="52">
        <v>1619.0</v>
      </c>
      <c r="G247" s="52">
        <v>6.87716E7</v>
      </c>
      <c r="H247" s="52">
        <v>5251560.0</v>
      </c>
    </row>
    <row r="248" ht="15.75" hidden="1" customHeight="1">
      <c r="A248" s="38" t="s">
        <v>93</v>
      </c>
      <c r="B248" s="38" t="s">
        <v>186</v>
      </c>
      <c r="C248" s="38" t="s">
        <v>1541</v>
      </c>
      <c r="D248" s="38" t="s">
        <v>1542</v>
      </c>
      <c r="E248" s="38" t="s">
        <v>1633</v>
      </c>
      <c r="F248" s="52">
        <v>2.0</v>
      </c>
      <c r="G248" s="52">
        <v>82000.0</v>
      </c>
      <c r="H248" s="52">
        <v>8200.0</v>
      </c>
    </row>
    <row r="249" ht="15.75" hidden="1" customHeight="1">
      <c r="A249" s="38" t="s">
        <v>93</v>
      </c>
      <c r="B249" s="38" t="s">
        <v>186</v>
      </c>
      <c r="C249" s="38" t="s">
        <v>1541</v>
      </c>
      <c r="D249" s="38" t="s">
        <v>1542</v>
      </c>
      <c r="E249" s="38" t="s">
        <v>1634</v>
      </c>
      <c r="F249" s="52">
        <v>2.0</v>
      </c>
      <c r="G249" s="52">
        <v>62000.0</v>
      </c>
      <c r="H249" s="52">
        <v>6200.0</v>
      </c>
    </row>
    <row r="250" ht="15.75" hidden="1" customHeight="1">
      <c r="A250" s="38" t="s">
        <v>93</v>
      </c>
      <c r="B250" s="38" t="s">
        <v>174</v>
      </c>
      <c r="C250" s="38" t="s">
        <v>1635</v>
      </c>
      <c r="D250" s="38" t="s">
        <v>1636</v>
      </c>
      <c r="E250" s="38" t="s">
        <v>1637</v>
      </c>
      <c r="F250" s="52">
        <v>629.0</v>
      </c>
      <c r="G250" s="52">
        <v>8654300.0</v>
      </c>
      <c r="H250" s="52">
        <v>838840.0</v>
      </c>
    </row>
    <row r="251" ht="15.75" hidden="1" customHeight="1">
      <c r="A251" s="38" t="s">
        <v>93</v>
      </c>
      <c r="B251" s="38" t="s">
        <v>186</v>
      </c>
      <c r="C251" s="38" t="s">
        <v>1569</v>
      </c>
      <c r="D251" s="38" t="s">
        <v>1570</v>
      </c>
      <c r="E251" s="38" t="s">
        <v>1571</v>
      </c>
      <c r="F251" s="52">
        <v>2.0</v>
      </c>
      <c r="G251" s="52">
        <v>30000.0</v>
      </c>
      <c r="H251" s="52" t="s">
        <v>1800</v>
      </c>
    </row>
    <row r="252" ht="15.75" hidden="1" customHeight="1">
      <c r="A252" s="38" t="s">
        <v>93</v>
      </c>
      <c r="B252" s="38" t="s">
        <v>186</v>
      </c>
      <c r="C252" s="38" t="s">
        <v>1569</v>
      </c>
      <c r="D252" s="38" t="s">
        <v>1570</v>
      </c>
      <c r="E252" s="38" t="s">
        <v>1574</v>
      </c>
      <c r="F252" s="52">
        <v>12.0</v>
      </c>
      <c r="G252" s="52">
        <v>240000.0</v>
      </c>
      <c r="H252" s="52" t="s">
        <v>1800</v>
      </c>
    </row>
    <row r="253" ht="15.75" hidden="1" customHeight="1">
      <c r="A253" s="38" t="s">
        <v>93</v>
      </c>
      <c r="B253" s="38" t="s">
        <v>186</v>
      </c>
      <c r="C253" s="38" t="s">
        <v>1569</v>
      </c>
      <c r="D253" s="38" t="s">
        <v>1570</v>
      </c>
      <c r="E253" s="38" t="s">
        <v>1575</v>
      </c>
      <c r="F253" s="52">
        <v>3.0</v>
      </c>
      <c r="G253" s="52">
        <v>54000.0</v>
      </c>
      <c r="H253" s="52" t="s">
        <v>1800</v>
      </c>
    </row>
    <row r="254" ht="15.75" hidden="1" customHeight="1">
      <c r="A254" s="38" t="s">
        <v>93</v>
      </c>
      <c r="B254" s="38" t="s">
        <v>117</v>
      </c>
      <c r="C254" s="38" t="s">
        <v>1524</v>
      </c>
      <c r="D254" s="38" t="s">
        <v>1525</v>
      </c>
      <c r="E254" s="38" t="s">
        <v>1638</v>
      </c>
      <c r="F254" s="52">
        <v>3335.0</v>
      </c>
      <c r="G254" s="52">
        <v>5.90387E7</v>
      </c>
      <c r="H254" s="52">
        <v>5725400.0</v>
      </c>
    </row>
    <row r="255" ht="15.75" hidden="1" customHeight="1">
      <c r="A255" s="38" t="s">
        <v>93</v>
      </c>
      <c r="B255" s="38" t="s">
        <v>117</v>
      </c>
      <c r="C255" s="38" t="s">
        <v>1524</v>
      </c>
      <c r="D255" s="38" t="s">
        <v>1525</v>
      </c>
      <c r="E255" s="38" t="s">
        <v>1639</v>
      </c>
      <c r="F255" s="52" t="s">
        <v>1800</v>
      </c>
      <c r="G255" s="52" t="s">
        <v>1800</v>
      </c>
      <c r="H255" s="52" t="s">
        <v>1800</v>
      </c>
    </row>
    <row r="256" ht="15.75" hidden="1" customHeight="1">
      <c r="A256" s="38" t="s">
        <v>93</v>
      </c>
      <c r="B256" s="38" t="s">
        <v>117</v>
      </c>
      <c r="C256" s="38" t="s">
        <v>1524</v>
      </c>
      <c r="D256" s="38" t="s">
        <v>1525</v>
      </c>
      <c r="E256" s="38" t="s">
        <v>1640</v>
      </c>
      <c r="F256" s="52" t="s">
        <v>1800</v>
      </c>
      <c r="G256" s="52" t="s">
        <v>1800</v>
      </c>
      <c r="H256" s="52" t="s">
        <v>1800</v>
      </c>
    </row>
    <row r="257" ht="15.75" hidden="1" customHeight="1">
      <c r="A257" s="38" t="s">
        <v>93</v>
      </c>
      <c r="B257" s="38" t="s">
        <v>117</v>
      </c>
      <c r="C257" s="38" t="s">
        <v>1524</v>
      </c>
      <c r="D257" s="38" t="s">
        <v>1525</v>
      </c>
      <c r="E257" s="38" t="s">
        <v>1641</v>
      </c>
      <c r="F257" s="52">
        <v>1.0</v>
      </c>
      <c r="G257" s="52">
        <v>28900.0</v>
      </c>
      <c r="H257" s="52" t="s">
        <v>1800</v>
      </c>
    </row>
    <row r="258" ht="15.75" hidden="1" customHeight="1">
      <c r="A258" s="38" t="s">
        <v>93</v>
      </c>
      <c r="B258" s="38" t="s">
        <v>117</v>
      </c>
      <c r="C258" s="38" t="s">
        <v>1524</v>
      </c>
      <c r="D258" s="38" t="s">
        <v>1525</v>
      </c>
      <c r="E258" s="38" t="s">
        <v>1642</v>
      </c>
      <c r="F258" s="52" t="s">
        <v>1800</v>
      </c>
      <c r="G258" s="52" t="s">
        <v>1800</v>
      </c>
      <c r="H258" s="52" t="s">
        <v>1800</v>
      </c>
    </row>
    <row r="259" ht="15.75" hidden="1" customHeight="1">
      <c r="A259" s="38" t="s">
        <v>93</v>
      </c>
      <c r="B259" s="38" t="s">
        <v>117</v>
      </c>
      <c r="C259" s="38" t="s">
        <v>1524</v>
      </c>
      <c r="D259" s="38" t="s">
        <v>1525</v>
      </c>
      <c r="E259" s="38" t="s">
        <v>1643</v>
      </c>
      <c r="F259" s="52">
        <v>5.0</v>
      </c>
      <c r="G259" s="52">
        <v>80600.0</v>
      </c>
      <c r="H259" s="52" t="s">
        <v>1800</v>
      </c>
    </row>
    <row r="260" ht="15.75" hidden="1" customHeight="1">
      <c r="A260" s="38" t="s">
        <v>93</v>
      </c>
      <c r="B260" s="38" t="s">
        <v>117</v>
      </c>
      <c r="C260" s="38" t="s">
        <v>1808</v>
      </c>
      <c r="D260" s="38" t="s">
        <v>1809</v>
      </c>
      <c r="E260" s="38" t="s">
        <v>1810</v>
      </c>
      <c r="F260" s="52">
        <v>191.0</v>
      </c>
      <c r="G260" s="52">
        <v>2056700.0</v>
      </c>
      <c r="H260" s="52" t="s">
        <v>1800</v>
      </c>
    </row>
    <row r="261" ht="15.75" hidden="1" customHeight="1">
      <c r="A261" s="38" t="s">
        <v>93</v>
      </c>
      <c r="B261" s="38" t="s">
        <v>117</v>
      </c>
      <c r="C261" s="38" t="s">
        <v>1808</v>
      </c>
      <c r="D261" s="38" t="s">
        <v>1809</v>
      </c>
      <c r="E261" s="38" t="s">
        <v>1811</v>
      </c>
      <c r="F261" s="52">
        <v>228.0</v>
      </c>
      <c r="G261" s="52">
        <v>4343200.0</v>
      </c>
      <c r="H261" s="52">
        <v>199400.0</v>
      </c>
    </row>
    <row r="262" ht="15.75" hidden="1" customHeight="1">
      <c r="A262" s="38" t="s">
        <v>93</v>
      </c>
      <c r="B262" s="38" t="s">
        <v>117</v>
      </c>
      <c r="C262" s="38" t="s">
        <v>1808</v>
      </c>
      <c r="D262" s="38" t="s">
        <v>1809</v>
      </c>
      <c r="E262" s="38" t="s">
        <v>1812</v>
      </c>
      <c r="F262" s="52" t="s">
        <v>1800</v>
      </c>
      <c r="G262" s="52" t="s">
        <v>1800</v>
      </c>
      <c r="H262" s="52" t="s">
        <v>1800</v>
      </c>
    </row>
    <row r="263" ht="15.75" hidden="1" customHeight="1">
      <c r="A263" s="38" t="s">
        <v>93</v>
      </c>
      <c r="B263" s="38" t="s">
        <v>117</v>
      </c>
      <c r="C263" s="38" t="s">
        <v>1808</v>
      </c>
      <c r="D263" s="38" t="s">
        <v>1809</v>
      </c>
      <c r="E263" s="38" t="s">
        <v>1813</v>
      </c>
      <c r="F263" s="52">
        <v>28.0</v>
      </c>
      <c r="G263" s="52">
        <v>277200.0</v>
      </c>
      <c r="H263" s="52" t="s">
        <v>1800</v>
      </c>
    </row>
    <row r="264" ht="15.75" hidden="1" customHeight="1">
      <c r="A264" s="38" t="s">
        <v>93</v>
      </c>
      <c r="B264" s="55" t="s">
        <v>186</v>
      </c>
      <c r="C264" s="38" t="s">
        <v>1808</v>
      </c>
      <c r="D264" s="38" t="s">
        <v>1809</v>
      </c>
      <c r="E264" s="38" t="s">
        <v>1814</v>
      </c>
      <c r="F264" s="52">
        <v>16.0</v>
      </c>
      <c r="G264" s="52">
        <v>241400.0</v>
      </c>
      <c r="H264" s="52" t="s">
        <v>1800</v>
      </c>
      <c r="J264" s="38" t="s">
        <v>117</v>
      </c>
    </row>
    <row r="265" ht="15.75" hidden="1" customHeight="1">
      <c r="A265" s="38" t="s">
        <v>93</v>
      </c>
      <c r="B265" s="38" t="s">
        <v>117</v>
      </c>
      <c r="C265" s="38" t="s">
        <v>1343</v>
      </c>
      <c r="D265" s="38" t="s">
        <v>1344</v>
      </c>
      <c r="E265" s="38" t="s">
        <v>1815</v>
      </c>
      <c r="F265" s="52" t="s">
        <v>1800</v>
      </c>
      <c r="G265" s="52" t="s">
        <v>1800</v>
      </c>
      <c r="H265" s="52" t="s">
        <v>1800</v>
      </c>
    </row>
    <row r="266" ht="15.75" hidden="1" customHeight="1">
      <c r="A266" s="38" t="s">
        <v>93</v>
      </c>
      <c r="B266" s="38" t="s">
        <v>117</v>
      </c>
      <c r="C266" s="38" t="s">
        <v>1816</v>
      </c>
      <c r="D266" s="38" t="s">
        <v>1817</v>
      </c>
      <c r="E266" s="38" t="s">
        <v>1818</v>
      </c>
      <c r="F266" s="52">
        <v>306.0</v>
      </c>
      <c r="G266" s="52">
        <v>7650000.0</v>
      </c>
      <c r="H266" s="52" t="s">
        <v>1800</v>
      </c>
    </row>
    <row r="267" ht="15.75" hidden="1" customHeight="1">
      <c r="A267" s="38" t="s">
        <v>93</v>
      </c>
      <c r="B267" s="38" t="s">
        <v>117</v>
      </c>
      <c r="C267" s="38" t="s">
        <v>1816</v>
      </c>
      <c r="D267" s="38" t="s">
        <v>1817</v>
      </c>
      <c r="E267" s="38" t="s">
        <v>1819</v>
      </c>
      <c r="F267" s="52">
        <v>20.0</v>
      </c>
      <c r="G267" s="52">
        <v>833000.0</v>
      </c>
      <c r="H267" s="52" t="s">
        <v>1800</v>
      </c>
    </row>
    <row r="268" ht="15.75" hidden="1" customHeight="1">
      <c r="A268" s="38" t="s">
        <v>93</v>
      </c>
      <c r="B268" s="38" t="s">
        <v>117</v>
      </c>
      <c r="C268" s="38" t="s">
        <v>1343</v>
      </c>
      <c r="D268" s="38" t="s">
        <v>1344</v>
      </c>
      <c r="E268" s="38" t="s">
        <v>1820</v>
      </c>
      <c r="F268" s="52" t="s">
        <v>1800</v>
      </c>
      <c r="G268" s="52" t="s">
        <v>1800</v>
      </c>
      <c r="H268" s="52" t="s">
        <v>1800</v>
      </c>
    </row>
    <row r="269" ht="15.75" hidden="1" customHeight="1">
      <c r="A269" s="38" t="s">
        <v>93</v>
      </c>
      <c r="B269" s="38" t="s">
        <v>117</v>
      </c>
      <c r="C269" s="38" t="s">
        <v>1343</v>
      </c>
      <c r="D269" s="38" t="s">
        <v>1344</v>
      </c>
      <c r="E269" s="38" t="s">
        <v>1821</v>
      </c>
      <c r="F269" s="52" t="s">
        <v>1800</v>
      </c>
      <c r="G269" s="52" t="s">
        <v>1800</v>
      </c>
      <c r="H269" s="52" t="s">
        <v>1800</v>
      </c>
    </row>
    <row r="270" ht="15.75" hidden="1" customHeight="1">
      <c r="A270" s="38" t="s">
        <v>93</v>
      </c>
      <c r="B270" s="38" t="s">
        <v>117</v>
      </c>
      <c r="C270" s="38" t="s">
        <v>1343</v>
      </c>
      <c r="D270" s="38" t="s">
        <v>1344</v>
      </c>
      <c r="E270" s="38" t="s">
        <v>1822</v>
      </c>
      <c r="F270" s="52" t="s">
        <v>1800</v>
      </c>
      <c r="G270" s="52" t="s">
        <v>1800</v>
      </c>
      <c r="H270" s="52" t="s">
        <v>1800</v>
      </c>
    </row>
    <row r="271" ht="15.75" hidden="1" customHeight="1">
      <c r="A271" s="38" t="s">
        <v>93</v>
      </c>
      <c r="B271" s="55" t="s">
        <v>186</v>
      </c>
      <c r="C271" s="38" t="s">
        <v>1823</v>
      </c>
      <c r="D271" s="38" t="s">
        <v>1824</v>
      </c>
      <c r="E271" s="38" t="s">
        <v>1825</v>
      </c>
      <c r="F271" s="52" t="s">
        <v>1800</v>
      </c>
      <c r="G271" s="52" t="s">
        <v>1800</v>
      </c>
      <c r="H271" s="52" t="s">
        <v>1800</v>
      </c>
      <c r="J271" s="38" t="s">
        <v>186</v>
      </c>
    </row>
    <row r="272" ht="15.75" hidden="1" customHeight="1">
      <c r="A272" s="38" t="s">
        <v>93</v>
      </c>
      <c r="B272" s="38" t="s">
        <v>117</v>
      </c>
      <c r="C272" s="38" t="s">
        <v>1524</v>
      </c>
      <c r="D272" s="38" t="s">
        <v>1525</v>
      </c>
      <c r="E272" s="38" t="s">
        <v>1826</v>
      </c>
      <c r="F272" s="52" t="s">
        <v>1800</v>
      </c>
      <c r="G272" s="52" t="s">
        <v>1800</v>
      </c>
      <c r="H272" s="52" t="s">
        <v>1800</v>
      </c>
    </row>
    <row r="273" ht="15.75" hidden="1" customHeight="1">
      <c r="A273" s="38" t="s">
        <v>93</v>
      </c>
      <c r="B273" s="38" t="s">
        <v>117</v>
      </c>
      <c r="C273" s="38" t="s">
        <v>1524</v>
      </c>
      <c r="D273" s="38" t="s">
        <v>1525</v>
      </c>
      <c r="E273" s="38" t="s">
        <v>1827</v>
      </c>
      <c r="F273" s="52" t="s">
        <v>1800</v>
      </c>
      <c r="G273" s="52" t="s">
        <v>1800</v>
      </c>
      <c r="H273" s="52" t="s">
        <v>1800</v>
      </c>
    </row>
    <row r="274" ht="15.75" hidden="1" customHeight="1">
      <c r="A274" s="38" t="s">
        <v>93</v>
      </c>
      <c r="B274" s="38" t="s">
        <v>117</v>
      </c>
      <c r="C274" s="38" t="s">
        <v>1524</v>
      </c>
      <c r="D274" s="38" t="s">
        <v>1525</v>
      </c>
      <c r="E274" s="38" t="s">
        <v>1828</v>
      </c>
      <c r="F274" s="52" t="s">
        <v>1800</v>
      </c>
      <c r="G274" s="52" t="s">
        <v>1800</v>
      </c>
      <c r="H274" s="52" t="s">
        <v>1800</v>
      </c>
    </row>
    <row r="275" ht="15.75" hidden="1" customHeight="1">
      <c r="A275" s="38" t="s">
        <v>93</v>
      </c>
      <c r="B275" s="38" t="s">
        <v>117</v>
      </c>
      <c r="C275" s="38" t="s">
        <v>1524</v>
      </c>
      <c r="D275" s="38" t="s">
        <v>1525</v>
      </c>
      <c r="E275" s="38" t="s">
        <v>1829</v>
      </c>
      <c r="F275" s="52" t="s">
        <v>1800</v>
      </c>
      <c r="G275" s="52" t="s">
        <v>1800</v>
      </c>
      <c r="H275" s="52" t="s">
        <v>1800</v>
      </c>
    </row>
    <row r="276" ht="15.75" hidden="1" customHeight="1">
      <c r="A276" s="38" t="s">
        <v>93</v>
      </c>
      <c r="B276" s="38" t="s">
        <v>117</v>
      </c>
      <c r="C276" s="38" t="s">
        <v>1524</v>
      </c>
      <c r="D276" s="38" t="s">
        <v>1525</v>
      </c>
      <c r="E276" s="38" t="s">
        <v>1830</v>
      </c>
      <c r="F276" s="52" t="s">
        <v>1800</v>
      </c>
      <c r="G276" s="52" t="s">
        <v>1800</v>
      </c>
      <c r="H276" s="52" t="s">
        <v>1800</v>
      </c>
    </row>
    <row r="277" ht="15.75" hidden="1" customHeight="1">
      <c r="A277" s="38" t="s">
        <v>93</v>
      </c>
      <c r="B277" s="38" t="s">
        <v>117</v>
      </c>
      <c r="C277" s="38" t="s">
        <v>1524</v>
      </c>
      <c r="D277" s="38" t="s">
        <v>1525</v>
      </c>
      <c r="E277" s="38" t="s">
        <v>1831</v>
      </c>
      <c r="F277" s="52" t="s">
        <v>1800</v>
      </c>
      <c r="G277" s="52" t="s">
        <v>1800</v>
      </c>
      <c r="H277" s="52" t="s">
        <v>1800</v>
      </c>
    </row>
    <row r="278" ht="15.75" hidden="1" customHeight="1">
      <c r="A278" s="38" t="s">
        <v>93</v>
      </c>
      <c r="B278" s="38" t="s">
        <v>117</v>
      </c>
      <c r="C278" s="38" t="s">
        <v>1524</v>
      </c>
      <c r="D278" s="38" t="s">
        <v>1525</v>
      </c>
      <c r="E278" s="38" t="s">
        <v>1832</v>
      </c>
      <c r="F278" s="52" t="s">
        <v>1800</v>
      </c>
      <c r="G278" s="52" t="s">
        <v>1800</v>
      </c>
      <c r="H278" s="52" t="s">
        <v>1800</v>
      </c>
    </row>
    <row r="279" ht="15.75" hidden="1" customHeight="1">
      <c r="A279" s="38" t="s">
        <v>93</v>
      </c>
      <c r="B279" s="38" t="s">
        <v>117</v>
      </c>
      <c r="C279" s="38" t="s">
        <v>1524</v>
      </c>
      <c r="D279" s="38" t="s">
        <v>1525</v>
      </c>
      <c r="E279" s="38" t="s">
        <v>1833</v>
      </c>
      <c r="F279" s="52" t="s">
        <v>1800</v>
      </c>
      <c r="G279" s="52" t="s">
        <v>1800</v>
      </c>
      <c r="H279" s="52" t="s">
        <v>1800</v>
      </c>
    </row>
    <row r="280" ht="15.75" hidden="1" customHeight="1">
      <c r="A280" s="38" t="s">
        <v>93</v>
      </c>
      <c r="B280" s="38" t="s">
        <v>117</v>
      </c>
      <c r="C280" s="38" t="s">
        <v>1524</v>
      </c>
      <c r="D280" s="38" t="s">
        <v>1525</v>
      </c>
      <c r="E280" s="38" t="s">
        <v>1834</v>
      </c>
      <c r="F280" s="52" t="s">
        <v>1800</v>
      </c>
      <c r="G280" s="52" t="s">
        <v>1800</v>
      </c>
      <c r="H280" s="52" t="s">
        <v>1800</v>
      </c>
    </row>
    <row r="281" ht="15.75" hidden="1" customHeight="1">
      <c r="A281" s="38" t="s">
        <v>93</v>
      </c>
      <c r="B281" s="38" t="s">
        <v>117</v>
      </c>
      <c r="C281" s="38" t="s">
        <v>1835</v>
      </c>
      <c r="D281" s="38" t="s">
        <v>1528</v>
      </c>
      <c r="E281" s="38" t="s">
        <v>1836</v>
      </c>
      <c r="F281" s="52" t="s">
        <v>1800</v>
      </c>
      <c r="G281" s="52" t="s">
        <v>1800</v>
      </c>
      <c r="H281" s="52" t="s">
        <v>1800</v>
      </c>
    </row>
    <row r="282" ht="15.75" hidden="1" customHeight="1">
      <c r="A282" s="38" t="s">
        <v>93</v>
      </c>
      <c r="B282" s="38" t="s">
        <v>117</v>
      </c>
      <c r="C282" s="38" t="s">
        <v>1835</v>
      </c>
      <c r="D282" s="38" t="s">
        <v>1528</v>
      </c>
      <c r="E282" s="38" t="s">
        <v>1837</v>
      </c>
      <c r="F282" s="52" t="s">
        <v>1800</v>
      </c>
      <c r="G282" s="52" t="s">
        <v>1800</v>
      </c>
      <c r="H282" s="52" t="s">
        <v>1800</v>
      </c>
    </row>
    <row r="283" ht="15.75" hidden="1" customHeight="1">
      <c r="A283" s="38" t="s">
        <v>93</v>
      </c>
      <c r="B283" s="38" t="s">
        <v>117</v>
      </c>
      <c r="C283" s="38" t="s">
        <v>1835</v>
      </c>
      <c r="D283" s="38" t="s">
        <v>1528</v>
      </c>
      <c r="E283" s="38" t="s">
        <v>1838</v>
      </c>
      <c r="F283" s="52" t="s">
        <v>1800</v>
      </c>
      <c r="G283" s="52" t="s">
        <v>1800</v>
      </c>
      <c r="H283" s="52" t="s">
        <v>1800</v>
      </c>
    </row>
    <row r="284" ht="15.75" hidden="1" customHeight="1">
      <c r="A284" s="38" t="s">
        <v>93</v>
      </c>
      <c r="B284" s="38" t="s">
        <v>117</v>
      </c>
      <c r="C284" s="38" t="s">
        <v>1835</v>
      </c>
      <c r="D284" s="38" t="s">
        <v>1528</v>
      </c>
      <c r="E284" s="38" t="s">
        <v>1839</v>
      </c>
      <c r="F284" s="52" t="s">
        <v>1800</v>
      </c>
      <c r="G284" s="52" t="s">
        <v>1800</v>
      </c>
      <c r="H284" s="52" t="s">
        <v>1800</v>
      </c>
    </row>
    <row r="285" ht="15.75" hidden="1" customHeight="1">
      <c r="A285" s="38" t="s">
        <v>93</v>
      </c>
      <c r="B285" s="38" t="s">
        <v>117</v>
      </c>
      <c r="C285" s="38" t="s">
        <v>1835</v>
      </c>
      <c r="D285" s="38" t="s">
        <v>1528</v>
      </c>
      <c r="E285" s="38" t="s">
        <v>1840</v>
      </c>
      <c r="F285" s="52" t="s">
        <v>1800</v>
      </c>
      <c r="G285" s="52" t="s">
        <v>1800</v>
      </c>
      <c r="H285" s="52" t="s">
        <v>1800</v>
      </c>
    </row>
    <row r="286" ht="15.75" hidden="1" customHeight="1">
      <c r="A286" s="38" t="s">
        <v>93</v>
      </c>
      <c r="B286" s="38" t="s">
        <v>117</v>
      </c>
      <c r="C286" s="38" t="s">
        <v>1835</v>
      </c>
      <c r="D286" s="38" t="s">
        <v>1528</v>
      </c>
      <c r="E286" s="38" t="s">
        <v>1841</v>
      </c>
      <c r="F286" s="52" t="s">
        <v>1800</v>
      </c>
      <c r="G286" s="52" t="s">
        <v>1800</v>
      </c>
      <c r="H286" s="52" t="s">
        <v>1800</v>
      </c>
    </row>
    <row r="287" ht="15.75" hidden="1" customHeight="1">
      <c r="A287" s="38" t="s">
        <v>93</v>
      </c>
      <c r="B287" s="38" t="s">
        <v>117</v>
      </c>
      <c r="C287" s="38" t="s">
        <v>1835</v>
      </c>
      <c r="D287" s="38" t="s">
        <v>1528</v>
      </c>
      <c r="E287" s="38" t="s">
        <v>1842</v>
      </c>
      <c r="F287" s="52" t="s">
        <v>1800</v>
      </c>
      <c r="G287" s="52" t="s">
        <v>1800</v>
      </c>
      <c r="H287" s="52" t="s">
        <v>1800</v>
      </c>
    </row>
    <row r="288" ht="15.75" hidden="1" customHeight="1">
      <c r="A288" s="38" t="s">
        <v>93</v>
      </c>
      <c r="B288" s="38" t="s">
        <v>117</v>
      </c>
      <c r="C288" s="38" t="s">
        <v>1835</v>
      </c>
      <c r="D288" s="38" t="s">
        <v>1528</v>
      </c>
      <c r="E288" s="38" t="s">
        <v>1843</v>
      </c>
      <c r="F288" s="52" t="s">
        <v>1800</v>
      </c>
      <c r="G288" s="52" t="s">
        <v>1800</v>
      </c>
      <c r="H288" s="52" t="s">
        <v>1800</v>
      </c>
    </row>
    <row r="289" ht="15.75" hidden="1" customHeight="1">
      <c r="A289" s="38" t="s">
        <v>93</v>
      </c>
      <c r="B289" s="38" t="s">
        <v>117</v>
      </c>
      <c r="C289" s="38" t="s">
        <v>1835</v>
      </c>
      <c r="D289" s="38" t="s">
        <v>1528</v>
      </c>
      <c r="E289" s="38" t="s">
        <v>1844</v>
      </c>
      <c r="F289" s="52" t="s">
        <v>1800</v>
      </c>
      <c r="G289" s="52" t="s">
        <v>1800</v>
      </c>
      <c r="H289" s="52" t="s">
        <v>1800</v>
      </c>
    </row>
    <row r="290" ht="15.75" hidden="1" customHeight="1">
      <c r="A290" s="38" t="s">
        <v>93</v>
      </c>
      <c r="B290" s="38" t="s">
        <v>117</v>
      </c>
      <c r="C290" s="38" t="s">
        <v>1620</v>
      </c>
      <c r="D290" s="38" t="s">
        <v>1621</v>
      </c>
      <c r="E290" s="38" t="s">
        <v>1845</v>
      </c>
      <c r="F290" s="52" t="s">
        <v>1800</v>
      </c>
      <c r="G290" s="52" t="s">
        <v>1800</v>
      </c>
      <c r="H290" s="52" t="s">
        <v>1800</v>
      </c>
    </row>
    <row r="291" ht="15.75" hidden="1" customHeight="1">
      <c r="A291" s="38" t="s">
        <v>93</v>
      </c>
      <c r="B291" s="38" t="s">
        <v>117</v>
      </c>
      <c r="C291" s="38" t="s">
        <v>1620</v>
      </c>
      <c r="D291" s="38" t="s">
        <v>1621</v>
      </c>
      <c r="E291" s="38" t="s">
        <v>1846</v>
      </c>
      <c r="F291" s="52" t="s">
        <v>1800</v>
      </c>
      <c r="G291" s="52" t="s">
        <v>1800</v>
      </c>
      <c r="H291" s="52" t="s">
        <v>1800</v>
      </c>
    </row>
    <row r="292" ht="15.75" hidden="1" customHeight="1">
      <c r="A292" s="38" t="s">
        <v>93</v>
      </c>
      <c r="B292" s="38" t="s">
        <v>117</v>
      </c>
      <c r="C292" s="38" t="s">
        <v>1620</v>
      </c>
      <c r="D292" s="38" t="s">
        <v>1621</v>
      </c>
      <c r="E292" s="38" t="s">
        <v>1847</v>
      </c>
      <c r="F292" s="52" t="s">
        <v>1800</v>
      </c>
      <c r="G292" s="52" t="s">
        <v>1800</v>
      </c>
      <c r="H292" s="52" t="s">
        <v>1800</v>
      </c>
    </row>
    <row r="293" ht="15.75" hidden="1" customHeight="1">
      <c r="A293" s="38" t="s">
        <v>93</v>
      </c>
      <c r="B293" s="38" t="s">
        <v>174</v>
      </c>
      <c r="C293" s="38" t="s">
        <v>1848</v>
      </c>
      <c r="D293" s="38" t="s">
        <v>1849</v>
      </c>
      <c r="E293" s="38" t="s">
        <v>1850</v>
      </c>
      <c r="F293" s="52" t="s">
        <v>1800</v>
      </c>
      <c r="G293" s="52" t="s">
        <v>1800</v>
      </c>
      <c r="H293" s="52" t="s">
        <v>1800</v>
      </c>
    </row>
    <row r="294" ht="15.75" hidden="1" customHeight="1">
      <c r="A294" s="38" t="s">
        <v>93</v>
      </c>
      <c r="B294" s="38" t="s">
        <v>117</v>
      </c>
      <c r="C294" s="38" t="s">
        <v>1620</v>
      </c>
      <c r="D294" s="38" t="s">
        <v>1621</v>
      </c>
      <c r="E294" s="38" t="s">
        <v>1851</v>
      </c>
      <c r="F294" s="52" t="s">
        <v>1800</v>
      </c>
      <c r="G294" s="52" t="s">
        <v>1800</v>
      </c>
      <c r="H294" s="52" t="s">
        <v>1800</v>
      </c>
    </row>
    <row r="295" ht="15.75" hidden="1" customHeight="1">
      <c r="A295" s="38" t="s">
        <v>93</v>
      </c>
      <c r="B295" s="38" t="s">
        <v>117</v>
      </c>
      <c r="C295" s="38" t="s">
        <v>1620</v>
      </c>
      <c r="D295" s="38" t="s">
        <v>1621</v>
      </c>
      <c r="E295" s="38" t="s">
        <v>1852</v>
      </c>
      <c r="F295" s="52" t="s">
        <v>1800</v>
      </c>
      <c r="G295" s="52" t="s">
        <v>1800</v>
      </c>
      <c r="H295" s="52" t="s">
        <v>1800</v>
      </c>
    </row>
    <row r="296" ht="15.75" hidden="1" customHeight="1">
      <c r="A296" s="38" t="s">
        <v>93</v>
      </c>
      <c r="B296" s="38" t="s">
        <v>117</v>
      </c>
      <c r="C296" s="38" t="s">
        <v>1853</v>
      </c>
      <c r="D296" s="38" t="s">
        <v>1854</v>
      </c>
      <c r="E296" s="38" t="s">
        <v>1855</v>
      </c>
      <c r="F296" s="52" t="s">
        <v>1800</v>
      </c>
      <c r="G296" s="52" t="s">
        <v>1800</v>
      </c>
      <c r="H296" s="52" t="s">
        <v>1800</v>
      </c>
    </row>
    <row r="297" ht="15.75" hidden="1" customHeight="1">
      <c r="A297" s="38" t="s">
        <v>93</v>
      </c>
      <c r="B297" s="38" t="s">
        <v>117</v>
      </c>
      <c r="C297" s="38" t="s">
        <v>1853</v>
      </c>
      <c r="D297" s="38" t="s">
        <v>1854</v>
      </c>
      <c r="E297" s="38" t="s">
        <v>1856</v>
      </c>
      <c r="F297" s="52" t="s">
        <v>1800</v>
      </c>
      <c r="G297" s="52" t="s">
        <v>1800</v>
      </c>
      <c r="H297" s="52" t="s">
        <v>1800</v>
      </c>
    </row>
    <row r="298" ht="15.75" hidden="1" customHeight="1">
      <c r="A298" s="38" t="s">
        <v>93</v>
      </c>
      <c r="B298" s="38" t="s">
        <v>117</v>
      </c>
      <c r="C298" s="38" t="s">
        <v>1853</v>
      </c>
      <c r="D298" s="38" t="s">
        <v>1854</v>
      </c>
      <c r="E298" s="38" t="s">
        <v>1857</v>
      </c>
      <c r="F298" s="52" t="s">
        <v>1800</v>
      </c>
      <c r="G298" s="52" t="s">
        <v>1800</v>
      </c>
      <c r="H298" s="52" t="s">
        <v>1800</v>
      </c>
    </row>
    <row r="299" ht="15.75" hidden="1" customHeight="1">
      <c r="A299" s="38" t="s">
        <v>93</v>
      </c>
      <c r="B299" s="38" t="s">
        <v>117</v>
      </c>
      <c r="C299" s="38" t="s">
        <v>1853</v>
      </c>
      <c r="D299" s="38" t="s">
        <v>1854</v>
      </c>
      <c r="E299" s="38" t="s">
        <v>1858</v>
      </c>
      <c r="F299" s="52" t="s">
        <v>1800</v>
      </c>
      <c r="G299" s="52" t="s">
        <v>1800</v>
      </c>
      <c r="H299" s="52" t="s">
        <v>1800</v>
      </c>
    </row>
    <row r="300" ht="15.75" hidden="1" customHeight="1">
      <c r="A300" s="38" t="s">
        <v>28</v>
      </c>
      <c r="B300" s="38" t="s">
        <v>174</v>
      </c>
      <c r="C300" s="38" t="s">
        <v>842</v>
      </c>
      <c r="D300" s="38" t="s">
        <v>843</v>
      </c>
      <c r="E300" s="38" t="s">
        <v>844</v>
      </c>
      <c r="F300" s="52" t="s">
        <v>1800</v>
      </c>
      <c r="G300" s="52" t="s">
        <v>1800</v>
      </c>
      <c r="H300" s="52" t="s">
        <v>1800</v>
      </c>
    </row>
    <row r="301" ht="15.75" hidden="1" customHeight="1">
      <c r="A301" s="38" t="s">
        <v>28</v>
      </c>
      <c r="B301" s="38" t="s">
        <v>174</v>
      </c>
      <c r="C301" s="38" t="s">
        <v>842</v>
      </c>
      <c r="D301" s="38" t="s">
        <v>843</v>
      </c>
      <c r="E301" s="38" t="s">
        <v>845</v>
      </c>
      <c r="F301" s="52">
        <v>729.0</v>
      </c>
      <c r="G301" s="52">
        <v>3.7312E7</v>
      </c>
      <c r="H301" s="52">
        <v>4967600.0</v>
      </c>
    </row>
    <row r="302" ht="15.75" hidden="1" customHeight="1">
      <c r="A302" s="38" t="s">
        <v>28</v>
      </c>
      <c r="B302" s="38" t="s">
        <v>174</v>
      </c>
      <c r="C302" s="38" t="s">
        <v>846</v>
      </c>
      <c r="D302" s="38" t="s">
        <v>847</v>
      </c>
      <c r="E302" s="38" t="s">
        <v>848</v>
      </c>
      <c r="F302" s="52">
        <v>65.0</v>
      </c>
      <c r="G302" s="52">
        <v>1967900.0</v>
      </c>
      <c r="H302" s="52">
        <v>371630.0</v>
      </c>
    </row>
    <row r="303" ht="15.75" hidden="1" customHeight="1">
      <c r="A303" s="38" t="s">
        <v>28</v>
      </c>
      <c r="B303" s="38" t="s">
        <v>174</v>
      </c>
      <c r="C303" s="38" t="s">
        <v>846</v>
      </c>
      <c r="D303" s="38" t="s">
        <v>847</v>
      </c>
      <c r="E303" s="38" t="s">
        <v>849</v>
      </c>
      <c r="F303" s="52">
        <v>11.0</v>
      </c>
      <c r="G303" s="52">
        <v>345000.0</v>
      </c>
      <c r="H303" s="52">
        <v>63050.0</v>
      </c>
    </row>
    <row r="304" ht="15.75" hidden="1" customHeight="1">
      <c r="A304" s="38" t="s">
        <v>28</v>
      </c>
      <c r="B304" s="38" t="s">
        <v>117</v>
      </c>
      <c r="C304" s="38" t="s">
        <v>850</v>
      </c>
      <c r="D304" s="38" t="s">
        <v>851</v>
      </c>
      <c r="E304" s="38" t="s">
        <v>852</v>
      </c>
      <c r="F304" s="52">
        <v>699.0</v>
      </c>
      <c r="G304" s="52">
        <v>2.4332E7</v>
      </c>
      <c r="H304" s="52">
        <v>4785490.0</v>
      </c>
    </row>
    <row r="305" ht="15.75" hidden="1" customHeight="1">
      <c r="A305" s="38" t="s">
        <v>28</v>
      </c>
      <c r="B305" s="38" t="s">
        <v>117</v>
      </c>
      <c r="C305" s="38" t="s">
        <v>850</v>
      </c>
      <c r="D305" s="38" t="s">
        <v>851</v>
      </c>
      <c r="E305" s="38" t="s">
        <v>853</v>
      </c>
      <c r="F305" s="52">
        <v>31.0</v>
      </c>
      <c r="G305" s="52">
        <v>2044500.0</v>
      </c>
      <c r="H305" s="52">
        <v>290000.0</v>
      </c>
    </row>
    <row r="306" ht="15.75" hidden="1" customHeight="1">
      <c r="A306" s="38" t="s">
        <v>28</v>
      </c>
      <c r="B306" s="38" t="s">
        <v>117</v>
      </c>
      <c r="C306" s="38" t="s">
        <v>850</v>
      </c>
      <c r="D306" s="38" t="s">
        <v>851</v>
      </c>
      <c r="E306" s="38" t="s">
        <v>854</v>
      </c>
      <c r="F306" s="52">
        <v>4.0</v>
      </c>
      <c r="G306" s="52">
        <v>269200.0</v>
      </c>
      <c r="H306" s="52">
        <v>40000.0</v>
      </c>
    </row>
    <row r="307" ht="15.75" hidden="1" customHeight="1">
      <c r="A307" s="38" t="s">
        <v>28</v>
      </c>
      <c r="B307" s="38" t="s">
        <v>117</v>
      </c>
      <c r="C307" s="38" t="s">
        <v>850</v>
      </c>
      <c r="D307" s="38" t="s">
        <v>851</v>
      </c>
      <c r="E307" s="38" t="s">
        <v>855</v>
      </c>
      <c r="F307" s="52">
        <v>3.0</v>
      </c>
      <c r="G307" s="52">
        <v>106500.0</v>
      </c>
      <c r="H307" s="52">
        <v>21140.0</v>
      </c>
    </row>
    <row r="308" ht="15.75" hidden="1" customHeight="1">
      <c r="A308" s="38" t="s">
        <v>28</v>
      </c>
      <c r="B308" s="38" t="s">
        <v>117</v>
      </c>
      <c r="C308" s="38" t="s">
        <v>850</v>
      </c>
      <c r="D308" s="38" t="s">
        <v>851</v>
      </c>
      <c r="E308" s="38" t="s">
        <v>856</v>
      </c>
      <c r="F308" s="52" t="s">
        <v>1800</v>
      </c>
      <c r="G308" s="52" t="s">
        <v>1800</v>
      </c>
      <c r="H308" s="52" t="s">
        <v>1800</v>
      </c>
    </row>
    <row r="309" ht="15.75" hidden="1" customHeight="1">
      <c r="A309" s="38" t="s">
        <v>28</v>
      </c>
      <c r="B309" s="38" t="s">
        <v>186</v>
      </c>
      <c r="C309" s="38" t="s">
        <v>857</v>
      </c>
      <c r="D309" s="38" t="s">
        <v>858</v>
      </c>
      <c r="E309" s="38" t="s">
        <v>859</v>
      </c>
      <c r="F309" s="52">
        <v>603.0</v>
      </c>
      <c r="G309" s="52">
        <v>1.84941E7</v>
      </c>
      <c r="H309" s="52">
        <v>3507210.0</v>
      </c>
    </row>
    <row r="310" ht="15.75" hidden="1" customHeight="1">
      <c r="A310" s="38" t="s">
        <v>28</v>
      </c>
      <c r="B310" s="38" t="s">
        <v>186</v>
      </c>
      <c r="C310" s="38" t="s">
        <v>857</v>
      </c>
      <c r="D310" s="38" t="s">
        <v>858</v>
      </c>
      <c r="E310" s="38" t="s">
        <v>860</v>
      </c>
      <c r="F310" s="52">
        <v>7.0</v>
      </c>
      <c r="G310" s="52">
        <v>199100.0</v>
      </c>
      <c r="H310" s="52">
        <v>37810.0</v>
      </c>
    </row>
    <row r="311" ht="15.75" hidden="1" customHeight="1">
      <c r="A311" s="38" t="s">
        <v>28</v>
      </c>
      <c r="B311" s="38" t="s">
        <v>186</v>
      </c>
      <c r="C311" s="38" t="s">
        <v>857</v>
      </c>
      <c r="D311" s="38" t="s">
        <v>858</v>
      </c>
      <c r="E311" s="38" t="s">
        <v>861</v>
      </c>
      <c r="F311" s="52">
        <v>68.0</v>
      </c>
      <c r="G311" s="52">
        <v>1702800.0</v>
      </c>
      <c r="H311" s="52">
        <v>320500.0</v>
      </c>
    </row>
    <row r="312" ht="15.75" hidden="1" customHeight="1">
      <c r="A312" s="38" t="s">
        <v>28</v>
      </c>
      <c r="B312" s="38" t="s">
        <v>186</v>
      </c>
      <c r="C312" s="38" t="s">
        <v>857</v>
      </c>
      <c r="D312" s="38" t="s">
        <v>858</v>
      </c>
      <c r="E312" s="38" t="s">
        <v>862</v>
      </c>
      <c r="F312" s="52" t="s">
        <v>1800</v>
      </c>
      <c r="G312" s="52" t="s">
        <v>1800</v>
      </c>
      <c r="H312" s="52" t="s">
        <v>1800</v>
      </c>
    </row>
    <row r="313" ht="15.75" hidden="1" customHeight="1">
      <c r="A313" s="38" t="s">
        <v>28</v>
      </c>
      <c r="B313" s="38" t="s">
        <v>186</v>
      </c>
      <c r="C313" s="38" t="s">
        <v>857</v>
      </c>
      <c r="D313" s="38" t="s">
        <v>858</v>
      </c>
      <c r="E313" s="38" t="s">
        <v>863</v>
      </c>
      <c r="F313" s="52">
        <v>11.0</v>
      </c>
      <c r="G313" s="52">
        <v>337700.0</v>
      </c>
      <c r="H313" s="52">
        <v>64240.0</v>
      </c>
    </row>
    <row r="314" ht="15.75" hidden="1" customHeight="1">
      <c r="A314" s="38" t="s">
        <v>28</v>
      </c>
      <c r="B314" s="38" t="s">
        <v>186</v>
      </c>
      <c r="C314" s="38" t="s">
        <v>857</v>
      </c>
      <c r="D314" s="38" t="s">
        <v>858</v>
      </c>
      <c r="E314" s="38" t="s">
        <v>864</v>
      </c>
      <c r="F314" s="52">
        <v>18.0</v>
      </c>
      <c r="G314" s="52">
        <v>493800.0</v>
      </c>
      <c r="H314" s="52">
        <v>93870.0</v>
      </c>
    </row>
    <row r="315" ht="15.75" hidden="1" customHeight="1">
      <c r="A315" s="38" t="s">
        <v>28</v>
      </c>
      <c r="B315" s="38" t="s">
        <v>186</v>
      </c>
      <c r="C315" s="38" t="s">
        <v>857</v>
      </c>
      <c r="D315" s="38" t="s">
        <v>858</v>
      </c>
      <c r="E315" s="38" t="s">
        <v>865</v>
      </c>
      <c r="F315" s="52">
        <v>7.0</v>
      </c>
      <c r="G315" s="52">
        <v>206800.0</v>
      </c>
      <c r="H315" s="52">
        <v>39280.0</v>
      </c>
    </row>
    <row r="316" ht="15.75" hidden="1" customHeight="1">
      <c r="A316" s="38" t="s">
        <v>28</v>
      </c>
      <c r="B316" s="38" t="s">
        <v>186</v>
      </c>
      <c r="C316" s="38" t="s">
        <v>857</v>
      </c>
      <c r="D316" s="38" t="s">
        <v>858</v>
      </c>
      <c r="E316" s="38" t="s">
        <v>866</v>
      </c>
      <c r="F316" s="52" t="s">
        <v>1800</v>
      </c>
      <c r="G316" s="52" t="s">
        <v>1800</v>
      </c>
      <c r="H316" s="52" t="s">
        <v>1800</v>
      </c>
    </row>
    <row r="317" ht="15.75" hidden="1" customHeight="1">
      <c r="A317" s="38" t="s">
        <v>28</v>
      </c>
      <c r="B317" s="38" t="s">
        <v>186</v>
      </c>
      <c r="C317" s="38" t="s">
        <v>857</v>
      </c>
      <c r="D317" s="38" t="s">
        <v>858</v>
      </c>
      <c r="E317" s="38" t="s">
        <v>867</v>
      </c>
      <c r="F317" s="52">
        <v>22.0</v>
      </c>
      <c r="G317" s="52">
        <v>746800.0</v>
      </c>
      <c r="H317" s="52">
        <v>141800.0</v>
      </c>
    </row>
    <row r="318" ht="15.75" hidden="1" customHeight="1">
      <c r="A318" s="38" t="s">
        <v>28</v>
      </c>
      <c r="B318" s="38" t="s">
        <v>186</v>
      </c>
      <c r="C318" s="38" t="s">
        <v>857</v>
      </c>
      <c r="D318" s="38" t="s">
        <v>858</v>
      </c>
      <c r="E318" s="38" t="s">
        <v>868</v>
      </c>
      <c r="F318" s="52">
        <v>23.0</v>
      </c>
      <c r="G318" s="52">
        <v>1016900.0</v>
      </c>
      <c r="H318" s="52">
        <v>171220.0</v>
      </c>
    </row>
    <row r="319" ht="15.75" hidden="1" customHeight="1">
      <c r="A319" s="38" t="s">
        <v>28</v>
      </c>
      <c r="B319" s="38" t="s">
        <v>186</v>
      </c>
      <c r="C319" s="38" t="s">
        <v>857</v>
      </c>
      <c r="D319" s="38" t="s">
        <v>858</v>
      </c>
      <c r="E319" s="38" t="s">
        <v>869</v>
      </c>
      <c r="F319" s="52" t="s">
        <v>1800</v>
      </c>
      <c r="G319" s="52" t="s">
        <v>1800</v>
      </c>
      <c r="H319" s="52" t="s">
        <v>1800</v>
      </c>
    </row>
    <row r="320" ht="15.75" hidden="1" customHeight="1">
      <c r="A320" s="38" t="s">
        <v>28</v>
      </c>
      <c r="B320" s="38" t="s">
        <v>186</v>
      </c>
      <c r="C320" s="38" t="s">
        <v>857</v>
      </c>
      <c r="D320" s="38" t="s">
        <v>858</v>
      </c>
      <c r="E320" s="38" t="s">
        <v>870</v>
      </c>
      <c r="F320" s="52">
        <v>6.0</v>
      </c>
      <c r="G320" s="52">
        <v>136800.0</v>
      </c>
      <c r="H320" s="52">
        <v>25950.0</v>
      </c>
    </row>
    <row r="321" ht="15.75" hidden="1" customHeight="1">
      <c r="A321" s="38" t="s">
        <v>28</v>
      </c>
      <c r="B321" s="38" t="s">
        <v>186</v>
      </c>
      <c r="C321" s="38" t="s">
        <v>857</v>
      </c>
      <c r="D321" s="38" t="s">
        <v>858</v>
      </c>
      <c r="E321" s="38" t="s">
        <v>871</v>
      </c>
      <c r="F321" s="52">
        <v>5.0</v>
      </c>
      <c r="G321" s="52">
        <v>111500.0</v>
      </c>
      <c r="H321" s="52">
        <v>21460.0</v>
      </c>
    </row>
    <row r="322" ht="15.75" hidden="1" customHeight="1">
      <c r="A322" s="38" t="s">
        <v>28</v>
      </c>
      <c r="B322" s="38" t="s">
        <v>186</v>
      </c>
      <c r="C322" s="38" t="s">
        <v>857</v>
      </c>
      <c r="D322" s="38" t="s">
        <v>858</v>
      </c>
      <c r="E322" s="38" t="s">
        <v>872</v>
      </c>
      <c r="F322" s="52">
        <v>4.0</v>
      </c>
      <c r="G322" s="52">
        <v>78700.0</v>
      </c>
      <c r="H322" s="52">
        <v>14940.0</v>
      </c>
    </row>
    <row r="323" ht="15.75" hidden="1" customHeight="1">
      <c r="A323" s="38" t="s">
        <v>28</v>
      </c>
      <c r="B323" s="38" t="s">
        <v>186</v>
      </c>
      <c r="C323" s="38" t="s">
        <v>857</v>
      </c>
      <c r="D323" s="38" t="s">
        <v>858</v>
      </c>
      <c r="E323" s="38" t="s">
        <v>873</v>
      </c>
      <c r="F323" s="52" t="s">
        <v>1800</v>
      </c>
      <c r="G323" s="52" t="s">
        <v>1800</v>
      </c>
      <c r="H323" s="52" t="s">
        <v>1800</v>
      </c>
    </row>
    <row r="324" ht="15.75" hidden="1" customHeight="1">
      <c r="A324" s="38" t="s">
        <v>28</v>
      </c>
      <c r="B324" s="38" t="s">
        <v>186</v>
      </c>
      <c r="C324" s="38" t="s">
        <v>857</v>
      </c>
      <c r="D324" s="38" t="s">
        <v>858</v>
      </c>
      <c r="E324" s="38" t="s">
        <v>874</v>
      </c>
      <c r="F324" s="52" t="s">
        <v>1800</v>
      </c>
      <c r="G324" s="52" t="s">
        <v>1800</v>
      </c>
      <c r="H324" s="52" t="s">
        <v>1800</v>
      </c>
    </row>
    <row r="325" ht="15.75" hidden="1" customHeight="1">
      <c r="A325" s="38" t="s">
        <v>28</v>
      </c>
      <c r="B325" s="38" t="s">
        <v>186</v>
      </c>
      <c r="C325" s="38" t="s">
        <v>857</v>
      </c>
      <c r="D325" s="38" t="s">
        <v>858</v>
      </c>
      <c r="E325" s="38" t="s">
        <v>875</v>
      </c>
      <c r="F325" s="52">
        <v>2.0</v>
      </c>
      <c r="G325" s="52">
        <v>92400.0</v>
      </c>
      <c r="H325" s="52">
        <v>17930.0</v>
      </c>
    </row>
    <row r="326" ht="15.75" hidden="1" customHeight="1">
      <c r="A326" s="38" t="s">
        <v>28</v>
      </c>
      <c r="B326" s="38" t="s">
        <v>186</v>
      </c>
      <c r="C326" s="38" t="s">
        <v>857</v>
      </c>
      <c r="D326" s="38" t="s">
        <v>858</v>
      </c>
      <c r="E326" s="38" t="s">
        <v>876</v>
      </c>
      <c r="F326" s="52">
        <v>13.0</v>
      </c>
      <c r="G326" s="52">
        <v>203900.0</v>
      </c>
      <c r="H326" s="52">
        <v>38700.0</v>
      </c>
    </row>
    <row r="327" ht="15.75" hidden="1" customHeight="1">
      <c r="A327" s="38" t="s">
        <v>28</v>
      </c>
      <c r="B327" s="38" t="s">
        <v>186</v>
      </c>
      <c r="C327" s="38" t="s">
        <v>857</v>
      </c>
      <c r="D327" s="38" t="s">
        <v>858</v>
      </c>
      <c r="E327" s="38" t="s">
        <v>877</v>
      </c>
      <c r="F327" s="52">
        <v>7.0</v>
      </c>
      <c r="G327" s="52">
        <v>241800.0</v>
      </c>
      <c r="H327" s="52">
        <v>46210.0</v>
      </c>
    </row>
    <row r="328" ht="15.75" hidden="1" customHeight="1">
      <c r="A328" s="38" t="s">
        <v>28</v>
      </c>
      <c r="B328" s="38" t="s">
        <v>186</v>
      </c>
      <c r="C328" s="38" t="s">
        <v>878</v>
      </c>
      <c r="D328" s="38" t="s">
        <v>879</v>
      </c>
      <c r="E328" s="38" t="s">
        <v>880</v>
      </c>
      <c r="F328" s="52" t="s">
        <v>1800</v>
      </c>
      <c r="G328" s="52" t="s">
        <v>1800</v>
      </c>
      <c r="H328" s="52" t="s">
        <v>1800</v>
      </c>
    </row>
    <row r="329" ht="15.75" hidden="1" customHeight="1">
      <c r="A329" s="38" t="s">
        <v>28</v>
      </c>
      <c r="B329" s="38" t="s">
        <v>186</v>
      </c>
      <c r="C329" s="38" t="s">
        <v>878</v>
      </c>
      <c r="D329" s="38" t="s">
        <v>879</v>
      </c>
      <c r="E329" s="38" t="s">
        <v>881</v>
      </c>
      <c r="F329" s="52" t="s">
        <v>1800</v>
      </c>
      <c r="G329" s="52" t="s">
        <v>1800</v>
      </c>
      <c r="H329" s="52" t="s">
        <v>1800</v>
      </c>
    </row>
    <row r="330" ht="15.75" hidden="1" customHeight="1">
      <c r="A330" s="38" t="s">
        <v>28</v>
      </c>
      <c r="B330" s="38" t="s">
        <v>186</v>
      </c>
      <c r="C330" s="38" t="s">
        <v>878</v>
      </c>
      <c r="D330" s="38" t="s">
        <v>879</v>
      </c>
      <c r="E330" s="38" t="s">
        <v>882</v>
      </c>
      <c r="F330" s="52" t="s">
        <v>1800</v>
      </c>
      <c r="G330" s="52" t="s">
        <v>1800</v>
      </c>
      <c r="H330" s="52" t="s">
        <v>1800</v>
      </c>
    </row>
    <row r="331" ht="15.75" hidden="1" customHeight="1">
      <c r="A331" s="38" t="s">
        <v>28</v>
      </c>
      <c r="B331" s="38" t="s">
        <v>186</v>
      </c>
      <c r="C331" s="38" t="s">
        <v>878</v>
      </c>
      <c r="D331" s="38" t="s">
        <v>879</v>
      </c>
      <c r="E331" s="38" t="s">
        <v>883</v>
      </c>
      <c r="F331" s="52" t="s">
        <v>1800</v>
      </c>
      <c r="G331" s="52" t="s">
        <v>1800</v>
      </c>
      <c r="H331" s="52" t="s">
        <v>1800</v>
      </c>
    </row>
    <row r="332" ht="15.75" hidden="1" customHeight="1">
      <c r="A332" s="38" t="s">
        <v>28</v>
      </c>
      <c r="B332" s="38" t="s">
        <v>186</v>
      </c>
      <c r="C332" s="38" t="s">
        <v>878</v>
      </c>
      <c r="D332" s="38" t="s">
        <v>879</v>
      </c>
      <c r="E332" s="38" t="s">
        <v>884</v>
      </c>
      <c r="F332" s="52">
        <v>1.0</v>
      </c>
      <c r="G332" s="52">
        <v>22000.0</v>
      </c>
      <c r="H332" s="52">
        <v>4180.0</v>
      </c>
    </row>
    <row r="333" ht="15.75" hidden="1" customHeight="1">
      <c r="A333" s="38" t="s">
        <v>28</v>
      </c>
      <c r="B333" s="38" t="s">
        <v>186</v>
      </c>
      <c r="C333" s="38" t="s">
        <v>878</v>
      </c>
      <c r="D333" s="38" t="s">
        <v>879</v>
      </c>
      <c r="E333" s="38" t="s">
        <v>885</v>
      </c>
      <c r="F333" s="52">
        <v>1.0</v>
      </c>
      <c r="G333" s="52">
        <v>38000.0</v>
      </c>
      <c r="H333" s="52">
        <v>7220.0</v>
      </c>
    </row>
    <row r="334" ht="15.75" hidden="1" customHeight="1">
      <c r="A334" s="38" t="s">
        <v>28</v>
      </c>
      <c r="B334" s="38" t="s">
        <v>186</v>
      </c>
      <c r="C334" s="38" t="s">
        <v>878</v>
      </c>
      <c r="D334" s="38" t="s">
        <v>879</v>
      </c>
      <c r="E334" s="38" t="s">
        <v>886</v>
      </c>
      <c r="F334" s="52" t="s">
        <v>1800</v>
      </c>
      <c r="G334" s="52" t="s">
        <v>1800</v>
      </c>
      <c r="H334" s="52" t="s">
        <v>1800</v>
      </c>
    </row>
    <row r="335" ht="15.75" hidden="1" customHeight="1">
      <c r="A335" s="38" t="s">
        <v>28</v>
      </c>
      <c r="B335" s="38" t="s">
        <v>186</v>
      </c>
      <c r="C335" s="38" t="s">
        <v>878</v>
      </c>
      <c r="D335" s="38" t="s">
        <v>879</v>
      </c>
      <c r="E335" s="38" t="s">
        <v>887</v>
      </c>
      <c r="F335" s="52" t="s">
        <v>1800</v>
      </c>
      <c r="G335" s="52" t="s">
        <v>1800</v>
      </c>
      <c r="H335" s="52" t="s">
        <v>1800</v>
      </c>
    </row>
    <row r="336" ht="15.75" hidden="1" customHeight="1">
      <c r="A336" s="38" t="s">
        <v>28</v>
      </c>
      <c r="B336" s="38" t="s">
        <v>186</v>
      </c>
      <c r="C336" s="38" t="s">
        <v>878</v>
      </c>
      <c r="D336" s="38" t="s">
        <v>879</v>
      </c>
      <c r="E336" s="38" t="s">
        <v>888</v>
      </c>
      <c r="F336" s="52" t="s">
        <v>1800</v>
      </c>
      <c r="G336" s="52" t="s">
        <v>1800</v>
      </c>
      <c r="H336" s="52" t="s">
        <v>1800</v>
      </c>
    </row>
    <row r="337" ht="15.75" hidden="1" customHeight="1">
      <c r="A337" s="38" t="s">
        <v>28</v>
      </c>
      <c r="B337" s="38" t="s">
        <v>186</v>
      </c>
      <c r="C337" s="38" t="s">
        <v>878</v>
      </c>
      <c r="D337" s="38" t="s">
        <v>879</v>
      </c>
      <c r="E337" s="38" t="s">
        <v>889</v>
      </c>
      <c r="F337" s="52">
        <v>2.0</v>
      </c>
      <c r="G337" s="52">
        <v>60000.0</v>
      </c>
      <c r="H337" s="52">
        <v>9600.0</v>
      </c>
    </row>
    <row r="338" ht="15.75" hidden="1" customHeight="1">
      <c r="A338" s="38" t="s">
        <v>28</v>
      </c>
      <c r="B338" s="38" t="s">
        <v>186</v>
      </c>
      <c r="C338" s="38" t="s">
        <v>878</v>
      </c>
      <c r="D338" s="38" t="s">
        <v>879</v>
      </c>
      <c r="E338" s="38" t="s">
        <v>890</v>
      </c>
      <c r="F338" s="52" t="s">
        <v>1800</v>
      </c>
      <c r="G338" s="52" t="s">
        <v>1800</v>
      </c>
      <c r="H338" s="52" t="s">
        <v>1800</v>
      </c>
    </row>
    <row r="339" ht="15.75" hidden="1" customHeight="1">
      <c r="A339" s="38" t="s">
        <v>28</v>
      </c>
      <c r="B339" s="38" t="s">
        <v>186</v>
      </c>
      <c r="C339" s="38" t="s">
        <v>878</v>
      </c>
      <c r="D339" s="38" t="s">
        <v>879</v>
      </c>
      <c r="E339" s="38" t="s">
        <v>891</v>
      </c>
      <c r="F339" s="52" t="s">
        <v>1800</v>
      </c>
      <c r="G339" s="52" t="s">
        <v>1800</v>
      </c>
      <c r="H339" s="52" t="s">
        <v>1800</v>
      </c>
    </row>
    <row r="340" ht="15.75" hidden="1" customHeight="1">
      <c r="A340" s="38" t="s">
        <v>28</v>
      </c>
      <c r="B340" s="38" t="s">
        <v>186</v>
      </c>
      <c r="C340" s="38" t="s">
        <v>878</v>
      </c>
      <c r="D340" s="38" t="s">
        <v>879</v>
      </c>
      <c r="E340" s="38" t="s">
        <v>892</v>
      </c>
      <c r="F340" s="52" t="s">
        <v>1800</v>
      </c>
      <c r="G340" s="52" t="s">
        <v>1800</v>
      </c>
      <c r="H340" s="52" t="s">
        <v>1800</v>
      </c>
    </row>
    <row r="341" ht="15.75" hidden="1" customHeight="1">
      <c r="A341" s="38" t="s">
        <v>28</v>
      </c>
      <c r="B341" s="38" t="s">
        <v>186</v>
      </c>
      <c r="C341" s="38" t="s">
        <v>878</v>
      </c>
      <c r="D341" s="38" t="s">
        <v>879</v>
      </c>
      <c r="E341" s="38" t="s">
        <v>893</v>
      </c>
      <c r="F341" s="52">
        <v>1.0</v>
      </c>
      <c r="G341" s="52">
        <v>55000.0</v>
      </c>
      <c r="H341" s="52">
        <v>8800.0</v>
      </c>
    </row>
    <row r="342" ht="15.75" hidden="1" customHeight="1">
      <c r="A342" s="38" t="s">
        <v>28</v>
      </c>
      <c r="B342" s="38" t="s">
        <v>186</v>
      </c>
      <c r="C342" s="38" t="s">
        <v>878</v>
      </c>
      <c r="D342" s="38" t="s">
        <v>879</v>
      </c>
      <c r="E342" s="38" t="s">
        <v>894</v>
      </c>
      <c r="F342" s="52">
        <v>6.0</v>
      </c>
      <c r="G342" s="52">
        <v>120400.0</v>
      </c>
      <c r="H342" s="52">
        <v>22810.0</v>
      </c>
    </row>
    <row r="343" ht="15.75" hidden="1" customHeight="1">
      <c r="A343" s="38" t="s">
        <v>28</v>
      </c>
      <c r="B343" s="38" t="s">
        <v>186</v>
      </c>
      <c r="C343" s="38" t="s">
        <v>895</v>
      </c>
      <c r="D343" s="38" t="s">
        <v>896</v>
      </c>
      <c r="E343" s="38" t="s">
        <v>897</v>
      </c>
      <c r="F343" s="52">
        <v>3.0</v>
      </c>
      <c r="G343" s="52">
        <v>39900.0</v>
      </c>
      <c r="H343" s="52">
        <v>7360.0</v>
      </c>
    </row>
    <row r="344" ht="15.75" hidden="1" customHeight="1">
      <c r="A344" s="38" t="s">
        <v>28</v>
      </c>
      <c r="B344" s="38" t="s">
        <v>186</v>
      </c>
      <c r="C344" s="38" t="s">
        <v>895</v>
      </c>
      <c r="D344" s="38" t="s">
        <v>896</v>
      </c>
      <c r="E344" s="38" t="s">
        <v>898</v>
      </c>
      <c r="F344" s="52">
        <v>3.0</v>
      </c>
      <c r="G344" s="52">
        <v>68700.0</v>
      </c>
      <c r="H344" s="52">
        <v>12700.0</v>
      </c>
    </row>
    <row r="345" ht="15.75" hidden="1" customHeight="1">
      <c r="A345" s="38" t="s">
        <v>28</v>
      </c>
      <c r="B345" s="38" t="s">
        <v>186</v>
      </c>
      <c r="C345" s="38" t="s">
        <v>895</v>
      </c>
      <c r="D345" s="38" t="s">
        <v>896</v>
      </c>
      <c r="E345" s="38" t="s">
        <v>899</v>
      </c>
      <c r="F345" s="52">
        <v>2.0</v>
      </c>
      <c r="G345" s="52">
        <v>45800.0</v>
      </c>
      <c r="H345" s="52">
        <v>8520.0</v>
      </c>
    </row>
    <row r="346" ht="15.75" hidden="1" customHeight="1">
      <c r="A346" s="38" t="s">
        <v>28</v>
      </c>
      <c r="B346" s="38" t="s">
        <v>186</v>
      </c>
      <c r="C346" s="38" t="s">
        <v>895</v>
      </c>
      <c r="D346" s="38" t="s">
        <v>896</v>
      </c>
      <c r="E346" s="38" t="s">
        <v>900</v>
      </c>
      <c r="F346" s="52">
        <v>1.0</v>
      </c>
      <c r="G346" s="52">
        <v>17900.0</v>
      </c>
      <c r="H346" s="52">
        <v>2860.0</v>
      </c>
    </row>
    <row r="347" ht="15.75" hidden="1" customHeight="1">
      <c r="A347" s="38" t="s">
        <v>28</v>
      </c>
      <c r="B347" s="38" t="s">
        <v>186</v>
      </c>
      <c r="C347" s="38" t="s">
        <v>895</v>
      </c>
      <c r="D347" s="38" t="s">
        <v>896</v>
      </c>
      <c r="E347" s="38" t="s">
        <v>901</v>
      </c>
      <c r="F347" s="52">
        <v>935.0</v>
      </c>
      <c r="G347" s="52">
        <v>1.41531E7</v>
      </c>
      <c r="H347" s="52">
        <v>2375280.0</v>
      </c>
    </row>
    <row r="348" ht="15.75" hidden="1" customHeight="1">
      <c r="A348" s="38" t="s">
        <v>28</v>
      </c>
      <c r="B348" s="38" t="s">
        <v>186</v>
      </c>
      <c r="C348" s="38" t="s">
        <v>895</v>
      </c>
      <c r="D348" s="38" t="s">
        <v>896</v>
      </c>
      <c r="E348" s="38" t="s">
        <v>902</v>
      </c>
      <c r="F348" s="52">
        <v>19.0</v>
      </c>
      <c r="G348" s="52">
        <v>225700.0</v>
      </c>
      <c r="H348" s="52">
        <v>40490.0</v>
      </c>
    </row>
    <row r="349" ht="15.75" hidden="1" customHeight="1">
      <c r="A349" s="38" t="s">
        <v>28</v>
      </c>
      <c r="B349" s="38" t="s">
        <v>186</v>
      </c>
      <c r="C349" s="38" t="s">
        <v>895</v>
      </c>
      <c r="D349" s="38" t="s">
        <v>896</v>
      </c>
      <c r="E349" s="38" t="s">
        <v>903</v>
      </c>
      <c r="F349" s="52">
        <v>5.0</v>
      </c>
      <c r="G349" s="52">
        <v>74500.0</v>
      </c>
      <c r="H349" s="52">
        <v>13970.0</v>
      </c>
    </row>
    <row r="350" ht="15.75" hidden="1" customHeight="1">
      <c r="A350" s="38" t="s">
        <v>28</v>
      </c>
      <c r="B350" s="38" t="s">
        <v>186</v>
      </c>
      <c r="C350" s="38" t="s">
        <v>895</v>
      </c>
      <c r="D350" s="38" t="s">
        <v>896</v>
      </c>
      <c r="E350" s="38" t="s">
        <v>904</v>
      </c>
      <c r="F350" s="52">
        <v>61.0</v>
      </c>
      <c r="G350" s="52">
        <v>970400.0</v>
      </c>
      <c r="H350" s="52">
        <v>159350.0</v>
      </c>
    </row>
    <row r="351" ht="15.75" hidden="1" customHeight="1">
      <c r="A351" s="38" t="s">
        <v>28</v>
      </c>
      <c r="B351" s="38" t="s">
        <v>186</v>
      </c>
      <c r="C351" s="38" t="s">
        <v>895</v>
      </c>
      <c r="D351" s="38" t="s">
        <v>896</v>
      </c>
      <c r="E351" s="38" t="s">
        <v>905</v>
      </c>
      <c r="F351" s="52">
        <v>5.0</v>
      </c>
      <c r="G351" s="52">
        <v>129500.0</v>
      </c>
      <c r="H351" s="52">
        <v>22800.0</v>
      </c>
    </row>
    <row r="352" ht="15.75" hidden="1" customHeight="1">
      <c r="A352" s="38" t="s">
        <v>28</v>
      </c>
      <c r="B352" s="38" t="s">
        <v>186</v>
      </c>
      <c r="C352" s="38" t="s">
        <v>895</v>
      </c>
      <c r="D352" s="38" t="s">
        <v>896</v>
      </c>
      <c r="E352" s="38" t="s">
        <v>906</v>
      </c>
      <c r="F352" s="52">
        <v>4.0</v>
      </c>
      <c r="G352" s="52">
        <v>50200.0</v>
      </c>
      <c r="H352" s="52">
        <v>9000.0</v>
      </c>
    </row>
    <row r="353" ht="15.75" hidden="1" customHeight="1">
      <c r="A353" s="38" t="s">
        <v>28</v>
      </c>
      <c r="B353" s="38" t="s">
        <v>186</v>
      </c>
      <c r="C353" s="38" t="s">
        <v>895</v>
      </c>
      <c r="D353" s="38" t="s">
        <v>896</v>
      </c>
      <c r="E353" s="38" t="s">
        <v>907</v>
      </c>
      <c r="F353" s="52">
        <v>18.0</v>
      </c>
      <c r="G353" s="52">
        <v>270500.0</v>
      </c>
      <c r="H353" s="52">
        <v>48180.0</v>
      </c>
    </row>
    <row r="354" ht="15.75" hidden="1" customHeight="1">
      <c r="A354" s="38" t="s">
        <v>28</v>
      </c>
      <c r="B354" s="38" t="s">
        <v>186</v>
      </c>
      <c r="C354" s="38" t="s">
        <v>895</v>
      </c>
      <c r="D354" s="38" t="s">
        <v>896</v>
      </c>
      <c r="E354" s="38" t="s">
        <v>908</v>
      </c>
      <c r="F354" s="52">
        <v>64.0</v>
      </c>
      <c r="G354" s="52">
        <v>873300.0</v>
      </c>
      <c r="H354" s="52">
        <v>148480.0</v>
      </c>
    </row>
    <row r="355" ht="15.75" hidden="1" customHeight="1">
      <c r="A355" s="38" t="s">
        <v>28</v>
      </c>
      <c r="B355" s="38" t="s">
        <v>186</v>
      </c>
      <c r="C355" s="38" t="s">
        <v>895</v>
      </c>
      <c r="D355" s="38" t="s">
        <v>896</v>
      </c>
      <c r="E355" s="38" t="s">
        <v>909</v>
      </c>
      <c r="F355" s="52" t="s">
        <v>1800</v>
      </c>
      <c r="G355" s="52" t="s">
        <v>1800</v>
      </c>
      <c r="H355" s="52" t="s">
        <v>1800</v>
      </c>
    </row>
    <row r="356" ht="15.75" hidden="1" customHeight="1">
      <c r="A356" s="38" t="s">
        <v>28</v>
      </c>
      <c r="B356" s="38" t="s">
        <v>186</v>
      </c>
      <c r="C356" s="38" t="s">
        <v>895</v>
      </c>
      <c r="D356" s="38" t="s">
        <v>896</v>
      </c>
      <c r="E356" s="38" t="s">
        <v>910</v>
      </c>
      <c r="F356" s="52">
        <v>8.0</v>
      </c>
      <c r="G356" s="52">
        <v>128200.0</v>
      </c>
      <c r="H356" s="52">
        <v>21180.0</v>
      </c>
    </row>
    <row r="357" ht="15.75" hidden="1" customHeight="1">
      <c r="A357" s="38" t="s">
        <v>28</v>
      </c>
      <c r="B357" s="38" t="s">
        <v>186</v>
      </c>
      <c r="C357" s="38" t="s">
        <v>895</v>
      </c>
      <c r="D357" s="38" t="s">
        <v>896</v>
      </c>
      <c r="E357" s="38" t="s">
        <v>911</v>
      </c>
      <c r="F357" s="52">
        <v>2.0</v>
      </c>
      <c r="G357" s="52">
        <v>35900.0</v>
      </c>
      <c r="H357" s="52">
        <v>6140.0</v>
      </c>
    </row>
    <row r="358" ht="15.75" hidden="1" customHeight="1">
      <c r="A358" s="38" t="s">
        <v>28</v>
      </c>
      <c r="B358" s="38" t="s">
        <v>186</v>
      </c>
      <c r="C358" s="38" t="s">
        <v>895</v>
      </c>
      <c r="D358" s="38" t="s">
        <v>896</v>
      </c>
      <c r="E358" s="38" t="s">
        <v>912</v>
      </c>
      <c r="F358" s="52" t="s">
        <v>1800</v>
      </c>
      <c r="G358" s="52" t="s">
        <v>1800</v>
      </c>
      <c r="H358" s="52" t="s">
        <v>1800</v>
      </c>
    </row>
    <row r="359" ht="15.75" hidden="1" customHeight="1">
      <c r="A359" s="38" t="s">
        <v>28</v>
      </c>
      <c r="B359" s="38" t="s">
        <v>186</v>
      </c>
      <c r="C359" s="38" t="s">
        <v>895</v>
      </c>
      <c r="D359" s="38" t="s">
        <v>896</v>
      </c>
      <c r="E359" s="38" t="s">
        <v>913</v>
      </c>
      <c r="F359" s="52">
        <v>4.0</v>
      </c>
      <c r="G359" s="52">
        <v>116400.0</v>
      </c>
      <c r="H359" s="52">
        <v>19530.0</v>
      </c>
    </row>
    <row r="360" ht="15.75" hidden="1" customHeight="1">
      <c r="A360" s="38" t="s">
        <v>28</v>
      </c>
      <c r="B360" s="38" t="s">
        <v>186</v>
      </c>
      <c r="C360" s="38" t="s">
        <v>895</v>
      </c>
      <c r="D360" s="38" t="s">
        <v>896</v>
      </c>
      <c r="E360" s="38" t="s">
        <v>914</v>
      </c>
      <c r="F360" s="52" t="s">
        <v>1800</v>
      </c>
      <c r="G360" s="52" t="s">
        <v>1800</v>
      </c>
      <c r="H360" s="52" t="s">
        <v>1800</v>
      </c>
    </row>
    <row r="361" ht="15.75" hidden="1" customHeight="1">
      <c r="A361" s="38" t="s">
        <v>28</v>
      </c>
      <c r="B361" s="38" t="s">
        <v>186</v>
      </c>
      <c r="C361" s="38" t="s">
        <v>895</v>
      </c>
      <c r="D361" s="38" t="s">
        <v>896</v>
      </c>
      <c r="E361" s="38" t="s">
        <v>915</v>
      </c>
      <c r="F361" s="52">
        <v>7.0</v>
      </c>
      <c r="G361" s="52">
        <v>121800.0</v>
      </c>
      <c r="H361" s="52">
        <v>19460.0</v>
      </c>
    </row>
    <row r="362" ht="15.75" hidden="1" customHeight="1">
      <c r="A362" s="38" t="s">
        <v>28</v>
      </c>
      <c r="B362" s="38" t="s">
        <v>186</v>
      </c>
      <c r="C362" s="38" t="s">
        <v>895</v>
      </c>
      <c r="D362" s="38" t="s">
        <v>896</v>
      </c>
      <c r="E362" s="38" t="s">
        <v>917</v>
      </c>
      <c r="F362" s="52">
        <v>3.0</v>
      </c>
      <c r="G362" s="52">
        <v>61400.0</v>
      </c>
      <c r="H362" s="52">
        <v>10800.0</v>
      </c>
    </row>
    <row r="363" ht="15.75" hidden="1" customHeight="1">
      <c r="A363" s="38" t="s">
        <v>28</v>
      </c>
      <c r="B363" s="38" t="s">
        <v>186</v>
      </c>
      <c r="C363" s="38" t="s">
        <v>895</v>
      </c>
      <c r="D363" s="38" t="s">
        <v>896</v>
      </c>
      <c r="E363" s="38" t="s">
        <v>918</v>
      </c>
      <c r="F363" s="52">
        <v>4.0</v>
      </c>
      <c r="G363" s="52">
        <v>88000.0</v>
      </c>
      <c r="H363" s="52">
        <v>15440.0</v>
      </c>
    </row>
    <row r="364" ht="15.75" hidden="1" customHeight="1">
      <c r="A364" s="38" t="s">
        <v>28</v>
      </c>
      <c r="B364" s="38" t="s">
        <v>186</v>
      </c>
      <c r="C364" s="38" t="s">
        <v>895</v>
      </c>
      <c r="D364" s="38" t="s">
        <v>896</v>
      </c>
      <c r="E364" s="38" t="s">
        <v>919</v>
      </c>
      <c r="F364" s="52">
        <v>4.0</v>
      </c>
      <c r="G364" s="52">
        <v>78800.0</v>
      </c>
      <c r="H364" s="52">
        <v>13550.0</v>
      </c>
    </row>
    <row r="365" ht="15.75" hidden="1" customHeight="1">
      <c r="A365" s="38" t="s">
        <v>28</v>
      </c>
      <c r="B365" s="38" t="s">
        <v>186</v>
      </c>
      <c r="C365" s="38" t="s">
        <v>920</v>
      </c>
      <c r="D365" s="38" t="s">
        <v>921</v>
      </c>
      <c r="E365" s="38" t="s">
        <v>922</v>
      </c>
      <c r="F365" s="52" t="s">
        <v>1800</v>
      </c>
      <c r="G365" s="52" t="s">
        <v>1800</v>
      </c>
      <c r="H365" s="52" t="s">
        <v>1800</v>
      </c>
    </row>
    <row r="366" ht="15.75" hidden="1" customHeight="1">
      <c r="A366" s="38" t="s">
        <v>28</v>
      </c>
      <c r="B366" s="38" t="s">
        <v>186</v>
      </c>
      <c r="C366" s="38" t="s">
        <v>920</v>
      </c>
      <c r="D366" s="38" t="s">
        <v>921</v>
      </c>
      <c r="E366" s="38" t="s">
        <v>923</v>
      </c>
      <c r="F366" s="52" t="s">
        <v>1800</v>
      </c>
      <c r="G366" s="52" t="s">
        <v>1800</v>
      </c>
      <c r="H366" s="52" t="s">
        <v>1800</v>
      </c>
    </row>
    <row r="367" ht="15.75" hidden="1" customHeight="1">
      <c r="A367" s="38" t="s">
        <v>28</v>
      </c>
      <c r="B367" s="38" t="s">
        <v>186</v>
      </c>
      <c r="C367" s="38" t="s">
        <v>920</v>
      </c>
      <c r="D367" s="38" t="s">
        <v>921</v>
      </c>
      <c r="E367" s="38" t="s">
        <v>925</v>
      </c>
      <c r="F367" s="52" t="s">
        <v>1800</v>
      </c>
      <c r="G367" s="52" t="s">
        <v>1800</v>
      </c>
      <c r="H367" s="52" t="s">
        <v>1800</v>
      </c>
    </row>
    <row r="368" ht="15.75" hidden="1" customHeight="1">
      <c r="A368" s="38" t="s">
        <v>28</v>
      </c>
      <c r="B368" s="38" t="s">
        <v>186</v>
      </c>
      <c r="C368" s="38" t="s">
        <v>920</v>
      </c>
      <c r="D368" s="38" t="s">
        <v>921</v>
      </c>
      <c r="E368" s="38" t="s">
        <v>926</v>
      </c>
      <c r="F368" s="52" t="s">
        <v>1800</v>
      </c>
      <c r="G368" s="52" t="s">
        <v>1800</v>
      </c>
      <c r="H368" s="52" t="s">
        <v>1800</v>
      </c>
    </row>
    <row r="369" ht="15.75" hidden="1" customHeight="1">
      <c r="A369" s="38" t="s">
        <v>28</v>
      </c>
      <c r="B369" s="38" t="s">
        <v>186</v>
      </c>
      <c r="C369" s="38" t="s">
        <v>920</v>
      </c>
      <c r="D369" s="38" t="s">
        <v>921</v>
      </c>
      <c r="E369" s="38" t="s">
        <v>927</v>
      </c>
      <c r="F369" s="52" t="s">
        <v>1800</v>
      </c>
      <c r="G369" s="52" t="s">
        <v>1800</v>
      </c>
      <c r="H369" s="52" t="s">
        <v>1800</v>
      </c>
    </row>
    <row r="370" ht="15.75" hidden="1" customHeight="1">
      <c r="A370" s="38" t="s">
        <v>28</v>
      </c>
      <c r="B370" s="38" t="s">
        <v>186</v>
      </c>
      <c r="C370" s="38" t="s">
        <v>920</v>
      </c>
      <c r="D370" s="38" t="s">
        <v>921</v>
      </c>
      <c r="E370" s="38" t="s">
        <v>928</v>
      </c>
      <c r="F370" s="52" t="s">
        <v>1800</v>
      </c>
      <c r="G370" s="52" t="s">
        <v>1800</v>
      </c>
      <c r="H370" s="52" t="s">
        <v>1800</v>
      </c>
    </row>
    <row r="371" ht="15.75" hidden="1" customHeight="1">
      <c r="A371" s="38" t="s">
        <v>28</v>
      </c>
      <c r="B371" s="38" t="s">
        <v>186</v>
      </c>
      <c r="C371" s="38" t="s">
        <v>920</v>
      </c>
      <c r="D371" s="38" t="s">
        <v>921</v>
      </c>
      <c r="E371" s="38" t="s">
        <v>929</v>
      </c>
      <c r="F371" s="52" t="s">
        <v>1800</v>
      </c>
      <c r="G371" s="52" t="s">
        <v>1800</v>
      </c>
      <c r="H371" s="52" t="s">
        <v>1800</v>
      </c>
    </row>
    <row r="372" ht="15.75" hidden="1" customHeight="1">
      <c r="A372" s="38" t="s">
        <v>28</v>
      </c>
      <c r="B372" s="38" t="s">
        <v>186</v>
      </c>
      <c r="C372" s="38" t="s">
        <v>920</v>
      </c>
      <c r="D372" s="38" t="s">
        <v>921</v>
      </c>
      <c r="E372" s="38" t="s">
        <v>930</v>
      </c>
      <c r="F372" s="52" t="s">
        <v>1800</v>
      </c>
      <c r="G372" s="52" t="s">
        <v>1800</v>
      </c>
      <c r="H372" s="52" t="s">
        <v>1800</v>
      </c>
    </row>
    <row r="373" ht="15.75" hidden="1" customHeight="1">
      <c r="A373" s="38" t="s">
        <v>28</v>
      </c>
      <c r="B373" s="38" t="s">
        <v>186</v>
      </c>
      <c r="C373" s="38" t="s">
        <v>920</v>
      </c>
      <c r="D373" s="38" t="s">
        <v>921</v>
      </c>
      <c r="E373" s="38" t="s">
        <v>931</v>
      </c>
      <c r="F373" s="52" t="s">
        <v>1800</v>
      </c>
      <c r="G373" s="52" t="s">
        <v>1800</v>
      </c>
      <c r="H373" s="52" t="s">
        <v>1800</v>
      </c>
    </row>
    <row r="374" ht="15.75" hidden="1" customHeight="1">
      <c r="A374" s="38" t="s">
        <v>28</v>
      </c>
      <c r="B374" s="38" t="s">
        <v>186</v>
      </c>
      <c r="C374" s="38" t="s">
        <v>920</v>
      </c>
      <c r="D374" s="38" t="s">
        <v>921</v>
      </c>
      <c r="E374" s="38" t="s">
        <v>932</v>
      </c>
      <c r="F374" s="52" t="s">
        <v>1800</v>
      </c>
      <c r="G374" s="52" t="s">
        <v>1800</v>
      </c>
      <c r="H374" s="52" t="s">
        <v>1800</v>
      </c>
    </row>
    <row r="375" ht="15.75" hidden="1" customHeight="1">
      <c r="A375" s="38" t="s">
        <v>28</v>
      </c>
      <c r="B375" s="38" t="s">
        <v>186</v>
      </c>
      <c r="C375" s="38" t="s">
        <v>920</v>
      </c>
      <c r="D375" s="38" t="s">
        <v>921</v>
      </c>
      <c r="E375" s="38" t="s">
        <v>933</v>
      </c>
      <c r="F375" s="52" t="s">
        <v>1800</v>
      </c>
      <c r="G375" s="52" t="s">
        <v>1800</v>
      </c>
      <c r="H375" s="52" t="s">
        <v>1800</v>
      </c>
    </row>
    <row r="376" ht="15.75" hidden="1" customHeight="1">
      <c r="A376" s="38" t="s">
        <v>28</v>
      </c>
      <c r="B376" s="38" t="s">
        <v>186</v>
      </c>
      <c r="C376" s="38" t="s">
        <v>920</v>
      </c>
      <c r="D376" s="38" t="s">
        <v>921</v>
      </c>
      <c r="E376" s="38" t="s">
        <v>934</v>
      </c>
      <c r="F376" s="52" t="s">
        <v>1800</v>
      </c>
      <c r="G376" s="52" t="s">
        <v>1800</v>
      </c>
      <c r="H376" s="52" t="s">
        <v>1800</v>
      </c>
    </row>
    <row r="377" ht="15.75" hidden="1" customHeight="1">
      <c r="A377" s="38" t="s">
        <v>28</v>
      </c>
      <c r="B377" s="38" t="s">
        <v>186</v>
      </c>
      <c r="C377" s="38" t="s">
        <v>920</v>
      </c>
      <c r="D377" s="38" t="s">
        <v>921</v>
      </c>
      <c r="E377" s="38" t="s">
        <v>935</v>
      </c>
      <c r="F377" s="52" t="s">
        <v>1800</v>
      </c>
      <c r="G377" s="52" t="s">
        <v>1800</v>
      </c>
      <c r="H377" s="52" t="s">
        <v>1800</v>
      </c>
    </row>
    <row r="378" ht="15.75" hidden="1" customHeight="1">
      <c r="A378" s="38" t="s">
        <v>28</v>
      </c>
      <c r="B378" s="38" t="s">
        <v>186</v>
      </c>
      <c r="C378" s="38" t="s">
        <v>920</v>
      </c>
      <c r="D378" s="38" t="s">
        <v>921</v>
      </c>
      <c r="E378" s="38" t="s">
        <v>937</v>
      </c>
      <c r="F378" s="52" t="s">
        <v>1800</v>
      </c>
      <c r="G378" s="52" t="s">
        <v>1800</v>
      </c>
      <c r="H378" s="52" t="s">
        <v>1800</v>
      </c>
    </row>
    <row r="379" ht="15.75" hidden="1" customHeight="1">
      <c r="A379" s="38" t="s">
        <v>28</v>
      </c>
      <c r="B379" s="38" t="s">
        <v>186</v>
      </c>
      <c r="C379" s="38" t="s">
        <v>920</v>
      </c>
      <c r="D379" s="38" t="s">
        <v>921</v>
      </c>
      <c r="E379" s="38" t="s">
        <v>938</v>
      </c>
      <c r="F379" s="52" t="s">
        <v>1800</v>
      </c>
      <c r="G379" s="52" t="s">
        <v>1800</v>
      </c>
      <c r="H379" s="52" t="s">
        <v>1800</v>
      </c>
    </row>
    <row r="380" ht="15.75" hidden="1" customHeight="1">
      <c r="A380" s="38" t="s">
        <v>28</v>
      </c>
      <c r="B380" s="38" t="s">
        <v>186</v>
      </c>
      <c r="C380" s="38" t="s">
        <v>920</v>
      </c>
      <c r="D380" s="38" t="s">
        <v>921</v>
      </c>
      <c r="E380" s="38" t="s">
        <v>939</v>
      </c>
      <c r="F380" s="52" t="s">
        <v>1800</v>
      </c>
      <c r="G380" s="52" t="s">
        <v>1800</v>
      </c>
      <c r="H380" s="52" t="s">
        <v>1800</v>
      </c>
    </row>
    <row r="381" ht="15.75" hidden="1" customHeight="1">
      <c r="A381" s="38" t="s">
        <v>28</v>
      </c>
      <c r="B381" s="38" t="s">
        <v>186</v>
      </c>
      <c r="C381" s="38" t="s">
        <v>920</v>
      </c>
      <c r="D381" s="38" t="s">
        <v>921</v>
      </c>
      <c r="E381" s="38" t="s">
        <v>940</v>
      </c>
      <c r="F381" s="52" t="s">
        <v>1800</v>
      </c>
      <c r="G381" s="52" t="s">
        <v>1800</v>
      </c>
      <c r="H381" s="52" t="s">
        <v>1800</v>
      </c>
    </row>
    <row r="382" ht="15.75" hidden="1" customHeight="1">
      <c r="A382" s="38" t="s">
        <v>28</v>
      </c>
      <c r="B382" s="38" t="s">
        <v>186</v>
      </c>
      <c r="C382" s="38" t="s">
        <v>920</v>
      </c>
      <c r="D382" s="38" t="s">
        <v>921</v>
      </c>
      <c r="E382" s="38" t="s">
        <v>941</v>
      </c>
      <c r="F382" s="52" t="s">
        <v>1800</v>
      </c>
      <c r="G382" s="52" t="s">
        <v>1800</v>
      </c>
      <c r="H382" s="52" t="s">
        <v>1800</v>
      </c>
    </row>
    <row r="383" ht="15.75" hidden="1" customHeight="1">
      <c r="A383" s="38" t="s">
        <v>28</v>
      </c>
      <c r="B383" s="38" t="s">
        <v>186</v>
      </c>
      <c r="C383" s="38" t="s">
        <v>920</v>
      </c>
      <c r="D383" s="38" t="s">
        <v>921</v>
      </c>
      <c r="E383" s="38" t="s">
        <v>942</v>
      </c>
      <c r="F383" s="52" t="s">
        <v>1800</v>
      </c>
      <c r="G383" s="52" t="s">
        <v>1800</v>
      </c>
      <c r="H383" s="52" t="s">
        <v>1800</v>
      </c>
    </row>
    <row r="384" ht="15.75" hidden="1" customHeight="1">
      <c r="A384" s="38" t="s">
        <v>28</v>
      </c>
      <c r="B384" s="38" t="s">
        <v>186</v>
      </c>
      <c r="C384" s="38" t="s">
        <v>920</v>
      </c>
      <c r="D384" s="38" t="s">
        <v>921</v>
      </c>
      <c r="E384" s="38" t="s">
        <v>943</v>
      </c>
      <c r="F384" s="52" t="s">
        <v>1800</v>
      </c>
      <c r="G384" s="52" t="s">
        <v>1800</v>
      </c>
      <c r="H384" s="52" t="s">
        <v>1800</v>
      </c>
    </row>
    <row r="385" ht="15.75" hidden="1" customHeight="1">
      <c r="A385" s="38" t="s">
        <v>28</v>
      </c>
      <c r="B385" s="38" t="s">
        <v>186</v>
      </c>
      <c r="C385" s="38" t="s">
        <v>920</v>
      </c>
      <c r="D385" s="38" t="s">
        <v>921</v>
      </c>
      <c r="E385" s="38" t="s">
        <v>944</v>
      </c>
      <c r="F385" s="52" t="s">
        <v>1800</v>
      </c>
      <c r="G385" s="52" t="s">
        <v>1800</v>
      </c>
      <c r="H385" s="52" t="s">
        <v>1800</v>
      </c>
    </row>
    <row r="386" ht="15.75" hidden="1" customHeight="1">
      <c r="A386" s="38" t="s">
        <v>28</v>
      </c>
      <c r="B386" s="38" t="s">
        <v>186</v>
      </c>
      <c r="C386" s="38" t="s">
        <v>920</v>
      </c>
      <c r="D386" s="38" t="s">
        <v>921</v>
      </c>
      <c r="E386" s="38" t="s">
        <v>945</v>
      </c>
      <c r="F386" s="52" t="s">
        <v>1800</v>
      </c>
      <c r="G386" s="52" t="s">
        <v>1800</v>
      </c>
      <c r="H386" s="52" t="s">
        <v>1800</v>
      </c>
    </row>
    <row r="387" ht="15.75" hidden="1" customHeight="1">
      <c r="A387" s="38" t="s">
        <v>28</v>
      </c>
      <c r="B387" s="38" t="s">
        <v>186</v>
      </c>
      <c r="C387" s="38" t="s">
        <v>920</v>
      </c>
      <c r="D387" s="38" t="s">
        <v>921</v>
      </c>
      <c r="E387" s="38" t="s">
        <v>946</v>
      </c>
      <c r="F387" s="52" t="s">
        <v>1800</v>
      </c>
      <c r="G387" s="52" t="s">
        <v>1800</v>
      </c>
      <c r="H387" s="52" t="s">
        <v>1800</v>
      </c>
    </row>
    <row r="388" ht="15.75" hidden="1" customHeight="1">
      <c r="A388" s="38" t="s">
        <v>28</v>
      </c>
      <c r="B388" s="38" t="s">
        <v>186</v>
      </c>
      <c r="C388" s="38" t="s">
        <v>920</v>
      </c>
      <c r="D388" s="38" t="s">
        <v>921</v>
      </c>
      <c r="E388" s="38" t="s">
        <v>947</v>
      </c>
      <c r="F388" s="52" t="s">
        <v>1800</v>
      </c>
      <c r="G388" s="52" t="s">
        <v>1800</v>
      </c>
      <c r="H388" s="52" t="s">
        <v>1800</v>
      </c>
    </row>
    <row r="389" ht="15.75" hidden="1" customHeight="1">
      <c r="A389" s="38" t="s">
        <v>28</v>
      </c>
      <c r="B389" s="38" t="s">
        <v>186</v>
      </c>
      <c r="C389" s="38" t="s">
        <v>920</v>
      </c>
      <c r="D389" s="38" t="s">
        <v>921</v>
      </c>
      <c r="E389" s="38" t="s">
        <v>950</v>
      </c>
      <c r="F389" s="52" t="s">
        <v>1800</v>
      </c>
      <c r="G389" s="52" t="s">
        <v>1800</v>
      </c>
      <c r="H389" s="52" t="s">
        <v>1800</v>
      </c>
    </row>
    <row r="390" ht="15.75" hidden="1" customHeight="1">
      <c r="A390" s="38" t="s">
        <v>28</v>
      </c>
      <c r="B390" s="38" t="s">
        <v>186</v>
      </c>
      <c r="C390" s="38" t="s">
        <v>920</v>
      </c>
      <c r="D390" s="38" t="s">
        <v>921</v>
      </c>
      <c r="E390" s="38" t="s">
        <v>951</v>
      </c>
      <c r="F390" s="52" t="s">
        <v>1800</v>
      </c>
      <c r="G390" s="52" t="s">
        <v>1800</v>
      </c>
      <c r="H390" s="52" t="s">
        <v>1800</v>
      </c>
    </row>
    <row r="391" ht="15.75" hidden="1" customHeight="1">
      <c r="A391" s="38" t="s">
        <v>28</v>
      </c>
      <c r="B391" s="38" t="s">
        <v>186</v>
      </c>
      <c r="C391" s="38" t="s">
        <v>920</v>
      </c>
      <c r="D391" s="38" t="s">
        <v>921</v>
      </c>
      <c r="E391" s="38" t="s">
        <v>952</v>
      </c>
      <c r="F391" s="52" t="s">
        <v>1800</v>
      </c>
      <c r="G391" s="52" t="s">
        <v>1800</v>
      </c>
      <c r="H391" s="52" t="s">
        <v>1800</v>
      </c>
    </row>
    <row r="392" ht="15.75" hidden="1" customHeight="1">
      <c r="A392" s="38" t="s">
        <v>28</v>
      </c>
      <c r="B392" s="38" t="s">
        <v>186</v>
      </c>
      <c r="C392" s="38" t="s">
        <v>920</v>
      </c>
      <c r="D392" s="38" t="s">
        <v>921</v>
      </c>
      <c r="E392" s="38" t="s">
        <v>953</v>
      </c>
      <c r="F392" s="52" t="s">
        <v>1800</v>
      </c>
      <c r="G392" s="52" t="s">
        <v>1800</v>
      </c>
      <c r="H392" s="52" t="s">
        <v>1800</v>
      </c>
    </row>
    <row r="393" ht="15.75" hidden="1" customHeight="1">
      <c r="A393" s="38" t="s">
        <v>28</v>
      </c>
      <c r="B393" s="38" t="s">
        <v>186</v>
      </c>
      <c r="C393" s="38" t="s">
        <v>920</v>
      </c>
      <c r="D393" s="38" t="s">
        <v>921</v>
      </c>
      <c r="E393" s="38" t="s">
        <v>954</v>
      </c>
      <c r="F393" s="52" t="s">
        <v>1800</v>
      </c>
      <c r="G393" s="52" t="s">
        <v>1800</v>
      </c>
      <c r="H393" s="52" t="s">
        <v>1800</v>
      </c>
    </row>
    <row r="394" ht="15.75" hidden="1" customHeight="1">
      <c r="A394" s="38" t="s">
        <v>28</v>
      </c>
      <c r="B394" s="38" t="s">
        <v>186</v>
      </c>
      <c r="C394" s="38" t="s">
        <v>920</v>
      </c>
      <c r="D394" s="38" t="s">
        <v>921</v>
      </c>
      <c r="E394" s="38" t="s">
        <v>955</v>
      </c>
      <c r="F394" s="52" t="s">
        <v>1800</v>
      </c>
      <c r="G394" s="52" t="s">
        <v>1800</v>
      </c>
      <c r="H394" s="52" t="s">
        <v>1800</v>
      </c>
    </row>
    <row r="395" ht="15.75" hidden="1" customHeight="1">
      <c r="A395" s="38" t="s">
        <v>28</v>
      </c>
      <c r="B395" s="38" t="s">
        <v>186</v>
      </c>
      <c r="C395" s="38" t="s">
        <v>920</v>
      </c>
      <c r="D395" s="38" t="s">
        <v>921</v>
      </c>
      <c r="E395" s="38" t="s">
        <v>956</v>
      </c>
      <c r="F395" s="52" t="s">
        <v>1800</v>
      </c>
      <c r="G395" s="52" t="s">
        <v>1800</v>
      </c>
      <c r="H395" s="52" t="s">
        <v>1800</v>
      </c>
    </row>
    <row r="396" ht="15.75" hidden="1" customHeight="1">
      <c r="A396" s="38" t="s">
        <v>28</v>
      </c>
      <c r="B396" s="38" t="s">
        <v>186</v>
      </c>
      <c r="C396" s="38" t="s">
        <v>920</v>
      </c>
      <c r="D396" s="38" t="s">
        <v>921</v>
      </c>
      <c r="E396" s="38" t="s">
        <v>957</v>
      </c>
      <c r="F396" s="52" t="s">
        <v>1800</v>
      </c>
      <c r="G396" s="52" t="s">
        <v>1800</v>
      </c>
      <c r="H396" s="52" t="s">
        <v>1800</v>
      </c>
    </row>
    <row r="397" ht="15.75" hidden="1" customHeight="1">
      <c r="A397" s="38" t="s">
        <v>28</v>
      </c>
      <c r="B397" s="38" t="s">
        <v>186</v>
      </c>
      <c r="C397" s="38" t="s">
        <v>920</v>
      </c>
      <c r="D397" s="38" t="s">
        <v>921</v>
      </c>
      <c r="E397" s="38" t="s">
        <v>958</v>
      </c>
      <c r="F397" s="52" t="s">
        <v>1800</v>
      </c>
      <c r="G397" s="52" t="s">
        <v>1800</v>
      </c>
      <c r="H397" s="52" t="s">
        <v>1800</v>
      </c>
    </row>
    <row r="398" ht="15.75" hidden="1" customHeight="1">
      <c r="A398" s="38" t="s">
        <v>28</v>
      </c>
      <c r="B398" s="38" t="s">
        <v>186</v>
      </c>
      <c r="C398" s="38" t="s">
        <v>920</v>
      </c>
      <c r="D398" s="38" t="s">
        <v>921</v>
      </c>
      <c r="E398" s="38" t="s">
        <v>959</v>
      </c>
      <c r="F398" s="52" t="s">
        <v>1800</v>
      </c>
      <c r="G398" s="52" t="s">
        <v>1800</v>
      </c>
      <c r="H398" s="52" t="s">
        <v>1800</v>
      </c>
    </row>
    <row r="399" ht="15.75" hidden="1" customHeight="1">
      <c r="A399" s="38" t="s">
        <v>28</v>
      </c>
      <c r="B399" s="38" t="s">
        <v>186</v>
      </c>
      <c r="C399" s="38" t="s">
        <v>920</v>
      </c>
      <c r="D399" s="38" t="s">
        <v>921</v>
      </c>
      <c r="E399" s="38" t="s">
        <v>960</v>
      </c>
      <c r="F399" s="52" t="s">
        <v>1800</v>
      </c>
      <c r="G399" s="52" t="s">
        <v>1800</v>
      </c>
      <c r="H399" s="52" t="s">
        <v>1800</v>
      </c>
    </row>
    <row r="400" ht="15.75" hidden="1" customHeight="1">
      <c r="A400" s="38" t="s">
        <v>28</v>
      </c>
      <c r="B400" s="38" t="s">
        <v>186</v>
      </c>
      <c r="C400" s="38" t="s">
        <v>920</v>
      </c>
      <c r="D400" s="38" t="s">
        <v>921</v>
      </c>
      <c r="E400" s="38" t="s">
        <v>961</v>
      </c>
      <c r="F400" s="52" t="s">
        <v>1800</v>
      </c>
      <c r="G400" s="52" t="s">
        <v>1800</v>
      </c>
      <c r="H400" s="52" t="s">
        <v>1800</v>
      </c>
    </row>
    <row r="401" ht="15.75" hidden="1" customHeight="1">
      <c r="A401" s="38" t="s">
        <v>28</v>
      </c>
      <c r="B401" s="38" t="s">
        <v>186</v>
      </c>
      <c r="C401" s="38" t="s">
        <v>920</v>
      </c>
      <c r="D401" s="38" t="s">
        <v>921</v>
      </c>
      <c r="E401" s="38" t="s">
        <v>962</v>
      </c>
      <c r="F401" s="52" t="s">
        <v>1800</v>
      </c>
      <c r="G401" s="52" t="s">
        <v>1800</v>
      </c>
      <c r="H401" s="52" t="s">
        <v>1800</v>
      </c>
    </row>
    <row r="402" ht="15.75" hidden="1" customHeight="1">
      <c r="A402" s="38" t="s">
        <v>28</v>
      </c>
      <c r="B402" s="38" t="s">
        <v>186</v>
      </c>
      <c r="C402" s="38" t="s">
        <v>920</v>
      </c>
      <c r="D402" s="38" t="s">
        <v>921</v>
      </c>
      <c r="E402" s="38" t="s">
        <v>963</v>
      </c>
      <c r="F402" s="52" t="s">
        <v>1800</v>
      </c>
      <c r="G402" s="52" t="s">
        <v>1800</v>
      </c>
      <c r="H402" s="52" t="s">
        <v>1800</v>
      </c>
    </row>
    <row r="403" ht="15.75" hidden="1" customHeight="1">
      <c r="A403" s="38" t="s">
        <v>28</v>
      </c>
      <c r="B403" s="38" t="s">
        <v>186</v>
      </c>
      <c r="C403" s="38" t="s">
        <v>920</v>
      </c>
      <c r="D403" s="38" t="s">
        <v>921</v>
      </c>
      <c r="E403" s="38" t="s">
        <v>964</v>
      </c>
      <c r="F403" s="52" t="s">
        <v>1800</v>
      </c>
      <c r="G403" s="52" t="s">
        <v>1800</v>
      </c>
      <c r="H403" s="52" t="s">
        <v>1800</v>
      </c>
    </row>
    <row r="404" ht="15.75" hidden="1" customHeight="1">
      <c r="A404" s="38" t="s">
        <v>28</v>
      </c>
      <c r="B404" s="38" t="s">
        <v>186</v>
      </c>
      <c r="C404" s="38" t="s">
        <v>920</v>
      </c>
      <c r="D404" s="38" t="s">
        <v>921</v>
      </c>
      <c r="E404" s="38" t="s">
        <v>965</v>
      </c>
      <c r="F404" s="52" t="s">
        <v>1800</v>
      </c>
      <c r="G404" s="52" t="s">
        <v>1800</v>
      </c>
      <c r="H404" s="52" t="s">
        <v>1800</v>
      </c>
    </row>
    <row r="405" ht="15.75" hidden="1" customHeight="1">
      <c r="A405" s="38" t="s">
        <v>28</v>
      </c>
      <c r="B405" s="38" t="s">
        <v>186</v>
      </c>
      <c r="C405" s="38" t="s">
        <v>920</v>
      </c>
      <c r="D405" s="38" t="s">
        <v>921</v>
      </c>
      <c r="E405" s="38" t="s">
        <v>966</v>
      </c>
      <c r="F405" s="52" t="s">
        <v>1800</v>
      </c>
      <c r="G405" s="52" t="s">
        <v>1800</v>
      </c>
      <c r="H405" s="52" t="s">
        <v>1800</v>
      </c>
    </row>
    <row r="406" ht="15.75" hidden="1" customHeight="1">
      <c r="A406" s="38" t="s">
        <v>28</v>
      </c>
      <c r="B406" s="38" t="s">
        <v>186</v>
      </c>
      <c r="C406" s="38" t="s">
        <v>920</v>
      </c>
      <c r="D406" s="38" t="s">
        <v>921</v>
      </c>
      <c r="E406" s="38" t="s">
        <v>967</v>
      </c>
      <c r="F406" s="52" t="s">
        <v>1800</v>
      </c>
      <c r="G406" s="52" t="s">
        <v>1800</v>
      </c>
      <c r="H406" s="52" t="s">
        <v>1800</v>
      </c>
    </row>
    <row r="407" ht="15.75" hidden="1" customHeight="1">
      <c r="A407" s="38" t="s">
        <v>28</v>
      </c>
      <c r="B407" s="38" t="s">
        <v>186</v>
      </c>
      <c r="C407" s="38" t="s">
        <v>920</v>
      </c>
      <c r="D407" s="38" t="s">
        <v>921</v>
      </c>
      <c r="E407" s="38" t="s">
        <v>968</v>
      </c>
      <c r="F407" s="52" t="s">
        <v>1800</v>
      </c>
      <c r="G407" s="52" t="s">
        <v>1800</v>
      </c>
      <c r="H407" s="52" t="s">
        <v>1800</v>
      </c>
    </row>
    <row r="408" ht="15.75" hidden="1" customHeight="1">
      <c r="A408" s="38" t="s">
        <v>28</v>
      </c>
      <c r="B408" s="38" t="s">
        <v>186</v>
      </c>
      <c r="C408" s="38" t="s">
        <v>920</v>
      </c>
      <c r="D408" s="38" t="s">
        <v>921</v>
      </c>
      <c r="E408" s="38" t="s">
        <v>969</v>
      </c>
      <c r="F408" s="52" t="s">
        <v>1800</v>
      </c>
      <c r="G408" s="52" t="s">
        <v>1800</v>
      </c>
      <c r="H408" s="52" t="s">
        <v>1800</v>
      </c>
    </row>
    <row r="409" ht="15.75" hidden="1" customHeight="1">
      <c r="A409" s="38" t="s">
        <v>28</v>
      </c>
      <c r="B409" s="38" t="s">
        <v>186</v>
      </c>
      <c r="C409" s="38" t="s">
        <v>920</v>
      </c>
      <c r="D409" s="38" t="s">
        <v>921</v>
      </c>
      <c r="E409" s="38" t="s">
        <v>970</v>
      </c>
      <c r="F409" s="52" t="s">
        <v>1800</v>
      </c>
      <c r="G409" s="52" t="s">
        <v>1800</v>
      </c>
      <c r="H409" s="52" t="s">
        <v>1800</v>
      </c>
    </row>
    <row r="410" ht="15.75" hidden="1" customHeight="1">
      <c r="A410" s="38" t="s">
        <v>28</v>
      </c>
      <c r="B410" s="38" t="s">
        <v>186</v>
      </c>
      <c r="C410" s="38" t="s">
        <v>920</v>
      </c>
      <c r="D410" s="38" t="s">
        <v>921</v>
      </c>
      <c r="E410" s="38" t="s">
        <v>971</v>
      </c>
      <c r="F410" s="52" t="s">
        <v>1800</v>
      </c>
      <c r="G410" s="52" t="s">
        <v>1800</v>
      </c>
      <c r="H410" s="52" t="s">
        <v>1800</v>
      </c>
    </row>
    <row r="411" ht="15.75" hidden="1" customHeight="1">
      <c r="A411" s="38" t="s">
        <v>28</v>
      </c>
      <c r="B411" s="38" t="s">
        <v>186</v>
      </c>
      <c r="C411" s="38" t="s">
        <v>920</v>
      </c>
      <c r="D411" s="38" t="s">
        <v>921</v>
      </c>
      <c r="E411" s="38" t="s">
        <v>972</v>
      </c>
      <c r="F411" s="52" t="s">
        <v>1800</v>
      </c>
      <c r="G411" s="52" t="s">
        <v>1800</v>
      </c>
      <c r="H411" s="52" t="s">
        <v>1800</v>
      </c>
    </row>
    <row r="412" ht="15.75" hidden="1" customHeight="1">
      <c r="A412" s="38" t="s">
        <v>28</v>
      </c>
      <c r="B412" s="38" t="s">
        <v>186</v>
      </c>
      <c r="C412" s="38" t="s">
        <v>920</v>
      </c>
      <c r="D412" s="38" t="s">
        <v>921</v>
      </c>
      <c r="E412" s="38" t="s">
        <v>973</v>
      </c>
      <c r="F412" s="52" t="s">
        <v>1800</v>
      </c>
      <c r="G412" s="52" t="s">
        <v>1800</v>
      </c>
      <c r="H412" s="52" t="s">
        <v>1800</v>
      </c>
    </row>
    <row r="413" ht="15.75" hidden="1" customHeight="1">
      <c r="A413" s="38" t="s">
        <v>28</v>
      </c>
      <c r="B413" s="38" t="s">
        <v>186</v>
      </c>
      <c r="C413" s="38" t="s">
        <v>920</v>
      </c>
      <c r="D413" s="38" t="s">
        <v>921</v>
      </c>
      <c r="E413" s="38" t="s">
        <v>974</v>
      </c>
      <c r="F413" s="52" t="s">
        <v>1800</v>
      </c>
      <c r="G413" s="52" t="s">
        <v>1800</v>
      </c>
      <c r="H413" s="52" t="s">
        <v>1800</v>
      </c>
    </row>
    <row r="414" ht="15.75" hidden="1" customHeight="1">
      <c r="A414" s="38" t="s">
        <v>28</v>
      </c>
      <c r="B414" s="38" t="s">
        <v>186</v>
      </c>
      <c r="C414" s="38" t="s">
        <v>920</v>
      </c>
      <c r="D414" s="38" t="s">
        <v>921</v>
      </c>
      <c r="E414" s="38" t="s">
        <v>975</v>
      </c>
      <c r="F414" s="52" t="s">
        <v>1800</v>
      </c>
      <c r="G414" s="52" t="s">
        <v>1800</v>
      </c>
      <c r="H414" s="52" t="s">
        <v>1800</v>
      </c>
    </row>
    <row r="415" ht="15.75" hidden="1" customHeight="1">
      <c r="A415" s="38" t="s">
        <v>28</v>
      </c>
      <c r="B415" s="38" t="s">
        <v>117</v>
      </c>
      <c r="C415" s="38" t="s">
        <v>163</v>
      </c>
      <c r="D415" s="38" t="s">
        <v>162</v>
      </c>
      <c r="E415" s="38" t="s">
        <v>976</v>
      </c>
      <c r="F415" s="52">
        <v>1999.0</v>
      </c>
      <c r="G415" s="52">
        <v>2.32811E7</v>
      </c>
      <c r="H415" s="52">
        <v>4157060.0</v>
      </c>
    </row>
    <row r="416" ht="15.75" hidden="1" customHeight="1">
      <c r="A416" s="38" t="s">
        <v>28</v>
      </c>
      <c r="B416" s="38" t="s">
        <v>117</v>
      </c>
      <c r="C416" s="38" t="s">
        <v>163</v>
      </c>
      <c r="D416" s="38" t="s">
        <v>162</v>
      </c>
      <c r="E416" s="38" t="s">
        <v>977</v>
      </c>
      <c r="F416" s="52" t="s">
        <v>1800</v>
      </c>
      <c r="G416" s="52" t="s">
        <v>1800</v>
      </c>
      <c r="H416" s="52" t="s">
        <v>1800</v>
      </c>
    </row>
    <row r="417" ht="15.75" hidden="1" customHeight="1">
      <c r="A417" s="38" t="s">
        <v>28</v>
      </c>
      <c r="B417" s="38" t="s">
        <v>174</v>
      </c>
      <c r="C417" s="38" t="s">
        <v>978</v>
      </c>
      <c r="D417" s="38" t="s">
        <v>979</v>
      </c>
      <c r="E417" s="38" t="s">
        <v>980</v>
      </c>
      <c r="F417" s="52" t="s">
        <v>1800</v>
      </c>
      <c r="G417" s="52" t="s">
        <v>1800</v>
      </c>
      <c r="H417" s="52" t="s">
        <v>1800</v>
      </c>
    </row>
    <row r="418" ht="15.75" hidden="1" customHeight="1">
      <c r="A418" s="38" t="s">
        <v>28</v>
      </c>
      <c r="B418" s="38" t="s">
        <v>117</v>
      </c>
      <c r="C418" s="38" t="s">
        <v>981</v>
      </c>
      <c r="D418" s="38" t="s">
        <v>982</v>
      </c>
      <c r="E418" s="38" t="s">
        <v>983</v>
      </c>
      <c r="F418" s="52" t="s">
        <v>1800</v>
      </c>
      <c r="G418" s="52" t="s">
        <v>1800</v>
      </c>
      <c r="H418" s="52" t="s">
        <v>1800</v>
      </c>
    </row>
    <row r="419" ht="15.75" hidden="1" customHeight="1">
      <c r="A419" s="38" t="s">
        <v>28</v>
      </c>
      <c r="B419" s="38" t="s">
        <v>117</v>
      </c>
      <c r="C419" s="38" t="s">
        <v>99</v>
      </c>
      <c r="D419" s="38" t="s">
        <v>98</v>
      </c>
      <c r="E419" s="38" t="s">
        <v>984</v>
      </c>
      <c r="F419" s="52">
        <v>1.0</v>
      </c>
      <c r="G419" s="52">
        <v>57900.0</v>
      </c>
      <c r="H419" s="52">
        <v>10000.0</v>
      </c>
    </row>
    <row r="420" ht="15.75" hidden="1" customHeight="1">
      <c r="A420" s="38" t="s">
        <v>28</v>
      </c>
      <c r="B420" s="38" t="s">
        <v>117</v>
      </c>
      <c r="C420" s="38" t="s">
        <v>99</v>
      </c>
      <c r="D420" s="38" t="s">
        <v>98</v>
      </c>
      <c r="E420" s="38" t="s">
        <v>985</v>
      </c>
      <c r="F420" s="52">
        <v>1.0</v>
      </c>
      <c r="G420" s="52">
        <v>43900.0</v>
      </c>
      <c r="H420" s="52">
        <v>8380.0</v>
      </c>
    </row>
    <row r="421" ht="15.75" hidden="1" customHeight="1">
      <c r="A421" s="38" t="s">
        <v>28</v>
      </c>
      <c r="B421" s="38" t="s">
        <v>117</v>
      </c>
      <c r="C421" s="38" t="s">
        <v>99</v>
      </c>
      <c r="D421" s="38" t="s">
        <v>98</v>
      </c>
      <c r="E421" s="38" t="s">
        <v>986</v>
      </c>
      <c r="F421" s="52" t="s">
        <v>1800</v>
      </c>
      <c r="G421" s="52" t="s">
        <v>1800</v>
      </c>
      <c r="H421" s="52" t="s">
        <v>1800</v>
      </c>
    </row>
    <row r="422" ht="15.75" hidden="1" customHeight="1">
      <c r="A422" s="38" t="s">
        <v>28</v>
      </c>
      <c r="B422" s="38" t="s">
        <v>117</v>
      </c>
      <c r="C422" s="38" t="s">
        <v>99</v>
      </c>
      <c r="D422" s="38" t="s">
        <v>98</v>
      </c>
      <c r="E422" s="38" t="s">
        <v>987</v>
      </c>
      <c r="F422" s="52" t="s">
        <v>1800</v>
      </c>
      <c r="G422" s="52" t="s">
        <v>1800</v>
      </c>
      <c r="H422" s="52" t="s">
        <v>1800</v>
      </c>
    </row>
    <row r="423" ht="15.75" hidden="1" customHeight="1">
      <c r="A423" s="38" t="s">
        <v>28</v>
      </c>
      <c r="B423" s="38" t="s">
        <v>117</v>
      </c>
      <c r="C423" s="38" t="s">
        <v>99</v>
      </c>
      <c r="D423" s="38" t="s">
        <v>98</v>
      </c>
      <c r="E423" s="38" t="s">
        <v>988</v>
      </c>
      <c r="F423" s="52" t="s">
        <v>1800</v>
      </c>
      <c r="G423" s="52" t="s">
        <v>1800</v>
      </c>
      <c r="H423" s="52" t="s">
        <v>1800</v>
      </c>
    </row>
    <row r="424" ht="15.75" hidden="1" customHeight="1">
      <c r="A424" s="38" t="s">
        <v>28</v>
      </c>
      <c r="B424" s="38" t="s">
        <v>117</v>
      </c>
      <c r="C424" s="38" t="s">
        <v>99</v>
      </c>
      <c r="D424" s="38" t="s">
        <v>98</v>
      </c>
      <c r="E424" s="38" t="s">
        <v>989</v>
      </c>
      <c r="F424" s="52">
        <v>1.0</v>
      </c>
      <c r="G424" s="52">
        <v>15000.0</v>
      </c>
      <c r="H424" s="52">
        <v>2790.0</v>
      </c>
    </row>
    <row r="425" ht="15.75" hidden="1" customHeight="1">
      <c r="A425" s="38" t="s">
        <v>28</v>
      </c>
      <c r="B425" s="38" t="s">
        <v>117</v>
      </c>
      <c r="C425" s="38" t="s">
        <v>99</v>
      </c>
      <c r="D425" s="38" t="s">
        <v>98</v>
      </c>
      <c r="E425" s="38" t="s">
        <v>990</v>
      </c>
      <c r="F425" s="52" t="s">
        <v>1800</v>
      </c>
      <c r="G425" s="52" t="s">
        <v>1800</v>
      </c>
      <c r="H425" s="52" t="s">
        <v>1800</v>
      </c>
    </row>
    <row r="426" ht="15.75" hidden="1" customHeight="1">
      <c r="A426" s="38" t="s">
        <v>28</v>
      </c>
      <c r="B426" s="38" t="s">
        <v>117</v>
      </c>
      <c r="C426" s="38" t="s">
        <v>99</v>
      </c>
      <c r="D426" s="38" t="s">
        <v>98</v>
      </c>
      <c r="E426" s="38" t="s">
        <v>991</v>
      </c>
      <c r="F426" s="52">
        <v>5.0</v>
      </c>
      <c r="G426" s="52">
        <v>199500.0</v>
      </c>
      <c r="H426" s="52">
        <v>25160.0</v>
      </c>
    </row>
    <row r="427" ht="15.75" hidden="1" customHeight="1">
      <c r="A427" s="38" t="s">
        <v>28</v>
      </c>
      <c r="B427" s="38" t="s">
        <v>117</v>
      </c>
      <c r="C427" s="38" t="s">
        <v>99</v>
      </c>
      <c r="D427" s="38" t="s">
        <v>98</v>
      </c>
      <c r="E427" s="38" t="s">
        <v>992</v>
      </c>
      <c r="F427" s="52" t="s">
        <v>1800</v>
      </c>
      <c r="G427" s="52" t="s">
        <v>1800</v>
      </c>
      <c r="H427" s="52" t="s">
        <v>1800</v>
      </c>
    </row>
    <row r="428" ht="15.75" hidden="1" customHeight="1">
      <c r="A428" s="38" t="s">
        <v>28</v>
      </c>
      <c r="B428" s="38" t="s">
        <v>117</v>
      </c>
      <c r="C428" s="38" t="s">
        <v>99</v>
      </c>
      <c r="D428" s="38" t="s">
        <v>98</v>
      </c>
      <c r="E428" s="38" t="s">
        <v>993</v>
      </c>
      <c r="F428" s="52" t="s">
        <v>1800</v>
      </c>
      <c r="G428" s="52" t="s">
        <v>1800</v>
      </c>
      <c r="H428" s="52" t="s">
        <v>1800</v>
      </c>
    </row>
    <row r="429" ht="15.75" hidden="1" customHeight="1">
      <c r="A429" s="38" t="s">
        <v>28</v>
      </c>
      <c r="B429" s="38" t="s">
        <v>117</v>
      </c>
      <c r="C429" s="38" t="s">
        <v>994</v>
      </c>
      <c r="D429" s="38" t="s">
        <v>995</v>
      </c>
      <c r="E429" s="38" t="s">
        <v>996</v>
      </c>
      <c r="F429" s="52" t="s">
        <v>1800</v>
      </c>
      <c r="G429" s="52" t="s">
        <v>1800</v>
      </c>
      <c r="H429" s="52" t="s">
        <v>1800</v>
      </c>
    </row>
    <row r="430" ht="15.75" hidden="1" customHeight="1">
      <c r="A430" s="38" t="s">
        <v>28</v>
      </c>
      <c r="B430" s="38" t="s">
        <v>117</v>
      </c>
      <c r="C430" s="38" t="s">
        <v>994</v>
      </c>
      <c r="D430" s="38" t="s">
        <v>995</v>
      </c>
      <c r="E430" s="38" t="s">
        <v>997</v>
      </c>
      <c r="F430" s="52" t="s">
        <v>1800</v>
      </c>
      <c r="G430" s="52" t="s">
        <v>1800</v>
      </c>
      <c r="H430" s="52" t="s">
        <v>1800</v>
      </c>
    </row>
    <row r="431" ht="15.75" hidden="1" customHeight="1">
      <c r="A431" s="38" t="s">
        <v>28</v>
      </c>
      <c r="B431" s="38" t="s">
        <v>117</v>
      </c>
      <c r="C431" s="38" t="s">
        <v>994</v>
      </c>
      <c r="D431" s="38" t="s">
        <v>995</v>
      </c>
      <c r="E431" s="38" t="s">
        <v>998</v>
      </c>
      <c r="F431" s="52" t="s">
        <v>1800</v>
      </c>
      <c r="G431" s="52" t="s">
        <v>1800</v>
      </c>
      <c r="H431" s="52" t="s">
        <v>1800</v>
      </c>
    </row>
    <row r="432" ht="15.75" hidden="1" customHeight="1">
      <c r="A432" s="38" t="s">
        <v>28</v>
      </c>
      <c r="B432" s="38" t="s">
        <v>117</v>
      </c>
      <c r="C432" s="38" t="s">
        <v>994</v>
      </c>
      <c r="D432" s="38" t="s">
        <v>995</v>
      </c>
      <c r="E432" s="38" t="s">
        <v>999</v>
      </c>
      <c r="F432" s="52" t="s">
        <v>1800</v>
      </c>
      <c r="G432" s="52" t="s">
        <v>1800</v>
      </c>
      <c r="H432" s="52" t="s">
        <v>1800</v>
      </c>
    </row>
    <row r="433" ht="15.75" hidden="1" customHeight="1">
      <c r="A433" s="38" t="s">
        <v>28</v>
      </c>
      <c r="B433" s="38" t="s">
        <v>117</v>
      </c>
      <c r="C433" s="38" t="s">
        <v>994</v>
      </c>
      <c r="D433" s="38" t="s">
        <v>995</v>
      </c>
      <c r="E433" s="38" t="s">
        <v>1000</v>
      </c>
      <c r="F433" s="52">
        <v>3.0</v>
      </c>
      <c r="G433" s="52">
        <v>95700.0</v>
      </c>
      <c r="H433" s="52">
        <v>18180.0</v>
      </c>
    </row>
    <row r="434" ht="15.75" hidden="1" customHeight="1">
      <c r="A434" s="38" t="s">
        <v>28</v>
      </c>
      <c r="B434" s="38" t="s">
        <v>117</v>
      </c>
      <c r="C434" s="38" t="s">
        <v>994</v>
      </c>
      <c r="D434" s="38" t="s">
        <v>995</v>
      </c>
      <c r="E434" s="38" t="s">
        <v>1001</v>
      </c>
      <c r="F434" s="52">
        <v>1.0</v>
      </c>
      <c r="G434" s="52">
        <v>29900.0</v>
      </c>
      <c r="H434" s="52">
        <v>5680.0</v>
      </c>
    </row>
    <row r="435" ht="15.75" hidden="1" customHeight="1">
      <c r="A435" s="38" t="s">
        <v>28</v>
      </c>
      <c r="B435" s="38" t="s">
        <v>117</v>
      </c>
      <c r="C435" s="38" t="s">
        <v>994</v>
      </c>
      <c r="D435" s="38" t="s">
        <v>995</v>
      </c>
      <c r="E435" s="38" t="s">
        <v>1002</v>
      </c>
      <c r="F435" s="52" t="s">
        <v>1800</v>
      </c>
      <c r="G435" s="52" t="s">
        <v>1800</v>
      </c>
      <c r="H435" s="52" t="s">
        <v>1800</v>
      </c>
    </row>
    <row r="436" ht="15.75" hidden="1" customHeight="1">
      <c r="A436" s="38" t="s">
        <v>28</v>
      </c>
      <c r="B436" s="38" t="s">
        <v>117</v>
      </c>
      <c r="C436" s="38" t="s">
        <v>994</v>
      </c>
      <c r="D436" s="38" t="s">
        <v>995</v>
      </c>
      <c r="E436" s="38" t="s">
        <v>1003</v>
      </c>
      <c r="F436" s="52" t="s">
        <v>1800</v>
      </c>
      <c r="G436" s="52" t="s">
        <v>1800</v>
      </c>
      <c r="H436" s="52" t="s">
        <v>1800</v>
      </c>
    </row>
    <row r="437" ht="15.75" hidden="1" customHeight="1">
      <c r="A437" s="38" t="s">
        <v>28</v>
      </c>
      <c r="B437" s="38" t="s">
        <v>117</v>
      </c>
      <c r="C437" s="38" t="s">
        <v>994</v>
      </c>
      <c r="D437" s="38" t="s">
        <v>995</v>
      </c>
      <c r="E437" s="38" t="s">
        <v>1004</v>
      </c>
      <c r="F437" s="52" t="s">
        <v>1800</v>
      </c>
      <c r="G437" s="52" t="s">
        <v>1800</v>
      </c>
      <c r="H437" s="52" t="s">
        <v>1800</v>
      </c>
    </row>
    <row r="438" ht="15.75" hidden="1" customHeight="1">
      <c r="A438" s="38" t="s">
        <v>28</v>
      </c>
      <c r="B438" s="38" t="s">
        <v>117</v>
      </c>
      <c r="C438" s="38" t="s">
        <v>994</v>
      </c>
      <c r="D438" s="38" t="s">
        <v>995</v>
      </c>
      <c r="E438" s="38" t="s">
        <v>1005</v>
      </c>
      <c r="F438" s="52" t="s">
        <v>1800</v>
      </c>
      <c r="G438" s="52" t="s">
        <v>1800</v>
      </c>
      <c r="H438" s="52" t="s">
        <v>1800</v>
      </c>
    </row>
    <row r="439" ht="15.75" hidden="1" customHeight="1">
      <c r="A439" s="38" t="s">
        <v>28</v>
      </c>
      <c r="B439" s="38" t="s">
        <v>117</v>
      </c>
      <c r="C439" s="38" t="s">
        <v>994</v>
      </c>
      <c r="D439" s="38" t="s">
        <v>995</v>
      </c>
      <c r="E439" s="38" t="s">
        <v>1006</v>
      </c>
      <c r="F439" s="52" t="s">
        <v>1800</v>
      </c>
      <c r="G439" s="52" t="s">
        <v>1800</v>
      </c>
      <c r="H439" s="52" t="s">
        <v>1800</v>
      </c>
    </row>
    <row r="440" ht="15.75" hidden="1" customHeight="1">
      <c r="A440" s="38" t="s">
        <v>28</v>
      </c>
      <c r="B440" s="38" t="s">
        <v>117</v>
      </c>
      <c r="C440" s="38" t="s">
        <v>994</v>
      </c>
      <c r="D440" s="38" t="s">
        <v>995</v>
      </c>
      <c r="E440" s="38" t="s">
        <v>1007</v>
      </c>
      <c r="F440" s="52" t="s">
        <v>1800</v>
      </c>
      <c r="G440" s="52" t="s">
        <v>1800</v>
      </c>
      <c r="H440" s="52" t="s">
        <v>1800</v>
      </c>
    </row>
    <row r="441" ht="15.75" hidden="1" customHeight="1">
      <c r="A441" s="38" t="s">
        <v>28</v>
      </c>
      <c r="B441" s="38" t="s">
        <v>117</v>
      </c>
      <c r="C441" s="38" t="s">
        <v>994</v>
      </c>
      <c r="D441" s="38" t="s">
        <v>995</v>
      </c>
      <c r="E441" s="38" t="s">
        <v>1008</v>
      </c>
      <c r="F441" s="52" t="s">
        <v>1800</v>
      </c>
      <c r="G441" s="52" t="s">
        <v>1800</v>
      </c>
      <c r="H441" s="52" t="s">
        <v>1800</v>
      </c>
    </row>
    <row r="442" ht="15.75" hidden="1" customHeight="1">
      <c r="A442" s="38" t="s">
        <v>28</v>
      </c>
      <c r="B442" s="38" t="s">
        <v>117</v>
      </c>
      <c r="C442" s="38" t="s">
        <v>994</v>
      </c>
      <c r="D442" s="38" t="s">
        <v>995</v>
      </c>
      <c r="E442" s="38" t="s">
        <v>1009</v>
      </c>
      <c r="F442" s="52" t="s">
        <v>1800</v>
      </c>
      <c r="G442" s="52" t="s">
        <v>1800</v>
      </c>
      <c r="H442" s="52" t="s">
        <v>1800</v>
      </c>
    </row>
    <row r="443" ht="15.75" hidden="1" customHeight="1">
      <c r="A443" s="38" t="s">
        <v>28</v>
      </c>
      <c r="B443" s="38" t="s">
        <v>117</v>
      </c>
      <c r="C443" s="38" t="s">
        <v>994</v>
      </c>
      <c r="D443" s="38" t="s">
        <v>995</v>
      </c>
      <c r="E443" s="38" t="s">
        <v>1010</v>
      </c>
      <c r="F443" s="52" t="s">
        <v>1800</v>
      </c>
      <c r="G443" s="52" t="s">
        <v>1800</v>
      </c>
      <c r="H443" s="52" t="s">
        <v>1800</v>
      </c>
    </row>
    <row r="444" ht="15.75" hidden="1" customHeight="1">
      <c r="A444" s="38" t="s">
        <v>28</v>
      </c>
      <c r="B444" s="38" t="s">
        <v>117</v>
      </c>
      <c r="C444" s="38" t="s">
        <v>994</v>
      </c>
      <c r="D444" s="38" t="s">
        <v>995</v>
      </c>
      <c r="E444" s="38" t="s">
        <v>1011</v>
      </c>
      <c r="F444" s="52" t="s">
        <v>1800</v>
      </c>
      <c r="G444" s="52" t="s">
        <v>1800</v>
      </c>
      <c r="H444" s="52" t="s">
        <v>1800</v>
      </c>
    </row>
    <row r="445" ht="15.75" hidden="1" customHeight="1">
      <c r="A445" s="38" t="s">
        <v>28</v>
      </c>
      <c r="B445" s="38" t="s">
        <v>117</v>
      </c>
      <c r="C445" s="38" t="s">
        <v>994</v>
      </c>
      <c r="D445" s="38" t="s">
        <v>995</v>
      </c>
      <c r="E445" s="38" t="s">
        <v>1012</v>
      </c>
      <c r="F445" s="52" t="s">
        <v>1800</v>
      </c>
      <c r="G445" s="52" t="s">
        <v>1800</v>
      </c>
      <c r="H445" s="52" t="s">
        <v>1800</v>
      </c>
    </row>
    <row r="446" ht="15.75" hidden="1" customHeight="1">
      <c r="A446" s="38" t="s">
        <v>28</v>
      </c>
      <c r="B446" s="38" t="s">
        <v>117</v>
      </c>
      <c r="C446" s="38" t="s">
        <v>994</v>
      </c>
      <c r="D446" s="38" t="s">
        <v>995</v>
      </c>
      <c r="E446" s="38" t="s">
        <v>1013</v>
      </c>
      <c r="F446" s="52" t="s">
        <v>1800</v>
      </c>
      <c r="G446" s="52" t="s">
        <v>1800</v>
      </c>
      <c r="H446" s="52" t="s">
        <v>1800</v>
      </c>
    </row>
    <row r="447" ht="15.75" hidden="1" customHeight="1">
      <c r="A447" s="38" t="s">
        <v>28</v>
      </c>
      <c r="B447" s="38" t="s">
        <v>117</v>
      </c>
      <c r="C447" s="38" t="s">
        <v>994</v>
      </c>
      <c r="D447" s="38" t="s">
        <v>995</v>
      </c>
      <c r="E447" s="38" t="s">
        <v>1014</v>
      </c>
      <c r="F447" s="52" t="s">
        <v>1800</v>
      </c>
      <c r="G447" s="52" t="s">
        <v>1800</v>
      </c>
      <c r="H447" s="52" t="s">
        <v>1800</v>
      </c>
    </row>
    <row r="448" ht="15.75" hidden="1" customHeight="1">
      <c r="A448" s="38" t="s">
        <v>28</v>
      </c>
      <c r="B448" s="38" t="s">
        <v>117</v>
      </c>
      <c r="C448" s="38" t="s">
        <v>994</v>
      </c>
      <c r="D448" s="38" t="s">
        <v>995</v>
      </c>
      <c r="E448" s="38" t="s">
        <v>1015</v>
      </c>
      <c r="F448" s="52">
        <v>2.0</v>
      </c>
      <c r="G448" s="52">
        <v>200000.0</v>
      </c>
      <c r="H448" s="52">
        <v>20000.0</v>
      </c>
    </row>
    <row r="449" ht="15.75" hidden="1" customHeight="1">
      <c r="A449" s="38" t="s">
        <v>28</v>
      </c>
      <c r="B449" s="38" t="s">
        <v>117</v>
      </c>
      <c r="C449" s="38" t="s">
        <v>994</v>
      </c>
      <c r="D449" s="38" t="s">
        <v>995</v>
      </c>
      <c r="E449" s="38" t="s">
        <v>1016</v>
      </c>
      <c r="F449" s="52" t="s">
        <v>1800</v>
      </c>
      <c r="G449" s="52" t="s">
        <v>1800</v>
      </c>
      <c r="H449" s="52" t="s">
        <v>1800</v>
      </c>
    </row>
    <row r="450" ht="15.75" hidden="1" customHeight="1">
      <c r="A450" s="38" t="s">
        <v>28</v>
      </c>
      <c r="B450" s="38" t="s">
        <v>117</v>
      </c>
      <c r="C450" s="38" t="s">
        <v>1017</v>
      </c>
      <c r="D450" s="38" t="s">
        <v>1018</v>
      </c>
      <c r="E450" s="38" t="s">
        <v>1019</v>
      </c>
      <c r="F450" s="52" t="s">
        <v>1800</v>
      </c>
      <c r="G450" s="52" t="s">
        <v>1800</v>
      </c>
      <c r="H450" s="52" t="s">
        <v>1800</v>
      </c>
    </row>
    <row r="451" ht="15.75" hidden="1" customHeight="1">
      <c r="A451" s="38" t="s">
        <v>28</v>
      </c>
      <c r="B451" s="38" t="s">
        <v>117</v>
      </c>
      <c r="C451" s="38" t="s">
        <v>1017</v>
      </c>
      <c r="D451" s="38" t="s">
        <v>1018</v>
      </c>
      <c r="E451" s="38" t="s">
        <v>1020</v>
      </c>
      <c r="F451" s="52" t="s">
        <v>1800</v>
      </c>
      <c r="G451" s="52" t="s">
        <v>1800</v>
      </c>
      <c r="H451" s="52" t="s">
        <v>1800</v>
      </c>
    </row>
    <row r="452" ht="15.75" hidden="1" customHeight="1">
      <c r="A452" s="38" t="s">
        <v>28</v>
      </c>
      <c r="B452" s="38" t="s">
        <v>117</v>
      </c>
      <c r="C452" s="38" t="s">
        <v>1017</v>
      </c>
      <c r="D452" s="38" t="s">
        <v>1018</v>
      </c>
      <c r="E452" s="38" t="s">
        <v>1021</v>
      </c>
      <c r="F452" s="52" t="s">
        <v>1800</v>
      </c>
      <c r="G452" s="52" t="s">
        <v>1800</v>
      </c>
      <c r="H452" s="52" t="s">
        <v>1800</v>
      </c>
    </row>
    <row r="453" ht="15.75" hidden="1" customHeight="1">
      <c r="A453" s="38" t="s">
        <v>28</v>
      </c>
      <c r="B453" s="38" t="s">
        <v>117</v>
      </c>
      <c r="C453" s="38" t="s">
        <v>1017</v>
      </c>
      <c r="D453" s="38" t="s">
        <v>1018</v>
      </c>
      <c r="E453" s="38" t="s">
        <v>1022</v>
      </c>
      <c r="F453" s="52" t="s">
        <v>1800</v>
      </c>
      <c r="G453" s="52" t="s">
        <v>1800</v>
      </c>
      <c r="H453" s="52" t="s">
        <v>1800</v>
      </c>
    </row>
    <row r="454" ht="15.75" hidden="1" customHeight="1">
      <c r="A454" s="38" t="s">
        <v>28</v>
      </c>
      <c r="B454" s="38" t="s">
        <v>186</v>
      </c>
      <c r="C454" s="38" t="s">
        <v>1017</v>
      </c>
      <c r="D454" s="38" t="s">
        <v>1018</v>
      </c>
      <c r="E454" s="38" t="s">
        <v>1023</v>
      </c>
      <c r="F454" s="52" t="s">
        <v>1800</v>
      </c>
      <c r="G454" s="52" t="s">
        <v>1800</v>
      </c>
      <c r="H454" s="52" t="s">
        <v>1800</v>
      </c>
    </row>
    <row r="455" ht="15.75" hidden="1" customHeight="1">
      <c r="A455" s="38" t="s">
        <v>28</v>
      </c>
      <c r="B455" s="38" t="s">
        <v>186</v>
      </c>
      <c r="C455" s="38" t="s">
        <v>1017</v>
      </c>
      <c r="D455" s="38" t="s">
        <v>1018</v>
      </c>
      <c r="E455" s="38" t="s">
        <v>1024</v>
      </c>
      <c r="F455" s="52" t="s">
        <v>1800</v>
      </c>
      <c r="G455" s="52" t="s">
        <v>1800</v>
      </c>
      <c r="H455" s="52" t="s">
        <v>1800</v>
      </c>
    </row>
    <row r="456" ht="15.75" hidden="1" customHeight="1">
      <c r="A456" s="38" t="s">
        <v>28</v>
      </c>
      <c r="B456" s="38" t="s">
        <v>117</v>
      </c>
      <c r="C456" s="38" t="s">
        <v>1017</v>
      </c>
      <c r="D456" s="38" t="s">
        <v>1018</v>
      </c>
      <c r="E456" s="38" t="s">
        <v>1025</v>
      </c>
      <c r="F456" s="52" t="s">
        <v>1800</v>
      </c>
      <c r="G456" s="52" t="s">
        <v>1800</v>
      </c>
      <c r="H456" s="52" t="s">
        <v>1800</v>
      </c>
    </row>
    <row r="457" ht="15.75" hidden="1" customHeight="1">
      <c r="A457" s="38" t="s">
        <v>28</v>
      </c>
      <c r="B457" s="38" t="s">
        <v>117</v>
      </c>
      <c r="C457" s="38" t="s">
        <v>1017</v>
      </c>
      <c r="D457" s="38" t="s">
        <v>1018</v>
      </c>
      <c r="E457" s="38" t="s">
        <v>1026</v>
      </c>
      <c r="F457" s="52" t="s">
        <v>1800</v>
      </c>
      <c r="G457" s="52" t="s">
        <v>1800</v>
      </c>
      <c r="H457" s="52" t="s">
        <v>1800</v>
      </c>
    </row>
    <row r="458" ht="15.75" hidden="1" customHeight="1">
      <c r="A458" s="38" t="s">
        <v>28</v>
      </c>
      <c r="B458" s="38" t="s">
        <v>117</v>
      </c>
      <c r="C458" s="38" t="s">
        <v>1027</v>
      </c>
      <c r="D458" s="38" t="s">
        <v>1028</v>
      </c>
      <c r="E458" s="38" t="s">
        <v>1029</v>
      </c>
      <c r="F458" s="52">
        <v>2255.0</v>
      </c>
      <c r="G458" s="52">
        <v>1.39759E7</v>
      </c>
      <c r="H458" s="52">
        <v>2783730.0</v>
      </c>
    </row>
    <row r="459" ht="15.75" hidden="1" customHeight="1">
      <c r="A459" s="38" t="s">
        <v>28</v>
      </c>
      <c r="B459" s="38" t="s">
        <v>117</v>
      </c>
      <c r="C459" s="38" t="s">
        <v>1030</v>
      </c>
      <c r="D459" s="38" t="s">
        <v>1031</v>
      </c>
      <c r="E459" s="38" t="s">
        <v>1032</v>
      </c>
      <c r="F459" s="52">
        <v>19.0</v>
      </c>
      <c r="G459" s="52">
        <v>254600.0</v>
      </c>
      <c r="H459" s="52">
        <v>47820.0</v>
      </c>
    </row>
    <row r="460" ht="15.75" hidden="1" customHeight="1">
      <c r="A460" s="38" t="s">
        <v>28</v>
      </c>
      <c r="B460" s="38" t="s">
        <v>117</v>
      </c>
      <c r="C460" s="38" t="s">
        <v>1033</v>
      </c>
      <c r="D460" s="38" t="s">
        <v>1034</v>
      </c>
      <c r="E460" s="38" t="s">
        <v>1035</v>
      </c>
      <c r="F460" s="52">
        <v>7.0</v>
      </c>
      <c r="G460" s="52">
        <v>268100.0</v>
      </c>
      <c r="H460" s="52">
        <v>52990.0</v>
      </c>
    </row>
    <row r="461" ht="15.75" hidden="1" customHeight="1">
      <c r="A461" s="38" t="s">
        <v>28</v>
      </c>
      <c r="B461" s="38" t="s">
        <v>117</v>
      </c>
      <c r="C461" s="38" t="s">
        <v>1033</v>
      </c>
      <c r="D461" s="38" t="s">
        <v>1034</v>
      </c>
      <c r="E461" s="38" t="s">
        <v>1036</v>
      </c>
      <c r="F461" s="52">
        <v>716.0</v>
      </c>
      <c r="G461" s="52">
        <v>2.581525E7</v>
      </c>
      <c r="H461" s="52">
        <v>5052290.0</v>
      </c>
    </row>
    <row r="462" ht="15.75" hidden="1" customHeight="1">
      <c r="A462" s="38" t="s">
        <v>28</v>
      </c>
      <c r="B462" s="38" t="s">
        <v>117</v>
      </c>
      <c r="C462" s="38" t="s">
        <v>1033</v>
      </c>
      <c r="D462" s="38" t="s">
        <v>1034</v>
      </c>
      <c r="E462" s="38" t="s">
        <v>1037</v>
      </c>
      <c r="F462" s="52" t="s">
        <v>1800</v>
      </c>
      <c r="G462" s="52" t="s">
        <v>1800</v>
      </c>
      <c r="H462" s="52" t="s">
        <v>1800</v>
      </c>
    </row>
    <row r="463" ht="15.75" hidden="1" customHeight="1">
      <c r="A463" s="38" t="s">
        <v>28</v>
      </c>
      <c r="B463" s="38" t="s">
        <v>117</v>
      </c>
      <c r="C463" s="38" t="s">
        <v>1033</v>
      </c>
      <c r="D463" s="38" t="s">
        <v>1034</v>
      </c>
      <c r="E463" s="38" t="s">
        <v>1038</v>
      </c>
      <c r="F463" s="52" t="s">
        <v>1800</v>
      </c>
      <c r="G463" s="52" t="s">
        <v>1800</v>
      </c>
      <c r="H463" s="52" t="s">
        <v>1800</v>
      </c>
    </row>
    <row r="464" ht="15.75" hidden="1" customHeight="1">
      <c r="A464" s="38" t="s">
        <v>28</v>
      </c>
      <c r="B464" s="38" t="s">
        <v>186</v>
      </c>
      <c r="C464" s="38" t="s">
        <v>1039</v>
      </c>
      <c r="D464" s="38" t="s">
        <v>1040</v>
      </c>
      <c r="E464" s="38" t="s">
        <v>1041</v>
      </c>
      <c r="F464" s="52">
        <v>8.0</v>
      </c>
      <c r="G464" s="52">
        <v>167000.0</v>
      </c>
      <c r="H464" s="52">
        <v>28580.0</v>
      </c>
    </row>
    <row r="465" ht="15.75" hidden="1" customHeight="1">
      <c r="A465" s="38" t="s">
        <v>28</v>
      </c>
      <c r="B465" s="38" t="s">
        <v>186</v>
      </c>
      <c r="C465" s="38" t="s">
        <v>1039</v>
      </c>
      <c r="D465" s="38" t="s">
        <v>1040</v>
      </c>
      <c r="E465" s="38" t="s">
        <v>1042</v>
      </c>
      <c r="F465" s="52" t="s">
        <v>1800</v>
      </c>
      <c r="G465" s="52" t="s">
        <v>1800</v>
      </c>
      <c r="H465" s="52" t="s">
        <v>1800</v>
      </c>
    </row>
    <row r="466" ht="15.75" hidden="1" customHeight="1">
      <c r="A466" s="38" t="s">
        <v>28</v>
      </c>
      <c r="B466" s="38" t="s">
        <v>186</v>
      </c>
      <c r="C466" s="38" t="s">
        <v>1039</v>
      </c>
      <c r="D466" s="38" t="s">
        <v>1040</v>
      </c>
      <c r="E466" s="38" t="s">
        <v>1043</v>
      </c>
      <c r="F466" s="52" t="s">
        <v>1800</v>
      </c>
      <c r="G466" s="52" t="s">
        <v>1800</v>
      </c>
      <c r="H466" s="52" t="s">
        <v>1800</v>
      </c>
    </row>
    <row r="467" ht="15.75" hidden="1" customHeight="1">
      <c r="A467" s="38" t="s">
        <v>28</v>
      </c>
      <c r="B467" s="38" t="s">
        <v>186</v>
      </c>
      <c r="C467" s="38" t="s">
        <v>1039</v>
      </c>
      <c r="D467" s="38" t="s">
        <v>1040</v>
      </c>
      <c r="E467" s="38" t="s">
        <v>1044</v>
      </c>
      <c r="F467" s="52">
        <v>1.0</v>
      </c>
      <c r="G467" s="52">
        <v>15000.0</v>
      </c>
      <c r="H467" s="52">
        <v>2850.0</v>
      </c>
    </row>
    <row r="468" ht="15.75" hidden="1" customHeight="1">
      <c r="A468" s="38" t="s">
        <v>28</v>
      </c>
      <c r="B468" s="38" t="s">
        <v>186</v>
      </c>
      <c r="C468" s="38" t="s">
        <v>1039</v>
      </c>
      <c r="D468" s="38" t="s">
        <v>1040</v>
      </c>
      <c r="E468" s="38" t="s">
        <v>1045</v>
      </c>
      <c r="F468" s="52" t="s">
        <v>1800</v>
      </c>
      <c r="G468" s="52" t="s">
        <v>1800</v>
      </c>
      <c r="H468" s="52" t="s">
        <v>1800</v>
      </c>
    </row>
    <row r="469" ht="15.75" hidden="1" customHeight="1">
      <c r="A469" s="38" t="s">
        <v>28</v>
      </c>
      <c r="B469" s="38" t="s">
        <v>174</v>
      </c>
      <c r="C469" s="38" t="s">
        <v>1046</v>
      </c>
      <c r="D469" s="38" t="s">
        <v>1047</v>
      </c>
      <c r="E469" s="38" t="s">
        <v>1048</v>
      </c>
      <c r="F469" s="52">
        <v>125.0</v>
      </c>
      <c r="G469" s="52">
        <v>2653350.0</v>
      </c>
      <c r="H469" s="52">
        <v>379050.0</v>
      </c>
    </row>
    <row r="470" ht="15.75" hidden="1" customHeight="1">
      <c r="A470" s="38" t="s">
        <v>28</v>
      </c>
      <c r="B470" s="38" t="s">
        <v>174</v>
      </c>
      <c r="C470" s="38" t="s">
        <v>1046</v>
      </c>
      <c r="D470" s="38" t="s">
        <v>1047</v>
      </c>
      <c r="E470" s="38" t="s">
        <v>1049</v>
      </c>
      <c r="F470" s="52">
        <v>1.0</v>
      </c>
      <c r="G470" s="52">
        <v>36270.0</v>
      </c>
      <c r="H470" s="52">
        <v>6850.0</v>
      </c>
    </row>
    <row r="471" ht="15.75" hidden="1" customHeight="1">
      <c r="A471" s="38" t="s">
        <v>28</v>
      </c>
      <c r="B471" s="38" t="s">
        <v>174</v>
      </c>
      <c r="C471" s="38" t="s">
        <v>1046</v>
      </c>
      <c r="D471" s="38" t="s">
        <v>1047</v>
      </c>
      <c r="E471" s="38" t="s">
        <v>1050</v>
      </c>
      <c r="F471" s="52" t="s">
        <v>1800</v>
      </c>
      <c r="G471" s="52" t="s">
        <v>1800</v>
      </c>
      <c r="H471" s="52" t="s">
        <v>1800</v>
      </c>
    </row>
    <row r="472" ht="15.75" hidden="1" customHeight="1">
      <c r="A472" s="38" t="s">
        <v>28</v>
      </c>
      <c r="B472" s="38" t="s">
        <v>174</v>
      </c>
      <c r="C472" s="38" t="s">
        <v>1046</v>
      </c>
      <c r="D472" s="38" t="s">
        <v>1047</v>
      </c>
      <c r="E472" s="38" t="s">
        <v>1051</v>
      </c>
      <c r="F472" s="52" t="s">
        <v>1800</v>
      </c>
      <c r="G472" s="52" t="s">
        <v>1800</v>
      </c>
      <c r="H472" s="52" t="s">
        <v>1800</v>
      </c>
    </row>
    <row r="473" ht="15.75" hidden="1" customHeight="1">
      <c r="A473" s="38" t="s">
        <v>28</v>
      </c>
      <c r="B473" s="38" t="s">
        <v>174</v>
      </c>
      <c r="C473" s="38" t="s">
        <v>1046</v>
      </c>
      <c r="D473" s="38" t="s">
        <v>1047</v>
      </c>
      <c r="E473" s="38" t="s">
        <v>1052</v>
      </c>
      <c r="F473" s="52" t="s">
        <v>1800</v>
      </c>
      <c r="G473" s="52" t="s">
        <v>1800</v>
      </c>
      <c r="H473" s="52" t="s">
        <v>1800</v>
      </c>
    </row>
    <row r="474" ht="15.75" hidden="1" customHeight="1">
      <c r="A474" s="38" t="s">
        <v>28</v>
      </c>
      <c r="B474" s="38" t="s">
        <v>174</v>
      </c>
      <c r="C474" s="38" t="s">
        <v>1046</v>
      </c>
      <c r="D474" s="38" t="s">
        <v>1047</v>
      </c>
      <c r="E474" s="38" t="s">
        <v>1048</v>
      </c>
      <c r="F474" s="52" t="s">
        <v>1800</v>
      </c>
      <c r="G474" s="52" t="s">
        <v>1800</v>
      </c>
      <c r="H474" s="52" t="s">
        <v>1800</v>
      </c>
    </row>
    <row r="475" ht="15.75" hidden="1" customHeight="1">
      <c r="A475" s="38" t="s">
        <v>28</v>
      </c>
      <c r="B475" s="38" t="s">
        <v>174</v>
      </c>
      <c r="C475" s="38" t="s">
        <v>1046</v>
      </c>
      <c r="D475" s="38" t="s">
        <v>1047</v>
      </c>
      <c r="E475" s="38" t="s">
        <v>1055</v>
      </c>
      <c r="F475" s="52">
        <v>1217.0</v>
      </c>
      <c r="G475" s="52">
        <v>3.928344E7</v>
      </c>
      <c r="H475" s="52">
        <v>4663540.0</v>
      </c>
    </row>
    <row r="476" ht="15.75" hidden="1" customHeight="1">
      <c r="A476" s="38" t="s">
        <v>28</v>
      </c>
      <c r="B476" s="38" t="s">
        <v>186</v>
      </c>
      <c r="C476" s="38" t="s">
        <v>1056</v>
      </c>
      <c r="D476" s="38" t="s">
        <v>1057</v>
      </c>
      <c r="E476" s="38" t="s">
        <v>1058</v>
      </c>
      <c r="F476" s="52">
        <v>4.0</v>
      </c>
      <c r="G476" s="52">
        <v>60000.0</v>
      </c>
      <c r="H476" s="52">
        <v>11310.0</v>
      </c>
    </row>
    <row r="477" ht="15.75" hidden="1" customHeight="1">
      <c r="A477" s="38" t="s">
        <v>28</v>
      </c>
      <c r="B477" s="38" t="s">
        <v>186</v>
      </c>
      <c r="C477" s="38" t="s">
        <v>1056</v>
      </c>
      <c r="D477" s="38" t="s">
        <v>1057</v>
      </c>
      <c r="E477" s="38" t="s">
        <v>1059</v>
      </c>
      <c r="F477" s="52">
        <v>1.0</v>
      </c>
      <c r="G477" s="52">
        <v>19000.0</v>
      </c>
      <c r="H477" s="52">
        <v>3530.0</v>
      </c>
    </row>
    <row r="478" ht="15.75" hidden="1" customHeight="1">
      <c r="A478" s="38" t="s">
        <v>28</v>
      </c>
      <c r="B478" s="38" t="s">
        <v>186</v>
      </c>
      <c r="C478" s="38" t="s">
        <v>1056</v>
      </c>
      <c r="D478" s="38" t="s">
        <v>1057</v>
      </c>
      <c r="E478" s="38" t="s">
        <v>1060</v>
      </c>
      <c r="F478" s="52" t="s">
        <v>1800</v>
      </c>
      <c r="G478" s="52" t="s">
        <v>1800</v>
      </c>
      <c r="H478" s="52" t="s">
        <v>1800</v>
      </c>
    </row>
    <row r="479" ht="15.75" hidden="1" customHeight="1">
      <c r="A479" s="38" t="s">
        <v>28</v>
      </c>
      <c r="B479" s="38" t="s">
        <v>186</v>
      </c>
      <c r="C479" s="38" t="s">
        <v>1056</v>
      </c>
      <c r="D479" s="38" t="s">
        <v>1057</v>
      </c>
      <c r="E479" s="38" t="s">
        <v>1061</v>
      </c>
      <c r="F479" s="52" t="s">
        <v>1800</v>
      </c>
      <c r="G479" s="52" t="s">
        <v>1800</v>
      </c>
      <c r="H479" s="52" t="s">
        <v>1800</v>
      </c>
    </row>
    <row r="480" ht="15.75" hidden="1" customHeight="1">
      <c r="A480" s="38" t="s">
        <v>28</v>
      </c>
      <c r="B480" s="38" t="s">
        <v>186</v>
      </c>
      <c r="C480" s="38" t="s">
        <v>1062</v>
      </c>
      <c r="D480" s="38" t="s">
        <v>1063</v>
      </c>
      <c r="E480" s="38" t="s">
        <v>1064</v>
      </c>
      <c r="F480" s="52">
        <v>26.0</v>
      </c>
      <c r="G480" s="52">
        <v>436400.0</v>
      </c>
      <c r="H480" s="52">
        <v>84590.0</v>
      </c>
    </row>
    <row r="481" ht="15.75" hidden="1" customHeight="1">
      <c r="A481" s="38" t="s">
        <v>28</v>
      </c>
      <c r="B481" s="38" t="s">
        <v>186</v>
      </c>
      <c r="C481" s="38" t="s">
        <v>1062</v>
      </c>
      <c r="D481" s="38" t="s">
        <v>1063</v>
      </c>
      <c r="E481" s="38" t="s">
        <v>1065</v>
      </c>
      <c r="F481" s="52">
        <v>47.0</v>
      </c>
      <c r="G481" s="52">
        <v>391700.0</v>
      </c>
      <c r="H481" s="52">
        <v>75490.0</v>
      </c>
    </row>
    <row r="482" ht="15.75" hidden="1" customHeight="1">
      <c r="A482" s="38" t="s">
        <v>28</v>
      </c>
      <c r="B482" s="38" t="s">
        <v>186</v>
      </c>
      <c r="C482" s="38" t="s">
        <v>1062</v>
      </c>
      <c r="D482" s="38" t="s">
        <v>1063</v>
      </c>
      <c r="E482" s="38" t="s">
        <v>1066</v>
      </c>
      <c r="F482" s="52" t="s">
        <v>1800</v>
      </c>
      <c r="G482" s="52" t="s">
        <v>1800</v>
      </c>
      <c r="H482" s="52" t="s">
        <v>1800</v>
      </c>
    </row>
    <row r="483" ht="15.75" hidden="1" customHeight="1">
      <c r="A483" s="38" t="s">
        <v>28</v>
      </c>
      <c r="B483" s="38" t="s">
        <v>117</v>
      </c>
      <c r="C483" s="38" t="s">
        <v>1067</v>
      </c>
      <c r="D483" s="38" t="s">
        <v>1068</v>
      </c>
      <c r="E483" s="38" t="s">
        <v>1069</v>
      </c>
      <c r="F483" s="52" t="s">
        <v>1800</v>
      </c>
      <c r="G483" s="52" t="s">
        <v>1800</v>
      </c>
      <c r="H483" s="52" t="s">
        <v>1800</v>
      </c>
    </row>
    <row r="484" ht="15.75" hidden="1" customHeight="1">
      <c r="A484" s="38" t="s">
        <v>28</v>
      </c>
      <c r="B484" s="38" t="s">
        <v>186</v>
      </c>
      <c r="C484" s="38" t="s">
        <v>1067</v>
      </c>
      <c r="D484" s="38" t="s">
        <v>1068</v>
      </c>
      <c r="E484" s="38" t="s">
        <v>1070</v>
      </c>
      <c r="F484" s="52" t="s">
        <v>1800</v>
      </c>
      <c r="G484" s="52" t="s">
        <v>1800</v>
      </c>
      <c r="H484" s="52" t="s">
        <v>1800</v>
      </c>
    </row>
    <row r="485" ht="15.75" hidden="1" customHeight="1">
      <c r="A485" s="38" t="s">
        <v>28</v>
      </c>
      <c r="B485" s="38" t="s">
        <v>117</v>
      </c>
      <c r="C485" s="38" t="s">
        <v>1071</v>
      </c>
      <c r="D485" s="38" t="s">
        <v>1072</v>
      </c>
      <c r="E485" s="38" t="s">
        <v>1073</v>
      </c>
      <c r="F485" s="52">
        <v>4.0</v>
      </c>
      <c r="G485" s="52">
        <v>42000.0</v>
      </c>
      <c r="H485" s="52">
        <v>7980.0</v>
      </c>
    </row>
    <row r="486" ht="15.75" hidden="1" customHeight="1">
      <c r="A486" s="38" t="s">
        <v>28</v>
      </c>
      <c r="B486" s="38" t="s">
        <v>117</v>
      </c>
      <c r="C486" s="38" t="s">
        <v>1071</v>
      </c>
      <c r="D486" s="38" t="s">
        <v>1072</v>
      </c>
      <c r="E486" s="38" t="s">
        <v>1074</v>
      </c>
      <c r="F486" s="52" t="s">
        <v>1800</v>
      </c>
      <c r="G486" s="52" t="s">
        <v>1800</v>
      </c>
      <c r="H486" s="52" t="s">
        <v>1800</v>
      </c>
    </row>
    <row r="487" ht="15.75" hidden="1" customHeight="1">
      <c r="A487" s="38" t="s">
        <v>28</v>
      </c>
      <c r="B487" s="38" t="s">
        <v>174</v>
      </c>
      <c r="C487" s="38" t="s">
        <v>1075</v>
      </c>
      <c r="D487" s="38" t="s">
        <v>1076</v>
      </c>
      <c r="E487" s="38" t="s">
        <v>1077</v>
      </c>
      <c r="F487" s="52">
        <v>1.0</v>
      </c>
      <c r="G487" s="52">
        <v>7900.0</v>
      </c>
      <c r="H487" s="52">
        <v>1470.0</v>
      </c>
    </row>
    <row r="488" ht="15.75" hidden="1" customHeight="1">
      <c r="A488" s="38" t="s">
        <v>28</v>
      </c>
      <c r="B488" s="38" t="s">
        <v>174</v>
      </c>
      <c r="C488" s="38" t="s">
        <v>1075</v>
      </c>
      <c r="D488" s="38" t="s">
        <v>1076</v>
      </c>
      <c r="E488" s="38" t="s">
        <v>1078</v>
      </c>
      <c r="F488" s="52">
        <v>7.0</v>
      </c>
      <c r="G488" s="52">
        <v>54500.0</v>
      </c>
      <c r="H488" s="52">
        <v>9440.0</v>
      </c>
    </row>
    <row r="489" ht="15.75" hidden="1" customHeight="1">
      <c r="A489" s="38" t="s">
        <v>28</v>
      </c>
      <c r="B489" s="38" t="s">
        <v>174</v>
      </c>
      <c r="C489" s="38" t="s">
        <v>1075</v>
      </c>
      <c r="D489" s="38" t="s">
        <v>1076</v>
      </c>
      <c r="E489" s="38" t="s">
        <v>1079</v>
      </c>
      <c r="F489" s="52" t="s">
        <v>1800</v>
      </c>
      <c r="G489" s="52" t="s">
        <v>1800</v>
      </c>
      <c r="H489" s="52" t="s">
        <v>1800</v>
      </c>
    </row>
    <row r="490" ht="15.75" hidden="1" customHeight="1">
      <c r="A490" s="38" t="s">
        <v>28</v>
      </c>
      <c r="B490" s="38" t="s">
        <v>174</v>
      </c>
      <c r="C490" s="38" t="s">
        <v>1075</v>
      </c>
      <c r="D490" s="38" t="s">
        <v>1076</v>
      </c>
      <c r="E490" s="38" t="s">
        <v>1080</v>
      </c>
      <c r="F490" s="52">
        <v>2.0</v>
      </c>
      <c r="G490" s="52">
        <v>29400.0</v>
      </c>
      <c r="H490" s="52">
        <v>5400.0</v>
      </c>
    </row>
    <row r="491" ht="15.75" hidden="1" customHeight="1">
      <c r="A491" s="38" t="s">
        <v>28</v>
      </c>
      <c r="B491" s="38" t="s">
        <v>174</v>
      </c>
      <c r="C491" s="38" t="s">
        <v>1075</v>
      </c>
      <c r="D491" s="38" t="s">
        <v>1076</v>
      </c>
      <c r="E491" s="38" t="s">
        <v>1081</v>
      </c>
      <c r="F491" s="52">
        <v>3.0</v>
      </c>
      <c r="G491" s="52">
        <v>41700.0</v>
      </c>
      <c r="H491" s="52">
        <v>7450.0</v>
      </c>
    </row>
    <row r="492" ht="15.75" hidden="1" customHeight="1">
      <c r="A492" s="38" t="s">
        <v>28</v>
      </c>
      <c r="B492" s="38" t="s">
        <v>174</v>
      </c>
      <c r="C492" s="38" t="s">
        <v>1075</v>
      </c>
      <c r="D492" s="38" t="s">
        <v>1076</v>
      </c>
      <c r="E492" s="38" t="s">
        <v>1082</v>
      </c>
      <c r="F492" s="52">
        <v>1.0</v>
      </c>
      <c r="G492" s="52">
        <v>22500.0</v>
      </c>
      <c r="H492" s="52">
        <v>4270.0</v>
      </c>
    </row>
    <row r="493" ht="15.75" hidden="1" customHeight="1">
      <c r="A493" s="38" t="s">
        <v>28</v>
      </c>
      <c r="B493" s="38" t="s">
        <v>174</v>
      </c>
      <c r="C493" s="38" t="s">
        <v>1075</v>
      </c>
      <c r="D493" s="38" t="s">
        <v>1076</v>
      </c>
      <c r="E493" s="38" t="s">
        <v>1083</v>
      </c>
      <c r="F493" s="52">
        <v>1.0</v>
      </c>
      <c r="G493" s="52">
        <v>25800.0</v>
      </c>
      <c r="H493" s="52">
        <v>4760.0</v>
      </c>
    </row>
    <row r="494" ht="15.75" hidden="1" customHeight="1">
      <c r="A494" s="38" t="s">
        <v>28</v>
      </c>
      <c r="B494" s="38" t="s">
        <v>174</v>
      </c>
      <c r="C494" s="38" t="s">
        <v>1075</v>
      </c>
      <c r="D494" s="38" t="s">
        <v>1076</v>
      </c>
      <c r="E494" s="38" t="s">
        <v>1084</v>
      </c>
      <c r="F494" s="52" t="s">
        <v>1800</v>
      </c>
      <c r="G494" s="52" t="s">
        <v>1800</v>
      </c>
      <c r="H494" s="52" t="s">
        <v>1800</v>
      </c>
    </row>
    <row r="495" ht="15.75" hidden="1" customHeight="1">
      <c r="A495" s="38" t="s">
        <v>28</v>
      </c>
      <c r="B495" s="38" t="s">
        <v>174</v>
      </c>
      <c r="C495" s="38" t="s">
        <v>1075</v>
      </c>
      <c r="D495" s="38" t="s">
        <v>1076</v>
      </c>
      <c r="E495" s="38" t="s">
        <v>1085</v>
      </c>
      <c r="F495" s="52" t="s">
        <v>1800</v>
      </c>
      <c r="G495" s="52" t="s">
        <v>1800</v>
      </c>
      <c r="H495" s="52" t="s">
        <v>1800</v>
      </c>
    </row>
    <row r="496" ht="15.75" hidden="1" customHeight="1">
      <c r="A496" s="38" t="s">
        <v>28</v>
      </c>
      <c r="B496" s="38" t="s">
        <v>174</v>
      </c>
      <c r="C496" s="38" t="s">
        <v>1075</v>
      </c>
      <c r="D496" s="38" t="s">
        <v>1076</v>
      </c>
      <c r="E496" s="38" t="s">
        <v>1086</v>
      </c>
      <c r="F496" s="52" t="s">
        <v>1800</v>
      </c>
      <c r="G496" s="52" t="s">
        <v>1800</v>
      </c>
      <c r="H496" s="52" t="s">
        <v>1800</v>
      </c>
    </row>
    <row r="497" ht="15.75" hidden="1" customHeight="1">
      <c r="A497" s="38" t="s">
        <v>28</v>
      </c>
      <c r="B497" s="38" t="s">
        <v>174</v>
      </c>
      <c r="C497" s="38" t="s">
        <v>1075</v>
      </c>
      <c r="D497" s="38" t="s">
        <v>1076</v>
      </c>
      <c r="E497" s="38" t="s">
        <v>1087</v>
      </c>
      <c r="F497" s="52" t="s">
        <v>1800</v>
      </c>
      <c r="G497" s="52" t="s">
        <v>1800</v>
      </c>
      <c r="H497" s="52" t="s">
        <v>1800</v>
      </c>
    </row>
    <row r="498" ht="15.75" hidden="1" customHeight="1">
      <c r="A498" s="38" t="s">
        <v>28</v>
      </c>
      <c r="B498" s="38" t="s">
        <v>174</v>
      </c>
      <c r="C498" s="38" t="s">
        <v>1075</v>
      </c>
      <c r="D498" s="38" t="s">
        <v>1076</v>
      </c>
      <c r="E498" s="38" t="s">
        <v>1088</v>
      </c>
      <c r="F498" s="52" t="s">
        <v>1800</v>
      </c>
      <c r="G498" s="52" t="s">
        <v>1800</v>
      </c>
      <c r="H498" s="52" t="s">
        <v>1800</v>
      </c>
    </row>
    <row r="499" ht="15.75" hidden="1" customHeight="1">
      <c r="A499" s="38" t="s">
        <v>28</v>
      </c>
      <c r="B499" s="38" t="s">
        <v>186</v>
      </c>
      <c r="C499" s="38" t="s">
        <v>1089</v>
      </c>
      <c r="D499" s="38" t="s">
        <v>1090</v>
      </c>
      <c r="E499" s="38" t="s">
        <v>1091</v>
      </c>
      <c r="F499" s="52" t="s">
        <v>1800</v>
      </c>
      <c r="G499" s="52" t="s">
        <v>1800</v>
      </c>
      <c r="H499" s="52" t="s">
        <v>1800</v>
      </c>
    </row>
    <row r="500" ht="15.75" hidden="1" customHeight="1">
      <c r="A500" s="38" t="s">
        <v>28</v>
      </c>
      <c r="B500" s="38" t="s">
        <v>186</v>
      </c>
      <c r="C500" s="38" t="s">
        <v>1089</v>
      </c>
      <c r="D500" s="38" t="s">
        <v>1090</v>
      </c>
      <c r="E500" s="38" t="s">
        <v>1092</v>
      </c>
      <c r="F500" s="52" t="s">
        <v>1800</v>
      </c>
      <c r="G500" s="52" t="s">
        <v>1800</v>
      </c>
      <c r="H500" s="52" t="s">
        <v>1800</v>
      </c>
    </row>
    <row r="501" ht="15.75" hidden="1" customHeight="1">
      <c r="A501" s="38" t="s">
        <v>28</v>
      </c>
      <c r="B501" s="38" t="s">
        <v>186</v>
      </c>
      <c r="C501" s="38" t="s">
        <v>1089</v>
      </c>
      <c r="D501" s="38" t="s">
        <v>1090</v>
      </c>
      <c r="E501" s="38" t="s">
        <v>1093</v>
      </c>
      <c r="F501" s="52" t="s">
        <v>1800</v>
      </c>
      <c r="G501" s="52" t="s">
        <v>1800</v>
      </c>
      <c r="H501" s="52" t="s">
        <v>1800</v>
      </c>
    </row>
    <row r="502" ht="15.75" hidden="1" customHeight="1">
      <c r="A502" s="38" t="s">
        <v>28</v>
      </c>
      <c r="B502" s="38" t="s">
        <v>186</v>
      </c>
      <c r="C502" s="38" t="s">
        <v>1089</v>
      </c>
      <c r="D502" s="38" t="s">
        <v>1090</v>
      </c>
      <c r="E502" s="38" t="s">
        <v>1094</v>
      </c>
      <c r="F502" s="52" t="s">
        <v>1800</v>
      </c>
      <c r="G502" s="52" t="s">
        <v>1800</v>
      </c>
      <c r="H502" s="52" t="s">
        <v>1800</v>
      </c>
    </row>
    <row r="503" ht="15.75" hidden="1" customHeight="1">
      <c r="A503" s="38" t="s">
        <v>28</v>
      </c>
      <c r="B503" s="38" t="s">
        <v>186</v>
      </c>
      <c r="C503" s="38" t="s">
        <v>1089</v>
      </c>
      <c r="D503" s="38" t="s">
        <v>1090</v>
      </c>
      <c r="E503" s="38" t="s">
        <v>1094</v>
      </c>
      <c r="F503" s="52" t="s">
        <v>1800</v>
      </c>
      <c r="G503" s="52" t="s">
        <v>1800</v>
      </c>
      <c r="H503" s="52" t="s">
        <v>1800</v>
      </c>
    </row>
    <row r="504" ht="15.75" hidden="1" customHeight="1">
      <c r="A504" s="38" t="s">
        <v>28</v>
      </c>
      <c r="B504" s="38" t="s">
        <v>186</v>
      </c>
      <c r="C504" s="38" t="s">
        <v>1089</v>
      </c>
      <c r="D504" s="38" t="s">
        <v>1090</v>
      </c>
      <c r="E504" s="38" t="s">
        <v>1095</v>
      </c>
      <c r="F504" s="52" t="s">
        <v>1800</v>
      </c>
      <c r="G504" s="52" t="s">
        <v>1800</v>
      </c>
      <c r="H504" s="52" t="s">
        <v>1800</v>
      </c>
    </row>
    <row r="505" ht="15.75" hidden="1" customHeight="1">
      <c r="A505" s="38" t="s">
        <v>28</v>
      </c>
      <c r="B505" s="38" t="s">
        <v>186</v>
      </c>
      <c r="C505" s="38" t="s">
        <v>1089</v>
      </c>
      <c r="D505" s="38" t="s">
        <v>1090</v>
      </c>
      <c r="E505" s="38" t="s">
        <v>1096</v>
      </c>
      <c r="F505" s="52" t="s">
        <v>1800</v>
      </c>
      <c r="G505" s="52" t="s">
        <v>1800</v>
      </c>
      <c r="H505" s="52" t="s">
        <v>1800</v>
      </c>
    </row>
    <row r="506" ht="15.75" hidden="1" customHeight="1">
      <c r="A506" s="38" t="s">
        <v>28</v>
      </c>
      <c r="B506" s="38" t="s">
        <v>186</v>
      </c>
      <c r="C506" s="38" t="s">
        <v>1097</v>
      </c>
      <c r="D506" s="38" t="s">
        <v>1098</v>
      </c>
      <c r="E506" s="38" t="s">
        <v>1099</v>
      </c>
      <c r="F506" s="52">
        <v>1.0</v>
      </c>
      <c r="G506" s="52">
        <v>30000.0</v>
      </c>
      <c r="H506" s="52">
        <v>5700.0</v>
      </c>
    </row>
    <row r="507" ht="15.75" hidden="1" customHeight="1">
      <c r="A507" s="38" t="s">
        <v>28</v>
      </c>
      <c r="B507" s="38" t="s">
        <v>186</v>
      </c>
      <c r="C507" s="38" t="s">
        <v>1097</v>
      </c>
      <c r="D507" s="38" t="s">
        <v>1098</v>
      </c>
      <c r="E507" s="38" t="s">
        <v>1100</v>
      </c>
      <c r="F507" s="52">
        <v>1.0</v>
      </c>
      <c r="G507" s="52">
        <v>30000.0</v>
      </c>
      <c r="H507" s="52">
        <v>5700.0</v>
      </c>
    </row>
    <row r="508" ht="15.75" hidden="1" customHeight="1">
      <c r="A508" s="38" t="s">
        <v>28</v>
      </c>
      <c r="B508" s="38" t="s">
        <v>186</v>
      </c>
      <c r="C508" s="38" t="s">
        <v>1097</v>
      </c>
      <c r="D508" s="38" t="s">
        <v>1098</v>
      </c>
      <c r="E508" s="38" t="s">
        <v>1101</v>
      </c>
      <c r="F508" s="52" t="s">
        <v>1800</v>
      </c>
      <c r="G508" s="52" t="s">
        <v>1800</v>
      </c>
      <c r="H508" s="52" t="s">
        <v>1800</v>
      </c>
    </row>
    <row r="509" ht="15.75" hidden="1" customHeight="1">
      <c r="A509" s="38" t="s">
        <v>28</v>
      </c>
      <c r="B509" s="38" t="s">
        <v>186</v>
      </c>
      <c r="C509" s="38" t="s">
        <v>1097</v>
      </c>
      <c r="D509" s="38" t="s">
        <v>1098</v>
      </c>
      <c r="E509" s="38" t="s">
        <v>1102</v>
      </c>
      <c r="F509" s="52" t="s">
        <v>1800</v>
      </c>
      <c r="G509" s="52" t="s">
        <v>1800</v>
      </c>
      <c r="H509" s="52" t="s">
        <v>1800</v>
      </c>
    </row>
    <row r="510" ht="15.75" hidden="1" customHeight="1">
      <c r="A510" s="38" t="s">
        <v>28</v>
      </c>
      <c r="B510" s="38" t="s">
        <v>186</v>
      </c>
      <c r="C510" s="38" t="s">
        <v>1097</v>
      </c>
      <c r="D510" s="38" t="s">
        <v>1098</v>
      </c>
      <c r="E510" s="38" t="s">
        <v>1103</v>
      </c>
      <c r="F510" s="52" t="s">
        <v>1800</v>
      </c>
      <c r="G510" s="52" t="s">
        <v>1800</v>
      </c>
      <c r="H510" s="52" t="s">
        <v>1800</v>
      </c>
    </row>
    <row r="511" ht="15.75" hidden="1" customHeight="1">
      <c r="A511" s="38" t="s">
        <v>28</v>
      </c>
      <c r="B511" s="38" t="s">
        <v>186</v>
      </c>
      <c r="C511" s="38" t="s">
        <v>1097</v>
      </c>
      <c r="D511" s="38" t="s">
        <v>1098</v>
      </c>
      <c r="E511" s="38" t="s">
        <v>1104</v>
      </c>
      <c r="F511" s="52" t="s">
        <v>1800</v>
      </c>
      <c r="G511" s="52" t="s">
        <v>1800</v>
      </c>
      <c r="H511" s="52" t="s">
        <v>1800</v>
      </c>
    </row>
    <row r="512" ht="15.75" hidden="1" customHeight="1">
      <c r="A512" s="38" t="s">
        <v>28</v>
      </c>
      <c r="B512" s="38" t="s">
        <v>186</v>
      </c>
      <c r="C512" s="38" t="s">
        <v>1097</v>
      </c>
      <c r="D512" s="38" t="s">
        <v>1098</v>
      </c>
      <c r="E512" s="38" t="s">
        <v>1105</v>
      </c>
      <c r="F512" s="52">
        <v>2.0</v>
      </c>
      <c r="G512" s="52">
        <v>20000.0</v>
      </c>
      <c r="H512" s="52">
        <v>3600.0</v>
      </c>
    </row>
    <row r="513" ht="15.75" hidden="1" customHeight="1">
      <c r="A513" s="38" t="s">
        <v>28</v>
      </c>
      <c r="B513" s="38" t="s">
        <v>186</v>
      </c>
      <c r="C513" s="38" t="s">
        <v>1097</v>
      </c>
      <c r="D513" s="38" t="s">
        <v>1098</v>
      </c>
      <c r="E513" s="38" t="s">
        <v>1106</v>
      </c>
      <c r="F513" s="52">
        <v>1.0</v>
      </c>
      <c r="G513" s="52">
        <v>15000.0</v>
      </c>
      <c r="H513" s="52">
        <v>2400.0</v>
      </c>
    </row>
    <row r="514" ht="15.75" hidden="1" customHeight="1">
      <c r="A514" s="38" t="s">
        <v>28</v>
      </c>
      <c r="B514" s="38" t="s">
        <v>186</v>
      </c>
      <c r="C514" s="38" t="s">
        <v>1097</v>
      </c>
      <c r="D514" s="38" t="s">
        <v>1098</v>
      </c>
      <c r="E514" s="38" t="s">
        <v>1107</v>
      </c>
      <c r="F514" s="52">
        <v>2.0</v>
      </c>
      <c r="G514" s="52">
        <v>60000.0</v>
      </c>
      <c r="H514" s="52">
        <v>10000.0</v>
      </c>
    </row>
    <row r="515" ht="15.75" hidden="1" customHeight="1">
      <c r="A515" s="38" t="s">
        <v>28</v>
      </c>
      <c r="B515" s="38" t="s">
        <v>186</v>
      </c>
      <c r="C515" s="38" t="s">
        <v>1097</v>
      </c>
      <c r="D515" s="38" t="s">
        <v>1098</v>
      </c>
      <c r="E515" s="38" t="s">
        <v>1108</v>
      </c>
      <c r="F515" s="52">
        <v>2.0</v>
      </c>
      <c r="G515" s="52">
        <v>140000.0</v>
      </c>
      <c r="H515" s="52">
        <v>20000.0</v>
      </c>
    </row>
    <row r="516" ht="15.75" hidden="1" customHeight="1">
      <c r="A516" s="38" t="s">
        <v>28</v>
      </c>
      <c r="B516" s="38" t="s">
        <v>186</v>
      </c>
      <c r="C516" s="38" t="s">
        <v>1109</v>
      </c>
      <c r="D516" s="38" t="s">
        <v>1110</v>
      </c>
      <c r="E516" s="38" t="s">
        <v>1111</v>
      </c>
      <c r="F516" s="52" t="s">
        <v>1800</v>
      </c>
      <c r="G516" s="52" t="s">
        <v>1800</v>
      </c>
      <c r="H516" s="52" t="s">
        <v>1800</v>
      </c>
    </row>
    <row r="517" ht="15.75" hidden="1" customHeight="1">
      <c r="A517" s="38" t="s">
        <v>28</v>
      </c>
      <c r="B517" s="38" t="s">
        <v>186</v>
      </c>
      <c r="C517" s="38" t="s">
        <v>1109</v>
      </c>
      <c r="D517" s="38" t="s">
        <v>1110</v>
      </c>
      <c r="E517" s="38" t="s">
        <v>1112</v>
      </c>
      <c r="F517" s="52" t="s">
        <v>1800</v>
      </c>
      <c r="G517" s="52" t="s">
        <v>1800</v>
      </c>
      <c r="H517" s="52" t="s">
        <v>1800</v>
      </c>
    </row>
    <row r="518" ht="15.75" hidden="1" customHeight="1">
      <c r="A518" s="38" t="s">
        <v>28</v>
      </c>
      <c r="B518" s="38" t="s">
        <v>186</v>
      </c>
      <c r="C518" s="38" t="s">
        <v>1109</v>
      </c>
      <c r="D518" s="38" t="s">
        <v>1110</v>
      </c>
      <c r="E518" s="38" t="s">
        <v>1113</v>
      </c>
      <c r="F518" s="52" t="s">
        <v>1800</v>
      </c>
      <c r="G518" s="52" t="s">
        <v>1800</v>
      </c>
      <c r="H518" s="52" t="s">
        <v>1800</v>
      </c>
    </row>
    <row r="519" ht="15.75" hidden="1" customHeight="1">
      <c r="A519" s="38" t="s">
        <v>28</v>
      </c>
      <c r="B519" s="38" t="s">
        <v>186</v>
      </c>
      <c r="C519" s="38" t="s">
        <v>1109</v>
      </c>
      <c r="D519" s="38" t="s">
        <v>1110</v>
      </c>
      <c r="E519" s="38" t="s">
        <v>1114</v>
      </c>
      <c r="F519" s="52" t="s">
        <v>1800</v>
      </c>
      <c r="G519" s="52" t="s">
        <v>1800</v>
      </c>
      <c r="H519" s="52" t="s">
        <v>1800</v>
      </c>
    </row>
    <row r="520" ht="15.75" hidden="1" customHeight="1">
      <c r="A520" s="38" t="s">
        <v>28</v>
      </c>
      <c r="B520" s="38" t="s">
        <v>186</v>
      </c>
      <c r="C520" s="38" t="s">
        <v>1109</v>
      </c>
      <c r="D520" s="38" t="s">
        <v>1110</v>
      </c>
      <c r="E520" s="38" t="s">
        <v>1115</v>
      </c>
      <c r="F520" s="52" t="s">
        <v>1800</v>
      </c>
      <c r="G520" s="52" t="s">
        <v>1800</v>
      </c>
      <c r="H520" s="52" t="s">
        <v>1800</v>
      </c>
    </row>
    <row r="521" ht="15.75" hidden="1" customHeight="1">
      <c r="A521" s="38" t="s">
        <v>28</v>
      </c>
      <c r="B521" s="38" t="s">
        <v>186</v>
      </c>
      <c r="C521" s="38" t="s">
        <v>1109</v>
      </c>
      <c r="D521" s="38" t="s">
        <v>1110</v>
      </c>
      <c r="E521" s="38" t="s">
        <v>1116</v>
      </c>
      <c r="F521" s="52" t="s">
        <v>1800</v>
      </c>
      <c r="G521" s="52" t="s">
        <v>1800</v>
      </c>
      <c r="H521" s="52" t="s">
        <v>1800</v>
      </c>
    </row>
    <row r="522" ht="15.75" hidden="1" customHeight="1">
      <c r="A522" s="38" t="s">
        <v>28</v>
      </c>
      <c r="B522" s="38" t="s">
        <v>186</v>
      </c>
      <c r="C522" s="38" t="s">
        <v>1109</v>
      </c>
      <c r="D522" s="38" t="s">
        <v>1110</v>
      </c>
      <c r="E522" s="38" t="s">
        <v>1118</v>
      </c>
      <c r="F522" s="52" t="s">
        <v>1800</v>
      </c>
      <c r="G522" s="52" t="s">
        <v>1800</v>
      </c>
      <c r="H522" s="52" t="s">
        <v>1800</v>
      </c>
    </row>
    <row r="523" ht="15.75" hidden="1" customHeight="1">
      <c r="A523" s="38" t="s">
        <v>28</v>
      </c>
      <c r="B523" s="38" t="s">
        <v>186</v>
      </c>
      <c r="C523" s="38" t="s">
        <v>1109</v>
      </c>
      <c r="D523" s="38" t="s">
        <v>1110</v>
      </c>
      <c r="E523" s="38" t="s">
        <v>1119</v>
      </c>
      <c r="F523" s="52" t="s">
        <v>1800</v>
      </c>
      <c r="G523" s="52" t="s">
        <v>1800</v>
      </c>
      <c r="H523" s="52" t="s">
        <v>1800</v>
      </c>
    </row>
    <row r="524" ht="15.75" hidden="1" customHeight="1">
      <c r="A524" s="38" t="s">
        <v>28</v>
      </c>
      <c r="B524" s="38" t="s">
        <v>186</v>
      </c>
      <c r="C524" s="38" t="s">
        <v>1109</v>
      </c>
      <c r="D524" s="38" t="s">
        <v>1110</v>
      </c>
      <c r="E524" s="38" t="s">
        <v>1120</v>
      </c>
      <c r="F524" s="52" t="s">
        <v>1800</v>
      </c>
      <c r="G524" s="52" t="s">
        <v>1800</v>
      </c>
      <c r="H524" s="52" t="s">
        <v>1800</v>
      </c>
    </row>
    <row r="525" ht="15.75" hidden="1" customHeight="1">
      <c r="A525" s="38" t="s">
        <v>28</v>
      </c>
      <c r="B525" s="38" t="s">
        <v>186</v>
      </c>
      <c r="C525" s="38" t="s">
        <v>1109</v>
      </c>
      <c r="D525" s="38" t="s">
        <v>1110</v>
      </c>
      <c r="E525" s="38" t="s">
        <v>1121</v>
      </c>
      <c r="F525" s="52" t="s">
        <v>1800</v>
      </c>
      <c r="G525" s="52" t="s">
        <v>1800</v>
      </c>
      <c r="H525" s="52" t="s">
        <v>1800</v>
      </c>
    </row>
    <row r="526" ht="15.75" hidden="1" customHeight="1">
      <c r="A526" s="38" t="s">
        <v>28</v>
      </c>
      <c r="B526" s="38" t="s">
        <v>186</v>
      </c>
      <c r="C526" s="38" t="s">
        <v>1109</v>
      </c>
      <c r="D526" s="38" t="s">
        <v>1110</v>
      </c>
      <c r="E526" s="38" t="s">
        <v>1122</v>
      </c>
      <c r="F526" s="52" t="s">
        <v>1800</v>
      </c>
      <c r="G526" s="52" t="s">
        <v>1800</v>
      </c>
      <c r="H526" s="52" t="s">
        <v>1800</v>
      </c>
    </row>
    <row r="527" ht="15.75" hidden="1" customHeight="1">
      <c r="A527" s="38" t="s">
        <v>28</v>
      </c>
      <c r="B527" s="38" t="s">
        <v>186</v>
      </c>
      <c r="C527" s="38" t="s">
        <v>1109</v>
      </c>
      <c r="D527" s="38" t="s">
        <v>1110</v>
      </c>
      <c r="E527" s="38" t="s">
        <v>1123</v>
      </c>
      <c r="F527" s="52" t="s">
        <v>1800</v>
      </c>
      <c r="G527" s="52" t="s">
        <v>1800</v>
      </c>
      <c r="H527" s="52" t="s">
        <v>1800</v>
      </c>
    </row>
    <row r="528" ht="15.75" hidden="1" customHeight="1">
      <c r="A528" s="38" t="s">
        <v>28</v>
      </c>
      <c r="B528" s="38" t="s">
        <v>186</v>
      </c>
      <c r="C528" s="38" t="s">
        <v>1109</v>
      </c>
      <c r="D528" s="38" t="s">
        <v>1110</v>
      </c>
      <c r="E528" s="38" t="s">
        <v>1124</v>
      </c>
      <c r="F528" s="52" t="s">
        <v>1800</v>
      </c>
      <c r="G528" s="52" t="s">
        <v>1800</v>
      </c>
      <c r="H528" s="52" t="s">
        <v>1800</v>
      </c>
    </row>
    <row r="529" ht="15.75" hidden="1" customHeight="1">
      <c r="A529" s="38" t="s">
        <v>28</v>
      </c>
      <c r="B529" s="38" t="s">
        <v>186</v>
      </c>
      <c r="C529" s="38" t="s">
        <v>1109</v>
      </c>
      <c r="D529" s="38" t="s">
        <v>1110</v>
      </c>
      <c r="E529" s="38" t="s">
        <v>1125</v>
      </c>
      <c r="F529" s="52" t="s">
        <v>1800</v>
      </c>
      <c r="G529" s="52" t="s">
        <v>1800</v>
      </c>
      <c r="H529" s="52" t="s">
        <v>1800</v>
      </c>
    </row>
    <row r="530" ht="15.75" hidden="1" customHeight="1">
      <c r="A530" s="38" t="s">
        <v>28</v>
      </c>
      <c r="B530" s="38" t="s">
        <v>186</v>
      </c>
      <c r="C530" s="38" t="s">
        <v>1109</v>
      </c>
      <c r="D530" s="38" t="s">
        <v>1110</v>
      </c>
      <c r="E530" s="38" t="s">
        <v>1126</v>
      </c>
      <c r="F530" s="52" t="s">
        <v>1800</v>
      </c>
      <c r="G530" s="52" t="s">
        <v>1800</v>
      </c>
      <c r="H530" s="52" t="s">
        <v>1800</v>
      </c>
    </row>
    <row r="531" ht="15.75" hidden="1" customHeight="1">
      <c r="A531" s="38" t="s">
        <v>28</v>
      </c>
      <c r="B531" s="38" t="s">
        <v>186</v>
      </c>
      <c r="C531" s="38" t="s">
        <v>1109</v>
      </c>
      <c r="D531" s="38" t="s">
        <v>1110</v>
      </c>
      <c r="E531" s="38" t="s">
        <v>1127</v>
      </c>
      <c r="F531" s="52" t="s">
        <v>1800</v>
      </c>
      <c r="G531" s="52" t="s">
        <v>1800</v>
      </c>
      <c r="H531" s="52" t="s">
        <v>1800</v>
      </c>
    </row>
    <row r="532" ht="15.75" hidden="1" customHeight="1">
      <c r="A532" s="38" t="s">
        <v>28</v>
      </c>
      <c r="B532" s="38" t="s">
        <v>186</v>
      </c>
      <c r="C532" s="38" t="s">
        <v>1109</v>
      </c>
      <c r="D532" s="38" t="s">
        <v>1110</v>
      </c>
      <c r="E532" s="38" t="s">
        <v>1128</v>
      </c>
      <c r="F532" s="52" t="s">
        <v>1800</v>
      </c>
      <c r="G532" s="52" t="s">
        <v>1800</v>
      </c>
      <c r="H532" s="52" t="s">
        <v>1800</v>
      </c>
    </row>
    <row r="533" ht="15.75" hidden="1" customHeight="1">
      <c r="A533" s="38" t="s">
        <v>28</v>
      </c>
      <c r="B533" s="38" t="s">
        <v>186</v>
      </c>
      <c r="C533" s="38" t="s">
        <v>1109</v>
      </c>
      <c r="D533" s="38" t="s">
        <v>1110</v>
      </c>
      <c r="E533" s="38" t="s">
        <v>1129</v>
      </c>
      <c r="F533" s="52" t="s">
        <v>1800</v>
      </c>
      <c r="G533" s="52" t="s">
        <v>1800</v>
      </c>
      <c r="H533" s="52" t="s">
        <v>1800</v>
      </c>
    </row>
    <row r="534" ht="15.75" hidden="1" customHeight="1">
      <c r="A534" s="38" t="s">
        <v>28</v>
      </c>
      <c r="B534" s="38" t="s">
        <v>186</v>
      </c>
      <c r="C534" s="38" t="s">
        <v>1109</v>
      </c>
      <c r="D534" s="38" t="s">
        <v>1110</v>
      </c>
      <c r="E534" s="38" t="s">
        <v>1130</v>
      </c>
      <c r="F534" s="52" t="s">
        <v>1800</v>
      </c>
      <c r="G534" s="52" t="s">
        <v>1800</v>
      </c>
      <c r="H534" s="52" t="s">
        <v>1800</v>
      </c>
    </row>
    <row r="535" ht="15.75" hidden="1" customHeight="1">
      <c r="A535" s="38" t="s">
        <v>28</v>
      </c>
      <c r="B535" s="38" t="s">
        <v>186</v>
      </c>
      <c r="C535" s="38" t="s">
        <v>1109</v>
      </c>
      <c r="D535" s="38" t="s">
        <v>1110</v>
      </c>
      <c r="E535" s="38" t="s">
        <v>1131</v>
      </c>
      <c r="F535" s="52" t="s">
        <v>1800</v>
      </c>
      <c r="G535" s="52" t="s">
        <v>1800</v>
      </c>
      <c r="H535" s="52" t="s">
        <v>1800</v>
      </c>
    </row>
    <row r="536" ht="15.75" hidden="1" customHeight="1">
      <c r="A536" s="38" t="s">
        <v>28</v>
      </c>
      <c r="B536" s="38" t="s">
        <v>186</v>
      </c>
      <c r="C536" s="38" t="s">
        <v>1109</v>
      </c>
      <c r="D536" s="38" t="s">
        <v>1110</v>
      </c>
      <c r="E536" s="38" t="s">
        <v>1132</v>
      </c>
      <c r="F536" s="52" t="s">
        <v>1800</v>
      </c>
      <c r="G536" s="52" t="s">
        <v>1800</v>
      </c>
      <c r="H536" s="52" t="s">
        <v>1800</v>
      </c>
    </row>
    <row r="537" ht="15.75" hidden="1" customHeight="1">
      <c r="A537" s="38" t="s">
        <v>28</v>
      </c>
      <c r="B537" s="38" t="s">
        <v>186</v>
      </c>
      <c r="C537" s="38" t="s">
        <v>1109</v>
      </c>
      <c r="D537" s="38" t="s">
        <v>1110</v>
      </c>
      <c r="E537" s="38" t="s">
        <v>1133</v>
      </c>
      <c r="F537" s="52" t="s">
        <v>1800</v>
      </c>
      <c r="G537" s="52" t="s">
        <v>1800</v>
      </c>
      <c r="H537" s="52" t="s">
        <v>1800</v>
      </c>
    </row>
    <row r="538" ht="15.75" hidden="1" customHeight="1">
      <c r="A538" s="38" t="s">
        <v>28</v>
      </c>
      <c r="B538" s="38" t="s">
        <v>186</v>
      </c>
      <c r="C538" s="38" t="s">
        <v>1109</v>
      </c>
      <c r="D538" s="38" t="s">
        <v>1110</v>
      </c>
      <c r="E538" s="38" t="s">
        <v>1134</v>
      </c>
      <c r="F538" s="52" t="s">
        <v>1800</v>
      </c>
      <c r="G538" s="52" t="s">
        <v>1800</v>
      </c>
      <c r="H538" s="52" t="s">
        <v>1800</v>
      </c>
    </row>
    <row r="539" ht="15.75" hidden="1" customHeight="1">
      <c r="A539" s="38" t="s">
        <v>28</v>
      </c>
      <c r="B539" s="38" t="s">
        <v>186</v>
      </c>
      <c r="C539" s="38" t="s">
        <v>1109</v>
      </c>
      <c r="D539" s="38" t="s">
        <v>1110</v>
      </c>
      <c r="E539" s="38" t="s">
        <v>1135</v>
      </c>
      <c r="F539" s="52" t="s">
        <v>1800</v>
      </c>
      <c r="G539" s="52" t="s">
        <v>1800</v>
      </c>
      <c r="H539" s="52" t="s">
        <v>1800</v>
      </c>
    </row>
    <row r="540" ht="15.75" hidden="1" customHeight="1">
      <c r="A540" s="38" t="s">
        <v>28</v>
      </c>
      <c r="B540" s="38" t="s">
        <v>186</v>
      </c>
      <c r="C540" s="38" t="s">
        <v>1109</v>
      </c>
      <c r="D540" s="38" t="s">
        <v>1110</v>
      </c>
      <c r="E540" s="38" t="s">
        <v>1136</v>
      </c>
      <c r="F540" s="52" t="s">
        <v>1800</v>
      </c>
      <c r="G540" s="52" t="s">
        <v>1800</v>
      </c>
      <c r="H540" s="52" t="s">
        <v>1800</v>
      </c>
    </row>
    <row r="541" ht="15.75" hidden="1" customHeight="1">
      <c r="A541" s="38" t="s">
        <v>28</v>
      </c>
      <c r="B541" s="38" t="s">
        <v>186</v>
      </c>
      <c r="C541" s="38" t="s">
        <v>1109</v>
      </c>
      <c r="D541" s="38" t="s">
        <v>1110</v>
      </c>
      <c r="E541" s="38" t="s">
        <v>1137</v>
      </c>
      <c r="F541" s="52" t="s">
        <v>1800</v>
      </c>
      <c r="G541" s="52" t="s">
        <v>1800</v>
      </c>
      <c r="H541" s="52" t="s">
        <v>1800</v>
      </c>
    </row>
    <row r="542" ht="15.75" hidden="1" customHeight="1">
      <c r="A542" s="38" t="s">
        <v>28</v>
      </c>
      <c r="B542" s="38" t="s">
        <v>186</v>
      </c>
      <c r="C542" s="38" t="s">
        <v>1109</v>
      </c>
      <c r="D542" s="38" t="s">
        <v>1110</v>
      </c>
      <c r="E542" s="38" t="s">
        <v>1140</v>
      </c>
      <c r="F542" s="52">
        <v>1.0</v>
      </c>
      <c r="G542" s="52">
        <v>38800.0</v>
      </c>
      <c r="H542" s="52">
        <v>7210.0</v>
      </c>
    </row>
    <row r="543" ht="15.75" hidden="1" customHeight="1">
      <c r="A543" s="38" t="s">
        <v>28</v>
      </c>
      <c r="B543" s="38" t="s">
        <v>186</v>
      </c>
      <c r="C543" s="38" t="s">
        <v>1109</v>
      </c>
      <c r="D543" s="38" t="s">
        <v>1110</v>
      </c>
      <c r="E543" s="38" t="s">
        <v>1141</v>
      </c>
      <c r="F543" s="52" t="s">
        <v>1800</v>
      </c>
      <c r="G543" s="52" t="s">
        <v>1800</v>
      </c>
      <c r="H543" s="52" t="s">
        <v>1800</v>
      </c>
    </row>
    <row r="544" ht="15.75" hidden="1" customHeight="1">
      <c r="A544" s="38" t="s">
        <v>28</v>
      </c>
      <c r="B544" s="38" t="s">
        <v>186</v>
      </c>
      <c r="C544" s="38" t="s">
        <v>1109</v>
      </c>
      <c r="D544" s="38" t="s">
        <v>1110</v>
      </c>
      <c r="E544" s="38" t="s">
        <v>1142</v>
      </c>
      <c r="F544" s="52" t="s">
        <v>1800</v>
      </c>
      <c r="G544" s="52" t="s">
        <v>1800</v>
      </c>
      <c r="H544" s="52" t="s">
        <v>1800</v>
      </c>
    </row>
    <row r="545" ht="15.75" hidden="1" customHeight="1">
      <c r="A545" s="38" t="s">
        <v>28</v>
      </c>
      <c r="B545" s="38" t="s">
        <v>186</v>
      </c>
      <c r="C545" s="38" t="s">
        <v>1109</v>
      </c>
      <c r="D545" s="38" t="s">
        <v>1110</v>
      </c>
      <c r="E545" s="38" t="s">
        <v>1143</v>
      </c>
      <c r="F545" s="52">
        <v>1.0</v>
      </c>
      <c r="G545" s="52">
        <v>28500.0</v>
      </c>
      <c r="H545" s="52">
        <v>5350.0</v>
      </c>
    </row>
    <row r="546" ht="15.75" hidden="1" customHeight="1">
      <c r="A546" s="38" t="s">
        <v>28</v>
      </c>
      <c r="B546" s="38" t="s">
        <v>186</v>
      </c>
      <c r="C546" s="38" t="s">
        <v>1109</v>
      </c>
      <c r="D546" s="38" t="s">
        <v>1110</v>
      </c>
      <c r="E546" s="38" t="s">
        <v>1144</v>
      </c>
      <c r="F546" s="52" t="s">
        <v>1800</v>
      </c>
      <c r="G546" s="52" t="s">
        <v>1800</v>
      </c>
      <c r="H546" s="52" t="s">
        <v>1800</v>
      </c>
    </row>
    <row r="547" ht="15.75" hidden="1" customHeight="1">
      <c r="A547" s="38" t="s">
        <v>28</v>
      </c>
      <c r="B547" s="38" t="s">
        <v>186</v>
      </c>
      <c r="C547" s="38" t="s">
        <v>1109</v>
      </c>
      <c r="D547" s="38" t="s">
        <v>1110</v>
      </c>
      <c r="E547" s="38" t="s">
        <v>1145</v>
      </c>
      <c r="F547" s="52" t="s">
        <v>1800</v>
      </c>
      <c r="G547" s="52" t="s">
        <v>1800</v>
      </c>
      <c r="H547" s="52" t="s">
        <v>1800</v>
      </c>
    </row>
    <row r="548" ht="15.75" hidden="1" customHeight="1">
      <c r="A548" s="38" t="s">
        <v>28</v>
      </c>
      <c r="B548" s="38" t="s">
        <v>186</v>
      </c>
      <c r="C548" s="38" t="s">
        <v>1109</v>
      </c>
      <c r="D548" s="38" t="s">
        <v>1110</v>
      </c>
      <c r="E548" s="38" t="s">
        <v>1146</v>
      </c>
      <c r="F548" s="52" t="s">
        <v>1800</v>
      </c>
      <c r="G548" s="52" t="s">
        <v>1800</v>
      </c>
      <c r="H548" s="52" t="s">
        <v>1800</v>
      </c>
    </row>
    <row r="549" ht="15.75" hidden="1" customHeight="1">
      <c r="A549" s="38" t="s">
        <v>28</v>
      </c>
      <c r="B549" s="38" t="s">
        <v>186</v>
      </c>
      <c r="C549" s="38" t="s">
        <v>1109</v>
      </c>
      <c r="D549" s="38" t="s">
        <v>1110</v>
      </c>
      <c r="E549" s="38" t="s">
        <v>1147</v>
      </c>
      <c r="F549" s="52" t="s">
        <v>1800</v>
      </c>
      <c r="G549" s="52" t="s">
        <v>1800</v>
      </c>
      <c r="H549" s="52" t="s">
        <v>1800</v>
      </c>
    </row>
    <row r="550" ht="15.75" hidden="1" customHeight="1">
      <c r="A550" s="38" t="s">
        <v>28</v>
      </c>
      <c r="B550" s="38" t="s">
        <v>186</v>
      </c>
      <c r="C550" s="38" t="s">
        <v>1109</v>
      </c>
      <c r="D550" s="38" t="s">
        <v>1110</v>
      </c>
      <c r="E550" s="38" t="s">
        <v>1148</v>
      </c>
      <c r="F550" s="52" t="s">
        <v>1800</v>
      </c>
      <c r="G550" s="52" t="s">
        <v>1800</v>
      </c>
      <c r="H550" s="52" t="s">
        <v>1800</v>
      </c>
    </row>
    <row r="551" ht="15.75" hidden="1" customHeight="1">
      <c r="A551" s="38" t="s">
        <v>28</v>
      </c>
      <c r="B551" s="38" t="s">
        <v>186</v>
      </c>
      <c r="C551" s="38" t="s">
        <v>1109</v>
      </c>
      <c r="D551" s="38" t="s">
        <v>1110</v>
      </c>
      <c r="E551" s="38" t="s">
        <v>1149</v>
      </c>
      <c r="F551" s="52" t="s">
        <v>1800</v>
      </c>
      <c r="G551" s="52" t="s">
        <v>1800</v>
      </c>
      <c r="H551" s="52" t="s">
        <v>1800</v>
      </c>
    </row>
    <row r="552" ht="15.75" hidden="1" customHeight="1">
      <c r="A552" s="38" t="s">
        <v>28</v>
      </c>
      <c r="B552" s="38" t="s">
        <v>186</v>
      </c>
      <c r="C552" s="38" t="s">
        <v>1109</v>
      </c>
      <c r="D552" s="38" t="s">
        <v>1110</v>
      </c>
      <c r="E552" s="38" t="s">
        <v>1150</v>
      </c>
      <c r="F552" s="52" t="s">
        <v>1800</v>
      </c>
      <c r="G552" s="52" t="s">
        <v>1800</v>
      </c>
      <c r="H552" s="52" t="s">
        <v>1800</v>
      </c>
    </row>
    <row r="553" ht="15.75" hidden="1" customHeight="1">
      <c r="A553" s="38" t="s">
        <v>28</v>
      </c>
      <c r="B553" s="38" t="s">
        <v>186</v>
      </c>
      <c r="C553" s="38" t="s">
        <v>1109</v>
      </c>
      <c r="D553" s="38" t="s">
        <v>1110</v>
      </c>
      <c r="E553" s="38" t="s">
        <v>1151</v>
      </c>
      <c r="F553" s="52" t="s">
        <v>1800</v>
      </c>
      <c r="G553" s="52" t="s">
        <v>1800</v>
      </c>
      <c r="H553" s="52" t="s">
        <v>1800</v>
      </c>
    </row>
    <row r="554" ht="15.75" hidden="1" customHeight="1">
      <c r="A554" s="38" t="s">
        <v>28</v>
      </c>
      <c r="B554" s="38" t="s">
        <v>186</v>
      </c>
      <c r="C554" s="38" t="s">
        <v>1109</v>
      </c>
      <c r="D554" s="38" t="s">
        <v>1110</v>
      </c>
      <c r="E554" s="38" t="s">
        <v>1152</v>
      </c>
      <c r="F554" s="52" t="s">
        <v>1800</v>
      </c>
      <c r="G554" s="52" t="s">
        <v>1800</v>
      </c>
      <c r="H554" s="52" t="s">
        <v>1800</v>
      </c>
    </row>
    <row r="555" ht="15.75" hidden="1" customHeight="1">
      <c r="A555" s="38" t="s">
        <v>28</v>
      </c>
      <c r="B555" s="38" t="s">
        <v>186</v>
      </c>
      <c r="C555" s="38" t="s">
        <v>1109</v>
      </c>
      <c r="D555" s="38" t="s">
        <v>1110</v>
      </c>
      <c r="E555" s="38" t="s">
        <v>1153</v>
      </c>
      <c r="F555" s="52" t="s">
        <v>1800</v>
      </c>
      <c r="G555" s="52" t="s">
        <v>1800</v>
      </c>
      <c r="H555" s="52" t="s">
        <v>1800</v>
      </c>
    </row>
    <row r="556" ht="15.75" hidden="1" customHeight="1">
      <c r="A556" s="38" t="s">
        <v>28</v>
      </c>
      <c r="B556" s="38" t="s">
        <v>186</v>
      </c>
      <c r="C556" s="38" t="s">
        <v>1109</v>
      </c>
      <c r="D556" s="38" t="s">
        <v>1110</v>
      </c>
      <c r="E556" s="38" t="s">
        <v>1154</v>
      </c>
      <c r="F556" s="52" t="s">
        <v>1800</v>
      </c>
      <c r="G556" s="52" t="s">
        <v>1800</v>
      </c>
      <c r="H556" s="52" t="s">
        <v>1800</v>
      </c>
    </row>
    <row r="557" ht="15.75" hidden="1" customHeight="1">
      <c r="A557" s="38" t="s">
        <v>28</v>
      </c>
      <c r="B557" s="38" t="s">
        <v>186</v>
      </c>
      <c r="C557" s="38" t="s">
        <v>1109</v>
      </c>
      <c r="D557" s="38" t="s">
        <v>1110</v>
      </c>
      <c r="E557" s="38" t="s">
        <v>1155</v>
      </c>
      <c r="F557" s="52" t="s">
        <v>1800</v>
      </c>
      <c r="G557" s="52" t="s">
        <v>1800</v>
      </c>
      <c r="H557" s="52" t="s">
        <v>1800</v>
      </c>
    </row>
    <row r="558" ht="15.75" hidden="1" customHeight="1">
      <c r="A558" s="38" t="s">
        <v>28</v>
      </c>
      <c r="B558" s="38" t="s">
        <v>186</v>
      </c>
      <c r="C558" s="38" t="s">
        <v>1109</v>
      </c>
      <c r="D558" s="38" t="s">
        <v>1110</v>
      </c>
      <c r="E558" s="38" t="s">
        <v>1156</v>
      </c>
      <c r="F558" s="52">
        <v>1.0</v>
      </c>
      <c r="G558" s="52">
        <v>14700.0</v>
      </c>
      <c r="H558" s="52">
        <v>2770.0</v>
      </c>
    </row>
    <row r="559" ht="15.75" hidden="1" customHeight="1">
      <c r="A559" s="38" t="s">
        <v>28</v>
      </c>
      <c r="B559" s="38" t="s">
        <v>186</v>
      </c>
      <c r="C559" s="38" t="s">
        <v>1109</v>
      </c>
      <c r="D559" s="38" t="s">
        <v>1110</v>
      </c>
      <c r="E559" s="38" t="s">
        <v>1157</v>
      </c>
      <c r="F559" s="52" t="s">
        <v>1800</v>
      </c>
      <c r="G559" s="52" t="s">
        <v>1800</v>
      </c>
      <c r="H559" s="52" t="s">
        <v>1800</v>
      </c>
    </row>
    <row r="560" ht="15.75" hidden="1" customHeight="1">
      <c r="A560" s="38" t="s">
        <v>28</v>
      </c>
      <c r="B560" s="38" t="s">
        <v>186</v>
      </c>
      <c r="C560" s="38" t="s">
        <v>1109</v>
      </c>
      <c r="D560" s="38" t="s">
        <v>1110</v>
      </c>
      <c r="E560" s="38" t="s">
        <v>1158</v>
      </c>
      <c r="F560" s="52" t="s">
        <v>1800</v>
      </c>
      <c r="G560" s="52" t="s">
        <v>1800</v>
      </c>
      <c r="H560" s="52" t="s">
        <v>1800</v>
      </c>
    </row>
    <row r="561" ht="15.75" hidden="1" customHeight="1">
      <c r="A561" s="38" t="s">
        <v>28</v>
      </c>
      <c r="B561" s="38" t="s">
        <v>186</v>
      </c>
      <c r="C561" s="38" t="s">
        <v>1109</v>
      </c>
      <c r="D561" s="38" t="s">
        <v>1110</v>
      </c>
      <c r="E561" s="38" t="s">
        <v>1159</v>
      </c>
      <c r="F561" s="52" t="s">
        <v>1800</v>
      </c>
      <c r="G561" s="52" t="s">
        <v>1800</v>
      </c>
      <c r="H561" s="52" t="s">
        <v>1800</v>
      </c>
    </row>
    <row r="562" ht="15.75" hidden="1" customHeight="1">
      <c r="A562" s="38" t="s">
        <v>28</v>
      </c>
      <c r="B562" s="38" t="s">
        <v>186</v>
      </c>
      <c r="C562" s="38" t="s">
        <v>1109</v>
      </c>
      <c r="D562" s="38" t="s">
        <v>1110</v>
      </c>
      <c r="E562" s="38" t="s">
        <v>1160</v>
      </c>
      <c r="F562" s="52" t="s">
        <v>1800</v>
      </c>
      <c r="G562" s="52" t="s">
        <v>1800</v>
      </c>
      <c r="H562" s="52" t="s">
        <v>1800</v>
      </c>
    </row>
    <row r="563" ht="15.75" hidden="1" customHeight="1">
      <c r="A563" s="38" t="s">
        <v>28</v>
      </c>
      <c r="B563" s="38" t="s">
        <v>186</v>
      </c>
      <c r="C563" s="38" t="s">
        <v>1109</v>
      </c>
      <c r="D563" s="38" t="s">
        <v>1110</v>
      </c>
      <c r="E563" s="38" t="s">
        <v>1161</v>
      </c>
      <c r="F563" s="52" t="s">
        <v>1800</v>
      </c>
      <c r="G563" s="52" t="s">
        <v>1800</v>
      </c>
      <c r="H563" s="52" t="s">
        <v>1800</v>
      </c>
    </row>
    <row r="564" ht="15.75" hidden="1" customHeight="1">
      <c r="A564" s="38" t="s">
        <v>28</v>
      </c>
      <c r="B564" s="38" t="s">
        <v>186</v>
      </c>
      <c r="C564" s="38" t="s">
        <v>1109</v>
      </c>
      <c r="D564" s="38" t="s">
        <v>1110</v>
      </c>
      <c r="E564" s="38" t="s">
        <v>1162</v>
      </c>
      <c r="F564" s="52" t="s">
        <v>1800</v>
      </c>
      <c r="G564" s="52" t="s">
        <v>1800</v>
      </c>
      <c r="H564" s="52" t="s">
        <v>1800</v>
      </c>
    </row>
    <row r="565" ht="15.75" hidden="1" customHeight="1">
      <c r="A565" s="38" t="s">
        <v>28</v>
      </c>
      <c r="B565" s="38" t="s">
        <v>186</v>
      </c>
      <c r="C565" s="38" t="s">
        <v>1109</v>
      </c>
      <c r="D565" s="38" t="s">
        <v>1110</v>
      </c>
      <c r="E565" s="38" t="s">
        <v>1163</v>
      </c>
      <c r="F565" s="52" t="s">
        <v>1800</v>
      </c>
      <c r="G565" s="52" t="s">
        <v>1800</v>
      </c>
      <c r="H565" s="52" t="s">
        <v>1800</v>
      </c>
    </row>
    <row r="566" ht="15.75" hidden="1" customHeight="1">
      <c r="A566" s="38" t="s">
        <v>28</v>
      </c>
      <c r="B566" s="38" t="s">
        <v>186</v>
      </c>
      <c r="C566" s="38" t="s">
        <v>1109</v>
      </c>
      <c r="D566" s="38" t="s">
        <v>1110</v>
      </c>
      <c r="E566" s="38" t="s">
        <v>1164</v>
      </c>
      <c r="F566" s="52" t="s">
        <v>1800</v>
      </c>
      <c r="G566" s="52" t="s">
        <v>1800</v>
      </c>
      <c r="H566" s="52" t="s">
        <v>1800</v>
      </c>
    </row>
    <row r="567" ht="15.75" hidden="1" customHeight="1">
      <c r="A567" s="38" t="s">
        <v>28</v>
      </c>
      <c r="B567" s="38" t="s">
        <v>186</v>
      </c>
      <c r="C567" s="38" t="s">
        <v>1109</v>
      </c>
      <c r="D567" s="38" t="s">
        <v>1110</v>
      </c>
      <c r="E567" s="38" t="s">
        <v>1165</v>
      </c>
      <c r="F567" s="52" t="s">
        <v>1800</v>
      </c>
      <c r="G567" s="52" t="s">
        <v>1800</v>
      </c>
      <c r="H567" s="52" t="s">
        <v>1800</v>
      </c>
    </row>
    <row r="568" ht="15.75" hidden="1" customHeight="1">
      <c r="A568" s="38" t="s">
        <v>28</v>
      </c>
      <c r="B568" s="38" t="s">
        <v>186</v>
      </c>
      <c r="C568" s="38" t="s">
        <v>1109</v>
      </c>
      <c r="D568" s="38" t="s">
        <v>1110</v>
      </c>
      <c r="E568" s="38" t="s">
        <v>1166</v>
      </c>
      <c r="F568" s="52" t="s">
        <v>1800</v>
      </c>
      <c r="G568" s="52" t="s">
        <v>1800</v>
      </c>
      <c r="H568" s="52" t="s">
        <v>1800</v>
      </c>
    </row>
    <row r="569" ht="15.75" hidden="1" customHeight="1">
      <c r="A569" s="38" t="s">
        <v>28</v>
      </c>
      <c r="B569" s="38" t="s">
        <v>186</v>
      </c>
      <c r="C569" s="38" t="s">
        <v>1109</v>
      </c>
      <c r="D569" s="38" t="s">
        <v>1110</v>
      </c>
      <c r="E569" s="38" t="s">
        <v>1167</v>
      </c>
      <c r="F569" s="52" t="s">
        <v>1800</v>
      </c>
      <c r="G569" s="52" t="s">
        <v>1800</v>
      </c>
      <c r="H569" s="52" t="s">
        <v>1800</v>
      </c>
    </row>
    <row r="570" ht="15.75" hidden="1" customHeight="1">
      <c r="A570" s="38" t="s">
        <v>28</v>
      </c>
      <c r="B570" s="38" t="s">
        <v>186</v>
      </c>
      <c r="C570" s="38" t="s">
        <v>1109</v>
      </c>
      <c r="D570" s="38" t="s">
        <v>1110</v>
      </c>
      <c r="E570" s="38" t="s">
        <v>1169</v>
      </c>
      <c r="F570" s="52" t="s">
        <v>1800</v>
      </c>
      <c r="G570" s="52" t="s">
        <v>1800</v>
      </c>
      <c r="H570" s="52" t="s">
        <v>1800</v>
      </c>
    </row>
    <row r="571" ht="15.75" hidden="1" customHeight="1">
      <c r="A571" s="38" t="s">
        <v>28</v>
      </c>
      <c r="B571" s="38" t="s">
        <v>186</v>
      </c>
      <c r="C571" s="38" t="s">
        <v>1109</v>
      </c>
      <c r="D571" s="38" t="s">
        <v>1110</v>
      </c>
      <c r="E571" s="38" t="s">
        <v>1171</v>
      </c>
      <c r="F571" s="52" t="s">
        <v>1800</v>
      </c>
      <c r="G571" s="52" t="s">
        <v>1800</v>
      </c>
      <c r="H571" s="52" t="s">
        <v>1800</v>
      </c>
    </row>
    <row r="572" ht="15.75" hidden="1" customHeight="1">
      <c r="A572" s="38" t="s">
        <v>28</v>
      </c>
      <c r="B572" s="38" t="s">
        <v>186</v>
      </c>
      <c r="C572" s="38" t="s">
        <v>1109</v>
      </c>
      <c r="D572" s="38" t="s">
        <v>1110</v>
      </c>
      <c r="E572" s="38" t="s">
        <v>1172</v>
      </c>
      <c r="F572" s="52" t="s">
        <v>1800</v>
      </c>
      <c r="G572" s="52" t="s">
        <v>1800</v>
      </c>
      <c r="H572" s="52" t="s">
        <v>1800</v>
      </c>
    </row>
    <row r="573" ht="15.75" hidden="1" customHeight="1">
      <c r="A573" s="38" t="s">
        <v>28</v>
      </c>
      <c r="B573" s="38" t="s">
        <v>186</v>
      </c>
      <c r="C573" s="38" t="s">
        <v>1109</v>
      </c>
      <c r="D573" s="38" t="s">
        <v>1110</v>
      </c>
      <c r="E573" s="38" t="s">
        <v>1173</v>
      </c>
      <c r="F573" s="52" t="s">
        <v>1800</v>
      </c>
      <c r="G573" s="52" t="s">
        <v>1800</v>
      </c>
      <c r="H573" s="52" t="s">
        <v>1800</v>
      </c>
    </row>
    <row r="574" ht="15.75" hidden="1" customHeight="1">
      <c r="A574" s="38" t="s">
        <v>28</v>
      </c>
      <c r="B574" s="38" t="s">
        <v>186</v>
      </c>
      <c r="C574" s="38" t="s">
        <v>1109</v>
      </c>
      <c r="D574" s="38" t="s">
        <v>1110</v>
      </c>
      <c r="E574" s="38" t="s">
        <v>1174</v>
      </c>
      <c r="F574" s="52" t="s">
        <v>1800</v>
      </c>
      <c r="G574" s="52" t="s">
        <v>1800</v>
      </c>
      <c r="H574" s="52" t="s">
        <v>1800</v>
      </c>
    </row>
    <row r="575" ht="15.75" hidden="1" customHeight="1">
      <c r="A575" s="38" t="s">
        <v>28</v>
      </c>
      <c r="B575" s="38" t="s">
        <v>186</v>
      </c>
      <c r="C575" s="38" t="s">
        <v>1109</v>
      </c>
      <c r="D575" s="38" t="s">
        <v>1110</v>
      </c>
      <c r="E575" s="38" t="s">
        <v>1175</v>
      </c>
      <c r="F575" s="52" t="s">
        <v>1800</v>
      </c>
      <c r="G575" s="52" t="s">
        <v>1800</v>
      </c>
      <c r="H575" s="52" t="s">
        <v>1800</v>
      </c>
    </row>
    <row r="576" ht="15.75" hidden="1" customHeight="1">
      <c r="A576" s="38" t="s">
        <v>28</v>
      </c>
      <c r="B576" s="38" t="s">
        <v>186</v>
      </c>
      <c r="C576" s="38" t="s">
        <v>1109</v>
      </c>
      <c r="D576" s="38" t="s">
        <v>1110</v>
      </c>
      <c r="E576" s="38" t="s">
        <v>1176</v>
      </c>
      <c r="F576" s="52" t="s">
        <v>1800</v>
      </c>
      <c r="G576" s="52" t="s">
        <v>1800</v>
      </c>
      <c r="H576" s="52" t="s">
        <v>1800</v>
      </c>
    </row>
    <row r="577" ht="15.75" hidden="1" customHeight="1">
      <c r="A577" s="38" t="s">
        <v>28</v>
      </c>
      <c r="B577" s="38" t="s">
        <v>186</v>
      </c>
      <c r="C577" s="38" t="s">
        <v>1109</v>
      </c>
      <c r="D577" s="38" t="s">
        <v>1110</v>
      </c>
      <c r="E577" s="38" t="s">
        <v>1177</v>
      </c>
      <c r="F577" s="52" t="s">
        <v>1800</v>
      </c>
      <c r="G577" s="52" t="s">
        <v>1800</v>
      </c>
      <c r="H577" s="52" t="s">
        <v>1800</v>
      </c>
    </row>
    <row r="578" ht="15.75" hidden="1" customHeight="1">
      <c r="A578" s="38" t="s">
        <v>28</v>
      </c>
      <c r="B578" s="38" t="s">
        <v>186</v>
      </c>
      <c r="C578" s="38" t="s">
        <v>1109</v>
      </c>
      <c r="D578" s="38" t="s">
        <v>1110</v>
      </c>
      <c r="E578" s="38" t="s">
        <v>1178</v>
      </c>
      <c r="F578" s="52" t="s">
        <v>1800</v>
      </c>
      <c r="G578" s="52" t="s">
        <v>1800</v>
      </c>
      <c r="H578" s="52" t="s">
        <v>1800</v>
      </c>
    </row>
    <row r="579" ht="15.75" hidden="1" customHeight="1">
      <c r="A579" s="38" t="s">
        <v>28</v>
      </c>
      <c r="B579" s="38" t="s">
        <v>186</v>
      </c>
      <c r="C579" s="38" t="s">
        <v>1109</v>
      </c>
      <c r="D579" s="38" t="s">
        <v>1110</v>
      </c>
      <c r="E579" s="38" t="s">
        <v>1179</v>
      </c>
      <c r="F579" s="52" t="s">
        <v>1800</v>
      </c>
      <c r="G579" s="52" t="s">
        <v>1800</v>
      </c>
      <c r="H579" s="52" t="s">
        <v>1800</v>
      </c>
    </row>
    <row r="580" ht="15.75" hidden="1" customHeight="1">
      <c r="A580" s="38" t="s">
        <v>28</v>
      </c>
      <c r="B580" s="38" t="s">
        <v>186</v>
      </c>
      <c r="C580" s="38" t="s">
        <v>1109</v>
      </c>
      <c r="D580" s="38" t="s">
        <v>1110</v>
      </c>
      <c r="E580" s="38" t="s">
        <v>1180</v>
      </c>
      <c r="F580" s="52" t="s">
        <v>1800</v>
      </c>
      <c r="G580" s="52" t="s">
        <v>1800</v>
      </c>
      <c r="H580" s="52" t="s">
        <v>1800</v>
      </c>
    </row>
    <row r="581" ht="15.75" hidden="1" customHeight="1">
      <c r="A581" s="38" t="s">
        <v>28</v>
      </c>
      <c r="B581" s="38" t="s">
        <v>186</v>
      </c>
      <c r="C581" s="38" t="s">
        <v>1109</v>
      </c>
      <c r="D581" s="38" t="s">
        <v>1110</v>
      </c>
      <c r="E581" s="38" t="s">
        <v>1181</v>
      </c>
      <c r="F581" s="52" t="s">
        <v>1800</v>
      </c>
      <c r="G581" s="52" t="s">
        <v>1800</v>
      </c>
      <c r="H581" s="52" t="s">
        <v>1800</v>
      </c>
    </row>
    <row r="582" ht="15.75" hidden="1" customHeight="1">
      <c r="A582" s="38" t="s">
        <v>28</v>
      </c>
      <c r="B582" s="38" t="s">
        <v>186</v>
      </c>
      <c r="C582" s="38" t="s">
        <v>1062</v>
      </c>
      <c r="D582" s="38" t="s">
        <v>1063</v>
      </c>
      <c r="E582" s="38" t="s">
        <v>1182</v>
      </c>
      <c r="F582" s="52">
        <v>4.0</v>
      </c>
      <c r="G582" s="52">
        <v>49500.0</v>
      </c>
      <c r="H582" s="52">
        <v>9700.0</v>
      </c>
    </row>
    <row r="583" ht="15.75" hidden="1" customHeight="1">
      <c r="A583" s="38" t="s">
        <v>28</v>
      </c>
      <c r="B583" s="38" t="s">
        <v>186</v>
      </c>
      <c r="C583" s="38" t="s">
        <v>1062</v>
      </c>
      <c r="D583" s="38" t="s">
        <v>1063</v>
      </c>
      <c r="E583" s="38" t="s">
        <v>1183</v>
      </c>
      <c r="F583" s="52">
        <v>8.0</v>
      </c>
      <c r="G583" s="52">
        <v>135200.0</v>
      </c>
      <c r="H583" s="52">
        <v>26330.0</v>
      </c>
    </row>
    <row r="584" ht="15.75" hidden="1" customHeight="1">
      <c r="A584" s="38" t="s">
        <v>28</v>
      </c>
      <c r="B584" s="38" t="s">
        <v>186</v>
      </c>
      <c r="C584" s="38" t="s">
        <v>1062</v>
      </c>
      <c r="D584" s="38" t="s">
        <v>1063</v>
      </c>
      <c r="E584" s="38" t="s">
        <v>1184</v>
      </c>
      <c r="F584" s="52">
        <v>1.0</v>
      </c>
      <c r="G584" s="52">
        <v>26900.0</v>
      </c>
      <c r="H584" s="52">
        <v>5110.0</v>
      </c>
    </row>
    <row r="585" ht="15.75" hidden="1" customHeight="1">
      <c r="A585" s="38" t="s">
        <v>28</v>
      </c>
      <c r="B585" s="38" t="s">
        <v>186</v>
      </c>
      <c r="C585" s="38" t="s">
        <v>1062</v>
      </c>
      <c r="D585" s="38" t="s">
        <v>1063</v>
      </c>
      <c r="E585" s="38" t="s">
        <v>1185</v>
      </c>
      <c r="F585" s="52" t="s">
        <v>1800</v>
      </c>
      <c r="G585" s="52" t="s">
        <v>1800</v>
      </c>
      <c r="H585" s="52" t="s">
        <v>1800</v>
      </c>
    </row>
    <row r="586" ht="15.75" hidden="1" customHeight="1">
      <c r="A586" s="38" t="s">
        <v>28</v>
      </c>
      <c r="B586" s="38" t="s">
        <v>186</v>
      </c>
      <c r="C586" s="38" t="s">
        <v>1062</v>
      </c>
      <c r="D586" s="38" t="s">
        <v>1063</v>
      </c>
      <c r="E586" s="38" t="s">
        <v>1186</v>
      </c>
      <c r="F586" s="52">
        <v>3.0</v>
      </c>
      <c r="G586" s="52">
        <v>149700.0</v>
      </c>
      <c r="H586" s="52">
        <v>28440.0</v>
      </c>
    </row>
    <row r="587" ht="15.75" hidden="1" customHeight="1">
      <c r="A587" s="38" t="s">
        <v>28</v>
      </c>
      <c r="B587" s="38" t="s">
        <v>186</v>
      </c>
      <c r="C587" s="38" t="s">
        <v>1062</v>
      </c>
      <c r="D587" s="38" t="s">
        <v>1063</v>
      </c>
      <c r="E587" s="38" t="s">
        <v>1187</v>
      </c>
      <c r="F587" s="52">
        <v>17.0</v>
      </c>
      <c r="G587" s="52">
        <v>399300.0</v>
      </c>
      <c r="H587" s="52">
        <v>74710.0</v>
      </c>
    </row>
    <row r="588" ht="15.75" hidden="1" customHeight="1">
      <c r="A588" s="38" t="s">
        <v>28</v>
      </c>
      <c r="B588" s="38" t="s">
        <v>186</v>
      </c>
      <c r="C588" s="38" t="s">
        <v>1062</v>
      </c>
      <c r="D588" s="38" t="s">
        <v>1063</v>
      </c>
      <c r="E588" s="38" t="s">
        <v>1188</v>
      </c>
      <c r="F588" s="52">
        <v>34.0</v>
      </c>
      <c r="G588" s="52">
        <v>1427400.0</v>
      </c>
      <c r="H588" s="52">
        <v>247110.0</v>
      </c>
    </row>
    <row r="589" ht="15.75" hidden="1" customHeight="1">
      <c r="A589" s="38" t="s">
        <v>28</v>
      </c>
      <c r="B589" s="38" t="s">
        <v>117</v>
      </c>
      <c r="C589" s="38" t="s">
        <v>1189</v>
      </c>
      <c r="D589" s="38" t="s">
        <v>1190</v>
      </c>
      <c r="E589" s="38" t="s">
        <v>1191</v>
      </c>
      <c r="F589" s="52">
        <v>1.0</v>
      </c>
      <c r="G589" s="52">
        <v>8300.0</v>
      </c>
      <c r="H589" s="52">
        <v>1540.0</v>
      </c>
    </row>
    <row r="590" ht="15.75" hidden="1" customHeight="1">
      <c r="A590" s="38" t="s">
        <v>28</v>
      </c>
      <c r="B590" s="38" t="s">
        <v>174</v>
      </c>
      <c r="C590" s="38" t="s">
        <v>1192</v>
      </c>
      <c r="D590" s="38" t="s">
        <v>1193</v>
      </c>
      <c r="E590" s="38" t="s">
        <v>1194</v>
      </c>
      <c r="F590" s="52">
        <v>1310.0</v>
      </c>
      <c r="G590" s="52">
        <v>3.5409E7</v>
      </c>
      <c r="H590" s="52">
        <v>4691220.0</v>
      </c>
    </row>
    <row r="591" ht="15.75" hidden="1" customHeight="1">
      <c r="A591" s="38" t="s">
        <v>28</v>
      </c>
      <c r="B591" s="38" t="s">
        <v>174</v>
      </c>
      <c r="C591" s="38" t="s">
        <v>1192</v>
      </c>
      <c r="D591" s="38" t="s">
        <v>1193</v>
      </c>
      <c r="E591" s="38" t="s">
        <v>1195</v>
      </c>
      <c r="F591" s="52">
        <v>22.0</v>
      </c>
      <c r="G591" s="52">
        <v>493000.0</v>
      </c>
      <c r="H591" s="52">
        <v>65540.0</v>
      </c>
    </row>
    <row r="592" ht="15.75" hidden="1" customHeight="1">
      <c r="A592" s="38" t="s">
        <v>28</v>
      </c>
      <c r="B592" s="38" t="s">
        <v>174</v>
      </c>
      <c r="C592" s="38" t="s">
        <v>1192</v>
      </c>
      <c r="D592" s="38" t="s">
        <v>1193</v>
      </c>
      <c r="E592" s="38" t="s">
        <v>1196</v>
      </c>
      <c r="F592" s="52">
        <v>6.0</v>
      </c>
      <c r="G592" s="52">
        <v>223320.0</v>
      </c>
      <c r="H592" s="52">
        <v>29700.0</v>
      </c>
    </row>
    <row r="593" ht="15.75" hidden="1" customHeight="1">
      <c r="A593" s="38" t="s">
        <v>28</v>
      </c>
      <c r="B593" s="38" t="s">
        <v>174</v>
      </c>
      <c r="C593" s="38" t="s">
        <v>1192</v>
      </c>
      <c r="D593" s="38" t="s">
        <v>1193</v>
      </c>
      <c r="E593" s="38" t="s">
        <v>1197</v>
      </c>
      <c r="F593" s="52" t="s">
        <v>1800</v>
      </c>
      <c r="G593" s="52" t="s">
        <v>1800</v>
      </c>
      <c r="H593" s="52" t="s">
        <v>1800</v>
      </c>
    </row>
    <row r="594" ht="15.75" hidden="1" customHeight="1">
      <c r="A594" s="38" t="s">
        <v>28</v>
      </c>
      <c r="B594" s="38" t="s">
        <v>174</v>
      </c>
      <c r="C594" s="38" t="s">
        <v>1192</v>
      </c>
      <c r="D594" s="38" t="s">
        <v>1193</v>
      </c>
      <c r="E594" s="38" t="s">
        <v>1198</v>
      </c>
      <c r="F594" s="52" t="s">
        <v>1800</v>
      </c>
      <c r="G594" s="52" t="s">
        <v>1800</v>
      </c>
      <c r="H594" s="52" t="s">
        <v>1800</v>
      </c>
    </row>
    <row r="595" ht="15.75" hidden="1" customHeight="1">
      <c r="A595" s="38" t="s">
        <v>28</v>
      </c>
      <c r="B595" s="38" t="s">
        <v>174</v>
      </c>
      <c r="C595" s="38" t="s">
        <v>1192</v>
      </c>
      <c r="D595" s="38" t="s">
        <v>1193</v>
      </c>
      <c r="E595" s="38" t="s">
        <v>1199</v>
      </c>
      <c r="F595" s="52">
        <v>2.0</v>
      </c>
      <c r="G595" s="52" t="s">
        <v>1800</v>
      </c>
      <c r="H595" s="52" t="s">
        <v>1800</v>
      </c>
    </row>
    <row r="596" ht="15.75" hidden="1" customHeight="1">
      <c r="A596" s="38" t="s">
        <v>28</v>
      </c>
      <c r="B596" s="38" t="s">
        <v>174</v>
      </c>
      <c r="C596" s="38" t="s">
        <v>1192</v>
      </c>
      <c r="D596" s="38" t="s">
        <v>1193</v>
      </c>
      <c r="E596" s="38" t="s">
        <v>1200</v>
      </c>
      <c r="F596" s="52" t="s">
        <v>1800</v>
      </c>
      <c r="G596" s="52" t="s">
        <v>1800</v>
      </c>
      <c r="H596" s="52" t="s">
        <v>1800</v>
      </c>
    </row>
    <row r="597" ht="15.75" hidden="1" customHeight="1">
      <c r="A597" s="38" t="s">
        <v>28</v>
      </c>
      <c r="B597" s="38" t="s">
        <v>174</v>
      </c>
      <c r="C597" s="38" t="s">
        <v>1192</v>
      </c>
      <c r="D597" s="38" t="s">
        <v>1193</v>
      </c>
      <c r="E597" s="38" t="s">
        <v>1201</v>
      </c>
      <c r="F597" s="52">
        <v>11.0</v>
      </c>
      <c r="G597" s="52">
        <v>132600.0</v>
      </c>
      <c r="H597" s="52">
        <v>18360.0</v>
      </c>
    </row>
    <row r="598" ht="15.75" hidden="1" customHeight="1">
      <c r="A598" s="38" t="s">
        <v>28</v>
      </c>
      <c r="B598" s="38" t="s">
        <v>174</v>
      </c>
      <c r="C598" s="38" t="s">
        <v>978</v>
      </c>
      <c r="D598" s="38" t="s">
        <v>979</v>
      </c>
      <c r="E598" s="38" t="s">
        <v>1202</v>
      </c>
      <c r="F598" s="52">
        <v>73.0</v>
      </c>
      <c r="G598" s="52">
        <v>2552440.0</v>
      </c>
      <c r="H598" s="52">
        <v>410540.0</v>
      </c>
    </row>
    <row r="599" ht="15.75" hidden="1" customHeight="1">
      <c r="A599" s="38" t="s">
        <v>28</v>
      </c>
      <c r="B599" s="38" t="s">
        <v>174</v>
      </c>
      <c r="C599" s="38" t="s">
        <v>1203</v>
      </c>
      <c r="D599" s="38" t="s">
        <v>1204</v>
      </c>
      <c r="E599" s="38" t="s">
        <v>1205</v>
      </c>
      <c r="F599" s="52">
        <v>936.0</v>
      </c>
      <c r="G599" s="52">
        <v>4.7358E7</v>
      </c>
      <c r="H599" s="52">
        <v>5003480.0</v>
      </c>
    </row>
    <row r="600" ht="15.75" hidden="1" customHeight="1">
      <c r="A600" s="38" t="s">
        <v>28</v>
      </c>
      <c r="B600" s="38" t="s">
        <v>117</v>
      </c>
      <c r="C600" s="38" t="s">
        <v>1206</v>
      </c>
      <c r="D600" s="38" t="s">
        <v>1207</v>
      </c>
      <c r="E600" s="38" t="s">
        <v>1208</v>
      </c>
      <c r="F600" s="52">
        <v>10.0</v>
      </c>
      <c r="G600" s="52">
        <v>477000.0</v>
      </c>
      <c r="H600" s="52">
        <v>90820.0</v>
      </c>
    </row>
    <row r="601" ht="15.75" hidden="1" customHeight="1">
      <c r="A601" s="38" t="s">
        <v>28</v>
      </c>
      <c r="B601" s="38" t="s">
        <v>117</v>
      </c>
      <c r="C601" s="38" t="s">
        <v>1206</v>
      </c>
      <c r="D601" s="38" t="s">
        <v>1207</v>
      </c>
      <c r="E601" s="38" t="s">
        <v>1209</v>
      </c>
      <c r="F601" s="52" t="s">
        <v>1800</v>
      </c>
      <c r="G601" s="52" t="s">
        <v>1800</v>
      </c>
      <c r="H601" s="52" t="s">
        <v>1800</v>
      </c>
    </row>
    <row r="602" ht="15.75" hidden="1" customHeight="1">
      <c r="A602" s="38" t="s">
        <v>28</v>
      </c>
      <c r="B602" s="38" t="s">
        <v>186</v>
      </c>
      <c r="C602" s="38" t="s">
        <v>1210</v>
      </c>
      <c r="D602" s="38" t="s">
        <v>1211</v>
      </c>
      <c r="E602" s="38" t="s">
        <v>1212</v>
      </c>
      <c r="F602" s="52">
        <v>614.0</v>
      </c>
      <c r="G602" s="52">
        <v>1.7801E7</v>
      </c>
      <c r="H602" s="52">
        <v>3266640.0</v>
      </c>
    </row>
    <row r="603" ht="15.75" hidden="1" customHeight="1">
      <c r="A603" s="38" t="s">
        <v>28</v>
      </c>
      <c r="B603" s="38" t="s">
        <v>186</v>
      </c>
      <c r="C603" s="38" t="s">
        <v>1210</v>
      </c>
      <c r="D603" s="38" t="s">
        <v>1211</v>
      </c>
      <c r="E603" s="38" t="s">
        <v>1213</v>
      </c>
      <c r="F603" s="52">
        <v>13.0</v>
      </c>
      <c r="G603" s="52">
        <v>140400.0</v>
      </c>
      <c r="H603" s="52">
        <v>25000.0</v>
      </c>
    </row>
    <row r="604" ht="15.75" hidden="1" customHeight="1">
      <c r="A604" s="38" t="s">
        <v>28</v>
      </c>
      <c r="B604" s="38" t="s">
        <v>186</v>
      </c>
      <c r="C604" s="38" t="s">
        <v>1210</v>
      </c>
      <c r="D604" s="38" t="s">
        <v>1211</v>
      </c>
      <c r="E604" s="38" t="s">
        <v>1214</v>
      </c>
      <c r="F604" s="52">
        <v>52.0</v>
      </c>
      <c r="G604" s="52">
        <v>950100.0</v>
      </c>
      <c r="H604" s="52">
        <v>183070.0</v>
      </c>
    </row>
    <row r="605" ht="15.75" hidden="1" customHeight="1">
      <c r="A605" s="38" t="s">
        <v>28</v>
      </c>
      <c r="B605" s="38" t="s">
        <v>117</v>
      </c>
      <c r="C605" s="38" t="s">
        <v>1210</v>
      </c>
      <c r="D605" s="38" t="s">
        <v>1211</v>
      </c>
      <c r="E605" s="38" t="s">
        <v>1215</v>
      </c>
      <c r="F605" s="52">
        <v>28.0</v>
      </c>
      <c r="G605" s="52">
        <v>573400.0</v>
      </c>
      <c r="H605" s="52">
        <v>106000.0</v>
      </c>
    </row>
    <row r="606" ht="15.75" hidden="1" customHeight="1">
      <c r="A606" s="38" t="s">
        <v>28</v>
      </c>
      <c r="B606" s="38" t="s">
        <v>186</v>
      </c>
      <c r="C606" s="38" t="s">
        <v>1210</v>
      </c>
      <c r="D606" s="38" t="s">
        <v>1211</v>
      </c>
      <c r="E606" s="38" t="s">
        <v>1216</v>
      </c>
      <c r="F606" s="52">
        <v>15.0</v>
      </c>
      <c r="G606" s="52">
        <v>204800.0</v>
      </c>
      <c r="H606" s="52">
        <v>40120.0</v>
      </c>
    </row>
    <row r="607" ht="15.75" hidden="1" customHeight="1">
      <c r="A607" s="38" t="s">
        <v>28</v>
      </c>
      <c r="B607" s="38" t="s">
        <v>186</v>
      </c>
      <c r="C607" s="38" t="s">
        <v>1210</v>
      </c>
      <c r="D607" s="38" t="s">
        <v>1211</v>
      </c>
      <c r="E607" s="38" t="s">
        <v>1217</v>
      </c>
      <c r="F607" s="52">
        <v>2.0</v>
      </c>
      <c r="G607" s="52">
        <v>15800.0</v>
      </c>
      <c r="H607" s="52">
        <v>3100.0</v>
      </c>
    </row>
    <row r="608" ht="15.75" hidden="1" customHeight="1">
      <c r="A608" s="38" t="s">
        <v>28</v>
      </c>
      <c r="B608" s="38" t="s">
        <v>186</v>
      </c>
      <c r="C608" s="38" t="s">
        <v>1210</v>
      </c>
      <c r="D608" s="38" t="s">
        <v>1211</v>
      </c>
      <c r="E608" s="38" t="s">
        <v>1218</v>
      </c>
      <c r="F608" s="52">
        <v>4.0</v>
      </c>
      <c r="G608" s="52">
        <v>98500.0</v>
      </c>
      <c r="H608" s="52">
        <v>18860.0</v>
      </c>
    </row>
    <row r="609" ht="15.75" hidden="1" customHeight="1">
      <c r="A609" s="38" t="s">
        <v>28</v>
      </c>
      <c r="B609" s="38" t="s">
        <v>186</v>
      </c>
      <c r="C609" s="38" t="s">
        <v>1210</v>
      </c>
      <c r="D609" s="38" t="s">
        <v>1211</v>
      </c>
      <c r="E609" s="38" t="s">
        <v>1219</v>
      </c>
      <c r="F609" s="52" t="s">
        <v>1800</v>
      </c>
      <c r="G609" s="52" t="s">
        <v>1800</v>
      </c>
      <c r="H609" s="52" t="s">
        <v>1800</v>
      </c>
    </row>
    <row r="610" ht="15.75" hidden="1" customHeight="1">
      <c r="A610" s="38" t="s">
        <v>28</v>
      </c>
      <c r="B610" s="38" t="s">
        <v>186</v>
      </c>
      <c r="C610" s="38" t="s">
        <v>1210</v>
      </c>
      <c r="D610" s="38" t="s">
        <v>1211</v>
      </c>
      <c r="E610" s="38" t="s">
        <v>1220</v>
      </c>
      <c r="F610" s="52">
        <v>12.0</v>
      </c>
      <c r="G610" s="52">
        <v>226500.0</v>
      </c>
      <c r="H610" s="52">
        <v>41640.0</v>
      </c>
    </row>
    <row r="611" ht="15.75" hidden="1" customHeight="1">
      <c r="A611" s="38" t="s">
        <v>28</v>
      </c>
      <c r="B611" s="38" t="s">
        <v>186</v>
      </c>
      <c r="C611" s="38" t="s">
        <v>1210</v>
      </c>
      <c r="D611" s="38" t="s">
        <v>1211</v>
      </c>
      <c r="E611" s="38" t="s">
        <v>1221</v>
      </c>
      <c r="F611" s="52" t="s">
        <v>1800</v>
      </c>
      <c r="G611" s="52" t="s">
        <v>1800</v>
      </c>
      <c r="H611" s="52" t="s">
        <v>1800</v>
      </c>
    </row>
    <row r="612" ht="15.75" hidden="1" customHeight="1">
      <c r="A612" s="38" t="s">
        <v>28</v>
      </c>
      <c r="B612" s="38" t="s">
        <v>174</v>
      </c>
      <c r="C612" s="38" t="s">
        <v>1222</v>
      </c>
      <c r="D612" s="38" t="s">
        <v>1223</v>
      </c>
      <c r="E612" s="38" t="s">
        <v>1224</v>
      </c>
      <c r="F612" s="52">
        <v>67.0</v>
      </c>
      <c r="G612" s="52">
        <v>1940600.0</v>
      </c>
      <c r="H612" s="52">
        <v>266060.0</v>
      </c>
    </row>
    <row r="613" ht="15.75" hidden="1" customHeight="1">
      <c r="A613" s="38" t="s">
        <v>28</v>
      </c>
      <c r="B613" s="38" t="s">
        <v>174</v>
      </c>
      <c r="C613" s="38" t="s">
        <v>978</v>
      </c>
      <c r="D613" s="38" t="s">
        <v>979</v>
      </c>
      <c r="E613" s="38" t="s">
        <v>1871</v>
      </c>
      <c r="F613" s="52">
        <v>1.0</v>
      </c>
      <c r="G613" s="52">
        <v>29900.0</v>
      </c>
      <c r="H613" s="52">
        <v>5740.0</v>
      </c>
    </row>
    <row r="614" ht="15.75" hidden="1" customHeight="1">
      <c r="A614" s="38" t="s">
        <v>28</v>
      </c>
      <c r="B614" s="38" t="s">
        <v>174</v>
      </c>
      <c r="C614" s="38" t="s">
        <v>978</v>
      </c>
      <c r="D614" s="38" t="s">
        <v>979</v>
      </c>
      <c r="E614" s="38" t="s">
        <v>1872</v>
      </c>
      <c r="F614" s="52">
        <v>2.0</v>
      </c>
      <c r="G614" s="52">
        <v>71800.0</v>
      </c>
      <c r="H614" s="52">
        <v>13340.0</v>
      </c>
    </row>
    <row r="615" ht="15.75" hidden="1" customHeight="1">
      <c r="A615" s="38" t="s">
        <v>28</v>
      </c>
      <c r="B615" s="38" t="s">
        <v>117</v>
      </c>
      <c r="C615" s="38" t="s">
        <v>156</v>
      </c>
      <c r="D615" s="38" t="s">
        <v>155</v>
      </c>
      <c r="E615" s="38" t="s">
        <v>1873</v>
      </c>
      <c r="F615" s="52" t="s">
        <v>1800</v>
      </c>
      <c r="G615" s="52" t="s">
        <v>1800</v>
      </c>
      <c r="H615" s="52" t="s">
        <v>1800</v>
      </c>
    </row>
    <row r="616" ht="15.75" hidden="1" customHeight="1">
      <c r="A616" s="38" t="s">
        <v>28</v>
      </c>
      <c r="B616" s="38" t="s">
        <v>174</v>
      </c>
      <c r="C616" s="38" t="s">
        <v>1222</v>
      </c>
      <c r="D616" s="38" t="s">
        <v>1223</v>
      </c>
      <c r="E616" s="38" t="s">
        <v>1874</v>
      </c>
      <c r="F616" s="52">
        <v>24.0</v>
      </c>
      <c r="G616" s="52">
        <v>753800.0</v>
      </c>
      <c r="H616" s="52">
        <v>104990.0</v>
      </c>
    </row>
    <row r="617" ht="15.75" hidden="1" customHeight="1">
      <c r="A617" s="38" t="s">
        <v>28</v>
      </c>
      <c r="B617" s="38" t="s">
        <v>174</v>
      </c>
      <c r="C617" s="38" t="s">
        <v>1222</v>
      </c>
      <c r="D617" s="38" t="s">
        <v>1223</v>
      </c>
      <c r="E617" s="38" t="s">
        <v>1875</v>
      </c>
      <c r="F617" s="52" t="s">
        <v>1800</v>
      </c>
      <c r="G617" s="52" t="s">
        <v>1800</v>
      </c>
      <c r="H617" s="52" t="s">
        <v>1800</v>
      </c>
    </row>
    <row r="618" ht="15.75" hidden="1" customHeight="1">
      <c r="A618" s="38" t="s">
        <v>28</v>
      </c>
      <c r="B618" s="38" t="s">
        <v>186</v>
      </c>
      <c r="C618" s="38" t="s">
        <v>920</v>
      </c>
      <c r="D618" s="38" t="s">
        <v>921</v>
      </c>
      <c r="E618" s="38" t="s">
        <v>1876</v>
      </c>
      <c r="F618" s="52">
        <v>1.0</v>
      </c>
      <c r="G618" s="52">
        <v>38330.0</v>
      </c>
      <c r="H618" s="52">
        <v>4370.0</v>
      </c>
    </row>
    <row r="619" ht="15.75" hidden="1" customHeight="1">
      <c r="A619" s="38" t="s">
        <v>28</v>
      </c>
      <c r="B619" s="38" t="s">
        <v>186</v>
      </c>
      <c r="C619" s="38" t="s">
        <v>920</v>
      </c>
      <c r="D619" s="38" t="s">
        <v>921</v>
      </c>
      <c r="E619" s="38" t="s">
        <v>1877</v>
      </c>
      <c r="F619" s="52" t="s">
        <v>1800</v>
      </c>
      <c r="G619" s="52" t="s">
        <v>1800</v>
      </c>
      <c r="H619" s="52" t="s">
        <v>1800</v>
      </c>
    </row>
    <row r="620" ht="15.75" hidden="1" customHeight="1">
      <c r="A620" s="38" t="s">
        <v>28</v>
      </c>
      <c r="B620" s="38" t="s">
        <v>186</v>
      </c>
      <c r="C620" s="38" t="s">
        <v>920</v>
      </c>
      <c r="D620" s="38" t="s">
        <v>921</v>
      </c>
      <c r="E620" s="38" t="s">
        <v>1878</v>
      </c>
      <c r="F620" s="52">
        <v>1.0</v>
      </c>
      <c r="G620" s="52">
        <v>52500.0</v>
      </c>
      <c r="H620" s="52">
        <v>5450.0</v>
      </c>
    </row>
    <row r="621" ht="15.75" hidden="1" customHeight="1">
      <c r="A621" s="38" t="s">
        <v>28</v>
      </c>
      <c r="B621" s="38" t="s">
        <v>186</v>
      </c>
      <c r="C621" s="38" t="s">
        <v>920</v>
      </c>
      <c r="D621" s="38" t="s">
        <v>921</v>
      </c>
      <c r="E621" s="38" t="s">
        <v>1879</v>
      </c>
      <c r="F621" s="52">
        <v>6.0</v>
      </c>
      <c r="G621" s="52">
        <v>250980.0</v>
      </c>
      <c r="H621" s="52">
        <v>28590.0</v>
      </c>
    </row>
    <row r="622" ht="15.75" hidden="1" customHeight="1">
      <c r="A622" s="38" t="s">
        <v>28</v>
      </c>
      <c r="B622" s="38" t="s">
        <v>186</v>
      </c>
      <c r="C622" s="38" t="s">
        <v>920</v>
      </c>
      <c r="D622" s="38" t="s">
        <v>921</v>
      </c>
      <c r="E622" s="38" t="s">
        <v>1880</v>
      </c>
      <c r="F622" s="52">
        <v>3.0</v>
      </c>
      <c r="G622" s="52">
        <v>104400.0</v>
      </c>
      <c r="H622" s="52">
        <v>11890.0</v>
      </c>
    </row>
    <row r="623" ht="15.75" hidden="1" customHeight="1">
      <c r="A623" s="38" t="s">
        <v>28</v>
      </c>
      <c r="B623" s="38" t="s">
        <v>186</v>
      </c>
      <c r="C623" s="38" t="s">
        <v>920</v>
      </c>
      <c r="D623" s="38" t="s">
        <v>921</v>
      </c>
      <c r="E623" s="38" t="s">
        <v>1881</v>
      </c>
      <c r="F623" s="52">
        <v>20.0</v>
      </c>
      <c r="G623" s="52">
        <v>764100.0</v>
      </c>
      <c r="H623" s="52">
        <v>84320.0</v>
      </c>
    </row>
    <row r="624" ht="15.75" hidden="1" customHeight="1">
      <c r="A624" s="38" t="s">
        <v>28</v>
      </c>
      <c r="B624" s="38" t="s">
        <v>186</v>
      </c>
      <c r="C624" s="38" t="s">
        <v>920</v>
      </c>
      <c r="D624" s="38" t="s">
        <v>921</v>
      </c>
      <c r="E624" s="38" t="s">
        <v>1882</v>
      </c>
      <c r="F624" s="52" t="s">
        <v>1800</v>
      </c>
      <c r="G624" s="52" t="s">
        <v>1800</v>
      </c>
      <c r="H624" s="52" t="s">
        <v>1800</v>
      </c>
    </row>
    <row r="625" ht="15.75" hidden="1" customHeight="1">
      <c r="A625" s="38" t="s">
        <v>28</v>
      </c>
      <c r="B625" s="38" t="s">
        <v>186</v>
      </c>
      <c r="C625" s="38" t="s">
        <v>920</v>
      </c>
      <c r="D625" s="38" t="s">
        <v>921</v>
      </c>
      <c r="E625" s="38" t="s">
        <v>1883</v>
      </c>
      <c r="F625" s="52">
        <v>5.0</v>
      </c>
      <c r="G625" s="52">
        <v>197910.0</v>
      </c>
      <c r="H625" s="52">
        <v>19900.0</v>
      </c>
    </row>
    <row r="626" ht="15.75" hidden="1" customHeight="1">
      <c r="A626" s="38" t="s">
        <v>28</v>
      </c>
      <c r="B626" s="38" t="s">
        <v>186</v>
      </c>
      <c r="C626" s="38" t="s">
        <v>920</v>
      </c>
      <c r="D626" s="38" t="s">
        <v>921</v>
      </c>
      <c r="E626" s="38" t="s">
        <v>1884</v>
      </c>
      <c r="F626" s="52">
        <v>1.0</v>
      </c>
      <c r="G626" s="52">
        <v>41530.0</v>
      </c>
      <c r="H626" s="52">
        <v>4730.0</v>
      </c>
    </row>
    <row r="627" ht="15.75" hidden="1" customHeight="1">
      <c r="A627" s="38" t="s">
        <v>28</v>
      </c>
      <c r="B627" s="38" t="s">
        <v>186</v>
      </c>
      <c r="C627" s="38" t="s">
        <v>1056</v>
      </c>
      <c r="D627" s="38" t="s">
        <v>1057</v>
      </c>
      <c r="E627" s="38" t="s">
        <v>1885</v>
      </c>
      <c r="F627" s="52">
        <v>18.0</v>
      </c>
      <c r="G627" s="52">
        <v>536520.0</v>
      </c>
      <c r="H627" s="52">
        <v>61940.0</v>
      </c>
    </row>
    <row r="628" ht="15.75" hidden="1" customHeight="1">
      <c r="A628" s="38" t="s">
        <v>28</v>
      </c>
      <c r="B628" s="38" t="s">
        <v>186</v>
      </c>
      <c r="C628" s="38" t="s">
        <v>1056</v>
      </c>
      <c r="D628" s="38" t="s">
        <v>1057</v>
      </c>
      <c r="E628" s="38" t="s">
        <v>1886</v>
      </c>
      <c r="F628" s="52">
        <v>18.0</v>
      </c>
      <c r="G628" s="52">
        <v>689760.0</v>
      </c>
      <c r="H628" s="52">
        <v>81350.0</v>
      </c>
    </row>
    <row r="629" ht="15.75" hidden="1" customHeight="1">
      <c r="A629" s="38" t="s">
        <v>28</v>
      </c>
      <c r="B629" s="38" t="s">
        <v>186</v>
      </c>
      <c r="C629" s="38" t="s">
        <v>1056</v>
      </c>
      <c r="D629" s="38" t="s">
        <v>1057</v>
      </c>
      <c r="E629" s="38" t="s">
        <v>1887</v>
      </c>
      <c r="F629" s="52">
        <v>3.0</v>
      </c>
      <c r="G629" s="52">
        <v>76640.0</v>
      </c>
      <c r="H629" s="52">
        <v>8860.0</v>
      </c>
    </row>
    <row r="630" ht="15.75" hidden="1" customHeight="1">
      <c r="A630" s="38" t="s">
        <v>28</v>
      </c>
      <c r="B630" s="38" t="s">
        <v>186</v>
      </c>
      <c r="C630" s="38" t="s">
        <v>1056</v>
      </c>
      <c r="D630" s="38" t="s">
        <v>1057</v>
      </c>
      <c r="E630" s="38" t="s">
        <v>1888</v>
      </c>
      <c r="F630" s="52">
        <v>3.0</v>
      </c>
      <c r="G630" s="52">
        <v>83000.0</v>
      </c>
      <c r="H630" s="52">
        <v>9650.0</v>
      </c>
    </row>
    <row r="631" ht="15.75" hidden="1" customHeight="1">
      <c r="A631" s="38" t="s">
        <v>28</v>
      </c>
      <c r="B631" s="38" t="s">
        <v>174</v>
      </c>
      <c r="C631" s="38" t="s">
        <v>978</v>
      </c>
      <c r="D631" s="38" t="s">
        <v>979</v>
      </c>
      <c r="E631" s="38" t="s">
        <v>1889</v>
      </c>
      <c r="F631" s="52">
        <v>4.0</v>
      </c>
      <c r="G631" s="52">
        <v>308550.0</v>
      </c>
      <c r="H631" s="52">
        <v>36820.0</v>
      </c>
    </row>
    <row r="632" ht="15.75" hidden="1" customHeight="1">
      <c r="A632" s="38" t="s">
        <v>28</v>
      </c>
      <c r="B632" s="38" t="s">
        <v>174</v>
      </c>
      <c r="C632" s="38" t="s">
        <v>978</v>
      </c>
      <c r="D632" s="38" t="s">
        <v>979</v>
      </c>
      <c r="E632" s="38" t="s">
        <v>1890</v>
      </c>
      <c r="F632" s="52" t="s">
        <v>1800</v>
      </c>
      <c r="G632" s="52" t="s">
        <v>1800</v>
      </c>
      <c r="H632" s="52" t="s">
        <v>1800</v>
      </c>
    </row>
    <row r="633" ht="15.75" hidden="1" customHeight="1">
      <c r="A633" s="38" t="s">
        <v>28</v>
      </c>
      <c r="B633" s="38" t="s">
        <v>117</v>
      </c>
      <c r="C633" s="38" t="s">
        <v>156</v>
      </c>
      <c r="D633" s="38" t="s">
        <v>155</v>
      </c>
      <c r="E633" s="38" t="s">
        <v>1891</v>
      </c>
      <c r="F633" s="52" t="s">
        <v>1800</v>
      </c>
      <c r="G633" s="52" t="s">
        <v>1800</v>
      </c>
      <c r="H633" s="52" t="s">
        <v>1800</v>
      </c>
    </row>
    <row r="634" ht="15.75" hidden="1" customHeight="1">
      <c r="A634" s="38" t="s">
        <v>28</v>
      </c>
      <c r="B634" s="38" t="s">
        <v>117</v>
      </c>
      <c r="C634" s="38" t="s">
        <v>1189</v>
      </c>
      <c r="D634" s="38" t="s">
        <v>1190</v>
      </c>
      <c r="E634" s="38" t="s">
        <v>1892</v>
      </c>
      <c r="F634" s="52">
        <v>196.0</v>
      </c>
      <c r="G634" s="52">
        <v>1.072605E7</v>
      </c>
      <c r="H634" s="52">
        <v>1098300.0</v>
      </c>
    </row>
    <row r="635" ht="15.75" hidden="1" customHeight="1">
      <c r="A635" s="38" t="s">
        <v>28</v>
      </c>
      <c r="B635" s="38" t="s">
        <v>186</v>
      </c>
      <c r="C635" s="38" t="s">
        <v>1189</v>
      </c>
      <c r="D635" s="38" t="s">
        <v>1190</v>
      </c>
      <c r="E635" s="38" t="s">
        <v>1893</v>
      </c>
      <c r="F635" s="52">
        <v>28.0</v>
      </c>
      <c r="G635" s="52">
        <v>988480.0</v>
      </c>
      <c r="H635" s="52">
        <v>99440.0</v>
      </c>
    </row>
    <row r="636" ht="15.75" hidden="1" customHeight="1">
      <c r="A636" s="38" t="s">
        <v>28</v>
      </c>
      <c r="B636" s="38" t="s">
        <v>117</v>
      </c>
      <c r="C636" s="38" t="s">
        <v>1189</v>
      </c>
      <c r="D636" s="38" t="s">
        <v>1190</v>
      </c>
      <c r="E636" s="38" t="s">
        <v>1894</v>
      </c>
      <c r="F636" s="52">
        <v>29.0</v>
      </c>
      <c r="G636" s="52">
        <v>1051220.0</v>
      </c>
      <c r="H636" s="52">
        <v>118530.0</v>
      </c>
    </row>
    <row r="637" ht="15.75" hidden="1" customHeight="1">
      <c r="A637" s="38" t="s">
        <v>28</v>
      </c>
      <c r="B637" s="38" t="s">
        <v>117</v>
      </c>
      <c r="C637" s="38" t="s">
        <v>1189</v>
      </c>
      <c r="D637" s="38" t="s">
        <v>1190</v>
      </c>
      <c r="E637" s="38" t="s">
        <v>1895</v>
      </c>
      <c r="F637" s="52">
        <v>11.0</v>
      </c>
      <c r="G637" s="52">
        <v>137980.0</v>
      </c>
      <c r="H637" s="52">
        <v>15160.0</v>
      </c>
    </row>
    <row r="638" ht="15.75" hidden="1" customHeight="1">
      <c r="A638" s="38" t="s">
        <v>28</v>
      </c>
      <c r="B638" s="38" t="s">
        <v>117</v>
      </c>
      <c r="C638" s="38" t="s">
        <v>1896</v>
      </c>
      <c r="D638" s="38" t="s">
        <v>1897</v>
      </c>
      <c r="E638" s="38" t="s">
        <v>1898</v>
      </c>
      <c r="F638" s="52" t="s">
        <v>1800</v>
      </c>
      <c r="G638" s="52" t="s">
        <v>1800</v>
      </c>
      <c r="H638" s="52" t="s">
        <v>1800</v>
      </c>
    </row>
    <row r="639" ht="15.75" hidden="1" customHeight="1">
      <c r="A639" s="38" t="s">
        <v>28</v>
      </c>
      <c r="B639" s="38" t="s">
        <v>117</v>
      </c>
      <c r="C639" s="38" t="s">
        <v>1896</v>
      </c>
      <c r="D639" s="38" t="s">
        <v>1897</v>
      </c>
      <c r="E639" s="38" t="s">
        <v>1899</v>
      </c>
      <c r="F639" s="52">
        <v>3.0</v>
      </c>
      <c r="G639" s="52">
        <v>114000.0</v>
      </c>
      <c r="H639" s="52">
        <v>21660.0</v>
      </c>
    </row>
    <row r="640" ht="15.75" hidden="1" customHeight="1">
      <c r="A640" s="38" t="s">
        <v>28</v>
      </c>
      <c r="B640" s="38" t="s">
        <v>117</v>
      </c>
      <c r="C640" s="38" t="s">
        <v>1896</v>
      </c>
      <c r="D640" s="38" t="s">
        <v>1897</v>
      </c>
      <c r="E640" s="38" t="s">
        <v>1900</v>
      </c>
      <c r="F640" s="52" t="s">
        <v>1800</v>
      </c>
      <c r="G640" s="52" t="s">
        <v>1800</v>
      </c>
      <c r="H640" s="52" t="s">
        <v>1800</v>
      </c>
    </row>
    <row r="641" ht="15.75" hidden="1" customHeight="1">
      <c r="A641" s="38" t="s">
        <v>28</v>
      </c>
      <c r="B641" s="38" t="s">
        <v>117</v>
      </c>
      <c r="C641" s="38" t="s">
        <v>1896</v>
      </c>
      <c r="D641" s="38" t="s">
        <v>1897</v>
      </c>
      <c r="E641" s="38" t="s">
        <v>1901</v>
      </c>
      <c r="F641" s="52" t="s">
        <v>1800</v>
      </c>
      <c r="G641" s="52" t="s">
        <v>1800</v>
      </c>
      <c r="H641" s="52" t="s">
        <v>1800</v>
      </c>
    </row>
    <row r="642" ht="15.75" hidden="1" customHeight="1">
      <c r="A642" s="38" t="s">
        <v>28</v>
      </c>
      <c r="B642" s="38" t="s">
        <v>117</v>
      </c>
      <c r="C642" s="38" t="s">
        <v>1896</v>
      </c>
      <c r="D642" s="38" t="s">
        <v>1897</v>
      </c>
      <c r="E642" s="38" t="s">
        <v>1902</v>
      </c>
      <c r="F642" s="52" t="s">
        <v>1800</v>
      </c>
      <c r="G642" s="52" t="s">
        <v>1800</v>
      </c>
      <c r="H642" s="52" t="s">
        <v>1800</v>
      </c>
    </row>
    <row r="643" ht="15.75" hidden="1" customHeight="1">
      <c r="A643" s="38" t="s">
        <v>28</v>
      </c>
      <c r="B643" s="38" t="s">
        <v>117</v>
      </c>
      <c r="C643" s="38" t="s">
        <v>1896</v>
      </c>
      <c r="D643" s="38" t="s">
        <v>1897</v>
      </c>
      <c r="E643" s="38" t="s">
        <v>1903</v>
      </c>
      <c r="F643" s="52" t="s">
        <v>1800</v>
      </c>
      <c r="G643" s="52" t="s">
        <v>1800</v>
      </c>
      <c r="H643" s="52" t="s">
        <v>1800</v>
      </c>
    </row>
    <row r="644" ht="15.75" hidden="1" customHeight="1">
      <c r="A644" s="38" t="s">
        <v>28</v>
      </c>
      <c r="B644" s="38" t="s">
        <v>117</v>
      </c>
      <c r="C644" s="38" t="s">
        <v>1896</v>
      </c>
      <c r="D644" s="38" t="s">
        <v>1897</v>
      </c>
      <c r="E644" s="38" t="s">
        <v>1904</v>
      </c>
      <c r="F644" s="52" t="s">
        <v>1800</v>
      </c>
      <c r="G644" s="52" t="s">
        <v>1800</v>
      </c>
      <c r="H644" s="52" t="s">
        <v>1800</v>
      </c>
    </row>
    <row r="645" ht="15.75" hidden="1" customHeight="1">
      <c r="A645" s="38" t="s">
        <v>28</v>
      </c>
      <c r="B645" s="38" t="s">
        <v>117</v>
      </c>
      <c r="C645" s="38" t="s">
        <v>1896</v>
      </c>
      <c r="D645" s="38" t="s">
        <v>1897</v>
      </c>
      <c r="E645" s="38" t="s">
        <v>1905</v>
      </c>
      <c r="F645" s="52" t="s">
        <v>1800</v>
      </c>
      <c r="G645" s="52" t="s">
        <v>1800</v>
      </c>
      <c r="H645" s="52" t="s">
        <v>1800</v>
      </c>
    </row>
    <row r="646" ht="15.75" hidden="1" customHeight="1">
      <c r="A646" s="38" t="s">
        <v>28</v>
      </c>
      <c r="B646" s="38" t="s">
        <v>117</v>
      </c>
      <c r="C646" s="38" t="s">
        <v>1896</v>
      </c>
      <c r="D646" s="38" t="s">
        <v>1897</v>
      </c>
      <c r="E646" s="38" t="s">
        <v>1906</v>
      </c>
      <c r="F646" s="52">
        <v>1.0</v>
      </c>
      <c r="G646" s="52">
        <v>58000.0</v>
      </c>
      <c r="H646" s="52">
        <v>10000.0</v>
      </c>
    </row>
    <row r="647" ht="15.75" hidden="1" customHeight="1">
      <c r="A647" s="38" t="s">
        <v>28</v>
      </c>
      <c r="B647" s="38" t="s">
        <v>117</v>
      </c>
      <c r="C647" s="38" t="s">
        <v>1896</v>
      </c>
      <c r="D647" s="38" t="s">
        <v>1897</v>
      </c>
      <c r="E647" s="38" t="s">
        <v>1907</v>
      </c>
      <c r="F647" s="52" t="s">
        <v>1800</v>
      </c>
      <c r="G647" s="52" t="s">
        <v>1800</v>
      </c>
      <c r="H647" s="52" t="s">
        <v>1800</v>
      </c>
    </row>
    <row r="648" ht="15.75" hidden="1" customHeight="1">
      <c r="A648" s="38" t="s">
        <v>28</v>
      </c>
      <c r="B648" s="38" t="s">
        <v>117</v>
      </c>
      <c r="C648" s="38" t="s">
        <v>1896</v>
      </c>
      <c r="D648" s="38" t="s">
        <v>1897</v>
      </c>
      <c r="E648" s="38" t="s">
        <v>1908</v>
      </c>
      <c r="F648" s="52" t="s">
        <v>1800</v>
      </c>
      <c r="G648" s="52" t="s">
        <v>1800</v>
      </c>
      <c r="H648" s="52" t="s">
        <v>1800</v>
      </c>
    </row>
    <row r="649" ht="15.75" hidden="1" customHeight="1">
      <c r="A649" s="38" t="s">
        <v>31</v>
      </c>
      <c r="B649" s="38" t="s">
        <v>117</v>
      </c>
      <c r="C649" s="38" t="s">
        <v>1683</v>
      </c>
      <c r="D649" s="38" t="s">
        <v>1684</v>
      </c>
      <c r="E649" s="38" t="s">
        <v>1685</v>
      </c>
      <c r="F649" s="52">
        <v>14292.0</v>
      </c>
      <c r="G649" s="52">
        <v>1.8838688E8</v>
      </c>
      <c r="H649" s="52">
        <v>1271104.0</v>
      </c>
    </row>
    <row r="650" ht="15.75" hidden="1" customHeight="1">
      <c r="A650" s="38" t="s">
        <v>31</v>
      </c>
      <c r="B650" s="38" t="s">
        <v>117</v>
      </c>
      <c r="C650" s="38" t="s">
        <v>1683</v>
      </c>
      <c r="D650" s="38" t="s">
        <v>1684</v>
      </c>
      <c r="E650" s="38" t="s">
        <v>1686</v>
      </c>
      <c r="F650" s="52">
        <v>1310.0</v>
      </c>
      <c r="G650" s="52">
        <v>2.47032E7</v>
      </c>
      <c r="H650" s="52">
        <v>149151.0</v>
      </c>
    </row>
    <row r="651" ht="15.75" hidden="1" customHeight="1">
      <c r="A651" s="38" t="s">
        <v>31</v>
      </c>
      <c r="B651" s="38" t="s">
        <v>117</v>
      </c>
      <c r="C651" s="38" t="s">
        <v>1683</v>
      </c>
      <c r="D651" s="38" t="s">
        <v>1684</v>
      </c>
      <c r="E651" s="38" t="s">
        <v>1687</v>
      </c>
      <c r="F651" s="52">
        <v>3582.0</v>
      </c>
      <c r="G651" s="52">
        <v>6.016167E7</v>
      </c>
      <c r="H651" s="52">
        <v>605736.0</v>
      </c>
    </row>
    <row r="652" ht="15.75" hidden="1" customHeight="1">
      <c r="A652" s="38" t="s">
        <v>31</v>
      </c>
      <c r="B652" s="38" t="s">
        <v>186</v>
      </c>
      <c r="C652" s="38" t="s">
        <v>1688</v>
      </c>
      <c r="D652" s="38" t="s">
        <v>1689</v>
      </c>
      <c r="E652" s="38" t="s">
        <v>1690</v>
      </c>
      <c r="F652" s="52">
        <v>59.0</v>
      </c>
      <c r="G652" s="52">
        <v>737500.0</v>
      </c>
      <c r="H652" s="52">
        <v>79676.0</v>
      </c>
    </row>
    <row r="653" ht="15.75" hidden="1" customHeight="1">
      <c r="A653" s="38" t="s">
        <v>31</v>
      </c>
      <c r="B653" s="38" t="s">
        <v>174</v>
      </c>
      <c r="C653" s="38" t="s">
        <v>1688</v>
      </c>
      <c r="D653" s="38" t="s">
        <v>1689</v>
      </c>
      <c r="E653" s="38" t="s">
        <v>1691</v>
      </c>
      <c r="F653" s="52">
        <v>24.0</v>
      </c>
      <c r="G653" s="52">
        <v>340800.0</v>
      </c>
      <c r="H653" s="52">
        <v>49744.0</v>
      </c>
    </row>
    <row r="654" ht="15.75" hidden="1" customHeight="1">
      <c r="A654" s="38" t="s">
        <v>31</v>
      </c>
      <c r="B654" s="38" t="s">
        <v>186</v>
      </c>
      <c r="C654" s="38" t="s">
        <v>1692</v>
      </c>
      <c r="D654" s="38" t="s">
        <v>1693</v>
      </c>
      <c r="E654" s="38" t="s">
        <v>1694</v>
      </c>
      <c r="F654" s="52">
        <v>11026.0</v>
      </c>
      <c r="G654" s="52">
        <v>6.490184E7</v>
      </c>
      <c r="H654" s="52">
        <v>711655.0</v>
      </c>
    </row>
    <row r="655" ht="15.75" hidden="1" customHeight="1">
      <c r="A655" s="38" t="s">
        <v>31</v>
      </c>
      <c r="B655" s="38" t="s">
        <v>186</v>
      </c>
      <c r="C655" s="38" t="s">
        <v>1692</v>
      </c>
      <c r="D655" s="38" t="s">
        <v>1693</v>
      </c>
      <c r="E655" s="38" t="s">
        <v>1695</v>
      </c>
      <c r="F655" s="52">
        <v>11302.0</v>
      </c>
      <c r="G655" s="52">
        <v>5.22991E7</v>
      </c>
      <c r="H655" s="52">
        <v>708110.0</v>
      </c>
    </row>
    <row r="656" ht="15.75" hidden="1" customHeight="1">
      <c r="A656" s="38" t="s">
        <v>31</v>
      </c>
      <c r="B656" s="38" t="s">
        <v>186</v>
      </c>
      <c r="C656" s="38" t="s">
        <v>1692</v>
      </c>
      <c r="D656" s="38" t="s">
        <v>1693</v>
      </c>
      <c r="E656" s="38" t="s">
        <v>1696</v>
      </c>
      <c r="F656" s="52">
        <v>10571.0</v>
      </c>
      <c r="G656" s="52">
        <v>4.24172E7</v>
      </c>
      <c r="H656" s="52">
        <v>560200.0</v>
      </c>
    </row>
    <row r="657" ht="15.75" hidden="1" customHeight="1">
      <c r="A657" s="38" t="s">
        <v>31</v>
      </c>
      <c r="B657" s="38" t="s">
        <v>186</v>
      </c>
      <c r="C657" s="38" t="s">
        <v>1692</v>
      </c>
      <c r="D657" s="38" t="s">
        <v>1693</v>
      </c>
      <c r="E657" s="38" t="s">
        <v>1697</v>
      </c>
      <c r="F657" s="52">
        <v>2689.0</v>
      </c>
      <c r="G657" s="52">
        <v>5907000.0</v>
      </c>
      <c r="H657" s="52">
        <v>64236.0</v>
      </c>
    </row>
    <row r="658" ht="15.75" hidden="1" customHeight="1">
      <c r="A658" s="38" t="s">
        <v>31</v>
      </c>
      <c r="B658" s="38" t="s">
        <v>186</v>
      </c>
      <c r="C658" s="38" t="s">
        <v>1692</v>
      </c>
      <c r="D658" s="38" t="s">
        <v>1693</v>
      </c>
      <c r="E658" s="38" t="s">
        <v>1698</v>
      </c>
      <c r="F658" s="52">
        <v>621.0</v>
      </c>
      <c r="G658" s="52">
        <v>2916700.0</v>
      </c>
      <c r="H658" s="52">
        <v>29760.0</v>
      </c>
    </row>
    <row r="659" ht="15.75" hidden="1" customHeight="1">
      <c r="A659" s="38" t="s">
        <v>31</v>
      </c>
      <c r="B659" s="38" t="s">
        <v>186</v>
      </c>
      <c r="C659" s="38" t="s">
        <v>1692</v>
      </c>
      <c r="D659" s="38" t="s">
        <v>1693</v>
      </c>
      <c r="E659" s="38" t="s">
        <v>1699</v>
      </c>
      <c r="F659" s="52">
        <v>562.0</v>
      </c>
      <c r="G659" s="52">
        <v>2607800.0</v>
      </c>
      <c r="H659" s="52">
        <v>21440.0</v>
      </c>
    </row>
    <row r="660" ht="15.75" hidden="1" customHeight="1">
      <c r="A660" s="38" t="s">
        <v>31</v>
      </c>
      <c r="B660" s="55" t="s">
        <v>174</v>
      </c>
      <c r="C660" s="38" t="s">
        <v>1700</v>
      </c>
      <c r="D660" s="38" t="s">
        <v>1701</v>
      </c>
      <c r="E660" s="38" t="s">
        <v>1702</v>
      </c>
      <c r="F660" s="52">
        <v>4759.0</v>
      </c>
      <c r="G660" s="52">
        <v>4.64269E7</v>
      </c>
      <c r="H660" s="52">
        <v>749940.0</v>
      </c>
      <c r="J660" s="38" t="s">
        <v>174</v>
      </c>
    </row>
    <row r="661" ht="15.75" hidden="1" customHeight="1">
      <c r="A661" s="38" t="s">
        <v>31</v>
      </c>
      <c r="B661" s="55" t="s">
        <v>174</v>
      </c>
      <c r="C661" s="38" t="s">
        <v>1700</v>
      </c>
      <c r="D661" s="38" t="s">
        <v>1701</v>
      </c>
      <c r="E661" s="38" t="s">
        <v>1705</v>
      </c>
      <c r="F661" s="52">
        <v>2552.0</v>
      </c>
      <c r="G661" s="52">
        <v>3.0197E7</v>
      </c>
      <c r="H661" s="52">
        <v>490780.0</v>
      </c>
      <c r="J661" s="38" t="s">
        <v>174</v>
      </c>
    </row>
    <row r="662" ht="15.75" hidden="1" customHeight="1">
      <c r="A662" s="38" t="s">
        <v>31</v>
      </c>
      <c r="B662" s="55" t="s">
        <v>174</v>
      </c>
      <c r="C662" s="38" t="s">
        <v>1700</v>
      </c>
      <c r="D662" s="38" t="s">
        <v>1701</v>
      </c>
      <c r="E662" s="38" t="s">
        <v>1706</v>
      </c>
      <c r="F662" s="52">
        <v>2247.0</v>
      </c>
      <c r="G662" s="52">
        <v>2.17444E7</v>
      </c>
      <c r="H662" s="52">
        <v>555270.0</v>
      </c>
      <c r="J662" s="38" t="s">
        <v>174</v>
      </c>
    </row>
    <row r="663" ht="15.75" hidden="1" customHeight="1">
      <c r="A663" s="38" t="s">
        <v>31</v>
      </c>
      <c r="B663" s="55" t="s">
        <v>174</v>
      </c>
      <c r="C663" s="38" t="s">
        <v>1700</v>
      </c>
      <c r="D663" s="38" t="s">
        <v>1701</v>
      </c>
      <c r="E663" s="38" t="s">
        <v>1707</v>
      </c>
      <c r="F663" s="52">
        <v>883.0</v>
      </c>
      <c r="G663" s="52">
        <v>1.54226E7</v>
      </c>
      <c r="H663" s="52">
        <v>271750.0</v>
      </c>
      <c r="J663" s="38" t="s">
        <v>174</v>
      </c>
    </row>
    <row r="664" ht="15.75" hidden="1" customHeight="1">
      <c r="A664" s="38" t="s">
        <v>31</v>
      </c>
      <c r="B664" s="38" t="s">
        <v>117</v>
      </c>
      <c r="C664" s="38" t="s">
        <v>1708</v>
      </c>
      <c r="D664" s="38" t="s">
        <v>1709</v>
      </c>
      <c r="E664" s="38" t="s">
        <v>1710</v>
      </c>
      <c r="F664" s="52">
        <v>3118.0</v>
      </c>
      <c r="G664" s="52">
        <v>1.69397E7</v>
      </c>
      <c r="H664" s="52">
        <v>1323514.0</v>
      </c>
    </row>
    <row r="665" ht="15.75" hidden="1" customHeight="1">
      <c r="A665" s="38" t="s">
        <v>31</v>
      </c>
      <c r="B665" s="38" t="s">
        <v>186</v>
      </c>
      <c r="C665" s="38" t="s">
        <v>1711</v>
      </c>
      <c r="D665" s="38" t="s">
        <v>1712</v>
      </c>
      <c r="E665" s="38" t="s">
        <v>1713</v>
      </c>
      <c r="F665" s="52">
        <v>18.0</v>
      </c>
      <c r="G665" s="52">
        <v>702000.0</v>
      </c>
      <c r="H665" s="52">
        <v>90870.0</v>
      </c>
    </row>
    <row r="666" ht="15.75" hidden="1" customHeight="1">
      <c r="A666" s="38" t="s">
        <v>31</v>
      </c>
      <c r="B666" s="38" t="s">
        <v>186</v>
      </c>
      <c r="C666" s="38" t="s">
        <v>1711</v>
      </c>
      <c r="D666" s="38" t="s">
        <v>1712</v>
      </c>
      <c r="E666" s="38" t="s">
        <v>1714</v>
      </c>
      <c r="F666" s="52">
        <v>38.0</v>
      </c>
      <c r="G666" s="52">
        <v>722000.0</v>
      </c>
      <c r="H666" s="52">
        <v>86352.0</v>
      </c>
    </row>
    <row r="667" ht="15.75" hidden="1" customHeight="1">
      <c r="A667" s="38" t="s">
        <v>31</v>
      </c>
      <c r="B667" s="38" t="s">
        <v>186</v>
      </c>
      <c r="C667" s="38" t="s">
        <v>1711</v>
      </c>
      <c r="D667" s="38" t="s">
        <v>1712</v>
      </c>
      <c r="E667" s="38" t="s">
        <v>1715</v>
      </c>
      <c r="F667" s="52">
        <v>21.0</v>
      </c>
      <c r="G667" s="52">
        <v>231000.0</v>
      </c>
      <c r="H667" s="52">
        <v>33200.0</v>
      </c>
    </row>
    <row r="668" ht="15.75" hidden="1" customHeight="1">
      <c r="A668" s="38" t="s">
        <v>31</v>
      </c>
      <c r="B668" s="38" t="s">
        <v>186</v>
      </c>
      <c r="C668" s="38" t="s">
        <v>1711</v>
      </c>
      <c r="D668" s="38" t="s">
        <v>1712</v>
      </c>
      <c r="E668" s="38" t="s">
        <v>1716</v>
      </c>
      <c r="F668" s="52">
        <v>12.0</v>
      </c>
      <c r="G668" s="52">
        <v>54000.0</v>
      </c>
      <c r="H668" s="52">
        <v>10800.0</v>
      </c>
    </row>
    <row r="669" ht="15.75" hidden="1" customHeight="1">
      <c r="A669" s="38" t="s">
        <v>31</v>
      </c>
      <c r="B669" s="38" t="s">
        <v>186</v>
      </c>
      <c r="C669" s="38" t="s">
        <v>1711</v>
      </c>
      <c r="D669" s="38" t="s">
        <v>1712</v>
      </c>
      <c r="E669" s="38" t="s">
        <v>1717</v>
      </c>
      <c r="F669" s="52">
        <v>4.0</v>
      </c>
      <c r="G669" s="52">
        <v>50000.0</v>
      </c>
      <c r="H669" s="52">
        <v>10000.0</v>
      </c>
    </row>
    <row r="670" ht="15.75" hidden="1" customHeight="1">
      <c r="A670" s="38" t="s">
        <v>31</v>
      </c>
      <c r="B670" s="38" t="s">
        <v>186</v>
      </c>
      <c r="C670" s="38" t="s">
        <v>1711</v>
      </c>
      <c r="D670" s="38" t="s">
        <v>1712</v>
      </c>
      <c r="E670" s="38" t="s">
        <v>1718</v>
      </c>
      <c r="F670" s="52">
        <v>4.0</v>
      </c>
      <c r="G670" s="52">
        <v>31600.0</v>
      </c>
      <c r="H670" s="52">
        <v>3160.0</v>
      </c>
    </row>
    <row r="671" ht="15.75" hidden="1" customHeight="1">
      <c r="A671" s="38" t="s">
        <v>31</v>
      </c>
      <c r="B671" s="38" t="s">
        <v>186</v>
      </c>
      <c r="C671" s="38" t="s">
        <v>1711</v>
      </c>
      <c r="D671" s="38" t="s">
        <v>1712</v>
      </c>
      <c r="E671" s="38" t="s">
        <v>1719</v>
      </c>
      <c r="F671" s="52">
        <v>17.0</v>
      </c>
      <c r="G671" s="52">
        <v>93500.0</v>
      </c>
      <c r="H671" s="52">
        <v>15400.0</v>
      </c>
    </row>
    <row r="672" ht="15.75" hidden="1" customHeight="1">
      <c r="A672" s="38" t="s">
        <v>31</v>
      </c>
      <c r="B672" s="38" t="s">
        <v>186</v>
      </c>
      <c r="C672" s="38" t="s">
        <v>1711</v>
      </c>
      <c r="D672" s="38" t="s">
        <v>1712</v>
      </c>
      <c r="E672" s="38" t="s">
        <v>1720</v>
      </c>
      <c r="F672" s="52">
        <v>24.0</v>
      </c>
      <c r="G672" s="52">
        <v>276000.0</v>
      </c>
      <c r="H672" s="52">
        <v>43700.0</v>
      </c>
    </row>
    <row r="673" ht="15.75" hidden="1" customHeight="1">
      <c r="A673" s="38" t="s">
        <v>31</v>
      </c>
      <c r="B673" s="38" t="s">
        <v>186</v>
      </c>
      <c r="C673" s="38" t="s">
        <v>1711</v>
      </c>
      <c r="D673" s="38" t="s">
        <v>1712</v>
      </c>
      <c r="E673" s="38" t="s">
        <v>1721</v>
      </c>
      <c r="F673" s="52">
        <v>13.0</v>
      </c>
      <c r="G673" s="52">
        <v>260000.0</v>
      </c>
      <c r="H673" s="52">
        <v>46289.0</v>
      </c>
    </row>
    <row r="674" ht="15.75" hidden="1" customHeight="1">
      <c r="A674" s="38" t="s">
        <v>31</v>
      </c>
      <c r="B674" s="38" t="s">
        <v>186</v>
      </c>
      <c r="C674" s="38" t="s">
        <v>1711</v>
      </c>
      <c r="D674" s="38" t="s">
        <v>1712</v>
      </c>
      <c r="E674" s="38" t="s">
        <v>1722</v>
      </c>
      <c r="F674" s="52">
        <v>11.0</v>
      </c>
      <c r="G674" s="52">
        <v>165000.0</v>
      </c>
      <c r="H674" s="52">
        <v>17778.0</v>
      </c>
    </row>
    <row r="675" ht="15.75" hidden="1" customHeight="1">
      <c r="A675" s="38" t="s">
        <v>31</v>
      </c>
      <c r="B675" s="38" t="s">
        <v>117</v>
      </c>
      <c r="C675" s="38" t="s">
        <v>1723</v>
      </c>
      <c r="D675" s="38" t="s">
        <v>1724</v>
      </c>
      <c r="E675" s="38" t="s">
        <v>1725</v>
      </c>
      <c r="F675" s="52">
        <v>11.0</v>
      </c>
      <c r="G675" s="52">
        <v>174900.0</v>
      </c>
      <c r="H675" s="52">
        <v>19080.0</v>
      </c>
    </row>
    <row r="676" ht="15.75" hidden="1" customHeight="1">
      <c r="A676" s="38" t="s">
        <v>31</v>
      </c>
      <c r="B676" s="38" t="s">
        <v>117</v>
      </c>
      <c r="C676" s="38" t="s">
        <v>1723</v>
      </c>
      <c r="D676" s="38" t="s">
        <v>1724</v>
      </c>
      <c r="E676" s="38" t="s">
        <v>1726</v>
      </c>
      <c r="F676" s="52">
        <v>3.0</v>
      </c>
      <c r="G676" s="52">
        <v>53700.0</v>
      </c>
      <c r="H676" s="52">
        <v>10740.0</v>
      </c>
    </row>
    <row r="677" ht="15.75" hidden="1" customHeight="1">
      <c r="A677" s="38" t="s">
        <v>31</v>
      </c>
      <c r="B677" s="38" t="s">
        <v>174</v>
      </c>
      <c r="C677" s="38" t="s">
        <v>1723</v>
      </c>
      <c r="D677" s="38" t="s">
        <v>1724</v>
      </c>
      <c r="E677" s="38" t="s">
        <v>1727</v>
      </c>
      <c r="F677" s="52">
        <v>16.0</v>
      </c>
      <c r="G677" s="52">
        <v>508800.0</v>
      </c>
      <c r="H677" s="52">
        <v>92680.0</v>
      </c>
    </row>
    <row r="678" ht="15.75" hidden="1" customHeight="1">
      <c r="A678" s="38" t="s">
        <v>31</v>
      </c>
      <c r="B678" s="38" t="s">
        <v>174</v>
      </c>
      <c r="C678" s="38" t="s">
        <v>1723</v>
      </c>
      <c r="D678" s="38" t="s">
        <v>1724</v>
      </c>
      <c r="E678" s="38" t="s">
        <v>1728</v>
      </c>
      <c r="F678" s="52">
        <v>2.0</v>
      </c>
      <c r="G678" s="52">
        <v>59600.0</v>
      </c>
      <c r="H678" s="52">
        <v>11920.0</v>
      </c>
    </row>
    <row r="679" ht="15.75" hidden="1" customHeight="1">
      <c r="A679" s="38" t="s">
        <v>31</v>
      </c>
      <c r="B679" s="38" t="s">
        <v>174</v>
      </c>
      <c r="C679" s="38" t="s">
        <v>1723</v>
      </c>
      <c r="D679" s="38" t="s">
        <v>1724</v>
      </c>
      <c r="E679" s="38" t="s">
        <v>1729</v>
      </c>
      <c r="F679" s="52">
        <v>4.0</v>
      </c>
      <c r="G679" s="52">
        <v>115200.0</v>
      </c>
      <c r="H679" s="52">
        <v>22653.0</v>
      </c>
    </row>
    <row r="680" ht="15.75" hidden="1" customHeight="1">
      <c r="A680" s="38" t="s">
        <v>31</v>
      </c>
      <c r="B680" s="38" t="s">
        <v>174</v>
      </c>
      <c r="C680" s="38" t="s">
        <v>1723</v>
      </c>
      <c r="D680" s="38" t="s">
        <v>1724</v>
      </c>
      <c r="E680" s="38" t="s">
        <v>1730</v>
      </c>
      <c r="F680" s="52">
        <v>1.0</v>
      </c>
      <c r="G680" s="52">
        <v>24800.0</v>
      </c>
      <c r="H680" s="52">
        <v>4627.0</v>
      </c>
    </row>
    <row r="681" ht="15.75" hidden="1" customHeight="1">
      <c r="A681" s="38" t="s">
        <v>31</v>
      </c>
      <c r="B681" s="38" t="s">
        <v>117</v>
      </c>
      <c r="C681" s="38" t="s">
        <v>1731</v>
      </c>
      <c r="D681" s="38" t="s">
        <v>1732</v>
      </c>
      <c r="E681" s="38" t="s">
        <v>1733</v>
      </c>
      <c r="F681" s="52">
        <v>4312.0</v>
      </c>
      <c r="G681" s="52">
        <v>6766100.0</v>
      </c>
      <c r="H681" s="52">
        <v>87840.0</v>
      </c>
    </row>
    <row r="682" ht="15.75" hidden="1" customHeight="1">
      <c r="A682" s="38" t="s">
        <v>31</v>
      </c>
      <c r="B682" s="38" t="s">
        <v>117</v>
      </c>
      <c r="C682" s="38" t="s">
        <v>1731</v>
      </c>
      <c r="D682" s="38" t="s">
        <v>1732</v>
      </c>
      <c r="E682" s="38" t="s">
        <v>1734</v>
      </c>
      <c r="F682" s="52">
        <v>10180.0</v>
      </c>
      <c r="G682" s="52">
        <v>4.046852E7</v>
      </c>
      <c r="H682" s="52">
        <v>536740.0</v>
      </c>
    </row>
    <row r="683" ht="15.75" hidden="1" customHeight="1">
      <c r="A683" s="38" t="s">
        <v>31</v>
      </c>
      <c r="B683" s="38" t="s">
        <v>117</v>
      </c>
      <c r="C683" s="38" t="s">
        <v>1731</v>
      </c>
      <c r="D683" s="38" t="s">
        <v>1732</v>
      </c>
      <c r="E683" s="38" t="s">
        <v>1735</v>
      </c>
      <c r="F683" s="52">
        <v>9147.0</v>
      </c>
      <c r="G683" s="52">
        <v>1.313099E7</v>
      </c>
      <c r="H683" s="52">
        <v>191208.0</v>
      </c>
    </row>
    <row r="684" ht="15.75" hidden="1" customHeight="1">
      <c r="A684" s="38" t="s">
        <v>31</v>
      </c>
      <c r="B684" s="38" t="s">
        <v>117</v>
      </c>
      <c r="C684" s="38" t="s">
        <v>1731</v>
      </c>
      <c r="D684" s="38" t="s">
        <v>1732</v>
      </c>
      <c r="E684" s="38" t="s">
        <v>1736</v>
      </c>
      <c r="F684" s="52">
        <v>4793.0</v>
      </c>
      <c r="G684" s="52">
        <v>2.34759E7</v>
      </c>
      <c r="H684" s="52">
        <v>737000.0</v>
      </c>
    </row>
    <row r="685" ht="15.75" hidden="1" customHeight="1">
      <c r="A685" s="38" t="s">
        <v>31</v>
      </c>
      <c r="B685" s="38" t="s">
        <v>117</v>
      </c>
      <c r="C685" s="38" t="s">
        <v>1731</v>
      </c>
      <c r="D685" s="38" t="s">
        <v>1732</v>
      </c>
      <c r="E685" s="38" t="s">
        <v>1737</v>
      </c>
      <c r="F685" s="52" t="s">
        <v>1800</v>
      </c>
      <c r="G685" s="52" t="s">
        <v>1800</v>
      </c>
      <c r="H685" s="52" t="s">
        <v>1800</v>
      </c>
    </row>
    <row r="686" ht="15.75" hidden="1" customHeight="1">
      <c r="A686" s="38" t="s">
        <v>31</v>
      </c>
      <c r="B686" s="38" t="s">
        <v>117</v>
      </c>
      <c r="C686" s="38" t="s">
        <v>1731</v>
      </c>
      <c r="D686" s="38" t="s">
        <v>1732</v>
      </c>
      <c r="E686" s="38" t="s">
        <v>1738</v>
      </c>
      <c r="F686" s="52" t="s">
        <v>1800</v>
      </c>
      <c r="G686" s="52" t="s">
        <v>1800</v>
      </c>
      <c r="H686" s="52" t="s">
        <v>1800</v>
      </c>
    </row>
    <row r="687" ht="15.75" hidden="1" customHeight="1">
      <c r="A687" s="38" t="s">
        <v>31</v>
      </c>
      <c r="B687" s="38" t="s">
        <v>117</v>
      </c>
      <c r="C687" s="38" t="s">
        <v>1731</v>
      </c>
      <c r="D687" s="38" t="s">
        <v>1732</v>
      </c>
      <c r="E687" s="38" t="s">
        <v>1739</v>
      </c>
      <c r="F687" s="52">
        <v>4315.0</v>
      </c>
      <c r="G687" s="52">
        <v>1.053685E7</v>
      </c>
      <c r="H687" s="52">
        <v>182976.0</v>
      </c>
    </row>
    <row r="688" ht="15.75" hidden="1" customHeight="1">
      <c r="A688" s="38" t="s">
        <v>31</v>
      </c>
      <c r="B688" s="38" t="s">
        <v>117</v>
      </c>
      <c r="C688" s="38" t="s">
        <v>1731</v>
      </c>
      <c r="D688" s="38" t="s">
        <v>1732</v>
      </c>
      <c r="E688" s="38" t="s">
        <v>1740</v>
      </c>
      <c r="F688" s="52">
        <v>646.0</v>
      </c>
      <c r="G688" s="52">
        <v>3030160.0</v>
      </c>
      <c r="H688" s="52">
        <v>126064.0</v>
      </c>
    </row>
    <row r="689" ht="15.75" hidden="1" customHeight="1">
      <c r="A689" s="38" t="s">
        <v>31</v>
      </c>
      <c r="B689" s="38" t="s">
        <v>117</v>
      </c>
      <c r="C689" s="38" t="s">
        <v>1731</v>
      </c>
      <c r="D689" s="38" t="s">
        <v>1732</v>
      </c>
      <c r="E689" s="38" t="s">
        <v>1741</v>
      </c>
      <c r="F689" s="52">
        <v>2705.0</v>
      </c>
      <c r="G689" s="52">
        <v>1.091337E7</v>
      </c>
      <c r="H689" s="52">
        <v>184506.0</v>
      </c>
    </row>
    <row r="690" ht="15.75" hidden="1" customHeight="1">
      <c r="A690" s="38" t="s">
        <v>31</v>
      </c>
      <c r="B690" s="38" t="s">
        <v>117</v>
      </c>
      <c r="C690" s="38" t="s">
        <v>1731</v>
      </c>
      <c r="D690" s="38" t="s">
        <v>1732</v>
      </c>
      <c r="E690" s="38" t="s">
        <v>1742</v>
      </c>
      <c r="F690" s="52" t="s">
        <v>1800</v>
      </c>
      <c r="G690" s="52" t="s">
        <v>1800</v>
      </c>
      <c r="H690" s="52" t="s">
        <v>1800</v>
      </c>
    </row>
    <row r="691" ht="15.75" hidden="1" customHeight="1">
      <c r="A691" s="38" t="s">
        <v>31</v>
      </c>
      <c r="B691" s="38" t="s">
        <v>117</v>
      </c>
      <c r="C691" s="38" t="s">
        <v>1731</v>
      </c>
      <c r="D691" s="38" t="s">
        <v>1732</v>
      </c>
      <c r="E691" s="38" t="s">
        <v>1743</v>
      </c>
      <c r="F691" s="52" t="s">
        <v>1800</v>
      </c>
      <c r="G691" s="52" t="s">
        <v>1800</v>
      </c>
      <c r="H691" s="52" t="s">
        <v>1800</v>
      </c>
    </row>
    <row r="692" ht="15.75" hidden="1" customHeight="1">
      <c r="A692" s="38" t="s">
        <v>31</v>
      </c>
      <c r="B692" s="38" t="s">
        <v>117</v>
      </c>
      <c r="C692" s="38" t="s">
        <v>1731</v>
      </c>
      <c r="D692" s="38" t="s">
        <v>1732</v>
      </c>
      <c r="E692" s="38" t="s">
        <v>1744</v>
      </c>
      <c r="F692" s="52">
        <v>1451.0</v>
      </c>
      <c r="G692" s="52">
        <v>3545680.0</v>
      </c>
      <c r="H692" s="52" t="s">
        <v>1800</v>
      </c>
    </row>
    <row r="693" ht="15.75" hidden="1" customHeight="1">
      <c r="A693" s="38" t="s">
        <v>31</v>
      </c>
      <c r="B693" s="38" t="s">
        <v>117</v>
      </c>
      <c r="C693" s="38" t="s">
        <v>1731</v>
      </c>
      <c r="D693" s="38" t="s">
        <v>1732</v>
      </c>
      <c r="E693" s="38" t="s">
        <v>1745</v>
      </c>
      <c r="F693" s="52">
        <v>1511.0</v>
      </c>
      <c r="G693" s="52">
        <v>2955250.0</v>
      </c>
      <c r="H693" s="52" t="s">
        <v>1800</v>
      </c>
    </row>
    <row r="694" ht="15.75" hidden="1" customHeight="1">
      <c r="A694" s="38" t="s">
        <v>31</v>
      </c>
      <c r="B694" s="38" t="s">
        <v>117</v>
      </c>
      <c r="C694" s="38" t="s">
        <v>1731</v>
      </c>
      <c r="D694" s="38" t="s">
        <v>1732</v>
      </c>
      <c r="E694" s="38" t="s">
        <v>1746</v>
      </c>
      <c r="F694" s="52">
        <v>17672.0</v>
      </c>
      <c r="G694" s="52">
        <v>5.143609E7</v>
      </c>
      <c r="H694" s="52" t="s">
        <v>1800</v>
      </c>
    </row>
    <row r="695" ht="15.75" hidden="1" customHeight="1">
      <c r="A695" s="38" t="s">
        <v>31</v>
      </c>
      <c r="B695" s="38" t="s">
        <v>117</v>
      </c>
      <c r="C695" s="38" t="s">
        <v>1731</v>
      </c>
      <c r="D695" s="38" t="s">
        <v>1732</v>
      </c>
      <c r="E695" s="38" t="s">
        <v>1747</v>
      </c>
      <c r="F695" s="52" t="s">
        <v>1800</v>
      </c>
      <c r="G695" s="52" t="s">
        <v>1800</v>
      </c>
      <c r="H695" s="52" t="s">
        <v>1800</v>
      </c>
    </row>
    <row r="696" ht="15.75" hidden="1" customHeight="1">
      <c r="A696" s="38" t="s">
        <v>31</v>
      </c>
      <c r="B696" s="38" t="s">
        <v>117</v>
      </c>
      <c r="C696" s="38" t="s">
        <v>1731</v>
      </c>
      <c r="D696" s="38" t="s">
        <v>1732</v>
      </c>
      <c r="E696" s="38" t="s">
        <v>1748</v>
      </c>
      <c r="F696" s="52">
        <v>5871.0</v>
      </c>
      <c r="G696" s="52">
        <v>9506060.0</v>
      </c>
      <c r="H696" s="52" t="s">
        <v>1800</v>
      </c>
    </row>
    <row r="697" ht="15.75" hidden="1" customHeight="1">
      <c r="A697" s="38" t="s">
        <v>31</v>
      </c>
      <c r="B697" s="38" t="s">
        <v>117</v>
      </c>
      <c r="C697" s="38" t="s">
        <v>1731</v>
      </c>
      <c r="D697" s="38" t="s">
        <v>1732</v>
      </c>
      <c r="E697" s="38" t="s">
        <v>1749</v>
      </c>
      <c r="F697" s="52" t="s">
        <v>1800</v>
      </c>
      <c r="G697" s="52" t="s">
        <v>1800</v>
      </c>
      <c r="H697" s="52" t="s">
        <v>1800</v>
      </c>
    </row>
    <row r="698" ht="15.75" hidden="1" customHeight="1">
      <c r="A698" s="38" t="s">
        <v>31</v>
      </c>
      <c r="B698" s="38" t="s">
        <v>117</v>
      </c>
      <c r="C698" s="38" t="s">
        <v>1750</v>
      </c>
      <c r="D698" s="38" t="s">
        <v>1751</v>
      </c>
      <c r="E698" s="38" t="s">
        <v>1752</v>
      </c>
      <c r="F698" s="52">
        <v>24776.0</v>
      </c>
      <c r="G698" s="52">
        <v>4.562863E7</v>
      </c>
      <c r="H698" s="52">
        <v>137841.0</v>
      </c>
    </row>
    <row r="699" ht="15.75" hidden="1" customHeight="1">
      <c r="A699" s="38" t="s">
        <v>31</v>
      </c>
      <c r="B699" s="38" t="s">
        <v>117</v>
      </c>
      <c r="C699" s="38" t="s">
        <v>1750</v>
      </c>
      <c r="D699" s="38" t="s">
        <v>1751</v>
      </c>
      <c r="E699" s="38" t="s">
        <v>1753</v>
      </c>
      <c r="F699" s="52">
        <v>5997.0</v>
      </c>
      <c r="G699" s="52">
        <v>2.135048E7</v>
      </c>
      <c r="H699" s="52">
        <v>91872.0</v>
      </c>
    </row>
    <row r="700" ht="15.75" hidden="1" customHeight="1">
      <c r="A700" s="38" t="s">
        <v>31</v>
      </c>
      <c r="B700" s="38" t="s">
        <v>117</v>
      </c>
      <c r="C700" s="38" t="s">
        <v>1750</v>
      </c>
      <c r="D700" s="38" t="s">
        <v>1751</v>
      </c>
      <c r="E700" s="38" t="s">
        <v>1754</v>
      </c>
      <c r="F700" s="52">
        <v>6297.0</v>
      </c>
      <c r="G700" s="52">
        <v>1.0219E7</v>
      </c>
      <c r="H700" s="52">
        <v>52800.0</v>
      </c>
    </row>
    <row r="701" ht="15.75" hidden="1" customHeight="1">
      <c r="A701" s="38" t="s">
        <v>31</v>
      </c>
      <c r="B701" s="38" t="s">
        <v>117</v>
      </c>
      <c r="C701" s="38" t="s">
        <v>1750</v>
      </c>
      <c r="D701" s="38" t="s">
        <v>1751</v>
      </c>
      <c r="E701" s="38" t="s">
        <v>1755</v>
      </c>
      <c r="F701" s="52">
        <v>5973.0</v>
      </c>
      <c r="G701" s="52">
        <v>9648310.0</v>
      </c>
      <c r="H701" s="52">
        <v>41526.0</v>
      </c>
    </row>
    <row r="702" ht="15.75" hidden="1" customHeight="1">
      <c r="A702" s="38" t="s">
        <v>31</v>
      </c>
      <c r="B702" s="38" t="s">
        <v>117</v>
      </c>
      <c r="C702" s="38" t="s">
        <v>1750</v>
      </c>
      <c r="D702" s="38" t="s">
        <v>1751</v>
      </c>
      <c r="E702" s="38" t="s">
        <v>1756</v>
      </c>
      <c r="F702" s="52">
        <v>5007.0</v>
      </c>
      <c r="G702" s="52">
        <v>1.068183E7</v>
      </c>
      <c r="H702" s="52">
        <v>57678.0</v>
      </c>
    </row>
    <row r="703" ht="15.75" hidden="1" customHeight="1">
      <c r="A703" s="38" t="s">
        <v>31</v>
      </c>
      <c r="B703" s="38" t="s">
        <v>117</v>
      </c>
      <c r="C703" s="38" t="s">
        <v>1750</v>
      </c>
      <c r="D703" s="38" t="s">
        <v>1751</v>
      </c>
      <c r="E703" s="38" t="s">
        <v>1757</v>
      </c>
      <c r="F703" s="52">
        <v>4682.0</v>
      </c>
      <c r="G703" s="52">
        <v>1.203308E7</v>
      </c>
      <c r="H703" s="52">
        <v>90354.0</v>
      </c>
    </row>
    <row r="704" ht="15.75" hidden="1" customHeight="1">
      <c r="A704" s="38" t="s">
        <v>31</v>
      </c>
      <c r="B704" s="38" t="s">
        <v>117</v>
      </c>
      <c r="C704" s="38" t="s">
        <v>1750</v>
      </c>
      <c r="D704" s="38" t="s">
        <v>1751</v>
      </c>
      <c r="E704" s="38" t="s">
        <v>1758</v>
      </c>
      <c r="F704" s="52">
        <v>8858.0</v>
      </c>
      <c r="G704" s="52">
        <v>2.777323E7</v>
      </c>
      <c r="H704" s="52">
        <v>72632.0</v>
      </c>
    </row>
    <row r="705" ht="15.75" hidden="1" customHeight="1">
      <c r="A705" s="38" t="s">
        <v>31</v>
      </c>
      <c r="B705" s="38" t="s">
        <v>117</v>
      </c>
      <c r="C705" s="38" t="s">
        <v>1750</v>
      </c>
      <c r="D705" s="38" t="s">
        <v>1751</v>
      </c>
      <c r="E705" s="38" t="s">
        <v>1759</v>
      </c>
      <c r="F705" s="52">
        <v>2092.0</v>
      </c>
      <c r="G705" s="52">
        <v>5255870.0</v>
      </c>
      <c r="H705" s="52">
        <v>12450.0</v>
      </c>
    </row>
    <row r="706" ht="15.75" hidden="1" customHeight="1">
      <c r="A706" s="38" t="s">
        <v>31</v>
      </c>
      <c r="B706" s="38" t="s">
        <v>117</v>
      </c>
      <c r="C706" s="38" t="s">
        <v>1750</v>
      </c>
      <c r="D706" s="38" t="s">
        <v>1751</v>
      </c>
      <c r="E706" s="38" t="s">
        <v>1760</v>
      </c>
      <c r="F706" s="52">
        <v>3129.0</v>
      </c>
      <c r="G706" s="52">
        <v>7931780.0</v>
      </c>
      <c r="H706" s="52">
        <v>27120.0</v>
      </c>
    </row>
    <row r="707" ht="15.75" hidden="1" customHeight="1">
      <c r="A707" s="38" t="s">
        <v>31</v>
      </c>
      <c r="B707" s="38" t="s">
        <v>117</v>
      </c>
      <c r="C707" s="38" t="s">
        <v>1750</v>
      </c>
      <c r="D707" s="38" t="s">
        <v>1751</v>
      </c>
      <c r="E707" s="38" t="s">
        <v>1761</v>
      </c>
      <c r="F707" s="52">
        <v>1983.0</v>
      </c>
      <c r="G707" s="52">
        <v>4898450.0</v>
      </c>
      <c r="H707" s="52">
        <v>9570.0</v>
      </c>
    </row>
    <row r="708" ht="15.75" hidden="1" customHeight="1">
      <c r="A708" s="38" t="s">
        <v>31</v>
      </c>
      <c r="B708" s="38" t="s">
        <v>117</v>
      </c>
      <c r="C708" s="38" t="s">
        <v>1750</v>
      </c>
      <c r="D708" s="38" t="s">
        <v>1751</v>
      </c>
      <c r="E708" s="38" t="s">
        <v>1762</v>
      </c>
      <c r="F708" s="52">
        <v>2861.0</v>
      </c>
      <c r="G708" s="52">
        <v>7263320.0</v>
      </c>
      <c r="H708" s="52">
        <v>25204.0</v>
      </c>
    </row>
    <row r="709" ht="15.75" hidden="1" customHeight="1">
      <c r="A709" s="38" t="s">
        <v>31</v>
      </c>
      <c r="B709" s="38" t="s">
        <v>117</v>
      </c>
      <c r="C709" s="38" t="s">
        <v>1750</v>
      </c>
      <c r="D709" s="38" t="s">
        <v>1751</v>
      </c>
      <c r="E709" s="38" t="s">
        <v>1763</v>
      </c>
      <c r="F709" s="52">
        <v>5972.0</v>
      </c>
      <c r="G709" s="52">
        <v>1.516078E7</v>
      </c>
      <c r="H709" s="52">
        <v>44702.0</v>
      </c>
    </row>
    <row r="710" ht="15.75" hidden="1" customHeight="1">
      <c r="A710" s="38" t="s">
        <v>31</v>
      </c>
      <c r="B710" s="38" t="s">
        <v>117</v>
      </c>
      <c r="C710" s="38" t="s">
        <v>1750</v>
      </c>
      <c r="D710" s="38" t="s">
        <v>1751</v>
      </c>
      <c r="E710" s="38" t="s">
        <v>1764</v>
      </c>
      <c r="F710" s="52">
        <v>11465.0</v>
      </c>
      <c r="G710" s="52">
        <v>3.666264E7</v>
      </c>
      <c r="H710" s="52">
        <v>101626.0</v>
      </c>
    </row>
    <row r="711" ht="15.75" hidden="1" customHeight="1">
      <c r="A711" s="38" t="s">
        <v>31</v>
      </c>
      <c r="B711" s="38" t="s">
        <v>117</v>
      </c>
      <c r="C711" s="38" t="s">
        <v>1750</v>
      </c>
      <c r="D711" s="38" t="s">
        <v>1751</v>
      </c>
      <c r="E711" s="38" t="s">
        <v>1765</v>
      </c>
      <c r="F711" s="52">
        <v>18769.0</v>
      </c>
      <c r="G711" s="52">
        <v>2.448839E7</v>
      </c>
      <c r="H711" s="52">
        <v>96180.0</v>
      </c>
    </row>
    <row r="712" ht="15.75" hidden="1" customHeight="1">
      <c r="A712" s="38" t="s">
        <v>31</v>
      </c>
      <c r="B712" s="38" t="s">
        <v>186</v>
      </c>
      <c r="C712" s="38" t="s">
        <v>1766</v>
      </c>
      <c r="D712" s="38" t="s">
        <v>1767</v>
      </c>
      <c r="E712" s="38" t="s">
        <v>1768</v>
      </c>
      <c r="F712" s="52">
        <v>227.0</v>
      </c>
      <c r="G712" s="52">
        <v>3495800.0</v>
      </c>
      <c r="H712" s="52">
        <v>375760.0</v>
      </c>
    </row>
    <row r="713" ht="15.75" hidden="1" customHeight="1">
      <c r="A713" s="38" t="s">
        <v>31</v>
      </c>
      <c r="B713" s="38" t="s">
        <v>186</v>
      </c>
      <c r="C713" s="38" t="s">
        <v>1766</v>
      </c>
      <c r="D713" s="38" t="s">
        <v>1767</v>
      </c>
      <c r="E713" s="38" t="s">
        <v>1769</v>
      </c>
      <c r="F713" s="52">
        <v>5.0</v>
      </c>
      <c r="G713" s="52">
        <v>100820.0</v>
      </c>
      <c r="H713" s="52">
        <v>17176.0</v>
      </c>
    </row>
    <row r="714" ht="15.75" hidden="1" customHeight="1">
      <c r="A714" s="38" t="s">
        <v>31</v>
      </c>
      <c r="B714" s="38" t="s">
        <v>186</v>
      </c>
      <c r="C714" s="38" t="s">
        <v>1766</v>
      </c>
      <c r="D714" s="38" t="s">
        <v>1767</v>
      </c>
      <c r="E714" s="38" t="s">
        <v>1770</v>
      </c>
      <c r="F714" s="52" t="s">
        <v>1800</v>
      </c>
      <c r="G714" s="52" t="s">
        <v>1800</v>
      </c>
      <c r="H714" s="52" t="s">
        <v>1800</v>
      </c>
    </row>
    <row r="715" ht="15.75" hidden="1" customHeight="1">
      <c r="A715" s="38" t="s">
        <v>31</v>
      </c>
      <c r="B715" s="38" t="s">
        <v>186</v>
      </c>
      <c r="C715" s="38" t="s">
        <v>1766</v>
      </c>
      <c r="D715" s="38" t="s">
        <v>1767</v>
      </c>
      <c r="E715" s="38" t="s">
        <v>1771</v>
      </c>
      <c r="F715" s="52">
        <v>4.0</v>
      </c>
      <c r="G715" s="52">
        <v>92000.0</v>
      </c>
      <c r="H715" s="52">
        <v>18400.0</v>
      </c>
    </row>
    <row r="716" ht="15.75" hidden="1" customHeight="1">
      <c r="A716" s="38" t="s">
        <v>31</v>
      </c>
      <c r="B716" s="38" t="s">
        <v>186</v>
      </c>
      <c r="C716" s="38" t="s">
        <v>1766</v>
      </c>
      <c r="D716" s="38" t="s">
        <v>1767</v>
      </c>
      <c r="E716" s="38" t="s">
        <v>1772</v>
      </c>
      <c r="F716" s="52">
        <v>1.0</v>
      </c>
      <c r="G716" s="52">
        <v>22000.0</v>
      </c>
      <c r="H716" s="52">
        <v>4400.0</v>
      </c>
    </row>
    <row r="717" ht="15.75" hidden="1" customHeight="1">
      <c r="A717" s="38" t="s">
        <v>31</v>
      </c>
      <c r="B717" s="38" t="s">
        <v>186</v>
      </c>
      <c r="C717" s="38" t="s">
        <v>1773</v>
      </c>
      <c r="D717" s="38" t="s">
        <v>1774</v>
      </c>
      <c r="E717" s="38" t="s">
        <v>1775</v>
      </c>
      <c r="F717" s="52">
        <v>1.0</v>
      </c>
      <c r="G717" s="52">
        <v>12900.0</v>
      </c>
      <c r="H717" s="52">
        <v>2580.0</v>
      </c>
    </row>
    <row r="718" ht="15.75" hidden="1" customHeight="1">
      <c r="A718" s="38" t="s">
        <v>31</v>
      </c>
      <c r="B718" s="38" t="s">
        <v>186</v>
      </c>
      <c r="C718" s="38" t="s">
        <v>1773</v>
      </c>
      <c r="D718" s="38" t="s">
        <v>1774</v>
      </c>
      <c r="E718" s="38" t="s">
        <v>1776</v>
      </c>
      <c r="F718" s="52">
        <v>4.0</v>
      </c>
      <c r="G718" s="52">
        <v>51600.0</v>
      </c>
      <c r="H718" s="52">
        <v>2580.0</v>
      </c>
    </row>
    <row r="719" ht="15.75" hidden="1" customHeight="1">
      <c r="A719" s="38" t="s">
        <v>31</v>
      </c>
      <c r="B719" s="38" t="s">
        <v>186</v>
      </c>
      <c r="C719" s="38" t="s">
        <v>1773</v>
      </c>
      <c r="D719" s="38" t="s">
        <v>1774</v>
      </c>
      <c r="E719" s="38" t="s">
        <v>1777</v>
      </c>
      <c r="F719" s="52">
        <v>397.0</v>
      </c>
      <c r="G719" s="52">
        <v>5283400.0</v>
      </c>
      <c r="H719" s="52">
        <v>574854.0</v>
      </c>
    </row>
    <row r="720" ht="15.75" hidden="1" customHeight="1">
      <c r="A720" s="38" t="s">
        <v>31</v>
      </c>
      <c r="B720" s="38" t="s">
        <v>186</v>
      </c>
      <c r="C720" s="38" t="s">
        <v>1773</v>
      </c>
      <c r="D720" s="38" t="s">
        <v>1774</v>
      </c>
      <c r="E720" s="38" t="s">
        <v>1778</v>
      </c>
      <c r="F720" s="52">
        <v>6.0</v>
      </c>
      <c r="G720" s="52">
        <v>39800.0</v>
      </c>
      <c r="H720" s="52" t="s">
        <v>1800</v>
      </c>
    </row>
    <row r="721" ht="15.75" hidden="1" customHeight="1">
      <c r="A721" s="38" t="s">
        <v>31</v>
      </c>
      <c r="B721" s="38" t="s">
        <v>186</v>
      </c>
      <c r="C721" s="38" t="s">
        <v>1773</v>
      </c>
      <c r="D721" s="38" t="s">
        <v>1774</v>
      </c>
      <c r="E721" s="38" t="s">
        <v>1779</v>
      </c>
      <c r="F721" s="52">
        <v>4.0</v>
      </c>
      <c r="G721" s="52">
        <v>26000.0</v>
      </c>
      <c r="H721" s="52">
        <v>5044.0</v>
      </c>
    </row>
    <row r="722" ht="15.75" hidden="1" customHeight="1">
      <c r="A722" s="38" t="s">
        <v>31</v>
      </c>
      <c r="B722" s="38" t="s">
        <v>186</v>
      </c>
      <c r="C722" s="38" t="s">
        <v>1773</v>
      </c>
      <c r="D722" s="38" t="s">
        <v>1774</v>
      </c>
      <c r="E722" s="38" t="s">
        <v>1780</v>
      </c>
      <c r="F722" s="52">
        <v>10.0</v>
      </c>
      <c r="G722" s="52">
        <v>67000.0</v>
      </c>
      <c r="H722" s="52">
        <v>12916.0</v>
      </c>
    </row>
    <row r="723" ht="15.75" hidden="1" customHeight="1">
      <c r="A723" s="38" t="s">
        <v>31</v>
      </c>
      <c r="B723" s="38" t="s">
        <v>186</v>
      </c>
      <c r="C723" s="38" t="s">
        <v>1773</v>
      </c>
      <c r="D723" s="38" t="s">
        <v>1774</v>
      </c>
      <c r="E723" s="38" t="s">
        <v>1781</v>
      </c>
      <c r="F723" s="52" t="s">
        <v>1800</v>
      </c>
      <c r="G723" s="52" t="s">
        <v>1800</v>
      </c>
      <c r="H723" s="52" t="s">
        <v>1800</v>
      </c>
    </row>
    <row r="724" ht="15.75" hidden="1" customHeight="1">
      <c r="A724" s="38" t="s">
        <v>31</v>
      </c>
      <c r="B724" s="38" t="s">
        <v>186</v>
      </c>
      <c r="C724" s="38" t="s">
        <v>1773</v>
      </c>
      <c r="D724" s="38" t="s">
        <v>1774</v>
      </c>
      <c r="E724" s="38" t="s">
        <v>1782</v>
      </c>
      <c r="F724" s="52">
        <v>509.0</v>
      </c>
      <c r="G724" s="52">
        <v>6787100.0</v>
      </c>
      <c r="H724" s="52">
        <v>675506.0</v>
      </c>
    </row>
    <row r="725" ht="15.75" hidden="1" customHeight="1">
      <c r="A725" s="38" t="s">
        <v>31</v>
      </c>
      <c r="B725" s="38" t="s">
        <v>186</v>
      </c>
      <c r="C725" s="38" t="s">
        <v>1773</v>
      </c>
      <c r="D725" s="38" t="s">
        <v>1774</v>
      </c>
      <c r="E725" s="38" t="s">
        <v>1783</v>
      </c>
      <c r="F725" s="52" t="s">
        <v>1800</v>
      </c>
      <c r="G725" s="52" t="s">
        <v>1800</v>
      </c>
      <c r="H725" s="52" t="s">
        <v>1800</v>
      </c>
    </row>
    <row r="726" ht="15.75" hidden="1" customHeight="1">
      <c r="A726" s="38" t="s">
        <v>31</v>
      </c>
      <c r="B726" s="38" t="s">
        <v>186</v>
      </c>
      <c r="C726" s="38" t="s">
        <v>1773</v>
      </c>
      <c r="D726" s="38" t="s">
        <v>1774</v>
      </c>
      <c r="E726" s="38" t="s">
        <v>1784</v>
      </c>
      <c r="F726" s="52">
        <v>1.0</v>
      </c>
      <c r="G726" s="52">
        <v>7400.0</v>
      </c>
      <c r="H726" s="52" t="s">
        <v>1800</v>
      </c>
    </row>
    <row r="727" ht="15.75" hidden="1" customHeight="1">
      <c r="A727" s="38" t="s">
        <v>31</v>
      </c>
      <c r="B727" s="38" t="s">
        <v>186</v>
      </c>
      <c r="C727" s="38" t="s">
        <v>1785</v>
      </c>
      <c r="D727" s="38" t="s">
        <v>1786</v>
      </c>
      <c r="E727" s="38" t="s">
        <v>1787</v>
      </c>
      <c r="F727" s="52">
        <v>3016.0</v>
      </c>
      <c r="G727" s="52">
        <v>8892400.0</v>
      </c>
      <c r="H727" s="52">
        <v>501767.0</v>
      </c>
    </row>
    <row r="728" ht="15.75" hidden="1" customHeight="1">
      <c r="A728" s="38" t="s">
        <v>31</v>
      </c>
      <c r="B728" s="38" t="s">
        <v>186</v>
      </c>
      <c r="C728" s="38" t="s">
        <v>1785</v>
      </c>
      <c r="D728" s="38" t="s">
        <v>1786</v>
      </c>
      <c r="E728" s="38" t="s">
        <v>1788</v>
      </c>
      <c r="F728" s="52">
        <v>4706.0</v>
      </c>
      <c r="G728" s="52">
        <v>3.44474E7</v>
      </c>
      <c r="H728" s="52">
        <v>2186911.0</v>
      </c>
    </row>
    <row r="729" ht="15.75" hidden="1" customHeight="1">
      <c r="A729" s="38" t="s">
        <v>31</v>
      </c>
      <c r="B729" s="38" t="s">
        <v>186</v>
      </c>
      <c r="C729" s="38" t="s">
        <v>1785</v>
      </c>
      <c r="D729" s="38" t="s">
        <v>1786</v>
      </c>
      <c r="E729" s="38" t="s">
        <v>1789</v>
      </c>
      <c r="F729" s="52">
        <v>2455.0</v>
      </c>
      <c r="G729" s="52">
        <v>8551100.0</v>
      </c>
      <c r="H729" s="52">
        <v>395531.0</v>
      </c>
    </row>
    <row r="730" ht="15.75" hidden="1" customHeight="1">
      <c r="A730" s="38" t="s">
        <v>31</v>
      </c>
      <c r="B730" s="38" t="s">
        <v>117</v>
      </c>
      <c r="C730" s="38" t="s">
        <v>1790</v>
      </c>
      <c r="D730" s="38" t="s">
        <v>1791</v>
      </c>
      <c r="E730" s="38" t="s">
        <v>1792</v>
      </c>
      <c r="F730" s="52" t="s">
        <v>1800</v>
      </c>
      <c r="G730" s="52" t="s">
        <v>1800</v>
      </c>
      <c r="H730" s="52" t="s">
        <v>1800</v>
      </c>
    </row>
    <row r="731" ht="15.75" hidden="1" customHeight="1">
      <c r="A731" s="38" t="s">
        <v>31</v>
      </c>
      <c r="B731" s="38" t="s">
        <v>117</v>
      </c>
      <c r="C731" s="38" t="s">
        <v>1790</v>
      </c>
      <c r="D731" s="38" t="s">
        <v>1791</v>
      </c>
      <c r="E731" s="38" t="s">
        <v>1793</v>
      </c>
      <c r="F731" s="52" t="s">
        <v>1800</v>
      </c>
      <c r="G731" s="52" t="s">
        <v>1800</v>
      </c>
      <c r="H731" s="52" t="s">
        <v>1800</v>
      </c>
    </row>
    <row r="732" ht="15.75" hidden="1" customHeight="1">
      <c r="A732" s="38" t="s">
        <v>31</v>
      </c>
      <c r="B732" s="38" t="s">
        <v>117</v>
      </c>
      <c r="C732" s="38" t="s">
        <v>1790</v>
      </c>
      <c r="D732" s="38" t="s">
        <v>1791</v>
      </c>
      <c r="E732" s="38" t="s">
        <v>1794</v>
      </c>
      <c r="F732" s="52" t="s">
        <v>1800</v>
      </c>
      <c r="G732" s="52" t="s">
        <v>1800</v>
      </c>
      <c r="H732" s="52" t="s">
        <v>1800</v>
      </c>
    </row>
    <row r="733" ht="15.75" hidden="1" customHeight="1">
      <c r="A733" s="38" t="s">
        <v>31</v>
      </c>
      <c r="B733" s="38" t="s">
        <v>117</v>
      </c>
      <c r="C733" s="38" t="s">
        <v>1790</v>
      </c>
      <c r="D733" s="38" t="s">
        <v>1791</v>
      </c>
      <c r="E733" s="38" t="s">
        <v>1795</v>
      </c>
      <c r="F733" s="52">
        <v>1.0</v>
      </c>
      <c r="G733" s="52">
        <v>27000.0</v>
      </c>
      <c r="H733" s="52">
        <v>5400.0</v>
      </c>
    </row>
    <row r="734" ht="15.75" hidden="1" customHeight="1">
      <c r="A734" s="38" t="s">
        <v>31</v>
      </c>
      <c r="B734" s="38" t="s">
        <v>117</v>
      </c>
      <c r="C734" s="38" t="s">
        <v>1790</v>
      </c>
      <c r="D734" s="38" t="s">
        <v>1791</v>
      </c>
      <c r="E734" s="38" t="s">
        <v>1796</v>
      </c>
      <c r="F734" s="52" t="s">
        <v>1800</v>
      </c>
      <c r="G734" s="52" t="s">
        <v>1800</v>
      </c>
      <c r="H734" s="52" t="s">
        <v>1800</v>
      </c>
    </row>
    <row r="735" ht="15.75" hidden="1" customHeight="1">
      <c r="A735" s="38" t="s">
        <v>31</v>
      </c>
      <c r="B735" s="38" t="s">
        <v>117</v>
      </c>
      <c r="C735" s="38" t="s">
        <v>1790</v>
      </c>
      <c r="D735" s="38" t="s">
        <v>1791</v>
      </c>
      <c r="E735" s="38" t="s">
        <v>1797</v>
      </c>
      <c r="F735" s="52" t="s">
        <v>1800</v>
      </c>
      <c r="G735" s="52" t="s">
        <v>1800</v>
      </c>
      <c r="H735" s="52" t="s">
        <v>1800</v>
      </c>
    </row>
    <row r="736" ht="15.75" customHeight="1">
      <c r="A736" s="38" t="s">
        <v>94</v>
      </c>
      <c r="B736" s="38" t="s">
        <v>117</v>
      </c>
      <c r="C736" s="38" t="s">
        <v>1225</v>
      </c>
      <c r="D736" s="38" t="s">
        <v>1226</v>
      </c>
      <c r="E736" s="38" t="s">
        <v>1227</v>
      </c>
      <c r="F736" s="52">
        <v>583.0</v>
      </c>
      <c r="G736" s="52">
        <v>2.98325E7</v>
      </c>
      <c r="H736" s="52">
        <v>4757703.0</v>
      </c>
    </row>
    <row r="737" ht="15.75" customHeight="1">
      <c r="A737" s="38" t="s">
        <v>94</v>
      </c>
      <c r="B737" s="38" t="s">
        <v>117</v>
      </c>
      <c r="C737" s="38" t="s">
        <v>1228</v>
      </c>
      <c r="D737" s="38" t="s">
        <v>1229</v>
      </c>
      <c r="E737" s="38" t="s">
        <v>1230</v>
      </c>
      <c r="F737" s="52">
        <v>531.0</v>
      </c>
      <c r="G737" s="52">
        <v>2.27031E7</v>
      </c>
      <c r="H737" s="52">
        <v>4073774.0</v>
      </c>
    </row>
    <row r="738" ht="15.75" customHeight="1">
      <c r="A738" s="38" t="s">
        <v>94</v>
      </c>
      <c r="B738" s="38" t="s">
        <v>117</v>
      </c>
      <c r="C738" s="38" t="s">
        <v>1231</v>
      </c>
      <c r="D738" s="38" t="s">
        <v>1232</v>
      </c>
      <c r="E738" s="38" t="s">
        <v>1233</v>
      </c>
      <c r="F738" s="52">
        <v>434.0</v>
      </c>
      <c r="G738" s="52">
        <v>9625100.0</v>
      </c>
      <c r="H738" s="52">
        <v>1129304.0</v>
      </c>
    </row>
    <row r="739" ht="15.75" customHeight="1">
      <c r="A739" s="38" t="s">
        <v>94</v>
      </c>
      <c r="B739" s="38" t="s">
        <v>117</v>
      </c>
      <c r="C739" s="38" t="s">
        <v>1234</v>
      </c>
      <c r="D739" s="38" t="s">
        <v>1235</v>
      </c>
      <c r="E739" s="38" t="s">
        <v>1236</v>
      </c>
      <c r="F739" s="52">
        <v>429.0</v>
      </c>
      <c r="G739" s="52">
        <v>1.323E7</v>
      </c>
      <c r="H739" s="52">
        <v>2123130.0</v>
      </c>
    </row>
    <row r="740" ht="15.75" customHeight="1">
      <c r="A740" s="38" t="s">
        <v>94</v>
      </c>
      <c r="B740" s="38" t="s">
        <v>117</v>
      </c>
      <c r="C740" s="38" t="s">
        <v>1237</v>
      </c>
      <c r="D740" s="38" t="s">
        <v>1238</v>
      </c>
      <c r="E740" s="38" t="s">
        <v>1239</v>
      </c>
      <c r="F740" s="52">
        <v>202.0</v>
      </c>
      <c r="G740" s="52">
        <v>2546000.0</v>
      </c>
      <c r="H740" s="52">
        <v>288388.0</v>
      </c>
    </row>
    <row r="741" ht="15.75" customHeight="1">
      <c r="A741" s="38" t="s">
        <v>94</v>
      </c>
      <c r="B741" s="38" t="s">
        <v>117</v>
      </c>
      <c r="C741" s="38" t="s">
        <v>1234</v>
      </c>
      <c r="D741" s="38" t="s">
        <v>1235</v>
      </c>
      <c r="E741" s="38" t="s">
        <v>1240</v>
      </c>
      <c r="F741" s="52">
        <v>136.0</v>
      </c>
      <c r="G741" s="52">
        <v>2932300.0</v>
      </c>
      <c r="H741" s="52">
        <v>375618.0</v>
      </c>
    </row>
    <row r="742" ht="15.75" customHeight="1">
      <c r="A742" s="38" t="s">
        <v>94</v>
      </c>
      <c r="B742" s="38" t="s">
        <v>117</v>
      </c>
      <c r="C742" s="38" t="s">
        <v>1234</v>
      </c>
      <c r="D742" s="38" t="s">
        <v>1235</v>
      </c>
      <c r="E742" s="38" t="s">
        <v>1241</v>
      </c>
      <c r="F742" s="52">
        <v>48.0</v>
      </c>
      <c r="G742" s="52">
        <v>1696200.0</v>
      </c>
      <c r="H742" s="52">
        <v>254958.0</v>
      </c>
    </row>
    <row r="743" ht="15.75" customHeight="1">
      <c r="A743" s="38" t="s">
        <v>94</v>
      </c>
      <c r="B743" s="38" t="s">
        <v>117</v>
      </c>
      <c r="C743" s="38" t="s">
        <v>1225</v>
      </c>
      <c r="D743" s="38" t="s">
        <v>1226</v>
      </c>
      <c r="E743" s="38" t="s">
        <v>1242</v>
      </c>
      <c r="F743" s="52">
        <v>16.0</v>
      </c>
      <c r="G743" s="52">
        <v>816000.0</v>
      </c>
      <c r="H743" s="52">
        <v>125530.0</v>
      </c>
    </row>
    <row r="744" ht="15.75" customHeight="1">
      <c r="A744" s="38" t="s">
        <v>94</v>
      </c>
      <c r="B744" s="38" t="s">
        <v>117</v>
      </c>
      <c r="C744" s="38" t="s">
        <v>1225</v>
      </c>
      <c r="D744" s="38" t="s">
        <v>1226</v>
      </c>
      <c r="E744" s="38" t="s">
        <v>1243</v>
      </c>
      <c r="F744" s="52">
        <v>31.0</v>
      </c>
      <c r="G744" s="52">
        <v>823000.0</v>
      </c>
      <c r="H744" s="52">
        <v>114600.0</v>
      </c>
    </row>
    <row r="745" ht="15.75" customHeight="1">
      <c r="A745" s="38" t="s">
        <v>94</v>
      </c>
      <c r="B745" s="38" t="s">
        <v>186</v>
      </c>
      <c r="C745" s="38" t="s">
        <v>1244</v>
      </c>
      <c r="D745" s="38" t="s">
        <v>1245</v>
      </c>
      <c r="E745" s="38" t="s">
        <v>1246</v>
      </c>
      <c r="F745" s="52">
        <v>28.0</v>
      </c>
      <c r="G745" s="52">
        <v>1083000.0</v>
      </c>
      <c r="H745" s="52">
        <v>168164.0</v>
      </c>
    </row>
    <row r="746" ht="15.75" customHeight="1">
      <c r="A746" s="38" t="s">
        <v>94</v>
      </c>
      <c r="B746" s="38" t="s">
        <v>186</v>
      </c>
      <c r="C746" s="38" t="s">
        <v>1244</v>
      </c>
      <c r="D746" s="38" t="s">
        <v>1245</v>
      </c>
      <c r="E746" s="38" t="s">
        <v>1247</v>
      </c>
      <c r="F746" s="52">
        <v>28.0</v>
      </c>
      <c r="G746" s="52">
        <v>918100.0</v>
      </c>
      <c r="H746" s="52">
        <v>153220.0</v>
      </c>
    </row>
    <row r="747" ht="15.75" customHeight="1">
      <c r="A747" s="38" t="s">
        <v>94</v>
      </c>
      <c r="B747" s="38" t="s">
        <v>186</v>
      </c>
      <c r="C747" s="38" t="s">
        <v>1244</v>
      </c>
      <c r="D747" s="38" t="s">
        <v>1245</v>
      </c>
      <c r="E747" s="38" t="s">
        <v>1248</v>
      </c>
      <c r="F747" s="52">
        <v>8.0</v>
      </c>
      <c r="G747" s="52">
        <v>559200.0</v>
      </c>
      <c r="H747" s="52">
        <v>69718.0</v>
      </c>
    </row>
    <row r="748" ht="15.75" customHeight="1">
      <c r="A748" s="38" t="s">
        <v>94</v>
      </c>
      <c r="B748" s="38" t="s">
        <v>186</v>
      </c>
      <c r="C748" s="38" t="s">
        <v>1249</v>
      </c>
      <c r="D748" s="38" t="s">
        <v>1250</v>
      </c>
      <c r="E748" s="38" t="s">
        <v>1251</v>
      </c>
      <c r="F748" s="52">
        <v>101.0</v>
      </c>
      <c r="G748" s="52">
        <v>1482000.0</v>
      </c>
      <c r="H748" s="52">
        <v>216643.0</v>
      </c>
    </row>
    <row r="749" ht="15.75" customHeight="1">
      <c r="A749" s="38" t="s">
        <v>94</v>
      </c>
      <c r="B749" s="38" t="s">
        <v>186</v>
      </c>
      <c r="C749" s="38" t="s">
        <v>1252</v>
      </c>
      <c r="D749" s="38" t="s">
        <v>1253</v>
      </c>
      <c r="E749" s="38" t="s">
        <v>1254</v>
      </c>
      <c r="F749" s="52">
        <v>9.0</v>
      </c>
      <c r="G749" s="52">
        <v>342100.0</v>
      </c>
      <c r="H749" s="52">
        <v>41960.0</v>
      </c>
    </row>
    <row r="750" ht="15.75" customHeight="1">
      <c r="A750" s="38" t="s">
        <v>94</v>
      </c>
      <c r="B750" s="38" t="s">
        <v>186</v>
      </c>
      <c r="C750" s="38" t="s">
        <v>1244</v>
      </c>
      <c r="D750" s="38" t="s">
        <v>1245</v>
      </c>
      <c r="E750" s="38" t="s">
        <v>1255</v>
      </c>
      <c r="F750" s="52">
        <v>32.0</v>
      </c>
      <c r="G750" s="52">
        <v>1016800.0</v>
      </c>
      <c r="H750" s="52">
        <v>130107.0</v>
      </c>
    </row>
    <row r="751" ht="15.75" customHeight="1">
      <c r="A751" s="38" t="s">
        <v>94</v>
      </c>
      <c r="B751" s="38" t="s">
        <v>117</v>
      </c>
      <c r="C751" s="38" t="s">
        <v>1256</v>
      </c>
      <c r="D751" s="38" t="s">
        <v>1257</v>
      </c>
      <c r="E751" s="38" t="s">
        <v>1258</v>
      </c>
      <c r="F751" s="52">
        <v>34.0</v>
      </c>
      <c r="G751" s="52">
        <v>533000.0</v>
      </c>
      <c r="H751" s="52">
        <v>82120.0</v>
      </c>
    </row>
    <row r="752" ht="15.75" customHeight="1">
      <c r="A752" s="38" t="s">
        <v>94</v>
      </c>
      <c r="B752" s="38" t="s">
        <v>117</v>
      </c>
      <c r="C752" s="38" t="s">
        <v>1225</v>
      </c>
      <c r="D752" s="38" t="s">
        <v>1226</v>
      </c>
      <c r="E752" s="38" t="s">
        <v>1259</v>
      </c>
      <c r="F752" s="52">
        <v>8.0</v>
      </c>
      <c r="G752" s="52">
        <v>509400.0</v>
      </c>
      <c r="H752" s="52">
        <v>69895.0</v>
      </c>
    </row>
    <row r="753" ht="15.75" customHeight="1">
      <c r="A753" s="38" t="s">
        <v>94</v>
      </c>
      <c r="B753" s="38" t="s">
        <v>186</v>
      </c>
      <c r="C753" s="38" t="s">
        <v>1244</v>
      </c>
      <c r="D753" s="38" t="s">
        <v>1245</v>
      </c>
      <c r="E753" s="38" t="s">
        <v>1260</v>
      </c>
      <c r="F753" s="52">
        <v>8.0</v>
      </c>
      <c r="G753" s="52">
        <v>260400.0</v>
      </c>
      <c r="H753" s="52">
        <v>37701.0</v>
      </c>
    </row>
    <row r="754" ht="15.75" customHeight="1">
      <c r="A754" s="38" t="s">
        <v>94</v>
      </c>
      <c r="B754" s="38" t="s">
        <v>186</v>
      </c>
      <c r="C754" s="38" t="s">
        <v>1261</v>
      </c>
      <c r="D754" s="38" t="s">
        <v>1262</v>
      </c>
      <c r="E754" s="38" t="s">
        <v>1263</v>
      </c>
      <c r="F754" s="52">
        <v>15.0</v>
      </c>
      <c r="G754" s="52">
        <v>264000.0</v>
      </c>
      <c r="H754" s="52">
        <v>27600.0</v>
      </c>
    </row>
    <row r="755" ht="15.75" customHeight="1">
      <c r="A755" s="38" t="s">
        <v>94</v>
      </c>
      <c r="B755" s="38" t="s">
        <v>117</v>
      </c>
      <c r="C755" s="38" t="s">
        <v>1264</v>
      </c>
      <c r="D755" s="38" t="s">
        <v>1265</v>
      </c>
      <c r="E755" s="38" t="s">
        <v>1266</v>
      </c>
      <c r="F755" s="52">
        <v>29.0</v>
      </c>
      <c r="G755" s="52">
        <v>374100.0</v>
      </c>
      <c r="H755" s="52">
        <v>47920.0</v>
      </c>
    </row>
    <row r="756" ht="15.75" customHeight="1">
      <c r="A756" s="38" t="s">
        <v>94</v>
      </c>
      <c r="B756" s="38" t="s">
        <v>186</v>
      </c>
      <c r="C756" s="38" t="s">
        <v>1244</v>
      </c>
      <c r="D756" s="38" t="s">
        <v>1245</v>
      </c>
      <c r="E756" s="38" t="s">
        <v>1267</v>
      </c>
      <c r="F756" s="52">
        <v>7.0</v>
      </c>
      <c r="G756" s="52">
        <v>178500.0</v>
      </c>
      <c r="H756" s="52">
        <v>25500.0</v>
      </c>
    </row>
    <row r="757" ht="15.75" customHeight="1">
      <c r="A757" s="38" t="s">
        <v>94</v>
      </c>
      <c r="B757" s="38" t="s">
        <v>117</v>
      </c>
      <c r="C757" s="38" t="s">
        <v>1268</v>
      </c>
      <c r="D757" s="38" t="s">
        <v>1269</v>
      </c>
      <c r="E757" s="38" t="s">
        <v>1270</v>
      </c>
      <c r="F757" s="52">
        <v>22.0</v>
      </c>
      <c r="G757" s="52">
        <v>1087000.0</v>
      </c>
      <c r="H757" s="52">
        <v>129320.0</v>
      </c>
    </row>
    <row r="758" ht="15.75" customHeight="1">
      <c r="A758" s="38" t="s">
        <v>94</v>
      </c>
      <c r="B758" s="38" t="s">
        <v>186</v>
      </c>
      <c r="C758" s="38" t="s">
        <v>1249</v>
      </c>
      <c r="D758" s="38" t="s">
        <v>1250</v>
      </c>
      <c r="E758" s="38" t="s">
        <v>1271</v>
      </c>
      <c r="F758" s="52">
        <v>11.0</v>
      </c>
      <c r="G758" s="52">
        <v>156000.0</v>
      </c>
      <c r="H758" s="52">
        <v>23400.0</v>
      </c>
    </row>
    <row r="759" ht="15.75" customHeight="1">
      <c r="A759" s="38" t="s">
        <v>94</v>
      </c>
      <c r="B759" s="38" t="s">
        <v>117</v>
      </c>
      <c r="C759" s="38" t="s">
        <v>1272</v>
      </c>
      <c r="D759" s="38" t="s">
        <v>1273</v>
      </c>
      <c r="E759" s="38" t="s">
        <v>1274</v>
      </c>
      <c r="F759" s="52">
        <v>17.0</v>
      </c>
      <c r="G759" s="52">
        <v>418000.0</v>
      </c>
      <c r="H759" s="52">
        <v>58680.0</v>
      </c>
    </row>
    <row r="760" ht="15.75" customHeight="1">
      <c r="A760" s="38" t="s">
        <v>94</v>
      </c>
      <c r="B760" s="38" t="s">
        <v>117</v>
      </c>
      <c r="C760" s="38" t="s">
        <v>1275</v>
      </c>
      <c r="D760" s="38" t="s">
        <v>1276</v>
      </c>
      <c r="E760" s="38" t="s">
        <v>1277</v>
      </c>
      <c r="F760" s="52">
        <v>37.0</v>
      </c>
      <c r="G760" s="52">
        <v>551300.0</v>
      </c>
      <c r="H760" s="52">
        <v>80180.0</v>
      </c>
    </row>
    <row r="761" ht="15.75" customHeight="1">
      <c r="A761" s="38" t="s">
        <v>94</v>
      </c>
      <c r="B761" s="38" t="s">
        <v>117</v>
      </c>
      <c r="C761" s="38" t="s">
        <v>1256</v>
      </c>
      <c r="D761" s="38" t="s">
        <v>1257</v>
      </c>
      <c r="E761" s="38" t="s">
        <v>1278</v>
      </c>
      <c r="F761" s="52">
        <v>4.0</v>
      </c>
      <c r="G761" s="52">
        <v>205000.0</v>
      </c>
      <c r="H761" s="52">
        <v>25000.0</v>
      </c>
    </row>
    <row r="762" ht="15.75" customHeight="1">
      <c r="A762" s="38" t="s">
        <v>94</v>
      </c>
      <c r="B762" s="38" t="s">
        <v>186</v>
      </c>
      <c r="C762" s="38" t="s">
        <v>1280</v>
      </c>
      <c r="D762" s="38" t="s">
        <v>1282</v>
      </c>
      <c r="E762" s="38" t="s">
        <v>1283</v>
      </c>
      <c r="F762" s="52">
        <v>8.0</v>
      </c>
      <c r="G762" s="52">
        <v>198200.0</v>
      </c>
      <c r="H762" s="52">
        <v>36019.0</v>
      </c>
    </row>
    <row r="763" ht="15.75" customHeight="1">
      <c r="A763" s="38" t="s">
        <v>94</v>
      </c>
      <c r="B763" s="38" t="s">
        <v>186</v>
      </c>
      <c r="C763" s="38" t="s">
        <v>1249</v>
      </c>
      <c r="D763" s="38" t="s">
        <v>1250</v>
      </c>
      <c r="E763" s="38" t="s">
        <v>1284</v>
      </c>
      <c r="F763" s="52">
        <v>11.0</v>
      </c>
      <c r="G763" s="52">
        <v>169000.0</v>
      </c>
      <c r="H763" s="52">
        <v>31200.0</v>
      </c>
    </row>
    <row r="764" ht="15.75" customHeight="1">
      <c r="A764" s="38" t="s">
        <v>94</v>
      </c>
      <c r="B764" s="38" t="s">
        <v>186</v>
      </c>
      <c r="C764" s="38" t="s">
        <v>1280</v>
      </c>
      <c r="D764" s="38" t="s">
        <v>1282</v>
      </c>
      <c r="E764" s="38" t="s">
        <v>1285</v>
      </c>
      <c r="F764" s="52">
        <v>9.0</v>
      </c>
      <c r="G764" s="52">
        <v>248100.0</v>
      </c>
      <c r="H764" s="52">
        <v>33080.0</v>
      </c>
    </row>
    <row r="765" ht="15.75" customHeight="1">
      <c r="A765" s="38" t="s">
        <v>94</v>
      </c>
      <c r="B765" s="38" t="s">
        <v>117</v>
      </c>
      <c r="C765" s="38" t="s">
        <v>1264</v>
      </c>
      <c r="D765" s="38" t="s">
        <v>1265</v>
      </c>
      <c r="E765" s="38" t="s">
        <v>1286</v>
      </c>
      <c r="F765" s="52">
        <v>22.0</v>
      </c>
      <c r="G765" s="52">
        <v>412900.0</v>
      </c>
      <c r="H765" s="52">
        <v>50572.0</v>
      </c>
    </row>
    <row r="766" ht="15.75" customHeight="1">
      <c r="A766" s="38" t="s">
        <v>94</v>
      </c>
      <c r="B766" s="38" t="s">
        <v>186</v>
      </c>
      <c r="C766" s="38" t="s">
        <v>1244</v>
      </c>
      <c r="D766" s="38" t="s">
        <v>1245</v>
      </c>
      <c r="E766" s="38" t="s">
        <v>1287</v>
      </c>
      <c r="F766" s="52">
        <v>1.0</v>
      </c>
      <c r="G766" s="52">
        <v>58900.0</v>
      </c>
      <c r="H766" s="52">
        <v>10000.0</v>
      </c>
    </row>
    <row r="767" ht="15.75" customHeight="1">
      <c r="A767" s="38" t="s">
        <v>94</v>
      </c>
      <c r="B767" s="38" t="s">
        <v>117</v>
      </c>
      <c r="C767" s="38" t="s">
        <v>1225</v>
      </c>
      <c r="D767" s="38" t="s">
        <v>1226</v>
      </c>
      <c r="E767" s="38" t="s">
        <v>1288</v>
      </c>
      <c r="F767" s="52">
        <v>3.0</v>
      </c>
      <c r="G767" s="52">
        <v>169800.0</v>
      </c>
      <c r="H767" s="52">
        <v>30000.0</v>
      </c>
    </row>
    <row r="768" ht="15.75" customHeight="1">
      <c r="A768" s="38" t="s">
        <v>94</v>
      </c>
      <c r="B768" s="38" t="s">
        <v>186</v>
      </c>
      <c r="C768" s="38" t="s">
        <v>1244</v>
      </c>
      <c r="D768" s="38" t="s">
        <v>1245</v>
      </c>
      <c r="E768" s="38" t="s">
        <v>1289</v>
      </c>
      <c r="F768" s="52">
        <v>1.0</v>
      </c>
      <c r="G768" s="52">
        <v>47900.0</v>
      </c>
      <c r="H768" s="52">
        <v>9580.0</v>
      </c>
    </row>
    <row r="769" ht="15.75" customHeight="1">
      <c r="A769" s="38" t="s">
        <v>94</v>
      </c>
      <c r="B769" s="38" t="s">
        <v>186</v>
      </c>
      <c r="C769" s="38" t="s">
        <v>1244</v>
      </c>
      <c r="D769" s="38" t="s">
        <v>1245</v>
      </c>
      <c r="E769" s="38" t="s">
        <v>1290</v>
      </c>
      <c r="F769" s="52">
        <v>4.0</v>
      </c>
      <c r="G769" s="52">
        <v>103400.0</v>
      </c>
      <c r="H769" s="52">
        <v>15773.0</v>
      </c>
    </row>
    <row r="770" ht="15.75" customHeight="1">
      <c r="A770" s="38" t="s">
        <v>94</v>
      </c>
      <c r="B770" s="38" t="s">
        <v>186</v>
      </c>
      <c r="C770" s="38" t="s">
        <v>1244</v>
      </c>
      <c r="D770" s="38" t="s">
        <v>1245</v>
      </c>
      <c r="E770" s="38" t="s">
        <v>1291</v>
      </c>
      <c r="F770" s="52">
        <v>2.0</v>
      </c>
      <c r="G770" s="52">
        <v>85800.0</v>
      </c>
      <c r="H770" s="52">
        <v>17160.0</v>
      </c>
    </row>
    <row r="771" ht="15.75" customHeight="1">
      <c r="A771" s="38" t="s">
        <v>94</v>
      </c>
      <c r="B771" s="38" t="s">
        <v>186</v>
      </c>
      <c r="C771" s="38" t="s">
        <v>1244</v>
      </c>
      <c r="D771" s="38" t="s">
        <v>1245</v>
      </c>
      <c r="E771" s="38" t="s">
        <v>1292</v>
      </c>
      <c r="F771" s="52">
        <v>1.0</v>
      </c>
      <c r="G771" s="52">
        <v>40900.0</v>
      </c>
      <c r="H771" s="52">
        <v>8180.0</v>
      </c>
    </row>
    <row r="772" ht="15.75" customHeight="1">
      <c r="A772" s="38" t="s">
        <v>94</v>
      </c>
      <c r="B772" s="38" t="s">
        <v>186</v>
      </c>
      <c r="C772" s="38" t="s">
        <v>1295</v>
      </c>
      <c r="D772" s="38" t="s">
        <v>1296</v>
      </c>
      <c r="E772" s="38" t="s">
        <v>1297</v>
      </c>
      <c r="F772" s="52">
        <v>20.0</v>
      </c>
      <c r="G772" s="52">
        <v>165300.0</v>
      </c>
      <c r="H772" s="52">
        <v>20408.0</v>
      </c>
    </row>
    <row r="773" ht="15.75" customHeight="1">
      <c r="A773" s="38" t="s">
        <v>94</v>
      </c>
      <c r="B773" s="38" t="s">
        <v>186</v>
      </c>
      <c r="C773" s="38" t="s">
        <v>1280</v>
      </c>
      <c r="D773" s="38" t="s">
        <v>1282</v>
      </c>
      <c r="E773" s="38" t="s">
        <v>1298</v>
      </c>
      <c r="F773" s="52">
        <v>10.0</v>
      </c>
      <c r="G773" s="52">
        <v>166600.0</v>
      </c>
      <c r="H773" s="52">
        <v>13720.0</v>
      </c>
    </row>
    <row r="774" ht="15.75" customHeight="1">
      <c r="A774" s="38" t="s">
        <v>94</v>
      </c>
      <c r="B774" s="38" t="s">
        <v>186</v>
      </c>
      <c r="C774" s="38" t="s">
        <v>1249</v>
      </c>
      <c r="D774" s="38" t="s">
        <v>1250</v>
      </c>
      <c r="E774" s="38" t="s">
        <v>1299</v>
      </c>
      <c r="F774" s="52">
        <v>15.0</v>
      </c>
      <c r="G774" s="52">
        <v>247000.0</v>
      </c>
      <c r="H774" s="52">
        <v>36400.0</v>
      </c>
    </row>
    <row r="775" ht="15.75" customHeight="1">
      <c r="A775" s="38" t="s">
        <v>94</v>
      </c>
      <c r="B775" s="38" t="s">
        <v>186</v>
      </c>
      <c r="C775" s="38" t="s">
        <v>1280</v>
      </c>
      <c r="D775" s="38" t="s">
        <v>1282</v>
      </c>
      <c r="E775" s="38" t="s">
        <v>1300</v>
      </c>
      <c r="F775" s="52">
        <v>21.0</v>
      </c>
      <c r="G775" s="52">
        <v>591500.0</v>
      </c>
      <c r="H775" s="52">
        <v>78324.0</v>
      </c>
    </row>
    <row r="776" ht="15.75" customHeight="1">
      <c r="A776" s="38" t="s">
        <v>94</v>
      </c>
      <c r="B776" s="38" t="s">
        <v>186</v>
      </c>
      <c r="C776" s="38" t="s">
        <v>1301</v>
      </c>
      <c r="D776" s="38" t="s">
        <v>1302</v>
      </c>
      <c r="E776" s="38" t="s">
        <v>1303</v>
      </c>
      <c r="F776" s="52">
        <v>4.0</v>
      </c>
      <c r="G776" s="52">
        <v>106400.0</v>
      </c>
      <c r="H776" s="52">
        <v>10280.0</v>
      </c>
    </row>
    <row r="777" ht="15.75" customHeight="1">
      <c r="A777" s="38" t="s">
        <v>94</v>
      </c>
      <c r="B777" s="38" t="s">
        <v>186</v>
      </c>
      <c r="C777" s="38" t="s">
        <v>1280</v>
      </c>
      <c r="D777" s="38" t="s">
        <v>1282</v>
      </c>
      <c r="E777" s="38" t="s">
        <v>1305</v>
      </c>
      <c r="F777" s="52">
        <v>4.0</v>
      </c>
      <c r="G777" s="52">
        <v>80000.0</v>
      </c>
      <c r="H777" s="52">
        <v>13440.0</v>
      </c>
    </row>
    <row r="778" ht="15.75" customHeight="1">
      <c r="A778" s="38" t="s">
        <v>94</v>
      </c>
      <c r="B778" s="38" t="s">
        <v>117</v>
      </c>
      <c r="C778" s="38" t="s">
        <v>1264</v>
      </c>
      <c r="D778" s="38" t="s">
        <v>1265</v>
      </c>
      <c r="E778" s="38" t="s">
        <v>1307</v>
      </c>
      <c r="F778" s="52">
        <v>5.0</v>
      </c>
      <c r="G778" s="52">
        <v>93500.0</v>
      </c>
      <c r="H778" s="52">
        <v>15947.0</v>
      </c>
    </row>
    <row r="779" ht="15.75" customHeight="1">
      <c r="A779" s="38" t="s">
        <v>94</v>
      </c>
      <c r="B779" s="38" t="s">
        <v>186</v>
      </c>
      <c r="C779" s="38" t="s">
        <v>1280</v>
      </c>
      <c r="D779" s="38" t="s">
        <v>1282</v>
      </c>
      <c r="E779" s="38" t="s">
        <v>1308</v>
      </c>
      <c r="F779" s="52">
        <v>5.0</v>
      </c>
      <c r="G779" s="52">
        <v>80000.0</v>
      </c>
      <c r="H779" s="52">
        <v>11996.0</v>
      </c>
    </row>
    <row r="780" ht="15.75" customHeight="1">
      <c r="A780" s="38" t="s">
        <v>94</v>
      </c>
      <c r="B780" s="38" t="s">
        <v>186</v>
      </c>
      <c r="C780" s="38" t="s">
        <v>1301</v>
      </c>
      <c r="D780" s="38" t="s">
        <v>1302</v>
      </c>
      <c r="E780" s="38" t="s">
        <v>1309</v>
      </c>
      <c r="F780" s="52">
        <v>1.0</v>
      </c>
      <c r="G780" s="52">
        <v>19900.0</v>
      </c>
      <c r="H780" s="52">
        <v>3980.0</v>
      </c>
    </row>
    <row r="781" ht="15.75" customHeight="1">
      <c r="A781" s="38" t="s">
        <v>94</v>
      </c>
      <c r="B781" s="38" t="s">
        <v>186</v>
      </c>
      <c r="C781" s="38" t="s">
        <v>1280</v>
      </c>
      <c r="D781" s="38" t="s">
        <v>1282</v>
      </c>
      <c r="E781" s="38" t="s">
        <v>1310</v>
      </c>
      <c r="F781" s="52">
        <v>5.0</v>
      </c>
      <c r="G781" s="52">
        <v>89500.0</v>
      </c>
      <c r="H781" s="52">
        <v>14320.0</v>
      </c>
    </row>
    <row r="782" ht="15.75" customHeight="1">
      <c r="A782" s="38" t="s">
        <v>94</v>
      </c>
      <c r="B782" s="38" t="s">
        <v>186</v>
      </c>
      <c r="C782" s="38" t="s">
        <v>1301</v>
      </c>
      <c r="D782" s="38" t="s">
        <v>1302</v>
      </c>
      <c r="E782" s="38" t="s">
        <v>1311</v>
      </c>
      <c r="F782" s="52">
        <v>13.0</v>
      </c>
      <c r="G782" s="52">
        <v>262500.0</v>
      </c>
      <c r="H782" s="52">
        <v>38540.0</v>
      </c>
    </row>
    <row r="783" ht="15.75" customHeight="1">
      <c r="A783" s="38" t="s">
        <v>94</v>
      </c>
      <c r="B783" s="38" t="s">
        <v>186</v>
      </c>
      <c r="C783" s="38" t="s">
        <v>1280</v>
      </c>
      <c r="D783" s="38" t="s">
        <v>1282</v>
      </c>
      <c r="E783" s="38" t="s">
        <v>1312</v>
      </c>
      <c r="F783" s="52">
        <v>1.0</v>
      </c>
      <c r="G783" s="52">
        <v>15900.0</v>
      </c>
      <c r="H783" s="52">
        <v>3180.0</v>
      </c>
    </row>
    <row r="784" ht="15.75" customHeight="1">
      <c r="A784" s="38" t="s">
        <v>94</v>
      </c>
      <c r="B784" s="38" t="s">
        <v>186</v>
      </c>
      <c r="C784" s="38" t="s">
        <v>1280</v>
      </c>
      <c r="D784" s="38" t="s">
        <v>1282</v>
      </c>
      <c r="E784" s="38" t="s">
        <v>1313</v>
      </c>
      <c r="F784" s="52">
        <v>1.0</v>
      </c>
      <c r="G784" s="52">
        <v>15700.0</v>
      </c>
      <c r="H784" s="52">
        <v>3140.0</v>
      </c>
    </row>
    <row r="785" ht="15.75" customHeight="1">
      <c r="A785" s="38" t="s">
        <v>94</v>
      </c>
      <c r="B785" s="38" t="s">
        <v>186</v>
      </c>
      <c r="C785" s="38" t="s">
        <v>1301</v>
      </c>
      <c r="D785" s="38" t="s">
        <v>1302</v>
      </c>
      <c r="E785" s="38" t="s">
        <v>1314</v>
      </c>
      <c r="F785" s="52">
        <v>2.0</v>
      </c>
      <c r="G785" s="52">
        <v>31000.0</v>
      </c>
      <c r="H785" s="52">
        <v>3100.0</v>
      </c>
    </row>
    <row r="786" ht="15.75" customHeight="1">
      <c r="A786" s="38" t="s">
        <v>94</v>
      </c>
      <c r="B786" s="38" t="s">
        <v>186</v>
      </c>
      <c r="C786" s="38" t="s">
        <v>1280</v>
      </c>
      <c r="D786" s="38" t="s">
        <v>1282</v>
      </c>
      <c r="E786" s="38" t="s">
        <v>1315</v>
      </c>
      <c r="F786" s="52">
        <v>2.0</v>
      </c>
      <c r="G786" s="52">
        <v>31000.0</v>
      </c>
      <c r="H786" s="52">
        <v>3100.0</v>
      </c>
    </row>
    <row r="787" ht="15.75" customHeight="1">
      <c r="A787" s="38" t="s">
        <v>94</v>
      </c>
      <c r="B787" s="38" t="s">
        <v>186</v>
      </c>
      <c r="C787" s="38" t="s">
        <v>1249</v>
      </c>
      <c r="D787" s="38" t="s">
        <v>1250</v>
      </c>
      <c r="E787" s="38" t="s">
        <v>1316</v>
      </c>
      <c r="F787" s="52">
        <v>10.0</v>
      </c>
      <c r="G787" s="52">
        <v>143000.0</v>
      </c>
      <c r="H787" s="52">
        <v>20800.0</v>
      </c>
    </row>
    <row r="788" ht="15.75" customHeight="1">
      <c r="A788" s="38" t="s">
        <v>94</v>
      </c>
      <c r="B788" s="38" t="s">
        <v>186</v>
      </c>
      <c r="C788" s="38" t="s">
        <v>1280</v>
      </c>
      <c r="D788" s="38" t="s">
        <v>1282</v>
      </c>
      <c r="E788" s="38" t="s">
        <v>1317</v>
      </c>
      <c r="F788" s="52">
        <v>8.0</v>
      </c>
      <c r="G788" s="52">
        <v>115000.0</v>
      </c>
      <c r="H788" s="52">
        <v>15609.0</v>
      </c>
    </row>
    <row r="789" ht="15.75" customHeight="1">
      <c r="A789" s="38" t="s">
        <v>94</v>
      </c>
      <c r="B789" s="38" t="s">
        <v>117</v>
      </c>
      <c r="C789" s="38" t="s">
        <v>1264</v>
      </c>
      <c r="D789" s="38" t="s">
        <v>1265</v>
      </c>
      <c r="E789" s="38" t="s">
        <v>1318</v>
      </c>
      <c r="F789" s="52">
        <v>4.0</v>
      </c>
      <c r="G789" s="52">
        <v>54600.0</v>
      </c>
      <c r="H789" s="52">
        <v>6160.0</v>
      </c>
    </row>
    <row r="790" ht="15.75" customHeight="1">
      <c r="A790" s="38" t="s">
        <v>94</v>
      </c>
      <c r="B790" s="38" t="s">
        <v>117</v>
      </c>
      <c r="C790" s="38" t="s">
        <v>1264</v>
      </c>
      <c r="D790" s="38" t="s">
        <v>1265</v>
      </c>
      <c r="E790" s="38" t="s">
        <v>1319</v>
      </c>
      <c r="F790" s="52">
        <v>4.0</v>
      </c>
      <c r="G790" s="52">
        <v>50500.0</v>
      </c>
      <c r="H790" s="52">
        <v>5360.0</v>
      </c>
    </row>
    <row r="791" ht="15.75" customHeight="1">
      <c r="A791" s="38" t="s">
        <v>94</v>
      </c>
      <c r="B791" s="38" t="s">
        <v>186</v>
      </c>
      <c r="C791" s="38" t="s">
        <v>1249</v>
      </c>
      <c r="D791" s="38" t="s">
        <v>1250</v>
      </c>
      <c r="E791" s="38" t="s">
        <v>1915</v>
      </c>
      <c r="F791" s="52">
        <v>1.0</v>
      </c>
      <c r="G791" s="52">
        <v>37000.0</v>
      </c>
      <c r="H791" s="52">
        <v>7400.0</v>
      </c>
    </row>
    <row r="792" ht="15.75" customHeight="1">
      <c r="A792" s="38" t="s">
        <v>94</v>
      </c>
      <c r="B792" s="38" t="s">
        <v>186</v>
      </c>
      <c r="C792" s="38" t="s">
        <v>1249</v>
      </c>
      <c r="D792" s="38" t="s">
        <v>1250</v>
      </c>
      <c r="E792" s="38" t="s">
        <v>1916</v>
      </c>
      <c r="F792" s="52">
        <v>1.0</v>
      </c>
      <c r="G792" s="52">
        <v>13000.0</v>
      </c>
      <c r="H792" s="52" t="s">
        <v>1800</v>
      </c>
    </row>
    <row r="793" ht="15.75" customHeight="1">
      <c r="A793" s="38" t="s">
        <v>94</v>
      </c>
      <c r="B793" s="38" t="s">
        <v>186</v>
      </c>
      <c r="C793" s="38" t="s">
        <v>1261</v>
      </c>
      <c r="D793" s="38" t="s">
        <v>1262</v>
      </c>
      <c r="E793" s="38" t="s">
        <v>1917</v>
      </c>
      <c r="F793" s="52">
        <v>60.0</v>
      </c>
      <c r="G793" s="52">
        <v>979000.0</v>
      </c>
      <c r="H793" s="52">
        <v>143000.0</v>
      </c>
    </row>
    <row r="794" ht="15.75" customHeight="1">
      <c r="A794" s="38" t="s">
        <v>94</v>
      </c>
      <c r="B794" s="38" t="s">
        <v>117</v>
      </c>
      <c r="C794" s="38" t="s">
        <v>1264</v>
      </c>
      <c r="D794" s="38" t="s">
        <v>1265</v>
      </c>
      <c r="E794" s="38" t="s">
        <v>1918</v>
      </c>
      <c r="F794" s="52">
        <v>3.0</v>
      </c>
      <c r="G794" s="52">
        <v>44000.0</v>
      </c>
      <c r="H794" s="52">
        <v>5240.0</v>
      </c>
    </row>
    <row r="795" ht="15.75" customHeight="1">
      <c r="A795" s="38" t="s">
        <v>94</v>
      </c>
      <c r="B795" s="38" t="s">
        <v>186</v>
      </c>
      <c r="C795" s="38" t="s">
        <v>1244</v>
      </c>
      <c r="D795" s="38" t="s">
        <v>1245</v>
      </c>
      <c r="E795" s="38" t="s">
        <v>1919</v>
      </c>
      <c r="F795" s="52">
        <v>7.0</v>
      </c>
      <c r="G795" s="52">
        <v>269500.0</v>
      </c>
      <c r="H795" s="52">
        <v>50600.0</v>
      </c>
    </row>
    <row r="796" ht="15.75" customHeight="1">
      <c r="A796" s="38" t="s">
        <v>94</v>
      </c>
      <c r="B796" s="38" t="s">
        <v>186</v>
      </c>
      <c r="C796" s="38" t="s">
        <v>1244</v>
      </c>
      <c r="D796" s="38" t="s">
        <v>1245</v>
      </c>
      <c r="E796" s="38" t="s">
        <v>1920</v>
      </c>
      <c r="F796" s="52">
        <v>1.0</v>
      </c>
      <c r="G796" s="52">
        <v>41900.0</v>
      </c>
      <c r="H796" s="52">
        <v>8380.0</v>
      </c>
    </row>
    <row r="797" ht="15.75" customHeight="1">
      <c r="A797" s="38" t="s">
        <v>94</v>
      </c>
      <c r="B797" s="38" t="s">
        <v>186</v>
      </c>
      <c r="C797" s="38" t="s">
        <v>1244</v>
      </c>
      <c r="D797" s="38" t="s">
        <v>1245</v>
      </c>
      <c r="E797" s="38" t="s">
        <v>1921</v>
      </c>
      <c r="F797" s="52">
        <v>2.0</v>
      </c>
      <c r="G797" s="52">
        <v>119800.0</v>
      </c>
      <c r="H797" s="52">
        <v>20000.0</v>
      </c>
    </row>
    <row r="798" ht="15.75" customHeight="1">
      <c r="A798" s="38" t="s">
        <v>94</v>
      </c>
      <c r="B798" s="38" t="s">
        <v>186</v>
      </c>
      <c r="C798" s="38" t="s">
        <v>1244</v>
      </c>
      <c r="D798" s="38" t="s">
        <v>1245</v>
      </c>
      <c r="E798" s="38" t="s">
        <v>1922</v>
      </c>
      <c r="F798" s="52">
        <v>1.0</v>
      </c>
      <c r="G798" s="52">
        <v>37900.0</v>
      </c>
      <c r="H798" s="52">
        <v>7580.0</v>
      </c>
    </row>
    <row r="799" ht="15.75" customHeight="1">
      <c r="A799" s="38" t="s">
        <v>94</v>
      </c>
      <c r="B799" s="38" t="s">
        <v>186</v>
      </c>
      <c r="C799" s="38" t="s">
        <v>1301</v>
      </c>
      <c r="D799" s="38" t="s">
        <v>1302</v>
      </c>
      <c r="E799" s="38" t="s">
        <v>1923</v>
      </c>
      <c r="F799" s="52">
        <v>1.0</v>
      </c>
      <c r="G799" s="52">
        <v>28500.0</v>
      </c>
      <c r="H799" s="52">
        <v>5337.0</v>
      </c>
    </row>
    <row r="800" ht="15.75" customHeight="1">
      <c r="A800" s="38" t="s">
        <v>94</v>
      </c>
      <c r="B800" s="38" t="s">
        <v>186</v>
      </c>
      <c r="C800" s="38" t="s">
        <v>1301</v>
      </c>
      <c r="D800" s="38" t="s">
        <v>1302</v>
      </c>
      <c r="E800" s="38" t="s">
        <v>1924</v>
      </c>
      <c r="F800" s="52">
        <v>1.0</v>
      </c>
      <c r="G800" s="52">
        <v>23900.0</v>
      </c>
      <c r="H800" s="52">
        <v>4780.0</v>
      </c>
    </row>
    <row r="801" ht="15.75" customHeight="1">
      <c r="A801" s="38" t="s">
        <v>94</v>
      </c>
      <c r="B801" s="38" t="s">
        <v>117</v>
      </c>
      <c r="C801" s="38" t="s">
        <v>1256</v>
      </c>
      <c r="D801" s="38" t="s">
        <v>1257</v>
      </c>
      <c r="E801" s="38" t="s">
        <v>1925</v>
      </c>
      <c r="F801" s="52">
        <v>2.0</v>
      </c>
      <c r="G801" s="52">
        <v>43000.0</v>
      </c>
      <c r="H801" s="52">
        <v>8600.0</v>
      </c>
    </row>
    <row r="802" ht="15.75" customHeight="1">
      <c r="A802" s="38" t="s">
        <v>94</v>
      </c>
      <c r="B802" s="38" t="s">
        <v>117</v>
      </c>
      <c r="C802" s="38" t="s">
        <v>1926</v>
      </c>
      <c r="D802" s="38" t="s">
        <v>1927</v>
      </c>
      <c r="E802" s="38" t="s">
        <v>1928</v>
      </c>
      <c r="F802" s="52">
        <v>4.0</v>
      </c>
      <c r="G802" s="52">
        <v>100600.0</v>
      </c>
      <c r="H802" s="52">
        <v>13140.0</v>
      </c>
    </row>
    <row r="803" ht="15.75" customHeight="1">
      <c r="A803" s="38" t="s">
        <v>94</v>
      </c>
      <c r="B803" s="38" t="s">
        <v>186</v>
      </c>
      <c r="C803" s="38" t="s">
        <v>1280</v>
      </c>
      <c r="D803" s="38" t="s">
        <v>1282</v>
      </c>
      <c r="E803" s="38" t="s">
        <v>1929</v>
      </c>
      <c r="F803" s="52">
        <v>3.0</v>
      </c>
      <c r="G803" s="52">
        <v>53700.0</v>
      </c>
      <c r="H803" s="52">
        <v>10740.0</v>
      </c>
    </row>
    <row r="804" ht="15.75" customHeight="1">
      <c r="A804" s="38" t="s">
        <v>94</v>
      </c>
      <c r="B804" s="38" t="s">
        <v>186</v>
      </c>
      <c r="C804" s="38" t="s">
        <v>1280</v>
      </c>
      <c r="D804" s="38" t="s">
        <v>1282</v>
      </c>
      <c r="E804" s="38" t="s">
        <v>1930</v>
      </c>
      <c r="F804" s="52">
        <v>3.0</v>
      </c>
      <c r="G804" s="52">
        <v>36000.0</v>
      </c>
      <c r="H804" s="52">
        <v>4800.0</v>
      </c>
    </row>
    <row r="805" ht="15.75" customHeight="1">
      <c r="A805" s="38" t="s">
        <v>94</v>
      </c>
      <c r="B805" s="38" t="s">
        <v>186</v>
      </c>
      <c r="C805" s="38" t="s">
        <v>1280</v>
      </c>
      <c r="D805" s="38" t="s">
        <v>1282</v>
      </c>
      <c r="E805" s="38" t="s">
        <v>1931</v>
      </c>
      <c r="F805" s="52">
        <v>1.0</v>
      </c>
      <c r="G805" s="52">
        <v>20900.0</v>
      </c>
      <c r="H805" s="52">
        <v>2302.0</v>
      </c>
    </row>
    <row r="806" ht="15.75" customHeight="1">
      <c r="A806" s="38" t="s">
        <v>94</v>
      </c>
      <c r="B806" s="38" t="s">
        <v>117</v>
      </c>
      <c r="C806" s="38" t="s">
        <v>1932</v>
      </c>
      <c r="D806" s="38" t="s">
        <v>1933</v>
      </c>
      <c r="E806" s="38" t="s">
        <v>1934</v>
      </c>
      <c r="F806" s="52">
        <v>4.0</v>
      </c>
      <c r="G806" s="52">
        <v>123400.0</v>
      </c>
      <c r="H806" s="52">
        <v>19700.0</v>
      </c>
    </row>
    <row r="807" ht="15.75" hidden="1" customHeight="1">
      <c r="A807" s="38" t="s">
        <v>95</v>
      </c>
      <c r="B807" s="38" t="s">
        <v>186</v>
      </c>
      <c r="C807" s="38" t="s">
        <v>1644</v>
      </c>
      <c r="D807" s="38" t="s">
        <v>1645</v>
      </c>
      <c r="E807" s="38" t="s">
        <v>1646</v>
      </c>
      <c r="F807" s="52">
        <v>876.0</v>
      </c>
      <c r="G807" s="52">
        <v>1.0595647E7</v>
      </c>
      <c r="H807" s="52">
        <v>279860.0</v>
      </c>
    </row>
    <row r="808" ht="15.75" hidden="1" customHeight="1">
      <c r="A808" s="38" t="s">
        <v>95</v>
      </c>
      <c r="B808" s="38" t="s">
        <v>186</v>
      </c>
      <c r="C808" s="38" t="s">
        <v>1644</v>
      </c>
      <c r="D808" s="38" t="s">
        <v>1645</v>
      </c>
      <c r="E808" s="38" t="s">
        <v>1647</v>
      </c>
      <c r="F808" s="52">
        <v>13120.0</v>
      </c>
      <c r="G808" s="52">
        <v>2.00848013E8</v>
      </c>
      <c r="H808" s="52">
        <v>2555860.0</v>
      </c>
    </row>
    <row r="809" ht="15.75" hidden="1" customHeight="1">
      <c r="A809" s="38" t="s">
        <v>95</v>
      </c>
      <c r="B809" s="38" t="s">
        <v>186</v>
      </c>
      <c r="C809" s="38" t="s">
        <v>1644</v>
      </c>
      <c r="D809" s="38" t="s">
        <v>1645</v>
      </c>
      <c r="E809" s="38" t="s">
        <v>1648</v>
      </c>
      <c r="F809" s="52">
        <v>130.0</v>
      </c>
      <c r="G809" s="52">
        <v>2599022.0</v>
      </c>
      <c r="H809" s="52">
        <v>68700.0</v>
      </c>
    </row>
    <row r="810" ht="15.75" hidden="1" customHeight="1">
      <c r="A810" s="38" t="s">
        <v>95</v>
      </c>
      <c r="B810" s="38" t="s">
        <v>186</v>
      </c>
      <c r="C810" s="38" t="s">
        <v>1644</v>
      </c>
      <c r="D810" s="38" t="s">
        <v>1645</v>
      </c>
      <c r="E810" s="38" t="s">
        <v>1649</v>
      </c>
      <c r="F810" s="52">
        <v>6779.0</v>
      </c>
      <c r="G810" s="52">
        <v>9.6267471E7</v>
      </c>
      <c r="H810" s="52">
        <v>1809940.0</v>
      </c>
    </row>
    <row r="811" ht="15.75" hidden="1" customHeight="1">
      <c r="A811" s="38" t="s">
        <v>95</v>
      </c>
      <c r="B811" s="38" t="s">
        <v>186</v>
      </c>
      <c r="C811" s="38" t="s">
        <v>1644</v>
      </c>
      <c r="D811" s="38" t="s">
        <v>1645</v>
      </c>
      <c r="E811" s="38" t="s">
        <v>1650</v>
      </c>
      <c r="F811" s="52">
        <v>254.0</v>
      </c>
      <c r="G811" s="52">
        <v>5550270.0</v>
      </c>
      <c r="H811" s="52">
        <v>148520.0</v>
      </c>
    </row>
    <row r="812" ht="15.75" hidden="1" customHeight="1">
      <c r="A812" s="38" t="s">
        <v>95</v>
      </c>
      <c r="B812" s="38" t="s">
        <v>186</v>
      </c>
      <c r="C812" s="38" t="s">
        <v>1644</v>
      </c>
      <c r="D812" s="38" t="s">
        <v>1645</v>
      </c>
      <c r="E812" s="38" t="s">
        <v>1651</v>
      </c>
      <c r="F812" s="52">
        <v>75.0</v>
      </c>
      <c r="G812" s="52">
        <v>977563.0</v>
      </c>
      <c r="H812" s="52">
        <v>55600.0</v>
      </c>
    </row>
    <row r="813" ht="15.75" hidden="1" customHeight="1">
      <c r="A813" s="38" t="s">
        <v>95</v>
      </c>
      <c r="B813" s="38" t="s">
        <v>186</v>
      </c>
      <c r="C813" s="38" t="s">
        <v>1644</v>
      </c>
      <c r="D813" s="38" t="s">
        <v>1645</v>
      </c>
      <c r="E813" s="38" t="s">
        <v>1652</v>
      </c>
      <c r="F813" s="52">
        <v>71.0</v>
      </c>
      <c r="G813" s="52">
        <v>983066.0</v>
      </c>
      <c r="H813" s="52">
        <v>18880.0</v>
      </c>
    </row>
    <row r="814" ht="15.75" hidden="1" customHeight="1">
      <c r="A814" s="38" t="s">
        <v>95</v>
      </c>
      <c r="B814" s="38" t="s">
        <v>186</v>
      </c>
      <c r="C814" s="38" t="s">
        <v>1644</v>
      </c>
      <c r="D814" s="38" t="s">
        <v>1645</v>
      </c>
      <c r="E814" s="38" t="s">
        <v>1653</v>
      </c>
      <c r="F814" s="52">
        <v>468.0</v>
      </c>
      <c r="G814" s="52">
        <v>6629375.0</v>
      </c>
      <c r="H814" s="52">
        <v>95360.0</v>
      </c>
    </row>
    <row r="815" ht="15.75" hidden="1" customHeight="1">
      <c r="A815" s="38" t="s">
        <v>95</v>
      </c>
      <c r="B815" s="38" t="s">
        <v>186</v>
      </c>
      <c r="C815" s="38" t="s">
        <v>1644</v>
      </c>
      <c r="D815" s="38" t="s">
        <v>1645</v>
      </c>
      <c r="E815" s="38" t="s">
        <v>1654</v>
      </c>
      <c r="F815" s="52">
        <v>498.0</v>
      </c>
      <c r="G815" s="52">
        <v>7706549.0</v>
      </c>
      <c r="H815" s="52">
        <v>253180.0</v>
      </c>
    </row>
    <row r="816" ht="15.75" hidden="1" customHeight="1">
      <c r="A816" s="38" t="s">
        <v>95</v>
      </c>
      <c r="B816" s="38" t="s">
        <v>186</v>
      </c>
      <c r="C816" s="38" t="s">
        <v>1644</v>
      </c>
      <c r="D816" s="38" t="s">
        <v>1645</v>
      </c>
      <c r="E816" s="38" t="s">
        <v>1655</v>
      </c>
      <c r="F816" s="52">
        <v>615.0</v>
      </c>
      <c r="G816" s="52">
        <v>9913757.0</v>
      </c>
      <c r="H816" s="52">
        <v>276140.0</v>
      </c>
    </row>
    <row r="817" ht="15.75" hidden="1" customHeight="1">
      <c r="A817" s="38" t="s">
        <v>95</v>
      </c>
      <c r="B817" s="38" t="s">
        <v>186</v>
      </c>
      <c r="C817" s="38" t="s">
        <v>1644</v>
      </c>
      <c r="D817" s="38" t="s">
        <v>1645</v>
      </c>
      <c r="E817" s="38" t="s">
        <v>1656</v>
      </c>
      <c r="F817" s="52">
        <v>271.0</v>
      </c>
      <c r="G817" s="52">
        <v>6055504.0</v>
      </c>
      <c r="H817" s="52">
        <v>285660.0</v>
      </c>
    </row>
    <row r="818" ht="15.75" hidden="1" customHeight="1">
      <c r="A818" s="38" t="s">
        <v>95</v>
      </c>
      <c r="B818" s="38" t="s">
        <v>186</v>
      </c>
      <c r="C818" s="38" t="s">
        <v>1657</v>
      </c>
      <c r="D818" s="38" t="s">
        <v>1658</v>
      </c>
      <c r="E818" s="38" t="s">
        <v>1659</v>
      </c>
      <c r="F818" s="52">
        <v>12.0</v>
      </c>
      <c r="G818" s="52">
        <v>152081.0</v>
      </c>
      <c r="H818" s="52">
        <v>5560.0</v>
      </c>
    </row>
    <row r="819" ht="15.75" hidden="1" customHeight="1">
      <c r="A819" s="38" t="s">
        <v>95</v>
      </c>
      <c r="B819" s="38" t="s">
        <v>186</v>
      </c>
      <c r="C819" s="38" t="s">
        <v>1657</v>
      </c>
      <c r="D819" s="38" t="s">
        <v>1658</v>
      </c>
      <c r="E819" s="38" t="s">
        <v>1660</v>
      </c>
      <c r="F819" s="52">
        <v>73.0</v>
      </c>
      <c r="G819" s="52">
        <v>1000230.0</v>
      </c>
      <c r="H819" s="52">
        <v>86060.0</v>
      </c>
    </row>
    <row r="820" ht="15.75" hidden="1" customHeight="1">
      <c r="A820" s="38" t="s">
        <v>95</v>
      </c>
      <c r="B820" s="38" t="s">
        <v>186</v>
      </c>
      <c r="C820" s="38" t="s">
        <v>1657</v>
      </c>
      <c r="D820" s="38" t="s">
        <v>1658</v>
      </c>
      <c r="E820" s="38" t="s">
        <v>1661</v>
      </c>
      <c r="F820" s="52">
        <v>451.0</v>
      </c>
      <c r="G820" s="52">
        <v>9169867.0</v>
      </c>
      <c r="H820" s="52">
        <v>782540.0</v>
      </c>
    </row>
    <row r="821" ht="15.75" hidden="1" customHeight="1">
      <c r="A821" s="38" t="s">
        <v>95</v>
      </c>
      <c r="B821" s="38" t="s">
        <v>186</v>
      </c>
      <c r="C821" s="38" t="s">
        <v>1657</v>
      </c>
      <c r="D821" s="38" t="s">
        <v>1658</v>
      </c>
      <c r="E821" s="38" t="s">
        <v>1662</v>
      </c>
      <c r="F821" s="52">
        <v>96.0</v>
      </c>
      <c r="G821" s="52">
        <v>889455.0</v>
      </c>
      <c r="H821" s="52">
        <v>43560.0</v>
      </c>
    </row>
    <row r="822" ht="15.75" hidden="1" customHeight="1">
      <c r="A822" s="38" t="s">
        <v>95</v>
      </c>
      <c r="B822" s="38" t="s">
        <v>186</v>
      </c>
      <c r="C822" s="38" t="s">
        <v>1657</v>
      </c>
      <c r="D822" s="38" t="s">
        <v>1658</v>
      </c>
      <c r="E822" s="38" t="s">
        <v>1663</v>
      </c>
      <c r="F822" s="52">
        <v>1103.0</v>
      </c>
      <c r="G822" s="52">
        <v>1.5775915E7</v>
      </c>
      <c r="H822" s="52">
        <v>1055900.0</v>
      </c>
    </row>
    <row r="823" ht="15.75" hidden="1" customHeight="1">
      <c r="A823" s="38" t="s">
        <v>95</v>
      </c>
      <c r="B823" s="38" t="s">
        <v>186</v>
      </c>
      <c r="C823" s="38" t="s">
        <v>1657</v>
      </c>
      <c r="D823" s="38" t="s">
        <v>1658</v>
      </c>
      <c r="E823" s="38" t="s">
        <v>1664</v>
      </c>
      <c r="F823" s="52">
        <v>879.0</v>
      </c>
      <c r="G823" s="52">
        <v>1.9371393E7</v>
      </c>
      <c r="H823" s="52">
        <v>1071320.0</v>
      </c>
    </row>
    <row r="824" ht="15.75" hidden="1" customHeight="1">
      <c r="A824" s="38" t="s">
        <v>95</v>
      </c>
      <c r="B824" s="38" t="s">
        <v>186</v>
      </c>
      <c r="C824" s="38" t="s">
        <v>1657</v>
      </c>
      <c r="D824" s="38" t="s">
        <v>1658</v>
      </c>
      <c r="E824" s="38" t="s">
        <v>1665</v>
      </c>
      <c r="F824" s="52">
        <v>219.0</v>
      </c>
      <c r="G824" s="52">
        <v>3560540.0</v>
      </c>
      <c r="H824" s="52">
        <v>314440.0</v>
      </c>
    </row>
    <row r="825" ht="15.75" hidden="1" customHeight="1">
      <c r="A825" s="38" t="s">
        <v>95</v>
      </c>
      <c r="B825" s="38" t="s">
        <v>186</v>
      </c>
      <c r="C825" s="38" t="s">
        <v>1657</v>
      </c>
      <c r="D825" s="38" t="s">
        <v>1658</v>
      </c>
      <c r="E825" s="38" t="s">
        <v>1666</v>
      </c>
      <c r="F825" s="52">
        <v>117.0</v>
      </c>
      <c r="G825" s="52">
        <v>1813195.0</v>
      </c>
      <c r="H825" s="52">
        <v>142800.0</v>
      </c>
    </row>
    <row r="826" ht="15.75" hidden="1" customHeight="1">
      <c r="A826" s="38" t="s">
        <v>95</v>
      </c>
      <c r="B826" s="38" t="s">
        <v>186</v>
      </c>
      <c r="C826" s="38" t="s">
        <v>1657</v>
      </c>
      <c r="D826" s="38" t="s">
        <v>1658</v>
      </c>
      <c r="E826" s="38" t="s">
        <v>1667</v>
      </c>
      <c r="F826" s="52">
        <v>9.0</v>
      </c>
      <c r="G826" s="52">
        <v>153760.0</v>
      </c>
      <c r="H826" s="52">
        <v>12340.0</v>
      </c>
    </row>
    <row r="827" ht="15.75" hidden="1" customHeight="1">
      <c r="A827" s="38" t="s">
        <v>95</v>
      </c>
      <c r="B827" s="38" t="s">
        <v>186</v>
      </c>
      <c r="C827" s="38" t="s">
        <v>1657</v>
      </c>
      <c r="D827" s="38" t="s">
        <v>1658</v>
      </c>
      <c r="E827" s="38" t="s">
        <v>1668</v>
      </c>
      <c r="F827" s="52">
        <v>222.0</v>
      </c>
      <c r="G827" s="52">
        <v>3456996.0</v>
      </c>
      <c r="H827" s="52">
        <v>197200.0</v>
      </c>
    </row>
    <row r="828" ht="15.75" hidden="1" customHeight="1">
      <c r="A828" s="38" t="s">
        <v>95</v>
      </c>
      <c r="B828" s="38" t="s">
        <v>117</v>
      </c>
      <c r="C828" s="38" t="s">
        <v>1669</v>
      </c>
      <c r="D828" s="38" t="s">
        <v>1670</v>
      </c>
      <c r="E828" s="38" t="s">
        <v>1671</v>
      </c>
      <c r="F828" s="52">
        <v>728.0</v>
      </c>
      <c r="G828" s="52">
        <v>1.046317E7</v>
      </c>
      <c r="H828" s="52">
        <v>990900.0</v>
      </c>
    </row>
    <row r="829" ht="15.75" hidden="1" customHeight="1">
      <c r="A829" s="38" t="s">
        <v>95</v>
      </c>
      <c r="B829" s="38" t="s">
        <v>117</v>
      </c>
      <c r="C829" s="38" t="s">
        <v>1669</v>
      </c>
      <c r="D829" s="38" t="s">
        <v>1670</v>
      </c>
      <c r="E829" s="38" t="s">
        <v>1672</v>
      </c>
      <c r="F829" s="52">
        <v>162.0</v>
      </c>
      <c r="G829" s="52">
        <v>3324876.0</v>
      </c>
      <c r="H829" s="52">
        <v>427040.0</v>
      </c>
    </row>
    <row r="830" ht="15.75" hidden="1" customHeight="1">
      <c r="A830" s="38" t="s">
        <v>95</v>
      </c>
      <c r="B830" s="38" t="s">
        <v>117</v>
      </c>
      <c r="C830" s="38" t="s">
        <v>1669</v>
      </c>
      <c r="D830" s="38" t="s">
        <v>1670</v>
      </c>
      <c r="E830" s="38" t="s">
        <v>1673</v>
      </c>
      <c r="F830" s="52">
        <v>1938.0</v>
      </c>
      <c r="G830" s="52">
        <v>3.3113426E7</v>
      </c>
      <c r="H830" s="52">
        <v>2800440.0</v>
      </c>
    </row>
    <row r="831" ht="15.75" hidden="1" customHeight="1">
      <c r="A831" s="38" t="s">
        <v>95</v>
      </c>
      <c r="B831" s="38" t="s">
        <v>117</v>
      </c>
      <c r="C831" s="38" t="s">
        <v>1669</v>
      </c>
      <c r="D831" s="38" t="s">
        <v>1670</v>
      </c>
      <c r="E831" s="38" t="s">
        <v>1674</v>
      </c>
      <c r="F831" s="52">
        <v>275.0</v>
      </c>
      <c r="G831" s="52">
        <v>3906553.0</v>
      </c>
      <c r="H831" s="52">
        <v>351360.0</v>
      </c>
    </row>
    <row r="832" ht="15.75" hidden="1" customHeight="1">
      <c r="A832" s="38" t="s">
        <v>95</v>
      </c>
      <c r="B832" s="38" t="s">
        <v>117</v>
      </c>
      <c r="C832" s="38" t="s">
        <v>1669</v>
      </c>
      <c r="D832" s="38" t="s">
        <v>1670</v>
      </c>
      <c r="E832" s="38" t="s">
        <v>1675</v>
      </c>
      <c r="F832" s="52">
        <v>191.0</v>
      </c>
      <c r="G832" s="52">
        <v>3076104.0</v>
      </c>
      <c r="H832" s="52">
        <v>361820.0</v>
      </c>
    </row>
    <row r="833" ht="15.75" hidden="1" customHeight="1">
      <c r="A833" s="38" t="s">
        <v>95</v>
      </c>
      <c r="B833" s="38" t="s">
        <v>117</v>
      </c>
      <c r="C833" s="38" t="s">
        <v>1676</v>
      </c>
      <c r="D833" s="38" t="s">
        <v>1677</v>
      </c>
      <c r="E833" s="38" t="s">
        <v>1678</v>
      </c>
      <c r="F833" s="52">
        <v>177.0</v>
      </c>
      <c r="G833" s="52">
        <v>1748834.0</v>
      </c>
      <c r="H833" s="52">
        <v>75100.0</v>
      </c>
    </row>
    <row r="834" ht="15.75" hidden="1" customHeight="1">
      <c r="A834" s="38" t="s">
        <v>95</v>
      </c>
      <c r="B834" s="38" t="s">
        <v>117</v>
      </c>
      <c r="C834" s="38" t="s">
        <v>1679</v>
      </c>
      <c r="D834" s="38" t="s">
        <v>1680</v>
      </c>
      <c r="E834" s="38" t="s">
        <v>1681</v>
      </c>
      <c r="F834" s="52">
        <v>7.0</v>
      </c>
      <c r="G834" s="52">
        <v>276800.0</v>
      </c>
      <c r="H834" s="52">
        <v>31200.0</v>
      </c>
    </row>
    <row r="835" ht="15.75" hidden="1" customHeight="1">
      <c r="A835" s="38" t="s">
        <v>95</v>
      </c>
      <c r="B835" s="38" t="s">
        <v>117</v>
      </c>
      <c r="C835" s="38" t="s">
        <v>270</v>
      </c>
      <c r="D835" s="38" t="s">
        <v>269</v>
      </c>
      <c r="E835" s="38" t="s">
        <v>1682</v>
      </c>
      <c r="F835" s="52">
        <v>856.0</v>
      </c>
      <c r="G835" s="52">
        <v>1.0693525E7</v>
      </c>
      <c r="H835" s="52">
        <v>974340.0</v>
      </c>
    </row>
    <row r="836" ht="15.75" hidden="1" customHeight="1">
      <c r="A836" s="38" t="s">
        <v>95</v>
      </c>
      <c r="B836" s="38" t="s">
        <v>117</v>
      </c>
      <c r="C836" s="38" t="s">
        <v>1935</v>
      </c>
      <c r="D836" s="38" t="s">
        <v>1936</v>
      </c>
      <c r="E836" s="38" t="s">
        <v>1937</v>
      </c>
      <c r="F836" s="52">
        <v>11.0</v>
      </c>
      <c r="G836" s="52">
        <v>268713.0</v>
      </c>
      <c r="H836" s="52">
        <v>28340.0</v>
      </c>
    </row>
    <row r="837" ht="15.75" hidden="1" customHeight="1">
      <c r="A837" s="38" t="s">
        <v>92</v>
      </c>
      <c r="B837" s="38" t="s">
        <v>174</v>
      </c>
      <c r="C837" s="38" t="s">
        <v>713</v>
      </c>
      <c r="D837" s="38" t="s">
        <v>714</v>
      </c>
      <c r="E837" s="38" t="s">
        <v>1938</v>
      </c>
      <c r="F837" s="52">
        <v>3.0</v>
      </c>
      <c r="G837" s="52">
        <v>53400.0</v>
      </c>
      <c r="H837" s="52">
        <v>7120.0</v>
      </c>
    </row>
    <row r="838" ht="15.75" hidden="1" customHeight="1">
      <c r="A838" s="38" t="s">
        <v>92</v>
      </c>
      <c r="B838" s="38" t="s">
        <v>174</v>
      </c>
      <c r="C838" s="38" t="s">
        <v>713</v>
      </c>
      <c r="D838" s="38" t="s">
        <v>714</v>
      </c>
      <c r="E838" s="38" t="s">
        <v>1939</v>
      </c>
      <c r="F838" s="52">
        <v>6.0</v>
      </c>
      <c r="G838" s="52">
        <v>282900.0</v>
      </c>
      <c r="H838" s="52">
        <v>15520.0</v>
      </c>
    </row>
    <row r="839" ht="15.75" hidden="1" customHeight="1">
      <c r="A839" s="38" t="s">
        <v>92</v>
      </c>
      <c r="B839" s="38" t="s">
        <v>174</v>
      </c>
      <c r="C839" s="38" t="s">
        <v>713</v>
      </c>
      <c r="D839" s="38" t="s">
        <v>714</v>
      </c>
      <c r="E839" s="38" t="s">
        <v>1940</v>
      </c>
      <c r="F839" s="52">
        <v>1.0</v>
      </c>
      <c r="G839" s="52">
        <v>6900.0</v>
      </c>
      <c r="H839" s="52" t="s">
        <v>1800</v>
      </c>
    </row>
    <row r="840" ht="15.75" hidden="1" customHeight="1">
      <c r="A840" s="38" t="s">
        <v>92</v>
      </c>
      <c r="B840" s="38" t="s">
        <v>174</v>
      </c>
      <c r="C840" s="38" t="s">
        <v>713</v>
      </c>
      <c r="D840" s="38" t="s">
        <v>714</v>
      </c>
      <c r="E840" s="38" t="s">
        <v>1941</v>
      </c>
      <c r="F840" s="52">
        <v>2.0</v>
      </c>
      <c r="G840" s="52">
        <v>23700.0</v>
      </c>
      <c r="H840" s="52">
        <v>3160.0</v>
      </c>
    </row>
    <row r="841" ht="15.75" hidden="1" customHeight="1">
      <c r="A841" s="38" t="s">
        <v>92</v>
      </c>
      <c r="B841" s="38" t="s">
        <v>174</v>
      </c>
      <c r="C841" s="38" t="s">
        <v>713</v>
      </c>
      <c r="D841" s="38" t="s">
        <v>714</v>
      </c>
      <c r="E841" s="38" t="s">
        <v>1942</v>
      </c>
      <c r="F841" s="52">
        <v>3.0</v>
      </c>
      <c r="G841" s="52">
        <v>76300.0</v>
      </c>
      <c r="H841" s="52">
        <v>8720.0</v>
      </c>
    </row>
    <row r="842" ht="15.75" hidden="1" customHeight="1">
      <c r="A842" s="38" t="s">
        <v>92</v>
      </c>
      <c r="B842" s="38" t="s">
        <v>186</v>
      </c>
      <c r="C842" s="38" t="s">
        <v>1943</v>
      </c>
      <c r="D842" s="38" t="s">
        <v>750</v>
      </c>
      <c r="E842" s="38" t="s">
        <v>1944</v>
      </c>
      <c r="F842" s="52">
        <v>4.0</v>
      </c>
      <c r="G842" s="52">
        <v>60000.0</v>
      </c>
      <c r="H842" s="52">
        <v>2000.0</v>
      </c>
    </row>
    <row r="843" ht="15.75" hidden="1" customHeight="1">
      <c r="A843" s="38" t="s">
        <v>92</v>
      </c>
      <c r="B843" s="38" t="s">
        <v>186</v>
      </c>
      <c r="C843" s="38" t="s">
        <v>1943</v>
      </c>
      <c r="D843" s="38" t="s">
        <v>750</v>
      </c>
      <c r="E843" s="38" t="s">
        <v>1945</v>
      </c>
      <c r="F843" s="52">
        <v>0.0</v>
      </c>
      <c r="G843" s="52" t="s">
        <v>1800</v>
      </c>
      <c r="H843" s="52" t="s">
        <v>1800</v>
      </c>
    </row>
    <row r="844" ht="15.75" hidden="1" customHeight="1">
      <c r="A844" s="38" t="s">
        <v>92</v>
      </c>
      <c r="B844" s="38" t="s">
        <v>186</v>
      </c>
      <c r="C844" s="38" t="s">
        <v>1943</v>
      </c>
      <c r="D844" s="38" t="s">
        <v>750</v>
      </c>
      <c r="E844" s="38" t="s">
        <v>1946</v>
      </c>
      <c r="F844" s="52">
        <v>1.0</v>
      </c>
      <c r="G844" s="52">
        <v>4500.0</v>
      </c>
      <c r="H844" s="52" t="s">
        <v>1800</v>
      </c>
    </row>
    <row r="845" ht="15.75" hidden="1" customHeight="1">
      <c r="A845" s="38" t="s">
        <v>92</v>
      </c>
      <c r="B845" s="38" t="s">
        <v>186</v>
      </c>
      <c r="C845" s="38" t="s">
        <v>1943</v>
      </c>
      <c r="D845" s="38" t="s">
        <v>750</v>
      </c>
      <c r="E845" s="38" t="s">
        <v>1947</v>
      </c>
      <c r="F845" s="52">
        <v>0.0</v>
      </c>
      <c r="G845" s="52" t="s">
        <v>1800</v>
      </c>
      <c r="H845" s="52" t="s">
        <v>1800</v>
      </c>
    </row>
    <row r="846" ht="15.75" hidden="1" customHeight="1">
      <c r="A846" s="38" t="s">
        <v>92</v>
      </c>
      <c r="B846" s="38" t="s">
        <v>186</v>
      </c>
      <c r="C846" s="38" t="s">
        <v>1943</v>
      </c>
      <c r="D846" s="38" t="s">
        <v>750</v>
      </c>
      <c r="E846" s="38" t="s">
        <v>1948</v>
      </c>
      <c r="F846" s="52">
        <v>0.0</v>
      </c>
      <c r="G846" s="52" t="s">
        <v>1800</v>
      </c>
      <c r="H846" s="52" t="s">
        <v>1800</v>
      </c>
    </row>
    <row r="847" ht="15.75" hidden="1" customHeight="1">
      <c r="A847" s="38" t="s">
        <v>92</v>
      </c>
      <c r="B847" s="38" t="s">
        <v>186</v>
      </c>
      <c r="C847" s="38" t="s">
        <v>1943</v>
      </c>
      <c r="D847" s="38" t="s">
        <v>750</v>
      </c>
      <c r="E847" s="38" t="s">
        <v>1949</v>
      </c>
      <c r="F847" s="52">
        <v>3.0</v>
      </c>
      <c r="G847" s="52">
        <v>48000.0</v>
      </c>
      <c r="H847" s="52" t="s">
        <v>1800</v>
      </c>
    </row>
    <row r="848" ht="15.75" hidden="1" customHeight="1">
      <c r="A848" s="38" t="s">
        <v>92</v>
      </c>
      <c r="B848" s="38" t="s">
        <v>186</v>
      </c>
      <c r="C848" s="38" t="s">
        <v>1943</v>
      </c>
      <c r="D848" s="38" t="s">
        <v>750</v>
      </c>
      <c r="E848" s="38" t="s">
        <v>1950</v>
      </c>
      <c r="F848" s="52">
        <v>0.0</v>
      </c>
      <c r="G848" s="52" t="s">
        <v>1800</v>
      </c>
      <c r="H848" s="52" t="s">
        <v>1800</v>
      </c>
    </row>
    <row r="849" ht="15.75" hidden="1" customHeight="1">
      <c r="A849" s="38" t="s">
        <v>92</v>
      </c>
      <c r="B849" s="38" t="s">
        <v>186</v>
      </c>
      <c r="C849" s="38" t="s">
        <v>1943</v>
      </c>
      <c r="D849" s="38" t="s">
        <v>750</v>
      </c>
      <c r="E849" s="38" t="s">
        <v>1951</v>
      </c>
      <c r="F849" s="52">
        <v>0.0</v>
      </c>
      <c r="G849" s="52" t="s">
        <v>1800</v>
      </c>
      <c r="H849" s="52" t="s">
        <v>1800</v>
      </c>
    </row>
    <row r="850" ht="15.75" hidden="1" customHeight="1">
      <c r="A850" s="38" t="s">
        <v>92</v>
      </c>
      <c r="B850" s="38" t="s">
        <v>186</v>
      </c>
      <c r="C850" s="38" t="s">
        <v>1943</v>
      </c>
      <c r="D850" s="38" t="s">
        <v>750</v>
      </c>
      <c r="E850" s="38" t="s">
        <v>1952</v>
      </c>
      <c r="F850" s="52">
        <v>0.0</v>
      </c>
      <c r="G850" s="52" t="s">
        <v>1800</v>
      </c>
      <c r="H850" s="52" t="s">
        <v>1800</v>
      </c>
    </row>
    <row r="851" ht="15.75" hidden="1" customHeight="1">
      <c r="A851" s="38" t="s">
        <v>92</v>
      </c>
      <c r="B851" s="38" t="s">
        <v>186</v>
      </c>
      <c r="C851" s="38" t="s">
        <v>1943</v>
      </c>
      <c r="D851" s="38" t="s">
        <v>750</v>
      </c>
      <c r="E851" s="38" t="s">
        <v>1953</v>
      </c>
      <c r="F851" s="52">
        <v>2.0</v>
      </c>
      <c r="G851" s="52">
        <v>32000.0</v>
      </c>
      <c r="H851" s="52" t="s">
        <v>1800</v>
      </c>
    </row>
    <row r="852" ht="15.75" hidden="1" customHeight="1">
      <c r="A852" s="38" t="s">
        <v>92</v>
      </c>
      <c r="B852" s="55" t="s">
        <v>186</v>
      </c>
      <c r="C852" s="38" t="s">
        <v>1943</v>
      </c>
      <c r="D852" s="38" t="s">
        <v>750</v>
      </c>
      <c r="E852" s="38" t="s">
        <v>1954</v>
      </c>
      <c r="F852" s="52">
        <v>0.0</v>
      </c>
      <c r="G852" s="52" t="s">
        <v>1800</v>
      </c>
      <c r="H852" s="52" t="s">
        <v>1800</v>
      </c>
      <c r="J852" s="38" t="s">
        <v>117</v>
      </c>
    </row>
    <row r="853" ht="15.75" hidden="1" customHeight="1">
      <c r="A853" s="38" t="s">
        <v>92</v>
      </c>
      <c r="B853" s="38" t="s">
        <v>186</v>
      </c>
      <c r="C853" s="38" t="s">
        <v>697</v>
      </c>
      <c r="D853" s="38" t="s">
        <v>698</v>
      </c>
      <c r="E853" s="38" t="s">
        <v>1955</v>
      </c>
      <c r="F853" s="52">
        <v>1.0</v>
      </c>
      <c r="G853" s="52">
        <v>16000.0</v>
      </c>
      <c r="H853" s="52" t="s">
        <v>1800</v>
      </c>
    </row>
    <row r="854" ht="15.75" hidden="1" customHeight="1">
      <c r="A854" s="38" t="s">
        <v>92</v>
      </c>
      <c r="B854" s="38" t="s">
        <v>186</v>
      </c>
      <c r="C854" s="38" t="s">
        <v>697</v>
      </c>
      <c r="D854" s="38" t="s">
        <v>698</v>
      </c>
      <c r="E854" s="38" t="s">
        <v>1958</v>
      </c>
      <c r="F854" s="52">
        <v>0.0</v>
      </c>
      <c r="G854" s="52" t="s">
        <v>1800</v>
      </c>
      <c r="H854" s="52" t="s">
        <v>1800</v>
      </c>
    </row>
    <row r="855" ht="15.75" hidden="1" customHeight="1">
      <c r="A855" s="38" t="s">
        <v>92</v>
      </c>
      <c r="B855" s="38" t="s">
        <v>186</v>
      </c>
      <c r="C855" s="38" t="s">
        <v>697</v>
      </c>
      <c r="D855" s="38" t="s">
        <v>698</v>
      </c>
      <c r="E855" s="38" t="s">
        <v>1959</v>
      </c>
      <c r="F855" s="52">
        <v>5.0</v>
      </c>
      <c r="G855" s="52">
        <v>175000.0</v>
      </c>
      <c r="H855" s="52">
        <v>15000.0</v>
      </c>
    </row>
    <row r="856" ht="15.75" hidden="1" customHeight="1">
      <c r="A856" s="38" t="s">
        <v>92</v>
      </c>
      <c r="B856" s="38" t="s">
        <v>186</v>
      </c>
      <c r="C856" s="38" t="s">
        <v>697</v>
      </c>
      <c r="D856" s="38" t="s">
        <v>698</v>
      </c>
      <c r="E856" s="38" t="s">
        <v>1960</v>
      </c>
      <c r="F856" s="52">
        <v>1.0</v>
      </c>
      <c r="G856" s="52">
        <v>65000.0</v>
      </c>
      <c r="H856" s="52">
        <v>10000.0</v>
      </c>
    </row>
    <row r="857" ht="15.75" hidden="1" customHeight="1">
      <c r="A857" s="38" t="s">
        <v>92</v>
      </c>
      <c r="B857" s="38" t="s">
        <v>186</v>
      </c>
      <c r="C857" s="38" t="s">
        <v>697</v>
      </c>
      <c r="D857" s="38" t="s">
        <v>698</v>
      </c>
      <c r="E857" s="38" t="s">
        <v>1961</v>
      </c>
      <c r="F857" s="52">
        <v>0.0</v>
      </c>
      <c r="G857" s="52" t="s">
        <v>1800</v>
      </c>
      <c r="H857" s="52" t="s">
        <v>1800</v>
      </c>
    </row>
    <row r="858" ht="15.75" hidden="1" customHeight="1">
      <c r="A858" s="38" t="s">
        <v>92</v>
      </c>
      <c r="B858" s="38" t="s">
        <v>186</v>
      </c>
      <c r="C858" s="38" t="s">
        <v>697</v>
      </c>
      <c r="D858" s="38" t="s">
        <v>698</v>
      </c>
      <c r="E858" s="38" t="s">
        <v>1962</v>
      </c>
      <c r="F858" s="52">
        <v>1.0</v>
      </c>
      <c r="G858" s="52">
        <v>20000.0</v>
      </c>
      <c r="H858" s="52">
        <v>4000.0</v>
      </c>
    </row>
    <row r="859" ht="15.75" hidden="1" customHeight="1">
      <c r="A859" s="38" t="s">
        <v>92</v>
      </c>
      <c r="B859" s="38" t="s">
        <v>186</v>
      </c>
      <c r="C859" s="38" t="s">
        <v>697</v>
      </c>
      <c r="D859" s="38" t="s">
        <v>698</v>
      </c>
      <c r="E859" s="38" t="s">
        <v>1963</v>
      </c>
      <c r="F859" s="52">
        <v>6.0</v>
      </c>
      <c r="G859" s="52">
        <v>210000.0</v>
      </c>
      <c r="H859" s="52">
        <v>34860.0</v>
      </c>
    </row>
    <row r="860" ht="15.75" hidden="1" customHeight="1">
      <c r="A860" s="38" t="s">
        <v>92</v>
      </c>
      <c r="B860" s="38" t="s">
        <v>186</v>
      </c>
      <c r="C860" s="38" t="s">
        <v>697</v>
      </c>
      <c r="D860" s="38" t="s">
        <v>698</v>
      </c>
      <c r="E860" s="38" t="s">
        <v>1964</v>
      </c>
      <c r="F860" s="52">
        <v>2.0</v>
      </c>
      <c r="G860" s="52">
        <v>105000.0</v>
      </c>
      <c r="H860" s="52" t="s">
        <v>1800</v>
      </c>
    </row>
    <row r="861" ht="15.75" hidden="1" customHeight="1">
      <c r="A861" s="38" t="s">
        <v>92</v>
      </c>
      <c r="B861" s="38" t="s">
        <v>186</v>
      </c>
      <c r="C861" s="38" t="s">
        <v>697</v>
      </c>
      <c r="D861" s="38" t="s">
        <v>698</v>
      </c>
      <c r="E861" s="38" t="s">
        <v>1965</v>
      </c>
      <c r="F861" s="52">
        <v>0.0</v>
      </c>
      <c r="G861" s="52" t="s">
        <v>1800</v>
      </c>
      <c r="H861" s="52" t="s">
        <v>1800</v>
      </c>
    </row>
    <row r="862" ht="15.75" hidden="1" customHeight="1">
      <c r="A862" s="38" t="s">
        <v>92</v>
      </c>
      <c r="B862" s="38" t="s">
        <v>186</v>
      </c>
      <c r="C862" s="38" t="s">
        <v>697</v>
      </c>
      <c r="D862" s="38" t="s">
        <v>698</v>
      </c>
      <c r="E862" s="38" t="s">
        <v>1966</v>
      </c>
      <c r="F862" s="52">
        <v>0.0</v>
      </c>
      <c r="G862" s="52" t="s">
        <v>1800</v>
      </c>
      <c r="H862" s="52" t="s">
        <v>1800</v>
      </c>
    </row>
    <row r="863" ht="15.75" hidden="1" customHeight="1">
      <c r="A863" s="38" t="s">
        <v>92</v>
      </c>
      <c r="B863" s="38" t="s">
        <v>186</v>
      </c>
      <c r="C863" s="38" t="s">
        <v>377</v>
      </c>
      <c r="D863" s="38" t="s">
        <v>378</v>
      </c>
      <c r="E863" s="38" t="s">
        <v>1967</v>
      </c>
      <c r="F863" s="52">
        <v>89.0</v>
      </c>
      <c r="G863" s="52">
        <v>2607500.0</v>
      </c>
      <c r="H863" s="52">
        <v>238400.0</v>
      </c>
    </row>
    <row r="864" ht="15.75" hidden="1" customHeight="1">
      <c r="A864" s="38" t="s">
        <v>92</v>
      </c>
      <c r="B864" s="38" t="s">
        <v>117</v>
      </c>
      <c r="C864" s="38" t="s">
        <v>377</v>
      </c>
      <c r="D864" s="38" t="s">
        <v>378</v>
      </c>
      <c r="E864" s="38" t="s">
        <v>1968</v>
      </c>
      <c r="F864" s="52">
        <v>2.0</v>
      </c>
      <c r="G864" s="52">
        <v>97800.0</v>
      </c>
      <c r="H864" s="52" t="s">
        <v>1800</v>
      </c>
    </row>
    <row r="865" ht="15.75" hidden="1" customHeight="1">
      <c r="A865" s="38" t="s">
        <v>92</v>
      </c>
      <c r="B865" s="38" t="s">
        <v>174</v>
      </c>
      <c r="C865" s="38" t="s">
        <v>426</v>
      </c>
      <c r="D865" s="38" t="s">
        <v>427</v>
      </c>
      <c r="E865" s="38" t="s">
        <v>1969</v>
      </c>
      <c r="F865" s="52">
        <v>74.0</v>
      </c>
      <c r="G865" s="52">
        <v>2562900.0</v>
      </c>
      <c r="H865" s="52">
        <v>237520.0</v>
      </c>
    </row>
    <row r="866" ht="15.75" hidden="1" customHeight="1">
      <c r="A866" s="38" t="s">
        <v>92</v>
      </c>
      <c r="B866" s="38" t="s">
        <v>117</v>
      </c>
      <c r="C866" s="38" t="s">
        <v>437</v>
      </c>
      <c r="D866" s="38" t="s">
        <v>438</v>
      </c>
      <c r="E866" s="38" t="s">
        <v>1970</v>
      </c>
      <c r="F866" s="52">
        <v>13.0</v>
      </c>
      <c r="G866" s="52">
        <v>237900.0</v>
      </c>
      <c r="H866" s="52">
        <v>23620.0</v>
      </c>
    </row>
    <row r="867" ht="15.75" hidden="1" customHeight="1">
      <c r="A867" s="38" t="s">
        <v>92</v>
      </c>
      <c r="B867" s="38" t="s">
        <v>117</v>
      </c>
      <c r="C867" s="38" t="s">
        <v>437</v>
      </c>
      <c r="D867" s="38" t="s">
        <v>438</v>
      </c>
      <c r="E867" s="38" t="s">
        <v>1971</v>
      </c>
      <c r="F867" s="52">
        <v>67.0</v>
      </c>
      <c r="G867" s="52">
        <v>2666600.0</v>
      </c>
      <c r="H867" s="52">
        <v>309240.0</v>
      </c>
    </row>
    <row r="868" ht="15.75" hidden="1" customHeight="1">
      <c r="A868" s="38" t="s">
        <v>92</v>
      </c>
      <c r="B868" s="38" t="s">
        <v>117</v>
      </c>
      <c r="C868" s="38" t="s">
        <v>437</v>
      </c>
      <c r="D868" s="38" t="s">
        <v>438</v>
      </c>
      <c r="E868" s="38" t="s">
        <v>1972</v>
      </c>
      <c r="F868" s="52">
        <v>4.0</v>
      </c>
      <c r="G868" s="52">
        <v>318400.0</v>
      </c>
      <c r="H868" s="52">
        <v>20000.0</v>
      </c>
    </row>
    <row r="869" ht="15.75" hidden="1" customHeight="1">
      <c r="A869" s="38" t="s">
        <v>92</v>
      </c>
      <c r="B869" s="38" t="s">
        <v>117</v>
      </c>
      <c r="C869" s="38" t="s">
        <v>437</v>
      </c>
      <c r="D869" s="38" t="s">
        <v>438</v>
      </c>
      <c r="E869" s="38" t="s">
        <v>1973</v>
      </c>
      <c r="F869" s="52">
        <v>5.0</v>
      </c>
      <c r="G869" s="52">
        <v>149400.0</v>
      </c>
      <c r="H869" s="52">
        <v>24900.0</v>
      </c>
    </row>
    <row r="870" ht="15.75" hidden="1" customHeight="1">
      <c r="A870" s="38" t="s">
        <v>92</v>
      </c>
      <c r="B870" s="38" t="s">
        <v>117</v>
      </c>
      <c r="C870" s="38" t="s">
        <v>437</v>
      </c>
      <c r="D870" s="38" t="s">
        <v>438</v>
      </c>
      <c r="E870" s="38" t="s">
        <v>1974</v>
      </c>
      <c r="F870" s="52">
        <v>2.0</v>
      </c>
      <c r="G870" s="52">
        <v>35800.0</v>
      </c>
      <c r="H870" s="52">
        <v>7160.0</v>
      </c>
    </row>
    <row r="871" ht="15.75" hidden="1" customHeight="1">
      <c r="A871" s="38" t="s">
        <v>92</v>
      </c>
      <c r="B871" s="38" t="s">
        <v>117</v>
      </c>
      <c r="C871" s="38" t="s">
        <v>437</v>
      </c>
      <c r="D871" s="38" t="s">
        <v>438</v>
      </c>
      <c r="E871" s="38" t="s">
        <v>1975</v>
      </c>
      <c r="F871" s="52">
        <v>10.0</v>
      </c>
      <c r="G871" s="52">
        <v>287000.0</v>
      </c>
      <c r="H871" s="52">
        <v>18740.0</v>
      </c>
    </row>
    <row r="872" ht="15.75" hidden="1" customHeight="1">
      <c r="A872" s="38" t="s">
        <v>92</v>
      </c>
      <c r="B872" s="38" t="s">
        <v>117</v>
      </c>
      <c r="C872" s="38" t="s">
        <v>437</v>
      </c>
      <c r="D872" s="38" t="s">
        <v>438</v>
      </c>
      <c r="E872" s="38" t="s">
        <v>667</v>
      </c>
      <c r="F872" s="52">
        <v>6.0</v>
      </c>
      <c r="G872" s="52">
        <v>109800.0</v>
      </c>
      <c r="H872" s="52">
        <v>3660.0</v>
      </c>
    </row>
    <row r="873" ht="15.75" hidden="1" customHeight="1">
      <c r="A873" s="38" t="s">
        <v>92</v>
      </c>
      <c r="B873" s="38" t="s">
        <v>117</v>
      </c>
      <c r="C873" s="38" t="s">
        <v>437</v>
      </c>
      <c r="D873" s="38" t="s">
        <v>438</v>
      </c>
      <c r="E873" s="38" t="s">
        <v>571</v>
      </c>
      <c r="F873" s="52">
        <v>33.0</v>
      </c>
      <c r="G873" s="52">
        <v>1163900.0</v>
      </c>
      <c r="H873" s="52">
        <v>92990.0</v>
      </c>
    </row>
    <row r="874" ht="15.75" hidden="1" customHeight="1">
      <c r="A874" s="38" t="s">
        <v>92</v>
      </c>
      <c r="B874" s="38" t="s">
        <v>117</v>
      </c>
      <c r="C874" s="38" t="s">
        <v>437</v>
      </c>
      <c r="D874" s="38" t="s">
        <v>438</v>
      </c>
      <c r="E874" s="38" t="s">
        <v>772</v>
      </c>
      <c r="F874" s="52">
        <v>3.0</v>
      </c>
      <c r="G874" s="52">
        <v>53700.0</v>
      </c>
      <c r="H874" s="52" t="s">
        <v>1800</v>
      </c>
    </row>
    <row r="875" ht="15.75" hidden="1" customHeight="1">
      <c r="A875" s="38" t="s">
        <v>92</v>
      </c>
      <c r="B875" s="38" t="s">
        <v>117</v>
      </c>
      <c r="C875" s="38" t="s">
        <v>437</v>
      </c>
      <c r="D875" s="38" t="s">
        <v>438</v>
      </c>
      <c r="E875" s="38" t="s">
        <v>681</v>
      </c>
      <c r="F875" s="52">
        <v>9.0</v>
      </c>
      <c r="G875" s="52">
        <v>228100.0</v>
      </c>
      <c r="H875" s="52">
        <v>16540.0</v>
      </c>
    </row>
    <row r="876" ht="15.75" hidden="1" customHeight="1">
      <c r="A876" s="38" t="s">
        <v>92</v>
      </c>
      <c r="B876" s="38" t="s">
        <v>117</v>
      </c>
      <c r="C876" s="38" t="s">
        <v>437</v>
      </c>
      <c r="D876" s="38" t="s">
        <v>438</v>
      </c>
      <c r="E876" s="38" t="s">
        <v>733</v>
      </c>
      <c r="F876" s="52">
        <v>4.0</v>
      </c>
      <c r="G876" s="52">
        <v>141800.0</v>
      </c>
      <c r="H876" s="52">
        <v>5900.0</v>
      </c>
    </row>
    <row r="877" ht="15.75" hidden="1" customHeight="1">
      <c r="A877" s="38" t="s">
        <v>92</v>
      </c>
      <c r="B877" s="38" t="s">
        <v>117</v>
      </c>
      <c r="C877" s="38" t="s">
        <v>437</v>
      </c>
      <c r="D877" s="38" t="s">
        <v>438</v>
      </c>
      <c r="E877" s="38" t="s">
        <v>657</v>
      </c>
      <c r="F877" s="52">
        <v>6.0</v>
      </c>
      <c r="G877" s="52">
        <v>145400.0</v>
      </c>
      <c r="H877" s="52">
        <v>8360.0</v>
      </c>
    </row>
    <row r="878" ht="15.75" hidden="1" customHeight="1">
      <c r="A878" s="38" t="s">
        <v>92</v>
      </c>
      <c r="B878" s="38" t="s">
        <v>117</v>
      </c>
      <c r="C878" s="38" t="s">
        <v>437</v>
      </c>
      <c r="D878" s="38" t="s">
        <v>438</v>
      </c>
      <c r="E878" s="38" t="s">
        <v>773</v>
      </c>
      <c r="F878" s="52">
        <v>5.0</v>
      </c>
      <c r="G878" s="52">
        <v>98500.0</v>
      </c>
      <c r="H878" s="52" t="s">
        <v>1800</v>
      </c>
    </row>
    <row r="879" ht="15.75" hidden="1" customHeight="1">
      <c r="A879" s="38" t="s">
        <v>92</v>
      </c>
      <c r="B879" s="38" t="s">
        <v>117</v>
      </c>
      <c r="C879" s="38" t="s">
        <v>437</v>
      </c>
      <c r="D879" s="38" t="s">
        <v>438</v>
      </c>
      <c r="E879" s="38" t="s">
        <v>1977</v>
      </c>
      <c r="F879" s="52">
        <v>0.0</v>
      </c>
      <c r="G879" s="52" t="s">
        <v>1800</v>
      </c>
      <c r="H879" s="52" t="s">
        <v>1800</v>
      </c>
    </row>
    <row r="880" ht="15.75" hidden="1" customHeight="1">
      <c r="A880" s="38" t="s">
        <v>92</v>
      </c>
      <c r="B880" s="38" t="s">
        <v>117</v>
      </c>
      <c r="C880" s="38" t="s">
        <v>437</v>
      </c>
      <c r="D880" s="38" t="s">
        <v>438</v>
      </c>
      <c r="E880" s="38" t="s">
        <v>1978</v>
      </c>
      <c r="F880" s="52">
        <v>0.0</v>
      </c>
      <c r="G880" s="52" t="s">
        <v>1800</v>
      </c>
      <c r="H880" s="52" t="s">
        <v>1800</v>
      </c>
    </row>
    <row r="881" ht="15.75" hidden="1" customHeight="1">
      <c r="A881" s="38" t="s">
        <v>92</v>
      </c>
      <c r="B881" s="38" t="s">
        <v>117</v>
      </c>
      <c r="C881" s="38" t="s">
        <v>437</v>
      </c>
      <c r="D881" s="38" t="s">
        <v>438</v>
      </c>
      <c r="E881" s="38" t="s">
        <v>1979</v>
      </c>
      <c r="F881" s="52">
        <v>0.0</v>
      </c>
      <c r="G881" s="52" t="s">
        <v>1800</v>
      </c>
      <c r="H881" s="52" t="s">
        <v>1800</v>
      </c>
    </row>
    <row r="882" ht="15.75" hidden="1" customHeight="1">
      <c r="A882" s="38" t="s">
        <v>92</v>
      </c>
      <c r="B882" s="38" t="s">
        <v>174</v>
      </c>
      <c r="C882" s="38" t="s">
        <v>336</v>
      </c>
      <c r="D882" s="38" t="s">
        <v>337</v>
      </c>
      <c r="E882" s="38" t="s">
        <v>1980</v>
      </c>
      <c r="F882" s="52">
        <v>9.0</v>
      </c>
      <c r="G882" s="52">
        <v>230000.0</v>
      </c>
      <c r="H882" s="52">
        <v>32450.0</v>
      </c>
    </row>
    <row r="883" ht="15.75" hidden="1" customHeight="1">
      <c r="A883" s="38" t="s">
        <v>92</v>
      </c>
      <c r="B883" s="38" t="s">
        <v>174</v>
      </c>
      <c r="C883" s="38" t="s">
        <v>336</v>
      </c>
      <c r="D883" s="38" t="s">
        <v>337</v>
      </c>
      <c r="E883" s="38" t="s">
        <v>1981</v>
      </c>
      <c r="F883" s="52">
        <v>39.0</v>
      </c>
      <c r="G883" s="52">
        <v>1184500.0</v>
      </c>
      <c r="H883" s="52">
        <v>84250.0</v>
      </c>
    </row>
    <row r="884" ht="15.75" hidden="1" customHeight="1">
      <c r="A884" s="38" t="s">
        <v>92</v>
      </c>
      <c r="B884" s="38" t="s">
        <v>174</v>
      </c>
      <c r="C884" s="38" t="s">
        <v>336</v>
      </c>
      <c r="D884" s="38" t="s">
        <v>337</v>
      </c>
      <c r="E884" s="38" t="s">
        <v>1982</v>
      </c>
      <c r="F884" s="52">
        <v>17.0</v>
      </c>
      <c r="G884" s="52">
        <v>421900.0</v>
      </c>
      <c r="H884" s="52">
        <v>21580.0</v>
      </c>
    </row>
    <row r="885" ht="15.75" hidden="1" customHeight="1">
      <c r="A885" s="38" t="s">
        <v>92</v>
      </c>
      <c r="B885" s="38" t="s">
        <v>174</v>
      </c>
      <c r="C885" s="38" t="s">
        <v>336</v>
      </c>
      <c r="D885" s="38" t="s">
        <v>337</v>
      </c>
      <c r="E885" s="38" t="s">
        <v>1983</v>
      </c>
      <c r="F885" s="52">
        <v>252.0</v>
      </c>
      <c r="G885" s="52">
        <v>9662520.0</v>
      </c>
      <c r="H885" s="52">
        <v>1294790.0</v>
      </c>
    </row>
    <row r="886" ht="15.75" hidden="1" customHeight="1">
      <c r="A886" s="38" t="s">
        <v>92</v>
      </c>
      <c r="B886" s="38" t="s">
        <v>174</v>
      </c>
      <c r="C886" s="38" t="s">
        <v>336</v>
      </c>
      <c r="D886" s="38" t="s">
        <v>337</v>
      </c>
      <c r="E886" s="38" t="s">
        <v>1984</v>
      </c>
      <c r="F886" s="52">
        <v>0.0</v>
      </c>
      <c r="G886" s="52" t="s">
        <v>1800</v>
      </c>
      <c r="H886" s="52" t="s">
        <v>1800</v>
      </c>
    </row>
    <row r="887" ht="15.75" hidden="1" customHeight="1">
      <c r="A887" s="38" t="s">
        <v>92</v>
      </c>
      <c r="B887" s="38" t="s">
        <v>174</v>
      </c>
      <c r="C887" s="38" t="s">
        <v>336</v>
      </c>
      <c r="D887" s="38" t="s">
        <v>337</v>
      </c>
      <c r="E887" s="38" t="s">
        <v>1985</v>
      </c>
      <c r="F887" s="52">
        <v>0.0</v>
      </c>
      <c r="G887" s="52" t="s">
        <v>1800</v>
      </c>
      <c r="H887" s="52" t="s">
        <v>1800</v>
      </c>
    </row>
    <row r="888" ht="15.75" hidden="1" customHeight="1">
      <c r="A888" s="38" t="s">
        <v>92</v>
      </c>
      <c r="B888" s="38" t="s">
        <v>174</v>
      </c>
      <c r="C888" s="38" t="s">
        <v>336</v>
      </c>
      <c r="D888" s="38" t="s">
        <v>337</v>
      </c>
      <c r="E888" s="38" t="s">
        <v>1986</v>
      </c>
      <c r="F888" s="52">
        <v>2.0</v>
      </c>
      <c r="G888" s="52">
        <v>72100.0</v>
      </c>
      <c r="H888" s="52">
        <v>14420.0</v>
      </c>
    </row>
    <row r="889" ht="15.75" hidden="1" customHeight="1">
      <c r="A889" s="38" t="s">
        <v>92</v>
      </c>
      <c r="B889" s="38" t="s">
        <v>174</v>
      </c>
      <c r="C889" s="38" t="s">
        <v>336</v>
      </c>
      <c r="D889" s="38" t="s">
        <v>337</v>
      </c>
      <c r="E889" s="38" t="s">
        <v>1987</v>
      </c>
      <c r="F889" s="52">
        <v>6.0</v>
      </c>
      <c r="G889" s="52">
        <v>161500.0</v>
      </c>
      <c r="H889" s="52">
        <v>14680.0</v>
      </c>
    </row>
    <row r="890" ht="15.75" hidden="1" customHeight="1">
      <c r="A890" s="38" t="s">
        <v>92</v>
      </c>
      <c r="B890" s="38" t="s">
        <v>174</v>
      </c>
      <c r="C890" s="38" t="s">
        <v>336</v>
      </c>
      <c r="D890" s="38" t="s">
        <v>337</v>
      </c>
      <c r="E890" s="38" t="s">
        <v>1988</v>
      </c>
      <c r="F890" s="52">
        <v>3.0</v>
      </c>
      <c r="G890" s="52">
        <v>121000.0</v>
      </c>
      <c r="H890" s="52">
        <v>6280.0</v>
      </c>
    </row>
    <row r="891" ht="15.75" hidden="1" customHeight="1">
      <c r="A891" s="38" t="s">
        <v>92</v>
      </c>
      <c r="B891" s="38" t="s">
        <v>174</v>
      </c>
      <c r="C891" s="38" t="s">
        <v>336</v>
      </c>
      <c r="D891" s="38" t="s">
        <v>337</v>
      </c>
      <c r="E891" s="38" t="s">
        <v>1989</v>
      </c>
      <c r="F891" s="52">
        <v>9.0</v>
      </c>
      <c r="G891" s="52">
        <v>289700.0</v>
      </c>
      <c r="H891" s="52">
        <v>26580.0</v>
      </c>
    </row>
    <row r="892" ht="15.75" hidden="1" customHeight="1">
      <c r="A892" s="38" t="s">
        <v>92</v>
      </c>
      <c r="B892" s="38" t="s">
        <v>174</v>
      </c>
      <c r="C892" s="38" t="s">
        <v>336</v>
      </c>
      <c r="D892" s="38" t="s">
        <v>337</v>
      </c>
      <c r="E892" s="38" t="s">
        <v>1990</v>
      </c>
      <c r="F892" s="52">
        <v>77.0</v>
      </c>
      <c r="G892" s="52">
        <v>2642900.0</v>
      </c>
      <c r="H892" s="52">
        <v>291600.0</v>
      </c>
    </row>
    <row r="893" ht="15.75" hidden="1" customHeight="1">
      <c r="A893" s="38" t="s">
        <v>92</v>
      </c>
      <c r="B893" s="38" t="s">
        <v>186</v>
      </c>
      <c r="C893" s="38" t="s">
        <v>227</v>
      </c>
      <c r="D893" s="38" t="s">
        <v>226</v>
      </c>
      <c r="E893" s="38" t="s">
        <v>1991</v>
      </c>
      <c r="F893" s="52">
        <v>666.0</v>
      </c>
      <c r="G893" s="52">
        <v>3.02325E7</v>
      </c>
      <c r="H893" s="52">
        <v>2495420.0</v>
      </c>
    </row>
    <row r="894" ht="15.75" hidden="1" customHeight="1">
      <c r="A894" s="38" t="s">
        <v>92</v>
      </c>
      <c r="B894" s="38" t="s">
        <v>186</v>
      </c>
      <c r="C894" s="38" t="s">
        <v>227</v>
      </c>
      <c r="D894" s="38" t="s">
        <v>226</v>
      </c>
      <c r="E894" s="38" t="s">
        <v>1992</v>
      </c>
      <c r="F894" s="52">
        <v>18.0</v>
      </c>
      <c r="G894" s="52">
        <v>493500.0</v>
      </c>
      <c r="H894" s="52">
        <v>58000.0</v>
      </c>
    </row>
    <row r="895" ht="15.75" hidden="1" customHeight="1">
      <c r="A895" s="38" t="s">
        <v>92</v>
      </c>
      <c r="B895" s="38" t="s">
        <v>186</v>
      </c>
      <c r="C895" s="38" t="s">
        <v>227</v>
      </c>
      <c r="D895" s="38" t="s">
        <v>226</v>
      </c>
      <c r="E895" s="38" t="s">
        <v>1992</v>
      </c>
      <c r="F895" s="52">
        <v>1.0</v>
      </c>
      <c r="G895" s="52">
        <v>29500.0</v>
      </c>
      <c r="H895" s="52" t="s">
        <v>1800</v>
      </c>
    </row>
    <row r="896" ht="15.75" hidden="1" customHeight="1">
      <c r="A896" s="38" t="s">
        <v>92</v>
      </c>
      <c r="B896" s="38" t="s">
        <v>186</v>
      </c>
      <c r="C896" s="38" t="s">
        <v>227</v>
      </c>
      <c r="D896" s="38" t="s">
        <v>226</v>
      </c>
      <c r="E896" s="38" t="s">
        <v>1993</v>
      </c>
      <c r="F896" s="52">
        <v>9.0</v>
      </c>
      <c r="G896" s="52">
        <v>481500.0</v>
      </c>
      <c r="H896" s="52">
        <v>26800.0</v>
      </c>
    </row>
    <row r="897" ht="15.75" hidden="1" customHeight="1">
      <c r="A897" s="38" t="s">
        <v>92</v>
      </c>
      <c r="B897" s="38" t="s">
        <v>186</v>
      </c>
      <c r="C897" s="38" t="s">
        <v>227</v>
      </c>
      <c r="D897" s="38" t="s">
        <v>226</v>
      </c>
      <c r="E897" s="38" t="s">
        <v>1994</v>
      </c>
      <c r="F897" s="52">
        <v>3.0</v>
      </c>
      <c r="G897" s="52">
        <v>594000.0</v>
      </c>
      <c r="H897" s="52">
        <v>10000.0</v>
      </c>
    </row>
    <row r="898" ht="15.75" hidden="1" customHeight="1">
      <c r="A898" s="38" t="s">
        <v>92</v>
      </c>
      <c r="B898" s="38" t="s">
        <v>186</v>
      </c>
      <c r="C898" s="38" t="s">
        <v>227</v>
      </c>
      <c r="D898" s="38" t="s">
        <v>226</v>
      </c>
      <c r="E898" s="38" t="s">
        <v>1995</v>
      </c>
      <c r="F898" s="52">
        <v>5.0</v>
      </c>
      <c r="G898" s="52">
        <v>119500.0</v>
      </c>
      <c r="H898" s="52">
        <v>14400.0</v>
      </c>
    </row>
    <row r="899" ht="15.75" hidden="1" customHeight="1">
      <c r="A899" s="38" t="s">
        <v>92</v>
      </c>
      <c r="B899" s="38" t="s">
        <v>117</v>
      </c>
      <c r="C899" s="38" t="s">
        <v>308</v>
      </c>
      <c r="D899" s="38" t="s">
        <v>309</v>
      </c>
      <c r="E899" s="38" t="s">
        <v>1996</v>
      </c>
      <c r="F899" s="52">
        <v>2254.0</v>
      </c>
      <c r="G899" s="52">
        <v>6.321102E7</v>
      </c>
      <c r="H899" s="52">
        <v>4312140.0</v>
      </c>
    </row>
    <row r="900" ht="15.75" hidden="1" customHeight="1">
      <c r="A900" s="38" t="s">
        <v>92</v>
      </c>
      <c r="B900" s="38" t="s">
        <v>174</v>
      </c>
      <c r="C900" s="38" t="s">
        <v>1997</v>
      </c>
      <c r="D900" s="38" t="s">
        <v>312</v>
      </c>
      <c r="E900" s="38" t="s">
        <v>1998</v>
      </c>
      <c r="F900" s="52">
        <v>1583.0</v>
      </c>
      <c r="G900" s="52">
        <v>4.63852E7</v>
      </c>
      <c r="H900" s="52">
        <v>3529130.0</v>
      </c>
    </row>
    <row r="901" ht="15.75" hidden="1" customHeight="1">
      <c r="A901" s="38" t="s">
        <v>92</v>
      </c>
      <c r="B901" s="38" t="s">
        <v>174</v>
      </c>
      <c r="C901" s="38" t="s">
        <v>1997</v>
      </c>
      <c r="D901" s="38" t="s">
        <v>312</v>
      </c>
      <c r="E901" s="38" t="s">
        <v>1999</v>
      </c>
      <c r="F901" s="52">
        <v>1557.0</v>
      </c>
      <c r="G901" s="52">
        <v>4.73916E7</v>
      </c>
      <c r="H901" s="52">
        <v>530500.0</v>
      </c>
    </row>
    <row r="902" ht="15.75" hidden="1" customHeight="1">
      <c r="A902" s="38" t="s">
        <v>92</v>
      </c>
      <c r="B902" s="38" t="s">
        <v>174</v>
      </c>
      <c r="C902" s="38" t="s">
        <v>1997</v>
      </c>
      <c r="D902" s="38" t="s">
        <v>312</v>
      </c>
      <c r="E902" s="38" t="s">
        <v>2000</v>
      </c>
      <c r="F902" s="52">
        <v>132.0</v>
      </c>
      <c r="G902" s="52">
        <v>2655500.0</v>
      </c>
      <c r="H902" s="52">
        <v>135110.0</v>
      </c>
    </row>
    <row r="903" ht="15.75" hidden="1" customHeight="1">
      <c r="A903" s="38" t="s">
        <v>92</v>
      </c>
      <c r="B903" s="38" t="s">
        <v>174</v>
      </c>
      <c r="C903" s="38" t="s">
        <v>1997</v>
      </c>
      <c r="D903" s="38" t="s">
        <v>312</v>
      </c>
      <c r="E903" s="38" t="s">
        <v>2001</v>
      </c>
      <c r="F903" s="52">
        <v>240.0</v>
      </c>
      <c r="G903" s="52">
        <v>3343300.0</v>
      </c>
      <c r="H903" s="52">
        <v>129640.0</v>
      </c>
    </row>
    <row r="904" ht="15.75" hidden="1" customHeight="1">
      <c r="A904" s="38" t="s">
        <v>92</v>
      </c>
      <c r="B904" s="38" t="s">
        <v>174</v>
      </c>
      <c r="C904" s="38" t="s">
        <v>1997</v>
      </c>
      <c r="D904" s="38" t="s">
        <v>312</v>
      </c>
      <c r="E904" s="38" t="s">
        <v>2004</v>
      </c>
      <c r="F904" s="52">
        <v>993.0</v>
      </c>
      <c r="G904" s="52">
        <v>2.88769E7</v>
      </c>
      <c r="H904" s="52">
        <v>226110.0</v>
      </c>
    </row>
    <row r="905" ht="15.75" hidden="1" customHeight="1">
      <c r="A905" s="38" t="s">
        <v>92</v>
      </c>
      <c r="B905" s="38" t="s">
        <v>174</v>
      </c>
      <c r="C905" s="38" t="s">
        <v>1997</v>
      </c>
      <c r="D905" s="38" t="s">
        <v>312</v>
      </c>
      <c r="E905" s="38" t="s">
        <v>2005</v>
      </c>
      <c r="F905" s="52">
        <v>22.0</v>
      </c>
      <c r="G905" s="52">
        <v>404000.0</v>
      </c>
      <c r="H905" s="52">
        <v>26680.0</v>
      </c>
    </row>
    <row r="906" ht="15.75" hidden="1" customHeight="1">
      <c r="A906" s="38" t="s">
        <v>92</v>
      </c>
      <c r="B906" s="38" t="s">
        <v>174</v>
      </c>
      <c r="C906" s="38" t="s">
        <v>713</v>
      </c>
      <c r="D906" s="38" t="s">
        <v>714</v>
      </c>
      <c r="E906" s="38" t="s">
        <v>2006</v>
      </c>
      <c r="F906" s="52">
        <v>1.0</v>
      </c>
      <c r="G906" s="52">
        <v>7900.0</v>
      </c>
      <c r="H906" s="52" t="s">
        <v>1800</v>
      </c>
    </row>
    <row r="907" ht="15.75" hidden="1" customHeight="1">
      <c r="A907" s="38" t="s">
        <v>92</v>
      </c>
      <c r="B907" s="38" t="s">
        <v>186</v>
      </c>
      <c r="C907" s="38" t="s">
        <v>523</v>
      </c>
      <c r="D907" s="38" t="s">
        <v>524</v>
      </c>
      <c r="E907" s="38" t="s">
        <v>2007</v>
      </c>
      <c r="F907" s="52">
        <v>36.0</v>
      </c>
      <c r="G907" s="52">
        <v>1247400.0</v>
      </c>
      <c r="H907" s="52">
        <v>102820.0</v>
      </c>
    </row>
    <row r="908" ht="15.75" hidden="1" customHeight="1">
      <c r="A908" s="38" t="s">
        <v>92</v>
      </c>
      <c r="B908" s="38" t="s">
        <v>186</v>
      </c>
      <c r="C908" s="38" t="s">
        <v>523</v>
      </c>
      <c r="D908" s="38" t="s">
        <v>524</v>
      </c>
      <c r="E908" s="38" t="s">
        <v>2008</v>
      </c>
      <c r="F908" s="52" t="s">
        <v>1800</v>
      </c>
      <c r="G908" s="52" t="s">
        <v>1800</v>
      </c>
      <c r="H908" s="52" t="s">
        <v>1800</v>
      </c>
    </row>
    <row r="909" ht="15.75" hidden="1" customHeight="1">
      <c r="A909" s="38" t="s">
        <v>92</v>
      </c>
      <c r="B909" s="38" t="s">
        <v>186</v>
      </c>
      <c r="C909" s="38" t="s">
        <v>523</v>
      </c>
      <c r="D909" s="38" t="s">
        <v>524</v>
      </c>
      <c r="E909" s="38" t="s">
        <v>2009</v>
      </c>
      <c r="F909" s="52">
        <v>18.0</v>
      </c>
      <c r="G909" s="52">
        <v>310900.0</v>
      </c>
      <c r="H909" s="52">
        <v>54280.0</v>
      </c>
    </row>
    <row r="910" ht="15.75" hidden="1" customHeight="1">
      <c r="A910" s="38" t="s">
        <v>92</v>
      </c>
      <c r="B910" s="38" t="s">
        <v>186</v>
      </c>
      <c r="C910" s="38" t="s">
        <v>523</v>
      </c>
      <c r="D910" s="38" t="s">
        <v>524</v>
      </c>
      <c r="E910" s="38" t="s">
        <v>2010</v>
      </c>
      <c r="F910" s="52">
        <v>70.0</v>
      </c>
      <c r="G910" s="52">
        <v>1104100.0</v>
      </c>
      <c r="H910" s="52">
        <v>156830.0</v>
      </c>
    </row>
    <row r="911" ht="15.75" hidden="1" customHeight="1">
      <c r="A911" s="38" t="s">
        <v>92</v>
      </c>
      <c r="B911" s="38" t="s">
        <v>186</v>
      </c>
      <c r="C911" s="38" t="s">
        <v>523</v>
      </c>
      <c r="D911" s="38" t="s">
        <v>524</v>
      </c>
      <c r="E911" s="38" t="s">
        <v>2011</v>
      </c>
      <c r="F911" s="52">
        <v>12.0</v>
      </c>
      <c r="G911" s="52">
        <v>153000.0</v>
      </c>
      <c r="H911" s="52">
        <v>10800.0</v>
      </c>
    </row>
    <row r="912" ht="15.75" hidden="1" customHeight="1">
      <c r="A912" s="38" t="s">
        <v>92</v>
      </c>
      <c r="B912" s="38" t="s">
        <v>186</v>
      </c>
      <c r="C912" s="38" t="s">
        <v>523</v>
      </c>
      <c r="D912" s="38" t="s">
        <v>524</v>
      </c>
      <c r="E912" s="38" t="s">
        <v>2012</v>
      </c>
      <c r="F912" s="52">
        <v>14.0</v>
      </c>
      <c r="G912" s="52">
        <v>177300.0</v>
      </c>
      <c r="H912" s="52">
        <v>13620.0</v>
      </c>
    </row>
    <row r="913" ht="15.75" hidden="1" customHeight="1">
      <c r="A913" s="38" t="s">
        <v>92</v>
      </c>
      <c r="B913" s="38" t="s">
        <v>186</v>
      </c>
      <c r="C913" s="38" t="s">
        <v>523</v>
      </c>
      <c r="D913" s="38" t="s">
        <v>524</v>
      </c>
      <c r="E913" s="38" t="s">
        <v>2013</v>
      </c>
      <c r="F913" s="52">
        <v>46.0</v>
      </c>
      <c r="G913" s="52">
        <v>514800.0</v>
      </c>
      <c r="H913" s="52">
        <v>62980.0</v>
      </c>
    </row>
    <row r="914" ht="15.75" hidden="1" customHeight="1">
      <c r="A914" s="38" t="s">
        <v>92</v>
      </c>
      <c r="B914" s="38" t="s">
        <v>186</v>
      </c>
      <c r="C914" s="38" t="s">
        <v>523</v>
      </c>
      <c r="D914" s="38" t="s">
        <v>524</v>
      </c>
      <c r="E914" s="38" t="s">
        <v>2014</v>
      </c>
      <c r="F914" s="52">
        <v>3.0</v>
      </c>
      <c r="G914" s="52">
        <v>44400.0</v>
      </c>
      <c r="H914" s="52">
        <v>8880.0</v>
      </c>
    </row>
    <row r="915" ht="15.75" hidden="1" customHeight="1">
      <c r="A915" s="38" t="s">
        <v>92</v>
      </c>
      <c r="B915" s="38" t="s">
        <v>186</v>
      </c>
      <c r="C915" s="38" t="s">
        <v>523</v>
      </c>
      <c r="D915" s="38" t="s">
        <v>524</v>
      </c>
      <c r="E915" s="38" t="s">
        <v>2015</v>
      </c>
      <c r="F915" s="52">
        <v>32.0</v>
      </c>
      <c r="G915" s="52">
        <v>785600.0</v>
      </c>
      <c r="H915" s="52">
        <v>109200.0</v>
      </c>
    </row>
    <row r="916" ht="15.75" hidden="1" customHeight="1">
      <c r="A916" s="38" t="s">
        <v>92</v>
      </c>
      <c r="B916" s="38" t="s">
        <v>186</v>
      </c>
      <c r="C916" s="38" t="s">
        <v>523</v>
      </c>
      <c r="D916" s="38" t="s">
        <v>524</v>
      </c>
      <c r="E916" s="38" t="s">
        <v>2016</v>
      </c>
      <c r="F916" s="52">
        <v>27.0</v>
      </c>
      <c r="G916" s="52">
        <v>373820.0</v>
      </c>
      <c r="H916" s="52">
        <v>37500.0</v>
      </c>
    </row>
    <row r="917" ht="15.75" hidden="1" customHeight="1">
      <c r="A917" s="38" t="s">
        <v>92</v>
      </c>
      <c r="B917" s="38" t="s">
        <v>186</v>
      </c>
      <c r="C917" s="38" t="s">
        <v>523</v>
      </c>
      <c r="D917" s="38" t="s">
        <v>524</v>
      </c>
      <c r="E917" s="38" t="s">
        <v>2017</v>
      </c>
      <c r="F917" s="52">
        <v>11.0</v>
      </c>
      <c r="G917" s="52">
        <v>204700.0</v>
      </c>
      <c r="H917" s="52">
        <v>20410.0</v>
      </c>
    </row>
    <row r="918" ht="15.75" hidden="1" customHeight="1">
      <c r="A918" s="38" t="s">
        <v>92</v>
      </c>
      <c r="B918" s="38" t="s">
        <v>186</v>
      </c>
      <c r="C918" s="38" t="s">
        <v>523</v>
      </c>
      <c r="D918" s="38" t="s">
        <v>524</v>
      </c>
      <c r="E918" s="38" t="s">
        <v>2018</v>
      </c>
      <c r="F918" s="52">
        <v>4.0</v>
      </c>
      <c r="G918" s="52">
        <v>75600.0</v>
      </c>
      <c r="H918" s="52">
        <v>7560.0</v>
      </c>
    </row>
    <row r="919" ht="15.75" hidden="1" customHeight="1">
      <c r="A919" s="38" t="s">
        <v>92</v>
      </c>
      <c r="B919" s="38" t="s">
        <v>117</v>
      </c>
      <c r="C919" s="38" t="s">
        <v>383</v>
      </c>
      <c r="D919" s="38" t="s">
        <v>384</v>
      </c>
      <c r="E919" s="38" t="s">
        <v>2019</v>
      </c>
      <c r="F919" s="52">
        <v>2.0</v>
      </c>
      <c r="G919" s="52">
        <v>96200.0</v>
      </c>
      <c r="H919" s="52" t="s">
        <v>1800</v>
      </c>
    </row>
    <row r="920" ht="15.75" hidden="1" customHeight="1">
      <c r="A920" s="38" t="s">
        <v>92</v>
      </c>
      <c r="B920" s="38" t="s">
        <v>186</v>
      </c>
      <c r="C920" s="38" t="s">
        <v>383</v>
      </c>
      <c r="D920" s="38" t="s">
        <v>384</v>
      </c>
      <c r="E920" s="38" t="s">
        <v>2020</v>
      </c>
      <c r="F920" s="52">
        <v>124.0</v>
      </c>
      <c r="G920" s="52">
        <v>3454000.0</v>
      </c>
      <c r="H920" s="52">
        <v>285800.0</v>
      </c>
    </row>
    <row r="921" ht="15.75" hidden="1" customHeight="1">
      <c r="A921" s="38" t="s">
        <v>92</v>
      </c>
      <c r="B921" s="38" t="s">
        <v>186</v>
      </c>
      <c r="C921" s="38" t="s">
        <v>383</v>
      </c>
      <c r="D921" s="38" t="s">
        <v>384</v>
      </c>
      <c r="E921" s="38" t="s">
        <v>2021</v>
      </c>
      <c r="F921" s="52">
        <v>29.0</v>
      </c>
      <c r="G921" s="52">
        <v>928200.0</v>
      </c>
      <c r="H921" s="52">
        <v>70600.0</v>
      </c>
    </row>
    <row r="922" ht="15.75" hidden="1" customHeight="1">
      <c r="A922" s="38" t="s">
        <v>92</v>
      </c>
      <c r="B922" s="38" t="s">
        <v>186</v>
      </c>
      <c r="C922" s="38" t="s">
        <v>383</v>
      </c>
      <c r="D922" s="38" t="s">
        <v>384</v>
      </c>
      <c r="E922" s="38" t="s">
        <v>2022</v>
      </c>
      <c r="F922" s="52" t="s">
        <v>1800</v>
      </c>
      <c r="G922" s="52" t="s">
        <v>1800</v>
      </c>
      <c r="H922" s="52" t="s">
        <v>1800</v>
      </c>
    </row>
    <row r="923" ht="15.75" hidden="1" customHeight="1">
      <c r="A923" s="38" t="s">
        <v>92</v>
      </c>
      <c r="B923" s="38" t="s">
        <v>186</v>
      </c>
      <c r="C923" s="38" t="s">
        <v>383</v>
      </c>
      <c r="D923" s="38" t="s">
        <v>384</v>
      </c>
      <c r="E923" s="38" t="s">
        <v>2023</v>
      </c>
      <c r="F923" s="52">
        <v>2.0</v>
      </c>
      <c r="G923" s="52">
        <v>62400.0</v>
      </c>
      <c r="H923" s="52" t="s">
        <v>1800</v>
      </c>
    </row>
    <row r="924" ht="15.75" hidden="1" customHeight="1">
      <c r="A924" s="38" t="s">
        <v>92</v>
      </c>
      <c r="B924" s="38" t="s">
        <v>186</v>
      </c>
      <c r="C924" s="38" t="s">
        <v>383</v>
      </c>
      <c r="D924" s="38" t="s">
        <v>384</v>
      </c>
      <c r="E924" s="38" t="s">
        <v>2024</v>
      </c>
      <c r="F924" s="52" t="s">
        <v>1800</v>
      </c>
      <c r="G924" s="52" t="s">
        <v>1800</v>
      </c>
      <c r="H924" s="52" t="s">
        <v>1800</v>
      </c>
    </row>
    <row r="925" ht="15.75" hidden="1" customHeight="1">
      <c r="A925" s="38" t="s">
        <v>92</v>
      </c>
      <c r="B925" s="38" t="s">
        <v>117</v>
      </c>
      <c r="C925" s="38" t="s">
        <v>383</v>
      </c>
      <c r="D925" s="38" t="s">
        <v>384</v>
      </c>
      <c r="E925" s="38" t="s">
        <v>2025</v>
      </c>
      <c r="F925" s="52" t="s">
        <v>1800</v>
      </c>
      <c r="G925" s="52" t="s">
        <v>1800</v>
      </c>
      <c r="H925" s="52" t="s">
        <v>1800</v>
      </c>
    </row>
    <row r="926" ht="15.75" hidden="1" customHeight="1">
      <c r="A926" s="38" t="s">
        <v>92</v>
      </c>
      <c r="B926" s="38" t="s">
        <v>117</v>
      </c>
      <c r="C926" s="38" t="s">
        <v>383</v>
      </c>
      <c r="D926" s="38" t="s">
        <v>384</v>
      </c>
      <c r="E926" s="38" t="s">
        <v>2026</v>
      </c>
      <c r="F926" s="52" t="s">
        <v>1800</v>
      </c>
      <c r="G926" s="52" t="s">
        <v>1800</v>
      </c>
      <c r="H926" s="52" t="s">
        <v>1800</v>
      </c>
    </row>
    <row r="927" ht="15.75" hidden="1" customHeight="1">
      <c r="A927" s="38" t="s">
        <v>92</v>
      </c>
      <c r="B927" s="38" t="s">
        <v>117</v>
      </c>
      <c r="C927" s="38" t="s">
        <v>383</v>
      </c>
      <c r="D927" s="38" t="s">
        <v>384</v>
      </c>
      <c r="E927" s="38" t="s">
        <v>2027</v>
      </c>
      <c r="F927" s="52" t="s">
        <v>1800</v>
      </c>
      <c r="G927" s="52" t="s">
        <v>1800</v>
      </c>
      <c r="H927" s="52" t="s">
        <v>1800</v>
      </c>
    </row>
    <row r="928" ht="15.75" hidden="1" customHeight="1">
      <c r="A928" s="38" t="s">
        <v>92</v>
      </c>
      <c r="B928" s="38" t="s">
        <v>117</v>
      </c>
      <c r="C928" s="38" t="s">
        <v>383</v>
      </c>
      <c r="D928" s="38" t="s">
        <v>384</v>
      </c>
      <c r="E928" s="38" t="s">
        <v>2028</v>
      </c>
      <c r="F928" s="52" t="s">
        <v>1800</v>
      </c>
      <c r="G928" s="52" t="s">
        <v>1800</v>
      </c>
      <c r="H928" s="52" t="s">
        <v>1800</v>
      </c>
    </row>
    <row r="929" ht="15.75" hidden="1" customHeight="1">
      <c r="A929" s="38" t="s">
        <v>92</v>
      </c>
      <c r="B929" s="38" t="s">
        <v>117</v>
      </c>
      <c r="C929" s="38" t="s">
        <v>2029</v>
      </c>
      <c r="D929" s="38" t="s">
        <v>106</v>
      </c>
      <c r="E929" s="38" t="s">
        <v>2030</v>
      </c>
      <c r="F929" s="52">
        <v>113.0</v>
      </c>
      <c r="G929" s="52">
        <v>3133500.0</v>
      </c>
      <c r="H929" s="52">
        <v>260400.0</v>
      </c>
    </row>
    <row r="930" ht="15.75" hidden="1" customHeight="1">
      <c r="A930" s="38" t="s">
        <v>92</v>
      </c>
      <c r="B930" s="38" t="s">
        <v>117</v>
      </c>
      <c r="C930" s="38" t="s">
        <v>290</v>
      </c>
      <c r="D930" s="38" t="s">
        <v>291</v>
      </c>
      <c r="E930" s="38" t="s">
        <v>2031</v>
      </c>
      <c r="F930" s="52">
        <v>14126.0</v>
      </c>
      <c r="G930" s="52">
        <v>1.325594E8</v>
      </c>
      <c r="H930" s="52">
        <v>2712610.0</v>
      </c>
    </row>
    <row r="931" ht="15.75" hidden="1" customHeight="1">
      <c r="A931" s="38" t="s">
        <v>92</v>
      </c>
      <c r="B931" s="38" t="s">
        <v>117</v>
      </c>
      <c r="C931" s="38" t="s">
        <v>290</v>
      </c>
      <c r="D931" s="38" t="s">
        <v>291</v>
      </c>
      <c r="E931" s="38" t="s">
        <v>2032</v>
      </c>
      <c r="F931" s="52">
        <v>3939.0</v>
      </c>
      <c r="G931" s="52">
        <v>1.38691E8</v>
      </c>
      <c r="H931" s="52">
        <v>1760920.0</v>
      </c>
    </row>
    <row r="932" ht="15.75" hidden="1" customHeight="1">
      <c r="A932" s="38" t="s">
        <v>92</v>
      </c>
      <c r="B932" s="38" t="s">
        <v>117</v>
      </c>
      <c r="C932" s="38" t="s">
        <v>325</v>
      </c>
      <c r="D932" s="38" t="s">
        <v>326</v>
      </c>
      <c r="E932" s="38" t="s">
        <v>2033</v>
      </c>
      <c r="F932" s="52">
        <v>195.0</v>
      </c>
      <c r="G932" s="52">
        <v>2202000.0</v>
      </c>
      <c r="H932" s="52">
        <v>72390.0</v>
      </c>
    </row>
    <row r="933" ht="15.75" hidden="1" customHeight="1">
      <c r="A933" s="38" t="s">
        <v>92</v>
      </c>
      <c r="B933" s="38" t="s">
        <v>117</v>
      </c>
      <c r="C933" s="38" t="s">
        <v>325</v>
      </c>
      <c r="D933" s="38" t="s">
        <v>326</v>
      </c>
      <c r="E933" s="38" t="s">
        <v>2034</v>
      </c>
      <c r="F933" s="52">
        <v>582.0</v>
      </c>
      <c r="G933" s="52">
        <v>1.21653E7</v>
      </c>
      <c r="H933" s="52">
        <v>322200.0</v>
      </c>
    </row>
    <row r="934" ht="15.75" hidden="1" customHeight="1">
      <c r="A934" s="38" t="s">
        <v>92</v>
      </c>
      <c r="B934" s="38" t="s">
        <v>186</v>
      </c>
      <c r="C934" s="38" t="s">
        <v>579</v>
      </c>
      <c r="D934" s="38" t="s">
        <v>580</v>
      </c>
      <c r="E934" s="38" t="s">
        <v>2035</v>
      </c>
      <c r="F934" s="52">
        <v>67.0</v>
      </c>
      <c r="G934" s="52">
        <v>1124600.0</v>
      </c>
      <c r="H934" s="52">
        <v>70540.0</v>
      </c>
    </row>
    <row r="935" ht="15.75" hidden="1" customHeight="1">
      <c r="A935" s="38" t="s">
        <v>92</v>
      </c>
      <c r="B935" s="38" t="s">
        <v>186</v>
      </c>
      <c r="C935" s="38" t="s">
        <v>488</v>
      </c>
      <c r="D935" s="38" t="s">
        <v>489</v>
      </c>
      <c r="E935" s="38" t="s">
        <v>2036</v>
      </c>
      <c r="F935" s="52">
        <v>64.0</v>
      </c>
      <c r="G935" s="52">
        <v>1376000.0</v>
      </c>
      <c r="H935" s="52">
        <v>72800.0</v>
      </c>
    </row>
    <row r="936" ht="15.75" hidden="1" customHeight="1">
      <c r="A936" s="38" t="s">
        <v>92</v>
      </c>
      <c r="B936" s="38" t="s">
        <v>186</v>
      </c>
      <c r="C936" s="38" t="s">
        <v>2039</v>
      </c>
      <c r="D936" s="38" t="s">
        <v>305</v>
      </c>
      <c r="E936" s="38" t="s">
        <v>2040</v>
      </c>
      <c r="F936" s="52">
        <v>6113.0</v>
      </c>
      <c r="G936" s="52">
        <v>1.3047152E8</v>
      </c>
      <c r="H936" s="52">
        <v>3445770.0</v>
      </c>
    </row>
    <row r="937" ht="15.75" hidden="1" customHeight="1">
      <c r="A937" s="38" t="s">
        <v>92</v>
      </c>
      <c r="B937" s="38" t="s">
        <v>186</v>
      </c>
      <c r="C937" s="38" t="s">
        <v>2039</v>
      </c>
      <c r="D937" s="38" t="s">
        <v>305</v>
      </c>
      <c r="E937" s="38" t="s">
        <v>2041</v>
      </c>
      <c r="F937" s="52">
        <v>512.0</v>
      </c>
      <c r="G937" s="52">
        <v>5664420.0</v>
      </c>
      <c r="H937" s="52">
        <v>115990.0</v>
      </c>
    </row>
    <row r="938" ht="15.75" hidden="1" customHeight="1">
      <c r="A938" s="38" t="s">
        <v>92</v>
      </c>
      <c r="B938" s="38" t="s">
        <v>186</v>
      </c>
      <c r="C938" s="38" t="s">
        <v>2039</v>
      </c>
      <c r="D938" s="38" t="s">
        <v>305</v>
      </c>
      <c r="E938" s="38" t="s">
        <v>2042</v>
      </c>
      <c r="F938" s="52">
        <v>1279.0</v>
      </c>
      <c r="G938" s="52">
        <v>1.611585E7</v>
      </c>
      <c r="H938" s="52">
        <v>393820.0</v>
      </c>
    </row>
    <row r="939" ht="15.75" hidden="1" customHeight="1">
      <c r="A939" s="38" t="s">
        <v>92</v>
      </c>
      <c r="B939" s="38" t="s">
        <v>186</v>
      </c>
      <c r="C939" s="38" t="s">
        <v>2039</v>
      </c>
      <c r="D939" s="38" t="s">
        <v>305</v>
      </c>
      <c r="E939" s="38" t="s">
        <v>2043</v>
      </c>
      <c r="F939" s="52">
        <v>269.0</v>
      </c>
      <c r="G939" s="52">
        <v>2993180.0</v>
      </c>
      <c r="H939" s="52">
        <v>60800.0</v>
      </c>
    </row>
    <row r="940" ht="15.75" hidden="1" customHeight="1">
      <c r="A940" s="38" t="s">
        <v>92</v>
      </c>
      <c r="B940" s="38" t="s">
        <v>186</v>
      </c>
      <c r="C940" s="38" t="s">
        <v>2039</v>
      </c>
      <c r="D940" s="38" t="s">
        <v>305</v>
      </c>
      <c r="E940" s="38" t="s">
        <v>2044</v>
      </c>
      <c r="F940" s="52">
        <v>50.0</v>
      </c>
      <c r="G940" s="52">
        <v>768070.0</v>
      </c>
      <c r="H940" s="52">
        <v>12540.0</v>
      </c>
    </row>
    <row r="941" ht="15.75" hidden="1" customHeight="1">
      <c r="A941" s="38" t="s">
        <v>92</v>
      </c>
      <c r="B941" s="38" t="s">
        <v>186</v>
      </c>
      <c r="C941" s="38" t="s">
        <v>2039</v>
      </c>
      <c r="D941" s="38" t="s">
        <v>305</v>
      </c>
      <c r="E941" s="38" t="s">
        <v>2045</v>
      </c>
      <c r="F941" s="52">
        <v>630.0</v>
      </c>
      <c r="G941" s="52">
        <v>7074040.0</v>
      </c>
      <c r="H941" s="52">
        <v>85360.0</v>
      </c>
    </row>
    <row r="942" ht="15.75" hidden="1" customHeight="1">
      <c r="A942" s="38" t="s">
        <v>92</v>
      </c>
      <c r="B942" s="38" t="s">
        <v>186</v>
      </c>
      <c r="C942" s="38" t="s">
        <v>2039</v>
      </c>
      <c r="D942" s="38" t="s">
        <v>305</v>
      </c>
      <c r="E942" s="38" t="s">
        <v>2046</v>
      </c>
      <c r="F942" s="52">
        <v>2269.0</v>
      </c>
      <c r="G942" s="52">
        <v>3.946954E7</v>
      </c>
      <c r="H942" s="52">
        <v>454020.0</v>
      </c>
    </row>
    <row r="943" ht="15.75" hidden="1" customHeight="1">
      <c r="A943" s="38" t="s">
        <v>92</v>
      </c>
      <c r="B943" s="38" t="s">
        <v>186</v>
      </c>
      <c r="C943" s="38" t="s">
        <v>253</v>
      </c>
      <c r="D943" s="38" t="s">
        <v>252</v>
      </c>
      <c r="E943" s="38" t="s">
        <v>2047</v>
      </c>
      <c r="F943" s="52">
        <v>399.0</v>
      </c>
      <c r="G943" s="52">
        <v>1.2825E7</v>
      </c>
      <c r="H943" s="52">
        <v>814000.0</v>
      </c>
    </row>
    <row r="944" ht="15.75" hidden="1" customHeight="1">
      <c r="A944" s="38" t="s">
        <v>92</v>
      </c>
      <c r="B944" s="38" t="s">
        <v>186</v>
      </c>
      <c r="C944" s="38" t="s">
        <v>253</v>
      </c>
      <c r="D944" s="38" t="s">
        <v>252</v>
      </c>
      <c r="E944" s="38" t="s">
        <v>2048</v>
      </c>
      <c r="F944" s="52">
        <v>22.0</v>
      </c>
      <c r="G944" s="52">
        <v>2112000.0</v>
      </c>
      <c r="H944" s="52">
        <v>80000.0</v>
      </c>
    </row>
    <row r="945" ht="15.75" hidden="1" customHeight="1">
      <c r="A945" s="38" t="s">
        <v>92</v>
      </c>
      <c r="B945" s="38" t="s">
        <v>186</v>
      </c>
      <c r="C945" s="38" t="s">
        <v>253</v>
      </c>
      <c r="D945" s="38" t="s">
        <v>252</v>
      </c>
      <c r="E945" s="38" t="s">
        <v>2049</v>
      </c>
      <c r="F945" s="52">
        <v>12.0</v>
      </c>
      <c r="G945" s="52">
        <v>2208000.0</v>
      </c>
      <c r="H945" s="52">
        <v>40000.0</v>
      </c>
    </row>
    <row r="946" ht="15.75" hidden="1" customHeight="1">
      <c r="A946" s="38" t="s">
        <v>92</v>
      </c>
      <c r="B946" s="38" t="s">
        <v>186</v>
      </c>
      <c r="C946" s="38" t="s">
        <v>253</v>
      </c>
      <c r="D946" s="38" t="s">
        <v>252</v>
      </c>
      <c r="E946" s="38" t="s">
        <v>2050</v>
      </c>
      <c r="F946" s="52">
        <v>1.0</v>
      </c>
      <c r="G946" s="52">
        <v>108000.0</v>
      </c>
      <c r="H946" s="52">
        <v>10000.0</v>
      </c>
    </row>
    <row r="947" ht="15.75" hidden="1" customHeight="1">
      <c r="A947" s="38" t="s">
        <v>92</v>
      </c>
      <c r="B947" s="38" t="s">
        <v>186</v>
      </c>
      <c r="C947" s="38" t="s">
        <v>253</v>
      </c>
      <c r="D947" s="38" t="s">
        <v>252</v>
      </c>
      <c r="E947" s="38" t="s">
        <v>2051</v>
      </c>
      <c r="F947" s="52">
        <v>42.0</v>
      </c>
      <c r="G947" s="52">
        <v>1000000.0</v>
      </c>
      <c r="H947" s="52">
        <v>91800.0</v>
      </c>
    </row>
    <row r="948" ht="15.75" hidden="1" customHeight="1">
      <c r="A948" s="38" t="s">
        <v>92</v>
      </c>
      <c r="B948" s="38" t="s">
        <v>186</v>
      </c>
      <c r="C948" s="38" t="s">
        <v>253</v>
      </c>
      <c r="D948" s="38" t="s">
        <v>252</v>
      </c>
      <c r="E948" s="38" t="s">
        <v>2052</v>
      </c>
      <c r="F948" s="52">
        <v>4.0</v>
      </c>
      <c r="G948" s="52">
        <v>304000.0</v>
      </c>
      <c r="H948" s="52">
        <v>30000.0</v>
      </c>
    </row>
    <row r="949" ht="15.75" hidden="1" customHeight="1">
      <c r="A949" s="38" t="s">
        <v>92</v>
      </c>
      <c r="B949" s="38" t="s">
        <v>174</v>
      </c>
      <c r="C949" s="38" t="s">
        <v>373</v>
      </c>
      <c r="D949" s="38" t="s">
        <v>374</v>
      </c>
      <c r="E949" s="38" t="s">
        <v>2053</v>
      </c>
      <c r="F949" s="52">
        <v>7.0</v>
      </c>
      <c r="G949" s="52">
        <v>202000.0</v>
      </c>
      <c r="H949" s="52">
        <v>35820.0</v>
      </c>
    </row>
    <row r="950" ht="15.75" hidden="1" customHeight="1">
      <c r="A950" s="38" t="s">
        <v>92</v>
      </c>
      <c r="B950" s="38" t="s">
        <v>174</v>
      </c>
      <c r="C950" s="38" t="s">
        <v>373</v>
      </c>
      <c r="D950" s="38" t="s">
        <v>374</v>
      </c>
      <c r="E950" s="38" t="s">
        <v>2054</v>
      </c>
      <c r="F950" s="52">
        <v>26.0</v>
      </c>
      <c r="G950" s="52">
        <v>366800.0</v>
      </c>
      <c r="H950" s="52">
        <v>62870.0</v>
      </c>
    </row>
    <row r="951" ht="15.75" hidden="1" customHeight="1">
      <c r="A951" s="38" t="s">
        <v>92</v>
      </c>
      <c r="B951" s="38" t="s">
        <v>174</v>
      </c>
      <c r="C951" s="38" t="s">
        <v>373</v>
      </c>
      <c r="D951" s="38" t="s">
        <v>374</v>
      </c>
      <c r="E951" s="38" t="s">
        <v>2055</v>
      </c>
      <c r="F951" s="52">
        <v>7.0</v>
      </c>
      <c r="G951" s="52">
        <v>178220.0</v>
      </c>
      <c r="H951" s="52">
        <v>22010.0</v>
      </c>
    </row>
    <row r="952" ht="15.75" hidden="1" customHeight="1">
      <c r="A952" s="38" t="s">
        <v>92</v>
      </c>
      <c r="B952" s="38" t="s">
        <v>174</v>
      </c>
      <c r="C952" s="38" t="s">
        <v>373</v>
      </c>
      <c r="D952" s="38" t="s">
        <v>374</v>
      </c>
      <c r="E952" s="38" t="s">
        <v>2056</v>
      </c>
      <c r="F952" s="52">
        <v>27.0</v>
      </c>
      <c r="G952" s="52">
        <v>768300.0</v>
      </c>
      <c r="H952" s="52">
        <v>77280.0</v>
      </c>
    </row>
    <row r="953" ht="15.75" hidden="1" customHeight="1">
      <c r="A953" s="38" t="s">
        <v>92</v>
      </c>
      <c r="B953" s="38" t="s">
        <v>174</v>
      </c>
      <c r="C953" s="38" t="s">
        <v>373</v>
      </c>
      <c r="D953" s="38" t="s">
        <v>374</v>
      </c>
      <c r="E953" s="38" t="s">
        <v>2057</v>
      </c>
      <c r="F953" s="52">
        <v>6.0</v>
      </c>
      <c r="G953" s="52">
        <v>126900.0</v>
      </c>
      <c r="H953" s="52">
        <v>25380.0</v>
      </c>
    </row>
    <row r="954" ht="15.75" hidden="1" customHeight="1">
      <c r="A954" s="38" t="s">
        <v>92</v>
      </c>
      <c r="B954" s="38" t="s">
        <v>174</v>
      </c>
      <c r="C954" s="38" t="s">
        <v>373</v>
      </c>
      <c r="D954" s="38" t="s">
        <v>374</v>
      </c>
      <c r="E954" s="38" t="s">
        <v>2058</v>
      </c>
      <c r="F954" s="52">
        <v>1.0</v>
      </c>
      <c r="G954" s="52">
        <v>22500.0</v>
      </c>
      <c r="H954" s="52">
        <v>4500.0</v>
      </c>
    </row>
    <row r="955" ht="15.75" hidden="1" customHeight="1">
      <c r="A955" s="38" t="s">
        <v>92</v>
      </c>
      <c r="B955" s="38" t="s">
        <v>174</v>
      </c>
      <c r="C955" s="38" t="s">
        <v>373</v>
      </c>
      <c r="D955" s="38" t="s">
        <v>374</v>
      </c>
      <c r="E955" s="38" t="s">
        <v>2059</v>
      </c>
      <c r="F955" s="52">
        <v>6.0</v>
      </c>
      <c r="G955" s="52">
        <v>96300.0</v>
      </c>
      <c r="H955" s="52">
        <v>2140.0</v>
      </c>
    </row>
    <row r="956" ht="15.75" hidden="1" customHeight="1">
      <c r="A956" s="38" t="s">
        <v>92</v>
      </c>
      <c r="B956" s="38" t="s">
        <v>174</v>
      </c>
      <c r="C956" s="38" t="s">
        <v>373</v>
      </c>
      <c r="D956" s="38" t="s">
        <v>374</v>
      </c>
      <c r="E956" s="38" t="s">
        <v>2060</v>
      </c>
      <c r="F956" s="52">
        <v>6.0</v>
      </c>
      <c r="G956" s="52">
        <v>92100.0</v>
      </c>
      <c r="H956" s="52">
        <v>9060.0</v>
      </c>
    </row>
    <row r="957" ht="15.75" hidden="1" customHeight="1">
      <c r="A957" s="38" t="s">
        <v>92</v>
      </c>
      <c r="B957" s="38" t="s">
        <v>174</v>
      </c>
      <c r="C957" s="38" t="s">
        <v>373</v>
      </c>
      <c r="D957" s="38" t="s">
        <v>374</v>
      </c>
      <c r="E957" s="38" t="s">
        <v>2061</v>
      </c>
      <c r="F957" s="52">
        <v>3.0</v>
      </c>
      <c r="G957" s="52">
        <v>47900.0</v>
      </c>
      <c r="H957" s="52" t="s">
        <v>1800</v>
      </c>
    </row>
    <row r="958" ht="15.75" hidden="1" customHeight="1">
      <c r="A958" s="38" t="s">
        <v>92</v>
      </c>
      <c r="B958" s="38" t="s">
        <v>174</v>
      </c>
      <c r="C958" s="38" t="s">
        <v>373</v>
      </c>
      <c r="D958" s="38" t="s">
        <v>374</v>
      </c>
      <c r="E958" s="38" t="s">
        <v>2062</v>
      </c>
      <c r="F958" s="52">
        <v>16.0</v>
      </c>
      <c r="G958" s="52">
        <v>273200.0</v>
      </c>
      <c r="H958" s="52">
        <v>15000.0</v>
      </c>
    </row>
    <row r="959" ht="15.75" hidden="1" customHeight="1">
      <c r="A959" s="38" t="s">
        <v>92</v>
      </c>
      <c r="B959" s="38" t="s">
        <v>174</v>
      </c>
      <c r="C959" s="38" t="s">
        <v>373</v>
      </c>
      <c r="D959" s="38" t="s">
        <v>374</v>
      </c>
      <c r="E959" s="38" t="s">
        <v>2063</v>
      </c>
      <c r="F959" s="52">
        <v>0.0</v>
      </c>
      <c r="G959" s="52" t="s">
        <v>1800</v>
      </c>
      <c r="H959" s="52" t="s">
        <v>1800</v>
      </c>
    </row>
    <row r="960" ht="15.75" hidden="1" customHeight="1">
      <c r="A960" s="38" t="s">
        <v>92</v>
      </c>
      <c r="B960" s="38" t="s">
        <v>174</v>
      </c>
      <c r="C960" s="38" t="s">
        <v>373</v>
      </c>
      <c r="D960" s="38" t="s">
        <v>374</v>
      </c>
      <c r="E960" s="38" t="s">
        <v>2064</v>
      </c>
      <c r="F960" s="52">
        <v>0.0</v>
      </c>
      <c r="G960" s="52" t="s">
        <v>1800</v>
      </c>
      <c r="H960" s="52" t="s">
        <v>1800</v>
      </c>
    </row>
    <row r="961" ht="15.75" hidden="1" customHeight="1">
      <c r="A961" s="38" t="s">
        <v>92</v>
      </c>
      <c r="B961" s="38" t="s">
        <v>174</v>
      </c>
      <c r="C961" s="38" t="s">
        <v>373</v>
      </c>
      <c r="D961" s="38" t="s">
        <v>374</v>
      </c>
      <c r="E961" s="38" t="s">
        <v>2065</v>
      </c>
      <c r="F961" s="52">
        <v>1.0</v>
      </c>
      <c r="G961" s="52">
        <v>110350.0</v>
      </c>
      <c r="H961" s="52">
        <v>10000.0</v>
      </c>
    </row>
    <row r="962" ht="15.75" hidden="1" customHeight="1">
      <c r="A962" s="38" t="s">
        <v>92</v>
      </c>
      <c r="B962" s="38" t="s">
        <v>174</v>
      </c>
      <c r="C962" s="38" t="s">
        <v>373</v>
      </c>
      <c r="D962" s="38" t="s">
        <v>374</v>
      </c>
      <c r="E962" s="38" t="s">
        <v>2066</v>
      </c>
      <c r="F962" s="52">
        <v>1.0</v>
      </c>
      <c r="G962" s="52">
        <v>81720.0</v>
      </c>
      <c r="H962" s="52">
        <v>10000.0</v>
      </c>
    </row>
    <row r="963" ht="15.75" hidden="1" customHeight="1">
      <c r="A963" s="38" t="s">
        <v>92</v>
      </c>
      <c r="B963" s="38" t="s">
        <v>174</v>
      </c>
      <c r="C963" s="38" t="s">
        <v>373</v>
      </c>
      <c r="D963" s="38" t="s">
        <v>374</v>
      </c>
      <c r="E963" s="38" t="s">
        <v>2067</v>
      </c>
      <c r="F963" s="52">
        <v>14.0</v>
      </c>
      <c r="G963" s="52">
        <v>909980.0</v>
      </c>
      <c r="H963" s="52">
        <v>63000.0</v>
      </c>
    </row>
    <row r="964" ht="15.75" hidden="1" customHeight="1">
      <c r="A964" s="38" t="s">
        <v>92</v>
      </c>
      <c r="B964" s="38" t="s">
        <v>174</v>
      </c>
      <c r="C964" s="38" t="s">
        <v>373</v>
      </c>
      <c r="D964" s="38" t="s">
        <v>374</v>
      </c>
      <c r="E964" s="38" t="s">
        <v>2068</v>
      </c>
      <c r="F964" s="52">
        <v>5.0</v>
      </c>
      <c r="G964" s="52">
        <v>334100.0</v>
      </c>
      <c r="H964" s="52">
        <v>9210.0</v>
      </c>
    </row>
    <row r="965" ht="15.75" hidden="1" customHeight="1">
      <c r="A965" s="38" t="s">
        <v>92</v>
      </c>
      <c r="B965" s="38" t="s">
        <v>174</v>
      </c>
      <c r="C965" s="38" t="s">
        <v>373</v>
      </c>
      <c r="D965" s="38" t="s">
        <v>374</v>
      </c>
      <c r="E965" s="38" t="s">
        <v>2069</v>
      </c>
      <c r="F965" s="52">
        <v>0.0</v>
      </c>
      <c r="G965" s="52" t="s">
        <v>1800</v>
      </c>
      <c r="H965" s="52" t="s">
        <v>1800</v>
      </c>
    </row>
    <row r="966" ht="15.75" hidden="1" customHeight="1">
      <c r="A966" s="38" t="s">
        <v>92</v>
      </c>
      <c r="B966" s="38" t="s">
        <v>174</v>
      </c>
      <c r="C966" s="38" t="s">
        <v>373</v>
      </c>
      <c r="D966" s="38" t="s">
        <v>374</v>
      </c>
      <c r="E966" s="38" t="s">
        <v>2070</v>
      </c>
      <c r="F966" s="52">
        <v>7.0</v>
      </c>
      <c r="G966" s="52">
        <v>520920.0</v>
      </c>
      <c r="H966" s="52">
        <v>50000.0</v>
      </c>
    </row>
    <row r="967" ht="15.75" hidden="1" customHeight="1">
      <c r="A967" s="38" t="s">
        <v>92</v>
      </c>
      <c r="B967" s="38" t="s">
        <v>174</v>
      </c>
      <c r="C967" s="38" t="s">
        <v>373</v>
      </c>
      <c r="D967" s="38" t="s">
        <v>374</v>
      </c>
      <c r="E967" s="38" t="s">
        <v>2071</v>
      </c>
      <c r="F967" s="52">
        <v>1.0</v>
      </c>
      <c r="G967" s="52">
        <v>35600.0</v>
      </c>
      <c r="H967" s="52" t="s">
        <v>1800</v>
      </c>
    </row>
    <row r="968" ht="15.75" hidden="1" customHeight="1">
      <c r="A968" s="38" t="s">
        <v>92</v>
      </c>
      <c r="B968" s="38" t="s">
        <v>174</v>
      </c>
      <c r="C968" s="38" t="s">
        <v>373</v>
      </c>
      <c r="D968" s="38" t="s">
        <v>374</v>
      </c>
      <c r="E968" s="38" t="s">
        <v>2072</v>
      </c>
      <c r="F968" s="52">
        <v>0.0</v>
      </c>
      <c r="G968" s="52" t="s">
        <v>1800</v>
      </c>
      <c r="H968" s="52" t="s">
        <v>1800</v>
      </c>
    </row>
    <row r="969" ht="15.75" hidden="1" customHeight="1">
      <c r="A969" s="38" t="s">
        <v>92</v>
      </c>
      <c r="B969" s="38" t="s">
        <v>174</v>
      </c>
      <c r="C969" s="38" t="s">
        <v>373</v>
      </c>
      <c r="D969" s="38" t="s">
        <v>374</v>
      </c>
      <c r="E969" s="38" t="s">
        <v>2073</v>
      </c>
      <c r="F969" s="52">
        <v>2.0</v>
      </c>
      <c r="G969" s="52">
        <v>444600.0</v>
      </c>
      <c r="H969" s="52" t="s">
        <v>1800</v>
      </c>
    </row>
    <row r="970" ht="15.75" hidden="1" customHeight="1">
      <c r="A970" s="38" t="s">
        <v>92</v>
      </c>
      <c r="B970" s="38" t="s">
        <v>174</v>
      </c>
      <c r="C970" s="38" t="s">
        <v>373</v>
      </c>
      <c r="D970" s="38" t="s">
        <v>374</v>
      </c>
      <c r="E970" s="38" t="s">
        <v>2074</v>
      </c>
      <c r="F970" s="52">
        <v>0.0</v>
      </c>
      <c r="G970" s="52" t="s">
        <v>1800</v>
      </c>
      <c r="H970" s="52" t="s">
        <v>1800</v>
      </c>
    </row>
    <row r="971" ht="15.75" hidden="1" customHeight="1">
      <c r="A971" s="38" t="s">
        <v>92</v>
      </c>
      <c r="B971" s="38" t="s">
        <v>174</v>
      </c>
      <c r="C971" s="38" t="s">
        <v>373</v>
      </c>
      <c r="D971" s="38" t="s">
        <v>374</v>
      </c>
      <c r="E971" s="38" t="s">
        <v>2075</v>
      </c>
      <c r="F971" s="52">
        <v>1.0</v>
      </c>
      <c r="G971" s="52">
        <v>23580.0</v>
      </c>
      <c r="H971" s="52" t="s">
        <v>1800</v>
      </c>
    </row>
    <row r="972" ht="15.75" hidden="1" customHeight="1">
      <c r="A972" s="38" t="s">
        <v>92</v>
      </c>
      <c r="B972" s="38" t="s">
        <v>174</v>
      </c>
      <c r="C972" s="38" t="s">
        <v>373</v>
      </c>
      <c r="D972" s="38" t="s">
        <v>374</v>
      </c>
      <c r="E972" s="38" t="s">
        <v>2076</v>
      </c>
      <c r="F972" s="52">
        <v>6.0</v>
      </c>
      <c r="G972" s="52">
        <v>170400.0</v>
      </c>
      <c r="H972" s="52">
        <v>21320.0</v>
      </c>
    </row>
    <row r="973" ht="15.75" hidden="1" customHeight="1">
      <c r="A973" s="38" t="s">
        <v>92</v>
      </c>
      <c r="B973" s="38" t="s">
        <v>174</v>
      </c>
      <c r="C973" s="38" t="s">
        <v>373</v>
      </c>
      <c r="D973" s="38" t="s">
        <v>374</v>
      </c>
      <c r="E973" s="38" t="s">
        <v>2077</v>
      </c>
      <c r="F973" s="52">
        <v>0.0</v>
      </c>
      <c r="G973" s="52" t="s">
        <v>1800</v>
      </c>
      <c r="H973" s="52" t="s">
        <v>1800</v>
      </c>
    </row>
    <row r="974" ht="15.75" hidden="1" customHeight="1">
      <c r="A974" s="38" t="s">
        <v>92</v>
      </c>
      <c r="B974" s="38" t="s">
        <v>174</v>
      </c>
      <c r="C974" s="38" t="s">
        <v>373</v>
      </c>
      <c r="D974" s="38" t="s">
        <v>374</v>
      </c>
      <c r="E974" s="38" t="s">
        <v>2078</v>
      </c>
      <c r="F974" s="52">
        <v>2.0</v>
      </c>
      <c r="G974" s="52">
        <v>101800.0</v>
      </c>
      <c r="H974" s="52" t="s">
        <v>1800</v>
      </c>
    </row>
    <row r="975" ht="15.75" hidden="1" customHeight="1">
      <c r="A975" s="38" t="s">
        <v>92</v>
      </c>
      <c r="B975" s="38" t="s">
        <v>174</v>
      </c>
      <c r="C975" s="38" t="s">
        <v>373</v>
      </c>
      <c r="D975" s="38" t="s">
        <v>374</v>
      </c>
      <c r="E975" s="38" t="s">
        <v>2079</v>
      </c>
      <c r="F975" s="52">
        <v>24.0</v>
      </c>
      <c r="G975" s="52">
        <v>650200.0</v>
      </c>
      <c r="H975" s="52">
        <v>70440.0</v>
      </c>
    </row>
    <row r="976" ht="15.75" hidden="1" customHeight="1">
      <c r="A976" s="38" t="s">
        <v>92</v>
      </c>
      <c r="B976" s="38" t="s">
        <v>174</v>
      </c>
      <c r="C976" s="38" t="s">
        <v>299</v>
      </c>
      <c r="D976" s="38" t="s">
        <v>300</v>
      </c>
      <c r="E976" s="38" t="s">
        <v>2080</v>
      </c>
      <c r="F976" s="52">
        <v>1319.0</v>
      </c>
      <c r="G976" s="52">
        <v>9.26234E7</v>
      </c>
      <c r="H976" s="52">
        <v>4710400.0</v>
      </c>
    </row>
    <row r="977" ht="15.75" hidden="1" customHeight="1">
      <c r="A977" s="38" t="s">
        <v>92</v>
      </c>
      <c r="B977" s="38" t="s">
        <v>117</v>
      </c>
      <c r="C977" s="38" t="s">
        <v>354</v>
      </c>
      <c r="D977" s="38" t="s">
        <v>355</v>
      </c>
      <c r="E977" s="38" t="s">
        <v>2081</v>
      </c>
      <c r="F977" s="52">
        <v>113.0</v>
      </c>
      <c r="G977" s="52">
        <v>3883300.0</v>
      </c>
      <c r="H977" s="52">
        <v>251110.0</v>
      </c>
    </row>
    <row r="978" ht="15.75" hidden="1" customHeight="1">
      <c r="A978" s="38" t="s">
        <v>92</v>
      </c>
      <c r="B978" s="38" t="s">
        <v>117</v>
      </c>
      <c r="C978" s="38" t="s">
        <v>354</v>
      </c>
      <c r="D978" s="38" t="s">
        <v>355</v>
      </c>
      <c r="E978" s="38" t="s">
        <v>2082</v>
      </c>
      <c r="F978" s="52">
        <v>7.0</v>
      </c>
      <c r="G978" s="52">
        <v>173600.0</v>
      </c>
      <c r="H978" s="52" t="s">
        <v>1800</v>
      </c>
    </row>
    <row r="979" ht="15.75" hidden="1" customHeight="1">
      <c r="A979" s="38" t="s">
        <v>92</v>
      </c>
      <c r="B979" s="38" t="s">
        <v>117</v>
      </c>
      <c r="C979" s="38" t="s">
        <v>354</v>
      </c>
      <c r="D979" s="38" t="s">
        <v>355</v>
      </c>
      <c r="E979" s="38" t="s">
        <v>2083</v>
      </c>
      <c r="F979" s="52">
        <v>36.0</v>
      </c>
      <c r="G979" s="52">
        <v>775800.0</v>
      </c>
      <c r="H979" s="52">
        <v>87400.0</v>
      </c>
    </row>
    <row r="980" ht="15.75" hidden="1" customHeight="1">
      <c r="A980" s="38" t="s">
        <v>92</v>
      </c>
      <c r="B980" s="38" t="s">
        <v>174</v>
      </c>
      <c r="C980" s="38" t="s">
        <v>373</v>
      </c>
      <c r="D980" s="38" t="s">
        <v>374</v>
      </c>
      <c r="E980" s="38" t="s">
        <v>2084</v>
      </c>
      <c r="F980" s="52">
        <v>13.0</v>
      </c>
      <c r="G980" s="52">
        <v>812090.0</v>
      </c>
      <c r="H980" s="52">
        <v>31590.0</v>
      </c>
    </row>
    <row r="981" ht="15.75" hidden="1" customHeight="1">
      <c r="A981" s="38" t="s">
        <v>92</v>
      </c>
      <c r="B981" s="38" t="s">
        <v>174</v>
      </c>
      <c r="C981" s="38" t="s">
        <v>373</v>
      </c>
      <c r="D981" s="38" t="s">
        <v>374</v>
      </c>
      <c r="E981" s="38" t="s">
        <v>2085</v>
      </c>
      <c r="F981" s="52">
        <v>13.0</v>
      </c>
      <c r="G981" s="52">
        <v>898100.0</v>
      </c>
      <c r="H981" s="52">
        <v>84180.0</v>
      </c>
    </row>
    <row r="982" ht="15.75" hidden="1" customHeight="1">
      <c r="A982" s="38" t="s">
        <v>92</v>
      </c>
      <c r="B982" s="38" t="s">
        <v>174</v>
      </c>
      <c r="C982" s="38" t="s">
        <v>373</v>
      </c>
      <c r="D982" s="38" t="s">
        <v>374</v>
      </c>
      <c r="E982" s="38" t="s">
        <v>2086</v>
      </c>
      <c r="F982" s="52">
        <v>192.0</v>
      </c>
      <c r="G982" s="52">
        <v>6392250.0</v>
      </c>
      <c r="H982" s="52">
        <v>855880.0</v>
      </c>
    </row>
    <row r="983" ht="15.75" hidden="1" customHeight="1">
      <c r="A983" s="38" t="s">
        <v>92</v>
      </c>
      <c r="B983" s="38" t="s">
        <v>174</v>
      </c>
      <c r="C983" s="38" t="s">
        <v>373</v>
      </c>
      <c r="D983" s="38" t="s">
        <v>374</v>
      </c>
      <c r="E983" s="38" t="s">
        <v>2087</v>
      </c>
      <c r="F983" s="52">
        <v>17.0</v>
      </c>
      <c r="G983" s="52">
        <v>1142250.0</v>
      </c>
      <c r="H983" s="52">
        <v>120000.0</v>
      </c>
    </row>
    <row r="984" ht="15.75" hidden="1" customHeight="1">
      <c r="A984" s="38" t="s">
        <v>92</v>
      </c>
      <c r="B984" s="38" t="s">
        <v>174</v>
      </c>
      <c r="C984" s="38" t="s">
        <v>373</v>
      </c>
      <c r="D984" s="38" t="s">
        <v>374</v>
      </c>
      <c r="E984" s="38" t="s">
        <v>2088</v>
      </c>
      <c r="F984" s="52">
        <v>0.0</v>
      </c>
      <c r="G984" s="52" t="s">
        <v>1800</v>
      </c>
      <c r="H984" s="52" t="s">
        <v>1800</v>
      </c>
    </row>
    <row r="985" ht="15.75" hidden="1" customHeight="1">
      <c r="A985" s="38" t="s">
        <v>92</v>
      </c>
      <c r="B985" s="38" t="s">
        <v>174</v>
      </c>
      <c r="C985" s="38" t="s">
        <v>373</v>
      </c>
      <c r="D985" s="38" t="s">
        <v>374</v>
      </c>
      <c r="E985" s="38" t="s">
        <v>2089</v>
      </c>
      <c r="F985" s="52">
        <v>1.0</v>
      </c>
      <c r="G985" s="52">
        <v>27230.0</v>
      </c>
      <c r="H985" s="52" t="s">
        <v>1800</v>
      </c>
    </row>
    <row r="986" ht="15.75" hidden="1" customHeight="1">
      <c r="A986" s="38" t="s">
        <v>92</v>
      </c>
      <c r="B986" s="38" t="s">
        <v>174</v>
      </c>
      <c r="C986" s="38" t="s">
        <v>373</v>
      </c>
      <c r="D986" s="38" t="s">
        <v>374</v>
      </c>
      <c r="E986" s="38" t="s">
        <v>2090</v>
      </c>
      <c r="F986" s="52">
        <v>0.0</v>
      </c>
      <c r="G986" s="52" t="s">
        <v>1800</v>
      </c>
      <c r="H986" s="52" t="s">
        <v>1800</v>
      </c>
    </row>
    <row r="987" ht="15.75" hidden="1" customHeight="1">
      <c r="A987" s="38" t="s">
        <v>92</v>
      </c>
      <c r="B987" s="38" t="s">
        <v>174</v>
      </c>
      <c r="C987" s="38" t="s">
        <v>373</v>
      </c>
      <c r="D987" s="38" t="s">
        <v>374</v>
      </c>
      <c r="E987" s="38" t="s">
        <v>2091</v>
      </c>
      <c r="F987" s="52">
        <v>162.0</v>
      </c>
      <c r="G987" s="52">
        <v>3318710.0</v>
      </c>
      <c r="H987" s="52">
        <v>561450.0</v>
      </c>
    </row>
    <row r="988" ht="15.75" hidden="1" customHeight="1">
      <c r="A988" s="38" t="s">
        <v>92</v>
      </c>
      <c r="B988" s="38" t="s">
        <v>174</v>
      </c>
      <c r="C988" s="38" t="s">
        <v>373</v>
      </c>
      <c r="D988" s="38" t="s">
        <v>374</v>
      </c>
      <c r="E988" s="38" t="s">
        <v>2092</v>
      </c>
      <c r="F988" s="52">
        <v>9.0</v>
      </c>
      <c r="G988" s="52">
        <v>667400.0</v>
      </c>
      <c r="H988" s="52">
        <v>29200.0</v>
      </c>
    </row>
    <row r="989" ht="15.75" hidden="1" customHeight="1">
      <c r="A989" s="38" t="s">
        <v>92</v>
      </c>
      <c r="B989" s="38" t="s">
        <v>174</v>
      </c>
      <c r="C989" s="38" t="s">
        <v>373</v>
      </c>
      <c r="D989" s="38" t="s">
        <v>374</v>
      </c>
      <c r="E989" s="38" t="s">
        <v>2093</v>
      </c>
      <c r="F989" s="52">
        <v>1.0</v>
      </c>
      <c r="G989" s="52">
        <v>18000.0</v>
      </c>
      <c r="H989" s="52">
        <v>3600.0</v>
      </c>
    </row>
    <row r="990" ht="15.75" hidden="1" customHeight="1">
      <c r="A990" s="38" t="s">
        <v>92</v>
      </c>
      <c r="B990" s="38" t="s">
        <v>174</v>
      </c>
      <c r="C990" s="38" t="s">
        <v>373</v>
      </c>
      <c r="D990" s="38" t="s">
        <v>374</v>
      </c>
      <c r="E990" s="38" t="s">
        <v>2094</v>
      </c>
      <c r="F990" s="52">
        <v>2.0</v>
      </c>
      <c r="G990" s="52">
        <v>69050.0</v>
      </c>
      <c r="H990" s="52">
        <v>9950.0</v>
      </c>
    </row>
    <row r="991" ht="15.75" hidden="1" customHeight="1">
      <c r="A991" s="38" t="s">
        <v>92</v>
      </c>
      <c r="B991" s="38" t="s">
        <v>174</v>
      </c>
      <c r="C991" s="38" t="s">
        <v>373</v>
      </c>
      <c r="D991" s="38" t="s">
        <v>374</v>
      </c>
      <c r="E991" s="38" t="s">
        <v>2095</v>
      </c>
      <c r="F991" s="52">
        <v>6.0</v>
      </c>
      <c r="G991" s="52">
        <v>78200.0</v>
      </c>
      <c r="H991" s="52">
        <v>11520.0</v>
      </c>
    </row>
    <row r="992" ht="15.75" hidden="1" customHeight="1">
      <c r="A992" s="38" t="s">
        <v>92</v>
      </c>
      <c r="B992" s="38" t="s">
        <v>174</v>
      </c>
      <c r="C992" s="38" t="s">
        <v>373</v>
      </c>
      <c r="D992" s="38" t="s">
        <v>374</v>
      </c>
      <c r="E992" s="38" t="s">
        <v>2096</v>
      </c>
      <c r="F992" s="52">
        <v>0.0</v>
      </c>
      <c r="G992" s="52" t="s">
        <v>1800</v>
      </c>
      <c r="H992" s="52" t="s">
        <v>1800</v>
      </c>
    </row>
    <row r="993" ht="15.75" hidden="1" customHeight="1">
      <c r="A993" s="38" t="s">
        <v>92</v>
      </c>
      <c r="B993" s="38" t="s">
        <v>174</v>
      </c>
      <c r="C993" s="38" t="s">
        <v>373</v>
      </c>
      <c r="D993" s="38" t="s">
        <v>374</v>
      </c>
      <c r="E993" s="38" t="s">
        <v>2097</v>
      </c>
      <c r="F993" s="52">
        <v>5.0</v>
      </c>
      <c r="G993" s="52">
        <v>161040.0</v>
      </c>
      <c r="H993" s="52">
        <v>8790.0</v>
      </c>
    </row>
    <row r="994" ht="15.75" hidden="1" customHeight="1">
      <c r="A994" s="38" t="s">
        <v>92</v>
      </c>
      <c r="B994" s="38" t="s">
        <v>174</v>
      </c>
      <c r="C994" s="38" t="s">
        <v>373</v>
      </c>
      <c r="D994" s="38" t="s">
        <v>374</v>
      </c>
      <c r="E994" s="38" t="s">
        <v>2098</v>
      </c>
      <c r="F994" s="52">
        <v>1.0</v>
      </c>
      <c r="G994" s="52">
        <v>46500.0</v>
      </c>
      <c r="H994" s="52" t="s">
        <v>1800</v>
      </c>
    </row>
    <row r="995" ht="15.75" hidden="1" customHeight="1">
      <c r="A995" s="38" t="s">
        <v>92</v>
      </c>
      <c r="B995" s="38" t="s">
        <v>174</v>
      </c>
      <c r="C995" s="38" t="s">
        <v>373</v>
      </c>
      <c r="D995" s="38" t="s">
        <v>374</v>
      </c>
      <c r="E995" s="38" t="s">
        <v>2099</v>
      </c>
      <c r="F995" s="52">
        <v>3.0</v>
      </c>
      <c r="G995" s="52">
        <v>160240.0</v>
      </c>
      <c r="H995" s="52">
        <v>16040.0</v>
      </c>
    </row>
    <row r="996" ht="15.75" hidden="1" customHeight="1">
      <c r="A996" s="38" t="s">
        <v>92</v>
      </c>
      <c r="B996" s="38" t="s">
        <v>117</v>
      </c>
      <c r="C996" s="38" t="s">
        <v>395</v>
      </c>
      <c r="D996" s="38" t="s">
        <v>396</v>
      </c>
      <c r="E996" s="38" t="s">
        <v>2100</v>
      </c>
      <c r="F996" s="52">
        <v>81.0</v>
      </c>
      <c r="G996" s="52">
        <v>2399700.0</v>
      </c>
      <c r="H996" s="52">
        <v>51980.0</v>
      </c>
    </row>
    <row r="997" ht="15.75" hidden="1" customHeight="1">
      <c r="A997" s="38" t="s">
        <v>92</v>
      </c>
      <c r="B997" s="38" t="s">
        <v>117</v>
      </c>
      <c r="C997" s="38" t="s">
        <v>2101</v>
      </c>
      <c r="D997" s="38" t="s">
        <v>364</v>
      </c>
      <c r="E997" s="38" t="s">
        <v>2102</v>
      </c>
      <c r="F997" s="52">
        <v>212.0</v>
      </c>
      <c r="G997" s="52">
        <v>9861400.0</v>
      </c>
      <c r="H997" s="52">
        <v>854580.0</v>
      </c>
    </row>
    <row r="998" ht="15.75" hidden="1" customHeight="1">
      <c r="A998" s="38" t="s">
        <v>92</v>
      </c>
      <c r="B998" s="38" t="s">
        <v>117</v>
      </c>
      <c r="C998" s="38" t="s">
        <v>2101</v>
      </c>
      <c r="D998" s="38" t="s">
        <v>364</v>
      </c>
      <c r="E998" s="38" t="s">
        <v>2103</v>
      </c>
      <c r="F998" s="52">
        <v>6.0</v>
      </c>
      <c r="G998" s="52">
        <v>378000.0</v>
      </c>
      <c r="H998" s="52">
        <v>20000.0</v>
      </c>
    </row>
    <row r="999" ht="15.75" hidden="1" customHeight="1">
      <c r="A999" s="38" t="s">
        <v>92</v>
      </c>
      <c r="B999" s="38" t="s">
        <v>117</v>
      </c>
      <c r="C999" s="38" t="s">
        <v>2101</v>
      </c>
      <c r="D999" s="38" t="s">
        <v>364</v>
      </c>
      <c r="E999" s="38" t="s">
        <v>2104</v>
      </c>
      <c r="F999" s="52">
        <v>0.0</v>
      </c>
      <c r="G999" s="52" t="s">
        <v>1800</v>
      </c>
      <c r="H999" s="52" t="s">
        <v>1800</v>
      </c>
    </row>
    <row r="1000" ht="15.75" hidden="1" customHeight="1">
      <c r="A1000" s="38" t="s">
        <v>92</v>
      </c>
      <c r="B1000" s="38" t="s">
        <v>117</v>
      </c>
      <c r="C1000" s="38" t="s">
        <v>2101</v>
      </c>
      <c r="D1000" s="38" t="s">
        <v>364</v>
      </c>
      <c r="E1000" s="38" t="s">
        <v>2105</v>
      </c>
      <c r="F1000" s="52">
        <v>15.0</v>
      </c>
      <c r="G1000" s="52">
        <v>1019500.0</v>
      </c>
      <c r="H1000" s="52">
        <v>60000.0</v>
      </c>
    </row>
    <row r="1001" ht="15.75" hidden="1" customHeight="1">
      <c r="A1001" s="38" t="s">
        <v>92</v>
      </c>
      <c r="B1001" s="38" t="s">
        <v>117</v>
      </c>
      <c r="C1001" s="38" t="s">
        <v>2101</v>
      </c>
      <c r="D1001" s="38" t="s">
        <v>364</v>
      </c>
      <c r="E1001" s="38" t="s">
        <v>2106</v>
      </c>
      <c r="F1001" s="52">
        <v>5.0</v>
      </c>
      <c r="G1001" s="52">
        <v>188000.0</v>
      </c>
      <c r="H1001" s="52">
        <v>21600.0</v>
      </c>
    </row>
    <row r="1002" ht="15.75" hidden="1" customHeight="1">
      <c r="A1002" s="38" t="s">
        <v>92</v>
      </c>
      <c r="B1002" s="38" t="s">
        <v>117</v>
      </c>
      <c r="C1002" s="38" t="s">
        <v>123</v>
      </c>
      <c r="D1002" s="38" t="s">
        <v>122</v>
      </c>
      <c r="E1002" s="38" t="s">
        <v>2107</v>
      </c>
      <c r="F1002" s="52">
        <v>0.0</v>
      </c>
      <c r="G1002" s="52" t="s">
        <v>1800</v>
      </c>
      <c r="H1002" s="52" t="s">
        <v>1800</v>
      </c>
    </row>
    <row r="1003" ht="15.75" hidden="1" customHeight="1">
      <c r="A1003" s="38" t="s">
        <v>92</v>
      </c>
      <c r="B1003" s="38" t="s">
        <v>117</v>
      </c>
      <c r="C1003" s="38" t="s">
        <v>231</v>
      </c>
      <c r="D1003" s="38" t="s">
        <v>230</v>
      </c>
      <c r="E1003" s="38" t="s">
        <v>2108</v>
      </c>
      <c r="F1003" s="52">
        <v>0.0</v>
      </c>
      <c r="G1003" s="52" t="s">
        <v>1800</v>
      </c>
      <c r="H1003" s="52" t="s">
        <v>1800</v>
      </c>
    </row>
    <row r="1004" ht="15.75" hidden="1" customHeight="1">
      <c r="A1004" s="38" t="s">
        <v>92</v>
      </c>
      <c r="B1004" s="38" t="s">
        <v>117</v>
      </c>
      <c r="C1004" s="38" t="s">
        <v>231</v>
      </c>
      <c r="D1004" s="38" t="s">
        <v>230</v>
      </c>
      <c r="E1004" s="38" t="s">
        <v>2109</v>
      </c>
      <c r="F1004" s="52">
        <v>4.0</v>
      </c>
      <c r="G1004" s="52">
        <v>76500.0</v>
      </c>
      <c r="H1004" s="52" t="s">
        <v>1800</v>
      </c>
    </row>
    <row r="1005" ht="15.75" hidden="1" customHeight="1">
      <c r="A1005" s="38" t="s">
        <v>92</v>
      </c>
      <c r="B1005" s="38" t="s">
        <v>117</v>
      </c>
      <c r="C1005" s="38" t="s">
        <v>231</v>
      </c>
      <c r="D1005" s="38" t="s">
        <v>230</v>
      </c>
      <c r="E1005" s="38" t="s">
        <v>2110</v>
      </c>
      <c r="F1005" s="52">
        <v>15.0</v>
      </c>
      <c r="G1005" s="52">
        <v>484000.0</v>
      </c>
      <c r="H1005" s="52">
        <v>8020.0</v>
      </c>
    </row>
    <row r="1006" ht="15.75" hidden="1" customHeight="1">
      <c r="A1006" s="38" t="s">
        <v>92</v>
      </c>
      <c r="B1006" s="38" t="s">
        <v>117</v>
      </c>
      <c r="C1006" s="38" t="s">
        <v>231</v>
      </c>
      <c r="D1006" s="38" t="s">
        <v>230</v>
      </c>
      <c r="E1006" s="38" t="s">
        <v>2111</v>
      </c>
      <c r="F1006" s="52">
        <v>27.0</v>
      </c>
      <c r="G1006" s="52">
        <v>996000.0</v>
      </c>
      <c r="H1006" s="52">
        <v>12560.0</v>
      </c>
    </row>
    <row r="1007" ht="15.75" hidden="1" customHeight="1">
      <c r="A1007" s="38" t="s">
        <v>92</v>
      </c>
      <c r="B1007" s="38" t="s">
        <v>117</v>
      </c>
      <c r="C1007" s="38" t="s">
        <v>231</v>
      </c>
      <c r="D1007" s="38" t="s">
        <v>230</v>
      </c>
      <c r="E1007" s="38" t="s">
        <v>2112</v>
      </c>
      <c r="F1007" s="52">
        <v>128.0</v>
      </c>
      <c r="G1007" s="52">
        <v>5067500.0</v>
      </c>
      <c r="H1007" s="52">
        <v>175120.0</v>
      </c>
    </row>
    <row r="1008" ht="15.75" hidden="1" customHeight="1">
      <c r="A1008" s="38" t="s">
        <v>92</v>
      </c>
      <c r="B1008" s="38" t="s">
        <v>117</v>
      </c>
      <c r="C1008" s="38" t="s">
        <v>231</v>
      </c>
      <c r="D1008" s="38" t="s">
        <v>230</v>
      </c>
      <c r="E1008" s="38" t="s">
        <v>2113</v>
      </c>
      <c r="F1008" s="52">
        <v>3.0</v>
      </c>
      <c r="G1008" s="52">
        <v>130200.0</v>
      </c>
      <c r="H1008" s="52">
        <v>14760.0</v>
      </c>
    </row>
    <row r="1009" ht="15.75" hidden="1" customHeight="1">
      <c r="A1009" s="38" t="s">
        <v>92</v>
      </c>
      <c r="B1009" s="38" t="s">
        <v>117</v>
      </c>
      <c r="C1009" s="38" t="s">
        <v>231</v>
      </c>
      <c r="D1009" s="38" t="s">
        <v>230</v>
      </c>
      <c r="E1009" s="38" t="s">
        <v>2114</v>
      </c>
      <c r="F1009" s="52">
        <v>19.0</v>
      </c>
      <c r="G1009" s="52">
        <v>1201000.0</v>
      </c>
      <c r="H1009" s="52">
        <v>16400.0</v>
      </c>
    </row>
    <row r="1010" ht="15.75" hidden="1" customHeight="1">
      <c r="A1010" s="38" t="s">
        <v>92</v>
      </c>
      <c r="B1010" s="38" t="s">
        <v>117</v>
      </c>
      <c r="C1010" s="38" t="s">
        <v>231</v>
      </c>
      <c r="D1010" s="38" t="s">
        <v>230</v>
      </c>
      <c r="E1010" s="38" t="s">
        <v>2115</v>
      </c>
      <c r="F1010" s="52">
        <v>10.0</v>
      </c>
      <c r="G1010" s="52">
        <v>460200.0</v>
      </c>
      <c r="H1010" s="52">
        <v>6540.0</v>
      </c>
    </row>
    <row r="1011" ht="15.75" hidden="1" customHeight="1">
      <c r="A1011" s="38" t="s">
        <v>92</v>
      </c>
      <c r="B1011" s="38" t="s">
        <v>117</v>
      </c>
      <c r="C1011" s="38" t="s">
        <v>231</v>
      </c>
      <c r="D1011" s="38" t="s">
        <v>230</v>
      </c>
      <c r="E1011" s="38" t="s">
        <v>2118</v>
      </c>
      <c r="F1011" s="52">
        <v>1194.0</v>
      </c>
      <c r="G1011" s="52">
        <v>4.82379E7</v>
      </c>
      <c r="H1011" s="52">
        <v>4480650.0</v>
      </c>
    </row>
    <row r="1012" ht="15.75" hidden="1" customHeight="1">
      <c r="A1012" s="38" t="s">
        <v>92</v>
      </c>
      <c r="B1012" s="38" t="s">
        <v>117</v>
      </c>
      <c r="C1012" s="38" t="s">
        <v>231</v>
      </c>
      <c r="D1012" s="38" t="s">
        <v>230</v>
      </c>
      <c r="E1012" s="38" t="s">
        <v>2119</v>
      </c>
      <c r="F1012" s="52">
        <v>385.0</v>
      </c>
      <c r="G1012" s="52">
        <v>1.33618E7</v>
      </c>
      <c r="H1012" s="52">
        <v>203450.0</v>
      </c>
    </row>
    <row r="1013" ht="15.75" hidden="1" customHeight="1">
      <c r="A1013" s="38" t="s">
        <v>92</v>
      </c>
      <c r="B1013" s="38" t="s">
        <v>117</v>
      </c>
      <c r="C1013" s="38" t="s">
        <v>231</v>
      </c>
      <c r="D1013" s="38" t="s">
        <v>230</v>
      </c>
      <c r="E1013" s="38" t="s">
        <v>2120</v>
      </c>
      <c r="F1013" s="52">
        <v>10.0</v>
      </c>
      <c r="G1013" s="52">
        <v>202400.0</v>
      </c>
      <c r="H1013" s="52">
        <v>2740.0</v>
      </c>
    </row>
    <row r="1014" ht="15.75" hidden="1" customHeight="1">
      <c r="A1014" s="38" t="s">
        <v>92</v>
      </c>
      <c r="B1014" s="38" t="s">
        <v>117</v>
      </c>
      <c r="C1014" s="38" t="s">
        <v>231</v>
      </c>
      <c r="D1014" s="38" t="s">
        <v>230</v>
      </c>
      <c r="E1014" s="38" t="s">
        <v>2121</v>
      </c>
      <c r="F1014" s="52">
        <v>132.0</v>
      </c>
      <c r="G1014" s="52">
        <v>2625400.0</v>
      </c>
      <c r="H1014" s="52">
        <v>27680.0</v>
      </c>
    </row>
    <row r="1015" ht="15.75" hidden="1" customHeight="1">
      <c r="A1015" s="38" t="s">
        <v>92</v>
      </c>
      <c r="B1015" s="38" t="s">
        <v>117</v>
      </c>
      <c r="C1015" s="38" t="s">
        <v>231</v>
      </c>
      <c r="D1015" s="38" t="s">
        <v>230</v>
      </c>
      <c r="E1015" s="38" t="s">
        <v>2122</v>
      </c>
      <c r="F1015" s="52">
        <v>28.0</v>
      </c>
      <c r="G1015" s="52">
        <v>662400.0</v>
      </c>
      <c r="H1015" s="52" t="s">
        <v>1800</v>
      </c>
    </row>
    <row r="1016" ht="15.75" hidden="1" customHeight="1">
      <c r="A1016" s="38" t="s">
        <v>92</v>
      </c>
      <c r="B1016" s="38" t="s">
        <v>117</v>
      </c>
      <c r="C1016" s="38" t="s">
        <v>231</v>
      </c>
      <c r="D1016" s="38" t="s">
        <v>230</v>
      </c>
      <c r="E1016" s="38" t="s">
        <v>2125</v>
      </c>
      <c r="F1016" s="52">
        <v>9.0</v>
      </c>
      <c r="G1016" s="52">
        <v>226900.0</v>
      </c>
      <c r="H1016" s="52" t="s">
        <v>1800</v>
      </c>
    </row>
    <row r="1017" ht="15.75" hidden="1" customHeight="1">
      <c r="A1017" s="38" t="s">
        <v>92</v>
      </c>
      <c r="B1017" s="38" t="s">
        <v>117</v>
      </c>
      <c r="C1017" s="38" t="s">
        <v>231</v>
      </c>
      <c r="D1017" s="38" t="s">
        <v>230</v>
      </c>
      <c r="E1017" s="38" t="s">
        <v>2126</v>
      </c>
      <c r="F1017" s="52">
        <v>3.0</v>
      </c>
      <c r="G1017" s="52">
        <v>134000.0</v>
      </c>
      <c r="H1017" s="52" t="s">
        <v>1800</v>
      </c>
    </row>
    <row r="1018" ht="15.75" hidden="1" customHeight="1">
      <c r="A1018" s="38" t="s">
        <v>92</v>
      </c>
      <c r="B1018" s="38" t="s">
        <v>117</v>
      </c>
      <c r="C1018" s="38" t="s">
        <v>231</v>
      </c>
      <c r="D1018" s="38" t="s">
        <v>230</v>
      </c>
      <c r="E1018" s="38" t="s">
        <v>2127</v>
      </c>
      <c r="F1018" s="52">
        <v>7.0</v>
      </c>
      <c r="G1018" s="52">
        <v>80000.0</v>
      </c>
      <c r="H1018" s="52" t="s">
        <v>1800</v>
      </c>
    </row>
    <row r="1019" ht="15.75" hidden="1" customHeight="1">
      <c r="A1019" s="38" t="s">
        <v>92</v>
      </c>
      <c r="B1019" s="38" t="s">
        <v>117</v>
      </c>
      <c r="C1019" s="38" t="s">
        <v>231</v>
      </c>
      <c r="D1019" s="38" t="s">
        <v>230</v>
      </c>
      <c r="E1019" s="38" t="s">
        <v>2128</v>
      </c>
      <c r="F1019" s="52">
        <v>33.0</v>
      </c>
      <c r="G1019" s="52">
        <v>729800.0</v>
      </c>
      <c r="H1019" s="52" t="s">
        <v>1800</v>
      </c>
    </row>
    <row r="1020" ht="15.75" hidden="1" customHeight="1">
      <c r="A1020" s="38" t="s">
        <v>92</v>
      </c>
      <c r="B1020" s="38" t="s">
        <v>186</v>
      </c>
      <c r="C1020" s="38" t="s">
        <v>2129</v>
      </c>
      <c r="D1020" s="38" t="s">
        <v>2130</v>
      </c>
      <c r="E1020" s="38" t="s">
        <v>2131</v>
      </c>
      <c r="F1020" s="52">
        <v>0.0</v>
      </c>
      <c r="G1020" s="52" t="s">
        <v>1800</v>
      </c>
      <c r="H1020" s="52" t="s">
        <v>1800</v>
      </c>
    </row>
    <row r="1021" ht="15.75" hidden="1" customHeight="1">
      <c r="A1021" s="38" t="s">
        <v>92</v>
      </c>
      <c r="B1021" s="38" t="s">
        <v>186</v>
      </c>
      <c r="C1021" s="38" t="s">
        <v>2129</v>
      </c>
      <c r="D1021" s="38" t="s">
        <v>2130</v>
      </c>
      <c r="E1021" s="38" t="s">
        <v>2132</v>
      </c>
      <c r="F1021" s="52">
        <v>0.0</v>
      </c>
      <c r="G1021" s="52" t="s">
        <v>1800</v>
      </c>
      <c r="H1021" s="52" t="s">
        <v>1800</v>
      </c>
    </row>
    <row r="1022" ht="15.75" hidden="1" customHeight="1">
      <c r="A1022" s="38" t="s">
        <v>92</v>
      </c>
      <c r="B1022" s="38" t="s">
        <v>186</v>
      </c>
      <c r="C1022" s="38" t="s">
        <v>598</v>
      </c>
      <c r="D1022" s="38" t="s">
        <v>599</v>
      </c>
      <c r="E1022" s="38" t="s">
        <v>2133</v>
      </c>
      <c r="F1022" s="52">
        <v>11.0</v>
      </c>
      <c r="G1022" s="52">
        <v>330000.0</v>
      </c>
      <c r="H1022" s="52">
        <v>36000.0</v>
      </c>
    </row>
    <row r="1023" ht="15.75" hidden="1" customHeight="1">
      <c r="A1023" s="38" t="s">
        <v>92</v>
      </c>
      <c r="B1023" s="38" t="s">
        <v>117</v>
      </c>
      <c r="C1023" s="38" t="s">
        <v>598</v>
      </c>
      <c r="D1023" s="38" t="s">
        <v>599</v>
      </c>
      <c r="E1023" s="38" t="s">
        <v>2134</v>
      </c>
      <c r="F1023" s="52">
        <v>3.0</v>
      </c>
      <c r="G1023" s="52">
        <v>84000.0</v>
      </c>
      <c r="H1023" s="52">
        <v>10000.0</v>
      </c>
    </row>
    <row r="1024" ht="15.75" hidden="1" customHeight="1">
      <c r="A1024" s="38" t="s">
        <v>92</v>
      </c>
      <c r="B1024" s="38" t="s">
        <v>117</v>
      </c>
      <c r="C1024" s="38" t="s">
        <v>442</v>
      </c>
      <c r="D1024" s="38" t="s">
        <v>443</v>
      </c>
      <c r="E1024" s="38" t="s">
        <v>2135</v>
      </c>
      <c r="F1024" s="52">
        <v>104.0</v>
      </c>
      <c r="G1024" s="52">
        <v>2610500.0</v>
      </c>
      <c r="H1024" s="52">
        <v>234970.0</v>
      </c>
    </row>
    <row r="1025" ht="15.75" hidden="1" customHeight="1">
      <c r="A1025" s="38" t="s">
        <v>92</v>
      </c>
      <c r="B1025" s="38" t="s">
        <v>186</v>
      </c>
      <c r="C1025" s="38" t="s">
        <v>442</v>
      </c>
      <c r="D1025" s="38" t="s">
        <v>443</v>
      </c>
      <c r="E1025" s="38" t="s">
        <v>2136</v>
      </c>
      <c r="F1025" s="52">
        <v>1.0</v>
      </c>
      <c r="G1025" s="52">
        <v>19900.0</v>
      </c>
      <c r="H1025" s="52" t="s">
        <v>1800</v>
      </c>
    </row>
    <row r="1026" ht="15.75" hidden="1" customHeight="1">
      <c r="A1026" s="38" t="s">
        <v>92</v>
      </c>
      <c r="B1026" s="38" t="s">
        <v>186</v>
      </c>
      <c r="C1026" s="38" t="s">
        <v>442</v>
      </c>
      <c r="D1026" s="38" t="s">
        <v>443</v>
      </c>
      <c r="E1026" s="38" t="s">
        <v>2137</v>
      </c>
      <c r="F1026" s="52">
        <v>5.0</v>
      </c>
      <c r="G1026" s="52">
        <v>225000.0</v>
      </c>
      <c r="H1026" s="52">
        <v>10000.0</v>
      </c>
    </row>
    <row r="1027" ht="15.75" hidden="1" customHeight="1">
      <c r="A1027" s="38" t="s">
        <v>92</v>
      </c>
      <c r="B1027" s="38" t="s">
        <v>186</v>
      </c>
      <c r="C1027" s="38" t="s">
        <v>331</v>
      </c>
      <c r="D1027" s="38" t="s">
        <v>332</v>
      </c>
      <c r="E1027" s="38" t="s">
        <v>2138</v>
      </c>
      <c r="F1027" s="52">
        <v>512.0</v>
      </c>
      <c r="G1027" s="52">
        <v>1.56552E7</v>
      </c>
      <c r="H1027" s="52">
        <v>1606720.0</v>
      </c>
    </row>
    <row r="1028" ht="15.75" hidden="1" customHeight="1">
      <c r="A1028" s="38" t="s">
        <v>92</v>
      </c>
      <c r="B1028" s="38" t="s">
        <v>186</v>
      </c>
      <c r="C1028" s="38" t="s">
        <v>331</v>
      </c>
      <c r="D1028" s="38" t="s">
        <v>332</v>
      </c>
      <c r="E1028" s="38" t="s">
        <v>2139</v>
      </c>
      <c r="F1028" s="52">
        <v>180.0</v>
      </c>
      <c r="G1028" s="52">
        <v>2469600.0</v>
      </c>
      <c r="H1028" s="52">
        <v>135920.0</v>
      </c>
    </row>
    <row r="1029" ht="15.75" hidden="1" customHeight="1">
      <c r="A1029" s="38" t="s">
        <v>92</v>
      </c>
      <c r="B1029" s="38" t="s">
        <v>186</v>
      </c>
      <c r="C1029" s="38" t="s">
        <v>331</v>
      </c>
      <c r="D1029" s="38" t="s">
        <v>332</v>
      </c>
      <c r="E1029" s="38" t="s">
        <v>2140</v>
      </c>
      <c r="F1029" s="52">
        <v>170.0</v>
      </c>
      <c r="G1029" s="52">
        <v>2031500.0</v>
      </c>
      <c r="H1029" s="52">
        <v>83580.0</v>
      </c>
    </row>
    <row r="1030" ht="15.75" hidden="1" customHeight="1">
      <c r="A1030" s="38" t="s">
        <v>92</v>
      </c>
      <c r="B1030" s="38" t="s">
        <v>117</v>
      </c>
      <c r="C1030" s="38" t="s">
        <v>406</v>
      </c>
      <c r="D1030" s="38" t="s">
        <v>407</v>
      </c>
      <c r="E1030" s="38" t="s">
        <v>2141</v>
      </c>
      <c r="F1030" s="52">
        <v>55.0</v>
      </c>
      <c r="G1030" s="52">
        <v>3545700.0</v>
      </c>
      <c r="H1030" s="52">
        <v>301290.0</v>
      </c>
    </row>
    <row r="1031" ht="15.75" hidden="1" customHeight="1">
      <c r="A1031" s="38" t="s">
        <v>92</v>
      </c>
      <c r="B1031" s="38" t="s">
        <v>117</v>
      </c>
      <c r="C1031" s="38" t="s">
        <v>406</v>
      </c>
      <c r="D1031" s="38" t="s">
        <v>407</v>
      </c>
      <c r="E1031" s="38" t="s">
        <v>2142</v>
      </c>
      <c r="F1031" s="52">
        <v>1.0</v>
      </c>
      <c r="G1031" s="52">
        <v>56000.0</v>
      </c>
      <c r="H1031" s="52">
        <v>9200.0</v>
      </c>
    </row>
    <row r="1032" ht="15.75" hidden="1" customHeight="1">
      <c r="A1032" s="38" t="s">
        <v>92</v>
      </c>
      <c r="B1032" s="38" t="s">
        <v>117</v>
      </c>
      <c r="C1032" s="38" t="s">
        <v>406</v>
      </c>
      <c r="D1032" s="38" t="s">
        <v>407</v>
      </c>
      <c r="E1032" s="38" t="s">
        <v>2143</v>
      </c>
      <c r="F1032" s="52">
        <v>16.0</v>
      </c>
      <c r="G1032" s="52">
        <v>432500.0</v>
      </c>
      <c r="H1032" s="52">
        <v>28040.0</v>
      </c>
    </row>
    <row r="1033" ht="15.75" hidden="1" customHeight="1">
      <c r="A1033" s="38" t="s">
        <v>92</v>
      </c>
      <c r="B1033" s="38" t="s">
        <v>117</v>
      </c>
      <c r="C1033" s="38" t="s">
        <v>406</v>
      </c>
      <c r="D1033" s="38" t="s">
        <v>407</v>
      </c>
      <c r="E1033" s="38" t="s">
        <v>2144</v>
      </c>
      <c r="F1033" s="52">
        <v>2.0</v>
      </c>
      <c r="G1033" s="52">
        <v>84600.0</v>
      </c>
      <c r="H1033" s="52" t="s">
        <v>1800</v>
      </c>
    </row>
    <row r="1034" ht="15.75" hidden="1" customHeight="1">
      <c r="A1034" s="38" t="s">
        <v>92</v>
      </c>
      <c r="B1034" s="38" t="s">
        <v>117</v>
      </c>
      <c r="C1034" s="38" t="s">
        <v>406</v>
      </c>
      <c r="D1034" s="38" t="s">
        <v>407</v>
      </c>
      <c r="E1034" s="38" t="s">
        <v>2145</v>
      </c>
      <c r="F1034" s="52">
        <v>144.0</v>
      </c>
      <c r="G1034" s="52">
        <v>4863300.0</v>
      </c>
      <c r="H1034" s="52">
        <v>367840.0</v>
      </c>
    </row>
    <row r="1035" ht="15.75" hidden="1" customHeight="1">
      <c r="A1035" s="38" t="s">
        <v>92</v>
      </c>
      <c r="B1035" s="38" t="s">
        <v>117</v>
      </c>
      <c r="C1035" s="38" t="s">
        <v>406</v>
      </c>
      <c r="D1035" s="38" t="s">
        <v>407</v>
      </c>
      <c r="E1035" s="38" t="s">
        <v>2146</v>
      </c>
      <c r="F1035" s="52">
        <v>7.0</v>
      </c>
      <c r="G1035" s="52">
        <v>514500.0</v>
      </c>
      <c r="H1035" s="52">
        <v>60000.0</v>
      </c>
    </row>
    <row r="1036" ht="15.75" hidden="1" customHeight="1">
      <c r="A1036" s="38" t="s">
        <v>92</v>
      </c>
      <c r="B1036" s="38" t="s">
        <v>117</v>
      </c>
      <c r="C1036" s="38" t="s">
        <v>406</v>
      </c>
      <c r="D1036" s="38" t="s">
        <v>407</v>
      </c>
      <c r="E1036" s="38" t="s">
        <v>2147</v>
      </c>
      <c r="F1036" s="52">
        <v>6.0</v>
      </c>
      <c r="G1036" s="52">
        <v>328000.0</v>
      </c>
      <c r="H1036" s="52">
        <v>28600.0</v>
      </c>
    </row>
    <row r="1037" ht="15.75" hidden="1" customHeight="1">
      <c r="A1037" s="38" t="s">
        <v>92</v>
      </c>
      <c r="B1037" s="38" t="s">
        <v>117</v>
      </c>
      <c r="C1037" s="38" t="s">
        <v>406</v>
      </c>
      <c r="D1037" s="38" t="s">
        <v>407</v>
      </c>
      <c r="E1037" s="38" t="s">
        <v>2148</v>
      </c>
      <c r="F1037" s="52">
        <v>1.0</v>
      </c>
      <c r="G1037" s="52">
        <v>60000.0</v>
      </c>
      <c r="H1037" s="52" t="s">
        <v>1800</v>
      </c>
    </row>
    <row r="1038" ht="15.75" hidden="1" customHeight="1">
      <c r="A1038" s="38" t="s">
        <v>92</v>
      </c>
      <c r="B1038" s="38" t="s">
        <v>117</v>
      </c>
      <c r="C1038" s="38" t="s">
        <v>406</v>
      </c>
      <c r="D1038" s="38" t="s">
        <v>407</v>
      </c>
      <c r="E1038" s="38" t="s">
        <v>2149</v>
      </c>
      <c r="F1038" s="52">
        <v>2.0</v>
      </c>
      <c r="G1038" s="52">
        <v>176000.0</v>
      </c>
      <c r="H1038" s="52">
        <v>20000.0</v>
      </c>
    </row>
    <row r="1039" ht="15.75" hidden="1" customHeight="1">
      <c r="A1039" s="38" t="s">
        <v>92</v>
      </c>
      <c r="B1039" s="38" t="s">
        <v>117</v>
      </c>
      <c r="C1039" s="38" t="s">
        <v>406</v>
      </c>
      <c r="D1039" s="38" t="s">
        <v>407</v>
      </c>
      <c r="E1039" s="38" t="s">
        <v>2150</v>
      </c>
      <c r="F1039" s="52">
        <v>3.0</v>
      </c>
      <c r="G1039" s="52">
        <v>237000.0</v>
      </c>
      <c r="H1039" s="52">
        <v>10000.0</v>
      </c>
    </row>
    <row r="1040" ht="15.75" hidden="1" customHeight="1">
      <c r="A1040" s="38" t="s">
        <v>92</v>
      </c>
      <c r="B1040" s="38" t="s">
        <v>117</v>
      </c>
      <c r="C1040" s="38" t="s">
        <v>406</v>
      </c>
      <c r="D1040" s="38" t="s">
        <v>407</v>
      </c>
      <c r="E1040" s="38" t="s">
        <v>2151</v>
      </c>
      <c r="F1040" s="52">
        <v>1.0</v>
      </c>
      <c r="G1040" s="52">
        <v>78500.0</v>
      </c>
      <c r="H1040" s="52" t="s">
        <v>1800</v>
      </c>
    </row>
    <row r="1041" ht="15.75" hidden="1" customHeight="1">
      <c r="A1041" s="38" t="s">
        <v>92</v>
      </c>
      <c r="B1041" s="38" t="s">
        <v>117</v>
      </c>
      <c r="C1041" s="38" t="s">
        <v>406</v>
      </c>
      <c r="D1041" s="38" t="s">
        <v>407</v>
      </c>
      <c r="E1041" s="38" t="s">
        <v>2152</v>
      </c>
      <c r="F1041" s="52">
        <v>11.0</v>
      </c>
      <c r="G1041" s="52">
        <v>1015400.0</v>
      </c>
      <c r="H1041" s="52">
        <v>36240.0</v>
      </c>
    </row>
    <row r="1042" ht="15.75" hidden="1" customHeight="1">
      <c r="A1042" s="38" t="s">
        <v>92</v>
      </c>
      <c r="B1042" s="38" t="s">
        <v>117</v>
      </c>
      <c r="C1042" s="38" t="s">
        <v>406</v>
      </c>
      <c r="D1042" s="38" t="s">
        <v>407</v>
      </c>
      <c r="E1042" s="38" t="s">
        <v>2153</v>
      </c>
      <c r="F1042" s="52">
        <v>0.0</v>
      </c>
      <c r="G1042" s="52" t="s">
        <v>1800</v>
      </c>
      <c r="H1042" s="52" t="s">
        <v>1800</v>
      </c>
    </row>
    <row r="1043" ht="15.75" hidden="1" customHeight="1">
      <c r="A1043" s="38" t="s">
        <v>92</v>
      </c>
      <c r="B1043" s="38" t="s">
        <v>117</v>
      </c>
      <c r="C1043" s="38" t="s">
        <v>406</v>
      </c>
      <c r="D1043" s="38" t="s">
        <v>407</v>
      </c>
      <c r="E1043" s="38" t="s">
        <v>2154</v>
      </c>
      <c r="F1043" s="52">
        <v>0.0</v>
      </c>
      <c r="G1043" s="52" t="s">
        <v>1800</v>
      </c>
      <c r="H1043" s="52" t="s">
        <v>1800</v>
      </c>
    </row>
    <row r="1044" ht="15.75" hidden="1" customHeight="1">
      <c r="A1044" s="38" t="s">
        <v>92</v>
      </c>
      <c r="B1044" s="38" t="s">
        <v>117</v>
      </c>
      <c r="C1044" s="38" t="s">
        <v>406</v>
      </c>
      <c r="D1044" s="38" t="s">
        <v>407</v>
      </c>
      <c r="E1044" s="38" t="s">
        <v>2155</v>
      </c>
      <c r="F1044" s="52">
        <v>10.0</v>
      </c>
      <c r="G1044" s="52">
        <v>466300.0</v>
      </c>
      <c r="H1044" s="52">
        <v>68520.0</v>
      </c>
    </row>
    <row r="1045" ht="15.75" hidden="1" customHeight="1">
      <c r="A1045" s="38" t="s">
        <v>92</v>
      </c>
      <c r="B1045" s="38" t="s">
        <v>117</v>
      </c>
      <c r="C1045" s="38" t="s">
        <v>406</v>
      </c>
      <c r="D1045" s="38" t="s">
        <v>407</v>
      </c>
      <c r="E1045" s="38" t="s">
        <v>2156</v>
      </c>
      <c r="F1045" s="52">
        <v>1.0</v>
      </c>
      <c r="G1045" s="52">
        <v>41800.0</v>
      </c>
      <c r="H1045" s="52">
        <v>7360.0</v>
      </c>
    </row>
    <row r="1046" ht="15.75" hidden="1" customHeight="1">
      <c r="A1046" s="38" t="s">
        <v>92</v>
      </c>
      <c r="B1046" s="38" t="s">
        <v>186</v>
      </c>
      <c r="C1046" s="38" t="s">
        <v>2157</v>
      </c>
      <c r="D1046" s="38" t="s">
        <v>402</v>
      </c>
      <c r="E1046" s="38" t="s">
        <v>2158</v>
      </c>
      <c r="F1046" s="52">
        <v>30.0</v>
      </c>
      <c r="G1046" s="52">
        <v>916900.0</v>
      </c>
      <c r="H1046" s="52">
        <v>90450.0</v>
      </c>
    </row>
    <row r="1047" ht="15.75" hidden="1" customHeight="1">
      <c r="A1047" s="38" t="s">
        <v>92</v>
      </c>
      <c r="B1047" s="38" t="s">
        <v>186</v>
      </c>
      <c r="C1047" s="38" t="s">
        <v>2157</v>
      </c>
      <c r="D1047" s="38" t="s">
        <v>402</v>
      </c>
      <c r="E1047" s="38" t="s">
        <v>2159</v>
      </c>
      <c r="F1047" s="52">
        <v>209.0</v>
      </c>
      <c r="G1047" s="52">
        <v>5441000.0</v>
      </c>
      <c r="H1047" s="52">
        <v>442960.0</v>
      </c>
    </row>
    <row r="1048" ht="15.75" hidden="1" customHeight="1">
      <c r="A1048" s="38" t="s">
        <v>92</v>
      </c>
      <c r="B1048" s="38" t="s">
        <v>117</v>
      </c>
      <c r="C1048" s="38" t="s">
        <v>2157</v>
      </c>
      <c r="D1048" s="38" t="s">
        <v>402</v>
      </c>
      <c r="E1048" s="38" t="s">
        <v>2160</v>
      </c>
      <c r="F1048" s="52">
        <v>16.0</v>
      </c>
      <c r="G1048" s="52">
        <v>548300.0</v>
      </c>
      <c r="H1048" s="52">
        <v>51440.0</v>
      </c>
    </row>
    <row r="1049" ht="15.75" hidden="1" customHeight="1">
      <c r="A1049" s="38" t="s">
        <v>92</v>
      </c>
      <c r="B1049" s="38" t="s">
        <v>117</v>
      </c>
      <c r="C1049" s="38" t="s">
        <v>2157</v>
      </c>
      <c r="D1049" s="38" t="s">
        <v>402</v>
      </c>
      <c r="E1049" s="38" t="s">
        <v>2161</v>
      </c>
      <c r="F1049" s="52">
        <v>131.0</v>
      </c>
      <c r="G1049" s="52">
        <v>2023500.0</v>
      </c>
      <c r="H1049" s="52">
        <v>291900.0</v>
      </c>
    </row>
    <row r="1050" ht="15.75" hidden="1" customHeight="1">
      <c r="A1050" s="38" t="s">
        <v>92</v>
      </c>
      <c r="B1050" s="38" t="s">
        <v>186</v>
      </c>
      <c r="C1050" s="38" t="s">
        <v>2157</v>
      </c>
      <c r="D1050" s="38" t="s">
        <v>402</v>
      </c>
      <c r="E1050" s="38" t="s">
        <v>2162</v>
      </c>
      <c r="F1050" s="52">
        <v>1.0</v>
      </c>
      <c r="G1050" s="52">
        <v>63900.0</v>
      </c>
      <c r="H1050" s="52" t="s">
        <v>1800</v>
      </c>
    </row>
    <row r="1051" ht="15.75" hidden="1" customHeight="1">
      <c r="A1051" s="38" t="s">
        <v>92</v>
      </c>
      <c r="B1051" s="38" t="s">
        <v>117</v>
      </c>
      <c r="C1051" s="38" t="s">
        <v>452</v>
      </c>
      <c r="D1051" s="38" t="s">
        <v>453</v>
      </c>
      <c r="E1051" s="38" t="s">
        <v>2163</v>
      </c>
      <c r="F1051" s="52">
        <v>0.0</v>
      </c>
      <c r="G1051" s="52" t="s">
        <v>1800</v>
      </c>
      <c r="H1051" s="52" t="s">
        <v>1800</v>
      </c>
    </row>
    <row r="1052" ht="15.75" hidden="1" customHeight="1">
      <c r="A1052" s="38" t="s">
        <v>92</v>
      </c>
      <c r="B1052" s="38" t="s">
        <v>117</v>
      </c>
      <c r="C1052" s="38" t="s">
        <v>452</v>
      </c>
      <c r="D1052" s="38" t="s">
        <v>453</v>
      </c>
      <c r="E1052" s="38" t="s">
        <v>2164</v>
      </c>
      <c r="F1052" s="52">
        <v>0.0</v>
      </c>
      <c r="G1052" s="52" t="s">
        <v>1800</v>
      </c>
      <c r="H1052" s="52" t="s">
        <v>1800</v>
      </c>
    </row>
    <row r="1053" ht="15.75" hidden="1" customHeight="1">
      <c r="A1053" s="38" t="s">
        <v>92</v>
      </c>
      <c r="B1053" s="38" t="s">
        <v>117</v>
      </c>
      <c r="C1053" s="38" t="s">
        <v>452</v>
      </c>
      <c r="D1053" s="38" t="s">
        <v>453</v>
      </c>
      <c r="E1053" s="38" t="s">
        <v>2165</v>
      </c>
      <c r="F1053" s="52">
        <v>1.0</v>
      </c>
      <c r="G1053" s="52">
        <v>34900.0</v>
      </c>
      <c r="H1053" s="52">
        <v>6980.0</v>
      </c>
    </row>
    <row r="1054" ht="15.75" hidden="1" customHeight="1">
      <c r="A1054" s="38" t="s">
        <v>92</v>
      </c>
      <c r="B1054" s="38" t="s">
        <v>117</v>
      </c>
      <c r="C1054" s="38" t="s">
        <v>452</v>
      </c>
      <c r="D1054" s="38" t="s">
        <v>453</v>
      </c>
      <c r="E1054" s="38" t="s">
        <v>2166</v>
      </c>
      <c r="F1054" s="52">
        <v>21.0</v>
      </c>
      <c r="G1054" s="52">
        <v>1350600.0</v>
      </c>
      <c r="H1054" s="52">
        <v>80000.0</v>
      </c>
    </row>
    <row r="1055" ht="15.75" hidden="1" customHeight="1">
      <c r="A1055" s="38" t="s">
        <v>92</v>
      </c>
      <c r="B1055" s="38" t="s">
        <v>117</v>
      </c>
      <c r="C1055" s="38" t="s">
        <v>452</v>
      </c>
      <c r="D1055" s="38" t="s">
        <v>453</v>
      </c>
      <c r="E1055" s="38" t="s">
        <v>2167</v>
      </c>
      <c r="F1055" s="52">
        <v>6.0</v>
      </c>
      <c r="G1055" s="52">
        <v>321400.0</v>
      </c>
      <c r="H1055" s="52">
        <v>30000.0</v>
      </c>
    </row>
    <row r="1056" ht="15.75" hidden="1" customHeight="1">
      <c r="A1056" s="38" t="s">
        <v>92</v>
      </c>
      <c r="B1056" s="38" t="s">
        <v>117</v>
      </c>
      <c r="C1056" s="38" t="s">
        <v>452</v>
      </c>
      <c r="D1056" s="38" t="s">
        <v>453</v>
      </c>
      <c r="E1056" s="38" t="s">
        <v>2168</v>
      </c>
      <c r="F1056" s="52">
        <v>2.0</v>
      </c>
      <c r="G1056" s="52">
        <v>93800.0</v>
      </c>
      <c r="H1056" s="52">
        <v>9380.0</v>
      </c>
    </row>
    <row r="1057" ht="15.75" hidden="1" customHeight="1">
      <c r="A1057" s="38" t="s">
        <v>92</v>
      </c>
      <c r="B1057" s="38" t="s">
        <v>117</v>
      </c>
      <c r="C1057" s="38" t="s">
        <v>452</v>
      </c>
      <c r="D1057" s="38" t="s">
        <v>453</v>
      </c>
      <c r="E1057" s="38" t="s">
        <v>2169</v>
      </c>
      <c r="F1057" s="52">
        <v>0.0</v>
      </c>
      <c r="G1057" s="52" t="s">
        <v>1800</v>
      </c>
      <c r="H1057" s="52" t="s">
        <v>1800</v>
      </c>
    </row>
    <row r="1058" ht="15.75" hidden="1" customHeight="1">
      <c r="A1058" s="38" t="s">
        <v>92</v>
      </c>
      <c r="B1058" s="38" t="s">
        <v>117</v>
      </c>
      <c r="C1058" s="38" t="s">
        <v>452</v>
      </c>
      <c r="D1058" s="38" t="s">
        <v>453</v>
      </c>
      <c r="E1058" s="38" t="s">
        <v>2170</v>
      </c>
      <c r="F1058" s="52">
        <v>3.0</v>
      </c>
      <c r="G1058" s="52">
        <v>134700.0</v>
      </c>
      <c r="H1058" s="52">
        <v>17960.0</v>
      </c>
    </row>
    <row r="1059" ht="15.75" hidden="1" customHeight="1">
      <c r="A1059" s="38" t="s">
        <v>92</v>
      </c>
      <c r="B1059" s="38" t="s">
        <v>117</v>
      </c>
      <c r="C1059" s="38" t="s">
        <v>452</v>
      </c>
      <c r="D1059" s="38" t="s">
        <v>453</v>
      </c>
      <c r="E1059" s="38" t="s">
        <v>2171</v>
      </c>
      <c r="F1059" s="52">
        <v>16.0</v>
      </c>
      <c r="G1059" s="52">
        <v>940300.0</v>
      </c>
      <c r="H1059" s="52">
        <v>110000.0</v>
      </c>
    </row>
    <row r="1060" ht="15.75" hidden="1" customHeight="1">
      <c r="A1060" s="38" t="s">
        <v>92</v>
      </c>
      <c r="B1060" s="38" t="s">
        <v>186</v>
      </c>
      <c r="C1060" s="38" t="s">
        <v>2172</v>
      </c>
      <c r="D1060" s="38" t="s">
        <v>2173</v>
      </c>
      <c r="E1060" s="38" t="s">
        <v>2174</v>
      </c>
      <c r="F1060" s="52">
        <v>0.0</v>
      </c>
      <c r="G1060" s="52" t="s">
        <v>1800</v>
      </c>
      <c r="H1060" s="52" t="s">
        <v>1800</v>
      </c>
    </row>
    <row r="1061" ht="15.75" hidden="1" customHeight="1">
      <c r="A1061" s="38" t="s">
        <v>92</v>
      </c>
      <c r="B1061" s="38" t="s">
        <v>186</v>
      </c>
      <c r="C1061" s="38" t="s">
        <v>2172</v>
      </c>
      <c r="D1061" s="38" t="s">
        <v>2173</v>
      </c>
      <c r="E1061" s="38" t="s">
        <v>2175</v>
      </c>
      <c r="F1061" s="52">
        <v>0.0</v>
      </c>
      <c r="G1061" s="52" t="s">
        <v>1800</v>
      </c>
      <c r="H1061" s="52" t="s">
        <v>1800</v>
      </c>
    </row>
    <row r="1062" ht="15.75" hidden="1" customHeight="1">
      <c r="A1062" s="38" t="s">
        <v>92</v>
      </c>
      <c r="B1062" s="38" t="s">
        <v>117</v>
      </c>
      <c r="C1062" s="38" t="s">
        <v>319</v>
      </c>
      <c r="D1062" s="38" t="s">
        <v>320</v>
      </c>
      <c r="E1062" s="38" t="s">
        <v>2176</v>
      </c>
      <c r="F1062" s="52">
        <v>265.0</v>
      </c>
      <c r="G1062" s="52">
        <v>1.158884E7</v>
      </c>
      <c r="H1062" s="52">
        <v>621520.0</v>
      </c>
    </row>
    <row r="1063" ht="15.75" hidden="1" customHeight="1">
      <c r="A1063" s="38" t="s">
        <v>92</v>
      </c>
      <c r="B1063" s="38" t="s">
        <v>117</v>
      </c>
      <c r="C1063" s="38" t="s">
        <v>319</v>
      </c>
      <c r="D1063" s="38" t="s">
        <v>320</v>
      </c>
      <c r="E1063" s="38" t="s">
        <v>2177</v>
      </c>
      <c r="F1063" s="52">
        <v>4.0</v>
      </c>
      <c r="G1063" s="52">
        <v>299400.0</v>
      </c>
      <c r="H1063" s="52">
        <v>10000.0</v>
      </c>
    </row>
    <row r="1064" ht="15.75" hidden="1" customHeight="1">
      <c r="A1064" s="38" t="s">
        <v>92</v>
      </c>
      <c r="B1064" s="38" t="s">
        <v>117</v>
      </c>
      <c r="C1064" s="38" t="s">
        <v>390</v>
      </c>
      <c r="D1064" s="38" t="s">
        <v>391</v>
      </c>
      <c r="E1064" s="38" t="s">
        <v>2178</v>
      </c>
      <c r="F1064" s="52">
        <v>113.0</v>
      </c>
      <c r="G1064" s="52">
        <v>2137130.0</v>
      </c>
      <c r="H1064" s="52">
        <v>75280.0</v>
      </c>
    </row>
    <row r="1065" ht="15.75" hidden="1" customHeight="1">
      <c r="A1065" s="38" t="s">
        <v>92</v>
      </c>
      <c r="B1065" s="38" t="s">
        <v>117</v>
      </c>
      <c r="C1065" s="38" t="s">
        <v>390</v>
      </c>
      <c r="D1065" s="38" t="s">
        <v>391</v>
      </c>
      <c r="E1065" s="38" t="s">
        <v>2179</v>
      </c>
      <c r="F1065" s="52">
        <v>185.0</v>
      </c>
      <c r="G1065" s="52">
        <v>3528940.0</v>
      </c>
      <c r="H1065" s="52">
        <v>207520.0</v>
      </c>
    </row>
    <row r="1066" ht="15.75" hidden="1" customHeight="1">
      <c r="A1066" s="38" t="s">
        <v>92</v>
      </c>
      <c r="B1066" s="38" t="s">
        <v>186</v>
      </c>
      <c r="C1066" s="38" t="s">
        <v>380</v>
      </c>
      <c r="D1066" s="38" t="s">
        <v>381</v>
      </c>
      <c r="E1066" s="38" t="s">
        <v>2180</v>
      </c>
      <c r="F1066" s="52">
        <v>179.0</v>
      </c>
      <c r="G1066" s="52">
        <v>9583000.0</v>
      </c>
      <c r="H1066" s="52">
        <v>721800.0</v>
      </c>
    </row>
    <row r="1067" ht="15.75" hidden="1" customHeight="1">
      <c r="A1067" s="38" t="s">
        <v>92</v>
      </c>
      <c r="B1067" s="38" t="s">
        <v>186</v>
      </c>
      <c r="C1067" s="38" t="s">
        <v>380</v>
      </c>
      <c r="D1067" s="38" t="s">
        <v>381</v>
      </c>
      <c r="E1067" s="38" t="s">
        <v>2181</v>
      </c>
      <c r="F1067" s="52">
        <v>120.0</v>
      </c>
      <c r="G1067" s="52">
        <v>3520000.0</v>
      </c>
      <c r="H1067" s="52">
        <v>208400.0</v>
      </c>
    </row>
    <row r="1068" ht="15.75" hidden="1" customHeight="1">
      <c r="A1068" s="38" t="s">
        <v>92</v>
      </c>
      <c r="B1068" s="38" t="s">
        <v>117</v>
      </c>
      <c r="C1068" s="38" t="s">
        <v>380</v>
      </c>
      <c r="D1068" s="38" t="s">
        <v>381</v>
      </c>
      <c r="E1068" s="38" t="s">
        <v>2182</v>
      </c>
      <c r="F1068" s="52">
        <v>72.0</v>
      </c>
      <c r="G1068" s="52">
        <v>3344000.0</v>
      </c>
      <c r="H1068" s="52">
        <v>273200.0</v>
      </c>
    </row>
    <row r="1069" ht="15.75" hidden="1" customHeight="1">
      <c r="A1069" s="38" t="s">
        <v>92</v>
      </c>
      <c r="B1069" s="38" t="s">
        <v>186</v>
      </c>
      <c r="C1069" s="38" t="s">
        <v>595</v>
      </c>
      <c r="D1069" s="38" t="s">
        <v>596</v>
      </c>
      <c r="E1069" s="38" t="s">
        <v>2183</v>
      </c>
      <c r="F1069" s="52">
        <v>4.0</v>
      </c>
      <c r="G1069" s="52">
        <v>264000.0</v>
      </c>
      <c r="H1069" s="52">
        <v>40000.0</v>
      </c>
    </row>
    <row r="1070" ht="15.75" hidden="1" customHeight="1">
      <c r="A1070" s="38" t="s">
        <v>92</v>
      </c>
      <c r="B1070" s="38" t="s">
        <v>186</v>
      </c>
      <c r="C1070" s="38" t="s">
        <v>595</v>
      </c>
      <c r="D1070" s="38" t="s">
        <v>596</v>
      </c>
      <c r="E1070" s="38" t="s">
        <v>2184</v>
      </c>
      <c r="F1070" s="52">
        <v>0.0</v>
      </c>
      <c r="G1070" s="52" t="s">
        <v>1800</v>
      </c>
      <c r="H1070" s="52" t="s">
        <v>1800</v>
      </c>
    </row>
    <row r="1071" ht="15.75" hidden="1" customHeight="1">
      <c r="A1071" s="38" t="s">
        <v>92</v>
      </c>
      <c r="B1071" s="38" t="s">
        <v>186</v>
      </c>
      <c r="C1071" s="38" t="s">
        <v>2185</v>
      </c>
      <c r="D1071" s="38" t="s">
        <v>2186</v>
      </c>
      <c r="E1071" s="38" t="s">
        <v>2187</v>
      </c>
      <c r="F1071" s="52">
        <v>0.0</v>
      </c>
      <c r="G1071" s="52" t="s">
        <v>1800</v>
      </c>
      <c r="H1071" s="52" t="s">
        <v>1800</v>
      </c>
    </row>
    <row r="1072" ht="15.75" hidden="1" customHeight="1">
      <c r="A1072" s="38" t="s">
        <v>92</v>
      </c>
      <c r="B1072" s="38" t="s">
        <v>186</v>
      </c>
      <c r="C1072" s="38" t="s">
        <v>2185</v>
      </c>
      <c r="D1072" s="38" t="s">
        <v>2186</v>
      </c>
      <c r="E1072" s="38" t="s">
        <v>2188</v>
      </c>
      <c r="F1072" s="52">
        <v>1.0</v>
      </c>
      <c r="G1072" s="52">
        <v>40000.0</v>
      </c>
      <c r="H1072" s="52">
        <v>8000.0</v>
      </c>
    </row>
    <row r="1073" ht="15.75" hidden="1" customHeight="1">
      <c r="A1073" s="38" t="s">
        <v>92</v>
      </c>
      <c r="B1073" s="38" t="s">
        <v>186</v>
      </c>
      <c r="C1073" s="38" t="s">
        <v>2185</v>
      </c>
      <c r="D1073" s="38" t="s">
        <v>2186</v>
      </c>
      <c r="E1073" s="38" t="s">
        <v>2189</v>
      </c>
      <c r="F1073" s="52">
        <v>0.0</v>
      </c>
      <c r="G1073" s="52" t="s">
        <v>1800</v>
      </c>
      <c r="H1073" s="52" t="s">
        <v>1800</v>
      </c>
    </row>
    <row r="1074" ht="15.75" hidden="1" customHeight="1">
      <c r="A1074" s="38" t="s">
        <v>92</v>
      </c>
      <c r="B1074" s="38" t="s">
        <v>186</v>
      </c>
      <c r="C1074" s="38" t="s">
        <v>2185</v>
      </c>
      <c r="D1074" s="38" t="s">
        <v>2186</v>
      </c>
      <c r="E1074" s="38" t="s">
        <v>2190</v>
      </c>
      <c r="F1074" s="52">
        <v>0.0</v>
      </c>
      <c r="G1074" s="52" t="s">
        <v>1800</v>
      </c>
      <c r="H1074" s="52" t="s">
        <v>1800</v>
      </c>
    </row>
    <row r="1075" ht="15.75" hidden="1" customHeight="1">
      <c r="A1075" s="38" t="s">
        <v>92</v>
      </c>
      <c r="B1075" s="38" t="s">
        <v>186</v>
      </c>
      <c r="C1075" s="38" t="s">
        <v>2185</v>
      </c>
      <c r="D1075" s="38" t="s">
        <v>2186</v>
      </c>
      <c r="E1075" s="38" t="s">
        <v>2191</v>
      </c>
      <c r="F1075" s="52">
        <v>0.0</v>
      </c>
      <c r="G1075" s="52" t="s">
        <v>1800</v>
      </c>
      <c r="H1075" s="52" t="s">
        <v>1800</v>
      </c>
    </row>
    <row r="1076" ht="15.75" hidden="1" customHeight="1">
      <c r="A1076" s="38" t="s">
        <v>92</v>
      </c>
      <c r="B1076" s="38" t="s">
        <v>186</v>
      </c>
      <c r="C1076" s="38" t="s">
        <v>2185</v>
      </c>
      <c r="D1076" s="38" t="s">
        <v>2186</v>
      </c>
      <c r="E1076" s="38" t="s">
        <v>2192</v>
      </c>
      <c r="F1076" s="52">
        <v>0.0</v>
      </c>
      <c r="G1076" s="52" t="s">
        <v>1800</v>
      </c>
      <c r="H1076" s="52" t="s">
        <v>1800</v>
      </c>
    </row>
    <row r="1077" ht="15.75" hidden="1" customHeight="1">
      <c r="A1077" s="38" t="s">
        <v>92</v>
      </c>
      <c r="B1077" s="38" t="s">
        <v>186</v>
      </c>
      <c r="C1077" s="38" t="s">
        <v>2185</v>
      </c>
      <c r="D1077" s="38" t="s">
        <v>2186</v>
      </c>
      <c r="E1077" s="38" t="s">
        <v>2193</v>
      </c>
      <c r="F1077" s="52">
        <v>0.0</v>
      </c>
      <c r="G1077" s="52" t="s">
        <v>1800</v>
      </c>
      <c r="H1077" s="52" t="s">
        <v>1800</v>
      </c>
    </row>
    <row r="1078" ht="15.75" hidden="1" customHeight="1">
      <c r="A1078" s="38" t="s">
        <v>92</v>
      </c>
      <c r="B1078" s="38" t="s">
        <v>186</v>
      </c>
      <c r="C1078" s="38" t="s">
        <v>2185</v>
      </c>
      <c r="D1078" s="38" t="s">
        <v>2186</v>
      </c>
      <c r="E1078" s="38" t="s">
        <v>2194</v>
      </c>
      <c r="F1078" s="52">
        <v>0.0</v>
      </c>
      <c r="G1078" s="52" t="s">
        <v>1800</v>
      </c>
      <c r="H1078" s="52" t="s">
        <v>1800</v>
      </c>
    </row>
    <row r="1079" ht="15.75" hidden="1" customHeight="1">
      <c r="A1079" s="38" t="s">
        <v>92</v>
      </c>
      <c r="B1079" s="38" t="s">
        <v>186</v>
      </c>
      <c r="C1079" s="38" t="s">
        <v>2185</v>
      </c>
      <c r="D1079" s="38" t="s">
        <v>2186</v>
      </c>
      <c r="E1079" s="38" t="s">
        <v>2195</v>
      </c>
      <c r="F1079" s="52">
        <v>0.0</v>
      </c>
      <c r="G1079" s="52" t="s">
        <v>1800</v>
      </c>
      <c r="H1079" s="52" t="s">
        <v>1800</v>
      </c>
    </row>
    <row r="1080" ht="15.75" hidden="1" customHeight="1">
      <c r="A1080" s="38" t="s">
        <v>92</v>
      </c>
      <c r="B1080" s="38" t="s">
        <v>186</v>
      </c>
      <c r="C1080" s="38" t="s">
        <v>2185</v>
      </c>
      <c r="D1080" s="38" t="s">
        <v>2186</v>
      </c>
      <c r="E1080" s="38" t="s">
        <v>2196</v>
      </c>
      <c r="F1080" s="52">
        <v>0.0</v>
      </c>
      <c r="G1080" s="52" t="s">
        <v>1800</v>
      </c>
      <c r="H1080" s="52" t="s">
        <v>1800</v>
      </c>
    </row>
    <row r="1081" ht="15.75" hidden="1" customHeight="1">
      <c r="A1081" s="38" t="s">
        <v>92</v>
      </c>
      <c r="B1081" s="38" t="s">
        <v>186</v>
      </c>
      <c r="C1081" s="38" t="s">
        <v>2185</v>
      </c>
      <c r="D1081" s="38" t="s">
        <v>2186</v>
      </c>
      <c r="E1081" s="38" t="s">
        <v>2197</v>
      </c>
      <c r="F1081" s="52">
        <v>0.0</v>
      </c>
      <c r="G1081" s="52" t="s">
        <v>1800</v>
      </c>
      <c r="H1081" s="52" t="s">
        <v>1800</v>
      </c>
    </row>
    <row r="1082" ht="15.75" hidden="1" customHeight="1">
      <c r="A1082" s="38" t="s">
        <v>92</v>
      </c>
      <c r="B1082" s="38" t="s">
        <v>186</v>
      </c>
      <c r="C1082" s="38" t="s">
        <v>2185</v>
      </c>
      <c r="D1082" s="38" t="s">
        <v>2186</v>
      </c>
      <c r="E1082" s="38" t="s">
        <v>2198</v>
      </c>
      <c r="F1082" s="52">
        <v>0.0</v>
      </c>
      <c r="G1082" s="52" t="s">
        <v>1800</v>
      </c>
      <c r="H1082" s="52" t="s">
        <v>1800</v>
      </c>
    </row>
    <row r="1083" ht="15.75" hidden="1" customHeight="1">
      <c r="A1083" s="38" t="s">
        <v>92</v>
      </c>
      <c r="B1083" s="38" t="s">
        <v>186</v>
      </c>
      <c r="C1083" s="38" t="s">
        <v>2185</v>
      </c>
      <c r="D1083" s="38" t="s">
        <v>2186</v>
      </c>
      <c r="E1083" s="38" t="s">
        <v>2199</v>
      </c>
      <c r="F1083" s="52">
        <v>0.0</v>
      </c>
      <c r="G1083" s="52" t="s">
        <v>1800</v>
      </c>
      <c r="H1083" s="52" t="s">
        <v>1800</v>
      </c>
    </row>
    <row r="1084" ht="15.75" hidden="1" customHeight="1">
      <c r="A1084" s="38" t="s">
        <v>92</v>
      </c>
      <c r="B1084" s="38" t="s">
        <v>186</v>
      </c>
      <c r="C1084" s="38" t="s">
        <v>2185</v>
      </c>
      <c r="D1084" s="38" t="s">
        <v>2186</v>
      </c>
      <c r="E1084" s="38" t="s">
        <v>2200</v>
      </c>
      <c r="F1084" s="52">
        <v>0.0</v>
      </c>
      <c r="G1084" s="52" t="s">
        <v>1800</v>
      </c>
      <c r="H1084" s="52" t="s">
        <v>1800</v>
      </c>
    </row>
    <row r="1085" ht="15.75" hidden="1" customHeight="1">
      <c r="A1085" s="38" t="s">
        <v>92</v>
      </c>
      <c r="B1085" s="38" t="s">
        <v>186</v>
      </c>
      <c r="C1085" s="38" t="s">
        <v>2185</v>
      </c>
      <c r="D1085" s="38" t="s">
        <v>2186</v>
      </c>
      <c r="E1085" s="38" t="s">
        <v>2201</v>
      </c>
      <c r="F1085" s="52">
        <v>0.0</v>
      </c>
      <c r="G1085" s="52" t="s">
        <v>1800</v>
      </c>
      <c r="H1085" s="52" t="s">
        <v>1800</v>
      </c>
    </row>
    <row r="1086" ht="15.75" hidden="1" customHeight="1">
      <c r="A1086" s="38" t="s">
        <v>92</v>
      </c>
      <c r="B1086" s="38" t="s">
        <v>186</v>
      </c>
      <c r="C1086" s="38" t="s">
        <v>2185</v>
      </c>
      <c r="D1086" s="38" t="s">
        <v>2186</v>
      </c>
      <c r="E1086" s="38" t="s">
        <v>2202</v>
      </c>
      <c r="F1086" s="52">
        <v>0.0</v>
      </c>
      <c r="G1086" s="52" t="s">
        <v>1800</v>
      </c>
      <c r="H1086" s="52" t="s">
        <v>1800</v>
      </c>
    </row>
    <row r="1087" ht="15.75" hidden="1" customHeight="1">
      <c r="A1087" s="38" t="s">
        <v>92</v>
      </c>
      <c r="B1087" s="38" t="s">
        <v>186</v>
      </c>
      <c r="C1087" s="38" t="s">
        <v>2185</v>
      </c>
      <c r="D1087" s="38" t="s">
        <v>2186</v>
      </c>
      <c r="E1087" s="38" t="s">
        <v>2203</v>
      </c>
      <c r="F1087" s="52">
        <v>0.0</v>
      </c>
      <c r="G1087" s="52" t="s">
        <v>1800</v>
      </c>
      <c r="H1087" s="52" t="s">
        <v>1800</v>
      </c>
    </row>
    <row r="1088" ht="15.75" hidden="1" customHeight="1">
      <c r="A1088" s="38" t="s">
        <v>92</v>
      </c>
      <c r="B1088" s="38" t="s">
        <v>186</v>
      </c>
      <c r="C1088" s="38" t="s">
        <v>604</v>
      </c>
      <c r="D1088" s="38" t="s">
        <v>605</v>
      </c>
      <c r="E1088" s="38" t="s">
        <v>2204</v>
      </c>
      <c r="F1088" s="52">
        <v>1.0</v>
      </c>
      <c r="G1088" s="52">
        <v>80000.0</v>
      </c>
      <c r="H1088" s="52" t="s">
        <v>1800</v>
      </c>
    </row>
    <row r="1089" ht="15.75" hidden="1" customHeight="1">
      <c r="A1089" s="38" t="s">
        <v>92</v>
      </c>
      <c r="B1089" s="38" t="s">
        <v>186</v>
      </c>
      <c r="C1089" s="38" t="s">
        <v>604</v>
      </c>
      <c r="D1089" s="38" t="s">
        <v>605</v>
      </c>
      <c r="E1089" s="38" t="s">
        <v>2205</v>
      </c>
      <c r="F1089" s="52">
        <v>19.0</v>
      </c>
      <c r="G1089" s="52">
        <v>307500.0</v>
      </c>
      <c r="H1089" s="52">
        <v>25800.0</v>
      </c>
    </row>
    <row r="1090" ht="15.75" hidden="1" customHeight="1">
      <c r="A1090" s="38" t="s">
        <v>92</v>
      </c>
      <c r="B1090" s="38" t="s">
        <v>186</v>
      </c>
      <c r="C1090" s="38" t="s">
        <v>604</v>
      </c>
      <c r="D1090" s="38" t="s">
        <v>605</v>
      </c>
      <c r="E1090" s="38" t="s">
        <v>2206</v>
      </c>
      <c r="F1090" s="52">
        <v>0.0</v>
      </c>
      <c r="G1090" s="52" t="s">
        <v>1800</v>
      </c>
      <c r="H1090" s="52" t="s">
        <v>1800</v>
      </c>
    </row>
    <row r="1091" ht="15.75" hidden="1" customHeight="1">
      <c r="A1091" s="38" t="s">
        <v>92</v>
      </c>
      <c r="B1091" s="38" t="s">
        <v>117</v>
      </c>
      <c r="C1091" s="38" t="s">
        <v>147</v>
      </c>
      <c r="D1091" s="38" t="s">
        <v>146</v>
      </c>
      <c r="E1091" s="38" t="s">
        <v>2207</v>
      </c>
      <c r="F1091" s="52">
        <v>124.0</v>
      </c>
      <c r="G1091" s="52">
        <v>5319400.0</v>
      </c>
      <c r="H1091" s="52">
        <v>477360.0</v>
      </c>
    </row>
    <row r="1092" ht="15.75" hidden="1" customHeight="1">
      <c r="A1092" s="38" t="s">
        <v>92</v>
      </c>
      <c r="B1092" s="38" t="s">
        <v>174</v>
      </c>
      <c r="C1092" s="38" t="s">
        <v>293</v>
      </c>
      <c r="D1092" s="38" t="s">
        <v>294</v>
      </c>
      <c r="E1092" s="38" t="s">
        <v>2208</v>
      </c>
      <c r="F1092" s="52">
        <v>4815.0</v>
      </c>
      <c r="G1092" s="52">
        <v>1.0258276E8</v>
      </c>
      <c r="H1092" s="52">
        <v>4101510.0</v>
      </c>
    </row>
    <row r="1093" ht="15.75" hidden="1" customHeight="1">
      <c r="A1093" s="38" t="s">
        <v>92</v>
      </c>
      <c r="B1093" s="38" t="s">
        <v>174</v>
      </c>
      <c r="C1093" s="38" t="s">
        <v>293</v>
      </c>
      <c r="D1093" s="38" t="s">
        <v>294</v>
      </c>
      <c r="E1093" s="38" t="s">
        <v>2209</v>
      </c>
      <c r="F1093" s="52">
        <v>141.0</v>
      </c>
      <c r="G1093" s="52">
        <v>2996900.0</v>
      </c>
      <c r="H1093" s="52">
        <v>99860.0</v>
      </c>
    </row>
    <row r="1094" ht="15.75" hidden="1" customHeight="1">
      <c r="A1094" s="38" t="s">
        <v>92</v>
      </c>
      <c r="B1094" s="38" t="s">
        <v>174</v>
      </c>
      <c r="C1094" s="38" t="s">
        <v>293</v>
      </c>
      <c r="D1094" s="38" t="s">
        <v>294</v>
      </c>
      <c r="E1094" s="38" t="s">
        <v>2210</v>
      </c>
      <c r="F1094" s="52">
        <v>100.0</v>
      </c>
      <c r="G1094" s="52">
        <v>1481250.0</v>
      </c>
      <c r="H1094" s="52">
        <v>20900.0</v>
      </c>
    </row>
    <row r="1095" ht="15.75" hidden="1" customHeight="1">
      <c r="A1095" s="38" t="s">
        <v>92</v>
      </c>
      <c r="B1095" s="38" t="s">
        <v>174</v>
      </c>
      <c r="C1095" s="38" t="s">
        <v>293</v>
      </c>
      <c r="D1095" s="38" t="s">
        <v>294</v>
      </c>
      <c r="E1095" s="38" t="s">
        <v>2211</v>
      </c>
      <c r="F1095" s="52">
        <v>47.0</v>
      </c>
      <c r="G1095" s="52">
        <v>918650.0</v>
      </c>
      <c r="H1095" s="52">
        <v>4180.0</v>
      </c>
    </row>
    <row r="1096" ht="15.75" hidden="1" customHeight="1">
      <c r="A1096" s="38" t="s">
        <v>92</v>
      </c>
      <c r="B1096" s="38" t="s">
        <v>174</v>
      </c>
      <c r="C1096" s="38" t="s">
        <v>293</v>
      </c>
      <c r="D1096" s="38" t="s">
        <v>294</v>
      </c>
      <c r="E1096" s="38" t="s">
        <v>2212</v>
      </c>
      <c r="F1096" s="52">
        <v>56.0</v>
      </c>
      <c r="G1096" s="52">
        <v>1423800.0</v>
      </c>
      <c r="H1096" s="52">
        <v>124870.0</v>
      </c>
    </row>
    <row r="1097" ht="15.75" hidden="1" customHeight="1">
      <c r="A1097" s="38" t="s">
        <v>92</v>
      </c>
      <c r="B1097" s="38" t="s">
        <v>174</v>
      </c>
      <c r="C1097" s="38" t="s">
        <v>293</v>
      </c>
      <c r="D1097" s="38" t="s">
        <v>294</v>
      </c>
      <c r="E1097" s="38" t="s">
        <v>2213</v>
      </c>
      <c r="F1097" s="52">
        <v>29.0</v>
      </c>
      <c r="G1097" s="52">
        <v>681400.0</v>
      </c>
      <c r="H1097" s="52">
        <v>8760.0</v>
      </c>
    </row>
    <row r="1098" ht="15.75" hidden="1" customHeight="1">
      <c r="A1098" s="38" t="s">
        <v>92</v>
      </c>
      <c r="B1098" s="38" t="s">
        <v>117</v>
      </c>
      <c r="C1098" s="38" t="s">
        <v>398</v>
      </c>
      <c r="D1098" s="38" t="s">
        <v>399</v>
      </c>
      <c r="E1098" s="38" t="s">
        <v>2216</v>
      </c>
      <c r="F1098" s="52">
        <v>95.0</v>
      </c>
      <c r="G1098" s="52">
        <v>7333200.0</v>
      </c>
      <c r="H1098" s="52">
        <v>550000.0</v>
      </c>
    </row>
    <row r="1099" ht="15.75" hidden="1" customHeight="1">
      <c r="A1099" s="38" t="s">
        <v>92</v>
      </c>
      <c r="B1099" s="38" t="s">
        <v>117</v>
      </c>
      <c r="C1099" s="38" t="s">
        <v>398</v>
      </c>
      <c r="D1099" s="38" t="s">
        <v>399</v>
      </c>
      <c r="E1099" s="38" t="s">
        <v>2217</v>
      </c>
      <c r="F1099" s="52">
        <v>121.0</v>
      </c>
      <c r="G1099" s="52">
        <v>4334400.0</v>
      </c>
      <c r="H1099" s="52">
        <v>674690.0</v>
      </c>
    </row>
    <row r="1100" ht="15.75" hidden="1" customHeight="1">
      <c r="A1100" s="38" t="s">
        <v>92</v>
      </c>
      <c r="B1100" s="38" t="s">
        <v>117</v>
      </c>
      <c r="C1100" s="38" t="s">
        <v>398</v>
      </c>
      <c r="D1100" s="38" t="s">
        <v>399</v>
      </c>
      <c r="E1100" s="38" t="s">
        <v>2218</v>
      </c>
      <c r="F1100" s="52">
        <v>10.0</v>
      </c>
      <c r="G1100" s="52">
        <v>482900.0</v>
      </c>
      <c r="H1100" s="52">
        <v>45120.0</v>
      </c>
    </row>
    <row r="1101" ht="15.75" hidden="1" customHeight="1">
      <c r="A1101" s="38" t="s">
        <v>92</v>
      </c>
      <c r="B1101" s="38" t="s">
        <v>117</v>
      </c>
      <c r="C1101" s="38" t="s">
        <v>398</v>
      </c>
      <c r="D1101" s="38" t="s">
        <v>399</v>
      </c>
      <c r="E1101" s="38" t="s">
        <v>2219</v>
      </c>
      <c r="F1101" s="52">
        <v>0.0</v>
      </c>
      <c r="G1101" s="52" t="s">
        <v>1800</v>
      </c>
      <c r="H1101" s="52" t="s">
        <v>1800</v>
      </c>
    </row>
    <row r="1102" ht="15.75" hidden="1" customHeight="1">
      <c r="A1102" s="38" t="s">
        <v>92</v>
      </c>
      <c r="B1102" s="38" t="s">
        <v>117</v>
      </c>
      <c r="C1102" s="38" t="s">
        <v>398</v>
      </c>
      <c r="D1102" s="38" t="s">
        <v>399</v>
      </c>
      <c r="E1102" s="38" t="s">
        <v>2220</v>
      </c>
      <c r="F1102" s="52">
        <v>6.0</v>
      </c>
      <c r="G1102" s="52">
        <v>246000.0</v>
      </c>
      <c r="H1102" s="52">
        <v>40680.0</v>
      </c>
    </row>
    <row r="1103" ht="15.75" hidden="1" customHeight="1">
      <c r="A1103" s="38" t="s">
        <v>92</v>
      </c>
      <c r="B1103" s="38" t="s">
        <v>117</v>
      </c>
      <c r="C1103" s="38" t="s">
        <v>545</v>
      </c>
      <c r="D1103" s="38" t="s">
        <v>546</v>
      </c>
      <c r="E1103" s="38" t="s">
        <v>2221</v>
      </c>
      <c r="F1103" s="52">
        <v>92.0</v>
      </c>
      <c r="G1103" s="52">
        <v>1481700.0</v>
      </c>
      <c r="H1103" s="52">
        <v>205380.0</v>
      </c>
    </row>
    <row r="1104" ht="15.75" hidden="1" customHeight="1">
      <c r="A1104" s="38" t="s">
        <v>92</v>
      </c>
      <c r="B1104" s="38" t="s">
        <v>117</v>
      </c>
      <c r="C1104" s="38" t="s">
        <v>545</v>
      </c>
      <c r="D1104" s="38" t="s">
        <v>546</v>
      </c>
      <c r="E1104" s="38" t="s">
        <v>2222</v>
      </c>
      <c r="F1104" s="52">
        <v>0.0</v>
      </c>
      <c r="G1104" s="52" t="s">
        <v>1800</v>
      </c>
      <c r="H1104" s="52" t="s">
        <v>1800</v>
      </c>
    </row>
    <row r="1105" ht="15.75" hidden="1" customHeight="1">
      <c r="A1105" s="38" t="s">
        <v>92</v>
      </c>
      <c r="B1105" s="38" t="s">
        <v>186</v>
      </c>
      <c r="C1105" s="38" t="s">
        <v>2223</v>
      </c>
      <c r="D1105" s="38" t="s">
        <v>414</v>
      </c>
      <c r="E1105" s="38" t="s">
        <v>2224</v>
      </c>
      <c r="F1105" s="52">
        <v>135.0</v>
      </c>
      <c r="G1105" s="52">
        <v>4683410.0</v>
      </c>
      <c r="H1105" s="52">
        <v>450580.0</v>
      </c>
    </row>
    <row r="1106" ht="15.75" hidden="1" customHeight="1">
      <c r="A1106" s="38" t="s">
        <v>92</v>
      </c>
      <c r="B1106" s="38" t="s">
        <v>186</v>
      </c>
      <c r="C1106" s="38" t="s">
        <v>2223</v>
      </c>
      <c r="D1106" s="38" t="s">
        <v>414</v>
      </c>
      <c r="E1106" s="38" t="s">
        <v>2225</v>
      </c>
      <c r="F1106" s="52">
        <v>148.0</v>
      </c>
      <c r="G1106" s="52">
        <v>2524500.0</v>
      </c>
      <c r="H1106" s="52">
        <v>209100.0</v>
      </c>
    </row>
    <row r="1107" ht="15.75" hidden="1" customHeight="1">
      <c r="A1107" s="38" t="s">
        <v>92</v>
      </c>
      <c r="B1107" s="38" t="s">
        <v>186</v>
      </c>
      <c r="C1107" s="38" t="s">
        <v>2223</v>
      </c>
      <c r="D1107" s="38" t="s">
        <v>414</v>
      </c>
      <c r="E1107" s="38" t="s">
        <v>2226</v>
      </c>
      <c r="F1107" s="52">
        <v>13.0</v>
      </c>
      <c r="G1107" s="52">
        <v>123500.0</v>
      </c>
      <c r="H1107" s="52">
        <v>9500.0</v>
      </c>
    </row>
    <row r="1108" ht="15.75" hidden="1" customHeight="1">
      <c r="A1108" s="38" t="s">
        <v>92</v>
      </c>
      <c r="B1108" s="38" t="s">
        <v>186</v>
      </c>
      <c r="C1108" s="38" t="s">
        <v>2223</v>
      </c>
      <c r="D1108" s="38" t="s">
        <v>414</v>
      </c>
      <c r="E1108" s="38" t="s">
        <v>2227</v>
      </c>
      <c r="F1108" s="52">
        <v>0.0</v>
      </c>
      <c r="G1108" s="52" t="s">
        <v>1800</v>
      </c>
      <c r="H1108" s="52" t="s">
        <v>1800</v>
      </c>
    </row>
    <row r="1109" ht="15.75" hidden="1" customHeight="1">
      <c r="A1109" s="38" t="s">
        <v>92</v>
      </c>
      <c r="B1109" s="38" t="s">
        <v>186</v>
      </c>
      <c r="C1109" s="38" t="s">
        <v>2223</v>
      </c>
      <c r="D1109" s="38" t="s">
        <v>414</v>
      </c>
      <c r="E1109" s="38" t="s">
        <v>2228</v>
      </c>
      <c r="F1109" s="52">
        <v>0.0</v>
      </c>
      <c r="G1109" s="52" t="s">
        <v>1800</v>
      </c>
      <c r="H1109" s="52" t="s">
        <v>1800</v>
      </c>
    </row>
    <row r="1110" ht="15.75" hidden="1" customHeight="1">
      <c r="A1110" s="38" t="s">
        <v>92</v>
      </c>
      <c r="B1110" s="38" t="s">
        <v>186</v>
      </c>
      <c r="C1110" s="38" t="s">
        <v>2223</v>
      </c>
      <c r="D1110" s="38" t="s">
        <v>414</v>
      </c>
      <c r="E1110" s="38" t="s">
        <v>2229</v>
      </c>
      <c r="F1110" s="52">
        <v>1.0</v>
      </c>
      <c r="G1110" s="52">
        <v>50000.0</v>
      </c>
      <c r="H1110" s="52">
        <v>8500.0</v>
      </c>
    </row>
    <row r="1111" ht="15.75" hidden="1" customHeight="1">
      <c r="A1111" s="38" t="s">
        <v>92</v>
      </c>
      <c r="B1111" s="38" t="s">
        <v>186</v>
      </c>
      <c r="C1111" s="38" t="s">
        <v>2223</v>
      </c>
      <c r="D1111" s="38" t="s">
        <v>414</v>
      </c>
      <c r="E1111" s="38" t="s">
        <v>2230</v>
      </c>
      <c r="F1111" s="52">
        <v>1.0</v>
      </c>
      <c r="G1111" s="52">
        <v>36000.0</v>
      </c>
      <c r="H1111" s="52">
        <v>6120.0</v>
      </c>
    </row>
    <row r="1112" ht="15.75" hidden="1" customHeight="1">
      <c r="A1112" s="38" t="s">
        <v>92</v>
      </c>
      <c r="B1112" s="38" t="s">
        <v>186</v>
      </c>
      <c r="C1112" s="38" t="s">
        <v>2223</v>
      </c>
      <c r="D1112" s="38" t="s">
        <v>414</v>
      </c>
      <c r="E1112" s="38" t="s">
        <v>2231</v>
      </c>
      <c r="F1112" s="52">
        <v>0.0</v>
      </c>
      <c r="G1112" s="52" t="s">
        <v>1800</v>
      </c>
      <c r="H1112" s="52" t="s">
        <v>1800</v>
      </c>
    </row>
    <row r="1113" ht="15.75" hidden="1" customHeight="1">
      <c r="A1113" s="38" t="s">
        <v>92</v>
      </c>
      <c r="B1113" s="38" t="s">
        <v>186</v>
      </c>
      <c r="C1113" s="38" t="s">
        <v>2223</v>
      </c>
      <c r="D1113" s="38" t="s">
        <v>414</v>
      </c>
      <c r="E1113" s="38" t="s">
        <v>2232</v>
      </c>
      <c r="F1113" s="52">
        <v>1.0</v>
      </c>
      <c r="G1113" s="52">
        <v>18000.0</v>
      </c>
      <c r="H1113" s="52">
        <v>3060.0</v>
      </c>
    </row>
    <row r="1114" ht="15.75" hidden="1" customHeight="1">
      <c r="A1114" s="38" t="s">
        <v>92</v>
      </c>
      <c r="B1114" s="38" t="s">
        <v>186</v>
      </c>
      <c r="C1114" s="38" t="s">
        <v>2223</v>
      </c>
      <c r="D1114" s="38" t="s">
        <v>414</v>
      </c>
      <c r="E1114" s="38" t="s">
        <v>2233</v>
      </c>
      <c r="F1114" s="52">
        <v>1.0</v>
      </c>
      <c r="G1114" s="52">
        <v>30000.0</v>
      </c>
      <c r="H1114" s="52" t="s">
        <v>1800</v>
      </c>
    </row>
    <row r="1115" ht="15.75" hidden="1" customHeight="1">
      <c r="A1115" s="38" t="s">
        <v>92</v>
      </c>
      <c r="B1115" s="38" t="s">
        <v>186</v>
      </c>
      <c r="C1115" s="38" t="s">
        <v>2223</v>
      </c>
      <c r="D1115" s="38" t="s">
        <v>414</v>
      </c>
      <c r="E1115" s="38" t="s">
        <v>2234</v>
      </c>
      <c r="F1115" s="52">
        <v>1.0</v>
      </c>
      <c r="G1115" s="52">
        <v>50000.0</v>
      </c>
      <c r="H1115" s="52">
        <v>8500.0</v>
      </c>
    </row>
    <row r="1116" ht="15.75" hidden="1" customHeight="1">
      <c r="A1116" s="38" t="s">
        <v>92</v>
      </c>
      <c r="B1116" s="38" t="s">
        <v>186</v>
      </c>
      <c r="C1116" s="38" t="s">
        <v>2223</v>
      </c>
      <c r="D1116" s="38" t="s">
        <v>414</v>
      </c>
      <c r="E1116" s="38" t="s">
        <v>2235</v>
      </c>
      <c r="F1116" s="52">
        <v>0.0</v>
      </c>
      <c r="G1116" s="52" t="s">
        <v>1800</v>
      </c>
      <c r="H1116" s="52" t="s">
        <v>1800</v>
      </c>
    </row>
    <row r="1117" ht="15.75" hidden="1" customHeight="1">
      <c r="A1117" s="38" t="s">
        <v>92</v>
      </c>
      <c r="B1117" s="38" t="s">
        <v>186</v>
      </c>
      <c r="C1117" s="38" t="s">
        <v>2223</v>
      </c>
      <c r="D1117" s="38" t="s">
        <v>414</v>
      </c>
      <c r="E1117" s="38" t="s">
        <v>2236</v>
      </c>
      <c r="F1117" s="52">
        <v>1.0</v>
      </c>
      <c r="G1117" s="52">
        <v>60000.0</v>
      </c>
      <c r="H1117" s="52">
        <v>10000.0</v>
      </c>
    </row>
    <row r="1118" ht="15.75" hidden="1" customHeight="1">
      <c r="A1118" s="38" t="s">
        <v>92</v>
      </c>
      <c r="B1118" s="38" t="s">
        <v>186</v>
      </c>
      <c r="C1118" s="38" t="s">
        <v>2223</v>
      </c>
      <c r="D1118" s="38" t="s">
        <v>414</v>
      </c>
      <c r="E1118" s="38" t="s">
        <v>2237</v>
      </c>
      <c r="F1118" s="52">
        <v>0.0</v>
      </c>
      <c r="G1118" s="52" t="s">
        <v>1800</v>
      </c>
      <c r="H1118" s="52" t="s">
        <v>1800</v>
      </c>
    </row>
    <row r="1119" ht="15.75" hidden="1" customHeight="1">
      <c r="A1119" s="38" t="s">
        <v>92</v>
      </c>
      <c r="B1119" s="38" t="s">
        <v>186</v>
      </c>
      <c r="C1119" s="38" t="s">
        <v>2223</v>
      </c>
      <c r="D1119" s="38" t="s">
        <v>414</v>
      </c>
      <c r="E1119" s="38" t="s">
        <v>2238</v>
      </c>
      <c r="F1119" s="52">
        <v>0.0</v>
      </c>
      <c r="G1119" s="52" t="s">
        <v>1800</v>
      </c>
      <c r="H1119" s="52" t="s">
        <v>1800</v>
      </c>
    </row>
    <row r="1120" ht="15.75" hidden="1" customHeight="1">
      <c r="A1120" s="38" t="s">
        <v>92</v>
      </c>
      <c r="B1120" s="38" t="s">
        <v>186</v>
      </c>
      <c r="C1120" s="38" t="s">
        <v>2223</v>
      </c>
      <c r="D1120" s="38" t="s">
        <v>414</v>
      </c>
      <c r="E1120" s="38" t="s">
        <v>2239</v>
      </c>
      <c r="F1120" s="52">
        <v>0.0</v>
      </c>
      <c r="G1120" s="52" t="s">
        <v>1800</v>
      </c>
      <c r="H1120" s="52" t="s">
        <v>1800</v>
      </c>
    </row>
    <row r="1121" ht="15.75" hidden="1" customHeight="1">
      <c r="A1121" s="38" t="s">
        <v>92</v>
      </c>
      <c r="B1121" s="38" t="s">
        <v>186</v>
      </c>
      <c r="C1121" s="38" t="s">
        <v>2223</v>
      </c>
      <c r="D1121" s="38" t="s">
        <v>414</v>
      </c>
      <c r="E1121" s="38" t="s">
        <v>2240</v>
      </c>
      <c r="F1121" s="52">
        <v>0.0</v>
      </c>
      <c r="G1121" s="52" t="s">
        <v>1800</v>
      </c>
      <c r="H1121" s="52" t="s">
        <v>1800</v>
      </c>
    </row>
    <row r="1122" ht="15.75" hidden="1" customHeight="1">
      <c r="A1122" s="38" t="s">
        <v>92</v>
      </c>
      <c r="B1122" s="38" t="s">
        <v>186</v>
      </c>
      <c r="C1122" s="38" t="s">
        <v>2223</v>
      </c>
      <c r="D1122" s="38" t="s">
        <v>414</v>
      </c>
      <c r="E1122" s="38" t="s">
        <v>2241</v>
      </c>
      <c r="F1122" s="52">
        <v>1.0</v>
      </c>
      <c r="G1122" s="52">
        <v>59000.0</v>
      </c>
      <c r="H1122" s="52">
        <v>9440.0</v>
      </c>
    </row>
    <row r="1123" ht="15.75" hidden="1" customHeight="1">
      <c r="A1123" s="38" t="s">
        <v>92</v>
      </c>
      <c r="B1123" s="38" t="s">
        <v>186</v>
      </c>
      <c r="C1123" s="38" t="s">
        <v>2223</v>
      </c>
      <c r="D1123" s="38" t="s">
        <v>414</v>
      </c>
      <c r="E1123" s="38" t="s">
        <v>2242</v>
      </c>
      <c r="F1123" s="52">
        <v>0.0</v>
      </c>
      <c r="G1123" s="52" t="s">
        <v>1800</v>
      </c>
      <c r="H1123" s="52" t="s">
        <v>1800</v>
      </c>
    </row>
    <row r="1124" ht="15.75" hidden="1" customHeight="1">
      <c r="A1124" s="38" t="s">
        <v>92</v>
      </c>
      <c r="B1124" s="38" t="s">
        <v>186</v>
      </c>
      <c r="C1124" s="38" t="s">
        <v>2223</v>
      </c>
      <c r="D1124" s="38" t="s">
        <v>414</v>
      </c>
      <c r="E1124" s="38" t="s">
        <v>2243</v>
      </c>
      <c r="F1124" s="52">
        <v>0.0</v>
      </c>
      <c r="G1124" s="52" t="s">
        <v>1800</v>
      </c>
      <c r="H1124" s="52" t="s">
        <v>1800</v>
      </c>
    </row>
    <row r="1125" ht="15.75" hidden="1" customHeight="1">
      <c r="A1125" s="38" t="s">
        <v>92</v>
      </c>
      <c r="B1125" s="38" t="s">
        <v>186</v>
      </c>
      <c r="C1125" s="38" t="s">
        <v>2223</v>
      </c>
      <c r="D1125" s="38" t="s">
        <v>414</v>
      </c>
      <c r="E1125" s="38" t="s">
        <v>2244</v>
      </c>
      <c r="F1125" s="52">
        <v>0.0</v>
      </c>
      <c r="G1125" s="52" t="s">
        <v>1800</v>
      </c>
      <c r="H1125" s="52" t="s">
        <v>1800</v>
      </c>
    </row>
    <row r="1126" ht="15.75" hidden="1" customHeight="1">
      <c r="A1126" s="38" t="s">
        <v>92</v>
      </c>
      <c r="B1126" s="38" t="s">
        <v>117</v>
      </c>
      <c r="C1126" s="38" t="s">
        <v>2245</v>
      </c>
      <c r="D1126" s="38" t="s">
        <v>765</v>
      </c>
      <c r="E1126" s="38" t="s">
        <v>2246</v>
      </c>
      <c r="F1126" s="52">
        <v>0.0</v>
      </c>
      <c r="G1126" s="52" t="s">
        <v>1800</v>
      </c>
      <c r="H1126" s="52" t="s">
        <v>1800</v>
      </c>
    </row>
    <row r="1127" ht="15.75" hidden="1" customHeight="1">
      <c r="A1127" s="38" t="s">
        <v>92</v>
      </c>
      <c r="B1127" s="38" t="s">
        <v>117</v>
      </c>
      <c r="C1127" s="38" t="s">
        <v>2245</v>
      </c>
      <c r="D1127" s="38" t="s">
        <v>765</v>
      </c>
      <c r="E1127" s="38" t="s">
        <v>2247</v>
      </c>
      <c r="F1127" s="52">
        <v>0.0</v>
      </c>
      <c r="G1127" s="52" t="s">
        <v>1800</v>
      </c>
      <c r="H1127" s="52" t="s">
        <v>1800</v>
      </c>
    </row>
    <row r="1128" ht="15.75" hidden="1" customHeight="1">
      <c r="A1128" s="38" t="s">
        <v>92</v>
      </c>
      <c r="B1128" s="38" t="s">
        <v>117</v>
      </c>
      <c r="C1128" s="38" t="s">
        <v>2245</v>
      </c>
      <c r="D1128" s="38" t="s">
        <v>765</v>
      </c>
      <c r="E1128" s="38" t="s">
        <v>2248</v>
      </c>
      <c r="F1128" s="52">
        <v>0.0</v>
      </c>
      <c r="G1128" s="52" t="s">
        <v>1800</v>
      </c>
      <c r="H1128" s="52" t="s">
        <v>1800</v>
      </c>
    </row>
    <row r="1129" ht="15.75" hidden="1" customHeight="1">
      <c r="A1129" s="38" t="s">
        <v>92</v>
      </c>
      <c r="B1129" s="38" t="s">
        <v>117</v>
      </c>
      <c r="C1129" s="38" t="s">
        <v>2245</v>
      </c>
      <c r="D1129" s="38" t="s">
        <v>765</v>
      </c>
      <c r="E1129" s="38" t="s">
        <v>2249</v>
      </c>
      <c r="F1129" s="52">
        <v>1.0</v>
      </c>
      <c r="G1129" s="52">
        <v>36900.0</v>
      </c>
      <c r="H1129" s="52" t="s">
        <v>1800</v>
      </c>
    </row>
    <row r="1130" ht="15.75" hidden="1" customHeight="1">
      <c r="A1130" s="38" t="s">
        <v>92</v>
      </c>
      <c r="B1130" s="38" t="s">
        <v>117</v>
      </c>
      <c r="C1130" s="38" t="s">
        <v>2245</v>
      </c>
      <c r="D1130" s="38" t="s">
        <v>765</v>
      </c>
      <c r="E1130" s="38" t="s">
        <v>2250</v>
      </c>
      <c r="F1130" s="52">
        <v>0.0</v>
      </c>
      <c r="G1130" s="52" t="s">
        <v>1800</v>
      </c>
      <c r="H1130" s="52" t="s">
        <v>1800</v>
      </c>
    </row>
    <row r="1131" ht="15.75" hidden="1" customHeight="1">
      <c r="A1131" s="38" t="s">
        <v>92</v>
      </c>
      <c r="B1131" s="38" t="s">
        <v>186</v>
      </c>
      <c r="C1131" s="38" t="s">
        <v>2039</v>
      </c>
      <c r="D1131" s="38" t="s">
        <v>305</v>
      </c>
      <c r="E1131" s="38" t="s">
        <v>2251</v>
      </c>
      <c r="F1131" s="52">
        <v>18.0</v>
      </c>
      <c r="G1131" s="52">
        <v>260500.0</v>
      </c>
      <c r="H1131" s="52">
        <v>6660.0</v>
      </c>
    </row>
    <row r="1132" ht="15.75" hidden="1" customHeight="1">
      <c r="A1132" s="38" t="s">
        <v>92</v>
      </c>
      <c r="B1132" s="38" t="s">
        <v>186</v>
      </c>
      <c r="C1132" s="38" t="s">
        <v>475</v>
      </c>
      <c r="D1132" s="38" t="s">
        <v>476</v>
      </c>
      <c r="E1132" s="38" t="s">
        <v>2252</v>
      </c>
      <c r="F1132" s="52">
        <v>17.0</v>
      </c>
      <c r="G1132" s="52">
        <v>325500.0</v>
      </c>
      <c r="H1132" s="52">
        <v>39600.0</v>
      </c>
    </row>
    <row r="1133" ht="15.75" hidden="1" customHeight="1">
      <c r="A1133" s="38" t="s">
        <v>92</v>
      </c>
      <c r="B1133" s="38" t="s">
        <v>186</v>
      </c>
      <c r="C1133" s="38" t="s">
        <v>475</v>
      </c>
      <c r="D1133" s="38" t="s">
        <v>476</v>
      </c>
      <c r="E1133" s="38" t="s">
        <v>2253</v>
      </c>
      <c r="F1133" s="52">
        <v>2.0</v>
      </c>
      <c r="G1133" s="52">
        <v>10500.0</v>
      </c>
      <c r="H1133" s="52" t="s">
        <v>1800</v>
      </c>
    </row>
    <row r="1134" ht="15.75" hidden="1" customHeight="1">
      <c r="A1134" s="38" t="s">
        <v>92</v>
      </c>
      <c r="B1134" s="38" t="s">
        <v>186</v>
      </c>
      <c r="C1134" s="38" t="s">
        <v>475</v>
      </c>
      <c r="D1134" s="38" t="s">
        <v>476</v>
      </c>
      <c r="E1134" s="38" t="s">
        <v>2254</v>
      </c>
      <c r="F1134" s="52">
        <v>7.0</v>
      </c>
      <c r="G1134" s="52">
        <v>274540.0</v>
      </c>
      <c r="H1134" s="52">
        <v>44170.0</v>
      </c>
    </row>
    <row r="1135" ht="15.75" hidden="1" customHeight="1">
      <c r="A1135" s="38" t="s">
        <v>92</v>
      </c>
      <c r="B1135" s="38" t="s">
        <v>186</v>
      </c>
      <c r="C1135" s="38" t="s">
        <v>475</v>
      </c>
      <c r="D1135" s="38" t="s">
        <v>476</v>
      </c>
      <c r="E1135" s="38" t="s">
        <v>2255</v>
      </c>
      <c r="F1135" s="52">
        <v>21.0</v>
      </c>
      <c r="G1135" s="52">
        <v>296400.0</v>
      </c>
      <c r="H1135" s="52">
        <v>15960.0</v>
      </c>
    </row>
    <row r="1136" ht="15.75" hidden="1" customHeight="1">
      <c r="A1136" s="38" t="s">
        <v>92</v>
      </c>
      <c r="B1136" s="38" t="s">
        <v>117</v>
      </c>
      <c r="C1136" s="38" t="s">
        <v>475</v>
      </c>
      <c r="D1136" s="38" t="s">
        <v>476</v>
      </c>
      <c r="E1136" s="38" t="s">
        <v>2256</v>
      </c>
      <c r="F1136" s="52">
        <v>9.0</v>
      </c>
      <c r="G1136" s="52">
        <v>177680.0</v>
      </c>
      <c r="H1136" s="52">
        <v>23690.0</v>
      </c>
    </row>
    <row r="1137" ht="15.75" hidden="1" customHeight="1">
      <c r="A1137" s="38" t="s">
        <v>92</v>
      </c>
      <c r="B1137" s="38" t="s">
        <v>117</v>
      </c>
      <c r="C1137" s="38" t="s">
        <v>475</v>
      </c>
      <c r="D1137" s="38" t="s">
        <v>476</v>
      </c>
      <c r="E1137" s="38" t="s">
        <v>2257</v>
      </c>
      <c r="F1137" s="52">
        <v>187.0</v>
      </c>
      <c r="G1137" s="52">
        <v>3016600.0</v>
      </c>
      <c r="H1137" s="52">
        <v>219290.0</v>
      </c>
    </row>
    <row r="1138" ht="15.75" hidden="1" customHeight="1">
      <c r="A1138" s="38" t="s">
        <v>92</v>
      </c>
      <c r="B1138" s="38" t="s">
        <v>117</v>
      </c>
      <c r="C1138" s="38" t="s">
        <v>2258</v>
      </c>
      <c r="D1138" s="38" t="s">
        <v>2259</v>
      </c>
      <c r="E1138" s="38" t="s">
        <v>2260</v>
      </c>
      <c r="F1138" s="52">
        <v>7.0</v>
      </c>
      <c r="G1138" s="52">
        <v>262500.0</v>
      </c>
      <c r="H1138" s="52">
        <v>45200.0</v>
      </c>
    </row>
    <row r="1139" ht="15.75" hidden="1" customHeight="1">
      <c r="A1139" s="38" t="s">
        <v>92</v>
      </c>
      <c r="B1139" s="38" t="s">
        <v>117</v>
      </c>
      <c r="C1139" s="38" t="s">
        <v>2258</v>
      </c>
      <c r="D1139" s="38" t="s">
        <v>2259</v>
      </c>
      <c r="E1139" s="38" t="s">
        <v>2261</v>
      </c>
      <c r="F1139" s="52">
        <v>21.0</v>
      </c>
      <c r="G1139" s="52">
        <v>349510.0</v>
      </c>
      <c r="H1139" s="52">
        <v>40640.0</v>
      </c>
    </row>
    <row r="1140" ht="15.75" hidden="1" customHeight="1">
      <c r="A1140" s="38" t="s">
        <v>92</v>
      </c>
      <c r="B1140" s="38" t="s">
        <v>117</v>
      </c>
      <c r="C1140" s="38" t="s">
        <v>2258</v>
      </c>
      <c r="D1140" s="38" t="s">
        <v>2259</v>
      </c>
      <c r="E1140" s="38" t="s">
        <v>2262</v>
      </c>
      <c r="F1140" s="52">
        <v>15.0</v>
      </c>
      <c r="G1140" s="52">
        <v>142060.0</v>
      </c>
      <c r="H1140" s="52">
        <v>23000.0</v>
      </c>
    </row>
    <row r="1141" ht="15.75" hidden="1" customHeight="1">
      <c r="A1141" s="38" t="s">
        <v>92</v>
      </c>
      <c r="B1141" s="38" t="s">
        <v>117</v>
      </c>
      <c r="C1141" s="38" t="s">
        <v>284</v>
      </c>
      <c r="D1141" s="38" t="s">
        <v>285</v>
      </c>
      <c r="E1141" s="38" t="s">
        <v>2263</v>
      </c>
      <c r="F1141" s="52">
        <v>9084.0</v>
      </c>
      <c r="G1141" s="52">
        <v>3.83431E8</v>
      </c>
      <c r="H1141" s="52">
        <v>4684290.0</v>
      </c>
    </row>
    <row r="1142" ht="15.75" hidden="1" customHeight="1">
      <c r="A1142" s="38" t="s">
        <v>92</v>
      </c>
      <c r="B1142" s="38" t="s">
        <v>117</v>
      </c>
      <c r="C1142" s="38" t="s">
        <v>284</v>
      </c>
      <c r="D1142" s="38" t="s">
        <v>285</v>
      </c>
      <c r="E1142" s="38" t="s">
        <v>2264</v>
      </c>
      <c r="F1142" s="52">
        <v>815.0</v>
      </c>
      <c r="G1142" s="52">
        <v>8.50261E7</v>
      </c>
      <c r="H1142" s="52">
        <v>350000.0</v>
      </c>
    </row>
    <row r="1143" ht="15.75" hidden="1" customHeight="1">
      <c r="A1143" s="38" t="s">
        <v>92</v>
      </c>
      <c r="B1143" s="38" t="s">
        <v>117</v>
      </c>
      <c r="C1143" s="38" t="s">
        <v>284</v>
      </c>
      <c r="D1143" s="38" t="s">
        <v>285</v>
      </c>
      <c r="E1143" s="38" t="s">
        <v>2265</v>
      </c>
      <c r="F1143" s="52">
        <v>393.0</v>
      </c>
      <c r="G1143" s="52">
        <v>1.66246E7</v>
      </c>
      <c r="H1143" s="52">
        <v>51600.0</v>
      </c>
    </row>
    <row r="1144" ht="15.75" hidden="1" customHeight="1">
      <c r="A1144" s="38" t="s">
        <v>92</v>
      </c>
      <c r="B1144" s="38" t="s">
        <v>117</v>
      </c>
      <c r="C1144" s="38" t="s">
        <v>284</v>
      </c>
      <c r="D1144" s="38" t="s">
        <v>285</v>
      </c>
      <c r="E1144" s="38" t="s">
        <v>2266</v>
      </c>
      <c r="F1144" s="52">
        <v>7.0</v>
      </c>
      <c r="G1144" s="52">
        <v>564100.0</v>
      </c>
      <c r="H1144" s="52" t="s">
        <v>1800</v>
      </c>
    </row>
    <row r="1145" ht="15.75" hidden="1" customHeight="1">
      <c r="A1145" s="38" t="s">
        <v>92</v>
      </c>
      <c r="B1145" s="38" t="s">
        <v>186</v>
      </c>
      <c r="C1145" s="38" t="s">
        <v>409</v>
      </c>
      <c r="D1145" s="38" t="s">
        <v>410</v>
      </c>
      <c r="E1145" s="38" t="s">
        <v>2267</v>
      </c>
      <c r="F1145" s="52">
        <v>90.0</v>
      </c>
      <c r="G1145" s="52">
        <v>3102000.0</v>
      </c>
      <c r="H1145" s="52">
        <v>361870.0</v>
      </c>
    </row>
    <row r="1146" ht="15.75" hidden="1" customHeight="1">
      <c r="A1146" s="38" t="s">
        <v>92</v>
      </c>
      <c r="B1146" s="38" t="s">
        <v>186</v>
      </c>
      <c r="C1146" s="38" t="s">
        <v>409</v>
      </c>
      <c r="D1146" s="38" t="s">
        <v>410</v>
      </c>
      <c r="E1146" s="38" t="s">
        <v>2268</v>
      </c>
      <c r="F1146" s="52">
        <v>4.0</v>
      </c>
      <c r="G1146" s="52">
        <v>108000.0</v>
      </c>
      <c r="H1146" s="52">
        <v>18000.0</v>
      </c>
    </row>
    <row r="1147" ht="15.75" hidden="1" customHeight="1">
      <c r="A1147" s="38" t="s">
        <v>92</v>
      </c>
      <c r="B1147" s="38" t="s">
        <v>186</v>
      </c>
      <c r="C1147" s="38" t="s">
        <v>409</v>
      </c>
      <c r="D1147" s="38" t="s">
        <v>410</v>
      </c>
      <c r="E1147" s="38" t="s">
        <v>2269</v>
      </c>
      <c r="F1147" s="52">
        <v>1.0</v>
      </c>
      <c r="G1147" s="52">
        <v>40000.0</v>
      </c>
      <c r="H1147" s="52">
        <v>8000.0</v>
      </c>
    </row>
    <row r="1148" ht="15.75" hidden="1" customHeight="1">
      <c r="A1148" s="38" t="s">
        <v>92</v>
      </c>
      <c r="B1148" s="38" t="s">
        <v>117</v>
      </c>
      <c r="C1148" s="38" t="s">
        <v>2270</v>
      </c>
      <c r="D1148" s="38" t="s">
        <v>431</v>
      </c>
      <c r="E1148" s="38" t="s">
        <v>2271</v>
      </c>
      <c r="F1148" s="52">
        <v>53.0</v>
      </c>
      <c r="G1148" s="52">
        <v>1450100.0</v>
      </c>
      <c r="H1148" s="52">
        <v>144400.0</v>
      </c>
    </row>
    <row r="1149" ht="15.75" hidden="1" customHeight="1">
      <c r="A1149" s="38" t="s">
        <v>92</v>
      </c>
      <c r="B1149" s="38" t="s">
        <v>117</v>
      </c>
      <c r="C1149" s="38" t="s">
        <v>2270</v>
      </c>
      <c r="D1149" s="38" t="s">
        <v>431</v>
      </c>
      <c r="E1149" s="38" t="s">
        <v>2272</v>
      </c>
      <c r="F1149" s="52">
        <v>8.0</v>
      </c>
      <c r="G1149" s="52">
        <v>361930.0</v>
      </c>
      <c r="H1149" s="52">
        <v>18240.0</v>
      </c>
    </row>
    <row r="1150" ht="15.75" hidden="1" customHeight="1">
      <c r="A1150" s="38" t="s">
        <v>92</v>
      </c>
      <c r="B1150" s="38" t="s">
        <v>117</v>
      </c>
      <c r="C1150" s="38" t="s">
        <v>2270</v>
      </c>
      <c r="D1150" s="38" t="s">
        <v>431</v>
      </c>
      <c r="E1150" s="38" t="s">
        <v>2273</v>
      </c>
      <c r="F1150" s="52">
        <v>26.0</v>
      </c>
      <c r="G1150" s="52">
        <v>692980.0</v>
      </c>
      <c r="H1150" s="52">
        <v>47980.0</v>
      </c>
    </row>
    <row r="1151" ht="15.75" hidden="1" customHeight="1">
      <c r="A1151" s="38" t="s">
        <v>92</v>
      </c>
      <c r="B1151" s="56" t="s">
        <v>186</v>
      </c>
      <c r="C1151" s="38" t="s">
        <v>458</v>
      </c>
      <c r="D1151" s="38" t="s">
        <v>459</v>
      </c>
      <c r="E1151" s="38" t="s">
        <v>2274</v>
      </c>
      <c r="F1151" s="52">
        <v>32.0</v>
      </c>
      <c r="G1151" s="52">
        <v>1759500.0</v>
      </c>
      <c r="H1151" s="52">
        <v>104880.0</v>
      </c>
      <c r="J1151" s="38" t="s">
        <v>186</v>
      </c>
    </row>
    <row r="1152" ht="15.75" hidden="1" customHeight="1">
      <c r="A1152" s="38" t="s">
        <v>92</v>
      </c>
      <c r="B1152" s="38" t="s">
        <v>117</v>
      </c>
      <c r="C1152" s="38" t="s">
        <v>458</v>
      </c>
      <c r="D1152" s="38" t="s">
        <v>459</v>
      </c>
      <c r="E1152" s="38" t="s">
        <v>2275</v>
      </c>
      <c r="F1152" s="52">
        <v>3.0</v>
      </c>
      <c r="G1152" s="52">
        <v>119600.0</v>
      </c>
      <c r="H1152" s="52">
        <v>15980.0</v>
      </c>
    </row>
    <row r="1153" ht="15.75" hidden="1" customHeight="1">
      <c r="A1153" s="38" t="s">
        <v>92</v>
      </c>
      <c r="B1153" s="56" t="s">
        <v>186</v>
      </c>
      <c r="C1153" s="38" t="s">
        <v>458</v>
      </c>
      <c r="D1153" s="38" t="s">
        <v>459</v>
      </c>
      <c r="E1153" s="38" t="s">
        <v>2276</v>
      </c>
      <c r="F1153" s="52">
        <v>89.0</v>
      </c>
      <c r="G1153" s="52">
        <v>3591460.0</v>
      </c>
      <c r="H1153" s="52">
        <v>432940.0</v>
      </c>
      <c r="J1153" s="38" t="s">
        <v>186</v>
      </c>
    </row>
    <row r="1154" ht="15.75" hidden="1" customHeight="1">
      <c r="A1154" s="38" t="s">
        <v>92</v>
      </c>
      <c r="B1154" s="56" t="s">
        <v>186</v>
      </c>
      <c r="C1154" s="38" t="s">
        <v>458</v>
      </c>
      <c r="D1154" s="38" t="s">
        <v>459</v>
      </c>
      <c r="E1154" s="38" t="s">
        <v>2277</v>
      </c>
      <c r="F1154" s="52">
        <v>240.0</v>
      </c>
      <c r="G1154" s="52">
        <v>4341850.0</v>
      </c>
      <c r="H1154" s="52">
        <v>387360.0</v>
      </c>
      <c r="J1154" s="38" t="s">
        <v>186</v>
      </c>
    </row>
    <row r="1155" ht="15.75" hidden="1" customHeight="1">
      <c r="A1155" s="38" t="s">
        <v>92</v>
      </c>
      <c r="B1155" s="56" t="s">
        <v>186</v>
      </c>
      <c r="C1155" s="38" t="s">
        <v>458</v>
      </c>
      <c r="D1155" s="38" t="s">
        <v>459</v>
      </c>
      <c r="E1155" s="38" t="s">
        <v>2278</v>
      </c>
      <c r="F1155" s="52">
        <v>11.0</v>
      </c>
      <c r="G1155" s="52">
        <v>182100.0</v>
      </c>
      <c r="H1155" s="52">
        <v>6600.0</v>
      </c>
      <c r="J1155" s="38" t="s">
        <v>186</v>
      </c>
    </row>
    <row r="1156" ht="15.75" hidden="1" customHeight="1">
      <c r="A1156" s="38" t="s">
        <v>92</v>
      </c>
      <c r="B1156" s="56" t="s">
        <v>186</v>
      </c>
      <c r="C1156" s="38" t="s">
        <v>458</v>
      </c>
      <c r="D1156" s="38" t="s">
        <v>459</v>
      </c>
      <c r="E1156" s="38" t="s">
        <v>2279</v>
      </c>
      <c r="F1156" s="52">
        <v>29.0</v>
      </c>
      <c r="G1156" s="52">
        <v>1033220.0</v>
      </c>
      <c r="H1156" s="52">
        <v>76360.0</v>
      </c>
      <c r="J1156" s="38" t="s">
        <v>186</v>
      </c>
    </row>
    <row r="1157" ht="15.75" hidden="1" customHeight="1">
      <c r="A1157" s="38" t="s">
        <v>92</v>
      </c>
      <c r="B1157" s="38" t="s">
        <v>186</v>
      </c>
      <c r="C1157" s="38" t="s">
        <v>458</v>
      </c>
      <c r="D1157" s="38" t="s">
        <v>459</v>
      </c>
      <c r="E1157" s="38" t="s">
        <v>2280</v>
      </c>
      <c r="F1157" s="52">
        <v>3.0</v>
      </c>
      <c r="G1157" s="52">
        <v>33000.0</v>
      </c>
      <c r="H1157" s="52">
        <v>2200.0</v>
      </c>
    </row>
    <row r="1158" ht="15.75" hidden="1" customHeight="1">
      <c r="A1158" s="38" t="s">
        <v>92</v>
      </c>
      <c r="B1158" s="56" t="s">
        <v>186</v>
      </c>
      <c r="C1158" s="38" t="s">
        <v>458</v>
      </c>
      <c r="D1158" s="38" t="s">
        <v>459</v>
      </c>
      <c r="E1158" s="38" t="s">
        <v>2281</v>
      </c>
      <c r="F1158" s="52">
        <v>21.0</v>
      </c>
      <c r="G1158" s="52">
        <v>375700.0</v>
      </c>
      <c r="H1158" s="52">
        <v>34200.0</v>
      </c>
      <c r="J1158" s="38" t="s">
        <v>186</v>
      </c>
    </row>
    <row r="1159" ht="15.75" hidden="1" customHeight="1">
      <c r="A1159" s="38" t="s">
        <v>92</v>
      </c>
      <c r="B1159" s="56" t="s">
        <v>186</v>
      </c>
      <c r="C1159" s="38" t="s">
        <v>458</v>
      </c>
      <c r="D1159" s="38" t="s">
        <v>459</v>
      </c>
      <c r="E1159" s="38" t="s">
        <v>2282</v>
      </c>
      <c r="F1159" s="52">
        <v>5.0</v>
      </c>
      <c r="G1159" s="52">
        <v>96900.0</v>
      </c>
      <c r="H1159" s="52" t="s">
        <v>1800</v>
      </c>
      <c r="J1159" s="38" t="s">
        <v>186</v>
      </c>
    </row>
    <row r="1160" ht="15.75" hidden="1" customHeight="1">
      <c r="A1160" s="38" t="s">
        <v>92</v>
      </c>
      <c r="B1160" s="56" t="s">
        <v>186</v>
      </c>
      <c r="C1160" s="38" t="s">
        <v>458</v>
      </c>
      <c r="D1160" s="38" t="s">
        <v>459</v>
      </c>
      <c r="E1160" s="38" t="s">
        <v>2283</v>
      </c>
      <c r="F1160" s="52">
        <v>20.0</v>
      </c>
      <c r="G1160" s="52">
        <v>310200.0</v>
      </c>
      <c r="H1160" s="52">
        <v>33000.0</v>
      </c>
      <c r="J1160" s="38" t="s">
        <v>186</v>
      </c>
    </row>
    <row r="1161" ht="15.75" hidden="1" customHeight="1">
      <c r="A1161" s="38" t="s">
        <v>92</v>
      </c>
      <c r="B1161" s="38" t="s">
        <v>186</v>
      </c>
      <c r="C1161" s="38" t="s">
        <v>2284</v>
      </c>
      <c r="D1161" s="38" t="s">
        <v>808</v>
      </c>
      <c r="E1161" s="38" t="s">
        <v>2285</v>
      </c>
      <c r="F1161" s="52">
        <v>1.0</v>
      </c>
      <c r="G1161" s="52">
        <v>44000.0</v>
      </c>
      <c r="H1161" s="52">
        <v>8800.0</v>
      </c>
    </row>
    <row r="1162" ht="15.75" hidden="1" customHeight="1">
      <c r="A1162" s="38" t="s">
        <v>92</v>
      </c>
      <c r="B1162" s="38" t="s">
        <v>186</v>
      </c>
      <c r="C1162" s="38" t="s">
        <v>2284</v>
      </c>
      <c r="D1162" s="38" t="s">
        <v>808</v>
      </c>
      <c r="E1162" s="38" t="s">
        <v>2286</v>
      </c>
      <c r="F1162" s="52">
        <v>0.0</v>
      </c>
      <c r="G1162" s="52" t="s">
        <v>1800</v>
      </c>
      <c r="H1162" s="52" t="s">
        <v>1800</v>
      </c>
    </row>
    <row r="1163" ht="15.75" hidden="1" customHeight="1">
      <c r="A1163" s="38" t="s">
        <v>92</v>
      </c>
      <c r="B1163" s="38" t="s">
        <v>186</v>
      </c>
      <c r="C1163" s="38" t="s">
        <v>2284</v>
      </c>
      <c r="D1163" s="38" t="s">
        <v>808</v>
      </c>
      <c r="E1163" s="38" t="s">
        <v>2287</v>
      </c>
      <c r="F1163" s="52">
        <v>0.0</v>
      </c>
      <c r="G1163" s="52" t="s">
        <v>1800</v>
      </c>
      <c r="H1163" s="52" t="s">
        <v>1800</v>
      </c>
    </row>
    <row r="1164" ht="15.75" hidden="1" customHeight="1">
      <c r="A1164" s="38" t="s">
        <v>92</v>
      </c>
      <c r="B1164" s="38" t="s">
        <v>186</v>
      </c>
      <c r="C1164" s="38" t="s">
        <v>2284</v>
      </c>
      <c r="D1164" s="38" t="s">
        <v>808</v>
      </c>
      <c r="E1164" s="38" t="s">
        <v>2288</v>
      </c>
      <c r="F1164" s="52">
        <v>2.0</v>
      </c>
      <c r="G1164" s="52">
        <v>40000.0</v>
      </c>
      <c r="H1164" s="52" t="s">
        <v>1800</v>
      </c>
    </row>
    <row r="1165" ht="15.75" hidden="1" customHeight="1">
      <c r="A1165" s="38" t="s">
        <v>92</v>
      </c>
      <c r="B1165" s="38" t="s">
        <v>186</v>
      </c>
      <c r="C1165" s="38" t="s">
        <v>2284</v>
      </c>
      <c r="D1165" s="38" t="s">
        <v>808</v>
      </c>
      <c r="E1165" s="38" t="s">
        <v>2289</v>
      </c>
      <c r="F1165" s="52">
        <v>1.0</v>
      </c>
      <c r="G1165" s="52">
        <v>90000.0</v>
      </c>
      <c r="H1165" s="52" t="s">
        <v>1800</v>
      </c>
    </row>
    <row r="1166" ht="15.75" hidden="1" customHeight="1">
      <c r="A1166" s="38" t="s">
        <v>92</v>
      </c>
      <c r="B1166" s="38" t="s">
        <v>117</v>
      </c>
      <c r="C1166" s="38" t="s">
        <v>416</v>
      </c>
      <c r="D1166" s="38" t="s">
        <v>417</v>
      </c>
      <c r="E1166" s="38" t="s">
        <v>2290</v>
      </c>
      <c r="F1166" s="52">
        <v>82.0</v>
      </c>
      <c r="G1166" s="52">
        <v>2990300.0</v>
      </c>
      <c r="H1166" s="52">
        <v>199940.0</v>
      </c>
    </row>
    <row r="1167" ht="15.75" hidden="1" customHeight="1">
      <c r="A1167" s="38" t="s">
        <v>92</v>
      </c>
      <c r="B1167" s="38" t="s">
        <v>117</v>
      </c>
      <c r="C1167" s="38" t="s">
        <v>350</v>
      </c>
      <c r="D1167" s="38" t="s">
        <v>351</v>
      </c>
      <c r="E1167" s="38" t="s">
        <v>2293</v>
      </c>
      <c r="F1167" s="52">
        <v>278.0</v>
      </c>
      <c r="G1167" s="52">
        <v>5079090.0</v>
      </c>
      <c r="H1167" s="52">
        <v>562140.0</v>
      </c>
    </row>
    <row r="1168" ht="15.75" hidden="1" customHeight="1">
      <c r="A1168" s="38" t="s">
        <v>92</v>
      </c>
      <c r="B1168" s="38" t="s">
        <v>117</v>
      </c>
      <c r="C1168" s="38" t="s">
        <v>350</v>
      </c>
      <c r="D1168" s="38" t="s">
        <v>351</v>
      </c>
      <c r="E1168" s="38" t="s">
        <v>2294</v>
      </c>
      <c r="F1168" s="52">
        <v>18.0</v>
      </c>
      <c r="G1168" s="52">
        <v>193500.0</v>
      </c>
      <c r="H1168" s="52">
        <v>19160.0</v>
      </c>
    </row>
    <row r="1169" ht="15.75" hidden="1" customHeight="1">
      <c r="A1169" s="38" t="s">
        <v>92</v>
      </c>
      <c r="B1169" s="38" t="s">
        <v>117</v>
      </c>
      <c r="C1169" s="38" t="s">
        <v>350</v>
      </c>
      <c r="D1169" s="38" t="s">
        <v>351</v>
      </c>
      <c r="E1169" s="38" t="s">
        <v>2295</v>
      </c>
      <c r="F1169" s="52">
        <v>9.0</v>
      </c>
      <c r="G1169" s="52">
        <v>215500.0</v>
      </c>
      <c r="H1169" s="52">
        <v>19200.0</v>
      </c>
    </row>
    <row r="1170" ht="15.75" hidden="1" customHeight="1">
      <c r="A1170" s="38" t="s">
        <v>92</v>
      </c>
      <c r="B1170" s="38" t="s">
        <v>117</v>
      </c>
      <c r="C1170" s="38" t="s">
        <v>350</v>
      </c>
      <c r="D1170" s="38" t="s">
        <v>351</v>
      </c>
      <c r="E1170" s="38" t="s">
        <v>2296</v>
      </c>
      <c r="F1170" s="52">
        <v>3.0</v>
      </c>
      <c r="G1170" s="52">
        <v>35500.0</v>
      </c>
      <c r="H1170" s="52">
        <v>2400.0</v>
      </c>
    </row>
    <row r="1171" ht="15.75" hidden="1" customHeight="1">
      <c r="A1171" s="38" t="s">
        <v>92</v>
      </c>
      <c r="B1171" s="38" t="s">
        <v>117</v>
      </c>
      <c r="C1171" s="38" t="s">
        <v>344</v>
      </c>
      <c r="D1171" s="38" t="s">
        <v>345</v>
      </c>
      <c r="E1171" s="38" t="s">
        <v>2297</v>
      </c>
      <c r="F1171" s="52">
        <v>301.0</v>
      </c>
      <c r="G1171" s="52">
        <v>7819500.0</v>
      </c>
      <c r="H1171" s="52">
        <v>814500.0</v>
      </c>
    </row>
    <row r="1172" ht="15.75" hidden="1" customHeight="1">
      <c r="A1172" s="38" t="s">
        <v>92</v>
      </c>
      <c r="B1172" s="38" t="s">
        <v>117</v>
      </c>
      <c r="C1172" s="38" t="s">
        <v>344</v>
      </c>
      <c r="D1172" s="38" t="s">
        <v>345</v>
      </c>
      <c r="E1172" s="38" t="s">
        <v>2298</v>
      </c>
      <c r="F1172" s="52">
        <v>24.0</v>
      </c>
      <c r="G1172" s="52">
        <v>536500.0</v>
      </c>
      <c r="H1172" s="52">
        <v>30260.0</v>
      </c>
    </row>
    <row r="1173" ht="15.75" hidden="1" customHeight="1">
      <c r="A1173" s="38" t="s">
        <v>92</v>
      </c>
      <c r="B1173" s="38" t="s">
        <v>117</v>
      </c>
      <c r="C1173" s="38" t="s">
        <v>420</v>
      </c>
      <c r="D1173" s="38" t="s">
        <v>421</v>
      </c>
      <c r="E1173" s="38" t="s">
        <v>2299</v>
      </c>
      <c r="F1173" s="52">
        <v>73.0</v>
      </c>
      <c r="G1173" s="52">
        <v>2527000.0</v>
      </c>
      <c r="H1173" s="52">
        <v>174580.0</v>
      </c>
    </row>
    <row r="1174" ht="15.75" hidden="1" customHeight="1">
      <c r="A1174" s="38" t="s">
        <v>92</v>
      </c>
      <c r="B1174" s="38" t="s">
        <v>117</v>
      </c>
      <c r="C1174" s="38" t="s">
        <v>420</v>
      </c>
      <c r="D1174" s="38" t="s">
        <v>421</v>
      </c>
      <c r="E1174" s="38" t="s">
        <v>2300</v>
      </c>
      <c r="F1174" s="52">
        <v>23.0</v>
      </c>
      <c r="G1174" s="52">
        <v>1184000.0</v>
      </c>
      <c r="H1174" s="52">
        <v>73600.0</v>
      </c>
    </row>
    <row r="1175" ht="15.75" hidden="1" customHeight="1">
      <c r="A1175" s="38" t="s">
        <v>92</v>
      </c>
      <c r="B1175" s="38" t="s">
        <v>117</v>
      </c>
      <c r="C1175" s="38" t="s">
        <v>420</v>
      </c>
      <c r="D1175" s="38" t="s">
        <v>421</v>
      </c>
      <c r="E1175" s="38" t="s">
        <v>2301</v>
      </c>
      <c r="F1175" s="52">
        <v>0.0</v>
      </c>
      <c r="G1175" s="52" t="s">
        <v>1800</v>
      </c>
      <c r="H1175" s="52" t="s">
        <v>1800</v>
      </c>
    </row>
    <row r="1176" ht="15.75" hidden="1" customHeight="1">
      <c r="A1176" s="38" t="s">
        <v>92</v>
      </c>
      <c r="B1176" s="38" t="s">
        <v>117</v>
      </c>
      <c r="C1176" s="38" t="s">
        <v>260</v>
      </c>
      <c r="D1176" s="38" t="s">
        <v>259</v>
      </c>
      <c r="E1176" s="38" t="s">
        <v>2302</v>
      </c>
      <c r="F1176" s="52">
        <v>30.0</v>
      </c>
      <c r="G1176" s="52">
        <v>599700.0</v>
      </c>
      <c r="H1176" s="52">
        <v>33980.0</v>
      </c>
    </row>
    <row r="1177" ht="15.75" hidden="1" customHeight="1">
      <c r="A1177" s="38" t="s">
        <v>92</v>
      </c>
      <c r="B1177" s="38" t="s">
        <v>186</v>
      </c>
      <c r="C1177" s="38" t="s">
        <v>497</v>
      </c>
      <c r="D1177" s="38" t="s">
        <v>498</v>
      </c>
      <c r="E1177" s="38" t="s">
        <v>2303</v>
      </c>
      <c r="F1177" s="52">
        <v>5.0</v>
      </c>
      <c r="G1177" s="52">
        <v>220000.0</v>
      </c>
      <c r="H1177" s="52">
        <v>26000.0</v>
      </c>
    </row>
    <row r="1178" ht="15.75" hidden="1" customHeight="1">
      <c r="A1178" s="38" t="s">
        <v>92</v>
      </c>
      <c r="B1178" s="38" t="s">
        <v>186</v>
      </c>
      <c r="C1178" s="38" t="s">
        <v>497</v>
      </c>
      <c r="D1178" s="38" t="s">
        <v>498</v>
      </c>
      <c r="E1178" s="38" t="s">
        <v>2304</v>
      </c>
      <c r="F1178" s="52">
        <v>54.0</v>
      </c>
      <c r="G1178" s="52">
        <v>1097100.0</v>
      </c>
      <c r="H1178" s="52">
        <v>59320.0</v>
      </c>
    </row>
    <row r="1179" ht="15.75" hidden="1" customHeight="1">
      <c r="A1179" s="38" t="s">
        <v>92</v>
      </c>
      <c r="B1179" s="38" t="s">
        <v>186</v>
      </c>
      <c r="C1179" s="38" t="s">
        <v>497</v>
      </c>
      <c r="D1179" s="38" t="s">
        <v>498</v>
      </c>
      <c r="E1179" s="38" t="s">
        <v>2305</v>
      </c>
      <c r="F1179" s="52">
        <v>59.0</v>
      </c>
      <c r="G1179" s="52">
        <v>1249500.0</v>
      </c>
      <c r="H1179" s="52">
        <v>61000.0</v>
      </c>
    </row>
    <row r="1180" ht="15.75" hidden="1" customHeight="1">
      <c r="A1180" s="38" t="s">
        <v>92</v>
      </c>
      <c r="B1180" s="38" t="s">
        <v>186</v>
      </c>
      <c r="C1180" s="38" t="s">
        <v>497</v>
      </c>
      <c r="D1180" s="38" t="s">
        <v>498</v>
      </c>
      <c r="E1180" s="38" t="s">
        <v>2306</v>
      </c>
      <c r="F1180" s="52">
        <v>3.0</v>
      </c>
      <c r="G1180" s="52">
        <v>63000.0</v>
      </c>
      <c r="H1180" s="52">
        <v>4200.0</v>
      </c>
    </row>
    <row r="1181" ht="15.75" hidden="1" customHeight="1">
      <c r="A1181" s="38" t="s">
        <v>92</v>
      </c>
      <c r="B1181" s="38" t="s">
        <v>186</v>
      </c>
      <c r="C1181" s="38" t="s">
        <v>497</v>
      </c>
      <c r="D1181" s="38" t="s">
        <v>498</v>
      </c>
      <c r="E1181" s="38" t="s">
        <v>2307</v>
      </c>
      <c r="F1181" s="52">
        <v>3.0</v>
      </c>
      <c r="G1181" s="52">
        <v>42000.0</v>
      </c>
      <c r="H1181" s="52" t="s">
        <v>1800</v>
      </c>
    </row>
    <row r="1182" ht="15.75" hidden="1" customHeight="1">
      <c r="A1182" s="38" t="s">
        <v>92</v>
      </c>
      <c r="B1182" s="38" t="s">
        <v>186</v>
      </c>
      <c r="C1182" s="38" t="s">
        <v>497</v>
      </c>
      <c r="D1182" s="38" t="s">
        <v>498</v>
      </c>
      <c r="E1182" s="38" t="s">
        <v>2308</v>
      </c>
      <c r="F1182" s="52">
        <v>1.0</v>
      </c>
      <c r="G1182" s="52">
        <v>14000.0</v>
      </c>
      <c r="H1182" s="52">
        <v>2800.0</v>
      </c>
    </row>
    <row r="1183" ht="15.75" hidden="1" customHeight="1">
      <c r="A1183" s="38" t="s">
        <v>92</v>
      </c>
      <c r="B1183" s="38" t="s">
        <v>186</v>
      </c>
      <c r="C1183" s="38" t="s">
        <v>497</v>
      </c>
      <c r="D1183" s="38" t="s">
        <v>498</v>
      </c>
      <c r="E1183" s="38" t="s">
        <v>2309</v>
      </c>
      <c r="F1183" s="52">
        <v>52.0</v>
      </c>
      <c r="G1183" s="52">
        <v>1863000.0</v>
      </c>
      <c r="H1183" s="52">
        <v>163600.0</v>
      </c>
    </row>
    <row r="1184" ht="15.75" hidden="1" customHeight="1">
      <c r="A1184" s="38" t="s">
        <v>92</v>
      </c>
      <c r="B1184" s="38" t="s">
        <v>186</v>
      </c>
      <c r="C1184" s="38" t="s">
        <v>497</v>
      </c>
      <c r="D1184" s="38" t="s">
        <v>498</v>
      </c>
      <c r="E1184" s="38" t="s">
        <v>2310</v>
      </c>
      <c r="F1184" s="52">
        <v>18.0</v>
      </c>
      <c r="G1184" s="52">
        <v>585500.0</v>
      </c>
      <c r="H1184" s="52">
        <v>48500.0</v>
      </c>
    </row>
    <row r="1185" ht="15.75" hidden="1" customHeight="1">
      <c r="A1185" s="38" t="s">
        <v>92</v>
      </c>
      <c r="B1185" s="38" t="s">
        <v>186</v>
      </c>
      <c r="C1185" s="38" t="s">
        <v>497</v>
      </c>
      <c r="D1185" s="38" t="s">
        <v>498</v>
      </c>
      <c r="E1185" s="38" t="s">
        <v>2311</v>
      </c>
      <c r="F1185" s="52">
        <v>3.0</v>
      </c>
      <c r="G1185" s="52">
        <v>51500.0</v>
      </c>
      <c r="H1185" s="52" t="s">
        <v>1800</v>
      </c>
    </row>
    <row r="1186" ht="15.75" hidden="1" customHeight="1">
      <c r="A1186" s="38" t="s">
        <v>92</v>
      </c>
      <c r="B1186" s="38" t="s">
        <v>186</v>
      </c>
      <c r="C1186" s="38" t="s">
        <v>497</v>
      </c>
      <c r="D1186" s="38" t="s">
        <v>498</v>
      </c>
      <c r="E1186" s="38" t="s">
        <v>2312</v>
      </c>
      <c r="F1186" s="52">
        <v>5.0</v>
      </c>
      <c r="G1186" s="52">
        <v>210000.0</v>
      </c>
      <c r="H1186" s="52">
        <v>21000.0</v>
      </c>
    </row>
    <row r="1187" ht="15.75" hidden="1" customHeight="1">
      <c r="A1187" s="38" t="s">
        <v>92</v>
      </c>
      <c r="B1187" s="38" t="s">
        <v>186</v>
      </c>
      <c r="C1187" s="38" t="s">
        <v>497</v>
      </c>
      <c r="D1187" s="38" t="s">
        <v>498</v>
      </c>
      <c r="E1187" s="38" t="s">
        <v>2313</v>
      </c>
      <c r="F1187" s="52">
        <v>15.0</v>
      </c>
      <c r="G1187" s="52">
        <v>306000.0</v>
      </c>
      <c r="H1187" s="52">
        <v>10800.0</v>
      </c>
    </row>
    <row r="1188" ht="15.75" hidden="1" customHeight="1">
      <c r="A1188" s="38" t="s">
        <v>92</v>
      </c>
      <c r="B1188" s="38" t="s">
        <v>186</v>
      </c>
      <c r="C1188" s="38" t="s">
        <v>497</v>
      </c>
      <c r="D1188" s="38" t="s">
        <v>498</v>
      </c>
      <c r="E1188" s="38" t="s">
        <v>2314</v>
      </c>
      <c r="F1188" s="52">
        <v>1.0</v>
      </c>
      <c r="G1188" s="52">
        <v>12000.0</v>
      </c>
      <c r="H1188" s="52">
        <v>2400.0</v>
      </c>
    </row>
    <row r="1189" ht="15.75" hidden="1" customHeight="1">
      <c r="A1189" s="38" t="s">
        <v>92</v>
      </c>
      <c r="B1189" s="38" t="s">
        <v>186</v>
      </c>
      <c r="C1189" s="38" t="s">
        <v>2223</v>
      </c>
      <c r="D1189" s="38" t="s">
        <v>414</v>
      </c>
      <c r="E1189" s="38" t="s">
        <v>2315</v>
      </c>
      <c r="F1189" s="52">
        <v>0.0</v>
      </c>
      <c r="G1189" s="52" t="s">
        <v>1800</v>
      </c>
      <c r="H1189" s="52" t="s">
        <v>1800</v>
      </c>
    </row>
    <row r="1190" ht="15.75" hidden="1" customHeight="1">
      <c r="A1190" s="38" t="s">
        <v>92</v>
      </c>
      <c r="B1190" s="38" t="s">
        <v>117</v>
      </c>
      <c r="C1190" s="38" t="s">
        <v>341</v>
      </c>
      <c r="D1190" s="38" t="s">
        <v>342</v>
      </c>
      <c r="E1190" s="38" t="s">
        <v>2316</v>
      </c>
      <c r="F1190" s="52">
        <v>371.0</v>
      </c>
      <c r="G1190" s="52">
        <v>1.30008E7</v>
      </c>
      <c r="H1190" s="52">
        <v>1218420.0</v>
      </c>
    </row>
    <row r="1191" ht="15.75" hidden="1" customHeight="1">
      <c r="A1191" s="38" t="s">
        <v>92</v>
      </c>
      <c r="B1191" s="38" t="s">
        <v>117</v>
      </c>
      <c r="C1191" s="38" t="s">
        <v>341</v>
      </c>
      <c r="D1191" s="38" t="s">
        <v>342</v>
      </c>
      <c r="E1191" s="38" t="s">
        <v>2317</v>
      </c>
      <c r="F1191" s="52">
        <v>37.0</v>
      </c>
      <c r="G1191" s="52">
        <v>1844400.0</v>
      </c>
      <c r="H1191" s="52">
        <v>230990.0</v>
      </c>
    </row>
    <row r="1192" ht="15.75" hidden="1" customHeight="1">
      <c r="A1192" s="38" t="s">
        <v>92</v>
      </c>
      <c r="B1192" s="38" t="s">
        <v>117</v>
      </c>
      <c r="C1192" s="38" t="s">
        <v>341</v>
      </c>
      <c r="D1192" s="38" t="s">
        <v>342</v>
      </c>
      <c r="E1192" s="38" t="s">
        <v>2318</v>
      </c>
      <c r="F1192" s="52">
        <v>2.0</v>
      </c>
      <c r="G1192" s="52">
        <v>113800.0</v>
      </c>
      <c r="H1192" s="52">
        <v>20000.0</v>
      </c>
    </row>
    <row r="1193" ht="15.75" hidden="1" customHeight="1">
      <c r="A1193" s="38" t="s">
        <v>92</v>
      </c>
      <c r="B1193" s="38" t="s">
        <v>117</v>
      </c>
      <c r="C1193" s="38" t="s">
        <v>341</v>
      </c>
      <c r="D1193" s="38" t="s">
        <v>342</v>
      </c>
      <c r="E1193" s="38" t="s">
        <v>2319</v>
      </c>
      <c r="F1193" s="52">
        <v>0.0</v>
      </c>
      <c r="G1193" s="52" t="s">
        <v>1800</v>
      </c>
      <c r="H1193" s="52" t="s">
        <v>1800</v>
      </c>
    </row>
    <row r="1194" ht="15.75" hidden="1" customHeight="1">
      <c r="A1194" s="38" t="s">
        <v>92</v>
      </c>
      <c r="B1194" s="38" t="s">
        <v>117</v>
      </c>
      <c r="C1194" s="38" t="s">
        <v>341</v>
      </c>
      <c r="D1194" s="38" t="s">
        <v>342</v>
      </c>
      <c r="E1194" s="38" t="s">
        <v>2320</v>
      </c>
      <c r="F1194" s="52">
        <v>1.0</v>
      </c>
      <c r="G1194" s="52">
        <v>57900.0</v>
      </c>
      <c r="H1194" s="52">
        <v>9580.0</v>
      </c>
    </row>
    <row r="1195" ht="15.75" hidden="1" customHeight="1">
      <c r="A1195" s="38" t="s">
        <v>92</v>
      </c>
      <c r="B1195" s="38" t="s">
        <v>117</v>
      </c>
      <c r="C1195" s="38" t="s">
        <v>347</v>
      </c>
      <c r="D1195" s="38" t="s">
        <v>348</v>
      </c>
      <c r="E1195" s="38" t="s">
        <v>2321</v>
      </c>
      <c r="F1195" s="52">
        <v>108.0</v>
      </c>
      <c r="G1195" s="52">
        <v>2834100.0</v>
      </c>
      <c r="H1195" s="52">
        <v>241400.0</v>
      </c>
    </row>
    <row r="1196" ht="15.75" hidden="1" customHeight="1">
      <c r="A1196" s="38" t="s">
        <v>92</v>
      </c>
      <c r="B1196" s="38" t="s">
        <v>186</v>
      </c>
      <c r="C1196" s="38" t="s">
        <v>2322</v>
      </c>
      <c r="D1196" s="38" t="s">
        <v>728</v>
      </c>
      <c r="E1196" s="38" t="s">
        <v>2323</v>
      </c>
      <c r="F1196" s="52">
        <v>0.0</v>
      </c>
      <c r="G1196" s="52" t="s">
        <v>1800</v>
      </c>
      <c r="H1196" s="52" t="s">
        <v>1800</v>
      </c>
    </row>
    <row r="1197" ht="15.75" hidden="1" customHeight="1">
      <c r="A1197" s="38" t="s">
        <v>92</v>
      </c>
      <c r="B1197" s="38" t="s">
        <v>186</v>
      </c>
      <c r="C1197" s="38" t="s">
        <v>2322</v>
      </c>
      <c r="D1197" s="38" t="s">
        <v>728</v>
      </c>
      <c r="E1197" s="38" t="s">
        <v>2324</v>
      </c>
      <c r="F1197" s="52">
        <v>3.0</v>
      </c>
      <c r="G1197" s="52">
        <v>135000.0</v>
      </c>
      <c r="H1197" s="52">
        <v>23000.0</v>
      </c>
    </row>
    <row r="1198" ht="15.75" hidden="1" customHeight="1">
      <c r="A1198" s="38" t="s">
        <v>92</v>
      </c>
      <c r="B1198" s="38" t="s">
        <v>186</v>
      </c>
      <c r="C1198" s="38" t="s">
        <v>2322</v>
      </c>
      <c r="D1198" s="38" t="s">
        <v>728</v>
      </c>
      <c r="E1198" s="38" t="s">
        <v>2325</v>
      </c>
      <c r="F1198" s="52">
        <v>0.0</v>
      </c>
      <c r="G1198" s="52" t="s">
        <v>1800</v>
      </c>
      <c r="H1198" s="52" t="s">
        <v>1800</v>
      </c>
    </row>
    <row r="1199" ht="15.75" hidden="1" customHeight="1">
      <c r="A1199" s="38" t="s">
        <v>92</v>
      </c>
      <c r="B1199" s="38" t="s">
        <v>186</v>
      </c>
      <c r="C1199" s="38" t="s">
        <v>2322</v>
      </c>
      <c r="D1199" s="38" t="s">
        <v>728</v>
      </c>
      <c r="E1199" s="38" t="s">
        <v>2326</v>
      </c>
      <c r="F1199" s="52">
        <v>0.0</v>
      </c>
      <c r="G1199" s="52" t="s">
        <v>1800</v>
      </c>
      <c r="H1199" s="52" t="s">
        <v>1800</v>
      </c>
    </row>
    <row r="1200" ht="15.75" hidden="1" customHeight="1">
      <c r="A1200" s="38" t="s">
        <v>92</v>
      </c>
      <c r="B1200" s="38" t="s">
        <v>186</v>
      </c>
      <c r="C1200" s="38" t="s">
        <v>2322</v>
      </c>
      <c r="D1200" s="38" t="s">
        <v>728</v>
      </c>
      <c r="E1200" s="38" t="s">
        <v>2327</v>
      </c>
      <c r="F1200" s="52">
        <v>5.0</v>
      </c>
      <c r="G1200" s="52">
        <v>100000.0</v>
      </c>
      <c r="H1200" s="52">
        <v>4000.0</v>
      </c>
    </row>
    <row r="1201" ht="15.75" hidden="1" customHeight="1">
      <c r="A1201" s="38" t="s">
        <v>92</v>
      </c>
      <c r="B1201" s="38" t="s">
        <v>186</v>
      </c>
      <c r="C1201" s="38" t="s">
        <v>2322</v>
      </c>
      <c r="D1201" s="38" t="s">
        <v>728</v>
      </c>
      <c r="E1201" s="38" t="s">
        <v>2328</v>
      </c>
      <c r="F1201" s="52">
        <v>5.0</v>
      </c>
      <c r="G1201" s="52">
        <v>210000.0</v>
      </c>
      <c r="H1201" s="52">
        <v>18000.0</v>
      </c>
    </row>
    <row r="1202" ht="15.75" hidden="1" customHeight="1">
      <c r="A1202" s="38" t="s">
        <v>92</v>
      </c>
      <c r="B1202" s="38" t="s">
        <v>186</v>
      </c>
      <c r="C1202" s="38" t="s">
        <v>2322</v>
      </c>
      <c r="D1202" s="38" t="s">
        <v>728</v>
      </c>
      <c r="E1202" s="38" t="s">
        <v>2329</v>
      </c>
      <c r="F1202" s="52">
        <v>0.0</v>
      </c>
      <c r="G1202" s="52" t="s">
        <v>1800</v>
      </c>
      <c r="H1202" s="52" t="s">
        <v>1800</v>
      </c>
    </row>
    <row r="1203" ht="15.75" hidden="1" customHeight="1">
      <c r="A1203" s="38" t="s">
        <v>92</v>
      </c>
      <c r="B1203" s="38" t="s">
        <v>186</v>
      </c>
      <c r="C1203" s="38" t="s">
        <v>2322</v>
      </c>
      <c r="D1203" s="38" t="s">
        <v>728</v>
      </c>
      <c r="E1203" s="38" t="s">
        <v>2330</v>
      </c>
      <c r="F1203" s="52">
        <v>2.0</v>
      </c>
      <c r="G1203" s="52">
        <v>36000.0</v>
      </c>
      <c r="H1203" s="52">
        <v>4800.0</v>
      </c>
    </row>
    <row r="1204" ht="15.75" hidden="1" customHeight="1">
      <c r="A1204" s="38" t="s">
        <v>92</v>
      </c>
      <c r="B1204" s="38" t="s">
        <v>117</v>
      </c>
      <c r="C1204" s="38" t="s">
        <v>446</v>
      </c>
      <c r="D1204" s="38" t="s">
        <v>447</v>
      </c>
      <c r="E1204" s="38" t="s">
        <v>2331</v>
      </c>
      <c r="F1204" s="52">
        <v>14.0</v>
      </c>
      <c r="G1204" s="52">
        <v>386510.0</v>
      </c>
      <c r="H1204" s="52">
        <v>17390.0</v>
      </c>
    </row>
    <row r="1205" ht="15.75" hidden="1" customHeight="1">
      <c r="A1205" s="38" t="s">
        <v>92</v>
      </c>
      <c r="B1205" s="55" t="s">
        <v>117</v>
      </c>
      <c r="C1205" s="38" t="s">
        <v>446</v>
      </c>
      <c r="D1205" s="38" t="s">
        <v>447</v>
      </c>
      <c r="E1205" s="38" t="s">
        <v>2332</v>
      </c>
      <c r="F1205" s="52">
        <v>70.0</v>
      </c>
      <c r="G1205" s="52">
        <v>1388480.0</v>
      </c>
      <c r="H1205" s="52">
        <v>262950.0</v>
      </c>
      <c r="J1205" s="38" t="s">
        <v>186</v>
      </c>
    </row>
    <row r="1206" ht="15.75" hidden="1" customHeight="1">
      <c r="A1206" s="38" t="s">
        <v>92</v>
      </c>
      <c r="B1206" s="55" t="s">
        <v>117</v>
      </c>
      <c r="C1206" s="38" t="s">
        <v>446</v>
      </c>
      <c r="D1206" s="38" t="s">
        <v>447</v>
      </c>
      <c r="E1206" s="38" t="s">
        <v>2333</v>
      </c>
      <c r="F1206" s="52">
        <v>0.0</v>
      </c>
      <c r="G1206" s="52" t="s">
        <v>1800</v>
      </c>
      <c r="H1206" s="52" t="s">
        <v>1800</v>
      </c>
      <c r="J1206" s="38" t="s">
        <v>186</v>
      </c>
    </row>
    <row r="1207" ht="15.75" hidden="1" customHeight="1">
      <c r="A1207" s="38" t="s">
        <v>92</v>
      </c>
      <c r="B1207" s="55" t="s">
        <v>117</v>
      </c>
      <c r="C1207" s="38" t="s">
        <v>446</v>
      </c>
      <c r="D1207" s="38" t="s">
        <v>447</v>
      </c>
      <c r="E1207" s="38" t="s">
        <v>2334</v>
      </c>
      <c r="F1207" s="52">
        <v>8.0</v>
      </c>
      <c r="G1207" s="52">
        <v>225200.0</v>
      </c>
      <c r="H1207" s="52">
        <v>39660.0</v>
      </c>
      <c r="J1207" s="38" t="s">
        <v>186</v>
      </c>
    </row>
    <row r="1208" ht="15.75" hidden="1" customHeight="1">
      <c r="A1208" s="38" t="s">
        <v>92</v>
      </c>
      <c r="B1208" s="55" t="s">
        <v>117</v>
      </c>
      <c r="C1208" s="38" t="s">
        <v>446</v>
      </c>
      <c r="D1208" s="38" t="s">
        <v>447</v>
      </c>
      <c r="E1208" s="38" t="s">
        <v>2335</v>
      </c>
      <c r="F1208" s="52">
        <v>0.0</v>
      </c>
      <c r="G1208" s="52" t="s">
        <v>1800</v>
      </c>
      <c r="H1208" s="52" t="s">
        <v>1800</v>
      </c>
      <c r="J1208" s="38" t="s">
        <v>186</v>
      </c>
    </row>
    <row r="1209" ht="15.75" hidden="1" customHeight="1">
      <c r="A1209" s="38" t="s">
        <v>92</v>
      </c>
      <c r="B1209" s="55" t="s">
        <v>117</v>
      </c>
      <c r="C1209" s="38" t="s">
        <v>446</v>
      </c>
      <c r="D1209" s="38" t="s">
        <v>447</v>
      </c>
      <c r="E1209" s="38" t="s">
        <v>2336</v>
      </c>
      <c r="F1209" s="52">
        <v>3.0</v>
      </c>
      <c r="G1209" s="52">
        <v>106880.0</v>
      </c>
      <c r="H1209" s="52">
        <v>7200.0</v>
      </c>
      <c r="J1209" s="38" t="s">
        <v>186</v>
      </c>
    </row>
    <row r="1210" ht="15.75" hidden="1" customHeight="1">
      <c r="A1210" s="38" t="s">
        <v>92</v>
      </c>
      <c r="B1210" s="38" t="s">
        <v>117</v>
      </c>
      <c r="C1210" s="38" t="s">
        <v>446</v>
      </c>
      <c r="D1210" s="38" t="s">
        <v>447</v>
      </c>
      <c r="E1210" s="38" t="s">
        <v>2337</v>
      </c>
      <c r="F1210" s="52">
        <v>0.0</v>
      </c>
      <c r="G1210" s="52" t="s">
        <v>1800</v>
      </c>
      <c r="H1210" s="52" t="s">
        <v>1800</v>
      </c>
    </row>
    <row r="1211" ht="15.75" hidden="1" customHeight="1">
      <c r="A1211" s="38" t="s">
        <v>92</v>
      </c>
      <c r="B1211" s="55" t="s">
        <v>117</v>
      </c>
      <c r="C1211" s="38" t="s">
        <v>446</v>
      </c>
      <c r="D1211" s="38" t="s">
        <v>447</v>
      </c>
      <c r="E1211" s="38" t="s">
        <v>2338</v>
      </c>
      <c r="F1211" s="52">
        <v>0.0</v>
      </c>
      <c r="G1211" s="52" t="s">
        <v>1800</v>
      </c>
      <c r="H1211" s="52" t="s">
        <v>1800</v>
      </c>
      <c r="J1211" s="38" t="s">
        <v>186</v>
      </c>
    </row>
    <row r="1212" ht="15.75" hidden="1" customHeight="1">
      <c r="A1212" s="38" t="s">
        <v>92</v>
      </c>
      <c r="B1212" s="55" t="s">
        <v>117</v>
      </c>
      <c r="C1212" s="38" t="s">
        <v>446</v>
      </c>
      <c r="D1212" s="38" t="s">
        <v>447</v>
      </c>
      <c r="E1212" s="38" t="s">
        <v>2339</v>
      </c>
      <c r="F1212" s="52">
        <v>0.0</v>
      </c>
      <c r="G1212" s="52" t="s">
        <v>1800</v>
      </c>
      <c r="H1212" s="52" t="s">
        <v>1800</v>
      </c>
      <c r="J1212" s="38" t="s">
        <v>186</v>
      </c>
    </row>
    <row r="1213" ht="15.75" hidden="1" customHeight="1">
      <c r="A1213" s="38" t="s">
        <v>92</v>
      </c>
      <c r="B1213" s="38" t="s">
        <v>117</v>
      </c>
      <c r="C1213" s="38" t="s">
        <v>446</v>
      </c>
      <c r="D1213" s="38" t="s">
        <v>447</v>
      </c>
      <c r="E1213" s="38" t="s">
        <v>2340</v>
      </c>
      <c r="F1213" s="52">
        <v>0.0</v>
      </c>
      <c r="G1213" s="52" t="s">
        <v>1800</v>
      </c>
      <c r="H1213" s="52" t="s">
        <v>1800</v>
      </c>
    </row>
    <row r="1214" ht="15.75" hidden="1" customHeight="1">
      <c r="A1214" s="38" t="s">
        <v>92</v>
      </c>
      <c r="B1214" s="38" t="s">
        <v>117</v>
      </c>
      <c r="C1214" s="38" t="s">
        <v>287</v>
      </c>
      <c r="D1214" s="38" t="s">
        <v>288</v>
      </c>
      <c r="E1214" s="38" t="s">
        <v>2341</v>
      </c>
      <c r="F1214" s="52">
        <v>4847.0</v>
      </c>
      <c r="G1214" s="52">
        <v>1.95587E8</v>
      </c>
      <c r="H1214" s="52">
        <v>4883600.0</v>
      </c>
    </row>
    <row r="1215" ht="15.75" hidden="1" customHeight="1">
      <c r="A1215" s="38" t="s">
        <v>92</v>
      </c>
      <c r="B1215" s="38" t="s">
        <v>117</v>
      </c>
      <c r="C1215" s="38" t="s">
        <v>589</v>
      </c>
      <c r="D1215" s="38" t="s">
        <v>590</v>
      </c>
      <c r="E1215" s="38" t="s">
        <v>2342</v>
      </c>
      <c r="F1215" s="52">
        <v>10.0</v>
      </c>
      <c r="G1215" s="52">
        <v>201000.0</v>
      </c>
      <c r="H1215" s="52">
        <v>4200.0</v>
      </c>
    </row>
    <row r="1216" ht="15.75" hidden="1" customHeight="1">
      <c r="A1216" s="38" t="s">
        <v>92</v>
      </c>
      <c r="B1216" s="38" t="s">
        <v>117</v>
      </c>
      <c r="C1216" s="38" t="s">
        <v>2343</v>
      </c>
      <c r="D1216" s="38" t="s">
        <v>317</v>
      </c>
      <c r="E1216" s="38" t="s">
        <v>2344</v>
      </c>
      <c r="F1216" s="52">
        <v>19.0</v>
      </c>
      <c r="G1216" s="52">
        <v>750000.0</v>
      </c>
      <c r="H1216" s="52">
        <v>90580.0</v>
      </c>
    </row>
    <row r="1217" ht="15.75" hidden="1" customHeight="1">
      <c r="A1217" s="38" t="s">
        <v>92</v>
      </c>
      <c r="B1217" s="38" t="s">
        <v>117</v>
      </c>
      <c r="C1217" s="38" t="s">
        <v>2343</v>
      </c>
      <c r="D1217" s="38" t="s">
        <v>317</v>
      </c>
      <c r="E1217" s="38" t="s">
        <v>2345</v>
      </c>
      <c r="F1217" s="52">
        <v>351.0</v>
      </c>
      <c r="G1217" s="52">
        <v>1.512476E7</v>
      </c>
      <c r="H1217" s="52">
        <v>1106700.0</v>
      </c>
    </row>
    <row r="1218" ht="15.75" hidden="1" customHeight="1">
      <c r="A1218" s="38" t="s">
        <v>92</v>
      </c>
      <c r="B1218" s="38" t="s">
        <v>117</v>
      </c>
      <c r="C1218" s="38" t="s">
        <v>2343</v>
      </c>
      <c r="D1218" s="38" t="s">
        <v>317</v>
      </c>
      <c r="E1218" s="38" t="s">
        <v>2346</v>
      </c>
      <c r="F1218" s="52">
        <v>748.0</v>
      </c>
      <c r="G1218" s="52">
        <v>2.484504E7</v>
      </c>
      <c r="H1218" s="52">
        <v>2964040.0</v>
      </c>
    </row>
    <row r="1219" ht="15.75" hidden="1" customHeight="1">
      <c r="A1219" s="38" t="s">
        <v>92</v>
      </c>
      <c r="B1219" s="38" t="s">
        <v>117</v>
      </c>
      <c r="C1219" s="38" t="s">
        <v>2343</v>
      </c>
      <c r="D1219" s="38" t="s">
        <v>317</v>
      </c>
      <c r="E1219" s="38" t="s">
        <v>2347</v>
      </c>
      <c r="F1219" s="52">
        <v>1.0</v>
      </c>
      <c r="G1219" s="52">
        <v>35900.0</v>
      </c>
      <c r="H1219" s="52" t="s">
        <v>1800</v>
      </c>
    </row>
    <row r="1220" ht="15.75" hidden="1" customHeight="1">
      <c r="A1220" s="38" t="s">
        <v>92</v>
      </c>
      <c r="B1220" s="38" t="s">
        <v>186</v>
      </c>
      <c r="C1220" s="38" t="s">
        <v>663</v>
      </c>
      <c r="D1220" s="38" t="s">
        <v>664</v>
      </c>
      <c r="E1220" s="38" t="s">
        <v>2348</v>
      </c>
      <c r="F1220" s="52">
        <v>8.0</v>
      </c>
      <c r="G1220" s="52">
        <v>164400.0</v>
      </c>
      <c r="H1220" s="52">
        <v>10720.0</v>
      </c>
    </row>
    <row r="1221" ht="15.75" hidden="1" customHeight="1">
      <c r="A1221" s="38" t="s">
        <v>92</v>
      </c>
      <c r="B1221" s="38" t="s">
        <v>186</v>
      </c>
      <c r="C1221" s="38" t="s">
        <v>663</v>
      </c>
      <c r="D1221" s="38" t="s">
        <v>664</v>
      </c>
      <c r="E1221" s="38" t="s">
        <v>2349</v>
      </c>
      <c r="F1221" s="52">
        <v>0.0</v>
      </c>
      <c r="G1221" s="52" t="s">
        <v>1800</v>
      </c>
      <c r="H1221" s="52" t="s">
        <v>1800</v>
      </c>
    </row>
    <row r="1222" ht="15.75" hidden="1" customHeight="1">
      <c r="A1222" s="38" t="s">
        <v>92</v>
      </c>
      <c r="B1222" s="38" t="s">
        <v>186</v>
      </c>
      <c r="C1222" s="38" t="s">
        <v>663</v>
      </c>
      <c r="D1222" s="38" t="s">
        <v>664</v>
      </c>
      <c r="E1222" s="38" t="s">
        <v>2350</v>
      </c>
      <c r="F1222" s="52">
        <v>0.0</v>
      </c>
      <c r="G1222" s="52" t="s">
        <v>1800</v>
      </c>
      <c r="H1222" s="52" t="s">
        <v>1800</v>
      </c>
    </row>
    <row r="1223" ht="15.75" hidden="1" customHeight="1">
      <c r="A1223" s="38" t="s">
        <v>92</v>
      </c>
      <c r="B1223" s="38" t="s">
        <v>186</v>
      </c>
      <c r="C1223" s="38" t="s">
        <v>663</v>
      </c>
      <c r="D1223" s="38" t="s">
        <v>664</v>
      </c>
      <c r="E1223" s="38" t="s">
        <v>2351</v>
      </c>
      <c r="F1223" s="52">
        <v>1.0</v>
      </c>
      <c r="G1223" s="52">
        <v>9000.0</v>
      </c>
      <c r="H1223" s="52">
        <v>1800.0</v>
      </c>
    </row>
    <row r="1224" ht="15.75" hidden="1" customHeight="1">
      <c r="A1224" s="38" t="s">
        <v>92</v>
      </c>
      <c r="B1224" s="38" t="s">
        <v>186</v>
      </c>
      <c r="C1224" s="38" t="s">
        <v>663</v>
      </c>
      <c r="D1224" s="38" t="s">
        <v>664</v>
      </c>
      <c r="E1224" s="38" t="s">
        <v>2352</v>
      </c>
      <c r="F1224" s="52">
        <v>8.0</v>
      </c>
      <c r="G1224" s="52">
        <v>147900.0</v>
      </c>
      <c r="H1224" s="52" t="s">
        <v>1800</v>
      </c>
    </row>
    <row r="1225" ht="15.75" hidden="1" customHeight="1">
      <c r="A1225" s="38" t="s">
        <v>92</v>
      </c>
      <c r="B1225" s="38" t="s">
        <v>186</v>
      </c>
      <c r="C1225" s="38" t="s">
        <v>663</v>
      </c>
      <c r="D1225" s="38" t="s">
        <v>664</v>
      </c>
      <c r="E1225" s="38" t="s">
        <v>2353</v>
      </c>
      <c r="F1225" s="52">
        <v>1.0</v>
      </c>
      <c r="G1225" s="52">
        <v>31800.0</v>
      </c>
      <c r="H1225" s="52">
        <v>6360.0</v>
      </c>
    </row>
    <row r="1226" ht="15.75" hidden="1" customHeight="1">
      <c r="A1226" s="38" t="s">
        <v>92</v>
      </c>
      <c r="B1226" s="38" t="s">
        <v>186</v>
      </c>
      <c r="C1226" s="38" t="s">
        <v>663</v>
      </c>
      <c r="D1226" s="38" t="s">
        <v>664</v>
      </c>
      <c r="E1226" s="38" t="s">
        <v>2354</v>
      </c>
      <c r="F1226" s="52">
        <v>0.0</v>
      </c>
      <c r="G1226" s="52" t="s">
        <v>1800</v>
      </c>
      <c r="H1226" s="52" t="s">
        <v>1800</v>
      </c>
    </row>
    <row r="1227" ht="15.75" hidden="1" customHeight="1">
      <c r="A1227" s="38" t="s">
        <v>92</v>
      </c>
      <c r="B1227" s="38" t="s">
        <v>186</v>
      </c>
      <c r="C1227" s="38" t="s">
        <v>663</v>
      </c>
      <c r="D1227" s="38" t="s">
        <v>664</v>
      </c>
      <c r="E1227" s="38" t="s">
        <v>2355</v>
      </c>
      <c r="F1227" s="52">
        <v>5.0</v>
      </c>
      <c r="G1227" s="52">
        <v>220900.0</v>
      </c>
      <c r="H1227" s="52">
        <v>16600.0</v>
      </c>
    </row>
    <row r="1228" ht="15.75" hidden="1" customHeight="1">
      <c r="A1228" s="38" t="s">
        <v>92</v>
      </c>
      <c r="B1228" s="38" t="s">
        <v>186</v>
      </c>
      <c r="C1228" s="38" t="s">
        <v>663</v>
      </c>
      <c r="D1228" s="38" t="s">
        <v>664</v>
      </c>
      <c r="E1228" s="38" t="s">
        <v>2356</v>
      </c>
      <c r="F1228" s="52">
        <v>0.0</v>
      </c>
      <c r="G1228" s="52" t="s">
        <v>1800</v>
      </c>
      <c r="H1228" s="52" t="s">
        <v>1800</v>
      </c>
    </row>
    <row r="1229" ht="15.75" hidden="1" customHeight="1">
      <c r="A1229" s="38" t="s">
        <v>92</v>
      </c>
      <c r="B1229" s="38" t="s">
        <v>186</v>
      </c>
      <c r="C1229" s="38" t="s">
        <v>663</v>
      </c>
      <c r="D1229" s="38" t="s">
        <v>664</v>
      </c>
      <c r="E1229" s="38" t="s">
        <v>2357</v>
      </c>
      <c r="F1229" s="52">
        <v>3.0</v>
      </c>
      <c r="G1229" s="52">
        <v>83600.0</v>
      </c>
      <c r="H1229" s="52" t="s">
        <v>1800</v>
      </c>
    </row>
    <row r="1230" ht="15.75" hidden="1" customHeight="1">
      <c r="A1230" s="38" t="s">
        <v>92</v>
      </c>
      <c r="B1230" s="38" t="s">
        <v>186</v>
      </c>
      <c r="C1230" s="38" t="s">
        <v>663</v>
      </c>
      <c r="D1230" s="38" t="s">
        <v>664</v>
      </c>
      <c r="E1230" s="38" t="s">
        <v>2358</v>
      </c>
      <c r="F1230" s="52">
        <v>0.0</v>
      </c>
      <c r="G1230" s="52" t="s">
        <v>1800</v>
      </c>
      <c r="H1230" s="52" t="s">
        <v>1800</v>
      </c>
    </row>
    <row r="1231" ht="15.75" hidden="1" customHeight="1">
      <c r="A1231" s="38" t="s">
        <v>92</v>
      </c>
      <c r="B1231" s="38" t="s">
        <v>186</v>
      </c>
      <c r="C1231" s="38" t="s">
        <v>663</v>
      </c>
      <c r="D1231" s="38" t="s">
        <v>664</v>
      </c>
      <c r="E1231" s="38" t="s">
        <v>2359</v>
      </c>
      <c r="F1231" s="52">
        <v>2.0</v>
      </c>
      <c r="G1231" s="52">
        <v>64200.0</v>
      </c>
      <c r="H1231" s="52" t="s">
        <v>1800</v>
      </c>
    </row>
    <row r="1232" ht="15.75" hidden="1" customHeight="1">
      <c r="A1232" s="38" t="s">
        <v>92</v>
      </c>
      <c r="B1232" s="38" t="s">
        <v>186</v>
      </c>
      <c r="C1232" s="38" t="s">
        <v>663</v>
      </c>
      <c r="D1232" s="38" t="s">
        <v>664</v>
      </c>
      <c r="E1232" s="38" t="s">
        <v>2360</v>
      </c>
      <c r="F1232" s="52">
        <v>2.0</v>
      </c>
      <c r="G1232" s="52">
        <v>89600.0</v>
      </c>
      <c r="H1232" s="52">
        <v>17920.0</v>
      </c>
    </row>
    <row r="1233" ht="15.75" hidden="1" customHeight="1">
      <c r="A1233" s="38" t="s">
        <v>92</v>
      </c>
      <c r="B1233" s="38" t="s">
        <v>186</v>
      </c>
      <c r="C1233" s="38" t="s">
        <v>663</v>
      </c>
      <c r="D1233" s="38" t="s">
        <v>664</v>
      </c>
      <c r="E1233" s="38" t="s">
        <v>2361</v>
      </c>
      <c r="F1233" s="52">
        <v>1.0</v>
      </c>
      <c r="G1233" s="52">
        <v>13400.0</v>
      </c>
      <c r="H1233" s="52">
        <v>2680.0</v>
      </c>
    </row>
    <row r="1234" ht="15.75" hidden="1" customHeight="1">
      <c r="A1234" s="38" t="s">
        <v>92</v>
      </c>
      <c r="B1234" s="38" t="s">
        <v>186</v>
      </c>
      <c r="C1234" s="38" t="s">
        <v>663</v>
      </c>
      <c r="D1234" s="38" t="s">
        <v>664</v>
      </c>
      <c r="E1234" s="38" t="s">
        <v>2362</v>
      </c>
      <c r="F1234" s="52">
        <v>0.0</v>
      </c>
      <c r="G1234" s="52" t="s">
        <v>1800</v>
      </c>
      <c r="H1234" s="52" t="s">
        <v>1800</v>
      </c>
    </row>
    <row r="1235" ht="15.75" hidden="1" customHeight="1">
      <c r="A1235" s="38" t="s">
        <v>92</v>
      </c>
      <c r="B1235" s="38" t="s">
        <v>186</v>
      </c>
      <c r="C1235" s="38" t="s">
        <v>663</v>
      </c>
      <c r="D1235" s="38" t="s">
        <v>664</v>
      </c>
      <c r="E1235" s="38" t="s">
        <v>2363</v>
      </c>
      <c r="F1235" s="52">
        <v>1.0</v>
      </c>
      <c r="G1235" s="52">
        <v>38400.0</v>
      </c>
      <c r="H1235" s="52" t="s">
        <v>1800</v>
      </c>
    </row>
    <row r="1236" ht="15.75" hidden="1" customHeight="1">
      <c r="A1236" s="38" t="s">
        <v>92</v>
      </c>
      <c r="B1236" s="38" t="s">
        <v>186</v>
      </c>
      <c r="C1236" s="38" t="s">
        <v>663</v>
      </c>
      <c r="D1236" s="38" t="s">
        <v>664</v>
      </c>
      <c r="E1236" s="38" t="s">
        <v>2364</v>
      </c>
      <c r="F1236" s="52">
        <v>3.0</v>
      </c>
      <c r="G1236" s="52">
        <v>114500.0</v>
      </c>
      <c r="H1236" s="52">
        <v>22900.0</v>
      </c>
    </row>
    <row r="1237" ht="15.75" hidden="1" customHeight="1">
      <c r="A1237" s="38" t="s">
        <v>92</v>
      </c>
      <c r="B1237" s="38" t="s">
        <v>186</v>
      </c>
      <c r="C1237" s="38" t="s">
        <v>663</v>
      </c>
      <c r="D1237" s="38" t="s">
        <v>664</v>
      </c>
      <c r="E1237" s="38" t="s">
        <v>2365</v>
      </c>
      <c r="F1237" s="52">
        <v>5.0</v>
      </c>
      <c r="G1237" s="52">
        <v>99000.0</v>
      </c>
      <c r="H1237" s="52">
        <v>11880.0</v>
      </c>
    </row>
    <row r="1238" ht="15.75" hidden="1" customHeight="1">
      <c r="A1238" s="38" t="s">
        <v>92</v>
      </c>
      <c r="B1238" s="38" t="s">
        <v>186</v>
      </c>
      <c r="C1238" s="38" t="s">
        <v>2366</v>
      </c>
      <c r="D1238" s="38" t="s">
        <v>556</v>
      </c>
      <c r="E1238" s="38" t="s">
        <v>2367</v>
      </c>
      <c r="F1238" s="52">
        <v>5.0</v>
      </c>
      <c r="G1238" s="52">
        <v>416000.0</v>
      </c>
      <c r="H1238" s="52">
        <v>7200.0</v>
      </c>
    </row>
    <row r="1239" ht="15.75" hidden="1" customHeight="1">
      <c r="A1239" s="38" t="s">
        <v>92</v>
      </c>
      <c r="B1239" s="38" t="s">
        <v>186</v>
      </c>
      <c r="C1239" s="38" t="s">
        <v>2366</v>
      </c>
      <c r="D1239" s="38" t="s">
        <v>556</v>
      </c>
      <c r="E1239" s="38" t="s">
        <v>2368</v>
      </c>
      <c r="F1239" s="52">
        <v>3.0</v>
      </c>
      <c r="G1239" s="52">
        <v>137900.0</v>
      </c>
      <c r="H1239" s="52">
        <v>7880.0</v>
      </c>
    </row>
    <row r="1240" ht="15.75" hidden="1" customHeight="1">
      <c r="A1240" s="38" t="s">
        <v>92</v>
      </c>
      <c r="B1240" s="38" t="s">
        <v>186</v>
      </c>
      <c r="C1240" s="38" t="s">
        <v>2366</v>
      </c>
      <c r="D1240" s="38" t="s">
        <v>556</v>
      </c>
      <c r="E1240" s="38" t="s">
        <v>2369</v>
      </c>
      <c r="F1240" s="52">
        <v>2.0</v>
      </c>
      <c r="G1240" s="52">
        <v>58000.0</v>
      </c>
      <c r="H1240" s="52" t="s">
        <v>1800</v>
      </c>
    </row>
    <row r="1241" ht="15.75" hidden="1" customHeight="1">
      <c r="A1241" s="38" t="s">
        <v>92</v>
      </c>
      <c r="B1241" s="38" t="s">
        <v>186</v>
      </c>
      <c r="C1241" s="38" t="s">
        <v>2366</v>
      </c>
      <c r="D1241" s="38" t="s">
        <v>556</v>
      </c>
      <c r="E1241" s="38" t="s">
        <v>2370</v>
      </c>
      <c r="F1241" s="52">
        <v>3.0</v>
      </c>
      <c r="G1241" s="52">
        <v>87000.0</v>
      </c>
      <c r="H1241" s="52" t="s">
        <v>1800</v>
      </c>
    </row>
    <row r="1242" ht="15.75" hidden="1" customHeight="1">
      <c r="A1242" s="38" t="s">
        <v>92</v>
      </c>
      <c r="B1242" s="38" t="s">
        <v>186</v>
      </c>
      <c r="C1242" s="38" t="s">
        <v>2371</v>
      </c>
      <c r="D1242" s="38" t="s">
        <v>2372</v>
      </c>
      <c r="E1242" s="38" t="s">
        <v>2373</v>
      </c>
      <c r="F1242" s="52">
        <v>3.0</v>
      </c>
      <c r="G1242" s="52">
        <v>83700.0</v>
      </c>
      <c r="H1242" s="52">
        <v>5580.0</v>
      </c>
    </row>
    <row r="1243" ht="15.75" hidden="1" customHeight="1">
      <c r="A1243" s="38" t="s">
        <v>92</v>
      </c>
      <c r="B1243" s="38" t="s">
        <v>186</v>
      </c>
      <c r="C1243" s="38" t="s">
        <v>663</v>
      </c>
      <c r="D1243" s="38" t="s">
        <v>664</v>
      </c>
      <c r="E1243" s="38" t="s">
        <v>2374</v>
      </c>
      <c r="F1243" s="52">
        <v>0.0</v>
      </c>
      <c r="G1243" s="52" t="s">
        <v>1800</v>
      </c>
      <c r="H1243" s="52" t="s">
        <v>1800</v>
      </c>
    </row>
    <row r="1244" ht="15.75" hidden="1" customHeight="1">
      <c r="A1244" s="38" t="s">
        <v>92</v>
      </c>
      <c r="B1244" s="38" t="s">
        <v>186</v>
      </c>
      <c r="C1244" s="38" t="s">
        <v>677</v>
      </c>
      <c r="D1244" s="38" t="s">
        <v>678</v>
      </c>
      <c r="E1244" s="38" t="s">
        <v>2375</v>
      </c>
      <c r="F1244" s="52">
        <v>5.0</v>
      </c>
      <c r="G1244" s="52">
        <v>71600.0</v>
      </c>
      <c r="H1244" s="52" t="s">
        <v>1800</v>
      </c>
    </row>
    <row r="1245" ht="15.75" hidden="1" customHeight="1">
      <c r="A1245" s="38" t="s">
        <v>92</v>
      </c>
      <c r="B1245" s="38" t="s">
        <v>186</v>
      </c>
      <c r="C1245" s="38" t="s">
        <v>677</v>
      </c>
      <c r="D1245" s="38" t="s">
        <v>678</v>
      </c>
      <c r="E1245" s="38" t="s">
        <v>2376</v>
      </c>
      <c r="F1245" s="52">
        <v>2.0</v>
      </c>
      <c r="G1245" s="52">
        <v>25920.0</v>
      </c>
      <c r="H1245" s="52">
        <v>3890.0</v>
      </c>
    </row>
    <row r="1246" ht="15.75" hidden="1" customHeight="1">
      <c r="A1246" s="38" t="s">
        <v>92</v>
      </c>
      <c r="B1246" s="38" t="s">
        <v>186</v>
      </c>
      <c r="C1246" s="38" t="s">
        <v>677</v>
      </c>
      <c r="D1246" s="38" t="s">
        <v>678</v>
      </c>
      <c r="E1246" s="38" t="s">
        <v>2377</v>
      </c>
      <c r="F1246" s="52">
        <v>1.0</v>
      </c>
      <c r="G1246" s="52">
        <v>6480.0</v>
      </c>
      <c r="H1246" s="52" t="s">
        <v>1800</v>
      </c>
    </row>
    <row r="1247" ht="15.75" hidden="1" customHeight="1">
      <c r="A1247" s="38" t="s">
        <v>92</v>
      </c>
      <c r="B1247" s="38" t="s">
        <v>186</v>
      </c>
      <c r="C1247" s="38" t="s">
        <v>677</v>
      </c>
      <c r="D1247" s="38" t="s">
        <v>678</v>
      </c>
      <c r="E1247" s="38" t="s">
        <v>2378</v>
      </c>
      <c r="F1247" s="52">
        <v>4.0</v>
      </c>
      <c r="G1247" s="52">
        <v>24480.0</v>
      </c>
      <c r="H1247" s="52" t="s">
        <v>1800</v>
      </c>
    </row>
    <row r="1248" ht="15.75" hidden="1" customHeight="1">
      <c r="A1248" s="38" t="s">
        <v>92</v>
      </c>
      <c r="B1248" s="38" t="s">
        <v>186</v>
      </c>
      <c r="C1248" s="38" t="s">
        <v>677</v>
      </c>
      <c r="D1248" s="38" t="s">
        <v>678</v>
      </c>
      <c r="E1248" s="38" t="s">
        <v>2379</v>
      </c>
      <c r="F1248" s="52">
        <v>1.0</v>
      </c>
      <c r="G1248" s="52">
        <v>6480.0</v>
      </c>
      <c r="H1248" s="52" t="s">
        <v>1800</v>
      </c>
    </row>
    <row r="1249" ht="15.75" hidden="1" customHeight="1">
      <c r="A1249" s="38" t="s">
        <v>92</v>
      </c>
      <c r="B1249" s="38" t="s">
        <v>186</v>
      </c>
      <c r="C1249" s="38" t="s">
        <v>677</v>
      </c>
      <c r="D1249" s="38" t="s">
        <v>678</v>
      </c>
      <c r="E1249" s="38" t="s">
        <v>2380</v>
      </c>
      <c r="F1249" s="52">
        <v>2.0</v>
      </c>
      <c r="G1249" s="52">
        <v>85260.0</v>
      </c>
      <c r="H1249" s="52" t="s">
        <v>1800</v>
      </c>
    </row>
    <row r="1250" ht="15.75" hidden="1" customHeight="1">
      <c r="A1250" s="38" t="s">
        <v>92</v>
      </c>
      <c r="B1250" s="38" t="s">
        <v>117</v>
      </c>
      <c r="C1250" s="38" t="s">
        <v>467</v>
      </c>
      <c r="D1250" s="38" t="s">
        <v>468</v>
      </c>
      <c r="E1250" s="38" t="s">
        <v>2381</v>
      </c>
      <c r="F1250" s="52">
        <v>247.0</v>
      </c>
      <c r="G1250" s="52">
        <v>2356800.0</v>
      </c>
      <c r="H1250" s="52">
        <v>221980.0</v>
      </c>
    </row>
    <row r="1251" ht="15.75" hidden="1" customHeight="1">
      <c r="A1251" s="38" t="s">
        <v>92</v>
      </c>
      <c r="B1251" s="38" t="s">
        <v>117</v>
      </c>
      <c r="C1251" s="38" t="s">
        <v>480</v>
      </c>
      <c r="D1251" s="38" t="s">
        <v>481</v>
      </c>
      <c r="E1251" s="38" t="s">
        <v>2382</v>
      </c>
      <c r="F1251" s="52">
        <v>34.0</v>
      </c>
      <c r="G1251" s="52">
        <v>1555000.0</v>
      </c>
      <c r="H1251" s="52">
        <v>295000.0</v>
      </c>
    </row>
    <row r="1252" ht="15.75" hidden="1" customHeight="1">
      <c r="A1252" s="38" t="s">
        <v>92</v>
      </c>
      <c r="B1252" s="38" t="s">
        <v>117</v>
      </c>
      <c r="C1252" s="38" t="s">
        <v>480</v>
      </c>
      <c r="D1252" s="38" t="s">
        <v>481</v>
      </c>
      <c r="E1252" s="38" t="s">
        <v>2383</v>
      </c>
      <c r="F1252" s="52">
        <v>3.0</v>
      </c>
      <c r="G1252" s="52">
        <v>28000.0</v>
      </c>
      <c r="H1252" s="52" t="s">
        <v>1800</v>
      </c>
    </row>
    <row r="1253" ht="15.75" hidden="1" customHeight="1">
      <c r="A1253" s="38" t="s">
        <v>92</v>
      </c>
      <c r="B1253" s="38" t="s">
        <v>117</v>
      </c>
      <c r="C1253" s="38" t="s">
        <v>480</v>
      </c>
      <c r="D1253" s="38" t="s">
        <v>481</v>
      </c>
      <c r="E1253" s="38" t="s">
        <v>2384</v>
      </c>
      <c r="F1253" s="52">
        <v>2.0</v>
      </c>
      <c r="G1253" s="52">
        <v>14000.0</v>
      </c>
      <c r="H1253" s="52" t="s">
        <v>1800</v>
      </c>
    </row>
    <row r="1254" ht="15.75" hidden="1" customHeight="1">
      <c r="A1254" s="38" t="s">
        <v>92</v>
      </c>
      <c r="B1254" s="38" t="s">
        <v>117</v>
      </c>
      <c r="C1254" s="38" t="s">
        <v>480</v>
      </c>
      <c r="D1254" s="38" t="s">
        <v>481</v>
      </c>
      <c r="E1254" s="38" t="s">
        <v>2385</v>
      </c>
      <c r="F1254" s="52">
        <v>20.0</v>
      </c>
      <c r="G1254" s="52">
        <v>770000.0</v>
      </c>
      <c r="H1254" s="52">
        <v>125940.0</v>
      </c>
    </row>
    <row r="1255" ht="15.75" hidden="1" customHeight="1">
      <c r="A1255" s="38" t="s">
        <v>92</v>
      </c>
      <c r="B1255" s="38" t="s">
        <v>117</v>
      </c>
      <c r="C1255" s="38" t="s">
        <v>480</v>
      </c>
      <c r="D1255" s="38" t="s">
        <v>481</v>
      </c>
      <c r="E1255" s="38" t="s">
        <v>2386</v>
      </c>
      <c r="F1255" s="52">
        <v>8.0</v>
      </c>
      <c r="G1255" s="52">
        <v>144000.0</v>
      </c>
      <c r="H1255" s="52">
        <v>17400.0</v>
      </c>
    </row>
    <row r="1256" ht="15.75" hidden="1" customHeight="1">
      <c r="A1256" s="38" t="s">
        <v>92</v>
      </c>
      <c r="B1256" s="38" t="s">
        <v>117</v>
      </c>
      <c r="C1256" s="38" t="s">
        <v>480</v>
      </c>
      <c r="D1256" s="38" t="s">
        <v>481</v>
      </c>
      <c r="E1256" s="38" t="s">
        <v>2389</v>
      </c>
      <c r="F1256" s="52">
        <v>1.0</v>
      </c>
      <c r="G1256" s="52">
        <v>5000.0</v>
      </c>
      <c r="H1256" s="52" t="s">
        <v>1800</v>
      </c>
    </row>
    <row r="1257" ht="15.75" hidden="1" customHeight="1">
      <c r="A1257" s="38" t="s">
        <v>92</v>
      </c>
      <c r="B1257" s="38" t="s">
        <v>117</v>
      </c>
      <c r="C1257" s="38" t="s">
        <v>480</v>
      </c>
      <c r="D1257" s="38" t="s">
        <v>481</v>
      </c>
      <c r="E1257" s="38" t="s">
        <v>2390</v>
      </c>
      <c r="F1257" s="52">
        <v>6.0</v>
      </c>
      <c r="G1257" s="52">
        <v>27000.0</v>
      </c>
      <c r="H1257" s="52" t="s">
        <v>1800</v>
      </c>
    </row>
    <row r="1258" ht="15.75" hidden="1" customHeight="1">
      <c r="A1258" s="38" t="s">
        <v>92</v>
      </c>
      <c r="B1258" s="38" t="s">
        <v>117</v>
      </c>
      <c r="C1258" s="38" t="s">
        <v>480</v>
      </c>
      <c r="D1258" s="38" t="s">
        <v>481</v>
      </c>
      <c r="E1258" s="38" t="s">
        <v>2391</v>
      </c>
      <c r="F1258" s="52">
        <v>0.0</v>
      </c>
      <c r="G1258" s="52" t="s">
        <v>1800</v>
      </c>
      <c r="H1258" s="52" t="s">
        <v>1800</v>
      </c>
    </row>
    <row r="1259" ht="15.75" hidden="1" customHeight="1">
      <c r="A1259" s="38" t="s">
        <v>92</v>
      </c>
      <c r="B1259" s="38" t="s">
        <v>117</v>
      </c>
      <c r="C1259" s="38" t="s">
        <v>480</v>
      </c>
      <c r="D1259" s="38" t="s">
        <v>481</v>
      </c>
      <c r="E1259" s="38" t="s">
        <v>2392</v>
      </c>
      <c r="F1259" s="52">
        <v>0.0</v>
      </c>
      <c r="G1259" s="52" t="s">
        <v>1800</v>
      </c>
      <c r="H1259" s="52" t="s">
        <v>1800</v>
      </c>
    </row>
    <row r="1260" ht="15.75" hidden="1" customHeight="1">
      <c r="A1260" s="38" t="s">
        <v>92</v>
      </c>
      <c r="B1260" s="38" t="s">
        <v>117</v>
      </c>
      <c r="C1260" s="38" t="s">
        <v>480</v>
      </c>
      <c r="D1260" s="38" t="s">
        <v>481</v>
      </c>
      <c r="E1260" s="38" t="s">
        <v>2393</v>
      </c>
      <c r="F1260" s="52">
        <v>1.0</v>
      </c>
      <c r="G1260" s="52">
        <v>9000.0</v>
      </c>
      <c r="H1260" s="52" t="s">
        <v>1800</v>
      </c>
    </row>
    <row r="1261" ht="15.75" hidden="1" customHeight="1">
      <c r="A1261" s="38" t="s">
        <v>92</v>
      </c>
      <c r="B1261" s="38" t="s">
        <v>117</v>
      </c>
      <c r="C1261" s="38" t="s">
        <v>480</v>
      </c>
      <c r="D1261" s="38" t="s">
        <v>481</v>
      </c>
      <c r="E1261" s="38" t="s">
        <v>2394</v>
      </c>
      <c r="F1261" s="52">
        <v>0.0</v>
      </c>
      <c r="G1261" s="52" t="s">
        <v>1800</v>
      </c>
      <c r="H1261" s="52" t="s">
        <v>1800</v>
      </c>
    </row>
    <row r="1262" ht="15.75" hidden="1" customHeight="1">
      <c r="A1262" s="38" t="s">
        <v>92</v>
      </c>
      <c r="B1262" s="38" t="s">
        <v>117</v>
      </c>
      <c r="C1262" s="38" t="s">
        <v>480</v>
      </c>
      <c r="D1262" s="38" t="s">
        <v>481</v>
      </c>
      <c r="E1262" s="38" t="s">
        <v>2395</v>
      </c>
      <c r="F1262" s="52">
        <v>9.0</v>
      </c>
      <c r="G1262" s="52">
        <v>390000.0</v>
      </c>
      <c r="H1262" s="52">
        <v>66000.0</v>
      </c>
    </row>
    <row r="1263" ht="15.75" hidden="1" customHeight="1">
      <c r="A1263" s="38" t="s">
        <v>92</v>
      </c>
      <c r="B1263" s="38" t="s">
        <v>117</v>
      </c>
      <c r="C1263" s="38" t="s">
        <v>480</v>
      </c>
      <c r="D1263" s="38" t="s">
        <v>481</v>
      </c>
      <c r="E1263" s="38" t="s">
        <v>2396</v>
      </c>
      <c r="F1263" s="52">
        <v>5.0</v>
      </c>
      <c r="G1263" s="52">
        <v>117000.0</v>
      </c>
      <c r="H1263" s="52">
        <v>12800.0</v>
      </c>
    </row>
    <row r="1264" ht="15.75" hidden="1" customHeight="1">
      <c r="A1264" s="38" t="s">
        <v>92</v>
      </c>
      <c r="B1264" s="38" t="s">
        <v>117</v>
      </c>
      <c r="C1264" s="38" t="s">
        <v>480</v>
      </c>
      <c r="D1264" s="38" t="s">
        <v>481</v>
      </c>
      <c r="E1264" s="38" t="s">
        <v>2397</v>
      </c>
      <c r="F1264" s="52">
        <v>5.0</v>
      </c>
      <c r="G1264" s="52">
        <v>103000.0</v>
      </c>
      <c r="H1264" s="52">
        <v>10000.0</v>
      </c>
    </row>
    <row r="1265" ht="15.75" hidden="1" customHeight="1">
      <c r="A1265" s="38" t="s">
        <v>92</v>
      </c>
      <c r="B1265" s="38" t="s">
        <v>117</v>
      </c>
      <c r="C1265" s="38" t="s">
        <v>480</v>
      </c>
      <c r="D1265" s="38" t="s">
        <v>481</v>
      </c>
      <c r="E1265" s="38" t="s">
        <v>2398</v>
      </c>
      <c r="F1265" s="52">
        <v>1.0</v>
      </c>
      <c r="G1265" s="52">
        <v>4500.0</v>
      </c>
      <c r="H1265" s="52" t="s">
        <v>1800</v>
      </c>
    </row>
    <row r="1266" ht="15.75" hidden="1" customHeight="1">
      <c r="A1266" s="38" t="s">
        <v>92</v>
      </c>
      <c r="B1266" s="38" t="s">
        <v>117</v>
      </c>
      <c r="C1266" s="38" t="s">
        <v>480</v>
      </c>
      <c r="D1266" s="38" t="s">
        <v>481</v>
      </c>
      <c r="E1266" s="38" t="s">
        <v>2399</v>
      </c>
      <c r="F1266" s="52">
        <v>16.0</v>
      </c>
      <c r="G1266" s="52">
        <v>206000.0</v>
      </c>
      <c r="H1266" s="52">
        <v>12000.0</v>
      </c>
    </row>
    <row r="1267" ht="15.75" hidden="1" customHeight="1">
      <c r="A1267" s="38" t="s">
        <v>92</v>
      </c>
      <c r="B1267" s="38" t="s">
        <v>117</v>
      </c>
      <c r="C1267" s="38" t="s">
        <v>480</v>
      </c>
      <c r="D1267" s="38" t="s">
        <v>481</v>
      </c>
      <c r="E1267" s="38" t="s">
        <v>2400</v>
      </c>
      <c r="F1267" s="52">
        <v>42.0</v>
      </c>
      <c r="G1267" s="52">
        <v>1030000.0</v>
      </c>
      <c r="H1267" s="52">
        <v>126300.0</v>
      </c>
    </row>
    <row r="1268" ht="15.75" hidden="1" customHeight="1">
      <c r="A1268" s="38" t="s">
        <v>92</v>
      </c>
      <c r="B1268" s="38" t="s">
        <v>117</v>
      </c>
      <c r="C1268" s="38" t="s">
        <v>480</v>
      </c>
      <c r="D1268" s="38" t="s">
        <v>481</v>
      </c>
      <c r="E1268" s="38" t="s">
        <v>2401</v>
      </c>
      <c r="F1268" s="52">
        <v>85.0</v>
      </c>
      <c r="G1268" s="52">
        <v>3276000.0</v>
      </c>
      <c r="H1268" s="52">
        <v>511400.0</v>
      </c>
    </row>
    <row r="1269" ht="15.75" hidden="1" customHeight="1">
      <c r="A1269" s="38" t="s">
        <v>92</v>
      </c>
      <c r="B1269" s="38" t="s">
        <v>117</v>
      </c>
      <c r="C1269" s="38" t="s">
        <v>480</v>
      </c>
      <c r="D1269" s="38" t="s">
        <v>481</v>
      </c>
      <c r="E1269" s="38" t="s">
        <v>2402</v>
      </c>
      <c r="F1269" s="52">
        <v>29.0</v>
      </c>
      <c r="G1269" s="52">
        <v>1552000.0</v>
      </c>
      <c r="H1269" s="52">
        <v>119800.0</v>
      </c>
    </row>
    <row r="1270" ht="15.75" hidden="1" customHeight="1">
      <c r="A1270" s="38" t="s">
        <v>92</v>
      </c>
      <c r="B1270" s="38" t="s">
        <v>117</v>
      </c>
      <c r="C1270" s="38" t="s">
        <v>480</v>
      </c>
      <c r="D1270" s="38" t="s">
        <v>481</v>
      </c>
      <c r="E1270" s="38" t="s">
        <v>2403</v>
      </c>
      <c r="F1270" s="52">
        <v>21.0</v>
      </c>
      <c r="G1270" s="52">
        <v>246000.0</v>
      </c>
      <c r="H1270" s="52">
        <v>19000.0</v>
      </c>
    </row>
    <row r="1271" ht="15.75" hidden="1" customHeight="1">
      <c r="A1271" s="38" t="s">
        <v>92</v>
      </c>
      <c r="B1271" s="38" t="s">
        <v>117</v>
      </c>
      <c r="C1271" s="38" t="s">
        <v>480</v>
      </c>
      <c r="D1271" s="38" t="s">
        <v>481</v>
      </c>
      <c r="E1271" s="38" t="s">
        <v>2404</v>
      </c>
      <c r="F1271" s="52">
        <v>16.0</v>
      </c>
      <c r="G1271" s="52">
        <v>107000.0</v>
      </c>
      <c r="H1271" s="52">
        <v>2200.0</v>
      </c>
    </row>
    <row r="1272" ht="15.75" hidden="1" customHeight="1">
      <c r="A1272" s="38" t="s">
        <v>92</v>
      </c>
      <c r="B1272" s="38" t="s">
        <v>186</v>
      </c>
      <c r="C1272" s="38" t="s">
        <v>480</v>
      </c>
      <c r="D1272" s="38" t="s">
        <v>481</v>
      </c>
      <c r="E1272" s="38" t="s">
        <v>653</v>
      </c>
      <c r="F1272" s="52">
        <v>16.0</v>
      </c>
      <c r="G1272" s="52">
        <v>167000.0</v>
      </c>
      <c r="H1272" s="52">
        <v>5000.0</v>
      </c>
    </row>
    <row r="1273" ht="15.75" hidden="1" customHeight="1">
      <c r="A1273" s="38" t="s">
        <v>92</v>
      </c>
      <c r="B1273" s="38" t="s">
        <v>117</v>
      </c>
      <c r="C1273" s="38" t="s">
        <v>480</v>
      </c>
      <c r="D1273" s="38" t="s">
        <v>481</v>
      </c>
      <c r="E1273" s="38" t="s">
        <v>2405</v>
      </c>
      <c r="F1273" s="52">
        <v>17.0</v>
      </c>
      <c r="G1273" s="52">
        <v>361000.0</v>
      </c>
      <c r="H1273" s="52">
        <v>54000.0</v>
      </c>
    </row>
    <row r="1274" ht="15.75" hidden="1" customHeight="1">
      <c r="A1274" s="38" t="s">
        <v>92</v>
      </c>
      <c r="B1274" s="38" t="s">
        <v>117</v>
      </c>
      <c r="C1274" s="38" t="s">
        <v>480</v>
      </c>
      <c r="D1274" s="38" t="s">
        <v>481</v>
      </c>
      <c r="E1274" s="38" t="s">
        <v>2406</v>
      </c>
      <c r="F1274" s="52">
        <v>17.0</v>
      </c>
      <c r="G1274" s="52">
        <v>367000.0</v>
      </c>
      <c r="H1274" s="52">
        <v>36800.0</v>
      </c>
    </row>
    <row r="1275" ht="15.75" hidden="1" customHeight="1">
      <c r="A1275" s="38" t="s">
        <v>92</v>
      </c>
      <c r="B1275" s="38" t="s">
        <v>117</v>
      </c>
      <c r="C1275" s="38" t="s">
        <v>480</v>
      </c>
      <c r="D1275" s="38" t="s">
        <v>481</v>
      </c>
      <c r="E1275" s="38" t="s">
        <v>2407</v>
      </c>
      <c r="F1275" s="52">
        <v>74.0</v>
      </c>
      <c r="G1275" s="52">
        <v>1197000.0</v>
      </c>
      <c r="H1275" s="52">
        <v>96400.0</v>
      </c>
    </row>
    <row r="1276" ht="15.75" hidden="1" customHeight="1">
      <c r="A1276" s="38" t="s">
        <v>92</v>
      </c>
      <c r="B1276" s="38" t="s">
        <v>117</v>
      </c>
      <c r="C1276" s="38" t="s">
        <v>480</v>
      </c>
      <c r="D1276" s="38" t="s">
        <v>481</v>
      </c>
      <c r="E1276" s="38" t="s">
        <v>2408</v>
      </c>
      <c r="F1276" s="52">
        <v>4.0</v>
      </c>
      <c r="G1276" s="52">
        <v>30000.0</v>
      </c>
      <c r="H1276" s="52" t="s">
        <v>1800</v>
      </c>
    </row>
    <row r="1277" ht="15.75" hidden="1" customHeight="1">
      <c r="A1277" s="38" t="s">
        <v>92</v>
      </c>
      <c r="B1277" s="38" t="s">
        <v>117</v>
      </c>
      <c r="C1277" s="38" t="s">
        <v>480</v>
      </c>
      <c r="D1277" s="38" t="s">
        <v>481</v>
      </c>
      <c r="E1277" s="38" t="s">
        <v>2409</v>
      </c>
      <c r="F1277" s="52">
        <v>12.0</v>
      </c>
      <c r="G1277" s="52">
        <v>274000.0</v>
      </c>
      <c r="H1277" s="52">
        <v>15000.0</v>
      </c>
    </row>
    <row r="1278" ht="15.75" hidden="1" customHeight="1">
      <c r="A1278" s="38" t="s">
        <v>92</v>
      </c>
      <c r="B1278" s="38" t="s">
        <v>117</v>
      </c>
      <c r="C1278" s="38" t="s">
        <v>480</v>
      </c>
      <c r="D1278" s="38" t="s">
        <v>481</v>
      </c>
      <c r="E1278" s="38" t="s">
        <v>2410</v>
      </c>
      <c r="F1278" s="52">
        <v>62.0</v>
      </c>
      <c r="G1278" s="52">
        <v>2864000.0</v>
      </c>
      <c r="H1278" s="52">
        <v>352600.0</v>
      </c>
    </row>
    <row r="1279" ht="15.75" hidden="1" customHeight="1">
      <c r="A1279" s="38" t="s">
        <v>92</v>
      </c>
      <c r="B1279" s="38" t="s">
        <v>117</v>
      </c>
      <c r="C1279" s="38" t="s">
        <v>480</v>
      </c>
      <c r="D1279" s="38" t="s">
        <v>481</v>
      </c>
      <c r="E1279" s="38" t="s">
        <v>2411</v>
      </c>
      <c r="F1279" s="52">
        <v>3.0</v>
      </c>
      <c r="G1279" s="52">
        <v>19000.0</v>
      </c>
      <c r="H1279" s="52">
        <v>1800.0</v>
      </c>
    </row>
    <row r="1280" ht="15.75" hidden="1" customHeight="1">
      <c r="A1280" s="38" t="s">
        <v>92</v>
      </c>
      <c r="B1280" s="38" t="s">
        <v>117</v>
      </c>
      <c r="C1280" s="38" t="s">
        <v>480</v>
      </c>
      <c r="D1280" s="38" t="s">
        <v>481</v>
      </c>
      <c r="E1280" s="38" t="s">
        <v>2412</v>
      </c>
      <c r="F1280" s="52">
        <v>1.0</v>
      </c>
      <c r="G1280" s="52">
        <v>9000.0</v>
      </c>
      <c r="H1280" s="52" t="s">
        <v>1800</v>
      </c>
    </row>
    <row r="1281" ht="15.75" hidden="1" customHeight="1">
      <c r="A1281" s="38" t="s">
        <v>92</v>
      </c>
      <c r="B1281" s="38" t="s">
        <v>117</v>
      </c>
      <c r="C1281" s="38" t="s">
        <v>480</v>
      </c>
      <c r="D1281" s="38" t="s">
        <v>481</v>
      </c>
      <c r="E1281" s="38" t="s">
        <v>2413</v>
      </c>
      <c r="F1281" s="52">
        <v>35.0</v>
      </c>
      <c r="G1281" s="52">
        <v>353500.0</v>
      </c>
      <c r="H1281" s="52">
        <v>8200.0</v>
      </c>
    </row>
    <row r="1282" ht="15.75" hidden="1" customHeight="1">
      <c r="A1282" s="38" t="s">
        <v>92</v>
      </c>
      <c r="B1282" s="38" t="s">
        <v>117</v>
      </c>
      <c r="C1282" s="38" t="s">
        <v>592</v>
      </c>
      <c r="D1282" s="38" t="s">
        <v>593</v>
      </c>
      <c r="E1282" s="38" t="s">
        <v>2414</v>
      </c>
      <c r="F1282" s="52">
        <v>1.0</v>
      </c>
      <c r="G1282" s="52">
        <v>40000.0</v>
      </c>
      <c r="H1282" s="52">
        <v>8000.0</v>
      </c>
    </row>
    <row r="1283" ht="15.75" hidden="1" customHeight="1">
      <c r="A1283" s="38" t="s">
        <v>92</v>
      </c>
      <c r="B1283" s="38" t="s">
        <v>117</v>
      </c>
      <c r="C1283" s="38" t="s">
        <v>592</v>
      </c>
      <c r="D1283" s="38" t="s">
        <v>593</v>
      </c>
      <c r="E1283" s="38" t="s">
        <v>2415</v>
      </c>
      <c r="F1283" s="52">
        <v>2.0</v>
      </c>
      <c r="G1283" s="52">
        <v>200000.0</v>
      </c>
      <c r="H1283" s="52">
        <v>10000.0</v>
      </c>
    </row>
    <row r="1284" ht="15.75" hidden="1" customHeight="1">
      <c r="A1284" s="38" t="s">
        <v>92</v>
      </c>
      <c r="B1284" s="38" t="s">
        <v>117</v>
      </c>
      <c r="C1284" s="38" t="s">
        <v>2416</v>
      </c>
      <c r="D1284" s="38" t="s">
        <v>2417</v>
      </c>
      <c r="E1284" s="38" t="s">
        <v>2418</v>
      </c>
      <c r="F1284" s="52">
        <v>0.0</v>
      </c>
      <c r="G1284" s="52" t="s">
        <v>1800</v>
      </c>
      <c r="H1284" s="52" t="s">
        <v>1800</v>
      </c>
    </row>
    <row r="1285" ht="15.75" hidden="1" customHeight="1">
      <c r="A1285" s="38" t="s">
        <v>92</v>
      </c>
      <c r="B1285" s="38" t="s">
        <v>186</v>
      </c>
      <c r="C1285" s="38" t="s">
        <v>2419</v>
      </c>
      <c r="D1285" s="38" t="s">
        <v>367</v>
      </c>
      <c r="E1285" s="38" t="s">
        <v>2420</v>
      </c>
      <c r="F1285" s="52">
        <v>96.0</v>
      </c>
      <c r="G1285" s="52">
        <v>3003500.0</v>
      </c>
      <c r="H1285" s="52">
        <v>86600.0</v>
      </c>
    </row>
    <row r="1286" ht="15.75" hidden="1" customHeight="1">
      <c r="A1286" s="38" t="s">
        <v>92</v>
      </c>
      <c r="B1286" s="38" t="s">
        <v>186</v>
      </c>
      <c r="C1286" s="38" t="s">
        <v>2419</v>
      </c>
      <c r="D1286" s="38" t="s">
        <v>367</v>
      </c>
      <c r="E1286" s="38" t="s">
        <v>2421</v>
      </c>
      <c r="F1286" s="52">
        <v>47.0</v>
      </c>
      <c r="G1286" s="52">
        <v>1120000.0</v>
      </c>
      <c r="H1286" s="52">
        <v>70000.0</v>
      </c>
    </row>
    <row r="1287" ht="15.75" hidden="1" customHeight="1">
      <c r="A1287" s="38" t="s">
        <v>92</v>
      </c>
      <c r="B1287" s="38" t="s">
        <v>186</v>
      </c>
      <c r="C1287" s="38" t="s">
        <v>2419</v>
      </c>
      <c r="D1287" s="38" t="s">
        <v>367</v>
      </c>
      <c r="E1287" s="38" t="s">
        <v>2422</v>
      </c>
      <c r="F1287" s="52">
        <v>168.0</v>
      </c>
      <c r="G1287" s="52">
        <v>7561000.0</v>
      </c>
      <c r="H1287" s="52">
        <v>230000.0</v>
      </c>
    </row>
    <row r="1288" ht="15.75" hidden="1" customHeight="1">
      <c r="A1288" s="38" t="s">
        <v>92</v>
      </c>
      <c r="B1288" s="38" t="s">
        <v>186</v>
      </c>
      <c r="C1288" s="38" t="s">
        <v>2419</v>
      </c>
      <c r="D1288" s="38" t="s">
        <v>367</v>
      </c>
      <c r="E1288" s="38" t="s">
        <v>2423</v>
      </c>
      <c r="F1288" s="52">
        <v>11.0</v>
      </c>
      <c r="G1288" s="52">
        <v>271100.0</v>
      </c>
      <c r="H1288" s="52">
        <v>22620.0</v>
      </c>
    </row>
    <row r="1289" ht="15.75" hidden="1" customHeight="1">
      <c r="A1289" s="38" t="s">
        <v>92</v>
      </c>
      <c r="B1289" s="38" t="s">
        <v>186</v>
      </c>
      <c r="C1289" s="38" t="s">
        <v>2419</v>
      </c>
      <c r="D1289" s="38" t="s">
        <v>367</v>
      </c>
      <c r="E1289" s="38" t="s">
        <v>2424</v>
      </c>
      <c r="F1289" s="52">
        <v>16.0</v>
      </c>
      <c r="G1289" s="52">
        <v>247000.0</v>
      </c>
      <c r="H1289" s="52">
        <v>15000.0</v>
      </c>
    </row>
    <row r="1290" ht="15.75" hidden="1" customHeight="1">
      <c r="A1290" s="38" t="s">
        <v>92</v>
      </c>
      <c r="B1290" s="38" t="s">
        <v>186</v>
      </c>
      <c r="C1290" s="38" t="s">
        <v>2419</v>
      </c>
      <c r="D1290" s="38" t="s">
        <v>367</v>
      </c>
      <c r="E1290" s="38" t="s">
        <v>2425</v>
      </c>
      <c r="F1290" s="52">
        <v>12.0</v>
      </c>
      <c r="G1290" s="52">
        <v>195000.0</v>
      </c>
      <c r="H1290" s="52">
        <v>6000.0</v>
      </c>
    </row>
    <row r="1291" ht="15.75" hidden="1" customHeight="1">
      <c r="A1291" s="38" t="s">
        <v>92</v>
      </c>
      <c r="B1291" s="38" t="s">
        <v>186</v>
      </c>
      <c r="C1291" s="38" t="s">
        <v>2419</v>
      </c>
      <c r="D1291" s="38" t="s">
        <v>367</v>
      </c>
      <c r="E1291" s="38" t="s">
        <v>2426</v>
      </c>
      <c r="F1291" s="52">
        <v>2.0</v>
      </c>
      <c r="G1291" s="52">
        <v>30000.0</v>
      </c>
      <c r="H1291" s="52">
        <v>3000.0</v>
      </c>
    </row>
    <row r="1292" ht="15.75" hidden="1" customHeight="1">
      <c r="A1292" s="38" t="s">
        <v>92</v>
      </c>
      <c r="B1292" s="38" t="s">
        <v>186</v>
      </c>
      <c r="C1292" s="38" t="s">
        <v>2419</v>
      </c>
      <c r="D1292" s="38" t="s">
        <v>367</v>
      </c>
      <c r="E1292" s="38" t="s">
        <v>2427</v>
      </c>
      <c r="F1292" s="52">
        <v>4.0</v>
      </c>
      <c r="G1292" s="52">
        <v>90000.0</v>
      </c>
      <c r="H1292" s="52">
        <v>6000.0</v>
      </c>
    </row>
    <row r="1293" ht="15.75" hidden="1" customHeight="1">
      <c r="A1293" s="38" t="s">
        <v>92</v>
      </c>
      <c r="B1293" s="38" t="s">
        <v>186</v>
      </c>
      <c r="C1293" s="38" t="s">
        <v>2419</v>
      </c>
      <c r="D1293" s="38" t="s">
        <v>367</v>
      </c>
      <c r="E1293" s="38" t="s">
        <v>2428</v>
      </c>
      <c r="F1293" s="52">
        <v>4.0</v>
      </c>
      <c r="G1293" s="52">
        <v>120000.0</v>
      </c>
      <c r="H1293" s="52">
        <v>8940.0</v>
      </c>
    </row>
    <row r="1294" ht="15.75" hidden="1" customHeight="1">
      <c r="A1294" s="38" t="s">
        <v>92</v>
      </c>
      <c r="B1294" s="38" t="s">
        <v>186</v>
      </c>
      <c r="C1294" s="38" t="s">
        <v>2419</v>
      </c>
      <c r="D1294" s="38" t="s">
        <v>367</v>
      </c>
      <c r="E1294" s="38" t="s">
        <v>2429</v>
      </c>
      <c r="F1294" s="52">
        <v>4.0</v>
      </c>
      <c r="G1294" s="52">
        <v>59000.0</v>
      </c>
      <c r="H1294" s="52" t="s">
        <v>1800</v>
      </c>
    </row>
    <row r="1295" ht="15.75" hidden="1" customHeight="1">
      <c r="A1295" s="38" t="s">
        <v>92</v>
      </c>
      <c r="B1295" s="38" t="s">
        <v>186</v>
      </c>
      <c r="C1295" s="38" t="s">
        <v>2419</v>
      </c>
      <c r="D1295" s="38" t="s">
        <v>367</v>
      </c>
      <c r="E1295" s="38" t="s">
        <v>2430</v>
      </c>
      <c r="F1295" s="52">
        <v>4.0</v>
      </c>
      <c r="G1295" s="52">
        <v>68000.0</v>
      </c>
      <c r="H1295" s="52" t="s">
        <v>1800</v>
      </c>
    </row>
    <row r="1296" ht="15.75" hidden="1" customHeight="1">
      <c r="A1296" s="38" t="s">
        <v>92</v>
      </c>
      <c r="B1296" s="38" t="s">
        <v>186</v>
      </c>
      <c r="C1296" s="38" t="s">
        <v>2419</v>
      </c>
      <c r="D1296" s="38" t="s">
        <v>367</v>
      </c>
      <c r="E1296" s="38" t="s">
        <v>2431</v>
      </c>
      <c r="F1296" s="52">
        <v>3.0</v>
      </c>
      <c r="G1296" s="52">
        <v>38000.0</v>
      </c>
      <c r="H1296" s="52">
        <v>3000.0</v>
      </c>
    </row>
    <row r="1297" ht="15.75" hidden="1" customHeight="1">
      <c r="A1297" s="38" t="s">
        <v>92</v>
      </c>
      <c r="B1297" s="38" t="s">
        <v>186</v>
      </c>
      <c r="C1297" s="38" t="s">
        <v>2419</v>
      </c>
      <c r="D1297" s="38" t="s">
        <v>367</v>
      </c>
      <c r="E1297" s="38" t="s">
        <v>2432</v>
      </c>
      <c r="F1297" s="52">
        <v>13.0</v>
      </c>
      <c r="G1297" s="52">
        <v>182000.0</v>
      </c>
      <c r="H1297" s="52">
        <v>10400.0</v>
      </c>
    </row>
    <row r="1298" ht="15.75" hidden="1" customHeight="1">
      <c r="A1298" s="38" t="s">
        <v>92</v>
      </c>
      <c r="B1298" s="38" t="s">
        <v>186</v>
      </c>
      <c r="C1298" s="38" t="s">
        <v>2419</v>
      </c>
      <c r="D1298" s="38" t="s">
        <v>367</v>
      </c>
      <c r="E1298" s="38" t="s">
        <v>2433</v>
      </c>
      <c r="F1298" s="52">
        <v>7.0</v>
      </c>
      <c r="G1298" s="52">
        <v>221000.0</v>
      </c>
      <c r="H1298" s="52">
        <v>23000.0</v>
      </c>
    </row>
    <row r="1299" ht="15.75" hidden="1" customHeight="1">
      <c r="A1299" s="38" t="s">
        <v>92</v>
      </c>
      <c r="B1299" s="38" t="s">
        <v>186</v>
      </c>
      <c r="C1299" s="38" t="s">
        <v>2419</v>
      </c>
      <c r="D1299" s="38" t="s">
        <v>367</v>
      </c>
      <c r="E1299" s="38" t="s">
        <v>2434</v>
      </c>
      <c r="F1299" s="52">
        <v>0.0</v>
      </c>
      <c r="G1299" s="52" t="s">
        <v>1800</v>
      </c>
      <c r="H1299" s="52" t="s">
        <v>1800</v>
      </c>
    </row>
    <row r="1300" ht="15.75" hidden="1" customHeight="1">
      <c r="A1300" s="38" t="s">
        <v>92</v>
      </c>
      <c r="B1300" s="38" t="s">
        <v>117</v>
      </c>
      <c r="C1300" s="38" t="s">
        <v>742</v>
      </c>
      <c r="D1300" s="38" t="s">
        <v>743</v>
      </c>
      <c r="E1300" s="38" t="s">
        <v>2435</v>
      </c>
      <c r="F1300" s="52">
        <v>3.0</v>
      </c>
      <c r="G1300" s="52">
        <v>70000.0</v>
      </c>
      <c r="H1300" s="52">
        <v>9000.0</v>
      </c>
    </row>
    <row r="1301" ht="15.75" hidden="1" customHeight="1">
      <c r="A1301" s="38" t="s">
        <v>92</v>
      </c>
      <c r="B1301" s="38" t="s">
        <v>117</v>
      </c>
      <c r="C1301" s="38" t="s">
        <v>742</v>
      </c>
      <c r="D1301" s="38" t="s">
        <v>743</v>
      </c>
      <c r="E1301" s="38" t="s">
        <v>2436</v>
      </c>
      <c r="F1301" s="52">
        <v>0.0</v>
      </c>
      <c r="G1301" s="52" t="s">
        <v>1800</v>
      </c>
      <c r="H1301" s="52" t="s">
        <v>1800</v>
      </c>
    </row>
    <row r="1302" ht="15.75" hidden="1" customHeight="1">
      <c r="A1302" s="38" t="s">
        <v>92</v>
      </c>
      <c r="B1302" s="38" t="s">
        <v>117</v>
      </c>
      <c r="C1302" s="38" t="s">
        <v>742</v>
      </c>
      <c r="D1302" s="38" t="s">
        <v>743</v>
      </c>
      <c r="E1302" s="38" t="s">
        <v>2437</v>
      </c>
      <c r="F1302" s="52">
        <v>0.0</v>
      </c>
      <c r="G1302" s="52" t="s">
        <v>1800</v>
      </c>
      <c r="H1302" s="52" t="s">
        <v>1800</v>
      </c>
    </row>
    <row r="1303" ht="15.75" hidden="1" customHeight="1">
      <c r="A1303" s="38" t="s">
        <v>92</v>
      </c>
      <c r="B1303" s="38" t="s">
        <v>117</v>
      </c>
      <c r="C1303" s="38" t="s">
        <v>742</v>
      </c>
      <c r="D1303" s="38" t="s">
        <v>743</v>
      </c>
      <c r="E1303" s="38" t="s">
        <v>2438</v>
      </c>
      <c r="F1303" s="52">
        <v>0.0</v>
      </c>
      <c r="G1303" s="52" t="s">
        <v>1800</v>
      </c>
      <c r="H1303" s="52" t="s">
        <v>1800</v>
      </c>
    </row>
    <row r="1304" ht="15.75" hidden="1" customHeight="1">
      <c r="A1304" s="38" t="s">
        <v>92</v>
      </c>
      <c r="B1304" s="38" t="s">
        <v>117</v>
      </c>
      <c r="C1304" s="38" t="s">
        <v>742</v>
      </c>
      <c r="D1304" s="38" t="s">
        <v>743</v>
      </c>
      <c r="E1304" s="38" t="s">
        <v>2439</v>
      </c>
      <c r="F1304" s="52">
        <v>1.0</v>
      </c>
      <c r="G1304" s="52">
        <v>32000.0</v>
      </c>
      <c r="H1304" s="52" t="s">
        <v>1800</v>
      </c>
    </row>
    <row r="1305" ht="15.75" hidden="1" customHeight="1">
      <c r="A1305" s="38" t="s">
        <v>92</v>
      </c>
      <c r="B1305" s="38" t="s">
        <v>117</v>
      </c>
      <c r="C1305" s="38" t="s">
        <v>2440</v>
      </c>
      <c r="D1305" s="38" t="s">
        <v>2441</v>
      </c>
      <c r="E1305" s="38" t="s">
        <v>2442</v>
      </c>
      <c r="F1305" s="52">
        <v>0.0</v>
      </c>
      <c r="G1305" s="52" t="s">
        <v>1800</v>
      </c>
      <c r="H1305" s="52" t="s">
        <v>1800</v>
      </c>
    </row>
    <row r="1306" ht="15.75" hidden="1" customHeight="1">
      <c r="A1306" s="38" t="s">
        <v>92</v>
      </c>
      <c r="B1306" s="38" t="s">
        <v>186</v>
      </c>
      <c r="C1306" s="38" t="s">
        <v>1943</v>
      </c>
      <c r="D1306" s="38" t="s">
        <v>750</v>
      </c>
      <c r="E1306" s="38" t="s">
        <v>2443</v>
      </c>
      <c r="F1306" s="52">
        <v>0.0</v>
      </c>
      <c r="G1306" s="52" t="s">
        <v>1800</v>
      </c>
      <c r="H1306" s="52" t="s">
        <v>1800</v>
      </c>
    </row>
    <row r="1307" ht="15.75" hidden="1" customHeight="1">
      <c r="A1307" s="38" t="s">
        <v>92</v>
      </c>
      <c r="B1307" s="38" t="s">
        <v>186</v>
      </c>
      <c r="C1307" s="38" t="s">
        <v>1943</v>
      </c>
      <c r="D1307" s="38" t="s">
        <v>750</v>
      </c>
      <c r="E1307" s="38" t="s">
        <v>2444</v>
      </c>
      <c r="F1307" s="52">
        <v>0.0</v>
      </c>
      <c r="G1307" s="52" t="s">
        <v>1800</v>
      </c>
      <c r="H1307" s="52" t="s">
        <v>1800</v>
      </c>
    </row>
    <row r="1308" ht="15.75" hidden="1" customHeight="1">
      <c r="A1308" s="38" t="s">
        <v>92</v>
      </c>
      <c r="B1308" s="38" t="s">
        <v>117</v>
      </c>
      <c r="C1308" s="38" t="s">
        <v>742</v>
      </c>
      <c r="D1308" s="38" t="s">
        <v>743</v>
      </c>
      <c r="E1308" s="38" t="s">
        <v>2445</v>
      </c>
      <c r="F1308" s="52">
        <v>0.0</v>
      </c>
      <c r="G1308" s="52" t="s">
        <v>1800</v>
      </c>
      <c r="H1308" s="52" t="s">
        <v>1800</v>
      </c>
    </row>
    <row r="1309" ht="15.75" hidden="1" customHeight="1">
      <c r="A1309" s="38" t="s">
        <v>92</v>
      </c>
      <c r="B1309" s="38" t="s">
        <v>117</v>
      </c>
      <c r="C1309" s="38" t="s">
        <v>2157</v>
      </c>
      <c r="D1309" s="38" t="s">
        <v>402</v>
      </c>
      <c r="E1309" s="38" t="s">
        <v>2446</v>
      </c>
      <c r="F1309" s="52">
        <v>51.0</v>
      </c>
      <c r="G1309" s="52">
        <v>2568620.0</v>
      </c>
      <c r="H1309" s="52">
        <v>239260.0</v>
      </c>
    </row>
    <row r="1310" ht="15.75" hidden="1" customHeight="1">
      <c r="A1310" s="38" t="s">
        <v>92</v>
      </c>
      <c r="B1310" s="38" t="s">
        <v>186</v>
      </c>
      <c r="C1310" s="38" t="s">
        <v>2157</v>
      </c>
      <c r="D1310" s="38" t="s">
        <v>402</v>
      </c>
      <c r="E1310" s="38" t="s">
        <v>2447</v>
      </c>
      <c r="F1310" s="52">
        <v>2.0</v>
      </c>
      <c r="G1310" s="52">
        <v>31600.0</v>
      </c>
      <c r="H1310" s="52">
        <v>5340.0</v>
      </c>
    </row>
    <row r="1311" ht="15.75" hidden="1" customHeight="1">
      <c r="A1311" s="38" t="s">
        <v>92</v>
      </c>
      <c r="B1311" s="38" t="s">
        <v>186</v>
      </c>
      <c r="C1311" s="38" t="s">
        <v>2157</v>
      </c>
      <c r="D1311" s="38" t="s">
        <v>402</v>
      </c>
      <c r="E1311" s="38" t="s">
        <v>2448</v>
      </c>
      <c r="F1311" s="52">
        <v>1.0</v>
      </c>
      <c r="G1311" s="52">
        <v>6500.0</v>
      </c>
      <c r="H1311" s="52" t="s">
        <v>1800</v>
      </c>
    </row>
    <row r="1312" ht="15.75" hidden="1" customHeight="1">
      <c r="A1312" s="38" t="s">
        <v>92</v>
      </c>
      <c r="B1312" s="38" t="s">
        <v>117</v>
      </c>
      <c r="C1312" s="38" t="s">
        <v>602</v>
      </c>
      <c r="D1312" s="38" t="s">
        <v>601</v>
      </c>
      <c r="E1312" s="38" t="s">
        <v>2449</v>
      </c>
      <c r="F1312" s="52">
        <v>3.0</v>
      </c>
      <c r="G1312" s="52">
        <v>175000.0</v>
      </c>
      <c r="H1312" s="52" t="s">
        <v>1800</v>
      </c>
    </row>
    <row r="1313" ht="15.75" hidden="1" customHeight="1">
      <c r="A1313" s="38" t="s">
        <v>92</v>
      </c>
      <c r="B1313" s="38" t="s">
        <v>117</v>
      </c>
      <c r="C1313" s="38" t="s">
        <v>607</v>
      </c>
      <c r="D1313" s="38" t="s">
        <v>608</v>
      </c>
      <c r="E1313" s="38" t="s">
        <v>2450</v>
      </c>
      <c r="F1313" s="52">
        <v>4.0</v>
      </c>
      <c r="G1313" s="52">
        <v>146120.0</v>
      </c>
      <c r="H1313" s="52">
        <v>3780.0</v>
      </c>
    </row>
    <row r="1314" ht="15.75" hidden="1" customHeight="1">
      <c r="A1314" s="38" t="s">
        <v>92</v>
      </c>
      <c r="B1314" s="38" t="s">
        <v>186</v>
      </c>
      <c r="C1314" s="38" t="s">
        <v>433</v>
      </c>
      <c r="D1314" s="38" t="s">
        <v>434</v>
      </c>
      <c r="E1314" s="38" t="s">
        <v>2451</v>
      </c>
      <c r="F1314" s="52">
        <v>2.0</v>
      </c>
      <c r="G1314" s="52">
        <v>165000.0</v>
      </c>
      <c r="H1314" s="52">
        <v>20000.0</v>
      </c>
    </row>
    <row r="1315" ht="15.75" hidden="1" customHeight="1">
      <c r="A1315" s="38" t="s">
        <v>92</v>
      </c>
      <c r="B1315" s="38" t="s">
        <v>186</v>
      </c>
      <c r="C1315" s="38" t="s">
        <v>433</v>
      </c>
      <c r="D1315" s="38" t="s">
        <v>434</v>
      </c>
      <c r="E1315" s="38" t="s">
        <v>2452</v>
      </c>
      <c r="F1315" s="52">
        <v>7.0</v>
      </c>
      <c r="G1315" s="52">
        <v>315000.0</v>
      </c>
      <c r="H1315" s="52">
        <v>27000.0</v>
      </c>
    </row>
    <row r="1316" ht="15.75" hidden="1" customHeight="1">
      <c r="A1316" s="38" t="s">
        <v>92</v>
      </c>
      <c r="B1316" s="38" t="s">
        <v>186</v>
      </c>
      <c r="C1316" s="38" t="s">
        <v>360</v>
      </c>
      <c r="D1316" s="38" t="s">
        <v>361</v>
      </c>
      <c r="E1316" s="38" t="s">
        <v>2453</v>
      </c>
      <c r="F1316" s="52">
        <v>38.0</v>
      </c>
      <c r="G1316" s="52">
        <v>456000.0</v>
      </c>
      <c r="H1316" s="52">
        <v>33600.0</v>
      </c>
    </row>
    <row r="1317" ht="15.75" hidden="1" customHeight="1">
      <c r="A1317" s="38" t="s">
        <v>92</v>
      </c>
      <c r="B1317" s="38" t="s">
        <v>186</v>
      </c>
      <c r="C1317" s="38" t="s">
        <v>360</v>
      </c>
      <c r="D1317" s="38" t="s">
        <v>361</v>
      </c>
      <c r="E1317" s="38" t="s">
        <v>2454</v>
      </c>
      <c r="F1317" s="52">
        <v>247.0</v>
      </c>
      <c r="G1317" s="52">
        <v>7084000.0</v>
      </c>
      <c r="H1317" s="52">
        <v>724940.0</v>
      </c>
    </row>
    <row r="1318" ht="15.75" hidden="1" customHeight="1">
      <c r="A1318" s="38" t="s">
        <v>92</v>
      </c>
      <c r="B1318" s="38" t="s">
        <v>117</v>
      </c>
      <c r="C1318" s="38" t="s">
        <v>607</v>
      </c>
      <c r="D1318" s="38" t="s">
        <v>608</v>
      </c>
      <c r="E1318" s="38" t="s">
        <v>2455</v>
      </c>
      <c r="F1318" s="52">
        <v>5.0</v>
      </c>
      <c r="G1318" s="52">
        <v>179500.0</v>
      </c>
      <c r="H1318" s="52" t="s">
        <v>1800</v>
      </c>
    </row>
    <row r="1319" ht="15.75" hidden="1" customHeight="1">
      <c r="A1319" s="38" t="s">
        <v>92</v>
      </c>
      <c r="B1319" s="38" t="s">
        <v>117</v>
      </c>
      <c r="C1319" s="38" t="s">
        <v>360</v>
      </c>
      <c r="D1319" s="38" t="s">
        <v>361</v>
      </c>
      <c r="E1319" s="38" t="s">
        <v>2456</v>
      </c>
      <c r="F1319" s="52">
        <v>24.0</v>
      </c>
      <c r="G1319" s="52">
        <v>356400.0</v>
      </c>
      <c r="H1319" s="52">
        <v>13860.0</v>
      </c>
    </row>
    <row r="1320" ht="15.75" hidden="1" customHeight="1">
      <c r="A1320" s="38" t="s">
        <v>92</v>
      </c>
      <c r="B1320" s="38" t="s">
        <v>117</v>
      </c>
      <c r="C1320" s="38" t="s">
        <v>360</v>
      </c>
      <c r="D1320" s="38" t="s">
        <v>361</v>
      </c>
      <c r="E1320" s="38" t="s">
        <v>2457</v>
      </c>
      <c r="F1320" s="52">
        <v>43.0</v>
      </c>
      <c r="G1320" s="52">
        <v>1149200.0</v>
      </c>
      <c r="H1320" s="52">
        <v>145380.0</v>
      </c>
    </row>
    <row r="1321" ht="15.75" hidden="1" customHeight="1">
      <c r="A1321" s="38" t="s">
        <v>92</v>
      </c>
      <c r="B1321" s="38" t="s">
        <v>117</v>
      </c>
      <c r="C1321" s="38" t="s">
        <v>360</v>
      </c>
      <c r="D1321" s="38" t="s">
        <v>361</v>
      </c>
      <c r="E1321" s="38" t="s">
        <v>2458</v>
      </c>
      <c r="F1321" s="52">
        <v>110.0</v>
      </c>
      <c r="G1321" s="52">
        <v>5041500.0</v>
      </c>
      <c r="H1321" s="52">
        <v>693030.0</v>
      </c>
    </row>
    <row r="1322" ht="15.75" hidden="1" customHeight="1">
      <c r="A1322" s="38" t="s">
        <v>92</v>
      </c>
      <c r="B1322" s="38" t="s">
        <v>117</v>
      </c>
      <c r="C1322" s="38" t="s">
        <v>360</v>
      </c>
      <c r="D1322" s="38" t="s">
        <v>361</v>
      </c>
      <c r="E1322" s="38" t="s">
        <v>2459</v>
      </c>
      <c r="F1322" s="52">
        <v>56.0</v>
      </c>
      <c r="G1322" s="52">
        <v>1207800.0</v>
      </c>
      <c r="H1322" s="52">
        <v>95040.0</v>
      </c>
    </row>
    <row r="1323" ht="15.75" hidden="1" customHeight="1">
      <c r="A1323" s="38" t="s">
        <v>92</v>
      </c>
      <c r="B1323" s="38" t="s">
        <v>186</v>
      </c>
      <c r="C1323" s="38" t="s">
        <v>387</v>
      </c>
      <c r="D1323" s="38" t="s">
        <v>388</v>
      </c>
      <c r="E1323" s="38" t="s">
        <v>2460</v>
      </c>
      <c r="F1323" s="52">
        <v>78.0</v>
      </c>
      <c r="G1323" s="52">
        <v>3658450.0</v>
      </c>
      <c r="H1323" s="52">
        <v>412330.0</v>
      </c>
    </row>
    <row r="1324" ht="15.75" hidden="1" customHeight="1">
      <c r="A1324" s="38" t="s">
        <v>92</v>
      </c>
      <c r="B1324" s="38" t="s">
        <v>186</v>
      </c>
      <c r="C1324" s="38" t="s">
        <v>485</v>
      </c>
      <c r="D1324" s="38" t="s">
        <v>486</v>
      </c>
      <c r="E1324" s="38" t="s">
        <v>2461</v>
      </c>
      <c r="F1324" s="52">
        <v>40.0</v>
      </c>
      <c r="G1324" s="52">
        <v>1453500.0</v>
      </c>
      <c r="H1324" s="52">
        <v>178600.0</v>
      </c>
    </row>
    <row r="1325" ht="15.75" hidden="1" customHeight="1">
      <c r="A1325" s="38" t="s">
        <v>92</v>
      </c>
      <c r="B1325" s="38" t="s">
        <v>186</v>
      </c>
      <c r="C1325" s="38" t="s">
        <v>485</v>
      </c>
      <c r="D1325" s="38" t="s">
        <v>486</v>
      </c>
      <c r="E1325" s="38" t="s">
        <v>2462</v>
      </c>
      <c r="F1325" s="52">
        <v>11.0</v>
      </c>
      <c r="G1325" s="52">
        <v>651500.0</v>
      </c>
      <c r="H1325" s="52">
        <v>80000.0</v>
      </c>
    </row>
    <row r="1326" ht="15.75" hidden="1" customHeight="1">
      <c r="A1326" s="38" t="s">
        <v>92</v>
      </c>
      <c r="B1326" s="38" t="s">
        <v>186</v>
      </c>
      <c r="C1326" s="38" t="s">
        <v>485</v>
      </c>
      <c r="D1326" s="38" t="s">
        <v>486</v>
      </c>
      <c r="E1326" s="38" t="s">
        <v>2463</v>
      </c>
      <c r="F1326" s="52">
        <v>13.0</v>
      </c>
      <c r="G1326" s="52">
        <v>374000.0</v>
      </c>
      <c r="H1326" s="52">
        <v>35200.0</v>
      </c>
    </row>
    <row r="1327" ht="15.75" hidden="1" customHeight="1">
      <c r="A1327" s="38" t="s">
        <v>92</v>
      </c>
      <c r="B1327" s="38" t="s">
        <v>186</v>
      </c>
      <c r="C1327" s="38" t="s">
        <v>485</v>
      </c>
      <c r="D1327" s="38" t="s">
        <v>486</v>
      </c>
      <c r="E1327" s="38" t="s">
        <v>2464</v>
      </c>
      <c r="F1327" s="52">
        <v>25.0</v>
      </c>
      <c r="G1327" s="52">
        <v>1007000.0</v>
      </c>
      <c r="H1327" s="52">
        <v>107800.0</v>
      </c>
    </row>
    <row r="1328" ht="15.75" hidden="1" customHeight="1">
      <c r="A1328" s="38" t="s">
        <v>92</v>
      </c>
      <c r="B1328" s="38" t="s">
        <v>186</v>
      </c>
      <c r="C1328" s="38" t="s">
        <v>485</v>
      </c>
      <c r="D1328" s="38" t="s">
        <v>486</v>
      </c>
      <c r="E1328" s="38" t="s">
        <v>2465</v>
      </c>
      <c r="F1328" s="52">
        <v>8.0</v>
      </c>
      <c r="G1328" s="52">
        <v>405000.0</v>
      </c>
      <c r="H1328" s="52">
        <v>50000.0</v>
      </c>
    </row>
    <row r="1329" ht="15.75" hidden="1" customHeight="1">
      <c r="A1329" s="38" t="s">
        <v>92</v>
      </c>
      <c r="B1329" s="38" t="s">
        <v>186</v>
      </c>
      <c r="C1329" s="38" t="s">
        <v>485</v>
      </c>
      <c r="D1329" s="38" t="s">
        <v>486</v>
      </c>
      <c r="E1329" s="38" t="s">
        <v>2466</v>
      </c>
      <c r="F1329" s="52">
        <v>6.0</v>
      </c>
      <c r="G1329" s="52">
        <v>374000.0</v>
      </c>
      <c r="H1329" s="52">
        <v>39600.0</v>
      </c>
    </row>
    <row r="1330" ht="15.75" hidden="1" customHeight="1">
      <c r="A1330" s="38" t="s">
        <v>92</v>
      </c>
      <c r="B1330" s="38" t="s">
        <v>186</v>
      </c>
      <c r="C1330" s="38" t="s">
        <v>485</v>
      </c>
      <c r="D1330" s="38" t="s">
        <v>486</v>
      </c>
      <c r="E1330" s="38" t="s">
        <v>2467</v>
      </c>
      <c r="F1330" s="52">
        <v>2.0</v>
      </c>
      <c r="G1330" s="52">
        <v>160000.0</v>
      </c>
      <c r="H1330" s="52">
        <v>10000.0</v>
      </c>
    </row>
    <row r="1331" ht="15.75" hidden="1" customHeight="1">
      <c r="A1331" s="38" t="s">
        <v>92</v>
      </c>
      <c r="B1331" s="38" t="s">
        <v>186</v>
      </c>
      <c r="C1331" s="38" t="s">
        <v>485</v>
      </c>
      <c r="D1331" s="38" t="s">
        <v>486</v>
      </c>
      <c r="E1331" s="38" t="s">
        <v>2468</v>
      </c>
      <c r="F1331" s="52">
        <v>0.0</v>
      </c>
      <c r="G1331" s="52" t="s">
        <v>1800</v>
      </c>
      <c r="H1331" s="52" t="s">
        <v>1800</v>
      </c>
    </row>
    <row r="1332" ht="15.75" hidden="1" customHeight="1">
      <c r="A1332" s="38" t="s">
        <v>92</v>
      </c>
      <c r="B1332" s="38" t="s">
        <v>186</v>
      </c>
      <c r="C1332" s="38" t="s">
        <v>485</v>
      </c>
      <c r="D1332" s="38" t="s">
        <v>486</v>
      </c>
      <c r="E1332" s="38" t="s">
        <v>2469</v>
      </c>
      <c r="F1332" s="52">
        <v>0.0</v>
      </c>
      <c r="G1332" s="52" t="s">
        <v>1800</v>
      </c>
      <c r="H1332" s="52" t="s">
        <v>1800</v>
      </c>
    </row>
    <row r="1333" ht="15.75" hidden="1" customHeight="1">
      <c r="A1333" s="38" t="s">
        <v>92</v>
      </c>
      <c r="B1333" s="38" t="s">
        <v>186</v>
      </c>
      <c r="C1333" s="38" t="s">
        <v>485</v>
      </c>
      <c r="D1333" s="38" t="s">
        <v>486</v>
      </c>
      <c r="E1333" s="38" t="s">
        <v>2470</v>
      </c>
      <c r="F1333" s="52">
        <v>3.0</v>
      </c>
      <c r="G1333" s="52">
        <v>228000.0</v>
      </c>
      <c r="H1333" s="52">
        <v>10000.0</v>
      </c>
    </row>
    <row r="1334" ht="15.75" hidden="1" customHeight="1">
      <c r="A1334" s="38" t="s">
        <v>92</v>
      </c>
      <c r="B1334" s="38" t="s">
        <v>186</v>
      </c>
      <c r="C1334" s="38" t="s">
        <v>485</v>
      </c>
      <c r="D1334" s="38" t="s">
        <v>486</v>
      </c>
      <c r="E1334" s="38" t="s">
        <v>2471</v>
      </c>
      <c r="F1334" s="52">
        <v>7.0</v>
      </c>
      <c r="G1334" s="52">
        <v>474000.0</v>
      </c>
      <c r="H1334" s="52">
        <v>60000.0</v>
      </c>
    </row>
    <row r="1335" ht="15.75" hidden="1" customHeight="1">
      <c r="A1335" s="38" t="s">
        <v>92</v>
      </c>
      <c r="B1335" s="38" t="s">
        <v>186</v>
      </c>
      <c r="C1335" s="38" t="s">
        <v>485</v>
      </c>
      <c r="D1335" s="38" t="s">
        <v>486</v>
      </c>
      <c r="E1335" s="38" t="s">
        <v>2472</v>
      </c>
      <c r="F1335" s="52">
        <v>3.0</v>
      </c>
      <c r="G1335" s="52">
        <v>150000.0</v>
      </c>
      <c r="H1335" s="52">
        <v>30000.0</v>
      </c>
    </row>
    <row r="1336" ht="15.75" hidden="1" customHeight="1">
      <c r="A1336" s="38" t="s">
        <v>92</v>
      </c>
      <c r="B1336" s="38" t="s">
        <v>186</v>
      </c>
      <c r="C1336" s="38" t="s">
        <v>485</v>
      </c>
      <c r="D1336" s="38" t="s">
        <v>486</v>
      </c>
      <c r="E1336" s="38" t="s">
        <v>2473</v>
      </c>
      <c r="F1336" s="52">
        <v>14.0</v>
      </c>
      <c r="G1336" s="52">
        <v>889000.0</v>
      </c>
      <c r="H1336" s="52">
        <v>100000.0</v>
      </c>
    </row>
    <row r="1337" ht="15.75" hidden="1" customHeight="1">
      <c r="A1337" s="38" t="s">
        <v>92</v>
      </c>
      <c r="B1337" s="38" t="s">
        <v>186</v>
      </c>
      <c r="C1337" s="38" t="s">
        <v>485</v>
      </c>
      <c r="D1337" s="38" t="s">
        <v>486</v>
      </c>
      <c r="E1337" s="38" t="s">
        <v>2474</v>
      </c>
      <c r="F1337" s="52">
        <v>7.0</v>
      </c>
      <c r="G1337" s="52">
        <v>712000.0</v>
      </c>
      <c r="H1337" s="52">
        <v>40000.0</v>
      </c>
    </row>
    <row r="1338" ht="15.75" hidden="1" customHeight="1">
      <c r="A1338" s="38" t="s">
        <v>92</v>
      </c>
      <c r="B1338" s="38" t="s">
        <v>186</v>
      </c>
      <c r="C1338" s="38" t="s">
        <v>485</v>
      </c>
      <c r="D1338" s="38" t="s">
        <v>486</v>
      </c>
      <c r="E1338" s="38" t="s">
        <v>2475</v>
      </c>
      <c r="F1338" s="52">
        <v>11.0</v>
      </c>
      <c r="G1338" s="52">
        <v>382000.0</v>
      </c>
      <c r="H1338" s="52">
        <v>75600.0</v>
      </c>
    </row>
    <row r="1339" ht="15.75" hidden="1" customHeight="1">
      <c r="A1339" s="38" t="s">
        <v>92</v>
      </c>
      <c r="B1339" s="38" t="s">
        <v>186</v>
      </c>
      <c r="C1339" s="38" t="s">
        <v>485</v>
      </c>
      <c r="D1339" s="38" t="s">
        <v>486</v>
      </c>
      <c r="E1339" s="38" t="s">
        <v>2476</v>
      </c>
      <c r="F1339" s="52">
        <v>1.0</v>
      </c>
      <c r="G1339" s="52">
        <v>159000.0</v>
      </c>
      <c r="H1339" s="52">
        <v>10000.0</v>
      </c>
    </row>
    <row r="1340" ht="15.75" hidden="1" customHeight="1">
      <c r="A1340" s="38" t="s">
        <v>92</v>
      </c>
      <c r="B1340" s="38" t="s">
        <v>186</v>
      </c>
      <c r="C1340" s="38" t="s">
        <v>485</v>
      </c>
      <c r="D1340" s="38" t="s">
        <v>486</v>
      </c>
      <c r="E1340" s="38" t="s">
        <v>2477</v>
      </c>
      <c r="F1340" s="52">
        <v>8.0</v>
      </c>
      <c r="G1340" s="52">
        <v>287000.0</v>
      </c>
      <c r="H1340" s="52">
        <v>18000.0</v>
      </c>
    </row>
    <row r="1341" ht="15.75" hidden="1" customHeight="1">
      <c r="A1341" s="38" t="s">
        <v>92</v>
      </c>
      <c r="B1341" s="38" t="s">
        <v>186</v>
      </c>
      <c r="C1341" s="38" t="s">
        <v>485</v>
      </c>
      <c r="D1341" s="38" t="s">
        <v>486</v>
      </c>
      <c r="E1341" s="38" t="s">
        <v>2478</v>
      </c>
      <c r="F1341" s="52">
        <v>4.0</v>
      </c>
      <c r="G1341" s="52">
        <v>165000.0</v>
      </c>
      <c r="H1341" s="52">
        <v>15000.0</v>
      </c>
    </row>
    <row r="1342" ht="15.75" hidden="1" customHeight="1">
      <c r="A1342" s="38" t="s">
        <v>92</v>
      </c>
      <c r="B1342" s="38" t="s">
        <v>186</v>
      </c>
      <c r="C1342" s="38" t="s">
        <v>2479</v>
      </c>
      <c r="D1342" s="38" t="s">
        <v>643</v>
      </c>
      <c r="E1342" s="38" t="s">
        <v>2480</v>
      </c>
      <c r="F1342" s="52">
        <v>3.0</v>
      </c>
      <c r="G1342" s="52">
        <v>87200.0</v>
      </c>
      <c r="H1342" s="52">
        <v>10000.0</v>
      </c>
    </row>
    <row r="1343" ht="15.75" hidden="1" customHeight="1">
      <c r="A1343" s="38" t="s">
        <v>92</v>
      </c>
      <c r="B1343" s="38" t="s">
        <v>186</v>
      </c>
      <c r="C1343" s="38" t="s">
        <v>2479</v>
      </c>
      <c r="D1343" s="38" t="s">
        <v>643</v>
      </c>
      <c r="E1343" s="38" t="s">
        <v>2481</v>
      </c>
      <c r="F1343" s="52">
        <v>5.0</v>
      </c>
      <c r="G1343" s="52">
        <v>165000.0</v>
      </c>
      <c r="H1343" s="52">
        <v>31440.0</v>
      </c>
    </row>
    <row r="1344" ht="15.75" hidden="1" customHeight="1">
      <c r="A1344" s="38" t="s">
        <v>92</v>
      </c>
      <c r="B1344" s="38" t="s">
        <v>186</v>
      </c>
      <c r="C1344" s="38" t="s">
        <v>2479</v>
      </c>
      <c r="D1344" s="38" t="s">
        <v>643</v>
      </c>
      <c r="E1344" s="38" t="s">
        <v>2484</v>
      </c>
      <c r="F1344" s="52">
        <v>4.0</v>
      </c>
      <c r="G1344" s="52">
        <v>41500.0</v>
      </c>
      <c r="H1344" s="52">
        <v>4800.0</v>
      </c>
    </row>
    <row r="1345" ht="15.75" hidden="1" customHeight="1">
      <c r="A1345" s="38" t="s">
        <v>92</v>
      </c>
      <c r="B1345" s="38" t="s">
        <v>186</v>
      </c>
      <c r="C1345" s="38" t="s">
        <v>564</v>
      </c>
      <c r="D1345" s="38" t="s">
        <v>565</v>
      </c>
      <c r="E1345" s="38" t="s">
        <v>2485</v>
      </c>
      <c r="F1345" s="52">
        <v>15.0</v>
      </c>
      <c r="G1345" s="52">
        <v>599000.0</v>
      </c>
      <c r="H1345" s="52">
        <v>43800.0</v>
      </c>
    </row>
    <row r="1346" ht="15.75" hidden="1" customHeight="1">
      <c r="A1346" s="38" t="s">
        <v>92</v>
      </c>
      <c r="B1346" s="38" t="s">
        <v>186</v>
      </c>
      <c r="C1346" s="38" t="s">
        <v>564</v>
      </c>
      <c r="D1346" s="38" t="s">
        <v>565</v>
      </c>
      <c r="E1346" s="38" t="s">
        <v>2486</v>
      </c>
      <c r="F1346" s="52">
        <v>2.0</v>
      </c>
      <c r="G1346" s="52">
        <v>88700.0</v>
      </c>
      <c r="H1346" s="52">
        <v>10000.0</v>
      </c>
    </row>
    <row r="1347" ht="15.75" hidden="1" customHeight="1">
      <c r="A1347" s="38" t="s">
        <v>92</v>
      </c>
      <c r="B1347" s="38" t="s">
        <v>186</v>
      </c>
      <c r="C1347" s="38" t="s">
        <v>564</v>
      </c>
      <c r="D1347" s="38" t="s">
        <v>565</v>
      </c>
      <c r="E1347" s="38" t="s">
        <v>2487</v>
      </c>
      <c r="F1347" s="52">
        <v>1.0</v>
      </c>
      <c r="G1347" s="52">
        <v>25900.0</v>
      </c>
      <c r="H1347" s="52">
        <v>5180.0</v>
      </c>
    </row>
    <row r="1348" ht="15.75" hidden="1" customHeight="1">
      <c r="A1348" s="38" t="s">
        <v>92</v>
      </c>
      <c r="B1348" s="38" t="s">
        <v>186</v>
      </c>
      <c r="C1348" s="38" t="s">
        <v>564</v>
      </c>
      <c r="D1348" s="38" t="s">
        <v>565</v>
      </c>
      <c r="E1348" s="38" t="s">
        <v>2488</v>
      </c>
      <c r="F1348" s="52">
        <v>4.0</v>
      </c>
      <c r="G1348" s="52">
        <v>299500.0</v>
      </c>
      <c r="H1348" s="52">
        <v>30000.0</v>
      </c>
    </row>
    <row r="1349" ht="15.75" hidden="1" customHeight="1">
      <c r="A1349" s="38" t="s">
        <v>92</v>
      </c>
      <c r="B1349" s="38" t="s">
        <v>186</v>
      </c>
      <c r="C1349" s="38" t="s">
        <v>564</v>
      </c>
      <c r="D1349" s="38" t="s">
        <v>565</v>
      </c>
      <c r="E1349" s="38" t="s">
        <v>2489</v>
      </c>
      <c r="F1349" s="52">
        <v>0.0</v>
      </c>
      <c r="G1349" s="52" t="s">
        <v>1800</v>
      </c>
      <c r="H1349" s="52" t="s">
        <v>1800</v>
      </c>
    </row>
    <row r="1350" ht="15.75" hidden="1" customHeight="1">
      <c r="A1350" s="38" t="s">
        <v>92</v>
      </c>
      <c r="B1350" s="38" t="s">
        <v>186</v>
      </c>
      <c r="C1350" s="38" t="s">
        <v>564</v>
      </c>
      <c r="D1350" s="38" t="s">
        <v>565</v>
      </c>
      <c r="E1350" s="38" t="s">
        <v>2490</v>
      </c>
      <c r="F1350" s="52">
        <v>1.0</v>
      </c>
      <c r="G1350" s="52">
        <v>27900.0</v>
      </c>
      <c r="H1350" s="52" t="s">
        <v>1800</v>
      </c>
    </row>
    <row r="1351" ht="15.75" hidden="1" customHeight="1">
      <c r="A1351" s="38" t="s">
        <v>92</v>
      </c>
      <c r="B1351" s="38" t="s">
        <v>186</v>
      </c>
      <c r="C1351" s="38" t="s">
        <v>564</v>
      </c>
      <c r="D1351" s="38" t="s">
        <v>565</v>
      </c>
      <c r="E1351" s="38" t="s">
        <v>2491</v>
      </c>
      <c r="F1351" s="52">
        <v>7.0</v>
      </c>
      <c r="G1351" s="52">
        <v>118300.0</v>
      </c>
      <c r="H1351" s="52">
        <v>13520.0</v>
      </c>
    </row>
    <row r="1352" ht="15.75" hidden="1" customHeight="1">
      <c r="A1352" s="38" t="s">
        <v>92</v>
      </c>
      <c r="B1352" s="38" t="s">
        <v>186</v>
      </c>
      <c r="C1352" s="38" t="s">
        <v>564</v>
      </c>
      <c r="D1352" s="38" t="s">
        <v>565</v>
      </c>
      <c r="E1352" s="38" t="s">
        <v>2492</v>
      </c>
      <c r="F1352" s="52">
        <v>2.0</v>
      </c>
      <c r="G1352" s="52">
        <v>119800.0</v>
      </c>
      <c r="H1352" s="52">
        <v>10000.0</v>
      </c>
    </row>
    <row r="1353" ht="15.75" hidden="1" customHeight="1">
      <c r="A1353" s="38" t="s">
        <v>92</v>
      </c>
      <c r="B1353" s="38" t="s">
        <v>186</v>
      </c>
      <c r="C1353" s="38" t="s">
        <v>564</v>
      </c>
      <c r="D1353" s="38" t="s">
        <v>565</v>
      </c>
      <c r="E1353" s="38" t="s">
        <v>2493</v>
      </c>
      <c r="F1353" s="52">
        <v>1.0</v>
      </c>
      <c r="G1353" s="52">
        <v>15900.0</v>
      </c>
      <c r="H1353" s="52" t="s">
        <v>1800</v>
      </c>
    </row>
    <row r="1354" ht="15.75" hidden="1" customHeight="1">
      <c r="A1354" s="38" t="s">
        <v>92</v>
      </c>
      <c r="B1354" s="38" t="s">
        <v>186</v>
      </c>
      <c r="C1354" s="38" t="s">
        <v>564</v>
      </c>
      <c r="D1354" s="38" t="s">
        <v>565</v>
      </c>
      <c r="E1354" s="38" t="s">
        <v>2494</v>
      </c>
      <c r="F1354" s="52">
        <v>0.0</v>
      </c>
      <c r="G1354" s="52" t="s">
        <v>1800</v>
      </c>
      <c r="H1354" s="52" t="s">
        <v>1800</v>
      </c>
    </row>
    <row r="1355" ht="15.75" hidden="1" customHeight="1">
      <c r="A1355" s="38" t="s">
        <v>92</v>
      </c>
      <c r="B1355" s="38" t="s">
        <v>186</v>
      </c>
      <c r="C1355" s="38" t="s">
        <v>564</v>
      </c>
      <c r="D1355" s="38" t="s">
        <v>565</v>
      </c>
      <c r="E1355" s="38" t="s">
        <v>2495</v>
      </c>
      <c r="F1355" s="52">
        <v>2.0</v>
      </c>
      <c r="G1355" s="52">
        <v>31800.0</v>
      </c>
      <c r="H1355" s="52" t="s">
        <v>1800</v>
      </c>
    </row>
    <row r="1356" ht="15.75" hidden="1" customHeight="1">
      <c r="A1356" s="38" t="s">
        <v>92</v>
      </c>
      <c r="B1356" s="38" t="s">
        <v>186</v>
      </c>
      <c r="C1356" s="38" t="s">
        <v>564</v>
      </c>
      <c r="D1356" s="38" t="s">
        <v>565</v>
      </c>
      <c r="E1356" s="38" t="s">
        <v>2496</v>
      </c>
      <c r="F1356" s="52">
        <v>4.0</v>
      </c>
      <c r="G1356" s="52">
        <v>128000.0</v>
      </c>
      <c r="H1356" s="52">
        <v>10000.0</v>
      </c>
    </row>
    <row r="1357" ht="15.75" hidden="1" customHeight="1">
      <c r="A1357" s="38" t="s">
        <v>92</v>
      </c>
      <c r="B1357" s="38" t="s">
        <v>186</v>
      </c>
      <c r="C1357" s="38" t="s">
        <v>564</v>
      </c>
      <c r="D1357" s="38" t="s">
        <v>565</v>
      </c>
      <c r="E1357" s="38" t="s">
        <v>2497</v>
      </c>
      <c r="F1357" s="52">
        <v>1.0</v>
      </c>
      <c r="G1357" s="52">
        <v>39200.0</v>
      </c>
      <c r="H1357" s="52">
        <v>7840.0</v>
      </c>
    </row>
    <row r="1358" ht="15.75" hidden="1" customHeight="1">
      <c r="A1358" s="38" t="s">
        <v>92</v>
      </c>
      <c r="B1358" s="38" t="s">
        <v>186</v>
      </c>
      <c r="C1358" s="38" t="s">
        <v>564</v>
      </c>
      <c r="D1358" s="38" t="s">
        <v>565</v>
      </c>
      <c r="E1358" s="38" t="s">
        <v>2498</v>
      </c>
      <c r="F1358" s="52">
        <v>10.0</v>
      </c>
      <c r="G1358" s="52">
        <v>236000.0</v>
      </c>
      <c r="H1358" s="52">
        <v>40800.0</v>
      </c>
    </row>
    <row r="1359" ht="15.75" hidden="1" customHeight="1">
      <c r="A1359" s="38" t="s">
        <v>92</v>
      </c>
      <c r="B1359" s="38" t="s">
        <v>186</v>
      </c>
      <c r="C1359" s="38" t="s">
        <v>564</v>
      </c>
      <c r="D1359" s="38" t="s">
        <v>565</v>
      </c>
      <c r="E1359" s="38" t="s">
        <v>2499</v>
      </c>
      <c r="F1359" s="52">
        <v>0.0</v>
      </c>
      <c r="G1359" s="52" t="s">
        <v>1800</v>
      </c>
      <c r="H1359" s="52" t="s">
        <v>1800</v>
      </c>
    </row>
    <row r="1360" ht="15.75" hidden="1" customHeight="1">
      <c r="A1360" s="38" t="s">
        <v>92</v>
      </c>
      <c r="B1360" s="38" t="s">
        <v>186</v>
      </c>
      <c r="C1360" s="38" t="s">
        <v>564</v>
      </c>
      <c r="D1360" s="38" t="s">
        <v>565</v>
      </c>
      <c r="E1360" s="38" t="s">
        <v>2500</v>
      </c>
      <c r="F1360" s="52">
        <v>0.0</v>
      </c>
      <c r="G1360" s="52" t="s">
        <v>1800</v>
      </c>
      <c r="H1360" s="52" t="s">
        <v>1800</v>
      </c>
    </row>
    <row r="1361" ht="15.75" hidden="1" customHeight="1">
      <c r="A1361" s="38" t="s">
        <v>92</v>
      </c>
      <c r="B1361" s="38" t="s">
        <v>186</v>
      </c>
      <c r="C1361" s="38" t="s">
        <v>564</v>
      </c>
      <c r="D1361" s="38" t="s">
        <v>565</v>
      </c>
      <c r="E1361" s="38" t="s">
        <v>2501</v>
      </c>
      <c r="F1361" s="52">
        <v>0.0</v>
      </c>
      <c r="G1361" s="52" t="s">
        <v>1800</v>
      </c>
      <c r="H1361" s="52" t="s">
        <v>1800</v>
      </c>
    </row>
    <row r="1362" ht="15.75" hidden="1" customHeight="1">
      <c r="A1362" s="38" t="s">
        <v>92</v>
      </c>
      <c r="B1362" s="38" t="s">
        <v>186</v>
      </c>
      <c r="C1362" s="38" t="s">
        <v>564</v>
      </c>
      <c r="D1362" s="38" t="s">
        <v>565</v>
      </c>
      <c r="E1362" s="38" t="s">
        <v>2502</v>
      </c>
      <c r="F1362" s="52">
        <v>5.0</v>
      </c>
      <c r="G1362" s="52">
        <v>110600.0</v>
      </c>
      <c r="H1362" s="52">
        <v>18510.0</v>
      </c>
    </row>
    <row r="1363" ht="15.75" hidden="1" customHeight="1">
      <c r="A1363" s="38" t="s">
        <v>92</v>
      </c>
      <c r="B1363" s="38" t="s">
        <v>186</v>
      </c>
      <c r="C1363" s="38" t="s">
        <v>564</v>
      </c>
      <c r="D1363" s="38" t="s">
        <v>565</v>
      </c>
      <c r="E1363" s="38" t="s">
        <v>2503</v>
      </c>
      <c r="F1363" s="52">
        <v>12.0</v>
      </c>
      <c r="G1363" s="52">
        <v>316800.0</v>
      </c>
      <c r="H1363" s="52">
        <v>51480.0</v>
      </c>
    </row>
    <row r="1364" ht="15.75" hidden="1" customHeight="1">
      <c r="A1364" s="38" t="s">
        <v>92</v>
      </c>
      <c r="B1364" s="38" t="s">
        <v>186</v>
      </c>
      <c r="C1364" s="38" t="s">
        <v>564</v>
      </c>
      <c r="D1364" s="38" t="s">
        <v>565</v>
      </c>
      <c r="E1364" s="38" t="s">
        <v>2504</v>
      </c>
      <c r="F1364" s="52">
        <v>0.0</v>
      </c>
      <c r="G1364" s="52" t="s">
        <v>1800</v>
      </c>
      <c r="H1364" s="52" t="s">
        <v>1800</v>
      </c>
    </row>
    <row r="1365" ht="15.75" hidden="1" customHeight="1">
      <c r="A1365" s="38" t="s">
        <v>92</v>
      </c>
      <c r="B1365" s="38" t="s">
        <v>186</v>
      </c>
      <c r="C1365" s="38" t="s">
        <v>564</v>
      </c>
      <c r="D1365" s="38" t="s">
        <v>565</v>
      </c>
      <c r="E1365" s="38" t="s">
        <v>2505</v>
      </c>
      <c r="F1365" s="52">
        <v>0.0</v>
      </c>
      <c r="G1365" s="52" t="s">
        <v>1800</v>
      </c>
      <c r="H1365" s="52" t="s">
        <v>1800</v>
      </c>
    </row>
    <row r="1366" ht="15.75" hidden="1" customHeight="1">
      <c r="A1366" s="38" t="s">
        <v>92</v>
      </c>
      <c r="B1366" s="38" t="s">
        <v>117</v>
      </c>
      <c r="C1366" s="38" t="s">
        <v>507</v>
      </c>
      <c r="D1366" s="38" t="s">
        <v>508</v>
      </c>
      <c r="E1366" s="38" t="s">
        <v>2506</v>
      </c>
      <c r="F1366" s="52">
        <v>2.0</v>
      </c>
      <c r="G1366" s="52">
        <v>60300.0</v>
      </c>
      <c r="H1366" s="52">
        <v>12060.0</v>
      </c>
    </row>
    <row r="1367" ht="15.75" hidden="1" customHeight="1">
      <c r="A1367" s="38" t="s">
        <v>92</v>
      </c>
      <c r="B1367" s="38" t="s">
        <v>117</v>
      </c>
      <c r="C1367" s="38" t="s">
        <v>507</v>
      </c>
      <c r="D1367" s="38" t="s">
        <v>508</v>
      </c>
      <c r="E1367" s="38" t="s">
        <v>2507</v>
      </c>
      <c r="F1367" s="52">
        <v>14.0</v>
      </c>
      <c r="G1367" s="52">
        <v>149600.0</v>
      </c>
      <c r="H1367" s="52">
        <v>12320.0</v>
      </c>
    </row>
    <row r="1368" ht="15.75" hidden="1" customHeight="1">
      <c r="A1368" s="38" t="s">
        <v>92</v>
      </c>
      <c r="B1368" s="38" t="s">
        <v>117</v>
      </c>
      <c r="C1368" s="38" t="s">
        <v>507</v>
      </c>
      <c r="D1368" s="38" t="s">
        <v>508</v>
      </c>
      <c r="E1368" s="38" t="s">
        <v>2508</v>
      </c>
      <c r="F1368" s="52">
        <v>6.0</v>
      </c>
      <c r="G1368" s="52">
        <v>82620.0</v>
      </c>
      <c r="H1368" s="52">
        <v>11820.0</v>
      </c>
    </row>
    <row r="1369" ht="15.75" hidden="1" customHeight="1">
      <c r="A1369" s="38" t="s">
        <v>92</v>
      </c>
      <c r="B1369" s="38" t="s">
        <v>117</v>
      </c>
      <c r="C1369" s="38" t="s">
        <v>507</v>
      </c>
      <c r="D1369" s="38" t="s">
        <v>508</v>
      </c>
      <c r="E1369" s="38" t="s">
        <v>2509</v>
      </c>
      <c r="F1369" s="52">
        <v>66.0</v>
      </c>
      <c r="G1369" s="52">
        <v>607380.0</v>
      </c>
      <c r="H1369" s="52">
        <v>105420.0</v>
      </c>
    </row>
    <row r="1370" ht="15.75" hidden="1" customHeight="1">
      <c r="A1370" s="38" t="s">
        <v>92</v>
      </c>
      <c r="B1370" s="38" t="s">
        <v>186</v>
      </c>
      <c r="C1370" s="38" t="s">
        <v>433</v>
      </c>
      <c r="D1370" s="38" t="s">
        <v>434</v>
      </c>
      <c r="E1370" s="38" t="s">
        <v>2510</v>
      </c>
      <c r="F1370" s="52">
        <v>125.0</v>
      </c>
      <c r="G1370" s="52">
        <v>3673000.0</v>
      </c>
      <c r="H1370" s="52">
        <v>162040.0</v>
      </c>
    </row>
    <row r="1371" ht="15.75" hidden="1" customHeight="1">
      <c r="A1371" s="38" t="s">
        <v>92</v>
      </c>
      <c r="B1371" s="38" t="s">
        <v>186</v>
      </c>
      <c r="C1371" s="38" t="s">
        <v>485</v>
      </c>
      <c r="D1371" s="38" t="s">
        <v>486</v>
      </c>
      <c r="E1371" s="38" t="s">
        <v>2511</v>
      </c>
      <c r="F1371" s="52">
        <v>9.0</v>
      </c>
      <c r="G1371" s="52">
        <v>564300.0</v>
      </c>
      <c r="H1371" s="52">
        <v>60000.0</v>
      </c>
    </row>
    <row r="1372" ht="15.75" hidden="1" customHeight="1">
      <c r="A1372" s="38" t="s">
        <v>92</v>
      </c>
      <c r="B1372" s="38" t="s">
        <v>186</v>
      </c>
      <c r="C1372" s="38" t="s">
        <v>485</v>
      </c>
      <c r="D1372" s="38" t="s">
        <v>486</v>
      </c>
      <c r="E1372" s="38" t="s">
        <v>2512</v>
      </c>
      <c r="F1372" s="52">
        <v>7.0</v>
      </c>
      <c r="G1372" s="52">
        <v>539100.0</v>
      </c>
      <c r="H1372" s="52">
        <v>10000.0</v>
      </c>
    </row>
    <row r="1373" ht="15.75" hidden="1" customHeight="1">
      <c r="A1373" s="38" t="s">
        <v>92</v>
      </c>
      <c r="B1373" s="38" t="s">
        <v>186</v>
      </c>
      <c r="C1373" s="38" t="s">
        <v>485</v>
      </c>
      <c r="D1373" s="38" t="s">
        <v>486</v>
      </c>
      <c r="E1373" s="38" t="s">
        <v>2513</v>
      </c>
      <c r="F1373" s="52">
        <v>1.0</v>
      </c>
      <c r="G1373" s="52">
        <v>123500.0</v>
      </c>
      <c r="H1373" s="52">
        <v>10000.0</v>
      </c>
    </row>
    <row r="1374" ht="15.75" hidden="1" customHeight="1">
      <c r="A1374" s="38" t="s">
        <v>92</v>
      </c>
      <c r="B1374" s="38" t="s">
        <v>186</v>
      </c>
      <c r="C1374" s="38" t="s">
        <v>485</v>
      </c>
      <c r="D1374" s="38" t="s">
        <v>486</v>
      </c>
      <c r="E1374" s="38" t="s">
        <v>2514</v>
      </c>
      <c r="F1374" s="52">
        <v>0.0</v>
      </c>
      <c r="G1374" s="52" t="s">
        <v>1800</v>
      </c>
      <c r="H1374" s="52" t="s">
        <v>1800</v>
      </c>
    </row>
    <row r="1375" ht="15.75" hidden="1" customHeight="1">
      <c r="A1375" s="38" t="s">
        <v>92</v>
      </c>
      <c r="B1375" s="38" t="s">
        <v>186</v>
      </c>
      <c r="C1375" s="38" t="s">
        <v>485</v>
      </c>
      <c r="D1375" s="38" t="s">
        <v>486</v>
      </c>
      <c r="E1375" s="38" t="s">
        <v>2515</v>
      </c>
      <c r="F1375" s="52">
        <v>1.0</v>
      </c>
      <c r="G1375" s="52">
        <v>113400.0</v>
      </c>
      <c r="H1375" s="52" t="s">
        <v>1800</v>
      </c>
    </row>
    <row r="1376" ht="15.75" hidden="1" customHeight="1">
      <c r="A1376" s="38" t="s">
        <v>92</v>
      </c>
      <c r="B1376" s="38" t="s">
        <v>186</v>
      </c>
      <c r="C1376" s="38" t="s">
        <v>485</v>
      </c>
      <c r="D1376" s="38" t="s">
        <v>486</v>
      </c>
      <c r="E1376" s="38" t="s">
        <v>2516</v>
      </c>
      <c r="F1376" s="52">
        <v>6.0</v>
      </c>
      <c r="G1376" s="52">
        <v>332000.0</v>
      </c>
      <c r="H1376" s="52">
        <v>10000.0</v>
      </c>
    </row>
    <row r="1377" ht="15.75" hidden="1" customHeight="1">
      <c r="A1377" s="38" t="s">
        <v>92</v>
      </c>
      <c r="B1377" s="38" t="s">
        <v>186</v>
      </c>
      <c r="C1377" s="38" t="s">
        <v>485</v>
      </c>
      <c r="D1377" s="38" t="s">
        <v>486</v>
      </c>
      <c r="E1377" s="38" t="s">
        <v>2517</v>
      </c>
      <c r="F1377" s="52">
        <v>0.0</v>
      </c>
      <c r="G1377" s="52" t="s">
        <v>1800</v>
      </c>
      <c r="H1377" s="52" t="s">
        <v>1800</v>
      </c>
    </row>
    <row r="1378" ht="15.75" hidden="1" customHeight="1">
      <c r="A1378" s="38" t="s">
        <v>92</v>
      </c>
      <c r="B1378" s="38" t="s">
        <v>186</v>
      </c>
      <c r="C1378" s="38" t="s">
        <v>485</v>
      </c>
      <c r="D1378" s="38" t="s">
        <v>486</v>
      </c>
      <c r="E1378" s="38" t="s">
        <v>2518</v>
      </c>
      <c r="F1378" s="52">
        <v>1.0</v>
      </c>
      <c r="G1378" s="52">
        <v>221400.0</v>
      </c>
      <c r="H1378" s="52" t="s">
        <v>1800</v>
      </c>
    </row>
    <row r="1379" ht="15.75" hidden="1" customHeight="1">
      <c r="A1379" s="38" t="s">
        <v>92</v>
      </c>
      <c r="B1379" s="38" t="s">
        <v>186</v>
      </c>
      <c r="C1379" s="38" t="s">
        <v>485</v>
      </c>
      <c r="D1379" s="38" t="s">
        <v>486</v>
      </c>
      <c r="E1379" s="38" t="s">
        <v>2519</v>
      </c>
      <c r="F1379" s="52">
        <v>1.0</v>
      </c>
      <c r="G1379" s="52">
        <v>32000.0</v>
      </c>
      <c r="H1379" s="52" t="s">
        <v>1800</v>
      </c>
    </row>
    <row r="1380" ht="15.75" hidden="1" customHeight="1">
      <c r="A1380" s="38" t="s">
        <v>92</v>
      </c>
      <c r="B1380" s="55" t="s">
        <v>117</v>
      </c>
      <c r="C1380" s="38" t="s">
        <v>452</v>
      </c>
      <c r="D1380" s="38" t="s">
        <v>453</v>
      </c>
      <c r="E1380" s="38" t="s">
        <v>2520</v>
      </c>
      <c r="F1380" s="52">
        <v>27.0</v>
      </c>
      <c r="G1380" s="52">
        <v>1249200.0</v>
      </c>
      <c r="H1380" s="52">
        <v>54080.0</v>
      </c>
      <c r="J1380" s="38" t="s">
        <v>186</v>
      </c>
    </row>
    <row r="1381" ht="15.75" hidden="1" customHeight="1">
      <c r="A1381" s="38" t="s">
        <v>92</v>
      </c>
      <c r="B1381" s="55" t="s">
        <v>117</v>
      </c>
      <c r="C1381" s="38" t="s">
        <v>452</v>
      </c>
      <c r="D1381" s="38" t="s">
        <v>453</v>
      </c>
      <c r="E1381" s="38" t="s">
        <v>2521</v>
      </c>
      <c r="F1381" s="52">
        <v>29.0</v>
      </c>
      <c r="G1381" s="52">
        <v>1654000.0</v>
      </c>
      <c r="H1381" s="52">
        <v>50000.0</v>
      </c>
      <c r="J1381" s="38" t="s">
        <v>186</v>
      </c>
    </row>
    <row r="1382" ht="15.75" hidden="1" customHeight="1">
      <c r="A1382" s="38" t="s">
        <v>92</v>
      </c>
      <c r="B1382" s="38" t="s">
        <v>186</v>
      </c>
      <c r="C1382" s="38" t="s">
        <v>526</v>
      </c>
      <c r="D1382" s="38" t="s">
        <v>527</v>
      </c>
      <c r="E1382" s="38" t="s">
        <v>2522</v>
      </c>
      <c r="F1382" s="52">
        <v>1.0</v>
      </c>
      <c r="G1382" s="52">
        <v>54000.0</v>
      </c>
      <c r="H1382" s="52">
        <v>10000.0</v>
      </c>
    </row>
    <row r="1383" ht="15.75" hidden="1" customHeight="1">
      <c r="A1383" s="38" t="s">
        <v>92</v>
      </c>
      <c r="B1383" s="38" t="s">
        <v>186</v>
      </c>
      <c r="C1383" s="38" t="s">
        <v>526</v>
      </c>
      <c r="D1383" s="38" t="s">
        <v>527</v>
      </c>
      <c r="E1383" s="38" t="s">
        <v>2523</v>
      </c>
      <c r="F1383" s="52">
        <v>8.0</v>
      </c>
      <c r="G1383" s="52">
        <v>528000.0</v>
      </c>
      <c r="H1383" s="52">
        <v>27530.0</v>
      </c>
    </row>
    <row r="1384" ht="15.75" hidden="1" customHeight="1">
      <c r="A1384" s="38" t="s">
        <v>92</v>
      </c>
      <c r="B1384" s="38" t="s">
        <v>186</v>
      </c>
      <c r="C1384" s="38" t="s">
        <v>526</v>
      </c>
      <c r="D1384" s="38" t="s">
        <v>527</v>
      </c>
      <c r="E1384" s="38" t="s">
        <v>2524</v>
      </c>
      <c r="F1384" s="52">
        <v>17.0</v>
      </c>
      <c r="G1384" s="52">
        <v>960000.0</v>
      </c>
      <c r="H1384" s="52">
        <v>77200.0</v>
      </c>
    </row>
    <row r="1385" ht="15.75" hidden="1" customHeight="1">
      <c r="A1385" s="38" t="s">
        <v>92</v>
      </c>
      <c r="B1385" s="38" t="s">
        <v>186</v>
      </c>
      <c r="C1385" s="38" t="s">
        <v>526</v>
      </c>
      <c r="D1385" s="38" t="s">
        <v>527</v>
      </c>
      <c r="E1385" s="38" t="s">
        <v>2525</v>
      </c>
      <c r="F1385" s="52">
        <v>3.0</v>
      </c>
      <c r="G1385" s="52">
        <v>87000.0</v>
      </c>
      <c r="H1385" s="52" t="s">
        <v>1800</v>
      </c>
    </row>
    <row r="1386" ht="15.75" hidden="1" customHeight="1">
      <c r="A1386" s="38" t="s">
        <v>92</v>
      </c>
      <c r="B1386" s="38" t="s">
        <v>186</v>
      </c>
      <c r="C1386" s="38" t="s">
        <v>526</v>
      </c>
      <c r="D1386" s="38" t="s">
        <v>527</v>
      </c>
      <c r="E1386" s="38" t="s">
        <v>2526</v>
      </c>
      <c r="F1386" s="52">
        <v>0.0</v>
      </c>
      <c r="G1386" s="52" t="s">
        <v>1800</v>
      </c>
      <c r="H1386" s="52" t="s">
        <v>1800</v>
      </c>
    </row>
    <row r="1387" ht="15.75" hidden="1" customHeight="1">
      <c r="A1387" s="38" t="s">
        <v>92</v>
      </c>
      <c r="B1387" s="38" t="s">
        <v>186</v>
      </c>
      <c r="C1387" s="38" t="s">
        <v>526</v>
      </c>
      <c r="D1387" s="38" t="s">
        <v>527</v>
      </c>
      <c r="E1387" s="38" t="s">
        <v>2527</v>
      </c>
      <c r="F1387" s="52">
        <v>0.0</v>
      </c>
      <c r="G1387" s="52" t="s">
        <v>1800</v>
      </c>
      <c r="H1387" s="52" t="s">
        <v>1800</v>
      </c>
    </row>
    <row r="1388" ht="15.75" hidden="1" customHeight="1">
      <c r="A1388" s="38" t="s">
        <v>92</v>
      </c>
      <c r="B1388" s="38" t="s">
        <v>186</v>
      </c>
      <c r="C1388" s="38" t="s">
        <v>526</v>
      </c>
      <c r="D1388" s="38" t="s">
        <v>527</v>
      </c>
      <c r="E1388" s="38" t="s">
        <v>2528</v>
      </c>
      <c r="F1388" s="52">
        <v>2.0</v>
      </c>
      <c r="G1388" s="52">
        <v>66000.0</v>
      </c>
      <c r="H1388" s="52">
        <v>6600.0</v>
      </c>
    </row>
    <row r="1389" ht="15.75" hidden="1" customHeight="1">
      <c r="A1389" s="38" t="s">
        <v>92</v>
      </c>
      <c r="B1389" s="54" t="s">
        <v>117</v>
      </c>
      <c r="C1389" s="38" t="s">
        <v>2529</v>
      </c>
      <c r="D1389" s="38" t="s">
        <v>2530</v>
      </c>
      <c r="E1389" s="38" t="s">
        <v>2531</v>
      </c>
      <c r="F1389" s="52">
        <v>0.0</v>
      </c>
      <c r="G1389" s="52" t="s">
        <v>1800</v>
      </c>
      <c r="H1389" s="52" t="s">
        <v>1800</v>
      </c>
      <c r="J1389" s="38" t="s">
        <v>186</v>
      </c>
    </row>
    <row r="1390" ht="15.75" hidden="1" customHeight="1">
      <c r="A1390" s="38" t="s">
        <v>92</v>
      </c>
      <c r="B1390" s="38" t="s">
        <v>186</v>
      </c>
      <c r="C1390" s="38" t="s">
        <v>322</v>
      </c>
      <c r="D1390" s="38" t="s">
        <v>323</v>
      </c>
      <c r="E1390" s="38" t="s">
        <v>2532</v>
      </c>
      <c r="F1390" s="52">
        <v>238.0</v>
      </c>
      <c r="G1390" s="52">
        <v>2.76093E7</v>
      </c>
      <c r="H1390" s="52">
        <v>1060000.0</v>
      </c>
    </row>
    <row r="1391" ht="15.75" hidden="1" customHeight="1">
      <c r="A1391" s="38" t="s">
        <v>92</v>
      </c>
      <c r="B1391" s="38" t="s">
        <v>186</v>
      </c>
      <c r="C1391" s="38" t="s">
        <v>322</v>
      </c>
      <c r="D1391" s="38" t="s">
        <v>323</v>
      </c>
      <c r="E1391" s="38" t="s">
        <v>2533</v>
      </c>
      <c r="F1391" s="52">
        <v>37.0</v>
      </c>
      <c r="G1391" s="52">
        <v>1833170.0</v>
      </c>
      <c r="H1391" s="52">
        <v>116180.0</v>
      </c>
    </row>
    <row r="1392" ht="15.75" hidden="1" customHeight="1">
      <c r="A1392" s="38" t="s">
        <v>92</v>
      </c>
      <c r="B1392" s="38" t="s">
        <v>186</v>
      </c>
      <c r="C1392" s="38" t="s">
        <v>322</v>
      </c>
      <c r="D1392" s="38" t="s">
        <v>323</v>
      </c>
      <c r="E1392" s="38" t="s">
        <v>2534</v>
      </c>
      <c r="F1392" s="52">
        <v>16.0</v>
      </c>
      <c r="G1392" s="52">
        <v>1088000.0</v>
      </c>
      <c r="H1392" s="52">
        <v>50000.0</v>
      </c>
    </row>
    <row r="1393" ht="15.75" hidden="1" customHeight="1">
      <c r="A1393" s="38" t="s">
        <v>92</v>
      </c>
      <c r="B1393" s="38" t="s">
        <v>186</v>
      </c>
      <c r="C1393" s="38" t="s">
        <v>322</v>
      </c>
      <c r="D1393" s="38" t="s">
        <v>323</v>
      </c>
      <c r="E1393" s="38" t="s">
        <v>2535</v>
      </c>
      <c r="F1393" s="52">
        <v>46.0</v>
      </c>
      <c r="G1393" s="52">
        <v>6388000.0</v>
      </c>
      <c r="H1393" s="52">
        <v>140000.0</v>
      </c>
    </row>
    <row r="1394" ht="15.75" hidden="1" customHeight="1">
      <c r="A1394" s="38" t="s">
        <v>92</v>
      </c>
      <c r="B1394" s="38" t="s">
        <v>186</v>
      </c>
      <c r="C1394" s="38" t="s">
        <v>322</v>
      </c>
      <c r="D1394" s="38" t="s">
        <v>323</v>
      </c>
      <c r="E1394" s="38" t="s">
        <v>2536</v>
      </c>
      <c r="F1394" s="52">
        <v>8.0</v>
      </c>
      <c r="G1394" s="52">
        <v>926010.0</v>
      </c>
      <c r="H1394" s="52">
        <v>20000.0</v>
      </c>
    </row>
    <row r="1395" ht="15.75" hidden="1" customHeight="1">
      <c r="A1395" s="38" t="s">
        <v>92</v>
      </c>
      <c r="B1395" s="38" t="s">
        <v>186</v>
      </c>
      <c r="C1395" s="38" t="s">
        <v>322</v>
      </c>
      <c r="D1395" s="38" t="s">
        <v>323</v>
      </c>
      <c r="E1395" s="38" t="s">
        <v>2537</v>
      </c>
      <c r="F1395" s="52">
        <v>30.0</v>
      </c>
      <c r="G1395" s="52">
        <v>1242700.0</v>
      </c>
      <c r="H1395" s="52">
        <v>113140.0</v>
      </c>
    </row>
    <row r="1396" ht="15.75" hidden="1" customHeight="1">
      <c r="A1396" s="38" t="s">
        <v>92</v>
      </c>
      <c r="B1396" s="38" t="s">
        <v>186</v>
      </c>
      <c r="C1396" s="38" t="s">
        <v>322</v>
      </c>
      <c r="D1396" s="38" t="s">
        <v>323</v>
      </c>
      <c r="E1396" s="38" t="s">
        <v>2538</v>
      </c>
      <c r="F1396" s="52">
        <v>5.0</v>
      </c>
      <c r="G1396" s="52">
        <v>162450.0</v>
      </c>
      <c r="H1396" s="52">
        <v>12760.0</v>
      </c>
    </row>
    <row r="1397" ht="15.75" hidden="1" customHeight="1">
      <c r="A1397" s="38" t="s">
        <v>92</v>
      </c>
      <c r="B1397" s="38" t="s">
        <v>186</v>
      </c>
      <c r="C1397" s="38" t="s">
        <v>322</v>
      </c>
      <c r="D1397" s="38" t="s">
        <v>323</v>
      </c>
      <c r="E1397" s="38" t="s">
        <v>2539</v>
      </c>
      <c r="F1397" s="52">
        <v>5.0</v>
      </c>
      <c r="G1397" s="52">
        <v>540000.0</v>
      </c>
      <c r="H1397" s="52">
        <v>10000.0</v>
      </c>
    </row>
    <row r="1398" ht="15.75" hidden="1" customHeight="1">
      <c r="A1398" s="38" t="s">
        <v>92</v>
      </c>
      <c r="B1398" s="38" t="s">
        <v>186</v>
      </c>
      <c r="C1398" s="38" t="s">
        <v>322</v>
      </c>
      <c r="D1398" s="38" t="s">
        <v>323</v>
      </c>
      <c r="E1398" s="38" t="s">
        <v>2540</v>
      </c>
      <c r="F1398" s="52">
        <v>14.0</v>
      </c>
      <c r="G1398" s="52">
        <v>966000.0</v>
      </c>
      <c r="H1398" s="52">
        <v>50000.0</v>
      </c>
    </row>
    <row r="1399" ht="15.75" hidden="1" customHeight="1">
      <c r="A1399" s="38" t="s">
        <v>92</v>
      </c>
      <c r="B1399" s="38" t="s">
        <v>186</v>
      </c>
      <c r="C1399" s="38" t="s">
        <v>322</v>
      </c>
      <c r="D1399" s="38" t="s">
        <v>323</v>
      </c>
      <c r="E1399" s="38" t="s">
        <v>2541</v>
      </c>
      <c r="F1399" s="52">
        <v>3.0</v>
      </c>
      <c r="G1399" s="52">
        <v>86000.0</v>
      </c>
      <c r="H1399" s="52">
        <v>11600.0</v>
      </c>
    </row>
    <row r="1400" ht="15.75" hidden="1" customHeight="1">
      <c r="A1400" s="38" t="s">
        <v>92</v>
      </c>
      <c r="B1400" s="38" t="s">
        <v>186</v>
      </c>
      <c r="C1400" s="38" t="s">
        <v>322</v>
      </c>
      <c r="D1400" s="38" t="s">
        <v>323</v>
      </c>
      <c r="E1400" s="38" t="s">
        <v>2542</v>
      </c>
      <c r="F1400" s="52">
        <v>3.0</v>
      </c>
      <c r="G1400" s="52">
        <v>668000.0</v>
      </c>
      <c r="H1400" s="52">
        <v>10000.0</v>
      </c>
    </row>
    <row r="1401" ht="15.75" hidden="1" customHeight="1">
      <c r="A1401" s="38" t="s">
        <v>92</v>
      </c>
      <c r="B1401" s="38" t="s">
        <v>186</v>
      </c>
      <c r="C1401" s="38" t="s">
        <v>322</v>
      </c>
      <c r="D1401" s="38" t="s">
        <v>323</v>
      </c>
      <c r="E1401" s="38" t="s">
        <v>2543</v>
      </c>
      <c r="F1401" s="52">
        <v>8.0</v>
      </c>
      <c r="G1401" s="52">
        <v>814120.0</v>
      </c>
      <c r="H1401" s="52">
        <v>30000.0</v>
      </c>
    </row>
    <row r="1402" ht="15.75" hidden="1" customHeight="1">
      <c r="A1402" s="38" t="s">
        <v>92</v>
      </c>
      <c r="B1402" s="38" t="s">
        <v>186</v>
      </c>
      <c r="C1402" s="38" t="s">
        <v>322</v>
      </c>
      <c r="D1402" s="38" t="s">
        <v>323</v>
      </c>
      <c r="E1402" s="38" t="s">
        <v>2544</v>
      </c>
      <c r="F1402" s="52">
        <v>1.0</v>
      </c>
      <c r="G1402" s="52">
        <v>18900.0</v>
      </c>
      <c r="H1402" s="52">
        <v>3780.0</v>
      </c>
    </row>
    <row r="1403" ht="15.75" hidden="1" customHeight="1">
      <c r="A1403" s="38" t="s">
        <v>92</v>
      </c>
      <c r="B1403" s="38" t="s">
        <v>186</v>
      </c>
      <c r="C1403" s="38" t="s">
        <v>322</v>
      </c>
      <c r="D1403" s="38" t="s">
        <v>323</v>
      </c>
      <c r="E1403" s="38" t="s">
        <v>2545</v>
      </c>
      <c r="F1403" s="52">
        <v>1.0</v>
      </c>
      <c r="G1403" s="52">
        <v>32000.0</v>
      </c>
      <c r="H1403" s="52" t="s">
        <v>1800</v>
      </c>
    </row>
    <row r="1404" ht="15.75" hidden="1" customHeight="1">
      <c r="A1404" s="38" t="s">
        <v>92</v>
      </c>
      <c r="B1404" s="38" t="s">
        <v>186</v>
      </c>
      <c r="C1404" s="38" t="s">
        <v>322</v>
      </c>
      <c r="D1404" s="38" t="s">
        <v>323</v>
      </c>
      <c r="E1404" s="38" t="s">
        <v>2546</v>
      </c>
      <c r="F1404" s="52">
        <v>2.0</v>
      </c>
      <c r="G1404" s="52">
        <v>329000.0</v>
      </c>
      <c r="H1404" s="52" t="s">
        <v>1800</v>
      </c>
    </row>
    <row r="1405" ht="15.75" hidden="1" customHeight="1">
      <c r="A1405" s="38" t="s">
        <v>92</v>
      </c>
      <c r="B1405" s="38" t="s">
        <v>117</v>
      </c>
      <c r="C1405" s="38" t="s">
        <v>742</v>
      </c>
      <c r="D1405" s="38" t="s">
        <v>743</v>
      </c>
      <c r="E1405" s="38" t="s">
        <v>2547</v>
      </c>
      <c r="F1405" s="52">
        <v>1.0</v>
      </c>
      <c r="G1405" s="52">
        <v>93000.0</v>
      </c>
      <c r="H1405" s="52">
        <v>10000.0</v>
      </c>
    </row>
    <row r="1406" ht="15.75" hidden="1" customHeight="1">
      <c r="A1406" s="38" t="s">
        <v>92</v>
      </c>
      <c r="B1406" s="38" t="s">
        <v>186</v>
      </c>
      <c r="C1406" s="38" t="s">
        <v>742</v>
      </c>
      <c r="D1406" s="38" t="s">
        <v>743</v>
      </c>
      <c r="E1406" s="38" t="s">
        <v>2548</v>
      </c>
      <c r="F1406" s="52">
        <v>0.0</v>
      </c>
      <c r="G1406" s="52" t="s">
        <v>1800</v>
      </c>
      <c r="H1406" s="52" t="s">
        <v>1800</v>
      </c>
    </row>
    <row r="1407" ht="15.75" hidden="1" customHeight="1">
      <c r="A1407" s="38" t="s">
        <v>92</v>
      </c>
      <c r="B1407" s="38" t="s">
        <v>117</v>
      </c>
      <c r="C1407" s="38" t="s">
        <v>742</v>
      </c>
      <c r="D1407" s="38" t="s">
        <v>743</v>
      </c>
      <c r="E1407" s="38" t="s">
        <v>2549</v>
      </c>
      <c r="F1407" s="52">
        <v>1.0</v>
      </c>
      <c r="G1407" s="52">
        <v>62000.0</v>
      </c>
      <c r="H1407" s="52" t="s">
        <v>1800</v>
      </c>
    </row>
    <row r="1408" ht="15.75" hidden="1" customHeight="1">
      <c r="A1408" s="38" t="s">
        <v>92</v>
      </c>
      <c r="B1408" s="54" t="s">
        <v>117</v>
      </c>
      <c r="C1408" s="38" t="s">
        <v>607</v>
      </c>
      <c r="D1408" s="38" t="s">
        <v>608</v>
      </c>
      <c r="E1408" s="38" t="s">
        <v>2550</v>
      </c>
      <c r="F1408" s="52">
        <v>101.0</v>
      </c>
      <c r="G1408" s="52">
        <v>2421630.0</v>
      </c>
      <c r="H1408" s="52">
        <v>217410.0</v>
      </c>
      <c r="J1408" s="38" t="s">
        <v>186</v>
      </c>
    </row>
    <row r="1409" ht="15.75" hidden="1" customHeight="1">
      <c r="A1409" s="38" t="s">
        <v>92</v>
      </c>
      <c r="B1409" s="55" t="s">
        <v>117</v>
      </c>
      <c r="C1409" s="38" t="s">
        <v>2029</v>
      </c>
      <c r="D1409" s="38" t="s">
        <v>106</v>
      </c>
      <c r="E1409" s="38" t="s">
        <v>2551</v>
      </c>
      <c r="F1409" s="52">
        <v>8.0</v>
      </c>
      <c r="G1409" s="52">
        <v>282000.0</v>
      </c>
      <c r="H1409" s="52">
        <v>43400.0</v>
      </c>
      <c r="J1409" s="38" t="s">
        <v>186</v>
      </c>
    </row>
    <row r="1410" ht="15.75" hidden="1" customHeight="1">
      <c r="A1410" s="38" t="s">
        <v>92</v>
      </c>
      <c r="B1410" s="55" t="s">
        <v>117</v>
      </c>
      <c r="C1410" s="38" t="s">
        <v>2029</v>
      </c>
      <c r="D1410" s="38" t="s">
        <v>106</v>
      </c>
      <c r="E1410" s="38" t="s">
        <v>2552</v>
      </c>
      <c r="F1410" s="52">
        <v>4.0</v>
      </c>
      <c r="G1410" s="52">
        <v>223500.0</v>
      </c>
      <c r="H1410" s="52">
        <v>15600.0</v>
      </c>
      <c r="J1410" s="38" t="s">
        <v>186</v>
      </c>
    </row>
    <row r="1411" ht="15.75" hidden="1" customHeight="1">
      <c r="A1411" s="38" t="s">
        <v>92</v>
      </c>
      <c r="B1411" s="55" t="s">
        <v>117</v>
      </c>
      <c r="C1411" s="38" t="s">
        <v>2029</v>
      </c>
      <c r="D1411" s="38" t="s">
        <v>106</v>
      </c>
      <c r="E1411" s="38" t="s">
        <v>2553</v>
      </c>
      <c r="F1411" s="52">
        <v>5.0</v>
      </c>
      <c r="G1411" s="52">
        <v>516000.0</v>
      </c>
      <c r="H1411" s="52">
        <v>26800.0</v>
      </c>
      <c r="J1411" s="38" t="s">
        <v>186</v>
      </c>
    </row>
    <row r="1412" ht="15.75" hidden="1" customHeight="1">
      <c r="A1412" s="38" t="s">
        <v>92</v>
      </c>
      <c r="B1412" s="55" t="s">
        <v>117</v>
      </c>
      <c r="C1412" s="38" t="s">
        <v>2029</v>
      </c>
      <c r="D1412" s="38" t="s">
        <v>106</v>
      </c>
      <c r="E1412" s="38" t="s">
        <v>2554</v>
      </c>
      <c r="F1412" s="52">
        <v>0.0</v>
      </c>
      <c r="G1412" s="52" t="s">
        <v>1800</v>
      </c>
      <c r="H1412" s="52" t="s">
        <v>1800</v>
      </c>
      <c r="J1412" s="38" t="s">
        <v>186</v>
      </c>
    </row>
    <row r="1413" ht="15.75" hidden="1" customHeight="1">
      <c r="A1413" s="38" t="s">
        <v>92</v>
      </c>
      <c r="B1413" s="55" t="s">
        <v>174</v>
      </c>
      <c r="C1413" s="38" t="s">
        <v>336</v>
      </c>
      <c r="D1413" s="38" t="s">
        <v>337</v>
      </c>
      <c r="E1413" s="38" t="s">
        <v>2555</v>
      </c>
      <c r="F1413" s="52">
        <v>0.0</v>
      </c>
      <c r="G1413" s="52" t="s">
        <v>1800</v>
      </c>
      <c r="H1413" s="52" t="s">
        <v>1800</v>
      </c>
      <c r="J1413" s="38" t="s">
        <v>186</v>
      </c>
    </row>
    <row r="1414" ht="15.75" hidden="1" customHeight="1">
      <c r="A1414" s="38" t="s">
        <v>92</v>
      </c>
      <c r="B1414" s="55" t="s">
        <v>174</v>
      </c>
      <c r="C1414" s="38" t="s">
        <v>336</v>
      </c>
      <c r="D1414" s="38" t="s">
        <v>337</v>
      </c>
      <c r="E1414" s="38" t="s">
        <v>2556</v>
      </c>
      <c r="F1414" s="52">
        <v>0.0</v>
      </c>
      <c r="G1414" s="52" t="s">
        <v>1800</v>
      </c>
      <c r="H1414" s="52" t="s">
        <v>1800</v>
      </c>
      <c r="J1414" s="38" t="s">
        <v>186</v>
      </c>
    </row>
    <row r="1415" ht="15.75" hidden="1" customHeight="1">
      <c r="A1415" s="38" t="s">
        <v>92</v>
      </c>
      <c r="B1415" s="55" t="s">
        <v>117</v>
      </c>
      <c r="C1415" s="38" t="s">
        <v>1139</v>
      </c>
      <c r="D1415" s="38" t="s">
        <v>1138</v>
      </c>
      <c r="E1415" s="38" t="s">
        <v>2557</v>
      </c>
      <c r="F1415" s="52">
        <v>7916.0</v>
      </c>
      <c r="G1415" s="52">
        <v>1.277917E8</v>
      </c>
      <c r="H1415" s="52">
        <v>4657460.0</v>
      </c>
      <c r="J1415" s="38" t="s">
        <v>186</v>
      </c>
    </row>
    <row r="1416" ht="15.75" hidden="1" customHeight="1">
      <c r="A1416" s="38" t="s">
        <v>92</v>
      </c>
      <c r="B1416" s="55" t="s">
        <v>117</v>
      </c>
      <c r="C1416" s="38" t="s">
        <v>1139</v>
      </c>
      <c r="D1416" s="38" t="s">
        <v>1138</v>
      </c>
      <c r="E1416" s="38" t="s">
        <v>2558</v>
      </c>
      <c r="F1416" s="52">
        <v>1512.0</v>
      </c>
      <c r="G1416" s="52">
        <v>1.53513E7</v>
      </c>
      <c r="H1416" s="52">
        <v>374720.0</v>
      </c>
      <c r="J1416" s="38" t="s">
        <v>186</v>
      </c>
    </row>
    <row r="1417" ht="15.75" hidden="1" customHeight="1">
      <c r="A1417" s="38" t="s">
        <v>92</v>
      </c>
      <c r="B1417" s="55" t="s">
        <v>117</v>
      </c>
      <c r="C1417" s="38" t="s">
        <v>2559</v>
      </c>
      <c r="D1417" s="38" t="s">
        <v>2560</v>
      </c>
      <c r="E1417" s="38" t="s">
        <v>2561</v>
      </c>
      <c r="F1417" s="52">
        <v>42.0</v>
      </c>
      <c r="G1417" s="52">
        <v>1769000.0</v>
      </c>
      <c r="H1417" s="52">
        <v>285800.0</v>
      </c>
      <c r="J1417" s="38" t="s">
        <v>186</v>
      </c>
    </row>
    <row r="1418" ht="15.75" hidden="1" customHeight="1">
      <c r="A1418" s="38" t="s">
        <v>92</v>
      </c>
      <c r="B1418" s="55" t="s">
        <v>117</v>
      </c>
      <c r="C1418" s="38" t="s">
        <v>2559</v>
      </c>
      <c r="D1418" s="38" t="s">
        <v>2560</v>
      </c>
      <c r="E1418" s="38" t="s">
        <v>2562</v>
      </c>
      <c r="F1418" s="52">
        <v>0.0</v>
      </c>
      <c r="G1418" s="52" t="s">
        <v>1800</v>
      </c>
      <c r="H1418" s="52" t="s">
        <v>1800</v>
      </c>
      <c r="J1418" s="38" t="s">
        <v>186</v>
      </c>
    </row>
    <row r="1419" ht="15.75" hidden="1" customHeight="1">
      <c r="A1419" s="38" t="s">
        <v>92</v>
      </c>
      <c r="B1419" s="55" t="s">
        <v>117</v>
      </c>
      <c r="C1419" s="38" t="s">
        <v>2559</v>
      </c>
      <c r="D1419" s="38" t="s">
        <v>2560</v>
      </c>
      <c r="E1419" s="38" t="s">
        <v>2563</v>
      </c>
      <c r="F1419" s="52">
        <v>0.0</v>
      </c>
      <c r="G1419" s="52" t="s">
        <v>1800</v>
      </c>
      <c r="H1419" s="52" t="s">
        <v>1800</v>
      </c>
      <c r="J1419" s="38" t="s">
        <v>186</v>
      </c>
    </row>
    <row r="1420" ht="15.75" hidden="1" customHeight="1">
      <c r="A1420" s="38" t="s">
        <v>92</v>
      </c>
      <c r="B1420" s="55" t="s">
        <v>117</v>
      </c>
      <c r="C1420" s="38" t="s">
        <v>2559</v>
      </c>
      <c r="D1420" s="38" t="s">
        <v>2560</v>
      </c>
      <c r="E1420" s="38" t="s">
        <v>2564</v>
      </c>
      <c r="F1420" s="52">
        <v>3.0</v>
      </c>
      <c r="G1420" s="52">
        <v>147000.0</v>
      </c>
      <c r="H1420" s="52">
        <v>9800.0</v>
      </c>
      <c r="J1420" s="38" t="s">
        <v>186</v>
      </c>
    </row>
    <row r="1421" ht="15.75" hidden="1" customHeight="1">
      <c r="A1421" s="38" t="s">
        <v>92</v>
      </c>
      <c r="B1421" s="55" t="s">
        <v>117</v>
      </c>
      <c r="C1421" s="38" t="s">
        <v>420</v>
      </c>
      <c r="D1421" s="38" t="s">
        <v>421</v>
      </c>
      <c r="E1421" s="38" t="s">
        <v>2565</v>
      </c>
      <c r="F1421" s="52">
        <v>38.0</v>
      </c>
      <c r="G1421" s="52">
        <v>1240000.0</v>
      </c>
      <c r="H1421" s="52">
        <v>43600.0</v>
      </c>
      <c r="J1421" s="38" t="s">
        <v>186</v>
      </c>
    </row>
    <row r="1422" ht="15.75" hidden="1" customHeight="1">
      <c r="A1422" s="38" t="s">
        <v>92</v>
      </c>
      <c r="B1422" s="54" t="s">
        <v>117</v>
      </c>
      <c r="C1422" s="38" t="s">
        <v>742</v>
      </c>
      <c r="D1422" s="38" t="s">
        <v>743</v>
      </c>
      <c r="E1422" s="38" t="s">
        <v>2566</v>
      </c>
      <c r="F1422" s="52">
        <v>0.0</v>
      </c>
      <c r="G1422" s="52" t="s">
        <v>1800</v>
      </c>
      <c r="H1422" s="52" t="s">
        <v>1800</v>
      </c>
      <c r="J1422" s="38" t="s">
        <v>186</v>
      </c>
    </row>
    <row r="1423" ht="15.75" hidden="1" customHeight="1">
      <c r="A1423" s="38" t="s">
        <v>92</v>
      </c>
      <c r="B1423" s="55" t="s">
        <v>117</v>
      </c>
      <c r="C1423" s="38" t="s">
        <v>452</v>
      </c>
      <c r="D1423" s="38" t="s">
        <v>453</v>
      </c>
      <c r="E1423" s="38" t="s">
        <v>2567</v>
      </c>
      <c r="F1423" s="52">
        <v>0.0</v>
      </c>
      <c r="G1423" s="52" t="s">
        <v>1800</v>
      </c>
      <c r="H1423" s="52" t="s">
        <v>1800</v>
      </c>
      <c r="J1423" s="38" t="s">
        <v>186</v>
      </c>
    </row>
    <row r="1424" ht="15.75" hidden="1" customHeight="1">
      <c r="A1424" s="38" t="s">
        <v>92</v>
      </c>
      <c r="B1424" s="55" t="s">
        <v>117</v>
      </c>
      <c r="C1424" s="38" t="s">
        <v>452</v>
      </c>
      <c r="D1424" s="38" t="s">
        <v>453</v>
      </c>
      <c r="E1424" s="38" t="s">
        <v>2568</v>
      </c>
      <c r="F1424" s="52">
        <v>1.0</v>
      </c>
      <c r="G1424" s="52">
        <v>43700.0</v>
      </c>
      <c r="H1424" s="52" t="s">
        <v>1800</v>
      </c>
      <c r="J1424" s="38" t="s">
        <v>186</v>
      </c>
    </row>
    <row r="1425" ht="15.75" hidden="1" customHeight="1">
      <c r="A1425" s="38" t="s">
        <v>92</v>
      </c>
      <c r="B1425" s="55" t="s">
        <v>117</v>
      </c>
      <c r="C1425" s="38" t="s">
        <v>452</v>
      </c>
      <c r="D1425" s="38" t="s">
        <v>453</v>
      </c>
      <c r="E1425" s="38" t="s">
        <v>2569</v>
      </c>
      <c r="F1425" s="52">
        <v>2.0</v>
      </c>
      <c r="G1425" s="52">
        <v>138000.0</v>
      </c>
      <c r="H1425" s="52">
        <v>19200.0</v>
      </c>
      <c r="J1425" s="38" t="s">
        <v>186</v>
      </c>
    </row>
    <row r="1426" ht="15.75" hidden="1" customHeight="1">
      <c r="A1426" s="38" t="s">
        <v>92</v>
      </c>
      <c r="B1426" s="55" t="s">
        <v>117</v>
      </c>
      <c r="C1426" s="38" t="s">
        <v>452</v>
      </c>
      <c r="D1426" s="38" t="s">
        <v>453</v>
      </c>
      <c r="E1426" s="38" t="s">
        <v>2570</v>
      </c>
      <c r="F1426" s="52">
        <v>0.0</v>
      </c>
      <c r="G1426" s="52" t="s">
        <v>1800</v>
      </c>
      <c r="H1426" s="52" t="s">
        <v>1800</v>
      </c>
      <c r="J1426" s="38" t="s">
        <v>186</v>
      </c>
    </row>
    <row r="1427" ht="15.75" hidden="1" customHeight="1">
      <c r="A1427" s="38" t="s">
        <v>92</v>
      </c>
      <c r="B1427" s="55" t="s">
        <v>117</v>
      </c>
      <c r="C1427" s="38" t="s">
        <v>452</v>
      </c>
      <c r="D1427" s="38" t="s">
        <v>453</v>
      </c>
      <c r="E1427" s="38" t="s">
        <v>2571</v>
      </c>
      <c r="F1427" s="52">
        <v>3.0</v>
      </c>
      <c r="G1427" s="52">
        <v>86000.0</v>
      </c>
      <c r="H1427" s="52">
        <v>11600.0</v>
      </c>
      <c r="J1427" s="38" t="s">
        <v>186</v>
      </c>
    </row>
    <row r="1428" ht="15.75" hidden="1" customHeight="1">
      <c r="A1428" s="38" t="s">
        <v>92</v>
      </c>
      <c r="B1428" s="55" t="s">
        <v>117</v>
      </c>
      <c r="C1428" s="38" t="s">
        <v>452</v>
      </c>
      <c r="D1428" s="38" t="s">
        <v>453</v>
      </c>
      <c r="E1428" s="38" t="s">
        <v>2572</v>
      </c>
      <c r="F1428" s="52">
        <v>2.0</v>
      </c>
      <c r="G1428" s="52">
        <v>79800.0</v>
      </c>
      <c r="H1428" s="52">
        <v>15960.0</v>
      </c>
      <c r="J1428" s="38" t="s">
        <v>186</v>
      </c>
    </row>
    <row r="1429" ht="15.75" hidden="1" customHeight="1">
      <c r="A1429" s="38" t="s">
        <v>92</v>
      </c>
      <c r="B1429" s="55" t="s">
        <v>117</v>
      </c>
      <c r="C1429" s="38" t="s">
        <v>452</v>
      </c>
      <c r="D1429" s="38" t="s">
        <v>453</v>
      </c>
      <c r="E1429" s="38" t="s">
        <v>2573</v>
      </c>
      <c r="F1429" s="52">
        <v>2.0</v>
      </c>
      <c r="G1429" s="52">
        <v>87400.0</v>
      </c>
      <c r="H1429" s="52">
        <v>17480.0</v>
      </c>
      <c r="J1429" s="38" t="s">
        <v>186</v>
      </c>
    </row>
    <row r="1430" ht="15.75" hidden="1" customHeight="1">
      <c r="A1430" s="38" t="s">
        <v>92</v>
      </c>
      <c r="B1430" s="38" t="s">
        <v>186</v>
      </c>
      <c r="C1430" s="38" t="s">
        <v>663</v>
      </c>
      <c r="D1430" s="38" t="s">
        <v>664</v>
      </c>
      <c r="E1430" s="38" t="s">
        <v>2574</v>
      </c>
      <c r="F1430" s="52">
        <v>1.0</v>
      </c>
      <c r="G1430" s="52">
        <v>52700.0</v>
      </c>
      <c r="H1430" s="52" t="s">
        <v>1800</v>
      </c>
    </row>
    <row r="1431" ht="15.75" hidden="1" customHeight="1">
      <c r="A1431" s="38" t="s">
        <v>92</v>
      </c>
      <c r="B1431" s="38" t="s">
        <v>186</v>
      </c>
      <c r="C1431" s="38" t="s">
        <v>663</v>
      </c>
      <c r="D1431" s="38" t="s">
        <v>664</v>
      </c>
      <c r="E1431" s="38" t="s">
        <v>2575</v>
      </c>
      <c r="F1431" s="52">
        <v>0.0</v>
      </c>
      <c r="G1431" s="52" t="s">
        <v>1800</v>
      </c>
      <c r="H1431" s="52" t="s">
        <v>1800</v>
      </c>
    </row>
    <row r="1432" ht="15.75" hidden="1" customHeight="1">
      <c r="A1432" s="38" t="s">
        <v>92</v>
      </c>
      <c r="B1432" s="38" t="s">
        <v>186</v>
      </c>
      <c r="C1432" s="38" t="s">
        <v>663</v>
      </c>
      <c r="D1432" s="38" t="s">
        <v>664</v>
      </c>
      <c r="E1432" s="38" t="s">
        <v>2576</v>
      </c>
      <c r="F1432" s="52">
        <v>0.0</v>
      </c>
      <c r="G1432" s="52" t="s">
        <v>1800</v>
      </c>
      <c r="H1432" s="52" t="s">
        <v>1800</v>
      </c>
    </row>
    <row r="1433" ht="15.75" hidden="1" customHeight="1">
      <c r="A1433" s="38" t="s">
        <v>92</v>
      </c>
      <c r="B1433" s="38" t="s">
        <v>186</v>
      </c>
      <c r="C1433" s="38" t="s">
        <v>663</v>
      </c>
      <c r="D1433" s="38" t="s">
        <v>664</v>
      </c>
      <c r="E1433" s="38" t="s">
        <v>2577</v>
      </c>
      <c r="F1433" s="52">
        <v>0.0</v>
      </c>
      <c r="G1433" s="52" t="s">
        <v>1800</v>
      </c>
      <c r="H1433" s="52" t="s">
        <v>1800</v>
      </c>
    </row>
    <row r="1434" ht="15.75" hidden="1" customHeight="1">
      <c r="A1434" s="38" t="s">
        <v>92</v>
      </c>
      <c r="B1434" s="38" t="s">
        <v>186</v>
      </c>
      <c r="C1434" s="38" t="s">
        <v>663</v>
      </c>
      <c r="D1434" s="38" t="s">
        <v>664</v>
      </c>
      <c r="E1434" s="38" t="s">
        <v>2578</v>
      </c>
      <c r="F1434" s="52">
        <v>0.0</v>
      </c>
      <c r="G1434" s="52" t="s">
        <v>1800</v>
      </c>
      <c r="H1434" s="52" t="s">
        <v>1800</v>
      </c>
    </row>
    <row r="1435" ht="15.75" hidden="1" customHeight="1">
      <c r="A1435" s="38" t="s">
        <v>92</v>
      </c>
      <c r="B1435" s="38" t="s">
        <v>186</v>
      </c>
      <c r="C1435" s="38" t="s">
        <v>663</v>
      </c>
      <c r="D1435" s="38" t="s">
        <v>664</v>
      </c>
      <c r="E1435" s="38" t="s">
        <v>2579</v>
      </c>
      <c r="F1435" s="52">
        <v>0.0</v>
      </c>
      <c r="G1435" s="52" t="s">
        <v>1800</v>
      </c>
      <c r="H1435" s="52" t="s">
        <v>1800</v>
      </c>
    </row>
    <row r="1436" ht="15.75" hidden="1" customHeight="1">
      <c r="A1436" s="38" t="s">
        <v>92</v>
      </c>
      <c r="B1436" s="38" t="s">
        <v>186</v>
      </c>
      <c r="C1436" s="38" t="s">
        <v>663</v>
      </c>
      <c r="D1436" s="38" t="s">
        <v>664</v>
      </c>
      <c r="E1436" s="38" t="s">
        <v>2580</v>
      </c>
      <c r="F1436" s="52">
        <v>0.0</v>
      </c>
      <c r="G1436" s="52" t="s">
        <v>1800</v>
      </c>
      <c r="H1436" s="52" t="s">
        <v>1800</v>
      </c>
    </row>
    <row r="1437" ht="15.75" hidden="1" customHeight="1">
      <c r="A1437" s="38" t="s">
        <v>92</v>
      </c>
      <c r="B1437" s="38" t="s">
        <v>117</v>
      </c>
      <c r="C1437" s="38" t="s">
        <v>602</v>
      </c>
      <c r="D1437" s="38" t="s">
        <v>601</v>
      </c>
      <c r="E1437" s="38" t="s">
        <v>2581</v>
      </c>
      <c r="F1437" s="52">
        <v>1.0</v>
      </c>
      <c r="G1437" s="52">
        <v>25000.0</v>
      </c>
      <c r="H1437" s="52" t="s">
        <v>1800</v>
      </c>
    </row>
    <row r="1438" ht="15.75" hidden="1" customHeight="1">
      <c r="A1438" s="38" t="s">
        <v>92</v>
      </c>
      <c r="B1438" s="38" t="s">
        <v>117</v>
      </c>
      <c r="C1438" s="38" t="s">
        <v>602</v>
      </c>
      <c r="D1438" s="38" t="s">
        <v>601</v>
      </c>
      <c r="E1438" s="38" t="s">
        <v>2584</v>
      </c>
      <c r="F1438" s="52">
        <v>1.0</v>
      </c>
      <c r="G1438" s="52">
        <v>40000.0</v>
      </c>
      <c r="H1438" s="52" t="s">
        <v>1800</v>
      </c>
    </row>
    <row r="1439" ht="15.75" hidden="1" customHeight="1">
      <c r="A1439" s="38" t="s">
        <v>92</v>
      </c>
      <c r="B1439" s="38" t="s">
        <v>117</v>
      </c>
      <c r="C1439" s="38" t="s">
        <v>602</v>
      </c>
      <c r="D1439" s="38" t="s">
        <v>601</v>
      </c>
      <c r="E1439" s="38" t="s">
        <v>2585</v>
      </c>
      <c r="F1439" s="52" t="s">
        <v>1800</v>
      </c>
      <c r="G1439" s="52" t="s">
        <v>1800</v>
      </c>
      <c r="H1439" s="52" t="s">
        <v>1800</v>
      </c>
    </row>
    <row r="1440" ht="15.75" hidden="1" customHeight="1">
      <c r="A1440" s="38" t="s">
        <v>92</v>
      </c>
      <c r="B1440" s="38" t="s">
        <v>186</v>
      </c>
      <c r="C1440" s="38" t="s">
        <v>281</v>
      </c>
      <c r="D1440" s="38" t="s">
        <v>282</v>
      </c>
      <c r="E1440" s="38" t="s">
        <v>2586</v>
      </c>
      <c r="F1440" s="52">
        <v>5130.0</v>
      </c>
      <c r="G1440" s="52">
        <v>2.457827E8</v>
      </c>
      <c r="H1440" s="52">
        <v>2090900.0</v>
      </c>
    </row>
    <row r="1441" ht="15.75" hidden="1" customHeight="1">
      <c r="A1441" s="38" t="s">
        <v>92</v>
      </c>
      <c r="B1441" s="38" t="s">
        <v>186</v>
      </c>
      <c r="C1441" s="38" t="s">
        <v>281</v>
      </c>
      <c r="D1441" s="38" t="s">
        <v>282</v>
      </c>
      <c r="E1441" s="38" t="s">
        <v>2587</v>
      </c>
      <c r="F1441" s="52">
        <v>5237.0</v>
      </c>
      <c r="G1441" s="52">
        <v>1.122061E8</v>
      </c>
      <c r="H1441" s="52">
        <v>251360.0</v>
      </c>
    </row>
    <row r="1442" ht="15.75" hidden="1" customHeight="1">
      <c r="A1442" s="38" t="s">
        <v>92</v>
      </c>
      <c r="B1442" s="38" t="s">
        <v>186</v>
      </c>
      <c r="C1442" s="38" t="s">
        <v>281</v>
      </c>
      <c r="D1442" s="38" t="s">
        <v>282</v>
      </c>
      <c r="E1442" s="38" t="s">
        <v>2588</v>
      </c>
      <c r="F1442" s="52">
        <v>7082.0</v>
      </c>
      <c r="G1442" s="52">
        <v>1.511566E8</v>
      </c>
      <c r="H1442" s="52">
        <v>191600.0</v>
      </c>
    </row>
    <row r="1443" ht="15.75" hidden="1" customHeight="1">
      <c r="A1443" s="38" t="s">
        <v>92</v>
      </c>
      <c r="B1443" s="38" t="s">
        <v>186</v>
      </c>
      <c r="C1443" s="38" t="s">
        <v>281</v>
      </c>
      <c r="D1443" s="38" t="s">
        <v>282</v>
      </c>
      <c r="E1443" s="38" t="s">
        <v>2589</v>
      </c>
      <c r="F1443" s="52">
        <v>6507.0</v>
      </c>
      <c r="G1443" s="52">
        <v>1.241214E8</v>
      </c>
      <c r="H1443" s="52">
        <v>164960.0</v>
      </c>
    </row>
    <row r="1444" ht="15.75" hidden="1" customHeight="1">
      <c r="A1444" s="38" t="s">
        <v>92</v>
      </c>
      <c r="B1444" s="38" t="s">
        <v>186</v>
      </c>
      <c r="C1444" s="38" t="s">
        <v>485</v>
      </c>
      <c r="D1444" s="38" t="s">
        <v>486</v>
      </c>
      <c r="E1444" s="38" t="s">
        <v>2590</v>
      </c>
      <c r="F1444" s="52">
        <v>9.0</v>
      </c>
      <c r="G1444" s="52">
        <v>203000.0</v>
      </c>
      <c r="H1444" s="52">
        <v>12000.0</v>
      </c>
    </row>
    <row r="1445" ht="15.75" hidden="1" customHeight="1">
      <c r="A1445" s="38" t="s">
        <v>92</v>
      </c>
      <c r="B1445" s="38" t="s">
        <v>186</v>
      </c>
      <c r="C1445" s="38" t="s">
        <v>485</v>
      </c>
      <c r="D1445" s="38" t="s">
        <v>486</v>
      </c>
      <c r="E1445" s="38" t="s">
        <v>2591</v>
      </c>
      <c r="F1445" s="52">
        <v>3.0</v>
      </c>
      <c r="G1445" s="52">
        <v>320000.0</v>
      </c>
      <c r="H1445" s="52">
        <v>8000.0</v>
      </c>
    </row>
    <row r="1446" ht="15.75" hidden="1" customHeight="1">
      <c r="A1446" s="38" t="s">
        <v>92</v>
      </c>
      <c r="B1446" s="38" t="s">
        <v>117</v>
      </c>
      <c r="C1446" s="38" t="s">
        <v>775</v>
      </c>
      <c r="D1446" s="38" t="s">
        <v>776</v>
      </c>
      <c r="E1446" s="38" t="s">
        <v>2592</v>
      </c>
      <c r="F1446" s="52">
        <v>1.0</v>
      </c>
      <c r="G1446" s="52">
        <v>26900.0</v>
      </c>
      <c r="H1446" s="52">
        <v>5380.0</v>
      </c>
    </row>
    <row r="1447" ht="15.75" hidden="1" customHeight="1">
      <c r="A1447" s="38" t="s">
        <v>92</v>
      </c>
      <c r="B1447" s="38" t="s">
        <v>117</v>
      </c>
      <c r="C1447" s="38" t="s">
        <v>347</v>
      </c>
      <c r="D1447" s="38" t="s">
        <v>348</v>
      </c>
      <c r="E1447" s="38" t="s">
        <v>2593</v>
      </c>
      <c r="F1447" s="52">
        <v>234.0</v>
      </c>
      <c r="G1447" s="52">
        <v>5887600.0</v>
      </c>
      <c r="H1447" s="52" t="s">
        <v>1800</v>
      </c>
    </row>
    <row r="1448" ht="15.75" hidden="1" customHeight="1">
      <c r="A1448" s="38" t="s">
        <v>92</v>
      </c>
      <c r="B1448" s="38" t="s">
        <v>117</v>
      </c>
      <c r="C1448" s="38" t="s">
        <v>347</v>
      </c>
      <c r="D1448" s="38" t="s">
        <v>348</v>
      </c>
      <c r="E1448" s="38" t="s">
        <v>2594</v>
      </c>
      <c r="F1448" s="52">
        <v>98.0</v>
      </c>
      <c r="G1448" s="52">
        <v>2527900.0</v>
      </c>
      <c r="H1448" s="52" t="s">
        <v>1800</v>
      </c>
    </row>
    <row r="1449" ht="15.75" hidden="1" customHeight="1">
      <c r="A1449" s="38" t="s">
        <v>92</v>
      </c>
      <c r="B1449" s="38" t="s">
        <v>117</v>
      </c>
      <c r="C1449" s="38" t="s">
        <v>347</v>
      </c>
      <c r="D1449" s="38" t="s">
        <v>348</v>
      </c>
      <c r="E1449" s="38" t="s">
        <v>2595</v>
      </c>
      <c r="F1449" s="52">
        <v>1.0</v>
      </c>
      <c r="G1449" s="52">
        <v>31000.0</v>
      </c>
      <c r="H1449" s="52" t="s">
        <v>1800</v>
      </c>
    </row>
    <row r="1450" ht="15.75" hidden="1" customHeight="1">
      <c r="A1450" s="38" t="s">
        <v>92</v>
      </c>
      <c r="B1450" s="38" t="s">
        <v>117</v>
      </c>
      <c r="C1450" s="38" t="s">
        <v>775</v>
      </c>
      <c r="D1450" s="38" t="s">
        <v>776</v>
      </c>
      <c r="E1450" s="38" t="s">
        <v>2596</v>
      </c>
      <c r="F1450" s="52">
        <v>1.0</v>
      </c>
      <c r="G1450" s="52">
        <v>35000.0</v>
      </c>
      <c r="H1450" s="52" t="s">
        <v>1800</v>
      </c>
    </row>
  </sheetData>
  <autoFilter ref="$A$1:$S$1450">
    <filterColumn colId="0">
      <filters>
        <filter val="온누리마켓"/>
      </filters>
    </filterColumn>
  </autoFilter>
  <conditionalFormatting sqref="E2:E1450">
    <cfRule type="expression" dxfId="4" priority="1">
      <formula>COUNTIF(#REF!, E2)&gt;0</formula>
    </cfRule>
  </conditionalFormatting>
  <conditionalFormatting sqref="K10">
    <cfRule type="notContainsBlanks" dxfId="4" priority="2">
      <formula>LEN(TRIM(K10))&gt;0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</row>
    <row r="2">
      <c r="F2" s="57"/>
      <c r="G2" s="57"/>
      <c r="H2" s="57"/>
    </row>
    <row r="3">
      <c r="F3" s="57"/>
      <c r="G3" s="57"/>
      <c r="H3" s="57"/>
    </row>
    <row r="4">
      <c r="F4" s="57"/>
      <c r="G4" s="57"/>
      <c r="H4" s="57"/>
    </row>
    <row r="5">
      <c r="F5" s="57"/>
      <c r="G5" s="57"/>
      <c r="H5" s="57"/>
    </row>
    <row r="6">
      <c r="F6" s="57"/>
      <c r="G6" s="57"/>
      <c r="H6" s="57"/>
    </row>
    <row r="7">
      <c r="F7" s="57"/>
      <c r="G7" s="57"/>
      <c r="H7" s="57"/>
    </row>
    <row r="8">
      <c r="F8" s="57"/>
      <c r="G8" s="57"/>
      <c r="H8" s="57"/>
    </row>
    <row r="9">
      <c r="F9" s="57"/>
      <c r="G9" s="57"/>
      <c r="H9" s="57"/>
    </row>
    <row r="10">
      <c r="F10" s="57"/>
      <c r="G10" s="57"/>
      <c r="H10" s="57"/>
    </row>
    <row r="11">
      <c r="F11" s="57"/>
      <c r="G11" s="57"/>
      <c r="H11" s="57"/>
    </row>
    <row r="12">
      <c r="F12" s="57"/>
      <c r="G12" s="57"/>
      <c r="H12" s="57"/>
    </row>
    <row r="13">
      <c r="F13" s="57"/>
      <c r="G13" s="57"/>
      <c r="H13" s="57"/>
    </row>
    <row r="14">
      <c r="F14" s="57"/>
      <c r="G14" s="57"/>
      <c r="H14" s="57"/>
    </row>
    <row r="15">
      <c r="F15" s="57"/>
      <c r="G15" s="57"/>
      <c r="H15" s="57"/>
    </row>
    <row r="16">
      <c r="F16" s="57"/>
      <c r="G16" s="57"/>
      <c r="H16" s="57"/>
    </row>
    <row r="17">
      <c r="F17" s="57"/>
      <c r="G17" s="57"/>
      <c r="H17" s="57"/>
    </row>
    <row r="18">
      <c r="F18" s="57"/>
      <c r="G18" s="57"/>
      <c r="H18" s="57"/>
    </row>
    <row r="19">
      <c r="F19" s="57"/>
      <c r="G19" s="57"/>
      <c r="H19" s="57"/>
    </row>
    <row r="20">
      <c r="F20" s="57"/>
      <c r="G20" s="57"/>
      <c r="H20" s="57"/>
    </row>
    <row r="21" ht="15.75" customHeight="1">
      <c r="F21" s="57"/>
      <c r="G21" s="57"/>
      <c r="H21" s="57"/>
    </row>
    <row r="22" ht="15.75" customHeight="1">
      <c r="F22" s="57"/>
      <c r="G22" s="57"/>
      <c r="H22" s="57"/>
    </row>
    <row r="23" ht="15.75" customHeight="1">
      <c r="F23" s="57"/>
      <c r="G23" s="57"/>
      <c r="H23" s="57"/>
    </row>
    <row r="24" ht="15.75" customHeight="1">
      <c r="F24" s="57"/>
      <c r="G24" s="57"/>
      <c r="H24" s="57"/>
    </row>
    <row r="25" ht="15.75" customHeight="1">
      <c r="F25" s="57"/>
      <c r="G25" s="57"/>
      <c r="H25" s="57"/>
    </row>
    <row r="26" ht="15.75" customHeight="1">
      <c r="F26" s="57"/>
      <c r="G26" s="57"/>
      <c r="H26" s="57"/>
    </row>
    <row r="27" ht="15.75" customHeight="1">
      <c r="F27" s="57"/>
      <c r="G27" s="57"/>
      <c r="H27" s="57"/>
    </row>
    <row r="28" ht="15.75" customHeight="1">
      <c r="F28" s="57"/>
      <c r="G28" s="57"/>
      <c r="H28" s="57"/>
    </row>
    <row r="29" ht="15.75" customHeight="1">
      <c r="F29" s="57"/>
      <c r="G29" s="57"/>
      <c r="H29" s="57"/>
    </row>
    <row r="30" ht="15.75" customHeight="1">
      <c r="F30" s="57"/>
      <c r="G30" s="57"/>
      <c r="H30" s="57"/>
    </row>
    <row r="31" ht="15.75" customHeight="1">
      <c r="F31" s="57"/>
      <c r="G31" s="57"/>
      <c r="H31" s="57"/>
    </row>
    <row r="32" ht="15.75" customHeight="1">
      <c r="F32" s="57"/>
      <c r="G32" s="57"/>
      <c r="H32" s="57"/>
    </row>
    <row r="33" ht="15.75" customHeight="1">
      <c r="F33" s="57"/>
      <c r="G33" s="57"/>
      <c r="H33" s="57"/>
    </row>
    <row r="34" ht="15.75" customHeight="1">
      <c r="F34" s="57"/>
      <c r="G34" s="57"/>
      <c r="H34" s="57"/>
    </row>
    <row r="35" ht="15.75" customHeight="1">
      <c r="F35" s="57"/>
      <c r="G35" s="57"/>
      <c r="H35" s="57"/>
    </row>
    <row r="36" ht="15.75" customHeight="1">
      <c r="F36" s="57"/>
      <c r="G36" s="57"/>
      <c r="H36" s="57"/>
    </row>
    <row r="37" ht="15.75" customHeight="1">
      <c r="F37" s="57"/>
      <c r="G37" s="57"/>
      <c r="H37" s="57"/>
    </row>
    <row r="38" ht="15.75" customHeight="1">
      <c r="F38" s="57"/>
      <c r="G38" s="57"/>
      <c r="H38" s="57"/>
    </row>
    <row r="39" ht="15.75" customHeight="1">
      <c r="F39" s="57"/>
      <c r="G39" s="57"/>
      <c r="H39" s="57"/>
    </row>
    <row r="40" ht="15.75" customHeight="1">
      <c r="F40" s="57"/>
      <c r="G40" s="57"/>
      <c r="H40" s="57"/>
    </row>
    <row r="41" ht="15.75" customHeight="1">
      <c r="F41" s="57"/>
      <c r="G41" s="57"/>
      <c r="H41" s="57"/>
    </row>
    <row r="42" ht="15.75" customHeight="1">
      <c r="F42" s="57"/>
      <c r="G42" s="57"/>
      <c r="H42" s="57"/>
    </row>
    <row r="43" ht="15.75" customHeight="1">
      <c r="F43" s="57"/>
      <c r="G43" s="57"/>
      <c r="H43" s="57"/>
    </row>
    <row r="44" ht="15.75" customHeight="1">
      <c r="F44" s="57"/>
      <c r="G44" s="57"/>
      <c r="H44" s="57"/>
    </row>
    <row r="45" ht="15.75" customHeight="1">
      <c r="F45" s="57"/>
      <c r="G45" s="57"/>
      <c r="H45" s="57"/>
    </row>
    <row r="46" ht="15.75" customHeight="1">
      <c r="F46" s="57"/>
      <c r="G46" s="57"/>
      <c r="H46" s="57"/>
    </row>
    <row r="47" ht="15.75" customHeight="1">
      <c r="F47" s="57"/>
      <c r="G47" s="57"/>
      <c r="H47" s="57"/>
    </row>
    <row r="48" ht="15.75" customHeight="1">
      <c r="F48" s="57"/>
      <c r="G48" s="57"/>
      <c r="H48" s="57"/>
    </row>
    <row r="49" ht="15.75" customHeight="1">
      <c r="F49" s="57"/>
      <c r="G49" s="57"/>
      <c r="H49" s="57"/>
    </row>
    <row r="50" ht="15.75" customHeight="1">
      <c r="F50" s="57"/>
      <c r="G50" s="57"/>
      <c r="H50" s="57"/>
    </row>
    <row r="51" ht="15.75" customHeight="1">
      <c r="F51" s="57"/>
      <c r="G51" s="57"/>
      <c r="H51" s="57"/>
    </row>
    <row r="52" ht="15.75" customHeight="1">
      <c r="F52" s="57"/>
      <c r="G52" s="57"/>
      <c r="H52" s="57"/>
    </row>
    <row r="53" ht="15.75" customHeight="1">
      <c r="F53" s="57"/>
      <c r="G53" s="57"/>
      <c r="H53" s="57"/>
    </row>
    <row r="54" ht="15.75" customHeight="1">
      <c r="F54" s="57"/>
      <c r="G54" s="57"/>
      <c r="H54" s="57"/>
    </row>
    <row r="55" ht="15.75" customHeight="1">
      <c r="F55" s="57"/>
      <c r="G55" s="57"/>
      <c r="H55" s="57"/>
    </row>
    <row r="56" ht="15.75" customHeight="1">
      <c r="F56" s="57"/>
      <c r="G56" s="57"/>
      <c r="H56" s="57"/>
    </row>
    <row r="57" ht="15.75" customHeight="1">
      <c r="F57" s="57"/>
      <c r="G57" s="57"/>
      <c r="H57" s="57"/>
    </row>
    <row r="58" ht="15.75" customHeight="1">
      <c r="F58" s="57"/>
      <c r="G58" s="57"/>
      <c r="H58" s="57"/>
    </row>
    <row r="59" ht="15.75" customHeight="1">
      <c r="F59" s="57"/>
      <c r="G59" s="57"/>
      <c r="H59" s="57"/>
    </row>
    <row r="60" ht="15.75" customHeight="1">
      <c r="F60" s="57"/>
      <c r="G60" s="57"/>
      <c r="H60" s="57"/>
    </row>
    <row r="61" ht="15.75" customHeight="1">
      <c r="F61" s="57"/>
      <c r="G61" s="57"/>
      <c r="H61" s="57"/>
    </row>
    <row r="62" ht="15.75" customHeight="1">
      <c r="F62" s="57"/>
      <c r="G62" s="57"/>
      <c r="H62" s="57"/>
    </row>
    <row r="63" ht="15.75" customHeight="1">
      <c r="F63" s="57"/>
      <c r="G63" s="57"/>
      <c r="H63" s="57"/>
    </row>
    <row r="64" ht="15.75" customHeight="1">
      <c r="F64" s="57"/>
      <c r="G64" s="57"/>
      <c r="H64" s="57"/>
    </row>
    <row r="65" ht="15.75" customHeight="1">
      <c r="F65" s="57"/>
      <c r="G65" s="57"/>
      <c r="H65" s="57"/>
    </row>
    <row r="66" ht="15.75" customHeight="1">
      <c r="F66" s="57"/>
      <c r="G66" s="57"/>
      <c r="H66" s="57"/>
    </row>
    <row r="67" ht="15.75" customHeight="1">
      <c r="F67" s="57"/>
      <c r="G67" s="57"/>
      <c r="H67" s="57"/>
    </row>
    <row r="68" ht="15.75" customHeight="1">
      <c r="F68" s="57"/>
      <c r="G68" s="57"/>
      <c r="H68" s="57"/>
    </row>
    <row r="69" ht="15.75" customHeight="1">
      <c r="F69" s="57"/>
      <c r="G69" s="57"/>
      <c r="H69" s="57"/>
    </row>
    <row r="70" ht="15.75" customHeight="1">
      <c r="F70" s="57"/>
      <c r="G70" s="57"/>
      <c r="H70" s="57"/>
    </row>
    <row r="71" ht="15.75" customHeight="1">
      <c r="F71" s="57"/>
      <c r="G71" s="57"/>
      <c r="H71" s="57"/>
    </row>
    <row r="72" ht="15.75" customHeight="1">
      <c r="F72" s="57"/>
      <c r="G72" s="57"/>
      <c r="H72" s="57"/>
    </row>
    <row r="73" ht="15.75" customHeight="1">
      <c r="F73" s="57"/>
      <c r="G73" s="57"/>
      <c r="H73" s="57"/>
    </row>
    <row r="74" ht="15.75" customHeight="1">
      <c r="F74" s="57"/>
      <c r="G74" s="57"/>
      <c r="H74" s="57"/>
    </row>
    <row r="75" ht="15.75" customHeight="1">
      <c r="F75" s="57"/>
      <c r="G75" s="57"/>
      <c r="H75" s="57"/>
    </row>
    <row r="76" ht="15.75" customHeight="1">
      <c r="F76" s="57"/>
      <c r="G76" s="57"/>
      <c r="H76" s="57"/>
    </row>
    <row r="77" ht="15.75" customHeight="1">
      <c r="F77" s="57"/>
      <c r="G77" s="57"/>
      <c r="H77" s="57"/>
    </row>
    <row r="78" ht="15.75" customHeight="1">
      <c r="F78" s="57"/>
      <c r="G78" s="57"/>
      <c r="H78" s="57"/>
    </row>
    <row r="79" ht="15.75" customHeight="1">
      <c r="F79" s="57"/>
      <c r="G79" s="57"/>
      <c r="H79" s="57"/>
    </row>
    <row r="80" ht="15.75" customHeight="1">
      <c r="F80" s="57"/>
      <c r="G80" s="57"/>
      <c r="H80" s="57"/>
    </row>
    <row r="81" ht="15.75" customHeight="1">
      <c r="F81" s="57"/>
      <c r="G81" s="57"/>
      <c r="H81" s="57"/>
    </row>
    <row r="82" ht="15.75" customHeight="1">
      <c r="F82" s="57"/>
      <c r="G82" s="57"/>
      <c r="H82" s="57"/>
    </row>
    <row r="83" ht="15.75" customHeight="1">
      <c r="F83" s="57"/>
      <c r="G83" s="57"/>
      <c r="H83" s="57"/>
    </row>
    <row r="84" ht="15.75" customHeight="1">
      <c r="F84" s="57"/>
      <c r="G84" s="57"/>
      <c r="H84" s="57"/>
    </row>
    <row r="85" ht="15.75" customHeight="1">
      <c r="F85" s="57"/>
      <c r="G85" s="57"/>
      <c r="H85" s="57"/>
    </row>
    <row r="86" ht="15.75" customHeight="1">
      <c r="F86" s="57"/>
      <c r="G86" s="57"/>
      <c r="H86" s="57"/>
    </row>
    <row r="87" ht="15.75" customHeight="1">
      <c r="F87" s="57"/>
      <c r="G87" s="57"/>
      <c r="H87" s="57"/>
    </row>
    <row r="88" ht="15.75" customHeight="1">
      <c r="F88" s="57"/>
      <c r="G88" s="57"/>
      <c r="H88" s="57"/>
    </row>
    <row r="89" ht="15.75" customHeight="1">
      <c r="F89" s="57"/>
      <c r="G89" s="57"/>
      <c r="H89" s="57"/>
    </row>
    <row r="90" ht="15.75" customHeight="1">
      <c r="F90" s="57"/>
      <c r="G90" s="57"/>
      <c r="H90" s="57"/>
    </row>
    <row r="91" ht="15.75" customHeight="1">
      <c r="F91" s="57"/>
      <c r="G91" s="57"/>
      <c r="H91" s="57"/>
    </row>
    <row r="92" ht="15.75" customHeight="1">
      <c r="F92" s="57"/>
      <c r="G92" s="57"/>
      <c r="H92" s="57"/>
    </row>
    <row r="93" ht="15.75" customHeight="1">
      <c r="F93" s="57"/>
      <c r="G93" s="57"/>
      <c r="H93" s="57"/>
    </row>
    <row r="94" ht="15.75" customHeight="1">
      <c r="F94" s="57"/>
      <c r="G94" s="57"/>
      <c r="H94" s="57"/>
    </row>
    <row r="95" ht="15.75" customHeight="1">
      <c r="F95" s="57"/>
      <c r="G95" s="57"/>
      <c r="H95" s="57"/>
    </row>
    <row r="96" ht="15.75" customHeight="1">
      <c r="F96" s="57"/>
      <c r="G96" s="57"/>
      <c r="H96" s="57"/>
    </row>
    <row r="97" ht="15.75" customHeight="1">
      <c r="F97" s="57"/>
      <c r="G97" s="57"/>
      <c r="H97" s="57"/>
    </row>
    <row r="98" ht="15.75" customHeight="1">
      <c r="F98" s="57"/>
      <c r="G98" s="57"/>
      <c r="H98" s="57"/>
    </row>
    <row r="99" ht="15.75" customHeight="1">
      <c r="F99" s="57"/>
      <c r="G99" s="57"/>
      <c r="H99" s="57"/>
    </row>
    <row r="100" ht="15.75" customHeight="1">
      <c r="F100" s="57"/>
      <c r="G100" s="57"/>
      <c r="H100" s="57"/>
    </row>
    <row r="101" ht="15.75" customHeight="1">
      <c r="F101" s="57"/>
      <c r="G101" s="57"/>
      <c r="H101" s="57"/>
    </row>
    <row r="102" ht="15.75" customHeight="1">
      <c r="F102" s="57"/>
      <c r="G102" s="57"/>
      <c r="H102" s="57"/>
    </row>
    <row r="103" ht="15.75" customHeight="1">
      <c r="F103" s="57"/>
      <c r="G103" s="57"/>
      <c r="H103" s="57"/>
    </row>
    <row r="104" ht="15.75" customHeight="1">
      <c r="F104" s="57"/>
      <c r="G104" s="57"/>
      <c r="H104" s="57"/>
    </row>
    <row r="105" ht="15.75" customHeight="1">
      <c r="F105" s="57"/>
      <c r="G105" s="57"/>
      <c r="H105" s="57"/>
    </row>
    <row r="106" ht="15.75" customHeight="1">
      <c r="F106" s="57"/>
      <c r="G106" s="57"/>
      <c r="H106" s="57"/>
    </row>
    <row r="107" ht="15.75" customHeight="1">
      <c r="F107" s="57"/>
      <c r="G107" s="57"/>
      <c r="H107" s="57"/>
    </row>
    <row r="108" ht="15.75" customHeight="1">
      <c r="F108" s="57"/>
      <c r="G108" s="57"/>
      <c r="H108" s="57"/>
    </row>
    <row r="109" ht="15.75" customHeight="1">
      <c r="F109" s="57"/>
      <c r="G109" s="57"/>
      <c r="H109" s="57"/>
    </row>
    <row r="110" ht="15.75" customHeight="1">
      <c r="F110" s="57"/>
      <c r="G110" s="57"/>
      <c r="H110" s="57"/>
    </row>
    <row r="111" ht="15.75" customHeight="1">
      <c r="F111" s="57"/>
      <c r="G111" s="57"/>
      <c r="H111" s="57"/>
    </row>
    <row r="112" ht="15.75" customHeight="1">
      <c r="F112" s="57"/>
      <c r="G112" s="57"/>
      <c r="H112" s="57"/>
    </row>
    <row r="113" ht="15.75" customHeight="1">
      <c r="F113" s="57"/>
      <c r="G113" s="57"/>
      <c r="H113" s="57"/>
    </row>
    <row r="114" ht="15.75" customHeight="1">
      <c r="F114" s="57"/>
      <c r="G114" s="57"/>
      <c r="H114" s="57"/>
    </row>
    <row r="115" ht="15.75" customHeight="1">
      <c r="F115" s="57"/>
      <c r="G115" s="57"/>
      <c r="H115" s="57"/>
    </row>
    <row r="116" ht="15.75" customHeight="1">
      <c r="F116" s="57"/>
      <c r="G116" s="57"/>
      <c r="H116" s="57"/>
    </row>
    <row r="117" ht="15.75" customHeight="1">
      <c r="F117" s="57"/>
      <c r="G117" s="57"/>
      <c r="H117" s="57"/>
    </row>
    <row r="118" ht="15.75" customHeight="1">
      <c r="F118" s="57"/>
      <c r="G118" s="57"/>
      <c r="H118" s="57"/>
    </row>
    <row r="119" ht="15.75" customHeight="1">
      <c r="F119" s="57"/>
      <c r="G119" s="57"/>
      <c r="H119" s="57"/>
    </row>
    <row r="120" ht="15.75" customHeight="1">
      <c r="F120" s="57"/>
      <c r="G120" s="57"/>
      <c r="H120" s="57"/>
    </row>
    <row r="121" ht="15.75" customHeight="1">
      <c r="F121" s="57"/>
      <c r="G121" s="57"/>
      <c r="H121" s="57"/>
    </row>
    <row r="122" ht="15.75" customHeight="1">
      <c r="F122" s="57"/>
      <c r="G122" s="57"/>
      <c r="H122" s="57"/>
    </row>
    <row r="123" ht="15.75" customHeight="1">
      <c r="F123" s="57"/>
      <c r="G123" s="57"/>
      <c r="H123" s="57"/>
    </row>
    <row r="124" ht="15.75" customHeight="1">
      <c r="F124" s="57"/>
      <c r="G124" s="57"/>
      <c r="H124" s="57"/>
    </row>
    <row r="125" ht="15.75" customHeight="1">
      <c r="F125" s="57"/>
      <c r="G125" s="57"/>
      <c r="H125" s="57"/>
    </row>
    <row r="126" ht="15.75" customHeight="1">
      <c r="F126" s="57"/>
      <c r="G126" s="57"/>
      <c r="H126" s="57"/>
    </row>
    <row r="127" ht="15.75" customHeight="1">
      <c r="F127" s="57"/>
      <c r="G127" s="57"/>
      <c r="H127" s="57"/>
    </row>
    <row r="128" ht="15.75" customHeight="1">
      <c r="F128" s="57"/>
      <c r="G128" s="57"/>
      <c r="H128" s="57"/>
    </row>
    <row r="129" ht="15.75" customHeight="1">
      <c r="F129" s="57"/>
      <c r="G129" s="57"/>
      <c r="H129" s="57"/>
    </row>
    <row r="130" ht="15.75" customHeight="1">
      <c r="F130" s="57"/>
      <c r="G130" s="57"/>
      <c r="H130" s="57"/>
    </row>
    <row r="131" ht="15.75" customHeight="1">
      <c r="F131" s="57"/>
      <c r="G131" s="57"/>
      <c r="H131" s="57"/>
    </row>
    <row r="132" ht="15.75" customHeight="1">
      <c r="F132" s="57"/>
      <c r="G132" s="57"/>
      <c r="H132" s="57"/>
    </row>
    <row r="133" ht="15.75" customHeight="1">
      <c r="F133" s="57"/>
      <c r="G133" s="57"/>
      <c r="H133" s="57"/>
    </row>
    <row r="134" ht="15.75" customHeight="1">
      <c r="F134" s="57"/>
      <c r="G134" s="57"/>
      <c r="H134" s="57"/>
    </row>
    <row r="135" ht="15.75" customHeight="1">
      <c r="F135" s="57"/>
      <c r="G135" s="57"/>
      <c r="H135" s="57"/>
    </row>
    <row r="136" ht="15.75" customHeight="1">
      <c r="F136" s="57"/>
      <c r="G136" s="57"/>
      <c r="H136" s="57"/>
    </row>
    <row r="137" ht="15.75" customHeight="1">
      <c r="F137" s="57"/>
      <c r="G137" s="57"/>
      <c r="H137" s="57"/>
    </row>
    <row r="138" ht="15.75" customHeight="1">
      <c r="F138" s="57"/>
      <c r="G138" s="57"/>
      <c r="H138" s="57"/>
    </row>
    <row r="139" ht="15.75" customHeight="1">
      <c r="F139" s="57"/>
      <c r="G139" s="57"/>
      <c r="H139" s="57"/>
    </row>
    <row r="140" ht="15.75" customHeight="1">
      <c r="F140" s="57"/>
      <c r="G140" s="57"/>
      <c r="H140" s="57"/>
    </row>
    <row r="141" ht="15.75" customHeight="1">
      <c r="F141" s="57"/>
      <c r="G141" s="57"/>
      <c r="H141" s="57"/>
    </row>
    <row r="142" ht="15.75" customHeight="1">
      <c r="F142" s="57"/>
      <c r="G142" s="57"/>
      <c r="H142" s="57"/>
    </row>
    <row r="143" ht="15.75" customHeight="1">
      <c r="F143" s="57"/>
      <c r="G143" s="57"/>
      <c r="H143" s="57"/>
    </row>
    <row r="144" ht="15.75" customHeight="1">
      <c r="F144" s="57"/>
      <c r="G144" s="57"/>
      <c r="H144" s="57"/>
    </row>
    <row r="145" ht="15.75" customHeight="1">
      <c r="F145" s="57"/>
      <c r="G145" s="57"/>
      <c r="H145" s="57"/>
    </row>
    <row r="146" ht="15.75" customHeight="1">
      <c r="F146" s="57"/>
      <c r="G146" s="57"/>
      <c r="H146" s="57"/>
    </row>
    <row r="147" ht="15.75" customHeight="1">
      <c r="F147" s="57"/>
      <c r="G147" s="57"/>
      <c r="H147" s="57"/>
    </row>
    <row r="148" ht="15.75" customHeight="1">
      <c r="F148" s="57"/>
      <c r="G148" s="57"/>
      <c r="H148" s="57"/>
    </row>
    <row r="149" ht="15.75" customHeight="1">
      <c r="F149" s="57"/>
      <c r="G149" s="57"/>
      <c r="H149" s="57"/>
    </row>
    <row r="150" ht="15.75" customHeight="1">
      <c r="F150" s="57"/>
      <c r="G150" s="57"/>
      <c r="H150" s="57"/>
    </row>
    <row r="151" ht="15.75" customHeight="1">
      <c r="F151" s="57"/>
      <c r="G151" s="57"/>
      <c r="H151" s="57"/>
    </row>
    <row r="152" ht="15.75" customHeight="1">
      <c r="F152" s="57"/>
      <c r="G152" s="57"/>
      <c r="H152" s="57"/>
    </row>
    <row r="153" ht="15.75" customHeight="1">
      <c r="F153" s="57"/>
      <c r="G153" s="57"/>
      <c r="H153" s="57"/>
    </row>
    <row r="154" ht="15.75" customHeight="1">
      <c r="F154" s="57"/>
      <c r="G154" s="57"/>
      <c r="H154" s="57"/>
    </row>
    <row r="155" ht="15.75" customHeight="1">
      <c r="F155" s="57"/>
      <c r="G155" s="57"/>
      <c r="H155" s="57"/>
    </row>
    <row r="156" ht="15.75" customHeight="1">
      <c r="F156" s="57"/>
      <c r="G156" s="57"/>
      <c r="H156" s="57"/>
    </row>
    <row r="157" ht="15.75" customHeight="1">
      <c r="F157" s="57"/>
      <c r="G157" s="57"/>
      <c r="H157" s="57"/>
    </row>
    <row r="158" ht="15.75" customHeight="1">
      <c r="F158" s="57"/>
      <c r="G158" s="57"/>
      <c r="H158" s="57"/>
    </row>
    <row r="159" ht="15.75" customHeight="1">
      <c r="F159" s="57"/>
      <c r="G159" s="57"/>
      <c r="H159" s="57"/>
    </row>
    <row r="160" ht="15.75" customHeight="1">
      <c r="F160" s="57"/>
      <c r="G160" s="57"/>
      <c r="H160" s="57"/>
    </row>
    <row r="161" ht="15.75" customHeight="1">
      <c r="F161" s="57"/>
      <c r="G161" s="57"/>
      <c r="H161" s="57"/>
    </row>
    <row r="162" ht="15.75" customHeight="1">
      <c r="F162" s="57"/>
      <c r="G162" s="57"/>
      <c r="H162" s="57"/>
    </row>
    <row r="163" ht="15.75" customHeight="1">
      <c r="F163" s="57"/>
      <c r="G163" s="57"/>
      <c r="H163" s="57"/>
    </row>
    <row r="164" ht="15.75" customHeight="1">
      <c r="F164" s="57"/>
      <c r="G164" s="57"/>
      <c r="H164" s="57"/>
    </row>
    <row r="165" ht="15.75" customHeight="1">
      <c r="F165" s="57"/>
      <c r="G165" s="57"/>
      <c r="H165" s="57"/>
    </row>
    <row r="166" ht="15.75" customHeight="1">
      <c r="F166" s="57"/>
      <c r="G166" s="57"/>
      <c r="H166" s="57"/>
    </row>
    <row r="167" ht="15.75" customHeight="1">
      <c r="F167" s="57"/>
      <c r="G167" s="57"/>
      <c r="H167" s="57"/>
    </row>
    <row r="168" ht="15.75" customHeight="1">
      <c r="F168" s="57"/>
      <c r="G168" s="57"/>
      <c r="H168" s="57"/>
    </row>
    <row r="169" ht="15.75" customHeight="1">
      <c r="F169" s="57"/>
      <c r="G169" s="57"/>
      <c r="H169" s="57"/>
    </row>
    <row r="170" ht="15.75" customHeight="1">
      <c r="F170" s="57"/>
      <c r="G170" s="57"/>
      <c r="H170" s="57"/>
    </row>
    <row r="171" ht="15.75" customHeight="1">
      <c r="F171" s="57"/>
      <c r="G171" s="57"/>
      <c r="H171" s="57"/>
    </row>
    <row r="172" ht="15.75" customHeight="1">
      <c r="F172" s="57"/>
      <c r="G172" s="57"/>
      <c r="H172" s="57"/>
    </row>
    <row r="173" ht="15.75" customHeight="1">
      <c r="F173" s="57"/>
      <c r="G173" s="57"/>
      <c r="H173" s="57"/>
    </row>
    <row r="174" ht="15.75" customHeight="1">
      <c r="F174" s="57"/>
      <c r="G174" s="57"/>
      <c r="H174" s="57"/>
    </row>
    <row r="175" ht="15.75" customHeight="1">
      <c r="F175" s="57"/>
      <c r="G175" s="57"/>
      <c r="H175" s="57"/>
    </row>
    <row r="176" ht="15.75" customHeight="1">
      <c r="F176" s="57"/>
      <c r="G176" s="57"/>
      <c r="H176" s="57"/>
    </row>
    <row r="177" ht="15.75" customHeight="1">
      <c r="F177" s="57"/>
      <c r="G177" s="57"/>
      <c r="H177" s="57"/>
    </row>
    <row r="178" ht="15.75" customHeight="1">
      <c r="F178" s="57"/>
      <c r="G178" s="57"/>
      <c r="H178" s="57"/>
    </row>
    <row r="179" ht="15.75" customHeight="1">
      <c r="F179" s="57"/>
      <c r="G179" s="57"/>
      <c r="H179" s="57"/>
    </row>
    <row r="180" ht="15.75" customHeight="1">
      <c r="F180" s="57"/>
      <c r="G180" s="57"/>
      <c r="H180" s="57"/>
    </row>
    <row r="181" ht="15.75" customHeight="1">
      <c r="F181" s="57"/>
      <c r="G181" s="57"/>
      <c r="H181" s="57"/>
    </row>
    <row r="182" ht="15.75" customHeight="1">
      <c r="F182" s="57"/>
      <c r="G182" s="57"/>
      <c r="H182" s="57"/>
    </row>
    <row r="183" ht="15.75" customHeight="1">
      <c r="F183" s="57"/>
      <c r="G183" s="57"/>
      <c r="H183" s="57"/>
    </row>
    <row r="184" ht="15.75" customHeight="1">
      <c r="F184" s="57"/>
      <c r="G184" s="57"/>
      <c r="H184" s="57"/>
    </row>
    <row r="185" ht="15.75" customHeight="1">
      <c r="F185" s="57"/>
      <c r="G185" s="57"/>
      <c r="H185" s="57"/>
    </row>
    <row r="186" ht="15.75" customHeight="1">
      <c r="F186" s="57"/>
      <c r="G186" s="57"/>
      <c r="H186" s="57"/>
    </row>
    <row r="187" ht="15.75" customHeight="1">
      <c r="F187" s="57"/>
      <c r="G187" s="57"/>
      <c r="H187" s="57"/>
    </row>
    <row r="188" ht="15.75" customHeight="1">
      <c r="F188" s="57"/>
      <c r="G188" s="57"/>
      <c r="H188" s="57"/>
    </row>
    <row r="189" ht="15.75" customHeight="1">
      <c r="F189" s="57"/>
      <c r="G189" s="57"/>
      <c r="H189" s="57"/>
    </row>
    <row r="190" ht="15.75" customHeight="1">
      <c r="F190" s="57"/>
      <c r="G190" s="57"/>
      <c r="H190" s="57"/>
    </row>
    <row r="191" ht="15.75" customHeight="1">
      <c r="F191" s="57"/>
      <c r="G191" s="57"/>
      <c r="H191" s="57"/>
    </row>
    <row r="192" ht="15.75" customHeight="1">
      <c r="F192" s="57"/>
      <c r="G192" s="57"/>
      <c r="H192" s="57"/>
    </row>
    <row r="193" ht="15.75" customHeight="1">
      <c r="F193" s="57"/>
      <c r="G193" s="57"/>
      <c r="H193" s="57"/>
    </row>
    <row r="194" ht="15.75" customHeight="1">
      <c r="F194" s="57"/>
      <c r="G194" s="57"/>
      <c r="H194" s="57"/>
    </row>
    <row r="195" ht="15.75" customHeight="1">
      <c r="F195" s="57"/>
      <c r="G195" s="57"/>
      <c r="H195" s="57"/>
    </row>
    <row r="196" ht="15.75" customHeight="1">
      <c r="F196" s="57"/>
      <c r="G196" s="57"/>
      <c r="H196" s="57"/>
    </row>
    <row r="197" ht="15.75" customHeight="1">
      <c r="F197" s="57"/>
      <c r="G197" s="57"/>
      <c r="H197" s="57"/>
    </row>
    <row r="198" ht="15.75" customHeight="1">
      <c r="F198" s="57"/>
      <c r="G198" s="57"/>
      <c r="H198" s="57"/>
    </row>
    <row r="199" ht="15.75" customHeight="1">
      <c r="F199" s="57"/>
      <c r="G199" s="57"/>
      <c r="H199" s="57"/>
    </row>
    <row r="200" ht="15.75" customHeight="1">
      <c r="F200" s="57"/>
      <c r="G200" s="57"/>
      <c r="H200" s="57"/>
    </row>
    <row r="201" ht="15.75" customHeight="1">
      <c r="F201" s="57"/>
      <c r="G201" s="57"/>
      <c r="H201" s="57"/>
    </row>
    <row r="202" ht="15.75" customHeight="1">
      <c r="F202" s="57"/>
      <c r="G202" s="57"/>
      <c r="H202" s="57"/>
    </row>
    <row r="203" ht="15.75" customHeight="1">
      <c r="F203" s="57"/>
      <c r="G203" s="57"/>
      <c r="H203" s="57"/>
    </row>
    <row r="204" ht="15.75" customHeight="1">
      <c r="F204" s="57"/>
      <c r="G204" s="57"/>
      <c r="H204" s="57"/>
    </row>
    <row r="205" ht="15.75" customHeight="1">
      <c r="F205" s="57"/>
      <c r="G205" s="57"/>
      <c r="H205" s="57"/>
    </row>
    <row r="206" ht="15.75" customHeight="1">
      <c r="F206" s="57"/>
      <c r="G206" s="57"/>
      <c r="H206" s="57"/>
    </row>
    <row r="207" ht="15.75" customHeight="1">
      <c r="F207" s="57"/>
      <c r="G207" s="57"/>
      <c r="H207" s="57"/>
    </row>
    <row r="208" ht="15.75" customHeight="1">
      <c r="F208" s="57"/>
      <c r="G208" s="57"/>
      <c r="H208" s="57"/>
    </row>
    <row r="209" ht="15.75" customHeight="1">
      <c r="F209" s="57"/>
      <c r="G209" s="57"/>
      <c r="H209" s="57"/>
    </row>
    <row r="210" ht="15.75" customHeight="1">
      <c r="F210" s="57"/>
      <c r="G210" s="57"/>
      <c r="H210" s="57"/>
    </row>
    <row r="211" ht="15.75" customHeight="1">
      <c r="F211" s="57"/>
      <c r="G211" s="57"/>
      <c r="H211" s="57"/>
    </row>
    <row r="212" ht="15.75" customHeight="1">
      <c r="F212" s="57"/>
      <c r="G212" s="57"/>
      <c r="H212" s="57"/>
    </row>
    <row r="213" ht="15.75" customHeight="1">
      <c r="F213" s="57"/>
      <c r="G213" s="57"/>
      <c r="H213" s="57"/>
    </row>
    <row r="214" ht="15.75" customHeight="1">
      <c r="F214" s="57"/>
      <c r="G214" s="57"/>
      <c r="H214" s="57"/>
    </row>
    <row r="215" ht="15.75" customHeight="1">
      <c r="F215" s="57"/>
      <c r="G215" s="57"/>
      <c r="H215" s="57"/>
    </row>
    <row r="216" ht="15.75" customHeight="1">
      <c r="F216" s="57"/>
      <c r="G216" s="57"/>
      <c r="H216" s="57"/>
    </row>
    <row r="217" ht="15.75" customHeight="1">
      <c r="F217" s="57"/>
      <c r="G217" s="57"/>
      <c r="H217" s="57"/>
    </row>
    <row r="218" ht="15.75" customHeight="1">
      <c r="F218" s="57"/>
      <c r="G218" s="57"/>
      <c r="H218" s="57"/>
    </row>
    <row r="219" ht="15.75" customHeight="1">
      <c r="F219" s="57"/>
      <c r="G219" s="57"/>
      <c r="H219" s="57"/>
    </row>
    <row r="220" ht="15.75" customHeight="1">
      <c r="F220" s="57"/>
      <c r="G220" s="57"/>
      <c r="H220" s="57"/>
    </row>
    <row r="221" ht="15.75" customHeight="1">
      <c r="F221" s="57"/>
      <c r="G221" s="57"/>
      <c r="H221" s="57"/>
    </row>
    <row r="222" ht="15.75" customHeight="1">
      <c r="F222" s="57"/>
      <c r="G222" s="57"/>
      <c r="H222" s="57"/>
    </row>
    <row r="223" ht="15.75" customHeight="1">
      <c r="F223" s="57"/>
      <c r="G223" s="57"/>
      <c r="H223" s="57"/>
    </row>
    <row r="224" ht="15.75" customHeight="1">
      <c r="F224" s="57"/>
      <c r="G224" s="57"/>
      <c r="H224" s="57"/>
    </row>
    <row r="225" ht="15.75" customHeight="1">
      <c r="F225" s="57"/>
      <c r="G225" s="57"/>
      <c r="H225" s="57"/>
    </row>
    <row r="226" ht="15.75" customHeight="1">
      <c r="F226" s="57"/>
      <c r="G226" s="57"/>
      <c r="H226" s="57"/>
    </row>
    <row r="227" ht="15.75" customHeight="1">
      <c r="F227" s="57"/>
      <c r="G227" s="57"/>
      <c r="H227" s="57"/>
    </row>
    <row r="228" ht="15.75" customHeight="1">
      <c r="F228" s="57"/>
      <c r="G228" s="57"/>
      <c r="H228" s="57"/>
    </row>
    <row r="229" ht="15.75" customHeight="1">
      <c r="F229" s="57"/>
      <c r="G229" s="57"/>
      <c r="H229" s="57"/>
    </row>
    <row r="230" ht="15.75" customHeight="1">
      <c r="F230" s="57"/>
      <c r="G230" s="57"/>
      <c r="H230" s="57"/>
    </row>
    <row r="231" ht="15.75" customHeight="1">
      <c r="F231" s="57"/>
      <c r="G231" s="57"/>
      <c r="H231" s="57"/>
    </row>
    <row r="232" ht="15.75" customHeight="1">
      <c r="F232" s="57"/>
      <c r="G232" s="57"/>
      <c r="H232" s="57"/>
    </row>
    <row r="233" ht="15.75" customHeight="1">
      <c r="F233" s="57"/>
      <c r="G233" s="57"/>
      <c r="H233" s="57"/>
    </row>
    <row r="234" ht="15.75" customHeight="1">
      <c r="F234" s="57"/>
      <c r="G234" s="57"/>
      <c r="H234" s="57"/>
    </row>
    <row r="235" ht="15.75" customHeight="1">
      <c r="F235" s="57"/>
      <c r="G235" s="57"/>
      <c r="H235" s="57"/>
    </row>
    <row r="236" ht="15.75" customHeight="1">
      <c r="F236" s="57"/>
      <c r="G236" s="57"/>
      <c r="H236" s="57"/>
    </row>
    <row r="237" ht="15.75" customHeight="1">
      <c r="F237" s="57"/>
      <c r="G237" s="57"/>
      <c r="H237" s="57"/>
    </row>
    <row r="238" ht="15.75" customHeight="1">
      <c r="F238" s="57"/>
      <c r="G238" s="57"/>
      <c r="H238" s="57"/>
    </row>
    <row r="239" ht="15.75" customHeight="1">
      <c r="F239" s="57"/>
      <c r="G239" s="57"/>
      <c r="H239" s="57"/>
    </row>
    <row r="240" ht="15.75" customHeight="1">
      <c r="F240" s="57"/>
      <c r="G240" s="57"/>
      <c r="H240" s="57"/>
    </row>
    <row r="241" ht="15.75" customHeight="1">
      <c r="F241" s="57"/>
      <c r="G241" s="57"/>
      <c r="H241" s="57"/>
    </row>
    <row r="242" ht="15.75" customHeight="1">
      <c r="F242" s="57"/>
      <c r="G242" s="57"/>
      <c r="H242" s="57"/>
    </row>
    <row r="243" ht="15.75" customHeight="1">
      <c r="F243" s="57"/>
      <c r="G243" s="57"/>
      <c r="H243" s="57"/>
    </row>
    <row r="244" ht="15.75" customHeight="1">
      <c r="F244" s="57"/>
      <c r="G244" s="57"/>
      <c r="H244" s="57"/>
    </row>
    <row r="245" ht="15.75" customHeight="1">
      <c r="F245" s="57"/>
      <c r="G245" s="57"/>
      <c r="H245" s="57"/>
    </row>
    <row r="246" ht="15.75" customHeight="1">
      <c r="F246" s="57"/>
      <c r="G246" s="57"/>
      <c r="H246" s="57"/>
    </row>
    <row r="247" ht="15.75" customHeight="1">
      <c r="F247" s="57"/>
      <c r="G247" s="57"/>
      <c r="H247" s="57"/>
    </row>
    <row r="248" ht="15.75" customHeight="1">
      <c r="F248" s="57"/>
      <c r="G248" s="57"/>
      <c r="H248" s="57"/>
    </row>
    <row r="249" ht="15.75" customHeight="1">
      <c r="F249" s="57"/>
      <c r="G249" s="57"/>
      <c r="H249" s="57"/>
    </row>
    <row r="250" ht="15.75" customHeight="1">
      <c r="F250" s="57"/>
      <c r="G250" s="57"/>
      <c r="H250" s="57"/>
    </row>
    <row r="251" ht="15.75" customHeight="1">
      <c r="F251" s="57"/>
      <c r="G251" s="57"/>
      <c r="H251" s="57"/>
    </row>
    <row r="252" ht="15.75" customHeight="1">
      <c r="F252" s="57"/>
      <c r="G252" s="57"/>
      <c r="H252" s="57"/>
    </row>
    <row r="253" ht="15.75" customHeight="1">
      <c r="F253" s="57"/>
      <c r="G253" s="57"/>
      <c r="H253" s="57"/>
    </row>
    <row r="254" ht="15.75" customHeight="1">
      <c r="F254" s="57"/>
      <c r="G254" s="57"/>
      <c r="H254" s="57"/>
    </row>
    <row r="255" ht="15.75" customHeight="1">
      <c r="F255" s="57"/>
      <c r="G255" s="57"/>
      <c r="H255" s="57"/>
    </row>
    <row r="256" ht="15.75" customHeight="1">
      <c r="F256" s="57"/>
      <c r="G256" s="57"/>
      <c r="H256" s="57"/>
    </row>
    <row r="257" ht="15.75" customHeight="1">
      <c r="F257" s="57"/>
      <c r="G257" s="57"/>
      <c r="H257" s="57"/>
    </row>
    <row r="258" ht="15.75" customHeight="1">
      <c r="F258" s="57"/>
      <c r="G258" s="57"/>
      <c r="H258" s="57"/>
    </row>
    <row r="259" ht="15.75" customHeight="1">
      <c r="F259" s="57"/>
      <c r="G259" s="57"/>
      <c r="H259" s="57"/>
    </row>
    <row r="260" ht="15.75" customHeight="1">
      <c r="F260" s="57"/>
      <c r="G260" s="57"/>
      <c r="H260" s="57"/>
    </row>
    <row r="261" ht="15.75" customHeight="1">
      <c r="F261" s="57"/>
      <c r="G261" s="57"/>
      <c r="H261" s="57"/>
    </row>
    <row r="262" ht="15.75" customHeight="1">
      <c r="F262" s="57"/>
      <c r="G262" s="57"/>
      <c r="H262" s="57"/>
    </row>
    <row r="263" ht="15.75" customHeight="1">
      <c r="F263" s="57"/>
      <c r="G263" s="57"/>
      <c r="H263" s="57"/>
    </row>
    <row r="264" ht="15.75" customHeight="1">
      <c r="F264" s="57"/>
      <c r="G264" s="57"/>
      <c r="H264" s="57"/>
    </row>
    <row r="265" ht="15.75" customHeight="1">
      <c r="F265" s="57"/>
      <c r="G265" s="57"/>
      <c r="H265" s="57"/>
    </row>
    <row r="266" ht="15.75" customHeight="1">
      <c r="F266" s="57"/>
      <c r="G266" s="57"/>
      <c r="H266" s="57"/>
    </row>
    <row r="267" ht="15.75" customHeight="1">
      <c r="F267" s="57"/>
      <c r="G267" s="57"/>
      <c r="H267" s="57"/>
    </row>
    <row r="268" ht="15.75" customHeight="1">
      <c r="F268" s="57"/>
      <c r="G268" s="57"/>
      <c r="H268" s="57"/>
    </row>
    <row r="269" ht="15.75" customHeight="1">
      <c r="F269" s="57"/>
      <c r="G269" s="57"/>
      <c r="H269" s="57"/>
    </row>
    <row r="270" ht="15.75" customHeight="1">
      <c r="F270" s="57"/>
      <c r="G270" s="57"/>
      <c r="H270" s="57"/>
    </row>
    <row r="271" ht="15.75" customHeight="1">
      <c r="F271" s="57"/>
      <c r="G271" s="57"/>
      <c r="H271" s="57"/>
    </row>
    <row r="272" ht="15.75" customHeight="1">
      <c r="F272" s="57"/>
      <c r="G272" s="57"/>
      <c r="H272" s="57"/>
    </row>
    <row r="273" ht="15.75" customHeight="1">
      <c r="F273" s="57"/>
      <c r="G273" s="57"/>
      <c r="H273" s="57"/>
    </row>
    <row r="274" ht="15.75" customHeight="1">
      <c r="F274" s="57"/>
      <c r="G274" s="57"/>
      <c r="H274" s="57"/>
    </row>
    <row r="275" ht="15.75" customHeight="1">
      <c r="F275" s="57"/>
      <c r="G275" s="57"/>
      <c r="H275" s="57"/>
    </row>
    <row r="276" ht="15.75" customHeight="1">
      <c r="F276" s="57"/>
      <c r="G276" s="57"/>
      <c r="H276" s="57"/>
    </row>
    <row r="277" ht="15.75" customHeight="1">
      <c r="F277" s="57"/>
      <c r="G277" s="57"/>
      <c r="H277" s="57"/>
    </row>
    <row r="278" ht="15.75" customHeight="1">
      <c r="F278" s="57"/>
      <c r="G278" s="57"/>
      <c r="H278" s="57"/>
    </row>
    <row r="279" ht="15.75" customHeight="1">
      <c r="F279" s="57"/>
      <c r="G279" s="57"/>
      <c r="H279" s="57"/>
    </row>
    <row r="280" ht="15.75" customHeight="1">
      <c r="F280" s="57"/>
      <c r="G280" s="57"/>
      <c r="H280" s="57"/>
    </row>
    <row r="281" ht="15.75" customHeight="1">
      <c r="F281" s="57"/>
      <c r="G281" s="57"/>
      <c r="H281" s="57"/>
    </row>
    <row r="282" ht="15.75" customHeight="1">
      <c r="F282" s="57"/>
      <c r="G282" s="57"/>
      <c r="H282" s="57"/>
    </row>
    <row r="283" ht="15.75" customHeight="1">
      <c r="F283" s="57"/>
      <c r="G283" s="57"/>
      <c r="H283" s="57"/>
    </row>
    <row r="284" ht="15.75" customHeight="1">
      <c r="F284" s="57"/>
      <c r="G284" s="57"/>
      <c r="H284" s="57"/>
    </row>
    <row r="285" ht="15.75" customHeight="1">
      <c r="F285" s="57"/>
      <c r="G285" s="57"/>
      <c r="H285" s="57"/>
    </row>
    <row r="286" ht="15.75" customHeight="1">
      <c r="F286" s="57"/>
      <c r="G286" s="57"/>
      <c r="H286" s="57"/>
    </row>
    <row r="287" ht="15.75" customHeight="1">
      <c r="F287" s="57"/>
      <c r="G287" s="57"/>
      <c r="H287" s="57"/>
    </row>
    <row r="288" ht="15.75" customHeight="1">
      <c r="F288" s="57"/>
      <c r="G288" s="57"/>
      <c r="H288" s="57"/>
    </row>
    <row r="289" ht="15.75" customHeight="1">
      <c r="F289" s="57"/>
      <c r="G289" s="57"/>
      <c r="H289" s="57"/>
    </row>
    <row r="290" ht="15.75" customHeight="1">
      <c r="F290" s="57"/>
      <c r="G290" s="57"/>
      <c r="H290" s="57"/>
    </row>
    <row r="291" ht="15.75" customHeight="1">
      <c r="F291" s="57"/>
      <c r="G291" s="57"/>
      <c r="H291" s="57"/>
    </row>
    <row r="292" ht="15.75" customHeight="1">
      <c r="F292" s="57"/>
      <c r="G292" s="57"/>
      <c r="H292" s="57"/>
    </row>
    <row r="293" ht="15.75" customHeight="1">
      <c r="F293" s="57"/>
      <c r="G293" s="57"/>
      <c r="H293" s="57"/>
    </row>
    <row r="294" ht="15.75" customHeight="1">
      <c r="F294" s="57"/>
      <c r="G294" s="57"/>
      <c r="H294" s="57"/>
    </row>
    <row r="295" ht="15.75" customHeight="1">
      <c r="F295" s="57"/>
      <c r="G295" s="57"/>
      <c r="H295" s="57"/>
    </row>
    <row r="296" ht="15.75" customHeight="1">
      <c r="F296" s="57"/>
      <c r="G296" s="57"/>
      <c r="H296" s="57"/>
    </row>
    <row r="297" ht="15.75" customHeight="1">
      <c r="F297" s="57"/>
      <c r="G297" s="57"/>
      <c r="H297" s="57"/>
    </row>
    <row r="298" ht="15.75" customHeight="1">
      <c r="F298" s="57"/>
      <c r="G298" s="57"/>
      <c r="H298" s="57"/>
    </row>
    <row r="299" ht="15.75" customHeight="1">
      <c r="F299" s="57"/>
      <c r="G299" s="57"/>
      <c r="H299" s="57"/>
    </row>
    <row r="300" ht="15.75" customHeight="1">
      <c r="F300" s="57"/>
      <c r="G300" s="57"/>
      <c r="H300" s="57"/>
    </row>
    <row r="301" ht="15.75" customHeight="1">
      <c r="F301" s="57"/>
      <c r="G301" s="57"/>
      <c r="H301" s="57"/>
    </row>
    <row r="302" ht="15.75" customHeight="1">
      <c r="F302" s="57"/>
      <c r="G302" s="57"/>
      <c r="H302" s="57"/>
    </row>
    <row r="303" ht="15.75" customHeight="1">
      <c r="F303" s="57"/>
      <c r="G303" s="57"/>
      <c r="H303" s="57"/>
    </row>
    <row r="304" ht="15.75" customHeight="1">
      <c r="F304" s="57"/>
      <c r="G304" s="57"/>
      <c r="H304" s="57"/>
    </row>
    <row r="305" ht="15.75" customHeight="1">
      <c r="F305" s="57"/>
      <c r="G305" s="57"/>
      <c r="H305" s="57"/>
    </row>
    <row r="306" ht="15.75" customHeight="1">
      <c r="F306" s="57"/>
      <c r="G306" s="57"/>
      <c r="H306" s="57"/>
    </row>
    <row r="307" ht="15.75" customHeight="1">
      <c r="F307" s="57"/>
      <c r="G307" s="57"/>
      <c r="H307" s="57"/>
    </row>
    <row r="308" ht="15.75" customHeight="1">
      <c r="F308" s="57"/>
      <c r="G308" s="57"/>
      <c r="H308" s="57"/>
    </row>
    <row r="309" ht="15.75" customHeight="1">
      <c r="F309" s="57"/>
      <c r="G309" s="57"/>
      <c r="H309" s="57"/>
    </row>
    <row r="310" ht="15.75" customHeight="1">
      <c r="F310" s="57"/>
      <c r="G310" s="57"/>
      <c r="H310" s="57"/>
    </row>
    <row r="311" ht="15.75" customHeight="1">
      <c r="F311" s="57"/>
      <c r="G311" s="57"/>
      <c r="H311" s="57"/>
    </row>
    <row r="312" ht="15.75" customHeight="1">
      <c r="F312" s="57"/>
      <c r="G312" s="57"/>
      <c r="H312" s="57"/>
    </row>
    <row r="313" ht="15.75" customHeight="1">
      <c r="F313" s="57"/>
      <c r="G313" s="57"/>
      <c r="H313" s="57"/>
    </row>
    <row r="314" ht="15.75" customHeight="1">
      <c r="F314" s="57"/>
      <c r="G314" s="57"/>
      <c r="H314" s="57"/>
    </row>
    <row r="315" ht="15.75" customHeight="1">
      <c r="F315" s="57"/>
      <c r="G315" s="57"/>
      <c r="H315" s="57"/>
    </row>
    <row r="316" ht="15.75" customHeight="1">
      <c r="F316" s="57"/>
      <c r="G316" s="57"/>
      <c r="H316" s="57"/>
    </row>
    <row r="317" ht="15.75" customHeight="1">
      <c r="F317" s="57"/>
      <c r="G317" s="57"/>
      <c r="H317" s="57"/>
    </row>
    <row r="318" ht="15.75" customHeight="1">
      <c r="F318" s="57"/>
      <c r="G318" s="57"/>
      <c r="H318" s="57"/>
    </row>
    <row r="319" ht="15.75" customHeight="1">
      <c r="F319" s="57"/>
      <c r="G319" s="57"/>
      <c r="H319" s="57"/>
    </row>
    <row r="320" ht="15.75" customHeight="1">
      <c r="F320" s="57"/>
      <c r="G320" s="57"/>
      <c r="H320" s="57"/>
    </row>
    <row r="321" ht="15.75" customHeight="1">
      <c r="F321" s="57"/>
      <c r="G321" s="57"/>
      <c r="H321" s="57"/>
    </row>
    <row r="322" ht="15.75" customHeight="1">
      <c r="F322" s="57"/>
      <c r="G322" s="57"/>
      <c r="H322" s="57"/>
    </row>
    <row r="323" ht="15.75" customHeight="1">
      <c r="F323" s="57"/>
      <c r="G323" s="57"/>
      <c r="H323" s="57"/>
    </row>
    <row r="324" ht="15.75" customHeight="1">
      <c r="F324" s="57"/>
      <c r="G324" s="57"/>
      <c r="H324" s="57"/>
    </row>
    <row r="325" ht="15.75" customHeight="1">
      <c r="F325" s="57"/>
      <c r="G325" s="57"/>
      <c r="H325" s="57"/>
    </row>
    <row r="326" ht="15.75" customHeight="1">
      <c r="F326" s="57"/>
      <c r="G326" s="57"/>
      <c r="H326" s="57"/>
    </row>
    <row r="327" ht="15.75" customHeight="1">
      <c r="F327" s="57"/>
      <c r="G327" s="57"/>
      <c r="H327" s="57"/>
    </row>
    <row r="328" ht="15.75" customHeight="1">
      <c r="F328" s="57"/>
      <c r="G328" s="57"/>
      <c r="H328" s="57"/>
    </row>
    <row r="329" ht="15.75" customHeight="1">
      <c r="F329" s="57"/>
      <c r="G329" s="57"/>
      <c r="H329" s="57"/>
    </row>
    <row r="330" ht="15.75" customHeight="1">
      <c r="F330" s="57"/>
      <c r="G330" s="57"/>
      <c r="H330" s="57"/>
    </row>
    <row r="331" ht="15.75" customHeight="1">
      <c r="F331" s="57"/>
      <c r="G331" s="57"/>
      <c r="H331" s="57"/>
    </row>
    <row r="332" ht="15.75" customHeight="1">
      <c r="F332" s="57"/>
      <c r="G332" s="57"/>
      <c r="H332" s="57"/>
    </row>
    <row r="333" ht="15.75" customHeight="1">
      <c r="F333" s="57"/>
      <c r="G333" s="57"/>
      <c r="H333" s="57"/>
    </row>
    <row r="334" ht="15.75" customHeight="1">
      <c r="F334" s="57"/>
      <c r="G334" s="57"/>
      <c r="H334" s="57"/>
    </row>
    <row r="335" ht="15.75" customHeight="1">
      <c r="F335" s="57"/>
      <c r="G335" s="57"/>
      <c r="H335" s="57"/>
    </row>
    <row r="336" ht="15.75" customHeight="1">
      <c r="F336" s="57"/>
      <c r="G336" s="57"/>
      <c r="H336" s="57"/>
    </row>
    <row r="337" ht="15.75" customHeight="1">
      <c r="F337" s="57"/>
      <c r="G337" s="57"/>
      <c r="H337" s="57"/>
    </row>
    <row r="338" ht="15.75" customHeight="1">
      <c r="F338" s="57"/>
      <c r="G338" s="57"/>
      <c r="H338" s="57"/>
    </row>
    <row r="339" ht="15.75" customHeight="1">
      <c r="F339" s="57"/>
      <c r="G339" s="57"/>
      <c r="H339" s="57"/>
    </row>
    <row r="340" ht="15.75" customHeight="1">
      <c r="F340" s="57"/>
      <c r="G340" s="57"/>
      <c r="H340" s="57"/>
    </row>
    <row r="341" ht="15.75" customHeight="1">
      <c r="F341" s="57"/>
      <c r="G341" s="57"/>
      <c r="H341" s="57"/>
    </row>
    <row r="342" ht="15.75" customHeight="1">
      <c r="F342" s="57"/>
      <c r="G342" s="57"/>
      <c r="H342" s="57"/>
    </row>
    <row r="343" ht="15.75" customHeight="1">
      <c r="F343" s="57"/>
      <c r="G343" s="57"/>
      <c r="H343" s="57"/>
    </row>
    <row r="344" ht="15.75" customHeight="1">
      <c r="F344" s="57"/>
      <c r="G344" s="57"/>
      <c r="H344" s="57"/>
    </row>
    <row r="345" ht="15.75" customHeight="1">
      <c r="F345" s="57"/>
      <c r="G345" s="57"/>
      <c r="H345" s="57"/>
    </row>
    <row r="346" ht="15.75" customHeight="1">
      <c r="F346" s="57"/>
      <c r="G346" s="57"/>
      <c r="H346" s="57"/>
    </row>
    <row r="347" ht="15.75" customHeight="1">
      <c r="F347" s="57"/>
      <c r="G347" s="57"/>
      <c r="H347" s="57"/>
    </row>
    <row r="348" ht="15.75" customHeight="1">
      <c r="F348" s="57"/>
      <c r="G348" s="57"/>
      <c r="H348" s="57"/>
    </row>
    <row r="349" ht="15.75" customHeight="1">
      <c r="F349" s="57"/>
      <c r="G349" s="57"/>
      <c r="H349" s="57"/>
    </row>
    <row r="350" ht="15.75" customHeight="1">
      <c r="F350" s="57"/>
      <c r="G350" s="57"/>
      <c r="H350" s="57"/>
    </row>
    <row r="351" ht="15.75" customHeight="1">
      <c r="F351" s="57"/>
      <c r="G351" s="57"/>
      <c r="H351" s="57"/>
    </row>
    <row r="352" ht="15.75" customHeight="1">
      <c r="F352" s="57"/>
      <c r="G352" s="57"/>
      <c r="H352" s="57"/>
    </row>
    <row r="353" ht="15.75" customHeight="1">
      <c r="F353" s="57"/>
      <c r="G353" s="57"/>
      <c r="H353" s="57"/>
    </row>
    <row r="354" ht="15.75" customHeight="1">
      <c r="F354" s="57"/>
      <c r="G354" s="57"/>
      <c r="H354" s="57"/>
    </row>
    <row r="355" ht="15.75" customHeight="1">
      <c r="F355" s="57"/>
      <c r="G355" s="57"/>
      <c r="H355" s="57"/>
    </row>
    <row r="356" ht="15.75" customHeight="1">
      <c r="F356" s="57"/>
      <c r="G356" s="57"/>
      <c r="H356" s="57"/>
    </row>
    <row r="357" ht="15.75" customHeight="1">
      <c r="F357" s="57"/>
      <c r="G357" s="57"/>
      <c r="H357" s="57"/>
    </row>
    <row r="358" ht="15.75" customHeight="1">
      <c r="F358" s="57"/>
      <c r="G358" s="57"/>
      <c r="H358" s="57"/>
    </row>
    <row r="359" ht="15.75" customHeight="1">
      <c r="F359" s="57"/>
      <c r="G359" s="57"/>
      <c r="H359" s="57"/>
    </row>
    <row r="360" ht="15.75" customHeight="1">
      <c r="F360" s="57"/>
      <c r="G360" s="57"/>
      <c r="H360" s="57"/>
    </row>
    <row r="361" ht="15.75" customHeight="1">
      <c r="F361" s="57"/>
      <c r="G361" s="57"/>
      <c r="H361" s="57"/>
    </row>
    <row r="362" ht="15.75" customHeight="1">
      <c r="F362" s="57"/>
      <c r="G362" s="57"/>
      <c r="H362" s="57"/>
    </row>
    <row r="363" ht="15.75" customHeight="1">
      <c r="F363" s="57"/>
      <c r="G363" s="57"/>
      <c r="H363" s="57"/>
    </row>
    <row r="364" ht="15.75" customHeight="1">
      <c r="F364" s="57"/>
      <c r="G364" s="57"/>
      <c r="H364" s="57"/>
    </row>
    <row r="365" ht="15.75" customHeight="1">
      <c r="F365" s="57"/>
      <c r="G365" s="57"/>
      <c r="H365" s="57"/>
    </row>
    <row r="366" ht="15.75" customHeight="1">
      <c r="F366" s="57"/>
      <c r="G366" s="57"/>
      <c r="H366" s="57"/>
    </row>
    <row r="367" ht="15.75" customHeight="1">
      <c r="F367" s="57"/>
      <c r="G367" s="57"/>
      <c r="H367" s="57"/>
    </row>
    <row r="368" ht="15.75" customHeight="1">
      <c r="F368" s="57"/>
      <c r="G368" s="57"/>
      <c r="H368" s="57"/>
    </row>
    <row r="369" ht="15.75" customHeight="1">
      <c r="F369" s="57"/>
      <c r="G369" s="57"/>
      <c r="H369" s="57"/>
    </row>
    <row r="370" ht="15.75" customHeight="1">
      <c r="F370" s="57"/>
      <c r="G370" s="57"/>
      <c r="H370" s="57"/>
    </row>
    <row r="371" ht="15.75" customHeight="1">
      <c r="F371" s="57"/>
      <c r="G371" s="57"/>
      <c r="H371" s="57"/>
    </row>
    <row r="372" ht="15.75" customHeight="1">
      <c r="F372" s="57"/>
      <c r="G372" s="57"/>
      <c r="H372" s="57"/>
    </row>
    <row r="373" ht="15.75" customHeight="1">
      <c r="F373" s="57"/>
      <c r="G373" s="57"/>
      <c r="H373" s="57"/>
    </row>
    <row r="374" ht="15.75" customHeight="1">
      <c r="F374" s="57"/>
      <c r="G374" s="57"/>
      <c r="H374" s="57"/>
    </row>
    <row r="375" ht="15.75" customHeight="1">
      <c r="F375" s="57"/>
      <c r="G375" s="57"/>
      <c r="H375" s="57"/>
    </row>
    <row r="376" ht="15.75" customHeight="1">
      <c r="F376" s="57"/>
      <c r="G376" s="57"/>
      <c r="H376" s="57"/>
    </row>
    <row r="377" ht="15.75" customHeight="1">
      <c r="F377" s="57"/>
      <c r="G377" s="57"/>
      <c r="H377" s="57"/>
    </row>
    <row r="378" ht="15.75" customHeight="1">
      <c r="F378" s="57"/>
      <c r="G378" s="57"/>
      <c r="H378" s="57"/>
    </row>
    <row r="379" ht="15.75" customHeight="1">
      <c r="F379" s="57"/>
      <c r="G379" s="57"/>
      <c r="H379" s="57"/>
    </row>
    <row r="380" ht="15.75" customHeight="1">
      <c r="F380" s="57"/>
      <c r="G380" s="57"/>
      <c r="H380" s="57"/>
    </row>
    <row r="381" ht="15.75" customHeight="1">
      <c r="F381" s="57"/>
      <c r="G381" s="57"/>
      <c r="H381" s="57"/>
    </row>
    <row r="382" ht="15.75" customHeight="1">
      <c r="F382" s="57"/>
      <c r="G382" s="57"/>
      <c r="H382" s="57"/>
    </row>
    <row r="383" ht="15.75" customHeight="1">
      <c r="F383" s="57"/>
      <c r="G383" s="57"/>
      <c r="H383" s="57"/>
    </row>
    <row r="384" ht="15.75" customHeight="1">
      <c r="F384" s="57"/>
      <c r="G384" s="57"/>
      <c r="H384" s="57"/>
    </row>
    <row r="385" ht="15.75" customHeight="1">
      <c r="F385" s="57"/>
      <c r="G385" s="57"/>
      <c r="H385" s="57"/>
    </row>
    <row r="386" ht="15.75" customHeight="1">
      <c r="F386" s="57"/>
      <c r="G386" s="57"/>
      <c r="H386" s="57"/>
    </row>
    <row r="387" ht="15.75" customHeight="1">
      <c r="F387" s="57"/>
      <c r="G387" s="57"/>
      <c r="H387" s="57"/>
    </row>
    <row r="388" ht="15.75" customHeight="1">
      <c r="F388" s="57"/>
      <c r="G388" s="57"/>
      <c r="H388" s="57"/>
    </row>
    <row r="389" ht="15.75" customHeight="1">
      <c r="F389" s="57"/>
      <c r="G389" s="57"/>
      <c r="H389" s="57"/>
    </row>
    <row r="390" ht="15.75" customHeight="1">
      <c r="F390" s="57"/>
      <c r="G390" s="57"/>
      <c r="H390" s="57"/>
    </row>
    <row r="391" ht="15.75" customHeight="1">
      <c r="F391" s="57"/>
      <c r="G391" s="57"/>
      <c r="H391" s="57"/>
    </row>
    <row r="392" ht="15.75" customHeight="1">
      <c r="F392" s="57"/>
      <c r="G392" s="57"/>
      <c r="H392" s="57"/>
    </row>
    <row r="393" ht="15.75" customHeight="1">
      <c r="F393" s="57"/>
      <c r="G393" s="57"/>
      <c r="H393" s="57"/>
    </row>
    <row r="394" ht="15.75" customHeight="1">
      <c r="F394" s="57"/>
      <c r="G394" s="57"/>
      <c r="H394" s="57"/>
    </row>
    <row r="395" ht="15.75" customHeight="1">
      <c r="F395" s="57"/>
      <c r="G395" s="57"/>
      <c r="H395" s="57"/>
    </row>
    <row r="396" ht="15.75" customHeight="1">
      <c r="F396" s="57"/>
      <c r="G396" s="57"/>
      <c r="H396" s="57"/>
    </row>
    <row r="397" ht="15.75" customHeight="1">
      <c r="F397" s="57"/>
      <c r="G397" s="57"/>
      <c r="H397" s="57"/>
    </row>
    <row r="398" ht="15.75" customHeight="1">
      <c r="F398" s="57"/>
      <c r="G398" s="57"/>
      <c r="H398" s="57"/>
    </row>
    <row r="399" ht="15.75" customHeight="1">
      <c r="F399" s="57"/>
      <c r="G399" s="57"/>
      <c r="H399" s="57"/>
    </row>
    <row r="400" ht="15.75" customHeight="1">
      <c r="F400" s="57"/>
      <c r="G400" s="57"/>
      <c r="H400" s="57"/>
    </row>
    <row r="401" ht="15.75" customHeight="1">
      <c r="F401" s="57"/>
      <c r="G401" s="57"/>
      <c r="H401" s="57"/>
    </row>
    <row r="402" ht="15.75" customHeight="1">
      <c r="F402" s="57"/>
      <c r="G402" s="57"/>
      <c r="H402" s="57"/>
    </row>
    <row r="403" ht="15.75" customHeight="1">
      <c r="F403" s="57"/>
      <c r="G403" s="57"/>
      <c r="H403" s="57"/>
    </row>
    <row r="404" ht="15.75" customHeight="1">
      <c r="F404" s="57"/>
      <c r="G404" s="57"/>
      <c r="H404" s="57"/>
    </row>
    <row r="405" ht="15.75" customHeight="1">
      <c r="F405" s="57"/>
      <c r="G405" s="57"/>
      <c r="H405" s="57"/>
    </row>
    <row r="406" ht="15.75" customHeight="1">
      <c r="F406" s="57"/>
      <c r="G406" s="57"/>
      <c r="H406" s="57"/>
    </row>
    <row r="407" ht="15.75" customHeight="1">
      <c r="F407" s="57"/>
      <c r="G407" s="57"/>
      <c r="H407" s="57"/>
    </row>
    <row r="408" ht="15.75" customHeight="1">
      <c r="F408" s="57"/>
      <c r="G408" s="57"/>
      <c r="H408" s="57"/>
    </row>
    <row r="409" ht="15.75" customHeight="1">
      <c r="F409" s="57"/>
      <c r="G409" s="57"/>
      <c r="H409" s="57"/>
    </row>
    <row r="410" ht="15.75" customHeight="1">
      <c r="F410" s="57"/>
      <c r="G410" s="57"/>
      <c r="H410" s="57"/>
    </row>
    <row r="411" ht="15.75" customHeight="1">
      <c r="F411" s="57"/>
      <c r="G411" s="57"/>
      <c r="H411" s="57"/>
    </row>
    <row r="412" ht="15.75" customHeight="1">
      <c r="F412" s="57"/>
      <c r="G412" s="57"/>
      <c r="H412" s="57"/>
    </row>
    <row r="413" ht="15.75" customHeight="1">
      <c r="F413" s="57"/>
      <c r="G413" s="57"/>
      <c r="H413" s="57"/>
    </row>
    <row r="414" ht="15.75" customHeight="1">
      <c r="F414" s="57"/>
      <c r="G414" s="57"/>
      <c r="H414" s="57"/>
    </row>
    <row r="415" ht="15.75" customHeight="1">
      <c r="F415" s="57"/>
      <c r="G415" s="57"/>
      <c r="H415" s="57"/>
    </row>
    <row r="416" ht="15.75" customHeight="1">
      <c r="F416" s="57"/>
      <c r="G416" s="57"/>
      <c r="H416" s="57"/>
    </row>
    <row r="417" ht="15.75" customHeight="1">
      <c r="F417" s="57"/>
      <c r="G417" s="57"/>
      <c r="H417" s="57"/>
    </row>
    <row r="418" ht="15.75" customHeight="1">
      <c r="F418" s="57"/>
      <c r="G418" s="57"/>
      <c r="H418" s="57"/>
    </row>
    <row r="419" ht="15.75" customHeight="1">
      <c r="F419" s="57"/>
      <c r="G419" s="57"/>
      <c r="H419" s="57"/>
    </row>
    <row r="420" ht="15.75" customHeight="1">
      <c r="F420" s="57"/>
      <c r="G420" s="57"/>
      <c r="H420" s="57"/>
    </row>
    <row r="421" ht="15.75" customHeight="1">
      <c r="F421" s="57"/>
      <c r="G421" s="57"/>
      <c r="H421" s="57"/>
    </row>
    <row r="422" ht="15.75" customHeight="1">
      <c r="F422" s="57"/>
      <c r="G422" s="57"/>
      <c r="H422" s="57"/>
    </row>
    <row r="423" ht="15.75" customHeight="1">
      <c r="F423" s="57"/>
      <c r="G423" s="57"/>
      <c r="H423" s="57"/>
    </row>
    <row r="424" ht="15.75" customHeight="1">
      <c r="F424" s="57"/>
      <c r="G424" s="57"/>
      <c r="H424" s="57"/>
    </row>
    <row r="425" ht="15.75" customHeight="1">
      <c r="F425" s="57"/>
      <c r="G425" s="57"/>
      <c r="H425" s="57"/>
    </row>
    <row r="426" ht="15.75" customHeight="1">
      <c r="F426" s="57"/>
      <c r="G426" s="57"/>
      <c r="H426" s="57"/>
    </row>
    <row r="427" ht="15.75" customHeight="1">
      <c r="F427" s="57"/>
      <c r="G427" s="57"/>
      <c r="H427" s="57"/>
    </row>
    <row r="428" ht="15.75" customHeight="1">
      <c r="F428" s="57"/>
      <c r="G428" s="57"/>
      <c r="H428" s="57"/>
    </row>
    <row r="429" ht="15.75" customHeight="1">
      <c r="F429" s="57"/>
      <c r="G429" s="57"/>
      <c r="H429" s="57"/>
    </row>
    <row r="430" ht="15.75" customHeight="1">
      <c r="F430" s="57"/>
      <c r="G430" s="57"/>
      <c r="H430" s="57"/>
    </row>
    <row r="431" ht="15.75" customHeight="1">
      <c r="F431" s="57"/>
      <c r="G431" s="57"/>
      <c r="H431" s="57"/>
    </row>
    <row r="432" ht="15.75" customHeight="1">
      <c r="F432" s="57"/>
      <c r="G432" s="57"/>
      <c r="H432" s="57"/>
    </row>
    <row r="433" ht="15.75" customHeight="1">
      <c r="F433" s="57"/>
      <c r="G433" s="57"/>
      <c r="H433" s="57"/>
    </row>
    <row r="434" ht="15.75" customHeight="1">
      <c r="F434" s="57"/>
      <c r="G434" s="57"/>
      <c r="H434" s="57"/>
    </row>
    <row r="435" ht="15.75" customHeight="1">
      <c r="F435" s="57"/>
      <c r="G435" s="57"/>
      <c r="H435" s="57"/>
    </row>
    <row r="436" ht="15.75" customHeight="1">
      <c r="F436" s="57"/>
      <c r="G436" s="57"/>
      <c r="H436" s="57"/>
    </row>
    <row r="437" ht="15.75" customHeight="1">
      <c r="F437" s="57"/>
      <c r="G437" s="57"/>
      <c r="H437" s="57"/>
    </row>
    <row r="438" ht="15.75" customHeight="1">
      <c r="F438" s="57"/>
      <c r="G438" s="57"/>
      <c r="H438" s="57"/>
    </row>
    <row r="439" ht="15.75" customHeight="1">
      <c r="F439" s="57"/>
      <c r="G439" s="57"/>
      <c r="H439" s="57"/>
    </row>
    <row r="440" ht="15.75" customHeight="1">
      <c r="F440" s="57"/>
      <c r="G440" s="57"/>
      <c r="H440" s="57"/>
    </row>
    <row r="441" ht="15.75" customHeight="1">
      <c r="F441" s="57"/>
      <c r="G441" s="57"/>
      <c r="H441" s="57"/>
    </row>
    <row r="442" ht="15.75" customHeight="1">
      <c r="F442" s="57"/>
      <c r="G442" s="57"/>
      <c r="H442" s="57"/>
    </row>
    <row r="443" ht="15.75" customHeight="1">
      <c r="F443" s="57"/>
      <c r="G443" s="57"/>
      <c r="H443" s="57"/>
    </row>
    <row r="444" ht="15.75" customHeight="1">
      <c r="F444" s="57"/>
      <c r="G444" s="57"/>
      <c r="H444" s="57"/>
    </row>
    <row r="445" ht="15.75" customHeight="1">
      <c r="F445" s="57"/>
      <c r="G445" s="57"/>
      <c r="H445" s="57"/>
    </row>
    <row r="446" ht="15.75" customHeight="1">
      <c r="F446" s="57"/>
      <c r="G446" s="57"/>
      <c r="H446" s="57"/>
    </row>
    <row r="447" ht="15.75" customHeight="1">
      <c r="F447" s="57"/>
      <c r="G447" s="57"/>
      <c r="H447" s="57"/>
    </row>
    <row r="448" ht="15.75" customHeight="1">
      <c r="F448" s="57"/>
      <c r="G448" s="57"/>
      <c r="H448" s="57"/>
    </row>
    <row r="449" ht="15.75" customHeight="1">
      <c r="F449" s="57"/>
      <c r="G449" s="57"/>
      <c r="H449" s="57"/>
    </row>
    <row r="450" ht="15.75" customHeight="1">
      <c r="F450" s="57"/>
      <c r="G450" s="57"/>
      <c r="H450" s="57"/>
    </row>
    <row r="451" ht="15.75" customHeight="1">
      <c r="F451" s="57"/>
      <c r="G451" s="57"/>
      <c r="H451" s="57"/>
    </row>
    <row r="452" ht="15.75" customHeight="1">
      <c r="F452" s="57"/>
      <c r="G452" s="57"/>
      <c r="H452" s="57"/>
    </row>
    <row r="453" ht="15.75" customHeight="1">
      <c r="F453" s="57"/>
      <c r="G453" s="57"/>
      <c r="H453" s="57"/>
    </row>
    <row r="454" ht="15.75" customHeight="1">
      <c r="F454" s="57"/>
      <c r="G454" s="57"/>
      <c r="H454" s="57"/>
    </row>
    <row r="455" ht="15.75" customHeight="1">
      <c r="F455" s="57"/>
      <c r="G455" s="57"/>
      <c r="H455" s="57"/>
    </row>
    <row r="456" ht="15.75" customHeight="1">
      <c r="F456" s="57"/>
      <c r="G456" s="57"/>
      <c r="H456" s="57"/>
    </row>
    <row r="457" ht="15.75" customHeight="1">
      <c r="F457" s="57"/>
      <c r="G457" s="57"/>
      <c r="H457" s="57"/>
    </row>
    <row r="458" ht="15.75" customHeight="1">
      <c r="F458" s="57"/>
      <c r="G458" s="57"/>
      <c r="H458" s="57"/>
    </row>
    <row r="459" ht="15.75" customHeight="1">
      <c r="F459" s="57"/>
      <c r="G459" s="57"/>
      <c r="H459" s="57"/>
    </row>
    <row r="460" ht="15.75" customHeight="1">
      <c r="F460" s="57"/>
      <c r="G460" s="57"/>
      <c r="H460" s="57"/>
    </row>
    <row r="461" ht="15.75" customHeight="1">
      <c r="F461" s="57"/>
      <c r="G461" s="57"/>
      <c r="H461" s="57"/>
    </row>
    <row r="462" ht="15.75" customHeight="1">
      <c r="F462" s="57"/>
      <c r="G462" s="57"/>
      <c r="H462" s="57"/>
    </row>
    <row r="463" ht="15.75" customHeight="1">
      <c r="F463" s="57"/>
      <c r="G463" s="57"/>
      <c r="H463" s="57"/>
    </row>
    <row r="464" ht="15.75" customHeight="1">
      <c r="F464" s="57"/>
      <c r="G464" s="57"/>
      <c r="H464" s="57"/>
    </row>
    <row r="465" ht="15.75" customHeight="1">
      <c r="F465" s="57"/>
      <c r="G465" s="57"/>
      <c r="H465" s="57"/>
    </row>
    <row r="466" ht="15.75" customHeight="1">
      <c r="F466" s="57"/>
      <c r="G466" s="57"/>
      <c r="H466" s="57"/>
    </row>
    <row r="467" ht="15.75" customHeight="1">
      <c r="F467" s="57"/>
      <c r="G467" s="57"/>
      <c r="H467" s="57"/>
    </row>
    <row r="468" ht="15.75" customHeight="1">
      <c r="F468" s="57"/>
      <c r="G468" s="57"/>
      <c r="H468" s="57"/>
    </row>
    <row r="469" ht="15.75" customHeight="1">
      <c r="F469" s="57"/>
      <c r="G469" s="57"/>
      <c r="H469" s="57"/>
    </row>
    <row r="470" ht="15.75" customHeight="1">
      <c r="F470" s="57"/>
      <c r="G470" s="57"/>
      <c r="H470" s="57"/>
    </row>
    <row r="471" ht="15.75" customHeight="1">
      <c r="F471" s="57"/>
      <c r="G471" s="57"/>
      <c r="H471" s="57"/>
    </row>
    <row r="472" ht="15.75" customHeight="1">
      <c r="F472" s="57"/>
      <c r="G472" s="57"/>
      <c r="H472" s="57"/>
    </row>
    <row r="473" ht="15.75" customHeight="1">
      <c r="F473" s="57"/>
      <c r="G473" s="57"/>
      <c r="H473" s="57"/>
    </row>
    <row r="474" ht="15.75" customHeight="1">
      <c r="F474" s="57"/>
      <c r="G474" s="57"/>
      <c r="H474" s="57"/>
    </row>
    <row r="475" ht="15.75" customHeight="1">
      <c r="F475" s="57"/>
      <c r="G475" s="57"/>
      <c r="H475" s="57"/>
    </row>
    <row r="476" ht="15.75" customHeight="1">
      <c r="F476" s="57"/>
      <c r="G476" s="57"/>
      <c r="H476" s="57"/>
    </row>
    <row r="477" ht="15.75" customHeight="1">
      <c r="F477" s="57"/>
      <c r="G477" s="57"/>
      <c r="H477" s="57"/>
    </row>
    <row r="478" ht="15.75" customHeight="1">
      <c r="F478" s="57"/>
      <c r="G478" s="57"/>
      <c r="H478" s="57"/>
    </row>
    <row r="479" ht="15.75" customHeight="1">
      <c r="F479" s="57"/>
      <c r="G479" s="57"/>
      <c r="H479" s="57"/>
    </row>
    <row r="480" ht="15.75" customHeight="1">
      <c r="F480" s="57"/>
      <c r="G480" s="57"/>
      <c r="H480" s="57"/>
    </row>
    <row r="481" ht="15.75" customHeight="1">
      <c r="F481" s="57"/>
      <c r="G481" s="57"/>
      <c r="H481" s="57"/>
    </row>
    <row r="482" ht="15.75" customHeight="1">
      <c r="F482" s="57"/>
      <c r="G482" s="57"/>
      <c r="H482" s="57"/>
    </row>
    <row r="483" ht="15.75" customHeight="1">
      <c r="F483" s="57"/>
      <c r="G483" s="57"/>
      <c r="H483" s="57"/>
    </row>
    <row r="484" ht="15.75" customHeight="1">
      <c r="F484" s="57"/>
      <c r="G484" s="57"/>
      <c r="H484" s="57"/>
    </row>
    <row r="485" ht="15.75" customHeight="1">
      <c r="F485" s="57"/>
      <c r="G485" s="57"/>
      <c r="H485" s="57"/>
    </row>
    <row r="486" ht="15.75" customHeight="1">
      <c r="F486" s="57"/>
      <c r="G486" s="57"/>
      <c r="H486" s="57"/>
    </row>
    <row r="487" ht="15.75" customHeight="1">
      <c r="F487" s="57"/>
      <c r="G487" s="57"/>
      <c r="H487" s="57"/>
    </row>
    <row r="488" ht="15.75" customHeight="1">
      <c r="F488" s="57"/>
      <c r="G488" s="57"/>
      <c r="H488" s="57"/>
    </row>
    <row r="489" ht="15.75" customHeight="1">
      <c r="F489" s="57"/>
      <c r="G489" s="57"/>
      <c r="H489" s="57"/>
    </row>
    <row r="490" ht="15.75" customHeight="1">
      <c r="F490" s="57"/>
      <c r="G490" s="57"/>
      <c r="H490" s="57"/>
    </row>
    <row r="491" ht="15.75" customHeight="1">
      <c r="F491" s="57"/>
      <c r="G491" s="57"/>
      <c r="H491" s="57"/>
    </row>
    <row r="492" ht="15.75" customHeight="1">
      <c r="F492" s="57"/>
      <c r="G492" s="57"/>
      <c r="H492" s="57"/>
    </row>
    <row r="493" ht="15.75" customHeight="1">
      <c r="F493" s="57"/>
      <c r="G493" s="57"/>
      <c r="H493" s="57"/>
    </row>
    <row r="494" ht="15.75" customHeight="1">
      <c r="F494" s="57"/>
      <c r="G494" s="57"/>
      <c r="H494" s="57"/>
    </row>
    <row r="495" ht="15.75" customHeight="1">
      <c r="F495" s="57"/>
      <c r="G495" s="57"/>
      <c r="H495" s="57"/>
    </row>
    <row r="496" ht="15.75" customHeight="1">
      <c r="F496" s="57"/>
      <c r="G496" s="57"/>
      <c r="H496" s="57"/>
    </row>
    <row r="497" ht="15.75" customHeight="1">
      <c r="F497" s="57"/>
      <c r="G497" s="57"/>
      <c r="H497" s="57"/>
    </row>
    <row r="498" ht="15.75" customHeight="1">
      <c r="F498" s="57"/>
      <c r="G498" s="57"/>
      <c r="H498" s="57"/>
    </row>
    <row r="499" ht="15.75" customHeight="1">
      <c r="F499" s="57"/>
      <c r="G499" s="57"/>
      <c r="H499" s="57"/>
    </row>
    <row r="500" ht="15.75" customHeight="1">
      <c r="F500" s="57"/>
      <c r="G500" s="57"/>
      <c r="H500" s="57"/>
    </row>
    <row r="501" ht="15.75" customHeight="1">
      <c r="F501" s="57"/>
      <c r="G501" s="57"/>
      <c r="H501" s="57"/>
    </row>
    <row r="502" ht="15.75" customHeight="1">
      <c r="F502" s="57"/>
      <c r="G502" s="57"/>
      <c r="H502" s="57"/>
    </row>
    <row r="503" ht="15.75" customHeight="1">
      <c r="F503" s="57"/>
      <c r="G503" s="57"/>
      <c r="H503" s="57"/>
    </row>
    <row r="504" ht="15.75" customHeight="1">
      <c r="F504" s="57"/>
      <c r="G504" s="57"/>
      <c r="H504" s="57"/>
    </row>
    <row r="505" ht="15.75" customHeight="1">
      <c r="F505" s="57"/>
      <c r="G505" s="57"/>
      <c r="H505" s="57"/>
    </row>
    <row r="506" ht="15.75" customHeight="1">
      <c r="F506" s="57"/>
      <c r="G506" s="57"/>
      <c r="H506" s="57"/>
    </row>
    <row r="507" ht="15.75" customHeight="1">
      <c r="F507" s="57"/>
      <c r="G507" s="57"/>
      <c r="H507" s="57"/>
    </row>
    <row r="508" ht="15.75" customHeight="1">
      <c r="F508" s="57"/>
      <c r="G508" s="57"/>
      <c r="H508" s="57"/>
    </row>
    <row r="509" ht="15.75" customHeight="1">
      <c r="F509" s="57"/>
      <c r="G509" s="57"/>
      <c r="H509" s="57"/>
    </row>
    <row r="510" ht="15.75" customHeight="1">
      <c r="F510" s="57"/>
      <c r="G510" s="57"/>
      <c r="H510" s="57"/>
    </row>
    <row r="511" ht="15.75" customHeight="1">
      <c r="F511" s="57"/>
      <c r="G511" s="57"/>
      <c r="H511" s="57"/>
    </row>
    <row r="512" ht="15.75" customHeight="1">
      <c r="F512" s="57"/>
      <c r="G512" s="57"/>
      <c r="H512" s="57"/>
    </row>
    <row r="513" ht="15.75" customHeight="1">
      <c r="F513" s="57"/>
      <c r="G513" s="57"/>
      <c r="H513" s="57"/>
    </row>
    <row r="514" ht="15.75" customHeight="1">
      <c r="F514" s="57"/>
      <c r="G514" s="57"/>
      <c r="H514" s="57"/>
    </row>
    <row r="515" ht="15.75" customHeight="1">
      <c r="F515" s="57"/>
      <c r="G515" s="57"/>
      <c r="H515" s="57"/>
    </row>
    <row r="516" ht="15.75" customHeight="1">
      <c r="F516" s="57"/>
      <c r="G516" s="57"/>
      <c r="H516" s="57"/>
    </row>
    <row r="517" ht="15.75" customHeight="1">
      <c r="F517" s="57"/>
      <c r="G517" s="57"/>
      <c r="H517" s="57"/>
    </row>
    <row r="518" ht="15.75" customHeight="1">
      <c r="F518" s="57"/>
      <c r="G518" s="57"/>
      <c r="H518" s="57"/>
    </row>
    <row r="519" ht="15.75" customHeight="1">
      <c r="F519" s="57"/>
      <c r="G519" s="57"/>
      <c r="H519" s="57"/>
    </row>
    <row r="520" ht="15.75" customHeight="1">
      <c r="F520" s="57"/>
      <c r="G520" s="57"/>
      <c r="H520" s="57"/>
    </row>
    <row r="521" ht="15.75" customHeight="1">
      <c r="F521" s="57"/>
      <c r="G521" s="57"/>
      <c r="H521" s="57"/>
    </row>
    <row r="522" ht="15.75" customHeight="1">
      <c r="F522" s="57"/>
      <c r="G522" s="57"/>
      <c r="H522" s="57"/>
    </row>
    <row r="523" ht="15.75" customHeight="1">
      <c r="F523" s="57"/>
      <c r="G523" s="57"/>
      <c r="H523" s="57"/>
    </row>
    <row r="524" ht="15.75" customHeight="1">
      <c r="F524" s="57"/>
      <c r="G524" s="57"/>
      <c r="H524" s="57"/>
    </row>
    <row r="525" ht="15.75" customHeight="1">
      <c r="F525" s="57"/>
      <c r="G525" s="57"/>
      <c r="H525" s="57"/>
    </row>
    <row r="526" ht="15.75" customHeight="1">
      <c r="F526" s="57"/>
      <c r="G526" s="57"/>
      <c r="H526" s="57"/>
    </row>
    <row r="527" ht="15.75" customHeight="1">
      <c r="F527" s="57"/>
      <c r="G527" s="57"/>
      <c r="H527" s="57"/>
    </row>
    <row r="528" ht="15.75" customHeight="1">
      <c r="F528" s="57"/>
      <c r="G528" s="57"/>
      <c r="H528" s="57"/>
    </row>
    <row r="529" ht="15.75" customHeight="1">
      <c r="F529" s="57"/>
      <c r="G529" s="57"/>
      <c r="H529" s="57"/>
    </row>
    <row r="530" ht="15.75" customHeight="1">
      <c r="F530" s="57"/>
      <c r="G530" s="57"/>
      <c r="H530" s="57"/>
    </row>
    <row r="531" ht="15.75" customHeight="1">
      <c r="F531" s="57"/>
      <c r="G531" s="57"/>
      <c r="H531" s="57"/>
    </row>
    <row r="532" ht="15.75" customHeight="1">
      <c r="F532" s="57"/>
      <c r="G532" s="57"/>
      <c r="H532" s="57"/>
    </row>
    <row r="533" ht="15.75" customHeight="1">
      <c r="F533" s="57"/>
      <c r="G533" s="57"/>
      <c r="H533" s="57"/>
    </row>
    <row r="534" ht="15.75" customHeight="1">
      <c r="F534" s="57"/>
      <c r="G534" s="57"/>
      <c r="H534" s="57"/>
    </row>
    <row r="535" ht="15.75" customHeight="1">
      <c r="F535" s="57"/>
      <c r="G535" s="57"/>
      <c r="H535" s="57"/>
    </row>
    <row r="536" ht="15.75" customHeight="1">
      <c r="F536" s="57"/>
      <c r="G536" s="57"/>
      <c r="H536" s="57"/>
    </row>
    <row r="537" ht="15.75" customHeight="1">
      <c r="F537" s="57"/>
      <c r="G537" s="57"/>
      <c r="H537" s="57"/>
    </row>
    <row r="538" ht="15.75" customHeight="1">
      <c r="F538" s="57"/>
      <c r="G538" s="57"/>
      <c r="H538" s="57"/>
    </row>
    <row r="539" ht="15.75" customHeight="1">
      <c r="F539" s="57"/>
      <c r="G539" s="57"/>
      <c r="H539" s="57"/>
    </row>
    <row r="540" ht="15.75" customHeight="1">
      <c r="F540" s="57"/>
      <c r="G540" s="57"/>
      <c r="H540" s="57"/>
    </row>
    <row r="541" ht="15.75" customHeight="1">
      <c r="F541" s="57"/>
      <c r="G541" s="57"/>
      <c r="H541" s="57"/>
    </row>
    <row r="542" ht="15.75" customHeight="1">
      <c r="F542" s="57"/>
      <c r="G542" s="57"/>
      <c r="H542" s="57"/>
    </row>
    <row r="543" ht="15.75" customHeight="1">
      <c r="F543" s="57"/>
      <c r="G543" s="57"/>
      <c r="H543" s="57"/>
    </row>
    <row r="544" ht="15.75" customHeight="1">
      <c r="F544" s="57"/>
      <c r="G544" s="57"/>
      <c r="H544" s="57"/>
    </row>
    <row r="545" ht="15.75" customHeight="1">
      <c r="F545" s="57"/>
      <c r="G545" s="57"/>
      <c r="H545" s="57"/>
    </row>
    <row r="546" ht="15.75" customHeight="1">
      <c r="F546" s="57"/>
      <c r="G546" s="57"/>
      <c r="H546" s="57"/>
    </row>
    <row r="547" ht="15.75" customHeight="1">
      <c r="F547" s="57"/>
      <c r="G547" s="57"/>
      <c r="H547" s="57"/>
    </row>
    <row r="548" ht="15.75" customHeight="1">
      <c r="F548" s="57"/>
      <c r="G548" s="57"/>
      <c r="H548" s="57"/>
    </row>
    <row r="549" ht="15.75" customHeight="1">
      <c r="F549" s="57"/>
      <c r="G549" s="57"/>
      <c r="H549" s="57"/>
    </row>
    <row r="550" ht="15.75" customHeight="1">
      <c r="F550" s="57"/>
      <c r="G550" s="57"/>
      <c r="H550" s="57"/>
    </row>
    <row r="551" ht="15.75" customHeight="1">
      <c r="F551" s="57"/>
      <c r="G551" s="57"/>
      <c r="H551" s="57"/>
    </row>
    <row r="552" ht="15.75" customHeight="1">
      <c r="F552" s="57"/>
      <c r="G552" s="57"/>
      <c r="H552" s="57"/>
    </row>
    <row r="553" ht="15.75" customHeight="1">
      <c r="F553" s="57"/>
      <c r="G553" s="57"/>
      <c r="H553" s="57"/>
    </row>
    <row r="554" ht="15.75" customHeight="1">
      <c r="F554" s="57"/>
      <c r="G554" s="57"/>
      <c r="H554" s="57"/>
    </row>
    <row r="555" ht="15.75" customHeight="1">
      <c r="F555" s="57"/>
      <c r="G555" s="57"/>
      <c r="H555" s="57"/>
    </row>
    <row r="556" ht="15.75" customHeight="1">
      <c r="F556" s="57"/>
      <c r="G556" s="57"/>
      <c r="H556" s="57"/>
    </row>
    <row r="557" ht="15.75" customHeight="1">
      <c r="F557" s="57"/>
      <c r="G557" s="57"/>
      <c r="H557" s="57"/>
    </row>
    <row r="558" ht="15.75" customHeight="1">
      <c r="F558" s="57"/>
      <c r="G558" s="57"/>
      <c r="H558" s="57"/>
    </row>
    <row r="559" ht="15.75" customHeight="1">
      <c r="F559" s="57"/>
      <c r="G559" s="57"/>
      <c r="H559" s="57"/>
    </row>
    <row r="560" ht="15.75" customHeight="1">
      <c r="F560" s="57"/>
      <c r="G560" s="57"/>
      <c r="H560" s="57"/>
    </row>
    <row r="561" ht="15.75" customHeight="1">
      <c r="F561" s="57"/>
      <c r="G561" s="57"/>
      <c r="H561" s="57"/>
    </row>
    <row r="562" ht="15.75" customHeight="1">
      <c r="F562" s="57"/>
      <c r="G562" s="57"/>
      <c r="H562" s="57"/>
    </row>
    <row r="563" ht="15.75" customHeight="1">
      <c r="F563" s="57"/>
      <c r="G563" s="57"/>
      <c r="H563" s="57"/>
    </row>
    <row r="564" ht="15.75" customHeight="1">
      <c r="F564" s="57"/>
      <c r="G564" s="57"/>
      <c r="H564" s="57"/>
    </row>
    <row r="565" ht="15.75" customHeight="1">
      <c r="F565" s="57"/>
      <c r="G565" s="57"/>
      <c r="H565" s="57"/>
    </row>
    <row r="566" ht="15.75" customHeight="1">
      <c r="F566" s="57"/>
      <c r="G566" s="57"/>
      <c r="H566" s="57"/>
    </row>
    <row r="567" ht="15.75" customHeight="1">
      <c r="F567" s="57"/>
      <c r="G567" s="57"/>
      <c r="H567" s="57"/>
    </row>
    <row r="568" ht="15.75" customHeight="1">
      <c r="F568" s="57"/>
      <c r="G568" s="57"/>
      <c r="H568" s="57"/>
    </row>
    <row r="569" ht="15.75" customHeight="1">
      <c r="F569" s="57"/>
      <c r="G569" s="57"/>
      <c r="H569" s="57"/>
    </row>
    <row r="570" ht="15.75" customHeight="1">
      <c r="F570" s="57"/>
      <c r="G570" s="57"/>
      <c r="H570" s="57"/>
    </row>
    <row r="571" ht="15.75" customHeight="1">
      <c r="F571" s="57"/>
      <c r="G571" s="57"/>
      <c r="H571" s="57"/>
    </row>
    <row r="572" ht="15.75" customHeight="1">
      <c r="F572" s="57"/>
      <c r="G572" s="57"/>
      <c r="H572" s="57"/>
    </row>
    <row r="573" ht="15.75" customHeight="1">
      <c r="F573" s="57"/>
      <c r="G573" s="57"/>
      <c r="H573" s="57"/>
    </row>
    <row r="574" ht="15.75" customHeight="1">
      <c r="F574" s="57"/>
      <c r="G574" s="57"/>
      <c r="H574" s="57"/>
    </row>
    <row r="575" ht="15.75" customHeight="1">
      <c r="F575" s="57"/>
      <c r="G575" s="57"/>
      <c r="H575" s="57"/>
    </row>
    <row r="576" ht="15.75" customHeight="1">
      <c r="F576" s="57"/>
      <c r="G576" s="57"/>
      <c r="H576" s="57"/>
    </row>
    <row r="577" ht="15.75" customHeight="1">
      <c r="F577" s="57"/>
      <c r="G577" s="57"/>
      <c r="H577" s="57"/>
    </row>
    <row r="578" ht="15.75" customHeight="1">
      <c r="F578" s="57"/>
      <c r="G578" s="57"/>
      <c r="H578" s="57"/>
    </row>
    <row r="579" ht="15.75" customHeight="1">
      <c r="F579" s="57"/>
      <c r="G579" s="57"/>
      <c r="H579" s="57"/>
    </row>
    <row r="580" ht="15.75" customHeight="1">
      <c r="F580" s="57"/>
      <c r="G580" s="57"/>
      <c r="H580" s="57"/>
    </row>
    <row r="581" ht="15.75" customHeight="1">
      <c r="F581" s="57"/>
      <c r="G581" s="57"/>
      <c r="H581" s="57"/>
    </row>
    <row r="582" ht="15.75" customHeight="1">
      <c r="F582" s="57"/>
      <c r="G582" s="57"/>
      <c r="H582" s="57"/>
    </row>
    <row r="583" ht="15.75" customHeight="1">
      <c r="F583" s="57"/>
      <c r="G583" s="57"/>
      <c r="H583" s="57"/>
    </row>
    <row r="584" ht="15.75" customHeight="1">
      <c r="F584" s="57"/>
      <c r="G584" s="57"/>
      <c r="H584" s="57"/>
    </row>
    <row r="585" ht="15.75" customHeight="1">
      <c r="F585" s="57"/>
      <c r="G585" s="57"/>
      <c r="H585" s="57"/>
    </row>
    <row r="586" ht="15.75" customHeight="1">
      <c r="F586" s="57"/>
      <c r="G586" s="57"/>
      <c r="H586" s="57"/>
    </row>
    <row r="587" ht="15.75" customHeight="1">
      <c r="F587" s="57"/>
      <c r="G587" s="57"/>
      <c r="H587" s="57"/>
    </row>
    <row r="588" ht="15.75" customHeight="1">
      <c r="F588" s="57"/>
      <c r="G588" s="57"/>
      <c r="H588" s="57"/>
    </row>
    <row r="589" ht="15.75" customHeight="1">
      <c r="F589" s="57"/>
      <c r="G589" s="57"/>
      <c r="H589" s="57"/>
    </row>
    <row r="590" ht="15.75" customHeight="1">
      <c r="F590" s="57"/>
      <c r="G590" s="57"/>
      <c r="H590" s="57"/>
    </row>
    <row r="591" ht="15.75" customHeight="1">
      <c r="F591" s="57"/>
      <c r="G591" s="57"/>
      <c r="H591" s="57"/>
    </row>
    <row r="592" ht="15.75" customHeight="1">
      <c r="F592" s="57"/>
      <c r="G592" s="57"/>
      <c r="H592" s="57"/>
    </row>
    <row r="593" ht="15.75" customHeight="1">
      <c r="F593" s="57"/>
      <c r="G593" s="57"/>
      <c r="H593" s="57"/>
    </row>
    <row r="594" ht="15.75" customHeight="1">
      <c r="F594" s="57"/>
      <c r="G594" s="57"/>
      <c r="H594" s="57"/>
    </row>
    <row r="595" ht="15.75" customHeight="1">
      <c r="F595" s="57"/>
      <c r="G595" s="57"/>
      <c r="H595" s="57"/>
    </row>
    <row r="596" ht="15.75" customHeight="1">
      <c r="F596" s="57"/>
      <c r="G596" s="57"/>
      <c r="H596" s="57"/>
    </row>
    <row r="597" ht="15.75" customHeight="1">
      <c r="F597" s="57"/>
      <c r="G597" s="57"/>
      <c r="H597" s="57"/>
    </row>
    <row r="598" ht="15.75" customHeight="1">
      <c r="F598" s="57"/>
      <c r="G598" s="57"/>
      <c r="H598" s="57"/>
    </row>
    <row r="599" ht="15.75" customHeight="1">
      <c r="F599" s="57"/>
      <c r="G599" s="57"/>
      <c r="H599" s="57"/>
    </row>
    <row r="600" ht="15.75" customHeight="1">
      <c r="F600" s="57"/>
      <c r="G600" s="57"/>
      <c r="H600" s="57"/>
    </row>
    <row r="601" ht="15.75" customHeight="1">
      <c r="F601" s="57"/>
      <c r="G601" s="57"/>
      <c r="H601" s="57"/>
    </row>
    <row r="602" ht="15.75" customHeight="1">
      <c r="F602" s="57"/>
      <c r="G602" s="57"/>
      <c r="H602" s="57"/>
    </row>
    <row r="603" ht="15.75" customHeight="1">
      <c r="F603" s="57"/>
      <c r="G603" s="57"/>
      <c r="H603" s="57"/>
    </row>
    <row r="604" ht="15.75" customHeight="1">
      <c r="F604" s="57"/>
      <c r="G604" s="57"/>
      <c r="H604" s="57"/>
    </row>
    <row r="605" ht="15.75" customHeight="1">
      <c r="F605" s="57"/>
      <c r="G605" s="57"/>
      <c r="H605" s="57"/>
    </row>
    <row r="606" ht="15.75" customHeight="1">
      <c r="F606" s="57"/>
      <c r="G606" s="57"/>
      <c r="H606" s="57"/>
    </row>
    <row r="607" ht="15.75" customHeight="1">
      <c r="F607" s="57"/>
      <c r="G607" s="57"/>
      <c r="H607" s="57"/>
    </row>
    <row r="608" ht="15.75" customHeight="1">
      <c r="F608" s="57"/>
      <c r="G608" s="57"/>
      <c r="H608" s="57"/>
    </row>
    <row r="609" ht="15.75" customHeight="1">
      <c r="F609" s="57"/>
      <c r="G609" s="57"/>
      <c r="H609" s="57"/>
    </row>
    <row r="610" ht="15.75" customHeight="1">
      <c r="F610" s="57"/>
      <c r="G610" s="57"/>
      <c r="H610" s="57"/>
    </row>
    <row r="611" ht="15.75" customHeight="1">
      <c r="F611" s="57"/>
      <c r="G611" s="57"/>
      <c r="H611" s="57"/>
    </row>
    <row r="612" ht="15.75" customHeight="1">
      <c r="F612" s="57"/>
      <c r="G612" s="57"/>
      <c r="H612" s="57"/>
    </row>
    <row r="613" ht="15.75" customHeight="1">
      <c r="F613" s="57"/>
      <c r="G613" s="57"/>
      <c r="H613" s="57"/>
    </row>
    <row r="614" ht="15.75" customHeight="1">
      <c r="F614" s="57"/>
      <c r="G614" s="57"/>
      <c r="H614" s="57"/>
    </row>
    <row r="615" ht="15.75" customHeight="1">
      <c r="F615" s="57"/>
      <c r="G615" s="57"/>
      <c r="H615" s="57"/>
    </row>
    <row r="616" ht="15.75" customHeight="1">
      <c r="F616" s="57"/>
      <c r="G616" s="57"/>
      <c r="H616" s="57"/>
    </row>
    <row r="617" ht="15.75" customHeight="1">
      <c r="F617" s="57"/>
      <c r="G617" s="57"/>
      <c r="H617" s="57"/>
    </row>
    <row r="618" ht="15.75" customHeight="1">
      <c r="F618" s="57"/>
      <c r="G618" s="57"/>
      <c r="H618" s="57"/>
    </row>
    <row r="619" ht="15.75" customHeight="1">
      <c r="F619" s="57"/>
      <c r="G619" s="57"/>
      <c r="H619" s="57"/>
    </row>
    <row r="620" ht="15.75" customHeight="1">
      <c r="F620" s="57"/>
      <c r="G620" s="57"/>
      <c r="H620" s="57"/>
    </row>
    <row r="621" ht="15.75" customHeight="1">
      <c r="F621" s="57"/>
      <c r="G621" s="57"/>
      <c r="H621" s="57"/>
    </row>
    <row r="622" ht="15.75" customHeight="1">
      <c r="F622" s="57"/>
      <c r="G622" s="57"/>
      <c r="H622" s="57"/>
    </row>
    <row r="623" ht="15.75" customHeight="1">
      <c r="F623" s="57"/>
      <c r="G623" s="57"/>
      <c r="H623" s="57"/>
    </row>
    <row r="624" ht="15.75" customHeight="1">
      <c r="F624" s="57"/>
      <c r="G624" s="57"/>
      <c r="H624" s="57"/>
    </row>
    <row r="625" ht="15.75" customHeight="1">
      <c r="F625" s="57"/>
      <c r="G625" s="57"/>
      <c r="H625" s="57"/>
    </row>
    <row r="626" ht="15.75" customHeight="1">
      <c r="F626" s="57"/>
      <c r="G626" s="57"/>
      <c r="H626" s="57"/>
    </row>
    <row r="627" ht="15.75" customHeight="1">
      <c r="F627" s="57"/>
      <c r="G627" s="57"/>
      <c r="H627" s="57"/>
    </row>
    <row r="628" ht="15.75" customHeight="1">
      <c r="F628" s="57"/>
      <c r="G628" s="57"/>
      <c r="H628" s="57"/>
    </row>
    <row r="629" ht="15.75" customHeight="1">
      <c r="F629" s="57"/>
      <c r="G629" s="57"/>
      <c r="H629" s="57"/>
    </row>
    <row r="630" ht="15.75" customHeight="1">
      <c r="F630" s="57"/>
      <c r="G630" s="57"/>
      <c r="H630" s="57"/>
    </row>
    <row r="631" ht="15.75" customHeight="1">
      <c r="F631" s="57"/>
      <c r="G631" s="57"/>
      <c r="H631" s="57"/>
    </row>
    <row r="632" ht="15.75" customHeight="1">
      <c r="F632" s="57"/>
      <c r="G632" s="57"/>
      <c r="H632" s="57"/>
    </row>
    <row r="633" ht="15.75" customHeight="1">
      <c r="F633" s="57"/>
      <c r="G633" s="57"/>
      <c r="H633" s="57"/>
    </row>
    <row r="634" ht="15.75" customHeight="1">
      <c r="F634" s="57"/>
      <c r="G634" s="57"/>
      <c r="H634" s="57"/>
    </row>
    <row r="635" ht="15.75" customHeight="1">
      <c r="F635" s="57"/>
      <c r="G635" s="57"/>
      <c r="H635" s="57"/>
    </row>
    <row r="636" ht="15.75" customHeight="1">
      <c r="F636" s="57"/>
      <c r="G636" s="57"/>
      <c r="H636" s="57"/>
    </row>
    <row r="637" ht="15.75" customHeight="1">
      <c r="F637" s="57"/>
      <c r="G637" s="57"/>
      <c r="H637" s="57"/>
    </row>
    <row r="638" ht="15.75" customHeight="1">
      <c r="F638" s="57"/>
      <c r="G638" s="57"/>
      <c r="H638" s="57"/>
    </row>
    <row r="639" ht="15.75" customHeight="1">
      <c r="F639" s="57"/>
      <c r="G639" s="57"/>
      <c r="H639" s="57"/>
    </row>
    <row r="640" ht="15.75" customHeight="1">
      <c r="F640" s="57"/>
      <c r="G640" s="57"/>
      <c r="H640" s="57"/>
    </row>
    <row r="641" ht="15.75" customHeight="1">
      <c r="F641" s="57"/>
      <c r="G641" s="57"/>
      <c r="H641" s="57"/>
    </row>
    <row r="642" ht="15.75" customHeight="1">
      <c r="F642" s="57"/>
      <c r="G642" s="57"/>
      <c r="H642" s="57"/>
    </row>
    <row r="643" ht="15.75" customHeight="1">
      <c r="F643" s="57"/>
      <c r="G643" s="57"/>
      <c r="H643" s="57"/>
    </row>
    <row r="644" ht="15.75" customHeight="1">
      <c r="F644" s="57"/>
      <c r="G644" s="57"/>
      <c r="H644" s="57"/>
    </row>
    <row r="645" ht="15.75" customHeight="1">
      <c r="F645" s="57"/>
      <c r="G645" s="57"/>
      <c r="H645" s="57"/>
    </row>
    <row r="646" ht="15.75" customHeight="1">
      <c r="F646" s="57"/>
      <c r="G646" s="57"/>
      <c r="H646" s="57"/>
    </row>
    <row r="647" ht="15.75" customHeight="1">
      <c r="F647" s="57"/>
      <c r="G647" s="57"/>
      <c r="H647" s="57"/>
    </row>
    <row r="648" ht="15.75" customHeight="1">
      <c r="F648" s="57"/>
      <c r="G648" s="57"/>
      <c r="H648" s="57"/>
    </row>
    <row r="649" ht="15.75" customHeight="1">
      <c r="F649" s="57"/>
      <c r="G649" s="57"/>
      <c r="H649" s="57"/>
    </row>
    <row r="650" ht="15.75" customHeight="1">
      <c r="F650" s="57"/>
      <c r="G650" s="57"/>
      <c r="H650" s="57"/>
    </row>
    <row r="651" ht="15.75" customHeight="1">
      <c r="F651" s="57"/>
      <c r="G651" s="57"/>
      <c r="H651" s="57"/>
    </row>
    <row r="652" ht="15.75" customHeight="1">
      <c r="F652" s="57"/>
      <c r="G652" s="57"/>
      <c r="H652" s="57"/>
    </row>
    <row r="653" ht="15.75" customHeight="1">
      <c r="F653" s="57"/>
      <c r="G653" s="57"/>
      <c r="H653" s="57"/>
    </row>
    <row r="654" ht="15.75" customHeight="1">
      <c r="F654" s="57"/>
      <c r="G654" s="57"/>
      <c r="H654" s="57"/>
    </row>
    <row r="655" ht="15.75" customHeight="1">
      <c r="F655" s="57"/>
      <c r="G655" s="57"/>
      <c r="H655" s="57"/>
    </row>
    <row r="656" ht="15.75" customHeight="1">
      <c r="F656" s="57"/>
      <c r="G656" s="57"/>
      <c r="H656" s="57"/>
    </row>
    <row r="657" ht="15.75" customHeight="1">
      <c r="F657" s="57"/>
      <c r="G657" s="57"/>
      <c r="H657" s="57"/>
    </row>
    <row r="658" ht="15.75" customHeight="1">
      <c r="F658" s="57"/>
      <c r="G658" s="57"/>
      <c r="H658" s="57"/>
    </row>
    <row r="659" ht="15.75" customHeight="1">
      <c r="F659" s="57"/>
      <c r="G659" s="57"/>
      <c r="H659" s="57"/>
    </row>
    <row r="660" ht="15.75" customHeight="1">
      <c r="F660" s="57"/>
      <c r="G660" s="57"/>
      <c r="H660" s="57"/>
    </row>
    <row r="661" ht="15.75" customHeight="1">
      <c r="F661" s="57"/>
      <c r="G661" s="57"/>
      <c r="H661" s="57"/>
    </row>
    <row r="662" ht="15.75" customHeight="1">
      <c r="F662" s="57"/>
      <c r="G662" s="57"/>
      <c r="H662" s="57"/>
    </row>
    <row r="663" ht="15.75" customHeight="1">
      <c r="F663" s="57"/>
      <c r="G663" s="57"/>
      <c r="H663" s="57"/>
    </row>
    <row r="664" ht="15.75" customHeight="1">
      <c r="F664" s="57"/>
      <c r="G664" s="57"/>
      <c r="H664" s="57"/>
    </row>
    <row r="665" ht="15.75" customHeight="1">
      <c r="F665" s="57"/>
      <c r="G665" s="57"/>
      <c r="H665" s="57"/>
    </row>
    <row r="666" ht="15.75" customHeight="1">
      <c r="F666" s="57"/>
      <c r="G666" s="57"/>
      <c r="H666" s="57"/>
    </row>
    <row r="667" ht="15.75" customHeight="1">
      <c r="F667" s="57"/>
      <c r="G667" s="57"/>
      <c r="H667" s="57"/>
    </row>
    <row r="668" ht="15.75" customHeight="1">
      <c r="F668" s="57"/>
      <c r="G668" s="57"/>
      <c r="H668" s="57"/>
    </row>
    <row r="669" ht="15.75" customHeight="1">
      <c r="F669" s="57"/>
      <c r="G669" s="57"/>
      <c r="H669" s="57"/>
    </row>
    <row r="670" ht="15.75" customHeight="1">
      <c r="F670" s="57"/>
      <c r="G670" s="57"/>
      <c r="H670" s="57"/>
    </row>
    <row r="671" ht="15.75" customHeight="1">
      <c r="F671" s="57"/>
      <c r="G671" s="57"/>
      <c r="H671" s="57"/>
    </row>
    <row r="672" ht="15.75" customHeight="1">
      <c r="F672" s="57"/>
      <c r="G672" s="57"/>
      <c r="H672" s="57"/>
    </row>
    <row r="673" ht="15.75" customHeight="1">
      <c r="F673" s="57"/>
      <c r="G673" s="57"/>
      <c r="H673" s="57"/>
    </row>
    <row r="674" ht="15.75" customHeight="1">
      <c r="F674" s="57"/>
      <c r="G674" s="57"/>
      <c r="H674" s="57"/>
    </row>
    <row r="675" ht="15.75" customHeight="1">
      <c r="F675" s="57"/>
      <c r="G675" s="57"/>
      <c r="H675" s="57"/>
    </row>
    <row r="676" ht="15.75" customHeight="1">
      <c r="F676" s="57"/>
      <c r="G676" s="57"/>
      <c r="H676" s="57"/>
    </row>
    <row r="677" ht="15.75" customHeight="1">
      <c r="F677" s="57"/>
      <c r="G677" s="57"/>
      <c r="H677" s="57"/>
    </row>
    <row r="678" ht="15.75" customHeight="1">
      <c r="F678" s="57"/>
      <c r="G678" s="57"/>
      <c r="H678" s="57"/>
    </row>
    <row r="679" ht="15.75" customHeight="1">
      <c r="F679" s="57"/>
      <c r="G679" s="57"/>
      <c r="H679" s="57"/>
    </row>
    <row r="680" ht="15.75" customHeight="1">
      <c r="F680" s="57"/>
      <c r="G680" s="57"/>
      <c r="H680" s="57"/>
    </row>
    <row r="681" ht="15.75" customHeight="1">
      <c r="F681" s="57"/>
      <c r="G681" s="57"/>
      <c r="H681" s="57"/>
    </row>
    <row r="682" ht="15.75" customHeight="1">
      <c r="F682" s="57"/>
      <c r="G682" s="57"/>
      <c r="H682" s="57"/>
    </row>
    <row r="683" ht="15.75" customHeight="1">
      <c r="F683" s="57"/>
      <c r="G683" s="57"/>
      <c r="H683" s="57"/>
    </row>
    <row r="684" ht="15.75" customHeight="1">
      <c r="F684" s="57"/>
      <c r="G684" s="57"/>
      <c r="H684" s="57"/>
    </row>
    <row r="685" ht="15.75" customHeight="1">
      <c r="F685" s="57"/>
      <c r="G685" s="57"/>
      <c r="H685" s="57"/>
    </row>
    <row r="686" ht="15.75" customHeight="1">
      <c r="F686" s="57"/>
      <c r="G686" s="57"/>
      <c r="H686" s="57"/>
    </row>
    <row r="687" ht="15.75" customHeight="1">
      <c r="F687" s="57"/>
      <c r="G687" s="57"/>
      <c r="H687" s="57"/>
    </row>
    <row r="688" ht="15.75" customHeight="1">
      <c r="F688" s="57"/>
      <c r="G688" s="57"/>
      <c r="H688" s="57"/>
    </row>
    <row r="689" ht="15.75" customHeight="1">
      <c r="F689" s="57"/>
      <c r="G689" s="57"/>
      <c r="H689" s="57"/>
    </row>
    <row r="690" ht="15.75" customHeight="1">
      <c r="F690" s="57"/>
      <c r="G690" s="57"/>
      <c r="H690" s="57"/>
    </row>
    <row r="691" ht="15.75" customHeight="1">
      <c r="F691" s="57"/>
      <c r="G691" s="57"/>
      <c r="H691" s="57"/>
    </row>
    <row r="692" ht="15.75" customHeight="1">
      <c r="F692" s="57"/>
      <c r="G692" s="57"/>
      <c r="H692" s="57"/>
    </row>
    <row r="693" ht="15.75" customHeight="1">
      <c r="F693" s="57"/>
      <c r="G693" s="57"/>
      <c r="H693" s="57"/>
    </row>
    <row r="694" ht="15.75" customHeight="1">
      <c r="F694" s="57"/>
      <c r="G694" s="57"/>
      <c r="H694" s="57"/>
    </row>
    <row r="695" ht="15.75" customHeight="1">
      <c r="F695" s="57"/>
      <c r="G695" s="57"/>
      <c r="H695" s="57"/>
    </row>
    <row r="696" ht="15.75" customHeight="1">
      <c r="F696" s="57"/>
      <c r="G696" s="57"/>
      <c r="H696" s="57"/>
    </row>
    <row r="697" ht="15.75" customHeight="1">
      <c r="F697" s="57"/>
      <c r="G697" s="57"/>
      <c r="H697" s="57"/>
    </row>
    <row r="698" ht="15.75" customHeight="1">
      <c r="F698" s="57"/>
      <c r="G698" s="57"/>
      <c r="H698" s="57"/>
    </row>
    <row r="699" ht="15.75" customHeight="1">
      <c r="F699" s="57"/>
      <c r="G699" s="57"/>
      <c r="H699" s="57"/>
    </row>
    <row r="700" ht="15.75" customHeight="1">
      <c r="F700" s="57"/>
      <c r="G700" s="57"/>
      <c r="H700" s="57"/>
    </row>
    <row r="701" ht="15.75" customHeight="1">
      <c r="F701" s="57"/>
      <c r="G701" s="57"/>
      <c r="H701" s="57"/>
    </row>
    <row r="702" ht="15.75" customHeight="1">
      <c r="F702" s="57"/>
      <c r="G702" s="57"/>
      <c r="H702" s="57"/>
    </row>
    <row r="703" ht="15.75" customHeight="1">
      <c r="F703" s="57"/>
      <c r="G703" s="57"/>
      <c r="H703" s="57"/>
    </row>
    <row r="704" ht="15.75" customHeight="1">
      <c r="F704" s="57"/>
      <c r="G704" s="57"/>
      <c r="H704" s="57"/>
    </row>
    <row r="705" ht="15.75" customHeight="1">
      <c r="F705" s="57"/>
      <c r="G705" s="57"/>
      <c r="H705" s="57"/>
    </row>
    <row r="706" ht="15.75" customHeight="1">
      <c r="F706" s="57"/>
      <c r="G706" s="57"/>
      <c r="H706" s="57"/>
    </row>
    <row r="707" ht="15.75" customHeight="1">
      <c r="F707" s="57"/>
      <c r="G707" s="57"/>
      <c r="H707" s="57"/>
    </row>
    <row r="708" ht="15.75" customHeight="1">
      <c r="F708" s="57"/>
      <c r="G708" s="57"/>
      <c r="H708" s="57"/>
    </row>
    <row r="709" ht="15.75" customHeight="1">
      <c r="F709" s="57"/>
      <c r="G709" s="57"/>
      <c r="H709" s="57"/>
    </row>
    <row r="710" ht="15.75" customHeight="1">
      <c r="F710" s="57"/>
      <c r="G710" s="57"/>
      <c r="H710" s="57"/>
    </row>
    <row r="711" ht="15.75" customHeight="1">
      <c r="F711" s="57"/>
      <c r="G711" s="57"/>
      <c r="H711" s="57"/>
    </row>
    <row r="712" ht="15.75" customHeight="1">
      <c r="F712" s="57"/>
      <c r="G712" s="57"/>
      <c r="H712" s="57"/>
    </row>
    <row r="713" ht="15.75" customHeight="1">
      <c r="F713" s="57"/>
      <c r="G713" s="57"/>
      <c r="H713" s="57"/>
    </row>
    <row r="714" ht="15.75" customHeight="1">
      <c r="F714" s="57"/>
      <c r="G714" s="57"/>
      <c r="H714" s="57"/>
    </row>
    <row r="715" ht="15.75" customHeight="1">
      <c r="F715" s="57"/>
      <c r="G715" s="57"/>
      <c r="H715" s="57"/>
    </row>
    <row r="716" ht="15.75" customHeight="1">
      <c r="F716" s="57"/>
      <c r="G716" s="57"/>
      <c r="H716" s="57"/>
    </row>
    <row r="717" ht="15.75" customHeight="1">
      <c r="F717" s="57"/>
      <c r="G717" s="57"/>
      <c r="H717" s="57"/>
    </row>
    <row r="718" ht="15.75" customHeight="1">
      <c r="F718" s="57"/>
      <c r="G718" s="57"/>
      <c r="H718" s="57"/>
    </row>
    <row r="719" ht="15.75" customHeight="1">
      <c r="F719" s="57"/>
      <c r="G719" s="57"/>
      <c r="H719" s="57"/>
    </row>
    <row r="720" ht="15.75" customHeight="1">
      <c r="F720" s="57"/>
      <c r="G720" s="57"/>
      <c r="H720" s="57"/>
    </row>
    <row r="721" ht="15.75" customHeight="1">
      <c r="F721" s="57"/>
      <c r="G721" s="57"/>
      <c r="H721" s="57"/>
    </row>
    <row r="722" ht="15.75" customHeight="1">
      <c r="F722" s="57"/>
      <c r="G722" s="57"/>
      <c r="H722" s="57"/>
    </row>
    <row r="723" ht="15.75" customHeight="1">
      <c r="F723" s="57"/>
      <c r="G723" s="57"/>
      <c r="H723" s="57"/>
    </row>
    <row r="724" ht="15.75" customHeight="1">
      <c r="F724" s="57"/>
      <c r="G724" s="57"/>
      <c r="H724" s="57"/>
    </row>
    <row r="725" ht="15.75" customHeight="1">
      <c r="F725" s="57"/>
      <c r="G725" s="57"/>
      <c r="H725" s="57"/>
    </row>
    <row r="726" ht="15.75" customHeight="1">
      <c r="F726" s="57"/>
      <c r="G726" s="57"/>
      <c r="H726" s="57"/>
    </row>
    <row r="727" ht="15.75" customHeight="1">
      <c r="F727" s="57"/>
      <c r="G727" s="57"/>
      <c r="H727" s="57"/>
    </row>
    <row r="728" ht="15.75" customHeight="1">
      <c r="F728" s="57"/>
      <c r="G728" s="57"/>
      <c r="H728" s="57"/>
    </row>
    <row r="729" ht="15.75" customHeight="1">
      <c r="F729" s="57"/>
      <c r="G729" s="57"/>
      <c r="H729" s="57"/>
    </row>
    <row r="730" ht="15.75" customHeight="1">
      <c r="F730" s="57"/>
      <c r="G730" s="57"/>
      <c r="H730" s="57"/>
    </row>
    <row r="731" ht="15.75" customHeight="1">
      <c r="F731" s="57"/>
      <c r="G731" s="57"/>
      <c r="H731" s="57"/>
    </row>
    <row r="732" ht="15.75" customHeight="1">
      <c r="F732" s="57"/>
      <c r="G732" s="57"/>
      <c r="H732" s="57"/>
    </row>
    <row r="733" ht="15.75" customHeight="1">
      <c r="F733" s="57"/>
      <c r="G733" s="57"/>
      <c r="H733" s="57"/>
    </row>
    <row r="734" ht="15.75" customHeight="1">
      <c r="F734" s="57"/>
      <c r="G734" s="57"/>
      <c r="H734" s="57"/>
    </row>
    <row r="735" ht="15.75" customHeight="1">
      <c r="F735" s="57"/>
      <c r="G735" s="57"/>
      <c r="H735" s="57"/>
    </row>
    <row r="736" ht="15.75" customHeight="1">
      <c r="F736" s="57"/>
      <c r="G736" s="57"/>
      <c r="H736" s="57"/>
    </row>
    <row r="737" ht="15.75" customHeight="1">
      <c r="F737" s="57"/>
      <c r="G737" s="57"/>
      <c r="H737" s="57"/>
    </row>
    <row r="738" ht="15.75" customHeight="1">
      <c r="F738" s="57"/>
      <c r="G738" s="57"/>
      <c r="H738" s="57"/>
    </row>
    <row r="739" ht="15.75" customHeight="1">
      <c r="F739" s="57"/>
      <c r="G739" s="57"/>
      <c r="H739" s="57"/>
    </row>
    <row r="740" ht="15.75" customHeight="1">
      <c r="F740" s="57"/>
      <c r="G740" s="57"/>
      <c r="H740" s="57"/>
    </row>
    <row r="741" ht="15.75" customHeight="1">
      <c r="F741" s="57"/>
      <c r="G741" s="57"/>
      <c r="H741" s="57"/>
    </row>
    <row r="742" ht="15.75" customHeight="1">
      <c r="F742" s="57"/>
      <c r="G742" s="57"/>
      <c r="H742" s="57"/>
    </row>
    <row r="743" ht="15.75" customHeight="1">
      <c r="F743" s="57"/>
      <c r="G743" s="57"/>
      <c r="H743" s="57"/>
    </row>
    <row r="744" ht="15.75" customHeight="1">
      <c r="F744" s="57"/>
      <c r="G744" s="57"/>
      <c r="H744" s="57"/>
    </row>
    <row r="745" ht="15.75" customHeight="1">
      <c r="F745" s="57"/>
      <c r="G745" s="57"/>
      <c r="H745" s="57"/>
    </row>
    <row r="746" ht="15.75" customHeight="1">
      <c r="F746" s="57"/>
      <c r="G746" s="57"/>
      <c r="H746" s="57"/>
    </row>
    <row r="747" ht="15.75" customHeight="1">
      <c r="F747" s="57"/>
      <c r="G747" s="57"/>
      <c r="H747" s="57"/>
    </row>
    <row r="748" ht="15.75" customHeight="1">
      <c r="F748" s="57"/>
      <c r="G748" s="57"/>
      <c r="H748" s="57"/>
    </row>
    <row r="749" ht="15.75" customHeight="1">
      <c r="F749" s="57"/>
      <c r="G749" s="57"/>
      <c r="H749" s="57"/>
    </row>
    <row r="750" ht="15.75" customHeight="1">
      <c r="F750" s="57"/>
      <c r="G750" s="57"/>
      <c r="H750" s="57"/>
    </row>
    <row r="751" ht="15.75" customHeight="1">
      <c r="F751" s="57"/>
      <c r="G751" s="57"/>
      <c r="H751" s="57"/>
    </row>
    <row r="752" ht="15.75" customHeight="1">
      <c r="F752" s="57"/>
      <c r="G752" s="57"/>
      <c r="H752" s="57"/>
    </row>
    <row r="753" ht="15.75" customHeight="1">
      <c r="F753" s="57"/>
      <c r="G753" s="57"/>
      <c r="H753" s="57"/>
    </row>
    <row r="754" ht="15.75" customHeight="1">
      <c r="F754" s="57"/>
      <c r="G754" s="57"/>
      <c r="H754" s="57"/>
    </row>
    <row r="755" ht="15.75" customHeight="1">
      <c r="F755" s="57"/>
      <c r="G755" s="57"/>
      <c r="H755" s="57"/>
    </row>
    <row r="756" ht="15.75" customHeight="1">
      <c r="F756" s="57"/>
      <c r="G756" s="57"/>
      <c r="H756" s="57"/>
    </row>
    <row r="757" ht="15.75" customHeight="1">
      <c r="F757" s="57"/>
      <c r="G757" s="57"/>
      <c r="H757" s="57"/>
    </row>
    <row r="758" ht="15.75" customHeight="1">
      <c r="F758" s="57"/>
      <c r="G758" s="57"/>
      <c r="H758" s="57"/>
    </row>
    <row r="759" ht="15.75" customHeight="1">
      <c r="F759" s="57"/>
      <c r="G759" s="57"/>
      <c r="H759" s="57"/>
    </row>
    <row r="760" ht="15.75" customHeight="1">
      <c r="F760" s="57"/>
      <c r="G760" s="57"/>
      <c r="H760" s="57"/>
    </row>
    <row r="761" ht="15.75" customHeight="1">
      <c r="F761" s="57"/>
      <c r="G761" s="57"/>
      <c r="H761" s="57"/>
    </row>
    <row r="762" ht="15.75" customHeight="1">
      <c r="F762" s="57"/>
      <c r="G762" s="57"/>
      <c r="H762" s="57"/>
    </row>
    <row r="763" ht="15.75" customHeight="1">
      <c r="F763" s="57"/>
      <c r="G763" s="57"/>
      <c r="H763" s="57"/>
    </row>
    <row r="764" ht="15.75" customHeight="1">
      <c r="F764" s="57"/>
      <c r="G764" s="57"/>
      <c r="H764" s="57"/>
    </row>
    <row r="765" ht="15.75" customHeight="1">
      <c r="F765" s="57"/>
      <c r="G765" s="57"/>
      <c r="H765" s="57"/>
    </row>
    <row r="766" ht="15.75" customHeight="1">
      <c r="F766" s="57"/>
      <c r="G766" s="57"/>
      <c r="H766" s="57"/>
    </row>
    <row r="767" ht="15.75" customHeight="1">
      <c r="F767" s="57"/>
      <c r="G767" s="57"/>
      <c r="H767" s="57"/>
    </row>
    <row r="768" ht="15.75" customHeight="1">
      <c r="F768" s="57"/>
      <c r="G768" s="57"/>
      <c r="H768" s="57"/>
    </row>
    <row r="769" ht="15.75" customHeight="1">
      <c r="F769" s="57"/>
      <c r="G769" s="57"/>
      <c r="H769" s="57"/>
    </row>
    <row r="770" ht="15.75" customHeight="1">
      <c r="F770" s="57"/>
      <c r="G770" s="57"/>
      <c r="H770" s="57"/>
    </row>
    <row r="771" ht="15.75" customHeight="1">
      <c r="F771" s="57"/>
      <c r="G771" s="57"/>
      <c r="H771" s="57"/>
    </row>
    <row r="772" ht="15.75" customHeight="1">
      <c r="F772" s="57"/>
      <c r="G772" s="57"/>
      <c r="H772" s="57"/>
    </row>
    <row r="773" ht="15.75" customHeight="1">
      <c r="F773" s="57"/>
      <c r="G773" s="57"/>
      <c r="H773" s="57"/>
    </row>
    <row r="774" ht="15.75" customHeight="1">
      <c r="F774" s="57"/>
      <c r="G774" s="57"/>
      <c r="H774" s="57"/>
    </row>
    <row r="775" ht="15.75" customHeight="1">
      <c r="F775" s="57"/>
      <c r="G775" s="57"/>
      <c r="H775" s="57"/>
    </row>
    <row r="776" ht="15.75" customHeight="1">
      <c r="F776" s="57"/>
      <c r="G776" s="57"/>
      <c r="H776" s="57"/>
    </row>
    <row r="777" ht="15.75" customHeight="1">
      <c r="F777" s="57"/>
      <c r="G777" s="57"/>
      <c r="H777" s="57"/>
    </row>
    <row r="778" ht="15.75" customHeight="1">
      <c r="F778" s="57"/>
      <c r="G778" s="57"/>
      <c r="H778" s="57"/>
    </row>
    <row r="779" ht="15.75" customHeight="1">
      <c r="F779" s="57"/>
      <c r="G779" s="57"/>
      <c r="H779" s="57"/>
    </row>
    <row r="780" ht="15.75" customHeight="1">
      <c r="F780" s="57"/>
      <c r="G780" s="57"/>
      <c r="H780" s="57"/>
    </row>
    <row r="781" ht="15.75" customHeight="1">
      <c r="F781" s="57"/>
      <c r="G781" s="57"/>
      <c r="H781" s="57"/>
    </row>
    <row r="782" ht="15.75" customHeight="1">
      <c r="F782" s="57"/>
      <c r="G782" s="57"/>
      <c r="H782" s="57"/>
    </row>
    <row r="783" ht="15.75" customHeight="1">
      <c r="F783" s="57"/>
      <c r="G783" s="57"/>
      <c r="H783" s="57"/>
    </row>
    <row r="784" ht="15.75" customHeight="1">
      <c r="F784" s="57"/>
      <c r="G784" s="57"/>
      <c r="H784" s="57"/>
    </row>
    <row r="785" ht="15.75" customHeight="1">
      <c r="F785" s="57"/>
      <c r="G785" s="57"/>
      <c r="H785" s="57"/>
    </row>
    <row r="786" ht="15.75" customHeight="1">
      <c r="F786" s="57"/>
      <c r="G786" s="57"/>
      <c r="H786" s="57"/>
    </row>
    <row r="787" ht="15.75" customHeight="1">
      <c r="F787" s="57"/>
      <c r="G787" s="57"/>
      <c r="H787" s="57"/>
    </row>
    <row r="788" ht="15.75" customHeight="1">
      <c r="F788" s="57"/>
      <c r="G788" s="57"/>
      <c r="H788" s="57"/>
    </row>
    <row r="789" ht="15.75" customHeight="1">
      <c r="F789" s="57"/>
      <c r="G789" s="57"/>
      <c r="H789" s="57"/>
    </row>
    <row r="790" ht="15.75" customHeight="1">
      <c r="F790" s="57"/>
      <c r="G790" s="57"/>
      <c r="H790" s="57"/>
    </row>
    <row r="791" ht="15.75" customHeight="1">
      <c r="F791" s="57"/>
      <c r="G791" s="57"/>
      <c r="H791" s="57"/>
    </row>
    <row r="792" ht="15.75" customHeight="1">
      <c r="F792" s="57"/>
      <c r="G792" s="57"/>
      <c r="H792" s="57"/>
    </row>
    <row r="793" ht="15.75" customHeight="1">
      <c r="F793" s="57"/>
      <c r="G793" s="57"/>
      <c r="H793" s="57"/>
    </row>
    <row r="794" ht="15.75" customHeight="1">
      <c r="F794" s="57"/>
      <c r="G794" s="57"/>
      <c r="H794" s="57"/>
    </row>
    <row r="795" ht="15.75" customHeight="1">
      <c r="F795" s="57"/>
      <c r="G795" s="57"/>
      <c r="H795" s="57"/>
    </row>
    <row r="796" ht="15.75" customHeight="1">
      <c r="F796" s="57"/>
      <c r="G796" s="57"/>
      <c r="H796" s="57"/>
    </row>
    <row r="797" ht="15.75" customHeight="1">
      <c r="F797" s="57"/>
      <c r="G797" s="57"/>
      <c r="H797" s="57"/>
    </row>
    <row r="798" ht="15.75" customHeight="1">
      <c r="F798" s="57"/>
      <c r="G798" s="57"/>
      <c r="H798" s="57"/>
    </row>
    <row r="799" ht="15.75" customHeight="1">
      <c r="F799" s="57"/>
      <c r="G799" s="57"/>
      <c r="H799" s="57"/>
    </row>
    <row r="800" ht="15.75" customHeight="1">
      <c r="F800" s="57"/>
      <c r="G800" s="57"/>
      <c r="H800" s="57"/>
    </row>
    <row r="801" ht="15.75" customHeight="1">
      <c r="F801" s="57"/>
      <c r="G801" s="57"/>
      <c r="H801" s="57"/>
    </row>
    <row r="802" ht="15.75" customHeight="1">
      <c r="F802" s="57"/>
      <c r="G802" s="57"/>
      <c r="H802" s="57"/>
    </row>
    <row r="803" ht="15.75" customHeight="1">
      <c r="F803" s="57"/>
      <c r="G803" s="57"/>
      <c r="H803" s="57"/>
    </row>
    <row r="804" ht="15.75" customHeight="1">
      <c r="F804" s="57"/>
      <c r="G804" s="57"/>
      <c r="H804" s="57"/>
    </row>
    <row r="805" ht="15.75" customHeight="1">
      <c r="F805" s="57"/>
      <c r="G805" s="57"/>
      <c r="H805" s="57"/>
    </row>
    <row r="806" ht="15.75" customHeight="1">
      <c r="F806" s="57"/>
      <c r="G806" s="57"/>
      <c r="H806" s="57"/>
    </row>
    <row r="807" ht="15.75" customHeight="1">
      <c r="F807" s="57"/>
      <c r="G807" s="57"/>
      <c r="H807" s="57"/>
    </row>
    <row r="808" ht="15.75" customHeight="1">
      <c r="F808" s="57"/>
      <c r="G808" s="57"/>
      <c r="H808" s="57"/>
    </row>
    <row r="809" ht="15.75" customHeight="1">
      <c r="F809" s="57"/>
      <c r="G809" s="57"/>
      <c r="H809" s="57"/>
    </row>
    <row r="810" ht="15.75" customHeight="1">
      <c r="F810" s="57"/>
      <c r="G810" s="57"/>
      <c r="H810" s="57"/>
    </row>
    <row r="811" ht="15.75" customHeight="1">
      <c r="F811" s="57"/>
      <c r="G811" s="57"/>
      <c r="H811" s="57"/>
    </row>
    <row r="812" ht="15.75" customHeight="1">
      <c r="F812" s="57"/>
      <c r="G812" s="57"/>
      <c r="H812" s="57"/>
    </row>
    <row r="813" ht="15.75" customHeight="1">
      <c r="F813" s="57"/>
      <c r="G813" s="57"/>
      <c r="H813" s="57"/>
    </row>
    <row r="814" ht="15.75" customHeight="1">
      <c r="F814" s="57"/>
      <c r="G814" s="57"/>
      <c r="H814" s="57"/>
    </row>
    <row r="815" ht="15.75" customHeight="1">
      <c r="F815" s="57"/>
      <c r="G815" s="57"/>
      <c r="H815" s="57"/>
    </row>
    <row r="816" ht="15.75" customHeight="1">
      <c r="F816" s="57"/>
      <c r="G816" s="57"/>
      <c r="H816" s="57"/>
    </row>
    <row r="817" ht="15.75" customHeight="1">
      <c r="F817" s="57"/>
      <c r="G817" s="57"/>
      <c r="H817" s="57"/>
    </row>
    <row r="818" ht="15.75" customHeight="1">
      <c r="F818" s="57"/>
      <c r="G818" s="57"/>
      <c r="H818" s="57"/>
    </row>
    <row r="819" ht="15.75" customHeight="1">
      <c r="F819" s="57"/>
      <c r="G819" s="57"/>
      <c r="H819" s="57"/>
    </row>
    <row r="820" ht="15.75" customHeight="1">
      <c r="F820" s="57"/>
      <c r="G820" s="57"/>
      <c r="H820" s="57"/>
    </row>
    <row r="821" ht="15.75" customHeight="1">
      <c r="F821" s="57"/>
      <c r="G821" s="57"/>
      <c r="H821" s="57"/>
    </row>
    <row r="822" ht="15.75" customHeight="1">
      <c r="F822" s="57"/>
      <c r="G822" s="57"/>
      <c r="H822" s="57"/>
    </row>
    <row r="823" ht="15.75" customHeight="1">
      <c r="F823" s="57"/>
      <c r="G823" s="57"/>
      <c r="H823" s="57"/>
    </row>
    <row r="824" ht="15.75" customHeight="1">
      <c r="F824" s="57"/>
      <c r="G824" s="57"/>
      <c r="H824" s="57"/>
    </row>
    <row r="825" ht="15.75" customHeight="1">
      <c r="F825" s="57"/>
      <c r="G825" s="57"/>
      <c r="H825" s="57"/>
    </row>
    <row r="826" ht="15.75" customHeight="1">
      <c r="F826" s="57"/>
      <c r="G826" s="57"/>
      <c r="H826" s="57"/>
    </row>
    <row r="827" ht="15.75" customHeight="1">
      <c r="F827" s="57"/>
      <c r="G827" s="57"/>
      <c r="H827" s="57"/>
    </row>
    <row r="828" ht="15.75" customHeight="1">
      <c r="F828" s="57"/>
      <c r="G828" s="57"/>
      <c r="H828" s="57"/>
    </row>
    <row r="829" ht="15.75" customHeight="1">
      <c r="F829" s="57"/>
      <c r="G829" s="57"/>
      <c r="H829" s="57"/>
    </row>
    <row r="830" ht="15.75" customHeight="1">
      <c r="F830" s="57"/>
      <c r="G830" s="57"/>
      <c r="H830" s="57"/>
    </row>
    <row r="831" ht="15.75" customHeight="1">
      <c r="F831" s="57"/>
      <c r="G831" s="57"/>
      <c r="H831" s="57"/>
    </row>
    <row r="832" ht="15.75" customHeight="1">
      <c r="F832" s="57"/>
      <c r="G832" s="57"/>
      <c r="H832" s="57"/>
    </row>
    <row r="833" ht="15.75" customHeight="1">
      <c r="F833" s="57"/>
      <c r="G833" s="57"/>
      <c r="H833" s="57"/>
    </row>
    <row r="834" ht="15.75" customHeight="1">
      <c r="F834" s="57"/>
      <c r="G834" s="57"/>
      <c r="H834" s="57"/>
    </row>
    <row r="835" ht="15.75" customHeight="1">
      <c r="F835" s="57"/>
      <c r="G835" s="57"/>
      <c r="H835" s="57"/>
    </row>
    <row r="836" ht="15.75" customHeight="1">
      <c r="F836" s="57"/>
      <c r="G836" s="57"/>
      <c r="H836" s="57"/>
    </row>
    <row r="837" ht="15.75" customHeight="1">
      <c r="F837" s="57"/>
      <c r="G837" s="57"/>
      <c r="H837" s="57"/>
    </row>
    <row r="838" ht="15.75" customHeight="1">
      <c r="F838" s="57"/>
      <c r="G838" s="57"/>
      <c r="H838" s="57"/>
    </row>
    <row r="839" ht="15.75" customHeight="1">
      <c r="F839" s="57"/>
      <c r="G839" s="57"/>
      <c r="H839" s="57"/>
    </row>
    <row r="840" ht="15.75" customHeight="1">
      <c r="F840" s="57"/>
      <c r="G840" s="57"/>
      <c r="H840" s="57"/>
    </row>
    <row r="841" ht="15.75" customHeight="1">
      <c r="F841" s="57"/>
      <c r="G841" s="57"/>
      <c r="H841" s="57"/>
    </row>
    <row r="842" ht="15.75" customHeight="1">
      <c r="F842" s="57"/>
      <c r="G842" s="57"/>
      <c r="H842" s="57"/>
    </row>
    <row r="843" ht="15.75" customHeight="1">
      <c r="F843" s="57"/>
      <c r="G843" s="57"/>
      <c r="H843" s="57"/>
    </row>
    <row r="844" ht="15.75" customHeight="1">
      <c r="F844" s="57"/>
      <c r="G844" s="57"/>
      <c r="H844" s="57"/>
    </row>
    <row r="845" ht="15.75" customHeight="1">
      <c r="F845" s="57"/>
      <c r="G845" s="57"/>
      <c r="H845" s="57"/>
    </row>
    <row r="846" ht="15.75" customHeight="1">
      <c r="F846" s="57"/>
      <c r="G846" s="57"/>
      <c r="H846" s="57"/>
    </row>
    <row r="847" ht="15.75" customHeight="1">
      <c r="F847" s="57"/>
      <c r="G847" s="57"/>
      <c r="H847" s="57"/>
    </row>
    <row r="848" ht="15.75" customHeight="1">
      <c r="F848" s="57"/>
      <c r="G848" s="57"/>
      <c r="H848" s="57"/>
    </row>
    <row r="849" ht="15.75" customHeight="1">
      <c r="F849" s="57"/>
      <c r="G849" s="57"/>
      <c r="H849" s="57"/>
    </row>
    <row r="850" ht="15.75" customHeight="1">
      <c r="F850" s="57"/>
      <c r="G850" s="57"/>
      <c r="H850" s="57"/>
    </row>
    <row r="851" ht="15.75" customHeight="1">
      <c r="F851" s="57"/>
      <c r="G851" s="57"/>
      <c r="H851" s="57"/>
    </row>
    <row r="852" ht="15.75" customHeight="1">
      <c r="F852" s="57"/>
      <c r="G852" s="57"/>
      <c r="H852" s="57"/>
    </row>
    <row r="853" ht="15.75" customHeight="1">
      <c r="F853" s="57"/>
      <c r="G853" s="57"/>
      <c r="H853" s="57"/>
    </row>
    <row r="854" ht="15.75" customHeight="1">
      <c r="F854" s="57"/>
      <c r="G854" s="57"/>
      <c r="H854" s="57"/>
    </row>
    <row r="855" ht="15.75" customHeight="1">
      <c r="F855" s="57"/>
      <c r="G855" s="57"/>
      <c r="H855" s="57"/>
    </row>
    <row r="856" ht="15.75" customHeight="1">
      <c r="F856" s="57"/>
      <c r="G856" s="57"/>
      <c r="H856" s="57"/>
    </row>
    <row r="857" ht="15.75" customHeight="1">
      <c r="F857" s="57"/>
      <c r="G857" s="57"/>
      <c r="H857" s="57"/>
    </row>
    <row r="858" ht="15.75" customHeight="1">
      <c r="F858" s="57"/>
      <c r="G858" s="57"/>
      <c r="H858" s="57"/>
    </row>
    <row r="859" ht="15.75" customHeight="1">
      <c r="F859" s="57"/>
      <c r="G859" s="57"/>
      <c r="H859" s="57"/>
    </row>
    <row r="860" ht="15.75" customHeight="1">
      <c r="F860" s="57"/>
      <c r="G860" s="57"/>
      <c r="H860" s="57"/>
    </row>
    <row r="861" ht="15.75" customHeight="1">
      <c r="F861" s="57"/>
      <c r="G861" s="57"/>
      <c r="H861" s="57"/>
    </row>
    <row r="862" ht="15.75" customHeight="1">
      <c r="F862" s="57"/>
      <c r="G862" s="57"/>
      <c r="H862" s="57"/>
    </row>
    <row r="863" ht="15.75" customHeight="1">
      <c r="F863" s="57"/>
      <c r="G863" s="57"/>
      <c r="H863" s="57"/>
    </row>
    <row r="864" ht="15.75" customHeight="1">
      <c r="F864" s="57"/>
      <c r="G864" s="57"/>
      <c r="H864" s="57"/>
    </row>
    <row r="865" ht="15.75" customHeight="1">
      <c r="F865" s="57"/>
      <c r="G865" s="57"/>
      <c r="H865" s="57"/>
    </row>
    <row r="866" ht="15.75" customHeight="1">
      <c r="F866" s="57"/>
      <c r="G866" s="57"/>
      <c r="H866" s="57"/>
    </row>
    <row r="867" ht="15.75" customHeight="1">
      <c r="F867" s="57"/>
      <c r="G867" s="57"/>
      <c r="H867" s="57"/>
    </row>
    <row r="868" ht="15.75" customHeight="1">
      <c r="F868" s="57"/>
      <c r="G868" s="57"/>
      <c r="H868" s="57"/>
    </row>
    <row r="869" ht="15.75" customHeight="1">
      <c r="F869" s="57"/>
      <c r="G869" s="57"/>
      <c r="H869" s="57"/>
    </row>
    <row r="870" ht="15.75" customHeight="1">
      <c r="F870" s="57"/>
      <c r="G870" s="57"/>
      <c r="H870" s="57"/>
    </row>
    <row r="871" ht="15.75" customHeight="1">
      <c r="F871" s="57"/>
      <c r="G871" s="57"/>
      <c r="H871" s="57"/>
    </row>
    <row r="872" ht="15.75" customHeight="1">
      <c r="F872" s="57"/>
      <c r="G872" s="57"/>
      <c r="H872" s="57"/>
    </row>
    <row r="873" ht="15.75" customHeight="1">
      <c r="F873" s="57"/>
      <c r="G873" s="57"/>
      <c r="H873" s="57"/>
    </row>
    <row r="874" ht="15.75" customHeight="1">
      <c r="F874" s="57"/>
      <c r="G874" s="57"/>
      <c r="H874" s="57"/>
    </row>
    <row r="875" ht="15.75" customHeight="1">
      <c r="F875" s="57"/>
      <c r="G875" s="57"/>
      <c r="H875" s="57"/>
    </row>
    <row r="876" ht="15.75" customHeight="1">
      <c r="F876" s="57"/>
      <c r="G876" s="57"/>
      <c r="H876" s="57"/>
    </row>
    <row r="877" ht="15.75" customHeight="1">
      <c r="F877" s="57"/>
      <c r="G877" s="57"/>
      <c r="H877" s="57"/>
    </row>
    <row r="878" ht="15.75" customHeight="1">
      <c r="F878" s="57"/>
      <c r="G878" s="57"/>
      <c r="H878" s="57"/>
    </row>
    <row r="879" ht="15.75" customHeight="1">
      <c r="F879" s="57"/>
      <c r="G879" s="57"/>
      <c r="H879" s="57"/>
    </row>
    <row r="880" ht="15.75" customHeight="1">
      <c r="F880" s="57"/>
      <c r="G880" s="57"/>
      <c r="H880" s="57"/>
    </row>
    <row r="881" ht="15.75" customHeight="1">
      <c r="F881" s="57"/>
      <c r="G881" s="57"/>
      <c r="H881" s="57"/>
    </row>
    <row r="882" ht="15.75" customHeight="1">
      <c r="F882" s="57"/>
      <c r="G882" s="57"/>
      <c r="H882" s="57"/>
    </row>
    <row r="883" ht="15.75" customHeight="1">
      <c r="F883" s="57"/>
      <c r="G883" s="57"/>
      <c r="H883" s="57"/>
    </row>
    <row r="884" ht="15.75" customHeight="1">
      <c r="F884" s="57"/>
      <c r="G884" s="57"/>
      <c r="H884" s="57"/>
    </row>
    <row r="885" ht="15.75" customHeight="1">
      <c r="F885" s="57"/>
      <c r="G885" s="57"/>
      <c r="H885" s="57"/>
    </row>
    <row r="886" ht="15.75" customHeight="1">
      <c r="F886" s="57"/>
      <c r="G886" s="57"/>
      <c r="H886" s="57"/>
    </row>
    <row r="887" ht="15.75" customHeight="1">
      <c r="F887" s="57"/>
      <c r="G887" s="57"/>
      <c r="H887" s="57"/>
    </row>
    <row r="888" ht="15.75" customHeight="1">
      <c r="F888" s="57"/>
      <c r="G888" s="57"/>
      <c r="H888" s="57"/>
    </row>
    <row r="889" ht="15.75" customHeight="1">
      <c r="F889" s="57"/>
      <c r="G889" s="57"/>
      <c r="H889" s="57"/>
    </row>
    <row r="890" ht="15.75" customHeight="1">
      <c r="F890" s="57"/>
      <c r="G890" s="57"/>
      <c r="H890" s="57"/>
    </row>
    <row r="891" ht="15.75" customHeight="1">
      <c r="F891" s="57"/>
      <c r="G891" s="57"/>
      <c r="H891" s="57"/>
    </row>
    <row r="892" ht="15.75" customHeight="1">
      <c r="F892" s="57"/>
      <c r="G892" s="57"/>
      <c r="H892" s="57"/>
    </row>
    <row r="893" ht="15.75" customHeight="1">
      <c r="F893" s="57"/>
      <c r="G893" s="57"/>
      <c r="H893" s="57"/>
    </row>
    <row r="894" ht="15.75" customHeight="1">
      <c r="F894" s="57"/>
      <c r="G894" s="57"/>
      <c r="H894" s="57"/>
    </row>
    <row r="895" ht="15.75" customHeight="1">
      <c r="F895" s="57"/>
      <c r="G895" s="57"/>
      <c r="H895" s="57"/>
    </row>
    <row r="896" ht="15.75" customHeight="1">
      <c r="F896" s="57"/>
      <c r="G896" s="57"/>
      <c r="H896" s="57"/>
    </row>
    <row r="897" ht="15.75" customHeight="1">
      <c r="F897" s="57"/>
      <c r="G897" s="57"/>
      <c r="H897" s="57"/>
    </row>
    <row r="898" ht="15.75" customHeight="1">
      <c r="F898" s="57"/>
      <c r="G898" s="57"/>
      <c r="H898" s="57"/>
    </row>
    <row r="899" ht="15.75" customHeight="1">
      <c r="F899" s="57"/>
      <c r="G899" s="57"/>
      <c r="H899" s="57"/>
    </row>
    <row r="900" ht="15.75" customHeight="1">
      <c r="F900" s="57"/>
      <c r="G900" s="57"/>
      <c r="H900" s="57"/>
    </row>
    <row r="901" ht="15.75" customHeight="1">
      <c r="F901" s="57"/>
      <c r="G901" s="57"/>
      <c r="H901" s="57"/>
    </row>
    <row r="902" ht="15.75" customHeight="1">
      <c r="F902" s="57"/>
      <c r="G902" s="57"/>
      <c r="H902" s="57"/>
    </row>
    <row r="903" ht="15.75" customHeight="1">
      <c r="F903" s="57"/>
      <c r="G903" s="57"/>
      <c r="H903" s="57"/>
    </row>
    <row r="904" ht="15.75" customHeight="1">
      <c r="F904" s="57"/>
      <c r="G904" s="57"/>
      <c r="H904" s="57"/>
    </row>
    <row r="905" ht="15.75" customHeight="1">
      <c r="F905" s="57"/>
      <c r="G905" s="57"/>
      <c r="H905" s="57"/>
    </row>
    <row r="906" ht="15.75" customHeight="1">
      <c r="F906" s="57"/>
      <c r="G906" s="57"/>
      <c r="H906" s="57"/>
    </row>
    <row r="907" ht="15.75" customHeight="1">
      <c r="F907" s="57"/>
      <c r="G907" s="57"/>
      <c r="H907" s="57"/>
    </row>
    <row r="908" ht="15.75" customHeight="1">
      <c r="F908" s="57"/>
      <c r="G908" s="57"/>
      <c r="H908" s="57"/>
    </row>
    <row r="909" ht="15.75" customHeight="1">
      <c r="F909" s="57"/>
      <c r="G909" s="57"/>
      <c r="H909" s="57"/>
    </row>
    <row r="910" ht="15.75" customHeight="1">
      <c r="F910" s="57"/>
      <c r="G910" s="57"/>
      <c r="H910" s="57"/>
    </row>
    <row r="911" ht="15.75" customHeight="1">
      <c r="F911" s="57"/>
      <c r="G911" s="57"/>
      <c r="H911" s="57"/>
    </row>
    <row r="912" ht="15.75" customHeight="1">
      <c r="F912" s="57"/>
      <c r="G912" s="57"/>
      <c r="H912" s="57"/>
    </row>
    <row r="913" ht="15.75" customHeight="1">
      <c r="F913" s="57"/>
      <c r="G913" s="57"/>
      <c r="H913" s="57"/>
    </row>
    <row r="914" ht="15.75" customHeight="1">
      <c r="F914" s="57"/>
      <c r="G914" s="57"/>
      <c r="H914" s="57"/>
    </row>
    <row r="915" ht="15.75" customHeight="1">
      <c r="F915" s="57"/>
      <c r="G915" s="57"/>
      <c r="H915" s="57"/>
    </row>
    <row r="916" ht="15.75" customHeight="1">
      <c r="F916" s="57"/>
      <c r="G916" s="57"/>
      <c r="H916" s="57"/>
    </row>
    <row r="917" ht="15.75" customHeight="1">
      <c r="F917" s="57"/>
      <c r="G917" s="57"/>
      <c r="H917" s="57"/>
    </row>
    <row r="918" ht="15.75" customHeight="1">
      <c r="F918" s="57"/>
      <c r="G918" s="57"/>
      <c r="H918" s="57"/>
    </row>
    <row r="919" ht="15.75" customHeight="1">
      <c r="F919" s="57"/>
      <c r="G919" s="57"/>
      <c r="H919" s="57"/>
    </row>
    <row r="920" ht="15.75" customHeight="1">
      <c r="F920" s="57"/>
      <c r="G920" s="57"/>
      <c r="H920" s="57"/>
    </row>
    <row r="921" ht="15.75" customHeight="1">
      <c r="F921" s="57"/>
      <c r="G921" s="57"/>
      <c r="H921" s="57"/>
    </row>
    <row r="922" ht="15.75" customHeight="1">
      <c r="F922" s="57"/>
      <c r="G922" s="57"/>
      <c r="H922" s="57"/>
    </row>
    <row r="923" ht="15.75" customHeight="1">
      <c r="F923" s="57"/>
      <c r="G923" s="57"/>
      <c r="H923" s="57"/>
    </row>
    <row r="924" ht="15.75" customHeight="1">
      <c r="F924" s="57"/>
      <c r="G924" s="57"/>
      <c r="H924" s="57"/>
    </row>
    <row r="925" ht="15.75" customHeight="1">
      <c r="F925" s="57"/>
      <c r="G925" s="57"/>
      <c r="H925" s="57"/>
    </row>
    <row r="926" ht="15.75" customHeight="1">
      <c r="F926" s="57"/>
      <c r="G926" s="57"/>
      <c r="H926" s="57"/>
    </row>
    <row r="927" ht="15.75" customHeight="1">
      <c r="F927" s="57"/>
      <c r="G927" s="57"/>
      <c r="H927" s="57"/>
    </row>
    <row r="928" ht="15.75" customHeight="1">
      <c r="F928" s="57"/>
      <c r="G928" s="57"/>
      <c r="H928" s="57"/>
    </row>
    <row r="929" ht="15.75" customHeight="1">
      <c r="F929" s="57"/>
      <c r="G929" s="57"/>
      <c r="H929" s="57"/>
    </row>
    <row r="930" ht="15.75" customHeight="1">
      <c r="F930" s="57"/>
      <c r="G930" s="57"/>
      <c r="H930" s="57"/>
    </row>
    <row r="931" ht="15.75" customHeight="1">
      <c r="F931" s="57"/>
      <c r="G931" s="57"/>
      <c r="H931" s="57"/>
    </row>
    <row r="932" ht="15.75" customHeight="1">
      <c r="F932" s="57"/>
      <c r="G932" s="57"/>
      <c r="H932" s="57"/>
    </row>
    <row r="933" ht="15.75" customHeight="1">
      <c r="F933" s="57"/>
      <c r="G933" s="57"/>
      <c r="H933" s="57"/>
    </row>
    <row r="934" ht="15.75" customHeight="1">
      <c r="F934" s="57"/>
      <c r="G934" s="57"/>
      <c r="H934" s="57"/>
    </row>
    <row r="935" ht="15.75" customHeight="1">
      <c r="F935" s="57"/>
      <c r="G935" s="57"/>
      <c r="H935" s="57"/>
    </row>
    <row r="936" ht="15.75" customHeight="1">
      <c r="F936" s="57"/>
      <c r="G936" s="57"/>
      <c r="H936" s="57"/>
    </row>
    <row r="937" ht="15.75" customHeight="1">
      <c r="F937" s="57"/>
      <c r="G937" s="57"/>
      <c r="H937" s="57"/>
    </row>
    <row r="938" ht="15.75" customHeight="1">
      <c r="F938" s="57"/>
      <c r="G938" s="57"/>
      <c r="H938" s="57"/>
    </row>
    <row r="939" ht="15.75" customHeight="1">
      <c r="F939" s="57"/>
      <c r="G939" s="57"/>
      <c r="H939" s="57"/>
    </row>
    <row r="940" ht="15.75" customHeight="1">
      <c r="F940" s="57"/>
      <c r="G940" s="57"/>
      <c r="H940" s="57"/>
    </row>
    <row r="941" ht="15.75" customHeight="1">
      <c r="F941" s="57"/>
      <c r="G941" s="57"/>
      <c r="H941" s="57"/>
    </row>
    <row r="942" ht="15.75" customHeight="1">
      <c r="F942" s="57"/>
      <c r="G942" s="57"/>
      <c r="H942" s="57"/>
    </row>
    <row r="943" ht="15.75" customHeight="1">
      <c r="F943" s="57"/>
      <c r="G943" s="57"/>
      <c r="H943" s="57"/>
    </row>
    <row r="944" ht="15.75" customHeight="1">
      <c r="F944" s="57"/>
      <c r="G944" s="57"/>
      <c r="H944" s="57"/>
    </row>
    <row r="945" ht="15.75" customHeight="1">
      <c r="F945" s="57"/>
      <c r="G945" s="57"/>
      <c r="H945" s="57"/>
    </row>
    <row r="946" ht="15.75" customHeight="1">
      <c r="F946" s="57"/>
      <c r="G946" s="57"/>
      <c r="H946" s="57"/>
    </row>
    <row r="947" ht="15.75" customHeight="1">
      <c r="F947" s="57"/>
      <c r="G947" s="57"/>
      <c r="H947" s="57"/>
    </row>
    <row r="948" ht="15.75" customHeight="1">
      <c r="F948" s="57"/>
      <c r="G948" s="57"/>
      <c r="H948" s="57"/>
    </row>
    <row r="949" ht="15.75" customHeight="1">
      <c r="F949" s="57"/>
      <c r="G949" s="57"/>
      <c r="H949" s="57"/>
    </row>
    <row r="950" ht="15.75" customHeight="1">
      <c r="F950" s="57"/>
      <c r="G950" s="57"/>
      <c r="H950" s="57"/>
    </row>
    <row r="951" ht="15.75" customHeight="1">
      <c r="F951" s="57"/>
      <c r="G951" s="57"/>
      <c r="H951" s="57"/>
    </row>
    <row r="952" ht="15.75" customHeight="1">
      <c r="F952" s="57"/>
      <c r="G952" s="57"/>
      <c r="H952" s="57"/>
    </row>
    <row r="953" ht="15.75" customHeight="1">
      <c r="F953" s="57"/>
      <c r="G953" s="57"/>
      <c r="H953" s="57"/>
    </row>
    <row r="954" ht="15.75" customHeight="1">
      <c r="F954" s="57"/>
      <c r="G954" s="57"/>
      <c r="H954" s="57"/>
    </row>
    <row r="955" ht="15.75" customHeight="1">
      <c r="F955" s="57"/>
      <c r="G955" s="57"/>
      <c r="H955" s="57"/>
    </row>
    <row r="956" ht="15.75" customHeight="1">
      <c r="F956" s="57"/>
      <c r="G956" s="57"/>
      <c r="H956" s="57"/>
    </row>
    <row r="957" ht="15.75" customHeight="1">
      <c r="F957" s="57"/>
      <c r="G957" s="57"/>
      <c r="H957" s="57"/>
    </row>
    <row r="958" ht="15.75" customHeight="1">
      <c r="F958" s="57"/>
      <c r="G958" s="57"/>
      <c r="H958" s="57"/>
    </row>
    <row r="959" ht="15.75" customHeight="1">
      <c r="F959" s="57"/>
      <c r="G959" s="57"/>
      <c r="H959" s="57"/>
    </row>
    <row r="960" ht="15.75" customHeight="1">
      <c r="F960" s="57"/>
      <c r="G960" s="57"/>
      <c r="H960" s="57"/>
    </row>
    <row r="961" ht="15.75" customHeight="1">
      <c r="F961" s="57"/>
      <c r="G961" s="57"/>
      <c r="H961" s="57"/>
    </row>
    <row r="962" ht="15.75" customHeight="1">
      <c r="F962" s="57"/>
      <c r="G962" s="57"/>
      <c r="H962" s="57"/>
    </row>
    <row r="963" ht="15.75" customHeight="1">
      <c r="F963" s="57"/>
      <c r="G963" s="57"/>
      <c r="H963" s="57"/>
    </row>
    <row r="964" ht="15.75" customHeight="1">
      <c r="F964" s="57"/>
      <c r="G964" s="57"/>
      <c r="H964" s="57"/>
    </row>
    <row r="965" ht="15.75" customHeight="1">
      <c r="F965" s="57"/>
      <c r="G965" s="57"/>
      <c r="H965" s="57"/>
    </row>
    <row r="966" ht="15.75" customHeight="1">
      <c r="F966" s="57"/>
      <c r="G966" s="57"/>
      <c r="H966" s="57"/>
    </row>
    <row r="967" ht="15.75" customHeight="1">
      <c r="F967" s="57"/>
      <c r="G967" s="57"/>
      <c r="H967" s="57"/>
    </row>
    <row r="968" ht="15.75" customHeight="1">
      <c r="F968" s="57"/>
      <c r="G968" s="57"/>
      <c r="H968" s="57"/>
    </row>
    <row r="969" ht="15.75" customHeight="1">
      <c r="F969" s="57"/>
      <c r="G969" s="57"/>
      <c r="H969" s="57"/>
    </row>
    <row r="970" ht="15.75" customHeight="1">
      <c r="F970" s="57"/>
      <c r="G970" s="57"/>
      <c r="H970" s="57"/>
    </row>
    <row r="971" ht="15.75" customHeight="1">
      <c r="F971" s="57"/>
      <c r="G971" s="57"/>
      <c r="H971" s="57"/>
    </row>
    <row r="972" ht="15.75" customHeight="1">
      <c r="F972" s="57"/>
      <c r="G972" s="57"/>
      <c r="H972" s="57"/>
    </row>
    <row r="973" ht="15.75" customHeight="1">
      <c r="F973" s="57"/>
      <c r="G973" s="57"/>
      <c r="H973" s="57"/>
    </row>
    <row r="974" ht="15.75" customHeight="1">
      <c r="F974" s="57"/>
      <c r="G974" s="57"/>
      <c r="H974" s="57"/>
    </row>
    <row r="975" ht="15.75" customHeight="1">
      <c r="F975" s="57"/>
      <c r="G975" s="57"/>
      <c r="H975" s="57"/>
    </row>
    <row r="976" ht="15.75" customHeight="1">
      <c r="F976" s="57"/>
      <c r="G976" s="57"/>
      <c r="H976" s="57"/>
    </row>
    <row r="977" ht="15.75" customHeight="1">
      <c r="F977" s="57"/>
      <c r="G977" s="57"/>
      <c r="H977" s="57"/>
    </row>
    <row r="978" ht="15.75" customHeight="1">
      <c r="F978" s="57"/>
      <c r="G978" s="57"/>
      <c r="H978" s="57"/>
    </row>
    <row r="979" ht="15.75" customHeight="1">
      <c r="F979" s="57"/>
      <c r="G979" s="57"/>
      <c r="H979" s="57"/>
    </row>
    <row r="980" ht="15.75" customHeight="1">
      <c r="F980" s="57"/>
      <c r="G980" s="57"/>
      <c r="H980" s="57"/>
    </row>
    <row r="981" ht="15.75" customHeight="1">
      <c r="F981" s="57"/>
      <c r="G981" s="57"/>
      <c r="H981" s="57"/>
    </row>
    <row r="982" ht="15.75" customHeight="1">
      <c r="F982" s="57"/>
      <c r="G982" s="57"/>
      <c r="H982" s="57"/>
    </row>
    <row r="983" ht="15.75" customHeight="1">
      <c r="F983" s="57"/>
      <c r="G983" s="57"/>
      <c r="H983" s="57"/>
    </row>
    <row r="984" ht="15.75" customHeight="1">
      <c r="F984" s="57"/>
      <c r="G984" s="57"/>
      <c r="H984" s="57"/>
    </row>
    <row r="985" ht="15.75" customHeight="1">
      <c r="F985" s="57"/>
      <c r="G985" s="57"/>
      <c r="H985" s="57"/>
    </row>
    <row r="986" ht="15.75" customHeight="1">
      <c r="F986" s="57"/>
      <c r="G986" s="57"/>
      <c r="H986" s="57"/>
    </row>
    <row r="987" ht="15.75" customHeight="1">
      <c r="F987" s="57"/>
      <c r="G987" s="57"/>
      <c r="H987" s="57"/>
    </row>
    <row r="988" ht="15.75" customHeight="1">
      <c r="F988" s="57"/>
      <c r="G988" s="57"/>
      <c r="H988" s="57"/>
    </row>
    <row r="989" ht="15.75" customHeight="1">
      <c r="F989" s="57"/>
      <c r="G989" s="57"/>
      <c r="H989" s="57"/>
    </row>
    <row r="990" ht="15.75" customHeight="1">
      <c r="F990" s="57"/>
      <c r="G990" s="57"/>
      <c r="H990" s="57"/>
    </row>
    <row r="991" ht="15.75" customHeight="1">
      <c r="F991" s="57"/>
      <c r="G991" s="57"/>
      <c r="H991" s="57"/>
    </row>
    <row r="992" ht="15.75" customHeight="1">
      <c r="F992" s="57"/>
      <c r="G992" s="57"/>
      <c r="H992" s="57"/>
    </row>
    <row r="993" ht="15.75" customHeight="1">
      <c r="F993" s="57"/>
      <c r="G993" s="57"/>
      <c r="H993" s="57"/>
    </row>
    <row r="994" ht="15.75" customHeight="1">
      <c r="F994" s="57"/>
      <c r="G994" s="57"/>
      <c r="H994" s="57"/>
    </row>
    <row r="995" ht="15.75" customHeight="1">
      <c r="F995" s="57"/>
      <c r="G995" s="57"/>
      <c r="H995" s="57"/>
    </row>
    <row r="996" ht="15.75" customHeight="1">
      <c r="F996" s="57"/>
      <c r="G996" s="57"/>
      <c r="H996" s="57"/>
    </row>
    <row r="997" ht="15.75" customHeight="1">
      <c r="F997" s="57"/>
      <c r="G997" s="57"/>
      <c r="H997" s="57"/>
    </row>
    <row r="998" ht="15.75" customHeight="1">
      <c r="F998" s="57"/>
      <c r="G998" s="57"/>
      <c r="H998" s="57"/>
    </row>
    <row r="999" ht="15.75" customHeight="1">
      <c r="F999" s="57"/>
      <c r="G999" s="57"/>
      <c r="H999" s="57"/>
    </row>
    <row r="1000" ht="15.75" customHeight="1">
      <c r="F1000" s="57"/>
      <c r="G1000" s="57"/>
      <c r="H1000" s="57"/>
    </row>
  </sheetData>
  <autoFilter ref="$A$1:$H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</row>
    <row r="2">
      <c r="F2" s="57"/>
      <c r="G2" s="57"/>
      <c r="H2" s="57"/>
    </row>
    <row r="3">
      <c r="F3" s="57"/>
      <c r="G3" s="57"/>
      <c r="H3" s="57"/>
    </row>
    <row r="4">
      <c r="F4" s="57"/>
      <c r="G4" s="57"/>
      <c r="H4" s="57"/>
    </row>
    <row r="5">
      <c r="F5" s="57"/>
      <c r="G5" s="57"/>
      <c r="H5" s="57"/>
    </row>
    <row r="6">
      <c r="F6" s="57"/>
      <c r="G6" s="57"/>
      <c r="H6" s="57"/>
    </row>
    <row r="7">
      <c r="F7" s="57"/>
      <c r="G7" s="57"/>
      <c r="H7" s="57"/>
    </row>
    <row r="8">
      <c r="F8" s="57"/>
      <c r="G8" s="57"/>
      <c r="H8" s="57"/>
    </row>
    <row r="9">
      <c r="F9" s="57"/>
      <c r="G9" s="57"/>
      <c r="H9" s="57"/>
    </row>
    <row r="10">
      <c r="F10" s="57"/>
      <c r="G10" s="57"/>
      <c r="H10" s="57"/>
    </row>
    <row r="11">
      <c r="F11" s="57"/>
      <c r="G11" s="57"/>
      <c r="H11" s="57"/>
    </row>
    <row r="12">
      <c r="F12" s="57"/>
      <c r="G12" s="57"/>
      <c r="H12" s="57"/>
    </row>
    <row r="13">
      <c r="F13" s="57"/>
      <c r="G13" s="57"/>
      <c r="H13" s="57"/>
    </row>
    <row r="14">
      <c r="F14" s="57"/>
      <c r="G14" s="57"/>
      <c r="H14" s="57"/>
    </row>
    <row r="15">
      <c r="F15" s="57"/>
      <c r="G15" s="57"/>
      <c r="H15" s="57"/>
    </row>
    <row r="16">
      <c r="F16" s="57"/>
      <c r="G16" s="57"/>
      <c r="H16" s="57"/>
    </row>
    <row r="17">
      <c r="F17" s="57"/>
      <c r="G17" s="57"/>
      <c r="H17" s="57"/>
    </row>
    <row r="18">
      <c r="F18" s="57"/>
      <c r="G18" s="57"/>
      <c r="H18" s="57"/>
    </row>
    <row r="19">
      <c r="F19" s="57"/>
      <c r="G19" s="57"/>
      <c r="H19" s="57"/>
    </row>
    <row r="20">
      <c r="F20" s="57"/>
      <c r="G20" s="57"/>
      <c r="H20" s="57"/>
    </row>
    <row r="21" ht="15.75" customHeight="1">
      <c r="F21" s="57"/>
      <c r="G21" s="57"/>
      <c r="H21" s="57"/>
    </row>
    <row r="22" ht="15.75" customHeight="1">
      <c r="F22" s="57"/>
      <c r="G22" s="57"/>
      <c r="H22" s="57"/>
    </row>
    <row r="23" ht="15.75" customHeight="1">
      <c r="F23" s="57"/>
      <c r="G23" s="57"/>
      <c r="H23" s="57"/>
    </row>
    <row r="24" ht="15.75" customHeight="1">
      <c r="F24" s="57"/>
      <c r="G24" s="57"/>
      <c r="H24" s="57"/>
    </row>
    <row r="25" ht="15.75" customHeight="1">
      <c r="F25" s="57"/>
      <c r="G25" s="57"/>
      <c r="H25" s="57"/>
    </row>
    <row r="26" ht="15.75" customHeight="1">
      <c r="F26" s="57"/>
      <c r="G26" s="57"/>
      <c r="H26" s="57"/>
    </row>
    <row r="27" ht="15.75" customHeight="1">
      <c r="F27" s="57"/>
      <c r="G27" s="57"/>
      <c r="H27" s="57"/>
    </row>
    <row r="28" ht="15.75" customHeight="1">
      <c r="F28" s="57"/>
      <c r="G28" s="57"/>
      <c r="H28" s="57"/>
    </row>
    <row r="29" ht="15.75" customHeight="1">
      <c r="F29" s="57"/>
      <c r="G29" s="57"/>
      <c r="H29" s="57"/>
    </row>
    <row r="30" ht="15.75" customHeight="1">
      <c r="F30" s="57"/>
      <c r="G30" s="57"/>
      <c r="H30" s="57"/>
    </row>
    <row r="31" ht="15.75" customHeight="1">
      <c r="F31" s="57"/>
      <c r="G31" s="57"/>
      <c r="H31" s="57"/>
    </row>
    <row r="32" ht="15.75" customHeight="1">
      <c r="F32" s="57"/>
      <c r="G32" s="57"/>
      <c r="H32" s="57"/>
    </row>
    <row r="33" ht="15.75" customHeight="1">
      <c r="F33" s="57"/>
      <c r="G33" s="57"/>
      <c r="H33" s="57"/>
    </row>
    <row r="34" ht="15.75" customHeight="1">
      <c r="F34" s="57"/>
      <c r="G34" s="57"/>
      <c r="H34" s="57"/>
    </row>
    <row r="35" ht="15.75" customHeight="1">
      <c r="F35" s="57"/>
      <c r="G35" s="57"/>
      <c r="H35" s="57"/>
    </row>
    <row r="36" ht="15.75" customHeight="1">
      <c r="F36" s="57"/>
      <c r="G36" s="57"/>
      <c r="H36" s="57"/>
    </row>
    <row r="37" ht="15.75" customHeight="1">
      <c r="F37" s="57"/>
      <c r="G37" s="57"/>
      <c r="H37" s="57"/>
    </row>
    <row r="38" ht="15.75" customHeight="1">
      <c r="F38" s="57"/>
      <c r="G38" s="57"/>
      <c r="H38" s="57"/>
    </row>
    <row r="39" ht="15.75" customHeight="1">
      <c r="F39" s="57"/>
      <c r="G39" s="57"/>
      <c r="H39" s="57"/>
    </row>
    <row r="40" ht="15.75" customHeight="1">
      <c r="F40" s="57"/>
      <c r="G40" s="57"/>
      <c r="H40" s="57"/>
    </row>
    <row r="41" ht="15.75" customHeight="1">
      <c r="F41" s="57"/>
      <c r="G41" s="57"/>
      <c r="H41" s="57"/>
    </row>
    <row r="42" ht="15.75" customHeight="1">
      <c r="F42" s="57"/>
      <c r="G42" s="57"/>
      <c r="H42" s="57"/>
    </row>
    <row r="43" ht="15.75" customHeight="1">
      <c r="F43" s="57"/>
      <c r="G43" s="57"/>
      <c r="H43" s="57"/>
    </row>
    <row r="44" ht="15.75" customHeight="1">
      <c r="F44" s="57"/>
      <c r="G44" s="57"/>
      <c r="H44" s="57"/>
    </row>
    <row r="45" ht="15.75" customHeight="1">
      <c r="F45" s="57"/>
      <c r="G45" s="57"/>
      <c r="H45" s="57"/>
    </row>
    <row r="46" ht="15.75" customHeight="1">
      <c r="F46" s="57"/>
      <c r="G46" s="57"/>
      <c r="H46" s="57"/>
    </row>
    <row r="47" ht="15.75" customHeight="1">
      <c r="F47" s="57"/>
      <c r="G47" s="57"/>
      <c r="H47" s="57"/>
    </row>
    <row r="48" ht="15.75" customHeight="1">
      <c r="F48" s="57"/>
      <c r="G48" s="57"/>
      <c r="H48" s="57"/>
    </row>
    <row r="49" ht="15.75" customHeight="1">
      <c r="F49" s="57"/>
      <c r="G49" s="57"/>
      <c r="H49" s="57"/>
    </row>
    <row r="50" ht="15.75" customHeight="1">
      <c r="F50" s="57"/>
      <c r="G50" s="57"/>
      <c r="H50" s="57"/>
    </row>
    <row r="51" ht="15.75" customHeight="1">
      <c r="F51" s="57"/>
      <c r="G51" s="57"/>
      <c r="H51" s="57"/>
    </row>
    <row r="52" ht="15.75" customHeight="1">
      <c r="F52" s="57"/>
      <c r="G52" s="57"/>
      <c r="H52" s="57"/>
    </row>
    <row r="53" ht="15.75" customHeight="1">
      <c r="F53" s="57"/>
      <c r="G53" s="57"/>
      <c r="H53" s="57"/>
    </row>
    <row r="54" ht="15.75" customHeight="1">
      <c r="F54" s="57"/>
      <c r="G54" s="57"/>
      <c r="H54" s="57"/>
    </row>
    <row r="55" ht="15.75" customHeight="1">
      <c r="F55" s="57"/>
      <c r="G55" s="57"/>
      <c r="H55" s="57"/>
    </row>
    <row r="56" ht="15.75" customHeight="1">
      <c r="F56" s="57"/>
      <c r="G56" s="57"/>
      <c r="H56" s="57"/>
    </row>
    <row r="57" ht="15.75" customHeight="1">
      <c r="F57" s="57"/>
      <c r="G57" s="57"/>
      <c r="H57" s="57"/>
    </row>
    <row r="58" ht="15.75" customHeight="1">
      <c r="F58" s="57"/>
      <c r="G58" s="57"/>
      <c r="H58" s="57"/>
    </row>
    <row r="59" ht="15.75" customHeight="1">
      <c r="F59" s="57"/>
      <c r="G59" s="57"/>
      <c r="H59" s="57"/>
    </row>
    <row r="60" ht="15.75" customHeight="1">
      <c r="F60" s="57"/>
      <c r="G60" s="57"/>
      <c r="H60" s="57"/>
    </row>
    <row r="61" ht="15.75" customHeight="1">
      <c r="F61" s="57"/>
      <c r="G61" s="57"/>
      <c r="H61" s="57"/>
    </row>
    <row r="62" ht="15.75" customHeight="1">
      <c r="F62" s="57"/>
      <c r="G62" s="57"/>
      <c r="H62" s="57"/>
    </row>
    <row r="63" ht="15.75" customHeight="1">
      <c r="F63" s="57"/>
      <c r="G63" s="57"/>
      <c r="H63" s="57"/>
    </row>
    <row r="64" ht="15.75" customHeight="1">
      <c r="F64" s="57"/>
      <c r="G64" s="57"/>
      <c r="H64" s="57"/>
    </row>
    <row r="65" ht="15.75" customHeight="1">
      <c r="F65" s="57"/>
      <c r="G65" s="57"/>
      <c r="H65" s="57"/>
    </row>
    <row r="66" ht="15.75" customHeight="1">
      <c r="F66" s="57"/>
      <c r="G66" s="57"/>
      <c r="H66" s="57"/>
    </row>
    <row r="67" ht="15.75" customHeight="1">
      <c r="F67" s="57"/>
      <c r="G67" s="57"/>
      <c r="H67" s="57"/>
    </row>
    <row r="68" ht="15.75" customHeight="1">
      <c r="F68" s="57"/>
      <c r="G68" s="57"/>
      <c r="H68" s="57"/>
    </row>
    <row r="69" ht="15.75" customHeight="1">
      <c r="F69" s="57"/>
      <c r="G69" s="57"/>
      <c r="H69" s="57"/>
    </row>
    <row r="70" ht="15.75" customHeight="1">
      <c r="F70" s="57"/>
      <c r="G70" s="57"/>
      <c r="H70" s="57"/>
    </row>
    <row r="71" ht="15.75" customHeight="1">
      <c r="F71" s="57"/>
      <c r="G71" s="57"/>
      <c r="H71" s="57"/>
    </row>
    <row r="72" ht="15.75" customHeight="1">
      <c r="F72" s="57"/>
      <c r="G72" s="57"/>
      <c r="H72" s="57"/>
    </row>
    <row r="73" ht="15.75" customHeight="1">
      <c r="F73" s="57"/>
      <c r="G73" s="57"/>
      <c r="H73" s="57"/>
    </row>
    <row r="74" ht="15.75" customHeight="1">
      <c r="F74" s="57"/>
      <c r="G74" s="57"/>
      <c r="H74" s="57"/>
    </row>
    <row r="75" ht="15.75" customHeight="1">
      <c r="F75" s="57"/>
      <c r="G75" s="57"/>
      <c r="H75" s="57"/>
    </row>
    <row r="76" ht="15.75" customHeight="1">
      <c r="F76" s="57"/>
      <c r="G76" s="57"/>
      <c r="H76" s="57"/>
    </row>
    <row r="77" ht="15.75" customHeight="1">
      <c r="F77" s="57"/>
      <c r="G77" s="57"/>
      <c r="H77" s="57"/>
    </row>
    <row r="78" ht="15.75" customHeight="1">
      <c r="F78" s="57"/>
      <c r="G78" s="57"/>
      <c r="H78" s="57"/>
    </row>
    <row r="79" ht="15.75" customHeight="1">
      <c r="F79" s="57"/>
      <c r="G79" s="57"/>
      <c r="H79" s="57"/>
    </row>
    <row r="80" ht="15.75" customHeight="1">
      <c r="F80" s="57"/>
      <c r="G80" s="57"/>
      <c r="H80" s="57"/>
    </row>
    <row r="81" ht="15.75" customHeight="1">
      <c r="F81" s="57"/>
      <c r="G81" s="57"/>
      <c r="H81" s="57"/>
    </row>
    <row r="82" ht="15.75" customHeight="1">
      <c r="F82" s="57"/>
      <c r="G82" s="57"/>
      <c r="H82" s="57"/>
    </row>
    <row r="83" ht="15.75" customHeight="1">
      <c r="F83" s="57"/>
      <c r="G83" s="57"/>
      <c r="H83" s="57"/>
    </row>
    <row r="84" ht="15.75" customHeight="1">
      <c r="F84" s="57"/>
      <c r="G84" s="57"/>
      <c r="H84" s="57"/>
    </row>
    <row r="85" ht="15.75" customHeight="1">
      <c r="F85" s="57"/>
      <c r="G85" s="57"/>
      <c r="H85" s="57"/>
    </row>
    <row r="86" ht="15.75" customHeight="1">
      <c r="F86" s="57"/>
      <c r="G86" s="57"/>
      <c r="H86" s="57"/>
    </row>
    <row r="87" ht="15.75" customHeight="1">
      <c r="F87" s="57"/>
      <c r="G87" s="57"/>
      <c r="H87" s="57"/>
    </row>
    <row r="88" ht="15.75" customHeight="1">
      <c r="F88" s="57"/>
      <c r="G88" s="57"/>
      <c r="H88" s="57"/>
    </row>
    <row r="89" ht="15.75" customHeight="1">
      <c r="F89" s="57"/>
      <c r="G89" s="57"/>
      <c r="H89" s="57"/>
    </row>
    <row r="90" ht="15.75" customHeight="1">
      <c r="F90" s="57"/>
      <c r="G90" s="57"/>
      <c r="H90" s="57"/>
    </row>
    <row r="91" ht="15.75" customHeight="1">
      <c r="F91" s="57"/>
      <c r="G91" s="57"/>
      <c r="H91" s="57"/>
    </row>
    <row r="92" ht="15.75" customHeight="1">
      <c r="F92" s="57"/>
      <c r="G92" s="57"/>
      <c r="H92" s="57"/>
    </row>
    <row r="93" ht="15.75" customHeight="1">
      <c r="F93" s="57"/>
      <c r="G93" s="57"/>
      <c r="H93" s="57"/>
    </row>
    <row r="94" ht="15.75" customHeight="1">
      <c r="F94" s="57"/>
      <c r="G94" s="57"/>
      <c r="H94" s="57"/>
    </row>
    <row r="95" ht="15.75" customHeight="1">
      <c r="F95" s="57"/>
      <c r="G95" s="57"/>
      <c r="H95" s="57"/>
    </row>
    <row r="96" ht="15.75" customHeight="1">
      <c r="F96" s="57"/>
      <c r="G96" s="57"/>
      <c r="H96" s="57"/>
    </row>
    <row r="97" ht="15.75" customHeight="1">
      <c r="F97" s="57"/>
      <c r="G97" s="57"/>
      <c r="H97" s="57"/>
    </row>
    <row r="98" ht="15.75" customHeight="1">
      <c r="F98" s="57"/>
      <c r="G98" s="57"/>
      <c r="H98" s="57"/>
    </row>
    <row r="99" ht="15.75" customHeight="1">
      <c r="F99" s="57"/>
      <c r="G99" s="57"/>
      <c r="H99" s="57"/>
    </row>
    <row r="100" ht="15.75" customHeight="1">
      <c r="F100" s="57"/>
      <c r="G100" s="57"/>
      <c r="H100" s="57"/>
    </row>
    <row r="101" ht="15.75" customHeight="1">
      <c r="F101" s="57"/>
      <c r="G101" s="57"/>
      <c r="H101" s="57"/>
    </row>
    <row r="102" ht="15.75" customHeight="1">
      <c r="F102" s="57"/>
      <c r="G102" s="57"/>
      <c r="H102" s="57"/>
    </row>
    <row r="103" ht="15.75" customHeight="1">
      <c r="F103" s="57"/>
      <c r="G103" s="57"/>
      <c r="H103" s="57"/>
    </row>
    <row r="104" ht="15.75" customHeight="1">
      <c r="F104" s="57"/>
      <c r="G104" s="57"/>
      <c r="H104" s="57"/>
    </row>
    <row r="105" ht="15.75" customHeight="1">
      <c r="F105" s="57"/>
      <c r="G105" s="57"/>
      <c r="H105" s="57"/>
    </row>
    <row r="106" ht="15.75" customHeight="1">
      <c r="F106" s="57"/>
      <c r="G106" s="57"/>
      <c r="H106" s="57"/>
    </row>
    <row r="107" ht="15.75" customHeight="1">
      <c r="F107" s="57"/>
      <c r="G107" s="57"/>
      <c r="H107" s="57"/>
    </row>
    <row r="108" ht="15.75" customHeight="1">
      <c r="F108" s="57"/>
      <c r="G108" s="57"/>
      <c r="H108" s="57"/>
    </row>
    <row r="109" ht="15.75" customHeight="1">
      <c r="F109" s="57"/>
      <c r="G109" s="57"/>
      <c r="H109" s="57"/>
    </row>
    <row r="110" ht="15.75" customHeight="1">
      <c r="F110" s="57"/>
      <c r="G110" s="57"/>
      <c r="H110" s="57"/>
    </row>
    <row r="111" ht="15.75" customHeight="1">
      <c r="F111" s="57"/>
      <c r="G111" s="57"/>
      <c r="H111" s="57"/>
    </row>
    <row r="112" ht="15.75" customHeight="1">
      <c r="F112" s="57"/>
      <c r="G112" s="57"/>
      <c r="H112" s="57"/>
    </row>
    <row r="113" ht="15.75" customHeight="1">
      <c r="F113" s="57"/>
      <c r="G113" s="57"/>
      <c r="H113" s="57"/>
    </row>
    <row r="114" ht="15.75" customHeight="1">
      <c r="F114" s="57"/>
      <c r="G114" s="57"/>
      <c r="H114" s="57"/>
    </row>
    <row r="115" ht="15.75" customHeight="1">
      <c r="F115" s="57"/>
      <c r="G115" s="57"/>
      <c r="H115" s="57"/>
    </row>
    <row r="116" ht="15.75" customHeight="1">
      <c r="F116" s="57"/>
      <c r="G116" s="57"/>
      <c r="H116" s="57"/>
    </row>
    <row r="117" ht="15.75" customHeight="1">
      <c r="F117" s="57"/>
      <c r="G117" s="57"/>
      <c r="H117" s="57"/>
    </row>
    <row r="118" ht="15.75" customHeight="1">
      <c r="F118" s="57"/>
      <c r="G118" s="57"/>
      <c r="H118" s="57"/>
    </row>
    <row r="119" ht="15.75" customHeight="1">
      <c r="F119" s="57"/>
      <c r="G119" s="57"/>
      <c r="H119" s="57"/>
    </row>
    <row r="120" ht="15.75" customHeight="1">
      <c r="F120" s="57"/>
      <c r="G120" s="57"/>
      <c r="H120" s="57"/>
    </row>
    <row r="121" ht="15.75" customHeight="1">
      <c r="F121" s="57"/>
      <c r="G121" s="57"/>
      <c r="H121" s="57"/>
    </row>
    <row r="122" ht="15.75" customHeight="1">
      <c r="F122" s="57"/>
      <c r="G122" s="57"/>
      <c r="H122" s="57"/>
    </row>
    <row r="123" ht="15.75" customHeight="1">
      <c r="F123" s="57"/>
      <c r="G123" s="57"/>
      <c r="H123" s="57"/>
    </row>
    <row r="124" ht="15.75" customHeight="1">
      <c r="F124" s="57"/>
      <c r="G124" s="57"/>
      <c r="H124" s="57"/>
    </row>
    <row r="125" ht="15.75" customHeight="1">
      <c r="F125" s="57"/>
      <c r="G125" s="57"/>
      <c r="H125" s="57"/>
    </row>
    <row r="126" ht="15.75" customHeight="1">
      <c r="F126" s="57"/>
      <c r="G126" s="57"/>
      <c r="H126" s="57"/>
    </row>
    <row r="127" ht="15.75" customHeight="1">
      <c r="F127" s="57"/>
      <c r="G127" s="57"/>
      <c r="H127" s="57"/>
    </row>
    <row r="128" ht="15.75" customHeight="1">
      <c r="F128" s="57"/>
      <c r="G128" s="57"/>
      <c r="H128" s="57"/>
    </row>
    <row r="129" ht="15.75" customHeight="1">
      <c r="F129" s="57"/>
      <c r="G129" s="57"/>
      <c r="H129" s="57"/>
    </row>
    <row r="130" ht="15.75" customHeight="1">
      <c r="F130" s="57"/>
      <c r="G130" s="57"/>
      <c r="H130" s="57"/>
    </row>
    <row r="131" ht="15.75" customHeight="1">
      <c r="F131" s="57"/>
      <c r="G131" s="57"/>
      <c r="H131" s="57"/>
    </row>
    <row r="132" ht="15.75" customHeight="1">
      <c r="F132" s="57"/>
      <c r="G132" s="57"/>
      <c r="H132" s="57"/>
    </row>
    <row r="133" ht="15.75" customHeight="1">
      <c r="F133" s="57"/>
      <c r="G133" s="57"/>
      <c r="H133" s="57"/>
    </row>
    <row r="134" ht="15.75" customHeight="1">
      <c r="F134" s="57"/>
      <c r="G134" s="57"/>
      <c r="H134" s="57"/>
    </row>
    <row r="135" ht="15.75" customHeight="1">
      <c r="F135" s="57"/>
      <c r="G135" s="57"/>
      <c r="H135" s="57"/>
    </row>
    <row r="136" ht="15.75" customHeight="1">
      <c r="F136" s="57"/>
      <c r="G136" s="57"/>
      <c r="H136" s="57"/>
    </row>
    <row r="137" ht="15.75" customHeight="1">
      <c r="F137" s="57"/>
      <c r="G137" s="57"/>
      <c r="H137" s="57"/>
    </row>
    <row r="138" ht="15.75" customHeight="1">
      <c r="F138" s="57"/>
      <c r="G138" s="57"/>
      <c r="H138" s="57"/>
    </row>
    <row r="139" ht="15.75" customHeight="1">
      <c r="F139" s="57"/>
      <c r="G139" s="57"/>
      <c r="H139" s="57"/>
    </row>
    <row r="140" ht="15.75" customHeight="1">
      <c r="F140" s="57"/>
      <c r="G140" s="57"/>
      <c r="H140" s="57"/>
    </row>
    <row r="141" ht="15.75" customHeight="1">
      <c r="F141" s="57"/>
      <c r="G141" s="57"/>
      <c r="H141" s="57"/>
    </row>
    <row r="142" ht="15.75" customHeight="1">
      <c r="F142" s="57"/>
      <c r="G142" s="57"/>
      <c r="H142" s="57"/>
    </row>
    <row r="143" ht="15.75" customHeight="1">
      <c r="F143" s="57"/>
      <c r="G143" s="57"/>
      <c r="H143" s="57"/>
    </row>
    <row r="144" ht="15.75" customHeight="1">
      <c r="F144" s="57"/>
      <c r="G144" s="57"/>
      <c r="H144" s="57"/>
    </row>
    <row r="145" ht="15.75" customHeight="1">
      <c r="F145" s="57"/>
      <c r="G145" s="57"/>
      <c r="H145" s="57"/>
    </row>
    <row r="146" ht="15.75" customHeight="1">
      <c r="F146" s="57"/>
      <c r="G146" s="57"/>
      <c r="H146" s="57"/>
    </row>
    <row r="147" ht="15.75" customHeight="1">
      <c r="F147" s="57"/>
      <c r="G147" s="57"/>
      <c r="H147" s="57"/>
    </row>
    <row r="148" ht="15.75" customHeight="1">
      <c r="F148" s="57"/>
      <c r="G148" s="57"/>
      <c r="H148" s="57"/>
    </row>
    <row r="149" ht="15.75" customHeight="1">
      <c r="F149" s="57"/>
      <c r="G149" s="57"/>
      <c r="H149" s="57"/>
    </row>
    <row r="150" ht="15.75" customHeight="1">
      <c r="F150" s="57"/>
      <c r="G150" s="57"/>
      <c r="H150" s="57"/>
    </row>
    <row r="151" ht="15.75" customHeight="1">
      <c r="F151" s="57"/>
      <c r="G151" s="57"/>
      <c r="H151" s="57"/>
    </row>
    <row r="152" ht="15.75" customHeight="1">
      <c r="F152" s="57"/>
      <c r="G152" s="57"/>
      <c r="H152" s="57"/>
    </row>
    <row r="153" ht="15.75" customHeight="1">
      <c r="F153" s="57"/>
      <c r="G153" s="57"/>
      <c r="H153" s="57"/>
    </row>
    <row r="154" ht="15.75" customHeight="1">
      <c r="F154" s="57"/>
      <c r="G154" s="57"/>
      <c r="H154" s="57"/>
    </row>
    <row r="155" ht="15.75" customHeight="1">
      <c r="F155" s="57"/>
      <c r="G155" s="57"/>
      <c r="H155" s="57"/>
    </row>
    <row r="156" ht="15.75" customHeight="1">
      <c r="F156" s="57"/>
      <c r="G156" s="57"/>
      <c r="H156" s="57"/>
    </row>
    <row r="157" ht="15.75" customHeight="1">
      <c r="F157" s="57"/>
      <c r="G157" s="57"/>
      <c r="H157" s="57"/>
    </row>
    <row r="158" ht="15.75" customHeight="1">
      <c r="F158" s="57"/>
      <c r="G158" s="57"/>
      <c r="H158" s="57"/>
    </row>
    <row r="159" ht="15.75" customHeight="1">
      <c r="F159" s="57"/>
      <c r="G159" s="57"/>
      <c r="H159" s="57"/>
    </row>
    <row r="160" ht="15.75" customHeight="1">
      <c r="F160" s="57"/>
      <c r="G160" s="57"/>
      <c r="H160" s="57"/>
    </row>
    <row r="161" ht="15.75" customHeight="1">
      <c r="F161" s="57"/>
      <c r="G161" s="57"/>
      <c r="H161" s="57"/>
    </row>
    <row r="162" ht="15.75" customHeight="1">
      <c r="F162" s="57"/>
      <c r="G162" s="57"/>
      <c r="H162" s="57"/>
    </row>
    <row r="163" ht="15.75" customHeight="1">
      <c r="F163" s="57"/>
      <c r="G163" s="57"/>
      <c r="H163" s="57"/>
    </row>
    <row r="164" ht="15.75" customHeight="1">
      <c r="F164" s="57"/>
      <c r="G164" s="57"/>
      <c r="H164" s="57"/>
    </row>
    <row r="165" ht="15.75" customHeight="1">
      <c r="F165" s="57"/>
      <c r="G165" s="57"/>
      <c r="H165" s="57"/>
    </row>
    <row r="166" ht="15.75" customHeight="1">
      <c r="F166" s="57"/>
      <c r="G166" s="57"/>
      <c r="H166" s="57"/>
    </row>
    <row r="167" ht="15.75" customHeight="1">
      <c r="F167" s="57"/>
      <c r="G167" s="57"/>
      <c r="H167" s="57"/>
    </row>
    <row r="168" ht="15.75" customHeight="1">
      <c r="F168" s="57"/>
      <c r="G168" s="57"/>
      <c r="H168" s="57"/>
    </row>
    <row r="169" ht="15.75" customHeight="1">
      <c r="F169" s="57"/>
      <c r="G169" s="57"/>
      <c r="H169" s="57"/>
    </row>
    <row r="170" ht="15.75" customHeight="1">
      <c r="F170" s="57"/>
      <c r="G170" s="57"/>
      <c r="H170" s="57"/>
    </row>
    <row r="171" ht="15.75" customHeight="1">
      <c r="F171" s="57"/>
      <c r="G171" s="57"/>
      <c r="H171" s="57"/>
    </row>
    <row r="172" ht="15.75" customHeight="1">
      <c r="F172" s="57"/>
      <c r="G172" s="57"/>
      <c r="H172" s="57"/>
    </row>
    <row r="173" ht="15.75" customHeight="1">
      <c r="F173" s="57"/>
      <c r="G173" s="57"/>
      <c r="H173" s="57"/>
    </row>
    <row r="174" ht="15.75" customHeight="1">
      <c r="F174" s="57"/>
      <c r="G174" s="57"/>
      <c r="H174" s="57"/>
    </row>
    <row r="175" ht="15.75" customHeight="1">
      <c r="F175" s="57"/>
      <c r="G175" s="57"/>
      <c r="H175" s="57"/>
    </row>
    <row r="176" ht="15.75" customHeight="1">
      <c r="F176" s="57"/>
      <c r="G176" s="57"/>
      <c r="H176" s="57"/>
    </row>
    <row r="177" ht="15.75" customHeight="1">
      <c r="F177" s="57"/>
      <c r="G177" s="57"/>
      <c r="H177" s="57"/>
    </row>
    <row r="178" ht="15.75" customHeight="1">
      <c r="F178" s="57"/>
      <c r="G178" s="57"/>
      <c r="H178" s="57"/>
    </row>
    <row r="179" ht="15.75" customHeight="1">
      <c r="F179" s="57"/>
      <c r="G179" s="57"/>
      <c r="H179" s="57"/>
    </row>
    <row r="180" ht="15.75" customHeight="1">
      <c r="F180" s="57"/>
      <c r="G180" s="57"/>
      <c r="H180" s="57"/>
    </row>
    <row r="181" ht="15.75" customHeight="1">
      <c r="F181" s="57"/>
      <c r="G181" s="57"/>
      <c r="H181" s="57"/>
    </row>
    <row r="182" ht="15.75" customHeight="1">
      <c r="F182" s="57"/>
      <c r="G182" s="57"/>
      <c r="H182" s="57"/>
    </row>
    <row r="183" ht="15.75" customHeight="1">
      <c r="F183" s="57"/>
      <c r="G183" s="57"/>
      <c r="H183" s="57"/>
    </row>
    <row r="184" ht="15.75" customHeight="1">
      <c r="F184" s="57"/>
      <c r="G184" s="57"/>
      <c r="H184" s="57"/>
    </row>
    <row r="185" ht="15.75" customHeight="1">
      <c r="F185" s="57"/>
      <c r="G185" s="57"/>
      <c r="H185" s="57"/>
    </row>
    <row r="186" ht="15.75" customHeight="1">
      <c r="F186" s="57"/>
      <c r="G186" s="57"/>
      <c r="H186" s="57"/>
    </row>
    <row r="187" ht="15.75" customHeight="1">
      <c r="F187" s="57"/>
      <c r="G187" s="57"/>
      <c r="H187" s="57"/>
    </row>
    <row r="188" ht="15.75" customHeight="1">
      <c r="F188" s="57"/>
      <c r="G188" s="57"/>
      <c r="H188" s="57"/>
    </row>
    <row r="189" ht="15.75" customHeight="1">
      <c r="F189" s="57"/>
      <c r="G189" s="57"/>
      <c r="H189" s="57"/>
    </row>
    <row r="190" ht="15.75" customHeight="1">
      <c r="F190" s="57"/>
      <c r="G190" s="57"/>
      <c r="H190" s="57"/>
    </row>
    <row r="191" ht="15.75" customHeight="1">
      <c r="F191" s="57"/>
      <c r="G191" s="57"/>
      <c r="H191" s="57"/>
    </row>
    <row r="192" ht="15.75" customHeight="1">
      <c r="F192" s="57"/>
      <c r="G192" s="57"/>
      <c r="H192" s="57"/>
    </row>
    <row r="193" ht="15.75" customHeight="1">
      <c r="F193" s="57"/>
      <c r="G193" s="57"/>
      <c r="H193" s="57"/>
    </row>
    <row r="194" ht="15.75" customHeight="1">
      <c r="F194" s="57"/>
      <c r="G194" s="57"/>
      <c r="H194" s="57"/>
    </row>
    <row r="195" ht="15.75" customHeight="1">
      <c r="F195" s="57"/>
      <c r="G195" s="57"/>
      <c r="H195" s="57"/>
    </row>
    <row r="196" ht="15.75" customHeight="1">
      <c r="F196" s="57"/>
      <c r="G196" s="57"/>
      <c r="H196" s="57"/>
    </row>
    <row r="197" ht="15.75" customHeight="1">
      <c r="F197" s="57"/>
      <c r="G197" s="57"/>
      <c r="H197" s="57"/>
    </row>
    <row r="198" ht="15.75" customHeight="1">
      <c r="F198" s="57"/>
      <c r="G198" s="57"/>
      <c r="H198" s="57"/>
    </row>
    <row r="199" ht="15.75" customHeight="1">
      <c r="F199" s="57"/>
      <c r="G199" s="57"/>
      <c r="H199" s="57"/>
    </row>
    <row r="200" ht="15.75" customHeight="1">
      <c r="F200" s="57"/>
      <c r="G200" s="57"/>
      <c r="H200" s="57"/>
    </row>
    <row r="201" ht="15.75" customHeight="1">
      <c r="F201" s="57"/>
      <c r="G201" s="57"/>
      <c r="H201" s="57"/>
    </row>
    <row r="202" ht="15.75" customHeight="1">
      <c r="F202" s="57"/>
      <c r="G202" s="57"/>
      <c r="H202" s="57"/>
    </row>
    <row r="203" ht="15.75" customHeight="1">
      <c r="F203" s="57"/>
      <c r="G203" s="57"/>
      <c r="H203" s="57"/>
    </row>
    <row r="204" ht="15.75" customHeight="1">
      <c r="F204" s="57"/>
      <c r="G204" s="57"/>
      <c r="H204" s="57"/>
    </row>
    <row r="205" ht="15.75" customHeight="1">
      <c r="F205" s="57"/>
      <c r="G205" s="57"/>
      <c r="H205" s="57"/>
    </row>
    <row r="206" ht="15.75" customHeight="1">
      <c r="F206" s="57"/>
      <c r="G206" s="57"/>
      <c r="H206" s="57"/>
    </row>
    <row r="207" ht="15.75" customHeight="1">
      <c r="F207" s="57"/>
      <c r="G207" s="57"/>
      <c r="H207" s="57"/>
    </row>
    <row r="208" ht="15.75" customHeight="1">
      <c r="F208" s="57"/>
      <c r="G208" s="57"/>
      <c r="H208" s="57"/>
    </row>
    <row r="209" ht="15.75" customHeight="1">
      <c r="F209" s="57"/>
      <c r="G209" s="57"/>
      <c r="H209" s="57"/>
    </row>
    <row r="210" ht="15.75" customHeight="1">
      <c r="F210" s="57"/>
      <c r="G210" s="57"/>
      <c r="H210" s="57"/>
    </row>
    <row r="211" ht="15.75" customHeight="1">
      <c r="F211" s="57"/>
      <c r="G211" s="57"/>
      <c r="H211" s="57"/>
    </row>
    <row r="212" ht="15.75" customHeight="1">
      <c r="F212" s="57"/>
      <c r="G212" s="57"/>
      <c r="H212" s="57"/>
    </row>
    <row r="213" ht="15.75" customHeight="1">
      <c r="F213" s="57"/>
      <c r="G213" s="57"/>
      <c r="H213" s="57"/>
    </row>
    <row r="214" ht="15.75" customHeight="1">
      <c r="F214" s="57"/>
      <c r="G214" s="57"/>
      <c r="H214" s="57"/>
    </row>
    <row r="215" ht="15.75" customHeight="1">
      <c r="F215" s="57"/>
      <c r="G215" s="57"/>
      <c r="H215" s="57"/>
    </row>
    <row r="216" ht="15.75" customHeight="1">
      <c r="F216" s="57"/>
      <c r="G216" s="57"/>
      <c r="H216" s="57"/>
    </row>
    <row r="217" ht="15.75" customHeight="1">
      <c r="F217" s="57"/>
      <c r="G217" s="57"/>
      <c r="H217" s="57"/>
    </row>
    <row r="218" ht="15.75" customHeight="1">
      <c r="F218" s="57"/>
      <c r="G218" s="57"/>
      <c r="H218" s="57"/>
    </row>
    <row r="219" ht="15.75" customHeight="1">
      <c r="F219" s="57"/>
      <c r="G219" s="57"/>
      <c r="H219" s="57"/>
    </row>
    <row r="220" ht="15.75" customHeight="1">
      <c r="F220" s="57"/>
      <c r="G220" s="57"/>
      <c r="H220" s="57"/>
    </row>
    <row r="221" ht="15.75" customHeight="1">
      <c r="F221" s="57"/>
      <c r="G221" s="57"/>
      <c r="H221" s="57"/>
    </row>
    <row r="222" ht="15.75" customHeight="1">
      <c r="F222" s="57"/>
      <c r="G222" s="57"/>
      <c r="H222" s="57"/>
    </row>
    <row r="223" ht="15.75" customHeight="1">
      <c r="F223" s="57"/>
      <c r="G223" s="57"/>
      <c r="H223" s="57"/>
    </row>
    <row r="224" ht="15.75" customHeight="1">
      <c r="F224" s="57"/>
      <c r="G224" s="57"/>
      <c r="H224" s="57"/>
    </row>
    <row r="225" ht="15.75" customHeight="1">
      <c r="F225" s="57"/>
      <c r="G225" s="57"/>
      <c r="H225" s="57"/>
    </row>
    <row r="226" ht="15.75" customHeight="1">
      <c r="F226" s="57"/>
      <c r="G226" s="57"/>
      <c r="H226" s="57"/>
    </row>
    <row r="227" ht="15.75" customHeight="1">
      <c r="F227" s="57"/>
      <c r="G227" s="57"/>
      <c r="H227" s="57"/>
    </row>
    <row r="228" ht="15.75" customHeight="1">
      <c r="F228" s="57"/>
      <c r="G228" s="57"/>
      <c r="H228" s="57"/>
    </row>
    <row r="229" ht="15.75" customHeight="1">
      <c r="F229" s="57"/>
      <c r="G229" s="57"/>
      <c r="H229" s="57"/>
    </row>
    <row r="230" ht="15.75" customHeight="1">
      <c r="F230" s="57"/>
      <c r="G230" s="57"/>
      <c r="H230" s="57"/>
    </row>
    <row r="231" ht="15.75" customHeight="1">
      <c r="F231" s="57"/>
      <c r="G231" s="57"/>
      <c r="H231" s="57"/>
    </row>
    <row r="232" ht="15.75" customHeight="1">
      <c r="F232" s="57"/>
      <c r="G232" s="57"/>
      <c r="H232" s="57"/>
    </row>
    <row r="233" ht="15.75" customHeight="1">
      <c r="F233" s="57"/>
      <c r="G233" s="57"/>
      <c r="H233" s="57"/>
    </row>
    <row r="234" ht="15.75" customHeight="1">
      <c r="F234" s="57"/>
      <c r="G234" s="57"/>
      <c r="H234" s="57"/>
    </row>
    <row r="235" ht="15.75" customHeight="1">
      <c r="F235" s="57"/>
      <c r="G235" s="57"/>
      <c r="H235" s="57"/>
    </row>
    <row r="236" ht="15.75" customHeight="1">
      <c r="F236" s="57"/>
      <c r="G236" s="57"/>
      <c r="H236" s="57"/>
    </row>
    <row r="237" ht="15.75" customHeight="1">
      <c r="F237" s="57"/>
      <c r="G237" s="57"/>
      <c r="H237" s="57"/>
    </row>
    <row r="238" ht="15.75" customHeight="1">
      <c r="F238" s="57"/>
      <c r="G238" s="57"/>
      <c r="H238" s="57"/>
    </row>
    <row r="239" ht="15.75" customHeight="1">
      <c r="F239" s="57"/>
      <c r="G239" s="57"/>
      <c r="H239" s="57"/>
    </row>
    <row r="240" ht="15.75" customHeight="1">
      <c r="F240" s="57"/>
      <c r="G240" s="57"/>
      <c r="H240" s="57"/>
    </row>
    <row r="241" ht="15.75" customHeight="1">
      <c r="F241" s="57"/>
      <c r="G241" s="57"/>
      <c r="H241" s="57"/>
    </row>
    <row r="242" ht="15.75" customHeight="1">
      <c r="F242" s="57"/>
      <c r="G242" s="57"/>
      <c r="H242" s="57"/>
    </row>
    <row r="243" ht="15.75" customHeight="1">
      <c r="F243" s="57"/>
      <c r="G243" s="57"/>
      <c r="H243" s="57"/>
    </row>
    <row r="244" ht="15.75" customHeight="1">
      <c r="F244" s="57"/>
      <c r="G244" s="57"/>
      <c r="H244" s="57"/>
    </row>
    <row r="245" ht="15.75" customHeight="1">
      <c r="F245" s="57"/>
      <c r="G245" s="57"/>
      <c r="H245" s="57"/>
    </row>
    <row r="246" ht="15.75" customHeight="1">
      <c r="F246" s="57"/>
      <c r="G246" s="57"/>
      <c r="H246" s="57"/>
    </row>
    <row r="247" ht="15.75" customHeight="1">
      <c r="F247" s="57"/>
      <c r="G247" s="57"/>
      <c r="H247" s="57"/>
    </row>
    <row r="248" ht="15.75" customHeight="1">
      <c r="F248" s="57"/>
      <c r="G248" s="57"/>
      <c r="H248" s="57"/>
    </row>
    <row r="249" ht="15.75" customHeight="1">
      <c r="F249" s="57"/>
      <c r="G249" s="57"/>
      <c r="H249" s="57"/>
    </row>
    <row r="250" ht="15.75" customHeight="1">
      <c r="F250" s="57"/>
      <c r="G250" s="57"/>
      <c r="H250" s="57"/>
    </row>
    <row r="251" ht="15.75" customHeight="1">
      <c r="F251" s="57"/>
      <c r="G251" s="57"/>
      <c r="H251" s="57"/>
    </row>
    <row r="252" ht="15.75" customHeight="1">
      <c r="F252" s="57"/>
      <c r="G252" s="57"/>
      <c r="H252" s="57"/>
    </row>
    <row r="253" ht="15.75" customHeight="1">
      <c r="F253" s="57"/>
      <c r="G253" s="57"/>
      <c r="H253" s="57"/>
    </row>
    <row r="254" ht="15.75" customHeight="1">
      <c r="F254" s="57"/>
      <c r="G254" s="57"/>
      <c r="H254" s="57"/>
    </row>
    <row r="255" ht="15.75" customHeight="1">
      <c r="F255" s="57"/>
      <c r="G255" s="57"/>
      <c r="H255" s="57"/>
    </row>
    <row r="256" ht="15.75" customHeight="1">
      <c r="F256" s="57"/>
      <c r="G256" s="57"/>
      <c r="H256" s="57"/>
    </row>
    <row r="257" ht="15.75" customHeight="1">
      <c r="F257" s="57"/>
      <c r="G257" s="57"/>
      <c r="H257" s="57"/>
    </row>
    <row r="258" ht="15.75" customHeight="1">
      <c r="F258" s="57"/>
      <c r="G258" s="57"/>
      <c r="H258" s="57"/>
    </row>
    <row r="259" ht="15.75" customHeight="1">
      <c r="F259" s="57"/>
      <c r="G259" s="57"/>
      <c r="H259" s="57"/>
    </row>
    <row r="260" ht="15.75" customHeight="1">
      <c r="F260" s="57"/>
      <c r="G260" s="57"/>
      <c r="H260" s="57"/>
    </row>
    <row r="261" ht="15.75" customHeight="1">
      <c r="F261" s="57"/>
      <c r="G261" s="57"/>
      <c r="H261" s="57"/>
    </row>
    <row r="262" ht="15.75" customHeight="1">
      <c r="F262" s="57"/>
      <c r="G262" s="57"/>
      <c r="H262" s="57"/>
    </row>
    <row r="263" ht="15.75" customHeight="1">
      <c r="F263" s="57"/>
      <c r="G263" s="57"/>
      <c r="H263" s="57"/>
    </row>
    <row r="264" ht="15.75" customHeight="1">
      <c r="F264" s="57"/>
      <c r="G264" s="57"/>
      <c r="H264" s="57"/>
    </row>
    <row r="265" ht="15.75" customHeight="1">
      <c r="F265" s="57"/>
      <c r="G265" s="57"/>
      <c r="H265" s="57"/>
    </row>
    <row r="266" ht="15.75" customHeight="1">
      <c r="F266" s="57"/>
      <c r="G266" s="57"/>
      <c r="H266" s="57"/>
    </row>
    <row r="267" ht="15.75" customHeight="1">
      <c r="F267" s="57"/>
      <c r="G267" s="57"/>
      <c r="H267" s="57"/>
    </row>
    <row r="268" ht="15.75" customHeight="1">
      <c r="F268" s="57"/>
      <c r="G268" s="57"/>
      <c r="H268" s="57"/>
    </row>
    <row r="269" ht="15.75" customHeight="1">
      <c r="F269" s="57"/>
      <c r="G269" s="57"/>
      <c r="H269" s="57"/>
    </row>
    <row r="270" ht="15.75" customHeight="1">
      <c r="F270" s="57"/>
      <c r="G270" s="57"/>
      <c r="H270" s="57"/>
    </row>
    <row r="271" ht="15.75" customHeight="1">
      <c r="F271" s="57"/>
      <c r="G271" s="57"/>
      <c r="H271" s="57"/>
    </row>
    <row r="272" ht="15.75" customHeight="1">
      <c r="F272" s="57"/>
      <c r="G272" s="57"/>
      <c r="H272" s="57"/>
    </row>
    <row r="273" ht="15.75" customHeight="1">
      <c r="F273" s="57"/>
      <c r="G273" s="57"/>
      <c r="H273" s="57"/>
    </row>
    <row r="274" ht="15.75" customHeight="1">
      <c r="F274" s="57"/>
      <c r="G274" s="57"/>
      <c r="H274" s="57"/>
    </row>
    <row r="275" ht="15.75" customHeight="1">
      <c r="F275" s="57"/>
      <c r="G275" s="57"/>
      <c r="H275" s="57"/>
    </row>
    <row r="276" ht="15.75" customHeight="1">
      <c r="F276" s="57"/>
      <c r="G276" s="57"/>
      <c r="H276" s="57"/>
    </row>
    <row r="277" ht="15.75" customHeight="1">
      <c r="F277" s="57"/>
      <c r="G277" s="57"/>
      <c r="H277" s="57"/>
    </row>
    <row r="278" ht="15.75" customHeight="1">
      <c r="F278" s="57"/>
      <c r="G278" s="57"/>
      <c r="H278" s="57"/>
    </row>
    <row r="279" ht="15.75" customHeight="1">
      <c r="F279" s="57"/>
      <c r="G279" s="57"/>
      <c r="H279" s="57"/>
    </row>
    <row r="280" ht="15.75" customHeight="1">
      <c r="F280" s="57"/>
      <c r="G280" s="57"/>
      <c r="H280" s="57"/>
    </row>
    <row r="281" ht="15.75" customHeight="1">
      <c r="F281" s="57"/>
      <c r="G281" s="57"/>
      <c r="H281" s="57"/>
    </row>
    <row r="282" ht="15.75" customHeight="1">
      <c r="F282" s="57"/>
      <c r="G282" s="57"/>
      <c r="H282" s="57"/>
    </row>
    <row r="283" ht="15.75" customHeight="1">
      <c r="F283" s="57"/>
      <c r="G283" s="57"/>
      <c r="H283" s="57"/>
    </row>
    <row r="284" ht="15.75" customHeight="1">
      <c r="F284" s="57"/>
      <c r="G284" s="57"/>
      <c r="H284" s="57"/>
    </row>
    <row r="285" ht="15.75" customHeight="1">
      <c r="F285" s="57"/>
      <c r="G285" s="57"/>
      <c r="H285" s="57"/>
    </row>
    <row r="286" ht="15.75" customHeight="1">
      <c r="F286" s="57"/>
      <c r="G286" s="57"/>
      <c r="H286" s="57"/>
    </row>
    <row r="287" ht="15.75" customHeight="1">
      <c r="F287" s="57"/>
      <c r="G287" s="57"/>
      <c r="H287" s="57"/>
    </row>
    <row r="288" ht="15.75" customHeight="1">
      <c r="F288" s="57"/>
      <c r="G288" s="57"/>
      <c r="H288" s="57"/>
    </row>
    <row r="289" ht="15.75" customHeight="1">
      <c r="F289" s="57"/>
      <c r="G289" s="57"/>
      <c r="H289" s="57"/>
    </row>
    <row r="290" ht="15.75" customHeight="1">
      <c r="F290" s="57"/>
      <c r="G290" s="57"/>
      <c r="H290" s="57"/>
    </row>
    <row r="291" ht="15.75" customHeight="1">
      <c r="F291" s="57"/>
      <c r="G291" s="57"/>
      <c r="H291" s="57"/>
    </row>
    <row r="292" ht="15.75" customHeight="1">
      <c r="F292" s="57"/>
      <c r="G292" s="57"/>
      <c r="H292" s="57"/>
    </row>
    <row r="293" ht="15.75" customHeight="1">
      <c r="F293" s="57"/>
      <c r="G293" s="57"/>
      <c r="H293" s="57"/>
    </row>
    <row r="294" ht="15.75" customHeight="1">
      <c r="F294" s="57"/>
      <c r="G294" s="57"/>
      <c r="H294" s="57"/>
    </row>
    <row r="295" ht="15.75" customHeight="1">
      <c r="F295" s="57"/>
      <c r="G295" s="57"/>
      <c r="H295" s="57"/>
    </row>
    <row r="296" ht="15.75" customHeight="1">
      <c r="F296" s="57"/>
      <c r="G296" s="57"/>
      <c r="H296" s="57"/>
    </row>
    <row r="297" ht="15.75" customHeight="1">
      <c r="F297" s="57"/>
      <c r="G297" s="57"/>
      <c r="H297" s="57"/>
    </row>
    <row r="298" ht="15.75" customHeight="1">
      <c r="F298" s="57"/>
      <c r="G298" s="57"/>
      <c r="H298" s="57"/>
    </row>
    <row r="299" ht="15.75" customHeight="1">
      <c r="F299" s="57"/>
      <c r="G299" s="57"/>
      <c r="H299" s="57"/>
    </row>
    <row r="300" ht="15.75" customHeight="1">
      <c r="F300" s="57"/>
      <c r="G300" s="57"/>
      <c r="H300" s="57"/>
    </row>
    <row r="301" ht="15.75" customHeight="1">
      <c r="F301" s="57"/>
      <c r="G301" s="57"/>
      <c r="H301" s="57"/>
    </row>
    <row r="302" ht="15.75" customHeight="1">
      <c r="F302" s="57"/>
      <c r="G302" s="57"/>
      <c r="H302" s="57"/>
    </row>
    <row r="303" ht="15.75" customHeight="1">
      <c r="F303" s="57"/>
      <c r="G303" s="57"/>
      <c r="H303" s="57"/>
    </row>
    <row r="304" ht="15.75" customHeight="1">
      <c r="F304" s="57"/>
      <c r="G304" s="57"/>
      <c r="H304" s="57"/>
    </row>
    <row r="305" ht="15.75" customHeight="1">
      <c r="F305" s="57"/>
      <c r="G305" s="57"/>
      <c r="H305" s="57"/>
    </row>
    <row r="306" ht="15.75" customHeight="1">
      <c r="F306" s="57"/>
      <c r="G306" s="57"/>
      <c r="H306" s="57"/>
    </row>
    <row r="307" ht="15.75" customHeight="1">
      <c r="F307" s="57"/>
      <c r="G307" s="57"/>
      <c r="H307" s="57"/>
    </row>
    <row r="308" ht="15.75" customHeight="1">
      <c r="F308" s="57"/>
      <c r="G308" s="57"/>
      <c r="H308" s="57"/>
    </row>
    <row r="309" ht="15.75" customHeight="1">
      <c r="F309" s="57"/>
      <c r="G309" s="57"/>
      <c r="H309" s="57"/>
    </row>
    <row r="310" ht="15.75" customHeight="1">
      <c r="F310" s="57"/>
      <c r="G310" s="57"/>
      <c r="H310" s="57"/>
    </row>
    <row r="311" ht="15.75" customHeight="1">
      <c r="F311" s="57"/>
      <c r="G311" s="57"/>
      <c r="H311" s="57"/>
    </row>
    <row r="312" ht="15.75" customHeight="1">
      <c r="F312" s="57"/>
      <c r="G312" s="57"/>
      <c r="H312" s="57"/>
    </row>
    <row r="313" ht="15.75" customHeight="1">
      <c r="F313" s="57"/>
      <c r="G313" s="57"/>
      <c r="H313" s="57"/>
    </row>
    <row r="314" ht="15.75" customHeight="1">
      <c r="F314" s="57"/>
      <c r="G314" s="57"/>
      <c r="H314" s="57"/>
    </row>
    <row r="315" ht="15.75" customHeight="1">
      <c r="F315" s="57"/>
      <c r="G315" s="57"/>
      <c r="H315" s="57"/>
    </row>
    <row r="316" ht="15.75" customHeight="1">
      <c r="F316" s="57"/>
      <c r="G316" s="57"/>
      <c r="H316" s="57"/>
    </row>
    <row r="317" ht="15.75" customHeight="1">
      <c r="F317" s="57"/>
      <c r="G317" s="57"/>
      <c r="H317" s="57"/>
    </row>
    <row r="318" ht="15.75" customHeight="1">
      <c r="F318" s="57"/>
      <c r="G318" s="57"/>
      <c r="H318" s="57"/>
    </row>
    <row r="319" ht="15.75" customHeight="1">
      <c r="F319" s="57"/>
      <c r="G319" s="57"/>
      <c r="H319" s="57"/>
    </row>
    <row r="320" ht="15.75" customHeight="1">
      <c r="F320" s="57"/>
      <c r="G320" s="57"/>
      <c r="H320" s="57"/>
    </row>
    <row r="321" ht="15.75" customHeight="1">
      <c r="F321" s="57"/>
      <c r="G321" s="57"/>
      <c r="H321" s="57"/>
    </row>
    <row r="322" ht="15.75" customHeight="1">
      <c r="F322" s="57"/>
      <c r="G322" s="57"/>
      <c r="H322" s="57"/>
    </row>
    <row r="323" ht="15.75" customHeight="1">
      <c r="F323" s="57"/>
      <c r="G323" s="57"/>
      <c r="H323" s="57"/>
    </row>
    <row r="324" ht="15.75" customHeight="1">
      <c r="F324" s="57"/>
      <c r="G324" s="57"/>
      <c r="H324" s="57"/>
    </row>
    <row r="325" ht="15.75" customHeight="1">
      <c r="F325" s="57"/>
      <c r="G325" s="57"/>
      <c r="H325" s="57"/>
    </row>
    <row r="326" ht="15.75" customHeight="1">
      <c r="F326" s="57"/>
      <c r="G326" s="57"/>
      <c r="H326" s="57"/>
    </row>
    <row r="327" ht="15.75" customHeight="1">
      <c r="F327" s="57"/>
      <c r="G327" s="57"/>
      <c r="H327" s="57"/>
    </row>
    <row r="328" ht="15.75" customHeight="1">
      <c r="F328" s="57"/>
      <c r="G328" s="57"/>
      <c r="H328" s="57"/>
    </row>
    <row r="329" ht="15.75" customHeight="1">
      <c r="F329" s="57"/>
      <c r="G329" s="57"/>
      <c r="H329" s="57"/>
    </row>
    <row r="330" ht="15.75" customHeight="1">
      <c r="F330" s="57"/>
      <c r="G330" s="57"/>
      <c r="H330" s="57"/>
    </row>
    <row r="331" ht="15.75" customHeight="1">
      <c r="F331" s="57"/>
      <c r="G331" s="57"/>
      <c r="H331" s="57"/>
    </row>
    <row r="332" ht="15.75" customHeight="1">
      <c r="F332" s="57"/>
      <c r="G332" s="57"/>
      <c r="H332" s="57"/>
    </row>
    <row r="333" ht="15.75" customHeight="1">
      <c r="F333" s="57"/>
      <c r="G333" s="57"/>
      <c r="H333" s="57"/>
    </row>
    <row r="334" ht="15.75" customHeight="1">
      <c r="F334" s="57"/>
      <c r="G334" s="57"/>
      <c r="H334" s="57"/>
    </row>
    <row r="335" ht="15.75" customHeight="1">
      <c r="F335" s="57"/>
      <c r="G335" s="57"/>
      <c r="H335" s="57"/>
    </row>
    <row r="336" ht="15.75" customHeight="1">
      <c r="F336" s="57"/>
      <c r="G336" s="57"/>
      <c r="H336" s="57"/>
    </row>
    <row r="337" ht="15.75" customHeight="1">
      <c r="F337" s="57"/>
      <c r="G337" s="57"/>
      <c r="H337" s="57"/>
    </row>
    <row r="338" ht="15.75" customHeight="1">
      <c r="F338" s="57"/>
      <c r="G338" s="57"/>
      <c r="H338" s="57"/>
    </row>
    <row r="339" ht="15.75" customHeight="1">
      <c r="F339" s="57"/>
      <c r="G339" s="57"/>
      <c r="H339" s="57"/>
    </row>
    <row r="340" ht="15.75" customHeight="1">
      <c r="F340" s="57"/>
      <c r="G340" s="57"/>
      <c r="H340" s="57"/>
    </row>
    <row r="341" ht="15.75" customHeight="1">
      <c r="F341" s="57"/>
      <c r="G341" s="57"/>
      <c r="H341" s="57"/>
    </row>
    <row r="342" ht="15.75" customHeight="1">
      <c r="F342" s="57"/>
      <c r="G342" s="57"/>
      <c r="H342" s="57"/>
    </row>
    <row r="343" ht="15.75" customHeight="1">
      <c r="F343" s="57"/>
      <c r="G343" s="57"/>
      <c r="H343" s="57"/>
    </row>
    <row r="344" ht="15.75" customHeight="1">
      <c r="F344" s="57"/>
      <c r="G344" s="57"/>
      <c r="H344" s="57"/>
    </row>
    <row r="345" ht="15.75" customHeight="1">
      <c r="F345" s="57"/>
      <c r="G345" s="57"/>
      <c r="H345" s="57"/>
    </row>
    <row r="346" ht="15.75" customHeight="1">
      <c r="F346" s="57"/>
      <c r="G346" s="57"/>
      <c r="H346" s="57"/>
    </row>
    <row r="347" ht="15.75" customHeight="1">
      <c r="F347" s="57"/>
      <c r="G347" s="57"/>
      <c r="H347" s="57"/>
    </row>
    <row r="348" ht="15.75" customHeight="1">
      <c r="F348" s="57"/>
      <c r="G348" s="57"/>
      <c r="H348" s="57"/>
    </row>
    <row r="349" ht="15.75" customHeight="1">
      <c r="F349" s="57"/>
      <c r="G349" s="57"/>
      <c r="H349" s="57"/>
    </row>
    <row r="350" ht="15.75" customHeight="1">
      <c r="F350" s="57"/>
      <c r="G350" s="57"/>
      <c r="H350" s="57"/>
    </row>
    <row r="351" ht="15.75" customHeight="1">
      <c r="F351" s="57"/>
      <c r="G351" s="57"/>
      <c r="H351" s="57"/>
    </row>
    <row r="352" ht="15.75" customHeight="1">
      <c r="F352" s="57"/>
      <c r="G352" s="57"/>
      <c r="H352" s="57"/>
    </row>
    <row r="353" ht="15.75" customHeight="1">
      <c r="F353" s="57"/>
      <c r="G353" s="57"/>
      <c r="H353" s="57"/>
    </row>
    <row r="354" ht="15.75" customHeight="1">
      <c r="F354" s="57"/>
      <c r="G354" s="57"/>
      <c r="H354" s="57"/>
    </row>
    <row r="355" ht="15.75" customHeight="1">
      <c r="F355" s="57"/>
      <c r="G355" s="57"/>
      <c r="H355" s="57"/>
    </row>
    <row r="356" ht="15.75" customHeight="1">
      <c r="F356" s="57"/>
      <c r="G356" s="57"/>
      <c r="H356" s="57"/>
    </row>
    <row r="357" ht="15.75" customHeight="1">
      <c r="F357" s="57"/>
      <c r="G357" s="57"/>
      <c r="H357" s="57"/>
    </row>
    <row r="358" ht="15.75" customHeight="1">
      <c r="F358" s="57"/>
      <c r="G358" s="57"/>
      <c r="H358" s="57"/>
    </row>
    <row r="359" ht="15.75" customHeight="1">
      <c r="F359" s="57"/>
      <c r="G359" s="57"/>
      <c r="H359" s="57"/>
    </row>
    <row r="360" ht="15.75" customHeight="1">
      <c r="F360" s="57"/>
      <c r="G360" s="57"/>
      <c r="H360" s="57"/>
    </row>
    <row r="361" ht="15.75" customHeight="1">
      <c r="F361" s="57"/>
      <c r="G361" s="57"/>
      <c r="H361" s="57"/>
    </row>
    <row r="362" ht="15.75" customHeight="1">
      <c r="F362" s="57"/>
      <c r="G362" s="57"/>
      <c r="H362" s="57"/>
    </row>
    <row r="363" ht="15.75" customHeight="1">
      <c r="F363" s="57"/>
      <c r="G363" s="57"/>
      <c r="H363" s="57"/>
    </row>
    <row r="364" ht="15.75" customHeight="1">
      <c r="F364" s="57"/>
      <c r="G364" s="57"/>
      <c r="H364" s="57"/>
    </row>
    <row r="365" ht="15.75" customHeight="1">
      <c r="F365" s="57"/>
      <c r="G365" s="57"/>
      <c r="H365" s="57"/>
    </row>
    <row r="366" ht="15.75" customHeight="1">
      <c r="F366" s="57"/>
      <c r="G366" s="57"/>
      <c r="H366" s="57"/>
    </row>
    <row r="367" ht="15.75" customHeight="1">
      <c r="F367" s="57"/>
      <c r="G367" s="57"/>
      <c r="H367" s="57"/>
    </row>
    <row r="368" ht="15.75" customHeight="1">
      <c r="F368" s="57"/>
      <c r="G368" s="57"/>
      <c r="H368" s="57"/>
    </row>
    <row r="369" ht="15.75" customHeight="1">
      <c r="F369" s="57"/>
      <c r="G369" s="57"/>
      <c r="H369" s="57"/>
    </row>
    <row r="370" ht="15.75" customHeight="1">
      <c r="F370" s="57"/>
      <c r="G370" s="57"/>
      <c r="H370" s="57"/>
    </row>
    <row r="371" ht="15.75" customHeight="1">
      <c r="F371" s="57"/>
      <c r="G371" s="57"/>
      <c r="H371" s="57"/>
    </row>
    <row r="372" ht="15.75" customHeight="1">
      <c r="F372" s="57"/>
      <c r="G372" s="57"/>
      <c r="H372" s="57"/>
    </row>
    <row r="373" ht="15.75" customHeight="1">
      <c r="F373" s="57"/>
      <c r="G373" s="57"/>
      <c r="H373" s="57"/>
    </row>
    <row r="374" ht="15.75" customHeight="1">
      <c r="F374" s="57"/>
      <c r="G374" s="57"/>
      <c r="H374" s="57"/>
    </row>
    <row r="375" ht="15.75" customHeight="1">
      <c r="F375" s="57"/>
      <c r="G375" s="57"/>
      <c r="H375" s="57"/>
    </row>
    <row r="376" ht="15.75" customHeight="1">
      <c r="F376" s="57"/>
      <c r="G376" s="57"/>
      <c r="H376" s="57"/>
    </row>
    <row r="377" ht="15.75" customHeight="1">
      <c r="F377" s="57"/>
      <c r="G377" s="57"/>
      <c r="H377" s="57"/>
    </row>
    <row r="378" ht="15.75" customHeight="1">
      <c r="F378" s="57"/>
      <c r="G378" s="57"/>
      <c r="H378" s="57"/>
    </row>
    <row r="379" ht="15.75" customHeight="1">
      <c r="F379" s="57"/>
      <c r="G379" s="57"/>
      <c r="H379" s="57"/>
    </row>
    <row r="380" ht="15.75" customHeight="1">
      <c r="F380" s="57"/>
      <c r="G380" s="57"/>
      <c r="H380" s="57"/>
    </row>
    <row r="381" ht="15.75" customHeight="1">
      <c r="F381" s="57"/>
      <c r="G381" s="57"/>
      <c r="H381" s="57"/>
    </row>
    <row r="382" ht="15.75" customHeight="1">
      <c r="F382" s="57"/>
      <c r="G382" s="57"/>
      <c r="H382" s="57"/>
    </row>
    <row r="383" ht="15.75" customHeight="1">
      <c r="F383" s="57"/>
      <c r="G383" s="57"/>
      <c r="H383" s="57"/>
    </row>
    <row r="384" ht="15.75" customHeight="1">
      <c r="F384" s="57"/>
      <c r="G384" s="57"/>
      <c r="H384" s="57"/>
    </row>
    <row r="385" ht="15.75" customHeight="1">
      <c r="F385" s="57"/>
      <c r="G385" s="57"/>
      <c r="H385" s="57"/>
    </row>
    <row r="386" ht="15.75" customHeight="1">
      <c r="F386" s="57"/>
      <c r="G386" s="57"/>
      <c r="H386" s="57"/>
    </row>
    <row r="387" ht="15.75" customHeight="1">
      <c r="F387" s="57"/>
      <c r="G387" s="57"/>
      <c r="H387" s="57"/>
    </row>
    <row r="388" ht="15.75" customHeight="1">
      <c r="F388" s="57"/>
      <c r="G388" s="57"/>
      <c r="H388" s="57"/>
    </row>
    <row r="389" ht="15.75" customHeight="1">
      <c r="F389" s="57"/>
      <c r="G389" s="57"/>
      <c r="H389" s="57"/>
    </row>
    <row r="390" ht="15.75" customHeight="1">
      <c r="F390" s="57"/>
      <c r="G390" s="57"/>
      <c r="H390" s="57"/>
    </row>
    <row r="391" ht="15.75" customHeight="1">
      <c r="F391" s="57"/>
      <c r="G391" s="57"/>
      <c r="H391" s="57"/>
    </row>
    <row r="392" ht="15.75" customHeight="1">
      <c r="F392" s="57"/>
      <c r="G392" s="57"/>
      <c r="H392" s="57"/>
    </row>
    <row r="393" ht="15.75" customHeight="1">
      <c r="F393" s="57"/>
      <c r="G393" s="57"/>
      <c r="H393" s="57"/>
    </row>
    <row r="394" ht="15.75" customHeight="1">
      <c r="F394" s="57"/>
      <c r="G394" s="57"/>
      <c r="H394" s="57"/>
    </row>
    <row r="395" ht="15.75" customHeight="1">
      <c r="F395" s="57"/>
      <c r="G395" s="57"/>
      <c r="H395" s="57"/>
    </row>
    <row r="396" ht="15.75" customHeight="1">
      <c r="F396" s="57"/>
      <c r="G396" s="57"/>
      <c r="H396" s="57"/>
    </row>
    <row r="397" ht="15.75" customHeight="1">
      <c r="F397" s="57"/>
      <c r="G397" s="57"/>
      <c r="H397" s="57"/>
    </row>
    <row r="398" ht="15.75" customHeight="1">
      <c r="F398" s="57"/>
      <c r="G398" s="57"/>
      <c r="H398" s="57"/>
    </row>
    <row r="399" ht="15.75" customHeight="1">
      <c r="F399" s="57"/>
      <c r="G399" s="57"/>
      <c r="H399" s="57"/>
    </row>
    <row r="400" ht="15.75" customHeight="1">
      <c r="F400" s="57"/>
      <c r="G400" s="57"/>
      <c r="H400" s="57"/>
    </row>
    <row r="401" ht="15.75" customHeight="1">
      <c r="F401" s="57"/>
      <c r="G401" s="57"/>
      <c r="H401" s="57"/>
    </row>
    <row r="402" ht="15.75" customHeight="1">
      <c r="F402" s="57"/>
      <c r="G402" s="57"/>
      <c r="H402" s="57"/>
    </row>
    <row r="403" ht="15.75" customHeight="1">
      <c r="F403" s="57"/>
      <c r="G403" s="57"/>
      <c r="H403" s="57"/>
    </row>
    <row r="404" ht="15.75" customHeight="1">
      <c r="F404" s="57"/>
      <c r="G404" s="57"/>
      <c r="H404" s="57"/>
    </row>
    <row r="405" ht="15.75" customHeight="1">
      <c r="F405" s="57"/>
      <c r="G405" s="57"/>
      <c r="H405" s="57"/>
    </row>
    <row r="406" ht="15.75" customHeight="1">
      <c r="F406" s="57"/>
      <c r="G406" s="57"/>
      <c r="H406" s="57"/>
    </row>
    <row r="407" ht="15.75" customHeight="1">
      <c r="F407" s="57"/>
      <c r="G407" s="57"/>
      <c r="H407" s="57"/>
    </row>
    <row r="408" ht="15.75" customHeight="1">
      <c r="F408" s="57"/>
      <c r="G408" s="57"/>
      <c r="H408" s="57"/>
    </row>
    <row r="409" ht="15.75" customHeight="1">
      <c r="F409" s="57"/>
      <c r="G409" s="57"/>
      <c r="H409" s="57"/>
    </row>
    <row r="410" ht="15.75" customHeight="1">
      <c r="F410" s="57"/>
      <c r="G410" s="57"/>
      <c r="H410" s="57"/>
    </row>
    <row r="411" ht="15.75" customHeight="1">
      <c r="F411" s="57"/>
      <c r="G411" s="57"/>
      <c r="H411" s="57"/>
    </row>
    <row r="412" ht="15.75" customHeight="1">
      <c r="F412" s="57"/>
      <c r="G412" s="57"/>
      <c r="H412" s="57"/>
    </row>
    <row r="413" ht="15.75" customHeight="1">
      <c r="F413" s="57"/>
      <c r="G413" s="57"/>
      <c r="H413" s="57"/>
    </row>
    <row r="414" ht="15.75" customHeight="1">
      <c r="F414" s="57"/>
      <c r="G414" s="57"/>
      <c r="H414" s="57"/>
    </row>
    <row r="415" ht="15.75" customHeight="1">
      <c r="F415" s="57"/>
      <c r="G415" s="57"/>
      <c r="H415" s="57"/>
    </row>
    <row r="416" ht="15.75" customHeight="1">
      <c r="F416" s="57"/>
      <c r="G416" s="57"/>
      <c r="H416" s="57"/>
    </row>
    <row r="417" ht="15.75" customHeight="1">
      <c r="F417" s="57"/>
      <c r="G417" s="57"/>
      <c r="H417" s="57"/>
    </row>
    <row r="418" ht="15.75" customHeight="1">
      <c r="F418" s="57"/>
      <c r="G418" s="57"/>
      <c r="H418" s="57"/>
    </row>
    <row r="419" ht="15.75" customHeight="1">
      <c r="F419" s="57"/>
      <c r="G419" s="57"/>
      <c r="H419" s="57"/>
    </row>
    <row r="420" ht="15.75" customHeight="1">
      <c r="F420" s="57"/>
      <c r="G420" s="57"/>
      <c r="H420" s="57"/>
    </row>
    <row r="421" ht="15.75" customHeight="1">
      <c r="F421" s="57"/>
      <c r="G421" s="57"/>
      <c r="H421" s="57"/>
    </row>
    <row r="422" ht="15.75" customHeight="1">
      <c r="F422" s="57"/>
      <c r="G422" s="57"/>
      <c r="H422" s="57"/>
    </row>
    <row r="423" ht="15.75" customHeight="1">
      <c r="F423" s="57"/>
      <c r="G423" s="57"/>
      <c r="H423" s="57"/>
    </row>
    <row r="424" ht="15.75" customHeight="1">
      <c r="F424" s="57"/>
      <c r="G424" s="57"/>
      <c r="H424" s="57"/>
    </row>
    <row r="425" ht="15.75" customHeight="1">
      <c r="F425" s="57"/>
      <c r="G425" s="57"/>
      <c r="H425" s="57"/>
    </row>
    <row r="426" ht="15.75" customHeight="1">
      <c r="F426" s="57"/>
      <c r="G426" s="57"/>
      <c r="H426" s="57"/>
    </row>
    <row r="427" ht="15.75" customHeight="1">
      <c r="F427" s="57"/>
      <c r="G427" s="57"/>
      <c r="H427" s="57"/>
    </row>
    <row r="428" ht="15.75" customHeight="1">
      <c r="F428" s="57"/>
      <c r="G428" s="57"/>
      <c r="H428" s="57"/>
    </row>
    <row r="429" ht="15.75" customHeight="1">
      <c r="F429" s="57"/>
      <c r="G429" s="57"/>
      <c r="H429" s="57"/>
    </row>
    <row r="430" ht="15.75" customHeight="1">
      <c r="F430" s="57"/>
      <c r="G430" s="57"/>
      <c r="H430" s="57"/>
    </row>
    <row r="431" ht="15.75" customHeight="1">
      <c r="F431" s="57"/>
      <c r="G431" s="57"/>
      <c r="H431" s="57"/>
    </row>
    <row r="432" ht="15.75" customHeight="1">
      <c r="F432" s="57"/>
      <c r="G432" s="57"/>
      <c r="H432" s="57"/>
    </row>
    <row r="433" ht="15.75" customHeight="1">
      <c r="F433" s="57"/>
      <c r="G433" s="57"/>
      <c r="H433" s="57"/>
    </row>
    <row r="434" ht="15.75" customHeight="1">
      <c r="F434" s="57"/>
      <c r="G434" s="57"/>
      <c r="H434" s="57"/>
    </row>
    <row r="435" ht="15.75" customHeight="1">
      <c r="F435" s="57"/>
      <c r="G435" s="57"/>
      <c r="H435" s="57"/>
    </row>
    <row r="436" ht="15.75" customHeight="1">
      <c r="F436" s="57"/>
      <c r="G436" s="57"/>
      <c r="H436" s="57"/>
    </row>
    <row r="437" ht="15.75" customHeight="1">
      <c r="F437" s="57"/>
      <c r="G437" s="57"/>
      <c r="H437" s="57"/>
    </row>
    <row r="438" ht="15.75" customHeight="1">
      <c r="F438" s="57"/>
      <c r="G438" s="57"/>
      <c r="H438" s="57"/>
    </row>
    <row r="439" ht="15.75" customHeight="1">
      <c r="F439" s="57"/>
      <c r="G439" s="57"/>
      <c r="H439" s="57"/>
    </row>
    <row r="440" ht="15.75" customHeight="1">
      <c r="F440" s="57"/>
      <c r="G440" s="57"/>
      <c r="H440" s="57"/>
    </row>
    <row r="441" ht="15.75" customHeight="1">
      <c r="F441" s="57"/>
      <c r="G441" s="57"/>
      <c r="H441" s="57"/>
    </row>
    <row r="442" ht="15.75" customHeight="1">
      <c r="F442" s="57"/>
      <c r="G442" s="57"/>
      <c r="H442" s="57"/>
    </row>
    <row r="443" ht="15.75" customHeight="1">
      <c r="F443" s="57"/>
      <c r="G443" s="57"/>
      <c r="H443" s="57"/>
    </row>
    <row r="444" ht="15.75" customHeight="1">
      <c r="F444" s="57"/>
      <c r="G444" s="57"/>
      <c r="H444" s="57"/>
    </row>
    <row r="445" ht="15.75" customHeight="1">
      <c r="F445" s="57"/>
      <c r="G445" s="57"/>
      <c r="H445" s="57"/>
    </row>
    <row r="446" ht="15.75" customHeight="1">
      <c r="F446" s="57"/>
      <c r="G446" s="57"/>
      <c r="H446" s="57"/>
    </row>
    <row r="447" ht="15.75" customHeight="1">
      <c r="F447" s="57"/>
      <c r="G447" s="57"/>
      <c r="H447" s="57"/>
    </row>
    <row r="448" ht="15.75" customHeight="1">
      <c r="F448" s="57"/>
      <c r="G448" s="57"/>
      <c r="H448" s="57"/>
    </row>
    <row r="449" ht="15.75" customHeight="1">
      <c r="F449" s="57"/>
      <c r="G449" s="57"/>
      <c r="H449" s="57"/>
    </row>
    <row r="450" ht="15.75" customHeight="1">
      <c r="F450" s="57"/>
      <c r="G450" s="57"/>
      <c r="H450" s="57"/>
    </row>
    <row r="451" ht="15.75" customHeight="1">
      <c r="F451" s="57"/>
      <c r="G451" s="57"/>
      <c r="H451" s="57"/>
    </row>
    <row r="452" ht="15.75" customHeight="1">
      <c r="F452" s="57"/>
      <c r="G452" s="57"/>
      <c r="H452" s="57"/>
    </row>
    <row r="453" ht="15.75" customHeight="1">
      <c r="F453" s="57"/>
      <c r="G453" s="57"/>
      <c r="H453" s="57"/>
    </row>
    <row r="454" ht="15.75" customHeight="1">
      <c r="F454" s="57"/>
      <c r="G454" s="57"/>
      <c r="H454" s="57"/>
    </row>
    <row r="455" ht="15.75" customHeight="1">
      <c r="F455" s="57"/>
      <c r="G455" s="57"/>
      <c r="H455" s="57"/>
    </row>
    <row r="456" ht="15.75" customHeight="1">
      <c r="F456" s="57"/>
      <c r="G456" s="57"/>
      <c r="H456" s="57"/>
    </row>
    <row r="457" ht="15.75" customHeight="1">
      <c r="F457" s="57"/>
      <c r="G457" s="57"/>
      <c r="H457" s="57"/>
    </row>
    <row r="458" ht="15.75" customHeight="1">
      <c r="F458" s="57"/>
      <c r="G458" s="57"/>
      <c r="H458" s="57"/>
    </row>
    <row r="459" ht="15.75" customHeight="1">
      <c r="F459" s="57"/>
      <c r="G459" s="57"/>
      <c r="H459" s="57"/>
    </row>
    <row r="460" ht="15.75" customHeight="1">
      <c r="F460" s="57"/>
      <c r="G460" s="57"/>
      <c r="H460" s="57"/>
    </row>
    <row r="461" ht="15.75" customHeight="1">
      <c r="F461" s="57"/>
      <c r="G461" s="57"/>
      <c r="H461" s="57"/>
    </row>
    <row r="462" ht="15.75" customHeight="1">
      <c r="F462" s="57"/>
      <c r="G462" s="57"/>
      <c r="H462" s="57"/>
    </row>
    <row r="463" ht="15.75" customHeight="1">
      <c r="F463" s="57"/>
      <c r="G463" s="57"/>
      <c r="H463" s="57"/>
    </row>
    <row r="464" ht="15.75" customHeight="1">
      <c r="F464" s="57"/>
      <c r="G464" s="57"/>
      <c r="H464" s="57"/>
    </row>
    <row r="465" ht="15.75" customHeight="1">
      <c r="F465" s="57"/>
      <c r="G465" s="57"/>
      <c r="H465" s="57"/>
    </row>
    <row r="466" ht="15.75" customHeight="1">
      <c r="F466" s="57"/>
      <c r="G466" s="57"/>
      <c r="H466" s="57"/>
    </row>
    <row r="467" ht="15.75" customHeight="1">
      <c r="F467" s="57"/>
      <c r="G467" s="57"/>
      <c r="H467" s="57"/>
    </row>
    <row r="468" ht="15.75" customHeight="1">
      <c r="F468" s="57"/>
      <c r="G468" s="57"/>
      <c r="H468" s="57"/>
    </row>
    <row r="469" ht="15.75" customHeight="1">
      <c r="F469" s="57"/>
      <c r="G469" s="57"/>
      <c r="H469" s="57"/>
    </row>
    <row r="470" ht="15.75" customHeight="1">
      <c r="F470" s="57"/>
      <c r="G470" s="57"/>
      <c r="H470" s="57"/>
    </row>
    <row r="471" ht="15.75" customHeight="1">
      <c r="F471" s="57"/>
      <c r="G471" s="57"/>
      <c r="H471" s="57"/>
    </row>
    <row r="472" ht="15.75" customHeight="1">
      <c r="F472" s="57"/>
      <c r="G472" s="57"/>
      <c r="H472" s="57"/>
    </row>
    <row r="473" ht="15.75" customHeight="1">
      <c r="F473" s="57"/>
      <c r="G473" s="57"/>
      <c r="H473" s="57"/>
    </row>
    <row r="474" ht="15.75" customHeight="1">
      <c r="F474" s="57"/>
      <c r="G474" s="57"/>
      <c r="H474" s="57"/>
    </row>
    <row r="475" ht="15.75" customHeight="1">
      <c r="F475" s="57"/>
      <c r="G475" s="57"/>
      <c r="H475" s="57"/>
    </row>
    <row r="476" ht="15.75" customHeight="1">
      <c r="F476" s="57"/>
      <c r="G476" s="57"/>
      <c r="H476" s="57"/>
    </row>
    <row r="477" ht="15.75" customHeight="1">
      <c r="F477" s="57"/>
      <c r="G477" s="57"/>
      <c r="H477" s="57"/>
    </row>
    <row r="478" ht="15.75" customHeight="1">
      <c r="F478" s="57"/>
      <c r="G478" s="57"/>
      <c r="H478" s="57"/>
    </row>
    <row r="479" ht="15.75" customHeight="1">
      <c r="F479" s="57"/>
      <c r="G479" s="57"/>
      <c r="H479" s="57"/>
    </row>
    <row r="480" ht="15.75" customHeight="1">
      <c r="F480" s="57"/>
      <c r="G480" s="57"/>
      <c r="H480" s="57"/>
    </row>
    <row r="481" ht="15.75" customHeight="1">
      <c r="F481" s="57"/>
      <c r="G481" s="57"/>
      <c r="H481" s="57"/>
    </row>
    <row r="482" ht="15.75" customHeight="1">
      <c r="F482" s="57"/>
      <c r="G482" s="57"/>
      <c r="H482" s="57"/>
    </row>
    <row r="483" ht="15.75" customHeight="1">
      <c r="F483" s="57"/>
      <c r="G483" s="57"/>
      <c r="H483" s="57"/>
    </row>
    <row r="484" ht="15.75" customHeight="1">
      <c r="F484" s="57"/>
      <c r="G484" s="57"/>
      <c r="H484" s="57"/>
    </row>
    <row r="485" ht="15.75" customHeight="1">
      <c r="F485" s="57"/>
      <c r="G485" s="57"/>
      <c r="H485" s="57"/>
    </row>
    <row r="486" ht="15.75" customHeight="1">
      <c r="F486" s="57"/>
      <c r="G486" s="57"/>
      <c r="H486" s="57"/>
    </row>
    <row r="487" ht="15.75" customHeight="1">
      <c r="F487" s="57"/>
      <c r="G487" s="57"/>
      <c r="H487" s="57"/>
    </row>
    <row r="488" ht="15.75" customHeight="1">
      <c r="F488" s="57"/>
      <c r="G488" s="57"/>
      <c r="H488" s="57"/>
    </row>
    <row r="489" ht="15.75" customHeight="1">
      <c r="F489" s="57"/>
      <c r="G489" s="57"/>
      <c r="H489" s="57"/>
    </row>
    <row r="490" ht="15.75" customHeight="1">
      <c r="F490" s="57"/>
      <c r="G490" s="57"/>
      <c r="H490" s="57"/>
    </row>
    <row r="491" ht="15.75" customHeight="1">
      <c r="F491" s="57"/>
      <c r="G491" s="57"/>
      <c r="H491" s="57"/>
    </row>
    <row r="492" ht="15.75" customHeight="1">
      <c r="F492" s="57"/>
      <c r="G492" s="57"/>
      <c r="H492" s="57"/>
    </row>
    <row r="493" ht="15.75" customHeight="1">
      <c r="F493" s="57"/>
      <c r="G493" s="57"/>
      <c r="H493" s="57"/>
    </row>
    <row r="494" ht="15.75" customHeight="1">
      <c r="F494" s="57"/>
      <c r="G494" s="57"/>
      <c r="H494" s="57"/>
    </row>
    <row r="495" ht="15.75" customHeight="1">
      <c r="F495" s="57"/>
      <c r="G495" s="57"/>
      <c r="H495" s="57"/>
    </row>
    <row r="496" ht="15.75" customHeight="1">
      <c r="F496" s="57"/>
      <c r="G496" s="57"/>
      <c r="H496" s="57"/>
    </row>
    <row r="497" ht="15.75" customHeight="1">
      <c r="F497" s="57"/>
      <c r="G497" s="57"/>
      <c r="H497" s="57"/>
    </row>
    <row r="498" ht="15.75" customHeight="1">
      <c r="F498" s="57"/>
      <c r="G498" s="57"/>
      <c r="H498" s="57"/>
    </row>
    <row r="499" ht="15.75" customHeight="1">
      <c r="F499" s="57"/>
      <c r="G499" s="57"/>
      <c r="H499" s="57"/>
    </row>
    <row r="500" ht="15.75" customHeight="1">
      <c r="F500" s="57"/>
      <c r="G500" s="57"/>
      <c r="H500" s="57"/>
    </row>
    <row r="501" ht="15.75" customHeight="1">
      <c r="F501" s="57"/>
      <c r="G501" s="57"/>
      <c r="H501" s="57"/>
    </row>
    <row r="502" ht="15.75" customHeight="1">
      <c r="F502" s="57"/>
      <c r="G502" s="57"/>
      <c r="H502" s="57"/>
    </row>
    <row r="503" ht="15.75" customHeight="1">
      <c r="F503" s="57"/>
      <c r="G503" s="57"/>
      <c r="H503" s="57"/>
    </row>
    <row r="504" ht="15.75" customHeight="1">
      <c r="F504" s="57"/>
      <c r="G504" s="57"/>
      <c r="H504" s="57"/>
    </row>
    <row r="505" ht="15.75" customHeight="1">
      <c r="F505" s="57"/>
      <c r="G505" s="57"/>
      <c r="H505" s="57"/>
    </row>
    <row r="506" ht="15.75" customHeight="1">
      <c r="F506" s="57"/>
      <c r="G506" s="57"/>
      <c r="H506" s="57"/>
    </row>
    <row r="507" ht="15.75" customHeight="1">
      <c r="F507" s="57"/>
      <c r="G507" s="57"/>
      <c r="H507" s="57"/>
    </row>
    <row r="508" ht="15.75" customHeight="1">
      <c r="F508" s="57"/>
      <c r="G508" s="57"/>
      <c r="H508" s="57"/>
    </row>
    <row r="509" ht="15.75" customHeight="1">
      <c r="F509" s="57"/>
      <c r="G509" s="57"/>
      <c r="H509" s="57"/>
    </row>
    <row r="510" ht="15.75" customHeight="1">
      <c r="F510" s="57"/>
      <c r="G510" s="57"/>
      <c r="H510" s="57"/>
    </row>
    <row r="511" ht="15.75" customHeight="1">
      <c r="F511" s="57"/>
      <c r="G511" s="57"/>
      <c r="H511" s="57"/>
    </row>
    <row r="512" ht="15.75" customHeight="1">
      <c r="F512" s="57"/>
      <c r="G512" s="57"/>
      <c r="H512" s="57"/>
    </row>
    <row r="513" ht="15.75" customHeight="1">
      <c r="F513" s="57"/>
      <c r="G513" s="57"/>
      <c r="H513" s="57"/>
    </row>
    <row r="514" ht="15.75" customHeight="1">
      <c r="F514" s="57"/>
      <c r="G514" s="57"/>
      <c r="H514" s="57"/>
    </row>
    <row r="515" ht="15.75" customHeight="1">
      <c r="F515" s="57"/>
      <c r="G515" s="57"/>
      <c r="H515" s="57"/>
    </row>
    <row r="516" ht="15.75" customHeight="1">
      <c r="F516" s="57"/>
      <c r="G516" s="57"/>
      <c r="H516" s="57"/>
    </row>
    <row r="517" ht="15.75" customHeight="1">
      <c r="F517" s="57"/>
      <c r="G517" s="57"/>
      <c r="H517" s="57"/>
    </row>
    <row r="518" ht="15.75" customHeight="1">
      <c r="F518" s="57"/>
      <c r="G518" s="57"/>
      <c r="H518" s="57"/>
    </row>
    <row r="519" ht="15.75" customHeight="1">
      <c r="F519" s="57"/>
      <c r="G519" s="57"/>
      <c r="H519" s="57"/>
    </row>
    <row r="520" ht="15.75" customHeight="1">
      <c r="F520" s="57"/>
      <c r="G520" s="57"/>
      <c r="H520" s="57"/>
    </row>
    <row r="521" ht="15.75" customHeight="1">
      <c r="F521" s="57"/>
      <c r="G521" s="57"/>
      <c r="H521" s="57"/>
    </row>
    <row r="522" ht="15.75" customHeight="1">
      <c r="F522" s="57"/>
      <c r="G522" s="57"/>
      <c r="H522" s="57"/>
    </row>
    <row r="523" ht="15.75" customHeight="1">
      <c r="F523" s="57"/>
      <c r="G523" s="57"/>
      <c r="H523" s="57"/>
    </row>
    <row r="524" ht="15.75" customHeight="1">
      <c r="F524" s="57"/>
      <c r="G524" s="57"/>
      <c r="H524" s="57"/>
    </row>
    <row r="525" ht="15.75" customHeight="1">
      <c r="F525" s="57"/>
      <c r="G525" s="57"/>
      <c r="H525" s="57"/>
    </row>
    <row r="526" ht="15.75" customHeight="1">
      <c r="F526" s="57"/>
      <c r="G526" s="57"/>
      <c r="H526" s="57"/>
    </row>
    <row r="527" ht="15.75" customHeight="1">
      <c r="F527" s="57"/>
      <c r="G527" s="57"/>
      <c r="H527" s="57"/>
    </row>
    <row r="528" ht="15.75" customHeight="1">
      <c r="F528" s="57"/>
      <c r="G528" s="57"/>
      <c r="H528" s="57"/>
    </row>
    <row r="529" ht="15.75" customHeight="1">
      <c r="F529" s="57"/>
      <c r="G529" s="57"/>
      <c r="H529" s="57"/>
    </row>
    <row r="530" ht="15.75" customHeight="1">
      <c r="F530" s="57"/>
      <c r="G530" s="57"/>
      <c r="H530" s="57"/>
    </row>
    <row r="531" ht="15.75" customHeight="1">
      <c r="F531" s="57"/>
      <c r="G531" s="57"/>
      <c r="H531" s="57"/>
    </row>
    <row r="532" ht="15.75" customHeight="1">
      <c r="F532" s="57"/>
      <c r="G532" s="57"/>
      <c r="H532" s="57"/>
    </row>
    <row r="533" ht="15.75" customHeight="1">
      <c r="F533" s="57"/>
      <c r="G533" s="57"/>
      <c r="H533" s="57"/>
    </row>
    <row r="534" ht="15.75" customHeight="1">
      <c r="F534" s="57"/>
      <c r="G534" s="57"/>
      <c r="H534" s="57"/>
    </row>
    <row r="535" ht="15.75" customHeight="1">
      <c r="F535" s="57"/>
      <c r="G535" s="57"/>
      <c r="H535" s="57"/>
    </row>
    <row r="536" ht="15.75" customHeight="1">
      <c r="F536" s="57"/>
      <c r="G536" s="57"/>
      <c r="H536" s="57"/>
    </row>
    <row r="537" ht="15.75" customHeight="1">
      <c r="F537" s="57"/>
      <c r="G537" s="57"/>
      <c r="H537" s="57"/>
    </row>
    <row r="538" ht="15.75" customHeight="1">
      <c r="F538" s="57"/>
      <c r="G538" s="57"/>
      <c r="H538" s="57"/>
    </row>
    <row r="539" ht="15.75" customHeight="1">
      <c r="F539" s="57"/>
      <c r="G539" s="57"/>
      <c r="H539" s="57"/>
    </row>
    <row r="540" ht="15.75" customHeight="1">
      <c r="F540" s="57"/>
      <c r="G540" s="57"/>
      <c r="H540" s="57"/>
    </row>
    <row r="541" ht="15.75" customHeight="1">
      <c r="F541" s="57"/>
      <c r="G541" s="57"/>
      <c r="H541" s="57"/>
    </row>
    <row r="542" ht="15.75" customHeight="1">
      <c r="F542" s="57"/>
      <c r="G542" s="57"/>
      <c r="H542" s="57"/>
    </row>
    <row r="543" ht="15.75" customHeight="1">
      <c r="F543" s="57"/>
      <c r="G543" s="57"/>
      <c r="H543" s="57"/>
    </row>
    <row r="544" ht="15.75" customHeight="1">
      <c r="F544" s="57"/>
      <c r="G544" s="57"/>
      <c r="H544" s="57"/>
    </row>
    <row r="545" ht="15.75" customHeight="1">
      <c r="F545" s="57"/>
      <c r="G545" s="57"/>
      <c r="H545" s="57"/>
    </row>
    <row r="546" ht="15.75" customHeight="1">
      <c r="F546" s="57"/>
      <c r="G546" s="57"/>
      <c r="H546" s="57"/>
    </row>
    <row r="547" ht="15.75" customHeight="1">
      <c r="F547" s="57"/>
      <c r="G547" s="57"/>
      <c r="H547" s="57"/>
    </row>
    <row r="548" ht="15.75" customHeight="1">
      <c r="F548" s="57"/>
      <c r="G548" s="57"/>
      <c r="H548" s="57"/>
    </row>
    <row r="549" ht="15.75" customHeight="1">
      <c r="F549" s="57"/>
      <c r="G549" s="57"/>
      <c r="H549" s="57"/>
    </row>
    <row r="550" ht="15.75" customHeight="1">
      <c r="F550" s="57"/>
      <c r="G550" s="57"/>
      <c r="H550" s="57"/>
    </row>
    <row r="551" ht="15.75" customHeight="1">
      <c r="F551" s="57"/>
      <c r="G551" s="57"/>
      <c r="H551" s="57"/>
    </row>
    <row r="552" ht="15.75" customHeight="1">
      <c r="F552" s="57"/>
      <c r="G552" s="57"/>
      <c r="H552" s="57"/>
    </row>
    <row r="553" ht="15.75" customHeight="1">
      <c r="F553" s="57"/>
      <c r="G553" s="57"/>
      <c r="H553" s="57"/>
    </row>
    <row r="554" ht="15.75" customHeight="1">
      <c r="F554" s="57"/>
      <c r="G554" s="57"/>
      <c r="H554" s="57"/>
    </row>
    <row r="555" ht="15.75" customHeight="1">
      <c r="F555" s="57"/>
      <c r="G555" s="57"/>
      <c r="H555" s="57"/>
    </row>
    <row r="556" ht="15.75" customHeight="1">
      <c r="F556" s="57"/>
      <c r="G556" s="57"/>
      <c r="H556" s="57"/>
    </row>
    <row r="557" ht="15.75" customHeight="1">
      <c r="F557" s="57"/>
      <c r="G557" s="57"/>
      <c r="H557" s="57"/>
    </row>
    <row r="558" ht="15.75" customHeight="1">
      <c r="F558" s="57"/>
      <c r="G558" s="57"/>
      <c r="H558" s="57"/>
    </row>
    <row r="559" ht="15.75" customHeight="1">
      <c r="F559" s="57"/>
      <c r="G559" s="57"/>
      <c r="H559" s="57"/>
    </row>
    <row r="560" ht="15.75" customHeight="1">
      <c r="F560" s="57"/>
      <c r="G560" s="57"/>
      <c r="H560" s="57"/>
    </row>
    <row r="561" ht="15.75" customHeight="1">
      <c r="F561" s="57"/>
      <c r="G561" s="57"/>
      <c r="H561" s="57"/>
    </row>
    <row r="562" ht="15.75" customHeight="1">
      <c r="F562" s="57"/>
      <c r="G562" s="57"/>
      <c r="H562" s="57"/>
    </row>
    <row r="563" ht="15.75" customHeight="1">
      <c r="F563" s="57"/>
      <c r="G563" s="57"/>
      <c r="H563" s="57"/>
    </row>
    <row r="564" ht="15.75" customHeight="1">
      <c r="F564" s="57"/>
      <c r="G564" s="57"/>
      <c r="H564" s="57"/>
    </row>
    <row r="565" ht="15.75" customHeight="1">
      <c r="F565" s="57"/>
      <c r="G565" s="57"/>
      <c r="H565" s="57"/>
    </row>
    <row r="566" ht="15.75" customHeight="1">
      <c r="F566" s="57"/>
      <c r="G566" s="57"/>
      <c r="H566" s="57"/>
    </row>
    <row r="567" ht="15.75" customHeight="1">
      <c r="F567" s="57"/>
      <c r="G567" s="57"/>
      <c r="H567" s="57"/>
    </row>
    <row r="568" ht="15.75" customHeight="1">
      <c r="F568" s="57"/>
      <c r="G568" s="57"/>
      <c r="H568" s="57"/>
    </row>
    <row r="569" ht="15.75" customHeight="1">
      <c r="F569" s="57"/>
      <c r="G569" s="57"/>
      <c r="H569" s="57"/>
    </row>
    <row r="570" ht="15.75" customHeight="1">
      <c r="F570" s="57"/>
      <c r="G570" s="57"/>
      <c r="H570" s="57"/>
    </row>
    <row r="571" ht="15.75" customHeight="1">
      <c r="F571" s="57"/>
      <c r="G571" s="57"/>
      <c r="H571" s="57"/>
    </row>
    <row r="572" ht="15.75" customHeight="1">
      <c r="F572" s="57"/>
      <c r="G572" s="57"/>
      <c r="H572" s="57"/>
    </row>
    <row r="573" ht="15.75" customHeight="1">
      <c r="F573" s="57"/>
      <c r="G573" s="57"/>
      <c r="H573" s="57"/>
    </row>
    <row r="574" ht="15.75" customHeight="1">
      <c r="F574" s="57"/>
      <c r="G574" s="57"/>
      <c r="H574" s="57"/>
    </row>
    <row r="575" ht="15.75" customHeight="1">
      <c r="F575" s="57"/>
      <c r="G575" s="57"/>
      <c r="H575" s="57"/>
    </row>
    <row r="576" ht="15.75" customHeight="1">
      <c r="F576" s="57"/>
      <c r="G576" s="57"/>
      <c r="H576" s="57"/>
    </row>
    <row r="577" ht="15.75" customHeight="1">
      <c r="F577" s="57"/>
      <c r="G577" s="57"/>
      <c r="H577" s="57"/>
    </row>
    <row r="578" ht="15.75" customHeight="1">
      <c r="F578" s="57"/>
      <c r="G578" s="57"/>
      <c r="H578" s="57"/>
    </row>
    <row r="579" ht="15.75" customHeight="1">
      <c r="F579" s="57"/>
      <c r="G579" s="57"/>
      <c r="H579" s="57"/>
    </row>
    <row r="580" ht="15.75" customHeight="1">
      <c r="F580" s="57"/>
      <c r="G580" s="57"/>
      <c r="H580" s="57"/>
    </row>
    <row r="581" ht="15.75" customHeight="1">
      <c r="F581" s="57"/>
      <c r="G581" s="57"/>
      <c r="H581" s="57"/>
    </row>
    <row r="582" ht="15.75" customHeight="1">
      <c r="F582" s="57"/>
      <c r="G582" s="57"/>
      <c r="H582" s="57"/>
    </row>
    <row r="583" ht="15.75" customHeight="1">
      <c r="F583" s="57"/>
      <c r="G583" s="57"/>
      <c r="H583" s="57"/>
    </row>
    <row r="584" ht="15.75" customHeight="1">
      <c r="F584" s="57"/>
      <c r="G584" s="57"/>
      <c r="H584" s="57"/>
    </row>
    <row r="585" ht="15.75" customHeight="1">
      <c r="F585" s="57"/>
      <c r="G585" s="57"/>
      <c r="H585" s="57"/>
    </row>
    <row r="586" ht="15.75" customHeight="1">
      <c r="F586" s="57"/>
      <c r="G586" s="57"/>
      <c r="H586" s="57"/>
    </row>
    <row r="587" ht="15.75" customHeight="1">
      <c r="F587" s="57"/>
      <c r="G587" s="57"/>
      <c r="H587" s="57"/>
    </row>
    <row r="588" ht="15.75" customHeight="1">
      <c r="F588" s="57"/>
      <c r="G588" s="57"/>
      <c r="H588" s="57"/>
    </row>
    <row r="589" ht="15.75" customHeight="1">
      <c r="F589" s="57"/>
      <c r="G589" s="57"/>
      <c r="H589" s="57"/>
    </row>
    <row r="590" ht="15.75" customHeight="1">
      <c r="F590" s="57"/>
      <c r="G590" s="57"/>
      <c r="H590" s="57"/>
    </row>
    <row r="591" ht="15.75" customHeight="1">
      <c r="F591" s="57"/>
      <c r="G591" s="57"/>
      <c r="H591" s="57"/>
    </row>
    <row r="592" ht="15.75" customHeight="1">
      <c r="F592" s="57"/>
      <c r="G592" s="57"/>
      <c r="H592" s="57"/>
    </row>
    <row r="593" ht="15.75" customHeight="1">
      <c r="F593" s="57"/>
      <c r="G593" s="57"/>
      <c r="H593" s="57"/>
    </row>
    <row r="594" ht="15.75" customHeight="1">
      <c r="F594" s="57"/>
      <c r="G594" s="57"/>
      <c r="H594" s="57"/>
    </row>
    <row r="595" ht="15.75" customHeight="1">
      <c r="F595" s="57"/>
      <c r="G595" s="57"/>
      <c r="H595" s="57"/>
    </row>
    <row r="596" ht="15.75" customHeight="1">
      <c r="F596" s="57"/>
      <c r="G596" s="57"/>
      <c r="H596" s="57"/>
    </row>
    <row r="597" ht="15.75" customHeight="1">
      <c r="F597" s="57"/>
      <c r="G597" s="57"/>
      <c r="H597" s="57"/>
    </row>
    <row r="598" ht="15.75" customHeight="1">
      <c r="F598" s="57"/>
      <c r="G598" s="57"/>
      <c r="H598" s="57"/>
    </row>
    <row r="599" ht="15.75" customHeight="1">
      <c r="F599" s="57"/>
      <c r="G599" s="57"/>
      <c r="H599" s="57"/>
    </row>
    <row r="600" ht="15.75" customHeight="1">
      <c r="F600" s="57"/>
      <c r="G600" s="57"/>
      <c r="H600" s="57"/>
    </row>
    <row r="601" ht="15.75" customHeight="1">
      <c r="F601" s="57"/>
      <c r="G601" s="57"/>
      <c r="H601" s="57"/>
    </row>
    <row r="602" ht="15.75" customHeight="1">
      <c r="F602" s="57"/>
      <c r="G602" s="57"/>
      <c r="H602" s="57"/>
    </row>
    <row r="603" ht="15.75" customHeight="1">
      <c r="F603" s="57"/>
      <c r="G603" s="57"/>
      <c r="H603" s="57"/>
    </row>
    <row r="604" ht="15.75" customHeight="1">
      <c r="F604" s="57"/>
      <c r="G604" s="57"/>
      <c r="H604" s="57"/>
    </row>
    <row r="605" ht="15.75" customHeight="1">
      <c r="F605" s="57"/>
      <c r="G605" s="57"/>
      <c r="H605" s="57"/>
    </row>
    <row r="606" ht="15.75" customHeight="1">
      <c r="F606" s="57"/>
      <c r="G606" s="57"/>
      <c r="H606" s="57"/>
    </row>
    <row r="607" ht="15.75" customHeight="1">
      <c r="F607" s="57"/>
      <c r="G607" s="57"/>
      <c r="H607" s="57"/>
    </row>
    <row r="608" ht="15.75" customHeight="1">
      <c r="F608" s="57"/>
      <c r="G608" s="57"/>
      <c r="H608" s="57"/>
    </row>
    <row r="609" ht="15.75" customHeight="1">
      <c r="F609" s="57"/>
      <c r="G609" s="57"/>
      <c r="H609" s="57"/>
    </row>
    <row r="610" ht="15.75" customHeight="1">
      <c r="F610" s="57"/>
      <c r="G610" s="57"/>
      <c r="H610" s="57"/>
    </row>
    <row r="611" ht="15.75" customHeight="1">
      <c r="F611" s="57"/>
      <c r="G611" s="57"/>
      <c r="H611" s="57"/>
    </row>
    <row r="612" ht="15.75" customHeight="1">
      <c r="F612" s="57"/>
      <c r="G612" s="57"/>
      <c r="H612" s="57"/>
    </row>
    <row r="613" ht="15.75" customHeight="1">
      <c r="F613" s="57"/>
      <c r="G613" s="57"/>
      <c r="H613" s="57"/>
    </row>
    <row r="614" ht="15.75" customHeight="1">
      <c r="F614" s="57"/>
      <c r="G614" s="57"/>
      <c r="H614" s="57"/>
    </row>
    <row r="615" ht="15.75" customHeight="1">
      <c r="F615" s="57"/>
      <c r="G615" s="57"/>
      <c r="H615" s="57"/>
    </row>
    <row r="616" ht="15.75" customHeight="1">
      <c r="F616" s="57"/>
      <c r="G616" s="57"/>
      <c r="H616" s="57"/>
    </row>
    <row r="617" ht="15.75" customHeight="1">
      <c r="F617" s="57"/>
      <c r="G617" s="57"/>
      <c r="H617" s="57"/>
    </row>
    <row r="618" ht="15.75" customHeight="1">
      <c r="F618" s="57"/>
      <c r="G618" s="57"/>
      <c r="H618" s="57"/>
    </row>
    <row r="619" ht="15.75" customHeight="1">
      <c r="F619" s="57"/>
      <c r="G619" s="57"/>
      <c r="H619" s="57"/>
    </row>
    <row r="620" ht="15.75" customHeight="1">
      <c r="F620" s="57"/>
      <c r="G620" s="57"/>
      <c r="H620" s="57"/>
    </row>
    <row r="621" ht="15.75" customHeight="1">
      <c r="F621" s="57"/>
      <c r="G621" s="57"/>
      <c r="H621" s="57"/>
    </row>
    <row r="622" ht="15.75" customHeight="1">
      <c r="F622" s="57"/>
      <c r="G622" s="57"/>
      <c r="H622" s="57"/>
    </row>
    <row r="623" ht="15.75" customHeight="1">
      <c r="F623" s="57"/>
      <c r="G623" s="57"/>
      <c r="H623" s="57"/>
    </row>
    <row r="624" ht="15.75" customHeight="1">
      <c r="F624" s="57"/>
      <c r="G624" s="57"/>
      <c r="H624" s="57"/>
    </row>
    <row r="625" ht="15.75" customHeight="1">
      <c r="F625" s="57"/>
      <c r="G625" s="57"/>
      <c r="H625" s="57"/>
    </row>
    <row r="626" ht="15.75" customHeight="1">
      <c r="F626" s="57"/>
      <c r="G626" s="57"/>
      <c r="H626" s="57"/>
    </row>
    <row r="627" ht="15.75" customHeight="1">
      <c r="F627" s="57"/>
      <c r="G627" s="57"/>
      <c r="H627" s="57"/>
    </row>
    <row r="628" ht="15.75" customHeight="1">
      <c r="F628" s="57"/>
      <c r="G628" s="57"/>
      <c r="H628" s="57"/>
    </row>
    <row r="629" ht="15.75" customHeight="1">
      <c r="F629" s="57"/>
      <c r="G629" s="57"/>
      <c r="H629" s="57"/>
    </row>
    <row r="630" ht="15.75" customHeight="1">
      <c r="F630" s="57"/>
      <c r="G630" s="57"/>
      <c r="H630" s="57"/>
    </row>
    <row r="631" ht="15.75" customHeight="1">
      <c r="F631" s="57"/>
      <c r="G631" s="57"/>
      <c r="H631" s="57"/>
    </row>
    <row r="632" ht="15.75" customHeight="1">
      <c r="F632" s="57"/>
      <c r="G632" s="57"/>
      <c r="H632" s="57"/>
    </row>
    <row r="633" ht="15.75" customHeight="1">
      <c r="F633" s="57"/>
      <c r="G633" s="57"/>
      <c r="H633" s="57"/>
    </row>
    <row r="634" ht="15.75" customHeight="1">
      <c r="F634" s="57"/>
      <c r="G634" s="57"/>
      <c r="H634" s="57"/>
    </row>
    <row r="635" ht="15.75" customHeight="1">
      <c r="F635" s="57"/>
      <c r="G635" s="57"/>
      <c r="H635" s="57"/>
    </row>
    <row r="636" ht="15.75" customHeight="1">
      <c r="F636" s="57"/>
      <c r="G636" s="57"/>
      <c r="H636" s="57"/>
    </row>
    <row r="637" ht="15.75" customHeight="1">
      <c r="F637" s="57"/>
      <c r="G637" s="57"/>
      <c r="H637" s="57"/>
    </row>
    <row r="638" ht="15.75" customHeight="1">
      <c r="F638" s="57"/>
      <c r="G638" s="57"/>
      <c r="H638" s="57"/>
    </row>
    <row r="639" ht="15.75" customHeight="1">
      <c r="F639" s="57"/>
      <c r="G639" s="57"/>
      <c r="H639" s="57"/>
    </row>
    <row r="640" ht="15.75" customHeight="1">
      <c r="F640" s="57"/>
      <c r="G640" s="57"/>
      <c r="H640" s="57"/>
    </row>
    <row r="641" ht="15.75" customHeight="1">
      <c r="F641" s="57"/>
      <c r="G641" s="57"/>
      <c r="H641" s="57"/>
    </row>
    <row r="642" ht="15.75" customHeight="1">
      <c r="F642" s="57"/>
      <c r="G642" s="57"/>
      <c r="H642" s="57"/>
    </row>
    <row r="643" ht="15.75" customHeight="1">
      <c r="F643" s="57"/>
      <c r="G643" s="57"/>
      <c r="H643" s="57"/>
    </row>
    <row r="644" ht="15.75" customHeight="1">
      <c r="F644" s="57"/>
      <c r="G644" s="57"/>
      <c r="H644" s="57"/>
    </row>
    <row r="645" ht="15.75" customHeight="1">
      <c r="F645" s="57"/>
      <c r="G645" s="57"/>
      <c r="H645" s="57"/>
    </row>
    <row r="646" ht="15.75" customHeight="1">
      <c r="F646" s="57"/>
      <c r="G646" s="57"/>
      <c r="H646" s="57"/>
    </row>
    <row r="647" ht="15.75" customHeight="1">
      <c r="F647" s="57"/>
      <c r="G647" s="57"/>
      <c r="H647" s="57"/>
    </row>
    <row r="648" ht="15.75" customHeight="1">
      <c r="F648" s="57"/>
      <c r="G648" s="57"/>
      <c r="H648" s="57"/>
    </row>
    <row r="649" ht="15.75" customHeight="1">
      <c r="F649" s="57"/>
      <c r="G649" s="57"/>
      <c r="H649" s="57"/>
    </row>
    <row r="650" ht="15.75" customHeight="1">
      <c r="F650" s="57"/>
      <c r="G650" s="57"/>
      <c r="H650" s="57"/>
    </row>
    <row r="651" ht="15.75" customHeight="1">
      <c r="F651" s="57"/>
      <c r="G651" s="57"/>
      <c r="H651" s="57"/>
    </row>
    <row r="652" ht="15.75" customHeight="1">
      <c r="F652" s="57"/>
      <c r="G652" s="57"/>
      <c r="H652" s="57"/>
    </row>
    <row r="653" ht="15.75" customHeight="1">
      <c r="F653" s="57"/>
      <c r="G653" s="57"/>
      <c r="H653" s="57"/>
    </row>
    <row r="654" ht="15.75" customHeight="1">
      <c r="F654" s="57"/>
      <c r="G654" s="57"/>
      <c r="H654" s="57"/>
    </row>
    <row r="655" ht="15.75" customHeight="1">
      <c r="F655" s="57"/>
      <c r="G655" s="57"/>
      <c r="H655" s="57"/>
    </row>
    <row r="656" ht="15.75" customHeight="1">
      <c r="F656" s="57"/>
      <c r="G656" s="57"/>
      <c r="H656" s="57"/>
    </row>
    <row r="657" ht="15.75" customHeight="1">
      <c r="F657" s="57"/>
      <c r="G657" s="57"/>
      <c r="H657" s="57"/>
    </row>
    <row r="658" ht="15.75" customHeight="1">
      <c r="F658" s="57"/>
      <c r="G658" s="57"/>
      <c r="H658" s="57"/>
    </row>
    <row r="659" ht="15.75" customHeight="1">
      <c r="F659" s="57"/>
      <c r="G659" s="57"/>
      <c r="H659" s="57"/>
    </row>
    <row r="660" ht="15.75" customHeight="1">
      <c r="F660" s="57"/>
      <c r="G660" s="57"/>
      <c r="H660" s="57"/>
    </row>
    <row r="661" ht="15.75" customHeight="1">
      <c r="F661" s="57"/>
      <c r="G661" s="57"/>
      <c r="H661" s="57"/>
    </row>
    <row r="662" ht="15.75" customHeight="1">
      <c r="F662" s="57"/>
      <c r="G662" s="57"/>
      <c r="H662" s="57"/>
    </row>
    <row r="663" ht="15.75" customHeight="1">
      <c r="F663" s="57"/>
      <c r="G663" s="57"/>
      <c r="H663" s="57"/>
    </row>
    <row r="664" ht="15.75" customHeight="1">
      <c r="F664" s="57"/>
      <c r="G664" s="57"/>
      <c r="H664" s="57"/>
    </row>
    <row r="665" ht="15.75" customHeight="1">
      <c r="F665" s="57"/>
      <c r="G665" s="57"/>
      <c r="H665" s="57"/>
    </row>
    <row r="666" ht="15.75" customHeight="1">
      <c r="F666" s="57"/>
      <c r="G666" s="57"/>
      <c r="H666" s="57"/>
    </row>
    <row r="667" ht="15.75" customHeight="1">
      <c r="F667" s="57"/>
      <c r="G667" s="57"/>
      <c r="H667" s="57"/>
    </row>
    <row r="668" ht="15.75" customHeight="1">
      <c r="F668" s="57"/>
      <c r="G668" s="57"/>
      <c r="H668" s="57"/>
    </row>
    <row r="669" ht="15.75" customHeight="1">
      <c r="F669" s="57"/>
      <c r="G669" s="57"/>
      <c r="H669" s="57"/>
    </row>
    <row r="670" ht="15.75" customHeight="1">
      <c r="F670" s="57"/>
      <c r="G670" s="57"/>
      <c r="H670" s="57"/>
    </row>
    <row r="671" ht="15.75" customHeight="1">
      <c r="F671" s="57"/>
      <c r="G671" s="57"/>
      <c r="H671" s="57"/>
    </row>
    <row r="672" ht="15.75" customHeight="1">
      <c r="F672" s="57"/>
      <c r="G672" s="57"/>
      <c r="H672" s="57"/>
    </row>
    <row r="673" ht="15.75" customHeight="1">
      <c r="F673" s="57"/>
      <c r="G673" s="57"/>
      <c r="H673" s="57"/>
    </row>
    <row r="674" ht="15.75" customHeight="1">
      <c r="F674" s="57"/>
      <c r="G674" s="57"/>
      <c r="H674" s="57"/>
    </row>
    <row r="675" ht="15.75" customHeight="1">
      <c r="F675" s="57"/>
      <c r="G675" s="57"/>
      <c r="H675" s="57"/>
    </row>
    <row r="676" ht="15.75" customHeight="1">
      <c r="F676" s="57"/>
      <c r="G676" s="57"/>
      <c r="H676" s="57"/>
    </row>
    <row r="677" ht="15.75" customHeight="1">
      <c r="F677" s="57"/>
      <c r="G677" s="57"/>
      <c r="H677" s="57"/>
    </row>
    <row r="678" ht="15.75" customHeight="1">
      <c r="F678" s="57"/>
      <c r="G678" s="57"/>
      <c r="H678" s="57"/>
    </row>
    <row r="679" ht="15.75" customHeight="1">
      <c r="F679" s="57"/>
      <c r="G679" s="57"/>
      <c r="H679" s="57"/>
    </row>
    <row r="680" ht="15.75" customHeight="1">
      <c r="F680" s="57"/>
      <c r="G680" s="57"/>
      <c r="H680" s="57"/>
    </row>
    <row r="681" ht="15.75" customHeight="1">
      <c r="F681" s="57"/>
      <c r="G681" s="57"/>
      <c r="H681" s="57"/>
    </row>
    <row r="682" ht="15.75" customHeight="1">
      <c r="F682" s="57"/>
      <c r="G682" s="57"/>
      <c r="H682" s="57"/>
    </row>
    <row r="683" ht="15.75" customHeight="1">
      <c r="F683" s="57"/>
      <c r="G683" s="57"/>
      <c r="H683" s="57"/>
    </row>
    <row r="684" ht="15.75" customHeight="1">
      <c r="F684" s="57"/>
      <c r="G684" s="57"/>
      <c r="H684" s="57"/>
    </row>
    <row r="685" ht="15.75" customHeight="1">
      <c r="F685" s="57"/>
      <c r="G685" s="57"/>
      <c r="H685" s="57"/>
    </row>
    <row r="686" ht="15.75" customHeight="1">
      <c r="F686" s="57"/>
      <c r="G686" s="57"/>
      <c r="H686" s="57"/>
    </row>
    <row r="687" ht="15.75" customHeight="1">
      <c r="F687" s="57"/>
      <c r="G687" s="57"/>
      <c r="H687" s="57"/>
    </row>
    <row r="688" ht="15.75" customHeight="1">
      <c r="F688" s="57"/>
      <c r="G688" s="57"/>
      <c r="H688" s="57"/>
    </row>
    <row r="689" ht="15.75" customHeight="1">
      <c r="F689" s="57"/>
      <c r="G689" s="57"/>
      <c r="H689" s="57"/>
    </row>
    <row r="690" ht="15.75" customHeight="1">
      <c r="F690" s="57"/>
      <c r="G690" s="57"/>
      <c r="H690" s="57"/>
    </row>
    <row r="691" ht="15.75" customHeight="1">
      <c r="F691" s="57"/>
      <c r="G691" s="57"/>
      <c r="H691" s="57"/>
    </row>
    <row r="692" ht="15.75" customHeight="1">
      <c r="F692" s="57"/>
      <c r="G692" s="57"/>
      <c r="H692" s="57"/>
    </row>
    <row r="693" ht="15.75" customHeight="1">
      <c r="F693" s="57"/>
      <c r="G693" s="57"/>
      <c r="H693" s="57"/>
    </row>
    <row r="694" ht="15.75" customHeight="1">
      <c r="F694" s="57"/>
      <c r="G694" s="57"/>
      <c r="H694" s="57"/>
    </row>
    <row r="695" ht="15.75" customHeight="1">
      <c r="F695" s="57"/>
      <c r="G695" s="57"/>
      <c r="H695" s="57"/>
    </row>
    <row r="696" ht="15.75" customHeight="1">
      <c r="F696" s="57"/>
      <c r="G696" s="57"/>
      <c r="H696" s="57"/>
    </row>
    <row r="697" ht="15.75" customHeight="1">
      <c r="F697" s="57"/>
      <c r="G697" s="57"/>
      <c r="H697" s="57"/>
    </row>
    <row r="698" ht="15.75" customHeight="1">
      <c r="F698" s="57"/>
      <c r="G698" s="57"/>
      <c r="H698" s="57"/>
    </row>
    <row r="699" ht="15.75" customHeight="1">
      <c r="F699" s="57"/>
      <c r="G699" s="57"/>
      <c r="H699" s="57"/>
    </row>
    <row r="700" ht="15.75" customHeight="1">
      <c r="F700" s="57"/>
      <c r="G700" s="57"/>
      <c r="H700" s="57"/>
    </row>
    <row r="701" ht="15.75" customHeight="1">
      <c r="F701" s="57"/>
      <c r="G701" s="57"/>
      <c r="H701" s="57"/>
    </row>
    <row r="702" ht="15.75" customHeight="1">
      <c r="F702" s="57"/>
      <c r="G702" s="57"/>
      <c r="H702" s="57"/>
    </row>
    <row r="703" ht="15.75" customHeight="1">
      <c r="F703" s="57"/>
      <c r="G703" s="57"/>
      <c r="H703" s="57"/>
    </row>
    <row r="704" ht="15.75" customHeight="1">
      <c r="F704" s="57"/>
      <c r="G704" s="57"/>
      <c r="H704" s="57"/>
    </row>
    <row r="705" ht="15.75" customHeight="1">
      <c r="F705" s="57"/>
      <c r="G705" s="57"/>
      <c r="H705" s="57"/>
    </row>
    <row r="706" ht="15.75" customHeight="1">
      <c r="F706" s="57"/>
      <c r="G706" s="57"/>
      <c r="H706" s="57"/>
    </row>
    <row r="707" ht="15.75" customHeight="1">
      <c r="F707" s="57"/>
      <c r="G707" s="57"/>
      <c r="H707" s="57"/>
    </row>
    <row r="708" ht="15.75" customHeight="1">
      <c r="F708" s="57"/>
      <c r="G708" s="57"/>
      <c r="H708" s="57"/>
    </row>
    <row r="709" ht="15.75" customHeight="1">
      <c r="F709" s="57"/>
      <c r="G709" s="57"/>
      <c r="H709" s="57"/>
    </row>
    <row r="710" ht="15.75" customHeight="1">
      <c r="F710" s="57"/>
      <c r="G710" s="57"/>
      <c r="H710" s="57"/>
    </row>
    <row r="711" ht="15.75" customHeight="1">
      <c r="F711" s="57"/>
      <c r="G711" s="57"/>
      <c r="H711" s="57"/>
    </row>
    <row r="712" ht="15.75" customHeight="1">
      <c r="F712" s="57"/>
      <c r="G712" s="57"/>
      <c r="H712" s="57"/>
    </row>
    <row r="713" ht="15.75" customHeight="1">
      <c r="F713" s="57"/>
      <c r="G713" s="57"/>
      <c r="H713" s="57"/>
    </row>
    <row r="714" ht="15.75" customHeight="1">
      <c r="F714" s="57"/>
      <c r="G714" s="57"/>
      <c r="H714" s="57"/>
    </row>
    <row r="715" ht="15.75" customHeight="1">
      <c r="F715" s="57"/>
      <c r="G715" s="57"/>
      <c r="H715" s="57"/>
    </row>
    <row r="716" ht="15.75" customHeight="1">
      <c r="F716" s="57"/>
      <c r="G716" s="57"/>
      <c r="H716" s="57"/>
    </row>
    <row r="717" ht="15.75" customHeight="1">
      <c r="F717" s="57"/>
      <c r="G717" s="57"/>
      <c r="H717" s="57"/>
    </row>
    <row r="718" ht="15.75" customHeight="1">
      <c r="F718" s="57"/>
      <c r="G718" s="57"/>
      <c r="H718" s="57"/>
    </row>
    <row r="719" ht="15.75" customHeight="1">
      <c r="F719" s="57"/>
      <c r="G719" s="57"/>
      <c r="H719" s="57"/>
    </row>
    <row r="720" ht="15.75" customHeight="1">
      <c r="F720" s="57"/>
      <c r="G720" s="57"/>
      <c r="H720" s="57"/>
    </row>
    <row r="721" ht="15.75" customHeight="1">
      <c r="F721" s="57"/>
      <c r="G721" s="57"/>
      <c r="H721" s="57"/>
    </row>
    <row r="722" ht="15.75" customHeight="1">
      <c r="F722" s="57"/>
      <c r="G722" s="57"/>
      <c r="H722" s="57"/>
    </row>
    <row r="723" ht="15.75" customHeight="1">
      <c r="F723" s="57"/>
      <c r="G723" s="57"/>
      <c r="H723" s="57"/>
    </row>
    <row r="724" ht="15.75" customHeight="1">
      <c r="F724" s="57"/>
      <c r="G724" s="57"/>
      <c r="H724" s="57"/>
    </row>
    <row r="725" ht="15.75" customHeight="1">
      <c r="F725" s="57"/>
      <c r="G725" s="57"/>
      <c r="H725" s="57"/>
    </row>
    <row r="726" ht="15.75" customHeight="1">
      <c r="F726" s="57"/>
      <c r="G726" s="57"/>
      <c r="H726" s="57"/>
    </row>
    <row r="727" ht="15.75" customHeight="1">
      <c r="F727" s="57"/>
      <c r="G727" s="57"/>
      <c r="H727" s="57"/>
    </row>
    <row r="728" ht="15.75" customHeight="1">
      <c r="F728" s="57"/>
      <c r="G728" s="57"/>
      <c r="H728" s="57"/>
    </row>
    <row r="729" ht="15.75" customHeight="1">
      <c r="F729" s="57"/>
      <c r="G729" s="57"/>
      <c r="H729" s="57"/>
    </row>
    <row r="730" ht="15.75" customHeight="1">
      <c r="F730" s="57"/>
      <c r="G730" s="57"/>
      <c r="H730" s="57"/>
    </row>
    <row r="731" ht="15.75" customHeight="1">
      <c r="F731" s="57"/>
      <c r="G731" s="57"/>
      <c r="H731" s="57"/>
    </row>
    <row r="732" ht="15.75" customHeight="1">
      <c r="F732" s="57"/>
      <c r="G732" s="57"/>
      <c r="H732" s="57"/>
    </row>
    <row r="733" ht="15.75" customHeight="1">
      <c r="F733" s="57"/>
      <c r="G733" s="57"/>
      <c r="H733" s="57"/>
    </row>
    <row r="734" ht="15.75" customHeight="1">
      <c r="F734" s="57"/>
      <c r="G734" s="57"/>
      <c r="H734" s="57"/>
    </row>
    <row r="735" ht="15.75" customHeight="1">
      <c r="F735" s="57"/>
      <c r="G735" s="57"/>
      <c r="H735" s="57"/>
    </row>
    <row r="736" ht="15.75" customHeight="1">
      <c r="F736" s="57"/>
      <c r="G736" s="57"/>
      <c r="H736" s="57"/>
    </row>
    <row r="737" ht="15.75" customHeight="1">
      <c r="F737" s="57"/>
      <c r="G737" s="57"/>
      <c r="H737" s="57"/>
    </row>
    <row r="738" ht="15.75" customHeight="1">
      <c r="F738" s="57"/>
      <c r="G738" s="57"/>
      <c r="H738" s="57"/>
    </row>
    <row r="739" ht="15.75" customHeight="1">
      <c r="F739" s="57"/>
      <c r="G739" s="57"/>
      <c r="H739" s="57"/>
    </row>
    <row r="740" ht="15.75" customHeight="1">
      <c r="F740" s="57"/>
      <c r="G740" s="57"/>
      <c r="H740" s="57"/>
    </row>
    <row r="741" ht="15.75" customHeight="1">
      <c r="F741" s="57"/>
      <c r="G741" s="57"/>
      <c r="H741" s="57"/>
    </row>
    <row r="742" ht="15.75" customHeight="1">
      <c r="F742" s="57"/>
      <c r="G742" s="57"/>
      <c r="H742" s="57"/>
    </row>
    <row r="743" ht="15.75" customHeight="1">
      <c r="F743" s="57"/>
      <c r="G743" s="57"/>
      <c r="H743" s="57"/>
    </row>
    <row r="744" ht="15.75" customHeight="1">
      <c r="F744" s="57"/>
      <c r="G744" s="57"/>
      <c r="H744" s="57"/>
    </row>
    <row r="745" ht="15.75" customHeight="1">
      <c r="F745" s="57"/>
      <c r="G745" s="57"/>
      <c r="H745" s="57"/>
    </row>
    <row r="746" ht="15.75" customHeight="1">
      <c r="F746" s="57"/>
      <c r="G746" s="57"/>
      <c r="H746" s="57"/>
    </row>
    <row r="747" ht="15.75" customHeight="1">
      <c r="F747" s="57"/>
      <c r="G747" s="57"/>
      <c r="H747" s="57"/>
    </row>
    <row r="748" ht="15.75" customHeight="1">
      <c r="F748" s="57"/>
      <c r="G748" s="57"/>
      <c r="H748" s="57"/>
    </row>
    <row r="749" ht="15.75" customHeight="1">
      <c r="F749" s="57"/>
      <c r="G749" s="57"/>
      <c r="H749" s="57"/>
    </row>
    <row r="750" ht="15.75" customHeight="1">
      <c r="F750" s="57"/>
      <c r="G750" s="57"/>
      <c r="H750" s="57"/>
    </row>
    <row r="751" ht="15.75" customHeight="1">
      <c r="F751" s="57"/>
      <c r="G751" s="57"/>
      <c r="H751" s="57"/>
    </row>
    <row r="752" ht="15.75" customHeight="1">
      <c r="F752" s="57"/>
      <c r="G752" s="57"/>
      <c r="H752" s="57"/>
    </row>
    <row r="753" ht="15.75" customHeight="1">
      <c r="F753" s="57"/>
      <c r="G753" s="57"/>
      <c r="H753" s="57"/>
    </row>
    <row r="754" ht="15.75" customHeight="1">
      <c r="F754" s="57"/>
      <c r="G754" s="57"/>
      <c r="H754" s="57"/>
    </row>
    <row r="755" ht="15.75" customHeight="1">
      <c r="F755" s="57"/>
      <c r="G755" s="57"/>
      <c r="H755" s="57"/>
    </row>
    <row r="756" ht="15.75" customHeight="1">
      <c r="F756" s="57"/>
      <c r="G756" s="57"/>
      <c r="H756" s="57"/>
    </row>
    <row r="757" ht="15.75" customHeight="1">
      <c r="F757" s="57"/>
      <c r="G757" s="57"/>
      <c r="H757" s="57"/>
    </row>
    <row r="758" ht="15.75" customHeight="1">
      <c r="F758" s="57"/>
      <c r="G758" s="57"/>
      <c r="H758" s="57"/>
    </row>
    <row r="759" ht="15.75" customHeight="1">
      <c r="F759" s="57"/>
      <c r="G759" s="57"/>
      <c r="H759" s="57"/>
    </row>
    <row r="760" ht="15.75" customHeight="1">
      <c r="F760" s="57"/>
      <c r="G760" s="57"/>
      <c r="H760" s="57"/>
    </row>
    <row r="761" ht="15.75" customHeight="1">
      <c r="F761" s="57"/>
      <c r="G761" s="57"/>
      <c r="H761" s="57"/>
    </row>
    <row r="762" ht="15.75" customHeight="1">
      <c r="F762" s="57"/>
      <c r="G762" s="57"/>
      <c r="H762" s="57"/>
    </row>
    <row r="763" ht="15.75" customHeight="1">
      <c r="F763" s="57"/>
      <c r="G763" s="57"/>
      <c r="H763" s="57"/>
    </row>
    <row r="764" ht="15.75" customHeight="1">
      <c r="F764" s="57"/>
      <c r="G764" s="57"/>
      <c r="H764" s="57"/>
    </row>
    <row r="765" ht="15.75" customHeight="1">
      <c r="F765" s="57"/>
      <c r="G765" s="57"/>
      <c r="H765" s="57"/>
    </row>
    <row r="766" ht="15.75" customHeight="1">
      <c r="F766" s="57"/>
      <c r="G766" s="57"/>
      <c r="H766" s="57"/>
    </row>
    <row r="767" ht="15.75" customHeight="1">
      <c r="F767" s="57"/>
      <c r="G767" s="57"/>
      <c r="H767" s="57"/>
    </row>
    <row r="768" ht="15.75" customHeight="1">
      <c r="F768" s="57"/>
      <c r="G768" s="57"/>
      <c r="H768" s="57"/>
    </row>
    <row r="769" ht="15.75" customHeight="1">
      <c r="F769" s="57"/>
      <c r="G769" s="57"/>
      <c r="H769" s="57"/>
    </row>
    <row r="770" ht="15.75" customHeight="1">
      <c r="F770" s="57"/>
      <c r="G770" s="57"/>
      <c r="H770" s="57"/>
    </row>
    <row r="771" ht="15.75" customHeight="1">
      <c r="F771" s="57"/>
      <c r="G771" s="57"/>
      <c r="H771" s="57"/>
    </row>
    <row r="772" ht="15.75" customHeight="1">
      <c r="F772" s="57"/>
      <c r="G772" s="57"/>
      <c r="H772" s="57"/>
    </row>
    <row r="773" ht="15.75" customHeight="1">
      <c r="F773" s="57"/>
      <c r="G773" s="57"/>
      <c r="H773" s="57"/>
    </row>
    <row r="774" ht="15.75" customHeight="1">
      <c r="F774" s="57"/>
      <c r="G774" s="57"/>
      <c r="H774" s="57"/>
    </row>
    <row r="775" ht="15.75" customHeight="1">
      <c r="F775" s="57"/>
      <c r="G775" s="57"/>
      <c r="H775" s="57"/>
    </row>
    <row r="776" ht="15.75" customHeight="1">
      <c r="F776" s="57"/>
      <c r="G776" s="57"/>
      <c r="H776" s="57"/>
    </row>
    <row r="777" ht="15.75" customHeight="1">
      <c r="F777" s="57"/>
      <c r="G777" s="57"/>
      <c r="H777" s="57"/>
    </row>
    <row r="778" ht="15.75" customHeight="1">
      <c r="F778" s="57"/>
      <c r="G778" s="57"/>
      <c r="H778" s="57"/>
    </row>
    <row r="779" ht="15.75" customHeight="1">
      <c r="F779" s="57"/>
      <c r="G779" s="57"/>
      <c r="H779" s="57"/>
    </row>
    <row r="780" ht="15.75" customHeight="1">
      <c r="F780" s="57"/>
      <c r="G780" s="57"/>
      <c r="H780" s="57"/>
    </row>
    <row r="781" ht="15.75" customHeight="1">
      <c r="F781" s="57"/>
      <c r="G781" s="57"/>
      <c r="H781" s="57"/>
    </row>
    <row r="782" ht="15.75" customHeight="1">
      <c r="F782" s="57"/>
      <c r="G782" s="57"/>
      <c r="H782" s="57"/>
    </row>
    <row r="783" ht="15.75" customHeight="1">
      <c r="F783" s="57"/>
      <c r="G783" s="57"/>
      <c r="H783" s="57"/>
    </row>
    <row r="784" ht="15.75" customHeight="1">
      <c r="F784" s="57"/>
      <c r="G784" s="57"/>
      <c r="H784" s="57"/>
    </row>
    <row r="785" ht="15.75" customHeight="1">
      <c r="F785" s="57"/>
      <c r="G785" s="57"/>
      <c r="H785" s="57"/>
    </row>
    <row r="786" ht="15.75" customHeight="1">
      <c r="F786" s="57"/>
      <c r="G786" s="57"/>
      <c r="H786" s="57"/>
    </row>
    <row r="787" ht="15.75" customHeight="1">
      <c r="F787" s="57"/>
      <c r="G787" s="57"/>
      <c r="H787" s="57"/>
    </row>
    <row r="788" ht="15.75" customHeight="1">
      <c r="F788" s="57"/>
      <c r="G788" s="57"/>
      <c r="H788" s="57"/>
    </row>
    <row r="789" ht="15.75" customHeight="1">
      <c r="F789" s="57"/>
      <c r="G789" s="57"/>
      <c r="H789" s="57"/>
    </row>
    <row r="790" ht="15.75" customHeight="1">
      <c r="F790" s="57"/>
      <c r="G790" s="57"/>
      <c r="H790" s="57"/>
    </row>
    <row r="791" ht="15.75" customHeight="1">
      <c r="F791" s="57"/>
      <c r="G791" s="57"/>
      <c r="H791" s="57"/>
    </row>
    <row r="792" ht="15.75" customHeight="1">
      <c r="F792" s="57"/>
      <c r="G792" s="57"/>
      <c r="H792" s="57"/>
    </row>
    <row r="793" ht="15.75" customHeight="1">
      <c r="F793" s="57"/>
      <c r="G793" s="57"/>
      <c r="H793" s="57"/>
    </row>
    <row r="794" ht="15.75" customHeight="1">
      <c r="F794" s="57"/>
      <c r="G794" s="57"/>
      <c r="H794" s="57"/>
    </row>
    <row r="795" ht="15.75" customHeight="1">
      <c r="F795" s="57"/>
      <c r="G795" s="57"/>
      <c r="H795" s="57"/>
    </row>
    <row r="796" ht="15.75" customHeight="1">
      <c r="F796" s="57"/>
      <c r="G796" s="57"/>
      <c r="H796" s="57"/>
    </row>
    <row r="797" ht="15.75" customHeight="1">
      <c r="F797" s="57"/>
      <c r="G797" s="57"/>
      <c r="H797" s="57"/>
    </row>
    <row r="798" ht="15.75" customHeight="1">
      <c r="F798" s="57"/>
      <c r="G798" s="57"/>
      <c r="H798" s="57"/>
    </row>
    <row r="799" ht="15.75" customHeight="1">
      <c r="F799" s="57"/>
      <c r="G799" s="57"/>
      <c r="H799" s="57"/>
    </row>
    <row r="800" ht="15.75" customHeight="1">
      <c r="F800" s="57"/>
      <c r="G800" s="57"/>
      <c r="H800" s="57"/>
    </row>
    <row r="801" ht="15.75" customHeight="1">
      <c r="F801" s="57"/>
      <c r="G801" s="57"/>
      <c r="H801" s="57"/>
    </row>
    <row r="802" ht="15.75" customHeight="1">
      <c r="F802" s="57"/>
      <c r="G802" s="57"/>
      <c r="H802" s="57"/>
    </row>
    <row r="803" ht="15.75" customHeight="1">
      <c r="F803" s="57"/>
      <c r="G803" s="57"/>
      <c r="H803" s="57"/>
    </row>
    <row r="804" ht="15.75" customHeight="1">
      <c r="F804" s="57"/>
      <c r="G804" s="57"/>
      <c r="H804" s="57"/>
    </row>
    <row r="805" ht="15.75" customHeight="1">
      <c r="F805" s="57"/>
      <c r="G805" s="57"/>
      <c r="H805" s="57"/>
    </row>
    <row r="806" ht="15.75" customHeight="1">
      <c r="F806" s="57"/>
      <c r="G806" s="57"/>
      <c r="H806" s="57"/>
    </row>
    <row r="807" ht="15.75" customHeight="1">
      <c r="F807" s="57"/>
      <c r="G807" s="57"/>
      <c r="H807" s="57"/>
    </row>
    <row r="808" ht="15.75" customHeight="1">
      <c r="F808" s="57"/>
      <c r="G808" s="57"/>
      <c r="H808" s="57"/>
    </row>
    <row r="809" ht="15.75" customHeight="1">
      <c r="F809" s="57"/>
      <c r="G809" s="57"/>
      <c r="H809" s="57"/>
    </row>
    <row r="810" ht="15.75" customHeight="1">
      <c r="F810" s="57"/>
      <c r="G810" s="57"/>
      <c r="H810" s="57"/>
    </row>
    <row r="811" ht="15.75" customHeight="1">
      <c r="F811" s="57"/>
      <c r="G811" s="57"/>
      <c r="H811" s="57"/>
    </row>
    <row r="812" ht="15.75" customHeight="1">
      <c r="F812" s="57"/>
      <c r="G812" s="57"/>
      <c r="H812" s="57"/>
    </row>
    <row r="813" ht="15.75" customHeight="1">
      <c r="F813" s="57"/>
      <c r="G813" s="57"/>
      <c r="H813" s="57"/>
    </row>
    <row r="814" ht="15.75" customHeight="1">
      <c r="F814" s="57"/>
      <c r="G814" s="57"/>
      <c r="H814" s="57"/>
    </row>
    <row r="815" ht="15.75" customHeight="1">
      <c r="F815" s="57"/>
      <c r="G815" s="57"/>
      <c r="H815" s="57"/>
    </row>
    <row r="816" ht="15.75" customHeight="1">
      <c r="F816" s="57"/>
      <c r="G816" s="57"/>
      <c r="H816" s="57"/>
    </row>
    <row r="817" ht="15.75" customHeight="1">
      <c r="F817" s="57"/>
      <c r="G817" s="57"/>
      <c r="H817" s="57"/>
    </row>
    <row r="818" ht="15.75" customHeight="1">
      <c r="F818" s="57"/>
      <c r="G818" s="57"/>
      <c r="H818" s="57"/>
    </row>
    <row r="819" ht="15.75" customHeight="1">
      <c r="F819" s="57"/>
      <c r="G819" s="57"/>
      <c r="H819" s="57"/>
    </row>
    <row r="820" ht="15.75" customHeight="1">
      <c r="F820" s="57"/>
      <c r="G820" s="57"/>
      <c r="H820" s="57"/>
    </row>
    <row r="821" ht="15.75" customHeight="1">
      <c r="F821" s="57"/>
      <c r="G821" s="57"/>
      <c r="H821" s="57"/>
    </row>
    <row r="822" ht="15.75" customHeight="1">
      <c r="F822" s="57"/>
      <c r="G822" s="57"/>
      <c r="H822" s="57"/>
    </row>
    <row r="823" ht="15.75" customHeight="1">
      <c r="F823" s="57"/>
      <c r="G823" s="57"/>
      <c r="H823" s="57"/>
    </row>
    <row r="824" ht="15.75" customHeight="1">
      <c r="F824" s="57"/>
      <c r="G824" s="57"/>
      <c r="H824" s="57"/>
    </row>
    <row r="825" ht="15.75" customHeight="1">
      <c r="F825" s="57"/>
      <c r="G825" s="57"/>
      <c r="H825" s="57"/>
    </row>
    <row r="826" ht="15.75" customHeight="1">
      <c r="F826" s="57"/>
      <c r="G826" s="57"/>
      <c r="H826" s="57"/>
    </row>
    <row r="827" ht="15.75" customHeight="1">
      <c r="F827" s="57"/>
      <c r="G827" s="57"/>
      <c r="H827" s="57"/>
    </row>
    <row r="828" ht="15.75" customHeight="1">
      <c r="F828" s="57"/>
      <c r="G828" s="57"/>
      <c r="H828" s="57"/>
    </row>
    <row r="829" ht="15.75" customHeight="1">
      <c r="F829" s="57"/>
      <c r="G829" s="57"/>
      <c r="H829" s="57"/>
    </row>
    <row r="830" ht="15.75" customHeight="1">
      <c r="F830" s="57"/>
      <c r="G830" s="57"/>
      <c r="H830" s="57"/>
    </row>
    <row r="831" ht="15.75" customHeight="1">
      <c r="F831" s="57"/>
      <c r="G831" s="57"/>
      <c r="H831" s="57"/>
    </row>
    <row r="832" ht="15.75" customHeight="1">
      <c r="F832" s="57"/>
      <c r="G832" s="57"/>
      <c r="H832" s="57"/>
    </row>
    <row r="833" ht="15.75" customHeight="1">
      <c r="F833" s="57"/>
      <c r="G833" s="57"/>
      <c r="H833" s="57"/>
    </row>
    <row r="834" ht="15.75" customHeight="1">
      <c r="F834" s="57"/>
      <c r="G834" s="57"/>
      <c r="H834" s="57"/>
    </row>
    <row r="835" ht="15.75" customHeight="1">
      <c r="F835" s="57"/>
      <c r="G835" s="57"/>
      <c r="H835" s="57"/>
    </row>
    <row r="836" ht="15.75" customHeight="1">
      <c r="F836" s="57"/>
      <c r="G836" s="57"/>
      <c r="H836" s="57"/>
    </row>
    <row r="837" ht="15.75" customHeight="1">
      <c r="F837" s="57"/>
      <c r="G837" s="57"/>
      <c r="H837" s="57"/>
    </row>
    <row r="838" ht="15.75" customHeight="1">
      <c r="F838" s="57"/>
      <c r="G838" s="57"/>
      <c r="H838" s="57"/>
    </row>
    <row r="839" ht="15.75" customHeight="1">
      <c r="F839" s="57"/>
      <c r="G839" s="57"/>
      <c r="H839" s="57"/>
    </row>
    <row r="840" ht="15.75" customHeight="1">
      <c r="F840" s="57"/>
      <c r="G840" s="57"/>
      <c r="H840" s="57"/>
    </row>
    <row r="841" ht="15.75" customHeight="1">
      <c r="F841" s="57"/>
      <c r="G841" s="57"/>
      <c r="H841" s="57"/>
    </row>
    <row r="842" ht="15.75" customHeight="1">
      <c r="F842" s="57"/>
      <c r="G842" s="57"/>
      <c r="H842" s="57"/>
    </row>
    <row r="843" ht="15.75" customHeight="1">
      <c r="F843" s="57"/>
      <c r="G843" s="57"/>
      <c r="H843" s="57"/>
    </row>
    <row r="844" ht="15.75" customHeight="1">
      <c r="F844" s="57"/>
      <c r="G844" s="57"/>
      <c r="H844" s="57"/>
    </row>
    <row r="845" ht="15.75" customHeight="1">
      <c r="F845" s="57"/>
      <c r="G845" s="57"/>
      <c r="H845" s="57"/>
    </row>
    <row r="846" ht="15.75" customHeight="1">
      <c r="F846" s="57"/>
      <c r="G846" s="57"/>
      <c r="H846" s="57"/>
    </row>
    <row r="847" ht="15.75" customHeight="1">
      <c r="F847" s="57"/>
      <c r="G847" s="57"/>
      <c r="H847" s="57"/>
    </row>
    <row r="848" ht="15.75" customHeight="1">
      <c r="F848" s="57"/>
      <c r="G848" s="57"/>
      <c r="H848" s="57"/>
    </row>
    <row r="849" ht="15.75" customHeight="1">
      <c r="F849" s="57"/>
      <c r="G849" s="57"/>
      <c r="H849" s="57"/>
    </row>
    <row r="850" ht="15.75" customHeight="1">
      <c r="F850" s="57"/>
      <c r="G850" s="57"/>
      <c r="H850" s="57"/>
    </row>
    <row r="851" ht="15.75" customHeight="1">
      <c r="F851" s="57"/>
      <c r="G851" s="57"/>
      <c r="H851" s="57"/>
    </row>
    <row r="852" ht="15.75" customHeight="1">
      <c r="F852" s="57"/>
      <c r="G852" s="57"/>
      <c r="H852" s="57"/>
    </row>
    <row r="853" ht="15.75" customHeight="1">
      <c r="F853" s="57"/>
      <c r="G853" s="57"/>
      <c r="H853" s="57"/>
    </row>
    <row r="854" ht="15.75" customHeight="1">
      <c r="F854" s="57"/>
      <c r="G854" s="57"/>
      <c r="H854" s="57"/>
    </row>
    <row r="855" ht="15.75" customHeight="1">
      <c r="F855" s="57"/>
      <c r="G855" s="57"/>
      <c r="H855" s="57"/>
    </row>
    <row r="856" ht="15.75" customHeight="1">
      <c r="F856" s="57"/>
      <c r="G856" s="57"/>
      <c r="H856" s="57"/>
    </row>
    <row r="857" ht="15.75" customHeight="1">
      <c r="F857" s="57"/>
      <c r="G857" s="57"/>
      <c r="H857" s="57"/>
    </row>
    <row r="858" ht="15.75" customHeight="1">
      <c r="F858" s="57"/>
      <c r="G858" s="57"/>
      <c r="H858" s="57"/>
    </row>
    <row r="859" ht="15.75" customHeight="1">
      <c r="F859" s="57"/>
      <c r="G859" s="57"/>
      <c r="H859" s="57"/>
    </row>
    <row r="860" ht="15.75" customHeight="1">
      <c r="F860" s="57"/>
      <c r="G860" s="57"/>
      <c r="H860" s="57"/>
    </row>
    <row r="861" ht="15.75" customHeight="1">
      <c r="F861" s="57"/>
      <c r="G861" s="57"/>
      <c r="H861" s="57"/>
    </row>
    <row r="862" ht="15.75" customHeight="1">
      <c r="F862" s="57"/>
      <c r="G862" s="57"/>
      <c r="H862" s="57"/>
    </row>
    <row r="863" ht="15.75" customHeight="1">
      <c r="F863" s="57"/>
      <c r="G863" s="57"/>
      <c r="H863" s="57"/>
    </row>
    <row r="864" ht="15.75" customHeight="1">
      <c r="F864" s="57"/>
      <c r="G864" s="57"/>
      <c r="H864" s="57"/>
    </row>
    <row r="865" ht="15.75" customHeight="1">
      <c r="F865" s="57"/>
      <c r="G865" s="57"/>
      <c r="H865" s="57"/>
    </row>
    <row r="866" ht="15.75" customHeight="1">
      <c r="F866" s="57"/>
      <c r="G866" s="57"/>
      <c r="H866" s="57"/>
    </row>
    <row r="867" ht="15.75" customHeight="1">
      <c r="F867" s="57"/>
      <c r="G867" s="57"/>
      <c r="H867" s="57"/>
    </row>
    <row r="868" ht="15.75" customHeight="1">
      <c r="F868" s="57"/>
      <c r="G868" s="57"/>
      <c r="H868" s="57"/>
    </row>
    <row r="869" ht="15.75" customHeight="1">
      <c r="F869" s="57"/>
      <c r="G869" s="57"/>
      <c r="H869" s="57"/>
    </row>
    <row r="870" ht="15.75" customHeight="1">
      <c r="F870" s="57"/>
      <c r="G870" s="57"/>
      <c r="H870" s="57"/>
    </row>
    <row r="871" ht="15.75" customHeight="1">
      <c r="F871" s="57"/>
      <c r="G871" s="57"/>
      <c r="H871" s="57"/>
    </row>
    <row r="872" ht="15.75" customHeight="1">
      <c r="F872" s="57"/>
      <c r="G872" s="57"/>
      <c r="H872" s="57"/>
    </row>
    <row r="873" ht="15.75" customHeight="1">
      <c r="F873" s="57"/>
      <c r="G873" s="57"/>
      <c r="H873" s="57"/>
    </row>
    <row r="874" ht="15.75" customHeight="1">
      <c r="F874" s="57"/>
      <c r="G874" s="57"/>
      <c r="H874" s="57"/>
    </row>
    <row r="875" ht="15.75" customHeight="1">
      <c r="F875" s="57"/>
      <c r="G875" s="57"/>
      <c r="H875" s="57"/>
    </row>
    <row r="876" ht="15.75" customHeight="1">
      <c r="F876" s="57"/>
      <c r="G876" s="57"/>
      <c r="H876" s="57"/>
    </row>
    <row r="877" ht="15.75" customHeight="1">
      <c r="F877" s="57"/>
      <c r="G877" s="57"/>
      <c r="H877" s="57"/>
    </row>
    <row r="878" ht="15.75" customHeight="1">
      <c r="F878" s="57"/>
      <c r="G878" s="57"/>
      <c r="H878" s="57"/>
    </row>
    <row r="879" ht="15.75" customHeight="1">
      <c r="F879" s="57"/>
      <c r="G879" s="57"/>
      <c r="H879" s="57"/>
    </row>
    <row r="880" ht="15.75" customHeight="1">
      <c r="F880" s="57"/>
      <c r="G880" s="57"/>
      <c r="H880" s="57"/>
    </row>
    <row r="881" ht="15.75" customHeight="1">
      <c r="F881" s="57"/>
      <c r="G881" s="57"/>
      <c r="H881" s="57"/>
    </row>
    <row r="882" ht="15.75" customHeight="1">
      <c r="F882" s="57"/>
      <c r="G882" s="57"/>
      <c r="H882" s="57"/>
    </row>
    <row r="883" ht="15.75" customHeight="1">
      <c r="F883" s="57"/>
      <c r="G883" s="57"/>
      <c r="H883" s="57"/>
    </row>
    <row r="884" ht="15.75" customHeight="1">
      <c r="F884" s="57"/>
      <c r="G884" s="57"/>
      <c r="H884" s="57"/>
    </row>
    <row r="885" ht="15.75" customHeight="1">
      <c r="F885" s="57"/>
      <c r="G885" s="57"/>
      <c r="H885" s="57"/>
    </row>
    <row r="886" ht="15.75" customHeight="1">
      <c r="F886" s="57"/>
      <c r="G886" s="57"/>
      <c r="H886" s="57"/>
    </row>
    <row r="887" ht="15.75" customHeight="1">
      <c r="F887" s="57"/>
      <c r="G887" s="57"/>
      <c r="H887" s="57"/>
    </row>
    <row r="888" ht="15.75" customHeight="1">
      <c r="F888" s="57"/>
      <c r="G888" s="57"/>
      <c r="H888" s="57"/>
    </row>
    <row r="889" ht="15.75" customHeight="1">
      <c r="F889" s="57"/>
      <c r="G889" s="57"/>
      <c r="H889" s="57"/>
    </row>
    <row r="890" ht="15.75" customHeight="1">
      <c r="F890" s="57"/>
      <c r="G890" s="57"/>
      <c r="H890" s="57"/>
    </row>
    <row r="891" ht="15.75" customHeight="1">
      <c r="F891" s="57"/>
      <c r="G891" s="57"/>
      <c r="H891" s="57"/>
    </row>
    <row r="892" ht="15.75" customHeight="1">
      <c r="F892" s="57"/>
      <c r="G892" s="57"/>
      <c r="H892" s="57"/>
    </row>
    <row r="893" ht="15.75" customHeight="1">
      <c r="F893" s="57"/>
      <c r="G893" s="57"/>
      <c r="H893" s="57"/>
    </row>
    <row r="894" ht="15.75" customHeight="1">
      <c r="F894" s="57"/>
      <c r="G894" s="57"/>
      <c r="H894" s="57"/>
    </row>
    <row r="895" ht="15.75" customHeight="1">
      <c r="F895" s="57"/>
      <c r="G895" s="57"/>
      <c r="H895" s="57"/>
    </row>
    <row r="896" ht="15.75" customHeight="1">
      <c r="F896" s="57"/>
      <c r="G896" s="57"/>
      <c r="H896" s="57"/>
    </row>
    <row r="897" ht="15.75" customHeight="1">
      <c r="F897" s="57"/>
      <c r="G897" s="57"/>
      <c r="H897" s="57"/>
    </row>
    <row r="898" ht="15.75" customHeight="1">
      <c r="F898" s="57"/>
      <c r="G898" s="57"/>
      <c r="H898" s="57"/>
    </row>
    <row r="899" ht="15.75" customHeight="1">
      <c r="F899" s="57"/>
      <c r="G899" s="57"/>
      <c r="H899" s="57"/>
    </row>
    <row r="900" ht="15.75" customHeight="1">
      <c r="F900" s="57"/>
      <c r="G900" s="57"/>
      <c r="H900" s="57"/>
    </row>
    <row r="901" ht="15.75" customHeight="1">
      <c r="F901" s="57"/>
      <c r="G901" s="57"/>
      <c r="H901" s="57"/>
    </row>
    <row r="902" ht="15.75" customHeight="1">
      <c r="F902" s="57"/>
      <c r="G902" s="57"/>
      <c r="H902" s="57"/>
    </row>
    <row r="903" ht="15.75" customHeight="1">
      <c r="F903" s="57"/>
      <c r="G903" s="57"/>
      <c r="H903" s="57"/>
    </row>
    <row r="904" ht="15.75" customHeight="1">
      <c r="F904" s="57"/>
      <c r="G904" s="57"/>
      <c r="H904" s="57"/>
    </row>
    <row r="905" ht="15.75" customHeight="1">
      <c r="F905" s="57"/>
      <c r="G905" s="57"/>
      <c r="H905" s="57"/>
    </row>
    <row r="906" ht="15.75" customHeight="1">
      <c r="F906" s="57"/>
      <c r="G906" s="57"/>
      <c r="H906" s="57"/>
    </row>
    <row r="907" ht="15.75" customHeight="1">
      <c r="F907" s="57"/>
      <c r="G907" s="57"/>
      <c r="H907" s="57"/>
    </row>
    <row r="908" ht="15.75" customHeight="1">
      <c r="F908" s="57"/>
      <c r="G908" s="57"/>
      <c r="H908" s="57"/>
    </row>
    <row r="909" ht="15.75" customHeight="1">
      <c r="F909" s="57"/>
      <c r="G909" s="57"/>
      <c r="H909" s="57"/>
    </row>
    <row r="910" ht="15.75" customHeight="1">
      <c r="F910" s="57"/>
      <c r="G910" s="57"/>
      <c r="H910" s="57"/>
    </row>
    <row r="911" ht="15.75" customHeight="1">
      <c r="F911" s="57"/>
      <c r="G911" s="57"/>
      <c r="H911" s="57"/>
    </row>
    <row r="912" ht="15.75" customHeight="1">
      <c r="F912" s="57"/>
      <c r="G912" s="57"/>
      <c r="H912" s="57"/>
    </row>
    <row r="913" ht="15.75" customHeight="1">
      <c r="F913" s="57"/>
      <c r="G913" s="57"/>
      <c r="H913" s="57"/>
    </row>
    <row r="914" ht="15.75" customHeight="1">
      <c r="F914" s="57"/>
      <c r="G914" s="57"/>
      <c r="H914" s="57"/>
    </row>
    <row r="915" ht="15.75" customHeight="1">
      <c r="F915" s="57"/>
      <c r="G915" s="57"/>
      <c r="H915" s="57"/>
    </row>
    <row r="916" ht="15.75" customHeight="1">
      <c r="F916" s="57"/>
      <c r="G916" s="57"/>
      <c r="H916" s="57"/>
    </row>
    <row r="917" ht="15.75" customHeight="1">
      <c r="F917" s="57"/>
      <c r="G917" s="57"/>
      <c r="H917" s="57"/>
    </row>
    <row r="918" ht="15.75" customHeight="1">
      <c r="F918" s="57"/>
      <c r="G918" s="57"/>
      <c r="H918" s="57"/>
    </row>
    <row r="919" ht="15.75" customHeight="1">
      <c r="F919" s="57"/>
      <c r="G919" s="57"/>
      <c r="H919" s="57"/>
    </row>
    <row r="920" ht="15.75" customHeight="1">
      <c r="F920" s="57"/>
      <c r="G920" s="57"/>
      <c r="H920" s="57"/>
    </row>
    <row r="921" ht="15.75" customHeight="1">
      <c r="F921" s="57"/>
      <c r="G921" s="57"/>
      <c r="H921" s="57"/>
    </row>
    <row r="922" ht="15.75" customHeight="1">
      <c r="F922" s="57"/>
      <c r="G922" s="57"/>
      <c r="H922" s="57"/>
    </row>
    <row r="923" ht="15.75" customHeight="1">
      <c r="F923" s="57"/>
      <c r="G923" s="57"/>
      <c r="H923" s="57"/>
    </row>
    <row r="924" ht="15.75" customHeight="1">
      <c r="F924" s="57"/>
      <c r="G924" s="57"/>
      <c r="H924" s="57"/>
    </row>
    <row r="925" ht="15.75" customHeight="1">
      <c r="F925" s="57"/>
      <c r="G925" s="57"/>
      <c r="H925" s="57"/>
    </row>
    <row r="926" ht="15.75" customHeight="1">
      <c r="F926" s="57"/>
      <c r="G926" s="57"/>
      <c r="H926" s="57"/>
    </row>
    <row r="927" ht="15.75" customHeight="1">
      <c r="F927" s="57"/>
      <c r="G927" s="57"/>
      <c r="H927" s="57"/>
    </row>
    <row r="928" ht="15.75" customHeight="1">
      <c r="F928" s="57"/>
      <c r="G928" s="57"/>
      <c r="H928" s="57"/>
    </row>
    <row r="929" ht="15.75" customHeight="1">
      <c r="F929" s="57"/>
      <c r="G929" s="57"/>
      <c r="H929" s="57"/>
    </row>
    <row r="930" ht="15.75" customHeight="1">
      <c r="F930" s="57"/>
      <c r="G930" s="57"/>
      <c r="H930" s="57"/>
    </row>
    <row r="931" ht="15.75" customHeight="1">
      <c r="F931" s="57"/>
      <c r="G931" s="57"/>
      <c r="H931" s="57"/>
    </row>
    <row r="932" ht="15.75" customHeight="1">
      <c r="F932" s="57"/>
      <c r="G932" s="57"/>
      <c r="H932" s="57"/>
    </row>
    <row r="933" ht="15.75" customHeight="1">
      <c r="F933" s="57"/>
      <c r="G933" s="57"/>
      <c r="H933" s="57"/>
    </row>
    <row r="934" ht="15.75" customHeight="1">
      <c r="F934" s="57"/>
      <c r="G934" s="57"/>
      <c r="H934" s="57"/>
    </row>
    <row r="935" ht="15.75" customHeight="1">
      <c r="F935" s="57"/>
      <c r="G935" s="57"/>
      <c r="H935" s="57"/>
    </row>
    <row r="936" ht="15.75" customHeight="1">
      <c r="F936" s="57"/>
      <c r="G936" s="57"/>
      <c r="H936" s="57"/>
    </row>
    <row r="937" ht="15.75" customHeight="1">
      <c r="F937" s="57"/>
      <c r="G937" s="57"/>
      <c r="H937" s="57"/>
    </row>
    <row r="938" ht="15.75" customHeight="1">
      <c r="F938" s="57"/>
      <c r="G938" s="57"/>
      <c r="H938" s="57"/>
    </row>
    <row r="939" ht="15.75" customHeight="1">
      <c r="F939" s="57"/>
      <c r="G939" s="57"/>
      <c r="H939" s="57"/>
    </row>
    <row r="940" ht="15.75" customHeight="1">
      <c r="F940" s="57"/>
      <c r="G940" s="57"/>
      <c r="H940" s="57"/>
    </row>
    <row r="941" ht="15.75" customHeight="1">
      <c r="F941" s="57"/>
      <c r="G941" s="57"/>
      <c r="H941" s="57"/>
    </row>
    <row r="942" ht="15.75" customHeight="1">
      <c r="F942" s="57"/>
      <c r="G942" s="57"/>
      <c r="H942" s="57"/>
    </row>
    <row r="943" ht="15.75" customHeight="1">
      <c r="F943" s="57"/>
      <c r="G943" s="57"/>
      <c r="H943" s="57"/>
    </row>
    <row r="944" ht="15.75" customHeight="1">
      <c r="F944" s="57"/>
      <c r="G944" s="57"/>
      <c r="H944" s="57"/>
    </row>
    <row r="945" ht="15.75" customHeight="1">
      <c r="F945" s="57"/>
      <c r="G945" s="57"/>
      <c r="H945" s="57"/>
    </row>
    <row r="946" ht="15.75" customHeight="1">
      <c r="F946" s="57"/>
      <c r="G946" s="57"/>
      <c r="H946" s="57"/>
    </row>
    <row r="947" ht="15.75" customHeight="1">
      <c r="F947" s="57"/>
      <c r="G947" s="57"/>
      <c r="H947" s="57"/>
    </row>
    <row r="948" ht="15.75" customHeight="1">
      <c r="F948" s="57"/>
      <c r="G948" s="57"/>
      <c r="H948" s="57"/>
    </row>
    <row r="949" ht="15.75" customHeight="1">
      <c r="F949" s="57"/>
      <c r="G949" s="57"/>
      <c r="H949" s="57"/>
    </row>
    <row r="950" ht="15.75" customHeight="1">
      <c r="F950" s="57"/>
      <c r="G950" s="57"/>
      <c r="H950" s="57"/>
    </row>
    <row r="951" ht="15.75" customHeight="1">
      <c r="F951" s="57"/>
      <c r="G951" s="57"/>
      <c r="H951" s="57"/>
    </row>
    <row r="952" ht="15.75" customHeight="1">
      <c r="F952" s="57"/>
      <c r="G952" s="57"/>
      <c r="H952" s="57"/>
    </row>
    <row r="953" ht="15.75" customHeight="1">
      <c r="F953" s="57"/>
      <c r="G953" s="57"/>
      <c r="H953" s="57"/>
    </row>
    <row r="954" ht="15.75" customHeight="1">
      <c r="F954" s="57"/>
      <c r="G954" s="57"/>
      <c r="H954" s="57"/>
    </row>
    <row r="955" ht="15.75" customHeight="1">
      <c r="F955" s="57"/>
      <c r="G955" s="57"/>
      <c r="H955" s="57"/>
    </row>
    <row r="956" ht="15.75" customHeight="1">
      <c r="F956" s="57"/>
      <c r="G956" s="57"/>
      <c r="H956" s="57"/>
    </row>
    <row r="957" ht="15.75" customHeight="1">
      <c r="F957" s="57"/>
      <c r="G957" s="57"/>
      <c r="H957" s="57"/>
    </row>
    <row r="958" ht="15.75" customHeight="1">
      <c r="F958" s="57"/>
      <c r="G958" s="57"/>
      <c r="H958" s="57"/>
    </row>
    <row r="959" ht="15.75" customHeight="1">
      <c r="F959" s="57"/>
      <c r="G959" s="57"/>
      <c r="H959" s="57"/>
    </row>
    <row r="960" ht="15.75" customHeight="1">
      <c r="F960" s="57"/>
      <c r="G960" s="57"/>
      <c r="H960" s="57"/>
    </row>
    <row r="961" ht="15.75" customHeight="1">
      <c r="F961" s="57"/>
      <c r="G961" s="57"/>
      <c r="H961" s="57"/>
    </row>
    <row r="962" ht="15.75" customHeight="1">
      <c r="F962" s="57"/>
      <c r="G962" s="57"/>
      <c r="H962" s="57"/>
    </row>
    <row r="963" ht="15.75" customHeight="1">
      <c r="F963" s="57"/>
      <c r="G963" s="57"/>
      <c r="H963" s="57"/>
    </row>
    <row r="964" ht="15.75" customHeight="1">
      <c r="F964" s="57"/>
      <c r="G964" s="57"/>
      <c r="H964" s="57"/>
    </row>
    <row r="965" ht="15.75" customHeight="1">
      <c r="F965" s="57"/>
      <c r="G965" s="57"/>
      <c r="H965" s="57"/>
    </row>
    <row r="966" ht="15.75" customHeight="1">
      <c r="F966" s="57"/>
      <c r="G966" s="57"/>
      <c r="H966" s="57"/>
    </row>
    <row r="967" ht="15.75" customHeight="1">
      <c r="F967" s="57"/>
      <c r="G967" s="57"/>
      <c r="H967" s="57"/>
    </row>
    <row r="968" ht="15.75" customHeight="1">
      <c r="F968" s="57"/>
      <c r="G968" s="57"/>
      <c r="H968" s="57"/>
    </row>
    <row r="969" ht="15.75" customHeight="1">
      <c r="F969" s="57"/>
      <c r="G969" s="57"/>
      <c r="H969" s="57"/>
    </row>
    <row r="970" ht="15.75" customHeight="1">
      <c r="F970" s="57"/>
      <c r="G970" s="57"/>
      <c r="H970" s="57"/>
    </row>
    <row r="971" ht="15.75" customHeight="1">
      <c r="F971" s="57"/>
      <c r="G971" s="57"/>
      <c r="H971" s="57"/>
    </row>
    <row r="972" ht="15.75" customHeight="1">
      <c r="F972" s="57"/>
      <c r="G972" s="57"/>
      <c r="H972" s="57"/>
    </row>
    <row r="973" ht="15.75" customHeight="1">
      <c r="F973" s="57"/>
      <c r="G973" s="57"/>
      <c r="H973" s="57"/>
    </row>
    <row r="974" ht="15.75" customHeight="1">
      <c r="F974" s="57"/>
      <c r="G974" s="57"/>
      <c r="H974" s="57"/>
    </row>
    <row r="975" ht="15.75" customHeight="1">
      <c r="F975" s="57"/>
      <c r="G975" s="57"/>
      <c r="H975" s="57"/>
    </row>
    <row r="976" ht="15.75" customHeight="1">
      <c r="F976" s="57"/>
      <c r="G976" s="57"/>
      <c r="H976" s="57"/>
    </row>
    <row r="977" ht="15.75" customHeight="1">
      <c r="F977" s="57"/>
      <c r="G977" s="57"/>
      <c r="H977" s="57"/>
    </row>
    <row r="978" ht="15.75" customHeight="1">
      <c r="F978" s="57"/>
      <c r="G978" s="57"/>
      <c r="H978" s="57"/>
    </row>
    <row r="979" ht="15.75" customHeight="1">
      <c r="F979" s="57"/>
      <c r="G979" s="57"/>
      <c r="H979" s="57"/>
    </row>
    <row r="980" ht="15.75" customHeight="1">
      <c r="F980" s="57"/>
      <c r="G980" s="57"/>
      <c r="H980" s="57"/>
    </row>
    <row r="981" ht="15.75" customHeight="1">
      <c r="F981" s="57"/>
      <c r="G981" s="57"/>
      <c r="H981" s="57"/>
    </row>
    <row r="982" ht="15.75" customHeight="1">
      <c r="F982" s="57"/>
      <c r="G982" s="57"/>
      <c r="H982" s="57"/>
    </row>
    <row r="983" ht="15.75" customHeight="1">
      <c r="F983" s="57"/>
      <c r="G983" s="57"/>
      <c r="H983" s="57"/>
    </row>
    <row r="984" ht="15.75" customHeight="1">
      <c r="F984" s="57"/>
      <c r="G984" s="57"/>
      <c r="H984" s="57"/>
    </row>
    <row r="985" ht="15.75" customHeight="1">
      <c r="F985" s="57"/>
      <c r="G985" s="57"/>
      <c r="H985" s="57"/>
    </row>
    <row r="986" ht="15.75" customHeight="1">
      <c r="F986" s="57"/>
      <c r="G986" s="57"/>
      <c r="H986" s="57"/>
    </row>
    <row r="987" ht="15.75" customHeight="1">
      <c r="F987" s="57"/>
      <c r="G987" s="57"/>
      <c r="H987" s="57"/>
    </row>
    <row r="988" ht="15.75" customHeight="1">
      <c r="F988" s="57"/>
      <c r="G988" s="57"/>
      <c r="H988" s="57"/>
    </row>
    <row r="989" ht="15.75" customHeight="1">
      <c r="F989" s="57"/>
      <c r="G989" s="57"/>
      <c r="H989" s="57"/>
    </row>
    <row r="990" ht="15.75" customHeight="1">
      <c r="F990" s="57"/>
      <c r="G990" s="57"/>
      <c r="H990" s="57"/>
    </row>
    <row r="991" ht="15.75" customHeight="1">
      <c r="F991" s="57"/>
      <c r="G991" s="57"/>
      <c r="H991" s="57"/>
    </row>
    <row r="992" ht="15.75" customHeight="1">
      <c r="F992" s="57"/>
      <c r="G992" s="57"/>
      <c r="H992" s="57"/>
    </row>
    <row r="993" ht="15.75" customHeight="1">
      <c r="F993" s="57"/>
      <c r="G993" s="57"/>
      <c r="H993" s="57"/>
    </row>
    <row r="994" ht="15.75" customHeight="1">
      <c r="F994" s="57"/>
      <c r="G994" s="57"/>
      <c r="H994" s="57"/>
    </row>
    <row r="995" ht="15.75" customHeight="1">
      <c r="F995" s="57"/>
      <c r="G995" s="57"/>
      <c r="H995" s="57"/>
    </row>
    <row r="996" ht="15.75" customHeight="1">
      <c r="F996" s="57"/>
      <c r="G996" s="57"/>
      <c r="H996" s="57"/>
    </row>
    <row r="997" ht="15.75" customHeight="1">
      <c r="F997" s="57"/>
      <c r="G997" s="57"/>
      <c r="H997" s="57"/>
    </row>
    <row r="998" ht="15.75" customHeight="1">
      <c r="F998" s="57"/>
      <c r="G998" s="57"/>
      <c r="H998" s="57"/>
    </row>
    <row r="999" ht="15.75" customHeight="1">
      <c r="F999" s="57"/>
      <c r="G999" s="57"/>
      <c r="H999" s="57"/>
    </row>
    <row r="1000" ht="15.75" customHeight="1">
      <c r="F1000" s="57"/>
      <c r="G1000" s="57"/>
      <c r="H1000" s="57"/>
    </row>
  </sheetData>
  <autoFilter ref="$A$1:$H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</row>
    <row r="2">
      <c r="F2" s="57"/>
      <c r="G2" s="57"/>
      <c r="H2" s="57"/>
    </row>
    <row r="3">
      <c r="F3" s="57"/>
      <c r="G3" s="57"/>
      <c r="H3" s="57"/>
    </row>
    <row r="4">
      <c r="F4" s="57"/>
      <c r="G4" s="57"/>
      <c r="H4" s="57"/>
    </row>
    <row r="5">
      <c r="F5" s="57"/>
      <c r="G5" s="57"/>
      <c r="H5" s="57"/>
    </row>
    <row r="6">
      <c r="F6" s="57"/>
      <c r="G6" s="57"/>
      <c r="H6" s="57"/>
    </row>
    <row r="7">
      <c r="F7" s="57"/>
      <c r="G7" s="57"/>
      <c r="H7" s="57"/>
    </row>
    <row r="8">
      <c r="F8" s="57"/>
      <c r="G8" s="57"/>
      <c r="H8" s="57"/>
    </row>
    <row r="9">
      <c r="F9" s="57"/>
      <c r="G9" s="57"/>
      <c r="H9" s="57"/>
    </row>
    <row r="10">
      <c r="F10" s="57"/>
      <c r="G10" s="57"/>
      <c r="H10" s="57"/>
    </row>
    <row r="11">
      <c r="F11" s="57"/>
      <c r="G11" s="57"/>
      <c r="H11" s="57"/>
    </row>
    <row r="12">
      <c r="F12" s="57"/>
      <c r="G12" s="57"/>
      <c r="H12" s="57"/>
    </row>
    <row r="13">
      <c r="F13" s="57"/>
      <c r="G13" s="57"/>
      <c r="H13" s="57"/>
    </row>
    <row r="14">
      <c r="F14" s="57"/>
      <c r="G14" s="57"/>
      <c r="H14" s="57"/>
    </row>
    <row r="15">
      <c r="F15" s="57"/>
      <c r="G15" s="57"/>
      <c r="H15" s="57"/>
    </row>
    <row r="16">
      <c r="F16" s="57"/>
      <c r="G16" s="57"/>
      <c r="H16" s="57"/>
    </row>
    <row r="17">
      <c r="F17" s="57"/>
      <c r="G17" s="57"/>
      <c r="H17" s="57"/>
    </row>
    <row r="18">
      <c r="F18" s="57"/>
      <c r="G18" s="57"/>
      <c r="H18" s="57"/>
    </row>
    <row r="19">
      <c r="F19" s="57"/>
      <c r="G19" s="57"/>
      <c r="H19" s="57"/>
    </row>
    <row r="20">
      <c r="F20" s="57"/>
      <c r="G20" s="57"/>
      <c r="H20" s="57"/>
    </row>
    <row r="21" ht="15.75" customHeight="1">
      <c r="F21" s="57"/>
      <c r="G21" s="57"/>
      <c r="H21" s="57"/>
    </row>
    <row r="22" ht="15.75" customHeight="1">
      <c r="F22" s="57"/>
      <c r="G22" s="57"/>
      <c r="H22" s="57"/>
    </row>
    <row r="23" ht="15.75" customHeight="1">
      <c r="F23" s="57"/>
      <c r="G23" s="57"/>
      <c r="H23" s="57"/>
    </row>
    <row r="24" ht="15.75" customHeight="1">
      <c r="F24" s="57"/>
      <c r="G24" s="57"/>
      <c r="H24" s="57"/>
    </row>
    <row r="25" ht="15.75" customHeight="1">
      <c r="F25" s="57"/>
      <c r="G25" s="57"/>
      <c r="H25" s="57"/>
    </row>
    <row r="26" ht="15.75" customHeight="1">
      <c r="F26" s="57"/>
      <c r="G26" s="57"/>
      <c r="H26" s="57"/>
    </row>
    <row r="27" ht="15.75" customHeight="1">
      <c r="F27" s="57"/>
      <c r="G27" s="57"/>
      <c r="H27" s="57"/>
    </row>
    <row r="28" ht="15.75" customHeight="1">
      <c r="F28" s="57"/>
      <c r="G28" s="57"/>
      <c r="H28" s="57"/>
    </row>
    <row r="29" ht="15.75" customHeight="1">
      <c r="F29" s="57"/>
      <c r="G29" s="57"/>
      <c r="H29" s="57"/>
    </row>
    <row r="30" ht="15.75" customHeight="1">
      <c r="F30" s="57"/>
      <c r="G30" s="57"/>
      <c r="H30" s="57"/>
    </row>
    <row r="31" ht="15.75" customHeight="1">
      <c r="F31" s="57"/>
      <c r="G31" s="57"/>
      <c r="H31" s="57"/>
    </row>
    <row r="32" ht="15.75" customHeight="1">
      <c r="F32" s="57"/>
      <c r="G32" s="57"/>
      <c r="H32" s="57"/>
    </row>
    <row r="33" ht="15.75" customHeight="1">
      <c r="F33" s="57"/>
      <c r="G33" s="57"/>
      <c r="H33" s="57"/>
    </row>
    <row r="34" ht="15.75" customHeight="1">
      <c r="F34" s="57"/>
      <c r="G34" s="57"/>
      <c r="H34" s="57"/>
    </row>
    <row r="35" ht="15.75" customHeight="1">
      <c r="F35" s="57"/>
      <c r="G35" s="57"/>
      <c r="H35" s="57"/>
    </row>
    <row r="36" ht="15.75" customHeight="1">
      <c r="F36" s="57"/>
      <c r="G36" s="57"/>
      <c r="H36" s="57"/>
    </row>
    <row r="37" ht="15.75" customHeight="1">
      <c r="F37" s="57"/>
      <c r="G37" s="57"/>
      <c r="H37" s="57"/>
    </row>
    <row r="38" ht="15.75" customHeight="1">
      <c r="F38" s="57"/>
      <c r="G38" s="57"/>
      <c r="H38" s="57"/>
    </row>
    <row r="39" ht="15.75" customHeight="1">
      <c r="F39" s="57"/>
      <c r="G39" s="57"/>
      <c r="H39" s="57"/>
    </row>
    <row r="40" ht="15.75" customHeight="1">
      <c r="F40" s="57"/>
      <c r="G40" s="57"/>
      <c r="H40" s="57"/>
    </row>
    <row r="41" ht="15.75" customHeight="1">
      <c r="F41" s="57"/>
      <c r="G41" s="57"/>
      <c r="H41" s="57"/>
    </row>
    <row r="42" ht="15.75" customHeight="1">
      <c r="F42" s="57"/>
      <c r="G42" s="57"/>
      <c r="H42" s="57"/>
    </row>
    <row r="43" ht="15.75" customHeight="1">
      <c r="F43" s="57"/>
      <c r="G43" s="57"/>
      <c r="H43" s="57"/>
    </row>
    <row r="44" ht="15.75" customHeight="1">
      <c r="F44" s="57"/>
      <c r="G44" s="57"/>
      <c r="H44" s="57"/>
    </row>
    <row r="45" ht="15.75" customHeight="1">
      <c r="F45" s="57"/>
      <c r="G45" s="57"/>
      <c r="H45" s="57"/>
    </row>
    <row r="46" ht="15.75" customHeight="1">
      <c r="F46" s="57"/>
      <c r="G46" s="57"/>
      <c r="H46" s="57"/>
    </row>
    <row r="47" ht="15.75" customHeight="1">
      <c r="F47" s="57"/>
      <c r="G47" s="57"/>
      <c r="H47" s="57"/>
    </row>
    <row r="48" ht="15.75" customHeight="1">
      <c r="F48" s="57"/>
      <c r="G48" s="57"/>
      <c r="H48" s="57"/>
    </row>
    <row r="49" ht="15.75" customHeight="1">
      <c r="F49" s="57"/>
      <c r="G49" s="57"/>
      <c r="H49" s="57"/>
    </row>
    <row r="50" ht="15.75" customHeight="1">
      <c r="F50" s="57"/>
      <c r="G50" s="57"/>
      <c r="H50" s="57"/>
    </row>
    <row r="51" ht="15.75" customHeight="1">
      <c r="F51" s="57"/>
      <c r="G51" s="57"/>
      <c r="H51" s="57"/>
    </row>
    <row r="52" ht="15.75" customHeight="1">
      <c r="F52" s="57"/>
      <c r="G52" s="57"/>
      <c r="H52" s="57"/>
    </row>
    <row r="53" ht="15.75" customHeight="1">
      <c r="F53" s="57"/>
      <c r="G53" s="57"/>
      <c r="H53" s="57"/>
    </row>
    <row r="54" ht="15.75" customHeight="1">
      <c r="F54" s="57"/>
      <c r="G54" s="57"/>
      <c r="H54" s="57"/>
    </row>
    <row r="55" ht="15.75" customHeight="1">
      <c r="F55" s="57"/>
      <c r="G55" s="57"/>
      <c r="H55" s="57"/>
    </row>
    <row r="56" ht="15.75" customHeight="1">
      <c r="F56" s="57"/>
      <c r="G56" s="57"/>
      <c r="H56" s="57"/>
    </row>
    <row r="57" ht="15.75" customHeight="1">
      <c r="F57" s="57"/>
      <c r="G57" s="57"/>
      <c r="H57" s="57"/>
    </row>
    <row r="58" ht="15.75" customHeight="1">
      <c r="F58" s="57"/>
      <c r="G58" s="57"/>
      <c r="H58" s="57"/>
    </row>
    <row r="59" ht="15.75" customHeight="1">
      <c r="F59" s="57"/>
      <c r="G59" s="57"/>
      <c r="H59" s="57"/>
    </row>
    <row r="60" ht="15.75" customHeight="1">
      <c r="F60" s="57"/>
      <c r="G60" s="57"/>
      <c r="H60" s="57"/>
    </row>
    <row r="61" ht="15.75" customHeight="1">
      <c r="F61" s="57"/>
      <c r="G61" s="57"/>
      <c r="H61" s="57"/>
    </row>
    <row r="62" ht="15.75" customHeight="1">
      <c r="F62" s="57"/>
      <c r="G62" s="57"/>
      <c r="H62" s="57"/>
    </row>
    <row r="63" ht="15.75" customHeight="1">
      <c r="F63" s="57"/>
      <c r="G63" s="57"/>
      <c r="H63" s="57"/>
    </row>
    <row r="64" ht="15.75" customHeight="1">
      <c r="F64" s="57"/>
      <c r="G64" s="57"/>
      <c r="H64" s="57"/>
    </row>
    <row r="65" ht="15.75" customHeight="1">
      <c r="F65" s="57"/>
      <c r="G65" s="57"/>
      <c r="H65" s="57"/>
    </row>
    <row r="66" ht="15.75" customHeight="1">
      <c r="F66" s="57"/>
      <c r="G66" s="57"/>
      <c r="H66" s="57"/>
    </row>
    <row r="67" ht="15.75" customHeight="1">
      <c r="F67" s="57"/>
      <c r="G67" s="57"/>
      <c r="H67" s="57"/>
    </row>
    <row r="68" ht="15.75" customHeight="1">
      <c r="F68" s="57"/>
      <c r="G68" s="57"/>
      <c r="H68" s="57"/>
    </row>
    <row r="69" ht="15.75" customHeight="1">
      <c r="F69" s="57"/>
      <c r="G69" s="57"/>
      <c r="H69" s="57"/>
    </row>
    <row r="70" ht="15.75" customHeight="1">
      <c r="F70" s="57"/>
      <c r="G70" s="57"/>
      <c r="H70" s="57"/>
    </row>
    <row r="71" ht="15.75" customHeight="1">
      <c r="F71" s="57"/>
      <c r="G71" s="57"/>
      <c r="H71" s="57"/>
    </row>
    <row r="72" ht="15.75" customHeight="1">
      <c r="F72" s="57"/>
      <c r="G72" s="57"/>
      <c r="H72" s="57"/>
    </row>
    <row r="73" ht="15.75" customHeight="1">
      <c r="F73" s="57"/>
      <c r="G73" s="57"/>
      <c r="H73" s="57"/>
    </row>
    <row r="74" ht="15.75" customHeight="1">
      <c r="F74" s="57"/>
      <c r="G74" s="57"/>
      <c r="H74" s="57"/>
    </row>
    <row r="75" ht="15.75" customHeight="1">
      <c r="F75" s="57"/>
      <c r="G75" s="57"/>
      <c r="H75" s="57"/>
    </row>
    <row r="76" ht="15.75" customHeight="1">
      <c r="F76" s="57"/>
      <c r="G76" s="57"/>
      <c r="H76" s="57"/>
    </row>
    <row r="77" ht="15.75" customHeight="1">
      <c r="F77" s="57"/>
      <c r="G77" s="57"/>
      <c r="H77" s="57"/>
    </row>
    <row r="78" ht="15.75" customHeight="1">
      <c r="F78" s="57"/>
      <c r="G78" s="57"/>
      <c r="H78" s="57"/>
    </row>
    <row r="79" ht="15.75" customHeight="1">
      <c r="F79" s="57"/>
      <c r="G79" s="57"/>
      <c r="H79" s="57"/>
    </row>
    <row r="80" ht="15.75" customHeight="1">
      <c r="F80" s="57"/>
      <c r="G80" s="57"/>
      <c r="H80" s="57"/>
    </row>
    <row r="81" ht="15.75" customHeight="1">
      <c r="F81" s="57"/>
      <c r="G81" s="57"/>
      <c r="H81" s="57"/>
    </row>
    <row r="82" ht="15.75" customHeight="1">
      <c r="F82" s="57"/>
      <c r="G82" s="57"/>
      <c r="H82" s="57"/>
    </row>
    <row r="83" ht="15.75" customHeight="1">
      <c r="F83" s="57"/>
      <c r="G83" s="57"/>
      <c r="H83" s="57"/>
    </row>
    <row r="84" ht="15.75" customHeight="1">
      <c r="F84" s="57"/>
      <c r="G84" s="57"/>
      <c r="H84" s="57"/>
    </row>
    <row r="85" ht="15.75" customHeight="1">
      <c r="F85" s="57"/>
      <c r="G85" s="57"/>
      <c r="H85" s="57"/>
    </row>
    <row r="86" ht="15.75" customHeight="1">
      <c r="F86" s="57"/>
      <c r="G86" s="57"/>
      <c r="H86" s="57"/>
    </row>
    <row r="87" ht="15.75" customHeight="1">
      <c r="F87" s="57"/>
      <c r="G87" s="57"/>
      <c r="H87" s="57"/>
    </row>
    <row r="88" ht="15.75" customHeight="1">
      <c r="F88" s="57"/>
      <c r="G88" s="57"/>
      <c r="H88" s="57"/>
    </row>
    <row r="89" ht="15.75" customHeight="1">
      <c r="F89" s="57"/>
      <c r="G89" s="57"/>
      <c r="H89" s="57"/>
    </row>
    <row r="90" ht="15.75" customHeight="1">
      <c r="F90" s="57"/>
      <c r="G90" s="57"/>
      <c r="H90" s="57"/>
    </row>
    <row r="91" ht="15.75" customHeight="1">
      <c r="F91" s="57"/>
      <c r="G91" s="57"/>
      <c r="H91" s="57"/>
    </row>
    <row r="92" ht="15.75" customHeight="1">
      <c r="F92" s="57"/>
      <c r="G92" s="57"/>
      <c r="H92" s="57"/>
    </row>
    <row r="93" ht="15.75" customHeight="1">
      <c r="F93" s="57"/>
      <c r="G93" s="57"/>
      <c r="H93" s="57"/>
    </row>
    <row r="94" ht="15.75" customHeight="1">
      <c r="F94" s="57"/>
      <c r="G94" s="57"/>
      <c r="H94" s="57"/>
    </row>
    <row r="95" ht="15.75" customHeight="1">
      <c r="F95" s="57"/>
      <c r="G95" s="57"/>
      <c r="H95" s="57"/>
    </row>
    <row r="96" ht="15.75" customHeight="1">
      <c r="F96" s="57"/>
      <c r="G96" s="57"/>
      <c r="H96" s="57"/>
    </row>
    <row r="97" ht="15.75" customHeight="1">
      <c r="F97" s="57"/>
      <c r="G97" s="57"/>
      <c r="H97" s="57"/>
    </row>
    <row r="98" ht="15.75" customHeight="1">
      <c r="F98" s="57"/>
      <c r="G98" s="57"/>
      <c r="H98" s="57"/>
    </row>
    <row r="99" ht="15.75" customHeight="1">
      <c r="F99" s="57"/>
      <c r="G99" s="57"/>
      <c r="H99" s="57"/>
    </row>
    <row r="100" ht="15.75" customHeight="1">
      <c r="F100" s="57"/>
      <c r="G100" s="57"/>
      <c r="H100" s="57"/>
    </row>
    <row r="101" ht="15.75" customHeight="1">
      <c r="F101" s="57"/>
      <c r="G101" s="57"/>
      <c r="H101" s="57"/>
    </row>
    <row r="102" ht="15.75" customHeight="1">
      <c r="F102" s="57"/>
      <c r="G102" s="57"/>
      <c r="H102" s="57"/>
    </row>
    <row r="103" ht="15.75" customHeight="1">
      <c r="F103" s="57"/>
      <c r="G103" s="57"/>
      <c r="H103" s="57"/>
    </row>
    <row r="104" ht="15.75" customHeight="1">
      <c r="F104" s="57"/>
      <c r="G104" s="57"/>
      <c r="H104" s="57"/>
    </row>
    <row r="105" ht="15.75" customHeight="1">
      <c r="F105" s="57"/>
      <c r="G105" s="57"/>
      <c r="H105" s="57"/>
    </row>
    <row r="106" ht="15.75" customHeight="1">
      <c r="F106" s="57"/>
      <c r="G106" s="57"/>
      <c r="H106" s="57"/>
    </row>
    <row r="107" ht="15.75" customHeight="1">
      <c r="F107" s="57"/>
      <c r="G107" s="57"/>
      <c r="H107" s="57"/>
    </row>
    <row r="108" ht="15.75" customHeight="1">
      <c r="F108" s="57"/>
      <c r="G108" s="57"/>
      <c r="H108" s="57"/>
    </row>
    <row r="109" ht="15.75" customHeight="1">
      <c r="F109" s="57"/>
      <c r="G109" s="57"/>
      <c r="H109" s="57"/>
    </row>
    <row r="110" ht="15.75" customHeight="1">
      <c r="F110" s="57"/>
      <c r="G110" s="57"/>
      <c r="H110" s="57"/>
    </row>
    <row r="111" ht="15.75" customHeight="1">
      <c r="F111" s="57"/>
      <c r="G111" s="57"/>
      <c r="H111" s="57"/>
    </row>
    <row r="112" ht="15.75" customHeight="1">
      <c r="F112" s="57"/>
      <c r="G112" s="57"/>
      <c r="H112" s="57"/>
    </row>
    <row r="113" ht="15.75" customHeight="1">
      <c r="F113" s="57"/>
      <c r="G113" s="57"/>
      <c r="H113" s="57"/>
    </row>
    <row r="114" ht="15.75" customHeight="1">
      <c r="F114" s="57"/>
      <c r="G114" s="57"/>
      <c r="H114" s="57"/>
    </row>
    <row r="115" ht="15.75" customHeight="1">
      <c r="F115" s="57"/>
      <c r="G115" s="57"/>
      <c r="H115" s="57"/>
    </row>
    <row r="116" ht="15.75" customHeight="1">
      <c r="F116" s="57"/>
      <c r="G116" s="57"/>
      <c r="H116" s="57"/>
    </row>
    <row r="117" ht="15.75" customHeight="1">
      <c r="F117" s="57"/>
      <c r="G117" s="57"/>
      <c r="H117" s="57"/>
    </row>
    <row r="118" ht="15.75" customHeight="1">
      <c r="F118" s="57"/>
      <c r="G118" s="57"/>
      <c r="H118" s="57"/>
    </row>
    <row r="119" ht="15.75" customHeight="1">
      <c r="F119" s="57"/>
      <c r="G119" s="57"/>
      <c r="H119" s="57"/>
    </row>
    <row r="120" ht="15.75" customHeight="1">
      <c r="F120" s="57"/>
      <c r="G120" s="57"/>
      <c r="H120" s="57"/>
    </row>
    <row r="121" ht="15.75" customHeight="1">
      <c r="F121" s="57"/>
      <c r="G121" s="57"/>
      <c r="H121" s="57"/>
    </row>
    <row r="122" ht="15.75" customHeight="1">
      <c r="F122" s="57"/>
      <c r="G122" s="57"/>
      <c r="H122" s="57"/>
    </row>
    <row r="123" ht="15.75" customHeight="1">
      <c r="F123" s="57"/>
      <c r="G123" s="57"/>
      <c r="H123" s="57"/>
    </row>
    <row r="124" ht="15.75" customHeight="1">
      <c r="F124" s="57"/>
      <c r="G124" s="57"/>
      <c r="H124" s="57"/>
    </row>
    <row r="125" ht="15.75" customHeight="1">
      <c r="F125" s="57"/>
      <c r="G125" s="57"/>
      <c r="H125" s="57"/>
    </row>
    <row r="126" ht="15.75" customHeight="1">
      <c r="F126" s="57"/>
      <c r="G126" s="57"/>
      <c r="H126" s="57"/>
    </row>
    <row r="127" ht="15.75" customHeight="1">
      <c r="F127" s="57"/>
      <c r="G127" s="57"/>
      <c r="H127" s="57"/>
    </row>
    <row r="128" ht="15.75" customHeight="1">
      <c r="F128" s="57"/>
      <c r="G128" s="57"/>
      <c r="H128" s="57"/>
    </row>
    <row r="129" ht="15.75" customHeight="1">
      <c r="F129" s="57"/>
      <c r="G129" s="57"/>
      <c r="H129" s="57"/>
    </row>
    <row r="130" ht="15.75" customHeight="1">
      <c r="F130" s="57"/>
      <c r="G130" s="57"/>
      <c r="H130" s="57"/>
    </row>
    <row r="131" ht="15.75" customHeight="1">
      <c r="F131" s="57"/>
      <c r="G131" s="57"/>
      <c r="H131" s="57"/>
    </row>
    <row r="132" ht="15.75" customHeight="1">
      <c r="F132" s="57"/>
      <c r="G132" s="57"/>
      <c r="H132" s="57"/>
    </row>
    <row r="133" ht="15.75" customHeight="1">
      <c r="F133" s="57"/>
      <c r="G133" s="57"/>
      <c r="H133" s="57"/>
    </row>
    <row r="134" ht="15.75" customHeight="1">
      <c r="F134" s="57"/>
      <c r="G134" s="57"/>
      <c r="H134" s="57"/>
    </row>
    <row r="135" ht="15.75" customHeight="1">
      <c r="F135" s="57"/>
      <c r="G135" s="57"/>
      <c r="H135" s="57"/>
    </row>
    <row r="136" ht="15.75" customHeight="1">
      <c r="F136" s="57"/>
      <c r="G136" s="57"/>
      <c r="H136" s="57"/>
    </row>
    <row r="137" ht="15.75" customHeight="1">
      <c r="F137" s="57"/>
      <c r="G137" s="57"/>
      <c r="H137" s="57"/>
    </row>
    <row r="138" ht="15.75" customHeight="1">
      <c r="F138" s="57"/>
      <c r="G138" s="57"/>
      <c r="H138" s="57"/>
    </row>
    <row r="139" ht="15.75" customHeight="1">
      <c r="F139" s="57"/>
      <c r="G139" s="57"/>
      <c r="H139" s="57"/>
    </row>
    <row r="140" ht="15.75" customHeight="1">
      <c r="F140" s="57"/>
      <c r="G140" s="57"/>
      <c r="H140" s="57"/>
    </row>
    <row r="141" ht="15.75" customHeight="1">
      <c r="F141" s="57"/>
      <c r="G141" s="57"/>
      <c r="H141" s="57"/>
    </row>
    <row r="142" ht="15.75" customHeight="1">
      <c r="F142" s="57"/>
      <c r="G142" s="57"/>
      <c r="H142" s="57"/>
    </row>
    <row r="143" ht="15.75" customHeight="1">
      <c r="F143" s="57"/>
      <c r="G143" s="57"/>
      <c r="H143" s="57"/>
    </row>
    <row r="144" ht="15.75" customHeight="1">
      <c r="F144" s="57"/>
      <c r="G144" s="57"/>
      <c r="H144" s="57"/>
    </row>
    <row r="145" ht="15.75" customHeight="1">
      <c r="F145" s="57"/>
      <c r="G145" s="57"/>
      <c r="H145" s="57"/>
    </row>
    <row r="146" ht="15.75" customHeight="1">
      <c r="F146" s="57"/>
      <c r="G146" s="57"/>
      <c r="H146" s="57"/>
    </row>
    <row r="147" ht="15.75" customHeight="1">
      <c r="F147" s="57"/>
      <c r="G147" s="57"/>
      <c r="H147" s="57"/>
    </row>
    <row r="148" ht="15.75" customHeight="1">
      <c r="F148" s="57"/>
      <c r="G148" s="57"/>
      <c r="H148" s="57"/>
    </row>
    <row r="149" ht="15.75" customHeight="1">
      <c r="F149" s="57"/>
      <c r="G149" s="57"/>
      <c r="H149" s="57"/>
    </row>
    <row r="150" ht="15.75" customHeight="1">
      <c r="F150" s="57"/>
      <c r="G150" s="57"/>
      <c r="H150" s="57"/>
    </row>
    <row r="151" ht="15.75" customHeight="1">
      <c r="F151" s="57"/>
      <c r="G151" s="57"/>
      <c r="H151" s="57"/>
    </row>
    <row r="152" ht="15.75" customHeight="1">
      <c r="F152" s="57"/>
      <c r="G152" s="57"/>
      <c r="H152" s="57"/>
    </row>
    <row r="153" ht="15.75" customHeight="1">
      <c r="F153" s="57"/>
      <c r="G153" s="57"/>
      <c r="H153" s="57"/>
    </row>
    <row r="154" ht="15.75" customHeight="1">
      <c r="F154" s="57"/>
      <c r="G154" s="57"/>
      <c r="H154" s="57"/>
    </row>
    <row r="155" ht="15.75" customHeight="1">
      <c r="F155" s="57"/>
      <c r="G155" s="57"/>
      <c r="H155" s="57"/>
    </row>
    <row r="156" ht="15.75" customHeight="1">
      <c r="F156" s="57"/>
      <c r="G156" s="57"/>
      <c r="H156" s="57"/>
    </row>
    <row r="157" ht="15.75" customHeight="1">
      <c r="F157" s="57"/>
      <c r="G157" s="57"/>
      <c r="H157" s="57"/>
    </row>
    <row r="158" ht="15.75" customHeight="1">
      <c r="F158" s="57"/>
      <c r="G158" s="57"/>
      <c r="H158" s="57"/>
    </row>
    <row r="159" ht="15.75" customHeight="1">
      <c r="F159" s="57"/>
      <c r="G159" s="57"/>
      <c r="H159" s="57"/>
    </row>
    <row r="160" ht="15.75" customHeight="1">
      <c r="F160" s="57"/>
      <c r="G160" s="57"/>
      <c r="H160" s="57"/>
    </row>
    <row r="161" ht="15.75" customHeight="1">
      <c r="F161" s="57"/>
      <c r="G161" s="57"/>
      <c r="H161" s="57"/>
    </row>
    <row r="162" ht="15.75" customHeight="1">
      <c r="F162" s="57"/>
      <c r="G162" s="57"/>
      <c r="H162" s="57"/>
    </row>
    <row r="163" ht="15.75" customHeight="1">
      <c r="F163" s="57"/>
      <c r="G163" s="57"/>
      <c r="H163" s="57"/>
    </row>
    <row r="164" ht="15.75" customHeight="1">
      <c r="F164" s="57"/>
      <c r="G164" s="57"/>
      <c r="H164" s="57"/>
    </row>
    <row r="165" ht="15.75" customHeight="1">
      <c r="F165" s="57"/>
      <c r="G165" s="57"/>
      <c r="H165" s="57"/>
    </row>
    <row r="166" ht="15.75" customHeight="1">
      <c r="F166" s="57"/>
      <c r="G166" s="57"/>
      <c r="H166" s="57"/>
    </row>
    <row r="167" ht="15.75" customHeight="1">
      <c r="F167" s="57"/>
      <c r="G167" s="57"/>
      <c r="H167" s="57"/>
    </row>
    <row r="168" ht="15.75" customHeight="1">
      <c r="F168" s="57"/>
      <c r="G168" s="57"/>
      <c r="H168" s="57"/>
    </row>
    <row r="169" ht="15.75" customHeight="1">
      <c r="F169" s="57"/>
      <c r="G169" s="57"/>
      <c r="H169" s="57"/>
    </row>
    <row r="170" ht="15.75" customHeight="1">
      <c r="F170" s="57"/>
      <c r="G170" s="57"/>
      <c r="H170" s="57"/>
    </row>
    <row r="171" ht="15.75" customHeight="1">
      <c r="F171" s="57"/>
      <c r="G171" s="57"/>
      <c r="H171" s="57"/>
    </row>
    <row r="172" ht="15.75" customHeight="1">
      <c r="F172" s="57"/>
      <c r="G172" s="57"/>
      <c r="H172" s="57"/>
    </row>
    <row r="173" ht="15.75" customHeight="1">
      <c r="F173" s="57"/>
      <c r="G173" s="57"/>
      <c r="H173" s="57"/>
    </row>
    <row r="174" ht="15.75" customHeight="1">
      <c r="F174" s="57"/>
      <c r="G174" s="57"/>
      <c r="H174" s="57"/>
    </row>
    <row r="175" ht="15.75" customHeight="1">
      <c r="F175" s="57"/>
      <c r="G175" s="57"/>
      <c r="H175" s="57"/>
    </row>
    <row r="176" ht="15.75" customHeight="1">
      <c r="F176" s="57"/>
      <c r="G176" s="57"/>
      <c r="H176" s="57"/>
    </row>
    <row r="177" ht="15.75" customHeight="1">
      <c r="F177" s="57"/>
      <c r="G177" s="57"/>
      <c r="H177" s="57"/>
    </row>
    <row r="178" ht="15.75" customHeight="1">
      <c r="F178" s="57"/>
      <c r="G178" s="57"/>
      <c r="H178" s="57"/>
    </row>
    <row r="179" ht="15.75" customHeight="1">
      <c r="F179" s="57"/>
      <c r="G179" s="57"/>
      <c r="H179" s="57"/>
    </row>
    <row r="180" ht="15.75" customHeight="1">
      <c r="F180" s="57"/>
      <c r="G180" s="57"/>
      <c r="H180" s="57"/>
    </row>
    <row r="181" ht="15.75" customHeight="1">
      <c r="F181" s="57"/>
      <c r="G181" s="57"/>
      <c r="H181" s="57"/>
    </row>
    <row r="182" ht="15.75" customHeight="1">
      <c r="F182" s="57"/>
      <c r="G182" s="57"/>
      <c r="H182" s="57"/>
    </row>
    <row r="183" ht="15.75" customHeight="1">
      <c r="F183" s="57"/>
      <c r="G183" s="57"/>
      <c r="H183" s="57"/>
    </row>
    <row r="184" ht="15.75" customHeight="1">
      <c r="F184" s="57"/>
      <c r="G184" s="57"/>
      <c r="H184" s="57"/>
    </row>
    <row r="185" ht="15.75" customHeight="1">
      <c r="F185" s="57"/>
      <c r="G185" s="57"/>
      <c r="H185" s="57"/>
    </row>
    <row r="186" ht="15.75" customHeight="1">
      <c r="F186" s="57"/>
      <c r="G186" s="57"/>
      <c r="H186" s="57"/>
    </row>
    <row r="187" ht="15.75" customHeight="1">
      <c r="F187" s="57"/>
      <c r="G187" s="57"/>
      <c r="H187" s="57"/>
    </row>
    <row r="188" ht="15.75" customHeight="1">
      <c r="F188" s="57"/>
      <c r="G188" s="57"/>
      <c r="H188" s="57"/>
    </row>
    <row r="189" ht="15.75" customHeight="1">
      <c r="F189" s="57"/>
      <c r="G189" s="57"/>
      <c r="H189" s="57"/>
    </row>
    <row r="190" ht="15.75" customHeight="1">
      <c r="F190" s="57"/>
      <c r="G190" s="57"/>
      <c r="H190" s="57"/>
    </row>
    <row r="191" ht="15.75" customHeight="1">
      <c r="F191" s="57"/>
      <c r="G191" s="57"/>
      <c r="H191" s="57"/>
    </row>
    <row r="192" ht="15.75" customHeight="1">
      <c r="F192" s="57"/>
      <c r="G192" s="57"/>
      <c r="H192" s="57"/>
    </row>
    <row r="193" ht="15.75" customHeight="1">
      <c r="F193" s="57"/>
      <c r="G193" s="57"/>
      <c r="H193" s="57"/>
    </row>
    <row r="194" ht="15.75" customHeight="1">
      <c r="F194" s="57"/>
      <c r="G194" s="57"/>
      <c r="H194" s="57"/>
    </row>
    <row r="195" ht="15.75" customHeight="1">
      <c r="F195" s="57"/>
      <c r="G195" s="57"/>
      <c r="H195" s="57"/>
    </row>
    <row r="196" ht="15.75" customHeight="1">
      <c r="F196" s="57"/>
      <c r="G196" s="57"/>
      <c r="H196" s="57"/>
    </row>
    <row r="197" ht="15.75" customHeight="1">
      <c r="F197" s="57"/>
      <c r="G197" s="57"/>
      <c r="H197" s="57"/>
    </row>
    <row r="198" ht="15.75" customHeight="1">
      <c r="F198" s="57"/>
      <c r="G198" s="57"/>
      <c r="H198" s="57"/>
    </row>
    <row r="199" ht="15.75" customHeight="1">
      <c r="F199" s="57"/>
      <c r="G199" s="57"/>
      <c r="H199" s="57"/>
    </row>
    <row r="200" ht="15.75" customHeight="1">
      <c r="F200" s="57"/>
      <c r="G200" s="57"/>
      <c r="H200" s="57"/>
    </row>
    <row r="201" ht="15.75" customHeight="1">
      <c r="F201" s="57"/>
      <c r="G201" s="57"/>
      <c r="H201" s="57"/>
    </row>
    <row r="202" ht="15.75" customHeight="1">
      <c r="F202" s="57"/>
      <c r="G202" s="57"/>
      <c r="H202" s="57"/>
    </row>
    <row r="203" ht="15.75" customHeight="1">
      <c r="F203" s="57"/>
      <c r="G203" s="57"/>
      <c r="H203" s="57"/>
    </row>
    <row r="204" ht="15.75" customHeight="1">
      <c r="F204" s="57"/>
      <c r="G204" s="57"/>
      <c r="H204" s="57"/>
    </row>
    <row r="205" ht="15.75" customHeight="1">
      <c r="F205" s="57"/>
      <c r="G205" s="57"/>
      <c r="H205" s="57"/>
    </row>
    <row r="206" ht="15.75" customHeight="1">
      <c r="F206" s="57"/>
      <c r="G206" s="57"/>
      <c r="H206" s="57"/>
    </row>
    <row r="207" ht="15.75" customHeight="1">
      <c r="F207" s="57"/>
      <c r="G207" s="57"/>
      <c r="H207" s="57"/>
    </row>
    <row r="208" ht="15.75" customHeight="1">
      <c r="F208" s="57"/>
      <c r="G208" s="57"/>
      <c r="H208" s="57"/>
    </row>
    <row r="209" ht="15.75" customHeight="1">
      <c r="F209" s="57"/>
      <c r="G209" s="57"/>
      <c r="H209" s="57"/>
    </row>
    <row r="210" ht="15.75" customHeight="1">
      <c r="F210" s="57"/>
      <c r="G210" s="57"/>
      <c r="H210" s="57"/>
    </row>
    <row r="211" ht="15.75" customHeight="1">
      <c r="F211" s="57"/>
      <c r="G211" s="57"/>
      <c r="H211" s="57"/>
    </row>
    <row r="212" ht="15.75" customHeight="1">
      <c r="F212" s="57"/>
      <c r="G212" s="57"/>
      <c r="H212" s="57"/>
    </row>
    <row r="213" ht="15.75" customHeight="1">
      <c r="F213" s="57"/>
      <c r="G213" s="57"/>
      <c r="H213" s="57"/>
    </row>
    <row r="214" ht="15.75" customHeight="1">
      <c r="F214" s="57"/>
      <c r="G214" s="57"/>
      <c r="H214" s="57"/>
    </row>
    <row r="215" ht="15.75" customHeight="1">
      <c r="F215" s="57"/>
      <c r="G215" s="57"/>
      <c r="H215" s="57"/>
    </row>
    <row r="216" ht="15.75" customHeight="1">
      <c r="F216" s="57"/>
      <c r="G216" s="57"/>
      <c r="H216" s="57"/>
    </row>
    <row r="217" ht="15.75" customHeight="1">
      <c r="F217" s="57"/>
      <c r="G217" s="57"/>
      <c r="H217" s="57"/>
    </row>
    <row r="218" ht="15.75" customHeight="1">
      <c r="F218" s="57"/>
      <c r="G218" s="57"/>
      <c r="H218" s="57"/>
    </row>
    <row r="219" ht="15.75" customHeight="1">
      <c r="F219" s="57"/>
      <c r="G219" s="57"/>
      <c r="H219" s="57"/>
    </row>
    <row r="220" ht="15.75" customHeight="1">
      <c r="F220" s="57"/>
      <c r="G220" s="57"/>
      <c r="H220" s="57"/>
    </row>
    <row r="221" ht="15.75" customHeight="1">
      <c r="F221" s="57"/>
      <c r="G221" s="57"/>
      <c r="H221" s="57"/>
    </row>
    <row r="222" ht="15.75" customHeight="1">
      <c r="F222" s="57"/>
      <c r="G222" s="57"/>
      <c r="H222" s="57"/>
    </row>
    <row r="223" ht="15.75" customHeight="1">
      <c r="F223" s="57"/>
      <c r="G223" s="57"/>
      <c r="H223" s="57"/>
    </row>
    <row r="224" ht="15.75" customHeight="1">
      <c r="F224" s="57"/>
      <c r="G224" s="57"/>
      <c r="H224" s="57"/>
    </row>
    <row r="225" ht="15.75" customHeight="1">
      <c r="F225" s="57"/>
      <c r="G225" s="57"/>
      <c r="H225" s="57"/>
    </row>
    <row r="226" ht="15.75" customHeight="1">
      <c r="F226" s="57"/>
      <c r="G226" s="57"/>
      <c r="H226" s="57"/>
    </row>
    <row r="227" ht="15.75" customHeight="1">
      <c r="F227" s="57"/>
      <c r="G227" s="57"/>
      <c r="H227" s="57"/>
    </row>
    <row r="228" ht="15.75" customHeight="1">
      <c r="F228" s="57"/>
      <c r="G228" s="57"/>
      <c r="H228" s="57"/>
    </row>
    <row r="229" ht="15.75" customHeight="1">
      <c r="F229" s="57"/>
      <c r="G229" s="57"/>
      <c r="H229" s="57"/>
    </row>
    <row r="230" ht="15.75" customHeight="1">
      <c r="F230" s="57"/>
      <c r="G230" s="57"/>
      <c r="H230" s="57"/>
    </row>
    <row r="231" ht="15.75" customHeight="1">
      <c r="F231" s="57"/>
      <c r="G231" s="57"/>
      <c r="H231" s="57"/>
    </row>
    <row r="232" ht="15.75" customHeight="1">
      <c r="F232" s="57"/>
      <c r="G232" s="57"/>
      <c r="H232" s="57"/>
    </row>
    <row r="233" ht="15.75" customHeight="1">
      <c r="F233" s="57"/>
      <c r="G233" s="57"/>
      <c r="H233" s="57"/>
    </row>
    <row r="234" ht="15.75" customHeight="1">
      <c r="F234" s="57"/>
      <c r="G234" s="57"/>
      <c r="H234" s="57"/>
    </row>
    <row r="235" ht="15.75" customHeight="1">
      <c r="F235" s="57"/>
      <c r="G235" s="57"/>
      <c r="H235" s="57"/>
    </row>
    <row r="236" ht="15.75" customHeight="1">
      <c r="F236" s="57"/>
      <c r="G236" s="57"/>
      <c r="H236" s="57"/>
    </row>
    <row r="237" ht="15.75" customHeight="1">
      <c r="F237" s="57"/>
      <c r="G237" s="57"/>
      <c r="H237" s="57"/>
    </row>
    <row r="238" ht="15.75" customHeight="1">
      <c r="F238" s="57"/>
      <c r="G238" s="57"/>
      <c r="H238" s="57"/>
    </row>
    <row r="239" ht="15.75" customHeight="1">
      <c r="F239" s="57"/>
      <c r="G239" s="57"/>
      <c r="H239" s="57"/>
    </row>
    <row r="240" ht="15.75" customHeight="1">
      <c r="F240" s="57"/>
      <c r="G240" s="57"/>
      <c r="H240" s="57"/>
    </row>
    <row r="241" ht="15.75" customHeight="1">
      <c r="F241" s="57"/>
      <c r="G241" s="57"/>
      <c r="H241" s="57"/>
    </row>
    <row r="242" ht="15.75" customHeight="1">
      <c r="F242" s="57"/>
      <c r="G242" s="57"/>
      <c r="H242" s="57"/>
    </row>
    <row r="243" ht="15.75" customHeight="1">
      <c r="F243" s="57"/>
      <c r="G243" s="57"/>
      <c r="H243" s="57"/>
    </row>
    <row r="244" ht="15.75" customHeight="1">
      <c r="F244" s="57"/>
      <c r="G244" s="57"/>
      <c r="H244" s="57"/>
    </row>
    <row r="245" ht="15.75" customHeight="1">
      <c r="F245" s="57"/>
      <c r="G245" s="57"/>
      <c r="H245" s="57"/>
    </row>
    <row r="246" ht="15.75" customHeight="1">
      <c r="F246" s="57"/>
      <c r="G246" s="57"/>
      <c r="H246" s="57"/>
    </row>
    <row r="247" ht="15.75" customHeight="1">
      <c r="F247" s="57"/>
      <c r="G247" s="57"/>
      <c r="H247" s="57"/>
    </row>
    <row r="248" ht="15.75" customHeight="1">
      <c r="F248" s="57"/>
      <c r="G248" s="57"/>
      <c r="H248" s="57"/>
    </row>
    <row r="249" ht="15.75" customHeight="1">
      <c r="F249" s="57"/>
      <c r="G249" s="57"/>
      <c r="H249" s="57"/>
    </row>
    <row r="250" ht="15.75" customHeight="1">
      <c r="F250" s="57"/>
      <c r="G250" s="57"/>
      <c r="H250" s="57"/>
    </row>
    <row r="251" ht="15.75" customHeight="1">
      <c r="F251" s="57"/>
      <c r="G251" s="57"/>
      <c r="H251" s="57"/>
    </row>
    <row r="252" ht="15.75" customHeight="1">
      <c r="F252" s="57"/>
      <c r="G252" s="57"/>
      <c r="H252" s="57"/>
    </row>
    <row r="253" ht="15.75" customHeight="1">
      <c r="F253" s="57"/>
      <c r="G253" s="57"/>
      <c r="H253" s="57"/>
    </row>
    <row r="254" ht="15.75" customHeight="1">
      <c r="F254" s="57"/>
      <c r="G254" s="57"/>
      <c r="H254" s="57"/>
    </row>
    <row r="255" ht="15.75" customHeight="1">
      <c r="F255" s="57"/>
      <c r="G255" s="57"/>
      <c r="H255" s="57"/>
    </row>
    <row r="256" ht="15.75" customHeight="1">
      <c r="F256" s="57"/>
      <c r="G256" s="57"/>
      <c r="H256" s="57"/>
    </row>
    <row r="257" ht="15.75" customHeight="1">
      <c r="F257" s="57"/>
      <c r="G257" s="57"/>
      <c r="H257" s="57"/>
    </row>
    <row r="258" ht="15.75" customHeight="1">
      <c r="F258" s="57"/>
      <c r="G258" s="57"/>
      <c r="H258" s="57"/>
    </row>
    <row r="259" ht="15.75" customHeight="1">
      <c r="F259" s="57"/>
      <c r="G259" s="57"/>
      <c r="H259" s="57"/>
    </row>
    <row r="260" ht="15.75" customHeight="1">
      <c r="F260" s="57"/>
      <c r="G260" s="57"/>
      <c r="H260" s="57"/>
    </row>
    <row r="261" ht="15.75" customHeight="1">
      <c r="F261" s="57"/>
      <c r="G261" s="57"/>
      <c r="H261" s="57"/>
    </row>
    <row r="262" ht="15.75" customHeight="1">
      <c r="F262" s="57"/>
      <c r="G262" s="57"/>
      <c r="H262" s="57"/>
    </row>
    <row r="263" ht="15.75" customHeight="1">
      <c r="F263" s="57"/>
      <c r="G263" s="57"/>
      <c r="H263" s="57"/>
    </row>
    <row r="264" ht="15.75" customHeight="1">
      <c r="F264" s="57"/>
      <c r="G264" s="57"/>
      <c r="H264" s="57"/>
    </row>
    <row r="265" ht="15.75" customHeight="1">
      <c r="F265" s="57"/>
      <c r="G265" s="57"/>
      <c r="H265" s="57"/>
    </row>
    <row r="266" ht="15.75" customHeight="1">
      <c r="F266" s="57"/>
      <c r="G266" s="57"/>
      <c r="H266" s="57"/>
    </row>
    <row r="267" ht="15.75" customHeight="1">
      <c r="F267" s="57"/>
      <c r="G267" s="57"/>
      <c r="H267" s="57"/>
    </row>
    <row r="268" ht="15.75" customHeight="1">
      <c r="F268" s="57"/>
      <c r="G268" s="57"/>
      <c r="H268" s="57"/>
    </row>
    <row r="269" ht="15.75" customHeight="1">
      <c r="F269" s="57"/>
      <c r="G269" s="57"/>
      <c r="H269" s="57"/>
    </row>
    <row r="270" ht="15.75" customHeight="1">
      <c r="F270" s="57"/>
      <c r="G270" s="57"/>
      <c r="H270" s="57"/>
    </row>
    <row r="271" ht="15.75" customHeight="1">
      <c r="F271" s="57"/>
      <c r="G271" s="57"/>
      <c r="H271" s="57"/>
    </row>
    <row r="272" ht="15.75" customHeight="1">
      <c r="F272" s="57"/>
      <c r="G272" s="57"/>
      <c r="H272" s="57"/>
    </row>
    <row r="273" ht="15.75" customHeight="1">
      <c r="F273" s="57"/>
      <c r="G273" s="57"/>
      <c r="H273" s="57"/>
    </row>
    <row r="274" ht="15.75" customHeight="1">
      <c r="F274" s="57"/>
      <c r="G274" s="57"/>
      <c r="H274" s="57"/>
    </row>
    <row r="275" ht="15.75" customHeight="1">
      <c r="F275" s="57"/>
      <c r="G275" s="57"/>
      <c r="H275" s="57"/>
    </row>
    <row r="276" ht="15.75" customHeight="1">
      <c r="F276" s="57"/>
      <c r="G276" s="57"/>
      <c r="H276" s="57"/>
    </row>
    <row r="277" ht="15.75" customHeight="1">
      <c r="F277" s="57"/>
      <c r="G277" s="57"/>
      <c r="H277" s="57"/>
    </row>
    <row r="278" ht="15.75" customHeight="1">
      <c r="F278" s="57"/>
      <c r="G278" s="57"/>
      <c r="H278" s="57"/>
    </row>
    <row r="279" ht="15.75" customHeight="1">
      <c r="F279" s="57"/>
      <c r="G279" s="57"/>
      <c r="H279" s="57"/>
    </row>
    <row r="280" ht="15.75" customHeight="1">
      <c r="F280" s="57"/>
      <c r="G280" s="57"/>
      <c r="H280" s="57"/>
    </row>
    <row r="281" ht="15.75" customHeight="1">
      <c r="F281" s="57"/>
      <c r="G281" s="57"/>
      <c r="H281" s="57"/>
    </row>
    <row r="282" ht="15.75" customHeight="1">
      <c r="F282" s="57"/>
      <c r="G282" s="57"/>
      <c r="H282" s="57"/>
    </row>
    <row r="283" ht="15.75" customHeight="1">
      <c r="F283" s="57"/>
      <c r="G283" s="57"/>
      <c r="H283" s="57"/>
    </row>
    <row r="284" ht="15.75" customHeight="1">
      <c r="F284" s="57"/>
      <c r="G284" s="57"/>
      <c r="H284" s="57"/>
    </row>
    <row r="285" ht="15.75" customHeight="1">
      <c r="F285" s="57"/>
      <c r="G285" s="57"/>
      <c r="H285" s="57"/>
    </row>
    <row r="286" ht="15.75" customHeight="1">
      <c r="F286" s="57"/>
      <c r="G286" s="57"/>
      <c r="H286" s="57"/>
    </row>
    <row r="287" ht="15.75" customHeight="1">
      <c r="F287" s="57"/>
      <c r="G287" s="57"/>
      <c r="H287" s="57"/>
    </row>
    <row r="288" ht="15.75" customHeight="1">
      <c r="F288" s="57"/>
      <c r="G288" s="57"/>
      <c r="H288" s="57"/>
    </row>
    <row r="289" ht="15.75" customHeight="1">
      <c r="F289" s="57"/>
      <c r="G289" s="57"/>
      <c r="H289" s="57"/>
    </row>
    <row r="290" ht="15.75" customHeight="1">
      <c r="F290" s="57"/>
      <c r="G290" s="57"/>
      <c r="H290" s="57"/>
    </row>
    <row r="291" ht="15.75" customHeight="1">
      <c r="F291" s="57"/>
      <c r="G291" s="57"/>
      <c r="H291" s="57"/>
    </row>
    <row r="292" ht="15.75" customHeight="1">
      <c r="F292" s="57"/>
      <c r="G292" s="57"/>
      <c r="H292" s="57"/>
    </row>
    <row r="293" ht="15.75" customHeight="1">
      <c r="F293" s="57"/>
      <c r="G293" s="57"/>
      <c r="H293" s="57"/>
    </row>
    <row r="294" ht="15.75" customHeight="1">
      <c r="F294" s="57"/>
      <c r="G294" s="57"/>
      <c r="H294" s="57"/>
    </row>
    <row r="295" ht="15.75" customHeight="1">
      <c r="F295" s="57"/>
      <c r="G295" s="57"/>
      <c r="H295" s="57"/>
    </row>
    <row r="296" ht="15.75" customHeight="1">
      <c r="F296" s="57"/>
      <c r="G296" s="57"/>
      <c r="H296" s="57"/>
    </row>
    <row r="297" ht="15.75" customHeight="1">
      <c r="F297" s="57"/>
      <c r="G297" s="57"/>
      <c r="H297" s="57"/>
    </row>
    <row r="298" ht="15.75" customHeight="1">
      <c r="F298" s="57"/>
      <c r="G298" s="57"/>
      <c r="H298" s="57"/>
    </row>
    <row r="299" ht="15.75" customHeight="1">
      <c r="F299" s="57"/>
      <c r="G299" s="57"/>
      <c r="H299" s="57"/>
    </row>
    <row r="300" ht="15.75" customHeight="1">
      <c r="F300" s="57"/>
      <c r="G300" s="57"/>
      <c r="H300" s="57"/>
    </row>
    <row r="301" ht="15.75" customHeight="1">
      <c r="F301" s="57"/>
      <c r="G301" s="57"/>
      <c r="H301" s="57"/>
    </row>
    <row r="302" ht="15.75" customHeight="1">
      <c r="F302" s="57"/>
      <c r="G302" s="57"/>
      <c r="H302" s="57"/>
    </row>
    <row r="303" ht="15.75" customHeight="1">
      <c r="F303" s="57"/>
      <c r="G303" s="57"/>
      <c r="H303" s="57"/>
    </row>
    <row r="304" ht="15.75" customHeight="1">
      <c r="F304" s="57"/>
      <c r="G304" s="57"/>
      <c r="H304" s="57"/>
    </row>
    <row r="305" ht="15.75" customHeight="1">
      <c r="F305" s="57"/>
      <c r="G305" s="57"/>
      <c r="H305" s="57"/>
    </row>
    <row r="306" ht="15.75" customHeight="1">
      <c r="F306" s="57"/>
      <c r="G306" s="57"/>
      <c r="H306" s="57"/>
    </row>
    <row r="307" ht="15.75" customHeight="1">
      <c r="F307" s="57"/>
      <c r="G307" s="57"/>
      <c r="H307" s="57"/>
    </row>
    <row r="308" ht="15.75" customHeight="1">
      <c r="F308" s="57"/>
      <c r="G308" s="57"/>
      <c r="H308" s="57"/>
    </row>
    <row r="309" ht="15.75" customHeight="1">
      <c r="F309" s="57"/>
      <c r="G309" s="57"/>
      <c r="H309" s="57"/>
    </row>
    <row r="310" ht="15.75" customHeight="1">
      <c r="F310" s="57"/>
      <c r="G310" s="57"/>
      <c r="H310" s="57"/>
    </row>
    <row r="311" ht="15.75" customHeight="1">
      <c r="F311" s="57"/>
      <c r="G311" s="57"/>
      <c r="H311" s="57"/>
    </row>
    <row r="312" ht="15.75" customHeight="1">
      <c r="F312" s="57"/>
      <c r="G312" s="57"/>
      <c r="H312" s="57"/>
    </row>
    <row r="313" ht="15.75" customHeight="1">
      <c r="F313" s="57"/>
      <c r="G313" s="57"/>
      <c r="H313" s="57"/>
    </row>
    <row r="314" ht="15.75" customHeight="1">
      <c r="F314" s="57"/>
      <c r="G314" s="57"/>
      <c r="H314" s="57"/>
    </row>
    <row r="315" ht="15.75" customHeight="1">
      <c r="F315" s="57"/>
      <c r="G315" s="57"/>
      <c r="H315" s="57"/>
    </row>
    <row r="316" ht="15.75" customHeight="1">
      <c r="F316" s="57"/>
      <c r="G316" s="57"/>
      <c r="H316" s="57"/>
    </row>
    <row r="317" ht="15.75" customHeight="1">
      <c r="F317" s="57"/>
      <c r="G317" s="57"/>
      <c r="H317" s="57"/>
    </row>
    <row r="318" ht="15.75" customHeight="1">
      <c r="F318" s="57"/>
      <c r="G318" s="57"/>
      <c r="H318" s="57"/>
    </row>
    <row r="319" ht="15.75" customHeight="1">
      <c r="F319" s="57"/>
      <c r="G319" s="57"/>
      <c r="H319" s="57"/>
    </row>
    <row r="320" ht="15.75" customHeight="1">
      <c r="F320" s="57"/>
      <c r="G320" s="57"/>
      <c r="H320" s="57"/>
    </row>
    <row r="321" ht="15.75" customHeight="1">
      <c r="F321" s="57"/>
      <c r="G321" s="57"/>
      <c r="H321" s="57"/>
    </row>
    <row r="322" ht="15.75" customHeight="1">
      <c r="F322" s="57"/>
      <c r="G322" s="57"/>
      <c r="H322" s="57"/>
    </row>
    <row r="323" ht="15.75" customHeight="1">
      <c r="F323" s="57"/>
      <c r="G323" s="57"/>
      <c r="H323" s="57"/>
    </row>
    <row r="324" ht="15.75" customHeight="1">
      <c r="F324" s="57"/>
      <c r="G324" s="57"/>
      <c r="H324" s="57"/>
    </row>
    <row r="325" ht="15.75" customHeight="1">
      <c r="F325" s="57"/>
      <c r="G325" s="57"/>
      <c r="H325" s="57"/>
    </row>
    <row r="326" ht="15.75" customHeight="1">
      <c r="F326" s="57"/>
      <c r="G326" s="57"/>
      <c r="H326" s="57"/>
    </row>
    <row r="327" ht="15.75" customHeight="1">
      <c r="F327" s="57"/>
      <c r="G327" s="57"/>
      <c r="H327" s="57"/>
    </row>
    <row r="328" ht="15.75" customHeight="1">
      <c r="F328" s="57"/>
      <c r="G328" s="57"/>
      <c r="H328" s="57"/>
    </row>
    <row r="329" ht="15.75" customHeight="1">
      <c r="F329" s="57"/>
      <c r="G329" s="57"/>
      <c r="H329" s="57"/>
    </row>
    <row r="330" ht="15.75" customHeight="1">
      <c r="F330" s="57"/>
      <c r="G330" s="57"/>
      <c r="H330" s="57"/>
    </row>
    <row r="331" ht="15.75" customHeight="1">
      <c r="F331" s="57"/>
      <c r="G331" s="57"/>
      <c r="H331" s="57"/>
    </row>
    <row r="332" ht="15.75" customHeight="1">
      <c r="F332" s="57"/>
      <c r="G332" s="57"/>
      <c r="H332" s="57"/>
    </row>
    <row r="333" ht="15.75" customHeight="1">
      <c r="F333" s="57"/>
      <c r="G333" s="57"/>
      <c r="H333" s="57"/>
    </row>
    <row r="334" ht="15.75" customHeight="1">
      <c r="F334" s="57"/>
      <c r="G334" s="57"/>
      <c r="H334" s="57"/>
    </row>
    <row r="335" ht="15.75" customHeight="1">
      <c r="F335" s="57"/>
      <c r="G335" s="57"/>
      <c r="H335" s="57"/>
    </row>
    <row r="336" ht="15.75" customHeight="1">
      <c r="F336" s="57"/>
      <c r="G336" s="57"/>
      <c r="H336" s="57"/>
    </row>
    <row r="337" ht="15.75" customHeight="1">
      <c r="F337" s="57"/>
      <c r="G337" s="57"/>
      <c r="H337" s="57"/>
    </row>
    <row r="338" ht="15.75" customHeight="1">
      <c r="F338" s="57"/>
      <c r="G338" s="57"/>
      <c r="H338" s="57"/>
    </row>
    <row r="339" ht="15.75" customHeight="1">
      <c r="F339" s="57"/>
      <c r="G339" s="57"/>
      <c r="H339" s="57"/>
    </row>
    <row r="340" ht="15.75" customHeight="1">
      <c r="F340" s="57"/>
      <c r="G340" s="57"/>
      <c r="H340" s="57"/>
    </row>
    <row r="341" ht="15.75" customHeight="1">
      <c r="F341" s="57"/>
      <c r="G341" s="57"/>
      <c r="H341" s="57"/>
    </row>
    <row r="342" ht="15.75" customHeight="1">
      <c r="F342" s="57"/>
      <c r="G342" s="57"/>
      <c r="H342" s="57"/>
    </row>
    <row r="343" ht="15.75" customHeight="1">
      <c r="F343" s="57"/>
      <c r="G343" s="57"/>
      <c r="H343" s="57"/>
    </row>
    <row r="344" ht="15.75" customHeight="1">
      <c r="F344" s="57"/>
      <c r="G344" s="57"/>
      <c r="H344" s="57"/>
    </row>
    <row r="345" ht="15.75" customHeight="1">
      <c r="F345" s="57"/>
      <c r="G345" s="57"/>
      <c r="H345" s="57"/>
    </row>
    <row r="346" ht="15.75" customHeight="1">
      <c r="F346" s="57"/>
      <c r="G346" s="57"/>
      <c r="H346" s="57"/>
    </row>
    <row r="347" ht="15.75" customHeight="1">
      <c r="F347" s="57"/>
      <c r="G347" s="57"/>
      <c r="H347" s="57"/>
    </row>
    <row r="348" ht="15.75" customHeight="1">
      <c r="F348" s="57"/>
      <c r="G348" s="57"/>
      <c r="H348" s="57"/>
    </row>
    <row r="349" ht="15.75" customHeight="1">
      <c r="F349" s="57"/>
      <c r="G349" s="57"/>
      <c r="H349" s="57"/>
    </row>
    <row r="350" ht="15.75" customHeight="1">
      <c r="F350" s="57"/>
      <c r="G350" s="57"/>
      <c r="H350" s="57"/>
    </row>
    <row r="351" ht="15.75" customHeight="1">
      <c r="F351" s="57"/>
      <c r="G351" s="57"/>
      <c r="H351" s="57"/>
    </row>
    <row r="352" ht="15.75" customHeight="1">
      <c r="F352" s="57"/>
      <c r="G352" s="57"/>
      <c r="H352" s="57"/>
    </row>
    <row r="353" ht="15.75" customHeight="1">
      <c r="F353" s="57"/>
      <c r="G353" s="57"/>
      <c r="H353" s="57"/>
    </row>
    <row r="354" ht="15.75" customHeight="1">
      <c r="F354" s="57"/>
      <c r="G354" s="57"/>
      <c r="H354" s="57"/>
    </row>
    <row r="355" ht="15.75" customHeight="1">
      <c r="F355" s="57"/>
      <c r="G355" s="57"/>
      <c r="H355" s="57"/>
    </row>
    <row r="356" ht="15.75" customHeight="1">
      <c r="F356" s="57"/>
      <c r="G356" s="57"/>
      <c r="H356" s="57"/>
    </row>
    <row r="357" ht="15.75" customHeight="1">
      <c r="F357" s="57"/>
      <c r="G357" s="57"/>
      <c r="H357" s="57"/>
    </row>
    <row r="358" ht="15.75" customHeight="1">
      <c r="F358" s="57"/>
      <c r="G358" s="57"/>
      <c r="H358" s="57"/>
    </row>
    <row r="359" ht="15.75" customHeight="1">
      <c r="F359" s="57"/>
      <c r="G359" s="57"/>
      <c r="H359" s="57"/>
    </row>
    <row r="360" ht="15.75" customHeight="1">
      <c r="F360" s="57"/>
      <c r="G360" s="57"/>
      <c r="H360" s="57"/>
    </row>
    <row r="361" ht="15.75" customHeight="1">
      <c r="F361" s="57"/>
      <c r="G361" s="57"/>
      <c r="H361" s="57"/>
    </row>
    <row r="362" ht="15.75" customHeight="1">
      <c r="F362" s="57"/>
      <c r="G362" s="57"/>
      <c r="H362" s="57"/>
    </row>
    <row r="363" ht="15.75" customHeight="1">
      <c r="F363" s="57"/>
      <c r="G363" s="57"/>
      <c r="H363" s="57"/>
    </row>
    <row r="364" ht="15.75" customHeight="1">
      <c r="F364" s="57"/>
      <c r="G364" s="57"/>
      <c r="H364" s="57"/>
    </row>
    <row r="365" ht="15.75" customHeight="1">
      <c r="F365" s="57"/>
      <c r="G365" s="57"/>
      <c r="H365" s="57"/>
    </row>
    <row r="366" ht="15.75" customHeight="1">
      <c r="F366" s="57"/>
      <c r="G366" s="57"/>
      <c r="H366" s="57"/>
    </row>
    <row r="367" ht="15.75" customHeight="1">
      <c r="F367" s="57"/>
      <c r="G367" s="57"/>
      <c r="H367" s="57"/>
    </row>
    <row r="368" ht="15.75" customHeight="1">
      <c r="F368" s="57"/>
      <c r="G368" s="57"/>
      <c r="H368" s="57"/>
    </row>
    <row r="369" ht="15.75" customHeight="1">
      <c r="F369" s="57"/>
      <c r="G369" s="57"/>
      <c r="H369" s="57"/>
    </row>
    <row r="370" ht="15.75" customHeight="1">
      <c r="F370" s="57"/>
      <c r="G370" s="57"/>
      <c r="H370" s="57"/>
    </row>
    <row r="371" ht="15.75" customHeight="1">
      <c r="F371" s="57"/>
      <c r="G371" s="57"/>
      <c r="H371" s="57"/>
    </row>
    <row r="372" ht="15.75" customHeight="1">
      <c r="F372" s="57"/>
      <c r="G372" s="57"/>
      <c r="H372" s="57"/>
    </row>
    <row r="373" ht="15.75" customHeight="1">
      <c r="F373" s="57"/>
      <c r="G373" s="57"/>
      <c r="H373" s="57"/>
    </row>
    <row r="374" ht="15.75" customHeight="1">
      <c r="F374" s="57"/>
      <c r="G374" s="57"/>
      <c r="H374" s="57"/>
    </row>
    <row r="375" ht="15.75" customHeight="1">
      <c r="F375" s="57"/>
      <c r="G375" s="57"/>
      <c r="H375" s="57"/>
    </row>
    <row r="376" ht="15.75" customHeight="1">
      <c r="F376" s="57"/>
      <c r="G376" s="57"/>
      <c r="H376" s="57"/>
    </row>
    <row r="377" ht="15.75" customHeight="1">
      <c r="F377" s="57"/>
      <c r="G377" s="57"/>
      <c r="H377" s="57"/>
    </row>
    <row r="378" ht="15.75" customHeight="1">
      <c r="F378" s="57"/>
      <c r="G378" s="57"/>
      <c r="H378" s="57"/>
    </row>
    <row r="379" ht="15.75" customHeight="1">
      <c r="F379" s="57"/>
      <c r="G379" s="57"/>
      <c r="H379" s="57"/>
    </row>
    <row r="380" ht="15.75" customHeight="1">
      <c r="F380" s="57"/>
      <c r="G380" s="57"/>
      <c r="H380" s="57"/>
    </row>
    <row r="381" ht="15.75" customHeight="1">
      <c r="F381" s="57"/>
      <c r="G381" s="57"/>
      <c r="H381" s="57"/>
    </row>
    <row r="382" ht="15.75" customHeight="1">
      <c r="F382" s="57"/>
      <c r="G382" s="57"/>
      <c r="H382" s="57"/>
    </row>
    <row r="383" ht="15.75" customHeight="1">
      <c r="F383" s="57"/>
      <c r="G383" s="57"/>
      <c r="H383" s="57"/>
    </row>
    <row r="384" ht="15.75" customHeight="1">
      <c r="F384" s="57"/>
      <c r="G384" s="57"/>
      <c r="H384" s="57"/>
    </row>
    <row r="385" ht="15.75" customHeight="1">
      <c r="F385" s="57"/>
      <c r="G385" s="57"/>
      <c r="H385" s="57"/>
    </row>
    <row r="386" ht="15.75" customHeight="1">
      <c r="F386" s="57"/>
      <c r="G386" s="57"/>
      <c r="H386" s="57"/>
    </row>
    <row r="387" ht="15.75" customHeight="1">
      <c r="F387" s="57"/>
      <c r="G387" s="57"/>
      <c r="H387" s="57"/>
    </row>
    <row r="388" ht="15.75" customHeight="1">
      <c r="F388" s="57"/>
      <c r="G388" s="57"/>
      <c r="H388" s="57"/>
    </row>
    <row r="389" ht="15.75" customHeight="1">
      <c r="F389" s="57"/>
      <c r="G389" s="57"/>
      <c r="H389" s="57"/>
    </row>
    <row r="390" ht="15.75" customHeight="1">
      <c r="F390" s="57"/>
      <c r="G390" s="57"/>
      <c r="H390" s="57"/>
    </row>
    <row r="391" ht="15.75" customHeight="1">
      <c r="F391" s="57"/>
      <c r="G391" s="57"/>
      <c r="H391" s="57"/>
    </row>
    <row r="392" ht="15.75" customHeight="1">
      <c r="F392" s="57"/>
      <c r="G392" s="57"/>
      <c r="H392" s="57"/>
    </row>
    <row r="393" ht="15.75" customHeight="1">
      <c r="F393" s="57"/>
      <c r="G393" s="57"/>
      <c r="H393" s="57"/>
    </row>
    <row r="394" ht="15.75" customHeight="1">
      <c r="F394" s="57"/>
      <c r="G394" s="57"/>
      <c r="H394" s="57"/>
    </row>
    <row r="395" ht="15.75" customHeight="1">
      <c r="F395" s="57"/>
      <c r="G395" s="57"/>
      <c r="H395" s="57"/>
    </row>
    <row r="396" ht="15.75" customHeight="1">
      <c r="F396" s="57"/>
      <c r="G396" s="57"/>
      <c r="H396" s="57"/>
    </row>
    <row r="397" ht="15.75" customHeight="1">
      <c r="F397" s="57"/>
      <c r="G397" s="57"/>
      <c r="H397" s="57"/>
    </row>
    <row r="398" ht="15.75" customHeight="1">
      <c r="F398" s="57"/>
      <c r="G398" s="57"/>
      <c r="H398" s="57"/>
    </row>
    <row r="399" ht="15.75" customHeight="1">
      <c r="F399" s="57"/>
      <c r="G399" s="57"/>
      <c r="H399" s="57"/>
    </row>
    <row r="400" ht="15.75" customHeight="1">
      <c r="F400" s="57"/>
      <c r="G400" s="57"/>
      <c r="H400" s="57"/>
    </row>
    <row r="401" ht="15.75" customHeight="1">
      <c r="F401" s="57"/>
      <c r="G401" s="57"/>
      <c r="H401" s="57"/>
    </row>
    <row r="402" ht="15.75" customHeight="1">
      <c r="F402" s="57"/>
      <c r="G402" s="57"/>
      <c r="H402" s="57"/>
    </row>
    <row r="403" ht="15.75" customHeight="1">
      <c r="F403" s="57"/>
      <c r="G403" s="57"/>
      <c r="H403" s="57"/>
    </row>
    <row r="404" ht="15.75" customHeight="1">
      <c r="F404" s="57"/>
      <c r="G404" s="57"/>
      <c r="H404" s="57"/>
    </row>
    <row r="405" ht="15.75" customHeight="1">
      <c r="F405" s="57"/>
      <c r="G405" s="57"/>
      <c r="H405" s="57"/>
    </row>
    <row r="406" ht="15.75" customHeight="1">
      <c r="F406" s="57"/>
      <c r="G406" s="57"/>
      <c r="H406" s="57"/>
    </row>
    <row r="407" ht="15.75" customHeight="1">
      <c r="F407" s="57"/>
      <c r="G407" s="57"/>
      <c r="H407" s="57"/>
    </row>
    <row r="408" ht="15.75" customHeight="1">
      <c r="F408" s="57"/>
      <c r="G408" s="57"/>
      <c r="H408" s="57"/>
    </row>
    <row r="409" ht="15.75" customHeight="1">
      <c r="F409" s="57"/>
      <c r="G409" s="57"/>
      <c r="H409" s="57"/>
    </row>
    <row r="410" ht="15.75" customHeight="1">
      <c r="F410" s="57"/>
      <c r="G410" s="57"/>
      <c r="H410" s="57"/>
    </row>
    <row r="411" ht="15.75" customHeight="1">
      <c r="F411" s="57"/>
      <c r="G411" s="57"/>
      <c r="H411" s="57"/>
    </row>
    <row r="412" ht="15.75" customHeight="1">
      <c r="F412" s="57"/>
      <c r="G412" s="57"/>
      <c r="H412" s="57"/>
    </row>
    <row r="413" ht="15.75" customHeight="1">
      <c r="F413" s="57"/>
      <c r="G413" s="57"/>
      <c r="H413" s="57"/>
    </row>
    <row r="414" ht="15.75" customHeight="1">
      <c r="F414" s="57"/>
      <c r="G414" s="57"/>
      <c r="H414" s="57"/>
    </row>
    <row r="415" ht="15.75" customHeight="1">
      <c r="F415" s="57"/>
      <c r="G415" s="57"/>
      <c r="H415" s="57"/>
    </row>
    <row r="416" ht="15.75" customHeight="1">
      <c r="F416" s="57"/>
      <c r="G416" s="57"/>
      <c r="H416" s="57"/>
    </row>
    <row r="417" ht="15.75" customHeight="1">
      <c r="F417" s="57"/>
      <c r="G417" s="57"/>
      <c r="H417" s="57"/>
    </row>
    <row r="418" ht="15.75" customHeight="1">
      <c r="F418" s="57"/>
      <c r="G418" s="57"/>
      <c r="H418" s="57"/>
    </row>
    <row r="419" ht="15.75" customHeight="1">
      <c r="F419" s="57"/>
      <c r="G419" s="57"/>
      <c r="H419" s="57"/>
    </row>
    <row r="420" ht="15.75" customHeight="1">
      <c r="F420" s="57"/>
      <c r="G420" s="57"/>
      <c r="H420" s="57"/>
    </row>
    <row r="421" ht="15.75" customHeight="1">
      <c r="F421" s="57"/>
      <c r="G421" s="57"/>
      <c r="H421" s="57"/>
    </row>
    <row r="422" ht="15.75" customHeight="1">
      <c r="F422" s="57"/>
      <c r="G422" s="57"/>
      <c r="H422" s="57"/>
    </row>
    <row r="423" ht="15.75" customHeight="1">
      <c r="F423" s="57"/>
      <c r="G423" s="57"/>
      <c r="H423" s="57"/>
    </row>
    <row r="424" ht="15.75" customHeight="1">
      <c r="F424" s="57"/>
      <c r="G424" s="57"/>
      <c r="H424" s="57"/>
    </row>
    <row r="425" ht="15.75" customHeight="1">
      <c r="F425" s="57"/>
      <c r="G425" s="57"/>
      <c r="H425" s="57"/>
    </row>
    <row r="426" ht="15.75" customHeight="1">
      <c r="F426" s="57"/>
      <c r="G426" s="57"/>
      <c r="H426" s="57"/>
    </row>
    <row r="427" ht="15.75" customHeight="1">
      <c r="F427" s="57"/>
      <c r="G427" s="57"/>
      <c r="H427" s="57"/>
    </row>
    <row r="428" ht="15.75" customHeight="1">
      <c r="F428" s="57"/>
      <c r="G428" s="57"/>
      <c r="H428" s="57"/>
    </row>
    <row r="429" ht="15.75" customHeight="1">
      <c r="F429" s="57"/>
      <c r="G429" s="57"/>
      <c r="H429" s="57"/>
    </row>
    <row r="430" ht="15.75" customHeight="1">
      <c r="F430" s="57"/>
      <c r="G430" s="57"/>
      <c r="H430" s="57"/>
    </row>
    <row r="431" ht="15.75" customHeight="1">
      <c r="F431" s="57"/>
      <c r="G431" s="57"/>
      <c r="H431" s="57"/>
    </row>
    <row r="432" ht="15.75" customHeight="1">
      <c r="F432" s="57"/>
      <c r="G432" s="57"/>
      <c r="H432" s="57"/>
    </row>
    <row r="433" ht="15.75" customHeight="1">
      <c r="F433" s="57"/>
      <c r="G433" s="57"/>
      <c r="H433" s="57"/>
    </row>
    <row r="434" ht="15.75" customHeight="1">
      <c r="F434" s="57"/>
      <c r="G434" s="57"/>
      <c r="H434" s="57"/>
    </row>
    <row r="435" ht="15.75" customHeight="1">
      <c r="F435" s="57"/>
      <c r="G435" s="57"/>
      <c r="H435" s="57"/>
    </row>
    <row r="436" ht="15.75" customHeight="1">
      <c r="F436" s="57"/>
      <c r="G436" s="57"/>
      <c r="H436" s="57"/>
    </row>
    <row r="437" ht="15.75" customHeight="1">
      <c r="F437" s="57"/>
      <c r="G437" s="57"/>
      <c r="H437" s="57"/>
    </row>
    <row r="438" ht="15.75" customHeight="1">
      <c r="F438" s="57"/>
      <c r="G438" s="57"/>
      <c r="H438" s="57"/>
    </row>
    <row r="439" ht="15.75" customHeight="1">
      <c r="F439" s="57"/>
      <c r="G439" s="57"/>
      <c r="H439" s="57"/>
    </row>
    <row r="440" ht="15.75" customHeight="1">
      <c r="F440" s="57"/>
      <c r="G440" s="57"/>
      <c r="H440" s="57"/>
    </row>
    <row r="441" ht="15.75" customHeight="1">
      <c r="F441" s="57"/>
      <c r="G441" s="57"/>
      <c r="H441" s="57"/>
    </row>
    <row r="442" ht="15.75" customHeight="1">
      <c r="F442" s="57"/>
      <c r="G442" s="57"/>
      <c r="H442" s="57"/>
    </row>
    <row r="443" ht="15.75" customHeight="1">
      <c r="F443" s="57"/>
      <c r="G443" s="57"/>
      <c r="H443" s="57"/>
    </row>
    <row r="444" ht="15.75" customHeight="1">
      <c r="F444" s="57"/>
      <c r="G444" s="57"/>
      <c r="H444" s="57"/>
    </row>
    <row r="445" ht="15.75" customHeight="1">
      <c r="F445" s="57"/>
      <c r="G445" s="57"/>
      <c r="H445" s="57"/>
    </row>
    <row r="446" ht="15.75" customHeight="1">
      <c r="F446" s="57"/>
      <c r="G446" s="57"/>
      <c r="H446" s="57"/>
    </row>
    <row r="447" ht="15.75" customHeight="1">
      <c r="F447" s="57"/>
      <c r="G447" s="57"/>
      <c r="H447" s="57"/>
    </row>
    <row r="448" ht="15.75" customHeight="1">
      <c r="F448" s="57"/>
      <c r="G448" s="57"/>
      <c r="H448" s="57"/>
    </row>
    <row r="449" ht="15.75" customHeight="1">
      <c r="F449" s="57"/>
      <c r="G449" s="57"/>
      <c r="H449" s="57"/>
    </row>
    <row r="450" ht="15.75" customHeight="1">
      <c r="F450" s="57"/>
      <c r="G450" s="57"/>
      <c r="H450" s="57"/>
    </row>
    <row r="451" ht="15.75" customHeight="1">
      <c r="F451" s="57"/>
      <c r="G451" s="57"/>
      <c r="H451" s="57"/>
    </row>
    <row r="452" ht="15.75" customHeight="1">
      <c r="F452" s="57"/>
      <c r="G452" s="57"/>
      <c r="H452" s="57"/>
    </row>
    <row r="453" ht="15.75" customHeight="1">
      <c r="F453" s="57"/>
      <c r="G453" s="57"/>
      <c r="H453" s="57"/>
    </row>
    <row r="454" ht="15.75" customHeight="1">
      <c r="F454" s="57"/>
      <c r="G454" s="57"/>
      <c r="H454" s="57"/>
    </row>
    <row r="455" ht="15.75" customHeight="1">
      <c r="F455" s="57"/>
      <c r="G455" s="57"/>
      <c r="H455" s="57"/>
    </row>
    <row r="456" ht="15.75" customHeight="1">
      <c r="F456" s="57"/>
      <c r="G456" s="57"/>
      <c r="H456" s="57"/>
    </row>
    <row r="457" ht="15.75" customHeight="1">
      <c r="F457" s="57"/>
      <c r="G457" s="57"/>
      <c r="H457" s="57"/>
    </row>
    <row r="458" ht="15.75" customHeight="1">
      <c r="F458" s="57"/>
      <c r="G458" s="57"/>
      <c r="H458" s="57"/>
    </row>
    <row r="459" ht="15.75" customHeight="1">
      <c r="F459" s="57"/>
      <c r="G459" s="57"/>
      <c r="H459" s="57"/>
    </row>
    <row r="460" ht="15.75" customHeight="1">
      <c r="F460" s="57"/>
      <c r="G460" s="57"/>
      <c r="H460" s="57"/>
    </row>
    <row r="461" ht="15.75" customHeight="1">
      <c r="F461" s="57"/>
      <c r="G461" s="57"/>
      <c r="H461" s="57"/>
    </row>
    <row r="462" ht="15.75" customHeight="1">
      <c r="F462" s="57"/>
      <c r="G462" s="57"/>
      <c r="H462" s="57"/>
    </row>
    <row r="463" ht="15.75" customHeight="1">
      <c r="F463" s="57"/>
      <c r="G463" s="57"/>
      <c r="H463" s="57"/>
    </row>
    <row r="464" ht="15.75" customHeight="1">
      <c r="F464" s="57"/>
      <c r="G464" s="57"/>
      <c r="H464" s="57"/>
    </row>
    <row r="465" ht="15.75" customHeight="1">
      <c r="F465" s="57"/>
      <c r="G465" s="57"/>
      <c r="H465" s="57"/>
    </row>
    <row r="466" ht="15.75" customHeight="1">
      <c r="F466" s="57"/>
      <c r="G466" s="57"/>
      <c r="H466" s="57"/>
    </row>
    <row r="467" ht="15.75" customHeight="1">
      <c r="F467" s="57"/>
      <c r="G467" s="57"/>
      <c r="H467" s="57"/>
    </row>
    <row r="468" ht="15.75" customHeight="1">
      <c r="F468" s="57"/>
      <c r="G468" s="57"/>
      <c r="H468" s="57"/>
    </row>
    <row r="469" ht="15.75" customHeight="1">
      <c r="F469" s="57"/>
      <c r="G469" s="57"/>
      <c r="H469" s="57"/>
    </row>
    <row r="470" ht="15.75" customHeight="1">
      <c r="F470" s="57"/>
      <c r="G470" s="57"/>
      <c r="H470" s="57"/>
    </row>
    <row r="471" ht="15.75" customHeight="1">
      <c r="F471" s="57"/>
      <c r="G471" s="57"/>
      <c r="H471" s="57"/>
    </row>
    <row r="472" ht="15.75" customHeight="1">
      <c r="F472" s="57"/>
      <c r="G472" s="57"/>
      <c r="H472" s="57"/>
    </row>
    <row r="473" ht="15.75" customHeight="1">
      <c r="F473" s="57"/>
      <c r="G473" s="57"/>
      <c r="H473" s="57"/>
    </row>
    <row r="474" ht="15.75" customHeight="1">
      <c r="F474" s="57"/>
      <c r="G474" s="57"/>
      <c r="H474" s="57"/>
    </row>
    <row r="475" ht="15.75" customHeight="1">
      <c r="F475" s="57"/>
      <c r="G475" s="57"/>
      <c r="H475" s="57"/>
    </row>
    <row r="476" ht="15.75" customHeight="1">
      <c r="F476" s="57"/>
      <c r="G476" s="57"/>
      <c r="H476" s="57"/>
    </row>
    <row r="477" ht="15.75" customHeight="1">
      <c r="F477" s="57"/>
      <c r="G477" s="57"/>
      <c r="H477" s="57"/>
    </row>
    <row r="478" ht="15.75" customHeight="1">
      <c r="F478" s="57"/>
      <c r="G478" s="57"/>
      <c r="H478" s="57"/>
    </row>
    <row r="479" ht="15.75" customHeight="1">
      <c r="F479" s="57"/>
      <c r="G479" s="57"/>
      <c r="H479" s="57"/>
    </row>
    <row r="480" ht="15.75" customHeight="1">
      <c r="F480" s="57"/>
      <c r="G480" s="57"/>
      <c r="H480" s="57"/>
    </row>
    <row r="481" ht="15.75" customHeight="1">
      <c r="F481" s="57"/>
      <c r="G481" s="57"/>
      <c r="H481" s="57"/>
    </row>
    <row r="482" ht="15.75" customHeight="1">
      <c r="F482" s="57"/>
      <c r="G482" s="57"/>
      <c r="H482" s="57"/>
    </row>
    <row r="483" ht="15.75" customHeight="1">
      <c r="F483" s="57"/>
      <c r="G483" s="57"/>
      <c r="H483" s="57"/>
    </row>
    <row r="484" ht="15.75" customHeight="1">
      <c r="F484" s="57"/>
      <c r="G484" s="57"/>
      <c r="H484" s="57"/>
    </row>
    <row r="485" ht="15.75" customHeight="1">
      <c r="F485" s="57"/>
      <c r="G485" s="57"/>
      <c r="H485" s="57"/>
    </row>
    <row r="486" ht="15.75" customHeight="1">
      <c r="F486" s="57"/>
      <c r="G486" s="57"/>
      <c r="H486" s="57"/>
    </row>
    <row r="487" ht="15.75" customHeight="1">
      <c r="F487" s="57"/>
      <c r="G487" s="57"/>
      <c r="H487" s="57"/>
    </row>
    <row r="488" ht="15.75" customHeight="1">
      <c r="F488" s="57"/>
      <c r="G488" s="57"/>
      <c r="H488" s="57"/>
    </row>
    <row r="489" ht="15.75" customHeight="1">
      <c r="F489" s="57"/>
      <c r="G489" s="57"/>
      <c r="H489" s="57"/>
    </row>
    <row r="490" ht="15.75" customHeight="1">
      <c r="F490" s="57"/>
      <c r="G490" s="57"/>
      <c r="H490" s="57"/>
    </row>
    <row r="491" ht="15.75" customHeight="1">
      <c r="F491" s="57"/>
      <c r="G491" s="57"/>
      <c r="H491" s="57"/>
    </row>
    <row r="492" ht="15.75" customHeight="1">
      <c r="F492" s="57"/>
      <c r="G492" s="57"/>
      <c r="H492" s="57"/>
    </row>
    <row r="493" ht="15.75" customHeight="1">
      <c r="F493" s="57"/>
      <c r="G493" s="57"/>
      <c r="H493" s="57"/>
    </row>
    <row r="494" ht="15.75" customHeight="1">
      <c r="F494" s="57"/>
      <c r="G494" s="57"/>
      <c r="H494" s="57"/>
    </row>
    <row r="495" ht="15.75" customHeight="1">
      <c r="F495" s="57"/>
      <c r="G495" s="57"/>
      <c r="H495" s="57"/>
    </row>
    <row r="496" ht="15.75" customHeight="1">
      <c r="F496" s="57"/>
      <c r="G496" s="57"/>
      <c r="H496" s="57"/>
    </row>
    <row r="497" ht="15.75" customHeight="1">
      <c r="F497" s="57"/>
      <c r="G497" s="57"/>
      <c r="H497" s="57"/>
    </row>
    <row r="498" ht="15.75" customHeight="1">
      <c r="F498" s="57"/>
      <c r="G498" s="57"/>
      <c r="H498" s="57"/>
    </row>
    <row r="499" ht="15.75" customHeight="1">
      <c r="F499" s="57"/>
      <c r="G499" s="57"/>
      <c r="H499" s="57"/>
    </row>
    <row r="500" ht="15.75" customHeight="1">
      <c r="F500" s="57"/>
      <c r="G500" s="57"/>
      <c r="H500" s="57"/>
    </row>
    <row r="501" ht="15.75" customHeight="1">
      <c r="F501" s="57"/>
      <c r="G501" s="57"/>
      <c r="H501" s="57"/>
    </row>
    <row r="502" ht="15.75" customHeight="1">
      <c r="F502" s="57"/>
      <c r="G502" s="57"/>
      <c r="H502" s="57"/>
    </row>
    <row r="503" ht="15.75" customHeight="1">
      <c r="F503" s="57"/>
      <c r="G503" s="57"/>
      <c r="H503" s="57"/>
    </row>
    <row r="504" ht="15.75" customHeight="1">
      <c r="F504" s="57"/>
      <c r="G504" s="57"/>
      <c r="H504" s="57"/>
    </row>
    <row r="505" ht="15.75" customHeight="1">
      <c r="F505" s="57"/>
      <c r="G505" s="57"/>
      <c r="H505" s="57"/>
    </row>
    <row r="506" ht="15.75" customHeight="1">
      <c r="F506" s="57"/>
      <c r="G506" s="57"/>
      <c r="H506" s="57"/>
    </row>
    <row r="507" ht="15.75" customHeight="1">
      <c r="F507" s="57"/>
      <c r="G507" s="57"/>
      <c r="H507" s="57"/>
    </row>
    <row r="508" ht="15.75" customHeight="1">
      <c r="F508" s="57"/>
      <c r="G508" s="57"/>
      <c r="H508" s="57"/>
    </row>
    <row r="509" ht="15.75" customHeight="1">
      <c r="F509" s="57"/>
      <c r="G509" s="57"/>
      <c r="H509" s="57"/>
    </row>
    <row r="510" ht="15.75" customHeight="1">
      <c r="F510" s="57"/>
      <c r="G510" s="57"/>
      <c r="H510" s="57"/>
    </row>
    <row r="511" ht="15.75" customHeight="1">
      <c r="F511" s="57"/>
      <c r="G511" s="57"/>
      <c r="H511" s="57"/>
    </row>
    <row r="512" ht="15.75" customHeight="1">
      <c r="F512" s="57"/>
      <c r="G512" s="57"/>
      <c r="H512" s="57"/>
    </row>
    <row r="513" ht="15.75" customHeight="1">
      <c r="F513" s="57"/>
      <c r="G513" s="57"/>
      <c r="H513" s="57"/>
    </row>
    <row r="514" ht="15.75" customHeight="1">
      <c r="F514" s="57"/>
      <c r="G514" s="57"/>
      <c r="H514" s="57"/>
    </row>
    <row r="515" ht="15.75" customHeight="1">
      <c r="F515" s="57"/>
      <c r="G515" s="57"/>
      <c r="H515" s="57"/>
    </row>
    <row r="516" ht="15.75" customHeight="1">
      <c r="F516" s="57"/>
      <c r="G516" s="57"/>
      <c r="H516" s="57"/>
    </row>
    <row r="517" ht="15.75" customHeight="1">
      <c r="F517" s="57"/>
      <c r="G517" s="57"/>
      <c r="H517" s="57"/>
    </row>
    <row r="518" ht="15.75" customHeight="1">
      <c r="F518" s="57"/>
      <c r="G518" s="57"/>
      <c r="H518" s="57"/>
    </row>
    <row r="519" ht="15.75" customHeight="1">
      <c r="F519" s="57"/>
      <c r="G519" s="57"/>
      <c r="H519" s="57"/>
    </row>
    <row r="520" ht="15.75" customHeight="1">
      <c r="F520" s="57"/>
      <c r="G520" s="57"/>
      <c r="H520" s="57"/>
    </row>
    <row r="521" ht="15.75" customHeight="1">
      <c r="F521" s="57"/>
      <c r="G521" s="57"/>
      <c r="H521" s="57"/>
    </row>
    <row r="522" ht="15.75" customHeight="1">
      <c r="F522" s="57"/>
      <c r="G522" s="57"/>
      <c r="H522" s="57"/>
    </row>
    <row r="523" ht="15.75" customHeight="1">
      <c r="F523" s="57"/>
      <c r="G523" s="57"/>
      <c r="H523" s="57"/>
    </row>
    <row r="524" ht="15.75" customHeight="1">
      <c r="F524" s="57"/>
      <c r="G524" s="57"/>
      <c r="H524" s="57"/>
    </row>
    <row r="525" ht="15.75" customHeight="1">
      <c r="F525" s="57"/>
      <c r="G525" s="57"/>
      <c r="H525" s="57"/>
    </row>
    <row r="526" ht="15.75" customHeight="1">
      <c r="F526" s="57"/>
      <c r="G526" s="57"/>
      <c r="H526" s="57"/>
    </row>
    <row r="527" ht="15.75" customHeight="1">
      <c r="F527" s="57"/>
      <c r="G527" s="57"/>
      <c r="H527" s="57"/>
    </row>
    <row r="528" ht="15.75" customHeight="1">
      <c r="F528" s="57"/>
      <c r="G528" s="57"/>
      <c r="H528" s="57"/>
    </row>
    <row r="529" ht="15.75" customHeight="1">
      <c r="F529" s="57"/>
      <c r="G529" s="57"/>
      <c r="H529" s="57"/>
    </row>
    <row r="530" ht="15.75" customHeight="1">
      <c r="F530" s="57"/>
      <c r="G530" s="57"/>
      <c r="H530" s="57"/>
    </row>
    <row r="531" ht="15.75" customHeight="1">
      <c r="F531" s="57"/>
      <c r="G531" s="57"/>
      <c r="H531" s="57"/>
    </row>
    <row r="532" ht="15.75" customHeight="1">
      <c r="F532" s="57"/>
      <c r="G532" s="57"/>
      <c r="H532" s="57"/>
    </row>
    <row r="533" ht="15.75" customHeight="1">
      <c r="F533" s="57"/>
      <c r="G533" s="57"/>
      <c r="H533" s="57"/>
    </row>
    <row r="534" ht="15.75" customHeight="1">
      <c r="F534" s="57"/>
      <c r="G534" s="57"/>
      <c r="H534" s="57"/>
    </row>
    <row r="535" ht="15.75" customHeight="1">
      <c r="F535" s="57"/>
      <c r="G535" s="57"/>
      <c r="H535" s="57"/>
    </row>
    <row r="536" ht="15.75" customHeight="1">
      <c r="F536" s="57"/>
      <c r="G536" s="57"/>
      <c r="H536" s="57"/>
    </row>
    <row r="537" ht="15.75" customHeight="1">
      <c r="F537" s="57"/>
      <c r="G537" s="57"/>
      <c r="H537" s="57"/>
    </row>
    <row r="538" ht="15.75" customHeight="1">
      <c r="F538" s="57"/>
      <c r="G538" s="57"/>
      <c r="H538" s="57"/>
    </row>
    <row r="539" ht="15.75" customHeight="1">
      <c r="F539" s="57"/>
      <c r="G539" s="57"/>
      <c r="H539" s="57"/>
    </row>
    <row r="540" ht="15.75" customHeight="1">
      <c r="F540" s="57"/>
      <c r="G540" s="57"/>
      <c r="H540" s="57"/>
    </row>
    <row r="541" ht="15.75" customHeight="1">
      <c r="F541" s="57"/>
      <c r="G541" s="57"/>
      <c r="H541" s="57"/>
    </row>
    <row r="542" ht="15.75" customHeight="1">
      <c r="F542" s="57"/>
      <c r="G542" s="57"/>
      <c r="H542" s="57"/>
    </row>
    <row r="543" ht="15.75" customHeight="1">
      <c r="F543" s="57"/>
      <c r="G543" s="57"/>
      <c r="H543" s="57"/>
    </row>
    <row r="544" ht="15.75" customHeight="1">
      <c r="F544" s="57"/>
      <c r="G544" s="57"/>
      <c r="H544" s="57"/>
    </row>
    <row r="545" ht="15.75" customHeight="1">
      <c r="F545" s="57"/>
      <c r="G545" s="57"/>
      <c r="H545" s="57"/>
    </row>
    <row r="546" ht="15.75" customHeight="1">
      <c r="F546" s="57"/>
      <c r="G546" s="57"/>
      <c r="H546" s="57"/>
    </row>
    <row r="547" ht="15.75" customHeight="1">
      <c r="F547" s="57"/>
      <c r="G547" s="57"/>
      <c r="H547" s="57"/>
    </row>
    <row r="548" ht="15.75" customHeight="1">
      <c r="F548" s="57"/>
      <c r="G548" s="57"/>
      <c r="H548" s="57"/>
    </row>
    <row r="549" ht="15.75" customHeight="1">
      <c r="F549" s="57"/>
      <c r="G549" s="57"/>
      <c r="H549" s="57"/>
    </row>
    <row r="550" ht="15.75" customHeight="1">
      <c r="F550" s="57"/>
      <c r="G550" s="57"/>
      <c r="H550" s="57"/>
    </row>
    <row r="551" ht="15.75" customHeight="1">
      <c r="F551" s="57"/>
      <c r="G551" s="57"/>
      <c r="H551" s="57"/>
    </row>
    <row r="552" ht="15.75" customHeight="1">
      <c r="F552" s="57"/>
      <c r="G552" s="57"/>
      <c r="H552" s="57"/>
    </row>
    <row r="553" ht="15.75" customHeight="1">
      <c r="F553" s="57"/>
      <c r="G553" s="57"/>
      <c r="H553" s="57"/>
    </row>
    <row r="554" ht="15.75" customHeight="1">
      <c r="F554" s="57"/>
      <c r="G554" s="57"/>
      <c r="H554" s="57"/>
    </row>
    <row r="555" ht="15.75" customHeight="1">
      <c r="F555" s="57"/>
      <c r="G555" s="57"/>
      <c r="H555" s="57"/>
    </row>
    <row r="556" ht="15.75" customHeight="1">
      <c r="F556" s="57"/>
      <c r="G556" s="57"/>
      <c r="H556" s="57"/>
    </row>
    <row r="557" ht="15.75" customHeight="1">
      <c r="F557" s="57"/>
      <c r="G557" s="57"/>
      <c r="H557" s="57"/>
    </row>
    <row r="558" ht="15.75" customHeight="1">
      <c r="F558" s="57"/>
      <c r="G558" s="57"/>
      <c r="H558" s="57"/>
    </row>
    <row r="559" ht="15.75" customHeight="1">
      <c r="F559" s="57"/>
      <c r="G559" s="57"/>
      <c r="H559" s="57"/>
    </row>
    <row r="560" ht="15.75" customHeight="1">
      <c r="F560" s="57"/>
      <c r="G560" s="57"/>
      <c r="H560" s="57"/>
    </row>
    <row r="561" ht="15.75" customHeight="1">
      <c r="F561" s="57"/>
      <c r="G561" s="57"/>
      <c r="H561" s="57"/>
    </row>
    <row r="562" ht="15.75" customHeight="1">
      <c r="F562" s="57"/>
      <c r="G562" s="57"/>
      <c r="H562" s="57"/>
    </row>
    <row r="563" ht="15.75" customHeight="1">
      <c r="F563" s="57"/>
      <c r="G563" s="57"/>
      <c r="H563" s="57"/>
    </row>
    <row r="564" ht="15.75" customHeight="1">
      <c r="F564" s="57"/>
      <c r="G564" s="57"/>
      <c r="H564" s="57"/>
    </row>
    <row r="565" ht="15.75" customHeight="1">
      <c r="F565" s="57"/>
      <c r="G565" s="57"/>
      <c r="H565" s="57"/>
    </row>
    <row r="566" ht="15.75" customHeight="1">
      <c r="F566" s="57"/>
      <c r="G566" s="57"/>
      <c r="H566" s="57"/>
    </row>
    <row r="567" ht="15.75" customHeight="1">
      <c r="F567" s="57"/>
      <c r="G567" s="57"/>
      <c r="H567" s="57"/>
    </row>
    <row r="568" ht="15.75" customHeight="1">
      <c r="F568" s="57"/>
      <c r="G568" s="57"/>
      <c r="H568" s="57"/>
    </row>
    <row r="569" ht="15.75" customHeight="1">
      <c r="F569" s="57"/>
      <c r="G569" s="57"/>
      <c r="H569" s="57"/>
    </row>
    <row r="570" ht="15.75" customHeight="1">
      <c r="F570" s="57"/>
      <c r="G570" s="57"/>
      <c r="H570" s="57"/>
    </row>
    <row r="571" ht="15.75" customHeight="1">
      <c r="F571" s="57"/>
      <c r="G571" s="57"/>
      <c r="H571" s="57"/>
    </row>
    <row r="572" ht="15.75" customHeight="1">
      <c r="F572" s="57"/>
      <c r="G572" s="57"/>
      <c r="H572" s="57"/>
    </row>
    <row r="573" ht="15.75" customHeight="1">
      <c r="F573" s="57"/>
      <c r="G573" s="57"/>
      <c r="H573" s="57"/>
    </row>
    <row r="574" ht="15.75" customHeight="1">
      <c r="F574" s="57"/>
      <c r="G574" s="57"/>
      <c r="H574" s="57"/>
    </row>
    <row r="575" ht="15.75" customHeight="1">
      <c r="F575" s="57"/>
      <c r="G575" s="57"/>
      <c r="H575" s="57"/>
    </row>
    <row r="576" ht="15.75" customHeight="1">
      <c r="F576" s="57"/>
      <c r="G576" s="57"/>
      <c r="H576" s="57"/>
    </row>
    <row r="577" ht="15.75" customHeight="1">
      <c r="F577" s="57"/>
      <c r="G577" s="57"/>
      <c r="H577" s="57"/>
    </row>
    <row r="578" ht="15.75" customHeight="1">
      <c r="F578" s="57"/>
      <c r="G578" s="57"/>
      <c r="H578" s="57"/>
    </row>
    <row r="579" ht="15.75" customHeight="1">
      <c r="F579" s="57"/>
      <c r="G579" s="57"/>
      <c r="H579" s="57"/>
    </row>
    <row r="580" ht="15.75" customHeight="1">
      <c r="F580" s="57"/>
      <c r="G580" s="57"/>
      <c r="H580" s="57"/>
    </row>
    <row r="581" ht="15.75" customHeight="1">
      <c r="F581" s="57"/>
      <c r="G581" s="57"/>
      <c r="H581" s="57"/>
    </row>
    <row r="582" ht="15.75" customHeight="1">
      <c r="F582" s="57"/>
      <c r="G582" s="57"/>
      <c r="H582" s="57"/>
    </row>
    <row r="583" ht="15.75" customHeight="1">
      <c r="F583" s="57"/>
      <c r="G583" s="57"/>
      <c r="H583" s="57"/>
    </row>
    <row r="584" ht="15.75" customHeight="1">
      <c r="F584" s="57"/>
      <c r="G584" s="57"/>
      <c r="H584" s="57"/>
    </row>
    <row r="585" ht="15.75" customHeight="1">
      <c r="F585" s="57"/>
      <c r="G585" s="57"/>
      <c r="H585" s="57"/>
    </row>
    <row r="586" ht="15.75" customHeight="1">
      <c r="F586" s="57"/>
      <c r="G586" s="57"/>
      <c r="H586" s="57"/>
    </row>
    <row r="587" ht="15.75" customHeight="1">
      <c r="F587" s="57"/>
      <c r="G587" s="57"/>
      <c r="H587" s="57"/>
    </row>
    <row r="588" ht="15.75" customHeight="1">
      <c r="F588" s="57"/>
      <c r="G588" s="57"/>
      <c r="H588" s="57"/>
    </row>
    <row r="589" ht="15.75" customHeight="1">
      <c r="F589" s="57"/>
      <c r="G589" s="57"/>
      <c r="H589" s="57"/>
    </row>
    <row r="590" ht="15.75" customHeight="1">
      <c r="F590" s="57"/>
      <c r="G590" s="57"/>
      <c r="H590" s="57"/>
    </row>
    <row r="591" ht="15.75" customHeight="1">
      <c r="F591" s="57"/>
      <c r="G591" s="57"/>
      <c r="H591" s="57"/>
    </row>
    <row r="592" ht="15.75" customHeight="1">
      <c r="F592" s="57"/>
      <c r="G592" s="57"/>
      <c r="H592" s="57"/>
    </row>
    <row r="593" ht="15.75" customHeight="1">
      <c r="F593" s="57"/>
      <c r="G593" s="57"/>
      <c r="H593" s="57"/>
    </row>
    <row r="594" ht="15.75" customHeight="1">
      <c r="F594" s="57"/>
      <c r="G594" s="57"/>
      <c r="H594" s="57"/>
    </row>
    <row r="595" ht="15.75" customHeight="1">
      <c r="F595" s="57"/>
      <c r="G595" s="57"/>
      <c r="H595" s="57"/>
    </row>
    <row r="596" ht="15.75" customHeight="1">
      <c r="F596" s="57"/>
      <c r="G596" s="57"/>
      <c r="H596" s="57"/>
    </row>
    <row r="597" ht="15.75" customHeight="1">
      <c r="F597" s="57"/>
      <c r="G597" s="57"/>
      <c r="H597" s="57"/>
    </row>
    <row r="598" ht="15.75" customHeight="1">
      <c r="F598" s="57"/>
      <c r="G598" s="57"/>
      <c r="H598" s="57"/>
    </row>
    <row r="599" ht="15.75" customHeight="1">
      <c r="F599" s="57"/>
      <c r="G599" s="57"/>
      <c r="H599" s="57"/>
    </row>
    <row r="600" ht="15.75" customHeight="1">
      <c r="F600" s="57"/>
      <c r="G600" s="57"/>
      <c r="H600" s="57"/>
    </row>
    <row r="601" ht="15.75" customHeight="1">
      <c r="F601" s="57"/>
      <c r="G601" s="57"/>
      <c r="H601" s="57"/>
    </row>
    <row r="602" ht="15.75" customHeight="1">
      <c r="F602" s="57"/>
      <c r="G602" s="57"/>
      <c r="H602" s="57"/>
    </row>
    <row r="603" ht="15.75" customHeight="1">
      <c r="F603" s="57"/>
      <c r="G603" s="57"/>
      <c r="H603" s="57"/>
    </row>
    <row r="604" ht="15.75" customHeight="1">
      <c r="F604" s="57"/>
      <c r="G604" s="57"/>
      <c r="H604" s="57"/>
    </row>
    <row r="605" ht="15.75" customHeight="1">
      <c r="F605" s="57"/>
      <c r="G605" s="57"/>
      <c r="H605" s="57"/>
    </row>
    <row r="606" ht="15.75" customHeight="1">
      <c r="F606" s="57"/>
      <c r="G606" s="57"/>
      <c r="H606" s="57"/>
    </row>
    <row r="607" ht="15.75" customHeight="1">
      <c r="F607" s="57"/>
      <c r="G607" s="57"/>
      <c r="H607" s="57"/>
    </row>
    <row r="608" ht="15.75" customHeight="1">
      <c r="F608" s="57"/>
      <c r="G608" s="57"/>
      <c r="H608" s="57"/>
    </row>
    <row r="609" ht="15.75" customHeight="1">
      <c r="F609" s="57"/>
      <c r="G609" s="57"/>
      <c r="H609" s="57"/>
    </row>
    <row r="610" ht="15.75" customHeight="1">
      <c r="F610" s="57"/>
      <c r="G610" s="57"/>
      <c r="H610" s="57"/>
    </row>
    <row r="611" ht="15.75" customHeight="1">
      <c r="F611" s="57"/>
      <c r="G611" s="57"/>
      <c r="H611" s="57"/>
    </row>
    <row r="612" ht="15.75" customHeight="1">
      <c r="F612" s="57"/>
      <c r="G612" s="57"/>
      <c r="H612" s="57"/>
    </row>
    <row r="613" ht="15.75" customHeight="1">
      <c r="F613" s="57"/>
      <c r="G613" s="57"/>
      <c r="H613" s="57"/>
    </row>
    <row r="614" ht="15.75" customHeight="1">
      <c r="F614" s="57"/>
      <c r="G614" s="57"/>
      <c r="H614" s="57"/>
    </row>
    <row r="615" ht="15.75" customHeight="1">
      <c r="F615" s="57"/>
      <c r="G615" s="57"/>
      <c r="H615" s="57"/>
    </row>
    <row r="616" ht="15.75" customHeight="1">
      <c r="F616" s="57"/>
      <c r="G616" s="57"/>
      <c r="H616" s="57"/>
    </row>
    <row r="617" ht="15.75" customHeight="1">
      <c r="F617" s="57"/>
      <c r="G617" s="57"/>
      <c r="H617" s="57"/>
    </row>
    <row r="618" ht="15.75" customHeight="1">
      <c r="F618" s="57"/>
      <c r="G618" s="57"/>
      <c r="H618" s="57"/>
    </row>
    <row r="619" ht="15.75" customHeight="1">
      <c r="F619" s="57"/>
      <c r="G619" s="57"/>
      <c r="H619" s="57"/>
    </row>
    <row r="620" ht="15.75" customHeight="1">
      <c r="F620" s="57"/>
      <c r="G620" s="57"/>
      <c r="H620" s="57"/>
    </row>
    <row r="621" ht="15.75" customHeight="1">
      <c r="F621" s="57"/>
      <c r="G621" s="57"/>
      <c r="H621" s="57"/>
    </row>
    <row r="622" ht="15.75" customHeight="1">
      <c r="F622" s="57"/>
      <c r="G622" s="57"/>
      <c r="H622" s="57"/>
    </row>
    <row r="623" ht="15.75" customHeight="1">
      <c r="F623" s="57"/>
      <c r="G623" s="57"/>
      <c r="H623" s="57"/>
    </row>
    <row r="624" ht="15.75" customHeight="1">
      <c r="F624" s="57"/>
      <c r="G624" s="57"/>
      <c r="H624" s="57"/>
    </row>
    <row r="625" ht="15.75" customHeight="1">
      <c r="F625" s="57"/>
      <c r="G625" s="57"/>
      <c r="H625" s="57"/>
    </row>
    <row r="626" ht="15.75" customHeight="1">
      <c r="F626" s="57"/>
      <c r="G626" s="57"/>
      <c r="H626" s="57"/>
    </row>
    <row r="627" ht="15.75" customHeight="1">
      <c r="F627" s="57"/>
      <c r="G627" s="57"/>
      <c r="H627" s="57"/>
    </row>
    <row r="628" ht="15.75" customHeight="1">
      <c r="F628" s="57"/>
      <c r="G628" s="57"/>
      <c r="H628" s="57"/>
    </row>
    <row r="629" ht="15.75" customHeight="1">
      <c r="F629" s="57"/>
      <c r="G629" s="57"/>
      <c r="H629" s="57"/>
    </row>
    <row r="630" ht="15.75" customHeight="1">
      <c r="F630" s="57"/>
      <c r="G630" s="57"/>
      <c r="H630" s="57"/>
    </row>
    <row r="631" ht="15.75" customHeight="1">
      <c r="F631" s="57"/>
      <c r="G631" s="57"/>
      <c r="H631" s="57"/>
    </row>
    <row r="632" ht="15.75" customHeight="1">
      <c r="F632" s="57"/>
      <c r="G632" s="57"/>
      <c r="H632" s="57"/>
    </row>
    <row r="633" ht="15.75" customHeight="1">
      <c r="F633" s="57"/>
      <c r="G633" s="57"/>
      <c r="H633" s="57"/>
    </row>
    <row r="634" ht="15.75" customHeight="1">
      <c r="F634" s="57"/>
      <c r="G634" s="57"/>
      <c r="H634" s="57"/>
    </row>
    <row r="635" ht="15.75" customHeight="1">
      <c r="F635" s="57"/>
      <c r="G635" s="57"/>
      <c r="H635" s="57"/>
    </row>
    <row r="636" ht="15.75" customHeight="1">
      <c r="F636" s="57"/>
      <c r="G636" s="57"/>
      <c r="H636" s="57"/>
    </row>
    <row r="637" ht="15.75" customHeight="1">
      <c r="F637" s="57"/>
      <c r="G637" s="57"/>
      <c r="H637" s="57"/>
    </row>
    <row r="638" ht="15.75" customHeight="1">
      <c r="F638" s="57"/>
      <c r="G638" s="57"/>
      <c r="H638" s="57"/>
    </row>
    <row r="639" ht="15.75" customHeight="1">
      <c r="F639" s="57"/>
      <c r="G639" s="57"/>
      <c r="H639" s="57"/>
    </row>
    <row r="640" ht="15.75" customHeight="1">
      <c r="F640" s="57"/>
      <c r="G640" s="57"/>
      <c r="H640" s="57"/>
    </row>
    <row r="641" ht="15.75" customHeight="1">
      <c r="F641" s="57"/>
      <c r="G641" s="57"/>
      <c r="H641" s="57"/>
    </row>
    <row r="642" ht="15.75" customHeight="1">
      <c r="F642" s="57"/>
      <c r="G642" s="57"/>
      <c r="H642" s="57"/>
    </row>
    <row r="643" ht="15.75" customHeight="1">
      <c r="F643" s="57"/>
      <c r="G643" s="57"/>
      <c r="H643" s="57"/>
    </row>
    <row r="644" ht="15.75" customHeight="1">
      <c r="F644" s="57"/>
      <c r="G644" s="57"/>
      <c r="H644" s="57"/>
    </row>
    <row r="645" ht="15.75" customHeight="1">
      <c r="F645" s="57"/>
      <c r="G645" s="57"/>
      <c r="H645" s="57"/>
    </row>
    <row r="646" ht="15.75" customHeight="1">
      <c r="F646" s="57"/>
      <c r="G646" s="57"/>
      <c r="H646" s="57"/>
    </row>
    <row r="647" ht="15.75" customHeight="1">
      <c r="F647" s="57"/>
      <c r="G647" s="57"/>
      <c r="H647" s="57"/>
    </row>
    <row r="648" ht="15.75" customHeight="1">
      <c r="F648" s="57"/>
      <c r="G648" s="57"/>
      <c r="H648" s="57"/>
    </row>
    <row r="649" ht="15.75" customHeight="1">
      <c r="F649" s="57"/>
      <c r="G649" s="57"/>
      <c r="H649" s="57"/>
    </row>
    <row r="650" ht="15.75" customHeight="1">
      <c r="F650" s="57"/>
      <c r="G650" s="57"/>
      <c r="H650" s="57"/>
    </row>
    <row r="651" ht="15.75" customHeight="1">
      <c r="F651" s="57"/>
      <c r="G651" s="57"/>
      <c r="H651" s="57"/>
    </row>
    <row r="652" ht="15.75" customHeight="1">
      <c r="F652" s="57"/>
      <c r="G652" s="57"/>
      <c r="H652" s="57"/>
    </row>
    <row r="653" ht="15.75" customHeight="1">
      <c r="F653" s="57"/>
      <c r="G653" s="57"/>
      <c r="H653" s="57"/>
    </row>
    <row r="654" ht="15.75" customHeight="1">
      <c r="F654" s="57"/>
      <c r="G654" s="57"/>
      <c r="H654" s="57"/>
    </row>
    <row r="655" ht="15.75" customHeight="1">
      <c r="F655" s="57"/>
      <c r="G655" s="57"/>
      <c r="H655" s="57"/>
    </row>
    <row r="656" ht="15.75" customHeight="1">
      <c r="F656" s="57"/>
      <c r="G656" s="57"/>
      <c r="H656" s="57"/>
    </row>
    <row r="657" ht="15.75" customHeight="1">
      <c r="F657" s="57"/>
      <c r="G657" s="57"/>
      <c r="H657" s="57"/>
    </row>
    <row r="658" ht="15.75" customHeight="1">
      <c r="F658" s="57"/>
      <c r="G658" s="57"/>
      <c r="H658" s="57"/>
    </row>
    <row r="659" ht="15.75" customHeight="1">
      <c r="F659" s="57"/>
      <c r="G659" s="57"/>
      <c r="H659" s="57"/>
    </row>
    <row r="660" ht="15.75" customHeight="1">
      <c r="F660" s="57"/>
      <c r="G660" s="57"/>
      <c r="H660" s="57"/>
    </row>
    <row r="661" ht="15.75" customHeight="1">
      <c r="F661" s="57"/>
      <c r="G661" s="57"/>
      <c r="H661" s="57"/>
    </row>
    <row r="662" ht="15.75" customHeight="1">
      <c r="F662" s="57"/>
      <c r="G662" s="57"/>
      <c r="H662" s="57"/>
    </row>
    <row r="663" ht="15.75" customHeight="1">
      <c r="F663" s="57"/>
      <c r="G663" s="57"/>
      <c r="H663" s="57"/>
    </row>
    <row r="664" ht="15.75" customHeight="1">
      <c r="F664" s="57"/>
      <c r="G664" s="57"/>
      <c r="H664" s="57"/>
    </row>
    <row r="665" ht="15.75" customHeight="1">
      <c r="F665" s="57"/>
      <c r="G665" s="57"/>
      <c r="H665" s="57"/>
    </row>
    <row r="666" ht="15.75" customHeight="1">
      <c r="F666" s="57"/>
      <c r="G666" s="57"/>
      <c r="H666" s="57"/>
    </row>
    <row r="667" ht="15.75" customHeight="1">
      <c r="F667" s="57"/>
      <c r="G667" s="57"/>
      <c r="H667" s="57"/>
    </row>
    <row r="668" ht="15.75" customHeight="1">
      <c r="F668" s="57"/>
      <c r="G668" s="57"/>
      <c r="H668" s="57"/>
    </row>
    <row r="669" ht="15.75" customHeight="1">
      <c r="F669" s="57"/>
      <c r="G669" s="57"/>
      <c r="H669" s="57"/>
    </row>
    <row r="670" ht="15.75" customHeight="1">
      <c r="F670" s="57"/>
      <c r="G670" s="57"/>
      <c r="H670" s="57"/>
    </row>
    <row r="671" ht="15.75" customHeight="1">
      <c r="F671" s="57"/>
      <c r="G671" s="57"/>
      <c r="H671" s="57"/>
    </row>
    <row r="672" ht="15.75" customHeight="1">
      <c r="F672" s="57"/>
      <c r="G672" s="57"/>
      <c r="H672" s="57"/>
    </row>
    <row r="673" ht="15.75" customHeight="1">
      <c r="F673" s="57"/>
      <c r="G673" s="57"/>
      <c r="H673" s="57"/>
    </row>
    <row r="674" ht="15.75" customHeight="1">
      <c r="F674" s="57"/>
      <c r="G674" s="57"/>
      <c r="H674" s="57"/>
    </row>
    <row r="675" ht="15.75" customHeight="1">
      <c r="F675" s="57"/>
      <c r="G675" s="57"/>
      <c r="H675" s="57"/>
    </row>
    <row r="676" ht="15.75" customHeight="1">
      <c r="F676" s="57"/>
      <c r="G676" s="57"/>
      <c r="H676" s="57"/>
    </row>
    <row r="677" ht="15.75" customHeight="1">
      <c r="F677" s="57"/>
      <c r="G677" s="57"/>
      <c r="H677" s="57"/>
    </row>
    <row r="678" ht="15.75" customHeight="1">
      <c r="F678" s="57"/>
      <c r="G678" s="57"/>
      <c r="H678" s="57"/>
    </row>
    <row r="679" ht="15.75" customHeight="1">
      <c r="F679" s="57"/>
      <c r="G679" s="57"/>
      <c r="H679" s="57"/>
    </row>
    <row r="680" ht="15.75" customHeight="1">
      <c r="F680" s="57"/>
      <c r="G680" s="57"/>
      <c r="H680" s="57"/>
    </row>
    <row r="681" ht="15.75" customHeight="1">
      <c r="F681" s="57"/>
      <c r="G681" s="57"/>
      <c r="H681" s="57"/>
    </row>
    <row r="682" ht="15.75" customHeight="1">
      <c r="F682" s="57"/>
      <c r="G682" s="57"/>
      <c r="H682" s="57"/>
    </row>
    <row r="683" ht="15.75" customHeight="1">
      <c r="F683" s="57"/>
      <c r="G683" s="57"/>
      <c r="H683" s="57"/>
    </row>
    <row r="684" ht="15.75" customHeight="1">
      <c r="F684" s="57"/>
      <c r="G684" s="57"/>
      <c r="H684" s="57"/>
    </row>
    <row r="685" ht="15.75" customHeight="1">
      <c r="F685" s="57"/>
      <c r="G685" s="57"/>
      <c r="H685" s="57"/>
    </row>
    <row r="686" ht="15.75" customHeight="1">
      <c r="F686" s="57"/>
      <c r="G686" s="57"/>
      <c r="H686" s="57"/>
    </row>
    <row r="687" ht="15.75" customHeight="1">
      <c r="F687" s="57"/>
      <c r="G687" s="57"/>
      <c r="H687" s="57"/>
    </row>
    <row r="688" ht="15.75" customHeight="1">
      <c r="F688" s="57"/>
      <c r="G688" s="57"/>
      <c r="H688" s="57"/>
    </row>
    <row r="689" ht="15.75" customHeight="1">
      <c r="F689" s="57"/>
      <c r="G689" s="57"/>
      <c r="H689" s="57"/>
    </row>
    <row r="690" ht="15.75" customHeight="1">
      <c r="F690" s="57"/>
      <c r="G690" s="57"/>
      <c r="H690" s="57"/>
    </row>
    <row r="691" ht="15.75" customHeight="1">
      <c r="F691" s="57"/>
      <c r="G691" s="57"/>
      <c r="H691" s="57"/>
    </row>
    <row r="692" ht="15.75" customHeight="1">
      <c r="F692" s="57"/>
      <c r="G692" s="57"/>
      <c r="H692" s="57"/>
    </row>
    <row r="693" ht="15.75" customHeight="1">
      <c r="F693" s="57"/>
      <c r="G693" s="57"/>
      <c r="H693" s="57"/>
    </row>
    <row r="694" ht="15.75" customHeight="1">
      <c r="F694" s="57"/>
      <c r="G694" s="57"/>
      <c r="H694" s="57"/>
    </row>
    <row r="695" ht="15.75" customHeight="1">
      <c r="F695" s="57"/>
      <c r="G695" s="57"/>
      <c r="H695" s="57"/>
    </row>
    <row r="696" ht="15.75" customHeight="1">
      <c r="F696" s="57"/>
      <c r="G696" s="57"/>
      <c r="H696" s="57"/>
    </row>
    <row r="697" ht="15.75" customHeight="1">
      <c r="F697" s="57"/>
      <c r="G697" s="57"/>
      <c r="H697" s="57"/>
    </row>
    <row r="698" ht="15.75" customHeight="1">
      <c r="F698" s="57"/>
      <c r="G698" s="57"/>
      <c r="H698" s="57"/>
    </row>
    <row r="699" ht="15.75" customHeight="1">
      <c r="F699" s="57"/>
      <c r="G699" s="57"/>
      <c r="H699" s="57"/>
    </row>
    <row r="700" ht="15.75" customHeight="1">
      <c r="F700" s="57"/>
      <c r="G700" s="57"/>
      <c r="H700" s="57"/>
    </row>
    <row r="701" ht="15.75" customHeight="1">
      <c r="F701" s="57"/>
      <c r="G701" s="57"/>
      <c r="H701" s="57"/>
    </row>
    <row r="702" ht="15.75" customHeight="1">
      <c r="F702" s="57"/>
      <c r="G702" s="57"/>
      <c r="H702" s="57"/>
    </row>
    <row r="703" ht="15.75" customHeight="1">
      <c r="F703" s="57"/>
      <c r="G703" s="57"/>
      <c r="H703" s="57"/>
    </row>
    <row r="704" ht="15.75" customHeight="1">
      <c r="F704" s="57"/>
      <c r="G704" s="57"/>
      <c r="H704" s="57"/>
    </row>
    <row r="705" ht="15.75" customHeight="1">
      <c r="F705" s="57"/>
      <c r="G705" s="57"/>
      <c r="H705" s="57"/>
    </row>
    <row r="706" ht="15.75" customHeight="1">
      <c r="F706" s="57"/>
      <c r="G706" s="57"/>
      <c r="H706" s="57"/>
    </row>
    <row r="707" ht="15.75" customHeight="1">
      <c r="F707" s="57"/>
      <c r="G707" s="57"/>
      <c r="H707" s="57"/>
    </row>
    <row r="708" ht="15.75" customHeight="1">
      <c r="F708" s="57"/>
      <c r="G708" s="57"/>
      <c r="H708" s="57"/>
    </row>
    <row r="709" ht="15.75" customHeight="1">
      <c r="F709" s="57"/>
      <c r="G709" s="57"/>
      <c r="H709" s="57"/>
    </row>
    <row r="710" ht="15.75" customHeight="1">
      <c r="F710" s="57"/>
      <c r="G710" s="57"/>
      <c r="H710" s="57"/>
    </row>
    <row r="711" ht="15.75" customHeight="1">
      <c r="F711" s="57"/>
      <c r="G711" s="57"/>
      <c r="H711" s="57"/>
    </row>
    <row r="712" ht="15.75" customHeight="1">
      <c r="F712" s="57"/>
      <c r="G712" s="57"/>
      <c r="H712" s="57"/>
    </row>
    <row r="713" ht="15.75" customHeight="1">
      <c r="F713" s="57"/>
      <c r="G713" s="57"/>
      <c r="H713" s="57"/>
    </row>
    <row r="714" ht="15.75" customHeight="1">
      <c r="F714" s="57"/>
      <c r="G714" s="57"/>
      <c r="H714" s="57"/>
    </row>
    <row r="715" ht="15.75" customHeight="1">
      <c r="F715" s="57"/>
      <c r="G715" s="57"/>
      <c r="H715" s="57"/>
    </row>
    <row r="716" ht="15.75" customHeight="1">
      <c r="F716" s="57"/>
      <c r="G716" s="57"/>
      <c r="H716" s="57"/>
    </row>
    <row r="717" ht="15.75" customHeight="1">
      <c r="F717" s="57"/>
      <c r="G717" s="57"/>
      <c r="H717" s="57"/>
    </row>
    <row r="718" ht="15.75" customHeight="1">
      <c r="F718" s="57"/>
      <c r="G718" s="57"/>
      <c r="H718" s="57"/>
    </row>
    <row r="719" ht="15.75" customHeight="1">
      <c r="F719" s="57"/>
      <c r="G719" s="57"/>
      <c r="H719" s="57"/>
    </row>
    <row r="720" ht="15.75" customHeight="1">
      <c r="F720" s="57"/>
      <c r="G720" s="57"/>
      <c r="H720" s="57"/>
    </row>
    <row r="721" ht="15.75" customHeight="1">
      <c r="F721" s="57"/>
      <c r="G721" s="57"/>
      <c r="H721" s="57"/>
    </row>
    <row r="722" ht="15.75" customHeight="1">
      <c r="F722" s="57"/>
      <c r="G722" s="57"/>
      <c r="H722" s="57"/>
    </row>
    <row r="723" ht="15.75" customHeight="1">
      <c r="F723" s="57"/>
      <c r="G723" s="57"/>
      <c r="H723" s="57"/>
    </row>
    <row r="724" ht="15.75" customHeight="1">
      <c r="F724" s="57"/>
      <c r="G724" s="57"/>
      <c r="H724" s="57"/>
    </row>
    <row r="725" ht="15.75" customHeight="1">
      <c r="F725" s="57"/>
      <c r="G725" s="57"/>
      <c r="H725" s="57"/>
    </row>
    <row r="726" ht="15.75" customHeight="1">
      <c r="F726" s="57"/>
      <c r="G726" s="57"/>
      <c r="H726" s="57"/>
    </row>
    <row r="727" ht="15.75" customHeight="1">
      <c r="F727" s="57"/>
      <c r="G727" s="57"/>
      <c r="H727" s="57"/>
    </row>
    <row r="728" ht="15.75" customHeight="1">
      <c r="F728" s="57"/>
      <c r="G728" s="57"/>
      <c r="H728" s="57"/>
    </row>
    <row r="729" ht="15.75" customHeight="1">
      <c r="F729" s="57"/>
      <c r="G729" s="57"/>
      <c r="H729" s="57"/>
    </row>
    <row r="730" ht="15.75" customHeight="1">
      <c r="F730" s="57"/>
      <c r="G730" s="57"/>
      <c r="H730" s="57"/>
    </row>
    <row r="731" ht="15.75" customHeight="1">
      <c r="F731" s="57"/>
      <c r="G731" s="57"/>
      <c r="H731" s="57"/>
    </row>
    <row r="732" ht="15.75" customHeight="1">
      <c r="F732" s="57"/>
      <c r="G732" s="57"/>
      <c r="H732" s="57"/>
    </row>
    <row r="733" ht="15.75" customHeight="1">
      <c r="F733" s="57"/>
      <c r="G733" s="57"/>
      <c r="H733" s="57"/>
    </row>
    <row r="734" ht="15.75" customHeight="1">
      <c r="F734" s="57"/>
      <c r="G734" s="57"/>
      <c r="H734" s="57"/>
    </row>
    <row r="735" ht="15.75" customHeight="1">
      <c r="F735" s="57"/>
      <c r="G735" s="57"/>
      <c r="H735" s="57"/>
    </row>
    <row r="736" ht="15.75" customHeight="1">
      <c r="F736" s="57"/>
      <c r="G736" s="57"/>
      <c r="H736" s="57"/>
    </row>
    <row r="737" ht="15.75" customHeight="1">
      <c r="F737" s="57"/>
      <c r="G737" s="57"/>
      <c r="H737" s="57"/>
    </row>
    <row r="738" ht="15.75" customHeight="1">
      <c r="F738" s="57"/>
      <c r="G738" s="57"/>
      <c r="H738" s="57"/>
    </row>
    <row r="739" ht="15.75" customHeight="1">
      <c r="F739" s="57"/>
      <c r="G739" s="57"/>
      <c r="H739" s="57"/>
    </row>
    <row r="740" ht="15.75" customHeight="1">
      <c r="F740" s="57"/>
      <c r="G740" s="57"/>
      <c r="H740" s="57"/>
    </row>
    <row r="741" ht="15.75" customHeight="1">
      <c r="F741" s="57"/>
      <c r="G741" s="57"/>
      <c r="H741" s="57"/>
    </row>
    <row r="742" ht="15.75" customHeight="1">
      <c r="F742" s="57"/>
      <c r="G742" s="57"/>
      <c r="H742" s="57"/>
    </row>
    <row r="743" ht="15.75" customHeight="1">
      <c r="F743" s="57"/>
      <c r="G743" s="57"/>
      <c r="H743" s="57"/>
    </row>
    <row r="744" ht="15.75" customHeight="1">
      <c r="F744" s="57"/>
      <c r="G744" s="57"/>
      <c r="H744" s="57"/>
    </row>
    <row r="745" ht="15.75" customHeight="1">
      <c r="F745" s="57"/>
      <c r="G745" s="57"/>
      <c r="H745" s="57"/>
    </row>
    <row r="746" ht="15.75" customHeight="1">
      <c r="F746" s="57"/>
      <c r="G746" s="57"/>
      <c r="H746" s="57"/>
    </row>
    <row r="747" ht="15.75" customHeight="1">
      <c r="F747" s="57"/>
      <c r="G747" s="57"/>
      <c r="H747" s="57"/>
    </row>
    <row r="748" ht="15.75" customHeight="1">
      <c r="F748" s="57"/>
      <c r="G748" s="57"/>
      <c r="H748" s="57"/>
    </row>
    <row r="749" ht="15.75" customHeight="1">
      <c r="F749" s="57"/>
      <c r="G749" s="57"/>
      <c r="H749" s="57"/>
    </row>
    <row r="750" ht="15.75" customHeight="1">
      <c r="F750" s="57"/>
      <c r="G750" s="57"/>
      <c r="H750" s="57"/>
    </row>
    <row r="751" ht="15.75" customHeight="1">
      <c r="F751" s="57"/>
      <c r="G751" s="57"/>
      <c r="H751" s="57"/>
    </row>
    <row r="752" ht="15.75" customHeight="1">
      <c r="F752" s="57"/>
      <c r="G752" s="57"/>
      <c r="H752" s="57"/>
    </row>
    <row r="753" ht="15.75" customHeight="1">
      <c r="F753" s="57"/>
      <c r="G753" s="57"/>
      <c r="H753" s="57"/>
    </row>
    <row r="754" ht="15.75" customHeight="1">
      <c r="F754" s="57"/>
      <c r="G754" s="57"/>
      <c r="H754" s="57"/>
    </row>
    <row r="755" ht="15.75" customHeight="1">
      <c r="F755" s="57"/>
      <c r="G755" s="57"/>
      <c r="H755" s="57"/>
    </row>
    <row r="756" ht="15.75" customHeight="1">
      <c r="F756" s="57"/>
      <c r="G756" s="57"/>
      <c r="H756" s="57"/>
    </row>
    <row r="757" ht="15.75" customHeight="1">
      <c r="F757" s="57"/>
      <c r="G757" s="57"/>
      <c r="H757" s="57"/>
    </row>
    <row r="758" ht="15.75" customHeight="1">
      <c r="F758" s="57"/>
      <c r="G758" s="57"/>
      <c r="H758" s="57"/>
    </row>
    <row r="759" ht="15.75" customHeight="1">
      <c r="F759" s="57"/>
      <c r="G759" s="57"/>
      <c r="H759" s="57"/>
    </row>
    <row r="760" ht="15.75" customHeight="1">
      <c r="F760" s="57"/>
      <c r="G760" s="57"/>
      <c r="H760" s="57"/>
    </row>
    <row r="761" ht="15.75" customHeight="1">
      <c r="F761" s="57"/>
      <c r="G761" s="57"/>
      <c r="H761" s="57"/>
    </row>
    <row r="762" ht="15.75" customHeight="1">
      <c r="F762" s="57"/>
      <c r="G762" s="57"/>
      <c r="H762" s="57"/>
    </row>
    <row r="763" ht="15.75" customHeight="1">
      <c r="F763" s="57"/>
      <c r="G763" s="57"/>
      <c r="H763" s="57"/>
    </row>
    <row r="764" ht="15.75" customHeight="1">
      <c r="F764" s="57"/>
      <c r="G764" s="57"/>
      <c r="H764" s="57"/>
    </row>
    <row r="765" ht="15.75" customHeight="1">
      <c r="F765" s="57"/>
      <c r="G765" s="57"/>
      <c r="H765" s="57"/>
    </row>
    <row r="766" ht="15.75" customHeight="1">
      <c r="F766" s="57"/>
      <c r="G766" s="57"/>
      <c r="H766" s="57"/>
    </row>
    <row r="767" ht="15.75" customHeight="1">
      <c r="F767" s="57"/>
      <c r="G767" s="57"/>
      <c r="H767" s="57"/>
    </row>
    <row r="768" ht="15.75" customHeight="1">
      <c r="F768" s="57"/>
      <c r="G768" s="57"/>
      <c r="H768" s="57"/>
    </row>
    <row r="769" ht="15.75" customHeight="1">
      <c r="F769" s="57"/>
      <c r="G769" s="57"/>
      <c r="H769" s="57"/>
    </row>
    <row r="770" ht="15.75" customHeight="1">
      <c r="F770" s="57"/>
      <c r="G770" s="57"/>
      <c r="H770" s="57"/>
    </row>
    <row r="771" ht="15.75" customHeight="1">
      <c r="F771" s="57"/>
      <c r="G771" s="57"/>
      <c r="H771" s="57"/>
    </row>
    <row r="772" ht="15.75" customHeight="1">
      <c r="F772" s="57"/>
      <c r="G772" s="57"/>
      <c r="H772" s="57"/>
    </row>
    <row r="773" ht="15.75" customHeight="1">
      <c r="F773" s="57"/>
      <c r="G773" s="57"/>
      <c r="H773" s="57"/>
    </row>
    <row r="774" ht="15.75" customHeight="1">
      <c r="F774" s="57"/>
      <c r="G774" s="57"/>
      <c r="H774" s="57"/>
    </row>
    <row r="775" ht="15.75" customHeight="1">
      <c r="F775" s="57"/>
      <c r="G775" s="57"/>
      <c r="H775" s="57"/>
    </row>
    <row r="776" ht="15.75" customHeight="1">
      <c r="F776" s="57"/>
      <c r="G776" s="57"/>
      <c r="H776" s="57"/>
    </row>
    <row r="777" ht="15.75" customHeight="1">
      <c r="F777" s="57"/>
      <c r="G777" s="57"/>
      <c r="H777" s="57"/>
    </row>
    <row r="778" ht="15.75" customHeight="1">
      <c r="F778" s="57"/>
      <c r="G778" s="57"/>
      <c r="H778" s="57"/>
    </row>
    <row r="779" ht="15.75" customHeight="1">
      <c r="F779" s="57"/>
      <c r="G779" s="57"/>
      <c r="H779" s="57"/>
    </row>
    <row r="780" ht="15.75" customHeight="1">
      <c r="F780" s="57"/>
      <c r="G780" s="57"/>
      <c r="H780" s="57"/>
    </row>
    <row r="781" ht="15.75" customHeight="1">
      <c r="F781" s="57"/>
      <c r="G781" s="57"/>
      <c r="H781" s="57"/>
    </row>
    <row r="782" ht="15.75" customHeight="1">
      <c r="F782" s="57"/>
      <c r="G782" s="57"/>
      <c r="H782" s="57"/>
    </row>
    <row r="783" ht="15.75" customHeight="1">
      <c r="F783" s="57"/>
      <c r="G783" s="57"/>
      <c r="H783" s="57"/>
    </row>
    <row r="784" ht="15.75" customHeight="1">
      <c r="F784" s="57"/>
      <c r="G784" s="57"/>
      <c r="H784" s="57"/>
    </row>
    <row r="785" ht="15.75" customHeight="1">
      <c r="F785" s="57"/>
      <c r="G785" s="57"/>
      <c r="H785" s="57"/>
    </row>
    <row r="786" ht="15.75" customHeight="1">
      <c r="F786" s="57"/>
      <c r="G786" s="57"/>
      <c r="H786" s="57"/>
    </row>
    <row r="787" ht="15.75" customHeight="1">
      <c r="F787" s="57"/>
      <c r="G787" s="57"/>
      <c r="H787" s="57"/>
    </row>
    <row r="788" ht="15.75" customHeight="1">
      <c r="F788" s="57"/>
      <c r="G788" s="57"/>
      <c r="H788" s="57"/>
    </row>
    <row r="789" ht="15.75" customHeight="1">
      <c r="F789" s="57"/>
      <c r="G789" s="57"/>
      <c r="H789" s="57"/>
    </row>
    <row r="790" ht="15.75" customHeight="1">
      <c r="F790" s="57"/>
      <c r="G790" s="57"/>
      <c r="H790" s="57"/>
    </row>
    <row r="791" ht="15.75" customHeight="1">
      <c r="F791" s="57"/>
      <c r="G791" s="57"/>
      <c r="H791" s="57"/>
    </row>
    <row r="792" ht="15.75" customHeight="1">
      <c r="F792" s="57"/>
      <c r="G792" s="57"/>
      <c r="H792" s="57"/>
    </row>
    <row r="793" ht="15.75" customHeight="1">
      <c r="F793" s="57"/>
      <c r="G793" s="57"/>
      <c r="H793" s="57"/>
    </row>
    <row r="794" ht="15.75" customHeight="1">
      <c r="F794" s="57"/>
      <c r="G794" s="57"/>
      <c r="H794" s="57"/>
    </row>
    <row r="795" ht="15.75" customHeight="1">
      <c r="F795" s="57"/>
      <c r="G795" s="57"/>
      <c r="H795" s="57"/>
    </row>
    <row r="796" ht="15.75" customHeight="1">
      <c r="F796" s="57"/>
      <c r="G796" s="57"/>
      <c r="H796" s="57"/>
    </row>
    <row r="797" ht="15.75" customHeight="1">
      <c r="F797" s="57"/>
      <c r="G797" s="57"/>
      <c r="H797" s="57"/>
    </row>
    <row r="798" ht="15.75" customHeight="1">
      <c r="F798" s="57"/>
      <c r="G798" s="57"/>
      <c r="H798" s="57"/>
    </row>
    <row r="799" ht="15.75" customHeight="1">
      <c r="F799" s="57"/>
      <c r="G799" s="57"/>
      <c r="H799" s="57"/>
    </row>
    <row r="800" ht="15.75" customHeight="1">
      <c r="F800" s="57"/>
      <c r="G800" s="57"/>
      <c r="H800" s="57"/>
    </row>
    <row r="801" ht="15.75" customHeight="1">
      <c r="F801" s="57"/>
      <c r="G801" s="57"/>
      <c r="H801" s="57"/>
    </row>
    <row r="802" ht="15.75" customHeight="1">
      <c r="F802" s="57"/>
      <c r="G802" s="57"/>
      <c r="H802" s="57"/>
    </row>
    <row r="803" ht="15.75" customHeight="1">
      <c r="F803" s="57"/>
      <c r="G803" s="57"/>
      <c r="H803" s="57"/>
    </row>
    <row r="804" ht="15.75" customHeight="1">
      <c r="F804" s="57"/>
      <c r="G804" s="57"/>
      <c r="H804" s="57"/>
    </row>
    <row r="805" ht="15.75" customHeight="1">
      <c r="F805" s="57"/>
      <c r="G805" s="57"/>
      <c r="H805" s="57"/>
    </row>
    <row r="806" ht="15.75" customHeight="1">
      <c r="F806" s="57"/>
      <c r="G806" s="57"/>
      <c r="H806" s="57"/>
    </row>
    <row r="807" ht="15.75" customHeight="1">
      <c r="F807" s="57"/>
      <c r="G807" s="57"/>
      <c r="H807" s="57"/>
    </row>
    <row r="808" ht="15.75" customHeight="1">
      <c r="F808" s="57"/>
      <c r="G808" s="57"/>
      <c r="H808" s="57"/>
    </row>
    <row r="809" ht="15.75" customHeight="1">
      <c r="F809" s="57"/>
      <c r="G809" s="57"/>
      <c r="H809" s="57"/>
    </row>
    <row r="810" ht="15.75" customHeight="1">
      <c r="F810" s="57"/>
      <c r="G810" s="57"/>
      <c r="H810" s="57"/>
    </row>
    <row r="811" ht="15.75" customHeight="1">
      <c r="F811" s="57"/>
      <c r="G811" s="57"/>
      <c r="H811" s="57"/>
    </row>
    <row r="812" ht="15.75" customHeight="1">
      <c r="F812" s="57"/>
      <c r="G812" s="57"/>
      <c r="H812" s="57"/>
    </row>
    <row r="813" ht="15.75" customHeight="1">
      <c r="F813" s="57"/>
      <c r="G813" s="57"/>
      <c r="H813" s="57"/>
    </row>
    <row r="814" ht="15.75" customHeight="1">
      <c r="F814" s="57"/>
      <c r="G814" s="57"/>
      <c r="H814" s="57"/>
    </row>
    <row r="815" ht="15.75" customHeight="1">
      <c r="F815" s="57"/>
      <c r="G815" s="57"/>
      <c r="H815" s="57"/>
    </row>
    <row r="816" ht="15.75" customHeight="1">
      <c r="F816" s="57"/>
      <c r="G816" s="57"/>
      <c r="H816" s="57"/>
    </row>
    <row r="817" ht="15.75" customHeight="1">
      <c r="F817" s="57"/>
      <c r="G817" s="57"/>
      <c r="H817" s="57"/>
    </row>
    <row r="818" ht="15.75" customHeight="1">
      <c r="F818" s="57"/>
      <c r="G818" s="57"/>
      <c r="H818" s="57"/>
    </row>
    <row r="819" ht="15.75" customHeight="1">
      <c r="F819" s="57"/>
      <c r="G819" s="57"/>
      <c r="H819" s="57"/>
    </row>
    <row r="820" ht="15.75" customHeight="1">
      <c r="F820" s="57"/>
      <c r="G820" s="57"/>
      <c r="H820" s="57"/>
    </row>
    <row r="821" ht="15.75" customHeight="1">
      <c r="F821" s="57"/>
      <c r="G821" s="57"/>
      <c r="H821" s="57"/>
    </row>
    <row r="822" ht="15.75" customHeight="1">
      <c r="F822" s="57"/>
      <c r="G822" s="57"/>
      <c r="H822" s="57"/>
    </row>
    <row r="823" ht="15.75" customHeight="1">
      <c r="F823" s="57"/>
      <c r="G823" s="57"/>
      <c r="H823" s="57"/>
    </row>
    <row r="824" ht="15.75" customHeight="1">
      <c r="F824" s="57"/>
      <c r="G824" s="57"/>
      <c r="H824" s="57"/>
    </row>
    <row r="825" ht="15.75" customHeight="1">
      <c r="F825" s="57"/>
      <c r="G825" s="57"/>
      <c r="H825" s="57"/>
    </row>
    <row r="826" ht="15.75" customHeight="1">
      <c r="F826" s="57"/>
      <c r="G826" s="57"/>
      <c r="H826" s="57"/>
    </row>
    <row r="827" ht="15.75" customHeight="1">
      <c r="F827" s="57"/>
      <c r="G827" s="57"/>
      <c r="H827" s="57"/>
    </row>
    <row r="828" ht="15.75" customHeight="1">
      <c r="F828" s="57"/>
      <c r="G828" s="57"/>
      <c r="H828" s="57"/>
    </row>
    <row r="829" ht="15.75" customHeight="1">
      <c r="F829" s="57"/>
      <c r="G829" s="57"/>
      <c r="H829" s="57"/>
    </row>
    <row r="830" ht="15.75" customHeight="1">
      <c r="F830" s="57"/>
      <c r="G830" s="57"/>
      <c r="H830" s="57"/>
    </row>
    <row r="831" ht="15.75" customHeight="1">
      <c r="F831" s="57"/>
      <c r="G831" s="57"/>
      <c r="H831" s="57"/>
    </row>
    <row r="832" ht="15.75" customHeight="1">
      <c r="F832" s="57"/>
      <c r="G832" s="57"/>
      <c r="H832" s="57"/>
    </row>
    <row r="833" ht="15.75" customHeight="1">
      <c r="F833" s="57"/>
      <c r="G833" s="57"/>
      <c r="H833" s="57"/>
    </row>
    <row r="834" ht="15.75" customHeight="1">
      <c r="F834" s="57"/>
      <c r="G834" s="57"/>
      <c r="H834" s="57"/>
    </row>
    <row r="835" ht="15.75" customHeight="1">
      <c r="F835" s="57"/>
      <c r="G835" s="57"/>
      <c r="H835" s="57"/>
    </row>
    <row r="836" ht="15.75" customHeight="1">
      <c r="F836" s="57"/>
      <c r="G836" s="57"/>
      <c r="H836" s="57"/>
    </row>
    <row r="837" ht="15.75" customHeight="1">
      <c r="F837" s="57"/>
      <c r="G837" s="57"/>
      <c r="H837" s="57"/>
    </row>
    <row r="838" ht="15.75" customHeight="1">
      <c r="F838" s="57"/>
      <c r="G838" s="57"/>
      <c r="H838" s="57"/>
    </row>
    <row r="839" ht="15.75" customHeight="1">
      <c r="F839" s="57"/>
      <c r="G839" s="57"/>
      <c r="H839" s="57"/>
    </row>
    <row r="840" ht="15.75" customHeight="1">
      <c r="F840" s="57"/>
      <c r="G840" s="57"/>
      <c r="H840" s="57"/>
    </row>
    <row r="841" ht="15.75" customHeight="1">
      <c r="F841" s="57"/>
      <c r="G841" s="57"/>
      <c r="H841" s="57"/>
    </row>
    <row r="842" ht="15.75" customHeight="1">
      <c r="F842" s="57"/>
      <c r="G842" s="57"/>
      <c r="H842" s="57"/>
    </row>
    <row r="843" ht="15.75" customHeight="1">
      <c r="F843" s="57"/>
      <c r="G843" s="57"/>
      <c r="H843" s="57"/>
    </row>
    <row r="844" ht="15.75" customHeight="1">
      <c r="F844" s="57"/>
      <c r="G844" s="57"/>
      <c r="H844" s="57"/>
    </row>
    <row r="845" ht="15.75" customHeight="1">
      <c r="F845" s="57"/>
      <c r="G845" s="57"/>
      <c r="H845" s="57"/>
    </row>
    <row r="846" ht="15.75" customHeight="1">
      <c r="F846" s="57"/>
      <c r="G846" s="57"/>
      <c r="H846" s="57"/>
    </row>
    <row r="847" ht="15.75" customHeight="1">
      <c r="F847" s="57"/>
      <c r="G847" s="57"/>
      <c r="H847" s="57"/>
    </row>
    <row r="848" ht="15.75" customHeight="1">
      <c r="F848" s="57"/>
      <c r="G848" s="57"/>
      <c r="H848" s="57"/>
    </row>
    <row r="849" ht="15.75" customHeight="1">
      <c r="F849" s="57"/>
      <c r="G849" s="57"/>
      <c r="H849" s="57"/>
    </row>
    <row r="850" ht="15.75" customHeight="1">
      <c r="F850" s="57"/>
      <c r="G850" s="57"/>
      <c r="H850" s="57"/>
    </row>
    <row r="851" ht="15.75" customHeight="1">
      <c r="F851" s="57"/>
      <c r="G851" s="57"/>
      <c r="H851" s="57"/>
    </row>
    <row r="852" ht="15.75" customHeight="1">
      <c r="F852" s="57"/>
      <c r="G852" s="57"/>
      <c r="H852" s="57"/>
    </row>
    <row r="853" ht="15.75" customHeight="1">
      <c r="F853" s="57"/>
      <c r="G853" s="57"/>
      <c r="H853" s="57"/>
    </row>
    <row r="854" ht="15.75" customHeight="1">
      <c r="F854" s="57"/>
      <c r="G854" s="57"/>
      <c r="H854" s="57"/>
    </row>
    <row r="855" ht="15.75" customHeight="1">
      <c r="F855" s="57"/>
      <c r="G855" s="57"/>
      <c r="H855" s="57"/>
    </row>
    <row r="856" ht="15.75" customHeight="1">
      <c r="F856" s="57"/>
      <c r="G856" s="57"/>
      <c r="H856" s="57"/>
    </row>
    <row r="857" ht="15.75" customHeight="1">
      <c r="F857" s="57"/>
      <c r="G857" s="57"/>
      <c r="H857" s="57"/>
    </row>
    <row r="858" ht="15.75" customHeight="1">
      <c r="F858" s="57"/>
      <c r="G858" s="57"/>
      <c r="H858" s="57"/>
    </row>
    <row r="859" ht="15.75" customHeight="1">
      <c r="F859" s="57"/>
      <c r="G859" s="57"/>
      <c r="H859" s="57"/>
    </row>
    <row r="860" ht="15.75" customHeight="1">
      <c r="F860" s="57"/>
      <c r="G860" s="57"/>
      <c r="H860" s="57"/>
    </row>
    <row r="861" ht="15.75" customHeight="1">
      <c r="F861" s="57"/>
      <c r="G861" s="57"/>
      <c r="H861" s="57"/>
    </row>
    <row r="862" ht="15.75" customHeight="1">
      <c r="F862" s="57"/>
      <c r="G862" s="57"/>
      <c r="H862" s="57"/>
    </row>
    <row r="863" ht="15.75" customHeight="1">
      <c r="F863" s="57"/>
      <c r="G863" s="57"/>
      <c r="H863" s="57"/>
    </row>
    <row r="864" ht="15.75" customHeight="1">
      <c r="F864" s="57"/>
      <c r="G864" s="57"/>
      <c r="H864" s="57"/>
    </row>
    <row r="865" ht="15.75" customHeight="1">
      <c r="F865" s="57"/>
      <c r="G865" s="57"/>
      <c r="H865" s="57"/>
    </row>
    <row r="866" ht="15.75" customHeight="1">
      <c r="F866" s="57"/>
      <c r="G866" s="57"/>
      <c r="H866" s="57"/>
    </row>
    <row r="867" ht="15.75" customHeight="1">
      <c r="F867" s="57"/>
      <c r="G867" s="57"/>
      <c r="H867" s="57"/>
    </row>
    <row r="868" ht="15.75" customHeight="1">
      <c r="F868" s="57"/>
      <c r="G868" s="57"/>
      <c r="H868" s="57"/>
    </row>
    <row r="869" ht="15.75" customHeight="1">
      <c r="F869" s="57"/>
      <c r="G869" s="57"/>
      <c r="H869" s="57"/>
    </row>
    <row r="870" ht="15.75" customHeight="1">
      <c r="F870" s="57"/>
      <c r="G870" s="57"/>
      <c r="H870" s="57"/>
    </row>
    <row r="871" ht="15.75" customHeight="1">
      <c r="F871" s="57"/>
      <c r="G871" s="57"/>
      <c r="H871" s="57"/>
    </row>
    <row r="872" ht="15.75" customHeight="1">
      <c r="F872" s="57"/>
      <c r="G872" s="57"/>
      <c r="H872" s="57"/>
    </row>
    <row r="873" ht="15.75" customHeight="1">
      <c r="F873" s="57"/>
      <c r="G873" s="57"/>
      <c r="H873" s="57"/>
    </row>
    <row r="874" ht="15.75" customHeight="1">
      <c r="F874" s="57"/>
      <c r="G874" s="57"/>
      <c r="H874" s="57"/>
    </row>
    <row r="875" ht="15.75" customHeight="1">
      <c r="F875" s="57"/>
      <c r="G875" s="57"/>
      <c r="H875" s="57"/>
    </row>
    <row r="876" ht="15.75" customHeight="1">
      <c r="F876" s="57"/>
      <c r="G876" s="57"/>
      <c r="H876" s="57"/>
    </row>
    <row r="877" ht="15.75" customHeight="1">
      <c r="F877" s="57"/>
      <c r="G877" s="57"/>
      <c r="H877" s="57"/>
    </row>
    <row r="878" ht="15.75" customHeight="1">
      <c r="F878" s="57"/>
      <c r="G878" s="57"/>
      <c r="H878" s="57"/>
    </row>
    <row r="879" ht="15.75" customHeight="1">
      <c r="F879" s="57"/>
      <c r="G879" s="57"/>
      <c r="H879" s="57"/>
    </row>
    <row r="880" ht="15.75" customHeight="1">
      <c r="F880" s="57"/>
      <c r="G880" s="57"/>
      <c r="H880" s="57"/>
    </row>
    <row r="881" ht="15.75" customHeight="1">
      <c r="F881" s="57"/>
      <c r="G881" s="57"/>
      <c r="H881" s="57"/>
    </row>
    <row r="882" ht="15.75" customHeight="1">
      <c r="F882" s="57"/>
      <c r="G882" s="57"/>
      <c r="H882" s="57"/>
    </row>
    <row r="883" ht="15.75" customHeight="1">
      <c r="F883" s="57"/>
      <c r="G883" s="57"/>
      <c r="H883" s="57"/>
    </row>
    <row r="884" ht="15.75" customHeight="1">
      <c r="F884" s="57"/>
      <c r="G884" s="57"/>
      <c r="H884" s="57"/>
    </row>
    <row r="885" ht="15.75" customHeight="1">
      <c r="F885" s="57"/>
      <c r="G885" s="57"/>
      <c r="H885" s="57"/>
    </row>
    <row r="886" ht="15.75" customHeight="1">
      <c r="F886" s="57"/>
      <c r="G886" s="57"/>
      <c r="H886" s="57"/>
    </row>
    <row r="887" ht="15.75" customHeight="1">
      <c r="F887" s="57"/>
      <c r="G887" s="57"/>
      <c r="H887" s="57"/>
    </row>
    <row r="888" ht="15.75" customHeight="1">
      <c r="F888" s="57"/>
      <c r="G888" s="57"/>
      <c r="H888" s="57"/>
    </row>
    <row r="889" ht="15.75" customHeight="1">
      <c r="F889" s="57"/>
      <c r="G889" s="57"/>
      <c r="H889" s="57"/>
    </row>
    <row r="890" ht="15.75" customHeight="1">
      <c r="F890" s="57"/>
      <c r="G890" s="57"/>
      <c r="H890" s="57"/>
    </row>
    <row r="891" ht="15.75" customHeight="1">
      <c r="F891" s="57"/>
      <c r="G891" s="57"/>
      <c r="H891" s="57"/>
    </row>
    <row r="892" ht="15.75" customHeight="1">
      <c r="F892" s="57"/>
      <c r="G892" s="57"/>
      <c r="H892" s="57"/>
    </row>
    <row r="893" ht="15.75" customHeight="1">
      <c r="F893" s="57"/>
      <c r="G893" s="57"/>
      <c r="H893" s="57"/>
    </row>
    <row r="894" ht="15.75" customHeight="1">
      <c r="F894" s="57"/>
      <c r="G894" s="57"/>
      <c r="H894" s="57"/>
    </row>
    <row r="895" ht="15.75" customHeight="1">
      <c r="F895" s="57"/>
      <c r="G895" s="57"/>
      <c r="H895" s="57"/>
    </row>
    <row r="896" ht="15.75" customHeight="1">
      <c r="F896" s="57"/>
      <c r="G896" s="57"/>
      <c r="H896" s="57"/>
    </row>
    <row r="897" ht="15.75" customHeight="1">
      <c r="F897" s="57"/>
      <c r="G897" s="57"/>
      <c r="H897" s="57"/>
    </row>
    <row r="898" ht="15.75" customHeight="1">
      <c r="F898" s="57"/>
      <c r="G898" s="57"/>
      <c r="H898" s="57"/>
    </row>
    <row r="899" ht="15.75" customHeight="1">
      <c r="F899" s="57"/>
      <c r="G899" s="57"/>
      <c r="H899" s="57"/>
    </row>
    <row r="900" ht="15.75" customHeight="1">
      <c r="F900" s="57"/>
      <c r="G900" s="57"/>
      <c r="H900" s="57"/>
    </row>
    <row r="901" ht="15.75" customHeight="1">
      <c r="F901" s="57"/>
      <c r="G901" s="57"/>
      <c r="H901" s="57"/>
    </row>
    <row r="902" ht="15.75" customHeight="1">
      <c r="F902" s="57"/>
      <c r="G902" s="57"/>
      <c r="H902" s="57"/>
    </row>
    <row r="903" ht="15.75" customHeight="1">
      <c r="F903" s="57"/>
      <c r="G903" s="57"/>
      <c r="H903" s="57"/>
    </row>
    <row r="904" ht="15.75" customHeight="1">
      <c r="F904" s="57"/>
      <c r="G904" s="57"/>
      <c r="H904" s="57"/>
    </row>
    <row r="905" ht="15.75" customHeight="1">
      <c r="F905" s="57"/>
      <c r="G905" s="57"/>
      <c r="H905" s="57"/>
    </row>
    <row r="906" ht="15.75" customHeight="1">
      <c r="F906" s="57"/>
      <c r="G906" s="57"/>
      <c r="H906" s="57"/>
    </row>
    <row r="907" ht="15.75" customHeight="1">
      <c r="F907" s="57"/>
      <c r="G907" s="57"/>
      <c r="H907" s="57"/>
    </row>
    <row r="908" ht="15.75" customHeight="1">
      <c r="F908" s="57"/>
      <c r="G908" s="57"/>
      <c r="H908" s="57"/>
    </row>
    <row r="909" ht="15.75" customHeight="1">
      <c r="F909" s="57"/>
      <c r="G909" s="57"/>
      <c r="H909" s="57"/>
    </row>
    <row r="910" ht="15.75" customHeight="1">
      <c r="F910" s="57"/>
      <c r="G910" s="57"/>
      <c r="H910" s="57"/>
    </row>
    <row r="911" ht="15.75" customHeight="1">
      <c r="F911" s="57"/>
      <c r="G911" s="57"/>
      <c r="H911" s="57"/>
    </row>
    <row r="912" ht="15.75" customHeight="1">
      <c r="F912" s="57"/>
      <c r="G912" s="57"/>
      <c r="H912" s="57"/>
    </row>
    <row r="913" ht="15.75" customHeight="1">
      <c r="F913" s="57"/>
      <c r="G913" s="57"/>
      <c r="H913" s="57"/>
    </row>
    <row r="914" ht="15.75" customHeight="1">
      <c r="F914" s="57"/>
      <c r="G914" s="57"/>
      <c r="H914" s="57"/>
    </row>
    <row r="915" ht="15.75" customHeight="1">
      <c r="F915" s="57"/>
      <c r="G915" s="57"/>
      <c r="H915" s="57"/>
    </row>
    <row r="916" ht="15.75" customHeight="1">
      <c r="F916" s="57"/>
      <c r="G916" s="57"/>
      <c r="H916" s="57"/>
    </row>
    <row r="917" ht="15.75" customHeight="1">
      <c r="F917" s="57"/>
      <c r="G917" s="57"/>
      <c r="H917" s="57"/>
    </row>
    <row r="918" ht="15.75" customHeight="1">
      <c r="F918" s="57"/>
      <c r="G918" s="57"/>
      <c r="H918" s="57"/>
    </row>
    <row r="919" ht="15.75" customHeight="1">
      <c r="F919" s="57"/>
      <c r="G919" s="57"/>
      <c r="H919" s="57"/>
    </row>
    <row r="920" ht="15.75" customHeight="1">
      <c r="F920" s="57"/>
      <c r="G920" s="57"/>
      <c r="H920" s="57"/>
    </row>
    <row r="921" ht="15.75" customHeight="1">
      <c r="F921" s="57"/>
      <c r="G921" s="57"/>
      <c r="H921" s="57"/>
    </row>
    <row r="922" ht="15.75" customHeight="1">
      <c r="F922" s="57"/>
      <c r="G922" s="57"/>
      <c r="H922" s="57"/>
    </row>
    <row r="923" ht="15.75" customHeight="1">
      <c r="F923" s="57"/>
      <c r="G923" s="57"/>
      <c r="H923" s="57"/>
    </row>
    <row r="924" ht="15.75" customHeight="1">
      <c r="F924" s="57"/>
      <c r="G924" s="57"/>
      <c r="H924" s="57"/>
    </row>
    <row r="925" ht="15.75" customHeight="1">
      <c r="F925" s="57"/>
      <c r="G925" s="57"/>
      <c r="H925" s="57"/>
    </row>
    <row r="926" ht="15.75" customHeight="1">
      <c r="F926" s="57"/>
      <c r="G926" s="57"/>
      <c r="H926" s="57"/>
    </row>
    <row r="927" ht="15.75" customHeight="1">
      <c r="F927" s="57"/>
      <c r="G927" s="57"/>
      <c r="H927" s="57"/>
    </row>
    <row r="928" ht="15.75" customHeight="1">
      <c r="F928" s="57"/>
      <c r="G928" s="57"/>
      <c r="H928" s="57"/>
    </row>
    <row r="929" ht="15.75" customHeight="1">
      <c r="F929" s="57"/>
      <c r="G929" s="57"/>
      <c r="H929" s="57"/>
    </row>
    <row r="930" ht="15.75" customHeight="1">
      <c r="F930" s="57"/>
      <c r="G930" s="57"/>
      <c r="H930" s="57"/>
    </row>
    <row r="931" ht="15.75" customHeight="1">
      <c r="F931" s="57"/>
      <c r="G931" s="57"/>
      <c r="H931" s="57"/>
    </row>
    <row r="932" ht="15.75" customHeight="1">
      <c r="F932" s="57"/>
      <c r="G932" s="57"/>
      <c r="H932" s="57"/>
    </row>
    <row r="933" ht="15.75" customHeight="1">
      <c r="F933" s="57"/>
      <c r="G933" s="57"/>
      <c r="H933" s="57"/>
    </row>
    <row r="934" ht="15.75" customHeight="1">
      <c r="F934" s="57"/>
      <c r="G934" s="57"/>
      <c r="H934" s="57"/>
    </row>
    <row r="935" ht="15.75" customHeight="1">
      <c r="F935" s="57"/>
      <c r="G935" s="57"/>
      <c r="H935" s="57"/>
    </row>
    <row r="936" ht="15.75" customHeight="1">
      <c r="F936" s="57"/>
      <c r="G936" s="57"/>
      <c r="H936" s="57"/>
    </row>
    <row r="937" ht="15.75" customHeight="1">
      <c r="F937" s="57"/>
      <c r="G937" s="57"/>
      <c r="H937" s="57"/>
    </row>
    <row r="938" ht="15.75" customHeight="1">
      <c r="F938" s="57"/>
      <c r="G938" s="57"/>
      <c r="H938" s="57"/>
    </row>
    <row r="939" ht="15.75" customHeight="1">
      <c r="F939" s="57"/>
      <c r="G939" s="57"/>
      <c r="H939" s="57"/>
    </row>
    <row r="940" ht="15.75" customHeight="1">
      <c r="F940" s="57"/>
      <c r="G940" s="57"/>
      <c r="H940" s="57"/>
    </row>
    <row r="941" ht="15.75" customHeight="1">
      <c r="F941" s="57"/>
      <c r="G941" s="57"/>
      <c r="H941" s="57"/>
    </row>
    <row r="942" ht="15.75" customHeight="1">
      <c r="F942" s="57"/>
      <c r="G942" s="57"/>
      <c r="H942" s="57"/>
    </row>
    <row r="943" ht="15.75" customHeight="1">
      <c r="F943" s="57"/>
      <c r="G943" s="57"/>
      <c r="H943" s="57"/>
    </row>
    <row r="944" ht="15.75" customHeight="1">
      <c r="F944" s="57"/>
      <c r="G944" s="57"/>
      <c r="H944" s="57"/>
    </row>
    <row r="945" ht="15.75" customHeight="1">
      <c r="F945" s="57"/>
      <c r="G945" s="57"/>
      <c r="H945" s="57"/>
    </row>
    <row r="946" ht="15.75" customHeight="1">
      <c r="F946" s="57"/>
      <c r="G946" s="57"/>
      <c r="H946" s="57"/>
    </row>
    <row r="947" ht="15.75" customHeight="1">
      <c r="F947" s="57"/>
      <c r="G947" s="57"/>
      <c r="H947" s="57"/>
    </row>
    <row r="948" ht="15.75" customHeight="1">
      <c r="F948" s="57"/>
      <c r="G948" s="57"/>
      <c r="H948" s="57"/>
    </row>
    <row r="949" ht="15.75" customHeight="1">
      <c r="F949" s="57"/>
      <c r="G949" s="57"/>
      <c r="H949" s="57"/>
    </row>
    <row r="950" ht="15.75" customHeight="1">
      <c r="F950" s="57"/>
      <c r="G950" s="57"/>
      <c r="H950" s="57"/>
    </row>
    <row r="951" ht="15.75" customHeight="1">
      <c r="F951" s="57"/>
      <c r="G951" s="57"/>
      <c r="H951" s="57"/>
    </row>
    <row r="952" ht="15.75" customHeight="1">
      <c r="F952" s="57"/>
      <c r="G952" s="57"/>
      <c r="H952" s="57"/>
    </row>
    <row r="953" ht="15.75" customHeight="1">
      <c r="F953" s="57"/>
      <c r="G953" s="57"/>
      <c r="H953" s="57"/>
    </row>
    <row r="954" ht="15.75" customHeight="1">
      <c r="F954" s="57"/>
      <c r="G954" s="57"/>
      <c r="H954" s="57"/>
    </row>
    <row r="955" ht="15.75" customHeight="1">
      <c r="F955" s="57"/>
      <c r="G955" s="57"/>
      <c r="H955" s="57"/>
    </row>
    <row r="956" ht="15.75" customHeight="1">
      <c r="F956" s="57"/>
      <c r="G956" s="57"/>
      <c r="H956" s="57"/>
    </row>
    <row r="957" ht="15.75" customHeight="1">
      <c r="F957" s="57"/>
      <c r="G957" s="57"/>
      <c r="H957" s="57"/>
    </row>
    <row r="958" ht="15.75" customHeight="1">
      <c r="F958" s="57"/>
      <c r="G958" s="57"/>
      <c r="H958" s="57"/>
    </row>
    <row r="959" ht="15.75" customHeight="1">
      <c r="F959" s="57"/>
      <c r="G959" s="57"/>
      <c r="H959" s="57"/>
    </row>
    <row r="960" ht="15.75" customHeight="1">
      <c r="F960" s="57"/>
      <c r="G960" s="57"/>
      <c r="H960" s="57"/>
    </row>
    <row r="961" ht="15.75" customHeight="1">
      <c r="F961" s="57"/>
      <c r="G961" s="57"/>
      <c r="H961" s="57"/>
    </row>
    <row r="962" ht="15.75" customHeight="1">
      <c r="F962" s="57"/>
      <c r="G962" s="57"/>
      <c r="H962" s="57"/>
    </row>
    <row r="963" ht="15.75" customHeight="1">
      <c r="F963" s="57"/>
      <c r="G963" s="57"/>
      <c r="H963" s="57"/>
    </row>
    <row r="964" ht="15.75" customHeight="1">
      <c r="F964" s="57"/>
      <c r="G964" s="57"/>
      <c r="H964" s="57"/>
    </row>
    <row r="965" ht="15.75" customHeight="1">
      <c r="F965" s="57"/>
      <c r="G965" s="57"/>
      <c r="H965" s="57"/>
    </row>
    <row r="966" ht="15.75" customHeight="1">
      <c r="F966" s="57"/>
      <c r="G966" s="57"/>
      <c r="H966" s="57"/>
    </row>
    <row r="967" ht="15.75" customHeight="1">
      <c r="F967" s="57"/>
      <c r="G967" s="57"/>
      <c r="H967" s="57"/>
    </row>
    <row r="968" ht="15.75" customHeight="1">
      <c r="F968" s="57"/>
      <c r="G968" s="57"/>
      <c r="H968" s="57"/>
    </row>
    <row r="969" ht="15.75" customHeight="1">
      <c r="F969" s="57"/>
      <c r="G969" s="57"/>
      <c r="H969" s="57"/>
    </row>
    <row r="970" ht="15.75" customHeight="1">
      <c r="F970" s="57"/>
      <c r="G970" s="57"/>
      <c r="H970" s="57"/>
    </row>
    <row r="971" ht="15.75" customHeight="1">
      <c r="F971" s="57"/>
      <c r="G971" s="57"/>
      <c r="H971" s="57"/>
    </row>
    <row r="972" ht="15.75" customHeight="1">
      <c r="F972" s="57"/>
      <c r="G972" s="57"/>
      <c r="H972" s="57"/>
    </row>
    <row r="973" ht="15.75" customHeight="1">
      <c r="F973" s="57"/>
      <c r="G973" s="57"/>
      <c r="H973" s="57"/>
    </row>
    <row r="974" ht="15.75" customHeight="1">
      <c r="F974" s="57"/>
      <c r="G974" s="57"/>
      <c r="H974" s="57"/>
    </row>
    <row r="975" ht="15.75" customHeight="1">
      <c r="F975" s="57"/>
      <c r="G975" s="57"/>
      <c r="H975" s="57"/>
    </row>
    <row r="976" ht="15.75" customHeight="1">
      <c r="F976" s="57"/>
      <c r="G976" s="57"/>
      <c r="H976" s="57"/>
    </row>
    <row r="977" ht="15.75" customHeight="1">
      <c r="F977" s="57"/>
      <c r="G977" s="57"/>
      <c r="H977" s="57"/>
    </row>
    <row r="978" ht="15.75" customHeight="1">
      <c r="F978" s="57"/>
      <c r="G978" s="57"/>
      <c r="H978" s="57"/>
    </row>
    <row r="979" ht="15.75" customHeight="1">
      <c r="F979" s="57"/>
      <c r="G979" s="57"/>
      <c r="H979" s="57"/>
    </row>
    <row r="980" ht="15.75" customHeight="1">
      <c r="F980" s="57"/>
      <c r="G980" s="57"/>
      <c r="H980" s="57"/>
    </row>
    <row r="981" ht="15.75" customHeight="1">
      <c r="F981" s="57"/>
      <c r="G981" s="57"/>
      <c r="H981" s="57"/>
    </row>
    <row r="982" ht="15.75" customHeight="1">
      <c r="F982" s="57"/>
      <c r="G982" s="57"/>
      <c r="H982" s="57"/>
    </row>
    <row r="983" ht="15.75" customHeight="1">
      <c r="F983" s="57"/>
      <c r="G983" s="57"/>
      <c r="H983" s="57"/>
    </row>
    <row r="984" ht="15.75" customHeight="1">
      <c r="F984" s="57"/>
      <c r="G984" s="57"/>
      <c r="H984" s="57"/>
    </row>
    <row r="985" ht="15.75" customHeight="1">
      <c r="F985" s="57"/>
      <c r="G985" s="57"/>
      <c r="H985" s="57"/>
    </row>
    <row r="986" ht="15.75" customHeight="1">
      <c r="F986" s="57"/>
      <c r="G986" s="57"/>
      <c r="H986" s="57"/>
    </row>
    <row r="987" ht="15.75" customHeight="1">
      <c r="F987" s="57"/>
      <c r="G987" s="57"/>
      <c r="H987" s="57"/>
    </row>
    <row r="988" ht="15.75" customHeight="1">
      <c r="F988" s="57"/>
      <c r="G988" s="57"/>
      <c r="H988" s="57"/>
    </row>
    <row r="989" ht="15.75" customHeight="1">
      <c r="F989" s="57"/>
      <c r="G989" s="57"/>
      <c r="H989" s="57"/>
    </row>
    <row r="990" ht="15.75" customHeight="1">
      <c r="F990" s="57"/>
      <c r="G990" s="57"/>
      <c r="H990" s="57"/>
    </row>
    <row r="991" ht="15.75" customHeight="1">
      <c r="F991" s="57"/>
      <c r="G991" s="57"/>
      <c r="H991" s="57"/>
    </row>
    <row r="992" ht="15.75" customHeight="1">
      <c r="F992" s="57"/>
      <c r="G992" s="57"/>
      <c r="H992" s="57"/>
    </row>
    <row r="993" ht="15.75" customHeight="1">
      <c r="F993" s="57"/>
      <c r="G993" s="57"/>
      <c r="H993" s="57"/>
    </row>
    <row r="994" ht="15.75" customHeight="1">
      <c r="F994" s="57"/>
      <c r="G994" s="57"/>
      <c r="H994" s="57"/>
    </row>
    <row r="995" ht="15.75" customHeight="1">
      <c r="F995" s="57"/>
      <c r="G995" s="57"/>
      <c r="H995" s="57"/>
    </row>
    <row r="996" ht="15.75" customHeight="1">
      <c r="F996" s="57"/>
      <c r="G996" s="57"/>
      <c r="H996" s="57"/>
    </row>
    <row r="997" ht="15.75" customHeight="1">
      <c r="F997" s="57"/>
      <c r="G997" s="57"/>
      <c r="H997" s="57"/>
    </row>
    <row r="998" ht="15.75" customHeight="1">
      <c r="F998" s="57"/>
      <c r="G998" s="57"/>
      <c r="H998" s="57"/>
    </row>
    <row r="999" ht="15.75" customHeight="1">
      <c r="F999" s="57"/>
      <c r="G999" s="57"/>
      <c r="H999" s="57"/>
    </row>
    <row r="1000" ht="15.75" customHeight="1">
      <c r="F1000" s="57"/>
      <c r="G1000" s="57"/>
      <c r="H1000" s="57"/>
    </row>
  </sheetData>
  <autoFilter ref="$A$1:$H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</row>
    <row r="2">
      <c r="A2" s="40" t="s">
        <v>92</v>
      </c>
      <c r="B2" s="40" t="s">
        <v>117</v>
      </c>
      <c r="C2" s="40" t="s">
        <v>2215</v>
      </c>
      <c r="D2" s="40" t="s">
        <v>2214</v>
      </c>
      <c r="E2" s="40" t="s">
        <v>2620</v>
      </c>
      <c r="F2" s="41">
        <v>562.0</v>
      </c>
      <c r="G2" s="41">
        <v>1.86578E7</v>
      </c>
      <c r="H2" s="41">
        <v>2139120.0</v>
      </c>
    </row>
    <row r="3">
      <c r="A3" s="40" t="s">
        <v>92</v>
      </c>
      <c r="B3" s="40" t="s">
        <v>117</v>
      </c>
      <c r="C3" s="40" t="s">
        <v>280</v>
      </c>
      <c r="D3" s="40" t="s">
        <v>279</v>
      </c>
      <c r="E3" s="40" t="s">
        <v>2621</v>
      </c>
      <c r="F3" s="41">
        <v>400.0</v>
      </c>
      <c r="G3" s="41">
        <v>8568180.0</v>
      </c>
      <c r="H3" s="41">
        <v>997420.0</v>
      </c>
    </row>
    <row r="4">
      <c r="A4" s="40" t="s">
        <v>92</v>
      </c>
      <c r="B4" s="40" t="s">
        <v>117</v>
      </c>
      <c r="C4" s="40" t="s">
        <v>280</v>
      </c>
      <c r="D4" s="40" t="s">
        <v>279</v>
      </c>
      <c r="E4" s="40" t="s">
        <v>2622</v>
      </c>
      <c r="F4" s="41">
        <v>449.0</v>
      </c>
      <c r="G4" s="41">
        <v>7695920.0</v>
      </c>
      <c r="H4" s="41">
        <v>713840.0</v>
      </c>
    </row>
    <row r="5">
      <c r="A5" s="40" t="s">
        <v>92</v>
      </c>
      <c r="B5" s="40" t="s">
        <v>117</v>
      </c>
      <c r="C5" s="40" t="s">
        <v>101</v>
      </c>
      <c r="D5" s="40" t="s">
        <v>100</v>
      </c>
      <c r="E5" s="40" t="s">
        <v>2625</v>
      </c>
      <c r="F5" s="41">
        <v>175.0</v>
      </c>
      <c r="G5" s="41">
        <v>6094000.0</v>
      </c>
      <c r="H5" s="41">
        <v>886100.0</v>
      </c>
    </row>
    <row r="6">
      <c r="A6" s="40" t="s">
        <v>92</v>
      </c>
      <c r="B6" s="40" t="s">
        <v>117</v>
      </c>
      <c r="C6" s="40" t="s">
        <v>1294</v>
      </c>
      <c r="D6" s="40" t="s">
        <v>1293</v>
      </c>
      <c r="E6" s="40" t="s">
        <v>2626</v>
      </c>
      <c r="F6" s="41">
        <v>245.0</v>
      </c>
      <c r="G6" s="41">
        <v>5724000.0</v>
      </c>
      <c r="H6" s="41">
        <v>0.0</v>
      </c>
    </row>
    <row r="7">
      <c r="A7" s="40" t="s">
        <v>92</v>
      </c>
      <c r="B7" s="40" t="s">
        <v>117</v>
      </c>
      <c r="C7" s="40" t="s">
        <v>280</v>
      </c>
      <c r="D7" s="40" t="s">
        <v>279</v>
      </c>
      <c r="E7" s="40" t="s">
        <v>2627</v>
      </c>
      <c r="F7" s="41">
        <v>258.0</v>
      </c>
      <c r="G7" s="41">
        <v>3957980.0</v>
      </c>
      <c r="H7" s="41">
        <v>322980.0</v>
      </c>
    </row>
    <row r="8">
      <c r="A8" s="40" t="s">
        <v>92</v>
      </c>
      <c r="B8" s="40" t="s">
        <v>117</v>
      </c>
      <c r="C8" s="40" t="s">
        <v>2605</v>
      </c>
      <c r="D8" s="40" t="s">
        <v>2604</v>
      </c>
      <c r="E8" s="40" t="s">
        <v>2628</v>
      </c>
      <c r="F8" s="41">
        <v>178.0</v>
      </c>
      <c r="G8" s="41">
        <v>3575260.0</v>
      </c>
      <c r="H8" s="41">
        <v>0.0</v>
      </c>
    </row>
    <row r="9">
      <c r="A9" s="40" t="s">
        <v>92</v>
      </c>
      <c r="B9" s="40" t="s">
        <v>117</v>
      </c>
      <c r="C9" s="40" t="s">
        <v>280</v>
      </c>
      <c r="D9" s="40" t="s">
        <v>279</v>
      </c>
      <c r="E9" s="40" t="s">
        <v>2629</v>
      </c>
      <c r="F9" s="41">
        <v>143.0</v>
      </c>
      <c r="G9" s="41">
        <v>3398700.0</v>
      </c>
      <c r="H9" s="41">
        <v>338520.0</v>
      </c>
    </row>
    <row r="10">
      <c r="A10" s="40" t="s">
        <v>92</v>
      </c>
      <c r="B10" s="40" t="s">
        <v>117</v>
      </c>
      <c r="C10" s="40" t="s">
        <v>1054</v>
      </c>
      <c r="D10" s="40" t="s">
        <v>1053</v>
      </c>
      <c r="E10" s="40" t="s">
        <v>2630</v>
      </c>
      <c r="F10" s="41">
        <v>58.0</v>
      </c>
      <c r="G10" s="41">
        <v>3304000.0</v>
      </c>
      <c r="H10" s="41">
        <v>550000.0</v>
      </c>
    </row>
    <row r="11">
      <c r="A11" s="40" t="s">
        <v>92</v>
      </c>
      <c r="B11" s="40" t="s">
        <v>117</v>
      </c>
      <c r="C11" s="40" t="s">
        <v>218</v>
      </c>
      <c r="D11" s="40" t="s">
        <v>217</v>
      </c>
      <c r="E11" s="40" t="s">
        <v>2631</v>
      </c>
      <c r="F11" s="41">
        <v>87.0</v>
      </c>
      <c r="G11" s="41">
        <v>2855400.0</v>
      </c>
      <c r="H11" s="41">
        <v>312700.0</v>
      </c>
    </row>
    <row r="12">
      <c r="A12" s="40" t="s">
        <v>92</v>
      </c>
      <c r="B12" s="40" t="s">
        <v>117</v>
      </c>
      <c r="C12" s="40" t="s">
        <v>732</v>
      </c>
      <c r="D12" s="40" t="s">
        <v>731</v>
      </c>
      <c r="E12" s="40" t="s">
        <v>2632</v>
      </c>
      <c r="F12" s="41">
        <v>132.0</v>
      </c>
      <c r="G12" s="41">
        <v>2821900.0</v>
      </c>
      <c r="H12" s="41">
        <v>314300.0</v>
      </c>
    </row>
    <row r="13">
      <c r="A13" s="40" t="s">
        <v>92</v>
      </c>
      <c r="B13" s="40" t="s">
        <v>117</v>
      </c>
      <c r="C13" s="40" t="s">
        <v>280</v>
      </c>
      <c r="D13" s="40" t="s">
        <v>279</v>
      </c>
      <c r="E13" s="40" t="s">
        <v>2633</v>
      </c>
      <c r="F13" s="41">
        <v>162.0</v>
      </c>
      <c r="G13" s="41">
        <v>2496180.0</v>
      </c>
      <c r="H13" s="41">
        <v>253520.0</v>
      </c>
    </row>
    <row r="14">
      <c r="A14" s="40" t="s">
        <v>92</v>
      </c>
      <c r="B14" s="40" t="s">
        <v>117</v>
      </c>
      <c r="C14" s="40" t="s">
        <v>2605</v>
      </c>
      <c r="D14" s="40" t="s">
        <v>2604</v>
      </c>
      <c r="E14" s="40" t="s">
        <v>2634</v>
      </c>
      <c r="F14" s="41">
        <v>56.0</v>
      </c>
      <c r="G14" s="41">
        <v>2105390.0</v>
      </c>
      <c r="H14" s="41">
        <v>0.0</v>
      </c>
    </row>
    <row r="15">
      <c r="A15" s="40" t="s">
        <v>92</v>
      </c>
      <c r="B15" s="40" t="s">
        <v>117</v>
      </c>
      <c r="C15" s="40" t="s">
        <v>280</v>
      </c>
      <c r="D15" s="40" t="s">
        <v>279</v>
      </c>
      <c r="E15" s="40" t="s">
        <v>2635</v>
      </c>
      <c r="F15" s="41">
        <v>65.0</v>
      </c>
      <c r="G15" s="41">
        <v>2085200.0</v>
      </c>
      <c r="H15" s="41">
        <v>230480.0</v>
      </c>
    </row>
    <row r="16">
      <c r="A16" s="40" t="s">
        <v>92</v>
      </c>
      <c r="B16" s="40" t="s">
        <v>186</v>
      </c>
      <c r="C16" s="40" t="s">
        <v>1870</v>
      </c>
      <c r="D16" s="40" t="s">
        <v>1869</v>
      </c>
      <c r="E16" s="40" t="s">
        <v>2637</v>
      </c>
      <c r="F16" s="41">
        <v>74.0</v>
      </c>
      <c r="G16" s="41">
        <v>2060000.0</v>
      </c>
      <c r="H16" s="41">
        <v>261400.0</v>
      </c>
    </row>
    <row r="17">
      <c r="A17" s="40" t="s">
        <v>92</v>
      </c>
      <c r="B17" s="40" t="s">
        <v>117</v>
      </c>
      <c r="C17" s="40" t="s">
        <v>280</v>
      </c>
      <c r="D17" s="40" t="s">
        <v>279</v>
      </c>
      <c r="E17" s="40" t="s">
        <v>2639</v>
      </c>
      <c r="F17" s="41">
        <v>74.0</v>
      </c>
      <c r="G17" s="41">
        <v>1850260.0</v>
      </c>
      <c r="H17" s="41">
        <v>240280.0</v>
      </c>
    </row>
    <row r="18">
      <c r="A18" s="40" t="s">
        <v>92</v>
      </c>
      <c r="B18" s="40" t="s">
        <v>117</v>
      </c>
      <c r="C18" s="40" t="s">
        <v>1912</v>
      </c>
      <c r="D18" s="40" t="s">
        <v>1911</v>
      </c>
      <c r="E18" s="40" t="s">
        <v>2641</v>
      </c>
      <c r="F18" s="41">
        <v>61.0</v>
      </c>
      <c r="G18" s="41">
        <v>1760000.0</v>
      </c>
      <c r="H18" s="41">
        <v>0.0</v>
      </c>
    </row>
    <row r="19">
      <c r="A19" s="40" t="s">
        <v>92</v>
      </c>
      <c r="B19" s="40" t="s">
        <v>186</v>
      </c>
      <c r="C19" s="40" t="s">
        <v>1914</v>
      </c>
      <c r="D19" s="40" t="s">
        <v>1913</v>
      </c>
      <c r="E19" s="40" t="s">
        <v>2643</v>
      </c>
      <c r="F19" s="41">
        <v>39.0</v>
      </c>
      <c r="G19" s="41">
        <v>1725200.0</v>
      </c>
      <c r="H19" s="41">
        <v>194500.0</v>
      </c>
    </row>
    <row r="20">
      <c r="A20" s="40" t="s">
        <v>92</v>
      </c>
      <c r="B20" s="40" t="s">
        <v>186</v>
      </c>
      <c r="C20" s="40" t="s">
        <v>256</v>
      </c>
      <c r="D20" s="40" t="s">
        <v>255</v>
      </c>
      <c r="E20" s="40" t="s">
        <v>2645</v>
      </c>
      <c r="F20" s="41">
        <v>26.0</v>
      </c>
      <c r="G20" s="41">
        <v>1371800.0</v>
      </c>
      <c r="H20" s="41">
        <v>210000.0</v>
      </c>
    </row>
    <row r="21" ht="15.75" customHeight="1">
      <c r="A21" s="40" t="s">
        <v>92</v>
      </c>
      <c r="B21" s="40" t="s">
        <v>117</v>
      </c>
      <c r="C21" s="40" t="s">
        <v>280</v>
      </c>
      <c r="D21" s="40" t="s">
        <v>279</v>
      </c>
      <c r="E21" s="40" t="s">
        <v>2647</v>
      </c>
      <c r="F21" s="41">
        <v>76.0</v>
      </c>
      <c r="G21" s="41">
        <v>1366100.0</v>
      </c>
      <c r="H21" s="41">
        <v>192500.0</v>
      </c>
    </row>
    <row r="22" ht="15.75" customHeight="1">
      <c r="A22" s="40" t="s">
        <v>92</v>
      </c>
      <c r="B22" s="40" t="s">
        <v>186</v>
      </c>
      <c r="C22" s="40" t="s">
        <v>256</v>
      </c>
      <c r="D22" s="40" t="s">
        <v>255</v>
      </c>
      <c r="E22" s="40" t="s">
        <v>2649</v>
      </c>
      <c r="F22" s="41">
        <v>36.0</v>
      </c>
      <c r="G22" s="41">
        <v>1268100.0</v>
      </c>
      <c r="H22" s="41">
        <v>163040.0</v>
      </c>
    </row>
    <row r="23" ht="15.75" customHeight="1">
      <c r="A23" s="40" t="s">
        <v>92</v>
      </c>
      <c r="B23" s="40" t="s">
        <v>117</v>
      </c>
      <c r="C23" s="40" t="s">
        <v>2605</v>
      </c>
      <c r="D23" s="40" t="s">
        <v>2604</v>
      </c>
      <c r="E23" s="40" t="s">
        <v>2651</v>
      </c>
      <c r="F23" s="41">
        <v>58.0</v>
      </c>
      <c r="G23" s="41">
        <v>1257470.0</v>
      </c>
      <c r="H23" s="41">
        <v>0.0</v>
      </c>
    </row>
    <row r="24" ht="15.75" customHeight="1">
      <c r="A24" s="40" t="s">
        <v>92</v>
      </c>
      <c r="B24" s="40" t="s">
        <v>117</v>
      </c>
      <c r="C24" s="40" t="s">
        <v>268</v>
      </c>
      <c r="D24" s="40" t="s">
        <v>267</v>
      </c>
      <c r="E24" s="40" t="s">
        <v>2654</v>
      </c>
      <c r="F24" s="41">
        <v>64.0</v>
      </c>
      <c r="G24" s="41">
        <v>1238500.0</v>
      </c>
      <c r="H24" s="41">
        <v>144320.0</v>
      </c>
    </row>
    <row r="25" ht="15.75" customHeight="1">
      <c r="A25" s="40" t="s">
        <v>92</v>
      </c>
      <c r="B25" s="40" t="s">
        <v>186</v>
      </c>
      <c r="C25" s="40" t="s">
        <v>256</v>
      </c>
      <c r="D25" s="40" t="s">
        <v>255</v>
      </c>
      <c r="E25" s="40" t="s">
        <v>2656</v>
      </c>
      <c r="F25" s="41">
        <v>36.0</v>
      </c>
      <c r="G25" s="41">
        <v>1232800.0</v>
      </c>
      <c r="H25" s="41">
        <v>143460.0</v>
      </c>
    </row>
    <row r="26" ht="15.75" customHeight="1">
      <c r="A26" s="40" t="s">
        <v>92</v>
      </c>
      <c r="B26" s="40" t="s">
        <v>117</v>
      </c>
      <c r="C26" s="40" t="s">
        <v>280</v>
      </c>
      <c r="D26" s="40" t="s">
        <v>279</v>
      </c>
      <c r="E26" s="40" t="s">
        <v>2658</v>
      </c>
      <c r="F26" s="41">
        <v>55.0</v>
      </c>
      <c r="G26" s="41">
        <v>1135100.0</v>
      </c>
      <c r="H26" s="41">
        <v>144400.0</v>
      </c>
    </row>
    <row r="27" ht="15.75" customHeight="1">
      <c r="A27" s="40" t="s">
        <v>92</v>
      </c>
      <c r="B27" s="40" t="s">
        <v>117</v>
      </c>
      <c r="C27" s="40" t="s">
        <v>280</v>
      </c>
      <c r="D27" s="40" t="s">
        <v>279</v>
      </c>
      <c r="E27" s="40" t="s">
        <v>2660</v>
      </c>
      <c r="F27" s="41">
        <v>56.0</v>
      </c>
      <c r="G27" s="41">
        <v>882000.0</v>
      </c>
      <c r="H27" s="41">
        <v>66980.0</v>
      </c>
    </row>
    <row r="28" ht="15.75" customHeight="1">
      <c r="A28" s="40" t="s">
        <v>92</v>
      </c>
      <c r="B28" s="40" t="s">
        <v>117</v>
      </c>
      <c r="C28" s="40" t="s">
        <v>280</v>
      </c>
      <c r="D28" s="40" t="s">
        <v>279</v>
      </c>
      <c r="E28" s="40" t="s">
        <v>2662</v>
      </c>
      <c r="F28" s="41">
        <v>58.0</v>
      </c>
      <c r="G28" s="41">
        <v>832340.0</v>
      </c>
      <c r="H28" s="41">
        <v>92550.0</v>
      </c>
    </row>
    <row r="29" ht="15.75" customHeight="1">
      <c r="A29" s="40" t="s">
        <v>92</v>
      </c>
      <c r="B29" s="40" t="s">
        <v>117</v>
      </c>
      <c r="C29" s="40" t="s">
        <v>218</v>
      </c>
      <c r="D29" s="40" t="s">
        <v>217</v>
      </c>
      <c r="E29" s="40" t="s">
        <v>2664</v>
      </c>
      <c r="F29" s="41">
        <v>23.0</v>
      </c>
      <c r="G29" s="41">
        <v>829500.0</v>
      </c>
      <c r="H29" s="41">
        <v>110000.0</v>
      </c>
    </row>
    <row r="30" ht="15.75" customHeight="1">
      <c r="A30" s="40" t="s">
        <v>92</v>
      </c>
      <c r="B30" s="40" t="s">
        <v>186</v>
      </c>
      <c r="C30" s="40" t="s">
        <v>280</v>
      </c>
      <c r="D30" s="40" t="s">
        <v>279</v>
      </c>
      <c r="E30" s="40" t="s">
        <v>2666</v>
      </c>
      <c r="F30" s="41">
        <v>59.0</v>
      </c>
      <c r="G30" s="41">
        <v>822200.0</v>
      </c>
      <c r="H30" s="41">
        <v>99950.0</v>
      </c>
    </row>
    <row r="31" ht="15.75" customHeight="1">
      <c r="A31" s="40" t="s">
        <v>92</v>
      </c>
      <c r="B31" s="40" t="s">
        <v>117</v>
      </c>
      <c r="C31" s="40" t="s">
        <v>280</v>
      </c>
      <c r="D31" s="40" t="s">
        <v>279</v>
      </c>
      <c r="E31" s="40" t="s">
        <v>2668</v>
      </c>
      <c r="F31" s="41">
        <v>40.0</v>
      </c>
      <c r="G31" s="41">
        <v>817400.0</v>
      </c>
      <c r="H31" s="41">
        <v>81480.0</v>
      </c>
    </row>
    <row r="32" ht="15.75" customHeight="1">
      <c r="A32" s="40" t="s">
        <v>92</v>
      </c>
      <c r="B32" s="40" t="s">
        <v>186</v>
      </c>
      <c r="C32" s="40" t="s">
        <v>256</v>
      </c>
      <c r="D32" s="40" t="s">
        <v>255</v>
      </c>
      <c r="E32" s="40" t="s">
        <v>2670</v>
      </c>
      <c r="F32" s="41">
        <v>9.0</v>
      </c>
      <c r="G32" s="41">
        <v>790000.0</v>
      </c>
      <c r="H32" s="41">
        <v>50000.0</v>
      </c>
    </row>
    <row r="33" ht="15.75" customHeight="1">
      <c r="A33" s="40" t="s">
        <v>92</v>
      </c>
      <c r="B33" s="40" t="s">
        <v>186</v>
      </c>
      <c r="C33" s="40" t="s">
        <v>256</v>
      </c>
      <c r="D33" s="40" t="s">
        <v>255</v>
      </c>
      <c r="E33" s="40" t="s">
        <v>2672</v>
      </c>
      <c r="F33" s="41">
        <v>50.0</v>
      </c>
      <c r="G33" s="41">
        <v>725700.0</v>
      </c>
      <c r="H33" s="41">
        <v>71340.0</v>
      </c>
    </row>
    <row r="34" ht="15.75" customHeight="1">
      <c r="A34" s="40" t="s">
        <v>92</v>
      </c>
      <c r="B34" s="40" t="s">
        <v>117</v>
      </c>
      <c r="C34" s="40" t="s">
        <v>280</v>
      </c>
      <c r="D34" s="40" t="s">
        <v>279</v>
      </c>
      <c r="E34" s="40" t="s">
        <v>2675</v>
      </c>
      <c r="F34" s="41">
        <v>57.0</v>
      </c>
      <c r="G34" s="41">
        <v>698500.0</v>
      </c>
      <c r="H34" s="41">
        <v>30140.0</v>
      </c>
    </row>
    <row r="35" ht="15.75" customHeight="1">
      <c r="A35" s="40" t="s">
        <v>92</v>
      </c>
      <c r="B35" s="40" t="s">
        <v>117</v>
      </c>
      <c r="C35" s="40" t="s">
        <v>1912</v>
      </c>
      <c r="D35" s="40" t="s">
        <v>1911</v>
      </c>
      <c r="E35" s="40" t="s">
        <v>2678</v>
      </c>
      <c r="F35" s="41">
        <v>16.0</v>
      </c>
      <c r="G35" s="41">
        <v>672000.0</v>
      </c>
      <c r="H35" s="41">
        <v>0.0</v>
      </c>
    </row>
    <row r="36" ht="15.75" customHeight="1">
      <c r="A36" s="40" t="s">
        <v>92</v>
      </c>
      <c r="B36" s="40" t="s">
        <v>186</v>
      </c>
      <c r="C36" s="40" t="s">
        <v>256</v>
      </c>
      <c r="D36" s="40" t="s">
        <v>255</v>
      </c>
      <c r="E36" s="40" t="s">
        <v>2680</v>
      </c>
      <c r="F36" s="41">
        <v>61.0</v>
      </c>
      <c r="G36" s="41">
        <v>644300.0</v>
      </c>
      <c r="H36" s="41">
        <v>57040.0</v>
      </c>
    </row>
    <row r="37" ht="15.75" customHeight="1">
      <c r="A37" s="40" t="s">
        <v>92</v>
      </c>
      <c r="B37" s="40" t="s">
        <v>117</v>
      </c>
      <c r="C37" s="40" t="s">
        <v>280</v>
      </c>
      <c r="D37" s="40" t="s">
        <v>279</v>
      </c>
      <c r="E37" s="40" t="s">
        <v>2682</v>
      </c>
      <c r="F37" s="41">
        <v>39.0</v>
      </c>
      <c r="G37" s="41">
        <v>615700.0</v>
      </c>
      <c r="H37" s="41">
        <v>51840.0</v>
      </c>
    </row>
    <row r="38" ht="15.75" customHeight="1">
      <c r="A38" s="40" t="s">
        <v>92</v>
      </c>
      <c r="B38" s="40" t="s">
        <v>117</v>
      </c>
      <c r="C38" s="40" t="s">
        <v>1912</v>
      </c>
      <c r="D38" s="40" t="s">
        <v>1911</v>
      </c>
      <c r="E38" s="40" t="s">
        <v>2684</v>
      </c>
      <c r="F38" s="41">
        <v>7.0</v>
      </c>
      <c r="G38" s="41">
        <v>567000.0</v>
      </c>
      <c r="H38" s="41">
        <v>0.0</v>
      </c>
    </row>
    <row r="39" ht="15.75" customHeight="1">
      <c r="A39" s="40" t="s">
        <v>92</v>
      </c>
      <c r="B39" s="40" t="s">
        <v>117</v>
      </c>
      <c r="C39" s="40" t="s">
        <v>268</v>
      </c>
      <c r="D39" s="40" t="s">
        <v>267</v>
      </c>
      <c r="E39" s="40" t="s">
        <v>2686</v>
      </c>
      <c r="F39" s="41">
        <v>12.0</v>
      </c>
      <c r="G39" s="41">
        <v>561200.0</v>
      </c>
      <c r="H39" s="41">
        <v>67380.0</v>
      </c>
    </row>
    <row r="40" ht="15.75" customHeight="1">
      <c r="A40" s="40" t="s">
        <v>92</v>
      </c>
      <c r="B40" s="40" t="s">
        <v>117</v>
      </c>
      <c r="C40" s="40" t="s">
        <v>2605</v>
      </c>
      <c r="D40" s="40" t="s">
        <v>2604</v>
      </c>
      <c r="E40" s="40" t="s">
        <v>2688</v>
      </c>
      <c r="F40" s="41">
        <v>22.0</v>
      </c>
      <c r="G40" s="41">
        <v>544430.0</v>
      </c>
      <c r="H40" s="41">
        <v>0.0</v>
      </c>
    </row>
    <row r="41" ht="15.75" customHeight="1">
      <c r="A41" s="40" t="s">
        <v>92</v>
      </c>
      <c r="B41" s="40" t="s">
        <v>186</v>
      </c>
      <c r="C41" s="40" t="s">
        <v>280</v>
      </c>
      <c r="D41" s="40" t="s">
        <v>279</v>
      </c>
      <c r="E41" s="40" t="s">
        <v>2690</v>
      </c>
      <c r="F41" s="41">
        <v>36.0</v>
      </c>
      <c r="G41" s="41">
        <v>518500.0</v>
      </c>
      <c r="H41" s="41">
        <v>69560.0</v>
      </c>
    </row>
    <row r="42" ht="15.75" customHeight="1">
      <c r="A42" s="40" t="s">
        <v>92</v>
      </c>
      <c r="B42" s="40" t="s">
        <v>186</v>
      </c>
      <c r="C42" s="40" t="s">
        <v>280</v>
      </c>
      <c r="D42" s="40" t="s">
        <v>279</v>
      </c>
      <c r="E42" s="40" t="s">
        <v>2696</v>
      </c>
      <c r="F42" s="41">
        <v>9.0</v>
      </c>
      <c r="G42" s="41">
        <v>513400.0</v>
      </c>
      <c r="H42" s="41">
        <v>50000.0</v>
      </c>
    </row>
    <row r="43" ht="15.75" customHeight="1">
      <c r="A43" s="40" t="s">
        <v>92</v>
      </c>
      <c r="B43" s="40" t="s">
        <v>186</v>
      </c>
      <c r="C43" s="40" t="s">
        <v>280</v>
      </c>
      <c r="D43" s="40" t="s">
        <v>279</v>
      </c>
      <c r="E43" s="40" t="s">
        <v>2698</v>
      </c>
      <c r="F43" s="41">
        <v>27.0</v>
      </c>
      <c r="G43" s="41">
        <v>476300.0</v>
      </c>
      <c r="H43" s="41">
        <v>56620.0</v>
      </c>
    </row>
    <row r="44" ht="15.75" customHeight="1">
      <c r="A44" s="40" t="s">
        <v>92</v>
      </c>
      <c r="B44" s="40" t="s">
        <v>186</v>
      </c>
      <c r="C44" s="40" t="s">
        <v>256</v>
      </c>
      <c r="D44" s="40" t="s">
        <v>255</v>
      </c>
      <c r="E44" s="40" t="s">
        <v>2700</v>
      </c>
      <c r="F44" s="41">
        <v>9.0</v>
      </c>
      <c r="G44" s="41">
        <v>475200.0</v>
      </c>
      <c r="H44" s="41">
        <v>70000.0</v>
      </c>
    </row>
    <row r="45" ht="15.75" customHeight="1">
      <c r="A45" s="40" t="s">
        <v>92</v>
      </c>
      <c r="B45" s="40" t="s">
        <v>117</v>
      </c>
      <c r="C45" s="40" t="s">
        <v>280</v>
      </c>
      <c r="D45" s="40" t="s">
        <v>279</v>
      </c>
      <c r="E45" s="40" t="s">
        <v>2702</v>
      </c>
      <c r="F45" s="41">
        <v>23.0</v>
      </c>
      <c r="G45" s="41">
        <v>471400.0</v>
      </c>
      <c r="H45" s="41">
        <v>46560.0</v>
      </c>
    </row>
    <row r="46" ht="15.75" customHeight="1">
      <c r="A46" s="40" t="s">
        <v>92</v>
      </c>
      <c r="B46" s="40" t="s">
        <v>186</v>
      </c>
      <c r="C46" s="40" t="s">
        <v>256</v>
      </c>
      <c r="D46" s="40" t="s">
        <v>255</v>
      </c>
      <c r="E46" s="40" t="s">
        <v>2704</v>
      </c>
      <c r="F46" s="41">
        <v>18.0</v>
      </c>
      <c r="G46" s="41">
        <v>459800.0</v>
      </c>
      <c r="H46" s="41">
        <v>56290.0</v>
      </c>
    </row>
    <row r="47" ht="15.75" customHeight="1">
      <c r="A47" s="40" t="s">
        <v>92</v>
      </c>
      <c r="B47" s="40" t="s">
        <v>117</v>
      </c>
      <c r="C47" s="40" t="s">
        <v>218</v>
      </c>
      <c r="D47" s="40" t="s">
        <v>217</v>
      </c>
      <c r="E47" s="40" t="s">
        <v>2706</v>
      </c>
      <c r="F47" s="41">
        <v>11.0</v>
      </c>
      <c r="G47" s="41">
        <v>399500.0</v>
      </c>
      <c r="H47" s="41">
        <v>41600.0</v>
      </c>
    </row>
    <row r="48" ht="15.75" customHeight="1">
      <c r="A48" s="40" t="s">
        <v>92</v>
      </c>
      <c r="B48" s="40" t="s">
        <v>117</v>
      </c>
      <c r="C48" s="40" t="s">
        <v>280</v>
      </c>
      <c r="D48" s="40" t="s">
        <v>279</v>
      </c>
      <c r="E48" s="40" t="s">
        <v>2708</v>
      </c>
      <c r="F48" s="41">
        <v>25.0</v>
      </c>
      <c r="G48" s="41">
        <v>353800.0</v>
      </c>
      <c r="H48" s="41">
        <v>32500.0</v>
      </c>
    </row>
    <row r="49" ht="15.75" customHeight="1">
      <c r="A49" s="40" t="s">
        <v>92</v>
      </c>
      <c r="B49" s="40" t="s">
        <v>117</v>
      </c>
      <c r="C49" s="40" t="s">
        <v>1912</v>
      </c>
      <c r="D49" s="40" t="s">
        <v>1911</v>
      </c>
      <c r="E49" s="40" t="s">
        <v>2710</v>
      </c>
      <c r="F49" s="41">
        <v>4.0</v>
      </c>
      <c r="G49" s="41">
        <v>336000.0</v>
      </c>
      <c r="H49" s="41">
        <v>0.0</v>
      </c>
    </row>
    <row r="50" ht="15.75" customHeight="1">
      <c r="A50" s="40" t="s">
        <v>92</v>
      </c>
      <c r="B50" s="40" t="s">
        <v>117</v>
      </c>
      <c r="C50" s="40" t="s">
        <v>280</v>
      </c>
      <c r="D50" s="40" t="s">
        <v>279</v>
      </c>
      <c r="E50" s="40" t="s">
        <v>2713</v>
      </c>
      <c r="F50" s="41">
        <v>26.0</v>
      </c>
      <c r="G50" s="41">
        <v>298800.0</v>
      </c>
      <c r="H50" s="41">
        <v>11280.0</v>
      </c>
    </row>
    <row r="51" ht="15.75" customHeight="1">
      <c r="A51" s="40" t="s">
        <v>92</v>
      </c>
      <c r="B51" s="40" t="s">
        <v>117</v>
      </c>
      <c r="C51" s="40" t="s">
        <v>268</v>
      </c>
      <c r="D51" s="40" t="s">
        <v>267</v>
      </c>
      <c r="E51" s="40" t="s">
        <v>2715</v>
      </c>
      <c r="F51" s="41">
        <v>21.0</v>
      </c>
      <c r="G51" s="41">
        <v>291870.0</v>
      </c>
      <c r="H51" s="41">
        <v>36850.0</v>
      </c>
    </row>
    <row r="52" ht="15.75" customHeight="1">
      <c r="A52" s="40" t="s">
        <v>92</v>
      </c>
      <c r="B52" s="40" t="s">
        <v>186</v>
      </c>
      <c r="C52" s="40" t="s">
        <v>256</v>
      </c>
      <c r="D52" s="40" t="s">
        <v>255</v>
      </c>
      <c r="E52" s="40" t="s">
        <v>2717</v>
      </c>
      <c r="F52" s="41">
        <v>3.0</v>
      </c>
      <c r="G52" s="41">
        <v>263000.0</v>
      </c>
      <c r="H52" s="41">
        <v>10000.0</v>
      </c>
    </row>
    <row r="53" ht="15.75" customHeight="1">
      <c r="A53" s="40" t="s">
        <v>92</v>
      </c>
      <c r="B53" s="40" t="s">
        <v>186</v>
      </c>
      <c r="C53" s="40" t="s">
        <v>2605</v>
      </c>
      <c r="D53" s="40" t="s">
        <v>2604</v>
      </c>
      <c r="E53" s="40" t="s">
        <v>2719</v>
      </c>
      <c r="F53" s="41">
        <v>9.0</v>
      </c>
      <c r="G53" s="41">
        <v>257830.0</v>
      </c>
      <c r="H53" s="41">
        <v>0.0</v>
      </c>
    </row>
    <row r="54" ht="15.75" customHeight="1">
      <c r="A54" s="40" t="s">
        <v>92</v>
      </c>
      <c r="B54" s="40" t="s">
        <v>186</v>
      </c>
      <c r="C54" s="40" t="s">
        <v>161</v>
      </c>
      <c r="D54" s="40" t="s">
        <v>160</v>
      </c>
      <c r="E54" s="40" t="s">
        <v>2722</v>
      </c>
      <c r="F54" s="41">
        <v>5.0</v>
      </c>
      <c r="G54" s="41">
        <v>254500.0</v>
      </c>
      <c r="H54" s="41">
        <v>47960.0</v>
      </c>
    </row>
    <row r="55" ht="15.75" customHeight="1">
      <c r="A55" s="40" t="s">
        <v>92</v>
      </c>
      <c r="B55" s="40" t="s">
        <v>186</v>
      </c>
      <c r="C55" s="40" t="s">
        <v>256</v>
      </c>
      <c r="D55" s="40" t="s">
        <v>255</v>
      </c>
      <c r="E55" s="40" t="s">
        <v>2724</v>
      </c>
      <c r="F55" s="41">
        <v>18.0</v>
      </c>
      <c r="G55" s="41">
        <v>246000.0</v>
      </c>
      <c r="H55" s="41">
        <v>31980.0</v>
      </c>
    </row>
    <row r="56" ht="15.75" customHeight="1">
      <c r="A56" s="40" t="s">
        <v>92</v>
      </c>
      <c r="B56" s="40" t="s">
        <v>117</v>
      </c>
      <c r="C56" s="40" t="s">
        <v>280</v>
      </c>
      <c r="D56" s="40" t="s">
        <v>279</v>
      </c>
      <c r="E56" s="40" t="s">
        <v>2726</v>
      </c>
      <c r="F56" s="41">
        <v>14.0</v>
      </c>
      <c r="G56" s="41">
        <v>245400.0</v>
      </c>
      <c r="H56" s="41">
        <v>31360.0</v>
      </c>
    </row>
    <row r="57" ht="15.75" customHeight="1">
      <c r="A57" s="40" t="s">
        <v>92</v>
      </c>
      <c r="B57" s="40" t="s">
        <v>117</v>
      </c>
      <c r="C57" s="40" t="s">
        <v>280</v>
      </c>
      <c r="D57" s="40" t="s">
        <v>279</v>
      </c>
      <c r="E57" s="40" t="s">
        <v>2729</v>
      </c>
      <c r="F57" s="41">
        <v>16.0</v>
      </c>
      <c r="G57" s="41">
        <v>228200.0</v>
      </c>
      <c r="H57" s="41">
        <v>20800.0</v>
      </c>
    </row>
    <row r="58" ht="15.75" customHeight="1">
      <c r="A58" s="40" t="s">
        <v>92</v>
      </c>
      <c r="B58" s="40" t="s">
        <v>117</v>
      </c>
      <c r="C58" s="40" t="s">
        <v>2605</v>
      </c>
      <c r="D58" s="40" t="s">
        <v>2604</v>
      </c>
      <c r="E58" s="40" t="s">
        <v>2733</v>
      </c>
      <c r="F58" s="41">
        <v>4.0</v>
      </c>
      <c r="G58" s="41">
        <v>227680.0</v>
      </c>
      <c r="H58" s="41">
        <v>0.0</v>
      </c>
    </row>
    <row r="59" ht="15.75" customHeight="1">
      <c r="A59" s="40" t="s">
        <v>92</v>
      </c>
      <c r="B59" s="40" t="s">
        <v>186</v>
      </c>
      <c r="C59" s="40" t="s">
        <v>268</v>
      </c>
      <c r="D59" s="40" t="s">
        <v>267</v>
      </c>
      <c r="E59" s="40" t="s">
        <v>2735</v>
      </c>
      <c r="F59" s="41">
        <v>5.0</v>
      </c>
      <c r="G59" s="41">
        <v>221200.0</v>
      </c>
      <c r="H59" s="41">
        <v>34240.0</v>
      </c>
    </row>
    <row r="60" ht="15.75" customHeight="1">
      <c r="A60" s="40" t="s">
        <v>92</v>
      </c>
      <c r="B60" s="40" t="s">
        <v>117</v>
      </c>
      <c r="C60" s="40" t="s">
        <v>280</v>
      </c>
      <c r="D60" s="40" t="s">
        <v>279</v>
      </c>
      <c r="E60" s="40" t="s">
        <v>2738</v>
      </c>
      <c r="F60" s="41">
        <v>15.0</v>
      </c>
      <c r="G60" s="41">
        <v>214200.0</v>
      </c>
      <c r="H60" s="41">
        <v>11280.0</v>
      </c>
    </row>
    <row r="61" ht="15.75" customHeight="1">
      <c r="A61" s="40" t="s">
        <v>92</v>
      </c>
      <c r="B61" s="40" t="s">
        <v>186</v>
      </c>
      <c r="C61" s="40" t="s">
        <v>161</v>
      </c>
      <c r="D61" s="40" t="s">
        <v>160</v>
      </c>
      <c r="E61" s="40" t="s">
        <v>2741</v>
      </c>
      <c r="F61" s="41">
        <v>9.0</v>
      </c>
      <c r="G61" s="41">
        <v>197100.0</v>
      </c>
      <c r="H61" s="41">
        <v>21900.0</v>
      </c>
    </row>
    <row r="62" ht="15.75" customHeight="1">
      <c r="A62" s="40" t="s">
        <v>92</v>
      </c>
      <c r="B62" s="40" t="s">
        <v>117</v>
      </c>
      <c r="C62" s="40" t="s">
        <v>732</v>
      </c>
      <c r="D62" s="40" t="s">
        <v>731</v>
      </c>
      <c r="E62" s="40" t="s">
        <v>2743</v>
      </c>
      <c r="F62" s="41">
        <v>11.0</v>
      </c>
      <c r="G62" s="41">
        <v>195820.0</v>
      </c>
      <c r="H62" s="41">
        <v>17810.0</v>
      </c>
    </row>
    <row r="63" ht="15.75" customHeight="1">
      <c r="A63" s="40" t="s">
        <v>92</v>
      </c>
      <c r="B63" s="40" t="s">
        <v>186</v>
      </c>
      <c r="C63" s="40" t="s">
        <v>268</v>
      </c>
      <c r="D63" s="40" t="s">
        <v>267</v>
      </c>
      <c r="E63" s="40" t="s">
        <v>2746</v>
      </c>
      <c r="F63" s="41">
        <v>6.0</v>
      </c>
      <c r="G63" s="41">
        <v>158800.0</v>
      </c>
      <c r="H63" s="41">
        <v>25200.0</v>
      </c>
    </row>
    <row r="64" ht="15.75" customHeight="1">
      <c r="A64" s="40" t="s">
        <v>92</v>
      </c>
      <c r="B64" s="40" t="s">
        <v>186</v>
      </c>
      <c r="C64" s="40" t="s">
        <v>732</v>
      </c>
      <c r="D64" s="40" t="s">
        <v>731</v>
      </c>
      <c r="E64" s="40" t="s">
        <v>2748</v>
      </c>
      <c r="F64" s="41">
        <v>13.0</v>
      </c>
      <c r="G64" s="41">
        <v>151600.0</v>
      </c>
      <c r="H64" s="41">
        <v>5520.0</v>
      </c>
    </row>
    <row r="65" ht="15.75" customHeight="1">
      <c r="A65" s="40" t="s">
        <v>92</v>
      </c>
      <c r="B65" s="40" t="s">
        <v>117</v>
      </c>
      <c r="C65" s="40" t="s">
        <v>732</v>
      </c>
      <c r="D65" s="40" t="s">
        <v>731</v>
      </c>
      <c r="E65" s="40" t="s">
        <v>2750</v>
      </c>
      <c r="F65" s="41">
        <v>12.0</v>
      </c>
      <c r="G65" s="41">
        <v>144050.0</v>
      </c>
      <c r="H65" s="41">
        <v>17440.0</v>
      </c>
    </row>
    <row r="66" ht="15.75" customHeight="1">
      <c r="A66" s="40" t="s">
        <v>92</v>
      </c>
      <c r="B66" s="40" t="s">
        <v>174</v>
      </c>
      <c r="C66" s="40" t="s">
        <v>280</v>
      </c>
      <c r="D66" s="40" t="s">
        <v>279</v>
      </c>
      <c r="E66" s="40" t="s">
        <v>2752</v>
      </c>
      <c r="F66" s="41">
        <v>5.0</v>
      </c>
      <c r="G66" s="41">
        <v>132000.0</v>
      </c>
      <c r="H66" s="41">
        <v>25800.0</v>
      </c>
    </row>
    <row r="67" ht="15.75" customHeight="1">
      <c r="A67" s="40" t="s">
        <v>92</v>
      </c>
      <c r="B67" s="40" t="s">
        <v>186</v>
      </c>
      <c r="C67" s="40" t="s">
        <v>161</v>
      </c>
      <c r="D67" s="40" t="s">
        <v>160</v>
      </c>
      <c r="E67" s="40" t="s">
        <v>2753</v>
      </c>
      <c r="F67" s="41">
        <v>3.0</v>
      </c>
      <c r="G67" s="41">
        <v>114000.0</v>
      </c>
      <c r="H67" s="41">
        <v>22800.0</v>
      </c>
    </row>
    <row r="68" ht="15.75" customHeight="1">
      <c r="A68" s="40" t="s">
        <v>92</v>
      </c>
      <c r="B68" s="40" t="s">
        <v>117</v>
      </c>
      <c r="C68" s="40" t="s">
        <v>280</v>
      </c>
      <c r="D68" s="40" t="s">
        <v>279</v>
      </c>
      <c r="E68" s="40" t="s">
        <v>2755</v>
      </c>
      <c r="F68" s="41">
        <v>7.0</v>
      </c>
      <c r="G68" s="41">
        <v>111600.0</v>
      </c>
      <c r="H68" s="41">
        <v>10520.0</v>
      </c>
    </row>
    <row r="69" ht="15.75" customHeight="1">
      <c r="A69" s="40" t="s">
        <v>92</v>
      </c>
      <c r="B69" s="40" t="s">
        <v>186</v>
      </c>
      <c r="C69" s="40" t="s">
        <v>2292</v>
      </c>
      <c r="D69" s="40" t="s">
        <v>2291</v>
      </c>
      <c r="E69" s="40" t="s">
        <v>2757</v>
      </c>
      <c r="F69" s="41">
        <v>3.0</v>
      </c>
      <c r="G69" s="41">
        <v>105000.0</v>
      </c>
      <c r="H69" s="41">
        <v>0.0</v>
      </c>
    </row>
    <row r="70" ht="15.75" customHeight="1">
      <c r="A70" s="40" t="s">
        <v>92</v>
      </c>
      <c r="B70" s="40" t="s">
        <v>186</v>
      </c>
      <c r="C70" s="40" t="s">
        <v>256</v>
      </c>
      <c r="D70" s="40" t="s">
        <v>255</v>
      </c>
      <c r="E70" s="40" t="s">
        <v>2759</v>
      </c>
      <c r="F70" s="41">
        <v>2.0</v>
      </c>
      <c r="G70" s="41">
        <v>85400.0</v>
      </c>
      <c r="H70" s="41">
        <v>17080.0</v>
      </c>
    </row>
    <row r="71" ht="15.75" customHeight="1">
      <c r="A71" s="40" t="s">
        <v>92</v>
      </c>
      <c r="B71" s="40" t="s">
        <v>117</v>
      </c>
      <c r="C71" s="40" t="s">
        <v>280</v>
      </c>
      <c r="D71" s="40" t="s">
        <v>279</v>
      </c>
      <c r="E71" s="40" t="s">
        <v>2761</v>
      </c>
      <c r="F71" s="41">
        <v>4.0</v>
      </c>
      <c r="G71" s="41">
        <v>81600.0</v>
      </c>
      <c r="H71" s="41">
        <v>12240.0</v>
      </c>
    </row>
    <row r="72" ht="15.75" customHeight="1">
      <c r="A72" s="40" t="s">
        <v>92</v>
      </c>
      <c r="B72" s="40" t="s">
        <v>117</v>
      </c>
      <c r="C72" s="40" t="s">
        <v>280</v>
      </c>
      <c r="D72" s="40" t="s">
        <v>279</v>
      </c>
      <c r="E72" s="40" t="s">
        <v>2763</v>
      </c>
      <c r="F72" s="41">
        <v>2.0</v>
      </c>
      <c r="G72" s="41">
        <v>79600.0</v>
      </c>
      <c r="H72" s="41">
        <v>7960.0</v>
      </c>
    </row>
    <row r="73" ht="15.75" customHeight="1">
      <c r="A73" s="40" t="s">
        <v>92</v>
      </c>
      <c r="B73" s="40" t="s">
        <v>186</v>
      </c>
      <c r="C73" s="40" t="s">
        <v>2605</v>
      </c>
      <c r="D73" s="40" t="s">
        <v>2604</v>
      </c>
      <c r="E73" s="40" t="s">
        <v>2765</v>
      </c>
      <c r="F73" s="41">
        <v>3.0</v>
      </c>
      <c r="G73" s="41">
        <v>77400.0</v>
      </c>
      <c r="H73" s="41">
        <v>0.0</v>
      </c>
    </row>
    <row r="74" ht="15.75" customHeight="1">
      <c r="A74" s="40" t="s">
        <v>92</v>
      </c>
      <c r="B74" s="40" t="s">
        <v>117</v>
      </c>
      <c r="C74" s="40" t="s">
        <v>732</v>
      </c>
      <c r="D74" s="40" t="s">
        <v>731</v>
      </c>
      <c r="E74" s="40" t="s">
        <v>2767</v>
      </c>
      <c r="F74" s="41">
        <v>3.0</v>
      </c>
      <c r="G74" s="41">
        <v>53400.0</v>
      </c>
      <c r="H74" s="41">
        <v>7120.0</v>
      </c>
    </row>
    <row r="75" ht="15.75" customHeight="1">
      <c r="A75" s="40" t="s">
        <v>92</v>
      </c>
      <c r="B75" s="40" t="s">
        <v>186</v>
      </c>
      <c r="C75" s="40" t="s">
        <v>268</v>
      </c>
      <c r="D75" s="40" t="s">
        <v>267</v>
      </c>
      <c r="E75" s="40" t="s">
        <v>2769</v>
      </c>
      <c r="F75" s="41">
        <v>3.0</v>
      </c>
      <c r="G75" s="41">
        <v>45620.0</v>
      </c>
      <c r="H75" s="41">
        <v>3380.0</v>
      </c>
    </row>
    <row r="76" ht="15.75" customHeight="1">
      <c r="A76" s="40" t="s">
        <v>92</v>
      </c>
      <c r="B76" s="40" t="s">
        <v>117</v>
      </c>
      <c r="C76" s="40" t="s">
        <v>179</v>
      </c>
      <c r="D76" s="40" t="s">
        <v>178</v>
      </c>
      <c r="E76" s="40" t="s">
        <v>2771</v>
      </c>
      <c r="F76" s="41">
        <v>1.0</v>
      </c>
      <c r="G76" s="41">
        <v>43200.0</v>
      </c>
      <c r="H76" s="41">
        <v>8640.0</v>
      </c>
    </row>
    <row r="77" ht="15.75" customHeight="1">
      <c r="A77" s="40" t="s">
        <v>92</v>
      </c>
      <c r="B77" s="40" t="s">
        <v>186</v>
      </c>
      <c r="C77" s="40" t="s">
        <v>1870</v>
      </c>
      <c r="D77" s="40" t="s">
        <v>1869</v>
      </c>
      <c r="E77" s="40" t="s">
        <v>2773</v>
      </c>
      <c r="F77" s="41">
        <v>3.0</v>
      </c>
      <c r="G77" s="41">
        <v>39000.0</v>
      </c>
      <c r="H77" s="41">
        <v>0.0</v>
      </c>
    </row>
    <row r="78" ht="15.75" customHeight="1">
      <c r="A78" s="40" t="s">
        <v>92</v>
      </c>
      <c r="B78" s="40" t="s">
        <v>186</v>
      </c>
      <c r="C78" s="40" t="s">
        <v>268</v>
      </c>
      <c r="D78" s="40" t="s">
        <v>267</v>
      </c>
      <c r="E78" s="40" t="s">
        <v>2775</v>
      </c>
      <c r="F78" s="41">
        <v>2.0</v>
      </c>
      <c r="G78" s="41">
        <v>34000.0</v>
      </c>
      <c r="H78" s="41">
        <v>4400.0</v>
      </c>
    </row>
    <row r="79" ht="15.75" customHeight="1">
      <c r="A79" s="40" t="s">
        <v>92</v>
      </c>
      <c r="B79" s="40" t="s">
        <v>117</v>
      </c>
      <c r="C79" s="40" t="s">
        <v>732</v>
      </c>
      <c r="D79" s="40" t="s">
        <v>731</v>
      </c>
      <c r="E79" s="40" t="s">
        <v>2777</v>
      </c>
      <c r="F79" s="41">
        <v>1.0</v>
      </c>
      <c r="G79" s="41">
        <v>32900.0</v>
      </c>
      <c r="H79" s="41">
        <v>0.0</v>
      </c>
    </row>
    <row r="80" ht="15.75" customHeight="1">
      <c r="A80" s="40" t="s">
        <v>92</v>
      </c>
      <c r="B80" s="40" t="s">
        <v>186</v>
      </c>
      <c r="C80" s="40" t="s">
        <v>280</v>
      </c>
      <c r="D80" s="40" t="s">
        <v>279</v>
      </c>
      <c r="E80" s="40" t="s">
        <v>2779</v>
      </c>
      <c r="F80" s="41">
        <v>2.0</v>
      </c>
      <c r="G80" s="41">
        <v>31800.0</v>
      </c>
      <c r="H80" s="41">
        <v>0.0</v>
      </c>
    </row>
    <row r="81" ht="15.75" customHeight="1">
      <c r="A81" s="40" t="s">
        <v>92</v>
      </c>
      <c r="B81" s="40" t="s">
        <v>117</v>
      </c>
      <c r="C81" s="40" t="s">
        <v>218</v>
      </c>
      <c r="D81" s="40" t="s">
        <v>217</v>
      </c>
      <c r="E81" s="40" t="s">
        <v>2780</v>
      </c>
      <c r="F81" s="41">
        <v>2.0</v>
      </c>
      <c r="G81" s="41">
        <v>23400.0</v>
      </c>
      <c r="H81" s="41">
        <v>2340.0</v>
      </c>
    </row>
    <row r="82" ht="15.75" customHeight="1">
      <c r="A82" s="40" t="s">
        <v>92</v>
      </c>
      <c r="B82" s="40" t="s">
        <v>117</v>
      </c>
      <c r="C82" s="40" t="s">
        <v>280</v>
      </c>
      <c r="D82" s="40" t="s">
        <v>279</v>
      </c>
      <c r="E82" s="40" t="s">
        <v>2782</v>
      </c>
      <c r="F82" s="41">
        <v>1.0</v>
      </c>
      <c r="G82" s="41">
        <v>17800.0</v>
      </c>
      <c r="H82" s="41">
        <v>3560.0</v>
      </c>
    </row>
    <row r="83" ht="15.75" customHeight="1">
      <c r="A83" s="40" t="s">
        <v>92</v>
      </c>
      <c r="B83" s="40" t="s">
        <v>117</v>
      </c>
      <c r="C83" s="40" t="s">
        <v>732</v>
      </c>
      <c r="D83" s="40" t="s">
        <v>731</v>
      </c>
      <c r="E83" s="40" t="s">
        <v>2785</v>
      </c>
      <c r="F83" s="41">
        <v>1.0</v>
      </c>
      <c r="G83" s="41">
        <v>16800.0</v>
      </c>
      <c r="H83" s="41">
        <v>3360.0</v>
      </c>
    </row>
    <row r="84" ht="15.75" customHeight="1">
      <c r="A84" s="40" t="s">
        <v>92</v>
      </c>
      <c r="B84" s="40" t="s">
        <v>186</v>
      </c>
      <c r="C84" s="40" t="s">
        <v>179</v>
      </c>
      <c r="D84" s="40" t="s">
        <v>178</v>
      </c>
      <c r="E84" s="40" t="s">
        <v>2787</v>
      </c>
      <c r="F84" s="41">
        <v>1.0</v>
      </c>
      <c r="G84" s="41">
        <v>14950.0</v>
      </c>
      <c r="H84" s="41">
        <v>2990.0</v>
      </c>
    </row>
    <row r="85" ht="15.75" customHeight="1">
      <c r="A85" s="40" t="s">
        <v>92</v>
      </c>
      <c r="B85" s="40" t="s">
        <v>117</v>
      </c>
      <c r="C85" s="40" t="s">
        <v>218</v>
      </c>
      <c r="D85" s="40" t="s">
        <v>217</v>
      </c>
      <c r="E85" s="40" t="s">
        <v>2789</v>
      </c>
      <c r="F85" s="41">
        <v>1.0</v>
      </c>
      <c r="G85" s="41">
        <v>14900.0</v>
      </c>
      <c r="H85" s="41">
        <v>2980.0</v>
      </c>
    </row>
    <row r="86" ht="15.75" customHeight="1">
      <c r="A86" s="40" t="s">
        <v>92</v>
      </c>
      <c r="B86" s="40" t="s">
        <v>117</v>
      </c>
      <c r="C86" s="40" t="s">
        <v>179</v>
      </c>
      <c r="D86" s="40" t="s">
        <v>178</v>
      </c>
      <c r="E86" s="40" t="s">
        <v>2791</v>
      </c>
      <c r="F86" s="41">
        <v>1.0</v>
      </c>
      <c r="G86" s="41">
        <v>11000.0</v>
      </c>
      <c r="H86" s="41">
        <v>0.0</v>
      </c>
    </row>
    <row r="87" ht="15.75" customHeight="1">
      <c r="A87" s="40" t="s">
        <v>31</v>
      </c>
      <c r="B87" s="40" t="s">
        <v>186</v>
      </c>
      <c r="C87" s="40" t="s">
        <v>2124</v>
      </c>
      <c r="D87" s="40" t="s">
        <v>2123</v>
      </c>
      <c r="E87" s="40" t="s">
        <v>2636</v>
      </c>
      <c r="F87" s="41">
        <v>321.0</v>
      </c>
      <c r="G87" s="41">
        <v>2171900.0</v>
      </c>
      <c r="H87" s="41">
        <v>253520.0</v>
      </c>
    </row>
    <row r="88" ht="15.75" customHeight="1">
      <c r="A88" s="40" t="s">
        <v>31</v>
      </c>
      <c r="B88" s="40" t="s">
        <v>186</v>
      </c>
      <c r="C88" s="40" t="s">
        <v>2124</v>
      </c>
      <c r="D88" s="40" t="s">
        <v>2123</v>
      </c>
      <c r="E88" s="40" t="s">
        <v>2638</v>
      </c>
      <c r="F88" s="41">
        <v>632.0</v>
      </c>
      <c r="G88" s="41">
        <v>4126500.0</v>
      </c>
      <c r="H88" s="41">
        <v>453668.0</v>
      </c>
    </row>
    <row r="89" ht="15.75" customHeight="1">
      <c r="A89" s="40" t="s">
        <v>31</v>
      </c>
      <c r="B89" s="40" t="s">
        <v>186</v>
      </c>
      <c r="C89" s="40" t="s">
        <v>2124</v>
      </c>
      <c r="D89" s="40" t="s">
        <v>2123</v>
      </c>
      <c r="E89" s="40" t="s">
        <v>2640</v>
      </c>
      <c r="F89" s="41">
        <v>107.0</v>
      </c>
      <c r="G89" s="41">
        <v>1893000.0</v>
      </c>
      <c r="H89" s="41">
        <v>217455.0</v>
      </c>
    </row>
    <row r="90" ht="15.75" customHeight="1">
      <c r="A90" s="40" t="s">
        <v>31</v>
      </c>
      <c r="B90" s="40" t="s">
        <v>186</v>
      </c>
      <c r="C90" s="40" t="s">
        <v>189</v>
      </c>
      <c r="D90" s="40" t="s">
        <v>188</v>
      </c>
      <c r="E90" s="40" t="s">
        <v>2642</v>
      </c>
      <c r="F90" s="41">
        <v>6.0</v>
      </c>
      <c r="G90" s="41">
        <v>208400.0</v>
      </c>
      <c r="H90" s="41">
        <v>35006.0</v>
      </c>
    </row>
    <row r="91" ht="15.75" customHeight="1">
      <c r="A91" s="40" t="s">
        <v>31</v>
      </c>
      <c r="B91" s="40" t="s">
        <v>117</v>
      </c>
      <c r="C91" s="40" t="s">
        <v>189</v>
      </c>
      <c r="D91" s="40" t="s">
        <v>188</v>
      </c>
      <c r="E91" s="40" t="s">
        <v>2644</v>
      </c>
      <c r="F91" s="41">
        <v>5.0</v>
      </c>
      <c r="G91" s="41">
        <v>69500.0</v>
      </c>
      <c r="H91" s="41">
        <v>7282.0</v>
      </c>
    </row>
    <row r="92" ht="15.75" customHeight="1">
      <c r="A92" s="40" t="s">
        <v>31</v>
      </c>
      <c r="B92" s="40" t="s">
        <v>117</v>
      </c>
      <c r="C92" s="40" t="s">
        <v>189</v>
      </c>
      <c r="D92" s="40" t="s">
        <v>188</v>
      </c>
      <c r="E92" s="40" t="s">
        <v>2646</v>
      </c>
      <c r="F92" s="41">
        <v>2.0</v>
      </c>
      <c r="G92" s="41">
        <v>41800.0</v>
      </c>
      <c r="H92" s="41">
        <v>2590.0</v>
      </c>
    </row>
    <row r="93" ht="15.75" customHeight="1">
      <c r="A93" s="40" t="s">
        <v>31</v>
      </c>
      <c r="B93" s="40" t="s">
        <v>186</v>
      </c>
      <c r="C93" s="40" t="s">
        <v>189</v>
      </c>
      <c r="D93" s="40" t="s">
        <v>188</v>
      </c>
      <c r="E93" s="40" t="s">
        <v>2648</v>
      </c>
      <c r="F93" s="41">
        <v>13.0</v>
      </c>
      <c r="G93" s="41">
        <v>136500.0</v>
      </c>
      <c r="H93" s="41">
        <v>13102.0</v>
      </c>
    </row>
    <row r="94" ht="15.75" customHeight="1">
      <c r="A94" s="40" t="s">
        <v>31</v>
      </c>
      <c r="B94" s="40" t="s">
        <v>186</v>
      </c>
      <c r="C94" s="40" t="s">
        <v>189</v>
      </c>
      <c r="D94" s="40" t="s">
        <v>188</v>
      </c>
      <c r="E94" s="40" t="s">
        <v>2650</v>
      </c>
      <c r="F94" s="41">
        <v>0.0</v>
      </c>
      <c r="G94" s="41">
        <v>0.0</v>
      </c>
      <c r="H94" s="41">
        <v>0.0</v>
      </c>
    </row>
    <row r="95" ht="15.75" customHeight="1">
      <c r="A95" s="40" t="s">
        <v>31</v>
      </c>
      <c r="B95" s="40" t="s">
        <v>186</v>
      </c>
      <c r="C95" s="40" t="s">
        <v>2652</v>
      </c>
      <c r="D95" s="40" t="s">
        <v>948</v>
      </c>
      <c r="E95" s="40" t="s">
        <v>2653</v>
      </c>
      <c r="F95" s="41">
        <v>1001.0</v>
      </c>
      <c r="G95" s="41">
        <v>2402400.0</v>
      </c>
      <c r="H95" s="41">
        <v>151472.0</v>
      </c>
    </row>
    <row r="96" ht="15.75" customHeight="1">
      <c r="A96" s="40" t="s">
        <v>31</v>
      </c>
      <c r="B96" s="40" t="s">
        <v>186</v>
      </c>
      <c r="C96" s="40" t="s">
        <v>2652</v>
      </c>
      <c r="D96" s="40" t="s">
        <v>948</v>
      </c>
      <c r="E96" s="40" t="s">
        <v>2655</v>
      </c>
      <c r="F96" s="41">
        <v>581.0</v>
      </c>
      <c r="G96" s="41">
        <v>1336300.0</v>
      </c>
      <c r="H96" s="41">
        <v>77280.0</v>
      </c>
    </row>
    <row r="97" ht="15.75" customHeight="1">
      <c r="A97" s="40" t="s">
        <v>31</v>
      </c>
      <c r="B97" s="40" t="s">
        <v>186</v>
      </c>
      <c r="C97" s="40" t="s">
        <v>2652</v>
      </c>
      <c r="D97" s="40" t="s">
        <v>948</v>
      </c>
      <c r="E97" s="40" t="s">
        <v>2657</v>
      </c>
      <c r="F97" s="41">
        <v>438.0</v>
      </c>
      <c r="G97" s="41">
        <v>1095000.0</v>
      </c>
      <c r="H97" s="41">
        <v>57500.0</v>
      </c>
    </row>
    <row r="98" ht="15.75" customHeight="1">
      <c r="A98" s="40" t="s">
        <v>31</v>
      </c>
      <c r="B98" s="40" t="s">
        <v>186</v>
      </c>
      <c r="C98" s="40" t="s">
        <v>2652</v>
      </c>
      <c r="D98" s="40" t="s">
        <v>948</v>
      </c>
      <c r="E98" s="40" t="s">
        <v>2659</v>
      </c>
      <c r="F98" s="41">
        <v>498.0</v>
      </c>
      <c r="G98" s="41">
        <v>1394400.0</v>
      </c>
      <c r="H98" s="41">
        <v>87678.0</v>
      </c>
    </row>
    <row r="99" ht="15.75" customHeight="1">
      <c r="A99" s="40" t="s">
        <v>31</v>
      </c>
      <c r="B99" s="40" t="s">
        <v>186</v>
      </c>
      <c r="C99" s="40" t="s">
        <v>2652</v>
      </c>
      <c r="D99" s="40" t="s">
        <v>948</v>
      </c>
      <c r="E99" s="40" t="s">
        <v>2661</v>
      </c>
      <c r="F99" s="41">
        <v>782.0</v>
      </c>
      <c r="G99" s="41">
        <v>2189600.0</v>
      </c>
      <c r="H99" s="41">
        <v>141438.0</v>
      </c>
    </row>
    <row r="100" ht="15.75" customHeight="1">
      <c r="A100" s="40" t="s">
        <v>31</v>
      </c>
      <c r="B100" s="40" t="s">
        <v>186</v>
      </c>
      <c r="C100" s="40" t="s">
        <v>2652</v>
      </c>
      <c r="D100" s="40" t="s">
        <v>948</v>
      </c>
      <c r="E100" s="40" t="s">
        <v>2663</v>
      </c>
      <c r="F100" s="41">
        <v>690.0</v>
      </c>
      <c r="G100" s="41">
        <v>2415000.0</v>
      </c>
      <c r="H100" s="41">
        <v>139697.0</v>
      </c>
    </row>
    <row r="101" ht="15.75" customHeight="1">
      <c r="A101" s="40" t="s">
        <v>31</v>
      </c>
      <c r="B101" s="40" t="s">
        <v>186</v>
      </c>
      <c r="C101" s="40" t="s">
        <v>2652</v>
      </c>
      <c r="D101" s="40" t="s">
        <v>948</v>
      </c>
      <c r="E101" s="40" t="s">
        <v>2665</v>
      </c>
      <c r="F101" s="41">
        <v>519.0</v>
      </c>
      <c r="G101" s="41">
        <v>918630.0</v>
      </c>
      <c r="H101" s="41">
        <v>51181.0</v>
      </c>
    </row>
    <row r="102" ht="15.75" customHeight="1">
      <c r="A102" s="40" t="s">
        <v>31</v>
      </c>
      <c r="B102" s="40" t="s">
        <v>186</v>
      </c>
      <c r="C102" s="40" t="s">
        <v>2652</v>
      </c>
      <c r="D102" s="40" t="s">
        <v>948</v>
      </c>
      <c r="E102" s="40" t="s">
        <v>2667</v>
      </c>
      <c r="F102" s="41">
        <v>324.0</v>
      </c>
      <c r="G102" s="41">
        <v>874800.0</v>
      </c>
      <c r="H102" s="41">
        <v>33246.0</v>
      </c>
    </row>
    <row r="103" ht="15.75" customHeight="1">
      <c r="A103" s="40" t="s">
        <v>31</v>
      </c>
      <c r="B103" s="40" t="s">
        <v>186</v>
      </c>
      <c r="C103" s="40" t="s">
        <v>2652</v>
      </c>
      <c r="D103" s="40" t="s">
        <v>948</v>
      </c>
      <c r="E103" s="40" t="s">
        <v>2669</v>
      </c>
      <c r="F103" s="41">
        <v>355.0</v>
      </c>
      <c r="G103" s="41">
        <v>1029500.0</v>
      </c>
      <c r="H103" s="41">
        <v>56589.0</v>
      </c>
    </row>
    <row r="104" ht="15.75" customHeight="1">
      <c r="A104" s="40" t="s">
        <v>31</v>
      </c>
      <c r="B104" s="40" t="s">
        <v>186</v>
      </c>
      <c r="C104" s="40" t="s">
        <v>2652</v>
      </c>
      <c r="D104" s="40" t="s">
        <v>948</v>
      </c>
      <c r="E104" s="40" t="s">
        <v>2671</v>
      </c>
      <c r="F104" s="41">
        <v>517.0</v>
      </c>
      <c r="G104" s="41">
        <v>1240800.0</v>
      </c>
      <c r="H104" s="41">
        <v>70080.0</v>
      </c>
    </row>
    <row r="105" ht="15.75" customHeight="1">
      <c r="A105" s="40" t="s">
        <v>31</v>
      </c>
      <c r="B105" s="40" t="s">
        <v>174</v>
      </c>
      <c r="C105" s="40" t="s">
        <v>2652</v>
      </c>
      <c r="D105" s="40" t="s">
        <v>948</v>
      </c>
      <c r="E105" s="40" t="s">
        <v>2673</v>
      </c>
      <c r="F105" s="41">
        <v>385.0</v>
      </c>
      <c r="G105" s="41">
        <v>1886500.0</v>
      </c>
      <c r="H105" s="41">
        <v>110740.0</v>
      </c>
    </row>
    <row r="106" ht="15.75" customHeight="1">
      <c r="A106" s="40" t="s">
        <v>31</v>
      </c>
      <c r="B106" s="40" t="s">
        <v>174</v>
      </c>
      <c r="C106" s="40" t="s">
        <v>2652</v>
      </c>
      <c r="D106" s="40" t="s">
        <v>948</v>
      </c>
      <c r="E106" s="40" t="s">
        <v>2674</v>
      </c>
      <c r="F106" s="41">
        <v>213.0</v>
      </c>
      <c r="G106" s="41">
        <v>1562200.0</v>
      </c>
      <c r="H106" s="41">
        <v>140380.0</v>
      </c>
    </row>
    <row r="107" ht="15.75" customHeight="1">
      <c r="A107" s="40" t="s">
        <v>31</v>
      </c>
      <c r="B107" s="40" t="s">
        <v>186</v>
      </c>
      <c r="C107" s="40" t="s">
        <v>2676</v>
      </c>
      <c r="D107" s="40" t="s">
        <v>1590</v>
      </c>
      <c r="E107" s="40" t="s">
        <v>2677</v>
      </c>
      <c r="F107" s="41">
        <v>30.0</v>
      </c>
      <c r="G107" s="41">
        <v>450000.0</v>
      </c>
      <c r="H107" s="41">
        <v>90000.0</v>
      </c>
    </row>
    <row r="108" ht="15.75" customHeight="1">
      <c r="A108" s="40" t="s">
        <v>31</v>
      </c>
      <c r="B108" s="40" t="s">
        <v>186</v>
      </c>
      <c r="C108" s="40" t="s">
        <v>2676</v>
      </c>
      <c r="D108" s="40" t="s">
        <v>1590</v>
      </c>
      <c r="E108" s="40" t="s">
        <v>2679</v>
      </c>
      <c r="F108" s="41">
        <v>0.0</v>
      </c>
      <c r="G108" s="41">
        <v>0.0</v>
      </c>
      <c r="H108" s="41">
        <v>0.0</v>
      </c>
    </row>
    <row r="109" ht="15.75" customHeight="1">
      <c r="A109" s="40" t="s">
        <v>31</v>
      </c>
      <c r="B109" s="40" t="s">
        <v>186</v>
      </c>
      <c r="C109" s="40" t="s">
        <v>1868</v>
      </c>
      <c r="D109" s="40" t="s">
        <v>1867</v>
      </c>
      <c r="E109" s="40" t="s">
        <v>2681</v>
      </c>
      <c r="F109" s="41">
        <v>68.0</v>
      </c>
      <c r="G109" s="41">
        <v>1780800.0</v>
      </c>
      <c r="H109" s="41">
        <v>182096.0</v>
      </c>
    </row>
    <row r="110" ht="15.75" customHeight="1">
      <c r="A110" s="40" t="s">
        <v>31</v>
      </c>
      <c r="B110" s="40" t="s">
        <v>186</v>
      </c>
      <c r="C110" s="40" t="s">
        <v>1868</v>
      </c>
      <c r="D110" s="40" t="s">
        <v>1867</v>
      </c>
      <c r="E110" s="40" t="s">
        <v>2683</v>
      </c>
      <c r="F110" s="41">
        <v>86.0</v>
      </c>
      <c r="G110" s="41">
        <v>2387100.0</v>
      </c>
      <c r="H110" s="41">
        <v>250880.0</v>
      </c>
    </row>
    <row r="111" ht="15.75" customHeight="1">
      <c r="A111" s="40" t="s">
        <v>31</v>
      </c>
      <c r="B111" s="40" t="s">
        <v>186</v>
      </c>
      <c r="C111" s="40" t="s">
        <v>1868</v>
      </c>
      <c r="D111" s="40" t="s">
        <v>1867</v>
      </c>
      <c r="E111" s="40" t="s">
        <v>2685</v>
      </c>
      <c r="F111" s="41">
        <v>31.0</v>
      </c>
      <c r="G111" s="41">
        <v>682000.0</v>
      </c>
      <c r="H111" s="41">
        <v>93600.0</v>
      </c>
    </row>
    <row r="112" ht="15.75" customHeight="1">
      <c r="A112" s="40" t="s">
        <v>31</v>
      </c>
      <c r="B112" s="40" t="s">
        <v>186</v>
      </c>
      <c r="C112" s="40" t="s">
        <v>1868</v>
      </c>
      <c r="D112" s="40" t="s">
        <v>1867</v>
      </c>
      <c r="E112" s="40" t="s">
        <v>2687</v>
      </c>
      <c r="F112" s="41">
        <v>25.0</v>
      </c>
      <c r="G112" s="41">
        <v>645000.0</v>
      </c>
      <c r="H112" s="41">
        <v>81920.0</v>
      </c>
    </row>
    <row r="113" ht="15.75" customHeight="1">
      <c r="A113" s="40" t="s">
        <v>31</v>
      </c>
      <c r="B113" s="40" t="s">
        <v>186</v>
      </c>
      <c r="C113" s="40" t="s">
        <v>1868</v>
      </c>
      <c r="D113" s="40" t="s">
        <v>1867</v>
      </c>
      <c r="E113" s="40" t="s">
        <v>2689</v>
      </c>
      <c r="F113" s="41">
        <v>26.0</v>
      </c>
      <c r="G113" s="41">
        <v>468000.0</v>
      </c>
      <c r="H113" s="41">
        <v>63856.0</v>
      </c>
    </row>
    <row r="114" ht="15.75" customHeight="1">
      <c r="A114" s="40" t="s">
        <v>31</v>
      </c>
      <c r="B114" s="40" t="s">
        <v>186</v>
      </c>
      <c r="C114" s="40" t="s">
        <v>1868</v>
      </c>
      <c r="D114" s="40" t="s">
        <v>1867</v>
      </c>
      <c r="E114" s="40" t="s">
        <v>2691</v>
      </c>
      <c r="F114" s="41">
        <v>33.0</v>
      </c>
      <c r="G114" s="41">
        <v>620400.0</v>
      </c>
      <c r="H114" s="41">
        <v>66694.0</v>
      </c>
    </row>
    <row r="115" ht="15.75" customHeight="1">
      <c r="A115" s="40" t="s">
        <v>31</v>
      </c>
      <c r="B115" s="40" t="s">
        <v>117</v>
      </c>
      <c r="C115" s="40" t="s">
        <v>1865</v>
      </c>
      <c r="D115" s="40" t="s">
        <v>1864</v>
      </c>
      <c r="E115" s="40" t="s">
        <v>2692</v>
      </c>
      <c r="F115" s="41">
        <v>1320.0</v>
      </c>
      <c r="G115" s="41">
        <v>7.86953E7</v>
      </c>
      <c r="H115" s="41">
        <v>274027.0</v>
      </c>
    </row>
    <row r="116" ht="15.75" customHeight="1">
      <c r="A116" s="40" t="s">
        <v>31</v>
      </c>
      <c r="B116" s="40" t="s">
        <v>117</v>
      </c>
      <c r="C116" s="40" t="s">
        <v>1865</v>
      </c>
      <c r="D116" s="40" t="s">
        <v>1864</v>
      </c>
      <c r="E116" s="40" t="s">
        <v>2693</v>
      </c>
      <c r="F116" s="41">
        <v>5165.0</v>
      </c>
      <c r="G116" s="41">
        <v>1.3054836E8</v>
      </c>
      <c r="H116" s="41">
        <v>206624.0</v>
      </c>
    </row>
    <row r="117" ht="15.75" customHeight="1">
      <c r="A117" s="40" t="s">
        <v>31</v>
      </c>
      <c r="B117" s="40" t="s">
        <v>117</v>
      </c>
      <c r="C117" s="40" t="s">
        <v>1865</v>
      </c>
      <c r="D117" s="40" t="s">
        <v>1864</v>
      </c>
      <c r="E117" s="40" t="s">
        <v>2694</v>
      </c>
      <c r="F117" s="41">
        <v>2020.0</v>
      </c>
      <c r="G117" s="41">
        <v>2.718732E7</v>
      </c>
      <c r="H117" s="41">
        <v>163164.0</v>
      </c>
    </row>
    <row r="118" ht="15.75" customHeight="1">
      <c r="A118" s="40" t="s">
        <v>31</v>
      </c>
      <c r="B118" s="40" t="s">
        <v>117</v>
      </c>
      <c r="C118" s="40" t="s">
        <v>1865</v>
      </c>
      <c r="D118" s="40" t="s">
        <v>1864</v>
      </c>
      <c r="E118" s="40" t="s">
        <v>2695</v>
      </c>
      <c r="F118" s="41">
        <v>850.0</v>
      </c>
      <c r="G118" s="41">
        <v>2.114208E7</v>
      </c>
      <c r="H118" s="41">
        <v>115523.0</v>
      </c>
    </row>
    <row r="119" ht="15.75" customHeight="1">
      <c r="A119" s="40" t="s">
        <v>31</v>
      </c>
      <c r="B119" s="40" t="s">
        <v>117</v>
      </c>
      <c r="C119" s="40" t="s">
        <v>1865</v>
      </c>
      <c r="D119" s="40" t="s">
        <v>1864</v>
      </c>
      <c r="E119" s="40" t="s">
        <v>2697</v>
      </c>
      <c r="F119" s="41">
        <v>438.0</v>
      </c>
      <c r="G119" s="41">
        <v>5895840.0</v>
      </c>
      <c r="H119" s="41">
        <v>32935.0</v>
      </c>
    </row>
    <row r="120" ht="15.75" customHeight="1">
      <c r="A120" s="40" t="s">
        <v>31</v>
      </c>
      <c r="B120" s="40" t="s">
        <v>117</v>
      </c>
      <c r="C120" s="40" t="s">
        <v>1865</v>
      </c>
      <c r="D120" s="40" t="s">
        <v>1864</v>
      </c>
      <c r="E120" s="40" t="s">
        <v>2699</v>
      </c>
      <c r="F120" s="41">
        <v>95.0</v>
      </c>
      <c r="G120" s="41">
        <v>3287400.0</v>
      </c>
      <c r="H120" s="41">
        <v>47280.0</v>
      </c>
    </row>
    <row r="121" ht="15.75" customHeight="1">
      <c r="A121" s="40" t="s">
        <v>31</v>
      </c>
      <c r="B121" s="40" t="s">
        <v>117</v>
      </c>
      <c r="C121" s="40" t="s">
        <v>1865</v>
      </c>
      <c r="D121" s="40" t="s">
        <v>1864</v>
      </c>
      <c r="E121" s="40" t="s">
        <v>2701</v>
      </c>
      <c r="F121" s="41">
        <v>317.0</v>
      </c>
      <c r="G121" s="41">
        <v>5452400.0</v>
      </c>
      <c r="H121" s="41">
        <v>33622.0</v>
      </c>
    </row>
    <row r="122" ht="15.75" customHeight="1">
      <c r="A122" s="40" t="s">
        <v>31</v>
      </c>
      <c r="B122" s="40" t="s">
        <v>117</v>
      </c>
      <c r="C122" s="40" t="s">
        <v>1865</v>
      </c>
      <c r="D122" s="40" t="s">
        <v>1864</v>
      </c>
      <c r="E122" s="40" t="s">
        <v>2703</v>
      </c>
      <c r="F122" s="41">
        <v>87.0</v>
      </c>
      <c r="G122" s="41">
        <v>2990000.0</v>
      </c>
      <c r="H122" s="41">
        <v>20400.0</v>
      </c>
    </row>
    <row r="123" ht="15.75" customHeight="1">
      <c r="A123" s="40" t="s">
        <v>31</v>
      </c>
      <c r="B123" s="40" t="s">
        <v>117</v>
      </c>
      <c r="C123" s="40" t="s">
        <v>1865</v>
      </c>
      <c r="D123" s="40" t="s">
        <v>1864</v>
      </c>
      <c r="E123" s="40" t="s">
        <v>2705</v>
      </c>
      <c r="F123" s="41">
        <v>610.0</v>
      </c>
      <c r="G123" s="41">
        <v>1.03197E7</v>
      </c>
      <c r="H123" s="41">
        <v>117320.0</v>
      </c>
    </row>
    <row r="124" ht="15.75" customHeight="1">
      <c r="A124" s="40" t="s">
        <v>31</v>
      </c>
      <c r="B124" s="40" t="s">
        <v>117</v>
      </c>
      <c r="C124" s="40" t="s">
        <v>1865</v>
      </c>
      <c r="D124" s="40" t="s">
        <v>1864</v>
      </c>
      <c r="E124" s="40" t="s">
        <v>2707</v>
      </c>
      <c r="F124" s="41">
        <v>365.0</v>
      </c>
      <c r="G124" s="41">
        <v>1.41985E7</v>
      </c>
      <c r="H124" s="41">
        <v>92514.0</v>
      </c>
    </row>
    <row r="125" ht="15.75" customHeight="1">
      <c r="A125" s="40" t="s">
        <v>31</v>
      </c>
      <c r="B125" s="40" t="s">
        <v>117</v>
      </c>
      <c r="C125" s="40" t="s">
        <v>1865</v>
      </c>
      <c r="D125" s="40" t="s">
        <v>1864</v>
      </c>
      <c r="E125" s="40" t="s">
        <v>2709</v>
      </c>
      <c r="F125" s="41">
        <v>455.0</v>
      </c>
      <c r="G125" s="41">
        <v>1.04195E7</v>
      </c>
      <c r="H125" s="41">
        <v>82440.0</v>
      </c>
    </row>
    <row r="126" ht="15.75" customHeight="1">
      <c r="A126" s="40" t="s">
        <v>31</v>
      </c>
      <c r="B126" s="40" t="s">
        <v>117</v>
      </c>
      <c r="C126" s="40" t="s">
        <v>2711</v>
      </c>
      <c r="D126" s="40" t="s">
        <v>244</v>
      </c>
      <c r="E126" s="40" t="s">
        <v>2712</v>
      </c>
      <c r="F126" s="41">
        <v>2645.0</v>
      </c>
      <c r="G126" s="41">
        <v>7866900.0</v>
      </c>
      <c r="H126" s="41">
        <v>464732.0</v>
      </c>
    </row>
    <row r="127" ht="15.75" customHeight="1">
      <c r="A127" s="40" t="s">
        <v>31</v>
      </c>
      <c r="B127" s="40" t="s">
        <v>117</v>
      </c>
      <c r="C127" s="40" t="s">
        <v>2711</v>
      </c>
      <c r="D127" s="40" t="s">
        <v>244</v>
      </c>
      <c r="E127" s="40" t="s">
        <v>2714</v>
      </c>
      <c r="F127" s="41">
        <v>392.0</v>
      </c>
      <c r="G127" s="41">
        <v>1746450.0</v>
      </c>
      <c r="H127" s="41">
        <v>115552.0</v>
      </c>
    </row>
    <row r="128" ht="15.75" customHeight="1">
      <c r="A128" s="40" t="s">
        <v>31</v>
      </c>
      <c r="B128" s="40" t="s">
        <v>117</v>
      </c>
      <c r="C128" s="40" t="s">
        <v>2711</v>
      </c>
      <c r="D128" s="40" t="s">
        <v>244</v>
      </c>
      <c r="E128" s="40" t="s">
        <v>2716</v>
      </c>
      <c r="F128" s="41">
        <v>2716.0</v>
      </c>
      <c r="G128" s="41">
        <v>6219640.0</v>
      </c>
      <c r="H128" s="41">
        <v>317394.0</v>
      </c>
    </row>
    <row r="129" ht="15.75" customHeight="1">
      <c r="A129" s="40" t="s">
        <v>31</v>
      </c>
      <c r="B129" s="40" t="s">
        <v>117</v>
      </c>
      <c r="C129" s="40" t="s">
        <v>2711</v>
      </c>
      <c r="D129" s="40" t="s">
        <v>244</v>
      </c>
      <c r="E129" s="40" t="s">
        <v>2718</v>
      </c>
      <c r="F129" s="41">
        <v>3577.0</v>
      </c>
      <c r="G129" s="41">
        <v>3863160.0</v>
      </c>
      <c r="H129" s="41">
        <v>181008.0</v>
      </c>
    </row>
    <row r="130" ht="15.75" customHeight="1">
      <c r="A130" s="40" t="s">
        <v>31</v>
      </c>
      <c r="B130" s="40" t="s">
        <v>186</v>
      </c>
      <c r="C130" s="40" t="s">
        <v>2720</v>
      </c>
      <c r="D130" s="40" t="s">
        <v>1803</v>
      </c>
      <c r="E130" s="40" t="s">
        <v>2721</v>
      </c>
      <c r="F130" s="41">
        <v>6.0</v>
      </c>
      <c r="G130" s="41">
        <v>156000.0</v>
      </c>
      <c r="H130" s="41">
        <v>31200.0</v>
      </c>
    </row>
    <row r="131" ht="15.75" customHeight="1">
      <c r="A131" s="40" t="s">
        <v>31</v>
      </c>
      <c r="B131" s="40" t="s">
        <v>186</v>
      </c>
      <c r="C131" s="40" t="s">
        <v>1492</v>
      </c>
      <c r="D131" s="40" t="s">
        <v>1491</v>
      </c>
      <c r="E131" s="40" t="s">
        <v>2723</v>
      </c>
      <c r="F131" s="41">
        <v>0.0</v>
      </c>
      <c r="G131" s="41">
        <v>0.0</v>
      </c>
      <c r="H131" s="41">
        <v>0.0</v>
      </c>
    </row>
    <row r="132" ht="15.75" customHeight="1">
      <c r="A132" s="40" t="s">
        <v>31</v>
      </c>
      <c r="B132" s="40" t="s">
        <v>186</v>
      </c>
      <c r="C132" s="40" t="s">
        <v>1492</v>
      </c>
      <c r="D132" s="40" t="s">
        <v>1491</v>
      </c>
      <c r="E132" s="40" t="s">
        <v>2725</v>
      </c>
      <c r="F132" s="41">
        <v>0.0</v>
      </c>
      <c r="G132" s="41">
        <v>0.0</v>
      </c>
      <c r="H132" s="41">
        <v>0.0</v>
      </c>
    </row>
    <row r="133" ht="15.75" customHeight="1">
      <c r="A133" s="40" t="s">
        <v>31</v>
      </c>
      <c r="B133" s="40" t="s">
        <v>186</v>
      </c>
      <c r="C133" s="40" t="s">
        <v>1492</v>
      </c>
      <c r="D133" s="40" t="s">
        <v>1491</v>
      </c>
      <c r="E133" s="40" t="s">
        <v>2727</v>
      </c>
      <c r="F133" s="41">
        <v>1.0</v>
      </c>
      <c r="G133" s="41">
        <v>18500.0</v>
      </c>
      <c r="H133" s="41">
        <v>3700.0</v>
      </c>
    </row>
    <row r="134" ht="15.75" customHeight="1">
      <c r="A134" s="40" t="s">
        <v>31</v>
      </c>
      <c r="B134" s="40" t="s">
        <v>186</v>
      </c>
      <c r="C134" s="40" t="s">
        <v>1492</v>
      </c>
      <c r="D134" s="40" t="s">
        <v>1491</v>
      </c>
      <c r="E134" s="40" t="s">
        <v>2728</v>
      </c>
      <c r="F134" s="41">
        <v>0.0</v>
      </c>
      <c r="G134" s="41">
        <v>0.0</v>
      </c>
      <c r="H134" s="41">
        <v>0.0</v>
      </c>
    </row>
    <row r="135" ht="15.75" customHeight="1">
      <c r="A135" s="40" t="s">
        <v>31</v>
      </c>
      <c r="B135" s="40" t="s">
        <v>186</v>
      </c>
      <c r="C135" s="40" t="s">
        <v>1492</v>
      </c>
      <c r="D135" s="40" t="s">
        <v>1491</v>
      </c>
      <c r="E135" s="40" t="s">
        <v>2732</v>
      </c>
      <c r="F135" s="41">
        <v>0.0</v>
      </c>
      <c r="G135" s="41">
        <v>0.0</v>
      </c>
      <c r="H135" s="41">
        <v>0.0</v>
      </c>
    </row>
    <row r="136" ht="15.75" customHeight="1">
      <c r="A136" s="40" t="s">
        <v>31</v>
      </c>
      <c r="B136" s="40" t="s">
        <v>186</v>
      </c>
      <c r="C136" s="40" t="s">
        <v>1492</v>
      </c>
      <c r="D136" s="40" t="s">
        <v>1491</v>
      </c>
      <c r="E136" s="40" t="s">
        <v>2734</v>
      </c>
      <c r="F136" s="41">
        <v>0.0</v>
      </c>
      <c r="G136" s="41">
        <v>0.0</v>
      </c>
      <c r="H136" s="41">
        <v>0.0</v>
      </c>
    </row>
    <row r="137" ht="15.75" customHeight="1">
      <c r="A137" s="40" t="s">
        <v>31</v>
      </c>
      <c r="B137" s="40" t="s">
        <v>186</v>
      </c>
      <c r="C137" s="40" t="s">
        <v>2736</v>
      </c>
      <c r="D137" s="40" t="s">
        <v>829</v>
      </c>
      <c r="E137" s="40" t="s">
        <v>2737</v>
      </c>
      <c r="F137" s="41">
        <v>373.0</v>
      </c>
      <c r="G137" s="41">
        <v>857900.0</v>
      </c>
      <c r="H137" s="41">
        <v>77226.0</v>
      </c>
    </row>
    <row r="138" ht="15.75" customHeight="1">
      <c r="A138" s="40" t="s">
        <v>31</v>
      </c>
      <c r="B138" s="40" t="s">
        <v>186</v>
      </c>
      <c r="C138" s="40" t="s">
        <v>2736</v>
      </c>
      <c r="D138" s="40" t="s">
        <v>829</v>
      </c>
      <c r="E138" s="40" t="s">
        <v>2739</v>
      </c>
      <c r="F138" s="41">
        <v>205.0</v>
      </c>
      <c r="G138" s="41">
        <v>471500.0</v>
      </c>
      <c r="H138" s="41">
        <v>38180.0</v>
      </c>
    </row>
    <row r="139" ht="15.75" customHeight="1">
      <c r="A139" s="40" t="s">
        <v>31</v>
      </c>
      <c r="B139" s="40" t="s">
        <v>186</v>
      </c>
      <c r="C139" s="40" t="s">
        <v>2736</v>
      </c>
      <c r="D139" s="40" t="s">
        <v>829</v>
      </c>
      <c r="E139" s="40" t="s">
        <v>2740</v>
      </c>
      <c r="F139" s="41">
        <v>215.0</v>
      </c>
      <c r="G139" s="41">
        <v>494500.0</v>
      </c>
      <c r="H139" s="41">
        <v>48300.0</v>
      </c>
    </row>
    <row r="140" ht="15.75" customHeight="1">
      <c r="A140" s="40" t="s">
        <v>31</v>
      </c>
      <c r="B140" s="40" t="s">
        <v>186</v>
      </c>
      <c r="C140" s="40" t="s">
        <v>2736</v>
      </c>
      <c r="D140" s="40" t="s">
        <v>829</v>
      </c>
      <c r="E140" s="40" t="s">
        <v>2742</v>
      </c>
      <c r="F140" s="41">
        <v>641.0</v>
      </c>
      <c r="G140" s="41">
        <v>1506350.0</v>
      </c>
      <c r="H140" s="41">
        <v>97290.0</v>
      </c>
    </row>
    <row r="141" ht="15.75" customHeight="1">
      <c r="A141" s="40" t="s">
        <v>31</v>
      </c>
      <c r="B141" s="40" t="s">
        <v>186</v>
      </c>
      <c r="C141" s="40" t="s">
        <v>2744</v>
      </c>
      <c r="D141" s="40" t="s">
        <v>541</v>
      </c>
      <c r="E141" s="40" t="s">
        <v>2745</v>
      </c>
      <c r="F141" s="41">
        <v>362.0</v>
      </c>
      <c r="G141" s="41">
        <v>7167600.0</v>
      </c>
      <c r="H141" s="41">
        <v>459360.0</v>
      </c>
    </row>
    <row r="142" ht="15.75" customHeight="1">
      <c r="A142" s="40" t="s">
        <v>31</v>
      </c>
      <c r="B142" s="40" t="s">
        <v>186</v>
      </c>
      <c r="C142" s="40" t="s">
        <v>2744</v>
      </c>
      <c r="D142" s="40" t="s">
        <v>541</v>
      </c>
      <c r="E142" s="40" t="s">
        <v>2747</v>
      </c>
      <c r="F142" s="41">
        <v>617.0</v>
      </c>
      <c r="G142" s="41">
        <v>5522150.0</v>
      </c>
      <c r="H142" s="41">
        <v>281030.0</v>
      </c>
    </row>
    <row r="143" ht="15.75" customHeight="1">
      <c r="A143" s="40" t="s">
        <v>31</v>
      </c>
      <c r="B143" s="40" t="s">
        <v>186</v>
      </c>
      <c r="C143" s="40" t="s">
        <v>2744</v>
      </c>
      <c r="D143" s="40" t="s">
        <v>541</v>
      </c>
      <c r="E143" s="40" t="s">
        <v>2749</v>
      </c>
      <c r="F143" s="41">
        <v>879.0</v>
      </c>
      <c r="G143" s="41">
        <v>7673670.0</v>
      </c>
      <c r="H143" s="41">
        <v>331740.0</v>
      </c>
    </row>
    <row r="144" ht="15.75" customHeight="1">
      <c r="A144" s="40" t="s">
        <v>31</v>
      </c>
      <c r="B144" s="40" t="s">
        <v>186</v>
      </c>
      <c r="C144" s="40" t="s">
        <v>30</v>
      </c>
      <c r="D144" s="40" t="s">
        <v>29</v>
      </c>
      <c r="E144" s="40" t="s">
        <v>2751</v>
      </c>
      <c r="F144" s="41">
        <v>5209.0</v>
      </c>
      <c r="G144" s="41">
        <v>1.87795E7</v>
      </c>
      <c r="H144" s="41">
        <v>238712.0</v>
      </c>
    </row>
    <row r="145" ht="15.75" customHeight="1">
      <c r="A145" s="40" t="s">
        <v>31</v>
      </c>
      <c r="B145" s="40" t="s">
        <v>186</v>
      </c>
      <c r="C145" s="40" t="s">
        <v>30</v>
      </c>
      <c r="D145" s="40" t="s">
        <v>29</v>
      </c>
      <c r="E145" s="40" t="s">
        <v>2754</v>
      </c>
      <c r="F145" s="41">
        <v>1753.0</v>
      </c>
      <c r="G145" s="41">
        <v>6489850.0</v>
      </c>
      <c r="H145" s="41">
        <v>72450.0</v>
      </c>
    </row>
    <row r="146" ht="15.75" customHeight="1">
      <c r="A146" s="40" t="s">
        <v>31</v>
      </c>
      <c r="B146" s="40" t="s">
        <v>186</v>
      </c>
      <c r="C146" s="40" t="s">
        <v>30</v>
      </c>
      <c r="D146" s="40" t="s">
        <v>29</v>
      </c>
      <c r="E146" s="40" t="s">
        <v>2756</v>
      </c>
      <c r="F146" s="41">
        <v>2309.0</v>
      </c>
      <c r="G146" s="41">
        <v>9055000.0</v>
      </c>
      <c r="H146" s="41">
        <v>177348.0</v>
      </c>
    </row>
    <row r="147" ht="15.75" customHeight="1">
      <c r="A147" s="40" t="s">
        <v>31</v>
      </c>
      <c r="B147" s="40" t="s">
        <v>186</v>
      </c>
      <c r="C147" s="40" t="s">
        <v>30</v>
      </c>
      <c r="D147" s="40" t="s">
        <v>29</v>
      </c>
      <c r="E147" s="40" t="s">
        <v>2758</v>
      </c>
      <c r="F147" s="41">
        <v>950.0</v>
      </c>
      <c r="G147" s="41">
        <v>3580860.0</v>
      </c>
      <c r="H147" s="41">
        <v>48064.0</v>
      </c>
    </row>
    <row r="148" ht="15.75" customHeight="1">
      <c r="A148" s="40" t="s">
        <v>31</v>
      </c>
      <c r="B148" s="40" t="s">
        <v>186</v>
      </c>
      <c r="C148" s="40" t="s">
        <v>30</v>
      </c>
      <c r="D148" s="40" t="s">
        <v>29</v>
      </c>
      <c r="E148" s="40" t="s">
        <v>2760</v>
      </c>
      <c r="F148" s="41">
        <v>656.0</v>
      </c>
      <c r="G148" s="41">
        <v>4371520.0</v>
      </c>
      <c r="H148" s="41">
        <v>6640.0</v>
      </c>
    </row>
    <row r="149" ht="15.75" customHeight="1">
      <c r="A149" s="40" t="s">
        <v>31</v>
      </c>
      <c r="B149" s="40" t="s">
        <v>117</v>
      </c>
      <c r="C149" s="40" t="s">
        <v>30</v>
      </c>
      <c r="D149" s="40" t="s">
        <v>29</v>
      </c>
      <c r="E149" s="40" t="s">
        <v>2762</v>
      </c>
      <c r="F149" s="41">
        <v>1638.0</v>
      </c>
      <c r="G149" s="41">
        <v>3.460084E7</v>
      </c>
      <c r="H149" s="41">
        <v>480812.0</v>
      </c>
    </row>
    <row r="150" ht="15.75" customHeight="1">
      <c r="A150" s="40" t="s">
        <v>31</v>
      </c>
      <c r="B150" s="40" t="s">
        <v>117</v>
      </c>
      <c r="C150" s="40" t="s">
        <v>2600</v>
      </c>
      <c r="D150" s="40" t="s">
        <v>2599</v>
      </c>
      <c r="E150" s="40" t="s">
        <v>2764</v>
      </c>
      <c r="F150" s="41">
        <v>229.0</v>
      </c>
      <c r="G150" s="41">
        <v>1308810.0</v>
      </c>
      <c r="H150" s="41">
        <v>71236.0</v>
      </c>
    </row>
    <row r="151" ht="15.75" customHeight="1">
      <c r="A151" s="40" t="s">
        <v>31</v>
      </c>
      <c r="B151" s="40" t="s">
        <v>117</v>
      </c>
      <c r="C151" s="40" t="s">
        <v>2600</v>
      </c>
      <c r="D151" s="40" t="s">
        <v>2599</v>
      </c>
      <c r="E151" s="40" t="s">
        <v>2766</v>
      </c>
      <c r="F151" s="41">
        <v>272.0</v>
      </c>
      <c r="G151" s="41">
        <v>1617610.0</v>
      </c>
      <c r="H151" s="41">
        <v>129676.0</v>
      </c>
    </row>
    <row r="152" ht="15.75" customHeight="1">
      <c r="A152" s="40" t="s">
        <v>31</v>
      </c>
      <c r="B152" s="40" t="s">
        <v>117</v>
      </c>
      <c r="C152" s="40" t="s">
        <v>2600</v>
      </c>
      <c r="D152" s="40" t="s">
        <v>2599</v>
      </c>
      <c r="E152" s="40" t="s">
        <v>2768</v>
      </c>
      <c r="F152" s="41">
        <v>490.0</v>
      </c>
      <c r="G152" s="41">
        <v>1455100.0</v>
      </c>
      <c r="H152" s="41">
        <v>108317.0</v>
      </c>
    </row>
    <row r="153" ht="15.75" customHeight="1">
      <c r="A153" s="40" t="s">
        <v>31</v>
      </c>
      <c r="B153" s="40" t="s">
        <v>117</v>
      </c>
      <c r="C153" s="40" t="s">
        <v>2600</v>
      </c>
      <c r="D153" s="40" t="s">
        <v>2599</v>
      </c>
      <c r="E153" s="40" t="s">
        <v>2770</v>
      </c>
      <c r="F153" s="41">
        <v>570.0</v>
      </c>
      <c r="G153" s="41">
        <v>1693300.0</v>
      </c>
      <c r="H153" s="41">
        <v>132154.0</v>
      </c>
    </row>
    <row r="154" ht="15.75" customHeight="1">
      <c r="A154" s="40" t="s">
        <v>31</v>
      </c>
      <c r="B154" s="40" t="s">
        <v>117</v>
      </c>
      <c r="C154" s="40" t="s">
        <v>2600</v>
      </c>
      <c r="D154" s="40" t="s">
        <v>2599</v>
      </c>
      <c r="E154" s="40" t="s">
        <v>2772</v>
      </c>
      <c r="F154" s="41">
        <v>164.0</v>
      </c>
      <c r="G154" s="41">
        <v>377660.0</v>
      </c>
      <c r="H154" s="41">
        <v>19874.0</v>
      </c>
    </row>
    <row r="155" ht="15.75" customHeight="1">
      <c r="A155" s="40" t="s">
        <v>31</v>
      </c>
      <c r="B155" s="40" t="s">
        <v>117</v>
      </c>
      <c r="C155" s="40" t="s">
        <v>2600</v>
      </c>
      <c r="D155" s="40" t="s">
        <v>2599</v>
      </c>
      <c r="E155" s="40" t="s">
        <v>2774</v>
      </c>
      <c r="F155" s="41">
        <v>185.0</v>
      </c>
      <c r="G155" s="41">
        <v>836850.0</v>
      </c>
      <c r="H155" s="41">
        <v>50926.0</v>
      </c>
    </row>
    <row r="156" ht="15.75" customHeight="1">
      <c r="A156" s="40" t="s">
        <v>31</v>
      </c>
      <c r="B156" s="40" t="s">
        <v>117</v>
      </c>
      <c r="C156" s="40" t="s">
        <v>2600</v>
      </c>
      <c r="D156" s="40" t="s">
        <v>2599</v>
      </c>
      <c r="E156" s="40" t="s">
        <v>2776</v>
      </c>
      <c r="F156" s="41">
        <v>1223.0</v>
      </c>
      <c r="G156" s="41">
        <v>3674610.0</v>
      </c>
      <c r="H156" s="41">
        <v>217578.0</v>
      </c>
    </row>
    <row r="157" ht="15.75" customHeight="1">
      <c r="A157" s="40" t="s">
        <v>31</v>
      </c>
      <c r="B157" s="40" t="s">
        <v>117</v>
      </c>
      <c r="C157" s="40" t="s">
        <v>2600</v>
      </c>
      <c r="D157" s="40" t="s">
        <v>2599</v>
      </c>
      <c r="E157" s="40" t="s">
        <v>2778</v>
      </c>
      <c r="F157" s="41">
        <v>371.0</v>
      </c>
      <c r="G157" s="41">
        <v>1138050.0</v>
      </c>
      <c r="H157" s="41">
        <v>98628.0</v>
      </c>
    </row>
    <row r="158" ht="15.75" customHeight="1">
      <c r="A158" s="40" t="s">
        <v>31</v>
      </c>
      <c r="B158" s="40" t="s">
        <v>117</v>
      </c>
      <c r="C158" s="40" t="s">
        <v>2600</v>
      </c>
      <c r="D158" s="40" t="s">
        <v>2599</v>
      </c>
      <c r="E158" s="40" t="s">
        <v>2781</v>
      </c>
      <c r="F158" s="41">
        <v>494.0</v>
      </c>
      <c r="G158" s="41">
        <v>2530420.0</v>
      </c>
      <c r="H158" s="41">
        <v>195018.0</v>
      </c>
    </row>
    <row r="159" ht="15.75" customHeight="1">
      <c r="A159" s="40" t="s">
        <v>31</v>
      </c>
      <c r="B159" s="40" t="s">
        <v>117</v>
      </c>
      <c r="C159" s="40" t="s">
        <v>2783</v>
      </c>
      <c r="D159" s="40" t="s">
        <v>1798</v>
      </c>
      <c r="E159" s="40" t="s">
        <v>2784</v>
      </c>
      <c r="F159" s="41">
        <v>21831.0</v>
      </c>
      <c r="G159" s="41">
        <v>2.614381E7</v>
      </c>
      <c r="H159" s="41">
        <v>645592.0</v>
      </c>
    </row>
    <row r="160" ht="15.75" customHeight="1">
      <c r="A160" s="40" t="s">
        <v>31</v>
      </c>
      <c r="B160" s="40" t="s">
        <v>117</v>
      </c>
      <c r="C160" s="40" t="s">
        <v>2783</v>
      </c>
      <c r="D160" s="40" t="s">
        <v>1798</v>
      </c>
      <c r="E160" s="40" t="s">
        <v>2786</v>
      </c>
      <c r="F160" s="41">
        <v>5381.0</v>
      </c>
      <c r="G160" s="41">
        <v>5765080.0</v>
      </c>
      <c r="H160" s="41">
        <v>155999.0</v>
      </c>
    </row>
    <row r="161" ht="15.75" customHeight="1">
      <c r="A161" s="40" t="s">
        <v>31</v>
      </c>
      <c r="B161" s="40" t="s">
        <v>117</v>
      </c>
      <c r="C161" s="40" t="s">
        <v>2783</v>
      </c>
      <c r="D161" s="40" t="s">
        <v>1798</v>
      </c>
      <c r="E161" s="40" t="s">
        <v>2788</v>
      </c>
      <c r="F161" s="41">
        <v>46734.0</v>
      </c>
      <c r="G161" s="41">
        <v>2.331064E7</v>
      </c>
      <c r="H161" s="41">
        <v>205336.0</v>
      </c>
    </row>
    <row r="162" ht="15.75" customHeight="1">
      <c r="A162" s="40" t="s">
        <v>31</v>
      </c>
      <c r="B162" s="40" t="s">
        <v>117</v>
      </c>
      <c r="C162" s="40" t="s">
        <v>30</v>
      </c>
      <c r="D162" s="40" t="s">
        <v>29</v>
      </c>
      <c r="E162" s="40" t="s">
        <v>2790</v>
      </c>
      <c r="F162" s="41">
        <v>0.0</v>
      </c>
      <c r="G162" s="41">
        <v>0.0</v>
      </c>
      <c r="H162" s="41">
        <v>0.0</v>
      </c>
    </row>
    <row r="163" ht="15.75" customHeight="1">
      <c r="A163" s="40" t="s">
        <v>31</v>
      </c>
      <c r="B163" s="40" t="s">
        <v>117</v>
      </c>
      <c r="C163" s="40" t="s">
        <v>30</v>
      </c>
      <c r="D163" s="40" t="s">
        <v>29</v>
      </c>
      <c r="E163" s="40" t="s">
        <v>2792</v>
      </c>
      <c r="F163" s="41">
        <v>0.0</v>
      </c>
      <c r="G163" s="41">
        <v>0.0</v>
      </c>
      <c r="H163" s="41">
        <v>0.0</v>
      </c>
    </row>
    <row r="164" ht="15.75" customHeight="1">
      <c r="A164" s="40" t="s">
        <v>31</v>
      </c>
      <c r="B164" s="40" t="s">
        <v>117</v>
      </c>
      <c r="C164" s="40" t="s">
        <v>30</v>
      </c>
      <c r="D164" s="40" t="s">
        <v>29</v>
      </c>
      <c r="E164" s="40" t="s">
        <v>2793</v>
      </c>
      <c r="F164" s="41">
        <v>0.0</v>
      </c>
      <c r="G164" s="41">
        <v>0.0</v>
      </c>
      <c r="H164" s="41">
        <v>0.0</v>
      </c>
    </row>
    <row r="165" ht="15.75" customHeight="1">
      <c r="A165" s="40" t="s">
        <v>31</v>
      </c>
      <c r="B165" s="40" t="s">
        <v>117</v>
      </c>
      <c r="C165" s="40" t="s">
        <v>30</v>
      </c>
      <c r="D165" s="40" t="s">
        <v>29</v>
      </c>
      <c r="E165" s="40" t="s">
        <v>2794</v>
      </c>
      <c r="F165" s="41">
        <v>0.0</v>
      </c>
      <c r="G165" s="41">
        <v>0.0</v>
      </c>
      <c r="H165" s="41">
        <v>0.0</v>
      </c>
    </row>
    <row r="166" ht="15.75" customHeight="1">
      <c r="A166" s="40" t="s">
        <v>31</v>
      </c>
      <c r="B166" s="40" t="s">
        <v>117</v>
      </c>
      <c r="C166" s="40" t="s">
        <v>30</v>
      </c>
      <c r="D166" s="40" t="s">
        <v>29</v>
      </c>
      <c r="E166" s="40" t="s">
        <v>2795</v>
      </c>
      <c r="F166" s="41">
        <v>0.0</v>
      </c>
      <c r="G166" s="41">
        <v>0.0</v>
      </c>
      <c r="H166" s="41">
        <v>0.0</v>
      </c>
    </row>
    <row r="167" ht="15.75" customHeight="1">
      <c r="A167" s="40" t="s">
        <v>31</v>
      </c>
      <c r="B167" s="40" t="s">
        <v>117</v>
      </c>
      <c r="C167" s="40" t="s">
        <v>30</v>
      </c>
      <c r="D167" s="40" t="s">
        <v>29</v>
      </c>
      <c r="E167" s="40" t="s">
        <v>2796</v>
      </c>
      <c r="F167" s="41">
        <v>1.0</v>
      </c>
      <c r="G167" s="41">
        <v>10400.0</v>
      </c>
      <c r="H167" s="41">
        <v>2080.0</v>
      </c>
    </row>
    <row r="168" ht="15.75" customHeight="1">
      <c r="A168" s="40" t="s">
        <v>31</v>
      </c>
      <c r="B168" s="40" t="s">
        <v>117</v>
      </c>
      <c r="C168" s="40" t="s">
        <v>30</v>
      </c>
      <c r="D168" s="40" t="s">
        <v>29</v>
      </c>
      <c r="E168" s="40" t="s">
        <v>2797</v>
      </c>
      <c r="F168" s="41">
        <v>1.0</v>
      </c>
      <c r="G168" s="41">
        <v>12400.0</v>
      </c>
      <c r="H168" s="41">
        <v>2480.0</v>
      </c>
    </row>
    <row r="169" ht="15.75" customHeight="1">
      <c r="A169" s="40" t="s">
        <v>31</v>
      </c>
      <c r="B169" s="40" t="s">
        <v>117</v>
      </c>
      <c r="C169" s="40" t="s">
        <v>30</v>
      </c>
      <c r="D169" s="40" t="s">
        <v>29</v>
      </c>
      <c r="E169" s="40" t="s">
        <v>2798</v>
      </c>
      <c r="F169" s="41">
        <v>0.0</v>
      </c>
      <c r="G169" s="41">
        <v>0.0</v>
      </c>
      <c r="H169" s="41">
        <v>0.0</v>
      </c>
    </row>
    <row r="170" ht="15.75" customHeight="1">
      <c r="A170" s="40" t="s">
        <v>31</v>
      </c>
      <c r="B170" s="40" t="s">
        <v>186</v>
      </c>
      <c r="C170" s="40" t="s">
        <v>149</v>
      </c>
      <c r="D170" s="40" t="s">
        <v>148</v>
      </c>
      <c r="E170" s="40" t="s">
        <v>2799</v>
      </c>
      <c r="F170" s="41">
        <v>2.0</v>
      </c>
      <c r="G170" s="41">
        <v>64000.0</v>
      </c>
      <c r="H170" s="41">
        <v>0.0</v>
      </c>
    </row>
    <row r="171" ht="15.75" customHeight="1">
      <c r="A171" s="40" t="s">
        <v>31</v>
      </c>
      <c r="B171" s="40" t="s">
        <v>186</v>
      </c>
      <c r="C171" s="40" t="s">
        <v>149</v>
      </c>
      <c r="D171" s="40" t="s">
        <v>148</v>
      </c>
      <c r="E171" s="40" t="s">
        <v>2800</v>
      </c>
      <c r="F171" s="41">
        <v>2.0</v>
      </c>
      <c r="G171" s="41">
        <v>66000.0</v>
      </c>
      <c r="H171" s="41">
        <v>0.0</v>
      </c>
    </row>
    <row r="172" ht="15.75" customHeight="1">
      <c r="A172" s="40" t="s">
        <v>31</v>
      </c>
      <c r="B172" s="40" t="s">
        <v>186</v>
      </c>
      <c r="C172" s="40" t="s">
        <v>149</v>
      </c>
      <c r="D172" s="40" t="s">
        <v>148</v>
      </c>
      <c r="E172" s="40" t="s">
        <v>2801</v>
      </c>
      <c r="F172" s="41">
        <v>0.0</v>
      </c>
      <c r="G172" s="41">
        <v>0.0</v>
      </c>
      <c r="H172" s="41">
        <v>0.0</v>
      </c>
    </row>
    <row r="173" ht="15.75" customHeight="1">
      <c r="A173" s="40" t="s">
        <v>31</v>
      </c>
      <c r="B173" s="40" t="s">
        <v>117</v>
      </c>
      <c r="C173" s="40" t="s">
        <v>149</v>
      </c>
      <c r="D173" s="40" t="s">
        <v>148</v>
      </c>
      <c r="E173" s="40" t="s">
        <v>2802</v>
      </c>
      <c r="F173" s="41">
        <v>10.0</v>
      </c>
      <c r="G173" s="41">
        <v>430000.0</v>
      </c>
      <c r="H173" s="41">
        <v>0.0</v>
      </c>
    </row>
    <row r="174" ht="15.75" customHeight="1">
      <c r="A174" s="40" t="s">
        <v>31</v>
      </c>
      <c r="B174" s="40" t="s">
        <v>186</v>
      </c>
      <c r="C174" s="40" t="s">
        <v>149</v>
      </c>
      <c r="D174" s="40" t="s">
        <v>148</v>
      </c>
      <c r="E174" s="40" t="s">
        <v>2803</v>
      </c>
      <c r="F174" s="41">
        <v>1.0</v>
      </c>
      <c r="G174" s="41">
        <v>25000.0</v>
      </c>
      <c r="H174" s="41">
        <v>0.0</v>
      </c>
    </row>
    <row r="175" ht="15.75" customHeight="1">
      <c r="A175" s="40" t="s">
        <v>31</v>
      </c>
      <c r="B175" s="40" t="s">
        <v>117</v>
      </c>
      <c r="C175" s="40" t="s">
        <v>149</v>
      </c>
      <c r="D175" s="40" t="s">
        <v>148</v>
      </c>
      <c r="E175" s="40" t="s">
        <v>2804</v>
      </c>
      <c r="F175" s="41">
        <v>2.0</v>
      </c>
      <c r="G175" s="41">
        <v>72000.0</v>
      </c>
      <c r="H175" s="41">
        <v>0.0</v>
      </c>
    </row>
    <row r="176" ht="15.75" customHeight="1">
      <c r="A176" s="40" t="s">
        <v>31</v>
      </c>
      <c r="B176" s="40" t="s">
        <v>186</v>
      </c>
      <c r="C176" s="40" t="s">
        <v>636</v>
      </c>
      <c r="D176" s="40" t="s">
        <v>635</v>
      </c>
      <c r="E176" s="40" t="s">
        <v>2805</v>
      </c>
      <c r="F176" s="41">
        <v>656.0</v>
      </c>
      <c r="G176" s="41">
        <v>3066000.0</v>
      </c>
      <c r="H176" s="41">
        <v>0.0</v>
      </c>
    </row>
    <row r="177" ht="15.75" customHeight="1">
      <c r="F177" s="57"/>
      <c r="G177" s="57"/>
      <c r="H177" s="57"/>
    </row>
    <row r="178" ht="15.75" customHeight="1">
      <c r="F178" s="57"/>
      <c r="G178" s="57"/>
      <c r="H178" s="57"/>
    </row>
    <row r="179" ht="15.75" customHeight="1">
      <c r="F179" s="57"/>
      <c r="G179" s="57"/>
      <c r="H179" s="57"/>
    </row>
    <row r="180" ht="15.75" customHeight="1">
      <c r="F180" s="57"/>
      <c r="G180" s="57"/>
      <c r="H180" s="57"/>
    </row>
    <row r="181" ht="15.75" customHeight="1">
      <c r="F181" s="57"/>
      <c r="G181" s="57"/>
      <c r="H181" s="57"/>
    </row>
    <row r="182" ht="15.75" customHeight="1">
      <c r="F182" s="57"/>
      <c r="G182" s="57"/>
      <c r="H182" s="57"/>
    </row>
    <row r="183" ht="15.75" customHeight="1">
      <c r="F183" s="57"/>
      <c r="G183" s="57"/>
      <c r="H183" s="57"/>
    </row>
    <row r="184" ht="15.75" customHeight="1">
      <c r="F184" s="57"/>
      <c r="G184" s="57"/>
      <c r="H184" s="57"/>
    </row>
    <row r="185" ht="15.75" customHeight="1">
      <c r="F185" s="57"/>
      <c r="G185" s="57"/>
      <c r="H185" s="57"/>
    </row>
    <row r="186" ht="15.75" customHeight="1">
      <c r="F186" s="57"/>
      <c r="G186" s="57"/>
      <c r="H186" s="57"/>
    </row>
    <row r="187" ht="15.75" customHeight="1">
      <c r="F187" s="57"/>
      <c r="G187" s="57"/>
      <c r="H187" s="57"/>
    </row>
    <row r="188" ht="15.75" customHeight="1">
      <c r="F188" s="57"/>
      <c r="G188" s="57"/>
      <c r="H188" s="57"/>
    </row>
    <row r="189" ht="15.75" customHeight="1">
      <c r="F189" s="57"/>
      <c r="G189" s="57"/>
      <c r="H189" s="57"/>
    </row>
    <row r="190" ht="15.75" customHeight="1">
      <c r="F190" s="57"/>
      <c r="G190" s="57"/>
      <c r="H190" s="57"/>
    </row>
    <row r="191" ht="15.75" customHeight="1">
      <c r="F191" s="57"/>
      <c r="G191" s="57"/>
      <c r="H191" s="57"/>
    </row>
    <row r="192" ht="15.75" customHeight="1">
      <c r="F192" s="57"/>
      <c r="G192" s="57"/>
      <c r="H192" s="57"/>
    </row>
    <row r="193" ht="15.75" customHeight="1">
      <c r="F193" s="57"/>
      <c r="G193" s="57"/>
      <c r="H193" s="57"/>
    </row>
    <row r="194" ht="15.75" customHeight="1">
      <c r="F194" s="57"/>
      <c r="G194" s="57"/>
      <c r="H194" s="57"/>
    </row>
    <row r="195" ht="15.75" customHeight="1">
      <c r="F195" s="57"/>
      <c r="G195" s="57"/>
      <c r="H195" s="57"/>
    </row>
    <row r="196" ht="15.75" customHeight="1">
      <c r="F196" s="57"/>
      <c r="G196" s="57"/>
      <c r="H196" s="57"/>
    </row>
    <row r="197" ht="15.75" customHeight="1">
      <c r="F197" s="57"/>
      <c r="G197" s="57"/>
      <c r="H197" s="57"/>
    </row>
    <row r="198" ht="15.75" customHeight="1">
      <c r="F198" s="57"/>
      <c r="G198" s="57"/>
      <c r="H198" s="57"/>
    </row>
    <row r="199" ht="15.75" customHeight="1">
      <c r="F199" s="57"/>
      <c r="G199" s="57"/>
      <c r="H199" s="57"/>
    </row>
    <row r="200" ht="15.75" customHeight="1">
      <c r="F200" s="57"/>
      <c r="G200" s="57"/>
      <c r="H200" s="57"/>
    </row>
    <row r="201" ht="15.75" customHeight="1">
      <c r="F201" s="57"/>
      <c r="G201" s="57"/>
      <c r="H201" s="57"/>
    </row>
    <row r="202" ht="15.75" customHeight="1">
      <c r="F202" s="57"/>
      <c r="G202" s="57"/>
      <c r="H202" s="57"/>
    </row>
    <row r="203" ht="15.75" customHeight="1">
      <c r="F203" s="57"/>
      <c r="G203" s="57"/>
      <c r="H203" s="57"/>
    </row>
    <row r="204" ht="15.75" customHeight="1">
      <c r="F204" s="57"/>
      <c r="G204" s="57"/>
      <c r="H204" s="57"/>
    </row>
    <row r="205" ht="15.75" customHeight="1">
      <c r="F205" s="57"/>
      <c r="G205" s="57"/>
      <c r="H205" s="57"/>
    </row>
    <row r="206" ht="15.75" customHeight="1">
      <c r="F206" s="57"/>
      <c r="G206" s="57"/>
      <c r="H206" s="57"/>
    </row>
    <row r="207" ht="15.75" customHeight="1">
      <c r="F207" s="57"/>
      <c r="G207" s="57"/>
      <c r="H207" s="57"/>
    </row>
    <row r="208" ht="15.75" customHeight="1">
      <c r="F208" s="57"/>
      <c r="G208" s="57"/>
      <c r="H208" s="57"/>
    </row>
    <row r="209" ht="15.75" customHeight="1">
      <c r="F209" s="57"/>
      <c r="G209" s="57"/>
      <c r="H209" s="57"/>
    </row>
    <row r="210" ht="15.75" customHeight="1">
      <c r="F210" s="57"/>
      <c r="G210" s="57"/>
      <c r="H210" s="57"/>
    </row>
    <row r="211" ht="15.75" customHeight="1">
      <c r="F211" s="57"/>
      <c r="G211" s="57"/>
      <c r="H211" s="57"/>
    </row>
    <row r="212" ht="15.75" customHeight="1">
      <c r="F212" s="57"/>
      <c r="G212" s="57"/>
      <c r="H212" s="57"/>
    </row>
    <row r="213" ht="15.75" customHeight="1">
      <c r="F213" s="57"/>
      <c r="G213" s="57"/>
      <c r="H213" s="57"/>
    </row>
    <row r="214" ht="15.75" customHeight="1">
      <c r="F214" s="57"/>
      <c r="G214" s="57"/>
      <c r="H214" s="57"/>
    </row>
    <row r="215" ht="15.75" customHeight="1">
      <c r="F215" s="57"/>
      <c r="G215" s="57"/>
      <c r="H215" s="57"/>
    </row>
    <row r="216" ht="15.75" customHeight="1">
      <c r="F216" s="57"/>
      <c r="G216" s="57"/>
      <c r="H216" s="57"/>
    </row>
    <row r="217" ht="15.75" customHeight="1">
      <c r="F217" s="57"/>
      <c r="G217" s="57"/>
      <c r="H217" s="57"/>
    </row>
    <row r="218" ht="15.75" customHeight="1">
      <c r="F218" s="57"/>
      <c r="G218" s="57"/>
      <c r="H218" s="57"/>
    </row>
    <row r="219" ht="15.75" customHeight="1">
      <c r="F219" s="57"/>
      <c r="G219" s="57"/>
      <c r="H219" s="57"/>
    </row>
    <row r="220" ht="15.75" customHeight="1">
      <c r="F220" s="57"/>
      <c r="G220" s="57"/>
      <c r="H220" s="57"/>
    </row>
    <row r="221" ht="15.75" customHeight="1">
      <c r="F221" s="57"/>
      <c r="G221" s="57"/>
      <c r="H221" s="57"/>
    </row>
    <row r="222" ht="15.75" customHeight="1">
      <c r="F222" s="57"/>
      <c r="G222" s="57"/>
      <c r="H222" s="57"/>
    </row>
    <row r="223" ht="15.75" customHeight="1">
      <c r="F223" s="57"/>
      <c r="G223" s="57"/>
      <c r="H223" s="57"/>
    </row>
    <row r="224" ht="15.75" customHeight="1">
      <c r="F224" s="57"/>
      <c r="G224" s="57"/>
      <c r="H224" s="57"/>
    </row>
    <row r="225" ht="15.75" customHeight="1">
      <c r="F225" s="57"/>
      <c r="G225" s="57"/>
      <c r="H225" s="57"/>
    </row>
    <row r="226" ht="15.75" customHeight="1">
      <c r="F226" s="57"/>
      <c r="G226" s="57"/>
      <c r="H226" s="57"/>
    </row>
    <row r="227" ht="15.75" customHeight="1">
      <c r="F227" s="57"/>
      <c r="G227" s="57"/>
      <c r="H227" s="57"/>
    </row>
    <row r="228" ht="15.75" customHeight="1">
      <c r="F228" s="57"/>
      <c r="G228" s="57"/>
      <c r="H228" s="57"/>
    </row>
    <row r="229" ht="15.75" customHeight="1">
      <c r="F229" s="57"/>
      <c r="G229" s="57"/>
      <c r="H229" s="57"/>
    </row>
    <row r="230" ht="15.75" customHeight="1">
      <c r="F230" s="57"/>
      <c r="G230" s="57"/>
      <c r="H230" s="57"/>
    </row>
    <row r="231" ht="15.75" customHeight="1">
      <c r="F231" s="57"/>
      <c r="G231" s="57"/>
      <c r="H231" s="57"/>
    </row>
    <row r="232" ht="15.75" customHeight="1">
      <c r="F232" s="57"/>
      <c r="G232" s="57"/>
      <c r="H232" s="57"/>
    </row>
    <row r="233" ht="15.75" customHeight="1">
      <c r="F233" s="57"/>
      <c r="G233" s="57"/>
      <c r="H233" s="57"/>
    </row>
    <row r="234" ht="15.75" customHeight="1">
      <c r="F234" s="57"/>
      <c r="G234" s="57"/>
      <c r="H234" s="57"/>
    </row>
    <row r="235" ht="15.75" customHeight="1">
      <c r="F235" s="57"/>
      <c r="G235" s="57"/>
      <c r="H235" s="57"/>
    </row>
    <row r="236" ht="15.75" customHeight="1">
      <c r="F236" s="57"/>
      <c r="G236" s="57"/>
      <c r="H236" s="57"/>
    </row>
    <row r="237" ht="15.75" customHeight="1">
      <c r="F237" s="57"/>
      <c r="G237" s="57"/>
      <c r="H237" s="57"/>
    </row>
    <row r="238" ht="15.75" customHeight="1">
      <c r="F238" s="57"/>
      <c r="G238" s="57"/>
      <c r="H238" s="57"/>
    </row>
    <row r="239" ht="15.75" customHeight="1">
      <c r="F239" s="57"/>
      <c r="G239" s="57"/>
      <c r="H239" s="57"/>
    </row>
    <row r="240" ht="15.75" customHeight="1">
      <c r="F240" s="57"/>
      <c r="G240" s="57"/>
      <c r="H240" s="57"/>
    </row>
    <row r="241" ht="15.75" customHeight="1">
      <c r="F241" s="57"/>
      <c r="G241" s="57"/>
      <c r="H241" s="57"/>
    </row>
    <row r="242" ht="15.75" customHeight="1">
      <c r="F242" s="57"/>
      <c r="G242" s="57"/>
      <c r="H242" s="57"/>
    </row>
    <row r="243" ht="15.75" customHeight="1">
      <c r="F243" s="57"/>
      <c r="G243" s="57"/>
      <c r="H243" s="57"/>
    </row>
    <row r="244" ht="15.75" customHeight="1">
      <c r="F244" s="57"/>
      <c r="G244" s="57"/>
      <c r="H244" s="57"/>
    </row>
    <row r="245" ht="15.75" customHeight="1">
      <c r="F245" s="57"/>
      <c r="G245" s="57"/>
      <c r="H245" s="57"/>
    </row>
    <row r="246" ht="15.75" customHeight="1">
      <c r="F246" s="57"/>
      <c r="G246" s="57"/>
      <c r="H246" s="57"/>
    </row>
    <row r="247" ht="15.75" customHeight="1">
      <c r="F247" s="57"/>
      <c r="G247" s="57"/>
      <c r="H247" s="57"/>
    </row>
    <row r="248" ht="15.75" customHeight="1">
      <c r="F248" s="57"/>
      <c r="G248" s="57"/>
      <c r="H248" s="57"/>
    </row>
    <row r="249" ht="15.75" customHeight="1">
      <c r="F249" s="57"/>
      <c r="G249" s="57"/>
      <c r="H249" s="57"/>
    </row>
    <row r="250" ht="15.75" customHeight="1">
      <c r="F250" s="57"/>
      <c r="G250" s="57"/>
      <c r="H250" s="57"/>
    </row>
    <row r="251" ht="15.75" customHeight="1">
      <c r="F251" s="57"/>
      <c r="G251" s="57"/>
      <c r="H251" s="57"/>
    </row>
    <row r="252" ht="15.75" customHeight="1">
      <c r="F252" s="57"/>
      <c r="G252" s="57"/>
      <c r="H252" s="57"/>
    </row>
    <row r="253" ht="15.75" customHeight="1">
      <c r="F253" s="57"/>
      <c r="G253" s="57"/>
      <c r="H253" s="57"/>
    </row>
    <row r="254" ht="15.75" customHeight="1">
      <c r="F254" s="57"/>
      <c r="G254" s="57"/>
      <c r="H254" s="57"/>
    </row>
    <row r="255" ht="15.75" customHeight="1">
      <c r="F255" s="57"/>
      <c r="G255" s="57"/>
      <c r="H255" s="57"/>
    </row>
    <row r="256" ht="15.75" customHeight="1">
      <c r="F256" s="57"/>
      <c r="G256" s="57"/>
      <c r="H256" s="57"/>
    </row>
    <row r="257" ht="15.75" customHeight="1">
      <c r="F257" s="57"/>
      <c r="G257" s="57"/>
      <c r="H257" s="57"/>
    </row>
    <row r="258" ht="15.75" customHeight="1">
      <c r="F258" s="57"/>
      <c r="G258" s="57"/>
      <c r="H258" s="57"/>
    </row>
    <row r="259" ht="15.75" customHeight="1">
      <c r="F259" s="57"/>
      <c r="G259" s="57"/>
      <c r="H259" s="57"/>
    </row>
    <row r="260" ht="15.75" customHeight="1">
      <c r="F260" s="57"/>
      <c r="G260" s="57"/>
      <c r="H260" s="57"/>
    </row>
    <row r="261" ht="15.75" customHeight="1">
      <c r="F261" s="57"/>
      <c r="G261" s="57"/>
      <c r="H261" s="57"/>
    </row>
    <row r="262" ht="15.75" customHeight="1">
      <c r="F262" s="57"/>
      <c r="G262" s="57"/>
      <c r="H262" s="57"/>
    </row>
    <row r="263" ht="15.75" customHeight="1">
      <c r="F263" s="57"/>
      <c r="G263" s="57"/>
      <c r="H263" s="57"/>
    </row>
    <row r="264" ht="15.75" customHeight="1">
      <c r="F264" s="57"/>
      <c r="G264" s="57"/>
      <c r="H264" s="57"/>
    </row>
    <row r="265" ht="15.75" customHeight="1">
      <c r="F265" s="57"/>
      <c r="G265" s="57"/>
      <c r="H265" s="57"/>
    </row>
    <row r="266" ht="15.75" customHeight="1">
      <c r="F266" s="57"/>
      <c r="G266" s="57"/>
      <c r="H266" s="57"/>
    </row>
    <row r="267" ht="15.75" customHeight="1">
      <c r="F267" s="57"/>
      <c r="G267" s="57"/>
      <c r="H267" s="57"/>
    </row>
    <row r="268" ht="15.75" customHeight="1">
      <c r="F268" s="57"/>
      <c r="G268" s="57"/>
      <c r="H268" s="57"/>
    </row>
    <row r="269" ht="15.75" customHeight="1">
      <c r="F269" s="57"/>
      <c r="G269" s="57"/>
      <c r="H269" s="57"/>
    </row>
    <row r="270" ht="15.75" customHeight="1">
      <c r="F270" s="57"/>
      <c r="G270" s="57"/>
      <c r="H270" s="57"/>
    </row>
    <row r="271" ht="15.75" customHeight="1">
      <c r="F271" s="57"/>
      <c r="G271" s="57"/>
      <c r="H271" s="57"/>
    </row>
    <row r="272" ht="15.75" customHeight="1">
      <c r="F272" s="57"/>
      <c r="G272" s="57"/>
      <c r="H272" s="57"/>
    </row>
    <row r="273" ht="15.75" customHeight="1">
      <c r="F273" s="57"/>
      <c r="G273" s="57"/>
      <c r="H273" s="57"/>
    </row>
    <row r="274" ht="15.75" customHeight="1">
      <c r="F274" s="57"/>
      <c r="G274" s="57"/>
      <c r="H274" s="57"/>
    </row>
    <row r="275" ht="15.75" customHeight="1">
      <c r="F275" s="57"/>
      <c r="G275" s="57"/>
      <c r="H275" s="57"/>
    </row>
    <row r="276" ht="15.75" customHeight="1">
      <c r="F276" s="57"/>
      <c r="G276" s="57"/>
      <c r="H276" s="57"/>
    </row>
    <row r="277" ht="15.75" customHeight="1">
      <c r="F277" s="57"/>
      <c r="G277" s="57"/>
      <c r="H277" s="57"/>
    </row>
    <row r="278" ht="15.75" customHeight="1">
      <c r="F278" s="57"/>
      <c r="G278" s="57"/>
      <c r="H278" s="57"/>
    </row>
    <row r="279" ht="15.75" customHeight="1">
      <c r="F279" s="57"/>
      <c r="G279" s="57"/>
      <c r="H279" s="57"/>
    </row>
    <row r="280" ht="15.75" customHeight="1">
      <c r="F280" s="57"/>
      <c r="G280" s="57"/>
      <c r="H280" s="57"/>
    </row>
    <row r="281" ht="15.75" customHeight="1">
      <c r="F281" s="57"/>
      <c r="G281" s="57"/>
      <c r="H281" s="57"/>
    </row>
    <row r="282" ht="15.75" customHeight="1">
      <c r="F282" s="57"/>
      <c r="G282" s="57"/>
      <c r="H282" s="57"/>
    </row>
    <row r="283" ht="15.75" customHeight="1">
      <c r="F283" s="57"/>
      <c r="G283" s="57"/>
      <c r="H283" s="57"/>
    </row>
    <row r="284" ht="15.75" customHeight="1">
      <c r="F284" s="57"/>
      <c r="G284" s="57"/>
      <c r="H284" s="57"/>
    </row>
    <row r="285" ht="15.75" customHeight="1">
      <c r="F285" s="57"/>
      <c r="G285" s="57"/>
      <c r="H285" s="57"/>
    </row>
    <row r="286" ht="15.75" customHeight="1">
      <c r="F286" s="57"/>
      <c r="G286" s="57"/>
      <c r="H286" s="57"/>
    </row>
    <row r="287" ht="15.75" customHeight="1">
      <c r="F287" s="57"/>
      <c r="G287" s="57"/>
      <c r="H287" s="57"/>
    </row>
    <row r="288" ht="15.75" customHeight="1">
      <c r="F288" s="57"/>
      <c r="G288" s="57"/>
      <c r="H288" s="57"/>
    </row>
    <row r="289" ht="15.75" customHeight="1">
      <c r="F289" s="57"/>
      <c r="G289" s="57"/>
      <c r="H289" s="57"/>
    </row>
    <row r="290" ht="15.75" customHeight="1">
      <c r="F290" s="57"/>
      <c r="G290" s="57"/>
      <c r="H290" s="57"/>
    </row>
    <row r="291" ht="15.75" customHeight="1">
      <c r="F291" s="57"/>
      <c r="G291" s="57"/>
      <c r="H291" s="57"/>
    </row>
    <row r="292" ht="15.75" customHeight="1">
      <c r="F292" s="57"/>
      <c r="G292" s="57"/>
      <c r="H292" s="57"/>
    </row>
    <row r="293" ht="15.75" customHeight="1">
      <c r="F293" s="57"/>
      <c r="G293" s="57"/>
      <c r="H293" s="57"/>
    </row>
    <row r="294" ht="15.75" customHeight="1">
      <c r="F294" s="57"/>
      <c r="G294" s="57"/>
      <c r="H294" s="57"/>
    </row>
    <row r="295" ht="15.75" customHeight="1">
      <c r="F295" s="57"/>
      <c r="G295" s="57"/>
      <c r="H295" s="57"/>
    </row>
    <row r="296" ht="15.75" customHeight="1">
      <c r="F296" s="57"/>
      <c r="G296" s="57"/>
      <c r="H296" s="57"/>
    </row>
    <row r="297" ht="15.75" customHeight="1">
      <c r="F297" s="57"/>
      <c r="G297" s="57"/>
      <c r="H297" s="57"/>
    </row>
    <row r="298" ht="15.75" customHeight="1">
      <c r="F298" s="57"/>
      <c r="G298" s="57"/>
      <c r="H298" s="57"/>
    </row>
    <row r="299" ht="15.75" customHeight="1">
      <c r="F299" s="57"/>
      <c r="G299" s="57"/>
      <c r="H299" s="57"/>
    </row>
    <row r="300" ht="15.75" customHeight="1">
      <c r="F300" s="57"/>
      <c r="G300" s="57"/>
      <c r="H300" s="57"/>
    </row>
    <row r="301" ht="15.75" customHeight="1">
      <c r="F301" s="57"/>
      <c r="G301" s="57"/>
      <c r="H301" s="57"/>
    </row>
    <row r="302" ht="15.75" customHeight="1">
      <c r="F302" s="57"/>
      <c r="G302" s="57"/>
      <c r="H302" s="57"/>
    </row>
    <row r="303" ht="15.75" customHeight="1">
      <c r="F303" s="57"/>
      <c r="G303" s="57"/>
      <c r="H303" s="57"/>
    </row>
    <row r="304" ht="15.75" customHeight="1">
      <c r="F304" s="57"/>
      <c r="G304" s="57"/>
      <c r="H304" s="57"/>
    </row>
    <row r="305" ht="15.75" customHeight="1">
      <c r="F305" s="57"/>
      <c r="G305" s="57"/>
      <c r="H305" s="57"/>
    </row>
    <row r="306" ht="15.75" customHeight="1">
      <c r="F306" s="57"/>
      <c r="G306" s="57"/>
      <c r="H306" s="57"/>
    </row>
    <row r="307" ht="15.75" customHeight="1">
      <c r="F307" s="57"/>
      <c r="G307" s="57"/>
      <c r="H307" s="57"/>
    </row>
    <row r="308" ht="15.75" customHeight="1">
      <c r="F308" s="57"/>
      <c r="G308" s="57"/>
      <c r="H308" s="57"/>
    </row>
    <row r="309" ht="15.75" customHeight="1">
      <c r="F309" s="57"/>
      <c r="G309" s="57"/>
      <c r="H309" s="57"/>
    </row>
    <row r="310" ht="15.75" customHeight="1">
      <c r="F310" s="57"/>
      <c r="G310" s="57"/>
      <c r="H310" s="57"/>
    </row>
    <row r="311" ht="15.75" customHeight="1">
      <c r="F311" s="57"/>
      <c r="G311" s="57"/>
      <c r="H311" s="57"/>
    </row>
    <row r="312" ht="15.75" customHeight="1">
      <c r="F312" s="57"/>
      <c r="G312" s="57"/>
      <c r="H312" s="57"/>
    </row>
    <row r="313" ht="15.75" customHeight="1">
      <c r="F313" s="57"/>
      <c r="G313" s="57"/>
      <c r="H313" s="57"/>
    </row>
    <row r="314" ht="15.75" customHeight="1">
      <c r="F314" s="57"/>
      <c r="G314" s="57"/>
      <c r="H314" s="57"/>
    </row>
    <row r="315" ht="15.75" customHeight="1">
      <c r="F315" s="57"/>
      <c r="G315" s="57"/>
      <c r="H315" s="57"/>
    </row>
    <row r="316" ht="15.75" customHeight="1">
      <c r="F316" s="57"/>
      <c r="G316" s="57"/>
      <c r="H316" s="57"/>
    </row>
    <row r="317" ht="15.75" customHeight="1">
      <c r="F317" s="57"/>
      <c r="G317" s="57"/>
      <c r="H317" s="57"/>
    </row>
    <row r="318" ht="15.75" customHeight="1">
      <c r="F318" s="57"/>
      <c r="G318" s="57"/>
      <c r="H318" s="57"/>
    </row>
    <row r="319" ht="15.75" customHeight="1">
      <c r="F319" s="57"/>
      <c r="G319" s="57"/>
      <c r="H319" s="57"/>
    </row>
    <row r="320" ht="15.75" customHeight="1">
      <c r="F320" s="57"/>
      <c r="G320" s="57"/>
      <c r="H320" s="57"/>
    </row>
    <row r="321" ht="15.75" customHeight="1">
      <c r="F321" s="57"/>
      <c r="G321" s="57"/>
      <c r="H321" s="57"/>
    </row>
    <row r="322" ht="15.75" customHeight="1">
      <c r="F322" s="57"/>
      <c r="G322" s="57"/>
      <c r="H322" s="57"/>
    </row>
    <row r="323" ht="15.75" customHeight="1">
      <c r="F323" s="57"/>
      <c r="G323" s="57"/>
      <c r="H323" s="57"/>
    </row>
    <row r="324" ht="15.75" customHeight="1">
      <c r="F324" s="57"/>
      <c r="G324" s="57"/>
      <c r="H324" s="57"/>
    </row>
    <row r="325" ht="15.75" customHeight="1">
      <c r="F325" s="57"/>
      <c r="G325" s="57"/>
      <c r="H325" s="57"/>
    </row>
    <row r="326" ht="15.75" customHeight="1">
      <c r="F326" s="57"/>
      <c r="G326" s="57"/>
      <c r="H326" s="57"/>
    </row>
    <row r="327" ht="15.75" customHeight="1">
      <c r="F327" s="57"/>
      <c r="G327" s="57"/>
      <c r="H327" s="57"/>
    </row>
    <row r="328" ht="15.75" customHeight="1">
      <c r="F328" s="57"/>
      <c r="G328" s="57"/>
      <c r="H328" s="57"/>
    </row>
    <row r="329" ht="15.75" customHeight="1">
      <c r="F329" s="57"/>
      <c r="G329" s="57"/>
      <c r="H329" s="57"/>
    </row>
    <row r="330" ht="15.75" customHeight="1">
      <c r="F330" s="57"/>
      <c r="G330" s="57"/>
      <c r="H330" s="57"/>
    </row>
    <row r="331" ht="15.75" customHeight="1">
      <c r="F331" s="57"/>
      <c r="G331" s="57"/>
      <c r="H331" s="57"/>
    </row>
    <row r="332" ht="15.75" customHeight="1">
      <c r="F332" s="57"/>
      <c r="G332" s="57"/>
      <c r="H332" s="57"/>
    </row>
    <row r="333" ht="15.75" customHeight="1">
      <c r="F333" s="57"/>
      <c r="G333" s="57"/>
      <c r="H333" s="57"/>
    </row>
    <row r="334" ht="15.75" customHeight="1">
      <c r="F334" s="57"/>
      <c r="G334" s="57"/>
      <c r="H334" s="57"/>
    </row>
    <row r="335" ht="15.75" customHeight="1">
      <c r="F335" s="57"/>
      <c r="G335" s="57"/>
      <c r="H335" s="57"/>
    </row>
    <row r="336" ht="15.75" customHeight="1">
      <c r="F336" s="57"/>
      <c r="G336" s="57"/>
      <c r="H336" s="57"/>
    </row>
    <row r="337" ht="15.75" customHeight="1">
      <c r="F337" s="57"/>
      <c r="G337" s="57"/>
      <c r="H337" s="57"/>
    </row>
    <row r="338" ht="15.75" customHeight="1">
      <c r="F338" s="57"/>
      <c r="G338" s="57"/>
      <c r="H338" s="57"/>
    </row>
    <row r="339" ht="15.75" customHeight="1">
      <c r="F339" s="57"/>
      <c r="G339" s="57"/>
      <c r="H339" s="57"/>
    </row>
    <row r="340" ht="15.75" customHeight="1">
      <c r="F340" s="57"/>
      <c r="G340" s="57"/>
      <c r="H340" s="57"/>
    </row>
    <row r="341" ht="15.75" customHeight="1">
      <c r="F341" s="57"/>
      <c r="G341" s="57"/>
      <c r="H341" s="57"/>
    </row>
    <row r="342" ht="15.75" customHeight="1">
      <c r="F342" s="57"/>
      <c r="G342" s="57"/>
      <c r="H342" s="57"/>
    </row>
    <row r="343" ht="15.75" customHeight="1">
      <c r="F343" s="57"/>
      <c r="G343" s="57"/>
      <c r="H343" s="57"/>
    </row>
    <row r="344" ht="15.75" customHeight="1">
      <c r="F344" s="57"/>
      <c r="G344" s="57"/>
      <c r="H344" s="57"/>
    </row>
    <row r="345" ht="15.75" customHeight="1">
      <c r="F345" s="57"/>
      <c r="G345" s="57"/>
      <c r="H345" s="57"/>
    </row>
    <row r="346" ht="15.75" customHeight="1">
      <c r="F346" s="57"/>
      <c r="G346" s="57"/>
      <c r="H346" s="57"/>
    </row>
    <row r="347" ht="15.75" customHeight="1">
      <c r="F347" s="57"/>
      <c r="G347" s="57"/>
      <c r="H347" s="57"/>
    </row>
    <row r="348" ht="15.75" customHeight="1">
      <c r="F348" s="57"/>
      <c r="G348" s="57"/>
      <c r="H348" s="57"/>
    </row>
    <row r="349" ht="15.75" customHeight="1">
      <c r="F349" s="57"/>
      <c r="G349" s="57"/>
      <c r="H349" s="57"/>
    </row>
    <row r="350" ht="15.75" customHeight="1">
      <c r="F350" s="57"/>
      <c r="G350" s="57"/>
      <c r="H350" s="57"/>
    </row>
    <row r="351" ht="15.75" customHeight="1">
      <c r="F351" s="57"/>
      <c r="G351" s="57"/>
      <c r="H351" s="57"/>
    </row>
    <row r="352" ht="15.75" customHeight="1">
      <c r="F352" s="57"/>
      <c r="G352" s="57"/>
      <c r="H352" s="57"/>
    </row>
    <row r="353" ht="15.75" customHeight="1">
      <c r="F353" s="57"/>
      <c r="G353" s="57"/>
      <c r="H353" s="57"/>
    </row>
    <row r="354" ht="15.75" customHeight="1">
      <c r="F354" s="57"/>
      <c r="G354" s="57"/>
      <c r="H354" s="57"/>
    </row>
    <row r="355" ht="15.75" customHeight="1">
      <c r="F355" s="57"/>
      <c r="G355" s="57"/>
      <c r="H355" s="57"/>
    </row>
    <row r="356" ht="15.75" customHeight="1">
      <c r="F356" s="57"/>
      <c r="G356" s="57"/>
      <c r="H356" s="57"/>
    </row>
    <row r="357" ht="15.75" customHeight="1">
      <c r="F357" s="57"/>
      <c r="G357" s="57"/>
      <c r="H357" s="57"/>
    </row>
    <row r="358" ht="15.75" customHeight="1">
      <c r="F358" s="57"/>
      <c r="G358" s="57"/>
      <c r="H358" s="57"/>
    </row>
    <row r="359" ht="15.75" customHeight="1">
      <c r="F359" s="57"/>
      <c r="G359" s="57"/>
      <c r="H359" s="57"/>
    </row>
    <row r="360" ht="15.75" customHeight="1">
      <c r="F360" s="57"/>
      <c r="G360" s="57"/>
      <c r="H360" s="57"/>
    </row>
    <row r="361" ht="15.75" customHeight="1">
      <c r="F361" s="57"/>
      <c r="G361" s="57"/>
      <c r="H361" s="57"/>
    </row>
    <row r="362" ht="15.75" customHeight="1">
      <c r="F362" s="57"/>
      <c r="G362" s="57"/>
      <c r="H362" s="57"/>
    </row>
    <row r="363" ht="15.75" customHeight="1">
      <c r="F363" s="57"/>
      <c r="G363" s="57"/>
      <c r="H363" s="57"/>
    </row>
    <row r="364" ht="15.75" customHeight="1">
      <c r="F364" s="57"/>
      <c r="G364" s="57"/>
      <c r="H364" s="57"/>
    </row>
    <row r="365" ht="15.75" customHeight="1">
      <c r="F365" s="57"/>
      <c r="G365" s="57"/>
      <c r="H365" s="57"/>
    </row>
    <row r="366" ht="15.75" customHeight="1">
      <c r="F366" s="57"/>
      <c r="G366" s="57"/>
      <c r="H366" s="57"/>
    </row>
    <row r="367" ht="15.75" customHeight="1">
      <c r="F367" s="57"/>
      <c r="G367" s="57"/>
      <c r="H367" s="57"/>
    </row>
    <row r="368" ht="15.75" customHeight="1">
      <c r="F368" s="57"/>
      <c r="G368" s="57"/>
      <c r="H368" s="57"/>
    </row>
    <row r="369" ht="15.75" customHeight="1">
      <c r="F369" s="57"/>
      <c r="G369" s="57"/>
      <c r="H369" s="57"/>
    </row>
    <row r="370" ht="15.75" customHeight="1">
      <c r="F370" s="57"/>
      <c r="G370" s="57"/>
      <c r="H370" s="57"/>
    </row>
    <row r="371" ht="15.75" customHeight="1">
      <c r="F371" s="57"/>
      <c r="G371" s="57"/>
      <c r="H371" s="57"/>
    </row>
    <row r="372" ht="15.75" customHeight="1">
      <c r="F372" s="57"/>
      <c r="G372" s="57"/>
      <c r="H372" s="57"/>
    </row>
    <row r="373" ht="15.75" customHeight="1">
      <c r="F373" s="57"/>
      <c r="G373" s="57"/>
      <c r="H373" s="57"/>
    </row>
    <row r="374" ht="15.75" customHeight="1">
      <c r="F374" s="57"/>
      <c r="G374" s="57"/>
      <c r="H374" s="57"/>
    </row>
    <row r="375" ht="15.75" customHeight="1">
      <c r="F375" s="57"/>
      <c r="G375" s="57"/>
      <c r="H375" s="57"/>
    </row>
    <row r="376" ht="15.75" customHeight="1">
      <c r="F376" s="57"/>
      <c r="G376" s="57"/>
      <c r="H376" s="57"/>
    </row>
    <row r="377" ht="15.75" customHeight="1">
      <c r="F377" s="57"/>
      <c r="G377" s="57"/>
      <c r="H377" s="57"/>
    </row>
    <row r="378" ht="15.75" customHeight="1">
      <c r="F378" s="57"/>
      <c r="G378" s="57"/>
      <c r="H378" s="57"/>
    </row>
    <row r="379" ht="15.75" customHeight="1">
      <c r="F379" s="57"/>
      <c r="G379" s="57"/>
      <c r="H379" s="57"/>
    </row>
    <row r="380" ht="15.75" customHeight="1">
      <c r="F380" s="57"/>
      <c r="G380" s="57"/>
      <c r="H380" s="57"/>
    </row>
    <row r="381" ht="15.75" customHeight="1">
      <c r="F381" s="57"/>
      <c r="G381" s="57"/>
      <c r="H381" s="57"/>
    </row>
    <row r="382" ht="15.75" customHeight="1">
      <c r="F382" s="57"/>
      <c r="G382" s="57"/>
      <c r="H382" s="57"/>
    </row>
    <row r="383" ht="15.75" customHeight="1">
      <c r="F383" s="57"/>
      <c r="G383" s="57"/>
      <c r="H383" s="57"/>
    </row>
    <row r="384" ht="15.75" customHeight="1">
      <c r="F384" s="57"/>
      <c r="G384" s="57"/>
      <c r="H384" s="57"/>
    </row>
    <row r="385" ht="15.75" customHeight="1">
      <c r="F385" s="57"/>
      <c r="G385" s="57"/>
      <c r="H385" s="57"/>
    </row>
    <row r="386" ht="15.75" customHeight="1">
      <c r="F386" s="57"/>
      <c r="G386" s="57"/>
      <c r="H386" s="57"/>
    </row>
    <row r="387" ht="15.75" customHeight="1">
      <c r="F387" s="57"/>
      <c r="G387" s="57"/>
      <c r="H387" s="57"/>
    </row>
    <row r="388" ht="15.75" customHeight="1">
      <c r="F388" s="57"/>
      <c r="G388" s="57"/>
      <c r="H388" s="57"/>
    </row>
    <row r="389" ht="15.75" customHeight="1">
      <c r="F389" s="57"/>
      <c r="G389" s="57"/>
      <c r="H389" s="57"/>
    </row>
    <row r="390" ht="15.75" customHeight="1">
      <c r="F390" s="57"/>
      <c r="G390" s="57"/>
      <c r="H390" s="57"/>
    </row>
    <row r="391" ht="15.75" customHeight="1">
      <c r="F391" s="57"/>
      <c r="G391" s="57"/>
      <c r="H391" s="57"/>
    </row>
    <row r="392" ht="15.75" customHeight="1">
      <c r="F392" s="57"/>
      <c r="G392" s="57"/>
      <c r="H392" s="57"/>
    </row>
    <row r="393" ht="15.75" customHeight="1">
      <c r="F393" s="57"/>
      <c r="G393" s="57"/>
      <c r="H393" s="57"/>
    </row>
    <row r="394" ht="15.75" customHeight="1">
      <c r="F394" s="57"/>
      <c r="G394" s="57"/>
      <c r="H394" s="57"/>
    </row>
    <row r="395" ht="15.75" customHeight="1">
      <c r="F395" s="57"/>
      <c r="G395" s="57"/>
      <c r="H395" s="57"/>
    </row>
    <row r="396" ht="15.75" customHeight="1">
      <c r="F396" s="57"/>
      <c r="G396" s="57"/>
      <c r="H396" s="57"/>
    </row>
    <row r="397" ht="15.75" customHeight="1">
      <c r="F397" s="57"/>
      <c r="G397" s="57"/>
      <c r="H397" s="57"/>
    </row>
    <row r="398" ht="15.75" customHeight="1">
      <c r="F398" s="57"/>
      <c r="G398" s="57"/>
      <c r="H398" s="57"/>
    </row>
    <row r="399" ht="15.75" customHeight="1">
      <c r="F399" s="57"/>
      <c r="G399" s="57"/>
      <c r="H399" s="57"/>
    </row>
    <row r="400" ht="15.75" customHeight="1">
      <c r="F400" s="57"/>
      <c r="G400" s="57"/>
      <c r="H400" s="57"/>
    </row>
    <row r="401" ht="15.75" customHeight="1">
      <c r="F401" s="57"/>
      <c r="G401" s="57"/>
      <c r="H401" s="57"/>
    </row>
    <row r="402" ht="15.75" customHeight="1">
      <c r="F402" s="57"/>
      <c r="G402" s="57"/>
      <c r="H402" s="57"/>
    </row>
    <row r="403" ht="15.75" customHeight="1">
      <c r="F403" s="57"/>
      <c r="G403" s="57"/>
      <c r="H403" s="57"/>
    </row>
    <row r="404" ht="15.75" customHeight="1">
      <c r="F404" s="57"/>
      <c r="G404" s="57"/>
      <c r="H404" s="57"/>
    </row>
    <row r="405" ht="15.75" customHeight="1">
      <c r="F405" s="57"/>
      <c r="G405" s="57"/>
      <c r="H405" s="57"/>
    </row>
    <row r="406" ht="15.75" customHeight="1">
      <c r="F406" s="57"/>
      <c r="G406" s="57"/>
      <c r="H406" s="57"/>
    </row>
    <row r="407" ht="15.75" customHeight="1">
      <c r="F407" s="57"/>
      <c r="G407" s="57"/>
      <c r="H407" s="57"/>
    </row>
    <row r="408" ht="15.75" customHeight="1">
      <c r="F408" s="57"/>
      <c r="G408" s="57"/>
      <c r="H408" s="57"/>
    </row>
    <row r="409" ht="15.75" customHeight="1">
      <c r="F409" s="57"/>
      <c r="G409" s="57"/>
      <c r="H409" s="57"/>
    </row>
    <row r="410" ht="15.75" customHeight="1">
      <c r="F410" s="57"/>
      <c r="G410" s="57"/>
      <c r="H410" s="57"/>
    </row>
    <row r="411" ht="15.75" customHeight="1">
      <c r="F411" s="57"/>
      <c r="G411" s="57"/>
      <c r="H411" s="57"/>
    </row>
    <row r="412" ht="15.75" customHeight="1">
      <c r="F412" s="57"/>
      <c r="G412" s="57"/>
      <c r="H412" s="57"/>
    </row>
    <row r="413" ht="15.75" customHeight="1">
      <c r="F413" s="57"/>
      <c r="G413" s="57"/>
      <c r="H413" s="57"/>
    </row>
    <row r="414" ht="15.75" customHeight="1">
      <c r="F414" s="57"/>
      <c r="G414" s="57"/>
      <c r="H414" s="57"/>
    </row>
    <row r="415" ht="15.75" customHeight="1">
      <c r="F415" s="57"/>
      <c r="G415" s="57"/>
      <c r="H415" s="57"/>
    </row>
    <row r="416" ht="15.75" customHeight="1">
      <c r="F416" s="57"/>
      <c r="G416" s="57"/>
      <c r="H416" s="57"/>
    </row>
    <row r="417" ht="15.75" customHeight="1">
      <c r="F417" s="57"/>
      <c r="G417" s="57"/>
      <c r="H417" s="57"/>
    </row>
    <row r="418" ht="15.75" customHeight="1">
      <c r="F418" s="57"/>
      <c r="G418" s="57"/>
      <c r="H418" s="57"/>
    </row>
    <row r="419" ht="15.75" customHeight="1">
      <c r="F419" s="57"/>
      <c r="G419" s="57"/>
      <c r="H419" s="57"/>
    </row>
    <row r="420" ht="15.75" customHeight="1">
      <c r="F420" s="57"/>
      <c r="G420" s="57"/>
      <c r="H420" s="57"/>
    </row>
    <row r="421" ht="15.75" customHeight="1">
      <c r="F421" s="57"/>
      <c r="G421" s="57"/>
      <c r="H421" s="57"/>
    </row>
    <row r="422" ht="15.75" customHeight="1">
      <c r="F422" s="57"/>
      <c r="G422" s="57"/>
      <c r="H422" s="57"/>
    </row>
    <row r="423" ht="15.75" customHeight="1">
      <c r="F423" s="57"/>
      <c r="G423" s="57"/>
      <c r="H423" s="57"/>
    </row>
    <row r="424" ht="15.75" customHeight="1">
      <c r="F424" s="57"/>
      <c r="G424" s="57"/>
      <c r="H424" s="57"/>
    </row>
    <row r="425" ht="15.75" customHeight="1">
      <c r="F425" s="57"/>
      <c r="G425" s="57"/>
      <c r="H425" s="57"/>
    </row>
    <row r="426" ht="15.75" customHeight="1">
      <c r="F426" s="57"/>
      <c r="G426" s="57"/>
      <c r="H426" s="57"/>
    </row>
    <row r="427" ht="15.75" customHeight="1">
      <c r="F427" s="57"/>
      <c r="G427" s="57"/>
      <c r="H427" s="57"/>
    </row>
    <row r="428" ht="15.75" customHeight="1">
      <c r="F428" s="57"/>
      <c r="G428" s="57"/>
      <c r="H428" s="57"/>
    </row>
    <row r="429" ht="15.75" customHeight="1">
      <c r="F429" s="57"/>
      <c r="G429" s="57"/>
      <c r="H429" s="57"/>
    </row>
    <row r="430" ht="15.75" customHeight="1">
      <c r="F430" s="57"/>
      <c r="G430" s="57"/>
      <c r="H430" s="57"/>
    </row>
    <row r="431" ht="15.75" customHeight="1">
      <c r="F431" s="57"/>
      <c r="G431" s="57"/>
      <c r="H431" s="57"/>
    </row>
    <row r="432" ht="15.75" customHeight="1">
      <c r="F432" s="57"/>
      <c r="G432" s="57"/>
      <c r="H432" s="57"/>
    </row>
    <row r="433" ht="15.75" customHeight="1">
      <c r="F433" s="57"/>
      <c r="G433" s="57"/>
      <c r="H433" s="57"/>
    </row>
    <row r="434" ht="15.75" customHeight="1">
      <c r="F434" s="57"/>
      <c r="G434" s="57"/>
      <c r="H434" s="57"/>
    </row>
    <row r="435" ht="15.75" customHeight="1">
      <c r="F435" s="57"/>
      <c r="G435" s="57"/>
      <c r="H435" s="57"/>
    </row>
    <row r="436" ht="15.75" customHeight="1">
      <c r="F436" s="57"/>
      <c r="G436" s="57"/>
      <c r="H436" s="57"/>
    </row>
    <row r="437" ht="15.75" customHeight="1">
      <c r="F437" s="57"/>
      <c r="G437" s="57"/>
      <c r="H437" s="57"/>
    </row>
    <row r="438" ht="15.75" customHeight="1">
      <c r="F438" s="57"/>
      <c r="G438" s="57"/>
      <c r="H438" s="57"/>
    </row>
    <row r="439" ht="15.75" customHeight="1">
      <c r="F439" s="57"/>
      <c r="G439" s="57"/>
      <c r="H439" s="57"/>
    </row>
    <row r="440" ht="15.75" customHeight="1">
      <c r="F440" s="57"/>
      <c r="G440" s="57"/>
      <c r="H440" s="57"/>
    </row>
    <row r="441" ht="15.75" customHeight="1">
      <c r="F441" s="57"/>
      <c r="G441" s="57"/>
      <c r="H441" s="57"/>
    </row>
    <row r="442" ht="15.75" customHeight="1">
      <c r="F442" s="57"/>
      <c r="G442" s="57"/>
      <c r="H442" s="57"/>
    </row>
    <row r="443" ht="15.75" customHeight="1">
      <c r="F443" s="57"/>
      <c r="G443" s="57"/>
      <c r="H443" s="57"/>
    </row>
    <row r="444" ht="15.75" customHeight="1">
      <c r="F444" s="57"/>
      <c r="G444" s="57"/>
      <c r="H444" s="57"/>
    </row>
    <row r="445" ht="15.75" customHeight="1">
      <c r="F445" s="57"/>
      <c r="G445" s="57"/>
      <c r="H445" s="57"/>
    </row>
    <row r="446" ht="15.75" customHeight="1">
      <c r="F446" s="57"/>
      <c r="G446" s="57"/>
      <c r="H446" s="57"/>
    </row>
    <row r="447" ht="15.75" customHeight="1">
      <c r="F447" s="57"/>
      <c r="G447" s="57"/>
      <c r="H447" s="57"/>
    </row>
    <row r="448" ht="15.75" customHeight="1">
      <c r="F448" s="57"/>
      <c r="G448" s="57"/>
      <c r="H448" s="57"/>
    </row>
    <row r="449" ht="15.75" customHeight="1">
      <c r="F449" s="57"/>
      <c r="G449" s="57"/>
      <c r="H449" s="57"/>
    </row>
    <row r="450" ht="15.75" customHeight="1">
      <c r="F450" s="57"/>
      <c r="G450" s="57"/>
      <c r="H450" s="57"/>
    </row>
    <row r="451" ht="15.75" customHeight="1">
      <c r="F451" s="57"/>
      <c r="G451" s="57"/>
      <c r="H451" s="57"/>
    </row>
    <row r="452" ht="15.75" customHeight="1">
      <c r="F452" s="57"/>
      <c r="G452" s="57"/>
      <c r="H452" s="57"/>
    </row>
    <row r="453" ht="15.75" customHeight="1">
      <c r="F453" s="57"/>
      <c r="G453" s="57"/>
      <c r="H453" s="57"/>
    </row>
    <row r="454" ht="15.75" customHeight="1">
      <c r="F454" s="57"/>
      <c r="G454" s="57"/>
      <c r="H454" s="57"/>
    </row>
    <row r="455" ht="15.75" customHeight="1">
      <c r="F455" s="57"/>
      <c r="G455" s="57"/>
      <c r="H455" s="57"/>
    </row>
    <row r="456" ht="15.75" customHeight="1">
      <c r="F456" s="57"/>
      <c r="G456" s="57"/>
      <c r="H456" s="57"/>
    </row>
    <row r="457" ht="15.75" customHeight="1">
      <c r="F457" s="57"/>
      <c r="G457" s="57"/>
      <c r="H457" s="57"/>
    </row>
    <row r="458" ht="15.75" customHeight="1">
      <c r="F458" s="57"/>
      <c r="G458" s="57"/>
      <c r="H458" s="57"/>
    </row>
    <row r="459" ht="15.75" customHeight="1">
      <c r="F459" s="57"/>
      <c r="G459" s="57"/>
      <c r="H459" s="57"/>
    </row>
    <row r="460" ht="15.75" customHeight="1">
      <c r="F460" s="57"/>
      <c r="G460" s="57"/>
      <c r="H460" s="57"/>
    </row>
    <row r="461" ht="15.75" customHeight="1">
      <c r="F461" s="57"/>
      <c r="G461" s="57"/>
      <c r="H461" s="57"/>
    </row>
    <row r="462" ht="15.75" customHeight="1">
      <c r="F462" s="57"/>
      <c r="G462" s="57"/>
      <c r="H462" s="57"/>
    </row>
    <row r="463" ht="15.75" customHeight="1">
      <c r="F463" s="57"/>
      <c r="G463" s="57"/>
      <c r="H463" s="57"/>
    </row>
    <row r="464" ht="15.75" customHeight="1">
      <c r="F464" s="57"/>
      <c r="G464" s="57"/>
      <c r="H464" s="57"/>
    </row>
    <row r="465" ht="15.75" customHeight="1">
      <c r="F465" s="57"/>
      <c r="G465" s="57"/>
      <c r="H465" s="57"/>
    </row>
    <row r="466" ht="15.75" customHeight="1">
      <c r="F466" s="57"/>
      <c r="G466" s="57"/>
      <c r="H466" s="57"/>
    </row>
    <row r="467" ht="15.75" customHeight="1">
      <c r="F467" s="57"/>
      <c r="G467" s="57"/>
      <c r="H467" s="57"/>
    </row>
    <row r="468" ht="15.75" customHeight="1">
      <c r="F468" s="57"/>
      <c r="G468" s="57"/>
      <c r="H468" s="57"/>
    </row>
    <row r="469" ht="15.75" customHeight="1">
      <c r="F469" s="57"/>
      <c r="G469" s="57"/>
      <c r="H469" s="57"/>
    </row>
    <row r="470" ht="15.75" customHeight="1">
      <c r="F470" s="57"/>
      <c r="G470" s="57"/>
      <c r="H470" s="57"/>
    </row>
    <row r="471" ht="15.75" customHeight="1">
      <c r="F471" s="57"/>
      <c r="G471" s="57"/>
      <c r="H471" s="57"/>
    </row>
    <row r="472" ht="15.75" customHeight="1">
      <c r="F472" s="57"/>
      <c r="G472" s="57"/>
      <c r="H472" s="57"/>
    </row>
    <row r="473" ht="15.75" customHeight="1">
      <c r="F473" s="57"/>
      <c r="G473" s="57"/>
      <c r="H473" s="57"/>
    </row>
    <row r="474" ht="15.75" customHeight="1">
      <c r="F474" s="57"/>
      <c r="G474" s="57"/>
      <c r="H474" s="57"/>
    </row>
    <row r="475" ht="15.75" customHeight="1">
      <c r="F475" s="57"/>
      <c r="G475" s="57"/>
      <c r="H475" s="57"/>
    </row>
    <row r="476" ht="15.75" customHeight="1">
      <c r="F476" s="57"/>
      <c r="G476" s="57"/>
      <c r="H476" s="57"/>
    </row>
    <row r="477" ht="15.75" customHeight="1">
      <c r="F477" s="57"/>
      <c r="G477" s="57"/>
      <c r="H477" s="57"/>
    </row>
    <row r="478" ht="15.75" customHeight="1">
      <c r="F478" s="57"/>
      <c r="G478" s="57"/>
      <c r="H478" s="57"/>
    </row>
    <row r="479" ht="15.75" customHeight="1">
      <c r="F479" s="57"/>
      <c r="G479" s="57"/>
      <c r="H479" s="57"/>
    </row>
    <row r="480" ht="15.75" customHeight="1">
      <c r="F480" s="57"/>
      <c r="G480" s="57"/>
      <c r="H480" s="57"/>
    </row>
    <row r="481" ht="15.75" customHeight="1">
      <c r="F481" s="57"/>
      <c r="G481" s="57"/>
      <c r="H481" s="57"/>
    </row>
    <row r="482" ht="15.75" customHeight="1">
      <c r="F482" s="57"/>
      <c r="G482" s="57"/>
      <c r="H482" s="57"/>
    </row>
    <row r="483" ht="15.75" customHeight="1">
      <c r="F483" s="57"/>
      <c r="G483" s="57"/>
      <c r="H483" s="57"/>
    </row>
    <row r="484" ht="15.75" customHeight="1">
      <c r="F484" s="57"/>
      <c r="G484" s="57"/>
      <c r="H484" s="57"/>
    </row>
    <row r="485" ht="15.75" customHeight="1">
      <c r="F485" s="57"/>
      <c r="G485" s="57"/>
      <c r="H485" s="57"/>
    </row>
    <row r="486" ht="15.75" customHeight="1">
      <c r="F486" s="57"/>
      <c r="G486" s="57"/>
      <c r="H486" s="57"/>
    </row>
    <row r="487" ht="15.75" customHeight="1">
      <c r="F487" s="57"/>
      <c r="G487" s="57"/>
      <c r="H487" s="57"/>
    </row>
    <row r="488" ht="15.75" customHeight="1">
      <c r="F488" s="57"/>
      <c r="G488" s="57"/>
      <c r="H488" s="57"/>
    </row>
    <row r="489" ht="15.75" customHeight="1">
      <c r="F489" s="57"/>
      <c r="G489" s="57"/>
      <c r="H489" s="57"/>
    </row>
    <row r="490" ht="15.75" customHeight="1">
      <c r="F490" s="57"/>
      <c r="G490" s="57"/>
      <c r="H490" s="57"/>
    </row>
    <row r="491" ht="15.75" customHeight="1">
      <c r="F491" s="57"/>
      <c r="G491" s="57"/>
      <c r="H491" s="57"/>
    </row>
    <row r="492" ht="15.75" customHeight="1">
      <c r="F492" s="57"/>
      <c r="G492" s="57"/>
      <c r="H492" s="57"/>
    </row>
    <row r="493" ht="15.75" customHeight="1">
      <c r="F493" s="57"/>
      <c r="G493" s="57"/>
      <c r="H493" s="57"/>
    </row>
    <row r="494" ht="15.75" customHeight="1">
      <c r="F494" s="57"/>
      <c r="G494" s="57"/>
      <c r="H494" s="57"/>
    </row>
    <row r="495" ht="15.75" customHeight="1">
      <c r="F495" s="57"/>
      <c r="G495" s="57"/>
      <c r="H495" s="57"/>
    </row>
    <row r="496" ht="15.75" customHeight="1">
      <c r="F496" s="57"/>
      <c r="G496" s="57"/>
      <c r="H496" s="57"/>
    </row>
    <row r="497" ht="15.75" customHeight="1">
      <c r="F497" s="57"/>
      <c r="G497" s="57"/>
      <c r="H497" s="57"/>
    </row>
    <row r="498" ht="15.75" customHeight="1">
      <c r="F498" s="57"/>
      <c r="G498" s="57"/>
      <c r="H498" s="57"/>
    </row>
    <row r="499" ht="15.75" customHeight="1">
      <c r="F499" s="57"/>
      <c r="G499" s="57"/>
      <c r="H499" s="57"/>
    </row>
    <row r="500" ht="15.75" customHeight="1">
      <c r="F500" s="57"/>
      <c r="G500" s="57"/>
      <c r="H500" s="57"/>
    </row>
    <row r="501" ht="15.75" customHeight="1">
      <c r="F501" s="57"/>
      <c r="G501" s="57"/>
      <c r="H501" s="57"/>
    </row>
    <row r="502" ht="15.75" customHeight="1">
      <c r="F502" s="57"/>
      <c r="G502" s="57"/>
      <c r="H502" s="57"/>
    </row>
    <row r="503" ht="15.75" customHeight="1">
      <c r="F503" s="57"/>
      <c r="G503" s="57"/>
      <c r="H503" s="57"/>
    </row>
    <row r="504" ht="15.75" customHeight="1">
      <c r="F504" s="57"/>
      <c r="G504" s="57"/>
      <c r="H504" s="57"/>
    </row>
    <row r="505" ht="15.75" customHeight="1">
      <c r="F505" s="57"/>
      <c r="G505" s="57"/>
      <c r="H505" s="57"/>
    </row>
    <row r="506" ht="15.75" customHeight="1">
      <c r="F506" s="57"/>
      <c r="G506" s="57"/>
      <c r="H506" s="57"/>
    </row>
    <row r="507" ht="15.75" customHeight="1">
      <c r="F507" s="57"/>
      <c r="G507" s="57"/>
      <c r="H507" s="57"/>
    </row>
    <row r="508" ht="15.75" customHeight="1">
      <c r="F508" s="57"/>
      <c r="G508" s="57"/>
      <c r="H508" s="57"/>
    </row>
    <row r="509" ht="15.75" customHeight="1">
      <c r="F509" s="57"/>
      <c r="G509" s="57"/>
      <c r="H509" s="57"/>
    </row>
    <row r="510" ht="15.75" customHeight="1">
      <c r="F510" s="57"/>
      <c r="G510" s="57"/>
      <c r="H510" s="57"/>
    </row>
    <row r="511" ht="15.75" customHeight="1">
      <c r="F511" s="57"/>
      <c r="G511" s="57"/>
      <c r="H511" s="57"/>
    </row>
    <row r="512" ht="15.75" customHeight="1">
      <c r="F512" s="57"/>
      <c r="G512" s="57"/>
      <c r="H512" s="57"/>
    </row>
    <row r="513" ht="15.75" customHeight="1">
      <c r="F513" s="57"/>
      <c r="G513" s="57"/>
      <c r="H513" s="57"/>
    </row>
    <row r="514" ht="15.75" customHeight="1">
      <c r="F514" s="57"/>
      <c r="G514" s="57"/>
      <c r="H514" s="57"/>
    </row>
    <row r="515" ht="15.75" customHeight="1">
      <c r="F515" s="57"/>
      <c r="G515" s="57"/>
      <c r="H515" s="57"/>
    </row>
    <row r="516" ht="15.75" customHeight="1">
      <c r="F516" s="57"/>
      <c r="G516" s="57"/>
      <c r="H516" s="57"/>
    </row>
    <row r="517" ht="15.75" customHeight="1">
      <c r="F517" s="57"/>
      <c r="G517" s="57"/>
      <c r="H517" s="57"/>
    </row>
    <row r="518" ht="15.75" customHeight="1">
      <c r="F518" s="57"/>
      <c r="G518" s="57"/>
      <c r="H518" s="57"/>
    </row>
    <row r="519" ht="15.75" customHeight="1">
      <c r="F519" s="57"/>
      <c r="G519" s="57"/>
      <c r="H519" s="57"/>
    </row>
    <row r="520" ht="15.75" customHeight="1">
      <c r="F520" s="57"/>
      <c r="G520" s="57"/>
      <c r="H520" s="57"/>
    </row>
    <row r="521" ht="15.75" customHeight="1">
      <c r="F521" s="57"/>
      <c r="G521" s="57"/>
      <c r="H521" s="57"/>
    </row>
    <row r="522" ht="15.75" customHeight="1">
      <c r="F522" s="57"/>
      <c r="G522" s="57"/>
      <c r="H522" s="57"/>
    </row>
    <row r="523" ht="15.75" customHeight="1">
      <c r="F523" s="57"/>
      <c r="G523" s="57"/>
      <c r="H523" s="57"/>
    </row>
    <row r="524" ht="15.75" customHeight="1">
      <c r="F524" s="57"/>
      <c r="G524" s="57"/>
      <c r="H524" s="57"/>
    </row>
    <row r="525" ht="15.75" customHeight="1">
      <c r="F525" s="57"/>
      <c r="G525" s="57"/>
      <c r="H525" s="57"/>
    </row>
    <row r="526" ht="15.75" customHeight="1">
      <c r="F526" s="57"/>
      <c r="G526" s="57"/>
      <c r="H526" s="57"/>
    </row>
    <row r="527" ht="15.75" customHeight="1">
      <c r="F527" s="57"/>
      <c r="G527" s="57"/>
      <c r="H527" s="57"/>
    </row>
    <row r="528" ht="15.75" customHeight="1">
      <c r="F528" s="57"/>
      <c r="G528" s="57"/>
      <c r="H528" s="57"/>
    </row>
    <row r="529" ht="15.75" customHeight="1">
      <c r="F529" s="57"/>
      <c r="G529" s="57"/>
      <c r="H529" s="57"/>
    </row>
    <row r="530" ht="15.75" customHeight="1">
      <c r="F530" s="57"/>
      <c r="G530" s="57"/>
      <c r="H530" s="57"/>
    </row>
    <row r="531" ht="15.75" customHeight="1">
      <c r="F531" s="57"/>
      <c r="G531" s="57"/>
      <c r="H531" s="57"/>
    </row>
    <row r="532" ht="15.75" customHeight="1">
      <c r="F532" s="57"/>
      <c r="G532" s="57"/>
      <c r="H532" s="57"/>
    </row>
    <row r="533" ht="15.75" customHeight="1">
      <c r="F533" s="57"/>
      <c r="G533" s="57"/>
      <c r="H533" s="57"/>
    </row>
    <row r="534" ht="15.75" customHeight="1">
      <c r="F534" s="57"/>
      <c r="G534" s="57"/>
      <c r="H534" s="57"/>
    </row>
    <row r="535" ht="15.75" customHeight="1">
      <c r="F535" s="57"/>
      <c r="G535" s="57"/>
      <c r="H535" s="57"/>
    </row>
    <row r="536" ht="15.75" customHeight="1">
      <c r="F536" s="57"/>
      <c r="G536" s="57"/>
      <c r="H536" s="57"/>
    </row>
    <row r="537" ht="15.75" customHeight="1">
      <c r="F537" s="57"/>
      <c r="G537" s="57"/>
      <c r="H537" s="57"/>
    </row>
    <row r="538" ht="15.75" customHeight="1">
      <c r="F538" s="57"/>
      <c r="G538" s="57"/>
      <c r="H538" s="57"/>
    </row>
    <row r="539" ht="15.75" customHeight="1">
      <c r="F539" s="57"/>
      <c r="G539" s="57"/>
      <c r="H539" s="57"/>
    </row>
    <row r="540" ht="15.75" customHeight="1">
      <c r="F540" s="57"/>
      <c r="G540" s="57"/>
      <c r="H540" s="57"/>
    </row>
    <row r="541" ht="15.75" customHeight="1">
      <c r="F541" s="57"/>
      <c r="G541" s="57"/>
      <c r="H541" s="57"/>
    </row>
    <row r="542" ht="15.75" customHeight="1">
      <c r="F542" s="57"/>
      <c r="G542" s="57"/>
      <c r="H542" s="57"/>
    </row>
    <row r="543" ht="15.75" customHeight="1">
      <c r="F543" s="57"/>
      <c r="G543" s="57"/>
      <c r="H543" s="57"/>
    </row>
    <row r="544" ht="15.75" customHeight="1">
      <c r="F544" s="57"/>
      <c r="G544" s="57"/>
      <c r="H544" s="57"/>
    </row>
    <row r="545" ht="15.75" customHeight="1">
      <c r="F545" s="57"/>
      <c r="G545" s="57"/>
      <c r="H545" s="57"/>
    </row>
    <row r="546" ht="15.75" customHeight="1">
      <c r="F546" s="57"/>
      <c r="G546" s="57"/>
      <c r="H546" s="57"/>
    </row>
    <row r="547" ht="15.75" customHeight="1">
      <c r="F547" s="57"/>
      <c r="G547" s="57"/>
      <c r="H547" s="57"/>
    </row>
    <row r="548" ht="15.75" customHeight="1">
      <c r="F548" s="57"/>
      <c r="G548" s="57"/>
      <c r="H548" s="57"/>
    </row>
    <row r="549" ht="15.75" customHeight="1">
      <c r="F549" s="57"/>
      <c r="G549" s="57"/>
      <c r="H549" s="57"/>
    </row>
    <row r="550" ht="15.75" customHeight="1">
      <c r="F550" s="57"/>
      <c r="G550" s="57"/>
      <c r="H550" s="57"/>
    </row>
    <row r="551" ht="15.75" customHeight="1">
      <c r="F551" s="57"/>
      <c r="G551" s="57"/>
      <c r="H551" s="57"/>
    </row>
    <row r="552" ht="15.75" customHeight="1">
      <c r="F552" s="57"/>
      <c r="G552" s="57"/>
      <c r="H552" s="57"/>
    </row>
    <row r="553" ht="15.75" customHeight="1">
      <c r="F553" s="57"/>
      <c r="G553" s="57"/>
      <c r="H553" s="57"/>
    </row>
    <row r="554" ht="15.75" customHeight="1">
      <c r="F554" s="57"/>
      <c r="G554" s="57"/>
      <c r="H554" s="57"/>
    </row>
    <row r="555" ht="15.75" customHeight="1">
      <c r="F555" s="57"/>
      <c r="G555" s="57"/>
      <c r="H555" s="57"/>
    </row>
    <row r="556" ht="15.75" customHeight="1">
      <c r="F556" s="57"/>
      <c r="G556" s="57"/>
      <c r="H556" s="57"/>
    </row>
    <row r="557" ht="15.75" customHeight="1">
      <c r="F557" s="57"/>
      <c r="G557" s="57"/>
      <c r="H557" s="57"/>
    </row>
    <row r="558" ht="15.75" customHeight="1">
      <c r="F558" s="57"/>
      <c r="G558" s="57"/>
      <c r="H558" s="57"/>
    </row>
    <row r="559" ht="15.75" customHeight="1">
      <c r="F559" s="57"/>
      <c r="G559" s="57"/>
      <c r="H559" s="57"/>
    </row>
    <row r="560" ht="15.75" customHeight="1">
      <c r="F560" s="57"/>
      <c r="G560" s="57"/>
      <c r="H560" s="57"/>
    </row>
    <row r="561" ht="15.75" customHeight="1">
      <c r="F561" s="57"/>
      <c r="G561" s="57"/>
      <c r="H561" s="57"/>
    </row>
    <row r="562" ht="15.75" customHeight="1">
      <c r="F562" s="57"/>
      <c r="G562" s="57"/>
      <c r="H562" s="57"/>
    </row>
    <row r="563" ht="15.75" customHeight="1">
      <c r="F563" s="57"/>
      <c r="G563" s="57"/>
      <c r="H563" s="57"/>
    </row>
    <row r="564" ht="15.75" customHeight="1">
      <c r="F564" s="57"/>
      <c r="G564" s="57"/>
      <c r="H564" s="57"/>
    </row>
    <row r="565" ht="15.75" customHeight="1">
      <c r="F565" s="57"/>
      <c r="G565" s="57"/>
      <c r="H565" s="57"/>
    </row>
    <row r="566" ht="15.75" customHeight="1">
      <c r="F566" s="57"/>
      <c r="G566" s="57"/>
      <c r="H566" s="57"/>
    </row>
    <row r="567" ht="15.75" customHeight="1">
      <c r="F567" s="57"/>
      <c r="G567" s="57"/>
      <c r="H567" s="57"/>
    </row>
    <row r="568" ht="15.75" customHeight="1">
      <c r="F568" s="57"/>
      <c r="G568" s="57"/>
      <c r="H568" s="57"/>
    </row>
    <row r="569" ht="15.75" customHeight="1">
      <c r="F569" s="57"/>
      <c r="G569" s="57"/>
      <c r="H569" s="57"/>
    </row>
    <row r="570" ht="15.75" customHeight="1">
      <c r="F570" s="57"/>
      <c r="G570" s="57"/>
      <c r="H570" s="57"/>
    </row>
    <row r="571" ht="15.75" customHeight="1">
      <c r="F571" s="57"/>
      <c r="G571" s="57"/>
      <c r="H571" s="57"/>
    </row>
    <row r="572" ht="15.75" customHeight="1">
      <c r="F572" s="57"/>
      <c r="G572" s="57"/>
      <c r="H572" s="57"/>
    </row>
    <row r="573" ht="15.75" customHeight="1">
      <c r="F573" s="57"/>
      <c r="G573" s="57"/>
      <c r="H573" s="57"/>
    </row>
    <row r="574" ht="15.75" customHeight="1">
      <c r="F574" s="57"/>
      <c r="G574" s="57"/>
      <c r="H574" s="57"/>
    </row>
    <row r="575" ht="15.75" customHeight="1">
      <c r="F575" s="57"/>
      <c r="G575" s="57"/>
      <c r="H575" s="57"/>
    </row>
    <row r="576" ht="15.75" customHeight="1">
      <c r="F576" s="57"/>
      <c r="G576" s="57"/>
      <c r="H576" s="57"/>
    </row>
    <row r="577" ht="15.75" customHeight="1">
      <c r="F577" s="57"/>
      <c r="G577" s="57"/>
      <c r="H577" s="57"/>
    </row>
    <row r="578" ht="15.75" customHeight="1">
      <c r="F578" s="57"/>
      <c r="G578" s="57"/>
      <c r="H578" s="57"/>
    </row>
    <row r="579" ht="15.75" customHeight="1">
      <c r="F579" s="57"/>
      <c r="G579" s="57"/>
      <c r="H579" s="57"/>
    </row>
    <row r="580" ht="15.75" customHeight="1">
      <c r="F580" s="57"/>
      <c r="G580" s="57"/>
      <c r="H580" s="57"/>
    </row>
    <row r="581" ht="15.75" customHeight="1">
      <c r="F581" s="57"/>
      <c r="G581" s="57"/>
      <c r="H581" s="57"/>
    </row>
    <row r="582" ht="15.75" customHeight="1">
      <c r="F582" s="57"/>
      <c r="G582" s="57"/>
      <c r="H582" s="57"/>
    </row>
    <row r="583" ht="15.75" customHeight="1">
      <c r="F583" s="57"/>
      <c r="G583" s="57"/>
      <c r="H583" s="57"/>
    </row>
    <row r="584" ht="15.75" customHeight="1">
      <c r="F584" s="57"/>
      <c r="G584" s="57"/>
      <c r="H584" s="57"/>
    </row>
    <row r="585" ht="15.75" customHeight="1">
      <c r="F585" s="57"/>
      <c r="G585" s="57"/>
      <c r="H585" s="57"/>
    </row>
    <row r="586" ht="15.75" customHeight="1">
      <c r="F586" s="57"/>
      <c r="G586" s="57"/>
      <c r="H586" s="57"/>
    </row>
    <row r="587" ht="15.75" customHeight="1">
      <c r="F587" s="57"/>
      <c r="G587" s="57"/>
      <c r="H587" s="57"/>
    </row>
    <row r="588" ht="15.75" customHeight="1">
      <c r="F588" s="57"/>
      <c r="G588" s="57"/>
      <c r="H588" s="57"/>
    </row>
    <row r="589" ht="15.75" customHeight="1">
      <c r="F589" s="57"/>
      <c r="G589" s="57"/>
      <c r="H589" s="57"/>
    </row>
    <row r="590" ht="15.75" customHeight="1">
      <c r="F590" s="57"/>
      <c r="G590" s="57"/>
      <c r="H590" s="57"/>
    </row>
    <row r="591" ht="15.75" customHeight="1">
      <c r="F591" s="57"/>
      <c r="G591" s="57"/>
      <c r="H591" s="57"/>
    </row>
    <row r="592" ht="15.75" customHeight="1">
      <c r="F592" s="57"/>
      <c r="G592" s="57"/>
      <c r="H592" s="57"/>
    </row>
    <row r="593" ht="15.75" customHeight="1">
      <c r="F593" s="57"/>
      <c r="G593" s="57"/>
      <c r="H593" s="57"/>
    </row>
    <row r="594" ht="15.75" customHeight="1">
      <c r="F594" s="57"/>
      <c r="G594" s="57"/>
      <c r="H594" s="57"/>
    </row>
    <row r="595" ht="15.75" customHeight="1">
      <c r="F595" s="57"/>
      <c r="G595" s="57"/>
      <c r="H595" s="57"/>
    </row>
    <row r="596" ht="15.75" customHeight="1">
      <c r="F596" s="57"/>
      <c r="G596" s="57"/>
      <c r="H596" s="57"/>
    </row>
    <row r="597" ht="15.75" customHeight="1">
      <c r="F597" s="57"/>
      <c r="G597" s="57"/>
      <c r="H597" s="57"/>
    </row>
    <row r="598" ht="15.75" customHeight="1">
      <c r="F598" s="57"/>
      <c r="G598" s="57"/>
      <c r="H598" s="57"/>
    </row>
    <row r="599" ht="15.75" customHeight="1">
      <c r="F599" s="57"/>
      <c r="G599" s="57"/>
      <c r="H599" s="57"/>
    </row>
    <row r="600" ht="15.75" customHeight="1">
      <c r="F600" s="57"/>
      <c r="G600" s="57"/>
      <c r="H600" s="57"/>
    </row>
    <row r="601" ht="15.75" customHeight="1">
      <c r="F601" s="57"/>
      <c r="G601" s="57"/>
      <c r="H601" s="57"/>
    </row>
    <row r="602" ht="15.75" customHeight="1">
      <c r="F602" s="57"/>
      <c r="G602" s="57"/>
      <c r="H602" s="57"/>
    </row>
    <row r="603" ht="15.75" customHeight="1">
      <c r="F603" s="57"/>
      <c r="G603" s="57"/>
      <c r="H603" s="57"/>
    </row>
    <row r="604" ht="15.75" customHeight="1">
      <c r="F604" s="57"/>
      <c r="G604" s="57"/>
      <c r="H604" s="57"/>
    </row>
    <row r="605" ht="15.75" customHeight="1">
      <c r="F605" s="57"/>
      <c r="G605" s="57"/>
      <c r="H605" s="57"/>
    </row>
    <row r="606" ht="15.75" customHeight="1">
      <c r="F606" s="57"/>
      <c r="G606" s="57"/>
      <c r="H606" s="57"/>
    </row>
    <row r="607" ht="15.75" customHeight="1">
      <c r="F607" s="57"/>
      <c r="G607" s="57"/>
      <c r="H607" s="57"/>
    </row>
    <row r="608" ht="15.75" customHeight="1">
      <c r="F608" s="57"/>
      <c r="G608" s="57"/>
      <c r="H608" s="57"/>
    </row>
    <row r="609" ht="15.75" customHeight="1">
      <c r="F609" s="57"/>
      <c r="G609" s="57"/>
      <c r="H609" s="57"/>
    </row>
    <row r="610" ht="15.75" customHeight="1">
      <c r="F610" s="57"/>
      <c r="G610" s="57"/>
      <c r="H610" s="57"/>
    </row>
    <row r="611" ht="15.75" customHeight="1">
      <c r="F611" s="57"/>
      <c r="G611" s="57"/>
      <c r="H611" s="57"/>
    </row>
    <row r="612" ht="15.75" customHeight="1">
      <c r="F612" s="57"/>
      <c r="G612" s="57"/>
      <c r="H612" s="57"/>
    </row>
    <row r="613" ht="15.75" customHeight="1">
      <c r="F613" s="57"/>
      <c r="G613" s="57"/>
      <c r="H613" s="57"/>
    </row>
    <row r="614" ht="15.75" customHeight="1">
      <c r="F614" s="57"/>
      <c r="G614" s="57"/>
      <c r="H614" s="57"/>
    </row>
    <row r="615" ht="15.75" customHeight="1">
      <c r="F615" s="57"/>
      <c r="G615" s="57"/>
      <c r="H615" s="57"/>
    </row>
    <row r="616" ht="15.75" customHeight="1">
      <c r="F616" s="57"/>
      <c r="G616" s="57"/>
      <c r="H616" s="57"/>
    </row>
    <row r="617" ht="15.75" customHeight="1">
      <c r="F617" s="57"/>
      <c r="G617" s="57"/>
      <c r="H617" s="57"/>
    </row>
    <row r="618" ht="15.75" customHeight="1">
      <c r="F618" s="57"/>
      <c r="G618" s="57"/>
      <c r="H618" s="57"/>
    </row>
    <row r="619" ht="15.75" customHeight="1">
      <c r="F619" s="57"/>
      <c r="G619" s="57"/>
      <c r="H619" s="57"/>
    </row>
    <row r="620" ht="15.75" customHeight="1">
      <c r="F620" s="57"/>
      <c r="G620" s="57"/>
      <c r="H620" s="57"/>
    </row>
    <row r="621" ht="15.75" customHeight="1">
      <c r="F621" s="57"/>
      <c r="G621" s="57"/>
      <c r="H621" s="57"/>
    </row>
    <row r="622" ht="15.75" customHeight="1">
      <c r="F622" s="57"/>
      <c r="G622" s="57"/>
      <c r="H622" s="57"/>
    </row>
    <row r="623" ht="15.75" customHeight="1">
      <c r="F623" s="57"/>
      <c r="G623" s="57"/>
      <c r="H623" s="57"/>
    </row>
    <row r="624" ht="15.75" customHeight="1">
      <c r="F624" s="57"/>
      <c r="G624" s="57"/>
      <c r="H624" s="57"/>
    </row>
    <row r="625" ht="15.75" customHeight="1">
      <c r="F625" s="57"/>
      <c r="G625" s="57"/>
      <c r="H625" s="57"/>
    </row>
    <row r="626" ht="15.75" customHeight="1">
      <c r="F626" s="57"/>
      <c r="G626" s="57"/>
      <c r="H626" s="57"/>
    </row>
    <row r="627" ht="15.75" customHeight="1">
      <c r="F627" s="57"/>
      <c r="G627" s="57"/>
      <c r="H627" s="57"/>
    </row>
    <row r="628" ht="15.75" customHeight="1">
      <c r="F628" s="57"/>
      <c r="G628" s="57"/>
      <c r="H628" s="57"/>
    </row>
    <row r="629" ht="15.75" customHeight="1">
      <c r="F629" s="57"/>
      <c r="G629" s="57"/>
      <c r="H629" s="57"/>
    </row>
    <row r="630" ht="15.75" customHeight="1">
      <c r="F630" s="57"/>
      <c r="G630" s="57"/>
      <c r="H630" s="57"/>
    </row>
    <row r="631" ht="15.75" customHeight="1">
      <c r="F631" s="57"/>
      <c r="G631" s="57"/>
      <c r="H631" s="57"/>
    </row>
    <row r="632" ht="15.75" customHeight="1">
      <c r="F632" s="57"/>
      <c r="G632" s="57"/>
      <c r="H632" s="57"/>
    </row>
    <row r="633" ht="15.75" customHeight="1">
      <c r="F633" s="57"/>
      <c r="G633" s="57"/>
      <c r="H633" s="57"/>
    </row>
    <row r="634" ht="15.75" customHeight="1">
      <c r="F634" s="57"/>
      <c r="G634" s="57"/>
      <c r="H634" s="57"/>
    </row>
    <row r="635" ht="15.75" customHeight="1">
      <c r="F635" s="57"/>
      <c r="G635" s="57"/>
      <c r="H635" s="57"/>
    </row>
    <row r="636" ht="15.75" customHeight="1">
      <c r="F636" s="57"/>
      <c r="G636" s="57"/>
      <c r="H636" s="57"/>
    </row>
    <row r="637" ht="15.75" customHeight="1">
      <c r="F637" s="57"/>
      <c r="G637" s="57"/>
      <c r="H637" s="57"/>
    </row>
    <row r="638" ht="15.75" customHeight="1">
      <c r="F638" s="57"/>
      <c r="G638" s="57"/>
      <c r="H638" s="57"/>
    </row>
    <row r="639" ht="15.75" customHeight="1">
      <c r="F639" s="57"/>
      <c r="G639" s="57"/>
      <c r="H639" s="57"/>
    </row>
    <row r="640" ht="15.75" customHeight="1">
      <c r="F640" s="57"/>
      <c r="G640" s="57"/>
      <c r="H640" s="57"/>
    </row>
    <row r="641" ht="15.75" customHeight="1">
      <c r="F641" s="57"/>
      <c r="G641" s="57"/>
      <c r="H641" s="57"/>
    </row>
    <row r="642" ht="15.75" customHeight="1">
      <c r="F642" s="57"/>
      <c r="G642" s="57"/>
      <c r="H642" s="57"/>
    </row>
    <row r="643" ht="15.75" customHeight="1">
      <c r="F643" s="57"/>
      <c r="G643" s="57"/>
      <c r="H643" s="57"/>
    </row>
    <row r="644" ht="15.75" customHeight="1">
      <c r="F644" s="57"/>
      <c r="G644" s="57"/>
      <c r="H644" s="57"/>
    </row>
    <row r="645" ht="15.75" customHeight="1">
      <c r="F645" s="57"/>
      <c r="G645" s="57"/>
      <c r="H645" s="57"/>
    </row>
    <row r="646" ht="15.75" customHeight="1">
      <c r="F646" s="57"/>
      <c r="G646" s="57"/>
      <c r="H646" s="57"/>
    </row>
    <row r="647" ht="15.75" customHeight="1">
      <c r="F647" s="57"/>
      <c r="G647" s="57"/>
      <c r="H647" s="57"/>
    </row>
    <row r="648" ht="15.75" customHeight="1">
      <c r="F648" s="57"/>
      <c r="G648" s="57"/>
      <c r="H648" s="57"/>
    </row>
    <row r="649" ht="15.75" customHeight="1">
      <c r="F649" s="57"/>
      <c r="G649" s="57"/>
      <c r="H649" s="57"/>
    </row>
    <row r="650" ht="15.75" customHeight="1">
      <c r="F650" s="57"/>
      <c r="G650" s="57"/>
      <c r="H650" s="57"/>
    </row>
    <row r="651" ht="15.75" customHeight="1">
      <c r="F651" s="57"/>
      <c r="G651" s="57"/>
      <c r="H651" s="57"/>
    </row>
    <row r="652" ht="15.75" customHeight="1">
      <c r="F652" s="57"/>
      <c r="G652" s="57"/>
      <c r="H652" s="57"/>
    </row>
    <row r="653" ht="15.75" customHeight="1">
      <c r="F653" s="57"/>
      <c r="G653" s="57"/>
      <c r="H653" s="57"/>
    </row>
    <row r="654" ht="15.75" customHeight="1">
      <c r="F654" s="57"/>
      <c r="G654" s="57"/>
      <c r="H654" s="57"/>
    </row>
    <row r="655" ht="15.75" customHeight="1">
      <c r="F655" s="57"/>
      <c r="G655" s="57"/>
      <c r="H655" s="57"/>
    </row>
    <row r="656" ht="15.75" customHeight="1">
      <c r="F656" s="57"/>
      <c r="G656" s="57"/>
      <c r="H656" s="57"/>
    </row>
    <row r="657" ht="15.75" customHeight="1">
      <c r="F657" s="57"/>
      <c r="G657" s="57"/>
      <c r="H657" s="57"/>
    </row>
    <row r="658" ht="15.75" customHeight="1">
      <c r="F658" s="57"/>
      <c r="G658" s="57"/>
      <c r="H658" s="57"/>
    </row>
    <row r="659" ht="15.75" customHeight="1">
      <c r="F659" s="57"/>
      <c r="G659" s="57"/>
      <c r="H659" s="57"/>
    </row>
    <row r="660" ht="15.75" customHeight="1">
      <c r="F660" s="57"/>
      <c r="G660" s="57"/>
      <c r="H660" s="57"/>
    </row>
    <row r="661" ht="15.75" customHeight="1">
      <c r="F661" s="57"/>
      <c r="G661" s="57"/>
      <c r="H661" s="57"/>
    </row>
    <row r="662" ht="15.75" customHeight="1">
      <c r="F662" s="57"/>
      <c r="G662" s="57"/>
      <c r="H662" s="57"/>
    </row>
    <row r="663" ht="15.75" customHeight="1">
      <c r="F663" s="57"/>
      <c r="G663" s="57"/>
      <c r="H663" s="57"/>
    </row>
    <row r="664" ht="15.75" customHeight="1">
      <c r="F664" s="57"/>
      <c r="G664" s="57"/>
      <c r="H664" s="57"/>
    </row>
    <row r="665" ht="15.75" customHeight="1">
      <c r="F665" s="57"/>
      <c r="G665" s="57"/>
      <c r="H665" s="57"/>
    </row>
    <row r="666" ht="15.75" customHeight="1">
      <c r="F666" s="57"/>
      <c r="G666" s="57"/>
      <c r="H666" s="57"/>
    </row>
    <row r="667" ht="15.75" customHeight="1">
      <c r="F667" s="57"/>
      <c r="G667" s="57"/>
      <c r="H667" s="57"/>
    </row>
    <row r="668" ht="15.75" customHeight="1">
      <c r="F668" s="57"/>
      <c r="G668" s="57"/>
      <c r="H668" s="57"/>
    </row>
    <row r="669" ht="15.75" customHeight="1">
      <c r="F669" s="57"/>
      <c r="G669" s="57"/>
      <c r="H669" s="57"/>
    </row>
    <row r="670" ht="15.75" customHeight="1">
      <c r="F670" s="57"/>
      <c r="G670" s="57"/>
      <c r="H670" s="57"/>
    </row>
    <row r="671" ht="15.75" customHeight="1">
      <c r="F671" s="57"/>
      <c r="G671" s="57"/>
      <c r="H671" s="57"/>
    </row>
    <row r="672" ht="15.75" customHeight="1">
      <c r="F672" s="57"/>
      <c r="G672" s="57"/>
      <c r="H672" s="57"/>
    </row>
    <row r="673" ht="15.75" customHeight="1">
      <c r="F673" s="57"/>
      <c r="G673" s="57"/>
      <c r="H673" s="57"/>
    </row>
    <row r="674" ht="15.75" customHeight="1">
      <c r="F674" s="57"/>
      <c r="G674" s="57"/>
      <c r="H674" s="57"/>
    </row>
    <row r="675" ht="15.75" customHeight="1">
      <c r="F675" s="57"/>
      <c r="G675" s="57"/>
      <c r="H675" s="57"/>
    </row>
    <row r="676" ht="15.75" customHeight="1">
      <c r="F676" s="57"/>
      <c r="G676" s="57"/>
      <c r="H676" s="57"/>
    </row>
    <row r="677" ht="15.75" customHeight="1">
      <c r="F677" s="57"/>
      <c r="G677" s="57"/>
      <c r="H677" s="57"/>
    </row>
    <row r="678" ht="15.75" customHeight="1">
      <c r="F678" s="57"/>
      <c r="G678" s="57"/>
      <c r="H678" s="57"/>
    </row>
    <row r="679" ht="15.75" customHeight="1">
      <c r="F679" s="57"/>
      <c r="G679" s="57"/>
      <c r="H679" s="57"/>
    </row>
    <row r="680" ht="15.75" customHeight="1">
      <c r="F680" s="57"/>
      <c r="G680" s="57"/>
      <c r="H680" s="57"/>
    </row>
    <row r="681" ht="15.75" customHeight="1">
      <c r="F681" s="57"/>
      <c r="G681" s="57"/>
      <c r="H681" s="57"/>
    </row>
    <row r="682" ht="15.75" customHeight="1">
      <c r="F682" s="57"/>
      <c r="G682" s="57"/>
      <c r="H682" s="57"/>
    </row>
    <row r="683" ht="15.75" customHeight="1">
      <c r="F683" s="57"/>
      <c r="G683" s="57"/>
      <c r="H683" s="57"/>
    </row>
    <row r="684" ht="15.75" customHeight="1">
      <c r="F684" s="57"/>
      <c r="G684" s="57"/>
      <c r="H684" s="57"/>
    </row>
    <row r="685" ht="15.75" customHeight="1">
      <c r="F685" s="57"/>
      <c r="G685" s="57"/>
      <c r="H685" s="57"/>
    </row>
    <row r="686" ht="15.75" customHeight="1">
      <c r="F686" s="57"/>
      <c r="G686" s="57"/>
      <c r="H686" s="57"/>
    </row>
    <row r="687" ht="15.75" customHeight="1">
      <c r="F687" s="57"/>
      <c r="G687" s="57"/>
      <c r="H687" s="57"/>
    </row>
    <row r="688" ht="15.75" customHeight="1">
      <c r="F688" s="57"/>
      <c r="G688" s="57"/>
      <c r="H688" s="57"/>
    </row>
    <row r="689" ht="15.75" customHeight="1">
      <c r="F689" s="57"/>
      <c r="G689" s="57"/>
      <c r="H689" s="57"/>
    </row>
    <row r="690" ht="15.75" customHeight="1">
      <c r="F690" s="57"/>
      <c r="G690" s="57"/>
      <c r="H690" s="57"/>
    </row>
    <row r="691" ht="15.75" customHeight="1">
      <c r="F691" s="57"/>
      <c r="G691" s="57"/>
      <c r="H691" s="57"/>
    </row>
    <row r="692" ht="15.75" customHeight="1">
      <c r="F692" s="57"/>
      <c r="G692" s="57"/>
      <c r="H692" s="57"/>
    </row>
    <row r="693" ht="15.75" customHeight="1">
      <c r="F693" s="57"/>
      <c r="G693" s="57"/>
      <c r="H693" s="57"/>
    </row>
    <row r="694" ht="15.75" customHeight="1">
      <c r="F694" s="57"/>
      <c r="G694" s="57"/>
      <c r="H694" s="57"/>
    </row>
    <row r="695" ht="15.75" customHeight="1">
      <c r="F695" s="57"/>
      <c r="G695" s="57"/>
      <c r="H695" s="57"/>
    </row>
    <row r="696" ht="15.75" customHeight="1">
      <c r="F696" s="57"/>
      <c r="G696" s="57"/>
      <c r="H696" s="57"/>
    </row>
    <row r="697" ht="15.75" customHeight="1">
      <c r="F697" s="57"/>
      <c r="G697" s="57"/>
      <c r="H697" s="57"/>
    </row>
    <row r="698" ht="15.75" customHeight="1">
      <c r="F698" s="57"/>
      <c r="G698" s="57"/>
      <c r="H698" s="57"/>
    </row>
    <row r="699" ht="15.75" customHeight="1">
      <c r="F699" s="57"/>
      <c r="G699" s="57"/>
      <c r="H699" s="57"/>
    </row>
    <row r="700" ht="15.75" customHeight="1">
      <c r="F700" s="57"/>
      <c r="G700" s="57"/>
      <c r="H700" s="57"/>
    </row>
    <row r="701" ht="15.75" customHeight="1">
      <c r="F701" s="57"/>
      <c r="G701" s="57"/>
      <c r="H701" s="57"/>
    </row>
    <row r="702" ht="15.75" customHeight="1">
      <c r="F702" s="57"/>
      <c r="G702" s="57"/>
      <c r="H702" s="57"/>
    </row>
    <row r="703" ht="15.75" customHeight="1">
      <c r="F703" s="57"/>
      <c r="G703" s="57"/>
      <c r="H703" s="57"/>
    </row>
    <row r="704" ht="15.75" customHeight="1">
      <c r="F704" s="57"/>
      <c r="G704" s="57"/>
      <c r="H704" s="57"/>
    </row>
    <row r="705" ht="15.75" customHeight="1">
      <c r="F705" s="57"/>
      <c r="G705" s="57"/>
      <c r="H705" s="57"/>
    </row>
    <row r="706" ht="15.75" customHeight="1">
      <c r="F706" s="57"/>
      <c r="G706" s="57"/>
      <c r="H706" s="57"/>
    </row>
    <row r="707" ht="15.75" customHeight="1">
      <c r="F707" s="57"/>
      <c r="G707" s="57"/>
      <c r="H707" s="57"/>
    </row>
    <row r="708" ht="15.75" customHeight="1">
      <c r="F708" s="57"/>
      <c r="G708" s="57"/>
      <c r="H708" s="57"/>
    </row>
    <row r="709" ht="15.75" customHeight="1">
      <c r="F709" s="57"/>
      <c r="G709" s="57"/>
      <c r="H709" s="57"/>
    </row>
    <row r="710" ht="15.75" customHeight="1">
      <c r="F710" s="57"/>
      <c r="G710" s="57"/>
      <c r="H710" s="57"/>
    </row>
    <row r="711" ht="15.75" customHeight="1">
      <c r="F711" s="57"/>
      <c r="G711" s="57"/>
      <c r="H711" s="57"/>
    </row>
    <row r="712" ht="15.75" customHeight="1">
      <c r="F712" s="57"/>
      <c r="G712" s="57"/>
      <c r="H712" s="57"/>
    </row>
    <row r="713" ht="15.75" customHeight="1">
      <c r="F713" s="57"/>
      <c r="G713" s="57"/>
      <c r="H713" s="57"/>
    </row>
    <row r="714" ht="15.75" customHeight="1">
      <c r="F714" s="57"/>
      <c r="G714" s="57"/>
      <c r="H714" s="57"/>
    </row>
    <row r="715" ht="15.75" customHeight="1">
      <c r="F715" s="57"/>
      <c r="G715" s="57"/>
      <c r="H715" s="57"/>
    </row>
    <row r="716" ht="15.75" customHeight="1">
      <c r="F716" s="57"/>
      <c r="G716" s="57"/>
      <c r="H716" s="57"/>
    </row>
    <row r="717" ht="15.75" customHeight="1">
      <c r="F717" s="57"/>
      <c r="G717" s="57"/>
      <c r="H717" s="57"/>
    </row>
    <row r="718" ht="15.75" customHeight="1">
      <c r="F718" s="57"/>
      <c r="G718" s="57"/>
      <c r="H718" s="57"/>
    </row>
    <row r="719" ht="15.75" customHeight="1">
      <c r="F719" s="57"/>
      <c r="G719" s="57"/>
      <c r="H719" s="57"/>
    </row>
    <row r="720" ht="15.75" customHeight="1">
      <c r="F720" s="57"/>
      <c r="G720" s="57"/>
      <c r="H720" s="57"/>
    </row>
    <row r="721" ht="15.75" customHeight="1">
      <c r="F721" s="57"/>
      <c r="G721" s="57"/>
      <c r="H721" s="57"/>
    </row>
    <row r="722" ht="15.75" customHeight="1">
      <c r="F722" s="57"/>
      <c r="G722" s="57"/>
      <c r="H722" s="57"/>
    </row>
    <row r="723" ht="15.75" customHeight="1">
      <c r="F723" s="57"/>
      <c r="G723" s="57"/>
      <c r="H723" s="57"/>
    </row>
    <row r="724" ht="15.75" customHeight="1">
      <c r="F724" s="57"/>
      <c r="G724" s="57"/>
      <c r="H724" s="57"/>
    </row>
    <row r="725" ht="15.75" customHeight="1">
      <c r="F725" s="57"/>
      <c r="G725" s="57"/>
      <c r="H725" s="57"/>
    </row>
    <row r="726" ht="15.75" customHeight="1">
      <c r="F726" s="57"/>
      <c r="G726" s="57"/>
      <c r="H726" s="57"/>
    </row>
    <row r="727" ht="15.75" customHeight="1">
      <c r="F727" s="57"/>
      <c r="G727" s="57"/>
      <c r="H727" s="57"/>
    </row>
    <row r="728" ht="15.75" customHeight="1">
      <c r="F728" s="57"/>
      <c r="G728" s="57"/>
      <c r="H728" s="57"/>
    </row>
    <row r="729" ht="15.75" customHeight="1">
      <c r="F729" s="57"/>
      <c r="G729" s="57"/>
      <c r="H729" s="57"/>
    </row>
    <row r="730" ht="15.75" customHeight="1">
      <c r="F730" s="57"/>
      <c r="G730" s="57"/>
      <c r="H730" s="57"/>
    </row>
    <row r="731" ht="15.75" customHeight="1">
      <c r="F731" s="57"/>
      <c r="G731" s="57"/>
      <c r="H731" s="57"/>
    </row>
    <row r="732" ht="15.75" customHeight="1">
      <c r="F732" s="57"/>
      <c r="G732" s="57"/>
      <c r="H732" s="57"/>
    </row>
    <row r="733" ht="15.75" customHeight="1">
      <c r="F733" s="57"/>
      <c r="G733" s="57"/>
      <c r="H733" s="57"/>
    </row>
    <row r="734" ht="15.75" customHeight="1">
      <c r="F734" s="57"/>
      <c r="G734" s="57"/>
      <c r="H734" s="57"/>
    </row>
    <row r="735" ht="15.75" customHeight="1">
      <c r="F735" s="57"/>
      <c r="G735" s="57"/>
      <c r="H735" s="57"/>
    </row>
    <row r="736" ht="15.75" customHeight="1">
      <c r="F736" s="57"/>
      <c r="G736" s="57"/>
      <c r="H736" s="57"/>
    </row>
    <row r="737" ht="15.75" customHeight="1">
      <c r="F737" s="57"/>
      <c r="G737" s="57"/>
      <c r="H737" s="57"/>
    </row>
    <row r="738" ht="15.75" customHeight="1">
      <c r="F738" s="57"/>
      <c r="G738" s="57"/>
      <c r="H738" s="57"/>
    </row>
    <row r="739" ht="15.75" customHeight="1">
      <c r="F739" s="57"/>
      <c r="G739" s="57"/>
      <c r="H739" s="57"/>
    </row>
    <row r="740" ht="15.75" customHeight="1">
      <c r="F740" s="57"/>
      <c r="G740" s="57"/>
      <c r="H740" s="57"/>
    </row>
    <row r="741" ht="15.75" customHeight="1">
      <c r="F741" s="57"/>
      <c r="G741" s="57"/>
      <c r="H741" s="57"/>
    </row>
    <row r="742" ht="15.75" customHeight="1">
      <c r="F742" s="57"/>
      <c r="G742" s="57"/>
      <c r="H742" s="57"/>
    </row>
    <row r="743" ht="15.75" customHeight="1">
      <c r="F743" s="57"/>
      <c r="G743" s="57"/>
      <c r="H743" s="57"/>
    </row>
    <row r="744" ht="15.75" customHeight="1">
      <c r="F744" s="57"/>
      <c r="G744" s="57"/>
      <c r="H744" s="57"/>
    </row>
    <row r="745" ht="15.75" customHeight="1">
      <c r="F745" s="57"/>
      <c r="G745" s="57"/>
      <c r="H745" s="57"/>
    </row>
    <row r="746" ht="15.75" customHeight="1">
      <c r="F746" s="57"/>
      <c r="G746" s="57"/>
      <c r="H746" s="57"/>
    </row>
    <row r="747" ht="15.75" customHeight="1">
      <c r="F747" s="57"/>
      <c r="G747" s="57"/>
      <c r="H747" s="57"/>
    </row>
    <row r="748" ht="15.75" customHeight="1">
      <c r="F748" s="57"/>
      <c r="G748" s="57"/>
      <c r="H748" s="57"/>
    </row>
    <row r="749" ht="15.75" customHeight="1">
      <c r="F749" s="57"/>
      <c r="G749" s="57"/>
      <c r="H749" s="57"/>
    </row>
    <row r="750" ht="15.75" customHeight="1">
      <c r="F750" s="57"/>
      <c r="G750" s="57"/>
      <c r="H750" s="57"/>
    </row>
    <row r="751" ht="15.75" customHeight="1">
      <c r="F751" s="57"/>
      <c r="G751" s="57"/>
      <c r="H751" s="57"/>
    </row>
    <row r="752" ht="15.75" customHeight="1">
      <c r="F752" s="57"/>
      <c r="G752" s="57"/>
      <c r="H752" s="57"/>
    </row>
    <row r="753" ht="15.75" customHeight="1">
      <c r="F753" s="57"/>
      <c r="G753" s="57"/>
      <c r="H753" s="57"/>
    </row>
    <row r="754" ht="15.75" customHeight="1">
      <c r="F754" s="57"/>
      <c r="G754" s="57"/>
      <c r="H754" s="57"/>
    </row>
    <row r="755" ht="15.75" customHeight="1">
      <c r="F755" s="57"/>
      <c r="G755" s="57"/>
      <c r="H755" s="57"/>
    </row>
    <row r="756" ht="15.75" customHeight="1">
      <c r="F756" s="57"/>
      <c r="G756" s="57"/>
      <c r="H756" s="57"/>
    </row>
    <row r="757" ht="15.75" customHeight="1">
      <c r="F757" s="57"/>
      <c r="G757" s="57"/>
      <c r="H757" s="57"/>
    </row>
    <row r="758" ht="15.75" customHeight="1">
      <c r="F758" s="57"/>
      <c r="G758" s="57"/>
      <c r="H758" s="57"/>
    </row>
    <row r="759" ht="15.75" customHeight="1">
      <c r="F759" s="57"/>
      <c r="G759" s="57"/>
      <c r="H759" s="57"/>
    </row>
    <row r="760" ht="15.75" customHeight="1">
      <c r="F760" s="57"/>
      <c r="G760" s="57"/>
      <c r="H760" s="57"/>
    </row>
    <row r="761" ht="15.75" customHeight="1">
      <c r="F761" s="57"/>
      <c r="G761" s="57"/>
      <c r="H761" s="57"/>
    </row>
    <row r="762" ht="15.75" customHeight="1">
      <c r="F762" s="57"/>
      <c r="G762" s="57"/>
      <c r="H762" s="57"/>
    </row>
    <row r="763" ht="15.75" customHeight="1">
      <c r="F763" s="57"/>
      <c r="G763" s="57"/>
      <c r="H763" s="57"/>
    </row>
    <row r="764" ht="15.75" customHeight="1">
      <c r="F764" s="57"/>
      <c r="G764" s="57"/>
      <c r="H764" s="57"/>
    </row>
    <row r="765" ht="15.75" customHeight="1">
      <c r="F765" s="57"/>
      <c r="G765" s="57"/>
      <c r="H765" s="57"/>
    </row>
    <row r="766" ht="15.75" customHeight="1">
      <c r="F766" s="57"/>
      <c r="G766" s="57"/>
      <c r="H766" s="57"/>
    </row>
    <row r="767" ht="15.75" customHeight="1">
      <c r="F767" s="57"/>
      <c r="G767" s="57"/>
      <c r="H767" s="57"/>
    </row>
    <row r="768" ht="15.75" customHeight="1">
      <c r="F768" s="57"/>
      <c r="G768" s="57"/>
      <c r="H768" s="57"/>
    </row>
    <row r="769" ht="15.75" customHeight="1">
      <c r="F769" s="57"/>
      <c r="G769" s="57"/>
      <c r="H769" s="57"/>
    </row>
    <row r="770" ht="15.75" customHeight="1">
      <c r="F770" s="57"/>
      <c r="G770" s="57"/>
      <c r="H770" s="57"/>
    </row>
    <row r="771" ht="15.75" customHeight="1">
      <c r="F771" s="57"/>
      <c r="G771" s="57"/>
      <c r="H771" s="57"/>
    </row>
    <row r="772" ht="15.75" customHeight="1">
      <c r="F772" s="57"/>
      <c r="G772" s="57"/>
      <c r="H772" s="57"/>
    </row>
    <row r="773" ht="15.75" customHeight="1">
      <c r="F773" s="57"/>
      <c r="G773" s="57"/>
      <c r="H773" s="57"/>
    </row>
    <row r="774" ht="15.75" customHeight="1">
      <c r="F774" s="57"/>
      <c r="G774" s="57"/>
      <c r="H774" s="57"/>
    </row>
    <row r="775" ht="15.75" customHeight="1">
      <c r="F775" s="57"/>
      <c r="G775" s="57"/>
      <c r="H775" s="57"/>
    </row>
    <row r="776" ht="15.75" customHeight="1">
      <c r="F776" s="57"/>
      <c r="G776" s="57"/>
      <c r="H776" s="57"/>
    </row>
    <row r="777" ht="15.75" customHeight="1">
      <c r="F777" s="57"/>
      <c r="G777" s="57"/>
      <c r="H777" s="57"/>
    </row>
    <row r="778" ht="15.75" customHeight="1">
      <c r="F778" s="57"/>
      <c r="G778" s="57"/>
      <c r="H778" s="57"/>
    </row>
    <row r="779" ht="15.75" customHeight="1">
      <c r="F779" s="57"/>
      <c r="G779" s="57"/>
      <c r="H779" s="57"/>
    </row>
    <row r="780" ht="15.75" customHeight="1">
      <c r="F780" s="57"/>
      <c r="G780" s="57"/>
      <c r="H780" s="57"/>
    </row>
    <row r="781" ht="15.75" customHeight="1">
      <c r="F781" s="57"/>
      <c r="G781" s="57"/>
      <c r="H781" s="57"/>
    </row>
    <row r="782" ht="15.75" customHeight="1">
      <c r="F782" s="57"/>
      <c r="G782" s="57"/>
      <c r="H782" s="57"/>
    </row>
    <row r="783" ht="15.75" customHeight="1">
      <c r="F783" s="57"/>
      <c r="G783" s="57"/>
      <c r="H783" s="57"/>
    </row>
    <row r="784" ht="15.75" customHeight="1">
      <c r="F784" s="57"/>
      <c r="G784" s="57"/>
      <c r="H784" s="57"/>
    </row>
    <row r="785" ht="15.75" customHeight="1">
      <c r="F785" s="57"/>
      <c r="G785" s="57"/>
      <c r="H785" s="57"/>
    </row>
    <row r="786" ht="15.75" customHeight="1">
      <c r="F786" s="57"/>
      <c r="G786" s="57"/>
      <c r="H786" s="57"/>
    </row>
    <row r="787" ht="15.75" customHeight="1">
      <c r="F787" s="57"/>
      <c r="G787" s="57"/>
      <c r="H787" s="57"/>
    </row>
    <row r="788" ht="15.75" customHeight="1">
      <c r="F788" s="57"/>
      <c r="G788" s="57"/>
      <c r="H788" s="57"/>
    </row>
    <row r="789" ht="15.75" customHeight="1">
      <c r="F789" s="57"/>
      <c r="G789" s="57"/>
      <c r="H789" s="57"/>
    </row>
    <row r="790" ht="15.75" customHeight="1">
      <c r="F790" s="57"/>
      <c r="G790" s="57"/>
      <c r="H790" s="57"/>
    </row>
    <row r="791" ht="15.75" customHeight="1">
      <c r="F791" s="57"/>
      <c r="G791" s="57"/>
      <c r="H791" s="57"/>
    </row>
    <row r="792" ht="15.75" customHeight="1">
      <c r="F792" s="57"/>
      <c r="G792" s="57"/>
      <c r="H792" s="57"/>
    </row>
    <row r="793" ht="15.75" customHeight="1">
      <c r="F793" s="57"/>
      <c r="G793" s="57"/>
      <c r="H793" s="57"/>
    </row>
    <row r="794" ht="15.75" customHeight="1">
      <c r="F794" s="57"/>
      <c r="G794" s="57"/>
      <c r="H794" s="57"/>
    </row>
    <row r="795" ht="15.75" customHeight="1">
      <c r="F795" s="57"/>
      <c r="G795" s="57"/>
      <c r="H795" s="57"/>
    </row>
    <row r="796" ht="15.75" customHeight="1">
      <c r="F796" s="57"/>
      <c r="G796" s="57"/>
      <c r="H796" s="57"/>
    </row>
    <row r="797" ht="15.75" customHeight="1">
      <c r="F797" s="57"/>
      <c r="G797" s="57"/>
      <c r="H797" s="57"/>
    </row>
    <row r="798" ht="15.75" customHeight="1">
      <c r="F798" s="57"/>
      <c r="G798" s="57"/>
      <c r="H798" s="57"/>
    </row>
    <row r="799" ht="15.75" customHeight="1">
      <c r="F799" s="57"/>
      <c r="G799" s="57"/>
      <c r="H799" s="57"/>
    </row>
    <row r="800" ht="15.75" customHeight="1">
      <c r="F800" s="57"/>
      <c r="G800" s="57"/>
      <c r="H800" s="57"/>
    </row>
    <row r="801" ht="15.75" customHeight="1">
      <c r="F801" s="57"/>
      <c r="G801" s="57"/>
      <c r="H801" s="57"/>
    </row>
    <row r="802" ht="15.75" customHeight="1">
      <c r="F802" s="57"/>
      <c r="G802" s="57"/>
      <c r="H802" s="57"/>
    </row>
    <row r="803" ht="15.75" customHeight="1">
      <c r="F803" s="57"/>
      <c r="G803" s="57"/>
      <c r="H803" s="57"/>
    </row>
    <row r="804" ht="15.75" customHeight="1">
      <c r="F804" s="57"/>
      <c r="G804" s="57"/>
      <c r="H804" s="57"/>
    </row>
    <row r="805" ht="15.75" customHeight="1">
      <c r="F805" s="57"/>
      <c r="G805" s="57"/>
      <c r="H805" s="57"/>
    </row>
    <row r="806" ht="15.75" customHeight="1">
      <c r="F806" s="57"/>
      <c r="G806" s="57"/>
      <c r="H806" s="57"/>
    </row>
    <row r="807" ht="15.75" customHeight="1">
      <c r="F807" s="57"/>
      <c r="G807" s="57"/>
      <c r="H807" s="57"/>
    </row>
    <row r="808" ht="15.75" customHeight="1">
      <c r="F808" s="57"/>
      <c r="G808" s="57"/>
      <c r="H808" s="57"/>
    </row>
    <row r="809" ht="15.75" customHeight="1">
      <c r="F809" s="57"/>
      <c r="G809" s="57"/>
      <c r="H809" s="57"/>
    </row>
    <row r="810" ht="15.75" customHeight="1">
      <c r="F810" s="57"/>
      <c r="G810" s="57"/>
      <c r="H810" s="57"/>
    </row>
    <row r="811" ht="15.75" customHeight="1">
      <c r="F811" s="57"/>
      <c r="G811" s="57"/>
      <c r="H811" s="57"/>
    </row>
    <row r="812" ht="15.75" customHeight="1">
      <c r="F812" s="57"/>
      <c r="G812" s="57"/>
      <c r="H812" s="57"/>
    </row>
    <row r="813" ht="15.75" customHeight="1">
      <c r="F813" s="57"/>
      <c r="G813" s="57"/>
      <c r="H813" s="57"/>
    </row>
    <row r="814" ht="15.75" customHeight="1">
      <c r="F814" s="57"/>
      <c r="G814" s="57"/>
      <c r="H814" s="57"/>
    </row>
    <row r="815" ht="15.75" customHeight="1">
      <c r="F815" s="57"/>
      <c r="G815" s="57"/>
      <c r="H815" s="57"/>
    </row>
    <row r="816" ht="15.75" customHeight="1">
      <c r="F816" s="57"/>
      <c r="G816" s="57"/>
      <c r="H816" s="57"/>
    </row>
    <row r="817" ht="15.75" customHeight="1">
      <c r="F817" s="57"/>
      <c r="G817" s="57"/>
      <c r="H817" s="57"/>
    </row>
    <row r="818" ht="15.75" customHeight="1">
      <c r="F818" s="57"/>
      <c r="G818" s="57"/>
      <c r="H818" s="57"/>
    </row>
    <row r="819" ht="15.75" customHeight="1">
      <c r="F819" s="57"/>
      <c r="G819" s="57"/>
      <c r="H819" s="57"/>
    </row>
    <row r="820" ht="15.75" customHeight="1">
      <c r="F820" s="57"/>
      <c r="G820" s="57"/>
      <c r="H820" s="57"/>
    </row>
    <row r="821" ht="15.75" customHeight="1">
      <c r="F821" s="57"/>
      <c r="G821" s="57"/>
      <c r="H821" s="57"/>
    </row>
    <row r="822" ht="15.75" customHeight="1">
      <c r="F822" s="57"/>
      <c r="G822" s="57"/>
      <c r="H822" s="57"/>
    </row>
    <row r="823" ht="15.75" customHeight="1">
      <c r="F823" s="57"/>
      <c r="G823" s="57"/>
      <c r="H823" s="57"/>
    </row>
    <row r="824" ht="15.75" customHeight="1">
      <c r="F824" s="57"/>
      <c r="G824" s="57"/>
      <c r="H824" s="57"/>
    </row>
    <row r="825" ht="15.75" customHeight="1">
      <c r="F825" s="57"/>
      <c r="G825" s="57"/>
      <c r="H825" s="57"/>
    </row>
    <row r="826" ht="15.75" customHeight="1">
      <c r="F826" s="57"/>
      <c r="G826" s="57"/>
      <c r="H826" s="57"/>
    </row>
    <row r="827" ht="15.75" customHeight="1">
      <c r="F827" s="57"/>
      <c r="G827" s="57"/>
      <c r="H827" s="57"/>
    </row>
    <row r="828" ht="15.75" customHeight="1">
      <c r="F828" s="57"/>
      <c r="G828" s="57"/>
      <c r="H828" s="57"/>
    </row>
    <row r="829" ht="15.75" customHeight="1">
      <c r="F829" s="57"/>
      <c r="G829" s="57"/>
      <c r="H829" s="57"/>
    </row>
    <row r="830" ht="15.75" customHeight="1">
      <c r="F830" s="57"/>
      <c r="G830" s="57"/>
      <c r="H830" s="57"/>
    </row>
    <row r="831" ht="15.75" customHeight="1">
      <c r="F831" s="57"/>
      <c r="G831" s="57"/>
      <c r="H831" s="57"/>
    </row>
    <row r="832" ht="15.75" customHeight="1">
      <c r="F832" s="57"/>
      <c r="G832" s="57"/>
      <c r="H832" s="57"/>
    </row>
    <row r="833" ht="15.75" customHeight="1">
      <c r="F833" s="57"/>
      <c r="G833" s="57"/>
      <c r="H833" s="57"/>
    </row>
    <row r="834" ht="15.75" customHeight="1">
      <c r="F834" s="57"/>
      <c r="G834" s="57"/>
      <c r="H834" s="57"/>
    </row>
    <row r="835" ht="15.75" customHeight="1">
      <c r="F835" s="57"/>
      <c r="G835" s="57"/>
      <c r="H835" s="57"/>
    </row>
    <row r="836" ht="15.75" customHeight="1">
      <c r="F836" s="57"/>
      <c r="G836" s="57"/>
      <c r="H836" s="57"/>
    </row>
    <row r="837" ht="15.75" customHeight="1">
      <c r="F837" s="57"/>
      <c r="G837" s="57"/>
      <c r="H837" s="57"/>
    </row>
    <row r="838" ht="15.75" customHeight="1">
      <c r="F838" s="57"/>
      <c r="G838" s="57"/>
      <c r="H838" s="57"/>
    </row>
    <row r="839" ht="15.75" customHeight="1">
      <c r="F839" s="57"/>
      <c r="G839" s="57"/>
      <c r="H839" s="57"/>
    </row>
    <row r="840" ht="15.75" customHeight="1">
      <c r="F840" s="57"/>
      <c r="G840" s="57"/>
      <c r="H840" s="57"/>
    </row>
    <row r="841" ht="15.75" customHeight="1">
      <c r="F841" s="57"/>
      <c r="G841" s="57"/>
      <c r="H841" s="57"/>
    </row>
    <row r="842" ht="15.75" customHeight="1">
      <c r="F842" s="57"/>
      <c r="G842" s="57"/>
      <c r="H842" s="57"/>
    </row>
    <row r="843" ht="15.75" customHeight="1">
      <c r="F843" s="57"/>
      <c r="G843" s="57"/>
      <c r="H843" s="57"/>
    </row>
    <row r="844" ht="15.75" customHeight="1">
      <c r="F844" s="57"/>
      <c r="G844" s="57"/>
      <c r="H844" s="57"/>
    </row>
    <row r="845" ht="15.75" customHeight="1">
      <c r="F845" s="57"/>
      <c r="G845" s="57"/>
      <c r="H845" s="57"/>
    </row>
    <row r="846" ht="15.75" customHeight="1">
      <c r="F846" s="57"/>
      <c r="G846" s="57"/>
      <c r="H846" s="57"/>
    </row>
    <row r="847" ht="15.75" customHeight="1">
      <c r="F847" s="57"/>
      <c r="G847" s="57"/>
      <c r="H847" s="57"/>
    </row>
    <row r="848" ht="15.75" customHeight="1">
      <c r="F848" s="57"/>
      <c r="G848" s="57"/>
      <c r="H848" s="57"/>
    </row>
    <row r="849" ht="15.75" customHeight="1">
      <c r="F849" s="57"/>
      <c r="G849" s="57"/>
      <c r="H849" s="57"/>
    </row>
    <row r="850" ht="15.75" customHeight="1">
      <c r="F850" s="57"/>
      <c r="G850" s="57"/>
      <c r="H850" s="57"/>
    </row>
    <row r="851" ht="15.75" customHeight="1">
      <c r="F851" s="57"/>
      <c r="G851" s="57"/>
      <c r="H851" s="57"/>
    </row>
    <row r="852" ht="15.75" customHeight="1">
      <c r="F852" s="57"/>
      <c r="G852" s="57"/>
      <c r="H852" s="57"/>
    </row>
    <row r="853" ht="15.75" customHeight="1">
      <c r="F853" s="57"/>
      <c r="G853" s="57"/>
      <c r="H853" s="57"/>
    </row>
    <row r="854" ht="15.75" customHeight="1">
      <c r="F854" s="57"/>
      <c r="G854" s="57"/>
      <c r="H854" s="57"/>
    </row>
    <row r="855" ht="15.75" customHeight="1">
      <c r="F855" s="57"/>
      <c r="G855" s="57"/>
      <c r="H855" s="57"/>
    </row>
    <row r="856" ht="15.75" customHeight="1">
      <c r="F856" s="57"/>
      <c r="G856" s="57"/>
      <c r="H856" s="57"/>
    </row>
    <row r="857" ht="15.75" customHeight="1">
      <c r="F857" s="57"/>
      <c r="G857" s="57"/>
      <c r="H857" s="57"/>
    </row>
    <row r="858" ht="15.75" customHeight="1">
      <c r="F858" s="57"/>
      <c r="G858" s="57"/>
      <c r="H858" s="57"/>
    </row>
    <row r="859" ht="15.75" customHeight="1">
      <c r="F859" s="57"/>
      <c r="G859" s="57"/>
      <c r="H859" s="57"/>
    </row>
    <row r="860" ht="15.75" customHeight="1">
      <c r="F860" s="57"/>
      <c r="G860" s="57"/>
      <c r="H860" s="57"/>
    </row>
    <row r="861" ht="15.75" customHeight="1">
      <c r="F861" s="57"/>
      <c r="G861" s="57"/>
      <c r="H861" s="57"/>
    </row>
    <row r="862" ht="15.75" customHeight="1">
      <c r="F862" s="57"/>
      <c r="G862" s="57"/>
      <c r="H862" s="57"/>
    </row>
    <row r="863" ht="15.75" customHeight="1">
      <c r="F863" s="57"/>
      <c r="G863" s="57"/>
      <c r="H863" s="57"/>
    </row>
    <row r="864" ht="15.75" customHeight="1">
      <c r="F864" s="57"/>
      <c r="G864" s="57"/>
      <c r="H864" s="57"/>
    </row>
    <row r="865" ht="15.75" customHeight="1">
      <c r="F865" s="57"/>
      <c r="G865" s="57"/>
      <c r="H865" s="57"/>
    </row>
    <row r="866" ht="15.75" customHeight="1">
      <c r="F866" s="57"/>
      <c r="G866" s="57"/>
      <c r="H866" s="57"/>
    </row>
    <row r="867" ht="15.75" customHeight="1">
      <c r="F867" s="57"/>
      <c r="G867" s="57"/>
      <c r="H867" s="57"/>
    </row>
    <row r="868" ht="15.75" customHeight="1">
      <c r="F868" s="57"/>
      <c r="G868" s="57"/>
      <c r="H868" s="57"/>
    </row>
    <row r="869" ht="15.75" customHeight="1">
      <c r="F869" s="57"/>
      <c r="G869" s="57"/>
      <c r="H869" s="57"/>
    </row>
    <row r="870" ht="15.75" customHeight="1">
      <c r="F870" s="57"/>
      <c r="G870" s="57"/>
      <c r="H870" s="57"/>
    </row>
    <row r="871" ht="15.75" customHeight="1">
      <c r="F871" s="57"/>
      <c r="G871" s="57"/>
      <c r="H871" s="57"/>
    </row>
    <row r="872" ht="15.75" customHeight="1">
      <c r="F872" s="57"/>
      <c r="G872" s="57"/>
      <c r="H872" s="57"/>
    </row>
    <row r="873" ht="15.75" customHeight="1">
      <c r="F873" s="57"/>
      <c r="G873" s="57"/>
      <c r="H873" s="57"/>
    </row>
    <row r="874" ht="15.75" customHeight="1">
      <c r="F874" s="57"/>
      <c r="G874" s="57"/>
      <c r="H874" s="57"/>
    </row>
    <row r="875" ht="15.75" customHeight="1">
      <c r="F875" s="57"/>
      <c r="G875" s="57"/>
      <c r="H875" s="57"/>
    </row>
    <row r="876" ht="15.75" customHeight="1">
      <c r="F876" s="57"/>
      <c r="G876" s="57"/>
      <c r="H876" s="57"/>
    </row>
    <row r="877" ht="15.75" customHeight="1">
      <c r="F877" s="57"/>
      <c r="G877" s="57"/>
      <c r="H877" s="57"/>
    </row>
    <row r="878" ht="15.75" customHeight="1">
      <c r="F878" s="57"/>
      <c r="G878" s="57"/>
      <c r="H878" s="57"/>
    </row>
    <row r="879" ht="15.75" customHeight="1">
      <c r="F879" s="57"/>
      <c r="G879" s="57"/>
      <c r="H879" s="57"/>
    </row>
    <row r="880" ht="15.75" customHeight="1">
      <c r="F880" s="57"/>
      <c r="G880" s="57"/>
      <c r="H880" s="57"/>
    </row>
    <row r="881" ht="15.75" customHeight="1">
      <c r="F881" s="57"/>
      <c r="G881" s="57"/>
      <c r="H881" s="57"/>
    </row>
    <row r="882" ht="15.75" customHeight="1">
      <c r="F882" s="57"/>
      <c r="G882" s="57"/>
      <c r="H882" s="57"/>
    </row>
    <row r="883" ht="15.75" customHeight="1">
      <c r="F883" s="57"/>
      <c r="G883" s="57"/>
      <c r="H883" s="57"/>
    </row>
    <row r="884" ht="15.75" customHeight="1">
      <c r="F884" s="57"/>
      <c r="G884" s="57"/>
      <c r="H884" s="57"/>
    </row>
    <row r="885" ht="15.75" customHeight="1">
      <c r="F885" s="57"/>
      <c r="G885" s="57"/>
      <c r="H885" s="57"/>
    </row>
    <row r="886" ht="15.75" customHeight="1">
      <c r="F886" s="57"/>
      <c r="G886" s="57"/>
      <c r="H886" s="57"/>
    </row>
    <row r="887" ht="15.75" customHeight="1">
      <c r="F887" s="57"/>
      <c r="G887" s="57"/>
      <c r="H887" s="57"/>
    </row>
    <row r="888" ht="15.75" customHeight="1">
      <c r="F888" s="57"/>
      <c r="G888" s="57"/>
      <c r="H888" s="57"/>
    </row>
    <row r="889" ht="15.75" customHeight="1">
      <c r="F889" s="57"/>
      <c r="G889" s="57"/>
      <c r="H889" s="57"/>
    </row>
    <row r="890" ht="15.75" customHeight="1">
      <c r="F890" s="57"/>
      <c r="G890" s="57"/>
      <c r="H890" s="57"/>
    </row>
    <row r="891" ht="15.75" customHeight="1">
      <c r="F891" s="57"/>
      <c r="G891" s="57"/>
      <c r="H891" s="57"/>
    </row>
    <row r="892" ht="15.75" customHeight="1">
      <c r="F892" s="57"/>
      <c r="G892" s="57"/>
      <c r="H892" s="57"/>
    </row>
    <row r="893" ht="15.75" customHeight="1">
      <c r="F893" s="57"/>
      <c r="G893" s="57"/>
      <c r="H893" s="57"/>
    </row>
    <row r="894" ht="15.75" customHeight="1">
      <c r="F894" s="57"/>
      <c r="G894" s="57"/>
      <c r="H894" s="57"/>
    </row>
    <row r="895" ht="15.75" customHeight="1">
      <c r="F895" s="57"/>
      <c r="G895" s="57"/>
      <c r="H895" s="57"/>
    </row>
    <row r="896" ht="15.75" customHeight="1">
      <c r="F896" s="57"/>
      <c r="G896" s="57"/>
      <c r="H896" s="57"/>
    </row>
    <row r="897" ht="15.75" customHeight="1">
      <c r="F897" s="57"/>
      <c r="G897" s="57"/>
      <c r="H897" s="57"/>
    </row>
    <row r="898" ht="15.75" customHeight="1">
      <c r="F898" s="57"/>
      <c r="G898" s="57"/>
      <c r="H898" s="57"/>
    </row>
    <row r="899" ht="15.75" customHeight="1">
      <c r="F899" s="57"/>
      <c r="G899" s="57"/>
      <c r="H899" s="57"/>
    </row>
    <row r="900" ht="15.75" customHeight="1">
      <c r="F900" s="57"/>
      <c r="G900" s="57"/>
      <c r="H900" s="57"/>
    </row>
    <row r="901" ht="15.75" customHeight="1">
      <c r="F901" s="57"/>
      <c r="G901" s="57"/>
      <c r="H901" s="57"/>
    </row>
    <row r="902" ht="15.75" customHeight="1">
      <c r="F902" s="57"/>
      <c r="G902" s="57"/>
      <c r="H902" s="57"/>
    </row>
    <row r="903" ht="15.75" customHeight="1">
      <c r="F903" s="57"/>
      <c r="G903" s="57"/>
      <c r="H903" s="57"/>
    </row>
    <row r="904" ht="15.75" customHeight="1">
      <c r="F904" s="57"/>
      <c r="G904" s="57"/>
      <c r="H904" s="57"/>
    </row>
    <row r="905" ht="15.75" customHeight="1">
      <c r="F905" s="57"/>
      <c r="G905" s="57"/>
      <c r="H905" s="57"/>
    </row>
    <row r="906" ht="15.75" customHeight="1">
      <c r="F906" s="57"/>
      <c r="G906" s="57"/>
      <c r="H906" s="57"/>
    </row>
    <row r="907" ht="15.75" customHeight="1">
      <c r="F907" s="57"/>
      <c r="G907" s="57"/>
      <c r="H907" s="57"/>
    </row>
    <row r="908" ht="15.75" customHeight="1">
      <c r="F908" s="57"/>
      <c r="G908" s="57"/>
      <c r="H908" s="57"/>
    </row>
    <row r="909" ht="15.75" customHeight="1">
      <c r="F909" s="57"/>
      <c r="G909" s="57"/>
      <c r="H909" s="57"/>
    </row>
    <row r="910" ht="15.75" customHeight="1">
      <c r="F910" s="57"/>
      <c r="G910" s="57"/>
      <c r="H910" s="57"/>
    </row>
    <row r="911" ht="15.75" customHeight="1">
      <c r="F911" s="57"/>
      <c r="G911" s="57"/>
      <c r="H911" s="57"/>
    </row>
    <row r="912" ht="15.75" customHeight="1">
      <c r="F912" s="57"/>
      <c r="G912" s="57"/>
      <c r="H912" s="57"/>
    </row>
    <row r="913" ht="15.75" customHeight="1">
      <c r="F913" s="57"/>
      <c r="G913" s="57"/>
      <c r="H913" s="57"/>
    </row>
    <row r="914" ht="15.75" customHeight="1">
      <c r="F914" s="57"/>
      <c r="G914" s="57"/>
      <c r="H914" s="57"/>
    </row>
    <row r="915" ht="15.75" customHeight="1">
      <c r="F915" s="57"/>
      <c r="G915" s="57"/>
      <c r="H915" s="57"/>
    </row>
    <row r="916" ht="15.75" customHeight="1">
      <c r="F916" s="57"/>
      <c r="G916" s="57"/>
      <c r="H916" s="57"/>
    </row>
    <row r="917" ht="15.75" customHeight="1">
      <c r="F917" s="57"/>
      <c r="G917" s="57"/>
      <c r="H917" s="57"/>
    </row>
    <row r="918" ht="15.75" customHeight="1">
      <c r="F918" s="57"/>
      <c r="G918" s="57"/>
      <c r="H918" s="57"/>
    </row>
    <row r="919" ht="15.75" customHeight="1">
      <c r="F919" s="57"/>
      <c r="G919" s="57"/>
      <c r="H919" s="57"/>
    </row>
    <row r="920" ht="15.75" customHeight="1">
      <c r="F920" s="57"/>
      <c r="G920" s="57"/>
      <c r="H920" s="57"/>
    </row>
    <row r="921" ht="15.75" customHeight="1">
      <c r="F921" s="57"/>
      <c r="G921" s="57"/>
      <c r="H921" s="57"/>
    </row>
    <row r="922" ht="15.75" customHeight="1">
      <c r="F922" s="57"/>
      <c r="G922" s="57"/>
      <c r="H922" s="57"/>
    </row>
    <row r="923" ht="15.75" customHeight="1">
      <c r="F923" s="57"/>
      <c r="G923" s="57"/>
      <c r="H923" s="57"/>
    </row>
    <row r="924" ht="15.75" customHeight="1">
      <c r="F924" s="57"/>
      <c r="G924" s="57"/>
      <c r="H924" s="57"/>
    </row>
    <row r="925" ht="15.75" customHeight="1">
      <c r="F925" s="57"/>
      <c r="G925" s="57"/>
      <c r="H925" s="57"/>
    </row>
    <row r="926" ht="15.75" customHeight="1">
      <c r="F926" s="57"/>
      <c r="G926" s="57"/>
      <c r="H926" s="57"/>
    </row>
    <row r="927" ht="15.75" customHeight="1">
      <c r="F927" s="57"/>
      <c r="G927" s="57"/>
      <c r="H927" s="57"/>
    </row>
    <row r="928" ht="15.75" customHeight="1">
      <c r="F928" s="57"/>
      <c r="G928" s="57"/>
      <c r="H928" s="57"/>
    </row>
    <row r="929" ht="15.75" customHeight="1">
      <c r="F929" s="57"/>
      <c r="G929" s="57"/>
      <c r="H929" s="57"/>
    </row>
    <row r="930" ht="15.75" customHeight="1">
      <c r="F930" s="57"/>
      <c r="G930" s="57"/>
      <c r="H930" s="57"/>
    </row>
    <row r="931" ht="15.75" customHeight="1">
      <c r="F931" s="57"/>
      <c r="G931" s="57"/>
      <c r="H931" s="57"/>
    </row>
    <row r="932" ht="15.75" customHeight="1">
      <c r="F932" s="57"/>
      <c r="G932" s="57"/>
      <c r="H932" s="57"/>
    </row>
    <row r="933" ht="15.75" customHeight="1">
      <c r="F933" s="57"/>
      <c r="G933" s="57"/>
      <c r="H933" s="57"/>
    </row>
    <row r="934" ht="15.75" customHeight="1">
      <c r="F934" s="57"/>
      <c r="G934" s="57"/>
      <c r="H934" s="57"/>
    </row>
    <row r="935" ht="15.75" customHeight="1">
      <c r="F935" s="57"/>
      <c r="G935" s="57"/>
      <c r="H935" s="57"/>
    </row>
    <row r="936" ht="15.75" customHeight="1">
      <c r="F936" s="57"/>
      <c r="G936" s="57"/>
      <c r="H936" s="57"/>
    </row>
    <row r="937" ht="15.75" customHeight="1">
      <c r="F937" s="57"/>
      <c r="G937" s="57"/>
      <c r="H937" s="57"/>
    </row>
    <row r="938" ht="15.75" customHeight="1">
      <c r="F938" s="57"/>
      <c r="G938" s="57"/>
      <c r="H938" s="57"/>
    </row>
    <row r="939" ht="15.75" customHeight="1">
      <c r="F939" s="57"/>
      <c r="G939" s="57"/>
      <c r="H939" s="57"/>
    </row>
    <row r="940" ht="15.75" customHeight="1">
      <c r="F940" s="57"/>
      <c r="G940" s="57"/>
      <c r="H940" s="57"/>
    </row>
    <row r="941" ht="15.75" customHeight="1">
      <c r="F941" s="57"/>
      <c r="G941" s="57"/>
      <c r="H941" s="57"/>
    </row>
    <row r="942" ht="15.75" customHeight="1">
      <c r="F942" s="57"/>
      <c r="G942" s="57"/>
      <c r="H942" s="57"/>
    </row>
    <row r="943" ht="15.75" customHeight="1">
      <c r="F943" s="57"/>
      <c r="G943" s="57"/>
      <c r="H943" s="57"/>
    </row>
    <row r="944" ht="15.75" customHeight="1">
      <c r="F944" s="57"/>
      <c r="G944" s="57"/>
      <c r="H944" s="57"/>
    </row>
    <row r="945" ht="15.75" customHeight="1">
      <c r="F945" s="57"/>
      <c r="G945" s="57"/>
      <c r="H945" s="57"/>
    </row>
    <row r="946" ht="15.75" customHeight="1">
      <c r="F946" s="57"/>
      <c r="G946" s="57"/>
      <c r="H946" s="57"/>
    </row>
    <row r="947" ht="15.75" customHeight="1">
      <c r="F947" s="57"/>
      <c r="G947" s="57"/>
      <c r="H947" s="57"/>
    </row>
    <row r="948" ht="15.75" customHeight="1">
      <c r="F948" s="57"/>
      <c r="G948" s="57"/>
      <c r="H948" s="57"/>
    </row>
    <row r="949" ht="15.75" customHeight="1">
      <c r="F949" s="57"/>
      <c r="G949" s="57"/>
      <c r="H949" s="57"/>
    </row>
    <row r="950" ht="15.75" customHeight="1">
      <c r="F950" s="57"/>
      <c r="G950" s="57"/>
      <c r="H950" s="57"/>
    </row>
    <row r="951" ht="15.75" customHeight="1">
      <c r="F951" s="57"/>
      <c r="G951" s="57"/>
      <c r="H951" s="57"/>
    </row>
    <row r="952" ht="15.75" customHeight="1">
      <c r="F952" s="57"/>
      <c r="G952" s="57"/>
      <c r="H952" s="57"/>
    </row>
    <row r="953" ht="15.75" customHeight="1">
      <c r="F953" s="57"/>
      <c r="G953" s="57"/>
      <c r="H953" s="57"/>
    </row>
    <row r="954" ht="15.75" customHeight="1">
      <c r="F954" s="57"/>
      <c r="G954" s="57"/>
      <c r="H954" s="57"/>
    </row>
    <row r="955" ht="15.75" customHeight="1">
      <c r="F955" s="57"/>
      <c r="G955" s="57"/>
      <c r="H955" s="57"/>
    </row>
    <row r="956" ht="15.75" customHeight="1">
      <c r="F956" s="57"/>
      <c r="G956" s="57"/>
      <c r="H956" s="57"/>
    </row>
    <row r="957" ht="15.75" customHeight="1">
      <c r="F957" s="57"/>
      <c r="G957" s="57"/>
      <c r="H957" s="57"/>
    </row>
    <row r="958" ht="15.75" customHeight="1">
      <c r="F958" s="57"/>
      <c r="G958" s="57"/>
      <c r="H958" s="57"/>
    </row>
    <row r="959" ht="15.75" customHeight="1">
      <c r="F959" s="57"/>
      <c r="G959" s="57"/>
      <c r="H959" s="57"/>
    </row>
    <row r="960" ht="15.75" customHeight="1">
      <c r="F960" s="57"/>
      <c r="G960" s="57"/>
      <c r="H960" s="57"/>
    </row>
    <row r="961" ht="15.75" customHeight="1">
      <c r="F961" s="57"/>
      <c r="G961" s="57"/>
      <c r="H961" s="57"/>
    </row>
    <row r="962" ht="15.75" customHeight="1">
      <c r="F962" s="57"/>
      <c r="G962" s="57"/>
      <c r="H962" s="57"/>
    </row>
    <row r="963" ht="15.75" customHeight="1">
      <c r="F963" s="57"/>
      <c r="G963" s="57"/>
      <c r="H963" s="57"/>
    </row>
    <row r="964" ht="15.75" customHeight="1">
      <c r="F964" s="57"/>
      <c r="G964" s="57"/>
      <c r="H964" s="57"/>
    </row>
    <row r="965" ht="15.75" customHeight="1">
      <c r="F965" s="57"/>
      <c r="G965" s="57"/>
      <c r="H965" s="57"/>
    </row>
    <row r="966" ht="15.75" customHeight="1">
      <c r="F966" s="57"/>
      <c r="G966" s="57"/>
      <c r="H966" s="57"/>
    </row>
    <row r="967" ht="15.75" customHeight="1">
      <c r="F967" s="57"/>
      <c r="G967" s="57"/>
      <c r="H967" s="57"/>
    </row>
    <row r="968" ht="15.75" customHeight="1">
      <c r="F968" s="57"/>
      <c r="G968" s="57"/>
      <c r="H968" s="57"/>
    </row>
    <row r="969" ht="15.75" customHeight="1">
      <c r="F969" s="57"/>
      <c r="G969" s="57"/>
      <c r="H969" s="57"/>
    </row>
    <row r="970" ht="15.75" customHeight="1">
      <c r="F970" s="57"/>
      <c r="G970" s="57"/>
      <c r="H970" s="57"/>
    </row>
    <row r="971" ht="15.75" customHeight="1">
      <c r="F971" s="57"/>
      <c r="G971" s="57"/>
      <c r="H971" s="57"/>
    </row>
    <row r="972" ht="15.75" customHeight="1">
      <c r="F972" s="57"/>
      <c r="G972" s="57"/>
      <c r="H972" s="57"/>
    </row>
    <row r="973" ht="15.75" customHeight="1">
      <c r="F973" s="57"/>
      <c r="G973" s="57"/>
      <c r="H973" s="57"/>
    </row>
    <row r="974" ht="15.75" customHeight="1">
      <c r="F974" s="57"/>
      <c r="G974" s="57"/>
      <c r="H974" s="57"/>
    </row>
    <row r="975" ht="15.75" customHeight="1">
      <c r="F975" s="57"/>
      <c r="G975" s="57"/>
      <c r="H975" s="57"/>
    </row>
    <row r="976" ht="15.75" customHeight="1">
      <c r="F976" s="57"/>
      <c r="G976" s="57"/>
      <c r="H976" s="57"/>
    </row>
    <row r="977" ht="15.75" customHeight="1">
      <c r="F977" s="57"/>
      <c r="G977" s="57"/>
      <c r="H977" s="57"/>
    </row>
    <row r="978" ht="15.75" customHeight="1">
      <c r="F978" s="57"/>
      <c r="G978" s="57"/>
      <c r="H978" s="57"/>
    </row>
    <row r="979" ht="15.75" customHeight="1">
      <c r="F979" s="57"/>
      <c r="G979" s="57"/>
      <c r="H979" s="57"/>
    </row>
    <row r="980" ht="15.75" customHeight="1">
      <c r="F980" s="57"/>
      <c r="G980" s="57"/>
      <c r="H980" s="57"/>
    </row>
    <row r="981" ht="15.75" customHeight="1">
      <c r="F981" s="57"/>
      <c r="G981" s="57"/>
      <c r="H981" s="57"/>
    </row>
    <row r="982" ht="15.75" customHeight="1">
      <c r="F982" s="57"/>
      <c r="G982" s="57"/>
      <c r="H982" s="57"/>
    </row>
    <row r="983" ht="15.75" customHeight="1">
      <c r="F983" s="57"/>
      <c r="G983" s="57"/>
      <c r="H983" s="57"/>
    </row>
    <row r="984" ht="15.75" customHeight="1">
      <c r="F984" s="57"/>
      <c r="G984" s="57"/>
      <c r="H984" s="57"/>
    </row>
    <row r="985" ht="15.75" customHeight="1">
      <c r="F985" s="57"/>
      <c r="G985" s="57"/>
      <c r="H985" s="57"/>
    </row>
    <row r="986" ht="15.75" customHeight="1">
      <c r="F986" s="57"/>
      <c r="G986" s="57"/>
      <c r="H986" s="57"/>
    </row>
    <row r="987" ht="15.75" customHeight="1">
      <c r="F987" s="57"/>
      <c r="G987" s="57"/>
      <c r="H987" s="57"/>
    </row>
    <row r="988" ht="15.75" customHeight="1">
      <c r="F988" s="57"/>
      <c r="G988" s="57"/>
      <c r="H988" s="57"/>
    </row>
    <row r="989" ht="15.75" customHeight="1">
      <c r="F989" s="57"/>
      <c r="G989" s="57"/>
      <c r="H989" s="57"/>
    </row>
    <row r="990" ht="15.75" customHeight="1">
      <c r="F990" s="57"/>
      <c r="G990" s="57"/>
      <c r="H990" s="57"/>
    </row>
    <row r="991" ht="15.75" customHeight="1">
      <c r="F991" s="57"/>
      <c r="G991" s="57"/>
      <c r="H991" s="57"/>
    </row>
    <row r="992" ht="15.75" customHeight="1">
      <c r="F992" s="57"/>
      <c r="G992" s="57"/>
      <c r="H992" s="57"/>
    </row>
    <row r="993" ht="15.75" customHeight="1">
      <c r="F993" s="57"/>
      <c r="G993" s="57"/>
      <c r="H993" s="57"/>
    </row>
    <row r="994" ht="15.75" customHeight="1">
      <c r="F994" s="57"/>
      <c r="G994" s="57"/>
      <c r="H994" s="57"/>
    </row>
    <row r="995" ht="15.75" customHeight="1">
      <c r="F995" s="57"/>
      <c r="G995" s="57"/>
      <c r="H995" s="57"/>
    </row>
    <row r="996" ht="15.75" customHeight="1">
      <c r="F996" s="57"/>
      <c r="G996" s="57"/>
      <c r="H996" s="57"/>
    </row>
    <row r="997" ht="15.75" customHeight="1">
      <c r="F997" s="57"/>
      <c r="G997" s="57"/>
      <c r="H997" s="57"/>
    </row>
    <row r="998" ht="15.75" customHeight="1">
      <c r="F998" s="57"/>
      <c r="G998" s="57"/>
      <c r="H998" s="57"/>
    </row>
    <row r="999" ht="15.75" customHeight="1">
      <c r="F999" s="57"/>
      <c r="G999" s="57"/>
      <c r="H999" s="57"/>
    </row>
    <row r="1000" ht="15.75" customHeight="1">
      <c r="F1000" s="57"/>
      <c r="G1000" s="57"/>
      <c r="H1000" s="57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  <c r="J1" s="58"/>
    </row>
    <row r="2">
      <c r="A2" s="38" t="s">
        <v>31</v>
      </c>
      <c r="B2" s="38" t="s">
        <v>186</v>
      </c>
      <c r="C2" s="38" t="s">
        <v>2124</v>
      </c>
      <c r="D2" s="38" t="s">
        <v>2123</v>
      </c>
      <c r="E2" s="38" t="s">
        <v>2636</v>
      </c>
      <c r="F2" s="52">
        <v>715.0</v>
      </c>
      <c r="G2" s="52">
        <v>4837900.0</v>
      </c>
      <c r="H2" s="52">
        <v>534820.0</v>
      </c>
    </row>
    <row r="3">
      <c r="A3" s="38" t="s">
        <v>31</v>
      </c>
      <c r="B3" s="38" t="s">
        <v>186</v>
      </c>
      <c r="C3" s="38" t="s">
        <v>2124</v>
      </c>
      <c r="D3" s="38" t="s">
        <v>2123</v>
      </c>
      <c r="E3" s="38" t="s">
        <v>2638</v>
      </c>
      <c r="F3" s="52">
        <v>1221.0</v>
      </c>
      <c r="G3" s="52">
        <v>7982150.0</v>
      </c>
      <c r="H3" s="52">
        <v>850218.0</v>
      </c>
    </row>
    <row r="4">
      <c r="A4" s="38" t="s">
        <v>31</v>
      </c>
      <c r="B4" s="38" t="s">
        <v>186</v>
      </c>
      <c r="C4" s="38" t="s">
        <v>2124</v>
      </c>
      <c r="D4" s="38" t="s">
        <v>2123</v>
      </c>
      <c r="E4" s="38" t="s">
        <v>2640</v>
      </c>
      <c r="F4" s="52">
        <v>236.0</v>
      </c>
      <c r="G4" s="52">
        <v>4176000.0</v>
      </c>
      <c r="H4" s="52">
        <v>442255.0</v>
      </c>
    </row>
    <row r="5">
      <c r="A5" s="38" t="s">
        <v>31</v>
      </c>
      <c r="B5" s="38" t="s">
        <v>186</v>
      </c>
      <c r="C5" s="38" t="s">
        <v>189</v>
      </c>
      <c r="D5" s="38" t="s">
        <v>188</v>
      </c>
      <c r="E5" s="38" t="s">
        <v>2642</v>
      </c>
      <c r="F5" s="52">
        <v>11.0</v>
      </c>
      <c r="G5" s="52">
        <v>434900.0</v>
      </c>
      <c r="H5" s="52">
        <v>45006.0</v>
      </c>
    </row>
    <row r="6">
      <c r="A6" s="38" t="s">
        <v>31</v>
      </c>
      <c r="B6" s="38" t="s">
        <v>117</v>
      </c>
      <c r="C6" s="38" t="s">
        <v>189</v>
      </c>
      <c r="D6" s="38" t="s">
        <v>188</v>
      </c>
      <c r="E6" s="38" t="s">
        <v>2644</v>
      </c>
      <c r="F6" s="52">
        <v>5.0</v>
      </c>
      <c r="G6" s="52">
        <v>69500.0</v>
      </c>
      <c r="H6" s="52">
        <v>7282.0</v>
      </c>
    </row>
    <row r="7">
      <c r="A7" s="38" t="s">
        <v>31</v>
      </c>
      <c r="B7" s="38" t="s">
        <v>117</v>
      </c>
      <c r="C7" s="38" t="s">
        <v>189</v>
      </c>
      <c r="D7" s="38" t="s">
        <v>188</v>
      </c>
      <c r="E7" s="38" t="s">
        <v>2646</v>
      </c>
      <c r="F7" s="52">
        <v>2.0</v>
      </c>
      <c r="G7" s="52">
        <v>41800.0</v>
      </c>
      <c r="H7" s="52">
        <v>2590.0</v>
      </c>
    </row>
    <row r="8">
      <c r="A8" s="38" t="s">
        <v>31</v>
      </c>
      <c r="B8" s="38" t="s">
        <v>186</v>
      </c>
      <c r="C8" s="38" t="s">
        <v>189</v>
      </c>
      <c r="D8" s="38" t="s">
        <v>188</v>
      </c>
      <c r="E8" s="38" t="s">
        <v>2648</v>
      </c>
      <c r="F8" s="52">
        <v>41.0</v>
      </c>
      <c r="G8" s="52">
        <v>430500.0</v>
      </c>
      <c r="H8" s="52">
        <v>46702.0</v>
      </c>
    </row>
    <row r="9">
      <c r="A9" s="38" t="s">
        <v>31</v>
      </c>
      <c r="B9" s="38" t="s">
        <v>186</v>
      </c>
      <c r="C9" s="38" t="s">
        <v>189</v>
      </c>
      <c r="D9" s="38" t="s">
        <v>188</v>
      </c>
      <c r="E9" s="38" t="s">
        <v>2650</v>
      </c>
      <c r="F9" s="52">
        <v>9.0</v>
      </c>
      <c r="G9" s="52">
        <v>125100.0</v>
      </c>
      <c r="H9" s="52">
        <v>13900.0</v>
      </c>
    </row>
    <row r="10">
      <c r="A10" s="38" t="s">
        <v>31</v>
      </c>
      <c r="B10" s="38" t="s">
        <v>186</v>
      </c>
      <c r="C10" s="38" t="s">
        <v>2652</v>
      </c>
      <c r="D10" s="38" t="s">
        <v>948</v>
      </c>
      <c r="E10" s="38" t="s">
        <v>2653</v>
      </c>
      <c r="F10" s="52">
        <v>2024.0</v>
      </c>
      <c r="G10" s="52">
        <v>4857600.0</v>
      </c>
      <c r="H10" s="52">
        <v>269694.0</v>
      </c>
    </row>
    <row r="11">
      <c r="A11" s="38" t="s">
        <v>31</v>
      </c>
      <c r="B11" s="38" t="s">
        <v>186</v>
      </c>
      <c r="C11" s="38" t="s">
        <v>2652</v>
      </c>
      <c r="D11" s="38" t="s">
        <v>948</v>
      </c>
      <c r="E11" s="38" t="s">
        <v>2655</v>
      </c>
      <c r="F11" s="52">
        <v>1290.0</v>
      </c>
      <c r="G11" s="52">
        <v>2967000.0</v>
      </c>
      <c r="H11" s="52">
        <v>141606.0</v>
      </c>
    </row>
    <row r="12">
      <c r="A12" s="38" t="s">
        <v>31</v>
      </c>
      <c r="B12" s="38" t="s">
        <v>186</v>
      </c>
      <c r="C12" s="38" t="s">
        <v>2652</v>
      </c>
      <c r="D12" s="38" t="s">
        <v>948</v>
      </c>
      <c r="E12" s="38" t="s">
        <v>2657</v>
      </c>
      <c r="F12" s="52">
        <v>1079.0</v>
      </c>
      <c r="G12" s="52">
        <v>2697500.0</v>
      </c>
      <c r="H12" s="52">
        <v>121065.0</v>
      </c>
    </row>
    <row r="13">
      <c r="A13" s="38" t="s">
        <v>31</v>
      </c>
      <c r="B13" s="38" t="s">
        <v>186</v>
      </c>
      <c r="C13" s="38" t="s">
        <v>2652</v>
      </c>
      <c r="D13" s="38" t="s">
        <v>948</v>
      </c>
      <c r="E13" s="38" t="s">
        <v>2659</v>
      </c>
      <c r="F13" s="52">
        <v>1161.0</v>
      </c>
      <c r="G13" s="52">
        <v>3250800.0</v>
      </c>
      <c r="H13" s="52">
        <v>168482.0</v>
      </c>
    </row>
    <row r="14">
      <c r="A14" s="38" t="s">
        <v>31</v>
      </c>
      <c r="B14" s="38" t="s">
        <v>186</v>
      </c>
      <c r="C14" s="38" t="s">
        <v>2652</v>
      </c>
      <c r="D14" s="38" t="s">
        <v>948</v>
      </c>
      <c r="E14" s="38" t="s">
        <v>2661</v>
      </c>
      <c r="F14" s="52">
        <v>1595.0</v>
      </c>
      <c r="G14" s="52">
        <v>4466000.0</v>
      </c>
      <c r="H14" s="52">
        <v>250968.0</v>
      </c>
    </row>
    <row r="15">
      <c r="A15" s="38" t="s">
        <v>31</v>
      </c>
      <c r="B15" s="38" t="s">
        <v>186</v>
      </c>
      <c r="C15" s="38" t="s">
        <v>2652</v>
      </c>
      <c r="D15" s="38" t="s">
        <v>948</v>
      </c>
      <c r="E15" s="38" t="s">
        <v>2663</v>
      </c>
      <c r="F15" s="52">
        <v>1812.0</v>
      </c>
      <c r="G15" s="52">
        <v>6342000.0</v>
      </c>
      <c r="H15" s="52">
        <v>291421.0</v>
      </c>
    </row>
    <row r="16">
      <c r="A16" s="38" t="s">
        <v>31</v>
      </c>
      <c r="B16" s="38" t="s">
        <v>186</v>
      </c>
      <c r="C16" s="38" t="s">
        <v>2652</v>
      </c>
      <c r="D16" s="38" t="s">
        <v>948</v>
      </c>
      <c r="E16" s="38" t="s">
        <v>2665</v>
      </c>
      <c r="F16" s="52">
        <v>1164.0</v>
      </c>
      <c r="G16" s="52">
        <v>2060280.0</v>
      </c>
      <c r="H16" s="52">
        <v>99017.0</v>
      </c>
    </row>
    <row r="17">
      <c r="A17" s="38" t="s">
        <v>31</v>
      </c>
      <c r="B17" s="38" t="s">
        <v>186</v>
      </c>
      <c r="C17" s="38" t="s">
        <v>2652</v>
      </c>
      <c r="D17" s="38" t="s">
        <v>948</v>
      </c>
      <c r="E17" s="38" t="s">
        <v>2667</v>
      </c>
      <c r="F17" s="52">
        <v>936.0</v>
      </c>
      <c r="G17" s="52">
        <v>2527200.0</v>
      </c>
      <c r="H17" s="52">
        <v>102269.0</v>
      </c>
    </row>
    <row r="18">
      <c r="A18" s="38" t="s">
        <v>31</v>
      </c>
      <c r="B18" s="38" t="s">
        <v>186</v>
      </c>
      <c r="C18" s="38" t="s">
        <v>2652</v>
      </c>
      <c r="D18" s="38" t="s">
        <v>948</v>
      </c>
      <c r="E18" s="38" t="s">
        <v>2669</v>
      </c>
      <c r="F18" s="52">
        <v>848.0</v>
      </c>
      <c r="G18" s="52">
        <v>2459200.0</v>
      </c>
      <c r="H18" s="52">
        <v>100078.0</v>
      </c>
    </row>
    <row r="19">
      <c r="A19" s="38" t="s">
        <v>31</v>
      </c>
      <c r="B19" s="38" t="s">
        <v>186</v>
      </c>
      <c r="C19" s="38" t="s">
        <v>2652</v>
      </c>
      <c r="D19" s="38" t="s">
        <v>948</v>
      </c>
      <c r="E19" s="38" t="s">
        <v>2671</v>
      </c>
      <c r="F19" s="52">
        <v>1110.0</v>
      </c>
      <c r="G19" s="52">
        <v>2664000.0</v>
      </c>
      <c r="H19" s="52">
        <v>135562.0</v>
      </c>
    </row>
    <row r="20">
      <c r="A20" s="38" t="s">
        <v>31</v>
      </c>
      <c r="B20" s="38" t="s">
        <v>174</v>
      </c>
      <c r="C20" s="38" t="s">
        <v>2652</v>
      </c>
      <c r="D20" s="38" t="s">
        <v>948</v>
      </c>
      <c r="E20" s="38" t="s">
        <v>2673</v>
      </c>
      <c r="F20" s="52">
        <v>798.0</v>
      </c>
      <c r="G20" s="52">
        <v>3910200.0</v>
      </c>
      <c r="H20" s="52">
        <v>188318.0</v>
      </c>
    </row>
    <row r="21" ht="15.75" customHeight="1">
      <c r="A21" s="38" t="s">
        <v>31</v>
      </c>
      <c r="B21" s="38" t="s">
        <v>174</v>
      </c>
      <c r="C21" s="38" t="s">
        <v>2652</v>
      </c>
      <c r="D21" s="38" t="s">
        <v>948</v>
      </c>
      <c r="E21" s="38" t="s">
        <v>2674</v>
      </c>
      <c r="F21" s="52">
        <v>509.0</v>
      </c>
      <c r="G21" s="52">
        <v>3726600.0</v>
      </c>
      <c r="H21" s="52">
        <v>262003.0</v>
      </c>
    </row>
    <row r="22" ht="15.75" customHeight="1">
      <c r="A22" s="38" t="s">
        <v>31</v>
      </c>
      <c r="B22" s="38" t="s">
        <v>186</v>
      </c>
      <c r="C22" s="38" t="s">
        <v>2676</v>
      </c>
      <c r="D22" s="38" t="s">
        <v>1590</v>
      </c>
      <c r="E22" s="38" t="s">
        <v>2677</v>
      </c>
      <c r="F22" s="52">
        <v>34.0</v>
      </c>
      <c r="G22" s="52">
        <v>510000.0</v>
      </c>
      <c r="H22" s="52">
        <v>99000.0</v>
      </c>
    </row>
    <row r="23" ht="15.75" customHeight="1">
      <c r="A23" s="38" t="s">
        <v>31</v>
      </c>
      <c r="B23" s="38" t="s">
        <v>186</v>
      </c>
      <c r="C23" s="38" t="s">
        <v>2676</v>
      </c>
      <c r="D23" s="38" t="s">
        <v>1590</v>
      </c>
      <c r="E23" s="38" t="s">
        <v>2679</v>
      </c>
      <c r="F23" s="52">
        <v>3.0</v>
      </c>
      <c r="G23" s="52">
        <v>45000.0</v>
      </c>
      <c r="H23" s="52">
        <v>4000.0</v>
      </c>
    </row>
    <row r="24" ht="15.75" customHeight="1">
      <c r="A24" s="38" t="s">
        <v>31</v>
      </c>
      <c r="B24" s="38" t="s">
        <v>186</v>
      </c>
      <c r="C24" s="38" t="s">
        <v>1868</v>
      </c>
      <c r="D24" s="38" t="s">
        <v>1867</v>
      </c>
      <c r="E24" s="38" t="s">
        <v>2681</v>
      </c>
      <c r="F24" s="52">
        <v>162.0</v>
      </c>
      <c r="G24" s="52">
        <v>4284960.0</v>
      </c>
      <c r="H24" s="52">
        <v>398576.0</v>
      </c>
    </row>
    <row r="25" ht="15.75" customHeight="1">
      <c r="A25" s="38" t="s">
        <v>31</v>
      </c>
      <c r="B25" s="38" t="s">
        <v>186</v>
      </c>
      <c r="C25" s="38" t="s">
        <v>1868</v>
      </c>
      <c r="D25" s="38" t="s">
        <v>1867</v>
      </c>
      <c r="E25" s="38" t="s">
        <v>2683</v>
      </c>
      <c r="F25" s="52">
        <v>198.0</v>
      </c>
      <c r="G25" s="52">
        <v>5511900.0</v>
      </c>
      <c r="H25" s="52">
        <v>565460.0</v>
      </c>
    </row>
    <row r="26" ht="15.75" customHeight="1">
      <c r="A26" s="38" t="s">
        <v>31</v>
      </c>
      <c r="B26" s="38" t="s">
        <v>186</v>
      </c>
      <c r="C26" s="38" t="s">
        <v>1868</v>
      </c>
      <c r="D26" s="38" t="s">
        <v>1867</v>
      </c>
      <c r="E26" s="38" t="s">
        <v>2685</v>
      </c>
      <c r="F26" s="52">
        <v>31.0</v>
      </c>
      <c r="G26" s="52">
        <v>682000.0</v>
      </c>
      <c r="H26" s="52">
        <v>93600.0</v>
      </c>
    </row>
    <row r="27" ht="15.75" customHeight="1">
      <c r="A27" s="38" t="s">
        <v>31</v>
      </c>
      <c r="B27" s="38" t="s">
        <v>186</v>
      </c>
      <c r="C27" s="38" t="s">
        <v>1868</v>
      </c>
      <c r="D27" s="38" t="s">
        <v>1867</v>
      </c>
      <c r="E27" s="38" t="s">
        <v>2687</v>
      </c>
      <c r="F27" s="52">
        <v>52.0</v>
      </c>
      <c r="G27" s="52">
        <v>1341600.0</v>
      </c>
      <c r="H27" s="52">
        <v>149000.0</v>
      </c>
    </row>
    <row r="28" ht="15.75" customHeight="1">
      <c r="A28" s="38" t="s">
        <v>31</v>
      </c>
      <c r="B28" s="38" t="s">
        <v>186</v>
      </c>
      <c r="C28" s="38" t="s">
        <v>1868</v>
      </c>
      <c r="D28" s="38" t="s">
        <v>1867</v>
      </c>
      <c r="E28" s="38" t="s">
        <v>2689</v>
      </c>
      <c r="F28" s="52">
        <v>38.0</v>
      </c>
      <c r="G28" s="52">
        <v>684000.0</v>
      </c>
      <c r="H28" s="52">
        <v>107056.0</v>
      </c>
    </row>
    <row r="29" ht="15.75" customHeight="1">
      <c r="A29" s="38" t="s">
        <v>31</v>
      </c>
      <c r="B29" s="38" t="s">
        <v>186</v>
      </c>
      <c r="C29" s="38" t="s">
        <v>1868</v>
      </c>
      <c r="D29" s="38" t="s">
        <v>1867</v>
      </c>
      <c r="E29" s="38" t="s">
        <v>2691</v>
      </c>
      <c r="F29" s="52">
        <v>63.0</v>
      </c>
      <c r="G29" s="52">
        <v>1184400.0</v>
      </c>
      <c r="H29" s="52">
        <v>144267.0</v>
      </c>
    </row>
    <row r="30" ht="15.75" customHeight="1">
      <c r="A30" s="38" t="s">
        <v>31</v>
      </c>
      <c r="B30" s="38" t="s">
        <v>117</v>
      </c>
      <c r="C30" s="38" t="s">
        <v>1865</v>
      </c>
      <c r="D30" s="38" t="s">
        <v>1864</v>
      </c>
      <c r="E30" s="38" t="s">
        <v>2692</v>
      </c>
      <c r="F30" s="52">
        <v>2893.0</v>
      </c>
      <c r="G30" s="52">
        <v>1.727607E8</v>
      </c>
      <c r="H30" s="52">
        <v>869369.0</v>
      </c>
    </row>
    <row r="31" ht="15.75" customHeight="1">
      <c r="A31" s="38" t="s">
        <v>31</v>
      </c>
      <c r="B31" s="38" t="s">
        <v>117</v>
      </c>
      <c r="C31" s="38" t="s">
        <v>1865</v>
      </c>
      <c r="D31" s="38" t="s">
        <v>1864</v>
      </c>
      <c r="E31" s="38" t="s">
        <v>2693</v>
      </c>
      <c r="F31" s="52">
        <v>11062.0</v>
      </c>
      <c r="G31" s="52">
        <v>2.8269096E8</v>
      </c>
      <c r="H31" s="52">
        <v>744602.0</v>
      </c>
    </row>
    <row r="32" ht="15.75" customHeight="1">
      <c r="A32" s="38" t="s">
        <v>31</v>
      </c>
      <c r="B32" s="38" t="s">
        <v>117</v>
      </c>
      <c r="C32" s="38" t="s">
        <v>1865</v>
      </c>
      <c r="D32" s="38" t="s">
        <v>1864</v>
      </c>
      <c r="E32" s="38" t="s">
        <v>2694</v>
      </c>
      <c r="F32" s="52">
        <v>5048.0</v>
      </c>
      <c r="G32" s="52">
        <v>6.806532E7</v>
      </c>
      <c r="H32" s="52">
        <v>292764.0</v>
      </c>
    </row>
    <row r="33" ht="15.75" customHeight="1">
      <c r="A33" s="38" t="s">
        <v>31</v>
      </c>
      <c r="B33" s="38" t="s">
        <v>117</v>
      </c>
      <c r="C33" s="38" t="s">
        <v>1865</v>
      </c>
      <c r="D33" s="38" t="s">
        <v>1864</v>
      </c>
      <c r="E33" s="38" t="s">
        <v>2695</v>
      </c>
      <c r="F33" s="52">
        <v>1954.0</v>
      </c>
      <c r="G33" s="52">
        <v>4.874208E7</v>
      </c>
      <c r="H33" s="52">
        <v>230365.0</v>
      </c>
    </row>
    <row r="34" ht="15.75" customHeight="1">
      <c r="A34" s="38" t="s">
        <v>31</v>
      </c>
      <c r="B34" s="38" t="s">
        <v>117</v>
      </c>
      <c r="C34" s="38" t="s">
        <v>1865</v>
      </c>
      <c r="D34" s="38" t="s">
        <v>1864</v>
      </c>
      <c r="E34" s="38" t="s">
        <v>2697</v>
      </c>
      <c r="F34" s="52">
        <v>1297.0</v>
      </c>
      <c r="G34" s="52">
        <v>1.752914E7</v>
      </c>
      <c r="H34" s="52">
        <v>57235.0</v>
      </c>
    </row>
    <row r="35" ht="15.75" customHeight="1">
      <c r="A35" s="38" t="s">
        <v>31</v>
      </c>
      <c r="B35" s="38" t="s">
        <v>117</v>
      </c>
      <c r="C35" s="38" t="s">
        <v>1865</v>
      </c>
      <c r="D35" s="38" t="s">
        <v>1864</v>
      </c>
      <c r="E35" s="38" t="s">
        <v>2699</v>
      </c>
      <c r="F35" s="52">
        <v>199.0</v>
      </c>
      <c r="G35" s="52">
        <v>6930300.0</v>
      </c>
      <c r="H35" s="52">
        <v>60880.0</v>
      </c>
    </row>
    <row r="36" ht="15.75" customHeight="1">
      <c r="A36" s="38" t="s">
        <v>31</v>
      </c>
      <c r="B36" s="38" t="s">
        <v>117</v>
      </c>
      <c r="C36" s="38" t="s">
        <v>1865</v>
      </c>
      <c r="D36" s="38" t="s">
        <v>1864</v>
      </c>
      <c r="E36" s="38" t="s">
        <v>2701</v>
      </c>
      <c r="F36" s="52">
        <v>627.0</v>
      </c>
      <c r="G36" s="52">
        <v>1.095E7</v>
      </c>
      <c r="H36" s="52">
        <v>46147.0</v>
      </c>
    </row>
    <row r="37" ht="15.75" customHeight="1">
      <c r="A37" s="38" t="s">
        <v>31</v>
      </c>
      <c r="B37" s="38" t="s">
        <v>117</v>
      </c>
      <c r="C37" s="38" t="s">
        <v>1865</v>
      </c>
      <c r="D37" s="38" t="s">
        <v>1864</v>
      </c>
      <c r="E37" s="38" t="s">
        <v>2703</v>
      </c>
      <c r="F37" s="52">
        <v>151.0</v>
      </c>
      <c r="G37" s="52">
        <v>5277500.0</v>
      </c>
      <c r="H37" s="52">
        <v>30825.0</v>
      </c>
    </row>
    <row r="38" ht="15.75" customHeight="1">
      <c r="A38" s="38" t="s">
        <v>31</v>
      </c>
      <c r="B38" s="38" t="s">
        <v>117</v>
      </c>
      <c r="C38" s="38" t="s">
        <v>1865</v>
      </c>
      <c r="D38" s="38" t="s">
        <v>1864</v>
      </c>
      <c r="E38" s="38" t="s">
        <v>2705</v>
      </c>
      <c r="F38" s="52">
        <v>1100.0</v>
      </c>
      <c r="G38" s="52">
        <v>1.89409E7</v>
      </c>
      <c r="H38" s="52">
        <v>150554.0</v>
      </c>
    </row>
    <row r="39" ht="15.75" customHeight="1">
      <c r="A39" s="38" t="s">
        <v>31</v>
      </c>
      <c r="B39" s="38" t="s">
        <v>117</v>
      </c>
      <c r="C39" s="38" t="s">
        <v>1865</v>
      </c>
      <c r="D39" s="38" t="s">
        <v>1864</v>
      </c>
      <c r="E39" s="38" t="s">
        <v>2707</v>
      </c>
      <c r="F39" s="52">
        <v>647.0</v>
      </c>
      <c r="G39" s="52">
        <v>2.51683E7</v>
      </c>
      <c r="H39" s="52">
        <v>146974.0</v>
      </c>
    </row>
    <row r="40" ht="15.75" customHeight="1">
      <c r="A40" s="38" t="s">
        <v>31</v>
      </c>
      <c r="B40" s="38" t="s">
        <v>117</v>
      </c>
      <c r="C40" s="38" t="s">
        <v>1865</v>
      </c>
      <c r="D40" s="38" t="s">
        <v>1864</v>
      </c>
      <c r="E40" s="38" t="s">
        <v>2709</v>
      </c>
      <c r="F40" s="52">
        <v>1077.0</v>
      </c>
      <c r="G40" s="52">
        <v>2.46633E7</v>
      </c>
      <c r="H40" s="52">
        <v>119080.0</v>
      </c>
    </row>
    <row r="41" ht="15.75" customHeight="1">
      <c r="A41" s="38" t="s">
        <v>31</v>
      </c>
      <c r="B41" s="38" t="s">
        <v>117</v>
      </c>
      <c r="C41" s="38" t="s">
        <v>2711</v>
      </c>
      <c r="D41" s="38" t="s">
        <v>244</v>
      </c>
      <c r="E41" s="38" t="s">
        <v>2712</v>
      </c>
      <c r="F41" s="52">
        <v>5812.0</v>
      </c>
      <c r="G41" s="52">
        <v>1.730456E7</v>
      </c>
      <c r="H41" s="52">
        <v>933549.0</v>
      </c>
    </row>
    <row r="42" ht="15.75" customHeight="1">
      <c r="A42" s="38" t="s">
        <v>31</v>
      </c>
      <c r="B42" s="38" t="s">
        <v>117</v>
      </c>
      <c r="C42" s="38" t="s">
        <v>2711</v>
      </c>
      <c r="D42" s="38" t="s">
        <v>244</v>
      </c>
      <c r="E42" s="38" t="s">
        <v>2714</v>
      </c>
      <c r="F42" s="52">
        <v>1082.0</v>
      </c>
      <c r="G42" s="52">
        <v>4844550.0</v>
      </c>
      <c r="H42" s="52">
        <v>241272.0</v>
      </c>
    </row>
    <row r="43" ht="15.75" customHeight="1">
      <c r="A43" s="38" t="s">
        <v>31</v>
      </c>
      <c r="B43" s="38" t="s">
        <v>117</v>
      </c>
      <c r="C43" s="38" t="s">
        <v>2711</v>
      </c>
      <c r="D43" s="38" t="s">
        <v>244</v>
      </c>
      <c r="E43" s="38" t="s">
        <v>2716</v>
      </c>
      <c r="F43" s="52">
        <v>5966.0</v>
      </c>
      <c r="G43" s="52">
        <v>1.366214E7</v>
      </c>
      <c r="H43" s="52">
        <v>605756.0</v>
      </c>
    </row>
    <row r="44" ht="15.75" customHeight="1">
      <c r="A44" s="38" t="s">
        <v>31</v>
      </c>
      <c r="B44" s="38" t="s">
        <v>117</v>
      </c>
      <c r="C44" s="38" t="s">
        <v>2711</v>
      </c>
      <c r="D44" s="38" t="s">
        <v>244</v>
      </c>
      <c r="E44" s="38" t="s">
        <v>2718</v>
      </c>
      <c r="F44" s="52">
        <v>8836.0</v>
      </c>
      <c r="G44" s="52">
        <v>9542880.0</v>
      </c>
      <c r="H44" s="52">
        <v>376920.0</v>
      </c>
    </row>
    <row r="45" ht="15.75" customHeight="1">
      <c r="A45" s="38" t="s">
        <v>31</v>
      </c>
      <c r="B45" s="38" t="s">
        <v>186</v>
      </c>
      <c r="C45" s="38" t="s">
        <v>2720</v>
      </c>
      <c r="D45" s="38" t="s">
        <v>1803</v>
      </c>
      <c r="E45" s="38" t="s">
        <v>2721</v>
      </c>
      <c r="F45" s="52">
        <v>8.0</v>
      </c>
      <c r="G45" s="52">
        <v>218000.0</v>
      </c>
      <c r="H45" s="52">
        <v>43600.0</v>
      </c>
    </row>
    <row r="46" ht="15.75" customHeight="1">
      <c r="A46" s="38" t="s">
        <v>31</v>
      </c>
      <c r="B46" s="38" t="s">
        <v>186</v>
      </c>
      <c r="C46" s="38" t="s">
        <v>1492</v>
      </c>
      <c r="D46" s="38" t="s">
        <v>1491</v>
      </c>
      <c r="E46" s="38" t="s">
        <v>2723</v>
      </c>
      <c r="F46" s="52">
        <v>3.0</v>
      </c>
      <c r="G46" s="52">
        <v>43500.0</v>
      </c>
      <c r="H46" s="52">
        <v>2900.0</v>
      </c>
    </row>
    <row r="47" ht="15.75" customHeight="1">
      <c r="A47" s="38" t="s">
        <v>31</v>
      </c>
      <c r="B47" s="38" t="s">
        <v>186</v>
      </c>
      <c r="C47" s="38" t="s">
        <v>1492</v>
      </c>
      <c r="D47" s="38" t="s">
        <v>1491</v>
      </c>
      <c r="E47" s="38" t="s">
        <v>2725</v>
      </c>
      <c r="F47" s="52">
        <v>1.0</v>
      </c>
      <c r="G47" s="52">
        <v>16000.0</v>
      </c>
      <c r="H47" s="52" t="s">
        <v>1800</v>
      </c>
    </row>
    <row r="48" ht="15.75" customHeight="1">
      <c r="A48" s="38" t="s">
        <v>31</v>
      </c>
      <c r="B48" s="38" t="s">
        <v>186</v>
      </c>
      <c r="C48" s="38" t="s">
        <v>1492</v>
      </c>
      <c r="D48" s="38" t="s">
        <v>1491</v>
      </c>
      <c r="E48" s="38" t="s">
        <v>2727</v>
      </c>
      <c r="F48" s="52">
        <v>2.0</v>
      </c>
      <c r="G48" s="52">
        <v>37000.0</v>
      </c>
      <c r="H48" s="52">
        <v>6974.0</v>
      </c>
    </row>
    <row r="49" ht="15.75" customHeight="1">
      <c r="A49" s="38" t="s">
        <v>31</v>
      </c>
      <c r="B49" s="38" t="s">
        <v>186</v>
      </c>
      <c r="C49" s="38" t="s">
        <v>1492</v>
      </c>
      <c r="D49" s="38" t="s">
        <v>1491</v>
      </c>
      <c r="E49" s="38" t="s">
        <v>2728</v>
      </c>
      <c r="F49" s="52">
        <v>5.0</v>
      </c>
      <c r="G49" s="52">
        <v>95000.0</v>
      </c>
      <c r="H49" s="52">
        <v>16726.0</v>
      </c>
    </row>
    <row r="50" ht="15.75" customHeight="1">
      <c r="A50" s="38" t="s">
        <v>31</v>
      </c>
      <c r="B50" s="38" t="s">
        <v>186</v>
      </c>
      <c r="C50" s="38" t="s">
        <v>1492</v>
      </c>
      <c r="D50" s="38" t="s">
        <v>1491</v>
      </c>
      <c r="E50" s="38" t="s">
        <v>2732</v>
      </c>
      <c r="F50" s="52" t="s">
        <v>1800</v>
      </c>
      <c r="G50" s="52" t="s">
        <v>1800</v>
      </c>
      <c r="H50" s="52" t="s">
        <v>1800</v>
      </c>
    </row>
    <row r="51" ht="15.75" customHeight="1">
      <c r="A51" s="38" t="s">
        <v>31</v>
      </c>
      <c r="B51" s="38" t="s">
        <v>186</v>
      </c>
      <c r="C51" s="38" t="s">
        <v>1492</v>
      </c>
      <c r="D51" s="38" t="s">
        <v>1491</v>
      </c>
      <c r="E51" s="38" t="s">
        <v>2734</v>
      </c>
      <c r="F51" s="52">
        <v>2.0</v>
      </c>
      <c r="G51" s="52">
        <v>58000.0</v>
      </c>
      <c r="H51" s="52">
        <v>10000.0</v>
      </c>
    </row>
    <row r="52" ht="15.75" customHeight="1">
      <c r="A52" s="38" t="s">
        <v>31</v>
      </c>
      <c r="B52" s="38" t="s">
        <v>186</v>
      </c>
      <c r="C52" s="38" t="s">
        <v>2736</v>
      </c>
      <c r="D52" s="38" t="s">
        <v>829</v>
      </c>
      <c r="E52" s="38" t="s">
        <v>2737</v>
      </c>
      <c r="F52" s="52">
        <v>917.0</v>
      </c>
      <c r="G52" s="52">
        <v>2109100.0</v>
      </c>
      <c r="H52" s="52">
        <v>190846.0</v>
      </c>
    </row>
    <row r="53" ht="15.75" customHeight="1">
      <c r="A53" s="38" t="s">
        <v>31</v>
      </c>
      <c r="B53" s="38" t="s">
        <v>186</v>
      </c>
      <c r="C53" s="38" t="s">
        <v>2736</v>
      </c>
      <c r="D53" s="38" t="s">
        <v>829</v>
      </c>
      <c r="E53" s="38" t="s">
        <v>2739</v>
      </c>
      <c r="F53" s="52">
        <v>429.0</v>
      </c>
      <c r="G53" s="52">
        <v>986700.0</v>
      </c>
      <c r="H53" s="52">
        <v>70840.0</v>
      </c>
    </row>
    <row r="54" ht="15.75" customHeight="1">
      <c r="A54" s="38" t="s">
        <v>31</v>
      </c>
      <c r="B54" s="38" t="s">
        <v>186</v>
      </c>
      <c r="C54" s="38" t="s">
        <v>2736</v>
      </c>
      <c r="D54" s="38" t="s">
        <v>829</v>
      </c>
      <c r="E54" s="38" t="s">
        <v>2740</v>
      </c>
      <c r="F54" s="52">
        <v>507.0</v>
      </c>
      <c r="G54" s="52">
        <v>1166100.0</v>
      </c>
      <c r="H54" s="52">
        <v>102580.0</v>
      </c>
    </row>
    <row r="55" ht="15.75" customHeight="1">
      <c r="A55" s="38" t="s">
        <v>31</v>
      </c>
      <c r="B55" s="38" t="s">
        <v>186</v>
      </c>
      <c r="C55" s="38" t="s">
        <v>2736</v>
      </c>
      <c r="D55" s="38" t="s">
        <v>829</v>
      </c>
      <c r="E55" s="38" t="s">
        <v>2742</v>
      </c>
      <c r="F55" s="52">
        <v>1390.0</v>
      </c>
      <c r="G55" s="52">
        <v>3266500.0</v>
      </c>
      <c r="H55" s="52">
        <v>248290.0</v>
      </c>
    </row>
    <row r="56" ht="15.75" customHeight="1">
      <c r="A56" s="38" t="s">
        <v>31</v>
      </c>
      <c r="B56" s="38" t="s">
        <v>186</v>
      </c>
      <c r="C56" s="38" t="s">
        <v>2744</v>
      </c>
      <c r="D56" s="38" t="s">
        <v>541</v>
      </c>
      <c r="E56" s="38" t="s">
        <v>2745</v>
      </c>
      <c r="F56" s="52">
        <v>796.0</v>
      </c>
      <c r="G56" s="52">
        <v>1.57608E7</v>
      </c>
      <c r="H56" s="52">
        <v>782518.0</v>
      </c>
    </row>
    <row r="57" ht="15.75" customHeight="1">
      <c r="A57" s="38" t="s">
        <v>31</v>
      </c>
      <c r="B57" s="38" t="s">
        <v>186</v>
      </c>
      <c r="C57" s="38" t="s">
        <v>2744</v>
      </c>
      <c r="D57" s="38" t="s">
        <v>541</v>
      </c>
      <c r="E57" s="38" t="s">
        <v>2747</v>
      </c>
      <c r="F57" s="52">
        <v>1396.0</v>
      </c>
      <c r="G57" s="52">
        <v>1.24942E7</v>
      </c>
      <c r="H57" s="52">
        <v>542370.0</v>
      </c>
    </row>
    <row r="58" ht="15.75" customHeight="1">
      <c r="A58" s="38" t="s">
        <v>31</v>
      </c>
      <c r="B58" s="38" t="s">
        <v>186</v>
      </c>
      <c r="C58" s="38" t="s">
        <v>2744</v>
      </c>
      <c r="D58" s="38" t="s">
        <v>541</v>
      </c>
      <c r="E58" s="38" t="s">
        <v>2749</v>
      </c>
      <c r="F58" s="52">
        <v>1914.0</v>
      </c>
      <c r="G58" s="52">
        <v>1.670922E7</v>
      </c>
      <c r="H58" s="52">
        <v>656496.0</v>
      </c>
    </row>
    <row r="59" ht="15.75" customHeight="1">
      <c r="A59" s="38" t="s">
        <v>31</v>
      </c>
      <c r="B59" s="38" t="s">
        <v>186</v>
      </c>
      <c r="C59" s="38" t="s">
        <v>30</v>
      </c>
      <c r="D59" s="38" t="s">
        <v>29</v>
      </c>
      <c r="E59" s="38" t="s">
        <v>2751</v>
      </c>
      <c r="F59" s="52">
        <v>11893.0</v>
      </c>
      <c r="G59" s="52">
        <v>4.467555E7</v>
      </c>
      <c r="H59" s="52">
        <v>537476.0</v>
      </c>
    </row>
    <row r="60" ht="15.75" customHeight="1">
      <c r="A60" s="38" t="s">
        <v>31</v>
      </c>
      <c r="B60" s="38" t="s">
        <v>186</v>
      </c>
      <c r="C60" s="38" t="s">
        <v>30</v>
      </c>
      <c r="D60" s="38" t="s">
        <v>29</v>
      </c>
      <c r="E60" s="38" t="s">
        <v>2754</v>
      </c>
      <c r="F60" s="52">
        <v>3976.0</v>
      </c>
      <c r="G60" s="52">
        <v>1.51229E7</v>
      </c>
      <c r="H60" s="52">
        <v>168050.0</v>
      </c>
    </row>
    <row r="61" ht="15.75" customHeight="1">
      <c r="A61" s="38" t="s">
        <v>31</v>
      </c>
      <c r="B61" s="38" t="s">
        <v>186</v>
      </c>
      <c r="C61" s="38" t="s">
        <v>30</v>
      </c>
      <c r="D61" s="38" t="s">
        <v>29</v>
      </c>
      <c r="E61" s="38" t="s">
        <v>2756</v>
      </c>
      <c r="F61" s="52">
        <v>4516.0</v>
      </c>
      <c r="G61" s="52">
        <v>1.80576E7</v>
      </c>
      <c r="H61" s="52">
        <v>264320.0</v>
      </c>
    </row>
    <row r="62" ht="15.75" customHeight="1">
      <c r="A62" s="38" t="s">
        <v>31</v>
      </c>
      <c r="B62" s="38" t="s">
        <v>186</v>
      </c>
      <c r="C62" s="38" t="s">
        <v>30</v>
      </c>
      <c r="D62" s="38" t="s">
        <v>29</v>
      </c>
      <c r="E62" s="38" t="s">
        <v>2758</v>
      </c>
      <c r="F62" s="52">
        <v>1895.0</v>
      </c>
      <c r="G62" s="52">
        <v>7331040.0</v>
      </c>
      <c r="H62" s="52">
        <v>83739.0</v>
      </c>
    </row>
    <row r="63" ht="15.75" customHeight="1">
      <c r="A63" s="38" t="s">
        <v>31</v>
      </c>
      <c r="B63" s="38" t="s">
        <v>186</v>
      </c>
      <c r="C63" s="38" t="s">
        <v>30</v>
      </c>
      <c r="D63" s="38" t="s">
        <v>29</v>
      </c>
      <c r="E63" s="38" t="s">
        <v>2760</v>
      </c>
      <c r="F63" s="52">
        <v>1260.0</v>
      </c>
      <c r="G63" s="52">
        <v>8394040.0</v>
      </c>
      <c r="H63" s="52">
        <v>50407.0</v>
      </c>
    </row>
    <row r="64" ht="15.75" customHeight="1">
      <c r="A64" s="38" t="s">
        <v>31</v>
      </c>
      <c r="B64" s="38" t="s">
        <v>117</v>
      </c>
      <c r="C64" s="38" t="s">
        <v>30</v>
      </c>
      <c r="D64" s="38" t="s">
        <v>29</v>
      </c>
      <c r="E64" s="38" t="s">
        <v>2762</v>
      </c>
      <c r="F64" s="52">
        <v>3774.0</v>
      </c>
      <c r="G64" s="52">
        <v>7.840542E7</v>
      </c>
      <c r="H64" s="52">
        <v>901852.0</v>
      </c>
    </row>
    <row r="65" ht="15.75" customHeight="1">
      <c r="A65" s="38" t="s">
        <v>31</v>
      </c>
      <c r="B65" s="38" t="s">
        <v>117</v>
      </c>
      <c r="C65" s="38" t="s">
        <v>2600</v>
      </c>
      <c r="D65" s="38" t="s">
        <v>2599</v>
      </c>
      <c r="E65" s="38" t="s">
        <v>2764</v>
      </c>
      <c r="F65" s="52">
        <v>523.0</v>
      </c>
      <c r="G65" s="52">
        <v>2956680.0</v>
      </c>
      <c r="H65" s="52">
        <v>209074.0</v>
      </c>
    </row>
    <row r="66" ht="15.75" customHeight="1">
      <c r="A66" s="38" t="s">
        <v>31</v>
      </c>
      <c r="B66" s="38" t="s">
        <v>117</v>
      </c>
      <c r="C66" s="38" t="s">
        <v>2600</v>
      </c>
      <c r="D66" s="38" t="s">
        <v>2599</v>
      </c>
      <c r="E66" s="38" t="s">
        <v>2766</v>
      </c>
      <c r="F66" s="52">
        <v>438.0</v>
      </c>
      <c r="G66" s="52">
        <v>2610290.0</v>
      </c>
      <c r="H66" s="52">
        <v>239708.0</v>
      </c>
    </row>
    <row r="67" ht="15.75" customHeight="1">
      <c r="A67" s="38" t="s">
        <v>31</v>
      </c>
      <c r="B67" s="38" t="s">
        <v>117</v>
      </c>
      <c r="C67" s="38" t="s">
        <v>2600</v>
      </c>
      <c r="D67" s="38" t="s">
        <v>2599</v>
      </c>
      <c r="E67" s="38" t="s">
        <v>2768</v>
      </c>
      <c r="F67" s="52">
        <v>873.0</v>
      </c>
      <c r="G67" s="52">
        <v>2595090.0</v>
      </c>
      <c r="H67" s="52">
        <v>236047.0</v>
      </c>
    </row>
    <row r="68" ht="15.75" customHeight="1">
      <c r="A68" s="38" t="s">
        <v>31</v>
      </c>
      <c r="B68" s="38" t="s">
        <v>117</v>
      </c>
      <c r="C68" s="38" t="s">
        <v>2600</v>
      </c>
      <c r="D68" s="38" t="s">
        <v>2599</v>
      </c>
      <c r="E68" s="38" t="s">
        <v>2770</v>
      </c>
      <c r="F68" s="52">
        <v>962.0</v>
      </c>
      <c r="G68" s="52">
        <v>2857980.0</v>
      </c>
      <c r="H68" s="52">
        <v>257810.0</v>
      </c>
    </row>
    <row r="69" ht="15.75" customHeight="1">
      <c r="A69" s="38" t="s">
        <v>31</v>
      </c>
      <c r="B69" s="38" t="s">
        <v>117</v>
      </c>
      <c r="C69" s="38" t="s">
        <v>2600</v>
      </c>
      <c r="D69" s="38" t="s">
        <v>2599</v>
      </c>
      <c r="E69" s="38" t="s">
        <v>2772</v>
      </c>
      <c r="F69" s="52">
        <v>310.0</v>
      </c>
      <c r="G69" s="52">
        <v>718800.0</v>
      </c>
      <c r="H69" s="52">
        <v>43254.0</v>
      </c>
    </row>
    <row r="70" ht="15.75" customHeight="1">
      <c r="A70" s="38" t="s">
        <v>31</v>
      </c>
      <c r="B70" s="38" t="s">
        <v>117</v>
      </c>
      <c r="C70" s="38" t="s">
        <v>2600</v>
      </c>
      <c r="D70" s="38" t="s">
        <v>2599</v>
      </c>
      <c r="E70" s="38" t="s">
        <v>2774</v>
      </c>
      <c r="F70" s="52">
        <v>384.0</v>
      </c>
      <c r="G70" s="52">
        <v>1850580.0</v>
      </c>
      <c r="H70" s="52">
        <v>158506.0</v>
      </c>
    </row>
    <row r="71" ht="15.75" customHeight="1">
      <c r="A71" s="38" t="s">
        <v>31</v>
      </c>
      <c r="B71" s="38" t="s">
        <v>117</v>
      </c>
      <c r="C71" s="38" t="s">
        <v>2600</v>
      </c>
      <c r="D71" s="38" t="s">
        <v>2599</v>
      </c>
      <c r="E71" s="38" t="s">
        <v>2776</v>
      </c>
      <c r="F71" s="52">
        <v>1832.0</v>
      </c>
      <c r="G71" s="52">
        <v>5505140.0</v>
      </c>
      <c r="H71" s="52">
        <v>412760.0</v>
      </c>
    </row>
    <row r="72" ht="15.75" customHeight="1">
      <c r="A72" s="38" t="s">
        <v>31</v>
      </c>
      <c r="B72" s="38" t="s">
        <v>117</v>
      </c>
      <c r="C72" s="38" t="s">
        <v>2600</v>
      </c>
      <c r="D72" s="38" t="s">
        <v>2599</v>
      </c>
      <c r="E72" s="38" t="s">
        <v>2778</v>
      </c>
      <c r="F72" s="52">
        <v>600.0</v>
      </c>
      <c r="G72" s="52">
        <v>1838520.0</v>
      </c>
      <c r="H72" s="52">
        <v>174396.0</v>
      </c>
    </row>
    <row r="73" ht="15.75" customHeight="1">
      <c r="A73" s="38" t="s">
        <v>31</v>
      </c>
      <c r="B73" s="38" t="s">
        <v>117</v>
      </c>
      <c r="C73" s="38" t="s">
        <v>2600</v>
      </c>
      <c r="D73" s="38" t="s">
        <v>2599</v>
      </c>
      <c r="E73" s="38" t="s">
        <v>2781</v>
      </c>
      <c r="F73" s="52">
        <v>800.0</v>
      </c>
      <c r="G73" s="52">
        <v>4197950.0</v>
      </c>
      <c r="H73" s="52">
        <v>351366.0</v>
      </c>
    </row>
    <row r="74" ht="15.75" customHeight="1">
      <c r="A74" s="38" t="s">
        <v>31</v>
      </c>
      <c r="B74" s="38" t="s">
        <v>117</v>
      </c>
      <c r="C74" s="38" t="s">
        <v>2783</v>
      </c>
      <c r="D74" s="38" t="s">
        <v>1798</v>
      </c>
      <c r="E74" s="38" t="s">
        <v>2784</v>
      </c>
      <c r="F74" s="52">
        <v>47521.0</v>
      </c>
      <c r="G74" s="52">
        <v>5.732701E7</v>
      </c>
      <c r="H74" s="52">
        <v>1438182.0</v>
      </c>
    </row>
    <row r="75" ht="15.75" customHeight="1">
      <c r="A75" s="38" t="s">
        <v>31</v>
      </c>
      <c r="B75" s="38" t="s">
        <v>117</v>
      </c>
      <c r="C75" s="38" t="s">
        <v>2783</v>
      </c>
      <c r="D75" s="38" t="s">
        <v>1798</v>
      </c>
      <c r="E75" s="38" t="s">
        <v>2786</v>
      </c>
      <c r="F75" s="52">
        <v>11499.0</v>
      </c>
      <c r="G75" s="52">
        <v>1.252596E7</v>
      </c>
      <c r="H75" s="52">
        <v>370151.0</v>
      </c>
    </row>
    <row r="76" ht="15.75" customHeight="1">
      <c r="A76" s="38" t="s">
        <v>31</v>
      </c>
      <c r="B76" s="38" t="s">
        <v>117</v>
      </c>
      <c r="C76" s="38" t="s">
        <v>2783</v>
      </c>
      <c r="D76" s="38" t="s">
        <v>1798</v>
      </c>
      <c r="E76" s="38" t="s">
        <v>2788</v>
      </c>
      <c r="F76" s="52">
        <v>103070.0</v>
      </c>
      <c r="G76" s="52">
        <v>5.118326E7</v>
      </c>
      <c r="H76" s="52">
        <v>403114.0</v>
      </c>
    </row>
    <row r="77" ht="15.75" customHeight="1">
      <c r="A77" s="38" t="s">
        <v>31</v>
      </c>
      <c r="B77" s="38" t="s">
        <v>117</v>
      </c>
      <c r="C77" s="38" t="s">
        <v>30</v>
      </c>
      <c r="D77" s="38" t="s">
        <v>29</v>
      </c>
      <c r="E77" s="38" t="s">
        <v>2790</v>
      </c>
      <c r="F77" s="52" t="s">
        <v>1800</v>
      </c>
      <c r="G77" s="52" t="s">
        <v>1800</v>
      </c>
      <c r="H77" s="52" t="s">
        <v>1800</v>
      </c>
    </row>
    <row r="78" ht="15.75" customHeight="1">
      <c r="A78" s="38" t="s">
        <v>31</v>
      </c>
      <c r="B78" s="38" t="s">
        <v>117</v>
      </c>
      <c r="C78" s="38" t="s">
        <v>30</v>
      </c>
      <c r="D78" s="38" t="s">
        <v>29</v>
      </c>
      <c r="E78" s="38" t="s">
        <v>2792</v>
      </c>
      <c r="F78" s="52" t="s">
        <v>1800</v>
      </c>
      <c r="G78" s="52" t="s">
        <v>1800</v>
      </c>
      <c r="H78" s="52" t="s">
        <v>1800</v>
      </c>
    </row>
    <row r="79" ht="15.75" customHeight="1">
      <c r="A79" s="38" t="s">
        <v>31</v>
      </c>
      <c r="B79" s="38" t="s">
        <v>117</v>
      </c>
      <c r="C79" s="38" t="s">
        <v>30</v>
      </c>
      <c r="D79" s="38" t="s">
        <v>29</v>
      </c>
      <c r="E79" s="38" t="s">
        <v>2793</v>
      </c>
      <c r="F79" s="52" t="s">
        <v>1800</v>
      </c>
      <c r="G79" s="52" t="s">
        <v>1800</v>
      </c>
      <c r="H79" s="52" t="s">
        <v>1800</v>
      </c>
    </row>
    <row r="80" ht="15.75" customHeight="1">
      <c r="A80" s="38" t="s">
        <v>31</v>
      </c>
      <c r="B80" s="38" t="s">
        <v>117</v>
      </c>
      <c r="C80" s="38" t="s">
        <v>30</v>
      </c>
      <c r="D80" s="38" t="s">
        <v>29</v>
      </c>
      <c r="E80" s="38" t="s">
        <v>2794</v>
      </c>
      <c r="F80" s="52" t="s">
        <v>1800</v>
      </c>
      <c r="G80" s="52" t="s">
        <v>1800</v>
      </c>
      <c r="H80" s="52" t="s">
        <v>1800</v>
      </c>
    </row>
    <row r="81" ht="15.75" customHeight="1">
      <c r="A81" s="38" t="s">
        <v>31</v>
      </c>
      <c r="B81" s="38" t="s">
        <v>117</v>
      </c>
      <c r="C81" s="38" t="s">
        <v>30</v>
      </c>
      <c r="D81" s="38" t="s">
        <v>29</v>
      </c>
      <c r="E81" s="38" t="s">
        <v>2795</v>
      </c>
      <c r="F81" s="52" t="s">
        <v>1800</v>
      </c>
      <c r="G81" s="52" t="s">
        <v>1800</v>
      </c>
      <c r="H81" s="52" t="s">
        <v>1800</v>
      </c>
    </row>
    <row r="82" ht="15.75" customHeight="1">
      <c r="A82" s="38" t="s">
        <v>31</v>
      </c>
      <c r="B82" s="38" t="s">
        <v>117</v>
      </c>
      <c r="C82" s="38" t="s">
        <v>30</v>
      </c>
      <c r="D82" s="38" t="s">
        <v>29</v>
      </c>
      <c r="E82" s="38" t="s">
        <v>2796</v>
      </c>
      <c r="F82" s="52">
        <v>2.0</v>
      </c>
      <c r="G82" s="52">
        <v>20800.0</v>
      </c>
      <c r="H82" s="52">
        <v>4160.0</v>
      </c>
    </row>
    <row r="83" ht="15.75" customHeight="1">
      <c r="A83" s="38" t="s">
        <v>31</v>
      </c>
      <c r="B83" s="38" t="s">
        <v>117</v>
      </c>
      <c r="C83" s="38" t="s">
        <v>30</v>
      </c>
      <c r="D83" s="38" t="s">
        <v>29</v>
      </c>
      <c r="E83" s="38" t="s">
        <v>2797</v>
      </c>
      <c r="F83" s="52">
        <v>1.0</v>
      </c>
      <c r="G83" s="52">
        <v>12400.0</v>
      </c>
      <c r="H83" s="52">
        <v>2480.0</v>
      </c>
    </row>
    <row r="84" ht="15.75" customHeight="1">
      <c r="A84" s="38" t="s">
        <v>31</v>
      </c>
      <c r="B84" s="38" t="s">
        <v>117</v>
      </c>
      <c r="C84" s="38" t="s">
        <v>30</v>
      </c>
      <c r="D84" s="38" t="s">
        <v>29</v>
      </c>
      <c r="E84" s="38" t="s">
        <v>2798</v>
      </c>
      <c r="F84" s="52" t="s">
        <v>1800</v>
      </c>
      <c r="G84" s="52" t="s">
        <v>1800</v>
      </c>
      <c r="H84" s="52" t="s">
        <v>1800</v>
      </c>
    </row>
    <row r="85" ht="15.75" customHeight="1">
      <c r="A85" s="38" t="s">
        <v>31</v>
      </c>
      <c r="B85" s="38" t="s">
        <v>186</v>
      </c>
      <c r="C85" s="38" t="s">
        <v>149</v>
      </c>
      <c r="D85" s="38" t="s">
        <v>148</v>
      </c>
      <c r="E85" s="38" t="s">
        <v>2799</v>
      </c>
      <c r="F85" s="52">
        <v>3.0</v>
      </c>
      <c r="G85" s="52">
        <v>96000.0</v>
      </c>
      <c r="H85" s="52" t="s">
        <v>1800</v>
      </c>
    </row>
    <row r="86" ht="15.75" customHeight="1">
      <c r="A86" s="38" t="s">
        <v>31</v>
      </c>
      <c r="B86" s="38" t="s">
        <v>186</v>
      </c>
      <c r="C86" s="38" t="s">
        <v>149</v>
      </c>
      <c r="D86" s="38" t="s">
        <v>148</v>
      </c>
      <c r="E86" s="38" t="s">
        <v>2800</v>
      </c>
      <c r="F86" s="52">
        <v>4.0</v>
      </c>
      <c r="G86" s="52">
        <v>132000.0</v>
      </c>
      <c r="H86" s="52">
        <v>6600.0</v>
      </c>
    </row>
    <row r="87" ht="15.75" customHeight="1">
      <c r="A87" s="38" t="s">
        <v>31</v>
      </c>
      <c r="B87" s="38" t="s">
        <v>186</v>
      </c>
      <c r="C87" s="38" t="s">
        <v>149</v>
      </c>
      <c r="D87" s="38" t="s">
        <v>148</v>
      </c>
      <c r="E87" s="38" t="s">
        <v>2801</v>
      </c>
      <c r="F87" s="52">
        <v>1.0</v>
      </c>
      <c r="G87" s="52">
        <v>40000.0</v>
      </c>
      <c r="H87" s="52">
        <v>8000.0</v>
      </c>
    </row>
    <row r="88" ht="15.75" customHeight="1">
      <c r="A88" s="38" t="s">
        <v>31</v>
      </c>
      <c r="B88" s="38" t="s">
        <v>117</v>
      </c>
      <c r="C88" s="38" t="s">
        <v>149</v>
      </c>
      <c r="D88" s="38" t="s">
        <v>148</v>
      </c>
      <c r="E88" s="38" t="s">
        <v>2802</v>
      </c>
      <c r="F88" s="52">
        <v>24.0</v>
      </c>
      <c r="G88" s="52">
        <v>1032000.0</v>
      </c>
      <c r="H88" s="52">
        <v>77400.0</v>
      </c>
    </row>
    <row r="89" ht="15.75" customHeight="1">
      <c r="A89" s="38" t="s">
        <v>31</v>
      </c>
      <c r="B89" s="38" t="s">
        <v>186</v>
      </c>
      <c r="C89" s="38" t="s">
        <v>149</v>
      </c>
      <c r="D89" s="38" t="s">
        <v>148</v>
      </c>
      <c r="E89" s="38" t="s">
        <v>2803</v>
      </c>
      <c r="F89" s="52">
        <v>1.0</v>
      </c>
      <c r="G89" s="52">
        <v>25000.0</v>
      </c>
      <c r="H89" s="52" t="s">
        <v>1800</v>
      </c>
    </row>
    <row r="90" ht="15.75" customHeight="1">
      <c r="A90" s="38" t="s">
        <v>31</v>
      </c>
      <c r="B90" s="38" t="s">
        <v>117</v>
      </c>
      <c r="C90" s="38" t="s">
        <v>149</v>
      </c>
      <c r="D90" s="38" t="s">
        <v>148</v>
      </c>
      <c r="E90" s="38" t="s">
        <v>2804</v>
      </c>
      <c r="F90" s="52">
        <v>11.0</v>
      </c>
      <c r="G90" s="52">
        <v>462000.0</v>
      </c>
      <c r="H90" s="52">
        <v>63200.0</v>
      </c>
    </row>
    <row r="91" ht="15.75" customHeight="1">
      <c r="A91" s="38" t="s">
        <v>31</v>
      </c>
      <c r="B91" s="38" t="s">
        <v>186</v>
      </c>
      <c r="C91" s="38" t="s">
        <v>636</v>
      </c>
      <c r="D91" s="38" t="s">
        <v>635</v>
      </c>
      <c r="E91" s="38" t="s">
        <v>2805</v>
      </c>
      <c r="F91" s="52">
        <v>1567.0</v>
      </c>
      <c r="G91" s="52">
        <v>7314600.0</v>
      </c>
      <c r="H91" s="52">
        <v>353700.0</v>
      </c>
    </row>
    <row r="92" ht="15.75" customHeight="1">
      <c r="A92" s="38" t="s">
        <v>31</v>
      </c>
      <c r="B92" s="38" t="s">
        <v>186</v>
      </c>
      <c r="C92" s="38" t="s">
        <v>2806</v>
      </c>
      <c r="D92" s="38" t="s">
        <v>109</v>
      </c>
      <c r="E92" s="38" t="s">
        <v>2807</v>
      </c>
      <c r="F92" s="52">
        <v>1.0</v>
      </c>
      <c r="G92" s="52">
        <v>14400.0</v>
      </c>
      <c r="H92" s="52">
        <v>2880.0</v>
      </c>
    </row>
    <row r="93" ht="15.75" customHeight="1">
      <c r="A93" s="38" t="s">
        <v>92</v>
      </c>
      <c r="B93" s="38" t="s">
        <v>186</v>
      </c>
      <c r="C93" s="38" t="s">
        <v>179</v>
      </c>
      <c r="D93" s="38" t="s">
        <v>178</v>
      </c>
      <c r="E93" s="38" t="s">
        <v>2808</v>
      </c>
      <c r="F93" s="52">
        <v>1.0</v>
      </c>
      <c r="G93" s="52">
        <v>21000.0</v>
      </c>
      <c r="H93" s="52">
        <v>4200.0</v>
      </c>
    </row>
    <row r="94" ht="15.75" customHeight="1">
      <c r="A94" s="38" t="s">
        <v>92</v>
      </c>
      <c r="B94" s="38" t="s">
        <v>186</v>
      </c>
      <c r="C94" s="38" t="s">
        <v>179</v>
      </c>
      <c r="D94" s="38" t="s">
        <v>178</v>
      </c>
      <c r="E94" s="38" t="s">
        <v>2809</v>
      </c>
      <c r="F94" s="52">
        <v>1.0</v>
      </c>
      <c r="G94" s="52">
        <v>14950.0</v>
      </c>
      <c r="H94" s="52">
        <v>2990.0</v>
      </c>
    </row>
    <row r="95" ht="15.75" customHeight="1">
      <c r="A95" s="38" t="s">
        <v>92</v>
      </c>
      <c r="B95" s="38" t="s">
        <v>117</v>
      </c>
      <c r="C95" s="38" t="s">
        <v>179</v>
      </c>
      <c r="D95" s="38" t="s">
        <v>178</v>
      </c>
      <c r="E95" s="38" t="s">
        <v>2810</v>
      </c>
      <c r="F95" s="52">
        <v>1.0</v>
      </c>
      <c r="G95" s="52">
        <v>22500.0</v>
      </c>
      <c r="H95" s="52">
        <v>4500.0</v>
      </c>
    </row>
    <row r="96" ht="15.75" customHeight="1">
      <c r="A96" s="38" t="s">
        <v>92</v>
      </c>
      <c r="B96" s="38" t="s">
        <v>186</v>
      </c>
      <c r="C96" s="38" t="s">
        <v>179</v>
      </c>
      <c r="D96" s="38" t="s">
        <v>178</v>
      </c>
      <c r="E96" s="38" t="s">
        <v>2811</v>
      </c>
      <c r="F96" s="52">
        <v>2.0</v>
      </c>
      <c r="G96" s="52">
        <v>44000.0</v>
      </c>
      <c r="H96" s="52">
        <v>4400.0</v>
      </c>
    </row>
    <row r="97" ht="15.75" customHeight="1">
      <c r="A97" s="38" t="s">
        <v>92</v>
      </c>
      <c r="B97" s="38" t="s">
        <v>117</v>
      </c>
      <c r="C97" s="38" t="s">
        <v>179</v>
      </c>
      <c r="D97" s="38" t="s">
        <v>178</v>
      </c>
      <c r="E97" s="38" t="s">
        <v>2812</v>
      </c>
      <c r="F97" s="52" t="s">
        <v>1800</v>
      </c>
      <c r="G97" s="52" t="s">
        <v>1800</v>
      </c>
      <c r="H97" s="52" t="s">
        <v>1800</v>
      </c>
    </row>
    <row r="98" ht="15.75" customHeight="1">
      <c r="A98" s="38" t="s">
        <v>92</v>
      </c>
      <c r="B98" s="38" t="s">
        <v>186</v>
      </c>
      <c r="C98" s="38" t="s">
        <v>179</v>
      </c>
      <c r="D98" s="38" t="s">
        <v>178</v>
      </c>
      <c r="E98" s="38" t="s">
        <v>2813</v>
      </c>
      <c r="F98" s="52" t="s">
        <v>1800</v>
      </c>
      <c r="G98" s="52" t="s">
        <v>1800</v>
      </c>
      <c r="H98" s="52" t="s">
        <v>1800</v>
      </c>
    </row>
    <row r="99" ht="15.75" customHeight="1">
      <c r="A99" s="38" t="s">
        <v>92</v>
      </c>
      <c r="B99" s="38" t="s">
        <v>117</v>
      </c>
      <c r="C99" s="38" t="s">
        <v>179</v>
      </c>
      <c r="D99" s="38" t="s">
        <v>178</v>
      </c>
      <c r="E99" s="38" t="s">
        <v>2814</v>
      </c>
      <c r="F99" s="52">
        <v>1.0</v>
      </c>
      <c r="G99" s="52">
        <v>43200.0</v>
      </c>
      <c r="H99" s="52">
        <v>8640.0</v>
      </c>
    </row>
    <row r="100" ht="15.75" customHeight="1">
      <c r="A100" s="38" t="s">
        <v>92</v>
      </c>
      <c r="B100" s="38" t="s">
        <v>117</v>
      </c>
      <c r="C100" s="38" t="s">
        <v>179</v>
      </c>
      <c r="D100" s="38" t="s">
        <v>178</v>
      </c>
      <c r="E100" s="38" t="s">
        <v>2815</v>
      </c>
      <c r="F100" s="52">
        <v>2.0</v>
      </c>
      <c r="G100" s="52">
        <v>23000.0</v>
      </c>
      <c r="H100" s="52" t="s">
        <v>1800</v>
      </c>
    </row>
    <row r="101" ht="15.75" customHeight="1">
      <c r="A101" s="38" t="s">
        <v>92</v>
      </c>
      <c r="B101" s="38" t="s">
        <v>186</v>
      </c>
      <c r="C101" s="38" t="s">
        <v>179</v>
      </c>
      <c r="D101" s="38" t="s">
        <v>178</v>
      </c>
      <c r="E101" s="38" t="s">
        <v>2816</v>
      </c>
      <c r="F101" s="52" t="s">
        <v>1800</v>
      </c>
      <c r="G101" s="52" t="s">
        <v>1800</v>
      </c>
      <c r="H101" s="52" t="s">
        <v>1800</v>
      </c>
    </row>
    <row r="102" ht="15.75" customHeight="1">
      <c r="A102" s="38" t="s">
        <v>92</v>
      </c>
      <c r="B102" s="38" t="s">
        <v>186</v>
      </c>
      <c r="C102" s="38" t="s">
        <v>179</v>
      </c>
      <c r="D102" s="38" t="s">
        <v>178</v>
      </c>
      <c r="E102" s="38" t="s">
        <v>2817</v>
      </c>
      <c r="F102" s="52" t="s">
        <v>1800</v>
      </c>
      <c r="G102" s="52" t="s">
        <v>1800</v>
      </c>
      <c r="H102" s="52" t="s">
        <v>1800</v>
      </c>
    </row>
    <row r="103" ht="15.75" customHeight="1">
      <c r="A103" s="38" t="s">
        <v>92</v>
      </c>
      <c r="B103" s="55" t="s">
        <v>117</v>
      </c>
      <c r="C103" s="38" t="s">
        <v>218</v>
      </c>
      <c r="D103" s="38" t="s">
        <v>217</v>
      </c>
      <c r="E103" s="38" t="s">
        <v>2818</v>
      </c>
      <c r="F103" s="52">
        <v>204.0</v>
      </c>
      <c r="G103" s="52">
        <v>6816400.0</v>
      </c>
      <c r="H103" s="52">
        <v>688300.0</v>
      </c>
      <c r="J103" s="38" t="s">
        <v>186</v>
      </c>
    </row>
    <row r="104" ht="15.75" customHeight="1">
      <c r="A104" s="38" t="s">
        <v>92</v>
      </c>
      <c r="B104" s="55" t="s">
        <v>117</v>
      </c>
      <c r="C104" s="38" t="s">
        <v>218</v>
      </c>
      <c r="D104" s="38" t="s">
        <v>217</v>
      </c>
      <c r="E104" s="38" t="s">
        <v>2819</v>
      </c>
      <c r="F104" s="52">
        <v>49.0</v>
      </c>
      <c r="G104" s="52">
        <v>1599500.0</v>
      </c>
      <c r="H104" s="52">
        <v>221800.0</v>
      </c>
      <c r="J104" s="38" t="s">
        <v>186</v>
      </c>
    </row>
    <row r="105" ht="15.75" customHeight="1">
      <c r="A105" s="38" t="s">
        <v>92</v>
      </c>
      <c r="B105" s="55" t="s">
        <v>117</v>
      </c>
      <c r="C105" s="38" t="s">
        <v>218</v>
      </c>
      <c r="D105" s="38" t="s">
        <v>217</v>
      </c>
      <c r="E105" s="38" t="s">
        <v>2820</v>
      </c>
      <c r="F105" s="52">
        <v>26.0</v>
      </c>
      <c r="G105" s="52">
        <v>916000.0</v>
      </c>
      <c r="H105" s="52">
        <v>98000.0</v>
      </c>
      <c r="J105" s="38" t="s">
        <v>186</v>
      </c>
    </row>
    <row r="106" ht="15.75" customHeight="1">
      <c r="A106" s="38" t="s">
        <v>92</v>
      </c>
      <c r="B106" s="38" t="s">
        <v>117</v>
      </c>
      <c r="C106" s="38" t="s">
        <v>218</v>
      </c>
      <c r="D106" s="38" t="s">
        <v>217</v>
      </c>
      <c r="E106" s="38" t="s">
        <v>2821</v>
      </c>
      <c r="F106" s="52" t="s">
        <v>1800</v>
      </c>
      <c r="G106" s="52" t="s">
        <v>1800</v>
      </c>
      <c r="H106" s="52" t="s">
        <v>1800</v>
      </c>
    </row>
    <row r="107" ht="15.75" customHeight="1">
      <c r="A107" s="38" t="s">
        <v>92</v>
      </c>
      <c r="B107" s="38" t="s">
        <v>117</v>
      </c>
      <c r="C107" s="38" t="s">
        <v>218</v>
      </c>
      <c r="D107" s="38" t="s">
        <v>217</v>
      </c>
      <c r="E107" s="38" t="s">
        <v>2822</v>
      </c>
      <c r="F107" s="52">
        <v>4.0</v>
      </c>
      <c r="G107" s="52">
        <v>59600.0</v>
      </c>
      <c r="H107" s="52">
        <v>4980.0</v>
      </c>
    </row>
    <row r="108" ht="15.75" customHeight="1">
      <c r="A108" s="38" t="s">
        <v>92</v>
      </c>
      <c r="B108" s="38" t="s">
        <v>117</v>
      </c>
      <c r="C108" s="38" t="s">
        <v>218</v>
      </c>
      <c r="D108" s="38" t="s">
        <v>217</v>
      </c>
      <c r="E108" s="38" t="s">
        <v>2823</v>
      </c>
      <c r="F108" s="52">
        <v>4.0</v>
      </c>
      <c r="G108" s="52">
        <v>39000.0</v>
      </c>
      <c r="H108" s="52">
        <v>2340.0</v>
      </c>
    </row>
    <row r="109" ht="15.75" customHeight="1">
      <c r="A109" s="38" t="s">
        <v>92</v>
      </c>
      <c r="B109" s="38" t="s">
        <v>186</v>
      </c>
      <c r="C109" s="38" t="s">
        <v>1914</v>
      </c>
      <c r="D109" s="38" t="s">
        <v>1913</v>
      </c>
      <c r="E109" s="38" t="s">
        <v>2824</v>
      </c>
      <c r="F109" s="52">
        <v>59.0</v>
      </c>
      <c r="G109" s="52">
        <v>2502300.0</v>
      </c>
      <c r="H109" s="52">
        <v>253260.0</v>
      </c>
    </row>
    <row r="110" ht="15.75" customHeight="1">
      <c r="A110" s="38" t="s">
        <v>92</v>
      </c>
      <c r="B110" s="38" t="s">
        <v>186</v>
      </c>
      <c r="C110" s="38" t="s">
        <v>161</v>
      </c>
      <c r="D110" s="38" t="s">
        <v>160</v>
      </c>
      <c r="E110" s="38" t="s">
        <v>2825</v>
      </c>
      <c r="F110" s="52">
        <v>23.0</v>
      </c>
      <c r="G110" s="52">
        <v>503700.0</v>
      </c>
      <c r="H110" s="52">
        <v>51760.0</v>
      </c>
    </row>
    <row r="111" ht="15.75" customHeight="1">
      <c r="A111" s="38" t="s">
        <v>92</v>
      </c>
      <c r="B111" s="38" t="s">
        <v>186</v>
      </c>
      <c r="C111" s="38" t="s">
        <v>161</v>
      </c>
      <c r="D111" s="38" t="s">
        <v>160</v>
      </c>
      <c r="E111" s="38" t="s">
        <v>2826</v>
      </c>
      <c r="F111" s="52">
        <v>5.0</v>
      </c>
      <c r="G111" s="52">
        <v>190000.0</v>
      </c>
      <c r="H111" s="52">
        <v>38000.0</v>
      </c>
    </row>
    <row r="112" ht="15.75" customHeight="1">
      <c r="A112" s="38" t="s">
        <v>92</v>
      </c>
      <c r="B112" s="38" t="s">
        <v>186</v>
      </c>
      <c r="C112" s="38" t="s">
        <v>161</v>
      </c>
      <c r="D112" s="38" t="s">
        <v>160</v>
      </c>
      <c r="E112" s="38" t="s">
        <v>2827</v>
      </c>
      <c r="F112" s="52">
        <v>12.0</v>
      </c>
      <c r="G112" s="52">
        <v>628800.0</v>
      </c>
      <c r="H112" s="52">
        <v>117920.0</v>
      </c>
    </row>
    <row r="113" ht="15.75" customHeight="1">
      <c r="A113" s="38" t="s">
        <v>92</v>
      </c>
      <c r="B113" s="38" t="s">
        <v>117</v>
      </c>
      <c r="C113" s="38" t="s">
        <v>732</v>
      </c>
      <c r="D113" s="38" t="s">
        <v>731</v>
      </c>
      <c r="E113" s="38" t="s">
        <v>2828</v>
      </c>
      <c r="F113" s="52">
        <v>211.0</v>
      </c>
      <c r="G113" s="52">
        <v>4592800.0</v>
      </c>
      <c r="H113" s="52">
        <v>503080.0</v>
      </c>
    </row>
    <row r="114" ht="15.75" customHeight="1">
      <c r="A114" s="38" t="s">
        <v>92</v>
      </c>
      <c r="B114" s="38" t="s">
        <v>117</v>
      </c>
      <c r="C114" s="38" t="s">
        <v>732</v>
      </c>
      <c r="D114" s="38" t="s">
        <v>731</v>
      </c>
      <c r="E114" s="38" t="s">
        <v>2829</v>
      </c>
      <c r="F114" s="52">
        <v>16.0</v>
      </c>
      <c r="G114" s="52">
        <v>291120.0</v>
      </c>
      <c r="H114" s="52">
        <v>23370.0</v>
      </c>
    </row>
    <row r="115" ht="15.75" customHeight="1">
      <c r="A115" s="38" t="s">
        <v>92</v>
      </c>
      <c r="B115" s="38" t="s">
        <v>117</v>
      </c>
      <c r="C115" s="38" t="s">
        <v>732</v>
      </c>
      <c r="D115" s="38" t="s">
        <v>731</v>
      </c>
      <c r="E115" s="38" t="s">
        <v>2830</v>
      </c>
      <c r="F115" s="52">
        <v>16.0</v>
      </c>
      <c r="G115" s="52">
        <v>244730.0</v>
      </c>
      <c r="H115" s="52">
        <v>24780.0</v>
      </c>
    </row>
    <row r="116" ht="15.75" customHeight="1">
      <c r="A116" s="38" t="s">
        <v>92</v>
      </c>
      <c r="B116" s="38" t="s">
        <v>186</v>
      </c>
      <c r="C116" s="38" t="s">
        <v>732</v>
      </c>
      <c r="D116" s="38" t="s">
        <v>731</v>
      </c>
      <c r="E116" s="38" t="s">
        <v>2831</v>
      </c>
      <c r="F116" s="52">
        <v>17.0</v>
      </c>
      <c r="G116" s="52">
        <v>211200.0</v>
      </c>
      <c r="H116" s="52">
        <v>13400.0</v>
      </c>
    </row>
    <row r="117" ht="15.75" customHeight="1">
      <c r="A117" s="38" t="s">
        <v>92</v>
      </c>
      <c r="B117" s="38" t="s">
        <v>117</v>
      </c>
      <c r="C117" s="38" t="s">
        <v>732</v>
      </c>
      <c r="D117" s="38" t="s">
        <v>731</v>
      </c>
      <c r="E117" s="38" t="s">
        <v>2832</v>
      </c>
      <c r="F117" s="52">
        <v>1.0</v>
      </c>
      <c r="G117" s="52">
        <v>32900.0</v>
      </c>
      <c r="H117" s="52" t="s">
        <v>1800</v>
      </c>
    </row>
    <row r="118" ht="15.75" customHeight="1">
      <c r="A118" s="38" t="s">
        <v>92</v>
      </c>
      <c r="B118" s="38" t="s">
        <v>117</v>
      </c>
      <c r="C118" s="38" t="s">
        <v>732</v>
      </c>
      <c r="D118" s="38" t="s">
        <v>731</v>
      </c>
      <c r="E118" s="38" t="s">
        <v>2833</v>
      </c>
      <c r="F118" s="52" t="s">
        <v>1800</v>
      </c>
      <c r="G118" s="52" t="s">
        <v>1800</v>
      </c>
      <c r="H118" s="52" t="s">
        <v>1800</v>
      </c>
    </row>
    <row r="119" ht="15.75" customHeight="1">
      <c r="A119" s="38" t="s">
        <v>92</v>
      </c>
      <c r="B119" s="38" t="s">
        <v>117</v>
      </c>
      <c r="C119" s="38" t="s">
        <v>732</v>
      </c>
      <c r="D119" s="38" t="s">
        <v>731</v>
      </c>
      <c r="E119" s="38" t="s">
        <v>2834</v>
      </c>
      <c r="F119" s="52">
        <v>9.0</v>
      </c>
      <c r="G119" s="52">
        <v>154200.0</v>
      </c>
      <c r="H119" s="52">
        <v>20760.0</v>
      </c>
    </row>
    <row r="120" ht="15.75" customHeight="1">
      <c r="A120" s="38" t="s">
        <v>92</v>
      </c>
      <c r="B120" s="38" t="s">
        <v>117</v>
      </c>
      <c r="C120" s="38" t="s">
        <v>732</v>
      </c>
      <c r="D120" s="38" t="s">
        <v>731</v>
      </c>
      <c r="E120" s="38" t="s">
        <v>2835</v>
      </c>
      <c r="F120" s="52">
        <v>13.0</v>
      </c>
      <c r="G120" s="52">
        <v>310400.0</v>
      </c>
      <c r="H120" s="52">
        <v>23920.0</v>
      </c>
    </row>
    <row r="121" ht="15.75" customHeight="1">
      <c r="A121" s="38" t="s">
        <v>92</v>
      </c>
      <c r="B121" s="38" t="s">
        <v>117</v>
      </c>
      <c r="C121" s="38" t="s">
        <v>732</v>
      </c>
      <c r="D121" s="38" t="s">
        <v>731</v>
      </c>
      <c r="E121" s="38" t="s">
        <v>2836</v>
      </c>
      <c r="F121" s="52">
        <v>0.0</v>
      </c>
      <c r="G121" s="52" t="s">
        <v>1800</v>
      </c>
      <c r="H121" s="52" t="s">
        <v>1800</v>
      </c>
    </row>
    <row r="122" ht="15.75" customHeight="1">
      <c r="A122" s="38" t="s">
        <v>92</v>
      </c>
      <c r="B122" s="38" t="s">
        <v>186</v>
      </c>
      <c r="C122" s="38" t="s">
        <v>1870</v>
      </c>
      <c r="D122" s="38" t="s">
        <v>1869</v>
      </c>
      <c r="E122" s="38" t="s">
        <v>2837</v>
      </c>
      <c r="F122" s="52">
        <v>5.0</v>
      </c>
      <c r="G122" s="52">
        <v>65000.0</v>
      </c>
      <c r="H122" s="52" t="s">
        <v>1800</v>
      </c>
    </row>
    <row r="123" ht="15.75" customHeight="1">
      <c r="A123" s="38" t="s">
        <v>92</v>
      </c>
      <c r="B123" s="38" t="s">
        <v>186</v>
      </c>
      <c r="C123" s="38" t="s">
        <v>1870</v>
      </c>
      <c r="D123" s="38" t="s">
        <v>1869</v>
      </c>
      <c r="E123" s="38" t="s">
        <v>2838</v>
      </c>
      <c r="F123" s="52">
        <v>4.0</v>
      </c>
      <c r="G123" s="52">
        <v>52000.0</v>
      </c>
      <c r="H123" s="52" t="s">
        <v>1800</v>
      </c>
    </row>
    <row r="124" ht="15.75" customHeight="1">
      <c r="A124" s="38" t="s">
        <v>92</v>
      </c>
      <c r="B124" s="38" t="s">
        <v>186</v>
      </c>
      <c r="C124" s="38" t="s">
        <v>1870</v>
      </c>
      <c r="D124" s="38" t="s">
        <v>1869</v>
      </c>
      <c r="E124" s="38" t="s">
        <v>2839</v>
      </c>
      <c r="F124" s="52">
        <v>163.0</v>
      </c>
      <c r="G124" s="52">
        <v>4420000.0</v>
      </c>
      <c r="H124" s="52">
        <v>557200.0</v>
      </c>
    </row>
    <row r="125" ht="15.75" customHeight="1">
      <c r="A125" s="38" t="s">
        <v>92</v>
      </c>
      <c r="B125" s="38" t="s">
        <v>186</v>
      </c>
      <c r="C125" s="38" t="s">
        <v>1870</v>
      </c>
      <c r="D125" s="38" t="s">
        <v>1869</v>
      </c>
      <c r="E125" s="38" t="s">
        <v>2840</v>
      </c>
      <c r="F125" s="52">
        <v>1.0</v>
      </c>
      <c r="G125" s="52">
        <v>94000.0</v>
      </c>
      <c r="H125" s="52">
        <v>10000.0</v>
      </c>
    </row>
    <row r="126" ht="15.75" customHeight="1">
      <c r="A126" s="38" t="s">
        <v>92</v>
      </c>
      <c r="B126" s="38" t="s">
        <v>186</v>
      </c>
      <c r="C126" s="38" t="s">
        <v>1870</v>
      </c>
      <c r="D126" s="38" t="s">
        <v>1869</v>
      </c>
      <c r="E126" s="38" t="s">
        <v>2841</v>
      </c>
      <c r="F126" s="52">
        <v>1.0</v>
      </c>
      <c r="G126" s="52">
        <v>43000.0</v>
      </c>
      <c r="H126" s="52">
        <v>8600.0</v>
      </c>
    </row>
    <row r="127" ht="15.75" customHeight="1">
      <c r="A127" s="38" t="s">
        <v>92</v>
      </c>
      <c r="B127" s="38" t="s">
        <v>186</v>
      </c>
      <c r="C127" s="38" t="s">
        <v>1870</v>
      </c>
      <c r="D127" s="38" t="s">
        <v>1869</v>
      </c>
      <c r="E127" s="38" t="s">
        <v>2842</v>
      </c>
      <c r="F127" s="52">
        <v>0.0</v>
      </c>
      <c r="G127" s="52" t="s">
        <v>1800</v>
      </c>
      <c r="H127" s="52" t="s">
        <v>1800</v>
      </c>
    </row>
    <row r="128" ht="15.75" customHeight="1">
      <c r="A128" s="38" t="s">
        <v>92</v>
      </c>
      <c r="B128" s="38" t="s">
        <v>186</v>
      </c>
      <c r="C128" s="38" t="s">
        <v>1870</v>
      </c>
      <c r="D128" s="38" t="s">
        <v>1869</v>
      </c>
      <c r="E128" s="38" t="s">
        <v>2843</v>
      </c>
      <c r="F128" s="52">
        <v>0.0</v>
      </c>
      <c r="G128" s="52" t="s">
        <v>1800</v>
      </c>
      <c r="H128" s="52" t="s">
        <v>1800</v>
      </c>
    </row>
    <row r="129" ht="15.75" customHeight="1">
      <c r="A129" s="38" t="s">
        <v>92</v>
      </c>
      <c r="B129" s="38" t="s">
        <v>117</v>
      </c>
      <c r="C129" s="38" t="s">
        <v>101</v>
      </c>
      <c r="D129" s="38" t="s">
        <v>100</v>
      </c>
      <c r="E129" s="38" t="s">
        <v>2844</v>
      </c>
      <c r="F129" s="52">
        <v>415.0</v>
      </c>
      <c r="G129" s="52">
        <v>1.43737E7</v>
      </c>
      <c r="H129" s="52">
        <v>1792660.0</v>
      </c>
    </row>
    <row r="130" ht="15.75" customHeight="1">
      <c r="A130" s="38" t="s">
        <v>92</v>
      </c>
      <c r="B130" s="38" t="s">
        <v>117</v>
      </c>
      <c r="C130" s="38" t="s">
        <v>101</v>
      </c>
      <c r="D130" s="38" t="s">
        <v>100</v>
      </c>
      <c r="E130" s="38" t="s">
        <v>2845</v>
      </c>
      <c r="F130" s="52">
        <v>8.0</v>
      </c>
      <c r="G130" s="52">
        <v>1206000.0</v>
      </c>
      <c r="H130" s="52">
        <v>60000.0</v>
      </c>
    </row>
    <row r="131" ht="15.75" customHeight="1">
      <c r="A131" s="38" t="s">
        <v>92</v>
      </c>
      <c r="B131" s="38" t="s">
        <v>117</v>
      </c>
      <c r="C131" s="38" t="s">
        <v>268</v>
      </c>
      <c r="D131" s="38" t="s">
        <v>267</v>
      </c>
      <c r="E131" s="38" t="s">
        <v>2846</v>
      </c>
      <c r="F131" s="52">
        <v>163.0</v>
      </c>
      <c r="G131" s="52">
        <v>3307600.0</v>
      </c>
      <c r="H131" s="52">
        <v>410580.0</v>
      </c>
    </row>
    <row r="132" ht="15.75" customHeight="1">
      <c r="A132" s="38" t="s">
        <v>92</v>
      </c>
      <c r="B132" s="38" t="s">
        <v>117</v>
      </c>
      <c r="C132" s="38" t="s">
        <v>268</v>
      </c>
      <c r="D132" s="38" t="s">
        <v>267</v>
      </c>
      <c r="E132" s="38" t="s">
        <v>2847</v>
      </c>
      <c r="F132" s="52">
        <v>42.0</v>
      </c>
      <c r="G132" s="52">
        <v>603770.0</v>
      </c>
      <c r="H132" s="52">
        <v>73650.0</v>
      </c>
    </row>
    <row r="133" ht="15.75" customHeight="1">
      <c r="A133" s="38" t="s">
        <v>92</v>
      </c>
      <c r="B133" s="38" t="s">
        <v>117</v>
      </c>
      <c r="C133" s="38" t="s">
        <v>268</v>
      </c>
      <c r="D133" s="38" t="s">
        <v>267</v>
      </c>
      <c r="E133" s="38" t="s">
        <v>2848</v>
      </c>
      <c r="F133" s="52">
        <v>29.0</v>
      </c>
      <c r="G133" s="52">
        <v>1149000.0</v>
      </c>
      <c r="H133" s="52">
        <v>108240.0</v>
      </c>
    </row>
    <row r="134" ht="15.75" customHeight="1">
      <c r="A134" s="38" t="s">
        <v>92</v>
      </c>
      <c r="B134" s="38" t="s">
        <v>186</v>
      </c>
      <c r="C134" s="38" t="s">
        <v>268</v>
      </c>
      <c r="D134" s="38" t="s">
        <v>267</v>
      </c>
      <c r="E134" s="38" t="s">
        <v>2849</v>
      </c>
      <c r="F134" s="52">
        <v>11.0</v>
      </c>
      <c r="G134" s="52">
        <v>295300.0</v>
      </c>
      <c r="H134" s="52">
        <v>30780.0</v>
      </c>
    </row>
    <row r="135" ht="15.75" customHeight="1">
      <c r="A135" s="38" t="s">
        <v>92</v>
      </c>
      <c r="B135" s="38" t="s">
        <v>186</v>
      </c>
      <c r="C135" s="38" t="s">
        <v>268</v>
      </c>
      <c r="D135" s="38" t="s">
        <v>267</v>
      </c>
      <c r="E135" s="38" t="s">
        <v>2850</v>
      </c>
      <c r="F135" s="52">
        <v>3.0</v>
      </c>
      <c r="G135" s="52">
        <v>56000.0</v>
      </c>
      <c r="H135" s="52">
        <v>8800.0</v>
      </c>
    </row>
    <row r="136" ht="15.75" customHeight="1">
      <c r="A136" s="38" t="s">
        <v>92</v>
      </c>
      <c r="B136" s="38" t="s">
        <v>186</v>
      </c>
      <c r="C136" s="38" t="s">
        <v>268</v>
      </c>
      <c r="D136" s="38" t="s">
        <v>267</v>
      </c>
      <c r="E136" s="38" t="s">
        <v>2851</v>
      </c>
      <c r="F136" s="52">
        <v>5.0</v>
      </c>
      <c r="G136" s="52">
        <v>221200.0</v>
      </c>
      <c r="H136" s="52">
        <v>34240.0</v>
      </c>
    </row>
    <row r="137" ht="15.75" customHeight="1">
      <c r="A137" s="38" t="s">
        <v>92</v>
      </c>
      <c r="B137" s="38" t="s">
        <v>186</v>
      </c>
      <c r="C137" s="38" t="s">
        <v>268</v>
      </c>
      <c r="D137" s="38" t="s">
        <v>267</v>
      </c>
      <c r="E137" s="38" t="s">
        <v>2852</v>
      </c>
      <c r="F137" s="52">
        <v>0.0</v>
      </c>
      <c r="G137" s="52" t="s">
        <v>1800</v>
      </c>
      <c r="H137" s="52" t="s">
        <v>1800</v>
      </c>
    </row>
    <row r="138" ht="15.75" customHeight="1">
      <c r="A138" s="38" t="s">
        <v>92</v>
      </c>
      <c r="B138" s="38" t="s">
        <v>117</v>
      </c>
      <c r="C138" s="38" t="s">
        <v>1054</v>
      </c>
      <c r="D138" s="38" t="s">
        <v>1053</v>
      </c>
      <c r="E138" s="38" t="s">
        <v>2853</v>
      </c>
      <c r="F138" s="52">
        <v>82.0</v>
      </c>
      <c r="G138" s="52">
        <v>4760000.0</v>
      </c>
      <c r="H138" s="52">
        <v>720000.0</v>
      </c>
    </row>
    <row r="139" ht="15.75" customHeight="1">
      <c r="A139" s="38" t="s">
        <v>92</v>
      </c>
      <c r="B139" s="38" t="s">
        <v>117</v>
      </c>
      <c r="C139" s="38" t="s">
        <v>280</v>
      </c>
      <c r="D139" s="38" t="s">
        <v>279</v>
      </c>
      <c r="E139" s="38" t="s">
        <v>2854</v>
      </c>
      <c r="F139" s="52">
        <v>936.0</v>
      </c>
      <c r="G139" s="52">
        <v>1.856956E7</v>
      </c>
      <c r="H139" s="52">
        <v>1131200.0</v>
      </c>
    </row>
    <row r="140" ht="15.75" customHeight="1">
      <c r="A140" s="38" t="s">
        <v>92</v>
      </c>
      <c r="B140" s="38" t="s">
        <v>117</v>
      </c>
      <c r="C140" s="38" t="s">
        <v>280</v>
      </c>
      <c r="D140" s="38" t="s">
        <v>279</v>
      </c>
      <c r="E140" s="38" t="s">
        <v>2855</v>
      </c>
      <c r="F140" s="52">
        <v>829.0</v>
      </c>
      <c r="G140" s="52">
        <v>1.307888E7</v>
      </c>
      <c r="H140" s="52">
        <v>784000.0</v>
      </c>
    </row>
    <row r="141" ht="15.75" customHeight="1">
      <c r="A141" s="38" t="s">
        <v>92</v>
      </c>
      <c r="B141" s="38" t="s">
        <v>117</v>
      </c>
      <c r="C141" s="38" t="s">
        <v>280</v>
      </c>
      <c r="D141" s="38" t="s">
        <v>279</v>
      </c>
      <c r="E141" s="38" t="s">
        <v>2856</v>
      </c>
      <c r="F141" s="52">
        <v>312.0</v>
      </c>
      <c r="G141" s="52">
        <v>4356380.0</v>
      </c>
      <c r="H141" s="52">
        <v>270440.0</v>
      </c>
    </row>
    <row r="142" ht="15.75" customHeight="1">
      <c r="A142" s="38" t="s">
        <v>92</v>
      </c>
      <c r="B142" s="38" t="s">
        <v>117</v>
      </c>
      <c r="C142" s="38" t="s">
        <v>280</v>
      </c>
      <c r="D142" s="38" t="s">
        <v>279</v>
      </c>
      <c r="E142" s="38" t="s">
        <v>2857</v>
      </c>
      <c r="F142" s="52">
        <v>348.0</v>
      </c>
      <c r="G142" s="52">
        <v>8685550.0</v>
      </c>
      <c r="H142" s="52">
        <v>370740.0</v>
      </c>
    </row>
    <row r="143" ht="15.75" customHeight="1">
      <c r="A143" s="38" t="s">
        <v>92</v>
      </c>
      <c r="B143" s="38" t="s">
        <v>117</v>
      </c>
      <c r="C143" s="38" t="s">
        <v>280</v>
      </c>
      <c r="D143" s="38" t="s">
        <v>279</v>
      </c>
      <c r="E143" s="38" t="s">
        <v>2858</v>
      </c>
      <c r="F143" s="52">
        <v>86.0</v>
      </c>
      <c r="G143" s="52">
        <v>1417500.0</v>
      </c>
      <c r="H143" s="52">
        <v>63360.0</v>
      </c>
    </row>
    <row r="144" ht="15.75" customHeight="1">
      <c r="A144" s="38" t="s">
        <v>92</v>
      </c>
      <c r="B144" s="38" t="s">
        <v>117</v>
      </c>
      <c r="C144" s="38" t="s">
        <v>280</v>
      </c>
      <c r="D144" s="38" t="s">
        <v>279</v>
      </c>
      <c r="E144" s="38" t="s">
        <v>2859</v>
      </c>
      <c r="F144" s="52">
        <v>139.0</v>
      </c>
      <c r="G144" s="52">
        <v>2291930.0</v>
      </c>
      <c r="H144" s="52">
        <v>217500.0</v>
      </c>
    </row>
    <row r="145" ht="15.75" customHeight="1">
      <c r="A145" s="38" t="s">
        <v>92</v>
      </c>
      <c r="B145" s="38" t="s">
        <v>117</v>
      </c>
      <c r="C145" s="38" t="s">
        <v>280</v>
      </c>
      <c r="D145" s="38" t="s">
        <v>279</v>
      </c>
      <c r="E145" s="38" t="s">
        <v>2860</v>
      </c>
      <c r="F145" s="52">
        <v>522.0</v>
      </c>
      <c r="G145" s="52">
        <v>7991060.0</v>
      </c>
      <c r="H145" s="52">
        <v>392860.0</v>
      </c>
    </row>
    <row r="146" ht="15.75" customHeight="1">
      <c r="A146" s="38" t="s">
        <v>92</v>
      </c>
      <c r="B146" s="38" t="s">
        <v>117</v>
      </c>
      <c r="C146" s="38" t="s">
        <v>280</v>
      </c>
      <c r="D146" s="38" t="s">
        <v>279</v>
      </c>
      <c r="E146" s="38" t="s">
        <v>2861</v>
      </c>
      <c r="F146" s="52">
        <v>74.0</v>
      </c>
      <c r="G146" s="52">
        <v>1527000.0</v>
      </c>
      <c r="H146" s="52">
        <v>93120.0</v>
      </c>
    </row>
    <row r="147" ht="15.75" customHeight="1">
      <c r="A147" s="38" t="s">
        <v>92</v>
      </c>
      <c r="B147" s="38" t="s">
        <v>117</v>
      </c>
      <c r="C147" s="38" t="s">
        <v>280</v>
      </c>
      <c r="D147" s="38" t="s">
        <v>279</v>
      </c>
      <c r="E147" s="38" t="s">
        <v>2862</v>
      </c>
      <c r="F147" s="52">
        <v>176.0</v>
      </c>
      <c r="G147" s="52">
        <v>4796520.0</v>
      </c>
      <c r="H147" s="52">
        <v>254520.0</v>
      </c>
    </row>
    <row r="148" ht="15.75" customHeight="1">
      <c r="A148" s="38" t="s">
        <v>92</v>
      </c>
      <c r="B148" s="38" t="s">
        <v>117</v>
      </c>
      <c r="C148" s="38" t="s">
        <v>280</v>
      </c>
      <c r="D148" s="38" t="s">
        <v>279</v>
      </c>
      <c r="E148" s="38" t="s">
        <v>2863</v>
      </c>
      <c r="F148" s="52">
        <v>55.0</v>
      </c>
      <c r="G148" s="52">
        <v>685200.0</v>
      </c>
      <c r="H148" s="52">
        <v>13160.0</v>
      </c>
    </row>
    <row r="149" ht="15.75" customHeight="1">
      <c r="A149" s="38" t="s">
        <v>92</v>
      </c>
      <c r="B149" s="38" t="s">
        <v>117</v>
      </c>
      <c r="C149" s="38" t="s">
        <v>280</v>
      </c>
      <c r="D149" s="38" t="s">
        <v>279</v>
      </c>
      <c r="E149" s="38" t="s">
        <v>2864</v>
      </c>
      <c r="F149" s="52">
        <v>39.0</v>
      </c>
      <c r="G149" s="52">
        <v>463760.0</v>
      </c>
      <c r="H149" s="52">
        <v>11280.0</v>
      </c>
    </row>
    <row r="150" ht="15.75" customHeight="1">
      <c r="A150" s="38" t="s">
        <v>92</v>
      </c>
      <c r="B150" s="38" t="s">
        <v>117</v>
      </c>
      <c r="C150" s="38" t="s">
        <v>280</v>
      </c>
      <c r="D150" s="38" t="s">
        <v>279</v>
      </c>
      <c r="E150" s="38" t="s">
        <v>2865</v>
      </c>
      <c r="F150" s="52">
        <v>41.0</v>
      </c>
      <c r="G150" s="52">
        <v>568500.0</v>
      </c>
      <c r="H150" s="52">
        <v>32500.0</v>
      </c>
    </row>
    <row r="151" ht="15.75" customHeight="1">
      <c r="A151" s="38" t="s">
        <v>92</v>
      </c>
      <c r="B151" s="38" t="s">
        <v>117</v>
      </c>
      <c r="C151" s="38" t="s">
        <v>280</v>
      </c>
      <c r="D151" s="38" t="s">
        <v>279</v>
      </c>
      <c r="E151" s="38" t="s">
        <v>2866</v>
      </c>
      <c r="F151" s="52">
        <v>125.0</v>
      </c>
      <c r="G151" s="52">
        <v>1900680.0</v>
      </c>
      <c r="H151" s="52">
        <v>85740.0</v>
      </c>
    </row>
    <row r="152" ht="15.75" customHeight="1">
      <c r="A152" s="38" t="s">
        <v>92</v>
      </c>
      <c r="B152" s="54" t="s">
        <v>117</v>
      </c>
      <c r="C152" s="38" t="s">
        <v>280</v>
      </c>
      <c r="D152" s="38" t="s">
        <v>279</v>
      </c>
      <c r="E152" s="38" t="s">
        <v>2867</v>
      </c>
      <c r="F152" s="52">
        <v>92.0</v>
      </c>
      <c r="G152" s="52">
        <v>1226520.0</v>
      </c>
      <c r="H152" s="52">
        <v>92550.0</v>
      </c>
      <c r="J152" s="38" t="s">
        <v>186</v>
      </c>
    </row>
    <row r="153" ht="15.75" customHeight="1">
      <c r="A153" s="38" t="s">
        <v>92</v>
      </c>
      <c r="B153" s="38" t="s">
        <v>186</v>
      </c>
      <c r="C153" s="38" t="s">
        <v>280</v>
      </c>
      <c r="D153" s="38" t="s">
        <v>279</v>
      </c>
      <c r="E153" s="38" t="s">
        <v>2868</v>
      </c>
      <c r="F153" s="52">
        <v>62.0</v>
      </c>
      <c r="G153" s="52">
        <v>810590.0</v>
      </c>
      <c r="H153" s="52">
        <v>72520.0</v>
      </c>
    </row>
    <row r="154" ht="15.75" customHeight="1">
      <c r="A154" s="38" t="s">
        <v>92</v>
      </c>
      <c r="B154" s="38" t="s">
        <v>117</v>
      </c>
      <c r="C154" s="38" t="s">
        <v>280</v>
      </c>
      <c r="D154" s="38" t="s">
        <v>279</v>
      </c>
      <c r="E154" s="38" t="s">
        <v>2869</v>
      </c>
      <c r="F154" s="52">
        <v>7.0</v>
      </c>
      <c r="G154" s="52">
        <v>131800.0</v>
      </c>
      <c r="H154" s="52">
        <v>12240.0</v>
      </c>
    </row>
    <row r="155" ht="15.75" customHeight="1">
      <c r="A155" s="38" t="s">
        <v>92</v>
      </c>
      <c r="B155" s="38" t="s">
        <v>117</v>
      </c>
      <c r="C155" s="38" t="s">
        <v>280</v>
      </c>
      <c r="D155" s="38" t="s">
        <v>279</v>
      </c>
      <c r="E155" s="38" t="s">
        <v>2870</v>
      </c>
      <c r="F155" s="52">
        <v>5.0</v>
      </c>
      <c r="G155" s="52">
        <v>199000.0</v>
      </c>
      <c r="H155" s="52">
        <v>7960.0</v>
      </c>
    </row>
    <row r="156" ht="15.75" customHeight="1">
      <c r="A156" s="38" t="s">
        <v>92</v>
      </c>
      <c r="B156" s="38" t="s">
        <v>186</v>
      </c>
      <c r="C156" s="38" t="s">
        <v>280</v>
      </c>
      <c r="D156" s="38" t="s">
        <v>279</v>
      </c>
      <c r="E156" s="38" t="s">
        <v>2871</v>
      </c>
      <c r="F156" s="52">
        <v>96.0</v>
      </c>
      <c r="G156" s="52">
        <v>1251020.0</v>
      </c>
      <c r="H156" s="52">
        <v>111350.0</v>
      </c>
    </row>
    <row r="157" ht="15.75" customHeight="1">
      <c r="A157" s="38" t="s">
        <v>92</v>
      </c>
      <c r="B157" s="38" t="s">
        <v>117</v>
      </c>
      <c r="C157" s="38" t="s">
        <v>280</v>
      </c>
      <c r="D157" s="38" t="s">
        <v>279</v>
      </c>
      <c r="E157" s="38" t="s">
        <v>2872</v>
      </c>
      <c r="F157" s="52">
        <v>106.0</v>
      </c>
      <c r="G157" s="52">
        <v>1842380.0</v>
      </c>
      <c r="H157" s="52">
        <v>156880.0</v>
      </c>
    </row>
    <row r="158" ht="15.75" customHeight="1">
      <c r="A158" s="38" t="s">
        <v>92</v>
      </c>
      <c r="B158" s="38" t="s">
        <v>174</v>
      </c>
      <c r="C158" s="38" t="s">
        <v>280</v>
      </c>
      <c r="D158" s="38" t="s">
        <v>279</v>
      </c>
      <c r="E158" s="38" t="s">
        <v>2873</v>
      </c>
      <c r="F158" s="52">
        <v>8.0</v>
      </c>
      <c r="G158" s="52">
        <v>247000.0</v>
      </c>
      <c r="H158" s="52">
        <v>25800.0</v>
      </c>
    </row>
    <row r="159" ht="15.75" customHeight="1">
      <c r="A159" s="38" t="s">
        <v>92</v>
      </c>
      <c r="B159" s="38" t="s">
        <v>186</v>
      </c>
      <c r="C159" s="38" t="s">
        <v>280</v>
      </c>
      <c r="D159" s="38" t="s">
        <v>279</v>
      </c>
      <c r="E159" s="38" t="s">
        <v>2874</v>
      </c>
      <c r="F159" s="52">
        <v>1.0</v>
      </c>
      <c r="G159" s="52">
        <v>16500.0</v>
      </c>
      <c r="H159" s="52" t="s">
        <v>1800</v>
      </c>
    </row>
    <row r="160" ht="15.75" customHeight="1">
      <c r="A160" s="38" t="s">
        <v>92</v>
      </c>
      <c r="B160" s="38" t="s">
        <v>186</v>
      </c>
      <c r="C160" s="38" t="s">
        <v>280</v>
      </c>
      <c r="D160" s="38" t="s">
        <v>279</v>
      </c>
      <c r="E160" s="38" t="s">
        <v>2875</v>
      </c>
      <c r="F160" s="52">
        <v>0.0</v>
      </c>
      <c r="G160" s="52" t="s">
        <v>1800</v>
      </c>
      <c r="H160" s="52" t="s">
        <v>1800</v>
      </c>
    </row>
    <row r="161" ht="15.75" customHeight="1">
      <c r="A161" s="38" t="s">
        <v>92</v>
      </c>
      <c r="B161" s="38" t="s">
        <v>117</v>
      </c>
      <c r="C161" s="38" t="s">
        <v>280</v>
      </c>
      <c r="D161" s="38" t="s">
        <v>279</v>
      </c>
      <c r="E161" s="38" t="s">
        <v>2876</v>
      </c>
      <c r="F161" s="52">
        <v>96.0</v>
      </c>
      <c r="G161" s="52">
        <v>1114280.0</v>
      </c>
      <c r="H161" s="52">
        <v>32020.0</v>
      </c>
    </row>
    <row r="162" ht="15.75" customHeight="1">
      <c r="A162" s="38" t="s">
        <v>92</v>
      </c>
      <c r="B162" s="38" t="s">
        <v>117</v>
      </c>
      <c r="C162" s="38" t="s">
        <v>280</v>
      </c>
      <c r="D162" s="38" t="s">
        <v>279</v>
      </c>
      <c r="E162" s="38" t="s">
        <v>2877</v>
      </c>
      <c r="F162" s="52">
        <v>25.0</v>
      </c>
      <c r="G162" s="52">
        <v>383080.0</v>
      </c>
      <c r="H162" s="52">
        <v>20800.0</v>
      </c>
    </row>
    <row r="163" ht="15.75" customHeight="1">
      <c r="A163" s="38" t="s">
        <v>92</v>
      </c>
      <c r="B163" s="38" t="s">
        <v>117</v>
      </c>
      <c r="C163" s="38" t="s">
        <v>280</v>
      </c>
      <c r="D163" s="38" t="s">
        <v>279</v>
      </c>
      <c r="E163" s="38" t="s">
        <v>2878</v>
      </c>
      <c r="F163" s="52">
        <v>22.0</v>
      </c>
      <c r="G163" s="52">
        <v>318540.0</v>
      </c>
      <c r="H163" s="52">
        <v>13200.0</v>
      </c>
    </row>
    <row r="164" ht="15.75" customHeight="1">
      <c r="A164" s="38" t="s">
        <v>92</v>
      </c>
      <c r="B164" s="38" t="s">
        <v>117</v>
      </c>
      <c r="C164" s="38" t="s">
        <v>280</v>
      </c>
      <c r="D164" s="38" t="s">
        <v>279</v>
      </c>
      <c r="E164" s="38" t="s">
        <v>2879</v>
      </c>
      <c r="F164" s="52">
        <v>29.0</v>
      </c>
      <c r="G164" s="52">
        <v>471200.0</v>
      </c>
      <c r="H164" s="52">
        <v>31360.0</v>
      </c>
    </row>
    <row r="165" ht="15.75" customHeight="1">
      <c r="A165" s="38" t="s">
        <v>92</v>
      </c>
      <c r="B165" s="38" t="s">
        <v>186</v>
      </c>
      <c r="C165" s="38" t="s">
        <v>280</v>
      </c>
      <c r="D165" s="38" t="s">
        <v>279</v>
      </c>
      <c r="E165" s="38" t="s">
        <v>2880</v>
      </c>
      <c r="F165" s="52">
        <v>47.0</v>
      </c>
      <c r="G165" s="52">
        <v>845300.0</v>
      </c>
      <c r="H165" s="52">
        <v>74500.0</v>
      </c>
    </row>
    <row r="166" ht="15.75" customHeight="1">
      <c r="A166" s="38" t="s">
        <v>92</v>
      </c>
      <c r="B166" s="38" t="s">
        <v>186</v>
      </c>
      <c r="C166" s="38" t="s">
        <v>280</v>
      </c>
      <c r="D166" s="38" t="s">
        <v>279</v>
      </c>
      <c r="E166" s="38" t="s">
        <v>2881</v>
      </c>
      <c r="F166" s="52">
        <v>10.0</v>
      </c>
      <c r="G166" s="52">
        <v>570500.0</v>
      </c>
      <c r="H166" s="52">
        <v>50000.0</v>
      </c>
    </row>
    <row r="167" ht="15.75" customHeight="1">
      <c r="A167" s="38" t="s">
        <v>92</v>
      </c>
      <c r="B167" s="38" t="s">
        <v>186</v>
      </c>
      <c r="C167" s="38" t="s">
        <v>280</v>
      </c>
      <c r="D167" s="38" t="s">
        <v>279</v>
      </c>
      <c r="E167" s="38" t="s">
        <v>2882</v>
      </c>
      <c r="F167" s="52">
        <v>2.0</v>
      </c>
      <c r="G167" s="52">
        <v>222400.0</v>
      </c>
      <c r="H167" s="52" t="s">
        <v>1800</v>
      </c>
    </row>
    <row r="168" ht="15.75" customHeight="1">
      <c r="A168" s="38" t="s">
        <v>92</v>
      </c>
      <c r="B168" s="38" t="s">
        <v>117</v>
      </c>
      <c r="C168" s="38" t="s">
        <v>280</v>
      </c>
      <c r="D168" s="38" t="s">
        <v>279</v>
      </c>
      <c r="E168" s="38" t="s">
        <v>2883</v>
      </c>
      <c r="F168" s="52">
        <v>179.0</v>
      </c>
      <c r="G168" s="52">
        <v>4589180.0</v>
      </c>
      <c r="H168" s="52">
        <v>246840.0</v>
      </c>
    </row>
    <row r="169" ht="15.75" customHeight="1">
      <c r="A169" s="38" t="s">
        <v>92</v>
      </c>
      <c r="B169" s="38" t="s">
        <v>117</v>
      </c>
      <c r="C169" s="38" t="s">
        <v>280</v>
      </c>
      <c r="D169" s="38" t="s">
        <v>279</v>
      </c>
      <c r="E169" s="38" t="s">
        <v>2884</v>
      </c>
      <c r="F169" s="52">
        <v>39.0</v>
      </c>
      <c r="G169" s="52">
        <v>798700.0</v>
      </c>
      <c r="H169" s="52">
        <v>54320.0</v>
      </c>
    </row>
    <row r="170" ht="15.75" customHeight="1">
      <c r="A170" s="38" t="s">
        <v>92</v>
      </c>
      <c r="B170" s="38" t="s">
        <v>117</v>
      </c>
      <c r="C170" s="38" t="s">
        <v>280</v>
      </c>
      <c r="D170" s="38" t="s">
        <v>279</v>
      </c>
      <c r="E170" s="38" t="s">
        <v>2885</v>
      </c>
      <c r="F170" s="52">
        <v>3.0</v>
      </c>
      <c r="G170" s="52">
        <v>35100.0</v>
      </c>
      <c r="H170" s="52">
        <v>3560.0</v>
      </c>
    </row>
    <row r="171" ht="15.75" customHeight="1">
      <c r="A171" s="38" t="s">
        <v>92</v>
      </c>
      <c r="B171" s="38" t="s">
        <v>186</v>
      </c>
      <c r="C171" s="38" t="s">
        <v>280</v>
      </c>
      <c r="D171" s="38" t="s">
        <v>279</v>
      </c>
      <c r="E171" s="38" t="s">
        <v>2886</v>
      </c>
      <c r="F171" s="52">
        <v>2.0</v>
      </c>
      <c r="G171" s="52">
        <v>31800.0</v>
      </c>
      <c r="H171" s="52" t="s">
        <v>1800</v>
      </c>
    </row>
    <row r="172" ht="15.75" customHeight="1">
      <c r="A172" s="38" t="s">
        <v>92</v>
      </c>
      <c r="B172" s="38" t="s">
        <v>186</v>
      </c>
      <c r="C172" s="38" t="s">
        <v>256</v>
      </c>
      <c r="D172" s="38" t="s">
        <v>255</v>
      </c>
      <c r="E172" s="38" t="s">
        <v>2887</v>
      </c>
      <c r="F172" s="52">
        <v>34.0</v>
      </c>
      <c r="G172" s="52">
        <v>498000.0</v>
      </c>
      <c r="H172" s="52">
        <v>60780.0</v>
      </c>
    </row>
    <row r="173" ht="15.75" customHeight="1">
      <c r="A173" s="38" t="s">
        <v>92</v>
      </c>
      <c r="B173" s="38" t="s">
        <v>186</v>
      </c>
      <c r="C173" s="38" t="s">
        <v>256</v>
      </c>
      <c r="D173" s="38" t="s">
        <v>255</v>
      </c>
      <c r="E173" s="38" t="s">
        <v>2888</v>
      </c>
      <c r="F173" s="52">
        <v>62.0</v>
      </c>
      <c r="G173" s="52">
        <v>2281100.0</v>
      </c>
      <c r="H173" s="52">
        <v>311240.0</v>
      </c>
    </row>
    <row r="174" ht="15.75" customHeight="1">
      <c r="A174" s="38" t="s">
        <v>92</v>
      </c>
      <c r="B174" s="38" t="s">
        <v>186</v>
      </c>
      <c r="C174" s="38" t="s">
        <v>256</v>
      </c>
      <c r="D174" s="38" t="s">
        <v>255</v>
      </c>
      <c r="E174" s="38" t="s">
        <v>2889</v>
      </c>
      <c r="F174" s="52">
        <v>46.0</v>
      </c>
      <c r="G174" s="52">
        <v>2569800.0</v>
      </c>
      <c r="H174" s="52">
        <v>340000.0</v>
      </c>
    </row>
    <row r="175" ht="15.75" customHeight="1">
      <c r="A175" s="38" t="s">
        <v>92</v>
      </c>
      <c r="B175" s="38" t="s">
        <v>186</v>
      </c>
      <c r="C175" s="38" t="s">
        <v>256</v>
      </c>
      <c r="D175" s="38" t="s">
        <v>255</v>
      </c>
      <c r="E175" s="38" t="s">
        <v>2890</v>
      </c>
      <c r="F175" s="52">
        <v>13.0</v>
      </c>
      <c r="G175" s="52">
        <v>1190000.0</v>
      </c>
      <c r="H175" s="52">
        <v>90000.0</v>
      </c>
    </row>
    <row r="176" ht="15.75" customHeight="1">
      <c r="A176" s="38" t="s">
        <v>92</v>
      </c>
      <c r="B176" s="38" t="s">
        <v>186</v>
      </c>
      <c r="C176" s="38" t="s">
        <v>256</v>
      </c>
      <c r="D176" s="38" t="s">
        <v>255</v>
      </c>
      <c r="E176" s="38" t="s">
        <v>2891</v>
      </c>
      <c r="F176" s="52">
        <v>111.0</v>
      </c>
      <c r="G176" s="52">
        <v>1758700.0</v>
      </c>
      <c r="H176" s="52">
        <v>183340.0</v>
      </c>
    </row>
    <row r="177" ht="15.75" customHeight="1">
      <c r="A177" s="38" t="s">
        <v>92</v>
      </c>
      <c r="B177" s="38" t="s">
        <v>186</v>
      </c>
      <c r="C177" s="38" t="s">
        <v>256</v>
      </c>
      <c r="D177" s="38" t="s">
        <v>255</v>
      </c>
      <c r="E177" s="38" t="s">
        <v>2892</v>
      </c>
      <c r="F177" s="52">
        <v>57.0</v>
      </c>
      <c r="G177" s="52">
        <v>2049800.0</v>
      </c>
      <c r="H177" s="52">
        <v>244860.0</v>
      </c>
    </row>
    <row r="178" ht="15.75" customHeight="1">
      <c r="A178" s="38" t="s">
        <v>92</v>
      </c>
      <c r="B178" s="38" t="s">
        <v>186</v>
      </c>
      <c r="C178" s="38" t="s">
        <v>256</v>
      </c>
      <c r="D178" s="38" t="s">
        <v>255</v>
      </c>
      <c r="E178" s="38" t="s">
        <v>2893</v>
      </c>
      <c r="F178" s="52">
        <v>13.0</v>
      </c>
      <c r="G178" s="52">
        <v>715200.0</v>
      </c>
      <c r="H178" s="52">
        <v>110000.0</v>
      </c>
    </row>
    <row r="179" ht="15.75" customHeight="1">
      <c r="A179" s="38" t="s">
        <v>92</v>
      </c>
      <c r="B179" s="38" t="s">
        <v>186</v>
      </c>
      <c r="C179" s="38" t="s">
        <v>256</v>
      </c>
      <c r="D179" s="38" t="s">
        <v>255</v>
      </c>
      <c r="E179" s="38" t="s">
        <v>2894</v>
      </c>
      <c r="F179" s="52">
        <v>5.0</v>
      </c>
      <c r="G179" s="52">
        <v>462000.0</v>
      </c>
      <c r="H179" s="52">
        <v>10000.0</v>
      </c>
    </row>
    <row r="180" ht="15.75" customHeight="1">
      <c r="A180" s="38" t="s">
        <v>92</v>
      </c>
      <c r="B180" s="38" t="s">
        <v>186</v>
      </c>
      <c r="C180" s="38" t="s">
        <v>256</v>
      </c>
      <c r="D180" s="38" t="s">
        <v>255</v>
      </c>
      <c r="E180" s="38" t="s">
        <v>2895</v>
      </c>
      <c r="F180" s="52">
        <v>142.0</v>
      </c>
      <c r="G180" s="52">
        <v>1460900.0</v>
      </c>
      <c r="H180" s="52">
        <v>127340.0</v>
      </c>
    </row>
    <row r="181" ht="15.75" customHeight="1">
      <c r="A181" s="38" t="s">
        <v>92</v>
      </c>
      <c r="B181" s="38" t="s">
        <v>186</v>
      </c>
      <c r="C181" s="38" t="s">
        <v>256</v>
      </c>
      <c r="D181" s="38" t="s">
        <v>255</v>
      </c>
      <c r="E181" s="38" t="s">
        <v>2896</v>
      </c>
      <c r="F181" s="52">
        <v>55.0</v>
      </c>
      <c r="G181" s="52">
        <v>1473500.0</v>
      </c>
      <c r="H181" s="52">
        <v>149370.0</v>
      </c>
    </row>
    <row r="182" ht="15.75" customHeight="1">
      <c r="A182" s="38" t="s">
        <v>92</v>
      </c>
      <c r="B182" s="38" t="s">
        <v>186</v>
      </c>
      <c r="C182" s="38" t="s">
        <v>256</v>
      </c>
      <c r="D182" s="38" t="s">
        <v>255</v>
      </c>
      <c r="E182" s="38" t="s">
        <v>2897</v>
      </c>
      <c r="F182" s="52">
        <v>9.0</v>
      </c>
      <c r="G182" s="52">
        <v>386800.0</v>
      </c>
      <c r="H182" s="52">
        <v>43000.0</v>
      </c>
    </row>
    <row r="183" ht="15.75" customHeight="1">
      <c r="A183" s="38" t="s">
        <v>92</v>
      </c>
      <c r="B183" s="55" t="s">
        <v>117</v>
      </c>
      <c r="C183" s="38" t="s">
        <v>1912</v>
      </c>
      <c r="D183" s="38" t="s">
        <v>1911</v>
      </c>
      <c r="E183" s="38" t="s">
        <v>2898</v>
      </c>
      <c r="F183" s="52">
        <v>1480.0</v>
      </c>
      <c r="G183" s="52">
        <v>3.4772E7</v>
      </c>
      <c r="H183" s="52">
        <v>4116840.0</v>
      </c>
      <c r="J183" s="38" t="s">
        <v>186</v>
      </c>
    </row>
    <row r="184" ht="15.75" customHeight="1">
      <c r="A184" s="38" t="s">
        <v>92</v>
      </c>
      <c r="B184" s="55" t="s">
        <v>117</v>
      </c>
      <c r="C184" s="38" t="s">
        <v>1912</v>
      </c>
      <c r="D184" s="38" t="s">
        <v>1911</v>
      </c>
      <c r="E184" s="38" t="s">
        <v>2899</v>
      </c>
      <c r="F184" s="52">
        <v>86.0</v>
      </c>
      <c r="G184" s="52">
        <v>5595000.0</v>
      </c>
      <c r="H184" s="52">
        <v>480000.0</v>
      </c>
      <c r="J184" s="38" t="s">
        <v>186</v>
      </c>
    </row>
    <row r="185" ht="15.75" customHeight="1">
      <c r="A185" s="38" t="s">
        <v>92</v>
      </c>
      <c r="B185" s="55" t="s">
        <v>117</v>
      </c>
      <c r="C185" s="38" t="s">
        <v>1912</v>
      </c>
      <c r="D185" s="38" t="s">
        <v>1911</v>
      </c>
      <c r="E185" s="38" t="s">
        <v>2900</v>
      </c>
      <c r="F185" s="52">
        <v>441.0</v>
      </c>
      <c r="G185" s="52">
        <v>1.846E7</v>
      </c>
      <c r="H185" s="52">
        <v>2760280.0</v>
      </c>
      <c r="J185" s="38" t="s">
        <v>186</v>
      </c>
    </row>
    <row r="186" ht="15.75" customHeight="1">
      <c r="A186" s="38" t="s">
        <v>92</v>
      </c>
      <c r="B186" s="55" t="s">
        <v>117</v>
      </c>
      <c r="C186" s="38" t="s">
        <v>1912</v>
      </c>
      <c r="D186" s="38" t="s">
        <v>1911</v>
      </c>
      <c r="E186" s="38" t="s">
        <v>2901</v>
      </c>
      <c r="F186" s="52">
        <v>40.0</v>
      </c>
      <c r="G186" s="52">
        <v>4364000.0</v>
      </c>
      <c r="H186" s="52">
        <v>260000.0</v>
      </c>
      <c r="J186" s="38" t="s">
        <v>186</v>
      </c>
    </row>
    <row r="187" ht="15.75" customHeight="1">
      <c r="A187" s="38" t="s">
        <v>92</v>
      </c>
      <c r="B187" s="55" t="s">
        <v>117</v>
      </c>
      <c r="C187" s="38" t="s">
        <v>1294</v>
      </c>
      <c r="D187" s="38" t="s">
        <v>1293</v>
      </c>
      <c r="E187" s="38" t="s">
        <v>2902</v>
      </c>
      <c r="F187" s="52">
        <v>520.0</v>
      </c>
      <c r="G187" s="52">
        <v>1.3123E7</v>
      </c>
      <c r="H187" s="52">
        <v>1043580.0</v>
      </c>
      <c r="J187" s="38" t="s">
        <v>186</v>
      </c>
    </row>
    <row r="188" ht="15.75" customHeight="1">
      <c r="A188" s="38" t="s">
        <v>92</v>
      </c>
      <c r="B188" s="54" t="s">
        <v>117</v>
      </c>
      <c r="C188" s="38" t="s">
        <v>2483</v>
      </c>
      <c r="D188" s="38" t="s">
        <v>2482</v>
      </c>
      <c r="E188" s="38" t="s">
        <v>2903</v>
      </c>
      <c r="F188" s="52">
        <v>206.0</v>
      </c>
      <c r="G188" s="52">
        <v>4424250.0</v>
      </c>
      <c r="H188" s="52">
        <v>703630.0</v>
      </c>
      <c r="J188" s="38" t="s">
        <v>186</v>
      </c>
    </row>
    <row r="189" ht="15.75" customHeight="1">
      <c r="A189" s="38" t="s">
        <v>92</v>
      </c>
      <c r="B189" s="38" t="s">
        <v>186</v>
      </c>
      <c r="C189" s="38" t="s">
        <v>2292</v>
      </c>
      <c r="D189" s="38" t="s">
        <v>2291</v>
      </c>
      <c r="E189" s="38" t="s">
        <v>2904</v>
      </c>
      <c r="F189" s="52">
        <v>3.0</v>
      </c>
      <c r="G189" s="52">
        <v>139000.0</v>
      </c>
      <c r="H189" s="52">
        <v>9400.0</v>
      </c>
    </row>
    <row r="190" ht="15.75" customHeight="1">
      <c r="A190" s="38" t="s">
        <v>92</v>
      </c>
      <c r="B190" s="38" t="s">
        <v>186</v>
      </c>
      <c r="C190" s="38" t="s">
        <v>2292</v>
      </c>
      <c r="D190" s="38" t="s">
        <v>2291</v>
      </c>
      <c r="E190" s="38" t="s">
        <v>2905</v>
      </c>
      <c r="F190" s="52">
        <v>1.0</v>
      </c>
      <c r="G190" s="52">
        <v>33000.0</v>
      </c>
      <c r="H190" s="52">
        <v>6600.0</v>
      </c>
    </row>
    <row r="191" ht="15.75" customHeight="1">
      <c r="A191" s="38" t="s">
        <v>92</v>
      </c>
      <c r="B191" s="38" t="s">
        <v>186</v>
      </c>
      <c r="C191" s="38" t="s">
        <v>2292</v>
      </c>
      <c r="D191" s="38" t="s">
        <v>2291</v>
      </c>
      <c r="E191" s="38" t="s">
        <v>2905</v>
      </c>
      <c r="F191" s="52">
        <v>4.0</v>
      </c>
      <c r="G191" s="52">
        <v>175000.0</v>
      </c>
      <c r="H191" s="52">
        <v>10000.0</v>
      </c>
    </row>
    <row r="192" ht="15.75" customHeight="1">
      <c r="A192" s="38" t="s">
        <v>92</v>
      </c>
      <c r="B192" s="55" t="s">
        <v>117</v>
      </c>
      <c r="C192" s="38" t="s">
        <v>2607</v>
      </c>
      <c r="D192" s="38" t="s">
        <v>2606</v>
      </c>
      <c r="E192" s="38" t="s">
        <v>2906</v>
      </c>
      <c r="F192" s="52">
        <v>7.0</v>
      </c>
      <c r="G192" s="52">
        <v>198000.0</v>
      </c>
      <c r="H192" s="52" t="s">
        <v>1800</v>
      </c>
      <c r="J192" s="38" t="s">
        <v>186</v>
      </c>
    </row>
    <row r="193" ht="15.75" customHeight="1">
      <c r="A193" s="38" t="s">
        <v>92</v>
      </c>
      <c r="B193" s="55" t="s">
        <v>117</v>
      </c>
      <c r="C193" s="38" t="s">
        <v>2607</v>
      </c>
      <c r="D193" s="38" t="s">
        <v>2606</v>
      </c>
      <c r="E193" s="38" t="s">
        <v>2907</v>
      </c>
      <c r="F193" s="52">
        <v>0.0</v>
      </c>
      <c r="G193" s="52" t="s">
        <v>1800</v>
      </c>
      <c r="H193" s="52" t="s">
        <v>1800</v>
      </c>
      <c r="J193" s="38" t="s">
        <v>186</v>
      </c>
    </row>
    <row r="194" ht="15.75" customHeight="1">
      <c r="A194" s="38" t="s">
        <v>92</v>
      </c>
      <c r="B194" s="55" t="s">
        <v>117</v>
      </c>
      <c r="C194" s="38" t="s">
        <v>2607</v>
      </c>
      <c r="D194" s="38" t="s">
        <v>2606</v>
      </c>
      <c r="E194" s="38" t="s">
        <v>2908</v>
      </c>
      <c r="F194" s="52">
        <v>0.0</v>
      </c>
      <c r="G194" s="52" t="s">
        <v>1800</v>
      </c>
      <c r="H194" s="52" t="s">
        <v>1800</v>
      </c>
      <c r="J194" s="38" t="s">
        <v>186</v>
      </c>
    </row>
    <row r="195" ht="15.75" customHeight="1">
      <c r="A195" s="38" t="s">
        <v>92</v>
      </c>
      <c r="B195" s="38" t="s">
        <v>117</v>
      </c>
      <c r="C195" s="38" t="s">
        <v>2215</v>
      </c>
      <c r="D195" s="38" t="s">
        <v>2214</v>
      </c>
      <c r="E195" s="38" t="s">
        <v>2909</v>
      </c>
      <c r="F195" s="52">
        <v>892.0</v>
      </c>
      <c r="G195" s="52">
        <v>3.02636E7</v>
      </c>
      <c r="H195" s="52">
        <v>2593180.0</v>
      </c>
    </row>
    <row r="196" ht="15.75" customHeight="1">
      <c r="A196" s="38" t="s">
        <v>92</v>
      </c>
      <c r="B196" s="38" t="s">
        <v>186</v>
      </c>
      <c r="C196" s="38" t="s">
        <v>268</v>
      </c>
      <c r="D196" s="38" t="s">
        <v>267</v>
      </c>
      <c r="E196" s="38" t="s">
        <v>2910</v>
      </c>
      <c r="F196" s="52">
        <v>5.0</v>
      </c>
      <c r="G196" s="52">
        <v>95320.0</v>
      </c>
      <c r="H196" s="52">
        <v>3380.0</v>
      </c>
    </row>
    <row r="197" ht="15.75" customHeight="1">
      <c r="A197" s="38" t="s">
        <v>92</v>
      </c>
      <c r="B197" s="38" t="s">
        <v>117</v>
      </c>
      <c r="C197" s="38" t="s">
        <v>2605</v>
      </c>
      <c r="D197" s="38" t="s">
        <v>2604</v>
      </c>
      <c r="E197" s="38" t="s">
        <v>2911</v>
      </c>
      <c r="F197" s="52">
        <v>297.0</v>
      </c>
      <c r="G197" s="52">
        <v>6336160.0</v>
      </c>
      <c r="H197" s="52" t="s">
        <v>1800</v>
      </c>
    </row>
    <row r="198" ht="15.75" customHeight="1">
      <c r="A198" s="38" t="s">
        <v>92</v>
      </c>
      <c r="B198" s="38" t="s">
        <v>117</v>
      </c>
      <c r="C198" s="38" t="s">
        <v>2605</v>
      </c>
      <c r="D198" s="38" t="s">
        <v>2604</v>
      </c>
      <c r="E198" s="38" t="s">
        <v>2912</v>
      </c>
      <c r="F198" s="52">
        <v>89.0</v>
      </c>
      <c r="G198" s="52">
        <v>3281630.0</v>
      </c>
      <c r="H198" s="52" t="s">
        <v>1800</v>
      </c>
    </row>
    <row r="199" ht="15.75" customHeight="1">
      <c r="A199" s="38" t="s">
        <v>92</v>
      </c>
      <c r="B199" s="38" t="s">
        <v>117</v>
      </c>
      <c r="C199" s="38" t="s">
        <v>2605</v>
      </c>
      <c r="D199" s="38" t="s">
        <v>2604</v>
      </c>
      <c r="E199" s="38" t="s">
        <v>2913</v>
      </c>
      <c r="F199" s="52">
        <v>65.0</v>
      </c>
      <c r="G199" s="52">
        <v>1442190.0</v>
      </c>
      <c r="H199" s="52" t="s">
        <v>1800</v>
      </c>
    </row>
    <row r="200" ht="15.75" customHeight="1">
      <c r="A200" s="38" t="s">
        <v>92</v>
      </c>
      <c r="B200" s="38" t="s">
        <v>117</v>
      </c>
      <c r="C200" s="38" t="s">
        <v>2605</v>
      </c>
      <c r="D200" s="38" t="s">
        <v>2604</v>
      </c>
      <c r="E200" s="38" t="s">
        <v>2914</v>
      </c>
      <c r="F200" s="52">
        <v>58.0</v>
      </c>
      <c r="G200" s="52">
        <v>1542520.0</v>
      </c>
      <c r="H200" s="52" t="s">
        <v>1800</v>
      </c>
    </row>
    <row r="201" ht="15.75" customHeight="1">
      <c r="A201" s="38" t="s">
        <v>92</v>
      </c>
      <c r="B201" s="38" t="s">
        <v>117</v>
      </c>
      <c r="C201" s="38" t="s">
        <v>2605</v>
      </c>
      <c r="D201" s="38" t="s">
        <v>2604</v>
      </c>
      <c r="E201" s="38" t="s">
        <v>2915</v>
      </c>
      <c r="F201" s="52">
        <v>8.0</v>
      </c>
      <c r="G201" s="52">
        <v>494390.0</v>
      </c>
      <c r="H201" s="52" t="s">
        <v>1800</v>
      </c>
    </row>
    <row r="202" ht="15.75" customHeight="1">
      <c r="A202" s="38" t="s">
        <v>92</v>
      </c>
      <c r="B202" s="38" t="s">
        <v>186</v>
      </c>
      <c r="C202" s="38" t="s">
        <v>2605</v>
      </c>
      <c r="D202" s="38" t="s">
        <v>2604</v>
      </c>
      <c r="E202" s="38" t="s">
        <v>2916</v>
      </c>
      <c r="F202" s="52">
        <v>19.0</v>
      </c>
      <c r="G202" s="52">
        <v>387800.0</v>
      </c>
      <c r="H202" s="52" t="s">
        <v>1800</v>
      </c>
    </row>
    <row r="203" ht="15.75" customHeight="1">
      <c r="A203" s="38" t="s">
        <v>92</v>
      </c>
      <c r="B203" s="38" t="s">
        <v>186</v>
      </c>
      <c r="C203" s="38" t="s">
        <v>2605</v>
      </c>
      <c r="D203" s="38" t="s">
        <v>2604</v>
      </c>
      <c r="E203" s="38" t="s">
        <v>2917</v>
      </c>
      <c r="F203" s="52">
        <v>8.0</v>
      </c>
      <c r="G203" s="52">
        <v>208780.0</v>
      </c>
      <c r="H203" s="52" t="s">
        <v>1800</v>
      </c>
    </row>
    <row r="204" ht="15.75" customHeight="1">
      <c r="F204" s="57"/>
      <c r="G204" s="57"/>
      <c r="H204" s="57"/>
      <c r="J204" s="58"/>
    </row>
    <row r="205" ht="15.75" customHeight="1">
      <c r="F205" s="57"/>
      <c r="G205" s="57"/>
      <c r="H205" s="57"/>
      <c r="J205" s="58"/>
    </row>
    <row r="206" ht="15.75" customHeight="1">
      <c r="F206" s="57"/>
      <c r="G206" s="57"/>
      <c r="H206" s="57"/>
      <c r="J206" s="58"/>
    </row>
    <row r="207" ht="15.75" customHeight="1">
      <c r="F207" s="57"/>
      <c r="G207" s="57"/>
      <c r="H207" s="57"/>
      <c r="J207" s="58"/>
    </row>
    <row r="208" ht="15.75" customHeight="1">
      <c r="F208" s="57"/>
      <c r="G208" s="57"/>
      <c r="H208" s="57"/>
      <c r="J208" s="58"/>
    </row>
    <row r="209" ht="15.75" customHeight="1">
      <c r="F209" s="57"/>
      <c r="G209" s="57"/>
      <c r="H209" s="57"/>
      <c r="J209" s="58"/>
    </row>
    <row r="210" ht="15.75" customHeight="1">
      <c r="F210" s="57"/>
      <c r="G210" s="57"/>
      <c r="H210" s="57"/>
      <c r="J210" s="58"/>
    </row>
    <row r="211" ht="15.75" customHeight="1">
      <c r="F211" s="57"/>
      <c r="G211" s="57"/>
      <c r="H211" s="57"/>
      <c r="J211" s="58"/>
    </row>
    <row r="212" ht="15.75" customHeight="1">
      <c r="F212" s="57"/>
      <c r="G212" s="57"/>
      <c r="H212" s="57"/>
      <c r="J212" s="58"/>
    </row>
    <row r="213" ht="15.75" customHeight="1">
      <c r="F213" s="57"/>
      <c r="G213" s="57"/>
      <c r="H213" s="57"/>
      <c r="J213" s="58"/>
    </row>
    <row r="214" ht="15.75" customHeight="1">
      <c r="F214" s="57"/>
      <c r="G214" s="57"/>
      <c r="H214" s="57"/>
      <c r="J214" s="58"/>
    </row>
    <row r="215" ht="15.75" customHeight="1">
      <c r="F215" s="57"/>
      <c r="G215" s="57"/>
      <c r="H215" s="57"/>
      <c r="J215" s="58"/>
    </row>
    <row r="216" ht="15.75" customHeight="1">
      <c r="F216" s="57"/>
      <c r="G216" s="57"/>
      <c r="H216" s="57"/>
      <c r="J216" s="58"/>
    </row>
    <row r="217" ht="15.75" customHeight="1">
      <c r="F217" s="57"/>
      <c r="G217" s="57"/>
      <c r="H217" s="57"/>
      <c r="J217" s="58"/>
    </row>
    <row r="218" ht="15.75" customHeight="1">
      <c r="F218" s="57"/>
      <c r="G218" s="57"/>
      <c r="H218" s="57"/>
      <c r="J218" s="58"/>
    </row>
    <row r="219" ht="15.75" customHeight="1">
      <c r="F219" s="57"/>
      <c r="G219" s="57"/>
      <c r="H219" s="57"/>
      <c r="J219" s="58"/>
    </row>
    <row r="220" ht="15.75" customHeight="1">
      <c r="F220" s="57"/>
      <c r="G220" s="57"/>
      <c r="H220" s="57"/>
      <c r="J220" s="58"/>
    </row>
    <row r="221" ht="15.75" customHeight="1">
      <c r="F221" s="57"/>
      <c r="G221" s="57"/>
      <c r="H221" s="57"/>
      <c r="J221" s="58"/>
    </row>
    <row r="222" ht="15.75" customHeight="1">
      <c r="F222" s="57"/>
      <c r="G222" s="57"/>
      <c r="H222" s="57"/>
      <c r="J222" s="58"/>
    </row>
    <row r="223" ht="15.75" customHeight="1">
      <c r="F223" s="57"/>
      <c r="G223" s="57"/>
      <c r="H223" s="57"/>
      <c r="J223" s="58"/>
    </row>
    <row r="224" ht="15.75" customHeight="1">
      <c r="F224" s="57"/>
      <c r="G224" s="57"/>
      <c r="H224" s="57"/>
      <c r="J224" s="58"/>
    </row>
    <row r="225" ht="15.75" customHeight="1">
      <c r="F225" s="57"/>
      <c r="G225" s="57"/>
      <c r="H225" s="57"/>
      <c r="J225" s="58"/>
    </row>
    <row r="226" ht="15.75" customHeight="1">
      <c r="F226" s="57"/>
      <c r="G226" s="57"/>
      <c r="H226" s="57"/>
      <c r="J226" s="58"/>
    </row>
    <row r="227" ht="15.75" customHeight="1">
      <c r="F227" s="57"/>
      <c r="G227" s="57"/>
      <c r="H227" s="57"/>
      <c r="J227" s="58"/>
    </row>
    <row r="228" ht="15.75" customHeight="1">
      <c r="F228" s="57"/>
      <c r="G228" s="57"/>
      <c r="H228" s="57"/>
      <c r="J228" s="58"/>
    </row>
    <row r="229" ht="15.75" customHeight="1">
      <c r="F229" s="57"/>
      <c r="G229" s="57"/>
      <c r="H229" s="57"/>
      <c r="J229" s="58"/>
    </row>
    <row r="230" ht="15.75" customHeight="1">
      <c r="F230" s="57"/>
      <c r="G230" s="57"/>
      <c r="H230" s="57"/>
      <c r="J230" s="58"/>
    </row>
    <row r="231" ht="15.75" customHeight="1">
      <c r="F231" s="57"/>
      <c r="G231" s="57"/>
      <c r="H231" s="57"/>
      <c r="J231" s="58"/>
    </row>
    <row r="232" ht="15.75" customHeight="1">
      <c r="F232" s="57"/>
      <c r="G232" s="57"/>
      <c r="H232" s="57"/>
      <c r="J232" s="58"/>
    </row>
    <row r="233" ht="15.75" customHeight="1">
      <c r="F233" s="57"/>
      <c r="G233" s="57"/>
      <c r="H233" s="57"/>
      <c r="J233" s="58"/>
    </row>
    <row r="234" ht="15.75" customHeight="1">
      <c r="F234" s="57"/>
      <c r="G234" s="57"/>
      <c r="H234" s="57"/>
      <c r="J234" s="58"/>
    </row>
    <row r="235" ht="15.75" customHeight="1">
      <c r="F235" s="57"/>
      <c r="G235" s="57"/>
      <c r="H235" s="57"/>
      <c r="J235" s="58"/>
    </row>
    <row r="236" ht="15.75" customHeight="1">
      <c r="F236" s="57"/>
      <c r="G236" s="57"/>
      <c r="H236" s="57"/>
      <c r="J236" s="58"/>
    </row>
    <row r="237" ht="15.75" customHeight="1">
      <c r="F237" s="57"/>
      <c r="G237" s="57"/>
      <c r="H237" s="57"/>
      <c r="J237" s="58"/>
    </row>
    <row r="238" ht="15.75" customHeight="1">
      <c r="F238" s="57"/>
      <c r="G238" s="57"/>
      <c r="H238" s="57"/>
      <c r="J238" s="58"/>
    </row>
    <row r="239" ht="15.75" customHeight="1">
      <c r="F239" s="57"/>
      <c r="G239" s="57"/>
      <c r="H239" s="57"/>
      <c r="J239" s="58"/>
    </row>
    <row r="240" ht="15.75" customHeight="1">
      <c r="F240" s="57"/>
      <c r="G240" s="57"/>
      <c r="H240" s="57"/>
      <c r="J240" s="58"/>
    </row>
    <row r="241" ht="15.75" customHeight="1">
      <c r="F241" s="57"/>
      <c r="G241" s="57"/>
      <c r="H241" s="57"/>
      <c r="J241" s="58"/>
    </row>
    <row r="242" ht="15.75" customHeight="1">
      <c r="F242" s="57"/>
      <c r="G242" s="57"/>
      <c r="H242" s="57"/>
      <c r="J242" s="58"/>
    </row>
    <row r="243" ht="15.75" customHeight="1">
      <c r="F243" s="57"/>
      <c r="G243" s="57"/>
      <c r="H243" s="57"/>
      <c r="J243" s="58"/>
    </row>
    <row r="244" ht="15.75" customHeight="1">
      <c r="F244" s="57"/>
      <c r="G244" s="57"/>
      <c r="H244" s="57"/>
      <c r="J244" s="58"/>
    </row>
    <row r="245" ht="15.75" customHeight="1">
      <c r="F245" s="57"/>
      <c r="G245" s="57"/>
      <c r="H245" s="57"/>
      <c r="J245" s="58"/>
    </row>
    <row r="246" ht="15.75" customHeight="1">
      <c r="F246" s="57"/>
      <c r="G246" s="57"/>
      <c r="H246" s="57"/>
      <c r="J246" s="58"/>
    </row>
    <row r="247" ht="15.75" customHeight="1">
      <c r="F247" s="57"/>
      <c r="G247" s="57"/>
      <c r="H247" s="57"/>
      <c r="J247" s="58"/>
    </row>
    <row r="248" ht="15.75" customHeight="1">
      <c r="F248" s="57"/>
      <c r="G248" s="57"/>
      <c r="H248" s="57"/>
      <c r="J248" s="58"/>
    </row>
    <row r="249" ht="15.75" customHeight="1">
      <c r="F249" s="57"/>
      <c r="G249" s="57"/>
      <c r="H249" s="57"/>
      <c r="J249" s="58"/>
    </row>
    <row r="250" ht="15.75" customHeight="1">
      <c r="F250" s="57"/>
      <c r="G250" s="57"/>
      <c r="H250" s="57"/>
      <c r="J250" s="58"/>
    </row>
    <row r="251" ht="15.75" customHeight="1">
      <c r="F251" s="57"/>
      <c r="G251" s="57"/>
      <c r="H251" s="57"/>
      <c r="J251" s="58"/>
    </row>
    <row r="252" ht="15.75" customHeight="1">
      <c r="F252" s="57"/>
      <c r="G252" s="57"/>
      <c r="H252" s="57"/>
      <c r="J252" s="58"/>
    </row>
    <row r="253" ht="15.75" customHeight="1">
      <c r="F253" s="57"/>
      <c r="G253" s="57"/>
      <c r="H253" s="57"/>
      <c r="J253" s="58"/>
    </row>
    <row r="254" ht="15.75" customHeight="1">
      <c r="F254" s="57"/>
      <c r="G254" s="57"/>
      <c r="H254" s="57"/>
      <c r="J254" s="58"/>
    </row>
    <row r="255" ht="15.75" customHeight="1">
      <c r="F255" s="57"/>
      <c r="G255" s="57"/>
      <c r="H255" s="57"/>
      <c r="J255" s="58"/>
    </row>
    <row r="256" ht="15.75" customHeight="1">
      <c r="F256" s="57"/>
      <c r="G256" s="57"/>
      <c r="H256" s="57"/>
      <c r="J256" s="58"/>
    </row>
    <row r="257" ht="15.75" customHeight="1">
      <c r="F257" s="57"/>
      <c r="G257" s="57"/>
      <c r="H257" s="57"/>
      <c r="J257" s="58"/>
    </row>
    <row r="258" ht="15.75" customHeight="1">
      <c r="F258" s="57"/>
      <c r="G258" s="57"/>
      <c r="H258" s="57"/>
      <c r="J258" s="58"/>
    </row>
    <row r="259" ht="15.75" customHeight="1">
      <c r="F259" s="57"/>
      <c r="G259" s="57"/>
      <c r="H259" s="57"/>
      <c r="J259" s="58"/>
    </row>
    <row r="260" ht="15.75" customHeight="1">
      <c r="F260" s="57"/>
      <c r="G260" s="57"/>
      <c r="H260" s="57"/>
      <c r="J260" s="58"/>
    </row>
    <row r="261" ht="15.75" customHeight="1">
      <c r="F261" s="57"/>
      <c r="G261" s="57"/>
      <c r="H261" s="57"/>
      <c r="J261" s="58"/>
    </row>
    <row r="262" ht="15.75" customHeight="1">
      <c r="F262" s="57"/>
      <c r="G262" s="57"/>
      <c r="H262" s="57"/>
      <c r="J262" s="58"/>
    </row>
    <row r="263" ht="15.75" customHeight="1">
      <c r="F263" s="57"/>
      <c r="G263" s="57"/>
      <c r="H263" s="57"/>
      <c r="J263" s="58"/>
    </row>
    <row r="264" ht="15.75" customHeight="1">
      <c r="F264" s="57"/>
      <c r="G264" s="57"/>
      <c r="H264" s="57"/>
      <c r="J264" s="58"/>
    </row>
    <row r="265" ht="15.75" customHeight="1">
      <c r="F265" s="57"/>
      <c r="G265" s="57"/>
      <c r="H265" s="57"/>
      <c r="J265" s="58"/>
    </row>
    <row r="266" ht="15.75" customHeight="1">
      <c r="F266" s="57"/>
      <c r="G266" s="57"/>
      <c r="H266" s="57"/>
      <c r="J266" s="58"/>
    </row>
    <row r="267" ht="15.75" customHeight="1">
      <c r="F267" s="57"/>
      <c r="G267" s="57"/>
      <c r="H267" s="57"/>
      <c r="J267" s="58"/>
    </row>
    <row r="268" ht="15.75" customHeight="1">
      <c r="F268" s="57"/>
      <c r="G268" s="57"/>
      <c r="H268" s="57"/>
      <c r="J268" s="58"/>
    </row>
    <row r="269" ht="15.75" customHeight="1">
      <c r="F269" s="57"/>
      <c r="G269" s="57"/>
      <c r="H269" s="57"/>
      <c r="J269" s="58"/>
    </row>
    <row r="270" ht="15.75" customHeight="1">
      <c r="F270" s="57"/>
      <c r="G270" s="57"/>
      <c r="H270" s="57"/>
      <c r="J270" s="58"/>
    </row>
    <row r="271" ht="15.75" customHeight="1">
      <c r="F271" s="57"/>
      <c r="G271" s="57"/>
      <c r="H271" s="57"/>
      <c r="J271" s="58"/>
    </row>
    <row r="272" ht="15.75" customHeight="1">
      <c r="F272" s="57"/>
      <c r="G272" s="57"/>
      <c r="H272" s="57"/>
      <c r="J272" s="58"/>
    </row>
    <row r="273" ht="15.75" customHeight="1">
      <c r="F273" s="57"/>
      <c r="G273" s="57"/>
      <c r="H273" s="57"/>
      <c r="J273" s="58"/>
    </row>
    <row r="274" ht="15.75" customHeight="1">
      <c r="F274" s="57"/>
      <c r="G274" s="57"/>
      <c r="H274" s="57"/>
      <c r="J274" s="58"/>
    </row>
    <row r="275" ht="15.75" customHeight="1">
      <c r="F275" s="57"/>
      <c r="G275" s="57"/>
      <c r="H275" s="57"/>
      <c r="J275" s="58"/>
    </row>
    <row r="276" ht="15.75" customHeight="1">
      <c r="F276" s="57"/>
      <c r="G276" s="57"/>
      <c r="H276" s="57"/>
      <c r="J276" s="58"/>
    </row>
    <row r="277" ht="15.75" customHeight="1">
      <c r="F277" s="57"/>
      <c r="G277" s="57"/>
      <c r="H277" s="57"/>
      <c r="J277" s="58"/>
    </row>
    <row r="278" ht="15.75" customHeight="1">
      <c r="F278" s="57"/>
      <c r="G278" s="57"/>
      <c r="H278" s="57"/>
      <c r="J278" s="58"/>
    </row>
    <row r="279" ht="15.75" customHeight="1">
      <c r="F279" s="57"/>
      <c r="G279" s="57"/>
      <c r="H279" s="57"/>
      <c r="J279" s="58"/>
    </row>
    <row r="280" ht="15.75" customHeight="1">
      <c r="F280" s="57"/>
      <c r="G280" s="57"/>
      <c r="H280" s="57"/>
      <c r="J280" s="58"/>
    </row>
    <row r="281" ht="15.75" customHeight="1">
      <c r="F281" s="57"/>
      <c r="G281" s="57"/>
      <c r="H281" s="57"/>
      <c r="J281" s="58"/>
    </row>
    <row r="282" ht="15.75" customHeight="1">
      <c r="F282" s="57"/>
      <c r="G282" s="57"/>
      <c r="H282" s="57"/>
      <c r="J282" s="58"/>
    </row>
    <row r="283" ht="15.75" customHeight="1">
      <c r="F283" s="57"/>
      <c r="G283" s="57"/>
      <c r="H283" s="57"/>
      <c r="J283" s="58"/>
    </row>
    <row r="284" ht="15.75" customHeight="1">
      <c r="F284" s="57"/>
      <c r="G284" s="57"/>
      <c r="H284" s="57"/>
      <c r="J284" s="58"/>
    </row>
    <row r="285" ht="15.75" customHeight="1">
      <c r="F285" s="57"/>
      <c r="G285" s="57"/>
      <c r="H285" s="57"/>
      <c r="J285" s="58"/>
    </row>
    <row r="286" ht="15.75" customHeight="1">
      <c r="F286" s="57"/>
      <c r="G286" s="57"/>
      <c r="H286" s="57"/>
      <c r="J286" s="58"/>
    </row>
    <row r="287" ht="15.75" customHeight="1">
      <c r="F287" s="57"/>
      <c r="G287" s="57"/>
      <c r="H287" s="57"/>
      <c r="J287" s="58"/>
    </row>
    <row r="288" ht="15.75" customHeight="1">
      <c r="F288" s="57"/>
      <c r="G288" s="57"/>
      <c r="H288" s="57"/>
      <c r="J288" s="58"/>
    </row>
    <row r="289" ht="15.75" customHeight="1">
      <c r="F289" s="57"/>
      <c r="G289" s="57"/>
      <c r="H289" s="57"/>
      <c r="J289" s="58"/>
    </row>
    <row r="290" ht="15.75" customHeight="1">
      <c r="F290" s="57"/>
      <c r="G290" s="57"/>
      <c r="H290" s="57"/>
      <c r="J290" s="58"/>
    </row>
    <row r="291" ht="15.75" customHeight="1">
      <c r="F291" s="57"/>
      <c r="G291" s="57"/>
      <c r="H291" s="57"/>
      <c r="J291" s="58"/>
    </row>
    <row r="292" ht="15.75" customHeight="1">
      <c r="F292" s="57"/>
      <c r="G292" s="57"/>
      <c r="H292" s="57"/>
      <c r="J292" s="58"/>
    </row>
    <row r="293" ht="15.75" customHeight="1">
      <c r="F293" s="57"/>
      <c r="G293" s="57"/>
      <c r="H293" s="57"/>
      <c r="J293" s="58"/>
    </row>
    <row r="294" ht="15.75" customHeight="1">
      <c r="F294" s="57"/>
      <c r="G294" s="57"/>
      <c r="H294" s="57"/>
      <c r="J294" s="58"/>
    </row>
    <row r="295" ht="15.75" customHeight="1">
      <c r="F295" s="57"/>
      <c r="G295" s="57"/>
      <c r="H295" s="57"/>
      <c r="J295" s="58"/>
    </row>
    <row r="296" ht="15.75" customHeight="1">
      <c r="F296" s="57"/>
      <c r="G296" s="57"/>
      <c r="H296" s="57"/>
      <c r="J296" s="58"/>
    </row>
    <row r="297" ht="15.75" customHeight="1">
      <c r="F297" s="57"/>
      <c r="G297" s="57"/>
      <c r="H297" s="57"/>
      <c r="J297" s="58"/>
    </row>
    <row r="298" ht="15.75" customHeight="1">
      <c r="F298" s="57"/>
      <c r="G298" s="57"/>
      <c r="H298" s="57"/>
      <c r="J298" s="58"/>
    </row>
    <row r="299" ht="15.75" customHeight="1">
      <c r="F299" s="57"/>
      <c r="G299" s="57"/>
      <c r="H299" s="57"/>
      <c r="J299" s="58"/>
    </row>
    <row r="300" ht="15.75" customHeight="1">
      <c r="F300" s="57"/>
      <c r="G300" s="57"/>
      <c r="H300" s="57"/>
      <c r="J300" s="58"/>
    </row>
    <row r="301" ht="15.75" customHeight="1">
      <c r="F301" s="57"/>
      <c r="G301" s="57"/>
      <c r="H301" s="57"/>
      <c r="J301" s="58"/>
    </row>
    <row r="302" ht="15.75" customHeight="1">
      <c r="F302" s="57"/>
      <c r="G302" s="57"/>
      <c r="H302" s="57"/>
      <c r="J302" s="58"/>
    </row>
    <row r="303" ht="15.75" customHeight="1">
      <c r="F303" s="57"/>
      <c r="G303" s="57"/>
      <c r="H303" s="57"/>
      <c r="J303" s="58"/>
    </row>
    <row r="304" ht="15.75" customHeight="1">
      <c r="F304" s="57"/>
      <c r="G304" s="57"/>
      <c r="H304" s="57"/>
      <c r="J304" s="58"/>
    </row>
    <row r="305" ht="15.75" customHeight="1">
      <c r="F305" s="57"/>
      <c r="G305" s="57"/>
      <c r="H305" s="57"/>
      <c r="J305" s="58"/>
    </row>
    <row r="306" ht="15.75" customHeight="1">
      <c r="F306" s="57"/>
      <c r="G306" s="57"/>
      <c r="H306" s="57"/>
      <c r="J306" s="58"/>
    </row>
    <row r="307" ht="15.75" customHeight="1">
      <c r="F307" s="57"/>
      <c r="G307" s="57"/>
      <c r="H307" s="57"/>
      <c r="J307" s="58"/>
    </row>
    <row r="308" ht="15.75" customHeight="1">
      <c r="F308" s="57"/>
      <c r="G308" s="57"/>
      <c r="H308" s="57"/>
      <c r="J308" s="58"/>
    </row>
    <row r="309" ht="15.75" customHeight="1">
      <c r="F309" s="57"/>
      <c r="G309" s="57"/>
      <c r="H309" s="57"/>
      <c r="J309" s="58"/>
    </row>
    <row r="310" ht="15.75" customHeight="1">
      <c r="F310" s="57"/>
      <c r="G310" s="57"/>
      <c r="H310" s="57"/>
      <c r="J310" s="58"/>
    </row>
    <row r="311" ht="15.75" customHeight="1">
      <c r="F311" s="57"/>
      <c r="G311" s="57"/>
      <c r="H311" s="57"/>
      <c r="J311" s="58"/>
    </row>
    <row r="312" ht="15.75" customHeight="1">
      <c r="F312" s="57"/>
      <c r="G312" s="57"/>
      <c r="H312" s="57"/>
      <c r="J312" s="58"/>
    </row>
    <row r="313" ht="15.75" customHeight="1">
      <c r="F313" s="57"/>
      <c r="G313" s="57"/>
      <c r="H313" s="57"/>
      <c r="J313" s="58"/>
    </row>
    <row r="314" ht="15.75" customHeight="1">
      <c r="F314" s="57"/>
      <c r="G314" s="57"/>
      <c r="H314" s="57"/>
      <c r="J314" s="58"/>
    </row>
    <row r="315" ht="15.75" customHeight="1">
      <c r="F315" s="57"/>
      <c r="G315" s="57"/>
      <c r="H315" s="57"/>
      <c r="J315" s="58"/>
    </row>
    <row r="316" ht="15.75" customHeight="1">
      <c r="F316" s="57"/>
      <c r="G316" s="57"/>
      <c r="H316" s="57"/>
      <c r="J316" s="58"/>
    </row>
    <row r="317" ht="15.75" customHeight="1">
      <c r="F317" s="57"/>
      <c r="G317" s="57"/>
      <c r="H317" s="57"/>
      <c r="J317" s="58"/>
    </row>
    <row r="318" ht="15.75" customHeight="1">
      <c r="F318" s="57"/>
      <c r="G318" s="57"/>
      <c r="H318" s="57"/>
      <c r="J318" s="58"/>
    </row>
    <row r="319" ht="15.75" customHeight="1">
      <c r="F319" s="57"/>
      <c r="G319" s="57"/>
      <c r="H319" s="57"/>
      <c r="J319" s="58"/>
    </row>
    <row r="320" ht="15.75" customHeight="1">
      <c r="F320" s="57"/>
      <c r="G320" s="57"/>
      <c r="H320" s="57"/>
      <c r="J320" s="58"/>
    </row>
    <row r="321" ht="15.75" customHeight="1">
      <c r="F321" s="57"/>
      <c r="G321" s="57"/>
      <c r="H321" s="57"/>
      <c r="J321" s="58"/>
    </row>
    <row r="322" ht="15.75" customHeight="1">
      <c r="F322" s="57"/>
      <c r="G322" s="57"/>
      <c r="H322" s="57"/>
      <c r="J322" s="58"/>
    </row>
    <row r="323" ht="15.75" customHeight="1">
      <c r="F323" s="57"/>
      <c r="G323" s="57"/>
      <c r="H323" s="57"/>
      <c r="J323" s="58"/>
    </row>
    <row r="324" ht="15.75" customHeight="1">
      <c r="F324" s="57"/>
      <c r="G324" s="57"/>
      <c r="H324" s="57"/>
      <c r="J324" s="58"/>
    </row>
    <row r="325" ht="15.75" customHeight="1">
      <c r="F325" s="57"/>
      <c r="G325" s="57"/>
      <c r="H325" s="57"/>
      <c r="J325" s="58"/>
    </row>
    <row r="326" ht="15.75" customHeight="1">
      <c r="F326" s="57"/>
      <c r="G326" s="57"/>
      <c r="H326" s="57"/>
      <c r="J326" s="58"/>
    </row>
    <row r="327" ht="15.75" customHeight="1">
      <c r="F327" s="57"/>
      <c r="G327" s="57"/>
      <c r="H327" s="57"/>
      <c r="J327" s="58"/>
    </row>
    <row r="328" ht="15.75" customHeight="1">
      <c r="F328" s="57"/>
      <c r="G328" s="57"/>
      <c r="H328" s="57"/>
      <c r="J328" s="58"/>
    </row>
    <row r="329" ht="15.75" customHeight="1">
      <c r="F329" s="57"/>
      <c r="G329" s="57"/>
      <c r="H329" s="57"/>
      <c r="J329" s="58"/>
    </row>
    <row r="330" ht="15.75" customHeight="1">
      <c r="F330" s="57"/>
      <c r="G330" s="57"/>
      <c r="H330" s="57"/>
      <c r="J330" s="58"/>
    </row>
    <row r="331" ht="15.75" customHeight="1">
      <c r="F331" s="57"/>
      <c r="G331" s="57"/>
      <c r="H331" s="57"/>
      <c r="J331" s="58"/>
    </row>
    <row r="332" ht="15.75" customHeight="1">
      <c r="F332" s="57"/>
      <c r="G332" s="57"/>
      <c r="H332" s="57"/>
      <c r="J332" s="58"/>
    </row>
    <row r="333" ht="15.75" customHeight="1">
      <c r="F333" s="57"/>
      <c r="G333" s="57"/>
      <c r="H333" s="57"/>
      <c r="J333" s="58"/>
    </row>
    <row r="334" ht="15.75" customHeight="1">
      <c r="F334" s="57"/>
      <c r="G334" s="57"/>
      <c r="H334" s="57"/>
      <c r="J334" s="58"/>
    </row>
    <row r="335" ht="15.75" customHeight="1">
      <c r="F335" s="57"/>
      <c r="G335" s="57"/>
      <c r="H335" s="57"/>
      <c r="J335" s="58"/>
    </row>
    <row r="336" ht="15.75" customHeight="1">
      <c r="F336" s="57"/>
      <c r="G336" s="57"/>
      <c r="H336" s="57"/>
      <c r="J336" s="58"/>
    </row>
    <row r="337" ht="15.75" customHeight="1">
      <c r="F337" s="57"/>
      <c r="G337" s="57"/>
      <c r="H337" s="57"/>
      <c r="J337" s="58"/>
    </row>
    <row r="338" ht="15.75" customHeight="1">
      <c r="F338" s="57"/>
      <c r="G338" s="57"/>
      <c r="H338" s="57"/>
      <c r="J338" s="58"/>
    </row>
    <row r="339" ht="15.75" customHeight="1">
      <c r="F339" s="57"/>
      <c r="G339" s="57"/>
      <c r="H339" s="57"/>
      <c r="J339" s="58"/>
    </row>
    <row r="340" ht="15.75" customHeight="1">
      <c r="F340" s="57"/>
      <c r="G340" s="57"/>
      <c r="H340" s="57"/>
      <c r="J340" s="58"/>
    </row>
    <row r="341" ht="15.75" customHeight="1">
      <c r="F341" s="57"/>
      <c r="G341" s="57"/>
      <c r="H341" s="57"/>
      <c r="J341" s="58"/>
    </row>
    <row r="342" ht="15.75" customHeight="1">
      <c r="F342" s="57"/>
      <c r="G342" s="57"/>
      <c r="H342" s="57"/>
      <c r="J342" s="58"/>
    </row>
    <row r="343" ht="15.75" customHeight="1">
      <c r="F343" s="57"/>
      <c r="G343" s="57"/>
      <c r="H343" s="57"/>
      <c r="J343" s="58"/>
    </row>
    <row r="344" ht="15.75" customHeight="1">
      <c r="F344" s="57"/>
      <c r="G344" s="57"/>
      <c r="H344" s="57"/>
      <c r="J344" s="58"/>
    </row>
    <row r="345" ht="15.75" customHeight="1">
      <c r="F345" s="57"/>
      <c r="G345" s="57"/>
      <c r="H345" s="57"/>
      <c r="J345" s="58"/>
    </row>
    <row r="346" ht="15.75" customHeight="1">
      <c r="F346" s="57"/>
      <c r="G346" s="57"/>
      <c r="H346" s="57"/>
      <c r="J346" s="58"/>
    </row>
    <row r="347" ht="15.75" customHeight="1">
      <c r="F347" s="57"/>
      <c r="G347" s="57"/>
      <c r="H347" s="57"/>
      <c r="J347" s="58"/>
    </row>
    <row r="348" ht="15.75" customHeight="1">
      <c r="F348" s="57"/>
      <c r="G348" s="57"/>
      <c r="H348" s="57"/>
      <c r="J348" s="58"/>
    </row>
    <row r="349" ht="15.75" customHeight="1">
      <c r="F349" s="57"/>
      <c r="G349" s="57"/>
      <c r="H349" s="57"/>
      <c r="J349" s="58"/>
    </row>
    <row r="350" ht="15.75" customHeight="1">
      <c r="F350" s="57"/>
      <c r="G350" s="57"/>
      <c r="H350" s="57"/>
      <c r="J350" s="58"/>
    </row>
    <row r="351" ht="15.75" customHeight="1">
      <c r="F351" s="57"/>
      <c r="G351" s="57"/>
      <c r="H351" s="57"/>
      <c r="J351" s="58"/>
    </row>
    <row r="352" ht="15.75" customHeight="1">
      <c r="F352" s="57"/>
      <c r="G352" s="57"/>
      <c r="H352" s="57"/>
      <c r="J352" s="58"/>
    </row>
    <row r="353" ht="15.75" customHeight="1">
      <c r="F353" s="57"/>
      <c r="G353" s="57"/>
      <c r="H353" s="57"/>
      <c r="J353" s="58"/>
    </row>
    <row r="354" ht="15.75" customHeight="1">
      <c r="F354" s="57"/>
      <c r="G354" s="57"/>
      <c r="H354" s="57"/>
      <c r="J354" s="58"/>
    </row>
    <row r="355" ht="15.75" customHeight="1">
      <c r="F355" s="57"/>
      <c r="G355" s="57"/>
      <c r="H355" s="57"/>
      <c r="J355" s="58"/>
    </row>
    <row r="356" ht="15.75" customHeight="1">
      <c r="F356" s="57"/>
      <c r="G356" s="57"/>
      <c r="H356" s="57"/>
      <c r="J356" s="58"/>
    </row>
    <row r="357" ht="15.75" customHeight="1">
      <c r="F357" s="57"/>
      <c r="G357" s="57"/>
      <c r="H357" s="57"/>
      <c r="J357" s="58"/>
    </row>
    <row r="358" ht="15.75" customHeight="1">
      <c r="F358" s="57"/>
      <c r="G358" s="57"/>
      <c r="H358" s="57"/>
      <c r="J358" s="58"/>
    </row>
    <row r="359" ht="15.75" customHeight="1">
      <c r="F359" s="57"/>
      <c r="G359" s="57"/>
      <c r="H359" s="57"/>
      <c r="J359" s="58"/>
    </row>
    <row r="360" ht="15.75" customHeight="1">
      <c r="F360" s="57"/>
      <c r="G360" s="57"/>
      <c r="H360" s="57"/>
      <c r="J360" s="58"/>
    </row>
    <row r="361" ht="15.75" customHeight="1">
      <c r="F361" s="57"/>
      <c r="G361" s="57"/>
      <c r="H361" s="57"/>
      <c r="J361" s="58"/>
    </row>
    <row r="362" ht="15.75" customHeight="1">
      <c r="F362" s="57"/>
      <c r="G362" s="57"/>
      <c r="H362" s="57"/>
      <c r="J362" s="58"/>
    </row>
    <row r="363" ht="15.75" customHeight="1">
      <c r="F363" s="57"/>
      <c r="G363" s="57"/>
      <c r="H363" s="57"/>
      <c r="J363" s="58"/>
    </row>
    <row r="364" ht="15.75" customHeight="1">
      <c r="F364" s="57"/>
      <c r="G364" s="57"/>
      <c r="H364" s="57"/>
      <c r="J364" s="58"/>
    </row>
    <row r="365" ht="15.75" customHeight="1">
      <c r="F365" s="57"/>
      <c r="G365" s="57"/>
      <c r="H365" s="57"/>
      <c r="J365" s="58"/>
    </row>
    <row r="366" ht="15.75" customHeight="1">
      <c r="F366" s="57"/>
      <c r="G366" s="57"/>
      <c r="H366" s="57"/>
      <c r="J366" s="58"/>
    </row>
    <row r="367" ht="15.75" customHeight="1">
      <c r="F367" s="57"/>
      <c r="G367" s="57"/>
      <c r="H367" s="57"/>
      <c r="J367" s="58"/>
    </row>
    <row r="368" ht="15.75" customHeight="1">
      <c r="F368" s="57"/>
      <c r="G368" s="57"/>
      <c r="H368" s="57"/>
      <c r="J368" s="58"/>
    </row>
    <row r="369" ht="15.75" customHeight="1">
      <c r="F369" s="57"/>
      <c r="G369" s="57"/>
      <c r="H369" s="57"/>
      <c r="J369" s="58"/>
    </row>
    <row r="370" ht="15.75" customHeight="1">
      <c r="F370" s="57"/>
      <c r="G370" s="57"/>
      <c r="H370" s="57"/>
      <c r="J370" s="58"/>
    </row>
    <row r="371" ht="15.75" customHeight="1">
      <c r="F371" s="57"/>
      <c r="G371" s="57"/>
      <c r="H371" s="57"/>
      <c r="J371" s="58"/>
    </row>
    <row r="372" ht="15.75" customHeight="1">
      <c r="F372" s="57"/>
      <c r="G372" s="57"/>
      <c r="H372" s="57"/>
      <c r="J372" s="58"/>
    </row>
    <row r="373" ht="15.75" customHeight="1">
      <c r="F373" s="57"/>
      <c r="G373" s="57"/>
      <c r="H373" s="57"/>
      <c r="J373" s="58"/>
    </row>
    <row r="374" ht="15.75" customHeight="1">
      <c r="F374" s="57"/>
      <c r="G374" s="57"/>
      <c r="H374" s="57"/>
      <c r="J374" s="58"/>
    </row>
    <row r="375" ht="15.75" customHeight="1">
      <c r="F375" s="57"/>
      <c r="G375" s="57"/>
      <c r="H375" s="57"/>
      <c r="J375" s="58"/>
    </row>
    <row r="376" ht="15.75" customHeight="1">
      <c r="F376" s="57"/>
      <c r="G376" s="57"/>
      <c r="H376" s="57"/>
      <c r="J376" s="58"/>
    </row>
    <row r="377" ht="15.75" customHeight="1">
      <c r="F377" s="57"/>
      <c r="G377" s="57"/>
      <c r="H377" s="57"/>
      <c r="J377" s="58"/>
    </row>
    <row r="378" ht="15.75" customHeight="1">
      <c r="F378" s="57"/>
      <c r="G378" s="57"/>
      <c r="H378" s="57"/>
      <c r="J378" s="58"/>
    </row>
    <row r="379" ht="15.75" customHeight="1">
      <c r="F379" s="57"/>
      <c r="G379" s="57"/>
      <c r="H379" s="57"/>
      <c r="J379" s="58"/>
    </row>
    <row r="380" ht="15.75" customHeight="1">
      <c r="F380" s="57"/>
      <c r="G380" s="57"/>
      <c r="H380" s="57"/>
      <c r="J380" s="58"/>
    </row>
    <row r="381" ht="15.75" customHeight="1">
      <c r="F381" s="57"/>
      <c r="G381" s="57"/>
      <c r="H381" s="57"/>
      <c r="J381" s="58"/>
    </row>
    <row r="382" ht="15.75" customHeight="1">
      <c r="F382" s="57"/>
      <c r="G382" s="57"/>
      <c r="H382" s="57"/>
      <c r="J382" s="58"/>
    </row>
    <row r="383" ht="15.75" customHeight="1">
      <c r="F383" s="57"/>
      <c r="G383" s="57"/>
      <c r="H383" s="57"/>
      <c r="J383" s="58"/>
    </row>
    <row r="384" ht="15.75" customHeight="1">
      <c r="F384" s="57"/>
      <c r="G384" s="57"/>
      <c r="H384" s="57"/>
      <c r="J384" s="58"/>
    </row>
    <row r="385" ht="15.75" customHeight="1">
      <c r="F385" s="57"/>
      <c r="G385" s="57"/>
      <c r="H385" s="57"/>
      <c r="J385" s="58"/>
    </row>
    <row r="386" ht="15.75" customHeight="1">
      <c r="F386" s="57"/>
      <c r="G386" s="57"/>
      <c r="H386" s="57"/>
      <c r="J386" s="58"/>
    </row>
    <row r="387" ht="15.75" customHeight="1">
      <c r="F387" s="57"/>
      <c r="G387" s="57"/>
      <c r="H387" s="57"/>
      <c r="J387" s="58"/>
    </row>
    <row r="388" ht="15.75" customHeight="1">
      <c r="F388" s="57"/>
      <c r="G388" s="57"/>
      <c r="H388" s="57"/>
      <c r="J388" s="58"/>
    </row>
    <row r="389" ht="15.75" customHeight="1">
      <c r="F389" s="57"/>
      <c r="G389" s="57"/>
      <c r="H389" s="57"/>
      <c r="J389" s="58"/>
    </row>
    <row r="390" ht="15.75" customHeight="1">
      <c r="F390" s="57"/>
      <c r="G390" s="57"/>
      <c r="H390" s="57"/>
      <c r="J390" s="58"/>
    </row>
    <row r="391" ht="15.75" customHeight="1">
      <c r="F391" s="57"/>
      <c r="G391" s="57"/>
      <c r="H391" s="57"/>
      <c r="J391" s="58"/>
    </row>
    <row r="392" ht="15.75" customHeight="1">
      <c r="F392" s="57"/>
      <c r="G392" s="57"/>
      <c r="H392" s="57"/>
      <c r="J392" s="58"/>
    </row>
    <row r="393" ht="15.75" customHeight="1">
      <c r="F393" s="57"/>
      <c r="G393" s="57"/>
      <c r="H393" s="57"/>
      <c r="J393" s="58"/>
    </row>
    <row r="394" ht="15.75" customHeight="1">
      <c r="F394" s="57"/>
      <c r="G394" s="57"/>
      <c r="H394" s="57"/>
      <c r="J394" s="58"/>
    </row>
    <row r="395" ht="15.75" customHeight="1">
      <c r="F395" s="57"/>
      <c r="G395" s="57"/>
      <c r="H395" s="57"/>
      <c r="J395" s="58"/>
    </row>
    <row r="396" ht="15.75" customHeight="1">
      <c r="F396" s="57"/>
      <c r="G396" s="57"/>
      <c r="H396" s="57"/>
      <c r="J396" s="58"/>
    </row>
    <row r="397" ht="15.75" customHeight="1">
      <c r="F397" s="57"/>
      <c r="G397" s="57"/>
      <c r="H397" s="57"/>
      <c r="J397" s="58"/>
    </row>
    <row r="398" ht="15.75" customHeight="1">
      <c r="F398" s="57"/>
      <c r="G398" s="57"/>
      <c r="H398" s="57"/>
      <c r="J398" s="58"/>
    </row>
    <row r="399" ht="15.75" customHeight="1">
      <c r="F399" s="57"/>
      <c r="G399" s="57"/>
      <c r="H399" s="57"/>
      <c r="J399" s="58"/>
    </row>
    <row r="400" ht="15.75" customHeight="1">
      <c r="F400" s="57"/>
      <c r="G400" s="57"/>
      <c r="H400" s="57"/>
      <c r="J400" s="58"/>
    </row>
    <row r="401" ht="15.75" customHeight="1">
      <c r="F401" s="57"/>
      <c r="G401" s="57"/>
      <c r="H401" s="57"/>
      <c r="J401" s="58"/>
    </row>
    <row r="402" ht="15.75" customHeight="1">
      <c r="F402" s="57"/>
      <c r="G402" s="57"/>
      <c r="H402" s="57"/>
      <c r="J402" s="58"/>
    </row>
    <row r="403" ht="15.75" customHeight="1">
      <c r="F403" s="57"/>
      <c r="G403" s="57"/>
      <c r="H403" s="57"/>
      <c r="J403" s="58"/>
    </row>
    <row r="404" ht="15.75" customHeight="1">
      <c r="F404" s="57"/>
      <c r="G404" s="57"/>
      <c r="H404" s="57"/>
      <c r="J404" s="58"/>
    </row>
    <row r="405" ht="15.75" customHeight="1">
      <c r="F405" s="57"/>
      <c r="G405" s="57"/>
      <c r="H405" s="57"/>
      <c r="J405" s="58"/>
    </row>
    <row r="406" ht="15.75" customHeight="1">
      <c r="F406" s="57"/>
      <c r="G406" s="57"/>
      <c r="H406" s="57"/>
      <c r="J406" s="58"/>
    </row>
    <row r="407" ht="15.75" customHeight="1">
      <c r="F407" s="57"/>
      <c r="G407" s="57"/>
      <c r="H407" s="57"/>
      <c r="J407" s="58"/>
    </row>
    <row r="408" ht="15.75" customHeight="1">
      <c r="F408" s="57"/>
      <c r="G408" s="57"/>
      <c r="H408" s="57"/>
      <c r="J408" s="58"/>
    </row>
    <row r="409" ht="15.75" customHeight="1">
      <c r="F409" s="57"/>
      <c r="G409" s="57"/>
      <c r="H409" s="57"/>
      <c r="J409" s="58"/>
    </row>
    <row r="410" ht="15.75" customHeight="1">
      <c r="F410" s="57"/>
      <c r="G410" s="57"/>
      <c r="H410" s="57"/>
      <c r="J410" s="58"/>
    </row>
    <row r="411" ht="15.75" customHeight="1">
      <c r="F411" s="57"/>
      <c r="G411" s="57"/>
      <c r="H411" s="57"/>
      <c r="J411" s="58"/>
    </row>
    <row r="412" ht="15.75" customHeight="1">
      <c r="F412" s="57"/>
      <c r="G412" s="57"/>
      <c r="H412" s="57"/>
      <c r="J412" s="58"/>
    </row>
    <row r="413" ht="15.75" customHeight="1">
      <c r="F413" s="57"/>
      <c r="G413" s="57"/>
      <c r="H413" s="57"/>
      <c r="J413" s="58"/>
    </row>
    <row r="414" ht="15.75" customHeight="1">
      <c r="F414" s="57"/>
      <c r="G414" s="57"/>
      <c r="H414" s="57"/>
      <c r="J414" s="58"/>
    </row>
    <row r="415" ht="15.75" customHeight="1">
      <c r="F415" s="57"/>
      <c r="G415" s="57"/>
      <c r="H415" s="57"/>
      <c r="J415" s="58"/>
    </row>
    <row r="416" ht="15.75" customHeight="1">
      <c r="F416" s="57"/>
      <c r="G416" s="57"/>
      <c r="H416" s="57"/>
      <c r="J416" s="58"/>
    </row>
    <row r="417" ht="15.75" customHeight="1">
      <c r="F417" s="57"/>
      <c r="G417" s="57"/>
      <c r="H417" s="57"/>
      <c r="J417" s="58"/>
    </row>
    <row r="418" ht="15.75" customHeight="1">
      <c r="F418" s="57"/>
      <c r="G418" s="57"/>
      <c r="H418" s="57"/>
      <c r="J418" s="58"/>
    </row>
    <row r="419" ht="15.75" customHeight="1">
      <c r="F419" s="57"/>
      <c r="G419" s="57"/>
      <c r="H419" s="57"/>
      <c r="J419" s="58"/>
    </row>
    <row r="420" ht="15.75" customHeight="1">
      <c r="F420" s="57"/>
      <c r="G420" s="57"/>
      <c r="H420" s="57"/>
      <c r="J420" s="58"/>
    </row>
    <row r="421" ht="15.75" customHeight="1">
      <c r="F421" s="57"/>
      <c r="G421" s="57"/>
      <c r="H421" s="57"/>
      <c r="J421" s="58"/>
    </row>
    <row r="422" ht="15.75" customHeight="1">
      <c r="F422" s="57"/>
      <c r="G422" s="57"/>
      <c r="H422" s="57"/>
      <c r="J422" s="58"/>
    </row>
    <row r="423" ht="15.75" customHeight="1">
      <c r="F423" s="57"/>
      <c r="G423" s="57"/>
      <c r="H423" s="57"/>
      <c r="J423" s="58"/>
    </row>
    <row r="424" ht="15.75" customHeight="1">
      <c r="F424" s="57"/>
      <c r="G424" s="57"/>
      <c r="H424" s="57"/>
      <c r="J424" s="58"/>
    </row>
    <row r="425" ht="15.75" customHeight="1">
      <c r="F425" s="57"/>
      <c r="G425" s="57"/>
      <c r="H425" s="57"/>
      <c r="J425" s="58"/>
    </row>
    <row r="426" ht="15.75" customHeight="1">
      <c r="F426" s="57"/>
      <c r="G426" s="57"/>
      <c r="H426" s="57"/>
      <c r="J426" s="58"/>
    </row>
    <row r="427" ht="15.75" customHeight="1">
      <c r="F427" s="57"/>
      <c r="G427" s="57"/>
      <c r="H427" s="57"/>
      <c r="J427" s="58"/>
    </row>
    <row r="428" ht="15.75" customHeight="1">
      <c r="F428" s="57"/>
      <c r="G428" s="57"/>
      <c r="H428" s="57"/>
      <c r="J428" s="58"/>
    </row>
    <row r="429" ht="15.75" customHeight="1">
      <c r="F429" s="57"/>
      <c r="G429" s="57"/>
      <c r="H429" s="57"/>
      <c r="J429" s="58"/>
    </row>
    <row r="430" ht="15.75" customHeight="1">
      <c r="F430" s="57"/>
      <c r="G430" s="57"/>
      <c r="H430" s="57"/>
      <c r="J430" s="58"/>
    </row>
    <row r="431" ht="15.75" customHeight="1">
      <c r="F431" s="57"/>
      <c r="G431" s="57"/>
      <c r="H431" s="57"/>
      <c r="J431" s="58"/>
    </row>
    <row r="432" ht="15.75" customHeight="1">
      <c r="F432" s="57"/>
      <c r="G432" s="57"/>
      <c r="H432" s="57"/>
      <c r="J432" s="58"/>
    </row>
    <row r="433" ht="15.75" customHeight="1">
      <c r="F433" s="57"/>
      <c r="G433" s="57"/>
      <c r="H433" s="57"/>
      <c r="J433" s="58"/>
    </row>
    <row r="434" ht="15.75" customHeight="1">
      <c r="F434" s="57"/>
      <c r="G434" s="57"/>
      <c r="H434" s="57"/>
      <c r="J434" s="58"/>
    </row>
    <row r="435" ht="15.75" customHeight="1">
      <c r="F435" s="57"/>
      <c r="G435" s="57"/>
      <c r="H435" s="57"/>
      <c r="J435" s="58"/>
    </row>
    <row r="436" ht="15.75" customHeight="1">
      <c r="F436" s="57"/>
      <c r="G436" s="57"/>
      <c r="H436" s="57"/>
      <c r="J436" s="58"/>
    </row>
    <row r="437" ht="15.75" customHeight="1">
      <c r="F437" s="57"/>
      <c r="G437" s="57"/>
      <c r="H437" s="57"/>
      <c r="J437" s="58"/>
    </row>
    <row r="438" ht="15.75" customHeight="1">
      <c r="F438" s="57"/>
      <c r="G438" s="57"/>
      <c r="H438" s="57"/>
      <c r="J438" s="58"/>
    </row>
    <row r="439" ht="15.75" customHeight="1">
      <c r="F439" s="57"/>
      <c r="G439" s="57"/>
      <c r="H439" s="57"/>
      <c r="J439" s="58"/>
    </row>
    <row r="440" ht="15.75" customHeight="1">
      <c r="F440" s="57"/>
      <c r="G440" s="57"/>
      <c r="H440" s="57"/>
      <c r="J440" s="58"/>
    </row>
    <row r="441" ht="15.75" customHeight="1">
      <c r="F441" s="57"/>
      <c r="G441" s="57"/>
      <c r="H441" s="57"/>
      <c r="J441" s="58"/>
    </row>
    <row r="442" ht="15.75" customHeight="1">
      <c r="F442" s="57"/>
      <c r="G442" s="57"/>
      <c r="H442" s="57"/>
      <c r="J442" s="58"/>
    </row>
    <row r="443" ht="15.75" customHeight="1">
      <c r="F443" s="57"/>
      <c r="G443" s="57"/>
      <c r="H443" s="57"/>
      <c r="J443" s="58"/>
    </row>
    <row r="444" ht="15.75" customHeight="1">
      <c r="F444" s="57"/>
      <c r="G444" s="57"/>
      <c r="H444" s="57"/>
      <c r="J444" s="58"/>
    </row>
    <row r="445" ht="15.75" customHeight="1">
      <c r="F445" s="57"/>
      <c r="G445" s="57"/>
      <c r="H445" s="57"/>
      <c r="J445" s="58"/>
    </row>
    <row r="446" ht="15.75" customHeight="1">
      <c r="F446" s="57"/>
      <c r="G446" s="57"/>
      <c r="H446" s="57"/>
      <c r="J446" s="58"/>
    </row>
    <row r="447" ht="15.75" customHeight="1">
      <c r="F447" s="57"/>
      <c r="G447" s="57"/>
      <c r="H447" s="57"/>
      <c r="J447" s="58"/>
    </row>
    <row r="448" ht="15.75" customHeight="1">
      <c r="F448" s="57"/>
      <c r="G448" s="57"/>
      <c r="H448" s="57"/>
      <c r="J448" s="58"/>
    </row>
    <row r="449" ht="15.75" customHeight="1">
      <c r="F449" s="57"/>
      <c r="G449" s="57"/>
      <c r="H449" s="57"/>
      <c r="J449" s="58"/>
    </row>
    <row r="450" ht="15.75" customHeight="1">
      <c r="F450" s="57"/>
      <c r="G450" s="57"/>
      <c r="H450" s="57"/>
      <c r="J450" s="58"/>
    </row>
    <row r="451" ht="15.75" customHeight="1">
      <c r="F451" s="57"/>
      <c r="G451" s="57"/>
      <c r="H451" s="57"/>
      <c r="J451" s="58"/>
    </row>
    <row r="452" ht="15.75" customHeight="1">
      <c r="F452" s="57"/>
      <c r="G452" s="57"/>
      <c r="H452" s="57"/>
      <c r="J452" s="58"/>
    </row>
    <row r="453" ht="15.75" customHeight="1">
      <c r="F453" s="57"/>
      <c r="G453" s="57"/>
      <c r="H453" s="57"/>
      <c r="J453" s="58"/>
    </row>
    <row r="454" ht="15.75" customHeight="1">
      <c r="F454" s="57"/>
      <c r="G454" s="57"/>
      <c r="H454" s="57"/>
      <c r="J454" s="58"/>
    </row>
    <row r="455" ht="15.75" customHeight="1">
      <c r="F455" s="57"/>
      <c r="G455" s="57"/>
      <c r="H455" s="57"/>
      <c r="J455" s="58"/>
    </row>
    <row r="456" ht="15.75" customHeight="1">
      <c r="F456" s="57"/>
      <c r="G456" s="57"/>
      <c r="H456" s="57"/>
      <c r="J456" s="58"/>
    </row>
    <row r="457" ht="15.75" customHeight="1">
      <c r="F457" s="57"/>
      <c r="G457" s="57"/>
      <c r="H457" s="57"/>
      <c r="J457" s="58"/>
    </row>
    <row r="458" ht="15.75" customHeight="1">
      <c r="F458" s="57"/>
      <c r="G458" s="57"/>
      <c r="H458" s="57"/>
      <c r="J458" s="58"/>
    </row>
    <row r="459" ht="15.75" customHeight="1">
      <c r="F459" s="57"/>
      <c r="G459" s="57"/>
      <c r="H459" s="57"/>
      <c r="J459" s="58"/>
    </row>
    <row r="460" ht="15.75" customHeight="1">
      <c r="F460" s="57"/>
      <c r="G460" s="57"/>
      <c r="H460" s="57"/>
      <c r="J460" s="58"/>
    </row>
    <row r="461" ht="15.75" customHeight="1">
      <c r="F461" s="57"/>
      <c r="G461" s="57"/>
      <c r="H461" s="57"/>
      <c r="J461" s="58"/>
    </row>
    <row r="462" ht="15.75" customHeight="1">
      <c r="F462" s="57"/>
      <c r="G462" s="57"/>
      <c r="H462" s="57"/>
      <c r="J462" s="58"/>
    </row>
    <row r="463" ht="15.75" customHeight="1">
      <c r="F463" s="57"/>
      <c r="G463" s="57"/>
      <c r="H463" s="57"/>
      <c r="J463" s="58"/>
    </row>
    <row r="464" ht="15.75" customHeight="1">
      <c r="F464" s="57"/>
      <c r="G464" s="57"/>
      <c r="H464" s="57"/>
      <c r="J464" s="58"/>
    </row>
    <row r="465" ht="15.75" customHeight="1">
      <c r="F465" s="57"/>
      <c r="G465" s="57"/>
      <c r="H465" s="57"/>
      <c r="J465" s="58"/>
    </row>
    <row r="466" ht="15.75" customHeight="1">
      <c r="F466" s="57"/>
      <c r="G466" s="57"/>
      <c r="H466" s="57"/>
      <c r="J466" s="58"/>
    </row>
    <row r="467" ht="15.75" customHeight="1">
      <c r="F467" s="57"/>
      <c r="G467" s="57"/>
      <c r="H467" s="57"/>
      <c r="J467" s="58"/>
    </row>
    <row r="468" ht="15.75" customHeight="1">
      <c r="F468" s="57"/>
      <c r="G468" s="57"/>
      <c r="H468" s="57"/>
      <c r="J468" s="58"/>
    </row>
    <row r="469" ht="15.75" customHeight="1">
      <c r="F469" s="57"/>
      <c r="G469" s="57"/>
      <c r="H469" s="57"/>
      <c r="J469" s="58"/>
    </row>
    <row r="470" ht="15.75" customHeight="1">
      <c r="F470" s="57"/>
      <c r="G470" s="57"/>
      <c r="H470" s="57"/>
      <c r="J470" s="58"/>
    </row>
    <row r="471" ht="15.75" customHeight="1">
      <c r="F471" s="57"/>
      <c r="G471" s="57"/>
      <c r="H471" s="57"/>
      <c r="J471" s="58"/>
    </row>
    <row r="472" ht="15.75" customHeight="1">
      <c r="F472" s="57"/>
      <c r="G472" s="57"/>
      <c r="H472" s="57"/>
      <c r="J472" s="58"/>
    </row>
    <row r="473" ht="15.75" customHeight="1">
      <c r="F473" s="57"/>
      <c r="G473" s="57"/>
      <c r="H473" s="57"/>
      <c r="J473" s="58"/>
    </row>
    <row r="474" ht="15.75" customHeight="1">
      <c r="F474" s="57"/>
      <c r="G474" s="57"/>
      <c r="H474" s="57"/>
      <c r="J474" s="58"/>
    </row>
    <row r="475" ht="15.75" customHeight="1">
      <c r="F475" s="57"/>
      <c r="G475" s="57"/>
      <c r="H475" s="57"/>
      <c r="J475" s="58"/>
    </row>
    <row r="476" ht="15.75" customHeight="1">
      <c r="F476" s="57"/>
      <c r="G476" s="57"/>
      <c r="H476" s="57"/>
      <c r="J476" s="58"/>
    </row>
    <row r="477" ht="15.75" customHeight="1">
      <c r="F477" s="57"/>
      <c r="G477" s="57"/>
      <c r="H477" s="57"/>
      <c r="J477" s="58"/>
    </row>
    <row r="478" ht="15.75" customHeight="1">
      <c r="F478" s="57"/>
      <c r="G478" s="57"/>
      <c r="H478" s="57"/>
      <c r="J478" s="58"/>
    </row>
    <row r="479" ht="15.75" customHeight="1">
      <c r="F479" s="57"/>
      <c r="G479" s="57"/>
      <c r="H479" s="57"/>
      <c r="J479" s="58"/>
    </row>
    <row r="480" ht="15.75" customHeight="1">
      <c r="F480" s="57"/>
      <c r="G480" s="57"/>
      <c r="H480" s="57"/>
      <c r="J480" s="58"/>
    </row>
    <row r="481" ht="15.75" customHeight="1">
      <c r="F481" s="57"/>
      <c r="G481" s="57"/>
      <c r="H481" s="57"/>
      <c r="J481" s="58"/>
    </row>
    <row r="482" ht="15.75" customHeight="1">
      <c r="F482" s="57"/>
      <c r="G482" s="57"/>
      <c r="H482" s="57"/>
      <c r="J482" s="58"/>
    </row>
    <row r="483" ht="15.75" customHeight="1">
      <c r="F483" s="57"/>
      <c r="G483" s="57"/>
      <c r="H483" s="57"/>
      <c r="J483" s="58"/>
    </row>
    <row r="484" ht="15.75" customHeight="1">
      <c r="F484" s="57"/>
      <c r="G484" s="57"/>
      <c r="H484" s="57"/>
      <c r="J484" s="58"/>
    </row>
    <row r="485" ht="15.75" customHeight="1">
      <c r="F485" s="57"/>
      <c r="G485" s="57"/>
      <c r="H485" s="57"/>
      <c r="J485" s="58"/>
    </row>
    <row r="486" ht="15.75" customHeight="1">
      <c r="F486" s="57"/>
      <c r="G486" s="57"/>
      <c r="H486" s="57"/>
      <c r="J486" s="58"/>
    </row>
    <row r="487" ht="15.75" customHeight="1">
      <c r="F487" s="57"/>
      <c r="G487" s="57"/>
      <c r="H487" s="57"/>
      <c r="J487" s="58"/>
    </row>
    <row r="488" ht="15.75" customHeight="1">
      <c r="F488" s="57"/>
      <c r="G488" s="57"/>
      <c r="H488" s="57"/>
      <c r="J488" s="58"/>
    </row>
    <row r="489" ht="15.75" customHeight="1">
      <c r="F489" s="57"/>
      <c r="G489" s="57"/>
      <c r="H489" s="57"/>
      <c r="J489" s="58"/>
    </row>
    <row r="490" ht="15.75" customHeight="1">
      <c r="F490" s="57"/>
      <c r="G490" s="57"/>
      <c r="H490" s="57"/>
      <c r="J490" s="58"/>
    </row>
    <row r="491" ht="15.75" customHeight="1">
      <c r="F491" s="57"/>
      <c r="G491" s="57"/>
      <c r="H491" s="57"/>
      <c r="J491" s="58"/>
    </row>
    <row r="492" ht="15.75" customHeight="1">
      <c r="F492" s="57"/>
      <c r="G492" s="57"/>
      <c r="H492" s="57"/>
      <c r="J492" s="58"/>
    </row>
    <row r="493" ht="15.75" customHeight="1">
      <c r="F493" s="57"/>
      <c r="G493" s="57"/>
      <c r="H493" s="57"/>
      <c r="J493" s="58"/>
    </row>
    <row r="494" ht="15.75" customHeight="1">
      <c r="F494" s="57"/>
      <c r="G494" s="57"/>
      <c r="H494" s="57"/>
      <c r="J494" s="58"/>
    </row>
    <row r="495" ht="15.75" customHeight="1">
      <c r="F495" s="57"/>
      <c r="G495" s="57"/>
      <c r="H495" s="57"/>
      <c r="J495" s="58"/>
    </row>
    <row r="496" ht="15.75" customHeight="1">
      <c r="F496" s="57"/>
      <c r="G496" s="57"/>
      <c r="H496" s="57"/>
      <c r="J496" s="58"/>
    </row>
    <row r="497" ht="15.75" customHeight="1">
      <c r="F497" s="57"/>
      <c r="G497" s="57"/>
      <c r="H497" s="57"/>
      <c r="J497" s="58"/>
    </row>
    <row r="498" ht="15.75" customHeight="1">
      <c r="F498" s="57"/>
      <c r="G498" s="57"/>
      <c r="H498" s="57"/>
      <c r="J498" s="58"/>
    </row>
    <row r="499" ht="15.75" customHeight="1">
      <c r="F499" s="57"/>
      <c r="G499" s="57"/>
      <c r="H499" s="57"/>
      <c r="J499" s="58"/>
    </row>
    <row r="500" ht="15.75" customHeight="1">
      <c r="F500" s="57"/>
      <c r="G500" s="57"/>
      <c r="H500" s="57"/>
      <c r="J500" s="58"/>
    </row>
    <row r="501" ht="15.75" customHeight="1">
      <c r="F501" s="57"/>
      <c r="G501" s="57"/>
      <c r="H501" s="57"/>
      <c r="J501" s="58"/>
    </row>
    <row r="502" ht="15.75" customHeight="1">
      <c r="F502" s="57"/>
      <c r="G502" s="57"/>
      <c r="H502" s="57"/>
      <c r="J502" s="58"/>
    </row>
    <row r="503" ht="15.75" customHeight="1">
      <c r="F503" s="57"/>
      <c r="G503" s="57"/>
      <c r="H503" s="57"/>
      <c r="J503" s="58"/>
    </row>
    <row r="504" ht="15.75" customHeight="1">
      <c r="F504" s="57"/>
      <c r="G504" s="57"/>
      <c r="H504" s="57"/>
      <c r="J504" s="58"/>
    </row>
    <row r="505" ht="15.75" customHeight="1">
      <c r="F505" s="57"/>
      <c r="G505" s="57"/>
      <c r="H505" s="57"/>
      <c r="J505" s="58"/>
    </row>
    <row r="506" ht="15.75" customHeight="1">
      <c r="F506" s="57"/>
      <c r="G506" s="57"/>
      <c r="H506" s="57"/>
      <c r="J506" s="58"/>
    </row>
    <row r="507" ht="15.75" customHeight="1">
      <c r="F507" s="57"/>
      <c r="G507" s="57"/>
      <c r="H507" s="57"/>
      <c r="J507" s="58"/>
    </row>
    <row r="508" ht="15.75" customHeight="1">
      <c r="F508" s="57"/>
      <c r="G508" s="57"/>
      <c r="H508" s="57"/>
      <c r="J508" s="58"/>
    </row>
    <row r="509" ht="15.75" customHeight="1">
      <c r="F509" s="57"/>
      <c r="G509" s="57"/>
      <c r="H509" s="57"/>
      <c r="J509" s="58"/>
    </row>
    <row r="510" ht="15.75" customHeight="1">
      <c r="F510" s="57"/>
      <c r="G510" s="57"/>
      <c r="H510" s="57"/>
      <c r="J510" s="58"/>
    </row>
    <row r="511" ht="15.75" customHeight="1">
      <c r="F511" s="57"/>
      <c r="G511" s="57"/>
      <c r="H511" s="57"/>
      <c r="J511" s="58"/>
    </row>
    <row r="512" ht="15.75" customHeight="1">
      <c r="F512" s="57"/>
      <c r="G512" s="57"/>
      <c r="H512" s="57"/>
      <c r="J512" s="58"/>
    </row>
    <row r="513" ht="15.75" customHeight="1">
      <c r="F513" s="57"/>
      <c r="G513" s="57"/>
      <c r="H513" s="57"/>
      <c r="J513" s="58"/>
    </row>
    <row r="514" ht="15.75" customHeight="1">
      <c r="F514" s="57"/>
      <c r="G514" s="57"/>
      <c r="H514" s="57"/>
      <c r="J514" s="58"/>
    </row>
    <row r="515" ht="15.75" customHeight="1">
      <c r="F515" s="57"/>
      <c r="G515" s="57"/>
      <c r="H515" s="57"/>
      <c r="J515" s="58"/>
    </row>
    <row r="516" ht="15.75" customHeight="1">
      <c r="F516" s="57"/>
      <c r="G516" s="57"/>
      <c r="H516" s="57"/>
      <c r="J516" s="58"/>
    </row>
    <row r="517" ht="15.75" customHeight="1">
      <c r="F517" s="57"/>
      <c r="G517" s="57"/>
      <c r="H517" s="57"/>
      <c r="J517" s="58"/>
    </row>
    <row r="518" ht="15.75" customHeight="1">
      <c r="F518" s="57"/>
      <c r="G518" s="57"/>
      <c r="H518" s="57"/>
      <c r="J518" s="58"/>
    </row>
    <row r="519" ht="15.75" customHeight="1">
      <c r="F519" s="57"/>
      <c r="G519" s="57"/>
      <c r="H519" s="57"/>
      <c r="J519" s="58"/>
    </row>
    <row r="520" ht="15.75" customHeight="1">
      <c r="F520" s="57"/>
      <c r="G520" s="57"/>
      <c r="H520" s="57"/>
      <c r="J520" s="58"/>
    </row>
    <row r="521" ht="15.75" customHeight="1">
      <c r="F521" s="57"/>
      <c r="G521" s="57"/>
      <c r="H521" s="57"/>
      <c r="J521" s="58"/>
    </row>
    <row r="522" ht="15.75" customHeight="1">
      <c r="F522" s="57"/>
      <c r="G522" s="57"/>
      <c r="H522" s="57"/>
      <c r="J522" s="58"/>
    </row>
    <row r="523" ht="15.75" customHeight="1">
      <c r="F523" s="57"/>
      <c r="G523" s="57"/>
      <c r="H523" s="57"/>
      <c r="J523" s="58"/>
    </row>
    <row r="524" ht="15.75" customHeight="1">
      <c r="F524" s="57"/>
      <c r="G524" s="57"/>
      <c r="H524" s="57"/>
      <c r="J524" s="58"/>
    </row>
    <row r="525" ht="15.75" customHeight="1">
      <c r="F525" s="57"/>
      <c r="G525" s="57"/>
      <c r="H525" s="57"/>
      <c r="J525" s="58"/>
    </row>
    <row r="526" ht="15.75" customHeight="1">
      <c r="F526" s="57"/>
      <c r="G526" s="57"/>
      <c r="H526" s="57"/>
      <c r="J526" s="58"/>
    </row>
    <row r="527" ht="15.75" customHeight="1">
      <c r="F527" s="57"/>
      <c r="G527" s="57"/>
      <c r="H527" s="57"/>
      <c r="J527" s="58"/>
    </row>
    <row r="528" ht="15.75" customHeight="1">
      <c r="F528" s="57"/>
      <c r="G528" s="57"/>
      <c r="H528" s="57"/>
      <c r="J528" s="58"/>
    </row>
    <row r="529" ht="15.75" customHeight="1">
      <c r="F529" s="57"/>
      <c r="G529" s="57"/>
      <c r="H529" s="57"/>
      <c r="J529" s="58"/>
    </row>
    <row r="530" ht="15.75" customHeight="1">
      <c r="F530" s="57"/>
      <c r="G530" s="57"/>
      <c r="H530" s="57"/>
      <c r="J530" s="58"/>
    </row>
    <row r="531" ht="15.75" customHeight="1">
      <c r="F531" s="57"/>
      <c r="G531" s="57"/>
      <c r="H531" s="57"/>
      <c r="J531" s="58"/>
    </row>
    <row r="532" ht="15.75" customHeight="1">
      <c r="F532" s="57"/>
      <c r="G532" s="57"/>
      <c r="H532" s="57"/>
      <c r="J532" s="58"/>
    </row>
    <row r="533" ht="15.75" customHeight="1">
      <c r="F533" s="57"/>
      <c r="G533" s="57"/>
      <c r="H533" s="57"/>
      <c r="J533" s="58"/>
    </row>
    <row r="534" ht="15.75" customHeight="1">
      <c r="F534" s="57"/>
      <c r="G534" s="57"/>
      <c r="H534" s="57"/>
      <c r="J534" s="58"/>
    </row>
    <row r="535" ht="15.75" customHeight="1">
      <c r="F535" s="57"/>
      <c r="G535" s="57"/>
      <c r="H535" s="57"/>
      <c r="J535" s="58"/>
    </row>
    <row r="536" ht="15.75" customHeight="1">
      <c r="F536" s="57"/>
      <c r="G536" s="57"/>
      <c r="H536" s="57"/>
      <c r="J536" s="58"/>
    </row>
    <row r="537" ht="15.75" customHeight="1">
      <c r="F537" s="57"/>
      <c r="G537" s="57"/>
      <c r="H537" s="57"/>
      <c r="J537" s="58"/>
    </row>
    <row r="538" ht="15.75" customHeight="1">
      <c r="F538" s="57"/>
      <c r="G538" s="57"/>
      <c r="H538" s="57"/>
      <c r="J538" s="58"/>
    </row>
    <row r="539" ht="15.75" customHeight="1">
      <c r="F539" s="57"/>
      <c r="G539" s="57"/>
      <c r="H539" s="57"/>
      <c r="J539" s="58"/>
    </row>
    <row r="540" ht="15.75" customHeight="1">
      <c r="F540" s="57"/>
      <c r="G540" s="57"/>
      <c r="H540" s="57"/>
      <c r="J540" s="58"/>
    </row>
    <row r="541" ht="15.75" customHeight="1">
      <c r="F541" s="57"/>
      <c r="G541" s="57"/>
      <c r="H541" s="57"/>
      <c r="J541" s="58"/>
    </row>
    <row r="542" ht="15.75" customHeight="1">
      <c r="F542" s="57"/>
      <c r="G542" s="57"/>
      <c r="H542" s="57"/>
      <c r="J542" s="58"/>
    </row>
    <row r="543" ht="15.75" customHeight="1">
      <c r="F543" s="57"/>
      <c r="G543" s="57"/>
      <c r="H543" s="57"/>
      <c r="J543" s="58"/>
    </row>
    <row r="544" ht="15.75" customHeight="1">
      <c r="F544" s="57"/>
      <c r="G544" s="57"/>
      <c r="H544" s="57"/>
      <c r="J544" s="58"/>
    </row>
    <row r="545" ht="15.75" customHeight="1">
      <c r="F545" s="57"/>
      <c r="G545" s="57"/>
      <c r="H545" s="57"/>
      <c r="J545" s="58"/>
    </row>
    <row r="546" ht="15.75" customHeight="1">
      <c r="F546" s="57"/>
      <c r="G546" s="57"/>
      <c r="H546" s="57"/>
      <c r="J546" s="58"/>
    </row>
    <row r="547" ht="15.75" customHeight="1">
      <c r="F547" s="57"/>
      <c r="G547" s="57"/>
      <c r="H547" s="57"/>
      <c r="J547" s="58"/>
    </row>
    <row r="548" ht="15.75" customHeight="1">
      <c r="F548" s="57"/>
      <c r="G548" s="57"/>
      <c r="H548" s="57"/>
      <c r="J548" s="58"/>
    </row>
    <row r="549" ht="15.75" customHeight="1">
      <c r="F549" s="57"/>
      <c r="G549" s="57"/>
      <c r="H549" s="57"/>
      <c r="J549" s="58"/>
    </row>
    <row r="550" ht="15.75" customHeight="1">
      <c r="F550" s="57"/>
      <c r="G550" s="57"/>
      <c r="H550" s="57"/>
      <c r="J550" s="58"/>
    </row>
    <row r="551" ht="15.75" customHeight="1">
      <c r="F551" s="57"/>
      <c r="G551" s="57"/>
      <c r="H551" s="57"/>
      <c r="J551" s="58"/>
    </row>
    <row r="552" ht="15.75" customHeight="1">
      <c r="F552" s="57"/>
      <c r="G552" s="57"/>
      <c r="H552" s="57"/>
      <c r="J552" s="58"/>
    </row>
    <row r="553" ht="15.75" customHeight="1">
      <c r="F553" s="57"/>
      <c r="G553" s="57"/>
      <c r="H553" s="57"/>
      <c r="J553" s="58"/>
    </row>
    <row r="554" ht="15.75" customHeight="1">
      <c r="F554" s="57"/>
      <c r="G554" s="57"/>
      <c r="H554" s="57"/>
      <c r="J554" s="58"/>
    </row>
    <row r="555" ht="15.75" customHeight="1">
      <c r="F555" s="57"/>
      <c r="G555" s="57"/>
      <c r="H555" s="57"/>
      <c r="J555" s="58"/>
    </row>
    <row r="556" ht="15.75" customHeight="1">
      <c r="F556" s="57"/>
      <c r="G556" s="57"/>
      <c r="H556" s="57"/>
      <c r="J556" s="58"/>
    </row>
    <row r="557" ht="15.75" customHeight="1">
      <c r="F557" s="57"/>
      <c r="G557" s="57"/>
      <c r="H557" s="57"/>
      <c r="J557" s="58"/>
    </row>
    <row r="558" ht="15.75" customHeight="1">
      <c r="F558" s="57"/>
      <c r="G558" s="57"/>
      <c r="H558" s="57"/>
      <c r="J558" s="58"/>
    </row>
    <row r="559" ht="15.75" customHeight="1">
      <c r="F559" s="57"/>
      <c r="G559" s="57"/>
      <c r="H559" s="57"/>
      <c r="J559" s="58"/>
    </row>
    <row r="560" ht="15.75" customHeight="1">
      <c r="F560" s="57"/>
      <c r="G560" s="57"/>
      <c r="H560" s="57"/>
      <c r="J560" s="58"/>
    </row>
    <row r="561" ht="15.75" customHeight="1">
      <c r="F561" s="57"/>
      <c r="G561" s="57"/>
      <c r="H561" s="57"/>
      <c r="J561" s="58"/>
    </row>
    <row r="562" ht="15.75" customHeight="1">
      <c r="F562" s="57"/>
      <c r="G562" s="57"/>
      <c r="H562" s="57"/>
      <c r="J562" s="58"/>
    </row>
    <row r="563" ht="15.75" customHeight="1">
      <c r="F563" s="57"/>
      <c r="G563" s="57"/>
      <c r="H563" s="57"/>
      <c r="J563" s="58"/>
    </row>
    <row r="564" ht="15.75" customHeight="1">
      <c r="F564" s="57"/>
      <c r="G564" s="57"/>
      <c r="H564" s="57"/>
      <c r="J564" s="58"/>
    </row>
    <row r="565" ht="15.75" customHeight="1">
      <c r="F565" s="57"/>
      <c r="G565" s="57"/>
      <c r="H565" s="57"/>
      <c r="J565" s="58"/>
    </row>
    <row r="566" ht="15.75" customHeight="1">
      <c r="F566" s="57"/>
      <c r="G566" s="57"/>
      <c r="H566" s="57"/>
      <c r="J566" s="58"/>
    </row>
    <row r="567" ht="15.75" customHeight="1">
      <c r="F567" s="57"/>
      <c r="G567" s="57"/>
      <c r="H567" s="57"/>
      <c r="J567" s="58"/>
    </row>
    <row r="568" ht="15.75" customHeight="1">
      <c r="F568" s="57"/>
      <c r="G568" s="57"/>
      <c r="H568" s="57"/>
      <c r="J568" s="58"/>
    </row>
    <row r="569" ht="15.75" customHeight="1">
      <c r="F569" s="57"/>
      <c r="G569" s="57"/>
      <c r="H569" s="57"/>
      <c r="J569" s="58"/>
    </row>
    <row r="570" ht="15.75" customHeight="1">
      <c r="F570" s="57"/>
      <c r="G570" s="57"/>
      <c r="H570" s="57"/>
      <c r="J570" s="58"/>
    </row>
    <row r="571" ht="15.75" customHeight="1">
      <c r="F571" s="57"/>
      <c r="G571" s="57"/>
      <c r="H571" s="57"/>
      <c r="J571" s="58"/>
    </row>
    <row r="572" ht="15.75" customHeight="1">
      <c r="F572" s="57"/>
      <c r="G572" s="57"/>
      <c r="H572" s="57"/>
      <c r="J572" s="58"/>
    </row>
    <row r="573" ht="15.75" customHeight="1">
      <c r="F573" s="57"/>
      <c r="G573" s="57"/>
      <c r="H573" s="57"/>
      <c r="J573" s="58"/>
    </row>
    <row r="574" ht="15.75" customHeight="1">
      <c r="F574" s="57"/>
      <c r="G574" s="57"/>
      <c r="H574" s="57"/>
      <c r="J574" s="58"/>
    </row>
    <row r="575" ht="15.75" customHeight="1">
      <c r="F575" s="57"/>
      <c r="G575" s="57"/>
      <c r="H575" s="57"/>
      <c r="J575" s="58"/>
    </row>
    <row r="576" ht="15.75" customHeight="1">
      <c r="F576" s="57"/>
      <c r="G576" s="57"/>
      <c r="H576" s="57"/>
      <c r="J576" s="58"/>
    </row>
    <row r="577" ht="15.75" customHeight="1">
      <c r="F577" s="57"/>
      <c r="G577" s="57"/>
      <c r="H577" s="57"/>
      <c r="J577" s="58"/>
    </row>
    <row r="578" ht="15.75" customHeight="1">
      <c r="F578" s="57"/>
      <c r="G578" s="57"/>
      <c r="H578" s="57"/>
      <c r="J578" s="58"/>
    </row>
    <row r="579" ht="15.75" customHeight="1">
      <c r="F579" s="57"/>
      <c r="G579" s="57"/>
      <c r="H579" s="57"/>
      <c r="J579" s="58"/>
    </row>
    <row r="580" ht="15.75" customHeight="1">
      <c r="F580" s="57"/>
      <c r="G580" s="57"/>
      <c r="H580" s="57"/>
      <c r="J580" s="58"/>
    </row>
    <row r="581" ht="15.75" customHeight="1">
      <c r="F581" s="57"/>
      <c r="G581" s="57"/>
      <c r="H581" s="57"/>
      <c r="J581" s="58"/>
    </row>
    <row r="582" ht="15.75" customHeight="1">
      <c r="F582" s="57"/>
      <c r="G582" s="57"/>
      <c r="H582" s="57"/>
      <c r="J582" s="58"/>
    </row>
    <row r="583" ht="15.75" customHeight="1">
      <c r="F583" s="57"/>
      <c r="G583" s="57"/>
      <c r="H583" s="57"/>
      <c r="J583" s="58"/>
    </row>
    <row r="584" ht="15.75" customHeight="1">
      <c r="F584" s="57"/>
      <c r="G584" s="57"/>
      <c r="H584" s="57"/>
      <c r="J584" s="58"/>
    </row>
    <row r="585" ht="15.75" customHeight="1">
      <c r="F585" s="57"/>
      <c r="G585" s="57"/>
      <c r="H585" s="57"/>
      <c r="J585" s="58"/>
    </row>
    <row r="586" ht="15.75" customHeight="1">
      <c r="F586" s="57"/>
      <c r="G586" s="57"/>
      <c r="H586" s="57"/>
      <c r="J586" s="58"/>
    </row>
    <row r="587" ht="15.75" customHeight="1">
      <c r="F587" s="57"/>
      <c r="G587" s="57"/>
      <c r="H587" s="57"/>
      <c r="J587" s="58"/>
    </row>
    <row r="588" ht="15.75" customHeight="1">
      <c r="F588" s="57"/>
      <c r="G588" s="57"/>
      <c r="H588" s="57"/>
      <c r="J588" s="58"/>
    </row>
    <row r="589" ht="15.75" customHeight="1">
      <c r="F589" s="57"/>
      <c r="G589" s="57"/>
      <c r="H589" s="57"/>
      <c r="J589" s="58"/>
    </row>
    <row r="590" ht="15.75" customHeight="1">
      <c r="F590" s="57"/>
      <c r="G590" s="57"/>
      <c r="H590" s="57"/>
      <c r="J590" s="58"/>
    </row>
    <row r="591" ht="15.75" customHeight="1">
      <c r="F591" s="57"/>
      <c r="G591" s="57"/>
      <c r="H591" s="57"/>
      <c r="J591" s="58"/>
    </row>
    <row r="592" ht="15.75" customHeight="1">
      <c r="F592" s="57"/>
      <c r="G592" s="57"/>
      <c r="H592" s="57"/>
      <c r="J592" s="58"/>
    </row>
    <row r="593" ht="15.75" customHeight="1">
      <c r="F593" s="57"/>
      <c r="G593" s="57"/>
      <c r="H593" s="57"/>
      <c r="J593" s="58"/>
    </row>
    <row r="594" ht="15.75" customHeight="1">
      <c r="F594" s="57"/>
      <c r="G594" s="57"/>
      <c r="H594" s="57"/>
      <c r="J594" s="58"/>
    </row>
    <row r="595" ht="15.75" customHeight="1">
      <c r="F595" s="57"/>
      <c r="G595" s="57"/>
      <c r="H595" s="57"/>
      <c r="J595" s="58"/>
    </row>
    <row r="596" ht="15.75" customHeight="1">
      <c r="F596" s="57"/>
      <c r="G596" s="57"/>
      <c r="H596" s="57"/>
      <c r="J596" s="58"/>
    </row>
    <row r="597" ht="15.75" customHeight="1">
      <c r="F597" s="57"/>
      <c r="G597" s="57"/>
      <c r="H597" s="57"/>
      <c r="J597" s="58"/>
    </row>
    <row r="598" ht="15.75" customHeight="1">
      <c r="F598" s="57"/>
      <c r="G598" s="57"/>
      <c r="H598" s="57"/>
      <c r="J598" s="58"/>
    </row>
    <row r="599" ht="15.75" customHeight="1">
      <c r="F599" s="57"/>
      <c r="G599" s="57"/>
      <c r="H599" s="57"/>
      <c r="J599" s="58"/>
    </row>
    <row r="600" ht="15.75" customHeight="1">
      <c r="F600" s="57"/>
      <c r="G600" s="57"/>
      <c r="H600" s="57"/>
      <c r="J600" s="58"/>
    </row>
    <row r="601" ht="15.75" customHeight="1">
      <c r="F601" s="57"/>
      <c r="G601" s="57"/>
      <c r="H601" s="57"/>
      <c r="J601" s="58"/>
    </row>
    <row r="602" ht="15.75" customHeight="1">
      <c r="F602" s="57"/>
      <c r="G602" s="57"/>
      <c r="H602" s="57"/>
      <c r="J602" s="58"/>
    </row>
    <row r="603" ht="15.75" customHeight="1">
      <c r="F603" s="57"/>
      <c r="G603" s="57"/>
      <c r="H603" s="57"/>
      <c r="J603" s="58"/>
    </row>
    <row r="604" ht="15.75" customHeight="1">
      <c r="F604" s="57"/>
      <c r="G604" s="57"/>
      <c r="H604" s="57"/>
      <c r="J604" s="58"/>
    </row>
    <row r="605" ht="15.75" customHeight="1">
      <c r="F605" s="57"/>
      <c r="G605" s="57"/>
      <c r="H605" s="57"/>
      <c r="J605" s="58"/>
    </row>
    <row r="606" ht="15.75" customHeight="1">
      <c r="F606" s="57"/>
      <c r="G606" s="57"/>
      <c r="H606" s="57"/>
      <c r="J606" s="58"/>
    </row>
    <row r="607" ht="15.75" customHeight="1">
      <c r="F607" s="57"/>
      <c r="G607" s="57"/>
      <c r="H607" s="57"/>
      <c r="J607" s="58"/>
    </row>
    <row r="608" ht="15.75" customHeight="1">
      <c r="F608" s="57"/>
      <c r="G608" s="57"/>
      <c r="H608" s="57"/>
      <c r="J608" s="58"/>
    </row>
    <row r="609" ht="15.75" customHeight="1">
      <c r="F609" s="57"/>
      <c r="G609" s="57"/>
      <c r="H609" s="57"/>
      <c r="J609" s="58"/>
    </row>
    <row r="610" ht="15.75" customHeight="1">
      <c r="F610" s="57"/>
      <c r="G610" s="57"/>
      <c r="H610" s="57"/>
      <c r="J610" s="58"/>
    </row>
    <row r="611" ht="15.75" customHeight="1">
      <c r="F611" s="57"/>
      <c r="G611" s="57"/>
      <c r="H611" s="57"/>
      <c r="J611" s="58"/>
    </row>
    <row r="612" ht="15.75" customHeight="1">
      <c r="F612" s="57"/>
      <c r="G612" s="57"/>
      <c r="H612" s="57"/>
      <c r="J612" s="58"/>
    </row>
    <row r="613" ht="15.75" customHeight="1">
      <c r="F613" s="57"/>
      <c r="G613" s="57"/>
      <c r="H613" s="57"/>
      <c r="J613" s="58"/>
    </row>
    <row r="614" ht="15.75" customHeight="1">
      <c r="F614" s="57"/>
      <c r="G614" s="57"/>
      <c r="H614" s="57"/>
      <c r="J614" s="58"/>
    </row>
    <row r="615" ht="15.75" customHeight="1">
      <c r="F615" s="57"/>
      <c r="G615" s="57"/>
      <c r="H615" s="57"/>
      <c r="J615" s="58"/>
    </row>
    <row r="616" ht="15.75" customHeight="1">
      <c r="F616" s="57"/>
      <c r="G616" s="57"/>
      <c r="H616" s="57"/>
      <c r="J616" s="58"/>
    </row>
    <row r="617" ht="15.75" customHeight="1">
      <c r="F617" s="57"/>
      <c r="G617" s="57"/>
      <c r="H617" s="57"/>
      <c r="J617" s="58"/>
    </row>
    <row r="618" ht="15.75" customHeight="1">
      <c r="F618" s="57"/>
      <c r="G618" s="57"/>
      <c r="H618" s="57"/>
      <c r="J618" s="58"/>
    </row>
    <row r="619" ht="15.75" customHeight="1">
      <c r="F619" s="57"/>
      <c r="G619" s="57"/>
      <c r="H619" s="57"/>
      <c r="J619" s="58"/>
    </row>
    <row r="620" ht="15.75" customHeight="1">
      <c r="F620" s="57"/>
      <c r="G620" s="57"/>
      <c r="H620" s="57"/>
      <c r="J620" s="58"/>
    </row>
    <row r="621" ht="15.75" customHeight="1">
      <c r="F621" s="57"/>
      <c r="G621" s="57"/>
      <c r="H621" s="57"/>
      <c r="J621" s="58"/>
    </row>
    <row r="622" ht="15.75" customHeight="1">
      <c r="F622" s="57"/>
      <c r="G622" s="57"/>
      <c r="H622" s="57"/>
      <c r="J622" s="58"/>
    </row>
    <row r="623" ht="15.75" customHeight="1">
      <c r="F623" s="57"/>
      <c r="G623" s="57"/>
      <c r="H623" s="57"/>
      <c r="J623" s="58"/>
    </row>
    <row r="624" ht="15.75" customHeight="1">
      <c r="F624" s="57"/>
      <c r="G624" s="57"/>
      <c r="H624" s="57"/>
      <c r="J624" s="58"/>
    </row>
    <row r="625" ht="15.75" customHeight="1">
      <c r="F625" s="57"/>
      <c r="G625" s="57"/>
      <c r="H625" s="57"/>
      <c r="J625" s="58"/>
    </row>
    <row r="626" ht="15.75" customHeight="1">
      <c r="F626" s="57"/>
      <c r="G626" s="57"/>
      <c r="H626" s="57"/>
      <c r="J626" s="58"/>
    </row>
    <row r="627" ht="15.75" customHeight="1">
      <c r="F627" s="57"/>
      <c r="G627" s="57"/>
      <c r="H627" s="57"/>
      <c r="J627" s="58"/>
    </row>
    <row r="628" ht="15.75" customHeight="1">
      <c r="F628" s="57"/>
      <c r="G628" s="57"/>
      <c r="H628" s="57"/>
      <c r="J628" s="58"/>
    </row>
    <row r="629" ht="15.75" customHeight="1">
      <c r="F629" s="57"/>
      <c r="G629" s="57"/>
      <c r="H629" s="57"/>
      <c r="J629" s="58"/>
    </row>
    <row r="630" ht="15.75" customHeight="1">
      <c r="F630" s="57"/>
      <c r="G630" s="57"/>
      <c r="H630" s="57"/>
      <c r="J630" s="58"/>
    </row>
    <row r="631" ht="15.75" customHeight="1">
      <c r="F631" s="57"/>
      <c r="G631" s="57"/>
      <c r="H631" s="57"/>
      <c r="J631" s="58"/>
    </row>
    <row r="632" ht="15.75" customHeight="1">
      <c r="F632" s="57"/>
      <c r="G632" s="57"/>
      <c r="H632" s="57"/>
      <c r="J632" s="58"/>
    </row>
    <row r="633" ht="15.75" customHeight="1">
      <c r="F633" s="57"/>
      <c r="G633" s="57"/>
      <c r="H633" s="57"/>
      <c r="J633" s="58"/>
    </row>
    <row r="634" ht="15.75" customHeight="1">
      <c r="F634" s="57"/>
      <c r="G634" s="57"/>
      <c r="H634" s="57"/>
      <c r="J634" s="58"/>
    </row>
    <row r="635" ht="15.75" customHeight="1">
      <c r="F635" s="57"/>
      <c r="G635" s="57"/>
      <c r="H635" s="57"/>
      <c r="J635" s="58"/>
    </row>
    <row r="636" ht="15.75" customHeight="1">
      <c r="F636" s="57"/>
      <c r="G636" s="57"/>
      <c r="H636" s="57"/>
      <c r="J636" s="58"/>
    </row>
    <row r="637" ht="15.75" customHeight="1">
      <c r="F637" s="57"/>
      <c r="G637" s="57"/>
      <c r="H637" s="57"/>
      <c r="J637" s="58"/>
    </row>
    <row r="638" ht="15.75" customHeight="1">
      <c r="F638" s="57"/>
      <c r="G638" s="57"/>
      <c r="H638" s="57"/>
      <c r="J638" s="58"/>
    </row>
    <row r="639" ht="15.75" customHeight="1">
      <c r="F639" s="57"/>
      <c r="G639" s="57"/>
      <c r="H639" s="57"/>
      <c r="J639" s="58"/>
    </row>
    <row r="640" ht="15.75" customHeight="1">
      <c r="F640" s="57"/>
      <c r="G640" s="57"/>
      <c r="H640" s="57"/>
      <c r="J640" s="58"/>
    </row>
    <row r="641" ht="15.75" customHeight="1">
      <c r="F641" s="57"/>
      <c r="G641" s="57"/>
      <c r="H641" s="57"/>
      <c r="J641" s="58"/>
    </row>
    <row r="642" ht="15.75" customHeight="1">
      <c r="F642" s="57"/>
      <c r="G642" s="57"/>
      <c r="H642" s="57"/>
      <c r="J642" s="58"/>
    </row>
    <row r="643" ht="15.75" customHeight="1">
      <c r="F643" s="57"/>
      <c r="G643" s="57"/>
      <c r="H643" s="57"/>
      <c r="J643" s="58"/>
    </row>
    <row r="644" ht="15.75" customHeight="1">
      <c r="F644" s="57"/>
      <c r="G644" s="57"/>
      <c r="H644" s="57"/>
      <c r="J644" s="58"/>
    </row>
    <row r="645" ht="15.75" customHeight="1">
      <c r="F645" s="57"/>
      <c r="G645" s="57"/>
      <c r="H645" s="57"/>
      <c r="J645" s="58"/>
    </row>
    <row r="646" ht="15.75" customHeight="1">
      <c r="F646" s="57"/>
      <c r="G646" s="57"/>
      <c r="H646" s="57"/>
      <c r="J646" s="58"/>
    </row>
    <row r="647" ht="15.75" customHeight="1">
      <c r="F647" s="57"/>
      <c r="G647" s="57"/>
      <c r="H647" s="57"/>
      <c r="J647" s="58"/>
    </row>
    <row r="648" ht="15.75" customHeight="1">
      <c r="F648" s="57"/>
      <c r="G648" s="57"/>
      <c r="H648" s="57"/>
      <c r="J648" s="58"/>
    </row>
    <row r="649" ht="15.75" customHeight="1">
      <c r="F649" s="57"/>
      <c r="G649" s="57"/>
      <c r="H649" s="57"/>
      <c r="J649" s="58"/>
    </row>
    <row r="650" ht="15.75" customHeight="1">
      <c r="F650" s="57"/>
      <c r="G650" s="57"/>
      <c r="H650" s="57"/>
      <c r="J650" s="58"/>
    </row>
    <row r="651" ht="15.75" customHeight="1">
      <c r="F651" s="57"/>
      <c r="G651" s="57"/>
      <c r="H651" s="57"/>
      <c r="J651" s="58"/>
    </row>
    <row r="652" ht="15.75" customHeight="1">
      <c r="F652" s="57"/>
      <c r="G652" s="57"/>
      <c r="H652" s="57"/>
      <c r="J652" s="58"/>
    </row>
    <row r="653" ht="15.75" customHeight="1">
      <c r="F653" s="57"/>
      <c r="G653" s="57"/>
      <c r="H653" s="57"/>
      <c r="J653" s="58"/>
    </row>
    <row r="654" ht="15.75" customHeight="1">
      <c r="F654" s="57"/>
      <c r="G654" s="57"/>
      <c r="H654" s="57"/>
      <c r="J654" s="58"/>
    </row>
    <row r="655" ht="15.75" customHeight="1">
      <c r="F655" s="57"/>
      <c r="G655" s="57"/>
      <c r="H655" s="57"/>
      <c r="J655" s="58"/>
    </row>
    <row r="656" ht="15.75" customHeight="1">
      <c r="F656" s="57"/>
      <c r="G656" s="57"/>
      <c r="H656" s="57"/>
      <c r="J656" s="58"/>
    </row>
    <row r="657" ht="15.75" customHeight="1">
      <c r="F657" s="57"/>
      <c r="G657" s="57"/>
      <c r="H657" s="57"/>
      <c r="J657" s="58"/>
    </row>
    <row r="658" ht="15.75" customHeight="1">
      <c r="F658" s="57"/>
      <c r="G658" s="57"/>
      <c r="H658" s="57"/>
      <c r="J658" s="58"/>
    </row>
    <row r="659" ht="15.75" customHeight="1">
      <c r="F659" s="57"/>
      <c r="G659" s="57"/>
      <c r="H659" s="57"/>
      <c r="J659" s="58"/>
    </row>
    <row r="660" ht="15.75" customHeight="1">
      <c r="F660" s="57"/>
      <c r="G660" s="57"/>
      <c r="H660" s="57"/>
      <c r="J660" s="58"/>
    </row>
    <row r="661" ht="15.75" customHeight="1">
      <c r="F661" s="57"/>
      <c r="G661" s="57"/>
      <c r="H661" s="57"/>
      <c r="J661" s="58"/>
    </row>
    <row r="662" ht="15.75" customHeight="1">
      <c r="F662" s="57"/>
      <c r="G662" s="57"/>
      <c r="H662" s="57"/>
      <c r="J662" s="58"/>
    </row>
    <row r="663" ht="15.75" customHeight="1">
      <c r="F663" s="57"/>
      <c r="G663" s="57"/>
      <c r="H663" s="57"/>
      <c r="J663" s="58"/>
    </row>
    <row r="664" ht="15.75" customHeight="1">
      <c r="F664" s="57"/>
      <c r="G664" s="57"/>
      <c r="H664" s="57"/>
      <c r="J664" s="58"/>
    </row>
    <row r="665" ht="15.75" customHeight="1">
      <c r="F665" s="57"/>
      <c r="G665" s="57"/>
      <c r="H665" s="57"/>
      <c r="J665" s="58"/>
    </row>
    <row r="666" ht="15.75" customHeight="1">
      <c r="F666" s="57"/>
      <c r="G666" s="57"/>
      <c r="H666" s="57"/>
      <c r="J666" s="58"/>
    </row>
    <row r="667" ht="15.75" customHeight="1">
      <c r="F667" s="57"/>
      <c r="G667" s="57"/>
      <c r="H667" s="57"/>
      <c r="J667" s="58"/>
    </row>
    <row r="668" ht="15.75" customHeight="1">
      <c r="F668" s="57"/>
      <c r="G668" s="57"/>
      <c r="H668" s="57"/>
      <c r="J668" s="58"/>
    </row>
    <row r="669" ht="15.75" customHeight="1">
      <c r="F669" s="57"/>
      <c r="G669" s="57"/>
      <c r="H669" s="57"/>
      <c r="J669" s="58"/>
    </row>
    <row r="670" ht="15.75" customHeight="1">
      <c r="F670" s="57"/>
      <c r="G670" s="57"/>
      <c r="H670" s="57"/>
      <c r="J670" s="58"/>
    </row>
    <row r="671" ht="15.75" customHeight="1">
      <c r="F671" s="57"/>
      <c r="G671" s="57"/>
      <c r="H671" s="57"/>
      <c r="J671" s="58"/>
    </row>
    <row r="672" ht="15.75" customHeight="1">
      <c r="F672" s="57"/>
      <c r="G672" s="57"/>
      <c r="H672" s="57"/>
      <c r="J672" s="58"/>
    </row>
    <row r="673" ht="15.75" customHeight="1">
      <c r="F673" s="57"/>
      <c r="G673" s="57"/>
      <c r="H673" s="57"/>
      <c r="J673" s="58"/>
    </row>
    <row r="674" ht="15.75" customHeight="1">
      <c r="F674" s="57"/>
      <c r="G674" s="57"/>
      <c r="H674" s="57"/>
      <c r="J674" s="58"/>
    </row>
    <row r="675" ht="15.75" customHeight="1">
      <c r="F675" s="57"/>
      <c r="G675" s="57"/>
      <c r="H675" s="57"/>
      <c r="J675" s="58"/>
    </row>
    <row r="676" ht="15.75" customHeight="1">
      <c r="F676" s="57"/>
      <c r="G676" s="57"/>
      <c r="H676" s="57"/>
      <c r="J676" s="58"/>
    </row>
    <row r="677" ht="15.75" customHeight="1">
      <c r="F677" s="57"/>
      <c r="G677" s="57"/>
      <c r="H677" s="57"/>
      <c r="J677" s="58"/>
    </row>
    <row r="678" ht="15.75" customHeight="1">
      <c r="F678" s="57"/>
      <c r="G678" s="57"/>
      <c r="H678" s="57"/>
      <c r="J678" s="58"/>
    </row>
    <row r="679" ht="15.75" customHeight="1">
      <c r="F679" s="57"/>
      <c r="G679" s="57"/>
      <c r="H679" s="57"/>
      <c r="J679" s="58"/>
    </row>
    <row r="680" ht="15.75" customHeight="1">
      <c r="F680" s="57"/>
      <c r="G680" s="57"/>
      <c r="H680" s="57"/>
      <c r="J680" s="58"/>
    </row>
    <row r="681" ht="15.75" customHeight="1">
      <c r="F681" s="57"/>
      <c r="G681" s="57"/>
      <c r="H681" s="57"/>
      <c r="J681" s="58"/>
    </row>
    <row r="682" ht="15.75" customHeight="1">
      <c r="F682" s="57"/>
      <c r="G682" s="57"/>
      <c r="H682" s="57"/>
      <c r="J682" s="58"/>
    </row>
    <row r="683" ht="15.75" customHeight="1">
      <c r="F683" s="57"/>
      <c r="G683" s="57"/>
      <c r="H683" s="57"/>
      <c r="J683" s="58"/>
    </row>
    <row r="684" ht="15.75" customHeight="1">
      <c r="F684" s="57"/>
      <c r="G684" s="57"/>
      <c r="H684" s="57"/>
      <c r="J684" s="58"/>
    </row>
    <row r="685" ht="15.75" customHeight="1">
      <c r="F685" s="57"/>
      <c r="G685" s="57"/>
      <c r="H685" s="57"/>
      <c r="J685" s="58"/>
    </row>
    <row r="686" ht="15.75" customHeight="1">
      <c r="F686" s="57"/>
      <c r="G686" s="57"/>
      <c r="H686" s="57"/>
      <c r="J686" s="58"/>
    </row>
    <row r="687" ht="15.75" customHeight="1">
      <c r="F687" s="57"/>
      <c r="G687" s="57"/>
      <c r="H687" s="57"/>
      <c r="J687" s="58"/>
    </row>
    <row r="688" ht="15.75" customHeight="1">
      <c r="F688" s="57"/>
      <c r="G688" s="57"/>
      <c r="H688" s="57"/>
      <c r="J688" s="58"/>
    </row>
    <row r="689" ht="15.75" customHeight="1">
      <c r="F689" s="57"/>
      <c r="G689" s="57"/>
      <c r="H689" s="57"/>
      <c r="J689" s="58"/>
    </row>
    <row r="690" ht="15.75" customHeight="1">
      <c r="F690" s="57"/>
      <c r="G690" s="57"/>
      <c r="H690" s="57"/>
      <c r="J690" s="58"/>
    </row>
    <row r="691" ht="15.75" customHeight="1">
      <c r="F691" s="57"/>
      <c r="G691" s="57"/>
      <c r="H691" s="57"/>
      <c r="J691" s="58"/>
    </row>
    <row r="692" ht="15.75" customHeight="1">
      <c r="F692" s="57"/>
      <c r="G692" s="57"/>
      <c r="H692" s="57"/>
      <c r="J692" s="58"/>
    </row>
    <row r="693" ht="15.75" customHeight="1">
      <c r="F693" s="57"/>
      <c r="G693" s="57"/>
      <c r="H693" s="57"/>
      <c r="J693" s="58"/>
    </row>
    <row r="694" ht="15.75" customHeight="1">
      <c r="F694" s="57"/>
      <c r="G694" s="57"/>
      <c r="H694" s="57"/>
      <c r="J694" s="58"/>
    </row>
    <row r="695" ht="15.75" customHeight="1">
      <c r="F695" s="57"/>
      <c r="G695" s="57"/>
      <c r="H695" s="57"/>
      <c r="J695" s="58"/>
    </row>
    <row r="696" ht="15.75" customHeight="1">
      <c r="F696" s="57"/>
      <c r="G696" s="57"/>
      <c r="H696" s="57"/>
      <c r="J696" s="58"/>
    </row>
    <row r="697" ht="15.75" customHeight="1">
      <c r="F697" s="57"/>
      <c r="G697" s="57"/>
      <c r="H697" s="57"/>
      <c r="J697" s="58"/>
    </row>
    <row r="698" ht="15.75" customHeight="1">
      <c r="F698" s="57"/>
      <c r="G698" s="57"/>
      <c r="H698" s="57"/>
      <c r="J698" s="58"/>
    </row>
    <row r="699" ht="15.75" customHeight="1">
      <c r="F699" s="57"/>
      <c r="G699" s="57"/>
      <c r="H699" s="57"/>
      <c r="J699" s="58"/>
    </row>
    <row r="700" ht="15.75" customHeight="1">
      <c r="F700" s="57"/>
      <c r="G700" s="57"/>
      <c r="H700" s="57"/>
      <c r="J700" s="58"/>
    </row>
    <row r="701" ht="15.75" customHeight="1">
      <c r="F701" s="57"/>
      <c r="G701" s="57"/>
      <c r="H701" s="57"/>
      <c r="J701" s="58"/>
    </row>
    <row r="702" ht="15.75" customHeight="1">
      <c r="F702" s="57"/>
      <c r="G702" s="57"/>
      <c r="H702" s="57"/>
      <c r="J702" s="58"/>
    </row>
    <row r="703" ht="15.75" customHeight="1">
      <c r="F703" s="57"/>
      <c r="G703" s="57"/>
      <c r="H703" s="57"/>
      <c r="J703" s="58"/>
    </row>
    <row r="704" ht="15.75" customHeight="1">
      <c r="F704" s="57"/>
      <c r="G704" s="57"/>
      <c r="H704" s="57"/>
      <c r="J704" s="58"/>
    </row>
    <row r="705" ht="15.75" customHeight="1">
      <c r="F705" s="57"/>
      <c r="G705" s="57"/>
      <c r="H705" s="57"/>
      <c r="J705" s="58"/>
    </row>
    <row r="706" ht="15.75" customHeight="1">
      <c r="F706" s="57"/>
      <c r="G706" s="57"/>
      <c r="H706" s="57"/>
      <c r="J706" s="58"/>
    </row>
    <row r="707" ht="15.75" customHeight="1">
      <c r="F707" s="57"/>
      <c r="G707" s="57"/>
      <c r="H707" s="57"/>
      <c r="J707" s="58"/>
    </row>
    <row r="708" ht="15.75" customHeight="1">
      <c r="F708" s="57"/>
      <c r="G708" s="57"/>
      <c r="H708" s="57"/>
      <c r="J708" s="58"/>
    </row>
    <row r="709" ht="15.75" customHeight="1">
      <c r="F709" s="57"/>
      <c r="G709" s="57"/>
      <c r="H709" s="57"/>
      <c r="J709" s="58"/>
    </row>
    <row r="710" ht="15.75" customHeight="1">
      <c r="F710" s="57"/>
      <c r="G710" s="57"/>
      <c r="H710" s="57"/>
      <c r="J710" s="58"/>
    </row>
    <row r="711" ht="15.75" customHeight="1">
      <c r="F711" s="57"/>
      <c r="G711" s="57"/>
      <c r="H711" s="57"/>
      <c r="J711" s="58"/>
    </row>
    <row r="712" ht="15.75" customHeight="1">
      <c r="F712" s="57"/>
      <c r="G712" s="57"/>
      <c r="H712" s="57"/>
      <c r="J712" s="58"/>
    </row>
    <row r="713" ht="15.75" customHeight="1">
      <c r="F713" s="57"/>
      <c r="G713" s="57"/>
      <c r="H713" s="57"/>
      <c r="J713" s="58"/>
    </row>
    <row r="714" ht="15.75" customHeight="1">
      <c r="F714" s="57"/>
      <c r="G714" s="57"/>
      <c r="H714" s="57"/>
      <c r="J714" s="58"/>
    </row>
    <row r="715" ht="15.75" customHeight="1">
      <c r="F715" s="57"/>
      <c r="G715" s="57"/>
      <c r="H715" s="57"/>
      <c r="J715" s="58"/>
    </row>
    <row r="716" ht="15.75" customHeight="1">
      <c r="F716" s="57"/>
      <c r="G716" s="57"/>
      <c r="H716" s="57"/>
      <c r="J716" s="58"/>
    </row>
    <row r="717" ht="15.75" customHeight="1">
      <c r="F717" s="57"/>
      <c r="G717" s="57"/>
      <c r="H717" s="57"/>
      <c r="J717" s="58"/>
    </row>
    <row r="718" ht="15.75" customHeight="1">
      <c r="F718" s="57"/>
      <c r="G718" s="57"/>
      <c r="H718" s="57"/>
      <c r="J718" s="58"/>
    </row>
    <row r="719" ht="15.75" customHeight="1">
      <c r="F719" s="57"/>
      <c r="G719" s="57"/>
      <c r="H719" s="57"/>
      <c r="J719" s="58"/>
    </row>
    <row r="720" ht="15.75" customHeight="1">
      <c r="F720" s="57"/>
      <c r="G720" s="57"/>
      <c r="H720" s="57"/>
      <c r="J720" s="58"/>
    </row>
    <row r="721" ht="15.75" customHeight="1">
      <c r="F721" s="57"/>
      <c r="G721" s="57"/>
      <c r="H721" s="57"/>
      <c r="J721" s="58"/>
    </row>
    <row r="722" ht="15.75" customHeight="1">
      <c r="F722" s="57"/>
      <c r="G722" s="57"/>
      <c r="H722" s="57"/>
      <c r="J722" s="58"/>
    </row>
    <row r="723" ht="15.75" customHeight="1">
      <c r="F723" s="57"/>
      <c r="G723" s="57"/>
      <c r="H723" s="57"/>
      <c r="J723" s="58"/>
    </row>
    <row r="724" ht="15.75" customHeight="1">
      <c r="F724" s="57"/>
      <c r="G724" s="57"/>
      <c r="H724" s="57"/>
      <c r="J724" s="58"/>
    </row>
    <row r="725" ht="15.75" customHeight="1">
      <c r="F725" s="57"/>
      <c r="G725" s="57"/>
      <c r="H725" s="57"/>
      <c r="J725" s="58"/>
    </row>
    <row r="726" ht="15.75" customHeight="1">
      <c r="F726" s="57"/>
      <c r="G726" s="57"/>
      <c r="H726" s="57"/>
      <c r="J726" s="58"/>
    </row>
    <row r="727" ht="15.75" customHeight="1">
      <c r="F727" s="57"/>
      <c r="G727" s="57"/>
      <c r="H727" s="57"/>
      <c r="J727" s="58"/>
    </row>
    <row r="728" ht="15.75" customHeight="1">
      <c r="F728" s="57"/>
      <c r="G728" s="57"/>
      <c r="H728" s="57"/>
      <c r="J728" s="58"/>
    </row>
    <row r="729" ht="15.75" customHeight="1">
      <c r="F729" s="57"/>
      <c r="G729" s="57"/>
      <c r="H729" s="57"/>
      <c r="J729" s="58"/>
    </row>
    <row r="730" ht="15.75" customHeight="1">
      <c r="F730" s="57"/>
      <c r="G730" s="57"/>
      <c r="H730" s="57"/>
      <c r="J730" s="58"/>
    </row>
    <row r="731" ht="15.75" customHeight="1">
      <c r="F731" s="57"/>
      <c r="G731" s="57"/>
      <c r="H731" s="57"/>
      <c r="J731" s="58"/>
    </row>
    <row r="732" ht="15.75" customHeight="1">
      <c r="F732" s="57"/>
      <c r="G732" s="57"/>
      <c r="H732" s="57"/>
      <c r="J732" s="58"/>
    </row>
    <row r="733" ht="15.75" customHeight="1">
      <c r="F733" s="57"/>
      <c r="G733" s="57"/>
      <c r="H733" s="57"/>
      <c r="J733" s="58"/>
    </row>
    <row r="734" ht="15.75" customHeight="1">
      <c r="F734" s="57"/>
      <c r="G734" s="57"/>
      <c r="H734" s="57"/>
      <c r="J734" s="58"/>
    </row>
    <row r="735" ht="15.75" customHeight="1">
      <c r="F735" s="57"/>
      <c r="G735" s="57"/>
      <c r="H735" s="57"/>
      <c r="J735" s="58"/>
    </row>
    <row r="736" ht="15.75" customHeight="1">
      <c r="F736" s="57"/>
      <c r="G736" s="57"/>
      <c r="H736" s="57"/>
      <c r="J736" s="58"/>
    </row>
    <row r="737" ht="15.75" customHeight="1">
      <c r="F737" s="57"/>
      <c r="G737" s="57"/>
      <c r="H737" s="57"/>
      <c r="J737" s="58"/>
    </row>
    <row r="738" ht="15.75" customHeight="1">
      <c r="F738" s="57"/>
      <c r="G738" s="57"/>
      <c r="H738" s="57"/>
      <c r="J738" s="58"/>
    </row>
    <row r="739" ht="15.75" customHeight="1">
      <c r="F739" s="57"/>
      <c r="G739" s="57"/>
      <c r="H739" s="57"/>
      <c r="J739" s="58"/>
    </row>
    <row r="740" ht="15.75" customHeight="1">
      <c r="F740" s="57"/>
      <c r="G740" s="57"/>
      <c r="H740" s="57"/>
      <c r="J740" s="58"/>
    </row>
    <row r="741" ht="15.75" customHeight="1">
      <c r="F741" s="57"/>
      <c r="G741" s="57"/>
      <c r="H741" s="57"/>
      <c r="J741" s="58"/>
    </row>
    <row r="742" ht="15.75" customHeight="1">
      <c r="F742" s="57"/>
      <c r="G742" s="57"/>
      <c r="H742" s="57"/>
      <c r="J742" s="58"/>
    </row>
    <row r="743" ht="15.75" customHeight="1">
      <c r="F743" s="57"/>
      <c r="G743" s="57"/>
      <c r="H743" s="57"/>
      <c r="J743" s="58"/>
    </row>
    <row r="744" ht="15.75" customHeight="1">
      <c r="F744" s="57"/>
      <c r="G744" s="57"/>
      <c r="H744" s="57"/>
      <c r="J744" s="58"/>
    </row>
    <row r="745" ht="15.75" customHeight="1">
      <c r="F745" s="57"/>
      <c r="G745" s="57"/>
      <c r="H745" s="57"/>
      <c r="J745" s="58"/>
    </row>
    <row r="746" ht="15.75" customHeight="1">
      <c r="F746" s="57"/>
      <c r="G746" s="57"/>
      <c r="H746" s="57"/>
      <c r="J746" s="58"/>
    </row>
    <row r="747" ht="15.75" customHeight="1">
      <c r="F747" s="57"/>
      <c r="G747" s="57"/>
      <c r="H747" s="57"/>
      <c r="J747" s="58"/>
    </row>
    <row r="748" ht="15.75" customHeight="1">
      <c r="F748" s="57"/>
      <c r="G748" s="57"/>
      <c r="H748" s="57"/>
      <c r="J748" s="58"/>
    </row>
    <row r="749" ht="15.75" customHeight="1">
      <c r="F749" s="57"/>
      <c r="G749" s="57"/>
      <c r="H749" s="57"/>
      <c r="J749" s="58"/>
    </row>
    <row r="750" ht="15.75" customHeight="1">
      <c r="F750" s="57"/>
      <c r="G750" s="57"/>
      <c r="H750" s="57"/>
      <c r="J750" s="58"/>
    </row>
    <row r="751" ht="15.75" customHeight="1">
      <c r="F751" s="57"/>
      <c r="G751" s="57"/>
      <c r="H751" s="57"/>
      <c r="J751" s="58"/>
    </row>
    <row r="752" ht="15.75" customHeight="1">
      <c r="F752" s="57"/>
      <c r="G752" s="57"/>
      <c r="H752" s="57"/>
      <c r="J752" s="58"/>
    </row>
    <row r="753" ht="15.75" customHeight="1">
      <c r="F753" s="57"/>
      <c r="G753" s="57"/>
      <c r="H753" s="57"/>
      <c r="J753" s="58"/>
    </row>
    <row r="754" ht="15.75" customHeight="1">
      <c r="F754" s="57"/>
      <c r="G754" s="57"/>
      <c r="H754" s="57"/>
      <c r="J754" s="58"/>
    </row>
    <row r="755" ht="15.75" customHeight="1">
      <c r="F755" s="57"/>
      <c r="G755" s="57"/>
      <c r="H755" s="57"/>
      <c r="J755" s="58"/>
    </row>
    <row r="756" ht="15.75" customHeight="1">
      <c r="F756" s="57"/>
      <c r="G756" s="57"/>
      <c r="H756" s="57"/>
      <c r="J756" s="58"/>
    </row>
    <row r="757" ht="15.75" customHeight="1">
      <c r="F757" s="57"/>
      <c r="G757" s="57"/>
      <c r="H757" s="57"/>
      <c r="J757" s="58"/>
    </row>
    <row r="758" ht="15.75" customHeight="1">
      <c r="F758" s="57"/>
      <c r="G758" s="57"/>
      <c r="H758" s="57"/>
      <c r="J758" s="58"/>
    </row>
    <row r="759" ht="15.75" customHeight="1">
      <c r="F759" s="57"/>
      <c r="G759" s="57"/>
      <c r="H759" s="57"/>
      <c r="J759" s="58"/>
    </row>
    <row r="760" ht="15.75" customHeight="1">
      <c r="F760" s="57"/>
      <c r="G760" s="57"/>
      <c r="H760" s="57"/>
      <c r="J760" s="58"/>
    </row>
    <row r="761" ht="15.75" customHeight="1">
      <c r="F761" s="57"/>
      <c r="G761" s="57"/>
      <c r="H761" s="57"/>
      <c r="J761" s="58"/>
    </row>
    <row r="762" ht="15.75" customHeight="1">
      <c r="F762" s="57"/>
      <c r="G762" s="57"/>
      <c r="H762" s="57"/>
      <c r="J762" s="58"/>
    </row>
    <row r="763" ht="15.75" customHeight="1">
      <c r="F763" s="57"/>
      <c r="G763" s="57"/>
      <c r="H763" s="57"/>
      <c r="J763" s="58"/>
    </row>
    <row r="764" ht="15.75" customHeight="1">
      <c r="F764" s="57"/>
      <c r="G764" s="57"/>
      <c r="H764" s="57"/>
      <c r="J764" s="58"/>
    </row>
    <row r="765" ht="15.75" customHeight="1">
      <c r="F765" s="57"/>
      <c r="G765" s="57"/>
      <c r="H765" s="57"/>
      <c r="J765" s="58"/>
    </row>
    <row r="766" ht="15.75" customHeight="1">
      <c r="F766" s="57"/>
      <c r="G766" s="57"/>
      <c r="H766" s="57"/>
      <c r="J766" s="58"/>
    </row>
    <row r="767" ht="15.75" customHeight="1">
      <c r="F767" s="57"/>
      <c r="G767" s="57"/>
      <c r="H767" s="57"/>
      <c r="J767" s="58"/>
    </row>
    <row r="768" ht="15.75" customHeight="1">
      <c r="F768" s="57"/>
      <c r="G768" s="57"/>
      <c r="H768" s="57"/>
      <c r="J768" s="58"/>
    </row>
    <row r="769" ht="15.75" customHeight="1">
      <c r="F769" s="57"/>
      <c r="G769" s="57"/>
      <c r="H769" s="57"/>
      <c r="J769" s="58"/>
    </row>
    <row r="770" ht="15.75" customHeight="1">
      <c r="F770" s="57"/>
      <c r="G770" s="57"/>
      <c r="H770" s="57"/>
      <c r="J770" s="58"/>
    </row>
    <row r="771" ht="15.75" customHeight="1">
      <c r="F771" s="57"/>
      <c r="G771" s="57"/>
      <c r="H771" s="57"/>
      <c r="J771" s="58"/>
    </row>
    <row r="772" ht="15.75" customHeight="1">
      <c r="F772" s="57"/>
      <c r="G772" s="57"/>
      <c r="H772" s="57"/>
      <c r="J772" s="58"/>
    </row>
    <row r="773" ht="15.75" customHeight="1">
      <c r="F773" s="57"/>
      <c r="G773" s="57"/>
      <c r="H773" s="57"/>
      <c r="J773" s="58"/>
    </row>
    <row r="774" ht="15.75" customHeight="1">
      <c r="F774" s="57"/>
      <c r="G774" s="57"/>
      <c r="H774" s="57"/>
      <c r="J774" s="58"/>
    </row>
    <row r="775" ht="15.75" customHeight="1">
      <c r="F775" s="57"/>
      <c r="G775" s="57"/>
      <c r="H775" s="57"/>
      <c r="J775" s="58"/>
    </row>
    <row r="776" ht="15.75" customHeight="1">
      <c r="F776" s="57"/>
      <c r="G776" s="57"/>
      <c r="H776" s="57"/>
      <c r="J776" s="58"/>
    </row>
    <row r="777" ht="15.75" customHeight="1">
      <c r="F777" s="57"/>
      <c r="G777" s="57"/>
      <c r="H777" s="57"/>
      <c r="J777" s="58"/>
    </row>
    <row r="778" ht="15.75" customHeight="1">
      <c r="F778" s="57"/>
      <c r="G778" s="57"/>
      <c r="H778" s="57"/>
      <c r="J778" s="58"/>
    </row>
    <row r="779" ht="15.75" customHeight="1">
      <c r="F779" s="57"/>
      <c r="G779" s="57"/>
      <c r="H779" s="57"/>
      <c r="J779" s="58"/>
    </row>
    <row r="780" ht="15.75" customHeight="1">
      <c r="F780" s="57"/>
      <c r="G780" s="57"/>
      <c r="H780" s="57"/>
      <c r="J780" s="58"/>
    </row>
    <row r="781" ht="15.75" customHeight="1">
      <c r="F781" s="57"/>
      <c r="G781" s="57"/>
      <c r="H781" s="57"/>
      <c r="J781" s="58"/>
    </row>
    <row r="782" ht="15.75" customHeight="1">
      <c r="F782" s="57"/>
      <c r="G782" s="57"/>
      <c r="H782" s="57"/>
      <c r="J782" s="58"/>
    </row>
    <row r="783" ht="15.75" customHeight="1">
      <c r="F783" s="57"/>
      <c r="G783" s="57"/>
      <c r="H783" s="57"/>
      <c r="J783" s="58"/>
    </row>
    <row r="784" ht="15.75" customHeight="1">
      <c r="F784" s="57"/>
      <c r="G784" s="57"/>
      <c r="H784" s="57"/>
      <c r="J784" s="58"/>
    </row>
    <row r="785" ht="15.75" customHeight="1">
      <c r="F785" s="57"/>
      <c r="G785" s="57"/>
      <c r="H785" s="57"/>
      <c r="J785" s="58"/>
    </row>
    <row r="786" ht="15.75" customHeight="1">
      <c r="F786" s="57"/>
      <c r="G786" s="57"/>
      <c r="H786" s="57"/>
      <c r="J786" s="58"/>
    </row>
    <row r="787" ht="15.75" customHeight="1">
      <c r="F787" s="57"/>
      <c r="G787" s="57"/>
      <c r="H787" s="57"/>
      <c r="J787" s="58"/>
    </row>
    <row r="788" ht="15.75" customHeight="1">
      <c r="F788" s="57"/>
      <c r="G788" s="57"/>
      <c r="H788" s="57"/>
      <c r="J788" s="58"/>
    </row>
    <row r="789" ht="15.75" customHeight="1">
      <c r="F789" s="57"/>
      <c r="G789" s="57"/>
      <c r="H789" s="57"/>
      <c r="J789" s="58"/>
    </row>
    <row r="790" ht="15.75" customHeight="1">
      <c r="F790" s="57"/>
      <c r="G790" s="57"/>
      <c r="H790" s="57"/>
      <c r="J790" s="58"/>
    </row>
    <row r="791" ht="15.75" customHeight="1">
      <c r="F791" s="57"/>
      <c r="G791" s="57"/>
      <c r="H791" s="57"/>
      <c r="J791" s="58"/>
    </row>
    <row r="792" ht="15.75" customHeight="1">
      <c r="F792" s="57"/>
      <c r="G792" s="57"/>
      <c r="H792" s="57"/>
      <c r="J792" s="58"/>
    </row>
    <row r="793" ht="15.75" customHeight="1">
      <c r="F793" s="57"/>
      <c r="G793" s="57"/>
      <c r="H793" s="57"/>
      <c r="J793" s="58"/>
    </row>
    <row r="794" ht="15.75" customHeight="1">
      <c r="F794" s="57"/>
      <c r="G794" s="57"/>
      <c r="H794" s="57"/>
      <c r="J794" s="58"/>
    </row>
    <row r="795" ht="15.75" customHeight="1">
      <c r="F795" s="57"/>
      <c r="G795" s="57"/>
      <c r="H795" s="57"/>
      <c r="J795" s="58"/>
    </row>
    <row r="796" ht="15.75" customHeight="1">
      <c r="F796" s="57"/>
      <c r="G796" s="57"/>
      <c r="H796" s="57"/>
      <c r="J796" s="58"/>
    </row>
    <row r="797" ht="15.75" customHeight="1">
      <c r="F797" s="57"/>
      <c r="G797" s="57"/>
      <c r="H797" s="57"/>
      <c r="J797" s="58"/>
    </row>
    <row r="798" ht="15.75" customHeight="1">
      <c r="F798" s="57"/>
      <c r="G798" s="57"/>
      <c r="H798" s="57"/>
      <c r="J798" s="58"/>
    </row>
    <row r="799" ht="15.75" customHeight="1">
      <c r="F799" s="57"/>
      <c r="G799" s="57"/>
      <c r="H799" s="57"/>
      <c r="J799" s="58"/>
    </row>
    <row r="800" ht="15.75" customHeight="1">
      <c r="F800" s="57"/>
      <c r="G800" s="57"/>
      <c r="H800" s="57"/>
      <c r="J800" s="58"/>
    </row>
    <row r="801" ht="15.75" customHeight="1">
      <c r="F801" s="57"/>
      <c r="G801" s="57"/>
      <c r="H801" s="57"/>
      <c r="J801" s="58"/>
    </row>
    <row r="802" ht="15.75" customHeight="1">
      <c r="F802" s="57"/>
      <c r="G802" s="57"/>
      <c r="H802" s="57"/>
      <c r="J802" s="58"/>
    </row>
    <row r="803" ht="15.75" customHeight="1">
      <c r="F803" s="57"/>
      <c r="G803" s="57"/>
      <c r="H803" s="57"/>
      <c r="J803" s="58"/>
    </row>
    <row r="804" ht="15.75" customHeight="1">
      <c r="F804" s="57"/>
      <c r="G804" s="57"/>
      <c r="H804" s="57"/>
      <c r="J804" s="58"/>
    </row>
    <row r="805" ht="15.75" customHeight="1">
      <c r="F805" s="57"/>
      <c r="G805" s="57"/>
      <c r="H805" s="57"/>
      <c r="J805" s="58"/>
    </row>
    <row r="806" ht="15.75" customHeight="1">
      <c r="F806" s="57"/>
      <c r="G806" s="57"/>
      <c r="H806" s="57"/>
      <c r="J806" s="58"/>
    </row>
    <row r="807" ht="15.75" customHeight="1">
      <c r="F807" s="57"/>
      <c r="G807" s="57"/>
      <c r="H807" s="57"/>
      <c r="J807" s="58"/>
    </row>
    <row r="808" ht="15.75" customHeight="1">
      <c r="F808" s="57"/>
      <c r="G808" s="57"/>
      <c r="H808" s="57"/>
      <c r="J808" s="58"/>
    </row>
    <row r="809" ht="15.75" customHeight="1">
      <c r="F809" s="57"/>
      <c r="G809" s="57"/>
      <c r="H809" s="57"/>
      <c r="J809" s="58"/>
    </row>
    <row r="810" ht="15.75" customHeight="1">
      <c r="F810" s="57"/>
      <c r="G810" s="57"/>
      <c r="H810" s="57"/>
      <c r="J810" s="58"/>
    </row>
    <row r="811" ht="15.75" customHeight="1">
      <c r="F811" s="57"/>
      <c r="G811" s="57"/>
      <c r="H811" s="57"/>
      <c r="J811" s="58"/>
    </row>
    <row r="812" ht="15.75" customHeight="1">
      <c r="F812" s="57"/>
      <c r="G812" s="57"/>
      <c r="H812" s="57"/>
      <c r="J812" s="58"/>
    </row>
    <row r="813" ht="15.75" customHeight="1">
      <c r="F813" s="57"/>
      <c r="G813" s="57"/>
      <c r="H813" s="57"/>
      <c r="J813" s="58"/>
    </row>
    <row r="814" ht="15.75" customHeight="1">
      <c r="F814" s="57"/>
      <c r="G814" s="57"/>
      <c r="H814" s="57"/>
      <c r="J814" s="58"/>
    </row>
    <row r="815" ht="15.75" customHeight="1">
      <c r="F815" s="57"/>
      <c r="G815" s="57"/>
      <c r="H815" s="57"/>
      <c r="J815" s="58"/>
    </row>
    <row r="816" ht="15.75" customHeight="1">
      <c r="F816" s="57"/>
      <c r="G816" s="57"/>
      <c r="H816" s="57"/>
      <c r="J816" s="58"/>
    </row>
    <row r="817" ht="15.75" customHeight="1">
      <c r="F817" s="57"/>
      <c r="G817" s="57"/>
      <c r="H817" s="57"/>
      <c r="J817" s="58"/>
    </row>
    <row r="818" ht="15.75" customHeight="1">
      <c r="F818" s="57"/>
      <c r="G818" s="57"/>
      <c r="H818" s="57"/>
      <c r="J818" s="58"/>
    </row>
    <row r="819" ht="15.75" customHeight="1">
      <c r="F819" s="57"/>
      <c r="G819" s="57"/>
      <c r="H819" s="57"/>
      <c r="J819" s="58"/>
    </row>
    <row r="820" ht="15.75" customHeight="1">
      <c r="F820" s="57"/>
      <c r="G820" s="57"/>
      <c r="H820" s="57"/>
      <c r="J820" s="58"/>
    </row>
    <row r="821" ht="15.75" customHeight="1">
      <c r="F821" s="57"/>
      <c r="G821" s="57"/>
      <c r="H821" s="57"/>
      <c r="J821" s="58"/>
    </row>
    <row r="822" ht="15.75" customHeight="1">
      <c r="F822" s="57"/>
      <c r="G822" s="57"/>
      <c r="H822" s="57"/>
      <c r="J822" s="58"/>
    </row>
    <row r="823" ht="15.75" customHeight="1">
      <c r="F823" s="57"/>
      <c r="G823" s="57"/>
      <c r="H823" s="57"/>
      <c r="J823" s="58"/>
    </row>
    <row r="824" ht="15.75" customHeight="1">
      <c r="F824" s="57"/>
      <c r="G824" s="57"/>
      <c r="H824" s="57"/>
      <c r="J824" s="58"/>
    </row>
    <row r="825" ht="15.75" customHeight="1">
      <c r="F825" s="57"/>
      <c r="G825" s="57"/>
      <c r="H825" s="57"/>
      <c r="J825" s="58"/>
    </row>
    <row r="826" ht="15.75" customHeight="1">
      <c r="F826" s="57"/>
      <c r="G826" s="57"/>
      <c r="H826" s="57"/>
      <c r="J826" s="58"/>
    </row>
    <row r="827" ht="15.75" customHeight="1">
      <c r="F827" s="57"/>
      <c r="G827" s="57"/>
      <c r="H827" s="57"/>
      <c r="J827" s="58"/>
    </row>
    <row r="828" ht="15.75" customHeight="1">
      <c r="F828" s="57"/>
      <c r="G828" s="57"/>
      <c r="H828" s="57"/>
      <c r="J828" s="58"/>
    </row>
    <row r="829" ht="15.75" customHeight="1">
      <c r="F829" s="57"/>
      <c r="G829" s="57"/>
      <c r="H829" s="57"/>
      <c r="J829" s="58"/>
    </row>
    <row r="830" ht="15.75" customHeight="1">
      <c r="F830" s="57"/>
      <c r="G830" s="57"/>
      <c r="H830" s="57"/>
      <c r="J830" s="58"/>
    </row>
    <row r="831" ht="15.75" customHeight="1">
      <c r="F831" s="57"/>
      <c r="G831" s="57"/>
      <c r="H831" s="57"/>
      <c r="J831" s="58"/>
    </row>
    <row r="832" ht="15.75" customHeight="1">
      <c r="F832" s="57"/>
      <c r="G832" s="57"/>
      <c r="H832" s="57"/>
      <c r="J832" s="58"/>
    </row>
    <row r="833" ht="15.75" customHeight="1">
      <c r="F833" s="57"/>
      <c r="G833" s="57"/>
      <c r="H833" s="57"/>
      <c r="J833" s="58"/>
    </row>
    <row r="834" ht="15.75" customHeight="1">
      <c r="F834" s="57"/>
      <c r="G834" s="57"/>
      <c r="H834" s="57"/>
      <c r="J834" s="58"/>
    </row>
    <row r="835" ht="15.75" customHeight="1">
      <c r="F835" s="57"/>
      <c r="G835" s="57"/>
      <c r="H835" s="57"/>
      <c r="J835" s="58"/>
    </row>
    <row r="836" ht="15.75" customHeight="1">
      <c r="F836" s="57"/>
      <c r="G836" s="57"/>
      <c r="H836" s="57"/>
      <c r="J836" s="58"/>
    </row>
    <row r="837" ht="15.75" customHeight="1">
      <c r="F837" s="57"/>
      <c r="G837" s="57"/>
      <c r="H837" s="57"/>
      <c r="J837" s="58"/>
    </row>
    <row r="838" ht="15.75" customHeight="1">
      <c r="F838" s="57"/>
      <c r="G838" s="57"/>
      <c r="H838" s="57"/>
      <c r="J838" s="58"/>
    </row>
    <row r="839" ht="15.75" customHeight="1">
      <c r="F839" s="57"/>
      <c r="G839" s="57"/>
      <c r="H839" s="57"/>
      <c r="J839" s="58"/>
    </row>
    <row r="840" ht="15.75" customHeight="1">
      <c r="F840" s="57"/>
      <c r="G840" s="57"/>
      <c r="H840" s="57"/>
      <c r="J840" s="58"/>
    </row>
    <row r="841" ht="15.75" customHeight="1">
      <c r="F841" s="57"/>
      <c r="G841" s="57"/>
      <c r="H841" s="57"/>
      <c r="J841" s="58"/>
    </row>
    <row r="842" ht="15.75" customHeight="1">
      <c r="F842" s="57"/>
      <c r="G842" s="57"/>
      <c r="H842" s="57"/>
      <c r="J842" s="58"/>
    </row>
    <row r="843" ht="15.75" customHeight="1">
      <c r="F843" s="57"/>
      <c r="G843" s="57"/>
      <c r="H843" s="57"/>
      <c r="J843" s="58"/>
    </row>
    <row r="844" ht="15.75" customHeight="1">
      <c r="F844" s="57"/>
      <c r="G844" s="57"/>
      <c r="H844" s="57"/>
      <c r="J844" s="58"/>
    </row>
    <row r="845" ht="15.75" customHeight="1">
      <c r="F845" s="57"/>
      <c r="G845" s="57"/>
      <c r="H845" s="57"/>
      <c r="J845" s="58"/>
    </row>
    <row r="846" ht="15.75" customHeight="1">
      <c r="F846" s="57"/>
      <c r="G846" s="57"/>
      <c r="H846" s="57"/>
      <c r="J846" s="58"/>
    </row>
    <row r="847" ht="15.75" customHeight="1">
      <c r="F847" s="57"/>
      <c r="G847" s="57"/>
      <c r="H847" s="57"/>
      <c r="J847" s="58"/>
    </row>
    <row r="848" ht="15.75" customHeight="1">
      <c r="F848" s="57"/>
      <c r="G848" s="57"/>
      <c r="H848" s="57"/>
      <c r="J848" s="58"/>
    </row>
    <row r="849" ht="15.75" customHeight="1">
      <c r="F849" s="57"/>
      <c r="G849" s="57"/>
      <c r="H849" s="57"/>
      <c r="J849" s="58"/>
    </row>
    <row r="850" ht="15.75" customHeight="1">
      <c r="F850" s="57"/>
      <c r="G850" s="57"/>
      <c r="H850" s="57"/>
      <c r="J850" s="58"/>
    </row>
    <row r="851" ht="15.75" customHeight="1">
      <c r="F851" s="57"/>
      <c r="G851" s="57"/>
      <c r="H851" s="57"/>
      <c r="J851" s="58"/>
    </row>
    <row r="852" ht="15.75" customHeight="1">
      <c r="F852" s="57"/>
      <c r="G852" s="57"/>
      <c r="H852" s="57"/>
      <c r="J852" s="58"/>
    </row>
    <row r="853" ht="15.75" customHeight="1">
      <c r="F853" s="57"/>
      <c r="G853" s="57"/>
      <c r="H853" s="57"/>
      <c r="J853" s="58"/>
    </row>
    <row r="854" ht="15.75" customHeight="1">
      <c r="F854" s="57"/>
      <c r="G854" s="57"/>
      <c r="H854" s="57"/>
      <c r="J854" s="58"/>
    </row>
    <row r="855" ht="15.75" customHeight="1">
      <c r="F855" s="57"/>
      <c r="G855" s="57"/>
      <c r="H855" s="57"/>
      <c r="J855" s="58"/>
    </row>
    <row r="856" ht="15.75" customHeight="1">
      <c r="F856" s="57"/>
      <c r="G856" s="57"/>
      <c r="H856" s="57"/>
      <c r="J856" s="58"/>
    </row>
    <row r="857" ht="15.75" customHeight="1">
      <c r="F857" s="57"/>
      <c r="G857" s="57"/>
      <c r="H857" s="57"/>
      <c r="J857" s="58"/>
    </row>
    <row r="858" ht="15.75" customHeight="1">
      <c r="F858" s="57"/>
      <c r="G858" s="57"/>
      <c r="H858" s="57"/>
      <c r="J858" s="58"/>
    </row>
    <row r="859" ht="15.75" customHeight="1">
      <c r="F859" s="57"/>
      <c r="G859" s="57"/>
      <c r="H859" s="57"/>
      <c r="J859" s="58"/>
    </row>
    <row r="860" ht="15.75" customHeight="1">
      <c r="F860" s="57"/>
      <c r="G860" s="57"/>
      <c r="H860" s="57"/>
      <c r="J860" s="58"/>
    </row>
    <row r="861" ht="15.75" customHeight="1">
      <c r="F861" s="57"/>
      <c r="G861" s="57"/>
      <c r="H861" s="57"/>
      <c r="J861" s="58"/>
    </row>
    <row r="862" ht="15.75" customHeight="1">
      <c r="F862" s="57"/>
      <c r="G862" s="57"/>
      <c r="H862" s="57"/>
      <c r="J862" s="58"/>
    </row>
    <row r="863" ht="15.75" customHeight="1">
      <c r="F863" s="57"/>
      <c r="G863" s="57"/>
      <c r="H863" s="57"/>
      <c r="J863" s="58"/>
    </row>
    <row r="864" ht="15.75" customHeight="1">
      <c r="F864" s="57"/>
      <c r="G864" s="57"/>
      <c r="H864" s="57"/>
      <c r="J864" s="58"/>
    </row>
    <row r="865" ht="15.75" customHeight="1">
      <c r="F865" s="57"/>
      <c r="G865" s="57"/>
      <c r="H865" s="57"/>
      <c r="J865" s="58"/>
    </row>
    <row r="866" ht="15.75" customHeight="1">
      <c r="F866" s="57"/>
      <c r="G866" s="57"/>
      <c r="H866" s="57"/>
      <c r="J866" s="58"/>
    </row>
    <row r="867" ht="15.75" customHeight="1">
      <c r="F867" s="57"/>
      <c r="G867" s="57"/>
      <c r="H867" s="57"/>
      <c r="J867" s="58"/>
    </row>
    <row r="868" ht="15.75" customHeight="1">
      <c r="F868" s="57"/>
      <c r="G868" s="57"/>
      <c r="H868" s="57"/>
      <c r="J868" s="58"/>
    </row>
    <row r="869" ht="15.75" customHeight="1">
      <c r="F869" s="57"/>
      <c r="G869" s="57"/>
      <c r="H869" s="57"/>
      <c r="J869" s="58"/>
    </row>
    <row r="870" ht="15.75" customHeight="1">
      <c r="F870" s="57"/>
      <c r="G870" s="57"/>
      <c r="H870" s="57"/>
      <c r="J870" s="58"/>
    </row>
    <row r="871" ht="15.75" customHeight="1">
      <c r="F871" s="57"/>
      <c r="G871" s="57"/>
      <c r="H871" s="57"/>
      <c r="J871" s="58"/>
    </row>
    <row r="872" ht="15.75" customHeight="1">
      <c r="F872" s="57"/>
      <c r="G872" s="57"/>
      <c r="H872" s="57"/>
      <c r="J872" s="58"/>
    </row>
    <row r="873" ht="15.75" customHeight="1">
      <c r="F873" s="57"/>
      <c r="G873" s="57"/>
      <c r="H873" s="57"/>
      <c r="J873" s="58"/>
    </row>
    <row r="874" ht="15.75" customHeight="1">
      <c r="F874" s="57"/>
      <c r="G874" s="57"/>
      <c r="H874" s="57"/>
      <c r="J874" s="58"/>
    </row>
    <row r="875" ht="15.75" customHeight="1">
      <c r="F875" s="57"/>
      <c r="G875" s="57"/>
      <c r="H875" s="57"/>
      <c r="J875" s="58"/>
    </row>
    <row r="876" ht="15.75" customHeight="1">
      <c r="F876" s="57"/>
      <c r="G876" s="57"/>
      <c r="H876" s="57"/>
      <c r="J876" s="58"/>
    </row>
    <row r="877" ht="15.75" customHeight="1">
      <c r="F877" s="57"/>
      <c r="G877" s="57"/>
      <c r="H877" s="57"/>
      <c r="J877" s="58"/>
    </row>
    <row r="878" ht="15.75" customHeight="1">
      <c r="F878" s="57"/>
      <c r="G878" s="57"/>
      <c r="H878" s="57"/>
      <c r="J878" s="58"/>
    </row>
    <row r="879" ht="15.75" customHeight="1">
      <c r="F879" s="57"/>
      <c r="G879" s="57"/>
      <c r="H879" s="57"/>
      <c r="J879" s="58"/>
    </row>
    <row r="880" ht="15.75" customHeight="1">
      <c r="F880" s="57"/>
      <c r="G880" s="57"/>
      <c r="H880" s="57"/>
      <c r="J880" s="58"/>
    </row>
    <row r="881" ht="15.75" customHeight="1">
      <c r="F881" s="57"/>
      <c r="G881" s="57"/>
      <c r="H881" s="57"/>
      <c r="J881" s="58"/>
    </row>
    <row r="882" ht="15.75" customHeight="1">
      <c r="F882" s="57"/>
      <c r="G882" s="57"/>
      <c r="H882" s="57"/>
      <c r="J882" s="58"/>
    </row>
    <row r="883" ht="15.75" customHeight="1">
      <c r="F883" s="57"/>
      <c r="G883" s="57"/>
      <c r="H883" s="57"/>
      <c r="J883" s="58"/>
    </row>
    <row r="884" ht="15.75" customHeight="1">
      <c r="F884" s="57"/>
      <c r="G884" s="57"/>
      <c r="H884" s="57"/>
      <c r="J884" s="58"/>
    </row>
    <row r="885" ht="15.75" customHeight="1">
      <c r="F885" s="57"/>
      <c r="G885" s="57"/>
      <c r="H885" s="57"/>
      <c r="J885" s="58"/>
    </row>
    <row r="886" ht="15.75" customHeight="1">
      <c r="F886" s="57"/>
      <c r="G886" s="57"/>
      <c r="H886" s="57"/>
      <c r="J886" s="58"/>
    </row>
    <row r="887" ht="15.75" customHeight="1">
      <c r="F887" s="57"/>
      <c r="G887" s="57"/>
      <c r="H887" s="57"/>
      <c r="J887" s="58"/>
    </row>
    <row r="888" ht="15.75" customHeight="1">
      <c r="F888" s="57"/>
      <c r="G888" s="57"/>
      <c r="H888" s="57"/>
      <c r="J888" s="58"/>
    </row>
    <row r="889" ht="15.75" customHeight="1">
      <c r="F889" s="57"/>
      <c r="G889" s="57"/>
      <c r="H889" s="57"/>
      <c r="J889" s="58"/>
    </row>
    <row r="890" ht="15.75" customHeight="1">
      <c r="F890" s="57"/>
      <c r="G890" s="57"/>
      <c r="H890" s="57"/>
      <c r="J890" s="58"/>
    </row>
    <row r="891" ht="15.75" customHeight="1">
      <c r="F891" s="57"/>
      <c r="G891" s="57"/>
      <c r="H891" s="57"/>
      <c r="J891" s="58"/>
    </row>
    <row r="892" ht="15.75" customHeight="1">
      <c r="F892" s="57"/>
      <c r="G892" s="57"/>
      <c r="H892" s="57"/>
      <c r="J892" s="58"/>
    </row>
    <row r="893" ht="15.75" customHeight="1">
      <c r="F893" s="57"/>
      <c r="G893" s="57"/>
      <c r="H893" s="57"/>
      <c r="J893" s="58"/>
    </row>
    <row r="894" ht="15.75" customHeight="1">
      <c r="F894" s="57"/>
      <c r="G894" s="57"/>
      <c r="H894" s="57"/>
      <c r="J894" s="58"/>
    </row>
    <row r="895" ht="15.75" customHeight="1">
      <c r="F895" s="57"/>
      <c r="G895" s="57"/>
      <c r="H895" s="57"/>
      <c r="J895" s="58"/>
    </row>
    <row r="896" ht="15.75" customHeight="1">
      <c r="F896" s="57"/>
      <c r="G896" s="57"/>
      <c r="H896" s="57"/>
      <c r="J896" s="58"/>
    </row>
    <row r="897" ht="15.75" customHeight="1">
      <c r="F897" s="57"/>
      <c r="G897" s="57"/>
      <c r="H897" s="57"/>
      <c r="J897" s="58"/>
    </row>
    <row r="898" ht="15.75" customHeight="1">
      <c r="F898" s="57"/>
      <c r="G898" s="57"/>
      <c r="H898" s="57"/>
      <c r="J898" s="58"/>
    </row>
    <row r="899" ht="15.75" customHeight="1">
      <c r="F899" s="57"/>
      <c r="G899" s="57"/>
      <c r="H899" s="57"/>
      <c r="J899" s="58"/>
    </row>
    <row r="900" ht="15.75" customHeight="1">
      <c r="F900" s="57"/>
      <c r="G900" s="57"/>
      <c r="H900" s="57"/>
      <c r="J900" s="58"/>
    </row>
    <row r="901" ht="15.75" customHeight="1">
      <c r="F901" s="57"/>
      <c r="G901" s="57"/>
      <c r="H901" s="57"/>
      <c r="J901" s="58"/>
    </row>
    <row r="902" ht="15.75" customHeight="1">
      <c r="F902" s="57"/>
      <c r="G902" s="57"/>
      <c r="H902" s="57"/>
      <c r="J902" s="58"/>
    </row>
    <row r="903" ht="15.75" customHeight="1">
      <c r="F903" s="57"/>
      <c r="G903" s="57"/>
      <c r="H903" s="57"/>
      <c r="J903" s="58"/>
    </row>
    <row r="904" ht="15.75" customHeight="1">
      <c r="F904" s="57"/>
      <c r="G904" s="57"/>
      <c r="H904" s="57"/>
      <c r="J904" s="58"/>
    </row>
    <row r="905" ht="15.75" customHeight="1">
      <c r="F905" s="57"/>
      <c r="G905" s="57"/>
      <c r="H905" s="57"/>
      <c r="J905" s="58"/>
    </row>
    <row r="906" ht="15.75" customHeight="1">
      <c r="F906" s="57"/>
      <c r="G906" s="57"/>
      <c r="H906" s="57"/>
      <c r="J906" s="58"/>
    </row>
    <row r="907" ht="15.75" customHeight="1">
      <c r="F907" s="57"/>
      <c r="G907" s="57"/>
      <c r="H907" s="57"/>
      <c r="J907" s="58"/>
    </row>
    <row r="908" ht="15.75" customHeight="1">
      <c r="F908" s="57"/>
      <c r="G908" s="57"/>
      <c r="H908" s="57"/>
      <c r="J908" s="58"/>
    </row>
    <row r="909" ht="15.75" customHeight="1">
      <c r="F909" s="57"/>
      <c r="G909" s="57"/>
      <c r="H909" s="57"/>
      <c r="J909" s="58"/>
    </row>
    <row r="910" ht="15.75" customHeight="1">
      <c r="F910" s="57"/>
      <c r="G910" s="57"/>
      <c r="H910" s="57"/>
      <c r="J910" s="58"/>
    </row>
    <row r="911" ht="15.75" customHeight="1">
      <c r="F911" s="57"/>
      <c r="G911" s="57"/>
      <c r="H911" s="57"/>
      <c r="J911" s="58"/>
    </row>
    <row r="912" ht="15.75" customHeight="1">
      <c r="F912" s="57"/>
      <c r="G912" s="57"/>
      <c r="H912" s="57"/>
      <c r="J912" s="58"/>
    </row>
    <row r="913" ht="15.75" customHeight="1">
      <c r="F913" s="57"/>
      <c r="G913" s="57"/>
      <c r="H913" s="57"/>
      <c r="J913" s="58"/>
    </row>
    <row r="914" ht="15.75" customHeight="1">
      <c r="F914" s="57"/>
      <c r="G914" s="57"/>
      <c r="H914" s="57"/>
      <c r="J914" s="58"/>
    </row>
    <row r="915" ht="15.75" customHeight="1">
      <c r="F915" s="57"/>
      <c r="G915" s="57"/>
      <c r="H915" s="57"/>
      <c r="J915" s="58"/>
    </row>
    <row r="916" ht="15.75" customHeight="1">
      <c r="F916" s="57"/>
      <c r="G916" s="57"/>
      <c r="H916" s="57"/>
      <c r="J916" s="58"/>
    </row>
    <row r="917" ht="15.75" customHeight="1">
      <c r="F917" s="57"/>
      <c r="G917" s="57"/>
      <c r="H917" s="57"/>
      <c r="J917" s="58"/>
    </row>
    <row r="918" ht="15.75" customHeight="1">
      <c r="F918" s="57"/>
      <c r="G918" s="57"/>
      <c r="H918" s="57"/>
      <c r="J918" s="58"/>
    </row>
    <row r="919" ht="15.75" customHeight="1">
      <c r="F919" s="57"/>
      <c r="G919" s="57"/>
      <c r="H919" s="57"/>
      <c r="J919" s="58"/>
    </row>
    <row r="920" ht="15.75" customHeight="1">
      <c r="F920" s="57"/>
      <c r="G920" s="57"/>
      <c r="H920" s="57"/>
      <c r="J920" s="58"/>
    </row>
    <row r="921" ht="15.75" customHeight="1">
      <c r="F921" s="57"/>
      <c r="G921" s="57"/>
      <c r="H921" s="57"/>
      <c r="J921" s="58"/>
    </row>
    <row r="922" ht="15.75" customHeight="1">
      <c r="F922" s="57"/>
      <c r="G922" s="57"/>
      <c r="H922" s="57"/>
      <c r="J922" s="58"/>
    </row>
    <row r="923" ht="15.75" customHeight="1">
      <c r="F923" s="57"/>
      <c r="G923" s="57"/>
      <c r="H923" s="57"/>
      <c r="J923" s="58"/>
    </row>
    <row r="924" ht="15.75" customHeight="1">
      <c r="F924" s="57"/>
      <c r="G924" s="57"/>
      <c r="H924" s="57"/>
      <c r="J924" s="58"/>
    </row>
    <row r="925" ht="15.75" customHeight="1">
      <c r="F925" s="57"/>
      <c r="G925" s="57"/>
      <c r="H925" s="57"/>
      <c r="J925" s="58"/>
    </row>
    <row r="926" ht="15.75" customHeight="1">
      <c r="F926" s="57"/>
      <c r="G926" s="57"/>
      <c r="H926" s="57"/>
      <c r="J926" s="58"/>
    </row>
    <row r="927" ht="15.75" customHeight="1">
      <c r="F927" s="57"/>
      <c r="G927" s="57"/>
      <c r="H927" s="57"/>
      <c r="J927" s="58"/>
    </row>
    <row r="928" ht="15.75" customHeight="1">
      <c r="F928" s="57"/>
      <c r="G928" s="57"/>
      <c r="H928" s="57"/>
      <c r="J928" s="58"/>
    </row>
    <row r="929" ht="15.75" customHeight="1">
      <c r="F929" s="57"/>
      <c r="G929" s="57"/>
      <c r="H929" s="57"/>
      <c r="J929" s="58"/>
    </row>
    <row r="930" ht="15.75" customHeight="1">
      <c r="F930" s="57"/>
      <c r="G930" s="57"/>
      <c r="H930" s="57"/>
      <c r="J930" s="58"/>
    </row>
    <row r="931" ht="15.75" customHeight="1">
      <c r="F931" s="57"/>
      <c r="G931" s="57"/>
      <c r="H931" s="57"/>
      <c r="J931" s="58"/>
    </row>
    <row r="932" ht="15.75" customHeight="1">
      <c r="F932" s="57"/>
      <c r="G932" s="57"/>
      <c r="H932" s="57"/>
      <c r="J932" s="58"/>
    </row>
    <row r="933" ht="15.75" customHeight="1">
      <c r="F933" s="57"/>
      <c r="G933" s="57"/>
      <c r="H933" s="57"/>
      <c r="J933" s="58"/>
    </row>
    <row r="934" ht="15.75" customHeight="1">
      <c r="F934" s="57"/>
      <c r="G934" s="57"/>
      <c r="H934" s="57"/>
      <c r="J934" s="58"/>
    </row>
    <row r="935" ht="15.75" customHeight="1">
      <c r="F935" s="57"/>
      <c r="G935" s="57"/>
      <c r="H935" s="57"/>
      <c r="J935" s="58"/>
    </row>
    <row r="936" ht="15.75" customHeight="1">
      <c r="F936" s="57"/>
      <c r="G936" s="57"/>
      <c r="H936" s="57"/>
      <c r="J936" s="58"/>
    </row>
    <row r="937" ht="15.75" customHeight="1">
      <c r="F937" s="57"/>
      <c r="G937" s="57"/>
      <c r="H937" s="57"/>
      <c r="J937" s="58"/>
    </row>
    <row r="938" ht="15.75" customHeight="1">
      <c r="F938" s="57"/>
      <c r="G938" s="57"/>
      <c r="H938" s="57"/>
      <c r="J938" s="58"/>
    </row>
    <row r="939" ht="15.75" customHeight="1">
      <c r="F939" s="57"/>
      <c r="G939" s="57"/>
      <c r="H939" s="57"/>
      <c r="J939" s="58"/>
    </row>
    <row r="940" ht="15.75" customHeight="1">
      <c r="F940" s="57"/>
      <c r="G940" s="57"/>
      <c r="H940" s="57"/>
      <c r="J940" s="58"/>
    </row>
    <row r="941" ht="15.75" customHeight="1">
      <c r="F941" s="57"/>
      <c r="G941" s="57"/>
      <c r="H941" s="57"/>
      <c r="J941" s="58"/>
    </row>
    <row r="942" ht="15.75" customHeight="1">
      <c r="F942" s="57"/>
      <c r="G942" s="57"/>
      <c r="H942" s="57"/>
      <c r="J942" s="58"/>
    </row>
    <row r="943" ht="15.75" customHeight="1">
      <c r="F943" s="57"/>
      <c r="G943" s="57"/>
      <c r="H943" s="57"/>
      <c r="J943" s="58"/>
    </row>
    <row r="944" ht="15.75" customHeight="1">
      <c r="F944" s="57"/>
      <c r="G944" s="57"/>
      <c r="H944" s="57"/>
      <c r="J944" s="58"/>
    </row>
    <row r="945" ht="15.75" customHeight="1">
      <c r="F945" s="57"/>
      <c r="G945" s="57"/>
      <c r="H945" s="57"/>
      <c r="J945" s="58"/>
    </row>
    <row r="946" ht="15.75" customHeight="1">
      <c r="F946" s="57"/>
      <c r="G946" s="57"/>
      <c r="H946" s="57"/>
      <c r="J946" s="58"/>
    </row>
    <row r="947" ht="15.75" customHeight="1">
      <c r="F947" s="57"/>
      <c r="G947" s="57"/>
      <c r="H947" s="57"/>
      <c r="J947" s="58"/>
    </row>
    <row r="948" ht="15.75" customHeight="1">
      <c r="F948" s="57"/>
      <c r="G948" s="57"/>
      <c r="H948" s="57"/>
      <c r="J948" s="58"/>
    </row>
    <row r="949" ht="15.75" customHeight="1">
      <c r="F949" s="57"/>
      <c r="G949" s="57"/>
      <c r="H949" s="57"/>
      <c r="J949" s="58"/>
    </row>
    <row r="950" ht="15.75" customHeight="1">
      <c r="F950" s="57"/>
      <c r="G950" s="57"/>
      <c r="H950" s="57"/>
      <c r="J950" s="58"/>
    </row>
    <row r="951" ht="15.75" customHeight="1">
      <c r="F951" s="57"/>
      <c r="G951" s="57"/>
      <c r="H951" s="57"/>
      <c r="J951" s="58"/>
    </row>
    <row r="952" ht="15.75" customHeight="1">
      <c r="F952" s="57"/>
      <c r="G952" s="57"/>
      <c r="H952" s="57"/>
      <c r="J952" s="58"/>
    </row>
    <row r="953" ht="15.75" customHeight="1">
      <c r="F953" s="57"/>
      <c r="G953" s="57"/>
      <c r="H953" s="57"/>
      <c r="J953" s="58"/>
    </row>
    <row r="954" ht="15.75" customHeight="1">
      <c r="F954" s="57"/>
      <c r="G954" s="57"/>
      <c r="H954" s="57"/>
      <c r="J954" s="58"/>
    </row>
    <row r="955" ht="15.75" customHeight="1">
      <c r="F955" s="57"/>
      <c r="G955" s="57"/>
      <c r="H955" s="57"/>
      <c r="J955" s="58"/>
    </row>
    <row r="956" ht="15.75" customHeight="1">
      <c r="F956" s="57"/>
      <c r="G956" s="57"/>
      <c r="H956" s="57"/>
      <c r="J956" s="58"/>
    </row>
    <row r="957" ht="15.75" customHeight="1">
      <c r="F957" s="57"/>
      <c r="G957" s="57"/>
      <c r="H957" s="57"/>
      <c r="J957" s="58"/>
    </row>
    <row r="958" ht="15.75" customHeight="1">
      <c r="F958" s="57"/>
      <c r="G958" s="57"/>
      <c r="H958" s="57"/>
      <c r="J958" s="58"/>
    </row>
    <row r="959" ht="15.75" customHeight="1">
      <c r="F959" s="57"/>
      <c r="G959" s="57"/>
      <c r="H959" s="57"/>
      <c r="J959" s="58"/>
    </row>
    <row r="960" ht="15.75" customHeight="1">
      <c r="F960" s="57"/>
      <c r="G960" s="57"/>
      <c r="H960" s="57"/>
      <c r="J960" s="58"/>
    </row>
    <row r="961" ht="15.75" customHeight="1">
      <c r="F961" s="57"/>
      <c r="G961" s="57"/>
      <c r="H961" s="57"/>
      <c r="J961" s="58"/>
    </row>
    <row r="962" ht="15.75" customHeight="1">
      <c r="F962" s="57"/>
      <c r="G962" s="57"/>
      <c r="H962" s="57"/>
      <c r="J962" s="58"/>
    </row>
    <row r="963" ht="15.75" customHeight="1">
      <c r="F963" s="57"/>
      <c r="G963" s="57"/>
      <c r="H963" s="57"/>
      <c r="J963" s="58"/>
    </row>
    <row r="964" ht="15.75" customHeight="1">
      <c r="F964" s="57"/>
      <c r="G964" s="57"/>
      <c r="H964" s="57"/>
      <c r="J964" s="58"/>
    </row>
    <row r="965" ht="15.75" customHeight="1">
      <c r="F965" s="57"/>
      <c r="G965" s="57"/>
      <c r="H965" s="57"/>
      <c r="J965" s="58"/>
    </row>
    <row r="966" ht="15.75" customHeight="1">
      <c r="F966" s="57"/>
      <c r="G966" s="57"/>
      <c r="H966" s="57"/>
      <c r="J966" s="58"/>
    </row>
    <row r="967" ht="15.75" customHeight="1">
      <c r="F967" s="57"/>
      <c r="G967" s="57"/>
      <c r="H967" s="57"/>
      <c r="J967" s="58"/>
    </row>
    <row r="968" ht="15.75" customHeight="1">
      <c r="F968" s="57"/>
      <c r="G968" s="57"/>
      <c r="H968" s="57"/>
      <c r="J968" s="58"/>
    </row>
    <row r="969" ht="15.75" customHeight="1">
      <c r="F969" s="57"/>
      <c r="G969" s="57"/>
      <c r="H969" s="57"/>
      <c r="J969" s="58"/>
    </row>
    <row r="970" ht="15.75" customHeight="1">
      <c r="F970" s="57"/>
      <c r="G970" s="57"/>
      <c r="H970" s="57"/>
      <c r="J970" s="58"/>
    </row>
    <row r="971" ht="15.75" customHeight="1">
      <c r="F971" s="57"/>
      <c r="G971" s="57"/>
      <c r="H971" s="57"/>
      <c r="J971" s="58"/>
    </row>
    <row r="972" ht="15.75" customHeight="1">
      <c r="F972" s="57"/>
      <c r="G972" s="57"/>
      <c r="H972" s="57"/>
      <c r="J972" s="58"/>
    </row>
    <row r="973" ht="15.75" customHeight="1">
      <c r="F973" s="57"/>
      <c r="G973" s="57"/>
      <c r="H973" s="57"/>
      <c r="J973" s="58"/>
    </row>
    <row r="974" ht="15.75" customHeight="1">
      <c r="F974" s="57"/>
      <c r="G974" s="57"/>
      <c r="H974" s="57"/>
      <c r="J974" s="58"/>
    </row>
    <row r="975" ht="15.75" customHeight="1">
      <c r="F975" s="57"/>
      <c r="G975" s="57"/>
      <c r="H975" s="57"/>
      <c r="J975" s="58"/>
    </row>
    <row r="976" ht="15.75" customHeight="1">
      <c r="F976" s="57"/>
      <c r="G976" s="57"/>
      <c r="H976" s="57"/>
      <c r="J976" s="58"/>
    </row>
    <row r="977" ht="15.75" customHeight="1">
      <c r="F977" s="57"/>
      <c r="G977" s="57"/>
      <c r="H977" s="57"/>
      <c r="J977" s="58"/>
    </row>
    <row r="978" ht="15.75" customHeight="1">
      <c r="F978" s="57"/>
      <c r="G978" s="57"/>
      <c r="H978" s="57"/>
      <c r="J978" s="58"/>
    </row>
    <row r="979" ht="15.75" customHeight="1">
      <c r="F979" s="57"/>
      <c r="G979" s="57"/>
      <c r="H979" s="57"/>
      <c r="J979" s="58"/>
    </row>
    <row r="980" ht="15.75" customHeight="1">
      <c r="F980" s="57"/>
      <c r="G980" s="57"/>
      <c r="H980" s="57"/>
      <c r="J980" s="58"/>
    </row>
    <row r="981" ht="15.75" customHeight="1">
      <c r="F981" s="57"/>
      <c r="G981" s="57"/>
      <c r="H981" s="57"/>
      <c r="J981" s="58"/>
    </row>
    <row r="982" ht="15.75" customHeight="1">
      <c r="F982" s="57"/>
      <c r="G982" s="57"/>
      <c r="H982" s="57"/>
      <c r="J982" s="58"/>
    </row>
    <row r="983" ht="15.75" customHeight="1">
      <c r="F983" s="57"/>
      <c r="G983" s="57"/>
      <c r="H983" s="57"/>
      <c r="J983" s="58"/>
    </row>
    <row r="984" ht="15.75" customHeight="1">
      <c r="F984" s="57"/>
      <c r="G984" s="57"/>
      <c r="H984" s="57"/>
      <c r="J984" s="58"/>
    </row>
    <row r="985" ht="15.75" customHeight="1">
      <c r="F985" s="57"/>
      <c r="G985" s="57"/>
      <c r="H985" s="57"/>
      <c r="J985" s="58"/>
    </row>
    <row r="986" ht="15.75" customHeight="1">
      <c r="F986" s="57"/>
      <c r="G986" s="57"/>
      <c r="H986" s="57"/>
      <c r="J986" s="58"/>
    </row>
    <row r="987" ht="15.75" customHeight="1">
      <c r="F987" s="57"/>
      <c r="G987" s="57"/>
      <c r="H987" s="57"/>
      <c r="J987" s="58"/>
    </row>
    <row r="988" ht="15.75" customHeight="1">
      <c r="F988" s="57"/>
      <c r="G988" s="57"/>
      <c r="H988" s="57"/>
      <c r="J988" s="58"/>
    </row>
    <row r="989" ht="15.75" customHeight="1">
      <c r="F989" s="57"/>
      <c r="G989" s="57"/>
      <c r="H989" s="57"/>
      <c r="J989" s="58"/>
    </row>
    <row r="990" ht="15.75" customHeight="1">
      <c r="F990" s="57"/>
      <c r="G990" s="57"/>
      <c r="H990" s="57"/>
      <c r="J990" s="58"/>
    </row>
    <row r="991" ht="15.75" customHeight="1">
      <c r="F991" s="57"/>
      <c r="G991" s="57"/>
      <c r="H991" s="57"/>
      <c r="J991" s="58"/>
    </row>
    <row r="992" ht="15.75" customHeight="1">
      <c r="F992" s="57"/>
      <c r="G992" s="57"/>
      <c r="H992" s="57"/>
      <c r="J992" s="58"/>
    </row>
    <row r="993" ht="15.75" customHeight="1">
      <c r="F993" s="57"/>
      <c r="G993" s="57"/>
      <c r="H993" s="57"/>
      <c r="J993" s="58"/>
    </row>
    <row r="994" ht="15.75" customHeight="1">
      <c r="F994" s="57"/>
      <c r="G994" s="57"/>
      <c r="H994" s="57"/>
      <c r="J994" s="58"/>
    </row>
    <row r="995" ht="15.75" customHeight="1">
      <c r="F995" s="57"/>
      <c r="G995" s="57"/>
      <c r="H995" s="57"/>
      <c r="J995" s="58"/>
    </row>
    <row r="996" ht="15.75" customHeight="1">
      <c r="F996" s="57"/>
      <c r="G996" s="57"/>
      <c r="H996" s="57"/>
      <c r="J996" s="58"/>
    </row>
    <row r="997" ht="15.75" customHeight="1">
      <c r="F997" s="57"/>
      <c r="G997" s="57"/>
      <c r="H997" s="57"/>
      <c r="J997" s="58"/>
    </row>
    <row r="998" ht="15.75" customHeight="1">
      <c r="F998" s="57"/>
      <c r="G998" s="57"/>
      <c r="H998" s="57"/>
      <c r="J998" s="58"/>
    </row>
    <row r="999" ht="15.75" customHeight="1">
      <c r="F999" s="57"/>
      <c r="G999" s="57"/>
      <c r="H999" s="57"/>
      <c r="J999" s="58"/>
    </row>
    <row r="1000" ht="15.75" customHeight="1">
      <c r="F1000" s="57"/>
      <c r="G1000" s="57"/>
      <c r="H1000" s="57"/>
      <c r="J1000" s="58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</row>
    <row r="2">
      <c r="F2" s="57"/>
      <c r="G2" s="57"/>
      <c r="H2" s="57"/>
    </row>
    <row r="3">
      <c r="F3" s="57"/>
      <c r="G3" s="57"/>
      <c r="H3" s="57"/>
    </row>
    <row r="4">
      <c r="F4" s="57"/>
      <c r="G4" s="57"/>
      <c r="H4" s="57"/>
    </row>
    <row r="5">
      <c r="F5" s="57"/>
      <c r="G5" s="57"/>
      <c r="H5" s="57"/>
    </row>
    <row r="6">
      <c r="F6" s="57"/>
      <c r="G6" s="57"/>
      <c r="H6" s="57"/>
    </row>
    <row r="7">
      <c r="F7" s="57"/>
      <c r="G7" s="57"/>
      <c r="H7" s="57"/>
    </row>
    <row r="8">
      <c r="F8" s="57"/>
      <c r="G8" s="57"/>
      <c r="H8" s="57"/>
    </row>
    <row r="9">
      <c r="F9" s="57"/>
      <c r="G9" s="57"/>
      <c r="H9" s="57"/>
    </row>
    <row r="10">
      <c r="F10" s="57"/>
      <c r="G10" s="57"/>
      <c r="H10" s="57"/>
    </row>
    <row r="11">
      <c r="F11" s="57"/>
      <c r="G11" s="57"/>
      <c r="H11" s="57"/>
    </row>
    <row r="12">
      <c r="F12" s="57"/>
      <c r="G12" s="57"/>
      <c r="H12" s="57"/>
    </row>
    <row r="13">
      <c r="F13" s="57"/>
      <c r="G13" s="57"/>
      <c r="H13" s="57"/>
    </row>
    <row r="14">
      <c r="F14" s="57"/>
      <c r="G14" s="57"/>
      <c r="H14" s="57"/>
    </row>
    <row r="15">
      <c r="F15" s="57"/>
      <c r="G15" s="57"/>
      <c r="H15" s="57"/>
    </row>
    <row r="16">
      <c r="F16" s="57"/>
      <c r="G16" s="57"/>
      <c r="H16" s="57"/>
    </row>
    <row r="17">
      <c r="F17" s="57"/>
      <c r="G17" s="57"/>
      <c r="H17" s="57"/>
    </row>
    <row r="18">
      <c r="F18" s="57"/>
      <c r="G18" s="57"/>
      <c r="H18" s="57"/>
    </row>
    <row r="19">
      <c r="F19" s="57"/>
      <c r="G19" s="57"/>
      <c r="H19" s="57"/>
    </row>
    <row r="20">
      <c r="F20" s="57"/>
      <c r="G20" s="57"/>
      <c r="H20" s="57"/>
    </row>
    <row r="21" ht="15.75" customHeight="1">
      <c r="F21" s="57"/>
      <c r="G21" s="57"/>
      <c r="H21" s="57"/>
    </row>
    <row r="22" ht="15.75" customHeight="1">
      <c r="F22" s="57"/>
      <c r="G22" s="57"/>
      <c r="H22" s="57"/>
    </row>
    <row r="23" ht="15.75" customHeight="1">
      <c r="F23" s="57"/>
      <c r="G23" s="57"/>
      <c r="H23" s="57"/>
    </row>
    <row r="24" ht="15.75" customHeight="1">
      <c r="F24" s="57"/>
      <c r="G24" s="57"/>
      <c r="H24" s="57"/>
    </row>
    <row r="25" ht="15.75" customHeight="1">
      <c r="F25" s="57"/>
      <c r="G25" s="57"/>
      <c r="H25" s="57"/>
    </row>
    <row r="26" ht="15.75" customHeight="1">
      <c r="F26" s="57"/>
      <c r="G26" s="57"/>
      <c r="H26" s="57"/>
    </row>
    <row r="27" ht="15.75" customHeight="1">
      <c r="F27" s="57"/>
      <c r="G27" s="57"/>
      <c r="H27" s="57"/>
    </row>
    <row r="28" ht="15.75" customHeight="1">
      <c r="F28" s="57"/>
      <c r="G28" s="57"/>
      <c r="H28" s="57"/>
    </row>
    <row r="29" ht="15.75" customHeight="1">
      <c r="F29" s="57"/>
      <c r="G29" s="57"/>
      <c r="H29" s="57"/>
    </row>
    <row r="30" ht="15.75" customHeight="1">
      <c r="F30" s="57"/>
      <c r="G30" s="57"/>
      <c r="H30" s="57"/>
    </row>
    <row r="31" ht="15.75" customHeight="1">
      <c r="F31" s="57"/>
      <c r="G31" s="57"/>
      <c r="H31" s="57"/>
    </row>
    <row r="32" ht="15.75" customHeight="1">
      <c r="F32" s="57"/>
      <c r="G32" s="57"/>
      <c r="H32" s="57"/>
    </row>
    <row r="33" ht="15.75" customHeight="1">
      <c r="F33" s="57"/>
      <c r="G33" s="57"/>
      <c r="H33" s="57"/>
    </row>
    <row r="34" ht="15.75" customHeight="1">
      <c r="F34" s="57"/>
      <c r="G34" s="57"/>
      <c r="H34" s="57"/>
    </row>
    <row r="35" ht="15.75" customHeight="1">
      <c r="F35" s="57"/>
      <c r="G35" s="57"/>
      <c r="H35" s="57"/>
    </row>
    <row r="36" ht="15.75" customHeight="1">
      <c r="F36" s="57"/>
      <c r="G36" s="57"/>
      <c r="H36" s="57"/>
    </row>
    <row r="37" ht="15.75" customHeight="1">
      <c r="F37" s="57"/>
      <c r="G37" s="57"/>
      <c r="H37" s="57"/>
    </row>
    <row r="38" ht="15.75" customHeight="1">
      <c r="F38" s="57"/>
      <c r="G38" s="57"/>
      <c r="H38" s="57"/>
    </row>
    <row r="39" ht="15.75" customHeight="1">
      <c r="F39" s="57"/>
      <c r="G39" s="57"/>
      <c r="H39" s="57"/>
    </row>
    <row r="40" ht="15.75" customHeight="1">
      <c r="F40" s="57"/>
      <c r="G40" s="57"/>
      <c r="H40" s="57"/>
    </row>
    <row r="41" ht="15.75" customHeight="1">
      <c r="F41" s="57"/>
      <c r="G41" s="57"/>
      <c r="H41" s="57"/>
    </row>
    <row r="42" ht="15.75" customHeight="1">
      <c r="F42" s="57"/>
      <c r="G42" s="57"/>
      <c r="H42" s="57"/>
    </row>
    <row r="43" ht="15.75" customHeight="1">
      <c r="F43" s="57"/>
      <c r="G43" s="57"/>
      <c r="H43" s="57"/>
    </row>
    <row r="44" ht="15.75" customHeight="1">
      <c r="F44" s="57"/>
      <c r="G44" s="57"/>
      <c r="H44" s="57"/>
    </row>
    <row r="45" ht="15.75" customHeight="1">
      <c r="F45" s="57"/>
      <c r="G45" s="57"/>
      <c r="H45" s="57"/>
    </row>
    <row r="46" ht="15.75" customHeight="1">
      <c r="F46" s="57"/>
      <c r="G46" s="57"/>
      <c r="H46" s="57"/>
    </row>
    <row r="47" ht="15.75" customHeight="1">
      <c r="F47" s="57"/>
      <c r="G47" s="57"/>
      <c r="H47" s="57"/>
    </row>
    <row r="48" ht="15.75" customHeight="1">
      <c r="F48" s="57"/>
      <c r="G48" s="57"/>
      <c r="H48" s="57"/>
    </row>
    <row r="49" ht="15.75" customHeight="1">
      <c r="F49" s="57"/>
      <c r="G49" s="57"/>
      <c r="H49" s="57"/>
    </row>
    <row r="50" ht="15.75" customHeight="1">
      <c r="F50" s="57"/>
      <c r="G50" s="57"/>
      <c r="H50" s="57"/>
    </row>
    <row r="51" ht="15.75" customHeight="1">
      <c r="F51" s="57"/>
      <c r="G51" s="57"/>
      <c r="H51" s="57"/>
    </row>
    <row r="52" ht="15.75" customHeight="1">
      <c r="F52" s="57"/>
      <c r="G52" s="57"/>
      <c r="H52" s="57"/>
    </row>
    <row r="53" ht="15.75" customHeight="1">
      <c r="F53" s="57"/>
      <c r="G53" s="57"/>
      <c r="H53" s="57"/>
    </row>
    <row r="54" ht="15.75" customHeight="1">
      <c r="F54" s="57"/>
      <c r="G54" s="57"/>
      <c r="H54" s="57"/>
    </row>
    <row r="55" ht="15.75" customHeight="1">
      <c r="F55" s="57"/>
      <c r="G55" s="57"/>
      <c r="H55" s="57"/>
    </row>
    <row r="56" ht="15.75" customHeight="1">
      <c r="F56" s="57"/>
      <c r="G56" s="57"/>
      <c r="H56" s="57"/>
    </row>
    <row r="57" ht="15.75" customHeight="1">
      <c r="F57" s="57"/>
      <c r="G57" s="57"/>
      <c r="H57" s="57"/>
    </row>
    <row r="58" ht="15.75" customHeight="1">
      <c r="F58" s="57"/>
      <c r="G58" s="57"/>
      <c r="H58" s="57"/>
    </row>
    <row r="59" ht="15.75" customHeight="1">
      <c r="F59" s="57"/>
      <c r="G59" s="57"/>
      <c r="H59" s="57"/>
    </row>
    <row r="60" ht="15.75" customHeight="1">
      <c r="F60" s="57"/>
      <c r="G60" s="57"/>
      <c r="H60" s="57"/>
    </row>
    <row r="61" ht="15.75" customHeight="1">
      <c r="F61" s="57"/>
      <c r="G61" s="57"/>
      <c r="H61" s="57"/>
    </row>
    <row r="62" ht="15.75" customHeight="1">
      <c r="F62" s="57"/>
      <c r="G62" s="57"/>
      <c r="H62" s="57"/>
    </row>
    <row r="63" ht="15.75" customHeight="1">
      <c r="F63" s="57"/>
      <c r="G63" s="57"/>
      <c r="H63" s="57"/>
    </row>
    <row r="64" ht="15.75" customHeight="1">
      <c r="F64" s="57"/>
      <c r="G64" s="57"/>
      <c r="H64" s="57"/>
    </row>
    <row r="65" ht="15.75" customHeight="1">
      <c r="F65" s="57"/>
      <c r="G65" s="57"/>
      <c r="H65" s="57"/>
    </row>
    <row r="66" ht="15.75" customHeight="1">
      <c r="F66" s="57"/>
      <c r="G66" s="57"/>
      <c r="H66" s="57"/>
    </row>
    <row r="67" ht="15.75" customHeight="1">
      <c r="F67" s="57"/>
      <c r="G67" s="57"/>
      <c r="H67" s="57"/>
    </row>
    <row r="68" ht="15.75" customHeight="1">
      <c r="F68" s="57"/>
      <c r="G68" s="57"/>
      <c r="H68" s="57"/>
    </row>
    <row r="69" ht="15.75" customHeight="1">
      <c r="F69" s="57"/>
      <c r="G69" s="57"/>
      <c r="H69" s="57"/>
    </row>
    <row r="70" ht="15.75" customHeight="1">
      <c r="F70" s="57"/>
      <c r="G70" s="57"/>
      <c r="H70" s="57"/>
    </row>
    <row r="71" ht="15.75" customHeight="1">
      <c r="F71" s="57"/>
      <c r="G71" s="57"/>
      <c r="H71" s="57"/>
    </row>
    <row r="72" ht="15.75" customHeight="1">
      <c r="F72" s="57"/>
      <c r="G72" s="57"/>
      <c r="H72" s="57"/>
    </row>
    <row r="73" ht="15.75" customHeight="1">
      <c r="F73" s="57"/>
      <c r="G73" s="57"/>
      <c r="H73" s="57"/>
    </row>
    <row r="74" ht="15.75" customHeight="1">
      <c r="F74" s="57"/>
      <c r="G74" s="57"/>
      <c r="H74" s="57"/>
    </row>
    <row r="75" ht="15.75" customHeight="1">
      <c r="F75" s="57"/>
      <c r="G75" s="57"/>
      <c r="H75" s="57"/>
    </row>
    <row r="76" ht="15.75" customHeight="1">
      <c r="F76" s="57"/>
      <c r="G76" s="57"/>
      <c r="H76" s="57"/>
    </row>
    <row r="77" ht="15.75" customHeight="1">
      <c r="F77" s="57"/>
      <c r="G77" s="57"/>
      <c r="H77" s="57"/>
    </row>
    <row r="78" ht="15.75" customHeight="1">
      <c r="F78" s="57"/>
      <c r="G78" s="57"/>
      <c r="H78" s="57"/>
    </row>
    <row r="79" ht="15.75" customHeight="1">
      <c r="F79" s="57"/>
      <c r="G79" s="57"/>
      <c r="H79" s="57"/>
    </row>
    <row r="80" ht="15.75" customHeight="1">
      <c r="F80" s="57"/>
      <c r="G80" s="57"/>
      <c r="H80" s="57"/>
    </row>
    <row r="81" ht="15.75" customHeight="1">
      <c r="F81" s="57"/>
      <c r="G81" s="57"/>
      <c r="H81" s="57"/>
    </row>
    <row r="82" ht="15.75" customHeight="1">
      <c r="F82" s="57"/>
      <c r="G82" s="57"/>
      <c r="H82" s="57"/>
    </row>
    <row r="83" ht="15.75" customHeight="1">
      <c r="F83" s="57"/>
      <c r="G83" s="57"/>
      <c r="H83" s="57"/>
    </row>
    <row r="84" ht="15.75" customHeight="1">
      <c r="F84" s="57"/>
      <c r="G84" s="57"/>
      <c r="H84" s="57"/>
    </row>
    <row r="85" ht="15.75" customHeight="1">
      <c r="F85" s="57"/>
      <c r="G85" s="57"/>
      <c r="H85" s="57"/>
    </row>
    <row r="86" ht="15.75" customHeight="1">
      <c r="F86" s="57"/>
      <c r="G86" s="57"/>
      <c r="H86" s="57"/>
    </row>
    <row r="87" ht="15.75" customHeight="1">
      <c r="F87" s="57"/>
      <c r="G87" s="57"/>
      <c r="H87" s="57"/>
    </row>
    <row r="88" ht="15.75" customHeight="1">
      <c r="F88" s="57"/>
      <c r="G88" s="57"/>
      <c r="H88" s="57"/>
    </row>
    <row r="89" ht="15.75" customHeight="1">
      <c r="F89" s="57"/>
      <c r="G89" s="57"/>
      <c r="H89" s="57"/>
    </row>
    <row r="90" ht="15.75" customHeight="1">
      <c r="F90" s="57"/>
      <c r="G90" s="57"/>
      <c r="H90" s="57"/>
    </row>
    <row r="91" ht="15.75" customHeight="1">
      <c r="F91" s="57"/>
      <c r="G91" s="57"/>
      <c r="H91" s="57"/>
    </row>
    <row r="92" ht="15.75" customHeight="1">
      <c r="F92" s="57"/>
      <c r="G92" s="57"/>
      <c r="H92" s="57"/>
    </row>
    <row r="93" ht="15.75" customHeight="1">
      <c r="F93" s="57"/>
      <c r="G93" s="57"/>
      <c r="H93" s="57"/>
    </row>
    <row r="94" ht="15.75" customHeight="1">
      <c r="F94" s="57"/>
      <c r="G94" s="57"/>
      <c r="H94" s="57"/>
    </row>
    <row r="95" ht="15.75" customHeight="1">
      <c r="F95" s="57"/>
      <c r="G95" s="57"/>
      <c r="H95" s="57"/>
    </row>
    <row r="96" ht="15.75" customHeight="1">
      <c r="F96" s="57"/>
      <c r="G96" s="57"/>
      <c r="H96" s="57"/>
    </row>
    <row r="97" ht="15.75" customHeight="1">
      <c r="F97" s="57"/>
      <c r="G97" s="57"/>
      <c r="H97" s="57"/>
    </row>
    <row r="98" ht="15.75" customHeight="1">
      <c r="F98" s="57"/>
      <c r="G98" s="57"/>
      <c r="H98" s="57"/>
    </row>
    <row r="99" ht="15.75" customHeight="1">
      <c r="F99" s="57"/>
      <c r="G99" s="57"/>
      <c r="H99" s="57"/>
    </row>
    <row r="100" ht="15.75" customHeight="1">
      <c r="F100" s="57"/>
      <c r="G100" s="57"/>
      <c r="H100" s="57"/>
    </row>
    <row r="101" ht="15.75" customHeight="1">
      <c r="F101" s="57"/>
      <c r="G101" s="57"/>
      <c r="H101" s="57"/>
    </row>
    <row r="102" ht="15.75" customHeight="1">
      <c r="F102" s="57"/>
      <c r="G102" s="57"/>
      <c r="H102" s="57"/>
    </row>
    <row r="103" ht="15.75" customHeight="1">
      <c r="F103" s="57"/>
      <c r="G103" s="57"/>
      <c r="H103" s="57"/>
    </row>
    <row r="104" ht="15.75" customHeight="1">
      <c r="F104" s="57"/>
      <c r="G104" s="57"/>
      <c r="H104" s="57"/>
    </row>
    <row r="105" ht="15.75" customHeight="1">
      <c r="F105" s="57"/>
      <c r="G105" s="57"/>
      <c r="H105" s="57"/>
    </row>
    <row r="106" ht="15.75" customHeight="1">
      <c r="F106" s="57"/>
      <c r="G106" s="57"/>
      <c r="H106" s="57"/>
    </row>
    <row r="107" ht="15.75" customHeight="1">
      <c r="F107" s="57"/>
      <c r="G107" s="57"/>
      <c r="H107" s="57"/>
    </row>
    <row r="108" ht="15.75" customHeight="1">
      <c r="F108" s="57"/>
      <c r="G108" s="57"/>
      <c r="H108" s="57"/>
    </row>
    <row r="109" ht="15.75" customHeight="1">
      <c r="F109" s="57"/>
      <c r="G109" s="57"/>
      <c r="H109" s="57"/>
    </row>
    <row r="110" ht="15.75" customHeight="1">
      <c r="F110" s="57"/>
      <c r="G110" s="57"/>
      <c r="H110" s="57"/>
    </row>
    <row r="111" ht="15.75" customHeight="1">
      <c r="F111" s="57"/>
      <c r="G111" s="57"/>
      <c r="H111" s="57"/>
    </row>
    <row r="112" ht="15.75" customHeight="1">
      <c r="F112" s="57"/>
      <c r="G112" s="57"/>
      <c r="H112" s="57"/>
    </row>
    <row r="113" ht="15.75" customHeight="1">
      <c r="F113" s="57"/>
      <c r="G113" s="57"/>
      <c r="H113" s="57"/>
    </row>
    <row r="114" ht="15.75" customHeight="1">
      <c r="F114" s="57"/>
      <c r="G114" s="57"/>
      <c r="H114" s="57"/>
    </row>
    <row r="115" ht="15.75" customHeight="1">
      <c r="F115" s="57"/>
      <c r="G115" s="57"/>
      <c r="H115" s="57"/>
    </row>
    <row r="116" ht="15.75" customHeight="1">
      <c r="F116" s="57"/>
      <c r="G116" s="57"/>
      <c r="H116" s="57"/>
    </row>
    <row r="117" ht="15.75" customHeight="1">
      <c r="F117" s="57"/>
      <c r="G117" s="57"/>
      <c r="H117" s="57"/>
    </row>
    <row r="118" ht="15.75" customHeight="1">
      <c r="F118" s="57"/>
      <c r="G118" s="57"/>
      <c r="H118" s="57"/>
    </row>
    <row r="119" ht="15.75" customHeight="1">
      <c r="F119" s="57"/>
      <c r="G119" s="57"/>
      <c r="H119" s="57"/>
    </row>
    <row r="120" ht="15.75" customHeight="1">
      <c r="F120" s="57"/>
      <c r="G120" s="57"/>
      <c r="H120" s="57"/>
    </row>
    <row r="121" ht="15.75" customHeight="1">
      <c r="F121" s="57"/>
      <c r="G121" s="57"/>
      <c r="H121" s="57"/>
    </row>
    <row r="122" ht="15.75" customHeight="1">
      <c r="F122" s="57"/>
      <c r="G122" s="57"/>
      <c r="H122" s="57"/>
    </row>
    <row r="123" ht="15.75" customHeight="1">
      <c r="F123" s="57"/>
      <c r="G123" s="57"/>
      <c r="H123" s="57"/>
    </row>
    <row r="124" ht="15.75" customHeight="1">
      <c r="F124" s="57"/>
      <c r="G124" s="57"/>
      <c r="H124" s="57"/>
    </row>
    <row r="125" ht="15.75" customHeight="1">
      <c r="F125" s="57"/>
      <c r="G125" s="57"/>
      <c r="H125" s="57"/>
    </row>
    <row r="126" ht="15.75" customHeight="1">
      <c r="F126" s="57"/>
      <c r="G126" s="57"/>
      <c r="H126" s="57"/>
    </row>
    <row r="127" ht="15.75" customHeight="1">
      <c r="F127" s="57"/>
      <c r="G127" s="57"/>
      <c r="H127" s="57"/>
    </row>
    <row r="128" ht="15.75" customHeight="1">
      <c r="F128" s="57"/>
      <c r="G128" s="57"/>
      <c r="H128" s="57"/>
    </row>
    <row r="129" ht="15.75" customHeight="1">
      <c r="F129" s="57"/>
      <c r="G129" s="57"/>
      <c r="H129" s="57"/>
    </row>
    <row r="130" ht="15.75" customHeight="1">
      <c r="F130" s="57"/>
      <c r="G130" s="57"/>
      <c r="H130" s="57"/>
    </row>
    <row r="131" ht="15.75" customHeight="1">
      <c r="F131" s="57"/>
      <c r="G131" s="57"/>
      <c r="H131" s="57"/>
    </row>
    <row r="132" ht="15.75" customHeight="1">
      <c r="F132" s="57"/>
      <c r="G132" s="57"/>
      <c r="H132" s="57"/>
    </row>
    <row r="133" ht="15.75" customHeight="1">
      <c r="F133" s="57"/>
      <c r="G133" s="57"/>
      <c r="H133" s="57"/>
    </row>
    <row r="134" ht="15.75" customHeight="1">
      <c r="F134" s="57"/>
      <c r="G134" s="57"/>
      <c r="H134" s="57"/>
    </row>
    <row r="135" ht="15.75" customHeight="1">
      <c r="F135" s="57"/>
      <c r="G135" s="57"/>
      <c r="H135" s="57"/>
    </row>
    <row r="136" ht="15.75" customHeight="1">
      <c r="F136" s="57"/>
      <c r="G136" s="57"/>
      <c r="H136" s="57"/>
    </row>
    <row r="137" ht="15.75" customHeight="1">
      <c r="F137" s="57"/>
      <c r="G137" s="57"/>
      <c r="H137" s="57"/>
    </row>
    <row r="138" ht="15.75" customHeight="1">
      <c r="F138" s="57"/>
      <c r="G138" s="57"/>
      <c r="H138" s="57"/>
    </row>
    <row r="139" ht="15.75" customHeight="1">
      <c r="F139" s="57"/>
      <c r="G139" s="57"/>
      <c r="H139" s="57"/>
    </row>
    <row r="140" ht="15.75" customHeight="1">
      <c r="F140" s="57"/>
      <c r="G140" s="57"/>
      <c r="H140" s="57"/>
    </row>
    <row r="141" ht="15.75" customHeight="1">
      <c r="F141" s="57"/>
      <c r="G141" s="57"/>
      <c r="H141" s="57"/>
    </row>
    <row r="142" ht="15.75" customHeight="1">
      <c r="F142" s="57"/>
      <c r="G142" s="57"/>
      <c r="H142" s="57"/>
    </row>
    <row r="143" ht="15.75" customHeight="1">
      <c r="F143" s="57"/>
      <c r="G143" s="57"/>
      <c r="H143" s="57"/>
    </row>
    <row r="144" ht="15.75" customHeight="1">
      <c r="F144" s="57"/>
      <c r="G144" s="57"/>
      <c r="H144" s="57"/>
    </row>
    <row r="145" ht="15.75" customHeight="1">
      <c r="F145" s="57"/>
      <c r="G145" s="57"/>
      <c r="H145" s="57"/>
    </row>
    <row r="146" ht="15.75" customHeight="1">
      <c r="F146" s="57"/>
      <c r="G146" s="57"/>
      <c r="H146" s="57"/>
    </row>
    <row r="147" ht="15.75" customHeight="1">
      <c r="F147" s="57"/>
      <c r="G147" s="57"/>
      <c r="H147" s="57"/>
    </row>
    <row r="148" ht="15.75" customHeight="1">
      <c r="F148" s="57"/>
      <c r="G148" s="57"/>
      <c r="H148" s="57"/>
    </row>
    <row r="149" ht="15.75" customHeight="1">
      <c r="F149" s="57"/>
      <c r="G149" s="57"/>
      <c r="H149" s="57"/>
    </row>
    <row r="150" ht="15.75" customHeight="1">
      <c r="F150" s="57"/>
      <c r="G150" s="57"/>
      <c r="H150" s="57"/>
    </row>
    <row r="151" ht="15.75" customHeight="1">
      <c r="F151" s="57"/>
      <c r="G151" s="57"/>
      <c r="H151" s="57"/>
    </row>
    <row r="152" ht="15.75" customHeight="1">
      <c r="F152" s="57"/>
      <c r="G152" s="57"/>
      <c r="H152" s="57"/>
    </row>
    <row r="153" ht="15.75" customHeight="1">
      <c r="F153" s="57"/>
      <c r="G153" s="57"/>
      <c r="H153" s="57"/>
    </row>
    <row r="154" ht="15.75" customHeight="1">
      <c r="F154" s="57"/>
      <c r="G154" s="57"/>
      <c r="H154" s="57"/>
    </row>
    <row r="155" ht="15.75" customHeight="1">
      <c r="F155" s="57"/>
      <c r="G155" s="57"/>
      <c r="H155" s="57"/>
    </row>
    <row r="156" ht="15.75" customHeight="1">
      <c r="F156" s="57"/>
      <c r="G156" s="57"/>
      <c r="H156" s="57"/>
    </row>
    <row r="157" ht="15.75" customHeight="1">
      <c r="F157" s="57"/>
      <c r="G157" s="57"/>
      <c r="H157" s="57"/>
    </row>
    <row r="158" ht="15.75" customHeight="1">
      <c r="F158" s="57"/>
      <c r="G158" s="57"/>
      <c r="H158" s="57"/>
    </row>
    <row r="159" ht="15.75" customHeight="1">
      <c r="F159" s="57"/>
      <c r="G159" s="57"/>
      <c r="H159" s="57"/>
    </row>
    <row r="160" ht="15.75" customHeight="1">
      <c r="F160" s="57"/>
      <c r="G160" s="57"/>
      <c r="H160" s="57"/>
    </row>
    <row r="161" ht="15.75" customHeight="1">
      <c r="F161" s="57"/>
      <c r="G161" s="57"/>
      <c r="H161" s="57"/>
    </row>
    <row r="162" ht="15.75" customHeight="1">
      <c r="F162" s="57"/>
      <c r="G162" s="57"/>
      <c r="H162" s="57"/>
    </row>
    <row r="163" ht="15.75" customHeight="1">
      <c r="F163" s="57"/>
      <c r="G163" s="57"/>
      <c r="H163" s="57"/>
    </row>
    <row r="164" ht="15.75" customHeight="1">
      <c r="F164" s="57"/>
      <c r="G164" s="57"/>
      <c r="H164" s="57"/>
    </row>
    <row r="165" ht="15.75" customHeight="1">
      <c r="F165" s="57"/>
      <c r="G165" s="57"/>
      <c r="H165" s="57"/>
    </row>
    <row r="166" ht="15.75" customHeight="1">
      <c r="F166" s="57"/>
      <c r="G166" s="57"/>
      <c r="H166" s="57"/>
    </row>
    <row r="167" ht="15.75" customHeight="1">
      <c r="F167" s="57"/>
      <c r="G167" s="57"/>
      <c r="H167" s="57"/>
    </row>
    <row r="168" ht="15.75" customHeight="1">
      <c r="F168" s="57"/>
      <c r="G168" s="57"/>
      <c r="H168" s="57"/>
    </row>
    <row r="169" ht="15.75" customHeight="1">
      <c r="F169" s="57"/>
      <c r="G169" s="57"/>
      <c r="H169" s="57"/>
    </row>
    <row r="170" ht="15.75" customHeight="1">
      <c r="F170" s="57"/>
      <c r="G170" s="57"/>
      <c r="H170" s="57"/>
    </row>
    <row r="171" ht="15.75" customHeight="1">
      <c r="F171" s="57"/>
      <c r="G171" s="57"/>
      <c r="H171" s="57"/>
    </row>
    <row r="172" ht="15.75" customHeight="1">
      <c r="F172" s="57"/>
      <c r="G172" s="57"/>
      <c r="H172" s="57"/>
    </row>
    <row r="173" ht="15.75" customHeight="1">
      <c r="F173" s="57"/>
      <c r="G173" s="57"/>
      <c r="H173" s="57"/>
    </row>
    <row r="174" ht="15.75" customHeight="1">
      <c r="F174" s="57"/>
      <c r="G174" s="57"/>
      <c r="H174" s="57"/>
    </row>
    <row r="175" ht="15.75" customHeight="1">
      <c r="F175" s="57"/>
      <c r="G175" s="57"/>
      <c r="H175" s="57"/>
    </row>
    <row r="176" ht="15.75" customHeight="1">
      <c r="F176" s="57"/>
      <c r="G176" s="57"/>
      <c r="H176" s="57"/>
    </row>
    <row r="177" ht="15.75" customHeight="1">
      <c r="F177" s="57"/>
      <c r="G177" s="57"/>
      <c r="H177" s="57"/>
    </row>
    <row r="178" ht="15.75" customHeight="1">
      <c r="F178" s="57"/>
      <c r="G178" s="57"/>
      <c r="H178" s="57"/>
    </row>
    <row r="179" ht="15.75" customHeight="1">
      <c r="F179" s="57"/>
      <c r="G179" s="57"/>
      <c r="H179" s="57"/>
    </row>
    <row r="180" ht="15.75" customHeight="1">
      <c r="F180" s="57"/>
      <c r="G180" s="57"/>
      <c r="H180" s="57"/>
    </row>
    <row r="181" ht="15.75" customHeight="1">
      <c r="F181" s="57"/>
      <c r="G181" s="57"/>
      <c r="H181" s="57"/>
    </row>
    <row r="182" ht="15.75" customHeight="1">
      <c r="F182" s="57"/>
      <c r="G182" s="57"/>
      <c r="H182" s="57"/>
    </row>
    <row r="183" ht="15.75" customHeight="1">
      <c r="F183" s="57"/>
      <c r="G183" s="57"/>
      <c r="H183" s="57"/>
    </row>
    <row r="184" ht="15.75" customHeight="1">
      <c r="F184" s="57"/>
      <c r="G184" s="57"/>
      <c r="H184" s="57"/>
    </row>
    <row r="185" ht="15.75" customHeight="1">
      <c r="F185" s="57"/>
      <c r="G185" s="57"/>
      <c r="H185" s="57"/>
    </row>
    <row r="186" ht="15.75" customHeight="1">
      <c r="F186" s="57"/>
      <c r="G186" s="57"/>
      <c r="H186" s="57"/>
    </row>
    <row r="187" ht="15.75" customHeight="1">
      <c r="F187" s="57"/>
      <c r="G187" s="57"/>
      <c r="H187" s="57"/>
    </row>
    <row r="188" ht="15.75" customHeight="1">
      <c r="F188" s="57"/>
      <c r="G188" s="57"/>
      <c r="H188" s="57"/>
    </row>
    <row r="189" ht="15.75" customHeight="1">
      <c r="F189" s="57"/>
      <c r="G189" s="57"/>
      <c r="H189" s="57"/>
    </row>
    <row r="190" ht="15.75" customHeight="1">
      <c r="F190" s="57"/>
      <c r="G190" s="57"/>
      <c r="H190" s="57"/>
    </row>
    <row r="191" ht="15.75" customHeight="1">
      <c r="F191" s="57"/>
      <c r="G191" s="57"/>
      <c r="H191" s="57"/>
    </row>
    <row r="192" ht="15.75" customHeight="1">
      <c r="F192" s="57"/>
      <c r="G192" s="57"/>
      <c r="H192" s="57"/>
    </row>
    <row r="193" ht="15.75" customHeight="1">
      <c r="F193" s="57"/>
      <c r="G193" s="57"/>
      <c r="H193" s="57"/>
    </row>
    <row r="194" ht="15.75" customHeight="1">
      <c r="F194" s="57"/>
      <c r="G194" s="57"/>
      <c r="H194" s="57"/>
    </row>
    <row r="195" ht="15.75" customHeight="1">
      <c r="F195" s="57"/>
      <c r="G195" s="57"/>
      <c r="H195" s="57"/>
    </row>
    <row r="196" ht="15.75" customHeight="1">
      <c r="F196" s="57"/>
      <c r="G196" s="57"/>
      <c r="H196" s="57"/>
    </row>
    <row r="197" ht="15.75" customHeight="1">
      <c r="F197" s="57"/>
      <c r="G197" s="57"/>
      <c r="H197" s="57"/>
    </row>
    <row r="198" ht="15.75" customHeight="1">
      <c r="F198" s="57"/>
      <c r="G198" s="57"/>
      <c r="H198" s="57"/>
    </row>
    <row r="199" ht="15.75" customHeight="1">
      <c r="F199" s="57"/>
      <c r="G199" s="57"/>
      <c r="H199" s="57"/>
    </row>
    <row r="200" ht="15.75" customHeight="1">
      <c r="F200" s="57"/>
      <c r="G200" s="57"/>
      <c r="H200" s="57"/>
    </row>
    <row r="201" ht="15.75" customHeight="1">
      <c r="F201" s="57"/>
      <c r="G201" s="57"/>
      <c r="H201" s="57"/>
    </row>
    <row r="202" ht="15.75" customHeight="1">
      <c r="F202" s="57"/>
      <c r="G202" s="57"/>
      <c r="H202" s="57"/>
    </row>
    <row r="203" ht="15.75" customHeight="1">
      <c r="F203" s="57"/>
      <c r="G203" s="57"/>
      <c r="H203" s="57"/>
    </row>
    <row r="204" ht="15.75" customHeight="1">
      <c r="F204" s="57"/>
      <c r="G204" s="57"/>
      <c r="H204" s="57"/>
    </row>
    <row r="205" ht="15.75" customHeight="1">
      <c r="F205" s="57"/>
      <c r="G205" s="57"/>
      <c r="H205" s="57"/>
    </row>
    <row r="206" ht="15.75" customHeight="1">
      <c r="F206" s="57"/>
      <c r="G206" s="57"/>
      <c r="H206" s="57"/>
    </row>
    <row r="207" ht="15.75" customHeight="1">
      <c r="F207" s="57"/>
      <c r="G207" s="57"/>
      <c r="H207" s="57"/>
    </row>
    <row r="208" ht="15.75" customHeight="1">
      <c r="F208" s="57"/>
      <c r="G208" s="57"/>
      <c r="H208" s="57"/>
    </row>
    <row r="209" ht="15.75" customHeight="1">
      <c r="F209" s="57"/>
      <c r="G209" s="57"/>
      <c r="H209" s="57"/>
    </row>
    <row r="210" ht="15.75" customHeight="1">
      <c r="F210" s="57"/>
      <c r="G210" s="57"/>
      <c r="H210" s="57"/>
    </row>
    <row r="211" ht="15.75" customHeight="1">
      <c r="F211" s="57"/>
      <c r="G211" s="57"/>
      <c r="H211" s="57"/>
    </row>
    <row r="212" ht="15.75" customHeight="1">
      <c r="F212" s="57"/>
      <c r="G212" s="57"/>
      <c r="H212" s="57"/>
    </row>
    <row r="213" ht="15.75" customHeight="1">
      <c r="F213" s="57"/>
      <c r="G213" s="57"/>
      <c r="H213" s="57"/>
    </row>
    <row r="214" ht="15.75" customHeight="1">
      <c r="F214" s="57"/>
      <c r="G214" s="57"/>
      <c r="H214" s="57"/>
    </row>
    <row r="215" ht="15.75" customHeight="1">
      <c r="F215" s="57"/>
      <c r="G215" s="57"/>
      <c r="H215" s="57"/>
    </row>
    <row r="216" ht="15.75" customHeight="1">
      <c r="F216" s="57"/>
      <c r="G216" s="57"/>
      <c r="H216" s="57"/>
    </row>
    <row r="217" ht="15.75" customHeight="1">
      <c r="F217" s="57"/>
      <c r="G217" s="57"/>
      <c r="H217" s="57"/>
    </row>
    <row r="218" ht="15.75" customHeight="1">
      <c r="F218" s="57"/>
      <c r="G218" s="57"/>
      <c r="H218" s="57"/>
    </row>
    <row r="219" ht="15.75" customHeight="1">
      <c r="F219" s="57"/>
      <c r="G219" s="57"/>
      <c r="H219" s="57"/>
    </row>
    <row r="220" ht="15.75" customHeight="1">
      <c r="F220" s="57"/>
      <c r="G220" s="57"/>
      <c r="H220" s="57"/>
    </row>
    <row r="221" ht="15.75" customHeight="1">
      <c r="F221" s="57"/>
      <c r="G221" s="57"/>
      <c r="H221" s="57"/>
    </row>
    <row r="222" ht="15.75" customHeight="1">
      <c r="F222" s="57"/>
      <c r="G222" s="57"/>
      <c r="H222" s="57"/>
    </row>
    <row r="223" ht="15.75" customHeight="1">
      <c r="F223" s="57"/>
      <c r="G223" s="57"/>
      <c r="H223" s="57"/>
    </row>
    <row r="224" ht="15.75" customHeight="1">
      <c r="F224" s="57"/>
      <c r="G224" s="57"/>
      <c r="H224" s="57"/>
    </row>
    <row r="225" ht="15.75" customHeight="1">
      <c r="F225" s="57"/>
      <c r="G225" s="57"/>
      <c r="H225" s="57"/>
    </row>
    <row r="226" ht="15.75" customHeight="1">
      <c r="F226" s="57"/>
      <c r="G226" s="57"/>
      <c r="H226" s="57"/>
    </row>
    <row r="227" ht="15.75" customHeight="1">
      <c r="F227" s="57"/>
      <c r="G227" s="57"/>
      <c r="H227" s="57"/>
    </row>
    <row r="228" ht="15.75" customHeight="1">
      <c r="F228" s="57"/>
      <c r="G228" s="57"/>
      <c r="H228" s="57"/>
    </row>
    <row r="229" ht="15.75" customHeight="1">
      <c r="F229" s="57"/>
      <c r="G229" s="57"/>
      <c r="H229" s="57"/>
    </row>
    <row r="230" ht="15.75" customHeight="1">
      <c r="F230" s="57"/>
      <c r="G230" s="57"/>
      <c r="H230" s="57"/>
    </row>
    <row r="231" ht="15.75" customHeight="1">
      <c r="F231" s="57"/>
      <c r="G231" s="57"/>
      <c r="H231" s="57"/>
    </row>
    <row r="232" ht="15.75" customHeight="1">
      <c r="F232" s="57"/>
      <c r="G232" s="57"/>
      <c r="H232" s="57"/>
    </row>
    <row r="233" ht="15.75" customHeight="1">
      <c r="F233" s="57"/>
      <c r="G233" s="57"/>
      <c r="H233" s="57"/>
    </row>
    <row r="234" ht="15.75" customHeight="1">
      <c r="F234" s="57"/>
      <c r="G234" s="57"/>
      <c r="H234" s="57"/>
    </row>
    <row r="235" ht="15.75" customHeight="1">
      <c r="F235" s="57"/>
      <c r="G235" s="57"/>
      <c r="H235" s="57"/>
    </row>
    <row r="236" ht="15.75" customHeight="1">
      <c r="F236" s="57"/>
      <c r="G236" s="57"/>
      <c r="H236" s="57"/>
    </row>
    <row r="237" ht="15.75" customHeight="1">
      <c r="F237" s="57"/>
      <c r="G237" s="57"/>
      <c r="H237" s="57"/>
    </row>
    <row r="238" ht="15.75" customHeight="1">
      <c r="F238" s="57"/>
      <c r="G238" s="57"/>
      <c r="H238" s="57"/>
    </row>
    <row r="239" ht="15.75" customHeight="1">
      <c r="F239" s="57"/>
      <c r="G239" s="57"/>
      <c r="H239" s="57"/>
    </row>
    <row r="240" ht="15.75" customHeight="1">
      <c r="F240" s="57"/>
      <c r="G240" s="57"/>
      <c r="H240" s="57"/>
    </row>
    <row r="241" ht="15.75" customHeight="1">
      <c r="F241" s="57"/>
      <c r="G241" s="57"/>
      <c r="H241" s="57"/>
    </row>
    <row r="242" ht="15.75" customHeight="1">
      <c r="F242" s="57"/>
      <c r="G242" s="57"/>
      <c r="H242" s="57"/>
    </row>
    <row r="243" ht="15.75" customHeight="1">
      <c r="F243" s="57"/>
      <c r="G243" s="57"/>
      <c r="H243" s="57"/>
    </row>
    <row r="244" ht="15.75" customHeight="1">
      <c r="F244" s="57"/>
      <c r="G244" s="57"/>
      <c r="H244" s="57"/>
    </row>
    <row r="245" ht="15.75" customHeight="1">
      <c r="F245" s="57"/>
      <c r="G245" s="57"/>
      <c r="H245" s="57"/>
    </row>
    <row r="246" ht="15.75" customHeight="1">
      <c r="F246" s="57"/>
      <c r="G246" s="57"/>
      <c r="H246" s="57"/>
    </row>
    <row r="247" ht="15.75" customHeight="1">
      <c r="F247" s="57"/>
      <c r="G247" s="57"/>
      <c r="H247" s="57"/>
    </row>
    <row r="248" ht="15.75" customHeight="1">
      <c r="F248" s="57"/>
      <c r="G248" s="57"/>
      <c r="H248" s="57"/>
    </row>
    <row r="249" ht="15.75" customHeight="1">
      <c r="F249" s="57"/>
      <c r="G249" s="57"/>
      <c r="H249" s="57"/>
    </row>
    <row r="250" ht="15.75" customHeight="1">
      <c r="F250" s="57"/>
      <c r="G250" s="57"/>
      <c r="H250" s="57"/>
    </row>
    <row r="251" ht="15.75" customHeight="1">
      <c r="F251" s="57"/>
      <c r="G251" s="57"/>
      <c r="H251" s="57"/>
    </row>
    <row r="252" ht="15.75" customHeight="1">
      <c r="F252" s="57"/>
      <c r="G252" s="57"/>
      <c r="H252" s="57"/>
    </row>
    <row r="253" ht="15.75" customHeight="1">
      <c r="F253" s="57"/>
      <c r="G253" s="57"/>
      <c r="H253" s="57"/>
    </row>
    <row r="254" ht="15.75" customHeight="1">
      <c r="F254" s="57"/>
      <c r="G254" s="57"/>
      <c r="H254" s="57"/>
    </row>
    <row r="255" ht="15.75" customHeight="1">
      <c r="F255" s="57"/>
      <c r="G255" s="57"/>
      <c r="H255" s="57"/>
    </row>
    <row r="256" ht="15.75" customHeight="1">
      <c r="F256" s="57"/>
      <c r="G256" s="57"/>
      <c r="H256" s="57"/>
    </row>
    <row r="257" ht="15.75" customHeight="1">
      <c r="F257" s="57"/>
      <c r="G257" s="57"/>
      <c r="H257" s="57"/>
    </row>
    <row r="258" ht="15.75" customHeight="1">
      <c r="F258" s="57"/>
      <c r="G258" s="57"/>
      <c r="H258" s="57"/>
    </row>
    <row r="259" ht="15.75" customHeight="1">
      <c r="F259" s="57"/>
      <c r="G259" s="57"/>
      <c r="H259" s="57"/>
    </row>
    <row r="260" ht="15.75" customHeight="1">
      <c r="F260" s="57"/>
      <c r="G260" s="57"/>
      <c r="H260" s="57"/>
    </row>
    <row r="261" ht="15.75" customHeight="1">
      <c r="F261" s="57"/>
      <c r="G261" s="57"/>
      <c r="H261" s="57"/>
    </row>
    <row r="262" ht="15.75" customHeight="1">
      <c r="F262" s="57"/>
      <c r="G262" s="57"/>
      <c r="H262" s="57"/>
    </row>
    <row r="263" ht="15.75" customHeight="1">
      <c r="F263" s="57"/>
      <c r="G263" s="57"/>
      <c r="H263" s="57"/>
    </row>
    <row r="264" ht="15.75" customHeight="1">
      <c r="F264" s="57"/>
      <c r="G264" s="57"/>
      <c r="H264" s="57"/>
    </row>
    <row r="265" ht="15.75" customHeight="1">
      <c r="F265" s="57"/>
      <c r="G265" s="57"/>
      <c r="H265" s="57"/>
    </row>
    <row r="266" ht="15.75" customHeight="1">
      <c r="F266" s="57"/>
      <c r="G266" s="57"/>
      <c r="H266" s="57"/>
    </row>
    <row r="267" ht="15.75" customHeight="1">
      <c r="F267" s="57"/>
      <c r="G267" s="57"/>
      <c r="H267" s="57"/>
    </row>
    <row r="268" ht="15.75" customHeight="1">
      <c r="F268" s="57"/>
      <c r="G268" s="57"/>
      <c r="H268" s="57"/>
    </row>
    <row r="269" ht="15.75" customHeight="1">
      <c r="F269" s="57"/>
      <c r="G269" s="57"/>
      <c r="H269" s="57"/>
    </row>
    <row r="270" ht="15.75" customHeight="1">
      <c r="F270" s="57"/>
      <c r="G270" s="57"/>
      <c r="H270" s="57"/>
    </row>
    <row r="271" ht="15.75" customHeight="1">
      <c r="F271" s="57"/>
      <c r="G271" s="57"/>
      <c r="H271" s="57"/>
    </row>
    <row r="272" ht="15.75" customHeight="1">
      <c r="F272" s="57"/>
      <c r="G272" s="57"/>
      <c r="H272" s="57"/>
    </row>
    <row r="273" ht="15.75" customHeight="1">
      <c r="F273" s="57"/>
      <c r="G273" s="57"/>
      <c r="H273" s="57"/>
    </row>
    <row r="274" ht="15.75" customHeight="1">
      <c r="F274" s="57"/>
      <c r="G274" s="57"/>
      <c r="H274" s="57"/>
    </row>
    <row r="275" ht="15.75" customHeight="1">
      <c r="F275" s="57"/>
      <c r="G275" s="57"/>
      <c r="H275" s="57"/>
    </row>
    <row r="276" ht="15.75" customHeight="1">
      <c r="F276" s="57"/>
      <c r="G276" s="57"/>
      <c r="H276" s="57"/>
    </row>
    <row r="277" ht="15.75" customHeight="1">
      <c r="F277" s="57"/>
      <c r="G277" s="57"/>
      <c r="H277" s="57"/>
    </row>
    <row r="278" ht="15.75" customHeight="1">
      <c r="F278" s="57"/>
      <c r="G278" s="57"/>
      <c r="H278" s="57"/>
    </row>
    <row r="279" ht="15.75" customHeight="1">
      <c r="F279" s="57"/>
      <c r="G279" s="57"/>
      <c r="H279" s="57"/>
    </row>
    <row r="280" ht="15.75" customHeight="1">
      <c r="F280" s="57"/>
      <c r="G280" s="57"/>
      <c r="H280" s="57"/>
    </row>
    <row r="281" ht="15.75" customHeight="1">
      <c r="F281" s="57"/>
      <c r="G281" s="57"/>
      <c r="H281" s="57"/>
    </row>
    <row r="282" ht="15.75" customHeight="1">
      <c r="F282" s="57"/>
      <c r="G282" s="57"/>
      <c r="H282" s="57"/>
    </row>
    <row r="283" ht="15.75" customHeight="1">
      <c r="F283" s="57"/>
      <c r="G283" s="57"/>
      <c r="H283" s="57"/>
    </row>
    <row r="284" ht="15.75" customHeight="1">
      <c r="F284" s="57"/>
      <c r="G284" s="57"/>
      <c r="H284" s="57"/>
    </row>
    <row r="285" ht="15.75" customHeight="1">
      <c r="F285" s="57"/>
      <c r="G285" s="57"/>
      <c r="H285" s="57"/>
    </row>
    <row r="286" ht="15.75" customHeight="1">
      <c r="F286" s="57"/>
      <c r="G286" s="57"/>
      <c r="H286" s="57"/>
    </row>
    <row r="287" ht="15.75" customHeight="1">
      <c r="F287" s="57"/>
      <c r="G287" s="57"/>
      <c r="H287" s="57"/>
    </row>
    <row r="288" ht="15.75" customHeight="1">
      <c r="F288" s="57"/>
      <c r="G288" s="57"/>
      <c r="H288" s="57"/>
    </row>
    <row r="289" ht="15.75" customHeight="1">
      <c r="F289" s="57"/>
      <c r="G289" s="57"/>
      <c r="H289" s="57"/>
    </row>
    <row r="290" ht="15.75" customHeight="1">
      <c r="F290" s="57"/>
      <c r="G290" s="57"/>
      <c r="H290" s="57"/>
    </row>
    <row r="291" ht="15.75" customHeight="1">
      <c r="F291" s="57"/>
      <c r="G291" s="57"/>
      <c r="H291" s="57"/>
    </row>
    <row r="292" ht="15.75" customHeight="1">
      <c r="F292" s="57"/>
      <c r="G292" s="57"/>
      <c r="H292" s="57"/>
    </row>
    <row r="293" ht="15.75" customHeight="1">
      <c r="F293" s="57"/>
      <c r="G293" s="57"/>
      <c r="H293" s="57"/>
    </row>
    <row r="294" ht="15.75" customHeight="1">
      <c r="F294" s="57"/>
      <c r="G294" s="57"/>
      <c r="H294" s="57"/>
    </row>
    <row r="295" ht="15.75" customHeight="1">
      <c r="F295" s="57"/>
      <c r="G295" s="57"/>
      <c r="H295" s="57"/>
    </row>
    <row r="296" ht="15.75" customHeight="1">
      <c r="F296" s="57"/>
      <c r="G296" s="57"/>
      <c r="H296" s="57"/>
    </row>
    <row r="297" ht="15.75" customHeight="1">
      <c r="F297" s="57"/>
      <c r="G297" s="57"/>
      <c r="H297" s="57"/>
    </row>
    <row r="298" ht="15.75" customHeight="1">
      <c r="F298" s="57"/>
      <c r="G298" s="57"/>
      <c r="H298" s="57"/>
    </row>
    <row r="299" ht="15.75" customHeight="1">
      <c r="F299" s="57"/>
      <c r="G299" s="57"/>
      <c r="H299" s="57"/>
    </row>
    <row r="300" ht="15.75" customHeight="1">
      <c r="F300" s="57"/>
      <c r="G300" s="57"/>
      <c r="H300" s="57"/>
    </row>
    <row r="301" ht="15.75" customHeight="1">
      <c r="F301" s="57"/>
      <c r="G301" s="57"/>
      <c r="H301" s="57"/>
    </row>
    <row r="302" ht="15.75" customHeight="1">
      <c r="F302" s="57"/>
      <c r="G302" s="57"/>
      <c r="H302" s="57"/>
    </row>
    <row r="303" ht="15.75" customHeight="1">
      <c r="F303" s="57"/>
      <c r="G303" s="57"/>
      <c r="H303" s="57"/>
    </row>
    <row r="304" ht="15.75" customHeight="1">
      <c r="F304" s="57"/>
      <c r="G304" s="57"/>
      <c r="H304" s="57"/>
    </row>
    <row r="305" ht="15.75" customHeight="1">
      <c r="F305" s="57"/>
      <c r="G305" s="57"/>
      <c r="H305" s="57"/>
    </row>
    <row r="306" ht="15.75" customHeight="1">
      <c r="F306" s="57"/>
      <c r="G306" s="57"/>
      <c r="H306" s="57"/>
    </row>
    <row r="307" ht="15.75" customHeight="1">
      <c r="F307" s="57"/>
      <c r="G307" s="57"/>
      <c r="H307" s="57"/>
    </row>
    <row r="308" ht="15.75" customHeight="1">
      <c r="F308" s="57"/>
      <c r="G308" s="57"/>
      <c r="H308" s="57"/>
    </row>
    <row r="309" ht="15.75" customHeight="1">
      <c r="F309" s="57"/>
      <c r="G309" s="57"/>
      <c r="H309" s="57"/>
    </row>
    <row r="310" ht="15.75" customHeight="1">
      <c r="F310" s="57"/>
      <c r="G310" s="57"/>
      <c r="H310" s="57"/>
    </row>
    <row r="311" ht="15.75" customHeight="1">
      <c r="F311" s="57"/>
      <c r="G311" s="57"/>
      <c r="H311" s="57"/>
    </row>
    <row r="312" ht="15.75" customHeight="1">
      <c r="F312" s="57"/>
      <c r="G312" s="57"/>
      <c r="H312" s="57"/>
    </row>
    <row r="313" ht="15.75" customHeight="1">
      <c r="F313" s="57"/>
      <c r="G313" s="57"/>
      <c r="H313" s="57"/>
    </row>
    <row r="314" ht="15.75" customHeight="1">
      <c r="F314" s="57"/>
      <c r="G314" s="57"/>
      <c r="H314" s="57"/>
    </row>
    <row r="315" ht="15.75" customHeight="1">
      <c r="F315" s="57"/>
      <c r="G315" s="57"/>
      <c r="H315" s="57"/>
    </row>
    <row r="316" ht="15.75" customHeight="1">
      <c r="F316" s="57"/>
      <c r="G316" s="57"/>
      <c r="H316" s="57"/>
    </row>
    <row r="317" ht="15.75" customHeight="1">
      <c r="F317" s="57"/>
      <c r="G317" s="57"/>
      <c r="H317" s="57"/>
    </row>
    <row r="318" ht="15.75" customHeight="1">
      <c r="F318" s="57"/>
      <c r="G318" s="57"/>
      <c r="H318" s="57"/>
    </row>
    <row r="319" ht="15.75" customHeight="1">
      <c r="F319" s="57"/>
      <c r="G319" s="57"/>
      <c r="H319" s="57"/>
    </row>
    <row r="320" ht="15.75" customHeight="1">
      <c r="F320" s="57"/>
      <c r="G320" s="57"/>
      <c r="H320" s="57"/>
    </row>
    <row r="321" ht="15.75" customHeight="1">
      <c r="F321" s="57"/>
      <c r="G321" s="57"/>
      <c r="H321" s="57"/>
    </row>
    <row r="322" ht="15.75" customHeight="1">
      <c r="F322" s="57"/>
      <c r="G322" s="57"/>
      <c r="H322" s="57"/>
    </row>
    <row r="323" ht="15.75" customHeight="1">
      <c r="F323" s="57"/>
      <c r="G323" s="57"/>
      <c r="H323" s="57"/>
    </row>
    <row r="324" ht="15.75" customHeight="1">
      <c r="F324" s="57"/>
      <c r="G324" s="57"/>
      <c r="H324" s="57"/>
    </row>
    <row r="325" ht="15.75" customHeight="1">
      <c r="F325" s="57"/>
      <c r="G325" s="57"/>
      <c r="H325" s="57"/>
    </row>
    <row r="326" ht="15.75" customHeight="1">
      <c r="F326" s="57"/>
      <c r="G326" s="57"/>
      <c r="H326" s="57"/>
    </row>
    <row r="327" ht="15.75" customHeight="1">
      <c r="F327" s="57"/>
      <c r="G327" s="57"/>
      <c r="H327" s="57"/>
    </row>
    <row r="328" ht="15.75" customHeight="1">
      <c r="F328" s="57"/>
      <c r="G328" s="57"/>
      <c r="H328" s="57"/>
    </row>
    <row r="329" ht="15.75" customHeight="1">
      <c r="F329" s="57"/>
      <c r="G329" s="57"/>
      <c r="H329" s="57"/>
    </row>
    <row r="330" ht="15.75" customHeight="1">
      <c r="F330" s="57"/>
      <c r="G330" s="57"/>
      <c r="H330" s="57"/>
    </row>
    <row r="331" ht="15.75" customHeight="1">
      <c r="F331" s="57"/>
      <c r="G331" s="57"/>
      <c r="H331" s="57"/>
    </row>
    <row r="332" ht="15.75" customHeight="1">
      <c r="F332" s="57"/>
      <c r="G332" s="57"/>
      <c r="H332" s="57"/>
    </row>
    <row r="333" ht="15.75" customHeight="1">
      <c r="F333" s="57"/>
      <c r="G333" s="57"/>
      <c r="H333" s="57"/>
    </row>
    <row r="334" ht="15.75" customHeight="1">
      <c r="F334" s="57"/>
      <c r="G334" s="57"/>
      <c r="H334" s="57"/>
    </row>
    <row r="335" ht="15.75" customHeight="1">
      <c r="F335" s="57"/>
      <c r="G335" s="57"/>
      <c r="H335" s="57"/>
    </row>
    <row r="336" ht="15.75" customHeight="1">
      <c r="F336" s="57"/>
      <c r="G336" s="57"/>
      <c r="H336" s="57"/>
    </row>
    <row r="337" ht="15.75" customHeight="1">
      <c r="F337" s="57"/>
      <c r="G337" s="57"/>
      <c r="H337" s="57"/>
    </row>
    <row r="338" ht="15.75" customHeight="1">
      <c r="F338" s="57"/>
      <c r="G338" s="57"/>
      <c r="H338" s="57"/>
    </row>
    <row r="339" ht="15.75" customHeight="1">
      <c r="F339" s="57"/>
      <c r="G339" s="57"/>
      <c r="H339" s="57"/>
    </row>
    <row r="340" ht="15.75" customHeight="1">
      <c r="F340" s="57"/>
      <c r="G340" s="57"/>
      <c r="H340" s="57"/>
    </row>
    <row r="341" ht="15.75" customHeight="1">
      <c r="F341" s="57"/>
      <c r="G341" s="57"/>
      <c r="H341" s="57"/>
    </row>
    <row r="342" ht="15.75" customHeight="1">
      <c r="F342" s="57"/>
      <c r="G342" s="57"/>
      <c r="H342" s="57"/>
    </row>
    <row r="343" ht="15.75" customHeight="1">
      <c r="F343" s="57"/>
      <c r="G343" s="57"/>
      <c r="H343" s="57"/>
    </row>
    <row r="344" ht="15.75" customHeight="1">
      <c r="F344" s="57"/>
      <c r="G344" s="57"/>
      <c r="H344" s="57"/>
    </row>
    <row r="345" ht="15.75" customHeight="1">
      <c r="F345" s="57"/>
      <c r="G345" s="57"/>
      <c r="H345" s="57"/>
    </row>
    <row r="346" ht="15.75" customHeight="1">
      <c r="F346" s="57"/>
      <c r="G346" s="57"/>
      <c r="H346" s="57"/>
    </row>
    <row r="347" ht="15.75" customHeight="1">
      <c r="F347" s="57"/>
      <c r="G347" s="57"/>
      <c r="H347" s="57"/>
    </row>
    <row r="348" ht="15.75" customHeight="1">
      <c r="F348" s="57"/>
      <c r="G348" s="57"/>
      <c r="H348" s="57"/>
    </row>
    <row r="349" ht="15.75" customHeight="1">
      <c r="F349" s="57"/>
      <c r="G349" s="57"/>
      <c r="H349" s="57"/>
    </row>
    <row r="350" ht="15.75" customHeight="1">
      <c r="F350" s="57"/>
      <c r="G350" s="57"/>
      <c r="H350" s="57"/>
    </row>
    <row r="351" ht="15.75" customHeight="1">
      <c r="F351" s="57"/>
      <c r="G351" s="57"/>
      <c r="H351" s="57"/>
    </row>
    <row r="352" ht="15.75" customHeight="1">
      <c r="F352" s="57"/>
      <c r="G352" s="57"/>
      <c r="H352" s="57"/>
    </row>
    <row r="353" ht="15.75" customHeight="1">
      <c r="F353" s="57"/>
      <c r="G353" s="57"/>
      <c r="H353" s="57"/>
    </row>
    <row r="354" ht="15.75" customHeight="1">
      <c r="F354" s="57"/>
      <c r="G354" s="57"/>
      <c r="H354" s="57"/>
    </row>
    <row r="355" ht="15.75" customHeight="1">
      <c r="F355" s="57"/>
      <c r="G355" s="57"/>
      <c r="H355" s="57"/>
    </row>
    <row r="356" ht="15.75" customHeight="1">
      <c r="F356" s="57"/>
      <c r="G356" s="57"/>
      <c r="H356" s="57"/>
    </row>
    <row r="357" ht="15.75" customHeight="1">
      <c r="F357" s="57"/>
      <c r="G357" s="57"/>
      <c r="H357" s="57"/>
    </row>
    <row r="358" ht="15.75" customHeight="1">
      <c r="F358" s="57"/>
      <c r="G358" s="57"/>
      <c r="H358" s="57"/>
    </row>
    <row r="359" ht="15.75" customHeight="1">
      <c r="F359" s="57"/>
      <c r="G359" s="57"/>
      <c r="H359" s="57"/>
    </row>
    <row r="360" ht="15.75" customHeight="1">
      <c r="F360" s="57"/>
      <c r="G360" s="57"/>
      <c r="H360" s="57"/>
    </row>
    <row r="361" ht="15.75" customHeight="1">
      <c r="F361" s="57"/>
      <c r="G361" s="57"/>
      <c r="H361" s="57"/>
    </row>
    <row r="362" ht="15.75" customHeight="1">
      <c r="F362" s="57"/>
      <c r="G362" s="57"/>
      <c r="H362" s="57"/>
    </row>
    <row r="363" ht="15.75" customHeight="1">
      <c r="F363" s="57"/>
      <c r="G363" s="57"/>
      <c r="H363" s="57"/>
    </row>
    <row r="364" ht="15.75" customHeight="1">
      <c r="F364" s="57"/>
      <c r="G364" s="57"/>
      <c r="H364" s="57"/>
    </row>
    <row r="365" ht="15.75" customHeight="1">
      <c r="F365" s="57"/>
      <c r="G365" s="57"/>
      <c r="H365" s="57"/>
    </row>
    <row r="366" ht="15.75" customHeight="1">
      <c r="F366" s="57"/>
      <c r="G366" s="57"/>
      <c r="H366" s="57"/>
    </row>
    <row r="367" ht="15.75" customHeight="1">
      <c r="F367" s="57"/>
      <c r="G367" s="57"/>
      <c r="H367" s="57"/>
    </row>
    <row r="368" ht="15.75" customHeight="1">
      <c r="F368" s="57"/>
      <c r="G368" s="57"/>
      <c r="H368" s="57"/>
    </row>
    <row r="369" ht="15.75" customHeight="1">
      <c r="F369" s="57"/>
      <c r="G369" s="57"/>
      <c r="H369" s="57"/>
    </row>
    <row r="370" ht="15.75" customHeight="1">
      <c r="F370" s="57"/>
      <c r="G370" s="57"/>
      <c r="H370" s="57"/>
    </row>
    <row r="371" ht="15.75" customHeight="1">
      <c r="F371" s="57"/>
      <c r="G371" s="57"/>
      <c r="H371" s="57"/>
    </row>
    <row r="372" ht="15.75" customHeight="1">
      <c r="F372" s="57"/>
      <c r="G372" s="57"/>
      <c r="H372" s="57"/>
    </row>
    <row r="373" ht="15.75" customHeight="1">
      <c r="F373" s="57"/>
      <c r="G373" s="57"/>
      <c r="H373" s="57"/>
    </row>
    <row r="374" ht="15.75" customHeight="1">
      <c r="F374" s="57"/>
      <c r="G374" s="57"/>
      <c r="H374" s="57"/>
    </row>
    <row r="375" ht="15.75" customHeight="1">
      <c r="F375" s="57"/>
      <c r="G375" s="57"/>
      <c r="H375" s="57"/>
    </row>
    <row r="376" ht="15.75" customHeight="1">
      <c r="F376" s="57"/>
      <c r="G376" s="57"/>
      <c r="H376" s="57"/>
    </row>
    <row r="377" ht="15.75" customHeight="1">
      <c r="F377" s="57"/>
      <c r="G377" s="57"/>
      <c r="H377" s="57"/>
    </row>
    <row r="378" ht="15.75" customHeight="1">
      <c r="F378" s="57"/>
      <c r="G378" s="57"/>
      <c r="H378" s="57"/>
    </row>
    <row r="379" ht="15.75" customHeight="1">
      <c r="F379" s="57"/>
      <c r="G379" s="57"/>
      <c r="H379" s="57"/>
    </row>
    <row r="380" ht="15.75" customHeight="1">
      <c r="F380" s="57"/>
      <c r="G380" s="57"/>
      <c r="H380" s="57"/>
    </row>
    <row r="381" ht="15.75" customHeight="1">
      <c r="F381" s="57"/>
      <c r="G381" s="57"/>
      <c r="H381" s="57"/>
    </row>
    <row r="382" ht="15.75" customHeight="1">
      <c r="F382" s="57"/>
      <c r="G382" s="57"/>
      <c r="H382" s="57"/>
    </row>
    <row r="383" ht="15.75" customHeight="1">
      <c r="F383" s="57"/>
      <c r="G383" s="57"/>
      <c r="H383" s="57"/>
    </row>
    <row r="384" ht="15.75" customHeight="1">
      <c r="F384" s="57"/>
      <c r="G384" s="57"/>
      <c r="H384" s="57"/>
    </row>
    <row r="385" ht="15.75" customHeight="1">
      <c r="F385" s="57"/>
      <c r="G385" s="57"/>
      <c r="H385" s="57"/>
    </row>
    <row r="386" ht="15.75" customHeight="1">
      <c r="F386" s="57"/>
      <c r="G386" s="57"/>
      <c r="H386" s="57"/>
    </row>
    <row r="387" ht="15.75" customHeight="1">
      <c r="F387" s="57"/>
      <c r="G387" s="57"/>
      <c r="H387" s="57"/>
    </row>
    <row r="388" ht="15.75" customHeight="1">
      <c r="F388" s="57"/>
      <c r="G388" s="57"/>
      <c r="H388" s="57"/>
    </row>
    <row r="389" ht="15.75" customHeight="1">
      <c r="F389" s="57"/>
      <c r="G389" s="57"/>
      <c r="H389" s="57"/>
    </row>
    <row r="390" ht="15.75" customHeight="1">
      <c r="F390" s="57"/>
      <c r="G390" s="57"/>
      <c r="H390" s="57"/>
    </row>
    <row r="391" ht="15.75" customHeight="1">
      <c r="F391" s="57"/>
      <c r="G391" s="57"/>
      <c r="H391" s="57"/>
    </row>
    <row r="392" ht="15.75" customHeight="1">
      <c r="F392" s="57"/>
      <c r="G392" s="57"/>
      <c r="H392" s="57"/>
    </row>
    <row r="393" ht="15.75" customHeight="1">
      <c r="F393" s="57"/>
      <c r="G393" s="57"/>
      <c r="H393" s="57"/>
    </row>
    <row r="394" ht="15.75" customHeight="1">
      <c r="F394" s="57"/>
      <c r="G394" s="57"/>
      <c r="H394" s="57"/>
    </row>
    <row r="395" ht="15.75" customHeight="1">
      <c r="F395" s="57"/>
      <c r="G395" s="57"/>
      <c r="H395" s="57"/>
    </row>
    <row r="396" ht="15.75" customHeight="1">
      <c r="F396" s="57"/>
      <c r="G396" s="57"/>
      <c r="H396" s="57"/>
    </row>
    <row r="397" ht="15.75" customHeight="1">
      <c r="F397" s="57"/>
      <c r="G397" s="57"/>
      <c r="H397" s="57"/>
    </row>
    <row r="398" ht="15.75" customHeight="1">
      <c r="F398" s="57"/>
      <c r="G398" s="57"/>
      <c r="H398" s="57"/>
    </row>
    <row r="399" ht="15.75" customHeight="1">
      <c r="F399" s="57"/>
      <c r="G399" s="57"/>
      <c r="H399" s="57"/>
    </row>
    <row r="400" ht="15.75" customHeight="1">
      <c r="F400" s="57"/>
      <c r="G400" s="57"/>
      <c r="H400" s="57"/>
    </row>
    <row r="401" ht="15.75" customHeight="1">
      <c r="F401" s="57"/>
      <c r="G401" s="57"/>
      <c r="H401" s="57"/>
    </row>
    <row r="402" ht="15.75" customHeight="1">
      <c r="F402" s="57"/>
      <c r="G402" s="57"/>
      <c r="H402" s="57"/>
    </row>
    <row r="403" ht="15.75" customHeight="1">
      <c r="F403" s="57"/>
      <c r="G403" s="57"/>
      <c r="H403" s="57"/>
    </row>
    <row r="404" ht="15.75" customHeight="1">
      <c r="F404" s="57"/>
      <c r="G404" s="57"/>
      <c r="H404" s="57"/>
    </row>
    <row r="405" ht="15.75" customHeight="1">
      <c r="F405" s="57"/>
      <c r="G405" s="57"/>
      <c r="H405" s="57"/>
    </row>
    <row r="406" ht="15.75" customHeight="1">
      <c r="F406" s="57"/>
      <c r="G406" s="57"/>
      <c r="H406" s="57"/>
    </row>
    <row r="407" ht="15.75" customHeight="1">
      <c r="F407" s="57"/>
      <c r="G407" s="57"/>
      <c r="H407" s="57"/>
    </row>
    <row r="408" ht="15.75" customHeight="1">
      <c r="F408" s="57"/>
      <c r="G408" s="57"/>
      <c r="H408" s="57"/>
    </row>
    <row r="409" ht="15.75" customHeight="1">
      <c r="F409" s="57"/>
      <c r="G409" s="57"/>
      <c r="H409" s="57"/>
    </row>
    <row r="410" ht="15.75" customHeight="1">
      <c r="F410" s="57"/>
      <c r="G410" s="57"/>
      <c r="H410" s="57"/>
    </row>
    <row r="411" ht="15.75" customHeight="1">
      <c r="F411" s="57"/>
      <c r="G411" s="57"/>
      <c r="H411" s="57"/>
    </row>
    <row r="412" ht="15.75" customHeight="1">
      <c r="F412" s="57"/>
      <c r="G412" s="57"/>
      <c r="H412" s="57"/>
    </row>
    <row r="413" ht="15.75" customHeight="1">
      <c r="F413" s="57"/>
      <c r="G413" s="57"/>
      <c r="H413" s="57"/>
    </row>
    <row r="414" ht="15.75" customHeight="1">
      <c r="F414" s="57"/>
      <c r="G414" s="57"/>
      <c r="H414" s="57"/>
    </row>
    <row r="415" ht="15.75" customHeight="1">
      <c r="F415" s="57"/>
      <c r="G415" s="57"/>
      <c r="H415" s="57"/>
    </row>
    <row r="416" ht="15.75" customHeight="1">
      <c r="F416" s="57"/>
      <c r="G416" s="57"/>
      <c r="H416" s="57"/>
    </row>
    <row r="417" ht="15.75" customHeight="1">
      <c r="F417" s="57"/>
      <c r="G417" s="57"/>
      <c r="H417" s="57"/>
    </row>
    <row r="418" ht="15.75" customHeight="1">
      <c r="F418" s="57"/>
      <c r="G418" s="57"/>
      <c r="H418" s="57"/>
    </row>
    <row r="419" ht="15.75" customHeight="1">
      <c r="F419" s="57"/>
      <c r="G419" s="57"/>
      <c r="H419" s="57"/>
    </row>
    <row r="420" ht="15.75" customHeight="1">
      <c r="F420" s="57"/>
      <c r="G420" s="57"/>
      <c r="H420" s="57"/>
    </row>
    <row r="421" ht="15.75" customHeight="1">
      <c r="F421" s="57"/>
      <c r="G421" s="57"/>
      <c r="H421" s="57"/>
    </row>
    <row r="422" ht="15.75" customHeight="1">
      <c r="F422" s="57"/>
      <c r="G422" s="57"/>
      <c r="H422" s="57"/>
    </row>
    <row r="423" ht="15.75" customHeight="1">
      <c r="F423" s="57"/>
      <c r="G423" s="57"/>
      <c r="H423" s="57"/>
    </row>
    <row r="424" ht="15.75" customHeight="1">
      <c r="F424" s="57"/>
      <c r="G424" s="57"/>
      <c r="H424" s="57"/>
    </row>
    <row r="425" ht="15.75" customHeight="1">
      <c r="F425" s="57"/>
      <c r="G425" s="57"/>
      <c r="H425" s="57"/>
    </row>
    <row r="426" ht="15.75" customHeight="1">
      <c r="F426" s="57"/>
      <c r="G426" s="57"/>
      <c r="H426" s="57"/>
    </row>
    <row r="427" ht="15.75" customHeight="1">
      <c r="F427" s="57"/>
      <c r="G427" s="57"/>
      <c r="H427" s="57"/>
    </row>
    <row r="428" ht="15.75" customHeight="1">
      <c r="F428" s="57"/>
      <c r="G428" s="57"/>
      <c r="H428" s="57"/>
    </row>
    <row r="429" ht="15.75" customHeight="1">
      <c r="F429" s="57"/>
      <c r="G429" s="57"/>
      <c r="H429" s="57"/>
    </row>
    <row r="430" ht="15.75" customHeight="1">
      <c r="F430" s="57"/>
      <c r="G430" s="57"/>
      <c r="H430" s="57"/>
    </row>
    <row r="431" ht="15.75" customHeight="1">
      <c r="F431" s="57"/>
      <c r="G431" s="57"/>
      <c r="H431" s="57"/>
    </row>
    <row r="432" ht="15.75" customHeight="1">
      <c r="F432" s="57"/>
      <c r="G432" s="57"/>
      <c r="H432" s="57"/>
    </row>
    <row r="433" ht="15.75" customHeight="1">
      <c r="F433" s="57"/>
      <c r="G433" s="57"/>
      <c r="H433" s="57"/>
    </row>
    <row r="434" ht="15.75" customHeight="1">
      <c r="F434" s="57"/>
      <c r="G434" s="57"/>
      <c r="H434" s="57"/>
    </row>
    <row r="435" ht="15.75" customHeight="1">
      <c r="F435" s="57"/>
      <c r="G435" s="57"/>
      <c r="H435" s="57"/>
    </row>
    <row r="436" ht="15.75" customHeight="1">
      <c r="F436" s="57"/>
      <c r="G436" s="57"/>
      <c r="H436" s="57"/>
    </row>
    <row r="437" ht="15.75" customHeight="1">
      <c r="F437" s="57"/>
      <c r="G437" s="57"/>
      <c r="H437" s="57"/>
    </row>
    <row r="438" ht="15.75" customHeight="1">
      <c r="F438" s="57"/>
      <c r="G438" s="57"/>
      <c r="H438" s="57"/>
    </row>
    <row r="439" ht="15.75" customHeight="1">
      <c r="F439" s="57"/>
      <c r="G439" s="57"/>
      <c r="H439" s="57"/>
    </row>
    <row r="440" ht="15.75" customHeight="1">
      <c r="F440" s="57"/>
      <c r="G440" s="57"/>
      <c r="H440" s="57"/>
    </row>
    <row r="441" ht="15.75" customHeight="1">
      <c r="F441" s="57"/>
      <c r="G441" s="57"/>
      <c r="H441" s="57"/>
    </row>
    <row r="442" ht="15.75" customHeight="1">
      <c r="F442" s="57"/>
      <c r="G442" s="57"/>
      <c r="H442" s="57"/>
    </row>
    <row r="443" ht="15.75" customHeight="1">
      <c r="F443" s="57"/>
      <c r="G443" s="57"/>
      <c r="H443" s="57"/>
    </row>
    <row r="444" ht="15.75" customHeight="1">
      <c r="F444" s="57"/>
      <c r="G444" s="57"/>
      <c r="H444" s="57"/>
    </row>
    <row r="445" ht="15.75" customHeight="1">
      <c r="F445" s="57"/>
      <c r="G445" s="57"/>
      <c r="H445" s="57"/>
    </row>
    <row r="446" ht="15.75" customHeight="1">
      <c r="F446" s="57"/>
      <c r="G446" s="57"/>
      <c r="H446" s="57"/>
    </row>
    <row r="447" ht="15.75" customHeight="1">
      <c r="F447" s="57"/>
      <c r="G447" s="57"/>
      <c r="H447" s="57"/>
    </row>
    <row r="448" ht="15.75" customHeight="1">
      <c r="F448" s="57"/>
      <c r="G448" s="57"/>
      <c r="H448" s="57"/>
    </row>
    <row r="449" ht="15.75" customHeight="1">
      <c r="F449" s="57"/>
      <c r="G449" s="57"/>
      <c r="H449" s="57"/>
    </row>
    <row r="450" ht="15.75" customHeight="1">
      <c r="F450" s="57"/>
      <c r="G450" s="57"/>
      <c r="H450" s="57"/>
    </row>
    <row r="451" ht="15.75" customHeight="1">
      <c r="F451" s="57"/>
      <c r="G451" s="57"/>
      <c r="H451" s="57"/>
    </row>
    <row r="452" ht="15.75" customHeight="1">
      <c r="F452" s="57"/>
      <c r="G452" s="57"/>
      <c r="H452" s="57"/>
    </row>
    <row r="453" ht="15.75" customHeight="1">
      <c r="F453" s="57"/>
      <c r="G453" s="57"/>
      <c r="H453" s="57"/>
    </row>
    <row r="454" ht="15.75" customHeight="1">
      <c r="F454" s="57"/>
      <c r="G454" s="57"/>
      <c r="H454" s="57"/>
    </row>
    <row r="455" ht="15.75" customHeight="1">
      <c r="F455" s="57"/>
      <c r="G455" s="57"/>
      <c r="H455" s="57"/>
    </row>
    <row r="456" ht="15.75" customHeight="1">
      <c r="F456" s="57"/>
      <c r="G456" s="57"/>
      <c r="H456" s="57"/>
    </row>
    <row r="457" ht="15.75" customHeight="1">
      <c r="F457" s="57"/>
      <c r="G457" s="57"/>
      <c r="H457" s="57"/>
    </row>
    <row r="458" ht="15.75" customHeight="1">
      <c r="F458" s="57"/>
      <c r="G458" s="57"/>
      <c r="H458" s="57"/>
    </row>
    <row r="459" ht="15.75" customHeight="1">
      <c r="F459" s="57"/>
      <c r="G459" s="57"/>
      <c r="H459" s="57"/>
    </row>
    <row r="460" ht="15.75" customHeight="1">
      <c r="F460" s="57"/>
      <c r="G460" s="57"/>
      <c r="H460" s="57"/>
    </row>
    <row r="461" ht="15.75" customHeight="1">
      <c r="F461" s="57"/>
      <c r="G461" s="57"/>
      <c r="H461" s="57"/>
    </row>
    <row r="462" ht="15.75" customHeight="1">
      <c r="F462" s="57"/>
      <c r="G462" s="57"/>
      <c r="H462" s="57"/>
    </row>
    <row r="463" ht="15.75" customHeight="1">
      <c r="F463" s="57"/>
      <c r="G463" s="57"/>
      <c r="H463" s="57"/>
    </row>
    <row r="464" ht="15.75" customHeight="1">
      <c r="F464" s="57"/>
      <c r="G464" s="57"/>
      <c r="H464" s="57"/>
    </row>
    <row r="465" ht="15.75" customHeight="1">
      <c r="F465" s="57"/>
      <c r="G465" s="57"/>
      <c r="H465" s="57"/>
    </row>
    <row r="466" ht="15.75" customHeight="1">
      <c r="F466" s="57"/>
      <c r="G466" s="57"/>
      <c r="H466" s="57"/>
    </row>
    <row r="467" ht="15.75" customHeight="1">
      <c r="F467" s="57"/>
      <c r="G467" s="57"/>
      <c r="H467" s="57"/>
    </row>
    <row r="468" ht="15.75" customHeight="1">
      <c r="F468" s="57"/>
      <c r="G468" s="57"/>
      <c r="H468" s="57"/>
    </row>
    <row r="469" ht="15.75" customHeight="1">
      <c r="F469" s="57"/>
      <c r="G469" s="57"/>
      <c r="H469" s="57"/>
    </row>
    <row r="470" ht="15.75" customHeight="1">
      <c r="F470" s="57"/>
      <c r="G470" s="57"/>
      <c r="H470" s="57"/>
    </row>
    <row r="471" ht="15.75" customHeight="1">
      <c r="F471" s="57"/>
      <c r="G471" s="57"/>
      <c r="H471" s="57"/>
    </row>
    <row r="472" ht="15.75" customHeight="1">
      <c r="F472" s="57"/>
      <c r="G472" s="57"/>
      <c r="H472" s="57"/>
    </row>
    <row r="473" ht="15.75" customHeight="1">
      <c r="F473" s="57"/>
      <c r="G473" s="57"/>
      <c r="H473" s="57"/>
    </row>
    <row r="474" ht="15.75" customHeight="1">
      <c r="F474" s="57"/>
      <c r="G474" s="57"/>
      <c r="H474" s="57"/>
    </row>
    <row r="475" ht="15.75" customHeight="1">
      <c r="F475" s="57"/>
      <c r="G475" s="57"/>
      <c r="H475" s="57"/>
    </row>
    <row r="476" ht="15.75" customHeight="1">
      <c r="F476" s="57"/>
      <c r="G476" s="57"/>
      <c r="H476" s="57"/>
    </row>
    <row r="477" ht="15.75" customHeight="1">
      <c r="F477" s="57"/>
      <c r="G477" s="57"/>
      <c r="H477" s="57"/>
    </row>
    <row r="478" ht="15.75" customHeight="1">
      <c r="F478" s="57"/>
      <c r="G478" s="57"/>
      <c r="H478" s="57"/>
    </row>
    <row r="479" ht="15.75" customHeight="1">
      <c r="F479" s="57"/>
      <c r="G479" s="57"/>
      <c r="H479" s="57"/>
    </row>
    <row r="480" ht="15.75" customHeight="1">
      <c r="F480" s="57"/>
      <c r="G480" s="57"/>
      <c r="H480" s="57"/>
    </row>
    <row r="481" ht="15.75" customHeight="1">
      <c r="F481" s="57"/>
      <c r="G481" s="57"/>
      <c r="H481" s="57"/>
    </row>
    <row r="482" ht="15.75" customHeight="1">
      <c r="F482" s="57"/>
      <c r="G482" s="57"/>
      <c r="H482" s="57"/>
    </row>
    <row r="483" ht="15.75" customHeight="1">
      <c r="F483" s="57"/>
      <c r="G483" s="57"/>
      <c r="H483" s="57"/>
    </row>
    <row r="484" ht="15.75" customHeight="1">
      <c r="F484" s="57"/>
      <c r="G484" s="57"/>
      <c r="H484" s="57"/>
    </row>
    <row r="485" ht="15.75" customHeight="1">
      <c r="F485" s="57"/>
      <c r="G485" s="57"/>
      <c r="H485" s="57"/>
    </row>
    <row r="486" ht="15.75" customHeight="1">
      <c r="F486" s="57"/>
      <c r="G486" s="57"/>
      <c r="H486" s="57"/>
    </row>
    <row r="487" ht="15.75" customHeight="1">
      <c r="F487" s="57"/>
      <c r="G487" s="57"/>
      <c r="H487" s="57"/>
    </row>
    <row r="488" ht="15.75" customHeight="1">
      <c r="F488" s="57"/>
      <c r="G488" s="57"/>
      <c r="H488" s="57"/>
    </row>
    <row r="489" ht="15.75" customHeight="1">
      <c r="F489" s="57"/>
      <c r="G489" s="57"/>
      <c r="H489" s="57"/>
    </row>
    <row r="490" ht="15.75" customHeight="1">
      <c r="F490" s="57"/>
      <c r="G490" s="57"/>
      <c r="H490" s="57"/>
    </row>
    <row r="491" ht="15.75" customHeight="1">
      <c r="F491" s="57"/>
      <c r="G491" s="57"/>
      <c r="H491" s="57"/>
    </row>
    <row r="492" ht="15.75" customHeight="1">
      <c r="F492" s="57"/>
      <c r="G492" s="57"/>
      <c r="H492" s="57"/>
    </row>
    <row r="493" ht="15.75" customHeight="1">
      <c r="F493" s="57"/>
      <c r="G493" s="57"/>
      <c r="H493" s="57"/>
    </row>
    <row r="494" ht="15.75" customHeight="1">
      <c r="F494" s="57"/>
      <c r="G494" s="57"/>
      <c r="H494" s="57"/>
    </row>
    <row r="495" ht="15.75" customHeight="1">
      <c r="F495" s="57"/>
      <c r="G495" s="57"/>
      <c r="H495" s="57"/>
    </row>
    <row r="496" ht="15.75" customHeight="1">
      <c r="F496" s="57"/>
      <c r="G496" s="57"/>
      <c r="H496" s="57"/>
    </row>
    <row r="497" ht="15.75" customHeight="1">
      <c r="F497" s="57"/>
      <c r="G497" s="57"/>
      <c r="H497" s="57"/>
    </row>
    <row r="498" ht="15.75" customHeight="1">
      <c r="F498" s="57"/>
      <c r="G498" s="57"/>
      <c r="H498" s="57"/>
    </row>
    <row r="499" ht="15.75" customHeight="1">
      <c r="F499" s="57"/>
      <c r="G499" s="57"/>
      <c r="H499" s="57"/>
    </row>
    <row r="500" ht="15.75" customHeight="1">
      <c r="F500" s="57"/>
      <c r="G500" s="57"/>
      <c r="H500" s="57"/>
    </row>
    <row r="501" ht="15.75" customHeight="1">
      <c r="F501" s="57"/>
      <c r="G501" s="57"/>
      <c r="H501" s="57"/>
    </row>
    <row r="502" ht="15.75" customHeight="1">
      <c r="F502" s="57"/>
      <c r="G502" s="57"/>
      <c r="H502" s="57"/>
    </row>
    <row r="503" ht="15.75" customHeight="1">
      <c r="F503" s="57"/>
      <c r="G503" s="57"/>
      <c r="H503" s="57"/>
    </row>
    <row r="504" ht="15.75" customHeight="1">
      <c r="F504" s="57"/>
      <c r="G504" s="57"/>
      <c r="H504" s="57"/>
    </row>
    <row r="505" ht="15.75" customHeight="1">
      <c r="F505" s="57"/>
      <c r="G505" s="57"/>
      <c r="H505" s="57"/>
    </row>
    <row r="506" ht="15.75" customHeight="1">
      <c r="F506" s="57"/>
      <c r="G506" s="57"/>
      <c r="H506" s="57"/>
    </row>
    <row r="507" ht="15.75" customHeight="1">
      <c r="F507" s="57"/>
      <c r="G507" s="57"/>
      <c r="H507" s="57"/>
    </row>
    <row r="508" ht="15.75" customHeight="1">
      <c r="F508" s="57"/>
      <c r="G508" s="57"/>
      <c r="H508" s="57"/>
    </row>
    <row r="509" ht="15.75" customHeight="1">
      <c r="F509" s="57"/>
      <c r="G509" s="57"/>
      <c r="H509" s="57"/>
    </row>
    <row r="510" ht="15.75" customHeight="1">
      <c r="F510" s="57"/>
      <c r="G510" s="57"/>
      <c r="H510" s="57"/>
    </row>
    <row r="511" ht="15.75" customHeight="1">
      <c r="F511" s="57"/>
      <c r="G511" s="57"/>
      <c r="H511" s="57"/>
    </row>
    <row r="512" ht="15.75" customHeight="1">
      <c r="F512" s="57"/>
      <c r="G512" s="57"/>
      <c r="H512" s="57"/>
    </row>
    <row r="513" ht="15.75" customHeight="1">
      <c r="F513" s="57"/>
      <c r="G513" s="57"/>
      <c r="H513" s="57"/>
    </row>
    <row r="514" ht="15.75" customHeight="1">
      <c r="F514" s="57"/>
      <c r="G514" s="57"/>
      <c r="H514" s="57"/>
    </row>
    <row r="515" ht="15.75" customHeight="1">
      <c r="F515" s="57"/>
      <c r="G515" s="57"/>
      <c r="H515" s="57"/>
    </row>
    <row r="516" ht="15.75" customHeight="1">
      <c r="F516" s="57"/>
      <c r="G516" s="57"/>
      <c r="H516" s="57"/>
    </row>
    <row r="517" ht="15.75" customHeight="1">
      <c r="F517" s="57"/>
      <c r="G517" s="57"/>
      <c r="H517" s="57"/>
    </row>
    <row r="518" ht="15.75" customHeight="1">
      <c r="F518" s="57"/>
      <c r="G518" s="57"/>
      <c r="H518" s="57"/>
    </row>
    <row r="519" ht="15.75" customHeight="1">
      <c r="F519" s="57"/>
      <c r="G519" s="57"/>
      <c r="H519" s="57"/>
    </row>
    <row r="520" ht="15.75" customHeight="1">
      <c r="F520" s="57"/>
      <c r="G520" s="57"/>
      <c r="H520" s="57"/>
    </row>
    <row r="521" ht="15.75" customHeight="1">
      <c r="F521" s="57"/>
      <c r="G521" s="57"/>
      <c r="H521" s="57"/>
    </row>
    <row r="522" ht="15.75" customHeight="1">
      <c r="F522" s="57"/>
      <c r="G522" s="57"/>
      <c r="H522" s="57"/>
    </row>
    <row r="523" ht="15.75" customHeight="1">
      <c r="F523" s="57"/>
      <c r="G523" s="57"/>
      <c r="H523" s="57"/>
    </row>
    <row r="524" ht="15.75" customHeight="1">
      <c r="F524" s="57"/>
      <c r="G524" s="57"/>
      <c r="H524" s="57"/>
    </row>
    <row r="525" ht="15.75" customHeight="1">
      <c r="F525" s="57"/>
      <c r="G525" s="57"/>
      <c r="H525" s="57"/>
    </row>
    <row r="526" ht="15.75" customHeight="1">
      <c r="F526" s="57"/>
      <c r="G526" s="57"/>
      <c r="H526" s="57"/>
    </row>
    <row r="527" ht="15.75" customHeight="1">
      <c r="F527" s="57"/>
      <c r="G527" s="57"/>
      <c r="H527" s="57"/>
    </row>
    <row r="528" ht="15.75" customHeight="1">
      <c r="F528" s="57"/>
      <c r="G528" s="57"/>
      <c r="H528" s="57"/>
    </row>
    <row r="529" ht="15.75" customHeight="1">
      <c r="F529" s="57"/>
      <c r="G529" s="57"/>
      <c r="H529" s="57"/>
    </row>
    <row r="530" ht="15.75" customHeight="1">
      <c r="F530" s="57"/>
      <c r="G530" s="57"/>
      <c r="H530" s="57"/>
    </row>
    <row r="531" ht="15.75" customHeight="1">
      <c r="F531" s="57"/>
      <c r="G531" s="57"/>
      <c r="H531" s="57"/>
    </row>
    <row r="532" ht="15.75" customHeight="1">
      <c r="F532" s="57"/>
      <c r="G532" s="57"/>
      <c r="H532" s="57"/>
    </row>
    <row r="533" ht="15.75" customHeight="1">
      <c r="F533" s="57"/>
      <c r="G533" s="57"/>
      <c r="H533" s="57"/>
    </row>
    <row r="534" ht="15.75" customHeight="1">
      <c r="F534" s="57"/>
      <c r="G534" s="57"/>
      <c r="H534" s="57"/>
    </row>
    <row r="535" ht="15.75" customHeight="1">
      <c r="F535" s="57"/>
      <c r="G535" s="57"/>
      <c r="H535" s="57"/>
    </row>
    <row r="536" ht="15.75" customHeight="1">
      <c r="F536" s="57"/>
      <c r="G536" s="57"/>
      <c r="H536" s="57"/>
    </row>
    <row r="537" ht="15.75" customHeight="1">
      <c r="F537" s="57"/>
      <c r="G537" s="57"/>
      <c r="H537" s="57"/>
    </row>
    <row r="538" ht="15.75" customHeight="1">
      <c r="F538" s="57"/>
      <c r="G538" s="57"/>
      <c r="H538" s="57"/>
    </row>
    <row r="539" ht="15.75" customHeight="1">
      <c r="F539" s="57"/>
      <c r="G539" s="57"/>
      <c r="H539" s="57"/>
    </row>
    <row r="540" ht="15.75" customHeight="1">
      <c r="F540" s="57"/>
      <c r="G540" s="57"/>
      <c r="H540" s="57"/>
    </row>
    <row r="541" ht="15.75" customHeight="1">
      <c r="F541" s="57"/>
      <c r="G541" s="57"/>
      <c r="H541" s="57"/>
    </row>
    <row r="542" ht="15.75" customHeight="1">
      <c r="F542" s="57"/>
      <c r="G542" s="57"/>
      <c r="H542" s="57"/>
    </row>
    <row r="543" ht="15.75" customHeight="1">
      <c r="F543" s="57"/>
      <c r="G543" s="57"/>
      <c r="H543" s="57"/>
    </row>
    <row r="544" ht="15.75" customHeight="1">
      <c r="F544" s="57"/>
      <c r="G544" s="57"/>
      <c r="H544" s="57"/>
    </row>
    <row r="545" ht="15.75" customHeight="1">
      <c r="F545" s="57"/>
      <c r="G545" s="57"/>
      <c r="H545" s="57"/>
    </row>
    <row r="546" ht="15.75" customHeight="1">
      <c r="F546" s="57"/>
      <c r="G546" s="57"/>
      <c r="H546" s="57"/>
    </row>
    <row r="547" ht="15.75" customHeight="1">
      <c r="F547" s="57"/>
      <c r="G547" s="57"/>
      <c r="H547" s="57"/>
    </row>
    <row r="548" ht="15.75" customHeight="1">
      <c r="F548" s="57"/>
      <c r="G548" s="57"/>
      <c r="H548" s="57"/>
    </row>
    <row r="549" ht="15.75" customHeight="1">
      <c r="F549" s="57"/>
      <c r="G549" s="57"/>
      <c r="H549" s="57"/>
    </row>
    <row r="550" ht="15.75" customHeight="1">
      <c r="F550" s="57"/>
      <c r="G550" s="57"/>
      <c r="H550" s="57"/>
    </row>
    <row r="551" ht="15.75" customHeight="1">
      <c r="F551" s="57"/>
      <c r="G551" s="57"/>
      <c r="H551" s="57"/>
    </row>
    <row r="552" ht="15.75" customHeight="1">
      <c r="F552" s="57"/>
      <c r="G552" s="57"/>
      <c r="H552" s="57"/>
    </row>
    <row r="553" ht="15.75" customHeight="1">
      <c r="F553" s="57"/>
      <c r="G553" s="57"/>
      <c r="H553" s="57"/>
    </row>
    <row r="554" ht="15.75" customHeight="1">
      <c r="F554" s="57"/>
      <c r="G554" s="57"/>
      <c r="H554" s="57"/>
    </row>
    <row r="555" ht="15.75" customHeight="1">
      <c r="F555" s="57"/>
      <c r="G555" s="57"/>
      <c r="H555" s="57"/>
    </row>
    <row r="556" ht="15.75" customHeight="1">
      <c r="F556" s="57"/>
      <c r="G556" s="57"/>
      <c r="H556" s="57"/>
    </row>
    <row r="557" ht="15.75" customHeight="1">
      <c r="F557" s="57"/>
      <c r="G557" s="57"/>
      <c r="H557" s="57"/>
    </row>
    <row r="558" ht="15.75" customHeight="1">
      <c r="F558" s="57"/>
      <c r="G558" s="57"/>
      <c r="H558" s="57"/>
    </row>
    <row r="559" ht="15.75" customHeight="1">
      <c r="F559" s="57"/>
      <c r="G559" s="57"/>
      <c r="H559" s="57"/>
    </row>
    <row r="560" ht="15.75" customHeight="1">
      <c r="F560" s="57"/>
      <c r="G560" s="57"/>
      <c r="H560" s="57"/>
    </row>
    <row r="561" ht="15.75" customHeight="1">
      <c r="F561" s="57"/>
      <c r="G561" s="57"/>
      <c r="H561" s="57"/>
    </row>
    <row r="562" ht="15.75" customHeight="1">
      <c r="F562" s="57"/>
      <c r="G562" s="57"/>
      <c r="H562" s="57"/>
    </row>
    <row r="563" ht="15.75" customHeight="1">
      <c r="F563" s="57"/>
      <c r="G563" s="57"/>
      <c r="H563" s="57"/>
    </row>
    <row r="564" ht="15.75" customHeight="1">
      <c r="F564" s="57"/>
      <c r="G564" s="57"/>
      <c r="H564" s="57"/>
    </row>
    <row r="565" ht="15.75" customHeight="1">
      <c r="F565" s="57"/>
      <c r="G565" s="57"/>
      <c r="H565" s="57"/>
    </row>
    <row r="566" ht="15.75" customHeight="1">
      <c r="F566" s="57"/>
      <c r="G566" s="57"/>
      <c r="H566" s="57"/>
    </row>
    <row r="567" ht="15.75" customHeight="1">
      <c r="F567" s="57"/>
      <c r="G567" s="57"/>
      <c r="H567" s="57"/>
    </row>
    <row r="568" ht="15.75" customHeight="1">
      <c r="F568" s="57"/>
      <c r="G568" s="57"/>
      <c r="H568" s="57"/>
    </row>
    <row r="569" ht="15.75" customHeight="1">
      <c r="F569" s="57"/>
      <c r="G569" s="57"/>
      <c r="H569" s="57"/>
    </row>
    <row r="570" ht="15.75" customHeight="1">
      <c r="F570" s="57"/>
      <c r="G570" s="57"/>
      <c r="H570" s="57"/>
    </row>
    <row r="571" ht="15.75" customHeight="1">
      <c r="F571" s="57"/>
      <c r="G571" s="57"/>
      <c r="H571" s="57"/>
    </row>
    <row r="572" ht="15.75" customHeight="1">
      <c r="F572" s="57"/>
      <c r="G572" s="57"/>
      <c r="H572" s="57"/>
    </row>
    <row r="573" ht="15.75" customHeight="1">
      <c r="F573" s="57"/>
      <c r="G573" s="57"/>
      <c r="H573" s="57"/>
    </row>
    <row r="574" ht="15.75" customHeight="1">
      <c r="F574" s="57"/>
      <c r="G574" s="57"/>
      <c r="H574" s="57"/>
    </row>
    <row r="575" ht="15.75" customHeight="1">
      <c r="F575" s="57"/>
      <c r="G575" s="57"/>
      <c r="H575" s="57"/>
    </row>
    <row r="576" ht="15.75" customHeight="1">
      <c r="F576" s="57"/>
      <c r="G576" s="57"/>
      <c r="H576" s="57"/>
    </row>
    <row r="577" ht="15.75" customHeight="1">
      <c r="F577" s="57"/>
      <c r="G577" s="57"/>
      <c r="H577" s="57"/>
    </row>
    <row r="578" ht="15.75" customHeight="1">
      <c r="F578" s="57"/>
      <c r="G578" s="57"/>
      <c r="H578" s="57"/>
    </row>
    <row r="579" ht="15.75" customHeight="1">
      <c r="F579" s="57"/>
      <c r="G579" s="57"/>
      <c r="H579" s="57"/>
    </row>
    <row r="580" ht="15.75" customHeight="1">
      <c r="F580" s="57"/>
      <c r="G580" s="57"/>
      <c r="H580" s="57"/>
    </row>
    <row r="581" ht="15.75" customHeight="1">
      <c r="F581" s="57"/>
      <c r="G581" s="57"/>
      <c r="H581" s="57"/>
    </row>
    <row r="582" ht="15.75" customHeight="1">
      <c r="F582" s="57"/>
      <c r="G582" s="57"/>
      <c r="H582" s="57"/>
    </row>
    <row r="583" ht="15.75" customHeight="1">
      <c r="F583" s="57"/>
      <c r="G583" s="57"/>
      <c r="H583" s="57"/>
    </row>
    <row r="584" ht="15.75" customHeight="1">
      <c r="F584" s="57"/>
      <c r="G584" s="57"/>
      <c r="H584" s="57"/>
    </row>
    <row r="585" ht="15.75" customHeight="1">
      <c r="F585" s="57"/>
      <c r="G585" s="57"/>
      <c r="H585" s="57"/>
    </row>
    <row r="586" ht="15.75" customHeight="1">
      <c r="F586" s="57"/>
      <c r="G586" s="57"/>
      <c r="H586" s="57"/>
    </row>
    <row r="587" ht="15.75" customHeight="1">
      <c r="F587" s="57"/>
      <c r="G587" s="57"/>
      <c r="H587" s="57"/>
    </row>
    <row r="588" ht="15.75" customHeight="1">
      <c r="F588" s="57"/>
      <c r="G588" s="57"/>
      <c r="H588" s="57"/>
    </row>
    <row r="589" ht="15.75" customHeight="1">
      <c r="F589" s="57"/>
      <c r="G589" s="57"/>
      <c r="H589" s="57"/>
    </row>
    <row r="590" ht="15.75" customHeight="1">
      <c r="F590" s="57"/>
      <c r="G590" s="57"/>
      <c r="H590" s="57"/>
    </row>
    <row r="591" ht="15.75" customHeight="1">
      <c r="F591" s="57"/>
      <c r="G591" s="57"/>
      <c r="H591" s="57"/>
    </row>
    <row r="592" ht="15.75" customHeight="1">
      <c r="F592" s="57"/>
      <c r="G592" s="57"/>
      <c r="H592" s="57"/>
    </row>
    <row r="593" ht="15.75" customHeight="1">
      <c r="F593" s="57"/>
      <c r="G593" s="57"/>
      <c r="H593" s="57"/>
    </row>
    <row r="594" ht="15.75" customHeight="1">
      <c r="F594" s="57"/>
      <c r="G594" s="57"/>
      <c r="H594" s="57"/>
    </row>
    <row r="595" ht="15.75" customHeight="1">
      <c r="F595" s="57"/>
      <c r="G595" s="57"/>
      <c r="H595" s="57"/>
    </row>
    <row r="596" ht="15.75" customHeight="1">
      <c r="F596" s="57"/>
      <c r="G596" s="57"/>
      <c r="H596" s="57"/>
    </row>
    <row r="597" ht="15.75" customHeight="1">
      <c r="F597" s="57"/>
      <c r="G597" s="57"/>
      <c r="H597" s="57"/>
    </row>
    <row r="598" ht="15.75" customHeight="1">
      <c r="F598" s="57"/>
      <c r="G598" s="57"/>
      <c r="H598" s="57"/>
    </row>
    <row r="599" ht="15.75" customHeight="1">
      <c r="F599" s="57"/>
      <c r="G599" s="57"/>
      <c r="H599" s="57"/>
    </row>
    <row r="600" ht="15.75" customHeight="1">
      <c r="F600" s="57"/>
      <c r="G600" s="57"/>
      <c r="H600" s="57"/>
    </row>
    <row r="601" ht="15.75" customHeight="1">
      <c r="F601" s="57"/>
      <c r="G601" s="57"/>
      <c r="H601" s="57"/>
    </row>
    <row r="602" ht="15.75" customHeight="1">
      <c r="F602" s="57"/>
      <c r="G602" s="57"/>
      <c r="H602" s="57"/>
    </row>
    <row r="603" ht="15.75" customHeight="1">
      <c r="F603" s="57"/>
      <c r="G603" s="57"/>
      <c r="H603" s="57"/>
    </row>
    <row r="604" ht="15.75" customHeight="1">
      <c r="F604" s="57"/>
      <c r="G604" s="57"/>
      <c r="H604" s="57"/>
    </row>
    <row r="605" ht="15.75" customHeight="1">
      <c r="F605" s="57"/>
      <c r="G605" s="57"/>
      <c r="H605" s="57"/>
    </row>
    <row r="606" ht="15.75" customHeight="1">
      <c r="F606" s="57"/>
      <c r="G606" s="57"/>
      <c r="H606" s="57"/>
    </row>
    <row r="607" ht="15.75" customHeight="1">
      <c r="F607" s="57"/>
      <c r="G607" s="57"/>
      <c r="H607" s="57"/>
    </row>
    <row r="608" ht="15.75" customHeight="1">
      <c r="F608" s="57"/>
      <c r="G608" s="57"/>
      <c r="H608" s="57"/>
    </row>
    <row r="609" ht="15.75" customHeight="1">
      <c r="F609" s="57"/>
      <c r="G609" s="57"/>
      <c r="H609" s="57"/>
    </row>
    <row r="610" ht="15.75" customHeight="1">
      <c r="F610" s="57"/>
      <c r="G610" s="57"/>
      <c r="H610" s="57"/>
    </row>
    <row r="611" ht="15.75" customHeight="1">
      <c r="F611" s="57"/>
      <c r="G611" s="57"/>
      <c r="H611" s="57"/>
    </row>
    <row r="612" ht="15.75" customHeight="1">
      <c r="F612" s="57"/>
      <c r="G612" s="57"/>
      <c r="H612" s="57"/>
    </row>
    <row r="613" ht="15.75" customHeight="1">
      <c r="F613" s="57"/>
      <c r="G613" s="57"/>
      <c r="H613" s="57"/>
    </row>
    <row r="614" ht="15.75" customHeight="1">
      <c r="F614" s="57"/>
      <c r="G614" s="57"/>
      <c r="H614" s="57"/>
    </row>
    <row r="615" ht="15.75" customHeight="1">
      <c r="F615" s="57"/>
      <c r="G615" s="57"/>
      <c r="H615" s="57"/>
    </row>
    <row r="616" ht="15.75" customHeight="1">
      <c r="F616" s="57"/>
      <c r="G616" s="57"/>
      <c r="H616" s="57"/>
    </row>
    <row r="617" ht="15.75" customHeight="1">
      <c r="F617" s="57"/>
      <c r="G617" s="57"/>
      <c r="H617" s="57"/>
    </row>
    <row r="618" ht="15.75" customHeight="1">
      <c r="F618" s="57"/>
      <c r="G618" s="57"/>
      <c r="H618" s="57"/>
    </row>
    <row r="619" ht="15.75" customHeight="1">
      <c r="F619" s="57"/>
      <c r="G619" s="57"/>
      <c r="H619" s="57"/>
    </row>
    <row r="620" ht="15.75" customHeight="1">
      <c r="F620" s="57"/>
      <c r="G620" s="57"/>
      <c r="H620" s="57"/>
    </row>
    <row r="621" ht="15.75" customHeight="1">
      <c r="F621" s="57"/>
      <c r="G621" s="57"/>
      <c r="H621" s="57"/>
    </row>
    <row r="622" ht="15.75" customHeight="1">
      <c r="F622" s="57"/>
      <c r="G622" s="57"/>
      <c r="H622" s="57"/>
    </row>
    <row r="623" ht="15.75" customHeight="1">
      <c r="F623" s="57"/>
      <c r="G623" s="57"/>
      <c r="H623" s="57"/>
    </row>
    <row r="624" ht="15.75" customHeight="1">
      <c r="F624" s="57"/>
      <c r="G624" s="57"/>
      <c r="H624" s="57"/>
    </row>
    <row r="625" ht="15.75" customHeight="1">
      <c r="F625" s="57"/>
      <c r="G625" s="57"/>
      <c r="H625" s="57"/>
    </row>
    <row r="626" ht="15.75" customHeight="1">
      <c r="F626" s="57"/>
      <c r="G626" s="57"/>
      <c r="H626" s="57"/>
    </row>
    <row r="627" ht="15.75" customHeight="1">
      <c r="F627" s="57"/>
      <c r="G627" s="57"/>
      <c r="H627" s="57"/>
    </row>
    <row r="628" ht="15.75" customHeight="1">
      <c r="F628" s="57"/>
      <c r="G628" s="57"/>
      <c r="H628" s="57"/>
    </row>
    <row r="629" ht="15.75" customHeight="1">
      <c r="F629" s="57"/>
      <c r="G629" s="57"/>
      <c r="H629" s="57"/>
    </row>
    <row r="630" ht="15.75" customHeight="1">
      <c r="F630" s="57"/>
      <c r="G630" s="57"/>
      <c r="H630" s="57"/>
    </row>
    <row r="631" ht="15.75" customHeight="1">
      <c r="F631" s="57"/>
      <c r="G631" s="57"/>
      <c r="H631" s="57"/>
    </row>
    <row r="632" ht="15.75" customHeight="1">
      <c r="F632" s="57"/>
      <c r="G632" s="57"/>
      <c r="H632" s="57"/>
    </row>
    <row r="633" ht="15.75" customHeight="1">
      <c r="F633" s="57"/>
      <c r="G633" s="57"/>
      <c r="H633" s="57"/>
    </row>
    <row r="634" ht="15.75" customHeight="1">
      <c r="F634" s="57"/>
      <c r="G634" s="57"/>
      <c r="H634" s="57"/>
    </row>
    <row r="635" ht="15.75" customHeight="1">
      <c r="F635" s="57"/>
      <c r="G635" s="57"/>
      <c r="H635" s="57"/>
    </row>
    <row r="636" ht="15.75" customHeight="1">
      <c r="F636" s="57"/>
      <c r="G636" s="57"/>
      <c r="H636" s="57"/>
    </row>
    <row r="637" ht="15.75" customHeight="1">
      <c r="F637" s="57"/>
      <c r="G637" s="57"/>
      <c r="H637" s="57"/>
    </row>
    <row r="638" ht="15.75" customHeight="1">
      <c r="F638" s="57"/>
      <c r="G638" s="57"/>
      <c r="H638" s="57"/>
    </row>
    <row r="639" ht="15.75" customHeight="1">
      <c r="F639" s="57"/>
      <c r="G639" s="57"/>
      <c r="H639" s="57"/>
    </row>
    <row r="640" ht="15.75" customHeight="1">
      <c r="F640" s="57"/>
      <c r="G640" s="57"/>
      <c r="H640" s="57"/>
    </row>
    <row r="641" ht="15.75" customHeight="1">
      <c r="F641" s="57"/>
      <c r="G641" s="57"/>
      <c r="H641" s="57"/>
    </row>
    <row r="642" ht="15.75" customHeight="1">
      <c r="F642" s="57"/>
      <c r="G642" s="57"/>
      <c r="H642" s="57"/>
    </row>
    <row r="643" ht="15.75" customHeight="1">
      <c r="F643" s="57"/>
      <c r="G643" s="57"/>
      <c r="H643" s="57"/>
    </row>
    <row r="644" ht="15.75" customHeight="1">
      <c r="F644" s="57"/>
      <c r="G644" s="57"/>
      <c r="H644" s="57"/>
    </row>
    <row r="645" ht="15.75" customHeight="1">
      <c r="F645" s="57"/>
      <c r="G645" s="57"/>
      <c r="H645" s="57"/>
    </row>
    <row r="646" ht="15.75" customHeight="1">
      <c r="F646" s="57"/>
      <c r="G646" s="57"/>
      <c r="H646" s="57"/>
    </row>
    <row r="647" ht="15.75" customHeight="1">
      <c r="F647" s="57"/>
      <c r="G647" s="57"/>
      <c r="H647" s="57"/>
    </row>
    <row r="648" ht="15.75" customHeight="1">
      <c r="F648" s="57"/>
      <c r="G648" s="57"/>
      <c r="H648" s="57"/>
    </row>
    <row r="649" ht="15.75" customHeight="1">
      <c r="F649" s="57"/>
      <c r="G649" s="57"/>
      <c r="H649" s="57"/>
    </row>
    <row r="650" ht="15.75" customHeight="1">
      <c r="F650" s="57"/>
      <c r="G650" s="57"/>
      <c r="H650" s="57"/>
    </row>
    <row r="651" ht="15.75" customHeight="1">
      <c r="F651" s="57"/>
      <c r="G651" s="57"/>
      <c r="H651" s="57"/>
    </row>
    <row r="652" ht="15.75" customHeight="1">
      <c r="F652" s="57"/>
      <c r="G652" s="57"/>
      <c r="H652" s="57"/>
    </row>
    <row r="653" ht="15.75" customHeight="1">
      <c r="F653" s="57"/>
      <c r="G653" s="57"/>
      <c r="H653" s="57"/>
    </row>
    <row r="654" ht="15.75" customHeight="1">
      <c r="F654" s="57"/>
      <c r="G654" s="57"/>
      <c r="H654" s="57"/>
    </row>
    <row r="655" ht="15.75" customHeight="1">
      <c r="F655" s="57"/>
      <c r="G655" s="57"/>
      <c r="H655" s="57"/>
    </row>
    <row r="656" ht="15.75" customHeight="1">
      <c r="F656" s="57"/>
      <c r="G656" s="57"/>
      <c r="H656" s="57"/>
    </row>
    <row r="657" ht="15.75" customHeight="1">
      <c r="F657" s="57"/>
      <c r="G657" s="57"/>
      <c r="H657" s="57"/>
    </row>
    <row r="658" ht="15.75" customHeight="1">
      <c r="F658" s="57"/>
      <c r="G658" s="57"/>
      <c r="H658" s="57"/>
    </row>
    <row r="659" ht="15.75" customHeight="1">
      <c r="F659" s="57"/>
      <c r="G659" s="57"/>
      <c r="H659" s="57"/>
    </row>
    <row r="660" ht="15.75" customHeight="1">
      <c r="F660" s="57"/>
      <c r="G660" s="57"/>
      <c r="H660" s="57"/>
    </row>
    <row r="661" ht="15.75" customHeight="1">
      <c r="F661" s="57"/>
      <c r="G661" s="57"/>
      <c r="H661" s="57"/>
    </row>
    <row r="662" ht="15.75" customHeight="1">
      <c r="F662" s="57"/>
      <c r="G662" s="57"/>
      <c r="H662" s="57"/>
    </row>
    <row r="663" ht="15.75" customHeight="1">
      <c r="F663" s="57"/>
      <c r="G663" s="57"/>
      <c r="H663" s="57"/>
    </row>
    <row r="664" ht="15.75" customHeight="1">
      <c r="F664" s="57"/>
      <c r="G664" s="57"/>
      <c r="H664" s="57"/>
    </row>
    <row r="665" ht="15.75" customHeight="1">
      <c r="F665" s="57"/>
      <c r="G665" s="57"/>
      <c r="H665" s="57"/>
    </row>
    <row r="666" ht="15.75" customHeight="1">
      <c r="F666" s="57"/>
      <c r="G666" s="57"/>
      <c r="H666" s="57"/>
    </row>
    <row r="667" ht="15.75" customHeight="1">
      <c r="F667" s="57"/>
      <c r="G667" s="57"/>
      <c r="H667" s="57"/>
    </row>
    <row r="668" ht="15.75" customHeight="1">
      <c r="F668" s="57"/>
      <c r="G668" s="57"/>
      <c r="H668" s="57"/>
    </row>
    <row r="669" ht="15.75" customHeight="1">
      <c r="F669" s="57"/>
      <c r="G669" s="57"/>
      <c r="H669" s="57"/>
    </row>
    <row r="670" ht="15.75" customHeight="1">
      <c r="F670" s="57"/>
      <c r="G670" s="57"/>
      <c r="H670" s="57"/>
    </row>
    <row r="671" ht="15.75" customHeight="1">
      <c r="F671" s="57"/>
      <c r="G671" s="57"/>
      <c r="H671" s="57"/>
    </row>
    <row r="672" ht="15.75" customHeight="1">
      <c r="F672" s="57"/>
      <c r="G672" s="57"/>
      <c r="H672" s="57"/>
    </row>
    <row r="673" ht="15.75" customHeight="1">
      <c r="F673" s="57"/>
      <c r="G673" s="57"/>
      <c r="H673" s="57"/>
    </row>
    <row r="674" ht="15.75" customHeight="1">
      <c r="F674" s="57"/>
      <c r="G674" s="57"/>
      <c r="H674" s="57"/>
    </row>
    <row r="675" ht="15.75" customHeight="1">
      <c r="F675" s="57"/>
      <c r="G675" s="57"/>
      <c r="H675" s="57"/>
    </row>
    <row r="676" ht="15.75" customHeight="1">
      <c r="F676" s="57"/>
      <c r="G676" s="57"/>
      <c r="H676" s="57"/>
    </row>
    <row r="677" ht="15.75" customHeight="1">
      <c r="F677" s="57"/>
      <c r="G677" s="57"/>
      <c r="H677" s="57"/>
    </row>
    <row r="678" ht="15.75" customHeight="1">
      <c r="F678" s="57"/>
      <c r="G678" s="57"/>
      <c r="H678" s="57"/>
    </row>
    <row r="679" ht="15.75" customHeight="1">
      <c r="F679" s="57"/>
      <c r="G679" s="57"/>
      <c r="H679" s="57"/>
    </row>
    <row r="680" ht="15.75" customHeight="1">
      <c r="F680" s="57"/>
      <c r="G680" s="57"/>
      <c r="H680" s="57"/>
    </row>
    <row r="681" ht="15.75" customHeight="1">
      <c r="F681" s="57"/>
      <c r="G681" s="57"/>
      <c r="H681" s="57"/>
    </row>
    <row r="682" ht="15.75" customHeight="1">
      <c r="F682" s="57"/>
      <c r="G682" s="57"/>
      <c r="H682" s="57"/>
    </row>
    <row r="683" ht="15.75" customHeight="1">
      <c r="F683" s="57"/>
      <c r="G683" s="57"/>
      <c r="H683" s="57"/>
    </row>
    <row r="684" ht="15.75" customHeight="1">
      <c r="F684" s="57"/>
      <c r="G684" s="57"/>
      <c r="H684" s="57"/>
    </row>
    <row r="685" ht="15.75" customHeight="1">
      <c r="F685" s="57"/>
      <c r="G685" s="57"/>
      <c r="H685" s="57"/>
    </row>
    <row r="686" ht="15.75" customHeight="1">
      <c r="F686" s="57"/>
      <c r="G686" s="57"/>
      <c r="H686" s="57"/>
    </row>
    <row r="687" ht="15.75" customHeight="1">
      <c r="F687" s="57"/>
      <c r="G687" s="57"/>
      <c r="H687" s="57"/>
    </row>
    <row r="688" ht="15.75" customHeight="1">
      <c r="F688" s="57"/>
      <c r="G688" s="57"/>
      <c r="H688" s="57"/>
    </row>
    <row r="689" ht="15.75" customHeight="1">
      <c r="F689" s="57"/>
      <c r="G689" s="57"/>
      <c r="H689" s="57"/>
    </row>
    <row r="690" ht="15.75" customHeight="1">
      <c r="F690" s="57"/>
      <c r="G690" s="57"/>
      <c r="H690" s="57"/>
    </row>
    <row r="691" ht="15.75" customHeight="1">
      <c r="F691" s="57"/>
      <c r="G691" s="57"/>
      <c r="H691" s="57"/>
    </row>
    <row r="692" ht="15.75" customHeight="1">
      <c r="F692" s="57"/>
      <c r="G692" s="57"/>
      <c r="H692" s="57"/>
    </row>
    <row r="693" ht="15.75" customHeight="1">
      <c r="F693" s="57"/>
      <c r="G693" s="57"/>
      <c r="H693" s="57"/>
    </row>
    <row r="694" ht="15.75" customHeight="1">
      <c r="F694" s="57"/>
      <c r="G694" s="57"/>
      <c r="H694" s="57"/>
    </row>
    <row r="695" ht="15.75" customHeight="1">
      <c r="F695" s="57"/>
      <c r="G695" s="57"/>
      <c r="H695" s="57"/>
    </row>
    <row r="696" ht="15.75" customHeight="1">
      <c r="F696" s="57"/>
      <c r="G696" s="57"/>
      <c r="H696" s="57"/>
    </row>
    <row r="697" ht="15.75" customHeight="1">
      <c r="F697" s="57"/>
      <c r="G697" s="57"/>
      <c r="H697" s="57"/>
    </row>
    <row r="698" ht="15.75" customHeight="1">
      <c r="F698" s="57"/>
      <c r="G698" s="57"/>
      <c r="H698" s="57"/>
    </row>
    <row r="699" ht="15.75" customHeight="1">
      <c r="F699" s="57"/>
      <c r="G699" s="57"/>
      <c r="H699" s="57"/>
    </row>
    <row r="700" ht="15.75" customHeight="1">
      <c r="F700" s="57"/>
      <c r="G700" s="57"/>
      <c r="H700" s="57"/>
    </row>
    <row r="701" ht="15.75" customHeight="1">
      <c r="F701" s="57"/>
      <c r="G701" s="57"/>
      <c r="H701" s="57"/>
    </row>
    <row r="702" ht="15.75" customHeight="1">
      <c r="F702" s="57"/>
      <c r="G702" s="57"/>
      <c r="H702" s="57"/>
    </row>
    <row r="703" ht="15.75" customHeight="1">
      <c r="F703" s="57"/>
      <c r="G703" s="57"/>
      <c r="H703" s="57"/>
    </row>
    <row r="704" ht="15.75" customHeight="1">
      <c r="F704" s="57"/>
      <c r="G704" s="57"/>
      <c r="H704" s="57"/>
    </row>
    <row r="705" ht="15.75" customHeight="1">
      <c r="F705" s="57"/>
      <c r="G705" s="57"/>
      <c r="H705" s="57"/>
    </row>
    <row r="706" ht="15.75" customHeight="1">
      <c r="F706" s="57"/>
      <c r="G706" s="57"/>
      <c r="H706" s="57"/>
    </row>
    <row r="707" ht="15.75" customHeight="1">
      <c r="F707" s="57"/>
      <c r="G707" s="57"/>
      <c r="H707" s="57"/>
    </row>
    <row r="708" ht="15.75" customHeight="1">
      <c r="F708" s="57"/>
      <c r="G708" s="57"/>
      <c r="H708" s="57"/>
    </row>
    <row r="709" ht="15.75" customHeight="1">
      <c r="F709" s="57"/>
      <c r="G709" s="57"/>
      <c r="H709" s="57"/>
    </row>
    <row r="710" ht="15.75" customHeight="1">
      <c r="F710" s="57"/>
      <c r="G710" s="57"/>
      <c r="H710" s="57"/>
    </row>
    <row r="711" ht="15.75" customHeight="1">
      <c r="F711" s="57"/>
      <c r="G711" s="57"/>
      <c r="H711" s="57"/>
    </row>
    <row r="712" ht="15.75" customHeight="1">
      <c r="F712" s="57"/>
      <c r="G712" s="57"/>
      <c r="H712" s="57"/>
    </row>
    <row r="713" ht="15.75" customHeight="1">
      <c r="F713" s="57"/>
      <c r="G713" s="57"/>
      <c r="H713" s="57"/>
    </row>
    <row r="714" ht="15.75" customHeight="1">
      <c r="F714" s="57"/>
      <c r="G714" s="57"/>
      <c r="H714" s="57"/>
    </row>
    <row r="715" ht="15.75" customHeight="1">
      <c r="F715" s="57"/>
      <c r="G715" s="57"/>
      <c r="H715" s="57"/>
    </row>
    <row r="716" ht="15.75" customHeight="1">
      <c r="F716" s="57"/>
      <c r="G716" s="57"/>
      <c r="H716" s="57"/>
    </row>
    <row r="717" ht="15.75" customHeight="1">
      <c r="F717" s="57"/>
      <c r="G717" s="57"/>
      <c r="H717" s="57"/>
    </row>
    <row r="718" ht="15.75" customHeight="1">
      <c r="F718" s="57"/>
      <c r="G718" s="57"/>
      <c r="H718" s="57"/>
    </row>
    <row r="719" ht="15.75" customHeight="1">
      <c r="F719" s="57"/>
      <c r="G719" s="57"/>
      <c r="H719" s="57"/>
    </row>
    <row r="720" ht="15.75" customHeight="1">
      <c r="F720" s="57"/>
      <c r="G720" s="57"/>
      <c r="H720" s="57"/>
    </row>
    <row r="721" ht="15.75" customHeight="1">
      <c r="F721" s="57"/>
      <c r="G721" s="57"/>
      <c r="H721" s="57"/>
    </row>
    <row r="722" ht="15.75" customHeight="1">
      <c r="F722" s="57"/>
      <c r="G722" s="57"/>
      <c r="H722" s="57"/>
    </row>
    <row r="723" ht="15.75" customHeight="1">
      <c r="F723" s="57"/>
      <c r="G723" s="57"/>
      <c r="H723" s="57"/>
    </row>
    <row r="724" ht="15.75" customHeight="1">
      <c r="F724" s="57"/>
      <c r="G724" s="57"/>
      <c r="H724" s="57"/>
    </row>
    <row r="725" ht="15.75" customHeight="1">
      <c r="F725" s="57"/>
      <c r="G725" s="57"/>
      <c r="H725" s="57"/>
    </row>
    <row r="726" ht="15.75" customHeight="1">
      <c r="F726" s="57"/>
      <c r="G726" s="57"/>
      <c r="H726" s="57"/>
    </row>
    <row r="727" ht="15.75" customHeight="1">
      <c r="F727" s="57"/>
      <c r="G727" s="57"/>
      <c r="H727" s="57"/>
    </row>
    <row r="728" ht="15.75" customHeight="1">
      <c r="F728" s="57"/>
      <c r="G728" s="57"/>
      <c r="H728" s="57"/>
    </row>
    <row r="729" ht="15.75" customHeight="1">
      <c r="F729" s="57"/>
      <c r="G729" s="57"/>
      <c r="H729" s="57"/>
    </row>
    <row r="730" ht="15.75" customHeight="1">
      <c r="F730" s="57"/>
      <c r="G730" s="57"/>
      <c r="H730" s="57"/>
    </row>
    <row r="731" ht="15.75" customHeight="1">
      <c r="F731" s="57"/>
      <c r="G731" s="57"/>
      <c r="H731" s="57"/>
    </row>
    <row r="732" ht="15.75" customHeight="1">
      <c r="F732" s="57"/>
      <c r="G732" s="57"/>
      <c r="H732" s="57"/>
    </row>
    <row r="733" ht="15.75" customHeight="1">
      <c r="F733" s="57"/>
      <c r="G733" s="57"/>
      <c r="H733" s="57"/>
    </row>
    <row r="734" ht="15.75" customHeight="1">
      <c r="F734" s="57"/>
      <c r="G734" s="57"/>
      <c r="H734" s="57"/>
    </row>
    <row r="735" ht="15.75" customHeight="1">
      <c r="F735" s="57"/>
      <c r="G735" s="57"/>
      <c r="H735" s="57"/>
    </row>
    <row r="736" ht="15.75" customHeight="1">
      <c r="F736" s="57"/>
      <c r="G736" s="57"/>
      <c r="H736" s="57"/>
    </row>
    <row r="737" ht="15.75" customHeight="1">
      <c r="F737" s="57"/>
      <c r="G737" s="57"/>
      <c r="H737" s="57"/>
    </row>
    <row r="738" ht="15.75" customHeight="1">
      <c r="F738" s="57"/>
      <c r="G738" s="57"/>
      <c r="H738" s="57"/>
    </row>
    <row r="739" ht="15.75" customHeight="1">
      <c r="F739" s="57"/>
      <c r="G739" s="57"/>
      <c r="H739" s="57"/>
    </row>
    <row r="740" ht="15.75" customHeight="1">
      <c r="F740" s="57"/>
      <c r="G740" s="57"/>
      <c r="H740" s="57"/>
    </row>
    <row r="741" ht="15.75" customHeight="1">
      <c r="F741" s="57"/>
      <c r="G741" s="57"/>
      <c r="H741" s="57"/>
    </row>
    <row r="742" ht="15.75" customHeight="1">
      <c r="F742" s="57"/>
      <c r="G742" s="57"/>
      <c r="H742" s="57"/>
    </row>
    <row r="743" ht="15.75" customHeight="1">
      <c r="F743" s="57"/>
      <c r="G743" s="57"/>
      <c r="H743" s="57"/>
    </row>
    <row r="744" ht="15.75" customHeight="1">
      <c r="F744" s="57"/>
      <c r="G744" s="57"/>
      <c r="H744" s="57"/>
    </row>
    <row r="745" ht="15.75" customHeight="1">
      <c r="F745" s="57"/>
      <c r="G745" s="57"/>
      <c r="H745" s="57"/>
    </row>
    <row r="746" ht="15.75" customHeight="1">
      <c r="F746" s="57"/>
      <c r="G746" s="57"/>
      <c r="H746" s="57"/>
    </row>
    <row r="747" ht="15.75" customHeight="1">
      <c r="F747" s="57"/>
      <c r="G747" s="57"/>
      <c r="H747" s="57"/>
    </row>
    <row r="748" ht="15.75" customHeight="1">
      <c r="F748" s="57"/>
      <c r="G748" s="57"/>
      <c r="H748" s="57"/>
    </row>
    <row r="749" ht="15.75" customHeight="1">
      <c r="F749" s="57"/>
      <c r="G749" s="57"/>
      <c r="H749" s="57"/>
    </row>
    <row r="750" ht="15.75" customHeight="1">
      <c r="F750" s="57"/>
      <c r="G750" s="57"/>
      <c r="H750" s="57"/>
    </row>
    <row r="751" ht="15.75" customHeight="1">
      <c r="F751" s="57"/>
      <c r="G751" s="57"/>
      <c r="H751" s="57"/>
    </row>
    <row r="752" ht="15.75" customHeight="1">
      <c r="F752" s="57"/>
      <c r="G752" s="57"/>
      <c r="H752" s="57"/>
    </row>
    <row r="753" ht="15.75" customHeight="1">
      <c r="F753" s="57"/>
      <c r="G753" s="57"/>
      <c r="H753" s="57"/>
    </row>
    <row r="754" ht="15.75" customHeight="1">
      <c r="F754" s="57"/>
      <c r="G754" s="57"/>
      <c r="H754" s="57"/>
    </row>
    <row r="755" ht="15.75" customHeight="1">
      <c r="F755" s="57"/>
      <c r="G755" s="57"/>
      <c r="H755" s="57"/>
    </row>
    <row r="756" ht="15.75" customHeight="1">
      <c r="F756" s="57"/>
      <c r="G756" s="57"/>
      <c r="H756" s="57"/>
    </row>
    <row r="757" ht="15.75" customHeight="1">
      <c r="F757" s="57"/>
      <c r="G757" s="57"/>
      <c r="H757" s="57"/>
    </row>
    <row r="758" ht="15.75" customHeight="1">
      <c r="F758" s="57"/>
      <c r="G758" s="57"/>
      <c r="H758" s="57"/>
    </row>
    <row r="759" ht="15.75" customHeight="1">
      <c r="F759" s="57"/>
      <c r="G759" s="57"/>
      <c r="H759" s="57"/>
    </row>
    <row r="760" ht="15.75" customHeight="1">
      <c r="F760" s="57"/>
      <c r="G760" s="57"/>
      <c r="H760" s="57"/>
    </row>
    <row r="761" ht="15.75" customHeight="1">
      <c r="F761" s="57"/>
      <c r="G761" s="57"/>
      <c r="H761" s="57"/>
    </row>
    <row r="762" ht="15.75" customHeight="1">
      <c r="F762" s="57"/>
      <c r="G762" s="57"/>
      <c r="H762" s="57"/>
    </row>
    <row r="763" ht="15.75" customHeight="1">
      <c r="F763" s="57"/>
      <c r="G763" s="57"/>
      <c r="H763" s="57"/>
    </row>
    <row r="764" ht="15.75" customHeight="1">
      <c r="F764" s="57"/>
      <c r="G764" s="57"/>
      <c r="H764" s="57"/>
    </row>
    <row r="765" ht="15.75" customHeight="1">
      <c r="F765" s="57"/>
      <c r="G765" s="57"/>
      <c r="H765" s="57"/>
    </row>
    <row r="766" ht="15.75" customHeight="1">
      <c r="F766" s="57"/>
      <c r="G766" s="57"/>
      <c r="H766" s="57"/>
    </row>
    <row r="767" ht="15.75" customHeight="1">
      <c r="F767" s="57"/>
      <c r="G767" s="57"/>
      <c r="H767" s="57"/>
    </row>
    <row r="768" ht="15.75" customHeight="1">
      <c r="F768" s="57"/>
      <c r="G768" s="57"/>
      <c r="H768" s="57"/>
    </row>
    <row r="769" ht="15.75" customHeight="1">
      <c r="F769" s="57"/>
      <c r="G769" s="57"/>
      <c r="H769" s="57"/>
    </row>
    <row r="770" ht="15.75" customHeight="1">
      <c r="F770" s="57"/>
      <c r="G770" s="57"/>
      <c r="H770" s="57"/>
    </row>
    <row r="771" ht="15.75" customHeight="1">
      <c r="F771" s="57"/>
      <c r="G771" s="57"/>
      <c r="H771" s="57"/>
    </row>
    <row r="772" ht="15.75" customHeight="1">
      <c r="F772" s="57"/>
      <c r="G772" s="57"/>
      <c r="H772" s="57"/>
    </row>
    <row r="773" ht="15.75" customHeight="1">
      <c r="F773" s="57"/>
      <c r="G773" s="57"/>
      <c r="H773" s="57"/>
    </row>
    <row r="774" ht="15.75" customHeight="1">
      <c r="F774" s="57"/>
      <c r="G774" s="57"/>
      <c r="H774" s="57"/>
    </row>
    <row r="775" ht="15.75" customHeight="1">
      <c r="F775" s="57"/>
      <c r="G775" s="57"/>
      <c r="H775" s="57"/>
    </row>
    <row r="776" ht="15.75" customHeight="1">
      <c r="F776" s="57"/>
      <c r="G776" s="57"/>
      <c r="H776" s="57"/>
    </row>
    <row r="777" ht="15.75" customHeight="1">
      <c r="F777" s="57"/>
      <c r="G777" s="57"/>
      <c r="H777" s="57"/>
    </row>
    <row r="778" ht="15.75" customHeight="1">
      <c r="F778" s="57"/>
      <c r="G778" s="57"/>
      <c r="H778" s="57"/>
    </row>
    <row r="779" ht="15.75" customHeight="1">
      <c r="F779" s="57"/>
      <c r="G779" s="57"/>
      <c r="H779" s="57"/>
    </row>
    <row r="780" ht="15.75" customHeight="1">
      <c r="F780" s="57"/>
      <c r="G780" s="57"/>
      <c r="H780" s="57"/>
    </row>
    <row r="781" ht="15.75" customHeight="1">
      <c r="F781" s="57"/>
      <c r="G781" s="57"/>
      <c r="H781" s="57"/>
    </row>
    <row r="782" ht="15.75" customHeight="1">
      <c r="F782" s="57"/>
      <c r="G782" s="57"/>
      <c r="H782" s="57"/>
    </row>
    <row r="783" ht="15.75" customHeight="1">
      <c r="F783" s="57"/>
      <c r="G783" s="57"/>
      <c r="H783" s="57"/>
    </row>
    <row r="784" ht="15.75" customHeight="1">
      <c r="F784" s="57"/>
      <c r="G784" s="57"/>
      <c r="H784" s="57"/>
    </row>
    <row r="785" ht="15.75" customHeight="1">
      <c r="F785" s="57"/>
      <c r="G785" s="57"/>
      <c r="H785" s="57"/>
    </row>
    <row r="786" ht="15.75" customHeight="1">
      <c r="F786" s="57"/>
      <c r="G786" s="57"/>
      <c r="H786" s="57"/>
    </row>
    <row r="787" ht="15.75" customHeight="1">
      <c r="F787" s="57"/>
      <c r="G787" s="57"/>
      <c r="H787" s="57"/>
    </row>
    <row r="788" ht="15.75" customHeight="1">
      <c r="F788" s="57"/>
      <c r="G788" s="57"/>
      <c r="H788" s="57"/>
    </row>
    <row r="789" ht="15.75" customHeight="1">
      <c r="F789" s="57"/>
      <c r="G789" s="57"/>
      <c r="H789" s="57"/>
    </row>
    <row r="790" ht="15.75" customHeight="1">
      <c r="F790" s="57"/>
      <c r="G790" s="57"/>
      <c r="H790" s="57"/>
    </row>
    <row r="791" ht="15.75" customHeight="1">
      <c r="F791" s="57"/>
      <c r="G791" s="57"/>
      <c r="H791" s="57"/>
    </row>
    <row r="792" ht="15.75" customHeight="1">
      <c r="F792" s="57"/>
      <c r="G792" s="57"/>
      <c r="H792" s="57"/>
    </row>
    <row r="793" ht="15.75" customHeight="1">
      <c r="F793" s="57"/>
      <c r="G793" s="57"/>
      <c r="H793" s="57"/>
    </row>
    <row r="794" ht="15.75" customHeight="1">
      <c r="F794" s="57"/>
      <c r="G794" s="57"/>
      <c r="H794" s="57"/>
    </row>
    <row r="795" ht="15.75" customHeight="1">
      <c r="F795" s="57"/>
      <c r="G795" s="57"/>
      <c r="H795" s="57"/>
    </row>
    <row r="796" ht="15.75" customHeight="1">
      <c r="F796" s="57"/>
      <c r="G796" s="57"/>
      <c r="H796" s="57"/>
    </row>
    <row r="797" ht="15.75" customHeight="1">
      <c r="F797" s="57"/>
      <c r="G797" s="57"/>
      <c r="H797" s="57"/>
    </row>
    <row r="798" ht="15.75" customHeight="1">
      <c r="F798" s="57"/>
      <c r="G798" s="57"/>
      <c r="H798" s="57"/>
    </row>
    <row r="799" ht="15.75" customHeight="1">
      <c r="F799" s="57"/>
      <c r="G799" s="57"/>
      <c r="H799" s="57"/>
    </row>
    <row r="800" ht="15.75" customHeight="1">
      <c r="F800" s="57"/>
      <c r="G800" s="57"/>
      <c r="H800" s="57"/>
    </row>
    <row r="801" ht="15.75" customHeight="1">
      <c r="F801" s="57"/>
      <c r="G801" s="57"/>
      <c r="H801" s="57"/>
    </row>
    <row r="802" ht="15.75" customHeight="1">
      <c r="F802" s="57"/>
      <c r="G802" s="57"/>
      <c r="H802" s="57"/>
    </row>
    <row r="803" ht="15.75" customHeight="1">
      <c r="F803" s="57"/>
      <c r="G803" s="57"/>
      <c r="H803" s="57"/>
    </row>
    <row r="804" ht="15.75" customHeight="1">
      <c r="F804" s="57"/>
      <c r="G804" s="57"/>
      <c r="H804" s="57"/>
    </row>
    <row r="805" ht="15.75" customHeight="1">
      <c r="F805" s="57"/>
      <c r="G805" s="57"/>
      <c r="H805" s="57"/>
    </row>
    <row r="806" ht="15.75" customHeight="1">
      <c r="F806" s="57"/>
      <c r="G806" s="57"/>
      <c r="H806" s="57"/>
    </row>
    <row r="807" ht="15.75" customHeight="1">
      <c r="F807" s="57"/>
      <c r="G807" s="57"/>
      <c r="H807" s="57"/>
    </row>
    <row r="808" ht="15.75" customHeight="1">
      <c r="F808" s="57"/>
      <c r="G808" s="57"/>
      <c r="H808" s="57"/>
    </row>
    <row r="809" ht="15.75" customHeight="1">
      <c r="F809" s="57"/>
      <c r="G809" s="57"/>
      <c r="H809" s="57"/>
    </row>
    <row r="810" ht="15.75" customHeight="1">
      <c r="F810" s="57"/>
      <c r="G810" s="57"/>
      <c r="H810" s="57"/>
    </row>
    <row r="811" ht="15.75" customHeight="1">
      <c r="F811" s="57"/>
      <c r="G811" s="57"/>
      <c r="H811" s="57"/>
    </row>
    <row r="812" ht="15.75" customHeight="1">
      <c r="F812" s="57"/>
      <c r="G812" s="57"/>
      <c r="H812" s="57"/>
    </row>
    <row r="813" ht="15.75" customHeight="1">
      <c r="F813" s="57"/>
      <c r="G813" s="57"/>
      <c r="H813" s="57"/>
    </row>
    <row r="814" ht="15.75" customHeight="1">
      <c r="F814" s="57"/>
      <c r="G814" s="57"/>
      <c r="H814" s="57"/>
    </row>
    <row r="815" ht="15.75" customHeight="1">
      <c r="F815" s="57"/>
      <c r="G815" s="57"/>
      <c r="H815" s="57"/>
    </row>
    <row r="816" ht="15.75" customHeight="1">
      <c r="F816" s="57"/>
      <c r="G816" s="57"/>
      <c r="H816" s="57"/>
    </row>
    <row r="817" ht="15.75" customHeight="1">
      <c r="F817" s="57"/>
      <c r="G817" s="57"/>
      <c r="H817" s="57"/>
    </row>
    <row r="818" ht="15.75" customHeight="1">
      <c r="F818" s="57"/>
      <c r="G818" s="57"/>
      <c r="H818" s="57"/>
    </row>
    <row r="819" ht="15.75" customHeight="1">
      <c r="F819" s="57"/>
      <c r="G819" s="57"/>
      <c r="H819" s="57"/>
    </row>
    <row r="820" ht="15.75" customHeight="1">
      <c r="F820" s="57"/>
      <c r="G820" s="57"/>
      <c r="H820" s="57"/>
    </row>
    <row r="821" ht="15.75" customHeight="1">
      <c r="F821" s="57"/>
      <c r="G821" s="57"/>
      <c r="H821" s="57"/>
    </row>
    <row r="822" ht="15.75" customHeight="1">
      <c r="F822" s="57"/>
      <c r="G822" s="57"/>
      <c r="H822" s="57"/>
    </row>
    <row r="823" ht="15.75" customHeight="1">
      <c r="F823" s="57"/>
      <c r="G823" s="57"/>
      <c r="H823" s="57"/>
    </row>
    <row r="824" ht="15.75" customHeight="1">
      <c r="F824" s="57"/>
      <c r="G824" s="57"/>
      <c r="H824" s="57"/>
    </row>
    <row r="825" ht="15.75" customHeight="1">
      <c r="F825" s="57"/>
      <c r="G825" s="57"/>
      <c r="H825" s="57"/>
    </row>
    <row r="826" ht="15.75" customHeight="1">
      <c r="F826" s="57"/>
      <c r="G826" s="57"/>
      <c r="H826" s="57"/>
    </row>
    <row r="827" ht="15.75" customHeight="1">
      <c r="F827" s="57"/>
      <c r="G827" s="57"/>
      <c r="H827" s="57"/>
    </row>
    <row r="828" ht="15.75" customHeight="1">
      <c r="F828" s="57"/>
      <c r="G828" s="57"/>
      <c r="H828" s="57"/>
    </row>
    <row r="829" ht="15.75" customHeight="1">
      <c r="F829" s="57"/>
      <c r="G829" s="57"/>
      <c r="H829" s="57"/>
    </row>
    <row r="830" ht="15.75" customHeight="1">
      <c r="F830" s="57"/>
      <c r="G830" s="57"/>
      <c r="H830" s="57"/>
    </row>
    <row r="831" ht="15.75" customHeight="1">
      <c r="F831" s="57"/>
      <c r="G831" s="57"/>
      <c r="H831" s="57"/>
    </row>
    <row r="832" ht="15.75" customHeight="1">
      <c r="F832" s="57"/>
      <c r="G832" s="57"/>
      <c r="H832" s="57"/>
    </row>
    <row r="833" ht="15.75" customHeight="1">
      <c r="F833" s="57"/>
      <c r="G833" s="57"/>
      <c r="H833" s="57"/>
    </row>
    <row r="834" ht="15.75" customHeight="1">
      <c r="F834" s="57"/>
      <c r="G834" s="57"/>
      <c r="H834" s="57"/>
    </row>
    <row r="835" ht="15.75" customHeight="1">
      <c r="F835" s="57"/>
      <c r="G835" s="57"/>
      <c r="H835" s="57"/>
    </row>
    <row r="836" ht="15.75" customHeight="1">
      <c r="F836" s="57"/>
      <c r="G836" s="57"/>
      <c r="H836" s="57"/>
    </row>
    <row r="837" ht="15.75" customHeight="1">
      <c r="F837" s="57"/>
      <c r="G837" s="57"/>
      <c r="H837" s="57"/>
    </row>
    <row r="838" ht="15.75" customHeight="1">
      <c r="F838" s="57"/>
      <c r="G838" s="57"/>
      <c r="H838" s="57"/>
    </row>
    <row r="839" ht="15.75" customHeight="1">
      <c r="F839" s="57"/>
      <c r="G839" s="57"/>
      <c r="H839" s="57"/>
    </row>
    <row r="840" ht="15.75" customHeight="1">
      <c r="F840" s="57"/>
      <c r="G840" s="57"/>
      <c r="H840" s="57"/>
    </row>
    <row r="841" ht="15.75" customHeight="1">
      <c r="F841" s="57"/>
      <c r="G841" s="57"/>
      <c r="H841" s="57"/>
    </row>
    <row r="842" ht="15.75" customHeight="1">
      <c r="F842" s="57"/>
      <c r="G842" s="57"/>
      <c r="H842" s="57"/>
    </row>
    <row r="843" ht="15.75" customHeight="1">
      <c r="F843" s="57"/>
      <c r="G843" s="57"/>
      <c r="H843" s="57"/>
    </row>
    <row r="844" ht="15.75" customHeight="1">
      <c r="F844" s="57"/>
      <c r="G844" s="57"/>
      <c r="H844" s="57"/>
    </row>
    <row r="845" ht="15.75" customHeight="1">
      <c r="F845" s="57"/>
      <c r="G845" s="57"/>
      <c r="H845" s="57"/>
    </row>
    <row r="846" ht="15.75" customHeight="1">
      <c r="F846" s="57"/>
      <c r="G846" s="57"/>
      <c r="H846" s="57"/>
    </row>
    <row r="847" ht="15.75" customHeight="1">
      <c r="F847" s="57"/>
      <c r="G847" s="57"/>
      <c r="H847" s="57"/>
    </row>
    <row r="848" ht="15.75" customHeight="1">
      <c r="F848" s="57"/>
      <c r="G848" s="57"/>
      <c r="H848" s="57"/>
    </row>
    <row r="849" ht="15.75" customHeight="1">
      <c r="F849" s="57"/>
      <c r="G849" s="57"/>
      <c r="H849" s="57"/>
    </row>
    <row r="850" ht="15.75" customHeight="1">
      <c r="F850" s="57"/>
      <c r="G850" s="57"/>
      <c r="H850" s="57"/>
    </row>
    <row r="851" ht="15.75" customHeight="1">
      <c r="F851" s="57"/>
      <c r="G851" s="57"/>
      <c r="H851" s="57"/>
    </row>
    <row r="852" ht="15.75" customHeight="1">
      <c r="F852" s="57"/>
      <c r="G852" s="57"/>
      <c r="H852" s="57"/>
    </row>
    <row r="853" ht="15.75" customHeight="1">
      <c r="F853" s="57"/>
      <c r="G853" s="57"/>
      <c r="H853" s="57"/>
    </row>
    <row r="854" ht="15.75" customHeight="1">
      <c r="F854" s="57"/>
      <c r="G854" s="57"/>
      <c r="H854" s="57"/>
    </row>
    <row r="855" ht="15.75" customHeight="1">
      <c r="F855" s="57"/>
      <c r="G855" s="57"/>
      <c r="H855" s="57"/>
    </row>
    <row r="856" ht="15.75" customHeight="1">
      <c r="F856" s="57"/>
      <c r="G856" s="57"/>
      <c r="H856" s="57"/>
    </row>
    <row r="857" ht="15.75" customHeight="1">
      <c r="F857" s="57"/>
      <c r="G857" s="57"/>
      <c r="H857" s="57"/>
    </row>
    <row r="858" ht="15.75" customHeight="1">
      <c r="F858" s="57"/>
      <c r="G858" s="57"/>
      <c r="H858" s="57"/>
    </row>
    <row r="859" ht="15.75" customHeight="1">
      <c r="F859" s="57"/>
      <c r="G859" s="57"/>
      <c r="H859" s="57"/>
    </row>
    <row r="860" ht="15.75" customHeight="1">
      <c r="F860" s="57"/>
      <c r="G860" s="57"/>
      <c r="H860" s="57"/>
    </row>
    <row r="861" ht="15.75" customHeight="1">
      <c r="F861" s="57"/>
      <c r="G861" s="57"/>
      <c r="H861" s="57"/>
    </row>
    <row r="862" ht="15.75" customHeight="1">
      <c r="F862" s="57"/>
      <c r="G862" s="57"/>
      <c r="H862" s="57"/>
    </row>
    <row r="863" ht="15.75" customHeight="1">
      <c r="F863" s="57"/>
      <c r="G863" s="57"/>
      <c r="H863" s="57"/>
    </row>
    <row r="864" ht="15.75" customHeight="1">
      <c r="F864" s="57"/>
      <c r="G864" s="57"/>
      <c r="H864" s="57"/>
    </row>
    <row r="865" ht="15.75" customHeight="1">
      <c r="F865" s="57"/>
      <c r="G865" s="57"/>
      <c r="H865" s="57"/>
    </row>
    <row r="866" ht="15.75" customHeight="1">
      <c r="F866" s="57"/>
      <c r="G866" s="57"/>
      <c r="H866" s="57"/>
    </row>
    <row r="867" ht="15.75" customHeight="1">
      <c r="F867" s="57"/>
      <c r="G867" s="57"/>
      <c r="H867" s="57"/>
    </row>
    <row r="868" ht="15.75" customHeight="1">
      <c r="F868" s="57"/>
      <c r="G868" s="57"/>
      <c r="H868" s="57"/>
    </row>
    <row r="869" ht="15.75" customHeight="1">
      <c r="F869" s="57"/>
      <c r="G869" s="57"/>
      <c r="H869" s="57"/>
    </row>
    <row r="870" ht="15.75" customHeight="1">
      <c r="F870" s="57"/>
      <c r="G870" s="57"/>
      <c r="H870" s="57"/>
    </row>
    <row r="871" ht="15.75" customHeight="1">
      <c r="F871" s="57"/>
      <c r="G871" s="57"/>
      <c r="H871" s="57"/>
    </row>
    <row r="872" ht="15.75" customHeight="1">
      <c r="F872" s="57"/>
      <c r="G872" s="57"/>
      <c r="H872" s="57"/>
    </row>
    <row r="873" ht="15.75" customHeight="1">
      <c r="F873" s="57"/>
      <c r="G873" s="57"/>
      <c r="H873" s="57"/>
    </row>
    <row r="874" ht="15.75" customHeight="1">
      <c r="F874" s="57"/>
      <c r="G874" s="57"/>
      <c r="H874" s="57"/>
    </row>
    <row r="875" ht="15.75" customHeight="1">
      <c r="F875" s="57"/>
      <c r="G875" s="57"/>
      <c r="H875" s="57"/>
    </row>
    <row r="876" ht="15.75" customHeight="1">
      <c r="F876" s="57"/>
      <c r="G876" s="57"/>
      <c r="H876" s="57"/>
    </row>
    <row r="877" ht="15.75" customHeight="1">
      <c r="F877" s="57"/>
      <c r="G877" s="57"/>
      <c r="H877" s="57"/>
    </row>
    <row r="878" ht="15.75" customHeight="1">
      <c r="F878" s="57"/>
      <c r="G878" s="57"/>
      <c r="H878" s="57"/>
    </row>
    <row r="879" ht="15.75" customHeight="1">
      <c r="F879" s="57"/>
      <c r="G879" s="57"/>
      <c r="H879" s="57"/>
    </row>
    <row r="880" ht="15.75" customHeight="1">
      <c r="F880" s="57"/>
      <c r="G880" s="57"/>
      <c r="H880" s="57"/>
    </row>
    <row r="881" ht="15.75" customHeight="1">
      <c r="F881" s="57"/>
      <c r="G881" s="57"/>
      <c r="H881" s="57"/>
    </row>
    <row r="882" ht="15.75" customHeight="1">
      <c r="F882" s="57"/>
      <c r="G882" s="57"/>
      <c r="H882" s="57"/>
    </row>
    <row r="883" ht="15.75" customHeight="1">
      <c r="F883" s="57"/>
      <c r="G883" s="57"/>
      <c r="H883" s="57"/>
    </row>
    <row r="884" ht="15.75" customHeight="1">
      <c r="F884" s="57"/>
      <c r="G884" s="57"/>
      <c r="H884" s="57"/>
    </row>
    <row r="885" ht="15.75" customHeight="1">
      <c r="F885" s="57"/>
      <c r="G885" s="57"/>
      <c r="H885" s="57"/>
    </row>
    <row r="886" ht="15.75" customHeight="1">
      <c r="F886" s="57"/>
      <c r="G886" s="57"/>
      <c r="H886" s="57"/>
    </row>
    <row r="887" ht="15.75" customHeight="1">
      <c r="F887" s="57"/>
      <c r="G887" s="57"/>
      <c r="H887" s="57"/>
    </row>
    <row r="888" ht="15.75" customHeight="1">
      <c r="F888" s="57"/>
      <c r="G888" s="57"/>
      <c r="H888" s="57"/>
    </row>
    <row r="889" ht="15.75" customHeight="1">
      <c r="F889" s="57"/>
      <c r="G889" s="57"/>
      <c r="H889" s="57"/>
    </row>
    <row r="890" ht="15.75" customHeight="1">
      <c r="F890" s="57"/>
      <c r="G890" s="57"/>
      <c r="H890" s="57"/>
    </row>
    <row r="891" ht="15.75" customHeight="1">
      <c r="F891" s="57"/>
      <c r="G891" s="57"/>
      <c r="H891" s="57"/>
    </row>
    <row r="892" ht="15.75" customHeight="1">
      <c r="F892" s="57"/>
      <c r="G892" s="57"/>
      <c r="H892" s="57"/>
    </row>
    <row r="893" ht="15.75" customHeight="1">
      <c r="F893" s="57"/>
      <c r="G893" s="57"/>
      <c r="H893" s="57"/>
    </row>
    <row r="894" ht="15.75" customHeight="1">
      <c r="F894" s="57"/>
      <c r="G894" s="57"/>
      <c r="H894" s="57"/>
    </row>
    <row r="895" ht="15.75" customHeight="1">
      <c r="F895" s="57"/>
      <c r="G895" s="57"/>
      <c r="H895" s="57"/>
    </row>
    <row r="896" ht="15.75" customHeight="1">
      <c r="F896" s="57"/>
      <c r="G896" s="57"/>
      <c r="H896" s="57"/>
    </row>
    <row r="897" ht="15.75" customHeight="1">
      <c r="F897" s="57"/>
      <c r="G897" s="57"/>
      <c r="H897" s="57"/>
    </row>
    <row r="898" ht="15.75" customHeight="1">
      <c r="F898" s="57"/>
      <c r="G898" s="57"/>
      <c r="H898" s="57"/>
    </row>
    <row r="899" ht="15.75" customHeight="1">
      <c r="F899" s="57"/>
      <c r="G899" s="57"/>
      <c r="H899" s="57"/>
    </row>
    <row r="900" ht="15.75" customHeight="1">
      <c r="F900" s="57"/>
      <c r="G900" s="57"/>
      <c r="H900" s="57"/>
    </row>
    <row r="901" ht="15.75" customHeight="1">
      <c r="F901" s="57"/>
      <c r="G901" s="57"/>
      <c r="H901" s="57"/>
    </row>
    <row r="902" ht="15.75" customHeight="1">
      <c r="F902" s="57"/>
      <c r="G902" s="57"/>
      <c r="H902" s="57"/>
    </row>
    <row r="903" ht="15.75" customHeight="1">
      <c r="F903" s="57"/>
      <c r="G903" s="57"/>
      <c r="H903" s="57"/>
    </row>
    <row r="904" ht="15.75" customHeight="1">
      <c r="F904" s="57"/>
      <c r="G904" s="57"/>
      <c r="H904" s="57"/>
    </row>
    <row r="905" ht="15.75" customHeight="1">
      <c r="F905" s="57"/>
      <c r="G905" s="57"/>
      <c r="H905" s="57"/>
    </row>
    <row r="906" ht="15.75" customHeight="1">
      <c r="F906" s="57"/>
      <c r="G906" s="57"/>
      <c r="H906" s="57"/>
    </row>
    <row r="907" ht="15.75" customHeight="1">
      <c r="F907" s="57"/>
      <c r="G907" s="57"/>
      <c r="H907" s="57"/>
    </row>
    <row r="908" ht="15.75" customHeight="1">
      <c r="F908" s="57"/>
      <c r="G908" s="57"/>
      <c r="H908" s="57"/>
    </row>
    <row r="909" ht="15.75" customHeight="1">
      <c r="F909" s="57"/>
      <c r="G909" s="57"/>
      <c r="H909" s="57"/>
    </row>
    <row r="910" ht="15.75" customHeight="1">
      <c r="F910" s="57"/>
      <c r="G910" s="57"/>
      <c r="H910" s="57"/>
    </row>
    <row r="911" ht="15.75" customHeight="1">
      <c r="F911" s="57"/>
      <c r="G911" s="57"/>
      <c r="H911" s="57"/>
    </row>
    <row r="912" ht="15.75" customHeight="1">
      <c r="F912" s="57"/>
      <c r="G912" s="57"/>
      <c r="H912" s="57"/>
    </row>
    <row r="913" ht="15.75" customHeight="1">
      <c r="F913" s="57"/>
      <c r="G913" s="57"/>
      <c r="H913" s="57"/>
    </row>
    <row r="914" ht="15.75" customHeight="1">
      <c r="F914" s="57"/>
      <c r="G914" s="57"/>
      <c r="H914" s="57"/>
    </row>
    <row r="915" ht="15.75" customHeight="1">
      <c r="F915" s="57"/>
      <c r="G915" s="57"/>
      <c r="H915" s="57"/>
    </row>
    <row r="916" ht="15.75" customHeight="1">
      <c r="F916" s="57"/>
      <c r="G916" s="57"/>
      <c r="H916" s="57"/>
    </row>
    <row r="917" ht="15.75" customHeight="1">
      <c r="F917" s="57"/>
      <c r="G917" s="57"/>
      <c r="H917" s="57"/>
    </row>
    <row r="918" ht="15.75" customHeight="1">
      <c r="F918" s="57"/>
      <c r="G918" s="57"/>
      <c r="H918" s="57"/>
    </row>
    <row r="919" ht="15.75" customHeight="1">
      <c r="F919" s="57"/>
      <c r="G919" s="57"/>
      <c r="H919" s="57"/>
    </row>
    <row r="920" ht="15.75" customHeight="1">
      <c r="F920" s="57"/>
      <c r="G920" s="57"/>
      <c r="H920" s="57"/>
    </row>
    <row r="921" ht="15.75" customHeight="1">
      <c r="F921" s="57"/>
      <c r="G921" s="57"/>
      <c r="H921" s="57"/>
    </row>
    <row r="922" ht="15.75" customHeight="1">
      <c r="F922" s="57"/>
      <c r="G922" s="57"/>
      <c r="H922" s="57"/>
    </row>
    <row r="923" ht="15.75" customHeight="1">
      <c r="F923" s="57"/>
      <c r="G923" s="57"/>
      <c r="H923" s="57"/>
    </row>
    <row r="924" ht="15.75" customHeight="1">
      <c r="F924" s="57"/>
      <c r="G924" s="57"/>
      <c r="H924" s="57"/>
    </row>
    <row r="925" ht="15.75" customHeight="1">
      <c r="F925" s="57"/>
      <c r="G925" s="57"/>
      <c r="H925" s="57"/>
    </row>
    <row r="926" ht="15.75" customHeight="1">
      <c r="F926" s="57"/>
      <c r="G926" s="57"/>
      <c r="H926" s="57"/>
    </row>
    <row r="927" ht="15.75" customHeight="1">
      <c r="F927" s="57"/>
      <c r="G927" s="57"/>
      <c r="H927" s="57"/>
    </row>
    <row r="928" ht="15.75" customHeight="1">
      <c r="F928" s="57"/>
      <c r="G928" s="57"/>
      <c r="H928" s="57"/>
    </row>
    <row r="929" ht="15.75" customHeight="1">
      <c r="F929" s="57"/>
      <c r="G929" s="57"/>
      <c r="H929" s="57"/>
    </row>
    <row r="930" ht="15.75" customHeight="1">
      <c r="F930" s="57"/>
      <c r="G930" s="57"/>
      <c r="H930" s="57"/>
    </row>
    <row r="931" ht="15.75" customHeight="1">
      <c r="F931" s="57"/>
      <c r="G931" s="57"/>
      <c r="H931" s="57"/>
    </row>
    <row r="932" ht="15.75" customHeight="1">
      <c r="F932" s="57"/>
      <c r="G932" s="57"/>
      <c r="H932" s="57"/>
    </row>
    <row r="933" ht="15.75" customHeight="1">
      <c r="F933" s="57"/>
      <c r="G933" s="57"/>
      <c r="H933" s="57"/>
    </row>
    <row r="934" ht="15.75" customHeight="1">
      <c r="F934" s="57"/>
      <c r="G934" s="57"/>
      <c r="H934" s="57"/>
    </row>
    <row r="935" ht="15.75" customHeight="1">
      <c r="F935" s="57"/>
      <c r="G935" s="57"/>
      <c r="H935" s="57"/>
    </row>
    <row r="936" ht="15.75" customHeight="1">
      <c r="F936" s="57"/>
      <c r="G936" s="57"/>
      <c r="H936" s="57"/>
    </row>
    <row r="937" ht="15.75" customHeight="1">
      <c r="F937" s="57"/>
      <c r="G937" s="57"/>
      <c r="H937" s="57"/>
    </row>
    <row r="938" ht="15.75" customHeight="1">
      <c r="F938" s="57"/>
      <c r="G938" s="57"/>
      <c r="H938" s="57"/>
    </row>
    <row r="939" ht="15.75" customHeight="1">
      <c r="F939" s="57"/>
      <c r="G939" s="57"/>
      <c r="H939" s="57"/>
    </row>
    <row r="940" ht="15.75" customHeight="1">
      <c r="F940" s="57"/>
      <c r="G940" s="57"/>
      <c r="H940" s="57"/>
    </row>
    <row r="941" ht="15.75" customHeight="1">
      <c r="F941" s="57"/>
      <c r="G941" s="57"/>
      <c r="H941" s="57"/>
    </row>
    <row r="942" ht="15.75" customHeight="1">
      <c r="F942" s="57"/>
      <c r="G942" s="57"/>
      <c r="H942" s="57"/>
    </row>
    <row r="943" ht="15.75" customHeight="1">
      <c r="F943" s="57"/>
      <c r="G943" s="57"/>
      <c r="H943" s="57"/>
    </row>
    <row r="944" ht="15.75" customHeight="1">
      <c r="F944" s="57"/>
      <c r="G944" s="57"/>
      <c r="H944" s="57"/>
    </row>
    <row r="945" ht="15.75" customHeight="1">
      <c r="F945" s="57"/>
      <c r="G945" s="57"/>
      <c r="H945" s="57"/>
    </row>
    <row r="946" ht="15.75" customHeight="1">
      <c r="F946" s="57"/>
      <c r="G946" s="57"/>
      <c r="H946" s="57"/>
    </row>
    <row r="947" ht="15.75" customHeight="1">
      <c r="F947" s="57"/>
      <c r="G947" s="57"/>
      <c r="H947" s="57"/>
    </row>
    <row r="948" ht="15.75" customHeight="1">
      <c r="F948" s="57"/>
      <c r="G948" s="57"/>
      <c r="H948" s="57"/>
    </row>
    <row r="949" ht="15.75" customHeight="1">
      <c r="F949" s="57"/>
      <c r="G949" s="57"/>
      <c r="H949" s="57"/>
    </row>
    <row r="950" ht="15.75" customHeight="1">
      <c r="F950" s="57"/>
      <c r="G950" s="57"/>
      <c r="H950" s="57"/>
    </row>
    <row r="951" ht="15.75" customHeight="1">
      <c r="F951" s="57"/>
      <c r="G951" s="57"/>
      <c r="H951" s="57"/>
    </row>
    <row r="952" ht="15.75" customHeight="1">
      <c r="F952" s="57"/>
      <c r="G952" s="57"/>
      <c r="H952" s="57"/>
    </row>
    <row r="953" ht="15.75" customHeight="1">
      <c r="F953" s="57"/>
      <c r="G953" s="57"/>
      <c r="H953" s="57"/>
    </row>
    <row r="954" ht="15.75" customHeight="1">
      <c r="F954" s="57"/>
      <c r="G954" s="57"/>
      <c r="H954" s="57"/>
    </row>
    <row r="955" ht="15.75" customHeight="1">
      <c r="F955" s="57"/>
      <c r="G955" s="57"/>
      <c r="H955" s="57"/>
    </row>
    <row r="956" ht="15.75" customHeight="1">
      <c r="F956" s="57"/>
      <c r="G956" s="57"/>
      <c r="H956" s="57"/>
    </row>
    <row r="957" ht="15.75" customHeight="1">
      <c r="F957" s="57"/>
      <c r="G957" s="57"/>
      <c r="H957" s="57"/>
    </row>
    <row r="958" ht="15.75" customHeight="1">
      <c r="F958" s="57"/>
      <c r="G958" s="57"/>
      <c r="H958" s="57"/>
    </row>
    <row r="959" ht="15.75" customHeight="1">
      <c r="F959" s="57"/>
      <c r="G959" s="57"/>
      <c r="H959" s="57"/>
    </row>
    <row r="960" ht="15.75" customHeight="1">
      <c r="F960" s="57"/>
      <c r="G960" s="57"/>
      <c r="H960" s="57"/>
    </row>
    <row r="961" ht="15.75" customHeight="1">
      <c r="F961" s="57"/>
      <c r="G961" s="57"/>
      <c r="H961" s="57"/>
    </row>
    <row r="962" ht="15.75" customHeight="1">
      <c r="F962" s="57"/>
      <c r="G962" s="57"/>
      <c r="H962" s="57"/>
    </row>
    <row r="963" ht="15.75" customHeight="1">
      <c r="F963" s="57"/>
      <c r="G963" s="57"/>
      <c r="H963" s="57"/>
    </row>
    <row r="964" ht="15.75" customHeight="1">
      <c r="F964" s="57"/>
      <c r="G964" s="57"/>
      <c r="H964" s="57"/>
    </row>
    <row r="965" ht="15.75" customHeight="1">
      <c r="F965" s="57"/>
      <c r="G965" s="57"/>
      <c r="H965" s="57"/>
    </row>
    <row r="966" ht="15.75" customHeight="1">
      <c r="F966" s="57"/>
      <c r="G966" s="57"/>
      <c r="H966" s="57"/>
    </row>
    <row r="967" ht="15.75" customHeight="1">
      <c r="F967" s="57"/>
      <c r="G967" s="57"/>
      <c r="H967" s="57"/>
    </row>
    <row r="968" ht="15.75" customHeight="1">
      <c r="F968" s="57"/>
      <c r="G968" s="57"/>
      <c r="H968" s="57"/>
    </row>
    <row r="969" ht="15.75" customHeight="1">
      <c r="F969" s="57"/>
      <c r="G969" s="57"/>
      <c r="H969" s="57"/>
    </row>
    <row r="970" ht="15.75" customHeight="1">
      <c r="F970" s="57"/>
      <c r="G970" s="57"/>
      <c r="H970" s="57"/>
    </row>
    <row r="971" ht="15.75" customHeight="1">
      <c r="F971" s="57"/>
      <c r="G971" s="57"/>
      <c r="H971" s="57"/>
    </row>
    <row r="972" ht="15.75" customHeight="1">
      <c r="F972" s="57"/>
      <c r="G972" s="57"/>
      <c r="H972" s="57"/>
    </row>
    <row r="973" ht="15.75" customHeight="1">
      <c r="F973" s="57"/>
      <c r="G973" s="57"/>
      <c r="H973" s="57"/>
    </row>
    <row r="974" ht="15.75" customHeight="1">
      <c r="F974" s="57"/>
      <c r="G974" s="57"/>
      <c r="H974" s="57"/>
    </row>
    <row r="975" ht="15.75" customHeight="1">
      <c r="F975" s="57"/>
      <c r="G975" s="57"/>
      <c r="H975" s="57"/>
    </row>
    <row r="976" ht="15.75" customHeight="1">
      <c r="F976" s="57"/>
      <c r="G976" s="57"/>
      <c r="H976" s="57"/>
    </row>
    <row r="977" ht="15.75" customHeight="1">
      <c r="F977" s="57"/>
      <c r="G977" s="57"/>
      <c r="H977" s="57"/>
    </row>
    <row r="978" ht="15.75" customHeight="1">
      <c r="F978" s="57"/>
      <c r="G978" s="57"/>
      <c r="H978" s="57"/>
    </row>
    <row r="979" ht="15.75" customHeight="1">
      <c r="F979" s="57"/>
      <c r="G979" s="57"/>
      <c r="H979" s="57"/>
    </row>
    <row r="980" ht="15.75" customHeight="1">
      <c r="F980" s="57"/>
      <c r="G980" s="57"/>
      <c r="H980" s="57"/>
    </row>
    <row r="981" ht="15.75" customHeight="1">
      <c r="F981" s="57"/>
      <c r="G981" s="57"/>
      <c r="H981" s="57"/>
    </row>
    <row r="982" ht="15.75" customHeight="1">
      <c r="F982" s="57"/>
      <c r="G982" s="57"/>
      <c r="H982" s="57"/>
    </row>
    <row r="983" ht="15.75" customHeight="1">
      <c r="F983" s="57"/>
      <c r="G983" s="57"/>
      <c r="H983" s="57"/>
    </row>
    <row r="984" ht="15.75" customHeight="1">
      <c r="F984" s="57"/>
      <c r="G984" s="57"/>
      <c r="H984" s="57"/>
    </row>
    <row r="985" ht="15.75" customHeight="1">
      <c r="F985" s="57"/>
      <c r="G985" s="57"/>
      <c r="H985" s="57"/>
    </row>
    <row r="986" ht="15.75" customHeight="1">
      <c r="F986" s="57"/>
      <c r="G986" s="57"/>
      <c r="H986" s="57"/>
    </row>
    <row r="987" ht="15.75" customHeight="1">
      <c r="F987" s="57"/>
      <c r="G987" s="57"/>
      <c r="H987" s="57"/>
    </row>
    <row r="988" ht="15.75" customHeight="1">
      <c r="F988" s="57"/>
      <c r="G988" s="57"/>
      <c r="H988" s="57"/>
    </row>
    <row r="989" ht="15.75" customHeight="1">
      <c r="F989" s="57"/>
      <c r="G989" s="57"/>
      <c r="H989" s="57"/>
    </row>
    <row r="990" ht="15.75" customHeight="1">
      <c r="F990" s="57"/>
      <c r="G990" s="57"/>
      <c r="H990" s="57"/>
    </row>
    <row r="991" ht="15.75" customHeight="1">
      <c r="F991" s="57"/>
      <c r="G991" s="57"/>
      <c r="H991" s="57"/>
    </row>
    <row r="992" ht="15.75" customHeight="1">
      <c r="F992" s="57"/>
      <c r="G992" s="57"/>
      <c r="H992" s="57"/>
    </row>
    <row r="993" ht="15.75" customHeight="1">
      <c r="F993" s="57"/>
      <c r="G993" s="57"/>
      <c r="H993" s="57"/>
    </row>
    <row r="994" ht="15.75" customHeight="1">
      <c r="F994" s="57"/>
      <c r="G994" s="57"/>
      <c r="H994" s="57"/>
    </row>
    <row r="995" ht="15.75" customHeight="1">
      <c r="F995" s="57"/>
      <c r="G995" s="57"/>
      <c r="H995" s="57"/>
    </row>
    <row r="996" ht="15.75" customHeight="1">
      <c r="F996" s="57"/>
      <c r="G996" s="57"/>
      <c r="H996" s="57"/>
    </row>
    <row r="997" ht="15.75" customHeight="1">
      <c r="F997" s="57"/>
      <c r="G997" s="57"/>
      <c r="H997" s="57"/>
    </row>
    <row r="998" ht="15.75" customHeight="1">
      <c r="F998" s="57"/>
      <c r="G998" s="57"/>
      <c r="H998" s="57"/>
    </row>
    <row r="999" ht="15.75" customHeight="1">
      <c r="F999" s="57"/>
      <c r="G999" s="57"/>
      <c r="H999" s="57"/>
    </row>
    <row r="1000" ht="15.75" customHeight="1">
      <c r="F1000" s="57"/>
      <c r="G1000" s="57"/>
      <c r="H1000" s="57"/>
    </row>
  </sheetData>
  <autoFilter ref="$A$1:$H$1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</row>
    <row r="2">
      <c r="F2" s="57"/>
      <c r="G2" s="57"/>
      <c r="H2" s="57"/>
    </row>
    <row r="3">
      <c r="F3" s="57"/>
      <c r="G3" s="57"/>
      <c r="H3" s="57"/>
    </row>
    <row r="4">
      <c r="F4" s="57"/>
      <c r="G4" s="57"/>
      <c r="H4" s="57"/>
    </row>
    <row r="5">
      <c r="F5" s="57"/>
      <c r="G5" s="57"/>
      <c r="H5" s="57"/>
    </row>
    <row r="6">
      <c r="F6" s="57"/>
      <c r="G6" s="57"/>
      <c r="H6" s="57"/>
    </row>
    <row r="7">
      <c r="F7" s="57"/>
      <c r="G7" s="57"/>
      <c r="H7" s="57"/>
    </row>
    <row r="8">
      <c r="F8" s="57"/>
      <c r="G8" s="57"/>
      <c r="H8" s="57"/>
    </row>
    <row r="9">
      <c r="F9" s="57"/>
      <c r="G9" s="57"/>
      <c r="H9" s="57"/>
    </row>
    <row r="10">
      <c r="F10" s="57"/>
      <c r="G10" s="57"/>
      <c r="H10" s="57"/>
    </row>
    <row r="11">
      <c r="F11" s="57"/>
      <c r="G11" s="57"/>
      <c r="H11" s="57"/>
    </row>
    <row r="12">
      <c r="F12" s="57"/>
      <c r="G12" s="57"/>
      <c r="H12" s="57"/>
    </row>
    <row r="13">
      <c r="F13" s="57"/>
      <c r="G13" s="57"/>
      <c r="H13" s="57"/>
    </row>
    <row r="14">
      <c r="F14" s="57"/>
      <c r="G14" s="57"/>
      <c r="H14" s="57"/>
    </row>
    <row r="15">
      <c r="F15" s="57"/>
      <c r="G15" s="57"/>
      <c r="H15" s="57"/>
    </row>
    <row r="16">
      <c r="F16" s="57"/>
      <c r="G16" s="57"/>
      <c r="H16" s="57"/>
    </row>
    <row r="17">
      <c r="F17" s="57"/>
      <c r="G17" s="57"/>
      <c r="H17" s="57"/>
    </row>
    <row r="18">
      <c r="F18" s="57"/>
      <c r="G18" s="57"/>
      <c r="H18" s="57"/>
    </row>
    <row r="19">
      <c r="F19" s="57"/>
      <c r="G19" s="57"/>
      <c r="H19" s="57"/>
    </row>
    <row r="20">
      <c r="F20" s="57"/>
      <c r="G20" s="57"/>
      <c r="H20" s="57"/>
    </row>
    <row r="21" ht="15.75" customHeight="1">
      <c r="F21" s="57"/>
      <c r="G21" s="57"/>
      <c r="H21" s="57"/>
    </row>
    <row r="22" ht="15.75" customHeight="1">
      <c r="F22" s="57"/>
      <c r="G22" s="57"/>
      <c r="H22" s="57"/>
    </row>
    <row r="23" ht="15.75" customHeight="1">
      <c r="F23" s="57"/>
      <c r="G23" s="57"/>
      <c r="H23" s="57"/>
    </row>
    <row r="24" ht="15.75" customHeight="1">
      <c r="F24" s="57"/>
      <c r="G24" s="57"/>
      <c r="H24" s="57"/>
    </row>
    <row r="25" ht="15.75" customHeight="1">
      <c r="F25" s="57"/>
      <c r="G25" s="57"/>
      <c r="H25" s="57"/>
    </row>
    <row r="26" ht="15.75" customHeight="1">
      <c r="F26" s="57"/>
      <c r="G26" s="57"/>
      <c r="H26" s="57"/>
    </row>
    <row r="27" ht="15.75" customHeight="1">
      <c r="F27" s="57"/>
      <c r="G27" s="57"/>
      <c r="H27" s="57"/>
    </row>
    <row r="28" ht="15.75" customHeight="1">
      <c r="F28" s="57"/>
      <c r="G28" s="57"/>
      <c r="H28" s="57"/>
    </row>
    <row r="29" ht="15.75" customHeight="1">
      <c r="F29" s="57"/>
      <c r="G29" s="57"/>
      <c r="H29" s="57"/>
    </row>
    <row r="30" ht="15.75" customHeight="1">
      <c r="F30" s="57"/>
      <c r="G30" s="57"/>
      <c r="H30" s="57"/>
    </row>
    <row r="31" ht="15.75" customHeight="1">
      <c r="F31" s="57"/>
      <c r="G31" s="57"/>
      <c r="H31" s="57"/>
    </row>
    <row r="32" ht="15.75" customHeight="1">
      <c r="F32" s="57"/>
      <c r="G32" s="57"/>
      <c r="H32" s="57"/>
    </row>
    <row r="33" ht="15.75" customHeight="1">
      <c r="F33" s="57"/>
      <c r="G33" s="57"/>
      <c r="H33" s="57"/>
    </row>
    <row r="34" ht="15.75" customHeight="1">
      <c r="F34" s="57"/>
      <c r="G34" s="57"/>
      <c r="H34" s="57"/>
    </row>
    <row r="35" ht="15.75" customHeight="1">
      <c r="F35" s="57"/>
      <c r="G35" s="57"/>
      <c r="H35" s="57"/>
    </row>
    <row r="36" ht="15.75" customHeight="1">
      <c r="F36" s="57"/>
      <c r="G36" s="57"/>
      <c r="H36" s="57"/>
    </row>
    <row r="37" ht="15.75" customHeight="1">
      <c r="F37" s="57"/>
      <c r="G37" s="57"/>
      <c r="H37" s="57"/>
    </row>
    <row r="38" ht="15.75" customHeight="1">
      <c r="F38" s="57"/>
      <c r="G38" s="57"/>
      <c r="H38" s="57"/>
    </row>
    <row r="39" ht="15.75" customHeight="1">
      <c r="F39" s="57"/>
      <c r="G39" s="57"/>
      <c r="H39" s="57"/>
    </row>
    <row r="40" ht="15.75" customHeight="1">
      <c r="F40" s="57"/>
      <c r="G40" s="57"/>
      <c r="H40" s="57"/>
    </row>
    <row r="41" ht="15.75" customHeight="1">
      <c r="F41" s="57"/>
      <c r="G41" s="57"/>
      <c r="H41" s="57"/>
    </row>
    <row r="42" ht="15.75" customHeight="1">
      <c r="F42" s="57"/>
      <c r="G42" s="57"/>
      <c r="H42" s="57"/>
    </row>
    <row r="43" ht="15.75" customHeight="1">
      <c r="F43" s="57"/>
      <c r="G43" s="57"/>
      <c r="H43" s="57"/>
    </row>
    <row r="44" ht="15.75" customHeight="1">
      <c r="F44" s="57"/>
      <c r="G44" s="57"/>
      <c r="H44" s="57"/>
    </row>
    <row r="45" ht="15.75" customHeight="1">
      <c r="F45" s="57"/>
      <c r="G45" s="57"/>
      <c r="H45" s="57"/>
    </row>
    <row r="46" ht="15.75" customHeight="1">
      <c r="F46" s="57"/>
      <c r="G46" s="57"/>
      <c r="H46" s="57"/>
    </row>
    <row r="47" ht="15.75" customHeight="1">
      <c r="F47" s="57"/>
      <c r="G47" s="57"/>
      <c r="H47" s="57"/>
    </row>
    <row r="48" ht="15.75" customHeight="1">
      <c r="F48" s="57"/>
      <c r="G48" s="57"/>
      <c r="H48" s="57"/>
    </row>
    <row r="49" ht="15.75" customHeight="1">
      <c r="F49" s="57"/>
      <c r="G49" s="57"/>
      <c r="H49" s="57"/>
    </row>
    <row r="50" ht="15.75" customHeight="1">
      <c r="F50" s="57"/>
      <c r="G50" s="57"/>
      <c r="H50" s="57"/>
    </row>
    <row r="51" ht="15.75" customHeight="1">
      <c r="F51" s="57"/>
      <c r="G51" s="57"/>
      <c r="H51" s="57"/>
    </row>
    <row r="52" ht="15.75" customHeight="1">
      <c r="F52" s="57"/>
      <c r="G52" s="57"/>
      <c r="H52" s="57"/>
    </row>
    <row r="53" ht="15.75" customHeight="1">
      <c r="F53" s="57"/>
      <c r="G53" s="57"/>
      <c r="H53" s="57"/>
    </row>
    <row r="54" ht="15.75" customHeight="1">
      <c r="F54" s="57"/>
      <c r="G54" s="57"/>
      <c r="H54" s="57"/>
    </row>
    <row r="55" ht="15.75" customHeight="1">
      <c r="F55" s="57"/>
      <c r="G55" s="57"/>
      <c r="H55" s="57"/>
    </row>
    <row r="56" ht="15.75" customHeight="1">
      <c r="F56" s="57"/>
      <c r="G56" s="57"/>
      <c r="H56" s="57"/>
    </row>
    <row r="57" ht="15.75" customHeight="1">
      <c r="F57" s="57"/>
      <c r="G57" s="57"/>
      <c r="H57" s="57"/>
    </row>
    <row r="58" ht="15.75" customHeight="1">
      <c r="F58" s="57"/>
      <c r="G58" s="57"/>
      <c r="H58" s="57"/>
    </row>
    <row r="59" ht="15.75" customHeight="1">
      <c r="F59" s="57"/>
      <c r="G59" s="57"/>
      <c r="H59" s="57"/>
    </row>
    <row r="60" ht="15.75" customHeight="1">
      <c r="F60" s="57"/>
      <c r="G60" s="57"/>
      <c r="H60" s="57"/>
    </row>
    <row r="61" ht="15.75" customHeight="1">
      <c r="F61" s="57"/>
      <c r="G61" s="57"/>
      <c r="H61" s="57"/>
    </row>
    <row r="62" ht="15.75" customHeight="1">
      <c r="F62" s="57"/>
      <c r="G62" s="57"/>
      <c r="H62" s="57"/>
    </row>
    <row r="63" ht="15.75" customHeight="1">
      <c r="F63" s="57"/>
      <c r="G63" s="57"/>
      <c r="H63" s="57"/>
    </row>
    <row r="64" ht="15.75" customHeight="1">
      <c r="F64" s="57"/>
      <c r="G64" s="57"/>
      <c r="H64" s="57"/>
    </row>
    <row r="65" ht="15.75" customHeight="1">
      <c r="F65" s="57"/>
      <c r="G65" s="57"/>
      <c r="H65" s="57"/>
    </row>
    <row r="66" ht="15.75" customHeight="1">
      <c r="F66" s="57"/>
      <c r="G66" s="57"/>
      <c r="H66" s="57"/>
    </row>
    <row r="67" ht="15.75" customHeight="1">
      <c r="F67" s="57"/>
      <c r="G67" s="57"/>
      <c r="H67" s="57"/>
    </row>
    <row r="68" ht="15.75" customHeight="1">
      <c r="F68" s="57"/>
      <c r="G68" s="57"/>
      <c r="H68" s="57"/>
    </row>
    <row r="69" ht="15.75" customHeight="1">
      <c r="F69" s="57"/>
      <c r="G69" s="57"/>
      <c r="H69" s="57"/>
    </row>
    <row r="70" ht="15.75" customHeight="1">
      <c r="F70" s="57"/>
      <c r="G70" s="57"/>
      <c r="H70" s="57"/>
    </row>
    <row r="71" ht="15.75" customHeight="1">
      <c r="F71" s="57"/>
      <c r="G71" s="57"/>
      <c r="H71" s="57"/>
    </row>
    <row r="72" ht="15.75" customHeight="1">
      <c r="F72" s="57"/>
      <c r="G72" s="57"/>
      <c r="H72" s="57"/>
    </row>
    <row r="73" ht="15.75" customHeight="1">
      <c r="F73" s="57"/>
      <c r="G73" s="57"/>
      <c r="H73" s="57"/>
    </row>
    <row r="74" ht="15.75" customHeight="1">
      <c r="F74" s="57"/>
      <c r="G74" s="57"/>
      <c r="H74" s="57"/>
    </row>
    <row r="75" ht="15.75" customHeight="1">
      <c r="F75" s="57"/>
      <c r="G75" s="57"/>
      <c r="H75" s="57"/>
    </row>
    <row r="76" ht="15.75" customHeight="1">
      <c r="F76" s="57"/>
      <c r="G76" s="57"/>
      <c r="H76" s="57"/>
    </row>
    <row r="77" ht="15.75" customHeight="1">
      <c r="F77" s="57"/>
      <c r="G77" s="57"/>
      <c r="H77" s="57"/>
    </row>
    <row r="78" ht="15.75" customHeight="1">
      <c r="F78" s="57"/>
      <c r="G78" s="57"/>
      <c r="H78" s="57"/>
    </row>
    <row r="79" ht="15.75" customHeight="1">
      <c r="F79" s="57"/>
      <c r="G79" s="57"/>
      <c r="H79" s="57"/>
    </row>
    <row r="80" ht="15.75" customHeight="1">
      <c r="F80" s="57"/>
      <c r="G80" s="57"/>
      <c r="H80" s="57"/>
    </row>
    <row r="81" ht="15.75" customHeight="1">
      <c r="F81" s="57"/>
      <c r="G81" s="57"/>
      <c r="H81" s="57"/>
    </row>
    <row r="82" ht="15.75" customHeight="1">
      <c r="F82" s="57"/>
      <c r="G82" s="57"/>
      <c r="H82" s="57"/>
    </row>
    <row r="83" ht="15.75" customHeight="1">
      <c r="F83" s="57"/>
      <c r="G83" s="57"/>
      <c r="H83" s="57"/>
    </row>
    <row r="84" ht="15.75" customHeight="1">
      <c r="F84" s="57"/>
      <c r="G84" s="57"/>
      <c r="H84" s="57"/>
    </row>
    <row r="85" ht="15.75" customHeight="1">
      <c r="F85" s="57"/>
      <c r="G85" s="57"/>
      <c r="H85" s="57"/>
    </row>
    <row r="86" ht="15.75" customHeight="1">
      <c r="F86" s="57"/>
      <c r="G86" s="57"/>
      <c r="H86" s="57"/>
    </row>
    <row r="87" ht="15.75" customHeight="1">
      <c r="F87" s="57"/>
      <c r="G87" s="57"/>
      <c r="H87" s="57"/>
    </row>
    <row r="88" ht="15.75" customHeight="1">
      <c r="F88" s="57"/>
      <c r="G88" s="57"/>
      <c r="H88" s="57"/>
    </row>
    <row r="89" ht="15.75" customHeight="1">
      <c r="F89" s="57"/>
      <c r="G89" s="57"/>
      <c r="H89" s="57"/>
    </row>
    <row r="90" ht="15.75" customHeight="1">
      <c r="F90" s="57"/>
      <c r="G90" s="57"/>
      <c r="H90" s="57"/>
    </row>
    <row r="91" ht="15.75" customHeight="1">
      <c r="F91" s="57"/>
      <c r="G91" s="57"/>
      <c r="H91" s="57"/>
    </row>
    <row r="92" ht="15.75" customHeight="1">
      <c r="F92" s="57"/>
      <c r="G92" s="57"/>
      <c r="H92" s="57"/>
    </row>
    <row r="93" ht="15.75" customHeight="1">
      <c r="F93" s="57"/>
      <c r="G93" s="57"/>
      <c r="H93" s="57"/>
    </row>
    <row r="94" ht="15.75" customHeight="1">
      <c r="F94" s="57"/>
      <c r="G94" s="57"/>
      <c r="H94" s="57"/>
    </row>
    <row r="95" ht="15.75" customHeight="1">
      <c r="F95" s="57"/>
      <c r="G95" s="57"/>
      <c r="H95" s="57"/>
    </row>
    <row r="96" ht="15.75" customHeight="1">
      <c r="F96" s="57"/>
      <c r="G96" s="57"/>
      <c r="H96" s="57"/>
    </row>
    <row r="97" ht="15.75" customHeight="1">
      <c r="F97" s="57"/>
      <c r="G97" s="57"/>
      <c r="H97" s="57"/>
    </row>
    <row r="98" ht="15.75" customHeight="1">
      <c r="F98" s="57"/>
      <c r="G98" s="57"/>
      <c r="H98" s="57"/>
    </row>
    <row r="99" ht="15.75" customHeight="1">
      <c r="F99" s="57"/>
      <c r="G99" s="57"/>
      <c r="H99" s="57"/>
    </row>
    <row r="100" ht="15.75" customHeight="1">
      <c r="F100" s="57"/>
      <c r="G100" s="57"/>
      <c r="H100" s="57"/>
    </row>
    <row r="101" ht="15.75" customHeight="1">
      <c r="F101" s="57"/>
      <c r="G101" s="57"/>
      <c r="H101" s="57"/>
    </row>
    <row r="102" ht="15.75" customHeight="1">
      <c r="F102" s="57"/>
      <c r="G102" s="57"/>
      <c r="H102" s="57"/>
    </row>
    <row r="103" ht="15.75" customHeight="1">
      <c r="F103" s="57"/>
      <c r="G103" s="57"/>
      <c r="H103" s="57"/>
    </row>
    <row r="104" ht="15.75" customHeight="1">
      <c r="F104" s="57"/>
      <c r="G104" s="57"/>
      <c r="H104" s="57"/>
    </row>
    <row r="105" ht="15.75" customHeight="1">
      <c r="F105" s="57"/>
      <c r="G105" s="57"/>
      <c r="H105" s="57"/>
    </row>
    <row r="106" ht="15.75" customHeight="1">
      <c r="F106" s="57"/>
      <c r="G106" s="57"/>
      <c r="H106" s="57"/>
    </row>
    <row r="107" ht="15.75" customHeight="1">
      <c r="F107" s="57"/>
      <c r="G107" s="57"/>
      <c r="H107" s="57"/>
    </row>
    <row r="108" ht="15.75" customHeight="1">
      <c r="F108" s="57"/>
      <c r="G108" s="57"/>
      <c r="H108" s="57"/>
    </row>
    <row r="109" ht="15.75" customHeight="1">
      <c r="F109" s="57"/>
      <c r="G109" s="57"/>
      <c r="H109" s="57"/>
    </row>
    <row r="110" ht="15.75" customHeight="1">
      <c r="F110" s="57"/>
      <c r="G110" s="57"/>
      <c r="H110" s="57"/>
    </row>
    <row r="111" ht="15.75" customHeight="1">
      <c r="F111" s="57"/>
      <c r="G111" s="57"/>
      <c r="H111" s="57"/>
    </row>
    <row r="112" ht="15.75" customHeight="1">
      <c r="F112" s="57"/>
      <c r="G112" s="57"/>
      <c r="H112" s="57"/>
    </row>
    <row r="113" ht="15.75" customHeight="1">
      <c r="F113" s="57"/>
      <c r="G113" s="57"/>
      <c r="H113" s="57"/>
    </row>
    <row r="114" ht="15.75" customHeight="1">
      <c r="F114" s="57"/>
      <c r="G114" s="57"/>
      <c r="H114" s="57"/>
    </row>
    <row r="115" ht="15.75" customHeight="1">
      <c r="F115" s="57"/>
      <c r="G115" s="57"/>
      <c r="H115" s="57"/>
    </row>
    <row r="116" ht="15.75" customHeight="1">
      <c r="F116" s="57"/>
      <c r="G116" s="57"/>
      <c r="H116" s="57"/>
    </row>
    <row r="117" ht="15.75" customHeight="1">
      <c r="F117" s="57"/>
      <c r="G117" s="57"/>
      <c r="H117" s="57"/>
    </row>
    <row r="118" ht="15.75" customHeight="1">
      <c r="F118" s="57"/>
      <c r="G118" s="57"/>
      <c r="H118" s="57"/>
    </row>
    <row r="119" ht="15.75" customHeight="1">
      <c r="F119" s="57"/>
      <c r="G119" s="57"/>
      <c r="H119" s="57"/>
    </row>
    <row r="120" ht="15.75" customHeight="1">
      <c r="F120" s="57"/>
      <c r="G120" s="57"/>
      <c r="H120" s="57"/>
    </row>
    <row r="121" ht="15.75" customHeight="1">
      <c r="F121" s="57"/>
      <c r="G121" s="57"/>
      <c r="H121" s="57"/>
    </row>
    <row r="122" ht="15.75" customHeight="1">
      <c r="F122" s="57"/>
      <c r="G122" s="57"/>
      <c r="H122" s="57"/>
    </row>
    <row r="123" ht="15.75" customHeight="1">
      <c r="F123" s="57"/>
      <c r="G123" s="57"/>
      <c r="H123" s="57"/>
    </row>
    <row r="124" ht="15.75" customHeight="1">
      <c r="F124" s="57"/>
      <c r="G124" s="57"/>
      <c r="H124" s="57"/>
    </row>
    <row r="125" ht="15.75" customHeight="1">
      <c r="F125" s="57"/>
      <c r="G125" s="57"/>
      <c r="H125" s="57"/>
    </row>
    <row r="126" ht="15.75" customHeight="1">
      <c r="F126" s="57"/>
      <c r="G126" s="57"/>
      <c r="H126" s="57"/>
    </row>
    <row r="127" ht="15.75" customHeight="1">
      <c r="F127" s="57"/>
      <c r="G127" s="57"/>
      <c r="H127" s="57"/>
    </row>
    <row r="128" ht="15.75" customHeight="1">
      <c r="F128" s="57"/>
      <c r="G128" s="57"/>
      <c r="H128" s="57"/>
    </row>
    <row r="129" ht="15.75" customHeight="1">
      <c r="F129" s="57"/>
      <c r="G129" s="57"/>
      <c r="H129" s="57"/>
    </row>
    <row r="130" ht="15.75" customHeight="1">
      <c r="F130" s="57"/>
      <c r="G130" s="57"/>
      <c r="H130" s="57"/>
    </row>
    <row r="131" ht="15.75" customHeight="1">
      <c r="F131" s="57"/>
      <c r="G131" s="57"/>
      <c r="H131" s="57"/>
    </row>
    <row r="132" ht="15.75" customHeight="1">
      <c r="F132" s="57"/>
      <c r="G132" s="57"/>
      <c r="H132" s="57"/>
    </row>
    <row r="133" ht="15.75" customHeight="1">
      <c r="F133" s="57"/>
      <c r="G133" s="57"/>
      <c r="H133" s="57"/>
    </row>
    <row r="134" ht="15.75" customHeight="1">
      <c r="F134" s="57"/>
      <c r="G134" s="57"/>
      <c r="H134" s="57"/>
    </row>
    <row r="135" ht="15.75" customHeight="1">
      <c r="F135" s="57"/>
      <c r="G135" s="57"/>
      <c r="H135" s="57"/>
    </row>
    <row r="136" ht="15.75" customHeight="1">
      <c r="F136" s="57"/>
      <c r="G136" s="57"/>
      <c r="H136" s="57"/>
    </row>
    <row r="137" ht="15.75" customHeight="1">
      <c r="F137" s="57"/>
      <c r="G137" s="57"/>
      <c r="H137" s="57"/>
    </row>
    <row r="138" ht="15.75" customHeight="1">
      <c r="F138" s="57"/>
      <c r="G138" s="57"/>
      <c r="H138" s="57"/>
    </row>
    <row r="139" ht="15.75" customHeight="1">
      <c r="F139" s="57"/>
      <c r="G139" s="57"/>
      <c r="H139" s="57"/>
    </row>
    <row r="140" ht="15.75" customHeight="1">
      <c r="F140" s="57"/>
      <c r="G140" s="57"/>
      <c r="H140" s="57"/>
    </row>
    <row r="141" ht="15.75" customHeight="1">
      <c r="F141" s="57"/>
      <c r="G141" s="57"/>
      <c r="H141" s="57"/>
    </row>
    <row r="142" ht="15.75" customHeight="1">
      <c r="F142" s="57"/>
      <c r="G142" s="57"/>
      <c r="H142" s="57"/>
    </row>
    <row r="143" ht="15.75" customHeight="1">
      <c r="F143" s="57"/>
      <c r="G143" s="57"/>
      <c r="H143" s="57"/>
    </row>
    <row r="144" ht="15.75" customHeight="1">
      <c r="F144" s="57"/>
      <c r="G144" s="57"/>
      <c r="H144" s="57"/>
    </row>
    <row r="145" ht="15.75" customHeight="1">
      <c r="F145" s="57"/>
      <c r="G145" s="57"/>
      <c r="H145" s="57"/>
    </row>
    <row r="146" ht="15.75" customHeight="1">
      <c r="F146" s="57"/>
      <c r="G146" s="57"/>
      <c r="H146" s="57"/>
    </row>
    <row r="147" ht="15.75" customHeight="1">
      <c r="F147" s="57"/>
      <c r="G147" s="57"/>
      <c r="H147" s="57"/>
    </row>
    <row r="148" ht="15.75" customHeight="1">
      <c r="F148" s="57"/>
      <c r="G148" s="57"/>
      <c r="H148" s="57"/>
    </row>
    <row r="149" ht="15.75" customHeight="1">
      <c r="F149" s="57"/>
      <c r="G149" s="57"/>
      <c r="H149" s="57"/>
    </row>
    <row r="150" ht="15.75" customHeight="1">
      <c r="F150" s="57"/>
      <c r="G150" s="57"/>
      <c r="H150" s="57"/>
    </row>
    <row r="151" ht="15.75" customHeight="1">
      <c r="F151" s="57"/>
      <c r="G151" s="57"/>
      <c r="H151" s="57"/>
    </row>
    <row r="152" ht="15.75" customHeight="1">
      <c r="F152" s="57"/>
      <c r="G152" s="57"/>
      <c r="H152" s="57"/>
    </row>
    <row r="153" ht="15.75" customHeight="1">
      <c r="F153" s="57"/>
      <c r="G153" s="57"/>
      <c r="H153" s="57"/>
    </row>
    <row r="154" ht="15.75" customHeight="1">
      <c r="F154" s="57"/>
      <c r="G154" s="57"/>
      <c r="H154" s="57"/>
    </row>
    <row r="155" ht="15.75" customHeight="1">
      <c r="F155" s="57"/>
      <c r="G155" s="57"/>
      <c r="H155" s="57"/>
    </row>
    <row r="156" ht="15.75" customHeight="1">
      <c r="F156" s="57"/>
      <c r="G156" s="57"/>
      <c r="H156" s="57"/>
    </row>
    <row r="157" ht="15.75" customHeight="1">
      <c r="F157" s="57"/>
      <c r="G157" s="57"/>
      <c r="H157" s="57"/>
    </row>
    <row r="158" ht="15.75" customHeight="1">
      <c r="F158" s="57"/>
      <c r="G158" s="57"/>
      <c r="H158" s="57"/>
    </row>
    <row r="159" ht="15.75" customHeight="1">
      <c r="F159" s="57"/>
      <c r="G159" s="57"/>
      <c r="H159" s="57"/>
    </row>
    <row r="160" ht="15.75" customHeight="1">
      <c r="F160" s="57"/>
      <c r="G160" s="57"/>
      <c r="H160" s="57"/>
    </row>
    <row r="161" ht="15.75" customHeight="1">
      <c r="F161" s="57"/>
      <c r="G161" s="57"/>
      <c r="H161" s="57"/>
    </row>
    <row r="162" ht="15.75" customHeight="1">
      <c r="F162" s="57"/>
      <c r="G162" s="57"/>
      <c r="H162" s="57"/>
    </row>
    <row r="163" ht="15.75" customHeight="1">
      <c r="F163" s="57"/>
      <c r="G163" s="57"/>
      <c r="H163" s="57"/>
    </row>
    <row r="164" ht="15.75" customHeight="1">
      <c r="F164" s="57"/>
      <c r="G164" s="57"/>
      <c r="H164" s="57"/>
    </row>
    <row r="165" ht="15.75" customHeight="1">
      <c r="F165" s="57"/>
      <c r="G165" s="57"/>
      <c r="H165" s="57"/>
    </row>
    <row r="166" ht="15.75" customHeight="1">
      <c r="F166" s="57"/>
      <c r="G166" s="57"/>
      <c r="H166" s="57"/>
    </row>
    <row r="167" ht="15.75" customHeight="1">
      <c r="F167" s="57"/>
      <c r="G167" s="57"/>
      <c r="H167" s="57"/>
    </row>
    <row r="168" ht="15.75" customHeight="1">
      <c r="F168" s="57"/>
      <c r="G168" s="57"/>
      <c r="H168" s="57"/>
    </row>
    <row r="169" ht="15.75" customHeight="1">
      <c r="F169" s="57"/>
      <c r="G169" s="57"/>
      <c r="H169" s="57"/>
    </row>
    <row r="170" ht="15.75" customHeight="1">
      <c r="F170" s="57"/>
      <c r="G170" s="57"/>
      <c r="H170" s="57"/>
    </row>
    <row r="171" ht="15.75" customHeight="1">
      <c r="F171" s="57"/>
      <c r="G171" s="57"/>
      <c r="H171" s="57"/>
    </row>
    <row r="172" ht="15.75" customHeight="1">
      <c r="F172" s="57"/>
      <c r="G172" s="57"/>
      <c r="H172" s="57"/>
    </row>
    <row r="173" ht="15.75" customHeight="1">
      <c r="F173" s="57"/>
      <c r="G173" s="57"/>
      <c r="H173" s="57"/>
    </row>
    <row r="174" ht="15.75" customHeight="1">
      <c r="F174" s="57"/>
      <c r="G174" s="57"/>
      <c r="H174" s="57"/>
    </row>
    <row r="175" ht="15.75" customHeight="1">
      <c r="F175" s="57"/>
      <c r="G175" s="57"/>
      <c r="H175" s="57"/>
    </row>
    <row r="176" ht="15.75" customHeight="1">
      <c r="F176" s="57"/>
      <c r="G176" s="57"/>
      <c r="H176" s="57"/>
    </row>
    <row r="177" ht="15.75" customHeight="1">
      <c r="F177" s="57"/>
      <c r="G177" s="57"/>
      <c r="H177" s="57"/>
    </row>
    <row r="178" ht="15.75" customHeight="1">
      <c r="F178" s="57"/>
      <c r="G178" s="57"/>
      <c r="H178" s="57"/>
    </row>
    <row r="179" ht="15.75" customHeight="1">
      <c r="F179" s="57"/>
      <c r="G179" s="57"/>
      <c r="H179" s="57"/>
    </row>
    <row r="180" ht="15.75" customHeight="1">
      <c r="F180" s="57"/>
      <c r="G180" s="57"/>
      <c r="H180" s="57"/>
    </row>
    <row r="181" ht="15.75" customHeight="1">
      <c r="F181" s="57"/>
      <c r="G181" s="57"/>
      <c r="H181" s="57"/>
    </row>
    <row r="182" ht="15.75" customHeight="1">
      <c r="F182" s="57"/>
      <c r="G182" s="57"/>
      <c r="H182" s="57"/>
    </row>
    <row r="183" ht="15.75" customHeight="1">
      <c r="F183" s="57"/>
      <c r="G183" s="57"/>
      <c r="H183" s="57"/>
    </row>
    <row r="184" ht="15.75" customHeight="1">
      <c r="F184" s="57"/>
      <c r="G184" s="57"/>
      <c r="H184" s="57"/>
    </row>
    <row r="185" ht="15.75" customHeight="1">
      <c r="F185" s="57"/>
      <c r="G185" s="57"/>
      <c r="H185" s="57"/>
    </row>
    <row r="186" ht="15.75" customHeight="1">
      <c r="F186" s="57"/>
      <c r="G186" s="57"/>
      <c r="H186" s="57"/>
    </row>
    <row r="187" ht="15.75" customHeight="1">
      <c r="F187" s="57"/>
      <c r="G187" s="57"/>
      <c r="H187" s="57"/>
    </row>
    <row r="188" ht="15.75" customHeight="1">
      <c r="F188" s="57"/>
      <c r="G188" s="57"/>
      <c r="H188" s="57"/>
    </row>
    <row r="189" ht="15.75" customHeight="1">
      <c r="F189" s="57"/>
      <c r="G189" s="57"/>
      <c r="H189" s="57"/>
    </row>
    <row r="190" ht="15.75" customHeight="1">
      <c r="F190" s="57"/>
      <c r="G190" s="57"/>
      <c r="H190" s="57"/>
    </row>
    <row r="191" ht="15.75" customHeight="1">
      <c r="F191" s="57"/>
      <c r="G191" s="57"/>
      <c r="H191" s="57"/>
    </row>
    <row r="192" ht="15.75" customHeight="1">
      <c r="F192" s="57"/>
      <c r="G192" s="57"/>
      <c r="H192" s="57"/>
    </row>
    <row r="193" ht="15.75" customHeight="1">
      <c r="F193" s="57"/>
      <c r="G193" s="57"/>
      <c r="H193" s="57"/>
    </row>
    <row r="194" ht="15.75" customHeight="1">
      <c r="F194" s="57"/>
      <c r="G194" s="57"/>
      <c r="H194" s="57"/>
    </row>
    <row r="195" ht="15.75" customHeight="1">
      <c r="F195" s="57"/>
      <c r="G195" s="57"/>
      <c r="H195" s="57"/>
    </row>
    <row r="196" ht="15.75" customHeight="1">
      <c r="F196" s="57"/>
      <c r="G196" s="57"/>
      <c r="H196" s="57"/>
    </row>
    <row r="197" ht="15.75" customHeight="1">
      <c r="F197" s="57"/>
      <c r="G197" s="57"/>
      <c r="H197" s="57"/>
    </row>
    <row r="198" ht="15.75" customHeight="1">
      <c r="F198" s="57"/>
      <c r="G198" s="57"/>
      <c r="H198" s="57"/>
    </row>
    <row r="199" ht="15.75" customHeight="1">
      <c r="F199" s="57"/>
      <c r="G199" s="57"/>
      <c r="H199" s="57"/>
    </row>
    <row r="200" ht="15.75" customHeight="1">
      <c r="F200" s="57"/>
      <c r="G200" s="57"/>
      <c r="H200" s="57"/>
    </row>
    <row r="201" ht="15.75" customHeight="1">
      <c r="F201" s="57"/>
      <c r="G201" s="57"/>
      <c r="H201" s="57"/>
    </row>
    <row r="202" ht="15.75" customHeight="1">
      <c r="F202" s="57"/>
      <c r="G202" s="57"/>
      <c r="H202" s="57"/>
    </row>
    <row r="203" ht="15.75" customHeight="1">
      <c r="F203" s="57"/>
      <c r="G203" s="57"/>
      <c r="H203" s="57"/>
    </row>
    <row r="204" ht="15.75" customHeight="1">
      <c r="F204" s="57"/>
      <c r="G204" s="57"/>
      <c r="H204" s="57"/>
    </row>
    <row r="205" ht="15.75" customHeight="1">
      <c r="F205" s="57"/>
      <c r="G205" s="57"/>
      <c r="H205" s="57"/>
    </row>
    <row r="206" ht="15.75" customHeight="1">
      <c r="F206" s="57"/>
      <c r="G206" s="57"/>
      <c r="H206" s="57"/>
    </row>
    <row r="207" ht="15.75" customHeight="1">
      <c r="F207" s="57"/>
      <c r="G207" s="57"/>
      <c r="H207" s="57"/>
    </row>
    <row r="208" ht="15.75" customHeight="1">
      <c r="F208" s="57"/>
      <c r="G208" s="57"/>
      <c r="H208" s="57"/>
    </row>
    <row r="209" ht="15.75" customHeight="1">
      <c r="F209" s="57"/>
      <c r="G209" s="57"/>
      <c r="H209" s="57"/>
    </row>
    <row r="210" ht="15.75" customHeight="1">
      <c r="F210" s="57"/>
      <c r="G210" s="57"/>
      <c r="H210" s="57"/>
    </row>
    <row r="211" ht="15.75" customHeight="1">
      <c r="F211" s="57"/>
      <c r="G211" s="57"/>
      <c r="H211" s="57"/>
    </row>
    <row r="212" ht="15.75" customHeight="1">
      <c r="F212" s="57"/>
      <c r="G212" s="57"/>
      <c r="H212" s="57"/>
    </row>
    <row r="213" ht="15.75" customHeight="1">
      <c r="F213" s="57"/>
      <c r="G213" s="57"/>
      <c r="H213" s="57"/>
    </row>
    <row r="214" ht="15.75" customHeight="1">
      <c r="F214" s="57"/>
      <c r="G214" s="57"/>
      <c r="H214" s="57"/>
    </row>
    <row r="215" ht="15.75" customHeight="1">
      <c r="F215" s="57"/>
      <c r="G215" s="57"/>
      <c r="H215" s="57"/>
    </row>
    <row r="216" ht="15.75" customHeight="1">
      <c r="F216" s="57"/>
      <c r="G216" s="57"/>
      <c r="H216" s="57"/>
    </row>
    <row r="217" ht="15.75" customHeight="1">
      <c r="F217" s="57"/>
      <c r="G217" s="57"/>
      <c r="H217" s="57"/>
    </row>
    <row r="218" ht="15.75" customHeight="1">
      <c r="F218" s="57"/>
      <c r="G218" s="57"/>
      <c r="H218" s="57"/>
    </row>
    <row r="219" ht="15.75" customHeight="1">
      <c r="F219" s="57"/>
      <c r="G219" s="57"/>
      <c r="H219" s="57"/>
    </row>
    <row r="220" ht="15.75" customHeight="1">
      <c r="F220" s="57"/>
      <c r="G220" s="57"/>
      <c r="H220" s="57"/>
    </row>
    <row r="221" ht="15.75" customHeight="1">
      <c r="F221" s="57"/>
      <c r="G221" s="57"/>
      <c r="H221" s="57"/>
    </row>
    <row r="222" ht="15.75" customHeight="1">
      <c r="F222" s="57"/>
      <c r="G222" s="57"/>
      <c r="H222" s="57"/>
    </row>
    <row r="223" ht="15.75" customHeight="1">
      <c r="F223" s="57"/>
      <c r="G223" s="57"/>
      <c r="H223" s="57"/>
    </row>
    <row r="224" ht="15.75" customHeight="1">
      <c r="F224" s="57"/>
      <c r="G224" s="57"/>
      <c r="H224" s="57"/>
    </row>
    <row r="225" ht="15.75" customHeight="1">
      <c r="F225" s="57"/>
      <c r="G225" s="57"/>
      <c r="H225" s="57"/>
    </row>
    <row r="226" ht="15.75" customHeight="1">
      <c r="F226" s="57"/>
      <c r="G226" s="57"/>
      <c r="H226" s="57"/>
    </row>
    <row r="227" ht="15.75" customHeight="1">
      <c r="F227" s="57"/>
      <c r="G227" s="57"/>
      <c r="H227" s="57"/>
    </row>
    <row r="228" ht="15.75" customHeight="1">
      <c r="F228" s="57"/>
      <c r="G228" s="57"/>
      <c r="H228" s="57"/>
    </row>
    <row r="229" ht="15.75" customHeight="1">
      <c r="F229" s="57"/>
      <c r="G229" s="57"/>
      <c r="H229" s="57"/>
    </row>
    <row r="230" ht="15.75" customHeight="1">
      <c r="F230" s="57"/>
      <c r="G230" s="57"/>
      <c r="H230" s="57"/>
    </row>
    <row r="231" ht="15.75" customHeight="1">
      <c r="F231" s="57"/>
      <c r="G231" s="57"/>
      <c r="H231" s="57"/>
    </row>
    <row r="232" ht="15.75" customHeight="1">
      <c r="F232" s="57"/>
      <c r="G232" s="57"/>
      <c r="H232" s="57"/>
    </row>
    <row r="233" ht="15.75" customHeight="1">
      <c r="F233" s="57"/>
      <c r="G233" s="57"/>
      <c r="H233" s="57"/>
    </row>
    <row r="234" ht="15.75" customHeight="1">
      <c r="F234" s="57"/>
      <c r="G234" s="57"/>
      <c r="H234" s="57"/>
    </row>
    <row r="235" ht="15.75" customHeight="1">
      <c r="F235" s="57"/>
      <c r="G235" s="57"/>
      <c r="H235" s="57"/>
    </row>
    <row r="236" ht="15.75" customHeight="1">
      <c r="F236" s="57"/>
      <c r="G236" s="57"/>
      <c r="H236" s="57"/>
    </row>
    <row r="237" ht="15.75" customHeight="1">
      <c r="F237" s="57"/>
      <c r="G237" s="57"/>
      <c r="H237" s="57"/>
    </row>
    <row r="238" ht="15.75" customHeight="1">
      <c r="F238" s="57"/>
      <c r="G238" s="57"/>
      <c r="H238" s="57"/>
    </row>
    <row r="239" ht="15.75" customHeight="1">
      <c r="F239" s="57"/>
      <c r="G239" s="57"/>
      <c r="H239" s="57"/>
    </row>
    <row r="240" ht="15.75" customHeight="1">
      <c r="F240" s="57"/>
      <c r="G240" s="57"/>
      <c r="H240" s="57"/>
    </row>
    <row r="241" ht="15.75" customHeight="1">
      <c r="F241" s="57"/>
      <c r="G241" s="57"/>
      <c r="H241" s="57"/>
    </row>
    <row r="242" ht="15.75" customHeight="1">
      <c r="F242" s="57"/>
      <c r="G242" s="57"/>
      <c r="H242" s="57"/>
    </row>
    <row r="243" ht="15.75" customHeight="1">
      <c r="F243" s="57"/>
      <c r="G243" s="57"/>
      <c r="H243" s="57"/>
    </row>
    <row r="244" ht="15.75" customHeight="1">
      <c r="F244" s="57"/>
      <c r="G244" s="57"/>
      <c r="H244" s="57"/>
    </row>
    <row r="245" ht="15.75" customHeight="1">
      <c r="F245" s="57"/>
      <c r="G245" s="57"/>
      <c r="H245" s="57"/>
    </row>
    <row r="246" ht="15.75" customHeight="1">
      <c r="F246" s="57"/>
      <c r="G246" s="57"/>
      <c r="H246" s="57"/>
    </row>
    <row r="247" ht="15.75" customHeight="1">
      <c r="F247" s="57"/>
      <c r="G247" s="57"/>
      <c r="H247" s="57"/>
    </row>
    <row r="248" ht="15.75" customHeight="1">
      <c r="F248" s="57"/>
      <c r="G248" s="57"/>
      <c r="H248" s="57"/>
    </row>
    <row r="249" ht="15.75" customHeight="1">
      <c r="F249" s="57"/>
      <c r="G249" s="57"/>
      <c r="H249" s="57"/>
    </row>
    <row r="250" ht="15.75" customHeight="1">
      <c r="F250" s="57"/>
      <c r="G250" s="57"/>
      <c r="H250" s="57"/>
    </row>
    <row r="251" ht="15.75" customHeight="1">
      <c r="F251" s="57"/>
      <c r="G251" s="57"/>
      <c r="H251" s="57"/>
    </row>
    <row r="252" ht="15.75" customHeight="1">
      <c r="F252" s="57"/>
      <c r="G252" s="57"/>
      <c r="H252" s="57"/>
    </row>
    <row r="253" ht="15.75" customHeight="1">
      <c r="F253" s="57"/>
      <c r="G253" s="57"/>
      <c r="H253" s="57"/>
    </row>
    <row r="254" ht="15.75" customHeight="1">
      <c r="F254" s="57"/>
      <c r="G254" s="57"/>
      <c r="H254" s="57"/>
    </row>
    <row r="255" ht="15.75" customHeight="1">
      <c r="F255" s="57"/>
      <c r="G255" s="57"/>
      <c r="H255" s="57"/>
    </row>
    <row r="256" ht="15.75" customHeight="1">
      <c r="F256" s="57"/>
      <c r="G256" s="57"/>
      <c r="H256" s="57"/>
    </row>
    <row r="257" ht="15.75" customHeight="1">
      <c r="F257" s="57"/>
      <c r="G257" s="57"/>
      <c r="H257" s="57"/>
    </row>
    <row r="258" ht="15.75" customHeight="1">
      <c r="F258" s="57"/>
      <c r="G258" s="57"/>
      <c r="H258" s="57"/>
    </row>
    <row r="259" ht="15.75" customHeight="1">
      <c r="F259" s="57"/>
      <c r="G259" s="57"/>
      <c r="H259" s="57"/>
    </row>
    <row r="260" ht="15.75" customHeight="1">
      <c r="F260" s="57"/>
      <c r="G260" s="57"/>
      <c r="H260" s="57"/>
    </row>
    <row r="261" ht="15.75" customHeight="1">
      <c r="F261" s="57"/>
      <c r="G261" s="57"/>
      <c r="H261" s="57"/>
    </row>
    <row r="262" ht="15.75" customHeight="1">
      <c r="F262" s="57"/>
      <c r="G262" s="57"/>
      <c r="H262" s="57"/>
    </row>
    <row r="263" ht="15.75" customHeight="1">
      <c r="F263" s="57"/>
      <c r="G263" s="57"/>
      <c r="H263" s="57"/>
    </row>
    <row r="264" ht="15.75" customHeight="1">
      <c r="F264" s="57"/>
      <c r="G264" s="57"/>
      <c r="H264" s="57"/>
    </row>
    <row r="265" ht="15.75" customHeight="1">
      <c r="F265" s="57"/>
      <c r="G265" s="57"/>
      <c r="H265" s="57"/>
    </row>
    <row r="266" ht="15.75" customHeight="1">
      <c r="F266" s="57"/>
      <c r="G266" s="57"/>
      <c r="H266" s="57"/>
    </row>
    <row r="267" ht="15.75" customHeight="1">
      <c r="F267" s="57"/>
      <c r="G267" s="57"/>
      <c r="H267" s="57"/>
    </row>
    <row r="268" ht="15.75" customHeight="1">
      <c r="F268" s="57"/>
      <c r="G268" s="57"/>
      <c r="H268" s="57"/>
    </row>
    <row r="269" ht="15.75" customHeight="1">
      <c r="F269" s="57"/>
      <c r="G269" s="57"/>
      <c r="H269" s="57"/>
    </row>
    <row r="270" ht="15.75" customHeight="1">
      <c r="F270" s="57"/>
      <c r="G270" s="57"/>
      <c r="H270" s="57"/>
    </row>
    <row r="271" ht="15.75" customHeight="1">
      <c r="F271" s="57"/>
      <c r="G271" s="57"/>
      <c r="H271" s="57"/>
    </row>
    <row r="272" ht="15.75" customHeight="1">
      <c r="F272" s="57"/>
      <c r="G272" s="57"/>
      <c r="H272" s="57"/>
    </row>
    <row r="273" ht="15.75" customHeight="1">
      <c r="F273" s="57"/>
      <c r="G273" s="57"/>
      <c r="H273" s="57"/>
    </row>
    <row r="274" ht="15.75" customHeight="1">
      <c r="F274" s="57"/>
      <c r="G274" s="57"/>
      <c r="H274" s="57"/>
    </row>
    <row r="275" ht="15.75" customHeight="1">
      <c r="F275" s="57"/>
      <c r="G275" s="57"/>
      <c r="H275" s="57"/>
    </row>
    <row r="276" ht="15.75" customHeight="1">
      <c r="F276" s="57"/>
      <c r="G276" s="57"/>
      <c r="H276" s="57"/>
    </row>
    <row r="277" ht="15.75" customHeight="1">
      <c r="F277" s="57"/>
      <c r="G277" s="57"/>
      <c r="H277" s="57"/>
    </row>
    <row r="278" ht="15.75" customHeight="1">
      <c r="F278" s="57"/>
      <c r="G278" s="57"/>
      <c r="H278" s="57"/>
    </row>
    <row r="279" ht="15.75" customHeight="1">
      <c r="F279" s="57"/>
      <c r="G279" s="57"/>
      <c r="H279" s="57"/>
    </row>
    <row r="280" ht="15.75" customHeight="1">
      <c r="F280" s="57"/>
      <c r="G280" s="57"/>
      <c r="H280" s="57"/>
    </row>
    <row r="281" ht="15.75" customHeight="1">
      <c r="F281" s="57"/>
      <c r="G281" s="57"/>
      <c r="H281" s="57"/>
    </row>
    <row r="282" ht="15.75" customHeight="1">
      <c r="F282" s="57"/>
      <c r="G282" s="57"/>
      <c r="H282" s="57"/>
    </row>
    <row r="283" ht="15.75" customHeight="1">
      <c r="F283" s="57"/>
      <c r="G283" s="57"/>
      <c r="H283" s="57"/>
    </row>
    <row r="284" ht="15.75" customHeight="1">
      <c r="F284" s="57"/>
      <c r="G284" s="57"/>
      <c r="H284" s="57"/>
    </row>
    <row r="285" ht="15.75" customHeight="1">
      <c r="F285" s="57"/>
      <c r="G285" s="57"/>
      <c r="H285" s="57"/>
    </row>
    <row r="286" ht="15.75" customHeight="1">
      <c r="F286" s="57"/>
      <c r="G286" s="57"/>
      <c r="H286" s="57"/>
    </row>
    <row r="287" ht="15.75" customHeight="1">
      <c r="F287" s="57"/>
      <c r="G287" s="57"/>
      <c r="H287" s="57"/>
    </row>
    <row r="288" ht="15.75" customHeight="1">
      <c r="F288" s="57"/>
      <c r="G288" s="57"/>
      <c r="H288" s="57"/>
    </row>
    <row r="289" ht="15.75" customHeight="1">
      <c r="F289" s="57"/>
      <c r="G289" s="57"/>
      <c r="H289" s="57"/>
    </row>
    <row r="290" ht="15.75" customHeight="1">
      <c r="F290" s="57"/>
      <c r="G290" s="57"/>
      <c r="H290" s="57"/>
    </row>
    <row r="291" ht="15.75" customHeight="1">
      <c r="F291" s="57"/>
      <c r="G291" s="57"/>
      <c r="H291" s="57"/>
    </row>
    <row r="292" ht="15.75" customHeight="1">
      <c r="F292" s="57"/>
      <c r="G292" s="57"/>
      <c r="H292" s="57"/>
    </row>
    <row r="293" ht="15.75" customHeight="1">
      <c r="F293" s="57"/>
      <c r="G293" s="57"/>
      <c r="H293" s="57"/>
    </row>
    <row r="294" ht="15.75" customHeight="1">
      <c r="F294" s="57"/>
      <c r="G294" s="57"/>
      <c r="H294" s="57"/>
    </row>
    <row r="295" ht="15.75" customHeight="1">
      <c r="F295" s="57"/>
      <c r="G295" s="57"/>
      <c r="H295" s="57"/>
    </row>
    <row r="296" ht="15.75" customHeight="1">
      <c r="F296" s="57"/>
      <c r="G296" s="57"/>
      <c r="H296" s="57"/>
    </row>
    <row r="297" ht="15.75" customHeight="1">
      <c r="F297" s="57"/>
      <c r="G297" s="57"/>
      <c r="H297" s="57"/>
    </row>
    <row r="298" ht="15.75" customHeight="1">
      <c r="F298" s="57"/>
      <c r="G298" s="57"/>
      <c r="H298" s="57"/>
    </row>
    <row r="299" ht="15.75" customHeight="1">
      <c r="F299" s="57"/>
      <c r="G299" s="57"/>
      <c r="H299" s="57"/>
    </row>
    <row r="300" ht="15.75" customHeight="1">
      <c r="F300" s="57"/>
      <c r="G300" s="57"/>
      <c r="H300" s="57"/>
    </row>
    <row r="301" ht="15.75" customHeight="1">
      <c r="F301" s="57"/>
      <c r="G301" s="57"/>
      <c r="H301" s="57"/>
    </row>
    <row r="302" ht="15.75" customHeight="1">
      <c r="F302" s="57"/>
      <c r="G302" s="57"/>
      <c r="H302" s="57"/>
    </row>
    <row r="303" ht="15.75" customHeight="1">
      <c r="F303" s="57"/>
      <c r="G303" s="57"/>
      <c r="H303" s="57"/>
    </row>
    <row r="304" ht="15.75" customHeight="1">
      <c r="F304" s="57"/>
      <c r="G304" s="57"/>
      <c r="H304" s="57"/>
    </row>
    <row r="305" ht="15.75" customHeight="1">
      <c r="F305" s="57"/>
      <c r="G305" s="57"/>
      <c r="H305" s="57"/>
    </row>
    <row r="306" ht="15.75" customHeight="1">
      <c r="F306" s="57"/>
      <c r="G306" s="57"/>
      <c r="H306" s="57"/>
    </row>
    <row r="307" ht="15.75" customHeight="1">
      <c r="F307" s="57"/>
      <c r="G307" s="57"/>
      <c r="H307" s="57"/>
    </row>
    <row r="308" ht="15.75" customHeight="1">
      <c r="F308" s="57"/>
      <c r="G308" s="57"/>
      <c r="H308" s="57"/>
    </row>
    <row r="309" ht="15.75" customHeight="1">
      <c r="F309" s="57"/>
      <c r="G309" s="57"/>
      <c r="H309" s="57"/>
    </row>
    <row r="310" ht="15.75" customHeight="1">
      <c r="F310" s="57"/>
      <c r="G310" s="57"/>
      <c r="H310" s="57"/>
    </row>
    <row r="311" ht="15.75" customHeight="1">
      <c r="F311" s="57"/>
      <c r="G311" s="57"/>
      <c r="H311" s="57"/>
    </row>
    <row r="312" ht="15.75" customHeight="1">
      <c r="F312" s="57"/>
      <c r="G312" s="57"/>
      <c r="H312" s="57"/>
    </row>
    <row r="313" ht="15.75" customHeight="1">
      <c r="F313" s="57"/>
      <c r="G313" s="57"/>
      <c r="H313" s="57"/>
    </row>
    <row r="314" ht="15.75" customHeight="1">
      <c r="F314" s="57"/>
      <c r="G314" s="57"/>
      <c r="H314" s="57"/>
    </row>
    <row r="315" ht="15.75" customHeight="1">
      <c r="F315" s="57"/>
      <c r="G315" s="57"/>
      <c r="H315" s="57"/>
    </row>
    <row r="316" ht="15.75" customHeight="1">
      <c r="F316" s="57"/>
      <c r="G316" s="57"/>
      <c r="H316" s="57"/>
    </row>
    <row r="317" ht="15.75" customHeight="1">
      <c r="F317" s="57"/>
      <c r="G317" s="57"/>
      <c r="H317" s="57"/>
    </row>
    <row r="318" ht="15.75" customHeight="1">
      <c r="F318" s="57"/>
      <c r="G318" s="57"/>
      <c r="H318" s="57"/>
    </row>
    <row r="319" ht="15.75" customHeight="1">
      <c r="F319" s="57"/>
      <c r="G319" s="57"/>
      <c r="H319" s="57"/>
    </row>
    <row r="320" ht="15.75" customHeight="1">
      <c r="F320" s="57"/>
      <c r="G320" s="57"/>
      <c r="H320" s="57"/>
    </row>
    <row r="321" ht="15.75" customHeight="1">
      <c r="F321" s="57"/>
      <c r="G321" s="57"/>
      <c r="H321" s="57"/>
    </row>
    <row r="322" ht="15.75" customHeight="1">
      <c r="F322" s="57"/>
      <c r="G322" s="57"/>
      <c r="H322" s="57"/>
    </row>
    <row r="323" ht="15.75" customHeight="1">
      <c r="F323" s="57"/>
      <c r="G323" s="57"/>
      <c r="H323" s="57"/>
    </row>
    <row r="324" ht="15.75" customHeight="1">
      <c r="F324" s="57"/>
      <c r="G324" s="57"/>
      <c r="H324" s="57"/>
    </row>
    <row r="325" ht="15.75" customHeight="1">
      <c r="F325" s="57"/>
      <c r="G325" s="57"/>
      <c r="H325" s="57"/>
    </row>
    <row r="326" ht="15.75" customHeight="1">
      <c r="F326" s="57"/>
      <c r="G326" s="57"/>
      <c r="H326" s="57"/>
    </row>
    <row r="327" ht="15.75" customHeight="1">
      <c r="F327" s="57"/>
      <c r="G327" s="57"/>
      <c r="H327" s="57"/>
    </row>
    <row r="328" ht="15.75" customHeight="1">
      <c r="F328" s="57"/>
      <c r="G328" s="57"/>
      <c r="H328" s="57"/>
    </row>
    <row r="329" ht="15.75" customHeight="1">
      <c r="F329" s="57"/>
      <c r="G329" s="57"/>
      <c r="H329" s="57"/>
    </row>
    <row r="330" ht="15.75" customHeight="1">
      <c r="F330" s="57"/>
      <c r="G330" s="57"/>
      <c r="H330" s="57"/>
    </row>
    <row r="331" ht="15.75" customHeight="1">
      <c r="F331" s="57"/>
      <c r="G331" s="57"/>
      <c r="H331" s="57"/>
    </row>
    <row r="332" ht="15.75" customHeight="1">
      <c r="F332" s="57"/>
      <c r="G332" s="57"/>
      <c r="H332" s="57"/>
    </row>
    <row r="333" ht="15.75" customHeight="1">
      <c r="F333" s="57"/>
      <c r="G333" s="57"/>
      <c r="H333" s="57"/>
    </row>
    <row r="334" ht="15.75" customHeight="1">
      <c r="F334" s="57"/>
      <c r="G334" s="57"/>
      <c r="H334" s="57"/>
    </row>
    <row r="335" ht="15.75" customHeight="1">
      <c r="F335" s="57"/>
      <c r="G335" s="57"/>
      <c r="H335" s="57"/>
    </row>
    <row r="336" ht="15.75" customHeight="1">
      <c r="F336" s="57"/>
      <c r="G336" s="57"/>
      <c r="H336" s="57"/>
    </row>
    <row r="337" ht="15.75" customHeight="1">
      <c r="F337" s="57"/>
      <c r="G337" s="57"/>
      <c r="H337" s="57"/>
    </row>
    <row r="338" ht="15.75" customHeight="1">
      <c r="F338" s="57"/>
      <c r="G338" s="57"/>
      <c r="H338" s="57"/>
    </row>
    <row r="339" ht="15.75" customHeight="1">
      <c r="F339" s="57"/>
      <c r="G339" s="57"/>
      <c r="H339" s="57"/>
    </row>
    <row r="340" ht="15.75" customHeight="1">
      <c r="F340" s="57"/>
      <c r="G340" s="57"/>
      <c r="H340" s="57"/>
    </row>
    <row r="341" ht="15.75" customHeight="1">
      <c r="F341" s="57"/>
      <c r="G341" s="57"/>
      <c r="H341" s="57"/>
    </row>
    <row r="342" ht="15.75" customHeight="1">
      <c r="F342" s="57"/>
      <c r="G342" s="57"/>
      <c r="H342" s="57"/>
    </row>
    <row r="343" ht="15.75" customHeight="1">
      <c r="F343" s="57"/>
      <c r="G343" s="57"/>
      <c r="H343" s="57"/>
    </row>
    <row r="344" ht="15.75" customHeight="1">
      <c r="F344" s="57"/>
      <c r="G344" s="57"/>
      <c r="H344" s="57"/>
    </row>
    <row r="345" ht="15.75" customHeight="1">
      <c r="F345" s="57"/>
      <c r="G345" s="57"/>
      <c r="H345" s="57"/>
    </row>
    <row r="346" ht="15.75" customHeight="1">
      <c r="F346" s="57"/>
      <c r="G346" s="57"/>
      <c r="H346" s="57"/>
    </row>
    <row r="347" ht="15.75" customHeight="1">
      <c r="F347" s="57"/>
      <c r="G347" s="57"/>
      <c r="H347" s="57"/>
    </row>
    <row r="348" ht="15.75" customHeight="1">
      <c r="F348" s="57"/>
      <c r="G348" s="57"/>
      <c r="H348" s="57"/>
    </row>
    <row r="349" ht="15.75" customHeight="1">
      <c r="F349" s="57"/>
      <c r="G349" s="57"/>
      <c r="H349" s="57"/>
    </row>
    <row r="350" ht="15.75" customHeight="1">
      <c r="F350" s="57"/>
      <c r="G350" s="57"/>
      <c r="H350" s="57"/>
    </row>
    <row r="351" ht="15.75" customHeight="1">
      <c r="F351" s="57"/>
      <c r="G351" s="57"/>
      <c r="H351" s="57"/>
    </row>
    <row r="352" ht="15.75" customHeight="1">
      <c r="F352" s="57"/>
      <c r="G352" s="57"/>
      <c r="H352" s="57"/>
    </row>
    <row r="353" ht="15.75" customHeight="1">
      <c r="F353" s="57"/>
      <c r="G353" s="57"/>
      <c r="H353" s="57"/>
    </row>
    <row r="354" ht="15.75" customHeight="1">
      <c r="F354" s="57"/>
      <c r="G354" s="57"/>
      <c r="H354" s="57"/>
    </row>
    <row r="355" ht="15.75" customHeight="1">
      <c r="F355" s="57"/>
      <c r="G355" s="57"/>
      <c r="H355" s="57"/>
    </row>
    <row r="356" ht="15.75" customHeight="1">
      <c r="F356" s="57"/>
      <c r="G356" s="57"/>
      <c r="H356" s="57"/>
    </row>
    <row r="357" ht="15.75" customHeight="1">
      <c r="F357" s="57"/>
      <c r="G357" s="57"/>
      <c r="H357" s="57"/>
    </row>
    <row r="358" ht="15.75" customHeight="1">
      <c r="F358" s="57"/>
      <c r="G358" s="57"/>
      <c r="H358" s="57"/>
    </row>
    <row r="359" ht="15.75" customHeight="1">
      <c r="F359" s="57"/>
      <c r="G359" s="57"/>
      <c r="H359" s="57"/>
    </row>
    <row r="360" ht="15.75" customHeight="1">
      <c r="F360" s="57"/>
      <c r="G360" s="57"/>
      <c r="H360" s="57"/>
    </row>
    <row r="361" ht="15.75" customHeight="1">
      <c r="F361" s="57"/>
      <c r="G361" s="57"/>
      <c r="H361" s="57"/>
    </row>
    <row r="362" ht="15.75" customHeight="1">
      <c r="F362" s="57"/>
      <c r="G362" s="57"/>
      <c r="H362" s="57"/>
    </row>
    <row r="363" ht="15.75" customHeight="1">
      <c r="F363" s="57"/>
      <c r="G363" s="57"/>
      <c r="H363" s="57"/>
    </row>
    <row r="364" ht="15.75" customHeight="1">
      <c r="F364" s="57"/>
      <c r="G364" s="57"/>
      <c r="H364" s="57"/>
    </row>
    <row r="365" ht="15.75" customHeight="1">
      <c r="F365" s="57"/>
      <c r="G365" s="57"/>
      <c r="H365" s="57"/>
    </row>
    <row r="366" ht="15.75" customHeight="1">
      <c r="F366" s="57"/>
      <c r="G366" s="57"/>
      <c r="H366" s="57"/>
    </row>
    <row r="367" ht="15.75" customHeight="1">
      <c r="F367" s="57"/>
      <c r="G367" s="57"/>
      <c r="H367" s="57"/>
    </row>
    <row r="368" ht="15.75" customHeight="1">
      <c r="F368" s="57"/>
      <c r="G368" s="57"/>
      <c r="H368" s="57"/>
    </row>
    <row r="369" ht="15.75" customHeight="1">
      <c r="F369" s="57"/>
      <c r="G369" s="57"/>
      <c r="H369" s="57"/>
    </row>
    <row r="370" ht="15.75" customHeight="1">
      <c r="F370" s="57"/>
      <c r="G370" s="57"/>
      <c r="H370" s="57"/>
    </row>
    <row r="371" ht="15.75" customHeight="1">
      <c r="F371" s="57"/>
      <c r="G371" s="57"/>
      <c r="H371" s="57"/>
    </row>
    <row r="372" ht="15.75" customHeight="1">
      <c r="F372" s="57"/>
      <c r="G372" s="57"/>
      <c r="H372" s="57"/>
    </row>
    <row r="373" ht="15.75" customHeight="1">
      <c r="F373" s="57"/>
      <c r="G373" s="57"/>
      <c r="H373" s="57"/>
    </row>
    <row r="374" ht="15.75" customHeight="1">
      <c r="F374" s="57"/>
      <c r="G374" s="57"/>
      <c r="H374" s="57"/>
    </row>
    <row r="375" ht="15.75" customHeight="1">
      <c r="F375" s="57"/>
      <c r="G375" s="57"/>
      <c r="H375" s="57"/>
    </row>
    <row r="376" ht="15.75" customHeight="1">
      <c r="F376" s="57"/>
      <c r="G376" s="57"/>
      <c r="H376" s="57"/>
    </row>
    <row r="377" ht="15.75" customHeight="1">
      <c r="F377" s="57"/>
      <c r="G377" s="57"/>
      <c r="H377" s="57"/>
    </row>
    <row r="378" ht="15.75" customHeight="1">
      <c r="F378" s="57"/>
      <c r="G378" s="57"/>
      <c r="H378" s="57"/>
    </row>
    <row r="379" ht="15.75" customHeight="1">
      <c r="F379" s="57"/>
      <c r="G379" s="57"/>
      <c r="H379" s="57"/>
    </row>
    <row r="380" ht="15.75" customHeight="1">
      <c r="F380" s="57"/>
      <c r="G380" s="57"/>
      <c r="H380" s="57"/>
    </row>
    <row r="381" ht="15.75" customHeight="1">
      <c r="F381" s="57"/>
      <c r="G381" s="57"/>
      <c r="H381" s="57"/>
    </row>
    <row r="382" ht="15.75" customHeight="1">
      <c r="F382" s="57"/>
      <c r="G382" s="57"/>
      <c r="H382" s="57"/>
    </row>
    <row r="383" ht="15.75" customHeight="1">
      <c r="F383" s="57"/>
      <c r="G383" s="57"/>
      <c r="H383" s="57"/>
    </row>
    <row r="384" ht="15.75" customHeight="1">
      <c r="F384" s="57"/>
      <c r="G384" s="57"/>
      <c r="H384" s="57"/>
    </row>
    <row r="385" ht="15.75" customHeight="1">
      <c r="F385" s="57"/>
      <c r="G385" s="57"/>
      <c r="H385" s="57"/>
    </row>
    <row r="386" ht="15.75" customHeight="1">
      <c r="F386" s="57"/>
      <c r="G386" s="57"/>
      <c r="H386" s="57"/>
    </row>
    <row r="387" ht="15.75" customHeight="1">
      <c r="F387" s="57"/>
      <c r="G387" s="57"/>
      <c r="H387" s="57"/>
    </row>
    <row r="388" ht="15.75" customHeight="1">
      <c r="F388" s="57"/>
      <c r="G388" s="57"/>
      <c r="H388" s="57"/>
    </row>
    <row r="389" ht="15.75" customHeight="1">
      <c r="F389" s="57"/>
      <c r="G389" s="57"/>
      <c r="H389" s="57"/>
    </row>
    <row r="390" ht="15.75" customHeight="1">
      <c r="F390" s="57"/>
      <c r="G390" s="57"/>
      <c r="H390" s="57"/>
    </row>
    <row r="391" ht="15.75" customHeight="1">
      <c r="F391" s="57"/>
      <c r="G391" s="57"/>
      <c r="H391" s="57"/>
    </row>
    <row r="392" ht="15.75" customHeight="1">
      <c r="F392" s="57"/>
      <c r="G392" s="57"/>
      <c r="H392" s="57"/>
    </row>
    <row r="393" ht="15.75" customHeight="1">
      <c r="F393" s="57"/>
      <c r="G393" s="57"/>
      <c r="H393" s="57"/>
    </row>
    <row r="394" ht="15.75" customHeight="1">
      <c r="F394" s="57"/>
      <c r="G394" s="57"/>
      <c r="H394" s="57"/>
    </row>
    <row r="395" ht="15.75" customHeight="1">
      <c r="F395" s="57"/>
      <c r="G395" s="57"/>
      <c r="H395" s="57"/>
    </row>
    <row r="396" ht="15.75" customHeight="1">
      <c r="F396" s="57"/>
      <c r="G396" s="57"/>
      <c r="H396" s="57"/>
    </row>
    <row r="397" ht="15.75" customHeight="1">
      <c r="F397" s="57"/>
      <c r="G397" s="57"/>
      <c r="H397" s="57"/>
    </row>
    <row r="398" ht="15.75" customHeight="1">
      <c r="F398" s="57"/>
      <c r="G398" s="57"/>
      <c r="H398" s="57"/>
    </row>
    <row r="399" ht="15.75" customHeight="1">
      <c r="F399" s="57"/>
      <c r="G399" s="57"/>
      <c r="H399" s="57"/>
    </row>
    <row r="400" ht="15.75" customHeight="1">
      <c r="F400" s="57"/>
      <c r="G400" s="57"/>
      <c r="H400" s="57"/>
    </row>
    <row r="401" ht="15.75" customHeight="1">
      <c r="F401" s="57"/>
      <c r="G401" s="57"/>
      <c r="H401" s="57"/>
    </row>
    <row r="402" ht="15.75" customHeight="1">
      <c r="F402" s="57"/>
      <c r="G402" s="57"/>
      <c r="H402" s="57"/>
    </row>
    <row r="403" ht="15.75" customHeight="1">
      <c r="F403" s="57"/>
      <c r="G403" s="57"/>
      <c r="H403" s="57"/>
    </row>
    <row r="404" ht="15.75" customHeight="1">
      <c r="F404" s="57"/>
      <c r="G404" s="57"/>
      <c r="H404" s="57"/>
    </row>
    <row r="405" ht="15.75" customHeight="1">
      <c r="F405" s="57"/>
      <c r="G405" s="57"/>
      <c r="H405" s="57"/>
    </row>
    <row r="406" ht="15.75" customHeight="1">
      <c r="F406" s="57"/>
      <c r="G406" s="57"/>
      <c r="H406" s="57"/>
    </row>
    <row r="407" ht="15.75" customHeight="1">
      <c r="F407" s="57"/>
      <c r="G407" s="57"/>
      <c r="H407" s="57"/>
    </row>
    <row r="408" ht="15.75" customHeight="1">
      <c r="F408" s="57"/>
      <c r="G408" s="57"/>
      <c r="H408" s="57"/>
    </row>
    <row r="409" ht="15.75" customHeight="1">
      <c r="F409" s="57"/>
      <c r="G409" s="57"/>
      <c r="H409" s="57"/>
    </row>
    <row r="410" ht="15.75" customHeight="1">
      <c r="F410" s="57"/>
      <c r="G410" s="57"/>
      <c r="H410" s="57"/>
    </row>
    <row r="411" ht="15.75" customHeight="1">
      <c r="F411" s="57"/>
      <c r="G411" s="57"/>
      <c r="H411" s="57"/>
    </row>
    <row r="412" ht="15.75" customHeight="1">
      <c r="F412" s="57"/>
      <c r="G412" s="57"/>
      <c r="H412" s="57"/>
    </row>
    <row r="413" ht="15.75" customHeight="1">
      <c r="F413" s="57"/>
      <c r="G413" s="57"/>
      <c r="H413" s="57"/>
    </row>
    <row r="414" ht="15.75" customHeight="1">
      <c r="F414" s="57"/>
      <c r="G414" s="57"/>
      <c r="H414" s="57"/>
    </row>
    <row r="415" ht="15.75" customHeight="1">
      <c r="F415" s="57"/>
      <c r="G415" s="57"/>
      <c r="H415" s="57"/>
    </row>
    <row r="416" ht="15.75" customHeight="1">
      <c r="F416" s="57"/>
      <c r="G416" s="57"/>
      <c r="H416" s="57"/>
    </row>
    <row r="417" ht="15.75" customHeight="1">
      <c r="F417" s="57"/>
      <c r="G417" s="57"/>
      <c r="H417" s="57"/>
    </row>
    <row r="418" ht="15.75" customHeight="1">
      <c r="F418" s="57"/>
      <c r="G418" s="57"/>
      <c r="H418" s="57"/>
    </row>
    <row r="419" ht="15.75" customHeight="1">
      <c r="F419" s="57"/>
      <c r="G419" s="57"/>
      <c r="H419" s="57"/>
    </row>
    <row r="420" ht="15.75" customHeight="1">
      <c r="F420" s="57"/>
      <c r="G420" s="57"/>
      <c r="H420" s="57"/>
    </row>
    <row r="421" ht="15.75" customHeight="1">
      <c r="F421" s="57"/>
      <c r="G421" s="57"/>
      <c r="H421" s="57"/>
    </row>
    <row r="422" ht="15.75" customHeight="1">
      <c r="F422" s="57"/>
      <c r="G422" s="57"/>
      <c r="H422" s="57"/>
    </row>
    <row r="423" ht="15.75" customHeight="1">
      <c r="F423" s="57"/>
      <c r="G423" s="57"/>
      <c r="H423" s="57"/>
    </row>
    <row r="424" ht="15.75" customHeight="1">
      <c r="F424" s="57"/>
      <c r="G424" s="57"/>
      <c r="H424" s="57"/>
    </row>
    <row r="425" ht="15.75" customHeight="1">
      <c r="F425" s="57"/>
      <c r="G425" s="57"/>
      <c r="H425" s="57"/>
    </row>
    <row r="426" ht="15.75" customHeight="1">
      <c r="F426" s="57"/>
      <c r="G426" s="57"/>
      <c r="H426" s="57"/>
    </row>
    <row r="427" ht="15.75" customHeight="1">
      <c r="F427" s="57"/>
      <c r="G427" s="57"/>
      <c r="H427" s="57"/>
    </row>
    <row r="428" ht="15.75" customHeight="1">
      <c r="F428" s="57"/>
      <c r="G428" s="57"/>
      <c r="H428" s="57"/>
    </row>
    <row r="429" ht="15.75" customHeight="1">
      <c r="F429" s="57"/>
      <c r="G429" s="57"/>
      <c r="H429" s="57"/>
    </row>
    <row r="430" ht="15.75" customHeight="1">
      <c r="F430" s="57"/>
      <c r="G430" s="57"/>
      <c r="H430" s="57"/>
    </row>
    <row r="431" ht="15.75" customHeight="1">
      <c r="F431" s="57"/>
      <c r="G431" s="57"/>
      <c r="H431" s="57"/>
    </row>
    <row r="432" ht="15.75" customHeight="1">
      <c r="F432" s="57"/>
      <c r="G432" s="57"/>
      <c r="H432" s="57"/>
    </row>
    <row r="433" ht="15.75" customHeight="1">
      <c r="F433" s="57"/>
      <c r="G433" s="57"/>
      <c r="H433" s="57"/>
    </row>
    <row r="434" ht="15.75" customHeight="1">
      <c r="F434" s="57"/>
      <c r="G434" s="57"/>
      <c r="H434" s="57"/>
    </row>
    <row r="435" ht="15.75" customHeight="1">
      <c r="F435" s="57"/>
      <c r="G435" s="57"/>
      <c r="H435" s="57"/>
    </row>
    <row r="436" ht="15.75" customHeight="1">
      <c r="F436" s="57"/>
      <c r="G436" s="57"/>
      <c r="H436" s="57"/>
    </row>
    <row r="437" ht="15.75" customHeight="1">
      <c r="F437" s="57"/>
      <c r="G437" s="57"/>
      <c r="H437" s="57"/>
    </row>
    <row r="438" ht="15.75" customHeight="1">
      <c r="F438" s="57"/>
      <c r="G438" s="57"/>
      <c r="H438" s="57"/>
    </row>
    <row r="439" ht="15.75" customHeight="1">
      <c r="F439" s="57"/>
      <c r="G439" s="57"/>
      <c r="H439" s="57"/>
    </row>
    <row r="440" ht="15.75" customHeight="1">
      <c r="F440" s="57"/>
      <c r="G440" s="57"/>
      <c r="H440" s="57"/>
    </row>
    <row r="441" ht="15.75" customHeight="1">
      <c r="F441" s="57"/>
      <c r="G441" s="57"/>
      <c r="H441" s="57"/>
    </row>
    <row r="442" ht="15.75" customHeight="1">
      <c r="F442" s="57"/>
      <c r="G442" s="57"/>
      <c r="H442" s="57"/>
    </row>
    <row r="443" ht="15.75" customHeight="1">
      <c r="F443" s="57"/>
      <c r="G443" s="57"/>
      <c r="H443" s="57"/>
    </row>
    <row r="444" ht="15.75" customHeight="1">
      <c r="F444" s="57"/>
      <c r="G444" s="57"/>
      <c r="H444" s="57"/>
    </row>
    <row r="445" ht="15.75" customHeight="1">
      <c r="F445" s="57"/>
      <c r="G445" s="57"/>
      <c r="H445" s="57"/>
    </row>
    <row r="446" ht="15.75" customHeight="1">
      <c r="F446" s="57"/>
      <c r="G446" s="57"/>
      <c r="H446" s="57"/>
    </row>
    <row r="447" ht="15.75" customHeight="1">
      <c r="F447" s="57"/>
      <c r="G447" s="57"/>
      <c r="H447" s="57"/>
    </row>
    <row r="448" ht="15.75" customHeight="1">
      <c r="F448" s="57"/>
      <c r="G448" s="57"/>
      <c r="H448" s="57"/>
    </row>
    <row r="449" ht="15.75" customHeight="1">
      <c r="F449" s="57"/>
      <c r="G449" s="57"/>
      <c r="H449" s="57"/>
    </row>
    <row r="450" ht="15.75" customHeight="1">
      <c r="F450" s="57"/>
      <c r="G450" s="57"/>
      <c r="H450" s="57"/>
    </row>
    <row r="451" ht="15.75" customHeight="1">
      <c r="F451" s="57"/>
      <c r="G451" s="57"/>
      <c r="H451" s="57"/>
    </row>
    <row r="452" ht="15.75" customHeight="1">
      <c r="F452" s="57"/>
      <c r="G452" s="57"/>
      <c r="H452" s="57"/>
    </row>
    <row r="453" ht="15.75" customHeight="1">
      <c r="F453" s="57"/>
      <c r="G453" s="57"/>
      <c r="H453" s="57"/>
    </row>
    <row r="454" ht="15.75" customHeight="1">
      <c r="F454" s="57"/>
      <c r="G454" s="57"/>
      <c r="H454" s="57"/>
    </row>
    <row r="455" ht="15.75" customHeight="1">
      <c r="F455" s="57"/>
      <c r="G455" s="57"/>
      <c r="H455" s="57"/>
    </row>
    <row r="456" ht="15.75" customHeight="1">
      <c r="F456" s="57"/>
      <c r="G456" s="57"/>
      <c r="H456" s="57"/>
    </row>
    <row r="457" ht="15.75" customHeight="1">
      <c r="F457" s="57"/>
      <c r="G457" s="57"/>
      <c r="H457" s="57"/>
    </row>
    <row r="458" ht="15.75" customHeight="1">
      <c r="F458" s="57"/>
      <c r="G458" s="57"/>
      <c r="H458" s="57"/>
    </row>
    <row r="459" ht="15.75" customHeight="1">
      <c r="F459" s="57"/>
      <c r="G459" s="57"/>
      <c r="H459" s="57"/>
    </row>
    <row r="460" ht="15.75" customHeight="1">
      <c r="F460" s="57"/>
      <c r="G460" s="57"/>
      <c r="H460" s="57"/>
    </row>
    <row r="461" ht="15.75" customHeight="1">
      <c r="F461" s="57"/>
      <c r="G461" s="57"/>
      <c r="H461" s="57"/>
    </row>
    <row r="462" ht="15.75" customHeight="1">
      <c r="F462" s="57"/>
      <c r="G462" s="57"/>
      <c r="H462" s="57"/>
    </row>
    <row r="463" ht="15.75" customHeight="1">
      <c r="F463" s="57"/>
      <c r="G463" s="57"/>
      <c r="H463" s="57"/>
    </row>
    <row r="464" ht="15.75" customHeight="1">
      <c r="F464" s="57"/>
      <c r="G464" s="57"/>
      <c r="H464" s="57"/>
    </row>
    <row r="465" ht="15.75" customHeight="1">
      <c r="F465" s="57"/>
      <c r="G465" s="57"/>
      <c r="H465" s="57"/>
    </row>
    <row r="466" ht="15.75" customHeight="1">
      <c r="F466" s="57"/>
      <c r="G466" s="57"/>
      <c r="H466" s="57"/>
    </row>
    <row r="467" ht="15.75" customHeight="1">
      <c r="F467" s="57"/>
      <c r="G467" s="57"/>
      <c r="H467" s="57"/>
    </row>
    <row r="468" ht="15.75" customHeight="1">
      <c r="F468" s="57"/>
      <c r="G468" s="57"/>
      <c r="H468" s="57"/>
    </row>
    <row r="469" ht="15.75" customHeight="1">
      <c r="F469" s="57"/>
      <c r="G469" s="57"/>
      <c r="H469" s="57"/>
    </row>
    <row r="470" ht="15.75" customHeight="1">
      <c r="F470" s="57"/>
      <c r="G470" s="57"/>
      <c r="H470" s="57"/>
    </row>
    <row r="471" ht="15.75" customHeight="1">
      <c r="F471" s="57"/>
      <c r="G471" s="57"/>
      <c r="H471" s="57"/>
    </row>
    <row r="472" ht="15.75" customHeight="1">
      <c r="F472" s="57"/>
      <c r="G472" s="57"/>
      <c r="H472" s="57"/>
    </row>
    <row r="473" ht="15.75" customHeight="1">
      <c r="F473" s="57"/>
      <c r="G473" s="57"/>
      <c r="H473" s="57"/>
    </row>
    <row r="474" ht="15.75" customHeight="1">
      <c r="F474" s="57"/>
      <c r="G474" s="57"/>
      <c r="H474" s="57"/>
    </row>
    <row r="475" ht="15.75" customHeight="1">
      <c r="F475" s="57"/>
      <c r="G475" s="57"/>
      <c r="H475" s="57"/>
    </row>
    <row r="476" ht="15.75" customHeight="1">
      <c r="F476" s="57"/>
      <c r="G476" s="57"/>
      <c r="H476" s="57"/>
    </row>
    <row r="477" ht="15.75" customHeight="1">
      <c r="F477" s="57"/>
      <c r="G477" s="57"/>
      <c r="H477" s="57"/>
    </row>
    <row r="478" ht="15.75" customHeight="1">
      <c r="F478" s="57"/>
      <c r="G478" s="57"/>
      <c r="H478" s="57"/>
    </row>
    <row r="479" ht="15.75" customHeight="1">
      <c r="F479" s="57"/>
      <c r="G479" s="57"/>
      <c r="H479" s="57"/>
    </row>
    <row r="480" ht="15.75" customHeight="1">
      <c r="F480" s="57"/>
      <c r="G480" s="57"/>
      <c r="H480" s="57"/>
    </row>
    <row r="481" ht="15.75" customHeight="1">
      <c r="F481" s="57"/>
      <c r="G481" s="57"/>
      <c r="H481" s="57"/>
    </row>
    <row r="482" ht="15.75" customHeight="1">
      <c r="F482" s="57"/>
      <c r="G482" s="57"/>
      <c r="H482" s="57"/>
    </row>
    <row r="483" ht="15.75" customHeight="1">
      <c r="F483" s="57"/>
      <c r="G483" s="57"/>
      <c r="H483" s="57"/>
    </row>
    <row r="484" ht="15.75" customHeight="1">
      <c r="F484" s="57"/>
      <c r="G484" s="57"/>
      <c r="H484" s="57"/>
    </row>
    <row r="485" ht="15.75" customHeight="1">
      <c r="F485" s="57"/>
      <c r="G485" s="57"/>
      <c r="H485" s="57"/>
    </row>
    <row r="486" ht="15.75" customHeight="1">
      <c r="F486" s="57"/>
      <c r="G486" s="57"/>
      <c r="H486" s="57"/>
    </row>
    <row r="487" ht="15.75" customHeight="1">
      <c r="F487" s="57"/>
      <c r="G487" s="57"/>
      <c r="H487" s="57"/>
    </row>
    <row r="488" ht="15.75" customHeight="1">
      <c r="F488" s="57"/>
      <c r="G488" s="57"/>
      <c r="H488" s="57"/>
    </row>
    <row r="489" ht="15.75" customHeight="1">
      <c r="F489" s="57"/>
      <c r="G489" s="57"/>
      <c r="H489" s="57"/>
    </row>
    <row r="490" ht="15.75" customHeight="1">
      <c r="F490" s="57"/>
      <c r="G490" s="57"/>
      <c r="H490" s="57"/>
    </row>
    <row r="491" ht="15.75" customHeight="1">
      <c r="F491" s="57"/>
      <c r="G491" s="57"/>
      <c r="H491" s="57"/>
    </row>
    <row r="492" ht="15.75" customHeight="1">
      <c r="F492" s="57"/>
      <c r="G492" s="57"/>
      <c r="H492" s="57"/>
    </row>
    <row r="493" ht="15.75" customHeight="1">
      <c r="F493" s="57"/>
      <c r="G493" s="57"/>
      <c r="H493" s="57"/>
    </row>
    <row r="494" ht="15.75" customHeight="1">
      <c r="F494" s="57"/>
      <c r="G494" s="57"/>
      <c r="H494" s="57"/>
    </row>
    <row r="495" ht="15.75" customHeight="1">
      <c r="F495" s="57"/>
      <c r="G495" s="57"/>
      <c r="H495" s="57"/>
    </row>
    <row r="496" ht="15.75" customHeight="1">
      <c r="F496" s="57"/>
      <c r="G496" s="57"/>
      <c r="H496" s="57"/>
    </row>
    <row r="497" ht="15.75" customHeight="1">
      <c r="F497" s="57"/>
      <c r="G497" s="57"/>
      <c r="H497" s="57"/>
    </row>
    <row r="498" ht="15.75" customHeight="1">
      <c r="F498" s="57"/>
      <c r="G498" s="57"/>
      <c r="H498" s="57"/>
    </row>
    <row r="499" ht="15.75" customHeight="1">
      <c r="F499" s="57"/>
      <c r="G499" s="57"/>
      <c r="H499" s="57"/>
    </row>
    <row r="500" ht="15.75" customHeight="1">
      <c r="F500" s="57"/>
      <c r="G500" s="57"/>
      <c r="H500" s="57"/>
    </row>
    <row r="501" ht="15.75" customHeight="1">
      <c r="F501" s="57"/>
      <c r="G501" s="57"/>
      <c r="H501" s="57"/>
    </row>
    <row r="502" ht="15.75" customHeight="1">
      <c r="F502" s="57"/>
      <c r="G502" s="57"/>
      <c r="H502" s="57"/>
    </row>
    <row r="503" ht="15.75" customHeight="1">
      <c r="F503" s="57"/>
      <c r="G503" s="57"/>
      <c r="H503" s="57"/>
    </row>
    <row r="504" ht="15.75" customHeight="1">
      <c r="F504" s="57"/>
      <c r="G504" s="57"/>
      <c r="H504" s="57"/>
    </row>
    <row r="505" ht="15.75" customHeight="1">
      <c r="F505" s="57"/>
      <c r="G505" s="57"/>
      <c r="H505" s="57"/>
    </row>
    <row r="506" ht="15.75" customHeight="1">
      <c r="F506" s="57"/>
      <c r="G506" s="57"/>
      <c r="H506" s="57"/>
    </row>
    <row r="507" ht="15.75" customHeight="1">
      <c r="F507" s="57"/>
      <c r="G507" s="57"/>
      <c r="H507" s="57"/>
    </row>
    <row r="508" ht="15.75" customHeight="1">
      <c r="F508" s="57"/>
      <c r="G508" s="57"/>
      <c r="H508" s="57"/>
    </row>
    <row r="509" ht="15.75" customHeight="1">
      <c r="F509" s="57"/>
      <c r="G509" s="57"/>
      <c r="H509" s="57"/>
    </row>
    <row r="510" ht="15.75" customHeight="1">
      <c r="F510" s="57"/>
      <c r="G510" s="57"/>
      <c r="H510" s="57"/>
    </row>
    <row r="511" ht="15.75" customHeight="1">
      <c r="F511" s="57"/>
      <c r="G511" s="57"/>
      <c r="H511" s="57"/>
    </row>
    <row r="512" ht="15.75" customHeight="1">
      <c r="F512" s="57"/>
      <c r="G512" s="57"/>
      <c r="H512" s="57"/>
    </row>
    <row r="513" ht="15.75" customHeight="1">
      <c r="F513" s="57"/>
      <c r="G513" s="57"/>
      <c r="H513" s="57"/>
    </row>
    <row r="514" ht="15.75" customHeight="1">
      <c r="F514" s="57"/>
      <c r="G514" s="57"/>
      <c r="H514" s="57"/>
    </row>
    <row r="515" ht="15.75" customHeight="1">
      <c r="F515" s="57"/>
      <c r="G515" s="57"/>
      <c r="H515" s="57"/>
    </row>
    <row r="516" ht="15.75" customHeight="1">
      <c r="F516" s="57"/>
      <c r="G516" s="57"/>
      <c r="H516" s="57"/>
    </row>
    <row r="517" ht="15.75" customHeight="1">
      <c r="F517" s="57"/>
      <c r="G517" s="57"/>
      <c r="H517" s="57"/>
    </row>
    <row r="518" ht="15.75" customHeight="1">
      <c r="F518" s="57"/>
      <c r="G518" s="57"/>
      <c r="H518" s="57"/>
    </row>
    <row r="519" ht="15.75" customHeight="1">
      <c r="F519" s="57"/>
      <c r="G519" s="57"/>
      <c r="H519" s="57"/>
    </row>
    <row r="520" ht="15.75" customHeight="1">
      <c r="F520" s="57"/>
      <c r="G520" s="57"/>
      <c r="H520" s="57"/>
    </row>
    <row r="521" ht="15.75" customHeight="1">
      <c r="F521" s="57"/>
      <c r="G521" s="57"/>
      <c r="H521" s="57"/>
    </row>
    <row r="522" ht="15.75" customHeight="1">
      <c r="F522" s="57"/>
      <c r="G522" s="57"/>
      <c r="H522" s="57"/>
    </row>
    <row r="523" ht="15.75" customHeight="1">
      <c r="F523" s="57"/>
      <c r="G523" s="57"/>
      <c r="H523" s="57"/>
    </row>
    <row r="524" ht="15.75" customHeight="1">
      <c r="F524" s="57"/>
      <c r="G524" s="57"/>
      <c r="H524" s="57"/>
    </row>
    <row r="525" ht="15.75" customHeight="1">
      <c r="F525" s="57"/>
      <c r="G525" s="57"/>
      <c r="H525" s="57"/>
    </row>
    <row r="526" ht="15.75" customHeight="1">
      <c r="F526" s="57"/>
      <c r="G526" s="57"/>
      <c r="H526" s="57"/>
    </row>
    <row r="527" ht="15.75" customHeight="1">
      <c r="F527" s="57"/>
      <c r="G527" s="57"/>
      <c r="H527" s="57"/>
    </row>
    <row r="528" ht="15.75" customHeight="1">
      <c r="F528" s="57"/>
      <c r="G528" s="57"/>
      <c r="H528" s="57"/>
    </row>
    <row r="529" ht="15.75" customHeight="1">
      <c r="F529" s="57"/>
      <c r="G529" s="57"/>
      <c r="H529" s="57"/>
    </row>
    <row r="530" ht="15.75" customHeight="1">
      <c r="F530" s="57"/>
      <c r="G530" s="57"/>
      <c r="H530" s="57"/>
    </row>
    <row r="531" ht="15.75" customHeight="1">
      <c r="F531" s="57"/>
      <c r="G531" s="57"/>
      <c r="H531" s="57"/>
    </row>
    <row r="532" ht="15.75" customHeight="1">
      <c r="F532" s="57"/>
      <c r="G532" s="57"/>
      <c r="H532" s="57"/>
    </row>
    <row r="533" ht="15.75" customHeight="1">
      <c r="F533" s="57"/>
      <c r="G533" s="57"/>
      <c r="H533" s="57"/>
    </row>
    <row r="534" ht="15.75" customHeight="1">
      <c r="F534" s="57"/>
      <c r="G534" s="57"/>
      <c r="H534" s="57"/>
    </row>
    <row r="535" ht="15.75" customHeight="1">
      <c r="F535" s="57"/>
      <c r="G535" s="57"/>
      <c r="H535" s="57"/>
    </row>
    <row r="536" ht="15.75" customHeight="1">
      <c r="F536" s="57"/>
      <c r="G536" s="57"/>
      <c r="H536" s="57"/>
    </row>
    <row r="537" ht="15.75" customHeight="1">
      <c r="F537" s="57"/>
      <c r="G537" s="57"/>
      <c r="H537" s="57"/>
    </row>
    <row r="538" ht="15.75" customHeight="1">
      <c r="F538" s="57"/>
      <c r="G538" s="57"/>
      <c r="H538" s="57"/>
    </row>
    <row r="539" ht="15.75" customHeight="1">
      <c r="F539" s="57"/>
      <c r="G539" s="57"/>
      <c r="H539" s="57"/>
    </row>
    <row r="540" ht="15.75" customHeight="1">
      <c r="F540" s="57"/>
      <c r="G540" s="57"/>
      <c r="H540" s="57"/>
    </row>
    <row r="541" ht="15.75" customHeight="1">
      <c r="F541" s="57"/>
      <c r="G541" s="57"/>
      <c r="H541" s="57"/>
    </row>
    <row r="542" ht="15.75" customHeight="1">
      <c r="F542" s="57"/>
      <c r="G542" s="57"/>
      <c r="H542" s="57"/>
    </row>
    <row r="543" ht="15.75" customHeight="1">
      <c r="F543" s="57"/>
      <c r="G543" s="57"/>
      <c r="H543" s="57"/>
    </row>
    <row r="544" ht="15.75" customHeight="1">
      <c r="F544" s="57"/>
      <c r="G544" s="57"/>
      <c r="H544" s="57"/>
    </row>
    <row r="545" ht="15.75" customHeight="1">
      <c r="F545" s="57"/>
      <c r="G545" s="57"/>
      <c r="H545" s="57"/>
    </row>
    <row r="546" ht="15.75" customHeight="1">
      <c r="F546" s="57"/>
      <c r="G546" s="57"/>
      <c r="H546" s="57"/>
    </row>
    <row r="547" ht="15.75" customHeight="1">
      <c r="F547" s="57"/>
      <c r="G547" s="57"/>
      <c r="H547" s="57"/>
    </row>
    <row r="548" ht="15.75" customHeight="1">
      <c r="F548" s="57"/>
      <c r="G548" s="57"/>
      <c r="H548" s="57"/>
    </row>
    <row r="549" ht="15.75" customHeight="1">
      <c r="F549" s="57"/>
      <c r="G549" s="57"/>
      <c r="H549" s="57"/>
    </row>
    <row r="550" ht="15.75" customHeight="1">
      <c r="F550" s="57"/>
      <c r="G550" s="57"/>
      <c r="H550" s="57"/>
    </row>
    <row r="551" ht="15.75" customHeight="1">
      <c r="F551" s="57"/>
      <c r="G551" s="57"/>
      <c r="H551" s="57"/>
    </row>
    <row r="552" ht="15.75" customHeight="1">
      <c r="F552" s="57"/>
      <c r="G552" s="57"/>
      <c r="H552" s="57"/>
    </row>
    <row r="553" ht="15.75" customHeight="1">
      <c r="F553" s="57"/>
      <c r="G553" s="57"/>
      <c r="H553" s="57"/>
    </row>
    <row r="554" ht="15.75" customHeight="1">
      <c r="F554" s="57"/>
      <c r="G554" s="57"/>
      <c r="H554" s="57"/>
    </row>
    <row r="555" ht="15.75" customHeight="1">
      <c r="F555" s="57"/>
      <c r="G555" s="57"/>
      <c r="H555" s="57"/>
    </row>
    <row r="556" ht="15.75" customHeight="1">
      <c r="F556" s="57"/>
      <c r="G556" s="57"/>
      <c r="H556" s="57"/>
    </row>
    <row r="557" ht="15.75" customHeight="1">
      <c r="F557" s="57"/>
      <c r="G557" s="57"/>
      <c r="H557" s="57"/>
    </row>
    <row r="558" ht="15.75" customHeight="1">
      <c r="F558" s="57"/>
      <c r="G558" s="57"/>
      <c r="H558" s="57"/>
    </row>
    <row r="559" ht="15.75" customHeight="1">
      <c r="F559" s="57"/>
      <c r="G559" s="57"/>
      <c r="H559" s="57"/>
    </row>
    <row r="560" ht="15.75" customHeight="1">
      <c r="F560" s="57"/>
      <c r="G560" s="57"/>
      <c r="H560" s="57"/>
    </row>
    <row r="561" ht="15.75" customHeight="1">
      <c r="F561" s="57"/>
      <c r="G561" s="57"/>
      <c r="H561" s="57"/>
    </row>
    <row r="562" ht="15.75" customHeight="1">
      <c r="F562" s="57"/>
      <c r="G562" s="57"/>
      <c r="H562" s="57"/>
    </row>
    <row r="563" ht="15.75" customHeight="1">
      <c r="F563" s="57"/>
      <c r="G563" s="57"/>
      <c r="H563" s="57"/>
    </row>
    <row r="564" ht="15.75" customHeight="1">
      <c r="F564" s="57"/>
      <c r="G564" s="57"/>
      <c r="H564" s="57"/>
    </row>
    <row r="565" ht="15.75" customHeight="1">
      <c r="F565" s="57"/>
      <c r="G565" s="57"/>
      <c r="H565" s="57"/>
    </row>
    <row r="566" ht="15.75" customHeight="1">
      <c r="F566" s="57"/>
      <c r="G566" s="57"/>
      <c r="H566" s="57"/>
    </row>
    <row r="567" ht="15.75" customHeight="1">
      <c r="F567" s="57"/>
      <c r="G567" s="57"/>
      <c r="H567" s="57"/>
    </row>
    <row r="568" ht="15.75" customHeight="1">
      <c r="F568" s="57"/>
      <c r="G568" s="57"/>
      <c r="H568" s="57"/>
    </row>
    <row r="569" ht="15.75" customHeight="1">
      <c r="F569" s="57"/>
      <c r="G569" s="57"/>
      <c r="H569" s="57"/>
    </row>
    <row r="570" ht="15.75" customHeight="1">
      <c r="F570" s="57"/>
      <c r="G570" s="57"/>
      <c r="H570" s="57"/>
    </row>
    <row r="571" ht="15.75" customHeight="1">
      <c r="F571" s="57"/>
      <c r="G571" s="57"/>
      <c r="H571" s="57"/>
    </row>
    <row r="572" ht="15.75" customHeight="1">
      <c r="F572" s="57"/>
      <c r="G572" s="57"/>
      <c r="H572" s="57"/>
    </row>
    <row r="573" ht="15.75" customHeight="1">
      <c r="F573" s="57"/>
      <c r="G573" s="57"/>
      <c r="H573" s="57"/>
    </row>
    <row r="574" ht="15.75" customHeight="1">
      <c r="F574" s="57"/>
      <c r="G574" s="57"/>
      <c r="H574" s="57"/>
    </row>
    <row r="575" ht="15.75" customHeight="1">
      <c r="F575" s="57"/>
      <c r="G575" s="57"/>
      <c r="H575" s="57"/>
    </row>
    <row r="576" ht="15.75" customHeight="1">
      <c r="F576" s="57"/>
      <c r="G576" s="57"/>
      <c r="H576" s="57"/>
    </row>
    <row r="577" ht="15.75" customHeight="1">
      <c r="F577" s="57"/>
      <c r="G577" s="57"/>
      <c r="H577" s="57"/>
    </row>
    <row r="578" ht="15.75" customHeight="1">
      <c r="F578" s="57"/>
      <c r="G578" s="57"/>
      <c r="H578" s="57"/>
    </row>
    <row r="579" ht="15.75" customHeight="1">
      <c r="F579" s="57"/>
      <c r="G579" s="57"/>
      <c r="H579" s="57"/>
    </row>
    <row r="580" ht="15.75" customHeight="1">
      <c r="F580" s="57"/>
      <c r="G580" s="57"/>
      <c r="H580" s="57"/>
    </row>
    <row r="581" ht="15.75" customHeight="1">
      <c r="F581" s="57"/>
      <c r="G581" s="57"/>
      <c r="H581" s="57"/>
    </row>
    <row r="582" ht="15.75" customHeight="1">
      <c r="F582" s="57"/>
      <c r="G582" s="57"/>
      <c r="H582" s="57"/>
    </row>
    <row r="583" ht="15.75" customHeight="1">
      <c r="F583" s="57"/>
      <c r="G583" s="57"/>
      <c r="H583" s="57"/>
    </row>
    <row r="584" ht="15.75" customHeight="1">
      <c r="F584" s="57"/>
      <c r="G584" s="57"/>
      <c r="H584" s="57"/>
    </row>
    <row r="585" ht="15.75" customHeight="1">
      <c r="F585" s="57"/>
      <c r="G585" s="57"/>
      <c r="H585" s="57"/>
    </row>
    <row r="586" ht="15.75" customHeight="1">
      <c r="F586" s="57"/>
      <c r="G586" s="57"/>
      <c r="H586" s="57"/>
    </row>
    <row r="587" ht="15.75" customHeight="1">
      <c r="F587" s="57"/>
      <c r="G587" s="57"/>
      <c r="H587" s="57"/>
    </row>
    <row r="588" ht="15.75" customHeight="1">
      <c r="F588" s="57"/>
      <c r="G588" s="57"/>
      <c r="H588" s="57"/>
    </row>
    <row r="589" ht="15.75" customHeight="1">
      <c r="F589" s="57"/>
      <c r="G589" s="57"/>
      <c r="H589" s="57"/>
    </row>
    <row r="590" ht="15.75" customHeight="1">
      <c r="F590" s="57"/>
      <c r="G590" s="57"/>
      <c r="H590" s="57"/>
    </row>
    <row r="591" ht="15.75" customHeight="1">
      <c r="F591" s="57"/>
      <c r="G591" s="57"/>
      <c r="H591" s="57"/>
    </row>
    <row r="592" ht="15.75" customHeight="1">
      <c r="F592" s="57"/>
      <c r="G592" s="57"/>
      <c r="H592" s="57"/>
    </row>
    <row r="593" ht="15.75" customHeight="1">
      <c r="F593" s="57"/>
      <c r="G593" s="57"/>
      <c r="H593" s="57"/>
    </row>
    <row r="594" ht="15.75" customHeight="1">
      <c r="F594" s="57"/>
      <c r="G594" s="57"/>
      <c r="H594" s="57"/>
    </row>
    <row r="595" ht="15.75" customHeight="1">
      <c r="F595" s="57"/>
      <c r="G595" s="57"/>
      <c r="H595" s="57"/>
    </row>
    <row r="596" ht="15.75" customHeight="1">
      <c r="F596" s="57"/>
      <c r="G596" s="57"/>
      <c r="H596" s="57"/>
    </row>
    <row r="597" ht="15.75" customHeight="1">
      <c r="F597" s="57"/>
      <c r="G597" s="57"/>
      <c r="H597" s="57"/>
    </row>
    <row r="598" ht="15.75" customHeight="1">
      <c r="F598" s="57"/>
      <c r="G598" s="57"/>
      <c r="H598" s="57"/>
    </row>
    <row r="599" ht="15.75" customHeight="1">
      <c r="F599" s="57"/>
      <c r="G599" s="57"/>
      <c r="H599" s="57"/>
    </row>
    <row r="600" ht="15.75" customHeight="1">
      <c r="F600" s="57"/>
      <c r="G600" s="57"/>
      <c r="H600" s="57"/>
    </row>
    <row r="601" ht="15.75" customHeight="1">
      <c r="F601" s="57"/>
      <c r="G601" s="57"/>
      <c r="H601" s="57"/>
    </row>
    <row r="602" ht="15.75" customHeight="1">
      <c r="F602" s="57"/>
      <c r="G602" s="57"/>
      <c r="H602" s="57"/>
    </row>
    <row r="603" ht="15.75" customHeight="1">
      <c r="F603" s="57"/>
      <c r="G603" s="57"/>
      <c r="H603" s="57"/>
    </row>
    <row r="604" ht="15.75" customHeight="1">
      <c r="F604" s="57"/>
      <c r="G604" s="57"/>
      <c r="H604" s="57"/>
    </row>
    <row r="605" ht="15.75" customHeight="1">
      <c r="F605" s="57"/>
      <c r="G605" s="57"/>
      <c r="H605" s="57"/>
    </row>
    <row r="606" ht="15.75" customHeight="1">
      <c r="F606" s="57"/>
      <c r="G606" s="57"/>
      <c r="H606" s="57"/>
    </row>
    <row r="607" ht="15.75" customHeight="1">
      <c r="F607" s="57"/>
      <c r="G607" s="57"/>
      <c r="H607" s="57"/>
    </row>
    <row r="608" ht="15.75" customHeight="1">
      <c r="F608" s="57"/>
      <c r="G608" s="57"/>
      <c r="H608" s="57"/>
    </row>
    <row r="609" ht="15.75" customHeight="1">
      <c r="F609" s="57"/>
      <c r="G609" s="57"/>
      <c r="H609" s="57"/>
    </row>
    <row r="610" ht="15.75" customHeight="1">
      <c r="F610" s="57"/>
      <c r="G610" s="57"/>
      <c r="H610" s="57"/>
    </row>
    <row r="611" ht="15.75" customHeight="1">
      <c r="F611" s="57"/>
      <c r="G611" s="57"/>
      <c r="H611" s="57"/>
    </row>
    <row r="612" ht="15.75" customHeight="1">
      <c r="F612" s="57"/>
      <c r="G612" s="57"/>
      <c r="H612" s="57"/>
    </row>
    <row r="613" ht="15.75" customHeight="1">
      <c r="F613" s="57"/>
      <c r="G613" s="57"/>
      <c r="H613" s="57"/>
    </row>
    <row r="614" ht="15.75" customHeight="1">
      <c r="F614" s="57"/>
      <c r="G614" s="57"/>
      <c r="H614" s="57"/>
    </row>
    <row r="615" ht="15.75" customHeight="1">
      <c r="F615" s="57"/>
      <c r="G615" s="57"/>
      <c r="H615" s="57"/>
    </row>
    <row r="616" ht="15.75" customHeight="1">
      <c r="F616" s="57"/>
      <c r="G616" s="57"/>
      <c r="H616" s="57"/>
    </row>
    <row r="617" ht="15.75" customHeight="1">
      <c r="F617" s="57"/>
      <c r="G617" s="57"/>
      <c r="H617" s="57"/>
    </row>
    <row r="618" ht="15.75" customHeight="1">
      <c r="F618" s="57"/>
      <c r="G618" s="57"/>
      <c r="H618" s="57"/>
    </row>
    <row r="619" ht="15.75" customHeight="1">
      <c r="F619" s="57"/>
      <c r="G619" s="57"/>
      <c r="H619" s="57"/>
    </row>
    <row r="620" ht="15.75" customHeight="1">
      <c r="F620" s="57"/>
      <c r="G620" s="57"/>
      <c r="H620" s="57"/>
    </row>
    <row r="621" ht="15.75" customHeight="1">
      <c r="F621" s="57"/>
      <c r="G621" s="57"/>
      <c r="H621" s="57"/>
    </row>
    <row r="622" ht="15.75" customHeight="1">
      <c r="F622" s="57"/>
      <c r="G622" s="57"/>
      <c r="H622" s="57"/>
    </row>
    <row r="623" ht="15.75" customHeight="1">
      <c r="F623" s="57"/>
      <c r="G623" s="57"/>
      <c r="H623" s="57"/>
    </row>
    <row r="624" ht="15.75" customHeight="1">
      <c r="F624" s="57"/>
      <c r="G624" s="57"/>
      <c r="H624" s="57"/>
    </row>
    <row r="625" ht="15.75" customHeight="1">
      <c r="F625" s="57"/>
      <c r="G625" s="57"/>
      <c r="H625" s="57"/>
    </row>
    <row r="626" ht="15.75" customHeight="1">
      <c r="F626" s="57"/>
      <c r="G626" s="57"/>
      <c r="H626" s="57"/>
    </row>
    <row r="627" ht="15.75" customHeight="1">
      <c r="F627" s="57"/>
      <c r="G627" s="57"/>
      <c r="H627" s="57"/>
    </row>
    <row r="628" ht="15.75" customHeight="1">
      <c r="F628" s="57"/>
      <c r="G628" s="57"/>
      <c r="H628" s="57"/>
    </row>
    <row r="629" ht="15.75" customHeight="1">
      <c r="F629" s="57"/>
      <c r="G629" s="57"/>
      <c r="H629" s="57"/>
    </row>
    <row r="630" ht="15.75" customHeight="1">
      <c r="F630" s="57"/>
      <c r="G630" s="57"/>
      <c r="H630" s="57"/>
    </row>
    <row r="631" ht="15.75" customHeight="1">
      <c r="F631" s="57"/>
      <c r="G631" s="57"/>
      <c r="H631" s="57"/>
    </row>
    <row r="632" ht="15.75" customHeight="1">
      <c r="F632" s="57"/>
      <c r="G632" s="57"/>
      <c r="H632" s="57"/>
    </row>
    <row r="633" ht="15.75" customHeight="1">
      <c r="F633" s="57"/>
      <c r="G633" s="57"/>
      <c r="H633" s="57"/>
    </row>
    <row r="634" ht="15.75" customHeight="1">
      <c r="F634" s="57"/>
      <c r="G634" s="57"/>
      <c r="H634" s="57"/>
    </row>
    <row r="635" ht="15.75" customHeight="1">
      <c r="F635" s="57"/>
      <c r="G635" s="57"/>
      <c r="H635" s="57"/>
    </row>
    <row r="636" ht="15.75" customHeight="1">
      <c r="F636" s="57"/>
      <c r="G636" s="57"/>
      <c r="H636" s="57"/>
    </row>
    <row r="637" ht="15.75" customHeight="1">
      <c r="F637" s="57"/>
      <c r="G637" s="57"/>
      <c r="H637" s="57"/>
    </row>
    <row r="638" ht="15.75" customHeight="1">
      <c r="F638" s="57"/>
      <c r="G638" s="57"/>
      <c r="H638" s="57"/>
    </row>
    <row r="639" ht="15.75" customHeight="1">
      <c r="F639" s="57"/>
      <c r="G639" s="57"/>
      <c r="H639" s="57"/>
    </row>
    <row r="640" ht="15.75" customHeight="1">
      <c r="F640" s="57"/>
      <c r="G640" s="57"/>
      <c r="H640" s="57"/>
    </row>
    <row r="641" ht="15.75" customHeight="1">
      <c r="F641" s="57"/>
      <c r="G641" s="57"/>
      <c r="H641" s="57"/>
    </row>
    <row r="642" ht="15.75" customHeight="1">
      <c r="F642" s="57"/>
      <c r="G642" s="57"/>
      <c r="H642" s="57"/>
    </row>
    <row r="643" ht="15.75" customHeight="1">
      <c r="F643" s="57"/>
      <c r="G643" s="57"/>
      <c r="H643" s="57"/>
    </row>
    <row r="644" ht="15.75" customHeight="1">
      <c r="F644" s="57"/>
      <c r="G644" s="57"/>
      <c r="H644" s="57"/>
    </row>
    <row r="645" ht="15.75" customHeight="1">
      <c r="F645" s="57"/>
      <c r="G645" s="57"/>
      <c r="H645" s="57"/>
    </row>
    <row r="646" ht="15.75" customHeight="1">
      <c r="F646" s="57"/>
      <c r="G646" s="57"/>
      <c r="H646" s="57"/>
    </row>
    <row r="647" ht="15.75" customHeight="1">
      <c r="F647" s="57"/>
      <c r="G647" s="57"/>
      <c r="H647" s="57"/>
    </row>
    <row r="648" ht="15.75" customHeight="1">
      <c r="F648" s="57"/>
      <c r="G648" s="57"/>
      <c r="H648" s="57"/>
    </row>
    <row r="649" ht="15.75" customHeight="1">
      <c r="F649" s="57"/>
      <c r="G649" s="57"/>
      <c r="H649" s="57"/>
    </row>
    <row r="650" ht="15.75" customHeight="1">
      <c r="F650" s="57"/>
      <c r="G650" s="57"/>
      <c r="H650" s="57"/>
    </row>
    <row r="651" ht="15.75" customHeight="1">
      <c r="F651" s="57"/>
      <c r="G651" s="57"/>
      <c r="H651" s="57"/>
    </row>
    <row r="652" ht="15.75" customHeight="1">
      <c r="F652" s="57"/>
      <c r="G652" s="57"/>
      <c r="H652" s="57"/>
    </row>
    <row r="653" ht="15.75" customHeight="1">
      <c r="F653" s="57"/>
      <c r="G653" s="57"/>
      <c r="H653" s="57"/>
    </row>
    <row r="654" ht="15.75" customHeight="1">
      <c r="F654" s="57"/>
      <c r="G654" s="57"/>
      <c r="H654" s="57"/>
    </row>
    <row r="655" ht="15.75" customHeight="1">
      <c r="F655" s="57"/>
      <c r="G655" s="57"/>
      <c r="H655" s="57"/>
    </row>
    <row r="656" ht="15.75" customHeight="1">
      <c r="F656" s="57"/>
      <c r="G656" s="57"/>
      <c r="H656" s="57"/>
    </row>
    <row r="657" ht="15.75" customHeight="1">
      <c r="F657" s="57"/>
      <c r="G657" s="57"/>
      <c r="H657" s="57"/>
    </row>
    <row r="658" ht="15.75" customHeight="1">
      <c r="F658" s="57"/>
      <c r="G658" s="57"/>
      <c r="H658" s="57"/>
    </row>
    <row r="659" ht="15.75" customHeight="1">
      <c r="F659" s="57"/>
      <c r="G659" s="57"/>
      <c r="H659" s="57"/>
    </row>
    <row r="660" ht="15.75" customHeight="1">
      <c r="F660" s="57"/>
      <c r="G660" s="57"/>
      <c r="H660" s="57"/>
    </row>
    <row r="661" ht="15.75" customHeight="1">
      <c r="F661" s="57"/>
      <c r="G661" s="57"/>
      <c r="H661" s="57"/>
    </row>
    <row r="662" ht="15.75" customHeight="1">
      <c r="F662" s="57"/>
      <c r="G662" s="57"/>
      <c r="H662" s="57"/>
    </row>
    <row r="663" ht="15.75" customHeight="1">
      <c r="F663" s="57"/>
      <c r="G663" s="57"/>
      <c r="H663" s="57"/>
    </row>
    <row r="664" ht="15.75" customHeight="1">
      <c r="F664" s="57"/>
      <c r="G664" s="57"/>
      <c r="H664" s="57"/>
    </row>
    <row r="665" ht="15.75" customHeight="1">
      <c r="F665" s="57"/>
      <c r="G665" s="57"/>
      <c r="H665" s="57"/>
    </row>
    <row r="666" ht="15.75" customHeight="1">
      <c r="F666" s="57"/>
      <c r="G666" s="57"/>
      <c r="H666" s="57"/>
    </row>
    <row r="667" ht="15.75" customHeight="1">
      <c r="F667" s="57"/>
      <c r="G667" s="57"/>
      <c r="H667" s="57"/>
    </row>
    <row r="668" ht="15.75" customHeight="1">
      <c r="F668" s="57"/>
      <c r="G668" s="57"/>
      <c r="H668" s="57"/>
    </row>
    <row r="669" ht="15.75" customHeight="1">
      <c r="F669" s="57"/>
      <c r="G669" s="57"/>
      <c r="H669" s="57"/>
    </row>
    <row r="670" ht="15.75" customHeight="1">
      <c r="F670" s="57"/>
      <c r="G670" s="57"/>
      <c r="H670" s="57"/>
    </row>
    <row r="671" ht="15.75" customHeight="1">
      <c r="F671" s="57"/>
      <c r="G671" s="57"/>
      <c r="H671" s="57"/>
    </row>
    <row r="672" ht="15.75" customHeight="1">
      <c r="F672" s="57"/>
      <c r="G672" s="57"/>
      <c r="H672" s="57"/>
    </row>
    <row r="673" ht="15.75" customHeight="1">
      <c r="F673" s="57"/>
      <c r="G673" s="57"/>
      <c r="H673" s="57"/>
    </row>
    <row r="674" ht="15.75" customHeight="1">
      <c r="F674" s="57"/>
      <c r="G674" s="57"/>
      <c r="H674" s="57"/>
    </row>
    <row r="675" ht="15.75" customHeight="1">
      <c r="F675" s="57"/>
      <c r="G675" s="57"/>
      <c r="H675" s="57"/>
    </row>
    <row r="676" ht="15.75" customHeight="1">
      <c r="F676" s="57"/>
      <c r="G676" s="57"/>
      <c r="H676" s="57"/>
    </row>
    <row r="677" ht="15.75" customHeight="1">
      <c r="F677" s="57"/>
      <c r="G677" s="57"/>
      <c r="H677" s="57"/>
    </row>
    <row r="678" ht="15.75" customHeight="1">
      <c r="F678" s="57"/>
      <c r="G678" s="57"/>
      <c r="H678" s="57"/>
    </row>
    <row r="679" ht="15.75" customHeight="1">
      <c r="F679" s="57"/>
      <c r="G679" s="57"/>
      <c r="H679" s="57"/>
    </row>
    <row r="680" ht="15.75" customHeight="1">
      <c r="F680" s="57"/>
      <c r="G680" s="57"/>
      <c r="H680" s="57"/>
    </row>
    <row r="681" ht="15.75" customHeight="1">
      <c r="F681" s="57"/>
      <c r="G681" s="57"/>
      <c r="H681" s="57"/>
    </row>
    <row r="682" ht="15.75" customHeight="1">
      <c r="F682" s="57"/>
      <c r="G682" s="57"/>
      <c r="H682" s="57"/>
    </row>
    <row r="683" ht="15.75" customHeight="1">
      <c r="F683" s="57"/>
      <c r="G683" s="57"/>
      <c r="H683" s="57"/>
    </row>
    <row r="684" ht="15.75" customHeight="1">
      <c r="F684" s="57"/>
      <c r="G684" s="57"/>
      <c r="H684" s="57"/>
    </row>
    <row r="685" ht="15.75" customHeight="1">
      <c r="F685" s="57"/>
      <c r="G685" s="57"/>
      <c r="H685" s="57"/>
    </row>
    <row r="686" ht="15.75" customHeight="1">
      <c r="F686" s="57"/>
      <c r="G686" s="57"/>
      <c r="H686" s="57"/>
    </row>
    <row r="687" ht="15.75" customHeight="1">
      <c r="F687" s="57"/>
      <c r="G687" s="57"/>
      <c r="H687" s="57"/>
    </row>
    <row r="688" ht="15.75" customHeight="1">
      <c r="F688" s="57"/>
      <c r="G688" s="57"/>
      <c r="H688" s="57"/>
    </row>
    <row r="689" ht="15.75" customHeight="1">
      <c r="F689" s="57"/>
      <c r="G689" s="57"/>
      <c r="H689" s="57"/>
    </row>
    <row r="690" ht="15.75" customHeight="1">
      <c r="F690" s="57"/>
      <c r="G690" s="57"/>
      <c r="H690" s="57"/>
    </row>
    <row r="691" ht="15.75" customHeight="1">
      <c r="F691" s="57"/>
      <c r="G691" s="57"/>
      <c r="H691" s="57"/>
    </row>
    <row r="692" ht="15.75" customHeight="1">
      <c r="F692" s="57"/>
      <c r="G692" s="57"/>
      <c r="H692" s="57"/>
    </row>
    <row r="693" ht="15.75" customHeight="1">
      <c r="F693" s="57"/>
      <c r="G693" s="57"/>
      <c r="H693" s="57"/>
    </row>
    <row r="694" ht="15.75" customHeight="1">
      <c r="F694" s="57"/>
      <c r="G694" s="57"/>
      <c r="H694" s="57"/>
    </row>
    <row r="695" ht="15.75" customHeight="1">
      <c r="F695" s="57"/>
      <c r="G695" s="57"/>
      <c r="H695" s="57"/>
    </row>
    <row r="696" ht="15.75" customHeight="1">
      <c r="F696" s="57"/>
      <c r="G696" s="57"/>
      <c r="H696" s="57"/>
    </row>
    <row r="697" ht="15.75" customHeight="1">
      <c r="F697" s="57"/>
      <c r="G697" s="57"/>
      <c r="H697" s="57"/>
    </row>
    <row r="698" ht="15.75" customHeight="1">
      <c r="F698" s="57"/>
      <c r="G698" s="57"/>
      <c r="H698" s="57"/>
    </row>
    <row r="699" ht="15.75" customHeight="1">
      <c r="F699" s="57"/>
      <c r="G699" s="57"/>
      <c r="H699" s="57"/>
    </row>
    <row r="700" ht="15.75" customHeight="1">
      <c r="F700" s="57"/>
      <c r="G700" s="57"/>
      <c r="H700" s="57"/>
    </row>
    <row r="701" ht="15.75" customHeight="1">
      <c r="F701" s="57"/>
      <c r="G701" s="57"/>
      <c r="H701" s="57"/>
    </row>
    <row r="702" ht="15.75" customHeight="1">
      <c r="F702" s="57"/>
      <c r="G702" s="57"/>
      <c r="H702" s="57"/>
    </row>
    <row r="703" ht="15.75" customHeight="1">
      <c r="F703" s="57"/>
      <c r="G703" s="57"/>
      <c r="H703" s="57"/>
    </row>
    <row r="704" ht="15.75" customHeight="1">
      <c r="F704" s="57"/>
      <c r="G704" s="57"/>
      <c r="H704" s="57"/>
    </row>
    <row r="705" ht="15.75" customHeight="1">
      <c r="F705" s="57"/>
      <c r="G705" s="57"/>
      <c r="H705" s="57"/>
    </row>
    <row r="706" ht="15.75" customHeight="1">
      <c r="F706" s="57"/>
      <c r="G706" s="57"/>
      <c r="H706" s="57"/>
    </row>
    <row r="707" ht="15.75" customHeight="1">
      <c r="F707" s="57"/>
      <c r="G707" s="57"/>
      <c r="H707" s="57"/>
    </row>
    <row r="708" ht="15.75" customHeight="1">
      <c r="F708" s="57"/>
      <c r="G708" s="57"/>
      <c r="H708" s="57"/>
    </row>
    <row r="709" ht="15.75" customHeight="1">
      <c r="F709" s="57"/>
      <c r="G709" s="57"/>
      <c r="H709" s="57"/>
    </row>
    <row r="710" ht="15.75" customHeight="1">
      <c r="F710" s="57"/>
      <c r="G710" s="57"/>
      <c r="H710" s="57"/>
    </row>
    <row r="711" ht="15.75" customHeight="1">
      <c r="F711" s="57"/>
      <c r="G711" s="57"/>
      <c r="H711" s="57"/>
    </row>
    <row r="712" ht="15.75" customHeight="1">
      <c r="F712" s="57"/>
      <c r="G712" s="57"/>
      <c r="H712" s="57"/>
    </row>
    <row r="713" ht="15.75" customHeight="1">
      <c r="F713" s="57"/>
      <c r="G713" s="57"/>
      <c r="H713" s="57"/>
    </row>
    <row r="714" ht="15.75" customHeight="1">
      <c r="F714" s="57"/>
      <c r="G714" s="57"/>
      <c r="H714" s="57"/>
    </row>
    <row r="715" ht="15.75" customHeight="1">
      <c r="F715" s="57"/>
      <c r="G715" s="57"/>
      <c r="H715" s="57"/>
    </row>
    <row r="716" ht="15.75" customHeight="1">
      <c r="F716" s="57"/>
      <c r="G716" s="57"/>
      <c r="H716" s="57"/>
    </row>
    <row r="717" ht="15.75" customHeight="1">
      <c r="F717" s="57"/>
      <c r="G717" s="57"/>
      <c r="H717" s="57"/>
    </row>
    <row r="718" ht="15.75" customHeight="1">
      <c r="F718" s="57"/>
      <c r="G718" s="57"/>
      <c r="H718" s="57"/>
    </row>
    <row r="719" ht="15.75" customHeight="1">
      <c r="F719" s="57"/>
      <c r="G719" s="57"/>
      <c r="H719" s="57"/>
    </row>
    <row r="720" ht="15.75" customHeight="1">
      <c r="F720" s="57"/>
      <c r="G720" s="57"/>
      <c r="H720" s="57"/>
    </row>
    <row r="721" ht="15.75" customHeight="1">
      <c r="F721" s="57"/>
      <c r="G721" s="57"/>
      <c r="H721" s="57"/>
    </row>
    <row r="722" ht="15.75" customHeight="1">
      <c r="F722" s="57"/>
      <c r="G722" s="57"/>
      <c r="H722" s="57"/>
    </row>
    <row r="723" ht="15.75" customHeight="1">
      <c r="F723" s="57"/>
      <c r="G723" s="57"/>
      <c r="H723" s="57"/>
    </row>
    <row r="724" ht="15.75" customHeight="1">
      <c r="F724" s="57"/>
      <c r="G724" s="57"/>
      <c r="H724" s="57"/>
    </row>
    <row r="725" ht="15.75" customHeight="1">
      <c r="F725" s="57"/>
      <c r="G725" s="57"/>
      <c r="H725" s="57"/>
    </row>
    <row r="726" ht="15.75" customHeight="1">
      <c r="F726" s="57"/>
      <c r="G726" s="57"/>
      <c r="H726" s="57"/>
    </row>
    <row r="727" ht="15.75" customHeight="1">
      <c r="F727" s="57"/>
      <c r="G727" s="57"/>
      <c r="H727" s="57"/>
    </row>
    <row r="728" ht="15.75" customHeight="1">
      <c r="F728" s="57"/>
      <c r="G728" s="57"/>
      <c r="H728" s="57"/>
    </row>
    <row r="729" ht="15.75" customHeight="1">
      <c r="F729" s="57"/>
      <c r="G729" s="57"/>
      <c r="H729" s="57"/>
    </row>
    <row r="730" ht="15.75" customHeight="1">
      <c r="F730" s="57"/>
      <c r="G730" s="57"/>
      <c r="H730" s="57"/>
    </row>
    <row r="731" ht="15.75" customHeight="1">
      <c r="F731" s="57"/>
      <c r="G731" s="57"/>
      <c r="H731" s="57"/>
    </row>
    <row r="732" ht="15.75" customHeight="1">
      <c r="F732" s="57"/>
      <c r="G732" s="57"/>
      <c r="H732" s="57"/>
    </row>
    <row r="733" ht="15.75" customHeight="1">
      <c r="F733" s="57"/>
      <c r="G733" s="57"/>
      <c r="H733" s="57"/>
    </row>
    <row r="734" ht="15.75" customHeight="1">
      <c r="F734" s="57"/>
      <c r="G734" s="57"/>
      <c r="H734" s="57"/>
    </row>
    <row r="735" ht="15.75" customHeight="1">
      <c r="F735" s="57"/>
      <c r="G735" s="57"/>
      <c r="H735" s="57"/>
    </row>
    <row r="736" ht="15.75" customHeight="1">
      <c r="F736" s="57"/>
      <c r="G736" s="57"/>
      <c r="H736" s="57"/>
    </row>
    <row r="737" ht="15.75" customHeight="1">
      <c r="F737" s="57"/>
      <c r="G737" s="57"/>
      <c r="H737" s="57"/>
    </row>
    <row r="738" ht="15.75" customHeight="1">
      <c r="F738" s="57"/>
      <c r="G738" s="57"/>
      <c r="H738" s="57"/>
    </row>
    <row r="739" ht="15.75" customHeight="1">
      <c r="F739" s="57"/>
      <c r="G739" s="57"/>
      <c r="H739" s="57"/>
    </row>
    <row r="740" ht="15.75" customHeight="1">
      <c r="F740" s="57"/>
      <c r="G740" s="57"/>
      <c r="H740" s="57"/>
    </row>
    <row r="741" ht="15.75" customHeight="1">
      <c r="F741" s="57"/>
      <c r="G741" s="57"/>
      <c r="H741" s="57"/>
    </row>
    <row r="742" ht="15.75" customHeight="1">
      <c r="F742" s="57"/>
      <c r="G742" s="57"/>
      <c r="H742" s="57"/>
    </row>
    <row r="743" ht="15.75" customHeight="1">
      <c r="F743" s="57"/>
      <c r="G743" s="57"/>
      <c r="H743" s="57"/>
    </row>
    <row r="744" ht="15.75" customHeight="1">
      <c r="F744" s="57"/>
      <c r="G744" s="57"/>
      <c r="H744" s="57"/>
    </row>
    <row r="745" ht="15.75" customHeight="1">
      <c r="F745" s="57"/>
      <c r="G745" s="57"/>
      <c r="H745" s="57"/>
    </row>
    <row r="746" ht="15.75" customHeight="1">
      <c r="F746" s="57"/>
      <c r="G746" s="57"/>
      <c r="H746" s="57"/>
    </row>
    <row r="747" ht="15.75" customHeight="1">
      <c r="F747" s="57"/>
      <c r="G747" s="57"/>
      <c r="H747" s="57"/>
    </row>
    <row r="748" ht="15.75" customHeight="1">
      <c r="F748" s="57"/>
      <c r="G748" s="57"/>
      <c r="H748" s="57"/>
    </row>
    <row r="749" ht="15.75" customHeight="1">
      <c r="F749" s="57"/>
      <c r="G749" s="57"/>
      <c r="H749" s="57"/>
    </row>
    <row r="750" ht="15.75" customHeight="1">
      <c r="F750" s="57"/>
      <c r="G750" s="57"/>
      <c r="H750" s="57"/>
    </row>
    <row r="751" ht="15.75" customHeight="1">
      <c r="F751" s="57"/>
      <c r="G751" s="57"/>
      <c r="H751" s="57"/>
    </row>
    <row r="752" ht="15.75" customHeight="1">
      <c r="F752" s="57"/>
      <c r="G752" s="57"/>
      <c r="H752" s="57"/>
    </row>
    <row r="753" ht="15.75" customHeight="1">
      <c r="F753" s="57"/>
      <c r="G753" s="57"/>
      <c r="H753" s="57"/>
    </row>
    <row r="754" ht="15.75" customHeight="1">
      <c r="F754" s="57"/>
      <c r="G754" s="57"/>
      <c r="H754" s="57"/>
    </row>
    <row r="755" ht="15.75" customHeight="1">
      <c r="F755" s="57"/>
      <c r="G755" s="57"/>
      <c r="H755" s="57"/>
    </row>
    <row r="756" ht="15.75" customHeight="1">
      <c r="F756" s="57"/>
      <c r="G756" s="57"/>
      <c r="H756" s="57"/>
    </row>
    <row r="757" ht="15.75" customHeight="1">
      <c r="F757" s="57"/>
      <c r="G757" s="57"/>
      <c r="H757" s="57"/>
    </row>
    <row r="758" ht="15.75" customHeight="1">
      <c r="F758" s="57"/>
      <c r="G758" s="57"/>
      <c r="H758" s="57"/>
    </row>
    <row r="759" ht="15.75" customHeight="1">
      <c r="F759" s="57"/>
      <c r="G759" s="57"/>
      <c r="H759" s="57"/>
    </row>
    <row r="760" ht="15.75" customHeight="1">
      <c r="F760" s="57"/>
      <c r="G760" s="57"/>
      <c r="H760" s="57"/>
    </row>
    <row r="761" ht="15.75" customHeight="1">
      <c r="F761" s="57"/>
      <c r="G761" s="57"/>
      <c r="H761" s="57"/>
    </row>
    <row r="762" ht="15.75" customHeight="1">
      <c r="F762" s="57"/>
      <c r="G762" s="57"/>
      <c r="H762" s="57"/>
    </row>
    <row r="763" ht="15.75" customHeight="1">
      <c r="F763" s="57"/>
      <c r="G763" s="57"/>
      <c r="H763" s="57"/>
    </row>
    <row r="764" ht="15.75" customHeight="1">
      <c r="F764" s="57"/>
      <c r="G764" s="57"/>
      <c r="H764" s="57"/>
    </row>
    <row r="765" ht="15.75" customHeight="1">
      <c r="F765" s="57"/>
      <c r="G765" s="57"/>
      <c r="H765" s="57"/>
    </row>
    <row r="766" ht="15.75" customHeight="1">
      <c r="F766" s="57"/>
      <c r="G766" s="57"/>
      <c r="H766" s="57"/>
    </row>
    <row r="767" ht="15.75" customHeight="1">
      <c r="F767" s="57"/>
      <c r="G767" s="57"/>
      <c r="H767" s="57"/>
    </row>
    <row r="768" ht="15.75" customHeight="1">
      <c r="F768" s="57"/>
      <c r="G768" s="57"/>
      <c r="H768" s="57"/>
    </row>
    <row r="769" ht="15.75" customHeight="1">
      <c r="F769" s="57"/>
      <c r="G769" s="57"/>
      <c r="H769" s="57"/>
    </row>
    <row r="770" ht="15.75" customHeight="1">
      <c r="F770" s="57"/>
      <c r="G770" s="57"/>
      <c r="H770" s="57"/>
    </row>
    <row r="771" ht="15.75" customHeight="1">
      <c r="F771" s="57"/>
      <c r="G771" s="57"/>
      <c r="H771" s="57"/>
    </row>
    <row r="772" ht="15.75" customHeight="1">
      <c r="F772" s="57"/>
      <c r="G772" s="57"/>
      <c r="H772" s="57"/>
    </row>
    <row r="773" ht="15.75" customHeight="1">
      <c r="F773" s="57"/>
      <c r="G773" s="57"/>
      <c r="H773" s="57"/>
    </row>
    <row r="774" ht="15.75" customHeight="1">
      <c r="F774" s="57"/>
      <c r="G774" s="57"/>
      <c r="H774" s="57"/>
    </row>
    <row r="775" ht="15.75" customHeight="1">
      <c r="F775" s="57"/>
      <c r="G775" s="57"/>
      <c r="H775" s="57"/>
    </row>
    <row r="776" ht="15.75" customHeight="1">
      <c r="F776" s="57"/>
      <c r="G776" s="57"/>
      <c r="H776" s="57"/>
    </row>
    <row r="777" ht="15.75" customHeight="1">
      <c r="F777" s="57"/>
      <c r="G777" s="57"/>
      <c r="H777" s="57"/>
    </row>
    <row r="778" ht="15.75" customHeight="1">
      <c r="F778" s="57"/>
      <c r="G778" s="57"/>
      <c r="H778" s="57"/>
    </row>
    <row r="779" ht="15.75" customHeight="1">
      <c r="F779" s="57"/>
      <c r="G779" s="57"/>
      <c r="H779" s="57"/>
    </row>
    <row r="780" ht="15.75" customHeight="1">
      <c r="F780" s="57"/>
      <c r="G780" s="57"/>
      <c r="H780" s="57"/>
    </row>
    <row r="781" ht="15.75" customHeight="1">
      <c r="F781" s="57"/>
      <c r="G781" s="57"/>
      <c r="H781" s="57"/>
    </row>
    <row r="782" ht="15.75" customHeight="1">
      <c r="F782" s="57"/>
      <c r="G782" s="57"/>
      <c r="H782" s="57"/>
    </row>
    <row r="783" ht="15.75" customHeight="1">
      <c r="F783" s="57"/>
      <c r="G783" s="57"/>
      <c r="H783" s="57"/>
    </row>
    <row r="784" ht="15.75" customHeight="1">
      <c r="F784" s="57"/>
      <c r="G784" s="57"/>
      <c r="H784" s="57"/>
    </row>
    <row r="785" ht="15.75" customHeight="1">
      <c r="F785" s="57"/>
      <c r="G785" s="57"/>
      <c r="H785" s="57"/>
    </row>
    <row r="786" ht="15.75" customHeight="1">
      <c r="F786" s="57"/>
      <c r="G786" s="57"/>
      <c r="H786" s="57"/>
    </row>
    <row r="787" ht="15.75" customHeight="1">
      <c r="F787" s="57"/>
      <c r="G787" s="57"/>
      <c r="H787" s="57"/>
    </row>
    <row r="788" ht="15.75" customHeight="1">
      <c r="F788" s="57"/>
      <c r="G788" s="57"/>
      <c r="H788" s="57"/>
    </row>
    <row r="789" ht="15.75" customHeight="1">
      <c r="F789" s="57"/>
      <c r="G789" s="57"/>
      <c r="H789" s="57"/>
    </row>
    <row r="790" ht="15.75" customHeight="1">
      <c r="F790" s="57"/>
      <c r="G790" s="57"/>
      <c r="H790" s="57"/>
    </row>
    <row r="791" ht="15.75" customHeight="1">
      <c r="F791" s="57"/>
      <c r="G791" s="57"/>
      <c r="H791" s="57"/>
    </row>
    <row r="792" ht="15.75" customHeight="1">
      <c r="F792" s="57"/>
      <c r="G792" s="57"/>
      <c r="H792" s="57"/>
    </row>
    <row r="793" ht="15.75" customHeight="1">
      <c r="F793" s="57"/>
      <c r="G793" s="57"/>
      <c r="H793" s="57"/>
    </row>
    <row r="794" ht="15.75" customHeight="1">
      <c r="F794" s="57"/>
      <c r="G794" s="57"/>
      <c r="H794" s="57"/>
    </row>
    <row r="795" ht="15.75" customHeight="1">
      <c r="F795" s="57"/>
      <c r="G795" s="57"/>
      <c r="H795" s="57"/>
    </row>
    <row r="796" ht="15.75" customHeight="1">
      <c r="F796" s="57"/>
      <c r="G796" s="57"/>
      <c r="H796" s="57"/>
    </row>
    <row r="797" ht="15.75" customHeight="1">
      <c r="F797" s="57"/>
      <c r="G797" s="57"/>
      <c r="H797" s="57"/>
    </row>
    <row r="798" ht="15.75" customHeight="1">
      <c r="F798" s="57"/>
      <c r="G798" s="57"/>
      <c r="H798" s="57"/>
    </row>
    <row r="799" ht="15.75" customHeight="1">
      <c r="F799" s="57"/>
      <c r="G799" s="57"/>
      <c r="H799" s="57"/>
    </row>
    <row r="800" ht="15.75" customHeight="1">
      <c r="F800" s="57"/>
      <c r="G800" s="57"/>
      <c r="H800" s="57"/>
    </row>
    <row r="801" ht="15.75" customHeight="1">
      <c r="F801" s="57"/>
      <c r="G801" s="57"/>
      <c r="H801" s="57"/>
    </row>
    <row r="802" ht="15.75" customHeight="1">
      <c r="F802" s="57"/>
      <c r="G802" s="57"/>
      <c r="H802" s="57"/>
    </row>
    <row r="803" ht="15.75" customHeight="1">
      <c r="F803" s="57"/>
      <c r="G803" s="57"/>
      <c r="H803" s="57"/>
    </row>
    <row r="804" ht="15.75" customHeight="1">
      <c r="F804" s="57"/>
      <c r="G804" s="57"/>
      <c r="H804" s="57"/>
    </row>
    <row r="805" ht="15.75" customHeight="1">
      <c r="F805" s="57"/>
      <c r="G805" s="57"/>
      <c r="H805" s="57"/>
    </row>
    <row r="806" ht="15.75" customHeight="1">
      <c r="F806" s="57"/>
      <c r="G806" s="57"/>
      <c r="H806" s="57"/>
    </row>
    <row r="807" ht="15.75" customHeight="1">
      <c r="F807" s="57"/>
      <c r="G807" s="57"/>
      <c r="H807" s="57"/>
    </row>
    <row r="808" ht="15.75" customHeight="1">
      <c r="F808" s="57"/>
      <c r="G808" s="57"/>
      <c r="H808" s="57"/>
    </row>
    <row r="809" ht="15.75" customHeight="1">
      <c r="F809" s="57"/>
      <c r="G809" s="57"/>
      <c r="H809" s="57"/>
    </row>
    <row r="810" ht="15.75" customHeight="1">
      <c r="F810" s="57"/>
      <c r="G810" s="57"/>
      <c r="H810" s="57"/>
    </row>
    <row r="811" ht="15.75" customHeight="1">
      <c r="F811" s="57"/>
      <c r="G811" s="57"/>
      <c r="H811" s="57"/>
    </row>
    <row r="812" ht="15.75" customHeight="1">
      <c r="F812" s="57"/>
      <c r="G812" s="57"/>
      <c r="H812" s="57"/>
    </row>
    <row r="813" ht="15.75" customHeight="1">
      <c r="F813" s="57"/>
      <c r="G813" s="57"/>
      <c r="H813" s="57"/>
    </row>
    <row r="814" ht="15.75" customHeight="1">
      <c r="F814" s="57"/>
      <c r="G814" s="57"/>
      <c r="H814" s="57"/>
    </row>
    <row r="815" ht="15.75" customHeight="1">
      <c r="F815" s="57"/>
      <c r="G815" s="57"/>
      <c r="H815" s="57"/>
    </row>
    <row r="816" ht="15.75" customHeight="1">
      <c r="F816" s="57"/>
      <c r="G816" s="57"/>
      <c r="H816" s="57"/>
    </row>
    <row r="817" ht="15.75" customHeight="1">
      <c r="F817" s="57"/>
      <c r="G817" s="57"/>
      <c r="H817" s="57"/>
    </row>
    <row r="818" ht="15.75" customHeight="1">
      <c r="F818" s="57"/>
      <c r="G818" s="57"/>
      <c r="H818" s="57"/>
    </row>
    <row r="819" ht="15.75" customHeight="1">
      <c r="F819" s="57"/>
      <c r="G819" s="57"/>
      <c r="H819" s="57"/>
    </row>
    <row r="820" ht="15.75" customHeight="1">
      <c r="F820" s="57"/>
      <c r="G820" s="57"/>
      <c r="H820" s="57"/>
    </row>
    <row r="821" ht="15.75" customHeight="1">
      <c r="F821" s="57"/>
      <c r="G821" s="57"/>
      <c r="H821" s="57"/>
    </row>
    <row r="822" ht="15.75" customHeight="1">
      <c r="F822" s="57"/>
      <c r="G822" s="57"/>
      <c r="H822" s="57"/>
    </row>
    <row r="823" ht="15.75" customHeight="1">
      <c r="F823" s="57"/>
      <c r="G823" s="57"/>
      <c r="H823" s="57"/>
    </row>
    <row r="824" ht="15.75" customHeight="1">
      <c r="F824" s="57"/>
      <c r="G824" s="57"/>
      <c r="H824" s="57"/>
    </row>
    <row r="825" ht="15.75" customHeight="1">
      <c r="F825" s="57"/>
      <c r="G825" s="57"/>
      <c r="H825" s="57"/>
    </row>
    <row r="826" ht="15.75" customHeight="1">
      <c r="F826" s="57"/>
      <c r="G826" s="57"/>
      <c r="H826" s="57"/>
    </row>
    <row r="827" ht="15.75" customHeight="1">
      <c r="F827" s="57"/>
      <c r="G827" s="57"/>
      <c r="H827" s="57"/>
    </row>
    <row r="828" ht="15.75" customHeight="1">
      <c r="F828" s="57"/>
      <c r="G828" s="57"/>
      <c r="H828" s="57"/>
    </row>
    <row r="829" ht="15.75" customHeight="1">
      <c r="F829" s="57"/>
      <c r="G829" s="57"/>
      <c r="H829" s="57"/>
    </row>
    <row r="830" ht="15.75" customHeight="1">
      <c r="F830" s="57"/>
      <c r="G830" s="57"/>
      <c r="H830" s="57"/>
    </row>
    <row r="831" ht="15.75" customHeight="1">
      <c r="F831" s="57"/>
      <c r="G831" s="57"/>
      <c r="H831" s="57"/>
    </row>
    <row r="832" ht="15.75" customHeight="1">
      <c r="F832" s="57"/>
      <c r="G832" s="57"/>
      <c r="H832" s="57"/>
    </row>
    <row r="833" ht="15.75" customHeight="1">
      <c r="F833" s="57"/>
      <c r="G833" s="57"/>
      <c r="H833" s="57"/>
    </row>
    <row r="834" ht="15.75" customHeight="1">
      <c r="F834" s="57"/>
      <c r="G834" s="57"/>
      <c r="H834" s="57"/>
    </row>
    <row r="835" ht="15.75" customHeight="1">
      <c r="F835" s="57"/>
      <c r="G835" s="57"/>
      <c r="H835" s="57"/>
    </row>
    <row r="836" ht="15.75" customHeight="1">
      <c r="F836" s="57"/>
      <c r="G836" s="57"/>
      <c r="H836" s="57"/>
    </row>
    <row r="837" ht="15.75" customHeight="1">
      <c r="F837" s="57"/>
      <c r="G837" s="57"/>
      <c r="H837" s="57"/>
    </row>
    <row r="838" ht="15.75" customHeight="1">
      <c r="F838" s="57"/>
      <c r="G838" s="57"/>
      <c r="H838" s="57"/>
    </row>
    <row r="839" ht="15.75" customHeight="1">
      <c r="F839" s="57"/>
      <c r="G839" s="57"/>
      <c r="H839" s="57"/>
    </row>
    <row r="840" ht="15.75" customHeight="1">
      <c r="F840" s="57"/>
      <c r="G840" s="57"/>
      <c r="H840" s="57"/>
    </row>
    <row r="841" ht="15.75" customHeight="1">
      <c r="F841" s="57"/>
      <c r="G841" s="57"/>
      <c r="H841" s="57"/>
    </row>
    <row r="842" ht="15.75" customHeight="1">
      <c r="F842" s="57"/>
      <c r="G842" s="57"/>
      <c r="H842" s="57"/>
    </row>
    <row r="843" ht="15.75" customHeight="1">
      <c r="F843" s="57"/>
      <c r="G843" s="57"/>
      <c r="H843" s="57"/>
    </row>
    <row r="844" ht="15.75" customHeight="1">
      <c r="F844" s="57"/>
      <c r="G844" s="57"/>
      <c r="H844" s="57"/>
    </row>
    <row r="845" ht="15.75" customHeight="1">
      <c r="F845" s="57"/>
      <c r="G845" s="57"/>
      <c r="H845" s="57"/>
    </row>
    <row r="846" ht="15.75" customHeight="1">
      <c r="F846" s="57"/>
      <c r="G846" s="57"/>
      <c r="H846" s="57"/>
    </row>
    <row r="847" ht="15.75" customHeight="1">
      <c r="F847" s="57"/>
      <c r="G847" s="57"/>
      <c r="H847" s="57"/>
    </row>
    <row r="848" ht="15.75" customHeight="1">
      <c r="F848" s="57"/>
      <c r="G848" s="57"/>
      <c r="H848" s="57"/>
    </row>
    <row r="849" ht="15.75" customHeight="1">
      <c r="F849" s="57"/>
      <c r="G849" s="57"/>
      <c r="H849" s="57"/>
    </row>
    <row r="850" ht="15.75" customHeight="1">
      <c r="F850" s="57"/>
      <c r="G850" s="57"/>
      <c r="H850" s="57"/>
    </row>
    <row r="851" ht="15.75" customHeight="1">
      <c r="F851" s="57"/>
      <c r="G851" s="57"/>
      <c r="H851" s="57"/>
    </row>
    <row r="852" ht="15.75" customHeight="1">
      <c r="F852" s="57"/>
      <c r="G852" s="57"/>
      <c r="H852" s="57"/>
    </row>
    <row r="853" ht="15.75" customHeight="1">
      <c r="F853" s="57"/>
      <c r="G853" s="57"/>
      <c r="H853" s="57"/>
    </row>
    <row r="854" ht="15.75" customHeight="1">
      <c r="F854" s="57"/>
      <c r="G854" s="57"/>
      <c r="H854" s="57"/>
    </row>
    <row r="855" ht="15.75" customHeight="1">
      <c r="F855" s="57"/>
      <c r="G855" s="57"/>
      <c r="H855" s="57"/>
    </row>
    <row r="856" ht="15.75" customHeight="1">
      <c r="F856" s="57"/>
      <c r="G856" s="57"/>
      <c r="H856" s="57"/>
    </row>
    <row r="857" ht="15.75" customHeight="1">
      <c r="F857" s="57"/>
      <c r="G857" s="57"/>
      <c r="H857" s="57"/>
    </row>
    <row r="858" ht="15.75" customHeight="1">
      <c r="F858" s="57"/>
      <c r="G858" s="57"/>
      <c r="H858" s="57"/>
    </row>
    <row r="859" ht="15.75" customHeight="1">
      <c r="F859" s="57"/>
      <c r="G859" s="57"/>
      <c r="H859" s="57"/>
    </row>
    <row r="860" ht="15.75" customHeight="1">
      <c r="F860" s="57"/>
      <c r="G860" s="57"/>
      <c r="H860" s="57"/>
    </row>
    <row r="861" ht="15.75" customHeight="1">
      <c r="F861" s="57"/>
      <c r="G861" s="57"/>
      <c r="H861" s="57"/>
    </row>
    <row r="862" ht="15.75" customHeight="1">
      <c r="F862" s="57"/>
      <c r="G862" s="57"/>
      <c r="H862" s="57"/>
    </row>
    <row r="863" ht="15.75" customHeight="1">
      <c r="F863" s="57"/>
      <c r="G863" s="57"/>
      <c r="H863" s="57"/>
    </row>
    <row r="864" ht="15.75" customHeight="1">
      <c r="F864" s="57"/>
      <c r="G864" s="57"/>
      <c r="H864" s="57"/>
    </row>
    <row r="865" ht="15.75" customHeight="1">
      <c r="F865" s="57"/>
      <c r="G865" s="57"/>
      <c r="H865" s="57"/>
    </row>
    <row r="866" ht="15.75" customHeight="1">
      <c r="F866" s="57"/>
      <c r="G866" s="57"/>
      <c r="H866" s="57"/>
    </row>
    <row r="867" ht="15.75" customHeight="1">
      <c r="F867" s="57"/>
      <c r="G867" s="57"/>
      <c r="H867" s="57"/>
    </row>
    <row r="868" ht="15.75" customHeight="1">
      <c r="F868" s="57"/>
      <c r="G868" s="57"/>
      <c r="H868" s="57"/>
    </row>
    <row r="869" ht="15.75" customHeight="1">
      <c r="F869" s="57"/>
      <c r="G869" s="57"/>
      <c r="H869" s="57"/>
    </row>
    <row r="870" ht="15.75" customHeight="1">
      <c r="F870" s="57"/>
      <c r="G870" s="57"/>
      <c r="H870" s="57"/>
    </row>
    <row r="871" ht="15.75" customHeight="1">
      <c r="F871" s="57"/>
      <c r="G871" s="57"/>
      <c r="H871" s="57"/>
    </row>
    <row r="872" ht="15.75" customHeight="1">
      <c r="F872" s="57"/>
      <c r="G872" s="57"/>
      <c r="H872" s="57"/>
    </row>
    <row r="873" ht="15.75" customHeight="1">
      <c r="F873" s="57"/>
      <c r="G873" s="57"/>
      <c r="H873" s="57"/>
    </row>
    <row r="874" ht="15.75" customHeight="1">
      <c r="F874" s="57"/>
      <c r="G874" s="57"/>
      <c r="H874" s="57"/>
    </row>
    <row r="875" ht="15.75" customHeight="1">
      <c r="F875" s="57"/>
      <c r="G875" s="57"/>
      <c r="H875" s="57"/>
    </row>
    <row r="876" ht="15.75" customHeight="1">
      <c r="F876" s="57"/>
      <c r="G876" s="57"/>
      <c r="H876" s="57"/>
    </row>
    <row r="877" ht="15.75" customHeight="1">
      <c r="F877" s="57"/>
      <c r="G877" s="57"/>
      <c r="H877" s="57"/>
    </row>
    <row r="878" ht="15.75" customHeight="1">
      <c r="F878" s="57"/>
      <c r="G878" s="57"/>
      <c r="H878" s="57"/>
    </row>
    <row r="879" ht="15.75" customHeight="1">
      <c r="F879" s="57"/>
      <c r="G879" s="57"/>
      <c r="H879" s="57"/>
    </row>
    <row r="880" ht="15.75" customHeight="1">
      <c r="F880" s="57"/>
      <c r="G880" s="57"/>
      <c r="H880" s="57"/>
    </row>
    <row r="881" ht="15.75" customHeight="1">
      <c r="F881" s="57"/>
      <c r="G881" s="57"/>
      <c r="H881" s="57"/>
    </row>
    <row r="882" ht="15.75" customHeight="1">
      <c r="F882" s="57"/>
      <c r="G882" s="57"/>
      <c r="H882" s="57"/>
    </row>
    <row r="883" ht="15.75" customHeight="1">
      <c r="F883" s="57"/>
      <c r="G883" s="57"/>
      <c r="H883" s="57"/>
    </row>
    <row r="884" ht="15.75" customHeight="1">
      <c r="F884" s="57"/>
      <c r="G884" s="57"/>
      <c r="H884" s="57"/>
    </row>
    <row r="885" ht="15.75" customHeight="1">
      <c r="F885" s="57"/>
      <c r="G885" s="57"/>
      <c r="H885" s="57"/>
    </row>
    <row r="886" ht="15.75" customHeight="1">
      <c r="F886" s="57"/>
      <c r="G886" s="57"/>
      <c r="H886" s="57"/>
    </row>
    <row r="887" ht="15.75" customHeight="1">
      <c r="F887" s="57"/>
      <c r="G887" s="57"/>
      <c r="H887" s="57"/>
    </row>
    <row r="888" ht="15.75" customHeight="1">
      <c r="F888" s="57"/>
      <c r="G888" s="57"/>
      <c r="H888" s="57"/>
    </row>
    <row r="889" ht="15.75" customHeight="1">
      <c r="F889" s="57"/>
      <c r="G889" s="57"/>
      <c r="H889" s="57"/>
    </row>
    <row r="890" ht="15.75" customHeight="1">
      <c r="F890" s="57"/>
      <c r="G890" s="57"/>
      <c r="H890" s="57"/>
    </row>
    <row r="891" ht="15.75" customHeight="1">
      <c r="F891" s="57"/>
      <c r="G891" s="57"/>
      <c r="H891" s="57"/>
    </row>
    <row r="892" ht="15.75" customHeight="1">
      <c r="F892" s="57"/>
      <c r="G892" s="57"/>
      <c r="H892" s="57"/>
    </row>
    <row r="893" ht="15.75" customHeight="1">
      <c r="F893" s="57"/>
      <c r="G893" s="57"/>
      <c r="H893" s="57"/>
    </row>
    <row r="894" ht="15.75" customHeight="1">
      <c r="F894" s="57"/>
      <c r="G894" s="57"/>
      <c r="H894" s="57"/>
    </row>
    <row r="895" ht="15.75" customHeight="1">
      <c r="F895" s="57"/>
      <c r="G895" s="57"/>
      <c r="H895" s="57"/>
    </row>
    <row r="896" ht="15.75" customHeight="1">
      <c r="F896" s="57"/>
      <c r="G896" s="57"/>
      <c r="H896" s="57"/>
    </row>
    <row r="897" ht="15.75" customHeight="1">
      <c r="F897" s="57"/>
      <c r="G897" s="57"/>
      <c r="H897" s="57"/>
    </row>
    <row r="898" ht="15.75" customHeight="1">
      <c r="F898" s="57"/>
      <c r="G898" s="57"/>
      <c r="H898" s="57"/>
    </row>
    <row r="899" ht="15.75" customHeight="1">
      <c r="F899" s="57"/>
      <c r="G899" s="57"/>
      <c r="H899" s="57"/>
    </row>
    <row r="900" ht="15.75" customHeight="1">
      <c r="F900" s="57"/>
      <c r="G900" s="57"/>
      <c r="H900" s="57"/>
    </row>
    <row r="901" ht="15.75" customHeight="1">
      <c r="F901" s="57"/>
      <c r="G901" s="57"/>
      <c r="H901" s="57"/>
    </row>
    <row r="902" ht="15.75" customHeight="1">
      <c r="F902" s="57"/>
      <c r="G902" s="57"/>
      <c r="H902" s="57"/>
    </row>
    <row r="903" ht="15.75" customHeight="1">
      <c r="F903" s="57"/>
      <c r="G903" s="57"/>
      <c r="H903" s="57"/>
    </row>
    <row r="904" ht="15.75" customHeight="1">
      <c r="F904" s="57"/>
      <c r="G904" s="57"/>
      <c r="H904" s="57"/>
    </row>
    <row r="905" ht="15.75" customHeight="1">
      <c r="F905" s="57"/>
      <c r="G905" s="57"/>
      <c r="H905" s="57"/>
    </row>
    <row r="906" ht="15.75" customHeight="1">
      <c r="F906" s="57"/>
      <c r="G906" s="57"/>
      <c r="H906" s="57"/>
    </row>
    <row r="907" ht="15.75" customHeight="1">
      <c r="F907" s="57"/>
      <c r="G907" s="57"/>
      <c r="H907" s="57"/>
    </row>
    <row r="908" ht="15.75" customHeight="1">
      <c r="F908" s="57"/>
      <c r="G908" s="57"/>
      <c r="H908" s="57"/>
    </row>
    <row r="909" ht="15.75" customHeight="1">
      <c r="F909" s="57"/>
      <c r="G909" s="57"/>
      <c r="H909" s="57"/>
    </row>
    <row r="910" ht="15.75" customHeight="1">
      <c r="F910" s="57"/>
      <c r="G910" s="57"/>
      <c r="H910" s="57"/>
    </row>
    <row r="911" ht="15.75" customHeight="1">
      <c r="F911" s="57"/>
      <c r="G911" s="57"/>
      <c r="H911" s="57"/>
    </row>
    <row r="912" ht="15.75" customHeight="1">
      <c r="F912" s="57"/>
      <c r="G912" s="57"/>
      <c r="H912" s="57"/>
    </row>
    <row r="913" ht="15.75" customHeight="1">
      <c r="F913" s="57"/>
      <c r="G913" s="57"/>
      <c r="H913" s="57"/>
    </row>
    <row r="914" ht="15.75" customHeight="1">
      <c r="F914" s="57"/>
      <c r="G914" s="57"/>
      <c r="H914" s="57"/>
    </row>
    <row r="915" ht="15.75" customHeight="1">
      <c r="F915" s="57"/>
      <c r="G915" s="57"/>
      <c r="H915" s="57"/>
    </row>
    <row r="916" ht="15.75" customHeight="1">
      <c r="F916" s="57"/>
      <c r="G916" s="57"/>
      <c r="H916" s="57"/>
    </row>
    <row r="917" ht="15.75" customHeight="1">
      <c r="F917" s="57"/>
      <c r="G917" s="57"/>
      <c r="H917" s="57"/>
    </row>
    <row r="918" ht="15.75" customHeight="1">
      <c r="F918" s="57"/>
      <c r="G918" s="57"/>
      <c r="H918" s="57"/>
    </row>
    <row r="919" ht="15.75" customHeight="1">
      <c r="F919" s="57"/>
      <c r="G919" s="57"/>
      <c r="H919" s="57"/>
    </row>
    <row r="920" ht="15.75" customHeight="1">
      <c r="F920" s="57"/>
      <c r="G920" s="57"/>
      <c r="H920" s="57"/>
    </row>
    <row r="921" ht="15.75" customHeight="1">
      <c r="F921" s="57"/>
      <c r="G921" s="57"/>
      <c r="H921" s="57"/>
    </row>
    <row r="922" ht="15.75" customHeight="1">
      <c r="F922" s="57"/>
      <c r="G922" s="57"/>
      <c r="H922" s="57"/>
    </row>
    <row r="923" ht="15.75" customHeight="1">
      <c r="F923" s="57"/>
      <c r="G923" s="57"/>
      <c r="H923" s="57"/>
    </row>
    <row r="924" ht="15.75" customHeight="1">
      <c r="F924" s="57"/>
      <c r="G924" s="57"/>
      <c r="H924" s="57"/>
    </row>
    <row r="925" ht="15.75" customHeight="1">
      <c r="F925" s="57"/>
      <c r="G925" s="57"/>
      <c r="H925" s="57"/>
    </row>
    <row r="926" ht="15.75" customHeight="1">
      <c r="F926" s="57"/>
      <c r="G926" s="57"/>
      <c r="H926" s="57"/>
    </row>
    <row r="927" ht="15.75" customHeight="1">
      <c r="F927" s="57"/>
      <c r="G927" s="57"/>
      <c r="H927" s="57"/>
    </row>
    <row r="928" ht="15.75" customHeight="1">
      <c r="F928" s="57"/>
      <c r="G928" s="57"/>
      <c r="H928" s="57"/>
    </row>
    <row r="929" ht="15.75" customHeight="1">
      <c r="F929" s="57"/>
      <c r="G929" s="57"/>
      <c r="H929" s="57"/>
    </row>
    <row r="930" ht="15.75" customHeight="1">
      <c r="F930" s="57"/>
      <c r="G930" s="57"/>
      <c r="H930" s="57"/>
    </row>
    <row r="931" ht="15.75" customHeight="1">
      <c r="F931" s="57"/>
      <c r="G931" s="57"/>
      <c r="H931" s="57"/>
    </row>
    <row r="932" ht="15.75" customHeight="1">
      <c r="F932" s="57"/>
      <c r="G932" s="57"/>
      <c r="H932" s="57"/>
    </row>
    <row r="933" ht="15.75" customHeight="1">
      <c r="F933" s="57"/>
      <c r="G933" s="57"/>
      <c r="H933" s="57"/>
    </row>
    <row r="934" ht="15.75" customHeight="1">
      <c r="F934" s="57"/>
      <c r="G934" s="57"/>
      <c r="H934" s="57"/>
    </row>
    <row r="935" ht="15.75" customHeight="1">
      <c r="F935" s="57"/>
      <c r="G935" s="57"/>
      <c r="H935" s="57"/>
    </row>
    <row r="936" ht="15.75" customHeight="1">
      <c r="F936" s="57"/>
      <c r="G936" s="57"/>
      <c r="H936" s="57"/>
    </row>
    <row r="937" ht="15.75" customHeight="1">
      <c r="F937" s="57"/>
      <c r="G937" s="57"/>
      <c r="H937" s="57"/>
    </row>
    <row r="938" ht="15.75" customHeight="1">
      <c r="F938" s="57"/>
      <c r="G938" s="57"/>
      <c r="H938" s="57"/>
    </row>
    <row r="939" ht="15.75" customHeight="1">
      <c r="F939" s="57"/>
      <c r="G939" s="57"/>
      <c r="H939" s="57"/>
    </row>
    <row r="940" ht="15.75" customHeight="1">
      <c r="F940" s="57"/>
      <c r="G940" s="57"/>
      <c r="H940" s="57"/>
    </row>
    <row r="941" ht="15.75" customHeight="1">
      <c r="F941" s="57"/>
      <c r="G941" s="57"/>
      <c r="H941" s="57"/>
    </row>
    <row r="942" ht="15.75" customHeight="1">
      <c r="F942" s="57"/>
      <c r="G942" s="57"/>
      <c r="H942" s="57"/>
    </row>
    <row r="943" ht="15.75" customHeight="1">
      <c r="F943" s="57"/>
      <c r="G943" s="57"/>
      <c r="H943" s="57"/>
    </row>
    <row r="944" ht="15.75" customHeight="1">
      <c r="F944" s="57"/>
      <c r="G944" s="57"/>
      <c r="H944" s="57"/>
    </row>
    <row r="945" ht="15.75" customHeight="1">
      <c r="F945" s="57"/>
      <c r="G945" s="57"/>
      <c r="H945" s="57"/>
    </row>
    <row r="946" ht="15.75" customHeight="1">
      <c r="F946" s="57"/>
      <c r="G946" s="57"/>
      <c r="H946" s="57"/>
    </row>
    <row r="947" ht="15.75" customHeight="1">
      <c r="F947" s="57"/>
      <c r="G947" s="57"/>
      <c r="H947" s="57"/>
    </row>
    <row r="948" ht="15.75" customHeight="1">
      <c r="F948" s="57"/>
      <c r="G948" s="57"/>
      <c r="H948" s="57"/>
    </row>
    <row r="949" ht="15.75" customHeight="1">
      <c r="F949" s="57"/>
      <c r="G949" s="57"/>
      <c r="H949" s="57"/>
    </row>
    <row r="950" ht="15.75" customHeight="1">
      <c r="F950" s="57"/>
      <c r="G950" s="57"/>
      <c r="H950" s="57"/>
    </row>
    <row r="951" ht="15.75" customHeight="1">
      <c r="F951" s="57"/>
      <c r="G951" s="57"/>
      <c r="H951" s="57"/>
    </row>
    <row r="952" ht="15.75" customHeight="1">
      <c r="F952" s="57"/>
      <c r="G952" s="57"/>
      <c r="H952" s="57"/>
    </row>
    <row r="953" ht="15.75" customHeight="1">
      <c r="F953" s="57"/>
      <c r="G953" s="57"/>
      <c r="H953" s="57"/>
    </row>
    <row r="954" ht="15.75" customHeight="1">
      <c r="F954" s="57"/>
      <c r="G954" s="57"/>
      <c r="H954" s="57"/>
    </row>
    <row r="955" ht="15.75" customHeight="1">
      <c r="F955" s="57"/>
      <c r="G955" s="57"/>
      <c r="H955" s="57"/>
    </row>
    <row r="956" ht="15.75" customHeight="1">
      <c r="F956" s="57"/>
      <c r="G956" s="57"/>
      <c r="H956" s="57"/>
    </row>
    <row r="957" ht="15.75" customHeight="1">
      <c r="F957" s="57"/>
      <c r="G957" s="57"/>
      <c r="H957" s="57"/>
    </row>
    <row r="958" ht="15.75" customHeight="1">
      <c r="F958" s="57"/>
      <c r="G958" s="57"/>
      <c r="H958" s="57"/>
    </row>
    <row r="959" ht="15.75" customHeight="1">
      <c r="F959" s="57"/>
      <c r="G959" s="57"/>
      <c r="H959" s="57"/>
    </row>
    <row r="960" ht="15.75" customHeight="1">
      <c r="F960" s="57"/>
      <c r="G960" s="57"/>
      <c r="H960" s="57"/>
    </row>
    <row r="961" ht="15.75" customHeight="1">
      <c r="F961" s="57"/>
      <c r="G961" s="57"/>
      <c r="H961" s="57"/>
    </row>
    <row r="962" ht="15.75" customHeight="1">
      <c r="F962" s="57"/>
      <c r="G962" s="57"/>
      <c r="H962" s="57"/>
    </row>
    <row r="963" ht="15.75" customHeight="1">
      <c r="F963" s="57"/>
      <c r="G963" s="57"/>
      <c r="H963" s="57"/>
    </row>
    <row r="964" ht="15.75" customHeight="1">
      <c r="F964" s="57"/>
      <c r="G964" s="57"/>
      <c r="H964" s="57"/>
    </row>
    <row r="965" ht="15.75" customHeight="1">
      <c r="F965" s="57"/>
      <c r="G965" s="57"/>
      <c r="H965" s="57"/>
    </row>
    <row r="966" ht="15.75" customHeight="1">
      <c r="F966" s="57"/>
      <c r="G966" s="57"/>
      <c r="H966" s="57"/>
    </row>
    <row r="967" ht="15.75" customHeight="1">
      <c r="F967" s="57"/>
      <c r="G967" s="57"/>
      <c r="H967" s="57"/>
    </row>
    <row r="968" ht="15.75" customHeight="1">
      <c r="F968" s="57"/>
      <c r="G968" s="57"/>
      <c r="H968" s="57"/>
    </row>
    <row r="969" ht="15.75" customHeight="1">
      <c r="F969" s="57"/>
      <c r="G969" s="57"/>
      <c r="H969" s="57"/>
    </row>
    <row r="970" ht="15.75" customHeight="1">
      <c r="F970" s="57"/>
      <c r="G970" s="57"/>
      <c r="H970" s="57"/>
    </row>
    <row r="971" ht="15.75" customHeight="1">
      <c r="F971" s="57"/>
      <c r="G971" s="57"/>
      <c r="H971" s="57"/>
    </row>
    <row r="972" ht="15.75" customHeight="1">
      <c r="F972" s="57"/>
      <c r="G972" s="57"/>
      <c r="H972" s="57"/>
    </row>
    <row r="973" ht="15.75" customHeight="1">
      <c r="F973" s="57"/>
      <c r="G973" s="57"/>
      <c r="H973" s="57"/>
    </row>
    <row r="974" ht="15.75" customHeight="1">
      <c r="F974" s="57"/>
      <c r="G974" s="57"/>
      <c r="H974" s="57"/>
    </row>
    <row r="975" ht="15.75" customHeight="1">
      <c r="F975" s="57"/>
      <c r="G975" s="57"/>
      <c r="H975" s="57"/>
    </row>
    <row r="976" ht="15.75" customHeight="1">
      <c r="F976" s="57"/>
      <c r="G976" s="57"/>
      <c r="H976" s="57"/>
    </row>
    <row r="977" ht="15.75" customHeight="1">
      <c r="F977" s="57"/>
      <c r="G977" s="57"/>
      <c r="H977" s="57"/>
    </row>
    <row r="978" ht="15.75" customHeight="1">
      <c r="F978" s="57"/>
      <c r="G978" s="57"/>
      <c r="H978" s="57"/>
    </row>
    <row r="979" ht="15.75" customHeight="1">
      <c r="F979" s="57"/>
      <c r="G979" s="57"/>
      <c r="H979" s="57"/>
    </row>
    <row r="980" ht="15.75" customHeight="1">
      <c r="F980" s="57"/>
      <c r="G980" s="57"/>
      <c r="H980" s="57"/>
    </row>
    <row r="981" ht="15.75" customHeight="1">
      <c r="F981" s="57"/>
      <c r="G981" s="57"/>
      <c r="H981" s="57"/>
    </row>
    <row r="982" ht="15.75" customHeight="1">
      <c r="F982" s="57"/>
      <c r="G982" s="57"/>
      <c r="H982" s="57"/>
    </row>
    <row r="983" ht="15.75" customHeight="1">
      <c r="F983" s="57"/>
      <c r="G983" s="57"/>
      <c r="H983" s="57"/>
    </row>
    <row r="984" ht="15.75" customHeight="1">
      <c r="F984" s="57"/>
      <c r="G984" s="57"/>
      <c r="H984" s="57"/>
    </row>
    <row r="985" ht="15.75" customHeight="1">
      <c r="F985" s="57"/>
      <c r="G985" s="57"/>
      <c r="H985" s="57"/>
    </row>
    <row r="986" ht="15.75" customHeight="1">
      <c r="F986" s="57"/>
      <c r="G986" s="57"/>
      <c r="H986" s="57"/>
    </row>
    <row r="987" ht="15.75" customHeight="1">
      <c r="F987" s="57"/>
      <c r="G987" s="57"/>
      <c r="H987" s="57"/>
    </row>
    <row r="988" ht="15.75" customHeight="1">
      <c r="F988" s="57"/>
      <c r="G988" s="57"/>
      <c r="H988" s="57"/>
    </row>
    <row r="989" ht="15.75" customHeight="1">
      <c r="F989" s="57"/>
      <c r="G989" s="57"/>
      <c r="H989" s="57"/>
    </row>
    <row r="990" ht="15.75" customHeight="1">
      <c r="F990" s="57"/>
      <c r="G990" s="57"/>
      <c r="H990" s="57"/>
    </row>
    <row r="991" ht="15.75" customHeight="1">
      <c r="F991" s="57"/>
      <c r="G991" s="57"/>
      <c r="H991" s="57"/>
    </row>
    <row r="992" ht="15.75" customHeight="1">
      <c r="F992" s="57"/>
      <c r="G992" s="57"/>
      <c r="H992" s="57"/>
    </row>
    <row r="993" ht="15.75" customHeight="1">
      <c r="F993" s="57"/>
      <c r="G993" s="57"/>
      <c r="H993" s="57"/>
    </row>
    <row r="994" ht="15.75" customHeight="1">
      <c r="F994" s="57"/>
      <c r="G994" s="57"/>
      <c r="H994" s="57"/>
    </row>
    <row r="995" ht="15.75" customHeight="1">
      <c r="F995" s="57"/>
      <c r="G995" s="57"/>
      <c r="H995" s="57"/>
    </row>
    <row r="996" ht="15.75" customHeight="1">
      <c r="F996" s="57"/>
      <c r="G996" s="57"/>
      <c r="H996" s="57"/>
    </row>
    <row r="997" ht="15.75" customHeight="1">
      <c r="F997" s="57"/>
      <c r="G997" s="57"/>
      <c r="H997" s="57"/>
    </row>
    <row r="998" ht="15.75" customHeight="1">
      <c r="F998" s="57"/>
      <c r="G998" s="57"/>
      <c r="H998" s="57"/>
    </row>
    <row r="999" ht="15.75" customHeight="1">
      <c r="F999" s="57"/>
      <c r="G999" s="57"/>
      <c r="H999" s="57"/>
    </row>
    <row r="1000" ht="15.75" customHeight="1">
      <c r="F1000" s="57"/>
      <c r="G1000" s="57"/>
      <c r="H1000" s="57"/>
    </row>
  </sheetData>
  <autoFilter ref="$A$1:$H$1"/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26.0"/>
    <col customWidth="1" min="4" max="4" width="15.0"/>
    <col customWidth="1" min="5" max="5" width="60.0"/>
    <col customWidth="1" min="6" max="8" width="13.0"/>
    <col customWidth="1" min="9" max="26" width="8.71"/>
  </cols>
  <sheetData>
    <row r="1">
      <c r="A1" s="4" t="s">
        <v>271</v>
      </c>
      <c r="B1" s="4" t="s">
        <v>272</v>
      </c>
      <c r="C1" s="4" t="s">
        <v>273</v>
      </c>
      <c r="D1" s="4" t="s">
        <v>274</v>
      </c>
      <c r="E1" s="4" t="s">
        <v>275</v>
      </c>
      <c r="F1" s="4" t="s">
        <v>276</v>
      </c>
      <c r="G1" s="4" t="s">
        <v>129</v>
      </c>
      <c r="H1" s="4" t="s">
        <v>277</v>
      </c>
    </row>
    <row r="2">
      <c r="F2" s="57"/>
      <c r="G2" s="57"/>
      <c r="H2" s="57"/>
    </row>
    <row r="3">
      <c r="F3" s="57"/>
      <c r="G3" s="57"/>
      <c r="H3" s="57"/>
    </row>
    <row r="4">
      <c r="F4" s="57"/>
      <c r="G4" s="57"/>
      <c r="H4" s="57"/>
    </row>
    <row r="5">
      <c r="F5" s="57"/>
      <c r="G5" s="57"/>
      <c r="H5" s="57"/>
    </row>
    <row r="6">
      <c r="F6" s="57"/>
      <c r="G6" s="57"/>
      <c r="H6" s="57"/>
    </row>
    <row r="7">
      <c r="F7" s="57"/>
      <c r="G7" s="57"/>
      <c r="H7" s="57"/>
    </row>
    <row r="8">
      <c r="F8" s="57"/>
      <c r="G8" s="57"/>
      <c r="H8" s="57"/>
    </row>
    <row r="9">
      <c r="F9" s="57"/>
      <c r="G9" s="57"/>
      <c r="H9" s="57"/>
    </row>
    <row r="10">
      <c r="F10" s="57"/>
      <c r="G10" s="57"/>
      <c r="H10" s="57"/>
    </row>
    <row r="11">
      <c r="F11" s="57"/>
      <c r="G11" s="57"/>
      <c r="H11" s="57"/>
    </row>
    <row r="12">
      <c r="F12" s="57"/>
      <c r="G12" s="57"/>
      <c r="H12" s="57"/>
    </row>
    <row r="13">
      <c r="F13" s="57"/>
      <c r="G13" s="57"/>
      <c r="H13" s="57"/>
    </row>
    <row r="14">
      <c r="F14" s="57"/>
      <c r="G14" s="57"/>
      <c r="H14" s="57"/>
    </row>
    <row r="15">
      <c r="F15" s="57"/>
      <c r="G15" s="57"/>
      <c r="H15" s="57"/>
    </row>
    <row r="16">
      <c r="F16" s="57"/>
      <c r="G16" s="57"/>
      <c r="H16" s="57"/>
    </row>
    <row r="17">
      <c r="F17" s="57"/>
      <c r="G17" s="57"/>
      <c r="H17" s="57"/>
    </row>
    <row r="18">
      <c r="F18" s="57"/>
      <c r="G18" s="57"/>
      <c r="H18" s="57"/>
    </row>
    <row r="19">
      <c r="F19" s="57"/>
      <c r="G19" s="57"/>
      <c r="H19" s="57"/>
    </row>
    <row r="20">
      <c r="F20" s="57"/>
      <c r="G20" s="57"/>
      <c r="H20" s="57"/>
    </row>
    <row r="21" ht="15.75" customHeight="1">
      <c r="F21" s="57"/>
      <c r="G21" s="57"/>
      <c r="H21" s="57"/>
    </row>
    <row r="22" ht="15.75" customHeight="1">
      <c r="F22" s="57"/>
      <c r="G22" s="57"/>
      <c r="H22" s="57"/>
    </row>
    <row r="23" ht="15.75" customHeight="1">
      <c r="F23" s="57"/>
      <c r="G23" s="57"/>
      <c r="H23" s="57"/>
    </row>
    <row r="24" ht="15.75" customHeight="1">
      <c r="F24" s="57"/>
      <c r="G24" s="57"/>
      <c r="H24" s="57"/>
    </row>
    <row r="25" ht="15.75" customHeight="1">
      <c r="F25" s="57"/>
      <c r="G25" s="57"/>
      <c r="H25" s="57"/>
    </row>
    <row r="26" ht="15.75" customHeight="1">
      <c r="F26" s="57"/>
      <c r="G26" s="57"/>
      <c r="H26" s="57"/>
    </row>
    <row r="27" ht="15.75" customHeight="1">
      <c r="F27" s="57"/>
      <c r="G27" s="57"/>
      <c r="H27" s="57"/>
    </row>
    <row r="28" ht="15.75" customHeight="1">
      <c r="F28" s="57"/>
      <c r="G28" s="57"/>
      <c r="H28" s="57"/>
    </row>
    <row r="29" ht="15.75" customHeight="1">
      <c r="F29" s="57"/>
      <c r="G29" s="57"/>
      <c r="H29" s="57"/>
    </row>
    <row r="30" ht="15.75" customHeight="1">
      <c r="F30" s="57"/>
      <c r="G30" s="57"/>
      <c r="H30" s="57"/>
    </row>
    <row r="31" ht="15.75" customHeight="1">
      <c r="F31" s="57"/>
      <c r="G31" s="57"/>
      <c r="H31" s="57"/>
    </row>
    <row r="32" ht="15.75" customHeight="1">
      <c r="F32" s="57"/>
      <c r="G32" s="57"/>
      <c r="H32" s="57"/>
    </row>
    <row r="33" ht="15.75" customHeight="1">
      <c r="F33" s="57"/>
      <c r="G33" s="57"/>
      <c r="H33" s="57"/>
    </row>
    <row r="34" ht="15.75" customHeight="1">
      <c r="F34" s="57"/>
      <c r="G34" s="57"/>
      <c r="H34" s="57"/>
    </row>
    <row r="35" ht="15.75" customHeight="1">
      <c r="F35" s="57"/>
      <c r="G35" s="57"/>
      <c r="H35" s="57"/>
    </row>
    <row r="36" ht="15.75" customHeight="1">
      <c r="F36" s="57"/>
      <c r="G36" s="57"/>
      <c r="H36" s="57"/>
    </row>
    <row r="37" ht="15.75" customHeight="1">
      <c r="F37" s="57"/>
      <c r="G37" s="57"/>
      <c r="H37" s="57"/>
    </row>
    <row r="38" ht="15.75" customHeight="1">
      <c r="F38" s="57"/>
      <c r="G38" s="57"/>
      <c r="H38" s="57"/>
    </row>
    <row r="39" ht="15.75" customHeight="1">
      <c r="F39" s="57"/>
      <c r="G39" s="57"/>
      <c r="H39" s="57"/>
    </row>
    <row r="40" ht="15.75" customHeight="1">
      <c r="F40" s="57"/>
      <c r="G40" s="57"/>
      <c r="H40" s="57"/>
    </row>
    <row r="41" ht="15.75" customHeight="1">
      <c r="F41" s="57"/>
      <c r="G41" s="57"/>
      <c r="H41" s="57"/>
    </row>
    <row r="42" ht="15.75" customHeight="1">
      <c r="F42" s="57"/>
      <c r="G42" s="57"/>
      <c r="H42" s="57"/>
    </row>
    <row r="43" ht="15.75" customHeight="1">
      <c r="F43" s="57"/>
      <c r="G43" s="57"/>
      <c r="H43" s="57"/>
    </row>
    <row r="44" ht="15.75" customHeight="1">
      <c r="F44" s="57"/>
      <c r="G44" s="57"/>
      <c r="H44" s="57"/>
    </row>
    <row r="45" ht="15.75" customHeight="1">
      <c r="F45" s="57"/>
      <c r="G45" s="57"/>
      <c r="H45" s="57"/>
    </row>
    <row r="46" ht="15.75" customHeight="1">
      <c r="F46" s="57"/>
      <c r="G46" s="57"/>
      <c r="H46" s="57"/>
    </row>
    <row r="47" ht="15.75" customHeight="1">
      <c r="F47" s="57"/>
      <c r="G47" s="57"/>
      <c r="H47" s="57"/>
    </row>
    <row r="48" ht="15.75" customHeight="1">
      <c r="F48" s="57"/>
      <c r="G48" s="57"/>
      <c r="H48" s="57"/>
    </row>
    <row r="49" ht="15.75" customHeight="1">
      <c r="F49" s="57"/>
      <c r="G49" s="57"/>
      <c r="H49" s="57"/>
    </row>
    <row r="50" ht="15.75" customHeight="1">
      <c r="F50" s="57"/>
      <c r="G50" s="57"/>
      <c r="H50" s="57"/>
    </row>
    <row r="51" ht="15.75" customHeight="1">
      <c r="F51" s="57"/>
      <c r="G51" s="57"/>
      <c r="H51" s="57"/>
    </row>
    <row r="52" ht="15.75" customHeight="1">
      <c r="F52" s="57"/>
      <c r="G52" s="57"/>
      <c r="H52" s="57"/>
    </row>
    <row r="53" ht="15.75" customHeight="1">
      <c r="F53" s="57"/>
      <c r="G53" s="57"/>
      <c r="H53" s="57"/>
    </row>
    <row r="54" ht="15.75" customHeight="1">
      <c r="F54" s="57"/>
      <c r="G54" s="57"/>
      <c r="H54" s="57"/>
    </row>
    <row r="55" ht="15.75" customHeight="1">
      <c r="F55" s="57"/>
      <c r="G55" s="57"/>
      <c r="H55" s="57"/>
    </row>
    <row r="56" ht="15.75" customHeight="1">
      <c r="F56" s="57"/>
      <c r="G56" s="57"/>
      <c r="H56" s="57"/>
    </row>
    <row r="57" ht="15.75" customHeight="1">
      <c r="F57" s="57"/>
      <c r="G57" s="57"/>
      <c r="H57" s="57"/>
    </row>
    <row r="58" ht="15.75" customHeight="1">
      <c r="F58" s="57"/>
      <c r="G58" s="57"/>
      <c r="H58" s="57"/>
    </row>
    <row r="59" ht="15.75" customHeight="1">
      <c r="F59" s="57"/>
      <c r="G59" s="57"/>
      <c r="H59" s="57"/>
    </row>
    <row r="60" ht="15.75" customHeight="1">
      <c r="F60" s="57"/>
      <c r="G60" s="57"/>
      <c r="H60" s="57"/>
    </row>
    <row r="61" ht="15.75" customHeight="1">
      <c r="F61" s="57"/>
      <c r="G61" s="57"/>
      <c r="H61" s="57"/>
    </row>
    <row r="62" ht="15.75" customHeight="1">
      <c r="F62" s="57"/>
      <c r="G62" s="57"/>
      <c r="H62" s="57"/>
    </row>
    <row r="63" ht="15.75" customHeight="1">
      <c r="F63" s="57"/>
      <c r="G63" s="57"/>
      <c r="H63" s="57"/>
    </row>
    <row r="64" ht="15.75" customHeight="1">
      <c r="F64" s="57"/>
      <c r="G64" s="57"/>
      <c r="H64" s="57"/>
    </row>
    <row r="65" ht="15.75" customHeight="1">
      <c r="F65" s="57"/>
      <c r="G65" s="57"/>
      <c r="H65" s="57"/>
    </row>
    <row r="66" ht="15.75" customHeight="1">
      <c r="F66" s="57"/>
      <c r="G66" s="57"/>
      <c r="H66" s="57"/>
    </row>
    <row r="67" ht="15.75" customHeight="1">
      <c r="F67" s="57"/>
      <c r="G67" s="57"/>
      <c r="H67" s="57"/>
    </row>
    <row r="68" ht="15.75" customHeight="1">
      <c r="F68" s="57"/>
      <c r="G68" s="57"/>
      <c r="H68" s="57"/>
    </row>
    <row r="69" ht="15.75" customHeight="1">
      <c r="F69" s="57"/>
      <c r="G69" s="57"/>
      <c r="H69" s="57"/>
    </row>
    <row r="70" ht="15.75" customHeight="1">
      <c r="F70" s="57"/>
      <c r="G70" s="57"/>
      <c r="H70" s="57"/>
    </row>
    <row r="71" ht="15.75" customHeight="1">
      <c r="F71" s="57"/>
      <c r="G71" s="57"/>
      <c r="H71" s="57"/>
    </row>
    <row r="72" ht="15.75" customHeight="1">
      <c r="F72" s="57"/>
      <c r="G72" s="57"/>
      <c r="H72" s="57"/>
    </row>
    <row r="73" ht="15.75" customHeight="1">
      <c r="F73" s="57"/>
      <c r="G73" s="57"/>
      <c r="H73" s="57"/>
    </row>
    <row r="74" ht="15.75" customHeight="1">
      <c r="F74" s="57"/>
      <c r="G74" s="57"/>
      <c r="H74" s="57"/>
    </row>
    <row r="75" ht="15.75" customHeight="1">
      <c r="F75" s="57"/>
      <c r="G75" s="57"/>
      <c r="H75" s="57"/>
    </row>
    <row r="76" ht="15.75" customHeight="1">
      <c r="F76" s="57"/>
      <c r="G76" s="57"/>
      <c r="H76" s="57"/>
    </row>
    <row r="77" ht="15.75" customHeight="1">
      <c r="F77" s="57"/>
      <c r="G77" s="57"/>
      <c r="H77" s="57"/>
    </row>
    <row r="78" ht="15.75" customHeight="1">
      <c r="F78" s="57"/>
      <c r="G78" s="57"/>
      <c r="H78" s="57"/>
    </row>
    <row r="79" ht="15.75" customHeight="1">
      <c r="F79" s="57"/>
      <c r="G79" s="57"/>
      <c r="H79" s="57"/>
    </row>
    <row r="80" ht="15.75" customHeight="1">
      <c r="F80" s="57"/>
      <c r="G80" s="57"/>
      <c r="H80" s="57"/>
    </row>
    <row r="81" ht="15.75" customHeight="1">
      <c r="F81" s="57"/>
      <c r="G81" s="57"/>
      <c r="H81" s="57"/>
    </row>
    <row r="82" ht="15.75" customHeight="1">
      <c r="F82" s="57"/>
      <c r="G82" s="57"/>
      <c r="H82" s="57"/>
    </row>
    <row r="83" ht="15.75" customHeight="1">
      <c r="F83" s="57"/>
      <c r="G83" s="57"/>
      <c r="H83" s="57"/>
    </row>
    <row r="84" ht="15.75" customHeight="1">
      <c r="F84" s="57"/>
      <c r="G84" s="57"/>
      <c r="H84" s="57"/>
    </row>
    <row r="85" ht="15.75" customHeight="1">
      <c r="F85" s="57"/>
      <c r="G85" s="57"/>
      <c r="H85" s="57"/>
    </row>
    <row r="86" ht="15.75" customHeight="1">
      <c r="F86" s="57"/>
      <c r="G86" s="57"/>
      <c r="H86" s="57"/>
    </row>
    <row r="87" ht="15.75" customHeight="1">
      <c r="F87" s="57"/>
      <c r="G87" s="57"/>
      <c r="H87" s="57"/>
    </row>
    <row r="88" ht="15.75" customHeight="1">
      <c r="F88" s="57"/>
      <c r="G88" s="57"/>
      <c r="H88" s="57"/>
    </row>
    <row r="89" ht="15.75" customHeight="1">
      <c r="F89" s="57"/>
      <c r="G89" s="57"/>
      <c r="H89" s="57"/>
    </row>
    <row r="90" ht="15.75" customHeight="1">
      <c r="F90" s="57"/>
      <c r="G90" s="57"/>
      <c r="H90" s="57"/>
    </row>
    <row r="91" ht="15.75" customHeight="1">
      <c r="F91" s="57"/>
      <c r="G91" s="57"/>
      <c r="H91" s="57"/>
    </row>
    <row r="92" ht="15.75" customHeight="1">
      <c r="F92" s="57"/>
      <c r="G92" s="57"/>
      <c r="H92" s="57"/>
    </row>
    <row r="93" ht="15.75" customHeight="1">
      <c r="F93" s="57"/>
      <c r="G93" s="57"/>
      <c r="H93" s="57"/>
    </row>
    <row r="94" ht="15.75" customHeight="1">
      <c r="F94" s="57"/>
      <c r="G94" s="57"/>
      <c r="H94" s="57"/>
    </row>
    <row r="95" ht="15.75" customHeight="1">
      <c r="F95" s="57"/>
      <c r="G95" s="57"/>
      <c r="H95" s="57"/>
    </row>
    <row r="96" ht="15.75" customHeight="1">
      <c r="F96" s="57"/>
      <c r="G96" s="57"/>
      <c r="H96" s="57"/>
    </row>
    <row r="97" ht="15.75" customHeight="1">
      <c r="F97" s="57"/>
      <c r="G97" s="57"/>
      <c r="H97" s="57"/>
    </row>
    <row r="98" ht="15.75" customHeight="1">
      <c r="F98" s="57"/>
      <c r="G98" s="57"/>
      <c r="H98" s="57"/>
    </row>
    <row r="99" ht="15.75" customHeight="1">
      <c r="F99" s="57"/>
      <c r="G99" s="57"/>
      <c r="H99" s="57"/>
    </row>
    <row r="100" ht="15.75" customHeight="1">
      <c r="F100" s="57"/>
      <c r="G100" s="57"/>
      <c r="H100" s="57"/>
    </row>
    <row r="101" ht="15.75" customHeight="1">
      <c r="F101" s="57"/>
      <c r="G101" s="57"/>
      <c r="H101" s="57"/>
    </row>
    <row r="102" ht="15.75" customHeight="1">
      <c r="F102" s="57"/>
      <c r="G102" s="57"/>
      <c r="H102" s="57"/>
    </row>
    <row r="103" ht="15.75" customHeight="1">
      <c r="F103" s="57"/>
      <c r="G103" s="57"/>
      <c r="H103" s="57"/>
    </row>
    <row r="104" ht="15.75" customHeight="1">
      <c r="F104" s="57"/>
      <c r="G104" s="57"/>
      <c r="H104" s="57"/>
    </row>
    <row r="105" ht="15.75" customHeight="1">
      <c r="F105" s="57"/>
      <c r="G105" s="57"/>
      <c r="H105" s="57"/>
    </row>
    <row r="106" ht="15.75" customHeight="1">
      <c r="F106" s="57"/>
      <c r="G106" s="57"/>
      <c r="H106" s="57"/>
    </row>
    <row r="107" ht="15.75" customHeight="1">
      <c r="F107" s="57"/>
      <c r="G107" s="57"/>
      <c r="H107" s="57"/>
    </row>
    <row r="108" ht="15.75" customHeight="1">
      <c r="F108" s="57"/>
      <c r="G108" s="57"/>
      <c r="H108" s="57"/>
    </row>
    <row r="109" ht="15.75" customHeight="1">
      <c r="F109" s="57"/>
      <c r="G109" s="57"/>
      <c r="H109" s="57"/>
    </row>
    <row r="110" ht="15.75" customHeight="1">
      <c r="F110" s="57"/>
      <c r="G110" s="57"/>
      <c r="H110" s="57"/>
    </row>
    <row r="111" ht="15.75" customHeight="1">
      <c r="F111" s="57"/>
      <c r="G111" s="57"/>
      <c r="H111" s="57"/>
    </row>
    <row r="112" ht="15.75" customHeight="1">
      <c r="F112" s="57"/>
      <c r="G112" s="57"/>
      <c r="H112" s="57"/>
    </row>
    <row r="113" ht="15.75" customHeight="1">
      <c r="F113" s="57"/>
      <c r="G113" s="57"/>
      <c r="H113" s="57"/>
    </row>
    <row r="114" ht="15.75" customHeight="1">
      <c r="F114" s="57"/>
      <c r="G114" s="57"/>
      <c r="H114" s="57"/>
    </row>
    <row r="115" ht="15.75" customHeight="1">
      <c r="F115" s="57"/>
      <c r="G115" s="57"/>
      <c r="H115" s="57"/>
    </row>
    <row r="116" ht="15.75" customHeight="1">
      <c r="F116" s="57"/>
      <c r="G116" s="57"/>
      <c r="H116" s="57"/>
    </row>
    <row r="117" ht="15.75" customHeight="1">
      <c r="F117" s="57"/>
      <c r="G117" s="57"/>
      <c r="H117" s="57"/>
    </row>
    <row r="118" ht="15.75" customHeight="1">
      <c r="F118" s="57"/>
      <c r="G118" s="57"/>
      <c r="H118" s="57"/>
    </row>
    <row r="119" ht="15.75" customHeight="1">
      <c r="F119" s="57"/>
      <c r="G119" s="57"/>
      <c r="H119" s="57"/>
    </row>
    <row r="120" ht="15.75" customHeight="1">
      <c r="F120" s="57"/>
      <c r="G120" s="57"/>
      <c r="H120" s="57"/>
    </row>
    <row r="121" ht="15.75" customHeight="1">
      <c r="F121" s="57"/>
      <c r="G121" s="57"/>
      <c r="H121" s="57"/>
    </row>
    <row r="122" ht="15.75" customHeight="1">
      <c r="F122" s="57"/>
      <c r="G122" s="57"/>
      <c r="H122" s="57"/>
    </row>
    <row r="123" ht="15.75" customHeight="1">
      <c r="F123" s="57"/>
      <c r="G123" s="57"/>
      <c r="H123" s="57"/>
    </row>
    <row r="124" ht="15.75" customHeight="1">
      <c r="F124" s="57"/>
      <c r="G124" s="57"/>
      <c r="H124" s="57"/>
    </row>
    <row r="125" ht="15.75" customHeight="1">
      <c r="F125" s="57"/>
      <c r="G125" s="57"/>
      <c r="H125" s="57"/>
    </row>
    <row r="126" ht="15.75" customHeight="1">
      <c r="F126" s="57"/>
      <c r="G126" s="57"/>
      <c r="H126" s="57"/>
    </row>
    <row r="127" ht="15.75" customHeight="1">
      <c r="F127" s="57"/>
      <c r="G127" s="57"/>
      <c r="H127" s="57"/>
    </row>
    <row r="128" ht="15.75" customHeight="1">
      <c r="F128" s="57"/>
      <c r="G128" s="57"/>
      <c r="H128" s="57"/>
    </row>
    <row r="129" ht="15.75" customHeight="1">
      <c r="F129" s="57"/>
      <c r="G129" s="57"/>
      <c r="H129" s="57"/>
    </row>
    <row r="130" ht="15.75" customHeight="1">
      <c r="F130" s="57"/>
      <c r="G130" s="57"/>
      <c r="H130" s="57"/>
    </row>
    <row r="131" ht="15.75" customHeight="1">
      <c r="F131" s="57"/>
      <c r="G131" s="57"/>
      <c r="H131" s="57"/>
    </row>
    <row r="132" ht="15.75" customHeight="1">
      <c r="F132" s="57"/>
      <c r="G132" s="57"/>
      <c r="H132" s="57"/>
    </row>
    <row r="133" ht="15.75" customHeight="1">
      <c r="F133" s="57"/>
      <c r="G133" s="57"/>
      <c r="H133" s="57"/>
    </row>
    <row r="134" ht="15.75" customHeight="1">
      <c r="F134" s="57"/>
      <c r="G134" s="57"/>
      <c r="H134" s="57"/>
    </row>
    <row r="135" ht="15.75" customHeight="1">
      <c r="F135" s="57"/>
      <c r="G135" s="57"/>
      <c r="H135" s="57"/>
    </row>
    <row r="136" ht="15.75" customHeight="1">
      <c r="F136" s="57"/>
      <c r="G136" s="57"/>
      <c r="H136" s="57"/>
    </row>
    <row r="137" ht="15.75" customHeight="1">
      <c r="F137" s="57"/>
      <c r="G137" s="57"/>
      <c r="H137" s="57"/>
    </row>
    <row r="138" ht="15.75" customHeight="1">
      <c r="F138" s="57"/>
      <c r="G138" s="57"/>
      <c r="H138" s="57"/>
    </row>
    <row r="139" ht="15.75" customHeight="1">
      <c r="F139" s="57"/>
      <c r="G139" s="57"/>
      <c r="H139" s="57"/>
    </row>
    <row r="140" ht="15.75" customHeight="1">
      <c r="F140" s="57"/>
      <c r="G140" s="57"/>
      <c r="H140" s="57"/>
    </row>
    <row r="141" ht="15.75" customHeight="1">
      <c r="F141" s="57"/>
      <c r="G141" s="57"/>
      <c r="H141" s="57"/>
    </row>
    <row r="142" ht="15.75" customHeight="1">
      <c r="F142" s="57"/>
      <c r="G142" s="57"/>
      <c r="H142" s="57"/>
    </row>
    <row r="143" ht="15.75" customHeight="1">
      <c r="F143" s="57"/>
      <c r="G143" s="57"/>
      <c r="H143" s="57"/>
    </row>
    <row r="144" ht="15.75" customHeight="1">
      <c r="F144" s="57"/>
      <c r="G144" s="57"/>
      <c r="H144" s="57"/>
    </row>
    <row r="145" ht="15.75" customHeight="1">
      <c r="F145" s="57"/>
      <c r="G145" s="57"/>
      <c r="H145" s="57"/>
    </row>
    <row r="146" ht="15.75" customHeight="1">
      <c r="F146" s="57"/>
      <c r="G146" s="57"/>
      <c r="H146" s="57"/>
    </row>
    <row r="147" ht="15.75" customHeight="1">
      <c r="F147" s="57"/>
      <c r="G147" s="57"/>
      <c r="H147" s="57"/>
    </row>
    <row r="148" ht="15.75" customHeight="1">
      <c r="F148" s="57"/>
      <c r="G148" s="57"/>
      <c r="H148" s="57"/>
    </row>
    <row r="149" ht="15.75" customHeight="1">
      <c r="F149" s="57"/>
      <c r="G149" s="57"/>
      <c r="H149" s="57"/>
    </row>
    <row r="150" ht="15.75" customHeight="1">
      <c r="F150" s="57"/>
      <c r="G150" s="57"/>
      <c r="H150" s="57"/>
    </row>
    <row r="151" ht="15.75" customHeight="1">
      <c r="F151" s="57"/>
      <c r="G151" s="57"/>
      <c r="H151" s="57"/>
    </row>
    <row r="152" ht="15.75" customHeight="1">
      <c r="F152" s="57"/>
      <c r="G152" s="57"/>
      <c r="H152" s="57"/>
    </row>
    <row r="153" ht="15.75" customHeight="1">
      <c r="F153" s="57"/>
      <c r="G153" s="57"/>
      <c r="H153" s="57"/>
    </row>
    <row r="154" ht="15.75" customHeight="1">
      <c r="F154" s="57"/>
      <c r="G154" s="57"/>
      <c r="H154" s="57"/>
    </row>
    <row r="155" ht="15.75" customHeight="1">
      <c r="F155" s="57"/>
      <c r="G155" s="57"/>
      <c r="H155" s="57"/>
    </row>
    <row r="156" ht="15.75" customHeight="1">
      <c r="F156" s="57"/>
      <c r="G156" s="57"/>
      <c r="H156" s="57"/>
    </row>
    <row r="157" ht="15.75" customHeight="1">
      <c r="F157" s="57"/>
      <c r="G157" s="57"/>
      <c r="H157" s="57"/>
    </row>
    <row r="158" ht="15.75" customHeight="1">
      <c r="F158" s="57"/>
      <c r="G158" s="57"/>
      <c r="H158" s="57"/>
    </row>
    <row r="159" ht="15.75" customHeight="1">
      <c r="F159" s="57"/>
      <c r="G159" s="57"/>
      <c r="H159" s="57"/>
    </row>
    <row r="160" ht="15.75" customHeight="1">
      <c r="F160" s="57"/>
      <c r="G160" s="57"/>
      <c r="H160" s="57"/>
    </row>
    <row r="161" ht="15.75" customHeight="1">
      <c r="F161" s="57"/>
      <c r="G161" s="57"/>
      <c r="H161" s="57"/>
    </row>
    <row r="162" ht="15.75" customHeight="1">
      <c r="F162" s="57"/>
      <c r="G162" s="57"/>
      <c r="H162" s="57"/>
    </row>
    <row r="163" ht="15.75" customHeight="1">
      <c r="F163" s="57"/>
      <c r="G163" s="57"/>
      <c r="H163" s="57"/>
    </row>
    <row r="164" ht="15.75" customHeight="1">
      <c r="F164" s="57"/>
      <c r="G164" s="57"/>
      <c r="H164" s="57"/>
    </row>
    <row r="165" ht="15.75" customHeight="1">
      <c r="F165" s="57"/>
      <c r="G165" s="57"/>
      <c r="H165" s="57"/>
    </row>
    <row r="166" ht="15.75" customHeight="1">
      <c r="F166" s="57"/>
      <c r="G166" s="57"/>
      <c r="H166" s="57"/>
    </row>
    <row r="167" ht="15.75" customHeight="1">
      <c r="F167" s="57"/>
      <c r="G167" s="57"/>
      <c r="H167" s="57"/>
    </row>
    <row r="168" ht="15.75" customHeight="1">
      <c r="F168" s="57"/>
      <c r="G168" s="57"/>
      <c r="H168" s="57"/>
    </row>
    <row r="169" ht="15.75" customHeight="1">
      <c r="F169" s="57"/>
      <c r="G169" s="57"/>
      <c r="H169" s="57"/>
    </row>
    <row r="170" ht="15.75" customHeight="1">
      <c r="F170" s="57"/>
      <c r="G170" s="57"/>
      <c r="H170" s="57"/>
    </row>
    <row r="171" ht="15.75" customHeight="1">
      <c r="F171" s="57"/>
      <c r="G171" s="57"/>
      <c r="H171" s="57"/>
    </row>
    <row r="172" ht="15.75" customHeight="1">
      <c r="F172" s="57"/>
      <c r="G172" s="57"/>
      <c r="H172" s="57"/>
    </row>
    <row r="173" ht="15.75" customHeight="1">
      <c r="F173" s="57"/>
      <c r="G173" s="57"/>
      <c r="H173" s="57"/>
    </row>
    <row r="174" ht="15.75" customHeight="1">
      <c r="F174" s="57"/>
      <c r="G174" s="57"/>
      <c r="H174" s="57"/>
    </row>
    <row r="175" ht="15.75" customHeight="1">
      <c r="F175" s="57"/>
      <c r="G175" s="57"/>
      <c r="H175" s="57"/>
    </row>
    <row r="176" ht="15.75" customHeight="1">
      <c r="F176" s="57"/>
      <c r="G176" s="57"/>
      <c r="H176" s="57"/>
    </row>
    <row r="177" ht="15.75" customHeight="1">
      <c r="F177" s="57"/>
      <c r="G177" s="57"/>
      <c r="H177" s="57"/>
    </row>
    <row r="178" ht="15.75" customHeight="1">
      <c r="F178" s="57"/>
      <c r="G178" s="57"/>
      <c r="H178" s="57"/>
    </row>
    <row r="179" ht="15.75" customHeight="1">
      <c r="F179" s="57"/>
      <c r="G179" s="57"/>
      <c r="H179" s="57"/>
    </row>
    <row r="180" ht="15.75" customHeight="1">
      <c r="F180" s="57"/>
      <c r="G180" s="57"/>
      <c r="H180" s="57"/>
    </row>
    <row r="181" ht="15.75" customHeight="1">
      <c r="F181" s="57"/>
      <c r="G181" s="57"/>
      <c r="H181" s="57"/>
    </row>
    <row r="182" ht="15.75" customHeight="1">
      <c r="F182" s="57"/>
      <c r="G182" s="57"/>
      <c r="H182" s="57"/>
    </row>
    <row r="183" ht="15.75" customHeight="1">
      <c r="F183" s="57"/>
      <c r="G183" s="57"/>
      <c r="H183" s="57"/>
    </row>
    <row r="184" ht="15.75" customHeight="1">
      <c r="F184" s="57"/>
      <c r="G184" s="57"/>
      <c r="H184" s="57"/>
    </row>
    <row r="185" ht="15.75" customHeight="1">
      <c r="F185" s="57"/>
      <c r="G185" s="57"/>
      <c r="H185" s="57"/>
    </row>
    <row r="186" ht="15.75" customHeight="1">
      <c r="F186" s="57"/>
      <c r="G186" s="57"/>
      <c r="H186" s="57"/>
    </row>
    <row r="187" ht="15.75" customHeight="1">
      <c r="F187" s="57"/>
      <c r="G187" s="57"/>
      <c r="H187" s="57"/>
    </row>
    <row r="188" ht="15.75" customHeight="1">
      <c r="F188" s="57"/>
      <c r="G188" s="57"/>
      <c r="H188" s="57"/>
    </row>
    <row r="189" ht="15.75" customHeight="1">
      <c r="F189" s="57"/>
      <c r="G189" s="57"/>
      <c r="H189" s="57"/>
    </row>
    <row r="190" ht="15.75" customHeight="1">
      <c r="F190" s="57"/>
      <c r="G190" s="57"/>
      <c r="H190" s="57"/>
    </row>
    <row r="191" ht="15.75" customHeight="1">
      <c r="F191" s="57"/>
      <c r="G191" s="57"/>
      <c r="H191" s="57"/>
    </row>
    <row r="192" ht="15.75" customHeight="1">
      <c r="F192" s="57"/>
      <c r="G192" s="57"/>
      <c r="H192" s="57"/>
    </row>
    <row r="193" ht="15.75" customHeight="1">
      <c r="F193" s="57"/>
      <c r="G193" s="57"/>
      <c r="H193" s="57"/>
    </row>
    <row r="194" ht="15.75" customHeight="1">
      <c r="F194" s="57"/>
      <c r="G194" s="57"/>
      <c r="H194" s="57"/>
    </row>
    <row r="195" ht="15.75" customHeight="1">
      <c r="F195" s="57"/>
      <c r="G195" s="57"/>
      <c r="H195" s="57"/>
    </row>
    <row r="196" ht="15.75" customHeight="1">
      <c r="F196" s="57"/>
      <c r="G196" s="57"/>
      <c r="H196" s="57"/>
    </row>
    <row r="197" ht="15.75" customHeight="1">
      <c r="F197" s="57"/>
      <c r="G197" s="57"/>
      <c r="H197" s="57"/>
    </row>
    <row r="198" ht="15.75" customHeight="1">
      <c r="F198" s="57"/>
      <c r="G198" s="57"/>
      <c r="H198" s="57"/>
    </row>
    <row r="199" ht="15.75" customHeight="1">
      <c r="F199" s="57"/>
      <c r="G199" s="57"/>
      <c r="H199" s="57"/>
    </row>
    <row r="200" ht="15.75" customHeight="1">
      <c r="F200" s="57"/>
      <c r="G200" s="57"/>
      <c r="H200" s="57"/>
    </row>
    <row r="201" ht="15.75" customHeight="1">
      <c r="F201" s="57"/>
      <c r="G201" s="57"/>
      <c r="H201" s="57"/>
    </row>
    <row r="202" ht="15.75" customHeight="1">
      <c r="F202" s="57"/>
      <c r="G202" s="57"/>
      <c r="H202" s="57"/>
    </row>
    <row r="203" ht="15.75" customHeight="1">
      <c r="F203" s="57"/>
      <c r="G203" s="57"/>
      <c r="H203" s="57"/>
    </row>
    <row r="204" ht="15.75" customHeight="1">
      <c r="F204" s="57"/>
      <c r="G204" s="57"/>
      <c r="H204" s="57"/>
    </row>
    <row r="205" ht="15.75" customHeight="1">
      <c r="F205" s="57"/>
      <c r="G205" s="57"/>
      <c r="H205" s="57"/>
    </row>
    <row r="206" ht="15.75" customHeight="1">
      <c r="F206" s="57"/>
      <c r="G206" s="57"/>
      <c r="H206" s="57"/>
    </row>
    <row r="207" ht="15.75" customHeight="1">
      <c r="F207" s="57"/>
      <c r="G207" s="57"/>
      <c r="H207" s="57"/>
    </row>
    <row r="208" ht="15.75" customHeight="1">
      <c r="F208" s="57"/>
      <c r="G208" s="57"/>
      <c r="H208" s="57"/>
    </row>
    <row r="209" ht="15.75" customHeight="1">
      <c r="F209" s="57"/>
      <c r="G209" s="57"/>
      <c r="H209" s="57"/>
    </row>
    <row r="210" ht="15.75" customHeight="1">
      <c r="F210" s="57"/>
      <c r="G210" s="57"/>
      <c r="H210" s="57"/>
    </row>
    <row r="211" ht="15.75" customHeight="1">
      <c r="F211" s="57"/>
      <c r="G211" s="57"/>
      <c r="H211" s="57"/>
    </row>
    <row r="212" ht="15.75" customHeight="1">
      <c r="F212" s="57"/>
      <c r="G212" s="57"/>
      <c r="H212" s="57"/>
    </row>
    <row r="213" ht="15.75" customHeight="1">
      <c r="F213" s="57"/>
      <c r="G213" s="57"/>
      <c r="H213" s="57"/>
    </row>
    <row r="214" ht="15.75" customHeight="1">
      <c r="F214" s="57"/>
      <c r="G214" s="57"/>
      <c r="H214" s="57"/>
    </row>
    <row r="215" ht="15.75" customHeight="1">
      <c r="F215" s="57"/>
      <c r="G215" s="57"/>
      <c r="H215" s="57"/>
    </row>
    <row r="216" ht="15.75" customHeight="1">
      <c r="F216" s="57"/>
      <c r="G216" s="57"/>
      <c r="H216" s="57"/>
    </row>
    <row r="217" ht="15.75" customHeight="1">
      <c r="F217" s="57"/>
      <c r="G217" s="57"/>
      <c r="H217" s="57"/>
    </row>
    <row r="218" ht="15.75" customHeight="1">
      <c r="F218" s="57"/>
      <c r="G218" s="57"/>
      <c r="H218" s="57"/>
    </row>
    <row r="219" ht="15.75" customHeight="1">
      <c r="F219" s="57"/>
      <c r="G219" s="57"/>
      <c r="H219" s="57"/>
    </row>
    <row r="220" ht="15.75" customHeight="1">
      <c r="F220" s="57"/>
      <c r="G220" s="57"/>
      <c r="H220" s="57"/>
    </row>
    <row r="221" ht="15.75" customHeight="1">
      <c r="F221" s="57"/>
      <c r="G221" s="57"/>
      <c r="H221" s="57"/>
    </row>
    <row r="222" ht="15.75" customHeight="1">
      <c r="F222" s="57"/>
      <c r="G222" s="57"/>
      <c r="H222" s="57"/>
    </row>
    <row r="223" ht="15.75" customHeight="1">
      <c r="F223" s="57"/>
      <c r="G223" s="57"/>
      <c r="H223" s="57"/>
    </row>
    <row r="224" ht="15.75" customHeight="1">
      <c r="F224" s="57"/>
      <c r="G224" s="57"/>
      <c r="H224" s="57"/>
    </row>
    <row r="225" ht="15.75" customHeight="1">
      <c r="F225" s="57"/>
      <c r="G225" s="57"/>
      <c r="H225" s="57"/>
    </row>
    <row r="226" ht="15.75" customHeight="1">
      <c r="F226" s="57"/>
      <c r="G226" s="57"/>
      <c r="H226" s="57"/>
    </row>
    <row r="227" ht="15.75" customHeight="1">
      <c r="F227" s="57"/>
      <c r="G227" s="57"/>
      <c r="H227" s="57"/>
    </row>
    <row r="228" ht="15.75" customHeight="1">
      <c r="F228" s="57"/>
      <c r="G228" s="57"/>
      <c r="H228" s="57"/>
    </row>
    <row r="229" ht="15.75" customHeight="1">
      <c r="F229" s="57"/>
      <c r="G229" s="57"/>
      <c r="H229" s="57"/>
    </row>
    <row r="230" ht="15.75" customHeight="1">
      <c r="F230" s="57"/>
      <c r="G230" s="57"/>
      <c r="H230" s="57"/>
    </row>
    <row r="231" ht="15.75" customHeight="1">
      <c r="F231" s="57"/>
      <c r="G231" s="57"/>
      <c r="H231" s="57"/>
    </row>
    <row r="232" ht="15.75" customHeight="1">
      <c r="F232" s="57"/>
      <c r="G232" s="57"/>
      <c r="H232" s="57"/>
    </row>
    <row r="233" ht="15.75" customHeight="1">
      <c r="F233" s="57"/>
      <c r="G233" s="57"/>
      <c r="H233" s="57"/>
    </row>
    <row r="234" ht="15.75" customHeight="1">
      <c r="F234" s="57"/>
      <c r="G234" s="57"/>
      <c r="H234" s="57"/>
    </row>
    <row r="235" ht="15.75" customHeight="1">
      <c r="F235" s="57"/>
      <c r="G235" s="57"/>
      <c r="H235" s="57"/>
    </row>
    <row r="236" ht="15.75" customHeight="1">
      <c r="F236" s="57"/>
      <c r="G236" s="57"/>
      <c r="H236" s="57"/>
    </row>
    <row r="237" ht="15.75" customHeight="1">
      <c r="F237" s="57"/>
      <c r="G237" s="57"/>
      <c r="H237" s="57"/>
    </row>
    <row r="238" ht="15.75" customHeight="1">
      <c r="F238" s="57"/>
      <c r="G238" s="57"/>
      <c r="H238" s="57"/>
    </row>
    <row r="239" ht="15.75" customHeight="1">
      <c r="F239" s="57"/>
      <c r="G239" s="57"/>
      <c r="H239" s="57"/>
    </row>
    <row r="240" ht="15.75" customHeight="1">
      <c r="F240" s="57"/>
      <c r="G240" s="57"/>
      <c r="H240" s="57"/>
    </row>
    <row r="241" ht="15.75" customHeight="1">
      <c r="F241" s="57"/>
      <c r="G241" s="57"/>
      <c r="H241" s="57"/>
    </row>
    <row r="242" ht="15.75" customHeight="1">
      <c r="F242" s="57"/>
      <c r="G242" s="57"/>
      <c r="H242" s="57"/>
    </row>
    <row r="243" ht="15.75" customHeight="1">
      <c r="F243" s="57"/>
      <c r="G243" s="57"/>
      <c r="H243" s="57"/>
    </row>
    <row r="244" ht="15.75" customHeight="1">
      <c r="F244" s="57"/>
      <c r="G244" s="57"/>
      <c r="H244" s="57"/>
    </row>
    <row r="245" ht="15.75" customHeight="1">
      <c r="F245" s="57"/>
      <c r="G245" s="57"/>
      <c r="H245" s="57"/>
    </row>
    <row r="246" ht="15.75" customHeight="1">
      <c r="F246" s="57"/>
      <c r="G246" s="57"/>
      <c r="H246" s="57"/>
    </row>
    <row r="247" ht="15.75" customHeight="1">
      <c r="F247" s="57"/>
      <c r="G247" s="57"/>
      <c r="H247" s="57"/>
    </row>
    <row r="248" ht="15.75" customHeight="1">
      <c r="F248" s="57"/>
      <c r="G248" s="57"/>
      <c r="H248" s="57"/>
    </row>
    <row r="249" ht="15.75" customHeight="1">
      <c r="F249" s="57"/>
      <c r="G249" s="57"/>
      <c r="H249" s="57"/>
    </row>
    <row r="250" ht="15.75" customHeight="1">
      <c r="F250" s="57"/>
      <c r="G250" s="57"/>
      <c r="H250" s="57"/>
    </row>
    <row r="251" ht="15.75" customHeight="1">
      <c r="F251" s="57"/>
      <c r="G251" s="57"/>
      <c r="H251" s="57"/>
    </row>
    <row r="252" ht="15.75" customHeight="1">
      <c r="F252" s="57"/>
      <c r="G252" s="57"/>
      <c r="H252" s="57"/>
    </row>
    <row r="253" ht="15.75" customHeight="1">
      <c r="F253" s="57"/>
      <c r="G253" s="57"/>
      <c r="H253" s="57"/>
    </row>
    <row r="254" ht="15.75" customHeight="1">
      <c r="F254" s="57"/>
      <c r="G254" s="57"/>
      <c r="H254" s="57"/>
    </row>
    <row r="255" ht="15.75" customHeight="1">
      <c r="F255" s="57"/>
      <c r="G255" s="57"/>
      <c r="H255" s="57"/>
    </row>
    <row r="256" ht="15.75" customHeight="1">
      <c r="F256" s="57"/>
      <c r="G256" s="57"/>
      <c r="H256" s="57"/>
    </row>
    <row r="257" ht="15.75" customHeight="1">
      <c r="F257" s="57"/>
      <c r="G257" s="57"/>
      <c r="H257" s="57"/>
    </row>
    <row r="258" ht="15.75" customHeight="1">
      <c r="F258" s="57"/>
      <c r="G258" s="57"/>
      <c r="H258" s="57"/>
    </row>
    <row r="259" ht="15.75" customHeight="1">
      <c r="F259" s="57"/>
      <c r="G259" s="57"/>
      <c r="H259" s="57"/>
    </row>
    <row r="260" ht="15.75" customHeight="1">
      <c r="F260" s="57"/>
      <c r="G260" s="57"/>
      <c r="H260" s="57"/>
    </row>
    <row r="261" ht="15.75" customHeight="1">
      <c r="F261" s="57"/>
      <c r="G261" s="57"/>
      <c r="H261" s="57"/>
    </row>
    <row r="262" ht="15.75" customHeight="1">
      <c r="F262" s="57"/>
      <c r="G262" s="57"/>
      <c r="H262" s="57"/>
    </row>
    <row r="263" ht="15.75" customHeight="1">
      <c r="F263" s="57"/>
      <c r="G263" s="57"/>
      <c r="H263" s="57"/>
    </row>
    <row r="264" ht="15.75" customHeight="1">
      <c r="F264" s="57"/>
      <c r="G264" s="57"/>
      <c r="H264" s="57"/>
    </row>
    <row r="265" ht="15.75" customHeight="1">
      <c r="F265" s="57"/>
      <c r="G265" s="57"/>
      <c r="H265" s="57"/>
    </row>
    <row r="266" ht="15.75" customHeight="1">
      <c r="F266" s="57"/>
      <c r="G266" s="57"/>
      <c r="H266" s="57"/>
    </row>
    <row r="267" ht="15.75" customHeight="1">
      <c r="F267" s="57"/>
      <c r="G267" s="57"/>
      <c r="H267" s="57"/>
    </row>
    <row r="268" ht="15.75" customHeight="1">
      <c r="F268" s="57"/>
      <c r="G268" s="57"/>
      <c r="H268" s="57"/>
    </row>
    <row r="269" ht="15.75" customHeight="1">
      <c r="F269" s="57"/>
      <c r="G269" s="57"/>
      <c r="H269" s="57"/>
    </row>
    <row r="270" ht="15.75" customHeight="1">
      <c r="F270" s="57"/>
      <c r="G270" s="57"/>
      <c r="H270" s="57"/>
    </row>
    <row r="271" ht="15.75" customHeight="1">
      <c r="F271" s="57"/>
      <c r="G271" s="57"/>
      <c r="H271" s="57"/>
    </row>
    <row r="272" ht="15.75" customHeight="1">
      <c r="F272" s="57"/>
      <c r="G272" s="57"/>
      <c r="H272" s="57"/>
    </row>
    <row r="273" ht="15.75" customHeight="1">
      <c r="F273" s="57"/>
      <c r="G273" s="57"/>
      <c r="H273" s="57"/>
    </row>
    <row r="274" ht="15.75" customHeight="1">
      <c r="F274" s="57"/>
      <c r="G274" s="57"/>
      <c r="H274" s="57"/>
    </row>
    <row r="275" ht="15.75" customHeight="1">
      <c r="F275" s="57"/>
      <c r="G275" s="57"/>
      <c r="H275" s="57"/>
    </row>
    <row r="276" ht="15.75" customHeight="1">
      <c r="F276" s="57"/>
      <c r="G276" s="57"/>
      <c r="H276" s="57"/>
    </row>
    <row r="277" ht="15.75" customHeight="1">
      <c r="F277" s="57"/>
      <c r="G277" s="57"/>
      <c r="H277" s="57"/>
    </row>
    <row r="278" ht="15.75" customHeight="1">
      <c r="F278" s="57"/>
      <c r="G278" s="57"/>
      <c r="H278" s="57"/>
    </row>
    <row r="279" ht="15.75" customHeight="1">
      <c r="F279" s="57"/>
      <c r="G279" s="57"/>
      <c r="H279" s="57"/>
    </row>
    <row r="280" ht="15.75" customHeight="1">
      <c r="F280" s="57"/>
      <c r="G280" s="57"/>
      <c r="H280" s="57"/>
    </row>
    <row r="281" ht="15.75" customHeight="1">
      <c r="F281" s="57"/>
      <c r="G281" s="57"/>
      <c r="H281" s="57"/>
    </row>
    <row r="282" ht="15.75" customHeight="1">
      <c r="F282" s="57"/>
      <c r="G282" s="57"/>
      <c r="H282" s="57"/>
    </row>
    <row r="283" ht="15.75" customHeight="1">
      <c r="F283" s="57"/>
      <c r="G283" s="57"/>
      <c r="H283" s="57"/>
    </row>
    <row r="284" ht="15.75" customHeight="1">
      <c r="F284" s="57"/>
      <c r="G284" s="57"/>
      <c r="H284" s="57"/>
    </row>
    <row r="285" ht="15.75" customHeight="1">
      <c r="F285" s="57"/>
      <c r="G285" s="57"/>
      <c r="H285" s="57"/>
    </row>
    <row r="286" ht="15.75" customHeight="1">
      <c r="F286" s="57"/>
      <c r="G286" s="57"/>
      <c r="H286" s="57"/>
    </row>
    <row r="287" ht="15.75" customHeight="1">
      <c r="F287" s="57"/>
      <c r="G287" s="57"/>
      <c r="H287" s="57"/>
    </row>
    <row r="288" ht="15.75" customHeight="1">
      <c r="F288" s="57"/>
      <c r="G288" s="57"/>
      <c r="H288" s="57"/>
    </row>
    <row r="289" ht="15.75" customHeight="1">
      <c r="F289" s="57"/>
      <c r="G289" s="57"/>
      <c r="H289" s="57"/>
    </row>
    <row r="290" ht="15.75" customHeight="1">
      <c r="F290" s="57"/>
      <c r="G290" s="57"/>
      <c r="H290" s="57"/>
    </row>
    <row r="291" ht="15.75" customHeight="1">
      <c r="F291" s="57"/>
      <c r="G291" s="57"/>
      <c r="H291" s="57"/>
    </row>
    <row r="292" ht="15.75" customHeight="1">
      <c r="F292" s="57"/>
      <c r="G292" s="57"/>
      <c r="H292" s="57"/>
    </row>
    <row r="293" ht="15.75" customHeight="1">
      <c r="F293" s="57"/>
      <c r="G293" s="57"/>
      <c r="H293" s="57"/>
    </row>
    <row r="294" ht="15.75" customHeight="1">
      <c r="F294" s="57"/>
      <c r="G294" s="57"/>
      <c r="H294" s="57"/>
    </row>
    <row r="295" ht="15.75" customHeight="1">
      <c r="F295" s="57"/>
      <c r="G295" s="57"/>
      <c r="H295" s="57"/>
    </row>
    <row r="296" ht="15.75" customHeight="1">
      <c r="F296" s="57"/>
      <c r="G296" s="57"/>
      <c r="H296" s="57"/>
    </row>
    <row r="297" ht="15.75" customHeight="1">
      <c r="F297" s="57"/>
      <c r="G297" s="57"/>
      <c r="H297" s="57"/>
    </row>
    <row r="298" ht="15.75" customHeight="1">
      <c r="F298" s="57"/>
      <c r="G298" s="57"/>
      <c r="H298" s="57"/>
    </row>
    <row r="299" ht="15.75" customHeight="1">
      <c r="F299" s="57"/>
      <c r="G299" s="57"/>
      <c r="H299" s="57"/>
    </row>
    <row r="300" ht="15.75" customHeight="1">
      <c r="F300" s="57"/>
      <c r="G300" s="57"/>
      <c r="H300" s="57"/>
    </row>
    <row r="301" ht="15.75" customHeight="1">
      <c r="F301" s="57"/>
      <c r="G301" s="57"/>
      <c r="H301" s="57"/>
    </row>
    <row r="302" ht="15.75" customHeight="1">
      <c r="F302" s="57"/>
      <c r="G302" s="57"/>
      <c r="H302" s="57"/>
    </row>
    <row r="303" ht="15.75" customHeight="1">
      <c r="F303" s="57"/>
      <c r="G303" s="57"/>
      <c r="H303" s="57"/>
    </row>
    <row r="304" ht="15.75" customHeight="1">
      <c r="F304" s="57"/>
      <c r="G304" s="57"/>
      <c r="H304" s="57"/>
    </row>
    <row r="305" ht="15.75" customHeight="1">
      <c r="F305" s="57"/>
      <c r="G305" s="57"/>
      <c r="H305" s="57"/>
    </row>
    <row r="306" ht="15.75" customHeight="1">
      <c r="F306" s="57"/>
      <c r="G306" s="57"/>
      <c r="H306" s="57"/>
    </row>
    <row r="307" ht="15.75" customHeight="1">
      <c r="F307" s="57"/>
      <c r="G307" s="57"/>
      <c r="H307" s="57"/>
    </row>
    <row r="308" ht="15.75" customHeight="1">
      <c r="F308" s="57"/>
      <c r="G308" s="57"/>
      <c r="H308" s="57"/>
    </row>
    <row r="309" ht="15.75" customHeight="1">
      <c r="F309" s="57"/>
      <c r="G309" s="57"/>
      <c r="H309" s="57"/>
    </row>
    <row r="310" ht="15.75" customHeight="1">
      <c r="F310" s="57"/>
      <c r="G310" s="57"/>
      <c r="H310" s="57"/>
    </row>
    <row r="311" ht="15.75" customHeight="1">
      <c r="F311" s="57"/>
      <c r="G311" s="57"/>
      <c r="H311" s="57"/>
    </row>
    <row r="312" ht="15.75" customHeight="1">
      <c r="F312" s="57"/>
      <c r="G312" s="57"/>
      <c r="H312" s="57"/>
    </row>
    <row r="313" ht="15.75" customHeight="1">
      <c r="F313" s="57"/>
      <c r="G313" s="57"/>
      <c r="H313" s="57"/>
    </row>
    <row r="314" ht="15.75" customHeight="1">
      <c r="F314" s="57"/>
      <c r="G314" s="57"/>
      <c r="H314" s="57"/>
    </row>
    <row r="315" ht="15.75" customHeight="1">
      <c r="F315" s="57"/>
      <c r="G315" s="57"/>
      <c r="H315" s="57"/>
    </row>
    <row r="316" ht="15.75" customHeight="1">
      <c r="F316" s="57"/>
      <c r="G316" s="57"/>
      <c r="H316" s="57"/>
    </row>
    <row r="317" ht="15.75" customHeight="1">
      <c r="F317" s="57"/>
      <c r="G317" s="57"/>
      <c r="H317" s="57"/>
    </row>
    <row r="318" ht="15.75" customHeight="1">
      <c r="F318" s="57"/>
      <c r="G318" s="57"/>
      <c r="H318" s="57"/>
    </row>
    <row r="319" ht="15.75" customHeight="1">
      <c r="F319" s="57"/>
      <c r="G319" s="57"/>
      <c r="H319" s="57"/>
    </row>
    <row r="320" ht="15.75" customHeight="1">
      <c r="F320" s="57"/>
      <c r="G320" s="57"/>
      <c r="H320" s="57"/>
    </row>
    <row r="321" ht="15.75" customHeight="1">
      <c r="F321" s="57"/>
      <c r="G321" s="57"/>
      <c r="H321" s="57"/>
    </row>
    <row r="322" ht="15.75" customHeight="1">
      <c r="F322" s="57"/>
      <c r="G322" s="57"/>
      <c r="H322" s="57"/>
    </row>
    <row r="323" ht="15.75" customHeight="1">
      <c r="F323" s="57"/>
      <c r="G323" s="57"/>
      <c r="H323" s="57"/>
    </row>
    <row r="324" ht="15.75" customHeight="1">
      <c r="F324" s="57"/>
      <c r="G324" s="57"/>
      <c r="H324" s="57"/>
    </row>
    <row r="325" ht="15.75" customHeight="1">
      <c r="F325" s="57"/>
      <c r="G325" s="57"/>
      <c r="H325" s="57"/>
    </row>
    <row r="326" ht="15.75" customHeight="1">
      <c r="F326" s="57"/>
      <c r="G326" s="57"/>
      <c r="H326" s="57"/>
    </row>
    <row r="327" ht="15.75" customHeight="1">
      <c r="F327" s="57"/>
      <c r="G327" s="57"/>
      <c r="H327" s="57"/>
    </row>
    <row r="328" ht="15.75" customHeight="1">
      <c r="F328" s="57"/>
      <c r="G328" s="57"/>
      <c r="H328" s="57"/>
    </row>
    <row r="329" ht="15.75" customHeight="1">
      <c r="F329" s="57"/>
      <c r="G329" s="57"/>
      <c r="H329" s="57"/>
    </row>
    <row r="330" ht="15.75" customHeight="1">
      <c r="F330" s="57"/>
      <c r="G330" s="57"/>
      <c r="H330" s="57"/>
    </row>
    <row r="331" ht="15.75" customHeight="1">
      <c r="F331" s="57"/>
      <c r="G331" s="57"/>
      <c r="H331" s="57"/>
    </row>
    <row r="332" ht="15.75" customHeight="1">
      <c r="F332" s="57"/>
      <c r="G332" s="57"/>
      <c r="H332" s="57"/>
    </row>
    <row r="333" ht="15.75" customHeight="1">
      <c r="F333" s="57"/>
      <c r="G333" s="57"/>
      <c r="H333" s="57"/>
    </row>
    <row r="334" ht="15.75" customHeight="1">
      <c r="F334" s="57"/>
      <c r="G334" s="57"/>
      <c r="H334" s="57"/>
    </row>
    <row r="335" ht="15.75" customHeight="1">
      <c r="F335" s="57"/>
      <c r="G335" s="57"/>
      <c r="H335" s="57"/>
    </row>
    <row r="336" ht="15.75" customHeight="1">
      <c r="F336" s="57"/>
      <c r="G336" s="57"/>
      <c r="H336" s="57"/>
    </row>
    <row r="337" ht="15.75" customHeight="1">
      <c r="F337" s="57"/>
      <c r="G337" s="57"/>
      <c r="H337" s="57"/>
    </row>
    <row r="338" ht="15.75" customHeight="1">
      <c r="F338" s="57"/>
      <c r="G338" s="57"/>
      <c r="H338" s="57"/>
    </row>
    <row r="339" ht="15.75" customHeight="1">
      <c r="F339" s="57"/>
      <c r="G339" s="57"/>
      <c r="H339" s="57"/>
    </row>
    <row r="340" ht="15.75" customHeight="1">
      <c r="F340" s="57"/>
      <c r="G340" s="57"/>
      <c r="H340" s="57"/>
    </row>
    <row r="341" ht="15.75" customHeight="1">
      <c r="F341" s="57"/>
      <c r="G341" s="57"/>
      <c r="H341" s="57"/>
    </row>
    <row r="342" ht="15.75" customHeight="1">
      <c r="F342" s="57"/>
      <c r="G342" s="57"/>
      <c r="H342" s="57"/>
    </row>
    <row r="343" ht="15.75" customHeight="1">
      <c r="F343" s="57"/>
      <c r="G343" s="57"/>
      <c r="H343" s="57"/>
    </row>
    <row r="344" ht="15.75" customHeight="1">
      <c r="F344" s="57"/>
      <c r="G344" s="57"/>
      <c r="H344" s="57"/>
    </row>
    <row r="345" ht="15.75" customHeight="1">
      <c r="F345" s="57"/>
      <c r="G345" s="57"/>
      <c r="H345" s="57"/>
    </row>
    <row r="346" ht="15.75" customHeight="1">
      <c r="F346" s="57"/>
      <c r="G346" s="57"/>
      <c r="H346" s="57"/>
    </row>
    <row r="347" ht="15.75" customHeight="1">
      <c r="F347" s="57"/>
      <c r="G347" s="57"/>
      <c r="H347" s="57"/>
    </row>
    <row r="348" ht="15.75" customHeight="1">
      <c r="F348" s="57"/>
      <c r="G348" s="57"/>
      <c r="H348" s="57"/>
    </row>
    <row r="349" ht="15.75" customHeight="1">
      <c r="F349" s="57"/>
      <c r="G349" s="57"/>
      <c r="H349" s="57"/>
    </row>
    <row r="350" ht="15.75" customHeight="1">
      <c r="F350" s="57"/>
      <c r="G350" s="57"/>
      <c r="H350" s="57"/>
    </row>
    <row r="351" ht="15.75" customHeight="1">
      <c r="F351" s="57"/>
      <c r="G351" s="57"/>
      <c r="H351" s="57"/>
    </row>
    <row r="352" ht="15.75" customHeight="1">
      <c r="F352" s="57"/>
      <c r="G352" s="57"/>
      <c r="H352" s="57"/>
    </row>
    <row r="353" ht="15.75" customHeight="1">
      <c r="F353" s="57"/>
      <c r="G353" s="57"/>
      <c r="H353" s="57"/>
    </row>
    <row r="354" ht="15.75" customHeight="1">
      <c r="F354" s="57"/>
      <c r="G354" s="57"/>
      <c r="H354" s="57"/>
    </row>
    <row r="355" ht="15.75" customHeight="1">
      <c r="F355" s="57"/>
      <c r="G355" s="57"/>
      <c r="H355" s="57"/>
    </row>
    <row r="356" ht="15.75" customHeight="1">
      <c r="F356" s="57"/>
      <c r="G356" s="57"/>
      <c r="H356" s="57"/>
    </row>
    <row r="357" ht="15.75" customHeight="1">
      <c r="F357" s="57"/>
      <c r="G357" s="57"/>
      <c r="H357" s="57"/>
    </row>
    <row r="358" ht="15.75" customHeight="1">
      <c r="F358" s="57"/>
      <c r="G358" s="57"/>
      <c r="H358" s="57"/>
    </row>
    <row r="359" ht="15.75" customHeight="1">
      <c r="F359" s="57"/>
      <c r="G359" s="57"/>
      <c r="H359" s="57"/>
    </row>
    <row r="360" ht="15.75" customHeight="1">
      <c r="F360" s="57"/>
      <c r="G360" s="57"/>
      <c r="H360" s="57"/>
    </row>
    <row r="361" ht="15.75" customHeight="1">
      <c r="F361" s="57"/>
      <c r="G361" s="57"/>
      <c r="H361" s="57"/>
    </row>
    <row r="362" ht="15.75" customHeight="1">
      <c r="F362" s="57"/>
      <c r="G362" s="57"/>
      <c r="H362" s="57"/>
    </row>
    <row r="363" ht="15.75" customHeight="1">
      <c r="F363" s="57"/>
      <c r="G363" s="57"/>
      <c r="H363" s="57"/>
    </row>
    <row r="364" ht="15.75" customHeight="1">
      <c r="F364" s="57"/>
      <c r="G364" s="57"/>
      <c r="H364" s="57"/>
    </row>
    <row r="365" ht="15.75" customHeight="1">
      <c r="F365" s="57"/>
      <c r="G365" s="57"/>
      <c r="H365" s="57"/>
    </row>
    <row r="366" ht="15.75" customHeight="1">
      <c r="F366" s="57"/>
      <c r="G366" s="57"/>
      <c r="H366" s="57"/>
    </row>
    <row r="367" ht="15.75" customHeight="1">
      <c r="F367" s="57"/>
      <c r="G367" s="57"/>
      <c r="H367" s="57"/>
    </row>
    <row r="368" ht="15.75" customHeight="1">
      <c r="F368" s="57"/>
      <c r="G368" s="57"/>
      <c r="H368" s="57"/>
    </row>
    <row r="369" ht="15.75" customHeight="1">
      <c r="F369" s="57"/>
      <c r="G369" s="57"/>
      <c r="H369" s="57"/>
    </row>
    <row r="370" ht="15.75" customHeight="1">
      <c r="F370" s="57"/>
      <c r="G370" s="57"/>
      <c r="H370" s="57"/>
    </row>
    <row r="371" ht="15.75" customHeight="1">
      <c r="F371" s="57"/>
      <c r="G371" s="57"/>
      <c r="H371" s="57"/>
    </row>
    <row r="372" ht="15.75" customHeight="1">
      <c r="F372" s="57"/>
      <c r="G372" s="57"/>
      <c r="H372" s="57"/>
    </row>
    <row r="373" ht="15.75" customHeight="1">
      <c r="F373" s="57"/>
      <c r="G373" s="57"/>
      <c r="H373" s="57"/>
    </row>
    <row r="374" ht="15.75" customHeight="1">
      <c r="F374" s="57"/>
      <c r="G374" s="57"/>
      <c r="H374" s="57"/>
    </row>
    <row r="375" ht="15.75" customHeight="1">
      <c r="F375" s="57"/>
      <c r="G375" s="57"/>
      <c r="H375" s="57"/>
    </row>
    <row r="376" ht="15.75" customHeight="1">
      <c r="F376" s="57"/>
      <c r="G376" s="57"/>
      <c r="H376" s="57"/>
    </row>
    <row r="377" ht="15.75" customHeight="1">
      <c r="F377" s="57"/>
      <c r="G377" s="57"/>
      <c r="H377" s="57"/>
    </row>
    <row r="378" ht="15.75" customHeight="1">
      <c r="F378" s="57"/>
      <c r="G378" s="57"/>
      <c r="H378" s="57"/>
    </row>
    <row r="379" ht="15.75" customHeight="1">
      <c r="F379" s="57"/>
      <c r="G379" s="57"/>
      <c r="H379" s="57"/>
    </row>
    <row r="380" ht="15.75" customHeight="1">
      <c r="F380" s="57"/>
      <c r="G380" s="57"/>
      <c r="H380" s="57"/>
    </row>
    <row r="381" ht="15.75" customHeight="1">
      <c r="F381" s="57"/>
      <c r="G381" s="57"/>
      <c r="H381" s="57"/>
    </row>
    <row r="382" ht="15.75" customHeight="1">
      <c r="F382" s="57"/>
      <c r="G382" s="57"/>
      <c r="H382" s="57"/>
    </row>
    <row r="383" ht="15.75" customHeight="1">
      <c r="F383" s="57"/>
      <c r="G383" s="57"/>
      <c r="H383" s="57"/>
    </row>
    <row r="384" ht="15.75" customHeight="1">
      <c r="F384" s="57"/>
      <c r="G384" s="57"/>
      <c r="H384" s="57"/>
    </row>
    <row r="385" ht="15.75" customHeight="1">
      <c r="F385" s="57"/>
      <c r="G385" s="57"/>
      <c r="H385" s="57"/>
    </row>
    <row r="386" ht="15.75" customHeight="1">
      <c r="F386" s="57"/>
      <c r="G386" s="57"/>
      <c r="H386" s="57"/>
    </row>
    <row r="387" ht="15.75" customHeight="1">
      <c r="F387" s="57"/>
      <c r="G387" s="57"/>
      <c r="H387" s="57"/>
    </row>
    <row r="388" ht="15.75" customHeight="1">
      <c r="F388" s="57"/>
      <c r="G388" s="57"/>
      <c r="H388" s="57"/>
    </row>
    <row r="389" ht="15.75" customHeight="1">
      <c r="F389" s="57"/>
      <c r="G389" s="57"/>
      <c r="H389" s="57"/>
    </row>
    <row r="390" ht="15.75" customHeight="1">
      <c r="F390" s="57"/>
      <c r="G390" s="57"/>
      <c r="H390" s="57"/>
    </row>
    <row r="391" ht="15.75" customHeight="1">
      <c r="F391" s="57"/>
      <c r="G391" s="57"/>
      <c r="H391" s="57"/>
    </row>
    <row r="392" ht="15.75" customHeight="1">
      <c r="F392" s="57"/>
      <c r="G392" s="57"/>
      <c r="H392" s="57"/>
    </row>
    <row r="393" ht="15.75" customHeight="1">
      <c r="F393" s="57"/>
      <c r="G393" s="57"/>
      <c r="H393" s="57"/>
    </row>
    <row r="394" ht="15.75" customHeight="1">
      <c r="F394" s="57"/>
      <c r="G394" s="57"/>
      <c r="H394" s="57"/>
    </row>
    <row r="395" ht="15.75" customHeight="1">
      <c r="F395" s="57"/>
      <c r="G395" s="57"/>
      <c r="H395" s="57"/>
    </row>
    <row r="396" ht="15.75" customHeight="1">
      <c r="F396" s="57"/>
      <c r="G396" s="57"/>
      <c r="H396" s="57"/>
    </row>
    <row r="397" ht="15.75" customHeight="1">
      <c r="F397" s="57"/>
      <c r="G397" s="57"/>
      <c r="H397" s="57"/>
    </row>
    <row r="398" ht="15.75" customHeight="1">
      <c r="F398" s="57"/>
      <c r="G398" s="57"/>
      <c r="H398" s="57"/>
    </row>
    <row r="399" ht="15.75" customHeight="1">
      <c r="F399" s="57"/>
      <c r="G399" s="57"/>
      <c r="H399" s="57"/>
    </row>
    <row r="400" ht="15.75" customHeight="1">
      <c r="F400" s="57"/>
      <c r="G400" s="57"/>
      <c r="H400" s="57"/>
    </row>
    <row r="401" ht="15.75" customHeight="1">
      <c r="F401" s="57"/>
      <c r="G401" s="57"/>
      <c r="H401" s="57"/>
    </row>
    <row r="402" ht="15.75" customHeight="1">
      <c r="F402" s="57"/>
      <c r="G402" s="57"/>
      <c r="H402" s="57"/>
    </row>
    <row r="403" ht="15.75" customHeight="1">
      <c r="F403" s="57"/>
      <c r="G403" s="57"/>
      <c r="H403" s="57"/>
    </row>
    <row r="404" ht="15.75" customHeight="1">
      <c r="F404" s="57"/>
      <c r="G404" s="57"/>
      <c r="H404" s="57"/>
    </row>
    <row r="405" ht="15.75" customHeight="1">
      <c r="F405" s="57"/>
      <c r="G405" s="57"/>
      <c r="H405" s="57"/>
    </row>
    <row r="406" ht="15.75" customHeight="1">
      <c r="F406" s="57"/>
      <c r="G406" s="57"/>
      <c r="H406" s="57"/>
    </row>
    <row r="407" ht="15.75" customHeight="1">
      <c r="F407" s="57"/>
      <c r="G407" s="57"/>
      <c r="H407" s="57"/>
    </row>
    <row r="408" ht="15.75" customHeight="1">
      <c r="F408" s="57"/>
      <c r="G408" s="57"/>
      <c r="H408" s="57"/>
    </row>
    <row r="409" ht="15.75" customHeight="1">
      <c r="F409" s="57"/>
      <c r="G409" s="57"/>
      <c r="H409" s="57"/>
    </row>
    <row r="410" ht="15.75" customHeight="1">
      <c r="F410" s="57"/>
      <c r="G410" s="57"/>
      <c r="H410" s="57"/>
    </row>
    <row r="411" ht="15.75" customHeight="1">
      <c r="F411" s="57"/>
      <c r="G411" s="57"/>
      <c r="H411" s="57"/>
    </row>
    <row r="412" ht="15.75" customHeight="1">
      <c r="F412" s="57"/>
      <c r="G412" s="57"/>
      <c r="H412" s="57"/>
    </row>
    <row r="413" ht="15.75" customHeight="1">
      <c r="F413" s="57"/>
      <c r="G413" s="57"/>
      <c r="H413" s="57"/>
    </row>
    <row r="414" ht="15.75" customHeight="1">
      <c r="F414" s="57"/>
      <c r="G414" s="57"/>
      <c r="H414" s="57"/>
    </row>
    <row r="415" ht="15.75" customHeight="1">
      <c r="F415" s="57"/>
      <c r="G415" s="57"/>
      <c r="H415" s="57"/>
    </row>
    <row r="416" ht="15.75" customHeight="1">
      <c r="F416" s="57"/>
      <c r="G416" s="57"/>
      <c r="H416" s="57"/>
    </row>
    <row r="417" ht="15.75" customHeight="1">
      <c r="F417" s="57"/>
      <c r="G417" s="57"/>
      <c r="H417" s="57"/>
    </row>
    <row r="418" ht="15.75" customHeight="1">
      <c r="F418" s="57"/>
      <c r="G418" s="57"/>
      <c r="H418" s="57"/>
    </row>
    <row r="419" ht="15.75" customHeight="1">
      <c r="F419" s="57"/>
      <c r="G419" s="57"/>
      <c r="H419" s="57"/>
    </row>
    <row r="420" ht="15.75" customHeight="1">
      <c r="F420" s="57"/>
      <c r="G420" s="57"/>
      <c r="H420" s="57"/>
    </row>
    <row r="421" ht="15.75" customHeight="1">
      <c r="F421" s="57"/>
      <c r="G421" s="57"/>
      <c r="H421" s="57"/>
    </row>
    <row r="422" ht="15.75" customHeight="1">
      <c r="F422" s="57"/>
      <c r="G422" s="57"/>
      <c r="H422" s="57"/>
    </row>
    <row r="423" ht="15.75" customHeight="1">
      <c r="F423" s="57"/>
      <c r="G423" s="57"/>
      <c r="H423" s="57"/>
    </row>
    <row r="424" ht="15.75" customHeight="1">
      <c r="F424" s="57"/>
      <c r="G424" s="57"/>
      <c r="H424" s="57"/>
    </row>
    <row r="425" ht="15.75" customHeight="1">
      <c r="F425" s="57"/>
      <c r="G425" s="57"/>
      <c r="H425" s="57"/>
    </row>
    <row r="426" ht="15.75" customHeight="1">
      <c r="F426" s="57"/>
      <c r="G426" s="57"/>
      <c r="H426" s="57"/>
    </row>
    <row r="427" ht="15.75" customHeight="1">
      <c r="F427" s="57"/>
      <c r="G427" s="57"/>
      <c r="H427" s="57"/>
    </row>
    <row r="428" ht="15.75" customHeight="1">
      <c r="F428" s="57"/>
      <c r="G428" s="57"/>
      <c r="H428" s="57"/>
    </row>
    <row r="429" ht="15.75" customHeight="1">
      <c r="F429" s="57"/>
      <c r="G429" s="57"/>
      <c r="H429" s="57"/>
    </row>
    <row r="430" ht="15.75" customHeight="1">
      <c r="F430" s="57"/>
      <c r="G430" s="57"/>
      <c r="H430" s="57"/>
    </row>
    <row r="431" ht="15.75" customHeight="1">
      <c r="F431" s="57"/>
      <c r="G431" s="57"/>
      <c r="H431" s="57"/>
    </row>
    <row r="432" ht="15.75" customHeight="1">
      <c r="F432" s="57"/>
      <c r="G432" s="57"/>
      <c r="H432" s="57"/>
    </row>
    <row r="433" ht="15.75" customHeight="1">
      <c r="F433" s="57"/>
      <c r="G433" s="57"/>
      <c r="H433" s="57"/>
    </row>
    <row r="434" ht="15.75" customHeight="1">
      <c r="F434" s="57"/>
      <c r="G434" s="57"/>
      <c r="H434" s="57"/>
    </row>
    <row r="435" ht="15.75" customHeight="1">
      <c r="F435" s="57"/>
      <c r="G435" s="57"/>
      <c r="H435" s="57"/>
    </row>
    <row r="436" ht="15.75" customHeight="1">
      <c r="F436" s="57"/>
      <c r="G436" s="57"/>
      <c r="H436" s="57"/>
    </row>
    <row r="437" ht="15.75" customHeight="1">
      <c r="F437" s="57"/>
      <c r="G437" s="57"/>
      <c r="H437" s="57"/>
    </row>
    <row r="438" ht="15.75" customHeight="1">
      <c r="F438" s="57"/>
      <c r="G438" s="57"/>
      <c r="H438" s="57"/>
    </row>
    <row r="439" ht="15.75" customHeight="1">
      <c r="F439" s="57"/>
      <c r="G439" s="57"/>
      <c r="H439" s="57"/>
    </row>
    <row r="440" ht="15.75" customHeight="1">
      <c r="F440" s="57"/>
      <c r="G440" s="57"/>
      <c r="H440" s="57"/>
    </row>
    <row r="441" ht="15.75" customHeight="1">
      <c r="F441" s="57"/>
      <c r="G441" s="57"/>
      <c r="H441" s="57"/>
    </row>
    <row r="442" ht="15.75" customHeight="1">
      <c r="F442" s="57"/>
      <c r="G442" s="57"/>
      <c r="H442" s="57"/>
    </row>
    <row r="443" ht="15.75" customHeight="1">
      <c r="F443" s="57"/>
      <c r="G443" s="57"/>
      <c r="H443" s="57"/>
    </row>
    <row r="444" ht="15.75" customHeight="1">
      <c r="F444" s="57"/>
      <c r="G444" s="57"/>
      <c r="H444" s="57"/>
    </row>
    <row r="445" ht="15.75" customHeight="1">
      <c r="F445" s="57"/>
      <c r="G445" s="57"/>
      <c r="H445" s="57"/>
    </row>
    <row r="446" ht="15.75" customHeight="1">
      <c r="F446" s="57"/>
      <c r="G446" s="57"/>
      <c r="H446" s="57"/>
    </row>
    <row r="447" ht="15.75" customHeight="1">
      <c r="F447" s="57"/>
      <c r="G447" s="57"/>
      <c r="H447" s="57"/>
    </row>
    <row r="448" ht="15.75" customHeight="1">
      <c r="F448" s="57"/>
      <c r="G448" s="57"/>
      <c r="H448" s="57"/>
    </row>
    <row r="449" ht="15.75" customHeight="1">
      <c r="F449" s="57"/>
      <c r="G449" s="57"/>
      <c r="H449" s="57"/>
    </row>
    <row r="450" ht="15.75" customHeight="1">
      <c r="F450" s="57"/>
      <c r="G450" s="57"/>
      <c r="H450" s="57"/>
    </row>
    <row r="451" ht="15.75" customHeight="1">
      <c r="F451" s="57"/>
      <c r="G451" s="57"/>
      <c r="H451" s="57"/>
    </row>
    <row r="452" ht="15.75" customHeight="1">
      <c r="F452" s="57"/>
      <c r="G452" s="57"/>
      <c r="H452" s="57"/>
    </row>
    <row r="453" ht="15.75" customHeight="1">
      <c r="F453" s="57"/>
      <c r="G453" s="57"/>
      <c r="H453" s="57"/>
    </row>
    <row r="454" ht="15.75" customHeight="1">
      <c r="F454" s="57"/>
      <c r="G454" s="57"/>
      <c r="H454" s="57"/>
    </row>
    <row r="455" ht="15.75" customHeight="1">
      <c r="F455" s="57"/>
      <c r="G455" s="57"/>
      <c r="H455" s="57"/>
    </row>
    <row r="456" ht="15.75" customHeight="1">
      <c r="F456" s="57"/>
      <c r="G456" s="57"/>
      <c r="H456" s="57"/>
    </row>
    <row r="457" ht="15.75" customHeight="1">
      <c r="F457" s="57"/>
      <c r="G457" s="57"/>
      <c r="H457" s="57"/>
    </row>
    <row r="458" ht="15.75" customHeight="1">
      <c r="F458" s="57"/>
      <c r="G458" s="57"/>
      <c r="H458" s="57"/>
    </row>
    <row r="459" ht="15.75" customHeight="1">
      <c r="F459" s="57"/>
      <c r="G459" s="57"/>
      <c r="H459" s="57"/>
    </row>
    <row r="460" ht="15.75" customHeight="1">
      <c r="F460" s="57"/>
      <c r="G460" s="57"/>
      <c r="H460" s="57"/>
    </row>
    <row r="461" ht="15.75" customHeight="1">
      <c r="F461" s="57"/>
      <c r="G461" s="57"/>
      <c r="H461" s="57"/>
    </row>
    <row r="462" ht="15.75" customHeight="1">
      <c r="F462" s="57"/>
      <c r="G462" s="57"/>
      <c r="H462" s="57"/>
    </row>
    <row r="463" ht="15.75" customHeight="1">
      <c r="F463" s="57"/>
      <c r="G463" s="57"/>
      <c r="H463" s="57"/>
    </row>
    <row r="464" ht="15.75" customHeight="1">
      <c r="F464" s="57"/>
      <c r="G464" s="57"/>
      <c r="H464" s="57"/>
    </row>
    <row r="465" ht="15.75" customHeight="1">
      <c r="F465" s="57"/>
      <c r="G465" s="57"/>
      <c r="H465" s="57"/>
    </row>
    <row r="466" ht="15.75" customHeight="1">
      <c r="F466" s="57"/>
      <c r="G466" s="57"/>
      <c r="H466" s="57"/>
    </row>
    <row r="467" ht="15.75" customHeight="1">
      <c r="F467" s="57"/>
      <c r="G467" s="57"/>
      <c r="H467" s="57"/>
    </row>
    <row r="468" ht="15.75" customHeight="1">
      <c r="F468" s="57"/>
      <c r="G468" s="57"/>
      <c r="H468" s="57"/>
    </row>
    <row r="469" ht="15.75" customHeight="1">
      <c r="F469" s="57"/>
      <c r="G469" s="57"/>
      <c r="H469" s="57"/>
    </row>
    <row r="470" ht="15.75" customHeight="1">
      <c r="F470" s="57"/>
      <c r="G470" s="57"/>
      <c r="H470" s="57"/>
    </row>
    <row r="471" ht="15.75" customHeight="1">
      <c r="F471" s="57"/>
      <c r="G471" s="57"/>
      <c r="H471" s="57"/>
    </row>
    <row r="472" ht="15.75" customHeight="1">
      <c r="F472" s="57"/>
      <c r="G472" s="57"/>
      <c r="H472" s="57"/>
    </row>
    <row r="473" ht="15.75" customHeight="1">
      <c r="F473" s="57"/>
      <c r="G473" s="57"/>
      <c r="H473" s="57"/>
    </row>
    <row r="474" ht="15.75" customHeight="1">
      <c r="F474" s="57"/>
      <c r="G474" s="57"/>
      <c r="H474" s="57"/>
    </row>
    <row r="475" ht="15.75" customHeight="1">
      <c r="F475" s="57"/>
      <c r="G475" s="57"/>
      <c r="H475" s="57"/>
    </row>
    <row r="476" ht="15.75" customHeight="1">
      <c r="F476" s="57"/>
      <c r="G476" s="57"/>
      <c r="H476" s="57"/>
    </row>
    <row r="477" ht="15.75" customHeight="1">
      <c r="F477" s="57"/>
      <c r="G477" s="57"/>
      <c r="H477" s="57"/>
    </row>
    <row r="478" ht="15.75" customHeight="1">
      <c r="F478" s="57"/>
      <c r="G478" s="57"/>
      <c r="H478" s="57"/>
    </row>
    <row r="479" ht="15.75" customHeight="1">
      <c r="F479" s="57"/>
      <c r="G479" s="57"/>
      <c r="H479" s="57"/>
    </row>
    <row r="480" ht="15.75" customHeight="1">
      <c r="F480" s="57"/>
      <c r="G480" s="57"/>
      <c r="H480" s="57"/>
    </row>
    <row r="481" ht="15.75" customHeight="1">
      <c r="F481" s="57"/>
      <c r="G481" s="57"/>
      <c r="H481" s="57"/>
    </row>
    <row r="482" ht="15.75" customHeight="1">
      <c r="F482" s="57"/>
      <c r="G482" s="57"/>
      <c r="H482" s="57"/>
    </row>
    <row r="483" ht="15.75" customHeight="1">
      <c r="F483" s="57"/>
      <c r="G483" s="57"/>
      <c r="H483" s="57"/>
    </row>
    <row r="484" ht="15.75" customHeight="1">
      <c r="F484" s="57"/>
      <c r="G484" s="57"/>
      <c r="H484" s="57"/>
    </row>
    <row r="485" ht="15.75" customHeight="1">
      <c r="F485" s="57"/>
      <c r="G485" s="57"/>
      <c r="H485" s="57"/>
    </row>
    <row r="486" ht="15.75" customHeight="1">
      <c r="F486" s="57"/>
      <c r="G486" s="57"/>
      <c r="H486" s="57"/>
    </row>
    <row r="487" ht="15.75" customHeight="1">
      <c r="F487" s="57"/>
      <c r="G487" s="57"/>
      <c r="H487" s="57"/>
    </row>
    <row r="488" ht="15.75" customHeight="1">
      <c r="F488" s="57"/>
      <c r="G488" s="57"/>
      <c r="H488" s="57"/>
    </row>
    <row r="489" ht="15.75" customHeight="1">
      <c r="F489" s="57"/>
      <c r="G489" s="57"/>
      <c r="H489" s="57"/>
    </row>
    <row r="490" ht="15.75" customHeight="1">
      <c r="F490" s="57"/>
      <c r="G490" s="57"/>
      <c r="H490" s="57"/>
    </row>
    <row r="491" ht="15.75" customHeight="1">
      <c r="F491" s="57"/>
      <c r="G491" s="57"/>
      <c r="H491" s="57"/>
    </row>
    <row r="492" ht="15.75" customHeight="1">
      <c r="F492" s="57"/>
      <c r="G492" s="57"/>
      <c r="H492" s="57"/>
    </row>
    <row r="493" ht="15.75" customHeight="1">
      <c r="F493" s="57"/>
      <c r="G493" s="57"/>
      <c r="H493" s="57"/>
    </row>
    <row r="494" ht="15.75" customHeight="1">
      <c r="F494" s="57"/>
      <c r="G494" s="57"/>
      <c r="H494" s="57"/>
    </row>
    <row r="495" ht="15.75" customHeight="1">
      <c r="F495" s="57"/>
      <c r="G495" s="57"/>
      <c r="H495" s="57"/>
    </row>
    <row r="496" ht="15.75" customHeight="1">
      <c r="F496" s="57"/>
      <c r="G496" s="57"/>
      <c r="H496" s="57"/>
    </row>
    <row r="497" ht="15.75" customHeight="1">
      <c r="F497" s="57"/>
      <c r="G497" s="57"/>
      <c r="H497" s="57"/>
    </row>
    <row r="498" ht="15.75" customHeight="1">
      <c r="F498" s="57"/>
      <c r="G498" s="57"/>
      <c r="H498" s="57"/>
    </row>
    <row r="499" ht="15.75" customHeight="1">
      <c r="F499" s="57"/>
      <c r="G499" s="57"/>
      <c r="H499" s="57"/>
    </row>
    <row r="500" ht="15.75" customHeight="1">
      <c r="F500" s="57"/>
      <c r="G500" s="57"/>
      <c r="H500" s="57"/>
    </row>
    <row r="501" ht="15.75" customHeight="1">
      <c r="F501" s="57"/>
      <c r="G501" s="57"/>
      <c r="H501" s="57"/>
    </row>
    <row r="502" ht="15.75" customHeight="1">
      <c r="F502" s="57"/>
      <c r="G502" s="57"/>
      <c r="H502" s="57"/>
    </row>
    <row r="503" ht="15.75" customHeight="1">
      <c r="F503" s="57"/>
      <c r="G503" s="57"/>
      <c r="H503" s="57"/>
    </row>
    <row r="504" ht="15.75" customHeight="1">
      <c r="F504" s="57"/>
      <c r="G504" s="57"/>
      <c r="H504" s="57"/>
    </row>
    <row r="505" ht="15.75" customHeight="1">
      <c r="F505" s="57"/>
      <c r="G505" s="57"/>
      <c r="H505" s="57"/>
    </row>
    <row r="506" ht="15.75" customHeight="1">
      <c r="F506" s="57"/>
      <c r="G506" s="57"/>
      <c r="H506" s="57"/>
    </row>
    <row r="507" ht="15.75" customHeight="1">
      <c r="F507" s="57"/>
      <c r="G507" s="57"/>
      <c r="H507" s="57"/>
    </row>
    <row r="508" ht="15.75" customHeight="1">
      <c r="F508" s="57"/>
      <c r="G508" s="57"/>
      <c r="H508" s="57"/>
    </row>
    <row r="509" ht="15.75" customHeight="1">
      <c r="F509" s="57"/>
      <c r="G509" s="57"/>
      <c r="H509" s="57"/>
    </row>
    <row r="510" ht="15.75" customHeight="1">
      <c r="F510" s="57"/>
      <c r="G510" s="57"/>
      <c r="H510" s="57"/>
    </row>
    <row r="511" ht="15.75" customHeight="1">
      <c r="F511" s="57"/>
      <c r="G511" s="57"/>
      <c r="H511" s="57"/>
    </row>
    <row r="512" ht="15.75" customHeight="1">
      <c r="F512" s="57"/>
      <c r="G512" s="57"/>
      <c r="H512" s="57"/>
    </row>
    <row r="513" ht="15.75" customHeight="1">
      <c r="F513" s="57"/>
      <c r="G513" s="57"/>
      <c r="H513" s="57"/>
    </row>
    <row r="514" ht="15.75" customHeight="1">
      <c r="F514" s="57"/>
      <c r="G514" s="57"/>
      <c r="H514" s="57"/>
    </row>
    <row r="515" ht="15.75" customHeight="1">
      <c r="F515" s="57"/>
      <c r="G515" s="57"/>
      <c r="H515" s="57"/>
    </row>
    <row r="516" ht="15.75" customHeight="1">
      <c r="F516" s="57"/>
      <c r="G516" s="57"/>
      <c r="H516" s="57"/>
    </row>
    <row r="517" ht="15.75" customHeight="1">
      <c r="F517" s="57"/>
      <c r="G517" s="57"/>
      <c r="H517" s="57"/>
    </row>
    <row r="518" ht="15.75" customHeight="1">
      <c r="F518" s="57"/>
      <c r="G518" s="57"/>
      <c r="H518" s="57"/>
    </row>
    <row r="519" ht="15.75" customHeight="1">
      <c r="F519" s="57"/>
      <c r="G519" s="57"/>
      <c r="H519" s="57"/>
    </row>
    <row r="520" ht="15.75" customHeight="1">
      <c r="F520" s="57"/>
      <c r="G520" s="57"/>
      <c r="H520" s="57"/>
    </row>
    <row r="521" ht="15.75" customHeight="1">
      <c r="F521" s="57"/>
      <c r="G521" s="57"/>
      <c r="H521" s="57"/>
    </row>
    <row r="522" ht="15.75" customHeight="1">
      <c r="F522" s="57"/>
      <c r="G522" s="57"/>
      <c r="H522" s="57"/>
    </row>
    <row r="523" ht="15.75" customHeight="1">
      <c r="F523" s="57"/>
      <c r="G523" s="57"/>
      <c r="H523" s="57"/>
    </row>
    <row r="524" ht="15.75" customHeight="1">
      <c r="F524" s="57"/>
      <c r="G524" s="57"/>
      <c r="H524" s="57"/>
    </row>
    <row r="525" ht="15.75" customHeight="1">
      <c r="F525" s="57"/>
      <c r="G525" s="57"/>
      <c r="H525" s="57"/>
    </row>
    <row r="526" ht="15.75" customHeight="1">
      <c r="F526" s="57"/>
      <c r="G526" s="57"/>
      <c r="H526" s="57"/>
    </row>
    <row r="527" ht="15.75" customHeight="1">
      <c r="F527" s="57"/>
      <c r="G527" s="57"/>
      <c r="H527" s="57"/>
    </row>
    <row r="528" ht="15.75" customHeight="1">
      <c r="F528" s="57"/>
      <c r="G528" s="57"/>
      <c r="H528" s="57"/>
    </row>
    <row r="529" ht="15.75" customHeight="1">
      <c r="F529" s="57"/>
      <c r="G529" s="57"/>
      <c r="H529" s="57"/>
    </row>
    <row r="530" ht="15.75" customHeight="1">
      <c r="F530" s="57"/>
      <c r="G530" s="57"/>
      <c r="H530" s="57"/>
    </row>
    <row r="531" ht="15.75" customHeight="1">
      <c r="F531" s="57"/>
      <c r="G531" s="57"/>
      <c r="H531" s="57"/>
    </row>
    <row r="532" ht="15.75" customHeight="1">
      <c r="F532" s="57"/>
      <c r="G532" s="57"/>
      <c r="H532" s="57"/>
    </row>
    <row r="533" ht="15.75" customHeight="1">
      <c r="F533" s="57"/>
      <c r="G533" s="57"/>
      <c r="H533" s="57"/>
    </row>
    <row r="534" ht="15.75" customHeight="1">
      <c r="F534" s="57"/>
      <c r="G534" s="57"/>
      <c r="H534" s="57"/>
    </row>
    <row r="535" ht="15.75" customHeight="1">
      <c r="F535" s="57"/>
      <c r="G535" s="57"/>
      <c r="H535" s="57"/>
    </row>
    <row r="536" ht="15.75" customHeight="1">
      <c r="F536" s="57"/>
      <c r="G536" s="57"/>
      <c r="H536" s="57"/>
    </row>
    <row r="537" ht="15.75" customHeight="1">
      <c r="F537" s="57"/>
      <c r="G537" s="57"/>
      <c r="H537" s="57"/>
    </row>
    <row r="538" ht="15.75" customHeight="1">
      <c r="F538" s="57"/>
      <c r="G538" s="57"/>
      <c r="H538" s="57"/>
    </row>
    <row r="539" ht="15.75" customHeight="1">
      <c r="F539" s="57"/>
      <c r="G539" s="57"/>
      <c r="H539" s="57"/>
    </row>
    <row r="540" ht="15.75" customHeight="1">
      <c r="F540" s="57"/>
      <c r="G540" s="57"/>
      <c r="H540" s="57"/>
    </row>
    <row r="541" ht="15.75" customHeight="1">
      <c r="F541" s="57"/>
      <c r="G541" s="57"/>
      <c r="H541" s="57"/>
    </row>
    <row r="542" ht="15.75" customHeight="1">
      <c r="F542" s="57"/>
      <c r="G542" s="57"/>
      <c r="H542" s="57"/>
    </row>
    <row r="543" ht="15.75" customHeight="1">
      <c r="F543" s="57"/>
      <c r="G543" s="57"/>
      <c r="H543" s="57"/>
    </row>
    <row r="544" ht="15.75" customHeight="1">
      <c r="F544" s="57"/>
      <c r="G544" s="57"/>
      <c r="H544" s="57"/>
    </row>
    <row r="545" ht="15.75" customHeight="1">
      <c r="F545" s="57"/>
      <c r="G545" s="57"/>
      <c r="H545" s="57"/>
    </row>
    <row r="546" ht="15.75" customHeight="1">
      <c r="F546" s="57"/>
      <c r="G546" s="57"/>
      <c r="H546" s="57"/>
    </row>
    <row r="547" ht="15.75" customHeight="1">
      <c r="F547" s="57"/>
      <c r="G547" s="57"/>
      <c r="H547" s="57"/>
    </row>
    <row r="548" ht="15.75" customHeight="1">
      <c r="F548" s="57"/>
      <c r="G548" s="57"/>
      <c r="H548" s="57"/>
    </row>
    <row r="549" ht="15.75" customHeight="1">
      <c r="F549" s="57"/>
      <c r="G549" s="57"/>
      <c r="H549" s="57"/>
    </row>
    <row r="550" ht="15.75" customHeight="1">
      <c r="F550" s="57"/>
      <c r="G550" s="57"/>
      <c r="H550" s="57"/>
    </row>
    <row r="551" ht="15.75" customHeight="1">
      <c r="F551" s="57"/>
      <c r="G551" s="57"/>
      <c r="H551" s="57"/>
    </row>
    <row r="552" ht="15.75" customHeight="1">
      <c r="F552" s="57"/>
      <c r="G552" s="57"/>
      <c r="H552" s="57"/>
    </row>
    <row r="553" ht="15.75" customHeight="1">
      <c r="F553" s="57"/>
      <c r="G553" s="57"/>
      <c r="H553" s="57"/>
    </row>
    <row r="554" ht="15.75" customHeight="1">
      <c r="F554" s="57"/>
      <c r="G554" s="57"/>
      <c r="H554" s="57"/>
    </row>
    <row r="555" ht="15.75" customHeight="1">
      <c r="F555" s="57"/>
      <c r="G555" s="57"/>
      <c r="H555" s="57"/>
    </row>
    <row r="556" ht="15.75" customHeight="1">
      <c r="F556" s="57"/>
      <c r="G556" s="57"/>
      <c r="H556" s="57"/>
    </row>
    <row r="557" ht="15.75" customHeight="1">
      <c r="F557" s="57"/>
      <c r="G557" s="57"/>
      <c r="H557" s="57"/>
    </row>
    <row r="558" ht="15.75" customHeight="1">
      <c r="F558" s="57"/>
      <c r="G558" s="57"/>
      <c r="H558" s="57"/>
    </row>
    <row r="559" ht="15.75" customHeight="1">
      <c r="F559" s="57"/>
      <c r="G559" s="57"/>
      <c r="H559" s="57"/>
    </row>
    <row r="560" ht="15.75" customHeight="1">
      <c r="F560" s="57"/>
      <c r="G560" s="57"/>
      <c r="H560" s="57"/>
    </row>
    <row r="561" ht="15.75" customHeight="1">
      <c r="F561" s="57"/>
      <c r="G561" s="57"/>
      <c r="H561" s="57"/>
    </row>
    <row r="562" ht="15.75" customHeight="1">
      <c r="F562" s="57"/>
      <c r="G562" s="57"/>
      <c r="H562" s="57"/>
    </row>
    <row r="563" ht="15.75" customHeight="1">
      <c r="F563" s="57"/>
      <c r="G563" s="57"/>
      <c r="H563" s="57"/>
    </row>
    <row r="564" ht="15.75" customHeight="1">
      <c r="F564" s="57"/>
      <c r="G564" s="57"/>
      <c r="H564" s="57"/>
    </row>
    <row r="565" ht="15.75" customHeight="1">
      <c r="F565" s="57"/>
      <c r="G565" s="57"/>
      <c r="H565" s="57"/>
    </row>
    <row r="566" ht="15.75" customHeight="1">
      <c r="F566" s="57"/>
      <c r="G566" s="57"/>
      <c r="H566" s="57"/>
    </row>
    <row r="567" ht="15.75" customHeight="1">
      <c r="F567" s="57"/>
      <c r="G567" s="57"/>
      <c r="H567" s="57"/>
    </row>
    <row r="568" ht="15.75" customHeight="1">
      <c r="F568" s="57"/>
      <c r="G568" s="57"/>
      <c r="H568" s="57"/>
    </row>
    <row r="569" ht="15.75" customHeight="1">
      <c r="F569" s="57"/>
      <c r="G569" s="57"/>
      <c r="H569" s="57"/>
    </row>
    <row r="570" ht="15.75" customHeight="1">
      <c r="F570" s="57"/>
      <c r="G570" s="57"/>
      <c r="H570" s="57"/>
    </row>
    <row r="571" ht="15.75" customHeight="1">
      <c r="F571" s="57"/>
      <c r="G571" s="57"/>
      <c r="H571" s="57"/>
    </row>
    <row r="572" ht="15.75" customHeight="1">
      <c r="F572" s="57"/>
      <c r="G572" s="57"/>
      <c r="H572" s="57"/>
    </row>
    <row r="573" ht="15.75" customHeight="1">
      <c r="F573" s="57"/>
      <c r="G573" s="57"/>
      <c r="H573" s="57"/>
    </row>
    <row r="574" ht="15.75" customHeight="1">
      <c r="F574" s="57"/>
      <c r="G574" s="57"/>
      <c r="H574" s="57"/>
    </row>
    <row r="575" ht="15.75" customHeight="1">
      <c r="F575" s="57"/>
      <c r="G575" s="57"/>
      <c r="H575" s="57"/>
    </row>
    <row r="576" ht="15.75" customHeight="1">
      <c r="F576" s="57"/>
      <c r="G576" s="57"/>
      <c r="H576" s="57"/>
    </row>
    <row r="577" ht="15.75" customHeight="1">
      <c r="F577" s="57"/>
      <c r="G577" s="57"/>
      <c r="H577" s="57"/>
    </row>
    <row r="578" ht="15.75" customHeight="1">
      <c r="F578" s="57"/>
      <c r="G578" s="57"/>
      <c r="H578" s="57"/>
    </row>
    <row r="579" ht="15.75" customHeight="1">
      <c r="F579" s="57"/>
      <c r="G579" s="57"/>
      <c r="H579" s="57"/>
    </row>
    <row r="580" ht="15.75" customHeight="1">
      <c r="F580" s="57"/>
      <c r="G580" s="57"/>
      <c r="H580" s="57"/>
    </row>
    <row r="581" ht="15.75" customHeight="1">
      <c r="F581" s="57"/>
      <c r="G581" s="57"/>
      <c r="H581" s="57"/>
    </row>
    <row r="582" ht="15.75" customHeight="1">
      <c r="F582" s="57"/>
      <c r="G582" s="57"/>
      <c r="H582" s="57"/>
    </row>
    <row r="583" ht="15.75" customHeight="1">
      <c r="F583" s="57"/>
      <c r="G583" s="57"/>
      <c r="H583" s="57"/>
    </row>
    <row r="584" ht="15.75" customHeight="1">
      <c r="F584" s="57"/>
      <c r="G584" s="57"/>
      <c r="H584" s="57"/>
    </row>
    <row r="585" ht="15.75" customHeight="1">
      <c r="F585" s="57"/>
      <c r="G585" s="57"/>
      <c r="H585" s="57"/>
    </row>
    <row r="586" ht="15.75" customHeight="1">
      <c r="F586" s="57"/>
      <c r="G586" s="57"/>
      <c r="H586" s="57"/>
    </row>
    <row r="587" ht="15.75" customHeight="1">
      <c r="F587" s="57"/>
      <c r="G587" s="57"/>
      <c r="H587" s="57"/>
    </row>
    <row r="588" ht="15.75" customHeight="1">
      <c r="F588" s="57"/>
      <c r="G588" s="57"/>
      <c r="H588" s="57"/>
    </row>
    <row r="589" ht="15.75" customHeight="1">
      <c r="F589" s="57"/>
      <c r="G589" s="57"/>
      <c r="H589" s="57"/>
    </row>
    <row r="590" ht="15.75" customHeight="1">
      <c r="F590" s="57"/>
      <c r="G590" s="57"/>
      <c r="H590" s="57"/>
    </row>
    <row r="591" ht="15.75" customHeight="1">
      <c r="F591" s="57"/>
      <c r="G591" s="57"/>
      <c r="H591" s="57"/>
    </row>
    <row r="592" ht="15.75" customHeight="1">
      <c r="F592" s="57"/>
      <c r="G592" s="57"/>
      <c r="H592" s="57"/>
    </row>
    <row r="593" ht="15.75" customHeight="1">
      <c r="F593" s="57"/>
      <c r="G593" s="57"/>
      <c r="H593" s="57"/>
    </row>
    <row r="594" ht="15.75" customHeight="1">
      <c r="F594" s="57"/>
      <c r="G594" s="57"/>
      <c r="H594" s="57"/>
    </row>
    <row r="595" ht="15.75" customHeight="1">
      <c r="F595" s="57"/>
      <c r="G595" s="57"/>
      <c r="H595" s="57"/>
    </row>
    <row r="596" ht="15.75" customHeight="1">
      <c r="F596" s="57"/>
      <c r="G596" s="57"/>
      <c r="H596" s="57"/>
    </row>
    <row r="597" ht="15.75" customHeight="1">
      <c r="F597" s="57"/>
      <c r="G597" s="57"/>
      <c r="H597" s="57"/>
    </row>
    <row r="598" ht="15.75" customHeight="1">
      <c r="F598" s="57"/>
      <c r="G598" s="57"/>
      <c r="H598" s="57"/>
    </row>
    <row r="599" ht="15.75" customHeight="1">
      <c r="F599" s="57"/>
      <c r="G599" s="57"/>
      <c r="H599" s="57"/>
    </row>
    <row r="600" ht="15.75" customHeight="1">
      <c r="F600" s="57"/>
      <c r="G600" s="57"/>
      <c r="H600" s="57"/>
    </row>
    <row r="601" ht="15.75" customHeight="1">
      <c r="F601" s="57"/>
      <c r="G601" s="57"/>
      <c r="H601" s="57"/>
    </row>
    <row r="602" ht="15.75" customHeight="1">
      <c r="F602" s="57"/>
      <c r="G602" s="57"/>
      <c r="H602" s="57"/>
    </row>
    <row r="603" ht="15.75" customHeight="1">
      <c r="F603" s="57"/>
      <c r="G603" s="57"/>
      <c r="H603" s="57"/>
    </row>
    <row r="604" ht="15.75" customHeight="1">
      <c r="F604" s="57"/>
      <c r="G604" s="57"/>
      <c r="H604" s="57"/>
    </row>
    <row r="605" ht="15.75" customHeight="1">
      <c r="F605" s="57"/>
      <c r="G605" s="57"/>
      <c r="H605" s="57"/>
    </row>
    <row r="606" ht="15.75" customHeight="1">
      <c r="F606" s="57"/>
      <c r="G606" s="57"/>
      <c r="H606" s="57"/>
    </row>
    <row r="607" ht="15.75" customHeight="1">
      <c r="F607" s="57"/>
      <c r="G607" s="57"/>
      <c r="H607" s="57"/>
    </row>
    <row r="608" ht="15.75" customHeight="1">
      <c r="F608" s="57"/>
      <c r="G608" s="57"/>
      <c r="H608" s="57"/>
    </row>
    <row r="609" ht="15.75" customHeight="1">
      <c r="F609" s="57"/>
      <c r="G609" s="57"/>
      <c r="H609" s="57"/>
    </row>
    <row r="610" ht="15.75" customHeight="1">
      <c r="F610" s="57"/>
      <c r="G610" s="57"/>
      <c r="H610" s="57"/>
    </row>
    <row r="611" ht="15.75" customHeight="1">
      <c r="F611" s="57"/>
      <c r="G611" s="57"/>
      <c r="H611" s="57"/>
    </row>
    <row r="612" ht="15.75" customHeight="1">
      <c r="F612" s="57"/>
      <c r="G612" s="57"/>
      <c r="H612" s="57"/>
    </row>
    <row r="613" ht="15.75" customHeight="1">
      <c r="F613" s="57"/>
      <c r="G613" s="57"/>
      <c r="H613" s="57"/>
    </row>
    <row r="614" ht="15.75" customHeight="1">
      <c r="F614" s="57"/>
      <c r="G614" s="57"/>
      <c r="H614" s="57"/>
    </row>
    <row r="615" ht="15.75" customHeight="1">
      <c r="F615" s="57"/>
      <c r="G615" s="57"/>
      <c r="H615" s="57"/>
    </row>
    <row r="616" ht="15.75" customHeight="1">
      <c r="F616" s="57"/>
      <c r="G616" s="57"/>
      <c r="H616" s="57"/>
    </row>
    <row r="617" ht="15.75" customHeight="1">
      <c r="F617" s="57"/>
      <c r="G617" s="57"/>
      <c r="H617" s="57"/>
    </row>
    <row r="618" ht="15.75" customHeight="1">
      <c r="F618" s="57"/>
      <c r="G618" s="57"/>
      <c r="H618" s="57"/>
    </row>
    <row r="619" ht="15.75" customHeight="1">
      <c r="F619" s="57"/>
      <c r="G619" s="57"/>
      <c r="H619" s="57"/>
    </row>
    <row r="620" ht="15.75" customHeight="1">
      <c r="F620" s="57"/>
      <c r="G620" s="57"/>
      <c r="H620" s="57"/>
    </row>
    <row r="621" ht="15.75" customHeight="1">
      <c r="F621" s="57"/>
      <c r="G621" s="57"/>
      <c r="H621" s="57"/>
    </row>
    <row r="622" ht="15.75" customHeight="1">
      <c r="F622" s="57"/>
      <c r="G622" s="57"/>
      <c r="H622" s="57"/>
    </row>
    <row r="623" ht="15.75" customHeight="1">
      <c r="F623" s="57"/>
      <c r="G623" s="57"/>
      <c r="H623" s="57"/>
    </row>
    <row r="624" ht="15.75" customHeight="1">
      <c r="F624" s="57"/>
      <c r="G624" s="57"/>
      <c r="H624" s="57"/>
    </row>
    <row r="625" ht="15.75" customHeight="1">
      <c r="F625" s="57"/>
      <c r="G625" s="57"/>
      <c r="H625" s="57"/>
    </row>
    <row r="626" ht="15.75" customHeight="1">
      <c r="F626" s="57"/>
      <c r="G626" s="57"/>
      <c r="H626" s="57"/>
    </row>
    <row r="627" ht="15.75" customHeight="1">
      <c r="F627" s="57"/>
      <c r="G627" s="57"/>
      <c r="H627" s="57"/>
    </row>
    <row r="628" ht="15.75" customHeight="1">
      <c r="F628" s="57"/>
      <c r="G628" s="57"/>
      <c r="H628" s="57"/>
    </row>
    <row r="629" ht="15.75" customHeight="1">
      <c r="F629" s="57"/>
      <c r="G629" s="57"/>
      <c r="H629" s="57"/>
    </row>
    <row r="630" ht="15.75" customHeight="1">
      <c r="F630" s="57"/>
      <c r="G630" s="57"/>
      <c r="H630" s="57"/>
    </row>
    <row r="631" ht="15.75" customHeight="1">
      <c r="F631" s="57"/>
      <c r="G631" s="57"/>
      <c r="H631" s="57"/>
    </row>
    <row r="632" ht="15.75" customHeight="1">
      <c r="F632" s="57"/>
      <c r="G632" s="57"/>
      <c r="H632" s="57"/>
    </row>
    <row r="633" ht="15.75" customHeight="1">
      <c r="F633" s="57"/>
      <c r="G633" s="57"/>
      <c r="H633" s="57"/>
    </row>
    <row r="634" ht="15.75" customHeight="1">
      <c r="F634" s="57"/>
      <c r="G634" s="57"/>
      <c r="H634" s="57"/>
    </row>
    <row r="635" ht="15.75" customHeight="1">
      <c r="F635" s="57"/>
      <c r="G635" s="57"/>
      <c r="H635" s="57"/>
    </row>
    <row r="636" ht="15.75" customHeight="1">
      <c r="F636" s="57"/>
      <c r="G636" s="57"/>
      <c r="H636" s="57"/>
    </row>
    <row r="637" ht="15.75" customHeight="1">
      <c r="F637" s="57"/>
      <c r="G637" s="57"/>
      <c r="H637" s="57"/>
    </row>
    <row r="638" ht="15.75" customHeight="1">
      <c r="F638" s="57"/>
      <c r="G638" s="57"/>
      <c r="H638" s="57"/>
    </row>
    <row r="639" ht="15.75" customHeight="1">
      <c r="F639" s="57"/>
      <c r="G639" s="57"/>
      <c r="H639" s="57"/>
    </row>
    <row r="640" ht="15.75" customHeight="1">
      <c r="F640" s="57"/>
      <c r="G640" s="57"/>
      <c r="H640" s="57"/>
    </row>
    <row r="641" ht="15.75" customHeight="1">
      <c r="F641" s="57"/>
      <c r="G641" s="57"/>
      <c r="H641" s="57"/>
    </row>
    <row r="642" ht="15.75" customHeight="1">
      <c r="F642" s="57"/>
      <c r="G642" s="57"/>
      <c r="H642" s="57"/>
    </row>
    <row r="643" ht="15.75" customHeight="1">
      <c r="F643" s="57"/>
      <c r="G643" s="57"/>
      <c r="H643" s="57"/>
    </row>
    <row r="644" ht="15.75" customHeight="1">
      <c r="F644" s="57"/>
      <c r="G644" s="57"/>
      <c r="H644" s="57"/>
    </row>
    <row r="645" ht="15.75" customHeight="1">
      <c r="F645" s="57"/>
      <c r="G645" s="57"/>
      <c r="H645" s="57"/>
    </row>
    <row r="646" ht="15.75" customHeight="1">
      <c r="F646" s="57"/>
      <c r="G646" s="57"/>
      <c r="H646" s="57"/>
    </row>
    <row r="647" ht="15.75" customHeight="1">
      <c r="F647" s="57"/>
      <c r="G647" s="57"/>
      <c r="H647" s="57"/>
    </row>
    <row r="648" ht="15.75" customHeight="1">
      <c r="F648" s="57"/>
      <c r="G648" s="57"/>
      <c r="H648" s="57"/>
    </row>
    <row r="649" ht="15.75" customHeight="1">
      <c r="F649" s="57"/>
      <c r="G649" s="57"/>
      <c r="H649" s="57"/>
    </row>
    <row r="650" ht="15.75" customHeight="1">
      <c r="F650" s="57"/>
      <c r="G650" s="57"/>
      <c r="H650" s="57"/>
    </row>
    <row r="651" ht="15.75" customHeight="1">
      <c r="F651" s="57"/>
      <c r="G651" s="57"/>
      <c r="H651" s="57"/>
    </row>
    <row r="652" ht="15.75" customHeight="1">
      <c r="F652" s="57"/>
      <c r="G652" s="57"/>
      <c r="H652" s="57"/>
    </row>
    <row r="653" ht="15.75" customHeight="1">
      <c r="F653" s="57"/>
      <c r="G653" s="57"/>
      <c r="H653" s="57"/>
    </row>
    <row r="654" ht="15.75" customHeight="1">
      <c r="F654" s="57"/>
      <c r="G654" s="57"/>
      <c r="H654" s="57"/>
    </row>
    <row r="655" ht="15.75" customHeight="1">
      <c r="F655" s="57"/>
      <c r="G655" s="57"/>
      <c r="H655" s="57"/>
    </row>
    <row r="656" ht="15.75" customHeight="1">
      <c r="F656" s="57"/>
      <c r="G656" s="57"/>
      <c r="H656" s="57"/>
    </row>
    <row r="657" ht="15.75" customHeight="1">
      <c r="F657" s="57"/>
      <c r="G657" s="57"/>
      <c r="H657" s="57"/>
    </row>
    <row r="658" ht="15.75" customHeight="1">
      <c r="F658" s="57"/>
      <c r="G658" s="57"/>
      <c r="H658" s="57"/>
    </row>
    <row r="659" ht="15.75" customHeight="1">
      <c r="F659" s="57"/>
      <c r="G659" s="57"/>
      <c r="H659" s="57"/>
    </row>
    <row r="660" ht="15.75" customHeight="1">
      <c r="F660" s="57"/>
      <c r="G660" s="57"/>
      <c r="H660" s="57"/>
    </row>
    <row r="661" ht="15.75" customHeight="1">
      <c r="F661" s="57"/>
      <c r="G661" s="57"/>
      <c r="H661" s="57"/>
    </row>
    <row r="662" ht="15.75" customHeight="1">
      <c r="F662" s="57"/>
      <c r="G662" s="57"/>
      <c r="H662" s="57"/>
    </row>
    <row r="663" ht="15.75" customHeight="1">
      <c r="F663" s="57"/>
      <c r="G663" s="57"/>
      <c r="H663" s="57"/>
    </row>
    <row r="664" ht="15.75" customHeight="1">
      <c r="F664" s="57"/>
      <c r="G664" s="57"/>
      <c r="H664" s="57"/>
    </row>
    <row r="665" ht="15.75" customHeight="1">
      <c r="F665" s="57"/>
      <c r="G665" s="57"/>
      <c r="H665" s="57"/>
    </row>
    <row r="666" ht="15.75" customHeight="1">
      <c r="F666" s="57"/>
      <c r="G666" s="57"/>
      <c r="H666" s="57"/>
    </row>
    <row r="667" ht="15.75" customHeight="1">
      <c r="F667" s="57"/>
      <c r="G667" s="57"/>
      <c r="H667" s="57"/>
    </row>
    <row r="668" ht="15.75" customHeight="1">
      <c r="F668" s="57"/>
      <c r="G668" s="57"/>
      <c r="H668" s="57"/>
    </row>
    <row r="669" ht="15.75" customHeight="1">
      <c r="F669" s="57"/>
      <c r="G669" s="57"/>
      <c r="H669" s="57"/>
    </row>
    <row r="670" ht="15.75" customHeight="1">
      <c r="F670" s="57"/>
      <c r="G670" s="57"/>
      <c r="H670" s="57"/>
    </row>
    <row r="671" ht="15.75" customHeight="1">
      <c r="F671" s="57"/>
      <c r="G671" s="57"/>
      <c r="H671" s="57"/>
    </row>
    <row r="672" ht="15.75" customHeight="1">
      <c r="F672" s="57"/>
      <c r="G672" s="57"/>
      <c r="H672" s="57"/>
    </row>
    <row r="673" ht="15.75" customHeight="1">
      <c r="F673" s="57"/>
      <c r="G673" s="57"/>
      <c r="H673" s="57"/>
    </row>
    <row r="674" ht="15.75" customHeight="1">
      <c r="F674" s="57"/>
      <c r="G674" s="57"/>
      <c r="H674" s="57"/>
    </row>
    <row r="675" ht="15.75" customHeight="1">
      <c r="F675" s="57"/>
      <c r="G675" s="57"/>
      <c r="H675" s="57"/>
    </row>
    <row r="676" ht="15.75" customHeight="1">
      <c r="F676" s="57"/>
      <c r="G676" s="57"/>
      <c r="H676" s="57"/>
    </row>
    <row r="677" ht="15.75" customHeight="1">
      <c r="F677" s="57"/>
      <c r="G677" s="57"/>
      <c r="H677" s="57"/>
    </row>
    <row r="678" ht="15.75" customHeight="1">
      <c r="F678" s="57"/>
      <c r="G678" s="57"/>
      <c r="H678" s="57"/>
    </row>
    <row r="679" ht="15.75" customHeight="1">
      <c r="F679" s="57"/>
      <c r="G679" s="57"/>
      <c r="H679" s="57"/>
    </row>
    <row r="680" ht="15.75" customHeight="1">
      <c r="F680" s="57"/>
      <c r="G680" s="57"/>
      <c r="H680" s="57"/>
    </row>
    <row r="681" ht="15.75" customHeight="1">
      <c r="F681" s="57"/>
      <c r="G681" s="57"/>
      <c r="H681" s="57"/>
    </row>
    <row r="682" ht="15.75" customHeight="1">
      <c r="F682" s="57"/>
      <c r="G682" s="57"/>
      <c r="H682" s="57"/>
    </row>
    <row r="683" ht="15.75" customHeight="1">
      <c r="F683" s="57"/>
      <c r="G683" s="57"/>
      <c r="H683" s="57"/>
    </row>
    <row r="684" ht="15.75" customHeight="1">
      <c r="F684" s="57"/>
      <c r="G684" s="57"/>
      <c r="H684" s="57"/>
    </row>
    <row r="685" ht="15.75" customHeight="1">
      <c r="F685" s="57"/>
      <c r="G685" s="57"/>
      <c r="H685" s="57"/>
    </row>
    <row r="686" ht="15.75" customHeight="1">
      <c r="F686" s="57"/>
      <c r="G686" s="57"/>
      <c r="H686" s="57"/>
    </row>
    <row r="687" ht="15.75" customHeight="1">
      <c r="F687" s="57"/>
      <c r="G687" s="57"/>
      <c r="H687" s="57"/>
    </row>
    <row r="688" ht="15.75" customHeight="1">
      <c r="F688" s="57"/>
      <c r="G688" s="57"/>
      <c r="H688" s="57"/>
    </row>
    <row r="689" ht="15.75" customHeight="1">
      <c r="F689" s="57"/>
      <c r="G689" s="57"/>
      <c r="H689" s="57"/>
    </row>
    <row r="690" ht="15.75" customHeight="1">
      <c r="F690" s="57"/>
      <c r="G690" s="57"/>
      <c r="H690" s="57"/>
    </row>
    <row r="691" ht="15.75" customHeight="1">
      <c r="F691" s="57"/>
      <c r="G691" s="57"/>
      <c r="H691" s="57"/>
    </row>
    <row r="692" ht="15.75" customHeight="1">
      <c r="F692" s="57"/>
      <c r="G692" s="57"/>
      <c r="H692" s="57"/>
    </row>
    <row r="693" ht="15.75" customHeight="1">
      <c r="F693" s="57"/>
      <c r="G693" s="57"/>
      <c r="H693" s="57"/>
    </row>
    <row r="694" ht="15.75" customHeight="1">
      <c r="F694" s="57"/>
      <c r="G694" s="57"/>
      <c r="H694" s="57"/>
    </row>
    <row r="695" ht="15.75" customHeight="1">
      <c r="F695" s="57"/>
      <c r="G695" s="57"/>
      <c r="H695" s="57"/>
    </row>
    <row r="696" ht="15.75" customHeight="1">
      <c r="F696" s="57"/>
      <c r="G696" s="57"/>
      <c r="H696" s="57"/>
    </row>
    <row r="697" ht="15.75" customHeight="1">
      <c r="F697" s="57"/>
      <c r="G697" s="57"/>
      <c r="H697" s="57"/>
    </row>
    <row r="698" ht="15.75" customHeight="1">
      <c r="F698" s="57"/>
      <c r="G698" s="57"/>
      <c r="H698" s="57"/>
    </row>
    <row r="699" ht="15.75" customHeight="1">
      <c r="F699" s="57"/>
      <c r="G699" s="57"/>
      <c r="H699" s="57"/>
    </row>
    <row r="700" ht="15.75" customHeight="1">
      <c r="F700" s="57"/>
      <c r="G700" s="57"/>
      <c r="H700" s="57"/>
    </row>
    <row r="701" ht="15.75" customHeight="1">
      <c r="F701" s="57"/>
      <c r="G701" s="57"/>
      <c r="H701" s="57"/>
    </row>
    <row r="702" ht="15.75" customHeight="1">
      <c r="F702" s="57"/>
      <c r="G702" s="57"/>
      <c r="H702" s="57"/>
    </row>
    <row r="703" ht="15.75" customHeight="1">
      <c r="F703" s="57"/>
      <c r="G703" s="57"/>
      <c r="H703" s="57"/>
    </row>
    <row r="704" ht="15.75" customHeight="1">
      <c r="F704" s="57"/>
      <c r="G704" s="57"/>
      <c r="H704" s="57"/>
    </row>
    <row r="705" ht="15.75" customHeight="1">
      <c r="F705" s="57"/>
      <c r="G705" s="57"/>
      <c r="H705" s="57"/>
    </row>
    <row r="706" ht="15.75" customHeight="1">
      <c r="F706" s="57"/>
      <c r="G706" s="57"/>
      <c r="H706" s="57"/>
    </row>
    <row r="707" ht="15.75" customHeight="1">
      <c r="F707" s="57"/>
      <c r="G707" s="57"/>
      <c r="H707" s="57"/>
    </row>
    <row r="708" ht="15.75" customHeight="1">
      <c r="F708" s="57"/>
      <c r="G708" s="57"/>
      <c r="H708" s="57"/>
    </row>
    <row r="709" ht="15.75" customHeight="1">
      <c r="F709" s="57"/>
      <c r="G709" s="57"/>
      <c r="H709" s="57"/>
    </row>
    <row r="710" ht="15.75" customHeight="1">
      <c r="F710" s="57"/>
      <c r="G710" s="57"/>
      <c r="H710" s="57"/>
    </row>
    <row r="711" ht="15.75" customHeight="1">
      <c r="F711" s="57"/>
      <c r="G711" s="57"/>
      <c r="H711" s="57"/>
    </row>
    <row r="712" ht="15.75" customHeight="1">
      <c r="F712" s="57"/>
      <c r="G712" s="57"/>
      <c r="H712" s="57"/>
    </row>
    <row r="713" ht="15.75" customHeight="1">
      <c r="F713" s="57"/>
      <c r="G713" s="57"/>
      <c r="H713" s="57"/>
    </row>
    <row r="714" ht="15.75" customHeight="1">
      <c r="F714" s="57"/>
      <c r="G714" s="57"/>
      <c r="H714" s="57"/>
    </row>
    <row r="715" ht="15.75" customHeight="1">
      <c r="F715" s="57"/>
      <c r="G715" s="57"/>
      <c r="H715" s="57"/>
    </row>
    <row r="716" ht="15.75" customHeight="1">
      <c r="F716" s="57"/>
      <c r="G716" s="57"/>
      <c r="H716" s="57"/>
    </row>
    <row r="717" ht="15.75" customHeight="1">
      <c r="F717" s="57"/>
      <c r="G717" s="57"/>
      <c r="H717" s="57"/>
    </row>
    <row r="718" ht="15.75" customHeight="1">
      <c r="F718" s="57"/>
      <c r="G718" s="57"/>
      <c r="H718" s="57"/>
    </row>
    <row r="719" ht="15.75" customHeight="1">
      <c r="F719" s="57"/>
      <c r="G719" s="57"/>
      <c r="H719" s="57"/>
    </row>
    <row r="720" ht="15.75" customHeight="1">
      <c r="F720" s="57"/>
      <c r="G720" s="57"/>
      <c r="H720" s="57"/>
    </row>
    <row r="721" ht="15.75" customHeight="1">
      <c r="F721" s="57"/>
      <c r="G721" s="57"/>
      <c r="H721" s="57"/>
    </row>
    <row r="722" ht="15.75" customHeight="1">
      <c r="F722" s="57"/>
      <c r="G722" s="57"/>
      <c r="H722" s="57"/>
    </row>
    <row r="723" ht="15.75" customHeight="1">
      <c r="F723" s="57"/>
      <c r="G723" s="57"/>
      <c r="H723" s="57"/>
    </row>
    <row r="724" ht="15.75" customHeight="1">
      <c r="F724" s="57"/>
      <c r="G724" s="57"/>
      <c r="H724" s="57"/>
    </row>
    <row r="725" ht="15.75" customHeight="1">
      <c r="F725" s="57"/>
      <c r="G725" s="57"/>
      <c r="H725" s="57"/>
    </row>
    <row r="726" ht="15.75" customHeight="1">
      <c r="F726" s="57"/>
      <c r="G726" s="57"/>
      <c r="H726" s="57"/>
    </row>
    <row r="727" ht="15.75" customHeight="1">
      <c r="F727" s="57"/>
      <c r="G727" s="57"/>
      <c r="H727" s="57"/>
    </row>
    <row r="728" ht="15.75" customHeight="1">
      <c r="F728" s="57"/>
      <c r="G728" s="57"/>
      <c r="H728" s="57"/>
    </row>
    <row r="729" ht="15.75" customHeight="1">
      <c r="F729" s="57"/>
      <c r="G729" s="57"/>
      <c r="H729" s="57"/>
    </row>
    <row r="730" ht="15.75" customHeight="1">
      <c r="F730" s="57"/>
      <c r="G730" s="57"/>
      <c r="H730" s="57"/>
    </row>
    <row r="731" ht="15.75" customHeight="1">
      <c r="F731" s="57"/>
      <c r="G731" s="57"/>
      <c r="H731" s="57"/>
    </row>
    <row r="732" ht="15.75" customHeight="1">
      <c r="F732" s="57"/>
      <c r="G732" s="57"/>
      <c r="H732" s="57"/>
    </row>
    <row r="733" ht="15.75" customHeight="1">
      <c r="F733" s="57"/>
      <c r="G733" s="57"/>
      <c r="H733" s="57"/>
    </row>
    <row r="734" ht="15.75" customHeight="1">
      <c r="F734" s="57"/>
      <c r="G734" s="57"/>
      <c r="H734" s="57"/>
    </row>
    <row r="735" ht="15.75" customHeight="1">
      <c r="F735" s="57"/>
      <c r="G735" s="57"/>
      <c r="H735" s="57"/>
    </row>
    <row r="736" ht="15.75" customHeight="1">
      <c r="F736" s="57"/>
      <c r="G736" s="57"/>
      <c r="H736" s="57"/>
    </row>
    <row r="737" ht="15.75" customHeight="1">
      <c r="F737" s="57"/>
      <c r="G737" s="57"/>
      <c r="H737" s="57"/>
    </row>
    <row r="738" ht="15.75" customHeight="1">
      <c r="F738" s="57"/>
      <c r="G738" s="57"/>
      <c r="H738" s="57"/>
    </row>
    <row r="739" ht="15.75" customHeight="1">
      <c r="F739" s="57"/>
      <c r="G739" s="57"/>
      <c r="H739" s="57"/>
    </row>
    <row r="740" ht="15.75" customHeight="1">
      <c r="F740" s="57"/>
      <c r="G740" s="57"/>
      <c r="H740" s="57"/>
    </row>
    <row r="741" ht="15.75" customHeight="1">
      <c r="F741" s="57"/>
      <c r="G741" s="57"/>
      <c r="H741" s="57"/>
    </row>
    <row r="742" ht="15.75" customHeight="1">
      <c r="F742" s="57"/>
      <c r="G742" s="57"/>
      <c r="H742" s="57"/>
    </row>
    <row r="743" ht="15.75" customHeight="1">
      <c r="F743" s="57"/>
      <c r="G743" s="57"/>
      <c r="H743" s="57"/>
    </row>
    <row r="744" ht="15.75" customHeight="1">
      <c r="F744" s="57"/>
      <c r="G744" s="57"/>
      <c r="H744" s="57"/>
    </row>
    <row r="745" ht="15.75" customHeight="1">
      <c r="F745" s="57"/>
      <c r="G745" s="57"/>
      <c r="H745" s="57"/>
    </row>
    <row r="746" ht="15.75" customHeight="1">
      <c r="F746" s="57"/>
      <c r="G746" s="57"/>
      <c r="H746" s="57"/>
    </row>
    <row r="747" ht="15.75" customHeight="1">
      <c r="F747" s="57"/>
      <c r="G747" s="57"/>
      <c r="H747" s="57"/>
    </row>
    <row r="748" ht="15.75" customHeight="1">
      <c r="F748" s="57"/>
      <c r="G748" s="57"/>
      <c r="H748" s="57"/>
    </row>
    <row r="749" ht="15.75" customHeight="1">
      <c r="F749" s="57"/>
      <c r="G749" s="57"/>
      <c r="H749" s="57"/>
    </row>
    <row r="750" ht="15.75" customHeight="1">
      <c r="F750" s="57"/>
      <c r="G750" s="57"/>
      <c r="H750" s="57"/>
    </row>
    <row r="751" ht="15.75" customHeight="1">
      <c r="F751" s="57"/>
      <c r="G751" s="57"/>
      <c r="H751" s="57"/>
    </row>
    <row r="752" ht="15.75" customHeight="1">
      <c r="F752" s="57"/>
      <c r="G752" s="57"/>
      <c r="H752" s="57"/>
    </row>
    <row r="753" ht="15.75" customHeight="1">
      <c r="F753" s="57"/>
      <c r="G753" s="57"/>
      <c r="H753" s="57"/>
    </row>
    <row r="754" ht="15.75" customHeight="1">
      <c r="F754" s="57"/>
      <c r="G754" s="57"/>
      <c r="H754" s="57"/>
    </row>
    <row r="755" ht="15.75" customHeight="1">
      <c r="F755" s="57"/>
      <c r="G755" s="57"/>
      <c r="H755" s="57"/>
    </row>
    <row r="756" ht="15.75" customHeight="1">
      <c r="F756" s="57"/>
      <c r="G756" s="57"/>
      <c r="H756" s="57"/>
    </row>
    <row r="757" ht="15.75" customHeight="1">
      <c r="F757" s="57"/>
      <c r="G757" s="57"/>
      <c r="H757" s="57"/>
    </row>
    <row r="758" ht="15.75" customHeight="1">
      <c r="F758" s="57"/>
      <c r="G758" s="57"/>
      <c r="H758" s="57"/>
    </row>
    <row r="759" ht="15.75" customHeight="1">
      <c r="F759" s="57"/>
      <c r="G759" s="57"/>
      <c r="H759" s="57"/>
    </row>
    <row r="760" ht="15.75" customHeight="1">
      <c r="F760" s="57"/>
      <c r="G760" s="57"/>
      <c r="H760" s="57"/>
    </row>
    <row r="761" ht="15.75" customHeight="1">
      <c r="F761" s="57"/>
      <c r="G761" s="57"/>
      <c r="H761" s="57"/>
    </row>
    <row r="762" ht="15.75" customHeight="1">
      <c r="F762" s="57"/>
      <c r="G762" s="57"/>
      <c r="H762" s="57"/>
    </row>
    <row r="763" ht="15.75" customHeight="1">
      <c r="F763" s="57"/>
      <c r="G763" s="57"/>
      <c r="H763" s="57"/>
    </row>
    <row r="764" ht="15.75" customHeight="1">
      <c r="F764" s="57"/>
      <c r="G764" s="57"/>
      <c r="H764" s="57"/>
    </row>
    <row r="765" ht="15.75" customHeight="1">
      <c r="F765" s="57"/>
      <c r="G765" s="57"/>
      <c r="H765" s="57"/>
    </row>
    <row r="766" ht="15.75" customHeight="1">
      <c r="F766" s="57"/>
      <c r="G766" s="57"/>
      <c r="H766" s="57"/>
    </row>
    <row r="767" ht="15.75" customHeight="1">
      <c r="F767" s="57"/>
      <c r="G767" s="57"/>
      <c r="H767" s="57"/>
    </row>
    <row r="768" ht="15.75" customHeight="1">
      <c r="F768" s="57"/>
      <c r="G768" s="57"/>
      <c r="H768" s="57"/>
    </row>
    <row r="769" ht="15.75" customHeight="1">
      <c r="F769" s="57"/>
      <c r="G769" s="57"/>
      <c r="H769" s="57"/>
    </row>
    <row r="770" ht="15.75" customHeight="1">
      <c r="F770" s="57"/>
      <c r="G770" s="57"/>
      <c r="H770" s="57"/>
    </row>
    <row r="771" ht="15.75" customHeight="1">
      <c r="F771" s="57"/>
      <c r="G771" s="57"/>
      <c r="H771" s="57"/>
    </row>
    <row r="772" ht="15.75" customHeight="1">
      <c r="F772" s="57"/>
      <c r="G772" s="57"/>
      <c r="H772" s="57"/>
    </row>
    <row r="773" ht="15.75" customHeight="1">
      <c r="F773" s="57"/>
      <c r="G773" s="57"/>
      <c r="H773" s="57"/>
    </row>
    <row r="774" ht="15.75" customHeight="1">
      <c r="F774" s="57"/>
      <c r="G774" s="57"/>
      <c r="H774" s="57"/>
    </row>
    <row r="775" ht="15.75" customHeight="1">
      <c r="F775" s="57"/>
      <c r="G775" s="57"/>
      <c r="H775" s="57"/>
    </row>
    <row r="776" ht="15.75" customHeight="1">
      <c r="F776" s="57"/>
      <c r="G776" s="57"/>
      <c r="H776" s="57"/>
    </row>
    <row r="777" ht="15.75" customHeight="1">
      <c r="F777" s="57"/>
      <c r="G777" s="57"/>
      <c r="H777" s="57"/>
    </row>
    <row r="778" ht="15.75" customHeight="1">
      <c r="F778" s="57"/>
      <c r="G778" s="57"/>
      <c r="H778" s="57"/>
    </row>
    <row r="779" ht="15.75" customHeight="1">
      <c r="F779" s="57"/>
      <c r="G779" s="57"/>
      <c r="H779" s="57"/>
    </row>
    <row r="780" ht="15.75" customHeight="1">
      <c r="F780" s="57"/>
      <c r="G780" s="57"/>
      <c r="H780" s="57"/>
    </row>
    <row r="781" ht="15.75" customHeight="1">
      <c r="F781" s="57"/>
      <c r="G781" s="57"/>
      <c r="H781" s="57"/>
    </row>
    <row r="782" ht="15.75" customHeight="1">
      <c r="F782" s="57"/>
      <c r="G782" s="57"/>
      <c r="H782" s="57"/>
    </row>
    <row r="783" ht="15.75" customHeight="1">
      <c r="F783" s="57"/>
      <c r="G783" s="57"/>
      <c r="H783" s="57"/>
    </row>
    <row r="784" ht="15.75" customHeight="1">
      <c r="F784" s="57"/>
      <c r="G784" s="57"/>
      <c r="H784" s="57"/>
    </row>
    <row r="785" ht="15.75" customHeight="1">
      <c r="F785" s="57"/>
      <c r="G785" s="57"/>
      <c r="H785" s="57"/>
    </row>
    <row r="786" ht="15.75" customHeight="1">
      <c r="F786" s="57"/>
      <c r="G786" s="57"/>
      <c r="H786" s="57"/>
    </row>
    <row r="787" ht="15.75" customHeight="1">
      <c r="F787" s="57"/>
      <c r="G787" s="57"/>
      <c r="H787" s="57"/>
    </row>
    <row r="788" ht="15.75" customHeight="1">
      <c r="F788" s="57"/>
      <c r="G788" s="57"/>
      <c r="H788" s="57"/>
    </row>
    <row r="789" ht="15.75" customHeight="1">
      <c r="F789" s="57"/>
      <c r="G789" s="57"/>
      <c r="H789" s="57"/>
    </row>
    <row r="790" ht="15.75" customHeight="1">
      <c r="F790" s="57"/>
      <c r="G790" s="57"/>
      <c r="H790" s="57"/>
    </row>
    <row r="791" ht="15.75" customHeight="1">
      <c r="F791" s="57"/>
      <c r="G791" s="57"/>
      <c r="H791" s="57"/>
    </row>
    <row r="792" ht="15.75" customHeight="1">
      <c r="F792" s="57"/>
      <c r="G792" s="57"/>
      <c r="H792" s="57"/>
    </row>
    <row r="793" ht="15.75" customHeight="1">
      <c r="F793" s="57"/>
      <c r="G793" s="57"/>
      <c r="H793" s="57"/>
    </row>
    <row r="794" ht="15.75" customHeight="1">
      <c r="F794" s="57"/>
      <c r="G794" s="57"/>
      <c r="H794" s="57"/>
    </row>
    <row r="795" ht="15.75" customHeight="1">
      <c r="F795" s="57"/>
      <c r="G795" s="57"/>
      <c r="H795" s="57"/>
    </row>
    <row r="796" ht="15.75" customHeight="1">
      <c r="F796" s="57"/>
      <c r="G796" s="57"/>
      <c r="H796" s="57"/>
    </row>
    <row r="797" ht="15.75" customHeight="1">
      <c r="F797" s="57"/>
      <c r="G797" s="57"/>
      <c r="H797" s="57"/>
    </row>
    <row r="798" ht="15.75" customHeight="1">
      <c r="F798" s="57"/>
      <c r="G798" s="57"/>
      <c r="H798" s="57"/>
    </row>
    <row r="799" ht="15.75" customHeight="1">
      <c r="F799" s="57"/>
      <c r="G799" s="57"/>
      <c r="H799" s="57"/>
    </row>
    <row r="800" ht="15.75" customHeight="1">
      <c r="F800" s="57"/>
      <c r="G800" s="57"/>
      <c r="H800" s="57"/>
    </row>
    <row r="801" ht="15.75" customHeight="1">
      <c r="F801" s="57"/>
      <c r="G801" s="57"/>
      <c r="H801" s="57"/>
    </row>
    <row r="802" ht="15.75" customHeight="1">
      <c r="F802" s="57"/>
      <c r="G802" s="57"/>
      <c r="H802" s="57"/>
    </row>
    <row r="803" ht="15.75" customHeight="1">
      <c r="F803" s="57"/>
      <c r="G803" s="57"/>
      <c r="H803" s="57"/>
    </row>
    <row r="804" ht="15.75" customHeight="1">
      <c r="F804" s="57"/>
      <c r="G804" s="57"/>
      <c r="H804" s="57"/>
    </row>
    <row r="805" ht="15.75" customHeight="1">
      <c r="F805" s="57"/>
      <c r="G805" s="57"/>
      <c r="H805" s="57"/>
    </row>
    <row r="806" ht="15.75" customHeight="1">
      <c r="F806" s="57"/>
      <c r="G806" s="57"/>
      <c r="H806" s="57"/>
    </row>
    <row r="807" ht="15.75" customHeight="1">
      <c r="F807" s="57"/>
      <c r="G807" s="57"/>
      <c r="H807" s="57"/>
    </row>
    <row r="808" ht="15.75" customHeight="1">
      <c r="F808" s="57"/>
      <c r="G808" s="57"/>
      <c r="H808" s="57"/>
    </row>
    <row r="809" ht="15.75" customHeight="1">
      <c r="F809" s="57"/>
      <c r="G809" s="57"/>
      <c r="H809" s="57"/>
    </row>
    <row r="810" ht="15.75" customHeight="1">
      <c r="F810" s="57"/>
      <c r="G810" s="57"/>
      <c r="H810" s="57"/>
    </row>
    <row r="811" ht="15.75" customHeight="1">
      <c r="F811" s="57"/>
      <c r="G811" s="57"/>
      <c r="H811" s="57"/>
    </row>
    <row r="812" ht="15.75" customHeight="1">
      <c r="F812" s="57"/>
      <c r="G812" s="57"/>
      <c r="H812" s="57"/>
    </row>
    <row r="813" ht="15.75" customHeight="1">
      <c r="F813" s="57"/>
      <c r="G813" s="57"/>
      <c r="H813" s="57"/>
    </row>
    <row r="814" ht="15.75" customHeight="1">
      <c r="F814" s="57"/>
      <c r="G814" s="57"/>
      <c r="H814" s="57"/>
    </row>
    <row r="815" ht="15.75" customHeight="1">
      <c r="F815" s="57"/>
      <c r="G815" s="57"/>
      <c r="H815" s="57"/>
    </row>
    <row r="816" ht="15.75" customHeight="1">
      <c r="F816" s="57"/>
      <c r="G816" s="57"/>
      <c r="H816" s="57"/>
    </row>
    <row r="817" ht="15.75" customHeight="1">
      <c r="F817" s="57"/>
      <c r="G817" s="57"/>
      <c r="H817" s="57"/>
    </row>
    <row r="818" ht="15.75" customHeight="1">
      <c r="F818" s="57"/>
      <c r="G818" s="57"/>
      <c r="H818" s="57"/>
    </row>
    <row r="819" ht="15.75" customHeight="1">
      <c r="F819" s="57"/>
      <c r="G819" s="57"/>
      <c r="H819" s="57"/>
    </row>
    <row r="820" ht="15.75" customHeight="1">
      <c r="F820" s="57"/>
      <c r="G820" s="57"/>
      <c r="H820" s="57"/>
    </row>
    <row r="821" ht="15.75" customHeight="1">
      <c r="F821" s="57"/>
      <c r="G821" s="57"/>
      <c r="H821" s="57"/>
    </row>
    <row r="822" ht="15.75" customHeight="1">
      <c r="F822" s="57"/>
      <c r="G822" s="57"/>
      <c r="H822" s="57"/>
    </row>
    <row r="823" ht="15.75" customHeight="1">
      <c r="F823" s="57"/>
      <c r="G823" s="57"/>
      <c r="H823" s="57"/>
    </row>
    <row r="824" ht="15.75" customHeight="1">
      <c r="F824" s="57"/>
      <c r="G824" s="57"/>
      <c r="H824" s="57"/>
    </row>
    <row r="825" ht="15.75" customHeight="1">
      <c r="F825" s="57"/>
      <c r="G825" s="57"/>
      <c r="H825" s="57"/>
    </row>
    <row r="826" ht="15.75" customHeight="1">
      <c r="F826" s="57"/>
      <c r="G826" s="57"/>
      <c r="H826" s="57"/>
    </row>
    <row r="827" ht="15.75" customHeight="1">
      <c r="F827" s="57"/>
      <c r="G827" s="57"/>
      <c r="H827" s="57"/>
    </row>
    <row r="828" ht="15.75" customHeight="1">
      <c r="F828" s="57"/>
      <c r="G828" s="57"/>
      <c r="H828" s="57"/>
    </row>
    <row r="829" ht="15.75" customHeight="1">
      <c r="F829" s="57"/>
      <c r="G829" s="57"/>
      <c r="H829" s="57"/>
    </row>
    <row r="830" ht="15.75" customHeight="1">
      <c r="F830" s="57"/>
      <c r="G830" s="57"/>
      <c r="H830" s="57"/>
    </row>
    <row r="831" ht="15.75" customHeight="1">
      <c r="F831" s="57"/>
      <c r="G831" s="57"/>
      <c r="H831" s="57"/>
    </row>
    <row r="832" ht="15.75" customHeight="1">
      <c r="F832" s="57"/>
      <c r="G832" s="57"/>
      <c r="H832" s="57"/>
    </row>
    <row r="833" ht="15.75" customHeight="1">
      <c r="F833" s="57"/>
      <c r="G833" s="57"/>
      <c r="H833" s="57"/>
    </row>
    <row r="834" ht="15.75" customHeight="1">
      <c r="F834" s="57"/>
      <c r="G834" s="57"/>
      <c r="H834" s="57"/>
    </row>
    <row r="835" ht="15.75" customHeight="1">
      <c r="F835" s="57"/>
      <c r="G835" s="57"/>
      <c r="H835" s="57"/>
    </row>
    <row r="836" ht="15.75" customHeight="1">
      <c r="F836" s="57"/>
      <c r="G836" s="57"/>
      <c r="H836" s="57"/>
    </row>
    <row r="837" ht="15.75" customHeight="1">
      <c r="F837" s="57"/>
      <c r="G837" s="57"/>
      <c r="H837" s="57"/>
    </row>
    <row r="838" ht="15.75" customHeight="1">
      <c r="F838" s="57"/>
      <c r="G838" s="57"/>
      <c r="H838" s="57"/>
    </row>
    <row r="839" ht="15.75" customHeight="1">
      <c r="F839" s="57"/>
      <c r="G839" s="57"/>
      <c r="H839" s="57"/>
    </row>
    <row r="840" ht="15.75" customHeight="1">
      <c r="F840" s="57"/>
      <c r="G840" s="57"/>
      <c r="H840" s="57"/>
    </row>
    <row r="841" ht="15.75" customHeight="1">
      <c r="F841" s="57"/>
      <c r="G841" s="57"/>
      <c r="H841" s="57"/>
    </row>
    <row r="842" ht="15.75" customHeight="1">
      <c r="F842" s="57"/>
      <c r="G842" s="57"/>
      <c r="H842" s="57"/>
    </row>
    <row r="843" ht="15.75" customHeight="1">
      <c r="F843" s="57"/>
      <c r="G843" s="57"/>
      <c r="H843" s="57"/>
    </row>
    <row r="844" ht="15.75" customHeight="1">
      <c r="F844" s="57"/>
      <c r="G844" s="57"/>
      <c r="H844" s="57"/>
    </row>
    <row r="845" ht="15.75" customHeight="1">
      <c r="F845" s="57"/>
      <c r="G845" s="57"/>
      <c r="H845" s="57"/>
    </row>
    <row r="846" ht="15.75" customHeight="1">
      <c r="F846" s="57"/>
      <c r="G846" s="57"/>
      <c r="H846" s="57"/>
    </row>
    <row r="847" ht="15.75" customHeight="1">
      <c r="F847" s="57"/>
      <c r="G847" s="57"/>
      <c r="H847" s="57"/>
    </row>
    <row r="848" ht="15.75" customHeight="1">
      <c r="F848" s="57"/>
      <c r="G848" s="57"/>
      <c r="H848" s="57"/>
    </row>
    <row r="849" ht="15.75" customHeight="1">
      <c r="F849" s="57"/>
      <c r="G849" s="57"/>
      <c r="H849" s="57"/>
    </row>
    <row r="850" ht="15.75" customHeight="1">
      <c r="F850" s="57"/>
      <c r="G850" s="57"/>
      <c r="H850" s="57"/>
    </row>
    <row r="851" ht="15.75" customHeight="1">
      <c r="F851" s="57"/>
      <c r="G851" s="57"/>
      <c r="H851" s="57"/>
    </row>
    <row r="852" ht="15.75" customHeight="1">
      <c r="F852" s="57"/>
      <c r="G852" s="57"/>
      <c r="H852" s="57"/>
    </row>
    <row r="853" ht="15.75" customHeight="1">
      <c r="F853" s="57"/>
      <c r="G853" s="57"/>
      <c r="H853" s="57"/>
    </row>
    <row r="854" ht="15.75" customHeight="1">
      <c r="F854" s="57"/>
      <c r="G854" s="57"/>
      <c r="H854" s="57"/>
    </row>
    <row r="855" ht="15.75" customHeight="1">
      <c r="F855" s="57"/>
      <c r="G855" s="57"/>
      <c r="H855" s="57"/>
    </row>
    <row r="856" ht="15.75" customHeight="1">
      <c r="F856" s="57"/>
      <c r="G856" s="57"/>
      <c r="H856" s="57"/>
    </row>
    <row r="857" ht="15.75" customHeight="1">
      <c r="F857" s="57"/>
      <c r="G857" s="57"/>
      <c r="H857" s="57"/>
    </row>
    <row r="858" ht="15.75" customHeight="1">
      <c r="F858" s="57"/>
      <c r="G858" s="57"/>
      <c r="H858" s="57"/>
    </row>
    <row r="859" ht="15.75" customHeight="1">
      <c r="F859" s="57"/>
      <c r="G859" s="57"/>
      <c r="H859" s="57"/>
    </row>
    <row r="860" ht="15.75" customHeight="1">
      <c r="F860" s="57"/>
      <c r="G860" s="57"/>
      <c r="H860" s="57"/>
    </row>
    <row r="861" ht="15.75" customHeight="1">
      <c r="F861" s="57"/>
      <c r="G861" s="57"/>
      <c r="H861" s="57"/>
    </row>
    <row r="862" ht="15.75" customHeight="1">
      <c r="F862" s="57"/>
      <c r="G862" s="57"/>
      <c r="H862" s="57"/>
    </row>
    <row r="863" ht="15.75" customHeight="1">
      <c r="F863" s="57"/>
      <c r="G863" s="57"/>
      <c r="H863" s="57"/>
    </row>
    <row r="864" ht="15.75" customHeight="1">
      <c r="F864" s="57"/>
      <c r="G864" s="57"/>
      <c r="H864" s="57"/>
    </row>
    <row r="865" ht="15.75" customHeight="1">
      <c r="F865" s="57"/>
      <c r="G865" s="57"/>
      <c r="H865" s="57"/>
    </row>
    <row r="866" ht="15.75" customHeight="1">
      <c r="F866" s="57"/>
      <c r="G866" s="57"/>
      <c r="H866" s="57"/>
    </row>
    <row r="867" ht="15.75" customHeight="1">
      <c r="F867" s="57"/>
      <c r="G867" s="57"/>
      <c r="H867" s="57"/>
    </row>
    <row r="868" ht="15.75" customHeight="1">
      <c r="F868" s="57"/>
      <c r="G868" s="57"/>
      <c r="H868" s="57"/>
    </row>
    <row r="869" ht="15.75" customHeight="1">
      <c r="F869" s="57"/>
      <c r="G869" s="57"/>
      <c r="H869" s="57"/>
    </row>
    <row r="870" ht="15.75" customHeight="1">
      <c r="F870" s="57"/>
      <c r="G870" s="57"/>
      <c r="H870" s="57"/>
    </row>
    <row r="871" ht="15.75" customHeight="1">
      <c r="F871" s="57"/>
      <c r="G871" s="57"/>
      <c r="H871" s="57"/>
    </row>
    <row r="872" ht="15.75" customHeight="1">
      <c r="F872" s="57"/>
      <c r="G872" s="57"/>
      <c r="H872" s="57"/>
    </row>
    <row r="873" ht="15.75" customHeight="1">
      <c r="F873" s="57"/>
      <c r="G873" s="57"/>
      <c r="H873" s="57"/>
    </row>
    <row r="874" ht="15.75" customHeight="1">
      <c r="F874" s="57"/>
      <c r="G874" s="57"/>
      <c r="H874" s="57"/>
    </row>
    <row r="875" ht="15.75" customHeight="1">
      <c r="F875" s="57"/>
      <c r="G875" s="57"/>
      <c r="H875" s="57"/>
    </row>
    <row r="876" ht="15.75" customHeight="1">
      <c r="F876" s="57"/>
      <c r="G876" s="57"/>
      <c r="H876" s="57"/>
    </row>
    <row r="877" ht="15.75" customHeight="1">
      <c r="F877" s="57"/>
      <c r="G877" s="57"/>
      <c r="H877" s="57"/>
    </row>
    <row r="878" ht="15.75" customHeight="1">
      <c r="F878" s="57"/>
      <c r="G878" s="57"/>
      <c r="H878" s="57"/>
    </row>
    <row r="879" ht="15.75" customHeight="1">
      <c r="F879" s="57"/>
      <c r="G879" s="57"/>
      <c r="H879" s="57"/>
    </row>
    <row r="880" ht="15.75" customHeight="1">
      <c r="F880" s="57"/>
      <c r="G880" s="57"/>
      <c r="H880" s="57"/>
    </row>
    <row r="881" ht="15.75" customHeight="1">
      <c r="F881" s="57"/>
      <c r="G881" s="57"/>
      <c r="H881" s="57"/>
    </row>
    <row r="882" ht="15.75" customHeight="1">
      <c r="F882" s="57"/>
      <c r="G882" s="57"/>
      <c r="H882" s="57"/>
    </row>
    <row r="883" ht="15.75" customHeight="1">
      <c r="F883" s="57"/>
      <c r="G883" s="57"/>
      <c r="H883" s="57"/>
    </row>
    <row r="884" ht="15.75" customHeight="1">
      <c r="F884" s="57"/>
      <c r="G884" s="57"/>
      <c r="H884" s="57"/>
    </row>
    <row r="885" ht="15.75" customHeight="1">
      <c r="F885" s="57"/>
      <c r="G885" s="57"/>
      <c r="H885" s="57"/>
    </row>
    <row r="886" ht="15.75" customHeight="1">
      <c r="F886" s="57"/>
      <c r="G886" s="57"/>
      <c r="H886" s="57"/>
    </row>
    <row r="887" ht="15.75" customHeight="1">
      <c r="F887" s="57"/>
      <c r="G887" s="57"/>
      <c r="H887" s="57"/>
    </row>
    <row r="888" ht="15.75" customHeight="1">
      <c r="F888" s="57"/>
      <c r="G888" s="57"/>
      <c r="H888" s="57"/>
    </row>
    <row r="889" ht="15.75" customHeight="1">
      <c r="F889" s="57"/>
      <c r="G889" s="57"/>
      <c r="H889" s="57"/>
    </row>
    <row r="890" ht="15.75" customHeight="1">
      <c r="F890" s="57"/>
      <c r="G890" s="57"/>
      <c r="H890" s="57"/>
    </row>
    <row r="891" ht="15.75" customHeight="1">
      <c r="F891" s="57"/>
      <c r="G891" s="57"/>
      <c r="H891" s="57"/>
    </row>
    <row r="892" ht="15.75" customHeight="1">
      <c r="F892" s="57"/>
      <c r="G892" s="57"/>
      <c r="H892" s="57"/>
    </row>
    <row r="893" ht="15.75" customHeight="1">
      <c r="F893" s="57"/>
      <c r="G893" s="57"/>
      <c r="H893" s="57"/>
    </row>
    <row r="894" ht="15.75" customHeight="1">
      <c r="F894" s="57"/>
      <c r="G894" s="57"/>
      <c r="H894" s="57"/>
    </row>
    <row r="895" ht="15.75" customHeight="1">
      <c r="F895" s="57"/>
      <c r="G895" s="57"/>
      <c r="H895" s="57"/>
    </row>
    <row r="896" ht="15.75" customHeight="1">
      <c r="F896" s="57"/>
      <c r="G896" s="57"/>
      <c r="H896" s="57"/>
    </row>
    <row r="897" ht="15.75" customHeight="1">
      <c r="F897" s="57"/>
      <c r="G897" s="57"/>
      <c r="H897" s="57"/>
    </row>
    <row r="898" ht="15.75" customHeight="1">
      <c r="F898" s="57"/>
      <c r="G898" s="57"/>
      <c r="H898" s="57"/>
    </row>
    <row r="899" ht="15.75" customHeight="1">
      <c r="F899" s="57"/>
      <c r="G899" s="57"/>
      <c r="H899" s="57"/>
    </row>
    <row r="900" ht="15.75" customHeight="1">
      <c r="F900" s="57"/>
      <c r="G900" s="57"/>
      <c r="H900" s="57"/>
    </row>
    <row r="901" ht="15.75" customHeight="1">
      <c r="F901" s="57"/>
      <c r="G901" s="57"/>
      <c r="H901" s="57"/>
    </row>
    <row r="902" ht="15.75" customHeight="1">
      <c r="F902" s="57"/>
      <c r="G902" s="57"/>
      <c r="H902" s="57"/>
    </row>
    <row r="903" ht="15.75" customHeight="1">
      <c r="F903" s="57"/>
      <c r="G903" s="57"/>
      <c r="H903" s="57"/>
    </row>
    <row r="904" ht="15.75" customHeight="1">
      <c r="F904" s="57"/>
      <c r="G904" s="57"/>
      <c r="H904" s="57"/>
    </row>
    <row r="905" ht="15.75" customHeight="1">
      <c r="F905" s="57"/>
      <c r="G905" s="57"/>
      <c r="H905" s="57"/>
    </row>
    <row r="906" ht="15.75" customHeight="1">
      <c r="F906" s="57"/>
      <c r="G906" s="57"/>
      <c r="H906" s="57"/>
    </row>
    <row r="907" ht="15.75" customHeight="1">
      <c r="F907" s="57"/>
      <c r="G907" s="57"/>
      <c r="H907" s="57"/>
    </row>
    <row r="908" ht="15.75" customHeight="1">
      <c r="F908" s="57"/>
      <c r="G908" s="57"/>
      <c r="H908" s="57"/>
    </row>
    <row r="909" ht="15.75" customHeight="1">
      <c r="F909" s="57"/>
      <c r="G909" s="57"/>
      <c r="H909" s="57"/>
    </row>
    <row r="910" ht="15.75" customHeight="1">
      <c r="F910" s="57"/>
      <c r="G910" s="57"/>
      <c r="H910" s="57"/>
    </row>
    <row r="911" ht="15.75" customHeight="1">
      <c r="F911" s="57"/>
      <c r="G911" s="57"/>
      <c r="H911" s="57"/>
    </row>
    <row r="912" ht="15.75" customHeight="1">
      <c r="F912" s="57"/>
      <c r="G912" s="57"/>
      <c r="H912" s="57"/>
    </row>
    <row r="913" ht="15.75" customHeight="1">
      <c r="F913" s="57"/>
      <c r="G913" s="57"/>
      <c r="H913" s="57"/>
    </row>
    <row r="914" ht="15.75" customHeight="1">
      <c r="F914" s="57"/>
      <c r="G914" s="57"/>
      <c r="H914" s="57"/>
    </row>
    <row r="915" ht="15.75" customHeight="1">
      <c r="F915" s="57"/>
      <c r="G915" s="57"/>
      <c r="H915" s="57"/>
    </row>
    <row r="916" ht="15.75" customHeight="1">
      <c r="F916" s="57"/>
      <c r="G916" s="57"/>
      <c r="H916" s="57"/>
    </row>
    <row r="917" ht="15.75" customHeight="1">
      <c r="F917" s="57"/>
      <c r="G917" s="57"/>
      <c r="H917" s="57"/>
    </row>
    <row r="918" ht="15.75" customHeight="1">
      <c r="F918" s="57"/>
      <c r="G918" s="57"/>
      <c r="H918" s="57"/>
    </row>
    <row r="919" ht="15.75" customHeight="1">
      <c r="F919" s="57"/>
      <c r="G919" s="57"/>
      <c r="H919" s="57"/>
    </row>
    <row r="920" ht="15.75" customHeight="1">
      <c r="F920" s="57"/>
      <c r="G920" s="57"/>
      <c r="H920" s="57"/>
    </row>
    <row r="921" ht="15.75" customHeight="1">
      <c r="F921" s="57"/>
      <c r="G921" s="57"/>
      <c r="H921" s="57"/>
    </row>
    <row r="922" ht="15.75" customHeight="1">
      <c r="F922" s="57"/>
      <c r="G922" s="57"/>
      <c r="H922" s="57"/>
    </row>
    <row r="923" ht="15.75" customHeight="1">
      <c r="F923" s="57"/>
      <c r="G923" s="57"/>
      <c r="H923" s="57"/>
    </row>
    <row r="924" ht="15.75" customHeight="1">
      <c r="F924" s="57"/>
      <c r="G924" s="57"/>
      <c r="H924" s="57"/>
    </row>
    <row r="925" ht="15.75" customHeight="1">
      <c r="F925" s="57"/>
      <c r="G925" s="57"/>
      <c r="H925" s="57"/>
    </row>
    <row r="926" ht="15.75" customHeight="1">
      <c r="F926" s="57"/>
      <c r="G926" s="57"/>
      <c r="H926" s="57"/>
    </row>
    <row r="927" ht="15.75" customHeight="1">
      <c r="F927" s="57"/>
      <c r="G927" s="57"/>
      <c r="H927" s="57"/>
    </row>
    <row r="928" ht="15.75" customHeight="1">
      <c r="F928" s="57"/>
      <c r="G928" s="57"/>
      <c r="H928" s="57"/>
    </row>
    <row r="929" ht="15.75" customHeight="1">
      <c r="F929" s="57"/>
      <c r="G929" s="57"/>
      <c r="H929" s="57"/>
    </row>
    <row r="930" ht="15.75" customHeight="1">
      <c r="F930" s="57"/>
      <c r="G930" s="57"/>
      <c r="H930" s="57"/>
    </row>
    <row r="931" ht="15.75" customHeight="1">
      <c r="F931" s="57"/>
      <c r="G931" s="57"/>
      <c r="H931" s="57"/>
    </row>
    <row r="932" ht="15.75" customHeight="1">
      <c r="F932" s="57"/>
      <c r="G932" s="57"/>
      <c r="H932" s="57"/>
    </row>
    <row r="933" ht="15.75" customHeight="1">
      <c r="F933" s="57"/>
      <c r="G933" s="57"/>
      <c r="H933" s="57"/>
    </row>
    <row r="934" ht="15.75" customHeight="1">
      <c r="F934" s="57"/>
      <c r="G934" s="57"/>
      <c r="H934" s="57"/>
    </row>
    <row r="935" ht="15.75" customHeight="1">
      <c r="F935" s="57"/>
      <c r="G935" s="57"/>
      <c r="H935" s="57"/>
    </row>
    <row r="936" ht="15.75" customHeight="1">
      <c r="F936" s="57"/>
      <c r="G936" s="57"/>
      <c r="H936" s="57"/>
    </row>
    <row r="937" ht="15.75" customHeight="1">
      <c r="F937" s="57"/>
      <c r="G937" s="57"/>
      <c r="H937" s="57"/>
    </row>
    <row r="938" ht="15.75" customHeight="1">
      <c r="F938" s="57"/>
      <c r="G938" s="57"/>
      <c r="H938" s="57"/>
    </row>
    <row r="939" ht="15.75" customHeight="1">
      <c r="F939" s="57"/>
      <c r="G939" s="57"/>
      <c r="H939" s="57"/>
    </row>
    <row r="940" ht="15.75" customHeight="1">
      <c r="F940" s="57"/>
      <c r="G940" s="57"/>
      <c r="H940" s="57"/>
    </row>
    <row r="941" ht="15.75" customHeight="1">
      <c r="F941" s="57"/>
      <c r="G941" s="57"/>
      <c r="H941" s="57"/>
    </row>
    <row r="942" ht="15.75" customHeight="1">
      <c r="F942" s="57"/>
      <c r="G942" s="57"/>
      <c r="H942" s="57"/>
    </row>
    <row r="943" ht="15.75" customHeight="1">
      <c r="F943" s="57"/>
      <c r="G943" s="57"/>
      <c r="H943" s="57"/>
    </row>
    <row r="944" ht="15.75" customHeight="1">
      <c r="F944" s="57"/>
      <c r="G944" s="57"/>
      <c r="H944" s="57"/>
    </row>
    <row r="945" ht="15.75" customHeight="1">
      <c r="F945" s="57"/>
      <c r="G945" s="57"/>
      <c r="H945" s="57"/>
    </row>
    <row r="946" ht="15.75" customHeight="1">
      <c r="F946" s="57"/>
      <c r="G946" s="57"/>
      <c r="H946" s="57"/>
    </row>
    <row r="947" ht="15.75" customHeight="1">
      <c r="F947" s="57"/>
      <c r="G947" s="57"/>
      <c r="H947" s="57"/>
    </row>
    <row r="948" ht="15.75" customHeight="1">
      <c r="F948" s="57"/>
      <c r="G948" s="57"/>
      <c r="H948" s="57"/>
    </row>
    <row r="949" ht="15.75" customHeight="1">
      <c r="F949" s="57"/>
      <c r="G949" s="57"/>
      <c r="H949" s="57"/>
    </row>
    <row r="950" ht="15.75" customHeight="1">
      <c r="F950" s="57"/>
      <c r="G950" s="57"/>
      <c r="H950" s="57"/>
    </row>
    <row r="951" ht="15.75" customHeight="1">
      <c r="F951" s="57"/>
      <c r="G951" s="57"/>
      <c r="H951" s="57"/>
    </row>
    <row r="952" ht="15.75" customHeight="1">
      <c r="F952" s="57"/>
      <c r="G952" s="57"/>
      <c r="H952" s="57"/>
    </row>
    <row r="953" ht="15.75" customHeight="1">
      <c r="F953" s="57"/>
      <c r="G953" s="57"/>
      <c r="H953" s="57"/>
    </row>
    <row r="954" ht="15.75" customHeight="1">
      <c r="F954" s="57"/>
      <c r="G954" s="57"/>
      <c r="H954" s="57"/>
    </row>
    <row r="955" ht="15.75" customHeight="1">
      <c r="F955" s="57"/>
      <c r="G955" s="57"/>
      <c r="H955" s="57"/>
    </row>
    <row r="956" ht="15.75" customHeight="1">
      <c r="F956" s="57"/>
      <c r="G956" s="57"/>
      <c r="H956" s="57"/>
    </row>
    <row r="957" ht="15.75" customHeight="1">
      <c r="F957" s="57"/>
      <c r="G957" s="57"/>
      <c r="H957" s="57"/>
    </row>
    <row r="958" ht="15.75" customHeight="1">
      <c r="F958" s="57"/>
      <c r="G958" s="57"/>
      <c r="H958" s="57"/>
    </row>
    <row r="959" ht="15.75" customHeight="1">
      <c r="F959" s="57"/>
      <c r="G959" s="57"/>
      <c r="H959" s="57"/>
    </row>
    <row r="960" ht="15.75" customHeight="1">
      <c r="F960" s="57"/>
      <c r="G960" s="57"/>
      <c r="H960" s="57"/>
    </row>
    <row r="961" ht="15.75" customHeight="1">
      <c r="F961" s="57"/>
      <c r="G961" s="57"/>
      <c r="H961" s="57"/>
    </row>
    <row r="962" ht="15.75" customHeight="1">
      <c r="F962" s="57"/>
      <c r="G962" s="57"/>
      <c r="H962" s="57"/>
    </row>
    <row r="963" ht="15.75" customHeight="1">
      <c r="F963" s="57"/>
      <c r="G963" s="57"/>
      <c r="H963" s="57"/>
    </row>
    <row r="964" ht="15.75" customHeight="1">
      <c r="F964" s="57"/>
      <c r="G964" s="57"/>
      <c r="H964" s="57"/>
    </row>
    <row r="965" ht="15.75" customHeight="1">
      <c r="F965" s="57"/>
      <c r="G965" s="57"/>
      <c r="H965" s="57"/>
    </row>
    <row r="966" ht="15.75" customHeight="1">
      <c r="F966" s="57"/>
      <c r="G966" s="57"/>
      <c r="H966" s="57"/>
    </row>
    <row r="967" ht="15.75" customHeight="1">
      <c r="F967" s="57"/>
      <c r="G967" s="57"/>
      <c r="H967" s="57"/>
    </row>
    <row r="968" ht="15.75" customHeight="1">
      <c r="F968" s="57"/>
      <c r="G968" s="57"/>
      <c r="H968" s="57"/>
    </row>
    <row r="969" ht="15.75" customHeight="1">
      <c r="F969" s="57"/>
      <c r="G969" s="57"/>
      <c r="H969" s="57"/>
    </row>
    <row r="970" ht="15.75" customHeight="1">
      <c r="F970" s="57"/>
      <c r="G970" s="57"/>
      <c r="H970" s="57"/>
    </row>
    <row r="971" ht="15.75" customHeight="1">
      <c r="F971" s="57"/>
      <c r="G971" s="57"/>
      <c r="H971" s="57"/>
    </row>
    <row r="972" ht="15.75" customHeight="1">
      <c r="F972" s="57"/>
      <c r="G972" s="57"/>
      <c r="H972" s="57"/>
    </row>
    <row r="973" ht="15.75" customHeight="1">
      <c r="F973" s="57"/>
      <c r="G973" s="57"/>
      <c r="H973" s="57"/>
    </row>
    <row r="974" ht="15.75" customHeight="1">
      <c r="F974" s="57"/>
      <c r="G974" s="57"/>
      <c r="H974" s="57"/>
    </row>
    <row r="975" ht="15.75" customHeight="1">
      <c r="F975" s="57"/>
      <c r="G975" s="57"/>
      <c r="H975" s="57"/>
    </row>
    <row r="976" ht="15.75" customHeight="1">
      <c r="F976" s="57"/>
      <c r="G976" s="57"/>
      <c r="H976" s="57"/>
    </row>
    <row r="977" ht="15.75" customHeight="1">
      <c r="F977" s="57"/>
      <c r="G977" s="57"/>
      <c r="H977" s="57"/>
    </row>
    <row r="978" ht="15.75" customHeight="1">
      <c r="F978" s="57"/>
      <c r="G978" s="57"/>
      <c r="H978" s="57"/>
    </row>
    <row r="979" ht="15.75" customHeight="1">
      <c r="F979" s="57"/>
      <c r="G979" s="57"/>
      <c r="H979" s="57"/>
    </row>
    <row r="980" ht="15.75" customHeight="1">
      <c r="F980" s="57"/>
      <c r="G980" s="57"/>
      <c r="H980" s="57"/>
    </row>
    <row r="981" ht="15.75" customHeight="1">
      <c r="F981" s="57"/>
      <c r="G981" s="57"/>
      <c r="H981" s="57"/>
    </row>
    <row r="982" ht="15.75" customHeight="1">
      <c r="F982" s="57"/>
      <c r="G982" s="57"/>
      <c r="H982" s="57"/>
    </row>
    <row r="983" ht="15.75" customHeight="1">
      <c r="F983" s="57"/>
      <c r="G983" s="57"/>
      <c r="H983" s="57"/>
    </row>
    <row r="984" ht="15.75" customHeight="1">
      <c r="F984" s="57"/>
      <c r="G984" s="57"/>
      <c r="H984" s="57"/>
    </row>
    <row r="985" ht="15.75" customHeight="1">
      <c r="F985" s="57"/>
      <c r="G985" s="57"/>
      <c r="H985" s="57"/>
    </row>
    <row r="986" ht="15.75" customHeight="1">
      <c r="F986" s="57"/>
      <c r="G986" s="57"/>
      <c r="H986" s="57"/>
    </row>
    <row r="987" ht="15.75" customHeight="1">
      <c r="F987" s="57"/>
      <c r="G987" s="57"/>
      <c r="H987" s="57"/>
    </row>
    <row r="988" ht="15.75" customHeight="1">
      <c r="F988" s="57"/>
      <c r="G988" s="57"/>
      <c r="H988" s="57"/>
    </row>
    <row r="989" ht="15.75" customHeight="1">
      <c r="F989" s="57"/>
      <c r="G989" s="57"/>
      <c r="H989" s="57"/>
    </row>
    <row r="990" ht="15.75" customHeight="1">
      <c r="F990" s="57"/>
      <c r="G990" s="57"/>
      <c r="H990" s="57"/>
    </row>
    <row r="991" ht="15.75" customHeight="1">
      <c r="F991" s="57"/>
      <c r="G991" s="57"/>
      <c r="H991" s="57"/>
    </row>
    <row r="992" ht="15.75" customHeight="1">
      <c r="F992" s="57"/>
      <c r="G992" s="57"/>
      <c r="H992" s="57"/>
    </row>
    <row r="993" ht="15.75" customHeight="1">
      <c r="F993" s="57"/>
      <c r="G993" s="57"/>
      <c r="H993" s="57"/>
    </row>
    <row r="994" ht="15.75" customHeight="1">
      <c r="F994" s="57"/>
      <c r="G994" s="57"/>
      <c r="H994" s="57"/>
    </row>
    <row r="995" ht="15.75" customHeight="1">
      <c r="F995" s="57"/>
      <c r="G995" s="57"/>
      <c r="H995" s="57"/>
    </row>
    <row r="996" ht="15.75" customHeight="1">
      <c r="F996" s="57"/>
      <c r="G996" s="57"/>
      <c r="H996" s="57"/>
    </row>
    <row r="997" ht="15.75" customHeight="1">
      <c r="F997" s="57"/>
      <c r="G997" s="57"/>
      <c r="H997" s="57"/>
    </row>
    <row r="998" ht="15.75" customHeight="1">
      <c r="F998" s="57"/>
      <c r="G998" s="57"/>
      <c r="H998" s="57"/>
    </row>
    <row r="999" ht="15.75" customHeight="1">
      <c r="F999" s="57"/>
      <c r="G999" s="57"/>
      <c r="H999" s="57"/>
    </row>
    <row r="1000" ht="15.75" customHeight="1">
      <c r="F1000" s="57"/>
      <c r="G1000" s="57"/>
      <c r="H1000" s="57"/>
    </row>
  </sheetData>
  <autoFilter ref="$A$1:$H$1"/>
  <printOptions/>
  <pageMargins bottom="1.0" footer="0.0" header="0.0" left="0.75" right="0.75" top="1.0"/>
  <pageSetup orientation="landscape"/>
  <drawing r:id="rId1"/>
</worksheet>
</file>