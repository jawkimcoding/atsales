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분석" sheetId="1" state="visible" r:id="rId1"/>
    <sheet xmlns:r="http://schemas.openxmlformats.org/officeDocument/2006/relationships" name="※ 이상치 및 규정검토" sheetId="2" state="visible" r:id="rId2"/>
    <sheet xmlns:r="http://schemas.openxmlformats.org/officeDocument/2006/relationships" name="농산물업체" sheetId="3" state="visible" r:id="rId3"/>
    <sheet xmlns:r="http://schemas.openxmlformats.org/officeDocument/2006/relationships" name="①농산물raw" sheetId="4" state="visible" r:id="rId4"/>
    <sheet xmlns:r="http://schemas.openxmlformats.org/officeDocument/2006/relationships" name="유기농업체" sheetId="5" state="visible" r:id="rId5"/>
    <sheet xmlns:r="http://schemas.openxmlformats.org/officeDocument/2006/relationships" name="②유기농raw" sheetId="6" state="visible" r:id="rId6"/>
  </sheets>
  <definedNames>
    <definedName name="_xlnm._FilterDatabase" localSheetId="2" hidden="1">'농산물업체'!$A$2:$J$287</definedName>
    <definedName name="_xlnm._FilterDatabase" localSheetId="3" hidden="1">'①농산물raw'!$A$5:$K$1454</definedName>
    <definedName name="_xlnm.Print_Titles" localSheetId="3">'①농산물raw'!$1:$5</definedName>
    <definedName name="_xlnm.Print_Area" localSheetId="3">'①농산물raw'!$A$1:$H$5</definedName>
    <definedName name="_xlnm._FilterDatabase" localSheetId="5" hidden="1">'②유기농raw'!$A$5:$I$96</definedName>
    <definedName name="_xlnm.Print_Titles" localSheetId="5">'②유기농raw'!$1:$5</definedName>
    <definedName name="_xlnm.Print_Area" localSheetId="5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_-* #,##0_-;\-* #,##0_-;_-* &quot;-&quot;_-;_-@_-"/>
    <numFmt numFmtId="166" formatCode="###\-##\-#####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</fonts>
  <fills count="2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175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38" t="inlineStr">
        <is>
          <t>상품수</t>
        </is>
      </c>
      <c r="C8" s="41">
        <f>D8+K8</f>
        <v/>
      </c>
      <c r="D8" s="42">
        <f>SUM(E8:J8)</f>
        <v/>
      </c>
      <c r="E8" s="43">
        <f>COUNTIF(①농산물raw!$A$6:$A$1454,E$5)</f>
        <v/>
      </c>
      <c r="F8" s="43">
        <f>COUNTIF(①농산물raw!$A$6:$A$1454,F$5)</f>
        <v/>
      </c>
      <c r="G8" s="43">
        <f>COUNTIF(①농산물raw!$A$6:$A$1454,G$5)</f>
        <v/>
      </c>
      <c r="H8" s="43">
        <f>COUNTIF(①농산물raw!$A$6:$A$1454,H$5)</f>
        <v/>
      </c>
      <c r="I8" s="43">
        <f>COUNTIF(①농산물raw!$A$6:$A$1454,I$5)</f>
        <v/>
      </c>
      <c r="J8" s="43">
        <f>COUNTIF(①농산물raw!$A$6:$A$1454,J$5)</f>
        <v/>
      </c>
      <c r="K8" s="44">
        <f>SUM(L8:M8)</f>
        <v/>
      </c>
      <c r="L8" s="43">
        <f>COUNTIF(②유기농raw!$A$6:$A$207,L$5)</f>
        <v/>
      </c>
      <c r="M8" s="43">
        <f>COUNTIF(②유기농raw!$A$6:$A$207,M$5)</f>
        <v/>
      </c>
    </row>
    <row r="10">
      <c r="B10" s="37" t="inlineStr">
        <is>
          <t>2. 유통사 별 쿠폰 사용액</t>
        </is>
      </c>
    </row>
    <row r="11">
      <c r="B11" s="38" t="inlineStr">
        <is>
          <t>구분</t>
        </is>
      </c>
      <c r="C11" s="38" t="inlineStr">
        <is>
          <t>총 계</t>
        </is>
      </c>
      <c r="D11" s="106" t="inlineStr">
        <is>
          <t>농부가바로팜</t>
        </is>
      </c>
      <c r="E11" s="110" t="n"/>
      <c r="F11" s="110" t="n"/>
      <c r="G11" s="110" t="n"/>
      <c r="H11" s="110" t="n"/>
      <c r="I11" s="110" t="n"/>
      <c r="J11" s="111" t="n"/>
      <c r="K11" s="104" t="inlineStr">
        <is>
          <t>친환경</t>
        </is>
      </c>
      <c r="L11" s="110" t="n"/>
      <c r="M11" s="111" t="n"/>
    </row>
    <row r="12">
      <c r="B12" s="112" t="n"/>
      <c r="C12" s="112" t="n"/>
      <c r="D12" s="106" t="inlineStr">
        <is>
          <t>소 계</t>
        </is>
      </c>
      <c r="E12" s="106" t="inlineStr">
        <is>
          <t>네이버</t>
        </is>
      </c>
      <c r="F12" s="106" t="inlineStr">
        <is>
          <t>지마켓</t>
        </is>
      </c>
      <c r="G12" s="106" t="inlineStr">
        <is>
          <t>롯데ON</t>
        </is>
      </c>
      <c r="H12" s="106" t="inlineStr">
        <is>
          <t>온누리마켓</t>
        </is>
      </c>
      <c r="I12" s="106" t="inlineStr">
        <is>
          <t>농가살리기</t>
        </is>
      </c>
      <c r="J12" s="106" t="inlineStr">
        <is>
          <t>오아시스</t>
        </is>
      </c>
      <c r="K12" s="104" t="inlineStr">
        <is>
          <t>소 계</t>
        </is>
      </c>
      <c r="L12" s="104" t="inlineStr">
        <is>
          <t>네이버</t>
        </is>
      </c>
      <c r="M12" s="104" t="inlineStr">
        <is>
          <t>오아시스</t>
        </is>
      </c>
    </row>
    <row r="13">
      <c r="B13" s="38" t="inlineStr">
        <is>
          <t>쿠폰 사용액</t>
        </is>
      </c>
      <c r="C13" s="41">
        <f>D13+K13</f>
        <v/>
      </c>
      <c r="D13" s="42">
        <f>SUM(E13:J13)</f>
        <v/>
      </c>
      <c r="E13" s="43">
        <f>SUMIF(①농산물raw!$A$6:$A$1454,E$12,①농산물raw!$H$6:$H$1454)</f>
        <v/>
      </c>
      <c r="F13" s="43">
        <f>SUMIF(①농산물raw!$A$6:$A$1454,F$12,①농산물raw!$H$6:$H$1454)</f>
        <v/>
      </c>
      <c r="G13" s="43">
        <f>SUMIF(①농산물raw!$A$6:$A$1454,G$12,①농산물raw!$H$6:$H$1454)</f>
        <v/>
      </c>
      <c r="H13" s="43">
        <f>SUMIF(①농산물raw!$A$6:$A$1454,H$12,①농산물raw!$H$6:$H$1454)</f>
        <v/>
      </c>
      <c r="I13" s="43">
        <f>SUMIF(①농산물raw!$A$6:$A$1454,I$12,①농산물raw!$H$6:$H$1454)</f>
        <v/>
      </c>
      <c r="J13" s="43">
        <f>SUMIF(①농산물raw!$A$6:$A$1454,J$12,①농산물raw!$H$6:$H$1454)</f>
        <v/>
      </c>
      <c r="K13" s="44">
        <f>SUM(L13:M13)</f>
        <v/>
      </c>
      <c r="L13" s="43">
        <f>SUMIF(②유기농raw!$A$6:$A$207,L$12,②유기농raw!$H$6:$H$207)</f>
        <v/>
      </c>
      <c r="M13" s="43">
        <f>SUMIF(②유기농raw!$A$6:$A$207,M$12,②유기농raw!$H$6:$H$207)</f>
        <v/>
      </c>
    </row>
    <row r="15">
      <c r="B15" s="37" t="inlineStr">
        <is>
          <t>3. 유통사 별 매출 분석</t>
        </is>
      </c>
    </row>
    <row r="16">
      <c r="B16" s="38" t="inlineStr">
        <is>
          <t>구분</t>
        </is>
      </c>
      <c r="C16" s="38" t="inlineStr">
        <is>
          <t>총 계</t>
        </is>
      </c>
      <c r="D16" s="106" t="inlineStr">
        <is>
          <t>농부가바로팜</t>
        </is>
      </c>
      <c r="E16" s="110" t="n"/>
      <c r="F16" s="110" t="n"/>
      <c r="G16" s="110" t="n"/>
      <c r="H16" s="110" t="n"/>
      <c r="I16" s="110" t="n"/>
      <c r="J16" s="111" t="n"/>
      <c r="K16" s="104" t="inlineStr">
        <is>
          <t>친환경</t>
        </is>
      </c>
      <c r="L16" s="110" t="n"/>
      <c r="M16" s="111" t="n"/>
    </row>
    <row r="17">
      <c r="B17" s="112" t="n"/>
      <c r="C17" s="112" t="n"/>
      <c r="D17" s="106" t="inlineStr">
        <is>
          <t>소 계</t>
        </is>
      </c>
      <c r="E17" s="106" t="inlineStr">
        <is>
          <t>네이버</t>
        </is>
      </c>
      <c r="F17" s="106" t="inlineStr">
        <is>
          <t>지마켓</t>
        </is>
      </c>
      <c r="G17" s="106" t="inlineStr">
        <is>
          <t>롯데ON</t>
        </is>
      </c>
      <c r="H17" s="106" t="inlineStr">
        <is>
          <t>온누리마켓</t>
        </is>
      </c>
      <c r="I17" s="106" t="inlineStr">
        <is>
          <t>농가살리기</t>
        </is>
      </c>
      <c r="J17" s="106" t="inlineStr">
        <is>
          <t>오아시스</t>
        </is>
      </c>
      <c r="K17" s="104" t="inlineStr">
        <is>
          <t>소 계</t>
        </is>
      </c>
      <c r="L17" s="104" t="inlineStr">
        <is>
          <t>네이버</t>
        </is>
      </c>
      <c r="M17" s="104" t="inlineStr">
        <is>
          <t>오아시스</t>
        </is>
      </c>
    </row>
    <row r="18">
      <c r="B18" s="38" t="inlineStr">
        <is>
          <t>매출액</t>
        </is>
      </c>
      <c r="C18" s="41">
        <f>D18+K18</f>
        <v/>
      </c>
      <c r="D18" s="42">
        <f>SUM(E18:J18)</f>
        <v/>
      </c>
      <c r="E18" s="43">
        <f>SUMIF(①농산물raw!$A$6:$A$1454,E$17,①농산물raw!$G$6:$G$1454)</f>
        <v/>
      </c>
      <c r="F18" s="43">
        <f>SUMIF(①농산물raw!$A$6:$A$1454,F$17,①농산물raw!$G$6:$G$1454)</f>
        <v/>
      </c>
      <c r="G18" s="43">
        <f>SUMIF(①농산물raw!$A$6:$A$1454,G$17,①농산물raw!$G$6:$G$1454)</f>
        <v/>
      </c>
      <c r="H18" s="43">
        <f>SUMIF(①농산물raw!$A$6:$A$1454,H$17,①농산물raw!$G$6:$G$1454)</f>
        <v/>
      </c>
      <c r="I18" s="43">
        <f>SUMIF(①농산물raw!$A$6:$A$1454,I$17,①농산물raw!$G$6:$G$1454)</f>
        <v/>
      </c>
      <c r="J18" s="43">
        <f>SUMIF(①농산물raw!$A$6:$A$1454,J$17,①농산물raw!$G$6:$G$1454)</f>
        <v/>
      </c>
      <c r="K18" s="44">
        <f>SUM(L18:M18)</f>
        <v/>
      </c>
      <c r="L18" s="43">
        <f>SUMIF(②유기농raw!$A$6:$A$207,L$17,②유기농raw!$G$6:$G$207)</f>
        <v/>
      </c>
      <c r="M18" s="43">
        <f>SUMIF(②유기농raw!$A$6:$A$207,M$17,②유기농raw!$G$6:$G$207)</f>
        <v/>
      </c>
    </row>
    <row r="20">
      <c r="B20" s="37" t="inlineStr">
        <is>
          <t>4. 유통사 별 판매 건수</t>
        </is>
      </c>
    </row>
    <row r="21">
      <c r="B21" s="38" t="inlineStr">
        <is>
          <t>구분</t>
        </is>
      </c>
      <c r="C21" s="38" t="inlineStr">
        <is>
          <t>총 계</t>
        </is>
      </c>
      <c r="D21" s="106" t="inlineStr">
        <is>
          <t>농부가바로팜</t>
        </is>
      </c>
      <c r="E21" s="110" t="n"/>
      <c r="F21" s="110" t="n"/>
      <c r="G21" s="110" t="n"/>
      <c r="H21" s="110" t="n"/>
      <c r="I21" s="110" t="n"/>
      <c r="J21" s="111" t="n"/>
      <c r="K21" s="104" t="inlineStr">
        <is>
          <t>친환경</t>
        </is>
      </c>
      <c r="L21" s="110" t="n"/>
      <c r="M21" s="111" t="n"/>
    </row>
    <row r="22">
      <c r="B22" s="112" t="n"/>
      <c r="C22" s="112" t="n"/>
      <c r="D22" s="106" t="inlineStr">
        <is>
          <t>소 계</t>
        </is>
      </c>
      <c r="E22" s="106" t="inlineStr">
        <is>
          <t>네이버</t>
        </is>
      </c>
      <c r="F22" s="106" t="inlineStr">
        <is>
          <t>지마켓</t>
        </is>
      </c>
      <c r="G22" s="106" t="inlineStr">
        <is>
          <t>롯데ON</t>
        </is>
      </c>
      <c r="H22" s="106" t="inlineStr">
        <is>
          <t>온누리마켓</t>
        </is>
      </c>
      <c r="I22" s="106" t="inlineStr">
        <is>
          <t>농가살리기</t>
        </is>
      </c>
      <c r="J22" s="106" t="inlineStr">
        <is>
          <t>오아시스</t>
        </is>
      </c>
      <c r="K22" s="104" t="inlineStr">
        <is>
          <t>소 계</t>
        </is>
      </c>
      <c r="L22" s="104" t="inlineStr">
        <is>
          <t>네이버</t>
        </is>
      </c>
      <c r="M22" s="104" t="inlineStr">
        <is>
          <t>오아시스</t>
        </is>
      </c>
    </row>
    <row r="23">
      <c r="B23" s="38" t="inlineStr">
        <is>
          <t>판매건수</t>
        </is>
      </c>
      <c r="C23" s="41">
        <f>D23+K23</f>
        <v/>
      </c>
      <c r="D23" s="42">
        <f>SUM(E23:J23)</f>
        <v/>
      </c>
      <c r="E23" s="43">
        <f>SUMIF(①농산물raw!$A$6:$A$1454,E$22,①농산물raw!$F$6:$F$1454)</f>
        <v/>
      </c>
      <c r="F23" s="43">
        <f>SUMIF(①농산물raw!$A$6:$A$1454,F$22,①농산물raw!$F$6:$F$1454)</f>
        <v/>
      </c>
      <c r="G23" s="43">
        <f>SUMIF(①농산물raw!$A$6:$A$1454,G$22,①농산물raw!$F$6:$F$1454)</f>
        <v/>
      </c>
      <c r="H23" s="43">
        <f>SUMIF(①농산물raw!$A$6:$A$1454,H$22,①농산물raw!$F$6:$F$1454)</f>
        <v/>
      </c>
      <c r="I23" s="43">
        <f>SUMIF(①농산물raw!$A$6:$A$1454,I$22,①농산물raw!$F$6:$F$1454)</f>
        <v/>
      </c>
      <c r="J23" s="43">
        <f>SUMIF(①농산물raw!$A$6:$A$1454,J$22,①농산물raw!$F$6:$F$1454)</f>
        <v/>
      </c>
      <c r="K23" s="44">
        <f>SUM(L23:M23)</f>
        <v/>
      </c>
      <c r="L23" s="43">
        <f>SUMIF(②유기농raw!$A$6:$A$207,L$22,②유기농raw!$F$6:$F$207)</f>
        <v/>
      </c>
      <c r="M23" s="43">
        <f>SUMIF(②유기농raw!$A$6:$A$207,M$22,②유기농raw!$F$6:$F$207)</f>
        <v/>
      </c>
    </row>
    <row r="25">
      <c r="B25" s="37" t="inlineStr">
        <is>
          <t>5. 유통사별 품목별 쿠폰 사용액</t>
        </is>
      </c>
    </row>
    <row r="26">
      <c r="B26" s="38" t="inlineStr">
        <is>
          <t>구분</t>
        </is>
      </c>
      <c r="C26" s="38" t="inlineStr">
        <is>
          <t>총 계</t>
        </is>
      </c>
      <c r="D26" s="106" t="inlineStr">
        <is>
          <t>농부가바로팜</t>
        </is>
      </c>
      <c r="E26" s="110" t="n"/>
      <c r="F26" s="110" t="n"/>
      <c r="G26" s="110" t="n"/>
      <c r="H26" s="110" t="n"/>
      <c r="I26" s="110" t="n"/>
      <c r="J26" s="111" t="n"/>
      <c r="K26" s="104" t="inlineStr">
        <is>
          <t>친환경</t>
        </is>
      </c>
      <c r="L26" s="110" t="n"/>
      <c r="M26" s="111" t="n"/>
    </row>
    <row r="27">
      <c r="B27" s="112" t="n"/>
      <c r="C27" s="112" t="n"/>
      <c r="D27" s="106" t="inlineStr">
        <is>
          <t>소 계</t>
        </is>
      </c>
      <c r="E27" s="106" t="inlineStr">
        <is>
          <t>네이버</t>
        </is>
      </c>
      <c r="F27" s="106" t="inlineStr">
        <is>
          <t>지마켓</t>
        </is>
      </c>
      <c r="G27" s="106" t="inlineStr">
        <is>
          <t>롯데ON</t>
        </is>
      </c>
      <c r="H27" s="106" t="inlineStr">
        <is>
          <t>온누리마켓</t>
        </is>
      </c>
      <c r="I27" s="106" t="inlineStr">
        <is>
          <t>농가살리기</t>
        </is>
      </c>
      <c r="J27" s="106" t="inlineStr">
        <is>
          <t>오아시스</t>
        </is>
      </c>
      <c r="K27" s="104" t="inlineStr">
        <is>
          <t>소 계</t>
        </is>
      </c>
      <c r="L27" s="104" t="inlineStr">
        <is>
          <t>네이버</t>
        </is>
      </c>
      <c r="M27" s="104" t="inlineStr">
        <is>
          <t>오아시스</t>
        </is>
      </c>
    </row>
    <row r="28">
      <c r="B28" s="38" t="inlineStr">
        <is>
          <t>총 계</t>
        </is>
      </c>
      <c r="C28" s="41">
        <f>D28+K28</f>
        <v/>
      </c>
      <c r="D28" s="42">
        <f>SUM(E28:J28)</f>
        <v/>
      </c>
      <c r="E28" s="43">
        <f>SUM(E29:E31)</f>
        <v/>
      </c>
      <c r="F28" s="43">
        <f>SUM(F29:F31)</f>
        <v/>
      </c>
      <c r="G28" s="43">
        <f>SUM(G29:G31)</f>
        <v/>
      </c>
      <c r="H28" s="43">
        <f>SUM(H29:H31)</f>
        <v/>
      </c>
      <c r="I28" s="43">
        <f>SUM(I29:I31)</f>
        <v/>
      </c>
      <c r="J28" s="43">
        <f>SUM(J29:J31)</f>
        <v/>
      </c>
      <c r="K28" s="44">
        <f>SUM(L28:M28)</f>
        <v/>
      </c>
      <c r="L28" s="43">
        <f>SUM(L29:L31)</f>
        <v/>
      </c>
      <c r="M28" s="43">
        <f>SUM(M29:M31)</f>
        <v/>
      </c>
    </row>
    <row r="29">
      <c r="B29" s="45" t="inlineStr">
        <is>
          <t>농산물</t>
        </is>
      </c>
      <c r="C29" s="41">
        <f>D29+K29</f>
        <v/>
      </c>
      <c r="D29" s="42">
        <f>SUM(E29:J29)</f>
        <v/>
      </c>
      <c r="E29" s="43">
        <f>SUMIFS(①농산물raw!$H$6:$H$1454,①농산물raw!$A$6:$A$1454,E$27,①농산물raw!$B$6:$B$1454,$B29)</f>
        <v/>
      </c>
      <c r="F29" s="43">
        <f>SUMIFS(①농산물raw!$H$6:$H$1454,①농산물raw!$A$6:$A$1454,F$27,①농산물raw!$B$6:$B$1454,$B29)</f>
        <v/>
      </c>
      <c r="G29" s="43">
        <f>SUMIFS(①농산물raw!$H$6:$H$1454,①농산물raw!$A$6:$A$1454,G$27,①농산물raw!$B$6:$B$1454,$B29)</f>
        <v/>
      </c>
      <c r="H29" s="43">
        <f>SUMIFS(①농산물raw!$H$6:$H$1454,①농산물raw!$A$6:$A$1454,H$27,①농산물raw!$B$6:$B$1454,$B29)</f>
        <v/>
      </c>
      <c r="I29" s="43">
        <f>SUMIFS(①농산물raw!$H$6:$H$1454,①농산물raw!$A$6:$A$1454,I$27,①농산물raw!$B$6:$B$1454,$B29)</f>
        <v/>
      </c>
      <c r="J29" s="43">
        <f>SUMIFS(①농산물raw!$H$6:$H$1454,①농산물raw!$A$6:$A$1454,J$27,①농산물raw!$B$6:$B$1454,$B29)</f>
        <v/>
      </c>
      <c r="K29" s="44">
        <f>SUM(L29:M29)</f>
        <v/>
      </c>
      <c r="L29" s="43">
        <f>SUMIFS(②유기농raw!$H$6:$H$207,②유기농raw!$A$6:$A$207,L$27,②유기농raw!$B$6:$B$207,$B29)</f>
        <v/>
      </c>
      <c r="M29" s="43">
        <f>SUMIFS(②유기농raw!$H$6:$H$207,②유기농raw!$A$6:$A$207,M$27,②유기농raw!$B$6:$B$207,$B29)</f>
        <v/>
      </c>
    </row>
    <row r="30">
      <c r="B30" s="45" t="inlineStr">
        <is>
          <t>축산물</t>
        </is>
      </c>
      <c r="C30" s="41">
        <f>D30+K30</f>
        <v/>
      </c>
      <c r="D30" s="42">
        <f>SUM(E30:J30)</f>
        <v/>
      </c>
      <c r="E30" s="43">
        <f>SUMIFS(①농산물raw!$H$6:$H$1454,①농산물raw!$A$6:$A$1454,E$27,①농산물raw!$B$6:$B$1454,$B30)</f>
        <v/>
      </c>
      <c r="F30" s="43">
        <f>SUMIFS(①농산물raw!$H$6:$H$1454,①농산물raw!$A$6:$A$1454,F$27,①농산물raw!$B$6:$B$1454,$B30)</f>
        <v/>
      </c>
      <c r="G30" s="43">
        <f>SUMIFS(①농산물raw!$H$6:$H$1454,①농산물raw!$A$6:$A$1454,G$27,①농산물raw!$B$6:$B$1454,$B30)</f>
        <v/>
      </c>
      <c r="H30" s="43">
        <f>SUMIFS(①농산물raw!$H$6:$H$1454,①농산물raw!$A$6:$A$1454,H$27,①농산물raw!$B$6:$B$1454,$B30)</f>
        <v/>
      </c>
      <c r="I30" s="43">
        <f>SUMIFS(①농산물raw!$H$6:$H$1454,①농산물raw!$A$6:$A$1454,I$27,①농산물raw!$B$6:$B$1454,$B30)</f>
        <v/>
      </c>
      <c r="J30" s="43">
        <f>SUMIFS(①농산물raw!$H$6:$H$1454,①농산물raw!$A$6:$A$1454,J$27,①농산물raw!$B$6:$B$1454,$B30)</f>
        <v/>
      </c>
      <c r="K30" s="44">
        <f>SUM(L30:M30)</f>
        <v/>
      </c>
      <c r="L30" s="43">
        <f>SUMIFS(②유기농raw!$H$6:$H$207,②유기농raw!$A$6:$A$207,L$27,②유기농raw!$B$6:$B$207,$B30)</f>
        <v/>
      </c>
      <c r="M30" s="43">
        <f>SUMIFS(②유기농raw!$H$6:$H$207,②유기농raw!$A$6:$A$207,M$27,②유기농raw!$B$6:$B$207,$B30)</f>
        <v/>
      </c>
    </row>
    <row r="31">
      <c r="B31" s="45" t="inlineStr">
        <is>
          <t>가공식품</t>
        </is>
      </c>
      <c r="C31" s="41">
        <f>D31+K31</f>
        <v/>
      </c>
      <c r="D31" s="42">
        <f>SUM(E31:J31)</f>
        <v/>
      </c>
      <c r="E31" s="43">
        <f>SUMIFS(①농산물raw!$H$6:$H$1454,①농산물raw!$A$6:$A$1454,E$27,①농산물raw!$B$6:$B$1454,$B31)</f>
        <v/>
      </c>
      <c r="F31" s="43">
        <f>SUMIFS(①농산물raw!$H$6:$H$1454,①농산물raw!$A$6:$A$1454,F$27,①농산물raw!$B$6:$B$1454,$B31)</f>
        <v/>
      </c>
      <c r="G31" s="43">
        <f>SUMIFS(①농산물raw!$H$6:$H$1454,①농산물raw!$A$6:$A$1454,G$27,①농산물raw!$B$6:$B$1454,$B31)</f>
        <v/>
      </c>
      <c r="H31" s="43">
        <f>SUMIFS(①농산물raw!$H$6:$H$1454,①농산물raw!$A$6:$A$1454,H$27,①농산물raw!$B$6:$B$1454,$B31)</f>
        <v/>
      </c>
      <c r="I31" s="43">
        <f>SUMIFS(①농산물raw!$H$6:$H$1454,①농산물raw!$A$6:$A$1454,I$27,①농산물raw!$B$6:$B$1454,$B31)</f>
        <v/>
      </c>
      <c r="J31" s="43">
        <f>SUMIFS(①농산물raw!$H$6:$H$1454,①농산물raw!$A$6:$A$1454,J$27,①농산물raw!$B$6:$B$1454,$B31)</f>
        <v/>
      </c>
      <c r="K31" s="44">
        <f>SUM(L31:M31)</f>
        <v/>
      </c>
      <c r="L31" s="43">
        <f>SUMIFS(②유기농raw!$H$6:$H$207,②유기농raw!$A$6:$A$207,L$27,②유기농raw!$B$6:$B$207,$B31)</f>
        <v/>
      </c>
      <c r="M31" s="43">
        <f>SUMIFS(②유기농raw!$H$6:$H$207,②유기농raw!$A$6:$A$207,M$27,②유기농raw!$B$6:$B$207,$B31)</f>
        <v/>
      </c>
    </row>
    <row r="33">
      <c r="B33" s="37" t="inlineStr">
        <is>
          <t>6. 유통사별 품목별 매출 분석</t>
        </is>
      </c>
    </row>
    <row r="34">
      <c r="B34" s="38" t="inlineStr">
        <is>
          <t>구분</t>
        </is>
      </c>
      <c r="C34" s="38" t="inlineStr">
        <is>
          <t>총 계</t>
        </is>
      </c>
      <c r="D34" s="106" t="inlineStr">
        <is>
          <t>농부가바로팜</t>
        </is>
      </c>
      <c r="E34" s="110" t="n"/>
      <c r="F34" s="110" t="n"/>
      <c r="G34" s="110" t="n"/>
      <c r="H34" s="110" t="n"/>
      <c r="I34" s="110" t="n"/>
      <c r="J34" s="111" t="n"/>
      <c r="K34" s="104" t="inlineStr">
        <is>
          <t>친환경</t>
        </is>
      </c>
      <c r="L34" s="110" t="n"/>
      <c r="M34" s="111" t="n"/>
    </row>
    <row r="35">
      <c r="B35" s="112" t="n"/>
      <c r="C35" s="112" t="n"/>
      <c r="D35" s="106" t="inlineStr">
        <is>
          <t>소 계</t>
        </is>
      </c>
      <c r="E35" s="106" t="inlineStr">
        <is>
          <t>네이버</t>
        </is>
      </c>
      <c r="F35" s="106" t="inlineStr">
        <is>
          <t>지마켓</t>
        </is>
      </c>
      <c r="G35" s="106" t="inlineStr">
        <is>
          <t>롯데ON</t>
        </is>
      </c>
      <c r="H35" s="106" t="inlineStr">
        <is>
          <t>온누리마켓</t>
        </is>
      </c>
      <c r="I35" s="106" t="inlineStr">
        <is>
          <t>농가살리기</t>
        </is>
      </c>
      <c r="J35" s="106" t="inlineStr">
        <is>
          <t>오아시스</t>
        </is>
      </c>
      <c r="K35" s="104" t="inlineStr">
        <is>
          <t>소 계</t>
        </is>
      </c>
      <c r="L35" s="104" t="inlineStr">
        <is>
          <t>네이버</t>
        </is>
      </c>
      <c r="M35" s="104" t="inlineStr">
        <is>
          <t>오아시스</t>
        </is>
      </c>
    </row>
    <row r="36">
      <c r="B36" s="38" t="inlineStr">
        <is>
          <t>총 계</t>
        </is>
      </c>
      <c r="C36" s="41">
        <f>D36+K36</f>
        <v/>
      </c>
      <c r="D36" s="42">
        <f>SUM(E36:J36)</f>
        <v/>
      </c>
      <c r="E36" s="43">
        <f>SUM(E37:E39)</f>
        <v/>
      </c>
      <c r="F36" s="43">
        <f>SUM(F37:F39)</f>
        <v/>
      </c>
      <c r="G36" s="43">
        <f>SUM(G37:G39)</f>
        <v/>
      </c>
      <c r="H36" s="43">
        <f>SUM(H37:H39)</f>
        <v/>
      </c>
      <c r="I36" s="43">
        <f>SUM(I37:I39)</f>
        <v/>
      </c>
      <c r="J36" s="43">
        <f>SUM(J37:J39)</f>
        <v/>
      </c>
      <c r="K36" s="44">
        <f>SUM(L36:M36)</f>
        <v/>
      </c>
      <c r="L36" s="43">
        <f>SUM(L37:L39)</f>
        <v/>
      </c>
      <c r="M36" s="43">
        <f>SUM(M37:M39)</f>
        <v/>
      </c>
    </row>
    <row r="37">
      <c r="B37" s="45" t="inlineStr">
        <is>
          <t>농산물</t>
        </is>
      </c>
      <c r="C37" s="41">
        <f>D37+K37</f>
        <v/>
      </c>
      <c r="D37" s="42">
        <f>SUM(E37:J37)</f>
        <v/>
      </c>
      <c r="E37" s="43">
        <f>SUMIFS(①농산물raw!$G$6:$G$1454,①농산물raw!$A$6:$A$1454,E$35,①농산물raw!$B$6:$B$1454,$B37)</f>
        <v/>
      </c>
      <c r="F37" s="43">
        <f>SUMIFS(①농산물raw!$G$6:$G$1454,①농산물raw!$A$6:$A$1454,F$35,①농산물raw!$B$6:$B$1454,$B37)</f>
        <v/>
      </c>
      <c r="G37" s="43">
        <f>SUMIFS(①농산물raw!$G$6:$G$1454,①농산물raw!$A$6:$A$1454,G$35,①농산물raw!$B$6:$B$1454,$B37)</f>
        <v/>
      </c>
      <c r="H37" s="43">
        <f>SUMIFS(①농산물raw!$G$6:$G$1454,①농산물raw!$A$6:$A$1454,H$35,①농산물raw!$B$6:$B$1454,$B37)</f>
        <v/>
      </c>
      <c r="I37" s="43">
        <f>SUMIFS(①농산물raw!$G$6:$G$1454,①농산물raw!$A$6:$A$1454,I$35,①농산물raw!$B$6:$B$1454,$B37)</f>
        <v/>
      </c>
      <c r="J37" s="43">
        <f>SUMIFS(①농산물raw!$G$6:$G$1454,①농산물raw!$A$6:$A$1454,J$35,①농산물raw!$B$6:$B$1454,$B37)</f>
        <v/>
      </c>
      <c r="K37" s="44">
        <f>SUM(L37:M37)</f>
        <v/>
      </c>
      <c r="L37" s="43">
        <f>SUMIFS(②유기농raw!$G$6:$G$207,②유기농raw!$A$6:$A$207,L$35,②유기농raw!$B$6:$B$207,$B37)</f>
        <v/>
      </c>
      <c r="M37" s="43">
        <f>SUMIFS(②유기농raw!$G$6:$G$207,②유기농raw!$A$6:$A$207,M$35,②유기농raw!$B$6:$B$207,$B37)</f>
        <v/>
      </c>
    </row>
    <row r="38">
      <c r="B38" s="45" t="inlineStr">
        <is>
          <t>축산물</t>
        </is>
      </c>
      <c r="C38" s="41">
        <f>D38+K38</f>
        <v/>
      </c>
      <c r="D38" s="42">
        <f>SUM(E38:J38)</f>
        <v/>
      </c>
      <c r="E38" s="43">
        <f>SUMIFS(①농산물raw!$G$6:$G$1454,①농산물raw!$A$6:$A$1454,E$35,①농산물raw!$B$6:$B$1454,$B38)</f>
        <v/>
      </c>
      <c r="F38" s="43">
        <f>SUMIFS(①농산물raw!$G$6:$G$1454,①농산물raw!$A$6:$A$1454,F$35,①농산물raw!$B$6:$B$1454,$B38)</f>
        <v/>
      </c>
      <c r="G38" s="43">
        <f>SUMIFS(①농산물raw!$G$6:$G$1454,①농산물raw!$A$6:$A$1454,G$35,①농산물raw!$B$6:$B$1454,$B38)</f>
        <v/>
      </c>
      <c r="H38" s="43">
        <f>SUMIFS(①농산물raw!$G$6:$G$1454,①농산물raw!$A$6:$A$1454,H$35,①농산물raw!$B$6:$B$1454,$B38)</f>
        <v/>
      </c>
      <c r="I38" s="43">
        <f>SUMIFS(①농산물raw!$G$6:$G$1454,①농산물raw!$A$6:$A$1454,I$35,①농산물raw!$B$6:$B$1454,$B38)</f>
        <v/>
      </c>
      <c r="J38" s="43">
        <f>SUMIFS(①농산물raw!$G$6:$G$1454,①농산물raw!$A$6:$A$1454,J$35,①농산물raw!$B$6:$B$1454,$B38)</f>
        <v/>
      </c>
      <c r="K38" s="44">
        <f>SUM(L38:M38)</f>
        <v/>
      </c>
      <c r="L38" s="43">
        <f>SUMIFS(②유기농raw!$G$6:$G$207,②유기농raw!$A$6:$A$207,L$35,②유기농raw!$B$6:$B$207,$B38)</f>
        <v/>
      </c>
      <c r="M38" s="43">
        <f>SUMIFS(②유기농raw!$G$6:$G$207,②유기농raw!$A$6:$A$207,M$35,②유기농raw!$B$6:$B$207,$B38)</f>
        <v/>
      </c>
    </row>
    <row r="39">
      <c r="B39" s="45" t="inlineStr">
        <is>
          <t>가공식품</t>
        </is>
      </c>
      <c r="C39" s="41">
        <f>D39+K39</f>
        <v/>
      </c>
      <c r="D39" s="42">
        <f>SUM(E39:J39)</f>
        <v/>
      </c>
      <c r="E39" s="43">
        <f>SUMIFS(①농산물raw!$G$6:$G$1454,①농산물raw!$A$6:$A$1454,E$35,①농산물raw!$B$6:$B$1454,$B39)</f>
        <v/>
      </c>
      <c r="F39" s="43">
        <f>SUMIFS(①농산물raw!$G$6:$G$1454,①농산물raw!$A$6:$A$1454,F$35,①농산물raw!$B$6:$B$1454,$B39)</f>
        <v/>
      </c>
      <c r="G39" s="43">
        <f>SUMIFS(①농산물raw!$G$6:$G$1454,①농산물raw!$A$6:$A$1454,G$35,①농산물raw!$B$6:$B$1454,$B39)</f>
        <v/>
      </c>
      <c r="H39" s="43">
        <f>SUMIFS(①농산물raw!$G$6:$G$1454,①농산물raw!$A$6:$A$1454,H$35,①농산물raw!$B$6:$B$1454,$B39)</f>
        <v/>
      </c>
      <c r="I39" s="43">
        <f>SUMIFS(①농산물raw!$G$6:$G$1454,①농산물raw!$A$6:$A$1454,I$35,①농산물raw!$B$6:$B$1454,$B39)</f>
        <v/>
      </c>
      <c r="J39" s="43">
        <f>SUMIFS(①농산물raw!$G$6:$G$1454,①농산물raw!$A$6:$A$1454,J$35,①농산물raw!$B$6:$B$1454,$B39)</f>
        <v/>
      </c>
      <c r="K39" s="44">
        <f>SUM(L39:M39)</f>
        <v/>
      </c>
      <c r="L39" s="43">
        <f>SUMIFS(②유기농raw!$G$6:$G$207,②유기농raw!$A$6:$A$207,L$35,②유기농raw!$B$6:$B$207,$B39)</f>
        <v/>
      </c>
      <c r="M39" s="43">
        <f>SUMIFS(②유기농raw!$G$6:$G$207,②유기농raw!$A$6:$A$207,M$35,②유기농raw!$B$6:$B$207,$B39)</f>
        <v/>
      </c>
    </row>
    <row r="41">
      <c r="B41" s="37" t="inlineStr">
        <is>
          <t>7. 유통사별 품목별 판매 건수</t>
        </is>
      </c>
    </row>
    <row r="42">
      <c r="B42" s="38" t="inlineStr">
        <is>
          <t>구분</t>
        </is>
      </c>
      <c r="C42" s="38" t="inlineStr">
        <is>
          <t>총 계</t>
        </is>
      </c>
      <c r="D42" s="106" t="inlineStr">
        <is>
          <t>농부가바로팜</t>
        </is>
      </c>
      <c r="E42" s="110" t="n"/>
      <c r="F42" s="110" t="n"/>
      <c r="G42" s="110" t="n"/>
      <c r="H42" s="110" t="n"/>
      <c r="I42" s="110" t="n"/>
      <c r="J42" s="111" t="n"/>
      <c r="K42" s="104" t="inlineStr">
        <is>
          <t>친환경</t>
        </is>
      </c>
      <c r="L42" s="110" t="n"/>
      <c r="M42" s="111" t="n"/>
    </row>
    <row r="43">
      <c r="B43" s="112" t="n"/>
      <c r="C43" s="112" t="n"/>
      <c r="D43" s="106" t="inlineStr">
        <is>
          <t>소 계</t>
        </is>
      </c>
      <c r="E43" s="106" t="inlineStr">
        <is>
          <t>네이버</t>
        </is>
      </c>
      <c r="F43" s="106" t="inlineStr">
        <is>
          <t>지마켓</t>
        </is>
      </c>
      <c r="G43" s="106" t="inlineStr">
        <is>
          <t>롯데ON</t>
        </is>
      </c>
      <c r="H43" s="106" t="inlineStr">
        <is>
          <t>온누리마켓</t>
        </is>
      </c>
      <c r="I43" s="106" t="inlineStr">
        <is>
          <t>농가살리기</t>
        </is>
      </c>
      <c r="J43" s="106" t="inlineStr">
        <is>
          <t>오아시스</t>
        </is>
      </c>
      <c r="K43" s="104" t="inlineStr">
        <is>
          <t>소 계</t>
        </is>
      </c>
      <c r="L43" s="104" t="inlineStr">
        <is>
          <t>네이버</t>
        </is>
      </c>
      <c r="M43" s="104" t="inlineStr">
        <is>
          <t>오아시스</t>
        </is>
      </c>
    </row>
    <row r="44">
      <c r="B44" s="38" t="inlineStr">
        <is>
          <t>총 계</t>
        </is>
      </c>
      <c r="C44" s="41">
        <f>D44+K44</f>
        <v/>
      </c>
      <c r="D44" s="42">
        <f>SUM(E44:J44)</f>
        <v/>
      </c>
      <c r="E44" s="43">
        <f>SUM(E45:E47)</f>
        <v/>
      </c>
      <c r="F44" s="43">
        <f>SUM(F45:F47)</f>
        <v/>
      </c>
      <c r="G44" s="43">
        <f>SUM(G45:G47)</f>
        <v/>
      </c>
      <c r="H44" s="43">
        <f>SUM(H45:H47)</f>
        <v/>
      </c>
      <c r="I44" s="43">
        <f>SUM(I45:I47)</f>
        <v/>
      </c>
      <c r="J44" s="43">
        <f>SUM(J45:J47)</f>
        <v/>
      </c>
      <c r="K44" s="44">
        <f>SUM(L44:M44)</f>
        <v/>
      </c>
      <c r="L44" s="43">
        <f>SUM(L45:L47)</f>
        <v/>
      </c>
      <c r="M44" s="43">
        <f>SUM(M45:M47)</f>
        <v/>
      </c>
    </row>
    <row r="45">
      <c r="B45" s="45" t="inlineStr">
        <is>
          <t>농산물</t>
        </is>
      </c>
      <c r="C45" s="41">
        <f>D45+K45</f>
        <v/>
      </c>
      <c r="D45" s="42">
        <f>SUM(E45:J45)</f>
        <v/>
      </c>
      <c r="E45" s="43">
        <f>SUMIFS(①농산물raw!$F$6:$F$1454,①농산물raw!$A$6:$A$1454,E$43,①농산물raw!$B$6:$B$1454,$B45)</f>
        <v/>
      </c>
      <c r="F45" s="43">
        <f>SUMIFS(①농산물raw!$F$6:$F$1454,①농산물raw!$A$6:$A$1454,F$43,①농산물raw!$B$6:$B$1454,$B45)</f>
        <v/>
      </c>
      <c r="G45" s="43">
        <f>SUMIFS(①농산물raw!$F$6:$F$1454,①농산물raw!$A$6:$A$1454,G$43,①농산물raw!$B$6:$B$1454,$B45)</f>
        <v/>
      </c>
      <c r="H45" s="43">
        <f>SUMIFS(①농산물raw!$F$6:$F$1454,①농산물raw!$A$6:$A$1454,H$43,①농산물raw!$B$6:$B$1454,$B45)</f>
        <v/>
      </c>
      <c r="I45" s="43">
        <f>SUMIFS(①농산물raw!$F$6:$F$1454,①농산물raw!$A$6:$A$1454,I$43,①농산물raw!$B$6:$B$1454,$B45)</f>
        <v/>
      </c>
      <c r="J45" s="43">
        <f>SUMIFS(①농산물raw!$F$6:$F$1454,①농산물raw!$A$6:$A$1454,J$43,①농산물raw!$B$6:$B$1454,$B45)</f>
        <v/>
      </c>
      <c r="K45" s="44">
        <f>SUM(L45:M45)</f>
        <v/>
      </c>
      <c r="L45" s="43">
        <f>SUMIFS(②유기농raw!$F$6:$F$207,②유기농raw!$A$6:$A$207,L$43,②유기농raw!$B$6:$B$207,$B45)</f>
        <v/>
      </c>
      <c r="M45" s="43">
        <f>SUMIFS(②유기농raw!$F$6:$F$207,②유기농raw!$A$6:$A$207,M$43,②유기농raw!$B$6:$B$207,$B45)</f>
        <v/>
      </c>
    </row>
    <row r="46">
      <c r="B46" s="45" t="inlineStr">
        <is>
          <t>축산물</t>
        </is>
      </c>
      <c r="C46" s="41">
        <f>D46+K46</f>
        <v/>
      </c>
      <c r="D46" s="42">
        <f>SUM(E46:J46)</f>
        <v/>
      </c>
      <c r="E46" s="43">
        <f>SUMIFS(①농산물raw!$F$6:$F$1454,①농산물raw!$A$6:$A$1454,E$43,①농산물raw!$B$6:$B$1454,$B46)</f>
        <v/>
      </c>
      <c r="F46" s="43">
        <f>SUMIFS(①농산물raw!$F$6:$F$1454,①농산물raw!$A$6:$A$1454,F$43,①농산물raw!$B$6:$B$1454,$B46)</f>
        <v/>
      </c>
      <c r="G46" s="43">
        <f>SUMIFS(①농산물raw!$F$6:$F$1454,①농산물raw!$A$6:$A$1454,G$43,①농산물raw!$B$6:$B$1454,$B46)</f>
        <v/>
      </c>
      <c r="H46" s="43">
        <f>SUMIFS(①농산물raw!$F$6:$F$1454,①농산물raw!$A$6:$A$1454,H$43,①농산물raw!$B$6:$B$1454,$B46)</f>
        <v/>
      </c>
      <c r="I46" s="43">
        <f>SUMIFS(①농산물raw!$F$6:$F$1454,①농산물raw!$A$6:$A$1454,I$43,①농산물raw!$B$6:$B$1454,$B46)</f>
        <v/>
      </c>
      <c r="J46" s="43">
        <f>SUMIFS(①농산물raw!$F$6:$F$1454,①농산물raw!$A$6:$A$1454,J$43,①농산물raw!$B$6:$B$1454,$B46)</f>
        <v/>
      </c>
      <c r="K46" s="44">
        <f>SUM(L46:M46)</f>
        <v/>
      </c>
      <c r="L46" s="43">
        <f>SUMIFS(②유기농raw!$F$6:$F$207,②유기농raw!$A$6:$A$207,L$43,②유기농raw!$B$6:$B$207,$B46)</f>
        <v/>
      </c>
      <c r="M46" s="43">
        <f>SUMIFS(②유기농raw!$F$6:$F$207,②유기농raw!$A$6:$A$207,M$43,②유기농raw!$B$6:$B$207,$B46)</f>
        <v/>
      </c>
    </row>
    <row r="47">
      <c r="B47" s="45" t="inlineStr">
        <is>
          <t>가공식품</t>
        </is>
      </c>
      <c r="C47" s="41">
        <f>D47+K47</f>
        <v/>
      </c>
      <c r="D47" s="42">
        <f>SUM(E47:J47)</f>
        <v/>
      </c>
      <c r="E47" s="43">
        <f>SUMIFS(①농산물raw!$F$6:$F$1454,①농산물raw!$A$6:$A$1454,E$43,①농산물raw!$B$6:$B$1454,$B47)</f>
        <v/>
      </c>
      <c r="F47" s="43">
        <f>SUMIFS(①농산물raw!$F$6:$F$1454,①농산물raw!$A$6:$A$1454,F$43,①농산물raw!$B$6:$B$1454,$B47)</f>
        <v/>
      </c>
      <c r="G47" s="43">
        <f>SUMIFS(①농산물raw!$F$6:$F$1454,①농산물raw!$A$6:$A$1454,G$43,①농산물raw!$B$6:$B$1454,$B47)</f>
        <v/>
      </c>
      <c r="H47" s="43">
        <f>SUMIFS(①농산물raw!$F$6:$F$1454,①농산물raw!$A$6:$A$1454,H$43,①농산물raw!$B$6:$B$1454,$B47)</f>
        <v/>
      </c>
      <c r="I47" s="43">
        <f>SUMIFS(①농산물raw!$F$6:$F$1454,①농산물raw!$A$6:$A$1454,I$43,①농산물raw!$B$6:$B$1454,$B47)</f>
        <v/>
      </c>
      <c r="J47" s="43">
        <f>SUMIFS(①농산물raw!$F$6:$F$1454,①농산물raw!$A$6:$A$1454,J$43,①농산물raw!$B$6:$B$1454,$B47)</f>
        <v/>
      </c>
      <c r="K47" s="44">
        <f>SUM(L47:M47)</f>
        <v/>
      </c>
      <c r="L47" s="43">
        <f>SUMIFS(②유기농raw!$F$6:$F$207,②유기농raw!$A$6:$A$207,L$43,②유기농raw!$B$6:$B$207,$B47)</f>
        <v/>
      </c>
      <c r="M47" s="43">
        <f>SUMIFS(②유기농raw!$F$6:$F$207,②유기농raw!$A$6:$A$207,M$43,②유기농raw!$B$6:$B$207,$B47)</f>
        <v/>
      </c>
    </row>
    <row r="50" ht="19.2" customHeight="1" s="21">
      <c r="A50" s="113" t="n"/>
      <c r="B50" s="114" t="inlineStr">
        <is>
          <t>※ 농산물 온라인 마케터</t>
        </is>
      </c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5" t="inlineStr">
        <is>
          <t>1. 월별 참여 업체 및 상품 수</t>
        </is>
      </c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6" t="inlineStr">
        <is>
          <t>구분</t>
        </is>
      </c>
      <c r="C53" s="117" t="n"/>
      <c r="D53" s="116" t="inlineStr">
        <is>
          <t>총 계</t>
        </is>
      </c>
      <c r="E53" s="116" t="inlineStr">
        <is>
          <t>네이버</t>
        </is>
      </c>
      <c r="F53" s="116" t="inlineStr">
        <is>
          <t>지마켓</t>
        </is>
      </c>
      <c r="G53" s="116" t="inlineStr">
        <is>
          <t>롯데ON</t>
        </is>
      </c>
      <c r="H53" s="116" t="inlineStr">
        <is>
          <t>온누리마켓</t>
        </is>
      </c>
      <c r="I53" s="116" t="inlineStr">
        <is>
          <t>농가살리기</t>
        </is>
      </c>
      <c r="J53" s="116" t="inlineStr">
        <is>
          <t>오아시스</t>
        </is>
      </c>
      <c r="K53" s="113" t="n"/>
      <c r="L53" s="113" t="n"/>
      <c r="M53" s="113" t="n"/>
      <c r="N53" s="113" t="n"/>
    </row>
    <row r="54">
      <c r="A54" s="113" t="n"/>
      <c r="B54" s="118" t="inlineStr">
        <is>
          <t>7월</t>
        </is>
      </c>
      <c r="C54" s="119" t="inlineStr">
        <is>
          <t>업체수</t>
        </is>
      </c>
      <c r="D54" s="120">
        <f>SUMPRODUCT(--(농산물업체!$C$3:$C$287&lt;&gt;""))</f>
        <v/>
      </c>
      <c r="E54" s="120">
        <f>SUMPRODUCT(--(SUBSTITUTE(농산물업체!$E$3:$E$287,"롯데온","롯데ON")=E$53))</f>
        <v/>
      </c>
      <c r="F54" s="120">
        <f>SUMPRODUCT(--(SUBSTITUTE(농산물업체!$E$3:$E$287,"롯데온","롯데ON")=F$53))</f>
        <v/>
      </c>
      <c r="G54" s="120">
        <f>SUMPRODUCT(--(SUBSTITUTE(농산물업체!$E$3:$E$287,"롯데온","롯데ON")=G$53))</f>
        <v/>
      </c>
      <c r="H54" s="120">
        <f>SUMPRODUCT(--(SUBSTITUTE(농산물업체!$E$3:$E$287,"롯데온","롯데ON")=H$53))</f>
        <v/>
      </c>
      <c r="I54" s="120">
        <f>SUMPRODUCT(--(SUBSTITUTE(농산물업체!$E$3:$E$287,"롯데온","롯데ON")=I$53))</f>
        <v/>
      </c>
      <c r="J54" s="120">
        <f>SUMPRODUCT(--(SUBSTITUTE(농산물업체!$E$3:$E$287,"롯데온","롯데ON")=J$53))</f>
        <v/>
      </c>
      <c r="K54" s="113" t="n"/>
      <c r="L54" s="113" t="n"/>
      <c r="M54" s="113" t="n"/>
      <c r="N54" s="113" t="n"/>
    </row>
    <row r="55">
      <c r="A55" s="113" t="n"/>
      <c r="B55" s="121" t="n"/>
      <c r="C55" s="119" t="inlineStr">
        <is>
          <t>상품수</t>
        </is>
      </c>
      <c r="D55" s="120">
        <f>SUM(E55:J55)</f>
        <v/>
      </c>
      <c r="E55" s="120" t="n">
        <v>388</v>
      </c>
      <c r="F55" s="120" t="n">
        <v>258</v>
      </c>
      <c r="G55" s="120" t="n">
        <v>313</v>
      </c>
      <c r="H55" s="120" t="n">
        <v>55</v>
      </c>
      <c r="I55" s="120" t="n">
        <v>29</v>
      </c>
      <c r="J55" s="120" t="n">
        <v>87</v>
      </c>
      <c r="K55" s="113" t="n"/>
      <c r="L55" s="113" t="n"/>
      <c r="M55" s="113" t="n"/>
      <c r="N55" s="113" t="n"/>
    </row>
    <row r="56">
      <c r="A56" s="113" t="n"/>
      <c r="B56" s="118" t="inlineStr">
        <is>
          <t>8월</t>
        </is>
      </c>
      <c r="C56" s="119" t="inlineStr">
        <is>
          <t>업체수</t>
        </is>
      </c>
      <c r="D56" s="120">
        <f>SUM(E56:J56)</f>
        <v/>
      </c>
      <c r="E56" s="120">
        <f>E54</f>
        <v/>
      </c>
      <c r="F56" s="120">
        <f>F54</f>
        <v/>
      </c>
      <c r="G56" s="120">
        <f>G54</f>
        <v/>
      </c>
      <c r="H56" s="120">
        <f>H54</f>
        <v/>
      </c>
      <c r="I56" s="120">
        <f>I54</f>
        <v/>
      </c>
      <c r="J56" s="120">
        <f>J54</f>
        <v/>
      </c>
      <c r="K56" s="113" t="n"/>
      <c r="L56" s="113" t="n"/>
      <c r="M56" s="113" t="n"/>
      <c r="N56" s="113" t="n"/>
    </row>
    <row r="57">
      <c r="A57" s="113" t="n"/>
      <c r="B57" s="121" t="n"/>
      <c r="C57" s="119" t="inlineStr">
        <is>
          <t>상품수</t>
        </is>
      </c>
      <c r="D57" s="120">
        <f>SUM(E57:J57)</f>
        <v/>
      </c>
      <c r="E57" s="120">
        <f>COUNTIF('①농산물raw'!$A$6:$A$1454,E$53)-E55</f>
        <v/>
      </c>
      <c r="F57" s="120">
        <f>COUNTIF('①농산물raw'!$A$6:$A$1454,F$53)-F55</f>
        <v/>
      </c>
      <c r="G57" s="120">
        <f>COUNTIF('①농산물raw'!$A$6:$A$1454,G$53)-G55</f>
        <v/>
      </c>
      <c r="H57" s="120">
        <f>COUNTIF('①농산물raw'!$A$6:$A$1454,H$53)-H55</f>
        <v/>
      </c>
      <c r="I57" s="120">
        <f>COUNTIF('①농산물raw'!$A$6:$A$1454,I$53)-I55</f>
        <v/>
      </c>
      <c r="J57" s="120">
        <f>COUNTIF('①농산물raw'!$A$6:$A$1454,J$53)-J55</f>
        <v/>
      </c>
      <c r="K57" s="113" t="n"/>
      <c r="L57" s="113" t="n"/>
      <c r="M57" s="113" t="n"/>
      <c r="N57" s="113" t="n"/>
    </row>
    <row r="58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</row>
    <row r="59">
      <c r="A59" s="113" t="n"/>
      <c r="B59" s="115" t="inlineStr">
        <is>
          <t>2. 유통사 별 쿠폰 사용액</t>
        </is>
      </c>
      <c r="C59" s="113" t="n"/>
      <c r="D59" s="122" t="n"/>
      <c r="E59" s="122" t="n"/>
      <c r="F59" s="122" t="n"/>
      <c r="G59" s="122" t="n"/>
      <c r="H59" s="122" t="n"/>
      <c r="I59" s="122" t="n"/>
      <c r="J59" s="122" t="n"/>
      <c r="K59" s="113" t="n"/>
      <c r="L59" s="113" t="n"/>
      <c r="M59" s="113" t="n"/>
      <c r="N59" s="113" t="n"/>
    </row>
    <row r="60">
      <c r="A60" s="113" t="n"/>
      <c r="B60" s="116" t="inlineStr">
        <is>
          <t>구분</t>
        </is>
      </c>
      <c r="C60" s="117" t="n"/>
      <c r="D60" s="123" t="inlineStr">
        <is>
          <t>총 계</t>
        </is>
      </c>
      <c r="E60" s="123" t="inlineStr">
        <is>
          <t>네이버</t>
        </is>
      </c>
      <c r="F60" s="123" t="inlineStr">
        <is>
          <t>지마켓</t>
        </is>
      </c>
      <c r="G60" s="123" t="inlineStr">
        <is>
          <t>롯데ON</t>
        </is>
      </c>
      <c r="H60" s="123" t="inlineStr">
        <is>
          <t>온누리마켓</t>
        </is>
      </c>
      <c r="I60" s="123" t="inlineStr">
        <is>
          <t>농가살리기</t>
        </is>
      </c>
      <c r="J60" s="123" t="inlineStr">
        <is>
          <t>오아시스</t>
        </is>
      </c>
      <c r="K60" s="113" t="n"/>
      <c r="L60" s="113" t="n"/>
      <c r="M60" s="113" t="n"/>
      <c r="N60" s="113" t="n"/>
    </row>
    <row r="61">
      <c r="A61" s="113" t="n"/>
      <c r="B61" s="116" t="inlineStr">
        <is>
          <t>총 계</t>
        </is>
      </c>
      <c r="C61" s="117" t="n"/>
      <c r="D61" s="124">
        <f>SUM(E61:J61)</f>
        <v/>
      </c>
      <c r="E61" s="124">
        <f>E62+E63</f>
        <v/>
      </c>
      <c r="F61" s="124">
        <f>F62+F63</f>
        <v/>
      </c>
      <c r="G61" s="124">
        <f>G62+G63</f>
        <v/>
      </c>
      <c r="H61" s="124">
        <f>H62+H63</f>
        <v/>
      </c>
      <c r="I61" s="124">
        <f>I62+I63</f>
        <v/>
      </c>
      <c r="J61" s="124">
        <f>J62+J63</f>
        <v/>
      </c>
      <c r="K61" s="113" t="n"/>
      <c r="L61" s="113" t="n"/>
      <c r="M61" s="113" t="n"/>
      <c r="N61" s="113" t="n"/>
    </row>
    <row r="62">
      <c r="A62" s="113" t="n"/>
      <c r="B62" s="118" t="inlineStr">
        <is>
          <t>7월</t>
        </is>
      </c>
      <c r="C62" s="117" t="n"/>
      <c r="D62" s="120">
        <f>SUM(E62:J62)</f>
        <v/>
      </c>
      <c r="E62" s="120" t="n">
        <v>50215680</v>
      </c>
      <c r="F62" s="120" t="n">
        <v>46392390</v>
      </c>
      <c r="G62" s="120" t="n">
        <v>40018660</v>
      </c>
      <c r="H62" s="120" t="n">
        <v>7101680</v>
      </c>
      <c r="I62" s="120" t="n">
        <v>11487420</v>
      </c>
      <c r="J62" s="120" t="n">
        <v>8362825</v>
      </c>
      <c r="K62" s="113" t="n"/>
      <c r="L62" s="113" t="n"/>
      <c r="M62" s="113" t="n"/>
      <c r="N62" s="113" t="n"/>
    </row>
    <row r="63">
      <c r="A63" s="113" t="n"/>
      <c r="B63" s="118" t="inlineStr">
        <is>
          <t>8월</t>
        </is>
      </c>
      <c r="C63" s="117" t="n"/>
      <c r="D63" s="120">
        <f>SUM(E63:J63)</f>
        <v/>
      </c>
      <c r="E63" s="120">
        <f>SUMIF('①농산물raw'!$A$6:$A$1454,E$60,'①농산물raw'!$H$6:$H$1454)-E62</f>
        <v/>
      </c>
      <c r="F63" s="120">
        <f>SUMIF('①농산물raw'!$A$6:$A$1454,F$60,'①농산물raw'!$H$6:$H$1454)-F62</f>
        <v/>
      </c>
      <c r="G63" s="120">
        <f>SUMIF('①농산물raw'!$A$6:$A$1454,G$60,'①농산물raw'!$H$6:$H$1454)-G62</f>
        <v/>
      </c>
      <c r="H63" s="120">
        <f>SUMIF('①농산물raw'!$A$6:$A$1454,H$60,'①농산물raw'!$H$6:$H$1454)-H62</f>
        <v/>
      </c>
      <c r="I63" s="120">
        <f>SUMIF('①농산물raw'!$A$6:$A$1454,I$60,'①농산물raw'!$H$6:$H$1454)-I62</f>
        <v/>
      </c>
      <c r="J63" s="120">
        <f>SUMIF('①농산물raw'!$A$6:$A$1454,J$60,'①농산물raw'!$H$6:$H$1454)-J62</f>
        <v/>
      </c>
      <c r="K63" s="113" t="n"/>
      <c r="L63" s="113" t="n"/>
      <c r="M63" s="113" t="n"/>
      <c r="N63" s="113" t="n"/>
    </row>
    <row r="64">
      <c r="A64" s="113" t="n"/>
      <c r="B64" s="118" t="inlineStr">
        <is>
          <t>쿠폰 배정액</t>
        </is>
      </c>
      <c r="C64" s="117" t="n"/>
      <c r="D64" s="125">
        <f>SUM(E64:J64)</f>
        <v/>
      </c>
      <c r="E64" s="125" t="n">
        <v>240000000</v>
      </c>
      <c r="F64" s="125" t="n">
        <v>160000000</v>
      </c>
      <c r="G64" s="125" t="n">
        <v>110000000</v>
      </c>
      <c r="H64" s="125" t="n">
        <v>60000000</v>
      </c>
      <c r="I64" s="125" t="n">
        <v>30000000</v>
      </c>
      <c r="J64" s="125" t="n">
        <v>40000000</v>
      </c>
      <c r="K64" s="113" t="n"/>
      <c r="L64" s="113" t="n"/>
      <c r="M64" s="113" t="n"/>
      <c r="N64" s="113" t="n"/>
    </row>
    <row r="65">
      <c r="A65" s="113" t="n"/>
      <c r="B65" s="118" t="inlineStr">
        <is>
          <t>잔여금액</t>
        </is>
      </c>
      <c r="C65" s="117" t="n"/>
      <c r="D65" s="125">
        <f>SUM(E65:J65)</f>
        <v/>
      </c>
      <c r="E65" s="125">
        <f>E64-E61</f>
        <v/>
      </c>
      <c r="F65" s="125">
        <f>F64-F61</f>
        <v/>
      </c>
      <c r="G65" s="125">
        <f>G64-G61</f>
        <v/>
      </c>
      <c r="H65" s="125">
        <f>H64-H61</f>
        <v/>
      </c>
      <c r="I65" s="125">
        <f>I64-I61</f>
        <v/>
      </c>
      <c r="J65" s="125">
        <f>J64-J61</f>
        <v/>
      </c>
      <c r="K65" s="113" t="n"/>
      <c r="L65" s="113" t="n"/>
      <c r="M65" s="113" t="n"/>
      <c r="N65" s="113" t="n"/>
    </row>
    <row r="66">
      <c r="A66" s="113" t="n"/>
      <c r="B66" s="113" t="n"/>
      <c r="C66" s="113" t="n"/>
      <c r="D66" s="122" t="n"/>
      <c r="E66" s="122" t="n"/>
      <c r="F66" s="122" t="n"/>
      <c r="G66" s="122" t="n"/>
      <c r="H66" s="122" t="n"/>
      <c r="I66" s="122" t="n"/>
      <c r="J66" s="122" t="n"/>
      <c r="K66" s="113" t="n"/>
      <c r="L66" s="113" t="n"/>
      <c r="M66" s="113" t="n"/>
      <c r="N66" s="113" t="n"/>
    </row>
    <row r="67">
      <c r="A67" s="113" t="n"/>
      <c r="B67" s="115" t="inlineStr">
        <is>
          <t>3. 유통사 별 매출 분석</t>
        </is>
      </c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6" t="inlineStr">
        <is>
          <t>구분</t>
        </is>
      </c>
      <c r="C68" s="117" t="n"/>
      <c r="D68" s="116" t="inlineStr">
        <is>
          <t>총 계</t>
        </is>
      </c>
      <c r="E68" s="116" t="inlineStr">
        <is>
          <t>네이버</t>
        </is>
      </c>
      <c r="F68" s="116" t="inlineStr">
        <is>
          <t>지마켓</t>
        </is>
      </c>
      <c r="G68" s="116" t="inlineStr">
        <is>
          <t>롯데ON</t>
        </is>
      </c>
      <c r="H68" s="116" t="inlineStr">
        <is>
          <t>온누리마켓</t>
        </is>
      </c>
      <c r="I68" s="116" t="inlineStr">
        <is>
          <t>농가살리기</t>
        </is>
      </c>
      <c r="J68" s="116" t="inlineStr">
        <is>
          <t>오아시스</t>
        </is>
      </c>
      <c r="K68" s="113" t="n"/>
      <c r="L68" s="113" t="n"/>
      <c r="M68" s="113" t="n"/>
      <c r="N68" s="113" t="n"/>
    </row>
    <row r="69">
      <c r="A69" s="113" t="n"/>
      <c r="B69" s="116" t="inlineStr">
        <is>
          <t>총 계</t>
        </is>
      </c>
      <c r="C69" s="117" t="n"/>
      <c r="D69" s="124">
        <f>SUM(E69:J69)</f>
        <v/>
      </c>
      <c r="E69" s="124">
        <f>E70+E71</f>
        <v/>
      </c>
      <c r="F69" s="124">
        <f>F70+F71</f>
        <v/>
      </c>
      <c r="G69" s="124">
        <f>G70+G71</f>
        <v/>
      </c>
      <c r="H69" s="124">
        <f>H70+H71</f>
        <v/>
      </c>
      <c r="I69" s="124">
        <f>I70+I71</f>
        <v/>
      </c>
      <c r="J69" s="124">
        <f>J70+J71</f>
        <v/>
      </c>
      <c r="K69" s="113" t="n"/>
      <c r="L69" s="113" t="n"/>
      <c r="M69" s="113" t="n"/>
      <c r="N69" s="113" t="n"/>
    </row>
    <row r="70">
      <c r="A70" s="113" t="n"/>
      <c r="B70" s="118" t="inlineStr">
        <is>
          <t>7월</t>
        </is>
      </c>
      <c r="C70" s="117" t="n"/>
      <c r="D70" s="120">
        <f>SUM(E70:J70)</f>
        <v/>
      </c>
      <c r="E70" s="120" t="n">
        <v>1148483700</v>
      </c>
      <c r="F70" s="120" t="n">
        <v>770420430</v>
      </c>
      <c r="G70" s="120" t="n">
        <v>261077210</v>
      </c>
      <c r="H70" s="120" t="n">
        <v>46371200</v>
      </c>
      <c r="I70" s="120" t="n">
        <v>223305203</v>
      </c>
      <c r="J70" s="120" t="n">
        <v>486556690</v>
      </c>
      <c r="K70" s="113" t="n"/>
      <c r="L70" s="113" t="n"/>
      <c r="M70" s="113" t="n"/>
      <c r="N70" s="113" t="n"/>
    </row>
    <row r="71">
      <c r="A71" s="113" t="n"/>
      <c r="B71" s="118" t="inlineStr">
        <is>
          <t>8월</t>
        </is>
      </c>
      <c r="C71" s="117" t="n"/>
      <c r="D71" s="120">
        <f>SUM(E71:J71)</f>
        <v/>
      </c>
      <c r="E71" s="120">
        <f>SUMIF('①농산물raw'!$A$6:$A$1454,E$68,'①농산물raw'!$G$6:$G$1454)-E70</f>
        <v/>
      </c>
      <c r="F71" s="120">
        <f>SUMIF('①농산물raw'!$A$6:$A$1454,F$68,'①농산물raw'!$G$6:$G$1454)-F70</f>
        <v/>
      </c>
      <c r="G71" s="120">
        <f>SUMIF('①농산물raw'!$A$6:$A$1454,G$68,'①농산물raw'!$G$6:$G$1454)-G70</f>
        <v/>
      </c>
      <c r="H71" s="120">
        <f>SUMIF('①농산물raw'!$A$6:$A$1454,H$68,'①농산물raw'!$G$6:$G$1454)-H70</f>
        <v/>
      </c>
      <c r="I71" s="120">
        <f>SUMIF('①농산물raw'!$A$6:$A$1454,I$68,'①농산물raw'!$G$6:$G$1454)-I70</f>
        <v/>
      </c>
      <c r="J71" s="120">
        <f>SUMIF('①농산물raw'!$A$6:$A$1454,J$68,'①농산물raw'!$G$6:$G$1454)-J70</f>
        <v/>
      </c>
      <c r="K71" s="113" t="n"/>
      <c r="L71" s="113" t="n"/>
      <c r="M71" s="113" t="n"/>
      <c r="N71" s="113" t="n"/>
    </row>
    <row r="72">
      <c r="A72" s="113" t="n"/>
      <c r="B72" s="113" t="n"/>
      <c r="C72" s="113" t="n"/>
      <c r="D72" s="122" t="n"/>
      <c r="E72" s="122" t="n"/>
      <c r="F72" s="122" t="n"/>
      <c r="G72" s="122" t="n"/>
      <c r="H72" s="122" t="n"/>
      <c r="I72" s="122" t="n"/>
      <c r="J72" s="122" t="n"/>
      <c r="K72" s="113" t="n"/>
      <c r="L72" s="113" t="n"/>
      <c r="M72" s="113" t="n"/>
      <c r="N72" s="113" t="n"/>
    </row>
    <row r="73">
      <c r="A73" s="113" t="n"/>
      <c r="B73" s="115" t="inlineStr">
        <is>
          <t>4. 유통사 별 판매 건수</t>
        </is>
      </c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</row>
    <row r="74">
      <c r="A74" s="113" t="n"/>
      <c r="B74" s="116" t="inlineStr">
        <is>
          <t>구분</t>
        </is>
      </c>
      <c r="C74" s="117" t="n"/>
      <c r="D74" s="116" t="inlineStr">
        <is>
          <t>총 계</t>
        </is>
      </c>
      <c r="E74" s="116" t="inlineStr">
        <is>
          <t>네이버</t>
        </is>
      </c>
      <c r="F74" s="116" t="inlineStr">
        <is>
          <t>지마켓</t>
        </is>
      </c>
      <c r="G74" s="116" t="inlineStr">
        <is>
          <t>롯데ON</t>
        </is>
      </c>
      <c r="H74" s="116" t="inlineStr">
        <is>
          <t>온누리마켓</t>
        </is>
      </c>
      <c r="I74" s="116" t="inlineStr">
        <is>
          <t>농가살리기</t>
        </is>
      </c>
      <c r="J74" s="116" t="inlineStr">
        <is>
          <t>오아시스</t>
        </is>
      </c>
      <c r="K74" s="113" t="n"/>
      <c r="L74" s="113" t="n"/>
      <c r="M74" s="113" t="n"/>
      <c r="N74" s="113" t="n"/>
    </row>
    <row r="75">
      <c r="A75" s="113" t="n"/>
      <c r="B75" s="116" t="inlineStr">
        <is>
          <t>총 계</t>
        </is>
      </c>
      <c r="C75" s="117" t="n"/>
      <c r="D75" s="124">
        <f>SUM(E75:J75)</f>
        <v/>
      </c>
      <c r="E75" s="124">
        <f>E76+E77</f>
        <v/>
      </c>
      <c r="F75" s="124">
        <f>F76+F77</f>
        <v/>
      </c>
      <c r="G75" s="124">
        <f>G76+G77</f>
        <v/>
      </c>
      <c r="H75" s="124">
        <f>H76+H77</f>
        <v/>
      </c>
      <c r="I75" s="124">
        <f>I76+I77</f>
        <v/>
      </c>
      <c r="J75" s="124">
        <f>J76+J77</f>
        <v/>
      </c>
      <c r="K75" s="113" t="n"/>
      <c r="L75" s="113" t="n"/>
      <c r="M75" s="113" t="n"/>
      <c r="N75" s="113" t="n"/>
    </row>
    <row r="76">
      <c r="A76" s="113" t="n"/>
      <c r="B76" s="118" t="inlineStr">
        <is>
          <t>7월</t>
        </is>
      </c>
      <c r="C76" s="117" t="n"/>
      <c r="D76" s="120">
        <f>SUM(E76:J76)</f>
        <v/>
      </c>
      <c r="E76" s="120" t="n">
        <v>39593</v>
      </c>
      <c r="F76" s="120" t="n">
        <v>38640</v>
      </c>
      <c r="G76" s="120" t="n">
        <v>11018</v>
      </c>
      <c r="H76" s="120" t="n">
        <v>1296</v>
      </c>
      <c r="I76" s="120" t="n">
        <v>14679</v>
      </c>
      <c r="J76" s="120" t="n">
        <v>121333</v>
      </c>
      <c r="K76" s="113" t="n"/>
      <c r="L76" s="113" t="n"/>
      <c r="M76" s="113" t="n"/>
      <c r="N76" s="113" t="n"/>
    </row>
    <row r="77">
      <c r="A77" s="113" t="n"/>
      <c r="B77" s="118" t="inlineStr">
        <is>
          <t>8월</t>
        </is>
      </c>
      <c r="C77" s="117" t="n"/>
      <c r="D77" s="120">
        <f>SUM(E77:J77)</f>
        <v/>
      </c>
      <c r="E77" s="120">
        <f>SUMIF('①농산물raw'!$A$6:$A$1454,E$74,'①농산물raw'!$F$6:$F$1454)-E76</f>
        <v/>
      </c>
      <c r="F77" s="120">
        <f>SUMIF('①농산물raw'!$A$6:$A$1454,F$74,'①농산물raw'!$F$6:$F$1454)-F76</f>
        <v/>
      </c>
      <c r="G77" s="120">
        <f>SUMIF('①농산물raw'!$A$6:$A$1454,G$74,'①농산물raw'!$F$6:$F$1454)-G76</f>
        <v/>
      </c>
      <c r="H77" s="120">
        <f>SUMIF('①농산물raw'!$A$6:$A$1454,H$74,'①농산물raw'!$F$6:$F$1454)-H76</f>
        <v/>
      </c>
      <c r="I77" s="120">
        <f>SUMIF('①농산물raw'!$A$6:$A$1454,I$74,'①농산물raw'!$F$6:$F$1454)-I76</f>
        <v/>
      </c>
      <c r="J77" s="120">
        <f>SUMIF('①농산물raw'!$A$6:$A$1454,J$74,'①농산물raw'!$F$6:$F$1454)-J76</f>
        <v/>
      </c>
      <c r="K77" s="113" t="n"/>
      <c r="L77" s="113" t="n"/>
      <c r="M77" s="113" t="n"/>
      <c r="N77" s="113" t="n"/>
    </row>
    <row r="78">
      <c r="A78" s="113" t="n"/>
      <c r="B78" s="113" t="n"/>
      <c r="C78" s="113" t="n"/>
      <c r="D78" s="122" t="n"/>
      <c r="E78" s="122" t="n"/>
      <c r="F78" s="122" t="n"/>
      <c r="G78" s="122" t="n"/>
      <c r="H78" s="122" t="n"/>
      <c r="I78" s="122" t="n"/>
      <c r="J78" s="122" t="n"/>
      <c r="K78" s="113" t="n"/>
      <c r="L78" s="113" t="n"/>
      <c r="M78" s="113" t="n"/>
      <c r="N78" s="113" t="n"/>
    </row>
    <row r="79">
      <c r="A79" s="113" t="n"/>
      <c r="B79" s="115" t="inlineStr">
        <is>
          <t>5. 유통사별 품목별 쿠폰 사용액</t>
        </is>
      </c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6" t="inlineStr">
        <is>
          <t>품목</t>
        </is>
      </c>
      <c r="C80" s="116" t="inlineStr">
        <is>
          <t>구분</t>
        </is>
      </c>
      <c r="D80" s="123" t="inlineStr">
        <is>
          <t>총 계</t>
        </is>
      </c>
      <c r="E80" s="123" t="inlineStr">
        <is>
          <t>네이버</t>
        </is>
      </c>
      <c r="F80" s="123" t="inlineStr">
        <is>
          <t>지마켓</t>
        </is>
      </c>
      <c r="G80" s="123" t="inlineStr">
        <is>
          <t>롯데ON</t>
        </is>
      </c>
      <c r="H80" s="123" t="inlineStr">
        <is>
          <t>온누리마켓</t>
        </is>
      </c>
      <c r="I80" s="123" t="inlineStr">
        <is>
          <t>농가살리기</t>
        </is>
      </c>
      <c r="J80" s="123" t="inlineStr">
        <is>
          <t>오아시스</t>
        </is>
      </c>
      <c r="K80" s="113" t="n"/>
      <c r="L80" s="113" t="n"/>
      <c r="M80" s="113" t="n"/>
      <c r="N80" s="113" t="n"/>
    </row>
    <row r="81">
      <c r="A81" s="113" t="n"/>
      <c r="B81" s="116" t="inlineStr">
        <is>
          <t>총 계</t>
        </is>
      </c>
      <c r="C81" s="117" t="n"/>
      <c r="D81" s="124">
        <f>SUM(E81:J81)</f>
        <v/>
      </c>
      <c r="E81" s="124">
        <f>E82+E85+E88</f>
        <v/>
      </c>
      <c r="F81" s="124">
        <f>F82+F85+F88</f>
        <v/>
      </c>
      <c r="G81" s="124">
        <f>G82+G85+G88</f>
        <v/>
      </c>
      <c r="H81" s="124">
        <f>H82+H85+H88</f>
        <v/>
      </c>
      <c r="I81" s="124">
        <f>I82+I85+I88</f>
        <v/>
      </c>
      <c r="J81" s="124">
        <f>J82+J85+J88</f>
        <v/>
      </c>
      <c r="K81" s="113" t="n"/>
      <c r="L81" s="113" t="n"/>
      <c r="M81" s="113" t="n"/>
      <c r="N81" s="113" t="n"/>
    </row>
    <row r="82">
      <c r="A82" s="113" t="n"/>
      <c r="B82" s="118" t="inlineStr">
        <is>
          <t>농산물</t>
        </is>
      </c>
      <c r="C82" s="118" t="inlineStr">
        <is>
          <t>소 계</t>
        </is>
      </c>
      <c r="D82" s="125">
        <f>SUM(E82:J82)</f>
        <v/>
      </c>
      <c r="E82" s="125">
        <f>E83+E84</f>
        <v/>
      </c>
      <c r="F82" s="125">
        <f>F83+F84</f>
        <v/>
      </c>
      <c r="G82" s="125">
        <f>G83+G84</f>
        <v/>
      </c>
      <c r="H82" s="125">
        <f>H83+H84</f>
        <v/>
      </c>
      <c r="I82" s="125">
        <f>I83+I84</f>
        <v/>
      </c>
      <c r="J82" s="125">
        <f>J83+J84</f>
        <v/>
      </c>
      <c r="K82" s="113" t="n"/>
      <c r="L82" s="113" t="n"/>
      <c r="M82" s="113" t="n"/>
      <c r="N82" s="113" t="n"/>
    </row>
    <row r="83">
      <c r="A83" s="113" t="n"/>
      <c r="B83" s="126" t="n"/>
      <c r="C83" s="119" t="inlineStr">
        <is>
          <t>7월</t>
        </is>
      </c>
      <c r="D83" s="120">
        <f>SUM(E83:J83)</f>
        <v/>
      </c>
      <c r="E83" s="120" t="n">
        <v>27521390</v>
      </c>
      <c r="F83" s="120" t="n">
        <v>29495180</v>
      </c>
      <c r="G83" s="120" t="n">
        <v>16472440</v>
      </c>
      <c r="H83" s="120" t="n">
        <v>6561353</v>
      </c>
      <c r="I83" s="120" t="n">
        <v>3731960</v>
      </c>
      <c r="J83" s="120" t="n">
        <v>4453987</v>
      </c>
      <c r="K83" s="113" t="n"/>
      <c r="L83" s="113" t="n"/>
      <c r="M83" s="113" t="n"/>
      <c r="N83" s="113" t="n"/>
    </row>
    <row r="84">
      <c r="A84" s="113" t="n"/>
      <c r="B84" s="121" t="n"/>
      <c r="C84" s="119" t="inlineStr">
        <is>
          <t>8월</t>
        </is>
      </c>
      <c r="D84" s="120">
        <f>SUM(E84:J84)</f>
        <v/>
      </c>
      <c r="E84" s="120">
        <f>SUMIFS('①농산물raw'!$H$6:$H$1454,'①농산물raw'!$A$6:$A$1454,E$80,'①농산물raw'!$B$6:$B$1454,$B82)-E83</f>
        <v/>
      </c>
      <c r="F84" s="120">
        <f>SUMIFS('①농산물raw'!$H$6:$H$1454,'①농산물raw'!$A$6:$A$1454,F$80,'①농산물raw'!$B$6:$B$1454,$B82)-F83</f>
        <v/>
      </c>
      <c r="G84" s="120">
        <f>SUMIFS('①농산물raw'!$H$6:$H$1454,'①농산물raw'!$A$6:$A$1454,G$80,'①농산물raw'!$B$6:$B$1454,$B82)-G83</f>
        <v/>
      </c>
      <c r="H84" s="120">
        <f>SUMIFS('①농산물raw'!$H$6:$H$1454,'①농산물raw'!$A$6:$A$1454,H$80,'①농산물raw'!$B$6:$B$1454,$B82)-H83</f>
        <v/>
      </c>
      <c r="I84" s="120">
        <f>SUMIFS('①농산물raw'!$H$6:$H$1454,'①농산물raw'!$A$6:$A$1454,I$80,'①농산물raw'!$B$6:$B$1454,$B82)-I83</f>
        <v/>
      </c>
      <c r="J84" s="120">
        <f>SUMIFS('①농산물raw'!$H$6:$H$1454,'①농산물raw'!$A$6:$A$1454,J$80,'①농산물raw'!$B$6:$B$1454,$B82)-J83</f>
        <v/>
      </c>
      <c r="K84" s="113" t="n"/>
      <c r="L84" s="113" t="n"/>
      <c r="M84" s="113" t="n"/>
      <c r="N84" s="113" t="n"/>
    </row>
    <row r="85">
      <c r="A85" s="113" t="n"/>
      <c r="B85" s="118" t="inlineStr">
        <is>
          <t>축산물</t>
        </is>
      </c>
      <c r="C85" s="118" t="inlineStr">
        <is>
          <t>소 계</t>
        </is>
      </c>
      <c r="D85" s="125">
        <f>SUM(E85:J85)</f>
        <v/>
      </c>
      <c r="E85" s="125">
        <f>E86+E87</f>
        <v/>
      </c>
      <c r="F85" s="125">
        <f>F86+F87</f>
        <v/>
      </c>
      <c r="G85" s="125">
        <f>G86+G87</f>
        <v/>
      </c>
      <c r="H85" s="125">
        <f>H86+H87</f>
        <v/>
      </c>
      <c r="I85" s="125">
        <f>I86+I87</f>
        <v/>
      </c>
      <c r="J85" s="125">
        <f>J86+J87</f>
        <v/>
      </c>
      <c r="K85" s="113" t="n"/>
      <c r="L85" s="113" t="n"/>
      <c r="M85" s="113" t="n"/>
      <c r="N85" s="113" t="n"/>
    </row>
    <row r="86">
      <c r="A86" s="113" t="n"/>
      <c r="B86" s="126" t="n"/>
      <c r="C86" s="119" t="inlineStr">
        <is>
          <t>7월</t>
        </is>
      </c>
      <c r="D86" s="120">
        <f>SUM(E86:J86)</f>
        <v/>
      </c>
      <c r="E86" s="120" t="n">
        <v>11806670</v>
      </c>
      <c r="F86" s="120" t="n">
        <v>2182750</v>
      </c>
      <c r="G86" s="120" t="n">
        <v>12810140</v>
      </c>
      <c r="H86" s="120" t="n">
        <v>0</v>
      </c>
      <c r="I86" s="120" t="n">
        <v>0</v>
      </c>
      <c r="J86" s="120" t="n">
        <v>30800</v>
      </c>
      <c r="K86" s="113" t="n"/>
      <c r="L86" s="113" t="n"/>
      <c r="M86" s="113" t="n"/>
      <c r="N86" s="113" t="n"/>
    </row>
    <row r="87">
      <c r="A87" s="113" t="n"/>
      <c r="B87" s="121" t="n"/>
      <c r="C87" s="119" t="inlineStr">
        <is>
          <t>8월</t>
        </is>
      </c>
      <c r="D87" s="120">
        <f>SUM(E87:J87)</f>
        <v/>
      </c>
      <c r="E87" s="120">
        <f>SUMIFS('①농산물raw'!$H$6:$H$1454,'①농산물raw'!$A$6:$A$1454,E$80,'①농산물raw'!$B$6:$B$1454,$B85)-E86</f>
        <v/>
      </c>
      <c r="F87" s="120">
        <f>SUMIFS('①농산물raw'!$H$6:$H$1454,'①농산물raw'!$A$6:$A$1454,F$80,'①농산물raw'!$B$6:$B$1454,$B85)-F86</f>
        <v/>
      </c>
      <c r="G87" s="120">
        <f>SUMIFS('①농산물raw'!$H$6:$H$1454,'①농산물raw'!$A$6:$A$1454,G$80,'①농산물raw'!$B$6:$B$1454,$B85)-G86</f>
        <v/>
      </c>
      <c r="H87" s="120">
        <f>SUMIFS('①농산물raw'!$H$6:$H$1454,'①농산물raw'!$A$6:$A$1454,H$80,'①농산물raw'!$B$6:$B$1454,$B85)-H86</f>
        <v/>
      </c>
      <c r="I87" s="120">
        <f>SUMIFS('①농산물raw'!$H$6:$H$1454,'①농산물raw'!$A$6:$A$1454,I$80,'①농산물raw'!$B$6:$B$1454,$B85)-I86</f>
        <v/>
      </c>
      <c r="J87" s="120">
        <f>SUMIFS('①농산물raw'!$H$6:$H$1454,'①농산물raw'!$A$6:$A$1454,J$80,'①농산물raw'!$B$6:$B$1454,$B85)-J86</f>
        <v/>
      </c>
      <c r="K87" s="113" t="n"/>
      <c r="L87" s="113" t="n"/>
      <c r="M87" s="113" t="n"/>
      <c r="N87" s="113" t="n"/>
    </row>
    <row r="88">
      <c r="A88" s="113" t="n"/>
      <c r="B88" s="118" t="inlineStr">
        <is>
          <t>가공식품</t>
        </is>
      </c>
      <c r="C88" s="118" t="inlineStr">
        <is>
          <t>소 계</t>
        </is>
      </c>
      <c r="D88" s="125">
        <f>SUM(E88:J88)</f>
        <v/>
      </c>
      <c r="E88" s="125">
        <f>E89+E90</f>
        <v/>
      </c>
      <c r="F88" s="125">
        <f>F89+F90</f>
        <v/>
      </c>
      <c r="G88" s="125">
        <f>G89+G90</f>
        <v/>
      </c>
      <c r="H88" s="125">
        <f>H89+H90</f>
        <v/>
      </c>
      <c r="I88" s="125">
        <f>I89+I90</f>
        <v/>
      </c>
      <c r="J88" s="125">
        <f>J89+J90</f>
        <v/>
      </c>
      <c r="K88" s="113" t="n"/>
      <c r="L88" s="113" t="n"/>
      <c r="M88" s="113" t="n"/>
      <c r="N88" s="113" t="n"/>
    </row>
    <row r="89">
      <c r="A89" s="113" t="n"/>
      <c r="B89" s="126" t="n"/>
      <c r="C89" s="119" t="inlineStr">
        <is>
          <t>7월</t>
        </is>
      </c>
      <c r="D89" s="120">
        <f>SUM(E89:J89)</f>
        <v/>
      </c>
      <c r="E89" s="120" t="n">
        <v>10887620</v>
      </c>
      <c r="F89" s="120" t="n">
        <v>14714460</v>
      </c>
      <c r="G89" s="120" t="n">
        <v>10736080</v>
      </c>
      <c r="H89" s="120" t="n">
        <v>540327</v>
      </c>
      <c r="I89" s="120" t="n">
        <v>7755460</v>
      </c>
      <c r="J89" s="120" t="n">
        <v>3878038</v>
      </c>
      <c r="K89" s="113" t="n"/>
      <c r="L89" s="113" t="n"/>
      <c r="M89" s="113" t="n"/>
      <c r="N89" s="113" t="n"/>
    </row>
    <row r="90">
      <c r="A90" s="113" t="n"/>
      <c r="B90" s="121" t="n"/>
      <c r="C90" s="119" t="inlineStr">
        <is>
          <t>8월</t>
        </is>
      </c>
      <c r="D90" s="120">
        <f>SUM(E90:J90)</f>
        <v/>
      </c>
      <c r="E90" s="120">
        <f>SUMIFS('①농산물raw'!$H$6:$H$1454,'①농산물raw'!$A$6:$A$1454,E$80,'①농산물raw'!$B$6:$B$1454,$B88)-E89</f>
        <v/>
      </c>
      <c r="F90" s="120">
        <f>SUMIFS('①농산물raw'!$H$6:$H$1454,'①농산물raw'!$A$6:$A$1454,F$80,'①농산물raw'!$B$6:$B$1454,$B88)-F89</f>
        <v/>
      </c>
      <c r="G90" s="120">
        <f>SUMIFS('①농산물raw'!$H$6:$H$1454,'①농산물raw'!$A$6:$A$1454,G$80,'①농산물raw'!$B$6:$B$1454,$B88)-G89</f>
        <v/>
      </c>
      <c r="H90" s="120">
        <f>SUMIFS('①농산물raw'!$H$6:$H$1454,'①농산물raw'!$A$6:$A$1454,H$80,'①농산물raw'!$B$6:$B$1454,$B88)-H89</f>
        <v/>
      </c>
      <c r="I90" s="120">
        <f>SUMIFS('①농산물raw'!$H$6:$H$1454,'①농산물raw'!$A$6:$A$1454,I$80,'①농산물raw'!$B$6:$B$1454,$B88)-I89</f>
        <v/>
      </c>
      <c r="J90" s="120">
        <f>SUMIFS('①농산물raw'!$H$6:$H$1454,'①농산물raw'!$A$6:$A$1454,J$80,'①농산물raw'!$B$6:$B$1454,$B88)-J89</f>
        <v/>
      </c>
      <c r="K90" s="113" t="n"/>
      <c r="L90" s="113" t="n"/>
      <c r="M90" s="113" t="n"/>
      <c r="N90" s="113" t="n"/>
    </row>
    <row r="91">
      <c r="A91" s="113" t="n"/>
      <c r="B91" s="113" t="n"/>
      <c r="C91" s="113" t="n"/>
      <c r="D91" s="122" t="n"/>
      <c r="E91" s="122" t="n"/>
      <c r="F91" s="122" t="n"/>
      <c r="G91" s="122" t="n"/>
      <c r="H91" s="122" t="n"/>
      <c r="I91" s="122" t="n"/>
      <c r="J91" s="122" t="n"/>
      <c r="K91" s="113" t="n"/>
      <c r="L91" s="113" t="n"/>
      <c r="M91" s="113" t="n"/>
      <c r="N91" s="113" t="n"/>
    </row>
    <row r="92">
      <c r="A92" s="113" t="n"/>
      <c r="B92" s="115" t="inlineStr">
        <is>
          <t>6. 유통사별 품목별 매출 분석</t>
        </is>
      </c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6" t="inlineStr">
        <is>
          <t>품목</t>
        </is>
      </c>
      <c r="C93" s="116" t="inlineStr">
        <is>
          <t>구분</t>
        </is>
      </c>
      <c r="D93" s="116" t="inlineStr">
        <is>
          <t>총 계</t>
        </is>
      </c>
      <c r="E93" s="116" t="inlineStr">
        <is>
          <t>네이버</t>
        </is>
      </c>
      <c r="F93" s="116" t="inlineStr">
        <is>
          <t>지마켓</t>
        </is>
      </c>
      <c r="G93" s="116" t="inlineStr">
        <is>
          <t>롯데ON</t>
        </is>
      </c>
      <c r="H93" s="116" t="inlineStr">
        <is>
          <t>온누리마켓</t>
        </is>
      </c>
      <c r="I93" s="116" t="inlineStr">
        <is>
          <t>농가살리기</t>
        </is>
      </c>
      <c r="J93" s="116" t="inlineStr">
        <is>
          <t>오아시스</t>
        </is>
      </c>
      <c r="K93" s="113" t="n"/>
      <c r="L93" s="113" t="n"/>
      <c r="M93" s="113" t="n"/>
      <c r="N93" s="113" t="n"/>
    </row>
    <row r="94">
      <c r="A94" s="113" t="n"/>
      <c r="B94" s="116" t="inlineStr">
        <is>
          <t>총 계</t>
        </is>
      </c>
      <c r="C94" s="117" t="n"/>
      <c r="D94" s="124">
        <f>SUM(E94:J94)</f>
        <v/>
      </c>
      <c r="E94" s="124">
        <f>E95+E98+E101</f>
        <v/>
      </c>
      <c r="F94" s="124">
        <f>F95+F98+F101</f>
        <v/>
      </c>
      <c r="G94" s="124">
        <f>G95+G98+G101</f>
        <v/>
      </c>
      <c r="H94" s="124">
        <f>H95+H98+H101</f>
        <v/>
      </c>
      <c r="I94" s="124">
        <f>I95+I98+I101</f>
        <v/>
      </c>
      <c r="J94" s="124">
        <f>J95+J98+J101</f>
        <v/>
      </c>
      <c r="K94" s="113" t="n"/>
      <c r="L94" s="113" t="n"/>
      <c r="M94" s="113" t="n"/>
      <c r="N94" s="113" t="n"/>
    </row>
    <row r="95">
      <c r="A95" s="113" t="n"/>
      <c r="B95" s="118" t="inlineStr">
        <is>
          <t>농산물</t>
        </is>
      </c>
      <c r="C95" s="118" t="inlineStr">
        <is>
          <t>소 계</t>
        </is>
      </c>
      <c r="D95" s="125">
        <f>SUM(E95:J95)</f>
        <v/>
      </c>
      <c r="E95" s="125">
        <f>E96+E97</f>
        <v/>
      </c>
      <c r="F95" s="125">
        <f>F96+F97</f>
        <v/>
      </c>
      <c r="G95" s="125">
        <f>G96+G97</f>
        <v/>
      </c>
      <c r="H95" s="125">
        <f>H96+H97</f>
        <v/>
      </c>
      <c r="I95" s="125">
        <f>I96+I97</f>
        <v/>
      </c>
      <c r="J95" s="125">
        <f>J96+J97</f>
        <v/>
      </c>
      <c r="K95" s="113" t="n"/>
      <c r="L95" s="113" t="n"/>
      <c r="M95" s="113" t="n"/>
      <c r="N95" s="113" t="n"/>
    </row>
    <row r="96">
      <c r="A96" s="113" t="n"/>
      <c r="B96" s="126" t="n"/>
      <c r="C96" s="119" t="inlineStr">
        <is>
          <t>7월</t>
        </is>
      </c>
      <c r="D96" s="120">
        <f>SUM(E96:J96)</f>
        <v/>
      </c>
      <c r="E96" s="120" t="n">
        <v>563900600</v>
      </c>
      <c r="F96" s="120" t="n">
        <v>401364480</v>
      </c>
      <c r="G96" s="120" t="n">
        <v>86153550</v>
      </c>
      <c r="H96" s="120" t="n">
        <v>42349200</v>
      </c>
      <c r="I96" s="120" t="n">
        <v>41187820</v>
      </c>
      <c r="J96" s="120" t="n">
        <v>315486590</v>
      </c>
      <c r="K96" s="113" t="n"/>
      <c r="L96" s="113" t="n"/>
      <c r="M96" s="113" t="n"/>
      <c r="N96" s="113" t="n"/>
    </row>
    <row r="97">
      <c r="A97" s="113" t="n"/>
      <c r="B97" s="121" t="n"/>
      <c r="C97" s="119" t="inlineStr">
        <is>
          <t>8월</t>
        </is>
      </c>
      <c r="D97" s="120">
        <f>SUM(E97:J97)</f>
        <v/>
      </c>
      <c r="E97" s="120">
        <f>SUMIFS('①농산물raw'!$G$6:$G$1454,'①농산물raw'!$A$6:$A$1454,E$93,'①농산물raw'!$B$6:$B$1454,$B95)-E96</f>
        <v/>
      </c>
      <c r="F97" s="120">
        <f>SUMIFS('①농산물raw'!$G$6:$G$1454,'①농산물raw'!$A$6:$A$1454,F$93,'①농산물raw'!$B$6:$B$1454,$B95)-F96</f>
        <v/>
      </c>
      <c r="G97" s="120">
        <f>SUMIFS('①농산물raw'!$G$6:$G$1454,'①농산물raw'!$A$6:$A$1454,G$93,'①농산물raw'!$B$6:$B$1454,$B95)-G96</f>
        <v/>
      </c>
      <c r="H97" s="120">
        <f>SUMIFS('①농산물raw'!$G$6:$G$1454,'①농산물raw'!$A$6:$A$1454,H$93,'①농산물raw'!$B$6:$B$1454,$B95)-H96</f>
        <v/>
      </c>
      <c r="I97" s="120">
        <f>SUMIFS('①농산물raw'!$G$6:$G$1454,'①농산물raw'!$A$6:$A$1454,I$93,'①농산물raw'!$B$6:$B$1454,$B95)-I96</f>
        <v/>
      </c>
      <c r="J97" s="120">
        <f>SUMIFS('①농산물raw'!$G$6:$G$1454,'①농산물raw'!$A$6:$A$1454,J$93,'①농산물raw'!$B$6:$B$1454,$B95)-J96</f>
        <v/>
      </c>
      <c r="K97" s="113" t="n"/>
      <c r="L97" s="113" t="n"/>
      <c r="M97" s="113" t="n"/>
      <c r="N97" s="113" t="n"/>
    </row>
    <row r="98">
      <c r="A98" s="113" t="n"/>
      <c r="B98" s="118" t="inlineStr">
        <is>
          <t>축산물</t>
        </is>
      </c>
      <c r="C98" s="118" t="inlineStr">
        <is>
          <t>소 계</t>
        </is>
      </c>
      <c r="D98" s="125">
        <f>SUM(E98:J98)</f>
        <v/>
      </c>
      <c r="E98" s="125">
        <f>E99+E100</f>
        <v/>
      </c>
      <c r="F98" s="125">
        <f>F99+F100</f>
        <v/>
      </c>
      <c r="G98" s="125">
        <f>G99+G100</f>
        <v/>
      </c>
      <c r="H98" s="125">
        <f>H99+H100</f>
        <v/>
      </c>
      <c r="I98" s="125">
        <f>I99+I100</f>
        <v/>
      </c>
      <c r="J98" s="125">
        <f>J99+J100</f>
        <v/>
      </c>
      <c r="K98" s="113" t="n"/>
      <c r="L98" s="113" t="n"/>
      <c r="M98" s="113" t="n"/>
      <c r="N98" s="113" t="n"/>
    </row>
    <row r="99">
      <c r="A99" s="113" t="n"/>
      <c r="B99" s="126" t="n"/>
      <c r="C99" s="119" t="inlineStr">
        <is>
          <t>7월</t>
        </is>
      </c>
      <c r="D99" s="120">
        <f>SUM(E99:J99)</f>
        <v/>
      </c>
      <c r="E99" s="120" t="n">
        <v>174615900</v>
      </c>
      <c r="F99" s="120" t="n">
        <v>28591600</v>
      </c>
      <c r="G99" s="120" t="n">
        <v>94872920</v>
      </c>
      <c r="H99" s="120" t="n">
        <v>0</v>
      </c>
      <c r="I99" s="120" t="n">
        <v>0</v>
      </c>
      <c r="J99" s="120" t="n">
        <v>185800</v>
      </c>
      <c r="K99" s="113" t="n"/>
      <c r="L99" s="113" t="n"/>
      <c r="M99" s="113" t="n"/>
      <c r="N99" s="113" t="n"/>
    </row>
    <row r="100">
      <c r="A100" s="113" t="n"/>
      <c r="B100" s="121" t="n"/>
      <c r="C100" s="119" t="inlineStr">
        <is>
          <t>8월</t>
        </is>
      </c>
      <c r="D100" s="120">
        <f>SUM(E100:J100)</f>
        <v/>
      </c>
      <c r="E100" s="120">
        <f>SUMIFS('①농산물raw'!$G$6:$G$1454,'①농산물raw'!$A$6:$A$1454,E$93,'①농산물raw'!$B$6:$B$1454,$B98)-E99</f>
        <v/>
      </c>
      <c r="F100" s="120">
        <f>SUMIFS('①농산물raw'!$G$6:$G$1454,'①농산물raw'!$A$6:$A$1454,F$93,'①농산물raw'!$B$6:$B$1454,$B98)-F99</f>
        <v/>
      </c>
      <c r="G100" s="120">
        <f>SUMIFS('①농산물raw'!$G$6:$G$1454,'①농산물raw'!$A$6:$A$1454,G$93,'①농산물raw'!$B$6:$B$1454,$B98)-G99</f>
        <v/>
      </c>
      <c r="H100" s="120">
        <f>SUMIFS('①농산물raw'!$G$6:$G$1454,'①농산물raw'!$A$6:$A$1454,H$93,'①농산물raw'!$B$6:$B$1454,$B98)-H99</f>
        <v/>
      </c>
      <c r="I100" s="120">
        <f>SUMIFS('①농산물raw'!$G$6:$G$1454,'①농산물raw'!$A$6:$A$1454,I$93,'①농산물raw'!$B$6:$B$1454,$B98)-I99</f>
        <v/>
      </c>
      <c r="J100" s="120">
        <f>SUMIFS('①농산물raw'!$G$6:$G$1454,'①농산물raw'!$A$6:$A$1454,J$93,'①농산물raw'!$B$6:$B$1454,$B98)-J99</f>
        <v/>
      </c>
      <c r="K100" s="113" t="n"/>
      <c r="L100" s="113" t="n"/>
      <c r="M100" s="113" t="n"/>
      <c r="N100" s="113" t="n"/>
    </row>
    <row r="101">
      <c r="A101" s="113" t="n"/>
      <c r="B101" s="118" t="inlineStr">
        <is>
          <t>가공식품</t>
        </is>
      </c>
      <c r="C101" s="118" t="inlineStr">
        <is>
          <t>소 계</t>
        </is>
      </c>
      <c r="D101" s="125">
        <f>SUM(E101:J101)</f>
        <v/>
      </c>
      <c r="E101" s="125">
        <f>E102+E103</f>
        <v/>
      </c>
      <c r="F101" s="125">
        <f>F102+F103</f>
        <v/>
      </c>
      <c r="G101" s="125">
        <f>G102+G103</f>
        <v/>
      </c>
      <c r="H101" s="125">
        <f>H102+H103</f>
        <v/>
      </c>
      <c r="I101" s="125">
        <f>I102+I103</f>
        <v/>
      </c>
      <c r="J101" s="125">
        <f>J102+J103</f>
        <v/>
      </c>
      <c r="K101" s="113" t="n"/>
      <c r="L101" s="113" t="n"/>
      <c r="M101" s="113" t="n"/>
      <c r="N101" s="113" t="n"/>
    </row>
    <row r="102">
      <c r="A102" s="113" t="n"/>
      <c r="B102" s="126" t="n"/>
      <c r="C102" s="119" t="inlineStr">
        <is>
          <t>7월</t>
        </is>
      </c>
      <c r="D102" s="120">
        <f>SUM(E102:J102)</f>
        <v/>
      </c>
      <c r="E102" s="120" t="n">
        <v>409967200</v>
      </c>
      <c r="F102" s="120" t="n">
        <v>340464350</v>
      </c>
      <c r="G102" s="120" t="n">
        <v>80050740</v>
      </c>
      <c r="H102" s="120" t="n">
        <v>4022000</v>
      </c>
      <c r="I102" s="120" t="n">
        <v>182117383</v>
      </c>
      <c r="J102" s="120" t="n">
        <v>170884300</v>
      </c>
      <c r="K102" s="113" t="n"/>
      <c r="L102" s="113" t="n"/>
      <c r="M102" s="113" t="n"/>
      <c r="N102" s="113" t="n"/>
    </row>
    <row r="103">
      <c r="A103" s="113" t="n"/>
      <c r="B103" s="121" t="n"/>
      <c r="C103" s="119" t="inlineStr">
        <is>
          <t>8월</t>
        </is>
      </c>
      <c r="D103" s="120">
        <f>SUM(E103:J103)</f>
        <v/>
      </c>
      <c r="E103" s="120">
        <f>SUMIFS('①농산물raw'!$G$6:$G$1454,'①농산물raw'!$A$6:$A$1454,E$93,'①농산물raw'!$B$6:$B$1454,$B101)-E102</f>
        <v/>
      </c>
      <c r="F103" s="120">
        <f>SUMIFS('①농산물raw'!$G$6:$G$1454,'①농산물raw'!$A$6:$A$1454,F$93,'①농산물raw'!$B$6:$B$1454,$B101)-F102</f>
        <v/>
      </c>
      <c r="G103" s="120">
        <f>SUMIFS('①농산물raw'!$G$6:$G$1454,'①농산물raw'!$A$6:$A$1454,G$93,'①농산물raw'!$B$6:$B$1454,$B101)-G102</f>
        <v/>
      </c>
      <c r="H103" s="120">
        <f>SUMIFS('①농산물raw'!$G$6:$G$1454,'①농산물raw'!$A$6:$A$1454,H$93,'①농산물raw'!$B$6:$B$1454,$B101)-H102</f>
        <v/>
      </c>
      <c r="I103" s="120">
        <f>SUMIFS('①농산물raw'!$G$6:$G$1454,'①농산물raw'!$A$6:$A$1454,I$93,'①농산물raw'!$B$6:$B$1454,$B101)-I102</f>
        <v/>
      </c>
      <c r="J103" s="120">
        <f>SUMIFS('①농산물raw'!$G$6:$G$1454,'①농산물raw'!$A$6:$A$1454,J$93,'①농산물raw'!$B$6:$B$1454,$B101)-J102</f>
        <v/>
      </c>
      <c r="K103" s="113" t="n"/>
      <c r="L103" s="113" t="n"/>
      <c r="M103" s="113" t="n"/>
      <c r="N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</row>
    <row r="105" ht="19.2" customHeight="1" s="21">
      <c r="A105" s="113" t="n"/>
      <c r="B105" s="115" t="inlineStr">
        <is>
          <t>7. 유통사별 품목별 판매 건수</t>
        </is>
      </c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6" t="inlineStr">
        <is>
          <t>품목</t>
        </is>
      </c>
      <c r="C106" s="116" t="inlineStr">
        <is>
          <t>구분</t>
        </is>
      </c>
      <c r="D106" s="116" t="inlineStr">
        <is>
          <t>총 계</t>
        </is>
      </c>
      <c r="E106" s="116" t="inlineStr">
        <is>
          <t>네이버</t>
        </is>
      </c>
      <c r="F106" s="116" t="inlineStr">
        <is>
          <t>지마켓</t>
        </is>
      </c>
      <c r="G106" s="116" t="inlineStr">
        <is>
          <t>롯데ON</t>
        </is>
      </c>
      <c r="H106" s="116" t="inlineStr">
        <is>
          <t>온누리마켓</t>
        </is>
      </c>
      <c r="I106" s="116" t="inlineStr">
        <is>
          <t>농가살리기</t>
        </is>
      </c>
      <c r="J106" s="116" t="inlineStr">
        <is>
          <t>오아시스</t>
        </is>
      </c>
      <c r="K106" s="113" t="n"/>
      <c r="L106" s="113" t="n"/>
      <c r="M106" s="113" t="n"/>
      <c r="N106" s="113" t="n"/>
    </row>
    <row r="107">
      <c r="A107" s="113" t="n"/>
      <c r="B107" s="116" t="inlineStr">
        <is>
          <t>총 계</t>
        </is>
      </c>
      <c r="C107" s="117" t="n"/>
      <c r="D107" s="124">
        <f>SUM(E107:J107)</f>
        <v/>
      </c>
      <c r="E107" s="124">
        <f>E108+E111+E114</f>
        <v/>
      </c>
      <c r="F107" s="124">
        <f>F108+F111+F114</f>
        <v/>
      </c>
      <c r="G107" s="124">
        <f>G108+G111+G114</f>
        <v/>
      </c>
      <c r="H107" s="124">
        <f>H108+H111+H114</f>
        <v/>
      </c>
      <c r="I107" s="124">
        <f>I108+I111+I114</f>
        <v/>
      </c>
      <c r="J107" s="124">
        <f>J108+J111+J114</f>
        <v/>
      </c>
      <c r="K107" s="113" t="n"/>
      <c r="L107" s="113" t="n"/>
      <c r="M107" s="113" t="n"/>
      <c r="N107" s="113" t="n"/>
    </row>
    <row r="108">
      <c r="A108" s="113" t="n"/>
      <c r="B108" s="118" t="inlineStr">
        <is>
          <t>농산물</t>
        </is>
      </c>
      <c r="C108" s="118" t="inlineStr">
        <is>
          <t>소 계</t>
        </is>
      </c>
      <c r="D108" s="125">
        <f>SUM(E108:J108)</f>
        <v/>
      </c>
      <c r="E108" s="125">
        <f>E109+E110</f>
        <v/>
      </c>
      <c r="F108" s="125">
        <f>F109+F110</f>
        <v/>
      </c>
      <c r="G108" s="125">
        <f>G109+G110</f>
        <v/>
      </c>
      <c r="H108" s="125">
        <f>H109+H110</f>
        <v/>
      </c>
      <c r="I108" s="125">
        <f>I109+I110</f>
        <v/>
      </c>
      <c r="J108" s="125">
        <f>J109+J110</f>
        <v/>
      </c>
      <c r="K108" s="113" t="n"/>
      <c r="L108" s="113" t="n"/>
      <c r="M108" s="113" t="n"/>
      <c r="N108" s="113" t="n"/>
    </row>
    <row r="109">
      <c r="A109" s="113" t="n"/>
      <c r="B109" s="126" t="n"/>
      <c r="C109" s="119" t="inlineStr">
        <is>
          <t>7월</t>
        </is>
      </c>
      <c r="D109" s="120">
        <f>SUM(E109:J109)</f>
        <v/>
      </c>
      <c r="E109" s="120" t="n">
        <v>18947</v>
      </c>
      <c r="F109" s="120" t="n">
        <v>16003</v>
      </c>
      <c r="G109" s="120" t="n">
        <v>5393</v>
      </c>
      <c r="H109" s="120" t="n">
        <v>1136</v>
      </c>
      <c r="I109" s="120" t="n">
        <v>2619</v>
      </c>
      <c r="J109" s="120" t="n">
        <v>92871</v>
      </c>
      <c r="K109" s="113" t="n"/>
      <c r="L109" s="113" t="n"/>
      <c r="M109" s="113" t="n"/>
      <c r="N109" s="113" t="n"/>
    </row>
    <row r="110">
      <c r="A110" s="113" t="n"/>
      <c r="B110" s="121" t="n"/>
      <c r="C110" s="119" t="inlineStr">
        <is>
          <t>8월</t>
        </is>
      </c>
      <c r="D110" s="120">
        <f>SUM(E110:J110)</f>
        <v/>
      </c>
      <c r="E110" s="120">
        <f>SUMIFS('①농산물raw'!$F$6:$F$1454,'①농산물raw'!$A$6:$A$1454,E$106,'①농산물raw'!$B$6:$B$1454,$B108)-E109</f>
        <v/>
      </c>
      <c r="F110" s="120">
        <f>SUMIFS('①농산물raw'!$F$6:$F$1454,'①농산물raw'!$A$6:$A$1454,F$106,'①농산물raw'!$B$6:$B$1454,$B108)-F109</f>
        <v/>
      </c>
      <c r="G110" s="120">
        <f>SUMIFS('①농산물raw'!$F$6:$F$1454,'①농산물raw'!$A$6:$A$1454,G$106,'①농산물raw'!$B$6:$B$1454,$B108)-G109</f>
        <v/>
      </c>
      <c r="H110" s="120">
        <f>SUMIFS('①농산물raw'!$F$6:$F$1454,'①농산물raw'!$A$6:$A$1454,H$106,'①농산물raw'!$B$6:$B$1454,$B108)-H109</f>
        <v/>
      </c>
      <c r="I110" s="120">
        <f>SUMIFS('①농산물raw'!$F$6:$F$1454,'①농산물raw'!$A$6:$A$1454,I$106,'①농산물raw'!$B$6:$B$1454,$B108)-I109</f>
        <v/>
      </c>
      <c r="J110" s="120">
        <f>SUMIFS('①농산물raw'!$F$6:$F$1454,'①농산물raw'!$A$6:$A$1454,J$106,'①농산물raw'!$B$6:$B$1454,$B108)-J109</f>
        <v/>
      </c>
      <c r="K110" s="113" t="n"/>
      <c r="L110" s="113" t="n"/>
      <c r="M110" s="113" t="n"/>
      <c r="N110" s="113" t="n"/>
    </row>
    <row r="111">
      <c r="A111" s="113" t="n"/>
      <c r="B111" s="118" t="inlineStr">
        <is>
          <t>축산물</t>
        </is>
      </c>
      <c r="C111" s="118" t="inlineStr">
        <is>
          <t>소 계</t>
        </is>
      </c>
      <c r="D111" s="125">
        <f>SUM(E111:J111)</f>
        <v/>
      </c>
      <c r="E111" s="125">
        <f>E112+E113</f>
        <v/>
      </c>
      <c r="F111" s="125">
        <f>F112+F113</f>
        <v/>
      </c>
      <c r="G111" s="125">
        <f>G112+G113</f>
        <v/>
      </c>
      <c r="H111" s="125">
        <f>H112+H113</f>
        <v/>
      </c>
      <c r="I111" s="125">
        <f>I112+I113</f>
        <v/>
      </c>
      <c r="J111" s="125">
        <f>J112+J113</f>
        <v/>
      </c>
      <c r="K111" s="113" t="n"/>
      <c r="L111" s="113" t="n"/>
      <c r="M111" s="113" t="n"/>
      <c r="N111" s="113" t="n"/>
    </row>
    <row r="112">
      <c r="A112" s="113" t="n"/>
      <c r="B112" s="126" t="n"/>
      <c r="C112" s="119" t="inlineStr">
        <is>
          <t>7월</t>
        </is>
      </c>
      <c r="D112" s="120">
        <f>SUM(E112:J112)</f>
        <v/>
      </c>
      <c r="E112" s="120" t="n">
        <v>5918</v>
      </c>
      <c r="F112" s="120" t="n">
        <v>1102</v>
      </c>
      <c r="G112" s="120" t="n">
        <v>3058</v>
      </c>
      <c r="H112" s="120" t="n">
        <v>0</v>
      </c>
      <c r="I112" s="120" t="n">
        <v>0</v>
      </c>
      <c r="J112" s="120" t="n">
        <v>6</v>
      </c>
      <c r="K112" s="113" t="n"/>
      <c r="L112" s="113" t="n"/>
      <c r="M112" s="113" t="n"/>
      <c r="N112" s="113" t="n"/>
    </row>
    <row r="113">
      <c r="A113" s="113" t="n"/>
      <c r="B113" s="121" t="n"/>
      <c r="C113" s="119" t="inlineStr">
        <is>
          <t>8월</t>
        </is>
      </c>
      <c r="D113" s="120">
        <f>SUM(E113:J113)</f>
        <v/>
      </c>
      <c r="E113" s="120">
        <f>SUMIFS('①농산물raw'!$F$6:$F$1454,'①농산물raw'!$A$6:$A$1454,E$106,'①농산물raw'!$B$6:$B$1454,$B111)-E112</f>
        <v/>
      </c>
      <c r="F113" s="120">
        <f>SUMIFS('①농산물raw'!$F$6:$F$1454,'①농산물raw'!$A$6:$A$1454,F$106,'①농산물raw'!$B$6:$B$1454,$B111)-F112</f>
        <v/>
      </c>
      <c r="G113" s="120">
        <f>SUMIFS('①농산물raw'!$F$6:$F$1454,'①농산물raw'!$A$6:$A$1454,G$106,'①농산물raw'!$B$6:$B$1454,$B111)-G112</f>
        <v/>
      </c>
      <c r="H113" s="120">
        <f>SUMIFS('①농산물raw'!$F$6:$F$1454,'①농산물raw'!$A$6:$A$1454,H$106,'①농산물raw'!$B$6:$B$1454,$B111)-H112</f>
        <v/>
      </c>
      <c r="I113" s="120">
        <f>SUMIFS('①농산물raw'!$F$6:$F$1454,'①농산물raw'!$A$6:$A$1454,I$106,'①농산물raw'!$B$6:$B$1454,$B111)-I112</f>
        <v/>
      </c>
      <c r="J113" s="120">
        <f>SUMIFS('①농산물raw'!$F$6:$F$1454,'①농산물raw'!$A$6:$A$1454,J$106,'①농산물raw'!$B$6:$B$1454,$B111)-J112</f>
        <v/>
      </c>
      <c r="K113" s="113" t="n"/>
      <c r="L113" s="113" t="n"/>
      <c r="M113" s="113" t="n"/>
      <c r="N113" s="113" t="n"/>
    </row>
    <row r="114">
      <c r="A114" s="113" t="n"/>
      <c r="B114" s="118" t="inlineStr">
        <is>
          <t>가공식품</t>
        </is>
      </c>
      <c r="C114" s="118" t="inlineStr">
        <is>
          <t>소 계</t>
        </is>
      </c>
      <c r="D114" s="125">
        <f>SUM(E114:J114)</f>
        <v/>
      </c>
      <c r="E114" s="125">
        <f>E115+E116</f>
        <v/>
      </c>
      <c r="F114" s="125">
        <f>F115+F116</f>
        <v/>
      </c>
      <c r="G114" s="125">
        <f>G115+G116</f>
        <v/>
      </c>
      <c r="H114" s="125">
        <f>H115+H116</f>
        <v/>
      </c>
      <c r="I114" s="125">
        <f>I115+I116</f>
        <v/>
      </c>
      <c r="J114" s="125">
        <f>J115+J116</f>
        <v/>
      </c>
      <c r="K114" s="113" t="n"/>
      <c r="L114" s="113" t="n"/>
      <c r="M114" s="113" t="n"/>
      <c r="N114" s="113" t="n"/>
    </row>
    <row r="115">
      <c r="A115" s="113" t="n"/>
      <c r="B115" s="126" t="n"/>
      <c r="C115" s="119" t="inlineStr">
        <is>
          <t>7월</t>
        </is>
      </c>
      <c r="D115" s="120">
        <f>SUM(E115:J115)</f>
        <v/>
      </c>
      <c r="E115" s="120" t="n">
        <v>14728</v>
      </c>
      <c r="F115" s="120" t="n">
        <v>21535</v>
      </c>
      <c r="G115" s="120" t="n">
        <v>2567</v>
      </c>
      <c r="H115" s="120" t="n">
        <v>160</v>
      </c>
      <c r="I115" s="120" t="n">
        <v>12060</v>
      </c>
      <c r="J115" s="120" t="n">
        <v>28456</v>
      </c>
      <c r="K115" s="113" t="n"/>
      <c r="L115" s="113" t="n"/>
      <c r="M115" s="113" t="n"/>
      <c r="N115" s="113" t="n"/>
    </row>
    <row r="116">
      <c r="A116" s="113" t="n"/>
      <c r="B116" s="121" t="n"/>
      <c r="C116" s="119" t="inlineStr">
        <is>
          <t>8월</t>
        </is>
      </c>
      <c r="D116" s="120">
        <f>SUM(E116:J116)</f>
        <v/>
      </c>
      <c r="E116" s="120">
        <f>SUMIFS('①농산물raw'!$F$6:$F$1454,'①농산물raw'!$A$6:$A$1454,E$106,'①농산물raw'!$B$6:$B$1454,$B114)-E115</f>
        <v/>
      </c>
      <c r="F116" s="120">
        <f>SUMIFS('①농산물raw'!$F$6:$F$1454,'①농산물raw'!$A$6:$A$1454,F$106,'①농산물raw'!$B$6:$B$1454,$B114)-F115</f>
        <v/>
      </c>
      <c r="G116" s="120">
        <f>SUMIFS('①농산물raw'!$F$6:$F$1454,'①농산물raw'!$A$6:$A$1454,G$106,'①농산물raw'!$B$6:$B$1454,$B114)-G115</f>
        <v/>
      </c>
      <c r="H116" s="120">
        <f>SUMIFS('①농산물raw'!$F$6:$F$1454,'①농산물raw'!$A$6:$A$1454,H$106,'①농산물raw'!$B$6:$B$1454,$B114)-H115</f>
        <v/>
      </c>
      <c r="I116" s="120">
        <f>SUMIFS('①농산물raw'!$F$6:$F$1454,'①농산물raw'!$A$6:$A$1454,I$106,'①농산물raw'!$B$6:$B$1454,$B114)-I115</f>
        <v/>
      </c>
      <c r="J116" s="120">
        <f>SUMIFS('①농산물raw'!$F$6:$F$1454,'①농산물raw'!$A$6:$A$1454,J$106,'①농산물raw'!$B$6:$B$1454,$B114)-J115</f>
        <v/>
      </c>
      <c r="K116" s="113" t="n"/>
      <c r="L116" s="113" t="n"/>
      <c r="M116" s="113" t="n"/>
      <c r="N116" s="113" t="n"/>
    </row>
    <row r="117">
      <c r="A117" s="113" t="n"/>
      <c r="B117" s="113" t="n"/>
      <c r="C117" s="113" t="n"/>
      <c r="D117" s="122" t="n"/>
      <c r="E117" s="122" t="n"/>
      <c r="F117" s="122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4" t="inlineStr">
        <is>
          <t>※ 유기농</t>
        </is>
      </c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5" t="inlineStr">
        <is>
          <t>1. 월별 참여 업체 및 상품 수</t>
        </is>
      </c>
      <c r="C121" s="113" t="n"/>
      <c r="D121" s="122" t="n"/>
      <c r="E121" s="122" t="n"/>
      <c r="F121" s="122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6" t="inlineStr">
        <is>
          <t>구분</t>
        </is>
      </c>
      <c r="C122" s="117" t="n"/>
      <c r="D122" s="123" t="inlineStr">
        <is>
          <t>총 계</t>
        </is>
      </c>
      <c r="E122" s="123" t="inlineStr">
        <is>
          <t>네이버</t>
        </is>
      </c>
      <c r="F122" s="123" t="inlineStr">
        <is>
          <t>오아시스</t>
        </is>
      </c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8" t="inlineStr">
        <is>
          <t>7월</t>
        </is>
      </c>
      <c r="C123" s="119" t="inlineStr">
        <is>
          <t>업체수</t>
        </is>
      </c>
      <c r="D123" s="120">
        <f>SUMPRODUCT(--(유기농업체!$C$3:$C$57&lt;&gt;""))</f>
        <v/>
      </c>
      <c r="E123" s="120">
        <f>SUMPRODUCT(--(SUBSTITUTE(유기농업체!$E$3:$E$57,"롯데온","롯데ON")=E$122))</f>
        <v/>
      </c>
      <c r="F123" s="120">
        <f>SUMPRODUCT(--(SUBSTITUTE(유기농업체!$E$3:$E$57,"롯데온","롯데ON")=F$122))</f>
        <v/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21" t="n"/>
      <c r="C124" s="119" t="inlineStr">
        <is>
          <t>상품수</t>
        </is>
      </c>
      <c r="D124" s="120">
        <f>SUM(E124:F124)</f>
        <v/>
      </c>
      <c r="E124" s="120" t="n">
        <v>85</v>
      </c>
      <c r="F124" s="120" t="n">
        <v>90</v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18" t="inlineStr">
        <is>
          <t>8월</t>
        </is>
      </c>
      <c r="C125" s="119" t="inlineStr">
        <is>
          <t>업체수</t>
        </is>
      </c>
      <c r="D125" s="120">
        <f>SUM(E125:F125)</f>
        <v/>
      </c>
      <c r="E125" s="120">
        <f>E123</f>
        <v/>
      </c>
      <c r="F125" s="120">
        <f>F123</f>
        <v/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21" t="n"/>
      <c r="C126" s="119" t="inlineStr">
        <is>
          <t>상품수</t>
        </is>
      </c>
      <c r="D126" s="120">
        <f>SUM(E126:F126)</f>
        <v/>
      </c>
      <c r="E126" s="120">
        <f>COUNTIF('②유기농raw'!$A$6:$A$207,E$122)-E124</f>
        <v/>
      </c>
      <c r="F126" s="120">
        <f>COUNTIF('②유기농raw'!$A$6:$A$207,F$122)-F124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13" t="n"/>
      <c r="C127" s="113" t="n"/>
      <c r="D127" s="122" t="n"/>
      <c r="E127" s="122" t="n"/>
      <c r="F127" s="122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5" t="inlineStr">
        <is>
          <t>2. 유통사 별 쿠폰 사용액</t>
        </is>
      </c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6" t="inlineStr">
        <is>
          <t>구분</t>
        </is>
      </c>
      <c r="C129" s="117" t="n"/>
      <c r="D129" s="116" t="inlineStr">
        <is>
          <t>총 계</t>
        </is>
      </c>
      <c r="E129" s="116" t="inlineStr">
        <is>
          <t>네이버</t>
        </is>
      </c>
      <c r="F129" s="116" t="inlineStr">
        <is>
          <t>오아시스</t>
        </is>
      </c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총 계</t>
        </is>
      </c>
      <c r="C130" s="117" t="n"/>
      <c r="D130" s="124">
        <f>SUM(E130:F130)</f>
        <v/>
      </c>
      <c r="E130" s="124">
        <f>E131+E132</f>
        <v/>
      </c>
      <c r="F130" s="124">
        <f>F131+F132</f>
        <v/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8" t="inlineStr">
        <is>
          <t>7월</t>
        </is>
      </c>
      <c r="C131" s="117" t="n"/>
      <c r="D131" s="120">
        <f>SUM(E131:F131)</f>
        <v/>
      </c>
      <c r="E131" s="120" t="n">
        <v>10413500</v>
      </c>
      <c r="F131" s="120" t="n">
        <v>9620431</v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8월</t>
        </is>
      </c>
      <c r="C132" s="117" t="n"/>
      <c r="D132" s="120">
        <f>SUM(E132:F132)</f>
        <v/>
      </c>
      <c r="E132" s="120">
        <f>SUMIF('②유기농raw'!$A$6:$A$207,E$129,'②유기농raw'!$H$6:$H$207)-E131</f>
        <v/>
      </c>
      <c r="F132" s="120">
        <f>SUMIF('②유기농raw'!$A$6:$A$207,F$129,'②유기농raw'!$H$6:$H$207)-F131</f>
        <v/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쿠폰 배정액</t>
        </is>
      </c>
      <c r="C133" s="117" t="n"/>
      <c r="D133" s="125">
        <f>SUM(E133:F133)</f>
        <v/>
      </c>
      <c r="E133" s="125" t="n">
        <v>50000000</v>
      </c>
      <c r="F133" s="125" t="n">
        <v>50000000</v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잔여금액</t>
        </is>
      </c>
      <c r="C134" s="117" t="n"/>
      <c r="D134" s="125">
        <f>SUM(E134:F134)</f>
        <v/>
      </c>
      <c r="E134" s="125">
        <f>E133-E130</f>
        <v/>
      </c>
      <c r="F134" s="125">
        <f>F133-F130</f>
        <v/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3" t="n"/>
      <c r="C135" s="113" t="n"/>
      <c r="D135" s="122" t="n"/>
      <c r="E135" s="122" t="n"/>
      <c r="F135" s="122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5" t="inlineStr">
        <is>
          <t>3. 유통사 별 매출 분석</t>
        </is>
      </c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6" t="inlineStr">
        <is>
          <t>구분</t>
        </is>
      </c>
      <c r="C137" s="117" t="n"/>
      <c r="D137" s="123" t="inlineStr">
        <is>
          <t>총 계</t>
        </is>
      </c>
      <c r="E137" s="123" t="inlineStr">
        <is>
          <t>네이버</t>
        </is>
      </c>
      <c r="F137" s="123" t="inlineStr">
        <is>
          <t>오아시스</t>
        </is>
      </c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총 계</t>
        </is>
      </c>
      <c r="C138" s="117" t="n"/>
      <c r="D138" s="124">
        <f>SUM(E138:F138)</f>
        <v/>
      </c>
      <c r="E138" s="124">
        <f>E139+E140</f>
        <v/>
      </c>
      <c r="F138" s="124">
        <f>F139+F140</f>
        <v/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8" t="inlineStr">
        <is>
          <t>7월</t>
        </is>
      </c>
      <c r="C139" s="117" t="n"/>
      <c r="D139" s="120">
        <f>SUM(E139:F139)</f>
        <v/>
      </c>
      <c r="E139" s="120" t="n">
        <v>108372830</v>
      </c>
      <c r="F139" s="120" t="n">
        <v>538202060</v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8월</t>
        </is>
      </c>
      <c r="C140" s="117" t="n"/>
      <c r="D140" s="120">
        <f>SUM(E140:F140)</f>
        <v/>
      </c>
      <c r="E140" s="120">
        <f>SUMIF('②유기농raw'!$A$6:$A$207,E$137,'②유기농raw'!$G$6:$G$207)-E139</f>
        <v/>
      </c>
      <c r="F140" s="120">
        <f>SUMIF('②유기농raw'!$A$6:$A$207,F$137,'②유기농raw'!$G$6:$G$207)-F139</f>
        <v/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3" t="n"/>
      <c r="C141" s="113" t="n"/>
      <c r="D141" s="122" t="n"/>
      <c r="E141" s="122" t="n"/>
      <c r="F141" s="122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5" t="inlineStr">
        <is>
          <t>4. 유통사 별 판매 건수</t>
        </is>
      </c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6" t="inlineStr">
        <is>
          <t>구분</t>
        </is>
      </c>
      <c r="C143" s="117" t="n"/>
      <c r="D143" s="123" t="inlineStr">
        <is>
          <t>총 계</t>
        </is>
      </c>
      <c r="E143" s="123" t="inlineStr">
        <is>
          <t>네이버</t>
        </is>
      </c>
      <c r="F143" s="123" t="inlineStr">
        <is>
          <t>오아시스</t>
        </is>
      </c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총 계</t>
        </is>
      </c>
      <c r="C144" s="117" t="n"/>
      <c r="D144" s="124">
        <f>SUM(E144:F144)</f>
        <v/>
      </c>
      <c r="E144" s="124">
        <f>E145+E146</f>
        <v/>
      </c>
      <c r="F144" s="124">
        <f>F145+F146</f>
        <v/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8" t="inlineStr">
        <is>
          <t>7월</t>
        </is>
      </c>
      <c r="C145" s="117" t="n"/>
      <c r="D145" s="120">
        <f>SUM(E145:F145)</f>
        <v/>
      </c>
      <c r="E145" s="120" t="n">
        <v>4478</v>
      </c>
      <c r="F145" s="120" t="n">
        <v>123173</v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8월</t>
        </is>
      </c>
      <c r="C146" s="117" t="n"/>
      <c r="D146" s="120">
        <f>SUM(E146:F146)</f>
        <v/>
      </c>
      <c r="E146" s="120">
        <f>SUMIF('②유기농raw'!$A$6:$A$207,E$143,'②유기농raw'!$F$6:$F$207)-E145</f>
        <v/>
      </c>
      <c r="F146" s="120">
        <f>SUMIF('②유기농raw'!$A$6:$A$207,F$143,'②유기농raw'!$F$6:$F$207)-F145</f>
        <v/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3" t="n"/>
      <c r="C147" s="113" t="n"/>
      <c r="D147" s="122" t="n"/>
      <c r="E147" s="122" t="n"/>
      <c r="F147" s="122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5" t="inlineStr">
        <is>
          <t>5. 유통사별 품목별 쿠폰 사용액</t>
        </is>
      </c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6" t="inlineStr">
        <is>
          <t>품목</t>
        </is>
      </c>
      <c r="C149" s="116" t="inlineStr">
        <is>
          <t>구분</t>
        </is>
      </c>
      <c r="D149" s="116" t="inlineStr">
        <is>
          <t>총 계</t>
        </is>
      </c>
      <c r="E149" s="116" t="inlineStr">
        <is>
          <t>네이버</t>
        </is>
      </c>
      <c r="F149" s="116" t="inlineStr">
        <is>
          <t>오아시스</t>
        </is>
      </c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총 계</t>
        </is>
      </c>
      <c r="C150" s="117" t="n"/>
      <c r="D150" s="124">
        <f>SUM(E150:F150)</f>
        <v/>
      </c>
      <c r="E150" s="124">
        <f>E151+E154+E157</f>
        <v/>
      </c>
      <c r="F150" s="124">
        <f>F151+F154+F157</f>
        <v/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8" t="inlineStr">
        <is>
          <t>농산물</t>
        </is>
      </c>
      <c r="C151" s="118" t="inlineStr">
        <is>
          <t>소 계</t>
        </is>
      </c>
      <c r="D151" s="125">
        <f>SUM(E151:F151)</f>
        <v/>
      </c>
      <c r="E151" s="125">
        <f>E152+E153</f>
        <v/>
      </c>
      <c r="F151" s="125">
        <f>F152+F153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26" t="n"/>
      <c r="C152" s="119" t="inlineStr">
        <is>
          <t>7월</t>
        </is>
      </c>
      <c r="D152" s="120">
        <f>SUM(E152:F152)</f>
        <v/>
      </c>
      <c r="E152" s="120" t="n">
        <v>8603490</v>
      </c>
      <c r="F152" s="120" t="n">
        <v>4825119</v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1" t="n"/>
      <c r="C153" s="119" t="inlineStr">
        <is>
          <t>8월</t>
        </is>
      </c>
      <c r="D153" s="120">
        <f>SUM(E153:F153)</f>
        <v/>
      </c>
      <c r="E153" s="120">
        <f>SUMIFS('②유기농raw'!$H$6:$H$207,'②유기농raw'!$A$6:$A$207,E$149,'②유기농raw'!$B$6:$B$207,$B151)-E152</f>
        <v/>
      </c>
      <c r="F153" s="120">
        <f>SUMIFS('②유기농raw'!$H$6:$H$207,'②유기농raw'!$A$6:$A$207,F$149,'②유기농raw'!$B$6:$B$207,$B151)-F152</f>
        <v/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18" t="inlineStr">
        <is>
          <t>축산물</t>
        </is>
      </c>
      <c r="C154" s="118" t="inlineStr">
        <is>
          <t>소 계</t>
        </is>
      </c>
      <c r="D154" s="125">
        <f>SUM(E154:F154)</f>
        <v/>
      </c>
      <c r="E154" s="125">
        <f>E155+E156</f>
        <v/>
      </c>
      <c r="F154" s="125">
        <f>F155+F156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26" t="n"/>
      <c r="C155" s="119" t="inlineStr">
        <is>
          <t>7월</t>
        </is>
      </c>
      <c r="D155" s="120">
        <f>SUM(E155:F155)</f>
        <v/>
      </c>
      <c r="E155" s="120" t="n">
        <v>25800</v>
      </c>
      <c r="F155" s="120" t="n">
        <v>251120</v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1" t="n"/>
      <c r="C156" s="119" t="inlineStr">
        <is>
          <t>8월</t>
        </is>
      </c>
      <c r="D156" s="120">
        <f>SUM(E156:F156)</f>
        <v/>
      </c>
      <c r="E156" s="120">
        <f>SUMIFS('②유기농raw'!$H$6:$H$207,'②유기농raw'!$A$6:$A$207,E$149,'②유기농raw'!$B$6:$B$207,$B154)-E155</f>
        <v/>
      </c>
      <c r="F156" s="120">
        <f>SUMIFS('②유기농raw'!$H$6:$H$207,'②유기농raw'!$A$6:$A$207,F$149,'②유기농raw'!$B$6:$B$207,$B154)-F155</f>
        <v/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18" t="inlineStr">
        <is>
          <t>가공식품</t>
        </is>
      </c>
      <c r="C157" s="118" t="inlineStr">
        <is>
          <t>소 계</t>
        </is>
      </c>
      <c r="D157" s="125">
        <f>SUM(E157:F157)</f>
        <v/>
      </c>
      <c r="E157" s="125">
        <f>E158+E159</f>
        <v/>
      </c>
      <c r="F157" s="125">
        <f>F158+F159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26" t="n"/>
      <c r="C158" s="119" t="inlineStr">
        <is>
          <t>7월</t>
        </is>
      </c>
      <c r="D158" s="120">
        <f>SUM(E158:F158)</f>
        <v/>
      </c>
      <c r="E158" s="120" t="n">
        <v>1784210</v>
      </c>
      <c r="F158" s="120" t="n">
        <v>4544192</v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1" t="n"/>
      <c r="C159" s="119" t="inlineStr">
        <is>
          <t>8월</t>
        </is>
      </c>
      <c r="D159" s="120">
        <f>SUM(E159:F159)</f>
        <v/>
      </c>
      <c r="E159" s="120">
        <f>SUMIFS('②유기농raw'!$H$6:$H$207,'②유기농raw'!$A$6:$A$207,E$149,'②유기농raw'!$B$6:$B$207,$B157)-E158</f>
        <v/>
      </c>
      <c r="F159" s="120">
        <f>SUMIFS('②유기농raw'!$H$6:$H$207,'②유기농raw'!$A$6:$A$207,F$149,'②유기농raw'!$B$6:$B$207,$B157)-F158</f>
        <v/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5" t="inlineStr">
        <is>
          <t>6. 유통사별 품목별 매출 분석</t>
        </is>
      </c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6" t="inlineStr">
        <is>
          <t>품목</t>
        </is>
      </c>
      <c r="C162" s="116" t="inlineStr">
        <is>
          <t>구분</t>
        </is>
      </c>
      <c r="D162" s="116" t="inlineStr">
        <is>
          <t>총 계</t>
        </is>
      </c>
      <c r="E162" s="116" t="inlineStr">
        <is>
          <t>네이버</t>
        </is>
      </c>
      <c r="F162" s="116" t="inlineStr">
        <is>
          <t>오아시스</t>
        </is>
      </c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총 계</t>
        </is>
      </c>
      <c r="C163" s="117" t="n"/>
      <c r="D163" s="124">
        <f>SUM(E163:F163)</f>
        <v/>
      </c>
      <c r="E163" s="124">
        <f>E164+E167+E170</f>
        <v/>
      </c>
      <c r="F163" s="124">
        <f>F164+F167+F170</f>
        <v/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8" t="inlineStr">
        <is>
          <t>농산물</t>
        </is>
      </c>
      <c r="C164" s="118" t="inlineStr">
        <is>
          <t>소 계</t>
        </is>
      </c>
      <c r="D164" s="125">
        <f>SUM(E164:F164)</f>
        <v/>
      </c>
      <c r="E164" s="125">
        <f>E165+E166</f>
        <v/>
      </c>
      <c r="F164" s="125">
        <f>F165+F166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26" t="n"/>
      <c r="C165" s="119" t="inlineStr">
        <is>
          <t>7월</t>
        </is>
      </c>
      <c r="D165" s="120">
        <f>SUM(E165:F165)</f>
        <v/>
      </c>
      <c r="E165" s="120" t="n">
        <v>92842530</v>
      </c>
      <c r="F165" s="120" t="n">
        <v>435129830</v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1" t="n"/>
      <c r="C166" s="119" t="inlineStr">
        <is>
          <t>8월</t>
        </is>
      </c>
      <c r="D166" s="120">
        <f>SUM(E166:F166)</f>
        <v/>
      </c>
      <c r="E166" s="120">
        <f>SUMIFS('②유기농raw'!$G$6:$G$207,'②유기농raw'!$A$6:$A$207,E$162,'②유기농raw'!$B$6:$B$207,$B164)-E165</f>
        <v/>
      </c>
      <c r="F166" s="120">
        <f>SUMIFS('②유기농raw'!$G$6:$G$207,'②유기농raw'!$A$6:$A$207,F$162,'②유기농raw'!$B$6:$B$207,$B164)-F165</f>
        <v/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18" t="inlineStr">
        <is>
          <t>축산물</t>
        </is>
      </c>
      <c r="C167" s="118" t="inlineStr">
        <is>
          <t>소 계</t>
        </is>
      </c>
      <c r="D167" s="125">
        <f>SUM(E167:F167)</f>
        <v/>
      </c>
      <c r="E167" s="125">
        <f>E168+E169</f>
        <v/>
      </c>
      <c r="F167" s="125">
        <f>F168+F169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26" t="n"/>
      <c r="C168" s="119" t="inlineStr">
        <is>
          <t>7월</t>
        </is>
      </c>
      <c r="D168" s="120">
        <f>SUM(E168:F168)</f>
        <v/>
      </c>
      <c r="E168" s="120" t="n">
        <v>132000</v>
      </c>
      <c r="F168" s="120" t="n">
        <v>3448700</v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1" t="n"/>
      <c r="C169" s="119" t="inlineStr">
        <is>
          <t>8월</t>
        </is>
      </c>
      <c r="D169" s="120">
        <f>SUM(E169:F169)</f>
        <v/>
      </c>
      <c r="E169" s="120">
        <f>SUMIFS('②유기농raw'!$G$6:$G$207,'②유기농raw'!$A$6:$A$207,E$162,'②유기농raw'!$B$6:$B$207,$B167)-E168</f>
        <v/>
      </c>
      <c r="F169" s="120">
        <f>SUMIFS('②유기농raw'!$G$6:$G$207,'②유기농raw'!$A$6:$A$207,F$162,'②유기농raw'!$B$6:$B$207,$B167)-F168</f>
        <v/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18" t="inlineStr">
        <is>
          <t>가공식품</t>
        </is>
      </c>
      <c r="C170" s="118" t="inlineStr">
        <is>
          <t>소 계</t>
        </is>
      </c>
      <c r="D170" s="125">
        <f>SUM(E170:F170)</f>
        <v/>
      </c>
      <c r="E170" s="125">
        <f>E171+E172</f>
        <v/>
      </c>
      <c r="F170" s="125">
        <f>F171+F172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26" t="n"/>
      <c r="C171" s="119" t="inlineStr">
        <is>
          <t>7월</t>
        </is>
      </c>
      <c r="D171" s="120">
        <f>SUM(E171:F171)</f>
        <v/>
      </c>
      <c r="E171" s="120" t="n">
        <v>15398300</v>
      </c>
      <c r="F171" s="120" t="n">
        <v>99623530</v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1" t="n"/>
      <c r="C172" s="119" t="inlineStr">
        <is>
          <t>8월</t>
        </is>
      </c>
      <c r="D172" s="120">
        <f>SUM(E172:F172)</f>
        <v/>
      </c>
      <c r="E172" s="120">
        <f>SUMIFS('②유기농raw'!$G$6:$G$207,'②유기농raw'!$A$6:$A$207,E$162,'②유기농raw'!$B$6:$B$207,$B170)-E171</f>
        <v/>
      </c>
      <c r="F172" s="120">
        <f>SUMIFS('②유기농raw'!$G$6:$G$207,'②유기농raw'!$A$6:$A$207,F$162,'②유기농raw'!$B$6:$B$207,$B170)-F171</f>
        <v/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5" t="inlineStr">
        <is>
          <t>7. 유통사별 품목별 판매 건수</t>
        </is>
      </c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6" t="inlineStr">
        <is>
          <t>품목</t>
        </is>
      </c>
      <c r="C175" s="116" t="inlineStr">
        <is>
          <t>구분</t>
        </is>
      </c>
      <c r="D175" s="116" t="inlineStr">
        <is>
          <t>총 계</t>
        </is>
      </c>
      <c r="E175" s="116" t="inlineStr">
        <is>
          <t>네이버</t>
        </is>
      </c>
      <c r="F175" s="116" t="inlineStr">
        <is>
          <t>오아시스</t>
        </is>
      </c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총 계</t>
        </is>
      </c>
      <c r="C176" s="117" t="n"/>
      <c r="D176" s="124">
        <f>SUM(E176:F176)</f>
        <v/>
      </c>
      <c r="E176" s="124">
        <f>E177+E180+E183</f>
        <v/>
      </c>
      <c r="F176" s="124">
        <f>F177+F180+F183</f>
        <v/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8" t="inlineStr">
        <is>
          <t>농산물</t>
        </is>
      </c>
      <c r="C177" s="118" t="inlineStr">
        <is>
          <t>소 계</t>
        </is>
      </c>
      <c r="D177" s="125">
        <f>SUM(E177:F177)</f>
        <v/>
      </c>
      <c r="E177" s="125">
        <f>E178+E179</f>
        <v/>
      </c>
      <c r="F177" s="125">
        <f>F178+F179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26" t="n"/>
      <c r="C178" s="119" t="inlineStr">
        <is>
          <t>7월</t>
        </is>
      </c>
      <c r="D178" s="120">
        <f>SUM(E178:F178)</f>
        <v/>
      </c>
      <c r="E178" s="120" t="n">
        <v>3893</v>
      </c>
      <c r="F178" s="120" t="n">
        <v>100661</v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1" t="n"/>
      <c r="C179" s="119" t="inlineStr">
        <is>
          <t>8월</t>
        </is>
      </c>
      <c r="D179" s="120">
        <f>SUM(E179:F179)</f>
        <v/>
      </c>
      <c r="E179" s="120">
        <f>SUMIFS('②유기농raw'!$F$6:$F$207,'②유기농raw'!$A$6:$A$207,E$175,'②유기농raw'!$B$6:$B$207,$B177)-E178</f>
        <v/>
      </c>
      <c r="F179" s="120">
        <f>SUMIFS('②유기농raw'!$F$6:$F$207,'②유기농raw'!$A$6:$A$207,F$175,'②유기농raw'!$B$6:$B$207,$B177)-F178</f>
        <v/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18" t="inlineStr">
        <is>
          <t>축산물</t>
        </is>
      </c>
      <c r="C180" s="118" t="inlineStr">
        <is>
          <t>소 계</t>
        </is>
      </c>
      <c r="D180" s="125">
        <f>SUM(E180:F180)</f>
        <v/>
      </c>
      <c r="E180" s="125">
        <f>E181+E182</f>
        <v/>
      </c>
      <c r="F180" s="125">
        <f>F181+F182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26" t="n"/>
      <c r="C181" s="119" t="inlineStr">
        <is>
          <t>7월</t>
        </is>
      </c>
      <c r="D181" s="120">
        <f>SUM(E181:F181)</f>
        <v/>
      </c>
      <c r="E181" s="120" t="n">
        <v>5</v>
      </c>
      <c r="F181" s="120" t="n">
        <v>598</v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1" t="n"/>
      <c r="C182" s="119" t="inlineStr">
        <is>
          <t>8월</t>
        </is>
      </c>
      <c r="D182" s="120">
        <f>SUM(E182:F182)</f>
        <v/>
      </c>
      <c r="E182" s="120">
        <f>SUMIFS('②유기농raw'!$F$6:$F$207,'②유기농raw'!$A$6:$A$207,E$175,'②유기농raw'!$B$6:$B$207,$B180)-E181</f>
        <v/>
      </c>
      <c r="F182" s="120">
        <f>SUMIFS('②유기농raw'!$F$6:$F$207,'②유기농raw'!$A$6:$A$207,F$175,'②유기농raw'!$B$6:$B$207,$B180)-F181</f>
        <v/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18" t="inlineStr">
        <is>
          <t>가공식품</t>
        </is>
      </c>
      <c r="C183" s="118" t="inlineStr">
        <is>
          <t>소 계</t>
        </is>
      </c>
      <c r="D183" s="125">
        <f>SUM(E183:F183)</f>
        <v/>
      </c>
      <c r="E183" s="125">
        <f>E184+E185</f>
        <v/>
      </c>
      <c r="F183" s="125">
        <f>F184+F185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26" t="n"/>
      <c r="C184" s="119" t="inlineStr">
        <is>
          <t>7월</t>
        </is>
      </c>
      <c r="D184" s="120">
        <f>SUM(E184:F184)</f>
        <v/>
      </c>
      <c r="E184" s="120" t="n">
        <v>580</v>
      </c>
      <c r="F184" s="120" t="n">
        <v>21914</v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1" t="n"/>
      <c r="C185" s="119" t="inlineStr">
        <is>
          <t>8월</t>
        </is>
      </c>
      <c r="D185" s="120">
        <f>SUM(E185:F185)</f>
        <v/>
      </c>
      <c r="E185" s="120">
        <f>SUMIFS('②유기농raw'!$F$6:$F$207,'②유기농raw'!$A$6:$A$207,E$175,'②유기농raw'!$B$6:$B$207,$B183)-E184</f>
        <v/>
      </c>
      <c r="F185" s="120">
        <f>SUMIFS('②유기농raw'!$F$6:$F$207,'②유기농raw'!$A$6:$A$207,F$175,'②유기농raw'!$B$6:$B$207,$B183)-F184</f>
        <v/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</sheetData>
  <mergeCells count="86">
    <mergeCell ref="D4:J4"/>
    <mergeCell ref="B108:B110"/>
    <mergeCell ref="C16:C17"/>
    <mergeCell ref="B42:B43"/>
    <mergeCell ref="B77:C77"/>
    <mergeCell ref="D26:J26"/>
    <mergeCell ref="B61:C61"/>
    <mergeCell ref="B69:C69"/>
    <mergeCell ref="K34:M34"/>
    <mergeCell ref="K16:M16"/>
    <mergeCell ref="D11:J11"/>
    <mergeCell ref="B54:B55"/>
    <mergeCell ref="B167:B169"/>
    <mergeCell ref="B64:C64"/>
    <mergeCell ref="B56:B57"/>
    <mergeCell ref="B98:B100"/>
    <mergeCell ref="B63:C63"/>
    <mergeCell ref="B26:B27"/>
    <mergeCell ref="K11:M11"/>
    <mergeCell ref="B88:B90"/>
    <mergeCell ref="B129:C129"/>
    <mergeCell ref="B138:C138"/>
    <mergeCell ref="C4:C5"/>
    <mergeCell ref="B177:B179"/>
    <mergeCell ref="B11:B12"/>
    <mergeCell ref="B131:C131"/>
    <mergeCell ref="B164:B166"/>
    <mergeCell ref="B140:C140"/>
    <mergeCell ref="B154:B156"/>
    <mergeCell ref="B130:C130"/>
    <mergeCell ref="B85:B87"/>
    <mergeCell ref="B132:C132"/>
    <mergeCell ref="B53:C53"/>
    <mergeCell ref="B180:B182"/>
    <mergeCell ref="K4:M4"/>
    <mergeCell ref="B111:B113"/>
    <mergeCell ref="B151:B153"/>
    <mergeCell ref="C34:C35"/>
    <mergeCell ref="B16:B17"/>
    <mergeCell ref="B144:C144"/>
    <mergeCell ref="C42:C43"/>
    <mergeCell ref="B134:C134"/>
    <mergeCell ref="B81:C81"/>
    <mergeCell ref="B122:C122"/>
    <mergeCell ref="B71:C71"/>
    <mergeCell ref="B176:C176"/>
    <mergeCell ref="C21:C22"/>
    <mergeCell ref="B107:C107"/>
    <mergeCell ref="B60:C60"/>
    <mergeCell ref="B34:B35"/>
    <mergeCell ref="D21:J21"/>
    <mergeCell ref="B146:C146"/>
    <mergeCell ref="B101:B103"/>
    <mergeCell ref="B143:C143"/>
    <mergeCell ref="B4:B5"/>
    <mergeCell ref="B157:B159"/>
    <mergeCell ref="B133:C133"/>
    <mergeCell ref="B76:C76"/>
    <mergeCell ref="K21:M21"/>
    <mergeCell ref="D16:J16"/>
    <mergeCell ref="B94:C94"/>
    <mergeCell ref="K26:M26"/>
    <mergeCell ref="B125:B126"/>
    <mergeCell ref="B21:B22"/>
    <mergeCell ref="B75:C75"/>
    <mergeCell ref="B62:C62"/>
    <mergeCell ref="B150:C150"/>
    <mergeCell ref="B183:B185"/>
    <mergeCell ref="D42:J42"/>
    <mergeCell ref="C26:C27"/>
    <mergeCell ref="B114:B116"/>
    <mergeCell ref="B70:C70"/>
    <mergeCell ref="K42:M42"/>
    <mergeCell ref="B95:B97"/>
    <mergeCell ref="B145:C145"/>
    <mergeCell ref="D34:J34"/>
    <mergeCell ref="C11:C12"/>
    <mergeCell ref="B137:C137"/>
    <mergeCell ref="B170:B172"/>
    <mergeCell ref="B123:B124"/>
    <mergeCell ref="B65:C65"/>
    <mergeCell ref="B74:C74"/>
    <mergeCell ref="B68:C68"/>
    <mergeCell ref="B139:C139"/>
    <mergeCell ref="B82:B84"/>
    <mergeCell ref="B163:C163"/>
  </mergeCells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72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16" customWidth="1" style="21" min="3" max="3"/>
    <col width="26" customWidth="1" style="21" min="4" max="4"/>
    <col width="16" customWidth="1" style="21" min="5" max="5"/>
    <col width="45" customWidth="1" style="21" min="6" max="6"/>
    <col width="15" customWidth="1" style="21" min="7" max="7"/>
    <col width="15" customWidth="1" style="21" min="8" max="8"/>
    <col width="16" customWidth="1" style="21" min="9" max="9"/>
    <col width="16" customWidth="1" style="21" min="10" max="10"/>
    <col width="16" customWidth="1" style="21" min="11" max="11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롯데ON 등 10,000원 정액 적용 건 존재하나 초과 건 없음</t>
        </is>
      </c>
    </row>
    <row r="11">
      <c r="B11" s="157" t="inlineStr">
        <is>
          <t>2. 누적 실적 역전(감소) 이상치 내역 (총 4건)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inlineStr">
        <is>
          <t>상품 매출 역전</t>
        </is>
      </c>
      <c r="C14" s="164" t="inlineStr">
        <is>
          <t>온누리마켓</t>
        </is>
      </c>
      <c r="D14" s="165" t="inlineStr">
        <is>
          <t>농업회사법인(주)더봄</t>
        </is>
      </c>
      <c r="E14" s="164" t="inlineStr">
        <is>
          <t>138-81-67809</t>
        </is>
      </c>
      <c r="F14" s="165" t="inlineStr">
        <is>
          <t>생화용 백합 꽃 백합생화 1000ml x 5</t>
        </is>
      </c>
      <c r="G14" s="166" t="inlineStr">
        <is>
          <t>60,000원 (1건)</t>
        </is>
      </c>
      <c r="H14" s="166" t="inlineStr">
        <is>
          <t>0원 (0건)</t>
        </is>
      </c>
      <c r="I14" s="167" t="inlineStr">
        <is>
          <t>-60,000원 (-1건)</t>
        </is>
      </c>
      <c r="J14" s="165" t="inlineStr">
        <is>
          <t>7월에 1건 판매되었으나 8월 누적 로우데이터에서 0원으로 취합되어 8월 순수 실적 음수 발생</t>
        </is>
      </c>
    </row>
    <row r="15">
      <c r="B15" s="164" t="inlineStr">
        <is>
          <t>상품 매출 역전</t>
        </is>
      </c>
      <c r="C15" s="164" t="inlineStr">
        <is>
          <t>온누리마켓</t>
        </is>
      </c>
      <c r="D15" s="165" t="inlineStr">
        <is>
          <t>더모닝</t>
        </is>
      </c>
      <c r="E15" s="164" t="inlineStr">
        <is>
          <t>655-09-02685</t>
        </is>
      </c>
      <c r="F15" s="165" t="inlineStr">
        <is>
          <t>더모닝 닭 볶음탕 닭볶음탕 90g 1인분 x 5팩 캠핑 밀키트</t>
        </is>
      </c>
      <c r="G15" s="166" t="inlineStr">
        <is>
          <t>240,000원 (12건)</t>
        </is>
      </c>
      <c r="H15" s="166" t="inlineStr">
        <is>
          <t>0원 (0건)</t>
        </is>
      </c>
      <c r="I15" s="167" t="inlineStr">
        <is>
          <t>-240,000원 (-12건)</t>
        </is>
      </c>
      <c r="J15" s="165" t="inlineStr">
        <is>
          <t>7월에 12건 판매되었으나 8월 누적 로우데이터에서 0원으로 취합되어 8월 순수 실적 음수 발생</t>
        </is>
      </c>
    </row>
    <row r="16">
      <c r="B16" s="164" t="inlineStr">
        <is>
          <t>상품 매출 역전</t>
        </is>
      </c>
      <c r="C16" s="164" t="inlineStr">
        <is>
          <t>온누리마켓</t>
        </is>
      </c>
      <c r="D16" s="165" t="inlineStr">
        <is>
          <t>더모닝</t>
        </is>
      </c>
      <c r="E16" s="164" t="inlineStr">
        <is>
          <t>655-09-02685</t>
        </is>
      </c>
      <c r="F16" s="165" t="inlineStr">
        <is>
          <t>더모닝 닭 볶음탕 닭볶음탕 400g 4인분 캠핑 밀키트</t>
        </is>
      </c>
      <c r="G16" s="166" t="inlineStr">
        <is>
          <t>54,000원 (3건)</t>
        </is>
      </c>
      <c r="H16" s="166" t="inlineStr">
        <is>
          <t>0원 (0건)</t>
        </is>
      </c>
      <c r="I16" s="167" t="inlineStr">
        <is>
          <t>-54,000원 (-3건)</t>
        </is>
      </c>
      <c r="J16" s="165" t="inlineStr">
        <is>
          <t>7월에 3건 판매되었으나 8월 누적 로우데이터에서 0원으로 취합되어 8월 순수 실적 음수 발생</t>
        </is>
      </c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농부들</t>
        </is>
      </c>
      <c r="D21" s="168" t="inlineStr">
        <is>
          <t>579-90-00021</t>
        </is>
      </c>
      <c r="E21" s="168" t="inlineStr">
        <is>
          <t>네이버</t>
        </is>
      </c>
      <c r="F21" s="170" t="n">
        <v>53342360</v>
      </c>
      <c r="G21" s="171" t="n">
        <v>6140240</v>
      </c>
      <c r="H21" s="172" t="inlineStr">
        <is>
          <t>76.8%</t>
        </is>
      </c>
      <c r="I21" s="170" t="n">
        <v>1859760</v>
      </c>
    </row>
    <row r="22">
      <c r="B22" s="168" t="n">
        <v>2</v>
      </c>
      <c r="C22" s="169" t="inlineStr">
        <is>
          <t>농업회사법인(주)자연푸드</t>
        </is>
      </c>
      <c r="D22" s="168" t="inlineStr">
        <is>
          <t>412-81-50546</t>
        </is>
      </c>
      <c r="E22" s="168" t="inlineStr">
        <is>
          <t>네이버</t>
        </is>
      </c>
      <c r="F22" s="170" t="n">
        <v>55214000</v>
      </c>
      <c r="G22" s="171" t="n">
        <v>5847700</v>
      </c>
      <c r="H22" s="172" t="inlineStr">
        <is>
          <t>73.1%</t>
        </is>
      </c>
      <c r="I22" s="170" t="n">
        <v>2152300</v>
      </c>
    </row>
    <row r="23">
      <c r="B23" s="168" t="n">
        <v>3</v>
      </c>
      <c r="C23" s="169" t="inlineStr">
        <is>
          <t>팜앤유</t>
        </is>
      </c>
      <c r="D23" s="168" t="inlineStr">
        <is>
          <t>477-93-01384</t>
        </is>
      </c>
      <c r="E23" s="168" t="inlineStr">
        <is>
          <t>지마켓</t>
        </is>
      </c>
      <c r="F23" s="170" t="n">
        <v>41243100</v>
      </c>
      <c r="G23" s="171" t="n">
        <v>5728100</v>
      </c>
      <c r="H23" s="172" t="inlineStr">
        <is>
          <t>71.6%</t>
        </is>
      </c>
      <c r="I23" s="170" t="n">
        <v>2271900</v>
      </c>
    </row>
    <row r="24">
      <c r="B24" s="168" t="n">
        <v>4</v>
      </c>
      <c r="C24" s="169" t="inlineStr">
        <is>
          <t>(주)다채몰</t>
        </is>
      </c>
      <c r="D24" s="168" t="inlineStr">
        <is>
          <t>114-86-65039</t>
        </is>
      </c>
      <c r="E24" s="168" t="inlineStr">
        <is>
          <t>네이버</t>
        </is>
      </c>
      <c r="F24" s="170" t="n">
        <v>39871200</v>
      </c>
      <c r="G24" s="171" t="n">
        <v>5268240</v>
      </c>
      <c r="H24" s="159" t="inlineStr">
        <is>
          <t>65.9%</t>
        </is>
      </c>
      <c r="I24" s="170" t="n">
        <v>2731760</v>
      </c>
    </row>
    <row r="25">
      <c r="B25" s="168" t="n">
        <v>5</v>
      </c>
      <c r="C25" s="169" t="inlineStr">
        <is>
          <t>해남농협</t>
        </is>
      </c>
      <c r="D25" s="168" t="inlineStr">
        <is>
          <t>323-88-00158</t>
        </is>
      </c>
      <c r="E25" s="168" t="inlineStr">
        <is>
          <t>롯데ON</t>
        </is>
      </c>
      <c r="F25" s="170" t="n">
        <v>45120000</v>
      </c>
      <c r="G25" s="171" t="n">
        <v>5136630</v>
      </c>
      <c r="H25" s="159" t="inlineStr">
        <is>
          <t>64.2%</t>
        </is>
      </c>
      <c r="I25" s="170" t="n">
        <v>2863370</v>
      </c>
    </row>
    <row r="26">
      <c r="B26" s="168" t="n">
        <v>6</v>
      </c>
      <c r="C26" s="169" t="inlineStr">
        <is>
          <t>농업회사법인 주식회사 드림마이스터</t>
        </is>
      </c>
      <c r="D26" s="168" t="inlineStr">
        <is>
          <t>485-88-00795</t>
        </is>
      </c>
      <c r="E26" s="168" t="inlineStr">
        <is>
          <t>네이버</t>
        </is>
      </c>
      <c r="F26" s="170" t="n">
        <v>36240000</v>
      </c>
      <c r="G26" s="171" t="n">
        <v>5105280</v>
      </c>
      <c r="H26" s="159" t="inlineStr">
        <is>
          <t>63.8%</t>
        </is>
      </c>
      <c r="I26" s="170" t="n">
        <v>2894720</v>
      </c>
    </row>
    <row r="27">
      <c r="B27" s="168" t="n">
        <v>7</v>
      </c>
      <c r="C27" s="169" t="inlineStr">
        <is>
          <t>농업회사법인 철원이곡 주식회사</t>
        </is>
      </c>
      <c r="D27" s="168" t="inlineStr">
        <is>
          <t>127-81-93991</t>
        </is>
      </c>
      <c r="E27" s="168" t="inlineStr">
        <is>
          <t>농가살리기</t>
        </is>
      </c>
      <c r="F27" s="170" t="n">
        <v>34500000</v>
      </c>
      <c r="G27" s="171" t="n">
        <v>5097728</v>
      </c>
      <c r="H27" s="159" t="inlineStr">
        <is>
          <t>63.7%</t>
        </is>
      </c>
      <c r="I27" s="170" t="n">
        <v>2902272</v>
      </c>
    </row>
    <row r="28">
      <c r="B28" s="168" t="n">
        <v>8</v>
      </c>
      <c r="C28" s="169" t="inlineStr">
        <is>
          <t>해주농협통합</t>
        </is>
      </c>
      <c r="D28" s="168" t="inlineStr">
        <is>
          <t>126-82-11620</t>
        </is>
      </c>
      <c r="E28" s="168" t="inlineStr">
        <is>
          <t>네이버</t>
        </is>
      </c>
      <c r="F28" s="170" t="n">
        <v>48900000</v>
      </c>
      <c r="G28" s="171" t="n">
        <v>5085890</v>
      </c>
      <c r="H28" s="159" t="inlineStr">
        <is>
          <t>63.6%</t>
        </is>
      </c>
      <c r="I28" s="170" t="n">
        <v>2914110</v>
      </c>
    </row>
    <row r="29">
      <c r="B29" s="168" t="n">
        <v>9</v>
      </c>
      <c r="C29" s="169" t="inlineStr">
        <is>
          <t>두원식품(주)</t>
        </is>
      </c>
      <c r="D29" s="168" t="inlineStr">
        <is>
          <t>606-81-52718</t>
        </is>
      </c>
      <c r="E29" s="168" t="inlineStr">
        <is>
          <t>지마켓</t>
        </is>
      </c>
      <c r="F29" s="170" t="n">
        <v>55053800</v>
      </c>
      <c r="G29" s="171" t="n">
        <v>5062400</v>
      </c>
      <c r="H29" s="159" t="inlineStr">
        <is>
          <t>63.3%</t>
        </is>
      </c>
      <c r="I29" s="170" t="n">
        <v>2937600</v>
      </c>
    </row>
    <row r="30">
      <c r="B30" s="168" t="n">
        <v>10</v>
      </c>
      <c r="C30" s="169" t="inlineStr">
        <is>
          <t>청양농협</t>
        </is>
      </c>
      <c r="D30" s="168" t="inlineStr">
        <is>
          <t>499-51-00634</t>
        </is>
      </c>
      <c r="E30" s="168" t="inlineStr">
        <is>
          <t>롯데ON</t>
        </is>
      </c>
      <c r="F30" s="170" t="n">
        <v>38100000</v>
      </c>
      <c r="G30" s="171" t="n">
        <v>5049440</v>
      </c>
      <c r="H30" s="159" t="inlineStr">
        <is>
          <t>63.1%</t>
        </is>
      </c>
      <c r="I30" s="170" t="n">
        <v>2950560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22">
        <f>SUM(F3:F287)</f>
        <v/>
      </c>
      <c r="G1" s="22">
        <f>SUM(G3:G287)</f>
        <v/>
      </c>
      <c r="H1" s="22">
        <f>SUM(H3:H287)</f>
        <v/>
      </c>
      <c r="I1" s="26">
        <f>COUNTIF(I3:I500,"O")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27" t="inlineStr">
        <is>
          <t>판매건수</t>
        </is>
      </c>
      <c r="G2" s="127" t="inlineStr">
        <is>
          <t>매출액</t>
        </is>
      </c>
      <c r="H2" s="127" t="inlineStr">
        <is>
          <t>판촉액</t>
        </is>
      </c>
      <c r="I2" s="128" t="inlineStr">
        <is>
          <t>7월 실제 인입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23">
        <f>SUMIF(①농산물raw!$D:$D,$C3,①농산물raw!$F:$F)</f>
        <v/>
      </c>
      <c r="G3" s="23">
        <f>SUMIF(①농산물raw!$D:$D,$C3,①농산물raw!$G:$G)</f>
        <v/>
      </c>
      <c r="H3" s="23">
        <f>SUMIF(①농산물raw!$D:$D,$C3,①농산물raw!$H:$H)</f>
        <v/>
      </c>
      <c r="I3" s="76" t="n"/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23">
        <f>SUMIF(①농산물raw!$D:$D,$C4,①농산물raw!$F:$F)</f>
        <v/>
      </c>
      <c r="G4" s="23">
        <f>SUMIF(①농산물raw!$D:$D,$C4,①농산물raw!$G:$G)</f>
        <v/>
      </c>
      <c r="H4" s="23">
        <f>SUMIF(①농산물raw!$D:$D,$C4,①농산물raw!$H:$H)</f>
        <v/>
      </c>
      <c r="I4" s="24" t="inlineStr">
        <is>
          <t>O</t>
        </is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23">
        <f>SUMIF(①농산물raw!$D:$D,$C5,①농산물raw!$F:$F)</f>
        <v/>
      </c>
      <c r="G5" s="23">
        <f>SUMIF(①농산물raw!$D:$D,$C5,①농산물raw!$G:$G)</f>
        <v/>
      </c>
      <c r="H5" s="23">
        <f>SUMIF(①농산물raw!$D:$D,$C5,①농산물raw!$H:$H)</f>
        <v/>
      </c>
      <c r="I5" s="24" t="inlineStr">
        <is>
          <t>O</t>
        </is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23">
        <f>SUMIF(①농산물raw!$D:$D,$C6,①농산물raw!$F:$F)</f>
        <v/>
      </c>
      <c r="G6" s="23">
        <f>SUMIF(①농산물raw!$D:$D,$C6,①농산물raw!$G:$G)</f>
        <v/>
      </c>
      <c r="H6" s="23">
        <f>SUMIF(①농산물raw!$D:$D,$C6,①농산물raw!$H:$H)</f>
        <v/>
      </c>
      <c r="I6" s="76" t="n"/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23">
        <f>SUMIF(①농산물raw!$D:$D,$C7,①농산물raw!$F:$F)</f>
        <v/>
      </c>
      <c r="G7" s="23">
        <f>SUMIF(①농산물raw!$D:$D,$C7,①농산물raw!$G:$G)</f>
        <v/>
      </c>
      <c r="H7" s="23">
        <f>SUMIF(①농산물raw!$D:$D,$C7,①농산물raw!$H:$H)</f>
        <v/>
      </c>
      <c r="I7" s="24" t="inlineStr">
        <is>
          <t>O</t>
        </is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23">
        <f>SUMIF(①농산물raw!$D:$D,$C8,①농산물raw!$F:$F)</f>
        <v/>
      </c>
      <c r="G8" s="23">
        <f>SUMIF(①농산물raw!$D:$D,$C8,①농산물raw!$G:$G)</f>
        <v/>
      </c>
      <c r="H8" s="23">
        <f>SUMIF(①농산물raw!$D:$D,$C8,①농산물raw!$H:$H)</f>
        <v/>
      </c>
      <c r="I8" s="76" t="n"/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23">
        <f>SUMIF(①농산물raw!$D:$D,$C9,①농산물raw!$F:$F)</f>
        <v/>
      </c>
      <c r="G9" s="23">
        <f>SUMIF(①농산물raw!$D:$D,$C9,①농산물raw!$G:$G)</f>
        <v/>
      </c>
      <c r="H9" s="23">
        <f>SUMIF(①농산물raw!$D:$D,$C9,①농산물raw!$H:$H)</f>
        <v/>
      </c>
      <c r="I9" s="24" t="inlineStr">
        <is>
          <t>O</t>
        </is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23">
        <f>SUMIF(①농산물raw!$D:$D,$C10,①농산물raw!$F:$F)</f>
        <v/>
      </c>
      <c r="G10" s="23">
        <f>SUMIF(①농산물raw!$D:$D,$C10,①농산물raw!$G:$G)</f>
        <v/>
      </c>
      <c r="H10" s="23">
        <f>SUMIF(①농산물raw!$D:$D,$C10,①농산물raw!$H:$H)</f>
        <v/>
      </c>
      <c r="I10" s="76" t="n"/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23">
        <f>SUMIF(①농산물raw!$D:$D,$C11,①농산물raw!$F:$F)</f>
        <v/>
      </c>
      <c r="G11" s="23">
        <f>SUMIF(①농산물raw!$D:$D,$C11,①농산물raw!$G:$G)</f>
        <v/>
      </c>
      <c r="H11" s="23">
        <f>SUMIF(①농산물raw!$D:$D,$C11,①농산물raw!$H:$H)</f>
        <v/>
      </c>
      <c r="I11" s="76" t="n"/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23">
        <f>SUMIF(①농산물raw!$D:$D,$C12,①농산물raw!$F:$F)</f>
        <v/>
      </c>
      <c r="G12" s="23">
        <f>SUMIF(①농산물raw!$D:$D,$C12,①농산물raw!$G:$G)</f>
        <v/>
      </c>
      <c r="H12" s="23">
        <f>SUMIF(①농산물raw!$D:$D,$C12,①농산물raw!$H:$H)</f>
        <v/>
      </c>
      <c r="I12" s="76" t="n"/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23">
        <f>SUMIF(①농산물raw!$D:$D,$C13,①농산물raw!$F:$F)</f>
        <v/>
      </c>
      <c r="G13" s="23">
        <f>SUMIF(①농산물raw!$D:$D,$C13,①농산물raw!$G:$G)</f>
        <v/>
      </c>
      <c r="H13" s="23">
        <f>SUMIF(①농산물raw!$D:$D,$C13,①농산물raw!$H:$H)</f>
        <v/>
      </c>
      <c r="I13" s="24" t="inlineStr">
        <is>
          <t>O</t>
        </is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23">
        <f>SUMIF(①농산물raw!$D:$D,$C14,①농산물raw!$F:$F)</f>
        <v/>
      </c>
      <c r="G14" s="23">
        <f>SUMIF(①농산물raw!$D:$D,$C14,①농산물raw!$G:$G)</f>
        <v/>
      </c>
      <c r="H14" s="23">
        <f>SUMIF(①농산물raw!$D:$D,$C14,①농산물raw!$H:$H)</f>
        <v/>
      </c>
      <c r="I14" s="24" t="inlineStr">
        <is>
          <t>O</t>
        </is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23">
        <f>SUMIF(①농산물raw!$D:$D,$C15,①농산물raw!$F:$F)</f>
        <v/>
      </c>
      <c r="G15" s="23">
        <f>SUMIF(①농산물raw!$D:$D,$C15,①농산물raw!$G:$G)</f>
        <v/>
      </c>
      <c r="H15" s="23">
        <f>SUMIF(①농산물raw!$D:$D,$C15,①농산물raw!$H:$H)</f>
        <v/>
      </c>
      <c r="I15" s="24" t="inlineStr">
        <is>
          <t>O</t>
        </is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23">
        <f>SUMIF(①농산물raw!$D:$D,$C16,①농산물raw!$F:$F)</f>
        <v/>
      </c>
      <c r="G16" s="23">
        <f>SUMIF(①농산물raw!$D:$D,$C16,①농산물raw!$G:$G)</f>
        <v/>
      </c>
      <c r="H16" s="23">
        <f>SUMIF(①농산물raw!$D:$D,$C16,①농산물raw!$H:$H)</f>
        <v/>
      </c>
      <c r="I16" s="24" t="inlineStr">
        <is>
          <t>O</t>
        </is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23">
        <f>SUMIF(①농산물raw!$D:$D,$C17,①농산물raw!$F:$F)</f>
        <v/>
      </c>
      <c r="G17" s="23">
        <f>SUMIF(①농산물raw!$D:$D,$C17,①농산물raw!$G:$G)</f>
        <v/>
      </c>
      <c r="H17" s="23">
        <f>SUMIF(①농산물raw!$D:$D,$C17,①농산물raw!$H:$H)</f>
        <v/>
      </c>
      <c r="I17" s="24" t="inlineStr">
        <is>
          <t>O</t>
        </is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23">
        <f>SUMIF(①농산물raw!$D:$D,$C18,①농산물raw!$F:$F)</f>
        <v/>
      </c>
      <c r="G18" s="23">
        <f>SUMIF(①농산물raw!$D:$D,$C18,①농산물raw!$G:$G)</f>
        <v/>
      </c>
      <c r="H18" s="23">
        <f>SUMIF(①농산물raw!$D:$D,$C18,①농산물raw!$H:$H)</f>
        <v/>
      </c>
      <c r="I18" s="76" t="n"/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23">
        <f>SUMIF(①농산물raw!$D:$D,$C19,①농산물raw!$F:$F)</f>
        <v/>
      </c>
      <c r="G19" s="23">
        <f>SUMIF(①농산물raw!$D:$D,$C19,①농산물raw!$G:$G)</f>
        <v/>
      </c>
      <c r="H19" s="23">
        <f>SUMIF(①농산물raw!$D:$D,$C19,①농산물raw!$H:$H)</f>
        <v/>
      </c>
      <c r="I19" s="24" t="inlineStr">
        <is>
          <t>O</t>
        </is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23">
        <f>SUMIF(①농산물raw!$D:$D,$C20,①농산물raw!$F:$F)</f>
        <v/>
      </c>
      <c r="G20" s="23">
        <f>SUMIF(①농산물raw!$D:$D,$C20,①농산물raw!$G:$G)</f>
        <v/>
      </c>
      <c r="H20" s="23">
        <f>SUMIF(①농산물raw!$D:$D,$C20,①농산물raw!$H:$H)</f>
        <v/>
      </c>
      <c r="I20" s="76" t="n"/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23">
        <f>SUMIF(①농산물raw!$D:$D,$C21,①농산물raw!$F:$F)</f>
        <v/>
      </c>
      <c r="G21" s="23">
        <f>SUMIF(①농산물raw!$D:$D,$C21,①농산물raw!$G:$G)</f>
        <v/>
      </c>
      <c r="H21" s="23">
        <f>SUMIF(①농산물raw!$D:$D,$C21,①농산물raw!$H:$H)</f>
        <v/>
      </c>
      <c r="I21" s="24" t="inlineStr">
        <is>
          <t>O</t>
        </is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23">
        <f>SUMIF(①농산물raw!$D:$D,$C22,①농산물raw!$F:$F)</f>
        <v/>
      </c>
      <c r="G22" s="23">
        <f>SUMIF(①농산물raw!$D:$D,$C22,①농산물raw!$G:$G)</f>
        <v/>
      </c>
      <c r="H22" s="23">
        <f>SUMIF(①농산물raw!$D:$D,$C22,①농산물raw!$H:$H)</f>
        <v/>
      </c>
      <c r="I22" s="24" t="inlineStr">
        <is>
          <t>O</t>
        </is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23">
        <f>SUMIF(①농산물raw!$D:$D,$C23,①농산물raw!$F:$F)</f>
        <v/>
      </c>
      <c r="G23" s="23">
        <f>SUMIF(①농산물raw!$D:$D,$C23,①농산물raw!$G:$G)</f>
        <v/>
      </c>
      <c r="H23" s="23">
        <f>SUMIF(①농산물raw!$D:$D,$C23,①농산물raw!$H:$H)</f>
        <v/>
      </c>
      <c r="I23" s="76" t="n"/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23">
        <f>SUMIF(①농산물raw!$D:$D,$C24,①농산물raw!$F:$F)</f>
        <v/>
      </c>
      <c r="G24" s="23">
        <f>SUMIF(①농산물raw!$D:$D,$C24,①농산물raw!$G:$G)</f>
        <v/>
      </c>
      <c r="H24" s="23">
        <f>SUMIF(①농산물raw!$D:$D,$C24,①농산물raw!$H:$H)</f>
        <v/>
      </c>
      <c r="I24" s="24" t="inlineStr">
        <is>
          <t>O</t>
        </is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23">
        <f>SUMIF(①농산물raw!$D:$D,$C25,①농산물raw!$F:$F)</f>
        <v/>
      </c>
      <c r="G25" s="23">
        <f>SUMIF(①농산물raw!$D:$D,$C25,①농산물raw!$G:$G)</f>
        <v/>
      </c>
      <c r="H25" s="23">
        <f>SUMIF(①농산물raw!$D:$D,$C25,①농산물raw!$H:$H)</f>
        <v/>
      </c>
      <c r="I25" s="24" t="inlineStr">
        <is>
          <t>O</t>
        </is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23">
        <f>SUMIF(①농산물raw!$D:$D,$C26,①농산물raw!$F:$F)</f>
        <v/>
      </c>
      <c r="G26" s="23">
        <f>SUMIF(①농산물raw!$D:$D,$C26,①농산물raw!$G:$G)</f>
        <v/>
      </c>
      <c r="H26" s="23">
        <f>SUMIF(①농산물raw!$D:$D,$C26,①농산물raw!$H:$H)</f>
        <v/>
      </c>
      <c r="I26" s="24" t="inlineStr">
        <is>
          <t>O</t>
        </is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23">
        <f>SUMIF(①농산물raw!$D:$D,$C27,①농산물raw!$F:$F)</f>
        <v/>
      </c>
      <c r="G27" s="23">
        <f>SUMIF(①농산물raw!$D:$D,$C27,①농산물raw!$G:$G)</f>
        <v/>
      </c>
      <c r="H27" s="23">
        <f>SUMIF(①농산물raw!$D:$D,$C27,①농산물raw!$H:$H)</f>
        <v/>
      </c>
      <c r="I27" s="76" t="n"/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23">
        <f>SUMIF(①농산물raw!$D:$D,$C28,①농산물raw!$F:$F)</f>
        <v/>
      </c>
      <c r="G28" s="23">
        <f>SUMIF(①농산물raw!$D:$D,$C28,①농산물raw!$G:$G)</f>
        <v/>
      </c>
      <c r="H28" s="23">
        <f>SUMIF(①농산물raw!$D:$D,$C28,①농산물raw!$H:$H)</f>
        <v/>
      </c>
      <c r="I28" s="24" t="inlineStr">
        <is>
          <t>O</t>
        </is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23">
        <f>SUMIF(①농산물raw!$D:$D,$C29,①농산물raw!$F:$F)</f>
        <v/>
      </c>
      <c r="G29" s="23">
        <f>SUMIF(①농산물raw!$D:$D,$C29,①농산물raw!$G:$G)</f>
        <v/>
      </c>
      <c r="H29" s="23">
        <f>SUMIF(①농산물raw!$D:$D,$C29,①농산물raw!$H:$H)</f>
        <v/>
      </c>
      <c r="I29" s="76" t="n"/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23">
        <f>SUMIF(①농산물raw!$D:$D,$C30,①농산물raw!$F:$F)</f>
        <v/>
      </c>
      <c r="G30" s="23">
        <f>SUMIF(①농산물raw!$D:$D,$C30,①농산물raw!$G:$G)</f>
        <v/>
      </c>
      <c r="H30" s="23">
        <f>SUMIF(①농산물raw!$D:$D,$C30,①농산물raw!$H:$H)</f>
        <v/>
      </c>
      <c r="I30" s="24" t="inlineStr">
        <is>
          <t>O</t>
        </is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23">
        <f>SUMIF(①농산물raw!$D:$D,$C31,①농산물raw!$F:$F)</f>
        <v/>
      </c>
      <c r="G31" s="23">
        <f>SUMIF(①농산물raw!$D:$D,$C31,①농산물raw!$G:$G)</f>
        <v/>
      </c>
      <c r="H31" s="23">
        <f>SUMIF(①농산물raw!$D:$D,$C31,①농산물raw!$H:$H)</f>
        <v/>
      </c>
      <c r="I31" s="24" t="inlineStr">
        <is>
          <t>O</t>
        </is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23">
        <f>SUMIF(①농산물raw!$D:$D,$C32,①농산물raw!$F:$F)</f>
        <v/>
      </c>
      <c r="G32" s="23">
        <f>SUMIF(①농산물raw!$D:$D,$C32,①농산물raw!$G:$G)</f>
        <v/>
      </c>
      <c r="H32" s="23">
        <f>SUMIF(①농산물raw!$D:$D,$C32,①농산물raw!$H:$H)</f>
        <v/>
      </c>
      <c r="I32" s="24" t="inlineStr">
        <is>
          <t>O</t>
        </is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23">
        <f>SUMIF(①농산물raw!$D:$D,$C33,①농산물raw!$F:$F)</f>
        <v/>
      </c>
      <c r="G33" s="23">
        <f>SUMIF(①농산물raw!$D:$D,$C33,①농산물raw!$G:$G)</f>
        <v/>
      </c>
      <c r="H33" s="23">
        <f>SUMIF(①농산물raw!$D:$D,$C33,①농산물raw!$H:$H)</f>
        <v/>
      </c>
      <c r="I33" s="24" t="inlineStr">
        <is>
          <t>O</t>
        </is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23">
        <f>SUMIF(①농산물raw!$D:$D,$C34,①농산물raw!$F:$F)</f>
        <v/>
      </c>
      <c r="G34" s="23">
        <f>SUMIF(①농산물raw!$D:$D,$C34,①농산물raw!$G:$G)</f>
        <v/>
      </c>
      <c r="H34" s="23">
        <f>SUMIF(①농산물raw!$D:$D,$C34,①농산물raw!$H:$H)</f>
        <v/>
      </c>
      <c r="I34" s="24" t="inlineStr">
        <is>
          <t>O</t>
        </is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23">
        <f>SUMIF(①농산물raw!$D:$D,$C35,①농산물raw!$F:$F)</f>
        <v/>
      </c>
      <c r="G35" s="23">
        <f>SUMIF(①농산물raw!$D:$D,$C35,①농산물raw!$G:$G)</f>
        <v/>
      </c>
      <c r="H35" s="23">
        <f>SUMIF(①농산물raw!$D:$D,$C35,①농산물raw!$H:$H)</f>
        <v/>
      </c>
      <c r="I35" s="24" t="inlineStr">
        <is>
          <t>O</t>
        </is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23">
        <f>SUMIF(①농산물raw!$D:$D,$C36,①농산물raw!$F:$F)</f>
        <v/>
      </c>
      <c r="G36" s="23">
        <f>SUMIF(①농산물raw!$D:$D,$C36,①농산물raw!$G:$G)</f>
        <v/>
      </c>
      <c r="H36" s="23">
        <f>SUMIF(①농산물raw!$D:$D,$C36,①농산물raw!$H:$H)</f>
        <v/>
      </c>
      <c r="I36" s="76" t="n"/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23">
        <f>SUMIF(①농산물raw!$D:$D,$C37,①농산물raw!$F:$F)</f>
        <v/>
      </c>
      <c r="G37" s="23">
        <f>SUMIF(①농산물raw!$D:$D,$C37,①농산물raw!$G:$G)</f>
        <v/>
      </c>
      <c r="H37" s="23">
        <f>SUMIF(①농산물raw!$D:$D,$C37,①농산물raw!$H:$H)</f>
        <v/>
      </c>
      <c r="I37" s="24" t="inlineStr">
        <is>
          <t>O</t>
        </is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23">
        <f>SUMIF(①농산물raw!$D:$D,$C38,①농산물raw!$F:$F)</f>
        <v/>
      </c>
      <c r="G38" s="23">
        <f>SUMIF(①농산물raw!$D:$D,$C38,①농산물raw!$G:$G)</f>
        <v/>
      </c>
      <c r="H38" s="23">
        <f>SUMIF(①농산물raw!$D:$D,$C38,①농산물raw!$H:$H)</f>
        <v/>
      </c>
      <c r="I38" s="24" t="inlineStr">
        <is>
          <t>O</t>
        </is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23">
        <f>SUMIF(①농산물raw!$D:$D,$C39,①농산물raw!$F:$F)</f>
        <v/>
      </c>
      <c r="G39" s="23">
        <f>SUMIF(①농산물raw!$D:$D,$C39,①농산물raw!$G:$G)</f>
        <v/>
      </c>
      <c r="H39" s="23">
        <f>SUMIF(①농산물raw!$D:$D,$C39,①농산물raw!$H:$H)</f>
        <v/>
      </c>
      <c r="I39" s="24" t="inlineStr">
        <is>
          <t>O</t>
        </is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23">
        <f>SUMIF(①농산물raw!$D:$D,$C40,①농산물raw!$F:$F)</f>
        <v/>
      </c>
      <c r="G40" s="23">
        <f>SUMIF(①농산물raw!$D:$D,$C40,①농산물raw!$G:$G)</f>
        <v/>
      </c>
      <c r="H40" s="23">
        <f>SUMIF(①농산물raw!$D:$D,$C40,①농산물raw!$H:$H)</f>
        <v/>
      </c>
      <c r="I40" s="24" t="inlineStr">
        <is>
          <t>O</t>
        </is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23">
        <f>SUMIF(①농산물raw!$D:$D,$C41,①농산물raw!$F:$F)</f>
        <v/>
      </c>
      <c r="G41" s="23">
        <f>SUMIF(①농산물raw!$D:$D,$C41,①농산물raw!$G:$G)</f>
        <v/>
      </c>
      <c r="H41" s="23">
        <f>SUMIF(①농산물raw!$D:$D,$C41,①농산물raw!$H:$H)</f>
        <v/>
      </c>
      <c r="I41" s="24" t="inlineStr">
        <is>
          <t>O</t>
        </is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23">
        <f>SUMIF(①농산물raw!$D:$D,$C42,①농산물raw!$F:$F)</f>
        <v/>
      </c>
      <c r="G42" s="23">
        <f>SUMIF(①농산물raw!$D:$D,$C42,①농산물raw!$G:$G)</f>
        <v/>
      </c>
      <c r="H42" s="23">
        <f>SUMIF(①농산물raw!$D:$D,$C42,①농산물raw!$H:$H)</f>
        <v/>
      </c>
      <c r="I42" s="76" t="n"/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23">
        <f>SUMIF(①농산물raw!$D:$D,$C43,①농산물raw!$F:$F)</f>
        <v/>
      </c>
      <c r="G43" s="23">
        <f>SUMIF(①농산물raw!$D:$D,$C43,①농산물raw!$G:$G)</f>
        <v/>
      </c>
      <c r="H43" s="23">
        <f>SUMIF(①농산물raw!$D:$D,$C43,①농산물raw!$H:$H)</f>
        <v/>
      </c>
      <c r="I43" s="76" t="n"/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23">
        <f>SUMIF(①농산물raw!$D:$D,$C44,①농산물raw!$F:$F)</f>
        <v/>
      </c>
      <c r="G44" s="23">
        <f>SUMIF(①농산물raw!$D:$D,$C44,①농산물raw!$G:$G)</f>
        <v/>
      </c>
      <c r="H44" s="23">
        <f>SUMIF(①농산물raw!$D:$D,$C44,①농산물raw!$H:$H)</f>
        <v/>
      </c>
      <c r="I44" s="24" t="inlineStr">
        <is>
          <t>O</t>
        </is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23">
        <f>SUMIF(①농산물raw!$D:$D,$C45,①농산물raw!$F:$F)</f>
        <v/>
      </c>
      <c r="G45" s="23">
        <f>SUMIF(①농산물raw!$D:$D,$C45,①농산물raw!$G:$G)</f>
        <v/>
      </c>
      <c r="H45" s="23">
        <f>SUMIF(①농산물raw!$D:$D,$C45,①농산물raw!$H:$H)</f>
        <v/>
      </c>
      <c r="I45" s="24" t="inlineStr">
        <is>
          <t>O</t>
        </is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23">
        <f>SUMIF(①농산물raw!$D:$D,$C46,①농산물raw!$F:$F)</f>
        <v/>
      </c>
      <c r="G46" s="23">
        <f>SUMIF(①농산물raw!$D:$D,$C46,①농산물raw!$G:$G)</f>
        <v/>
      </c>
      <c r="H46" s="23">
        <f>SUMIF(①농산물raw!$D:$D,$C46,①농산물raw!$H:$H)</f>
        <v/>
      </c>
      <c r="I46" s="24" t="inlineStr">
        <is>
          <t>O</t>
        </is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23">
        <f>SUMIF(①농산물raw!$D:$D,$C47,①농산물raw!$F:$F)</f>
        <v/>
      </c>
      <c r="G47" s="23">
        <f>SUMIF(①농산물raw!$D:$D,$C47,①농산물raw!$G:$G)</f>
        <v/>
      </c>
      <c r="H47" s="23">
        <f>SUMIF(①농산물raw!$D:$D,$C47,①농산물raw!$H:$H)</f>
        <v/>
      </c>
      <c r="I47" s="24" t="inlineStr">
        <is>
          <t>O</t>
        </is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23">
        <f>SUMIF(①농산물raw!$D:$D,$C48,①농산물raw!$F:$F)</f>
        <v/>
      </c>
      <c r="G48" s="23">
        <f>SUMIF(①농산물raw!$D:$D,$C48,①농산물raw!$G:$G)</f>
        <v/>
      </c>
      <c r="H48" s="23">
        <f>SUMIF(①농산물raw!$D:$D,$C48,①농산물raw!$H:$H)</f>
        <v/>
      </c>
      <c r="I48" s="76" t="n"/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23">
        <f>SUMIF(①농산물raw!$D:$D,$C49,①농산물raw!$F:$F)</f>
        <v/>
      </c>
      <c r="G49" s="23">
        <f>SUMIF(①농산물raw!$D:$D,$C49,①농산물raw!$G:$G)</f>
        <v/>
      </c>
      <c r="H49" s="23">
        <f>SUMIF(①농산물raw!$D:$D,$C49,①농산물raw!$H:$H)</f>
        <v/>
      </c>
      <c r="I49" s="76" t="n"/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23">
        <f>SUMIF(①농산물raw!$D:$D,$C50,①농산물raw!$F:$F)</f>
        <v/>
      </c>
      <c r="G50" s="23">
        <f>SUMIF(①농산물raw!$D:$D,$C50,①농산물raw!$G:$G)</f>
        <v/>
      </c>
      <c r="H50" s="23">
        <f>SUMIF(①농산물raw!$D:$D,$C50,①농산물raw!$H:$H)</f>
        <v/>
      </c>
      <c r="I50" s="24" t="inlineStr">
        <is>
          <t>O</t>
        </is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23">
        <f>SUMIF(①농산물raw!$D:$D,$C51,①농산물raw!$F:$F)</f>
        <v/>
      </c>
      <c r="G51" s="23">
        <f>SUMIF(①농산물raw!$D:$D,$C51,①농산물raw!$G:$G)</f>
        <v/>
      </c>
      <c r="H51" s="23">
        <f>SUMIF(①농산물raw!$D:$D,$C51,①농산물raw!$H:$H)</f>
        <v/>
      </c>
      <c r="I51" s="76" t="n"/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23">
        <f>SUMIF(①농산물raw!$D:$D,$C52,①농산물raw!$F:$F)</f>
        <v/>
      </c>
      <c r="G52" s="23">
        <f>SUMIF(①농산물raw!$D:$D,$C52,①농산물raw!$G:$G)</f>
        <v/>
      </c>
      <c r="H52" s="23">
        <f>SUMIF(①농산물raw!$D:$D,$C52,①농산물raw!$H:$H)</f>
        <v/>
      </c>
      <c r="I52" s="76" t="n"/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23">
        <f>SUMIF(①농산물raw!$D:$D,$C53,①농산물raw!$F:$F)</f>
        <v/>
      </c>
      <c r="G53" s="23">
        <f>SUMIF(①농산물raw!$D:$D,$C53,①농산물raw!$G:$G)</f>
        <v/>
      </c>
      <c r="H53" s="23">
        <f>SUMIF(①농산물raw!$D:$D,$C53,①농산물raw!$H:$H)</f>
        <v/>
      </c>
      <c r="I53" s="24" t="inlineStr">
        <is>
          <t>O</t>
        </is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23">
        <f>SUMIF(①농산물raw!$D:$D,$C54,①농산물raw!$F:$F)</f>
        <v/>
      </c>
      <c r="G54" s="23">
        <f>SUMIF(①농산물raw!$D:$D,$C54,①농산물raw!$G:$G)</f>
        <v/>
      </c>
      <c r="H54" s="23">
        <f>SUMIF(①농산물raw!$D:$D,$C54,①농산물raw!$H:$H)</f>
        <v/>
      </c>
      <c r="I54" s="24" t="inlineStr">
        <is>
          <t>O</t>
        </is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23">
        <f>SUMIF(①농산물raw!$D:$D,$C55,①농산물raw!$F:$F)</f>
        <v/>
      </c>
      <c r="G55" s="23">
        <f>SUMIF(①농산물raw!$D:$D,$C55,①농산물raw!$G:$G)</f>
        <v/>
      </c>
      <c r="H55" s="23">
        <f>SUMIF(①농산물raw!$D:$D,$C55,①농산물raw!$H:$H)</f>
        <v/>
      </c>
      <c r="I55" s="76" t="n"/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23">
        <f>SUMIF(①농산물raw!$D:$D,$C56,①농산물raw!$F:$F)</f>
        <v/>
      </c>
      <c r="G56" s="23">
        <f>SUMIF(①농산물raw!$D:$D,$C56,①농산물raw!$G:$G)</f>
        <v/>
      </c>
      <c r="H56" s="23">
        <f>SUMIF(①농산물raw!$D:$D,$C56,①농산물raw!$H:$H)</f>
        <v/>
      </c>
      <c r="I56" s="24" t="inlineStr">
        <is>
          <t>O</t>
        </is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23">
        <f>SUMIF(①농산물raw!$D:$D,$C57,①농산물raw!$F:$F)</f>
        <v/>
      </c>
      <c r="G57" s="23">
        <f>SUMIF(①농산물raw!$D:$D,$C57,①농산물raw!$G:$G)</f>
        <v/>
      </c>
      <c r="H57" s="23">
        <f>SUMIF(①농산물raw!$D:$D,$C57,①농산물raw!$H:$H)</f>
        <v/>
      </c>
      <c r="I57" s="76" t="n"/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23">
        <f>SUMIF(①농산물raw!$D:$D,$C58,①농산물raw!$F:$F)</f>
        <v/>
      </c>
      <c r="G58" s="23">
        <f>SUMIF(①농산물raw!$D:$D,$C58,①농산물raw!$G:$G)</f>
        <v/>
      </c>
      <c r="H58" s="23">
        <f>SUMIF(①농산물raw!$D:$D,$C58,①농산물raw!$H:$H)</f>
        <v/>
      </c>
      <c r="I58" s="24" t="inlineStr">
        <is>
          <t>O</t>
        </is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23">
        <f>SUMIF(①농산물raw!$D:$D,$C59,①농산물raw!$F:$F)</f>
        <v/>
      </c>
      <c r="G59" s="23">
        <f>SUMIF(①농산물raw!$D:$D,$C59,①농산물raw!$G:$G)</f>
        <v/>
      </c>
      <c r="H59" s="23">
        <f>SUMIF(①농산물raw!$D:$D,$C59,①농산물raw!$H:$H)</f>
        <v/>
      </c>
      <c r="I59" s="24" t="inlineStr">
        <is>
          <t>O</t>
        </is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23">
        <f>SUMIF(①농산물raw!$D:$D,$C60,①농산물raw!$F:$F)</f>
        <v/>
      </c>
      <c r="G60" s="23">
        <f>SUMIF(①농산물raw!$D:$D,$C60,①농산물raw!$G:$G)</f>
        <v/>
      </c>
      <c r="H60" s="23">
        <f>SUMIF(①농산물raw!$D:$D,$C60,①농산물raw!$H:$H)</f>
        <v/>
      </c>
      <c r="I60" s="24" t="inlineStr">
        <is>
          <t>O</t>
        </is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23">
        <f>SUMIF(①농산물raw!$D:$D,$C61,①농산물raw!$F:$F)</f>
        <v/>
      </c>
      <c r="G61" s="23">
        <f>SUMIF(①농산물raw!$D:$D,$C61,①농산물raw!$G:$G)</f>
        <v/>
      </c>
      <c r="H61" s="23">
        <f>SUMIF(①농산물raw!$D:$D,$C61,①농산물raw!$H:$H)</f>
        <v/>
      </c>
      <c r="I61" s="76" t="n"/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23">
        <f>SUMIF(①농산물raw!$D:$D,$C62,①농산물raw!$F:$F)</f>
        <v/>
      </c>
      <c r="G62" s="23">
        <f>SUMIF(①농산물raw!$D:$D,$C62,①농산물raw!$G:$G)</f>
        <v/>
      </c>
      <c r="H62" s="23">
        <f>SUMIF(①농산물raw!$D:$D,$C62,①농산물raw!$H:$H)</f>
        <v/>
      </c>
      <c r="I62" s="24" t="inlineStr">
        <is>
          <t>O</t>
        </is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23">
        <f>SUMIF(①농산물raw!$D:$D,$C63,①농산물raw!$F:$F)</f>
        <v/>
      </c>
      <c r="G63" s="23">
        <f>SUMIF(①농산물raw!$D:$D,$C63,①농산물raw!$G:$G)</f>
        <v/>
      </c>
      <c r="H63" s="23">
        <f>SUMIF(①농산물raw!$D:$D,$C63,①농산물raw!$H:$H)</f>
        <v/>
      </c>
      <c r="I63" s="76" t="n"/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23">
        <f>SUMIF(①농산물raw!$D:$D,$C64,①농산물raw!$F:$F)</f>
        <v/>
      </c>
      <c r="G64" s="23">
        <f>SUMIF(①농산물raw!$D:$D,$C64,①농산물raw!$G:$G)</f>
        <v/>
      </c>
      <c r="H64" s="23">
        <f>SUMIF(①농산물raw!$D:$D,$C64,①농산물raw!$H:$H)</f>
        <v/>
      </c>
      <c r="I64" s="76" t="n"/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23">
        <f>SUMIF(①농산물raw!$D:$D,$C65,①농산물raw!$F:$F)</f>
        <v/>
      </c>
      <c r="G65" s="23">
        <f>SUMIF(①농산물raw!$D:$D,$C65,①농산물raw!$G:$G)</f>
        <v/>
      </c>
      <c r="H65" s="23">
        <f>SUMIF(①농산물raw!$D:$D,$C65,①농산물raw!$H:$H)</f>
        <v/>
      </c>
      <c r="I65" s="24" t="inlineStr">
        <is>
          <t>O</t>
        </is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23">
        <f>SUMIF(①농산물raw!$D:$D,$C66,①농산물raw!$F:$F)</f>
        <v/>
      </c>
      <c r="G66" s="23">
        <f>SUMIF(①농산물raw!$D:$D,$C66,①농산물raw!$G:$G)</f>
        <v/>
      </c>
      <c r="H66" s="23">
        <f>SUMIF(①농산물raw!$D:$D,$C66,①농산물raw!$H:$H)</f>
        <v/>
      </c>
      <c r="I66" s="24" t="inlineStr">
        <is>
          <t>O</t>
        </is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23">
        <f>SUMIF(①농산물raw!$D:$D,$C67,①농산물raw!$F:$F)</f>
        <v/>
      </c>
      <c r="G67" s="23">
        <f>SUMIF(①농산물raw!$D:$D,$C67,①농산물raw!$G:$G)</f>
        <v/>
      </c>
      <c r="H67" s="23">
        <f>SUMIF(①농산물raw!$D:$D,$C67,①농산물raw!$H:$H)</f>
        <v/>
      </c>
      <c r="I67" s="24" t="inlineStr">
        <is>
          <t>O</t>
        </is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23">
        <f>SUMIF(①농산물raw!$D:$D,$C68,①농산물raw!$F:$F)</f>
        <v/>
      </c>
      <c r="G68" s="23">
        <f>SUMIF(①농산물raw!$D:$D,$C68,①농산물raw!$G:$G)</f>
        <v/>
      </c>
      <c r="H68" s="23">
        <f>SUMIF(①농산물raw!$D:$D,$C68,①농산물raw!$H:$H)</f>
        <v/>
      </c>
      <c r="I68" s="76" t="n"/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23">
        <f>SUMIF(①농산물raw!$D:$D,$C69,①농산물raw!$F:$F)</f>
        <v/>
      </c>
      <c r="G69" s="23">
        <f>SUMIF(①농산물raw!$D:$D,$C69,①농산물raw!$G:$G)</f>
        <v/>
      </c>
      <c r="H69" s="23">
        <f>SUMIF(①농산물raw!$D:$D,$C69,①농산물raw!$H:$H)</f>
        <v/>
      </c>
      <c r="I69" s="24" t="inlineStr">
        <is>
          <t>O</t>
        </is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23">
        <f>SUMIF(①농산물raw!$D:$D,$C70,①농산물raw!$F:$F)</f>
        <v/>
      </c>
      <c r="G70" s="23">
        <f>SUMIF(①농산물raw!$D:$D,$C70,①농산물raw!$G:$G)</f>
        <v/>
      </c>
      <c r="H70" s="23">
        <f>SUMIF(①농산물raw!$D:$D,$C70,①농산물raw!$H:$H)</f>
        <v/>
      </c>
      <c r="I70" s="24" t="inlineStr">
        <is>
          <t>O</t>
        </is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23">
        <f>SUMIF(①농산물raw!$D:$D,$C71,①농산물raw!$F:$F)</f>
        <v/>
      </c>
      <c r="G71" s="23">
        <f>SUMIF(①농산물raw!$D:$D,$C71,①농산물raw!$G:$G)</f>
        <v/>
      </c>
      <c r="H71" s="23">
        <f>SUMIF(①농산물raw!$D:$D,$C71,①농산물raw!$H:$H)</f>
        <v/>
      </c>
      <c r="I71" s="76" t="n"/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23">
        <f>SUMIF(①농산물raw!$D:$D,$C72,①농산물raw!$F:$F)</f>
        <v/>
      </c>
      <c r="G72" s="23">
        <f>SUMIF(①농산물raw!$D:$D,$C72,①농산물raw!$G:$G)</f>
        <v/>
      </c>
      <c r="H72" s="23">
        <f>SUMIF(①농산물raw!$D:$D,$C72,①농산물raw!$H:$H)</f>
        <v/>
      </c>
      <c r="I72" s="24" t="inlineStr">
        <is>
          <t>O</t>
        </is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23">
        <f>SUMIF(①농산물raw!$D:$D,$C73,①농산물raw!$F:$F)</f>
        <v/>
      </c>
      <c r="G73" s="23">
        <f>SUMIF(①농산물raw!$D:$D,$C73,①농산물raw!$G:$G)</f>
        <v/>
      </c>
      <c r="H73" s="23">
        <f>SUMIF(①농산물raw!$D:$D,$C73,①농산물raw!$H:$H)</f>
        <v/>
      </c>
      <c r="I73" s="24" t="inlineStr">
        <is>
          <t>O</t>
        </is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23">
        <f>SUMIF(①농산물raw!$D:$D,$C74,①농산물raw!$F:$F)</f>
        <v/>
      </c>
      <c r="G74" s="23">
        <f>SUMIF(①농산물raw!$D:$D,$C74,①농산물raw!$G:$G)</f>
        <v/>
      </c>
      <c r="H74" s="23">
        <f>SUMIF(①농산물raw!$D:$D,$C74,①농산물raw!$H:$H)</f>
        <v/>
      </c>
      <c r="I74" s="24" t="inlineStr">
        <is>
          <t>O</t>
        </is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23">
        <f>SUMIF(①농산물raw!$D:$D,$C75,①농산물raw!$F:$F)</f>
        <v/>
      </c>
      <c r="G75" s="23">
        <f>SUMIF(①농산물raw!$D:$D,$C75,①농산물raw!$G:$G)</f>
        <v/>
      </c>
      <c r="H75" s="23">
        <f>SUMIF(①농산물raw!$D:$D,$C75,①농산물raw!$H:$H)</f>
        <v/>
      </c>
      <c r="I75" s="24" t="inlineStr">
        <is>
          <t>O</t>
        </is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23">
        <f>SUMIF(①농산물raw!$D:$D,$C76,①농산물raw!$F:$F)</f>
        <v/>
      </c>
      <c r="G76" s="23">
        <f>SUMIF(①농산물raw!$D:$D,$C76,①농산물raw!$G:$G)</f>
        <v/>
      </c>
      <c r="H76" s="23">
        <f>SUMIF(①농산물raw!$D:$D,$C76,①농산물raw!$H:$H)</f>
        <v/>
      </c>
      <c r="I76" s="24" t="inlineStr">
        <is>
          <t>O</t>
        </is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23">
        <f>SUMIF(①농산물raw!$D:$D,$C77,①농산물raw!$F:$F)</f>
        <v/>
      </c>
      <c r="G77" s="23">
        <f>SUMIF(①농산물raw!$D:$D,$C77,①농산물raw!$G:$G)</f>
        <v/>
      </c>
      <c r="H77" s="23">
        <f>SUMIF(①농산물raw!$D:$D,$C77,①농산물raw!$H:$H)</f>
        <v/>
      </c>
      <c r="I77" s="24" t="inlineStr">
        <is>
          <t>O</t>
        </is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23">
        <f>SUMIF(①농산물raw!$D:$D,$C78,①농산물raw!$F:$F)</f>
        <v/>
      </c>
      <c r="G78" s="23">
        <f>SUMIF(①농산물raw!$D:$D,$C78,①농산물raw!$G:$G)</f>
        <v/>
      </c>
      <c r="H78" s="23">
        <f>SUMIF(①농산물raw!$D:$D,$C78,①농산물raw!$H:$H)</f>
        <v/>
      </c>
      <c r="I78" s="24" t="inlineStr">
        <is>
          <t>O</t>
        </is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23">
        <f>SUMIF(①농산물raw!$D:$D,$C79,①농산물raw!$F:$F)</f>
        <v/>
      </c>
      <c r="G79" s="23">
        <f>SUMIF(①농산물raw!$D:$D,$C79,①농산물raw!$G:$G)</f>
        <v/>
      </c>
      <c r="H79" s="23">
        <f>SUMIF(①농산물raw!$D:$D,$C79,①농산물raw!$H:$H)</f>
        <v/>
      </c>
      <c r="I79" s="24" t="inlineStr">
        <is>
          <t>O</t>
        </is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23">
        <f>SUMIF(①농산물raw!$D:$D,$C80,①농산물raw!$F:$F)</f>
        <v/>
      </c>
      <c r="G80" s="23">
        <f>SUMIF(①농산물raw!$D:$D,$C80,①농산물raw!$G:$G)</f>
        <v/>
      </c>
      <c r="H80" s="23">
        <f>SUMIF(①농산물raw!$D:$D,$C80,①농산물raw!$H:$H)</f>
        <v/>
      </c>
      <c r="I80" s="24" t="inlineStr">
        <is>
          <t>O</t>
        </is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23">
        <f>SUMIF(①농산물raw!$D:$D,$C81,①농산물raw!$F:$F)</f>
        <v/>
      </c>
      <c r="G81" s="23">
        <f>SUMIF(①농산물raw!$D:$D,$C81,①농산물raw!$G:$G)</f>
        <v/>
      </c>
      <c r="H81" s="23">
        <f>SUMIF(①농산물raw!$D:$D,$C81,①농산물raw!$H:$H)</f>
        <v/>
      </c>
      <c r="I81" s="24" t="inlineStr">
        <is>
          <t>O</t>
        </is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23">
        <f>SUMIF(①농산물raw!$D:$D,$C82,①농산물raw!$F:$F)</f>
        <v/>
      </c>
      <c r="G82" s="23">
        <f>SUMIF(①농산물raw!$D:$D,$C82,①농산물raw!$G:$G)</f>
        <v/>
      </c>
      <c r="H82" s="23">
        <f>SUMIF(①농산물raw!$D:$D,$C82,①농산물raw!$H:$H)</f>
        <v/>
      </c>
      <c r="I82" s="24" t="inlineStr">
        <is>
          <t>O</t>
        </is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23">
        <f>SUMIF(①농산물raw!$D:$D,$C83,①농산물raw!$F:$F)</f>
        <v/>
      </c>
      <c r="G83" s="23">
        <f>SUMIF(①농산물raw!$D:$D,$C83,①농산물raw!$G:$G)</f>
        <v/>
      </c>
      <c r="H83" s="23">
        <f>SUMIF(①농산물raw!$D:$D,$C83,①농산물raw!$H:$H)</f>
        <v/>
      </c>
      <c r="I83" s="24" t="inlineStr">
        <is>
          <t>O</t>
        </is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23">
        <f>SUMIF(①농산물raw!$D:$D,$C84,①농산물raw!$F:$F)</f>
        <v/>
      </c>
      <c r="G84" s="23">
        <f>SUMIF(①농산물raw!$D:$D,$C84,①농산물raw!$G:$G)</f>
        <v/>
      </c>
      <c r="H84" s="23">
        <f>SUMIF(①농산물raw!$D:$D,$C84,①농산물raw!$H:$H)</f>
        <v/>
      </c>
      <c r="I84" s="76" t="n"/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23">
        <f>SUMIF(①농산물raw!$D:$D,$C85,①농산물raw!$F:$F)</f>
        <v/>
      </c>
      <c r="G85" s="23">
        <f>SUMIF(①농산물raw!$D:$D,$C85,①농산물raw!$G:$G)</f>
        <v/>
      </c>
      <c r="H85" s="23">
        <f>SUMIF(①농산물raw!$D:$D,$C85,①농산물raw!$H:$H)</f>
        <v/>
      </c>
      <c r="I85" s="24" t="inlineStr">
        <is>
          <t>O</t>
        </is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23">
        <f>SUMIF(①농산물raw!$D:$D,$C86,①농산물raw!$F:$F)</f>
        <v/>
      </c>
      <c r="G86" s="23">
        <f>SUMIF(①농산물raw!$D:$D,$C86,①농산물raw!$G:$G)</f>
        <v/>
      </c>
      <c r="H86" s="23">
        <f>SUMIF(①농산물raw!$D:$D,$C86,①농산물raw!$H:$H)</f>
        <v/>
      </c>
      <c r="I86" s="76" t="n"/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23">
        <f>SUMIF(①농산물raw!$D:$D,$C87,①농산물raw!$F:$F)</f>
        <v/>
      </c>
      <c r="G87" s="23">
        <f>SUMIF(①농산물raw!$D:$D,$C87,①농산물raw!$G:$G)</f>
        <v/>
      </c>
      <c r="H87" s="23">
        <f>SUMIF(①농산물raw!$D:$D,$C87,①농산물raw!$H:$H)</f>
        <v/>
      </c>
      <c r="I87" s="24" t="inlineStr">
        <is>
          <t>O</t>
        </is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23">
        <f>SUMIF(①농산물raw!$D:$D,$C88,①농산물raw!$F:$F)</f>
        <v/>
      </c>
      <c r="G88" s="23">
        <f>SUMIF(①농산물raw!$D:$D,$C88,①농산물raw!$G:$G)</f>
        <v/>
      </c>
      <c r="H88" s="23">
        <f>SUMIF(①농산물raw!$D:$D,$C88,①농산물raw!$H:$H)</f>
        <v/>
      </c>
      <c r="I88" s="24" t="inlineStr">
        <is>
          <t>O</t>
        </is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23">
        <f>SUMIF(①농산물raw!$D:$D,$C89,①농산물raw!$F:$F)</f>
        <v/>
      </c>
      <c r="G89" s="23">
        <f>SUMIF(①농산물raw!$D:$D,$C89,①농산물raw!$G:$G)</f>
        <v/>
      </c>
      <c r="H89" s="23">
        <f>SUMIF(①농산물raw!$D:$D,$C89,①농산물raw!$H:$H)</f>
        <v/>
      </c>
      <c r="I89" s="76" t="n"/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23">
        <f>SUMIF(①농산물raw!$D:$D,$C90,①농산물raw!$F:$F)</f>
        <v/>
      </c>
      <c r="G90" s="23">
        <f>SUMIF(①농산물raw!$D:$D,$C90,①농산물raw!$G:$G)</f>
        <v/>
      </c>
      <c r="H90" s="23">
        <f>SUMIF(①농산물raw!$D:$D,$C90,①농산물raw!$H:$H)</f>
        <v/>
      </c>
      <c r="I90" s="24" t="inlineStr">
        <is>
          <t>O</t>
        </is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23">
        <f>SUMIF(①농산물raw!$D:$D,$C91,①농산물raw!$F:$F)</f>
        <v/>
      </c>
      <c r="G91" s="23">
        <f>SUMIF(①농산물raw!$D:$D,$C91,①농산물raw!$G:$G)</f>
        <v/>
      </c>
      <c r="H91" s="23">
        <f>SUMIF(①농산물raw!$D:$D,$C91,①농산물raw!$H:$H)</f>
        <v/>
      </c>
      <c r="I91" s="76" t="n"/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23">
        <f>SUMIF(①농산물raw!$D:$D,$C92,①농산물raw!$F:$F)</f>
        <v/>
      </c>
      <c r="G92" s="23">
        <f>SUMIF(①농산물raw!$D:$D,$C92,①농산물raw!$G:$G)</f>
        <v/>
      </c>
      <c r="H92" s="23">
        <f>SUMIF(①농산물raw!$D:$D,$C92,①농산물raw!$H:$H)</f>
        <v/>
      </c>
      <c r="I92" s="24" t="inlineStr">
        <is>
          <t>O</t>
        </is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23">
        <f>SUMIF(①농산물raw!$D:$D,$C93,①농산물raw!$F:$F)</f>
        <v/>
      </c>
      <c r="G93" s="23">
        <f>SUMIF(①농산물raw!$D:$D,$C93,①농산물raw!$G:$G)</f>
        <v/>
      </c>
      <c r="H93" s="23">
        <f>SUMIF(①농산물raw!$D:$D,$C93,①농산물raw!$H:$H)</f>
        <v/>
      </c>
      <c r="I93" s="24" t="inlineStr">
        <is>
          <t>O</t>
        </is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23">
        <f>SUMIF(①농산물raw!$D:$D,$C94,①농산물raw!$F:$F)</f>
        <v/>
      </c>
      <c r="G94" s="23">
        <f>SUMIF(①농산물raw!$D:$D,$C94,①농산물raw!$G:$G)</f>
        <v/>
      </c>
      <c r="H94" s="23">
        <f>SUMIF(①농산물raw!$D:$D,$C94,①농산물raw!$H:$H)</f>
        <v/>
      </c>
      <c r="I94" s="24" t="inlineStr">
        <is>
          <t>O</t>
        </is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23">
        <f>SUMIF(①농산물raw!$D:$D,$C95,①농산물raw!$F:$F)</f>
        <v/>
      </c>
      <c r="G95" s="23">
        <f>SUMIF(①농산물raw!$D:$D,$C95,①농산물raw!$G:$G)</f>
        <v/>
      </c>
      <c r="H95" s="23">
        <f>SUMIF(①농산물raw!$D:$D,$C95,①농산물raw!$H:$H)</f>
        <v/>
      </c>
      <c r="I95" s="24" t="inlineStr">
        <is>
          <t>O</t>
        </is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23">
        <f>SUMIF(①농산물raw!$D:$D,$C96,①농산물raw!$F:$F)</f>
        <v/>
      </c>
      <c r="G96" s="23">
        <f>SUMIF(①농산물raw!$D:$D,$C96,①농산물raw!$G:$G)</f>
        <v/>
      </c>
      <c r="H96" s="23">
        <f>SUMIF(①농산물raw!$D:$D,$C96,①농산물raw!$H:$H)</f>
        <v/>
      </c>
      <c r="I96" s="24" t="inlineStr">
        <is>
          <t>O</t>
        </is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23">
        <f>SUMIF(①농산물raw!$D:$D,$C97,①농산물raw!$F:$F)</f>
        <v/>
      </c>
      <c r="G97" s="23">
        <f>SUMIF(①농산물raw!$D:$D,$C97,①농산물raw!$G:$G)</f>
        <v/>
      </c>
      <c r="H97" s="23">
        <f>SUMIF(①농산물raw!$D:$D,$C97,①농산물raw!$H:$H)</f>
        <v/>
      </c>
      <c r="I97" s="24" t="inlineStr">
        <is>
          <t>O</t>
        </is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23">
        <f>SUMIF(①농산물raw!$D:$D,$C98,①농산물raw!$F:$F)</f>
        <v/>
      </c>
      <c r="G98" s="23">
        <f>SUMIF(①농산물raw!$D:$D,$C98,①농산물raw!$G:$G)</f>
        <v/>
      </c>
      <c r="H98" s="23">
        <f>SUMIF(①농산물raw!$D:$D,$C98,①농산물raw!$H:$H)</f>
        <v/>
      </c>
      <c r="I98" s="76" t="n"/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23">
        <f>SUMIF(①농산물raw!$D:$D,$C99,①농산물raw!$F:$F)</f>
        <v/>
      </c>
      <c r="G99" s="23">
        <f>SUMIF(①농산물raw!$D:$D,$C99,①농산물raw!$G:$G)</f>
        <v/>
      </c>
      <c r="H99" s="23">
        <f>SUMIF(①농산물raw!$D:$D,$C99,①농산물raw!$H:$H)</f>
        <v/>
      </c>
      <c r="I99" s="76" t="n"/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23">
        <f>SUMIF(①농산물raw!$D:$D,$C100,①농산물raw!$F:$F)</f>
        <v/>
      </c>
      <c r="G100" s="23">
        <f>SUMIF(①농산물raw!$D:$D,$C100,①농산물raw!$G:$G)</f>
        <v/>
      </c>
      <c r="H100" s="23">
        <f>SUMIF(①농산물raw!$D:$D,$C100,①농산물raw!$H:$H)</f>
        <v/>
      </c>
      <c r="I100" s="24" t="inlineStr">
        <is>
          <t>O</t>
        </is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23">
        <f>SUMIF(①농산물raw!$D:$D,$C101,①농산물raw!$F:$F)</f>
        <v/>
      </c>
      <c r="G101" s="23">
        <f>SUMIF(①농산물raw!$D:$D,$C101,①농산물raw!$G:$G)</f>
        <v/>
      </c>
      <c r="H101" s="23">
        <f>SUMIF(①농산물raw!$D:$D,$C101,①농산물raw!$H:$H)</f>
        <v/>
      </c>
      <c r="I101" s="24" t="inlineStr">
        <is>
          <t>O</t>
        </is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23">
        <f>SUMIF(①농산물raw!$D:$D,$C102,①농산물raw!$F:$F)</f>
        <v/>
      </c>
      <c r="G102" s="23">
        <f>SUMIF(①농산물raw!$D:$D,$C102,①농산물raw!$G:$G)</f>
        <v/>
      </c>
      <c r="H102" s="23">
        <f>SUMIF(①농산물raw!$D:$D,$C102,①농산물raw!$H:$H)</f>
        <v/>
      </c>
      <c r="I102" s="24" t="inlineStr">
        <is>
          <t>O</t>
        </is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23">
        <f>SUMIF(①농산물raw!$D:$D,$C103,①농산물raw!$F:$F)</f>
        <v/>
      </c>
      <c r="G103" s="23">
        <f>SUMIF(①농산물raw!$D:$D,$C103,①농산물raw!$G:$G)</f>
        <v/>
      </c>
      <c r="H103" s="23">
        <f>SUMIF(①농산물raw!$D:$D,$C103,①농산물raw!$H:$H)</f>
        <v/>
      </c>
      <c r="I103" s="76" t="n"/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23">
        <f>SUMIF(①농산물raw!$D:$D,$C104,①농산물raw!$F:$F)</f>
        <v/>
      </c>
      <c r="G104" s="23">
        <f>SUMIF(①농산물raw!$D:$D,$C104,①농산물raw!$G:$G)</f>
        <v/>
      </c>
      <c r="H104" s="23">
        <f>SUMIF(①농산물raw!$D:$D,$C104,①농산물raw!$H:$H)</f>
        <v/>
      </c>
      <c r="I104" s="24" t="inlineStr">
        <is>
          <t>O</t>
        </is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23">
        <f>SUMIF(①농산물raw!$D:$D,$C105,①농산물raw!$F:$F)</f>
        <v/>
      </c>
      <c r="G105" s="23">
        <f>SUMIF(①농산물raw!$D:$D,$C105,①농산물raw!$G:$G)</f>
        <v/>
      </c>
      <c r="H105" s="23">
        <f>SUMIF(①농산물raw!$D:$D,$C105,①농산물raw!$H:$H)</f>
        <v/>
      </c>
      <c r="I105" s="76" t="n"/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23">
        <f>SUMIF(①농산물raw!$D:$D,$C106,①농산물raw!$F:$F)</f>
        <v/>
      </c>
      <c r="G106" s="23">
        <f>SUMIF(①농산물raw!$D:$D,$C106,①농산물raw!$G:$G)</f>
        <v/>
      </c>
      <c r="H106" s="23">
        <f>SUMIF(①농산물raw!$D:$D,$C106,①농산물raw!$H:$H)</f>
        <v/>
      </c>
      <c r="I106" s="24" t="inlineStr">
        <is>
          <t>O</t>
        </is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23">
        <f>SUMIF(①농산물raw!$D:$D,$C107,①농산물raw!$F:$F)</f>
        <v/>
      </c>
      <c r="G107" s="23">
        <f>SUMIF(①농산물raw!$D:$D,$C107,①농산물raw!$G:$G)</f>
        <v/>
      </c>
      <c r="H107" s="23">
        <f>SUMIF(①농산물raw!$D:$D,$C107,①농산물raw!$H:$H)</f>
        <v/>
      </c>
      <c r="I107" s="76" t="n"/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23">
        <f>SUMIF(①농산물raw!$D:$D,$C108,①농산물raw!$F:$F)</f>
        <v/>
      </c>
      <c r="G108" s="23">
        <f>SUMIF(①농산물raw!$D:$D,$C108,①농산물raw!$G:$G)</f>
        <v/>
      </c>
      <c r="H108" s="23">
        <f>SUMIF(①농산물raw!$D:$D,$C108,①농산물raw!$H:$H)</f>
        <v/>
      </c>
      <c r="I108" s="76" t="n"/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23">
        <f>SUMIF(①농산물raw!$D:$D,$C109,①농산물raw!$F:$F)</f>
        <v/>
      </c>
      <c r="G109" s="23">
        <f>SUMIF(①농산물raw!$D:$D,$C109,①농산물raw!$G:$G)</f>
        <v/>
      </c>
      <c r="H109" s="23">
        <f>SUMIF(①농산물raw!$D:$D,$C109,①농산물raw!$H:$H)</f>
        <v/>
      </c>
      <c r="I109" s="76" t="n"/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23">
        <f>SUMIF(①농산물raw!$D:$D,$C110,①농산물raw!$F:$F)</f>
        <v/>
      </c>
      <c r="G110" s="23">
        <f>SUMIF(①농산물raw!$D:$D,$C110,①농산물raw!$G:$G)</f>
        <v/>
      </c>
      <c r="H110" s="23">
        <f>SUMIF(①농산물raw!$D:$D,$C110,①농산물raw!$H:$H)</f>
        <v/>
      </c>
      <c r="I110" s="76" t="n"/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23">
        <f>SUMIF(①농산물raw!$D:$D,$C111,①농산물raw!$F:$F)</f>
        <v/>
      </c>
      <c r="G111" s="23">
        <f>SUMIF(①농산물raw!$D:$D,$C111,①농산물raw!$G:$G)</f>
        <v/>
      </c>
      <c r="H111" s="23">
        <f>SUMIF(①농산물raw!$D:$D,$C111,①농산물raw!$H:$H)</f>
        <v/>
      </c>
      <c r="I111" s="76" t="n"/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23">
        <f>SUMIF(①농산물raw!$D:$D,$C112,①농산물raw!$F:$F)</f>
        <v/>
      </c>
      <c r="G112" s="23">
        <f>SUMIF(①농산물raw!$D:$D,$C112,①농산물raw!$G:$G)</f>
        <v/>
      </c>
      <c r="H112" s="23">
        <f>SUMIF(①농산물raw!$D:$D,$C112,①농산물raw!$H:$H)</f>
        <v/>
      </c>
      <c r="I112" s="24" t="inlineStr">
        <is>
          <t>O</t>
        </is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23">
        <f>SUMIF(①농산물raw!$D:$D,$C113,①농산물raw!$F:$F)</f>
        <v/>
      </c>
      <c r="G113" s="23">
        <f>SUMIF(①농산물raw!$D:$D,$C113,①농산물raw!$G:$G)</f>
        <v/>
      </c>
      <c r="H113" s="23">
        <f>SUMIF(①농산물raw!$D:$D,$C113,①농산물raw!$H:$H)</f>
        <v/>
      </c>
      <c r="I113" s="76" t="n"/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23">
        <f>SUMIF(①농산물raw!$D:$D,$C114,①농산물raw!$F:$F)</f>
        <v/>
      </c>
      <c r="G114" s="23">
        <f>SUMIF(①농산물raw!$D:$D,$C114,①농산물raw!$G:$G)</f>
        <v/>
      </c>
      <c r="H114" s="23">
        <f>SUMIF(①농산물raw!$D:$D,$C114,①농산물raw!$H:$H)</f>
        <v/>
      </c>
      <c r="I114" s="24" t="inlineStr">
        <is>
          <t>O</t>
        </is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23">
        <f>SUMIF(①농산물raw!$D:$D,$C115,①농산물raw!$F:$F)</f>
        <v/>
      </c>
      <c r="G115" s="23">
        <f>SUMIF(①농산물raw!$D:$D,$C115,①농산물raw!$G:$G)</f>
        <v/>
      </c>
      <c r="H115" s="23">
        <f>SUMIF(①농산물raw!$D:$D,$C115,①농산물raw!$H:$H)</f>
        <v/>
      </c>
      <c r="I115" s="24" t="inlineStr">
        <is>
          <t>O</t>
        </is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23">
        <f>SUMIF(①농산물raw!$D:$D,$C116,①농산물raw!$F:$F)</f>
        <v/>
      </c>
      <c r="G116" s="23">
        <f>SUMIF(①농산물raw!$D:$D,$C116,①농산물raw!$G:$G)</f>
        <v/>
      </c>
      <c r="H116" s="23">
        <f>SUMIF(①농산물raw!$D:$D,$C116,①농산물raw!$H:$H)</f>
        <v/>
      </c>
      <c r="I116" s="24" t="inlineStr">
        <is>
          <t>O</t>
        </is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23">
        <f>SUMIF(①농산물raw!$D:$D,$C117,①농산물raw!$F:$F)</f>
        <v/>
      </c>
      <c r="G117" s="23">
        <f>SUMIF(①농산물raw!$D:$D,$C117,①농산물raw!$G:$G)</f>
        <v/>
      </c>
      <c r="H117" s="23">
        <f>SUMIF(①농산물raw!$D:$D,$C117,①농산물raw!$H:$H)</f>
        <v/>
      </c>
      <c r="I117" s="24" t="inlineStr">
        <is>
          <t>O</t>
        </is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23">
        <f>SUMIF(①농산물raw!$D:$D,$C118,①농산물raw!$F:$F)</f>
        <v/>
      </c>
      <c r="G118" s="23">
        <f>SUMIF(①농산물raw!$D:$D,$C118,①농산물raw!$G:$G)</f>
        <v/>
      </c>
      <c r="H118" s="23">
        <f>SUMIF(①농산물raw!$D:$D,$C118,①농산물raw!$H:$H)</f>
        <v/>
      </c>
      <c r="I118" s="76" t="n"/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23">
        <f>SUMIF(①농산물raw!$D:$D,$C119,①농산물raw!$F:$F)</f>
        <v/>
      </c>
      <c r="G119" s="23">
        <f>SUMIF(①농산물raw!$D:$D,$C119,①농산물raw!$G:$G)</f>
        <v/>
      </c>
      <c r="H119" s="23">
        <f>SUMIF(①농산물raw!$D:$D,$C119,①농산물raw!$H:$H)</f>
        <v/>
      </c>
      <c r="I119" s="76" t="n"/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23">
        <f>SUMIF(①농산물raw!$D:$D,$C120,①농산물raw!$F:$F)</f>
        <v/>
      </c>
      <c r="G120" s="23">
        <f>SUMIF(①농산물raw!$D:$D,$C120,①농산물raw!$G:$G)</f>
        <v/>
      </c>
      <c r="H120" s="23">
        <f>SUMIF(①농산물raw!$D:$D,$C120,①농산물raw!$H:$H)</f>
        <v/>
      </c>
      <c r="I120" s="76" t="n"/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23">
        <f>SUMIF(①농산물raw!$D:$D,$C121,①농산물raw!$F:$F)</f>
        <v/>
      </c>
      <c r="G121" s="23">
        <f>SUMIF(①농산물raw!$D:$D,$C121,①농산물raw!$G:$G)</f>
        <v/>
      </c>
      <c r="H121" s="23">
        <f>SUMIF(①농산물raw!$D:$D,$C121,①농산물raw!$H:$H)</f>
        <v/>
      </c>
      <c r="I121" s="24" t="inlineStr">
        <is>
          <t>O</t>
        </is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23">
        <f>SUMIF(①농산물raw!$D:$D,$C122,①농산물raw!$F:$F)</f>
        <v/>
      </c>
      <c r="G122" s="23">
        <f>SUMIF(①농산물raw!$D:$D,$C122,①농산물raw!$G:$G)</f>
        <v/>
      </c>
      <c r="H122" s="23">
        <f>SUMIF(①농산물raw!$D:$D,$C122,①농산물raw!$H:$H)</f>
        <v/>
      </c>
      <c r="I122" s="24" t="inlineStr">
        <is>
          <t>O</t>
        </is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23">
        <f>SUMIF(①농산물raw!$D:$D,$C123,①농산물raw!$F:$F)</f>
        <v/>
      </c>
      <c r="G123" s="23">
        <f>SUMIF(①농산물raw!$D:$D,$C123,①농산물raw!$G:$G)</f>
        <v/>
      </c>
      <c r="H123" s="23">
        <f>SUMIF(①농산물raw!$D:$D,$C123,①농산물raw!$H:$H)</f>
        <v/>
      </c>
      <c r="I123" s="76" t="n"/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23">
        <f>SUMIF(①농산물raw!$D:$D,$C124,①농산물raw!$F:$F)</f>
        <v/>
      </c>
      <c r="G124" s="23">
        <f>SUMIF(①농산물raw!$D:$D,$C124,①농산물raw!$G:$G)</f>
        <v/>
      </c>
      <c r="H124" s="23">
        <f>SUMIF(①농산물raw!$D:$D,$C124,①농산물raw!$H:$H)</f>
        <v/>
      </c>
      <c r="I124" s="24" t="inlineStr">
        <is>
          <t>O</t>
        </is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23">
        <f>SUMIF(①농산물raw!$D:$D,$C125,①농산물raw!$F:$F)</f>
        <v/>
      </c>
      <c r="G125" s="23">
        <f>SUMIF(①농산물raw!$D:$D,$C125,①농산물raw!$G:$G)</f>
        <v/>
      </c>
      <c r="H125" s="23">
        <f>SUMIF(①농산물raw!$D:$D,$C125,①농산물raw!$H:$H)</f>
        <v/>
      </c>
      <c r="I125" s="76" t="n"/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23">
        <f>SUMIF(①농산물raw!$D:$D,$C126,①농산물raw!$F:$F)</f>
        <v/>
      </c>
      <c r="G126" s="23">
        <f>SUMIF(①농산물raw!$D:$D,$C126,①농산물raw!$G:$G)</f>
        <v/>
      </c>
      <c r="H126" s="23">
        <f>SUMIF(①농산물raw!$D:$D,$C126,①농산물raw!$H:$H)</f>
        <v/>
      </c>
      <c r="I126" s="24" t="inlineStr">
        <is>
          <t>O</t>
        </is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23">
        <f>SUMIF(①농산물raw!$D:$D,$C127,①농산물raw!$F:$F)</f>
        <v/>
      </c>
      <c r="G127" s="23">
        <f>SUMIF(①농산물raw!$D:$D,$C127,①농산물raw!$G:$G)</f>
        <v/>
      </c>
      <c r="H127" s="23">
        <f>SUMIF(①농산물raw!$D:$D,$C127,①농산물raw!$H:$H)</f>
        <v/>
      </c>
      <c r="I127" s="24" t="inlineStr">
        <is>
          <t>O</t>
        </is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23">
        <f>SUMIF(①농산물raw!$D:$D,$C128,①농산물raw!$F:$F)</f>
        <v/>
      </c>
      <c r="G128" s="23">
        <f>SUMIF(①농산물raw!$D:$D,$C128,①농산물raw!$G:$G)</f>
        <v/>
      </c>
      <c r="H128" s="23">
        <f>SUMIF(①농산물raw!$D:$D,$C128,①농산물raw!$H:$H)</f>
        <v/>
      </c>
      <c r="I128" s="24" t="inlineStr">
        <is>
          <t>O</t>
        </is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23">
        <f>SUMIF(①농산물raw!$D:$D,$C129,①농산물raw!$F:$F)</f>
        <v/>
      </c>
      <c r="G129" s="23">
        <f>SUMIF(①농산물raw!$D:$D,$C129,①농산물raw!$G:$G)</f>
        <v/>
      </c>
      <c r="H129" s="23">
        <f>SUMIF(①농산물raw!$D:$D,$C129,①농산물raw!$H:$H)</f>
        <v/>
      </c>
      <c r="I129" s="76" t="n"/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23">
        <f>SUMIF(①농산물raw!$D:$D,$C130,①농산물raw!$F:$F)</f>
        <v/>
      </c>
      <c r="G130" s="23">
        <f>SUMIF(①농산물raw!$D:$D,$C130,①농산물raw!$G:$G)</f>
        <v/>
      </c>
      <c r="H130" s="23">
        <f>SUMIF(①농산물raw!$D:$D,$C130,①농산물raw!$H:$H)</f>
        <v/>
      </c>
      <c r="I130" s="24" t="inlineStr">
        <is>
          <t>O</t>
        </is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23">
        <f>SUMIF(①농산물raw!$D:$D,$C131,①농산물raw!$F:$F)</f>
        <v/>
      </c>
      <c r="G131" s="23">
        <f>SUMIF(①농산물raw!$D:$D,$C131,①농산물raw!$G:$G)</f>
        <v/>
      </c>
      <c r="H131" s="23">
        <f>SUMIF(①농산물raw!$D:$D,$C131,①농산물raw!$H:$H)</f>
        <v/>
      </c>
      <c r="I131" s="24" t="inlineStr">
        <is>
          <t>O</t>
        </is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23">
        <f>SUMIF(①농산물raw!$D:$D,$C132,①농산물raw!$F:$F)</f>
        <v/>
      </c>
      <c r="G132" s="23">
        <f>SUMIF(①농산물raw!$D:$D,$C132,①농산물raw!$G:$G)</f>
        <v/>
      </c>
      <c r="H132" s="23">
        <f>SUMIF(①농산물raw!$D:$D,$C132,①농산물raw!$H:$H)</f>
        <v/>
      </c>
      <c r="I132" s="24" t="inlineStr">
        <is>
          <t>O</t>
        </is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23">
        <f>SUMIF(①농산물raw!$D:$D,$C133,①농산물raw!$F:$F)</f>
        <v/>
      </c>
      <c r="G133" s="23">
        <f>SUMIF(①농산물raw!$D:$D,$C133,①농산물raw!$G:$G)</f>
        <v/>
      </c>
      <c r="H133" s="23">
        <f>SUMIF(①농산물raw!$D:$D,$C133,①농산물raw!$H:$H)</f>
        <v/>
      </c>
      <c r="I133" s="24" t="inlineStr">
        <is>
          <t>O</t>
        </is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23">
        <f>SUMIF(①농산물raw!$D:$D,$C134,①농산물raw!$F:$F)</f>
        <v/>
      </c>
      <c r="G134" s="23">
        <f>SUMIF(①농산물raw!$D:$D,$C134,①농산물raw!$G:$G)</f>
        <v/>
      </c>
      <c r="H134" s="23">
        <f>SUMIF(①농산물raw!$D:$D,$C134,①농산물raw!$H:$H)</f>
        <v/>
      </c>
      <c r="I134" s="76" t="n"/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23">
        <f>SUMIF(①농산물raw!$D:$D,$C135,①농산물raw!$F:$F)</f>
        <v/>
      </c>
      <c r="G135" s="23">
        <f>SUMIF(①농산물raw!$D:$D,$C135,①농산물raw!$G:$G)</f>
        <v/>
      </c>
      <c r="H135" s="23">
        <f>SUMIF(①농산물raw!$D:$D,$C135,①농산물raw!$H:$H)</f>
        <v/>
      </c>
      <c r="I135" s="76" t="n"/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23">
        <f>SUMIF(①농산물raw!$D:$D,$C136,①농산물raw!$F:$F)</f>
        <v/>
      </c>
      <c r="G136" s="23">
        <f>SUMIF(①농산물raw!$D:$D,$C136,①농산물raw!$G:$G)</f>
        <v/>
      </c>
      <c r="H136" s="23">
        <f>SUMIF(①농산물raw!$D:$D,$C136,①농산물raw!$H:$H)</f>
        <v/>
      </c>
      <c r="I136" s="24" t="inlineStr">
        <is>
          <t>O</t>
        </is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23">
        <f>SUMIF(①농산물raw!$D:$D,$C137,①농산물raw!$F:$F)</f>
        <v/>
      </c>
      <c r="G137" s="23">
        <f>SUMIF(①농산물raw!$D:$D,$C137,①농산물raw!$G:$G)</f>
        <v/>
      </c>
      <c r="H137" s="23">
        <f>SUMIF(①농산물raw!$D:$D,$C137,①농산물raw!$H:$H)</f>
        <v/>
      </c>
      <c r="I137" s="24" t="inlineStr">
        <is>
          <t>O</t>
        </is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23">
        <f>SUMIF(①농산물raw!$D:$D,$C138,①농산물raw!$F:$F)</f>
        <v/>
      </c>
      <c r="G138" s="23">
        <f>SUMIF(①농산물raw!$D:$D,$C138,①농산물raw!$G:$G)</f>
        <v/>
      </c>
      <c r="H138" s="23">
        <f>SUMIF(①농산물raw!$D:$D,$C138,①농산물raw!$H:$H)</f>
        <v/>
      </c>
      <c r="I138" s="24" t="inlineStr">
        <is>
          <t>O</t>
        </is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23">
        <f>SUMIF(①농산물raw!$D:$D,$C139,①농산물raw!$F:$F)</f>
        <v/>
      </c>
      <c r="G139" s="23">
        <f>SUMIF(①농산물raw!$D:$D,$C139,①농산물raw!$G:$G)</f>
        <v/>
      </c>
      <c r="H139" s="23">
        <f>SUMIF(①농산물raw!$D:$D,$C139,①농산물raw!$H:$H)</f>
        <v/>
      </c>
      <c r="I139" s="24" t="inlineStr">
        <is>
          <t>O</t>
        </is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23">
        <f>SUMIF(①농산물raw!$D:$D,$C140,①농산물raw!$F:$F)</f>
        <v/>
      </c>
      <c r="G140" s="23">
        <f>SUMIF(①농산물raw!$D:$D,$C140,①농산물raw!$G:$G)</f>
        <v/>
      </c>
      <c r="H140" s="23">
        <f>SUMIF(①농산물raw!$D:$D,$C140,①농산물raw!$H:$H)</f>
        <v/>
      </c>
      <c r="I140" s="76" t="n"/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23">
        <f>SUMIF(①농산물raw!$D:$D,$C141,①농산물raw!$F:$F)</f>
        <v/>
      </c>
      <c r="G141" s="23">
        <f>SUMIF(①농산물raw!$D:$D,$C141,①농산물raw!$G:$G)</f>
        <v/>
      </c>
      <c r="H141" s="23">
        <f>SUMIF(①농산물raw!$D:$D,$C141,①농산물raw!$H:$H)</f>
        <v/>
      </c>
      <c r="I141" s="24" t="inlineStr">
        <is>
          <t>O</t>
        </is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23">
        <f>SUMIF(①농산물raw!$D:$D,$C142,①농산물raw!$F:$F)</f>
        <v/>
      </c>
      <c r="G142" s="23">
        <f>SUMIF(①농산물raw!$D:$D,$C142,①농산물raw!$G:$G)</f>
        <v/>
      </c>
      <c r="H142" s="23">
        <f>SUMIF(①농산물raw!$D:$D,$C142,①농산물raw!$H:$H)</f>
        <v/>
      </c>
      <c r="I142" s="24" t="inlineStr">
        <is>
          <t>O</t>
        </is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23">
        <f>SUMIF(①농산물raw!$D:$D,$C143,①농산물raw!$F:$F)</f>
        <v/>
      </c>
      <c r="G143" s="23">
        <f>SUMIF(①농산물raw!$D:$D,$C143,①농산물raw!$G:$G)</f>
        <v/>
      </c>
      <c r="H143" s="23">
        <f>SUMIF(①농산물raw!$D:$D,$C143,①농산물raw!$H:$H)</f>
        <v/>
      </c>
      <c r="I143" s="24" t="inlineStr">
        <is>
          <t>O</t>
        </is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23">
        <f>SUMIF(①농산물raw!$D:$D,$C144,①농산물raw!$F:$F)</f>
        <v/>
      </c>
      <c r="G144" s="23">
        <f>SUMIF(①농산물raw!$D:$D,$C144,①농산물raw!$G:$G)</f>
        <v/>
      </c>
      <c r="H144" s="23">
        <f>SUMIF(①농산물raw!$D:$D,$C144,①농산물raw!$H:$H)</f>
        <v/>
      </c>
      <c r="I144" s="24" t="inlineStr">
        <is>
          <t>O</t>
        </is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23">
        <f>SUMIF(①농산물raw!$D:$D,$C145,①농산물raw!$F:$F)</f>
        <v/>
      </c>
      <c r="G145" s="23">
        <f>SUMIF(①농산물raw!$D:$D,$C145,①농산물raw!$G:$G)</f>
        <v/>
      </c>
      <c r="H145" s="23">
        <f>SUMIF(①농산물raw!$D:$D,$C145,①농산물raw!$H:$H)</f>
        <v/>
      </c>
      <c r="I145" s="76" t="n"/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23">
        <f>SUMIF(①농산물raw!$D:$D,$C146,①농산물raw!$F:$F)</f>
        <v/>
      </c>
      <c r="G146" s="23">
        <f>SUMIF(①농산물raw!$D:$D,$C146,①농산물raw!$G:$G)</f>
        <v/>
      </c>
      <c r="H146" s="23">
        <f>SUMIF(①농산물raw!$D:$D,$C146,①농산물raw!$H:$H)</f>
        <v/>
      </c>
      <c r="I146" s="24" t="inlineStr">
        <is>
          <t>O</t>
        </is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23">
        <f>SUMIF(①농산물raw!$D:$D,$C147,①농산물raw!$F:$F)</f>
        <v/>
      </c>
      <c r="G147" s="23">
        <f>SUMIF(①농산물raw!$D:$D,$C147,①농산물raw!$G:$G)</f>
        <v/>
      </c>
      <c r="H147" s="23">
        <f>SUMIF(①농산물raw!$D:$D,$C147,①농산물raw!$H:$H)</f>
        <v/>
      </c>
      <c r="I147" s="76" t="n"/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23">
        <f>SUMIF(①농산물raw!$D:$D,$C148,①농산물raw!$F:$F)</f>
        <v/>
      </c>
      <c r="G148" s="23">
        <f>SUMIF(①농산물raw!$D:$D,$C148,①농산물raw!$G:$G)</f>
        <v/>
      </c>
      <c r="H148" s="23">
        <f>SUMIF(①농산물raw!$D:$D,$C148,①농산물raw!$H:$H)</f>
        <v/>
      </c>
      <c r="I148" s="76" t="n"/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23">
        <f>SUMIF(①농산물raw!$D:$D,$C149,①농산물raw!$F:$F)</f>
        <v/>
      </c>
      <c r="G149" s="23">
        <f>SUMIF(①농산물raw!$D:$D,$C149,①농산물raw!$G:$G)</f>
        <v/>
      </c>
      <c r="H149" s="23">
        <f>SUMIF(①농산물raw!$D:$D,$C149,①농산물raw!$H:$H)</f>
        <v/>
      </c>
      <c r="I149" s="76" t="n"/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23">
        <f>SUMIF(①농산물raw!$D:$D,$C150,①농산물raw!$F:$F)</f>
        <v/>
      </c>
      <c r="G150" s="23">
        <f>SUMIF(①농산물raw!$D:$D,$C150,①농산물raw!$G:$G)</f>
        <v/>
      </c>
      <c r="H150" s="23">
        <f>SUMIF(①농산물raw!$D:$D,$C150,①농산물raw!$H:$H)</f>
        <v/>
      </c>
      <c r="I150" s="76" t="n"/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23">
        <f>SUMIF(①농산물raw!$D:$D,$C151,①농산물raw!$F:$F)</f>
        <v/>
      </c>
      <c r="G151" s="23">
        <f>SUMIF(①농산물raw!$D:$D,$C151,①농산물raw!$G:$G)</f>
        <v/>
      </c>
      <c r="H151" s="23">
        <f>SUMIF(①농산물raw!$D:$D,$C151,①농산물raw!$H:$H)</f>
        <v/>
      </c>
      <c r="I151" s="24" t="inlineStr">
        <is>
          <t>O</t>
        </is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23">
        <f>SUMIF(①농산물raw!$D:$D,$C152,①농산물raw!$F:$F)</f>
        <v/>
      </c>
      <c r="G152" s="23">
        <f>SUMIF(①농산물raw!$D:$D,$C152,①농산물raw!$G:$G)</f>
        <v/>
      </c>
      <c r="H152" s="23">
        <f>SUMIF(①농산물raw!$D:$D,$C152,①농산물raw!$H:$H)</f>
        <v/>
      </c>
      <c r="I152" s="76" t="n"/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23">
        <f>SUMIF(①농산물raw!$D:$D,$C153,①농산물raw!$F:$F)</f>
        <v/>
      </c>
      <c r="G153" s="23">
        <f>SUMIF(①농산물raw!$D:$D,$C153,①농산물raw!$G:$G)</f>
        <v/>
      </c>
      <c r="H153" s="23">
        <f>SUMIF(①농산물raw!$D:$D,$C153,①농산물raw!$H:$H)</f>
        <v/>
      </c>
      <c r="I153" s="24" t="inlineStr">
        <is>
          <t>O</t>
        </is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23">
        <f>SUMIF(①농산물raw!$D:$D,$C154,①농산물raw!$F:$F)</f>
        <v/>
      </c>
      <c r="G154" s="23">
        <f>SUMIF(①농산물raw!$D:$D,$C154,①농산물raw!$G:$G)</f>
        <v/>
      </c>
      <c r="H154" s="23">
        <f>SUMIF(①농산물raw!$D:$D,$C154,①농산물raw!$H:$H)</f>
        <v/>
      </c>
      <c r="I154" s="24" t="inlineStr">
        <is>
          <t>O</t>
        </is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23">
        <f>SUMIF(①농산물raw!$D:$D,$C155,①농산물raw!$F:$F)</f>
        <v/>
      </c>
      <c r="G155" s="23">
        <f>SUMIF(①농산물raw!$D:$D,$C155,①농산물raw!$G:$G)</f>
        <v/>
      </c>
      <c r="H155" s="23">
        <f>SUMIF(①농산물raw!$D:$D,$C155,①농산물raw!$H:$H)</f>
        <v/>
      </c>
      <c r="I155" s="24" t="inlineStr">
        <is>
          <t>O</t>
        </is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23">
        <f>SUMIF(①농산물raw!$D:$D,$C156,①농산물raw!$F:$F)</f>
        <v/>
      </c>
      <c r="G156" s="23">
        <f>SUMIF(①농산물raw!$D:$D,$C156,①농산물raw!$G:$G)</f>
        <v/>
      </c>
      <c r="H156" s="23">
        <f>SUMIF(①농산물raw!$D:$D,$C156,①농산물raw!$H:$H)</f>
        <v/>
      </c>
      <c r="I156" s="24" t="inlineStr">
        <is>
          <t>O</t>
        </is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23">
        <f>SUMIF(①농산물raw!$D:$D,$C157,①농산물raw!$F:$F)</f>
        <v/>
      </c>
      <c r="G157" s="23">
        <f>SUMIF(①농산물raw!$D:$D,$C157,①농산물raw!$G:$G)</f>
        <v/>
      </c>
      <c r="H157" s="23">
        <f>SUMIF(①농산물raw!$D:$D,$C157,①농산물raw!$H:$H)</f>
        <v/>
      </c>
      <c r="I157" s="24" t="inlineStr">
        <is>
          <t>O</t>
        </is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23">
        <f>SUMIF(①농산물raw!$D:$D,$C158,①농산물raw!$F:$F)</f>
        <v/>
      </c>
      <c r="G158" s="23">
        <f>SUMIF(①농산물raw!$D:$D,$C158,①농산물raw!$G:$G)</f>
        <v/>
      </c>
      <c r="H158" s="23">
        <f>SUMIF(①농산물raw!$D:$D,$C158,①농산물raw!$H:$H)</f>
        <v/>
      </c>
      <c r="I158" s="76" t="n"/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23">
        <f>SUMIF(①농산물raw!$D:$D,$C159,①농산물raw!$F:$F)</f>
        <v/>
      </c>
      <c r="G159" s="23">
        <f>SUMIF(①농산물raw!$D:$D,$C159,①농산물raw!$G:$G)</f>
        <v/>
      </c>
      <c r="H159" s="23">
        <f>SUMIF(①농산물raw!$D:$D,$C159,①농산물raw!$H:$H)</f>
        <v/>
      </c>
      <c r="I159" s="24" t="inlineStr">
        <is>
          <t>O</t>
        </is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23">
        <f>SUMIF(①농산물raw!$D:$D,$C160,①농산물raw!$F:$F)</f>
        <v/>
      </c>
      <c r="G160" s="23">
        <f>SUMIF(①농산물raw!$D:$D,$C160,①농산물raw!$G:$G)</f>
        <v/>
      </c>
      <c r="H160" s="23">
        <f>SUMIF(①농산물raw!$D:$D,$C160,①농산물raw!$H:$H)</f>
        <v/>
      </c>
      <c r="I160" s="24" t="inlineStr">
        <is>
          <t>O</t>
        </is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23">
        <f>SUMIF(①농산물raw!$D:$D,$C161,①농산물raw!$F:$F)</f>
        <v/>
      </c>
      <c r="G161" s="23">
        <f>SUMIF(①농산물raw!$D:$D,$C161,①농산물raw!$G:$G)</f>
        <v/>
      </c>
      <c r="H161" s="23">
        <f>SUMIF(①농산물raw!$D:$D,$C161,①농산물raw!$H:$H)</f>
        <v/>
      </c>
      <c r="I161" s="76" t="n"/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23">
        <f>SUMIF(①농산물raw!$D:$D,$C162,①농산물raw!$F:$F)</f>
        <v/>
      </c>
      <c r="G162" s="23">
        <f>SUMIF(①농산물raw!$D:$D,$C162,①농산물raw!$G:$G)</f>
        <v/>
      </c>
      <c r="H162" s="23">
        <f>SUMIF(①농산물raw!$D:$D,$C162,①농산물raw!$H:$H)</f>
        <v/>
      </c>
      <c r="I162" s="76" t="n"/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23">
        <f>SUMIF(①농산물raw!$D:$D,$C163,①농산물raw!$F:$F)</f>
        <v/>
      </c>
      <c r="G163" s="23">
        <f>SUMIF(①농산물raw!$D:$D,$C163,①농산물raw!$G:$G)</f>
        <v/>
      </c>
      <c r="H163" s="23">
        <f>SUMIF(①농산물raw!$D:$D,$C163,①농산물raw!$H:$H)</f>
        <v/>
      </c>
      <c r="I163" s="76" t="n"/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23">
        <f>SUMIF(①농산물raw!$D:$D,$C164,①농산물raw!$F:$F)</f>
        <v/>
      </c>
      <c r="G164" s="23">
        <f>SUMIF(①농산물raw!$D:$D,$C164,①농산물raw!$G:$G)</f>
        <v/>
      </c>
      <c r="H164" s="23">
        <f>SUMIF(①농산물raw!$D:$D,$C164,①농산물raw!$H:$H)</f>
        <v/>
      </c>
      <c r="I164" s="24" t="inlineStr">
        <is>
          <t>O</t>
        </is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23">
        <f>SUMIF(①농산물raw!$D:$D,$C165,①농산물raw!$F:$F)</f>
        <v/>
      </c>
      <c r="G165" s="23">
        <f>SUMIF(①농산물raw!$D:$D,$C165,①농산물raw!$G:$G)</f>
        <v/>
      </c>
      <c r="H165" s="23">
        <f>SUMIF(①농산물raw!$D:$D,$C165,①농산물raw!$H:$H)</f>
        <v/>
      </c>
      <c r="I165" s="24" t="inlineStr">
        <is>
          <t>O</t>
        </is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23">
        <f>SUMIF(①농산물raw!$D:$D,$C166,①농산물raw!$F:$F)</f>
        <v/>
      </c>
      <c r="G166" s="23">
        <f>SUMIF(①농산물raw!$D:$D,$C166,①농산물raw!$G:$G)</f>
        <v/>
      </c>
      <c r="H166" s="23">
        <f>SUMIF(①농산물raw!$D:$D,$C166,①농산물raw!$H:$H)</f>
        <v/>
      </c>
      <c r="I166" s="24" t="inlineStr">
        <is>
          <t>O</t>
        </is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23">
        <f>SUMIF(①농산물raw!$D:$D,$C167,①농산물raw!$F:$F)</f>
        <v/>
      </c>
      <c r="G167" s="23">
        <f>SUMIF(①농산물raw!$D:$D,$C167,①농산물raw!$G:$G)</f>
        <v/>
      </c>
      <c r="H167" s="23">
        <f>SUMIF(①농산물raw!$D:$D,$C167,①농산물raw!$H:$H)</f>
        <v/>
      </c>
      <c r="I167" s="24" t="inlineStr">
        <is>
          <t>O</t>
        </is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23">
        <f>SUMIF(①농산물raw!$D:$D,$C168,①농산물raw!$F:$F)</f>
        <v/>
      </c>
      <c r="G168" s="23">
        <f>SUMIF(①농산물raw!$D:$D,$C168,①농산물raw!$G:$G)</f>
        <v/>
      </c>
      <c r="H168" s="23">
        <f>SUMIF(①농산물raw!$D:$D,$C168,①농산물raw!$H:$H)</f>
        <v/>
      </c>
      <c r="I168" s="76" t="n"/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23">
        <f>SUMIF(①농산물raw!$D:$D,$C169,①농산물raw!$F:$F)</f>
        <v/>
      </c>
      <c r="G169" s="23">
        <f>SUMIF(①농산물raw!$D:$D,$C169,①농산물raw!$G:$G)</f>
        <v/>
      </c>
      <c r="H169" s="23">
        <f>SUMIF(①농산물raw!$D:$D,$C169,①농산물raw!$H:$H)</f>
        <v/>
      </c>
      <c r="I169" s="76" t="n"/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23">
        <f>SUMIF(①농산물raw!$D:$D,$C170,①농산물raw!$F:$F)</f>
        <v/>
      </c>
      <c r="G170" s="23">
        <f>SUMIF(①농산물raw!$D:$D,$C170,①농산물raw!$G:$G)</f>
        <v/>
      </c>
      <c r="H170" s="23">
        <f>SUMIF(①농산물raw!$D:$D,$C170,①농산물raw!$H:$H)</f>
        <v/>
      </c>
      <c r="I170" s="24" t="inlineStr">
        <is>
          <t>O</t>
        </is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23">
        <f>SUMIF(①농산물raw!$D:$D,$C171,①농산물raw!$F:$F)</f>
        <v/>
      </c>
      <c r="G171" s="23">
        <f>SUMIF(①농산물raw!$D:$D,$C171,①농산물raw!$G:$G)</f>
        <v/>
      </c>
      <c r="H171" s="23">
        <f>SUMIF(①농산물raw!$D:$D,$C171,①농산물raw!$H:$H)</f>
        <v/>
      </c>
      <c r="I171" s="24" t="inlineStr">
        <is>
          <t>O</t>
        </is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23">
        <f>SUMIF(①농산물raw!$D:$D,$C172,①농산물raw!$F:$F)</f>
        <v/>
      </c>
      <c r="G172" s="23">
        <f>SUMIF(①농산물raw!$D:$D,$C172,①농산물raw!$G:$G)</f>
        <v/>
      </c>
      <c r="H172" s="23">
        <f>SUMIF(①농산물raw!$D:$D,$C172,①농산물raw!$H:$H)</f>
        <v/>
      </c>
      <c r="I172" s="24" t="inlineStr">
        <is>
          <t>O</t>
        </is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23">
        <f>SUMIF(①농산물raw!$D:$D,$C173,①농산물raw!$F:$F)</f>
        <v/>
      </c>
      <c r="G173" s="23">
        <f>SUMIF(①농산물raw!$D:$D,$C173,①농산물raw!$G:$G)</f>
        <v/>
      </c>
      <c r="H173" s="23">
        <f>SUMIF(①농산물raw!$D:$D,$C173,①농산물raw!$H:$H)</f>
        <v/>
      </c>
      <c r="I173" s="24" t="inlineStr">
        <is>
          <t>O</t>
        </is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23">
        <f>SUMIF(①농산물raw!$D:$D,$C174,①농산물raw!$F:$F)</f>
        <v/>
      </c>
      <c r="G174" s="23">
        <f>SUMIF(①농산물raw!$D:$D,$C174,①농산물raw!$G:$G)</f>
        <v/>
      </c>
      <c r="H174" s="23">
        <f>SUMIF(①농산물raw!$D:$D,$C174,①농산물raw!$H:$H)</f>
        <v/>
      </c>
      <c r="I174" s="76" t="n"/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23">
        <f>SUMIF(①농산물raw!$D:$D,$C175,①농산물raw!$F:$F)</f>
        <v/>
      </c>
      <c r="G175" s="23">
        <f>SUMIF(①농산물raw!$D:$D,$C175,①농산물raw!$G:$G)</f>
        <v/>
      </c>
      <c r="H175" s="23">
        <f>SUMIF(①농산물raw!$D:$D,$C175,①농산물raw!$H:$H)</f>
        <v/>
      </c>
      <c r="I175" s="24" t="inlineStr">
        <is>
          <t>O</t>
        </is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23">
        <f>SUMIF(①농산물raw!$D:$D,$C176,①농산물raw!$F:$F)</f>
        <v/>
      </c>
      <c r="G176" s="23">
        <f>SUMIF(①농산물raw!$D:$D,$C176,①농산물raw!$G:$G)</f>
        <v/>
      </c>
      <c r="H176" s="23">
        <f>SUMIF(①농산물raw!$D:$D,$C176,①농산물raw!$H:$H)</f>
        <v/>
      </c>
      <c r="I176" s="24" t="inlineStr">
        <is>
          <t>O</t>
        </is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23">
        <f>SUMIF(①농산물raw!$D:$D,$C177,①농산물raw!$F:$F)</f>
        <v/>
      </c>
      <c r="G177" s="23">
        <f>SUMIF(①농산물raw!$D:$D,$C177,①농산물raw!$G:$G)</f>
        <v/>
      </c>
      <c r="H177" s="23">
        <f>SUMIF(①농산물raw!$D:$D,$C177,①농산물raw!$H:$H)</f>
        <v/>
      </c>
      <c r="I177" s="24" t="inlineStr">
        <is>
          <t>O</t>
        </is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23">
        <f>SUMIF(①농산물raw!$D:$D,$C178,①농산물raw!$F:$F)</f>
        <v/>
      </c>
      <c r="G178" s="23">
        <f>SUMIF(①농산물raw!$D:$D,$C178,①농산물raw!$G:$G)</f>
        <v/>
      </c>
      <c r="H178" s="23">
        <f>SUMIF(①농산물raw!$D:$D,$C178,①농산물raw!$H:$H)</f>
        <v/>
      </c>
      <c r="I178" s="76" t="n"/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23">
        <f>SUMIF(①농산물raw!$D:$D,$C179,①농산물raw!$F:$F)</f>
        <v/>
      </c>
      <c r="G179" s="23">
        <f>SUMIF(①농산물raw!$D:$D,$C179,①농산물raw!$G:$G)</f>
        <v/>
      </c>
      <c r="H179" s="23">
        <f>SUMIF(①농산물raw!$D:$D,$C179,①농산물raw!$H:$H)</f>
        <v/>
      </c>
      <c r="I179" s="24" t="inlineStr">
        <is>
          <t>O</t>
        </is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23">
        <f>SUMIF(①농산물raw!$D:$D,$C180,①농산물raw!$F:$F)</f>
        <v/>
      </c>
      <c r="G180" s="23">
        <f>SUMIF(①농산물raw!$D:$D,$C180,①농산물raw!$G:$G)</f>
        <v/>
      </c>
      <c r="H180" s="23">
        <f>SUMIF(①농산물raw!$D:$D,$C180,①농산물raw!$H:$H)</f>
        <v/>
      </c>
      <c r="I180" s="24" t="inlineStr">
        <is>
          <t>O</t>
        </is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23">
        <f>SUMIF(①농산물raw!$D:$D,$C181,①농산물raw!$F:$F)</f>
        <v/>
      </c>
      <c r="G181" s="23">
        <f>SUMIF(①농산물raw!$D:$D,$C181,①농산물raw!$G:$G)</f>
        <v/>
      </c>
      <c r="H181" s="23">
        <f>SUMIF(①농산물raw!$D:$D,$C181,①농산물raw!$H:$H)</f>
        <v/>
      </c>
      <c r="I181" s="24" t="inlineStr">
        <is>
          <t>O</t>
        </is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23">
        <f>SUMIF(①농산물raw!$D:$D,$C182,①농산물raw!$F:$F)</f>
        <v/>
      </c>
      <c r="G182" s="23">
        <f>SUMIF(①농산물raw!$D:$D,$C182,①농산물raw!$G:$G)</f>
        <v/>
      </c>
      <c r="H182" s="23">
        <f>SUMIF(①농산물raw!$D:$D,$C182,①농산물raw!$H:$H)</f>
        <v/>
      </c>
      <c r="I182" s="24" t="inlineStr">
        <is>
          <t>O</t>
        </is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23">
        <f>SUMIF(①농산물raw!$D:$D,$C183,①농산물raw!$F:$F)</f>
        <v/>
      </c>
      <c r="G183" s="23">
        <f>SUMIF(①농산물raw!$D:$D,$C183,①농산물raw!$G:$G)</f>
        <v/>
      </c>
      <c r="H183" s="23">
        <f>SUMIF(①농산물raw!$D:$D,$C183,①농산물raw!$H:$H)</f>
        <v/>
      </c>
      <c r="I183" s="24" t="inlineStr">
        <is>
          <t>O</t>
        </is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23">
        <f>SUMIF(①농산물raw!$D:$D,$C184,①농산물raw!$F:$F)</f>
        <v/>
      </c>
      <c r="G184" s="23">
        <f>SUMIF(①농산물raw!$D:$D,$C184,①농산물raw!$G:$G)</f>
        <v/>
      </c>
      <c r="H184" s="23">
        <f>SUMIF(①농산물raw!$D:$D,$C184,①농산물raw!$H:$H)</f>
        <v/>
      </c>
      <c r="I184" s="76" t="n"/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23">
        <f>SUMIF(①농산물raw!$D:$D,$C185,①농산물raw!$F:$F)</f>
        <v/>
      </c>
      <c r="G185" s="23">
        <f>SUMIF(①농산물raw!$D:$D,$C185,①농산물raw!$G:$G)</f>
        <v/>
      </c>
      <c r="H185" s="23">
        <f>SUMIF(①농산물raw!$D:$D,$C185,①농산물raw!$H:$H)</f>
        <v/>
      </c>
      <c r="I185" s="24" t="inlineStr">
        <is>
          <t>O</t>
        </is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23">
        <f>SUMIF(①농산물raw!$D:$D,$C186,①농산물raw!$F:$F)</f>
        <v/>
      </c>
      <c r="G186" s="23">
        <f>SUMIF(①농산물raw!$D:$D,$C186,①농산물raw!$G:$G)</f>
        <v/>
      </c>
      <c r="H186" s="23">
        <f>SUMIF(①농산물raw!$D:$D,$C186,①농산물raw!$H:$H)</f>
        <v/>
      </c>
      <c r="I186" s="24" t="inlineStr">
        <is>
          <t>O</t>
        </is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23">
        <f>SUMIF(①농산물raw!$D:$D,$C187,①농산물raw!$F:$F)</f>
        <v/>
      </c>
      <c r="G187" s="23">
        <f>SUMIF(①농산물raw!$D:$D,$C187,①농산물raw!$G:$G)</f>
        <v/>
      </c>
      <c r="H187" s="23">
        <f>SUMIF(①농산물raw!$D:$D,$C187,①농산물raw!$H:$H)</f>
        <v/>
      </c>
      <c r="I187" s="24" t="inlineStr">
        <is>
          <t>O</t>
        </is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23">
        <f>SUMIF(①농산물raw!$D:$D,$C188,①농산물raw!$F:$F)</f>
        <v/>
      </c>
      <c r="G188" s="23">
        <f>SUMIF(①농산물raw!$D:$D,$C188,①농산물raw!$G:$G)</f>
        <v/>
      </c>
      <c r="H188" s="23">
        <f>SUMIF(①농산물raw!$D:$D,$C188,①농산물raw!$H:$H)</f>
        <v/>
      </c>
      <c r="I188" s="24" t="inlineStr">
        <is>
          <t>O</t>
        </is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23">
        <f>SUMIF(①농산물raw!$D:$D,$C189,①농산물raw!$F:$F)</f>
        <v/>
      </c>
      <c r="G189" s="23">
        <f>SUMIF(①농산물raw!$D:$D,$C189,①농산물raw!$G:$G)</f>
        <v/>
      </c>
      <c r="H189" s="23">
        <f>SUMIF(①농산물raw!$D:$D,$C189,①농산물raw!$H:$H)</f>
        <v/>
      </c>
      <c r="I189" s="24" t="inlineStr">
        <is>
          <t>O</t>
        </is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23">
        <f>SUMIF(①농산물raw!$D:$D,$C190,①농산물raw!$F:$F)</f>
        <v/>
      </c>
      <c r="G190" s="23">
        <f>SUMIF(①농산물raw!$D:$D,$C190,①농산물raw!$G:$G)</f>
        <v/>
      </c>
      <c r="H190" s="23">
        <f>SUMIF(①농산물raw!$D:$D,$C190,①농산물raw!$H:$H)</f>
        <v/>
      </c>
      <c r="I190" s="24" t="inlineStr">
        <is>
          <t>O</t>
        </is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23">
        <f>SUMIF(①농산물raw!$D:$D,$C191,①농산물raw!$F:$F)</f>
        <v/>
      </c>
      <c r="G191" s="23">
        <f>SUMIF(①농산물raw!$D:$D,$C191,①농산물raw!$G:$G)</f>
        <v/>
      </c>
      <c r="H191" s="23">
        <f>SUMIF(①농산물raw!$D:$D,$C191,①농산물raw!$H:$H)</f>
        <v/>
      </c>
      <c r="I191" s="76" t="n"/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23">
        <f>SUMIF(①농산물raw!$D:$D,$C192,①농산물raw!$F:$F)</f>
        <v/>
      </c>
      <c r="G192" s="23">
        <f>SUMIF(①농산물raw!$D:$D,$C192,①농산물raw!$G:$G)</f>
        <v/>
      </c>
      <c r="H192" s="23">
        <f>SUMIF(①농산물raw!$D:$D,$C192,①농산물raw!$H:$H)</f>
        <v/>
      </c>
      <c r="I192" s="76" t="n"/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23">
        <f>SUMIF(①농산물raw!$D:$D,$C193,①농산물raw!$F:$F)</f>
        <v/>
      </c>
      <c r="G193" s="23">
        <f>SUMIF(①농산물raw!$D:$D,$C193,①농산물raw!$G:$G)</f>
        <v/>
      </c>
      <c r="H193" s="23">
        <f>SUMIF(①농산물raw!$D:$D,$C193,①농산물raw!$H:$H)</f>
        <v/>
      </c>
      <c r="I193" s="24" t="inlineStr">
        <is>
          <t>O</t>
        </is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23">
        <f>SUMIF(①농산물raw!$D:$D,$C194,①농산물raw!$F:$F)</f>
        <v/>
      </c>
      <c r="G194" s="23">
        <f>SUMIF(①농산물raw!$D:$D,$C194,①농산물raw!$G:$G)</f>
        <v/>
      </c>
      <c r="H194" s="23">
        <f>SUMIF(①농산물raw!$D:$D,$C194,①농산물raw!$H:$H)</f>
        <v/>
      </c>
      <c r="I194" s="76" t="n"/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23">
        <f>SUMIF(①농산물raw!$D:$D,$C195,①농산물raw!$F:$F)</f>
        <v/>
      </c>
      <c r="G195" s="23">
        <f>SUMIF(①농산물raw!$D:$D,$C195,①농산물raw!$G:$G)</f>
        <v/>
      </c>
      <c r="H195" s="23">
        <f>SUMIF(①농산물raw!$D:$D,$C195,①농산물raw!$H:$H)</f>
        <v/>
      </c>
      <c r="I195" s="24" t="inlineStr">
        <is>
          <t>O</t>
        </is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23">
        <f>SUMIF(①농산물raw!$D:$D,$C196,①농산물raw!$F:$F)</f>
        <v/>
      </c>
      <c r="G196" s="23">
        <f>SUMIF(①농산물raw!$D:$D,$C196,①농산물raw!$G:$G)</f>
        <v/>
      </c>
      <c r="H196" s="23">
        <f>SUMIF(①농산물raw!$D:$D,$C196,①농산물raw!$H:$H)</f>
        <v/>
      </c>
      <c r="I196" s="24" t="inlineStr">
        <is>
          <t>O</t>
        </is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23">
        <f>SUMIF(①농산물raw!$D:$D,$C197,①농산물raw!$F:$F)</f>
        <v/>
      </c>
      <c r="G197" s="23">
        <f>SUMIF(①농산물raw!$D:$D,$C197,①농산물raw!$G:$G)</f>
        <v/>
      </c>
      <c r="H197" s="23">
        <f>SUMIF(①농산물raw!$D:$D,$C197,①농산물raw!$H:$H)</f>
        <v/>
      </c>
      <c r="I197" s="76" t="n"/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23">
        <f>SUMIF(①농산물raw!$D:$D,$C198,①농산물raw!$F:$F)</f>
        <v/>
      </c>
      <c r="G198" s="23">
        <f>SUMIF(①농산물raw!$D:$D,$C198,①농산물raw!$G:$G)</f>
        <v/>
      </c>
      <c r="H198" s="23">
        <f>SUMIF(①농산물raw!$D:$D,$C198,①농산물raw!$H:$H)</f>
        <v/>
      </c>
      <c r="I198" s="76" t="n"/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23">
        <f>SUMIF(①농산물raw!$D:$D,$C199,①농산물raw!$F:$F)</f>
        <v/>
      </c>
      <c r="G199" s="23">
        <f>SUMIF(①농산물raw!$D:$D,$C199,①농산물raw!$G:$G)</f>
        <v/>
      </c>
      <c r="H199" s="23">
        <f>SUMIF(①농산물raw!$D:$D,$C199,①농산물raw!$H:$H)</f>
        <v/>
      </c>
      <c r="I199" s="24" t="inlineStr">
        <is>
          <t>O</t>
        </is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23">
        <f>SUMIF(①농산물raw!$D:$D,$C200,①농산물raw!$F:$F)</f>
        <v/>
      </c>
      <c r="G200" s="23">
        <f>SUMIF(①농산물raw!$D:$D,$C200,①농산물raw!$G:$G)</f>
        <v/>
      </c>
      <c r="H200" s="23">
        <f>SUMIF(①농산물raw!$D:$D,$C200,①농산물raw!$H:$H)</f>
        <v/>
      </c>
      <c r="I200" s="24" t="inlineStr">
        <is>
          <t>O</t>
        </is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23">
        <f>SUMIF(①농산물raw!$D:$D,$C201,①농산물raw!$F:$F)</f>
        <v/>
      </c>
      <c r="G201" s="23">
        <f>SUMIF(①농산물raw!$D:$D,$C201,①농산물raw!$G:$G)</f>
        <v/>
      </c>
      <c r="H201" s="23">
        <f>SUMIF(①농산물raw!$D:$D,$C201,①농산물raw!$H:$H)</f>
        <v/>
      </c>
      <c r="I201" s="24" t="inlineStr">
        <is>
          <t>O</t>
        </is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23">
        <f>SUMIF(①농산물raw!$D:$D,$C202,①농산물raw!$F:$F)</f>
        <v/>
      </c>
      <c r="G202" s="23">
        <f>SUMIF(①농산물raw!$D:$D,$C202,①농산물raw!$G:$G)</f>
        <v/>
      </c>
      <c r="H202" s="23">
        <f>SUMIF(①농산물raw!$D:$D,$C202,①농산물raw!$H:$H)</f>
        <v/>
      </c>
      <c r="I202" s="24" t="inlineStr">
        <is>
          <t>O</t>
        </is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23">
        <f>SUMIF(①농산물raw!$D:$D,$C203,①농산물raw!$F:$F)</f>
        <v/>
      </c>
      <c r="G203" s="23">
        <f>SUMIF(①농산물raw!$D:$D,$C203,①농산물raw!$G:$G)</f>
        <v/>
      </c>
      <c r="H203" s="23">
        <f>SUMIF(①농산물raw!$D:$D,$C203,①농산물raw!$H:$H)</f>
        <v/>
      </c>
      <c r="I203" s="24" t="inlineStr">
        <is>
          <t>O</t>
        </is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23">
        <f>SUMIF(①농산물raw!$D:$D,$C204,①농산물raw!$F:$F)</f>
        <v/>
      </c>
      <c r="G204" s="23">
        <f>SUMIF(①농산물raw!$D:$D,$C204,①농산물raw!$G:$G)</f>
        <v/>
      </c>
      <c r="H204" s="23">
        <f>SUMIF(①농산물raw!$D:$D,$C204,①농산물raw!$H:$H)</f>
        <v/>
      </c>
      <c r="I204" s="76" t="n"/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23">
        <f>SUMIF(①농산물raw!$D:$D,$C205,①농산물raw!$F:$F)</f>
        <v/>
      </c>
      <c r="G205" s="23">
        <f>SUMIF(①농산물raw!$D:$D,$C205,①농산물raw!$G:$G)</f>
        <v/>
      </c>
      <c r="H205" s="23">
        <f>SUMIF(①농산물raw!$D:$D,$C205,①농산물raw!$H:$H)</f>
        <v/>
      </c>
      <c r="I205" s="24" t="inlineStr">
        <is>
          <t>O</t>
        </is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23">
        <f>SUMIF(①농산물raw!$D:$D,$C206,①농산물raw!$F:$F)</f>
        <v/>
      </c>
      <c r="G206" s="23">
        <f>SUMIF(①농산물raw!$D:$D,$C206,①농산물raw!$G:$G)</f>
        <v/>
      </c>
      <c r="H206" s="23">
        <f>SUMIF(①농산물raw!$D:$D,$C206,①농산물raw!$H:$H)</f>
        <v/>
      </c>
      <c r="I206" s="24" t="inlineStr">
        <is>
          <t>O</t>
        </is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23">
        <f>SUMIF(①농산물raw!$D:$D,$C207,①농산물raw!$F:$F)</f>
        <v/>
      </c>
      <c r="G207" s="23">
        <f>SUMIF(①농산물raw!$D:$D,$C207,①농산물raw!$G:$G)</f>
        <v/>
      </c>
      <c r="H207" s="23">
        <f>SUMIF(①농산물raw!$D:$D,$C207,①농산물raw!$H:$H)</f>
        <v/>
      </c>
      <c r="I207" s="24" t="inlineStr">
        <is>
          <t>O</t>
        </is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23">
        <f>SUMIF(①농산물raw!$D:$D,$C208,①농산물raw!$F:$F)</f>
        <v/>
      </c>
      <c r="G208" s="23">
        <f>SUMIF(①농산물raw!$D:$D,$C208,①농산물raw!$G:$G)</f>
        <v/>
      </c>
      <c r="H208" s="23">
        <f>SUMIF(①농산물raw!$D:$D,$C208,①농산물raw!$H:$H)</f>
        <v/>
      </c>
      <c r="I208" s="24" t="inlineStr">
        <is>
          <t>O</t>
        </is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23">
        <f>SUMIF(①농산물raw!$D:$D,$C209,①농산물raw!$F:$F)</f>
        <v/>
      </c>
      <c r="G209" s="23">
        <f>SUMIF(①농산물raw!$D:$D,$C209,①농산물raw!$G:$G)</f>
        <v/>
      </c>
      <c r="H209" s="23">
        <f>SUMIF(①농산물raw!$D:$D,$C209,①농산물raw!$H:$H)</f>
        <v/>
      </c>
      <c r="I209" s="24" t="inlineStr">
        <is>
          <t>O</t>
        </is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23">
        <f>SUMIF(①농산물raw!$D:$D,$C210,①농산물raw!$F:$F)</f>
        <v/>
      </c>
      <c r="G210" s="23">
        <f>SUMIF(①농산물raw!$D:$D,$C210,①농산물raw!$G:$G)</f>
        <v/>
      </c>
      <c r="H210" s="23">
        <f>SUMIF(①농산물raw!$D:$D,$C210,①농산물raw!$H:$H)</f>
        <v/>
      </c>
      <c r="I210" s="24" t="inlineStr">
        <is>
          <t>O</t>
        </is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23">
        <f>SUMIF(①농산물raw!$D:$D,$C211,①농산물raw!$F:$F)</f>
        <v/>
      </c>
      <c r="G211" s="23">
        <f>SUMIF(①농산물raw!$D:$D,$C211,①농산물raw!$G:$G)</f>
        <v/>
      </c>
      <c r="H211" s="23">
        <f>SUMIF(①농산물raw!$D:$D,$C211,①농산물raw!$H:$H)</f>
        <v/>
      </c>
      <c r="I211" s="24" t="inlineStr">
        <is>
          <t>O</t>
        </is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23">
        <f>SUMIF(①농산물raw!$D:$D,$C212,①농산물raw!$F:$F)</f>
        <v/>
      </c>
      <c r="G212" s="23">
        <f>SUMIF(①농산물raw!$D:$D,$C212,①농산물raw!$G:$G)</f>
        <v/>
      </c>
      <c r="H212" s="23">
        <f>SUMIF(①농산물raw!$D:$D,$C212,①농산물raw!$H:$H)</f>
        <v/>
      </c>
      <c r="I212" s="24" t="inlineStr">
        <is>
          <t>O</t>
        </is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23">
        <f>SUMIF(①농산물raw!$D:$D,$C213,①농산물raw!$F:$F)</f>
        <v/>
      </c>
      <c r="G213" s="23">
        <f>SUMIF(①농산물raw!$D:$D,$C213,①농산물raw!$G:$G)</f>
        <v/>
      </c>
      <c r="H213" s="23">
        <f>SUMIF(①농산물raw!$D:$D,$C213,①농산물raw!$H:$H)</f>
        <v/>
      </c>
      <c r="I213" s="76" t="n"/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23">
        <f>SUMIF(①농산물raw!$D:$D,$C214,①농산물raw!$F:$F)</f>
        <v/>
      </c>
      <c r="G214" s="23">
        <f>SUMIF(①농산물raw!$D:$D,$C214,①농산물raw!$G:$G)</f>
        <v/>
      </c>
      <c r="H214" s="23">
        <f>SUMIF(①농산물raw!$D:$D,$C214,①농산물raw!$H:$H)</f>
        <v/>
      </c>
      <c r="I214" s="76" t="n"/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23">
        <f>SUMIF(①농산물raw!$D:$D,$C215,①농산물raw!$F:$F)</f>
        <v/>
      </c>
      <c r="G215" s="23">
        <f>SUMIF(①농산물raw!$D:$D,$C215,①농산물raw!$G:$G)</f>
        <v/>
      </c>
      <c r="H215" s="23">
        <f>SUMIF(①농산물raw!$D:$D,$C215,①농산물raw!$H:$H)</f>
        <v/>
      </c>
      <c r="I215" s="76" t="n"/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23">
        <f>SUMIF(①농산물raw!$D:$D,$C216,①농산물raw!$F:$F)</f>
        <v/>
      </c>
      <c r="G216" s="23">
        <f>SUMIF(①농산물raw!$D:$D,$C216,①농산물raw!$G:$G)</f>
        <v/>
      </c>
      <c r="H216" s="23">
        <f>SUMIF(①농산물raw!$D:$D,$C216,①농산물raw!$H:$H)</f>
        <v/>
      </c>
      <c r="I216" s="24" t="inlineStr">
        <is>
          <t>O</t>
        </is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23">
        <f>SUMIF(①농산물raw!$D:$D,$C217,①농산물raw!$F:$F)</f>
        <v/>
      </c>
      <c r="G217" s="23">
        <f>SUMIF(①농산물raw!$D:$D,$C217,①농산물raw!$G:$G)</f>
        <v/>
      </c>
      <c r="H217" s="23">
        <f>SUMIF(①농산물raw!$D:$D,$C217,①농산물raw!$H:$H)</f>
        <v/>
      </c>
      <c r="I217" s="76" t="n"/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23">
        <f>SUMIF(①농산물raw!$D:$D,$C218,①농산물raw!$F:$F)</f>
        <v/>
      </c>
      <c r="G218" s="23">
        <f>SUMIF(①농산물raw!$D:$D,$C218,①농산물raw!$G:$G)</f>
        <v/>
      </c>
      <c r="H218" s="23">
        <f>SUMIF(①농산물raw!$D:$D,$C218,①농산물raw!$H:$H)</f>
        <v/>
      </c>
      <c r="I218" s="24" t="inlineStr">
        <is>
          <t>O</t>
        </is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23">
        <f>SUMIF(①농산물raw!$D:$D,$C219,①농산물raw!$F:$F)</f>
        <v/>
      </c>
      <c r="G219" s="23">
        <f>SUMIF(①농산물raw!$D:$D,$C219,①농산물raw!$G:$G)</f>
        <v/>
      </c>
      <c r="H219" s="23">
        <f>SUMIF(①농산물raw!$D:$D,$C219,①농산물raw!$H:$H)</f>
        <v/>
      </c>
      <c r="I219" s="76" t="n"/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23">
        <f>SUMIF(①농산물raw!$D:$D,$C220,①농산물raw!$F:$F)</f>
        <v/>
      </c>
      <c r="G220" s="23">
        <f>SUMIF(①농산물raw!$D:$D,$C220,①농산물raw!$G:$G)</f>
        <v/>
      </c>
      <c r="H220" s="23">
        <f>SUMIF(①농산물raw!$D:$D,$C220,①농산물raw!$H:$H)</f>
        <v/>
      </c>
      <c r="I220" s="76" t="n"/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23">
        <f>SUMIF(①농산물raw!$D:$D,$C221,①농산물raw!$F:$F)</f>
        <v/>
      </c>
      <c r="G221" s="23">
        <f>SUMIF(①농산물raw!$D:$D,$C221,①농산물raw!$G:$G)</f>
        <v/>
      </c>
      <c r="H221" s="23">
        <f>SUMIF(①농산물raw!$D:$D,$C221,①농산물raw!$H:$H)</f>
        <v/>
      </c>
      <c r="I221" s="24" t="inlineStr">
        <is>
          <t>O</t>
        </is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23">
        <f>SUMIF(①농산물raw!$D:$D,$C222,①농산물raw!$F:$F)</f>
        <v/>
      </c>
      <c r="G222" s="23">
        <f>SUMIF(①농산물raw!$D:$D,$C222,①농산물raw!$G:$G)</f>
        <v/>
      </c>
      <c r="H222" s="23">
        <f>SUMIF(①농산물raw!$D:$D,$C222,①농산물raw!$H:$H)</f>
        <v/>
      </c>
      <c r="I222" s="76" t="n"/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23">
        <f>SUMIF(①농산물raw!$D:$D,$C223,①농산물raw!$F:$F)</f>
        <v/>
      </c>
      <c r="G223" s="23">
        <f>SUMIF(①농산물raw!$D:$D,$C223,①농산물raw!$G:$G)</f>
        <v/>
      </c>
      <c r="H223" s="23">
        <f>SUMIF(①농산물raw!$D:$D,$C223,①농산물raw!$H:$H)</f>
        <v/>
      </c>
      <c r="I223" s="24" t="inlineStr">
        <is>
          <t>O</t>
        </is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23">
        <f>SUMIF(①농산물raw!$D:$D,$C224,①농산물raw!$F:$F)</f>
        <v/>
      </c>
      <c r="G224" s="23">
        <f>SUMIF(①농산물raw!$D:$D,$C224,①농산물raw!$G:$G)</f>
        <v/>
      </c>
      <c r="H224" s="23">
        <f>SUMIF(①농산물raw!$D:$D,$C224,①농산물raw!$H:$H)</f>
        <v/>
      </c>
      <c r="I224" s="76" t="n"/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23">
        <f>SUMIF(①농산물raw!$D:$D,$C225,①농산물raw!$F:$F)</f>
        <v/>
      </c>
      <c r="G225" s="23">
        <f>SUMIF(①농산물raw!$D:$D,$C225,①농산물raw!$G:$G)</f>
        <v/>
      </c>
      <c r="H225" s="23">
        <f>SUMIF(①농산물raw!$D:$D,$C225,①농산물raw!$H:$H)</f>
        <v/>
      </c>
      <c r="I225" s="76" t="n"/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23">
        <f>SUMIF(①농산물raw!$D:$D,$C226,①농산물raw!$F:$F)</f>
        <v/>
      </c>
      <c r="G226" s="23">
        <f>SUMIF(①농산물raw!$D:$D,$C226,①농산물raw!$G:$G)</f>
        <v/>
      </c>
      <c r="H226" s="23">
        <f>SUMIF(①농산물raw!$D:$D,$C226,①농산물raw!$H:$H)</f>
        <v/>
      </c>
      <c r="I226" s="24" t="inlineStr">
        <is>
          <t>O</t>
        </is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23">
        <f>SUMIF(①농산물raw!$D:$D,$C227,①농산물raw!$F:$F)</f>
        <v/>
      </c>
      <c r="G227" s="23">
        <f>SUMIF(①농산물raw!$D:$D,$C227,①농산물raw!$G:$G)</f>
        <v/>
      </c>
      <c r="H227" s="23">
        <f>SUMIF(①농산물raw!$D:$D,$C227,①농산물raw!$H:$H)</f>
        <v/>
      </c>
      <c r="I227" s="76" t="n"/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23">
        <f>SUMIF(①농산물raw!$D:$D,$C228,①농산물raw!$F:$F)</f>
        <v/>
      </c>
      <c r="G228" s="23">
        <f>SUMIF(①농산물raw!$D:$D,$C228,①농산물raw!$G:$G)</f>
        <v/>
      </c>
      <c r="H228" s="23">
        <f>SUMIF(①농산물raw!$D:$D,$C228,①농산물raw!$H:$H)</f>
        <v/>
      </c>
      <c r="I228" s="76" t="n"/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23">
        <f>SUMIF(①농산물raw!$D:$D,$C229,①농산물raw!$F:$F)</f>
        <v/>
      </c>
      <c r="G229" s="23">
        <f>SUMIF(①농산물raw!$D:$D,$C229,①농산물raw!$G:$G)</f>
        <v/>
      </c>
      <c r="H229" s="23">
        <f>SUMIF(①농산물raw!$D:$D,$C229,①농산물raw!$H:$H)</f>
        <v/>
      </c>
      <c r="I229" s="24" t="inlineStr">
        <is>
          <t>O</t>
        </is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23">
        <f>SUMIF(①농산물raw!$D:$D,$C230,①농산물raw!$F:$F)</f>
        <v/>
      </c>
      <c r="G230" s="23">
        <f>SUMIF(①농산물raw!$D:$D,$C230,①농산물raw!$G:$G)</f>
        <v/>
      </c>
      <c r="H230" s="23">
        <f>SUMIF(①농산물raw!$D:$D,$C230,①농산물raw!$H:$H)</f>
        <v/>
      </c>
      <c r="I230" s="76" t="n"/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23">
        <f>SUMIF(①농산물raw!$D:$D,$C231,①농산물raw!$F:$F)</f>
        <v/>
      </c>
      <c r="G231" s="23">
        <f>SUMIF(①농산물raw!$D:$D,$C231,①농산물raw!$G:$G)</f>
        <v/>
      </c>
      <c r="H231" s="23">
        <f>SUMIF(①농산물raw!$D:$D,$C231,①농산물raw!$H:$H)</f>
        <v/>
      </c>
      <c r="I231" s="76" t="n"/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23">
        <f>SUMIF(①농산물raw!$D:$D,$C232,①농산물raw!$F:$F)</f>
        <v/>
      </c>
      <c r="G232" s="23">
        <f>SUMIF(①농산물raw!$D:$D,$C232,①농산물raw!$G:$G)</f>
        <v/>
      </c>
      <c r="H232" s="23">
        <f>SUMIF(①농산물raw!$D:$D,$C232,①농산물raw!$H:$H)</f>
        <v/>
      </c>
      <c r="I232" s="24" t="inlineStr">
        <is>
          <t>O</t>
        </is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23">
        <f>SUMIF(①농산물raw!$D:$D,$C233,①농산물raw!$F:$F)</f>
        <v/>
      </c>
      <c r="G233" s="23">
        <f>SUMIF(①농산물raw!$D:$D,$C233,①농산물raw!$G:$G)</f>
        <v/>
      </c>
      <c r="H233" s="23">
        <f>SUMIF(①농산물raw!$D:$D,$C233,①농산물raw!$H:$H)</f>
        <v/>
      </c>
      <c r="I233" s="24" t="inlineStr">
        <is>
          <t>O</t>
        </is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23">
        <f>SUMIF(①농산물raw!$D:$D,$C234,①농산물raw!$F:$F)</f>
        <v/>
      </c>
      <c r="G234" s="23">
        <f>SUMIF(①농산물raw!$D:$D,$C234,①농산물raw!$G:$G)</f>
        <v/>
      </c>
      <c r="H234" s="23">
        <f>SUMIF(①농산물raw!$D:$D,$C234,①농산물raw!$H:$H)</f>
        <v/>
      </c>
      <c r="I234" s="76" t="n"/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23">
        <f>SUMIF(①농산물raw!$D:$D,$C235,①농산물raw!$F:$F)</f>
        <v/>
      </c>
      <c r="G235" s="23">
        <f>SUMIF(①농산물raw!$D:$D,$C235,①농산물raw!$G:$G)</f>
        <v/>
      </c>
      <c r="H235" s="23">
        <f>SUMIF(①농산물raw!$D:$D,$C235,①농산물raw!$H:$H)</f>
        <v/>
      </c>
      <c r="I235" s="76" t="n"/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23">
        <f>SUMIF(①농산물raw!$D:$D,$C236,①농산물raw!$F:$F)</f>
        <v/>
      </c>
      <c r="G236" s="23">
        <f>SUMIF(①농산물raw!$D:$D,$C236,①농산물raw!$G:$G)</f>
        <v/>
      </c>
      <c r="H236" s="23">
        <f>SUMIF(①농산물raw!$D:$D,$C236,①농산물raw!$H:$H)</f>
        <v/>
      </c>
      <c r="I236" s="24" t="inlineStr">
        <is>
          <t>O</t>
        </is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23">
        <f>SUMIF(①농산물raw!$D:$D,$C237,①농산물raw!$F:$F)</f>
        <v/>
      </c>
      <c r="G237" s="23">
        <f>SUMIF(①농산물raw!$D:$D,$C237,①농산물raw!$G:$G)</f>
        <v/>
      </c>
      <c r="H237" s="23">
        <f>SUMIF(①농산물raw!$D:$D,$C237,①농산물raw!$H:$H)</f>
        <v/>
      </c>
      <c r="I237" s="76" t="n"/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23">
        <f>SUMIF(①농산물raw!$D:$D,$C238,①농산물raw!$F:$F)</f>
        <v/>
      </c>
      <c r="G238" s="23">
        <f>SUMIF(①농산물raw!$D:$D,$C238,①농산물raw!$G:$G)</f>
        <v/>
      </c>
      <c r="H238" s="23">
        <f>SUMIF(①농산물raw!$D:$D,$C238,①농산물raw!$H:$H)</f>
        <v/>
      </c>
      <c r="I238" s="24" t="inlineStr">
        <is>
          <t>O</t>
        </is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23">
        <f>SUMIF(①농산물raw!$D:$D,$C239,①농산물raw!$F:$F)</f>
        <v/>
      </c>
      <c r="G239" s="23">
        <f>SUMIF(①농산물raw!$D:$D,$C239,①농산물raw!$G:$G)</f>
        <v/>
      </c>
      <c r="H239" s="23">
        <f>SUMIF(①농산물raw!$D:$D,$C239,①농산물raw!$H:$H)</f>
        <v/>
      </c>
      <c r="I239" s="24" t="inlineStr">
        <is>
          <t>O</t>
        </is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23">
        <f>SUMIF(①농산물raw!$D:$D,$C240,①농산물raw!$F:$F)</f>
        <v/>
      </c>
      <c r="G240" s="23">
        <f>SUMIF(①농산물raw!$D:$D,$C240,①농산물raw!$G:$G)</f>
        <v/>
      </c>
      <c r="H240" s="23">
        <f>SUMIF(①농산물raw!$D:$D,$C240,①농산물raw!$H:$H)</f>
        <v/>
      </c>
      <c r="I240" s="24" t="inlineStr">
        <is>
          <t>O</t>
        </is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23">
        <f>SUMIF(①농산물raw!$D:$D,$C241,①농산물raw!$F:$F)</f>
        <v/>
      </c>
      <c r="G241" s="23">
        <f>SUMIF(①농산물raw!$D:$D,$C241,①농산물raw!$G:$G)</f>
        <v/>
      </c>
      <c r="H241" s="23">
        <f>SUMIF(①농산물raw!$D:$D,$C241,①농산물raw!$H:$H)</f>
        <v/>
      </c>
      <c r="I241" s="24" t="inlineStr">
        <is>
          <t>O</t>
        </is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23">
        <f>SUMIF(①농산물raw!$D:$D,$C242,①농산물raw!$F:$F)</f>
        <v/>
      </c>
      <c r="G242" s="23">
        <f>SUMIF(①농산물raw!$D:$D,$C242,①농산물raw!$G:$G)</f>
        <v/>
      </c>
      <c r="H242" s="23">
        <f>SUMIF(①농산물raw!$D:$D,$C242,①농산물raw!$H:$H)</f>
        <v/>
      </c>
      <c r="I242" s="24" t="inlineStr">
        <is>
          <t>O</t>
        </is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23">
        <f>SUMIF(①농산물raw!$D:$D,$C243,①농산물raw!$F:$F)</f>
        <v/>
      </c>
      <c r="G243" s="23">
        <f>SUMIF(①농산물raw!$D:$D,$C243,①농산물raw!$G:$G)</f>
        <v/>
      </c>
      <c r="H243" s="23">
        <f>SUMIF(①농산물raw!$D:$D,$C243,①농산물raw!$H:$H)</f>
        <v/>
      </c>
      <c r="I243" s="24" t="inlineStr">
        <is>
          <t>O</t>
        </is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23">
        <f>SUMIF(①농산물raw!$D:$D,$C244,①농산물raw!$F:$F)</f>
        <v/>
      </c>
      <c r="G244" s="23">
        <f>SUMIF(①농산물raw!$D:$D,$C244,①농산물raw!$G:$G)</f>
        <v/>
      </c>
      <c r="H244" s="23">
        <f>SUMIF(①농산물raw!$D:$D,$C244,①농산물raw!$H:$H)</f>
        <v/>
      </c>
      <c r="I244" s="24" t="inlineStr">
        <is>
          <t>O</t>
        </is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23">
        <f>SUMIF(①농산물raw!$D:$D,$C245,①농산물raw!$F:$F)</f>
        <v/>
      </c>
      <c r="G245" s="23">
        <f>SUMIF(①농산물raw!$D:$D,$C245,①농산물raw!$G:$G)</f>
        <v/>
      </c>
      <c r="H245" s="23">
        <f>SUMIF(①농산물raw!$D:$D,$C245,①농산물raw!$H:$H)</f>
        <v/>
      </c>
      <c r="I245" s="76" t="n"/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23">
        <f>SUMIF(①농산물raw!$D:$D,$C246,①농산물raw!$F:$F)</f>
        <v/>
      </c>
      <c r="G246" s="23">
        <f>SUMIF(①농산물raw!$D:$D,$C246,①농산물raw!$G:$G)</f>
        <v/>
      </c>
      <c r="H246" s="23">
        <f>SUMIF(①농산물raw!$D:$D,$C246,①농산물raw!$H:$H)</f>
        <v/>
      </c>
      <c r="I246" s="24" t="inlineStr">
        <is>
          <t>O</t>
        </is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23">
        <f>SUMIF(①농산물raw!$D:$D,$C247,①농산물raw!$F:$F)</f>
        <v/>
      </c>
      <c r="G247" s="23">
        <f>SUMIF(①농산물raw!$D:$D,$C247,①농산물raw!$G:$G)</f>
        <v/>
      </c>
      <c r="H247" s="23">
        <f>SUMIF(①농산물raw!$D:$D,$C247,①농산물raw!$H:$H)</f>
        <v/>
      </c>
      <c r="I247" s="76" t="n"/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23">
        <f>SUMIF(①농산물raw!$D:$D,$C248,①농산물raw!$F:$F)</f>
        <v/>
      </c>
      <c r="G248" s="23">
        <f>SUMIF(①농산물raw!$D:$D,$C248,①농산물raw!$G:$G)</f>
        <v/>
      </c>
      <c r="H248" s="23">
        <f>SUMIF(①농산물raw!$D:$D,$C248,①농산물raw!$H:$H)</f>
        <v/>
      </c>
      <c r="I248" s="24" t="inlineStr">
        <is>
          <t>O</t>
        </is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23">
        <f>SUMIF(①농산물raw!$D:$D,$C249,①농산물raw!$F:$F)</f>
        <v/>
      </c>
      <c r="G249" s="23">
        <f>SUMIF(①농산물raw!$D:$D,$C249,①농산물raw!$G:$G)</f>
        <v/>
      </c>
      <c r="H249" s="23">
        <f>SUMIF(①농산물raw!$D:$D,$C249,①농산물raw!$H:$H)</f>
        <v/>
      </c>
      <c r="I249" s="24" t="inlineStr">
        <is>
          <t>O</t>
        </is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23">
        <f>SUMIF(①농산물raw!$D:$D,$C250,①농산물raw!$F:$F)</f>
        <v/>
      </c>
      <c r="G250" s="23">
        <f>SUMIF(①농산물raw!$D:$D,$C250,①농산물raw!$G:$G)</f>
        <v/>
      </c>
      <c r="H250" s="23">
        <f>SUMIF(①농산물raw!$D:$D,$C250,①농산물raw!$H:$H)</f>
        <v/>
      </c>
      <c r="I250" s="76" t="n"/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23">
        <f>SUMIF(①농산물raw!$D:$D,$C251,①농산물raw!$F:$F)</f>
        <v/>
      </c>
      <c r="G251" s="23">
        <f>SUMIF(①농산물raw!$D:$D,$C251,①농산물raw!$G:$G)</f>
        <v/>
      </c>
      <c r="H251" s="23">
        <f>SUMIF(①농산물raw!$D:$D,$C251,①농산물raw!$H:$H)</f>
        <v/>
      </c>
      <c r="I251" s="24" t="inlineStr">
        <is>
          <t>O</t>
        </is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23">
        <f>SUMIF(①농산물raw!$D:$D,$C252,①농산물raw!$F:$F)</f>
        <v/>
      </c>
      <c r="G252" s="23">
        <f>SUMIF(①농산물raw!$D:$D,$C252,①농산물raw!$G:$G)</f>
        <v/>
      </c>
      <c r="H252" s="23">
        <f>SUMIF(①농산물raw!$D:$D,$C252,①농산물raw!$H:$H)</f>
        <v/>
      </c>
      <c r="I252" s="76" t="n"/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23">
        <f>SUMIF(①농산물raw!$D:$D,$C253,①농산물raw!$F:$F)</f>
        <v/>
      </c>
      <c r="G253" s="23">
        <f>SUMIF(①농산물raw!$D:$D,$C253,①농산물raw!$G:$G)</f>
        <v/>
      </c>
      <c r="H253" s="23">
        <f>SUMIF(①농산물raw!$D:$D,$C253,①농산물raw!$H:$H)</f>
        <v/>
      </c>
      <c r="I253" s="24" t="inlineStr">
        <is>
          <t>O</t>
        </is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23">
        <f>SUMIF(①농산물raw!$D:$D,$C254,①농산물raw!$F:$F)</f>
        <v/>
      </c>
      <c r="G254" s="23">
        <f>SUMIF(①농산물raw!$D:$D,$C254,①농산물raw!$G:$G)</f>
        <v/>
      </c>
      <c r="H254" s="23">
        <f>SUMIF(①농산물raw!$D:$D,$C254,①농산물raw!$H:$H)</f>
        <v/>
      </c>
      <c r="I254" s="76" t="n"/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23">
        <f>SUMIF(①농산물raw!$D:$D,$C255,①농산물raw!$F:$F)</f>
        <v/>
      </c>
      <c r="G255" s="23">
        <f>SUMIF(①농산물raw!$D:$D,$C255,①농산물raw!$G:$G)</f>
        <v/>
      </c>
      <c r="H255" s="23">
        <f>SUMIF(①농산물raw!$D:$D,$C255,①농산물raw!$H:$H)</f>
        <v/>
      </c>
      <c r="I255" s="76" t="n"/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23">
        <f>SUMIF(①농산물raw!$D:$D,$C256,①농산물raw!$F:$F)</f>
        <v/>
      </c>
      <c r="G256" s="23">
        <f>SUMIF(①농산물raw!$D:$D,$C256,①농산물raw!$G:$G)</f>
        <v/>
      </c>
      <c r="H256" s="23">
        <f>SUMIF(①농산물raw!$D:$D,$C256,①농산물raw!$H:$H)</f>
        <v/>
      </c>
      <c r="I256" s="24" t="inlineStr">
        <is>
          <t>O</t>
        </is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23">
        <f>SUMIF(①농산물raw!$D:$D,$C257,①농산물raw!$F:$F)</f>
        <v/>
      </c>
      <c r="G257" s="23">
        <f>SUMIF(①농산물raw!$D:$D,$C257,①농산물raw!$G:$G)</f>
        <v/>
      </c>
      <c r="H257" s="23">
        <f>SUMIF(①농산물raw!$D:$D,$C257,①농산물raw!$H:$H)</f>
        <v/>
      </c>
      <c r="I257" s="24" t="inlineStr">
        <is>
          <t>O</t>
        </is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23">
        <f>SUMIF(①농산물raw!$D:$D,$C258,①농산물raw!$F:$F)</f>
        <v/>
      </c>
      <c r="G258" s="23">
        <f>SUMIF(①농산물raw!$D:$D,$C258,①농산물raw!$G:$G)</f>
        <v/>
      </c>
      <c r="H258" s="23">
        <f>SUMIF(①농산물raw!$D:$D,$C258,①농산물raw!$H:$H)</f>
        <v/>
      </c>
      <c r="I258" s="76" t="n"/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23">
        <f>SUMIF(①농산물raw!$D:$D,$C259,①농산물raw!$F:$F)</f>
        <v/>
      </c>
      <c r="G259" s="23">
        <f>SUMIF(①농산물raw!$D:$D,$C259,①농산물raw!$G:$G)</f>
        <v/>
      </c>
      <c r="H259" s="23">
        <f>SUMIF(①농산물raw!$D:$D,$C259,①농산물raw!$H:$H)</f>
        <v/>
      </c>
      <c r="I259" s="76" t="n"/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23">
        <f>SUMIF(①농산물raw!$D:$D,$C260,①농산물raw!$F:$F)</f>
        <v/>
      </c>
      <c r="G260" s="23">
        <f>SUMIF(①농산물raw!$D:$D,$C260,①농산물raw!$G:$G)</f>
        <v/>
      </c>
      <c r="H260" s="23">
        <f>SUMIF(①농산물raw!$D:$D,$C260,①농산물raw!$H:$H)</f>
        <v/>
      </c>
      <c r="I260" s="24" t="inlineStr">
        <is>
          <t>O</t>
        </is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23">
        <f>SUMIF(①농산물raw!$D:$D,$C261,①농산물raw!$F:$F)</f>
        <v/>
      </c>
      <c r="G261" s="23">
        <f>SUMIF(①농산물raw!$D:$D,$C261,①농산물raw!$G:$G)</f>
        <v/>
      </c>
      <c r="H261" s="23">
        <f>SUMIF(①농산물raw!$D:$D,$C261,①농산물raw!$H:$H)</f>
        <v/>
      </c>
      <c r="I261" s="24" t="inlineStr">
        <is>
          <t>O</t>
        </is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23">
        <f>SUMIF(①농산물raw!$D:$D,$C262,①농산물raw!$F:$F)</f>
        <v/>
      </c>
      <c r="G262" s="23">
        <f>SUMIF(①농산물raw!$D:$D,$C262,①농산물raw!$G:$G)</f>
        <v/>
      </c>
      <c r="H262" s="23">
        <f>SUMIF(①농산물raw!$D:$D,$C262,①농산물raw!$H:$H)</f>
        <v/>
      </c>
      <c r="I262" s="24" t="inlineStr">
        <is>
          <t>O</t>
        </is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23">
        <f>SUMIF(①농산물raw!$D:$D,$C263,①농산물raw!$F:$F)</f>
        <v/>
      </c>
      <c r="G263" s="23">
        <f>SUMIF(①농산물raw!$D:$D,$C263,①농산물raw!$G:$G)</f>
        <v/>
      </c>
      <c r="H263" s="23">
        <f>SUMIF(①농산물raw!$D:$D,$C263,①농산물raw!$H:$H)</f>
        <v/>
      </c>
      <c r="I263" s="24" t="inlineStr">
        <is>
          <t>O</t>
        </is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23">
        <f>SUMIF(①농산물raw!$D:$D,$C264,①농산물raw!$F:$F)</f>
        <v/>
      </c>
      <c r="G264" s="23">
        <f>SUMIF(①농산물raw!$D:$D,$C264,①농산물raw!$G:$G)</f>
        <v/>
      </c>
      <c r="H264" s="23">
        <f>SUMIF(①농산물raw!$D:$D,$C264,①농산물raw!$H:$H)</f>
        <v/>
      </c>
      <c r="I264" s="76" t="n"/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23">
        <f>SUMIF(①농산물raw!$D:$D,$C265,①농산물raw!$F:$F)</f>
        <v/>
      </c>
      <c r="G265" s="23">
        <f>SUMIF(①농산물raw!$D:$D,$C265,①농산물raw!$G:$G)</f>
        <v/>
      </c>
      <c r="H265" s="23">
        <f>SUMIF(①농산물raw!$D:$D,$C265,①농산물raw!$H:$H)</f>
        <v/>
      </c>
      <c r="I265" s="76" t="n"/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23">
        <f>SUMIF(①농산물raw!$D:$D,$C266,①농산물raw!$F:$F)</f>
        <v/>
      </c>
      <c r="G266" s="23">
        <f>SUMIF(①농산물raw!$D:$D,$C266,①농산물raw!$G:$G)</f>
        <v/>
      </c>
      <c r="H266" s="23">
        <f>SUMIF(①농산물raw!$D:$D,$C266,①농산물raw!$H:$H)</f>
        <v/>
      </c>
      <c r="I266" s="24" t="inlineStr">
        <is>
          <t>O</t>
        </is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23">
        <f>SUMIF(①농산물raw!$D:$D,$C267,①농산물raw!$F:$F)</f>
        <v/>
      </c>
      <c r="G267" s="23">
        <f>SUMIF(①농산물raw!$D:$D,$C267,①농산물raw!$G:$G)</f>
        <v/>
      </c>
      <c r="H267" s="23">
        <f>SUMIF(①농산물raw!$D:$D,$C267,①농산물raw!$H:$H)</f>
        <v/>
      </c>
      <c r="I267" s="24" t="inlineStr">
        <is>
          <t>O</t>
        </is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23">
        <f>SUMIF(①농산물raw!$D:$D,$C268,①농산물raw!$F:$F)</f>
        <v/>
      </c>
      <c r="G268" s="23">
        <f>SUMIF(①농산물raw!$D:$D,$C268,①농산물raw!$G:$G)</f>
        <v/>
      </c>
      <c r="H268" s="23">
        <f>SUMIF(①농산물raw!$D:$D,$C268,①농산물raw!$H:$H)</f>
        <v/>
      </c>
      <c r="I268" s="24" t="inlineStr">
        <is>
          <t>O</t>
        </is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23">
        <f>SUMIF(①농산물raw!$D:$D,$C269,①농산물raw!$F:$F)</f>
        <v/>
      </c>
      <c r="G269" s="23">
        <f>SUMIF(①농산물raw!$D:$D,$C269,①농산물raw!$G:$G)</f>
        <v/>
      </c>
      <c r="H269" s="23">
        <f>SUMIF(①농산물raw!$D:$D,$C269,①농산물raw!$H:$H)</f>
        <v/>
      </c>
      <c r="I269" s="24" t="inlineStr">
        <is>
          <t>O</t>
        </is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23">
        <f>SUMIF(①농산물raw!$D:$D,$C270,①농산물raw!$F:$F)</f>
        <v/>
      </c>
      <c r="G270" s="23">
        <f>SUMIF(①농산물raw!$D:$D,$C270,①농산물raw!$G:$G)</f>
        <v/>
      </c>
      <c r="H270" s="23">
        <f>SUMIF(①농산물raw!$D:$D,$C270,①농산물raw!$H:$H)</f>
        <v/>
      </c>
      <c r="I270" s="24" t="inlineStr">
        <is>
          <t>O</t>
        </is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23">
        <f>SUMIF(①농산물raw!$D:$D,$C271,①농산물raw!$F:$F)</f>
        <v/>
      </c>
      <c r="G271" s="23">
        <f>SUMIF(①농산물raw!$D:$D,$C271,①농산물raw!$G:$G)</f>
        <v/>
      </c>
      <c r="H271" s="23">
        <f>SUMIF(①농산물raw!$D:$D,$C271,①농산물raw!$H:$H)</f>
        <v/>
      </c>
      <c r="I271" s="24" t="inlineStr">
        <is>
          <t>O</t>
        </is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23">
        <f>SUMIF(①농산물raw!$D:$D,$C272,①농산물raw!$F:$F)</f>
        <v/>
      </c>
      <c r="G272" s="23">
        <f>SUMIF(①농산물raw!$D:$D,$C272,①농산물raw!$G:$G)</f>
        <v/>
      </c>
      <c r="H272" s="23">
        <f>SUMIF(①농산물raw!$D:$D,$C272,①농산물raw!$H:$H)</f>
        <v/>
      </c>
      <c r="I272" s="24" t="inlineStr">
        <is>
          <t>O</t>
        </is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23">
        <f>SUMIF(①농산물raw!$D:$D,$C273,①농산물raw!$F:$F)</f>
        <v/>
      </c>
      <c r="G273" s="23">
        <f>SUMIF(①농산물raw!$D:$D,$C273,①농산물raw!$G:$G)</f>
        <v/>
      </c>
      <c r="H273" s="23">
        <f>SUMIF(①농산물raw!$D:$D,$C273,①농산물raw!$H:$H)</f>
        <v/>
      </c>
      <c r="I273" s="24" t="inlineStr">
        <is>
          <t>O</t>
        </is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23">
        <f>SUMIF(①농산물raw!$D:$D,$C274,①농산물raw!$F:$F)</f>
        <v/>
      </c>
      <c r="G274" s="23">
        <f>SUMIF(①농산물raw!$D:$D,$C274,①농산물raw!$G:$G)</f>
        <v/>
      </c>
      <c r="H274" s="23">
        <f>SUMIF(①농산물raw!$D:$D,$C274,①농산물raw!$H:$H)</f>
        <v/>
      </c>
      <c r="I274" s="24" t="inlineStr">
        <is>
          <t>O</t>
        </is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23">
        <f>SUMIF(①농산물raw!$D:$D,$C275,①농산물raw!$F:$F)</f>
        <v/>
      </c>
      <c r="G275" s="23">
        <f>SUMIF(①농산물raw!$D:$D,$C275,①농산물raw!$G:$G)</f>
        <v/>
      </c>
      <c r="H275" s="23">
        <f>SUMIF(①농산물raw!$D:$D,$C275,①농산물raw!$H:$H)</f>
        <v/>
      </c>
      <c r="I275" s="24" t="inlineStr">
        <is>
          <t>O</t>
        </is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23">
        <f>SUMIF(①농산물raw!$D:$D,$C276,①농산물raw!$F:$F)</f>
        <v/>
      </c>
      <c r="G276" s="23">
        <f>SUMIF(①농산물raw!$D:$D,$C276,①농산물raw!$G:$G)</f>
        <v/>
      </c>
      <c r="H276" s="23">
        <f>SUMIF(①농산물raw!$D:$D,$C276,①농산물raw!$H:$H)</f>
        <v/>
      </c>
      <c r="I276" s="24" t="inlineStr">
        <is>
          <t>O</t>
        </is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23">
        <f>SUMIF(①농산물raw!$D:$D,$C277,①농산물raw!$F:$F)</f>
        <v/>
      </c>
      <c r="G277" s="23">
        <f>SUMIF(①농산물raw!$D:$D,$C277,①농산물raw!$G:$G)</f>
        <v/>
      </c>
      <c r="H277" s="23">
        <f>SUMIF(①농산물raw!$D:$D,$C277,①농산물raw!$H:$H)</f>
        <v/>
      </c>
      <c r="I277" s="24" t="inlineStr">
        <is>
          <t>O</t>
        </is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23">
        <f>SUMIF(①농산물raw!$D:$D,$C278,①농산물raw!$F:$F)</f>
        <v/>
      </c>
      <c r="G278" s="23">
        <f>SUMIF(①농산물raw!$D:$D,$C278,①농산물raw!$G:$G)</f>
        <v/>
      </c>
      <c r="H278" s="23">
        <f>SUMIF(①농산물raw!$D:$D,$C278,①농산물raw!$H:$H)</f>
        <v/>
      </c>
      <c r="I278" s="76" t="n"/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23">
        <f>SUMIF(①농산물raw!$D:$D,$C279,①농산물raw!$F:$F)</f>
        <v/>
      </c>
      <c r="G279" s="23">
        <f>SUMIF(①농산물raw!$D:$D,$C279,①농산물raw!$G:$G)</f>
        <v/>
      </c>
      <c r="H279" s="23">
        <f>SUMIF(①농산물raw!$D:$D,$C279,①농산물raw!$H:$H)</f>
        <v/>
      </c>
      <c r="I279" s="76" t="n"/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23">
        <f>SUMIF(①농산물raw!$D:$D,$C280,①농산물raw!$F:$F)</f>
        <v/>
      </c>
      <c r="G280" s="23">
        <f>SUMIF(①농산물raw!$D:$D,$C280,①농산물raw!$G:$G)</f>
        <v/>
      </c>
      <c r="H280" s="23">
        <f>SUMIF(①농산물raw!$D:$D,$C280,①농산물raw!$H:$H)</f>
        <v/>
      </c>
      <c r="I280" s="24" t="inlineStr">
        <is>
          <t>O</t>
        </is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23">
        <f>SUMIF(①농산물raw!$D:$D,$C281,①농산물raw!$F:$F)</f>
        <v/>
      </c>
      <c r="G281" s="23">
        <f>SUMIF(①농산물raw!$D:$D,$C281,①농산물raw!$G:$G)</f>
        <v/>
      </c>
      <c r="H281" s="23">
        <f>SUMIF(①농산물raw!$D:$D,$C281,①농산물raw!$H:$H)</f>
        <v/>
      </c>
      <c r="I281" s="24" t="inlineStr">
        <is>
          <t>O</t>
        </is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23">
        <f>SUMIF(①농산물raw!$D:$D,$C282,①농산물raw!$F:$F)</f>
        <v/>
      </c>
      <c r="G282" s="23">
        <f>SUMIF(①농산물raw!$D:$D,$C282,①농산물raw!$G:$G)</f>
        <v/>
      </c>
      <c r="H282" s="23">
        <f>SUMIF(①농산물raw!$D:$D,$C282,①농산물raw!$H:$H)</f>
        <v/>
      </c>
      <c r="I282" s="24" t="inlineStr">
        <is>
          <t>O</t>
        </is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23">
        <f>SUMIF(①농산물raw!$D:$D,$C283,①농산물raw!$F:$F)</f>
        <v/>
      </c>
      <c r="G283" s="23">
        <f>SUMIF(①농산물raw!$D:$D,$C283,①농산물raw!$G:$G)</f>
        <v/>
      </c>
      <c r="H283" s="23">
        <f>SUMIF(①농산물raw!$D:$D,$C283,①농산물raw!$H:$H)</f>
        <v/>
      </c>
      <c r="I283" s="24" t="inlineStr">
        <is>
          <t>O</t>
        </is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23">
        <f>SUMIF(①농산물raw!$D:$D,$C284,①농산물raw!$F:$F)</f>
        <v/>
      </c>
      <c r="G284" s="23">
        <f>SUMIF(①농산물raw!$D:$D,$C284,①농산물raw!$G:$G)</f>
        <v/>
      </c>
      <c r="H284" s="23">
        <f>SUMIF(①농산물raw!$D:$D,$C284,①농산물raw!$H:$H)</f>
        <v/>
      </c>
      <c r="I284" s="24" t="inlineStr">
        <is>
          <t>O</t>
        </is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23">
        <f>SUMIF(①농산물raw!$D:$D,$C285,①농산물raw!$F:$F)</f>
        <v/>
      </c>
      <c r="G285" s="23">
        <f>SUMIF(①농산물raw!$D:$D,$C285,①농산물raw!$G:$G)</f>
        <v/>
      </c>
      <c r="H285" s="23">
        <f>SUMIF(①농산물raw!$D:$D,$C285,①농산물raw!$H:$H)</f>
        <v/>
      </c>
      <c r="I285" s="76" t="n"/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23">
        <f>SUMIF(①농산물raw!$D:$D,$C286,①농산물raw!$F:$F)</f>
        <v/>
      </c>
      <c r="G286" s="23">
        <f>SUMIF(①농산물raw!$D:$D,$C286,①농산물raw!$G:$G)</f>
        <v/>
      </c>
      <c r="H286" s="23">
        <f>SUMIF(①농산물raw!$D:$D,$C286,①농산물raw!$H:$H)</f>
        <v/>
      </c>
      <c r="I286" s="76" t="n"/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23">
        <f>SUMIF(①농산물raw!$D:$D,$C287,①농산물raw!$F:$F)</f>
        <v/>
      </c>
      <c r="G287" s="23">
        <f>SUMIF(①농산물raw!$D:$D,$C287,①농산물raw!$G:$G)</f>
        <v/>
      </c>
      <c r="H287" s="23">
        <f>SUMIF(①농산물raw!$D:$D,$C287,①농산물raw!$H:$H)</f>
        <v/>
      </c>
      <c r="I287" s="24" t="inlineStr">
        <is>
          <t>O</t>
        </is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J1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SUM(F6:F1397)</f>
        <v/>
      </c>
      <c r="G4" s="132">
        <f>SUM(G6:G1397)</f>
        <v/>
      </c>
      <c r="H4" s="132">
        <f>SUM(H6:H1397)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가공식품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가공식품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n">
        <v>0</v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n">
        <v>0</v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n">
        <v>0</v>
      </c>
      <c r="G18" s="135" t="n">
        <v>0</v>
      </c>
      <c r="H18" s="135" t="n">
        <v>0</v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n">
        <v>0</v>
      </c>
      <c r="G19" s="135" t="n">
        <v>0</v>
      </c>
      <c r="H19" s="135" t="n">
        <v>0</v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n">
        <v>0</v>
      </c>
      <c r="G20" s="135" t="n">
        <v>0</v>
      </c>
      <c r="H20" s="135" t="n">
        <v>0</v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n">
        <v>0</v>
      </c>
      <c r="G23" s="135" t="n">
        <v>0</v>
      </c>
      <c r="H23" s="135" t="n">
        <v>0</v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n">
        <v>0</v>
      </c>
      <c r="G26" s="135" t="n">
        <v>0</v>
      </c>
      <c r="H26" s="135" t="n">
        <v>0</v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n">
        <v>0</v>
      </c>
      <c r="G27" s="135" t="n">
        <v>0</v>
      </c>
      <c r="H27" s="135" t="n">
        <v>0</v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n">
        <v>0</v>
      </c>
      <c r="G28" s="135" t="n">
        <v>0</v>
      </c>
      <c r="H28" s="135" t="n">
        <v>0</v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n">
        <v>0</v>
      </c>
      <c r="G29" s="135" t="n">
        <v>0</v>
      </c>
      <c r="H29" s="135" t="n">
        <v>0</v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n">
        <v>0</v>
      </c>
      <c r="G30" s="135" t="n">
        <v>0</v>
      </c>
      <c r="H30" s="135" t="n">
        <v>0</v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n">
        <v>0</v>
      </c>
      <c r="G31" s="135" t="n">
        <v>0</v>
      </c>
      <c r="H31" s="135" t="n">
        <v>0</v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n">
        <v>0</v>
      </c>
      <c r="G32" s="135" t="n">
        <v>0</v>
      </c>
      <c r="H32" s="135" t="n">
        <v>0</v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n">
        <v>0</v>
      </c>
      <c r="G33" s="135" t="n">
        <v>0</v>
      </c>
      <c r="H33" s="135" t="n">
        <v>0</v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n">
        <v>0</v>
      </c>
      <c r="G34" s="135" t="n">
        <v>0</v>
      </c>
      <c r="H34" s="135" t="n">
        <v>0</v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n">
        <v>0</v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n">
        <v>0</v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n">
        <v>0</v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n">
        <v>0</v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n">
        <v>0</v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n">
        <v>0</v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n">
        <v>0</v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n">
        <v>0</v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n">
        <v>0</v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n">
        <v>0</v>
      </c>
      <c r="G57" s="135" t="n">
        <v>0</v>
      </c>
      <c r="H57" s="135" t="n">
        <v>0</v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n">
        <v>0</v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n">
        <v>0</v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n">
        <v>0</v>
      </c>
      <c r="G60" s="135" t="n">
        <v>0</v>
      </c>
      <c r="H60" s="135" t="n">
        <v>0</v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n">
        <v>0</v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n">
        <v>0</v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n">
        <v>0</v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n">
        <v>0</v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n">
        <v>0</v>
      </c>
      <c r="G70" s="135" t="n">
        <v>0</v>
      </c>
      <c r="H70" s="135" t="n">
        <v>0</v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n">
        <v>0</v>
      </c>
      <c r="G74" s="135" t="n">
        <v>0</v>
      </c>
      <c r="H74" s="135" t="n">
        <v>0</v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n">
        <v>0</v>
      </c>
      <c r="G76" s="135" t="n">
        <v>0</v>
      </c>
      <c r="H76" s="135" t="n">
        <v>0</v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n">
        <v>0</v>
      </c>
      <c r="G77" s="135" t="n">
        <v>0</v>
      </c>
      <c r="H77" s="135" t="n">
        <v>0</v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n">
        <v>0</v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n">
        <v>0</v>
      </c>
      <c r="G79" s="135" t="n">
        <v>0</v>
      </c>
      <c r="H79" s="135" t="n">
        <v>0</v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n">
        <v>0</v>
      </c>
      <c r="G84" s="135" t="n">
        <v>0</v>
      </c>
      <c r="H84" s="135" t="n">
        <v>0</v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n">
        <v>0</v>
      </c>
      <c r="G89" s="135" t="n">
        <v>0</v>
      </c>
      <c r="H89" s="135" t="n">
        <v>0</v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n">
        <v>0</v>
      </c>
      <c r="G96" s="135" t="n">
        <v>0</v>
      </c>
      <c r="H96" s="135" t="n">
        <v>0</v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n">
        <v>0</v>
      </c>
      <c r="G97" s="135" t="n">
        <v>0</v>
      </c>
      <c r="H97" s="135" t="n">
        <v>0</v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n">
        <v>0</v>
      </c>
      <c r="G98" s="135" t="n">
        <v>0</v>
      </c>
      <c r="H98" s="135" t="n">
        <v>0</v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n">
        <v>0</v>
      </c>
      <c r="G99" s="135" t="n">
        <v>0</v>
      </c>
      <c r="H99" s="135" t="n">
        <v>0</v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n">
        <v>0</v>
      </c>
      <c r="G100" s="135" t="n">
        <v>0</v>
      </c>
      <c r="H100" s="135" t="n">
        <v>0</v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n">
        <v>0</v>
      </c>
      <c r="G101" s="135" t="n">
        <v>0</v>
      </c>
      <c r="H101" s="135" t="n">
        <v>0</v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n">
        <v>0</v>
      </c>
      <c r="G102" s="135" t="n">
        <v>0</v>
      </c>
      <c r="H102" s="135" t="n">
        <v>0</v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n">
        <v>0</v>
      </c>
      <c r="G103" s="135" t="n">
        <v>0</v>
      </c>
      <c r="H103" s="135" t="n">
        <v>0</v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n">
        <v>0</v>
      </c>
      <c r="G104" s="135" t="n">
        <v>0</v>
      </c>
      <c r="H104" s="135" t="n">
        <v>0</v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n">
        <v>0</v>
      </c>
      <c r="G105" s="135" t="n">
        <v>0</v>
      </c>
      <c r="H105" s="135" t="n">
        <v>0</v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n">
        <v>0</v>
      </c>
      <c r="G106" s="135" t="n">
        <v>0</v>
      </c>
      <c r="H106" s="135" t="n">
        <v>0</v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n">
        <v>0</v>
      </c>
      <c r="G107" s="135" t="n">
        <v>0</v>
      </c>
      <c r="H107" s="135" t="n">
        <v>0</v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n">
        <v>0</v>
      </c>
      <c r="G108" s="135" t="n">
        <v>0</v>
      </c>
      <c r="H108" s="135" t="n">
        <v>0</v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n">
        <v>0</v>
      </c>
      <c r="G109" s="135" t="n">
        <v>0</v>
      </c>
      <c r="H109" s="135" t="n">
        <v>0</v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n">
        <v>0</v>
      </c>
      <c r="G110" s="135" t="n">
        <v>0</v>
      </c>
      <c r="H110" s="135" t="n">
        <v>0</v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n">
        <v>0</v>
      </c>
      <c r="G113" s="135" t="n">
        <v>0</v>
      </c>
      <c r="H113" s="135" t="n">
        <v>0</v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n">
        <v>0</v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n">
        <v>0</v>
      </c>
      <c r="G124" s="135" t="n">
        <v>0</v>
      </c>
      <c r="H124" s="135" t="n">
        <v>0</v>
      </c>
    </row>
    <row r="125">
      <c r="A125" s="8" t="inlineStr">
        <is>
          <t>지마켓</t>
        </is>
      </c>
      <c r="B125" s="9" t="inlineStr">
        <is>
          <t>농산물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n">
        <v>0</v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n">
        <v>0</v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n">
        <v>0</v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n">
        <v>0</v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n">
        <v>0</v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n">
        <v>0</v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농산물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n">
        <v>0</v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n">
        <v>0</v>
      </c>
      <c r="G135" s="135" t="n">
        <v>0</v>
      </c>
      <c r="H135" s="135" t="n">
        <v>0</v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n">
        <v>0</v>
      </c>
      <c r="G136" s="135" t="n">
        <v>0</v>
      </c>
      <c r="H136" s="135" t="n">
        <v>0</v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n">
        <v>0</v>
      </c>
      <c r="G137" s="135" t="n">
        <v>0</v>
      </c>
      <c r="H137" s="135" t="n">
        <v>0</v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n">
        <v>0</v>
      </c>
      <c r="G138" s="135" t="n">
        <v>0</v>
      </c>
      <c r="H138" s="135" t="n">
        <v>0</v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n">
        <v>0</v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n">
        <v>0</v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n">
        <v>0</v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n">
        <v>0</v>
      </c>
      <c r="G145" s="135" t="n">
        <v>0</v>
      </c>
      <c r="H145" s="135" t="n">
        <v>0</v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n">
        <v>0</v>
      </c>
      <c r="G146" s="135" t="n">
        <v>0</v>
      </c>
      <c r="H146" s="135" t="n">
        <v>0</v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n">
        <v>0</v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n">
        <v>0</v>
      </c>
      <c r="G150" s="135" t="n">
        <v>0</v>
      </c>
      <c r="H150" s="135" t="n">
        <v>0</v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n">
        <v>0</v>
      </c>
      <c r="G152" s="135" t="n">
        <v>0</v>
      </c>
      <c r="H152" s="135" t="n">
        <v>0</v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n">
        <v>0</v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n">
        <v>0</v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농산물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n">
        <v>0</v>
      </c>
      <c r="G156" s="135" t="n">
        <v>0</v>
      </c>
      <c r="H156" s="135" t="n">
        <v>0</v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n">
        <v>0</v>
      </c>
      <c r="G160" s="135" t="n">
        <v>0</v>
      </c>
      <c r="H160" s="135" t="n">
        <v>0</v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n">
        <v>0</v>
      </c>
    </row>
    <row r="162">
      <c r="A162" s="8" t="inlineStr">
        <is>
          <t>지마켓</t>
        </is>
      </c>
      <c r="B162" s="9" t="inlineStr">
        <is>
          <t>농산물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n">
        <v>0</v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n">
        <v>0</v>
      </c>
      <c r="G163" s="135" t="n">
        <v>0</v>
      </c>
      <c r="H163" s="135" t="n">
        <v>0</v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n">
        <v>0</v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n">
        <v>0</v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n">
        <v>0</v>
      </c>
      <c r="G166" s="135" t="n">
        <v>0</v>
      </c>
      <c r="H166" s="135" t="n">
        <v>0</v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n">
        <v>0</v>
      </c>
      <c r="G167" s="135" t="n">
        <v>0</v>
      </c>
      <c r="H167" s="135" t="n">
        <v>0</v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n">
        <v>0</v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n">
        <v>0</v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n">
        <v>0</v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n">
        <v>0</v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n">
        <v>0</v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n">
        <v>0</v>
      </c>
      <c r="G178" s="135" t="n">
        <v>0</v>
      </c>
      <c r="H178" s="135" t="n">
        <v>0</v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n">
        <v>0</v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n">
        <v>0</v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n">
        <v>0</v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n">
        <v>0</v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n">
        <v>0</v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n">
        <v>0</v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n">
        <v>0</v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n">
        <v>0</v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n">
        <v>0</v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n">
        <v>0</v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n">
        <v>0</v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n">
        <v>0</v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n">
        <v>0</v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n">
        <v>0</v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n">
        <v>0</v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n">
        <v>0</v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n">
        <v>0</v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n">
        <v>0</v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n">
        <v>0</v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n">
        <v>0</v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n">
        <v>0</v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n">
        <v>0</v>
      </c>
      <c r="G204" s="135" t="n">
        <v>0</v>
      </c>
      <c r="H204" s="135" t="n">
        <v>0</v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n">
        <v>0</v>
      </c>
      <c r="G205" s="135" t="n">
        <v>0</v>
      </c>
      <c r="H205" s="135" t="n">
        <v>0</v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n">
        <v>0</v>
      </c>
      <c r="G206" s="135" t="n">
        <v>0</v>
      </c>
      <c r="H206" s="135" t="n">
        <v>0</v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n">
        <v>0</v>
      </c>
      <c r="G207" s="135" t="n">
        <v>0</v>
      </c>
      <c r="H207" s="135" t="n">
        <v>0</v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n">
        <v>0</v>
      </c>
      <c r="G208" s="135" t="n">
        <v>0</v>
      </c>
      <c r="H208" s="135" t="n">
        <v>0</v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n">
        <v>0</v>
      </c>
      <c r="G214" s="135" t="n">
        <v>0</v>
      </c>
      <c r="H214" s="135" t="n">
        <v>0</v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n">
        <v>0</v>
      </c>
      <c r="G217" s="135" t="n">
        <v>0</v>
      </c>
      <c r="H217" s="135" t="n">
        <v>0</v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n">
        <v>0</v>
      </c>
      <c r="G218" s="135" t="n">
        <v>0</v>
      </c>
      <c r="H218" s="135" t="n">
        <v>0</v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n">
        <v>0</v>
      </c>
      <c r="G219" s="135" t="n">
        <v>0</v>
      </c>
      <c r="H219" s="135" t="n">
        <v>0</v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n">
        <v>0</v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n">
        <v>0</v>
      </c>
      <c r="G221" s="135" t="n">
        <v>0</v>
      </c>
      <c r="H221" s="135" t="n">
        <v>0</v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n">
        <v>0</v>
      </c>
      <c r="G222" s="135" t="n">
        <v>0</v>
      </c>
      <c r="H222" s="135" t="n">
        <v>0</v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n">
        <v>0</v>
      </c>
      <c r="G223" s="135" t="n">
        <v>0</v>
      </c>
      <c r="H223" s="135" t="n">
        <v>0</v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n">
        <v>0</v>
      </c>
      <c r="G225" s="135" t="n">
        <v>0</v>
      </c>
      <c r="H225" s="135" t="n">
        <v>0</v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n">
        <v>0</v>
      </c>
      <c r="G226" s="135" t="n">
        <v>0</v>
      </c>
      <c r="H226" s="135" t="n">
        <v>0</v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n">
        <v>0</v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n">
        <v>0</v>
      </c>
      <c r="G230" s="135" t="n">
        <v>0</v>
      </c>
      <c r="H230" s="135" t="n">
        <v>0</v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n">
        <v>0</v>
      </c>
      <c r="G231" s="135" t="n">
        <v>0</v>
      </c>
      <c r="H231" s="135" t="n">
        <v>0</v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n">
        <v>0</v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n">
        <v>0</v>
      </c>
      <c r="G233" s="135" t="n">
        <v>0</v>
      </c>
      <c r="H233" s="135" t="n">
        <v>0</v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n">
        <v>0</v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n">
        <v>0</v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n">
        <v>0</v>
      </c>
      <c r="G236" s="135" t="n">
        <v>0</v>
      </c>
      <c r="H236" s="135" t="n">
        <v>0</v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n">
        <v>0</v>
      </c>
      <c r="G237" s="135" t="n">
        <v>0</v>
      </c>
      <c r="H237" s="135" t="n">
        <v>0</v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n">
        <v>0</v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n">
        <v>0</v>
      </c>
      <c r="G239" s="135" t="n">
        <v>0</v>
      </c>
      <c r="H239" s="135" t="n">
        <v>0</v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n">
        <v>0</v>
      </c>
    </row>
    <row r="245">
      <c r="A245" s="8" t="inlineStr">
        <is>
          <t>지마켓</t>
        </is>
      </c>
      <c r="B245" s="9" t="inlineStr">
        <is>
          <t>가공식품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n">
        <v>0</v>
      </c>
      <c r="G248" s="135" t="n">
        <v>0</v>
      </c>
      <c r="H248" s="135" t="n">
        <v>0</v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n">
        <v>0</v>
      </c>
      <c r="G249" s="135" t="n">
        <v>0</v>
      </c>
      <c r="H249" s="135" t="n">
        <v>0</v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n">
        <v>0</v>
      </c>
      <c r="G250" s="135" t="n">
        <v>0</v>
      </c>
      <c r="H250" s="135" t="n">
        <v>0</v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농산물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n">
        <v>0</v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n">
        <v>0</v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n">
        <v>0</v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n">
        <v>0</v>
      </c>
      <c r="G259" s="135" t="n">
        <v>0</v>
      </c>
      <c r="H259" s="135" t="n">
        <v>0</v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n">
        <v>0</v>
      </c>
      <c r="G260" s="135" t="n">
        <v>0</v>
      </c>
      <c r="H260" s="135" t="n">
        <v>0</v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n">
        <v>0</v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n">
        <v>0</v>
      </c>
      <c r="G262" s="135" t="n">
        <v>0</v>
      </c>
      <c r="H262" s="135" t="n">
        <v>0</v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n">
        <v>0</v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n">
        <v>0</v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n">
        <v>0</v>
      </c>
      <c r="G266" s="135" t="n">
        <v>0</v>
      </c>
      <c r="H266" s="135" t="n">
        <v>0</v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n">
        <v>0</v>
      </c>
    </row>
    <row r="268">
      <c r="A268" s="8" t="inlineStr">
        <is>
          <t>지마켓</t>
        </is>
      </c>
      <c r="B268" s="12" t="inlineStr">
        <is>
          <t>농산물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n">
        <v>0</v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n">
        <v>0</v>
      </c>
      <c r="G269" s="135" t="n">
        <v>0</v>
      </c>
      <c r="H269" s="135" t="n">
        <v>0</v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n">
        <v>0</v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n">
        <v>0</v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n">
        <v>0</v>
      </c>
      <c r="G272" s="135" t="n">
        <v>0</v>
      </c>
      <c r="H272" s="135" t="n">
        <v>0</v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n">
        <v>0</v>
      </c>
      <c r="G273" s="135" t="n">
        <v>0</v>
      </c>
      <c r="H273" s="135" t="n">
        <v>0</v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n">
        <v>0</v>
      </c>
      <c r="G274" s="135" t="n">
        <v>0</v>
      </c>
      <c r="H274" s="135" t="n">
        <v>0</v>
      </c>
    </row>
    <row r="275">
      <c r="A275" s="8" t="inlineStr">
        <is>
          <t>지마켓</t>
        </is>
      </c>
      <c r="B275" s="12" t="inlineStr">
        <is>
          <t>농산물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n">
        <v>0</v>
      </c>
      <c r="G275" s="135" t="n">
        <v>0</v>
      </c>
      <c r="H275" s="135" t="n">
        <v>0</v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n">
        <v>0</v>
      </c>
      <c r="G276" s="135" t="n">
        <v>0</v>
      </c>
      <c r="H276" s="135" t="n">
        <v>0</v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n">
        <v>0</v>
      </c>
      <c r="G277" s="135" t="n">
        <v>0</v>
      </c>
      <c r="H277" s="135" t="n">
        <v>0</v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n">
        <v>0</v>
      </c>
      <c r="G278" s="135" t="n">
        <v>0</v>
      </c>
      <c r="H278" s="135" t="n">
        <v>0</v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n">
        <v>0</v>
      </c>
      <c r="G279" s="135" t="n">
        <v>0</v>
      </c>
      <c r="H279" s="135" t="n">
        <v>0</v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n">
        <v>0</v>
      </c>
      <c r="G280" s="135" t="n">
        <v>0</v>
      </c>
      <c r="H280" s="135" t="n">
        <v>0</v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n">
        <v>0</v>
      </c>
      <c r="G281" s="135" t="n">
        <v>0</v>
      </c>
      <c r="H281" s="135" t="n">
        <v>0</v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n">
        <v>0</v>
      </c>
      <c r="G282" s="135" t="n">
        <v>0</v>
      </c>
      <c r="H282" s="135" t="n">
        <v>0</v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n">
        <v>0</v>
      </c>
      <c r="G283" s="135" t="n">
        <v>0</v>
      </c>
      <c r="H283" s="135" t="n">
        <v>0</v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n">
        <v>0</v>
      </c>
      <c r="G284" s="135" t="n">
        <v>0</v>
      </c>
      <c r="H284" s="135" t="n">
        <v>0</v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n">
        <v>0</v>
      </c>
      <c r="G285" s="135" t="n">
        <v>0</v>
      </c>
      <c r="H285" s="135" t="n">
        <v>0</v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n">
        <v>0</v>
      </c>
      <c r="G286" s="135" t="n">
        <v>0</v>
      </c>
      <c r="H286" s="135" t="n">
        <v>0</v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n">
        <v>0</v>
      </c>
      <c r="G287" s="135" t="n">
        <v>0</v>
      </c>
      <c r="H287" s="135" t="n">
        <v>0</v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n">
        <v>0</v>
      </c>
      <c r="G288" s="135" t="n">
        <v>0</v>
      </c>
      <c r="H288" s="135" t="n">
        <v>0</v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n">
        <v>0</v>
      </c>
      <c r="G289" s="135" t="n">
        <v>0</v>
      </c>
      <c r="H289" s="135" t="n">
        <v>0</v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n">
        <v>0</v>
      </c>
      <c r="G290" s="135" t="n">
        <v>0</v>
      </c>
      <c r="H290" s="135" t="n">
        <v>0</v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n">
        <v>0</v>
      </c>
      <c r="G291" s="135" t="n">
        <v>0</v>
      </c>
      <c r="H291" s="135" t="n">
        <v>0</v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n">
        <v>0</v>
      </c>
      <c r="G292" s="135" t="n">
        <v>0</v>
      </c>
      <c r="H292" s="135" t="n">
        <v>0</v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n">
        <v>0</v>
      </c>
      <c r="G293" s="135" t="n">
        <v>0</v>
      </c>
      <c r="H293" s="135" t="n">
        <v>0</v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n">
        <v>0</v>
      </c>
      <c r="G294" s="135" t="n">
        <v>0</v>
      </c>
      <c r="H294" s="135" t="n">
        <v>0</v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n">
        <v>0</v>
      </c>
      <c r="G295" s="135" t="n">
        <v>0</v>
      </c>
      <c r="H295" s="135" t="n">
        <v>0</v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n">
        <v>0</v>
      </c>
      <c r="G296" s="135" t="n">
        <v>0</v>
      </c>
      <c r="H296" s="135" t="n">
        <v>0</v>
      </c>
    </row>
    <row r="297">
      <c r="A297" s="8" t="inlineStr">
        <is>
          <t>지마켓</t>
        </is>
      </c>
      <c r="B297" s="12" t="inlineStr">
        <is>
          <t>가공식품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n">
        <v>0</v>
      </c>
      <c r="G297" s="135" t="n">
        <v>0</v>
      </c>
      <c r="H297" s="135" t="n">
        <v>0</v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n">
        <v>0</v>
      </c>
      <c r="G298" s="135" t="n">
        <v>0</v>
      </c>
      <c r="H298" s="135" t="n">
        <v>0</v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n">
        <v>0</v>
      </c>
      <c r="G299" s="135" t="n">
        <v>0</v>
      </c>
      <c r="H299" s="135" t="n">
        <v>0</v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n">
        <v>0</v>
      </c>
      <c r="G300" s="135" t="n">
        <v>0</v>
      </c>
      <c r="H300" s="135" t="n">
        <v>0</v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n">
        <v>0</v>
      </c>
      <c r="G301" s="135" t="n">
        <v>0</v>
      </c>
      <c r="H301" s="135" t="n">
        <v>0</v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n">
        <v>0</v>
      </c>
      <c r="G302" s="135" t="n">
        <v>0</v>
      </c>
      <c r="H302" s="135" t="n">
        <v>0</v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n">
        <v>0</v>
      </c>
      <c r="G303" s="137" t="n">
        <v>0</v>
      </c>
      <c r="H303" s="137" t="n">
        <v>0</v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n">
        <v>0</v>
      </c>
      <c r="G304" s="139" t="n">
        <v>0</v>
      </c>
      <c r="H304" s="139" t="n">
        <v>0</v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n">
        <v>0</v>
      </c>
      <c r="G312" s="140" t="n">
        <v>0</v>
      </c>
      <c r="H312" s="140" t="n">
        <v>0</v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n">
        <v>0</v>
      </c>
      <c r="G316" s="140" t="n">
        <v>0</v>
      </c>
      <c r="H316" s="140" t="n">
        <v>0</v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n">
        <v>0</v>
      </c>
      <c r="G320" s="140" t="n">
        <v>0</v>
      </c>
      <c r="H320" s="140" t="n">
        <v>0</v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n">
        <v>0</v>
      </c>
      <c r="G323" s="140" t="n">
        <v>0</v>
      </c>
      <c r="H323" s="140" t="n">
        <v>0</v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n">
        <v>0</v>
      </c>
      <c r="G327" s="140" t="n">
        <v>0</v>
      </c>
      <c r="H327" s="140" t="n">
        <v>0</v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n">
        <v>0</v>
      </c>
      <c r="G328" s="140" t="n">
        <v>0</v>
      </c>
      <c r="H328" s="140" t="n">
        <v>0</v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n">
        <v>0</v>
      </c>
      <c r="G332" s="142" t="n">
        <v>0</v>
      </c>
      <c r="H332" s="142" t="n">
        <v>0</v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n">
        <v>0</v>
      </c>
      <c r="G333" s="142" t="n">
        <v>0</v>
      </c>
      <c r="H333" s="142" t="n">
        <v>0</v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n">
        <v>0</v>
      </c>
      <c r="G334" s="142" t="n">
        <v>0</v>
      </c>
      <c r="H334" s="142" t="n">
        <v>0</v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n">
        <v>0</v>
      </c>
      <c r="G335" s="142" t="n">
        <v>0</v>
      </c>
      <c r="H335" s="142" t="n">
        <v>0</v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n">
        <v>0</v>
      </c>
      <c r="G338" s="142" t="n">
        <v>0</v>
      </c>
      <c r="H338" s="142" t="n">
        <v>0</v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n">
        <v>0</v>
      </c>
      <c r="G339" s="142" t="n">
        <v>0</v>
      </c>
      <c r="H339" s="142" t="n">
        <v>0</v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n">
        <v>0</v>
      </c>
      <c r="G340" s="142" t="n">
        <v>0</v>
      </c>
      <c r="H340" s="142" t="n">
        <v>0</v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n">
        <v>0</v>
      </c>
      <c r="G342" s="142" t="n">
        <v>0</v>
      </c>
      <c r="H342" s="142" t="n">
        <v>0</v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n">
        <v>0</v>
      </c>
      <c r="G343" s="142" t="n">
        <v>0</v>
      </c>
      <c r="H343" s="142" t="n">
        <v>0</v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n">
        <v>0</v>
      </c>
      <c r="G344" s="142" t="n">
        <v>0</v>
      </c>
      <c r="H344" s="142" t="n">
        <v>0</v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n">
        <v>0</v>
      </c>
      <c r="G359" s="142" t="n">
        <v>0</v>
      </c>
      <c r="H359" s="142" t="n">
        <v>0</v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n">
        <v>0</v>
      </c>
      <c r="G362" s="142" t="n">
        <v>0</v>
      </c>
      <c r="H362" s="142" t="n">
        <v>0</v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n">
        <v>0</v>
      </c>
      <c r="G364" s="142" t="n">
        <v>0</v>
      </c>
      <c r="H364" s="142" t="n">
        <v>0</v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n">
        <v>0</v>
      </c>
      <c r="G369" s="142" t="n">
        <v>0</v>
      </c>
      <c r="H369" s="142" t="n">
        <v>0</v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n">
        <v>0</v>
      </c>
      <c r="G370" s="142" t="n">
        <v>0</v>
      </c>
      <c r="H370" s="142" t="n">
        <v>0</v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n">
        <v>0</v>
      </c>
      <c r="G371" s="142" t="n">
        <v>0</v>
      </c>
      <c r="H371" s="142" t="n">
        <v>0</v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n">
        <v>0</v>
      </c>
      <c r="G372" s="142" t="n">
        <v>0</v>
      </c>
      <c r="H372" s="142" t="n">
        <v>0</v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n">
        <v>0</v>
      </c>
      <c r="G373" s="142" t="n">
        <v>0</v>
      </c>
      <c r="H373" s="142" t="n">
        <v>0</v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n">
        <v>0</v>
      </c>
      <c r="G374" s="142" t="n">
        <v>0</v>
      </c>
      <c r="H374" s="142" t="n">
        <v>0</v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n">
        <v>0</v>
      </c>
      <c r="G375" s="142" t="n">
        <v>0</v>
      </c>
      <c r="H375" s="142" t="n">
        <v>0</v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n">
        <v>0</v>
      </c>
      <c r="G376" s="142" t="n">
        <v>0</v>
      </c>
      <c r="H376" s="142" t="n">
        <v>0</v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n">
        <v>0</v>
      </c>
      <c r="G377" s="142" t="n">
        <v>0</v>
      </c>
      <c r="H377" s="142" t="n">
        <v>0</v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n">
        <v>0</v>
      </c>
      <c r="G378" s="142" t="n">
        <v>0</v>
      </c>
      <c r="H378" s="142" t="n">
        <v>0</v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n">
        <v>0</v>
      </c>
      <c r="G379" s="142" t="n">
        <v>0</v>
      </c>
      <c r="H379" s="142" t="n">
        <v>0</v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n">
        <v>0</v>
      </c>
      <c r="G380" s="142" t="n">
        <v>0</v>
      </c>
      <c r="H380" s="142" t="n">
        <v>0</v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n">
        <v>0</v>
      </c>
      <c r="G381" s="142" t="n">
        <v>0</v>
      </c>
      <c r="H381" s="142" t="n">
        <v>0</v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n">
        <v>0</v>
      </c>
      <c r="G382" s="142" t="n">
        <v>0</v>
      </c>
      <c r="H382" s="142" t="n">
        <v>0</v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n">
        <v>0</v>
      </c>
      <c r="G383" s="142" t="n">
        <v>0</v>
      </c>
      <c r="H383" s="142" t="n">
        <v>0</v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n">
        <v>0</v>
      </c>
      <c r="G384" s="142" t="n">
        <v>0</v>
      </c>
      <c r="H384" s="142" t="n">
        <v>0</v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n">
        <v>0</v>
      </c>
      <c r="G385" s="142" t="n">
        <v>0</v>
      </c>
      <c r="H385" s="142" t="n">
        <v>0</v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n">
        <v>0</v>
      </c>
      <c r="G386" s="142" t="n">
        <v>0</v>
      </c>
      <c r="H386" s="142" t="n">
        <v>0</v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n">
        <v>0</v>
      </c>
      <c r="G387" s="142" t="n">
        <v>0</v>
      </c>
      <c r="H387" s="142" t="n">
        <v>0</v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n">
        <v>0</v>
      </c>
      <c r="G388" s="142" t="n">
        <v>0</v>
      </c>
      <c r="H388" s="142" t="n">
        <v>0</v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n">
        <v>0</v>
      </c>
      <c r="G389" s="142" t="n">
        <v>0</v>
      </c>
      <c r="H389" s="142" t="n">
        <v>0</v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n">
        <v>0</v>
      </c>
      <c r="G390" s="142" t="n">
        <v>0</v>
      </c>
      <c r="H390" s="142" t="n">
        <v>0</v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n">
        <v>0</v>
      </c>
      <c r="G391" s="142" t="n">
        <v>0</v>
      </c>
      <c r="H391" s="142" t="n">
        <v>0</v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n">
        <v>0</v>
      </c>
      <c r="G392" s="142" t="n">
        <v>0</v>
      </c>
      <c r="H392" s="142" t="n">
        <v>0</v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n">
        <v>0</v>
      </c>
      <c r="G393" s="142" t="n">
        <v>0</v>
      </c>
      <c r="H393" s="142" t="n">
        <v>0</v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n">
        <v>0</v>
      </c>
      <c r="G394" s="142" t="n">
        <v>0</v>
      </c>
      <c r="H394" s="142" t="n">
        <v>0</v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n">
        <v>0</v>
      </c>
      <c r="G395" s="142" t="n">
        <v>0</v>
      </c>
      <c r="H395" s="142" t="n">
        <v>0</v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n">
        <v>0</v>
      </c>
      <c r="G396" s="142" t="n">
        <v>0</v>
      </c>
      <c r="H396" s="142" t="n">
        <v>0</v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n">
        <v>0</v>
      </c>
      <c r="G397" s="142" t="n">
        <v>0</v>
      </c>
      <c r="H397" s="142" t="n">
        <v>0</v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n">
        <v>0</v>
      </c>
      <c r="G398" s="142" t="n">
        <v>0</v>
      </c>
      <c r="H398" s="142" t="n">
        <v>0</v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n">
        <v>0</v>
      </c>
      <c r="G399" s="142" t="n">
        <v>0</v>
      </c>
      <c r="H399" s="142" t="n">
        <v>0</v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n">
        <v>0</v>
      </c>
      <c r="G400" s="142" t="n">
        <v>0</v>
      </c>
      <c r="H400" s="142" t="n">
        <v>0</v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n">
        <v>0</v>
      </c>
      <c r="G401" s="142" t="n">
        <v>0</v>
      </c>
      <c r="H401" s="142" t="n">
        <v>0</v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n">
        <v>0</v>
      </c>
      <c r="G402" s="142" t="n">
        <v>0</v>
      </c>
      <c r="H402" s="142" t="n">
        <v>0</v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n">
        <v>0</v>
      </c>
      <c r="G403" s="142" t="n">
        <v>0</v>
      </c>
      <c r="H403" s="142" t="n">
        <v>0</v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n">
        <v>0</v>
      </c>
      <c r="G404" s="142" t="n">
        <v>0</v>
      </c>
      <c r="H404" s="142" t="n">
        <v>0</v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n">
        <v>0</v>
      </c>
      <c r="G405" s="142" t="n">
        <v>0</v>
      </c>
      <c r="H405" s="142" t="n">
        <v>0</v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n">
        <v>0</v>
      </c>
      <c r="G406" s="142" t="n">
        <v>0</v>
      </c>
      <c r="H406" s="142" t="n">
        <v>0</v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n">
        <v>0</v>
      </c>
      <c r="G407" s="142" t="n">
        <v>0</v>
      </c>
      <c r="H407" s="142" t="n">
        <v>0</v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n">
        <v>0</v>
      </c>
      <c r="G408" s="142" t="n">
        <v>0</v>
      </c>
      <c r="H408" s="142" t="n">
        <v>0</v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n">
        <v>0</v>
      </c>
      <c r="G409" s="142" t="n">
        <v>0</v>
      </c>
      <c r="H409" s="142" t="n">
        <v>0</v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n">
        <v>0</v>
      </c>
      <c r="G410" s="142" t="n">
        <v>0</v>
      </c>
      <c r="H410" s="142" t="n">
        <v>0</v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n">
        <v>0</v>
      </c>
      <c r="G411" s="142" t="n">
        <v>0</v>
      </c>
      <c r="H411" s="142" t="n">
        <v>0</v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n">
        <v>0</v>
      </c>
      <c r="G412" s="142" t="n">
        <v>0</v>
      </c>
      <c r="H412" s="142" t="n">
        <v>0</v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n">
        <v>0</v>
      </c>
      <c r="G413" s="142" t="n">
        <v>0</v>
      </c>
      <c r="H413" s="142" t="n">
        <v>0</v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n">
        <v>0</v>
      </c>
      <c r="G414" s="142" t="n">
        <v>0</v>
      </c>
      <c r="H414" s="142" t="n">
        <v>0</v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n">
        <v>0</v>
      </c>
      <c r="G415" s="142" t="n">
        <v>0</v>
      </c>
      <c r="H415" s="142" t="n">
        <v>0</v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n">
        <v>0</v>
      </c>
      <c r="G416" s="142" t="n">
        <v>0</v>
      </c>
      <c r="H416" s="142" t="n">
        <v>0</v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n">
        <v>0</v>
      </c>
      <c r="G417" s="142" t="n">
        <v>0</v>
      </c>
      <c r="H417" s="142" t="n">
        <v>0</v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n">
        <v>0</v>
      </c>
      <c r="G418" s="142" t="n">
        <v>0</v>
      </c>
      <c r="H418" s="142" t="n">
        <v>0</v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n">
        <v>0</v>
      </c>
      <c r="G420" s="142" t="n">
        <v>0</v>
      </c>
      <c r="H420" s="142" t="n">
        <v>0</v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n">
        <v>0</v>
      </c>
      <c r="G421" s="142" t="n">
        <v>0</v>
      </c>
      <c r="H421" s="142" t="n">
        <v>0</v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n">
        <v>0</v>
      </c>
      <c r="G422" s="142" t="n">
        <v>0</v>
      </c>
      <c r="H422" s="142" t="n">
        <v>0</v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n">
        <v>0</v>
      </c>
      <c r="G425" s="142" t="n">
        <v>0</v>
      </c>
      <c r="H425" s="142" t="n">
        <v>0</v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n">
        <v>0</v>
      </c>
      <c r="G426" s="142" t="n">
        <v>0</v>
      </c>
      <c r="H426" s="142" t="n">
        <v>0</v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n">
        <v>0</v>
      </c>
      <c r="G427" s="142" t="n">
        <v>0</v>
      </c>
      <c r="H427" s="142" t="n">
        <v>0</v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n">
        <v>0</v>
      </c>
      <c r="G429" s="142" t="n">
        <v>0</v>
      </c>
      <c r="H429" s="142" t="n">
        <v>0</v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n">
        <v>0</v>
      </c>
      <c r="G431" s="142" t="n">
        <v>0</v>
      </c>
      <c r="H431" s="142" t="n">
        <v>0</v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n">
        <v>0</v>
      </c>
      <c r="G432" s="142" t="n">
        <v>0</v>
      </c>
      <c r="H432" s="142" t="n">
        <v>0</v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n">
        <v>0</v>
      </c>
      <c r="G433" s="142" t="n">
        <v>0</v>
      </c>
      <c r="H433" s="142" t="n">
        <v>0</v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n">
        <v>0</v>
      </c>
      <c r="G434" s="142" t="n">
        <v>0</v>
      </c>
      <c r="H434" s="142" t="n">
        <v>0</v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n">
        <v>0</v>
      </c>
      <c r="G435" s="142" t="n">
        <v>0</v>
      </c>
      <c r="H435" s="142" t="n">
        <v>0</v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n">
        <v>0</v>
      </c>
      <c r="G436" s="142" t="n">
        <v>0</v>
      </c>
      <c r="H436" s="142" t="n">
        <v>0</v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n">
        <v>0</v>
      </c>
      <c r="G439" s="142" t="n">
        <v>0</v>
      </c>
      <c r="H439" s="142" t="n">
        <v>0</v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n">
        <v>0</v>
      </c>
      <c r="G440" s="142" t="n">
        <v>0</v>
      </c>
      <c r="H440" s="142" t="n">
        <v>0</v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n">
        <v>0</v>
      </c>
      <c r="G441" s="142" t="n">
        <v>0</v>
      </c>
      <c r="H441" s="142" t="n">
        <v>0</v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n">
        <v>0</v>
      </c>
      <c r="G442" s="142" t="n">
        <v>0</v>
      </c>
      <c r="H442" s="142" t="n">
        <v>0</v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n">
        <v>0</v>
      </c>
      <c r="G443" s="142" t="n">
        <v>0</v>
      </c>
      <c r="H443" s="142" t="n">
        <v>0</v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n">
        <v>0</v>
      </c>
      <c r="G444" s="142" t="n">
        <v>0</v>
      </c>
      <c r="H444" s="142" t="n">
        <v>0</v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n">
        <v>0</v>
      </c>
      <c r="G445" s="142" t="n">
        <v>0</v>
      </c>
      <c r="H445" s="142" t="n">
        <v>0</v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n">
        <v>0</v>
      </c>
      <c r="G446" s="142" t="n">
        <v>0</v>
      </c>
      <c r="H446" s="142" t="n">
        <v>0</v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n">
        <v>0</v>
      </c>
      <c r="G447" s="142" t="n">
        <v>0</v>
      </c>
      <c r="H447" s="142" t="n">
        <v>0</v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n">
        <v>0</v>
      </c>
      <c r="G448" s="142" t="n">
        <v>0</v>
      </c>
      <c r="H448" s="142" t="n">
        <v>0</v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n">
        <v>0</v>
      </c>
      <c r="G449" s="142" t="n">
        <v>0</v>
      </c>
      <c r="H449" s="142" t="n">
        <v>0</v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n">
        <v>0</v>
      </c>
      <c r="G450" s="142" t="n">
        <v>0</v>
      </c>
      <c r="H450" s="142" t="n">
        <v>0</v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n">
        <v>0</v>
      </c>
      <c r="G451" s="142" t="n">
        <v>0</v>
      </c>
      <c r="H451" s="142" t="n">
        <v>0</v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n">
        <v>0</v>
      </c>
      <c r="G453" s="142" t="n">
        <v>0</v>
      </c>
      <c r="H453" s="142" t="n">
        <v>0</v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n">
        <v>0</v>
      </c>
      <c r="G454" s="142" t="n">
        <v>0</v>
      </c>
      <c r="H454" s="142" t="n">
        <v>0</v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n">
        <v>0</v>
      </c>
      <c r="G455" s="142" t="n">
        <v>0</v>
      </c>
      <c r="H455" s="142" t="n">
        <v>0</v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n">
        <v>0</v>
      </c>
      <c r="G456" s="142" t="n">
        <v>0</v>
      </c>
      <c r="H456" s="142" t="n">
        <v>0</v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n">
        <v>0</v>
      </c>
      <c r="G457" s="142" t="n">
        <v>0</v>
      </c>
      <c r="H457" s="142" t="n">
        <v>0</v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n">
        <v>0</v>
      </c>
      <c r="G458" s="142" t="n">
        <v>0</v>
      </c>
      <c r="H458" s="142" t="n">
        <v>0</v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n">
        <v>0</v>
      </c>
      <c r="G459" s="142" t="n">
        <v>0</v>
      </c>
      <c r="H459" s="142" t="n">
        <v>0</v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n">
        <v>0</v>
      </c>
      <c r="G460" s="142" t="n">
        <v>0</v>
      </c>
      <c r="H460" s="142" t="n">
        <v>0</v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n">
        <v>0</v>
      </c>
      <c r="G461" s="142" t="n">
        <v>0</v>
      </c>
      <c r="H461" s="142" t="n">
        <v>0</v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n">
        <v>0</v>
      </c>
      <c r="G466" s="142" t="n">
        <v>0</v>
      </c>
      <c r="H466" s="142" t="n">
        <v>0</v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n">
        <v>0</v>
      </c>
      <c r="G467" s="142" t="n">
        <v>0</v>
      </c>
      <c r="H467" s="142" t="n">
        <v>0</v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n">
        <v>0</v>
      </c>
      <c r="G469" s="142" t="n">
        <v>0</v>
      </c>
      <c r="H469" s="142" t="n">
        <v>0</v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n">
        <v>0</v>
      </c>
      <c r="G470" s="142" t="n">
        <v>0</v>
      </c>
      <c r="H470" s="142" t="n">
        <v>0</v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n">
        <v>0</v>
      </c>
      <c r="G472" s="142" t="n">
        <v>0</v>
      </c>
      <c r="H472" s="142" t="n">
        <v>0</v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n">
        <v>0</v>
      </c>
      <c r="G475" s="142" t="n">
        <v>0</v>
      </c>
      <c r="H475" s="142" t="n">
        <v>0</v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n">
        <v>0</v>
      </c>
      <c r="G476" s="142" t="n">
        <v>0</v>
      </c>
      <c r="H476" s="142" t="n">
        <v>0</v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n">
        <v>0</v>
      </c>
      <c r="G477" s="142" t="n">
        <v>0</v>
      </c>
      <c r="H477" s="142" t="n">
        <v>0</v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n">
        <v>0</v>
      </c>
      <c r="G478" s="142" t="n">
        <v>0</v>
      </c>
      <c r="H478" s="142" t="n">
        <v>0</v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n">
        <v>0</v>
      </c>
      <c r="G482" s="142" t="n">
        <v>0</v>
      </c>
      <c r="H482" s="142" t="n">
        <v>0</v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n">
        <v>0</v>
      </c>
      <c r="G483" s="142" t="n">
        <v>0</v>
      </c>
      <c r="H483" s="142" t="n">
        <v>0</v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n">
        <v>0</v>
      </c>
      <c r="G486" s="142" t="n">
        <v>0</v>
      </c>
      <c r="H486" s="142" t="n">
        <v>0</v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n">
        <v>0</v>
      </c>
      <c r="G487" s="142" t="n">
        <v>0</v>
      </c>
      <c r="H487" s="142" t="n">
        <v>0</v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n">
        <v>0</v>
      </c>
      <c r="G488" s="142" t="n">
        <v>0</v>
      </c>
      <c r="H488" s="142" t="n">
        <v>0</v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n">
        <v>0</v>
      </c>
      <c r="G490" s="142" t="n">
        <v>0</v>
      </c>
      <c r="H490" s="142" t="n">
        <v>0</v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n">
        <v>0</v>
      </c>
      <c r="G493" s="142" t="n">
        <v>0</v>
      </c>
      <c r="H493" s="142" t="n">
        <v>0</v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n">
        <v>0</v>
      </c>
      <c r="G498" s="142" t="n">
        <v>0</v>
      </c>
      <c r="H498" s="142" t="n">
        <v>0</v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n">
        <v>0</v>
      </c>
      <c r="G499" s="142" t="n">
        <v>0</v>
      </c>
      <c r="H499" s="142" t="n">
        <v>0</v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n">
        <v>0</v>
      </c>
      <c r="G500" s="142" t="n">
        <v>0</v>
      </c>
      <c r="H500" s="142" t="n">
        <v>0</v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n">
        <v>0</v>
      </c>
      <c r="G501" s="142" t="n">
        <v>0</v>
      </c>
      <c r="H501" s="142" t="n">
        <v>0</v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n">
        <v>0</v>
      </c>
      <c r="G502" s="142" t="n">
        <v>0</v>
      </c>
      <c r="H502" s="142" t="n">
        <v>0</v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n">
        <v>0</v>
      </c>
      <c r="G503" s="142" t="n">
        <v>0</v>
      </c>
      <c r="H503" s="142" t="n">
        <v>0</v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n">
        <v>0</v>
      </c>
      <c r="G504" s="142" t="n">
        <v>0</v>
      </c>
      <c r="H504" s="142" t="n">
        <v>0</v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n">
        <v>0</v>
      </c>
      <c r="G505" s="142" t="n">
        <v>0</v>
      </c>
      <c r="H505" s="142" t="n">
        <v>0</v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n">
        <v>0</v>
      </c>
      <c r="G506" s="142" t="n">
        <v>0</v>
      </c>
      <c r="H506" s="142" t="n">
        <v>0</v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n">
        <v>0</v>
      </c>
      <c r="G507" s="142" t="n">
        <v>0</v>
      </c>
      <c r="H507" s="142" t="n">
        <v>0</v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n">
        <v>0</v>
      </c>
      <c r="G508" s="142" t="n">
        <v>0</v>
      </c>
      <c r="H508" s="142" t="n">
        <v>0</v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n">
        <v>0</v>
      </c>
      <c r="G509" s="142" t="n">
        <v>0</v>
      </c>
      <c r="H509" s="142" t="n">
        <v>0</v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n">
        <v>0</v>
      </c>
      <c r="G512" s="142" t="n">
        <v>0</v>
      </c>
      <c r="H512" s="142" t="n">
        <v>0</v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n">
        <v>0</v>
      </c>
      <c r="G513" s="142" t="n">
        <v>0</v>
      </c>
      <c r="H513" s="142" t="n">
        <v>0</v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n">
        <v>0</v>
      </c>
      <c r="G514" s="142" t="n">
        <v>0</v>
      </c>
      <c r="H514" s="142" t="n">
        <v>0</v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n">
        <v>0</v>
      </c>
      <c r="G515" s="142" t="n">
        <v>0</v>
      </c>
      <c r="H515" s="142" t="n">
        <v>0</v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n">
        <v>0</v>
      </c>
      <c r="G520" s="142" t="n">
        <v>0</v>
      </c>
      <c r="H520" s="142" t="n">
        <v>0</v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n">
        <v>0</v>
      </c>
      <c r="G521" s="142" t="n">
        <v>0</v>
      </c>
      <c r="H521" s="142" t="n">
        <v>0</v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n">
        <v>0</v>
      </c>
      <c r="G522" s="142" t="n">
        <v>0</v>
      </c>
      <c r="H522" s="142" t="n">
        <v>0</v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n">
        <v>0</v>
      </c>
      <c r="G523" s="142" t="n">
        <v>0</v>
      </c>
      <c r="H523" s="142" t="n">
        <v>0</v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n">
        <v>0</v>
      </c>
      <c r="G524" s="142" t="n">
        <v>0</v>
      </c>
      <c r="H524" s="142" t="n">
        <v>0</v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n">
        <v>0</v>
      </c>
      <c r="G525" s="142" t="n">
        <v>0</v>
      </c>
      <c r="H525" s="142" t="n">
        <v>0</v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n">
        <v>0</v>
      </c>
      <c r="G526" s="142" t="n">
        <v>0</v>
      </c>
      <c r="H526" s="142" t="n">
        <v>0</v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n">
        <v>0</v>
      </c>
      <c r="G527" s="142" t="n">
        <v>0</v>
      </c>
      <c r="H527" s="142" t="n">
        <v>0</v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n">
        <v>0</v>
      </c>
      <c r="G528" s="142" t="n">
        <v>0</v>
      </c>
      <c r="H528" s="142" t="n">
        <v>0</v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n">
        <v>0</v>
      </c>
      <c r="G529" s="142" t="n">
        <v>0</v>
      </c>
      <c r="H529" s="142" t="n">
        <v>0</v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n">
        <v>0</v>
      </c>
      <c r="G530" s="142" t="n">
        <v>0</v>
      </c>
      <c r="H530" s="142" t="n">
        <v>0</v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n">
        <v>0</v>
      </c>
      <c r="G531" s="142" t="n">
        <v>0</v>
      </c>
      <c r="H531" s="142" t="n">
        <v>0</v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n">
        <v>0</v>
      </c>
      <c r="G532" s="142" t="n">
        <v>0</v>
      </c>
      <c r="H532" s="142" t="n">
        <v>0</v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n">
        <v>0</v>
      </c>
      <c r="G533" s="142" t="n">
        <v>0</v>
      </c>
      <c r="H533" s="142" t="n">
        <v>0</v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n">
        <v>0</v>
      </c>
      <c r="G534" s="142" t="n">
        <v>0</v>
      </c>
      <c r="H534" s="142" t="n">
        <v>0</v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n">
        <v>0</v>
      </c>
      <c r="G535" s="142" t="n">
        <v>0</v>
      </c>
      <c r="H535" s="142" t="n">
        <v>0</v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n">
        <v>0</v>
      </c>
      <c r="G536" s="142" t="n">
        <v>0</v>
      </c>
      <c r="H536" s="142" t="n">
        <v>0</v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n">
        <v>0</v>
      </c>
      <c r="G537" s="142" t="n">
        <v>0</v>
      </c>
      <c r="H537" s="142" t="n">
        <v>0</v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n">
        <v>0</v>
      </c>
      <c r="G538" s="142" t="n">
        <v>0</v>
      </c>
      <c r="H538" s="142" t="n">
        <v>0</v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n">
        <v>0</v>
      </c>
      <c r="G539" s="142" t="n">
        <v>0</v>
      </c>
      <c r="H539" s="142" t="n">
        <v>0</v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n">
        <v>0</v>
      </c>
      <c r="G540" s="142" t="n">
        <v>0</v>
      </c>
      <c r="H540" s="142" t="n">
        <v>0</v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n">
        <v>0</v>
      </c>
      <c r="G541" s="142" t="n">
        <v>0</v>
      </c>
      <c r="H541" s="142" t="n">
        <v>0</v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n">
        <v>0</v>
      </c>
      <c r="G542" s="142" t="n">
        <v>0</v>
      </c>
      <c r="H542" s="142" t="n">
        <v>0</v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n">
        <v>0</v>
      </c>
      <c r="G543" s="142" t="n">
        <v>0</v>
      </c>
      <c r="H543" s="142" t="n">
        <v>0</v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n">
        <v>0</v>
      </c>
      <c r="G544" s="142" t="n">
        <v>0</v>
      </c>
      <c r="H544" s="142" t="n">
        <v>0</v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n">
        <v>0</v>
      </c>
      <c r="G545" s="142" t="n">
        <v>0</v>
      </c>
      <c r="H545" s="142" t="n">
        <v>0</v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n">
        <v>0</v>
      </c>
      <c r="G547" s="142" t="n">
        <v>0</v>
      </c>
      <c r="H547" s="142" t="n">
        <v>0</v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n">
        <v>0</v>
      </c>
      <c r="G548" s="142" t="n">
        <v>0</v>
      </c>
      <c r="H548" s="142" t="n">
        <v>0</v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n">
        <v>0</v>
      </c>
      <c r="G550" s="142" t="n">
        <v>0</v>
      </c>
      <c r="H550" s="142" t="n">
        <v>0</v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n">
        <v>0</v>
      </c>
      <c r="G551" s="142" t="n">
        <v>0</v>
      </c>
      <c r="H551" s="142" t="n">
        <v>0</v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n">
        <v>0</v>
      </c>
      <c r="G552" s="142" t="n">
        <v>0</v>
      </c>
      <c r="H552" s="142" t="n">
        <v>0</v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n">
        <v>0</v>
      </c>
      <c r="G553" s="142" t="n">
        <v>0</v>
      </c>
      <c r="H553" s="142" t="n">
        <v>0</v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n">
        <v>0</v>
      </c>
      <c r="G554" s="142" t="n">
        <v>0</v>
      </c>
      <c r="H554" s="142" t="n">
        <v>0</v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n">
        <v>0</v>
      </c>
      <c r="G555" s="142" t="n">
        <v>0</v>
      </c>
      <c r="H555" s="142" t="n">
        <v>0</v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n">
        <v>0</v>
      </c>
      <c r="G556" s="142" t="n">
        <v>0</v>
      </c>
      <c r="H556" s="142" t="n">
        <v>0</v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n">
        <v>0</v>
      </c>
      <c r="G557" s="142" t="n">
        <v>0</v>
      </c>
      <c r="H557" s="142" t="n">
        <v>0</v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n">
        <v>0</v>
      </c>
      <c r="G558" s="142" t="n">
        <v>0</v>
      </c>
      <c r="H558" s="142" t="n">
        <v>0</v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n">
        <v>0</v>
      </c>
      <c r="G559" s="142" t="n">
        <v>0</v>
      </c>
      <c r="H559" s="142" t="n">
        <v>0</v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n">
        <v>0</v>
      </c>
      <c r="G560" s="142" t="n">
        <v>0</v>
      </c>
      <c r="H560" s="142" t="n">
        <v>0</v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n">
        <v>0</v>
      </c>
      <c r="G561" s="142" t="n">
        <v>0</v>
      </c>
      <c r="H561" s="142" t="n">
        <v>0</v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n">
        <v>0</v>
      </c>
      <c r="G563" s="142" t="n">
        <v>0</v>
      </c>
      <c r="H563" s="142" t="n">
        <v>0</v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n">
        <v>0</v>
      </c>
      <c r="G564" s="142" t="n">
        <v>0</v>
      </c>
      <c r="H564" s="142" t="n">
        <v>0</v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n">
        <v>0</v>
      </c>
      <c r="G565" s="142" t="n">
        <v>0</v>
      </c>
      <c r="H565" s="142" t="n">
        <v>0</v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n">
        <v>0</v>
      </c>
      <c r="G566" s="142" t="n">
        <v>0</v>
      </c>
      <c r="H566" s="142" t="n">
        <v>0</v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n">
        <v>0</v>
      </c>
      <c r="G567" s="142" t="n">
        <v>0</v>
      </c>
      <c r="H567" s="142" t="n">
        <v>0</v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n">
        <v>0</v>
      </c>
      <c r="G568" s="142" t="n">
        <v>0</v>
      </c>
      <c r="H568" s="142" t="n">
        <v>0</v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n">
        <v>0</v>
      </c>
      <c r="G569" s="142" t="n">
        <v>0</v>
      </c>
      <c r="H569" s="142" t="n">
        <v>0</v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n">
        <v>0</v>
      </c>
      <c r="G570" s="142" t="n">
        <v>0</v>
      </c>
      <c r="H570" s="142" t="n">
        <v>0</v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n">
        <v>0</v>
      </c>
      <c r="G571" s="142" t="n">
        <v>0</v>
      </c>
      <c r="H571" s="142" t="n">
        <v>0</v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n">
        <v>0</v>
      </c>
      <c r="G572" s="142" t="n">
        <v>0</v>
      </c>
      <c r="H572" s="142" t="n">
        <v>0</v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n">
        <v>0</v>
      </c>
      <c r="G573" s="142" t="n">
        <v>0</v>
      </c>
      <c r="H573" s="142" t="n">
        <v>0</v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n">
        <v>0</v>
      </c>
      <c r="G574" s="142" t="n">
        <v>0</v>
      </c>
      <c r="H574" s="142" t="n">
        <v>0</v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n">
        <v>0</v>
      </c>
      <c r="G575" s="142" t="n">
        <v>0</v>
      </c>
      <c r="H575" s="142" t="n">
        <v>0</v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n">
        <v>0</v>
      </c>
      <c r="G576" s="142" t="n">
        <v>0</v>
      </c>
      <c r="H576" s="142" t="n">
        <v>0</v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n">
        <v>0</v>
      </c>
      <c r="G577" s="142" t="n">
        <v>0</v>
      </c>
      <c r="H577" s="142" t="n">
        <v>0</v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n">
        <v>0</v>
      </c>
      <c r="G578" s="142" t="n">
        <v>0</v>
      </c>
      <c r="H578" s="142" t="n">
        <v>0</v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n">
        <v>0</v>
      </c>
      <c r="G579" s="142" t="n">
        <v>0</v>
      </c>
      <c r="H579" s="142" t="n">
        <v>0</v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n">
        <v>0</v>
      </c>
      <c r="G580" s="142" t="n">
        <v>0</v>
      </c>
      <c r="H580" s="142" t="n">
        <v>0</v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n">
        <v>0</v>
      </c>
      <c r="G581" s="142" t="n">
        <v>0</v>
      </c>
      <c r="H581" s="142" t="n">
        <v>0</v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n">
        <v>0</v>
      </c>
      <c r="G582" s="142" t="n">
        <v>0</v>
      </c>
      <c r="H582" s="142" t="n">
        <v>0</v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n">
        <v>0</v>
      </c>
      <c r="G583" s="142" t="n">
        <v>0</v>
      </c>
      <c r="H583" s="142" t="n">
        <v>0</v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n">
        <v>0</v>
      </c>
      <c r="G584" s="142" t="n">
        <v>0</v>
      </c>
      <c r="H584" s="142" t="n">
        <v>0</v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n">
        <v>0</v>
      </c>
      <c r="G585" s="142" t="n">
        <v>0</v>
      </c>
      <c r="H585" s="142" t="n">
        <v>0</v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n">
        <v>0</v>
      </c>
      <c r="G589" s="142" t="n">
        <v>0</v>
      </c>
      <c r="H589" s="142" t="n">
        <v>0</v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n">
        <v>0</v>
      </c>
      <c r="G597" s="142" t="n">
        <v>0</v>
      </c>
      <c r="H597" s="142" t="n">
        <v>0</v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n">
        <v>0</v>
      </c>
      <c r="G598" s="142" t="n">
        <v>0</v>
      </c>
      <c r="H598" s="142" t="n">
        <v>0</v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n">
        <v>0</v>
      </c>
      <c r="H599" s="142" t="n">
        <v>0</v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n">
        <v>0</v>
      </c>
      <c r="G600" s="142" t="n">
        <v>0</v>
      </c>
      <c r="H600" s="142" t="n">
        <v>0</v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가공식품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n">
        <v>0</v>
      </c>
      <c r="G605" s="142" t="n">
        <v>0</v>
      </c>
      <c r="H605" s="142" t="n">
        <v>0</v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n">
        <v>0</v>
      </c>
      <c r="G613" s="142" t="n">
        <v>0</v>
      </c>
      <c r="H613" s="142" t="n">
        <v>0</v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n">
        <v>0</v>
      </c>
      <c r="G615" s="142" t="n">
        <v>0</v>
      </c>
      <c r="H615" s="142" t="n">
        <v>0</v>
      </c>
    </row>
    <row r="616" hidden="1" s="21">
      <c r="A616" s="8" t="inlineStr">
        <is>
          <t>롯데ON</t>
        </is>
      </c>
      <c r="B616" s="9" t="inlineStr">
        <is>
          <t>가공식품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n">
        <v>0</v>
      </c>
      <c r="G619" s="142" t="n">
        <v>0</v>
      </c>
      <c r="H619" s="142" t="n">
        <v>0</v>
      </c>
    </row>
    <row r="620" hidden="1" s="21">
      <c r="A620" s="8" t="inlineStr">
        <is>
          <t>롯데ON</t>
        </is>
      </c>
      <c r="B620" s="9" t="inlineStr">
        <is>
          <t>가공식품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가공식품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n">
        <v>0</v>
      </c>
      <c r="G621" s="142" t="n">
        <v>0</v>
      </c>
      <c r="H621" s="142" t="n">
        <v>0</v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n">
        <v>0</v>
      </c>
      <c r="G623" s="142" t="n">
        <v>0</v>
      </c>
      <c r="H623" s="142" t="n">
        <v>0</v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n">
        <v>0</v>
      </c>
      <c r="G628" s="142" t="n">
        <v>0</v>
      </c>
      <c r="H628" s="142" t="n">
        <v>0</v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n">
        <v>0</v>
      </c>
      <c r="G636" s="142" t="n">
        <v>0</v>
      </c>
      <c r="H636" s="142" t="n">
        <v>0</v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n">
        <v>0</v>
      </c>
      <c r="G637" s="142" t="n">
        <v>0</v>
      </c>
      <c r="H637" s="142" t="n">
        <v>0</v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n">
        <v>0</v>
      </c>
      <c r="G642" s="142" t="n">
        <v>0</v>
      </c>
      <c r="H642" s="142" t="n">
        <v>0</v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n">
        <v>0</v>
      </c>
      <c r="G644" s="142" t="n">
        <v>0</v>
      </c>
      <c r="H644" s="142" t="n">
        <v>0</v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n">
        <v>0</v>
      </c>
      <c r="G645" s="142" t="n">
        <v>0</v>
      </c>
      <c r="H645" s="142" t="n">
        <v>0</v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n">
        <v>0</v>
      </c>
      <c r="G646" s="142" t="n">
        <v>0</v>
      </c>
      <c r="H646" s="142" t="n">
        <v>0</v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n">
        <v>0</v>
      </c>
      <c r="G647" s="142" t="n">
        <v>0</v>
      </c>
      <c r="H647" s="142" t="n">
        <v>0</v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n">
        <v>0</v>
      </c>
      <c r="G648" s="142" t="n">
        <v>0</v>
      </c>
      <c r="H648" s="142" t="n">
        <v>0</v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n">
        <v>0</v>
      </c>
      <c r="G649" s="142" t="n">
        <v>0</v>
      </c>
      <c r="H649" s="142" t="n">
        <v>0</v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n">
        <v>0</v>
      </c>
      <c r="G651" s="142" t="n">
        <v>0</v>
      </c>
      <c r="H651" s="142" t="n">
        <v>0</v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n">
        <v>0</v>
      </c>
      <c r="G652" s="143" t="n">
        <v>0</v>
      </c>
      <c r="H652" s="143" t="n">
        <v>0</v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 xml:space="preserve"> 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가공식품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 xml:space="preserve">한돈 칼집 양념구이 (650g X 1개)
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n">
        <v>0</v>
      </c>
      <c r="G689" s="144" t="n">
        <v>0</v>
      </c>
      <c r="H689" s="144" t="n">
        <v>0</v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n">
        <v>0</v>
      </c>
      <c r="G690" s="144" t="n">
        <v>0</v>
      </c>
      <c r="H690" s="144" t="n">
        <v>0</v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n">
        <v>0</v>
      </c>
      <c r="G694" s="144" t="n">
        <v>0</v>
      </c>
      <c r="H694" s="144" t="n">
        <v>0</v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n">
        <v>0</v>
      </c>
      <c r="G695" s="144" t="n">
        <v>0</v>
      </c>
      <c r="H695" s="144" t="n">
        <v>0</v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n">
        <v>0</v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n">
        <v>0</v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n">
        <v>0</v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n">
        <v>0</v>
      </c>
      <c r="G699" s="144" t="n">
        <v>0</v>
      </c>
      <c r="H699" s="144" t="n">
        <v>0</v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n">
        <v>0</v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n">
        <v>0</v>
      </c>
      <c r="G701" s="144" t="n">
        <v>0</v>
      </c>
      <c r="H701" s="144" t="n">
        <v>0</v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n">
        <v>0</v>
      </c>
      <c r="G718" s="144" t="n">
        <v>0</v>
      </c>
      <c r="H718" s="144" t="n">
        <v>0</v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n">
        <v>0</v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n">
        <v>0</v>
      </c>
      <c r="G727" s="144" t="n">
        <v>0</v>
      </c>
      <c r="H727" s="144" t="n">
        <v>0</v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n">
        <v>0</v>
      </c>
      <c r="G729" s="144" t="n">
        <v>0</v>
      </c>
      <c r="H729" s="144" t="n">
        <v>0</v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n">
        <v>0</v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 xml:space="preserve">[개당 2,900]우리밀로 만든 마늘빵 과자 (70g x 3개)
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n">
        <v>0</v>
      </c>
      <c r="G734" s="144" t="n">
        <v>0</v>
      </c>
      <c r="H734" s="144" t="n">
        <v>0</v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n">
        <v>0</v>
      </c>
      <c r="G735" s="144" t="n">
        <v>0</v>
      </c>
      <c r="H735" s="144" t="n">
        <v>0</v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n">
        <v>0</v>
      </c>
      <c r="G736" s="144" t="n">
        <v>0</v>
      </c>
      <c r="H736" s="144" t="n">
        <v>0</v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n">
        <v>0</v>
      </c>
      <c r="G738" s="144" t="n">
        <v>0</v>
      </c>
      <c r="H738" s="144" t="n">
        <v>0</v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n">
        <v>0</v>
      </c>
      <c r="G739" s="144" t="n">
        <v>0</v>
      </c>
      <c r="H739" s="144" t="n">
        <v>0</v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n">
        <v>0</v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 xml:space="preserve"> 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 xml:space="preserve"> 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 xml:space="preserve"> 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 xml:space="preserve"> 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 xml:space="preserve"> 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n">
        <v>0</v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n">
        <v>0</v>
      </c>
      <c r="H847" s="146" t="n">
        <v>0</v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n">
        <v>0</v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n">
        <v>0</v>
      </c>
      <c r="H849" s="146" t="n">
        <v>0</v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n">
        <v>0</v>
      </c>
      <c r="H850" s="146" t="n">
        <v>0</v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n">
        <v>0</v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n">
        <v>0</v>
      </c>
      <c r="H852" s="146" t="n">
        <v>0</v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n">
        <v>0</v>
      </c>
      <c r="H853" s="146" t="n">
        <v>0</v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n">
        <v>0</v>
      </c>
      <c r="H854" s="146" t="n">
        <v>0</v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n">
        <v>0</v>
      </c>
    </row>
    <row r="856" hidden="1" s="21">
      <c r="A856" s="24" t="inlineStr">
        <is>
          <t>네이버</t>
        </is>
      </c>
      <c r="B856" s="108" t="inlineStr">
        <is>
          <t>농산물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n">
        <v>0</v>
      </c>
      <c r="H856" s="146" t="n">
        <v>0</v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 스틱</t>
        </is>
      </c>
      <c r="F857" s="76" t="n">
        <v>1</v>
      </c>
      <c r="G857" s="146" t="n">
        <v>16000</v>
      </c>
      <c r="H857" s="146" t="n">
        <v>0</v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n">
        <v>0</v>
      </c>
      <c r="H858" s="146" t="n">
        <v>0</v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n">
        <v>0</v>
      </c>
      <c r="H861" s="146" t="n">
        <v>0</v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n">
        <v>0</v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n">
        <v>0</v>
      </c>
      <c r="H865" s="146" t="n">
        <v>0</v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n">
        <v>0</v>
      </c>
      <c r="H866" s="146" t="n">
        <v>0</v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n">
        <v>0</v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 90g 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n">
        <v>0</v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n">
        <v>0</v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n">
        <v>0</v>
      </c>
      <c r="H883" s="146" t="n">
        <v>0</v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n">
        <v>0</v>
      </c>
      <c r="H884" s="146" t="n">
        <v>0</v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n">
        <v>0</v>
      </c>
      <c r="H885" s="146" t="n">
        <v>0</v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n">
        <v>0</v>
      </c>
      <c r="H890" s="146" t="n">
        <v>0</v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 신선계란 난각번호2번</t>
        </is>
      </c>
      <c r="F891" s="76" t="n">
        <v>0</v>
      </c>
      <c r="G891" s="146" t="n">
        <v>0</v>
      </c>
      <c r="H891" s="146" t="n">
        <v>0</v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n">
        <v>0</v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 1kg 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 500g 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 300g 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 1kg 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 500g 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n">
        <v>0</v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n">
        <v>0</v>
      </c>
      <c r="G912" s="146" t="n">
        <v>0</v>
      </c>
      <c r="H912" s="146" t="n">
        <v>0</v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n">
        <v>0</v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n">
        <v>0</v>
      </c>
      <c r="G926" s="146" t="n">
        <v>0</v>
      </c>
      <c r="H926" s="146" t="n">
        <v>0</v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n">
        <v>0</v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n">
        <v>0</v>
      </c>
      <c r="G928" s="146" t="n">
        <v>0</v>
      </c>
      <c r="H928" s="146" t="n">
        <v>0</v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n">
        <v>0</v>
      </c>
      <c r="G929" s="146" t="n">
        <v>0</v>
      </c>
      <c r="H929" s="146" t="n">
        <v>0</v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n">
        <v>0</v>
      </c>
      <c r="G930" s="146" t="n">
        <v>0</v>
      </c>
      <c r="H930" s="146" t="n">
        <v>0</v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n">
        <v>0</v>
      </c>
      <c r="G931" s="146" t="n">
        <v>0</v>
      </c>
      <c r="H931" s="146" t="n">
        <v>0</v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n">
        <v>0</v>
      </c>
      <c r="G932" s="146" t="n">
        <v>0</v>
      </c>
      <c r="H932" s="146" t="n">
        <v>0</v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n">
        <v>0</v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n">
        <v>0</v>
      </c>
      <c r="H963" s="146" t="n">
        <v>0</v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n">
        <v>0</v>
      </c>
      <c r="H964" s="146" t="n">
        <v>0</v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 200g포장</t>
        </is>
      </c>
      <c r="F969" s="76" t="n">
        <v>0</v>
      </c>
      <c r="G969" s="146" t="n">
        <v>0</v>
      </c>
      <c r="H969" s="146" t="n">
        <v>0</v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n">
        <v>0</v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n">
        <v>0</v>
      </c>
      <c r="H972" s="146" t="n">
        <v>0</v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n">
        <v>0</v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 닭부산물</t>
        </is>
      </c>
      <c r="F974" s="76" t="n">
        <v>0</v>
      </c>
      <c r="G974" s="146" t="n">
        <v>0</v>
      </c>
      <c r="H974" s="146" t="n">
        <v>0</v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n">
        <v>0</v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n">
        <v>0</v>
      </c>
      <c r="H977" s="146" t="n">
        <v>0</v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n">
        <v>0</v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 1개</t>
        </is>
      </c>
      <c r="F982" s="76" t="n">
        <v>7</v>
      </c>
      <c r="G982" s="146" t="n">
        <v>173600</v>
      </c>
      <c r="H982" s="146" t="n">
        <v>0</v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 6호 7호 10호 11호</t>
        </is>
      </c>
      <c r="F988" s="76" t="n">
        <v>0</v>
      </c>
      <c r="G988" s="146" t="n">
        <v>0</v>
      </c>
      <c r="H988" s="146" t="n">
        <v>0</v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 200g포장</t>
        </is>
      </c>
      <c r="F989" s="76" t="n">
        <v>1</v>
      </c>
      <c r="G989" s="146" t="n">
        <v>27230</v>
      </c>
      <c r="H989" s="146" t="n">
        <v>0</v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n">
        <v>0</v>
      </c>
      <c r="H990" s="146" t="n">
        <v>0</v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n">
        <v>0</v>
      </c>
      <c r="H996" s="146" t="n">
        <v>0</v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n">
        <v>0</v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 1개</t>
        </is>
      </c>
      <c r="F1003" s="76" t="n">
        <v>0</v>
      </c>
      <c r="G1003" s="146" t="n">
        <v>0</v>
      </c>
      <c r="H1003" s="146" t="n">
        <v>0</v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n">
        <v>0</v>
      </c>
      <c r="H1006" s="146" t="n">
        <v>0</v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n">
        <v>0</v>
      </c>
      <c r="H1007" s="146" t="n">
        <v>0</v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n">
        <v>0</v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n">
        <v>0</v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n">
        <v>0</v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n">
        <v>0</v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n">
        <v>0</v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n">
        <v>0</v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n">
        <v>0</v>
      </c>
      <c r="H1024" s="146" t="n">
        <v>0</v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n">
        <v>0</v>
      </c>
      <c r="H1025" s="146" t="n">
        <v>0</v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n">
        <v>0</v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n">
        <v>0</v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n">
        <v>0</v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n">
        <v>0</v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n">
        <v>0</v>
      </c>
      <c r="H1046" s="146" t="n">
        <v>0</v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n">
        <v>0</v>
      </c>
      <c r="H1047" s="146" t="n">
        <v>0</v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n">
        <v>0</v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n">
        <v>0</v>
      </c>
      <c r="H1055" s="146" t="n">
        <v>0</v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n">
        <v>0</v>
      </c>
      <c r="H1056" s="146" t="n">
        <v>0</v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n">
        <v>0</v>
      </c>
      <c r="H1061" s="146" t="n">
        <v>0</v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 1개</t>
        </is>
      </c>
      <c r="F1064" s="76" t="n">
        <v>0</v>
      </c>
      <c r="G1064" s="146" t="n">
        <v>0</v>
      </c>
      <c r="H1064" s="146" t="n">
        <v>0</v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 1개</t>
        </is>
      </c>
      <c r="F1065" s="76" t="n">
        <v>0</v>
      </c>
      <c r="G1065" s="146" t="n">
        <v>0</v>
      </c>
      <c r="H1065" s="146" t="n">
        <v>0</v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n">
        <v>0</v>
      </c>
      <c r="H1074" s="146" t="n">
        <v>0</v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n">
        <v>0</v>
      </c>
      <c r="H1075" s="146" t="n">
        <v>0</v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 특허상품)  전통항아리에서 자연발효 숙성된 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 특허상품) 전통항아리에서 자연발효 숙성된  #12가지혼합발효차+수세미발효차 = 750ml 2병 셋</t>
        </is>
      </c>
      <c r="F1077" s="76" t="n">
        <v>0</v>
      </c>
      <c r="G1077" s="146" t="n">
        <v>0</v>
      </c>
      <c r="H1077" s="146" t="n">
        <v>0</v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 특허상품)  전통항아리에서 자연발효 숙성된 #12가지혼합발효차+매실발효차= 750ml  2병 셋</t>
        </is>
      </c>
      <c r="F1078" s="76" t="n">
        <v>0</v>
      </c>
      <c r="G1078" s="146" t="n">
        <v>0</v>
      </c>
      <c r="H1078" s="146" t="n">
        <v>0</v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 노화를 낮추는 특허제품</t>
        </is>
      </c>
      <c r="F1079" s="76" t="n">
        <v>0</v>
      </c>
      <c r="G1079" s="146" t="n">
        <v>0</v>
      </c>
      <c r="H1079" s="146" t="n">
        <v>0</v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 노화를 낮추는 특허제품</t>
        </is>
      </c>
      <c r="F1080" s="76" t="n">
        <v>0</v>
      </c>
      <c r="G1080" s="146" t="n">
        <v>0</v>
      </c>
      <c r="H1080" s="146" t="n">
        <v>0</v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 노화를 낮추는 특허제품</t>
        </is>
      </c>
      <c r="F1081" s="76" t="n">
        <v>0</v>
      </c>
      <c r="G1081" s="146" t="n">
        <v>0</v>
      </c>
      <c r="H1081" s="146" t="n">
        <v>0</v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 노화를 낮추는 특허제품</t>
        </is>
      </c>
      <c r="F1082" s="76" t="n">
        <v>0</v>
      </c>
      <c r="G1082" s="146" t="n">
        <v>0</v>
      </c>
      <c r="H1082" s="146" t="n">
        <v>0</v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 해나루 개똥쑥 발효차. 750ml</t>
        </is>
      </c>
      <c r="F1083" s="76" t="n">
        <v>0</v>
      </c>
      <c r="G1083" s="146" t="n">
        <v>0</v>
      </c>
      <c r="H1083" s="146" t="n">
        <v>0</v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 전통항아리에서 자연발효 배양하여 '면역력은 높이고 노화를 낮추는'  해나루 수세미 발효차. 750ml</t>
        </is>
      </c>
      <c r="F1084" s="76" t="n">
        <v>0</v>
      </c>
      <c r="G1084" s="146" t="n">
        <v>0</v>
      </c>
      <c r="H1084" s="146" t="n">
        <v>0</v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 해나루 쇠비름(오행초) 발효차. 750ml</t>
        </is>
      </c>
      <c r="F1085" s="76" t="n">
        <v>0</v>
      </c>
      <c r="G1085" s="146" t="n">
        <v>0</v>
      </c>
      <c r="H1085" s="146" t="n">
        <v>0</v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 해나루 솔순 발효차. 750ml</t>
        </is>
      </c>
      <c r="F1086" s="76" t="n">
        <v>0</v>
      </c>
      <c r="G1086" s="146" t="n">
        <v>0</v>
      </c>
      <c r="H1086" s="146" t="n">
        <v>0</v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 미나리) 전통항아리에서 자연발효 배양하여 '면역력은 높이고 노화를 낮추는'  해나루 미나리 발효차. 750ml</t>
        </is>
      </c>
      <c r="F1087" s="76" t="n">
        <v>0</v>
      </c>
      <c r="G1087" s="146" t="n">
        <v>0</v>
      </c>
      <c r="H1087" s="146" t="n">
        <v>0</v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 해나루 브로콜리 발효차. 750ml</t>
        </is>
      </c>
      <c r="F1088" s="76" t="n">
        <v>0</v>
      </c>
      <c r="G1088" s="146" t="n">
        <v>0</v>
      </c>
      <c r="H1088" s="146" t="n">
        <v>0</v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 해나루 양파 발효차. 750ml</t>
        </is>
      </c>
      <c r="F1089" s="76" t="n">
        <v>0</v>
      </c>
      <c r="G1089" s="146" t="n">
        <v>0</v>
      </c>
      <c r="H1089" s="146" t="n">
        <v>0</v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 노화는 낮추는 특허제품. 750ml</t>
        </is>
      </c>
      <c r="F1090" s="76" t="n">
        <v>0</v>
      </c>
      <c r="G1090" s="146" t="n">
        <v>0</v>
      </c>
      <c r="H1090" s="146" t="n">
        <v>0</v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 해나루 매실 발효차. 750ml</t>
        </is>
      </c>
      <c r="F1091" s="76" t="n">
        <v>0</v>
      </c>
      <c r="G1091" s="146" t="n">
        <v>0</v>
      </c>
      <c r="H1091" s="146" t="n">
        <v>0</v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n">
        <v>0</v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n">
        <v>0</v>
      </c>
      <c r="H1094" s="146" t="n">
        <v>0</v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 1개</t>
        </is>
      </c>
      <c r="F1105" s="76" t="n">
        <v>0</v>
      </c>
      <c r="G1105" s="146" t="n">
        <v>0</v>
      </c>
      <c r="H1105" s="146" t="n">
        <v>0</v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 2kg  5kg</t>
        </is>
      </c>
      <c r="F1108" s="76" t="n">
        <v>0</v>
      </c>
      <c r="G1108" s="146" t="n">
        <v>0</v>
      </c>
      <c r="H1108" s="146" t="n">
        <v>0</v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n">
        <v>0</v>
      </c>
      <c r="H1112" s="146" t="n">
        <v>0</v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n">
        <v>0</v>
      </c>
      <c r="H1113" s="146" t="n">
        <v>0</v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n">
        <v>0</v>
      </c>
      <c r="H1116" s="146" t="n">
        <v>0</v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n">
        <v>0</v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n">
        <v>0</v>
      </c>
      <c r="H1120" s="146" t="n">
        <v>0</v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 명절 답례품</t>
        </is>
      </c>
      <c r="F1122" s="76" t="n">
        <v>0</v>
      </c>
      <c r="G1122" s="146" t="n">
        <v>0</v>
      </c>
      <c r="H1122" s="146" t="n">
        <v>0</v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n">
        <v>0</v>
      </c>
      <c r="H1123" s="146" t="n">
        <v>0</v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n">
        <v>0</v>
      </c>
      <c r="H1124" s="146" t="n">
        <v>0</v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n">
        <v>0</v>
      </c>
      <c r="H1125" s="146" t="n">
        <v>0</v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n">
        <v>0</v>
      </c>
      <c r="H1127" s="146" t="n">
        <v>0</v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n">
        <v>0</v>
      </c>
      <c r="H1128" s="146" t="n">
        <v>0</v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n">
        <v>0</v>
      </c>
      <c r="H1129" s="146" t="n">
        <v>0</v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 5kg 중 대과 꿀참외 산지직송</t>
        </is>
      </c>
      <c r="F1130" s="76" t="n">
        <v>0</v>
      </c>
      <c r="G1130" s="146" t="n">
        <v>0</v>
      </c>
      <c r="H1130" s="146" t="n">
        <v>0</v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 5KG 선물용 산지직송</t>
        </is>
      </c>
      <c r="F1131" s="76" t="n">
        <v>0</v>
      </c>
      <c r="G1131" s="146" t="n">
        <v>0</v>
      </c>
      <c r="H1131" s="146" t="n">
        <v>0</v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n">
        <v>0</v>
      </c>
      <c r="H1132" s="146" t="n">
        <v>0</v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n">
        <v>0</v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n">
        <v>0</v>
      </c>
      <c r="H1134" s="146" t="n">
        <v>0</v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n">
        <v>0</v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 2개</t>
        </is>
      </c>
      <c r="F1148" s="76" t="n">
        <v>7</v>
      </c>
      <c r="G1148" s="146" t="n">
        <v>564100</v>
      </c>
      <c r="H1148" s="146" t="n">
        <v>0</v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n">
        <v>0</v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n">
        <v>0</v>
      </c>
      <c r="H1166" s="146" t="n">
        <v>0</v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n">
        <v>0</v>
      </c>
      <c r="H1167" s="146" t="n">
        <v>0</v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 20티백  3종 세트</t>
        </is>
      </c>
      <c r="F1168" s="76" t="n">
        <v>2</v>
      </c>
      <c r="G1168" s="146" t="n">
        <v>40000</v>
      </c>
      <c r="H1168" s="146" t="n">
        <v>0</v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 1포 10g이상 총30개 스틱</t>
        </is>
      </c>
      <c r="F1169" s="76" t="n">
        <v>1</v>
      </c>
      <c r="G1169" s="146" t="n">
        <v>90000</v>
      </c>
      <c r="H1169" s="146" t="n">
        <v>0</v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 1개</t>
        </is>
      </c>
      <c r="F1179" s="76" t="n">
        <v>0</v>
      </c>
      <c r="G1179" s="146" t="n">
        <v>0</v>
      </c>
      <c r="H1179" s="146" t="n">
        <v>0</v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n">
        <v>0</v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n">
        <v>0</v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n">
        <v>0</v>
      </c>
      <c r="H1193" s="146" t="n">
        <v>0</v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n">
        <v>0</v>
      </c>
      <c r="H1197" s="146" t="n">
        <v>0</v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n">
        <v>0</v>
      </c>
      <c r="H1200" s="146" t="n">
        <v>0</v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n">
        <v>0</v>
      </c>
      <c r="H1202" s="146" t="n">
        <v>0</v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n">
        <v>0</v>
      </c>
      <c r="H1203" s="146" t="n">
        <v>0</v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n">
        <v>0</v>
      </c>
      <c r="H1206" s="146" t="n">
        <v>0</v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가공식품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가공식품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n">
        <v>0</v>
      </c>
      <c r="H1210" s="146" t="n">
        <v>0</v>
      </c>
    </row>
    <row r="1211" hidden="1" s="21">
      <c r="A1211" s="24" t="inlineStr">
        <is>
          <t>네이버</t>
        </is>
      </c>
      <c r="B1211" s="24" t="inlineStr">
        <is>
          <t>가공식품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가공식품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 특대과 특판전! 14과 (물복 딱복 부드러운 말랭이 말랑이 말랭 말랑 딱딱이 아삭이 털 복숭아) 4kg</t>
        </is>
      </c>
      <c r="F1212" s="76" t="n">
        <v>0</v>
      </c>
      <c r="G1212" s="146" t="n">
        <v>0</v>
      </c>
      <c r="H1212" s="146" t="n">
        <v>0</v>
      </c>
    </row>
    <row r="1213" hidden="1" s="21">
      <c r="A1213" s="24" t="inlineStr">
        <is>
          <t>네이버</t>
        </is>
      </c>
      <c r="B1213" s="24" t="inlineStr">
        <is>
          <t>가공식품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n">
        <v>0</v>
      </c>
      <c r="H1214" s="146" t="n">
        <v>0</v>
      </c>
    </row>
    <row r="1215" hidden="1" s="21">
      <c r="A1215" s="24" t="inlineStr">
        <is>
          <t>네이버</t>
        </is>
      </c>
      <c r="B1215" s="24" t="inlineStr">
        <is>
          <t>가공식품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 1개</t>
        </is>
      </c>
      <c r="F1215" s="76" t="n">
        <v>0</v>
      </c>
      <c r="G1215" s="146" t="n">
        <v>0</v>
      </c>
      <c r="H1215" s="146" t="n">
        <v>0</v>
      </c>
    </row>
    <row r="1216" hidden="1" s="21">
      <c r="A1216" s="24" t="inlineStr">
        <is>
          <t>네이버</t>
        </is>
      </c>
      <c r="B1216" s="24" t="inlineStr">
        <is>
          <t>가공식품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 1개</t>
        </is>
      </c>
      <c r="F1216" s="76" t="n">
        <v>0</v>
      </c>
      <c r="G1216" s="146" t="n">
        <v>0</v>
      </c>
      <c r="H1216" s="146" t="n">
        <v>0</v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n">
        <v>0</v>
      </c>
      <c r="H1217" s="146" t="n">
        <v>0</v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n">
        <v>0</v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n">
        <v>0</v>
      </c>
      <c r="H1225" s="146" t="n">
        <v>0</v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n">
        <v>0</v>
      </c>
      <c r="H1226" s="146" t="n">
        <v>0</v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n">
        <v>0</v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n">
        <v>0</v>
      </c>
      <c r="H1230" s="146" t="n">
        <v>0</v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n">
        <v>0</v>
      </c>
      <c r="H1232" s="146" t="n">
        <v>0</v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n">
        <v>0</v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n">
        <v>0</v>
      </c>
      <c r="H1234" s="146" t="n">
        <v>0</v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n">
        <v>0</v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n">
        <v>0</v>
      </c>
      <c r="H1238" s="146" t="n">
        <v>0</v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n">
        <v>0</v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 여름  가을  겨울  아침  오후 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 여름  가을  겨울_프리미엄 티하우스 시즌드시즌 '사계'티</t>
        </is>
      </c>
      <c r="F1244" s="76" t="n">
        <v>2</v>
      </c>
      <c r="G1244" s="146" t="n">
        <v>58000</v>
      </c>
      <c r="H1244" s="146" t="n">
        <v>0</v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 오후  밤- 시즌드시즌 '하루'티</t>
        </is>
      </c>
      <c r="F1245" s="76" t="n">
        <v>3</v>
      </c>
      <c r="G1245" s="146" t="n">
        <v>87000</v>
      </c>
      <c r="H1245" s="146" t="n">
        <v>0</v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n">
        <v>0</v>
      </c>
      <c r="H1247" s="146" t="n">
        <v>0</v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 100g  1개</t>
        </is>
      </c>
      <c r="F1248" s="76" t="n">
        <v>5</v>
      </c>
      <c r="G1248" s="146" t="n">
        <v>71600</v>
      </c>
      <c r="H1248" s="146" t="n">
        <v>0</v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 100g 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 100g  1개</t>
        </is>
      </c>
      <c r="F1250" s="76" t="n">
        <v>1</v>
      </c>
      <c r="G1250" s="146" t="n">
        <v>6480</v>
      </c>
      <c r="H1250" s="146" t="n">
        <v>0</v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 100g  1개</t>
        </is>
      </c>
      <c r="F1251" s="76" t="n">
        <v>4</v>
      </c>
      <c r="G1251" s="146" t="n">
        <v>24480</v>
      </c>
      <c r="H1251" s="146" t="n">
        <v>0</v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 100g  1개</t>
        </is>
      </c>
      <c r="F1252" s="76" t="n">
        <v>1</v>
      </c>
      <c r="G1252" s="146" t="n">
        <v>6480</v>
      </c>
      <c r="H1252" s="146" t="n">
        <v>0</v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n">
        <v>0</v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 1개</t>
        </is>
      </c>
      <c r="F1256" s="76" t="n">
        <v>3</v>
      </c>
      <c r="G1256" s="146" t="n">
        <v>28000</v>
      </c>
      <c r="H1256" s="146" t="n">
        <v>0</v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 1개</t>
        </is>
      </c>
      <c r="F1257" s="76" t="n">
        <v>2</v>
      </c>
      <c r="G1257" s="146" t="n">
        <v>14000</v>
      </c>
      <c r="H1257" s="146" t="n">
        <v>0</v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 1개</t>
        </is>
      </c>
      <c r="F1260" s="76" t="n">
        <v>1</v>
      </c>
      <c r="G1260" s="146" t="n">
        <v>5000</v>
      </c>
      <c r="H1260" s="146" t="n">
        <v>0</v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 1개</t>
        </is>
      </c>
      <c r="F1261" s="76" t="n">
        <v>6</v>
      </c>
      <c r="G1261" s="146" t="n">
        <v>27000</v>
      </c>
      <c r="H1261" s="146" t="n">
        <v>0</v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 1개</t>
        </is>
      </c>
      <c r="F1262" s="76" t="n">
        <v>0</v>
      </c>
      <c r="G1262" s="146" t="n">
        <v>0</v>
      </c>
      <c r="H1262" s="146" t="n">
        <v>0</v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 1개</t>
        </is>
      </c>
      <c r="F1263" s="76" t="n">
        <v>0</v>
      </c>
      <c r="G1263" s="146" t="n">
        <v>0</v>
      </c>
      <c r="H1263" s="146" t="n">
        <v>0</v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 1개</t>
        </is>
      </c>
      <c r="F1264" s="76" t="n">
        <v>1</v>
      </c>
      <c r="G1264" s="146" t="n">
        <v>9000</v>
      </c>
      <c r="H1264" s="146" t="n">
        <v>0</v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 1개</t>
        </is>
      </c>
      <c r="F1265" s="76" t="n">
        <v>0</v>
      </c>
      <c r="G1265" s="146" t="n">
        <v>0</v>
      </c>
      <c r="H1265" s="146" t="n">
        <v>0</v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 1개</t>
        </is>
      </c>
      <c r="F1269" s="76" t="n">
        <v>1</v>
      </c>
      <c r="G1269" s="146" t="n">
        <v>4500</v>
      </c>
      <c r="H1269" s="146" t="n">
        <v>0</v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 1개</t>
        </is>
      </c>
      <c r="F1280" s="76" t="n">
        <v>4</v>
      </c>
      <c r="G1280" s="146" t="n">
        <v>30000</v>
      </c>
      <c r="H1280" s="146" t="n">
        <v>0</v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n">
        <v>0</v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n">
        <v>0</v>
      </c>
      <c r="H1288" s="146" t="n">
        <v>0</v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 1개</t>
        </is>
      </c>
      <c r="F1298" s="76" t="n">
        <v>4</v>
      </c>
      <c r="G1298" s="146" t="n">
        <v>59000</v>
      </c>
      <c r="H1298" s="146" t="n">
        <v>0</v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n">
        <v>0</v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n">
        <v>0</v>
      </c>
      <c r="H1303" s="146" t="n">
        <v>0</v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n">
        <v>0</v>
      </c>
      <c r="H1305" s="146" t="n">
        <v>0</v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n">
        <v>0</v>
      </c>
      <c r="H1306" s="146" t="n">
        <v>0</v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n">
        <v>0</v>
      </c>
      <c r="H1307" s="146" t="n">
        <v>0</v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n">
        <v>0</v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n">
        <v>0</v>
      </c>
      <c r="H1309" s="146" t="n">
        <v>0</v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n">
        <v>0</v>
      </c>
      <c r="H1310" s="146" t="n">
        <v>0</v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n">
        <v>0</v>
      </c>
      <c r="H1311" s="146" t="n">
        <v>0</v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n">
        <v>0</v>
      </c>
      <c r="H1312" s="146" t="n">
        <v>0</v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n">
        <v>0</v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n">
        <v>0</v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n">
        <v>0</v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 도라지청  도라지차 명절 선물 답례품</t>
        </is>
      </c>
      <c r="F1335" s="76" t="n">
        <v>0</v>
      </c>
      <c r="G1335" s="146" t="n">
        <v>0</v>
      </c>
      <c r="H1335" s="146" t="n">
        <v>0</v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n">
        <v>0</v>
      </c>
      <c r="H1336" s="146" t="n">
        <v>0</v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 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n">
        <v>0</v>
      </c>
      <c r="H1353" s="146" t="n">
        <v>0</v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n">
        <v>0</v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n">
        <v>0</v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n">
        <v>0</v>
      </c>
      <c r="H1358" s="146" t="n">
        <v>0</v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n">
        <v>0</v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 당아욱꽃차 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 당아욱꽃차 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n">
        <v>0</v>
      </c>
      <c r="H1363" s="146" t="n">
        <v>0</v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n">
        <v>0</v>
      </c>
      <c r="H1364" s="146" t="n">
        <v>0</v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n">
        <v>0</v>
      </c>
      <c r="H1365" s="146" t="n">
        <v>0</v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 4개</t>
        </is>
      </c>
      <c r="F1368" s="76" t="n">
        <v>0</v>
      </c>
      <c r="G1368" s="146" t="n">
        <v>0</v>
      </c>
      <c r="H1368" s="146" t="n">
        <v>0</v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 10개</t>
        </is>
      </c>
      <c r="F1369" s="76" t="n">
        <v>0</v>
      </c>
      <c r="G1369" s="146" t="n">
        <v>0</v>
      </c>
      <c r="H1369" s="146" t="n">
        <v>0</v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 3개</t>
        </is>
      </c>
      <c r="F1378" s="76" t="n">
        <v>0</v>
      </c>
      <c r="G1378" s="146" t="n">
        <v>0</v>
      </c>
      <c r="H1378" s="146" t="n">
        <v>0</v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 3개</t>
        </is>
      </c>
      <c r="F1379" s="76" t="n">
        <v>1</v>
      </c>
      <c r="G1379" s="146" t="n">
        <v>113400</v>
      </c>
      <c r="H1379" s="146" t="n">
        <v>0</v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 2개</t>
        </is>
      </c>
      <c r="F1381" s="76" t="n">
        <v>0</v>
      </c>
      <c r="G1381" s="146" t="n">
        <v>0</v>
      </c>
      <c r="H1381" s="146" t="n">
        <v>0</v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 3개</t>
        </is>
      </c>
      <c r="F1382" s="76" t="n">
        <v>1</v>
      </c>
      <c r="G1382" s="146" t="n">
        <v>221400</v>
      </c>
      <c r="H1382" s="146" t="n">
        <v>0</v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n">
        <v>0</v>
      </c>
    </row>
    <row r="1384" hidden="1" s="21">
      <c r="A1384" s="24" t="inlineStr">
        <is>
          <t>네이버</t>
        </is>
      </c>
      <c r="B1384" s="24" t="inlineStr">
        <is>
          <t>가공식품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가공식품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 1개</t>
        </is>
      </c>
      <c r="F1389" s="76" t="n">
        <v>3</v>
      </c>
      <c r="G1389" s="146" t="n">
        <v>87000</v>
      </c>
      <c r="H1389" s="146" t="n">
        <v>0</v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 1개</t>
        </is>
      </c>
      <c r="F1390" s="76" t="n">
        <v>0</v>
      </c>
      <c r="G1390" s="146" t="n">
        <v>0</v>
      </c>
      <c r="H1390" s="146" t="n">
        <v>0</v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n">
        <v>0</v>
      </c>
      <c r="H1391" s="146" t="n">
        <v>0</v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가공식품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n">
        <v>0</v>
      </c>
      <c r="H1393" s="146" t="n">
        <v>0</v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n">
        <v>0</v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 오미자럽 오미자청 1.5L 2병</t>
        </is>
      </c>
      <c r="F1408" s="76" t="n">
        <v>2</v>
      </c>
      <c r="G1408" s="146" t="n">
        <v>329000</v>
      </c>
      <c r="H1408" s="146" t="n">
        <v>0</v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n">
        <v>0</v>
      </c>
      <c r="H1410" s="146" t="n">
        <v>0</v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n">
        <v>0</v>
      </c>
    </row>
    <row r="1412" hidden="1" s="21">
      <c r="A1412" s="24" t="inlineStr">
        <is>
          <t>네이버</t>
        </is>
      </c>
      <c r="B1412" s="24" t="inlineStr">
        <is>
          <t>가공식품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가공식품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가공식품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가공식품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가공식품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n">
        <v>0</v>
      </c>
      <c r="H1416" s="146" t="n">
        <v>0</v>
      </c>
    </row>
    <row r="1417" hidden="1" s="21">
      <c r="A1417" s="24" t="inlineStr">
        <is>
          <t>네이버</t>
        </is>
      </c>
      <c r="B1417" s="24" t="inlineStr">
        <is>
          <t>가공식품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n">
        <v>0</v>
      </c>
      <c r="H1417" s="146" t="n">
        <v>0</v>
      </c>
    </row>
    <row r="1418" hidden="1" s="21">
      <c r="A1418" s="24" t="inlineStr">
        <is>
          <t>네이버</t>
        </is>
      </c>
      <c r="B1418" s="24" t="inlineStr">
        <is>
          <t>가공식품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n">
        <v>0</v>
      </c>
      <c r="H1418" s="146" t="n">
        <v>0</v>
      </c>
    </row>
    <row r="1419" hidden="1" s="21">
      <c r="A1419" s="24" t="inlineStr">
        <is>
          <t>네이버</t>
        </is>
      </c>
      <c r="B1419" s="24" t="inlineStr">
        <is>
          <t>가공식품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가공식품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가공식품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가공식품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n">
        <v>0</v>
      </c>
      <c r="H1422" s="146" t="n">
        <v>0</v>
      </c>
    </row>
    <row r="1423" hidden="1" s="21">
      <c r="A1423" s="24" t="inlineStr">
        <is>
          <t>네이버</t>
        </is>
      </c>
      <c r="B1423" s="24" t="inlineStr">
        <is>
          <t>가공식품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n">
        <v>0</v>
      </c>
      <c r="H1423" s="146" t="n">
        <v>0</v>
      </c>
    </row>
    <row r="1424" hidden="1" s="21">
      <c r="A1424" s="24" t="inlineStr">
        <is>
          <t>네이버</t>
        </is>
      </c>
      <c r="B1424" s="24" t="inlineStr">
        <is>
          <t>가공식품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가공식품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가공식품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n"/>
      <c r="F1426" s="76" t="n">
        <v>0</v>
      </c>
      <c r="G1426" s="146" t="n">
        <v>0</v>
      </c>
      <c r="H1426" s="146" t="n">
        <v>0</v>
      </c>
    </row>
    <row r="1427" hidden="1" s="21">
      <c r="A1427" s="24" t="inlineStr">
        <is>
          <t>네이버</t>
        </is>
      </c>
      <c r="B1427" s="24" t="inlineStr">
        <is>
          <t>가공식품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n">
        <v>0</v>
      </c>
      <c r="H1427" s="146" t="n">
        <v>0</v>
      </c>
    </row>
    <row r="1428" hidden="1" s="21">
      <c r="A1428" s="24" t="inlineStr">
        <is>
          <t>네이버</t>
        </is>
      </c>
      <c r="B1428" s="24" t="inlineStr">
        <is>
          <t>가공식품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n">
        <v>0</v>
      </c>
    </row>
    <row r="1429" hidden="1" s="21">
      <c r="A1429" s="24" t="inlineStr">
        <is>
          <t>네이버</t>
        </is>
      </c>
      <c r="B1429" s="24" t="inlineStr">
        <is>
          <t>가공식품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가공식품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 8수이상</t>
        </is>
      </c>
      <c r="F1430" s="76" t="n">
        <v>0</v>
      </c>
      <c r="G1430" s="146" t="n">
        <v>0</v>
      </c>
      <c r="H1430" s="146" t="n">
        <v>0</v>
      </c>
    </row>
    <row r="1431" hidden="1" s="21">
      <c r="A1431" s="24" t="inlineStr">
        <is>
          <t>네이버</t>
        </is>
      </c>
      <c r="B1431" s="24" t="inlineStr">
        <is>
          <t>가공식품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가공식품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가공식품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n">
        <v>0</v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n">
        <v>0</v>
      </c>
      <c r="H1435" s="146" t="n">
        <v>0</v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 전통 간장 1.5L</t>
        </is>
      </c>
      <c r="F1436" s="76" t="n">
        <v>0</v>
      </c>
      <c r="G1436" s="146" t="n">
        <v>0</v>
      </c>
      <c r="H1436" s="146" t="n">
        <v>0</v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 전통 간장 1L</t>
        </is>
      </c>
      <c r="F1437" s="76" t="n">
        <v>0</v>
      </c>
      <c r="G1437" s="146" t="n">
        <v>0</v>
      </c>
      <c r="H1437" s="146" t="n">
        <v>0</v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 전통 간장 1L</t>
        </is>
      </c>
      <c r="F1438" s="76" t="n">
        <v>0</v>
      </c>
      <c r="G1438" s="146" t="n">
        <v>0</v>
      </c>
      <c r="H1438" s="146" t="n">
        <v>0</v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n">
        <v>0</v>
      </c>
      <c r="H1439" s="146" t="n">
        <v>0</v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n">
        <v>0</v>
      </c>
      <c r="H1440" s="146" t="n">
        <v>0</v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n">
        <v>0</v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 5kg 7.5kg 15kg</t>
        </is>
      </c>
      <c r="F1442" s="142" t="n">
        <v>1</v>
      </c>
      <c r="G1442" s="142" t="n">
        <v>40000</v>
      </c>
      <c r="H1442" s="142" t="n">
        <v>0</v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 7.5kg 15kg</t>
        </is>
      </c>
      <c r="F1443" s="142" t="n">
        <v>0</v>
      </c>
      <c r="G1443" s="142" t="n">
        <v>0</v>
      </c>
      <c r="H1443" s="142" t="n">
        <v>0</v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n">
        <v>0</v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n">
        <v>0</v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n">
        <v>0</v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n">
        <v>0</v>
      </c>
    </row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22">
        <f>SUM(F3:F57)</f>
        <v/>
      </c>
      <c r="G1" s="22">
        <f>SUM(G3:G57)</f>
        <v/>
      </c>
      <c r="H1" s="22">
        <f>SUM(H3:H57)</f>
        <v/>
      </c>
      <c r="I1" s="52" t="n">
        <v>32</v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51" t="inlineStr">
        <is>
          <t>판매건수</t>
        </is>
      </c>
      <c r="G2" s="151" t="inlineStr">
        <is>
          <t>매출액</t>
        </is>
      </c>
      <c r="H2" s="151" t="inlineStr">
        <is>
          <t>판촉액</t>
        </is>
      </c>
      <c r="I2" s="128" t="inlineStr">
        <is>
          <t>7월 실제 인입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23">
        <f>SUMIF(②유기농raw!$D:$D,$C3,②유기농raw!$F:$F)</f>
        <v/>
      </c>
      <c r="G3" s="23">
        <f>SUMIF(②유기농raw!$D:$D,$C3,②유기농raw!$G:$G)</f>
        <v/>
      </c>
      <c r="H3" s="23">
        <f>SUMIF(②유기농raw!$D:$D,$C3,②유기농raw!$H:$H)</f>
        <v/>
      </c>
      <c r="I3" s="24" t="inlineStr">
        <is>
          <t>O</t>
        </is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23">
        <f>SUMIF(②유기농raw!$D:$D,$C4,②유기농raw!$F:$F)</f>
        <v/>
      </c>
      <c r="G4" s="23">
        <f>SUMIF(②유기농raw!$D:$D,$C4,②유기농raw!$G:$G)</f>
        <v/>
      </c>
      <c r="H4" s="23">
        <f>SUMIF(②유기농raw!$D:$D,$C4,②유기농raw!$H:$H)</f>
        <v/>
      </c>
      <c r="I4" s="24" t="inlineStr">
        <is>
          <t>O</t>
        </is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23">
        <f>SUMIF(②유기농raw!$D:$D,$C5,②유기농raw!$F:$F)</f>
        <v/>
      </c>
      <c r="G5" s="23">
        <f>SUMIF(②유기농raw!$D:$D,$C5,②유기농raw!$G:$G)</f>
        <v/>
      </c>
      <c r="H5" s="23">
        <f>SUMIF(②유기농raw!$D:$D,$C5,②유기농raw!$H:$H)</f>
        <v/>
      </c>
      <c r="I5" s="76" t="n"/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23">
        <f>SUMIF(②유기농raw!$D:$D,$C6,②유기농raw!$F:$F)</f>
        <v/>
      </c>
      <c r="G6" s="23">
        <f>SUMIF(②유기농raw!$D:$D,$C6,②유기농raw!$G:$G)</f>
        <v/>
      </c>
      <c r="H6" s="23">
        <f>SUMIF(②유기농raw!$D:$D,$C6,②유기농raw!$H:$H)</f>
        <v/>
      </c>
      <c r="I6" s="76" t="n"/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23">
        <f>SUMIF(②유기농raw!$D:$D,$C7,②유기농raw!$F:$F)</f>
        <v/>
      </c>
      <c r="G7" s="23">
        <f>SUMIF(②유기농raw!$D:$D,$C7,②유기농raw!$G:$G)</f>
        <v/>
      </c>
      <c r="H7" s="23">
        <f>SUMIF(②유기농raw!$D:$D,$C7,②유기농raw!$H:$H)</f>
        <v/>
      </c>
      <c r="I7" s="24" t="inlineStr">
        <is>
          <t>O</t>
        </is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23">
        <f>SUMIF(②유기농raw!$D:$D,$C8,②유기농raw!$F:$F)</f>
        <v/>
      </c>
      <c r="G8" s="23">
        <f>SUMIF(②유기농raw!$D:$D,$C8,②유기농raw!$G:$G)</f>
        <v/>
      </c>
      <c r="H8" s="23">
        <f>SUMIF(②유기농raw!$D:$D,$C8,②유기농raw!$H:$H)</f>
        <v/>
      </c>
      <c r="I8" s="76" t="n"/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23">
        <f>SUMIF(②유기농raw!$D:$D,$C9,②유기농raw!$F:$F)</f>
        <v/>
      </c>
      <c r="G9" s="23">
        <f>SUMIF(②유기농raw!$D:$D,$C9,②유기농raw!$G:$G)</f>
        <v/>
      </c>
      <c r="H9" s="23">
        <f>SUMIF(②유기농raw!$D:$D,$C9,②유기농raw!$H:$H)</f>
        <v/>
      </c>
      <c r="I9" s="24" t="inlineStr">
        <is>
          <t>O</t>
        </is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23">
        <f>SUMIF(②유기농raw!$D:$D,$C10,②유기농raw!$F:$F)</f>
        <v/>
      </c>
      <c r="G10" s="23">
        <f>SUMIF(②유기농raw!$D:$D,$C10,②유기농raw!$G:$G)</f>
        <v/>
      </c>
      <c r="H10" s="23">
        <f>SUMIF(②유기농raw!$D:$D,$C10,②유기농raw!$H:$H)</f>
        <v/>
      </c>
      <c r="I10" s="24" t="inlineStr">
        <is>
          <t>O</t>
        </is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23">
        <f>SUMIF(②유기농raw!$D:$D,$C11,②유기농raw!$F:$F)</f>
        <v/>
      </c>
      <c r="G11" s="23">
        <f>SUMIF(②유기농raw!$D:$D,$C11,②유기농raw!$G:$G)</f>
        <v/>
      </c>
      <c r="H11" s="23">
        <f>SUMIF(②유기농raw!$D:$D,$C11,②유기농raw!$H:$H)</f>
        <v/>
      </c>
      <c r="I11" s="24" t="inlineStr">
        <is>
          <t>O</t>
        </is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23">
        <f>SUMIF(②유기농raw!$D:$D,$C12,②유기농raw!$F:$F)</f>
        <v/>
      </c>
      <c r="G12" s="23">
        <f>SUMIF(②유기농raw!$D:$D,$C12,②유기농raw!$G:$G)</f>
        <v/>
      </c>
      <c r="H12" s="23">
        <f>SUMIF(②유기농raw!$D:$D,$C12,②유기농raw!$H:$H)</f>
        <v/>
      </c>
      <c r="I12" s="24" t="inlineStr">
        <is>
          <t>O</t>
        </is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23">
        <f>SUMIF(②유기농raw!$D:$D,$C13,②유기농raw!$F:$F)</f>
        <v/>
      </c>
      <c r="G13" s="23">
        <f>SUMIF(②유기농raw!$D:$D,$C13,②유기농raw!$G:$G)</f>
        <v/>
      </c>
      <c r="H13" s="23">
        <f>SUMIF(②유기농raw!$D:$D,$C13,②유기농raw!$H:$H)</f>
        <v/>
      </c>
      <c r="I13" s="76" t="n"/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23">
        <f>SUMIF(②유기농raw!$D:$D,$C14,②유기농raw!$F:$F)</f>
        <v/>
      </c>
      <c r="G14" s="23">
        <f>SUMIF(②유기농raw!$D:$D,$C14,②유기농raw!$G:$G)</f>
        <v/>
      </c>
      <c r="H14" s="23">
        <f>SUMIF(②유기농raw!$D:$D,$C14,②유기농raw!$H:$H)</f>
        <v/>
      </c>
      <c r="I14" s="76" t="n"/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23">
        <f>SUMIF(②유기농raw!$D:$D,$C15,②유기농raw!$F:$F)</f>
        <v/>
      </c>
      <c r="G15" s="23">
        <f>SUMIF(②유기농raw!$D:$D,$C15,②유기농raw!$G:$G)</f>
        <v/>
      </c>
      <c r="H15" s="23">
        <f>SUMIF(②유기농raw!$D:$D,$C15,②유기농raw!$H:$H)</f>
        <v/>
      </c>
      <c r="I15" s="76" t="n"/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23">
        <f>SUMIF(②유기농raw!$D:$D,$C16,②유기농raw!$F:$F)</f>
        <v/>
      </c>
      <c r="G16" s="23">
        <f>SUMIF(②유기농raw!$D:$D,$C16,②유기농raw!$G:$G)</f>
        <v/>
      </c>
      <c r="H16" s="23">
        <f>SUMIF(②유기농raw!$D:$D,$C16,②유기농raw!$H:$H)</f>
        <v/>
      </c>
      <c r="I16" s="24" t="inlineStr">
        <is>
          <t>O</t>
        </is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23">
        <f>SUMIF(②유기농raw!$D:$D,$C17,②유기농raw!$F:$F)</f>
        <v/>
      </c>
      <c r="G17" s="23">
        <f>SUMIF(②유기농raw!$D:$D,$C17,②유기농raw!$G:$G)</f>
        <v/>
      </c>
      <c r="H17" s="23">
        <f>SUMIF(②유기농raw!$D:$D,$C17,②유기농raw!$H:$H)</f>
        <v/>
      </c>
      <c r="I17" s="24" t="inlineStr">
        <is>
          <t>O</t>
        </is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23">
        <f>SUMIF(②유기농raw!$D:$D,$C18,②유기농raw!$F:$F)</f>
        <v/>
      </c>
      <c r="G18" s="23">
        <f>SUMIF(②유기농raw!$D:$D,$C18,②유기농raw!$G:$G)</f>
        <v/>
      </c>
      <c r="H18" s="23">
        <f>SUMIF(②유기농raw!$D:$D,$C18,②유기농raw!$H:$H)</f>
        <v/>
      </c>
      <c r="I18" s="76" t="n"/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23">
        <f>SUMIF(②유기농raw!$D:$D,$C19,②유기농raw!$F:$F)</f>
        <v/>
      </c>
      <c r="G19" s="23">
        <f>SUMIF(②유기농raw!$D:$D,$C19,②유기농raw!$G:$G)</f>
        <v/>
      </c>
      <c r="H19" s="23">
        <f>SUMIF(②유기농raw!$D:$D,$C19,②유기농raw!$H:$H)</f>
        <v/>
      </c>
      <c r="I19" s="24" t="inlineStr">
        <is>
          <t>O</t>
        </is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23">
        <f>SUMIF(②유기농raw!$D:$D,$C20,②유기농raw!$F:$F)</f>
        <v/>
      </c>
      <c r="G20" s="23">
        <f>SUMIF(②유기농raw!$D:$D,$C20,②유기농raw!$G:$G)</f>
        <v/>
      </c>
      <c r="H20" s="23">
        <f>SUMIF(②유기농raw!$D:$D,$C20,②유기농raw!$H:$H)</f>
        <v/>
      </c>
      <c r="I20" s="24" t="inlineStr">
        <is>
          <t>O</t>
        </is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23">
        <f>SUMIF(②유기농raw!$D:$D,$C21,②유기농raw!$F:$F)</f>
        <v/>
      </c>
      <c r="G21" s="23">
        <f>SUMIF(②유기농raw!$D:$D,$C21,②유기농raw!$G:$G)</f>
        <v/>
      </c>
      <c r="H21" s="23">
        <f>SUMIF(②유기농raw!$D:$D,$C21,②유기농raw!$H:$H)</f>
        <v/>
      </c>
      <c r="I21" s="76" t="n"/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23">
        <f>SUMIF(②유기농raw!$D:$D,$C22,②유기농raw!$F:$F)</f>
        <v/>
      </c>
      <c r="G22" s="23">
        <f>SUMIF(②유기농raw!$D:$D,$C22,②유기농raw!$G:$G)</f>
        <v/>
      </c>
      <c r="H22" s="23">
        <f>SUMIF(②유기농raw!$D:$D,$C22,②유기농raw!$H:$H)</f>
        <v/>
      </c>
      <c r="I22" s="24" t="inlineStr">
        <is>
          <t>O</t>
        </is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23">
        <f>SUMIF(②유기농raw!$D:$D,$C23,②유기농raw!$F:$F)</f>
        <v/>
      </c>
      <c r="G23" s="23">
        <f>SUMIF(②유기농raw!$D:$D,$C23,②유기농raw!$G:$G)</f>
        <v/>
      </c>
      <c r="H23" s="23">
        <f>SUMIF(②유기농raw!$D:$D,$C23,②유기농raw!$H:$H)</f>
        <v/>
      </c>
      <c r="I23" s="24" t="inlineStr">
        <is>
          <t>O</t>
        </is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23">
        <f>SUMIF(②유기농raw!$D:$D,$C24,②유기농raw!$F:$F)</f>
        <v/>
      </c>
      <c r="G24" s="23">
        <f>SUMIF(②유기농raw!$D:$D,$C24,②유기농raw!$G:$G)</f>
        <v/>
      </c>
      <c r="H24" s="23">
        <f>SUMIF(②유기농raw!$D:$D,$C24,②유기농raw!$H:$H)</f>
        <v/>
      </c>
      <c r="I24" s="24" t="inlineStr">
        <is>
          <t>O</t>
        </is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23">
        <f>SUMIF(②유기농raw!$D:$D,$C25,②유기농raw!$F:$F)</f>
        <v/>
      </c>
      <c r="G25" s="23">
        <f>SUMIF(②유기농raw!$D:$D,$C25,②유기농raw!$G:$G)</f>
        <v/>
      </c>
      <c r="H25" s="23">
        <f>SUMIF(②유기농raw!$D:$D,$C25,②유기농raw!$H:$H)</f>
        <v/>
      </c>
      <c r="I25" s="24" t="inlineStr">
        <is>
          <t>O</t>
        </is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23">
        <f>SUMIF(②유기농raw!$D:$D,$C26,②유기농raw!$F:$F)</f>
        <v/>
      </c>
      <c r="G26" s="23">
        <f>SUMIF(②유기농raw!$D:$D,$C26,②유기농raw!$G:$G)</f>
        <v/>
      </c>
      <c r="H26" s="23">
        <f>SUMIF(②유기농raw!$D:$D,$C26,②유기농raw!$H:$H)</f>
        <v/>
      </c>
      <c r="I26" s="24" t="inlineStr">
        <is>
          <t>O</t>
        </is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23">
        <f>SUMIF(②유기농raw!$D:$D,$C27,②유기농raw!$F:$F)</f>
        <v/>
      </c>
      <c r="G27" s="23">
        <f>SUMIF(②유기농raw!$D:$D,$C27,②유기농raw!$G:$G)</f>
        <v/>
      </c>
      <c r="H27" s="23">
        <f>SUMIF(②유기농raw!$D:$D,$C27,②유기농raw!$H:$H)</f>
        <v/>
      </c>
      <c r="I27" s="24" t="inlineStr">
        <is>
          <t>O</t>
        </is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23">
        <f>SUMIF(②유기농raw!$D:$D,$C28,②유기농raw!$F:$F)</f>
        <v/>
      </c>
      <c r="G28" s="23">
        <f>SUMIF(②유기농raw!$D:$D,$C28,②유기농raw!$G:$G)</f>
        <v/>
      </c>
      <c r="H28" s="23">
        <f>SUMIF(②유기농raw!$D:$D,$C28,②유기농raw!$H:$H)</f>
        <v/>
      </c>
      <c r="I28" s="76" t="n"/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23">
        <f>SUMIF(②유기농raw!$D:$D,$C29,②유기농raw!$F:$F)</f>
        <v/>
      </c>
      <c r="G29" s="23">
        <f>SUMIF(②유기농raw!$D:$D,$C29,②유기농raw!$G:$G)</f>
        <v/>
      </c>
      <c r="H29" s="23">
        <f>SUMIF(②유기농raw!$D:$D,$C29,②유기농raw!$H:$H)</f>
        <v/>
      </c>
      <c r="I29" s="24" t="inlineStr">
        <is>
          <t>O</t>
        </is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23">
        <f>SUMIF(②유기농raw!$D:$D,$C30,②유기농raw!$F:$F)</f>
        <v/>
      </c>
      <c r="G30" s="23">
        <f>SUMIF(②유기농raw!$D:$D,$C30,②유기농raw!$G:$G)</f>
        <v/>
      </c>
      <c r="H30" s="23">
        <f>SUMIF(②유기농raw!$D:$D,$C30,②유기농raw!$H:$H)</f>
        <v/>
      </c>
      <c r="I30" s="76" t="n"/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23">
        <f>SUMIF(②유기농raw!$D:$D,$C31,②유기농raw!$F:$F)</f>
        <v/>
      </c>
      <c r="G31" s="23">
        <f>SUMIF(②유기농raw!$D:$D,$C31,②유기농raw!$G:$G)</f>
        <v/>
      </c>
      <c r="H31" s="23">
        <f>SUMIF(②유기농raw!$D:$D,$C31,②유기농raw!$H:$H)</f>
        <v/>
      </c>
      <c r="I31" s="24" t="inlineStr">
        <is>
          <t>O</t>
        </is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23">
        <f>SUMIF(②유기농raw!$D:$D,$C32,②유기농raw!$F:$F)</f>
        <v/>
      </c>
      <c r="G32" s="23">
        <f>SUMIF(②유기농raw!$D:$D,$C32,②유기농raw!$G:$G)</f>
        <v/>
      </c>
      <c r="H32" s="23">
        <f>SUMIF(②유기농raw!$D:$D,$C32,②유기농raw!$H:$H)</f>
        <v/>
      </c>
      <c r="I32" s="24" t="inlineStr">
        <is>
          <t>O</t>
        </is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23">
        <f>SUMIF(②유기농raw!$D:$D,$C33,②유기농raw!$F:$F)</f>
        <v/>
      </c>
      <c r="G33" s="23">
        <f>SUMIF(②유기농raw!$D:$D,$C33,②유기농raw!$G:$G)</f>
        <v/>
      </c>
      <c r="H33" s="23">
        <f>SUMIF(②유기농raw!$D:$D,$C33,②유기농raw!$H:$H)</f>
        <v/>
      </c>
      <c r="I33" s="76" t="n"/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23">
        <f>SUMIF(②유기농raw!$D:$D,$C34,②유기농raw!$F:$F)</f>
        <v/>
      </c>
      <c r="G34" s="23">
        <f>SUMIF(②유기농raw!$D:$D,$C34,②유기농raw!$G:$G)</f>
        <v/>
      </c>
      <c r="H34" s="23">
        <f>SUMIF(②유기농raw!$D:$D,$C34,②유기농raw!$H:$H)</f>
        <v/>
      </c>
      <c r="I34" s="24" t="inlineStr">
        <is>
          <t>O</t>
        </is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23">
        <f>SUMIF(②유기농raw!$D:$D,$C35,②유기농raw!$F:$F)</f>
        <v/>
      </c>
      <c r="G35" s="23">
        <f>SUMIF(②유기농raw!$D:$D,$C35,②유기농raw!$G:$G)</f>
        <v/>
      </c>
      <c r="H35" s="23">
        <f>SUMIF(②유기농raw!$D:$D,$C35,②유기농raw!$H:$H)</f>
        <v/>
      </c>
      <c r="I35" s="76" t="n"/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23">
        <f>SUMIF(②유기농raw!$D:$D,$C36,②유기농raw!$F:$F)</f>
        <v/>
      </c>
      <c r="G36" s="23">
        <f>SUMIF(②유기농raw!$D:$D,$C36,②유기농raw!$G:$G)</f>
        <v/>
      </c>
      <c r="H36" s="23">
        <f>SUMIF(②유기농raw!$D:$D,$C36,②유기농raw!$H:$H)</f>
        <v/>
      </c>
      <c r="I36" s="24" t="inlineStr">
        <is>
          <t>O</t>
        </is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23">
        <f>SUMIF(②유기농raw!$D:$D,$C37,②유기농raw!$F:$F)</f>
        <v/>
      </c>
      <c r="G37" s="23">
        <f>SUMIF(②유기농raw!$D:$D,$C37,②유기농raw!$G:$G)</f>
        <v/>
      </c>
      <c r="H37" s="23">
        <f>SUMIF(②유기농raw!$D:$D,$C37,②유기농raw!$H:$H)</f>
        <v/>
      </c>
      <c r="I37" s="76" t="n"/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23">
        <f>SUMIF(②유기농raw!$D:$D,$C38,②유기농raw!$F:$F)</f>
        <v/>
      </c>
      <c r="G38" s="23">
        <f>SUMIF(②유기농raw!$D:$D,$C38,②유기농raw!$G:$G)</f>
        <v/>
      </c>
      <c r="H38" s="23">
        <f>SUMIF(②유기농raw!$D:$D,$C38,②유기농raw!$H:$H)</f>
        <v/>
      </c>
      <c r="I38" s="76" t="n"/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23">
        <f>SUMIF(②유기농raw!$D:$D,$C39,②유기농raw!$F:$F)</f>
        <v/>
      </c>
      <c r="G39" s="23">
        <f>SUMIF(②유기농raw!$D:$D,$C39,②유기농raw!$G:$G)</f>
        <v/>
      </c>
      <c r="H39" s="23">
        <f>SUMIF(②유기농raw!$D:$D,$C39,②유기농raw!$H:$H)</f>
        <v/>
      </c>
      <c r="I39" s="24" t="inlineStr">
        <is>
          <t>O</t>
        </is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23">
        <f>SUMIF(②유기농raw!$D:$D,$C40,②유기농raw!$F:$F)</f>
        <v/>
      </c>
      <c r="G40" s="23">
        <f>SUMIF(②유기농raw!$D:$D,$C40,②유기농raw!$G:$G)</f>
        <v/>
      </c>
      <c r="H40" s="23">
        <f>SUMIF(②유기농raw!$D:$D,$C40,②유기농raw!$H:$H)</f>
        <v/>
      </c>
      <c r="I40" s="24" t="inlineStr">
        <is>
          <t>O</t>
        </is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23">
        <f>SUMIF(②유기농raw!$D:$D,$C41,②유기농raw!$F:$F)</f>
        <v/>
      </c>
      <c r="G41" s="23">
        <f>SUMIF(②유기농raw!$D:$D,$C41,②유기농raw!$G:$G)</f>
        <v/>
      </c>
      <c r="H41" s="23">
        <f>SUMIF(②유기농raw!$D:$D,$C41,②유기농raw!$H:$H)</f>
        <v/>
      </c>
      <c r="I41" s="24" t="inlineStr">
        <is>
          <t>O</t>
        </is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23">
        <f>SUMIF(②유기농raw!$D:$D,$C42,②유기농raw!$F:$F)</f>
        <v/>
      </c>
      <c r="G42" s="23">
        <f>SUMIF(②유기농raw!$D:$D,$C42,②유기농raw!$G:$G)</f>
        <v/>
      </c>
      <c r="H42" s="23">
        <f>SUMIF(②유기농raw!$D:$D,$C42,②유기농raw!$H:$H)</f>
        <v/>
      </c>
      <c r="I42" s="76" t="n"/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23">
        <f>SUMIF(②유기농raw!$D:$D,$C43,②유기농raw!$F:$F)</f>
        <v/>
      </c>
      <c r="G43" s="23">
        <f>SUMIF(②유기농raw!$D:$D,$C43,②유기농raw!$G:$G)</f>
        <v/>
      </c>
      <c r="H43" s="23">
        <f>SUMIF(②유기농raw!$D:$D,$C43,②유기농raw!$H:$H)</f>
        <v/>
      </c>
      <c r="I43" s="24" t="inlineStr">
        <is>
          <t>O</t>
        </is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23">
        <f>SUMIF(②유기농raw!$D:$D,$C44,②유기농raw!$F:$F)</f>
        <v/>
      </c>
      <c r="G44" s="23">
        <f>SUMIF(②유기농raw!$D:$D,$C44,②유기농raw!$G:$G)</f>
        <v/>
      </c>
      <c r="H44" s="23">
        <f>SUMIF(②유기농raw!$D:$D,$C44,②유기농raw!$H:$H)</f>
        <v/>
      </c>
      <c r="I44" s="24" t="inlineStr">
        <is>
          <t>O</t>
        </is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23">
        <f>SUMIF(②유기농raw!$D:$D,$C45,②유기농raw!$F:$F)</f>
        <v/>
      </c>
      <c r="G45" s="23">
        <f>SUMIF(②유기농raw!$D:$D,$C45,②유기농raw!$G:$G)</f>
        <v/>
      </c>
      <c r="H45" s="23">
        <f>SUMIF(②유기농raw!$D:$D,$C45,②유기농raw!$H:$H)</f>
        <v/>
      </c>
      <c r="I45" s="76" t="n"/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23">
        <f>SUMIF(②유기농raw!$D:$D,$C46,②유기농raw!$F:$F)</f>
        <v/>
      </c>
      <c r="G46" s="23">
        <f>SUMIF(②유기농raw!$D:$D,$C46,②유기농raw!$G:$G)</f>
        <v/>
      </c>
      <c r="H46" s="23">
        <f>SUMIF(②유기농raw!$D:$D,$C46,②유기농raw!$H:$H)</f>
        <v/>
      </c>
      <c r="I46" s="76" t="n"/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23">
        <f>SUMIF(②유기농raw!$D:$D,$C47,②유기농raw!$F:$F)</f>
        <v/>
      </c>
      <c r="G47" s="23">
        <f>SUMIF(②유기농raw!$D:$D,$C47,②유기농raw!$G:$G)</f>
        <v/>
      </c>
      <c r="H47" s="23">
        <f>SUMIF(②유기농raw!$D:$D,$C47,②유기농raw!$H:$H)</f>
        <v/>
      </c>
      <c r="I47" s="24" t="inlineStr">
        <is>
          <t>O</t>
        </is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23">
        <f>SUMIF(②유기농raw!$D:$D,$C48,②유기농raw!$F:$F)</f>
        <v/>
      </c>
      <c r="G48" s="23">
        <f>SUMIF(②유기농raw!$D:$D,$C48,②유기농raw!$G:$G)</f>
        <v/>
      </c>
      <c r="H48" s="23">
        <f>SUMIF(②유기농raw!$D:$D,$C48,②유기농raw!$H:$H)</f>
        <v/>
      </c>
      <c r="I48" s="24" t="inlineStr">
        <is>
          <t>O</t>
        </is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23">
        <f>SUMIF(②유기농raw!$D:$D,$C49,②유기농raw!$F:$F)</f>
        <v/>
      </c>
      <c r="G49" s="23">
        <f>SUMIF(②유기농raw!$D:$D,$C49,②유기농raw!$G:$G)</f>
        <v/>
      </c>
      <c r="H49" s="23">
        <f>SUMIF(②유기농raw!$D:$D,$C49,②유기농raw!$H:$H)</f>
        <v/>
      </c>
      <c r="I49" s="24" t="inlineStr">
        <is>
          <t>O</t>
        </is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23">
        <f>SUMIF(②유기농raw!$D:$D,$C50,②유기농raw!$F:$F)</f>
        <v/>
      </c>
      <c r="G50" s="23">
        <f>SUMIF(②유기농raw!$D:$D,$C50,②유기농raw!$G:$G)</f>
        <v/>
      </c>
      <c r="H50" s="23">
        <f>SUMIF(②유기농raw!$D:$D,$C50,②유기농raw!$H:$H)</f>
        <v/>
      </c>
      <c r="I50" s="76" t="n"/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23">
        <f>SUMIF(②유기농raw!$D:$D,$C51,②유기농raw!$F:$F)</f>
        <v/>
      </c>
      <c r="G51" s="23">
        <f>SUMIF(②유기농raw!$D:$D,$C51,②유기농raw!$G:$G)</f>
        <v/>
      </c>
      <c r="H51" s="23">
        <f>SUMIF(②유기농raw!$D:$D,$C51,②유기농raw!$H:$H)</f>
        <v/>
      </c>
      <c r="I51" s="76" t="n"/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23">
        <f>SUMIF(②유기농raw!$D:$D,$C52,②유기농raw!$F:$F)</f>
        <v/>
      </c>
      <c r="G52" s="23">
        <f>SUMIF(②유기농raw!$D:$D,$C52,②유기농raw!$G:$G)</f>
        <v/>
      </c>
      <c r="H52" s="23">
        <f>SUMIF(②유기농raw!$D:$D,$C52,②유기농raw!$H:$H)</f>
        <v/>
      </c>
      <c r="I52" s="76" t="n"/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23">
        <f>SUMIF(②유기농raw!$D:$D,$C53,②유기농raw!$F:$F)</f>
        <v/>
      </c>
      <c r="G53" s="23">
        <f>SUMIF(②유기농raw!$D:$D,$C53,②유기농raw!$G:$G)</f>
        <v/>
      </c>
      <c r="H53" s="23">
        <f>SUMIF(②유기농raw!$D:$D,$C53,②유기농raw!$H:$H)</f>
        <v/>
      </c>
      <c r="I53" s="24" t="inlineStr">
        <is>
          <t>O</t>
        </is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23">
        <f>SUMIF(②유기농raw!$D:$D,$C54,②유기농raw!$F:$F)</f>
        <v/>
      </c>
      <c r="G54" s="23">
        <f>SUMIF(②유기농raw!$D:$D,$C54,②유기농raw!$G:$G)</f>
        <v/>
      </c>
      <c r="H54" s="23">
        <f>SUMIF(②유기농raw!$D:$D,$C54,②유기농raw!$H:$H)</f>
        <v/>
      </c>
      <c r="I54" s="24" t="inlineStr">
        <is>
          <t>O</t>
        </is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23">
        <f>SUMIF(②유기농raw!$D:$D,$C55,②유기농raw!$F:$F)</f>
        <v/>
      </c>
      <c r="G55" s="23">
        <f>SUMIF(②유기농raw!$D:$D,$C55,②유기농raw!$G:$G)</f>
        <v/>
      </c>
      <c r="H55" s="23">
        <f>SUMIF(②유기농raw!$D:$D,$C55,②유기농raw!$H:$H)</f>
        <v/>
      </c>
      <c r="I55" s="76" t="n"/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23">
        <f>SUMIF(②유기농raw!$D:$D,$C56,②유기농raw!$F:$F)</f>
        <v/>
      </c>
      <c r="G56" s="23">
        <f>SUMIF(②유기농raw!$D:$D,$C56,②유기농raw!$G:$G)</f>
        <v/>
      </c>
      <c r="H56" s="23">
        <f>SUMIF(②유기농raw!$D:$D,$C56,②유기농raw!$H:$H)</f>
        <v/>
      </c>
      <c r="I56" s="76" t="n"/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23">
        <f>SUMIF(②유기농raw!$D:$D,$C57,②유기농raw!$F:$F)</f>
        <v/>
      </c>
      <c r="G57" s="23">
        <f>SUMIF(②유기농raw!$D:$D,$C57,②유기농raw!$G:$G)</f>
        <v/>
      </c>
      <c r="H57" s="23">
        <f>SUMIF(②유기농raw!$D:$D,$C57,②유기농raw!$H:$H)</f>
        <v/>
      </c>
      <c r="I57" s="76" t="n"/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7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SUM(F6:F807)</f>
        <v/>
      </c>
      <c r="G4" s="132">
        <f>SUM(G6:G807)</f>
        <v/>
      </c>
      <c r="H4" s="132">
        <f>SUM(H6:H807)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n">
        <v>0</v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n">
        <v>0</v>
      </c>
      <c r="G54" s="153" t="n">
        <v>0</v>
      </c>
      <c r="H54" s="153" t="n">
        <v>0</v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n">
        <v>0</v>
      </c>
      <c r="G81" s="153" t="n">
        <v>0</v>
      </c>
      <c r="H81" s="153" t="n">
        <v>0</v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n">
        <v>0</v>
      </c>
      <c r="G82" s="153" t="n">
        <v>0</v>
      </c>
      <c r="H82" s="153" t="n">
        <v>0</v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n">
        <v>0</v>
      </c>
      <c r="G83" s="153" t="n">
        <v>0</v>
      </c>
      <c r="H83" s="153" t="n">
        <v>0</v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n">
        <v>0</v>
      </c>
      <c r="G84" s="153" t="n">
        <v>0</v>
      </c>
      <c r="H84" s="153" t="n">
        <v>0</v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n">
        <v>0</v>
      </c>
      <c r="G85" s="153" t="n">
        <v>0</v>
      </c>
      <c r="H85" s="153" t="n">
        <v>0</v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n">
        <v>0</v>
      </c>
      <c r="G88" s="153" t="n">
        <v>0</v>
      </c>
      <c r="H88" s="153" t="n">
        <v>0</v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n">
        <v>0</v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n">
        <v>0</v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 500g</t>
        </is>
      </c>
      <c r="F101" s="148" t="n">
        <v>0</v>
      </c>
      <c r="G101" s="154" t="n">
        <v>0</v>
      </c>
      <c r="H101" s="154" t="n">
        <v>0</v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n">
        <v>0</v>
      </c>
      <c r="G102" s="154" t="n">
        <v>0</v>
      </c>
      <c r="H102" s="154" t="n">
        <v>0</v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n">
        <v>0</v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n">
        <v>0</v>
      </c>
      <c r="G105" s="154" t="n">
        <v>0</v>
      </c>
      <c r="H105" s="154" t="n">
        <v>0</v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n">
        <v>0</v>
      </c>
      <c r="G106" s="154" t="n">
        <v>0</v>
      </c>
      <c r="H106" s="154" t="n">
        <v>0</v>
      </c>
    </row>
    <row r="107">
      <c r="A107" s="63" t="inlineStr">
        <is>
          <t>네이버</t>
        </is>
      </c>
      <c r="B107" s="24" t="inlineStr">
        <is>
          <t>가공식품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가공식품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가공식품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n">
        <v>0</v>
      </c>
      <c r="G110" s="154" t="n">
        <v>0</v>
      </c>
      <c r="H110" s="154" t="n">
        <v>0</v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 40티백 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n">
        <v>0</v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 통버섯  표고칩  슬라이스)</t>
        </is>
      </c>
      <c r="F122" s="140" t="n">
        <v>0</v>
      </c>
      <c r="G122" s="146" t="n">
        <v>0</v>
      </c>
      <c r="H122" s="146" t="n">
        <v>0</v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n">
        <v>0</v>
      </c>
      <c r="H125" s="146" t="n">
        <v>0</v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 농축액 감미료) 10ml 10포  1개</t>
        </is>
      </c>
      <c r="F126" s="76" t="n">
        <v>5</v>
      </c>
      <c r="G126" s="146" t="n">
        <v>65000</v>
      </c>
      <c r="H126" s="146" t="n">
        <v>0</v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 10개</t>
        </is>
      </c>
      <c r="F127" s="76" t="n">
        <v>4</v>
      </c>
      <c r="G127" s="146" t="n">
        <v>52000</v>
      </c>
      <c r="H127" s="146" t="n">
        <v>0</v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 30개</t>
        </is>
      </c>
      <c r="F131" s="76" t="n">
        <v>0</v>
      </c>
      <c r="G131" s="146" t="n">
        <v>0</v>
      </c>
      <c r="H131" s="146" t="n">
        <v>0</v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 30개</t>
        </is>
      </c>
      <c r="F132" s="76" t="n">
        <v>0</v>
      </c>
      <c r="G132" s="146" t="n">
        <v>0</v>
      </c>
      <c r="H132" s="146" t="n">
        <v>0</v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 완숙토마토 찰토마토2.5k 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 60g 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 60g 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 60g  40개</t>
        </is>
      </c>
      <c r="F141" s="76" t="n">
        <v>0</v>
      </c>
      <c r="G141" s="146" t="n">
        <v>0</v>
      </c>
      <c r="H141" s="146" t="n">
        <v>0</v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가공식품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n">
        <v>0</v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 300ml</t>
        </is>
      </c>
      <c r="F164" s="76" t="n">
        <v>0</v>
      </c>
      <c r="G164" s="146" t="n">
        <v>0</v>
      </c>
      <c r="H164" s="146" t="n">
        <v>0</v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 48개</t>
        </is>
      </c>
      <c r="F171" s="76" t="n">
        <v>2</v>
      </c>
      <c r="G171" s="146" t="n">
        <v>222400</v>
      </c>
      <c r="H171" s="146" t="n">
        <v>0</v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n">
        <v>0</v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가공식품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가공식품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가공식품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가공식품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가공식품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가공식품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가공식품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n">
        <v>0</v>
      </c>
    </row>
    <row r="197">
      <c r="A197" s="76" t="inlineStr">
        <is>
          <t>네이버</t>
        </is>
      </c>
      <c r="B197" s="108" t="inlineStr">
        <is>
          <t>가공식품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 친환경무농약 생표고버섯1kg</t>
        </is>
      </c>
      <c r="F197" s="76" t="n">
        <v>0</v>
      </c>
      <c r="G197" s="146" t="n">
        <v>0</v>
      </c>
      <c r="H197" s="146" t="n">
        <v>0</v>
      </c>
    </row>
    <row r="198">
      <c r="A198" s="76" t="inlineStr">
        <is>
          <t>네이버</t>
        </is>
      </c>
      <c r="B198" s="108" t="inlineStr">
        <is>
          <t>가공식품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n">
        <v>0</v>
      </c>
      <c r="H198" s="146" t="n">
        <v>0</v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n">
        <v>0</v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n">
        <v>0</v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n">
        <v>0</v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n">
        <v>0</v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 유기농 잡곡 쌀 10kg(1kg 10팩) 혼합곡</t>
        </is>
      </c>
      <c r="F205" s="76" t="n">
        <v>8</v>
      </c>
      <c r="G205" s="146" t="n">
        <v>494390</v>
      </c>
      <c r="H205" s="146" t="n">
        <v>0</v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n">
        <v>0</v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n">
        <v>0</v>
      </c>
    </row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2026-09-11T09:56:23Z</dcterms:modified>
  <cp:lastModifiedBy>user</cp:lastModifiedBy>
  <cp:lastPrinted>2021-12-09T01:05:36Z</cp:lastPrinted>
</cp:coreProperties>
</file>